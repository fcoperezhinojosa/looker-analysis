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unnel" sheetId="2" state="visible" r:id="rId2"/>
    <sheet xmlns:r="http://schemas.openxmlformats.org/officeDocument/2006/relationships" name="Gaps to fill" sheetId="3" state="visible" r:id="rId3"/>
    <sheet xmlns:r="http://schemas.openxmlformats.org/officeDocument/2006/relationships" name="Totals" sheetId="4" state="visible" r:id="rId4"/>
    <sheet xmlns:r="http://schemas.openxmlformats.org/officeDocument/2006/relationships" name="Countries" sheetId="5" state="visible" r:id="rId5"/>
    <sheet xmlns:r="http://schemas.openxmlformats.org/officeDocument/2006/relationships" name="L1 Channel YoY" sheetId="6" state="visible" r:id="rId6"/>
    <sheet xmlns:r="http://schemas.openxmlformats.org/officeDocument/2006/relationships" name="L2 Channel x Landing" sheetId="7" state="visible" r:id="rId7"/>
    <sheet xmlns:r="http://schemas.openxmlformats.org/officeDocument/2006/relationships" name="L3 Ch x Landing x Device" sheetId="8" state="visible" r:id="rId8"/>
    <sheet xmlns:r="http://schemas.openxmlformats.org/officeDocument/2006/relationships" name="L4 Market view" sheetId="9" state="visible" r:id="rId9"/>
    <sheet xmlns:r="http://schemas.openxmlformats.org/officeDocument/2006/relationships" name="Market Summary" sheetId="10" state="visible" r:id="rId10"/>
  </sheets>
  <definedNames>
    <definedName name="_xlnm._FilterDatabase" localSheetId="2" hidden="1">'Gaps to fill'!$A$5:$M$1868</definedName>
    <definedName name="_xlnm._FilterDatabase" localSheetId="3" hidden="1">'Totals'!$A$4:$BC$49</definedName>
    <definedName name="_xlnm._FilterDatabase" localSheetId="4" hidden="1">'Countries'!$A$4:$BE$434</definedName>
  </definedNames>
  <calcPr calcId="124519" fullCalcOnLoad="1"/>
</workbook>
</file>

<file path=xl/styles.xml><?xml version="1.0" encoding="utf-8"?>
<styleSheet xmlns="http://schemas.openxmlformats.org/spreadsheetml/2006/main">
  <numFmts count="4">
    <numFmt numFmtId="164" formatCode="#,##0;[Red]-#,##0;-"/>
    <numFmt numFmtId="165" formatCode="0.0%;[Red]-0.0%;-"/>
    <numFmt numFmtId="166" formatCode="0.0%"/>
    <numFmt numFmtId="167" formatCode="0.00&quot; pp&quot;;[Red]-0.00&quot; pp&quot;;-"/>
  </numFmts>
  <fonts count="15">
    <font>
      <name val="Calibri"/>
      <family val="2"/>
      <color theme="1"/>
      <sz val="11"/>
      <scheme val="minor"/>
    </font>
    <font>
      <name val="Arial"/>
      <b val="1"/>
      <color rgb="001F3864"/>
      <sz val="16"/>
    </font>
    <font>
      <name val="Arial"/>
      <color rgb="00595959"/>
      <sz val="11"/>
    </font>
    <font>
      <name val="Arial"/>
      <b val="1"/>
      <color rgb="001F3864"/>
      <sz val="11"/>
    </font>
    <font>
      <name val="Arial"/>
      <b val="1"/>
      <sz val="10"/>
    </font>
    <font>
      <name val="Arial"/>
      <sz val="10"/>
    </font>
    <font>
      <name val="Arial"/>
      <b val="1"/>
      <color rgb="000000FF"/>
      <sz val="10"/>
    </font>
    <font>
      <name val="Arial"/>
      <b val="1"/>
      <color rgb="00000000"/>
      <sz val="10"/>
    </font>
    <font>
      <name val="Arial"/>
      <b val="1"/>
      <color rgb="00008000"/>
      <sz val="10"/>
    </font>
    <font>
      <name val="Arial"/>
      <b val="1"/>
      <color rgb="001F3864"/>
      <sz val="14"/>
    </font>
    <font>
      <name val="Arial"/>
      <i val="1"/>
      <color rgb="00595959"/>
      <sz val="9"/>
    </font>
    <font>
      <name val="Arial"/>
      <b val="1"/>
      <color rgb="00FFFFFF"/>
      <sz val="10"/>
    </font>
    <font>
      <name val="Arial"/>
      <color rgb="000000FF"/>
      <sz val="10"/>
    </font>
    <font>
      <name val="Arial"/>
      <color rgb="00008000"/>
      <sz val="10"/>
    </font>
    <font>
      <name val="Arial"/>
      <b val="1"/>
      <color rgb="001F6F6F"/>
      <sz val="10"/>
    </font>
  </fonts>
  <fills count="13">
    <fill>
      <patternFill/>
    </fill>
    <fill>
      <patternFill patternType="gray125"/>
    </fill>
    <fill>
      <patternFill patternType="solid">
        <fgColor rgb="00FFF2CC"/>
      </patternFill>
    </fill>
    <fill>
      <patternFill patternType="solid">
        <fgColor rgb="001F3864"/>
      </patternFill>
    </fill>
    <fill>
      <patternFill patternType="solid">
        <fgColor rgb="00B45309"/>
      </patternFill>
    </fill>
    <fill>
      <patternFill patternType="solid">
        <fgColor rgb="00C2410C"/>
      </patternFill>
    </fill>
    <fill>
      <patternFill patternType="solid">
        <fgColor rgb="002E5395"/>
      </patternFill>
    </fill>
    <fill>
      <patternFill patternType="solid">
        <fgColor rgb="001F6F6F"/>
      </patternFill>
    </fill>
    <fill>
      <patternFill patternType="solid">
        <fgColor rgb="000F5132"/>
      </patternFill>
    </fill>
    <fill>
      <patternFill patternType="solid">
        <fgColor rgb="007F4F24"/>
      </patternFill>
    </fill>
    <fill>
      <patternFill patternType="solid">
        <fgColor rgb="005B2C6F"/>
      </patternFill>
    </fill>
    <fill>
      <patternFill patternType="solid">
        <fgColor rgb="00D9E2F3"/>
      </patternFill>
    </fill>
    <fill>
      <patternFill patternType="solid">
        <fgColor rgb="00F2F5FA"/>
      </patternFill>
    </fill>
  </fills>
  <borders count="6">
    <border>
      <left/>
      <right/>
      <top/>
      <bottom/>
      <diagonal/>
    </border>
    <border>
      <top style="medium">
        <color rgb="001F3864"/>
      </top>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0" fillId="0" borderId="1"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7" fillId="2"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center"/>
    </xf>
    <xf numFmtId="0" fontId="11" fillId="3" borderId="2" applyAlignment="1" pivotButton="0" quotePrefix="0" xfId="0">
      <alignment horizontal="center" vertical="center"/>
    </xf>
    <xf numFmtId="0" fontId="0" fillId="3" borderId="2" pivotButton="0" quotePrefix="0" xfId="0"/>
    <xf numFmtId="0" fontId="11" fillId="6" borderId="2" applyAlignment="1" pivotButton="0" quotePrefix="0" xfId="0">
      <alignment horizontal="center" vertical="center"/>
    </xf>
    <xf numFmtId="0" fontId="0" fillId="6" borderId="2" pivotButton="0" quotePrefix="0" xfId="0"/>
    <xf numFmtId="0" fontId="11" fillId="10" borderId="2" applyAlignment="1" pivotButton="0" quotePrefix="0" xfId="0">
      <alignment horizontal="center" vertical="center"/>
    </xf>
    <xf numFmtId="0" fontId="0" fillId="10" borderId="2" pivotButton="0" quotePrefix="0" xfId="0"/>
    <xf numFmtId="0" fontId="11" fillId="7" borderId="2" applyAlignment="1" pivotButton="0" quotePrefix="0" xfId="0">
      <alignment horizontal="center" vertical="center"/>
    </xf>
    <xf numFmtId="0" fontId="0" fillId="7" borderId="2" pivotButton="0" quotePrefix="0" xfId="0"/>
    <xf numFmtId="0" fontId="11" fillId="8" borderId="2" applyAlignment="1" pivotButton="0" quotePrefix="0" xfId="0">
      <alignment horizontal="center" vertical="center"/>
    </xf>
    <xf numFmtId="0" fontId="0" fillId="8" borderId="2" pivotButton="0" quotePrefix="0" xfId="0"/>
    <xf numFmtId="0" fontId="11" fillId="9" borderId="2" applyAlignment="1" pivotButton="0" quotePrefix="0" xfId="0">
      <alignment horizontal="center" vertical="center"/>
    </xf>
    <xf numFmtId="0" fontId="0" fillId="9" borderId="2" pivotButton="0" quotePrefix="0" xfId="0"/>
    <xf numFmtId="0" fontId="11" fillId="3" borderId="2" applyAlignment="1" pivotButton="0" quotePrefix="0" xfId="0">
      <alignment horizontal="center"/>
    </xf>
    <xf numFmtId="0" fontId="11" fillId="6" borderId="2" applyAlignment="1" pivotButton="0" quotePrefix="0" xfId="0">
      <alignment horizontal="center"/>
    </xf>
    <xf numFmtId="0" fontId="11" fillId="10" borderId="2" applyAlignment="1" pivotButton="0" quotePrefix="0" xfId="0">
      <alignment horizontal="center"/>
    </xf>
    <xf numFmtId="0" fontId="11" fillId="7" borderId="2" applyAlignment="1" pivotButton="0" quotePrefix="0" xfId="0">
      <alignment horizontal="center"/>
    </xf>
    <xf numFmtId="0" fontId="11" fillId="8" borderId="2" applyAlignment="1" pivotButton="0" quotePrefix="0" xfId="0">
      <alignment horizontal="center"/>
    </xf>
    <xf numFmtId="0" fontId="11" fillId="9" borderId="2" applyAlignment="1" pivotButton="0" quotePrefix="0" xfId="0">
      <alignment horizontal="center"/>
    </xf>
    <xf numFmtId="0" fontId="4" fillId="11" borderId="2" pivotButton="0" quotePrefix="0" xfId="0"/>
    <xf numFmtId="3" fontId="8" fillId="11" borderId="2" pivotButton="0" quotePrefix="0" xfId="0"/>
    <xf numFmtId="165" fontId="4" fillId="11" borderId="2" pivotButton="0" quotePrefix="0" xfId="0"/>
    <xf numFmtId="166" fontId="4" fillId="11" borderId="2" pivotButton="0" quotePrefix="0" xfId="0"/>
    <xf numFmtId="167" fontId="4" fillId="11" borderId="2" pivotButton="0" quotePrefix="0" xfId="0"/>
    <xf numFmtId="10" fontId="4" fillId="11" borderId="2" pivotButton="0" quotePrefix="0" xfId="0"/>
    <xf numFmtId="0" fontId="0" fillId="11" borderId="0" pivotButton="0" quotePrefix="0" xfId="0"/>
    <xf numFmtId="0" fontId="3" fillId="0" borderId="0" pivotButton="0" quotePrefix="0" xfId="0"/>
    <xf numFmtId="0" fontId="5" fillId="0" borderId="2" pivotButton="0" quotePrefix="0" xfId="0"/>
    <xf numFmtId="3" fontId="13" fillId="0" borderId="2" pivotButton="0" quotePrefix="0" xfId="0"/>
    <xf numFmtId="165" fontId="5" fillId="0" borderId="2" pivotButton="0" quotePrefix="0" xfId="0"/>
    <xf numFmtId="166" fontId="5" fillId="0" borderId="2" pivotButton="0" quotePrefix="0" xfId="0"/>
    <xf numFmtId="167" fontId="5" fillId="0" borderId="2" pivotButton="0" quotePrefix="0" xfId="0"/>
    <xf numFmtId="10" fontId="5" fillId="0" borderId="2" pivotButton="0" quotePrefix="0" xfId="0"/>
    <xf numFmtId="0" fontId="4" fillId="0" borderId="2" pivotButton="0" quotePrefix="0" xfId="0"/>
    <xf numFmtId="3" fontId="8" fillId="0" borderId="2" pivotButton="0" quotePrefix="0" xfId="0"/>
    <xf numFmtId="165" fontId="4" fillId="0" borderId="2" pivotButton="0" quotePrefix="0" xfId="0"/>
    <xf numFmtId="166" fontId="4" fillId="0" borderId="2" pivotButton="0" quotePrefix="0" xfId="0"/>
    <xf numFmtId="167" fontId="4" fillId="0" borderId="2" pivotButton="0" quotePrefix="0" xfId="0"/>
    <xf numFmtId="10" fontId="4" fillId="0" borderId="2" pivotButton="0" quotePrefix="0" xfId="0"/>
    <xf numFmtId="0" fontId="0" fillId="11" borderId="2" pivotButton="0" quotePrefix="0" xfId="0"/>
    <xf numFmtId="0" fontId="14" fillId="0" borderId="0" pivotButton="0" quotePrefix="0" xfId="0"/>
    <xf numFmtId="0" fontId="11" fillId="3" borderId="2" applyAlignment="1" pivotButton="0" quotePrefix="0" xfId="0">
      <alignment horizontal="center" vertical="center" wrapText="1"/>
    </xf>
    <xf numFmtId="3" fontId="5" fillId="0" borderId="2" pivotButton="0" quotePrefix="0" xfId="0"/>
    <xf numFmtId="0" fontId="5" fillId="12" borderId="2" pivotButton="0" quotePrefix="0" xfId="0"/>
    <xf numFmtId="3" fontId="5" fillId="12" borderId="2" pivotButton="0" quotePrefix="0" xfId="0"/>
    <xf numFmtId="0" fontId="5" fillId="0" borderId="0" pivotButton="0" quotePrefix="0" xfId="0"/>
    <xf numFmtId="0" fontId="11" fillId="3" borderId="2" applyAlignment="1" pivotButton="0" quotePrefix="0" xfId="0">
      <alignment horizontal="left" vertical="center" wrapText="1"/>
    </xf>
    <xf numFmtId="0" fontId="11" fillId="4" borderId="2" applyAlignment="1" pivotButton="0" quotePrefix="0" xfId="0">
      <alignment horizontal="center" vertical="center"/>
    </xf>
    <xf numFmtId="0" fontId="0" fillId="4" borderId="2" pivotButton="0" quotePrefix="0" xfId="0"/>
    <xf numFmtId="0" fontId="11" fillId="5" borderId="2" applyAlignment="1" pivotButton="0" quotePrefix="0" xfId="0">
      <alignment horizontal="center" vertical="center"/>
    </xf>
    <xf numFmtId="0" fontId="0" fillId="5" borderId="2" pivotButton="0" quotePrefix="0" xfId="0"/>
    <xf numFmtId="0" fontId="11" fillId="4" borderId="2" applyAlignment="1" pivotButton="0" quotePrefix="0" xfId="0">
      <alignment horizontal="center"/>
    </xf>
    <xf numFmtId="0" fontId="11" fillId="5" borderId="2" applyAlignment="1" pivotButton="0" quotePrefix="0" xfId="0">
      <alignment horizontal="center"/>
    </xf>
    <xf numFmtId="3" fontId="6" fillId="11" borderId="2" pivotButton="0" quotePrefix="0" xfId="0"/>
    <xf numFmtId="164" fontId="4" fillId="11" borderId="2" pivotButton="0" quotePrefix="0" xfId="0"/>
    <xf numFmtId="3" fontId="12" fillId="0" borderId="2" pivotButton="0" quotePrefix="0" xfId="0"/>
    <xf numFmtId="164" fontId="5" fillId="0" borderId="2" pivotButton="0" quotePrefix="0" xfId="0"/>
    <xf numFmtId="3" fontId="12" fillId="2" borderId="2" pivotButton="0" quotePrefix="0" xfId="0"/>
    <xf numFmtId="0" fontId="11" fillId="6" borderId="2" applyAlignment="1" pivotButton="0" quotePrefix="0" xfId="0">
      <alignment horizontal="center" vertical="center" wrapText="1"/>
    </xf>
    <xf numFmtId="0" fontId="12" fillId="0" borderId="2" pivotButton="0" quotePrefix="0" xfId="0"/>
    <xf numFmtId="0" fontId="0" fillId="0" borderId="2" pivotButton="0" quotePrefix="0" xfId="0"/>
    <xf numFmtId="0" fontId="4" fillId="2" borderId="2" pivotButton="0" quotePrefix="0" xfId="0"/>
    <xf numFmtId="0" fontId="11" fillId="3" borderId="2" pivotButton="0" quotePrefix="0" xfId="0"/>
  </cellXfs>
  <cellStyles count="1">
    <cellStyle name="Normal" xfId="0" builtinId="0" hidden="0"/>
  </cellStyles>
  <dxfs count="4">
    <dxf>
      <fill>
        <patternFill patternType="solid">
          <bgColor rgb="00E2F0D9"/>
        </patternFill>
      </fill>
    </dxf>
    <dxf>
      <fill>
        <patternFill patternType="solid">
          <bgColor rgb="00FCE4E4"/>
        </patternFill>
      </fill>
    </dxf>
    <dxf>
      <fill>
        <patternFill patternType="solid">
          <bgColor rgb="00FF9999"/>
        </patternFill>
      </fill>
    </dxf>
    <dxf>
      <fill>
        <patternFill patternType="solid">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60"/>
  <sheetViews>
    <sheetView showGridLines="0" workbookViewId="0">
      <selection activeCell="A1" sqref="A1"/>
    </sheetView>
  </sheetViews>
  <sheetFormatPr baseColWidth="8" defaultRowHeight="15"/>
  <cols>
    <col width="3" customWidth="1" min="1" max="1"/>
    <col width="30" customWidth="1" min="2" max="2"/>
    <col width="108" customWidth="1" min="3" max="3"/>
  </cols>
  <sheetData>
    <row r="2">
      <c r="B2" s="1" t="inlineStr">
        <is>
          <t>Suntransfers — 1-23 August 2026 vs 1-23 August 2025 traffic &amp; conversion</t>
        </is>
      </c>
    </row>
    <row r="3">
      <c r="B3" s="2" t="inlineStr">
        <is>
          <t>Sessions · Searches · Purchases · Start Search · Visit→Search · Search→Booking · CR — by channel → landing page group → device → market</t>
        </is>
      </c>
    </row>
    <row r="5">
      <c r="B5" s="3" t="inlineStr">
        <is>
          <t>STATUS</t>
        </is>
      </c>
      <c r="C5" s="4" t="n"/>
    </row>
    <row r="6" ht="28" customHeight="1">
      <c r="B6" s="5" t="inlineStr">
        <is>
          <t>Loaded</t>
        </is>
      </c>
      <c r="C6" s="6" t="inlineStr">
        <is>
          <t>Complete on all seven volume inputs: Sessions, Start Search, Searches, Select item, Add to cart, Begin checkout and Purchases, both years. Every YoY and rate cell calculates at scorecard level.</t>
        </is>
      </c>
    </row>
    <row r="7" ht="28" customHeight="1">
      <c r="B7" s="5" t="inlineStr">
        <is>
          <t>Remaining</t>
        </is>
      </c>
      <c r="C7" s="6" t="inlineStr">
        <is>
          <t>Country-level blanks only, where a market sits outside a Looker table's visible rows. All listed on 'Gaps to fill'.</t>
        </is>
      </c>
    </row>
    <row r="9">
      <c r="B9" s="3" t="inlineStr">
        <is>
          <t>METRIC DEFINITIONS</t>
        </is>
      </c>
      <c r="C9" s="4" t="n"/>
    </row>
    <row r="10" ht="14" customHeight="1">
      <c r="B10" s="5" t="inlineStr">
        <is>
          <t>Sessions</t>
        </is>
      </c>
      <c r="C10" s="6" t="inlineStr">
        <is>
          <t>GA4 sessions, as reported by the Looker scorecards.</t>
        </is>
      </c>
    </row>
    <row r="11" ht="28" customHeight="1">
      <c r="B11" s="5" t="inlineStr">
        <is>
          <t>Searches</t>
        </is>
      </c>
      <c r="C11" s="6" t="inlineStr">
        <is>
          <t>The 'Searches' tile — sessions that reached a listing view. The SR / visit-to-search numerator, not start_search.</t>
        </is>
      </c>
    </row>
    <row r="12" ht="14" customHeight="1">
      <c r="B12" s="5" t="inlineStr">
        <is>
          <t>Purchases</t>
        </is>
      </c>
      <c r="C12" s="6" t="inlineStr">
        <is>
          <t>Completed bookings (the 'Purchases' tile).</t>
        </is>
      </c>
    </row>
    <row r="13" ht="28" customHeight="1">
      <c r="B13" s="5" t="inlineStr">
        <is>
          <t>Start Search</t>
        </is>
      </c>
      <c r="C13" s="6" t="inlineStr">
        <is>
          <t>The start_search event — an engagement signal (the search form was actually used), tracked separately from 'Searches' (which is the view_item_list-based visit-to-search numerator). Shown as its own volume metric on Totals, Countries, L1-L4 and Market Summary so you can read engagement by channel / landing page / device / country; it does not feed Visit→Search, Search→Booking or CR, and is not on the Funnel tab.</t>
        </is>
      </c>
    </row>
    <row r="14" ht="14" customHeight="1">
      <c r="B14" s="5" t="inlineStr">
        <is>
          <t>Select item</t>
        </is>
      </c>
      <c r="C14" s="6" t="inlineStr">
        <is>
          <t>The select_item event — a listing result was opened. First step after the listing view.</t>
        </is>
      </c>
    </row>
    <row r="15" ht="14" customHeight="1">
      <c r="B15" s="5" t="inlineStr">
        <is>
          <t>Add to cart</t>
        </is>
      </c>
      <c r="C15" s="6" t="inlineStr">
        <is>
          <t>The add_to_cart event — a transfer was put in the basket.</t>
        </is>
      </c>
    </row>
    <row r="16" ht="14" customHeight="1">
      <c r="B16" s="5" t="inlineStr">
        <is>
          <t>Begin checkout</t>
        </is>
      </c>
      <c r="C16" s="6" t="inlineStr">
        <is>
          <t>The begin_checkout event — the checkout flow was entered.</t>
        </is>
      </c>
    </row>
    <row r="17" ht="14" customHeight="1">
      <c r="B17" s="5" t="inlineStr">
        <is>
          <t>Visit→Search</t>
        </is>
      </c>
      <c r="C17" s="6" t="inlineStr">
        <is>
          <t>Searches ÷ Sessions. How many arrivals get as far as a listing.</t>
        </is>
      </c>
    </row>
    <row r="18" ht="14" customHeight="1">
      <c r="B18" s="5" t="inlineStr">
        <is>
          <t>Search→Select</t>
        </is>
      </c>
      <c r="C18" s="6" t="inlineStr">
        <is>
          <t>Select item ÷ Searches. How many listing-viewers open a result.</t>
        </is>
      </c>
    </row>
    <row r="19" ht="14" customHeight="1">
      <c r="B19" s="5" t="inlineStr">
        <is>
          <t>Select→Cart</t>
        </is>
      </c>
      <c r="C19" s="6" t="inlineStr">
        <is>
          <t>Add to cart ÷ Select item. How many openers add to the basket.</t>
        </is>
      </c>
    </row>
    <row r="20" ht="14" customHeight="1">
      <c r="B20" s="5" t="inlineStr">
        <is>
          <t>Cart→Checkout</t>
        </is>
      </c>
      <c r="C20" s="6" t="inlineStr">
        <is>
          <t>Begin checkout ÷ Add to cart. How many baskets enter checkout.</t>
        </is>
      </c>
    </row>
    <row r="21" ht="14" customHeight="1">
      <c r="B21" s="5" t="inlineStr">
        <is>
          <t>Checkout→Purchase</t>
        </is>
      </c>
      <c r="C21" s="6" t="inlineStr">
        <is>
          <t>Purchases ÷ Begin checkout. How many checkouts complete. The step where payment friction shows up.</t>
        </is>
      </c>
    </row>
    <row r="22" ht="14" customHeight="1">
      <c r="B22" s="5" t="inlineStr">
        <is>
          <t>Search→Booking</t>
        </is>
      </c>
      <c r="C22" s="6" t="inlineStr">
        <is>
          <t>Purchases ÷ Searches. How many listing-viewers book. The S2B in the weekly readouts.</t>
        </is>
      </c>
    </row>
    <row r="23" ht="14" customHeight="1">
      <c r="B23" s="5" t="inlineStr">
        <is>
          <t>CR</t>
        </is>
      </c>
      <c r="C23" s="6" t="inlineStr">
        <is>
          <t>Purchases ÷ Sessions. The end-to-end conversion rate, and the product of the two rates above.</t>
        </is>
      </c>
    </row>
    <row r="25">
      <c r="B25" s="3" t="inlineStr">
        <is>
          <t>HOW IT IS BUILT</t>
        </is>
      </c>
      <c r="C25" s="4" t="n"/>
    </row>
    <row r="26" ht="14" customHeight="1">
      <c r="B26" s="5" t="inlineStr">
        <is>
          <t>Inputs</t>
        </is>
      </c>
      <c r="C26" s="6" t="inlineStr">
        <is>
          <t>Two tabs hold every number: 'Totals' (scorecard) and 'Countries' (country detail). Nothing else is typed.</t>
        </is>
      </c>
    </row>
    <row r="27" ht="14" customHeight="1">
      <c r="B27" s="5" t="inlineStr">
        <is>
          <t>Views</t>
        </is>
      </c>
      <c r="C27" s="6" t="inlineStr">
        <is>
          <t>L1 → L4 and 'Market Summary' are formulas only. Do not type in them.</t>
        </is>
      </c>
    </row>
    <row r="28" ht="28" customHeight="1">
      <c r="B28" s="5" t="inlineStr">
        <is>
          <t>Row / column logic</t>
        </is>
      </c>
      <c r="C28" s="6" t="inlineStr">
        <is>
          <t>Dimensions go down the rows; metrics go across in blocks. Volumes take four columns (1-23Aug26, 1-23Aug25, Δ, % Δ), rates take three (1-23Aug26, 1-23Aug25, Δ pp). Adding a KPI is one more block, not a new tab.</t>
        </is>
      </c>
    </row>
    <row r="29" ht="28" customHeight="1">
      <c r="B29" s="5" t="inlineStr">
        <is>
          <t>To refresh a new month</t>
        </is>
      </c>
      <c r="C29" s="6" t="inlineStr">
        <is>
          <t>Overwrite the blue numbers on 'Totals' and 'Countries' (or regenerate them from new screenshots), update config.py's period labels, and rebuild.</t>
        </is>
      </c>
    </row>
    <row r="31">
      <c r="B31" s="3" t="inlineStr">
        <is>
          <t>CELL COLOUR LEGEND</t>
        </is>
      </c>
      <c r="C31" s="4" t="n"/>
    </row>
    <row r="32" ht="14" customHeight="1">
      <c r="B32" s="7" t="inlineStr">
        <is>
          <t>Blue text</t>
        </is>
      </c>
      <c r="C32" s="6" t="inlineStr">
        <is>
          <t>Hard-coded input read off the Looker screenshots. The only cells to overwrite when refreshing.</t>
        </is>
      </c>
    </row>
    <row r="33" ht="14" customHeight="1">
      <c r="B33" s="8" t="inlineStr">
        <is>
          <t>Black text</t>
        </is>
      </c>
      <c r="C33" s="6" t="inlineStr">
        <is>
          <t>Formula calculated within the same tab.</t>
        </is>
      </c>
    </row>
    <row r="34" ht="14" customHeight="1">
      <c r="B34" s="9" t="inlineStr">
        <is>
          <t>Green text</t>
        </is>
      </c>
      <c r="C34" s="6" t="inlineStr">
        <is>
          <t>Formula pulling from another tab (Totals or Countries).</t>
        </is>
      </c>
    </row>
    <row r="35" ht="28" customHeight="1">
      <c r="B35" s="10" t="inlineStr">
        <is>
          <t>Yellow fill</t>
        </is>
      </c>
      <c r="C35" s="6" t="inlineStr">
        <is>
          <t>Fill this in. On the input tabs it is a missing number — see 'Gaps to fill'. On 'L4 Market view' it is a dropdown control.</t>
        </is>
      </c>
    </row>
    <row r="37">
      <c r="B37" s="3" t="inlineStr">
        <is>
          <t>TABS</t>
        </is>
      </c>
      <c r="C37" s="4" t="n"/>
    </row>
    <row r="38" ht="28" customHeight="1">
      <c r="B38" s="5" t="inlineStr">
        <is>
          <t>Funnel</t>
        </is>
      </c>
      <c r="C38" s="6" t="inlineStr">
        <is>
          <t>READ THIS FIRST. Sessions → Searches → Bookings and the three rates, for the total, each channel, each landing page group, each device, each market, each market within the Direct channel, and each market within each channel on Desktop only. One row per segment. (Start Search is not on this tab — see Countries, L1-L4 and Market Summary.)</t>
        </is>
      </c>
    </row>
    <row r="39" ht="28" customHeight="1">
      <c r="B39" s="5" t="inlineStr">
        <is>
          <t>Totals</t>
        </is>
      </c>
      <c r="C39" s="6" t="inlineStr">
        <is>
          <t>INPUT. Scorecard: landing page group × channel × device, all four volume metrics (Sessions, Searches, Purchases, Start Search). 'Other pages (derived)' = All − Home − Airport − Route.</t>
        </is>
      </c>
    </row>
    <row r="40" ht="14" customHeight="1">
      <c r="B40" s="5" t="inlineStr">
        <is>
          <t>Countries</t>
        </is>
      </c>
      <c r="C40" s="6" t="inlineStr">
        <is>
          <t>INPUT. Country detail as shown in the Looker tables, including Start Search engagement sessions.</t>
        </is>
      </c>
    </row>
    <row r="41" ht="28" customHeight="1">
      <c r="B41" s="5" t="inlineStr">
        <is>
          <t>Gaps to fill</t>
        </is>
      </c>
      <c r="C41" s="6" t="inlineStr">
        <is>
          <t>Worklist of every yellow cell: which market, which metric, which period, the exact cell to type into, and what it unblocks.</t>
        </is>
      </c>
    </row>
    <row r="42" ht="14" customHeight="1">
      <c r="B42" s="5" t="inlineStr">
        <is>
          <t>L1 Channel YoY</t>
        </is>
      </c>
      <c r="C42" s="6" t="inlineStr">
        <is>
          <t>Level 1 — channel × device, all landing pages, plus channel mix.</t>
        </is>
      </c>
    </row>
    <row r="43" ht="14" customHeight="1">
      <c r="B43" s="5" t="inlineStr">
        <is>
          <t>L2 Channel x Landing</t>
        </is>
      </c>
      <c r="C43" s="6" t="inlineStr">
        <is>
          <t>Level 2 — landing page group × channel, device = Total.</t>
        </is>
      </c>
    </row>
    <row r="44" ht="14" customHeight="1">
      <c r="B44" s="5" t="inlineStr">
        <is>
          <t>L3 Ch x Landing x Device</t>
        </is>
      </c>
      <c r="C44" s="6" t="inlineStr">
        <is>
          <t>Level 3 — landing page group × channel × device.</t>
        </is>
      </c>
    </row>
    <row r="45" ht="14" customHeight="1">
      <c r="B45" s="5" t="inlineStr">
        <is>
          <t>L4 Market view</t>
        </is>
      </c>
      <c r="C45" s="6" t="inlineStr">
        <is>
          <t>Level 4 — country rows, with dropdowns for landing page group, channel and device.</t>
        </is>
      </c>
    </row>
    <row r="46" ht="28" customHeight="1">
      <c r="B46" s="5" t="inlineStr">
        <is>
          <t>Market Summary</t>
        </is>
      </c>
      <c r="C46" s="6" t="inlineStr">
        <is>
          <t>Country × channel across all landing pages: one stacked table per metric/rate (Sessions, Searches, Purchases, Start Search, Visit→Search, Search→Booking, CR).</t>
        </is>
      </c>
    </row>
    <row r="48">
      <c r="B48" s="3" t="inlineStr">
        <is>
          <t>DATA SOURCE</t>
        </is>
      </c>
      <c r="C48" s="4" t="n"/>
    </row>
    <row r="49" ht="28" customHeight="1">
      <c r="B49" s="5" t="inlineStr">
        <is>
          <t>Report</t>
        </is>
      </c>
      <c r="C49" s="6" t="inlineStr">
        <is>
          <t>Looker Studio sessions / searches / purchases views. 1-23 August 2026 refreshed 28/08/2026 09:44; 1-23 August 2025 refreshed 28/08/2026 09:44.</t>
        </is>
      </c>
    </row>
    <row r="50" ht="28" customHeight="1">
      <c r="B50" s="5" t="inlineStr">
        <is>
          <t>Periods</t>
        </is>
      </c>
      <c r="C50" s="6" t="inlineStr">
        <is>
          <t>The full month of 1-23 August 2026 vs the full month of 1-23 August 2025. Channels: Paid Search, Organic, Direct. Other channels (affiliate, referral, email) are not in these views, which is why totals here sit below the all-traffic figures.</t>
        </is>
      </c>
    </row>
    <row r="52">
      <c r="B52" s="3" t="inlineStr">
        <is>
          <t>READ THESE BEFORE QUOTING A NUMBER</t>
        </is>
      </c>
      <c r="C52" s="4" t="n"/>
    </row>
    <row r="53" ht="28" customHeight="1">
      <c r="B53" s="5" t="inlineStr">
        <is>
          <t>Country coverage</t>
        </is>
      </c>
      <c r="C53" s="6" t="inlineStr">
        <is>
          <t>Only the visible top rows of each Looker table are captured (10 rows, 9 for Direct). The full tables run far deeper depending on the cut, so country rows do NOT sum to the scorecard. Every market tab prints its coverage %.</t>
        </is>
      </c>
    </row>
    <row r="54" ht="28" customHeight="1">
      <c r="B54" s="5" t="inlineStr">
        <is>
          <t>Missing-market blanks</t>
        </is>
      </c>
      <c r="C54" s="6" t="inlineStr">
        <is>
          <t>A blank cell means that market was not in that table's visible rows — it is NOT a zero. Δ, % Δ and every rate stay blank when an input is missing, so no false −100% appears.</t>
        </is>
      </c>
    </row>
    <row r="55" ht="28" customHeight="1">
      <c r="B55" s="5" t="inlineStr">
        <is>
          <t>Comparability flag</t>
        </is>
      </c>
      <c r="C55" s="6" t="inlineStr">
        <is>
          <t>Market rows are flagged 'Like-for-like' or 'Partial — coverage differs'. Partial means the market is visible in a different number of tables in each year, so its YoY % is distorted. Directional only, not a real percentage.</t>
        </is>
      </c>
    </row>
    <row r="56" ht="28" customHeight="1">
      <c r="B56" s="5" t="inlineStr">
        <is>
          <t>Matched coverage on rates</t>
        </is>
      </c>
      <c r="C56" s="6" t="inlineStr">
        <is>
          <t>Every country-level rate counts a channel/device only where BOTH numerator and denominator exist. Without it a market visible in one table but not another pushes the rate over 100%. Scorecard rates on L1/L2/L3 are unaffected.</t>
        </is>
      </c>
    </row>
    <row r="57" ht="28" customHeight="1">
      <c r="B57" s="5" t="inlineStr">
        <is>
          <t>Direct channel</t>
        </is>
      </c>
      <c r="C57" s="6" t="inlineStr">
        <is>
          <t>Direct's desktop searches have shown bursts of growth that outrun its sessions in past pulls, a signature of bot or scraper traffic rather than real customers. Check Direct desktop's Visit→Search rate against last period before treating its search→booking rate as a benchmark — see the 'By market x channel — Desktop only' section on the Funnel tab.</t>
        </is>
      </c>
    </row>
    <row r="58" ht="14" customHeight="1">
      <c r="B58" s="5" t="inlineStr">
        <is>
          <t>Device residual</t>
        </is>
      </c>
      <c r="C58" s="6" t="inlineStr">
        <is>
          <t>Mobile + Desktop does not equal Total; the difference is tablet and unassigned. The Total row is authoritative.</t>
        </is>
      </c>
    </row>
    <row r="59" ht="14" customHeight="1">
      <c r="B59" s="5" t="inlineStr">
        <is>
          <t>Landing page groups</t>
        </is>
      </c>
      <c r="C59" s="6" t="inlineStr">
        <is>
          <t>Home + Airport + Route do not cover all traffic. The remainder is 'Other pages (derived)'.</t>
        </is>
      </c>
    </row>
    <row r="60" ht="28" customHeight="1">
      <c r="B60" s="5" t="inlineStr">
        <is>
          <t>Derived-residual warning</t>
        </is>
      </c>
      <c r="C60" s="6" t="inlineStr">
        <is>
          <t>The three named landing groups do not attribute identically across the sessions, searches and purchases views, so the derived residual can be nonsense (an implausible search→booking rate, for example). Any rate cell shaded red is above 100% and cannot be real — read the named landing groups, not the residual, for rates.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17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11" t="inlineStr">
        <is>
          <t>Funnel at a glance — 1-23 August 2026 vs 1-23 August 2025</t>
        </is>
      </c>
    </row>
    <row r="2">
      <c r="A2" s="12" t="inlineStr">
        <is>
          <t>Sessions → Searches → Bookings, then the three rates. Paid Search + Organic + Direct only. Source: Totals and Countries tabs.</t>
        </is>
      </c>
    </row>
    <row r="4" ht="18" customHeight="1">
      <c r="A4" s="13" t="inlineStr">
        <is>
          <t>Segment</t>
        </is>
      </c>
      <c r="B4" s="13" t="inlineStr">
        <is>
          <t>Split</t>
        </is>
      </c>
      <c r="C4" s="14" t="inlineStr">
        <is>
          <t>Sessions</t>
        </is>
      </c>
      <c r="D4" s="15" t="n"/>
      <c r="E4" s="15" t="n"/>
      <c r="F4" s="16" t="inlineStr">
        <is>
          <t>Searches</t>
        </is>
      </c>
      <c r="G4" s="17" t="n"/>
      <c r="H4" s="17" t="n"/>
      <c r="I4" s="18" t="inlineStr">
        <is>
          <t>Bookings</t>
        </is>
      </c>
      <c r="J4" s="19" t="n"/>
      <c r="K4" s="19" t="n"/>
      <c r="L4" s="20" t="inlineStr">
        <is>
          <t>Visit→Search</t>
        </is>
      </c>
      <c r="M4" s="21" t="n"/>
      <c r="N4" s="21" t="n"/>
      <c r="O4" s="22" t="inlineStr">
        <is>
          <t>Search→Booking</t>
        </is>
      </c>
      <c r="P4" s="23" t="n"/>
      <c r="Q4" s="23" t="n"/>
      <c r="R4" s="24" t="inlineStr">
        <is>
          <t>CR</t>
        </is>
      </c>
      <c r="S4" s="25" t="n"/>
      <c r="T4" s="25" t="n"/>
    </row>
    <row r="5">
      <c r="A5" s="15" t="n"/>
      <c r="B5" s="15" t="n"/>
      <c r="C5" s="26" t="inlineStr">
        <is>
          <t>1-23Aug25</t>
        </is>
      </c>
      <c r="D5" s="26" t="inlineStr">
        <is>
          <t>1-23Aug26</t>
        </is>
      </c>
      <c r="E5" s="26" t="inlineStr">
        <is>
          <t>% Δ</t>
        </is>
      </c>
      <c r="F5" s="27" t="inlineStr">
        <is>
          <t>1-23Aug25</t>
        </is>
      </c>
      <c r="G5" s="27" t="inlineStr">
        <is>
          <t>1-23Aug26</t>
        </is>
      </c>
      <c r="H5" s="27" t="inlineStr">
        <is>
          <t>% Δ</t>
        </is>
      </c>
      <c r="I5" s="28" t="inlineStr">
        <is>
          <t>1-23Aug25</t>
        </is>
      </c>
      <c r="J5" s="28" t="inlineStr">
        <is>
          <t>1-23Aug26</t>
        </is>
      </c>
      <c r="K5" s="28" t="inlineStr">
        <is>
          <t>% Δ</t>
        </is>
      </c>
      <c r="L5" s="29" t="inlineStr">
        <is>
          <t>1-23Aug25</t>
        </is>
      </c>
      <c r="M5" s="29" t="inlineStr">
        <is>
          <t>1-23Aug26</t>
        </is>
      </c>
      <c r="N5" s="29" t="inlineStr">
        <is>
          <t>Δ pp</t>
        </is>
      </c>
      <c r="O5" s="30" t="inlineStr">
        <is>
          <t>1-23Aug25</t>
        </is>
      </c>
      <c r="P5" s="30" t="inlineStr">
        <is>
          <t>1-23Aug26</t>
        </is>
      </c>
      <c r="Q5" s="30" t="inlineStr">
        <is>
          <t>Δ pp</t>
        </is>
      </c>
      <c r="R5" s="31" t="inlineStr">
        <is>
          <t>1-23Aug25</t>
        </is>
      </c>
      <c r="S5" s="31" t="inlineStr">
        <is>
          <t>1-23Aug26</t>
        </is>
      </c>
      <c r="T5" s="31" t="inlineStr">
        <is>
          <t>Δ pp</t>
        </is>
      </c>
    </row>
    <row r="6">
      <c r="A6" s="32" t="inlineStr">
        <is>
          <t>TOTAL — 3 channels</t>
        </is>
      </c>
      <c r="B6" s="32" t="inlineStr">
        <is>
          <t>All</t>
        </is>
      </c>
      <c r="C6" s="33">
        <f>SUMIFS(Totals!$D$5:$D$49,Totals!$A$5:$A$49,"All landing pages",Totals!$B$5:$B$49,"Paid Search",Totals!$C$5:$C$49,"Total")+SUMIFS(Totals!$D$5:$D$49,Totals!$A$5:$A$49,"All landing pages",Totals!$B$5:$B$49,"Organic",Totals!$C$5:$C$49,"Total")+SUMIFS(Totals!$D$5:$D$49,Totals!$A$5:$A$49,"All landing pages",Totals!$B$5:$B$49,"Direct",Totals!$C$5:$C$49,"Total")</f>
        <v/>
      </c>
      <c r="D6" s="33">
        <f>SUMIFS(Totals!$E$5:$E$49,Totals!$A$5:$A$49,"All landing pages",Totals!$B$5:$B$49,"Paid Search",Totals!$C$5:$C$49,"Total")+SUMIFS(Totals!$E$5:$E$49,Totals!$A$5:$A$49,"All landing pages",Totals!$B$5:$B$49,"Organic",Totals!$C$5:$C$49,"Total")+SUMIFS(Totals!$E$5:$E$49,Totals!$A$5:$A$49,"All landing pages",Totals!$B$5:$B$49,"Direct",Totals!$C$5:$C$49,"Total")</f>
        <v/>
      </c>
      <c r="E6" s="34">
        <f>IF(OR(C6="",D6="",D6=0,C6=0),"",D6/C6-1)</f>
        <v/>
      </c>
      <c r="F6" s="33">
        <f>SUMIFS(Totals!$O$5:$O$49,Totals!$A$5:$A$49,"All landing pages",Totals!$B$5:$B$49,"Paid Search",Totals!$C$5:$C$49,"Total")+SUMIFS(Totals!$O$5:$O$49,Totals!$A$5:$A$49,"All landing pages",Totals!$B$5:$B$49,"Organic",Totals!$C$5:$C$49,"Total")+SUMIFS(Totals!$O$5:$O$49,Totals!$A$5:$A$49,"All landing pages",Totals!$B$5:$B$49,"Direct",Totals!$C$5:$C$49,"Total")</f>
        <v/>
      </c>
      <c r="G6" s="33">
        <f>SUMIFS(Totals!$P$5:$P$49,Totals!$A$5:$A$49,"All landing pages",Totals!$B$5:$B$49,"Paid Search",Totals!$C$5:$C$49,"Total")+SUMIFS(Totals!$P$5:$P$49,Totals!$A$5:$A$49,"All landing pages",Totals!$B$5:$B$49,"Organic",Totals!$C$5:$C$49,"Total")+SUMIFS(Totals!$P$5:$P$49,Totals!$A$5:$A$49,"All landing pages",Totals!$B$5:$B$49,"Direct",Totals!$C$5:$C$49,"Total")</f>
        <v/>
      </c>
      <c r="H6" s="34">
        <f>IF(OR(F6="",G6="",G6=0,F6=0),"",G6/F6-1)</f>
        <v/>
      </c>
      <c r="I6" s="33">
        <f>SUMIFS(Totals!$AQ$5:$AQ$49,Totals!$A$5:$A$49,"All landing pages",Totals!$B$5:$B$49,"Paid Search",Totals!$C$5:$C$49,"Total")+SUMIFS(Totals!$AQ$5:$AQ$49,Totals!$A$5:$A$49,"All landing pages",Totals!$B$5:$B$49,"Organic",Totals!$C$5:$C$49,"Total")+SUMIFS(Totals!$AQ$5:$AQ$49,Totals!$A$5:$A$49,"All landing pages",Totals!$B$5:$B$49,"Direct",Totals!$C$5:$C$49,"Total")</f>
        <v/>
      </c>
      <c r="J6" s="33">
        <f>SUMIFS(Totals!$AR$5:$AR$49,Totals!$A$5:$A$49,"All landing pages",Totals!$B$5:$B$49,"Paid Search",Totals!$C$5:$C$49,"Total")+SUMIFS(Totals!$AR$5:$AR$49,Totals!$A$5:$A$49,"All landing pages",Totals!$B$5:$B$49,"Organic",Totals!$C$5:$C$49,"Total")+SUMIFS(Totals!$AR$5:$AR$49,Totals!$A$5:$A$49,"All landing pages",Totals!$B$5:$B$49,"Direct",Totals!$C$5:$C$49,"Total")</f>
        <v/>
      </c>
      <c r="K6" s="34">
        <f>IF(OR(I6="",J6="",J6=0,I6=0),"",J6/I6-1)</f>
        <v/>
      </c>
      <c r="L6" s="35">
        <f>IF(OR(F6="",C6="",C6=0),"",F6/C6)</f>
        <v/>
      </c>
      <c r="M6" s="35">
        <f>IF(OR(G6="",D6="",D6=0),"",G6/D6)</f>
        <v/>
      </c>
      <c r="N6" s="36">
        <f>IF(OR(L6="",M6=""),"",(M6-L6)*100)</f>
        <v/>
      </c>
      <c r="O6" s="37">
        <f>IF(OR(I6="",F6="",F6=0),"",I6/F6)</f>
        <v/>
      </c>
      <c r="P6" s="37">
        <f>IF(OR(J6="",G6="",G6=0),"",J6/G6)</f>
        <v/>
      </c>
      <c r="Q6" s="36">
        <f>IF(OR(O6="",P6=""),"",(P6-O6)*100)</f>
        <v/>
      </c>
      <c r="R6" s="37">
        <f>IF(OR(I6="",C6="",C6=0),"",I6/C6)</f>
        <v/>
      </c>
      <c r="S6" s="37">
        <f>IF(OR(J6="",D6="",D6=0),"",J6/D6)</f>
        <v/>
      </c>
      <c r="T6" s="36">
        <f>IF(OR(R6="",S6=""),"",(S6-R6)*100)</f>
        <v/>
      </c>
      <c r="U6" s="38" t="n"/>
      <c r="V6" s="38" t="n"/>
      <c r="W6" s="38" t="n"/>
      <c r="X6" s="38" t="n"/>
      <c r="Y6" s="38" t="n"/>
      <c r="Z6" s="38" t="n"/>
      <c r="AA6" s="38" t="n"/>
      <c r="AB6" s="38" t="n"/>
      <c r="AC6" s="38" t="n"/>
      <c r="AD6" s="38" t="n"/>
      <c r="AE6" s="38" t="n"/>
      <c r="AF6" s="38" t="n"/>
      <c r="AG6" s="38" t="n"/>
      <c r="AH6" s="38" t="n"/>
      <c r="AI6" s="38" t="n"/>
      <c r="AJ6" s="38" t="n"/>
      <c r="AK6" s="38" t="n"/>
      <c r="AL6" s="38" t="n"/>
      <c r="AM6" s="38" t="n"/>
      <c r="AN6" s="38" t="n"/>
      <c r="AO6" s="38" t="n"/>
      <c r="AP6" s="38" t="n"/>
      <c r="AQ6" s="38" t="n"/>
      <c r="AR6" s="38" t="n"/>
      <c r="AS6" s="38" t="n"/>
      <c r="AT6" s="38" t="n"/>
      <c r="AU6" s="38" t="n"/>
      <c r="AV6" s="38" t="n"/>
      <c r="AW6" s="38" t="n"/>
      <c r="AX6" s="38" t="n"/>
      <c r="AY6" s="38" t="n"/>
      <c r="AZ6" s="38" t="n"/>
      <c r="BA6" s="38" t="n"/>
      <c r="BB6" s="38" t="n"/>
    </row>
    <row r="8">
      <c r="A8" s="39" t="inlineStr">
        <is>
          <t>By channel  (all landing pages, all devices)</t>
        </is>
      </c>
    </row>
    <row r="9">
      <c r="A9" s="40" t="inlineStr">
        <is>
          <t>Paid Search</t>
        </is>
      </c>
      <c r="B9" s="40" t="inlineStr">
        <is>
          <t>Total</t>
        </is>
      </c>
      <c r="C9" s="41">
        <f>SUMIFS(Totals!$D$5:$D$49,Totals!$A$5:$A$49,"All landing pages",Totals!$B$5:$B$49,"Paid Search",Totals!$C$5:$C$49,"Total")</f>
        <v/>
      </c>
      <c r="D9" s="41">
        <f>SUMIFS(Totals!$E$5:$E$49,Totals!$A$5:$A$49,"All landing pages",Totals!$B$5:$B$49,"Paid Search",Totals!$C$5:$C$49,"Total")</f>
        <v/>
      </c>
      <c r="E9" s="42">
        <f>IF(OR(C9="",D9="",D9=0,C9=0),"",D9/C9-1)</f>
        <v/>
      </c>
      <c r="F9" s="41">
        <f>SUMIFS(Totals!$O$5:$O$49,Totals!$A$5:$A$49,"All landing pages",Totals!$B$5:$B$49,"Paid Search",Totals!$C$5:$C$49,"Total")</f>
        <v/>
      </c>
      <c r="G9" s="41">
        <f>SUMIFS(Totals!$P$5:$P$49,Totals!$A$5:$A$49,"All landing pages",Totals!$B$5:$B$49,"Paid Search",Totals!$C$5:$C$49,"Total")</f>
        <v/>
      </c>
      <c r="H9" s="42">
        <f>IF(OR(F9="",G9="",G9=0,F9=0),"",G9/F9-1)</f>
        <v/>
      </c>
      <c r="I9" s="41">
        <f>SUMIFS(Totals!$AQ$5:$AQ$49,Totals!$A$5:$A$49,"All landing pages",Totals!$B$5:$B$49,"Paid Search",Totals!$C$5:$C$49,"Total")</f>
        <v/>
      </c>
      <c r="J9" s="41">
        <f>SUMIFS(Totals!$AR$5:$AR$49,Totals!$A$5:$A$49,"All landing pages",Totals!$B$5:$B$49,"Paid Search",Totals!$C$5:$C$49,"Total")</f>
        <v/>
      </c>
      <c r="K9" s="42">
        <f>IF(OR(I9="",J9="",J9=0,I9=0),"",J9/I9-1)</f>
        <v/>
      </c>
      <c r="L9" s="43">
        <f>IF(OR(F9="",C9="",C9=0),"",F9/C9)</f>
        <v/>
      </c>
      <c r="M9" s="43">
        <f>IF(OR(G9="",D9="",D9=0),"",G9/D9)</f>
        <v/>
      </c>
      <c r="N9" s="44">
        <f>IF(OR(L9="",M9=""),"",(M9-L9)*100)</f>
        <v/>
      </c>
      <c r="O9" s="45">
        <f>IF(OR(I9="",F9="",F9=0),"",I9/F9)</f>
        <v/>
      </c>
      <c r="P9" s="45">
        <f>IF(OR(J9="",G9="",G9=0),"",J9/G9)</f>
        <v/>
      </c>
      <c r="Q9" s="44">
        <f>IF(OR(O9="",P9=""),"",(P9-O9)*100)</f>
        <v/>
      </c>
      <c r="R9" s="45">
        <f>IF(OR(I9="",C9="",C9=0),"",I9/C9)</f>
        <v/>
      </c>
      <c r="S9" s="45">
        <f>IF(OR(J9="",D9="",D9=0),"",J9/D9)</f>
        <v/>
      </c>
      <c r="T9" s="44">
        <f>IF(OR(R9="",S9=""),"",(S9-R9)*100)</f>
        <v/>
      </c>
    </row>
    <row r="10">
      <c r="A10" s="40" t="inlineStr">
        <is>
          <t>Organic</t>
        </is>
      </c>
      <c r="B10" s="40" t="inlineStr">
        <is>
          <t>Total</t>
        </is>
      </c>
      <c r="C10" s="41">
        <f>SUMIFS(Totals!$D$5:$D$49,Totals!$A$5:$A$49,"All landing pages",Totals!$B$5:$B$49,"Organic",Totals!$C$5:$C$49,"Total")</f>
        <v/>
      </c>
      <c r="D10" s="41">
        <f>SUMIFS(Totals!$E$5:$E$49,Totals!$A$5:$A$49,"All landing pages",Totals!$B$5:$B$49,"Organic",Totals!$C$5:$C$49,"Total")</f>
        <v/>
      </c>
      <c r="E10" s="42">
        <f>IF(OR(C10="",D10="",D10=0,C10=0),"",D10/C10-1)</f>
        <v/>
      </c>
      <c r="F10" s="41">
        <f>SUMIFS(Totals!$O$5:$O$49,Totals!$A$5:$A$49,"All landing pages",Totals!$B$5:$B$49,"Organic",Totals!$C$5:$C$49,"Total")</f>
        <v/>
      </c>
      <c r="G10" s="41">
        <f>SUMIFS(Totals!$P$5:$P$49,Totals!$A$5:$A$49,"All landing pages",Totals!$B$5:$B$49,"Organic",Totals!$C$5:$C$49,"Total")</f>
        <v/>
      </c>
      <c r="H10" s="42">
        <f>IF(OR(F10="",G10="",G10=0,F10=0),"",G10/F10-1)</f>
        <v/>
      </c>
      <c r="I10" s="41">
        <f>SUMIFS(Totals!$AQ$5:$AQ$49,Totals!$A$5:$A$49,"All landing pages",Totals!$B$5:$B$49,"Organic",Totals!$C$5:$C$49,"Total")</f>
        <v/>
      </c>
      <c r="J10" s="41">
        <f>SUMIFS(Totals!$AR$5:$AR$49,Totals!$A$5:$A$49,"All landing pages",Totals!$B$5:$B$49,"Organic",Totals!$C$5:$C$49,"Total")</f>
        <v/>
      </c>
      <c r="K10" s="42">
        <f>IF(OR(I10="",J10="",J10=0,I10=0),"",J10/I10-1)</f>
        <v/>
      </c>
      <c r="L10" s="43">
        <f>IF(OR(F10="",C10="",C10=0),"",F10/C10)</f>
        <v/>
      </c>
      <c r="M10" s="43">
        <f>IF(OR(G10="",D10="",D10=0),"",G10/D10)</f>
        <v/>
      </c>
      <c r="N10" s="44">
        <f>IF(OR(L10="",M10=""),"",(M10-L10)*100)</f>
        <v/>
      </c>
      <c r="O10" s="45">
        <f>IF(OR(I10="",F10="",F10=0),"",I10/F10)</f>
        <v/>
      </c>
      <c r="P10" s="45">
        <f>IF(OR(J10="",G10="",G10=0),"",J10/G10)</f>
        <v/>
      </c>
      <c r="Q10" s="44">
        <f>IF(OR(O10="",P10=""),"",(P10-O10)*100)</f>
        <v/>
      </c>
      <c r="R10" s="45">
        <f>IF(OR(I10="",C10="",C10=0),"",I10/C10)</f>
        <v/>
      </c>
      <c r="S10" s="45">
        <f>IF(OR(J10="",D10="",D10=0),"",J10/D10)</f>
        <v/>
      </c>
      <c r="T10" s="44">
        <f>IF(OR(R10="",S10=""),"",(S10-R10)*100)</f>
        <v/>
      </c>
    </row>
    <row r="11">
      <c r="A11" s="40" t="inlineStr">
        <is>
          <t>Direct</t>
        </is>
      </c>
      <c r="B11" s="40" t="inlineStr">
        <is>
          <t>Total</t>
        </is>
      </c>
      <c r="C11" s="41">
        <f>SUMIFS(Totals!$D$5:$D$49,Totals!$A$5:$A$49,"All landing pages",Totals!$B$5:$B$49,"Direct",Totals!$C$5:$C$49,"Total")</f>
        <v/>
      </c>
      <c r="D11" s="41">
        <f>SUMIFS(Totals!$E$5:$E$49,Totals!$A$5:$A$49,"All landing pages",Totals!$B$5:$B$49,"Direct",Totals!$C$5:$C$49,"Total")</f>
        <v/>
      </c>
      <c r="E11" s="42">
        <f>IF(OR(C11="",D11="",D11=0,C11=0),"",D11/C11-1)</f>
        <v/>
      </c>
      <c r="F11" s="41">
        <f>SUMIFS(Totals!$O$5:$O$49,Totals!$A$5:$A$49,"All landing pages",Totals!$B$5:$B$49,"Direct",Totals!$C$5:$C$49,"Total")</f>
        <v/>
      </c>
      <c r="G11" s="41">
        <f>SUMIFS(Totals!$P$5:$P$49,Totals!$A$5:$A$49,"All landing pages",Totals!$B$5:$B$49,"Direct",Totals!$C$5:$C$49,"Total")</f>
        <v/>
      </c>
      <c r="H11" s="42">
        <f>IF(OR(F11="",G11="",G11=0,F11=0),"",G11/F11-1)</f>
        <v/>
      </c>
      <c r="I11" s="41">
        <f>SUMIFS(Totals!$AQ$5:$AQ$49,Totals!$A$5:$A$49,"All landing pages",Totals!$B$5:$B$49,"Direct",Totals!$C$5:$C$49,"Total")</f>
        <v/>
      </c>
      <c r="J11" s="41">
        <f>SUMIFS(Totals!$AR$5:$AR$49,Totals!$A$5:$A$49,"All landing pages",Totals!$B$5:$B$49,"Direct",Totals!$C$5:$C$49,"Total")</f>
        <v/>
      </c>
      <c r="K11" s="42">
        <f>IF(OR(I11="",J11="",J11=0,I11=0),"",J11/I11-1)</f>
        <v/>
      </c>
      <c r="L11" s="43">
        <f>IF(OR(F11="",C11="",C11=0),"",F11/C11)</f>
        <v/>
      </c>
      <c r="M11" s="43">
        <f>IF(OR(G11="",D11="",D11=0),"",G11/D11)</f>
        <v/>
      </c>
      <c r="N11" s="44">
        <f>IF(OR(L11="",M11=""),"",(M11-L11)*100)</f>
        <v/>
      </c>
      <c r="O11" s="45">
        <f>IF(OR(I11="",F11="",F11=0),"",I11/F11)</f>
        <v/>
      </c>
      <c r="P11" s="45">
        <f>IF(OR(J11="",G11="",G11=0),"",J11/G11)</f>
        <v/>
      </c>
      <c r="Q11" s="44">
        <f>IF(OR(O11="",P11=""),"",(P11-O11)*100)</f>
        <v/>
      </c>
      <c r="R11" s="45">
        <f>IF(OR(I11="",C11="",C11=0),"",I11/C11)</f>
        <v/>
      </c>
      <c r="S11" s="45">
        <f>IF(OR(J11="",D11="",D11=0),"",J11/D11)</f>
        <v/>
      </c>
      <c r="T11" s="44">
        <f>IF(OR(R11="",S11=""),"",(S11-R11)*100)</f>
        <v/>
      </c>
    </row>
    <row r="13">
      <c r="A13" s="39" t="inlineStr">
        <is>
          <t>By landing page group  (3 channels combined, all devices)</t>
        </is>
      </c>
    </row>
    <row r="14">
      <c r="A14" s="32" t="inlineStr">
        <is>
          <t>All landing pages</t>
        </is>
      </c>
      <c r="B14" s="32" t="inlineStr">
        <is>
          <t>Total</t>
        </is>
      </c>
      <c r="C14" s="33">
        <f>SUMIFS(Totals!$D$5:$D$49,Totals!$A$5:$A$49,"All landing pages",Totals!$B$5:$B$49,"Paid Search",Totals!$C$5:$C$49,"Total")+SUMIFS(Totals!$D$5:$D$49,Totals!$A$5:$A$49,"All landing pages",Totals!$B$5:$B$49,"Organic",Totals!$C$5:$C$49,"Total")+SUMIFS(Totals!$D$5:$D$49,Totals!$A$5:$A$49,"All landing pages",Totals!$B$5:$B$49,"Direct",Totals!$C$5:$C$49,"Total")</f>
        <v/>
      </c>
      <c r="D14" s="33">
        <f>SUMIFS(Totals!$E$5:$E$49,Totals!$A$5:$A$49,"All landing pages",Totals!$B$5:$B$49,"Paid Search",Totals!$C$5:$C$49,"Total")+SUMIFS(Totals!$E$5:$E$49,Totals!$A$5:$A$49,"All landing pages",Totals!$B$5:$B$49,"Organic",Totals!$C$5:$C$49,"Total")+SUMIFS(Totals!$E$5:$E$49,Totals!$A$5:$A$49,"All landing pages",Totals!$B$5:$B$49,"Direct",Totals!$C$5:$C$49,"Total")</f>
        <v/>
      </c>
      <c r="E14" s="34">
        <f>IF(OR(C14="",D14="",D14=0,C14=0),"",D14/C14-1)</f>
        <v/>
      </c>
      <c r="F14" s="33">
        <f>SUMIFS(Totals!$O$5:$O$49,Totals!$A$5:$A$49,"All landing pages",Totals!$B$5:$B$49,"Paid Search",Totals!$C$5:$C$49,"Total")+SUMIFS(Totals!$O$5:$O$49,Totals!$A$5:$A$49,"All landing pages",Totals!$B$5:$B$49,"Organic",Totals!$C$5:$C$49,"Total")+SUMIFS(Totals!$O$5:$O$49,Totals!$A$5:$A$49,"All landing pages",Totals!$B$5:$B$49,"Direct",Totals!$C$5:$C$49,"Total")</f>
        <v/>
      </c>
      <c r="G14" s="33">
        <f>SUMIFS(Totals!$P$5:$P$49,Totals!$A$5:$A$49,"All landing pages",Totals!$B$5:$B$49,"Paid Search",Totals!$C$5:$C$49,"Total")+SUMIFS(Totals!$P$5:$P$49,Totals!$A$5:$A$49,"All landing pages",Totals!$B$5:$B$49,"Organic",Totals!$C$5:$C$49,"Total")+SUMIFS(Totals!$P$5:$P$49,Totals!$A$5:$A$49,"All landing pages",Totals!$B$5:$B$49,"Direct",Totals!$C$5:$C$49,"Total")</f>
        <v/>
      </c>
      <c r="H14" s="34">
        <f>IF(OR(F14="",G14="",G14=0,F14=0),"",G14/F14-1)</f>
        <v/>
      </c>
      <c r="I14" s="33">
        <f>SUMIFS(Totals!$AQ$5:$AQ$49,Totals!$A$5:$A$49,"All landing pages",Totals!$B$5:$B$49,"Paid Search",Totals!$C$5:$C$49,"Total")+SUMIFS(Totals!$AQ$5:$AQ$49,Totals!$A$5:$A$49,"All landing pages",Totals!$B$5:$B$49,"Organic",Totals!$C$5:$C$49,"Total")+SUMIFS(Totals!$AQ$5:$AQ$49,Totals!$A$5:$A$49,"All landing pages",Totals!$B$5:$B$49,"Direct",Totals!$C$5:$C$49,"Total")</f>
        <v/>
      </c>
      <c r="J14" s="33">
        <f>SUMIFS(Totals!$AR$5:$AR$49,Totals!$A$5:$A$49,"All landing pages",Totals!$B$5:$B$49,"Paid Search",Totals!$C$5:$C$49,"Total")+SUMIFS(Totals!$AR$5:$AR$49,Totals!$A$5:$A$49,"All landing pages",Totals!$B$5:$B$49,"Organic",Totals!$C$5:$C$49,"Total")+SUMIFS(Totals!$AR$5:$AR$49,Totals!$A$5:$A$49,"All landing pages",Totals!$B$5:$B$49,"Direct",Totals!$C$5:$C$49,"Total")</f>
        <v/>
      </c>
      <c r="K14" s="34">
        <f>IF(OR(I14="",J14="",J14=0,I14=0),"",J14/I14-1)</f>
        <v/>
      </c>
      <c r="L14" s="35">
        <f>IF(OR(F14="",C14="",C14=0),"",F14/C14)</f>
        <v/>
      </c>
      <c r="M14" s="35">
        <f>IF(OR(G14="",D14="",D14=0),"",G14/D14)</f>
        <v/>
      </c>
      <c r="N14" s="36">
        <f>IF(OR(L14="",M14=""),"",(M14-L14)*100)</f>
        <v/>
      </c>
      <c r="O14" s="37">
        <f>IF(OR(I14="",F14="",F14=0),"",I14/F14)</f>
        <v/>
      </c>
      <c r="P14" s="37">
        <f>IF(OR(J14="",G14="",G14=0),"",J14/G14)</f>
        <v/>
      </c>
      <c r="Q14" s="36">
        <f>IF(OR(O14="",P14=""),"",(P14-O14)*100)</f>
        <v/>
      </c>
      <c r="R14" s="37">
        <f>IF(OR(I14="",C14="",C14=0),"",I14/C14)</f>
        <v/>
      </c>
      <c r="S14" s="37">
        <f>IF(OR(J14="",D14="",D14=0),"",J14/D14)</f>
        <v/>
      </c>
      <c r="T14" s="36">
        <f>IF(OR(R14="",S14=""),"",(S14-R14)*100)</f>
        <v/>
      </c>
      <c r="U14" s="38" t="n"/>
      <c r="V14" s="38" t="n"/>
      <c r="W14" s="38" t="n"/>
      <c r="X14" s="38" t="n"/>
      <c r="Y14" s="38" t="n"/>
      <c r="Z14" s="38" t="n"/>
      <c r="AA14" s="38" t="n"/>
      <c r="AB14" s="38" t="n"/>
      <c r="AC14" s="38" t="n"/>
      <c r="AD14" s="38" t="n"/>
      <c r="AE14" s="38" t="n"/>
      <c r="AF14" s="38" t="n"/>
      <c r="AG14" s="38" t="n"/>
      <c r="AH14" s="38" t="n"/>
      <c r="AI14" s="38" t="n"/>
      <c r="AJ14" s="38" t="n"/>
      <c r="AK14" s="38" t="n"/>
      <c r="AL14" s="38" t="n"/>
      <c r="AM14" s="38" t="n"/>
      <c r="AN14" s="38" t="n"/>
      <c r="AO14" s="38" t="n"/>
      <c r="AP14" s="38" t="n"/>
      <c r="AQ14" s="38" t="n"/>
      <c r="AR14" s="38" t="n"/>
      <c r="AS14" s="38" t="n"/>
      <c r="AT14" s="38" t="n"/>
      <c r="AU14" s="38" t="n"/>
      <c r="AV14" s="38" t="n"/>
      <c r="AW14" s="38" t="n"/>
      <c r="AX14" s="38" t="n"/>
      <c r="AY14" s="38" t="n"/>
      <c r="AZ14" s="38" t="n"/>
      <c r="BA14" s="38" t="n"/>
      <c r="BB14" s="38" t="n"/>
    </row>
    <row r="15">
      <c r="A15" s="40" t="inlineStr">
        <is>
          <t>Home page</t>
        </is>
      </c>
      <c r="B15" s="40" t="inlineStr">
        <is>
          <t>Total</t>
        </is>
      </c>
      <c r="C15" s="41">
        <f>SUMIFS(Totals!$D$5:$D$49,Totals!$A$5:$A$49,"Home page",Totals!$B$5:$B$49,"Paid Search",Totals!$C$5:$C$49,"Total")+SUMIFS(Totals!$D$5:$D$49,Totals!$A$5:$A$49,"Home page",Totals!$B$5:$B$49,"Organic",Totals!$C$5:$C$49,"Total")+SUMIFS(Totals!$D$5:$D$49,Totals!$A$5:$A$49,"Home page",Totals!$B$5:$B$49,"Direct",Totals!$C$5:$C$49,"Total")</f>
        <v/>
      </c>
      <c r="D15" s="41">
        <f>SUMIFS(Totals!$E$5:$E$49,Totals!$A$5:$A$49,"Home page",Totals!$B$5:$B$49,"Paid Search",Totals!$C$5:$C$49,"Total")+SUMIFS(Totals!$E$5:$E$49,Totals!$A$5:$A$49,"Home page",Totals!$B$5:$B$49,"Organic",Totals!$C$5:$C$49,"Total")+SUMIFS(Totals!$E$5:$E$49,Totals!$A$5:$A$49,"Home page",Totals!$B$5:$B$49,"Direct",Totals!$C$5:$C$49,"Total")</f>
        <v/>
      </c>
      <c r="E15" s="42">
        <f>IF(OR(C15="",D15="",D15=0,C15=0),"",D15/C15-1)</f>
        <v/>
      </c>
      <c r="F15" s="41">
        <f>SUMIFS(Totals!$O$5:$O$49,Totals!$A$5:$A$49,"Home page",Totals!$B$5:$B$49,"Paid Search",Totals!$C$5:$C$49,"Total")+SUMIFS(Totals!$O$5:$O$49,Totals!$A$5:$A$49,"Home page",Totals!$B$5:$B$49,"Organic",Totals!$C$5:$C$49,"Total")+SUMIFS(Totals!$O$5:$O$49,Totals!$A$5:$A$49,"Home page",Totals!$B$5:$B$49,"Direct",Totals!$C$5:$C$49,"Total")</f>
        <v/>
      </c>
      <c r="G15" s="41">
        <f>SUMIFS(Totals!$P$5:$P$49,Totals!$A$5:$A$49,"Home page",Totals!$B$5:$B$49,"Paid Search",Totals!$C$5:$C$49,"Total")+SUMIFS(Totals!$P$5:$P$49,Totals!$A$5:$A$49,"Home page",Totals!$B$5:$B$49,"Organic",Totals!$C$5:$C$49,"Total")+SUMIFS(Totals!$P$5:$P$49,Totals!$A$5:$A$49,"Home page",Totals!$B$5:$B$49,"Direct",Totals!$C$5:$C$49,"Total")</f>
        <v/>
      </c>
      <c r="H15" s="42">
        <f>IF(OR(F15="",G15="",G15=0,F15=0),"",G15/F15-1)</f>
        <v/>
      </c>
      <c r="I15" s="41">
        <f>SUMIFS(Totals!$AQ$5:$AQ$49,Totals!$A$5:$A$49,"Home page",Totals!$B$5:$B$49,"Paid Search",Totals!$C$5:$C$49,"Total")+SUMIFS(Totals!$AQ$5:$AQ$49,Totals!$A$5:$A$49,"Home page",Totals!$B$5:$B$49,"Organic",Totals!$C$5:$C$49,"Total")+SUMIFS(Totals!$AQ$5:$AQ$49,Totals!$A$5:$A$49,"Home page",Totals!$B$5:$B$49,"Direct",Totals!$C$5:$C$49,"Total")</f>
        <v/>
      </c>
      <c r="J15" s="41">
        <f>SUMIFS(Totals!$AR$5:$AR$49,Totals!$A$5:$A$49,"Home page",Totals!$B$5:$B$49,"Paid Search",Totals!$C$5:$C$49,"Total")+SUMIFS(Totals!$AR$5:$AR$49,Totals!$A$5:$A$49,"Home page",Totals!$B$5:$B$49,"Organic",Totals!$C$5:$C$49,"Total")+SUMIFS(Totals!$AR$5:$AR$49,Totals!$A$5:$A$49,"Home page",Totals!$B$5:$B$49,"Direct",Totals!$C$5:$C$49,"Total")</f>
        <v/>
      </c>
      <c r="K15" s="42">
        <f>IF(OR(I15="",J15="",J15=0,I15=0),"",J15/I15-1)</f>
        <v/>
      </c>
      <c r="L15" s="43">
        <f>IF(OR(F15="",C15="",C15=0),"",F15/C15)</f>
        <v/>
      </c>
      <c r="M15" s="43">
        <f>IF(OR(G15="",D15="",D15=0),"",G15/D15)</f>
        <v/>
      </c>
      <c r="N15" s="44">
        <f>IF(OR(L15="",M15=""),"",(M15-L15)*100)</f>
        <v/>
      </c>
      <c r="O15" s="45">
        <f>IF(OR(I15="",F15="",F15=0),"",I15/F15)</f>
        <v/>
      </c>
      <c r="P15" s="45">
        <f>IF(OR(J15="",G15="",G15=0),"",J15/G15)</f>
        <v/>
      </c>
      <c r="Q15" s="44">
        <f>IF(OR(O15="",P15=""),"",(P15-O15)*100)</f>
        <v/>
      </c>
      <c r="R15" s="45">
        <f>IF(OR(I15="",C15="",C15=0),"",I15/C15)</f>
        <v/>
      </c>
      <c r="S15" s="45">
        <f>IF(OR(J15="",D15="",D15=0),"",J15/D15)</f>
        <v/>
      </c>
      <c r="T15" s="44">
        <f>IF(OR(R15="",S15=""),"",(S15-R15)*100)</f>
        <v/>
      </c>
    </row>
    <row r="16">
      <c r="A16" s="40" t="inlineStr">
        <is>
          <t>Airport page</t>
        </is>
      </c>
      <c r="B16" s="40" t="inlineStr">
        <is>
          <t>Total</t>
        </is>
      </c>
      <c r="C16" s="41">
        <f>SUMIFS(Totals!$D$5:$D$49,Totals!$A$5:$A$49,"Airport page",Totals!$B$5:$B$49,"Paid Search",Totals!$C$5:$C$49,"Total")+SUMIFS(Totals!$D$5:$D$49,Totals!$A$5:$A$49,"Airport page",Totals!$B$5:$B$49,"Organic",Totals!$C$5:$C$49,"Total")+SUMIFS(Totals!$D$5:$D$49,Totals!$A$5:$A$49,"Airport page",Totals!$B$5:$B$49,"Direct",Totals!$C$5:$C$49,"Total")</f>
        <v/>
      </c>
      <c r="D16" s="41">
        <f>SUMIFS(Totals!$E$5:$E$49,Totals!$A$5:$A$49,"Airport page",Totals!$B$5:$B$49,"Paid Search",Totals!$C$5:$C$49,"Total")+SUMIFS(Totals!$E$5:$E$49,Totals!$A$5:$A$49,"Airport page",Totals!$B$5:$B$49,"Organic",Totals!$C$5:$C$49,"Total")+SUMIFS(Totals!$E$5:$E$49,Totals!$A$5:$A$49,"Airport page",Totals!$B$5:$B$49,"Direct",Totals!$C$5:$C$49,"Total")</f>
        <v/>
      </c>
      <c r="E16" s="42">
        <f>IF(OR(C16="",D16="",D16=0,C16=0),"",D16/C16-1)</f>
        <v/>
      </c>
      <c r="F16" s="41">
        <f>SUMIFS(Totals!$O$5:$O$49,Totals!$A$5:$A$49,"Airport page",Totals!$B$5:$B$49,"Paid Search",Totals!$C$5:$C$49,"Total")+SUMIFS(Totals!$O$5:$O$49,Totals!$A$5:$A$49,"Airport page",Totals!$B$5:$B$49,"Organic",Totals!$C$5:$C$49,"Total")+SUMIFS(Totals!$O$5:$O$49,Totals!$A$5:$A$49,"Airport page",Totals!$B$5:$B$49,"Direct",Totals!$C$5:$C$49,"Total")</f>
        <v/>
      </c>
      <c r="G16" s="41">
        <f>SUMIFS(Totals!$P$5:$P$49,Totals!$A$5:$A$49,"Airport page",Totals!$B$5:$B$49,"Paid Search",Totals!$C$5:$C$49,"Total")+SUMIFS(Totals!$P$5:$P$49,Totals!$A$5:$A$49,"Airport page",Totals!$B$5:$B$49,"Organic",Totals!$C$5:$C$49,"Total")+SUMIFS(Totals!$P$5:$P$49,Totals!$A$5:$A$49,"Airport page",Totals!$B$5:$B$49,"Direct",Totals!$C$5:$C$49,"Total")</f>
        <v/>
      </c>
      <c r="H16" s="42">
        <f>IF(OR(F16="",G16="",G16=0,F16=0),"",G16/F16-1)</f>
        <v/>
      </c>
      <c r="I16" s="41">
        <f>SUMIFS(Totals!$AQ$5:$AQ$49,Totals!$A$5:$A$49,"Airport page",Totals!$B$5:$B$49,"Paid Search",Totals!$C$5:$C$49,"Total")+SUMIFS(Totals!$AQ$5:$AQ$49,Totals!$A$5:$A$49,"Airport page",Totals!$B$5:$B$49,"Organic",Totals!$C$5:$C$49,"Total")+SUMIFS(Totals!$AQ$5:$AQ$49,Totals!$A$5:$A$49,"Airport page",Totals!$B$5:$B$49,"Direct",Totals!$C$5:$C$49,"Total")</f>
        <v/>
      </c>
      <c r="J16" s="41">
        <f>SUMIFS(Totals!$AR$5:$AR$49,Totals!$A$5:$A$49,"Airport page",Totals!$B$5:$B$49,"Paid Search",Totals!$C$5:$C$49,"Total")+SUMIFS(Totals!$AR$5:$AR$49,Totals!$A$5:$A$49,"Airport page",Totals!$B$5:$B$49,"Organic",Totals!$C$5:$C$49,"Total")+SUMIFS(Totals!$AR$5:$AR$49,Totals!$A$5:$A$49,"Airport page",Totals!$B$5:$B$49,"Direct",Totals!$C$5:$C$49,"Total")</f>
        <v/>
      </c>
      <c r="K16" s="42">
        <f>IF(OR(I16="",J16="",J16=0,I16=0),"",J16/I16-1)</f>
        <v/>
      </c>
      <c r="L16" s="43">
        <f>IF(OR(F16="",C16="",C16=0),"",F16/C16)</f>
        <v/>
      </c>
      <c r="M16" s="43">
        <f>IF(OR(G16="",D16="",D16=0),"",G16/D16)</f>
        <v/>
      </c>
      <c r="N16" s="44">
        <f>IF(OR(L16="",M16=""),"",(M16-L16)*100)</f>
        <v/>
      </c>
      <c r="O16" s="45">
        <f>IF(OR(I16="",F16="",F16=0),"",I16/F16)</f>
        <v/>
      </c>
      <c r="P16" s="45">
        <f>IF(OR(J16="",G16="",G16=0),"",J16/G16)</f>
        <v/>
      </c>
      <c r="Q16" s="44">
        <f>IF(OR(O16="",P16=""),"",(P16-O16)*100)</f>
        <v/>
      </c>
      <c r="R16" s="45">
        <f>IF(OR(I16="",C16="",C16=0),"",I16/C16)</f>
        <v/>
      </c>
      <c r="S16" s="45">
        <f>IF(OR(J16="",D16="",D16=0),"",J16/D16)</f>
        <v/>
      </c>
      <c r="T16" s="44">
        <f>IF(OR(R16="",S16=""),"",(S16-R16)*100)</f>
        <v/>
      </c>
    </row>
    <row r="17">
      <c r="A17" s="40" t="inlineStr">
        <is>
          <t>Route page</t>
        </is>
      </c>
      <c r="B17" s="40" t="inlineStr">
        <is>
          <t>Total</t>
        </is>
      </c>
      <c r="C17" s="41">
        <f>SUMIFS(Totals!$D$5:$D$49,Totals!$A$5:$A$49,"Route page",Totals!$B$5:$B$49,"Paid Search",Totals!$C$5:$C$49,"Total")+SUMIFS(Totals!$D$5:$D$49,Totals!$A$5:$A$49,"Route page",Totals!$B$5:$B$49,"Organic",Totals!$C$5:$C$49,"Total")+SUMIFS(Totals!$D$5:$D$49,Totals!$A$5:$A$49,"Route page",Totals!$B$5:$B$49,"Direct",Totals!$C$5:$C$49,"Total")</f>
        <v/>
      </c>
      <c r="D17" s="41">
        <f>SUMIFS(Totals!$E$5:$E$49,Totals!$A$5:$A$49,"Route page",Totals!$B$5:$B$49,"Paid Search",Totals!$C$5:$C$49,"Total")+SUMIFS(Totals!$E$5:$E$49,Totals!$A$5:$A$49,"Route page",Totals!$B$5:$B$49,"Organic",Totals!$C$5:$C$49,"Total")+SUMIFS(Totals!$E$5:$E$49,Totals!$A$5:$A$49,"Route page",Totals!$B$5:$B$49,"Direct",Totals!$C$5:$C$49,"Total")</f>
        <v/>
      </c>
      <c r="E17" s="42">
        <f>IF(OR(C17="",D17="",D17=0,C17=0),"",D17/C17-1)</f>
        <v/>
      </c>
      <c r="F17" s="41">
        <f>SUMIFS(Totals!$O$5:$O$49,Totals!$A$5:$A$49,"Route page",Totals!$B$5:$B$49,"Paid Search",Totals!$C$5:$C$49,"Total")+SUMIFS(Totals!$O$5:$O$49,Totals!$A$5:$A$49,"Route page",Totals!$B$5:$B$49,"Organic",Totals!$C$5:$C$49,"Total")+SUMIFS(Totals!$O$5:$O$49,Totals!$A$5:$A$49,"Route page",Totals!$B$5:$B$49,"Direct",Totals!$C$5:$C$49,"Total")</f>
        <v/>
      </c>
      <c r="G17" s="41">
        <f>SUMIFS(Totals!$P$5:$P$49,Totals!$A$5:$A$49,"Route page",Totals!$B$5:$B$49,"Paid Search",Totals!$C$5:$C$49,"Total")+SUMIFS(Totals!$P$5:$P$49,Totals!$A$5:$A$49,"Route page",Totals!$B$5:$B$49,"Organic",Totals!$C$5:$C$49,"Total")+SUMIFS(Totals!$P$5:$P$49,Totals!$A$5:$A$49,"Route page",Totals!$B$5:$B$49,"Direct",Totals!$C$5:$C$49,"Total")</f>
        <v/>
      </c>
      <c r="H17" s="42">
        <f>IF(OR(F17="",G17="",G17=0,F17=0),"",G17/F17-1)</f>
        <v/>
      </c>
      <c r="I17" s="41">
        <f>SUMIFS(Totals!$AQ$5:$AQ$49,Totals!$A$5:$A$49,"Route page",Totals!$B$5:$B$49,"Paid Search",Totals!$C$5:$C$49,"Total")+SUMIFS(Totals!$AQ$5:$AQ$49,Totals!$A$5:$A$49,"Route page",Totals!$B$5:$B$49,"Organic",Totals!$C$5:$C$49,"Total")+SUMIFS(Totals!$AQ$5:$AQ$49,Totals!$A$5:$A$49,"Route page",Totals!$B$5:$B$49,"Direct",Totals!$C$5:$C$49,"Total")</f>
        <v/>
      </c>
      <c r="J17" s="41">
        <f>SUMIFS(Totals!$AR$5:$AR$49,Totals!$A$5:$A$49,"Route page",Totals!$B$5:$B$49,"Paid Search",Totals!$C$5:$C$49,"Total")+SUMIFS(Totals!$AR$5:$AR$49,Totals!$A$5:$A$49,"Route page",Totals!$B$5:$B$49,"Organic",Totals!$C$5:$C$49,"Total")+SUMIFS(Totals!$AR$5:$AR$49,Totals!$A$5:$A$49,"Route page",Totals!$B$5:$B$49,"Direct",Totals!$C$5:$C$49,"Total")</f>
        <v/>
      </c>
      <c r="K17" s="42">
        <f>IF(OR(I17="",J17="",J17=0,I17=0),"",J17/I17-1)</f>
        <v/>
      </c>
      <c r="L17" s="43">
        <f>IF(OR(F17="",C17="",C17=0),"",F17/C17)</f>
        <v/>
      </c>
      <c r="M17" s="43">
        <f>IF(OR(G17="",D17="",D17=0),"",G17/D17)</f>
        <v/>
      </c>
      <c r="N17" s="44">
        <f>IF(OR(L17="",M17=""),"",(M17-L17)*100)</f>
        <v/>
      </c>
      <c r="O17" s="45">
        <f>IF(OR(I17="",F17="",F17=0),"",I17/F17)</f>
        <v/>
      </c>
      <c r="P17" s="45">
        <f>IF(OR(J17="",G17="",G17=0),"",J17/G17)</f>
        <v/>
      </c>
      <c r="Q17" s="44">
        <f>IF(OR(O17="",P17=""),"",(P17-O17)*100)</f>
        <v/>
      </c>
      <c r="R17" s="45">
        <f>IF(OR(I17="",C17="",C17=0),"",I17/C17)</f>
        <v/>
      </c>
      <c r="S17" s="45">
        <f>IF(OR(J17="",D17="",D17=0),"",J17/D17)</f>
        <v/>
      </c>
      <c r="T17" s="44">
        <f>IF(OR(R17="",S17=""),"",(S17-R17)*100)</f>
        <v/>
      </c>
    </row>
    <row r="18">
      <c r="A18" s="40" t="inlineStr">
        <is>
          <t>Other pages (derived)</t>
        </is>
      </c>
      <c r="B18" s="40" t="inlineStr">
        <is>
          <t>Total</t>
        </is>
      </c>
      <c r="C18" s="41">
        <f>SUMIFS(Totals!$D$5:$D$49,Totals!$A$5:$A$49,"Other pages (derived)",Totals!$B$5:$B$49,"Paid Search",Totals!$C$5:$C$49,"Total")+SUMIFS(Totals!$D$5:$D$49,Totals!$A$5:$A$49,"Other pages (derived)",Totals!$B$5:$B$49,"Organic",Totals!$C$5:$C$49,"Total")+SUMIFS(Totals!$D$5:$D$49,Totals!$A$5:$A$49,"Other pages (derived)",Totals!$B$5:$B$49,"Direct",Totals!$C$5:$C$49,"Total")</f>
        <v/>
      </c>
      <c r="D18" s="41">
        <f>SUMIFS(Totals!$E$5:$E$49,Totals!$A$5:$A$49,"Other pages (derived)",Totals!$B$5:$B$49,"Paid Search",Totals!$C$5:$C$49,"Total")+SUMIFS(Totals!$E$5:$E$49,Totals!$A$5:$A$49,"Other pages (derived)",Totals!$B$5:$B$49,"Organic",Totals!$C$5:$C$49,"Total")+SUMIFS(Totals!$E$5:$E$49,Totals!$A$5:$A$49,"Other pages (derived)",Totals!$B$5:$B$49,"Direct",Totals!$C$5:$C$49,"Total")</f>
        <v/>
      </c>
      <c r="E18" s="42">
        <f>IF(OR(C18="",D18="",D18=0,C18=0),"",D18/C18-1)</f>
        <v/>
      </c>
      <c r="F18" s="41">
        <f>SUMIFS(Totals!$O$5:$O$49,Totals!$A$5:$A$49,"Other pages (derived)",Totals!$B$5:$B$49,"Paid Search",Totals!$C$5:$C$49,"Total")+SUMIFS(Totals!$O$5:$O$49,Totals!$A$5:$A$49,"Other pages (derived)",Totals!$B$5:$B$49,"Organic",Totals!$C$5:$C$49,"Total")+SUMIFS(Totals!$O$5:$O$49,Totals!$A$5:$A$49,"Other pages (derived)",Totals!$B$5:$B$49,"Direct",Totals!$C$5:$C$49,"Total")</f>
        <v/>
      </c>
      <c r="G18" s="41">
        <f>SUMIFS(Totals!$P$5:$P$49,Totals!$A$5:$A$49,"Other pages (derived)",Totals!$B$5:$B$49,"Paid Search",Totals!$C$5:$C$49,"Total")+SUMIFS(Totals!$P$5:$P$49,Totals!$A$5:$A$49,"Other pages (derived)",Totals!$B$5:$B$49,"Organic",Totals!$C$5:$C$49,"Total")+SUMIFS(Totals!$P$5:$P$49,Totals!$A$5:$A$49,"Other pages (derived)",Totals!$B$5:$B$49,"Direct",Totals!$C$5:$C$49,"Total")</f>
        <v/>
      </c>
      <c r="H18" s="42">
        <f>IF(OR(F18="",G18="",G18=0,F18=0),"",G18/F18-1)</f>
        <v/>
      </c>
      <c r="I18" s="41">
        <f>SUMIFS(Totals!$AQ$5:$AQ$49,Totals!$A$5:$A$49,"Other pages (derived)",Totals!$B$5:$B$49,"Paid Search",Totals!$C$5:$C$49,"Total")+SUMIFS(Totals!$AQ$5:$AQ$49,Totals!$A$5:$A$49,"Other pages (derived)",Totals!$B$5:$B$49,"Organic",Totals!$C$5:$C$49,"Total")+SUMIFS(Totals!$AQ$5:$AQ$49,Totals!$A$5:$A$49,"Other pages (derived)",Totals!$B$5:$B$49,"Direct",Totals!$C$5:$C$49,"Total")</f>
        <v/>
      </c>
      <c r="J18" s="41">
        <f>SUMIFS(Totals!$AR$5:$AR$49,Totals!$A$5:$A$49,"Other pages (derived)",Totals!$B$5:$B$49,"Paid Search",Totals!$C$5:$C$49,"Total")+SUMIFS(Totals!$AR$5:$AR$49,Totals!$A$5:$A$49,"Other pages (derived)",Totals!$B$5:$B$49,"Organic",Totals!$C$5:$C$49,"Total")+SUMIFS(Totals!$AR$5:$AR$49,Totals!$A$5:$A$49,"Other pages (derived)",Totals!$B$5:$B$49,"Direct",Totals!$C$5:$C$49,"Total")</f>
        <v/>
      </c>
      <c r="K18" s="42">
        <f>IF(OR(I18="",J18="",J18=0,I18=0),"",J18/I18-1)</f>
        <v/>
      </c>
      <c r="L18" s="43">
        <f>IF(OR(F18="",C18="",C18=0),"",F18/C18)</f>
        <v/>
      </c>
      <c r="M18" s="43">
        <f>IF(OR(G18="",D18="",D18=0),"",G18/D18)</f>
        <v/>
      </c>
      <c r="N18" s="44">
        <f>IF(OR(L18="",M18=""),"",(M18-L18)*100)</f>
        <v/>
      </c>
      <c r="O18" s="45">
        <f>IF(OR(I18="",F18="",F18=0),"",I18/F18)</f>
        <v/>
      </c>
      <c r="P18" s="45">
        <f>IF(OR(J18="",G18="",G18=0),"",J18/G18)</f>
        <v/>
      </c>
      <c r="Q18" s="44">
        <f>IF(OR(O18="",P18=""),"",(P18-O18)*100)</f>
        <v/>
      </c>
      <c r="R18" s="45">
        <f>IF(OR(I18="",C18="",C18=0),"",I18/C18)</f>
        <v/>
      </c>
      <c r="S18" s="45">
        <f>IF(OR(J18="",D18="",D18=0),"",J18/D18)</f>
        <v/>
      </c>
      <c r="T18" s="44">
        <f>IF(OR(R18="",S18=""),"",(S18-R18)*100)</f>
        <v/>
      </c>
    </row>
    <row r="20">
      <c r="A20" s="39" t="inlineStr">
        <is>
          <t>By device  (3 channels combined, all landing pages)</t>
        </is>
      </c>
    </row>
    <row r="21">
      <c r="A21" s="46" t="inlineStr">
        <is>
          <t>All traffic</t>
        </is>
      </c>
      <c r="B21" s="46" t="inlineStr">
        <is>
          <t>Total</t>
        </is>
      </c>
      <c r="C21" s="47">
        <f>SUMIFS(Totals!$D$5:$D$49,Totals!$A$5:$A$49,"All landing pages",Totals!$B$5:$B$49,"Paid Search",Totals!$C$5:$C$49,"Total")+SUMIFS(Totals!$D$5:$D$49,Totals!$A$5:$A$49,"All landing pages",Totals!$B$5:$B$49,"Organic",Totals!$C$5:$C$49,"Total")+SUMIFS(Totals!$D$5:$D$49,Totals!$A$5:$A$49,"All landing pages",Totals!$B$5:$B$49,"Direct",Totals!$C$5:$C$49,"Total")</f>
        <v/>
      </c>
      <c r="D21" s="47">
        <f>SUMIFS(Totals!$E$5:$E$49,Totals!$A$5:$A$49,"All landing pages",Totals!$B$5:$B$49,"Paid Search",Totals!$C$5:$C$49,"Total")+SUMIFS(Totals!$E$5:$E$49,Totals!$A$5:$A$49,"All landing pages",Totals!$B$5:$B$49,"Organic",Totals!$C$5:$C$49,"Total")+SUMIFS(Totals!$E$5:$E$49,Totals!$A$5:$A$49,"All landing pages",Totals!$B$5:$B$49,"Direct",Totals!$C$5:$C$49,"Total")</f>
        <v/>
      </c>
      <c r="E21" s="48">
        <f>IF(OR(C21="",D21="",D21=0,C21=0),"",D21/C21-1)</f>
        <v/>
      </c>
      <c r="F21" s="47">
        <f>SUMIFS(Totals!$O$5:$O$49,Totals!$A$5:$A$49,"All landing pages",Totals!$B$5:$B$49,"Paid Search",Totals!$C$5:$C$49,"Total")+SUMIFS(Totals!$O$5:$O$49,Totals!$A$5:$A$49,"All landing pages",Totals!$B$5:$B$49,"Organic",Totals!$C$5:$C$49,"Total")+SUMIFS(Totals!$O$5:$O$49,Totals!$A$5:$A$49,"All landing pages",Totals!$B$5:$B$49,"Direct",Totals!$C$5:$C$49,"Total")</f>
        <v/>
      </c>
      <c r="G21" s="47">
        <f>SUMIFS(Totals!$P$5:$P$49,Totals!$A$5:$A$49,"All landing pages",Totals!$B$5:$B$49,"Paid Search",Totals!$C$5:$C$49,"Total")+SUMIFS(Totals!$P$5:$P$49,Totals!$A$5:$A$49,"All landing pages",Totals!$B$5:$B$49,"Organic",Totals!$C$5:$C$49,"Total")+SUMIFS(Totals!$P$5:$P$49,Totals!$A$5:$A$49,"All landing pages",Totals!$B$5:$B$49,"Direct",Totals!$C$5:$C$49,"Total")</f>
        <v/>
      </c>
      <c r="H21" s="48">
        <f>IF(OR(F21="",G21="",G21=0,F21=0),"",G21/F21-1)</f>
        <v/>
      </c>
      <c r="I21" s="47">
        <f>SUMIFS(Totals!$AQ$5:$AQ$49,Totals!$A$5:$A$49,"All landing pages",Totals!$B$5:$B$49,"Paid Search",Totals!$C$5:$C$49,"Total")+SUMIFS(Totals!$AQ$5:$AQ$49,Totals!$A$5:$A$49,"All landing pages",Totals!$B$5:$B$49,"Organic",Totals!$C$5:$C$49,"Total")+SUMIFS(Totals!$AQ$5:$AQ$49,Totals!$A$5:$A$49,"All landing pages",Totals!$B$5:$B$49,"Direct",Totals!$C$5:$C$49,"Total")</f>
        <v/>
      </c>
      <c r="J21" s="47">
        <f>SUMIFS(Totals!$AR$5:$AR$49,Totals!$A$5:$A$49,"All landing pages",Totals!$B$5:$B$49,"Paid Search",Totals!$C$5:$C$49,"Total")+SUMIFS(Totals!$AR$5:$AR$49,Totals!$A$5:$A$49,"All landing pages",Totals!$B$5:$B$49,"Organic",Totals!$C$5:$C$49,"Total")+SUMIFS(Totals!$AR$5:$AR$49,Totals!$A$5:$A$49,"All landing pages",Totals!$B$5:$B$49,"Direct",Totals!$C$5:$C$49,"Total")</f>
        <v/>
      </c>
      <c r="K21" s="48">
        <f>IF(OR(I21="",J21="",J21=0,I21=0),"",J21/I21-1)</f>
        <v/>
      </c>
      <c r="L21" s="49">
        <f>IF(OR(F21="",C21="",C21=0),"",F21/C21)</f>
        <v/>
      </c>
      <c r="M21" s="49">
        <f>IF(OR(G21="",D21="",D21=0),"",G21/D21)</f>
        <v/>
      </c>
      <c r="N21" s="50">
        <f>IF(OR(L21="",M21=""),"",(M21-L21)*100)</f>
        <v/>
      </c>
      <c r="O21" s="51">
        <f>IF(OR(I21="",F21="",F21=0),"",I21/F21)</f>
        <v/>
      </c>
      <c r="P21" s="51">
        <f>IF(OR(J21="",G21="",G21=0),"",J21/G21)</f>
        <v/>
      </c>
      <c r="Q21" s="50">
        <f>IF(OR(O21="",P21=""),"",(P21-O21)*100)</f>
        <v/>
      </c>
      <c r="R21" s="51">
        <f>IF(OR(I21="",C21="",C21=0),"",I21/C21)</f>
        <v/>
      </c>
      <c r="S21" s="51">
        <f>IF(OR(J21="",D21="",D21=0),"",J21/D21)</f>
        <v/>
      </c>
      <c r="T21" s="50">
        <f>IF(OR(R21="",S21=""),"",(S21-R21)*100)</f>
        <v/>
      </c>
    </row>
    <row r="22">
      <c r="A22" s="40" t="inlineStr">
        <is>
          <t>All traffic</t>
        </is>
      </c>
      <c r="B22" s="40" t="inlineStr">
        <is>
          <t>Mobile</t>
        </is>
      </c>
      <c r="C22" s="41">
        <f>SUMIFS(Totals!$D$5:$D$49,Totals!$A$5:$A$49,"All landing pages",Totals!$B$5:$B$49,"Paid Search",Totals!$C$5:$C$49,"Mobile")+SUMIFS(Totals!$D$5:$D$49,Totals!$A$5:$A$49,"All landing pages",Totals!$B$5:$B$49,"Organic",Totals!$C$5:$C$49,"Mobile")+SUMIFS(Totals!$D$5:$D$49,Totals!$A$5:$A$49,"All landing pages",Totals!$B$5:$B$49,"Direct",Totals!$C$5:$C$49,"Mobile")</f>
        <v/>
      </c>
      <c r="D22" s="41">
        <f>SUMIFS(Totals!$E$5:$E$49,Totals!$A$5:$A$49,"All landing pages",Totals!$B$5:$B$49,"Paid Search",Totals!$C$5:$C$49,"Mobile")+SUMIFS(Totals!$E$5:$E$49,Totals!$A$5:$A$49,"All landing pages",Totals!$B$5:$B$49,"Organic",Totals!$C$5:$C$49,"Mobile")+SUMIFS(Totals!$E$5:$E$49,Totals!$A$5:$A$49,"All landing pages",Totals!$B$5:$B$49,"Direct",Totals!$C$5:$C$49,"Mobile")</f>
        <v/>
      </c>
      <c r="E22" s="42">
        <f>IF(OR(C22="",D22="",D22=0,C22=0),"",D22/C22-1)</f>
        <v/>
      </c>
      <c r="F22" s="41">
        <f>SUMIFS(Totals!$O$5:$O$49,Totals!$A$5:$A$49,"All landing pages",Totals!$B$5:$B$49,"Paid Search",Totals!$C$5:$C$49,"Mobile")+SUMIFS(Totals!$O$5:$O$49,Totals!$A$5:$A$49,"All landing pages",Totals!$B$5:$B$49,"Organic",Totals!$C$5:$C$49,"Mobile")+SUMIFS(Totals!$O$5:$O$49,Totals!$A$5:$A$49,"All landing pages",Totals!$B$5:$B$49,"Direct",Totals!$C$5:$C$49,"Mobile")</f>
        <v/>
      </c>
      <c r="G22" s="41">
        <f>SUMIFS(Totals!$P$5:$P$49,Totals!$A$5:$A$49,"All landing pages",Totals!$B$5:$B$49,"Paid Search",Totals!$C$5:$C$49,"Mobile")+SUMIFS(Totals!$P$5:$P$49,Totals!$A$5:$A$49,"All landing pages",Totals!$B$5:$B$49,"Organic",Totals!$C$5:$C$49,"Mobile")+SUMIFS(Totals!$P$5:$P$49,Totals!$A$5:$A$49,"All landing pages",Totals!$B$5:$B$49,"Direct",Totals!$C$5:$C$49,"Mobile")</f>
        <v/>
      </c>
      <c r="H22" s="42">
        <f>IF(OR(F22="",G22="",G22=0,F22=0),"",G22/F22-1)</f>
        <v/>
      </c>
      <c r="I22" s="41">
        <f>SUMIFS(Totals!$AQ$5:$AQ$49,Totals!$A$5:$A$49,"All landing pages",Totals!$B$5:$B$49,"Paid Search",Totals!$C$5:$C$49,"Mobile")+SUMIFS(Totals!$AQ$5:$AQ$49,Totals!$A$5:$A$49,"All landing pages",Totals!$B$5:$B$49,"Organic",Totals!$C$5:$C$49,"Mobile")+SUMIFS(Totals!$AQ$5:$AQ$49,Totals!$A$5:$A$49,"All landing pages",Totals!$B$5:$B$49,"Direct",Totals!$C$5:$C$49,"Mobile")</f>
        <v/>
      </c>
      <c r="J22" s="41">
        <f>SUMIFS(Totals!$AR$5:$AR$49,Totals!$A$5:$A$49,"All landing pages",Totals!$B$5:$B$49,"Paid Search",Totals!$C$5:$C$49,"Mobile")+SUMIFS(Totals!$AR$5:$AR$49,Totals!$A$5:$A$49,"All landing pages",Totals!$B$5:$B$49,"Organic",Totals!$C$5:$C$49,"Mobile")+SUMIFS(Totals!$AR$5:$AR$49,Totals!$A$5:$A$49,"All landing pages",Totals!$B$5:$B$49,"Direct",Totals!$C$5:$C$49,"Mobile")</f>
        <v/>
      </c>
      <c r="K22" s="42">
        <f>IF(OR(I22="",J22="",J22=0,I22=0),"",J22/I22-1)</f>
        <v/>
      </c>
      <c r="L22" s="43">
        <f>IF(OR(F22="",C22="",C22=0),"",F22/C22)</f>
        <v/>
      </c>
      <c r="M22" s="43">
        <f>IF(OR(G22="",D22="",D22=0),"",G22/D22)</f>
        <v/>
      </c>
      <c r="N22" s="44">
        <f>IF(OR(L22="",M22=""),"",(M22-L22)*100)</f>
        <v/>
      </c>
      <c r="O22" s="45">
        <f>IF(OR(I22="",F22="",F22=0),"",I22/F22)</f>
        <v/>
      </c>
      <c r="P22" s="45">
        <f>IF(OR(J22="",G22="",G22=0),"",J22/G22)</f>
        <v/>
      </c>
      <c r="Q22" s="44">
        <f>IF(OR(O22="",P22=""),"",(P22-O22)*100)</f>
        <v/>
      </c>
      <c r="R22" s="45">
        <f>IF(OR(I22="",C22="",C22=0),"",I22/C22)</f>
        <v/>
      </c>
      <c r="S22" s="45">
        <f>IF(OR(J22="",D22="",D22=0),"",J22/D22)</f>
        <v/>
      </c>
      <c r="T22" s="44">
        <f>IF(OR(R22="",S22=""),"",(S22-R22)*100)</f>
        <v/>
      </c>
    </row>
    <row r="23">
      <c r="A23" s="40" t="inlineStr">
        <is>
          <t>All traffic</t>
        </is>
      </c>
      <c r="B23" s="40" t="inlineStr">
        <is>
          <t>Desktop</t>
        </is>
      </c>
      <c r="C23" s="41">
        <f>SUMIFS(Totals!$D$5:$D$49,Totals!$A$5:$A$49,"All landing pages",Totals!$B$5:$B$49,"Paid Search",Totals!$C$5:$C$49,"Desktop")+SUMIFS(Totals!$D$5:$D$49,Totals!$A$5:$A$49,"All landing pages",Totals!$B$5:$B$49,"Organic",Totals!$C$5:$C$49,"Desktop")+SUMIFS(Totals!$D$5:$D$49,Totals!$A$5:$A$49,"All landing pages",Totals!$B$5:$B$49,"Direct",Totals!$C$5:$C$49,"Desktop")</f>
        <v/>
      </c>
      <c r="D23" s="41">
        <f>SUMIFS(Totals!$E$5:$E$49,Totals!$A$5:$A$49,"All landing pages",Totals!$B$5:$B$49,"Paid Search",Totals!$C$5:$C$49,"Desktop")+SUMIFS(Totals!$E$5:$E$49,Totals!$A$5:$A$49,"All landing pages",Totals!$B$5:$B$49,"Organic",Totals!$C$5:$C$49,"Desktop")+SUMIFS(Totals!$E$5:$E$49,Totals!$A$5:$A$49,"All landing pages",Totals!$B$5:$B$49,"Direct",Totals!$C$5:$C$49,"Desktop")</f>
        <v/>
      </c>
      <c r="E23" s="42">
        <f>IF(OR(C23="",D23="",D23=0,C23=0),"",D23/C23-1)</f>
        <v/>
      </c>
      <c r="F23" s="41">
        <f>SUMIFS(Totals!$O$5:$O$49,Totals!$A$5:$A$49,"All landing pages",Totals!$B$5:$B$49,"Paid Search",Totals!$C$5:$C$49,"Desktop")+SUMIFS(Totals!$O$5:$O$49,Totals!$A$5:$A$49,"All landing pages",Totals!$B$5:$B$49,"Organic",Totals!$C$5:$C$49,"Desktop")+SUMIFS(Totals!$O$5:$O$49,Totals!$A$5:$A$49,"All landing pages",Totals!$B$5:$B$49,"Direct",Totals!$C$5:$C$49,"Desktop")</f>
        <v/>
      </c>
      <c r="G23" s="41">
        <f>SUMIFS(Totals!$P$5:$P$49,Totals!$A$5:$A$49,"All landing pages",Totals!$B$5:$B$49,"Paid Search",Totals!$C$5:$C$49,"Desktop")+SUMIFS(Totals!$P$5:$P$49,Totals!$A$5:$A$49,"All landing pages",Totals!$B$5:$B$49,"Organic",Totals!$C$5:$C$49,"Desktop")+SUMIFS(Totals!$P$5:$P$49,Totals!$A$5:$A$49,"All landing pages",Totals!$B$5:$B$49,"Direct",Totals!$C$5:$C$49,"Desktop")</f>
        <v/>
      </c>
      <c r="H23" s="42">
        <f>IF(OR(F23="",G23="",G23=0,F23=0),"",G23/F23-1)</f>
        <v/>
      </c>
      <c r="I23" s="41">
        <f>SUMIFS(Totals!$AQ$5:$AQ$49,Totals!$A$5:$A$49,"All landing pages",Totals!$B$5:$B$49,"Paid Search",Totals!$C$5:$C$49,"Desktop")+SUMIFS(Totals!$AQ$5:$AQ$49,Totals!$A$5:$A$49,"All landing pages",Totals!$B$5:$B$49,"Organic",Totals!$C$5:$C$49,"Desktop")+SUMIFS(Totals!$AQ$5:$AQ$49,Totals!$A$5:$A$49,"All landing pages",Totals!$B$5:$B$49,"Direct",Totals!$C$5:$C$49,"Desktop")</f>
        <v/>
      </c>
      <c r="J23" s="41">
        <f>SUMIFS(Totals!$AR$5:$AR$49,Totals!$A$5:$A$49,"All landing pages",Totals!$B$5:$B$49,"Paid Search",Totals!$C$5:$C$49,"Desktop")+SUMIFS(Totals!$AR$5:$AR$49,Totals!$A$5:$A$49,"All landing pages",Totals!$B$5:$B$49,"Organic",Totals!$C$5:$C$49,"Desktop")+SUMIFS(Totals!$AR$5:$AR$49,Totals!$A$5:$A$49,"All landing pages",Totals!$B$5:$B$49,"Direct",Totals!$C$5:$C$49,"Desktop")</f>
        <v/>
      </c>
      <c r="K23" s="42">
        <f>IF(OR(I23="",J23="",J23=0,I23=0),"",J23/I23-1)</f>
        <v/>
      </c>
      <c r="L23" s="43">
        <f>IF(OR(F23="",C23="",C23=0),"",F23/C23)</f>
        <v/>
      </c>
      <c r="M23" s="43">
        <f>IF(OR(G23="",D23="",D23=0),"",G23/D23)</f>
        <v/>
      </c>
      <c r="N23" s="44">
        <f>IF(OR(L23="",M23=""),"",(M23-L23)*100)</f>
        <v/>
      </c>
      <c r="O23" s="45">
        <f>IF(OR(I23="",F23="",F23=0),"",I23/F23)</f>
        <v/>
      </c>
      <c r="P23" s="45">
        <f>IF(OR(J23="",G23="",G23=0),"",J23/G23)</f>
        <v/>
      </c>
      <c r="Q23" s="44">
        <f>IF(OR(O23="",P23=""),"",(P23-O23)*100)</f>
        <v/>
      </c>
      <c r="R23" s="45">
        <f>IF(OR(I23="",C23="",C23=0),"",I23/C23)</f>
        <v/>
      </c>
      <c r="S23" s="45">
        <f>IF(OR(J23="",D23="",D23=0),"",J23/D23)</f>
        <v/>
      </c>
      <c r="T23" s="44">
        <f>IF(OR(R23="",S23=""),"",(S23-R23)*100)</f>
        <v/>
      </c>
    </row>
    <row r="25">
      <c r="A25" s="39" t="inlineStr">
        <is>
          <t>By channel × device</t>
        </is>
      </c>
    </row>
    <row r="26">
      <c r="A26" s="40" t="inlineStr">
        <is>
          <t>Paid Search</t>
        </is>
      </c>
      <c r="B26" s="40" t="inlineStr">
        <is>
          <t>Mobile</t>
        </is>
      </c>
      <c r="C26" s="41">
        <f>SUMIFS(Totals!$D$5:$D$49,Totals!$A$5:$A$49,"All landing pages",Totals!$B$5:$B$49,"Paid Search",Totals!$C$5:$C$49,"Mobile")</f>
        <v/>
      </c>
      <c r="D26" s="41">
        <f>SUMIFS(Totals!$E$5:$E$49,Totals!$A$5:$A$49,"All landing pages",Totals!$B$5:$B$49,"Paid Search",Totals!$C$5:$C$49,"Mobile")</f>
        <v/>
      </c>
      <c r="E26" s="42">
        <f>IF(OR(C26="",D26="",D26=0,C26=0),"",D26/C26-1)</f>
        <v/>
      </c>
      <c r="F26" s="41">
        <f>SUMIFS(Totals!$O$5:$O$49,Totals!$A$5:$A$49,"All landing pages",Totals!$B$5:$B$49,"Paid Search",Totals!$C$5:$C$49,"Mobile")</f>
        <v/>
      </c>
      <c r="G26" s="41">
        <f>SUMIFS(Totals!$P$5:$P$49,Totals!$A$5:$A$49,"All landing pages",Totals!$B$5:$B$49,"Paid Search",Totals!$C$5:$C$49,"Mobile")</f>
        <v/>
      </c>
      <c r="H26" s="42">
        <f>IF(OR(F26="",G26="",G26=0,F26=0),"",G26/F26-1)</f>
        <v/>
      </c>
      <c r="I26" s="41">
        <f>SUMIFS(Totals!$AQ$5:$AQ$49,Totals!$A$5:$A$49,"All landing pages",Totals!$B$5:$B$49,"Paid Search",Totals!$C$5:$C$49,"Mobile")</f>
        <v/>
      </c>
      <c r="J26" s="41">
        <f>SUMIFS(Totals!$AR$5:$AR$49,Totals!$A$5:$A$49,"All landing pages",Totals!$B$5:$B$49,"Paid Search",Totals!$C$5:$C$49,"Mobile")</f>
        <v/>
      </c>
      <c r="K26" s="42">
        <f>IF(OR(I26="",J26="",J26=0,I26=0),"",J26/I26-1)</f>
        <v/>
      </c>
      <c r="L26" s="43">
        <f>IF(OR(F26="",C26="",C26=0),"",F26/C26)</f>
        <v/>
      </c>
      <c r="M26" s="43">
        <f>IF(OR(G26="",D26="",D26=0),"",G26/D26)</f>
        <v/>
      </c>
      <c r="N26" s="44">
        <f>IF(OR(L26="",M26=""),"",(M26-L26)*100)</f>
        <v/>
      </c>
      <c r="O26" s="45">
        <f>IF(OR(I26="",F26="",F26=0),"",I26/F26)</f>
        <v/>
      </c>
      <c r="P26" s="45">
        <f>IF(OR(J26="",G26="",G26=0),"",J26/G26)</f>
        <v/>
      </c>
      <c r="Q26" s="44">
        <f>IF(OR(O26="",P26=""),"",(P26-O26)*100)</f>
        <v/>
      </c>
      <c r="R26" s="45">
        <f>IF(OR(I26="",C26="",C26=0),"",I26/C26)</f>
        <v/>
      </c>
      <c r="S26" s="45">
        <f>IF(OR(J26="",D26="",D26=0),"",J26/D26)</f>
        <v/>
      </c>
      <c r="T26" s="44">
        <f>IF(OR(R26="",S26=""),"",(S26-R26)*100)</f>
        <v/>
      </c>
    </row>
    <row r="27">
      <c r="A27" s="40" t="inlineStr">
        <is>
          <t>Paid Search</t>
        </is>
      </c>
      <c r="B27" s="40" t="inlineStr">
        <is>
          <t>Desktop</t>
        </is>
      </c>
      <c r="C27" s="41">
        <f>SUMIFS(Totals!$D$5:$D$49,Totals!$A$5:$A$49,"All landing pages",Totals!$B$5:$B$49,"Paid Search",Totals!$C$5:$C$49,"Desktop")</f>
        <v/>
      </c>
      <c r="D27" s="41">
        <f>SUMIFS(Totals!$E$5:$E$49,Totals!$A$5:$A$49,"All landing pages",Totals!$B$5:$B$49,"Paid Search",Totals!$C$5:$C$49,"Desktop")</f>
        <v/>
      </c>
      <c r="E27" s="42">
        <f>IF(OR(C27="",D27="",D27=0,C27=0),"",D27/C27-1)</f>
        <v/>
      </c>
      <c r="F27" s="41">
        <f>SUMIFS(Totals!$O$5:$O$49,Totals!$A$5:$A$49,"All landing pages",Totals!$B$5:$B$49,"Paid Search",Totals!$C$5:$C$49,"Desktop")</f>
        <v/>
      </c>
      <c r="G27" s="41">
        <f>SUMIFS(Totals!$P$5:$P$49,Totals!$A$5:$A$49,"All landing pages",Totals!$B$5:$B$49,"Paid Search",Totals!$C$5:$C$49,"Desktop")</f>
        <v/>
      </c>
      <c r="H27" s="42">
        <f>IF(OR(F27="",G27="",G27=0,F27=0),"",G27/F27-1)</f>
        <v/>
      </c>
      <c r="I27" s="41">
        <f>SUMIFS(Totals!$AQ$5:$AQ$49,Totals!$A$5:$A$49,"All landing pages",Totals!$B$5:$B$49,"Paid Search",Totals!$C$5:$C$49,"Desktop")</f>
        <v/>
      </c>
      <c r="J27" s="41">
        <f>SUMIFS(Totals!$AR$5:$AR$49,Totals!$A$5:$A$49,"All landing pages",Totals!$B$5:$B$49,"Paid Search",Totals!$C$5:$C$49,"Desktop")</f>
        <v/>
      </c>
      <c r="K27" s="42">
        <f>IF(OR(I27="",J27="",J27=0,I27=0),"",J27/I27-1)</f>
        <v/>
      </c>
      <c r="L27" s="43">
        <f>IF(OR(F27="",C27="",C27=0),"",F27/C27)</f>
        <v/>
      </c>
      <c r="M27" s="43">
        <f>IF(OR(G27="",D27="",D27=0),"",G27/D27)</f>
        <v/>
      </c>
      <c r="N27" s="44">
        <f>IF(OR(L27="",M27=""),"",(M27-L27)*100)</f>
        <v/>
      </c>
      <c r="O27" s="45">
        <f>IF(OR(I27="",F27="",F27=0),"",I27/F27)</f>
        <v/>
      </c>
      <c r="P27" s="45">
        <f>IF(OR(J27="",G27="",G27=0),"",J27/G27)</f>
        <v/>
      </c>
      <c r="Q27" s="44">
        <f>IF(OR(O27="",P27=""),"",(P27-O27)*100)</f>
        <v/>
      </c>
      <c r="R27" s="45">
        <f>IF(OR(I27="",C27="",C27=0),"",I27/C27)</f>
        <v/>
      </c>
      <c r="S27" s="45">
        <f>IF(OR(J27="",D27="",D27=0),"",J27/D27)</f>
        <v/>
      </c>
      <c r="T27" s="44">
        <f>IF(OR(R27="",S27=""),"",(S27-R27)*100)</f>
        <v/>
      </c>
    </row>
    <row r="28">
      <c r="A28" s="40" t="inlineStr">
        <is>
          <t>Organic</t>
        </is>
      </c>
      <c r="B28" s="40" t="inlineStr">
        <is>
          <t>Mobile</t>
        </is>
      </c>
      <c r="C28" s="41">
        <f>SUMIFS(Totals!$D$5:$D$49,Totals!$A$5:$A$49,"All landing pages",Totals!$B$5:$B$49,"Organic",Totals!$C$5:$C$49,"Mobile")</f>
        <v/>
      </c>
      <c r="D28" s="41">
        <f>SUMIFS(Totals!$E$5:$E$49,Totals!$A$5:$A$49,"All landing pages",Totals!$B$5:$B$49,"Organic",Totals!$C$5:$C$49,"Mobile")</f>
        <v/>
      </c>
      <c r="E28" s="42">
        <f>IF(OR(C28="",D28="",D28=0,C28=0),"",D28/C28-1)</f>
        <v/>
      </c>
      <c r="F28" s="41">
        <f>SUMIFS(Totals!$O$5:$O$49,Totals!$A$5:$A$49,"All landing pages",Totals!$B$5:$B$49,"Organic",Totals!$C$5:$C$49,"Mobile")</f>
        <v/>
      </c>
      <c r="G28" s="41">
        <f>SUMIFS(Totals!$P$5:$P$49,Totals!$A$5:$A$49,"All landing pages",Totals!$B$5:$B$49,"Organic",Totals!$C$5:$C$49,"Mobile")</f>
        <v/>
      </c>
      <c r="H28" s="42">
        <f>IF(OR(F28="",G28="",G28=0,F28=0),"",G28/F28-1)</f>
        <v/>
      </c>
      <c r="I28" s="41">
        <f>SUMIFS(Totals!$AQ$5:$AQ$49,Totals!$A$5:$A$49,"All landing pages",Totals!$B$5:$B$49,"Organic",Totals!$C$5:$C$49,"Mobile")</f>
        <v/>
      </c>
      <c r="J28" s="41">
        <f>SUMIFS(Totals!$AR$5:$AR$49,Totals!$A$5:$A$49,"All landing pages",Totals!$B$5:$B$49,"Organic",Totals!$C$5:$C$49,"Mobile")</f>
        <v/>
      </c>
      <c r="K28" s="42">
        <f>IF(OR(I28="",J28="",J28=0,I28=0),"",J28/I28-1)</f>
        <v/>
      </c>
      <c r="L28" s="43">
        <f>IF(OR(F28="",C28="",C28=0),"",F28/C28)</f>
        <v/>
      </c>
      <c r="M28" s="43">
        <f>IF(OR(G28="",D28="",D28=0),"",G28/D28)</f>
        <v/>
      </c>
      <c r="N28" s="44">
        <f>IF(OR(L28="",M28=""),"",(M28-L28)*100)</f>
        <v/>
      </c>
      <c r="O28" s="45">
        <f>IF(OR(I28="",F28="",F28=0),"",I28/F28)</f>
        <v/>
      </c>
      <c r="P28" s="45">
        <f>IF(OR(J28="",G28="",G28=0),"",J28/G28)</f>
        <v/>
      </c>
      <c r="Q28" s="44">
        <f>IF(OR(O28="",P28=""),"",(P28-O28)*100)</f>
        <v/>
      </c>
      <c r="R28" s="45">
        <f>IF(OR(I28="",C28="",C28=0),"",I28/C28)</f>
        <v/>
      </c>
      <c r="S28" s="45">
        <f>IF(OR(J28="",D28="",D28=0),"",J28/D28)</f>
        <v/>
      </c>
      <c r="T28" s="44">
        <f>IF(OR(R28="",S28=""),"",(S28-R28)*100)</f>
        <v/>
      </c>
    </row>
    <row r="29">
      <c r="A29" s="40" t="inlineStr">
        <is>
          <t>Organic</t>
        </is>
      </c>
      <c r="B29" s="40" t="inlineStr">
        <is>
          <t>Desktop</t>
        </is>
      </c>
      <c r="C29" s="41">
        <f>SUMIFS(Totals!$D$5:$D$49,Totals!$A$5:$A$49,"All landing pages",Totals!$B$5:$B$49,"Organic",Totals!$C$5:$C$49,"Desktop")</f>
        <v/>
      </c>
      <c r="D29" s="41">
        <f>SUMIFS(Totals!$E$5:$E$49,Totals!$A$5:$A$49,"All landing pages",Totals!$B$5:$B$49,"Organic",Totals!$C$5:$C$49,"Desktop")</f>
        <v/>
      </c>
      <c r="E29" s="42">
        <f>IF(OR(C29="",D29="",D29=0,C29=0),"",D29/C29-1)</f>
        <v/>
      </c>
      <c r="F29" s="41">
        <f>SUMIFS(Totals!$O$5:$O$49,Totals!$A$5:$A$49,"All landing pages",Totals!$B$5:$B$49,"Organic",Totals!$C$5:$C$49,"Desktop")</f>
        <v/>
      </c>
      <c r="G29" s="41">
        <f>SUMIFS(Totals!$P$5:$P$49,Totals!$A$5:$A$49,"All landing pages",Totals!$B$5:$B$49,"Organic",Totals!$C$5:$C$49,"Desktop")</f>
        <v/>
      </c>
      <c r="H29" s="42">
        <f>IF(OR(F29="",G29="",G29=0,F29=0),"",G29/F29-1)</f>
        <v/>
      </c>
      <c r="I29" s="41">
        <f>SUMIFS(Totals!$AQ$5:$AQ$49,Totals!$A$5:$A$49,"All landing pages",Totals!$B$5:$B$49,"Organic",Totals!$C$5:$C$49,"Desktop")</f>
        <v/>
      </c>
      <c r="J29" s="41">
        <f>SUMIFS(Totals!$AR$5:$AR$49,Totals!$A$5:$A$49,"All landing pages",Totals!$B$5:$B$49,"Organic",Totals!$C$5:$C$49,"Desktop")</f>
        <v/>
      </c>
      <c r="K29" s="42">
        <f>IF(OR(I29="",J29="",J29=0,I29=0),"",J29/I29-1)</f>
        <v/>
      </c>
      <c r="L29" s="43">
        <f>IF(OR(F29="",C29="",C29=0),"",F29/C29)</f>
        <v/>
      </c>
      <c r="M29" s="43">
        <f>IF(OR(G29="",D29="",D29=0),"",G29/D29)</f>
        <v/>
      </c>
      <c r="N29" s="44">
        <f>IF(OR(L29="",M29=""),"",(M29-L29)*100)</f>
        <v/>
      </c>
      <c r="O29" s="45">
        <f>IF(OR(I29="",F29="",F29=0),"",I29/F29)</f>
        <v/>
      </c>
      <c r="P29" s="45">
        <f>IF(OR(J29="",G29="",G29=0),"",J29/G29)</f>
        <v/>
      </c>
      <c r="Q29" s="44">
        <f>IF(OR(O29="",P29=""),"",(P29-O29)*100)</f>
        <v/>
      </c>
      <c r="R29" s="45">
        <f>IF(OR(I29="",C29="",C29=0),"",I29/C29)</f>
        <v/>
      </c>
      <c r="S29" s="45">
        <f>IF(OR(J29="",D29="",D29=0),"",J29/D29)</f>
        <v/>
      </c>
      <c r="T29" s="44">
        <f>IF(OR(R29="",S29=""),"",(S29-R29)*100)</f>
        <v/>
      </c>
    </row>
    <row r="30">
      <c r="A30" s="40" t="inlineStr">
        <is>
          <t>Direct</t>
        </is>
      </c>
      <c r="B30" s="40" t="inlineStr">
        <is>
          <t>Mobile</t>
        </is>
      </c>
      <c r="C30" s="41">
        <f>SUMIFS(Totals!$D$5:$D$49,Totals!$A$5:$A$49,"All landing pages",Totals!$B$5:$B$49,"Direct",Totals!$C$5:$C$49,"Mobile")</f>
        <v/>
      </c>
      <c r="D30" s="41">
        <f>SUMIFS(Totals!$E$5:$E$49,Totals!$A$5:$A$49,"All landing pages",Totals!$B$5:$B$49,"Direct",Totals!$C$5:$C$49,"Mobile")</f>
        <v/>
      </c>
      <c r="E30" s="42">
        <f>IF(OR(C30="",D30="",D30=0,C30=0),"",D30/C30-1)</f>
        <v/>
      </c>
      <c r="F30" s="41">
        <f>SUMIFS(Totals!$O$5:$O$49,Totals!$A$5:$A$49,"All landing pages",Totals!$B$5:$B$49,"Direct",Totals!$C$5:$C$49,"Mobile")</f>
        <v/>
      </c>
      <c r="G30" s="41">
        <f>SUMIFS(Totals!$P$5:$P$49,Totals!$A$5:$A$49,"All landing pages",Totals!$B$5:$B$49,"Direct",Totals!$C$5:$C$49,"Mobile")</f>
        <v/>
      </c>
      <c r="H30" s="42">
        <f>IF(OR(F30="",G30="",G30=0,F30=0),"",G30/F30-1)</f>
        <v/>
      </c>
      <c r="I30" s="41">
        <f>SUMIFS(Totals!$AQ$5:$AQ$49,Totals!$A$5:$A$49,"All landing pages",Totals!$B$5:$B$49,"Direct",Totals!$C$5:$C$49,"Mobile")</f>
        <v/>
      </c>
      <c r="J30" s="41">
        <f>SUMIFS(Totals!$AR$5:$AR$49,Totals!$A$5:$A$49,"All landing pages",Totals!$B$5:$B$49,"Direct",Totals!$C$5:$C$49,"Mobile")</f>
        <v/>
      </c>
      <c r="K30" s="42">
        <f>IF(OR(I30="",J30="",J30=0,I30=0),"",J30/I30-1)</f>
        <v/>
      </c>
      <c r="L30" s="43">
        <f>IF(OR(F30="",C30="",C30=0),"",F30/C30)</f>
        <v/>
      </c>
      <c r="M30" s="43">
        <f>IF(OR(G30="",D30="",D30=0),"",G30/D30)</f>
        <v/>
      </c>
      <c r="N30" s="44">
        <f>IF(OR(L30="",M30=""),"",(M30-L30)*100)</f>
        <v/>
      </c>
      <c r="O30" s="45">
        <f>IF(OR(I30="",F30="",F30=0),"",I30/F30)</f>
        <v/>
      </c>
      <c r="P30" s="45">
        <f>IF(OR(J30="",G30="",G30=0),"",J30/G30)</f>
        <v/>
      </c>
      <c r="Q30" s="44">
        <f>IF(OR(O30="",P30=""),"",(P30-O30)*100)</f>
        <v/>
      </c>
      <c r="R30" s="45">
        <f>IF(OR(I30="",C30="",C30=0),"",I30/C30)</f>
        <v/>
      </c>
      <c r="S30" s="45">
        <f>IF(OR(J30="",D30="",D30=0),"",J30/D30)</f>
        <v/>
      </c>
      <c r="T30" s="44">
        <f>IF(OR(R30="",S30=""),"",(S30-R30)*100)</f>
        <v/>
      </c>
    </row>
    <row r="31">
      <c r="A31" s="40" t="inlineStr">
        <is>
          <t>Direct</t>
        </is>
      </c>
      <c r="B31" s="40" t="inlineStr">
        <is>
          <t>Desktop</t>
        </is>
      </c>
      <c r="C31" s="41">
        <f>SUMIFS(Totals!$D$5:$D$49,Totals!$A$5:$A$49,"All landing pages",Totals!$B$5:$B$49,"Direct",Totals!$C$5:$C$49,"Desktop")</f>
        <v/>
      </c>
      <c r="D31" s="41">
        <f>SUMIFS(Totals!$E$5:$E$49,Totals!$A$5:$A$49,"All landing pages",Totals!$B$5:$B$49,"Direct",Totals!$C$5:$C$49,"Desktop")</f>
        <v/>
      </c>
      <c r="E31" s="42">
        <f>IF(OR(C31="",D31="",D31=0,C31=0),"",D31/C31-1)</f>
        <v/>
      </c>
      <c r="F31" s="41">
        <f>SUMIFS(Totals!$O$5:$O$49,Totals!$A$5:$A$49,"All landing pages",Totals!$B$5:$B$49,"Direct",Totals!$C$5:$C$49,"Desktop")</f>
        <v/>
      </c>
      <c r="G31" s="41">
        <f>SUMIFS(Totals!$P$5:$P$49,Totals!$A$5:$A$49,"All landing pages",Totals!$B$5:$B$49,"Direct",Totals!$C$5:$C$49,"Desktop")</f>
        <v/>
      </c>
      <c r="H31" s="42">
        <f>IF(OR(F31="",G31="",G31=0,F31=0),"",G31/F31-1)</f>
        <v/>
      </c>
      <c r="I31" s="41">
        <f>SUMIFS(Totals!$AQ$5:$AQ$49,Totals!$A$5:$A$49,"All landing pages",Totals!$B$5:$B$49,"Direct",Totals!$C$5:$C$49,"Desktop")</f>
        <v/>
      </c>
      <c r="J31" s="41">
        <f>SUMIFS(Totals!$AR$5:$AR$49,Totals!$A$5:$A$49,"All landing pages",Totals!$B$5:$B$49,"Direct",Totals!$C$5:$C$49,"Desktop")</f>
        <v/>
      </c>
      <c r="K31" s="42">
        <f>IF(OR(I31="",J31="",J31=0,I31=0),"",J31/I31-1)</f>
        <v/>
      </c>
      <c r="L31" s="43">
        <f>IF(OR(F31="",C31="",C31=0),"",F31/C31)</f>
        <v/>
      </c>
      <c r="M31" s="43">
        <f>IF(OR(G31="",D31="",D31=0),"",G31/D31)</f>
        <v/>
      </c>
      <c r="N31" s="44">
        <f>IF(OR(L31="",M31=""),"",(M31-L31)*100)</f>
        <v/>
      </c>
      <c r="O31" s="45">
        <f>IF(OR(I31="",F31="",F31=0),"",I31/F31)</f>
        <v/>
      </c>
      <c r="P31" s="45">
        <f>IF(OR(J31="",G31="",G31=0),"",J31/G31)</f>
        <v/>
      </c>
      <c r="Q31" s="44">
        <f>IF(OR(O31="",P31=""),"",(P31-O31)*100)</f>
        <v/>
      </c>
      <c r="R31" s="45">
        <f>IF(OR(I31="",C31="",C31=0),"",I31/C31)</f>
        <v/>
      </c>
      <c r="S31" s="45">
        <f>IF(OR(J31="",D31="",D31=0),"",J31/D31)</f>
        <v/>
      </c>
      <c r="T31" s="44">
        <f>IF(OR(R31="",S31=""),"",(S31-R31)*100)</f>
        <v/>
      </c>
    </row>
    <row r="33">
      <c r="A33" s="39" t="inlineStr">
        <is>
          <t>By market  (all landing pages, all channels, Mobile + Desktop — Looker visible rows only)</t>
        </is>
      </c>
    </row>
    <row r="34">
      <c r="A34" s="40" t="inlineStr">
        <is>
          <t>United Kingdom</t>
        </is>
      </c>
      <c r="B34" s="40" t="inlineStr">
        <is>
          <t>All</t>
        </is>
      </c>
      <c r="C34" s="41">
        <f>IF(SUMIFS(Countries!$E$5:$E$434,Countries!$A$5:$A$434,"All landing pages",Countries!$D$5:$D$434,$A34)=0,"",SUMIFS(Countries!$E$5:$E$434,Countries!$A$5:$A$434,"All landing pages",Countries!$D$5:$D$434,$A34))</f>
        <v/>
      </c>
      <c r="D34" s="41">
        <f>IF(SUMIFS(Countries!$F$5:$F$434,Countries!$A$5:$A$434,"All landing pages",Countries!$D$5:$D$434,$A34)=0,"",SUMIFS(Countries!$F$5:$F$434,Countries!$A$5:$A$434,"All landing pages",Countries!$D$5:$D$434,$A34))</f>
        <v/>
      </c>
      <c r="E34" s="42">
        <f>IF(OR(C34="",D34="",D34=0,C34=0),"",D34/C34-1)</f>
        <v/>
      </c>
      <c r="F34" s="41">
        <f>IF(SUMIFS(Countries!$P$5:$P$434,Countries!$A$5:$A$434,"All landing pages",Countries!$D$5:$D$434,$A34)=0,"",SUMIFS(Countries!$P$5:$P$434,Countries!$A$5:$A$434,"All landing pages",Countries!$D$5:$D$434,$A34))</f>
        <v/>
      </c>
      <c r="G34" s="41">
        <f>IF(SUMIFS(Countries!$Q$5:$Q$434,Countries!$A$5:$A$434,"All landing pages",Countries!$D$5:$D$434,$A34)=0,"",SUMIFS(Countries!$Q$5:$Q$434,Countries!$A$5:$A$434,"All landing pages",Countries!$D$5:$D$434,$A34))</f>
        <v/>
      </c>
      <c r="H34" s="42">
        <f>IF(OR(F34="",G34="",G34=0,F34=0),"",G34/F34-1)</f>
        <v/>
      </c>
      <c r="I34" s="41">
        <f>IF(SUMIFS(Countries!$AR$5:$AR$434,Countries!$A$5:$A$434,"All landing pages",Countries!$D$5:$D$434,$A34)=0,"",SUMIFS(Countries!$AR$5:$AR$434,Countries!$A$5:$A$434,"All landing pages",Countries!$D$5:$D$434,$A34))</f>
        <v/>
      </c>
      <c r="J34" s="41">
        <f>IF(SUMIFS(Countries!$AS$5:$AS$434,Countries!$A$5:$A$434,"All landing pages",Countries!$D$5:$D$434,$A34)=0,"",SUMIFS(Countries!$AS$5:$AS$434,Countries!$A$5:$A$434,"All landing pages",Countries!$D$5:$D$434,$A34))</f>
        <v/>
      </c>
      <c r="K34" s="42">
        <f>IF(OR(I34="",J34="",J34=0,I34=0),"",J34/I34-1)</f>
        <v/>
      </c>
      <c r="L34" s="43">
        <f>IF(SUMIFS(Countries!$E$5:$E$434,Countries!$A$5:$A$434,"All landing pages",Countries!$D$5:$D$434,$A34,Countries!$P$5:$P$434,"&gt;0")=0,"",SUMIFS(Countries!$P$5:$P$434,Countries!$A$5:$A$434,"All landing pages",Countries!$D$5:$D$434,$A34,Countries!$E$5:$E$434,"&gt;0")/SUMIFS(Countries!$E$5:$E$434,Countries!$A$5:$A$434,"All landing pages",Countries!$D$5:$D$434,$A34,Countries!$P$5:$P$434,"&gt;0"))</f>
        <v/>
      </c>
      <c r="M34" s="43">
        <f>IF(SUMIFS(Countries!$F$5:$F$434,Countries!$A$5:$A$434,"All landing pages",Countries!$D$5:$D$434,$A34,Countries!$Q$5:$Q$434,"&gt;0")=0,"",SUMIFS(Countries!$Q$5:$Q$434,Countries!$A$5:$A$434,"All landing pages",Countries!$D$5:$D$434,$A34,Countries!$F$5:$F$434,"&gt;0")/SUMIFS(Countries!$F$5:$F$434,Countries!$A$5:$A$434,"All landing pages",Countries!$D$5:$D$434,$A34,Countries!$Q$5:$Q$434,"&gt;0"))</f>
        <v/>
      </c>
      <c r="N34" s="44">
        <f>IF(OR(L34="",M34=""),"",(M34-L34)*100)</f>
        <v/>
      </c>
      <c r="O34" s="45">
        <f>IF(SUMIFS(Countries!$P$5:$P$434,Countries!$A$5:$A$434,"All landing pages",Countries!$D$5:$D$434,$A34,Countries!$AR$5:$AR$434,"&gt;0")=0,"",SUMIFS(Countries!$AR$5:$AR$434,Countries!$A$5:$A$434,"All landing pages",Countries!$D$5:$D$434,$A34,Countries!$P$5:$P$434,"&gt;0")/SUMIFS(Countries!$P$5:$P$434,Countries!$A$5:$A$434,"All landing pages",Countries!$D$5:$D$434,$A34,Countries!$AR$5:$AR$434,"&gt;0"))</f>
        <v/>
      </c>
      <c r="P34" s="45">
        <f>IF(SUMIFS(Countries!$Q$5:$Q$434,Countries!$A$5:$A$434,"All landing pages",Countries!$D$5:$D$434,$A34,Countries!$AS$5:$AS$434,"&gt;0")=0,"",SUMIFS(Countries!$AS$5:$AS$434,Countries!$A$5:$A$434,"All landing pages",Countries!$D$5:$D$434,$A34,Countries!$Q$5:$Q$434,"&gt;0")/SUMIFS(Countries!$Q$5:$Q$434,Countries!$A$5:$A$434,"All landing pages",Countries!$D$5:$D$434,$A34,Countries!$AS$5:$AS$434,"&gt;0"))</f>
        <v/>
      </c>
      <c r="Q34" s="44">
        <f>IF(OR(O34="",P34=""),"",(P34-O34)*100)</f>
        <v/>
      </c>
      <c r="R34" s="45">
        <f>IF(SUMIFS(Countries!$E$5:$E$434,Countries!$A$5:$A$434,"All landing pages",Countries!$D$5:$D$434,$A34,Countries!$AR$5:$AR$434,"&gt;0")=0,"",SUMIFS(Countries!$AR$5:$AR$434,Countries!$A$5:$A$434,"All landing pages",Countries!$D$5:$D$434,$A34,Countries!$E$5:$E$434,"&gt;0")/SUMIFS(Countries!$E$5:$E$434,Countries!$A$5:$A$434,"All landing pages",Countries!$D$5:$D$434,$A34,Countries!$AR$5:$AR$434,"&gt;0"))</f>
        <v/>
      </c>
      <c r="S34" s="45">
        <f>IF(SUMIFS(Countries!$F$5:$F$434,Countries!$A$5:$A$434,"All landing pages",Countries!$D$5:$D$434,$A34,Countries!$AS$5:$AS$434,"&gt;0")=0,"",SUMIFS(Countries!$AS$5:$AS$434,Countries!$A$5:$A$434,"All landing pages",Countries!$D$5:$D$434,$A34,Countries!$F$5:$F$434,"&gt;0")/SUMIFS(Countries!$F$5:$F$434,Countries!$A$5:$A$434,"All landing pages",Countries!$D$5:$D$434,$A34,Countries!$AS$5:$AS$434,"&gt;0"))</f>
        <v/>
      </c>
      <c r="T34" s="44">
        <f>IF(OR(R34="",S34=""),"",(S34-R34)*100)</f>
        <v/>
      </c>
    </row>
    <row r="35">
      <c r="A35" s="40" t="inlineStr">
        <is>
          <t>Germany</t>
        </is>
      </c>
      <c r="B35" s="40" t="inlineStr">
        <is>
          <t>All</t>
        </is>
      </c>
      <c r="C35" s="41">
        <f>IF(SUMIFS(Countries!$E$5:$E$434,Countries!$A$5:$A$434,"All landing pages",Countries!$D$5:$D$434,$A35)=0,"",SUMIFS(Countries!$E$5:$E$434,Countries!$A$5:$A$434,"All landing pages",Countries!$D$5:$D$434,$A35))</f>
        <v/>
      </c>
      <c r="D35" s="41">
        <f>IF(SUMIFS(Countries!$F$5:$F$434,Countries!$A$5:$A$434,"All landing pages",Countries!$D$5:$D$434,$A35)=0,"",SUMIFS(Countries!$F$5:$F$434,Countries!$A$5:$A$434,"All landing pages",Countries!$D$5:$D$434,$A35))</f>
        <v/>
      </c>
      <c r="E35" s="42">
        <f>IF(OR(C35="",D35="",D35=0,C35=0),"",D35/C35-1)</f>
        <v/>
      </c>
      <c r="F35" s="41">
        <f>IF(SUMIFS(Countries!$P$5:$P$434,Countries!$A$5:$A$434,"All landing pages",Countries!$D$5:$D$434,$A35)=0,"",SUMIFS(Countries!$P$5:$P$434,Countries!$A$5:$A$434,"All landing pages",Countries!$D$5:$D$434,$A35))</f>
        <v/>
      </c>
      <c r="G35" s="41">
        <f>IF(SUMIFS(Countries!$Q$5:$Q$434,Countries!$A$5:$A$434,"All landing pages",Countries!$D$5:$D$434,$A35)=0,"",SUMIFS(Countries!$Q$5:$Q$434,Countries!$A$5:$A$434,"All landing pages",Countries!$D$5:$D$434,$A35))</f>
        <v/>
      </c>
      <c r="H35" s="42">
        <f>IF(OR(F35="",G35="",G35=0,F35=0),"",G35/F35-1)</f>
        <v/>
      </c>
      <c r="I35" s="41">
        <f>IF(SUMIFS(Countries!$AR$5:$AR$434,Countries!$A$5:$A$434,"All landing pages",Countries!$D$5:$D$434,$A35)=0,"",SUMIFS(Countries!$AR$5:$AR$434,Countries!$A$5:$A$434,"All landing pages",Countries!$D$5:$D$434,$A35))</f>
        <v/>
      </c>
      <c r="J35" s="41">
        <f>IF(SUMIFS(Countries!$AS$5:$AS$434,Countries!$A$5:$A$434,"All landing pages",Countries!$D$5:$D$434,$A35)=0,"",SUMIFS(Countries!$AS$5:$AS$434,Countries!$A$5:$A$434,"All landing pages",Countries!$D$5:$D$434,$A35))</f>
        <v/>
      </c>
      <c r="K35" s="42">
        <f>IF(OR(I35="",J35="",J35=0,I35=0),"",J35/I35-1)</f>
        <v/>
      </c>
      <c r="L35" s="43">
        <f>IF(SUMIFS(Countries!$E$5:$E$434,Countries!$A$5:$A$434,"All landing pages",Countries!$D$5:$D$434,$A35,Countries!$P$5:$P$434,"&gt;0")=0,"",SUMIFS(Countries!$P$5:$P$434,Countries!$A$5:$A$434,"All landing pages",Countries!$D$5:$D$434,$A35,Countries!$E$5:$E$434,"&gt;0")/SUMIFS(Countries!$E$5:$E$434,Countries!$A$5:$A$434,"All landing pages",Countries!$D$5:$D$434,$A35,Countries!$P$5:$P$434,"&gt;0"))</f>
        <v/>
      </c>
      <c r="M35" s="43">
        <f>IF(SUMIFS(Countries!$F$5:$F$434,Countries!$A$5:$A$434,"All landing pages",Countries!$D$5:$D$434,$A35,Countries!$Q$5:$Q$434,"&gt;0")=0,"",SUMIFS(Countries!$Q$5:$Q$434,Countries!$A$5:$A$434,"All landing pages",Countries!$D$5:$D$434,$A35,Countries!$F$5:$F$434,"&gt;0")/SUMIFS(Countries!$F$5:$F$434,Countries!$A$5:$A$434,"All landing pages",Countries!$D$5:$D$434,$A35,Countries!$Q$5:$Q$434,"&gt;0"))</f>
        <v/>
      </c>
      <c r="N35" s="44">
        <f>IF(OR(L35="",M35=""),"",(M35-L35)*100)</f>
        <v/>
      </c>
      <c r="O35" s="45">
        <f>IF(SUMIFS(Countries!$P$5:$P$434,Countries!$A$5:$A$434,"All landing pages",Countries!$D$5:$D$434,$A35,Countries!$AR$5:$AR$434,"&gt;0")=0,"",SUMIFS(Countries!$AR$5:$AR$434,Countries!$A$5:$A$434,"All landing pages",Countries!$D$5:$D$434,$A35,Countries!$P$5:$P$434,"&gt;0")/SUMIFS(Countries!$P$5:$P$434,Countries!$A$5:$A$434,"All landing pages",Countries!$D$5:$D$434,$A35,Countries!$AR$5:$AR$434,"&gt;0"))</f>
        <v/>
      </c>
      <c r="P35" s="45">
        <f>IF(SUMIFS(Countries!$Q$5:$Q$434,Countries!$A$5:$A$434,"All landing pages",Countries!$D$5:$D$434,$A35,Countries!$AS$5:$AS$434,"&gt;0")=0,"",SUMIFS(Countries!$AS$5:$AS$434,Countries!$A$5:$A$434,"All landing pages",Countries!$D$5:$D$434,$A35,Countries!$Q$5:$Q$434,"&gt;0")/SUMIFS(Countries!$Q$5:$Q$434,Countries!$A$5:$A$434,"All landing pages",Countries!$D$5:$D$434,$A35,Countries!$AS$5:$AS$434,"&gt;0"))</f>
        <v/>
      </c>
      <c r="Q35" s="44">
        <f>IF(OR(O35="",P35=""),"",(P35-O35)*100)</f>
        <v/>
      </c>
      <c r="R35" s="45">
        <f>IF(SUMIFS(Countries!$E$5:$E$434,Countries!$A$5:$A$434,"All landing pages",Countries!$D$5:$D$434,$A35,Countries!$AR$5:$AR$434,"&gt;0")=0,"",SUMIFS(Countries!$AR$5:$AR$434,Countries!$A$5:$A$434,"All landing pages",Countries!$D$5:$D$434,$A35,Countries!$E$5:$E$434,"&gt;0")/SUMIFS(Countries!$E$5:$E$434,Countries!$A$5:$A$434,"All landing pages",Countries!$D$5:$D$434,$A35,Countries!$AR$5:$AR$434,"&gt;0"))</f>
        <v/>
      </c>
      <c r="S35" s="45">
        <f>IF(SUMIFS(Countries!$F$5:$F$434,Countries!$A$5:$A$434,"All landing pages",Countries!$D$5:$D$434,$A35,Countries!$AS$5:$AS$434,"&gt;0")=0,"",SUMIFS(Countries!$AS$5:$AS$434,Countries!$A$5:$A$434,"All landing pages",Countries!$D$5:$D$434,$A35,Countries!$F$5:$F$434,"&gt;0")/SUMIFS(Countries!$F$5:$F$434,Countries!$A$5:$A$434,"All landing pages",Countries!$D$5:$D$434,$A35,Countries!$AS$5:$AS$434,"&gt;0"))</f>
        <v/>
      </c>
      <c r="T35" s="44">
        <f>IF(OR(R35="",S35=""),"",(S35-R35)*100)</f>
        <v/>
      </c>
    </row>
    <row r="36">
      <c r="A36" s="40" t="inlineStr">
        <is>
          <t>Italy</t>
        </is>
      </c>
      <c r="B36" s="40" t="inlineStr">
        <is>
          <t>All</t>
        </is>
      </c>
      <c r="C36" s="41">
        <f>IF(SUMIFS(Countries!$E$5:$E$434,Countries!$A$5:$A$434,"All landing pages",Countries!$D$5:$D$434,$A36)=0,"",SUMIFS(Countries!$E$5:$E$434,Countries!$A$5:$A$434,"All landing pages",Countries!$D$5:$D$434,$A36))</f>
        <v/>
      </c>
      <c r="D36" s="41">
        <f>IF(SUMIFS(Countries!$F$5:$F$434,Countries!$A$5:$A$434,"All landing pages",Countries!$D$5:$D$434,$A36)=0,"",SUMIFS(Countries!$F$5:$F$434,Countries!$A$5:$A$434,"All landing pages",Countries!$D$5:$D$434,$A36))</f>
        <v/>
      </c>
      <c r="E36" s="42">
        <f>IF(OR(C36="",D36="",D36=0,C36=0),"",D36/C36-1)</f>
        <v/>
      </c>
      <c r="F36" s="41">
        <f>IF(SUMIFS(Countries!$P$5:$P$434,Countries!$A$5:$A$434,"All landing pages",Countries!$D$5:$D$434,$A36)=0,"",SUMIFS(Countries!$P$5:$P$434,Countries!$A$5:$A$434,"All landing pages",Countries!$D$5:$D$434,$A36))</f>
        <v/>
      </c>
      <c r="G36" s="41">
        <f>IF(SUMIFS(Countries!$Q$5:$Q$434,Countries!$A$5:$A$434,"All landing pages",Countries!$D$5:$D$434,$A36)=0,"",SUMIFS(Countries!$Q$5:$Q$434,Countries!$A$5:$A$434,"All landing pages",Countries!$D$5:$D$434,$A36))</f>
        <v/>
      </c>
      <c r="H36" s="42">
        <f>IF(OR(F36="",G36="",G36=0,F36=0),"",G36/F36-1)</f>
        <v/>
      </c>
      <c r="I36" s="41">
        <f>IF(SUMIFS(Countries!$AR$5:$AR$434,Countries!$A$5:$A$434,"All landing pages",Countries!$D$5:$D$434,$A36)=0,"",SUMIFS(Countries!$AR$5:$AR$434,Countries!$A$5:$A$434,"All landing pages",Countries!$D$5:$D$434,$A36))</f>
        <v/>
      </c>
      <c r="J36" s="41">
        <f>IF(SUMIFS(Countries!$AS$5:$AS$434,Countries!$A$5:$A$434,"All landing pages",Countries!$D$5:$D$434,$A36)=0,"",SUMIFS(Countries!$AS$5:$AS$434,Countries!$A$5:$A$434,"All landing pages",Countries!$D$5:$D$434,$A36))</f>
        <v/>
      </c>
      <c r="K36" s="42">
        <f>IF(OR(I36="",J36="",J36=0,I36=0),"",J36/I36-1)</f>
        <v/>
      </c>
      <c r="L36" s="43">
        <f>IF(SUMIFS(Countries!$E$5:$E$434,Countries!$A$5:$A$434,"All landing pages",Countries!$D$5:$D$434,$A36,Countries!$P$5:$P$434,"&gt;0")=0,"",SUMIFS(Countries!$P$5:$P$434,Countries!$A$5:$A$434,"All landing pages",Countries!$D$5:$D$434,$A36,Countries!$E$5:$E$434,"&gt;0")/SUMIFS(Countries!$E$5:$E$434,Countries!$A$5:$A$434,"All landing pages",Countries!$D$5:$D$434,$A36,Countries!$P$5:$P$434,"&gt;0"))</f>
        <v/>
      </c>
      <c r="M36" s="43">
        <f>IF(SUMIFS(Countries!$F$5:$F$434,Countries!$A$5:$A$434,"All landing pages",Countries!$D$5:$D$434,$A36,Countries!$Q$5:$Q$434,"&gt;0")=0,"",SUMIFS(Countries!$Q$5:$Q$434,Countries!$A$5:$A$434,"All landing pages",Countries!$D$5:$D$434,$A36,Countries!$F$5:$F$434,"&gt;0")/SUMIFS(Countries!$F$5:$F$434,Countries!$A$5:$A$434,"All landing pages",Countries!$D$5:$D$434,$A36,Countries!$Q$5:$Q$434,"&gt;0"))</f>
        <v/>
      </c>
      <c r="N36" s="44">
        <f>IF(OR(L36="",M36=""),"",(M36-L36)*100)</f>
        <v/>
      </c>
      <c r="O36" s="45">
        <f>IF(SUMIFS(Countries!$P$5:$P$434,Countries!$A$5:$A$434,"All landing pages",Countries!$D$5:$D$434,$A36,Countries!$AR$5:$AR$434,"&gt;0")=0,"",SUMIFS(Countries!$AR$5:$AR$434,Countries!$A$5:$A$434,"All landing pages",Countries!$D$5:$D$434,$A36,Countries!$P$5:$P$434,"&gt;0")/SUMIFS(Countries!$P$5:$P$434,Countries!$A$5:$A$434,"All landing pages",Countries!$D$5:$D$434,$A36,Countries!$AR$5:$AR$434,"&gt;0"))</f>
        <v/>
      </c>
      <c r="P36" s="45">
        <f>IF(SUMIFS(Countries!$Q$5:$Q$434,Countries!$A$5:$A$434,"All landing pages",Countries!$D$5:$D$434,$A36,Countries!$AS$5:$AS$434,"&gt;0")=0,"",SUMIFS(Countries!$AS$5:$AS$434,Countries!$A$5:$A$434,"All landing pages",Countries!$D$5:$D$434,$A36,Countries!$Q$5:$Q$434,"&gt;0")/SUMIFS(Countries!$Q$5:$Q$434,Countries!$A$5:$A$434,"All landing pages",Countries!$D$5:$D$434,$A36,Countries!$AS$5:$AS$434,"&gt;0"))</f>
        <v/>
      </c>
      <c r="Q36" s="44">
        <f>IF(OR(O36="",P36=""),"",(P36-O36)*100)</f>
        <v/>
      </c>
      <c r="R36" s="45">
        <f>IF(SUMIFS(Countries!$E$5:$E$434,Countries!$A$5:$A$434,"All landing pages",Countries!$D$5:$D$434,$A36,Countries!$AR$5:$AR$434,"&gt;0")=0,"",SUMIFS(Countries!$AR$5:$AR$434,Countries!$A$5:$A$434,"All landing pages",Countries!$D$5:$D$434,$A36,Countries!$E$5:$E$434,"&gt;0")/SUMIFS(Countries!$E$5:$E$434,Countries!$A$5:$A$434,"All landing pages",Countries!$D$5:$D$434,$A36,Countries!$AR$5:$AR$434,"&gt;0"))</f>
        <v/>
      </c>
      <c r="S36" s="45">
        <f>IF(SUMIFS(Countries!$F$5:$F$434,Countries!$A$5:$A$434,"All landing pages",Countries!$D$5:$D$434,$A36,Countries!$AS$5:$AS$434,"&gt;0")=0,"",SUMIFS(Countries!$AS$5:$AS$434,Countries!$A$5:$A$434,"All landing pages",Countries!$D$5:$D$434,$A36,Countries!$F$5:$F$434,"&gt;0")/SUMIFS(Countries!$F$5:$F$434,Countries!$A$5:$A$434,"All landing pages",Countries!$D$5:$D$434,$A36,Countries!$AS$5:$AS$434,"&gt;0"))</f>
        <v/>
      </c>
      <c r="T36" s="44">
        <f>IF(OR(R36="",S36=""),"",(S36-R36)*100)</f>
        <v/>
      </c>
    </row>
    <row r="37">
      <c r="A37" s="40" t="inlineStr">
        <is>
          <t>Spain</t>
        </is>
      </c>
      <c r="B37" s="40" t="inlineStr">
        <is>
          <t>All</t>
        </is>
      </c>
      <c r="C37" s="41">
        <f>IF(SUMIFS(Countries!$E$5:$E$434,Countries!$A$5:$A$434,"All landing pages",Countries!$D$5:$D$434,$A37)=0,"",SUMIFS(Countries!$E$5:$E$434,Countries!$A$5:$A$434,"All landing pages",Countries!$D$5:$D$434,$A37))</f>
        <v/>
      </c>
      <c r="D37" s="41">
        <f>IF(SUMIFS(Countries!$F$5:$F$434,Countries!$A$5:$A$434,"All landing pages",Countries!$D$5:$D$434,$A37)=0,"",SUMIFS(Countries!$F$5:$F$434,Countries!$A$5:$A$434,"All landing pages",Countries!$D$5:$D$434,$A37))</f>
        <v/>
      </c>
      <c r="E37" s="42">
        <f>IF(OR(C37="",D37="",D37=0,C37=0),"",D37/C37-1)</f>
        <v/>
      </c>
      <c r="F37" s="41">
        <f>IF(SUMIFS(Countries!$P$5:$P$434,Countries!$A$5:$A$434,"All landing pages",Countries!$D$5:$D$434,$A37)=0,"",SUMIFS(Countries!$P$5:$P$434,Countries!$A$5:$A$434,"All landing pages",Countries!$D$5:$D$434,$A37))</f>
        <v/>
      </c>
      <c r="G37" s="41">
        <f>IF(SUMIFS(Countries!$Q$5:$Q$434,Countries!$A$5:$A$434,"All landing pages",Countries!$D$5:$D$434,$A37)=0,"",SUMIFS(Countries!$Q$5:$Q$434,Countries!$A$5:$A$434,"All landing pages",Countries!$D$5:$D$434,$A37))</f>
        <v/>
      </c>
      <c r="H37" s="42">
        <f>IF(OR(F37="",G37="",G37=0,F37=0),"",G37/F37-1)</f>
        <v/>
      </c>
      <c r="I37" s="41">
        <f>IF(SUMIFS(Countries!$AR$5:$AR$434,Countries!$A$5:$A$434,"All landing pages",Countries!$D$5:$D$434,$A37)=0,"",SUMIFS(Countries!$AR$5:$AR$434,Countries!$A$5:$A$434,"All landing pages",Countries!$D$5:$D$434,$A37))</f>
        <v/>
      </c>
      <c r="J37" s="41">
        <f>IF(SUMIFS(Countries!$AS$5:$AS$434,Countries!$A$5:$A$434,"All landing pages",Countries!$D$5:$D$434,$A37)=0,"",SUMIFS(Countries!$AS$5:$AS$434,Countries!$A$5:$A$434,"All landing pages",Countries!$D$5:$D$434,$A37))</f>
        <v/>
      </c>
      <c r="K37" s="42">
        <f>IF(OR(I37="",J37="",J37=0,I37=0),"",J37/I37-1)</f>
        <v/>
      </c>
      <c r="L37" s="43">
        <f>IF(SUMIFS(Countries!$E$5:$E$434,Countries!$A$5:$A$434,"All landing pages",Countries!$D$5:$D$434,$A37,Countries!$P$5:$P$434,"&gt;0")=0,"",SUMIFS(Countries!$P$5:$P$434,Countries!$A$5:$A$434,"All landing pages",Countries!$D$5:$D$434,$A37,Countries!$E$5:$E$434,"&gt;0")/SUMIFS(Countries!$E$5:$E$434,Countries!$A$5:$A$434,"All landing pages",Countries!$D$5:$D$434,$A37,Countries!$P$5:$P$434,"&gt;0"))</f>
        <v/>
      </c>
      <c r="M37" s="43">
        <f>IF(SUMIFS(Countries!$F$5:$F$434,Countries!$A$5:$A$434,"All landing pages",Countries!$D$5:$D$434,$A37,Countries!$Q$5:$Q$434,"&gt;0")=0,"",SUMIFS(Countries!$Q$5:$Q$434,Countries!$A$5:$A$434,"All landing pages",Countries!$D$5:$D$434,$A37,Countries!$F$5:$F$434,"&gt;0")/SUMIFS(Countries!$F$5:$F$434,Countries!$A$5:$A$434,"All landing pages",Countries!$D$5:$D$434,$A37,Countries!$Q$5:$Q$434,"&gt;0"))</f>
        <v/>
      </c>
      <c r="N37" s="44">
        <f>IF(OR(L37="",M37=""),"",(M37-L37)*100)</f>
        <v/>
      </c>
      <c r="O37" s="45">
        <f>IF(SUMIFS(Countries!$P$5:$P$434,Countries!$A$5:$A$434,"All landing pages",Countries!$D$5:$D$434,$A37,Countries!$AR$5:$AR$434,"&gt;0")=0,"",SUMIFS(Countries!$AR$5:$AR$434,Countries!$A$5:$A$434,"All landing pages",Countries!$D$5:$D$434,$A37,Countries!$P$5:$P$434,"&gt;0")/SUMIFS(Countries!$P$5:$P$434,Countries!$A$5:$A$434,"All landing pages",Countries!$D$5:$D$434,$A37,Countries!$AR$5:$AR$434,"&gt;0"))</f>
        <v/>
      </c>
      <c r="P37" s="45">
        <f>IF(SUMIFS(Countries!$Q$5:$Q$434,Countries!$A$5:$A$434,"All landing pages",Countries!$D$5:$D$434,$A37,Countries!$AS$5:$AS$434,"&gt;0")=0,"",SUMIFS(Countries!$AS$5:$AS$434,Countries!$A$5:$A$434,"All landing pages",Countries!$D$5:$D$434,$A37,Countries!$Q$5:$Q$434,"&gt;0")/SUMIFS(Countries!$Q$5:$Q$434,Countries!$A$5:$A$434,"All landing pages",Countries!$D$5:$D$434,$A37,Countries!$AS$5:$AS$434,"&gt;0"))</f>
        <v/>
      </c>
      <c r="Q37" s="44">
        <f>IF(OR(O37="",P37=""),"",(P37-O37)*100)</f>
        <v/>
      </c>
      <c r="R37" s="45">
        <f>IF(SUMIFS(Countries!$E$5:$E$434,Countries!$A$5:$A$434,"All landing pages",Countries!$D$5:$D$434,$A37,Countries!$AR$5:$AR$434,"&gt;0")=0,"",SUMIFS(Countries!$AR$5:$AR$434,Countries!$A$5:$A$434,"All landing pages",Countries!$D$5:$D$434,$A37,Countries!$E$5:$E$434,"&gt;0")/SUMIFS(Countries!$E$5:$E$434,Countries!$A$5:$A$434,"All landing pages",Countries!$D$5:$D$434,$A37,Countries!$AR$5:$AR$434,"&gt;0"))</f>
        <v/>
      </c>
      <c r="S37" s="45">
        <f>IF(SUMIFS(Countries!$F$5:$F$434,Countries!$A$5:$A$434,"All landing pages",Countries!$D$5:$D$434,$A37,Countries!$AS$5:$AS$434,"&gt;0")=0,"",SUMIFS(Countries!$AS$5:$AS$434,Countries!$A$5:$A$434,"All landing pages",Countries!$D$5:$D$434,$A37,Countries!$F$5:$F$434,"&gt;0")/SUMIFS(Countries!$F$5:$F$434,Countries!$A$5:$A$434,"All landing pages",Countries!$D$5:$D$434,$A37,Countries!$AS$5:$AS$434,"&gt;0"))</f>
        <v/>
      </c>
      <c r="T37" s="44">
        <f>IF(OR(R37="",S37=""),"",(S37-R37)*100)</f>
        <v/>
      </c>
    </row>
    <row r="38">
      <c r="A38" s="40" t="inlineStr">
        <is>
          <t>Ireland</t>
        </is>
      </c>
      <c r="B38" s="40" t="inlineStr">
        <is>
          <t>All</t>
        </is>
      </c>
      <c r="C38" s="41">
        <f>IF(SUMIFS(Countries!$E$5:$E$434,Countries!$A$5:$A$434,"All landing pages",Countries!$D$5:$D$434,$A38)=0,"",SUMIFS(Countries!$E$5:$E$434,Countries!$A$5:$A$434,"All landing pages",Countries!$D$5:$D$434,$A38))</f>
        <v/>
      </c>
      <c r="D38" s="41">
        <f>IF(SUMIFS(Countries!$F$5:$F$434,Countries!$A$5:$A$434,"All landing pages",Countries!$D$5:$D$434,$A38)=0,"",SUMIFS(Countries!$F$5:$F$434,Countries!$A$5:$A$434,"All landing pages",Countries!$D$5:$D$434,$A38))</f>
        <v/>
      </c>
      <c r="E38" s="42">
        <f>IF(OR(C38="",D38="",D38=0,C38=0),"",D38/C38-1)</f>
        <v/>
      </c>
      <c r="F38" s="41">
        <f>IF(SUMIFS(Countries!$P$5:$P$434,Countries!$A$5:$A$434,"All landing pages",Countries!$D$5:$D$434,$A38)=0,"",SUMIFS(Countries!$P$5:$P$434,Countries!$A$5:$A$434,"All landing pages",Countries!$D$5:$D$434,$A38))</f>
        <v/>
      </c>
      <c r="G38" s="41">
        <f>IF(SUMIFS(Countries!$Q$5:$Q$434,Countries!$A$5:$A$434,"All landing pages",Countries!$D$5:$D$434,$A38)=0,"",SUMIFS(Countries!$Q$5:$Q$434,Countries!$A$5:$A$434,"All landing pages",Countries!$D$5:$D$434,$A38))</f>
        <v/>
      </c>
      <c r="H38" s="42">
        <f>IF(OR(F38="",G38="",G38=0,F38=0),"",G38/F38-1)</f>
        <v/>
      </c>
      <c r="I38" s="41">
        <f>IF(SUMIFS(Countries!$AR$5:$AR$434,Countries!$A$5:$A$434,"All landing pages",Countries!$D$5:$D$434,$A38)=0,"",SUMIFS(Countries!$AR$5:$AR$434,Countries!$A$5:$A$434,"All landing pages",Countries!$D$5:$D$434,$A38))</f>
        <v/>
      </c>
      <c r="J38" s="41">
        <f>IF(SUMIFS(Countries!$AS$5:$AS$434,Countries!$A$5:$A$434,"All landing pages",Countries!$D$5:$D$434,$A38)=0,"",SUMIFS(Countries!$AS$5:$AS$434,Countries!$A$5:$A$434,"All landing pages",Countries!$D$5:$D$434,$A38))</f>
        <v/>
      </c>
      <c r="K38" s="42">
        <f>IF(OR(I38="",J38="",J38=0,I38=0),"",J38/I38-1)</f>
        <v/>
      </c>
      <c r="L38" s="43">
        <f>IF(SUMIFS(Countries!$E$5:$E$434,Countries!$A$5:$A$434,"All landing pages",Countries!$D$5:$D$434,$A38,Countries!$P$5:$P$434,"&gt;0")=0,"",SUMIFS(Countries!$P$5:$P$434,Countries!$A$5:$A$434,"All landing pages",Countries!$D$5:$D$434,$A38,Countries!$E$5:$E$434,"&gt;0")/SUMIFS(Countries!$E$5:$E$434,Countries!$A$5:$A$434,"All landing pages",Countries!$D$5:$D$434,$A38,Countries!$P$5:$P$434,"&gt;0"))</f>
        <v/>
      </c>
      <c r="M38" s="43">
        <f>IF(SUMIFS(Countries!$F$5:$F$434,Countries!$A$5:$A$434,"All landing pages",Countries!$D$5:$D$434,$A38,Countries!$Q$5:$Q$434,"&gt;0")=0,"",SUMIFS(Countries!$Q$5:$Q$434,Countries!$A$5:$A$434,"All landing pages",Countries!$D$5:$D$434,$A38,Countries!$F$5:$F$434,"&gt;0")/SUMIFS(Countries!$F$5:$F$434,Countries!$A$5:$A$434,"All landing pages",Countries!$D$5:$D$434,$A38,Countries!$Q$5:$Q$434,"&gt;0"))</f>
        <v/>
      </c>
      <c r="N38" s="44">
        <f>IF(OR(L38="",M38=""),"",(M38-L38)*100)</f>
        <v/>
      </c>
      <c r="O38" s="45">
        <f>IF(SUMIFS(Countries!$P$5:$P$434,Countries!$A$5:$A$434,"All landing pages",Countries!$D$5:$D$434,$A38,Countries!$AR$5:$AR$434,"&gt;0")=0,"",SUMIFS(Countries!$AR$5:$AR$434,Countries!$A$5:$A$434,"All landing pages",Countries!$D$5:$D$434,$A38,Countries!$P$5:$P$434,"&gt;0")/SUMIFS(Countries!$P$5:$P$434,Countries!$A$5:$A$434,"All landing pages",Countries!$D$5:$D$434,$A38,Countries!$AR$5:$AR$434,"&gt;0"))</f>
        <v/>
      </c>
      <c r="P38" s="45">
        <f>IF(SUMIFS(Countries!$Q$5:$Q$434,Countries!$A$5:$A$434,"All landing pages",Countries!$D$5:$D$434,$A38,Countries!$AS$5:$AS$434,"&gt;0")=0,"",SUMIFS(Countries!$AS$5:$AS$434,Countries!$A$5:$A$434,"All landing pages",Countries!$D$5:$D$434,$A38,Countries!$Q$5:$Q$434,"&gt;0")/SUMIFS(Countries!$Q$5:$Q$434,Countries!$A$5:$A$434,"All landing pages",Countries!$D$5:$D$434,$A38,Countries!$AS$5:$AS$434,"&gt;0"))</f>
        <v/>
      </c>
      <c r="Q38" s="44">
        <f>IF(OR(O38="",P38=""),"",(P38-O38)*100)</f>
        <v/>
      </c>
      <c r="R38" s="45">
        <f>IF(SUMIFS(Countries!$E$5:$E$434,Countries!$A$5:$A$434,"All landing pages",Countries!$D$5:$D$434,$A38,Countries!$AR$5:$AR$434,"&gt;0")=0,"",SUMIFS(Countries!$AR$5:$AR$434,Countries!$A$5:$A$434,"All landing pages",Countries!$D$5:$D$434,$A38,Countries!$E$5:$E$434,"&gt;0")/SUMIFS(Countries!$E$5:$E$434,Countries!$A$5:$A$434,"All landing pages",Countries!$D$5:$D$434,$A38,Countries!$AR$5:$AR$434,"&gt;0"))</f>
        <v/>
      </c>
      <c r="S38" s="45">
        <f>IF(SUMIFS(Countries!$F$5:$F$434,Countries!$A$5:$A$434,"All landing pages",Countries!$D$5:$D$434,$A38,Countries!$AS$5:$AS$434,"&gt;0")=0,"",SUMIFS(Countries!$AS$5:$AS$434,Countries!$A$5:$A$434,"All landing pages",Countries!$D$5:$D$434,$A38,Countries!$F$5:$F$434,"&gt;0")/SUMIFS(Countries!$F$5:$F$434,Countries!$A$5:$A$434,"All landing pages",Countries!$D$5:$D$434,$A38,Countries!$AS$5:$AS$434,"&gt;0"))</f>
        <v/>
      </c>
      <c r="T38" s="44">
        <f>IF(OR(R38="",S38=""),"",(S38-R38)*100)</f>
        <v/>
      </c>
    </row>
    <row r="39">
      <c r="A39" s="40" t="inlineStr">
        <is>
          <t>Netherlands</t>
        </is>
      </c>
      <c r="B39" s="40" t="inlineStr">
        <is>
          <t>All</t>
        </is>
      </c>
      <c r="C39" s="41">
        <f>IF(SUMIFS(Countries!$E$5:$E$434,Countries!$A$5:$A$434,"All landing pages",Countries!$D$5:$D$434,$A39)=0,"",SUMIFS(Countries!$E$5:$E$434,Countries!$A$5:$A$434,"All landing pages",Countries!$D$5:$D$434,$A39))</f>
        <v/>
      </c>
      <c r="D39" s="41">
        <f>IF(SUMIFS(Countries!$F$5:$F$434,Countries!$A$5:$A$434,"All landing pages",Countries!$D$5:$D$434,$A39)=0,"",SUMIFS(Countries!$F$5:$F$434,Countries!$A$5:$A$434,"All landing pages",Countries!$D$5:$D$434,$A39))</f>
        <v/>
      </c>
      <c r="E39" s="42">
        <f>IF(OR(C39="",D39="",D39=0,C39=0),"",D39/C39-1)</f>
        <v/>
      </c>
      <c r="F39" s="41">
        <f>IF(SUMIFS(Countries!$P$5:$P$434,Countries!$A$5:$A$434,"All landing pages",Countries!$D$5:$D$434,$A39)=0,"",SUMIFS(Countries!$P$5:$P$434,Countries!$A$5:$A$434,"All landing pages",Countries!$D$5:$D$434,$A39))</f>
        <v/>
      </c>
      <c r="G39" s="41">
        <f>IF(SUMIFS(Countries!$Q$5:$Q$434,Countries!$A$5:$A$434,"All landing pages",Countries!$D$5:$D$434,$A39)=0,"",SUMIFS(Countries!$Q$5:$Q$434,Countries!$A$5:$A$434,"All landing pages",Countries!$D$5:$D$434,$A39))</f>
        <v/>
      </c>
      <c r="H39" s="42">
        <f>IF(OR(F39="",G39="",G39=0,F39=0),"",G39/F39-1)</f>
        <v/>
      </c>
      <c r="I39" s="41">
        <f>IF(SUMIFS(Countries!$AR$5:$AR$434,Countries!$A$5:$A$434,"All landing pages",Countries!$D$5:$D$434,$A39)=0,"",SUMIFS(Countries!$AR$5:$AR$434,Countries!$A$5:$A$434,"All landing pages",Countries!$D$5:$D$434,$A39))</f>
        <v/>
      </c>
      <c r="J39" s="41">
        <f>IF(SUMIFS(Countries!$AS$5:$AS$434,Countries!$A$5:$A$434,"All landing pages",Countries!$D$5:$D$434,$A39)=0,"",SUMIFS(Countries!$AS$5:$AS$434,Countries!$A$5:$A$434,"All landing pages",Countries!$D$5:$D$434,$A39))</f>
        <v/>
      </c>
      <c r="K39" s="42">
        <f>IF(OR(I39="",J39="",J39=0,I39=0),"",J39/I39-1)</f>
        <v/>
      </c>
      <c r="L39" s="43">
        <f>IF(SUMIFS(Countries!$E$5:$E$434,Countries!$A$5:$A$434,"All landing pages",Countries!$D$5:$D$434,$A39,Countries!$P$5:$P$434,"&gt;0")=0,"",SUMIFS(Countries!$P$5:$P$434,Countries!$A$5:$A$434,"All landing pages",Countries!$D$5:$D$434,$A39,Countries!$E$5:$E$434,"&gt;0")/SUMIFS(Countries!$E$5:$E$434,Countries!$A$5:$A$434,"All landing pages",Countries!$D$5:$D$434,$A39,Countries!$P$5:$P$434,"&gt;0"))</f>
        <v/>
      </c>
      <c r="M39" s="43">
        <f>IF(SUMIFS(Countries!$F$5:$F$434,Countries!$A$5:$A$434,"All landing pages",Countries!$D$5:$D$434,$A39,Countries!$Q$5:$Q$434,"&gt;0")=0,"",SUMIFS(Countries!$Q$5:$Q$434,Countries!$A$5:$A$434,"All landing pages",Countries!$D$5:$D$434,$A39,Countries!$F$5:$F$434,"&gt;0")/SUMIFS(Countries!$F$5:$F$434,Countries!$A$5:$A$434,"All landing pages",Countries!$D$5:$D$434,$A39,Countries!$Q$5:$Q$434,"&gt;0"))</f>
        <v/>
      </c>
      <c r="N39" s="44">
        <f>IF(OR(L39="",M39=""),"",(M39-L39)*100)</f>
        <v/>
      </c>
      <c r="O39" s="45">
        <f>IF(SUMIFS(Countries!$P$5:$P$434,Countries!$A$5:$A$434,"All landing pages",Countries!$D$5:$D$434,$A39,Countries!$AR$5:$AR$434,"&gt;0")=0,"",SUMIFS(Countries!$AR$5:$AR$434,Countries!$A$5:$A$434,"All landing pages",Countries!$D$5:$D$434,$A39,Countries!$P$5:$P$434,"&gt;0")/SUMIFS(Countries!$P$5:$P$434,Countries!$A$5:$A$434,"All landing pages",Countries!$D$5:$D$434,$A39,Countries!$AR$5:$AR$434,"&gt;0"))</f>
        <v/>
      </c>
      <c r="P39" s="45">
        <f>IF(SUMIFS(Countries!$Q$5:$Q$434,Countries!$A$5:$A$434,"All landing pages",Countries!$D$5:$D$434,$A39,Countries!$AS$5:$AS$434,"&gt;0")=0,"",SUMIFS(Countries!$AS$5:$AS$434,Countries!$A$5:$A$434,"All landing pages",Countries!$D$5:$D$434,$A39,Countries!$Q$5:$Q$434,"&gt;0")/SUMIFS(Countries!$Q$5:$Q$434,Countries!$A$5:$A$434,"All landing pages",Countries!$D$5:$D$434,$A39,Countries!$AS$5:$AS$434,"&gt;0"))</f>
        <v/>
      </c>
      <c r="Q39" s="44">
        <f>IF(OR(O39="",P39=""),"",(P39-O39)*100)</f>
        <v/>
      </c>
      <c r="R39" s="45">
        <f>IF(SUMIFS(Countries!$E$5:$E$434,Countries!$A$5:$A$434,"All landing pages",Countries!$D$5:$D$434,$A39,Countries!$AR$5:$AR$434,"&gt;0")=0,"",SUMIFS(Countries!$AR$5:$AR$434,Countries!$A$5:$A$434,"All landing pages",Countries!$D$5:$D$434,$A39,Countries!$E$5:$E$434,"&gt;0")/SUMIFS(Countries!$E$5:$E$434,Countries!$A$5:$A$434,"All landing pages",Countries!$D$5:$D$434,$A39,Countries!$AR$5:$AR$434,"&gt;0"))</f>
        <v/>
      </c>
      <c r="S39" s="45">
        <f>IF(SUMIFS(Countries!$F$5:$F$434,Countries!$A$5:$A$434,"All landing pages",Countries!$D$5:$D$434,$A39,Countries!$AS$5:$AS$434,"&gt;0")=0,"",SUMIFS(Countries!$AS$5:$AS$434,Countries!$A$5:$A$434,"All landing pages",Countries!$D$5:$D$434,$A39,Countries!$F$5:$F$434,"&gt;0")/SUMIFS(Countries!$F$5:$F$434,Countries!$A$5:$A$434,"All landing pages",Countries!$D$5:$D$434,$A39,Countries!$AS$5:$AS$434,"&gt;0"))</f>
        <v/>
      </c>
      <c r="T39" s="44">
        <f>IF(OR(R39="",S39=""),"",(S39-R39)*100)</f>
        <v/>
      </c>
    </row>
    <row r="40">
      <c r="A40" s="40" t="inlineStr">
        <is>
          <t>France</t>
        </is>
      </c>
      <c r="B40" s="40" t="inlineStr">
        <is>
          <t>All</t>
        </is>
      </c>
      <c r="C40" s="41">
        <f>IF(SUMIFS(Countries!$E$5:$E$434,Countries!$A$5:$A$434,"All landing pages",Countries!$D$5:$D$434,$A40)=0,"",SUMIFS(Countries!$E$5:$E$434,Countries!$A$5:$A$434,"All landing pages",Countries!$D$5:$D$434,$A40))</f>
        <v/>
      </c>
      <c r="D40" s="41">
        <f>IF(SUMIFS(Countries!$F$5:$F$434,Countries!$A$5:$A$434,"All landing pages",Countries!$D$5:$D$434,$A40)=0,"",SUMIFS(Countries!$F$5:$F$434,Countries!$A$5:$A$434,"All landing pages",Countries!$D$5:$D$434,$A40))</f>
        <v/>
      </c>
      <c r="E40" s="42">
        <f>IF(OR(C40="",D40="",D40=0,C40=0),"",D40/C40-1)</f>
        <v/>
      </c>
      <c r="F40" s="41">
        <f>IF(SUMIFS(Countries!$P$5:$P$434,Countries!$A$5:$A$434,"All landing pages",Countries!$D$5:$D$434,$A40)=0,"",SUMIFS(Countries!$P$5:$P$434,Countries!$A$5:$A$434,"All landing pages",Countries!$D$5:$D$434,$A40))</f>
        <v/>
      </c>
      <c r="G40" s="41">
        <f>IF(SUMIFS(Countries!$Q$5:$Q$434,Countries!$A$5:$A$434,"All landing pages",Countries!$D$5:$D$434,$A40)=0,"",SUMIFS(Countries!$Q$5:$Q$434,Countries!$A$5:$A$434,"All landing pages",Countries!$D$5:$D$434,$A40))</f>
        <v/>
      </c>
      <c r="H40" s="42">
        <f>IF(OR(F40="",G40="",G40=0,F40=0),"",G40/F40-1)</f>
        <v/>
      </c>
      <c r="I40" s="41">
        <f>IF(SUMIFS(Countries!$AR$5:$AR$434,Countries!$A$5:$A$434,"All landing pages",Countries!$D$5:$D$434,$A40)=0,"",SUMIFS(Countries!$AR$5:$AR$434,Countries!$A$5:$A$434,"All landing pages",Countries!$D$5:$D$434,$A40))</f>
        <v/>
      </c>
      <c r="J40" s="41">
        <f>IF(SUMIFS(Countries!$AS$5:$AS$434,Countries!$A$5:$A$434,"All landing pages",Countries!$D$5:$D$434,$A40)=0,"",SUMIFS(Countries!$AS$5:$AS$434,Countries!$A$5:$A$434,"All landing pages",Countries!$D$5:$D$434,$A40))</f>
        <v/>
      </c>
      <c r="K40" s="42">
        <f>IF(OR(I40="",J40="",J40=0,I40=0),"",J40/I40-1)</f>
        <v/>
      </c>
      <c r="L40" s="43">
        <f>IF(SUMIFS(Countries!$E$5:$E$434,Countries!$A$5:$A$434,"All landing pages",Countries!$D$5:$D$434,$A40,Countries!$P$5:$P$434,"&gt;0")=0,"",SUMIFS(Countries!$P$5:$P$434,Countries!$A$5:$A$434,"All landing pages",Countries!$D$5:$D$434,$A40,Countries!$E$5:$E$434,"&gt;0")/SUMIFS(Countries!$E$5:$E$434,Countries!$A$5:$A$434,"All landing pages",Countries!$D$5:$D$434,$A40,Countries!$P$5:$P$434,"&gt;0"))</f>
        <v/>
      </c>
      <c r="M40" s="43">
        <f>IF(SUMIFS(Countries!$F$5:$F$434,Countries!$A$5:$A$434,"All landing pages",Countries!$D$5:$D$434,$A40,Countries!$Q$5:$Q$434,"&gt;0")=0,"",SUMIFS(Countries!$Q$5:$Q$434,Countries!$A$5:$A$434,"All landing pages",Countries!$D$5:$D$434,$A40,Countries!$F$5:$F$434,"&gt;0")/SUMIFS(Countries!$F$5:$F$434,Countries!$A$5:$A$434,"All landing pages",Countries!$D$5:$D$434,$A40,Countries!$Q$5:$Q$434,"&gt;0"))</f>
        <v/>
      </c>
      <c r="N40" s="44">
        <f>IF(OR(L40="",M40=""),"",(M40-L40)*100)</f>
        <v/>
      </c>
      <c r="O40" s="45">
        <f>IF(SUMIFS(Countries!$P$5:$P$434,Countries!$A$5:$A$434,"All landing pages",Countries!$D$5:$D$434,$A40,Countries!$AR$5:$AR$434,"&gt;0")=0,"",SUMIFS(Countries!$AR$5:$AR$434,Countries!$A$5:$A$434,"All landing pages",Countries!$D$5:$D$434,$A40,Countries!$P$5:$P$434,"&gt;0")/SUMIFS(Countries!$P$5:$P$434,Countries!$A$5:$A$434,"All landing pages",Countries!$D$5:$D$434,$A40,Countries!$AR$5:$AR$434,"&gt;0"))</f>
        <v/>
      </c>
      <c r="P40" s="45">
        <f>IF(SUMIFS(Countries!$Q$5:$Q$434,Countries!$A$5:$A$434,"All landing pages",Countries!$D$5:$D$434,$A40,Countries!$AS$5:$AS$434,"&gt;0")=0,"",SUMIFS(Countries!$AS$5:$AS$434,Countries!$A$5:$A$434,"All landing pages",Countries!$D$5:$D$434,$A40,Countries!$Q$5:$Q$434,"&gt;0")/SUMIFS(Countries!$Q$5:$Q$434,Countries!$A$5:$A$434,"All landing pages",Countries!$D$5:$D$434,$A40,Countries!$AS$5:$AS$434,"&gt;0"))</f>
        <v/>
      </c>
      <c r="Q40" s="44">
        <f>IF(OR(O40="",P40=""),"",(P40-O40)*100)</f>
        <v/>
      </c>
      <c r="R40" s="45">
        <f>IF(SUMIFS(Countries!$E$5:$E$434,Countries!$A$5:$A$434,"All landing pages",Countries!$D$5:$D$434,$A40,Countries!$AR$5:$AR$434,"&gt;0")=0,"",SUMIFS(Countries!$AR$5:$AR$434,Countries!$A$5:$A$434,"All landing pages",Countries!$D$5:$D$434,$A40,Countries!$E$5:$E$434,"&gt;0")/SUMIFS(Countries!$E$5:$E$434,Countries!$A$5:$A$434,"All landing pages",Countries!$D$5:$D$434,$A40,Countries!$AR$5:$AR$434,"&gt;0"))</f>
        <v/>
      </c>
      <c r="S40" s="45">
        <f>IF(SUMIFS(Countries!$F$5:$F$434,Countries!$A$5:$A$434,"All landing pages",Countries!$D$5:$D$434,$A40,Countries!$AS$5:$AS$434,"&gt;0")=0,"",SUMIFS(Countries!$AS$5:$AS$434,Countries!$A$5:$A$434,"All landing pages",Countries!$D$5:$D$434,$A40,Countries!$F$5:$F$434,"&gt;0")/SUMIFS(Countries!$F$5:$F$434,Countries!$A$5:$A$434,"All landing pages",Countries!$D$5:$D$434,$A40,Countries!$AS$5:$AS$434,"&gt;0"))</f>
        <v/>
      </c>
      <c r="T40" s="44">
        <f>IF(OR(R40="",S40=""),"",(S40-R40)*100)</f>
        <v/>
      </c>
    </row>
    <row r="41">
      <c r="A41" s="40" t="inlineStr">
        <is>
          <t>Poland</t>
        </is>
      </c>
      <c r="B41" s="40" t="inlineStr">
        <is>
          <t>All</t>
        </is>
      </c>
      <c r="C41" s="41">
        <f>IF(SUMIFS(Countries!$E$5:$E$434,Countries!$A$5:$A$434,"All landing pages",Countries!$D$5:$D$434,$A41)=0,"",SUMIFS(Countries!$E$5:$E$434,Countries!$A$5:$A$434,"All landing pages",Countries!$D$5:$D$434,$A41))</f>
        <v/>
      </c>
      <c r="D41" s="41">
        <f>IF(SUMIFS(Countries!$F$5:$F$434,Countries!$A$5:$A$434,"All landing pages",Countries!$D$5:$D$434,$A41)=0,"",SUMIFS(Countries!$F$5:$F$434,Countries!$A$5:$A$434,"All landing pages",Countries!$D$5:$D$434,$A41))</f>
        <v/>
      </c>
      <c r="E41" s="42">
        <f>IF(OR(C41="",D41="",D41=0,C41=0),"",D41/C41-1)</f>
        <v/>
      </c>
      <c r="F41" s="41">
        <f>IF(SUMIFS(Countries!$P$5:$P$434,Countries!$A$5:$A$434,"All landing pages",Countries!$D$5:$D$434,$A41)=0,"",SUMIFS(Countries!$P$5:$P$434,Countries!$A$5:$A$434,"All landing pages",Countries!$D$5:$D$434,$A41))</f>
        <v/>
      </c>
      <c r="G41" s="41">
        <f>IF(SUMIFS(Countries!$Q$5:$Q$434,Countries!$A$5:$A$434,"All landing pages",Countries!$D$5:$D$434,$A41)=0,"",SUMIFS(Countries!$Q$5:$Q$434,Countries!$A$5:$A$434,"All landing pages",Countries!$D$5:$D$434,$A41))</f>
        <v/>
      </c>
      <c r="H41" s="42">
        <f>IF(OR(F41="",G41="",G41=0,F41=0),"",G41/F41-1)</f>
        <v/>
      </c>
      <c r="I41" s="41">
        <f>IF(SUMIFS(Countries!$AR$5:$AR$434,Countries!$A$5:$A$434,"All landing pages",Countries!$D$5:$D$434,$A41)=0,"",SUMIFS(Countries!$AR$5:$AR$434,Countries!$A$5:$A$434,"All landing pages",Countries!$D$5:$D$434,$A41))</f>
        <v/>
      </c>
      <c r="J41" s="41">
        <f>IF(SUMIFS(Countries!$AS$5:$AS$434,Countries!$A$5:$A$434,"All landing pages",Countries!$D$5:$D$434,$A41)=0,"",SUMIFS(Countries!$AS$5:$AS$434,Countries!$A$5:$A$434,"All landing pages",Countries!$D$5:$D$434,$A41))</f>
        <v/>
      </c>
      <c r="K41" s="42">
        <f>IF(OR(I41="",J41="",J41=0,I41=0),"",J41/I41-1)</f>
        <v/>
      </c>
      <c r="L41" s="43">
        <f>IF(SUMIFS(Countries!$E$5:$E$434,Countries!$A$5:$A$434,"All landing pages",Countries!$D$5:$D$434,$A41,Countries!$P$5:$P$434,"&gt;0")=0,"",SUMIFS(Countries!$P$5:$P$434,Countries!$A$5:$A$434,"All landing pages",Countries!$D$5:$D$434,$A41,Countries!$E$5:$E$434,"&gt;0")/SUMIFS(Countries!$E$5:$E$434,Countries!$A$5:$A$434,"All landing pages",Countries!$D$5:$D$434,$A41,Countries!$P$5:$P$434,"&gt;0"))</f>
        <v/>
      </c>
      <c r="M41" s="43">
        <f>IF(SUMIFS(Countries!$F$5:$F$434,Countries!$A$5:$A$434,"All landing pages",Countries!$D$5:$D$434,$A41,Countries!$Q$5:$Q$434,"&gt;0")=0,"",SUMIFS(Countries!$Q$5:$Q$434,Countries!$A$5:$A$434,"All landing pages",Countries!$D$5:$D$434,$A41,Countries!$F$5:$F$434,"&gt;0")/SUMIFS(Countries!$F$5:$F$434,Countries!$A$5:$A$434,"All landing pages",Countries!$D$5:$D$434,$A41,Countries!$Q$5:$Q$434,"&gt;0"))</f>
        <v/>
      </c>
      <c r="N41" s="44">
        <f>IF(OR(L41="",M41=""),"",(M41-L41)*100)</f>
        <v/>
      </c>
      <c r="O41" s="45">
        <f>IF(SUMIFS(Countries!$P$5:$P$434,Countries!$A$5:$A$434,"All landing pages",Countries!$D$5:$D$434,$A41,Countries!$AR$5:$AR$434,"&gt;0")=0,"",SUMIFS(Countries!$AR$5:$AR$434,Countries!$A$5:$A$434,"All landing pages",Countries!$D$5:$D$434,$A41,Countries!$P$5:$P$434,"&gt;0")/SUMIFS(Countries!$P$5:$P$434,Countries!$A$5:$A$434,"All landing pages",Countries!$D$5:$D$434,$A41,Countries!$AR$5:$AR$434,"&gt;0"))</f>
        <v/>
      </c>
      <c r="P41" s="45">
        <f>IF(SUMIFS(Countries!$Q$5:$Q$434,Countries!$A$5:$A$434,"All landing pages",Countries!$D$5:$D$434,$A41,Countries!$AS$5:$AS$434,"&gt;0")=0,"",SUMIFS(Countries!$AS$5:$AS$434,Countries!$A$5:$A$434,"All landing pages",Countries!$D$5:$D$434,$A41,Countries!$Q$5:$Q$434,"&gt;0")/SUMIFS(Countries!$Q$5:$Q$434,Countries!$A$5:$A$434,"All landing pages",Countries!$D$5:$D$434,$A41,Countries!$AS$5:$AS$434,"&gt;0"))</f>
        <v/>
      </c>
      <c r="Q41" s="44">
        <f>IF(OR(O41="",P41=""),"",(P41-O41)*100)</f>
        <v/>
      </c>
      <c r="R41" s="45">
        <f>IF(SUMIFS(Countries!$E$5:$E$434,Countries!$A$5:$A$434,"All landing pages",Countries!$D$5:$D$434,$A41,Countries!$AR$5:$AR$434,"&gt;0")=0,"",SUMIFS(Countries!$AR$5:$AR$434,Countries!$A$5:$A$434,"All landing pages",Countries!$D$5:$D$434,$A41,Countries!$E$5:$E$434,"&gt;0")/SUMIFS(Countries!$E$5:$E$434,Countries!$A$5:$A$434,"All landing pages",Countries!$D$5:$D$434,$A41,Countries!$AR$5:$AR$434,"&gt;0"))</f>
        <v/>
      </c>
      <c r="S41" s="45">
        <f>IF(SUMIFS(Countries!$F$5:$F$434,Countries!$A$5:$A$434,"All landing pages",Countries!$D$5:$D$434,$A41,Countries!$AS$5:$AS$434,"&gt;0")=0,"",SUMIFS(Countries!$AS$5:$AS$434,Countries!$A$5:$A$434,"All landing pages",Countries!$D$5:$D$434,$A41,Countries!$F$5:$F$434,"&gt;0")/SUMIFS(Countries!$F$5:$F$434,Countries!$A$5:$A$434,"All landing pages",Countries!$D$5:$D$434,$A41,Countries!$AS$5:$AS$434,"&gt;0"))</f>
        <v/>
      </c>
      <c r="T41" s="44">
        <f>IF(OR(R41="",S41=""),"",(S41-R41)*100)</f>
        <v/>
      </c>
    </row>
    <row r="42">
      <c r="A42" s="40" t="inlineStr">
        <is>
          <t>United States</t>
        </is>
      </c>
      <c r="B42" s="40" t="inlineStr">
        <is>
          <t>All</t>
        </is>
      </c>
      <c r="C42" s="41">
        <f>IF(SUMIFS(Countries!$E$5:$E$434,Countries!$A$5:$A$434,"All landing pages",Countries!$D$5:$D$434,$A42)=0,"",SUMIFS(Countries!$E$5:$E$434,Countries!$A$5:$A$434,"All landing pages",Countries!$D$5:$D$434,$A42))</f>
        <v/>
      </c>
      <c r="D42" s="41">
        <f>IF(SUMIFS(Countries!$F$5:$F$434,Countries!$A$5:$A$434,"All landing pages",Countries!$D$5:$D$434,$A42)=0,"",SUMIFS(Countries!$F$5:$F$434,Countries!$A$5:$A$434,"All landing pages",Countries!$D$5:$D$434,$A42))</f>
        <v/>
      </c>
      <c r="E42" s="42">
        <f>IF(OR(C42="",D42="",D42=0,C42=0),"",D42/C42-1)</f>
        <v/>
      </c>
      <c r="F42" s="41">
        <f>IF(SUMIFS(Countries!$P$5:$P$434,Countries!$A$5:$A$434,"All landing pages",Countries!$D$5:$D$434,$A42)=0,"",SUMIFS(Countries!$P$5:$P$434,Countries!$A$5:$A$434,"All landing pages",Countries!$D$5:$D$434,$A42))</f>
        <v/>
      </c>
      <c r="G42" s="41">
        <f>IF(SUMIFS(Countries!$Q$5:$Q$434,Countries!$A$5:$A$434,"All landing pages",Countries!$D$5:$D$434,$A42)=0,"",SUMIFS(Countries!$Q$5:$Q$434,Countries!$A$5:$A$434,"All landing pages",Countries!$D$5:$D$434,$A42))</f>
        <v/>
      </c>
      <c r="H42" s="42">
        <f>IF(OR(F42="",G42="",G42=0,F42=0),"",G42/F42-1)</f>
        <v/>
      </c>
      <c r="I42" s="41">
        <f>IF(SUMIFS(Countries!$AR$5:$AR$434,Countries!$A$5:$A$434,"All landing pages",Countries!$D$5:$D$434,$A42)=0,"",SUMIFS(Countries!$AR$5:$AR$434,Countries!$A$5:$A$434,"All landing pages",Countries!$D$5:$D$434,$A42))</f>
        <v/>
      </c>
      <c r="J42" s="41">
        <f>IF(SUMIFS(Countries!$AS$5:$AS$434,Countries!$A$5:$A$434,"All landing pages",Countries!$D$5:$D$434,$A42)=0,"",SUMIFS(Countries!$AS$5:$AS$434,Countries!$A$5:$A$434,"All landing pages",Countries!$D$5:$D$434,$A42))</f>
        <v/>
      </c>
      <c r="K42" s="42">
        <f>IF(OR(I42="",J42="",J42=0,I42=0),"",J42/I42-1)</f>
        <v/>
      </c>
      <c r="L42" s="43">
        <f>IF(SUMIFS(Countries!$E$5:$E$434,Countries!$A$5:$A$434,"All landing pages",Countries!$D$5:$D$434,$A42,Countries!$P$5:$P$434,"&gt;0")=0,"",SUMIFS(Countries!$P$5:$P$434,Countries!$A$5:$A$434,"All landing pages",Countries!$D$5:$D$434,$A42,Countries!$E$5:$E$434,"&gt;0")/SUMIFS(Countries!$E$5:$E$434,Countries!$A$5:$A$434,"All landing pages",Countries!$D$5:$D$434,$A42,Countries!$P$5:$P$434,"&gt;0"))</f>
        <v/>
      </c>
      <c r="M42" s="43">
        <f>IF(SUMIFS(Countries!$F$5:$F$434,Countries!$A$5:$A$434,"All landing pages",Countries!$D$5:$D$434,$A42,Countries!$Q$5:$Q$434,"&gt;0")=0,"",SUMIFS(Countries!$Q$5:$Q$434,Countries!$A$5:$A$434,"All landing pages",Countries!$D$5:$D$434,$A42,Countries!$F$5:$F$434,"&gt;0")/SUMIFS(Countries!$F$5:$F$434,Countries!$A$5:$A$434,"All landing pages",Countries!$D$5:$D$434,$A42,Countries!$Q$5:$Q$434,"&gt;0"))</f>
        <v/>
      </c>
      <c r="N42" s="44">
        <f>IF(OR(L42="",M42=""),"",(M42-L42)*100)</f>
        <v/>
      </c>
      <c r="O42" s="45">
        <f>IF(SUMIFS(Countries!$P$5:$P$434,Countries!$A$5:$A$434,"All landing pages",Countries!$D$5:$D$434,$A42,Countries!$AR$5:$AR$434,"&gt;0")=0,"",SUMIFS(Countries!$AR$5:$AR$434,Countries!$A$5:$A$434,"All landing pages",Countries!$D$5:$D$434,$A42,Countries!$P$5:$P$434,"&gt;0")/SUMIFS(Countries!$P$5:$P$434,Countries!$A$5:$A$434,"All landing pages",Countries!$D$5:$D$434,$A42,Countries!$AR$5:$AR$434,"&gt;0"))</f>
        <v/>
      </c>
      <c r="P42" s="45">
        <f>IF(SUMIFS(Countries!$Q$5:$Q$434,Countries!$A$5:$A$434,"All landing pages",Countries!$D$5:$D$434,$A42,Countries!$AS$5:$AS$434,"&gt;0")=0,"",SUMIFS(Countries!$AS$5:$AS$434,Countries!$A$5:$A$434,"All landing pages",Countries!$D$5:$D$434,$A42,Countries!$Q$5:$Q$434,"&gt;0")/SUMIFS(Countries!$Q$5:$Q$434,Countries!$A$5:$A$434,"All landing pages",Countries!$D$5:$D$434,$A42,Countries!$AS$5:$AS$434,"&gt;0"))</f>
        <v/>
      </c>
      <c r="Q42" s="44">
        <f>IF(OR(O42="",P42=""),"",(P42-O42)*100)</f>
        <v/>
      </c>
      <c r="R42" s="45">
        <f>IF(SUMIFS(Countries!$E$5:$E$434,Countries!$A$5:$A$434,"All landing pages",Countries!$D$5:$D$434,$A42,Countries!$AR$5:$AR$434,"&gt;0")=0,"",SUMIFS(Countries!$AR$5:$AR$434,Countries!$A$5:$A$434,"All landing pages",Countries!$D$5:$D$434,$A42,Countries!$E$5:$E$434,"&gt;0")/SUMIFS(Countries!$E$5:$E$434,Countries!$A$5:$A$434,"All landing pages",Countries!$D$5:$D$434,$A42,Countries!$AR$5:$AR$434,"&gt;0"))</f>
        <v/>
      </c>
      <c r="S42" s="45">
        <f>IF(SUMIFS(Countries!$F$5:$F$434,Countries!$A$5:$A$434,"All landing pages",Countries!$D$5:$D$434,$A42,Countries!$AS$5:$AS$434,"&gt;0")=0,"",SUMIFS(Countries!$AS$5:$AS$434,Countries!$A$5:$A$434,"All landing pages",Countries!$D$5:$D$434,$A42,Countries!$F$5:$F$434,"&gt;0")/SUMIFS(Countries!$F$5:$F$434,Countries!$A$5:$A$434,"All landing pages",Countries!$D$5:$D$434,$A42,Countries!$AS$5:$AS$434,"&gt;0"))</f>
        <v/>
      </c>
      <c r="T42" s="44">
        <f>IF(OR(R42="",S42=""),"",(S42-R42)*100)</f>
        <v/>
      </c>
    </row>
    <row r="43">
      <c r="A43" s="40" t="inlineStr">
        <is>
          <t>Sweden</t>
        </is>
      </c>
      <c r="B43" s="40" t="inlineStr">
        <is>
          <t>All</t>
        </is>
      </c>
      <c r="C43" s="41">
        <f>IF(SUMIFS(Countries!$E$5:$E$434,Countries!$A$5:$A$434,"All landing pages",Countries!$D$5:$D$434,$A43)=0,"",SUMIFS(Countries!$E$5:$E$434,Countries!$A$5:$A$434,"All landing pages",Countries!$D$5:$D$434,$A43))</f>
        <v/>
      </c>
      <c r="D43" s="41">
        <f>IF(SUMIFS(Countries!$F$5:$F$434,Countries!$A$5:$A$434,"All landing pages",Countries!$D$5:$D$434,$A43)=0,"",SUMIFS(Countries!$F$5:$F$434,Countries!$A$5:$A$434,"All landing pages",Countries!$D$5:$D$434,$A43))</f>
        <v/>
      </c>
      <c r="E43" s="42">
        <f>IF(OR(C43="",D43="",D43=0,C43=0),"",D43/C43-1)</f>
        <v/>
      </c>
      <c r="F43" s="41">
        <f>IF(SUMIFS(Countries!$P$5:$P$434,Countries!$A$5:$A$434,"All landing pages",Countries!$D$5:$D$434,$A43)=0,"",SUMIFS(Countries!$P$5:$P$434,Countries!$A$5:$A$434,"All landing pages",Countries!$D$5:$D$434,$A43))</f>
        <v/>
      </c>
      <c r="G43" s="41">
        <f>IF(SUMIFS(Countries!$Q$5:$Q$434,Countries!$A$5:$A$434,"All landing pages",Countries!$D$5:$D$434,$A43)=0,"",SUMIFS(Countries!$Q$5:$Q$434,Countries!$A$5:$A$434,"All landing pages",Countries!$D$5:$D$434,$A43))</f>
        <v/>
      </c>
      <c r="H43" s="42">
        <f>IF(OR(F43="",G43="",G43=0,F43=0),"",G43/F43-1)</f>
        <v/>
      </c>
      <c r="I43" s="41">
        <f>IF(SUMIFS(Countries!$AR$5:$AR$434,Countries!$A$5:$A$434,"All landing pages",Countries!$D$5:$D$434,$A43)=0,"",SUMIFS(Countries!$AR$5:$AR$434,Countries!$A$5:$A$434,"All landing pages",Countries!$D$5:$D$434,$A43))</f>
        <v/>
      </c>
      <c r="J43" s="41">
        <f>IF(SUMIFS(Countries!$AS$5:$AS$434,Countries!$A$5:$A$434,"All landing pages",Countries!$D$5:$D$434,$A43)=0,"",SUMIFS(Countries!$AS$5:$AS$434,Countries!$A$5:$A$434,"All landing pages",Countries!$D$5:$D$434,$A43))</f>
        <v/>
      </c>
      <c r="K43" s="42">
        <f>IF(OR(I43="",J43="",J43=0,I43=0),"",J43/I43-1)</f>
        <v/>
      </c>
      <c r="L43" s="43">
        <f>IF(SUMIFS(Countries!$E$5:$E$434,Countries!$A$5:$A$434,"All landing pages",Countries!$D$5:$D$434,$A43,Countries!$P$5:$P$434,"&gt;0")=0,"",SUMIFS(Countries!$P$5:$P$434,Countries!$A$5:$A$434,"All landing pages",Countries!$D$5:$D$434,$A43,Countries!$E$5:$E$434,"&gt;0")/SUMIFS(Countries!$E$5:$E$434,Countries!$A$5:$A$434,"All landing pages",Countries!$D$5:$D$434,$A43,Countries!$P$5:$P$434,"&gt;0"))</f>
        <v/>
      </c>
      <c r="M43" s="43">
        <f>IF(SUMIFS(Countries!$F$5:$F$434,Countries!$A$5:$A$434,"All landing pages",Countries!$D$5:$D$434,$A43,Countries!$Q$5:$Q$434,"&gt;0")=0,"",SUMIFS(Countries!$Q$5:$Q$434,Countries!$A$5:$A$434,"All landing pages",Countries!$D$5:$D$434,$A43,Countries!$F$5:$F$434,"&gt;0")/SUMIFS(Countries!$F$5:$F$434,Countries!$A$5:$A$434,"All landing pages",Countries!$D$5:$D$434,$A43,Countries!$Q$5:$Q$434,"&gt;0"))</f>
        <v/>
      </c>
      <c r="N43" s="44">
        <f>IF(OR(L43="",M43=""),"",(M43-L43)*100)</f>
        <v/>
      </c>
      <c r="O43" s="45">
        <f>IF(SUMIFS(Countries!$P$5:$P$434,Countries!$A$5:$A$434,"All landing pages",Countries!$D$5:$D$434,$A43,Countries!$AR$5:$AR$434,"&gt;0")=0,"",SUMIFS(Countries!$AR$5:$AR$434,Countries!$A$5:$A$434,"All landing pages",Countries!$D$5:$D$434,$A43,Countries!$P$5:$P$434,"&gt;0")/SUMIFS(Countries!$P$5:$P$434,Countries!$A$5:$A$434,"All landing pages",Countries!$D$5:$D$434,$A43,Countries!$AR$5:$AR$434,"&gt;0"))</f>
        <v/>
      </c>
      <c r="P43" s="45">
        <f>IF(SUMIFS(Countries!$Q$5:$Q$434,Countries!$A$5:$A$434,"All landing pages",Countries!$D$5:$D$434,$A43,Countries!$AS$5:$AS$434,"&gt;0")=0,"",SUMIFS(Countries!$AS$5:$AS$434,Countries!$A$5:$A$434,"All landing pages",Countries!$D$5:$D$434,$A43,Countries!$Q$5:$Q$434,"&gt;0")/SUMIFS(Countries!$Q$5:$Q$434,Countries!$A$5:$A$434,"All landing pages",Countries!$D$5:$D$434,$A43,Countries!$AS$5:$AS$434,"&gt;0"))</f>
        <v/>
      </c>
      <c r="Q43" s="44">
        <f>IF(OR(O43="",P43=""),"",(P43-O43)*100)</f>
        <v/>
      </c>
      <c r="R43" s="45">
        <f>IF(SUMIFS(Countries!$E$5:$E$434,Countries!$A$5:$A$434,"All landing pages",Countries!$D$5:$D$434,$A43,Countries!$AR$5:$AR$434,"&gt;0")=0,"",SUMIFS(Countries!$AR$5:$AR$434,Countries!$A$5:$A$434,"All landing pages",Countries!$D$5:$D$434,$A43,Countries!$E$5:$E$434,"&gt;0")/SUMIFS(Countries!$E$5:$E$434,Countries!$A$5:$A$434,"All landing pages",Countries!$D$5:$D$434,$A43,Countries!$AR$5:$AR$434,"&gt;0"))</f>
        <v/>
      </c>
      <c r="S43" s="45">
        <f>IF(SUMIFS(Countries!$F$5:$F$434,Countries!$A$5:$A$434,"All landing pages",Countries!$D$5:$D$434,$A43,Countries!$AS$5:$AS$434,"&gt;0")=0,"",SUMIFS(Countries!$AS$5:$AS$434,Countries!$A$5:$A$434,"All landing pages",Countries!$D$5:$D$434,$A43,Countries!$F$5:$F$434,"&gt;0")/SUMIFS(Countries!$F$5:$F$434,Countries!$A$5:$A$434,"All landing pages",Countries!$D$5:$D$434,$A43,Countries!$AS$5:$AS$434,"&gt;0"))</f>
        <v/>
      </c>
      <c r="T43" s="44">
        <f>IF(OR(R43="",S43=""),"",(S43-R43)*100)</f>
        <v/>
      </c>
    </row>
    <row r="44">
      <c r="A44" s="40" t="inlineStr">
        <is>
          <t>Belgium</t>
        </is>
      </c>
      <c r="B44" s="40" t="inlineStr">
        <is>
          <t>All</t>
        </is>
      </c>
      <c r="C44" s="41">
        <f>IF(SUMIFS(Countries!$E$5:$E$434,Countries!$A$5:$A$434,"All landing pages",Countries!$D$5:$D$434,$A44)=0,"",SUMIFS(Countries!$E$5:$E$434,Countries!$A$5:$A$434,"All landing pages",Countries!$D$5:$D$434,$A44))</f>
        <v/>
      </c>
      <c r="D44" s="41">
        <f>IF(SUMIFS(Countries!$F$5:$F$434,Countries!$A$5:$A$434,"All landing pages",Countries!$D$5:$D$434,$A44)=0,"",SUMIFS(Countries!$F$5:$F$434,Countries!$A$5:$A$434,"All landing pages",Countries!$D$5:$D$434,$A44))</f>
        <v/>
      </c>
      <c r="E44" s="42">
        <f>IF(OR(C44="",D44="",D44=0,C44=0),"",D44/C44-1)</f>
        <v/>
      </c>
      <c r="F44" s="41">
        <f>IF(SUMIFS(Countries!$P$5:$P$434,Countries!$A$5:$A$434,"All landing pages",Countries!$D$5:$D$434,$A44)=0,"",SUMIFS(Countries!$P$5:$P$434,Countries!$A$5:$A$434,"All landing pages",Countries!$D$5:$D$434,$A44))</f>
        <v/>
      </c>
      <c r="G44" s="41">
        <f>IF(SUMIFS(Countries!$Q$5:$Q$434,Countries!$A$5:$A$434,"All landing pages",Countries!$D$5:$D$434,$A44)=0,"",SUMIFS(Countries!$Q$5:$Q$434,Countries!$A$5:$A$434,"All landing pages",Countries!$D$5:$D$434,$A44))</f>
        <v/>
      </c>
      <c r="H44" s="42">
        <f>IF(OR(F44="",G44="",G44=0,F44=0),"",G44/F44-1)</f>
        <v/>
      </c>
      <c r="I44" s="41">
        <f>IF(SUMIFS(Countries!$AR$5:$AR$434,Countries!$A$5:$A$434,"All landing pages",Countries!$D$5:$D$434,$A44)=0,"",SUMIFS(Countries!$AR$5:$AR$434,Countries!$A$5:$A$434,"All landing pages",Countries!$D$5:$D$434,$A44))</f>
        <v/>
      </c>
      <c r="J44" s="41">
        <f>IF(SUMIFS(Countries!$AS$5:$AS$434,Countries!$A$5:$A$434,"All landing pages",Countries!$D$5:$D$434,$A44)=0,"",SUMIFS(Countries!$AS$5:$AS$434,Countries!$A$5:$A$434,"All landing pages",Countries!$D$5:$D$434,$A44))</f>
        <v/>
      </c>
      <c r="K44" s="42">
        <f>IF(OR(I44="",J44="",J44=0,I44=0),"",J44/I44-1)</f>
        <v/>
      </c>
      <c r="L44" s="43">
        <f>IF(SUMIFS(Countries!$E$5:$E$434,Countries!$A$5:$A$434,"All landing pages",Countries!$D$5:$D$434,$A44,Countries!$P$5:$P$434,"&gt;0")=0,"",SUMIFS(Countries!$P$5:$P$434,Countries!$A$5:$A$434,"All landing pages",Countries!$D$5:$D$434,$A44,Countries!$E$5:$E$434,"&gt;0")/SUMIFS(Countries!$E$5:$E$434,Countries!$A$5:$A$434,"All landing pages",Countries!$D$5:$D$434,$A44,Countries!$P$5:$P$434,"&gt;0"))</f>
        <v/>
      </c>
      <c r="M44" s="43">
        <f>IF(SUMIFS(Countries!$F$5:$F$434,Countries!$A$5:$A$434,"All landing pages",Countries!$D$5:$D$434,$A44,Countries!$Q$5:$Q$434,"&gt;0")=0,"",SUMIFS(Countries!$Q$5:$Q$434,Countries!$A$5:$A$434,"All landing pages",Countries!$D$5:$D$434,$A44,Countries!$F$5:$F$434,"&gt;0")/SUMIFS(Countries!$F$5:$F$434,Countries!$A$5:$A$434,"All landing pages",Countries!$D$5:$D$434,$A44,Countries!$Q$5:$Q$434,"&gt;0"))</f>
        <v/>
      </c>
      <c r="N44" s="44">
        <f>IF(OR(L44="",M44=""),"",(M44-L44)*100)</f>
        <v/>
      </c>
      <c r="O44" s="45">
        <f>IF(SUMIFS(Countries!$P$5:$P$434,Countries!$A$5:$A$434,"All landing pages",Countries!$D$5:$D$434,$A44,Countries!$AR$5:$AR$434,"&gt;0")=0,"",SUMIFS(Countries!$AR$5:$AR$434,Countries!$A$5:$A$434,"All landing pages",Countries!$D$5:$D$434,$A44,Countries!$P$5:$P$434,"&gt;0")/SUMIFS(Countries!$P$5:$P$434,Countries!$A$5:$A$434,"All landing pages",Countries!$D$5:$D$434,$A44,Countries!$AR$5:$AR$434,"&gt;0"))</f>
        <v/>
      </c>
      <c r="P44" s="45">
        <f>IF(SUMIFS(Countries!$Q$5:$Q$434,Countries!$A$5:$A$434,"All landing pages",Countries!$D$5:$D$434,$A44,Countries!$AS$5:$AS$434,"&gt;0")=0,"",SUMIFS(Countries!$AS$5:$AS$434,Countries!$A$5:$A$434,"All landing pages",Countries!$D$5:$D$434,$A44,Countries!$Q$5:$Q$434,"&gt;0")/SUMIFS(Countries!$Q$5:$Q$434,Countries!$A$5:$A$434,"All landing pages",Countries!$D$5:$D$434,$A44,Countries!$AS$5:$AS$434,"&gt;0"))</f>
        <v/>
      </c>
      <c r="Q44" s="44">
        <f>IF(OR(O44="",P44=""),"",(P44-O44)*100)</f>
        <v/>
      </c>
      <c r="R44" s="45">
        <f>IF(SUMIFS(Countries!$E$5:$E$434,Countries!$A$5:$A$434,"All landing pages",Countries!$D$5:$D$434,$A44,Countries!$AR$5:$AR$434,"&gt;0")=0,"",SUMIFS(Countries!$AR$5:$AR$434,Countries!$A$5:$A$434,"All landing pages",Countries!$D$5:$D$434,$A44,Countries!$E$5:$E$434,"&gt;0")/SUMIFS(Countries!$E$5:$E$434,Countries!$A$5:$A$434,"All landing pages",Countries!$D$5:$D$434,$A44,Countries!$AR$5:$AR$434,"&gt;0"))</f>
        <v/>
      </c>
      <c r="S44" s="45">
        <f>IF(SUMIFS(Countries!$F$5:$F$434,Countries!$A$5:$A$434,"All landing pages",Countries!$D$5:$D$434,$A44,Countries!$AS$5:$AS$434,"&gt;0")=0,"",SUMIFS(Countries!$AS$5:$AS$434,Countries!$A$5:$A$434,"All landing pages",Countries!$D$5:$D$434,$A44,Countries!$F$5:$F$434,"&gt;0")/SUMIFS(Countries!$F$5:$F$434,Countries!$A$5:$A$434,"All landing pages",Countries!$D$5:$D$434,$A44,Countries!$AS$5:$AS$434,"&gt;0"))</f>
        <v/>
      </c>
      <c r="T44" s="44">
        <f>IF(OR(R44="",S44=""),"",(S44-R44)*100)</f>
        <v/>
      </c>
    </row>
    <row r="45">
      <c r="A45" s="40" t="inlineStr">
        <is>
          <t>Austria</t>
        </is>
      </c>
      <c r="B45" s="40" t="inlineStr">
        <is>
          <t>All</t>
        </is>
      </c>
      <c r="C45" s="41">
        <f>IF(SUMIFS(Countries!$E$5:$E$434,Countries!$A$5:$A$434,"All landing pages",Countries!$D$5:$D$434,$A45)=0,"",SUMIFS(Countries!$E$5:$E$434,Countries!$A$5:$A$434,"All landing pages",Countries!$D$5:$D$434,$A45))</f>
        <v/>
      </c>
      <c r="D45" s="41">
        <f>IF(SUMIFS(Countries!$F$5:$F$434,Countries!$A$5:$A$434,"All landing pages",Countries!$D$5:$D$434,$A45)=0,"",SUMIFS(Countries!$F$5:$F$434,Countries!$A$5:$A$434,"All landing pages",Countries!$D$5:$D$434,$A45))</f>
        <v/>
      </c>
      <c r="E45" s="42">
        <f>IF(OR(C45="",D45="",D45=0,C45=0),"",D45/C45-1)</f>
        <v/>
      </c>
      <c r="F45" s="41">
        <f>IF(SUMIFS(Countries!$P$5:$P$434,Countries!$A$5:$A$434,"All landing pages",Countries!$D$5:$D$434,$A45)=0,"",SUMIFS(Countries!$P$5:$P$434,Countries!$A$5:$A$434,"All landing pages",Countries!$D$5:$D$434,$A45))</f>
        <v/>
      </c>
      <c r="G45" s="41">
        <f>IF(SUMIFS(Countries!$Q$5:$Q$434,Countries!$A$5:$A$434,"All landing pages",Countries!$D$5:$D$434,$A45)=0,"",SUMIFS(Countries!$Q$5:$Q$434,Countries!$A$5:$A$434,"All landing pages",Countries!$D$5:$D$434,$A45))</f>
        <v/>
      </c>
      <c r="H45" s="42">
        <f>IF(OR(F45="",G45="",G45=0,F45=0),"",G45/F45-1)</f>
        <v/>
      </c>
      <c r="I45" s="41">
        <f>IF(SUMIFS(Countries!$AR$5:$AR$434,Countries!$A$5:$A$434,"All landing pages",Countries!$D$5:$D$434,$A45)=0,"",SUMIFS(Countries!$AR$5:$AR$434,Countries!$A$5:$A$434,"All landing pages",Countries!$D$5:$D$434,$A45))</f>
        <v/>
      </c>
      <c r="J45" s="41">
        <f>IF(SUMIFS(Countries!$AS$5:$AS$434,Countries!$A$5:$A$434,"All landing pages",Countries!$D$5:$D$434,$A45)=0,"",SUMIFS(Countries!$AS$5:$AS$434,Countries!$A$5:$A$434,"All landing pages",Countries!$D$5:$D$434,$A45))</f>
        <v/>
      </c>
      <c r="K45" s="42">
        <f>IF(OR(I45="",J45="",J45=0,I45=0),"",J45/I45-1)</f>
        <v/>
      </c>
      <c r="L45" s="43">
        <f>IF(SUMIFS(Countries!$E$5:$E$434,Countries!$A$5:$A$434,"All landing pages",Countries!$D$5:$D$434,$A45,Countries!$P$5:$P$434,"&gt;0")=0,"",SUMIFS(Countries!$P$5:$P$434,Countries!$A$5:$A$434,"All landing pages",Countries!$D$5:$D$434,$A45,Countries!$E$5:$E$434,"&gt;0")/SUMIFS(Countries!$E$5:$E$434,Countries!$A$5:$A$434,"All landing pages",Countries!$D$5:$D$434,$A45,Countries!$P$5:$P$434,"&gt;0"))</f>
        <v/>
      </c>
      <c r="M45" s="43">
        <f>IF(SUMIFS(Countries!$F$5:$F$434,Countries!$A$5:$A$434,"All landing pages",Countries!$D$5:$D$434,$A45,Countries!$Q$5:$Q$434,"&gt;0")=0,"",SUMIFS(Countries!$Q$5:$Q$434,Countries!$A$5:$A$434,"All landing pages",Countries!$D$5:$D$434,$A45,Countries!$F$5:$F$434,"&gt;0")/SUMIFS(Countries!$F$5:$F$434,Countries!$A$5:$A$434,"All landing pages",Countries!$D$5:$D$434,$A45,Countries!$Q$5:$Q$434,"&gt;0"))</f>
        <v/>
      </c>
      <c r="N45" s="44">
        <f>IF(OR(L45="",M45=""),"",(M45-L45)*100)</f>
        <v/>
      </c>
      <c r="O45" s="45">
        <f>IF(SUMIFS(Countries!$P$5:$P$434,Countries!$A$5:$A$434,"All landing pages",Countries!$D$5:$D$434,$A45,Countries!$AR$5:$AR$434,"&gt;0")=0,"",SUMIFS(Countries!$AR$5:$AR$434,Countries!$A$5:$A$434,"All landing pages",Countries!$D$5:$D$434,$A45,Countries!$P$5:$P$434,"&gt;0")/SUMIFS(Countries!$P$5:$P$434,Countries!$A$5:$A$434,"All landing pages",Countries!$D$5:$D$434,$A45,Countries!$AR$5:$AR$434,"&gt;0"))</f>
        <v/>
      </c>
      <c r="P45" s="45">
        <f>IF(SUMIFS(Countries!$Q$5:$Q$434,Countries!$A$5:$A$434,"All landing pages",Countries!$D$5:$D$434,$A45,Countries!$AS$5:$AS$434,"&gt;0")=0,"",SUMIFS(Countries!$AS$5:$AS$434,Countries!$A$5:$A$434,"All landing pages",Countries!$D$5:$D$434,$A45,Countries!$Q$5:$Q$434,"&gt;0")/SUMIFS(Countries!$Q$5:$Q$434,Countries!$A$5:$A$434,"All landing pages",Countries!$D$5:$D$434,$A45,Countries!$AS$5:$AS$434,"&gt;0"))</f>
        <v/>
      </c>
      <c r="Q45" s="44">
        <f>IF(OR(O45="",P45=""),"",(P45-O45)*100)</f>
        <v/>
      </c>
      <c r="R45" s="45">
        <f>IF(SUMIFS(Countries!$E$5:$E$434,Countries!$A$5:$A$434,"All landing pages",Countries!$D$5:$D$434,$A45,Countries!$AR$5:$AR$434,"&gt;0")=0,"",SUMIFS(Countries!$AR$5:$AR$434,Countries!$A$5:$A$434,"All landing pages",Countries!$D$5:$D$434,$A45,Countries!$E$5:$E$434,"&gt;0")/SUMIFS(Countries!$E$5:$E$434,Countries!$A$5:$A$434,"All landing pages",Countries!$D$5:$D$434,$A45,Countries!$AR$5:$AR$434,"&gt;0"))</f>
        <v/>
      </c>
      <c r="S45" s="45">
        <f>IF(SUMIFS(Countries!$F$5:$F$434,Countries!$A$5:$A$434,"All landing pages",Countries!$D$5:$D$434,$A45,Countries!$AS$5:$AS$434,"&gt;0")=0,"",SUMIFS(Countries!$AS$5:$AS$434,Countries!$A$5:$A$434,"All landing pages",Countries!$D$5:$D$434,$A45,Countries!$F$5:$F$434,"&gt;0")/SUMIFS(Countries!$F$5:$F$434,Countries!$A$5:$A$434,"All landing pages",Countries!$D$5:$D$434,$A45,Countries!$AS$5:$AS$434,"&gt;0"))</f>
        <v/>
      </c>
      <c r="T45" s="44">
        <f>IF(OR(R45="",S45=""),"",(S45-R45)*100)</f>
        <v/>
      </c>
    </row>
    <row r="46">
      <c r="A46" s="40" t="inlineStr">
        <is>
          <t>Denmark</t>
        </is>
      </c>
      <c r="B46" s="40" t="inlineStr">
        <is>
          <t>All</t>
        </is>
      </c>
      <c r="C46" s="41">
        <f>IF(SUMIFS(Countries!$E$5:$E$434,Countries!$A$5:$A$434,"All landing pages",Countries!$D$5:$D$434,$A46)=0,"",SUMIFS(Countries!$E$5:$E$434,Countries!$A$5:$A$434,"All landing pages",Countries!$D$5:$D$434,$A46))</f>
        <v/>
      </c>
      <c r="D46" s="41">
        <f>IF(SUMIFS(Countries!$F$5:$F$434,Countries!$A$5:$A$434,"All landing pages",Countries!$D$5:$D$434,$A46)=0,"",SUMIFS(Countries!$F$5:$F$434,Countries!$A$5:$A$434,"All landing pages",Countries!$D$5:$D$434,$A46))</f>
        <v/>
      </c>
      <c r="E46" s="42">
        <f>IF(OR(C46="",D46="",D46=0,C46=0),"",D46/C46-1)</f>
        <v/>
      </c>
      <c r="F46" s="41">
        <f>IF(SUMIFS(Countries!$P$5:$P$434,Countries!$A$5:$A$434,"All landing pages",Countries!$D$5:$D$434,$A46)=0,"",SUMIFS(Countries!$P$5:$P$434,Countries!$A$5:$A$434,"All landing pages",Countries!$D$5:$D$434,$A46))</f>
        <v/>
      </c>
      <c r="G46" s="41">
        <f>IF(SUMIFS(Countries!$Q$5:$Q$434,Countries!$A$5:$A$434,"All landing pages",Countries!$D$5:$D$434,$A46)=0,"",SUMIFS(Countries!$Q$5:$Q$434,Countries!$A$5:$A$434,"All landing pages",Countries!$D$5:$D$434,$A46))</f>
        <v/>
      </c>
      <c r="H46" s="42">
        <f>IF(OR(F46="",G46="",G46=0,F46=0),"",G46/F46-1)</f>
        <v/>
      </c>
      <c r="I46" s="41">
        <f>IF(SUMIFS(Countries!$AR$5:$AR$434,Countries!$A$5:$A$434,"All landing pages",Countries!$D$5:$D$434,$A46)=0,"",SUMIFS(Countries!$AR$5:$AR$434,Countries!$A$5:$A$434,"All landing pages",Countries!$D$5:$D$434,$A46))</f>
        <v/>
      </c>
      <c r="J46" s="41">
        <f>IF(SUMIFS(Countries!$AS$5:$AS$434,Countries!$A$5:$A$434,"All landing pages",Countries!$D$5:$D$434,$A46)=0,"",SUMIFS(Countries!$AS$5:$AS$434,Countries!$A$5:$A$434,"All landing pages",Countries!$D$5:$D$434,$A46))</f>
        <v/>
      </c>
      <c r="K46" s="42">
        <f>IF(OR(I46="",J46="",J46=0,I46=0),"",J46/I46-1)</f>
        <v/>
      </c>
      <c r="L46" s="43">
        <f>IF(SUMIFS(Countries!$E$5:$E$434,Countries!$A$5:$A$434,"All landing pages",Countries!$D$5:$D$434,$A46,Countries!$P$5:$P$434,"&gt;0")=0,"",SUMIFS(Countries!$P$5:$P$434,Countries!$A$5:$A$434,"All landing pages",Countries!$D$5:$D$434,$A46,Countries!$E$5:$E$434,"&gt;0")/SUMIFS(Countries!$E$5:$E$434,Countries!$A$5:$A$434,"All landing pages",Countries!$D$5:$D$434,$A46,Countries!$P$5:$P$434,"&gt;0"))</f>
        <v/>
      </c>
      <c r="M46" s="43">
        <f>IF(SUMIFS(Countries!$F$5:$F$434,Countries!$A$5:$A$434,"All landing pages",Countries!$D$5:$D$434,$A46,Countries!$Q$5:$Q$434,"&gt;0")=0,"",SUMIFS(Countries!$Q$5:$Q$434,Countries!$A$5:$A$434,"All landing pages",Countries!$D$5:$D$434,$A46,Countries!$F$5:$F$434,"&gt;0")/SUMIFS(Countries!$F$5:$F$434,Countries!$A$5:$A$434,"All landing pages",Countries!$D$5:$D$434,$A46,Countries!$Q$5:$Q$434,"&gt;0"))</f>
        <v/>
      </c>
      <c r="N46" s="44">
        <f>IF(OR(L46="",M46=""),"",(M46-L46)*100)</f>
        <v/>
      </c>
      <c r="O46" s="45">
        <f>IF(SUMIFS(Countries!$P$5:$P$434,Countries!$A$5:$A$434,"All landing pages",Countries!$D$5:$D$434,$A46,Countries!$AR$5:$AR$434,"&gt;0")=0,"",SUMIFS(Countries!$AR$5:$AR$434,Countries!$A$5:$A$434,"All landing pages",Countries!$D$5:$D$434,$A46,Countries!$P$5:$P$434,"&gt;0")/SUMIFS(Countries!$P$5:$P$434,Countries!$A$5:$A$434,"All landing pages",Countries!$D$5:$D$434,$A46,Countries!$AR$5:$AR$434,"&gt;0"))</f>
        <v/>
      </c>
      <c r="P46" s="45">
        <f>IF(SUMIFS(Countries!$Q$5:$Q$434,Countries!$A$5:$A$434,"All landing pages",Countries!$D$5:$D$434,$A46,Countries!$AS$5:$AS$434,"&gt;0")=0,"",SUMIFS(Countries!$AS$5:$AS$434,Countries!$A$5:$A$434,"All landing pages",Countries!$D$5:$D$434,$A46,Countries!$Q$5:$Q$434,"&gt;0")/SUMIFS(Countries!$Q$5:$Q$434,Countries!$A$5:$A$434,"All landing pages",Countries!$D$5:$D$434,$A46,Countries!$AS$5:$AS$434,"&gt;0"))</f>
        <v/>
      </c>
      <c r="Q46" s="44">
        <f>IF(OR(O46="",P46=""),"",(P46-O46)*100)</f>
        <v/>
      </c>
      <c r="R46" s="45">
        <f>IF(SUMIFS(Countries!$E$5:$E$434,Countries!$A$5:$A$434,"All landing pages",Countries!$D$5:$D$434,$A46,Countries!$AR$5:$AR$434,"&gt;0")=0,"",SUMIFS(Countries!$AR$5:$AR$434,Countries!$A$5:$A$434,"All landing pages",Countries!$D$5:$D$434,$A46,Countries!$E$5:$E$434,"&gt;0")/SUMIFS(Countries!$E$5:$E$434,Countries!$A$5:$A$434,"All landing pages",Countries!$D$5:$D$434,$A46,Countries!$AR$5:$AR$434,"&gt;0"))</f>
        <v/>
      </c>
      <c r="S46" s="45">
        <f>IF(SUMIFS(Countries!$F$5:$F$434,Countries!$A$5:$A$434,"All landing pages",Countries!$D$5:$D$434,$A46,Countries!$AS$5:$AS$434,"&gt;0")=0,"",SUMIFS(Countries!$AS$5:$AS$434,Countries!$A$5:$A$434,"All landing pages",Countries!$D$5:$D$434,$A46,Countries!$F$5:$F$434,"&gt;0")/SUMIFS(Countries!$F$5:$F$434,Countries!$A$5:$A$434,"All landing pages",Countries!$D$5:$D$434,$A46,Countries!$AS$5:$AS$434,"&gt;0"))</f>
        <v/>
      </c>
      <c r="T46" s="44">
        <f>IF(OR(R46="",S46=""),"",(S46-R46)*100)</f>
        <v/>
      </c>
    </row>
    <row r="47">
      <c r="A47" s="40" t="inlineStr">
        <is>
          <t>Norway</t>
        </is>
      </c>
      <c r="B47" s="40" t="inlineStr">
        <is>
          <t>All</t>
        </is>
      </c>
      <c r="C47" s="41">
        <f>IF(SUMIFS(Countries!$E$5:$E$434,Countries!$A$5:$A$434,"All landing pages",Countries!$D$5:$D$434,$A47)=0,"",SUMIFS(Countries!$E$5:$E$434,Countries!$A$5:$A$434,"All landing pages",Countries!$D$5:$D$434,$A47))</f>
        <v/>
      </c>
      <c r="D47" s="41">
        <f>IF(SUMIFS(Countries!$F$5:$F$434,Countries!$A$5:$A$434,"All landing pages",Countries!$D$5:$D$434,$A47)=0,"",SUMIFS(Countries!$F$5:$F$434,Countries!$A$5:$A$434,"All landing pages",Countries!$D$5:$D$434,$A47))</f>
        <v/>
      </c>
      <c r="E47" s="42">
        <f>IF(OR(C47="",D47="",D47=0,C47=0),"",D47/C47-1)</f>
        <v/>
      </c>
      <c r="F47" s="41">
        <f>IF(SUMIFS(Countries!$P$5:$P$434,Countries!$A$5:$A$434,"All landing pages",Countries!$D$5:$D$434,$A47)=0,"",SUMIFS(Countries!$P$5:$P$434,Countries!$A$5:$A$434,"All landing pages",Countries!$D$5:$D$434,$A47))</f>
        <v/>
      </c>
      <c r="G47" s="41">
        <f>IF(SUMIFS(Countries!$Q$5:$Q$434,Countries!$A$5:$A$434,"All landing pages",Countries!$D$5:$D$434,$A47)=0,"",SUMIFS(Countries!$Q$5:$Q$434,Countries!$A$5:$A$434,"All landing pages",Countries!$D$5:$D$434,$A47))</f>
        <v/>
      </c>
      <c r="H47" s="42">
        <f>IF(OR(F47="",G47="",G47=0,F47=0),"",G47/F47-1)</f>
        <v/>
      </c>
      <c r="I47" s="41">
        <f>IF(SUMIFS(Countries!$AR$5:$AR$434,Countries!$A$5:$A$434,"All landing pages",Countries!$D$5:$D$434,$A47)=0,"",SUMIFS(Countries!$AR$5:$AR$434,Countries!$A$5:$A$434,"All landing pages",Countries!$D$5:$D$434,$A47))</f>
        <v/>
      </c>
      <c r="J47" s="41">
        <f>IF(SUMIFS(Countries!$AS$5:$AS$434,Countries!$A$5:$A$434,"All landing pages",Countries!$D$5:$D$434,$A47)=0,"",SUMIFS(Countries!$AS$5:$AS$434,Countries!$A$5:$A$434,"All landing pages",Countries!$D$5:$D$434,$A47))</f>
        <v/>
      </c>
      <c r="K47" s="42">
        <f>IF(OR(I47="",J47="",J47=0,I47=0),"",J47/I47-1)</f>
        <v/>
      </c>
      <c r="L47" s="43">
        <f>IF(SUMIFS(Countries!$E$5:$E$434,Countries!$A$5:$A$434,"All landing pages",Countries!$D$5:$D$434,$A47,Countries!$P$5:$P$434,"&gt;0")=0,"",SUMIFS(Countries!$P$5:$P$434,Countries!$A$5:$A$434,"All landing pages",Countries!$D$5:$D$434,$A47,Countries!$E$5:$E$434,"&gt;0")/SUMIFS(Countries!$E$5:$E$434,Countries!$A$5:$A$434,"All landing pages",Countries!$D$5:$D$434,$A47,Countries!$P$5:$P$434,"&gt;0"))</f>
        <v/>
      </c>
      <c r="M47" s="43">
        <f>IF(SUMIFS(Countries!$F$5:$F$434,Countries!$A$5:$A$434,"All landing pages",Countries!$D$5:$D$434,$A47,Countries!$Q$5:$Q$434,"&gt;0")=0,"",SUMIFS(Countries!$Q$5:$Q$434,Countries!$A$5:$A$434,"All landing pages",Countries!$D$5:$D$434,$A47,Countries!$F$5:$F$434,"&gt;0")/SUMIFS(Countries!$F$5:$F$434,Countries!$A$5:$A$434,"All landing pages",Countries!$D$5:$D$434,$A47,Countries!$Q$5:$Q$434,"&gt;0"))</f>
        <v/>
      </c>
      <c r="N47" s="44">
        <f>IF(OR(L47="",M47=""),"",(M47-L47)*100)</f>
        <v/>
      </c>
      <c r="O47" s="45">
        <f>IF(SUMIFS(Countries!$P$5:$P$434,Countries!$A$5:$A$434,"All landing pages",Countries!$D$5:$D$434,$A47,Countries!$AR$5:$AR$434,"&gt;0")=0,"",SUMIFS(Countries!$AR$5:$AR$434,Countries!$A$5:$A$434,"All landing pages",Countries!$D$5:$D$434,$A47,Countries!$P$5:$P$434,"&gt;0")/SUMIFS(Countries!$P$5:$P$434,Countries!$A$5:$A$434,"All landing pages",Countries!$D$5:$D$434,$A47,Countries!$AR$5:$AR$434,"&gt;0"))</f>
        <v/>
      </c>
      <c r="P47" s="45">
        <f>IF(SUMIFS(Countries!$Q$5:$Q$434,Countries!$A$5:$A$434,"All landing pages",Countries!$D$5:$D$434,$A47,Countries!$AS$5:$AS$434,"&gt;0")=0,"",SUMIFS(Countries!$AS$5:$AS$434,Countries!$A$5:$A$434,"All landing pages",Countries!$D$5:$D$434,$A47,Countries!$Q$5:$Q$434,"&gt;0")/SUMIFS(Countries!$Q$5:$Q$434,Countries!$A$5:$A$434,"All landing pages",Countries!$D$5:$D$434,$A47,Countries!$AS$5:$AS$434,"&gt;0"))</f>
        <v/>
      </c>
      <c r="Q47" s="44">
        <f>IF(OR(O47="",P47=""),"",(P47-O47)*100)</f>
        <v/>
      </c>
      <c r="R47" s="45">
        <f>IF(SUMIFS(Countries!$E$5:$E$434,Countries!$A$5:$A$434,"All landing pages",Countries!$D$5:$D$434,$A47,Countries!$AR$5:$AR$434,"&gt;0")=0,"",SUMIFS(Countries!$AR$5:$AR$434,Countries!$A$5:$A$434,"All landing pages",Countries!$D$5:$D$434,$A47,Countries!$E$5:$E$434,"&gt;0")/SUMIFS(Countries!$E$5:$E$434,Countries!$A$5:$A$434,"All landing pages",Countries!$D$5:$D$434,$A47,Countries!$AR$5:$AR$434,"&gt;0"))</f>
        <v/>
      </c>
      <c r="S47" s="45">
        <f>IF(SUMIFS(Countries!$F$5:$F$434,Countries!$A$5:$A$434,"All landing pages",Countries!$D$5:$D$434,$A47,Countries!$AS$5:$AS$434,"&gt;0")=0,"",SUMIFS(Countries!$AS$5:$AS$434,Countries!$A$5:$A$434,"All landing pages",Countries!$D$5:$D$434,$A47,Countries!$F$5:$F$434,"&gt;0")/SUMIFS(Countries!$F$5:$F$434,Countries!$A$5:$A$434,"All landing pages",Countries!$D$5:$D$434,$A47,Countries!$AS$5:$AS$434,"&gt;0"))</f>
        <v/>
      </c>
      <c r="T47" s="44">
        <f>IF(OR(R47="",S47=""),"",(S47-R47)*100)</f>
        <v/>
      </c>
    </row>
    <row r="48">
      <c r="A48" s="40" t="inlineStr">
        <is>
          <t>Finland</t>
        </is>
      </c>
      <c r="B48" s="40" t="inlineStr">
        <is>
          <t>All</t>
        </is>
      </c>
      <c r="C48" s="41">
        <f>IF(SUMIFS(Countries!$E$5:$E$434,Countries!$A$5:$A$434,"All landing pages",Countries!$D$5:$D$434,$A48)=0,"",SUMIFS(Countries!$E$5:$E$434,Countries!$A$5:$A$434,"All landing pages",Countries!$D$5:$D$434,$A48))</f>
        <v/>
      </c>
      <c r="D48" s="41">
        <f>IF(SUMIFS(Countries!$F$5:$F$434,Countries!$A$5:$A$434,"All landing pages",Countries!$D$5:$D$434,$A48)=0,"",SUMIFS(Countries!$F$5:$F$434,Countries!$A$5:$A$434,"All landing pages",Countries!$D$5:$D$434,$A48))</f>
        <v/>
      </c>
      <c r="E48" s="42">
        <f>IF(OR(C48="",D48="",D48=0,C48=0),"",D48/C48-1)</f>
        <v/>
      </c>
      <c r="F48" s="41">
        <f>IF(SUMIFS(Countries!$P$5:$P$434,Countries!$A$5:$A$434,"All landing pages",Countries!$D$5:$D$434,$A48)=0,"",SUMIFS(Countries!$P$5:$P$434,Countries!$A$5:$A$434,"All landing pages",Countries!$D$5:$D$434,$A48))</f>
        <v/>
      </c>
      <c r="G48" s="41">
        <f>IF(SUMIFS(Countries!$Q$5:$Q$434,Countries!$A$5:$A$434,"All landing pages",Countries!$D$5:$D$434,$A48)=0,"",SUMIFS(Countries!$Q$5:$Q$434,Countries!$A$5:$A$434,"All landing pages",Countries!$D$5:$D$434,$A48))</f>
        <v/>
      </c>
      <c r="H48" s="42">
        <f>IF(OR(F48="",G48="",G48=0,F48=0),"",G48/F48-1)</f>
        <v/>
      </c>
      <c r="I48" s="41">
        <f>IF(SUMIFS(Countries!$AR$5:$AR$434,Countries!$A$5:$A$434,"All landing pages",Countries!$D$5:$D$434,$A48)=0,"",SUMIFS(Countries!$AR$5:$AR$434,Countries!$A$5:$A$434,"All landing pages",Countries!$D$5:$D$434,$A48))</f>
        <v/>
      </c>
      <c r="J48" s="41">
        <f>IF(SUMIFS(Countries!$AS$5:$AS$434,Countries!$A$5:$A$434,"All landing pages",Countries!$D$5:$D$434,$A48)=0,"",SUMIFS(Countries!$AS$5:$AS$434,Countries!$A$5:$A$434,"All landing pages",Countries!$D$5:$D$434,$A48))</f>
        <v/>
      </c>
      <c r="K48" s="42">
        <f>IF(OR(I48="",J48="",J48=0,I48=0),"",J48/I48-1)</f>
        <v/>
      </c>
      <c r="L48" s="43">
        <f>IF(SUMIFS(Countries!$E$5:$E$434,Countries!$A$5:$A$434,"All landing pages",Countries!$D$5:$D$434,$A48,Countries!$P$5:$P$434,"&gt;0")=0,"",SUMIFS(Countries!$P$5:$P$434,Countries!$A$5:$A$434,"All landing pages",Countries!$D$5:$D$434,$A48,Countries!$E$5:$E$434,"&gt;0")/SUMIFS(Countries!$E$5:$E$434,Countries!$A$5:$A$434,"All landing pages",Countries!$D$5:$D$434,$A48,Countries!$P$5:$P$434,"&gt;0"))</f>
        <v/>
      </c>
      <c r="M48" s="43">
        <f>IF(SUMIFS(Countries!$F$5:$F$434,Countries!$A$5:$A$434,"All landing pages",Countries!$D$5:$D$434,$A48,Countries!$Q$5:$Q$434,"&gt;0")=0,"",SUMIFS(Countries!$Q$5:$Q$434,Countries!$A$5:$A$434,"All landing pages",Countries!$D$5:$D$434,$A48,Countries!$F$5:$F$434,"&gt;0")/SUMIFS(Countries!$F$5:$F$434,Countries!$A$5:$A$434,"All landing pages",Countries!$D$5:$D$434,$A48,Countries!$Q$5:$Q$434,"&gt;0"))</f>
        <v/>
      </c>
      <c r="N48" s="44">
        <f>IF(OR(L48="",M48=""),"",(M48-L48)*100)</f>
        <v/>
      </c>
      <c r="O48" s="45">
        <f>IF(SUMIFS(Countries!$P$5:$P$434,Countries!$A$5:$A$434,"All landing pages",Countries!$D$5:$D$434,$A48,Countries!$AR$5:$AR$434,"&gt;0")=0,"",SUMIFS(Countries!$AR$5:$AR$434,Countries!$A$5:$A$434,"All landing pages",Countries!$D$5:$D$434,$A48,Countries!$P$5:$P$434,"&gt;0")/SUMIFS(Countries!$P$5:$P$434,Countries!$A$5:$A$434,"All landing pages",Countries!$D$5:$D$434,$A48,Countries!$AR$5:$AR$434,"&gt;0"))</f>
        <v/>
      </c>
      <c r="P48" s="45">
        <f>IF(SUMIFS(Countries!$Q$5:$Q$434,Countries!$A$5:$A$434,"All landing pages",Countries!$D$5:$D$434,$A48,Countries!$AS$5:$AS$434,"&gt;0")=0,"",SUMIFS(Countries!$AS$5:$AS$434,Countries!$A$5:$A$434,"All landing pages",Countries!$D$5:$D$434,$A48,Countries!$Q$5:$Q$434,"&gt;0")/SUMIFS(Countries!$Q$5:$Q$434,Countries!$A$5:$A$434,"All landing pages",Countries!$D$5:$D$434,$A48,Countries!$AS$5:$AS$434,"&gt;0"))</f>
        <v/>
      </c>
      <c r="Q48" s="44">
        <f>IF(OR(O48="",P48=""),"",(P48-O48)*100)</f>
        <v/>
      </c>
      <c r="R48" s="45">
        <f>IF(SUMIFS(Countries!$E$5:$E$434,Countries!$A$5:$A$434,"All landing pages",Countries!$D$5:$D$434,$A48,Countries!$AR$5:$AR$434,"&gt;0")=0,"",SUMIFS(Countries!$AR$5:$AR$434,Countries!$A$5:$A$434,"All landing pages",Countries!$D$5:$D$434,$A48,Countries!$E$5:$E$434,"&gt;0")/SUMIFS(Countries!$E$5:$E$434,Countries!$A$5:$A$434,"All landing pages",Countries!$D$5:$D$434,$A48,Countries!$AR$5:$AR$434,"&gt;0"))</f>
        <v/>
      </c>
      <c r="S48" s="45">
        <f>IF(SUMIFS(Countries!$F$5:$F$434,Countries!$A$5:$A$434,"All landing pages",Countries!$D$5:$D$434,$A48,Countries!$AS$5:$AS$434,"&gt;0")=0,"",SUMIFS(Countries!$AS$5:$AS$434,Countries!$A$5:$A$434,"All landing pages",Countries!$D$5:$D$434,$A48,Countries!$F$5:$F$434,"&gt;0")/SUMIFS(Countries!$F$5:$F$434,Countries!$A$5:$A$434,"All landing pages",Countries!$D$5:$D$434,$A48,Countries!$AS$5:$AS$434,"&gt;0"))</f>
        <v/>
      </c>
      <c r="T48" s="44">
        <f>IF(OR(R48="",S48=""),"",(S48-R48)*100)</f>
        <v/>
      </c>
    </row>
    <row r="49">
      <c r="A49" s="40" t="inlineStr">
        <is>
          <t>Portugal</t>
        </is>
      </c>
      <c r="B49" s="40" t="inlineStr">
        <is>
          <t>All</t>
        </is>
      </c>
      <c r="C49" s="41">
        <f>IF(SUMIFS(Countries!$E$5:$E$434,Countries!$A$5:$A$434,"All landing pages",Countries!$D$5:$D$434,$A49)=0,"",SUMIFS(Countries!$E$5:$E$434,Countries!$A$5:$A$434,"All landing pages",Countries!$D$5:$D$434,$A49))</f>
        <v/>
      </c>
      <c r="D49" s="41">
        <f>IF(SUMIFS(Countries!$F$5:$F$434,Countries!$A$5:$A$434,"All landing pages",Countries!$D$5:$D$434,$A49)=0,"",SUMIFS(Countries!$F$5:$F$434,Countries!$A$5:$A$434,"All landing pages",Countries!$D$5:$D$434,$A49))</f>
        <v/>
      </c>
      <c r="E49" s="42">
        <f>IF(OR(C49="",D49="",D49=0,C49=0),"",D49/C49-1)</f>
        <v/>
      </c>
      <c r="F49" s="41">
        <f>IF(SUMIFS(Countries!$P$5:$P$434,Countries!$A$5:$A$434,"All landing pages",Countries!$D$5:$D$434,$A49)=0,"",SUMIFS(Countries!$P$5:$P$434,Countries!$A$5:$A$434,"All landing pages",Countries!$D$5:$D$434,$A49))</f>
        <v/>
      </c>
      <c r="G49" s="41">
        <f>IF(SUMIFS(Countries!$Q$5:$Q$434,Countries!$A$5:$A$434,"All landing pages",Countries!$D$5:$D$434,$A49)=0,"",SUMIFS(Countries!$Q$5:$Q$434,Countries!$A$5:$A$434,"All landing pages",Countries!$D$5:$D$434,$A49))</f>
        <v/>
      </c>
      <c r="H49" s="42">
        <f>IF(OR(F49="",G49="",G49=0,F49=0),"",G49/F49-1)</f>
        <v/>
      </c>
      <c r="I49" s="41">
        <f>IF(SUMIFS(Countries!$AR$5:$AR$434,Countries!$A$5:$A$434,"All landing pages",Countries!$D$5:$D$434,$A49)=0,"",SUMIFS(Countries!$AR$5:$AR$434,Countries!$A$5:$A$434,"All landing pages",Countries!$D$5:$D$434,$A49))</f>
        <v/>
      </c>
      <c r="J49" s="41">
        <f>IF(SUMIFS(Countries!$AS$5:$AS$434,Countries!$A$5:$A$434,"All landing pages",Countries!$D$5:$D$434,$A49)=0,"",SUMIFS(Countries!$AS$5:$AS$434,Countries!$A$5:$A$434,"All landing pages",Countries!$D$5:$D$434,$A49))</f>
        <v/>
      </c>
      <c r="K49" s="42">
        <f>IF(OR(I49="",J49="",J49=0,I49=0),"",J49/I49-1)</f>
        <v/>
      </c>
      <c r="L49" s="43">
        <f>IF(SUMIFS(Countries!$E$5:$E$434,Countries!$A$5:$A$434,"All landing pages",Countries!$D$5:$D$434,$A49,Countries!$P$5:$P$434,"&gt;0")=0,"",SUMIFS(Countries!$P$5:$P$434,Countries!$A$5:$A$434,"All landing pages",Countries!$D$5:$D$434,$A49,Countries!$E$5:$E$434,"&gt;0")/SUMIFS(Countries!$E$5:$E$434,Countries!$A$5:$A$434,"All landing pages",Countries!$D$5:$D$434,$A49,Countries!$P$5:$P$434,"&gt;0"))</f>
        <v/>
      </c>
      <c r="M49" s="43">
        <f>IF(SUMIFS(Countries!$F$5:$F$434,Countries!$A$5:$A$434,"All landing pages",Countries!$D$5:$D$434,$A49,Countries!$Q$5:$Q$434,"&gt;0")=0,"",SUMIFS(Countries!$Q$5:$Q$434,Countries!$A$5:$A$434,"All landing pages",Countries!$D$5:$D$434,$A49,Countries!$F$5:$F$434,"&gt;0")/SUMIFS(Countries!$F$5:$F$434,Countries!$A$5:$A$434,"All landing pages",Countries!$D$5:$D$434,$A49,Countries!$Q$5:$Q$434,"&gt;0"))</f>
        <v/>
      </c>
      <c r="N49" s="44">
        <f>IF(OR(L49="",M49=""),"",(M49-L49)*100)</f>
        <v/>
      </c>
      <c r="O49" s="45">
        <f>IF(SUMIFS(Countries!$P$5:$P$434,Countries!$A$5:$A$434,"All landing pages",Countries!$D$5:$D$434,$A49,Countries!$AR$5:$AR$434,"&gt;0")=0,"",SUMIFS(Countries!$AR$5:$AR$434,Countries!$A$5:$A$434,"All landing pages",Countries!$D$5:$D$434,$A49,Countries!$P$5:$P$434,"&gt;0")/SUMIFS(Countries!$P$5:$P$434,Countries!$A$5:$A$434,"All landing pages",Countries!$D$5:$D$434,$A49,Countries!$AR$5:$AR$434,"&gt;0"))</f>
        <v/>
      </c>
      <c r="P49" s="45">
        <f>IF(SUMIFS(Countries!$Q$5:$Q$434,Countries!$A$5:$A$434,"All landing pages",Countries!$D$5:$D$434,$A49,Countries!$AS$5:$AS$434,"&gt;0")=0,"",SUMIFS(Countries!$AS$5:$AS$434,Countries!$A$5:$A$434,"All landing pages",Countries!$D$5:$D$434,$A49,Countries!$Q$5:$Q$434,"&gt;0")/SUMIFS(Countries!$Q$5:$Q$434,Countries!$A$5:$A$434,"All landing pages",Countries!$D$5:$D$434,$A49,Countries!$AS$5:$AS$434,"&gt;0"))</f>
        <v/>
      </c>
      <c r="Q49" s="44">
        <f>IF(OR(O49="",P49=""),"",(P49-O49)*100)</f>
        <v/>
      </c>
      <c r="R49" s="45">
        <f>IF(SUMIFS(Countries!$E$5:$E$434,Countries!$A$5:$A$434,"All landing pages",Countries!$D$5:$D$434,$A49,Countries!$AR$5:$AR$434,"&gt;0")=0,"",SUMIFS(Countries!$AR$5:$AR$434,Countries!$A$5:$A$434,"All landing pages",Countries!$D$5:$D$434,$A49,Countries!$E$5:$E$434,"&gt;0")/SUMIFS(Countries!$E$5:$E$434,Countries!$A$5:$A$434,"All landing pages",Countries!$D$5:$D$434,$A49,Countries!$AR$5:$AR$434,"&gt;0"))</f>
        <v/>
      </c>
      <c r="S49" s="45">
        <f>IF(SUMIFS(Countries!$F$5:$F$434,Countries!$A$5:$A$434,"All landing pages",Countries!$D$5:$D$434,$A49,Countries!$AS$5:$AS$434,"&gt;0")=0,"",SUMIFS(Countries!$AS$5:$AS$434,Countries!$A$5:$A$434,"All landing pages",Countries!$D$5:$D$434,$A49,Countries!$F$5:$F$434,"&gt;0")/SUMIFS(Countries!$F$5:$F$434,Countries!$A$5:$A$434,"All landing pages",Countries!$D$5:$D$434,$A49,Countries!$AS$5:$AS$434,"&gt;0"))</f>
        <v/>
      </c>
      <c r="T49" s="44">
        <f>IF(OR(R49="",S49=""),"",(S49-R49)*100)</f>
        <v/>
      </c>
    </row>
    <row r="50">
      <c r="A50" s="40" t="inlineStr">
        <is>
          <t>Türkiye</t>
        </is>
      </c>
      <c r="B50" s="40" t="inlineStr">
        <is>
          <t>All</t>
        </is>
      </c>
      <c r="C50" s="41">
        <f>IF(SUMIFS(Countries!$E$5:$E$434,Countries!$A$5:$A$434,"All landing pages",Countries!$D$5:$D$434,$A50)=0,"",SUMIFS(Countries!$E$5:$E$434,Countries!$A$5:$A$434,"All landing pages",Countries!$D$5:$D$434,$A50))</f>
        <v/>
      </c>
      <c r="D50" s="41">
        <f>IF(SUMIFS(Countries!$F$5:$F$434,Countries!$A$5:$A$434,"All landing pages",Countries!$D$5:$D$434,$A50)=0,"",SUMIFS(Countries!$F$5:$F$434,Countries!$A$5:$A$434,"All landing pages",Countries!$D$5:$D$434,$A50))</f>
        <v/>
      </c>
      <c r="E50" s="42">
        <f>IF(OR(C50="",D50="",D50=0,C50=0),"",D50/C50-1)</f>
        <v/>
      </c>
      <c r="F50" s="41">
        <f>IF(SUMIFS(Countries!$P$5:$P$434,Countries!$A$5:$A$434,"All landing pages",Countries!$D$5:$D$434,$A50)=0,"",SUMIFS(Countries!$P$5:$P$434,Countries!$A$5:$A$434,"All landing pages",Countries!$D$5:$D$434,$A50))</f>
        <v/>
      </c>
      <c r="G50" s="41">
        <f>IF(SUMIFS(Countries!$Q$5:$Q$434,Countries!$A$5:$A$434,"All landing pages",Countries!$D$5:$D$434,$A50)=0,"",SUMIFS(Countries!$Q$5:$Q$434,Countries!$A$5:$A$434,"All landing pages",Countries!$D$5:$D$434,$A50))</f>
        <v/>
      </c>
      <c r="H50" s="42">
        <f>IF(OR(F50="",G50="",G50=0,F50=0),"",G50/F50-1)</f>
        <v/>
      </c>
      <c r="I50" s="41">
        <f>IF(SUMIFS(Countries!$AR$5:$AR$434,Countries!$A$5:$A$434,"All landing pages",Countries!$D$5:$D$434,$A50)=0,"",SUMIFS(Countries!$AR$5:$AR$434,Countries!$A$5:$A$434,"All landing pages",Countries!$D$5:$D$434,$A50))</f>
        <v/>
      </c>
      <c r="J50" s="41">
        <f>IF(SUMIFS(Countries!$AS$5:$AS$434,Countries!$A$5:$A$434,"All landing pages",Countries!$D$5:$D$434,$A50)=0,"",SUMIFS(Countries!$AS$5:$AS$434,Countries!$A$5:$A$434,"All landing pages",Countries!$D$5:$D$434,$A50))</f>
        <v/>
      </c>
      <c r="K50" s="42">
        <f>IF(OR(I50="",J50="",J50=0,I50=0),"",J50/I50-1)</f>
        <v/>
      </c>
      <c r="L50" s="43">
        <f>IF(SUMIFS(Countries!$E$5:$E$434,Countries!$A$5:$A$434,"All landing pages",Countries!$D$5:$D$434,$A50,Countries!$P$5:$P$434,"&gt;0")=0,"",SUMIFS(Countries!$P$5:$P$434,Countries!$A$5:$A$434,"All landing pages",Countries!$D$5:$D$434,$A50,Countries!$E$5:$E$434,"&gt;0")/SUMIFS(Countries!$E$5:$E$434,Countries!$A$5:$A$434,"All landing pages",Countries!$D$5:$D$434,$A50,Countries!$P$5:$P$434,"&gt;0"))</f>
        <v/>
      </c>
      <c r="M50" s="43">
        <f>IF(SUMIFS(Countries!$F$5:$F$434,Countries!$A$5:$A$434,"All landing pages",Countries!$D$5:$D$434,$A50,Countries!$Q$5:$Q$434,"&gt;0")=0,"",SUMIFS(Countries!$Q$5:$Q$434,Countries!$A$5:$A$434,"All landing pages",Countries!$D$5:$D$434,$A50,Countries!$F$5:$F$434,"&gt;0")/SUMIFS(Countries!$F$5:$F$434,Countries!$A$5:$A$434,"All landing pages",Countries!$D$5:$D$434,$A50,Countries!$Q$5:$Q$434,"&gt;0"))</f>
        <v/>
      </c>
      <c r="N50" s="44">
        <f>IF(OR(L50="",M50=""),"",(M50-L50)*100)</f>
        <v/>
      </c>
      <c r="O50" s="45">
        <f>IF(SUMIFS(Countries!$P$5:$P$434,Countries!$A$5:$A$434,"All landing pages",Countries!$D$5:$D$434,$A50,Countries!$AR$5:$AR$434,"&gt;0")=0,"",SUMIFS(Countries!$AR$5:$AR$434,Countries!$A$5:$A$434,"All landing pages",Countries!$D$5:$D$434,$A50,Countries!$P$5:$P$434,"&gt;0")/SUMIFS(Countries!$P$5:$P$434,Countries!$A$5:$A$434,"All landing pages",Countries!$D$5:$D$434,$A50,Countries!$AR$5:$AR$434,"&gt;0"))</f>
        <v/>
      </c>
      <c r="P50" s="45">
        <f>IF(SUMIFS(Countries!$Q$5:$Q$434,Countries!$A$5:$A$434,"All landing pages",Countries!$D$5:$D$434,$A50,Countries!$AS$5:$AS$434,"&gt;0")=0,"",SUMIFS(Countries!$AS$5:$AS$434,Countries!$A$5:$A$434,"All landing pages",Countries!$D$5:$D$434,$A50,Countries!$Q$5:$Q$434,"&gt;0")/SUMIFS(Countries!$Q$5:$Q$434,Countries!$A$5:$A$434,"All landing pages",Countries!$D$5:$D$434,$A50,Countries!$AS$5:$AS$434,"&gt;0"))</f>
        <v/>
      </c>
      <c r="Q50" s="44">
        <f>IF(OR(O50="",P50=""),"",(P50-O50)*100)</f>
        <v/>
      </c>
      <c r="R50" s="45">
        <f>IF(SUMIFS(Countries!$E$5:$E$434,Countries!$A$5:$A$434,"All landing pages",Countries!$D$5:$D$434,$A50,Countries!$AR$5:$AR$434,"&gt;0")=0,"",SUMIFS(Countries!$AR$5:$AR$434,Countries!$A$5:$A$434,"All landing pages",Countries!$D$5:$D$434,$A50,Countries!$E$5:$E$434,"&gt;0")/SUMIFS(Countries!$E$5:$E$434,Countries!$A$5:$A$434,"All landing pages",Countries!$D$5:$D$434,$A50,Countries!$AR$5:$AR$434,"&gt;0"))</f>
        <v/>
      </c>
      <c r="S50" s="45">
        <f>IF(SUMIFS(Countries!$F$5:$F$434,Countries!$A$5:$A$434,"All landing pages",Countries!$D$5:$D$434,$A50,Countries!$AS$5:$AS$434,"&gt;0")=0,"",SUMIFS(Countries!$AS$5:$AS$434,Countries!$A$5:$A$434,"All landing pages",Countries!$D$5:$D$434,$A50,Countries!$F$5:$F$434,"&gt;0")/SUMIFS(Countries!$F$5:$F$434,Countries!$A$5:$A$434,"All landing pages",Countries!$D$5:$D$434,$A50,Countries!$AS$5:$AS$434,"&gt;0"))</f>
        <v/>
      </c>
      <c r="T50" s="44">
        <f>IF(OR(R50="",S50=""),"",(S50-R50)*100)</f>
        <v/>
      </c>
    </row>
    <row r="51">
      <c r="A51" s="40" t="inlineStr">
        <is>
          <t>Australia</t>
        </is>
      </c>
      <c r="B51" s="40" t="inlineStr">
        <is>
          <t>All</t>
        </is>
      </c>
      <c r="C51" s="41">
        <f>IF(SUMIFS(Countries!$E$5:$E$434,Countries!$A$5:$A$434,"All landing pages",Countries!$D$5:$D$434,$A51)=0,"",SUMIFS(Countries!$E$5:$E$434,Countries!$A$5:$A$434,"All landing pages",Countries!$D$5:$D$434,$A51))</f>
        <v/>
      </c>
      <c r="D51" s="41">
        <f>IF(SUMIFS(Countries!$F$5:$F$434,Countries!$A$5:$A$434,"All landing pages",Countries!$D$5:$D$434,$A51)=0,"",SUMIFS(Countries!$F$5:$F$434,Countries!$A$5:$A$434,"All landing pages",Countries!$D$5:$D$434,$A51))</f>
        <v/>
      </c>
      <c r="E51" s="42">
        <f>IF(OR(C51="",D51="",D51=0,C51=0),"",D51/C51-1)</f>
        <v/>
      </c>
      <c r="F51" s="41">
        <f>IF(SUMIFS(Countries!$P$5:$P$434,Countries!$A$5:$A$434,"All landing pages",Countries!$D$5:$D$434,$A51)=0,"",SUMIFS(Countries!$P$5:$P$434,Countries!$A$5:$A$434,"All landing pages",Countries!$D$5:$D$434,$A51))</f>
        <v/>
      </c>
      <c r="G51" s="41">
        <f>IF(SUMIFS(Countries!$Q$5:$Q$434,Countries!$A$5:$A$434,"All landing pages",Countries!$D$5:$D$434,$A51)=0,"",SUMIFS(Countries!$Q$5:$Q$434,Countries!$A$5:$A$434,"All landing pages",Countries!$D$5:$D$434,$A51))</f>
        <v/>
      </c>
      <c r="H51" s="42">
        <f>IF(OR(F51="",G51="",G51=0,F51=0),"",G51/F51-1)</f>
        <v/>
      </c>
      <c r="I51" s="41">
        <f>IF(SUMIFS(Countries!$AR$5:$AR$434,Countries!$A$5:$A$434,"All landing pages",Countries!$D$5:$D$434,$A51)=0,"",SUMIFS(Countries!$AR$5:$AR$434,Countries!$A$5:$A$434,"All landing pages",Countries!$D$5:$D$434,$A51))</f>
        <v/>
      </c>
      <c r="J51" s="41">
        <f>IF(SUMIFS(Countries!$AS$5:$AS$434,Countries!$A$5:$A$434,"All landing pages",Countries!$D$5:$D$434,$A51)=0,"",SUMIFS(Countries!$AS$5:$AS$434,Countries!$A$5:$A$434,"All landing pages",Countries!$D$5:$D$434,$A51))</f>
        <v/>
      </c>
      <c r="K51" s="42">
        <f>IF(OR(I51="",J51="",J51=0,I51=0),"",J51/I51-1)</f>
        <v/>
      </c>
      <c r="L51" s="43">
        <f>IF(SUMIFS(Countries!$E$5:$E$434,Countries!$A$5:$A$434,"All landing pages",Countries!$D$5:$D$434,$A51,Countries!$P$5:$P$434,"&gt;0")=0,"",SUMIFS(Countries!$P$5:$P$434,Countries!$A$5:$A$434,"All landing pages",Countries!$D$5:$D$434,$A51,Countries!$E$5:$E$434,"&gt;0")/SUMIFS(Countries!$E$5:$E$434,Countries!$A$5:$A$434,"All landing pages",Countries!$D$5:$D$434,$A51,Countries!$P$5:$P$434,"&gt;0"))</f>
        <v/>
      </c>
      <c r="M51" s="43">
        <f>IF(SUMIFS(Countries!$F$5:$F$434,Countries!$A$5:$A$434,"All landing pages",Countries!$D$5:$D$434,$A51,Countries!$Q$5:$Q$434,"&gt;0")=0,"",SUMIFS(Countries!$Q$5:$Q$434,Countries!$A$5:$A$434,"All landing pages",Countries!$D$5:$D$434,$A51,Countries!$F$5:$F$434,"&gt;0")/SUMIFS(Countries!$F$5:$F$434,Countries!$A$5:$A$434,"All landing pages",Countries!$D$5:$D$434,$A51,Countries!$Q$5:$Q$434,"&gt;0"))</f>
        <v/>
      </c>
      <c r="N51" s="44">
        <f>IF(OR(L51="",M51=""),"",(M51-L51)*100)</f>
        <v/>
      </c>
      <c r="O51" s="45">
        <f>IF(SUMIFS(Countries!$P$5:$P$434,Countries!$A$5:$A$434,"All landing pages",Countries!$D$5:$D$434,$A51,Countries!$AR$5:$AR$434,"&gt;0")=0,"",SUMIFS(Countries!$AR$5:$AR$434,Countries!$A$5:$A$434,"All landing pages",Countries!$D$5:$D$434,$A51,Countries!$P$5:$P$434,"&gt;0")/SUMIFS(Countries!$P$5:$P$434,Countries!$A$5:$A$434,"All landing pages",Countries!$D$5:$D$434,$A51,Countries!$AR$5:$AR$434,"&gt;0"))</f>
        <v/>
      </c>
      <c r="P51" s="45">
        <f>IF(SUMIFS(Countries!$Q$5:$Q$434,Countries!$A$5:$A$434,"All landing pages",Countries!$D$5:$D$434,$A51,Countries!$AS$5:$AS$434,"&gt;0")=0,"",SUMIFS(Countries!$AS$5:$AS$434,Countries!$A$5:$A$434,"All landing pages",Countries!$D$5:$D$434,$A51,Countries!$Q$5:$Q$434,"&gt;0")/SUMIFS(Countries!$Q$5:$Q$434,Countries!$A$5:$A$434,"All landing pages",Countries!$D$5:$D$434,$A51,Countries!$AS$5:$AS$434,"&gt;0"))</f>
        <v/>
      </c>
      <c r="Q51" s="44">
        <f>IF(OR(O51="",P51=""),"",(P51-O51)*100)</f>
        <v/>
      </c>
      <c r="R51" s="45">
        <f>IF(SUMIFS(Countries!$E$5:$E$434,Countries!$A$5:$A$434,"All landing pages",Countries!$D$5:$D$434,$A51,Countries!$AR$5:$AR$434,"&gt;0")=0,"",SUMIFS(Countries!$AR$5:$AR$434,Countries!$A$5:$A$434,"All landing pages",Countries!$D$5:$D$434,$A51,Countries!$E$5:$E$434,"&gt;0")/SUMIFS(Countries!$E$5:$E$434,Countries!$A$5:$A$434,"All landing pages",Countries!$D$5:$D$434,$A51,Countries!$AR$5:$AR$434,"&gt;0"))</f>
        <v/>
      </c>
      <c r="S51" s="45">
        <f>IF(SUMIFS(Countries!$F$5:$F$434,Countries!$A$5:$A$434,"All landing pages",Countries!$D$5:$D$434,$A51,Countries!$AS$5:$AS$434,"&gt;0")=0,"",SUMIFS(Countries!$AS$5:$AS$434,Countries!$A$5:$A$434,"All landing pages",Countries!$D$5:$D$434,$A51,Countries!$F$5:$F$434,"&gt;0")/SUMIFS(Countries!$F$5:$F$434,Countries!$A$5:$A$434,"All landing pages",Countries!$D$5:$D$434,$A51,Countries!$AS$5:$AS$434,"&gt;0"))</f>
        <v/>
      </c>
      <c r="T51" s="44">
        <f>IF(OR(R51="",S51=""),"",(S51-R51)*100)</f>
        <v/>
      </c>
    </row>
    <row r="52">
      <c r="A52" s="40" t="inlineStr">
        <is>
          <t>Romania</t>
        </is>
      </c>
      <c r="B52" s="40" t="inlineStr">
        <is>
          <t>All</t>
        </is>
      </c>
      <c r="C52" s="41">
        <f>IF(SUMIFS(Countries!$E$5:$E$434,Countries!$A$5:$A$434,"All landing pages",Countries!$D$5:$D$434,$A52)=0,"",SUMIFS(Countries!$E$5:$E$434,Countries!$A$5:$A$434,"All landing pages",Countries!$D$5:$D$434,$A52))</f>
        <v/>
      </c>
      <c r="D52" s="41">
        <f>IF(SUMIFS(Countries!$F$5:$F$434,Countries!$A$5:$A$434,"All landing pages",Countries!$D$5:$D$434,$A52)=0,"",SUMIFS(Countries!$F$5:$F$434,Countries!$A$5:$A$434,"All landing pages",Countries!$D$5:$D$434,$A52))</f>
        <v/>
      </c>
      <c r="E52" s="42">
        <f>IF(OR(C52="",D52="",D52=0,C52=0),"",D52/C52-1)</f>
        <v/>
      </c>
      <c r="F52" s="41">
        <f>IF(SUMIFS(Countries!$P$5:$P$434,Countries!$A$5:$A$434,"All landing pages",Countries!$D$5:$D$434,$A52)=0,"",SUMIFS(Countries!$P$5:$P$434,Countries!$A$5:$A$434,"All landing pages",Countries!$D$5:$D$434,$A52))</f>
        <v/>
      </c>
      <c r="G52" s="41">
        <f>IF(SUMIFS(Countries!$Q$5:$Q$434,Countries!$A$5:$A$434,"All landing pages",Countries!$D$5:$D$434,$A52)=0,"",SUMIFS(Countries!$Q$5:$Q$434,Countries!$A$5:$A$434,"All landing pages",Countries!$D$5:$D$434,$A52))</f>
        <v/>
      </c>
      <c r="H52" s="42">
        <f>IF(OR(F52="",G52="",G52=0,F52=0),"",G52/F52-1)</f>
        <v/>
      </c>
      <c r="I52" s="41">
        <f>IF(SUMIFS(Countries!$AR$5:$AR$434,Countries!$A$5:$A$434,"All landing pages",Countries!$D$5:$D$434,$A52)=0,"",SUMIFS(Countries!$AR$5:$AR$434,Countries!$A$5:$A$434,"All landing pages",Countries!$D$5:$D$434,$A52))</f>
        <v/>
      </c>
      <c r="J52" s="41">
        <f>IF(SUMIFS(Countries!$AS$5:$AS$434,Countries!$A$5:$A$434,"All landing pages",Countries!$D$5:$D$434,$A52)=0,"",SUMIFS(Countries!$AS$5:$AS$434,Countries!$A$5:$A$434,"All landing pages",Countries!$D$5:$D$434,$A52))</f>
        <v/>
      </c>
      <c r="K52" s="42">
        <f>IF(OR(I52="",J52="",J52=0,I52=0),"",J52/I52-1)</f>
        <v/>
      </c>
      <c r="L52" s="43">
        <f>IF(SUMIFS(Countries!$E$5:$E$434,Countries!$A$5:$A$434,"All landing pages",Countries!$D$5:$D$434,$A52,Countries!$P$5:$P$434,"&gt;0")=0,"",SUMIFS(Countries!$P$5:$P$434,Countries!$A$5:$A$434,"All landing pages",Countries!$D$5:$D$434,$A52,Countries!$E$5:$E$434,"&gt;0")/SUMIFS(Countries!$E$5:$E$434,Countries!$A$5:$A$434,"All landing pages",Countries!$D$5:$D$434,$A52,Countries!$P$5:$P$434,"&gt;0"))</f>
        <v/>
      </c>
      <c r="M52" s="43">
        <f>IF(SUMIFS(Countries!$F$5:$F$434,Countries!$A$5:$A$434,"All landing pages",Countries!$D$5:$D$434,$A52,Countries!$Q$5:$Q$434,"&gt;0")=0,"",SUMIFS(Countries!$Q$5:$Q$434,Countries!$A$5:$A$434,"All landing pages",Countries!$D$5:$D$434,$A52,Countries!$F$5:$F$434,"&gt;0")/SUMIFS(Countries!$F$5:$F$434,Countries!$A$5:$A$434,"All landing pages",Countries!$D$5:$D$434,$A52,Countries!$Q$5:$Q$434,"&gt;0"))</f>
        <v/>
      </c>
      <c r="N52" s="44">
        <f>IF(OR(L52="",M52=""),"",(M52-L52)*100)</f>
        <v/>
      </c>
      <c r="O52" s="45">
        <f>IF(SUMIFS(Countries!$P$5:$P$434,Countries!$A$5:$A$434,"All landing pages",Countries!$D$5:$D$434,$A52,Countries!$AR$5:$AR$434,"&gt;0")=0,"",SUMIFS(Countries!$AR$5:$AR$434,Countries!$A$5:$A$434,"All landing pages",Countries!$D$5:$D$434,$A52,Countries!$P$5:$P$434,"&gt;0")/SUMIFS(Countries!$P$5:$P$434,Countries!$A$5:$A$434,"All landing pages",Countries!$D$5:$D$434,$A52,Countries!$AR$5:$AR$434,"&gt;0"))</f>
        <v/>
      </c>
      <c r="P52" s="45">
        <f>IF(SUMIFS(Countries!$Q$5:$Q$434,Countries!$A$5:$A$434,"All landing pages",Countries!$D$5:$D$434,$A52,Countries!$AS$5:$AS$434,"&gt;0")=0,"",SUMIFS(Countries!$AS$5:$AS$434,Countries!$A$5:$A$434,"All landing pages",Countries!$D$5:$D$434,$A52,Countries!$Q$5:$Q$434,"&gt;0")/SUMIFS(Countries!$Q$5:$Q$434,Countries!$A$5:$A$434,"All landing pages",Countries!$D$5:$D$434,$A52,Countries!$AS$5:$AS$434,"&gt;0"))</f>
        <v/>
      </c>
      <c r="Q52" s="44">
        <f>IF(OR(O52="",P52=""),"",(P52-O52)*100)</f>
        <v/>
      </c>
      <c r="R52" s="45">
        <f>IF(SUMIFS(Countries!$E$5:$E$434,Countries!$A$5:$A$434,"All landing pages",Countries!$D$5:$D$434,$A52,Countries!$AR$5:$AR$434,"&gt;0")=0,"",SUMIFS(Countries!$AR$5:$AR$434,Countries!$A$5:$A$434,"All landing pages",Countries!$D$5:$D$434,$A52,Countries!$E$5:$E$434,"&gt;0")/SUMIFS(Countries!$E$5:$E$434,Countries!$A$5:$A$434,"All landing pages",Countries!$D$5:$D$434,$A52,Countries!$AR$5:$AR$434,"&gt;0"))</f>
        <v/>
      </c>
      <c r="S52" s="45">
        <f>IF(SUMIFS(Countries!$F$5:$F$434,Countries!$A$5:$A$434,"All landing pages",Countries!$D$5:$D$434,$A52,Countries!$AS$5:$AS$434,"&gt;0")=0,"",SUMIFS(Countries!$AS$5:$AS$434,Countries!$A$5:$A$434,"All landing pages",Countries!$D$5:$D$434,$A52,Countries!$F$5:$F$434,"&gt;0")/SUMIFS(Countries!$F$5:$F$434,Countries!$A$5:$A$434,"All landing pages",Countries!$D$5:$D$434,$A52,Countries!$AS$5:$AS$434,"&gt;0"))</f>
        <v/>
      </c>
      <c r="T52" s="44">
        <f>IF(OR(R52="",S52=""),"",(S52-R52)*100)</f>
        <v/>
      </c>
    </row>
    <row r="53">
      <c r="A53" s="40" t="inlineStr">
        <is>
          <t>Canada</t>
        </is>
      </c>
      <c r="B53" s="40" t="inlineStr">
        <is>
          <t>All</t>
        </is>
      </c>
      <c r="C53" s="41">
        <f>IF(SUMIFS(Countries!$E$5:$E$434,Countries!$A$5:$A$434,"All landing pages",Countries!$D$5:$D$434,$A53)=0,"",SUMIFS(Countries!$E$5:$E$434,Countries!$A$5:$A$434,"All landing pages",Countries!$D$5:$D$434,$A53))</f>
        <v/>
      </c>
      <c r="D53" s="41">
        <f>IF(SUMIFS(Countries!$F$5:$F$434,Countries!$A$5:$A$434,"All landing pages",Countries!$D$5:$D$434,$A53)=0,"",SUMIFS(Countries!$F$5:$F$434,Countries!$A$5:$A$434,"All landing pages",Countries!$D$5:$D$434,$A53))</f>
        <v/>
      </c>
      <c r="E53" s="42">
        <f>IF(OR(C53="",D53="",D53=0,C53=0),"",D53/C53-1)</f>
        <v/>
      </c>
      <c r="F53" s="41">
        <f>IF(SUMIFS(Countries!$P$5:$P$434,Countries!$A$5:$A$434,"All landing pages",Countries!$D$5:$D$434,$A53)=0,"",SUMIFS(Countries!$P$5:$P$434,Countries!$A$5:$A$434,"All landing pages",Countries!$D$5:$D$434,$A53))</f>
        <v/>
      </c>
      <c r="G53" s="41">
        <f>IF(SUMIFS(Countries!$Q$5:$Q$434,Countries!$A$5:$A$434,"All landing pages",Countries!$D$5:$D$434,$A53)=0,"",SUMIFS(Countries!$Q$5:$Q$434,Countries!$A$5:$A$434,"All landing pages",Countries!$D$5:$D$434,$A53))</f>
        <v/>
      </c>
      <c r="H53" s="42">
        <f>IF(OR(F53="",G53="",G53=0,F53=0),"",G53/F53-1)</f>
        <v/>
      </c>
      <c r="I53" s="41">
        <f>IF(SUMIFS(Countries!$AR$5:$AR$434,Countries!$A$5:$A$434,"All landing pages",Countries!$D$5:$D$434,$A53)=0,"",SUMIFS(Countries!$AR$5:$AR$434,Countries!$A$5:$A$434,"All landing pages",Countries!$D$5:$D$434,$A53))</f>
        <v/>
      </c>
      <c r="J53" s="41">
        <f>IF(SUMIFS(Countries!$AS$5:$AS$434,Countries!$A$5:$A$434,"All landing pages",Countries!$D$5:$D$434,$A53)=0,"",SUMIFS(Countries!$AS$5:$AS$434,Countries!$A$5:$A$434,"All landing pages",Countries!$D$5:$D$434,$A53))</f>
        <v/>
      </c>
      <c r="K53" s="42">
        <f>IF(OR(I53="",J53="",J53=0,I53=0),"",J53/I53-1)</f>
        <v/>
      </c>
      <c r="L53" s="43">
        <f>IF(SUMIFS(Countries!$E$5:$E$434,Countries!$A$5:$A$434,"All landing pages",Countries!$D$5:$D$434,$A53,Countries!$P$5:$P$434,"&gt;0")=0,"",SUMIFS(Countries!$P$5:$P$434,Countries!$A$5:$A$434,"All landing pages",Countries!$D$5:$D$434,$A53,Countries!$E$5:$E$434,"&gt;0")/SUMIFS(Countries!$E$5:$E$434,Countries!$A$5:$A$434,"All landing pages",Countries!$D$5:$D$434,$A53,Countries!$P$5:$P$434,"&gt;0"))</f>
        <v/>
      </c>
      <c r="M53" s="43">
        <f>IF(SUMIFS(Countries!$F$5:$F$434,Countries!$A$5:$A$434,"All landing pages",Countries!$D$5:$D$434,$A53,Countries!$Q$5:$Q$434,"&gt;0")=0,"",SUMIFS(Countries!$Q$5:$Q$434,Countries!$A$5:$A$434,"All landing pages",Countries!$D$5:$D$434,$A53,Countries!$F$5:$F$434,"&gt;0")/SUMIFS(Countries!$F$5:$F$434,Countries!$A$5:$A$434,"All landing pages",Countries!$D$5:$D$434,$A53,Countries!$Q$5:$Q$434,"&gt;0"))</f>
        <v/>
      </c>
      <c r="N53" s="44">
        <f>IF(OR(L53="",M53=""),"",(M53-L53)*100)</f>
        <v/>
      </c>
      <c r="O53" s="45">
        <f>IF(SUMIFS(Countries!$P$5:$P$434,Countries!$A$5:$A$434,"All landing pages",Countries!$D$5:$D$434,$A53,Countries!$AR$5:$AR$434,"&gt;0")=0,"",SUMIFS(Countries!$AR$5:$AR$434,Countries!$A$5:$A$434,"All landing pages",Countries!$D$5:$D$434,$A53,Countries!$P$5:$P$434,"&gt;0")/SUMIFS(Countries!$P$5:$P$434,Countries!$A$5:$A$434,"All landing pages",Countries!$D$5:$D$434,$A53,Countries!$AR$5:$AR$434,"&gt;0"))</f>
        <v/>
      </c>
      <c r="P53" s="45">
        <f>IF(SUMIFS(Countries!$Q$5:$Q$434,Countries!$A$5:$A$434,"All landing pages",Countries!$D$5:$D$434,$A53,Countries!$AS$5:$AS$434,"&gt;0")=0,"",SUMIFS(Countries!$AS$5:$AS$434,Countries!$A$5:$A$434,"All landing pages",Countries!$D$5:$D$434,$A53,Countries!$Q$5:$Q$434,"&gt;0")/SUMIFS(Countries!$Q$5:$Q$434,Countries!$A$5:$A$434,"All landing pages",Countries!$D$5:$D$434,$A53,Countries!$AS$5:$AS$434,"&gt;0"))</f>
        <v/>
      </c>
      <c r="Q53" s="44">
        <f>IF(OR(O53="",P53=""),"",(P53-O53)*100)</f>
        <v/>
      </c>
      <c r="R53" s="45">
        <f>IF(SUMIFS(Countries!$E$5:$E$434,Countries!$A$5:$A$434,"All landing pages",Countries!$D$5:$D$434,$A53,Countries!$AR$5:$AR$434,"&gt;0")=0,"",SUMIFS(Countries!$AR$5:$AR$434,Countries!$A$5:$A$434,"All landing pages",Countries!$D$5:$D$434,$A53,Countries!$E$5:$E$434,"&gt;0")/SUMIFS(Countries!$E$5:$E$434,Countries!$A$5:$A$434,"All landing pages",Countries!$D$5:$D$434,$A53,Countries!$AR$5:$AR$434,"&gt;0"))</f>
        <v/>
      </c>
      <c r="S53" s="45">
        <f>IF(SUMIFS(Countries!$F$5:$F$434,Countries!$A$5:$A$434,"All landing pages",Countries!$D$5:$D$434,$A53,Countries!$AS$5:$AS$434,"&gt;0")=0,"",SUMIFS(Countries!$AS$5:$AS$434,Countries!$A$5:$A$434,"All landing pages",Countries!$D$5:$D$434,$A53,Countries!$F$5:$F$434,"&gt;0")/SUMIFS(Countries!$F$5:$F$434,Countries!$A$5:$A$434,"All landing pages",Countries!$D$5:$D$434,$A53,Countries!$AS$5:$AS$434,"&gt;0"))</f>
        <v/>
      </c>
      <c r="T53" s="44">
        <f>IF(OR(R53="",S53=""),"",(S53-R53)*100)</f>
        <v/>
      </c>
    </row>
    <row r="54">
      <c r="A54" s="40" t="inlineStr">
        <is>
          <t>Greece</t>
        </is>
      </c>
      <c r="B54" s="40" t="inlineStr">
        <is>
          <t>All</t>
        </is>
      </c>
      <c r="C54" s="41">
        <f>IF(SUMIFS(Countries!$E$5:$E$434,Countries!$A$5:$A$434,"All landing pages",Countries!$D$5:$D$434,$A54)=0,"",SUMIFS(Countries!$E$5:$E$434,Countries!$A$5:$A$434,"All landing pages",Countries!$D$5:$D$434,$A54))</f>
        <v/>
      </c>
      <c r="D54" s="41">
        <f>IF(SUMIFS(Countries!$F$5:$F$434,Countries!$A$5:$A$434,"All landing pages",Countries!$D$5:$D$434,$A54)=0,"",SUMIFS(Countries!$F$5:$F$434,Countries!$A$5:$A$434,"All landing pages",Countries!$D$5:$D$434,$A54))</f>
        <v/>
      </c>
      <c r="E54" s="42">
        <f>IF(OR(C54="",D54="",D54=0,C54=0),"",D54/C54-1)</f>
        <v/>
      </c>
      <c r="F54" s="41">
        <f>IF(SUMIFS(Countries!$P$5:$P$434,Countries!$A$5:$A$434,"All landing pages",Countries!$D$5:$D$434,$A54)=0,"",SUMIFS(Countries!$P$5:$P$434,Countries!$A$5:$A$434,"All landing pages",Countries!$D$5:$D$434,$A54))</f>
        <v/>
      </c>
      <c r="G54" s="41">
        <f>IF(SUMIFS(Countries!$Q$5:$Q$434,Countries!$A$5:$A$434,"All landing pages",Countries!$D$5:$D$434,$A54)=0,"",SUMIFS(Countries!$Q$5:$Q$434,Countries!$A$5:$A$434,"All landing pages",Countries!$D$5:$D$434,$A54))</f>
        <v/>
      </c>
      <c r="H54" s="42">
        <f>IF(OR(F54="",G54="",G54=0,F54=0),"",G54/F54-1)</f>
        <v/>
      </c>
      <c r="I54" s="41">
        <f>IF(SUMIFS(Countries!$AR$5:$AR$434,Countries!$A$5:$A$434,"All landing pages",Countries!$D$5:$D$434,$A54)=0,"",SUMIFS(Countries!$AR$5:$AR$434,Countries!$A$5:$A$434,"All landing pages",Countries!$D$5:$D$434,$A54))</f>
        <v/>
      </c>
      <c r="J54" s="41">
        <f>IF(SUMIFS(Countries!$AS$5:$AS$434,Countries!$A$5:$A$434,"All landing pages",Countries!$D$5:$D$434,$A54)=0,"",SUMIFS(Countries!$AS$5:$AS$434,Countries!$A$5:$A$434,"All landing pages",Countries!$D$5:$D$434,$A54))</f>
        <v/>
      </c>
      <c r="K54" s="42">
        <f>IF(OR(I54="",J54="",J54=0,I54=0),"",J54/I54-1)</f>
        <v/>
      </c>
      <c r="L54" s="43">
        <f>IF(SUMIFS(Countries!$E$5:$E$434,Countries!$A$5:$A$434,"All landing pages",Countries!$D$5:$D$434,$A54,Countries!$P$5:$P$434,"&gt;0")=0,"",SUMIFS(Countries!$P$5:$P$434,Countries!$A$5:$A$434,"All landing pages",Countries!$D$5:$D$434,$A54,Countries!$E$5:$E$434,"&gt;0")/SUMIFS(Countries!$E$5:$E$434,Countries!$A$5:$A$434,"All landing pages",Countries!$D$5:$D$434,$A54,Countries!$P$5:$P$434,"&gt;0"))</f>
        <v/>
      </c>
      <c r="M54" s="43">
        <f>IF(SUMIFS(Countries!$F$5:$F$434,Countries!$A$5:$A$434,"All landing pages",Countries!$D$5:$D$434,$A54,Countries!$Q$5:$Q$434,"&gt;0")=0,"",SUMIFS(Countries!$Q$5:$Q$434,Countries!$A$5:$A$434,"All landing pages",Countries!$D$5:$D$434,$A54,Countries!$F$5:$F$434,"&gt;0")/SUMIFS(Countries!$F$5:$F$434,Countries!$A$5:$A$434,"All landing pages",Countries!$D$5:$D$434,$A54,Countries!$Q$5:$Q$434,"&gt;0"))</f>
        <v/>
      </c>
      <c r="N54" s="44">
        <f>IF(OR(L54="",M54=""),"",(M54-L54)*100)</f>
        <v/>
      </c>
      <c r="O54" s="45">
        <f>IF(SUMIFS(Countries!$P$5:$P$434,Countries!$A$5:$A$434,"All landing pages",Countries!$D$5:$D$434,$A54,Countries!$AR$5:$AR$434,"&gt;0")=0,"",SUMIFS(Countries!$AR$5:$AR$434,Countries!$A$5:$A$434,"All landing pages",Countries!$D$5:$D$434,$A54,Countries!$P$5:$P$434,"&gt;0")/SUMIFS(Countries!$P$5:$P$434,Countries!$A$5:$A$434,"All landing pages",Countries!$D$5:$D$434,$A54,Countries!$AR$5:$AR$434,"&gt;0"))</f>
        <v/>
      </c>
      <c r="P54" s="45">
        <f>IF(SUMIFS(Countries!$Q$5:$Q$434,Countries!$A$5:$A$434,"All landing pages",Countries!$D$5:$D$434,$A54,Countries!$AS$5:$AS$434,"&gt;0")=0,"",SUMIFS(Countries!$AS$5:$AS$434,Countries!$A$5:$A$434,"All landing pages",Countries!$D$5:$D$434,$A54,Countries!$Q$5:$Q$434,"&gt;0")/SUMIFS(Countries!$Q$5:$Q$434,Countries!$A$5:$A$434,"All landing pages",Countries!$D$5:$D$434,$A54,Countries!$AS$5:$AS$434,"&gt;0"))</f>
        <v/>
      </c>
      <c r="Q54" s="44">
        <f>IF(OR(O54="",P54=""),"",(P54-O54)*100)</f>
        <v/>
      </c>
      <c r="R54" s="45">
        <f>IF(SUMIFS(Countries!$E$5:$E$434,Countries!$A$5:$A$434,"All landing pages",Countries!$D$5:$D$434,$A54,Countries!$AR$5:$AR$434,"&gt;0")=0,"",SUMIFS(Countries!$AR$5:$AR$434,Countries!$A$5:$A$434,"All landing pages",Countries!$D$5:$D$434,$A54,Countries!$E$5:$E$434,"&gt;0")/SUMIFS(Countries!$E$5:$E$434,Countries!$A$5:$A$434,"All landing pages",Countries!$D$5:$D$434,$A54,Countries!$AR$5:$AR$434,"&gt;0"))</f>
        <v/>
      </c>
      <c r="S54" s="45">
        <f>IF(SUMIFS(Countries!$F$5:$F$434,Countries!$A$5:$A$434,"All landing pages",Countries!$D$5:$D$434,$A54,Countries!$AS$5:$AS$434,"&gt;0")=0,"",SUMIFS(Countries!$AS$5:$AS$434,Countries!$A$5:$A$434,"All landing pages",Countries!$D$5:$D$434,$A54,Countries!$F$5:$F$434,"&gt;0")/SUMIFS(Countries!$F$5:$F$434,Countries!$A$5:$A$434,"All landing pages",Countries!$D$5:$D$434,$A54,Countries!$AS$5:$AS$434,"&gt;0"))</f>
        <v/>
      </c>
      <c r="T54" s="44">
        <f>IF(OR(R54="",S54=""),"",(S54-R54)*100)</f>
        <v/>
      </c>
    </row>
    <row r="55">
      <c r="A55" s="40" t="inlineStr">
        <is>
          <t>Switzerland</t>
        </is>
      </c>
      <c r="B55" s="40" t="inlineStr">
        <is>
          <t>All</t>
        </is>
      </c>
      <c r="C55" s="41">
        <f>IF(SUMIFS(Countries!$E$5:$E$434,Countries!$A$5:$A$434,"All landing pages",Countries!$D$5:$D$434,$A55)=0,"",SUMIFS(Countries!$E$5:$E$434,Countries!$A$5:$A$434,"All landing pages",Countries!$D$5:$D$434,$A55))</f>
        <v/>
      </c>
      <c r="D55" s="41">
        <f>IF(SUMIFS(Countries!$F$5:$F$434,Countries!$A$5:$A$434,"All landing pages",Countries!$D$5:$D$434,$A55)=0,"",SUMIFS(Countries!$F$5:$F$434,Countries!$A$5:$A$434,"All landing pages",Countries!$D$5:$D$434,$A55))</f>
        <v/>
      </c>
      <c r="E55" s="42">
        <f>IF(OR(C55="",D55="",D55=0,C55=0),"",D55/C55-1)</f>
        <v/>
      </c>
      <c r="F55" s="41">
        <f>IF(SUMIFS(Countries!$P$5:$P$434,Countries!$A$5:$A$434,"All landing pages",Countries!$D$5:$D$434,$A55)=0,"",SUMIFS(Countries!$P$5:$P$434,Countries!$A$5:$A$434,"All landing pages",Countries!$D$5:$D$434,$A55))</f>
        <v/>
      </c>
      <c r="G55" s="41">
        <f>IF(SUMIFS(Countries!$Q$5:$Q$434,Countries!$A$5:$A$434,"All landing pages",Countries!$D$5:$D$434,$A55)=0,"",SUMIFS(Countries!$Q$5:$Q$434,Countries!$A$5:$A$434,"All landing pages",Countries!$D$5:$D$434,$A55))</f>
        <v/>
      </c>
      <c r="H55" s="42">
        <f>IF(OR(F55="",G55="",G55=0,F55=0),"",G55/F55-1)</f>
        <v/>
      </c>
      <c r="I55" s="41">
        <f>IF(SUMIFS(Countries!$AR$5:$AR$434,Countries!$A$5:$A$434,"All landing pages",Countries!$D$5:$D$434,$A55)=0,"",SUMIFS(Countries!$AR$5:$AR$434,Countries!$A$5:$A$434,"All landing pages",Countries!$D$5:$D$434,$A55))</f>
        <v/>
      </c>
      <c r="J55" s="41">
        <f>IF(SUMIFS(Countries!$AS$5:$AS$434,Countries!$A$5:$A$434,"All landing pages",Countries!$D$5:$D$434,$A55)=0,"",SUMIFS(Countries!$AS$5:$AS$434,Countries!$A$5:$A$434,"All landing pages",Countries!$D$5:$D$434,$A55))</f>
        <v/>
      </c>
      <c r="K55" s="42">
        <f>IF(OR(I55="",J55="",J55=0,I55=0),"",J55/I55-1)</f>
        <v/>
      </c>
      <c r="L55" s="43">
        <f>IF(SUMIFS(Countries!$E$5:$E$434,Countries!$A$5:$A$434,"All landing pages",Countries!$D$5:$D$434,$A55,Countries!$P$5:$P$434,"&gt;0")=0,"",SUMIFS(Countries!$P$5:$P$434,Countries!$A$5:$A$434,"All landing pages",Countries!$D$5:$D$434,$A55,Countries!$E$5:$E$434,"&gt;0")/SUMIFS(Countries!$E$5:$E$434,Countries!$A$5:$A$434,"All landing pages",Countries!$D$5:$D$434,$A55,Countries!$P$5:$P$434,"&gt;0"))</f>
        <v/>
      </c>
      <c r="M55" s="43">
        <f>IF(SUMIFS(Countries!$F$5:$F$434,Countries!$A$5:$A$434,"All landing pages",Countries!$D$5:$D$434,$A55,Countries!$Q$5:$Q$434,"&gt;0")=0,"",SUMIFS(Countries!$Q$5:$Q$434,Countries!$A$5:$A$434,"All landing pages",Countries!$D$5:$D$434,$A55,Countries!$F$5:$F$434,"&gt;0")/SUMIFS(Countries!$F$5:$F$434,Countries!$A$5:$A$434,"All landing pages",Countries!$D$5:$D$434,$A55,Countries!$Q$5:$Q$434,"&gt;0"))</f>
        <v/>
      </c>
      <c r="N55" s="44">
        <f>IF(OR(L55="",M55=""),"",(M55-L55)*100)</f>
        <v/>
      </c>
      <c r="O55" s="45">
        <f>IF(SUMIFS(Countries!$P$5:$P$434,Countries!$A$5:$A$434,"All landing pages",Countries!$D$5:$D$434,$A55,Countries!$AR$5:$AR$434,"&gt;0")=0,"",SUMIFS(Countries!$AR$5:$AR$434,Countries!$A$5:$A$434,"All landing pages",Countries!$D$5:$D$434,$A55,Countries!$P$5:$P$434,"&gt;0")/SUMIFS(Countries!$P$5:$P$434,Countries!$A$5:$A$434,"All landing pages",Countries!$D$5:$D$434,$A55,Countries!$AR$5:$AR$434,"&gt;0"))</f>
        <v/>
      </c>
      <c r="P55" s="45">
        <f>IF(SUMIFS(Countries!$Q$5:$Q$434,Countries!$A$5:$A$434,"All landing pages",Countries!$D$5:$D$434,$A55,Countries!$AS$5:$AS$434,"&gt;0")=0,"",SUMIFS(Countries!$AS$5:$AS$434,Countries!$A$5:$A$434,"All landing pages",Countries!$D$5:$D$434,$A55,Countries!$Q$5:$Q$434,"&gt;0")/SUMIFS(Countries!$Q$5:$Q$434,Countries!$A$5:$A$434,"All landing pages",Countries!$D$5:$D$434,$A55,Countries!$AS$5:$AS$434,"&gt;0"))</f>
        <v/>
      </c>
      <c r="Q55" s="44">
        <f>IF(OR(O55="",P55=""),"",(P55-O55)*100)</f>
        <v/>
      </c>
      <c r="R55" s="45">
        <f>IF(SUMIFS(Countries!$E$5:$E$434,Countries!$A$5:$A$434,"All landing pages",Countries!$D$5:$D$434,$A55,Countries!$AR$5:$AR$434,"&gt;0")=0,"",SUMIFS(Countries!$AR$5:$AR$434,Countries!$A$5:$A$434,"All landing pages",Countries!$D$5:$D$434,$A55,Countries!$E$5:$E$434,"&gt;0")/SUMIFS(Countries!$E$5:$E$434,Countries!$A$5:$A$434,"All landing pages",Countries!$D$5:$D$434,$A55,Countries!$AR$5:$AR$434,"&gt;0"))</f>
        <v/>
      </c>
      <c r="S55" s="45">
        <f>IF(SUMIFS(Countries!$F$5:$F$434,Countries!$A$5:$A$434,"All landing pages",Countries!$D$5:$D$434,$A55,Countries!$AS$5:$AS$434,"&gt;0")=0,"",SUMIFS(Countries!$AS$5:$AS$434,Countries!$A$5:$A$434,"All landing pages",Countries!$D$5:$D$434,$A55,Countries!$F$5:$F$434,"&gt;0")/SUMIFS(Countries!$F$5:$F$434,Countries!$A$5:$A$434,"All landing pages",Countries!$D$5:$D$434,$A55,Countries!$AS$5:$AS$434,"&gt;0"))</f>
        <v/>
      </c>
      <c r="T55" s="44">
        <f>IF(OR(R55="",S55=""),"",(S55-R55)*100)</f>
        <v/>
      </c>
    </row>
    <row r="56">
      <c r="A56" s="40" t="inlineStr">
        <is>
          <t>(not set)</t>
        </is>
      </c>
      <c r="B56" s="40" t="inlineStr">
        <is>
          <t>All</t>
        </is>
      </c>
      <c r="C56" s="41">
        <f>IF(SUMIFS(Countries!$E$5:$E$434,Countries!$A$5:$A$434,"All landing pages",Countries!$D$5:$D$434,$A56)=0,"",SUMIFS(Countries!$E$5:$E$434,Countries!$A$5:$A$434,"All landing pages",Countries!$D$5:$D$434,$A56))</f>
        <v/>
      </c>
      <c r="D56" s="41">
        <f>IF(SUMIFS(Countries!$F$5:$F$434,Countries!$A$5:$A$434,"All landing pages",Countries!$D$5:$D$434,$A56)=0,"",SUMIFS(Countries!$F$5:$F$434,Countries!$A$5:$A$434,"All landing pages",Countries!$D$5:$D$434,$A56))</f>
        <v/>
      </c>
      <c r="E56" s="42">
        <f>IF(OR(C56="",D56="",D56=0,C56=0),"",D56/C56-1)</f>
        <v/>
      </c>
      <c r="F56" s="41">
        <f>IF(SUMIFS(Countries!$P$5:$P$434,Countries!$A$5:$A$434,"All landing pages",Countries!$D$5:$D$434,$A56)=0,"",SUMIFS(Countries!$P$5:$P$434,Countries!$A$5:$A$434,"All landing pages",Countries!$D$5:$D$434,$A56))</f>
        <v/>
      </c>
      <c r="G56" s="41">
        <f>IF(SUMIFS(Countries!$Q$5:$Q$434,Countries!$A$5:$A$434,"All landing pages",Countries!$D$5:$D$434,$A56)=0,"",SUMIFS(Countries!$Q$5:$Q$434,Countries!$A$5:$A$434,"All landing pages",Countries!$D$5:$D$434,$A56))</f>
        <v/>
      </c>
      <c r="H56" s="42">
        <f>IF(OR(F56="",G56="",G56=0,F56=0),"",G56/F56-1)</f>
        <v/>
      </c>
      <c r="I56" s="41">
        <f>IF(SUMIFS(Countries!$AR$5:$AR$434,Countries!$A$5:$A$434,"All landing pages",Countries!$D$5:$D$434,$A56)=0,"",SUMIFS(Countries!$AR$5:$AR$434,Countries!$A$5:$A$434,"All landing pages",Countries!$D$5:$D$434,$A56))</f>
        <v/>
      </c>
      <c r="J56" s="41">
        <f>IF(SUMIFS(Countries!$AS$5:$AS$434,Countries!$A$5:$A$434,"All landing pages",Countries!$D$5:$D$434,$A56)=0,"",SUMIFS(Countries!$AS$5:$AS$434,Countries!$A$5:$A$434,"All landing pages",Countries!$D$5:$D$434,$A56))</f>
        <v/>
      </c>
      <c r="K56" s="42">
        <f>IF(OR(I56="",J56="",J56=0,I56=0),"",J56/I56-1)</f>
        <v/>
      </c>
      <c r="L56" s="43">
        <f>IF(SUMIFS(Countries!$E$5:$E$434,Countries!$A$5:$A$434,"All landing pages",Countries!$D$5:$D$434,$A56,Countries!$P$5:$P$434,"&gt;0")=0,"",SUMIFS(Countries!$P$5:$P$434,Countries!$A$5:$A$434,"All landing pages",Countries!$D$5:$D$434,$A56,Countries!$E$5:$E$434,"&gt;0")/SUMIFS(Countries!$E$5:$E$434,Countries!$A$5:$A$434,"All landing pages",Countries!$D$5:$D$434,$A56,Countries!$P$5:$P$434,"&gt;0"))</f>
        <v/>
      </c>
      <c r="M56" s="43">
        <f>IF(SUMIFS(Countries!$F$5:$F$434,Countries!$A$5:$A$434,"All landing pages",Countries!$D$5:$D$434,$A56,Countries!$Q$5:$Q$434,"&gt;0")=0,"",SUMIFS(Countries!$Q$5:$Q$434,Countries!$A$5:$A$434,"All landing pages",Countries!$D$5:$D$434,$A56,Countries!$F$5:$F$434,"&gt;0")/SUMIFS(Countries!$F$5:$F$434,Countries!$A$5:$A$434,"All landing pages",Countries!$D$5:$D$434,$A56,Countries!$Q$5:$Q$434,"&gt;0"))</f>
        <v/>
      </c>
      <c r="N56" s="44">
        <f>IF(OR(L56="",M56=""),"",(M56-L56)*100)</f>
        <v/>
      </c>
      <c r="O56" s="45">
        <f>IF(SUMIFS(Countries!$P$5:$P$434,Countries!$A$5:$A$434,"All landing pages",Countries!$D$5:$D$434,$A56,Countries!$AR$5:$AR$434,"&gt;0")=0,"",SUMIFS(Countries!$AR$5:$AR$434,Countries!$A$5:$A$434,"All landing pages",Countries!$D$5:$D$434,$A56,Countries!$P$5:$P$434,"&gt;0")/SUMIFS(Countries!$P$5:$P$434,Countries!$A$5:$A$434,"All landing pages",Countries!$D$5:$D$434,$A56,Countries!$AR$5:$AR$434,"&gt;0"))</f>
        <v/>
      </c>
      <c r="P56" s="45">
        <f>IF(SUMIFS(Countries!$Q$5:$Q$434,Countries!$A$5:$A$434,"All landing pages",Countries!$D$5:$D$434,$A56,Countries!$AS$5:$AS$434,"&gt;0")=0,"",SUMIFS(Countries!$AS$5:$AS$434,Countries!$A$5:$A$434,"All landing pages",Countries!$D$5:$D$434,$A56,Countries!$Q$5:$Q$434,"&gt;0")/SUMIFS(Countries!$Q$5:$Q$434,Countries!$A$5:$A$434,"All landing pages",Countries!$D$5:$D$434,$A56,Countries!$AS$5:$AS$434,"&gt;0"))</f>
        <v/>
      </c>
      <c r="Q56" s="44">
        <f>IF(OR(O56="",P56=""),"",(P56-O56)*100)</f>
        <v/>
      </c>
      <c r="R56" s="45">
        <f>IF(SUMIFS(Countries!$E$5:$E$434,Countries!$A$5:$A$434,"All landing pages",Countries!$D$5:$D$434,$A56,Countries!$AR$5:$AR$434,"&gt;0")=0,"",SUMIFS(Countries!$AR$5:$AR$434,Countries!$A$5:$A$434,"All landing pages",Countries!$D$5:$D$434,$A56,Countries!$E$5:$E$434,"&gt;0")/SUMIFS(Countries!$E$5:$E$434,Countries!$A$5:$A$434,"All landing pages",Countries!$D$5:$D$434,$A56,Countries!$AR$5:$AR$434,"&gt;0"))</f>
        <v/>
      </c>
      <c r="S56" s="45">
        <f>IF(SUMIFS(Countries!$F$5:$F$434,Countries!$A$5:$A$434,"All landing pages",Countries!$D$5:$D$434,$A56,Countries!$AS$5:$AS$434,"&gt;0")=0,"",SUMIFS(Countries!$AS$5:$AS$434,Countries!$A$5:$A$434,"All landing pages",Countries!$D$5:$D$434,$A56,Countries!$F$5:$F$434,"&gt;0")/SUMIFS(Countries!$F$5:$F$434,Countries!$A$5:$A$434,"All landing pages",Countries!$D$5:$D$434,$A56,Countries!$AS$5:$AS$434,"&gt;0"))</f>
        <v/>
      </c>
      <c r="T56" s="44">
        <f>IF(OR(R56="",S56=""),"",(S56-R56)*100)</f>
        <v/>
      </c>
    </row>
    <row r="57">
      <c r="A57" s="40" t="inlineStr">
        <is>
          <t>Brazil</t>
        </is>
      </c>
      <c r="B57" s="40" t="inlineStr">
        <is>
          <t>All</t>
        </is>
      </c>
      <c r="C57" s="41">
        <f>IF(SUMIFS(Countries!$E$5:$E$434,Countries!$A$5:$A$434,"All landing pages",Countries!$D$5:$D$434,$A57)=0,"",SUMIFS(Countries!$E$5:$E$434,Countries!$A$5:$A$434,"All landing pages",Countries!$D$5:$D$434,$A57))</f>
        <v/>
      </c>
      <c r="D57" s="41">
        <f>IF(SUMIFS(Countries!$F$5:$F$434,Countries!$A$5:$A$434,"All landing pages",Countries!$D$5:$D$434,$A57)=0,"",SUMIFS(Countries!$F$5:$F$434,Countries!$A$5:$A$434,"All landing pages",Countries!$D$5:$D$434,$A57))</f>
        <v/>
      </c>
      <c r="E57" s="42">
        <f>IF(OR(C57="",D57="",D57=0,C57=0),"",D57/C57-1)</f>
        <v/>
      </c>
      <c r="F57" s="41">
        <f>IF(SUMIFS(Countries!$P$5:$P$434,Countries!$A$5:$A$434,"All landing pages",Countries!$D$5:$D$434,$A57)=0,"",SUMIFS(Countries!$P$5:$P$434,Countries!$A$5:$A$434,"All landing pages",Countries!$D$5:$D$434,$A57))</f>
        <v/>
      </c>
      <c r="G57" s="41">
        <f>IF(SUMIFS(Countries!$Q$5:$Q$434,Countries!$A$5:$A$434,"All landing pages",Countries!$D$5:$D$434,$A57)=0,"",SUMIFS(Countries!$Q$5:$Q$434,Countries!$A$5:$A$434,"All landing pages",Countries!$D$5:$D$434,$A57))</f>
        <v/>
      </c>
      <c r="H57" s="42">
        <f>IF(OR(F57="",G57="",G57=0,F57=0),"",G57/F57-1)</f>
        <v/>
      </c>
      <c r="I57" s="41">
        <f>IF(SUMIFS(Countries!$AR$5:$AR$434,Countries!$A$5:$A$434,"All landing pages",Countries!$D$5:$D$434,$A57)=0,"",SUMIFS(Countries!$AR$5:$AR$434,Countries!$A$5:$A$434,"All landing pages",Countries!$D$5:$D$434,$A57))</f>
        <v/>
      </c>
      <c r="J57" s="41">
        <f>IF(SUMIFS(Countries!$AS$5:$AS$434,Countries!$A$5:$A$434,"All landing pages",Countries!$D$5:$D$434,$A57)=0,"",SUMIFS(Countries!$AS$5:$AS$434,Countries!$A$5:$A$434,"All landing pages",Countries!$D$5:$D$434,$A57))</f>
        <v/>
      </c>
      <c r="K57" s="42">
        <f>IF(OR(I57="",J57="",J57=0,I57=0),"",J57/I57-1)</f>
        <v/>
      </c>
      <c r="L57" s="43">
        <f>IF(SUMIFS(Countries!$E$5:$E$434,Countries!$A$5:$A$434,"All landing pages",Countries!$D$5:$D$434,$A57,Countries!$P$5:$P$434,"&gt;0")=0,"",SUMIFS(Countries!$P$5:$P$434,Countries!$A$5:$A$434,"All landing pages",Countries!$D$5:$D$434,$A57,Countries!$E$5:$E$434,"&gt;0")/SUMIFS(Countries!$E$5:$E$434,Countries!$A$5:$A$434,"All landing pages",Countries!$D$5:$D$434,$A57,Countries!$P$5:$P$434,"&gt;0"))</f>
        <v/>
      </c>
      <c r="M57" s="43">
        <f>IF(SUMIFS(Countries!$F$5:$F$434,Countries!$A$5:$A$434,"All landing pages",Countries!$D$5:$D$434,$A57,Countries!$Q$5:$Q$434,"&gt;0")=0,"",SUMIFS(Countries!$Q$5:$Q$434,Countries!$A$5:$A$434,"All landing pages",Countries!$D$5:$D$434,$A57,Countries!$F$5:$F$434,"&gt;0")/SUMIFS(Countries!$F$5:$F$434,Countries!$A$5:$A$434,"All landing pages",Countries!$D$5:$D$434,$A57,Countries!$Q$5:$Q$434,"&gt;0"))</f>
        <v/>
      </c>
      <c r="N57" s="44">
        <f>IF(OR(L57="",M57=""),"",(M57-L57)*100)</f>
        <v/>
      </c>
      <c r="O57" s="45">
        <f>IF(SUMIFS(Countries!$P$5:$P$434,Countries!$A$5:$A$434,"All landing pages",Countries!$D$5:$D$434,$A57,Countries!$AR$5:$AR$434,"&gt;0")=0,"",SUMIFS(Countries!$AR$5:$AR$434,Countries!$A$5:$A$434,"All landing pages",Countries!$D$5:$D$434,$A57,Countries!$P$5:$P$434,"&gt;0")/SUMIFS(Countries!$P$5:$P$434,Countries!$A$5:$A$434,"All landing pages",Countries!$D$5:$D$434,$A57,Countries!$AR$5:$AR$434,"&gt;0"))</f>
        <v/>
      </c>
      <c r="P57" s="45">
        <f>IF(SUMIFS(Countries!$Q$5:$Q$434,Countries!$A$5:$A$434,"All landing pages",Countries!$D$5:$D$434,$A57,Countries!$AS$5:$AS$434,"&gt;0")=0,"",SUMIFS(Countries!$AS$5:$AS$434,Countries!$A$5:$A$434,"All landing pages",Countries!$D$5:$D$434,$A57,Countries!$Q$5:$Q$434,"&gt;0")/SUMIFS(Countries!$Q$5:$Q$434,Countries!$A$5:$A$434,"All landing pages",Countries!$D$5:$D$434,$A57,Countries!$AS$5:$AS$434,"&gt;0"))</f>
        <v/>
      </c>
      <c r="Q57" s="44">
        <f>IF(OR(O57="",P57=""),"",(P57-O57)*100)</f>
        <v/>
      </c>
      <c r="R57" s="45">
        <f>IF(SUMIFS(Countries!$E$5:$E$434,Countries!$A$5:$A$434,"All landing pages",Countries!$D$5:$D$434,$A57,Countries!$AR$5:$AR$434,"&gt;0")=0,"",SUMIFS(Countries!$AR$5:$AR$434,Countries!$A$5:$A$434,"All landing pages",Countries!$D$5:$D$434,$A57,Countries!$E$5:$E$434,"&gt;0")/SUMIFS(Countries!$E$5:$E$434,Countries!$A$5:$A$434,"All landing pages",Countries!$D$5:$D$434,$A57,Countries!$AR$5:$AR$434,"&gt;0"))</f>
        <v/>
      </c>
      <c r="S57" s="45">
        <f>IF(SUMIFS(Countries!$F$5:$F$434,Countries!$A$5:$A$434,"All landing pages",Countries!$D$5:$D$434,$A57,Countries!$AS$5:$AS$434,"&gt;0")=0,"",SUMIFS(Countries!$AS$5:$AS$434,Countries!$A$5:$A$434,"All landing pages",Countries!$D$5:$D$434,$A57,Countries!$F$5:$F$434,"&gt;0")/SUMIFS(Countries!$F$5:$F$434,Countries!$A$5:$A$434,"All landing pages",Countries!$D$5:$D$434,$A57,Countries!$AS$5:$AS$434,"&gt;0"))</f>
        <v/>
      </c>
      <c r="T57" s="44">
        <f>IF(OR(R57="",S57=""),"",(S57-R57)*100)</f>
        <v/>
      </c>
    </row>
    <row r="58">
      <c r="A58" s="40" t="inlineStr">
        <is>
          <t>Philippines</t>
        </is>
      </c>
      <c r="B58" s="40" t="inlineStr">
        <is>
          <t>All</t>
        </is>
      </c>
      <c r="C58" s="41">
        <f>IF(SUMIFS(Countries!$E$5:$E$434,Countries!$A$5:$A$434,"All landing pages",Countries!$D$5:$D$434,$A58)=0,"",SUMIFS(Countries!$E$5:$E$434,Countries!$A$5:$A$434,"All landing pages",Countries!$D$5:$D$434,$A58))</f>
        <v/>
      </c>
      <c r="D58" s="41">
        <f>IF(SUMIFS(Countries!$F$5:$F$434,Countries!$A$5:$A$434,"All landing pages",Countries!$D$5:$D$434,$A58)=0,"",SUMIFS(Countries!$F$5:$F$434,Countries!$A$5:$A$434,"All landing pages",Countries!$D$5:$D$434,$A58))</f>
        <v/>
      </c>
      <c r="E58" s="42">
        <f>IF(OR(C58="",D58="",D58=0,C58=0),"",D58/C58-1)</f>
        <v/>
      </c>
      <c r="F58" s="41">
        <f>IF(SUMIFS(Countries!$P$5:$P$434,Countries!$A$5:$A$434,"All landing pages",Countries!$D$5:$D$434,$A58)=0,"",SUMIFS(Countries!$P$5:$P$434,Countries!$A$5:$A$434,"All landing pages",Countries!$D$5:$D$434,$A58))</f>
        <v/>
      </c>
      <c r="G58" s="41">
        <f>IF(SUMIFS(Countries!$Q$5:$Q$434,Countries!$A$5:$A$434,"All landing pages",Countries!$D$5:$D$434,$A58)=0,"",SUMIFS(Countries!$Q$5:$Q$434,Countries!$A$5:$A$434,"All landing pages",Countries!$D$5:$D$434,$A58))</f>
        <v/>
      </c>
      <c r="H58" s="42">
        <f>IF(OR(F58="",G58="",G58=0,F58=0),"",G58/F58-1)</f>
        <v/>
      </c>
      <c r="I58" s="41">
        <f>IF(SUMIFS(Countries!$AR$5:$AR$434,Countries!$A$5:$A$434,"All landing pages",Countries!$D$5:$D$434,$A58)=0,"",SUMIFS(Countries!$AR$5:$AR$434,Countries!$A$5:$A$434,"All landing pages",Countries!$D$5:$D$434,$A58))</f>
        <v/>
      </c>
      <c r="J58" s="41">
        <f>IF(SUMIFS(Countries!$AS$5:$AS$434,Countries!$A$5:$A$434,"All landing pages",Countries!$D$5:$D$434,$A58)=0,"",SUMIFS(Countries!$AS$5:$AS$434,Countries!$A$5:$A$434,"All landing pages",Countries!$D$5:$D$434,$A58))</f>
        <v/>
      </c>
      <c r="K58" s="42">
        <f>IF(OR(I58="",J58="",J58=0,I58=0),"",J58/I58-1)</f>
        <v/>
      </c>
      <c r="L58" s="43">
        <f>IF(SUMIFS(Countries!$E$5:$E$434,Countries!$A$5:$A$434,"All landing pages",Countries!$D$5:$D$434,$A58,Countries!$P$5:$P$434,"&gt;0")=0,"",SUMIFS(Countries!$P$5:$P$434,Countries!$A$5:$A$434,"All landing pages",Countries!$D$5:$D$434,$A58,Countries!$E$5:$E$434,"&gt;0")/SUMIFS(Countries!$E$5:$E$434,Countries!$A$5:$A$434,"All landing pages",Countries!$D$5:$D$434,$A58,Countries!$P$5:$P$434,"&gt;0"))</f>
        <v/>
      </c>
      <c r="M58" s="43">
        <f>IF(SUMIFS(Countries!$F$5:$F$434,Countries!$A$5:$A$434,"All landing pages",Countries!$D$5:$D$434,$A58,Countries!$Q$5:$Q$434,"&gt;0")=0,"",SUMIFS(Countries!$Q$5:$Q$434,Countries!$A$5:$A$434,"All landing pages",Countries!$D$5:$D$434,$A58,Countries!$F$5:$F$434,"&gt;0")/SUMIFS(Countries!$F$5:$F$434,Countries!$A$5:$A$434,"All landing pages",Countries!$D$5:$D$434,$A58,Countries!$Q$5:$Q$434,"&gt;0"))</f>
        <v/>
      </c>
      <c r="N58" s="44">
        <f>IF(OR(L58="",M58=""),"",(M58-L58)*100)</f>
        <v/>
      </c>
      <c r="O58" s="45">
        <f>IF(SUMIFS(Countries!$P$5:$P$434,Countries!$A$5:$A$434,"All landing pages",Countries!$D$5:$D$434,$A58,Countries!$AR$5:$AR$434,"&gt;0")=0,"",SUMIFS(Countries!$AR$5:$AR$434,Countries!$A$5:$A$434,"All landing pages",Countries!$D$5:$D$434,$A58,Countries!$P$5:$P$434,"&gt;0")/SUMIFS(Countries!$P$5:$P$434,Countries!$A$5:$A$434,"All landing pages",Countries!$D$5:$D$434,$A58,Countries!$AR$5:$AR$434,"&gt;0"))</f>
        <v/>
      </c>
      <c r="P58" s="45">
        <f>IF(SUMIFS(Countries!$Q$5:$Q$434,Countries!$A$5:$A$434,"All landing pages",Countries!$D$5:$D$434,$A58,Countries!$AS$5:$AS$434,"&gt;0")=0,"",SUMIFS(Countries!$AS$5:$AS$434,Countries!$A$5:$A$434,"All landing pages",Countries!$D$5:$D$434,$A58,Countries!$Q$5:$Q$434,"&gt;0")/SUMIFS(Countries!$Q$5:$Q$434,Countries!$A$5:$A$434,"All landing pages",Countries!$D$5:$D$434,$A58,Countries!$AS$5:$AS$434,"&gt;0"))</f>
        <v/>
      </c>
      <c r="Q58" s="44">
        <f>IF(OR(O58="",P58=""),"",(P58-O58)*100)</f>
        <v/>
      </c>
      <c r="R58" s="45">
        <f>IF(SUMIFS(Countries!$E$5:$E$434,Countries!$A$5:$A$434,"All landing pages",Countries!$D$5:$D$434,$A58,Countries!$AR$5:$AR$434,"&gt;0")=0,"",SUMIFS(Countries!$AR$5:$AR$434,Countries!$A$5:$A$434,"All landing pages",Countries!$D$5:$D$434,$A58,Countries!$E$5:$E$434,"&gt;0")/SUMIFS(Countries!$E$5:$E$434,Countries!$A$5:$A$434,"All landing pages",Countries!$D$5:$D$434,$A58,Countries!$AR$5:$AR$434,"&gt;0"))</f>
        <v/>
      </c>
      <c r="S58" s="45">
        <f>IF(SUMIFS(Countries!$F$5:$F$434,Countries!$A$5:$A$434,"All landing pages",Countries!$D$5:$D$434,$A58,Countries!$AS$5:$AS$434,"&gt;0")=0,"",SUMIFS(Countries!$AS$5:$AS$434,Countries!$A$5:$A$434,"All landing pages",Countries!$D$5:$D$434,$A58,Countries!$F$5:$F$434,"&gt;0")/SUMIFS(Countries!$F$5:$F$434,Countries!$A$5:$A$434,"All landing pages",Countries!$D$5:$D$434,$A58,Countries!$AS$5:$AS$434,"&gt;0"))</f>
        <v/>
      </c>
      <c r="T58" s="44">
        <f>IF(OR(R58="",S58=""),"",(S58-R58)*100)</f>
        <v/>
      </c>
    </row>
    <row r="59">
      <c r="A59" s="40" t="inlineStr">
        <is>
          <t>Ukraine</t>
        </is>
      </c>
      <c r="B59" s="40" t="inlineStr">
        <is>
          <t>All</t>
        </is>
      </c>
      <c r="C59" s="41">
        <f>IF(SUMIFS(Countries!$E$5:$E$434,Countries!$A$5:$A$434,"All landing pages",Countries!$D$5:$D$434,$A59)=0,"",SUMIFS(Countries!$E$5:$E$434,Countries!$A$5:$A$434,"All landing pages",Countries!$D$5:$D$434,$A59))</f>
        <v/>
      </c>
      <c r="D59" s="41">
        <f>IF(SUMIFS(Countries!$F$5:$F$434,Countries!$A$5:$A$434,"All landing pages",Countries!$D$5:$D$434,$A59)=0,"",SUMIFS(Countries!$F$5:$F$434,Countries!$A$5:$A$434,"All landing pages",Countries!$D$5:$D$434,$A59))</f>
        <v/>
      </c>
      <c r="E59" s="42">
        <f>IF(OR(C59="",D59="",D59=0,C59=0),"",D59/C59-1)</f>
        <v/>
      </c>
      <c r="F59" s="41">
        <f>IF(SUMIFS(Countries!$P$5:$P$434,Countries!$A$5:$A$434,"All landing pages",Countries!$D$5:$D$434,$A59)=0,"",SUMIFS(Countries!$P$5:$P$434,Countries!$A$5:$A$434,"All landing pages",Countries!$D$5:$D$434,$A59))</f>
        <v/>
      </c>
      <c r="G59" s="41">
        <f>IF(SUMIFS(Countries!$Q$5:$Q$434,Countries!$A$5:$A$434,"All landing pages",Countries!$D$5:$D$434,$A59)=0,"",SUMIFS(Countries!$Q$5:$Q$434,Countries!$A$5:$A$434,"All landing pages",Countries!$D$5:$D$434,$A59))</f>
        <v/>
      </c>
      <c r="H59" s="42">
        <f>IF(OR(F59="",G59="",G59=0,F59=0),"",G59/F59-1)</f>
        <v/>
      </c>
      <c r="I59" s="41">
        <f>IF(SUMIFS(Countries!$AR$5:$AR$434,Countries!$A$5:$A$434,"All landing pages",Countries!$D$5:$D$434,$A59)=0,"",SUMIFS(Countries!$AR$5:$AR$434,Countries!$A$5:$A$434,"All landing pages",Countries!$D$5:$D$434,$A59))</f>
        <v/>
      </c>
      <c r="J59" s="41">
        <f>IF(SUMIFS(Countries!$AS$5:$AS$434,Countries!$A$5:$A$434,"All landing pages",Countries!$D$5:$D$434,$A59)=0,"",SUMIFS(Countries!$AS$5:$AS$434,Countries!$A$5:$A$434,"All landing pages",Countries!$D$5:$D$434,$A59))</f>
        <v/>
      </c>
      <c r="K59" s="42">
        <f>IF(OR(I59="",J59="",J59=0,I59=0),"",J59/I59-1)</f>
        <v/>
      </c>
      <c r="L59" s="43">
        <f>IF(SUMIFS(Countries!$E$5:$E$434,Countries!$A$5:$A$434,"All landing pages",Countries!$D$5:$D$434,$A59,Countries!$P$5:$P$434,"&gt;0")=0,"",SUMIFS(Countries!$P$5:$P$434,Countries!$A$5:$A$434,"All landing pages",Countries!$D$5:$D$434,$A59,Countries!$E$5:$E$434,"&gt;0")/SUMIFS(Countries!$E$5:$E$434,Countries!$A$5:$A$434,"All landing pages",Countries!$D$5:$D$434,$A59,Countries!$P$5:$P$434,"&gt;0"))</f>
        <v/>
      </c>
      <c r="M59" s="43">
        <f>IF(SUMIFS(Countries!$F$5:$F$434,Countries!$A$5:$A$434,"All landing pages",Countries!$D$5:$D$434,$A59,Countries!$Q$5:$Q$434,"&gt;0")=0,"",SUMIFS(Countries!$Q$5:$Q$434,Countries!$A$5:$A$434,"All landing pages",Countries!$D$5:$D$434,$A59,Countries!$F$5:$F$434,"&gt;0")/SUMIFS(Countries!$F$5:$F$434,Countries!$A$5:$A$434,"All landing pages",Countries!$D$5:$D$434,$A59,Countries!$Q$5:$Q$434,"&gt;0"))</f>
        <v/>
      </c>
      <c r="N59" s="44">
        <f>IF(OR(L59="",M59=""),"",(M59-L59)*100)</f>
        <v/>
      </c>
      <c r="O59" s="45">
        <f>IF(SUMIFS(Countries!$P$5:$P$434,Countries!$A$5:$A$434,"All landing pages",Countries!$D$5:$D$434,$A59,Countries!$AR$5:$AR$434,"&gt;0")=0,"",SUMIFS(Countries!$AR$5:$AR$434,Countries!$A$5:$A$434,"All landing pages",Countries!$D$5:$D$434,$A59,Countries!$P$5:$P$434,"&gt;0")/SUMIFS(Countries!$P$5:$P$434,Countries!$A$5:$A$434,"All landing pages",Countries!$D$5:$D$434,$A59,Countries!$AR$5:$AR$434,"&gt;0"))</f>
        <v/>
      </c>
      <c r="P59" s="45">
        <f>IF(SUMIFS(Countries!$Q$5:$Q$434,Countries!$A$5:$A$434,"All landing pages",Countries!$D$5:$D$434,$A59,Countries!$AS$5:$AS$434,"&gt;0")=0,"",SUMIFS(Countries!$AS$5:$AS$434,Countries!$A$5:$A$434,"All landing pages",Countries!$D$5:$D$434,$A59,Countries!$Q$5:$Q$434,"&gt;0")/SUMIFS(Countries!$Q$5:$Q$434,Countries!$A$5:$A$434,"All landing pages",Countries!$D$5:$D$434,$A59,Countries!$AS$5:$AS$434,"&gt;0"))</f>
        <v/>
      </c>
      <c r="Q59" s="44">
        <f>IF(OR(O59="",P59=""),"",(P59-O59)*100)</f>
        <v/>
      </c>
      <c r="R59" s="45">
        <f>IF(SUMIFS(Countries!$E$5:$E$434,Countries!$A$5:$A$434,"All landing pages",Countries!$D$5:$D$434,$A59,Countries!$AR$5:$AR$434,"&gt;0")=0,"",SUMIFS(Countries!$AR$5:$AR$434,Countries!$A$5:$A$434,"All landing pages",Countries!$D$5:$D$434,$A59,Countries!$E$5:$E$434,"&gt;0")/SUMIFS(Countries!$E$5:$E$434,Countries!$A$5:$A$434,"All landing pages",Countries!$D$5:$D$434,$A59,Countries!$AR$5:$AR$434,"&gt;0"))</f>
        <v/>
      </c>
      <c r="S59" s="45">
        <f>IF(SUMIFS(Countries!$F$5:$F$434,Countries!$A$5:$A$434,"All landing pages",Countries!$D$5:$D$434,$A59,Countries!$AS$5:$AS$434,"&gt;0")=0,"",SUMIFS(Countries!$AS$5:$AS$434,Countries!$A$5:$A$434,"All landing pages",Countries!$D$5:$D$434,$A59,Countries!$F$5:$F$434,"&gt;0")/SUMIFS(Countries!$F$5:$F$434,Countries!$A$5:$A$434,"All landing pages",Countries!$D$5:$D$434,$A59,Countries!$AS$5:$AS$434,"&gt;0"))</f>
        <v/>
      </c>
      <c r="T59" s="44">
        <f>IF(OR(R59="",S59=""),"",(S59-R59)*100)</f>
        <v/>
      </c>
    </row>
    <row r="60">
      <c r="A60" s="32" t="inlineStr">
        <is>
          <t>Sum of listed markets</t>
        </is>
      </c>
      <c r="B60" s="32" t="inlineStr">
        <is>
          <t>All</t>
        </is>
      </c>
      <c r="C60" s="33">
        <f>SUM(C34:C59)</f>
        <v/>
      </c>
      <c r="D60" s="33">
        <f>SUM(D34:D59)</f>
        <v/>
      </c>
      <c r="E60" s="34">
        <f>IF(OR(C60="",D60="",D60=0,C60=0),"",D60/C60-1)</f>
        <v/>
      </c>
      <c r="F60" s="33">
        <f>SUM(F34:F59)</f>
        <v/>
      </c>
      <c r="G60" s="33">
        <f>SUM(G34:G59)</f>
        <v/>
      </c>
      <c r="H60" s="34">
        <f>IF(OR(F60="",G60="",G60=0,F60=0),"",G60/F60-1)</f>
        <v/>
      </c>
      <c r="I60" s="33">
        <f>SUM(I34:I59)</f>
        <v/>
      </c>
      <c r="J60" s="33">
        <f>SUM(J34:J59)</f>
        <v/>
      </c>
      <c r="K60" s="34">
        <f>IF(OR(I60="",J60="",J60=0,I60=0),"",J60/I60-1)</f>
        <v/>
      </c>
      <c r="L60" s="35">
        <f>IF(OR(F60="",C60="",C60=0),"",F60/C60)</f>
        <v/>
      </c>
      <c r="M60" s="35">
        <f>IF(OR(G60="",D60="",D60=0),"",G60/D60)</f>
        <v/>
      </c>
      <c r="N60" s="36">
        <f>IF(OR(L60="",M60=""),"",(M60-L60)*100)</f>
        <v/>
      </c>
      <c r="O60" s="37">
        <f>IF(OR(I60="",F60="",F60=0),"",I60/F60)</f>
        <v/>
      </c>
      <c r="P60" s="37">
        <f>IF(OR(J60="",G60="",G60=0),"",J60/G60)</f>
        <v/>
      </c>
      <c r="Q60" s="36">
        <f>IF(OR(O60="",P60=""),"",(P60-O60)*100)</f>
        <v/>
      </c>
      <c r="R60" s="37">
        <f>IF(OR(I60="",C60="",C60=0),"",I60/C60)</f>
        <v/>
      </c>
      <c r="S60" s="37">
        <f>IF(OR(J60="",D60="",D60=0),"",J60/D60)</f>
        <v/>
      </c>
      <c r="T60" s="36">
        <f>IF(OR(R60="",S60=""),"",(S60-R60)*100)</f>
        <v/>
      </c>
      <c r="U60" s="38" t="n"/>
      <c r="V60" s="38" t="n"/>
      <c r="W60" s="38" t="n"/>
      <c r="X60" s="38" t="n"/>
      <c r="Y60" s="38" t="n"/>
      <c r="Z60" s="38" t="n"/>
      <c r="AA60" s="38" t="n"/>
      <c r="AB60" s="38" t="n"/>
      <c r="AC60" s="38" t="n"/>
      <c r="AD60" s="38" t="n"/>
      <c r="AE60" s="38" t="n"/>
      <c r="AF60" s="38" t="n"/>
      <c r="AG60" s="38" t="n"/>
      <c r="AH60" s="38" t="n"/>
      <c r="AI60" s="38" t="n"/>
      <c r="AJ60" s="38" t="n"/>
      <c r="AK60" s="38" t="n"/>
      <c r="AL60" s="38" t="n"/>
      <c r="AM60" s="38" t="n"/>
      <c r="AN60" s="38" t="n"/>
      <c r="AO60" s="38" t="n"/>
      <c r="AP60" s="38" t="n"/>
      <c r="AQ60" s="38" t="n"/>
      <c r="AR60" s="38" t="n"/>
      <c r="AS60" s="38" t="n"/>
      <c r="AT60" s="38" t="n"/>
      <c r="AU60" s="38" t="n"/>
      <c r="AV60" s="38" t="n"/>
      <c r="AW60" s="38" t="n"/>
      <c r="AX60" s="38" t="n"/>
      <c r="AY60" s="38" t="n"/>
      <c r="AZ60" s="38" t="n"/>
      <c r="BA60" s="38" t="n"/>
      <c r="BB60" s="38" t="n"/>
    </row>
    <row r="61">
      <c r="A61" s="32" t="inlineStr">
        <is>
          <t>Scorecard total (3 channels)</t>
        </is>
      </c>
      <c r="B61" s="32" t="inlineStr">
        <is>
          <t>All</t>
        </is>
      </c>
      <c r="C61" s="33">
        <f>SUMIFS(Totals!$D$5:$D$49,Totals!$A$5:$A$49,"All landing pages",Totals!$B$5:$B$49,"Paid Search",Totals!$C$5:$C$49,"Total")+SUMIFS(Totals!$D$5:$D$49,Totals!$A$5:$A$49,"All landing pages",Totals!$B$5:$B$49,"Organic",Totals!$C$5:$C$49,"Total")+SUMIFS(Totals!$D$5:$D$49,Totals!$A$5:$A$49,"All landing pages",Totals!$B$5:$B$49,"Direct",Totals!$C$5:$C$49,"Total")</f>
        <v/>
      </c>
      <c r="D61" s="33">
        <f>SUMIFS(Totals!$E$5:$E$49,Totals!$A$5:$A$49,"All landing pages",Totals!$B$5:$B$49,"Paid Search",Totals!$C$5:$C$49,"Total")+SUMIFS(Totals!$E$5:$E$49,Totals!$A$5:$A$49,"All landing pages",Totals!$B$5:$B$49,"Organic",Totals!$C$5:$C$49,"Total")+SUMIFS(Totals!$E$5:$E$49,Totals!$A$5:$A$49,"All landing pages",Totals!$B$5:$B$49,"Direct",Totals!$C$5:$C$49,"Total")</f>
        <v/>
      </c>
      <c r="E61" s="34">
        <f>IF(OR(C61="",D61="",D61=0,C61=0),"",D61/C61-1)</f>
        <v/>
      </c>
      <c r="F61" s="33">
        <f>SUMIFS(Totals!$O$5:$O$49,Totals!$A$5:$A$49,"All landing pages",Totals!$B$5:$B$49,"Paid Search",Totals!$C$5:$C$49,"Total")+SUMIFS(Totals!$O$5:$O$49,Totals!$A$5:$A$49,"All landing pages",Totals!$B$5:$B$49,"Organic",Totals!$C$5:$C$49,"Total")+SUMIFS(Totals!$O$5:$O$49,Totals!$A$5:$A$49,"All landing pages",Totals!$B$5:$B$49,"Direct",Totals!$C$5:$C$49,"Total")</f>
        <v/>
      </c>
      <c r="G61" s="33">
        <f>SUMIFS(Totals!$P$5:$P$49,Totals!$A$5:$A$49,"All landing pages",Totals!$B$5:$B$49,"Paid Search",Totals!$C$5:$C$49,"Total")+SUMIFS(Totals!$P$5:$P$49,Totals!$A$5:$A$49,"All landing pages",Totals!$B$5:$B$49,"Organic",Totals!$C$5:$C$49,"Total")+SUMIFS(Totals!$P$5:$P$49,Totals!$A$5:$A$49,"All landing pages",Totals!$B$5:$B$49,"Direct",Totals!$C$5:$C$49,"Total")</f>
        <v/>
      </c>
      <c r="H61" s="34">
        <f>IF(OR(F61="",G61="",G61=0,F61=0),"",G61/F61-1)</f>
        <v/>
      </c>
      <c r="I61" s="33">
        <f>SUMIFS(Totals!$AQ$5:$AQ$49,Totals!$A$5:$A$49,"All landing pages",Totals!$B$5:$B$49,"Paid Search",Totals!$C$5:$C$49,"Total")+SUMIFS(Totals!$AQ$5:$AQ$49,Totals!$A$5:$A$49,"All landing pages",Totals!$B$5:$B$49,"Organic",Totals!$C$5:$C$49,"Total")+SUMIFS(Totals!$AQ$5:$AQ$49,Totals!$A$5:$A$49,"All landing pages",Totals!$B$5:$B$49,"Direct",Totals!$C$5:$C$49,"Total")</f>
        <v/>
      </c>
      <c r="J61" s="33">
        <f>SUMIFS(Totals!$AR$5:$AR$49,Totals!$A$5:$A$49,"All landing pages",Totals!$B$5:$B$49,"Paid Search",Totals!$C$5:$C$49,"Total")+SUMIFS(Totals!$AR$5:$AR$49,Totals!$A$5:$A$49,"All landing pages",Totals!$B$5:$B$49,"Organic",Totals!$C$5:$C$49,"Total")+SUMIFS(Totals!$AR$5:$AR$49,Totals!$A$5:$A$49,"All landing pages",Totals!$B$5:$B$49,"Direct",Totals!$C$5:$C$49,"Total")</f>
        <v/>
      </c>
      <c r="K61" s="34">
        <f>IF(OR(I61="",J61="",J61=0,I61=0),"",J61/I61-1)</f>
        <v/>
      </c>
      <c r="L61" s="35">
        <f>IF(OR(F61="",C61="",C61=0),"",F61/C61)</f>
        <v/>
      </c>
      <c r="M61" s="35">
        <f>IF(OR(G61="",D61="",D61=0),"",G61/D61)</f>
        <v/>
      </c>
      <c r="N61" s="36">
        <f>IF(OR(L61="",M61=""),"",(M61-L61)*100)</f>
        <v/>
      </c>
      <c r="O61" s="37">
        <f>IF(OR(I61="",F61="",F61=0),"",I61/F61)</f>
        <v/>
      </c>
      <c r="P61" s="37">
        <f>IF(OR(J61="",G61="",G61=0),"",J61/G61)</f>
        <v/>
      </c>
      <c r="Q61" s="36">
        <f>IF(OR(O61="",P61=""),"",(P61-O61)*100)</f>
        <v/>
      </c>
      <c r="R61" s="37">
        <f>IF(OR(I61="",C61="",C61=0),"",I61/C61)</f>
        <v/>
      </c>
      <c r="S61" s="37">
        <f>IF(OR(J61="",D61="",D61=0),"",J61/D61)</f>
        <v/>
      </c>
      <c r="T61" s="36">
        <f>IF(OR(R61="",S61=""),"",(S61-R61)*100)</f>
        <v/>
      </c>
      <c r="U61" s="38" t="n"/>
      <c r="V61" s="38" t="n"/>
      <c r="W61" s="38" t="n"/>
      <c r="X61" s="38" t="n"/>
      <c r="Y61" s="38" t="n"/>
      <c r="Z61" s="38" t="n"/>
      <c r="AA61" s="38" t="n"/>
      <c r="AB61" s="38" t="n"/>
      <c r="AC61" s="38" t="n"/>
      <c r="AD61" s="38" t="n"/>
      <c r="AE61" s="38" t="n"/>
      <c r="AF61" s="38" t="n"/>
      <c r="AG61" s="38" t="n"/>
      <c r="AH61" s="38" t="n"/>
      <c r="AI61" s="38" t="n"/>
      <c r="AJ61" s="38" t="n"/>
      <c r="AK61" s="38" t="n"/>
      <c r="AL61" s="38" t="n"/>
      <c r="AM61" s="38" t="n"/>
      <c r="AN61" s="38" t="n"/>
      <c r="AO61" s="38" t="n"/>
      <c r="AP61" s="38" t="n"/>
      <c r="AQ61" s="38" t="n"/>
      <c r="AR61" s="38" t="n"/>
      <c r="AS61" s="38" t="n"/>
      <c r="AT61" s="38" t="n"/>
      <c r="AU61" s="38" t="n"/>
      <c r="AV61" s="38" t="n"/>
      <c r="AW61" s="38" t="n"/>
      <c r="AX61" s="38" t="n"/>
      <c r="AY61" s="38" t="n"/>
      <c r="AZ61" s="38" t="n"/>
      <c r="BA61" s="38" t="n"/>
      <c r="BB61" s="38" t="n"/>
    </row>
    <row r="62">
      <c r="A62" s="32" t="inlineStr">
        <is>
          <t>Coverage of listed markets</t>
        </is>
      </c>
      <c r="B62" s="52" t="n"/>
      <c r="C62" s="35">
        <f>IFERROR(C60/C61,"")</f>
        <v/>
      </c>
      <c r="D62" s="35">
        <f>IFERROR(D60/D61,"")</f>
        <v/>
      </c>
      <c r="E62" s="52" t="n"/>
      <c r="F62" s="35">
        <f>IFERROR(F60/F61,"")</f>
        <v/>
      </c>
      <c r="G62" s="35">
        <f>IFERROR(G60/G61,"")</f>
        <v/>
      </c>
      <c r="H62" s="52" t="n"/>
      <c r="I62" s="35">
        <f>IFERROR(I60/I61,"")</f>
        <v/>
      </c>
      <c r="J62" s="35">
        <f>IFERROR(J60/J61,"")</f>
        <v/>
      </c>
      <c r="K62" s="52" t="n"/>
      <c r="L62" s="52" t="n"/>
      <c r="M62" s="52" t="n"/>
      <c r="N62" s="52" t="n"/>
      <c r="O62" s="52" t="n"/>
      <c r="P62" s="52" t="n"/>
      <c r="Q62" s="52" t="n"/>
      <c r="R62" s="52" t="n"/>
      <c r="S62" s="52" t="n"/>
      <c r="T62" s="52" t="n"/>
      <c r="U62" s="38" t="n"/>
      <c r="V62" s="38" t="n"/>
      <c r="W62" s="38" t="n"/>
      <c r="X62" s="38" t="n"/>
      <c r="Y62" s="38" t="n"/>
      <c r="Z62" s="38" t="n"/>
      <c r="AA62" s="38" t="n"/>
      <c r="AB62" s="38" t="n"/>
      <c r="AC62" s="38" t="n"/>
      <c r="AD62" s="38" t="n"/>
      <c r="AE62" s="38" t="n"/>
      <c r="AF62" s="38" t="n"/>
      <c r="AG62" s="38" t="n"/>
      <c r="AH62" s="38" t="n"/>
      <c r="AI62" s="38" t="n"/>
      <c r="AJ62" s="38" t="n"/>
      <c r="AK62" s="38" t="n"/>
      <c r="AL62" s="38" t="n"/>
      <c r="AM62" s="38" t="n"/>
      <c r="AN62" s="38" t="n"/>
      <c r="AO62" s="38" t="n"/>
      <c r="AP62" s="38" t="n"/>
      <c r="AQ62" s="38" t="n"/>
      <c r="AR62" s="38" t="n"/>
      <c r="AS62" s="38" t="n"/>
      <c r="AT62" s="38" t="n"/>
      <c r="AU62" s="38" t="n"/>
      <c r="AV62" s="38" t="n"/>
      <c r="AW62" s="38" t="n"/>
      <c r="AX62" s="38" t="n"/>
      <c r="AY62" s="38" t="n"/>
      <c r="AZ62" s="38" t="n"/>
      <c r="BA62" s="38" t="n"/>
      <c r="BB62" s="38" t="n"/>
    </row>
    <row r="64">
      <c r="A64" s="39" t="inlineStr">
        <is>
          <t>By market — Direct channel only  (all landing pages, Mobile + Desktop — Looker visible rows only)</t>
        </is>
      </c>
    </row>
    <row r="65">
      <c r="A65" s="40" t="inlineStr">
        <is>
          <t>United Kingdom</t>
        </is>
      </c>
      <c r="B65" s="40" t="inlineStr">
        <is>
          <t>Direct</t>
        </is>
      </c>
      <c r="C65" s="41">
        <f>IF(SUMIFS(Countries!$E$5:$E$434,Countries!$A$5:$A$434,"All landing pages",Countries!$B$5:$B$434,"Direct",Countries!$D$5:$D$434,$A65)=0,"",SUMIFS(Countries!$E$5:$E$434,Countries!$A$5:$A$434,"All landing pages",Countries!$B$5:$B$434,"Direct",Countries!$D$5:$D$434,$A65))</f>
        <v/>
      </c>
      <c r="D65" s="41">
        <f>IF(SUMIFS(Countries!$F$5:$F$434,Countries!$A$5:$A$434,"All landing pages",Countries!$B$5:$B$434,"Direct",Countries!$D$5:$D$434,$A65)=0,"",SUMIFS(Countries!$F$5:$F$434,Countries!$A$5:$A$434,"All landing pages",Countries!$B$5:$B$434,"Direct",Countries!$D$5:$D$434,$A65))</f>
        <v/>
      </c>
      <c r="E65" s="42">
        <f>IF(OR(C65="",D65="",D65=0,C65=0),"",D65/C65-1)</f>
        <v/>
      </c>
      <c r="F65" s="41">
        <f>IF(SUMIFS(Countries!$P$5:$P$434,Countries!$A$5:$A$434,"All landing pages",Countries!$B$5:$B$434,"Direct",Countries!$D$5:$D$434,$A65)=0,"",SUMIFS(Countries!$P$5:$P$434,Countries!$A$5:$A$434,"All landing pages",Countries!$B$5:$B$434,"Direct",Countries!$D$5:$D$434,$A65))</f>
        <v/>
      </c>
      <c r="G65" s="41">
        <f>IF(SUMIFS(Countries!$Q$5:$Q$434,Countries!$A$5:$A$434,"All landing pages",Countries!$B$5:$B$434,"Direct",Countries!$D$5:$D$434,$A65)=0,"",SUMIFS(Countries!$Q$5:$Q$434,Countries!$A$5:$A$434,"All landing pages",Countries!$B$5:$B$434,"Direct",Countries!$D$5:$D$434,$A65))</f>
        <v/>
      </c>
      <c r="H65" s="42">
        <f>IF(OR(F65="",G65="",G65=0,F65=0),"",G65/F65-1)</f>
        <v/>
      </c>
      <c r="I65" s="41">
        <f>IF(SUMIFS(Countries!$AR$5:$AR$434,Countries!$A$5:$A$434,"All landing pages",Countries!$B$5:$B$434,"Direct",Countries!$D$5:$D$434,$A65)=0,"",SUMIFS(Countries!$AR$5:$AR$434,Countries!$A$5:$A$434,"All landing pages",Countries!$B$5:$B$434,"Direct",Countries!$D$5:$D$434,$A65))</f>
        <v/>
      </c>
      <c r="J65" s="41">
        <f>IF(SUMIFS(Countries!$AS$5:$AS$434,Countries!$A$5:$A$434,"All landing pages",Countries!$B$5:$B$434,"Direct",Countries!$D$5:$D$434,$A65)=0,"",SUMIFS(Countries!$AS$5:$AS$434,Countries!$A$5:$A$434,"All landing pages",Countries!$B$5:$B$434,"Direct",Countries!$D$5:$D$434,$A65))</f>
        <v/>
      </c>
      <c r="K65" s="42">
        <f>IF(OR(I65="",J65="",J65=0,I65=0),"",J65/I65-1)</f>
        <v/>
      </c>
      <c r="L65" s="43">
        <f>IF(SUMIFS(Countries!$E$5:$E$434,Countries!$A$5:$A$434,"All landing pages",Countries!$B$5:$B$434,"Direct",Countries!$D$5:$D$434,$A65,Countries!$P$5:$P$434,"&gt;0")=0,"",SUMIFS(Countries!$P$5:$P$434,Countries!$A$5:$A$434,"All landing pages",Countries!$B$5:$B$434,"Direct",Countries!$D$5:$D$434,$A65,Countries!$E$5:$E$434,"&gt;0")/SUMIFS(Countries!$E$5:$E$434,Countries!$A$5:$A$434,"All landing pages",Countries!$B$5:$B$434,"Direct",Countries!$D$5:$D$434,$A65,Countries!$P$5:$P$434,"&gt;0"))</f>
        <v/>
      </c>
      <c r="M65" s="43">
        <f>IF(SUMIFS(Countries!$F$5:$F$434,Countries!$A$5:$A$434,"All landing pages",Countries!$B$5:$B$434,"Direct",Countries!$D$5:$D$434,$A65,Countries!$Q$5:$Q$434,"&gt;0")=0,"",SUMIFS(Countries!$Q$5:$Q$434,Countries!$A$5:$A$434,"All landing pages",Countries!$B$5:$B$434,"Direct",Countries!$D$5:$D$434,$A65,Countries!$F$5:$F$434,"&gt;0")/SUMIFS(Countries!$F$5:$F$434,Countries!$A$5:$A$434,"All landing pages",Countries!$B$5:$B$434,"Direct",Countries!$D$5:$D$434,$A65,Countries!$Q$5:$Q$434,"&gt;0"))</f>
        <v/>
      </c>
      <c r="N65" s="44">
        <f>IF(OR(L65="",M65=""),"",(M65-L65)*100)</f>
        <v/>
      </c>
      <c r="O65" s="45">
        <f>IF(SUMIFS(Countries!$P$5:$P$434,Countries!$A$5:$A$434,"All landing pages",Countries!$B$5:$B$434,"Direct",Countries!$D$5:$D$434,$A65,Countries!$AR$5:$AR$434,"&gt;0")=0,"",SUMIFS(Countries!$AR$5:$AR$434,Countries!$A$5:$A$434,"All landing pages",Countries!$B$5:$B$434,"Direct",Countries!$D$5:$D$434,$A65,Countries!$P$5:$P$434,"&gt;0")/SUMIFS(Countries!$P$5:$P$434,Countries!$A$5:$A$434,"All landing pages",Countries!$B$5:$B$434,"Direct",Countries!$D$5:$D$434,$A65,Countries!$AR$5:$AR$434,"&gt;0"))</f>
        <v/>
      </c>
      <c r="P65" s="45">
        <f>IF(SUMIFS(Countries!$Q$5:$Q$434,Countries!$A$5:$A$434,"All landing pages",Countries!$B$5:$B$434,"Direct",Countries!$D$5:$D$434,$A65,Countries!$AS$5:$AS$434,"&gt;0")=0,"",SUMIFS(Countries!$AS$5:$AS$434,Countries!$A$5:$A$434,"All landing pages",Countries!$B$5:$B$434,"Direct",Countries!$D$5:$D$434,$A65,Countries!$Q$5:$Q$434,"&gt;0")/SUMIFS(Countries!$Q$5:$Q$434,Countries!$A$5:$A$434,"All landing pages",Countries!$B$5:$B$434,"Direct",Countries!$D$5:$D$434,$A65,Countries!$AS$5:$AS$434,"&gt;0"))</f>
        <v/>
      </c>
      <c r="Q65" s="44">
        <f>IF(OR(O65="",P65=""),"",(P65-O65)*100)</f>
        <v/>
      </c>
      <c r="R65" s="45">
        <f>IF(SUMIFS(Countries!$E$5:$E$434,Countries!$A$5:$A$434,"All landing pages",Countries!$B$5:$B$434,"Direct",Countries!$D$5:$D$434,$A65,Countries!$AR$5:$AR$434,"&gt;0")=0,"",SUMIFS(Countries!$AR$5:$AR$434,Countries!$A$5:$A$434,"All landing pages",Countries!$B$5:$B$434,"Direct",Countries!$D$5:$D$434,$A65,Countries!$E$5:$E$434,"&gt;0")/SUMIFS(Countries!$E$5:$E$434,Countries!$A$5:$A$434,"All landing pages",Countries!$B$5:$B$434,"Direct",Countries!$D$5:$D$434,$A65,Countries!$AR$5:$AR$434,"&gt;0"))</f>
        <v/>
      </c>
      <c r="S65" s="45">
        <f>IF(SUMIFS(Countries!$F$5:$F$434,Countries!$A$5:$A$434,"All landing pages",Countries!$B$5:$B$434,"Direct",Countries!$D$5:$D$434,$A65,Countries!$AS$5:$AS$434,"&gt;0")=0,"",SUMIFS(Countries!$AS$5:$AS$434,Countries!$A$5:$A$434,"All landing pages",Countries!$B$5:$B$434,"Direct",Countries!$D$5:$D$434,$A65,Countries!$F$5:$F$434,"&gt;0")/SUMIFS(Countries!$F$5:$F$434,Countries!$A$5:$A$434,"All landing pages",Countries!$B$5:$B$434,"Direct",Countries!$D$5:$D$434,$A65,Countries!$AS$5:$AS$434,"&gt;0"))</f>
        <v/>
      </c>
      <c r="T65" s="44">
        <f>IF(OR(R65="",S65=""),"",(S65-R65)*100)</f>
        <v/>
      </c>
    </row>
    <row r="66">
      <c r="A66" s="40" t="inlineStr">
        <is>
          <t>Germany</t>
        </is>
      </c>
      <c r="B66" s="40" t="inlineStr">
        <is>
          <t>Direct</t>
        </is>
      </c>
      <c r="C66" s="41">
        <f>IF(SUMIFS(Countries!$E$5:$E$434,Countries!$A$5:$A$434,"All landing pages",Countries!$B$5:$B$434,"Direct",Countries!$D$5:$D$434,$A66)=0,"",SUMIFS(Countries!$E$5:$E$434,Countries!$A$5:$A$434,"All landing pages",Countries!$B$5:$B$434,"Direct",Countries!$D$5:$D$434,$A66))</f>
        <v/>
      </c>
      <c r="D66" s="41">
        <f>IF(SUMIFS(Countries!$F$5:$F$434,Countries!$A$5:$A$434,"All landing pages",Countries!$B$5:$B$434,"Direct",Countries!$D$5:$D$434,$A66)=0,"",SUMIFS(Countries!$F$5:$F$434,Countries!$A$5:$A$434,"All landing pages",Countries!$B$5:$B$434,"Direct",Countries!$D$5:$D$434,$A66))</f>
        <v/>
      </c>
      <c r="E66" s="42">
        <f>IF(OR(C66="",D66="",D66=0,C66=0),"",D66/C66-1)</f>
        <v/>
      </c>
      <c r="F66" s="41">
        <f>IF(SUMIFS(Countries!$P$5:$P$434,Countries!$A$5:$A$434,"All landing pages",Countries!$B$5:$B$434,"Direct",Countries!$D$5:$D$434,$A66)=0,"",SUMIFS(Countries!$P$5:$P$434,Countries!$A$5:$A$434,"All landing pages",Countries!$B$5:$B$434,"Direct",Countries!$D$5:$D$434,$A66))</f>
        <v/>
      </c>
      <c r="G66" s="41">
        <f>IF(SUMIFS(Countries!$Q$5:$Q$434,Countries!$A$5:$A$434,"All landing pages",Countries!$B$5:$B$434,"Direct",Countries!$D$5:$D$434,$A66)=0,"",SUMIFS(Countries!$Q$5:$Q$434,Countries!$A$5:$A$434,"All landing pages",Countries!$B$5:$B$434,"Direct",Countries!$D$5:$D$434,$A66))</f>
        <v/>
      </c>
      <c r="H66" s="42">
        <f>IF(OR(F66="",G66="",G66=0,F66=0),"",G66/F66-1)</f>
        <v/>
      </c>
      <c r="I66" s="41">
        <f>IF(SUMIFS(Countries!$AR$5:$AR$434,Countries!$A$5:$A$434,"All landing pages",Countries!$B$5:$B$434,"Direct",Countries!$D$5:$D$434,$A66)=0,"",SUMIFS(Countries!$AR$5:$AR$434,Countries!$A$5:$A$434,"All landing pages",Countries!$B$5:$B$434,"Direct",Countries!$D$5:$D$434,$A66))</f>
        <v/>
      </c>
      <c r="J66" s="41">
        <f>IF(SUMIFS(Countries!$AS$5:$AS$434,Countries!$A$5:$A$434,"All landing pages",Countries!$B$5:$B$434,"Direct",Countries!$D$5:$D$434,$A66)=0,"",SUMIFS(Countries!$AS$5:$AS$434,Countries!$A$5:$A$434,"All landing pages",Countries!$B$5:$B$434,"Direct",Countries!$D$5:$D$434,$A66))</f>
        <v/>
      </c>
      <c r="K66" s="42">
        <f>IF(OR(I66="",J66="",J66=0,I66=0),"",J66/I66-1)</f>
        <v/>
      </c>
      <c r="L66" s="43">
        <f>IF(SUMIFS(Countries!$E$5:$E$434,Countries!$A$5:$A$434,"All landing pages",Countries!$B$5:$B$434,"Direct",Countries!$D$5:$D$434,$A66,Countries!$P$5:$P$434,"&gt;0")=0,"",SUMIFS(Countries!$P$5:$P$434,Countries!$A$5:$A$434,"All landing pages",Countries!$B$5:$B$434,"Direct",Countries!$D$5:$D$434,$A66,Countries!$E$5:$E$434,"&gt;0")/SUMIFS(Countries!$E$5:$E$434,Countries!$A$5:$A$434,"All landing pages",Countries!$B$5:$B$434,"Direct",Countries!$D$5:$D$434,$A66,Countries!$P$5:$P$434,"&gt;0"))</f>
        <v/>
      </c>
      <c r="M66" s="43">
        <f>IF(SUMIFS(Countries!$F$5:$F$434,Countries!$A$5:$A$434,"All landing pages",Countries!$B$5:$B$434,"Direct",Countries!$D$5:$D$434,$A66,Countries!$Q$5:$Q$434,"&gt;0")=0,"",SUMIFS(Countries!$Q$5:$Q$434,Countries!$A$5:$A$434,"All landing pages",Countries!$B$5:$B$434,"Direct",Countries!$D$5:$D$434,$A66,Countries!$F$5:$F$434,"&gt;0")/SUMIFS(Countries!$F$5:$F$434,Countries!$A$5:$A$434,"All landing pages",Countries!$B$5:$B$434,"Direct",Countries!$D$5:$D$434,$A66,Countries!$Q$5:$Q$434,"&gt;0"))</f>
        <v/>
      </c>
      <c r="N66" s="44">
        <f>IF(OR(L66="",M66=""),"",(M66-L66)*100)</f>
        <v/>
      </c>
      <c r="O66" s="45">
        <f>IF(SUMIFS(Countries!$P$5:$P$434,Countries!$A$5:$A$434,"All landing pages",Countries!$B$5:$B$434,"Direct",Countries!$D$5:$D$434,$A66,Countries!$AR$5:$AR$434,"&gt;0")=0,"",SUMIFS(Countries!$AR$5:$AR$434,Countries!$A$5:$A$434,"All landing pages",Countries!$B$5:$B$434,"Direct",Countries!$D$5:$D$434,$A66,Countries!$P$5:$P$434,"&gt;0")/SUMIFS(Countries!$P$5:$P$434,Countries!$A$5:$A$434,"All landing pages",Countries!$B$5:$B$434,"Direct",Countries!$D$5:$D$434,$A66,Countries!$AR$5:$AR$434,"&gt;0"))</f>
        <v/>
      </c>
      <c r="P66" s="45">
        <f>IF(SUMIFS(Countries!$Q$5:$Q$434,Countries!$A$5:$A$434,"All landing pages",Countries!$B$5:$B$434,"Direct",Countries!$D$5:$D$434,$A66,Countries!$AS$5:$AS$434,"&gt;0")=0,"",SUMIFS(Countries!$AS$5:$AS$434,Countries!$A$5:$A$434,"All landing pages",Countries!$B$5:$B$434,"Direct",Countries!$D$5:$D$434,$A66,Countries!$Q$5:$Q$434,"&gt;0")/SUMIFS(Countries!$Q$5:$Q$434,Countries!$A$5:$A$434,"All landing pages",Countries!$B$5:$B$434,"Direct",Countries!$D$5:$D$434,$A66,Countries!$AS$5:$AS$434,"&gt;0"))</f>
        <v/>
      </c>
      <c r="Q66" s="44">
        <f>IF(OR(O66="",P66=""),"",(P66-O66)*100)</f>
        <v/>
      </c>
      <c r="R66" s="45">
        <f>IF(SUMIFS(Countries!$E$5:$E$434,Countries!$A$5:$A$434,"All landing pages",Countries!$B$5:$B$434,"Direct",Countries!$D$5:$D$434,$A66,Countries!$AR$5:$AR$434,"&gt;0")=0,"",SUMIFS(Countries!$AR$5:$AR$434,Countries!$A$5:$A$434,"All landing pages",Countries!$B$5:$B$434,"Direct",Countries!$D$5:$D$434,$A66,Countries!$E$5:$E$434,"&gt;0")/SUMIFS(Countries!$E$5:$E$434,Countries!$A$5:$A$434,"All landing pages",Countries!$B$5:$B$434,"Direct",Countries!$D$5:$D$434,$A66,Countries!$AR$5:$AR$434,"&gt;0"))</f>
        <v/>
      </c>
      <c r="S66" s="45">
        <f>IF(SUMIFS(Countries!$F$5:$F$434,Countries!$A$5:$A$434,"All landing pages",Countries!$B$5:$B$434,"Direct",Countries!$D$5:$D$434,$A66,Countries!$AS$5:$AS$434,"&gt;0")=0,"",SUMIFS(Countries!$AS$5:$AS$434,Countries!$A$5:$A$434,"All landing pages",Countries!$B$5:$B$434,"Direct",Countries!$D$5:$D$434,$A66,Countries!$F$5:$F$434,"&gt;0")/SUMIFS(Countries!$F$5:$F$434,Countries!$A$5:$A$434,"All landing pages",Countries!$B$5:$B$434,"Direct",Countries!$D$5:$D$434,$A66,Countries!$AS$5:$AS$434,"&gt;0"))</f>
        <v/>
      </c>
      <c r="T66" s="44">
        <f>IF(OR(R66="",S66=""),"",(S66-R66)*100)</f>
        <v/>
      </c>
    </row>
    <row r="67">
      <c r="A67" s="40" t="inlineStr">
        <is>
          <t>Italy</t>
        </is>
      </c>
      <c r="B67" s="40" t="inlineStr">
        <is>
          <t>Direct</t>
        </is>
      </c>
      <c r="C67" s="41">
        <f>IF(SUMIFS(Countries!$E$5:$E$434,Countries!$A$5:$A$434,"All landing pages",Countries!$B$5:$B$434,"Direct",Countries!$D$5:$D$434,$A67)=0,"",SUMIFS(Countries!$E$5:$E$434,Countries!$A$5:$A$434,"All landing pages",Countries!$B$5:$B$434,"Direct",Countries!$D$5:$D$434,$A67))</f>
        <v/>
      </c>
      <c r="D67" s="41">
        <f>IF(SUMIFS(Countries!$F$5:$F$434,Countries!$A$5:$A$434,"All landing pages",Countries!$B$5:$B$434,"Direct",Countries!$D$5:$D$434,$A67)=0,"",SUMIFS(Countries!$F$5:$F$434,Countries!$A$5:$A$434,"All landing pages",Countries!$B$5:$B$434,"Direct",Countries!$D$5:$D$434,$A67))</f>
        <v/>
      </c>
      <c r="E67" s="42">
        <f>IF(OR(C67="",D67="",D67=0,C67=0),"",D67/C67-1)</f>
        <v/>
      </c>
      <c r="F67" s="41">
        <f>IF(SUMIFS(Countries!$P$5:$P$434,Countries!$A$5:$A$434,"All landing pages",Countries!$B$5:$B$434,"Direct",Countries!$D$5:$D$434,$A67)=0,"",SUMIFS(Countries!$P$5:$P$434,Countries!$A$5:$A$434,"All landing pages",Countries!$B$5:$B$434,"Direct",Countries!$D$5:$D$434,$A67))</f>
        <v/>
      </c>
      <c r="G67" s="41">
        <f>IF(SUMIFS(Countries!$Q$5:$Q$434,Countries!$A$5:$A$434,"All landing pages",Countries!$B$5:$B$434,"Direct",Countries!$D$5:$D$434,$A67)=0,"",SUMIFS(Countries!$Q$5:$Q$434,Countries!$A$5:$A$434,"All landing pages",Countries!$B$5:$B$434,"Direct",Countries!$D$5:$D$434,$A67))</f>
        <v/>
      </c>
      <c r="H67" s="42">
        <f>IF(OR(F67="",G67="",G67=0,F67=0),"",G67/F67-1)</f>
        <v/>
      </c>
      <c r="I67" s="41">
        <f>IF(SUMIFS(Countries!$AR$5:$AR$434,Countries!$A$5:$A$434,"All landing pages",Countries!$B$5:$B$434,"Direct",Countries!$D$5:$D$434,$A67)=0,"",SUMIFS(Countries!$AR$5:$AR$434,Countries!$A$5:$A$434,"All landing pages",Countries!$B$5:$B$434,"Direct",Countries!$D$5:$D$434,$A67))</f>
        <v/>
      </c>
      <c r="J67" s="41">
        <f>IF(SUMIFS(Countries!$AS$5:$AS$434,Countries!$A$5:$A$434,"All landing pages",Countries!$B$5:$B$434,"Direct",Countries!$D$5:$D$434,$A67)=0,"",SUMIFS(Countries!$AS$5:$AS$434,Countries!$A$5:$A$434,"All landing pages",Countries!$B$5:$B$434,"Direct",Countries!$D$5:$D$434,$A67))</f>
        <v/>
      </c>
      <c r="K67" s="42">
        <f>IF(OR(I67="",J67="",J67=0,I67=0),"",J67/I67-1)</f>
        <v/>
      </c>
      <c r="L67" s="43">
        <f>IF(SUMIFS(Countries!$E$5:$E$434,Countries!$A$5:$A$434,"All landing pages",Countries!$B$5:$B$434,"Direct",Countries!$D$5:$D$434,$A67,Countries!$P$5:$P$434,"&gt;0")=0,"",SUMIFS(Countries!$P$5:$P$434,Countries!$A$5:$A$434,"All landing pages",Countries!$B$5:$B$434,"Direct",Countries!$D$5:$D$434,$A67,Countries!$E$5:$E$434,"&gt;0")/SUMIFS(Countries!$E$5:$E$434,Countries!$A$5:$A$434,"All landing pages",Countries!$B$5:$B$434,"Direct",Countries!$D$5:$D$434,$A67,Countries!$P$5:$P$434,"&gt;0"))</f>
        <v/>
      </c>
      <c r="M67" s="43">
        <f>IF(SUMIFS(Countries!$F$5:$F$434,Countries!$A$5:$A$434,"All landing pages",Countries!$B$5:$B$434,"Direct",Countries!$D$5:$D$434,$A67,Countries!$Q$5:$Q$434,"&gt;0")=0,"",SUMIFS(Countries!$Q$5:$Q$434,Countries!$A$5:$A$434,"All landing pages",Countries!$B$5:$B$434,"Direct",Countries!$D$5:$D$434,$A67,Countries!$F$5:$F$434,"&gt;0")/SUMIFS(Countries!$F$5:$F$434,Countries!$A$5:$A$434,"All landing pages",Countries!$B$5:$B$434,"Direct",Countries!$D$5:$D$434,$A67,Countries!$Q$5:$Q$434,"&gt;0"))</f>
        <v/>
      </c>
      <c r="N67" s="44">
        <f>IF(OR(L67="",M67=""),"",(M67-L67)*100)</f>
        <v/>
      </c>
      <c r="O67" s="45">
        <f>IF(SUMIFS(Countries!$P$5:$P$434,Countries!$A$5:$A$434,"All landing pages",Countries!$B$5:$B$434,"Direct",Countries!$D$5:$D$434,$A67,Countries!$AR$5:$AR$434,"&gt;0")=0,"",SUMIFS(Countries!$AR$5:$AR$434,Countries!$A$5:$A$434,"All landing pages",Countries!$B$5:$B$434,"Direct",Countries!$D$5:$D$434,$A67,Countries!$P$5:$P$434,"&gt;0")/SUMIFS(Countries!$P$5:$P$434,Countries!$A$5:$A$434,"All landing pages",Countries!$B$5:$B$434,"Direct",Countries!$D$5:$D$434,$A67,Countries!$AR$5:$AR$434,"&gt;0"))</f>
        <v/>
      </c>
      <c r="P67" s="45">
        <f>IF(SUMIFS(Countries!$Q$5:$Q$434,Countries!$A$5:$A$434,"All landing pages",Countries!$B$5:$B$434,"Direct",Countries!$D$5:$D$434,$A67,Countries!$AS$5:$AS$434,"&gt;0")=0,"",SUMIFS(Countries!$AS$5:$AS$434,Countries!$A$5:$A$434,"All landing pages",Countries!$B$5:$B$434,"Direct",Countries!$D$5:$D$434,$A67,Countries!$Q$5:$Q$434,"&gt;0")/SUMIFS(Countries!$Q$5:$Q$434,Countries!$A$5:$A$434,"All landing pages",Countries!$B$5:$B$434,"Direct",Countries!$D$5:$D$434,$A67,Countries!$AS$5:$AS$434,"&gt;0"))</f>
        <v/>
      </c>
      <c r="Q67" s="44">
        <f>IF(OR(O67="",P67=""),"",(P67-O67)*100)</f>
        <v/>
      </c>
      <c r="R67" s="45">
        <f>IF(SUMIFS(Countries!$E$5:$E$434,Countries!$A$5:$A$434,"All landing pages",Countries!$B$5:$B$434,"Direct",Countries!$D$5:$D$434,$A67,Countries!$AR$5:$AR$434,"&gt;0")=0,"",SUMIFS(Countries!$AR$5:$AR$434,Countries!$A$5:$A$434,"All landing pages",Countries!$B$5:$B$434,"Direct",Countries!$D$5:$D$434,$A67,Countries!$E$5:$E$434,"&gt;0")/SUMIFS(Countries!$E$5:$E$434,Countries!$A$5:$A$434,"All landing pages",Countries!$B$5:$B$434,"Direct",Countries!$D$5:$D$434,$A67,Countries!$AR$5:$AR$434,"&gt;0"))</f>
        <v/>
      </c>
      <c r="S67" s="45">
        <f>IF(SUMIFS(Countries!$F$5:$F$434,Countries!$A$5:$A$434,"All landing pages",Countries!$B$5:$B$434,"Direct",Countries!$D$5:$D$434,$A67,Countries!$AS$5:$AS$434,"&gt;0")=0,"",SUMIFS(Countries!$AS$5:$AS$434,Countries!$A$5:$A$434,"All landing pages",Countries!$B$5:$B$434,"Direct",Countries!$D$5:$D$434,$A67,Countries!$F$5:$F$434,"&gt;0")/SUMIFS(Countries!$F$5:$F$434,Countries!$A$5:$A$434,"All landing pages",Countries!$B$5:$B$434,"Direct",Countries!$D$5:$D$434,$A67,Countries!$AS$5:$AS$434,"&gt;0"))</f>
        <v/>
      </c>
      <c r="T67" s="44">
        <f>IF(OR(R67="",S67=""),"",(S67-R67)*100)</f>
        <v/>
      </c>
    </row>
    <row r="68">
      <c r="A68" s="40" t="inlineStr">
        <is>
          <t>Spain</t>
        </is>
      </c>
      <c r="B68" s="40" t="inlineStr">
        <is>
          <t>Direct</t>
        </is>
      </c>
      <c r="C68" s="41">
        <f>IF(SUMIFS(Countries!$E$5:$E$434,Countries!$A$5:$A$434,"All landing pages",Countries!$B$5:$B$434,"Direct",Countries!$D$5:$D$434,$A68)=0,"",SUMIFS(Countries!$E$5:$E$434,Countries!$A$5:$A$434,"All landing pages",Countries!$B$5:$B$434,"Direct",Countries!$D$5:$D$434,$A68))</f>
        <v/>
      </c>
      <c r="D68" s="41">
        <f>IF(SUMIFS(Countries!$F$5:$F$434,Countries!$A$5:$A$434,"All landing pages",Countries!$B$5:$B$434,"Direct",Countries!$D$5:$D$434,$A68)=0,"",SUMIFS(Countries!$F$5:$F$434,Countries!$A$5:$A$434,"All landing pages",Countries!$B$5:$B$434,"Direct",Countries!$D$5:$D$434,$A68))</f>
        <v/>
      </c>
      <c r="E68" s="42">
        <f>IF(OR(C68="",D68="",D68=0,C68=0),"",D68/C68-1)</f>
        <v/>
      </c>
      <c r="F68" s="41">
        <f>IF(SUMIFS(Countries!$P$5:$P$434,Countries!$A$5:$A$434,"All landing pages",Countries!$B$5:$B$434,"Direct",Countries!$D$5:$D$434,$A68)=0,"",SUMIFS(Countries!$P$5:$P$434,Countries!$A$5:$A$434,"All landing pages",Countries!$B$5:$B$434,"Direct",Countries!$D$5:$D$434,$A68))</f>
        <v/>
      </c>
      <c r="G68" s="41">
        <f>IF(SUMIFS(Countries!$Q$5:$Q$434,Countries!$A$5:$A$434,"All landing pages",Countries!$B$5:$B$434,"Direct",Countries!$D$5:$D$434,$A68)=0,"",SUMIFS(Countries!$Q$5:$Q$434,Countries!$A$5:$A$434,"All landing pages",Countries!$B$5:$B$434,"Direct",Countries!$D$5:$D$434,$A68))</f>
        <v/>
      </c>
      <c r="H68" s="42">
        <f>IF(OR(F68="",G68="",G68=0,F68=0),"",G68/F68-1)</f>
        <v/>
      </c>
      <c r="I68" s="41">
        <f>IF(SUMIFS(Countries!$AR$5:$AR$434,Countries!$A$5:$A$434,"All landing pages",Countries!$B$5:$B$434,"Direct",Countries!$D$5:$D$434,$A68)=0,"",SUMIFS(Countries!$AR$5:$AR$434,Countries!$A$5:$A$434,"All landing pages",Countries!$B$5:$B$434,"Direct",Countries!$D$5:$D$434,$A68))</f>
        <v/>
      </c>
      <c r="J68" s="41">
        <f>IF(SUMIFS(Countries!$AS$5:$AS$434,Countries!$A$5:$A$434,"All landing pages",Countries!$B$5:$B$434,"Direct",Countries!$D$5:$D$434,$A68)=0,"",SUMIFS(Countries!$AS$5:$AS$434,Countries!$A$5:$A$434,"All landing pages",Countries!$B$5:$B$434,"Direct",Countries!$D$5:$D$434,$A68))</f>
        <v/>
      </c>
      <c r="K68" s="42">
        <f>IF(OR(I68="",J68="",J68=0,I68=0),"",J68/I68-1)</f>
        <v/>
      </c>
      <c r="L68" s="43">
        <f>IF(SUMIFS(Countries!$E$5:$E$434,Countries!$A$5:$A$434,"All landing pages",Countries!$B$5:$B$434,"Direct",Countries!$D$5:$D$434,$A68,Countries!$P$5:$P$434,"&gt;0")=0,"",SUMIFS(Countries!$P$5:$P$434,Countries!$A$5:$A$434,"All landing pages",Countries!$B$5:$B$434,"Direct",Countries!$D$5:$D$434,$A68,Countries!$E$5:$E$434,"&gt;0")/SUMIFS(Countries!$E$5:$E$434,Countries!$A$5:$A$434,"All landing pages",Countries!$B$5:$B$434,"Direct",Countries!$D$5:$D$434,$A68,Countries!$P$5:$P$434,"&gt;0"))</f>
        <v/>
      </c>
      <c r="M68" s="43">
        <f>IF(SUMIFS(Countries!$F$5:$F$434,Countries!$A$5:$A$434,"All landing pages",Countries!$B$5:$B$434,"Direct",Countries!$D$5:$D$434,$A68,Countries!$Q$5:$Q$434,"&gt;0")=0,"",SUMIFS(Countries!$Q$5:$Q$434,Countries!$A$5:$A$434,"All landing pages",Countries!$B$5:$B$434,"Direct",Countries!$D$5:$D$434,$A68,Countries!$F$5:$F$434,"&gt;0")/SUMIFS(Countries!$F$5:$F$434,Countries!$A$5:$A$434,"All landing pages",Countries!$B$5:$B$434,"Direct",Countries!$D$5:$D$434,$A68,Countries!$Q$5:$Q$434,"&gt;0"))</f>
        <v/>
      </c>
      <c r="N68" s="44">
        <f>IF(OR(L68="",M68=""),"",(M68-L68)*100)</f>
        <v/>
      </c>
      <c r="O68" s="45">
        <f>IF(SUMIFS(Countries!$P$5:$P$434,Countries!$A$5:$A$434,"All landing pages",Countries!$B$5:$B$434,"Direct",Countries!$D$5:$D$434,$A68,Countries!$AR$5:$AR$434,"&gt;0")=0,"",SUMIFS(Countries!$AR$5:$AR$434,Countries!$A$5:$A$434,"All landing pages",Countries!$B$5:$B$434,"Direct",Countries!$D$5:$D$434,$A68,Countries!$P$5:$P$434,"&gt;0")/SUMIFS(Countries!$P$5:$P$434,Countries!$A$5:$A$434,"All landing pages",Countries!$B$5:$B$434,"Direct",Countries!$D$5:$D$434,$A68,Countries!$AR$5:$AR$434,"&gt;0"))</f>
        <v/>
      </c>
      <c r="P68" s="45">
        <f>IF(SUMIFS(Countries!$Q$5:$Q$434,Countries!$A$5:$A$434,"All landing pages",Countries!$B$5:$B$434,"Direct",Countries!$D$5:$D$434,$A68,Countries!$AS$5:$AS$434,"&gt;0")=0,"",SUMIFS(Countries!$AS$5:$AS$434,Countries!$A$5:$A$434,"All landing pages",Countries!$B$5:$B$434,"Direct",Countries!$D$5:$D$434,$A68,Countries!$Q$5:$Q$434,"&gt;0")/SUMIFS(Countries!$Q$5:$Q$434,Countries!$A$5:$A$434,"All landing pages",Countries!$B$5:$B$434,"Direct",Countries!$D$5:$D$434,$A68,Countries!$AS$5:$AS$434,"&gt;0"))</f>
        <v/>
      </c>
      <c r="Q68" s="44">
        <f>IF(OR(O68="",P68=""),"",(P68-O68)*100)</f>
        <v/>
      </c>
      <c r="R68" s="45">
        <f>IF(SUMIFS(Countries!$E$5:$E$434,Countries!$A$5:$A$434,"All landing pages",Countries!$B$5:$B$434,"Direct",Countries!$D$5:$D$434,$A68,Countries!$AR$5:$AR$434,"&gt;0")=0,"",SUMIFS(Countries!$AR$5:$AR$434,Countries!$A$5:$A$434,"All landing pages",Countries!$B$5:$B$434,"Direct",Countries!$D$5:$D$434,$A68,Countries!$E$5:$E$434,"&gt;0")/SUMIFS(Countries!$E$5:$E$434,Countries!$A$5:$A$434,"All landing pages",Countries!$B$5:$B$434,"Direct",Countries!$D$5:$D$434,$A68,Countries!$AR$5:$AR$434,"&gt;0"))</f>
        <v/>
      </c>
      <c r="S68" s="45">
        <f>IF(SUMIFS(Countries!$F$5:$F$434,Countries!$A$5:$A$434,"All landing pages",Countries!$B$5:$B$434,"Direct",Countries!$D$5:$D$434,$A68,Countries!$AS$5:$AS$434,"&gt;0")=0,"",SUMIFS(Countries!$AS$5:$AS$434,Countries!$A$5:$A$434,"All landing pages",Countries!$B$5:$B$434,"Direct",Countries!$D$5:$D$434,$A68,Countries!$F$5:$F$434,"&gt;0")/SUMIFS(Countries!$F$5:$F$434,Countries!$A$5:$A$434,"All landing pages",Countries!$B$5:$B$434,"Direct",Countries!$D$5:$D$434,$A68,Countries!$AS$5:$AS$434,"&gt;0"))</f>
        <v/>
      </c>
      <c r="T68" s="44">
        <f>IF(OR(R68="",S68=""),"",(S68-R68)*100)</f>
        <v/>
      </c>
    </row>
    <row r="69">
      <c r="A69" s="40" t="inlineStr">
        <is>
          <t>Ireland</t>
        </is>
      </c>
      <c r="B69" s="40" t="inlineStr">
        <is>
          <t>Direct</t>
        </is>
      </c>
      <c r="C69" s="41">
        <f>IF(SUMIFS(Countries!$E$5:$E$434,Countries!$A$5:$A$434,"All landing pages",Countries!$B$5:$B$434,"Direct",Countries!$D$5:$D$434,$A69)=0,"",SUMIFS(Countries!$E$5:$E$434,Countries!$A$5:$A$434,"All landing pages",Countries!$B$5:$B$434,"Direct",Countries!$D$5:$D$434,$A69))</f>
        <v/>
      </c>
      <c r="D69" s="41">
        <f>IF(SUMIFS(Countries!$F$5:$F$434,Countries!$A$5:$A$434,"All landing pages",Countries!$B$5:$B$434,"Direct",Countries!$D$5:$D$434,$A69)=0,"",SUMIFS(Countries!$F$5:$F$434,Countries!$A$5:$A$434,"All landing pages",Countries!$B$5:$B$434,"Direct",Countries!$D$5:$D$434,$A69))</f>
        <v/>
      </c>
      <c r="E69" s="42">
        <f>IF(OR(C69="",D69="",D69=0,C69=0),"",D69/C69-1)</f>
        <v/>
      </c>
      <c r="F69" s="41">
        <f>IF(SUMIFS(Countries!$P$5:$P$434,Countries!$A$5:$A$434,"All landing pages",Countries!$B$5:$B$434,"Direct",Countries!$D$5:$D$434,$A69)=0,"",SUMIFS(Countries!$P$5:$P$434,Countries!$A$5:$A$434,"All landing pages",Countries!$B$5:$B$434,"Direct",Countries!$D$5:$D$434,$A69))</f>
        <v/>
      </c>
      <c r="G69" s="41">
        <f>IF(SUMIFS(Countries!$Q$5:$Q$434,Countries!$A$5:$A$434,"All landing pages",Countries!$B$5:$B$434,"Direct",Countries!$D$5:$D$434,$A69)=0,"",SUMIFS(Countries!$Q$5:$Q$434,Countries!$A$5:$A$434,"All landing pages",Countries!$B$5:$B$434,"Direct",Countries!$D$5:$D$434,$A69))</f>
        <v/>
      </c>
      <c r="H69" s="42">
        <f>IF(OR(F69="",G69="",G69=0,F69=0),"",G69/F69-1)</f>
        <v/>
      </c>
      <c r="I69" s="41">
        <f>IF(SUMIFS(Countries!$AR$5:$AR$434,Countries!$A$5:$A$434,"All landing pages",Countries!$B$5:$B$434,"Direct",Countries!$D$5:$D$434,$A69)=0,"",SUMIFS(Countries!$AR$5:$AR$434,Countries!$A$5:$A$434,"All landing pages",Countries!$B$5:$B$434,"Direct",Countries!$D$5:$D$434,$A69))</f>
        <v/>
      </c>
      <c r="J69" s="41">
        <f>IF(SUMIFS(Countries!$AS$5:$AS$434,Countries!$A$5:$A$434,"All landing pages",Countries!$B$5:$B$434,"Direct",Countries!$D$5:$D$434,$A69)=0,"",SUMIFS(Countries!$AS$5:$AS$434,Countries!$A$5:$A$434,"All landing pages",Countries!$B$5:$B$434,"Direct",Countries!$D$5:$D$434,$A69))</f>
        <v/>
      </c>
      <c r="K69" s="42">
        <f>IF(OR(I69="",J69="",J69=0,I69=0),"",J69/I69-1)</f>
        <v/>
      </c>
      <c r="L69" s="43">
        <f>IF(SUMIFS(Countries!$E$5:$E$434,Countries!$A$5:$A$434,"All landing pages",Countries!$B$5:$B$434,"Direct",Countries!$D$5:$D$434,$A69,Countries!$P$5:$P$434,"&gt;0")=0,"",SUMIFS(Countries!$P$5:$P$434,Countries!$A$5:$A$434,"All landing pages",Countries!$B$5:$B$434,"Direct",Countries!$D$5:$D$434,$A69,Countries!$E$5:$E$434,"&gt;0")/SUMIFS(Countries!$E$5:$E$434,Countries!$A$5:$A$434,"All landing pages",Countries!$B$5:$B$434,"Direct",Countries!$D$5:$D$434,$A69,Countries!$P$5:$P$434,"&gt;0"))</f>
        <v/>
      </c>
      <c r="M69" s="43">
        <f>IF(SUMIFS(Countries!$F$5:$F$434,Countries!$A$5:$A$434,"All landing pages",Countries!$B$5:$B$434,"Direct",Countries!$D$5:$D$434,$A69,Countries!$Q$5:$Q$434,"&gt;0")=0,"",SUMIFS(Countries!$Q$5:$Q$434,Countries!$A$5:$A$434,"All landing pages",Countries!$B$5:$B$434,"Direct",Countries!$D$5:$D$434,$A69,Countries!$F$5:$F$434,"&gt;0")/SUMIFS(Countries!$F$5:$F$434,Countries!$A$5:$A$434,"All landing pages",Countries!$B$5:$B$434,"Direct",Countries!$D$5:$D$434,$A69,Countries!$Q$5:$Q$434,"&gt;0"))</f>
        <v/>
      </c>
      <c r="N69" s="44">
        <f>IF(OR(L69="",M69=""),"",(M69-L69)*100)</f>
        <v/>
      </c>
      <c r="O69" s="45">
        <f>IF(SUMIFS(Countries!$P$5:$P$434,Countries!$A$5:$A$434,"All landing pages",Countries!$B$5:$B$434,"Direct",Countries!$D$5:$D$434,$A69,Countries!$AR$5:$AR$434,"&gt;0")=0,"",SUMIFS(Countries!$AR$5:$AR$434,Countries!$A$5:$A$434,"All landing pages",Countries!$B$5:$B$434,"Direct",Countries!$D$5:$D$434,$A69,Countries!$P$5:$P$434,"&gt;0")/SUMIFS(Countries!$P$5:$P$434,Countries!$A$5:$A$434,"All landing pages",Countries!$B$5:$B$434,"Direct",Countries!$D$5:$D$434,$A69,Countries!$AR$5:$AR$434,"&gt;0"))</f>
        <v/>
      </c>
      <c r="P69" s="45">
        <f>IF(SUMIFS(Countries!$Q$5:$Q$434,Countries!$A$5:$A$434,"All landing pages",Countries!$B$5:$B$434,"Direct",Countries!$D$5:$D$434,$A69,Countries!$AS$5:$AS$434,"&gt;0")=0,"",SUMIFS(Countries!$AS$5:$AS$434,Countries!$A$5:$A$434,"All landing pages",Countries!$B$5:$B$434,"Direct",Countries!$D$5:$D$434,$A69,Countries!$Q$5:$Q$434,"&gt;0")/SUMIFS(Countries!$Q$5:$Q$434,Countries!$A$5:$A$434,"All landing pages",Countries!$B$5:$B$434,"Direct",Countries!$D$5:$D$434,$A69,Countries!$AS$5:$AS$434,"&gt;0"))</f>
        <v/>
      </c>
      <c r="Q69" s="44">
        <f>IF(OR(O69="",P69=""),"",(P69-O69)*100)</f>
        <v/>
      </c>
      <c r="R69" s="45">
        <f>IF(SUMIFS(Countries!$E$5:$E$434,Countries!$A$5:$A$434,"All landing pages",Countries!$B$5:$B$434,"Direct",Countries!$D$5:$D$434,$A69,Countries!$AR$5:$AR$434,"&gt;0")=0,"",SUMIFS(Countries!$AR$5:$AR$434,Countries!$A$5:$A$434,"All landing pages",Countries!$B$5:$B$434,"Direct",Countries!$D$5:$D$434,$A69,Countries!$E$5:$E$434,"&gt;0")/SUMIFS(Countries!$E$5:$E$434,Countries!$A$5:$A$434,"All landing pages",Countries!$B$5:$B$434,"Direct",Countries!$D$5:$D$434,$A69,Countries!$AR$5:$AR$434,"&gt;0"))</f>
        <v/>
      </c>
      <c r="S69" s="45">
        <f>IF(SUMIFS(Countries!$F$5:$F$434,Countries!$A$5:$A$434,"All landing pages",Countries!$B$5:$B$434,"Direct",Countries!$D$5:$D$434,$A69,Countries!$AS$5:$AS$434,"&gt;0")=0,"",SUMIFS(Countries!$AS$5:$AS$434,Countries!$A$5:$A$434,"All landing pages",Countries!$B$5:$B$434,"Direct",Countries!$D$5:$D$434,$A69,Countries!$F$5:$F$434,"&gt;0")/SUMIFS(Countries!$F$5:$F$434,Countries!$A$5:$A$434,"All landing pages",Countries!$B$5:$B$434,"Direct",Countries!$D$5:$D$434,$A69,Countries!$AS$5:$AS$434,"&gt;0"))</f>
        <v/>
      </c>
      <c r="T69" s="44">
        <f>IF(OR(R69="",S69=""),"",(S69-R69)*100)</f>
        <v/>
      </c>
    </row>
    <row r="70">
      <c r="A70" s="40" t="inlineStr">
        <is>
          <t>Netherlands</t>
        </is>
      </c>
      <c r="B70" s="40" t="inlineStr">
        <is>
          <t>Direct</t>
        </is>
      </c>
      <c r="C70" s="41">
        <f>IF(SUMIFS(Countries!$E$5:$E$434,Countries!$A$5:$A$434,"All landing pages",Countries!$B$5:$B$434,"Direct",Countries!$D$5:$D$434,$A70)=0,"",SUMIFS(Countries!$E$5:$E$434,Countries!$A$5:$A$434,"All landing pages",Countries!$B$5:$B$434,"Direct",Countries!$D$5:$D$434,$A70))</f>
        <v/>
      </c>
      <c r="D70" s="41">
        <f>IF(SUMIFS(Countries!$F$5:$F$434,Countries!$A$5:$A$434,"All landing pages",Countries!$B$5:$B$434,"Direct",Countries!$D$5:$D$434,$A70)=0,"",SUMIFS(Countries!$F$5:$F$434,Countries!$A$5:$A$434,"All landing pages",Countries!$B$5:$B$434,"Direct",Countries!$D$5:$D$434,$A70))</f>
        <v/>
      </c>
      <c r="E70" s="42">
        <f>IF(OR(C70="",D70="",D70=0,C70=0),"",D70/C70-1)</f>
        <v/>
      </c>
      <c r="F70" s="41">
        <f>IF(SUMIFS(Countries!$P$5:$P$434,Countries!$A$5:$A$434,"All landing pages",Countries!$B$5:$B$434,"Direct",Countries!$D$5:$D$434,$A70)=0,"",SUMIFS(Countries!$P$5:$P$434,Countries!$A$5:$A$434,"All landing pages",Countries!$B$5:$B$434,"Direct",Countries!$D$5:$D$434,$A70))</f>
        <v/>
      </c>
      <c r="G70" s="41">
        <f>IF(SUMIFS(Countries!$Q$5:$Q$434,Countries!$A$5:$A$434,"All landing pages",Countries!$B$5:$B$434,"Direct",Countries!$D$5:$D$434,$A70)=0,"",SUMIFS(Countries!$Q$5:$Q$434,Countries!$A$5:$A$434,"All landing pages",Countries!$B$5:$B$434,"Direct",Countries!$D$5:$D$434,$A70))</f>
        <v/>
      </c>
      <c r="H70" s="42">
        <f>IF(OR(F70="",G70="",G70=0,F70=0),"",G70/F70-1)</f>
        <v/>
      </c>
      <c r="I70" s="41">
        <f>IF(SUMIFS(Countries!$AR$5:$AR$434,Countries!$A$5:$A$434,"All landing pages",Countries!$B$5:$B$434,"Direct",Countries!$D$5:$D$434,$A70)=0,"",SUMIFS(Countries!$AR$5:$AR$434,Countries!$A$5:$A$434,"All landing pages",Countries!$B$5:$B$434,"Direct",Countries!$D$5:$D$434,$A70))</f>
        <v/>
      </c>
      <c r="J70" s="41">
        <f>IF(SUMIFS(Countries!$AS$5:$AS$434,Countries!$A$5:$A$434,"All landing pages",Countries!$B$5:$B$434,"Direct",Countries!$D$5:$D$434,$A70)=0,"",SUMIFS(Countries!$AS$5:$AS$434,Countries!$A$5:$A$434,"All landing pages",Countries!$B$5:$B$434,"Direct",Countries!$D$5:$D$434,$A70))</f>
        <v/>
      </c>
      <c r="K70" s="42">
        <f>IF(OR(I70="",J70="",J70=0,I70=0),"",J70/I70-1)</f>
        <v/>
      </c>
      <c r="L70" s="43">
        <f>IF(SUMIFS(Countries!$E$5:$E$434,Countries!$A$5:$A$434,"All landing pages",Countries!$B$5:$B$434,"Direct",Countries!$D$5:$D$434,$A70,Countries!$P$5:$P$434,"&gt;0")=0,"",SUMIFS(Countries!$P$5:$P$434,Countries!$A$5:$A$434,"All landing pages",Countries!$B$5:$B$434,"Direct",Countries!$D$5:$D$434,$A70,Countries!$E$5:$E$434,"&gt;0")/SUMIFS(Countries!$E$5:$E$434,Countries!$A$5:$A$434,"All landing pages",Countries!$B$5:$B$434,"Direct",Countries!$D$5:$D$434,$A70,Countries!$P$5:$P$434,"&gt;0"))</f>
        <v/>
      </c>
      <c r="M70" s="43">
        <f>IF(SUMIFS(Countries!$F$5:$F$434,Countries!$A$5:$A$434,"All landing pages",Countries!$B$5:$B$434,"Direct",Countries!$D$5:$D$434,$A70,Countries!$Q$5:$Q$434,"&gt;0")=0,"",SUMIFS(Countries!$Q$5:$Q$434,Countries!$A$5:$A$434,"All landing pages",Countries!$B$5:$B$434,"Direct",Countries!$D$5:$D$434,$A70,Countries!$F$5:$F$434,"&gt;0")/SUMIFS(Countries!$F$5:$F$434,Countries!$A$5:$A$434,"All landing pages",Countries!$B$5:$B$434,"Direct",Countries!$D$5:$D$434,$A70,Countries!$Q$5:$Q$434,"&gt;0"))</f>
        <v/>
      </c>
      <c r="N70" s="44">
        <f>IF(OR(L70="",M70=""),"",(M70-L70)*100)</f>
        <v/>
      </c>
      <c r="O70" s="45">
        <f>IF(SUMIFS(Countries!$P$5:$P$434,Countries!$A$5:$A$434,"All landing pages",Countries!$B$5:$B$434,"Direct",Countries!$D$5:$D$434,$A70,Countries!$AR$5:$AR$434,"&gt;0")=0,"",SUMIFS(Countries!$AR$5:$AR$434,Countries!$A$5:$A$434,"All landing pages",Countries!$B$5:$B$434,"Direct",Countries!$D$5:$D$434,$A70,Countries!$P$5:$P$434,"&gt;0")/SUMIFS(Countries!$P$5:$P$434,Countries!$A$5:$A$434,"All landing pages",Countries!$B$5:$B$434,"Direct",Countries!$D$5:$D$434,$A70,Countries!$AR$5:$AR$434,"&gt;0"))</f>
        <v/>
      </c>
      <c r="P70" s="45">
        <f>IF(SUMIFS(Countries!$Q$5:$Q$434,Countries!$A$5:$A$434,"All landing pages",Countries!$B$5:$B$434,"Direct",Countries!$D$5:$D$434,$A70,Countries!$AS$5:$AS$434,"&gt;0")=0,"",SUMIFS(Countries!$AS$5:$AS$434,Countries!$A$5:$A$434,"All landing pages",Countries!$B$5:$B$434,"Direct",Countries!$D$5:$D$434,$A70,Countries!$Q$5:$Q$434,"&gt;0")/SUMIFS(Countries!$Q$5:$Q$434,Countries!$A$5:$A$434,"All landing pages",Countries!$B$5:$B$434,"Direct",Countries!$D$5:$D$434,$A70,Countries!$AS$5:$AS$434,"&gt;0"))</f>
        <v/>
      </c>
      <c r="Q70" s="44">
        <f>IF(OR(O70="",P70=""),"",(P70-O70)*100)</f>
        <v/>
      </c>
      <c r="R70" s="45">
        <f>IF(SUMIFS(Countries!$E$5:$E$434,Countries!$A$5:$A$434,"All landing pages",Countries!$B$5:$B$434,"Direct",Countries!$D$5:$D$434,$A70,Countries!$AR$5:$AR$434,"&gt;0")=0,"",SUMIFS(Countries!$AR$5:$AR$434,Countries!$A$5:$A$434,"All landing pages",Countries!$B$5:$B$434,"Direct",Countries!$D$5:$D$434,$A70,Countries!$E$5:$E$434,"&gt;0")/SUMIFS(Countries!$E$5:$E$434,Countries!$A$5:$A$434,"All landing pages",Countries!$B$5:$B$434,"Direct",Countries!$D$5:$D$434,$A70,Countries!$AR$5:$AR$434,"&gt;0"))</f>
        <v/>
      </c>
      <c r="S70" s="45">
        <f>IF(SUMIFS(Countries!$F$5:$F$434,Countries!$A$5:$A$434,"All landing pages",Countries!$B$5:$B$434,"Direct",Countries!$D$5:$D$434,$A70,Countries!$AS$5:$AS$434,"&gt;0")=0,"",SUMIFS(Countries!$AS$5:$AS$434,Countries!$A$5:$A$434,"All landing pages",Countries!$B$5:$B$434,"Direct",Countries!$D$5:$D$434,$A70,Countries!$F$5:$F$434,"&gt;0")/SUMIFS(Countries!$F$5:$F$434,Countries!$A$5:$A$434,"All landing pages",Countries!$B$5:$B$434,"Direct",Countries!$D$5:$D$434,$A70,Countries!$AS$5:$AS$434,"&gt;0"))</f>
        <v/>
      </c>
      <c r="T70" s="44">
        <f>IF(OR(R70="",S70=""),"",(S70-R70)*100)</f>
        <v/>
      </c>
    </row>
    <row r="71">
      <c r="A71" s="40" t="inlineStr">
        <is>
          <t>France</t>
        </is>
      </c>
      <c r="B71" s="40" t="inlineStr">
        <is>
          <t>Direct</t>
        </is>
      </c>
      <c r="C71" s="41">
        <f>IF(SUMIFS(Countries!$E$5:$E$434,Countries!$A$5:$A$434,"All landing pages",Countries!$B$5:$B$434,"Direct",Countries!$D$5:$D$434,$A71)=0,"",SUMIFS(Countries!$E$5:$E$434,Countries!$A$5:$A$434,"All landing pages",Countries!$B$5:$B$434,"Direct",Countries!$D$5:$D$434,$A71))</f>
        <v/>
      </c>
      <c r="D71" s="41">
        <f>IF(SUMIFS(Countries!$F$5:$F$434,Countries!$A$5:$A$434,"All landing pages",Countries!$B$5:$B$434,"Direct",Countries!$D$5:$D$434,$A71)=0,"",SUMIFS(Countries!$F$5:$F$434,Countries!$A$5:$A$434,"All landing pages",Countries!$B$5:$B$434,"Direct",Countries!$D$5:$D$434,$A71))</f>
        <v/>
      </c>
      <c r="E71" s="42">
        <f>IF(OR(C71="",D71="",D71=0,C71=0),"",D71/C71-1)</f>
        <v/>
      </c>
      <c r="F71" s="41">
        <f>IF(SUMIFS(Countries!$P$5:$P$434,Countries!$A$5:$A$434,"All landing pages",Countries!$B$5:$B$434,"Direct",Countries!$D$5:$D$434,$A71)=0,"",SUMIFS(Countries!$P$5:$P$434,Countries!$A$5:$A$434,"All landing pages",Countries!$B$5:$B$434,"Direct",Countries!$D$5:$D$434,$A71))</f>
        <v/>
      </c>
      <c r="G71" s="41">
        <f>IF(SUMIFS(Countries!$Q$5:$Q$434,Countries!$A$5:$A$434,"All landing pages",Countries!$B$5:$B$434,"Direct",Countries!$D$5:$D$434,$A71)=0,"",SUMIFS(Countries!$Q$5:$Q$434,Countries!$A$5:$A$434,"All landing pages",Countries!$B$5:$B$434,"Direct",Countries!$D$5:$D$434,$A71))</f>
        <v/>
      </c>
      <c r="H71" s="42">
        <f>IF(OR(F71="",G71="",G71=0,F71=0),"",G71/F71-1)</f>
        <v/>
      </c>
      <c r="I71" s="41">
        <f>IF(SUMIFS(Countries!$AR$5:$AR$434,Countries!$A$5:$A$434,"All landing pages",Countries!$B$5:$B$434,"Direct",Countries!$D$5:$D$434,$A71)=0,"",SUMIFS(Countries!$AR$5:$AR$434,Countries!$A$5:$A$434,"All landing pages",Countries!$B$5:$B$434,"Direct",Countries!$D$5:$D$434,$A71))</f>
        <v/>
      </c>
      <c r="J71" s="41">
        <f>IF(SUMIFS(Countries!$AS$5:$AS$434,Countries!$A$5:$A$434,"All landing pages",Countries!$B$5:$B$434,"Direct",Countries!$D$5:$D$434,$A71)=0,"",SUMIFS(Countries!$AS$5:$AS$434,Countries!$A$5:$A$434,"All landing pages",Countries!$B$5:$B$434,"Direct",Countries!$D$5:$D$434,$A71))</f>
        <v/>
      </c>
      <c r="K71" s="42">
        <f>IF(OR(I71="",J71="",J71=0,I71=0),"",J71/I71-1)</f>
        <v/>
      </c>
      <c r="L71" s="43">
        <f>IF(SUMIFS(Countries!$E$5:$E$434,Countries!$A$5:$A$434,"All landing pages",Countries!$B$5:$B$434,"Direct",Countries!$D$5:$D$434,$A71,Countries!$P$5:$P$434,"&gt;0")=0,"",SUMIFS(Countries!$P$5:$P$434,Countries!$A$5:$A$434,"All landing pages",Countries!$B$5:$B$434,"Direct",Countries!$D$5:$D$434,$A71,Countries!$E$5:$E$434,"&gt;0")/SUMIFS(Countries!$E$5:$E$434,Countries!$A$5:$A$434,"All landing pages",Countries!$B$5:$B$434,"Direct",Countries!$D$5:$D$434,$A71,Countries!$P$5:$P$434,"&gt;0"))</f>
        <v/>
      </c>
      <c r="M71" s="43">
        <f>IF(SUMIFS(Countries!$F$5:$F$434,Countries!$A$5:$A$434,"All landing pages",Countries!$B$5:$B$434,"Direct",Countries!$D$5:$D$434,$A71,Countries!$Q$5:$Q$434,"&gt;0")=0,"",SUMIFS(Countries!$Q$5:$Q$434,Countries!$A$5:$A$434,"All landing pages",Countries!$B$5:$B$434,"Direct",Countries!$D$5:$D$434,$A71,Countries!$F$5:$F$434,"&gt;0")/SUMIFS(Countries!$F$5:$F$434,Countries!$A$5:$A$434,"All landing pages",Countries!$B$5:$B$434,"Direct",Countries!$D$5:$D$434,$A71,Countries!$Q$5:$Q$434,"&gt;0"))</f>
        <v/>
      </c>
      <c r="N71" s="44">
        <f>IF(OR(L71="",M71=""),"",(M71-L71)*100)</f>
        <v/>
      </c>
      <c r="O71" s="45">
        <f>IF(SUMIFS(Countries!$P$5:$P$434,Countries!$A$5:$A$434,"All landing pages",Countries!$B$5:$B$434,"Direct",Countries!$D$5:$D$434,$A71,Countries!$AR$5:$AR$434,"&gt;0")=0,"",SUMIFS(Countries!$AR$5:$AR$434,Countries!$A$5:$A$434,"All landing pages",Countries!$B$5:$B$434,"Direct",Countries!$D$5:$D$434,$A71,Countries!$P$5:$P$434,"&gt;0")/SUMIFS(Countries!$P$5:$P$434,Countries!$A$5:$A$434,"All landing pages",Countries!$B$5:$B$434,"Direct",Countries!$D$5:$D$434,$A71,Countries!$AR$5:$AR$434,"&gt;0"))</f>
        <v/>
      </c>
      <c r="P71" s="45">
        <f>IF(SUMIFS(Countries!$Q$5:$Q$434,Countries!$A$5:$A$434,"All landing pages",Countries!$B$5:$B$434,"Direct",Countries!$D$5:$D$434,$A71,Countries!$AS$5:$AS$434,"&gt;0")=0,"",SUMIFS(Countries!$AS$5:$AS$434,Countries!$A$5:$A$434,"All landing pages",Countries!$B$5:$B$434,"Direct",Countries!$D$5:$D$434,$A71,Countries!$Q$5:$Q$434,"&gt;0")/SUMIFS(Countries!$Q$5:$Q$434,Countries!$A$5:$A$434,"All landing pages",Countries!$B$5:$B$434,"Direct",Countries!$D$5:$D$434,$A71,Countries!$AS$5:$AS$434,"&gt;0"))</f>
        <v/>
      </c>
      <c r="Q71" s="44">
        <f>IF(OR(O71="",P71=""),"",(P71-O71)*100)</f>
        <v/>
      </c>
      <c r="R71" s="45">
        <f>IF(SUMIFS(Countries!$E$5:$E$434,Countries!$A$5:$A$434,"All landing pages",Countries!$B$5:$B$434,"Direct",Countries!$D$5:$D$434,$A71,Countries!$AR$5:$AR$434,"&gt;0")=0,"",SUMIFS(Countries!$AR$5:$AR$434,Countries!$A$5:$A$434,"All landing pages",Countries!$B$5:$B$434,"Direct",Countries!$D$5:$D$434,$A71,Countries!$E$5:$E$434,"&gt;0")/SUMIFS(Countries!$E$5:$E$434,Countries!$A$5:$A$434,"All landing pages",Countries!$B$5:$B$434,"Direct",Countries!$D$5:$D$434,$A71,Countries!$AR$5:$AR$434,"&gt;0"))</f>
        <v/>
      </c>
      <c r="S71" s="45">
        <f>IF(SUMIFS(Countries!$F$5:$F$434,Countries!$A$5:$A$434,"All landing pages",Countries!$B$5:$B$434,"Direct",Countries!$D$5:$D$434,$A71,Countries!$AS$5:$AS$434,"&gt;0")=0,"",SUMIFS(Countries!$AS$5:$AS$434,Countries!$A$5:$A$434,"All landing pages",Countries!$B$5:$B$434,"Direct",Countries!$D$5:$D$434,$A71,Countries!$F$5:$F$434,"&gt;0")/SUMIFS(Countries!$F$5:$F$434,Countries!$A$5:$A$434,"All landing pages",Countries!$B$5:$B$434,"Direct",Countries!$D$5:$D$434,$A71,Countries!$AS$5:$AS$434,"&gt;0"))</f>
        <v/>
      </c>
      <c r="T71" s="44">
        <f>IF(OR(R71="",S71=""),"",(S71-R71)*100)</f>
        <v/>
      </c>
    </row>
    <row r="72">
      <c r="A72" s="40" t="inlineStr">
        <is>
          <t>Poland</t>
        </is>
      </c>
      <c r="B72" s="40" t="inlineStr">
        <is>
          <t>Direct</t>
        </is>
      </c>
      <c r="C72" s="41">
        <f>IF(SUMIFS(Countries!$E$5:$E$434,Countries!$A$5:$A$434,"All landing pages",Countries!$B$5:$B$434,"Direct",Countries!$D$5:$D$434,$A72)=0,"",SUMIFS(Countries!$E$5:$E$434,Countries!$A$5:$A$434,"All landing pages",Countries!$B$5:$B$434,"Direct",Countries!$D$5:$D$434,$A72))</f>
        <v/>
      </c>
      <c r="D72" s="41">
        <f>IF(SUMIFS(Countries!$F$5:$F$434,Countries!$A$5:$A$434,"All landing pages",Countries!$B$5:$B$434,"Direct",Countries!$D$5:$D$434,$A72)=0,"",SUMIFS(Countries!$F$5:$F$434,Countries!$A$5:$A$434,"All landing pages",Countries!$B$5:$B$434,"Direct",Countries!$D$5:$D$434,$A72))</f>
        <v/>
      </c>
      <c r="E72" s="42">
        <f>IF(OR(C72="",D72="",D72=0,C72=0),"",D72/C72-1)</f>
        <v/>
      </c>
      <c r="F72" s="41">
        <f>IF(SUMIFS(Countries!$P$5:$P$434,Countries!$A$5:$A$434,"All landing pages",Countries!$B$5:$B$434,"Direct",Countries!$D$5:$D$434,$A72)=0,"",SUMIFS(Countries!$P$5:$P$434,Countries!$A$5:$A$434,"All landing pages",Countries!$B$5:$B$434,"Direct",Countries!$D$5:$D$434,$A72))</f>
        <v/>
      </c>
      <c r="G72" s="41">
        <f>IF(SUMIFS(Countries!$Q$5:$Q$434,Countries!$A$5:$A$434,"All landing pages",Countries!$B$5:$B$434,"Direct",Countries!$D$5:$D$434,$A72)=0,"",SUMIFS(Countries!$Q$5:$Q$434,Countries!$A$5:$A$434,"All landing pages",Countries!$B$5:$B$434,"Direct",Countries!$D$5:$D$434,$A72))</f>
        <v/>
      </c>
      <c r="H72" s="42">
        <f>IF(OR(F72="",G72="",G72=0,F72=0),"",G72/F72-1)</f>
        <v/>
      </c>
      <c r="I72" s="41">
        <f>IF(SUMIFS(Countries!$AR$5:$AR$434,Countries!$A$5:$A$434,"All landing pages",Countries!$B$5:$B$434,"Direct",Countries!$D$5:$D$434,$A72)=0,"",SUMIFS(Countries!$AR$5:$AR$434,Countries!$A$5:$A$434,"All landing pages",Countries!$B$5:$B$434,"Direct",Countries!$D$5:$D$434,$A72))</f>
        <v/>
      </c>
      <c r="J72" s="41">
        <f>IF(SUMIFS(Countries!$AS$5:$AS$434,Countries!$A$5:$A$434,"All landing pages",Countries!$B$5:$B$434,"Direct",Countries!$D$5:$D$434,$A72)=0,"",SUMIFS(Countries!$AS$5:$AS$434,Countries!$A$5:$A$434,"All landing pages",Countries!$B$5:$B$434,"Direct",Countries!$D$5:$D$434,$A72))</f>
        <v/>
      </c>
      <c r="K72" s="42">
        <f>IF(OR(I72="",J72="",J72=0,I72=0),"",J72/I72-1)</f>
        <v/>
      </c>
      <c r="L72" s="43">
        <f>IF(SUMIFS(Countries!$E$5:$E$434,Countries!$A$5:$A$434,"All landing pages",Countries!$B$5:$B$434,"Direct",Countries!$D$5:$D$434,$A72,Countries!$P$5:$P$434,"&gt;0")=0,"",SUMIFS(Countries!$P$5:$P$434,Countries!$A$5:$A$434,"All landing pages",Countries!$B$5:$B$434,"Direct",Countries!$D$5:$D$434,$A72,Countries!$E$5:$E$434,"&gt;0")/SUMIFS(Countries!$E$5:$E$434,Countries!$A$5:$A$434,"All landing pages",Countries!$B$5:$B$434,"Direct",Countries!$D$5:$D$434,$A72,Countries!$P$5:$P$434,"&gt;0"))</f>
        <v/>
      </c>
      <c r="M72" s="43">
        <f>IF(SUMIFS(Countries!$F$5:$F$434,Countries!$A$5:$A$434,"All landing pages",Countries!$B$5:$B$434,"Direct",Countries!$D$5:$D$434,$A72,Countries!$Q$5:$Q$434,"&gt;0")=0,"",SUMIFS(Countries!$Q$5:$Q$434,Countries!$A$5:$A$434,"All landing pages",Countries!$B$5:$B$434,"Direct",Countries!$D$5:$D$434,$A72,Countries!$F$5:$F$434,"&gt;0")/SUMIFS(Countries!$F$5:$F$434,Countries!$A$5:$A$434,"All landing pages",Countries!$B$5:$B$434,"Direct",Countries!$D$5:$D$434,$A72,Countries!$Q$5:$Q$434,"&gt;0"))</f>
        <v/>
      </c>
      <c r="N72" s="44">
        <f>IF(OR(L72="",M72=""),"",(M72-L72)*100)</f>
        <v/>
      </c>
      <c r="O72" s="45">
        <f>IF(SUMIFS(Countries!$P$5:$P$434,Countries!$A$5:$A$434,"All landing pages",Countries!$B$5:$B$434,"Direct",Countries!$D$5:$D$434,$A72,Countries!$AR$5:$AR$434,"&gt;0")=0,"",SUMIFS(Countries!$AR$5:$AR$434,Countries!$A$5:$A$434,"All landing pages",Countries!$B$5:$B$434,"Direct",Countries!$D$5:$D$434,$A72,Countries!$P$5:$P$434,"&gt;0")/SUMIFS(Countries!$P$5:$P$434,Countries!$A$5:$A$434,"All landing pages",Countries!$B$5:$B$434,"Direct",Countries!$D$5:$D$434,$A72,Countries!$AR$5:$AR$434,"&gt;0"))</f>
        <v/>
      </c>
      <c r="P72" s="45">
        <f>IF(SUMIFS(Countries!$Q$5:$Q$434,Countries!$A$5:$A$434,"All landing pages",Countries!$B$5:$B$434,"Direct",Countries!$D$5:$D$434,$A72,Countries!$AS$5:$AS$434,"&gt;0")=0,"",SUMIFS(Countries!$AS$5:$AS$434,Countries!$A$5:$A$434,"All landing pages",Countries!$B$5:$B$434,"Direct",Countries!$D$5:$D$434,$A72,Countries!$Q$5:$Q$434,"&gt;0")/SUMIFS(Countries!$Q$5:$Q$434,Countries!$A$5:$A$434,"All landing pages",Countries!$B$5:$B$434,"Direct",Countries!$D$5:$D$434,$A72,Countries!$AS$5:$AS$434,"&gt;0"))</f>
        <v/>
      </c>
      <c r="Q72" s="44">
        <f>IF(OR(O72="",P72=""),"",(P72-O72)*100)</f>
        <v/>
      </c>
      <c r="R72" s="45">
        <f>IF(SUMIFS(Countries!$E$5:$E$434,Countries!$A$5:$A$434,"All landing pages",Countries!$B$5:$B$434,"Direct",Countries!$D$5:$D$434,$A72,Countries!$AR$5:$AR$434,"&gt;0")=0,"",SUMIFS(Countries!$AR$5:$AR$434,Countries!$A$5:$A$434,"All landing pages",Countries!$B$5:$B$434,"Direct",Countries!$D$5:$D$434,$A72,Countries!$E$5:$E$434,"&gt;0")/SUMIFS(Countries!$E$5:$E$434,Countries!$A$5:$A$434,"All landing pages",Countries!$B$5:$B$434,"Direct",Countries!$D$5:$D$434,$A72,Countries!$AR$5:$AR$434,"&gt;0"))</f>
        <v/>
      </c>
      <c r="S72" s="45">
        <f>IF(SUMIFS(Countries!$F$5:$F$434,Countries!$A$5:$A$434,"All landing pages",Countries!$B$5:$B$434,"Direct",Countries!$D$5:$D$434,$A72,Countries!$AS$5:$AS$434,"&gt;0")=0,"",SUMIFS(Countries!$AS$5:$AS$434,Countries!$A$5:$A$434,"All landing pages",Countries!$B$5:$B$434,"Direct",Countries!$D$5:$D$434,$A72,Countries!$F$5:$F$434,"&gt;0")/SUMIFS(Countries!$F$5:$F$434,Countries!$A$5:$A$434,"All landing pages",Countries!$B$5:$B$434,"Direct",Countries!$D$5:$D$434,$A72,Countries!$AS$5:$AS$434,"&gt;0"))</f>
        <v/>
      </c>
      <c r="T72" s="44">
        <f>IF(OR(R72="",S72=""),"",(S72-R72)*100)</f>
        <v/>
      </c>
    </row>
    <row r="73">
      <c r="A73" s="40" t="inlineStr">
        <is>
          <t>United States</t>
        </is>
      </c>
      <c r="B73" s="40" t="inlineStr">
        <is>
          <t>Direct</t>
        </is>
      </c>
      <c r="C73" s="41">
        <f>IF(SUMIFS(Countries!$E$5:$E$434,Countries!$A$5:$A$434,"All landing pages",Countries!$B$5:$B$434,"Direct",Countries!$D$5:$D$434,$A73)=0,"",SUMIFS(Countries!$E$5:$E$434,Countries!$A$5:$A$434,"All landing pages",Countries!$B$5:$B$434,"Direct",Countries!$D$5:$D$434,$A73))</f>
        <v/>
      </c>
      <c r="D73" s="41">
        <f>IF(SUMIFS(Countries!$F$5:$F$434,Countries!$A$5:$A$434,"All landing pages",Countries!$B$5:$B$434,"Direct",Countries!$D$5:$D$434,$A73)=0,"",SUMIFS(Countries!$F$5:$F$434,Countries!$A$5:$A$434,"All landing pages",Countries!$B$5:$B$434,"Direct",Countries!$D$5:$D$434,$A73))</f>
        <v/>
      </c>
      <c r="E73" s="42">
        <f>IF(OR(C73="",D73="",D73=0,C73=0),"",D73/C73-1)</f>
        <v/>
      </c>
      <c r="F73" s="41">
        <f>IF(SUMIFS(Countries!$P$5:$P$434,Countries!$A$5:$A$434,"All landing pages",Countries!$B$5:$B$434,"Direct",Countries!$D$5:$D$434,$A73)=0,"",SUMIFS(Countries!$P$5:$P$434,Countries!$A$5:$A$434,"All landing pages",Countries!$B$5:$B$434,"Direct",Countries!$D$5:$D$434,$A73))</f>
        <v/>
      </c>
      <c r="G73" s="41">
        <f>IF(SUMIFS(Countries!$Q$5:$Q$434,Countries!$A$5:$A$434,"All landing pages",Countries!$B$5:$B$434,"Direct",Countries!$D$5:$D$434,$A73)=0,"",SUMIFS(Countries!$Q$5:$Q$434,Countries!$A$5:$A$434,"All landing pages",Countries!$B$5:$B$434,"Direct",Countries!$D$5:$D$434,$A73))</f>
        <v/>
      </c>
      <c r="H73" s="42">
        <f>IF(OR(F73="",G73="",G73=0,F73=0),"",G73/F73-1)</f>
        <v/>
      </c>
      <c r="I73" s="41">
        <f>IF(SUMIFS(Countries!$AR$5:$AR$434,Countries!$A$5:$A$434,"All landing pages",Countries!$B$5:$B$434,"Direct",Countries!$D$5:$D$434,$A73)=0,"",SUMIFS(Countries!$AR$5:$AR$434,Countries!$A$5:$A$434,"All landing pages",Countries!$B$5:$B$434,"Direct",Countries!$D$5:$D$434,$A73))</f>
        <v/>
      </c>
      <c r="J73" s="41">
        <f>IF(SUMIFS(Countries!$AS$5:$AS$434,Countries!$A$5:$A$434,"All landing pages",Countries!$B$5:$B$434,"Direct",Countries!$D$5:$D$434,$A73)=0,"",SUMIFS(Countries!$AS$5:$AS$434,Countries!$A$5:$A$434,"All landing pages",Countries!$B$5:$B$434,"Direct",Countries!$D$5:$D$434,$A73))</f>
        <v/>
      </c>
      <c r="K73" s="42">
        <f>IF(OR(I73="",J73="",J73=0,I73=0),"",J73/I73-1)</f>
        <v/>
      </c>
      <c r="L73" s="43">
        <f>IF(SUMIFS(Countries!$E$5:$E$434,Countries!$A$5:$A$434,"All landing pages",Countries!$B$5:$B$434,"Direct",Countries!$D$5:$D$434,$A73,Countries!$P$5:$P$434,"&gt;0")=0,"",SUMIFS(Countries!$P$5:$P$434,Countries!$A$5:$A$434,"All landing pages",Countries!$B$5:$B$434,"Direct",Countries!$D$5:$D$434,$A73,Countries!$E$5:$E$434,"&gt;0")/SUMIFS(Countries!$E$5:$E$434,Countries!$A$5:$A$434,"All landing pages",Countries!$B$5:$B$434,"Direct",Countries!$D$5:$D$434,$A73,Countries!$P$5:$P$434,"&gt;0"))</f>
        <v/>
      </c>
      <c r="M73" s="43">
        <f>IF(SUMIFS(Countries!$F$5:$F$434,Countries!$A$5:$A$434,"All landing pages",Countries!$B$5:$B$434,"Direct",Countries!$D$5:$D$434,$A73,Countries!$Q$5:$Q$434,"&gt;0")=0,"",SUMIFS(Countries!$Q$5:$Q$434,Countries!$A$5:$A$434,"All landing pages",Countries!$B$5:$B$434,"Direct",Countries!$D$5:$D$434,$A73,Countries!$F$5:$F$434,"&gt;0")/SUMIFS(Countries!$F$5:$F$434,Countries!$A$5:$A$434,"All landing pages",Countries!$B$5:$B$434,"Direct",Countries!$D$5:$D$434,$A73,Countries!$Q$5:$Q$434,"&gt;0"))</f>
        <v/>
      </c>
      <c r="N73" s="44">
        <f>IF(OR(L73="",M73=""),"",(M73-L73)*100)</f>
        <v/>
      </c>
      <c r="O73" s="45">
        <f>IF(SUMIFS(Countries!$P$5:$P$434,Countries!$A$5:$A$434,"All landing pages",Countries!$B$5:$B$434,"Direct",Countries!$D$5:$D$434,$A73,Countries!$AR$5:$AR$434,"&gt;0")=0,"",SUMIFS(Countries!$AR$5:$AR$434,Countries!$A$5:$A$434,"All landing pages",Countries!$B$5:$B$434,"Direct",Countries!$D$5:$D$434,$A73,Countries!$P$5:$P$434,"&gt;0")/SUMIFS(Countries!$P$5:$P$434,Countries!$A$5:$A$434,"All landing pages",Countries!$B$5:$B$434,"Direct",Countries!$D$5:$D$434,$A73,Countries!$AR$5:$AR$434,"&gt;0"))</f>
        <v/>
      </c>
      <c r="P73" s="45">
        <f>IF(SUMIFS(Countries!$Q$5:$Q$434,Countries!$A$5:$A$434,"All landing pages",Countries!$B$5:$B$434,"Direct",Countries!$D$5:$D$434,$A73,Countries!$AS$5:$AS$434,"&gt;0")=0,"",SUMIFS(Countries!$AS$5:$AS$434,Countries!$A$5:$A$434,"All landing pages",Countries!$B$5:$B$434,"Direct",Countries!$D$5:$D$434,$A73,Countries!$Q$5:$Q$434,"&gt;0")/SUMIFS(Countries!$Q$5:$Q$434,Countries!$A$5:$A$434,"All landing pages",Countries!$B$5:$B$434,"Direct",Countries!$D$5:$D$434,$A73,Countries!$AS$5:$AS$434,"&gt;0"))</f>
        <v/>
      </c>
      <c r="Q73" s="44">
        <f>IF(OR(O73="",P73=""),"",(P73-O73)*100)</f>
        <v/>
      </c>
      <c r="R73" s="45">
        <f>IF(SUMIFS(Countries!$E$5:$E$434,Countries!$A$5:$A$434,"All landing pages",Countries!$B$5:$B$434,"Direct",Countries!$D$5:$D$434,$A73,Countries!$AR$5:$AR$434,"&gt;0")=0,"",SUMIFS(Countries!$AR$5:$AR$434,Countries!$A$5:$A$434,"All landing pages",Countries!$B$5:$B$434,"Direct",Countries!$D$5:$D$434,$A73,Countries!$E$5:$E$434,"&gt;0")/SUMIFS(Countries!$E$5:$E$434,Countries!$A$5:$A$434,"All landing pages",Countries!$B$5:$B$434,"Direct",Countries!$D$5:$D$434,$A73,Countries!$AR$5:$AR$434,"&gt;0"))</f>
        <v/>
      </c>
      <c r="S73" s="45">
        <f>IF(SUMIFS(Countries!$F$5:$F$434,Countries!$A$5:$A$434,"All landing pages",Countries!$B$5:$B$434,"Direct",Countries!$D$5:$D$434,$A73,Countries!$AS$5:$AS$434,"&gt;0")=0,"",SUMIFS(Countries!$AS$5:$AS$434,Countries!$A$5:$A$434,"All landing pages",Countries!$B$5:$B$434,"Direct",Countries!$D$5:$D$434,$A73,Countries!$F$5:$F$434,"&gt;0")/SUMIFS(Countries!$F$5:$F$434,Countries!$A$5:$A$434,"All landing pages",Countries!$B$5:$B$434,"Direct",Countries!$D$5:$D$434,$A73,Countries!$AS$5:$AS$434,"&gt;0"))</f>
        <v/>
      </c>
      <c r="T73" s="44">
        <f>IF(OR(R73="",S73=""),"",(S73-R73)*100)</f>
        <v/>
      </c>
    </row>
    <row r="74">
      <c r="A74" s="40" t="inlineStr">
        <is>
          <t>Sweden</t>
        </is>
      </c>
      <c r="B74" s="40" t="inlineStr">
        <is>
          <t>Direct</t>
        </is>
      </c>
      <c r="C74" s="41">
        <f>IF(SUMIFS(Countries!$E$5:$E$434,Countries!$A$5:$A$434,"All landing pages",Countries!$B$5:$B$434,"Direct",Countries!$D$5:$D$434,$A74)=0,"",SUMIFS(Countries!$E$5:$E$434,Countries!$A$5:$A$434,"All landing pages",Countries!$B$5:$B$434,"Direct",Countries!$D$5:$D$434,$A74))</f>
        <v/>
      </c>
      <c r="D74" s="41">
        <f>IF(SUMIFS(Countries!$F$5:$F$434,Countries!$A$5:$A$434,"All landing pages",Countries!$B$5:$B$434,"Direct",Countries!$D$5:$D$434,$A74)=0,"",SUMIFS(Countries!$F$5:$F$434,Countries!$A$5:$A$434,"All landing pages",Countries!$B$5:$B$434,"Direct",Countries!$D$5:$D$434,$A74))</f>
        <v/>
      </c>
      <c r="E74" s="42">
        <f>IF(OR(C74="",D74="",D74=0,C74=0),"",D74/C74-1)</f>
        <v/>
      </c>
      <c r="F74" s="41">
        <f>IF(SUMIFS(Countries!$P$5:$P$434,Countries!$A$5:$A$434,"All landing pages",Countries!$B$5:$B$434,"Direct",Countries!$D$5:$D$434,$A74)=0,"",SUMIFS(Countries!$P$5:$P$434,Countries!$A$5:$A$434,"All landing pages",Countries!$B$5:$B$434,"Direct",Countries!$D$5:$D$434,$A74))</f>
        <v/>
      </c>
      <c r="G74" s="41">
        <f>IF(SUMIFS(Countries!$Q$5:$Q$434,Countries!$A$5:$A$434,"All landing pages",Countries!$B$5:$B$434,"Direct",Countries!$D$5:$D$434,$A74)=0,"",SUMIFS(Countries!$Q$5:$Q$434,Countries!$A$5:$A$434,"All landing pages",Countries!$B$5:$B$434,"Direct",Countries!$D$5:$D$434,$A74))</f>
        <v/>
      </c>
      <c r="H74" s="42">
        <f>IF(OR(F74="",G74="",G74=0,F74=0),"",G74/F74-1)</f>
        <v/>
      </c>
      <c r="I74" s="41">
        <f>IF(SUMIFS(Countries!$AR$5:$AR$434,Countries!$A$5:$A$434,"All landing pages",Countries!$B$5:$B$434,"Direct",Countries!$D$5:$D$434,$A74)=0,"",SUMIFS(Countries!$AR$5:$AR$434,Countries!$A$5:$A$434,"All landing pages",Countries!$B$5:$B$434,"Direct",Countries!$D$5:$D$434,$A74))</f>
        <v/>
      </c>
      <c r="J74" s="41">
        <f>IF(SUMIFS(Countries!$AS$5:$AS$434,Countries!$A$5:$A$434,"All landing pages",Countries!$B$5:$B$434,"Direct",Countries!$D$5:$D$434,$A74)=0,"",SUMIFS(Countries!$AS$5:$AS$434,Countries!$A$5:$A$434,"All landing pages",Countries!$B$5:$B$434,"Direct",Countries!$D$5:$D$434,$A74))</f>
        <v/>
      </c>
      <c r="K74" s="42">
        <f>IF(OR(I74="",J74="",J74=0,I74=0),"",J74/I74-1)</f>
        <v/>
      </c>
      <c r="L74" s="43">
        <f>IF(SUMIFS(Countries!$E$5:$E$434,Countries!$A$5:$A$434,"All landing pages",Countries!$B$5:$B$434,"Direct",Countries!$D$5:$D$434,$A74,Countries!$P$5:$P$434,"&gt;0")=0,"",SUMIFS(Countries!$P$5:$P$434,Countries!$A$5:$A$434,"All landing pages",Countries!$B$5:$B$434,"Direct",Countries!$D$5:$D$434,$A74,Countries!$E$5:$E$434,"&gt;0")/SUMIFS(Countries!$E$5:$E$434,Countries!$A$5:$A$434,"All landing pages",Countries!$B$5:$B$434,"Direct",Countries!$D$5:$D$434,$A74,Countries!$P$5:$P$434,"&gt;0"))</f>
        <v/>
      </c>
      <c r="M74" s="43">
        <f>IF(SUMIFS(Countries!$F$5:$F$434,Countries!$A$5:$A$434,"All landing pages",Countries!$B$5:$B$434,"Direct",Countries!$D$5:$D$434,$A74,Countries!$Q$5:$Q$434,"&gt;0")=0,"",SUMIFS(Countries!$Q$5:$Q$434,Countries!$A$5:$A$434,"All landing pages",Countries!$B$5:$B$434,"Direct",Countries!$D$5:$D$434,$A74,Countries!$F$5:$F$434,"&gt;0")/SUMIFS(Countries!$F$5:$F$434,Countries!$A$5:$A$434,"All landing pages",Countries!$B$5:$B$434,"Direct",Countries!$D$5:$D$434,$A74,Countries!$Q$5:$Q$434,"&gt;0"))</f>
        <v/>
      </c>
      <c r="N74" s="44">
        <f>IF(OR(L74="",M74=""),"",(M74-L74)*100)</f>
        <v/>
      </c>
      <c r="O74" s="45">
        <f>IF(SUMIFS(Countries!$P$5:$P$434,Countries!$A$5:$A$434,"All landing pages",Countries!$B$5:$B$434,"Direct",Countries!$D$5:$D$434,$A74,Countries!$AR$5:$AR$434,"&gt;0")=0,"",SUMIFS(Countries!$AR$5:$AR$434,Countries!$A$5:$A$434,"All landing pages",Countries!$B$5:$B$434,"Direct",Countries!$D$5:$D$434,$A74,Countries!$P$5:$P$434,"&gt;0")/SUMIFS(Countries!$P$5:$P$434,Countries!$A$5:$A$434,"All landing pages",Countries!$B$5:$B$434,"Direct",Countries!$D$5:$D$434,$A74,Countries!$AR$5:$AR$434,"&gt;0"))</f>
        <v/>
      </c>
      <c r="P74" s="45">
        <f>IF(SUMIFS(Countries!$Q$5:$Q$434,Countries!$A$5:$A$434,"All landing pages",Countries!$B$5:$B$434,"Direct",Countries!$D$5:$D$434,$A74,Countries!$AS$5:$AS$434,"&gt;0")=0,"",SUMIFS(Countries!$AS$5:$AS$434,Countries!$A$5:$A$434,"All landing pages",Countries!$B$5:$B$434,"Direct",Countries!$D$5:$D$434,$A74,Countries!$Q$5:$Q$434,"&gt;0")/SUMIFS(Countries!$Q$5:$Q$434,Countries!$A$5:$A$434,"All landing pages",Countries!$B$5:$B$434,"Direct",Countries!$D$5:$D$434,$A74,Countries!$AS$5:$AS$434,"&gt;0"))</f>
        <v/>
      </c>
      <c r="Q74" s="44">
        <f>IF(OR(O74="",P74=""),"",(P74-O74)*100)</f>
        <v/>
      </c>
      <c r="R74" s="45">
        <f>IF(SUMIFS(Countries!$E$5:$E$434,Countries!$A$5:$A$434,"All landing pages",Countries!$B$5:$B$434,"Direct",Countries!$D$5:$D$434,$A74,Countries!$AR$5:$AR$434,"&gt;0")=0,"",SUMIFS(Countries!$AR$5:$AR$434,Countries!$A$5:$A$434,"All landing pages",Countries!$B$5:$B$434,"Direct",Countries!$D$5:$D$434,$A74,Countries!$E$5:$E$434,"&gt;0")/SUMIFS(Countries!$E$5:$E$434,Countries!$A$5:$A$434,"All landing pages",Countries!$B$5:$B$434,"Direct",Countries!$D$5:$D$434,$A74,Countries!$AR$5:$AR$434,"&gt;0"))</f>
        <v/>
      </c>
      <c r="S74" s="45">
        <f>IF(SUMIFS(Countries!$F$5:$F$434,Countries!$A$5:$A$434,"All landing pages",Countries!$B$5:$B$434,"Direct",Countries!$D$5:$D$434,$A74,Countries!$AS$5:$AS$434,"&gt;0")=0,"",SUMIFS(Countries!$AS$5:$AS$434,Countries!$A$5:$A$434,"All landing pages",Countries!$B$5:$B$434,"Direct",Countries!$D$5:$D$434,$A74,Countries!$F$5:$F$434,"&gt;0")/SUMIFS(Countries!$F$5:$F$434,Countries!$A$5:$A$434,"All landing pages",Countries!$B$5:$B$434,"Direct",Countries!$D$5:$D$434,$A74,Countries!$AS$5:$AS$434,"&gt;0"))</f>
        <v/>
      </c>
      <c r="T74" s="44">
        <f>IF(OR(R74="",S74=""),"",(S74-R74)*100)</f>
        <v/>
      </c>
    </row>
    <row r="75">
      <c r="A75" s="40" t="inlineStr">
        <is>
          <t>Belgium</t>
        </is>
      </c>
      <c r="B75" s="40" t="inlineStr">
        <is>
          <t>Direct</t>
        </is>
      </c>
      <c r="C75" s="41">
        <f>IF(SUMIFS(Countries!$E$5:$E$434,Countries!$A$5:$A$434,"All landing pages",Countries!$B$5:$B$434,"Direct",Countries!$D$5:$D$434,$A75)=0,"",SUMIFS(Countries!$E$5:$E$434,Countries!$A$5:$A$434,"All landing pages",Countries!$B$5:$B$434,"Direct",Countries!$D$5:$D$434,$A75))</f>
        <v/>
      </c>
      <c r="D75" s="41">
        <f>IF(SUMIFS(Countries!$F$5:$F$434,Countries!$A$5:$A$434,"All landing pages",Countries!$B$5:$B$434,"Direct",Countries!$D$5:$D$434,$A75)=0,"",SUMIFS(Countries!$F$5:$F$434,Countries!$A$5:$A$434,"All landing pages",Countries!$B$5:$B$434,"Direct",Countries!$D$5:$D$434,$A75))</f>
        <v/>
      </c>
      <c r="E75" s="42">
        <f>IF(OR(C75="",D75="",D75=0,C75=0),"",D75/C75-1)</f>
        <v/>
      </c>
      <c r="F75" s="41">
        <f>IF(SUMIFS(Countries!$P$5:$P$434,Countries!$A$5:$A$434,"All landing pages",Countries!$B$5:$B$434,"Direct",Countries!$D$5:$D$434,$A75)=0,"",SUMIFS(Countries!$P$5:$P$434,Countries!$A$5:$A$434,"All landing pages",Countries!$B$5:$B$434,"Direct",Countries!$D$5:$D$434,$A75))</f>
        <v/>
      </c>
      <c r="G75" s="41">
        <f>IF(SUMIFS(Countries!$Q$5:$Q$434,Countries!$A$5:$A$434,"All landing pages",Countries!$B$5:$B$434,"Direct",Countries!$D$5:$D$434,$A75)=0,"",SUMIFS(Countries!$Q$5:$Q$434,Countries!$A$5:$A$434,"All landing pages",Countries!$B$5:$B$434,"Direct",Countries!$D$5:$D$434,$A75))</f>
        <v/>
      </c>
      <c r="H75" s="42">
        <f>IF(OR(F75="",G75="",G75=0,F75=0),"",G75/F75-1)</f>
        <v/>
      </c>
      <c r="I75" s="41">
        <f>IF(SUMIFS(Countries!$AR$5:$AR$434,Countries!$A$5:$A$434,"All landing pages",Countries!$B$5:$B$434,"Direct",Countries!$D$5:$D$434,$A75)=0,"",SUMIFS(Countries!$AR$5:$AR$434,Countries!$A$5:$A$434,"All landing pages",Countries!$B$5:$B$434,"Direct",Countries!$D$5:$D$434,$A75))</f>
        <v/>
      </c>
      <c r="J75" s="41">
        <f>IF(SUMIFS(Countries!$AS$5:$AS$434,Countries!$A$5:$A$434,"All landing pages",Countries!$B$5:$B$434,"Direct",Countries!$D$5:$D$434,$A75)=0,"",SUMIFS(Countries!$AS$5:$AS$434,Countries!$A$5:$A$434,"All landing pages",Countries!$B$5:$B$434,"Direct",Countries!$D$5:$D$434,$A75))</f>
        <v/>
      </c>
      <c r="K75" s="42">
        <f>IF(OR(I75="",J75="",J75=0,I75=0),"",J75/I75-1)</f>
        <v/>
      </c>
      <c r="L75" s="43">
        <f>IF(SUMIFS(Countries!$E$5:$E$434,Countries!$A$5:$A$434,"All landing pages",Countries!$B$5:$B$434,"Direct",Countries!$D$5:$D$434,$A75,Countries!$P$5:$P$434,"&gt;0")=0,"",SUMIFS(Countries!$P$5:$P$434,Countries!$A$5:$A$434,"All landing pages",Countries!$B$5:$B$434,"Direct",Countries!$D$5:$D$434,$A75,Countries!$E$5:$E$434,"&gt;0")/SUMIFS(Countries!$E$5:$E$434,Countries!$A$5:$A$434,"All landing pages",Countries!$B$5:$B$434,"Direct",Countries!$D$5:$D$434,$A75,Countries!$P$5:$P$434,"&gt;0"))</f>
        <v/>
      </c>
      <c r="M75" s="43">
        <f>IF(SUMIFS(Countries!$F$5:$F$434,Countries!$A$5:$A$434,"All landing pages",Countries!$B$5:$B$434,"Direct",Countries!$D$5:$D$434,$A75,Countries!$Q$5:$Q$434,"&gt;0")=0,"",SUMIFS(Countries!$Q$5:$Q$434,Countries!$A$5:$A$434,"All landing pages",Countries!$B$5:$B$434,"Direct",Countries!$D$5:$D$434,$A75,Countries!$F$5:$F$434,"&gt;0")/SUMIFS(Countries!$F$5:$F$434,Countries!$A$5:$A$434,"All landing pages",Countries!$B$5:$B$434,"Direct",Countries!$D$5:$D$434,$A75,Countries!$Q$5:$Q$434,"&gt;0"))</f>
        <v/>
      </c>
      <c r="N75" s="44">
        <f>IF(OR(L75="",M75=""),"",(M75-L75)*100)</f>
        <v/>
      </c>
      <c r="O75" s="45">
        <f>IF(SUMIFS(Countries!$P$5:$P$434,Countries!$A$5:$A$434,"All landing pages",Countries!$B$5:$B$434,"Direct",Countries!$D$5:$D$434,$A75,Countries!$AR$5:$AR$434,"&gt;0")=0,"",SUMIFS(Countries!$AR$5:$AR$434,Countries!$A$5:$A$434,"All landing pages",Countries!$B$5:$B$434,"Direct",Countries!$D$5:$D$434,$A75,Countries!$P$5:$P$434,"&gt;0")/SUMIFS(Countries!$P$5:$P$434,Countries!$A$5:$A$434,"All landing pages",Countries!$B$5:$B$434,"Direct",Countries!$D$5:$D$434,$A75,Countries!$AR$5:$AR$434,"&gt;0"))</f>
        <v/>
      </c>
      <c r="P75" s="45">
        <f>IF(SUMIFS(Countries!$Q$5:$Q$434,Countries!$A$5:$A$434,"All landing pages",Countries!$B$5:$B$434,"Direct",Countries!$D$5:$D$434,$A75,Countries!$AS$5:$AS$434,"&gt;0")=0,"",SUMIFS(Countries!$AS$5:$AS$434,Countries!$A$5:$A$434,"All landing pages",Countries!$B$5:$B$434,"Direct",Countries!$D$5:$D$434,$A75,Countries!$Q$5:$Q$434,"&gt;0")/SUMIFS(Countries!$Q$5:$Q$434,Countries!$A$5:$A$434,"All landing pages",Countries!$B$5:$B$434,"Direct",Countries!$D$5:$D$434,$A75,Countries!$AS$5:$AS$434,"&gt;0"))</f>
        <v/>
      </c>
      <c r="Q75" s="44">
        <f>IF(OR(O75="",P75=""),"",(P75-O75)*100)</f>
        <v/>
      </c>
      <c r="R75" s="45">
        <f>IF(SUMIFS(Countries!$E$5:$E$434,Countries!$A$5:$A$434,"All landing pages",Countries!$B$5:$B$434,"Direct",Countries!$D$5:$D$434,$A75,Countries!$AR$5:$AR$434,"&gt;0")=0,"",SUMIFS(Countries!$AR$5:$AR$434,Countries!$A$5:$A$434,"All landing pages",Countries!$B$5:$B$434,"Direct",Countries!$D$5:$D$434,$A75,Countries!$E$5:$E$434,"&gt;0")/SUMIFS(Countries!$E$5:$E$434,Countries!$A$5:$A$434,"All landing pages",Countries!$B$5:$B$434,"Direct",Countries!$D$5:$D$434,$A75,Countries!$AR$5:$AR$434,"&gt;0"))</f>
        <v/>
      </c>
      <c r="S75" s="45">
        <f>IF(SUMIFS(Countries!$F$5:$F$434,Countries!$A$5:$A$434,"All landing pages",Countries!$B$5:$B$434,"Direct",Countries!$D$5:$D$434,$A75,Countries!$AS$5:$AS$434,"&gt;0")=0,"",SUMIFS(Countries!$AS$5:$AS$434,Countries!$A$5:$A$434,"All landing pages",Countries!$B$5:$B$434,"Direct",Countries!$D$5:$D$434,$A75,Countries!$F$5:$F$434,"&gt;0")/SUMIFS(Countries!$F$5:$F$434,Countries!$A$5:$A$434,"All landing pages",Countries!$B$5:$B$434,"Direct",Countries!$D$5:$D$434,$A75,Countries!$AS$5:$AS$434,"&gt;0"))</f>
        <v/>
      </c>
      <c r="T75" s="44">
        <f>IF(OR(R75="",S75=""),"",(S75-R75)*100)</f>
        <v/>
      </c>
    </row>
    <row r="76">
      <c r="A76" s="40" t="inlineStr">
        <is>
          <t>Austria</t>
        </is>
      </c>
      <c r="B76" s="40" t="inlineStr">
        <is>
          <t>Direct</t>
        </is>
      </c>
      <c r="C76" s="41">
        <f>IF(SUMIFS(Countries!$E$5:$E$434,Countries!$A$5:$A$434,"All landing pages",Countries!$B$5:$B$434,"Direct",Countries!$D$5:$D$434,$A76)=0,"",SUMIFS(Countries!$E$5:$E$434,Countries!$A$5:$A$434,"All landing pages",Countries!$B$5:$B$434,"Direct",Countries!$D$5:$D$434,$A76))</f>
        <v/>
      </c>
      <c r="D76" s="41">
        <f>IF(SUMIFS(Countries!$F$5:$F$434,Countries!$A$5:$A$434,"All landing pages",Countries!$B$5:$B$434,"Direct",Countries!$D$5:$D$434,$A76)=0,"",SUMIFS(Countries!$F$5:$F$434,Countries!$A$5:$A$434,"All landing pages",Countries!$B$5:$B$434,"Direct",Countries!$D$5:$D$434,$A76))</f>
        <v/>
      </c>
      <c r="E76" s="42">
        <f>IF(OR(C76="",D76="",D76=0,C76=0),"",D76/C76-1)</f>
        <v/>
      </c>
      <c r="F76" s="41">
        <f>IF(SUMIFS(Countries!$P$5:$P$434,Countries!$A$5:$A$434,"All landing pages",Countries!$B$5:$B$434,"Direct",Countries!$D$5:$D$434,$A76)=0,"",SUMIFS(Countries!$P$5:$P$434,Countries!$A$5:$A$434,"All landing pages",Countries!$B$5:$B$434,"Direct",Countries!$D$5:$D$434,$A76))</f>
        <v/>
      </c>
      <c r="G76" s="41">
        <f>IF(SUMIFS(Countries!$Q$5:$Q$434,Countries!$A$5:$A$434,"All landing pages",Countries!$B$5:$B$434,"Direct",Countries!$D$5:$D$434,$A76)=0,"",SUMIFS(Countries!$Q$5:$Q$434,Countries!$A$5:$A$434,"All landing pages",Countries!$B$5:$B$434,"Direct",Countries!$D$5:$D$434,$A76))</f>
        <v/>
      </c>
      <c r="H76" s="42">
        <f>IF(OR(F76="",G76="",G76=0,F76=0),"",G76/F76-1)</f>
        <v/>
      </c>
      <c r="I76" s="41">
        <f>IF(SUMIFS(Countries!$AR$5:$AR$434,Countries!$A$5:$A$434,"All landing pages",Countries!$B$5:$B$434,"Direct",Countries!$D$5:$D$434,$A76)=0,"",SUMIFS(Countries!$AR$5:$AR$434,Countries!$A$5:$A$434,"All landing pages",Countries!$B$5:$B$434,"Direct",Countries!$D$5:$D$434,$A76))</f>
        <v/>
      </c>
      <c r="J76" s="41">
        <f>IF(SUMIFS(Countries!$AS$5:$AS$434,Countries!$A$5:$A$434,"All landing pages",Countries!$B$5:$B$434,"Direct",Countries!$D$5:$D$434,$A76)=0,"",SUMIFS(Countries!$AS$5:$AS$434,Countries!$A$5:$A$434,"All landing pages",Countries!$B$5:$B$434,"Direct",Countries!$D$5:$D$434,$A76))</f>
        <v/>
      </c>
      <c r="K76" s="42">
        <f>IF(OR(I76="",J76="",J76=0,I76=0),"",J76/I76-1)</f>
        <v/>
      </c>
      <c r="L76" s="43">
        <f>IF(SUMIFS(Countries!$E$5:$E$434,Countries!$A$5:$A$434,"All landing pages",Countries!$B$5:$B$434,"Direct",Countries!$D$5:$D$434,$A76,Countries!$P$5:$P$434,"&gt;0")=0,"",SUMIFS(Countries!$P$5:$P$434,Countries!$A$5:$A$434,"All landing pages",Countries!$B$5:$B$434,"Direct",Countries!$D$5:$D$434,$A76,Countries!$E$5:$E$434,"&gt;0")/SUMIFS(Countries!$E$5:$E$434,Countries!$A$5:$A$434,"All landing pages",Countries!$B$5:$B$434,"Direct",Countries!$D$5:$D$434,$A76,Countries!$P$5:$P$434,"&gt;0"))</f>
        <v/>
      </c>
      <c r="M76" s="43">
        <f>IF(SUMIFS(Countries!$F$5:$F$434,Countries!$A$5:$A$434,"All landing pages",Countries!$B$5:$B$434,"Direct",Countries!$D$5:$D$434,$A76,Countries!$Q$5:$Q$434,"&gt;0")=0,"",SUMIFS(Countries!$Q$5:$Q$434,Countries!$A$5:$A$434,"All landing pages",Countries!$B$5:$B$434,"Direct",Countries!$D$5:$D$434,$A76,Countries!$F$5:$F$434,"&gt;0")/SUMIFS(Countries!$F$5:$F$434,Countries!$A$5:$A$434,"All landing pages",Countries!$B$5:$B$434,"Direct",Countries!$D$5:$D$434,$A76,Countries!$Q$5:$Q$434,"&gt;0"))</f>
        <v/>
      </c>
      <c r="N76" s="44">
        <f>IF(OR(L76="",M76=""),"",(M76-L76)*100)</f>
        <v/>
      </c>
      <c r="O76" s="45">
        <f>IF(SUMIFS(Countries!$P$5:$P$434,Countries!$A$5:$A$434,"All landing pages",Countries!$B$5:$B$434,"Direct",Countries!$D$5:$D$434,$A76,Countries!$AR$5:$AR$434,"&gt;0")=0,"",SUMIFS(Countries!$AR$5:$AR$434,Countries!$A$5:$A$434,"All landing pages",Countries!$B$5:$B$434,"Direct",Countries!$D$5:$D$434,$A76,Countries!$P$5:$P$434,"&gt;0")/SUMIFS(Countries!$P$5:$P$434,Countries!$A$5:$A$434,"All landing pages",Countries!$B$5:$B$434,"Direct",Countries!$D$5:$D$434,$A76,Countries!$AR$5:$AR$434,"&gt;0"))</f>
        <v/>
      </c>
      <c r="P76" s="45">
        <f>IF(SUMIFS(Countries!$Q$5:$Q$434,Countries!$A$5:$A$434,"All landing pages",Countries!$B$5:$B$434,"Direct",Countries!$D$5:$D$434,$A76,Countries!$AS$5:$AS$434,"&gt;0")=0,"",SUMIFS(Countries!$AS$5:$AS$434,Countries!$A$5:$A$434,"All landing pages",Countries!$B$5:$B$434,"Direct",Countries!$D$5:$D$434,$A76,Countries!$Q$5:$Q$434,"&gt;0")/SUMIFS(Countries!$Q$5:$Q$434,Countries!$A$5:$A$434,"All landing pages",Countries!$B$5:$B$434,"Direct",Countries!$D$5:$D$434,$A76,Countries!$AS$5:$AS$434,"&gt;0"))</f>
        <v/>
      </c>
      <c r="Q76" s="44">
        <f>IF(OR(O76="",P76=""),"",(P76-O76)*100)</f>
        <v/>
      </c>
      <c r="R76" s="45">
        <f>IF(SUMIFS(Countries!$E$5:$E$434,Countries!$A$5:$A$434,"All landing pages",Countries!$B$5:$B$434,"Direct",Countries!$D$5:$D$434,$A76,Countries!$AR$5:$AR$434,"&gt;0")=0,"",SUMIFS(Countries!$AR$5:$AR$434,Countries!$A$5:$A$434,"All landing pages",Countries!$B$5:$B$434,"Direct",Countries!$D$5:$D$434,$A76,Countries!$E$5:$E$434,"&gt;0")/SUMIFS(Countries!$E$5:$E$434,Countries!$A$5:$A$434,"All landing pages",Countries!$B$5:$B$434,"Direct",Countries!$D$5:$D$434,$A76,Countries!$AR$5:$AR$434,"&gt;0"))</f>
        <v/>
      </c>
      <c r="S76" s="45">
        <f>IF(SUMIFS(Countries!$F$5:$F$434,Countries!$A$5:$A$434,"All landing pages",Countries!$B$5:$B$434,"Direct",Countries!$D$5:$D$434,$A76,Countries!$AS$5:$AS$434,"&gt;0")=0,"",SUMIFS(Countries!$AS$5:$AS$434,Countries!$A$5:$A$434,"All landing pages",Countries!$B$5:$B$434,"Direct",Countries!$D$5:$D$434,$A76,Countries!$F$5:$F$434,"&gt;0")/SUMIFS(Countries!$F$5:$F$434,Countries!$A$5:$A$434,"All landing pages",Countries!$B$5:$B$434,"Direct",Countries!$D$5:$D$434,$A76,Countries!$AS$5:$AS$434,"&gt;0"))</f>
        <v/>
      </c>
      <c r="T76" s="44">
        <f>IF(OR(R76="",S76=""),"",(S76-R76)*100)</f>
        <v/>
      </c>
    </row>
    <row r="77">
      <c r="A77" s="40" t="inlineStr">
        <is>
          <t>Denmark</t>
        </is>
      </c>
      <c r="B77" s="40" t="inlineStr">
        <is>
          <t>Direct</t>
        </is>
      </c>
      <c r="C77" s="41">
        <f>IF(SUMIFS(Countries!$E$5:$E$434,Countries!$A$5:$A$434,"All landing pages",Countries!$B$5:$B$434,"Direct",Countries!$D$5:$D$434,$A77)=0,"",SUMIFS(Countries!$E$5:$E$434,Countries!$A$5:$A$434,"All landing pages",Countries!$B$5:$B$434,"Direct",Countries!$D$5:$D$434,$A77))</f>
        <v/>
      </c>
      <c r="D77" s="41">
        <f>IF(SUMIFS(Countries!$F$5:$F$434,Countries!$A$5:$A$434,"All landing pages",Countries!$B$5:$B$434,"Direct",Countries!$D$5:$D$434,$A77)=0,"",SUMIFS(Countries!$F$5:$F$434,Countries!$A$5:$A$434,"All landing pages",Countries!$B$5:$B$434,"Direct",Countries!$D$5:$D$434,$A77))</f>
        <v/>
      </c>
      <c r="E77" s="42">
        <f>IF(OR(C77="",D77="",D77=0,C77=0),"",D77/C77-1)</f>
        <v/>
      </c>
      <c r="F77" s="41">
        <f>IF(SUMIFS(Countries!$P$5:$P$434,Countries!$A$5:$A$434,"All landing pages",Countries!$B$5:$B$434,"Direct",Countries!$D$5:$D$434,$A77)=0,"",SUMIFS(Countries!$P$5:$P$434,Countries!$A$5:$A$434,"All landing pages",Countries!$B$5:$B$434,"Direct",Countries!$D$5:$D$434,$A77))</f>
        <v/>
      </c>
      <c r="G77" s="41">
        <f>IF(SUMIFS(Countries!$Q$5:$Q$434,Countries!$A$5:$A$434,"All landing pages",Countries!$B$5:$B$434,"Direct",Countries!$D$5:$D$434,$A77)=0,"",SUMIFS(Countries!$Q$5:$Q$434,Countries!$A$5:$A$434,"All landing pages",Countries!$B$5:$B$434,"Direct",Countries!$D$5:$D$434,$A77))</f>
        <v/>
      </c>
      <c r="H77" s="42">
        <f>IF(OR(F77="",G77="",G77=0,F77=0),"",G77/F77-1)</f>
        <v/>
      </c>
      <c r="I77" s="41">
        <f>IF(SUMIFS(Countries!$AR$5:$AR$434,Countries!$A$5:$A$434,"All landing pages",Countries!$B$5:$B$434,"Direct",Countries!$D$5:$D$434,$A77)=0,"",SUMIFS(Countries!$AR$5:$AR$434,Countries!$A$5:$A$434,"All landing pages",Countries!$B$5:$B$434,"Direct",Countries!$D$5:$D$434,$A77))</f>
        <v/>
      </c>
      <c r="J77" s="41">
        <f>IF(SUMIFS(Countries!$AS$5:$AS$434,Countries!$A$5:$A$434,"All landing pages",Countries!$B$5:$B$434,"Direct",Countries!$D$5:$D$434,$A77)=0,"",SUMIFS(Countries!$AS$5:$AS$434,Countries!$A$5:$A$434,"All landing pages",Countries!$B$5:$B$434,"Direct",Countries!$D$5:$D$434,$A77))</f>
        <v/>
      </c>
      <c r="K77" s="42">
        <f>IF(OR(I77="",J77="",J77=0,I77=0),"",J77/I77-1)</f>
        <v/>
      </c>
      <c r="L77" s="43">
        <f>IF(SUMIFS(Countries!$E$5:$E$434,Countries!$A$5:$A$434,"All landing pages",Countries!$B$5:$B$434,"Direct",Countries!$D$5:$D$434,$A77,Countries!$P$5:$P$434,"&gt;0")=0,"",SUMIFS(Countries!$P$5:$P$434,Countries!$A$5:$A$434,"All landing pages",Countries!$B$5:$B$434,"Direct",Countries!$D$5:$D$434,$A77,Countries!$E$5:$E$434,"&gt;0")/SUMIFS(Countries!$E$5:$E$434,Countries!$A$5:$A$434,"All landing pages",Countries!$B$5:$B$434,"Direct",Countries!$D$5:$D$434,$A77,Countries!$P$5:$P$434,"&gt;0"))</f>
        <v/>
      </c>
      <c r="M77" s="43">
        <f>IF(SUMIFS(Countries!$F$5:$F$434,Countries!$A$5:$A$434,"All landing pages",Countries!$B$5:$B$434,"Direct",Countries!$D$5:$D$434,$A77,Countries!$Q$5:$Q$434,"&gt;0")=0,"",SUMIFS(Countries!$Q$5:$Q$434,Countries!$A$5:$A$434,"All landing pages",Countries!$B$5:$B$434,"Direct",Countries!$D$5:$D$434,$A77,Countries!$F$5:$F$434,"&gt;0")/SUMIFS(Countries!$F$5:$F$434,Countries!$A$5:$A$434,"All landing pages",Countries!$B$5:$B$434,"Direct",Countries!$D$5:$D$434,$A77,Countries!$Q$5:$Q$434,"&gt;0"))</f>
        <v/>
      </c>
      <c r="N77" s="44">
        <f>IF(OR(L77="",M77=""),"",(M77-L77)*100)</f>
        <v/>
      </c>
      <c r="O77" s="45">
        <f>IF(SUMIFS(Countries!$P$5:$P$434,Countries!$A$5:$A$434,"All landing pages",Countries!$B$5:$B$434,"Direct",Countries!$D$5:$D$434,$A77,Countries!$AR$5:$AR$434,"&gt;0")=0,"",SUMIFS(Countries!$AR$5:$AR$434,Countries!$A$5:$A$434,"All landing pages",Countries!$B$5:$B$434,"Direct",Countries!$D$5:$D$434,$A77,Countries!$P$5:$P$434,"&gt;0")/SUMIFS(Countries!$P$5:$P$434,Countries!$A$5:$A$434,"All landing pages",Countries!$B$5:$B$434,"Direct",Countries!$D$5:$D$434,$A77,Countries!$AR$5:$AR$434,"&gt;0"))</f>
        <v/>
      </c>
      <c r="P77" s="45">
        <f>IF(SUMIFS(Countries!$Q$5:$Q$434,Countries!$A$5:$A$434,"All landing pages",Countries!$B$5:$B$434,"Direct",Countries!$D$5:$D$434,$A77,Countries!$AS$5:$AS$434,"&gt;0")=0,"",SUMIFS(Countries!$AS$5:$AS$434,Countries!$A$5:$A$434,"All landing pages",Countries!$B$5:$B$434,"Direct",Countries!$D$5:$D$434,$A77,Countries!$Q$5:$Q$434,"&gt;0")/SUMIFS(Countries!$Q$5:$Q$434,Countries!$A$5:$A$434,"All landing pages",Countries!$B$5:$B$434,"Direct",Countries!$D$5:$D$434,$A77,Countries!$AS$5:$AS$434,"&gt;0"))</f>
        <v/>
      </c>
      <c r="Q77" s="44">
        <f>IF(OR(O77="",P77=""),"",(P77-O77)*100)</f>
        <v/>
      </c>
      <c r="R77" s="45">
        <f>IF(SUMIFS(Countries!$E$5:$E$434,Countries!$A$5:$A$434,"All landing pages",Countries!$B$5:$B$434,"Direct",Countries!$D$5:$D$434,$A77,Countries!$AR$5:$AR$434,"&gt;0")=0,"",SUMIFS(Countries!$AR$5:$AR$434,Countries!$A$5:$A$434,"All landing pages",Countries!$B$5:$B$434,"Direct",Countries!$D$5:$D$434,$A77,Countries!$E$5:$E$434,"&gt;0")/SUMIFS(Countries!$E$5:$E$434,Countries!$A$5:$A$434,"All landing pages",Countries!$B$5:$B$434,"Direct",Countries!$D$5:$D$434,$A77,Countries!$AR$5:$AR$434,"&gt;0"))</f>
        <v/>
      </c>
      <c r="S77" s="45">
        <f>IF(SUMIFS(Countries!$F$5:$F$434,Countries!$A$5:$A$434,"All landing pages",Countries!$B$5:$B$434,"Direct",Countries!$D$5:$D$434,$A77,Countries!$AS$5:$AS$434,"&gt;0")=0,"",SUMIFS(Countries!$AS$5:$AS$434,Countries!$A$5:$A$434,"All landing pages",Countries!$B$5:$B$434,"Direct",Countries!$D$5:$D$434,$A77,Countries!$F$5:$F$434,"&gt;0")/SUMIFS(Countries!$F$5:$F$434,Countries!$A$5:$A$434,"All landing pages",Countries!$B$5:$B$434,"Direct",Countries!$D$5:$D$434,$A77,Countries!$AS$5:$AS$434,"&gt;0"))</f>
        <v/>
      </c>
      <c r="T77" s="44">
        <f>IF(OR(R77="",S77=""),"",(S77-R77)*100)</f>
        <v/>
      </c>
    </row>
    <row r="78">
      <c r="A78" s="40" t="inlineStr">
        <is>
          <t>Norway</t>
        </is>
      </c>
      <c r="B78" s="40" t="inlineStr">
        <is>
          <t>Direct</t>
        </is>
      </c>
      <c r="C78" s="41">
        <f>IF(SUMIFS(Countries!$E$5:$E$434,Countries!$A$5:$A$434,"All landing pages",Countries!$B$5:$B$434,"Direct",Countries!$D$5:$D$434,$A78)=0,"",SUMIFS(Countries!$E$5:$E$434,Countries!$A$5:$A$434,"All landing pages",Countries!$B$5:$B$434,"Direct",Countries!$D$5:$D$434,$A78))</f>
        <v/>
      </c>
      <c r="D78" s="41">
        <f>IF(SUMIFS(Countries!$F$5:$F$434,Countries!$A$5:$A$434,"All landing pages",Countries!$B$5:$B$434,"Direct",Countries!$D$5:$D$434,$A78)=0,"",SUMIFS(Countries!$F$5:$F$434,Countries!$A$5:$A$434,"All landing pages",Countries!$B$5:$B$434,"Direct",Countries!$D$5:$D$434,$A78))</f>
        <v/>
      </c>
      <c r="E78" s="42">
        <f>IF(OR(C78="",D78="",D78=0,C78=0),"",D78/C78-1)</f>
        <v/>
      </c>
      <c r="F78" s="41">
        <f>IF(SUMIFS(Countries!$P$5:$P$434,Countries!$A$5:$A$434,"All landing pages",Countries!$B$5:$B$434,"Direct",Countries!$D$5:$D$434,$A78)=0,"",SUMIFS(Countries!$P$5:$P$434,Countries!$A$5:$A$434,"All landing pages",Countries!$B$5:$B$434,"Direct",Countries!$D$5:$D$434,$A78))</f>
        <v/>
      </c>
      <c r="G78" s="41">
        <f>IF(SUMIFS(Countries!$Q$5:$Q$434,Countries!$A$5:$A$434,"All landing pages",Countries!$B$5:$B$434,"Direct",Countries!$D$5:$D$434,$A78)=0,"",SUMIFS(Countries!$Q$5:$Q$434,Countries!$A$5:$A$434,"All landing pages",Countries!$B$5:$B$434,"Direct",Countries!$D$5:$D$434,$A78))</f>
        <v/>
      </c>
      <c r="H78" s="42">
        <f>IF(OR(F78="",G78="",G78=0,F78=0),"",G78/F78-1)</f>
        <v/>
      </c>
      <c r="I78" s="41">
        <f>IF(SUMIFS(Countries!$AR$5:$AR$434,Countries!$A$5:$A$434,"All landing pages",Countries!$B$5:$B$434,"Direct",Countries!$D$5:$D$434,$A78)=0,"",SUMIFS(Countries!$AR$5:$AR$434,Countries!$A$5:$A$434,"All landing pages",Countries!$B$5:$B$434,"Direct",Countries!$D$5:$D$434,$A78))</f>
        <v/>
      </c>
      <c r="J78" s="41">
        <f>IF(SUMIFS(Countries!$AS$5:$AS$434,Countries!$A$5:$A$434,"All landing pages",Countries!$B$5:$B$434,"Direct",Countries!$D$5:$D$434,$A78)=0,"",SUMIFS(Countries!$AS$5:$AS$434,Countries!$A$5:$A$434,"All landing pages",Countries!$B$5:$B$434,"Direct",Countries!$D$5:$D$434,$A78))</f>
        <v/>
      </c>
      <c r="K78" s="42">
        <f>IF(OR(I78="",J78="",J78=0,I78=0),"",J78/I78-1)</f>
        <v/>
      </c>
      <c r="L78" s="43">
        <f>IF(SUMIFS(Countries!$E$5:$E$434,Countries!$A$5:$A$434,"All landing pages",Countries!$B$5:$B$434,"Direct",Countries!$D$5:$D$434,$A78,Countries!$P$5:$P$434,"&gt;0")=0,"",SUMIFS(Countries!$P$5:$P$434,Countries!$A$5:$A$434,"All landing pages",Countries!$B$5:$B$434,"Direct",Countries!$D$5:$D$434,$A78,Countries!$E$5:$E$434,"&gt;0")/SUMIFS(Countries!$E$5:$E$434,Countries!$A$5:$A$434,"All landing pages",Countries!$B$5:$B$434,"Direct",Countries!$D$5:$D$434,$A78,Countries!$P$5:$P$434,"&gt;0"))</f>
        <v/>
      </c>
      <c r="M78" s="43">
        <f>IF(SUMIFS(Countries!$F$5:$F$434,Countries!$A$5:$A$434,"All landing pages",Countries!$B$5:$B$434,"Direct",Countries!$D$5:$D$434,$A78,Countries!$Q$5:$Q$434,"&gt;0")=0,"",SUMIFS(Countries!$Q$5:$Q$434,Countries!$A$5:$A$434,"All landing pages",Countries!$B$5:$B$434,"Direct",Countries!$D$5:$D$434,$A78,Countries!$F$5:$F$434,"&gt;0")/SUMIFS(Countries!$F$5:$F$434,Countries!$A$5:$A$434,"All landing pages",Countries!$B$5:$B$434,"Direct",Countries!$D$5:$D$434,$A78,Countries!$Q$5:$Q$434,"&gt;0"))</f>
        <v/>
      </c>
      <c r="N78" s="44">
        <f>IF(OR(L78="",M78=""),"",(M78-L78)*100)</f>
        <v/>
      </c>
      <c r="O78" s="45">
        <f>IF(SUMIFS(Countries!$P$5:$P$434,Countries!$A$5:$A$434,"All landing pages",Countries!$B$5:$B$434,"Direct",Countries!$D$5:$D$434,$A78,Countries!$AR$5:$AR$434,"&gt;0")=0,"",SUMIFS(Countries!$AR$5:$AR$434,Countries!$A$5:$A$434,"All landing pages",Countries!$B$5:$B$434,"Direct",Countries!$D$5:$D$434,$A78,Countries!$P$5:$P$434,"&gt;0")/SUMIFS(Countries!$P$5:$P$434,Countries!$A$5:$A$434,"All landing pages",Countries!$B$5:$B$434,"Direct",Countries!$D$5:$D$434,$A78,Countries!$AR$5:$AR$434,"&gt;0"))</f>
        <v/>
      </c>
      <c r="P78" s="45">
        <f>IF(SUMIFS(Countries!$Q$5:$Q$434,Countries!$A$5:$A$434,"All landing pages",Countries!$B$5:$B$434,"Direct",Countries!$D$5:$D$434,$A78,Countries!$AS$5:$AS$434,"&gt;0")=0,"",SUMIFS(Countries!$AS$5:$AS$434,Countries!$A$5:$A$434,"All landing pages",Countries!$B$5:$B$434,"Direct",Countries!$D$5:$D$434,$A78,Countries!$Q$5:$Q$434,"&gt;0")/SUMIFS(Countries!$Q$5:$Q$434,Countries!$A$5:$A$434,"All landing pages",Countries!$B$5:$B$434,"Direct",Countries!$D$5:$D$434,$A78,Countries!$AS$5:$AS$434,"&gt;0"))</f>
        <v/>
      </c>
      <c r="Q78" s="44">
        <f>IF(OR(O78="",P78=""),"",(P78-O78)*100)</f>
        <v/>
      </c>
      <c r="R78" s="45">
        <f>IF(SUMIFS(Countries!$E$5:$E$434,Countries!$A$5:$A$434,"All landing pages",Countries!$B$5:$B$434,"Direct",Countries!$D$5:$D$434,$A78,Countries!$AR$5:$AR$434,"&gt;0")=0,"",SUMIFS(Countries!$AR$5:$AR$434,Countries!$A$5:$A$434,"All landing pages",Countries!$B$5:$B$434,"Direct",Countries!$D$5:$D$434,$A78,Countries!$E$5:$E$434,"&gt;0")/SUMIFS(Countries!$E$5:$E$434,Countries!$A$5:$A$434,"All landing pages",Countries!$B$5:$B$434,"Direct",Countries!$D$5:$D$434,$A78,Countries!$AR$5:$AR$434,"&gt;0"))</f>
        <v/>
      </c>
      <c r="S78" s="45">
        <f>IF(SUMIFS(Countries!$F$5:$F$434,Countries!$A$5:$A$434,"All landing pages",Countries!$B$5:$B$434,"Direct",Countries!$D$5:$D$434,$A78,Countries!$AS$5:$AS$434,"&gt;0")=0,"",SUMIFS(Countries!$AS$5:$AS$434,Countries!$A$5:$A$434,"All landing pages",Countries!$B$5:$B$434,"Direct",Countries!$D$5:$D$434,$A78,Countries!$F$5:$F$434,"&gt;0")/SUMIFS(Countries!$F$5:$F$434,Countries!$A$5:$A$434,"All landing pages",Countries!$B$5:$B$434,"Direct",Countries!$D$5:$D$434,$A78,Countries!$AS$5:$AS$434,"&gt;0"))</f>
        <v/>
      </c>
      <c r="T78" s="44">
        <f>IF(OR(R78="",S78=""),"",(S78-R78)*100)</f>
        <v/>
      </c>
    </row>
    <row r="79">
      <c r="A79" s="40" t="inlineStr">
        <is>
          <t>Finland</t>
        </is>
      </c>
      <c r="B79" s="40" t="inlineStr">
        <is>
          <t>Direct</t>
        </is>
      </c>
      <c r="C79" s="41">
        <f>IF(SUMIFS(Countries!$E$5:$E$434,Countries!$A$5:$A$434,"All landing pages",Countries!$B$5:$B$434,"Direct",Countries!$D$5:$D$434,$A79)=0,"",SUMIFS(Countries!$E$5:$E$434,Countries!$A$5:$A$434,"All landing pages",Countries!$B$5:$B$434,"Direct",Countries!$D$5:$D$434,$A79))</f>
        <v/>
      </c>
      <c r="D79" s="41">
        <f>IF(SUMIFS(Countries!$F$5:$F$434,Countries!$A$5:$A$434,"All landing pages",Countries!$B$5:$B$434,"Direct",Countries!$D$5:$D$434,$A79)=0,"",SUMIFS(Countries!$F$5:$F$434,Countries!$A$5:$A$434,"All landing pages",Countries!$B$5:$B$434,"Direct",Countries!$D$5:$D$434,$A79))</f>
        <v/>
      </c>
      <c r="E79" s="42">
        <f>IF(OR(C79="",D79="",D79=0,C79=0),"",D79/C79-1)</f>
        <v/>
      </c>
      <c r="F79" s="41">
        <f>IF(SUMIFS(Countries!$P$5:$P$434,Countries!$A$5:$A$434,"All landing pages",Countries!$B$5:$B$434,"Direct",Countries!$D$5:$D$434,$A79)=0,"",SUMIFS(Countries!$P$5:$P$434,Countries!$A$5:$A$434,"All landing pages",Countries!$B$5:$B$434,"Direct",Countries!$D$5:$D$434,$A79))</f>
        <v/>
      </c>
      <c r="G79" s="41">
        <f>IF(SUMIFS(Countries!$Q$5:$Q$434,Countries!$A$5:$A$434,"All landing pages",Countries!$B$5:$B$434,"Direct",Countries!$D$5:$D$434,$A79)=0,"",SUMIFS(Countries!$Q$5:$Q$434,Countries!$A$5:$A$434,"All landing pages",Countries!$B$5:$B$434,"Direct",Countries!$D$5:$D$434,$A79))</f>
        <v/>
      </c>
      <c r="H79" s="42">
        <f>IF(OR(F79="",G79="",G79=0,F79=0),"",G79/F79-1)</f>
        <v/>
      </c>
      <c r="I79" s="41">
        <f>IF(SUMIFS(Countries!$AR$5:$AR$434,Countries!$A$5:$A$434,"All landing pages",Countries!$B$5:$B$434,"Direct",Countries!$D$5:$D$434,$A79)=0,"",SUMIFS(Countries!$AR$5:$AR$434,Countries!$A$5:$A$434,"All landing pages",Countries!$B$5:$B$434,"Direct",Countries!$D$5:$D$434,$A79))</f>
        <v/>
      </c>
      <c r="J79" s="41">
        <f>IF(SUMIFS(Countries!$AS$5:$AS$434,Countries!$A$5:$A$434,"All landing pages",Countries!$B$5:$B$434,"Direct",Countries!$D$5:$D$434,$A79)=0,"",SUMIFS(Countries!$AS$5:$AS$434,Countries!$A$5:$A$434,"All landing pages",Countries!$B$5:$B$434,"Direct",Countries!$D$5:$D$434,$A79))</f>
        <v/>
      </c>
      <c r="K79" s="42">
        <f>IF(OR(I79="",J79="",J79=0,I79=0),"",J79/I79-1)</f>
        <v/>
      </c>
      <c r="L79" s="43">
        <f>IF(SUMIFS(Countries!$E$5:$E$434,Countries!$A$5:$A$434,"All landing pages",Countries!$B$5:$B$434,"Direct",Countries!$D$5:$D$434,$A79,Countries!$P$5:$P$434,"&gt;0")=0,"",SUMIFS(Countries!$P$5:$P$434,Countries!$A$5:$A$434,"All landing pages",Countries!$B$5:$B$434,"Direct",Countries!$D$5:$D$434,$A79,Countries!$E$5:$E$434,"&gt;0")/SUMIFS(Countries!$E$5:$E$434,Countries!$A$5:$A$434,"All landing pages",Countries!$B$5:$B$434,"Direct",Countries!$D$5:$D$434,$A79,Countries!$P$5:$P$434,"&gt;0"))</f>
        <v/>
      </c>
      <c r="M79" s="43">
        <f>IF(SUMIFS(Countries!$F$5:$F$434,Countries!$A$5:$A$434,"All landing pages",Countries!$B$5:$B$434,"Direct",Countries!$D$5:$D$434,$A79,Countries!$Q$5:$Q$434,"&gt;0")=0,"",SUMIFS(Countries!$Q$5:$Q$434,Countries!$A$5:$A$434,"All landing pages",Countries!$B$5:$B$434,"Direct",Countries!$D$5:$D$434,$A79,Countries!$F$5:$F$434,"&gt;0")/SUMIFS(Countries!$F$5:$F$434,Countries!$A$5:$A$434,"All landing pages",Countries!$B$5:$B$434,"Direct",Countries!$D$5:$D$434,$A79,Countries!$Q$5:$Q$434,"&gt;0"))</f>
        <v/>
      </c>
      <c r="N79" s="44">
        <f>IF(OR(L79="",M79=""),"",(M79-L79)*100)</f>
        <v/>
      </c>
      <c r="O79" s="45">
        <f>IF(SUMIFS(Countries!$P$5:$P$434,Countries!$A$5:$A$434,"All landing pages",Countries!$B$5:$B$434,"Direct",Countries!$D$5:$D$434,$A79,Countries!$AR$5:$AR$434,"&gt;0")=0,"",SUMIFS(Countries!$AR$5:$AR$434,Countries!$A$5:$A$434,"All landing pages",Countries!$B$5:$B$434,"Direct",Countries!$D$5:$D$434,$A79,Countries!$P$5:$P$434,"&gt;0")/SUMIFS(Countries!$P$5:$P$434,Countries!$A$5:$A$434,"All landing pages",Countries!$B$5:$B$434,"Direct",Countries!$D$5:$D$434,$A79,Countries!$AR$5:$AR$434,"&gt;0"))</f>
        <v/>
      </c>
      <c r="P79" s="45">
        <f>IF(SUMIFS(Countries!$Q$5:$Q$434,Countries!$A$5:$A$434,"All landing pages",Countries!$B$5:$B$434,"Direct",Countries!$D$5:$D$434,$A79,Countries!$AS$5:$AS$434,"&gt;0")=0,"",SUMIFS(Countries!$AS$5:$AS$434,Countries!$A$5:$A$434,"All landing pages",Countries!$B$5:$B$434,"Direct",Countries!$D$5:$D$434,$A79,Countries!$Q$5:$Q$434,"&gt;0")/SUMIFS(Countries!$Q$5:$Q$434,Countries!$A$5:$A$434,"All landing pages",Countries!$B$5:$B$434,"Direct",Countries!$D$5:$D$434,$A79,Countries!$AS$5:$AS$434,"&gt;0"))</f>
        <v/>
      </c>
      <c r="Q79" s="44">
        <f>IF(OR(O79="",P79=""),"",(P79-O79)*100)</f>
        <v/>
      </c>
      <c r="R79" s="45">
        <f>IF(SUMIFS(Countries!$E$5:$E$434,Countries!$A$5:$A$434,"All landing pages",Countries!$B$5:$B$434,"Direct",Countries!$D$5:$D$434,$A79,Countries!$AR$5:$AR$434,"&gt;0")=0,"",SUMIFS(Countries!$AR$5:$AR$434,Countries!$A$5:$A$434,"All landing pages",Countries!$B$5:$B$434,"Direct",Countries!$D$5:$D$434,$A79,Countries!$E$5:$E$434,"&gt;0")/SUMIFS(Countries!$E$5:$E$434,Countries!$A$5:$A$434,"All landing pages",Countries!$B$5:$B$434,"Direct",Countries!$D$5:$D$434,$A79,Countries!$AR$5:$AR$434,"&gt;0"))</f>
        <v/>
      </c>
      <c r="S79" s="45">
        <f>IF(SUMIFS(Countries!$F$5:$F$434,Countries!$A$5:$A$434,"All landing pages",Countries!$B$5:$B$434,"Direct",Countries!$D$5:$D$434,$A79,Countries!$AS$5:$AS$434,"&gt;0")=0,"",SUMIFS(Countries!$AS$5:$AS$434,Countries!$A$5:$A$434,"All landing pages",Countries!$B$5:$B$434,"Direct",Countries!$D$5:$D$434,$A79,Countries!$F$5:$F$434,"&gt;0")/SUMIFS(Countries!$F$5:$F$434,Countries!$A$5:$A$434,"All landing pages",Countries!$B$5:$B$434,"Direct",Countries!$D$5:$D$434,$A79,Countries!$AS$5:$AS$434,"&gt;0"))</f>
        <v/>
      </c>
      <c r="T79" s="44">
        <f>IF(OR(R79="",S79=""),"",(S79-R79)*100)</f>
        <v/>
      </c>
    </row>
    <row r="80">
      <c r="A80" s="40" t="inlineStr">
        <is>
          <t>Portugal</t>
        </is>
      </c>
      <c r="B80" s="40" t="inlineStr">
        <is>
          <t>Direct</t>
        </is>
      </c>
      <c r="C80" s="41">
        <f>IF(SUMIFS(Countries!$E$5:$E$434,Countries!$A$5:$A$434,"All landing pages",Countries!$B$5:$B$434,"Direct",Countries!$D$5:$D$434,$A80)=0,"",SUMIFS(Countries!$E$5:$E$434,Countries!$A$5:$A$434,"All landing pages",Countries!$B$5:$B$434,"Direct",Countries!$D$5:$D$434,$A80))</f>
        <v/>
      </c>
      <c r="D80" s="41">
        <f>IF(SUMIFS(Countries!$F$5:$F$434,Countries!$A$5:$A$434,"All landing pages",Countries!$B$5:$B$434,"Direct",Countries!$D$5:$D$434,$A80)=0,"",SUMIFS(Countries!$F$5:$F$434,Countries!$A$5:$A$434,"All landing pages",Countries!$B$5:$B$434,"Direct",Countries!$D$5:$D$434,$A80))</f>
        <v/>
      </c>
      <c r="E80" s="42">
        <f>IF(OR(C80="",D80="",D80=0,C80=0),"",D80/C80-1)</f>
        <v/>
      </c>
      <c r="F80" s="41">
        <f>IF(SUMIFS(Countries!$P$5:$P$434,Countries!$A$5:$A$434,"All landing pages",Countries!$B$5:$B$434,"Direct",Countries!$D$5:$D$434,$A80)=0,"",SUMIFS(Countries!$P$5:$P$434,Countries!$A$5:$A$434,"All landing pages",Countries!$B$5:$B$434,"Direct",Countries!$D$5:$D$434,$A80))</f>
        <v/>
      </c>
      <c r="G80" s="41">
        <f>IF(SUMIFS(Countries!$Q$5:$Q$434,Countries!$A$5:$A$434,"All landing pages",Countries!$B$5:$B$434,"Direct",Countries!$D$5:$D$434,$A80)=0,"",SUMIFS(Countries!$Q$5:$Q$434,Countries!$A$5:$A$434,"All landing pages",Countries!$B$5:$B$434,"Direct",Countries!$D$5:$D$434,$A80))</f>
        <v/>
      </c>
      <c r="H80" s="42">
        <f>IF(OR(F80="",G80="",G80=0,F80=0),"",G80/F80-1)</f>
        <v/>
      </c>
      <c r="I80" s="41">
        <f>IF(SUMIFS(Countries!$AR$5:$AR$434,Countries!$A$5:$A$434,"All landing pages",Countries!$B$5:$B$434,"Direct",Countries!$D$5:$D$434,$A80)=0,"",SUMIFS(Countries!$AR$5:$AR$434,Countries!$A$5:$A$434,"All landing pages",Countries!$B$5:$B$434,"Direct",Countries!$D$5:$D$434,$A80))</f>
        <v/>
      </c>
      <c r="J80" s="41">
        <f>IF(SUMIFS(Countries!$AS$5:$AS$434,Countries!$A$5:$A$434,"All landing pages",Countries!$B$5:$B$434,"Direct",Countries!$D$5:$D$434,$A80)=0,"",SUMIFS(Countries!$AS$5:$AS$434,Countries!$A$5:$A$434,"All landing pages",Countries!$B$5:$B$434,"Direct",Countries!$D$5:$D$434,$A80))</f>
        <v/>
      </c>
      <c r="K80" s="42">
        <f>IF(OR(I80="",J80="",J80=0,I80=0),"",J80/I80-1)</f>
        <v/>
      </c>
      <c r="L80" s="43">
        <f>IF(SUMIFS(Countries!$E$5:$E$434,Countries!$A$5:$A$434,"All landing pages",Countries!$B$5:$B$434,"Direct",Countries!$D$5:$D$434,$A80,Countries!$P$5:$P$434,"&gt;0")=0,"",SUMIFS(Countries!$P$5:$P$434,Countries!$A$5:$A$434,"All landing pages",Countries!$B$5:$B$434,"Direct",Countries!$D$5:$D$434,$A80,Countries!$E$5:$E$434,"&gt;0")/SUMIFS(Countries!$E$5:$E$434,Countries!$A$5:$A$434,"All landing pages",Countries!$B$5:$B$434,"Direct",Countries!$D$5:$D$434,$A80,Countries!$P$5:$P$434,"&gt;0"))</f>
        <v/>
      </c>
      <c r="M80" s="43">
        <f>IF(SUMIFS(Countries!$F$5:$F$434,Countries!$A$5:$A$434,"All landing pages",Countries!$B$5:$B$434,"Direct",Countries!$D$5:$D$434,$A80,Countries!$Q$5:$Q$434,"&gt;0")=0,"",SUMIFS(Countries!$Q$5:$Q$434,Countries!$A$5:$A$434,"All landing pages",Countries!$B$5:$B$434,"Direct",Countries!$D$5:$D$434,$A80,Countries!$F$5:$F$434,"&gt;0")/SUMIFS(Countries!$F$5:$F$434,Countries!$A$5:$A$434,"All landing pages",Countries!$B$5:$B$434,"Direct",Countries!$D$5:$D$434,$A80,Countries!$Q$5:$Q$434,"&gt;0"))</f>
        <v/>
      </c>
      <c r="N80" s="44">
        <f>IF(OR(L80="",M80=""),"",(M80-L80)*100)</f>
        <v/>
      </c>
      <c r="O80" s="45">
        <f>IF(SUMIFS(Countries!$P$5:$P$434,Countries!$A$5:$A$434,"All landing pages",Countries!$B$5:$B$434,"Direct",Countries!$D$5:$D$434,$A80,Countries!$AR$5:$AR$434,"&gt;0")=0,"",SUMIFS(Countries!$AR$5:$AR$434,Countries!$A$5:$A$434,"All landing pages",Countries!$B$5:$B$434,"Direct",Countries!$D$5:$D$434,$A80,Countries!$P$5:$P$434,"&gt;0")/SUMIFS(Countries!$P$5:$P$434,Countries!$A$5:$A$434,"All landing pages",Countries!$B$5:$B$434,"Direct",Countries!$D$5:$D$434,$A80,Countries!$AR$5:$AR$434,"&gt;0"))</f>
        <v/>
      </c>
      <c r="P80" s="45">
        <f>IF(SUMIFS(Countries!$Q$5:$Q$434,Countries!$A$5:$A$434,"All landing pages",Countries!$B$5:$B$434,"Direct",Countries!$D$5:$D$434,$A80,Countries!$AS$5:$AS$434,"&gt;0")=0,"",SUMIFS(Countries!$AS$5:$AS$434,Countries!$A$5:$A$434,"All landing pages",Countries!$B$5:$B$434,"Direct",Countries!$D$5:$D$434,$A80,Countries!$Q$5:$Q$434,"&gt;0")/SUMIFS(Countries!$Q$5:$Q$434,Countries!$A$5:$A$434,"All landing pages",Countries!$B$5:$B$434,"Direct",Countries!$D$5:$D$434,$A80,Countries!$AS$5:$AS$434,"&gt;0"))</f>
        <v/>
      </c>
      <c r="Q80" s="44">
        <f>IF(OR(O80="",P80=""),"",(P80-O80)*100)</f>
        <v/>
      </c>
      <c r="R80" s="45">
        <f>IF(SUMIFS(Countries!$E$5:$E$434,Countries!$A$5:$A$434,"All landing pages",Countries!$B$5:$B$434,"Direct",Countries!$D$5:$D$434,$A80,Countries!$AR$5:$AR$434,"&gt;0")=0,"",SUMIFS(Countries!$AR$5:$AR$434,Countries!$A$5:$A$434,"All landing pages",Countries!$B$5:$B$434,"Direct",Countries!$D$5:$D$434,$A80,Countries!$E$5:$E$434,"&gt;0")/SUMIFS(Countries!$E$5:$E$434,Countries!$A$5:$A$434,"All landing pages",Countries!$B$5:$B$434,"Direct",Countries!$D$5:$D$434,$A80,Countries!$AR$5:$AR$434,"&gt;0"))</f>
        <v/>
      </c>
      <c r="S80" s="45">
        <f>IF(SUMIFS(Countries!$F$5:$F$434,Countries!$A$5:$A$434,"All landing pages",Countries!$B$5:$B$434,"Direct",Countries!$D$5:$D$434,$A80,Countries!$AS$5:$AS$434,"&gt;0")=0,"",SUMIFS(Countries!$AS$5:$AS$434,Countries!$A$5:$A$434,"All landing pages",Countries!$B$5:$B$434,"Direct",Countries!$D$5:$D$434,$A80,Countries!$F$5:$F$434,"&gt;0")/SUMIFS(Countries!$F$5:$F$434,Countries!$A$5:$A$434,"All landing pages",Countries!$B$5:$B$434,"Direct",Countries!$D$5:$D$434,$A80,Countries!$AS$5:$AS$434,"&gt;0"))</f>
        <v/>
      </c>
      <c r="T80" s="44">
        <f>IF(OR(R80="",S80=""),"",(S80-R80)*100)</f>
        <v/>
      </c>
    </row>
    <row r="81">
      <c r="A81" s="40" t="inlineStr">
        <is>
          <t>Türkiye</t>
        </is>
      </c>
      <c r="B81" s="40" t="inlineStr">
        <is>
          <t>Direct</t>
        </is>
      </c>
      <c r="C81" s="41">
        <f>IF(SUMIFS(Countries!$E$5:$E$434,Countries!$A$5:$A$434,"All landing pages",Countries!$B$5:$B$434,"Direct",Countries!$D$5:$D$434,$A81)=0,"",SUMIFS(Countries!$E$5:$E$434,Countries!$A$5:$A$434,"All landing pages",Countries!$B$5:$B$434,"Direct",Countries!$D$5:$D$434,$A81))</f>
        <v/>
      </c>
      <c r="D81" s="41">
        <f>IF(SUMIFS(Countries!$F$5:$F$434,Countries!$A$5:$A$434,"All landing pages",Countries!$B$5:$B$434,"Direct",Countries!$D$5:$D$434,$A81)=0,"",SUMIFS(Countries!$F$5:$F$434,Countries!$A$5:$A$434,"All landing pages",Countries!$B$5:$B$434,"Direct",Countries!$D$5:$D$434,$A81))</f>
        <v/>
      </c>
      <c r="E81" s="42">
        <f>IF(OR(C81="",D81="",D81=0,C81=0),"",D81/C81-1)</f>
        <v/>
      </c>
      <c r="F81" s="41">
        <f>IF(SUMIFS(Countries!$P$5:$P$434,Countries!$A$5:$A$434,"All landing pages",Countries!$B$5:$B$434,"Direct",Countries!$D$5:$D$434,$A81)=0,"",SUMIFS(Countries!$P$5:$P$434,Countries!$A$5:$A$434,"All landing pages",Countries!$B$5:$B$434,"Direct",Countries!$D$5:$D$434,$A81))</f>
        <v/>
      </c>
      <c r="G81" s="41">
        <f>IF(SUMIFS(Countries!$Q$5:$Q$434,Countries!$A$5:$A$434,"All landing pages",Countries!$B$5:$B$434,"Direct",Countries!$D$5:$D$434,$A81)=0,"",SUMIFS(Countries!$Q$5:$Q$434,Countries!$A$5:$A$434,"All landing pages",Countries!$B$5:$B$434,"Direct",Countries!$D$5:$D$434,$A81))</f>
        <v/>
      </c>
      <c r="H81" s="42">
        <f>IF(OR(F81="",G81="",G81=0,F81=0),"",G81/F81-1)</f>
        <v/>
      </c>
      <c r="I81" s="41">
        <f>IF(SUMIFS(Countries!$AR$5:$AR$434,Countries!$A$5:$A$434,"All landing pages",Countries!$B$5:$B$434,"Direct",Countries!$D$5:$D$434,$A81)=0,"",SUMIFS(Countries!$AR$5:$AR$434,Countries!$A$5:$A$434,"All landing pages",Countries!$B$5:$B$434,"Direct",Countries!$D$5:$D$434,$A81))</f>
        <v/>
      </c>
      <c r="J81" s="41">
        <f>IF(SUMIFS(Countries!$AS$5:$AS$434,Countries!$A$5:$A$434,"All landing pages",Countries!$B$5:$B$434,"Direct",Countries!$D$5:$D$434,$A81)=0,"",SUMIFS(Countries!$AS$5:$AS$434,Countries!$A$5:$A$434,"All landing pages",Countries!$B$5:$B$434,"Direct",Countries!$D$5:$D$434,$A81))</f>
        <v/>
      </c>
      <c r="K81" s="42">
        <f>IF(OR(I81="",J81="",J81=0,I81=0),"",J81/I81-1)</f>
        <v/>
      </c>
      <c r="L81" s="43">
        <f>IF(SUMIFS(Countries!$E$5:$E$434,Countries!$A$5:$A$434,"All landing pages",Countries!$B$5:$B$434,"Direct",Countries!$D$5:$D$434,$A81,Countries!$P$5:$P$434,"&gt;0")=0,"",SUMIFS(Countries!$P$5:$P$434,Countries!$A$5:$A$434,"All landing pages",Countries!$B$5:$B$434,"Direct",Countries!$D$5:$D$434,$A81,Countries!$E$5:$E$434,"&gt;0")/SUMIFS(Countries!$E$5:$E$434,Countries!$A$5:$A$434,"All landing pages",Countries!$B$5:$B$434,"Direct",Countries!$D$5:$D$434,$A81,Countries!$P$5:$P$434,"&gt;0"))</f>
        <v/>
      </c>
      <c r="M81" s="43">
        <f>IF(SUMIFS(Countries!$F$5:$F$434,Countries!$A$5:$A$434,"All landing pages",Countries!$B$5:$B$434,"Direct",Countries!$D$5:$D$434,$A81,Countries!$Q$5:$Q$434,"&gt;0")=0,"",SUMIFS(Countries!$Q$5:$Q$434,Countries!$A$5:$A$434,"All landing pages",Countries!$B$5:$B$434,"Direct",Countries!$D$5:$D$434,$A81,Countries!$F$5:$F$434,"&gt;0")/SUMIFS(Countries!$F$5:$F$434,Countries!$A$5:$A$434,"All landing pages",Countries!$B$5:$B$434,"Direct",Countries!$D$5:$D$434,$A81,Countries!$Q$5:$Q$434,"&gt;0"))</f>
        <v/>
      </c>
      <c r="N81" s="44">
        <f>IF(OR(L81="",M81=""),"",(M81-L81)*100)</f>
        <v/>
      </c>
      <c r="O81" s="45">
        <f>IF(SUMIFS(Countries!$P$5:$P$434,Countries!$A$5:$A$434,"All landing pages",Countries!$B$5:$B$434,"Direct",Countries!$D$5:$D$434,$A81,Countries!$AR$5:$AR$434,"&gt;0")=0,"",SUMIFS(Countries!$AR$5:$AR$434,Countries!$A$5:$A$434,"All landing pages",Countries!$B$5:$B$434,"Direct",Countries!$D$5:$D$434,$A81,Countries!$P$5:$P$434,"&gt;0")/SUMIFS(Countries!$P$5:$P$434,Countries!$A$5:$A$434,"All landing pages",Countries!$B$5:$B$434,"Direct",Countries!$D$5:$D$434,$A81,Countries!$AR$5:$AR$434,"&gt;0"))</f>
        <v/>
      </c>
      <c r="P81" s="45">
        <f>IF(SUMIFS(Countries!$Q$5:$Q$434,Countries!$A$5:$A$434,"All landing pages",Countries!$B$5:$B$434,"Direct",Countries!$D$5:$D$434,$A81,Countries!$AS$5:$AS$434,"&gt;0")=0,"",SUMIFS(Countries!$AS$5:$AS$434,Countries!$A$5:$A$434,"All landing pages",Countries!$B$5:$B$434,"Direct",Countries!$D$5:$D$434,$A81,Countries!$Q$5:$Q$434,"&gt;0")/SUMIFS(Countries!$Q$5:$Q$434,Countries!$A$5:$A$434,"All landing pages",Countries!$B$5:$B$434,"Direct",Countries!$D$5:$D$434,$A81,Countries!$AS$5:$AS$434,"&gt;0"))</f>
        <v/>
      </c>
      <c r="Q81" s="44">
        <f>IF(OR(O81="",P81=""),"",(P81-O81)*100)</f>
        <v/>
      </c>
      <c r="R81" s="45">
        <f>IF(SUMIFS(Countries!$E$5:$E$434,Countries!$A$5:$A$434,"All landing pages",Countries!$B$5:$B$434,"Direct",Countries!$D$5:$D$434,$A81,Countries!$AR$5:$AR$434,"&gt;0")=0,"",SUMIFS(Countries!$AR$5:$AR$434,Countries!$A$5:$A$434,"All landing pages",Countries!$B$5:$B$434,"Direct",Countries!$D$5:$D$434,$A81,Countries!$E$5:$E$434,"&gt;0")/SUMIFS(Countries!$E$5:$E$434,Countries!$A$5:$A$434,"All landing pages",Countries!$B$5:$B$434,"Direct",Countries!$D$5:$D$434,$A81,Countries!$AR$5:$AR$434,"&gt;0"))</f>
        <v/>
      </c>
      <c r="S81" s="45">
        <f>IF(SUMIFS(Countries!$F$5:$F$434,Countries!$A$5:$A$434,"All landing pages",Countries!$B$5:$B$434,"Direct",Countries!$D$5:$D$434,$A81,Countries!$AS$5:$AS$434,"&gt;0")=0,"",SUMIFS(Countries!$AS$5:$AS$434,Countries!$A$5:$A$434,"All landing pages",Countries!$B$5:$B$434,"Direct",Countries!$D$5:$D$434,$A81,Countries!$F$5:$F$434,"&gt;0")/SUMIFS(Countries!$F$5:$F$434,Countries!$A$5:$A$434,"All landing pages",Countries!$B$5:$B$434,"Direct",Countries!$D$5:$D$434,$A81,Countries!$AS$5:$AS$434,"&gt;0"))</f>
        <v/>
      </c>
      <c r="T81" s="44">
        <f>IF(OR(R81="",S81=""),"",(S81-R81)*100)</f>
        <v/>
      </c>
    </row>
    <row r="82">
      <c r="A82" s="40" t="inlineStr">
        <is>
          <t>Romania</t>
        </is>
      </c>
      <c r="B82" s="40" t="inlineStr">
        <is>
          <t>Direct</t>
        </is>
      </c>
      <c r="C82" s="41">
        <f>IF(SUMIFS(Countries!$E$5:$E$434,Countries!$A$5:$A$434,"All landing pages",Countries!$B$5:$B$434,"Direct",Countries!$D$5:$D$434,$A82)=0,"",SUMIFS(Countries!$E$5:$E$434,Countries!$A$5:$A$434,"All landing pages",Countries!$B$5:$B$434,"Direct",Countries!$D$5:$D$434,$A82))</f>
        <v/>
      </c>
      <c r="D82" s="41">
        <f>IF(SUMIFS(Countries!$F$5:$F$434,Countries!$A$5:$A$434,"All landing pages",Countries!$B$5:$B$434,"Direct",Countries!$D$5:$D$434,$A82)=0,"",SUMIFS(Countries!$F$5:$F$434,Countries!$A$5:$A$434,"All landing pages",Countries!$B$5:$B$434,"Direct",Countries!$D$5:$D$434,$A82))</f>
        <v/>
      </c>
      <c r="E82" s="42">
        <f>IF(OR(C82="",D82="",D82=0,C82=0),"",D82/C82-1)</f>
        <v/>
      </c>
      <c r="F82" s="41">
        <f>IF(SUMIFS(Countries!$P$5:$P$434,Countries!$A$5:$A$434,"All landing pages",Countries!$B$5:$B$434,"Direct",Countries!$D$5:$D$434,$A82)=0,"",SUMIFS(Countries!$P$5:$P$434,Countries!$A$5:$A$434,"All landing pages",Countries!$B$5:$B$434,"Direct",Countries!$D$5:$D$434,$A82))</f>
        <v/>
      </c>
      <c r="G82" s="41">
        <f>IF(SUMIFS(Countries!$Q$5:$Q$434,Countries!$A$5:$A$434,"All landing pages",Countries!$B$5:$B$434,"Direct",Countries!$D$5:$D$434,$A82)=0,"",SUMIFS(Countries!$Q$5:$Q$434,Countries!$A$5:$A$434,"All landing pages",Countries!$B$5:$B$434,"Direct",Countries!$D$5:$D$434,$A82))</f>
        <v/>
      </c>
      <c r="H82" s="42">
        <f>IF(OR(F82="",G82="",G82=0,F82=0),"",G82/F82-1)</f>
        <v/>
      </c>
      <c r="I82" s="41">
        <f>IF(SUMIFS(Countries!$AR$5:$AR$434,Countries!$A$5:$A$434,"All landing pages",Countries!$B$5:$B$434,"Direct",Countries!$D$5:$D$434,$A82)=0,"",SUMIFS(Countries!$AR$5:$AR$434,Countries!$A$5:$A$434,"All landing pages",Countries!$B$5:$B$434,"Direct",Countries!$D$5:$D$434,$A82))</f>
        <v/>
      </c>
      <c r="J82" s="41">
        <f>IF(SUMIFS(Countries!$AS$5:$AS$434,Countries!$A$5:$A$434,"All landing pages",Countries!$B$5:$B$434,"Direct",Countries!$D$5:$D$434,$A82)=0,"",SUMIFS(Countries!$AS$5:$AS$434,Countries!$A$5:$A$434,"All landing pages",Countries!$B$5:$B$434,"Direct",Countries!$D$5:$D$434,$A82))</f>
        <v/>
      </c>
      <c r="K82" s="42">
        <f>IF(OR(I82="",J82="",J82=0,I82=0),"",J82/I82-1)</f>
        <v/>
      </c>
      <c r="L82" s="43">
        <f>IF(SUMIFS(Countries!$E$5:$E$434,Countries!$A$5:$A$434,"All landing pages",Countries!$B$5:$B$434,"Direct",Countries!$D$5:$D$434,$A82,Countries!$P$5:$P$434,"&gt;0")=0,"",SUMIFS(Countries!$P$5:$P$434,Countries!$A$5:$A$434,"All landing pages",Countries!$B$5:$B$434,"Direct",Countries!$D$5:$D$434,$A82,Countries!$E$5:$E$434,"&gt;0")/SUMIFS(Countries!$E$5:$E$434,Countries!$A$5:$A$434,"All landing pages",Countries!$B$5:$B$434,"Direct",Countries!$D$5:$D$434,$A82,Countries!$P$5:$P$434,"&gt;0"))</f>
        <v/>
      </c>
      <c r="M82" s="43">
        <f>IF(SUMIFS(Countries!$F$5:$F$434,Countries!$A$5:$A$434,"All landing pages",Countries!$B$5:$B$434,"Direct",Countries!$D$5:$D$434,$A82,Countries!$Q$5:$Q$434,"&gt;0")=0,"",SUMIFS(Countries!$Q$5:$Q$434,Countries!$A$5:$A$434,"All landing pages",Countries!$B$5:$B$434,"Direct",Countries!$D$5:$D$434,$A82,Countries!$F$5:$F$434,"&gt;0")/SUMIFS(Countries!$F$5:$F$434,Countries!$A$5:$A$434,"All landing pages",Countries!$B$5:$B$434,"Direct",Countries!$D$5:$D$434,$A82,Countries!$Q$5:$Q$434,"&gt;0"))</f>
        <v/>
      </c>
      <c r="N82" s="44">
        <f>IF(OR(L82="",M82=""),"",(M82-L82)*100)</f>
        <v/>
      </c>
      <c r="O82" s="45">
        <f>IF(SUMIFS(Countries!$P$5:$P$434,Countries!$A$5:$A$434,"All landing pages",Countries!$B$5:$B$434,"Direct",Countries!$D$5:$D$434,$A82,Countries!$AR$5:$AR$434,"&gt;0")=0,"",SUMIFS(Countries!$AR$5:$AR$434,Countries!$A$5:$A$434,"All landing pages",Countries!$B$5:$B$434,"Direct",Countries!$D$5:$D$434,$A82,Countries!$P$5:$P$434,"&gt;0")/SUMIFS(Countries!$P$5:$P$434,Countries!$A$5:$A$434,"All landing pages",Countries!$B$5:$B$434,"Direct",Countries!$D$5:$D$434,$A82,Countries!$AR$5:$AR$434,"&gt;0"))</f>
        <v/>
      </c>
      <c r="P82" s="45">
        <f>IF(SUMIFS(Countries!$Q$5:$Q$434,Countries!$A$5:$A$434,"All landing pages",Countries!$B$5:$B$434,"Direct",Countries!$D$5:$D$434,$A82,Countries!$AS$5:$AS$434,"&gt;0")=0,"",SUMIFS(Countries!$AS$5:$AS$434,Countries!$A$5:$A$434,"All landing pages",Countries!$B$5:$B$434,"Direct",Countries!$D$5:$D$434,$A82,Countries!$Q$5:$Q$434,"&gt;0")/SUMIFS(Countries!$Q$5:$Q$434,Countries!$A$5:$A$434,"All landing pages",Countries!$B$5:$B$434,"Direct",Countries!$D$5:$D$434,$A82,Countries!$AS$5:$AS$434,"&gt;0"))</f>
        <v/>
      </c>
      <c r="Q82" s="44">
        <f>IF(OR(O82="",P82=""),"",(P82-O82)*100)</f>
        <v/>
      </c>
      <c r="R82" s="45">
        <f>IF(SUMIFS(Countries!$E$5:$E$434,Countries!$A$5:$A$434,"All landing pages",Countries!$B$5:$B$434,"Direct",Countries!$D$5:$D$434,$A82,Countries!$AR$5:$AR$434,"&gt;0")=0,"",SUMIFS(Countries!$AR$5:$AR$434,Countries!$A$5:$A$434,"All landing pages",Countries!$B$5:$B$434,"Direct",Countries!$D$5:$D$434,$A82,Countries!$E$5:$E$434,"&gt;0")/SUMIFS(Countries!$E$5:$E$434,Countries!$A$5:$A$434,"All landing pages",Countries!$B$5:$B$434,"Direct",Countries!$D$5:$D$434,$A82,Countries!$AR$5:$AR$434,"&gt;0"))</f>
        <v/>
      </c>
      <c r="S82" s="45">
        <f>IF(SUMIFS(Countries!$F$5:$F$434,Countries!$A$5:$A$434,"All landing pages",Countries!$B$5:$B$434,"Direct",Countries!$D$5:$D$434,$A82,Countries!$AS$5:$AS$434,"&gt;0")=0,"",SUMIFS(Countries!$AS$5:$AS$434,Countries!$A$5:$A$434,"All landing pages",Countries!$B$5:$B$434,"Direct",Countries!$D$5:$D$434,$A82,Countries!$F$5:$F$434,"&gt;0")/SUMIFS(Countries!$F$5:$F$434,Countries!$A$5:$A$434,"All landing pages",Countries!$B$5:$B$434,"Direct",Countries!$D$5:$D$434,$A82,Countries!$AS$5:$AS$434,"&gt;0"))</f>
        <v/>
      </c>
      <c r="T82" s="44">
        <f>IF(OR(R82="",S82=""),"",(S82-R82)*100)</f>
        <v/>
      </c>
    </row>
    <row r="83">
      <c r="A83" s="40" t="inlineStr">
        <is>
          <t>Canada</t>
        </is>
      </c>
      <c r="B83" s="40" t="inlineStr">
        <is>
          <t>Direct</t>
        </is>
      </c>
      <c r="C83" s="41">
        <f>IF(SUMIFS(Countries!$E$5:$E$434,Countries!$A$5:$A$434,"All landing pages",Countries!$B$5:$B$434,"Direct",Countries!$D$5:$D$434,$A83)=0,"",SUMIFS(Countries!$E$5:$E$434,Countries!$A$5:$A$434,"All landing pages",Countries!$B$5:$B$434,"Direct",Countries!$D$5:$D$434,$A83))</f>
        <v/>
      </c>
      <c r="D83" s="41">
        <f>IF(SUMIFS(Countries!$F$5:$F$434,Countries!$A$5:$A$434,"All landing pages",Countries!$B$5:$B$434,"Direct",Countries!$D$5:$D$434,$A83)=0,"",SUMIFS(Countries!$F$5:$F$434,Countries!$A$5:$A$434,"All landing pages",Countries!$B$5:$B$434,"Direct",Countries!$D$5:$D$434,$A83))</f>
        <v/>
      </c>
      <c r="E83" s="42">
        <f>IF(OR(C83="",D83="",D83=0,C83=0),"",D83/C83-1)</f>
        <v/>
      </c>
      <c r="F83" s="41">
        <f>IF(SUMIFS(Countries!$P$5:$P$434,Countries!$A$5:$A$434,"All landing pages",Countries!$B$5:$B$434,"Direct",Countries!$D$5:$D$434,$A83)=0,"",SUMIFS(Countries!$P$5:$P$434,Countries!$A$5:$A$434,"All landing pages",Countries!$B$5:$B$434,"Direct",Countries!$D$5:$D$434,$A83))</f>
        <v/>
      </c>
      <c r="G83" s="41">
        <f>IF(SUMIFS(Countries!$Q$5:$Q$434,Countries!$A$5:$A$434,"All landing pages",Countries!$B$5:$B$434,"Direct",Countries!$D$5:$D$434,$A83)=0,"",SUMIFS(Countries!$Q$5:$Q$434,Countries!$A$5:$A$434,"All landing pages",Countries!$B$5:$B$434,"Direct",Countries!$D$5:$D$434,$A83))</f>
        <v/>
      </c>
      <c r="H83" s="42">
        <f>IF(OR(F83="",G83="",G83=0,F83=0),"",G83/F83-1)</f>
        <v/>
      </c>
      <c r="I83" s="41">
        <f>IF(SUMIFS(Countries!$AR$5:$AR$434,Countries!$A$5:$A$434,"All landing pages",Countries!$B$5:$B$434,"Direct",Countries!$D$5:$D$434,$A83)=0,"",SUMIFS(Countries!$AR$5:$AR$434,Countries!$A$5:$A$434,"All landing pages",Countries!$B$5:$B$434,"Direct",Countries!$D$5:$D$434,$A83))</f>
        <v/>
      </c>
      <c r="J83" s="41">
        <f>IF(SUMIFS(Countries!$AS$5:$AS$434,Countries!$A$5:$A$434,"All landing pages",Countries!$B$5:$B$434,"Direct",Countries!$D$5:$D$434,$A83)=0,"",SUMIFS(Countries!$AS$5:$AS$434,Countries!$A$5:$A$434,"All landing pages",Countries!$B$5:$B$434,"Direct",Countries!$D$5:$D$434,$A83))</f>
        <v/>
      </c>
      <c r="K83" s="42">
        <f>IF(OR(I83="",J83="",J83=0,I83=0),"",J83/I83-1)</f>
        <v/>
      </c>
      <c r="L83" s="43">
        <f>IF(SUMIFS(Countries!$E$5:$E$434,Countries!$A$5:$A$434,"All landing pages",Countries!$B$5:$B$434,"Direct",Countries!$D$5:$D$434,$A83,Countries!$P$5:$P$434,"&gt;0")=0,"",SUMIFS(Countries!$P$5:$P$434,Countries!$A$5:$A$434,"All landing pages",Countries!$B$5:$B$434,"Direct",Countries!$D$5:$D$434,$A83,Countries!$E$5:$E$434,"&gt;0")/SUMIFS(Countries!$E$5:$E$434,Countries!$A$5:$A$434,"All landing pages",Countries!$B$5:$B$434,"Direct",Countries!$D$5:$D$434,$A83,Countries!$P$5:$P$434,"&gt;0"))</f>
        <v/>
      </c>
      <c r="M83" s="43">
        <f>IF(SUMIFS(Countries!$F$5:$F$434,Countries!$A$5:$A$434,"All landing pages",Countries!$B$5:$B$434,"Direct",Countries!$D$5:$D$434,$A83,Countries!$Q$5:$Q$434,"&gt;0")=0,"",SUMIFS(Countries!$Q$5:$Q$434,Countries!$A$5:$A$434,"All landing pages",Countries!$B$5:$B$434,"Direct",Countries!$D$5:$D$434,$A83,Countries!$F$5:$F$434,"&gt;0")/SUMIFS(Countries!$F$5:$F$434,Countries!$A$5:$A$434,"All landing pages",Countries!$B$5:$B$434,"Direct",Countries!$D$5:$D$434,$A83,Countries!$Q$5:$Q$434,"&gt;0"))</f>
        <v/>
      </c>
      <c r="N83" s="44">
        <f>IF(OR(L83="",M83=""),"",(M83-L83)*100)</f>
        <v/>
      </c>
      <c r="O83" s="45">
        <f>IF(SUMIFS(Countries!$P$5:$P$434,Countries!$A$5:$A$434,"All landing pages",Countries!$B$5:$B$434,"Direct",Countries!$D$5:$D$434,$A83,Countries!$AR$5:$AR$434,"&gt;0")=0,"",SUMIFS(Countries!$AR$5:$AR$434,Countries!$A$5:$A$434,"All landing pages",Countries!$B$5:$B$434,"Direct",Countries!$D$5:$D$434,$A83,Countries!$P$5:$P$434,"&gt;0")/SUMIFS(Countries!$P$5:$P$434,Countries!$A$5:$A$434,"All landing pages",Countries!$B$5:$B$434,"Direct",Countries!$D$5:$D$434,$A83,Countries!$AR$5:$AR$434,"&gt;0"))</f>
        <v/>
      </c>
      <c r="P83" s="45">
        <f>IF(SUMIFS(Countries!$Q$5:$Q$434,Countries!$A$5:$A$434,"All landing pages",Countries!$B$5:$B$434,"Direct",Countries!$D$5:$D$434,$A83,Countries!$AS$5:$AS$434,"&gt;0")=0,"",SUMIFS(Countries!$AS$5:$AS$434,Countries!$A$5:$A$434,"All landing pages",Countries!$B$5:$B$434,"Direct",Countries!$D$5:$D$434,$A83,Countries!$Q$5:$Q$434,"&gt;0")/SUMIFS(Countries!$Q$5:$Q$434,Countries!$A$5:$A$434,"All landing pages",Countries!$B$5:$B$434,"Direct",Countries!$D$5:$D$434,$A83,Countries!$AS$5:$AS$434,"&gt;0"))</f>
        <v/>
      </c>
      <c r="Q83" s="44">
        <f>IF(OR(O83="",P83=""),"",(P83-O83)*100)</f>
        <v/>
      </c>
      <c r="R83" s="45">
        <f>IF(SUMIFS(Countries!$E$5:$E$434,Countries!$A$5:$A$434,"All landing pages",Countries!$B$5:$B$434,"Direct",Countries!$D$5:$D$434,$A83,Countries!$AR$5:$AR$434,"&gt;0")=0,"",SUMIFS(Countries!$AR$5:$AR$434,Countries!$A$5:$A$434,"All landing pages",Countries!$B$5:$B$434,"Direct",Countries!$D$5:$D$434,$A83,Countries!$E$5:$E$434,"&gt;0")/SUMIFS(Countries!$E$5:$E$434,Countries!$A$5:$A$434,"All landing pages",Countries!$B$5:$B$434,"Direct",Countries!$D$5:$D$434,$A83,Countries!$AR$5:$AR$434,"&gt;0"))</f>
        <v/>
      </c>
      <c r="S83" s="45">
        <f>IF(SUMIFS(Countries!$F$5:$F$434,Countries!$A$5:$A$434,"All landing pages",Countries!$B$5:$B$434,"Direct",Countries!$D$5:$D$434,$A83,Countries!$AS$5:$AS$434,"&gt;0")=0,"",SUMIFS(Countries!$AS$5:$AS$434,Countries!$A$5:$A$434,"All landing pages",Countries!$B$5:$B$434,"Direct",Countries!$D$5:$D$434,$A83,Countries!$F$5:$F$434,"&gt;0")/SUMIFS(Countries!$F$5:$F$434,Countries!$A$5:$A$434,"All landing pages",Countries!$B$5:$B$434,"Direct",Countries!$D$5:$D$434,$A83,Countries!$AS$5:$AS$434,"&gt;0"))</f>
        <v/>
      </c>
      <c r="T83" s="44">
        <f>IF(OR(R83="",S83=""),"",(S83-R83)*100)</f>
        <v/>
      </c>
    </row>
    <row r="84">
      <c r="A84" s="40" t="inlineStr">
        <is>
          <t>Greece</t>
        </is>
      </c>
      <c r="B84" s="40" t="inlineStr">
        <is>
          <t>Direct</t>
        </is>
      </c>
      <c r="C84" s="41">
        <f>IF(SUMIFS(Countries!$E$5:$E$434,Countries!$A$5:$A$434,"All landing pages",Countries!$B$5:$B$434,"Direct",Countries!$D$5:$D$434,$A84)=0,"",SUMIFS(Countries!$E$5:$E$434,Countries!$A$5:$A$434,"All landing pages",Countries!$B$5:$B$434,"Direct",Countries!$D$5:$D$434,$A84))</f>
        <v/>
      </c>
      <c r="D84" s="41">
        <f>IF(SUMIFS(Countries!$F$5:$F$434,Countries!$A$5:$A$434,"All landing pages",Countries!$B$5:$B$434,"Direct",Countries!$D$5:$D$434,$A84)=0,"",SUMIFS(Countries!$F$5:$F$434,Countries!$A$5:$A$434,"All landing pages",Countries!$B$5:$B$434,"Direct",Countries!$D$5:$D$434,$A84))</f>
        <v/>
      </c>
      <c r="E84" s="42">
        <f>IF(OR(C84="",D84="",D84=0,C84=0),"",D84/C84-1)</f>
        <v/>
      </c>
      <c r="F84" s="41">
        <f>IF(SUMIFS(Countries!$P$5:$P$434,Countries!$A$5:$A$434,"All landing pages",Countries!$B$5:$B$434,"Direct",Countries!$D$5:$D$434,$A84)=0,"",SUMIFS(Countries!$P$5:$P$434,Countries!$A$5:$A$434,"All landing pages",Countries!$B$5:$B$434,"Direct",Countries!$D$5:$D$434,$A84))</f>
        <v/>
      </c>
      <c r="G84" s="41">
        <f>IF(SUMIFS(Countries!$Q$5:$Q$434,Countries!$A$5:$A$434,"All landing pages",Countries!$B$5:$B$434,"Direct",Countries!$D$5:$D$434,$A84)=0,"",SUMIFS(Countries!$Q$5:$Q$434,Countries!$A$5:$A$434,"All landing pages",Countries!$B$5:$B$434,"Direct",Countries!$D$5:$D$434,$A84))</f>
        <v/>
      </c>
      <c r="H84" s="42">
        <f>IF(OR(F84="",G84="",G84=0,F84=0),"",G84/F84-1)</f>
        <v/>
      </c>
      <c r="I84" s="41">
        <f>IF(SUMIFS(Countries!$AR$5:$AR$434,Countries!$A$5:$A$434,"All landing pages",Countries!$B$5:$B$434,"Direct",Countries!$D$5:$D$434,$A84)=0,"",SUMIFS(Countries!$AR$5:$AR$434,Countries!$A$5:$A$434,"All landing pages",Countries!$B$5:$B$434,"Direct",Countries!$D$5:$D$434,$A84))</f>
        <v/>
      </c>
      <c r="J84" s="41">
        <f>IF(SUMIFS(Countries!$AS$5:$AS$434,Countries!$A$5:$A$434,"All landing pages",Countries!$B$5:$B$434,"Direct",Countries!$D$5:$D$434,$A84)=0,"",SUMIFS(Countries!$AS$5:$AS$434,Countries!$A$5:$A$434,"All landing pages",Countries!$B$5:$B$434,"Direct",Countries!$D$5:$D$434,$A84))</f>
        <v/>
      </c>
      <c r="K84" s="42">
        <f>IF(OR(I84="",J84="",J84=0,I84=0),"",J84/I84-1)</f>
        <v/>
      </c>
      <c r="L84" s="43">
        <f>IF(SUMIFS(Countries!$E$5:$E$434,Countries!$A$5:$A$434,"All landing pages",Countries!$B$5:$B$434,"Direct",Countries!$D$5:$D$434,$A84,Countries!$P$5:$P$434,"&gt;0")=0,"",SUMIFS(Countries!$P$5:$P$434,Countries!$A$5:$A$434,"All landing pages",Countries!$B$5:$B$434,"Direct",Countries!$D$5:$D$434,$A84,Countries!$E$5:$E$434,"&gt;0")/SUMIFS(Countries!$E$5:$E$434,Countries!$A$5:$A$434,"All landing pages",Countries!$B$5:$B$434,"Direct",Countries!$D$5:$D$434,$A84,Countries!$P$5:$P$434,"&gt;0"))</f>
        <v/>
      </c>
      <c r="M84" s="43">
        <f>IF(SUMIFS(Countries!$F$5:$F$434,Countries!$A$5:$A$434,"All landing pages",Countries!$B$5:$B$434,"Direct",Countries!$D$5:$D$434,$A84,Countries!$Q$5:$Q$434,"&gt;0")=0,"",SUMIFS(Countries!$Q$5:$Q$434,Countries!$A$5:$A$434,"All landing pages",Countries!$B$5:$B$434,"Direct",Countries!$D$5:$D$434,$A84,Countries!$F$5:$F$434,"&gt;0")/SUMIFS(Countries!$F$5:$F$434,Countries!$A$5:$A$434,"All landing pages",Countries!$B$5:$B$434,"Direct",Countries!$D$5:$D$434,$A84,Countries!$Q$5:$Q$434,"&gt;0"))</f>
        <v/>
      </c>
      <c r="N84" s="44">
        <f>IF(OR(L84="",M84=""),"",(M84-L84)*100)</f>
        <v/>
      </c>
      <c r="O84" s="45">
        <f>IF(SUMIFS(Countries!$P$5:$P$434,Countries!$A$5:$A$434,"All landing pages",Countries!$B$5:$B$434,"Direct",Countries!$D$5:$D$434,$A84,Countries!$AR$5:$AR$434,"&gt;0")=0,"",SUMIFS(Countries!$AR$5:$AR$434,Countries!$A$5:$A$434,"All landing pages",Countries!$B$5:$B$434,"Direct",Countries!$D$5:$D$434,$A84,Countries!$P$5:$P$434,"&gt;0")/SUMIFS(Countries!$P$5:$P$434,Countries!$A$5:$A$434,"All landing pages",Countries!$B$5:$B$434,"Direct",Countries!$D$5:$D$434,$A84,Countries!$AR$5:$AR$434,"&gt;0"))</f>
        <v/>
      </c>
      <c r="P84" s="45">
        <f>IF(SUMIFS(Countries!$Q$5:$Q$434,Countries!$A$5:$A$434,"All landing pages",Countries!$B$5:$B$434,"Direct",Countries!$D$5:$D$434,$A84,Countries!$AS$5:$AS$434,"&gt;0")=0,"",SUMIFS(Countries!$AS$5:$AS$434,Countries!$A$5:$A$434,"All landing pages",Countries!$B$5:$B$434,"Direct",Countries!$D$5:$D$434,$A84,Countries!$Q$5:$Q$434,"&gt;0")/SUMIFS(Countries!$Q$5:$Q$434,Countries!$A$5:$A$434,"All landing pages",Countries!$B$5:$B$434,"Direct",Countries!$D$5:$D$434,$A84,Countries!$AS$5:$AS$434,"&gt;0"))</f>
        <v/>
      </c>
      <c r="Q84" s="44">
        <f>IF(OR(O84="",P84=""),"",(P84-O84)*100)</f>
        <v/>
      </c>
      <c r="R84" s="45">
        <f>IF(SUMIFS(Countries!$E$5:$E$434,Countries!$A$5:$A$434,"All landing pages",Countries!$B$5:$B$434,"Direct",Countries!$D$5:$D$434,$A84,Countries!$AR$5:$AR$434,"&gt;0")=0,"",SUMIFS(Countries!$AR$5:$AR$434,Countries!$A$5:$A$434,"All landing pages",Countries!$B$5:$B$434,"Direct",Countries!$D$5:$D$434,$A84,Countries!$E$5:$E$434,"&gt;0")/SUMIFS(Countries!$E$5:$E$434,Countries!$A$5:$A$434,"All landing pages",Countries!$B$5:$B$434,"Direct",Countries!$D$5:$D$434,$A84,Countries!$AR$5:$AR$434,"&gt;0"))</f>
        <v/>
      </c>
      <c r="S84" s="45">
        <f>IF(SUMIFS(Countries!$F$5:$F$434,Countries!$A$5:$A$434,"All landing pages",Countries!$B$5:$B$434,"Direct",Countries!$D$5:$D$434,$A84,Countries!$AS$5:$AS$434,"&gt;0")=0,"",SUMIFS(Countries!$AS$5:$AS$434,Countries!$A$5:$A$434,"All landing pages",Countries!$B$5:$B$434,"Direct",Countries!$D$5:$D$434,$A84,Countries!$F$5:$F$434,"&gt;0")/SUMIFS(Countries!$F$5:$F$434,Countries!$A$5:$A$434,"All landing pages",Countries!$B$5:$B$434,"Direct",Countries!$D$5:$D$434,$A84,Countries!$AS$5:$AS$434,"&gt;0"))</f>
        <v/>
      </c>
      <c r="T84" s="44">
        <f>IF(OR(R84="",S84=""),"",(S84-R84)*100)</f>
        <v/>
      </c>
    </row>
    <row r="85">
      <c r="A85" s="40" t="inlineStr">
        <is>
          <t>Switzerland</t>
        </is>
      </c>
      <c r="B85" s="40" t="inlineStr">
        <is>
          <t>Direct</t>
        </is>
      </c>
      <c r="C85" s="41">
        <f>IF(SUMIFS(Countries!$E$5:$E$434,Countries!$A$5:$A$434,"All landing pages",Countries!$B$5:$B$434,"Direct",Countries!$D$5:$D$434,$A85)=0,"",SUMIFS(Countries!$E$5:$E$434,Countries!$A$5:$A$434,"All landing pages",Countries!$B$5:$B$434,"Direct",Countries!$D$5:$D$434,$A85))</f>
        <v/>
      </c>
      <c r="D85" s="41">
        <f>IF(SUMIFS(Countries!$F$5:$F$434,Countries!$A$5:$A$434,"All landing pages",Countries!$B$5:$B$434,"Direct",Countries!$D$5:$D$434,$A85)=0,"",SUMIFS(Countries!$F$5:$F$434,Countries!$A$5:$A$434,"All landing pages",Countries!$B$5:$B$434,"Direct",Countries!$D$5:$D$434,$A85))</f>
        <v/>
      </c>
      <c r="E85" s="42">
        <f>IF(OR(C85="",D85="",D85=0,C85=0),"",D85/C85-1)</f>
        <v/>
      </c>
      <c r="F85" s="41">
        <f>IF(SUMIFS(Countries!$P$5:$P$434,Countries!$A$5:$A$434,"All landing pages",Countries!$B$5:$B$434,"Direct",Countries!$D$5:$D$434,$A85)=0,"",SUMIFS(Countries!$P$5:$P$434,Countries!$A$5:$A$434,"All landing pages",Countries!$B$5:$B$434,"Direct",Countries!$D$5:$D$434,$A85))</f>
        <v/>
      </c>
      <c r="G85" s="41">
        <f>IF(SUMIFS(Countries!$Q$5:$Q$434,Countries!$A$5:$A$434,"All landing pages",Countries!$B$5:$B$434,"Direct",Countries!$D$5:$D$434,$A85)=0,"",SUMIFS(Countries!$Q$5:$Q$434,Countries!$A$5:$A$434,"All landing pages",Countries!$B$5:$B$434,"Direct",Countries!$D$5:$D$434,$A85))</f>
        <v/>
      </c>
      <c r="H85" s="42">
        <f>IF(OR(F85="",G85="",G85=0,F85=0),"",G85/F85-1)</f>
        <v/>
      </c>
      <c r="I85" s="41">
        <f>IF(SUMIFS(Countries!$AR$5:$AR$434,Countries!$A$5:$A$434,"All landing pages",Countries!$B$5:$B$434,"Direct",Countries!$D$5:$D$434,$A85)=0,"",SUMIFS(Countries!$AR$5:$AR$434,Countries!$A$5:$A$434,"All landing pages",Countries!$B$5:$B$434,"Direct",Countries!$D$5:$D$434,$A85))</f>
        <v/>
      </c>
      <c r="J85" s="41">
        <f>IF(SUMIFS(Countries!$AS$5:$AS$434,Countries!$A$5:$A$434,"All landing pages",Countries!$B$5:$B$434,"Direct",Countries!$D$5:$D$434,$A85)=0,"",SUMIFS(Countries!$AS$5:$AS$434,Countries!$A$5:$A$434,"All landing pages",Countries!$B$5:$B$434,"Direct",Countries!$D$5:$D$434,$A85))</f>
        <v/>
      </c>
      <c r="K85" s="42">
        <f>IF(OR(I85="",J85="",J85=0,I85=0),"",J85/I85-1)</f>
        <v/>
      </c>
      <c r="L85" s="43">
        <f>IF(SUMIFS(Countries!$E$5:$E$434,Countries!$A$5:$A$434,"All landing pages",Countries!$B$5:$B$434,"Direct",Countries!$D$5:$D$434,$A85,Countries!$P$5:$P$434,"&gt;0")=0,"",SUMIFS(Countries!$P$5:$P$434,Countries!$A$5:$A$434,"All landing pages",Countries!$B$5:$B$434,"Direct",Countries!$D$5:$D$434,$A85,Countries!$E$5:$E$434,"&gt;0")/SUMIFS(Countries!$E$5:$E$434,Countries!$A$5:$A$434,"All landing pages",Countries!$B$5:$B$434,"Direct",Countries!$D$5:$D$434,$A85,Countries!$P$5:$P$434,"&gt;0"))</f>
        <v/>
      </c>
      <c r="M85" s="43">
        <f>IF(SUMIFS(Countries!$F$5:$F$434,Countries!$A$5:$A$434,"All landing pages",Countries!$B$5:$B$434,"Direct",Countries!$D$5:$D$434,$A85,Countries!$Q$5:$Q$434,"&gt;0")=0,"",SUMIFS(Countries!$Q$5:$Q$434,Countries!$A$5:$A$434,"All landing pages",Countries!$B$5:$B$434,"Direct",Countries!$D$5:$D$434,$A85,Countries!$F$5:$F$434,"&gt;0")/SUMIFS(Countries!$F$5:$F$434,Countries!$A$5:$A$434,"All landing pages",Countries!$B$5:$B$434,"Direct",Countries!$D$5:$D$434,$A85,Countries!$Q$5:$Q$434,"&gt;0"))</f>
        <v/>
      </c>
      <c r="N85" s="44">
        <f>IF(OR(L85="",M85=""),"",(M85-L85)*100)</f>
        <v/>
      </c>
      <c r="O85" s="45">
        <f>IF(SUMIFS(Countries!$P$5:$P$434,Countries!$A$5:$A$434,"All landing pages",Countries!$B$5:$B$434,"Direct",Countries!$D$5:$D$434,$A85,Countries!$AR$5:$AR$434,"&gt;0")=0,"",SUMIFS(Countries!$AR$5:$AR$434,Countries!$A$5:$A$434,"All landing pages",Countries!$B$5:$B$434,"Direct",Countries!$D$5:$D$434,$A85,Countries!$P$5:$P$434,"&gt;0")/SUMIFS(Countries!$P$5:$P$434,Countries!$A$5:$A$434,"All landing pages",Countries!$B$5:$B$434,"Direct",Countries!$D$5:$D$434,$A85,Countries!$AR$5:$AR$434,"&gt;0"))</f>
        <v/>
      </c>
      <c r="P85" s="45">
        <f>IF(SUMIFS(Countries!$Q$5:$Q$434,Countries!$A$5:$A$434,"All landing pages",Countries!$B$5:$B$434,"Direct",Countries!$D$5:$D$434,$A85,Countries!$AS$5:$AS$434,"&gt;0")=0,"",SUMIFS(Countries!$AS$5:$AS$434,Countries!$A$5:$A$434,"All landing pages",Countries!$B$5:$B$434,"Direct",Countries!$D$5:$D$434,$A85,Countries!$Q$5:$Q$434,"&gt;0")/SUMIFS(Countries!$Q$5:$Q$434,Countries!$A$5:$A$434,"All landing pages",Countries!$B$5:$B$434,"Direct",Countries!$D$5:$D$434,$A85,Countries!$AS$5:$AS$434,"&gt;0"))</f>
        <v/>
      </c>
      <c r="Q85" s="44">
        <f>IF(OR(O85="",P85=""),"",(P85-O85)*100)</f>
        <v/>
      </c>
      <c r="R85" s="45">
        <f>IF(SUMIFS(Countries!$E$5:$E$434,Countries!$A$5:$A$434,"All landing pages",Countries!$B$5:$B$434,"Direct",Countries!$D$5:$D$434,$A85,Countries!$AR$5:$AR$434,"&gt;0")=0,"",SUMIFS(Countries!$AR$5:$AR$434,Countries!$A$5:$A$434,"All landing pages",Countries!$B$5:$B$434,"Direct",Countries!$D$5:$D$434,$A85,Countries!$E$5:$E$434,"&gt;0")/SUMIFS(Countries!$E$5:$E$434,Countries!$A$5:$A$434,"All landing pages",Countries!$B$5:$B$434,"Direct",Countries!$D$5:$D$434,$A85,Countries!$AR$5:$AR$434,"&gt;0"))</f>
        <v/>
      </c>
      <c r="S85" s="45">
        <f>IF(SUMIFS(Countries!$F$5:$F$434,Countries!$A$5:$A$434,"All landing pages",Countries!$B$5:$B$434,"Direct",Countries!$D$5:$D$434,$A85,Countries!$AS$5:$AS$434,"&gt;0")=0,"",SUMIFS(Countries!$AS$5:$AS$434,Countries!$A$5:$A$434,"All landing pages",Countries!$B$5:$B$434,"Direct",Countries!$D$5:$D$434,$A85,Countries!$F$5:$F$434,"&gt;0")/SUMIFS(Countries!$F$5:$F$434,Countries!$A$5:$A$434,"All landing pages",Countries!$B$5:$B$434,"Direct",Countries!$D$5:$D$434,$A85,Countries!$AS$5:$AS$434,"&gt;0"))</f>
        <v/>
      </c>
      <c r="T85" s="44">
        <f>IF(OR(R85="",S85=""),"",(S85-R85)*100)</f>
        <v/>
      </c>
    </row>
    <row r="86">
      <c r="A86" s="40" t="inlineStr">
        <is>
          <t>(not set)</t>
        </is>
      </c>
      <c r="B86" s="40" t="inlineStr">
        <is>
          <t>Direct</t>
        </is>
      </c>
      <c r="C86" s="41">
        <f>IF(SUMIFS(Countries!$E$5:$E$434,Countries!$A$5:$A$434,"All landing pages",Countries!$B$5:$B$434,"Direct",Countries!$D$5:$D$434,$A86)=0,"",SUMIFS(Countries!$E$5:$E$434,Countries!$A$5:$A$434,"All landing pages",Countries!$B$5:$B$434,"Direct",Countries!$D$5:$D$434,$A86))</f>
        <v/>
      </c>
      <c r="D86" s="41">
        <f>IF(SUMIFS(Countries!$F$5:$F$434,Countries!$A$5:$A$434,"All landing pages",Countries!$B$5:$B$434,"Direct",Countries!$D$5:$D$434,$A86)=0,"",SUMIFS(Countries!$F$5:$F$434,Countries!$A$5:$A$434,"All landing pages",Countries!$B$5:$B$434,"Direct",Countries!$D$5:$D$434,$A86))</f>
        <v/>
      </c>
      <c r="E86" s="42">
        <f>IF(OR(C86="",D86="",D86=0,C86=0),"",D86/C86-1)</f>
        <v/>
      </c>
      <c r="F86" s="41">
        <f>IF(SUMIFS(Countries!$P$5:$P$434,Countries!$A$5:$A$434,"All landing pages",Countries!$B$5:$B$434,"Direct",Countries!$D$5:$D$434,$A86)=0,"",SUMIFS(Countries!$P$5:$P$434,Countries!$A$5:$A$434,"All landing pages",Countries!$B$5:$B$434,"Direct",Countries!$D$5:$D$434,$A86))</f>
        <v/>
      </c>
      <c r="G86" s="41">
        <f>IF(SUMIFS(Countries!$Q$5:$Q$434,Countries!$A$5:$A$434,"All landing pages",Countries!$B$5:$B$434,"Direct",Countries!$D$5:$D$434,$A86)=0,"",SUMIFS(Countries!$Q$5:$Q$434,Countries!$A$5:$A$434,"All landing pages",Countries!$B$5:$B$434,"Direct",Countries!$D$5:$D$434,$A86))</f>
        <v/>
      </c>
      <c r="H86" s="42">
        <f>IF(OR(F86="",G86="",G86=0,F86=0),"",G86/F86-1)</f>
        <v/>
      </c>
      <c r="I86" s="41">
        <f>IF(SUMIFS(Countries!$AR$5:$AR$434,Countries!$A$5:$A$434,"All landing pages",Countries!$B$5:$B$434,"Direct",Countries!$D$5:$D$434,$A86)=0,"",SUMIFS(Countries!$AR$5:$AR$434,Countries!$A$5:$A$434,"All landing pages",Countries!$B$5:$B$434,"Direct",Countries!$D$5:$D$434,$A86))</f>
        <v/>
      </c>
      <c r="J86" s="41">
        <f>IF(SUMIFS(Countries!$AS$5:$AS$434,Countries!$A$5:$A$434,"All landing pages",Countries!$B$5:$B$434,"Direct",Countries!$D$5:$D$434,$A86)=0,"",SUMIFS(Countries!$AS$5:$AS$434,Countries!$A$5:$A$434,"All landing pages",Countries!$B$5:$B$434,"Direct",Countries!$D$5:$D$434,$A86))</f>
        <v/>
      </c>
      <c r="K86" s="42">
        <f>IF(OR(I86="",J86="",J86=0,I86=0),"",J86/I86-1)</f>
        <v/>
      </c>
      <c r="L86" s="43">
        <f>IF(SUMIFS(Countries!$E$5:$E$434,Countries!$A$5:$A$434,"All landing pages",Countries!$B$5:$B$434,"Direct",Countries!$D$5:$D$434,$A86,Countries!$P$5:$P$434,"&gt;0")=0,"",SUMIFS(Countries!$P$5:$P$434,Countries!$A$5:$A$434,"All landing pages",Countries!$B$5:$B$434,"Direct",Countries!$D$5:$D$434,$A86,Countries!$E$5:$E$434,"&gt;0")/SUMIFS(Countries!$E$5:$E$434,Countries!$A$5:$A$434,"All landing pages",Countries!$B$5:$B$434,"Direct",Countries!$D$5:$D$434,$A86,Countries!$P$5:$P$434,"&gt;0"))</f>
        <v/>
      </c>
      <c r="M86" s="43">
        <f>IF(SUMIFS(Countries!$F$5:$F$434,Countries!$A$5:$A$434,"All landing pages",Countries!$B$5:$B$434,"Direct",Countries!$D$5:$D$434,$A86,Countries!$Q$5:$Q$434,"&gt;0")=0,"",SUMIFS(Countries!$Q$5:$Q$434,Countries!$A$5:$A$434,"All landing pages",Countries!$B$5:$B$434,"Direct",Countries!$D$5:$D$434,$A86,Countries!$F$5:$F$434,"&gt;0")/SUMIFS(Countries!$F$5:$F$434,Countries!$A$5:$A$434,"All landing pages",Countries!$B$5:$B$434,"Direct",Countries!$D$5:$D$434,$A86,Countries!$Q$5:$Q$434,"&gt;0"))</f>
        <v/>
      </c>
      <c r="N86" s="44">
        <f>IF(OR(L86="",M86=""),"",(M86-L86)*100)</f>
        <v/>
      </c>
      <c r="O86" s="45">
        <f>IF(SUMIFS(Countries!$P$5:$P$434,Countries!$A$5:$A$434,"All landing pages",Countries!$B$5:$B$434,"Direct",Countries!$D$5:$D$434,$A86,Countries!$AR$5:$AR$434,"&gt;0")=0,"",SUMIFS(Countries!$AR$5:$AR$434,Countries!$A$5:$A$434,"All landing pages",Countries!$B$5:$B$434,"Direct",Countries!$D$5:$D$434,$A86,Countries!$P$5:$P$434,"&gt;0")/SUMIFS(Countries!$P$5:$P$434,Countries!$A$5:$A$434,"All landing pages",Countries!$B$5:$B$434,"Direct",Countries!$D$5:$D$434,$A86,Countries!$AR$5:$AR$434,"&gt;0"))</f>
        <v/>
      </c>
      <c r="P86" s="45">
        <f>IF(SUMIFS(Countries!$Q$5:$Q$434,Countries!$A$5:$A$434,"All landing pages",Countries!$B$5:$B$434,"Direct",Countries!$D$5:$D$434,$A86,Countries!$AS$5:$AS$434,"&gt;0")=0,"",SUMIFS(Countries!$AS$5:$AS$434,Countries!$A$5:$A$434,"All landing pages",Countries!$B$5:$B$434,"Direct",Countries!$D$5:$D$434,$A86,Countries!$Q$5:$Q$434,"&gt;0")/SUMIFS(Countries!$Q$5:$Q$434,Countries!$A$5:$A$434,"All landing pages",Countries!$B$5:$B$434,"Direct",Countries!$D$5:$D$434,$A86,Countries!$AS$5:$AS$434,"&gt;0"))</f>
        <v/>
      </c>
      <c r="Q86" s="44">
        <f>IF(OR(O86="",P86=""),"",(P86-O86)*100)</f>
        <v/>
      </c>
      <c r="R86" s="45">
        <f>IF(SUMIFS(Countries!$E$5:$E$434,Countries!$A$5:$A$434,"All landing pages",Countries!$B$5:$B$434,"Direct",Countries!$D$5:$D$434,$A86,Countries!$AR$5:$AR$434,"&gt;0")=0,"",SUMIFS(Countries!$AR$5:$AR$434,Countries!$A$5:$A$434,"All landing pages",Countries!$B$5:$B$434,"Direct",Countries!$D$5:$D$434,$A86,Countries!$E$5:$E$434,"&gt;0")/SUMIFS(Countries!$E$5:$E$434,Countries!$A$5:$A$434,"All landing pages",Countries!$B$5:$B$434,"Direct",Countries!$D$5:$D$434,$A86,Countries!$AR$5:$AR$434,"&gt;0"))</f>
        <v/>
      </c>
      <c r="S86" s="45">
        <f>IF(SUMIFS(Countries!$F$5:$F$434,Countries!$A$5:$A$434,"All landing pages",Countries!$B$5:$B$434,"Direct",Countries!$D$5:$D$434,$A86,Countries!$AS$5:$AS$434,"&gt;0")=0,"",SUMIFS(Countries!$AS$5:$AS$434,Countries!$A$5:$A$434,"All landing pages",Countries!$B$5:$B$434,"Direct",Countries!$D$5:$D$434,$A86,Countries!$F$5:$F$434,"&gt;0")/SUMIFS(Countries!$F$5:$F$434,Countries!$A$5:$A$434,"All landing pages",Countries!$B$5:$B$434,"Direct",Countries!$D$5:$D$434,$A86,Countries!$AS$5:$AS$434,"&gt;0"))</f>
        <v/>
      </c>
      <c r="T86" s="44">
        <f>IF(OR(R86="",S86=""),"",(S86-R86)*100)</f>
        <v/>
      </c>
    </row>
    <row r="87">
      <c r="A87" s="40" t="inlineStr">
        <is>
          <t>Philippines</t>
        </is>
      </c>
      <c r="B87" s="40" t="inlineStr">
        <is>
          <t>Direct</t>
        </is>
      </c>
      <c r="C87" s="41">
        <f>IF(SUMIFS(Countries!$E$5:$E$434,Countries!$A$5:$A$434,"All landing pages",Countries!$B$5:$B$434,"Direct",Countries!$D$5:$D$434,$A87)=0,"",SUMIFS(Countries!$E$5:$E$434,Countries!$A$5:$A$434,"All landing pages",Countries!$B$5:$B$434,"Direct",Countries!$D$5:$D$434,$A87))</f>
        <v/>
      </c>
      <c r="D87" s="41">
        <f>IF(SUMIFS(Countries!$F$5:$F$434,Countries!$A$5:$A$434,"All landing pages",Countries!$B$5:$B$434,"Direct",Countries!$D$5:$D$434,$A87)=0,"",SUMIFS(Countries!$F$5:$F$434,Countries!$A$5:$A$434,"All landing pages",Countries!$B$5:$B$434,"Direct",Countries!$D$5:$D$434,$A87))</f>
        <v/>
      </c>
      <c r="E87" s="42">
        <f>IF(OR(C87="",D87="",D87=0,C87=0),"",D87/C87-1)</f>
        <v/>
      </c>
      <c r="F87" s="41">
        <f>IF(SUMIFS(Countries!$P$5:$P$434,Countries!$A$5:$A$434,"All landing pages",Countries!$B$5:$B$434,"Direct",Countries!$D$5:$D$434,$A87)=0,"",SUMIFS(Countries!$P$5:$P$434,Countries!$A$5:$A$434,"All landing pages",Countries!$B$5:$B$434,"Direct",Countries!$D$5:$D$434,$A87))</f>
        <v/>
      </c>
      <c r="G87" s="41">
        <f>IF(SUMIFS(Countries!$Q$5:$Q$434,Countries!$A$5:$A$434,"All landing pages",Countries!$B$5:$B$434,"Direct",Countries!$D$5:$D$434,$A87)=0,"",SUMIFS(Countries!$Q$5:$Q$434,Countries!$A$5:$A$434,"All landing pages",Countries!$B$5:$B$434,"Direct",Countries!$D$5:$D$434,$A87))</f>
        <v/>
      </c>
      <c r="H87" s="42">
        <f>IF(OR(F87="",G87="",G87=0,F87=0),"",G87/F87-1)</f>
        <v/>
      </c>
      <c r="I87" s="41">
        <f>IF(SUMIFS(Countries!$AR$5:$AR$434,Countries!$A$5:$A$434,"All landing pages",Countries!$B$5:$B$434,"Direct",Countries!$D$5:$D$434,$A87)=0,"",SUMIFS(Countries!$AR$5:$AR$434,Countries!$A$5:$A$434,"All landing pages",Countries!$B$5:$B$434,"Direct",Countries!$D$5:$D$434,$A87))</f>
        <v/>
      </c>
      <c r="J87" s="41">
        <f>IF(SUMIFS(Countries!$AS$5:$AS$434,Countries!$A$5:$A$434,"All landing pages",Countries!$B$5:$B$434,"Direct",Countries!$D$5:$D$434,$A87)=0,"",SUMIFS(Countries!$AS$5:$AS$434,Countries!$A$5:$A$434,"All landing pages",Countries!$B$5:$B$434,"Direct",Countries!$D$5:$D$434,$A87))</f>
        <v/>
      </c>
      <c r="K87" s="42">
        <f>IF(OR(I87="",J87="",J87=0,I87=0),"",J87/I87-1)</f>
        <v/>
      </c>
      <c r="L87" s="43">
        <f>IF(SUMIFS(Countries!$E$5:$E$434,Countries!$A$5:$A$434,"All landing pages",Countries!$B$5:$B$434,"Direct",Countries!$D$5:$D$434,$A87,Countries!$P$5:$P$434,"&gt;0")=0,"",SUMIFS(Countries!$P$5:$P$434,Countries!$A$5:$A$434,"All landing pages",Countries!$B$5:$B$434,"Direct",Countries!$D$5:$D$434,$A87,Countries!$E$5:$E$434,"&gt;0")/SUMIFS(Countries!$E$5:$E$434,Countries!$A$5:$A$434,"All landing pages",Countries!$B$5:$B$434,"Direct",Countries!$D$5:$D$434,$A87,Countries!$P$5:$P$434,"&gt;0"))</f>
        <v/>
      </c>
      <c r="M87" s="43">
        <f>IF(SUMIFS(Countries!$F$5:$F$434,Countries!$A$5:$A$434,"All landing pages",Countries!$B$5:$B$434,"Direct",Countries!$D$5:$D$434,$A87,Countries!$Q$5:$Q$434,"&gt;0")=0,"",SUMIFS(Countries!$Q$5:$Q$434,Countries!$A$5:$A$434,"All landing pages",Countries!$B$5:$B$434,"Direct",Countries!$D$5:$D$434,$A87,Countries!$F$5:$F$434,"&gt;0")/SUMIFS(Countries!$F$5:$F$434,Countries!$A$5:$A$434,"All landing pages",Countries!$B$5:$B$434,"Direct",Countries!$D$5:$D$434,$A87,Countries!$Q$5:$Q$434,"&gt;0"))</f>
        <v/>
      </c>
      <c r="N87" s="44">
        <f>IF(OR(L87="",M87=""),"",(M87-L87)*100)</f>
        <v/>
      </c>
      <c r="O87" s="45">
        <f>IF(SUMIFS(Countries!$P$5:$P$434,Countries!$A$5:$A$434,"All landing pages",Countries!$B$5:$B$434,"Direct",Countries!$D$5:$D$434,$A87,Countries!$AR$5:$AR$434,"&gt;0")=0,"",SUMIFS(Countries!$AR$5:$AR$434,Countries!$A$5:$A$434,"All landing pages",Countries!$B$5:$B$434,"Direct",Countries!$D$5:$D$434,$A87,Countries!$P$5:$P$434,"&gt;0")/SUMIFS(Countries!$P$5:$P$434,Countries!$A$5:$A$434,"All landing pages",Countries!$B$5:$B$434,"Direct",Countries!$D$5:$D$434,$A87,Countries!$AR$5:$AR$434,"&gt;0"))</f>
        <v/>
      </c>
      <c r="P87" s="45">
        <f>IF(SUMIFS(Countries!$Q$5:$Q$434,Countries!$A$5:$A$434,"All landing pages",Countries!$B$5:$B$434,"Direct",Countries!$D$5:$D$434,$A87,Countries!$AS$5:$AS$434,"&gt;0")=0,"",SUMIFS(Countries!$AS$5:$AS$434,Countries!$A$5:$A$434,"All landing pages",Countries!$B$5:$B$434,"Direct",Countries!$D$5:$D$434,$A87,Countries!$Q$5:$Q$434,"&gt;0")/SUMIFS(Countries!$Q$5:$Q$434,Countries!$A$5:$A$434,"All landing pages",Countries!$B$5:$B$434,"Direct",Countries!$D$5:$D$434,$A87,Countries!$AS$5:$AS$434,"&gt;0"))</f>
        <v/>
      </c>
      <c r="Q87" s="44">
        <f>IF(OR(O87="",P87=""),"",(P87-O87)*100)</f>
        <v/>
      </c>
      <c r="R87" s="45">
        <f>IF(SUMIFS(Countries!$E$5:$E$434,Countries!$A$5:$A$434,"All landing pages",Countries!$B$5:$B$434,"Direct",Countries!$D$5:$D$434,$A87,Countries!$AR$5:$AR$434,"&gt;0")=0,"",SUMIFS(Countries!$AR$5:$AR$434,Countries!$A$5:$A$434,"All landing pages",Countries!$B$5:$B$434,"Direct",Countries!$D$5:$D$434,$A87,Countries!$E$5:$E$434,"&gt;0")/SUMIFS(Countries!$E$5:$E$434,Countries!$A$5:$A$434,"All landing pages",Countries!$B$5:$B$434,"Direct",Countries!$D$5:$D$434,$A87,Countries!$AR$5:$AR$434,"&gt;0"))</f>
        <v/>
      </c>
      <c r="S87" s="45">
        <f>IF(SUMIFS(Countries!$F$5:$F$434,Countries!$A$5:$A$434,"All landing pages",Countries!$B$5:$B$434,"Direct",Countries!$D$5:$D$434,$A87,Countries!$AS$5:$AS$434,"&gt;0")=0,"",SUMIFS(Countries!$AS$5:$AS$434,Countries!$A$5:$A$434,"All landing pages",Countries!$B$5:$B$434,"Direct",Countries!$D$5:$D$434,$A87,Countries!$F$5:$F$434,"&gt;0")/SUMIFS(Countries!$F$5:$F$434,Countries!$A$5:$A$434,"All landing pages",Countries!$B$5:$B$434,"Direct",Countries!$D$5:$D$434,$A87,Countries!$AS$5:$AS$434,"&gt;0"))</f>
        <v/>
      </c>
      <c r="T87" s="44">
        <f>IF(OR(R87="",S87=""),"",(S87-R87)*100)</f>
        <v/>
      </c>
    </row>
    <row r="88">
      <c r="A88" s="40" t="inlineStr">
        <is>
          <t>Ukraine</t>
        </is>
      </c>
      <c r="B88" s="40" t="inlineStr">
        <is>
          <t>Direct</t>
        </is>
      </c>
      <c r="C88" s="41">
        <f>IF(SUMIFS(Countries!$E$5:$E$434,Countries!$A$5:$A$434,"All landing pages",Countries!$B$5:$B$434,"Direct",Countries!$D$5:$D$434,$A88)=0,"",SUMIFS(Countries!$E$5:$E$434,Countries!$A$5:$A$434,"All landing pages",Countries!$B$5:$B$434,"Direct",Countries!$D$5:$D$434,$A88))</f>
        <v/>
      </c>
      <c r="D88" s="41">
        <f>IF(SUMIFS(Countries!$F$5:$F$434,Countries!$A$5:$A$434,"All landing pages",Countries!$B$5:$B$434,"Direct",Countries!$D$5:$D$434,$A88)=0,"",SUMIFS(Countries!$F$5:$F$434,Countries!$A$5:$A$434,"All landing pages",Countries!$B$5:$B$434,"Direct",Countries!$D$5:$D$434,$A88))</f>
        <v/>
      </c>
      <c r="E88" s="42">
        <f>IF(OR(C88="",D88="",D88=0,C88=0),"",D88/C88-1)</f>
        <v/>
      </c>
      <c r="F88" s="41">
        <f>IF(SUMIFS(Countries!$P$5:$P$434,Countries!$A$5:$A$434,"All landing pages",Countries!$B$5:$B$434,"Direct",Countries!$D$5:$D$434,$A88)=0,"",SUMIFS(Countries!$P$5:$P$434,Countries!$A$5:$A$434,"All landing pages",Countries!$B$5:$B$434,"Direct",Countries!$D$5:$D$434,$A88))</f>
        <v/>
      </c>
      <c r="G88" s="41">
        <f>IF(SUMIFS(Countries!$Q$5:$Q$434,Countries!$A$5:$A$434,"All landing pages",Countries!$B$5:$B$434,"Direct",Countries!$D$5:$D$434,$A88)=0,"",SUMIFS(Countries!$Q$5:$Q$434,Countries!$A$5:$A$434,"All landing pages",Countries!$B$5:$B$434,"Direct",Countries!$D$5:$D$434,$A88))</f>
        <v/>
      </c>
      <c r="H88" s="42">
        <f>IF(OR(F88="",G88="",G88=0,F88=0),"",G88/F88-1)</f>
        <v/>
      </c>
      <c r="I88" s="41">
        <f>IF(SUMIFS(Countries!$AR$5:$AR$434,Countries!$A$5:$A$434,"All landing pages",Countries!$B$5:$B$434,"Direct",Countries!$D$5:$D$434,$A88)=0,"",SUMIFS(Countries!$AR$5:$AR$434,Countries!$A$5:$A$434,"All landing pages",Countries!$B$5:$B$434,"Direct",Countries!$D$5:$D$434,$A88))</f>
        <v/>
      </c>
      <c r="J88" s="41">
        <f>IF(SUMIFS(Countries!$AS$5:$AS$434,Countries!$A$5:$A$434,"All landing pages",Countries!$B$5:$B$434,"Direct",Countries!$D$5:$D$434,$A88)=0,"",SUMIFS(Countries!$AS$5:$AS$434,Countries!$A$5:$A$434,"All landing pages",Countries!$B$5:$B$434,"Direct",Countries!$D$5:$D$434,$A88))</f>
        <v/>
      </c>
      <c r="K88" s="42">
        <f>IF(OR(I88="",J88="",J88=0,I88=0),"",J88/I88-1)</f>
        <v/>
      </c>
      <c r="L88" s="43">
        <f>IF(SUMIFS(Countries!$E$5:$E$434,Countries!$A$5:$A$434,"All landing pages",Countries!$B$5:$B$434,"Direct",Countries!$D$5:$D$434,$A88,Countries!$P$5:$P$434,"&gt;0")=0,"",SUMIFS(Countries!$P$5:$P$434,Countries!$A$5:$A$434,"All landing pages",Countries!$B$5:$B$434,"Direct",Countries!$D$5:$D$434,$A88,Countries!$E$5:$E$434,"&gt;0")/SUMIFS(Countries!$E$5:$E$434,Countries!$A$5:$A$434,"All landing pages",Countries!$B$5:$B$434,"Direct",Countries!$D$5:$D$434,$A88,Countries!$P$5:$P$434,"&gt;0"))</f>
        <v/>
      </c>
      <c r="M88" s="43">
        <f>IF(SUMIFS(Countries!$F$5:$F$434,Countries!$A$5:$A$434,"All landing pages",Countries!$B$5:$B$434,"Direct",Countries!$D$5:$D$434,$A88,Countries!$Q$5:$Q$434,"&gt;0")=0,"",SUMIFS(Countries!$Q$5:$Q$434,Countries!$A$5:$A$434,"All landing pages",Countries!$B$5:$B$434,"Direct",Countries!$D$5:$D$434,$A88,Countries!$F$5:$F$434,"&gt;0")/SUMIFS(Countries!$F$5:$F$434,Countries!$A$5:$A$434,"All landing pages",Countries!$B$5:$B$434,"Direct",Countries!$D$5:$D$434,$A88,Countries!$Q$5:$Q$434,"&gt;0"))</f>
        <v/>
      </c>
      <c r="N88" s="44">
        <f>IF(OR(L88="",M88=""),"",(M88-L88)*100)</f>
        <v/>
      </c>
      <c r="O88" s="45">
        <f>IF(SUMIFS(Countries!$P$5:$P$434,Countries!$A$5:$A$434,"All landing pages",Countries!$B$5:$B$434,"Direct",Countries!$D$5:$D$434,$A88,Countries!$AR$5:$AR$434,"&gt;0")=0,"",SUMIFS(Countries!$AR$5:$AR$434,Countries!$A$5:$A$434,"All landing pages",Countries!$B$5:$B$434,"Direct",Countries!$D$5:$D$434,$A88,Countries!$P$5:$P$434,"&gt;0")/SUMIFS(Countries!$P$5:$P$434,Countries!$A$5:$A$434,"All landing pages",Countries!$B$5:$B$434,"Direct",Countries!$D$5:$D$434,$A88,Countries!$AR$5:$AR$434,"&gt;0"))</f>
        <v/>
      </c>
      <c r="P88" s="45">
        <f>IF(SUMIFS(Countries!$Q$5:$Q$434,Countries!$A$5:$A$434,"All landing pages",Countries!$B$5:$B$434,"Direct",Countries!$D$5:$D$434,$A88,Countries!$AS$5:$AS$434,"&gt;0")=0,"",SUMIFS(Countries!$AS$5:$AS$434,Countries!$A$5:$A$434,"All landing pages",Countries!$B$5:$B$434,"Direct",Countries!$D$5:$D$434,$A88,Countries!$Q$5:$Q$434,"&gt;0")/SUMIFS(Countries!$Q$5:$Q$434,Countries!$A$5:$A$434,"All landing pages",Countries!$B$5:$B$434,"Direct",Countries!$D$5:$D$434,$A88,Countries!$AS$5:$AS$434,"&gt;0"))</f>
        <v/>
      </c>
      <c r="Q88" s="44">
        <f>IF(OR(O88="",P88=""),"",(P88-O88)*100)</f>
        <v/>
      </c>
      <c r="R88" s="45">
        <f>IF(SUMIFS(Countries!$E$5:$E$434,Countries!$A$5:$A$434,"All landing pages",Countries!$B$5:$B$434,"Direct",Countries!$D$5:$D$434,$A88,Countries!$AR$5:$AR$434,"&gt;0")=0,"",SUMIFS(Countries!$AR$5:$AR$434,Countries!$A$5:$A$434,"All landing pages",Countries!$B$5:$B$434,"Direct",Countries!$D$5:$D$434,$A88,Countries!$E$5:$E$434,"&gt;0")/SUMIFS(Countries!$E$5:$E$434,Countries!$A$5:$A$434,"All landing pages",Countries!$B$5:$B$434,"Direct",Countries!$D$5:$D$434,$A88,Countries!$AR$5:$AR$434,"&gt;0"))</f>
        <v/>
      </c>
      <c r="S88" s="45">
        <f>IF(SUMIFS(Countries!$F$5:$F$434,Countries!$A$5:$A$434,"All landing pages",Countries!$B$5:$B$434,"Direct",Countries!$D$5:$D$434,$A88,Countries!$AS$5:$AS$434,"&gt;0")=0,"",SUMIFS(Countries!$AS$5:$AS$434,Countries!$A$5:$A$434,"All landing pages",Countries!$B$5:$B$434,"Direct",Countries!$D$5:$D$434,$A88,Countries!$F$5:$F$434,"&gt;0")/SUMIFS(Countries!$F$5:$F$434,Countries!$A$5:$A$434,"All landing pages",Countries!$B$5:$B$434,"Direct",Countries!$D$5:$D$434,$A88,Countries!$AS$5:$AS$434,"&gt;0"))</f>
        <v/>
      </c>
      <c r="T88" s="44">
        <f>IF(OR(R88="",S88=""),"",(S88-R88)*100)</f>
        <v/>
      </c>
    </row>
    <row r="89">
      <c r="A89" s="32" t="inlineStr">
        <is>
          <t>Sum of listed markets</t>
        </is>
      </c>
      <c r="B89" s="32" t="inlineStr">
        <is>
          <t>Direct</t>
        </is>
      </c>
      <c r="C89" s="33">
        <f>SUM(C65:C88)</f>
        <v/>
      </c>
      <c r="D89" s="33">
        <f>SUM(D65:D88)</f>
        <v/>
      </c>
      <c r="E89" s="34">
        <f>IF(OR(C89="",D89="",D89=0,C89=0),"",D89/C89-1)</f>
        <v/>
      </c>
      <c r="F89" s="33">
        <f>SUM(F65:F88)</f>
        <v/>
      </c>
      <c r="G89" s="33">
        <f>SUM(G65:G88)</f>
        <v/>
      </c>
      <c r="H89" s="34">
        <f>IF(OR(F89="",G89="",G89=0,F89=0),"",G89/F89-1)</f>
        <v/>
      </c>
      <c r="I89" s="33">
        <f>SUM(I65:I88)</f>
        <v/>
      </c>
      <c r="J89" s="33">
        <f>SUM(J65:J88)</f>
        <v/>
      </c>
      <c r="K89" s="34">
        <f>IF(OR(I89="",J89="",J89=0,I89=0),"",J89/I89-1)</f>
        <v/>
      </c>
      <c r="L89" s="35">
        <f>IF(OR(F89="",C89="",C89=0),"",F89/C89)</f>
        <v/>
      </c>
      <c r="M89" s="35">
        <f>IF(OR(G89="",D89="",D89=0),"",G89/D89)</f>
        <v/>
      </c>
      <c r="N89" s="36">
        <f>IF(OR(L89="",M89=""),"",(M89-L89)*100)</f>
        <v/>
      </c>
      <c r="O89" s="37">
        <f>IF(OR(I89="",F89="",F89=0),"",I89/F89)</f>
        <v/>
      </c>
      <c r="P89" s="37">
        <f>IF(OR(J89="",G89="",G89=0),"",J89/G89)</f>
        <v/>
      </c>
      <c r="Q89" s="36">
        <f>IF(OR(O89="",P89=""),"",(P89-O89)*100)</f>
        <v/>
      </c>
      <c r="R89" s="37">
        <f>IF(OR(I89="",C89="",C89=0),"",I89/C89)</f>
        <v/>
      </c>
      <c r="S89" s="37">
        <f>IF(OR(J89="",D89="",D89=0),"",J89/D89)</f>
        <v/>
      </c>
      <c r="T89" s="36">
        <f>IF(OR(R89="",S89=""),"",(S89-R89)*100)</f>
        <v/>
      </c>
      <c r="U89" s="38" t="n"/>
      <c r="V89" s="38" t="n"/>
      <c r="W89" s="38" t="n"/>
      <c r="X89" s="38" t="n"/>
      <c r="Y89" s="38" t="n"/>
      <c r="Z89" s="38" t="n"/>
      <c r="AA89" s="38" t="n"/>
      <c r="AB89" s="38" t="n"/>
      <c r="AC89" s="38" t="n"/>
      <c r="AD89" s="38" t="n"/>
      <c r="AE89" s="38" t="n"/>
      <c r="AF89" s="38" t="n"/>
      <c r="AG89" s="38" t="n"/>
      <c r="AH89" s="38" t="n"/>
      <c r="AI89" s="38" t="n"/>
      <c r="AJ89" s="38" t="n"/>
      <c r="AK89" s="38" t="n"/>
      <c r="AL89" s="38" t="n"/>
      <c r="AM89" s="38" t="n"/>
      <c r="AN89" s="38" t="n"/>
      <c r="AO89" s="38" t="n"/>
      <c r="AP89" s="38" t="n"/>
      <c r="AQ89" s="38" t="n"/>
      <c r="AR89" s="38" t="n"/>
      <c r="AS89" s="38" t="n"/>
      <c r="AT89" s="38" t="n"/>
      <c r="AU89" s="38" t="n"/>
      <c r="AV89" s="38" t="n"/>
      <c r="AW89" s="38" t="n"/>
      <c r="AX89" s="38" t="n"/>
      <c r="AY89" s="38" t="n"/>
      <c r="AZ89" s="38" t="n"/>
      <c r="BA89" s="38" t="n"/>
      <c r="BB89" s="38" t="n"/>
    </row>
    <row r="90">
      <c r="A90" s="32" t="inlineStr">
        <is>
          <t>Scorecard total (Direct)</t>
        </is>
      </c>
      <c r="B90" s="32" t="inlineStr">
        <is>
          <t>All</t>
        </is>
      </c>
      <c r="C90" s="33">
        <f>SUMIFS(Totals!$D$5:$D$49,Totals!$A$5:$A$49,"All landing pages",Totals!$B$5:$B$49,"Direct",Totals!$C$5:$C$49,"Total")</f>
        <v/>
      </c>
      <c r="D90" s="33">
        <f>SUMIFS(Totals!$E$5:$E$49,Totals!$A$5:$A$49,"All landing pages",Totals!$B$5:$B$49,"Direct",Totals!$C$5:$C$49,"Total")</f>
        <v/>
      </c>
      <c r="E90" s="34">
        <f>IF(OR(C90="",D90="",D90=0,C90=0),"",D90/C90-1)</f>
        <v/>
      </c>
      <c r="F90" s="33">
        <f>SUMIFS(Totals!$O$5:$O$49,Totals!$A$5:$A$49,"All landing pages",Totals!$B$5:$B$49,"Direct",Totals!$C$5:$C$49,"Total")</f>
        <v/>
      </c>
      <c r="G90" s="33">
        <f>SUMIFS(Totals!$P$5:$P$49,Totals!$A$5:$A$49,"All landing pages",Totals!$B$5:$B$49,"Direct",Totals!$C$5:$C$49,"Total")</f>
        <v/>
      </c>
      <c r="H90" s="34">
        <f>IF(OR(F90="",G90="",G90=0,F90=0),"",G90/F90-1)</f>
        <v/>
      </c>
      <c r="I90" s="33">
        <f>SUMIFS(Totals!$AQ$5:$AQ$49,Totals!$A$5:$A$49,"All landing pages",Totals!$B$5:$B$49,"Direct",Totals!$C$5:$C$49,"Total")</f>
        <v/>
      </c>
      <c r="J90" s="33">
        <f>SUMIFS(Totals!$AR$5:$AR$49,Totals!$A$5:$A$49,"All landing pages",Totals!$B$5:$B$49,"Direct",Totals!$C$5:$C$49,"Total")</f>
        <v/>
      </c>
      <c r="K90" s="34">
        <f>IF(OR(I90="",J90="",J90=0,I90=0),"",J90/I90-1)</f>
        <v/>
      </c>
      <c r="L90" s="35">
        <f>IF(OR(F90="",C90="",C90=0),"",F90/C90)</f>
        <v/>
      </c>
      <c r="M90" s="35">
        <f>IF(OR(G90="",D90="",D90=0),"",G90/D90)</f>
        <v/>
      </c>
      <c r="N90" s="36">
        <f>IF(OR(L90="",M90=""),"",(M90-L90)*100)</f>
        <v/>
      </c>
      <c r="O90" s="37">
        <f>IF(OR(I90="",F90="",F90=0),"",I90/F90)</f>
        <v/>
      </c>
      <c r="P90" s="37">
        <f>IF(OR(J90="",G90="",G90=0),"",J90/G90)</f>
        <v/>
      </c>
      <c r="Q90" s="36">
        <f>IF(OR(O90="",P90=""),"",(P90-O90)*100)</f>
        <v/>
      </c>
      <c r="R90" s="37">
        <f>IF(OR(I90="",C90="",C90=0),"",I90/C90)</f>
        <v/>
      </c>
      <c r="S90" s="37">
        <f>IF(OR(J90="",D90="",D90=0),"",J90/D90)</f>
        <v/>
      </c>
      <c r="T90" s="36">
        <f>IF(OR(R90="",S90=""),"",(S90-R90)*100)</f>
        <v/>
      </c>
      <c r="U90" s="38" t="n"/>
      <c r="V90" s="38" t="n"/>
      <c r="W90" s="38" t="n"/>
      <c r="X90" s="38" t="n"/>
      <c r="Y90" s="38" t="n"/>
      <c r="Z90" s="38" t="n"/>
      <c r="AA90" s="38" t="n"/>
      <c r="AB90" s="38" t="n"/>
      <c r="AC90" s="38" t="n"/>
      <c r="AD90" s="38" t="n"/>
      <c r="AE90" s="38" t="n"/>
      <c r="AF90" s="38" t="n"/>
      <c r="AG90" s="38" t="n"/>
      <c r="AH90" s="38" t="n"/>
      <c r="AI90" s="38" t="n"/>
      <c r="AJ90" s="38" t="n"/>
      <c r="AK90" s="38" t="n"/>
      <c r="AL90" s="38" t="n"/>
      <c r="AM90" s="38" t="n"/>
      <c r="AN90" s="38" t="n"/>
      <c r="AO90" s="38" t="n"/>
      <c r="AP90" s="38" t="n"/>
      <c r="AQ90" s="38" t="n"/>
      <c r="AR90" s="38" t="n"/>
      <c r="AS90" s="38" t="n"/>
      <c r="AT90" s="38" t="n"/>
      <c r="AU90" s="38" t="n"/>
      <c r="AV90" s="38" t="n"/>
      <c r="AW90" s="38" t="n"/>
      <c r="AX90" s="38" t="n"/>
      <c r="AY90" s="38" t="n"/>
      <c r="AZ90" s="38" t="n"/>
      <c r="BA90" s="38" t="n"/>
      <c r="BB90" s="38" t="n"/>
    </row>
    <row r="91">
      <c r="A91" s="32" t="inlineStr">
        <is>
          <t>Coverage of listed markets</t>
        </is>
      </c>
      <c r="B91" s="52" t="n"/>
      <c r="C91" s="35">
        <f>IFERROR(C89/C90,"")</f>
        <v/>
      </c>
      <c r="D91" s="35">
        <f>IFERROR(D89/D90,"")</f>
        <v/>
      </c>
      <c r="E91" s="52" t="n"/>
      <c r="F91" s="35">
        <f>IFERROR(F89/F90,"")</f>
        <v/>
      </c>
      <c r="G91" s="35">
        <f>IFERROR(G89/G90,"")</f>
        <v/>
      </c>
      <c r="H91" s="52" t="n"/>
      <c r="I91" s="35">
        <f>IFERROR(I89/I90,"")</f>
        <v/>
      </c>
      <c r="J91" s="35">
        <f>IFERROR(J89/J90,"")</f>
        <v/>
      </c>
      <c r="K91" s="52" t="n"/>
      <c r="L91" s="52" t="n"/>
      <c r="M91" s="52" t="n"/>
      <c r="N91" s="52" t="n"/>
      <c r="O91" s="52" t="n"/>
      <c r="P91" s="52" t="n"/>
      <c r="Q91" s="52" t="n"/>
      <c r="R91" s="52" t="n"/>
      <c r="S91" s="52" t="n"/>
      <c r="T91" s="52" t="n"/>
      <c r="U91" s="38" t="n"/>
      <c r="V91" s="38" t="n"/>
      <c r="W91" s="38" t="n"/>
      <c r="X91" s="38" t="n"/>
      <c r="Y91" s="38" t="n"/>
      <c r="Z91" s="38" t="n"/>
      <c r="AA91" s="38" t="n"/>
      <c r="AB91" s="38" t="n"/>
      <c r="AC91" s="38" t="n"/>
      <c r="AD91" s="38" t="n"/>
      <c r="AE91" s="38" t="n"/>
      <c r="AF91" s="38" t="n"/>
      <c r="AG91" s="38" t="n"/>
      <c r="AH91" s="38" t="n"/>
      <c r="AI91" s="38" t="n"/>
      <c r="AJ91" s="38" t="n"/>
      <c r="AK91" s="38" t="n"/>
      <c r="AL91" s="38" t="n"/>
      <c r="AM91" s="38" t="n"/>
      <c r="AN91" s="38" t="n"/>
      <c r="AO91" s="38" t="n"/>
      <c r="AP91" s="38" t="n"/>
      <c r="AQ91" s="38" t="n"/>
      <c r="AR91" s="38" t="n"/>
      <c r="AS91" s="38" t="n"/>
      <c r="AT91" s="38" t="n"/>
      <c r="AU91" s="38" t="n"/>
      <c r="AV91" s="38" t="n"/>
      <c r="AW91" s="38" t="n"/>
      <c r="AX91" s="38" t="n"/>
      <c r="AY91" s="38" t="n"/>
      <c r="AZ91" s="38" t="n"/>
      <c r="BA91" s="38" t="n"/>
      <c r="BB91" s="38" t="n"/>
    </row>
    <row r="93">
      <c r="A93" s="39" t="inlineStr">
        <is>
          <t>By market x channel — Desktop only  (all landing pages — Looker visible rows only)</t>
        </is>
      </c>
    </row>
    <row r="94">
      <c r="A94" s="39" t="inlineStr">
        <is>
          <t>Paid Search — Desktop</t>
        </is>
      </c>
    </row>
    <row r="95">
      <c r="A95" s="40" t="inlineStr">
        <is>
          <t>United Kingdom</t>
        </is>
      </c>
      <c r="B95" s="40" t="inlineStr">
        <is>
          <t>Paid Search</t>
        </is>
      </c>
      <c r="C95" s="41">
        <f>IF(SUMIFS(Countries!$E$5:$E$434,Countries!$A$5:$A$434,"All landing pages",Countries!$B$5:$B$434,"Paid Search",Countries!$C$5:$C$434,"Desktop",Countries!$D$5:$D$434,$A95)=0,"",SUMIFS(Countries!$E$5:$E$434,Countries!$A$5:$A$434,"All landing pages",Countries!$B$5:$B$434,"Paid Search",Countries!$C$5:$C$434,"Desktop",Countries!$D$5:$D$434,$A95))</f>
        <v/>
      </c>
      <c r="D95" s="41">
        <f>IF(SUMIFS(Countries!$F$5:$F$434,Countries!$A$5:$A$434,"All landing pages",Countries!$B$5:$B$434,"Paid Search",Countries!$C$5:$C$434,"Desktop",Countries!$D$5:$D$434,$A95)=0,"",SUMIFS(Countries!$F$5:$F$434,Countries!$A$5:$A$434,"All landing pages",Countries!$B$5:$B$434,"Paid Search",Countries!$C$5:$C$434,"Desktop",Countries!$D$5:$D$434,$A95))</f>
        <v/>
      </c>
      <c r="E95" s="42">
        <f>IF(OR(C95="",D95="",D95=0,C95=0),"",D95/C95-1)</f>
        <v/>
      </c>
      <c r="F95" s="41">
        <f>IF(SUMIFS(Countries!$P$5:$P$434,Countries!$A$5:$A$434,"All landing pages",Countries!$B$5:$B$434,"Paid Search",Countries!$C$5:$C$434,"Desktop",Countries!$D$5:$D$434,$A95)=0,"",SUMIFS(Countries!$P$5:$P$434,Countries!$A$5:$A$434,"All landing pages",Countries!$B$5:$B$434,"Paid Search",Countries!$C$5:$C$434,"Desktop",Countries!$D$5:$D$434,$A95))</f>
        <v/>
      </c>
      <c r="G95" s="41">
        <f>IF(SUMIFS(Countries!$Q$5:$Q$434,Countries!$A$5:$A$434,"All landing pages",Countries!$B$5:$B$434,"Paid Search",Countries!$C$5:$C$434,"Desktop",Countries!$D$5:$D$434,$A95)=0,"",SUMIFS(Countries!$Q$5:$Q$434,Countries!$A$5:$A$434,"All landing pages",Countries!$B$5:$B$434,"Paid Search",Countries!$C$5:$C$434,"Desktop",Countries!$D$5:$D$434,$A95))</f>
        <v/>
      </c>
      <c r="H95" s="42">
        <f>IF(OR(F95="",G95="",G95=0,F95=0),"",G95/F95-1)</f>
        <v/>
      </c>
      <c r="I95" s="41">
        <f>IF(SUMIFS(Countries!$AR$5:$AR$434,Countries!$A$5:$A$434,"All landing pages",Countries!$B$5:$B$434,"Paid Search",Countries!$C$5:$C$434,"Desktop",Countries!$D$5:$D$434,$A95)=0,"",SUMIFS(Countries!$AR$5:$AR$434,Countries!$A$5:$A$434,"All landing pages",Countries!$B$5:$B$434,"Paid Search",Countries!$C$5:$C$434,"Desktop",Countries!$D$5:$D$434,$A95))</f>
        <v/>
      </c>
      <c r="J95" s="41">
        <f>IF(SUMIFS(Countries!$AS$5:$AS$434,Countries!$A$5:$A$434,"All landing pages",Countries!$B$5:$B$434,"Paid Search",Countries!$C$5:$C$434,"Desktop",Countries!$D$5:$D$434,$A95)=0,"",SUMIFS(Countries!$AS$5:$AS$434,Countries!$A$5:$A$434,"All landing pages",Countries!$B$5:$B$434,"Paid Search",Countries!$C$5:$C$434,"Desktop",Countries!$D$5:$D$434,$A95))</f>
        <v/>
      </c>
      <c r="K95" s="42">
        <f>IF(OR(I95="",J95="",J95=0,I95=0),"",J95/I95-1)</f>
        <v/>
      </c>
      <c r="L95" s="43">
        <f>IF(SUMIFS(Countries!$E$5:$E$434,Countries!$A$5:$A$434,"All landing pages",Countries!$B$5:$B$434,"Paid Search",Countries!$C$5:$C$434,"Desktop",Countries!$D$5:$D$434,$A95,Countries!$P$5:$P$434,"&gt;0")=0,"",SUMIFS(Countries!$P$5:$P$434,Countries!$A$5:$A$434,"All landing pages",Countries!$B$5:$B$434,"Paid Search",Countries!$C$5:$C$434,"Desktop",Countries!$D$5:$D$434,$A95,Countries!$E$5:$E$434,"&gt;0")/SUMIFS(Countries!$E$5:$E$434,Countries!$A$5:$A$434,"All landing pages",Countries!$B$5:$B$434,"Paid Search",Countries!$C$5:$C$434,"Desktop",Countries!$D$5:$D$434,$A95,Countries!$P$5:$P$434,"&gt;0"))</f>
        <v/>
      </c>
      <c r="M95" s="43">
        <f>IF(SUMIFS(Countries!$F$5:$F$434,Countries!$A$5:$A$434,"All landing pages",Countries!$B$5:$B$434,"Paid Search",Countries!$C$5:$C$434,"Desktop",Countries!$D$5:$D$434,$A95,Countries!$Q$5:$Q$434,"&gt;0")=0,"",SUMIFS(Countries!$Q$5:$Q$434,Countries!$A$5:$A$434,"All landing pages",Countries!$B$5:$B$434,"Paid Search",Countries!$C$5:$C$434,"Desktop",Countries!$D$5:$D$434,$A95,Countries!$F$5:$F$434,"&gt;0")/SUMIFS(Countries!$F$5:$F$434,Countries!$A$5:$A$434,"All landing pages",Countries!$B$5:$B$434,"Paid Search",Countries!$C$5:$C$434,"Desktop",Countries!$D$5:$D$434,$A95,Countries!$Q$5:$Q$434,"&gt;0"))</f>
        <v/>
      </c>
      <c r="N95" s="44">
        <f>IF(OR(L95="",M95=""),"",(M95-L95)*100)</f>
        <v/>
      </c>
      <c r="O95" s="45">
        <f>IF(SUMIFS(Countries!$P$5:$P$434,Countries!$A$5:$A$434,"All landing pages",Countries!$B$5:$B$434,"Paid Search",Countries!$C$5:$C$434,"Desktop",Countries!$D$5:$D$434,$A95,Countries!$AR$5:$AR$434,"&gt;0")=0,"",SUMIFS(Countries!$AR$5:$AR$434,Countries!$A$5:$A$434,"All landing pages",Countries!$B$5:$B$434,"Paid Search",Countries!$C$5:$C$434,"Desktop",Countries!$D$5:$D$434,$A95,Countries!$P$5:$P$434,"&gt;0")/SUMIFS(Countries!$P$5:$P$434,Countries!$A$5:$A$434,"All landing pages",Countries!$B$5:$B$434,"Paid Search",Countries!$C$5:$C$434,"Desktop",Countries!$D$5:$D$434,$A95,Countries!$AR$5:$AR$434,"&gt;0"))</f>
        <v/>
      </c>
      <c r="P95" s="45">
        <f>IF(SUMIFS(Countries!$Q$5:$Q$434,Countries!$A$5:$A$434,"All landing pages",Countries!$B$5:$B$434,"Paid Search",Countries!$C$5:$C$434,"Desktop",Countries!$D$5:$D$434,$A95,Countries!$AS$5:$AS$434,"&gt;0")=0,"",SUMIFS(Countries!$AS$5:$AS$434,Countries!$A$5:$A$434,"All landing pages",Countries!$B$5:$B$434,"Paid Search",Countries!$C$5:$C$434,"Desktop",Countries!$D$5:$D$434,$A95,Countries!$Q$5:$Q$434,"&gt;0")/SUMIFS(Countries!$Q$5:$Q$434,Countries!$A$5:$A$434,"All landing pages",Countries!$B$5:$B$434,"Paid Search",Countries!$C$5:$C$434,"Desktop",Countries!$D$5:$D$434,$A95,Countries!$AS$5:$AS$434,"&gt;0"))</f>
        <v/>
      </c>
      <c r="Q95" s="44">
        <f>IF(OR(O95="",P95=""),"",(P95-O95)*100)</f>
        <v/>
      </c>
      <c r="R95" s="45">
        <f>IF(SUMIFS(Countries!$E$5:$E$434,Countries!$A$5:$A$434,"All landing pages",Countries!$B$5:$B$434,"Paid Search",Countries!$C$5:$C$434,"Desktop",Countries!$D$5:$D$434,$A95,Countries!$AR$5:$AR$434,"&gt;0")=0,"",SUMIFS(Countries!$AR$5:$AR$434,Countries!$A$5:$A$434,"All landing pages",Countries!$B$5:$B$434,"Paid Search",Countries!$C$5:$C$434,"Desktop",Countries!$D$5:$D$434,$A95,Countries!$E$5:$E$434,"&gt;0")/SUMIFS(Countries!$E$5:$E$434,Countries!$A$5:$A$434,"All landing pages",Countries!$B$5:$B$434,"Paid Search",Countries!$C$5:$C$434,"Desktop",Countries!$D$5:$D$434,$A95,Countries!$AR$5:$AR$434,"&gt;0"))</f>
        <v/>
      </c>
      <c r="S95" s="45">
        <f>IF(SUMIFS(Countries!$F$5:$F$434,Countries!$A$5:$A$434,"All landing pages",Countries!$B$5:$B$434,"Paid Search",Countries!$C$5:$C$434,"Desktop",Countries!$D$5:$D$434,$A95,Countries!$AS$5:$AS$434,"&gt;0")=0,"",SUMIFS(Countries!$AS$5:$AS$434,Countries!$A$5:$A$434,"All landing pages",Countries!$B$5:$B$434,"Paid Search",Countries!$C$5:$C$434,"Desktop",Countries!$D$5:$D$434,$A95,Countries!$F$5:$F$434,"&gt;0")/SUMIFS(Countries!$F$5:$F$434,Countries!$A$5:$A$434,"All landing pages",Countries!$B$5:$B$434,"Paid Search",Countries!$C$5:$C$434,"Desktop",Countries!$D$5:$D$434,$A95,Countries!$AS$5:$AS$434,"&gt;0"))</f>
        <v/>
      </c>
      <c r="T95" s="44">
        <f>IF(OR(R95="",S95=""),"",(S95-R95)*100)</f>
        <v/>
      </c>
    </row>
    <row r="96">
      <c r="A96" s="40" t="inlineStr">
        <is>
          <t>Germany</t>
        </is>
      </c>
      <c r="B96" s="40" t="inlineStr">
        <is>
          <t>Paid Search</t>
        </is>
      </c>
      <c r="C96" s="41">
        <f>IF(SUMIFS(Countries!$E$5:$E$434,Countries!$A$5:$A$434,"All landing pages",Countries!$B$5:$B$434,"Paid Search",Countries!$C$5:$C$434,"Desktop",Countries!$D$5:$D$434,$A96)=0,"",SUMIFS(Countries!$E$5:$E$434,Countries!$A$5:$A$434,"All landing pages",Countries!$B$5:$B$434,"Paid Search",Countries!$C$5:$C$434,"Desktop",Countries!$D$5:$D$434,$A96))</f>
        <v/>
      </c>
      <c r="D96" s="41">
        <f>IF(SUMIFS(Countries!$F$5:$F$434,Countries!$A$5:$A$434,"All landing pages",Countries!$B$5:$B$434,"Paid Search",Countries!$C$5:$C$434,"Desktop",Countries!$D$5:$D$434,$A96)=0,"",SUMIFS(Countries!$F$5:$F$434,Countries!$A$5:$A$434,"All landing pages",Countries!$B$5:$B$434,"Paid Search",Countries!$C$5:$C$434,"Desktop",Countries!$D$5:$D$434,$A96))</f>
        <v/>
      </c>
      <c r="E96" s="42">
        <f>IF(OR(C96="",D96="",D96=0,C96=0),"",D96/C96-1)</f>
        <v/>
      </c>
      <c r="F96" s="41">
        <f>IF(SUMIFS(Countries!$P$5:$P$434,Countries!$A$5:$A$434,"All landing pages",Countries!$B$5:$B$434,"Paid Search",Countries!$C$5:$C$434,"Desktop",Countries!$D$5:$D$434,$A96)=0,"",SUMIFS(Countries!$P$5:$P$434,Countries!$A$5:$A$434,"All landing pages",Countries!$B$5:$B$434,"Paid Search",Countries!$C$5:$C$434,"Desktop",Countries!$D$5:$D$434,$A96))</f>
        <v/>
      </c>
      <c r="G96" s="41">
        <f>IF(SUMIFS(Countries!$Q$5:$Q$434,Countries!$A$5:$A$434,"All landing pages",Countries!$B$5:$B$434,"Paid Search",Countries!$C$5:$C$434,"Desktop",Countries!$D$5:$D$434,$A96)=0,"",SUMIFS(Countries!$Q$5:$Q$434,Countries!$A$5:$A$434,"All landing pages",Countries!$B$5:$B$434,"Paid Search",Countries!$C$5:$C$434,"Desktop",Countries!$D$5:$D$434,$A96))</f>
        <v/>
      </c>
      <c r="H96" s="42">
        <f>IF(OR(F96="",G96="",G96=0,F96=0),"",G96/F96-1)</f>
        <v/>
      </c>
      <c r="I96" s="41">
        <f>IF(SUMIFS(Countries!$AR$5:$AR$434,Countries!$A$5:$A$434,"All landing pages",Countries!$B$5:$B$434,"Paid Search",Countries!$C$5:$C$434,"Desktop",Countries!$D$5:$D$434,$A96)=0,"",SUMIFS(Countries!$AR$5:$AR$434,Countries!$A$5:$A$434,"All landing pages",Countries!$B$5:$B$434,"Paid Search",Countries!$C$5:$C$434,"Desktop",Countries!$D$5:$D$434,$A96))</f>
        <v/>
      </c>
      <c r="J96" s="41">
        <f>IF(SUMIFS(Countries!$AS$5:$AS$434,Countries!$A$5:$A$434,"All landing pages",Countries!$B$5:$B$434,"Paid Search",Countries!$C$5:$C$434,"Desktop",Countries!$D$5:$D$434,$A96)=0,"",SUMIFS(Countries!$AS$5:$AS$434,Countries!$A$5:$A$434,"All landing pages",Countries!$B$5:$B$434,"Paid Search",Countries!$C$5:$C$434,"Desktop",Countries!$D$5:$D$434,$A96))</f>
        <v/>
      </c>
      <c r="K96" s="42">
        <f>IF(OR(I96="",J96="",J96=0,I96=0),"",J96/I96-1)</f>
        <v/>
      </c>
      <c r="L96" s="43">
        <f>IF(SUMIFS(Countries!$E$5:$E$434,Countries!$A$5:$A$434,"All landing pages",Countries!$B$5:$B$434,"Paid Search",Countries!$C$5:$C$434,"Desktop",Countries!$D$5:$D$434,$A96,Countries!$P$5:$P$434,"&gt;0")=0,"",SUMIFS(Countries!$P$5:$P$434,Countries!$A$5:$A$434,"All landing pages",Countries!$B$5:$B$434,"Paid Search",Countries!$C$5:$C$434,"Desktop",Countries!$D$5:$D$434,$A96,Countries!$E$5:$E$434,"&gt;0")/SUMIFS(Countries!$E$5:$E$434,Countries!$A$5:$A$434,"All landing pages",Countries!$B$5:$B$434,"Paid Search",Countries!$C$5:$C$434,"Desktop",Countries!$D$5:$D$434,$A96,Countries!$P$5:$P$434,"&gt;0"))</f>
        <v/>
      </c>
      <c r="M96" s="43">
        <f>IF(SUMIFS(Countries!$F$5:$F$434,Countries!$A$5:$A$434,"All landing pages",Countries!$B$5:$B$434,"Paid Search",Countries!$C$5:$C$434,"Desktop",Countries!$D$5:$D$434,$A96,Countries!$Q$5:$Q$434,"&gt;0")=0,"",SUMIFS(Countries!$Q$5:$Q$434,Countries!$A$5:$A$434,"All landing pages",Countries!$B$5:$B$434,"Paid Search",Countries!$C$5:$C$434,"Desktop",Countries!$D$5:$D$434,$A96,Countries!$F$5:$F$434,"&gt;0")/SUMIFS(Countries!$F$5:$F$434,Countries!$A$5:$A$434,"All landing pages",Countries!$B$5:$B$434,"Paid Search",Countries!$C$5:$C$434,"Desktop",Countries!$D$5:$D$434,$A96,Countries!$Q$5:$Q$434,"&gt;0"))</f>
        <v/>
      </c>
      <c r="N96" s="44">
        <f>IF(OR(L96="",M96=""),"",(M96-L96)*100)</f>
        <v/>
      </c>
      <c r="O96" s="45">
        <f>IF(SUMIFS(Countries!$P$5:$P$434,Countries!$A$5:$A$434,"All landing pages",Countries!$B$5:$B$434,"Paid Search",Countries!$C$5:$C$434,"Desktop",Countries!$D$5:$D$434,$A96,Countries!$AR$5:$AR$434,"&gt;0")=0,"",SUMIFS(Countries!$AR$5:$AR$434,Countries!$A$5:$A$434,"All landing pages",Countries!$B$5:$B$434,"Paid Search",Countries!$C$5:$C$434,"Desktop",Countries!$D$5:$D$434,$A96,Countries!$P$5:$P$434,"&gt;0")/SUMIFS(Countries!$P$5:$P$434,Countries!$A$5:$A$434,"All landing pages",Countries!$B$5:$B$434,"Paid Search",Countries!$C$5:$C$434,"Desktop",Countries!$D$5:$D$434,$A96,Countries!$AR$5:$AR$434,"&gt;0"))</f>
        <v/>
      </c>
      <c r="P96" s="45">
        <f>IF(SUMIFS(Countries!$Q$5:$Q$434,Countries!$A$5:$A$434,"All landing pages",Countries!$B$5:$B$434,"Paid Search",Countries!$C$5:$C$434,"Desktop",Countries!$D$5:$D$434,$A96,Countries!$AS$5:$AS$434,"&gt;0")=0,"",SUMIFS(Countries!$AS$5:$AS$434,Countries!$A$5:$A$434,"All landing pages",Countries!$B$5:$B$434,"Paid Search",Countries!$C$5:$C$434,"Desktop",Countries!$D$5:$D$434,$A96,Countries!$Q$5:$Q$434,"&gt;0")/SUMIFS(Countries!$Q$5:$Q$434,Countries!$A$5:$A$434,"All landing pages",Countries!$B$5:$B$434,"Paid Search",Countries!$C$5:$C$434,"Desktop",Countries!$D$5:$D$434,$A96,Countries!$AS$5:$AS$434,"&gt;0"))</f>
        <v/>
      </c>
      <c r="Q96" s="44">
        <f>IF(OR(O96="",P96=""),"",(P96-O96)*100)</f>
        <v/>
      </c>
      <c r="R96" s="45">
        <f>IF(SUMIFS(Countries!$E$5:$E$434,Countries!$A$5:$A$434,"All landing pages",Countries!$B$5:$B$434,"Paid Search",Countries!$C$5:$C$434,"Desktop",Countries!$D$5:$D$434,$A96,Countries!$AR$5:$AR$434,"&gt;0")=0,"",SUMIFS(Countries!$AR$5:$AR$434,Countries!$A$5:$A$434,"All landing pages",Countries!$B$5:$B$434,"Paid Search",Countries!$C$5:$C$434,"Desktop",Countries!$D$5:$D$434,$A96,Countries!$E$5:$E$434,"&gt;0")/SUMIFS(Countries!$E$5:$E$434,Countries!$A$5:$A$434,"All landing pages",Countries!$B$5:$B$434,"Paid Search",Countries!$C$5:$C$434,"Desktop",Countries!$D$5:$D$434,$A96,Countries!$AR$5:$AR$434,"&gt;0"))</f>
        <v/>
      </c>
      <c r="S96" s="45">
        <f>IF(SUMIFS(Countries!$F$5:$F$434,Countries!$A$5:$A$434,"All landing pages",Countries!$B$5:$B$434,"Paid Search",Countries!$C$5:$C$434,"Desktop",Countries!$D$5:$D$434,$A96,Countries!$AS$5:$AS$434,"&gt;0")=0,"",SUMIFS(Countries!$AS$5:$AS$434,Countries!$A$5:$A$434,"All landing pages",Countries!$B$5:$B$434,"Paid Search",Countries!$C$5:$C$434,"Desktop",Countries!$D$5:$D$434,$A96,Countries!$F$5:$F$434,"&gt;0")/SUMIFS(Countries!$F$5:$F$434,Countries!$A$5:$A$434,"All landing pages",Countries!$B$5:$B$434,"Paid Search",Countries!$C$5:$C$434,"Desktop",Countries!$D$5:$D$434,$A96,Countries!$AS$5:$AS$434,"&gt;0"))</f>
        <v/>
      </c>
      <c r="T96" s="44">
        <f>IF(OR(R96="",S96=""),"",(S96-R96)*100)</f>
        <v/>
      </c>
    </row>
    <row r="97">
      <c r="A97" s="40" t="inlineStr">
        <is>
          <t>Italy</t>
        </is>
      </c>
      <c r="B97" s="40" t="inlineStr">
        <is>
          <t>Paid Search</t>
        </is>
      </c>
      <c r="C97" s="41">
        <f>IF(SUMIFS(Countries!$E$5:$E$434,Countries!$A$5:$A$434,"All landing pages",Countries!$B$5:$B$434,"Paid Search",Countries!$C$5:$C$434,"Desktop",Countries!$D$5:$D$434,$A97)=0,"",SUMIFS(Countries!$E$5:$E$434,Countries!$A$5:$A$434,"All landing pages",Countries!$B$5:$B$434,"Paid Search",Countries!$C$5:$C$434,"Desktop",Countries!$D$5:$D$434,$A97))</f>
        <v/>
      </c>
      <c r="D97" s="41">
        <f>IF(SUMIFS(Countries!$F$5:$F$434,Countries!$A$5:$A$434,"All landing pages",Countries!$B$5:$B$434,"Paid Search",Countries!$C$5:$C$434,"Desktop",Countries!$D$5:$D$434,$A97)=0,"",SUMIFS(Countries!$F$5:$F$434,Countries!$A$5:$A$434,"All landing pages",Countries!$B$5:$B$434,"Paid Search",Countries!$C$5:$C$434,"Desktop",Countries!$D$5:$D$434,$A97))</f>
        <v/>
      </c>
      <c r="E97" s="42">
        <f>IF(OR(C97="",D97="",D97=0,C97=0),"",D97/C97-1)</f>
        <v/>
      </c>
      <c r="F97" s="41">
        <f>IF(SUMIFS(Countries!$P$5:$P$434,Countries!$A$5:$A$434,"All landing pages",Countries!$B$5:$B$434,"Paid Search",Countries!$C$5:$C$434,"Desktop",Countries!$D$5:$D$434,$A97)=0,"",SUMIFS(Countries!$P$5:$P$434,Countries!$A$5:$A$434,"All landing pages",Countries!$B$5:$B$434,"Paid Search",Countries!$C$5:$C$434,"Desktop",Countries!$D$5:$D$434,$A97))</f>
        <v/>
      </c>
      <c r="G97" s="41">
        <f>IF(SUMIFS(Countries!$Q$5:$Q$434,Countries!$A$5:$A$434,"All landing pages",Countries!$B$5:$B$434,"Paid Search",Countries!$C$5:$C$434,"Desktop",Countries!$D$5:$D$434,$A97)=0,"",SUMIFS(Countries!$Q$5:$Q$434,Countries!$A$5:$A$434,"All landing pages",Countries!$B$5:$B$434,"Paid Search",Countries!$C$5:$C$434,"Desktop",Countries!$D$5:$D$434,$A97))</f>
        <v/>
      </c>
      <c r="H97" s="42">
        <f>IF(OR(F97="",G97="",G97=0,F97=0),"",G97/F97-1)</f>
        <v/>
      </c>
      <c r="I97" s="41">
        <f>IF(SUMIFS(Countries!$AR$5:$AR$434,Countries!$A$5:$A$434,"All landing pages",Countries!$B$5:$B$434,"Paid Search",Countries!$C$5:$C$434,"Desktop",Countries!$D$5:$D$434,$A97)=0,"",SUMIFS(Countries!$AR$5:$AR$434,Countries!$A$5:$A$434,"All landing pages",Countries!$B$5:$B$434,"Paid Search",Countries!$C$5:$C$434,"Desktop",Countries!$D$5:$D$434,$A97))</f>
        <v/>
      </c>
      <c r="J97" s="41">
        <f>IF(SUMIFS(Countries!$AS$5:$AS$434,Countries!$A$5:$A$434,"All landing pages",Countries!$B$5:$B$434,"Paid Search",Countries!$C$5:$C$434,"Desktop",Countries!$D$5:$D$434,$A97)=0,"",SUMIFS(Countries!$AS$5:$AS$434,Countries!$A$5:$A$434,"All landing pages",Countries!$B$5:$B$434,"Paid Search",Countries!$C$5:$C$434,"Desktop",Countries!$D$5:$D$434,$A97))</f>
        <v/>
      </c>
      <c r="K97" s="42">
        <f>IF(OR(I97="",J97="",J97=0,I97=0),"",J97/I97-1)</f>
        <v/>
      </c>
      <c r="L97" s="43">
        <f>IF(SUMIFS(Countries!$E$5:$E$434,Countries!$A$5:$A$434,"All landing pages",Countries!$B$5:$B$434,"Paid Search",Countries!$C$5:$C$434,"Desktop",Countries!$D$5:$D$434,$A97,Countries!$P$5:$P$434,"&gt;0")=0,"",SUMIFS(Countries!$P$5:$P$434,Countries!$A$5:$A$434,"All landing pages",Countries!$B$5:$B$434,"Paid Search",Countries!$C$5:$C$434,"Desktop",Countries!$D$5:$D$434,$A97,Countries!$E$5:$E$434,"&gt;0")/SUMIFS(Countries!$E$5:$E$434,Countries!$A$5:$A$434,"All landing pages",Countries!$B$5:$B$434,"Paid Search",Countries!$C$5:$C$434,"Desktop",Countries!$D$5:$D$434,$A97,Countries!$P$5:$P$434,"&gt;0"))</f>
        <v/>
      </c>
      <c r="M97" s="43">
        <f>IF(SUMIFS(Countries!$F$5:$F$434,Countries!$A$5:$A$434,"All landing pages",Countries!$B$5:$B$434,"Paid Search",Countries!$C$5:$C$434,"Desktop",Countries!$D$5:$D$434,$A97,Countries!$Q$5:$Q$434,"&gt;0")=0,"",SUMIFS(Countries!$Q$5:$Q$434,Countries!$A$5:$A$434,"All landing pages",Countries!$B$5:$B$434,"Paid Search",Countries!$C$5:$C$434,"Desktop",Countries!$D$5:$D$434,$A97,Countries!$F$5:$F$434,"&gt;0")/SUMIFS(Countries!$F$5:$F$434,Countries!$A$5:$A$434,"All landing pages",Countries!$B$5:$B$434,"Paid Search",Countries!$C$5:$C$434,"Desktop",Countries!$D$5:$D$434,$A97,Countries!$Q$5:$Q$434,"&gt;0"))</f>
        <v/>
      </c>
      <c r="N97" s="44">
        <f>IF(OR(L97="",M97=""),"",(M97-L97)*100)</f>
        <v/>
      </c>
      <c r="O97" s="45">
        <f>IF(SUMIFS(Countries!$P$5:$P$434,Countries!$A$5:$A$434,"All landing pages",Countries!$B$5:$B$434,"Paid Search",Countries!$C$5:$C$434,"Desktop",Countries!$D$5:$D$434,$A97,Countries!$AR$5:$AR$434,"&gt;0")=0,"",SUMIFS(Countries!$AR$5:$AR$434,Countries!$A$5:$A$434,"All landing pages",Countries!$B$5:$B$434,"Paid Search",Countries!$C$5:$C$434,"Desktop",Countries!$D$5:$D$434,$A97,Countries!$P$5:$P$434,"&gt;0")/SUMIFS(Countries!$P$5:$P$434,Countries!$A$5:$A$434,"All landing pages",Countries!$B$5:$B$434,"Paid Search",Countries!$C$5:$C$434,"Desktop",Countries!$D$5:$D$434,$A97,Countries!$AR$5:$AR$434,"&gt;0"))</f>
        <v/>
      </c>
      <c r="P97" s="45">
        <f>IF(SUMIFS(Countries!$Q$5:$Q$434,Countries!$A$5:$A$434,"All landing pages",Countries!$B$5:$B$434,"Paid Search",Countries!$C$5:$C$434,"Desktop",Countries!$D$5:$D$434,$A97,Countries!$AS$5:$AS$434,"&gt;0")=0,"",SUMIFS(Countries!$AS$5:$AS$434,Countries!$A$5:$A$434,"All landing pages",Countries!$B$5:$B$434,"Paid Search",Countries!$C$5:$C$434,"Desktop",Countries!$D$5:$D$434,$A97,Countries!$Q$5:$Q$434,"&gt;0")/SUMIFS(Countries!$Q$5:$Q$434,Countries!$A$5:$A$434,"All landing pages",Countries!$B$5:$B$434,"Paid Search",Countries!$C$5:$C$434,"Desktop",Countries!$D$5:$D$434,$A97,Countries!$AS$5:$AS$434,"&gt;0"))</f>
        <v/>
      </c>
      <c r="Q97" s="44">
        <f>IF(OR(O97="",P97=""),"",(P97-O97)*100)</f>
        <v/>
      </c>
      <c r="R97" s="45">
        <f>IF(SUMIFS(Countries!$E$5:$E$434,Countries!$A$5:$A$434,"All landing pages",Countries!$B$5:$B$434,"Paid Search",Countries!$C$5:$C$434,"Desktop",Countries!$D$5:$D$434,$A97,Countries!$AR$5:$AR$434,"&gt;0")=0,"",SUMIFS(Countries!$AR$5:$AR$434,Countries!$A$5:$A$434,"All landing pages",Countries!$B$5:$B$434,"Paid Search",Countries!$C$5:$C$434,"Desktop",Countries!$D$5:$D$434,$A97,Countries!$E$5:$E$434,"&gt;0")/SUMIFS(Countries!$E$5:$E$434,Countries!$A$5:$A$434,"All landing pages",Countries!$B$5:$B$434,"Paid Search",Countries!$C$5:$C$434,"Desktop",Countries!$D$5:$D$434,$A97,Countries!$AR$5:$AR$434,"&gt;0"))</f>
        <v/>
      </c>
      <c r="S97" s="45">
        <f>IF(SUMIFS(Countries!$F$5:$F$434,Countries!$A$5:$A$434,"All landing pages",Countries!$B$5:$B$434,"Paid Search",Countries!$C$5:$C$434,"Desktop",Countries!$D$5:$D$434,$A97,Countries!$AS$5:$AS$434,"&gt;0")=0,"",SUMIFS(Countries!$AS$5:$AS$434,Countries!$A$5:$A$434,"All landing pages",Countries!$B$5:$B$434,"Paid Search",Countries!$C$5:$C$434,"Desktop",Countries!$D$5:$D$434,$A97,Countries!$F$5:$F$434,"&gt;0")/SUMIFS(Countries!$F$5:$F$434,Countries!$A$5:$A$434,"All landing pages",Countries!$B$5:$B$434,"Paid Search",Countries!$C$5:$C$434,"Desktop",Countries!$D$5:$D$434,$A97,Countries!$AS$5:$AS$434,"&gt;0"))</f>
        <v/>
      </c>
      <c r="T97" s="44">
        <f>IF(OR(R97="",S97=""),"",(S97-R97)*100)</f>
        <v/>
      </c>
    </row>
    <row r="98">
      <c r="A98" s="40" t="inlineStr">
        <is>
          <t>Spain</t>
        </is>
      </c>
      <c r="B98" s="40" t="inlineStr">
        <is>
          <t>Paid Search</t>
        </is>
      </c>
      <c r="C98" s="41">
        <f>IF(SUMIFS(Countries!$E$5:$E$434,Countries!$A$5:$A$434,"All landing pages",Countries!$B$5:$B$434,"Paid Search",Countries!$C$5:$C$434,"Desktop",Countries!$D$5:$D$434,$A98)=0,"",SUMIFS(Countries!$E$5:$E$434,Countries!$A$5:$A$434,"All landing pages",Countries!$B$5:$B$434,"Paid Search",Countries!$C$5:$C$434,"Desktop",Countries!$D$5:$D$434,$A98))</f>
        <v/>
      </c>
      <c r="D98" s="41">
        <f>IF(SUMIFS(Countries!$F$5:$F$434,Countries!$A$5:$A$434,"All landing pages",Countries!$B$5:$B$434,"Paid Search",Countries!$C$5:$C$434,"Desktop",Countries!$D$5:$D$434,$A98)=0,"",SUMIFS(Countries!$F$5:$F$434,Countries!$A$5:$A$434,"All landing pages",Countries!$B$5:$B$434,"Paid Search",Countries!$C$5:$C$434,"Desktop",Countries!$D$5:$D$434,$A98))</f>
        <v/>
      </c>
      <c r="E98" s="42">
        <f>IF(OR(C98="",D98="",D98=0,C98=0),"",D98/C98-1)</f>
        <v/>
      </c>
      <c r="F98" s="41">
        <f>IF(SUMIFS(Countries!$P$5:$P$434,Countries!$A$5:$A$434,"All landing pages",Countries!$B$5:$B$434,"Paid Search",Countries!$C$5:$C$434,"Desktop",Countries!$D$5:$D$434,$A98)=0,"",SUMIFS(Countries!$P$5:$P$434,Countries!$A$5:$A$434,"All landing pages",Countries!$B$5:$B$434,"Paid Search",Countries!$C$5:$C$434,"Desktop",Countries!$D$5:$D$434,$A98))</f>
        <v/>
      </c>
      <c r="G98" s="41">
        <f>IF(SUMIFS(Countries!$Q$5:$Q$434,Countries!$A$5:$A$434,"All landing pages",Countries!$B$5:$B$434,"Paid Search",Countries!$C$5:$C$434,"Desktop",Countries!$D$5:$D$434,$A98)=0,"",SUMIFS(Countries!$Q$5:$Q$434,Countries!$A$5:$A$434,"All landing pages",Countries!$B$5:$B$434,"Paid Search",Countries!$C$5:$C$434,"Desktop",Countries!$D$5:$D$434,$A98))</f>
        <v/>
      </c>
      <c r="H98" s="42">
        <f>IF(OR(F98="",G98="",G98=0,F98=0),"",G98/F98-1)</f>
        <v/>
      </c>
      <c r="I98" s="41">
        <f>IF(SUMIFS(Countries!$AR$5:$AR$434,Countries!$A$5:$A$434,"All landing pages",Countries!$B$5:$B$434,"Paid Search",Countries!$C$5:$C$434,"Desktop",Countries!$D$5:$D$434,$A98)=0,"",SUMIFS(Countries!$AR$5:$AR$434,Countries!$A$5:$A$434,"All landing pages",Countries!$B$5:$B$434,"Paid Search",Countries!$C$5:$C$434,"Desktop",Countries!$D$5:$D$434,$A98))</f>
        <v/>
      </c>
      <c r="J98" s="41">
        <f>IF(SUMIFS(Countries!$AS$5:$AS$434,Countries!$A$5:$A$434,"All landing pages",Countries!$B$5:$B$434,"Paid Search",Countries!$C$5:$C$434,"Desktop",Countries!$D$5:$D$434,$A98)=0,"",SUMIFS(Countries!$AS$5:$AS$434,Countries!$A$5:$A$434,"All landing pages",Countries!$B$5:$B$434,"Paid Search",Countries!$C$5:$C$434,"Desktop",Countries!$D$5:$D$434,$A98))</f>
        <v/>
      </c>
      <c r="K98" s="42">
        <f>IF(OR(I98="",J98="",J98=0,I98=0),"",J98/I98-1)</f>
        <v/>
      </c>
      <c r="L98" s="43">
        <f>IF(SUMIFS(Countries!$E$5:$E$434,Countries!$A$5:$A$434,"All landing pages",Countries!$B$5:$B$434,"Paid Search",Countries!$C$5:$C$434,"Desktop",Countries!$D$5:$D$434,$A98,Countries!$P$5:$P$434,"&gt;0")=0,"",SUMIFS(Countries!$P$5:$P$434,Countries!$A$5:$A$434,"All landing pages",Countries!$B$5:$B$434,"Paid Search",Countries!$C$5:$C$434,"Desktop",Countries!$D$5:$D$434,$A98,Countries!$E$5:$E$434,"&gt;0")/SUMIFS(Countries!$E$5:$E$434,Countries!$A$5:$A$434,"All landing pages",Countries!$B$5:$B$434,"Paid Search",Countries!$C$5:$C$434,"Desktop",Countries!$D$5:$D$434,$A98,Countries!$P$5:$P$434,"&gt;0"))</f>
        <v/>
      </c>
      <c r="M98" s="43">
        <f>IF(SUMIFS(Countries!$F$5:$F$434,Countries!$A$5:$A$434,"All landing pages",Countries!$B$5:$B$434,"Paid Search",Countries!$C$5:$C$434,"Desktop",Countries!$D$5:$D$434,$A98,Countries!$Q$5:$Q$434,"&gt;0")=0,"",SUMIFS(Countries!$Q$5:$Q$434,Countries!$A$5:$A$434,"All landing pages",Countries!$B$5:$B$434,"Paid Search",Countries!$C$5:$C$434,"Desktop",Countries!$D$5:$D$434,$A98,Countries!$F$5:$F$434,"&gt;0")/SUMIFS(Countries!$F$5:$F$434,Countries!$A$5:$A$434,"All landing pages",Countries!$B$5:$B$434,"Paid Search",Countries!$C$5:$C$434,"Desktop",Countries!$D$5:$D$434,$A98,Countries!$Q$5:$Q$434,"&gt;0"))</f>
        <v/>
      </c>
      <c r="N98" s="44">
        <f>IF(OR(L98="",M98=""),"",(M98-L98)*100)</f>
        <v/>
      </c>
      <c r="O98" s="45">
        <f>IF(SUMIFS(Countries!$P$5:$P$434,Countries!$A$5:$A$434,"All landing pages",Countries!$B$5:$B$434,"Paid Search",Countries!$C$5:$C$434,"Desktop",Countries!$D$5:$D$434,$A98,Countries!$AR$5:$AR$434,"&gt;0")=0,"",SUMIFS(Countries!$AR$5:$AR$434,Countries!$A$5:$A$434,"All landing pages",Countries!$B$5:$B$434,"Paid Search",Countries!$C$5:$C$434,"Desktop",Countries!$D$5:$D$434,$A98,Countries!$P$5:$P$434,"&gt;0")/SUMIFS(Countries!$P$5:$P$434,Countries!$A$5:$A$434,"All landing pages",Countries!$B$5:$B$434,"Paid Search",Countries!$C$5:$C$434,"Desktop",Countries!$D$5:$D$434,$A98,Countries!$AR$5:$AR$434,"&gt;0"))</f>
        <v/>
      </c>
      <c r="P98" s="45">
        <f>IF(SUMIFS(Countries!$Q$5:$Q$434,Countries!$A$5:$A$434,"All landing pages",Countries!$B$5:$B$434,"Paid Search",Countries!$C$5:$C$434,"Desktop",Countries!$D$5:$D$434,$A98,Countries!$AS$5:$AS$434,"&gt;0")=0,"",SUMIFS(Countries!$AS$5:$AS$434,Countries!$A$5:$A$434,"All landing pages",Countries!$B$5:$B$434,"Paid Search",Countries!$C$5:$C$434,"Desktop",Countries!$D$5:$D$434,$A98,Countries!$Q$5:$Q$434,"&gt;0")/SUMIFS(Countries!$Q$5:$Q$434,Countries!$A$5:$A$434,"All landing pages",Countries!$B$5:$B$434,"Paid Search",Countries!$C$5:$C$434,"Desktop",Countries!$D$5:$D$434,$A98,Countries!$AS$5:$AS$434,"&gt;0"))</f>
        <v/>
      </c>
      <c r="Q98" s="44">
        <f>IF(OR(O98="",P98=""),"",(P98-O98)*100)</f>
        <v/>
      </c>
      <c r="R98" s="45">
        <f>IF(SUMIFS(Countries!$E$5:$E$434,Countries!$A$5:$A$434,"All landing pages",Countries!$B$5:$B$434,"Paid Search",Countries!$C$5:$C$434,"Desktop",Countries!$D$5:$D$434,$A98,Countries!$AR$5:$AR$434,"&gt;0")=0,"",SUMIFS(Countries!$AR$5:$AR$434,Countries!$A$5:$A$434,"All landing pages",Countries!$B$5:$B$434,"Paid Search",Countries!$C$5:$C$434,"Desktop",Countries!$D$5:$D$434,$A98,Countries!$E$5:$E$434,"&gt;0")/SUMIFS(Countries!$E$5:$E$434,Countries!$A$5:$A$434,"All landing pages",Countries!$B$5:$B$434,"Paid Search",Countries!$C$5:$C$434,"Desktop",Countries!$D$5:$D$434,$A98,Countries!$AR$5:$AR$434,"&gt;0"))</f>
        <v/>
      </c>
      <c r="S98" s="45">
        <f>IF(SUMIFS(Countries!$F$5:$F$434,Countries!$A$5:$A$434,"All landing pages",Countries!$B$5:$B$434,"Paid Search",Countries!$C$5:$C$434,"Desktop",Countries!$D$5:$D$434,$A98,Countries!$AS$5:$AS$434,"&gt;0")=0,"",SUMIFS(Countries!$AS$5:$AS$434,Countries!$A$5:$A$434,"All landing pages",Countries!$B$5:$B$434,"Paid Search",Countries!$C$5:$C$434,"Desktop",Countries!$D$5:$D$434,$A98,Countries!$F$5:$F$434,"&gt;0")/SUMIFS(Countries!$F$5:$F$434,Countries!$A$5:$A$434,"All landing pages",Countries!$B$5:$B$434,"Paid Search",Countries!$C$5:$C$434,"Desktop",Countries!$D$5:$D$434,$A98,Countries!$AS$5:$AS$434,"&gt;0"))</f>
        <v/>
      </c>
      <c r="T98" s="44">
        <f>IF(OR(R98="",S98=""),"",(S98-R98)*100)</f>
        <v/>
      </c>
    </row>
    <row r="99">
      <c r="A99" s="40" t="inlineStr">
        <is>
          <t>Ireland</t>
        </is>
      </c>
      <c r="B99" s="40" t="inlineStr">
        <is>
          <t>Paid Search</t>
        </is>
      </c>
      <c r="C99" s="41">
        <f>IF(SUMIFS(Countries!$E$5:$E$434,Countries!$A$5:$A$434,"All landing pages",Countries!$B$5:$B$434,"Paid Search",Countries!$C$5:$C$434,"Desktop",Countries!$D$5:$D$434,$A99)=0,"",SUMIFS(Countries!$E$5:$E$434,Countries!$A$5:$A$434,"All landing pages",Countries!$B$5:$B$434,"Paid Search",Countries!$C$5:$C$434,"Desktop",Countries!$D$5:$D$434,$A99))</f>
        <v/>
      </c>
      <c r="D99" s="41">
        <f>IF(SUMIFS(Countries!$F$5:$F$434,Countries!$A$5:$A$434,"All landing pages",Countries!$B$5:$B$434,"Paid Search",Countries!$C$5:$C$434,"Desktop",Countries!$D$5:$D$434,$A99)=0,"",SUMIFS(Countries!$F$5:$F$434,Countries!$A$5:$A$434,"All landing pages",Countries!$B$5:$B$434,"Paid Search",Countries!$C$5:$C$434,"Desktop",Countries!$D$5:$D$434,$A99))</f>
        <v/>
      </c>
      <c r="E99" s="42">
        <f>IF(OR(C99="",D99="",D99=0,C99=0),"",D99/C99-1)</f>
        <v/>
      </c>
      <c r="F99" s="41">
        <f>IF(SUMIFS(Countries!$P$5:$P$434,Countries!$A$5:$A$434,"All landing pages",Countries!$B$5:$B$434,"Paid Search",Countries!$C$5:$C$434,"Desktop",Countries!$D$5:$D$434,$A99)=0,"",SUMIFS(Countries!$P$5:$P$434,Countries!$A$5:$A$434,"All landing pages",Countries!$B$5:$B$434,"Paid Search",Countries!$C$5:$C$434,"Desktop",Countries!$D$5:$D$434,$A99))</f>
        <v/>
      </c>
      <c r="G99" s="41">
        <f>IF(SUMIFS(Countries!$Q$5:$Q$434,Countries!$A$5:$A$434,"All landing pages",Countries!$B$5:$B$434,"Paid Search",Countries!$C$5:$C$434,"Desktop",Countries!$D$5:$D$434,$A99)=0,"",SUMIFS(Countries!$Q$5:$Q$434,Countries!$A$5:$A$434,"All landing pages",Countries!$B$5:$B$434,"Paid Search",Countries!$C$5:$C$434,"Desktop",Countries!$D$5:$D$434,$A99))</f>
        <v/>
      </c>
      <c r="H99" s="42">
        <f>IF(OR(F99="",G99="",G99=0,F99=0),"",G99/F99-1)</f>
        <v/>
      </c>
      <c r="I99" s="41">
        <f>IF(SUMIFS(Countries!$AR$5:$AR$434,Countries!$A$5:$A$434,"All landing pages",Countries!$B$5:$B$434,"Paid Search",Countries!$C$5:$C$434,"Desktop",Countries!$D$5:$D$434,$A99)=0,"",SUMIFS(Countries!$AR$5:$AR$434,Countries!$A$5:$A$434,"All landing pages",Countries!$B$5:$B$434,"Paid Search",Countries!$C$5:$C$434,"Desktop",Countries!$D$5:$D$434,$A99))</f>
        <v/>
      </c>
      <c r="J99" s="41">
        <f>IF(SUMIFS(Countries!$AS$5:$AS$434,Countries!$A$5:$A$434,"All landing pages",Countries!$B$5:$B$434,"Paid Search",Countries!$C$5:$C$434,"Desktop",Countries!$D$5:$D$434,$A99)=0,"",SUMIFS(Countries!$AS$5:$AS$434,Countries!$A$5:$A$434,"All landing pages",Countries!$B$5:$B$434,"Paid Search",Countries!$C$5:$C$434,"Desktop",Countries!$D$5:$D$434,$A99))</f>
        <v/>
      </c>
      <c r="K99" s="42">
        <f>IF(OR(I99="",J99="",J99=0,I99=0),"",J99/I99-1)</f>
        <v/>
      </c>
      <c r="L99" s="43">
        <f>IF(SUMIFS(Countries!$E$5:$E$434,Countries!$A$5:$A$434,"All landing pages",Countries!$B$5:$B$434,"Paid Search",Countries!$C$5:$C$434,"Desktop",Countries!$D$5:$D$434,$A99,Countries!$P$5:$P$434,"&gt;0")=0,"",SUMIFS(Countries!$P$5:$P$434,Countries!$A$5:$A$434,"All landing pages",Countries!$B$5:$B$434,"Paid Search",Countries!$C$5:$C$434,"Desktop",Countries!$D$5:$D$434,$A99,Countries!$E$5:$E$434,"&gt;0")/SUMIFS(Countries!$E$5:$E$434,Countries!$A$5:$A$434,"All landing pages",Countries!$B$5:$B$434,"Paid Search",Countries!$C$5:$C$434,"Desktop",Countries!$D$5:$D$434,$A99,Countries!$P$5:$P$434,"&gt;0"))</f>
        <v/>
      </c>
      <c r="M99" s="43">
        <f>IF(SUMIFS(Countries!$F$5:$F$434,Countries!$A$5:$A$434,"All landing pages",Countries!$B$5:$B$434,"Paid Search",Countries!$C$5:$C$434,"Desktop",Countries!$D$5:$D$434,$A99,Countries!$Q$5:$Q$434,"&gt;0")=0,"",SUMIFS(Countries!$Q$5:$Q$434,Countries!$A$5:$A$434,"All landing pages",Countries!$B$5:$B$434,"Paid Search",Countries!$C$5:$C$434,"Desktop",Countries!$D$5:$D$434,$A99,Countries!$F$5:$F$434,"&gt;0")/SUMIFS(Countries!$F$5:$F$434,Countries!$A$5:$A$434,"All landing pages",Countries!$B$5:$B$434,"Paid Search",Countries!$C$5:$C$434,"Desktop",Countries!$D$5:$D$434,$A99,Countries!$Q$5:$Q$434,"&gt;0"))</f>
        <v/>
      </c>
      <c r="N99" s="44">
        <f>IF(OR(L99="",M99=""),"",(M99-L99)*100)</f>
        <v/>
      </c>
      <c r="O99" s="45">
        <f>IF(SUMIFS(Countries!$P$5:$P$434,Countries!$A$5:$A$434,"All landing pages",Countries!$B$5:$B$434,"Paid Search",Countries!$C$5:$C$434,"Desktop",Countries!$D$5:$D$434,$A99,Countries!$AR$5:$AR$434,"&gt;0")=0,"",SUMIFS(Countries!$AR$5:$AR$434,Countries!$A$5:$A$434,"All landing pages",Countries!$B$5:$B$434,"Paid Search",Countries!$C$5:$C$434,"Desktop",Countries!$D$5:$D$434,$A99,Countries!$P$5:$P$434,"&gt;0")/SUMIFS(Countries!$P$5:$P$434,Countries!$A$5:$A$434,"All landing pages",Countries!$B$5:$B$434,"Paid Search",Countries!$C$5:$C$434,"Desktop",Countries!$D$5:$D$434,$A99,Countries!$AR$5:$AR$434,"&gt;0"))</f>
        <v/>
      </c>
      <c r="P99" s="45">
        <f>IF(SUMIFS(Countries!$Q$5:$Q$434,Countries!$A$5:$A$434,"All landing pages",Countries!$B$5:$B$434,"Paid Search",Countries!$C$5:$C$434,"Desktop",Countries!$D$5:$D$434,$A99,Countries!$AS$5:$AS$434,"&gt;0")=0,"",SUMIFS(Countries!$AS$5:$AS$434,Countries!$A$5:$A$434,"All landing pages",Countries!$B$5:$B$434,"Paid Search",Countries!$C$5:$C$434,"Desktop",Countries!$D$5:$D$434,$A99,Countries!$Q$5:$Q$434,"&gt;0")/SUMIFS(Countries!$Q$5:$Q$434,Countries!$A$5:$A$434,"All landing pages",Countries!$B$5:$B$434,"Paid Search",Countries!$C$5:$C$434,"Desktop",Countries!$D$5:$D$434,$A99,Countries!$AS$5:$AS$434,"&gt;0"))</f>
        <v/>
      </c>
      <c r="Q99" s="44">
        <f>IF(OR(O99="",P99=""),"",(P99-O99)*100)</f>
        <v/>
      </c>
      <c r="R99" s="45">
        <f>IF(SUMIFS(Countries!$E$5:$E$434,Countries!$A$5:$A$434,"All landing pages",Countries!$B$5:$B$434,"Paid Search",Countries!$C$5:$C$434,"Desktop",Countries!$D$5:$D$434,$A99,Countries!$AR$5:$AR$434,"&gt;0")=0,"",SUMIFS(Countries!$AR$5:$AR$434,Countries!$A$5:$A$434,"All landing pages",Countries!$B$5:$B$434,"Paid Search",Countries!$C$5:$C$434,"Desktop",Countries!$D$5:$D$434,$A99,Countries!$E$5:$E$434,"&gt;0")/SUMIFS(Countries!$E$5:$E$434,Countries!$A$5:$A$434,"All landing pages",Countries!$B$5:$B$434,"Paid Search",Countries!$C$5:$C$434,"Desktop",Countries!$D$5:$D$434,$A99,Countries!$AR$5:$AR$434,"&gt;0"))</f>
        <v/>
      </c>
      <c r="S99" s="45">
        <f>IF(SUMIFS(Countries!$F$5:$F$434,Countries!$A$5:$A$434,"All landing pages",Countries!$B$5:$B$434,"Paid Search",Countries!$C$5:$C$434,"Desktop",Countries!$D$5:$D$434,$A99,Countries!$AS$5:$AS$434,"&gt;0")=0,"",SUMIFS(Countries!$AS$5:$AS$434,Countries!$A$5:$A$434,"All landing pages",Countries!$B$5:$B$434,"Paid Search",Countries!$C$5:$C$434,"Desktop",Countries!$D$5:$D$434,$A99,Countries!$F$5:$F$434,"&gt;0")/SUMIFS(Countries!$F$5:$F$434,Countries!$A$5:$A$434,"All landing pages",Countries!$B$5:$B$434,"Paid Search",Countries!$C$5:$C$434,"Desktop",Countries!$D$5:$D$434,$A99,Countries!$AS$5:$AS$434,"&gt;0"))</f>
        <v/>
      </c>
      <c r="T99" s="44">
        <f>IF(OR(R99="",S99=""),"",(S99-R99)*100)</f>
        <v/>
      </c>
    </row>
    <row r="100">
      <c r="A100" s="40" t="inlineStr">
        <is>
          <t>Netherlands</t>
        </is>
      </c>
      <c r="B100" s="40" t="inlineStr">
        <is>
          <t>Paid Search</t>
        </is>
      </c>
      <c r="C100" s="41">
        <f>IF(SUMIFS(Countries!$E$5:$E$434,Countries!$A$5:$A$434,"All landing pages",Countries!$B$5:$B$434,"Paid Search",Countries!$C$5:$C$434,"Desktop",Countries!$D$5:$D$434,$A100)=0,"",SUMIFS(Countries!$E$5:$E$434,Countries!$A$5:$A$434,"All landing pages",Countries!$B$5:$B$434,"Paid Search",Countries!$C$5:$C$434,"Desktop",Countries!$D$5:$D$434,$A100))</f>
        <v/>
      </c>
      <c r="D100" s="41">
        <f>IF(SUMIFS(Countries!$F$5:$F$434,Countries!$A$5:$A$434,"All landing pages",Countries!$B$5:$B$434,"Paid Search",Countries!$C$5:$C$434,"Desktop",Countries!$D$5:$D$434,$A100)=0,"",SUMIFS(Countries!$F$5:$F$434,Countries!$A$5:$A$434,"All landing pages",Countries!$B$5:$B$434,"Paid Search",Countries!$C$5:$C$434,"Desktop",Countries!$D$5:$D$434,$A100))</f>
        <v/>
      </c>
      <c r="E100" s="42">
        <f>IF(OR(C100="",D100="",D100=0,C100=0),"",D100/C100-1)</f>
        <v/>
      </c>
      <c r="F100" s="41">
        <f>IF(SUMIFS(Countries!$P$5:$P$434,Countries!$A$5:$A$434,"All landing pages",Countries!$B$5:$B$434,"Paid Search",Countries!$C$5:$C$434,"Desktop",Countries!$D$5:$D$434,$A100)=0,"",SUMIFS(Countries!$P$5:$P$434,Countries!$A$5:$A$434,"All landing pages",Countries!$B$5:$B$434,"Paid Search",Countries!$C$5:$C$434,"Desktop",Countries!$D$5:$D$434,$A100))</f>
        <v/>
      </c>
      <c r="G100" s="41">
        <f>IF(SUMIFS(Countries!$Q$5:$Q$434,Countries!$A$5:$A$434,"All landing pages",Countries!$B$5:$B$434,"Paid Search",Countries!$C$5:$C$434,"Desktop",Countries!$D$5:$D$434,$A100)=0,"",SUMIFS(Countries!$Q$5:$Q$434,Countries!$A$5:$A$434,"All landing pages",Countries!$B$5:$B$434,"Paid Search",Countries!$C$5:$C$434,"Desktop",Countries!$D$5:$D$434,$A100))</f>
        <v/>
      </c>
      <c r="H100" s="42">
        <f>IF(OR(F100="",G100="",G100=0,F100=0),"",G100/F100-1)</f>
        <v/>
      </c>
      <c r="I100" s="41">
        <f>IF(SUMIFS(Countries!$AR$5:$AR$434,Countries!$A$5:$A$434,"All landing pages",Countries!$B$5:$B$434,"Paid Search",Countries!$C$5:$C$434,"Desktop",Countries!$D$5:$D$434,$A100)=0,"",SUMIFS(Countries!$AR$5:$AR$434,Countries!$A$5:$A$434,"All landing pages",Countries!$B$5:$B$434,"Paid Search",Countries!$C$5:$C$434,"Desktop",Countries!$D$5:$D$434,$A100))</f>
        <v/>
      </c>
      <c r="J100" s="41">
        <f>IF(SUMIFS(Countries!$AS$5:$AS$434,Countries!$A$5:$A$434,"All landing pages",Countries!$B$5:$B$434,"Paid Search",Countries!$C$5:$C$434,"Desktop",Countries!$D$5:$D$434,$A100)=0,"",SUMIFS(Countries!$AS$5:$AS$434,Countries!$A$5:$A$434,"All landing pages",Countries!$B$5:$B$434,"Paid Search",Countries!$C$5:$C$434,"Desktop",Countries!$D$5:$D$434,$A100))</f>
        <v/>
      </c>
      <c r="K100" s="42">
        <f>IF(OR(I100="",J100="",J100=0,I100=0),"",J100/I100-1)</f>
        <v/>
      </c>
      <c r="L100" s="43">
        <f>IF(SUMIFS(Countries!$E$5:$E$434,Countries!$A$5:$A$434,"All landing pages",Countries!$B$5:$B$434,"Paid Search",Countries!$C$5:$C$434,"Desktop",Countries!$D$5:$D$434,$A100,Countries!$P$5:$P$434,"&gt;0")=0,"",SUMIFS(Countries!$P$5:$P$434,Countries!$A$5:$A$434,"All landing pages",Countries!$B$5:$B$434,"Paid Search",Countries!$C$5:$C$434,"Desktop",Countries!$D$5:$D$434,$A100,Countries!$E$5:$E$434,"&gt;0")/SUMIFS(Countries!$E$5:$E$434,Countries!$A$5:$A$434,"All landing pages",Countries!$B$5:$B$434,"Paid Search",Countries!$C$5:$C$434,"Desktop",Countries!$D$5:$D$434,$A100,Countries!$P$5:$P$434,"&gt;0"))</f>
        <v/>
      </c>
      <c r="M100" s="43">
        <f>IF(SUMIFS(Countries!$F$5:$F$434,Countries!$A$5:$A$434,"All landing pages",Countries!$B$5:$B$434,"Paid Search",Countries!$C$5:$C$434,"Desktop",Countries!$D$5:$D$434,$A100,Countries!$Q$5:$Q$434,"&gt;0")=0,"",SUMIFS(Countries!$Q$5:$Q$434,Countries!$A$5:$A$434,"All landing pages",Countries!$B$5:$B$434,"Paid Search",Countries!$C$5:$C$434,"Desktop",Countries!$D$5:$D$434,$A100,Countries!$F$5:$F$434,"&gt;0")/SUMIFS(Countries!$F$5:$F$434,Countries!$A$5:$A$434,"All landing pages",Countries!$B$5:$B$434,"Paid Search",Countries!$C$5:$C$434,"Desktop",Countries!$D$5:$D$434,$A100,Countries!$Q$5:$Q$434,"&gt;0"))</f>
        <v/>
      </c>
      <c r="N100" s="44">
        <f>IF(OR(L100="",M100=""),"",(M100-L100)*100)</f>
        <v/>
      </c>
      <c r="O100" s="45">
        <f>IF(SUMIFS(Countries!$P$5:$P$434,Countries!$A$5:$A$434,"All landing pages",Countries!$B$5:$B$434,"Paid Search",Countries!$C$5:$C$434,"Desktop",Countries!$D$5:$D$434,$A100,Countries!$AR$5:$AR$434,"&gt;0")=0,"",SUMIFS(Countries!$AR$5:$AR$434,Countries!$A$5:$A$434,"All landing pages",Countries!$B$5:$B$434,"Paid Search",Countries!$C$5:$C$434,"Desktop",Countries!$D$5:$D$434,$A100,Countries!$P$5:$P$434,"&gt;0")/SUMIFS(Countries!$P$5:$P$434,Countries!$A$5:$A$434,"All landing pages",Countries!$B$5:$B$434,"Paid Search",Countries!$C$5:$C$434,"Desktop",Countries!$D$5:$D$434,$A100,Countries!$AR$5:$AR$434,"&gt;0"))</f>
        <v/>
      </c>
      <c r="P100" s="45">
        <f>IF(SUMIFS(Countries!$Q$5:$Q$434,Countries!$A$5:$A$434,"All landing pages",Countries!$B$5:$B$434,"Paid Search",Countries!$C$5:$C$434,"Desktop",Countries!$D$5:$D$434,$A100,Countries!$AS$5:$AS$434,"&gt;0")=0,"",SUMIFS(Countries!$AS$5:$AS$434,Countries!$A$5:$A$434,"All landing pages",Countries!$B$5:$B$434,"Paid Search",Countries!$C$5:$C$434,"Desktop",Countries!$D$5:$D$434,$A100,Countries!$Q$5:$Q$434,"&gt;0")/SUMIFS(Countries!$Q$5:$Q$434,Countries!$A$5:$A$434,"All landing pages",Countries!$B$5:$B$434,"Paid Search",Countries!$C$5:$C$434,"Desktop",Countries!$D$5:$D$434,$A100,Countries!$AS$5:$AS$434,"&gt;0"))</f>
        <v/>
      </c>
      <c r="Q100" s="44">
        <f>IF(OR(O100="",P100=""),"",(P100-O100)*100)</f>
        <v/>
      </c>
      <c r="R100" s="45">
        <f>IF(SUMIFS(Countries!$E$5:$E$434,Countries!$A$5:$A$434,"All landing pages",Countries!$B$5:$B$434,"Paid Search",Countries!$C$5:$C$434,"Desktop",Countries!$D$5:$D$434,$A100,Countries!$AR$5:$AR$434,"&gt;0")=0,"",SUMIFS(Countries!$AR$5:$AR$434,Countries!$A$5:$A$434,"All landing pages",Countries!$B$5:$B$434,"Paid Search",Countries!$C$5:$C$434,"Desktop",Countries!$D$5:$D$434,$A100,Countries!$E$5:$E$434,"&gt;0")/SUMIFS(Countries!$E$5:$E$434,Countries!$A$5:$A$434,"All landing pages",Countries!$B$5:$B$434,"Paid Search",Countries!$C$5:$C$434,"Desktop",Countries!$D$5:$D$434,$A100,Countries!$AR$5:$AR$434,"&gt;0"))</f>
        <v/>
      </c>
      <c r="S100" s="45">
        <f>IF(SUMIFS(Countries!$F$5:$F$434,Countries!$A$5:$A$434,"All landing pages",Countries!$B$5:$B$434,"Paid Search",Countries!$C$5:$C$434,"Desktop",Countries!$D$5:$D$434,$A100,Countries!$AS$5:$AS$434,"&gt;0")=0,"",SUMIFS(Countries!$AS$5:$AS$434,Countries!$A$5:$A$434,"All landing pages",Countries!$B$5:$B$434,"Paid Search",Countries!$C$5:$C$434,"Desktop",Countries!$D$5:$D$434,$A100,Countries!$F$5:$F$434,"&gt;0")/SUMIFS(Countries!$F$5:$F$434,Countries!$A$5:$A$434,"All landing pages",Countries!$B$5:$B$434,"Paid Search",Countries!$C$5:$C$434,"Desktop",Countries!$D$5:$D$434,$A100,Countries!$AS$5:$AS$434,"&gt;0"))</f>
        <v/>
      </c>
      <c r="T100" s="44">
        <f>IF(OR(R100="",S100=""),"",(S100-R100)*100)</f>
        <v/>
      </c>
    </row>
    <row r="101">
      <c r="A101" s="40" t="inlineStr">
        <is>
          <t>France</t>
        </is>
      </c>
      <c r="B101" s="40" t="inlineStr">
        <is>
          <t>Paid Search</t>
        </is>
      </c>
      <c r="C101" s="41">
        <f>IF(SUMIFS(Countries!$E$5:$E$434,Countries!$A$5:$A$434,"All landing pages",Countries!$B$5:$B$434,"Paid Search",Countries!$C$5:$C$434,"Desktop",Countries!$D$5:$D$434,$A101)=0,"",SUMIFS(Countries!$E$5:$E$434,Countries!$A$5:$A$434,"All landing pages",Countries!$B$5:$B$434,"Paid Search",Countries!$C$5:$C$434,"Desktop",Countries!$D$5:$D$434,$A101))</f>
        <v/>
      </c>
      <c r="D101" s="41">
        <f>IF(SUMIFS(Countries!$F$5:$F$434,Countries!$A$5:$A$434,"All landing pages",Countries!$B$5:$B$434,"Paid Search",Countries!$C$5:$C$434,"Desktop",Countries!$D$5:$D$434,$A101)=0,"",SUMIFS(Countries!$F$5:$F$434,Countries!$A$5:$A$434,"All landing pages",Countries!$B$5:$B$434,"Paid Search",Countries!$C$5:$C$434,"Desktop",Countries!$D$5:$D$434,$A101))</f>
        <v/>
      </c>
      <c r="E101" s="42">
        <f>IF(OR(C101="",D101="",D101=0,C101=0),"",D101/C101-1)</f>
        <v/>
      </c>
      <c r="F101" s="41">
        <f>IF(SUMIFS(Countries!$P$5:$P$434,Countries!$A$5:$A$434,"All landing pages",Countries!$B$5:$B$434,"Paid Search",Countries!$C$5:$C$434,"Desktop",Countries!$D$5:$D$434,$A101)=0,"",SUMIFS(Countries!$P$5:$P$434,Countries!$A$5:$A$434,"All landing pages",Countries!$B$5:$B$434,"Paid Search",Countries!$C$5:$C$434,"Desktop",Countries!$D$5:$D$434,$A101))</f>
        <v/>
      </c>
      <c r="G101" s="41">
        <f>IF(SUMIFS(Countries!$Q$5:$Q$434,Countries!$A$5:$A$434,"All landing pages",Countries!$B$5:$B$434,"Paid Search",Countries!$C$5:$C$434,"Desktop",Countries!$D$5:$D$434,$A101)=0,"",SUMIFS(Countries!$Q$5:$Q$434,Countries!$A$5:$A$434,"All landing pages",Countries!$B$5:$B$434,"Paid Search",Countries!$C$5:$C$434,"Desktop",Countries!$D$5:$D$434,$A101))</f>
        <v/>
      </c>
      <c r="H101" s="42">
        <f>IF(OR(F101="",G101="",G101=0,F101=0),"",G101/F101-1)</f>
        <v/>
      </c>
      <c r="I101" s="41">
        <f>IF(SUMIFS(Countries!$AR$5:$AR$434,Countries!$A$5:$A$434,"All landing pages",Countries!$B$5:$B$434,"Paid Search",Countries!$C$5:$C$434,"Desktop",Countries!$D$5:$D$434,$A101)=0,"",SUMIFS(Countries!$AR$5:$AR$434,Countries!$A$5:$A$434,"All landing pages",Countries!$B$5:$B$434,"Paid Search",Countries!$C$5:$C$434,"Desktop",Countries!$D$5:$D$434,$A101))</f>
        <v/>
      </c>
      <c r="J101" s="41">
        <f>IF(SUMIFS(Countries!$AS$5:$AS$434,Countries!$A$5:$A$434,"All landing pages",Countries!$B$5:$B$434,"Paid Search",Countries!$C$5:$C$434,"Desktop",Countries!$D$5:$D$434,$A101)=0,"",SUMIFS(Countries!$AS$5:$AS$434,Countries!$A$5:$A$434,"All landing pages",Countries!$B$5:$B$434,"Paid Search",Countries!$C$5:$C$434,"Desktop",Countries!$D$5:$D$434,$A101))</f>
        <v/>
      </c>
      <c r="K101" s="42">
        <f>IF(OR(I101="",J101="",J101=0,I101=0),"",J101/I101-1)</f>
        <v/>
      </c>
      <c r="L101" s="43">
        <f>IF(SUMIFS(Countries!$E$5:$E$434,Countries!$A$5:$A$434,"All landing pages",Countries!$B$5:$B$434,"Paid Search",Countries!$C$5:$C$434,"Desktop",Countries!$D$5:$D$434,$A101,Countries!$P$5:$P$434,"&gt;0")=0,"",SUMIFS(Countries!$P$5:$P$434,Countries!$A$5:$A$434,"All landing pages",Countries!$B$5:$B$434,"Paid Search",Countries!$C$5:$C$434,"Desktop",Countries!$D$5:$D$434,$A101,Countries!$E$5:$E$434,"&gt;0")/SUMIFS(Countries!$E$5:$E$434,Countries!$A$5:$A$434,"All landing pages",Countries!$B$5:$B$434,"Paid Search",Countries!$C$5:$C$434,"Desktop",Countries!$D$5:$D$434,$A101,Countries!$P$5:$P$434,"&gt;0"))</f>
        <v/>
      </c>
      <c r="M101" s="43">
        <f>IF(SUMIFS(Countries!$F$5:$F$434,Countries!$A$5:$A$434,"All landing pages",Countries!$B$5:$B$434,"Paid Search",Countries!$C$5:$C$434,"Desktop",Countries!$D$5:$D$434,$A101,Countries!$Q$5:$Q$434,"&gt;0")=0,"",SUMIFS(Countries!$Q$5:$Q$434,Countries!$A$5:$A$434,"All landing pages",Countries!$B$5:$B$434,"Paid Search",Countries!$C$5:$C$434,"Desktop",Countries!$D$5:$D$434,$A101,Countries!$F$5:$F$434,"&gt;0")/SUMIFS(Countries!$F$5:$F$434,Countries!$A$5:$A$434,"All landing pages",Countries!$B$5:$B$434,"Paid Search",Countries!$C$5:$C$434,"Desktop",Countries!$D$5:$D$434,$A101,Countries!$Q$5:$Q$434,"&gt;0"))</f>
        <v/>
      </c>
      <c r="N101" s="44">
        <f>IF(OR(L101="",M101=""),"",(M101-L101)*100)</f>
        <v/>
      </c>
      <c r="O101" s="45">
        <f>IF(SUMIFS(Countries!$P$5:$P$434,Countries!$A$5:$A$434,"All landing pages",Countries!$B$5:$B$434,"Paid Search",Countries!$C$5:$C$434,"Desktop",Countries!$D$5:$D$434,$A101,Countries!$AR$5:$AR$434,"&gt;0")=0,"",SUMIFS(Countries!$AR$5:$AR$434,Countries!$A$5:$A$434,"All landing pages",Countries!$B$5:$B$434,"Paid Search",Countries!$C$5:$C$434,"Desktop",Countries!$D$5:$D$434,$A101,Countries!$P$5:$P$434,"&gt;0")/SUMIFS(Countries!$P$5:$P$434,Countries!$A$5:$A$434,"All landing pages",Countries!$B$5:$B$434,"Paid Search",Countries!$C$5:$C$434,"Desktop",Countries!$D$5:$D$434,$A101,Countries!$AR$5:$AR$434,"&gt;0"))</f>
        <v/>
      </c>
      <c r="P101" s="45">
        <f>IF(SUMIFS(Countries!$Q$5:$Q$434,Countries!$A$5:$A$434,"All landing pages",Countries!$B$5:$B$434,"Paid Search",Countries!$C$5:$C$434,"Desktop",Countries!$D$5:$D$434,$A101,Countries!$AS$5:$AS$434,"&gt;0")=0,"",SUMIFS(Countries!$AS$5:$AS$434,Countries!$A$5:$A$434,"All landing pages",Countries!$B$5:$B$434,"Paid Search",Countries!$C$5:$C$434,"Desktop",Countries!$D$5:$D$434,$A101,Countries!$Q$5:$Q$434,"&gt;0")/SUMIFS(Countries!$Q$5:$Q$434,Countries!$A$5:$A$434,"All landing pages",Countries!$B$5:$B$434,"Paid Search",Countries!$C$5:$C$434,"Desktop",Countries!$D$5:$D$434,$A101,Countries!$AS$5:$AS$434,"&gt;0"))</f>
        <v/>
      </c>
      <c r="Q101" s="44">
        <f>IF(OR(O101="",P101=""),"",(P101-O101)*100)</f>
        <v/>
      </c>
      <c r="R101" s="45">
        <f>IF(SUMIFS(Countries!$E$5:$E$434,Countries!$A$5:$A$434,"All landing pages",Countries!$B$5:$B$434,"Paid Search",Countries!$C$5:$C$434,"Desktop",Countries!$D$5:$D$434,$A101,Countries!$AR$5:$AR$434,"&gt;0")=0,"",SUMIFS(Countries!$AR$5:$AR$434,Countries!$A$5:$A$434,"All landing pages",Countries!$B$5:$B$434,"Paid Search",Countries!$C$5:$C$434,"Desktop",Countries!$D$5:$D$434,$A101,Countries!$E$5:$E$434,"&gt;0")/SUMIFS(Countries!$E$5:$E$434,Countries!$A$5:$A$434,"All landing pages",Countries!$B$5:$B$434,"Paid Search",Countries!$C$5:$C$434,"Desktop",Countries!$D$5:$D$434,$A101,Countries!$AR$5:$AR$434,"&gt;0"))</f>
        <v/>
      </c>
      <c r="S101" s="45">
        <f>IF(SUMIFS(Countries!$F$5:$F$434,Countries!$A$5:$A$434,"All landing pages",Countries!$B$5:$B$434,"Paid Search",Countries!$C$5:$C$434,"Desktop",Countries!$D$5:$D$434,$A101,Countries!$AS$5:$AS$434,"&gt;0")=0,"",SUMIFS(Countries!$AS$5:$AS$434,Countries!$A$5:$A$434,"All landing pages",Countries!$B$5:$B$434,"Paid Search",Countries!$C$5:$C$434,"Desktop",Countries!$D$5:$D$434,$A101,Countries!$F$5:$F$434,"&gt;0")/SUMIFS(Countries!$F$5:$F$434,Countries!$A$5:$A$434,"All landing pages",Countries!$B$5:$B$434,"Paid Search",Countries!$C$5:$C$434,"Desktop",Countries!$D$5:$D$434,$A101,Countries!$AS$5:$AS$434,"&gt;0"))</f>
        <v/>
      </c>
      <c r="T101" s="44">
        <f>IF(OR(R101="",S101=""),"",(S101-R101)*100)</f>
        <v/>
      </c>
    </row>
    <row r="102">
      <c r="A102" s="40" t="inlineStr">
        <is>
          <t>Poland</t>
        </is>
      </c>
      <c r="B102" s="40" t="inlineStr">
        <is>
          <t>Paid Search</t>
        </is>
      </c>
      <c r="C102" s="41">
        <f>IF(SUMIFS(Countries!$E$5:$E$434,Countries!$A$5:$A$434,"All landing pages",Countries!$B$5:$B$434,"Paid Search",Countries!$C$5:$C$434,"Desktop",Countries!$D$5:$D$434,$A102)=0,"",SUMIFS(Countries!$E$5:$E$434,Countries!$A$5:$A$434,"All landing pages",Countries!$B$5:$B$434,"Paid Search",Countries!$C$5:$C$434,"Desktop",Countries!$D$5:$D$434,$A102))</f>
        <v/>
      </c>
      <c r="D102" s="41">
        <f>IF(SUMIFS(Countries!$F$5:$F$434,Countries!$A$5:$A$434,"All landing pages",Countries!$B$5:$B$434,"Paid Search",Countries!$C$5:$C$434,"Desktop",Countries!$D$5:$D$434,$A102)=0,"",SUMIFS(Countries!$F$5:$F$434,Countries!$A$5:$A$434,"All landing pages",Countries!$B$5:$B$434,"Paid Search",Countries!$C$5:$C$434,"Desktop",Countries!$D$5:$D$434,$A102))</f>
        <v/>
      </c>
      <c r="E102" s="42">
        <f>IF(OR(C102="",D102="",D102=0,C102=0),"",D102/C102-1)</f>
        <v/>
      </c>
      <c r="F102" s="41">
        <f>IF(SUMIFS(Countries!$P$5:$P$434,Countries!$A$5:$A$434,"All landing pages",Countries!$B$5:$B$434,"Paid Search",Countries!$C$5:$C$434,"Desktop",Countries!$D$5:$D$434,$A102)=0,"",SUMIFS(Countries!$P$5:$P$434,Countries!$A$5:$A$434,"All landing pages",Countries!$B$5:$B$434,"Paid Search",Countries!$C$5:$C$434,"Desktop",Countries!$D$5:$D$434,$A102))</f>
        <v/>
      </c>
      <c r="G102" s="41">
        <f>IF(SUMIFS(Countries!$Q$5:$Q$434,Countries!$A$5:$A$434,"All landing pages",Countries!$B$5:$B$434,"Paid Search",Countries!$C$5:$C$434,"Desktop",Countries!$D$5:$D$434,$A102)=0,"",SUMIFS(Countries!$Q$5:$Q$434,Countries!$A$5:$A$434,"All landing pages",Countries!$B$5:$B$434,"Paid Search",Countries!$C$5:$C$434,"Desktop",Countries!$D$5:$D$434,$A102))</f>
        <v/>
      </c>
      <c r="H102" s="42">
        <f>IF(OR(F102="",G102="",G102=0,F102=0),"",G102/F102-1)</f>
        <v/>
      </c>
      <c r="I102" s="41">
        <f>IF(SUMIFS(Countries!$AR$5:$AR$434,Countries!$A$5:$A$434,"All landing pages",Countries!$B$5:$B$434,"Paid Search",Countries!$C$5:$C$434,"Desktop",Countries!$D$5:$D$434,$A102)=0,"",SUMIFS(Countries!$AR$5:$AR$434,Countries!$A$5:$A$434,"All landing pages",Countries!$B$5:$B$434,"Paid Search",Countries!$C$5:$C$434,"Desktop",Countries!$D$5:$D$434,$A102))</f>
        <v/>
      </c>
      <c r="J102" s="41">
        <f>IF(SUMIFS(Countries!$AS$5:$AS$434,Countries!$A$5:$A$434,"All landing pages",Countries!$B$5:$B$434,"Paid Search",Countries!$C$5:$C$434,"Desktop",Countries!$D$5:$D$434,$A102)=0,"",SUMIFS(Countries!$AS$5:$AS$434,Countries!$A$5:$A$434,"All landing pages",Countries!$B$5:$B$434,"Paid Search",Countries!$C$5:$C$434,"Desktop",Countries!$D$5:$D$434,$A102))</f>
        <v/>
      </c>
      <c r="K102" s="42">
        <f>IF(OR(I102="",J102="",J102=0,I102=0),"",J102/I102-1)</f>
        <v/>
      </c>
      <c r="L102" s="43">
        <f>IF(SUMIFS(Countries!$E$5:$E$434,Countries!$A$5:$A$434,"All landing pages",Countries!$B$5:$B$434,"Paid Search",Countries!$C$5:$C$434,"Desktop",Countries!$D$5:$D$434,$A102,Countries!$P$5:$P$434,"&gt;0")=0,"",SUMIFS(Countries!$P$5:$P$434,Countries!$A$5:$A$434,"All landing pages",Countries!$B$5:$B$434,"Paid Search",Countries!$C$5:$C$434,"Desktop",Countries!$D$5:$D$434,$A102,Countries!$E$5:$E$434,"&gt;0")/SUMIFS(Countries!$E$5:$E$434,Countries!$A$5:$A$434,"All landing pages",Countries!$B$5:$B$434,"Paid Search",Countries!$C$5:$C$434,"Desktop",Countries!$D$5:$D$434,$A102,Countries!$P$5:$P$434,"&gt;0"))</f>
        <v/>
      </c>
      <c r="M102" s="43">
        <f>IF(SUMIFS(Countries!$F$5:$F$434,Countries!$A$5:$A$434,"All landing pages",Countries!$B$5:$B$434,"Paid Search",Countries!$C$5:$C$434,"Desktop",Countries!$D$5:$D$434,$A102,Countries!$Q$5:$Q$434,"&gt;0")=0,"",SUMIFS(Countries!$Q$5:$Q$434,Countries!$A$5:$A$434,"All landing pages",Countries!$B$5:$B$434,"Paid Search",Countries!$C$5:$C$434,"Desktop",Countries!$D$5:$D$434,$A102,Countries!$F$5:$F$434,"&gt;0")/SUMIFS(Countries!$F$5:$F$434,Countries!$A$5:$A$434,"All landing pages",Countries!$B$5:$B$434,"Paid Search",Countries!$C$5:$C$434,"Desktop",Countries!$D$5:$D$434,$A102,Countries!$Q$5:$Q$434,"&gt;0"))</f>
        <v/>
      </c>
      <c r="N102" s="44">
        <f>IF(OR(L102="",M102=""),"",(M102-L102)*100)</f>
        <v/>
      </c>
      <c r="O102" s="45">
        <f>IF(SUMIFS(Countries!$P$5:$P$434,Countries!$A$5:$A$434,"All landing pages",Countries!$B$5:$B$434,"Paid Search",Countries!$C$5:$C$434,"Desktop",Countries!$D$5:$D$434,$A102,Countries!$AR$5:$AR$434,"&gt;0")=0,"",SUMIFS(Countries!$AR$5:$AR$434,Countries!$A$5:$A$434,"All landing pages",Countries!$B$5:$B$434,"Paid Search",Countries!$C$5:$C$434,"Desktop",Countries!$D$5:$D$434,$A102,Countries!$P$5:$P$434,"&gt;0")/SUMIFS(Countries!$P$5:$P$434,Countries!$A$5:$A$434,"All landing pages",Countries!$B$5:$B$434,"Paid Search",Countries!$C$5:$C$434,"Desktop",Countries!$D$5:$D$434,$A102,Countries!$AR$5:$AR$434,"&gt;0"))</f>
        <v/>
      </c>
      <c r="P102" s="45">
        <f>IF(SUMIFS(Countries!$Q$5:$Q$434,Countries!$A$5:$A$434,"All landing pages",Countries!$B$5:$B$434,"Paid Search",Countries!$C$5:$C$434,"Desktop",Countries!$D$5:$D$434,$A102,Countries!$AS$5:$AS$434,"&gt;0")=0,"",SUMIFS(Countries!$AS$5:$AS$434,Countries!$A$5:$A$434,"All landing pages",Countries!$B$5:$B$434,"Paid Search",Countries!$C$5:$C$434,"Desktop",Countries!$D$5:$D$434,$A102,Countries!$Q$5:$Q$434,"&gt;0")/SUMIFS(Countries!$Q$5:$Q$434,Countries!$A$5:$A$434,"All landing pages",Countries!$B$5:$B$434,"Paid Search",Countries!$C$5:$C$434,"Desktop",Countries!$D$5:$D$434,$A102,Countries!$AS$5:$AS$434,"&gt;0"))</f>
        <v/>
      </c>
      <c r="Q102" s="44">
        <f>IF(OR(O102="",P102=""),"",(P102-O102)*100)</f>
        <v/>
      </c>
      <c r="R102" s="45">
        <f>IF(SUMIFS(Countries!$E$5:$E$434,Countries!$A$5:$A$434,"All landing pages",Countries!$B$5:$B$434,"Paid Search",Countries!$C$5:$C$434,"Desktop",Countries!$D$5:$D$434,$A102,Countries!$AR$5:$AR$434,"&gt;0")=0,"",SUMIFS(Countries!$AR$5:$AR$434,Countries!$A$5:$A$434,"All landing pages",Countries!$B$5:$B$434,"Paid Search",Countries!$C$5:$C$434,"Desktop",Countries!$D$5:$D$434,$A102,Countries!$E$5:$E$434,"&gt;0")/SUMIFS(Countries!$E$5:$E$434,Countries!$A$5:$A$434,"All landing pages",Countries!$B$5:$B$434,"Paid Search",Countries!$C$5:$C$434,"Desktop",Countries!$D$5:$D$434,$A102,Countries!$AR$5:$AR$434,"&gt;0"))</f>
        <v/>
      </c>
      <c r="S102" s="45">
        <f>IF(SUMIFS(Countries!$F$5:$F$434,Countries!$A$5:$A$434,"All landing pages",Countries!$B$5:$B$434,"Paid Search",Countries!$C$5:$C$434,"Desktop",Countries!$D$5:$D$434,$A102,Countries!$AS$5:$AS$434,"&gt;0")=0,"",SUMIFS(Countries!$AS$5:$AS$434,Countries!$A$5:$A$434,"All landing pages",Countries!$B$5:$B$434,"Paid Search",Countries!$C$5:$C$434,"Desktop",Countries!$D$5:$D$434,$A102,Countries!$F$5:$F$434,"&gt;0")/SUMIFS(Countries!$F$5:$F$434,Countries!$A$5:$A$434,"All landing pages",Countries!$B$5:$B$434,"Paid Search",Countries!$C$5:$C$434,"Desktop",Countries!$D$5:$D$434,$A102,Countries!$AS$5:$AS$434,"&gt;0"))</f>
        <v/>
      </c>
      <c r="T102" s="44">
        <f>IF(OR(R102="",S102=""),"",(S102-R102)*100)</f>
        <v/>
      </c>
    </row>
    <row r="103">
      <c r="A103" s="40" t="inlineStr">
        <is>
          <t>United States</t>
        </is>
      </c>
      <c r="B103" s="40" t="inlineStr">
        <is>
          <t>Paid Search</t>
        </is>
      </c>
      <c r="C103" s="41">
        <f>IF(SUMIFS(Countries!$E$5:$E$434,Countries!$A$5:$A$434,"All landing pages",Countries!$B$5:$B$434,"Paid Search",Countries!$C$5:$C$434,"Desktop",Countries!$D$5:$D$434,$A103)=0,"",SUMIFS(Countries!$E$5:$E$434,Countries!$A$5:$A$434,"All landing pages",Countries!$B$5:$B$434,"Paid Search",Countries!$C$5:$C$434,"Desktop",Countries!$D$5:$D$434,$A103))</f>
        <v/>
      </c>
      <c r="D103" s="41">
        <f>IF(SUMIFS(Countries!$F$5:$F$434,Countries!$A$5:$A$434,"All landing pages",Countries!$B$5:$B$434,"Paid Search",Countries!$C$5:$C$434,"Desktop",Countries!$D$5:$D$434,$A103)=0,"",SUMIFS(Countries!$F$5:$F$434,Countries!$A$5:$A$434,"All landing pages",Countries!$B$5:$B$434,"Paid Search",Countries!$C$5:$C$434,"Desktop",Countries!$D$5:$D$434,$A103))</f>
        <v/>
      </c>
      <c r="E103" s="42">
        <f>IF(OR(C103="",D103="",D103=0,C103=0),"",D103/C103-1)</f>
        <v/>
      </c>
      <c r="F103" s="41">
        <f>IF(SUMIFS(Countries!$P$5:$P$434,Countries!$A$5:$A$434,"All landing pages",Countries!$B$5:$B$434,"Paid Search",Countries!$C$5:$C$434,"Desktop",Countries!$D$5:$D$434,$A103)=0,"",SUMIFS(Countries!$P$5:$P$434,Countries!$A$5:$A$434,"All landing pages",Countries!$B$5:$B$434,"Paid Search",Countries!$C$5:$C$434,"Desktop",Countries!$D$5:$D$434,$A103))</f>
        <v/>
      </c>
      <c r="G103" s="41">
        <f>IF(SUMIFS(Countries!$Q$5:$Q$434,Countries!$A$5:$A$434,"All landing pages",Countries!$B$5:$B$434,"Paid Search",Countries!$C$5:$C$434,"Desktop",Countries!$D$5:$D$434,$A103)=0,"",SUMIFS(Countries!$Q$5:$Q$434,Countries!$A$5:$A$434,"All landing pages",Countries!$B$5:$B$434,"Paid Search",Countries!$C$5:$C$434,"Desktop",Countries!$D$5:$D$434,$A103))</f>
        <v/>
      </c>
      <c r="H103" s="42">
        <f>IF(OR(F103="",G103="",G103=0,F103=0),"",G103/F103-1)</f>
        <v/>
      </c>
      <c r="I103" s="41">
        <f>IF(SUMIFS(Countries!$AR$5:$AR$434,Countries!$A$5:$A$434,"All landing pages",Countries!$B$5:$B$434,"Paid Search",Countries!$C$5:$C$434,"Desktop",Countries!$D$5:$D$434,$A103)=0,"",SUMIFS(Countries!$AR$5:$AR$434,Countries!$A$5:$A$434,"All landing pages",Countries!$B$5:$B$434,"Paid Search",Countries!$C$5:$C$434,"Desktop",Countries!$D$5:$D$434,$A103))</f>
        <v/>
      </c>
      <c r="J103" s="41">
        <f>IF(SUMIFS(Countries!$AS$5:$AS$434,Countries!$A$5:$A$434,"All landing pages",Countries!$B$5:$B$434,"Paid Search",Countries!$C$5:$C$434,"Desktop",Countries!$D$5:$D$434,$A103)=0,"",SUMIFS(Countries!$AS$5:$AS$434,Countries!$A$5:$A$434,"All landing pages",Countries!$B$5:$B$434,"Paid Search",Countries!$C$5:$C$434,"Desktop",Countries!$D$5:$D$434,$A103))</f>
        <v/>
      </c>
      <c r="K103" s="42">
        <f>IF(OR(I103="",J103="",J103=0,I103=0),"",J103/I103-1)</f>
        <v/>
      </c>
      <c r="L103" s="43">
        <f>IF(SUMIFS(Countries!$E$5:$E$434,Countries!$A$5:$A$434,"All landing pages",Countries!$B$5:$B$434,"Paid Search",Countries!$C$5:$C$434,"Desktop",Countries!$D$5:$D$434,$A103,Countries!$P$5:$P$434,"&gt;0")=0,"",SUMIFS(Countries!$P$5:$P$434,Countries!$A$5:$A$434,"All landing pages",Countries!$B$5:$B$434,"Paid Search",Countries!$C$5:$C$434,"Desktop",Countries!$D$5:$D$434,$A103,Countries!$E$5:$E$434,"&gt;0")/SUMIFS(Countries!$E$5:$E$434,Countries!$A$5:$A$434,"All landing pages",Countries!$B$5:$B$434,"Paid Search",Countries!$C$5:$C$434,"Desktop",Countries!$D$5:$D$434,$A103,Countries!$P$5:$P$434,"&gt;0"))</f>
        <v/>
      </c>
      <c r="M103" s="43">
        <f>IF(SUMIFS(Countries!$F$5:$F$434,Countries!$A$5:$A$434,"All landing pages",Countries!$B$5:$B$434,"Paid Search",Countries!$C$5:$C$434,"Desktop",Countries!$D$5:$D$434,$A103,Countries!$Q$5:$Q$434,"&gt;0")=0,"",SUMIFS(Countries!$Q$5:$Q$434,Countries!$A$5:$A$434,"All landing pages",Countries!$B$5:$B$434,"Paid Search",Countries!$C$5:$C$434,"Desktop",Countries!$D$5:$D$434,$A103,Countries!$F$5:$F$434,"&gt;0")/SUMIFS(Countries!$F$5:$F$434,Countries!$A$5:$A$434,"All landing pages",Countries!$B$5:$B$434,"Paid Search",Countries!$C$5:$C$434,"Desktop",Countries!$D$5:$D$434,$A103,Countries!$Q$5:$Q$434,"&gt;0"))</f>
        <v/>
      </c>
      <c r="N103" s="44">
        <f>IF(OR(L103="",M103=""),"",(M103-L103)*100)</f>
        <v/>
      </c>
      <c r="O103" s="45">
        <f>IF(SUMIFS(Countries!$P$5:$P$434,Countries!$A$5:$A$434,"All landing pages",Countries!$B$5:$B$434,"Paid Search",Countries!$C$5:$C$434,"Desktop",Countries!$D$5:$D$434,$A103,Countries!$AR$5:$AR$434,"&gt;0")=0,"",SUMIFS(Countries!$AR$5:$AR$434,Countries!$A$5:$A$434,"All landing pages",Countries!$B$5:$B$434,"Paid Search",Countries!$C$5:$C$434,"Desktop",Countries!$D$5:$D$434,$A103,Countries!$P$5:$P$434,"&gt;0")/SUMIFS(Countries!$P$5:$P$434,Countries!$A$5:$A$434,"All landing pages",Countries!$B$5:$B$434,"Paid Search",Countries!$C$5:$C$434,"Desktop",Countries!$D$5:$D$434,$A103,Countries!$AR$5:$AR$434,"&gt;0"))</f>
        <v/>
      </c>
      <c r="P103" s="45">
        <f>IF(SUMIFS(Countries!$Q$5:$Q$434,Countries!$A$5:$A$434,"All landing pages",Countries!$B$5:$B$434,"Paid Search",Countries!$C$5:$C$434,"Desktop",Countries!$D$5:$D$434,$A103,Countries!$AS$5:$AS$434,"&gt;0")=0,"",SUMIFS(Countries!$AS$5:$AS$434,Countries!$A$5:$A$434,"All landing pages",Countries!$B$5:$B$434,"Paid Search",Countries!$C$5:$C$434,"Desktop",Countries!$D$5:$D$434,$A103,Countries!$Q$5:$Q$434,"&gt;0")/SUMIFS(Countries!$Q$5:$Q$434,Countries!$A$5:$A$434,"All landing pages",Countries!$B$5:$B$434,"Paid Search",Countries!$C$5:$C$434,"Desktop",Countries!$D$5:$D$434,$A103,Countries!$AS$5:$AS$434,"&gt;0"))</f>
        <v/>
      </c>
      <c r="Q103" s="44">
        <f>IF(OR(O103="",P103=""),"",(P103-O103)*100)</f>
        <v/>
      </c>
      <c r="R103" s="45">
        <f>IF(SUMIFS(Countries!$E$5:$E$434,Countries!$A$5:$A$434,"All landing pages",Countries!$B$5:$B$434,"Paid Search",Countries!$C$5:$C$434,"Desktop",Countries!$D$5:$D$434,$A103,Countries!$AR$5:$AR$434,"&gt;0")=0,"",SUMIFS(Countries!$AR$5:$AR$434,Countries!$A$5:$A$434,"All landing pages",Countries!$B$5:$B$434,"Paid Search",Countries!$C$5:$C$434,"Desktop",Countries!$D$5:$D$434,$A103,Countries!$E$5:$E$434,"&gt;0")/SUMIFS(Countries!$E$5:$E$434,Countries!$A$5:$A$434,"All landing pages",Countries!$B$5:$B$434,"Paid Search",Countries!$C$5:$C$434,"Desktop",Countries!$D$5:$D$434,$A103,Countries!$AR$5:$AR$434,"&gt;0"))</f>
        <v/>
      </c>
      <c r="S103" s="45">
        <f>IF(SUMIFS(Countries!$F$5:$F$434,Countries!$A$5:$A$434,"All landing pages",Countries!$B$5:$B$434,"Paid Search",Countries!$C$5:$C$434,"Desktop",Countries!$D$5:$D$434,$A103,Countries!$AS$5:$AS$434,"&gt;0")=0,"",SUMIFS(Countries!$AS$5:$AS$434,Countries!$A$5:$A$434,"All landing pages",Countries!$B$5:$B$434,"Paid Search",Countries!$C$5:$C$434,"Desktop",Countries!$D$5:$D$434,$A103,Countries!$F$5:$F$434,"&gt;0")/SUMIFS(Countries!$F$5:$F$434,Countries!$A$5:$A$434,"All landing pages",Countries!$B$5:$B$434,"Paid Search",Countries!$C$5:$C$434,"Desktop",Countries!$D$5:$D$434,$A103,Countries!$AS$5:$AS$434,"&gt;0"))</f>
        <v/>
      </c>
      <c r="T103" s="44">
        <f>IF(OR(R103="",S103=""),"",(S103-R103)*100)</f>
        <v/>
      </c>
    </row>
    <row r="104">
      <c r="A104" s="40" t="inlineStr">
        <is>
          <t>Sweden</t>
        </is>
      </c>
      <c r="B104" s="40" t="inlineStr">
        <is>
          <t>Paid Search</t>
        </is>
      </c>
      <c r="C104" s="41">
        <f>IF(SUMIFS(Countries!$E$5:$E$434,Countries!$A$5:$A$434,"All landing pages",Countries!$B$5:$B$434,"Paid Search",Countries!$C$5:$C$434,"Desktop",Countries!$D$5:$D$434,$A104)=0,"",SUMIFS(Countries!$E$5:$E$434,Countries!$A$5:$A$434,"All landing pages",Countries!$B$5:$B$434,"Paid Search",Countries!$C$5:$C$434,"Desktop",Countries!$D$5:$D$434,$A104))</f>
        <v/>
      </c>
      <c r="D104" s="41">
        <f>IF(SUMIFS(Countries!$F$5:$F$434,Countries!$A$5:$A$434,"All landing pages",Countries!$B$5:$B$434,"Paid Search",Countries!$C$5:$C$434,"Desktop",Countries!$D$5:$D$434,$A104)=0,"",SUMIFS(Countries!$F$5:$F$434,Countries!$A$5:$A$434,"All landing pages",Countries!$B$5:$B$434,"Paid Search",Countries!$C$5:$C$434,"Desktop",Countries!$D$5:$D$434,$A104))</f>
        <v/>
      </c>
      <c r="E104" s="42">
        <f>IF(OR(C104="",D104="",D104=0,C104=0),"",D104/C104-1)</f>
        <v/>
      </c>
      <c r="F104" s="41">
        <f>IF(SUMIFS(Countries!$P$5:$P$434,Countries!$A$5:$A$434,"All landing pages",Countries!$B$5:$B$434,"Paid Search",Countries!$C$5:$C$434,"Desktop",Countries!$D$5:$D$434,$A104)=0,"",SUMIFS(Countries!$P$5:$P$434,Countries!$A$5:$A$434,"All landing pages",Countries!$B$5:$B$434,"Paid Search",Countries!$C$5:$C$434,"Desktop",Countries!$D$5:$D$434,$A104))</f>
        <v/>
      </c>
      <c r="G104" s="41">
        <f>IF(SUMIFS(Countries!$Q$5:$Q$434,Countries!$A$5:$A$434,"All landing pages",Countries!$B$5:$B$434,"Paid Search",Countries!$C$5:$C$434,"Desktop",Countries!$D$5:$D$434,$A104)=0,"",SUMIFS(Countries!$Q$5:$Q$434,Countries!$A$5:$A$434,"All landing pages",Countries!$B$5:$B$434,"Paid Search",Countries!$C$5:$C$434,"Desktop",Countries!$D$5:$D$434,$A104))</f>
        <v/>
      </c>
      <c r="H104" s="42">
        <f>IF(OR(F104="",G104="",G104=0,F104=0),"",G104/F104-1)</f>
        <v/>
      </c>
      <c r="I104" s="41">
        <f>IF(SUMIFS(Countries!$AR$5:$AR$434,Countries!$A$5:$A$434,"All landing pages",Countries!$B$5:$B$434,"Paid Search",Countries!$C$5:$C$434,"Desktop",Countries!$D$5:$D$434,$A104)=0,"",SUMIFS(Countries!$AR$5:$AR$434,Countries!$A$5:$A$434,"All landing pages",Countries!$B$5:$B$434,"Paid Search",Countries!$C$5:$C$434,"Desktop",Countries!$D$5:$D$434,$A104))</f>
        <v/>
      </c>
      <c r="J104" s="41">
        <f>IF(SUMIFS(Countries!$AS$5:$AS$434,Countries!$A$5:$A$434,"All landing pages",Countries!$B$5:$B$434,"Paid Search",Countries!$C$5:$C$434,"Desktop",Countries!$D$5:$D$434,$A104)=0,"",SUMIFS(Countries!$AS$5:$AS$434,Countries!$A$5:$A$434,"All landing pages",Countries!$B$5:$B$434,"Paid Search",Countries!$C$5:$C$434,"Desktop",Countries!$D$5:$D$434,$A104))</f>
        <v/>
      </c>
      <c r="K104" s="42">
        <f>IF(OR(I104="",J104="",J104=0,I104=0),"",J104/I104-1)</f>
        <v/>
      </c>
      <c r="L104" s="43">
        <f>IF(SUMIFS(Countries!$E$5:$E$434,Countries!$A$5:$A$434,"All landing pages",Countries!$B$5:$B$434,"Paid Search",Countries!$C$5:$C$434,"Desktop",Countries!$D$5:$D$434,$A104,Countries!$P$5:$P$434,"&gt;0")=0,"",SUMIFS(Countries!$P$5:$P$434,Countries!$A$5:$A$434,"All landing pages",Countries!$B$5:$B$434,"Paid Search",Countries!$C$5:$C$434,"Desktop",Countries!$D$5:$D$434,$A104,Countries!$E$5:$E$434,"&gt;0")/SUMIFS(Countries!$E$5:$E$434,Countries!$A$5:$A$434,"All landing pages",Countries!$B$5:$B$434,"Paid Search",Countries!$C$5:$C$434,"Desktop",Countries!$D$5:$D$434,$A104,Countries!$P$5:$P$434,"&gt;0"))</f>
        <v/>
      </c>
      <c r="M104" s="43">
        <f>IF(SUMIFS(Countries!$F$5:$F$434,Countries!$A$5:$A$434,"All landing pages",Countries!$B$5:$B$434,"Paid Search",Countries!$C$5:$C$434,"Desktop",Countries!$D$5:$D$434,$A104,Countries!$Q$5:$Q$434,"&gt;0")=0,"",SUMIFS(Countries!$Q$5:$Q$434,Countries!$A$5:$A$434,"All landing pages",Countries!$B$5:$B$434,"Paid Search",Countries!$C$5:$C$434,"Desktop",Countries!$D$5:$D$434,$A104,Countries!$F$5:$F$434,"&gt;0")/SUMIFS(Countries!$F$5:$F$434,Countries!$A$5:$A$434,"All landing pages",Countries!$B$5:$B$434,"Paid Search",Countries!$C$5:$C$434,"Desktop",Countries!$D$5:$D$434,$A104,Countries!$Q$5:$Q$434,"&gt;0"))</f>
        <v/>
      </c>
      <c r="N104" s="44">
        <f>IF(OR(L104="",M104=""),"",(M104-L104)*100)</f>
        <v/>
      </c>
      <c r="O104" s="45">
        <f>IF(SUMIFS(Countries!$P$5:$P$434,Countries!$A$5:$A$434,"All landing pages",Countries!$B$5:$B$434,"Paid Search",Countries!$C$5:$C$434,"Desktop",Countries!$D$5:$D$434,$A104,Countries!$AR$5:$AR$434,"&gt;0")=0,"",SUMIFS(Countries!$AR$5:$AR$434,Countries!$A$5:$A$434,"All landing pages",Countries!$B$5:$B$434,"Paid Search",Countries!$C$5:$C$434,"Desktop",Countries!$D$5:$D$434,$A104,Countries!$P$5:$P$434,"&gt;0")/SUMIFS(Countries!$P$5:$P$434,Countries!$A$5:$A$434,"All landing pages",Countries!$B$5:$B$434,"Paid Search",Countries!$C$5:$C$434,"Desktop",Countries!$D$5:$D$434,$A104,Countries!$AR$5:$AR$434,"&gt;0"))</f>
        <v/>
      </c>
      <c r="P104" s="45">
        <f>IF(SUMIFS(Countries!$Q$5:$Q$434,Countries!$A$5:$A$434,"All landing pages",Countries!$B$5:$B$434,"Paid Search",Countries!$C$5:$C$434,"Desktop",Countries!$D$5:$D$434,$A104,Countries!$AS$5:$AS$434,"&gt;0")=0,"",SUMIFS(Countries!$AS$5:$AS$434,Countries!$A$5:$A$434,"All landing pages",Countries!$B$5:$B$434,"Paid Search",Countries!$C$5:$C$434,"Desktop",Countries!$D$5:$D$434,$A104,Countries!$Q$5:$Q$434,"&gt;0")/SUMIFS(Countries!$Q$5:$Q$434,Countries!$A$5:$A$434,"All landing pages",Countries!$B$5:$B$434,"Paid Search",Countries!$C$5:$C$434,"Desktop",Countries!$D$5:$D$434,$A104,Countries!$AS$5:$AS$434,"&gt;0"))</f>
        <v/>
      </c>
      <c r="Q104" s="44">
        <f>IF(OR(O104="",P104=""),"",(P104-O104)*100)</f>
        <v/>
      </c>
      <c r="R104" s="45">
        <f>IF(SUMIFS(Countries!$E$5:$E$434,Countries!$A$5:$A$434,"All landing pages",Countries!$B$5:$B$434,"Paid Search",Countries!$C$5:$C$434,"Desktop",Countries!$D$5:$D$434,$A104,Countries!$AR$5:$AR$434,"&gt;0")=0,"",SUMIFS(Countries!$AR$5:$AR$434,Countries!$A$5:$A$434,"All landing pages",Countries!$B$5:$B$434,"Paid Search",Countries!$C$5:$C$434,"Desktop",Countries!$D$5:$D$434,$A104,Countries!$E$5:$E$434,"&gt;0")/SUMIFS(Countries!$E$5:$E$434,Countries!$A$5:$A$434,"All landing pages",Countries!$B$5:$B$434,"Paid Search",Countries!$C$5:$C$434,"Desktop",Countries!$D$5:$D$434,$A104,Countries!$AR$5:$AR$434,"&gt;0"))</f>
        <v/>
      </c>
      <c r="S104" s="45">
        <f>IF(SUMIFS(Countries!$F$5:$F$434,Countries!$A$5:$A$434,"All landing pages",Countries!$B$5:$B$434,"Paid Search",Countries!$C$5:$C$434,"Desktop",Countries!$D$5:$D$434,$A104,Countries!$AS$5:$AS$434,"&gt;0")=0,"",SUMIFS(Countries!$AS$5:$AS$434,Countries!$A$5:$A$434,"All landing pages",Countries!$B$5:$B$434,"Paid Search",Countries!$C$5:$C$434,"Desktop",Countries!$D$5:$D$434,$A104,Countries!$F$5:$F$434,"&gt;0")/SUMIFS(Countries!$F$5:$F$434,Countries!$A$5:$A$434,"All landing pages",Countries!$B$5:$B$434,"Paid Search",Countries!$C$5:$C$434,"Desktop",Countries!$D$5:$D$434,$A104,Countries!$AS$5:$AS$434,"&gt;0"))</f>
        <v/>
      </c>
      <c r="T104" s="44">
        <f>IF(OR(R104="",S104=""),"",(S104-R104)*100)</f>
        <v/>
      </c>
    </row>
    <row r="105">
      <c r="A105" s="40" t="inlineStr">
        <is>
          <t>Belgium</t>
        </is>
      </c>
      <c r="B105" s="40" t="inlineStr">
        <is>
          <t>Paid Search</t>
        </is>
      </c>
      <c r="C105" s="41">
        <f>IF(SUMIFS(Countries!$E$5:$E$434,Countries!$A$5:$A$434,"All landing pages",Countries!$B$5:$B$434,"Paid Search",Countries!$C$5:$C$434,"Desktop",Countries!$D$5:$D$434,$A105)=0,"",SUMIFS(Countries!$E$5:$E$434,Countries!$A$5:$A$434,"All landing pages",Countries!$B$5:$B$434,"Paid Search",Countries!$C$5:$C$434,"Desktop",Countries!$D$5:$D$434,$A105))</f>
        <v/>
      </c>
      <c r="D105" s="41">
        <f>IF(SUMIFS(Countries!$F$5:$F$434,Countries!$A$5:$A$434,"All landing pages",Countries!$B$5:$B$434,"Paid Search",Countries!$C$5:$C$434,"Desktop",Countries!$D$5:$D$434,$A105)=0,"",SUMIFS(Countries!$F$5:$F$434,Countries!$A$5:$A$434,"All landing pages",Countries!$B$5:$B$434,"Paid Search",Countries!$C$5:$C$434,"Desktop",Countries!$D$5:$D$434,$A105))</f>
        <v/>
      </c>
      <c r="E105" s="42">
        <f>IF(OR(C105="",D105="",D105=0,C105=0),"",D105/C105-1)</f>
        <v/>
      </c>
      <c r="F105" s="41">
        <f>IF(SUMIFS(Countries!$P$5:$P$434,Countries!$A$5:$A$434,"All landing pages",Countries!$B$5:$B$434,"Paid Search",Countries!$C$5:$C$434,"Desktop",Countries!$D$5:$D$434,$A105)=0,"",SUMIFS(Countries!$P$5:$P$434,Countries!$A$5:$A$434,"All landing pages",Countries!$B$5:$B$434,"Paid Search",Countries!$C$5:$C$434,"Desktop",Countries!$D$5:$D$434,$A105))</f>
        <v/>
      </c>
      <c r="G105" s="41">
        <f>IF(SUMIFS(Countries!$Q$5:$Q$434,Countries!$A$5:$A$434,"All landing pages",Countries!$B$5:$B$434,"Paid Search",Countries!$C$5:$C$434,"Desktop",Countries!$D$5:$D$434,$A105)=0,"",SUMIFS(Countries!$Q$5:$Q$434,Countries!$A$5:$A$434,"All landing pages",Countries!$B$5:$B$434,"Paid Search",Countries!$C$5:$C$434,"Desktop",Countries!$D$5:$D$434,$A105))</f>
        <v/>
      </c>
      <c r="H105" s="42">
        <f>IF(OR(F105="",G105="",G105=0,F105=0),"",G105/F105-1)</f>
        <v/>
      </c>
      <c r="I105" s="41">
        <f>IF(SUMIFS(Countries!$AR$5:$AR$434,Countries!$A$5:$A$434,"All landing pages",Countries!$B$5:$B$434,"Paid Search",Countries!$C$5:$C$434,"Desktop",Countries!$D$5:$D$434,$A105)=0,"",SUMIFS(Countries!$AR$5:$AR$434,Countries!$A$5:$A$434,"All landing pages",Countries!$B$5:$B$434,"Paid Search",Countries!$C$5:$C$434,"Desktop",Countries!$D$5:$D$434,$A105))</f>
        <v/>
      </c>
      <c r="J105" s="41">
        <f>IF(SUMIFS(Countries!$AS$5:$AS$434,Countries!$A$5:$A$434,"All landing pages",Countries!$B$5:$B$434,"Paid Search",Countries!$C$5:$C$434,"Desktop",Countries!$D$5:$D$434,$A105)=0,"",SUMIFS(Countries!$AS$5:$AS$434,Countries!$A$5:$A$434,"All landing pages",Countries!$B$5:$B$434,"Paid Search",Countries!$C$5:$C$434,"Desktop",Countries!$D$5:$D$434,$A105))</f>
        <v/>
      </c>
      <c r="K105" s="42">
        <f>IF(OR(I105="",J105="",J105=0,I105=0),"",J105/I105-1)</f>
        <v/>
      </c>
      <c r="L105" s="43">
        <f>IF(SUMIFS(Countries!$E$5:$E$434,Countries!$A$5:$A$434,"All landing pages",Countries!$B$5:$B$434,"Paid Search",Countries!$C$5:$C$434,"Desktop",Countries!$D$5:$D$434,$A105,Countries!$P$5:$P$434,"&gt;0")=0,"",SUMIFS(Countries!$P$5:$P$434,Countries!$A$5:$A$434,"All landing pages",Countries!$B$5:$B$434,"Paid Search",Countries!$C$5:$C$434,"Desktop",Countries!$D$5:$D$434,$A105,Countries!$E$5:$E$434,"&gt;0")/SUMIFS(Countries!$E$5:$E$434,Countries!$A$5:$A$434,"All landing pages",Countries!$B$5:$B$434,"Paid Search",Countries!$C$5:$C$434,"Desktop",Countries!$D$5:$D$434,$A105,Countries!$P$5:$P$434,"&gt;0"))</f>
        <v/>
      </c>
      <c r="M105" s="43">
        <f>IF(SUMIFS(Countries!$F$5:$F$434,Countries!$A$5:$A$434,"All landing pages",Countries!$B$5:$B$434,"Paid Search",Countries!$C$5:$C$434,"Desktop",Countries!$D$5:$D$434,$A105,Countries!$Q$5:$Q$434,"&gt;0")=0,"",SUMIFS(Countries!$Q$5:$Q$434,Countries!$A$5:$A$434,"All landing pages",Countries!$B$5:$B$434,"Paid Search",Countries!$C$5:$C$434,"Desktop",Countries!$D$5:$D$434,$A105,Countries!$F$5:$F$434,"&gt;0")/SUMIFS(Countries!$F$5:$F$434,Countries!$A$5:$A$434,"All landing pages",Countries!$B$5:$B$434,"Paid Search",Countries!$C$5:$C$434,"Desktop",Countries!$D$5:$D$434,$A105,Countries!$Q$5:$Q$434,"&gt;0"))</f>
        <v/>
      </c>
      <c r="N105" s="44">
        <f>IF(OR(L105="",M105=""),"",(M105-L105)*100)</f>
        <v/>
      </c>
      <c r="O105" s="45">
        <f>IF(SUMIFS(Countries!$P$5:$P$434,Countries!$A$5:$A$434,"All landing pages",Countries!$B$5:$B$434,"Paid Search",Countries!$C$5:$C$434,"Desktop",Countries!$D$5:$D$434,$A105,Countries!$AR$5:$AR$434,"&gt;0")=0,"",SUMIFS(Countries!$AR$5:$AR$434,Countries!$A$5:$A$434,"All landing pages",Countries!$B$5:$B$434,"Paid Search",Countries!$C$5:$C$434,"Desktop",Countries!$D$5:$D$434,$A105,Countries!$P$5:$P$434,"&gt;0")/SUMIFS(Countries!$P$5:$P$434,Countries!$A$5:$A$434,"All landing pages",Countries!$B$5:$B$434,"Paid Search",Countries!$C$5:$C$434,"Desktop",Countries!$D$5:$D$434,$A105,Countries!$AR$5:$AR$434,"&gt;0"))</f>
        <v/>
      </c>
      <c r="P105" s="45">
        <f>IF(SUMIFS(Countries!$Q$5:$Q$434,Countries!$A$5:$A$434,"All landing pages",Countries!$B$5:$B$434,"Paid Search",Countries!$C$5:$C$434,"Desktop",Countries!$D$5:$D$434,$A105,Countries!$AS$5:$AS$434,"&gt;0")=0,"",SUMIFS(Countries!$AS$5:$AS$434,Countries!$A$5:$A$434,"All landing pages",Countries!$B$5:$B$434,"Paid Search",Countries!$C$5:$C$434,"Desktop",Countries!$D$5:$D$434,$A105,Countries!$Q$5:$Q$434,"&gt;0")/SUMIFS(Countries!$Q$5:$Q$434,Countries!$A$5:$A$434,"All landing pages",Countries!$B$5:$B$434,"Paid Search",Countries!$C$5:$C$434,"Desktop",Countries!$D$5:$D$434,$A105,Countries!$AS$5:$AS$434,"&gt;0"))</f>
        <v/>
      </c>
      <c r="Q105" s="44">
        <f>IF(OR(O105="",P105=""),"",(P105-O105)*100)</f>
        <v/>
      </c>
      <c r="R105" s="45">
        <f>IF(SUMIFS(Countries!$E$5:$E$434,Countries!$A$5:$A$434,"All landing pages",Countries!$B$5:$B$434,"Paid Search",Countries!$C$5:$C$434,"Desktop",Countries!$D$5:$D$434,$A105,Countries!$AR$5:$AR$434,"&gt;0")=0,"",SUMIFS(Countries!$AR$5:$AR$434,Countries!$A$5:$A$434,"All landing pages",Countries!$B$5:$B$434,"Paid Search",Countries!$C$5:$C$434,"Desktop",Countries!$D$5:$D$434,$A105,Countries!$E$5:$E$434,"&gt;0")/SUMIFS(Countries!$E$5:$E$434,Countries!$A$5:$A$434,"All landing pages",Countries!$B$5:$B$434,"Paid Search",Countries!$C$5:$C$434,"Desktop",Countries!$D$5:$D$434,$A105,Countries!$AR$5:$AR$434,"&gt;0"))</f>
        <v/>
      </c>
      <c r="S105" s="45">
        <f>IF(SUMIFS(Countries!$F$5:$F$434,Countries!$A$5:$A$434,"All landing pages",Countries!$B$5:$B$434,"Paid Search",Countries!$C$5:$C$434,"Desktop",Countries!$D$5:$D$434,$A105,Countries!$AS$5:$AS$434,"&gt;0")=0,"",SUMIFS(Countries!$AS$5:$AS$434,Countries!$A$5:$A$434,"All landing pages",Countries!$B$5:$B$434,"Paid Search",Countries!$C$5:$C$434,"Desktop",Countries!$D$5:$D$434,$A105,Countries!$F$5:$F$434,"&gt;0")/SUMIFS(Countries!$F$5:$F$434,Countries!$A$5:$A$434,"All landing pages",Countries!$B$5:$B$434,"Paid Search",Countries!$C$5:$C$434,"Desktop",Countries!$D$5:$D$434,$A105,Countries!$AS$5:$AS$434,"&gt;0"))</f>
        <v/>
      </c>
      <c r="T105" s="44">
        <f>IF(OR(R105="",S105=""),"",(S105-R105)*100)</f>
        <v/>
      </c>
    </row>
    <row r="106">
      <c r="A106" s="40" t="inlineStr">
        <is>
          <t>Austria</t>
        </is>
      </c>
      <c r="B106" s="40" t="inlineStr">
        <is>
          <t>Paid Search</t>
        </is>
      </c>
      <c r="C106" s="41">
        <f>IF(SUMIFS(Countries!$E$5:$E$434,Countries!$A$5:$A$434,"All landing pages",Countries!$B$5:$B$434,"Paid Search",Countries!$C$5:$C$434,"Desktop",Countries!$D$5:$D$434,$A106)=0,"",SUMIFS(Countries!$E$5:$E$434,Countries!$A$5:$A$434,"All landing pages",Countries!$B$5:$B$434,"Paid Search",Countries!$C$5:$C$434,"Desktop",Countries!$D$5:$D$434,$A106))</f>
        <v/>
      </c>
      <c r="D106" s="41">
        <f>IF(SUMIFS(Countries!$F$5:$F$434,Countries!$A$5:$A$434,"All landing pages",Countries!$B$5:$B$434,"Paid Search",Countries!$C$5:$C$434,"Desktop",Countries!$D$5:$D$434,$A106)=0,"",SUMIFS(Countries!$F$5:$F$434,Countries!$A$5:$A$434,"All landing pages",Countries!$B$5:$B$434,"Paid Search",Countries!$C$5:$C$434,"Desktop",Countries!$D$5:$D$434,$A106))</f>
        <v/>
      </c>
      <c r="E106" s="42">
        <f>IF(OR(C106="",D106="",D106=0,C106=0),"",D106/C106-1)</f>
        <v/>
      </c>
      <c r="F106" s="41">
        <f>IF(SUMIFS(Countries!$P$5:$P$434,Countries!$A$5:$A$434,"All landing pages",Countries!$B$5:$B$434,"Paid Search",Countries!$C$5:$C$434,"Desktop",Countries!$D$5:$D$434,$A106)=0,"",SUMIFS(Countries!$P$5:$P$434,Countries!$A$5:$A$434,"All landing pages",Countries!$B$5:$B$434,"Paid Search",Countries!$C$5:$C$434,"Desktop",Countries!$D$5:$D$434,$A106))</f>
        <v/>
      </c>
      <c r="G106" s="41">
        <f>IF(SUMIFS(Countries!$Q$5:$Q$434,Countries!$A$5:$A$434,"All landing pages",Countries!$B$5:$B$434,"Paid Search",Countries!$C$5:$C$434,"Desktop",Countries!$D$5:$D$434,$A106)=0,"",SUMIFS(Countries!$Q$5:$Q$434,Countries!$A$5:$A$434,"All landing pages",Countries!$B$5:$B$434,"Paid Search",Countries!$C$5:$C$434,"Desktop",Countries!$D$5:$D$434,$A106))</f>
        <v/>
      </c>
      <c r="H106" s="42">
        <f>IF(OR(F106="",G106="",G106=0,F106=0),"",G106/F106-1)</f>
        <v/>
      </c>
      <c r="I106" s="41">
        <f>IF(SUMIFS(Countries!$AR$5:$AR$434,Countries!$A$5:$A$434,"All landing pages",Countries!$B$5:$B$434,"Paid Search",Countries!$C$5:$C$434,"Desktop",Countries!$D$5:$D$434,$A106)=0,"",SUMIFS(Countries!$AR$5:$AR$434,Countries!$A$5:$A$434,"All landing pages",Countries!$B$5:$B$434,"Paid Search",Countries!$C$5:$C$434,"Desktop",Countries!$D$5:$D$434,$A106))</f>
        <v/>
      </c>
      <c r="J106" s="41">
        <f>IF(SUMIFS(Countries!$AS$5:$AS$434,Countries!$A$5:$A$434,"All landing pages",Countries!$B$5:$B$434,"Paid Search",Countries!$C$5:$C$434,"Desktop",Countries!$D$5:$D$434,$A106)=0,"",SUMIFS(Countries!$AS$5:$AS$434,Countries!$A$5:$A$434,"All landing pages",Countries!$B$5:$B$434,"Paid Search",Countries!$C$5:$C$434,"Desktop",Countries!$D$5:$D$434,$A106))</f>
        <v/>
      </c>
      <c r="K106" s="42">
        <f>IF(OR(I106="",J106="",J106=0,I106=0),"",J106/I106-1)</f>
        <v/>
      </c>
      <c r="L106" s="43">
        <f>IF(SUMIFS(Countries!$E$5:$E$434,Countries!$A$5:$A$434,"All landing pages",Countries!$B$5:$B$434,"Paid Search",Countries!$C$5:$C$434,"Desktop",Countries!$D$5:$D$434,$A106,Countries!$P$5:$P$434,"&gt;0")=0,"",SUMIFS(Countries!$P$5:$P$434,Countries!$A$5:$A$434,"All landing pages",Countries!$B$5:$B$434,"Paid Search",Countries!$C$5:$C$434,"Desktop",Countries!$D$5:$D$434,$A106,Countries!$E$5:$E$434,"&gt;0")/SUMIFS(Countries!$E$5:$E$434,Countries!$A$5:$A$434,"All landing pages",Countries!$B$5:$B$434,"Paid Search",Countries!$C$5:$C$434,"Desktop",Countries!$D$5:$D$434,$A106,Countries!$P$5:$P$434,"&gt;0"))</f>
        <v/>
      </c>
      <c r="M106" s="43">
        <f>IF(SUMIFS(Countries!$F$5:$F$434,Countries!$A$5:$A$434,"All landing pages",Countries!$B$5:$B$434,"Paid Search",Countries!$C$5:$C$434,"Desktop",Countries!$D$5:$D$434,$A106,Countries!$Q$5:$Q$434,"&gt;0")=0,"",SUMIFS(Countries!$Q$5:$Q$434,Countries!$A$5:$A$434,"All landing pages",Countries!$B$5:$B$434,"Paid Search",Countries!$C$5:$C$434,"Desktop",Countries!$D$5:$D$434,$A106,Countries!$F$5:$F$434,"&gt;0")/SUMIFS(Countries!$F$5:$F$434,Countries!$A$5:$A$434,"All landing pages",Countries!$B$5:$B$434,"Paid Search",Countries!$C$5:$C$434,"Desktop",Countries!$D$5:$D$434,$A106,Countries!$Q$5:$Q$434,"&gt;0"))</f>
        <v/>
      </c>
      <c r="N106" s="44">
        <f>IF(OR(L106="",M106=""),"",(M106-L106)*100)</f>
        <v/>
      </c>
      <c r="O106" s="45">
        <f>IF(SUMIFS(Countries!$P$5:$P$434,Countries!$A$5:$A$434,"All landing pages",Countries!$B$5:$B$434,"Paid Search",Countries!$C$5:$C$434,"Desktop",Countries!$D$5:$D$434,$A106,Countries!$AR$5:$AR$434,"&gt;0")=0,"",SUMIFS(Countries!$AR$5:$AR$434,Countries!$A$5:$A$434,"All landing pages",Countries!$B$5:$B$434,"Paid Search",Countries!$C$5:$C$434,"Desktop",Countries!$D$5:$D$434,$A106,Countries!$P$5:$P$434,"&gt;0")/SUMIFS(Countries!$P$5:$P$434,Countries!$A$5:$A$434,"All landing pages",Countries!$B$5:$B$434,"Paid Search",Countries!$C$5:$C$434,"Desktop",Countries!$D$5:$D$434,$A106,Countries!$AR$5:$AR$434,"&gt;0"))</f>
        <v/>
      </c>
      <c r="P106" s="45">
        <f>IF(SUMIFS(Countries!$Q$5:$Q$434,Countries!$A$5:$A$434,"All landing pages",Countries!$B$5:$B$434,"Paid Search",Countries!$C$5:$C$434,"Desktop",Countries!$D$5:$D$434,$A106,Countries!$AS$5:$AS$434,"&gt;0")=0,"",SUMIFS(Countries!$AS$5:$AS$434,Countries!$A$5:$A$434,"All landing pages",Countries!$B$5:$B$434,"Paid Search",Countries!$C$5:$C$434,"Desktop",Countries!$D$5:$D$434,$A106,Countries!$Q$5:$Q$434,"&gt;0")/SUMIFS(Countries!$Q$5:$Q$434,Countries!$A$5:$A$434,"All landing pages",Countries!$B$5:$B$434,"Paid Search",Countries!$C$5:$C$434,"Desktop",Countries!$D$5:$D$434,$A106,Countries!$AS$5:$AS$434,"&gt;0"))</f>
        <v/>
      </c>
      <c r="Q106" s="44">
        <f>IF(OR(O106="",P106=""),"",(P106-O106)*100)</f>
        <v/>
      </c>
      <c r="R106" s="45">
        <f>IF(SUMIFS(Countries!$E$5:$E$434,Countries!$A$5:$A$434,"All landing pages",Countries!$B$5:$B$434,"Paid Search",Countries!$C$5:$C$434,"Desktop",Countries!$D$5:$D$434,$A106,Countries!$AR$5:$AR$434,"&gt;0")=0,"",SUMIFS(Countries!$AR$5:$AR$434,Countries!$A$5:$A$434,"All landing pages",Countries!$B$5:$B$434,"Paid Search",Countries!$C$5:$C$434,"Desktop",Countries!$D$5:$D$434,$A106,Countries!$E$5:$E$434,"&gt;0")/SUMIFS(Countries!$E$5:$E$434,Countries!$A$5:$A$434,"All landing pages",Countries!$B$5:$B$434,"Paid Search",Countries!$C$5:$C$434,"Desktop",Countries!$D$5:$D$434,$A106,Countries!$AR$5:$AR$434,"&gt;0"))</f>
        <v/>
      </c>
      <c r="S106" s="45">
        <f>IF(SUMIFS(Countries!$F$5:$F$434,Countries!$A$5:$A$434,"All landing pages",Countries!$B$5:$B$434,"Paid Search",Countries!$C$5:$C$434,"Desktop",Countries!$D$5:$D$434,$A106,Countries!$AS$5:$AS$434,"&gt;0")=0,"",SUMIFS(Countries!$AS$5:$AS$434,Countries!$A$5:$A$434,"All landing pages",Countries!$B$5:$B$434,"Paid Search",Countries!$C$5:$C$434,"Desktop",Countries!$D$5:$D$434,$A106,Countries!$F$5:$F$434,"&gt;0")/SUMIFS(Countries!$F$5:$F$434,Countries!$A$5:$A$434,"All landing pages",Countries!$B$5:$B$434,"Paid Search",Countries!$C$5:$C$434,"Desktop",Countries!$D$5:$D$434,$A106,Countries!$AS$5:$AS$434,"&gt;0"))</f>
        <v/>
      </c>
      <c r="T106" s="44">
        <f>IF(OR(R106="",S106=""),"",(S106-R106)*100)</f>
        <v/>
      </c>
    </row>
    <row r="107">
      <c r="A107" s="40" t="inlineStr">
        <is>
          <t>Denmark</t>
        </is>
      </c>
      <c r="B107" s="40" t="inlineStr">
        <is>
          <t>Paid Search</t>
        </is>
      </c>
      <c r="C107" s="41">
        <f>IF(SUMIFS(Countries!$E$5:$E$434,Countries!$A$5:$A$434,"All landing pages",Countries!$B$5:$B$434,"Paid Search",Countries!$C$5:$C$434,"Desktop",Countries!$D$5:$D$434,$A107)=0,"",SUMIFS(Countries!$E$5:$E$434,Countries!$A$5:$A$434,"All landing pages",Countries!$B$5:$B$434,"Paid Search",Countries!$C$5:$C$434,"Desktop",Countries!$D$5:$D$434,$A107))</f>
        <v/>
      </c>
      <c r="D107" s="41">
        <f>IF(SUMIFS(Countries!$F$5:$F$434,Countries!$A$5:$A$434,"All landing pages",Countries!$B$5:$B$434,"Paid Search",Countries!$C$5:$C$434,"Desktop",Countries!$D$5:$D$434,$A107)=0,"",SUMIFS(Countries!$F$5:$F$434,Countries!$A$5:$A$434,"All landing pages",Countries!$B$5:$B$434,"Paid Search",Countries!$C$5:$C$434,"Desktop",Countries!$D$5:$D$434,$A107))</f>
        <v/>
      </c>
      <c r="E107" s="42">
        <f>IF(OR(C107="",D107="",D107=0,C107=0),"",D107/C107-1)</f>
        <v/>
      </c>
      <c r="F107" s="41">
        <f>IF(SUMIFS(Countries!$P$5:$P$434,Countries!$A$5:$A$434,"All landing pages",Countries!$B$5:$B$434,"Paid Search",Countries!$C$5:$C$434,"Desktop",Countries!$D$5:$D$434,$A107)=0,"",SUMIFS(Countries!$P$5:$P$434,Countries!$A$5:$A$434,"All landing pages",Countries!$B$5:$B$434,"Paid Search",Countries!$C$5:$C$434,"Desktop",Countries!$D$5:$D$434,$A107))</f>
        <v/>
      </c>
      <c r="G107" s="41">
        <f>IF(SUMIFS(Countries!$Q$5:$Q$434,Countries!$A$5:$A$434,"All landing pages",Countries!$B$5:$B$434,"Paid Search",Countries!$C$5:$C$434,"Desktop",Countries!$D$5:$D$434,$A107)=0,"",SUMIFS(Countries!$Q$5:$Q$434,Countries!$A$5:$A$434,"All landing pages",Countries!$B$5:$B$434,"Paid Search",Countries!$C$5:$C$434,"Desktop",Countries!$D$5:$D$434,$A107))</f>
        <v/>
      </c>
      <c r="H107" s="42">
        <f>IF(OR(F107="",G107="",G107=0,F107=0),"",G107/F107-1)</f>
        <v/>
      </c>
      <c r="I107" s="41">
        <f>IF(SUMIFS(Countries!$AR$5:$AR$434,Countries!$A$5:$A$434,"All landing pages",Countries!$B$5:$B$434,"Paid Search",Countries!$C$5:$C$434,"Desktop",Countries!$D$5:$D$434,$A107)=0,"",SUMIFS(Countries!$AR$5:$AR$434,Countries!$A$5:$A$434,"All landing pages",Countries!$B$5:$B$434,"Paid Search",Countries!$C$5:$C$434,"Desktop",Countries!$D$5:$D$434,$A107))</f>
        <v/>
      </c>
      <c r="J107" s="41">
        <f>IF(SUMIFS(Countries!$AS$5:$AS$434,Countries!$A$5:$A$434,"All landing pages",Countries!$B$5:$B$434,"Paid Search",Countries!$C$5:$C$434,"Desktop",Countries!$D$5:$D$434,$A107)=0,"",SUMIFS(Countries!$AS$5:$AS$434,Countries!$A$5:$A$434,"All landing pages",Countries!$B$5:$B$434,"Paid Search",Countries!$C$5:$C$434,"Desktop",Countries!$D$5:$D$434,$A107))</f>
        <v/>
      </c>
      <c r="K107" s="42">
        <f>IF(OR(I107="",J107="",J107=0,I107=0),"",J107/I107-1)</f>
        <v/>
      </c>
      <c r="L107" s="43">
        <f>IF(SUMIFS(Countries!$E$5:$E$434,Countries!$A$5:$A$434,"All landing pages",Countries!$B$5:$B$434,"Paid Search",Countries!$C$5:$C$434,"Desktop",Countries!$D$5:$D$434,$A107,Countries!$P$5:$P$434,"&gt;0")=0,"",SUMIFS(Countries!$P$5:$P$434,Countries!$A$5:$A$434,"All landing pages",Countries!$B$5:$B$434,"Paid Search",Countries!$C$5:$C$434,"Desktop",Countries!$D$5:$D$434,$A107,Countries!$E$5:$E$434,"&gt;0")/SUMIFS(Countries!$E$5:$E$434,Countries!$A$5:$A$434,"All landing pages",Countries!$B$5:$B$434,"Paid Search",Countries!$C$5:$C$434,"Desktop",Countries!$D$5:$D$434,$A107,Countries!$P$5:$P$434,"&gt;0"))</f>
        <v/>
      </c>
      <c r="M107" s="43">
        <f>IF(SUMIFS(Countries!$F$5:$F$434,Countries!$A$5:$A$434,"All landing pages",Countries!$B$5:$B$434,"Paid Search",Countries!$C$5:$C$434,"Desktop",Countries!$D$5:$D$434,$A107,Countries!$Q$5:$Q$434,"&gt;0")=0,"",SUMIFS(Countries!$Q$5:$Q$434,Countries!$A$5:$A$434,"All landing pages",Countries!$B$5:$B$434,"Paid Search",Countries!$C$5:$C$434,"Desktop",Countries!$D$5:$D$434,$A107,Countries!$F$5:$F$434,"&gt;0")/SUMIFS(Countries!$F$5:$F$434,Countries!$A$5:$A$434,"All landing pages",Countries!$B$5:$B$434,"Paid Search",Countries!$C$5:$C$434,"Desktop",Countries!$D$5:$D$434,$A107,Countries!$Q$5:$Q$434,"&gt;0"))</f>
        <v/>
      </c>
      <c r="N107" s="44">
        <f>IF(OR(L107="",M107=""),"",(M107-L107)*100)</f>
        <v/>
      </c>
      <c r="O107" s="45">
        <f>IF(SUMIFS(Countries!$P$5:$P$434,Countries!$A$5:$A$434,"All landing pages",Countries!$B$5:$B$434,"Paid Search",Countries!$C$5:$C$434,"Desktop",Countries!$D$5:$D$434,$A107,Countries!$AR$5:$AR$434,"&gt;0")=0,"",SUMIFS(Countries!$AR$5:$AR$434,Countries!$A$5:$A$434,"All landing pages",Countries!$B$5:$B$434,"Paid Search",Countries!$C$5:$C$434,"Desktop",Countries!$D$5:$D$434,$A107,Countries!$P$5:$P$434,"&gt;0")/SUMIFS(Countries!$P$5:$P$434,Countries!$A$5:$A$434,"All landing pages",Countries!$B$5:$B$434,"Paid Search",Countries!$C$5:$C$434,"Desktop",Countries!$D$5:$D$434,$A107,Countries!$AR$5:$AR$434,"&gt;0"))</f>
        <v/>
      </c>
      <c r="P107" s="45">
        <f>IF(SUMIFS(Countries!$Q$5:$Q$434,Countries!$A$5:$A$434,"All landing pages",Countries!$B$5:$B$434,"Paid Search",Countries!$C$5:$C$434,"Desktop",Countries!$D$5:$D$434,$A107,Countries!$AS$5:$AS$434,"&gt;0")=0,"",SUMIFS(Countries!$AS$5:$AS$434,Countries!$A$5:$A$434,"All landing pages",Countries!$B$5:$B$434,"Paid Search",Countries!$C$5:$C$434,"Desktop",Countries!$D$5:$D$434,$A107,Countries!$Q$5:$Q$434,"&gt;0")/SUMIFS(Countries!$Q$5:$Q$434,Countries!$A$5:$A$434,"All landing pages",Countries!$B$5:$B$434,"Paid Search",Countries!$C$5:$C$434,"Desktop",Countries!$D$5:$D$434,$A107,Countries!$AS$5:$AS$434,"&gt;0"))</f>
        <v/>
      </c>
      <c r="Q107" s="44">
        <f>IF(OR(O107="",P107=""),"",(P107-O107)*100)</f>
        <v/>
      </c>
      <c r="R107" s="45">
        <f>IF(SUMIFS(Countries!$E$5:$E$434,Countries!$A$5:$A$434,"All landing pages",Countries!$B$5:$B$434,"Paid Search",Countries!$C$5:$C$434,"Desktop",Countries!$D$5:$D$434,$A107,Countries!$AR$5:$AR$434,"&gt;0")=0,"",SUMIFS(Countries!$AR$5:$AR$434,Countries!$A$5:$A$434,"All landing pages",Countries!$B$5:$B$434,"Paid Search",Countries!$C$5:$C$434,"Desktop",Countries!$D$5:$D$434,$A107,Countries!$E$5:$E$434,"&gt;0")/SUMIFS(Countries!$E$5:$E$434,Countries!$A$5:$A$434,"All landing pages",Countries!$B$5:$B$434,"Paid Search",Countries!$C$5:$C$434,"Desktop",Countries!$D$5:$D$434,$A107,Countries!$AR$5:$AR$434,"&gt;0"))</f>
        <v/>
      </c>
      <c r="S107" s="45">
        <f>IF(SUMIFS(Countries!$F$5:$F$434,Countries!$A$5:$A$434,"All landing pages",Countries!$B$5:$B$434,"Paid Search",Countries!$C$5:$C$434,"Desktop",Countries!$D$5:$D$434,$A107,Countries!$AS$5:$AS$434,"&gt;0")=0,"",SUMIFS(Countries!$AS$5:$AS$434,Countries!$A$5:$A$434,"All landing pages",Countries!$B$5:$B$434,"Paid Search",Countries!$C$5:$C$434,"Desktop",Countries!$D$5:$D$434,$A107,Countries!$F$5:$F$434,"&gt;0")/SUMIFS(Countries!$F$5:$F$434,Countries!$A$5:$A$434,"All landing pages",Countries!$B$5:$B$434,"Paid Search",Countries!$C$5:$C$434,"Desktop",Countries!$D$5:$D$434,$A107,Countries!$AS$5:$AS$434,"&gt;0"))</f>
        <v/>
      </c>
      <c r="T107" s="44">
        <f>IF(OR(R107="",S107=""),"",(S107-R107)*100)</f>
        <v/>
      </c>
    </row>
    <row r="108">
      <c r="A108" s="40" t="inlineStr">
        <is>
          <t>Norway</t>
        </is>
      </c>
      <c r="B108" s="40" t="inlineStr">
        <is>
          <t>Paid Search</t>
        </is>
      </c>
      <c r="C108" s="41">
        <f>IF(SUMIFS(Countries!$E$5:$E$434,Countries!$A$5:$A$434,"All landing pages",Countries!$B$5:$B$434,"Paid Search",Countries!$C$5:$C$434,"Desktop",Countries!$D$5:$D$434,$A108)=0,"",SUMIFS(Countries!$E$5:$E$434,Countries!$A$5:$A$434,"All landing pages",Countries!$B$5:$B$434,"Paid Search",Countries!$C$5:$C$434,"Desktop",Countries!$D$5:$D$434,$A108))</f>
        <v/>
      </c>
      <c r="D108" s="41">
        <f>IF(SUMIFS(Countries!$F$5:$F$434,Countries!$A$5:$A$434,"All landing pages",Countries!$B$5:$B$434,"Paid Search",Countries!$C$5:$C$434,"Desktop",Countries!$D$5:$D$434,$A108)=0,"",SUMIFS(Countries!$F$5:$F$434,Countries!$A$5:$A$434,"All landing pages",Countries!$B$5:$B$434,"Paid Search",Countries!$C$5:$C$434,"Desktop",Countries!$D$5:$D$434,$A108))</f>
        <v/>
      </c>
      <c r="E108" s="42">
        <f>IF(OR(C108="",D108="",D108=0,C108=0),"",D108/C108-1)</f>
        <v/>
      </c>
      <c r="F108" s="41">
        <f>IF(SUMIFS(Countries!$P$5:$P$434,Countries!$A$5:$A$434,"All landing pages",Countries!$B$5:$B$434,"Paid Search",Countries!$C$5:$C$434,"Desktop",Countries!$D$5:$D$434,$A108)=0,"",SUMIFS(Countries!$P$5:$P$434,Countries!$A$5:$A$434,"All landing pages",Countries!$B$5:$B$434,"Paid Search",Countries!$C$5:$C$434,"Desktop",Countries!$D$5:$D$434,$A108))</f>
        <v/>
      </c>
      <c r="G108" s="41">
        <f>IF(SUMIFS(Countries!$Q$5:$Q$434,Countries!$A$5:$A$434,"All landing pages",Countries!$B$5:$B$434,"Paid Search",Countries!$C$5:$C$434,"Desktop",Countries!$D$5:$D$434,$A108)=0,"",SUMIFS(Countries!$Q$5:$Q$434,Countries!$A$5:$A$434,"All landing pages",Countries!$B$5:$B$434,"Paid Search",Countries!$C$5:$C$434,"Desktop",Countries!$D$5:$D$434,$A108))</f>
        <v/>
      </c>
      <c r="H108" s="42">
        <f>IF(OR(F108="",G108="",G108=0,F108=0),"",G108/F108-1)</f>
        <v/>
      </c>
      <c r="I108" s="41">
        <f>IF(SUMIFS(Countries!$AR$5:$AR$434,Countries!$A$5:$A$434,"All landing pages",Countries!$B$5:$B$434,"Paid Search",Countries!$C$5:$C$434,"Desktop",Countries!$D$5:$D$434,$A108)=0,"",SUMIFS(Countries!$AR$5:$AR$434,Countries!$A$5:$A$434,"All landing pages",Countries!$B$5:$B$434,"Paid Search",Countries!$C$5:$C$434,"Desktop",Countries!$D$5:$D$434,$A108))</f>
        <v/>
      </c>
      <c r="J108" s="41">
        <f>IF(SUMIFS(Countries!$AS$5:$AS$434,Countries!$A$5:$A$434,"All landing pages",Countries!$B$5:$B$434,"Paid Search",Countries!$C$5:$C$434,"Desktop",Countries!$D$5:$D$434,$A108)=0,"",SUMIFS(Countries!$AS$5:$AS$434,Countries!$A$5:$A$434,"All landing pages",Countries!$B$5:$B$434,"Paid Search",Countries!$C$5:$C$434,"Desktop",Countries!$D$5:$D$434,$A108))</f>
        <v/>
      </c>
      <c r="K108" s="42">
        <f>IF(OR(I108="",J108="",J108=0,I108=0),"",J108/I108-1)</f>
        <v/>
      </c>
      <c r="L108" s="43">
        <f>IF(SUMIFS(Countries!$E$5:$E$434,Countries!$A$5:$A$434,"All landing pages",Countries!$B$5:$B$434,"Paid Search",Countries!$C$5:$C$434,"Desktop",Countries!$D$5:$D$434,$A108,Countries!$P$5:$P$434,"&gt;0")=0,"",SUMIFS(Countries!$P$5:$P$434,Countries!$A$5:$A$434,"All landing pages",Countries!$B$5:$B$434,"Paid Search",Countries!$C$5:$C$434,"Desktop",Countries!$D$5:$D$434,$A108,Countries!$E$5:$E$434,"&gt;0")/SUMIFS(Countries!$E$5:$E$434,Countries!$A$5:$A$434,"All landing pages",Countries!$B$5:$B$434,"Paid Search",Countries!$C$5:$C$434,"Desktop",Countries!$D$5:$D$434,$A108,Countries!$P$5:$P$434,"&gt;0"))</f>
        <v/>
      </c>
      <c r="M108" s="43">
        <f>IF(SUMIFS(Countries!$F$5:$F$434,Countries!$A$5:$A$434,"All landing pages",Countries!$B$5:$B$434,"Paid Search",Countries!$C$5:$C$434,"Desktop",Countries!$D$5:$D$434,$A108,Countries!$Q$5:$Q$434,"&gt;0")=0,"",SUMIFS(Countries!$Q$5:$Q$434,Countries!$A$5:$A$434,"All landing pages",Countries!$B$5:$B$434,"Paid Search",Countries!$C$5:$C$434,"Desktop",Countries!$D$5:$D$434,$A108,Countries!$F$5:$F$434,"&gt;0")/SUMIFS(Countries!$F$5:$F$434,Countries!$A$5:$A$434,"All landing pages",Countries!$B$5:$B$434,"Paid Search",Countries!$C$5:$C$434,"Desktop",Countries!$D$5:$D$434,$A108,Countries!$Q$5:$Q$434,"&gt;0"))</f>
        <v/>
      </c>
      <c r="N108" s="44">
        <f>IF(OR(L108="",M108=""),"",(M108-L108)*100)</f>
        <v/>
      </c>
      <c r="O108" s="45">
        <f>IF(SUMIFS(Countries!$P$5:$P$434,Countries!$A$5:$A$434,"All landing pages",Countries!$B$5:$B$434,"Paid Search",Countries!$C$5:$C$434,"Desktop",Countries!$D$5:$D$434,$A108,Countries!$AR$5:$AR$434,"&gt;0")=0,"",SUMIFS(Countries!$AR$5:$AR$434,Countries!$A$5:$A$434,"All landing pages",Countries!$B$5:$B$434,"Paid Search",Countries!$C$5:$C$434,"Desktop",Countries!$D$5:$D$434,$A108,Countries!$P$5:$P$434,"&gt;0")/SUMIFS(Countries!$P$5:$P$434,Countries!$A$5:$A$434,"All landing pages",Countries!$B$5:$B$434,"Paid Search",Countries!$C$5:$C$434,"Desktop",Countries!$D$5:$D$434,$A108,Countries!$AR$5:$AR$434,"&gt;0"))</f>
        <v/>
      </c>
      <c r="P108" s="45">
        <f>IF(SUMIFS(Countries!$Q$5:$Q$434,Countries!$A$5:$A$434,"All landing pages",Countries!$B$5:$B$434,"Paid Search",Countries!$C$5:$C$434,"Desktop",Countries!$D$5:$D$434,$A108,Countries!$AS$5:$AS$434,"&gt;0")=0,"",SUMIFS(Countries!$AS$5:$AS$434,Countries!$A$5:$A$434,"All landing pages",Countries!$B$5:$B$434,"Paid Search",Countries!$C$5:$C$434,"Desktop",Countries!$D$5:$D$434,$A108,Countries!$Q$5:$Q$434,"&gt;0")/SUMIFS(Countries!$Q$5:$Q$434,Countries!$A$5:$A$434,"All landing pages",Countries!$B$5:$B$434,"Paid Search",Countries!$C$5:$C$434,"Desktop",Countries!$D$5:$D$434,$A108,Countries!$AS$5:$AS$434,"&gt;0"))</f>
        <v/>
      </c>
      <c r="Q108" s="44">
        <f>IF(OR(O108="",P108=""),"",(P108-O108)*100)</f>
        <v/>
      </c>
      <c r="R108" s="45">
        <f>IF(SUMIFS(Countries!$E$5:$E$434,Countries!$A$5:$A$434,"All landing pages",Countries!$B$5:$B$434,"Paid Search",Countries!$C$5:$C$434,"Desktop",Countries!$D$5:$D$434,$A108,Countries!$AR$5:$AR$434,"&gt;0")=0,"",SUMIFS(Countries!$AR$5:$AR$434,Countries!$A$5:$A$434,"All landing pages",Countries!$B$5:$B$434,"Paid Search",Countries!$C$5:$C$434,"Desktop",Countries!$D$5:$D$434,$A108,Countries!$E$5:$E$434,"&gt;0")/SUMIFS(Countries!$E$5:$E$434,Countries!$A$5:$A$434,"All landing pages",Countries!$B$5:$B$434,"Paid Search",Countries!$C$5:$C$434,"Desktop",Countries!$D$5:$D$434,$A108,Countries!$AR$5:$AR$434,"&gt;0"))</f>
        <v/>
      </c>
      <c r="S108" s="45">
        <f>IF(SUMIFS(Countries!$F$5:$F$434,Countries!$A$5:$A$434,"All landing pages",Countries!$B$5:$B$434,"Paid Search",Countries!$C$5:$C$434,"Desktop",Countries!$D$5:$D$434,$A108,Countries!$AS$5:$AS$434,"&gt;0")=0,"",SUMIFS(Countries!$AS$5:$AS$434,Countries!$A$5:$A$434,"All landing pages",Countries!$B$5:$B$434,"Paid Search",Countries!$C$5:$C$434,"Desktop",Countries!$D$5:$D$434,$A108,Countries!$F$5:$F$434,"&gt;0")/SUMIFS(Countries!$F$5:$F$434,Countries!$A$5:$A$434,"All landing pages",Countries!$B$5:$B$434,"Paid Search",Countries!$C$5:$C$434,"Desktop",Countries!$D$5:$D$434,$A108,Countries!$AS$5:$AS$434,"&gt;0"))</f>
        <v/>
      </c>
      <c r="T108" s="44">
        <f>IF(OR(R108="",S108=""),"",(S108-R108)*100)</f>
        <v/>
      </c>
    </row>
    <row r="109">
      <c r="A109" s="40" t="inlineStr">
        <is>
          <t>Finland</t>
        </is>
      </c>
      <c r="B109" s="40" t="inlineStr">
        <is>
          <t>Paid Search</t>
        </is>
      </c>
      <c r="C109" s="41">
        <f>IF(SUMIFS(Countries!$E$5:$E$434,Countries!$A$5:$A$434,"All landing pages",Countries!$B$5:$B$434,"Paid Search",Countries!$C$5:$C$434,"Desktop",Countries!$D$5:$D$434,$A109)=0,"",SUMIFS(Countries!$E$5:$E$434,Countries!$A$5:$A$434,"All landing pages",Countries!$B$5:$B$434,"Paid Search",Countries!$C$5:$C$434,"Desktop",Countries!$D$5:$D$434,$A109))</f>
        <v/>
      </c>
      <c r="D109" s="41">
        <f>IF(SUMIFS(Countries!$F$5:$F$434,Countries!$A$5:$A$434,"All landing pages",Countries!$B$5:$B$434,"Paid Search",Countries!$C$5:$C$434,"Desktop",Countries!$D$5:$D$434,$A109)=0,"",SUMIFS(Countries!$F$5:$F$434,Countries!$A$5:$A$434,"All landing pages",Countries!$B$5:$B$434,"Paid Search",Countries!$C$5:$C$434,"Desktop",Countries!$D$5:$D$434,$A109))</f>
        <v/>
      </c>
      <c r="E109" s="42">
        <f>IF(OR(C109="",D109="",D109=0,C109=0),"",D109/C109-1)</f>
        <v/>
      </c>
      <c r="F109" s="41">
        <f>IF(SUMIFS(Countries!$P$5:$P$434,Countries!$A$5:$A$434,"All landing pages",Countries!$B$5:$B$434,"Paid Search",Countries!$C$5:$C$434,"Desktop",Countries!$D$5:$D$434,$A109)=0,"",SUMIFS(Countries!$P$5:$P$434,Countries!$A$5:$A$434,"All landing pages",Countries!$B$5:$B$434,"Paid Search",Countries!$C$5:$C$434,"Desktop",Countries!$D$5:$D$434,$A109))</f>
        <v/>
      </c>
      <c r="G109" s="41">
        <f>IF(SUMIFS(Countries!$Q$5:$Q$434,Countries!$A$5:$A$434,"All landing pages",Countries!$B$5:$B$434,"Paid Search",Countries!$C$5:$C$434,"Desktop",Countries!$D$5:$D$434,$A109)=0,"",SUMIFS(Countries!$Q$5:$Q$434,Countries!$A$5:$A$434,"All landing pages",Countries!$B$5:$B$434,"Paid Search",Countries!$C$5:$C$434,"Desktop",Countries!$D$5:$D$434,$A109))</f>
        <v/>
      </c>
      <c r="H109" s="42">
        <f>IF(OR(F109="",G109="",G109=0,F109=0),"",G109/F109-1)</f>
        <v/>
      </c>
      <c r="I109" s="41">
        <f>IF(SUMIFS(Countries!$AR$5:$AR$434,Countries!$A$5:$A$434,"All landing pages",Countries!$B$5:$B$434,"Paid Search",Countries!$C$5:$C$434,"Desktop",Countries!$D$5:$D$434,$A109)=0,"",SUMIFS(Countries!$AR$5:$AR$434,Countries!$A$5:$A$434,"All landing pages",Countries!$B$5:$B$434,"Paid Search",Countries!$C$5:$C$434,"Desktop",Countries!$D$5:$D$434,$A109))</f>
        <v/>
      </c>
      <c r="J109" s="41">
        <f>IF(SUMIFS(Countries!$AS$5:$AS$434,Countries!$A$5:$A$434,"All landing pages",Countries!$B$5:$B$434,"Paid Search",Countries!$C$5:$C$434,"Desktop",Countries!$D$5:$D$434,$A109)=0,"",SUMIFS(Countries!$AS$5:$AS$434,Countries!$A$5:$A$434,"All landing pages",Countries!$B$5:$B$434,"Paid Search",Countries!$C$5:$C$434,"Desktop",Countries!$D$5:$D$434,$A109))</f>
        <v/>
      </c>
      <c r="K109" s="42">
        <f>IF(OR(I109="",J109="",J109=0,I109=0),"",J109/I109-1)</f>
        <v/>
      </c>
      <c r="L109" s="43">
        <f>IF(SUMIFS(Countries!$E$5:$E$434,Countries!$A$5:$A$434,"All landing pages",Countries!$B$5:$B$434,"Paid Search",Countries!$C$5:$C$434,"Desktop",Countries!$D$5:$D$434,$A109,Countries!$P$5:$P$434,"&gt;0")=0,"",SUMIFS(Countries!$P$5:$P$434,Countries!$A$5:$A$434,"All landing pages",Countries!$B$5:$B$434,"Paid Search",Countries!$C$5:$C$434,"Desktop",Countries!$D$5:$D$434,$A109,Countries!$E$5:$E$434,"&gt;0")/SUMIFS(Countries!$E$5:$E$434,Countries!$A$5:$A$434,"All landing pages",Countries!$B$5:$B$434,"Paid Search",Countries!$C$5:$C$434,"Desktop",Countries!$D$5:$D$434,$A109,Countries!$P$5:$P$434,"&gt;0"))</f>
        <v/>
      </c>
      <c r="M109" s="43">
        <f>IF(SUMIFS(Countries!$F$5:$F$434,Countries!$A$5:$A$434,"All landing pages",Countries!$B$5:$B$434,"Paid Search",Countries!$C$5:$C$434,"Desktop",Countries!$D$5:$D$434,$A109,Countries!$Q$5:$Q$434,"&gt;0")=0,"",SUMIFS(Countries!$Q$5:$Q$434,Countries!$A$5:$A$434,"All landing pages",Countries!$B$5:$B$434,"Paid Search",Countries!$C$5:$C$434,"Desktop",Countries!$D$5:$D$434,$A109,Countries!$F$5:$F$434,"&gt;0")/SUMIFS(Countries!$F$5:$F$434,Countries!$A$5:$A$434,"All landing pages",Countries!$B$5:$B$434,"Paid Search",Countries!$C$5:$C$434,"Desktop",Countries!$D$5:$D$434,$A109,Countries!$Q$5:$Q$434,"&gt;0"))</f>
        <v/>
      </c>
      <c r="N109" s="44">
        <f>IF(OR(L109="",M109=""),"",(M109-L109)*100)</f>
        <v/>
      </c>
      <c r="O109" s="45">
        <f>IF(SUMIFS(Countries!$P$5:$P$434,Countries!$A$5:$A$434,"All landing pages",Countries!$B$5:$B$434,"Paid Search",Countries!$C$5:$C$434,"Desktop",Countries!$D$5:$D$434,$A109,Countries!$AR$5:$AR$434,"&gt;0")=0,"",SUMIFS(Countries!$AR$5:$AR$434,Countries!$A$5:$A$434,"All landing pages",Countries!$B$5:$B$434,"Paid Search",Countries!$C$5:$C$434,"Desktop",Countries!$D$5:$D$434,$A109,Countries!$P$5:$P$434,"&gt;0")/SUMIFS(Countries!$P$5:$P$434,Countries!$A$5:$A$434,"All landing pages",Countries!$B$5:$B$434,"Paid Search",Countries!$C$5:$C$434,"Desktop",Countries!$D$5:$D$434,$A109,Countries!$AR$5:$AR$434,"&gt;0"))</f>
        <v/>
      </c>
      <c r="P109" s="45">
        <f>IF(SUMIFS(Countries!$Q$5:$Q$434,Countries!$A$5:$A$434,"All landing pages",Countries!$B$5:$B$434,"Paid Search",Countries!$C$5:$C$434,"Desktop",Countries!$D$5:$D$434,$A109,Countries!$AS$5:$AS$434,"&gt;0")=0,"",SUMIFS(Countries!$AS$5:$AS$434,Countries!$A$5:$A$434,"All landing pages",Countries!$B$5:$B$434,"Paid Search",Countries!$C$5:$C$434,"Desktop",Countries!$D$5:$D$434,$A109,Countries!$Q$5:$Q$434,"&gt;0")/SUMIFS(Countries!$Q$5:$Q$434,Countries!$A$5:$A$434,"All landing pages",Countries!$B$5:$B$434,"Paid Search",Countries!$C$5:$C$434,"Desktop",Countries!$D$5:$D$434,$A109,Countries!$AS$5:$AS$434,"&gt;0"))</f>
        <v/>
      </c>
      <c r="Q109" s="44">
        <f>IF(OR(O109="",P109=""),"",(P109-O109)*100)</f>
        <v/>
      </c>
      <c r="R109" s="45">
        <f>IF(SUMIFS(Countries!$E$5:$E$434,Countries!$A$5:$A$434,"All landing pages",Countries!$B$5:$B$434,"Paid Search",Countries!$C$5:$C$434,"Desktop",Countries!$D$5:$D$434,$A109,Countries!$AR$5:$AR$434,"&gt;0")=0,"",SUMIFS(Countries!$AR$5:$AR$434,Countries!$A$5:$A$434,"All landing pages",Countries!$B$5:$B$434,"Paid Search",Countries!$C$5:$C$434,"Desktop",Countries!$D$5:$D$434,$A109,Countries!$E$5:$E$434,"&gt;0")/SUMIFS(Countries!$E$5:$E$434,Countries!$A$5:$A$434,"All landing pages",Countries!$B$5:$B$434,"Paid Search",Countries!$C$5:$C$434,"Desktop",Countries!$D$5:$D$434,$A109,Countries!$AR$5:$AR$434,"&gt;0"))</f>
        <v/>
      </c>
      <c r="S109" s="45">
        <f>IF(SUMIFS(Countries!$F$5:$F$434,Countries!$A$5:$A$434,"All landing pages",Countries!$B$5:$B$434,"Paid Search",Countries!$C$5:$C$434,"Desktop",Countries!$D$5:$D$434,$A109,Countries!$AS$5:$AS$434,"&gt;0")=0,"",SUMIFS(Countries!$AS$5:$AS$434,Countries!$A$5:$A$434,"All landing pages",Countries!$B$5:$B$434,"Paid Search",Countries!$C$5:$C$434,"Desktop",Countries!$D$5:$D$434,$A109,Countries!$F$5:$F$434,"&gt;0")/SUMIFS(Countries!$F$5:$F$434,Countries!$A$5:$A$434,"All landing pages",Countries!$B$5:$B$434,"Paid Search",Countries!$C$5:$C$434,"Desktop",Countries!$D$5:$D$434,$A109,Countries!$AS$5:$AS$434,"&gt;0"))</f>
        <v/>
      </c>
      <c r="T109" s="44">
        <f>IF(OR(R109="",S109=""),"",(S109-R109)*100)</f>
        <v/>
      </c>
    </row>
    <row r="110">
      <c r="A110" s="40" t="inlineStr">
        <is>
          <t>Switzerland</t>
        </is>
      </c>
      <c r="B110" s="40" t="inlineStr">
        <is>
          <t>Paid Search</t>
        </is>
      </c>
      <c r="C110" s="41">
        <f>IF(SUMIFS(Countries!$E$5:$E$434,Countries!$A$5:$A$434,"All landing pages",Countries!$B$5:$B$434,"Paid Search",Countries!$C$5:$C$434,"Desktop",Countries!$D$5:$D$434,$A110)=0,"",SUMIFS(Countries!$E$5:$E$434,Countries!$A$5:$A$434,"All landing pages",Countries!$B$5:$B$434,"Paid Search",Countries!$C$5:$C$434,"Desktop",Countries!$D$5:$D$434,$A110))</f>
        <v/>
      </c>
      <c r="D110" s="41">
        <f>IF(SUMIFS(Countries!$F$5:$F$434,Countries!$A$5:$A$434,"All landing pages",Countries!$B$5:$B$434,"Paid Search",Countries!$C$5:$C$434,"Desktop",Countries!$D$5:$D$434,$A110)=0,"",SUMIFS(Countries!$F$5:$F$434,Countries!$A$5:$A$434,"All landing pages",Countries!$B$5:$B$434,"Paid Search",Countries!$C$5:$C$434,"Desktop",Countries!$D$5:$D$434,$A110))</f>
        <v/>
      </c>
      <c r="E110" s="42">
        <f>IF(OR(C110="",D110="",D110=0,C110=0),"",D110/C110-1)</f>
        <v/>
      </c>
      <c r="F110" s="41">
        <f>IF(SUMIFS(Countries!$P$5:$P$434,Countries!$A$5:$A$434,"All landing pages",Countries!$B$5:$B$434,"Paid Search",Countries!$C$5:$C$434,"Desktop",Countries!$D$5:$D$434,$A110)=0,"",SUMIFS(Countries!$P$5:$P$434,Countries!$A$5:$A$434,"All landing pages",Countries!$B$5:$B$434,"Paid Search",Countries!$C$5:$C$434,"Desktop",Countries!$D$5:$D$434,$A110))</f>
        <v/>
      </c>
      <c r="G110" s="41">
        <f>IF(SUMIFS(Countries!$Q$5:$Q$434,Countries!$A$5:$A$434,"All landing pages",Countries!$B$5:$B$434,"Paid Search",Countries!$C$5:$C$434,"Desktop",Countries!$D$5:$D$434,$A110)=0,"",SUMIFS(Countries!$Q$5:$Q$434,Countries!$A$5:$A$434,"All landing pages",Countries!$B$5:$B$434,"Paid Search",Countries!$C$5:$C$434,"Desktop",Countries!$D$5:$D$434,$A110))</f>
        <v/>
      </c>
      <c r="H110" s="42">
        <f>IF(OR(F110="",G110="",G110=0,F110=0),"",G110/F110-1)</f>
        <v/>
      </c>
      <c r="I110" s="41">
        <f>IF(SUMIFS(Countries!$AR$5:$AR$434,Countries!$A$5:$A$434,"All landing pages",Countries!$B$5:$B$434,"Paid Search",Countries!$C$5:$C$434,"Desktop",Countries!$D$5:$D$434,$A110)=0,"",SUMIFS(Countries!$AR$5:$AR$434,Countries!$A$5:$A$434,"All landing pages",Countries!$B$5:$B$434,"Paid Search",Countries!$C$5:$C$434,"Desktop",Countries!$D$5:$D$434,$A110))</f>
        <v/>
      </c>
      <c r="J110" s="41">
        <f>IF(SUMIFS(Countries!$AS$5:$AS$434,Countries!$A$5:$A$434,"All landing pages",Countries!$B$5:$B$434,"Paid Search",Countries!$C$5:$C$434,"Desktop",Countries!$D$5:$D$434,$A110)=0,"",SUMIFS(Countries!$AS$5:$AS$434,Countries!$A$5:$A$434,"All landing pages",Countries!$B$5:$B$434,"Paid Search",Countries!$C$5:$C$434,"Desktop",Countries!$D$5:$D$434,$A110))</f>
        <v/>
      </c>
      <c r="K110" s="42">
        <f>IF(OR(I110="",J110="",J110=0,I110=0),"",J110/I110-1)</f>
        <v/>
      </c>
      <c r="L110" s="43">
        <f>IF(SUMIFS(Countries!$E$5:$E$434,Countries!$A$5:$A$434,"All landing pages",Countries!$B$5:$B$434,"Paid Search",Countries!$C$5:$C$434,"Desktop",Countries!$D$5:$D$434,$A110,Countries!$P$5:$P$434,"&gt;0")=0,"",SUMIFS(Countries!$P$5:$P$434,Countries!$A$5:$A$434,"All landing pages",Countries!$B$5:$B$434,"Paid Search",Countries!$C$5:$C$434,"Desktop",Countries!$D$5:$D$434,$A110,Countries!$E$5:$E$434,"&gt;0")/SUMIFS(Countries!$E$5:$E$434,Countries!$A$5:$A$434,"All landing pages",Countries!$B$5:$B$434,"Paid Search",Countries!$C$5:$C$434,"Desktop",Countries!$D$5:$D$434,$A110,Countries!$P$5:$P$434,"&gt;0"))</f>
        <v/>
      </c>
      <c r="M110" s="43">
        <f>IF(SUMIFS(Countries!$F$5:$F$434,Countries!$A$5:$A$434,"All landing pages",Countries!$B$5:$B$434,"Paid Search",Countries!$C$5:$C$434,"Desktop",Countries!$D$5:$D$434,$A110,Countries!$Q$5:$Q$434,"&gt;0")=0,"",SUMIFS(Countries!$Q$5:$Q$434,Countries!$A$5:$A$434,"All landing pages",Countries!$B$5:$B$434,"Paid Search",Countries!$C$5:$C$434,"Desktop",Countries!$D$5:$D$434,$A110,Countries!$F$5:$F$434,"&gt;0")/SUMIFS(Countries!$F$5:$F$434,Countries!$A$5:$A$434,"All landing pages",Countries!$B$5:$B$434,"Paid Search",Countries!$C$5:$C$434,"Desktop",Countries!$D$5:$D$434,$A110,Countries!$Q$5:$Q$434,"&gt;0"))</f>
        <v/>
      </c>
      <c r="N110" s="44">
        <f>IF(OR(L110="",M110=""),"",(M110-L110)*100)</f>
        <v/>
      </c>
      <c r="O110" s="45">
        <f>IF(SUMIFS(Countries!$P$5:$P$434,Countries!$A$5:$A$434,"All landing pages",Countries!$B$5:$B$434,"Paid Search",Countries!$C$5:$C$434,"Desktop",Countries!$D$5:$D$434,$A110,Countries!$AR$5:$AR$434,"&gt;0")=0,"",SUMIFS(Countries!$AR$5:$AR$434,Countries!$A$5:$A$434,"All landing pages",Countries!$B$5:$B$434,"Paid Search",Countries!$C$5:$C$434,"Desktop",Countries!$D$5:$D$434,$A110,Countries!$P$5:$P$434,"&gt;0")/SUMIFS(Countries!$P$5:$P$434,Countries!$A$5:$A$434,"All landing pages",Countries!$B$5:$B$434,"Paid Search",Countries!$C$5:$C$434,"Desktop",Countries!$D$5:$D$434,$A110,Countries!$AR$5:$AR$434,"&gt;0"))</f>
        <v/>
      </c>
      <c r="P110" s="45">
        <f>IF(SUMIFS(Countries!$Q$5:$Q$434,Countries!$A$5:$A$434,"All landing pages",Countries!$B$5:$B$434,"Paid Search",Countries!$C$5:$C$434,"Desktop",Countries!$D$5:$D$434,$A110,Countries!$AS$5:$AS$434,"&gt;0")=0,"",SUMIFS(Countries!$AS$5:$AS$434,Countries!$A$5:$A$434,"All landing pages",Countries!$B$5:$B$434,"Paid Search",Countries!$C$5:$C$434,"Desktop",Countries!$D$5:$D$434,$A110,Countries!$Q$5:$Q$434,"&gt;0")/SUMIFS(Countries!$Q$5:$Q$434,Countries!$A$5:$A$434,"All landing pages",Countries!$B$5:$B$434,"Paid Search",Countries!$C$5:$C$434,"Desktop",Countries!$D$5:$D$434,$A110,Countries!$AS$5:$AS$434,"&gt;0"))</f>
        <v/>
      </c>
      <c r="Q110" s="44">
        <f>IF(OR(O110="",P110=""),"",(P110-O110)*100)</f>
        <v/>
      </c>
      <c r="R110" s="45">
        <f>IF(SUMIFS(Countries!$E$5:$E$434,Countries!$A$5:$A$434,"All landing pages",Countries!$B$5:$B$434,"Paid Search",Countries!$C$5:$C$434,"Desktop",Countries!$D$5:$D$434,$A110,Countries!$AR$5:$AR$434,"&gt;0")=0,"",SUMIFS(Countries!$AR$5:$AR$434,Countries!$A$5:$A$434,"All landing pages",Countries!$B$5:$B$434,"Paid Search",Countries!$C$5:$C$434,"Desktop",Countries!$D$5:$D$434,$A110,Countries!$E$5:$E$434,"&gt;0")/SUMIFS(Countries!$E$5:$E$434,Countries!$A$5:$A$434,"All landing pages",Countries!$B$5:$B$434,"Paid Search",Countries!$C$5:$C$434,"Desktop",Countries!$D$5:$D$434,$A110,Countries!$AR$5:$AR$434,"&gt;0"))</f>
        <v/>
      </c>
      <c r="S110" s="45">
        <f>IF(SUMIFS(Countries!$F$5:$F$434,Countries!$A$5:$A$434,"All landing pages",Countries!$B$5:$B$434,"Paid Search",Countries!$C$5:$C$434,"Desktop",Countries!$D$5:$D$434,$A110,Countries!$AS$5:$AS$434,"&gt;0")=0,"",SUMIFS(Countries!$AS$5:$AS$434,Countries!$A$5:$A$434,"All landing pages",Countries!$B$5:$B$434,"Paid Search",Countries!$C$5:$C$434,"Desktop",Countries!$D$5:$D$434,$A110,Countries!$F$5:$F$434,"&gt;0")/SUMIFS(Countries!$F$5:$F$434,Countries!$A$5:$A$434,"All landing pages",Countries!$B$5:$B$434,"Paid Search",Countries!$C$5:$C$434,"Desktop",Countries!$D$5:$D$434,$A110,Countries!$AS$5:$AS$434,"&gt;0"))</f>
        <v/>
      </c>
      <c r="T110" s="44">
        <f>IF(OR(R110="",S110=""),"",(S110-R110)*100)</f>
        <v/>
      </c>
    </row>
    <row r="111">
      <c r="A111" s="32" t="inlineStr">
        <is>
          <t>Sum of listed markets</t>
        </is>
      </c>
      <c r="B111" s="32" t="inlineStr">
        <is>
          <t>Paid Search</t>
        </is>
      </c>
      <c r="C111" s="33">
        <f>SUM(C95:C110)</f>
        <v/>
      </c>
      <c r="D111" s="33">
        <f>SUM(D95:D110)</f>
        <v/>
      </c>
      <c r="E111" s="34">
        <f>IF(OR(C111="",D111="",D111=0,C111=0),"",D111/C111-1)</f>
        <v/>
      </c>
      <c r="F111" s="33">
        <f>SUM(F95:F110)</f>
        <v/>
      </c>
      <c r="G111" s="33">
        <f>SUM(G95:G110)</f>
        <v/>
      </c>
      <c r="H111" s="34">
        <f>IF(OR(F111="",G111="",G111=0,F111=0),"",G111/F111-1)</f>
        <v/>
      </c>
      <c r="I111" s="33">
        <f>SUM(I95:I110)</f>
        <v/>
      </c>
      <c r="J111" s="33">
        <f>SUM(J95:J110)</f>
        <v/>
      </c>
      <c r="K111" s="34">
        <f>IF(OR(I111="",J111="",J111=0,I111=0),"",J111/I111-1)</f>
        <v/>
      </c>
      <c r="L111" s="35">
        <f>IF(OR(F111="",C111="",C111=0),"",F111/C111)</f>
        <v/>
      </c>
      <c r="M111" s="35">
        <f>IF(OR(G111="",D111="",D111=0),"",G111/D111)</f>
        <v/>
      </c>
      <c r="N111" s="36">
        <f>IF(OR(L111="",M111=""),"",(M111-L111)*100)</f>
        <v/>
      </c>
      <c r="O111" s="37">
        <f>IF(OR(I111="",F111="",F111=0),"",I111/F111)</f>
        <v/>
      </c>
      <c r="P111" s="37">
        <f>IF(OR(J111="",G111="",G111=0),"",J111/G111)</f>
        <v/>
      </c>
      <c r="Q111" s="36">
        <f>IF(OR(O111="",P111=""),"",(P111-O111)*100)</f>
        <v/>
      </c>
      <c r="R111" s="37">
        <f>IF(OR(I111="",C111="",C111=0),"",I111/C111)</f>
        <v/>
      </c>
      <c r="S111" s="37">
        <f>IF(OR(J111="",D111="",D111=0),"",J111/D111)</f>
        <v/>
      </c>
      <c r="T111" s="36">
        <f>IF(OR(R111="",S111=""),"",(S111-R111)*100)</f>
        <v/>
      </c>
      <c r="U111" s="38" t="n"/>
      <c r="V111" s="38" t="n"/>
      <c r="W111" s="38" t="n"/>
      <c r="X111" s="38" t="n"/>
      <c r="Y111" s="38" t="n"/>
      <c r="Z111" s="38" t="n"/>
      <c r="AA111" s="38" t="n"/>
      <c r="AB111" s="38" t="n"/>
      <c r="AC111" s="38" t="n"/>
      <c r="AD111" s="38" t="n"/>
      <c r="AE111" s="38" t="n"/>
      <c r="AF111" s="38" t="n"/>
      <c r="AG111" s="38" t="n"/>
      <c r="AH111" s="38" t="n"/>
      <c r="AI111" s="38" t="n"/>
      <c r="AJ111" s="38" t="n"/>
      <c r="AK111" s="38" t="n"/>
      <c r="AL111" s="38" t="n"/>
      <c r="AM111" s="38" t="n"/>
      <c r="AN111" s="38" t="n"/>
      <c r="AO111" s="38" t="n"/>
      <c r="AP111" s="38" t="n"/>
      <c r="AQ111" s="38" t="n"/>
      <c r="AR111" s="38" t="n"/>
      <c r="AS111" s="38" t="n"/>
      <c r="AT111" s="38" t="n"/>
      <c r="AU111" s="38" t="n"/>
      <c r="AV111" s="38" t="n"/>
      <c r="AW111" s="38" t="n"/>
      <c r="AX111" s="38" t="n"/>
      <c r="AY111" s="38" t="n"/>
      <c r="AZ111" s="38" t="n"/>
      <c r="BA111" s="38" t="n"/>
      <c r="BB111" s="38" t="n"/>
    </row>
    <row r="112">
      <c r="A112" s="32" t="inlineStr">
        <is>
          <t>Scorecard total</t>
        </is>
      </c>
      <c r="B112" s="32" t="inlineStr">
        <is>
          <t>Paid Search</t>
        </is>
      </c>
      <c r="C112" s="33">
        <f>SUMIFS(Totals!$D$5:$D$49,Totals!$A$5:$A$49,"All landing pages",Totals!$B$5:$B$49,"Paid Search",Totals!$C$5:$C$49,"Desktop")</f>
        <v/>
      </c>
      <c r="D112" s="33">
        <f>SUMIFS(Totals!$E$5:$E$49,Totals!$A$5:$A$49,"All landing pages",Totals!$B$5:$B$49,"Paid Search",Totals!$C$5:$C$49,"Desktop")</f>
        <v/>
      </c>
      <c r="E112" s="34">
        <f>IF(OR(C112="",D112="",D112=0,C112=0),"",D112/C112-1)</f>
        <v/>
      </c>
      <c r="F112" s="33">
        <f>SUMIFS(Totals!$O$5:$O$49,Totals!$A$5:$A$49,"All landing pages",Totals!$B$5:$B$49,"Paid Search",Totals!$C$5:$C$49,"Desktop")</f>
        <v/>
      </c>
      <c r="G112" s="33">
        <f>SUMIFS(Totals!$P$5:$P$49,Totals!$A$5:$A$49,"All landing pages",Totals!$B$5:$B$49,"Paid Search",Totals!$C$5:$C$49,"Desktop")</f>
        <v/>
      </c>
      <c r="H112" s="34">
        <f>IF(OR(F112="",G112="",G112=0,F112=0),"",G112/F112-1)</f>
        <v/>
      </c>
      <c r="I112" s="33">
        <f>SUMIFS(Totals!$AQ$5:$AQ$49,Totals!$A$5:$A$49,"All landing pages",Totals!$B$5:$B$49,"Paid Search",Totals!$C$5:$C$49,"Desktop")</f>
        <v/>
      </c>
      <c r="J112" s="33">
        <f>SUMIFS(Totals!$AR$5:$AR$49,Totals!$A$5:$A$49,"All landing pages",Totals!$B$5:$B$49,"Paid Search",Totals!$C$5:$C$49,"Desktop")</f>
        <v/>
      </c>
      <c r="K112" s="34">
        <f>IF(OR(I112="",J112="",J112=0,I112=0),"",J112/I112-1)</f>
        <v/>
      </c>
      <c r="L112" s="35">
        <f>IF(OR(F112="",C112="",C112=0),"",F112/C112)</f>
        <v/>
      </c>
      <c r="M112" s="35">
        <f>IF(OR(G112="",D112="",D112=0),"",G112/D112)</f>
        <v/>
      </c>
      <c r="N112" s="36">
        <f>IF(OR(L112="",M112=""),"",(M112-L112)*100)</f>
        <v/>
      </c>
      <c r="O112" s="37">
        <f>IF(OR(I112="",F112="",F112=0),"",I112/F112)</f>
        <v/>
      </c>
      <c r="P112" s="37">
        <f>IF(OR(J112="",G112="",G112=0),"",J112/G112)</f>
        <v/>
      </c>
      <c r="Q112" s="36">
        <f>IF(OR(O112="",P112=""),"",(P112-O112)*100)</f>
        <v/>
      </c>
      <c r="R112" s="37">
        <f>IF(OR(I112="",C112="",C112=0),"",I112/C112)</f>
        <v/>
      </c>
      <c r="S112" s="37">
        <f>IF(OR(J112="",D112="",D112=0),"",J112/D112)</f>
        <v/>
      </c>
      <c r="T112" s="36">
        <f>IF(OR(R112="",S112=""),"",(S112-R112)*100)</f>
        <v/>
      </c>
      <c r="U112" s="38" t="n"/>
      <c r="V112" s="38" t="n"/>
      <c r="W112" s="38" t="n"/>
      <c r="X112" s="38" t="n"/>
      <c r="Y112" s="38" t="n"/>
      <c r="Z112" s="38" t="n"/>
      <c r="AA112" s="38" t="n"/>
      <c r="AB112" s="38" t="n"/>
      <c r="AC112" s="38" t="n"/>
      <c r="AD112" s="38" t="n"/>
      <c r="AE112" s="38" t="n"/>
      <c r="AF112" s="38" t="n"/>
      <c r="AG112" s="38" t="n"/>
      <c r="AH112" s="38" t="n"/>
      <c r="AI112" s="38" t="n"/>
      <c r="AJ112" s="38" t="n"/>
      <c r="AK112" s="38" t="n"/>
      <c r="AL112" s="38" t="n"/>
      <c r="AM112" s="38" t="n"/>
      <c r="AN112" s="38" t="n"/>
      <c r="AO112" s="38" t="n"/>
      <c r="AP112" s="38" t="n"/>
      <c r="AQ112" s="38" t="n"/>
      <c r="AR112" s="38" t="n"/>
      <c r="AS112" s="38" t="n"/>
      <c r="AT112" s="38" t="n"/>
      <c r="AU112" s="38" t="n"/>
      <c r="AV112" s="38" t="n"/>
      <c r="AW112" s="38" t="n"/>
      <c r="AX112" s="38" t="n"/>
      <c r="AY112" s="38" t="n"/>
      <c r="AZ112" s="38" t="n"/>
      <c r="BA112" s="38" t="n"/>
      <c r="BB112" s="38" t="n"/>
    </row>
    <row r="113">
      <c r="A113" s="32" t="inlineStr">
        <is>
          <t>Coverage of listed markets</t>
        </is>
      </c>
      <c r="B113" s="52" t="n"/>
      <c r="C113" s="35">
        <f>IFERROR(C111/C112,"")</f>
        <v/>
      </c>
      <c r="D113" s="35">
        <f>IFERROR(D111/D112,"")</f>
        <v/>
      </c>
      <c r="E113" s="52" t="n"/>
      <c r="F113" s="35">
        <f>IFERROR(F111/F112,"")</f>
        <v/>
      </c>
      <c r="G113" s="35">
        <f>IFERROR(G111/G112,"")</f>
        <v/>
      </c>
      <c r="H113" s="52" t="n"/>
      <c r="I113" s="35">
        <f>IFERROR(I111/I112,"")</f>
        <v/>
      </c>
      <c r="J113" s="35">
        <f>IFERROR(J111/J112,"")</f>
        <v/>
      </c>
      <c r="K113" s="52" t="n"/>
      <c r="L113" s="52" t="n"/>
      <c r="M113" s="52" t="n"/>
      <c r="N113" s="52" t="n"/>
      <c r="O113" s="52" t="n"/>
      <c r="P113" s="52" t="n"/>
      <c r="Q113" s="52" t="n"/>
      <c r="R113" s="52" t="n"/>
      <c r="S113" s="52" t="n"/>
      <c r="T113" s="52" t="n"/>
      <c r="U113" s="38" t="n"/>
      <c r="V113" s="38" t="n"/>
      <c r="W113" s="38" t="n"/>
      <c r="X113" s="38" t="n"/>
      <c r="Y113" s="38" t="n"/>
      <c r="Z113" s="38" t="n"/>
      <c r="AA113" s="38" t="n"/>
      <c r="AB113" s="38" t="n"/>
      <c r="AC113" s="38" t="n"/>
      <c r="AD113" s="38" t="n"/>
      <c r="AE113" s="38" t="n"/>
      <c r="AF113" s="38" t="n"/>
      <c r="AG113" s="38" t="n"/>
      <c r="AH113" s="38" t="n"/>
      <c r="AI113" s="38" t="n"/>
      <c r="AJ113" s="38" t="n"/>
      <c r="AK113" s="38" t="n"/>
      <c r="AL113" s="38" t="n"/>
      <c r="AM113" s="38" t="n"/>
      <c r="AN113" s="38" t="n"/>
      <c r="AO113" s="38" t="n"/>
      <c r="AP113" s="38" t="n"/>
      <c r="AQ113" s="38" t="n"/>
      <c r="AR113" s="38" t="n"/>
      <c r="AS113" s="38" t="n"/>
      <c r="AT113" s="38" t="n"/>
      <c r="AU113" s="38" t="n"/>
      <c r="AV113" s="38" t="n"/>
      <c r="AW113" s="38" t="n"/>
      <c r="AX113" s="38" t="n"/>
      <c r="AY113" s="38" t="n"/>
      <c r="AZ113" s="38" t="n"/>
      <c r="BA113" s="38" t="n"/>
      <c r="BB113" s="38" t="n"/>
    </row>
    <row r="115">
      <c r="A115" s="39" t="inlineStr">
        <is>
          <t>Organic — Desktop</t>
        </is>
      </c>
    </row>
    <row r="116">
      <c r="A116" s="40" t="inlineStr">
        <is>
          <t>United Kingdom</t>
        </is>
      </c>
      <c r="B116" s="40" t="inlineStr">
        <is>
          <t>Organic</t>
        </is>
      </c>
      <c r="C116" s="41">
        <f>IF(SUMIFS(Countries!$E$5:$E$434,Countries!$A$5:$A$434,"All landing pages",Countries!$B$5:$B$434,"Organic",Countries!$C$5:$C$434,"Desktop",Countries!$D$5:$D$434,$A116)=0,"",SUMIFS(Countries!$E$5:$E$434,Countries!$A$5:$A$434,"All landing pages",Countries!$B$5:$B$434,"Organic",Countries!$C$5:$C$434,"Desktop",Countries!$D$5:$D$434,$A116))</f>
        <v/>
      </c>
      <c r="D116" s="41">
        <f>IF(SUMIFS(Countries!$F$5:$F$434,Countries!$A$5:$A$434,"All landing pages",Countries!$B$5:$B$434,"Organic",Countries!$C$5:$C$434,"Desktop",Countries!$D$5:$D$434,$A116)=0,"",SUMIFS(Countries!$F$5:$F$434,Countries!$A$5:$A$434,"All landing pages",Countries!$B$5:$B$434,"Organic",Countries!$C$5:$C$434,"Desktop",Countries!$D$5:$D$434,$A116))</f>
        <v/>
      </c>
      <c r="E116" s="42">
        <f>IF(OR(C116="",D116="",D116=0,C116=0),"",D116/C116-1)</f>
        <v/>
      </c>
      <c r="F116" s="41">
        <f>IF(SUMIFS(Countries!$P$5:$P$434,Countries!$A$5:$A$434,"All landing pages",Countries!$B$5:$B$434,"Organic",Countries!$C$5:$C$434,"Desktop",Countries!$D$5:$D$434,$A116)=0,"",SUMIFS(Countries!$P$5:$P$434,Countries!$A$5:$A$434,"All landing pages",Countries!$B$5:$B$434,"Organic",Countries!$C$5:$C$434,"Desktop",Countries!$D$5:$D$434,$A116))</f>
        <v/>
      </c>
      <c r="G116" s="41">
        <f>IF(SUMIFS(Countries!$Q$5:$Q$434,Countries!$A$5:$A$434,"All landing pages",Countries!$B$5:$B$434,"Organic",Countries!$C$5:$C$434,"Desktop",Countries!$D$5:$D$434,$A116)=0,"",SUMIFS(Countries!$Q$5:$Q$434,Countries!$A$5:$A$434,"All landing pages",Countries!$B$5:$B$434,"Organic",Countries!$C$5:$C$434,"Desktop",Countries!$D$5:$D$434,$A116))</f>
        <v/>
      </c>
      <c r="H116" s="42">
        <f>IF(OR(F116="",G116="",G116=0,F116=0),"",G116/F116-1)</f>
        <v/>
      </c>
      <c r="I116" s="41">
        <f>IF(SUMIFS(Countries!$AR$5:$AR$434,Countries!$A$5:$A$434,"All landing pages",Countries!$B$5:$B$434,"Organic",Countries!$C$5:$C$434,"Desktop",Countries!$D$5:$D$434,$A116)=0,"",SUMIFS(Countries!$AR$5:$AR$434,Countries!$A$5:$A$434,"All landing pages",Countries!$B$5:$B$434,"Organic",Countries!$C$5:$C$434,"Desktop",Countries!$D$5:$D$434,$A116))</f>
        <v/>
      </c>
      <c r="J116" s="41">
        <f>IF(SUMIFS(Countries!$AS$5:$AS$434,Countries!$A$5:$A$434,"All landing pages",Countries!$B$5:$B$434,"Organic",Countries!$C$5:$C$434,"Desktop",Countries!$D$5:$D$434,$A116)=0,"",SUMIFS(Countries!$AS$5:$AS$434,Countries!$A$5:$A$434,"All landing pages",Countries!$B$5:$B$434,"Organic",Countries!$C$5:$C$434,"Desktop",Countries!$D$5:$D$434,$A116))</f>
        <v/>
      </c>
      <c r="K116" s="42">
        <f>IF(OR(I116="",J116="",J116=0,I116=0),"",J116/I116-1)</f>
        <v/>
      </c>
      <c r="L116" s="43">
        <f>IF(SUMIFS(Countries!$E$5:$E$434,Countries!$A$5:$A$434,"All landing pages",Countries!$B$5:$B$434,"Organic",Countries!$C$5:$C$434,"Desktop",Countries!$D$5:$D$434,$A116,Countries!$P$5:$P$434,"&gt;0")=0,"",SUMIFS(Countries!$P$5:$P$434,Countries!$A$5:$A$434,"All landing pages",Countries!$B$5:$B$434,"Organic",Countries!$C$5:$C$434,"Desktop",Countries!$D$5:$D$434,$A116,Countries!$E$5:$E$434,"&gt;0")/SUMIFS(Countries!$E$5:$E$434,Countries!$A$5:$A$434,"All landing pages",Countries!$B$5:$B$434,"Organic",Countries!$C$5:$C$434,"Desktop",Countries!$D$5:$D$434,$A116,Countries!$P$5:$P$434,"&gt;0"))</f>
        <v/>
      </c>
      <c r="M116" s="43">
        <f>IF(SUMIFS(Countries!$F$5:$F$434,Countries!$A$5:$A$434,"All landing pages",Countries!$B$5:$B$434,"Organic",Countries!$C$5:$C$434,"Desktop",Countries!$D$5:$D$434,$A116,Countries!$Q$5:$Q$434,"&gt;0")=0,"",SUMIFS(Countries!$Q$5:$Q$434,Countries!$A$5:$A$434,"All landing pages",Countries!$B$5:$B$434,"Organic",Countries!$C$5:$C$434,"Desktop",Countries!$D$5:$D$434,$A116,Countries!$F$5:$F$434,"&gt;0")/SUMIFS(Countries!$F$5:$F$434,Countries!$A$5:$A$434,"All landing pages",Countries!$B$5:$B$434,"Organic",Countries!$C$5:$C$434,"Desktop",Countries!$D$5:$D$434,$A116,Countries!$Q$5:$Q$434,"&gt;0"))</f>
        <v/>
      </c>
      <c r="N116" s="44">
        <f>IF(OR(L116="",M116=""),"",(M116-L116)*100)</f>
        <v/>
      </c>
      <c r="O116" s="45">
        <f>IF(SUMIFS(Countries!$P$5:$P$434,Countries!$A$5:$A$434,"All landing pages",Countries!$B$5:$B$434,"Organic",Countries!$C$5:$C$434,"Desktop",Countries!$D$5:$D$434,$A116,Countries!$AR$5:$AR$434,"&gt;0")=0,"",SUMIFS(Countries!$AR$5:$AR$434,Countries!$A$5:$A$434,"All landing pages",Countries!$B$5:$B$434,"Organic",Countries!$C$5:$C$434,"Desktop",Countries!$D$5:$D$434,$A116,Countries!$P$5:$P$434,"&gt;0")/SUMIFS(Countries!$P$5:$P$434,Countries!$A$5:$A$434,"All landing pages",Countries!$B$5:$B$434,"Organic",Countries!$C$5:$C$434,"Desktop",Countries!$D$5:$D$434,$A116,Countries!$AR$5:$AR$434,"&gt;0"))</f>
        <v/>
      </c>
      <c r="P116" s="45">
        <f>IF(SUMIFS(Countries!$Q$5:$Q$434,Countries!$A$5:$A$434,"All landing pages",Countries!$B$5:$B$434,"Organic",Countries!$C$5:$C$434,"Desktop",Countries!$D$5:$D$434,$A116,Countries!$AS$5:$AS$434,"&gt;0")=0,"",SUMIFS(Countries!$AS$5:$AS$434,Countries!$A$5:$A$434,"All landing pages",Countries!$B$5:$B$434,"Organic",Countries!$C$5:$C$434,"Desktop",Countries!$D$5:$D$434,$A116,Countries!$Q$5:$Q$434,"&gt;0")/SUMIFS(Countries!$Q$5:$Q$434,Countries!$A$5:$A$434,"All landing pages",Countries!$B$5:$B$434,"Organic",Countries!$C$5:$C$434,"Desktop",Countries!$D$5:$D$434,$A116,Countries!$AS$5:$AS$434,"&gt;0"))</f>
        <v/>
      </c>
      <c r="Q116" s="44">
        <f>IF(OR(O116="",P116=""),"",(P116-O116)*100)</f>
        <v/>
      </c>
      <c r="R116" s="45">
        <f>IF(SUMIFS(Countries!$E$5:$E$434,Countries!$A$5:$A$434,"All landing pages",Countries!$B$5:$B$434,"Organic",Countries!$C$5:$C$434,"Desktop",Countries!$D$5:$D$434,$A116,Countries!$AR$5:$AR$434,"&gt;0")=0,"",SUMIFS(Countries!$AR$5:$AR$434,Countries!$A$5:$A$434,"All landing pages",Countries!$B$5:$B$434,"Organic",Countries!$C$5:$C$434,"Desktop",Countries!$D$5:$D$434,$A116,Countries!$E$5:$E$434,"&gt;0")/SUMIFS(Countries!$E$5:$E$434,Countries!$A$5:$A$434,"All landing pages",Countries!$B$5:$B$434,"Organic",Countries!$C$5:$C$434,"Desktop",Countries!$D$5:$D$434,$A116,Countries!$AR$5:$AR$434,"&gt;0"))</f>
        <v/>
      </c>
      <c r="S116" s="45">
        <f>IF(SUMIFS(Countries!$F$5:$F$434,Countries!$A$5:$A$434,"All landing pages",Countries!$B$5:$B$434,"Organic",Countries!$C$5:$C$434,"Desktop",Countries!$D$5:$D$434,$A116,Countries!$AS$5:$AS$434,"&gt;0")=0,"",SUMIFS(Countries!$AS$5:$AS$434,Countries!$A$5:$A$434,"All landing pages",Countries!$B$5:$B$434,"Organic",Countries!$C$5:$C$434,"Desktop",Countries!$D$5:$D$434,$A116,Countries!$F$5:$F$434,"&gt;0")/SUMIFS(Countries!$F$5:$F$434,Countries!$A$5:$A$434,"All landing pages",Countries!$B$5:$B$434,"Organic",Countries!$C$5:$C$434,"Desktop",Countries!$D$5:$D$434,$A116,Countries!$AS$5:$AS$434,"&gt;0"))</f>
        <v/>
      </c>
      <c r="T116" s="44">
        <f>IF(OR(R116="",S116=""),"",(S116-R116)*100)</f>
        <v/>
      </c>
    </row>
    <row r="117">
      <c r="A117" s="40" t="inlineStr">
        <is>
          <t>Germany</t>
        </is>
      </c>
      <c r="B117" s="40" t="inlineStr">
        <is>
          <t>Organic</t>
        </is>
      </c>
      <c r="C117" s="41">
        <f>IF(SUMIFS(Countries!$E$5:$E$434,Countries!$A$5:$A$434,"All landing pages",Countries!$B$5:$B$434,"Organic",Countries!$C$5:$C$434,"Desktop",Countries!$D$5:$D$434,$A117)=0,"",SUMIFS(Countries!$E$5:$E$434,Countries!$A$5:$A$434,"All landing pages",Countries!$B$5:$B$434,"Organic",Countries!$C$5:$C$434,"Desktop",Countries!$D$5:$D$434,$A117))</f>
        <v/>
      </c>
      <c r="D117" s="41">
        <f>IF(SUMIFS(Countries!$F$5:$F$434,Countries!$A$5:$A$434,"All landing pages",Countries!$B$5:$B$434,"Organic",Countries!$C$5:$C$434,"Desktop",Countries!$D$5:$D$434,$A117)=0,"",SUMIFS(Countries!$F$5:$F$434,Countries!$A$5:$A$434,"All landing pages",Countries!$B$5:$B$434,"Organic",Countries!$C$5:$C$434,"Desktop",Countries!$D$5:$D$434,$A117))</f>
        <v/>
      </c>
      <c r="E117" s="42">
        <f>IF(OR(C117="",D117="",D117=0,C117=0),"",D117/C117-1)</f>
        <v/>
      </c>
      <c r="F117" s="41">
        <f>IF(SUMIFS(Countries!$P$5:$P$434,Countries!$A$5:$A$434,"All landing pages",Countries!$B$5:$B$434,"Organic",Countries!$C$5:$C$434,"Desktop",Countries!$D$5:$D$434,$A117)=0,"",SUMIFS(Countries!$P$5:$P$434,Countries!$A$5:$A$434,"All landing pages",Countries!$B$5:$B$434,"Organic",Countries!$C$5:$C$434,"Desktop",Countries!$D$5:$D$434,$A117))</f>
        <v/>
      </c>
      <c r="G117" s="41">
        <f>IF(SUMIFS(Countries!$Q$5:$Q$434,Countries!$A$5:$A$434,"All landing pages",Countries!$B$5:$B$434,"Organic",Countries!$C$5:$C$434,"Desktop",Countries!$D$5:$D$434,$A117)=0,"",SUMIFS(Countries!$Q$5:$Q$434,Countries!$A$5:$A$434,"All landing pages",Countries!$B$5:$B$434,"Organic",Countries!$C$5:$C$434,"Desktop",Countries!$D$5:$D$434,$A117))</f>
        <v/>
      </c>
      <c r="H117" s="42">
        <f>IF(OR(F117="",G117="",G117=0,F117=0),"",G117/F117-1)</f>
        <v/>
      </c>
      <c r="I117" s="41">
        <f>IF(SUMIFS(Countries!$AR$5:$AR$434,Countries!$A$5:$A$434,"All landing pages",Countries!$B$5:$B$434,"Organic",Countries!$C$5:$C$434,"Desktop",Countries!$D$5:$D$434,$A117)=0,"",SUMIFS(Countries!$AR$5:$AR$434,Countries!$A$5:$A$434,"All landing pages",Countries!$B$5:$B$434,"Organic",Countries!$C$5:$C$434,"Desktop",Countries!$D$5:$D$434,$A117))</f>
        <v/>
      </c>
      <c r="J117" s="41">
        <f>IF(SUMIFS(Countries!$AS$5:$AS$434,Countries!$A$5:$A$434,"All landing pages",Countries!$B$5:$B$434,"Organic",Countries!$C$5:$C$434,"Desktop",Countries!$D$5:$D$434,$A117)=0,"",SUMIFS(Countries!$AS$5:$AS$434,Countries!$A$5:$A$434,"All landing pages",Countries!$B$5:$B$434,"Organic",Countries!$C$5:$C$434,"Desktop",Countries!$D$5:$D$434,$A117))</f>
        <v/>
      </c>
      <c r="K117" s="42">
        <f>IF(OR(I117="",J117="",J117=0,I117=0),"",J117/I117-1)</f>
        <v/>
      </c>
      <c r="L117" s="43">
        <f>IF(SUMIFS(Countries!$E$5:$E$434,Countries!$A$5:$A$434,"All landing pages",Countries!$B$5:$B$434,"Organic",Countries!$C$5:$C$434,"Desktop",Countries!$D$5:$D$434,$A117,Countries!$P$5:$P$434,"&gt;0")=0,"",SUMIFS(Countries!$P$5:$P$434,Countries!$A$5:$A$434,"All landing pages",Countries!$B$5:$B$434,"Organic",Countries!$C$5:$C$434,"Desktop",Countries!$D$5:$D$434,$A117,Countries!$E$5:$E$434,"&gt;0")/SUMIFS(Countries!$E$5:$E$434,Countries!$A$5:$A$434,"All landing pages",Countries!$B$5:$B$434,"Organic",Countries!$C$5:$C$434,"Desktop",Countries!$D$5:$D$434,$A117,Countries!$P$5:$P$434,"&gt;0"))</f>
        <v/>
      </c>
      <c r="M117" s="43">
        <f>IF(SUMIFS(Countries!$F$5:$F$434,Countries!$A$5:$A$434,"All landing pages",Countries!$B$5:$B$434,"Organic",Countries!$C$5:$C$434,"Desktop",Countries!$D$5:$D$434,$A117,Countries!$Q$5:$Q$434,"&gt;0")=0,"",SUMIFS(Countries!$Q$5:$Q$434,Countries!$A$5:$A$434,"All landing pages",Countries!$B$5:$B$434,"Organic",Countries!$C$5:$C$434,"Desktop",Countries!$D$5:$D$434,$A117,Countries!$F$5:$F$434,"&gt;0")/SUMIFS(Countries!$F$5:$F$434,Countries!$A$5:$A$434,"All landing pages",Countries!$B$5:$B$434,"Organic",Countries!$C$5:$C$434,"Desktop",Countries!$D$5:$D$434,$A117,Countries!$Q$5:$Q$434,"&gt;0"))</f>
        <v/>
      </c>
      <c r="N117" s="44">
        <f>IF(OR(L117="",M117=""),"",(M117-L117)*100)</f>
        <v/>
      </c>
      <c r="O117" s="45">
        <f>IF(SUMIFS(Countries!$P$5:$P$434,Countries!$A$5:$A$434,"All landing pages",Countries!$B$5:$B$434,"Organic",Countries!$C$5:$C$434,"Desktop",Countries!$D$5:$D$434,$A117,Countries!$AR$5:$AR$434,"&gt;0")=0,"",SUMIFS(Countries!$AR$5:$AR$434,Countries!$A$5:$A$434,"All landing pages",Countries!$B$5:$B$434,"Organic",Countries!$C$5:$C$434,"Desktop",Countries!$D$5:$D$434,$A117,Countries!$P$5:$P$434,"&gt;0")/SUMIFS(Countries!$P$5:$P$434,Countries!$A$5:$A$434,"All landing pages",Countries!$B$5:$B$434,"Organic",Countries!$C$5:$C$434,"Desktop",Countries!$D$5:$D$434,$A117,Countries!$AR$5:$AR$434,"&gt;0"))</f>
        <v/>
      </c>
      <c r="P117" s="45">
        <f>IF(SUMIFS(Countries!$Q$5:$Q$434,Countries!$A$5:$A$434,"All landing pages",Countries!$B$5:$B$434,"Organic",Countries!$C$5:$C$434,"Desktop",Countries!$D$5:$D$434,$A117,Countries!$AS$5:$AS$434,"&gt;0")=0,"",SUMIFS(Countries!$AS$5:$AS$434,Countries!$A$5:$A$434,"All landing pages",Countries!$B$5:$B$434,"Organic",Countries!$C$5:$C$434,"Desktop",Countries!$D$5:$D$434,$A117,Countries!$Q$5:$Q$434,"&gt;0")/SUMIFS(Countries!$Q$5:$Q$434,Countries!$A$5:$A$434,"All landing pages",Countries!$B$5:$B$434,"Organic",Countries!$C$5:$C$434,"Desktop",Countries!$D$5:$D$434,$A117,Countries!$AS$5:$AS$434,"&gt;0"))</f>
        <v/>
      </c>
      <c r="Q117" s="44">
        <f>IF(OR(O117="",P117=""),"",(P117-O117)*100)</f>
        <v/>
      </c>
      <c r="R117" s="45">
        <f>IF(SUMIFS(Countries!$E$5:$E$434,Countries!$A$5:$A$434,"All landing pages",Countries!$B$5:$B$434,"Organic",Countries!$C$5:$C$434,"Desktop",Countries!$D$5:$D$434,$A117,Countries!$AR$5:$AR$434,"&gt;0")=0,"",SUMIFS(Countries!$AR$5:$AR$434,Countries!$A$5:$A$434,"All landing pages",Countries!$B$5:$B$434,"Organic",Countries!$C$5:$C$434,"Desktop",Countries!$D$5:$D$434,$A117,Countries!$E$5:$E$434,"&gt;0")/SUMIFS(Countries!$E$5:$E$434,Countries!$A$5:$A$434,"All landing pages",Countries!$B$5:$B$434,"Organic",Countries!$C$5:$C$434,"Desktop",Countries!$D$5:$D$434,$A117,Countries!$AR$5:$AR$434,"&gt;0"))</f>
        <v/>
      </c>
      <c r="S117" s="45">
        <f>IF(SUMIFS(Countries!$F$5:$F$434,Countries!$A$5:$A$434,"All landing pages",Countries!$B$5:$B$434,"Organic",Countries!$C$5:$C$434,"Desktop",Countries!$D$5:$D$434,$A117,Countries!$AS$5:$AS$434,"&gt;0")=0,"",SUMIFS(Countries!$AS$5:$AS$434,Countries!$A$5:$A$434,"All landing pages",Countries!$B$5:$B$434,"Organic",Countries!$C$5:$C$434,"Desktop",Countries!$D$5:$D$434,$A117,Countries!$F$5:$F$434,"&gt;0")/SUMIFS(Countries!$F$5:$F$434,Countries!$A$5:$A$434,"All landing pages",Countries!$B$5:$B$434,"Organic",Countries!$C$5:$C$434,"Desktop",Countries!$D$5:$D$434,$A117,Countries!$AS$5:$AS$434,"&gt;0"))</f>
        <v/>
      </c>
      <c r="T117" s="44">
        <f>IF(OR(R117="",S117=""),"",(S117-R117)*100)</f>
        <v/>
      </c>
    </row>
    <row r="118">
      <c r="A118" s="40" t="inlineStr">
        <is>
          <t>Italy</t>
        </is>
      </c>
      <c r="B118" s="40" t="inlineStr">
        <is>
          <t>Organic</t>
        </is>
      </c>
      <c r="C118" s="41">
        <f>IF(SUMIFS(Countries!$E$5:$E$434,Countries!$A$5:$A$434,"All landing pages",Countries!$B$5:$B$434,"Organic",Countries!$C$5:$C$434,"Desktop",Countries!$D$5:$D$434,$A118)=0,"",SUMIFS(Countries!$E$5:$E$434,Countries!$A$5:$A$434,"All landing pages",Countries!$B$5:$B$434,"Organic",Countries!$C$5:$C$434,"Desktop",Countries!$D$5:$D$434,$A118))</f>
        <v/>
      </c>
      <c r="D118" s="41">
        <f>IF(SUMIFS(Countries!$F$5:$F$434,Countries!$A$5:$A$434,"All landing pages",Countries!$B$5:$B$434,"Organic",Countries!$C$5:$C$434,"Desktop",Countries!$D$5:$D$434,$A118)=0,"",SUMIFS(Countries!$F$5:$F$434,Countries!$A$5:$A$434,"All landing pages",Countries!$B$5:$B$434,"Organic",Countries!$C$5:$C$434,"Desktop",Countries!$D$5:$D$434,$A118))</f>
        <v/>
      </c>
      <c r="E118" s="42">
        <f>IF(OR(C118="",D118="",D118=0,C118=0),"",D118/C118-1)</f>
        <v/>
      </c>
      <c r="F118" s="41">
        <f>IF(SUMIFS(Countries!$P$5:$P$434,Countries!$A$5:$A$434,"All landing pages",Countries!$B$5:$B$434,"Organic",Countries!$C$5:$C$434,"Desktop",Countries!$D$5:$D$434,$A118)=0,"",SUMIFS(Countries!$P$5:$P$434,Countries!$A$5:$A$434,"All landing pages",Countries!$B$5:$B$434,"Organic",Countries!$C$5:$C$434,"Desktop",Countries!$D$5:$D$434,$A118))</f>
        <v/>
      </c>
      <c r="G118" s="41">
        <f>IF(SUMIFS(Countries!$Q$5:$Q$434,Countries!$A$5:$A$434,"All landing pages",Countries!$B$5:$B$434,"Organic",Countries!$C$5:$C$434,"Desktop",Countries!$D$5:$D$434,$A118)=0,"",SUMIFS(Countries!$Q$5:$Q$434,Countries!$A$5:$A$434,"All landing pages",Countries!$B$5:$B$434,"Organic",Countries!$C$5:$C$434,"Desktop",Countries!$D$5:$D$434,$A118))</f>
        <v/>
      </c>
      <c r="H118" s="42">
        <f>IF(OR(F118="",G118="",G118=0,F118=0),"",G118/F118-1)</f>
        <v/>
      </c>
      <c r="I118" s="41">
        <f>IF(SUMIFS(Countries!$AR$5:$AR$434,Countries!$A$5:$A$434,"All landing pages",Countries!$B$5:$B$434,"Organic",Countries!$C$5:$C$434,"Desktop",Countries!$D$5:$D$434,$A118)=0,"",SUMIFS(Countries!$AR$5:$AR$434,Countries!$A$5:$A$434,"All landing pages",Countries!$B$5:$B$434,"Organic",Countries!$C$5:$C$434,"Desktop",Countries!$D$5:$D$434,$A118))</f>
        <v/>
      </c>
      <c r="J118" s="41">
        <f>IF(SUMIFS(Countries!$AS$5:$AS$434,Countries!$A$5:$A$434,"All landing pages",Countries!$B$5:$B$434,"Organic",Countries!$C$5:$C$434,"Desktop",Countries!$D$5:$D$434,$A118)=0,"",SUMIFS(Countries!$AS$5:$AS$434,Countries!$A$5:$A$434,"All landing pages",Countries!$B$5:$B$434,"Organic",Countries!$C$5:$C$434,"Desktop",Countries!$D$5:$D$434,$A118))</f>
        <v/>
      </c>
      <c r="K118" s="42">
        <f>IF(OR(I118="",J118="",J118=0,I118=0),"",J118/I118-1)</f>
        <v/>
      </c>
      <c r="L118" s="43">
        <f>IF(SUMIFS(Countries!$E$5:$E$434,Countries!$A$5:$A$434,"All landing pages",Countries!$B$5:$B$434,"Organic",Countries!$C$5:$C$434,"Desktop",Countries!$D$5:$D$434,$A118,Countries!$P$5:$P$434,"&gt;0")=0,"",SUMIFS(Countries!$P$5:$P$434,Countries!$A$5:$A$434,"All landing pages",Countries!$B$5:$B$434,"Organic",Countries!$C$5:$C$434,"Desktop",Countries!$D$5:$D$434,$A118,Countries!$E$5:$E$434,"&gt;0")/SUMIFS(Countries!$E$5:$E$434,Countries!$A$5:$A$434,"All landing pages",Countries!$B$5:$B$434,"Organic",Countries!$C$5:$C$434,"Desktop",Countries!$D$5:$D$434,$A118,Countries!$P$5:$P$434,"&gt;0"))</f>
        <v/>
      </c>
      <c r="M118" s="43">
        <f>IF(SUMIFS(Countries!$F$5:$F$434,Countries!$A$5:$A$434,"All landing pages",Countries!$B$5:$B$434,"Organic",Countries!$C$5:$C$434,"Desktop",Countries!$D$5:$D$434,$A118,Countries!$Q$5:$Q$434,"&gt;0")=0,"",SUMIFS(Countries!$Q$5:$Q$434,Countries!$A$5:$A$434,"All landing pages",Countries!$B$5:$B$434,"Organic",Countries!$C$5:$C$434,"Desktop",Countries!$D$5:$D$434,$A118,Countries!$F$5:$F$434,"&gt;0")/SUMIFS(Countries!$F$5:$F$434,Countries!$A$5:$A$434,"All landing pages",Countries!$B$5:$B$434,"Organic",Countries!$C$5:$C$434,"Desktop",Countries!$D$5:$D$434,$A118,Countries!$Q$5:$Q$434,"&gt;0"))</f>
        <v/>
      </c>
      <c r="N118" s="44">
        <f>IF(OR(L118="",M118=""),"",(M118-L118)*100)</f>
        <v/>
      </c>
      <c r="O118" s="45">
        <f>IF(SUMIFS(Countries!$P$5:$P$434,Countries!$A$5:$A$434,"All landing pages",Countries!$B$5:$B$434,"Organic",Countries!$C$5:$C$434,"Desktop",Countries!$D$5:$D$434,$A118,Countries!$AR$5:$AR$434,"&gt;0")=0,"",SUMIFS(Countries!$AR$5:$AR$434,Countries!$A$5:$A$434,"All landing pages",Countries!$B$5:$B$434,"Organic",Countries!$C$5:$C$434,"Desktop",Countries!$D$5:$D$434,$A118,Countries!$P$5:$P$434,"&gt;0")/SUMIFS(Countries!$P$5:$P$434,Countries!$A$5:$A$434,"All landing pages",Countries!$B$5:$B$434,"Organic",Countries!$C$5:$C$434,"Desktop",Countries!$D$5:$D$434,$A118,Countries!$AR$5:$AR$434,"&gt;0"))</f>
        <v/>
      </c>
      <c r="P118" s="45">
        <f>IF(SUMIFS(Countries!$Q$5:$Q$434,Countries!$A$5:$A$434,"All landing pages",Countries!$B$5:$B$434,"Organic",Countries!$C$5:$C$434,"Desktop",Countries!$D$5:$D$434,$A118,Countries!$AS$5:$AS$434,"&gt;0")=0,"",SUMIFS(Countries!$AS$5:$AS$434,Countries!$A$5:$A$434,"All landing pages",Countries!$B$5:$B$434,"Organic",Countries!$C$5:$C$434,"Desktop",Countries!$D$5:$D$434,$A118,Countries!$Q$5:$Q$434,"&gt;0")/SUMIFS(Countries!$Q$5:$Q$434,Countries!$A$5:$A$434,"All landing pages",Countries!$B$5:$B$434,"Organic",Countries!$C$5:$C$434,"Desktop",Countries!$D$5:$D$434,$A118,Countries!$AS$5:$AS$434,"&gt;0"))</f>
        <v/>
      </c>
      <c r="Q118" s="44">
        <f>IF(OR(O118="",P118=""),"",(P118-O118)*100)</f>
        <v/>
      </c>
      <c r="R118" s="45">
        <f>IF(SUMIFS(Countries!$E$5:$E$434,Countries!$A$5:$A$434,"All landing pages",Countries!$B$5:$B$434,"Organic",Countries!$C$5:$C$434,"Desktop",Countries!$D$5:$D$434,$A118,Countries!$AR$5:$AR$434,"&gt;0")=0,"",SUMIFS(Countries!$AR$5:$AR$434,Countries!$A$5:$A$434,"All landing pages",Countries!$B$5:$B$434,"Organic",Countries!$C$5:$C$434,"Desktop",Countries!$D$5:$D$434,$A118,Countries!$E$5:$E$434,"&gt;0")/SUMIFS(Countries!$E$5:$E$434,Countries!$A$5:$A$434,"All landing pages",Countries!$B$5:$B$434,"Organic",Countries!$C$5:$C$434,"Desktop",Countries!$D$5:$D$434,$A118,Countries!$AR$5:$AR$434,"&gt;0"))</f>
        <v/>
      </c>
      <c r="S118" s="45">
        <f>IF(SUMIFS(Countries!$F$5:$F$434,Countries!$A$5:$A$434,"All landing pages",Countries!$B$5:$B$434,"Organic",Countries!$C$5:$C$434,"Desktop",Countries!$D$5:$D$434,$A118,Countries!$AS$5:$AS$434,"&gt;0")=0,"",SUMIFS(Countries!$AS$5:$AS$434,Countries!$A$5:$A$434,"All landing pages",Countries!$B$5:$B$434,"Organic",Countries!$C$5:$C$434,"Desktop",Countries!$D$5:$D$434,$A118,Countries!$F$5:$F$434,"&gt;0")/SUMIFS(Countries!$F$5:$F$434,Countries!$A$5:$A$434,"All landing pages",Countries!$B$5:$B$434,"Organic",Countries!$C$5:$C$434,"Desktop",Countries!$D$5:$D$434,$A118,Countries!$AS$5:$AS$434,"&gt;0"))</f>
        <v/>
      </c>
      <c r="T118" s="44">
        <f>IF(OR(R118="",S118=""),"",(S118-R118)*100)</f>
        <v/>
      </c>
    </row>
    <row r="119">
      <c r="A119" s="40" t="inlineStr">
        <is>
          <t>Spain</t>
        </is>
      </c>
      <c r="B119" s="40" t="inlineStr">
        <is>
          <t>Organic</t>
        </is>
      </c>
      <c r="C119" s="41">
        <f>IF(SUMIFS(Countries!$E$5:$E$434,Countries!$A$5:$A$434,"All landing pages",Countries!$B$5:$B$434,"Organic",Countries!$C$5:$C$434,"Desktop",Countries!$D$5:$D$434,$A119)=0,"",SUMIFS(Countries!$E$5:$E$434,Countries!$A$5:$A$434,"All landing pages",Countries!$B$5:$B$434,"Organic",Countries!$C$5:$C$434,"Desktop",Countries!$D$5:$D$434,$A119))</f>
        <v/>
      </c>
      <c r="D119" s="41">
        <f>IF(SUMIFS(Countries!$F$5:$F$434,Countries!$A$5:$A$434,"All landing pages",Countries!$B$5:$B$434,"Organic",Countries!$C$5:$C$434,"Desktop",Countries!$D$5:$D$434,$A119)=0,"",SUMIFS(Countries!$F$5:$F$434,Countries!$A$5:$A$434,"All landing pages",Countries!$B$5:$B$434,"Organic",Countries!$C$5:$C$434,"Desktop",Countries!$D$5:$D$434,$A119))</f>
        <v/>
      </c>
      <c r="E119" s="42">
        <f>IF(OR(C119="",D119="",D119=0,C119=0),"",D119/C119-1)</f>
        <v/>
      </c>
      <c r="F119" s="41">
        <f>IF(SUMIFS(Countries!$P$5:$P$434,Countries!$A$5:$A$434,"All landing pages",Countries!$B$5:$B$434,"Organic",Countries!$C$5:$C$434,"Desktop",Countries!$D$5:$D$434,$A119)=0,"",SUMIFS(Countries!$P$5:$P$434,Countries!$A$5:$A$434,"All landing pages",Countries!$B$5:$B$434,"Organic",Countries!$C$5:$C$434,"Desktop",Countries!$D$5:$D$434,$A119))</f>
        <v/>
      </c>
      <c r="G119" s="41">
        <f>IF(SUMIFS(Countries!$Q$5:$Q$434,Countries!$A$5:$A$434,"All landing pages",Countries!$B$5:$B$434,"Organic",Countries!$C$5:$C$434,"Desktop",Countries!$D$5:$D$434,$A119)=0,"",SUMIFS(Countries!$Q$5:$Q$434,Countries!$A$5:$A$434,"All landing pages",Countries!$B$5:$B$434,"Organic",Countries!$C$5:$C$434,"Desktop",Countries!$D$5:$D$434,$A119))</f>
        <v/>
      </c>
      <c r="H119" s="42">
        <f>IF(OR(F119="",G119="",G119=0,F119=0),"",G119/F119-1)</f>
        <v/>
      </c>
      <c r="I119" s="41">
        <f>IF(SUMIFS(Countries!$AR$5:$AR$434,Countries!$A$5:$A$434,"All landing pages",Countries!$B$5:$B$434,"Organic",Countries!$C$5:$C$434,"Desktop",Countries!$D$5:$D$434,$A119)=0,"",SUMIFS(Countries!$AR$5:$AR$434,Countries!$A$5:$A$434,"All landing pages",Countries!$B$5:$B$434,"Organic",Countries!$C$5:$C$434,"Desktop",Countries!$D$5:$D$434,$A119))</f>
        <v/>
      </c>
      <c r="J119" s="41">
        <f>IF(SUMIFS(Countries!$AS$5:$AS$434,Countries!$A$5:$A$434,"All landing pages",Countries!$B$5:$B$434,"Organic",Countries!$C$5:$C$434,"Desktop",Countries!$D$5:$D$434,$A119)=0,"",SUMIFS(Countries!$AS$5:$AS$434,Countries!$A$5:$A$434,"All landing pages",Countries!$B$5:$B$434,"Organic",Countries!$C$5:$C$434,"Desktop",Countries!$D$5:$D$434,$A119))</f>
        <v/>
      </c>
      <c r="K119" s="42">
        <f>IF(OR(I119="",J119="",J119=0,I119=0),"",J119/I119-1)</f>
        <v/>
      </c>
      <c r="L119" s="43">
        <f>IF(SUMIFS(Countries!$E$5:$E$434,Countries!$A$5:$A$434,"All landing pages",Countries!$B$5:$B$434,"Organic",Countries!$C$5:$C$434,"Desktop",Countries!$D$5:$D$434,$A119,Countries!$P$5:$P$434,"&gt;0")=0,"",SUMIFS(Countries!$P$5:$P$434,Countries!$A$5:$A$434,"All landing pages",Countries!$B$5:$B$434,"Organic",Countries!$C$5:$C$434,"Desktop",Countries!$D$5:$D$434,$A119,Countries!$E$5:$E$434,"&gt;0")/SUMIFS(Countries!$E$5:$E$434,Countries!$A$5:$A$434,"All landing pages",Countries!$B$5:$B$434,"Organic",Countries!$C$5:$C$434,"Desktop",Countries!$D$5:$D$434,$A119,Countries!$P$5:$P$434,"&gt;0"))</f>
        <v/>
      </c>
      <c r="M119" s="43">
        <f>IF(SUMIFS(Countries!$F$5:$F$434,Countries!$A$5:$A$434,"All landing pages",Countries!$B$5:$B$434,"Organic",Countries!$C$5:$C$434,"Desktop",Countries!$D$5:$D$434,$A119,Countries!$Q$5:$Q$434,"&gt;0")=0,"",SUMIFS(Countries!$Q$5:$Q$434,Countries!$A$5:$A$434,"All landing pages",Countries!$B$5:$B$434,"Organic",Countries!$C$5:$C$434,"Desktop",Countries!$D$5:$D$434,$A119,Countries!$F$5:$F$434,"&gt;0")/SUMIFS(Countries!$F$5:$F$434,Countries!$A$5:$A$434,"All landing pages",Countries!$B$5:$B$434,"Organic",Countries!$C$5:$C$434,"Desktop",Countries!$D$5:$D$434,$A119,Countries!$Q$5:$Q$434,"&gt;0"))</f>
        <v/>
      </c>
      <c r="N119" s="44">
        <f>IF(OR(L119="",M119=""),"",(M119-L119)*100)</f>
        <v/>
      </c>
      <c r="O119" s="45">
        <f>IF(SUMIFS(Countries!$P$5:$P$434,Countries!$A$5:$A$434,"All landing pages",Countries!$B$5:$B$434,"Organic",Countries!$C$5:$C$434,"Desktop",Countries!$D$5:$D$434,$A119,Countries!$AR$5:$AR$434,"&gt;0")=0,"",SUMIFS(Countries!$AR$5:$AR$434,Countries!$A$5:$A$434,"All landing pages",Countries!$B$5:$B$434,"Organic",Countries!$C$5:$C$434,"Desktop",Countries!$D$5:$D$434,$A119,Countries!$P$5:$P$434,"&gt;0")/SUMIFS(Countries!$P$5:$P$434,Countries!$A$5:$A$434,"All landing pages",Countries!$B$5:$B$434,"Organic",Countries!$C$5:$C$434,"Desktop",Countries!$D$5:$D$434,$A119,Countries!$AR$5:$AR$434,"&gt;0"))</f>
        <v/>
      </c>
      <c r="P119" s="45">
        <f>IF(SUMIFS(Countries!$Q$5:$Q$434,Countries!$A$5:$A$434,"All landing pages",Countries!$B$5:$B$434,"Organic",Countries!$C$5:$C$434,"Desktop",Countries!$D$5:$D$434,$A119,Countries!$AS$5:$AS$434,"&gt;0")=0,"",SUMIFS(Countries!$AS$5:$AS$434,Countries!$A$5:$A$434,"All landing pages",Countries!$B$5:$B$434,"Organic",Countries!$C$5:$C$434,"Desktop",Countries!$D$5:$D$434,$A119,Countries!$Q$5:$Q$434,"&gt;0")/SUMIFS(Countries!$Q$5:$Q$434,Countries!$A$5:$A$434,"All landing pages",Countries!$B$5:$B$434,"Organic",Countries!$C$5:$C$434,"Desktop",Countries!$D$5:$D$434,$A119,Countries!$AS$5:$AS$434,"&gt;0"))</f>
        <v/>
      </c>
      <c r="Q119" s="44">
        <f>IF(OR(O119="",P119=""),"",(P119-O119)*100)</f>
        <v/>
      </c>
      <c r="R119" s="45">
        <f>IF(SUMIFS(Countries!$E$5:$E$434,Countries!$A$5:$A$434,"All landing pages",Countries!$B$5:$B$434,"Organic",Countries!$C$5:$C$434,"Desktop",Countries!$D$5:$D$434,$A119,Countries!$AR$5:$AR$434,"&gt;0")=0,"",SUMIFS(Countries!$AR$5:$AR$434,Countries!$A$5:$A$434,"All landing pages",Countries!$B$5:$B$434,"Organic",Countries!$C$5:$C$434,"Desktop",Countries!$D$5:$D$434,$A119,Countries!$E$5:$E$434,"&gt;0")/SUMIFS(Countries!$E$5:$E$434,Countries!$A$5:$A$434,"All landing pages",Countries!$B$5:$B$434,"Organic",Countries!$C$5:$C$434,"Desktop",Countries!$D$5:$D$434,$A119,Countries!$AR$5:$AR$434,"&gt;0"))</f>
        <v/>
      </c>
      <c r="S119" s="45">
        <f>IF(SUMIFS(Countries!$F$5:$F$434,Countries!$A$5:$A$434,"All landing pages",Countries!$B$5:$B$434,"Organic",Countries!$C$5:$C$434,"Desktop",Countries!$D$5:$D$434,$A119,Countries!$AS$5:$AS$434,"&gt;0")=0,"",SUMIFS(Countries!$AS$5:$AS$434,Countries!$A$5:$A$434,"All landing pages",Countries!$B$5:$B$434,"Organic",Countries!$C$5:$C$434,"Desktop",Countries!$D$5:$D$434,$A119,Countries!$F$5:$F$434,"&gt;0")/SUMIFS(Countries!$F$5:$F$434,Countries!$A$5:$A$434,"All landing pages",Countries!$B$5:$B$434,"Organic",Countries!$C$5:$C$434,"Desktop",Countries!$D$5:$D$434,$A119,Countries!$AS$5:$AS$434,"&gt;0"))</f>
        <v/>
      </c>
      <c r="T119" s="44">
        <f>IF(OR(R119="",S119=""),"",(S119-R119)*100)</f>
        <v/>
      </c>
    </row>
    <row r="120">
      <c r="A120" s="40" t="inlineStr">
        <is>
          <t>Ireland</t>
        </is>
      </c>
      <c r="B120" s="40" t="inlineStr">
        <is>
          <t>Organic</t>
        </is>
      </c>
      <c r="C120" s="41">
        <f>IF(SUMIFS(Countries!$E$5:$E$434,Countries!$A$5:$A$434,"All landing pages",Countries!$B$5:$B$434,"Organic",Countries!$C$5:$C$434,"Desktop",Countries!$D$5:$D$434,$A120)=0,"",SUMIFS(Countries!$E$5:$E$434,Countries!$A$5:$A$434,"All landing pages",Countries!$B$5:$B$434,"Organic",Countries!$C$5:$C$434,"Desktop",Countries!$D$5:$D$434,$A120))</f>
        <v/>
      </c>
      <c r="D120" s="41">
        <f>IF(SUMIFS(Countries!$F$5:$F$434,Countries!$A$5:$A$434,"All landing pages",Countries!$B$5:$B$434,"Organic",Countries!$C$5:$C$434,"Desktop",Countries!$D$5:$D$434,$A120)=0,"",SUMIFS(Countries!$F$5:$F$434,Countries!$A$5:$A$434,"All landing pages",Countries!$B$5:$B$434,"Organic",Countries!$C$5:$C$434,"Desktop",Countries!$D$5:$D$434,$A120))</f>
        <v/>
      </c>
      <c r="E120" s="42">
        <f>IF(OR(C120="",D120="",D120=0,C120=0),"",D120/C120-1)</f>
        <v/>
      </c>
      <c r="F120" s="41">
        <f>IF(SUMIFS(Countries!$P$5:$P$434,Countries!$A$5:$A$434,"All landing pages",Countries!$B$5:$B$434,"Organic",Countries!$C$5:$C$434,"Desktop",Countries!$D$5:$D$434,$A120)=0,"",SUMIFS(Countries!$P$5:$P$434,Countries!$A$5:$A$434,"All landing pages",Countries!$B$5:$B$434,"Organic",Countries!$C$5:$C$434,"Desktop",Countries!$D$5:$D$434,$A120))</f>
        <v/>
      </c>
      <c r="G120" s="41">
        <f>IF(SUMIFS(Countries!$Q$5:$Q$434,Countries!$A$5:$A$434,"All landing pages",Countries!$B$5:$B$434,"Organic",Countries!$C$5:$C$434,"Desktop",Countries!$D$5:$D$434,$A120)=0,"",SUMIFS(Countries!$Q$5:$Q$434,Countries!$A$5:$A$434,"All landing pages",Countries!$B$5:$B$434,"Organic",Countries!$C$5:$C$434,"Desktop",Countries!$D$5:$D$434,$A120))</f>
        <v/>
      </c>
      <c r="H120" s="42">
        <f>IF(OR(F120="",G120="",G120=0,F120=0),"",G120/F120-1)</f>
        <v/>
      </c>
      <c r="I120" s="41">
        <f>IF(SUMIFS(Countries!$AR$5:$AR$434,Countries!$A$5:$A$434,"All landing pages",Countries!$B$5:$B$434,"Organic",Countries!$C$5:$C$434,"Desktop",Countries!$D$5:$D$434,$A120)=0,"",SUMIFS(Countries!$AR$5:$AR$434,Countries!$A$5:$A$434,"All landing pages",Countries!$B$5:$B$434,"Organic",Countries!$C$5:$C$434,"Desktop",Countries!$D$5:$D$434,$A120))</f>
        <v/>
      </c>
      <c r="J120" s="41">
        <f>IF(SUMIFS(Countries!$AS$5:$AS$434,Countries!$A$5:$A$434,"All landing pages",Countries!$B$5:$B$434,"Organic",Countries!$C$5:$C$434,"Desktop",Countries!$D$5:$D$434,$A120)=0,"",SUMIFS(Countries!$AS$5:$AS$434,Countries!$A$5:$A$434,"All landing pages",Countries!$B$5:$B$434,"Organic",Countries!$C$5:$C$434,"Desktop",Countries!$D$5:$D$434,$A120))</f>
        <v/>
      </c>
      <c r="K120" s="42">
        <f>IF(OR(I120="",J120="",J120=0,I120=0),"",J120/I120-1)</f>
        <v/>
      </c>
      <c r="L120" s="43">
        <f>IF(SUMIFS(Countries!$E$5:$E$434,Countries!$A$5:$A$434,"All landing pages",Countries!$B$5:$B$434,"Organic",Countries!$C$5:$C$434,"Desktop",Countries!$D$5:$D$434,$A120,Countries!$P$5:$P$434,"&gt;0")=0,"",SUMIFS(Countries!$P$5:$P$434,Countries!$A$5:$A$434,"All landing pages",Countries!$B$5:$B$434,"Organic",Countries!$C$5:$C$434,"Desktop",Countries!$D$5:$D$434,$A120,Countries!$E$5:$E$434,"&gt;0")/SUMIFS(Countries!$E$5:$E$434,Countries!$A$5:$A$434,"All landing pages",Countries!$B$5:$B$434,"Organic",Countries!$C$5:$C$434,"Desktop",Countries!$D$5:$D$434,$A120,Countries!$P$5:$P$434,"&gt;0"))</f>
        <v/>
      </c>
      <c r="M120" s="43">
        <f>IF(SUMIFS(Countries!$F$5:$F$434,Countries!$A$5:$A$434,"All landing pages",Countries!$B$5:$B$434,"Organic",Countries!$C$5:$C$434,"Desktop",Countries!$D$5:$D$434,$A120,Countries!$Q$5:$Q$434,"&gt;0")=0,"",SUMIFS(Countries!$Q$5:$Q$434,Countries!$A$5:$A$434,"All landing pages",Countries!$B$5:$B$434,"Organic",Countries!$C$5:$C$434,"Desktop",Countries!$D$5:$D$434,$A120,Countries!$F$5:$F$434,"&gt;0")/SUMIFS(Countries!$F$5:$F$434,Countries!$A$5:$A$434,"All landing pages",Countries!$B$5:$B$434,"Organic",Countries!$C$5:$C$434,"Desktop",Countries!$D$5:$D$434,$A120,Countries!$Q$5:$Q$434,"&gt;0"))</f>
        <v/>
      </c>
      <c r="N120" s="44">
        <f>IF(OR(L120="",M120=""),"",(M120-L120)*100)</f>
        <v/>
      </c>
      <c r="O120" s="45">
        <f>IF(SUMIFS(Countries!$P$5:$P$434,Countries!$A$5:$A$434,"All landing pages",Countries!$B$5:$B$434,"Organic",Countries!$C$5:$C$434,"Desktop",Countries!$D$5:$D$434,$A120,Countries!$AR$5:$AR$434,"&gt;0")=0,"",SUMIFS(Countries!$AR$5:$AR$434,Countries!$A$5:$A$434,"All landing pages",Countries!$B$5:$B$434,"Organic",Countries!$C$5:$C$434,"Desktop",Countries!$D$5:$D$434,$A120,Countries!$P$5:$P$434,"&gt;0")/SUMIFS(Countries!$P$5:$P$434,Countries!$A$5:$A$434,"All landing pages",Countries!$B$5:$B$434,"Organic",Countries!$C$5:$C$434,"Desktop",Countries!$D$5:$D$434,$A120,Countries!$AR$5:$AR$434,"&gt;0"))</f>
        <v/>
      </c>
      <c r="P120" s="45">
        <f>IF(SUMIFS(Countries!$Q$5:$Q$434,Countries!$A$5:$A$434,"All landing pages",Countries!$B$5:$B$434,"Organic",Countries!$C$5:$C$434,"Desktop",Countries!$D$5:$D$434,$A120,Countries!$AS$5:$AS$434,"&gt;0")=0,"",SUMIFS(Countries!$AS$5:$AS$434,Countries!$A$5:$A$434,"All landing pages",Countries!$B$5:$B$434,"Organic",Countries!$C$5:$C$434,"Desktop",Countries!$D$5:$D$434,$A120,Countries!$Q$5:$Q$434,"&gt;0")/SUMIFS(Countries!$Q$5:$Q$434,Countries!$A$5:$A$434,"All landing pages",Countries!$B$5:$B$434,"Organic",Countries!$C$5:$C$434,"Desktop",Countries!$D$5:$D$434,$A120,Countries!$AS$5:$AS$434,"&gt;0"))</f>
        <v/>
      </c>
      <c r="Q120" s="44">
        <f>IF(OR(O120="",P120=""),"",(P120-O120)*100)</f>
        <v/>
      </c>
      <c r="R120" s="45">
        <f>IF(SUMIFS(Countries!$E$5:$E$434,Countries!$A$5:$A$434,"All landing pages",Countries!$B$5:$B$434,"Organic",Countries!$C$5:$C$434,"Desktop",Countries!$D$5:$D$434,$A120,Countries!$AR$5:$AR$434,"&gt;0")=0,"",SUMIFS(Countries!$AR$5:$AR$434,Countries!$A$5:$A$434,"All landing pages",Countries!$B$5:$B$434,"Organic",Countries!$C$5:$C$434,"Desktop",Countries!$D$5:$D$434,$A120,Countries!$E$5:$E$434,"&gt;0")/SUMIFS(Countries!$E$5:$E$434,Countries!$A$5:$A$434,"All landing pages",Countries!$B$5:$B$434,"Organic",Countries!$C$5:$C$434,"Desktop",Countries!$D$5:$D$434,$A120,Countries!$AR$5:$AR$434,"&gt;0"))</f>
        <v/>
      </c>
      <c r="S120" s="45">
        <f>IF(SUMIFS(Countries!$F$5:$F$434,Countries!$A$5:$A$434,"All landing pages",Countries!$B$5:$B$434,"Organic",Countries!$C$5:$C$434,"Desktop",Countries!$D$5:$D$434,$A120,Countries!$AS$5:$AS$434,"&gt;0")=0,"",SUMIFS(Countries!$AS$5:$AS$434,Countries!$A$5:$A$434,"All landing pages",Countries!$B$5:$B$434,"Organic",Countries!$C$5:$C$434,"Desktop",Countries!$D$5:$D$434,$A120,Countries!$F$5:$F$434,"&gt;0")/SUMIFS(Countries!$F$5:$F$434,Countries!$A$5:$A$434,"All landing pages",Countries!$B$5:$B$434,"Organic",Countries!$C$5:$C$434,"Desktop",Countries!$D$5:$D$434,$A120,Countries!$AS$5:$AS$434,"&gt;0"))</f>
        <v/>
      </c>
      <c r="T120" s="44">
        <f>IF(OR(R120="",S120=""),"",(S120-R120)*100)</f>
        <v/>
      </c>
    </row>
    <row r="121">
      <c r="A121" s="40" t="inlineStr">
        <is>
          <t>Netherlands</t>
        </is>
      </c>
      <c r="B121" s="40" t="inlineStr">
        <is>
          <t>Organic</t>
        </is>
      </c>
      <c r="C121" s="41">
        <f>IF(SUMIFS(Countries!$E$5:$E$434,Countries!$A$5:$A$434,"All landing pages",Countries!$B$5:$B$434,"Organic",Countries!$C$5:$C$434,"Desktop",Countries!$D$5:$D$434,$A121)=0,"",SUMIFS(Countries!$E$5:$E$434,Countries!$A$5:$A$434,"All landing pages",Countries!$B$5:$B$434,"Organic",Countries!$C$5:$C$434,"Desktop",Countries!$D$5:$D$434,$A121))</f>
        <v/>
      </c>
      <c r="D121" s="41">
        <f>IF(SUMIFS(Countries!$F$5:$F$434,Countries!$A$5:$A$434,"All landing pages",Countries!$B$5:$B$434,"Organic",Countries!$C$5:$C$434,"Desktop",Countries!$D$5:$D$434,$A121)=0,"",SUMIFS(Countries!$F$5:$F$434,Countries!$A$5:$A$434,"All landing pages",Countries!$B$5:$B$434,"Organic",Countries!$C$5:$C$434,"Desktop",Countries!$D$5:$D$434,$A121))</f>
        <v/>
      </c>
      <c r="E121" s="42">
        <f>IF(OR(C121="",D121="",D121=0,C121=0),"",D121/C121-1)</f>
        <v/>
      </c>
      <c r="F121" s="41">
        <f>IF(SUMIFS(Countries!$P$5:$P$434,Countries!$A$5:$A$434,"All landing pages",Countries!$B$5:$B$434,"Organic",Countries!$C$5:$C$434,"Desktop",Countries!$D$5:$D$434,$A121)=0,"",SUMIFS(Countries!$P$5:$P$434,Countries!$A$5:$A$434,"All landing pages",Countries!$B$5:$B$434,"Organic",Countries!$C$5:$C$434,"Desktop",Countries!$D$5:$D$434,$A121))</f>
        <v/>
      </c>
      <c r="G121" s="41">
        <f>IF(SUMIFS(Countries!$Q$5:$Q$434,Countries!$A$5:$A$434,"All landing pages",Countries!$B$5:$B$434,"Organic",Countries!$C$5:$C$434,"Desktop",Countries!$D$5:$D$434,$A121)=0,"",SUMIFS(Countries!$Q$5:$Q$434,Countries!$A$5:$A$434,"All landing pages",Countries!$B$5:$B$434,"Organic",Countries!$C$5:$C$434,"Desktop",Countries!$D$5:$D$434,$A121))</f>
        <v/>
      </c>
      <c r="H121" s="42">
        <f>IF(OR(F121="",G121="",G121=0,F121=0),"",G121/F121-1)</f>
        <v/>
      </c>
      <c r="I121" s="41">
        <f>IF(SUMIFS(Countries!$AR$5:$AR$434,Countries!$A$5:$A$434,"All landing pages",Countries!$B$5:$B$434,"Organic",Countries!$C$5:$C$434,"Desktop",Countries!$D$5:$D$434,$A121)=0,"",SUMIFS(Countries!$AR$5:$AR$434,Countries!$A$5:$A$434,"All landing pages",Countries!$B$5:$B$434,"Organic",Countries!$C$5:$C$434,"Desktop",Countries!$D$5:$D$434,$A121))</f>
        <v/>
      </c>
      <c r="J121" s="41">
        <f>IF(SUMIFS(Countries!$AS$5:$AS$434,Countries!$A$5:$A$434,"All landing pages",Countries!$B$5:$B$434,"Organic",Countries!$C$5:$C$434,"Desktop",Countries!$D$5:$D$434,$A121)=0,"",SUMIFS(Countries!$AS$5:$AS$434,Countries!$A$5:$A$434,"All landing pages",Countries!$B$5:$B$434,"Organic",Countries!$C$5:$C$434,"Desktop",Countries!$D$5:$D$434,$A121))</f>
        <v/>
      </c>
      <c r="K121" s="42">
        <f>IF(OR(I121="",J121="",J121=0,I121=0),"",J121/I121-1)</f>
        <v/>
      </c>
      <c r="L121" s="43">
        <f>IF(SUMIFS(Countries!$E$5:$E$434,Countries!$A$5:$A$434,"All landing pages",Countries!$B$5:$B$434,"Organic",Countries!$C$5:$C$434,"Desktop",Countries!$D$5:$D$434,$A121,Countries!$P$5:$P$434,"&gt;0")=0,"",SUMIFS(Countries!$P$5:$P$434,Countries!$A$5:$A$434,"All landing pages",Countries!$B$5:$B$434,"Organic",Countries!$C$5:$C$434,"Desktop",Countries!$D$5:$D$434,$A121,Countries!$E$5:$E$434,"&gt;0")/SUMIFS(Countries!$E$5:$E$434,Countries!$A$5:$A$434,"All landing pages",Countries!$B$5:$B$434,"Organic",Countries!$C$5:$C$434,"Desktop",Countries!$D$5:$D$434,$A121,Countries!$P$5:$P$434,"&gt;0"))</f>
        <v/>
      </c>
      <c r="M121" s="43">
        <f>IF(SUMIFS(Countries!$F$5:$F$434,Countries!$A$5:$A$434,"All landing pages",Countries!$B$5:$B$434,"Organic",Countries!$C$5:$C$434,"Desktop",Countries!$D$5:$D$434,$A121,Countries!$Q$5:$Q$434,"&gt;0")=0,"",SUMIFS(Countries!$Q$5:$Q$434,Countries!$A$5:$A$434,"All landing pages",Countries!$B$5:$B$434,"Organic",Countries!$C$5:$C$434,"Desktop",Countries!$D$5:$D$434,$A121,Countries!$F$5:$F$434,"&gt;0")/SUMIFS(Countries!$F$5:$F$434,Countries!$A$5:$A$434,"All landing pages",Countries!$B$5:$B$434,"Organic",Countries!$C$5:$C$434,"Desktop",Countries!$D$5:$D$434,$A121,Countries!$Q$5:$Q$434,"&gt;0"))</f>
        <v/>
      </c>
      <c r="N121" s="44">
        <f>IF(OR(L121="",M121=""),"",(M121-L121)*100)</f>
        <v/>
      </c>
      <c r="O121" s="45">
        <f>IF(SUMIFS(Countries!$P$5:$P$434,Countries!$A$5:$A$434,"All landing pages",Countries!$B$5:$B$434,"Organic",Countries!$C$5:$C$434,"Desktop",Countries!$D$5:$D$434,$A121,Countries!$AR$5:$AR$434,"&gt;0")=0,"",SUMIFS(Countries!$AR$5:$AR$434,Countries!$A$5:$A$434,"All landing pages",Countries!$B$5:$B$434,"Organic",Countries!$C$5:$C$434,"Desktop",Countries!$D$5:$D$434,$A121,Countries!$P$5:$P$434,"&gt;0")/SUMIFS(Countries!$P$5:$P$434,Countries!$A$5:$A$434,"All landing pages",Countries!$B$5:$B$434,"Organic",Countries!$C$5:$C$434,"Desktop",Countries!$D$5:$D$434,$A121,Countries!$AR$5:$AR$434,"&gt;0"))</f>
        <v/>
      </c>
      <c r="P121" s="45">
        <f>IF(SUMIFS(Countries!$Q$5:$Q$434,Countries!$A$5:$A$434,"All landing pages",Countries!$B$5:$B$434,"Organic",Countries!$C$5:$C$434,"Desktop",Countries!$D$5:$D$434,$A121,Countries!$AS$5:$AS$434,"&gt;0")=0,"",SUMIFS(Countries!$AS$5:$AS$434,Countries!$A$5:$A$434,"All landing pages",Countries!$B$5:$B$434,"Organic",Countries!$C$5:$C$434,"Desktop",Countries!$D$5:$D$434,$A121,Countries!$Q$5:$Q$434,"&gt;0")/SUMIFS(Countries!$Q$5:$Q$434,Countries!$A$5:$A$434,"All landing pages",Countries!$B$5:$B$434,"Organic",Countries!$C$5:$C$434,"Desktop",Countries!$D$5:$D$434,$A121,Countries!$AS$5:$AS$434,"&gt;0"))</f>
        <v/>
      </c>
      <c r="Q121" s="44">
        <f>IF(OR(O121="",P121=""),"",(P121-O121)*100)</f>
        <v/>
      </c>
      <c r="R121" s="45">
        <f>IF(SUMIFS(Countries!$E$5:$E$434,Countries!$A$5:$A$434,"All landing pages",Countries!$B$5:$B$434,"Organic",Countries!$C$5:$C$434,"Desktop",Countries!$D$5:$D$434,$A121,Countries!$AR$5:$AR$434,"&gt;0")=0,"",SUMIFS(Countries!$AR$5:$AR$434,Countries!$A$5:$A$434,"All landing pages",Countries!$B$5:$B$434,"Organic",Countries!$C$5:$C$434,"Desktop",Countries!$D$5:$D$434,$A121,Countries!$E$5:$E$434,"&gt;0")/SUMIFS(Countries!$E$5:$E$434,Countries!$A$5:$A$434,"All landing pages",Countries!$B$5:$B$434,"Organic",Countries!$C$5:$C$434,"Desktop",Countries!$D$5:$D$434,$A121,Countries!$AR$5:$AR$434,"&gt;0"))</f>
        <v/>
      </c>
      <c r="S121" s="45">
        <f>IF(SUMIFS(Countries!$F$5:$F$434,Countries!$A$5:$A$434,"All landing pages",Countries!$B$5:$B$434,"Organic",Countries!$C$5:$C$434,"Desktop",Countries!$D$5:$D$434,$A121,Countries!$AS$5:$AS$434,"&gt;0")=0,"",SUMIFS(Countries!$AS$5:$AS$434,Countries!$A$5:$A$434,"All landing pages",Countries!$B$5:$B$434,"Organic",Countries!$C$5:$C$434,"Desktop",Countries!$D$5:$D$434,$A121,Countries!$F$5:$F$434,"&gt;0")/SUMIFS(Countries!$F$5:$F$434,Countries!$A$5:$A$434,"All landing pages",Countries!$B$5:$B$434,"Organic",Countries!$C$5:$C$434,"Desktop",Countries!$D$5:$D$434,$A121,Countries!$AS$5:$AS$434,"&gt;0"))</f>
        <v/>
      </c>
      <c r="T121" s="44">
        <f>IF(OR(R121="",S121=""),"",(S121-R121)*100)</f>
        <v/>
      </c>
    </row>
    <row r="122">
      <c r="A122" s="40" t="inlineStr">
        <is>
          <t>France</t>
        </is>
      </c>
      <c r="B122" s="40" t="inlineStr">
        <is>
          <t>Organic</t>
        </is>
      </c>
      <c r="C122" s="41">
        <f>IF(SUMIFS(Countries!$E$5:$E$434,Countries!$A$5:$A$434,"All landing pages",Countries!$B$5:$B$434,"Organic",Countries!$C$5:$C$434,"Desktop",Countries!$D$5:$D$434,$A122)=0,"",SUMIFS(Countries!$E$5:$E$434,Countries!$A$5:$A$434,"All landing pages",Countries!$B$5:$B$434,"Organic",Countries!$C$5:$C$434,"Desktop",Countries!$D$5:$D$434,$A122))</f>
        <v/>
      </c>
      <c r="D122" s="41">
        <f>IF(SUMIFS(Countries!$F$5:$F$434,Countries!$A$5:$A$434,"All landing pages",Countries!$B$5:$B$434,"Organic",Countries!$C$5:$C$434,"Desktop",Countries!$D$5:$D$434,$A122)=0,"",SUMIFS(Countries!$F$5:$F$434,Countries!$A$5:$A$434,"All landing pages",Countries!$B$5:$B$434,"Organic",Countries!$C$5:$C$434,"Desktop",Countries!$D$5:$D$434,$A122))</f>
        <v/>
      </c>
      <c r="E122" s="42">
        <f>IF(OR(C122="",D122="",D122=0,C122=0),"",D122/C122-1)</f>
        <v/>
      </c>
      <c r="F122" s="41">
        <f>IF(SUMIFS(Countries!$P$5:$P$434,Countries!$A$5:$A$434,"All landing pages",Countries!$B$5:$B$434,"Organic",Countries!$C$5:$C$434,"Desktop",Countries!$D$5:$D$434,$A122)=0,"",SUMIFS(Countries!$P$5:$P$434,Countries!$A$5:$A$434,"All landing pages",Countries!$B$5:$B$434,"Organic",Countries!$C$5:$C$434,"Desktop",Countries!$D$5:$D$434,$A122))</f>
        <v/>
      </c>
      <c r="G122" s="41">
        <f>IF(SUMIFS(Countries!$Q$5:$Q$434,Countries!$A$5:$A$434,"All landing pages",Countries!$B$5:$B$434,"Organic",Countries!$C$5:$C$434,"Desktop",Countries!$D$5:$D$434,$A122)=0,"",SUMIFS(Countries!$Q$5:$Q$434,Countries!$A$5:$A$434,"All landing pages",Countries!$B$5:$B$434,"Organic",Countries!$C$5:$C$434,"Desktop",Countries!$D$5:$D$434,$A122))</f>
        <v/>
      </c>
      <c r="H122" s="42">
        <f>IF(OR(F122="",G122="",G122=0,F122=0),"",G122/F122-1)</f>
        <v/>
      </c>
      <c r="I122" s="41">
        <f>IF(SUMIFS(Countries!$AR$5:$AR$434,Countries!$A$5:$A$434,"All landing pages",Countries!$B$5:$B$434,"Organic",Countries!$C$5:$C$434,"Desktop",Countries!$D$5:$D$434,$A122)=0,"",SUMIFS(Countries!$AR$5:$AR$434,Countries!$A$5:$A$434,"All landing pages",Countries!$B$5:$B$434,"Organic",Countries!$C$5:$C$434,"Desktop",Countries!$D$5:$D$434,$A122))</f>
        <v/>
      </c>
      <c r="J122" s="41">
        <f>IF(SUMIFS(Countries!$AS$5:$AS$434,Countries!$A$5:$A$434,"All landing pages",Countries!$B$5:$B$434,"Organic",Countries!$C$5:$C$434,"Desktop",Countries!$D$5:$D$434,$A122)=0,"",SUMIFS(Countries!$AS$5:$AS$434,Countries!$A$5:$A$434,"All landing pages",Countries!$B$5:$B$434,"Organic",Countries!$C$5:$C$434,"Desktop",Countries!$D$5:$D$434,$A122))</f>
        <v/>
      </c>
      <c r="K122" s="42">
        <f>IF(OR(I122="",J122="",J122=0,I122=0),"",J122/I122-1)</f>
        <v/>
      </c>
      <c r="L122" s="43">
        <f>IF(SUMIFS(Countries!$E$5:$E$434,Countries!$A$5:$A$434,"All landing pages",Countries!$B$5:$B$434,"Organic",Countries!$C$5:$C$434,"Desktop",Countries!$D$5:$D$434,$A122,Countries!$P$5:$P$434,"&gt;0")=0,"",SUMIFS(Countries!$P$5:$P$434,Countries!$A$5:$A$434,"All landing pages",Countries!$B$5:$B$434,"Organic",Countries!$C$5:$C$434,"Desktop",Countries!$D$5:$D$434,$A122,Countries!$E$5:$E$434,"&gt;0")/SUMIFS(Countries!$E$5:$E$434,Countries!$A$5:$A$434,"All landing pages",Countries!$B$5:$B$434,"Organic",Countries!$C$5:$C$434,"Desktop",Countries!$D$5:$D$434,$A122,Countries!$P$5:$P$434,"&gt;0"))</f>
        <v/>
      </c>
      <c r="M122" s="43">
        <f>IF(SUMIFS(Countries!$F$5:$F$434,Countries!$A$5:$A$434,"All landing pages",Countries!$B$5:$B$434,"Organic",Countries!$C$5:$C$434,"Desktop",Countries!$D$5:$D$434,$A122,Countries!$Q$5:$Q$434,"&gt;0")=0,"",SUMIFS(Countries!$Q$5:$Q$434,Countries!$A$5:$A$434,"All landing pages",Countries!$B$5:$B$434,"Organic",Countries!$C$5:$C$434,"Desktop",Countries!$D$5:$D$434,$A122,Countries!$F$5:$F$434,"&gt;0")/SUMIFS(Countries!$F$5:$F$434,Countries!$A$5:$A$434,"All landing pages",Countries!$B$5:$B$434,"Organic",Countries!$C$5:$C$434,"Desktop",Countries!$D$5:$D$434,$A122,Countries!$Q$5:$Q$434,"&gt;0"))</f>
        <v/>
      </c>
      <c r="N122" s="44">
        <f>IF(OR(L122="",M122=""),"",(M122-L122)*100)</f>
        <v/>
      </c>
      <c r="O122" s="45">
        <f>IF(SUMIFS(Countries!$P$5:$P$434,Countries!$A$5:$A$434,"All landing pages",Countries!$B$5:$B$434,"Organic",Countries!$C$5:$C$434,"Desktop",Countries!$D$5:$D$434,$A122,Countries!$AR$5:$AR$434,"&gt;0")=0,"",SUMIFS(Countries!$AR$5:$AR$434,Countries!$A$5:$A$434,"All landing pages",Countries!$B$5:$B$434,"Organic",Countries!$C$5:$C$434,"Desktop",Countries!$D$5:$D$434,$A122,Countries!$P$5:$P$434,"&gt;0")/SUMIFS(Countries!$P$5:$P$434,Countries!$A$5:$A$434,"All landing pages",Countries!$B$5:$B$434,"Organic",Countries!$C$5:$C$434,"Desktop",Countries!$D$5:$D$434,$A122,Countries!$AR$5:$AR$434,"&gt;0"))</f>
        <v/>
      </c>
      <c r="P122" s="45">
        <f>IF(SUMIFS(Countries!$Q$5:$Q$434,Countries!$A$5:$A$434,"All landing pages",Countries!$B$5:$B$434,"Organic",Countries!$C$5:$C$434,"Desktop",Countries!$D$5:$D$434,$A122,Countries!$AS$5:$AS$434,"&gt;0")=0,"",SUMIFS(Countries!$AS$5:$AS$434,Countries!$A$5:$A$434,"All landing pages",Countries!$B$5:$B$434,"Organic",Countries!$C$5:$C$434,"Desktop",Countries!$D$5:$D$434,$A122,Countries!$Q$5:$Q$434,"&gt;0")/SUMIFS(Countries!$Q$5:$Q$434,Countries!$A$5:$A$434,"All landing pages",Countries!$B$5:$B$434,"Organic",Countries!$C$5:$C$434,"Desktop",Countries!$D$5:$D$434,$A122,Countries!$AS$5:$AS$434,"&gt;0"))</f>
        <v/>
      </c>
      <c r="Q122" s="44">
        <f>IF(OR(O122="",P122=""),"",(P122-O122)*100)</f>
        <v/>
      </c>
      <c r="R122" s="45">
        <f>IF(SUMIFS(Countries!$E$5:$E$434,Countries!$A$5:$A$434,"All landing pages",Countries!$B$5:$B$434,"Organic",Countries!$C$5:$C$434,"Desktop",Countries!$D$5:$D$434,$A122,Countries!$AR$5:$AR$434,"&gt;0")=0,"",SUMIFS(Countries!$AR$5:$AR$434,Countries!$A$5:$A$434,"All landing pages",Countries!$B$5:$B$434,"Organic",Countries!$C$5:$C$434,"Desktop",Countries!$D$5:$D$434,$A122,Countries!$E$5:$E$434,"&gt;0")/SUMIFS(Countries!$E$5:$E$434,Countries!$A$5:$A$434,"All landing pages",Countries!$B$5:$B$434,"Organic",Countries!$C$5:$C$434,"Desktop",Countries!$D$5:$D$434,$A122,Countries!$AR$5:$AR$434,"&gt;0"))</f>
        <v/>
      </c>
      <c r="S122" s="45">
        <f>IF(SUMIFS(Countries!$F$5:$F$434,Countries!$A$5:$A$434,"All landing pages",Countries!$B$5:$B$434,"Organic",Countries!$C$5:$C$434,"Desktop",Countries!$D$5:$D$434,$A122,Countries!$AS$5:$AS$434,"&gt;0")=0,"",SUMIFS(Countries!$AS$5:$AS$434,Countries!$A$5:$A$434,"All landing pages",Countries!$B$5:$B$434,"Organic",Countries!$C$5:$C$434,"Desktop",Countries!$D$5:$D$434,$A122,Countries!$F$5:$F$434,"&gt;0")/SUMIFS(Countries!$F$5:$F$434,Countries!$A$5:$A$434,"All landing pages",Countries!$B$5:$B$434,"Organic",Countries!$C$5:$C$434,"Desktop",Countries!$D$5:$D$434,$A122,Countries!$AS$5:$AS$434,"&gt;0"))</f>
        <v/>
      </c>
      <c r="T122" s="44">
        <f>IF(OR(R122="",S122=""),"",(S122-R122)*100)</f>
        <v/>
      </c>
    </row>
    <row r="123">
      <c r="A123" s="40" t="inlineStr">
        <is>
          <t>Poland</t>
        </is>
      </c>
      <c r="B123" s="40" t="inlineStr">
        <is>
          <t>Organic</t>
        </is>
      </c>
      <c r="C123" s="41">
        <f>IF(SUMIFS(Countries!$E$5:$E$434,Countries!$A$5:$A$434,"All landing pages",Countries!$B$5:$B$434,"Organic",Countries!$C$5:$C$434,"Desktop",Countries!$D$5:$D$434,$A123)=0,"",SUMIFS(Countries!$E$5:$E$434,Countries!$A$5:$A$434,"All landing pages",Countries!$B$5:$B$434,"Organic",Countries!$C$5:$C$434,"Desktop",Countries!$D$5:$D$434,$A123))</f>
        <v/>
      </c>
      <c r="D123" s="41">
        <f>IF(SUMIFS(Countries!$F$5:$F$434,Countries!$A$5:$A$434,"All landing pages",Countries!$B$5:$B$434,"Organic",Countries!$C$5:$C$434,"Desktop",Countries!$D$5:$D$434,$A123)=0,"",SUMIFS(Countries!$F$5:$F$434,Countries!$A$5:$A$434,"All landing pages",Countries!$B$5:$B$434,"Organic",Countries!$C$5:$C$434,"Desktop",Countries!$D$5:$D$434,$A123))</f>
        <v/>
      </c>
      <c r="E123" s="42">
        <f>IF(OR(C123="",D123="",D123=0,C123=0),"",D123/C123-1)</f>
        <v/>
      </c>
      <c r="F123" s="41">
        <f>IF(SUMIFS(Countries!$P$5:$P$434,Countries!$A$5:$A$434,"All landing pages",Countries!$B$5:$B$434,"Organic",Countries!$C$5:$C$434,"Desktop",Countries!$D$5:$D$434,$A123)=0,"",SUMIFS(Countries!$P$5:$P$434,Countries!$A$5:$A$434,"All landing pages",Countries!$B$5:$B$434,"Organic",Countries!$C$5:$C$434,"Desktop",Countries!$D$5:$D$434,$A123))</f>
        <v/>
      </c>
      <c r="G123" s="41">
        <f>IF(SUMIFS(Countries!$Q$5:$Q$434,Countries!$A$5:$A$434,"All landing pages",Countries!$B$5:$B$434,"Organic",Countries!$C$5:$C$434,"Desktop",Countries!$D$5:$D$434,$A123)=0,"",SUMIFS(Countries!$Q$5:$Q$434,Countries!$A$5:$A$434,"All landing pages",Countries!$B$5:$B$434,"Organic",Countries!$C$5:$C$434,"Desktop",Countries!$D$5:$D$434,$A123))</f>
        <v/>
      </c>
      <c r="H123" s="42">
        <f>IF(OR(F123="",G123="",G123=0,F123=0),"",G123/F123-1)</f>
        <v/>
      </c>
      <c r="I123" s="41">
        <f>IF(SUMIFS(Countries!$AR$5:$AR$434,Countries!$A$5:$A$434,"All landing pages",Countries!$B$5:$B$434,"Organic",Countries!$C$5:$C$434,"Desktop",Countries!$D$5:$D$434,$A123)=0,"",SUMIFS(Countries!$AR$5:$AR$434,Countries!$A$5:$A$434,"All landing pages",Countries!$B$5:$B$434,"Organic",Countries!$C$5:$C$434,"Desktop",Countries!$D$5:$D$434,$A123))</f>
        <v/>
      </c>
      <c r="J123" s="41">
        <f>IF(SUMIFS(Countries!$AS$5:$AS$434,Countries!$A$5:$A$434,"All landing pages",Countries!$B$5:$B$434,"Organic",Countries!$C$5:$C$434,"Desktop",Countries!$D$5:$D$434,$A123)=0,"",SUMIFS(Countries!$AS$5:$AS$434,Countries!$A$5:$A$434,"All landing pages",Countries!$B$5:$B$434,"Organic",Countries!$C$5:$C$434,"Desktop",Countries!$D$5:$D$434,$A123))</f>
        <v/>
      </c>
      <c r="K123" s="42">
        <f>IF(OR(I123="",J123="",J123=0,I123=0),"",J123/I123-1)</f>
        <v/>
      </c>
      <c r="L123" s="43">
        <f>IF(SUMIFS(Countries!$E$5:$E$434,Countries!$A$5:$A$434,"All landing pages",Countries!$B$5:$B$434,"Organic",Countries!$C$5:$C$434,"Desktop",Countries!$D$5:$D$434,$A123,Countries!$P$5:$P$434,"&gt;0")=0,"",SUMIFS(Countries!$P$5:$P$434,Countries!$A$5:$A$434,"All landing pages",Countries!$B$5:$B$434,"Organic",Countries!$C$5:$C$434,"Desktop",Countries!$D$5:$D$434,$A123,Countries!$E$5:$E$434,"&gt;0")/SUMIFS(Countries!$E$5:$E$434,Countries!$A$5:$A$434,"All landing pages",Countries!$B$5:$B$434,"Organic",Countries!$C$5:$C$434,"Desktop",Countries!$D$5:$D$434,$A123,Countries!$P$5:$P$434,"&gt;0"))</f>
        <v/>
      </c>
      <c r="M123" s="43">
        <f>IF(SUMIFS(Countries!$F$5:$F$434,Countries!$A$5:$A$434,"All landing pages",Countries!$B$5:$B$434,"Organic",Countries!$C$5:$C$434,"Desktop",Countries!$D$5:$D$434,$A123,Countries!$Q$5:$Q$434,"&gt;0")=0,"",SUMIFS(Countries!$Q$5:$Q$434,Countries!$A$5:$A$434,"All landing pages",Countries!$B$5:$B$434,"Organic",Countries!$C$5:$C$434,"Desktop",Countries!$D$5:$D$434,$A123,Countries!$F$5:$F$434,"&gt;0")/SUMIFS(Countries!$F$5:$F$434,Countries!$A$5:$A$434,"All landing pages",Countries!$B$5:$B$434,"Organic",Countries!$C$5:$C$434,"Desktop",Countries!$D$5:$D$434,$A123,Countries!$Q$5:$Q$434,"&gt;0"))</f>
        <v/>
      </c>
      <c r="N123" s="44">
        <f>IF(OR(L123="",M123=""),"",(M123-L123)*100)</f>
        <v/>
      </c>
      <c r="O123" s="45">
        <f>IF(SUMIFS(Countries!$P$5:$P$434,Countries!$A$5:$A$434,"All landing pages",Countries!$B$5:$B$434,"Organic",Countries!$C$5:$C$434,"Desktop",Countries!$D$5:$D$434,$A123,Countries!$AR$5:$AR$434,"&gt;0")=0,"",SUMIFS(Countries!$AR$5:$AR$434,Countries!$A$5:$A$434,"All landing pages",Countries!$B$5:$B$434,"Organic",Countries!$C$5:$C$434,"Desktop",Countries!$D$5:$D$434,$A123,Countries!$P$5:$P$434,"&gt;0")/SUMIFS(Countries!$P$5:$P$434,Countries!$A$5:$A$434,"All landing pages",Countries!$B$5:$B$434,"Organic",Countries!$C$5:$C$434,"Desktop",Countries!$D$5:$D$434,$A123,Countries!$AR$5:$AR$434,"&gt;0"))</f>
        <v/>
      </c>
      <c r="P123" s="45">
        <f>IF(SUMIFS(Countries!$Q$5:$Q$434,Countries!$A$5:$A$434,"All landing pages",Countries!$B$5:$B$434,"Organic",Countries!$C$5:$C$434,"Desktop",Countries!$D$5:$D$434,$A123,Countries!$AS$5:$AS$434,"&gt;0")=0,"",SUMIFS(Countries!$AS$5:$AS$434,Countries!$A$5:$A$434,"All landing pages",Countries!$B$5:$B$434,"Organic",Countries!$C$5:$C$434,"Desktop",Countries!$D$5:$D$434,$A123,Countries!$Q$5:$Q$434,"&gt;0")/SUMIFS(Countries!$Q$5:$Q$434,Countries!$A$5:$A$434,"All landing pages",Countries!$B$5:$B$434,"Organic",Countries!$C$5:$C$434,"Desktop",Countries!$D$5:$D$434,$A123,Countries!$AS$5:$AS$434,"&gt;0"))</f>
        <v/>
      </c>
      <c r="Q123" s="44">
        <f>IF(OR(O123="",P123=""),"",(P123-O123)*100)</f>
        <v/>
      </c>
      <c r="R123" s="45">
        <f>IF(SUMIFS(Countries!$E$5:$E$434,Countries!$A$5:$A$434,"All landing pages",Countries!$B$5:$B$434,"Organic",Countries!$C$5:$C$434,"Desktop",Countries!$D$5:$D$434,$A123,Countries!$AR$5:$AR$434,"&gt;0")=0,"",SUMIFS(Countries!$AR$5:$AR$434,Countries!$A$5:$A$434,"All landing pages",Countries!$B$5:$B$434,"Organic",Countries!$C$5:$C$434,"Desktop",Countries!$D$5:$D$434,$A123,Countries!$E$5:$E$434,"&gt;0")/SUMIFS(Countries!$E$5:$E$434,Countries!$A$5:$A$434,"All landing pages",Countries!$B$5:$B$434,"Organic",Countries!$C$5:$C$434,"Desktop",Countries!$D$5:$D$434,$A123,Countries!$AR$5:$AR$434,"&gt;0"))</f>
        <v/>
      </c>
      <c r="S123" s="45">
        <f>IF(SUMIFS(Countries!$F$5:$F$434,Countries!$A$5:$A$434,"All landing pages",Countries!$B$5:$B$434,"Organic",Countries!$C$5:$C$434,"Desktop",Countries!$D$5:$D$434,$A123,Countries!$AS$5:$AS$434,"&gt;0")=0,"",SUMIFS(Countries!$AS$5:$AS$434,Countries!$A$5:$A$434,"All landing pages",Countries!$B$5:$B$434,"Organic",Countries!$C$5:$C$434,"Desktop",Countries!$D$5:$D$434,$A123,Countries!$F$5:$F$434,"&gt;0")/SUMIFS(Countries!$F$5:$F$434,Countries!$A$5:$A$434,"All landing pages",Countries!$B$5:$B$434,"Organic",Countries!$C$5:$C$434,"Desktop",Countries!$D$5:$D$434,$A123,Countries!$AS$5:$AS$434,"&gt;0"))</f>
        <v/>
      </c>
      <c r="T123" s="44">
        <f>IF(OR(R123="",S123=""),"",(S123-R123)*100)</f>
        <v/>
      </c>
    </row>
    <row r="124">
      <c r="A124" s="40" t="inlineStr">
        <is>
          <t>United States</t>
        </is>
      </c>
      <c r="B124" s="40" t="inlineStr">
        <is>
          <t>Organic</t>
        </is>
      </c>
      <c r="C124" s="41">
        <f>IF(SUMIFS(Countries!$E$5:$E$434,Countries!$A$5:$A$434,"All landing pages",Countries!$B$5:$B$434,"Organic",Countries!$C$5:$C$434,"Desktop",Countries!$D$5:$D$434,$A124)=0,"",SUMIFS(Countries!$E$5:$E$434,Countries!$A$5:$A$434,"All landing pages",Countries!$B$5:$B$434,"Organic",Countries!$C$5:$C$434,"Desktop",Countries!$D$5:$D$434,$A124))</f>
        <v/>
      </c>
      <c r="D124" s="41">
        <f>IF(SUMIFS(Countries!$F$5:$F$434,Countries!$A$5:$A$434,"All landing pages",Countries!$B$5:$B$434,"Organic",Countries!$C$5:$C$434,"Desktop",Countries!$D$5:$D$434,$A124)=0,"",SUMIFS(Countries!$F$5:$F$434,Countries!$A$5:$A$434,"All landing pages",Countries!$B$5:$B$434,"Organic",Countries!$C$5:$C$434,"Desktop",Countries!$D$5:$D$434,$A124))</f>
        <v/>
      </c>
      <c r="E124" s="42">
        <f>IF(OR(C124="",D124="",D124=0,C124=0),"",D124/C124-1)</f>
        <v/>
      </c>
      <c r="F124" s="41">
        <f>IF(SUMIFS(Countries!$P$5:$P$434,Countries!$A$5:$A$434,"All landing pages",Countries!$B$5:$B$434,"Organic",Countries!$C$5:$C$434,"Desktop",Countries!$D$5:$D$434,$A124)=0,"",SUMIFS(Countries!$P$5:$P$434,Countries!$A$5:$A$434,"All landing pages",Countries!$B$5:$B$434,"Organic",Countries!$C$5:$C$434,"Desktop",Countries!$D$5:$D$434,$A124))</f>
        <v/>
      </c>
      <c r="G124" s="41">
        <f>IF(SUMIFS(Countries!$Q$5:$Q$434,Countries!$A$5:$A$434,"All landing pages",Countries!$B$5:$B$434,"Organic",Countries!$C$5:$C$434,"Desktop",Countries!$D$5:$D$434,$A124)=0,"",SUMIFS(Countries!$Q$5:$Q$434,Countries!$A$5:$A$434,"All landing pages",Countries!$B$5:$B$434,"Organic",Countries!$C$5:$C$434,"Desktop",Countries!$D$5:$D$434,$A124))</f>
        <v/>
      </c>
      <c r="H124" s="42">
        <f>IF(OR(F124="",G124="",G124=0,F124=0),"",G124/F124-1)</f>
        <v/>
      </c>
      <c r="I124" s="41">
        <f>IF(SUMIFS(Countries!$AR$5:$AR$434,Countries!$A$5:$A$434,"All landing pages",Countries!$B$5:$B$434,"Organic",Countries!$C$5:$C$434,"Desktop",Countries!$D$5:$D$434,$A124)=0,"",SUMIFS(Countries!$AR$5:$AR$434,Countries!$A$5:$A$434,"All landing pages",Countries!$B$5:$B$434,"Organic",Countries!$C$5:$C$434,"Desktop",Countries!$D$5:$D$434,$A124))</f>
        <v/>
      </c>
      <c r="J124" s="41">
        <f>IF(SUMIFS(Countries!$AS$5:$AS$434,Countries!$A$5:$A$434,"All landing pages",Countries!$B$5:$B$434,"Organic",Countries!$C$5:$C$434,"Desktop",Countries!$D$5:$D$434,$A124)=0,"",SUMIFS(Countries!$AS$5:$AS$434,Countries!$A$5:$A$434,"All landing pages",Countries!$B$5:$B$434,"Organic",Countries!$C$5:$C$434,"Desktop",Countries!$D$5:$D$434,$A124))</f>
        <v/>
      </c>
      <c r="K124" s="42">
        <f>IF(OR(I124="",J124="",J124=0,I124=0),"",J124/I124-1)</f>
        <v/>
      </c>
      <c r="L124" s="43">
        <f>IF(SUMIFS(Countries!$E$5:$E$434,Countries!$A$5:$A$434,"All landing pages",Countries!$B$5:$B$434,"Organic",Countries!$C$5:$C$434,"Desktop",Countries!$D$5:$D$434,$A124,Countries!$P$5:$P$434,"&gt;0")=0,"",SUMIFS(Countries!$P$5:$P$434,Countries!$A$5:$A$434,"All landing pages",Countries!$B$5:$B$434,"Organic",Countries!$C$5:$C$434,"Desktop",Countries!$D$5:$D$434,$A124,Countries!$E$5:$E$434,"&gt;0")/SUMIFS(Countries!$E$5:$E$434,Countries!$A$5:$A$434,"All landing pages",Countries!$B$5:$B$434,"Organic",Countries!$C$5:$C$434,"Desktop",Countries!$D$5:$D$434,$A124,Countries!$P$5:$P$434,"&gt;0"))</f>
        <v/>
      </c>
      <c r="M124" s="43">
        <f>IF(SUMIFS(Countries!$F$5:$F$434,Countries!$A$5:$A$434,"All landing pages",Countries!$B$5:$B$434,"Organic",Countries!$C$5:$C$434,"Desktop",Countries!$D$5:$D$434,$A124,Countries!$Q$5:$Q$434,"&gt;0")=0,"",SUMIFS(Countries!$Q$5:$Q$434,Countries!$A$5:$A$434,"All landing pages",Countries!$B$5:$B$434,"Organic",Countries!$C$5:$C$434,"Desktop",Countries!$D$5:$D$434,$A124,Countries!$F$5:$F$434,"&gt;0")/SUMIFS(Countries!$F$5:$F$434,Countries!$A$5:$A$434,"All landing pages",Countries!$B$5:$B$434,"Organic",Countries!$C$5:$C$434,"Desktop",Countries!$D$5:$D$434,$A124,Countries!$Q$5:$Q$434,"&gt;0"))</f>
        <v/>
      </c>
      <c r="N124" s="44">
        <f>IF(OR(L124="",M124=""),"",(M124-L124)*100)</f>
        <v/>
      </c>
      <c r="O124" s="45">
        <f>IF(SUMIFS(Countries!$P$5:$P$434,Countries!$A$5:$A$434,"All landing pages",Countries!$B$5:$B$434,"Organic",Countries!$C$5:$C$434,"Desktop",Countries!$D$5:$D$434,$A124,Countries!$AR$5:$AR$434,"&gt;0")=0,"",SUMIFS(Countries!$AR$5:$AR$434,Countries!$A$5:$A$434,"All landing pages",Countries!$B$5:$B$434,"Organic",Countries!$C$5:$C$434,"Desktop",Countries!$D$5:$D$434,$A124,Countries!$P$5:$P$434,"&gt;0")/SUMIFS(Countries!$P$5:$P$434,Countries!$A$5:$A$434,"All landing pages",Countries!$B$5:$B$434,"Organic",Countries!$C$5:$C$434,"Desktop",Countries!$D$5:$D$434,$A124,Countries!$AR$5:$AR$434,"&gt;0"))</f>
        <v/>
      </c>
      <c r="P124" s="45">
        <f>IF(SUMIFS(Countries!$Q$5:$Q$434,Countries!$A$5:$A$434,"All landing pages",Countries!$B$5:$B$434,"Organic",Countries!$C$5:$C$434,"Desktop",Countries!$D$5:$D$434,$A124,Countries!$AS$5:$AS$434,"&gt;0")=0,"",SUMIFS(Countries!$AS$5:$AS$434,Countries!$A$5:$A$434,"All landing pages",Countries!$B$5:$B$434,"Organic",Countries!$C$5:$C$434,"Desktop",Countries!$D$5:$D$434,$A124,Countries!$Q$5:$Q$434,"&gt;0")/SUMIFS(Countries!$Q$5:$Q$434,Countries!$A$5:$A$434,"All landing pages",Countries!$B$5:$B$434,"Organic",Countries!$C$5:$C$434,"Desktop",Countries!$D$5:$D$434,$A124,Countries!$AS$5:$AS$434,"&gt;0"))</f>
        <v/>
      </c>
      <c r="Q124" s="44">
        <f>IF(OR(O124="",P124=""),"",(P124-O124)*100)</f>
        <v/>
      </c>
      <c r="R124" s="45">
        <f>IF(SUMIFS(Countries!$E$5:$E$434,Countries!$A$5:$A$434,"All landing pages",Countries!$B$5:$B$434,"Organic",Countries!$C$5:$C$434,"Desktop",Countries!$D$5:$D$434,$A124,Countries!$AR$5:$AR$434,"&gt;0")=0,"",SUMIFS(Countries!$AR$5:$AR$434,Countries!$A$5:$A$434,"All landing pages",Countries!$B$5:$B$434,"Organic",Countries!$C$5:$C$434,"Desktop",Countries!$D$5:$D$434,$A124,Countries!$E$5:$E$434,"&gt;0")/SUMIFS(Countries!$E$5:$E$434,Countries!$A$5:$A$434,"All landing pages",Countries!$B$5:$B$434,"Organic",Countries!$C$5:$C$434,"Desktop",Countries!$D$5:$D$434,$A124,Countries!$AR$5:$AR$434,"&gt;0"))</f>
        <v/>
      </c>
      <c r="S124" s="45">
        <f>IF(SUMIFS(Countries!$F$5:$F$434,Countries!$A$5:$A$434,"All landing pages",Countries!$B$5:$B$434,"Organic",Countries!$C$5:$C$434,"Desktop",Countries!$D$5:$D$434,$A124,Countries!$AS$5:$AS$434,"&gt;0")=0,"",SUMIFS(Countries!$AS$5:$AS$434,Countries!$A$5:$A$434,"All landing pages",Countries!$B$5:$B$434,"Organic",Countries!$C$5:$C$434,"Desktop",Countries!$D$5:$D$434,$A124,Countries!$F$5:$F$434,"&gt;0")/SUMIFS(Countries!$F$5:$F$434,Countries!$A$5:$A$434,"All landing pages",Countries!$B$5:$B$434,"Organic",Countries!$C$5:$C$434,"Desktop",Countries!$D$5:$D$434,$A124,Countries!$AS$5:$AS$434,"&gt;0"))</f>
        <v/>
      </c>
      <c r="T124" s="44">
        <f>IF(OR(R124="",S124=""),"",(S124-R124)*100)</f>
        <v/>
      </c>
    </row>
    <row r="125">
      <c r="A125" s="40" t="inlineStr">
        <is>
          <t>Sweden</t>
        </is>
      </c>
      <c r="B125" s="40" t="inlineStr">
        <is>
          <t>Organic</t>
        </is>
      </c>
      <c r="C125" s="41">
        <f>IF(SUMIFS(Countries!$E$5:$E$434,Countries!$A$5:$A$434,"All landing pages",Countries!$B$5:$B$434,"Organic",Countries!$C$5:$C$434,"Desktop",Countries!$D$5:$D$434,$A125)=0,"",SUMIFS(Countries!$E$5:$E$434,Countries!$A$5:$A$434,"All landing pages",Countries!$B$5:$B$434,"Organic",Countries!$C$5:$C$434,"Desktop",Countries!$D$5:$D$434,$A125))</f>
        <v/>
      </c>
      <c r="D125" s="41">
        <f>IF(SUMIFS(Countries!$F$5:$F$434,Countries!$A$5:$A$434,"All landing pages",Countries!$B$5:$B$434,"Organic",Countries!$C$5:$C$434,"Desktop",Countries!$D$5:$D$434,$A125)=0,"",SUMIFS(Countries!$F$5:$F$434,Countries!$A$5:$A$434,"All landing pages",Countries!$B$5:$B$434,"Organic",Countries!$C$5:$C$434,"Desktop",Countries!$D$5:$D$434,$A125))</f>
        <v/>
      </c>
      <c r="E125" s="42">
        <f>IF(OR(C125="",D125="",D125=0,C125=0),"",D125/C125-1)</f>
        <v/>
      </c>
      <c r="F125" s="41">
        <f>IF(SUMIFS(Countries!$P$5:$P$434,Countries!$A$5:$A$434,"All landing pages",Countries!$B$5:$B$434,"Organic",Countries!$C$5:$C$434,"Desktop",Countries!$D$5:$D$434,$A125)=0,"",SUMIFS(Countries!$P$5:$P$434,Countries!$A$5:$A$434,"All landing pages",Countries!$B$5:$B$434,"Organic",Countries!$C$5:$C$434,"Desktop",Countries!$D$5:$D$434,$A125))</f>
        <v/>
      </c>
      <c r="G125" s="41">
        <f>IF(SUMIFS(Countries!$Q$5:$Q$434,Countries!$A$5:$A$434,"All landing pages",Countries!$B$5:$B$434,"Organic",Countries!$C$5:$C$434,"Desktop",Countries!$D$5:$D$434,$A125)=0,"",SUMIFS(Countries!$Q$5:$Q$434,Countries!$A$5:$A$434,"All landing pages",Countries!$B$5:$B$434,"Organic",Countries!$C$5:$C$434,"Desktop",Countries!$D$5:$D$434,$A125))</f>
        <v/>
      </c>
      <c r="H125" s="42">
        <f>IF(OR(F125="",G125="",G125=0,F125=0),"",G125/F125-1)</f>
        <v/>
      </c>
      <c r="I125" s="41">
        <f>IF(SUMIFS(Countries!$AR$5:$AR$434,Countries!$A$5:$A$434,"All landing pages",Countries!$B$5:$B$434,"Organic",Countries!$C$5:$C$434,"Desktop",Countries!$D$5:$D$434,$A125)=0,"",SUMIFS(Countries!$AR$5:$AR$434,Countries!$A$5:$A$434,"All landing pages",Countries!$B$5:$B$434,"Organic",Countries!$C$5:$C$434,"Desktop",Countries!$D$5:$D$434,$A125))</f>
        <v/>
      </c>
      <c r="J125" s="41">
        <f>IF(SUMIFS(Countries!$AS$5:$AS$434,Countries!$A$5:$A$434,"All landing pages",Countries!$B$5:$B$434,"Organic",Countries!$C$5:$C$434,"Desktop",Countries!$D$5:$D$434,$A125)=0,"",SUMIFS(Countries!$AS$5:$AS$434,Countries!$A$5:$A$434,"All landing pages",Countries!$B$5:$B$434,"Organic",Countries!$C$5:$C$434,"Desktop",Countries!$D$5:$D$434,$A125))</f>
        <v/>
      </c>
      <c r="K125" s="42">
        <f>IF(OR(I125="",J125="",J125=0,I125=0),"",J125/I125-1)</f>
        <v/>
      </c>
      <c r="L125" s="43">
        <f>IF(SUMIFS(Countries!$E$5:$E$434,Countries!$A$5:$A$434,"All landing pages",Countries!$B$5:$B$434,"Organic",Countries!$C$5:$C$434,"Desktop",Countries!$D$5:$D$434,$A125,Countries!$P$5:$P$434,"&gt;0")=0,"",SUMIFS(Countries!$P$5:$P$434,Countries!$A$5:$A$434,"All landing pages",Countries!$B$5:$B$434,"Organic",Countries!$C$5:$C$434,"Desktop",Countries!$D$5:$D$434,$A125,Countries!$E$5:$E$434,"&gt;0")/SUMIFS(Countries!$E$5:$E$434,Countries!$A$5:$A$434,"All landing pages",Countries!$B$5:$B$434,"Organic",Countries!$C$5:$C$434,"Desktop",Countries!$D$5:$D$434,$A125,Countries!$P$5:$P$434,"&gt;0"))</f>
        <v/>
      </c>
      <c r="M125" s="43">
        <f>IF(SUMIFS(Countries!$F$5:$F$434,Countries!$A$5:$A$434,"All landing pages",Countries!$B$5:$B$434,"Organic",Countries!$C$5:$C$434,"Desktop",Countries!$D$5:$D$434,$A125,Countries!$Q$5:$Q$434,"&gt;0")=0,"",SUMIFS(Countries!$Q$5:$Q$434,Countries!$A$5:$A$434,"All landing pages",Countries!$B$5:$B$434,"Organic",Countries!$C$5:$C$434,"Desktop",Countries!$D$5:$D$434,$A125,Countries!$F$5:$F$434,"&gt;0")/SUMIFS(Countries!$F$5:$F$434,Countries!$A$5:$A$434,"All landing pages",Countries!$B$5:$B$434,"Organic",Countries!$C$5:$C$434,"Desktop",Countries!$D$5:$D$434,$A125,Countries!$Q$5:$Q$434,"&gt;0"))</f>
        <v/>
      </c>
      <c r="N125" s="44">
        <f>IF(OR(L125="",M125=""),"",(M125-L125)*100)</f>
        <v/>
      </c>
      <c r="O125" s="45">
        <f>IF(SUMIFS(Countries!$P$5:$P$434,Countries!$A$5:$A$434,"All landing pages",Countries!$B$5:$B$434,"Organic",Countries!$C$5:$C$434,"Desktop",Countries!$D$5:$D$434,$A125,Countries!$AR$5:$AR$434,"&gt;0")=0,"",SUMIFS(Countries!$AR$5:$AR$434,Countries!$A$5:$A$434,"All landing pages",Countries!$B$5:$B$434,"Organic",Countries!$C$5:$C$434,"Desktop",Countries!$D$5:$D$434,$A125,Countries!$P$5:$P$434,"&gt;0")/SUMIFS(Countries!$P$5:$P$434,Countries!$A$5:$A$434,"All landing pages",Countries!$B$5:$B$434,"Organic",Countries!$C$5:$C$434,"Desktop",Countries!$D$5:$D$434,$A125,Countries!$AR$5:$AR$434,"&gt;0"))</f>
        <v/>
      </c>
      <c r="P125" s="45">
        <f>IF(SUMIFS(Countries!$Q$5:$Q$434,Countries!$A$5:$A$434,"All landing pages",Countries!$B$5:$B$434,"Organic",Countries!$C$5:$C$434,"Desktop",Countries!$D$5:$D$434,$A125,Countries!$AS$5:$AS$434,"&gt;0")=0,"",SUMIFS(Countries!$AS$5:$AS$434,Countries!$A$5:$A$434,"All landing pages",Countries!$B$5:$B$434,"Organic",Countries!$C$5:$C$434,"Desktop",Countries!$D$5:$D$434,$A125,Countries!$Q$5:$Q$434,"&gt;0")/SUMIFS(Countries!$Q$5:$Q$434,Countries!$A$5:$A$434,"All landing pages",Countries!$B$5:$B$434,"Organic",Countries!$C$5:$C$434,"Desktop",Countries!$D$5:$D$434,$A125,Countries!$AS$5:$AS$434,"&gt;0"))</f>
        <v/>
      </c>
      <c r="Q125" s="44">
        <f>IF(OR(O125="",P125=""),"",(P125-O125)*100)</f>
        <v/>
      </c>
      <c r="R125" s="45">
        <f>IF(SUMIFS(Countries!$E$5:$E$434,Countries!$A$5:$A$434,"All landing pages",Countries!$B$5:$B$434,"Organic",Countries!$C$5:$C$434,"Desktop",Countries!$D$5:$D$434,$A125,Countries!$AR$5:$AR$434,"&gt;0")=0,"",SUMIFS(Countries!$AR$5:$AR$434,Countries!$A$5:$A$434,"All landing pages",Countries!$B$5:$B$434,"Organic",Countries!$C$5:$C$434,"Desktop",Countries!$D$5:$D$434,$A125,Countries!$E$5:$E$434,"&gt;0")/SUMIFS(Countries!$E$5:$E$434,Countries!$A$5:$A$434,"All landing pages",Countries!$B$5:$B$434,"Organic",Countries!$C$5:$C$434,"Desktop",Countries!$D$5:$D$434,$A125,Countries!$AR$5:$AR$434,"&gt;0"))</f>
        <v/>
      </c>
      <c r="S125" s="45">
        <f>IF(SUMIFS(Countries!$F$5:$F$434,Countries!$A$5:$A$434,"All landing pages",Countries!$B$5:$B$434,"Organic",Countries!$C$5:$C$434,"Desktop",Countries!$D$5:$D$434,$A125,Countries!$AS$5:$AS$434,"&gt;0")=0,"",SUMIFS(Countries!$AS$5:$AS$434,Countries!$A$5:$A$434,"All landing pages",Countries!$B$5:$B$434,"Organic",Countries!$C$5:$C$434,"Desktop",Countries!$D$5:$D$434,$A125,Countries!$F$5:$F$434,"&gt;0")/SUMIFS(Countries!$F$5:$F$434,Countries!$A$5:$A$434,"All landing pages",Countries!$B$5:$B$434,"Organic",Countries!$C$5:$C$434,"Desktop",Countries!$D$5:$D$434,$A125,Countries!$AS$5:$AS$434,"&gt;0"))</f>
        <v/>
      </c>
      <c r="T125" s="44">
        <f>IF(OR(R125="",S125=""),"",(S125-R125)*100)</f>
        <v/>
      </c>
    </row>
    <row r="126">
      <c r="A126" s="40" t="inlineStr">
        <is>
          <t>Belgium</t>
        </is>
      </c>
      <c r="B126" s="40" t="inlineStr">
        <is>
          <t>Organic</t>
        </is>
      </c>
      <c r="C126" s="41">
        <f>IF(SUMIFS(Countries!$E$5:$E$434,Countries!$A$5:$A$434,"All landing pages",Countries!$B$5:$B$434,"Organic",Countries!$C$5:$C$434,"Desktop",Countries!$D$5:$D$434,$A126)=0,"",SUMIFS(Countries!$E$5:$E$434,Countries!$A$5:$A$434,"All landing pages",Countries!$B$5:$B$434,"Organic",Countries!$C$5:$C$434,"Desktop",Countries!$D$5:$D$434,$A126))</f>
        <v/>
      </c>
      <c r="D126" s="41">
        <f>IF(SUMIFS(Countries!$F$5:$F$434,Countries!$A$5:$A$434,"All landing pages",Countries!$B$5:$B$434,"Organic",Countries!$C$5:$C$434,"Desktop",Countries!$D$5:$D$434,$A126)=0,"",SUMIFS(Countries!$F$5:$F$434,Countries!$A$5:$A$434,"All landing pages",Countries!$B$5:$B$434,"Organic",Countries!$C$5:$C$434,"Desktop",Countries!$D$5:$D$434,$A126))</f>
        <v/>
      </c>
      <c r="E126" s="42">
        <f>IF(OR(C126="",D126="",D126=0,C126=0),"",D126/C126-1)</f>
        <v/>
      </c>
      <c r="F126" s="41">
        <f>IF(SUMIFS(Countries!$P$5:$P$434,Countries!$A$5:$A$434,"All landing pages",Countries!$B$5:$B$434,"Organic",Countries!$C$5:$C$434,"Desktop",Countries!$D$5:$D$434,$A126)=0,"",SUMIFS(Countries!$P$5:$P$434,Countries!$A$5:$A$434,"All landing pages",Countries!$B$5:$B$434,"Organic",Countries!$C$5:$C$434,"Desktop",Countries!$D$5:$D$434,$A126))</f>
        <v/>
      </c>
      <c r="G126" s="41">
        <f>IF(SUMIFS(Countries!$Q$5:$Q$434,Countries!$A$5:$A$434,"All landing pages",Countries!$B$5:$B$434,"Organic",Countries!$C$5:$C$434,"Desktop",Countries!$D$5:$D$434,$A126)=0,"",SUMIFS(Countries!$Q$5:$Q$434,Countries!$A$5:$A$434,"All landing pages",Countries!$B$5:$B$434,"Organic",Countries!$C$5:$C$434,"Desktop",Countries!$D$5:$D$434,$A126))</f>
        <v/>
      </c>
      <c r="H126" s="42">
        <f>IF(OR(F126="",G126="",G126=0,F126=0),"",G126/F126-1)</f>
        <v/>
      </c>
      <c r="I126" s="41">
        <f>IF(SUMIFS(Countries!$AR$5:$AR$434,Countries!$A$5:$A$434,"All landing pages",Countries!$B$5:$B$434,"Organic",Countries!$C$5:$C$434,"Desktop",Countries!$D$5:$D$434,$A126)=0,"",SUMIFS(Countries!$AR$5:$AR$434,Countries!$A$5:$A$434,"All landing pages",Countries!$B$5:$B$434,"Organic",Countries!$C$5:$C$434,"Desktop",Countries!$D$5:$D$434,$A126))</f>
        <v/>
      </c>
      <c r="J126" s="41">
        <f>IF(SUMIFS(Countries!$AS$5:$AS$434,Countries!$A$5:$A$434,"All landing pages",Countries!$B$5:$B$434,"Organic",Countries!$C$5:$C$434,"Desktop",Countries!$D$5:$D$434,$A126)=0,"",SUMIFS(Countries!$AS$5:$AS$434,Countries!$A$5:$A$434,"All landing pages",Countries!$B$5:$B$434,"Organic",Countries!$C$5:$C$434,"Desktop",Countries!$D$5:$D$434,$A126))</f>
        <v/>
      </c>
      <c r="K126" s="42">
        <f>IF(OR(I126="",J126="",J126=0,I126=0),"",J126/I126-1)</f>
        <v/>
      </c>
      <c r="L126" s="43">
        <f>IF(SUMIFS(Countries!$E$5:$E$434,Countries!$A$5:$A$434,"All landing pages",Countries!$B$5:$B$434,"Organic",Countries!$C$5:$C$434,"Desktop",Countries!$D$5:$D$434,$A126,Countries!$P$5:$P$434,"&gt;0")=0,"",SUMIFS(Countries!$P$5:$P$434,Countries!$A$5:$A$434,"All landing pages",Countries!$B$5:$B$434,"Organic",Countries!$C$5:$C$434,"Desktop",Countries!$D$5:$D$434,$A126,Countries!$E$5:$E$434,"&gt;0")/SUMIFS(Countries!$E$5:$E$434,Countries!$A$5:$A$434,"All landing pages",Countries!$B$5:$B$434,"Organic",Countries!$C$5:$C$434,"Desktop",Countries!$D$5:$D$434,$A126,Countries!$P$5:$P$434,"&gt;0"))</f>
        <v/>
      </c>
      <c r="M126" s="43">
        <f>IF(SUMIFS(Countries!$F$5:$F$434,Countries!$A$5:$A$434,"All landing pages",Countries!$B$5:$B$434,"Organic",Countries!$C$5:$C$434,"Desktop",Countries!$D$5:$D$434,$A126,Countries!$Q$5:$Q$434,"&gt;0")=0,"",SUMIFS(Countries!$Q$5:$Q$434,Countries!$A$5:$A$434,"All landing pages",Countries!$B$5:$B$434,"Organic",Countries!$C$5:$C$434,"Desktop",Countries!$D$5:$D$434,$A126,Countries!$F$5:$F$434,"&gt;0")/SUMIFS(Countries!$F$5:$F$434,Countries!$A$5:$A$434,"All landing pages",Countries!$B$5:$B$434,"Organic",Countries!$C$5:$C$434,"Desktop",Countries!$D$5:$D$434,$A126,Countries!$Q$5:$Q$434,"&gt;0"))</f>
        <v/>
      </c>
      <c r="N126" s="44">
        <f>IF(OR(L126="",M126=""),"",(M126-L126)*100)</f>
        <v/>
      </c>
      <c r="O126" s="45">
        <f>IF(SUMIFS(Countries!$P$5:$P$434,Countries!$A$5:$A$434,"All landing pages",Countries!$B$5:$B$434,"Organic",Countries!$C$5:$C$434,"Desktop",Countries!$D$5:$D$434,$A126,Countries!$AR$5:$AR$434,"&gt;0")=0,"",SUMIFS(Countries!$AR$5:$AR$434,Countries!$A$5:$A$434,"All landing pages",Countries!$B$5:$B$434,"Organic",Countries!$C$5:$C$434,"Desktop",Countries!$D$5:$D$434,$A126,Countries!$P$5:$P$434,"&gt;0")/SUMIFS(Countries!$P$5:$P$434,Countries!$A$5:$A$434,"All landing pages",Countries!$B$5:$B$434,"Organic",Countries!$C$5:$C$434,"Desktop",Countries!$D$5:$D$434,$A126,Countries!$AR$5:$AR$434,"&gt;0"))</f>
        <v/>
      </c>
      <c r="P126" s="45">
        <f>IF(SUMIFS(Countries!$Q$5:$Q$434,Countries!$A$5:$A$434,"All landing pages",Countries!$B$5:$B$434,"Organic",Countries!$C$5:$C$434,"Desktop",Countries!$D$5:$D$434,$A126,Countries!$AS$5:$AS$434,"&gt;0")=0,"",SUMIFS(Countries!$AS$5:$AS$434,Countries!$A$5:$A$434,"All landing pages",Countries!$B$5:$B$434,"Organic",Countries!$C$5:$C$434,"Desktop",Countries!$D$5:$D$434,$A126,Countries!$Q$5:$Q$434,"&gt;0")/SUMIFS(Countries!$Q$5:$Q$434,Countries!$A$5:$A$434,"All landing pages",Countries!$B$5:$B$434,"Organic",Countries!$C$5:$C$434,"Desktop",Countries!$D$5:$D$434,$A126,Countries!$AS$5:$AS$434,"&gt;0"))</f>
        <v/>
      </c>
      <c r="Q126" s="44">
        <f>IF(OR(O126="",P126=""),"",(P126-O126)*100)</f>
        <v/>
      </c>
      <c r="R126" s="45">
        <f>IF(SUMIFS(Countries!$E$5:$E$434,Countries!$A$5:$A$434,"All landing pages",Countries!$B$5:$B$434,"Organic",Countries!$C$5:$C$434,"Desktop",Countries!$D$5:$D$434,$A126,Countries!$AR$5:$AR$434,"&gt;0")=0,"",SUMIFS(Countries!$AR$5:$AR$434,Countries!$A$5:$A$434,"All landing pages",Countries!$B$5:$B$434,"Organic",Countries!$C$5:$C$434,"Desktop",Countries!$D$5:$D$434,$A126,Countries!$E$5:$E$434,"&gt;0")/SUMIFS(Countries!$E$5:$E$434,Countries!$A$5:$A$434,"All landing pages",Countries!$B$5:$B$434,"Organic",Countries!$C$5:$C$434,"Desktop",Countries!$D$5:$D$434,$A126,Countries!$AR$5:$AR$434,"&gt;0"))</f>
        <v/>
      </c>
      <c r="S126" s="45">
        <f>IF(SUMIFS(Countries!$F$5:$F$434,Countries!$A$5:$A$434,"All landing pages",Countries!$B$5:$B$434,"Organic",Countries!$C$5:$C$434,"Desktop",Countries!$D$5:$D$434,$A126,Countries!$AS$5:$AS$434,"&gt;0")=0,"",SUMIFS(Countries!$AS$5:$AS$434,Countries!$A$5:$A$434,"All landing pages",Countries!$B$5:$B$434,"Organic",Countries!$C$5:$C$434,"Desktop",Countries!$D$5:$D$434,$A126,Countries!$F$5:$F$434,"&gt;0")/SUMIFS(Countries!$F$5:$F$434,Countries!$A$5:$A$434,"All landing pages",Countries!$B$5:$B$434,"Organic",Countries!$C$5:$C$434,"Desktop",Countries!$D$5:$D$434,$A126,Countries!$AS$5:$AS$434,"&gt;0"))</f>
        <v/>
      </c>
      <c r="T126" s="44">
        <f>IF(OR(R126="",S126=""),"",(S126-R126)*100)</f>
        <v/>
      </c>
    </row>
    <row r="127">
      <c r="A127" s="40" t="inlineStr">
        <is>
          <t>Austria</t>
        </is>
      </c>
      <c r="B127" s="40" t="inlineStr">
        <is>
          <t>Organic</t>
        </is>
      </c>
      <c r="C127" s="41">
        <f>IF(SUMIFS(Countries!$E$5:$E$434,Countries!$A$5:$A$434,"All landing pages",Countries!$B$5:$B$434,"Organic",Countries!$C$5:$C$434,"Desktop",Countries!$D$5:$D$434,$A127)=0,"",SUMIFS(Countries!$E$5:$E$434,Countries!$A$5:$A$434,"All landing pages",Countries!$B$5:$B$434,"Organic",Countries!$C$5:$C$434,"Desktop",Countries!$D$5:$D$434,$A127))</f>
        <v/>
      </c>
      <c r="D127" s="41">
        <f>IF(SUMIFS(Countries!$F$5:$F$434,Countries!$A$5:$A$434,"All landing pages",Countries!$B$5:$B$434,"Organic",Countries!$C$5:$C$434,"Desktop",Countries!$D$5:$D$434,$A127)=0,"",SUMIFS(Countries!$F$5:$F$434,Countries!$A$5:$A$434,"All landing pages",Countries!$B$5:$B$434,"Organic",Countries!$C$5:$C$434,"Desktop",Countries!$D$5:$D$434,$A127))</f>
        <v/>
      </c>
      <c r="E127" s="42">
        <f>IF(OR(C127="",D127="",D127=0,C127=0),"",D127/C127-1)</f>
        <v/>
      </c>
      <c r="F127" s="41">
        <f>IF(SUMIFS(Countries!$P$5:$P$434,Countries!$A$5:$A$434,"All landing pages",Countries!$B$5:$B$434,"Organic",Countries!$C$5:$C$434,"Desktop",Countries!$D$5:$D$434,$A127)=0,"",SUMIFS(Countries!$P$5:$P$434,Countries!$A$5:$A$434,"All landing pages",Countries!$B$5:$B$434,"Organic",Countries!$C$5:$C$434,"Desktop",Countries!$D$5:$D$434,$A127))</f>
        <v/>
      </c>
      <c r="G127" s="41">
        <f>IF(SUMIFS(Countries!$Q$5:$Q$434,Countries!$A$5:$A$434,"All landing pages",Countries!$B$5:$B$434,"Organic",Countries!$C$5:$C$434,"Desktop",Countries!$D$5:$D$434,$A127)=0,"",SUMIFS(Countries!$Q$5:$Q$434,Countries!$A$5:$A$434,"All landing pages",Countries!$B$5:$B$434,"Organic",Countries!$C$5:$C$434,"Desktop",Countries!$D$5:$D$434,$A127))</f>
        <v/>
      </c>
      <c r="H127" s="42">
        <f>IF(OR(F127="",G127="",G127=0,F127=0),"",G127/F127-1)</f>
        <v/>
      </c>
      <c r="I127" s="41">
        <f>IF(SUMIFS(Countries!$AR$5:$AR$434,Countries!$A$5:$A$434,"All landing pages",Countries!$B$5:$B$434,"Organic",Countries!$C$5:$C$434,"Desktop",Countries!$D$5:$D$434,$A127)=0,"",SUMIFS(Countries!$AR$5:$AR$434,Countries!$A$5:$A$434,"All landing pages",Countries!$B$5:$B$434,"Organic",Countries!$C$5:$C$434,"Desktop",Countries!$D$5:$D$434,$A127))</f>
        <v/>
      </c>
      <c r="J127" s="41">
        <f>IF(SUMIFS(Countries!$AS$5:$AS$434,Countries!$A$5:$A$434,"All landing pages",Countries!$B$5:$B$434,"Organic",Countries!$C$5:$C$434,"Desktop",Countries!$D$5:$D$434,$A127)=0,"",SUMIFS(Countries!$AS$5:$AS$434,Countries!$A$5:$A$434,"All landing pages",Countries!$B$5:$B$434,"Organic",Countries!$C$5:$C$434,"Desktop",Countries!$D$5:$D$434,$A127))</f>
        <v/>
      </c>
      <c r="K127" s="42">
        <f>IF(OR(I127="",J127="",J127=0,I127=0),"",J127/I127-1)</f>
        <v/>
      </c>
      <c r="L127" s="43">
        <f>IF(SUMIFS(Countries!$E$5:$E$434,Countries!$A$5:$A$434,"All landing pages",Countries!$B$5:$B$434,"Organic",Countries!$C$5:$C$434,"Desktop",Countries!$D$5:$D$434,$A127,Countries!$P$5:$P$434,"&gt;0")=0,"",SUMIFS(Countries!$P$5:$P$434,Countries!$A$5:$A$434,"All landing pages",Countries!$B$5:$B$434,"Organic",Countries!$C$5:$C$434,"Desktop",Countries!$D$5:$D$434,$A127,Countries!$E$5:$E$434,"&gt;0")/SUMIFS(Countries!$E$5:$E$434,Countries!$A$5:$A$434,"All landing pages",Countries!$B$5:$B$434,"Organic",Countries!$C$5:$C$434,"Desktop",Countries!$D$5:$D$434,$A127,Countries!$P$5:$P$434,"&gt;0"))</f>
        <v/>
      </c>
      <c r="M127" s="43">
        <f>IF(SUMIFS(Countries!$F$5:$F$434,Countries!$A$5:$A$434,"All landing pages",Countries!$B$5:$B$434,"Organic",Countries!$C$5:$C$434,"Desktop",Countries!$D$5:$D$434,$A127,Countries!$Q$5:$Q$434,"&gt;0")=0,"",SUMIFS(Countries!$Q$5:$Q$434,Countries!$A$5:$A$434,"All landing pages",Countries!$B$5:$B$434,"Organic",Countries!$C$5:$C$434,"Desktop",Countries!$D$5:$D$434,$A127,Countries!$F$5:$F$434,"&gt;0")/SUMIFS(Countries!$F$5:$F$434,Countries!$A$5:$A$434,"All landing pages",Countries!$B$5:$B$434,"Organic",Countries!$C$5:$C$434,"Desktop",Countries!$D$5:$D$434,$A127,Countries!$Q$5:$Q$434,"&gt;0"))</f>
        <v/>
      </c>
      <c r="N127" s="44">
        <f>IF(OR(L127="",M127=""),"",(M127-L127)*100)</f>
        <v/>
      </c>
      <c r="O127" s="45">
        <f>IF(SUMIFS(Countries!$P$5:$P$434,Countries!$A$5:$A$434,"All landing pages",Countries!$B$5:$B$434,"Organic",Countries!$C$5:$C$434,"Desktop",Countries!$D$5:$D$434,$A127,Countries!$AR$5:$AR$434,"&gt;0")=0,"",SUMIFS(Countries!$AR$5:$AR$434,Countries!$A$5:$A$434,"All landing pages",Countries!$B$5:$B$434,"Organic",Countries!$C$5:$C$434,"Desktop",Countries!$D$5:$D$434,$A127,Countries!$P$5:$P$434,"&gt;0")/SUMIFS(Countries!$P$5:$P$434,Countries!$A$5:$A$434,"All landing pages",Countries!$B$5:$B$434,"Organic",Countries!$C$5:$C$434,"Desktop",Countries!$D$5:$D$434,$A127,Countries!$AR$5:$AR$434,"&gt;0"))</f>
        <v/>
      </c>
      <c r="P127" s="45">
        <f>IF(SUMIFS(Countries!$Q$5:$Q$434,Countries!$A$5:$A$434,"All landing pages",Countries!$B$5:$B$434,"Organic",Countries!$C$5:$C$434,"Desktop",Countries!$D$5:$D$434,$A127,Countries!$AS$5:$AS$434,"&gt;0")=0,"",SUMIFS(Countries!$AS$5:$AS$434,Countries!$A$5:$A$434,"All landing pages",Countries!$B$5:$B$434,"Organic",Countries!$C$5:$C$434,"Desktop",Countries!$D$5:$D$434,$A127,Countries!$Q$5:$Q$434,"&gt;0")/SUMIFS(Countries!$Q$5:$Q$434,Countries!$A$5:$A$434,"All landing pages",Countries!$B$5:$B$434,"Organic",Countries!$C$5:$C$434,"Desktop",Countries!$D$5:$D$434,$A127,Countries!$AS$5:$AS$434,"&gt;0"))</f>
        <v/>
      </c>
      <c r="Q127" s="44">
        <f>IF(OR(O127="",P127=""),"",(P127-O127)*100)</f>
        <v/>
      </c>
      <c r="R127" s="45">
        <f>IF(SUMIFS(Countries!$E$5:$E$434,Countries!$A$5:$A$434,"All landing pages",Countries!$B$5:$B$434,"Organic",Countries!$C$5:$C$434,"Desktop",Countries!$D$5:$D$434,$A127,Countries!$AR$5:$AR$434,"&gt;0")=0,"",SUMIFS(Countries!$AR$5:$AR$434,Countries!$A$5:$A$434,"All landing pages",Countries!$B$5:$B$434,"Organic",Countries!$C$5:$C$434,"Desktop",Countries!$D$5:$D$434,$A127,Countries!$E$5:$E$434,"&gt;0")/SUMIFS(Countries!$E$5:$E$434,Countries!$A$5:$A$434,"All landing pages",Countries!$B$5:$B$434,"Organic",Countries!$C$5:$C$434,"Desktop",Countries!$D$5:$D$434,$A127,Countries!$AR$5:$AR$434,"&gt;0"))</f>
        <v/>
      </c>
      <c r="S127" s="45">
        <f>IF(SUMIFS(Countries!$F$5:$F$434,Countries!$A$5:$A$434,"All landing pages",Countries!$B$5:$B$434,"Organic",Countries!$C$5:$C$434,"Desktop",Countries!$D$5:$D$434,$A127,Countries!$AS$5:$AS$434,"&gt;0")=0,"",SUMIFS(Countries!$AS$5:$AS$434,Countries!$A$5:$A$434,"All landing pages",Countries!$B$5:$B$434,"Organic",Countries!$C$5:$C$434,"Desktop",Countries!$D$5:$D$434,$A127,Countries!$F$5:$F$434,"&gt;0")/SUMIFS(Countries!$F$5:$F$434,Countries!$A$5:$A$434,"All landing pages",Countries!$B$5:$B$434,"Organic",Countries!$C$5:$C$434,"Desktop",Countries!$D$5:$D$434,$A127,Countries!$AS$5:$AS$434,"&gt;0"))</f>
        <v/>
      </c>
      <c r="T127" s="44">
        <f>IF(OR(R127="",S127=""),"",(S127-R127)*100)</f>
        <v/>
      </c>
    </row>
    <row r="128">
      <c r="A128" s="40" t="inlineStr">
        <is>
          <t>Norway</t>
        </is>
      </c>
      <c r="B128" s="40" t="inlineStr">
        <is>
          <t>Organic</t>
        </is>
      </c>
      <c r="C128" s="41">
        <f>IF(SUMIFS(Countries!$E$5:$E$434,Countries!$A$5:$A$434,"All landing pages",Countries!$B$5:$B$434,"Organic",Countries!$C$5:$C$434,"Desktop",Countries!$D$5:$D$434,$A128)=0,"",SUMIFS(Countries!$E$5:$E$434,Countries!$A$5:$A$434,"All landing pages",Countries!$B$5:$B$434,"Organic",Countries!$C$5:$C$434,"Desktop",Countries!$D$5:$D$434,$A128))</f>
        <v/>
      </c>
      <c r="D128" s="41">
        <f>IF(SUMIFS(Countries!$F$5:$F$434,Countries!$A$5:$A$434,"All landing pages",Countries!$B$5:$B$434,"Organic",Countries!$C$5:$C$434,"Desktop",Countries!$D$5:$D$434,$A128)=0,"",SUMIFS(Countries!$F$5:$F$434,Countries!$A$5:$A$434,"All landing pages",Countries!$B$5:$B$434,"Organic",Countries!$C$5:$C$434,"Desktop",Countries!$D$5:$D$434,$A128))</f>
        <v/>
      </c>
      <c r="E128" s="42">
        <f>IF(OR(C128="",D128="",D128=0,C128=0),"",D128/C128-1)</f>
        <v/>
      </c>
      <c r="F128" s="41">
        <f>IF(SUMIFS(Countries!$P$5:$P$434,Countries!$A$5:$A$434,"All landing pages",Countries!$B$5:$B$434,"Organic",Countries!$C$5:$C$434,"Desktop",Countries!$D$5:$D$434,$A128)=0,"",SUMIFS(Countries!$P$5:$P$434,Countries!$A$5:$A$434,"All landing pages",Countries!$B$5:$B$434,"Organic",Countries!$C$5:$C$434,"Desktop",Countries!$D$5:$D$434,$A128))</f>
        <v/>
      </c>
      <c r="G128" s="41">
        <f>IF(SUMIFS(Countries!$Q$5:$Q$434,Countries!$A$5:$A$434,"All landing pages",Countries!$B$5:$B$434,"Organic",Countries!$C$5:$C$434,"Desktop",Countries!$D$5:$D$434,$A128)=0,"",SUMIFS(Countries!$Q$5:$Q$434,Countries!$A$5:$A$434,"All landing pages",Countries!$B$5:$B$434,"Organic",Countries!$C$5:$C$434,"Desktop",Countries!$D$5:$D$434,$A128))</f>
        <v/>
      </c>
      <c r="H128" s="42">
        <f>IF(OR(F128="",G128="",G128=0,F128=0),"",G128/F128-1)</f>
        <v/>
      </c>
      <c r="I128" s="41">
        <f>IF(SUMIFS(Countries!$AR$5:$AR$434,Countries!$A$5:$A$434,"All landing pages",Countries!$B$5:$B$434,"Organic",Countries!$C$5:$C$434,"Desktop",Countries!$D$5:$D$434,$A128)=0,"",SUMIFS(Countries!$AR$5:$AR$434,Countries!$A$5:$A$434,"All landing pages",Countries!$B$5:$B$434,"Organic",Countries!$C$5:$C$434,"Desktop",Countries!$D$5:$D$434,$A128))</f>
        <v/>
      </c>
      <c r="J128" s="41">
        <f>IF(SUMIFS(Countries!$AS$5:$AS$434,Countries!$A$5:$A$434,"All landing pages",Countries!$B$5:$B$434,"Organic",Countries!$C$5:$C$434,"Desktop",Countries!$D$5:$D$434,$A128)=0,"",SUMIFS(Countries!$AS$5:$AS$434,Countries!$A$5:$A$434,"All landing pages",Countries!$B$5:$B$434,"Organic",Countries!$C$5:$C$434,"Desktop",Countries!$D$5:$D$434,$A128))</f>
        <v/>
      </c>
      <c r="K128" s="42">
        <f>IF(OR(I128="",J128="",J128=0,I128=0),"",J128/I128-1)</f>
        <v/>
      </c>
      <c r="L128" s="43">
        <f>IF(SUMIFS(Countries!$E$5:$E$434,Countries!$A$5:$A$434,"All landing pages",Countries!$B$5:$B$434,"Organic",Countries!$C$5:$C$434,"Desktop",Countries!$D$5:$D$434,$A128,Countries!$P$5:$P$434,"&gt;0")=0,"",SUMIFS(Countries!$P$5:$P$434,Countries!$A$5:$A$434,"All landing pages",Countries!$B$5:$B$434,"Organic",Countries!$C$5:$C$434,"Desktop",Countries!$D$5:$D$434,$A128,Countries!$E$5:$E$434,"&gt;0")/SUMIFS(Countries!$E$5:$E$434,Countries!$A$5:$A$434,"All landing pages",Countries!$B$5:$B$434,"Organic",Countries!$C$5:$C$434,"Desktop",Countries!$D$5:$D$434,$A128,Countries!$P$5:$P$434,"&gt;0"))</f>
        <v/>
      </c>
      <c r="M128" s="43">
        <f>IF(SUMIFS(Countries!$F$5:$F$434,Countries!$A$5:$A$434,"All landing pages",Countries!$B$5:$B$434,"Organic",Countries!$C$5:$C$434,"Desktop",Countries!$D$5:$D$434,$A128,Countries!$Q$5:$Q$434,"&gt;0")=0,"",SUMIFS(Countries!$Q$5:$Q$434,Countries!$A$5:$A$434,"All landing pages",Countries!$B$5:$B$434,"Organic",Countries!$C$5:$C$434,"Desktop",Countries!$D$5:$D$434,$A128,Countries!$F$5:$F$434,"&gt;0")/SUMIFS(Countries!$F$5:$F$434,Countries!$A$5:$A$434,"All landing pages",Countries!$B$5:$B$434,"Organic",Countries!$C$5:$C$434,"Desktop",Countries!$D$5:$D$434,$A128,Countries!$Q$5:$Q$434,"&gt;0"))</f>
        <v/>
      </c>
      <c r="N128" s="44">
        <f>IF(OR(L128="",M128=""),"",(M128-L128)*100)</f>
        <v/>
      </c>
      <c r="O128" s="45">
        <f>IF(SUMIFS(Countries!$P$5:$P$434,Countries!$A$5:$A$434,"All landing pages",Countries!$B$5:$B$434,"Organic",Countries!$C$5:$C$434,"Desktop",Countries!$D$5:$D$434,$A128,Countries!$AR$5:$AR$434,"&gt;0")=0,"",SUMIFS(Countries!$AR$5:$AR$434,Countries!$A$5:$A$434,"All landing pages",Countries!$B$5:$B$434,"Organic",Countries!$C$5:$C$434,"Desktop",Countries!$D$5:$D$434,$A128,Countries!$P$5:$P$434,"&gt;0")/SUMIFS(Countries!$P$5:$P$434,Countries!$A$5:$A$434,"All landing pages",Countries!$B$5:$B$434,"Organic",Countries!$C$5:$C$434,"Desktop",Countries!$D$5:$D$434,$A128,Countries!$AR$5:$AR$434,"&gt;0"))</f>
        <v/>
      </c>
      <c r="P128" s="45">
        <f>IF(SUMIFS(Countries!$Q$5:$Q$434,Countries!$A$5:$A$434,"All landing pages",Countries!$B$5:$B$434,"Organic",Countries!$C$5:$C$434,"Desktop",Countries!$D$5:$D$434,$A128,Countries!$AS$5:$AS$434,"&gt;0")=0,"",SUMIFS(Countries!$AS$5:$AS$434,Countries!$A$5:$A$434,"All landing pages",Countries!$B$5:$B$434,"Organic",Countries!$C$5:$C$434,"Desktop",Countries!$D$5:$D$434,$A128,Countries!$Q$5:$Q$434,"&gt;0")/SUMIFS(Countries!$Q$5:$Q$434,Countries!$A$5:$A$434,"All landing pages",Countries!$B$5:$B$434,"Organic",Countries!$C$5:$C$434,"Desktop",Countries!$D$5:$D$434,$A128,Countries!$AS$5:$AS$434,"&gt;0"))</f>
        <v/>
      </c>
      <c r="Q128" s="44">
        <f>IF(OR(O128="",P128=""),"",(P128-O128)*100)</f>
        <v/>
      </c>
      <c r="R128" s="45">
        <f>IF(SUMIFS(Countries!$E$5:$E$434,Countries!$A$5:$A$434,"All landing pages",Countries!$B$5:$B$434,"Organic",Countries!$C$5:$C$434,"Desktop",Countries!$D$5:$D$434,$A128,Countries!$AR$5:$AR$434,"&gt;0")=0,"",SUMIFS(Countries!$AR$5:$AR$434,Countries!$A$5:$A$434,"All landing pages",Countries!$B$5:$B$434,"Organic",Countries!$C$5:$C$434,"Desktop",Countries!$D$5:$D$434,$A128,Countries!$E$5:$E$434,"&gt;0")/SUMIFS(Countries!$E$5:$E$434,Countries!$A$5:$A$434,"All landing pages",Countries!$B$5:$B$434,"Organic",Countries!$C$5:$C$434,"Desktop",Countries!$D$5:$D$434,$A128,Countries!$AR$5:$AR$434,"&gt;0"))</f>
        <v/>
      </c>
      <c r="S128" s="45">
        <f>IF(SUMIFS(Countries!$F$5:$F$434,Countries!$A$5:$A$434,"All landing pages",Countries!$B$5:$B$434,"Organic",Countries!$C$5:$C$434,"Desktop",Countries!$D$5:$D$434,$A128,Countries!$AS$5:$AS$434,"&gt;0")=0,"",SUMIFS(Countries!$AS$5:$AS$434,Countries!$A$5:$A$434,"All landing pages",Countries!$B$5:$B$434,"Organic",Countries!$C$5:$C$434,"Desktop",Countries!$D$5:$D$434,$A128,Countries!$F$5:$F$434,"&gt;0")/SUMIFS(Countries!$F$5:$F$434,Countries!$A$5:$A$434,"All landing pages",Countries!$B$5:$B$434,"Organic",Countries!$C$5:$C$434,"Desktop",Countries!$D$5:$D$434,$A128,Countries!$AS$5:$AS$434,"&gt;0"))</f>
        <v/>
      </c>
      <c r="T128" s="44">
        <f>IF(OR(R128="",S128=""),"",(S128-R128)*100)</f>
        <v/>
      </c>
    </row>
    <row r="129">
      <c r="A129" s="40" t="inlineStr">
        <is>
          <t>Finland</t>
        </is>
      </c>
      <c r="B129" s="40" t="inlineStr">
        <is>
          <t>Organic</t>
        </is>
      </c>
      <c r="C129" s="41">
        <f>IF(SUMIFS(Countries!$E$5:$E$434,Countries!$A$5:$A$434,"All landing pages",Countries!$B$5:$B$434,"Organic",Countries!$C$5:$C$434,"Desktop",Countries!$D$5:$D$434,$A129)=0,"",SUMIFS(Countries!$E$5:$E$434,Countries!$A$5:$A$434,"All landing pages",Countries!$B$5:$B$434,"Organic",Countries!$C$5:$C$434,"Desktop",Countries!$D$5:$D$434,$A129))</f>
        <v/>
      </c>
      <c r="D129" s="41">
        <f>IF(SUMIFS(Countries!$F$5:$F$434,Countries!$A$5:$A$434,"All landing pages",Countries!$B$5:$B$434,"Organic",Countries!$C$5:$C$434,"Desktop",Countries!$D$5:$D$434,$A129)=0,"",SUMIFS(Countries!$F$5:$F$434,Countries!$A$5:$A$434,"All landing pages",Countries!$B$5:$B$434,"Organic",Countries!$C$5:$C$434,"Desktop",Countries!$D$5:$D$434,$A129))</f>
        <v/>
      </c>
      <c r="E129" s="42">
        <f>IF(OR(C129="",D129="",D129=0,C129=0),"",D129/C129-1)</f>
        <v/>
      </c>
      <c r="F129" s="41">
        <f>IF(SUMIFS(Countries!$P$5:$P$434,Countries!$A$5:$A$434,"All landing pages",Countries!$B$5:$B$434,"Organic",Countries!$C$5:$C$434,"Desktop",Countries!$D$5:$D$434,$A129)=0,"",SUMIFS(Countries!$P$5:$P$434,Countries!$A$5:$A$434,"All landing pages",Countries!$B$5:$B$434,"Organic",Countries!$C$5:$C$434,"Desktop",Countries!$D$5:$D$434,$A129))</f>
        <v/>
      </c>
      <c r="G129" s="41">
        <f>IF(SUMIFS(Countries!$Q$5:$Q$434,Countries!$A$5:$A$434,"All landing pages",Countries!$B$5:$B$434,"Organic",Countries!$C$5:$C$434,"Desktop",Countries!$D$5:$D$434,$A129)=0,"",SUMIFS(Countries!$Q$5:$Q$434,Countries!$A$5:$A$434,"All landing pages",Countries!$B$5:$B$434,"Organic",Countries!$C$5:$C$434,"Desktop",Countries!$D$5:$D$434,$A129))</f>
        <v/>
      </c>
      <c r="H129" s="42">
        <f>IF(OR(F129="",G129="",G129=0,F129=0),"",G129/F129-1)</f>
        <v/>
      </c>
      <c r="I129" s="41">
        <f>IF(SUMIFS(Countries!$AR$5:$AR$434,Countries!$A$5:$A$434,"All landing pages",Countries!$B$5:$B$434,"Organic",Countries!$C$5:$C$434,"Desktop",Countries!$D$5:$D$434,$A129)=0,"",SUMIFS(Countries!$AR$5:$AR$434,Countries!$A$5:$A$434,"All landing pages",Countries!$B$5:$B$434,"Organic",Countries!$C$5:$C$434,"Desktop",Countries!$D$5:$D$434,$A129))</f>
        <v/>
      </c>
      <c r="J129" s="41">
        <f>IF(SUMIFS(Countries!$AS$5:$AS$434,Countries!$A$5:$A$434,"All landing pages",Countries!$B$5:$B$434,"Organic",Countries!$C$5:$C$434,"Desktop",Countries!$D$5:$D$434,$A129)=0,"",SUMIFS(Countries!$AS$5:$AS$434,Countries!$A$5:$A$434,"All landing pages",Countries!$B$5:$B$434,"Organic",Countries!$C$5:$C$434,"Desktop",Countries!$D$5:$D$434,$A129))</f>
        <v/>
      </c>
      <c r="K129" s="42">
        <f>IF(OR(I129="",J129="",J129=0,I129=0),"",J129/I129-1)</f>
        <v/>
      </c>
      <c r="L129" s="43">
        <f>IF(SUMIFS(Countries!$E$5:$E$434,Countries!$A$5:$A$434,"All landing pages",Countries!$B$5:$B$434,"Organic",Countries!$C$5:$C$434,"Desktop",Countries!$D$5:$D$434,$A129,Countries!$P$5:$P$434,"&gt;0")=0,"",SUMIFS(Countries!$P$5:$P$434,Countries!$A$5:$A$434,"All landing pages",Countries!$B$5:$B$434,"Organic",Countries!$C$5:$C$434,"Desktop",Countries!$D$5:$D$434,$A129,Countries!$E$5:$E$434,"&gt;0")/SUMIFS(Countries!$E$5:$E$434,Countries!$A$5:$A$434,"All landing pages",Countries!$B$5:$B$434,"Organic",Countries!$C$5:$C$434,"Desktop",Countries!$D$5:$D$434,$A129,Countries!$P$5:$P$434,"&gt;0"))</f>
        <v/>
      </c>
      <c r="M129" s="43">
        <f>IF(SUMIFS(Countries!$F$5:$F$434,Countries!$A$5:$A$434,"All landing pages",Countries!$B$5:$B$434,"Organic",Countries!$C$5:$C$434,"Desktop",Countries!$D$5:$D$434,$A129,Countries!$Q$5:$Q$434,"&gt;0")=0,"",SUMIFS(Countries!$Q$5:$Q$434,Countries!$A$5:$A$434,"All landing pages",Countries!$B$5:$B$434,"Organic",Countries!$C$5:$C$434,"Desktop",Countries!$D$5:$D$434,$A129,Countries!$F$5:$F$434,"&gt;0")/SUMIFS(Countries!$F$5:$F$434,Countries!$A$5:$A$434,"All landing pages",Countries!$B$5:$B$434,"Organic",Countries!$C$5:$C$434,"Desktop",Countries!$D$5:$D$434,$A129,Countries!$Q$5:$Q$434,"&gt;0"))</f>
        <v/>
      </c>
      <c r="N129" s="44">
        <f>IF(OR(L129="",M129=""),"",(M129-L129)*100)</f>
        <v/>
      </c>
      <c r="O129" s="45">
        <f>IF(SUMIFS(Countries!$P$5:$P$434,Countries!$A$5:$A$434,"All landing pages",Countries!$B$5:$B$434,"Organic",Countries!$C$5:$C$434,"Desktop",Countries!$D$5:$D$434,$A129,Countries!$AR$5:$AR$434,"&gt;0")=0,"",SUMIFS(Countries!$AR$5:$AR$434,Countries!$A$5:$A$434,"All landing pages",Countries!$B$5:$B$434,"Organic",Countries!$C$5:$C$434,"Desktop",Countries!$D$5:$D$434,$A129,Countries!$P$5:$P$434,"&gt;0")/SUMIFS(Countries!$P$5:$P$434,Countries!$A$5:$A$434,"All landing pages",Countries!$B$5:$B$434,"Organic",Countries!$C$5:$C$434,"Desktop",Countries!$D$5:$D$434,$A129,Countries!$AR$5:$AR$434,"&gt;0"))</f>
        <v/>
      </c>
      <c r="P129" s="45">
        <f>IF(SUMIFS(Countries!$Q$5:$Q$434,Countries!$A$5:$A$434,"All landing pages",Countries!$B$5:$B$434,"Organic",Countries!$C$5:$C$434,"Desktop",Countries!$D$5:$D$434,$A129,Countries!$AS$5:$AS$434,"&gt;0")=0,"",SUMIFS(Countries!$AS$5:$AS$434,Countries!$A$5:$A$434,"All landing pages",Countries!$B$5:$B$434,"Organic",Countries!$C$5:$C$434,"Desktop",Countries!$D$5:$D$434,$A129,Countries!$Q$5:$Q$434,"&gt;0")/SUMIFS(Countries!$Q$5:$Q$434,Countries!$A$5:$A$434,"All landing pages",Countries!$B$5:$B$434,"Organic",Countries!$C$5:$C$434,"Desktop",Countries!$D$5:$D$434,$A129,Countries!$AS$5:$AS$434,"&gt;0"))</f>
        <v/>
      </c>
      <c r="Q129" s="44">
        <f>IF(OR(O129="",P129=""),"",(P129-O129)*100)</f>
        <v/>
      </c>
      <c r="R129" s="45">
        <f>IF(SUMIFS(Countries!$E$5:$E$434,Countries!$A$5:$A$434,"All landing pages",Countries!$B$5:$B$434,"Organic",Countries!$C$5:$C$434,"Desktop",Countries!$D$5:$D$434,$A129,Countries!$AR$5:$AR$434,"&gt;0")=0,"",SUMIFS(Countries!$AR$5:$AR$434,Countries!$A$5:$A$434,"All landing pages",Countries!$B$5:$B$434,"Organic",Countries!$C$5:$C$434,"Desktop",Countries!$D$5:$D$434,$A129,Countries!$E$5:$E$434,"&gt;0")/SUMIFS(Countries!$E$5:$E$434,Countries!$A$5:$A$434,"All landing pages",Countries!$B$5:$B$434,"Organic",Countries!$C$5:$C$434,"Desktop",Countries!$D$5:$D$434,$A129,Countries!$AR$5:$AR$434,"&gt;0"))</f>
        <v/>
      </c>
      <c r="S129" s="45">
        <f>IF(SUMIFS(Countries!$F$5:$F$434,Countries!$A$5:$A$434,"All landing pages",Countries!$B$5:$B$434,"Organic",Countries!$C$5:$C$434,"Desktop",Countries!$D$5:$D$434,$A129,Countries!$AS$5:$AS$434,"&gt;0")=0,"",SUMIFS(Countries!$AS$5:$AS$434,Countries!$A$5:$A$434,"All landing pages",Countries!$B$5:$B$434,"Organic",Countries!$C$5:$C$434,"Desktop",Countries!$D$5:$D$434,$A129,Countries!$F$5:$F$434,"&gt;0")/SUMIFS(Countries!$F$5:$F$434,Countries!$A$5:$A$434,"All landing pages",Countries!$B$5:$B$434,"Organic",Countries!$C$5:$C$434,"Desktop",Countries!$D$5:$D$434,$A129,Countries!$AS$5:$AS$434,"&gt;0"))</f>
        <v/>
      </c>
      <c r="T129" s="44">
        <f>IF(OR(R129="",S129=""),"",(S129-R129)*100)</f>
        <v/>
      </c>
    </row>
    <row r="130">
      <c r="A130" s="40" t="inlineStr">
        <is>
          <t>Portugal</t>
        </is>
      </c>
      <c r="B130" s="40" t="inlineStr">
        <is>
          <t>Organic</t>
        </is>
      </c>
      <c r="C130" s="41">
        <f>IF(SUMIFS(Countries!$E$5:$E$434,Countries!$A$5:$A$434,"All landing pages",Countries!$B$5:$B$434,"Organic",Countries!$C$5:$C$434,"Desktop",Countries!$D$5:$D$434,$A130)=0,"",SUMIFS(Countries!$E$5:$E$434,Countries!$A$5:$A$434,"All landing pages",Countries!$B$5:$B$434,"Organic",Countries!$C$5:$C$434,"Desktop",Countries!$D$5:$D$434,$A130))</f>
        <v/>
      </c>
      <c r="D130" s="41">
        <f>IF(SUMIFS(Countries!$F$5:$F$434,Countries!$A$5:$A$434,"All landing pages",Countries!$B$5:$B$434,"Organic",Countries!$C$5:$C$434,"Desktop",Countries!$D$5:$D$434,$A130)=0,"",SUMIFS(Countries!$F$5:$F$434,Countries!$A$5:$A$434,"All landing pages",Countries!$B$5:$B$434,"Organic",Countries!$C$5:$C$434,"Desktop",Countries!$D$5:$D$434,$A130))</f>
        <v/>
      </c>
      <c r="E130" s="42">
        <f>IF(OR(C130="",D130="",D130=0,C130=0),"",D130/C130-1)</f>
        <v/>
      </c>
      <c r="F130" s="41">
        <f>IF(SUMIFS(Countries!$P$5:$P$434,Countries!$A$5:$A$434,"All landing pages",Countries!$B$5:$B$434,"Organic",Countries!$C$5:$C$434,"Desktop",Countries!$D$5:$D$434,$A130)=0,"",SUMIFS(Countries!$P$5:$P$434,Countries!$A$5:$A$434,"All landing pages",Countries!$B$5:$B$434,"Organic",Countries!$C$5:$C$434,"Desktop",Countries!$D$5:$D$434,$A130))</f>
        <v/>
      </c>
      <c r="G130" s="41">
        <f>IF(SUMIFS(Countries!$Q$5:$Q$434,Countries!$A$5:$A$434,"All landing pages",Countries!$B$5:$B$434,"Organic",Countries!$C$5:$C$434,"Desktop",Countries!$D$5:$D$434,$A130)=0,"",SUMIFS(Countries!$Q$5:$Q$434,Countries!$A$5:$A$434,"All landing pages",Countries!$B$5:$B$434,"Organic",Countries!$C$5:$C$434,"Desktop",Countries!$D$5:$D$434,$A130))</f>
        <v/>
      </c>
      <c r="H130" s="42">
        <f>IF(OR(F130="",G130="",G130=0,F130=0),"",G130/F130-1)</f>
        <v/>
      </c>
      <c r="I130" s="41">
        <f>IF(SUMIFS(Countries!$AR$5:$AR$434,Countries!$A$5:$A$434,"All landing pages",Countries!$B$5:$B$434,"Organic",Countries!$C$5:$C$434,"Desktop",Countries!$D$5:$D$434,$A130)=0,"",SUMIFS(Countries!$AR$5:$AR$434,Countries!$A$5:$A$434,"All landing pages",Countries!$B$5:$B$434,"Organic",Countries!$C$5:$C$434,"Desktop",Countries!$D$5:$D$434,$A130))</f>
        <v/>
      </c>
      <c r="J130" s="41">
        <f>IF(SUMIFS(Countries!$AS$5:$AS$434,Countries!$A$5:$A$434,"All landing pages",Countries!$B$5:$B$434,"Organic",Countries!$C$5:$C$434,"Desktop",Countries!$D$5:$D$434,$A130)=0,"",SUMIFS(Countries!$AS$5:$AS$434,Countries!$A$5:$A$434,"All landing pages",Countries!$B$5:$B$434,"Organic",Countries!$C$5:$C$434,"Desktop",Countries!$D$5:$D$434,$A130))</f>
        <v/>
      </c>
      <c r="K130" s="42">
        <f>IF(OR(I130="",J130="",J130=0,I130=0),"",J130/I130-1)</f>
        <v/>
      </c>
      <c r="L130" s="43">
        <f>IF(SUMIFS(Countries!$E$5:$E$434,Countries!$A$5:$A$434,"All landing pages",Countries!$B$5:$B$434,"Organic",Countries!$C$5:$C$434,"Desktop",Countries!$D$5:$D$434,$A130,Countries!$P$5:$P$434,"&gt;0")=0,"",SUMIFS(Countries!$P$5:$P$434,Countries!$A$5:$A$434,"All landing pages",Countries!$B$5:$B$434,"Organic",Countries!$C$5:$C$434,"Desktop",Countries!$D$5:$D$434,$A130,Countries!$E$5:$E$434,"&gt;0")/SUMIFS(Countries!$E$5:$E$434,Countries!$A$5:$A$434,"All landing pages",Countries!$B$5:$B$434,"Organic",Countries!$C$5:$C$434,"Desktop",Countries!$D$5:$D$434,$A130,Countries!$P$5:$P$434,"&gt;0"))</f>
        <v/>
      </c>
      <c r="M130" s="43">
        <f>IF(SUMIFS(Countries!$F$5:$F$434,Countries!$A$5:$A$434,"All landing pages",Countries!$B$5:$B$434,"Organic",Countries!$C$5:$C$434,"Desktop",Countries!$D$5:$D$434,$A130,Countries!$Q$5:$Q$434,"&gt;0")=0,"",SUMIFS(Countries!$Q$5:$Q$434,Countries!$A$5:$A$434,"All landing pages",Countries!$B$5:$B$434,"Organic",Countries!$C$5:$C$434,"Desktop",Countries!$D$5:$D$434,$A130,Countries!$F$5:$F$434,"&gt;0")/SUMIFS(Countries!$F$5:$F$434,Countries!$A$5:$A$434,"All landing pages",Countries!$B$5:$B$434,"Organic",Countries!$C$5:$C$434,"Desktop",Countries!$D$5:$D$434,$A130,Countries!$Q$5:$Q$434,"&gt;0"))</f>
        <v/>
      </c>
      <c r="N130" s="44">
        <f>IF(OR(L130="",M130=""),"",(M130-L130)*100)</f>
        <v/>
      </c>
      <c r="O130" s="45">
        <f>IF(SUMIFS(Countries!$P$5:$P$434,Countries!$A$5:$A$434,"All landing pages",Countries!$B$5:$B$434,"Organic",Countries!$C$5:$C$434,"Desktop",Countries!$D$5:$D$434,$A130,Countries!$AR$5:$AR$434,"&gt;0")=0,"",SUMIFS(Countries!$AR$5:$AR$434,Countries!$A$5:$A$434,"All landing pages",Countries!$B$5:$B$434,"Organic",Countries!$C$5:$C$434,"Desktop",Countries!$D$5:$D$434,$A130,Countries!$P$5:$P$434,"&gt;0")/SUMIFS(Countries!$P$5:$P$434,Countries!$A$5:$A$434,"All landing pages",Countries!$B$5:$B$434,"Organic",Countries!$C$5:$C$434,"Desktop",Countries!$D$5:$D$434,$A130,Countries!$AR$5:$AR$434,"&gt;0"))</f>
        <v/>
      </c>
      <c r="P130" s="45">
        <f>IF(SUMIFS(Countries!$Q$5:$Q$434,Countries!$A$5:$A$434,"All landing pages",Countries!$B$5:$B$434,"Organic",Countries!$C$5:$C$434,"Desktop",Countries!$D$5:$D$434,$A130,Countries!$AS$5:$AS$434,"&gt;0")=0,"",SUMIFS(Countries!$AS$5:$AS$434,Countries!$A$5:$A$434,"All landing pages",Countries!$B$5:$B$434,"Organic",Countries!$C$5:$C$434,"Desktop",Countries!$D$5:$D$434,$A130,Countries!$Q$5:$Q$434,"&gt;0")/SUMIFS(Countries!$Q$5:$Q$434,Countries!$A$5:$A$434,"All landing pages",Countries!$B$5:$B$434,"Organic",Countries!$C$5:$C$434,"Desktop",Countries!$D$5:$D$434,$A130,Countries!$AS$5:$AS$434,"&gt;0"))</f>
        <v/>
      </c>
      <c r="Q130" s="44">
        <f>IF(OR(O130="",P130=""),"",(P130-O130)*100)</f>
        <v/>
      </c>
      <c r="R130" s="45">
        <f>IF(SUMIFS(Countries!$E$5:$E$434,Countries!$A$5:$A$434,"All landing pages",Countries!$B$5:$B$434,"Organic",Countries!$C$5:$C$434,"Desktop",Countries!$D$5:$D$434,$A130,Countries!$AR$5:$AR$434,"&gt;0")=0,"",SUMIFS(Countries!$AR$5:$AR$434,Countries!$A$5:$A$434,"All landing pages",Countries!$B$5:$B$434,"Organic",Countries!$C$5:$C$434,"Desktop",Countries!$D$5:$D$434,$A130,Countries!$E$5:$E$434,"&gt;0")/SUMIFS(Countries!$E$5:$E$434,Countries!$A$5:$A$434,"All landing pages",Countries!$B$5:$B$434,"Organic",Countries!$C$5:$C$434,"Desktop",Countries!$D$5:$D$434,$A130,Countries!$AR$5:$AR$434,"&gt;0"))</f>
        <v/>
      </c>
      <c r="S130" s="45">
        <f>IF(SUMIFS(Countries!$F$5:$F$434,Countries!$A$5:$A$434,"All landing pages",Countries!$B$5:$B$434,"Organic",Countries!$C$5:$C$434,"Desktop",Countries!$D$5:$D$434,$A130,Countries!$AS$5:$AS$434,"&gt;0")=0,"",SUMIFS(Countries!$AS$5:$AS$434,Countries!$A$5:$A$434,"All landing pages",Countries!$B$5:$B$434,"Organic",Countries!$C$5:$C$434,"Desktop",Countries!$D$5:$D$434,$A130,Countries!$F$5:$F$434,"&gt;0")/SUMIFS(Countries!$F$5:$F$434,Countries!$A$5:$A$434,"All landing pages",Countries!$B$5:$B$434,"Organic",Countries!$C$5:$C$434,"Desktop",Countries!$D$5:$D$434,$A130,Countries!$AS$5:$AS$434,"&gt;0"))</f>
        <v/>
      </c>
      <c r="T130" s="44">
        <f>IF(OR(R130="",S130=""),"",(S130-R130)*100)</f>
        <v/>
      </c>
    </row>
    <row r="131">
      <c r="A131" s="40" t="inlineStr">
        <is>
          <t>Australia</t>
        </is>
      </c>
      <c r="B131" s="40" t="inlineStr">
        <is>
          <t>Organic</t>
        </is>
      </c>
      <c r="C131" s="41">
        <f>IF(SUMIFS(Countries!$E$5:$E$434,Countries!$A$5:$A$434,"All landing pages",Countries!$B$5:$B$434,"Organic",Countries!$C$5:$C$434,"Desktop",Countries!$D$5:$D$434,$A131)=0,"",SUMIFS(Countries!$E$5:$E$434,Countries!$A$5:$A$434,"All landing pages",Countries!$B$5:$B$434,"Organic",Countries!$C$5:$C$434,"Desktop",Countries!$D$5:$D$434,$A131))</f>
        <v/>
      </c>
      <c r="D131" s="41">
        <f>IF(SUMIFS(Countries!$F$5:$F$434,Countries!$A$5:$A$434,"All landing pages",Countries!$B$5:$B$434,"Organic",Countries!$C$5:$C$434,"Desktop",Countries!$D$5:$D$434,$A131)=0,"",SUMIFS(Countries!$F$5:$F$434,Countries!$A$5:$A$434,"All landing pages",Countries!$B$5:$B$434,"Organic",Countries!$C$5:$C$434,"Desktop",Countries!$D$5:$D$434,$A131))</f>
        <v/>
      </c>
      <c r="E131" s="42">
        <f>IF(OR(C131="",D131="",D131=0,C131=0),"",D131/C131-1)</f>
        <v/>
      </c>
      <c r="F131" s="41">
        <f>IF(SUMIFS(Countries!$P$5:$P$434,Countries!$A$5:$A$434,"All landing pages",Countries!$B$5:$B$434,"Organic",Countries!$C$5:$C$434,"Desktop",Countries!$D$5:$D$434,$A131)=0,"",SUMIFS(Countries!$P$5:$P$434,Countries!$A$5:$A$434,"All landing pages",Countries!$B$5:$B$434,"Organic",Countries!$C$5:$C$434,"Desktop",Countries!$D$5:$D$434,$A131))</f>
        <v/>
      </c>
      <c r="G131" s="41">
        <f>IF(SUMIFS(Countries!$Q$5:$Q$434,Countries!$A$5:$A$434,"All landing pages",Countries!$B$5:$B$434,"Organic",Countries!$C$5:$C$434,"Desktop",Countries!$D$5:$D$434,$A131)=0,"",SUMIFS(Countries!$Q$5:$Q$434,Countries!$A$5:$A$434,"All landing pages",Countries!$B$5:$B$434,"Organic",Countries!$C$5:$C$434,"Desktop",Countries!$D$5:$D$434,$A131))</f>
        <v/>
      </c>
      <c r="H131" s="42">
        <f>IF(OR(F131="",G131="",G131=0,F131=0),"",G131/F131-1)</f>
        <v/>
      </c>
      <c r="I131" s="41">
        <f>IF(SUMIFS(Countries!$AR$5:$AR$434,Countries!$A$5:$A$434,"All landing pages",Countries!$B$5:$B$434,"Organic",Countries!$C$5:$C$434,"Desktop",Countries!$D$5:$D$434,$A131)=0,"",SUMIFS(Countries!$AR$5:$AR$434,Countries!$A$5:$A$434,"All landing pages",Countries!$B$5:$B$434,"Organic",Countries!$C$5:$C$434,"Desktop",Countries!$D$5:$D$434,$A131))</f>
        <v/>
      </c>
      <c r="J131" s="41">
        <f>IF(SUMIFS(Countries!$AS$5:$AS$434,Countries!$A$5:$A$434,"All landing pages",Countries!$B$5:$B$434,"Organic",Countries!$C$5:$C$434,"Desktop",Countries!$D$5:$D$434,$A131)=0,"",SUMIFS(Countries!$AS$5:$AS$434,Countries!$A$5:$A$434,"All landing pages",Countries!$B$5:$B$434,"Organic",Countries!$C$5:$C$434,"Desktop",Countries!$D$5:$D$434,$A131))</f>
        <v/>
      </c>
      <c r="K131" s="42">
        <f>IF(OR(I131="",J131="",J131=0,I131=0),"",J131/I131-1)</f>
        <v/>
      </c>
      <c r="L131" s="43">
        <f>IF(SUMIFS(Countries!$E$5:$E$434,Countries!$A$5:$A$434,"All landing pages",Countries!$B$5:$B$434,"Organic",Countries!$C$5:$C$434,"Desktop",Countries!$D$5:$D$434,$A131,Countries!$P$5:$P$434,"&gt;0")=0,"",SUMIFS(Countries!$P$5:$P$434,Countries!$A$5:$A$434,"All landing pages",Countries!$B$5:$B$434,"Organic",Countries!$C$5:$C$434,"Desktop",Countries!$D$5:$D$434,$A131,Countries!$E$5:$E$434,"&gt;0")/SUMIFS(Countries!$E$5:$E$434,Countries!$A$5:$A$434,"All landing pages",Countries!$B$5:$B$434,"Organic",Countries!$C$5:$C$434,"Desktop",Countries!$D$5:$D$434,$A131,Countries!$P$5:$P$434,"&gt;0"))</f>
        <v/>
      </c>
      <c r="M131" s="43">
        <f>IF(SUMIFS(Countries!$F$5:$F$434,Countries!$A$5:$A$434,"All landing pages",Countries!$B$5:$B$434,"Organic",Countries!$C$5:$C$434,"Desktop",Countries!$D$5:$D$434,$A131,Countries!$Q$5:$Q$434,"&gt;0")=0,"",SUMIFS(Countries!$Q$5:$Q$434,Countries!$A$5:$A$434,"All landing pages",Countries!$B$5:$B$434,"Organic",Countries!$C$5:$C$434,"Desktop",Countries!$D$5:$D$434,$A131,Countries!$F$5:$F$434,"&gt;0")/SUMIFS(Countries!$F$5:$F$434,Countries!$A$5:$A$434,"All landing pages",Countries!$B$5:$B$434,"Organic",Countries!$C$5:$C$434,"Desktop",Countries!$D$5:$D$434,$A131,Countries!$Q$5:$Q$434,"&gt;0"))</f>
        <v/>
      </c>
      <c r="N131" s="44">
        <f>IF(OR(L131="",M131=""),"",(M131-L131)*100)</f>
        <v/>
      </c>
      <c r="O131" s="45">
        <f>IF(SUMIFS(Countries!$P$5:$P$434,Countries!$A$5:$A$434,"All landing pages",Countries!$B$5:$B$434,"Organic",Countries!$C$5:$C$434,"Desktop",Countries!$D$5:$D$434,$A131,Countries!$AR$5:$AR$434,"&gt;0")=0,"",SUMIFS(Countries!$AR$5:$AR$434,Countries!$A$5:$A$434,"All landing pages",Countries!$B$5:$B$434,"Organic",Countries!$C$5:$C$434,"Desktop",Countries!$D$5:$D$434,$A131,Countries!$P$5:$P$434,"&gt;0")/SUMIFS(Countries!$P$5:$P$434,Countries!$A$5:$A$434,"All landing pages",Countries!$B$5:$B$434,"Organic",Countries!$C$5:$C$434,"Desktop",Countries!$D$5:$D$434,$A131,Countries!$AR$5:$AR$434,"&gt;0"))</f>
        <v/>
      </c>
      <c r="P131" s="45">
        <f>IF(SUMIFS(Countries!$Q$5:$Q$434,Countries!$A$5:$A$434,"All landing pages",Countries!$B$5:$B$434,"Organic",Countries!$C$5:$C$434,"Desktop",Countries!$D$5:$D$434,$A131,Countries!$AS$5:$AS$434,"&gt;0")=0,"",SUMIFS(Countries!$AS$5:$AS$434,Countries!$A$5:$A$434,"All landing pages",Countries!$B$5:$B$434,"Organic",Countries!$C$5:$C$434,"Desktop",Countries!$D$5:$D$434,$A131,Countries!$Q$5:$Q$434,"&gt;0")/SUMIFS(Countries!$Q$5:$Q$434,Countries!$A$5:$A$434,"All landing pages",Countries!$B$5:$B$434,"Organic",Countries!$C$5:$C$434,"Desktop",Countries!$D$5:$D$434,$A131,Countries!$AS$5:$AS$434,"&gt;0"))</f>
        <v/>
      </c>
      <c r="Q131" s="44">
        <f>IF(OR(O131="",P131=""),"",(P131-O131)*100)</f>
        <v/>
      </c>
      <c r="R131" s="45">
        <f>IF(SUMIFS(Countries!$E$5:$E$434,Countries!$A$5:$A$434,"All landing pages",Countries!$B$5:$B$434,"Organic",Countries!$C$5:$C$434,"Desktop",Countries!$D$5:$D$434,$A131,Countries!$AR$5:$AR$434,"&gt;0")=0,"",SUMIFS(Countries!$AR$5:$AR$434,Countries!$A$5:$A$434,"All landing pages",Countries!$B$5:$B$434,"Organic",Countries!$C$5:$C$434,"Desktop",Countries!$D$5:$D$434,$A131,Countries!$E$5:$E$434,"&gt;0")/SUMIFS(Countries!$E$5:$E$434,Countries!$A$5:$A$434,"All landing pages",Countries!$B$5:$B$434,"Organic",Countries!$C$5:$C$434,"Desktop",Countries!$D$5:$D$434,$A131,Countries!$AR$5:$AR$434,"&gt;0"))</f>
        <v/>
      </c>
      <c r="S131" s="45">
        <f>IF(SUMIFS(Countries!$F$5:$F$434,Countries!$A$5:$A$434,"All landing pages",Countries!$B$5:$B$434,"Organic",Countries!$C$5:$C$434,"Desktop",Countries!$D$5:$D$434,$A131,Countries!$AS$5:$AS$434,"&gt;0")=0,"",SUMIFS(Countries!$AS$5:$AS$434,Countries!$A$5:$A$434,"All landing pages",Countries!$B$5:$B$434,"Organic",Countries!$C$5:$C$434,"Desktop",Countries!$D$5:$D$434,$A131,Countries!$F$5:$F$434,"&gt;0")/SUMIFS(Countries!$F$5:$F$434,Countries!$A$5:$A$434,"All landing pages",Countries!$B$5:$B$434,"Organic",Countries!$C$5:$C$434,"Desktop",Countries!$D$5:$D$434,$A131,Countries!$AS$5:$AS$434,"&gt;0"))</f>
        <v/>
      </c>
      <c r="T131" s="44">
        <f>IF(OR(R131="",S131=""),"",(S131-R131)*100)</f>
        <v/>
      </c>
    </row>
    <row r="132">
      <c r="A132" s="40" t="inlineStr">
        <is>
          <t>Canada</t>
        </is>
      </c>
      <c r="B132" s="40" t="inlineStr">
        <is>
          <t>Organic</t>
        </is>
      </c>
      <c r="C132" s="41">
        <f>IF(SUMIFS(Countries!$E$5:$E$434,Countries!$A$5:$A$434,"All landing pages",Countries!$B$5:$B$434,"Organic",Countries!$C$5:$C$434,"Desktop",Countries!$D$5:$D$434,$A132)=0,"",SUMIFS(Countries!$E$5:$E$434,Countries!$A$5:$A$434,"All landing pages",Countries!$B$5:$B$434,"Organic",Countries!$C$5:$C$434,"Desktop",Countries!$D$5:$D$434,$A132))</f>
        <v/>
      </c>
      <c r="D132" s="41">
        <f>IF(SUMIFS(Countries!$F$5:$F$434,Countries!$A$5:$A$434,"All landing pages",Countries!$B$5:$B$434,"Organic",Countries!$C$5:$C$434,"Desktop",Countries!$D$5:$D$434,$A132)=0,"",SUMIFS(Countries!$F$5:$F$434,Countries!$A$5:$A$434,"All landing pages",Countries!$B$5:$B$434,"Organic",Countries!$C$5:$C$434,"Desktop",Countries!$D$5:$D$434,$A132))</f>
        <v/>
      </c>
      <c r="E132" s="42">
        <f>IF(OR(C132="",D132="",D132=0,C132=0),"",D132/C132-1)</f>
        <v/>
      </c>
      <c r="F132" s="41">
        <f>IF(SUMIFS(Countries!$P$5:$P$434,Countries!$A$5:$A$434,"All landing pages",Countries!$B$5:$B$434,"Organic",Countries!$C$5:$C$434,"Desktop",Countries!$D$5:$D$434,$A132)=0,"",SUMIFS(Countries!$P$5:$P$434,Countries!$A$5:$A$434,"All landing pages",Countries!$B$5:$B$434,"Organic",Countries!$C$5:$C$434,"Desktop",Countries!$D$5:$D$434,$A132))</f>
        <v/>
      </c>
      <c r="G132" s="41">
        <f>IF(SUMIFS(Countries!$Q$5:$Q$434,Countries!$A$5:$A$434,"All landing pages",Countries!$B$5:$B$434,"Organic",Countries!$C$5:$C$434,"Desktop",Countries!$D$5:$D$434,$A132)=0,"",SUMIFS(Countries!$Q$5:$Q$434,Countries!$A$5:$A$434,"All landing pages",Countries!$B$5:$B$434,"Organic",Countries!$C$5:$C$434,"Desktop",Countries!$D$5:$D$434,$A132))</f>
        <v/>
      </c>
      <c r="H132" s="42">
        <f>IF(OR(F132="",G132="",G132=0,F132=0),"",G132/F132-1)</f>
        <v/>
      </c>
      <c r="I132" s="41">
        <f>IF(SUMIFS(Countries!$AR$5:$AR$434,Countries!$A$5:$A$434,"All landing pages",Countries!$B$5:$B$434,"Organic",Countries!$C$5:$C$434,"Desktop",Countries!$D$5:$D$434,$A132)=0,"",SUMIFS(Countries!$AR$5:$AR$434,Countries!$A$5:$A$434,"All landing pages",Countries!$B$5:$B$434,"Organic",Countries!$C$5:$C$434,"Desktop",Countries!$D$5:$D$434,$A132))</f>
        <v/>
      </c>
      <c r="J132" s="41">
        <f>IF(SUMIFS(Countries!$AS$5:$AS$434,Countries!$A$5:$A$434,"All landing pages",Countries!$B$5:$B$434,"Organic",Countries!$C$5:$C$434,"Desktop",Countries!$D$5:$D$434,$A132)=0,"",SUMIFS(Countries!$AS$5:$AS$434,Countries!$A$5:$A$434,"All landing pages",Countries!$B$5:$B$434,"Organic",Countries!$C$5:$C$434,"Desktop",Countries!$D$5:$D$434,$A132))</f>
        <v/>
      </c>
      <c r="K132" s="42">
        <f>IF(OR(I132="",J132="",J132=0,I132=0),"",J132/I132-1)</f>
        <v/>
      </c>
      <c r="L132" s="43">
        <f>IF(SUMIFS(Countries!$E$5:$E$434,Countries!$A$5:$A$434,"All landing pages",Countries!$B$5:$B$434,"Organic",Countries!$C$5:$C$434,"Desktop",Countries!$D$5:$D$434,$A132,Countries!$P$5:$P$434,"&gt;0")=0,"",SUMIFS(Countries!$P$5:$P$434,Countries!$A$5:$A$434,"All landing pages",Countries!$B$5:$B$434,"Organic",Countries!$C$5:$C$434,"Desktop",Countries!$D$5:$D$434,$A132,Countries!$E$5:$E$434,"&gt;0")/SUMIFS(Countries!$E$5:$E$434,Countries!$A$5:$A$434,"All landing pages",Countries!$B$5:$B$434,"Organic",Countries!$C$5:$C$434,"Desktop",Countries!$D$5:$D$434,$A132,Countries!$P$5:$P$434,"&gt;0"))</f>
        <v/>
      </c>
      <c r="M132" s="43">
        <f>IF(SUMIFS(Countries!$F$5:$F$434,Countries!$A$5:$A$434,"All landing pages",Countries!$B$5:$B$434,"Organic",Countries!$C$5:$C$434,"Desktop",Countries!$D$5:$D$434,$A132,Countries!$Q$5:$Q$434,"&gt;0")=0,"",SUMIFS(Countries!$Q$5:$Q$434,Countries!$A$5:$A$434,"All landing pages",Countries!$B$5:$B$434,"Organic",Countries!$C$5:$C$434,"Desktop",Countries!$D$5:$D$434,$A132,Countries!$F$5:$F$434,"&gt;0")/SUMIFS(Countries!$F$5:$F$434,Countries!$A$5:$A$434,"All landing pages",Countries!$B$5:$B$434,"Organic",Countries!$C$5:$C$434,"Desktop",Countries!$D$5:$D$434,$A132,Countries!$Q$5:$Q$434,"&gt;0"))</f>
        <v/>
      </c>
      <c r="N132" s="44">
        <f>IF(OR(L132="",M132=""),"",(M132-L132)*100)</f>
        <v/>
      </c>
      <c r="O132" s="45">
        <f>IF(SUMIFS(Countries!$P$5:$P$434,Countries!$A$5:$A$434,"All landing pages",Countries!$B$5:$B$434,"Organic",Countries!$C$5:$C$434,"Desktop",Countries!$D$5:$D$434,$A132,Countries!$AR$5:$AR$434,"&gt;0")=0,"",SUMIFS(Countries!$AR$5:$AR$434,Countries!$A$5:$A$434,"All landing pages",Countries!$B$5:$B$434,"Organic",Countries!$C$5:$C$434,"Desktop",Countries!$D$5:$D$434,$A132,Countries!$P$5:$P$434,"&gt;0")/SUMIFS(Countries!$P$5:$P$434,Countries!$A$5:$A$434,"All landing pages",Countries!$B$5:$B$434,"Organic",Countries!$C$5:$C$434,"Desktop",Countries!$D$5:$D$434,$A132,Countries!$AR$5:$AR$434,"&gt;0"))</f>
        <v/>
      </c>
      <c r="P132" s="45">
        <f>IF(SUMIFS(Countries!$Q$5:$Q$434,Countries!$A$5:$A$434,"All landing pages",Countries!$B$5:$B$434,"Organic",Countries!$C$5:$C$434,"Desktop",Countries!$D$5:$D$434,$A132,Countries!$AS$5:$AS$434,"&gt;0")=0,"",SUMIFS(Countries!$AS$5:$AS$434,Countries!$A$5:$A$434,"All landing pages",Countries!$B$5:$B$434,"Organic",Countries!$C$5:$C$434,"Desktop",Countries!$D$5:$D$434,$A132,Countries!$Q$5:$Q$434,"&gt;0")/SUMIFS(Countries!$Q$5:$Q$434,Countries!$A$5:$A$434,"All landing pages",Countries!$B$5:$B$434,"Organic",Countries!$C$5:$C$434,"Desktop",Countries!$D$5:$D$434,$A132,Countries!$AS$5:$AS$434,"&gt;0"))</f>
        <v/>
      </c>
      <c r="Q132" s="44">
        <f>IF(OR(O132="",P132=""),"",(P132-O132)*100)</f>
        <v/>
      </c>
      <c r="R132" s="45">
        <f>IF(SUMIFS(Countries!$E$5:$E$434,Countries!$A$5:$A$434,"All landing pages",Countries!$B$5:$B$434,"Organic",Countries!$C$5:$C$434,"Desktop",Countries!$D$5:$D$434,$A132,Countries!$AR$5:$AR$434,"&gt;0")=0,"",SUMIFS(Countries!$AR$5:$AR$434,Countries!$A$5:$A$434,"All landing pages",Countries!$B$5:$B$434,"Organic",Countries!$C$5:$C$434,"Desktop",Countries!$D$5:$D$434,$A132,Countries!$E$5:$E$434,"&gt;0")/SUMIFS(Countries!$E$5:$E$434,Countries!$A$5:$A$434,"All landing pages",Countries!$B$5:$B$434,"Organic",Countries!$C$5:$C$434,"Desktop",Countries!$D$5:$D$434,$A132,Countries!$AR$5:$AR$434,"&gt;0"))</f>
        <v/>
      </c>
      <c r="S132" s="45">
        <f>IF(SUMIFS(Countries!$F$5:$F$434,Countries!$A$5:$A$434,"All landing pages",Countries!$B$5:$B$434,"Organic",Countries!$C$5:$C$434,"Desktop",Countries!$D$5:$D$434,$A132,Countries!$AS$5:$AS$434,"&gt;0")=0,"",SUMIFS(Countries!$AS$5:$AS$434,Countries!$A$5:$A$434,"All landing pages",Countries!$B$5:$B$434,"Organic",Countries!$C$5:$C$434,"Desktop",Countries!$D$5:$D$434,$A132,Countries!$F$5:$F$434,"&gt;0")/SUMIFS(Countries!$F$5:$F$434,Countries!$A$5:$A$434,"All landing pages",Countries!$B$5:$B$434,"Organic",Countries!$C$5:$C$434,"Desktop",Countries!$D$5:$D$434,$A132,Countries!$AS$5:$AS$434,"&gt;0"))</f>
        <v/>
      </c>
      <c r="T132" s="44">
        <f>IF(OR(R132="",S132=""),"",(S132-R132)*100)</f>
        <v/>
      </c>
    </row>
    <row r="133">
      <c r="A133" s="40" t="inlineStr">
        <is>
          <t>Switzerland</t>
        </is>
      </c>
      <c r="B133" s="40" t="inlineStr">
        <is>
          <t>Organic</t>
        </is>
      </c>
      <c r="C133" s="41">
        <f>IF(SUMIFS(Countries!$E$5:$E$434,Countries!$A$5:$A$434,"All landing pages",Countries!$B$5:$B$434,"Organic",Countries!$C$5:$C$434,"Desktop",Countries!$D$5:$D$434,$A133)=0,"",SUMIFS(Countries!$E$5:$E$434,Countries!$A$5:$A$434,"All landing pages",Countries!$B$5:$B$434,"Organic",Countries!$C$5:$C$434,"Desktop",Countries!$D$5:$D$434,$A133))</f>
        <v/>
      </c>
      <c r="D133" s="41">
        <f>IF(SUMIFS(Countries!$F$5:$F$434,Countries!$A$5:$A$434,"All landing pages",Countries!$B$5:$B$434,"Organic",Countries!$C$5:$C$434,"Desktop",Countries!$D$5:$D$434,$A133)=0,"",SUMIFS(Countries!$F$5:$F$434,Countries!$A$5:$A$434,"All landing pages",Countries!$B$5:$B$434,"Organic",Countries!$C$5:$C$434,"Desktop",Countries!$D$5:$D$434,$A133))</f>
        <v/>
      </c>
      <c r="E133" s="42">
        <f>IF(OR(C133="",D133="",D133=0,C133=0),"",D133/C133-1)</f>
        <v/>
      </c>
      <c r="F133" s="41">
        <f>IF(SUMIFS(Countries!$P$5:$P$434,Countries!$A$5:$A$434,"All landing pages",Countries!$B$5:$B$434,"Organic",Countries!$C$5:$C$434,"Desktop",Countries!$D$5:$D$434,$A133)=0,"",SUMIFS(Countries!$P$5:$P$434,Countries!$A$5:$A$434,"All landing pages",Countries!$B$5:$B$434,"Organic",Countries!$C$5:$C$434,"Desktop",Countries!$D$5:$D$434,$A133))</f>
        <v/>
      </c>
      <c r="G133" s="41">
        <f>IF(SUMIFS(Countries!$Q$5:$Q$434,Countries!$A$5:$A$434,"All landing pages",Countries!$B$5:$B$434,"Organic",Countries!$C$5:$C$434,"Desktop",Countries!$D$5:$D$434,$A133)=0,"",SUMIFS(Countries!$Q$5:$Q$434,Countries!$A$5:$A$434,"All landing pages",Countries!$B$5:$B$434,"Organic",Countries!$C$5:$C$434,"Desktop",Countries!$D$5:$D$434,$A133))</f>
        <v/>
      </c>
      <c r="H133" s="42">
        <f>IF(OR(F133="",G133="",G133=0,F133=0),"",G133/F133-1)</f>
        <v/>
      </c>
      <c r="I133" s="41">
        <f>IF(SUMIFS(Countries!$AR$5:$AR$434,Countries!$A$5:$A$434,"All landing pages",Countries!$B$5:$B$434,"Organic",Countries!$C$5:$C$434,"Desktop",Countries!$D$5:$D$434,$A133)=0,"",SUMIFS(Countries!$AR$5:$AR$434,Countries!$A$5:$A$434,"All landing pages",Countries!$B$5:$B$434,"Organic",Countries!$C$5:$C$434,"Desktop",Countries!$D$5:$D$434,$A133))</f>
        <v/>
      </c>
      <c r="J133" s="41">
        <f>IF(SUMIFS(Countries!$AS$5:$AS$434,Countries!$A$5:$A$434,"All landing pages",Countries!$B$5:$B$434,"Organic",Countries!$C$5:$C$434,"Desktop",Countries!$D$5:$D$434,$A133)=0,"",SUMIFS(Countries!$AS$5:$AS$434,Countries!$A$5:$A$434,"All landing pages",Countries!$B$5:$B$434,"Organic",Countries!$C$5:$C$434,"Desktop",Countries!$D$5:$D$434,$A133))</f>
        <v/>
      </c>
      <c r="K133" s="42">
        <f>IF(OR(I133="",J133="",J133=0,I133=0),"",J133/I133-1)</f>
        <v/>
      </c>
      <c r="L133" s="43">
        <f>IF(SUMIFS(Countries!$E$5:$E$434,Countries!$A$5:$A$434,"All landing pages",Countries!$B$5:$B$434,"Organic",Countries!$C$5:$C$434,"Desktop",Countries!$D$5:$D$434,$A133,Countries!$P$5:$P$434,"&gt;0")=0,"",SUMIFS(Countries!$P$5:$P$434,Countries!$A$5:$A$434,"All landing pages",Countries!$B$5:$B$434,"Organic",Countries!$C$5:$C$434,"Desktop",Countries!$D$5:$D$434,$A133,Countries!$E$5:$E$434,"&gt;0")/SUMIFS(Countries!$E$5:$E$434,Countries!$A$5:$A$434,"All landing pages",Countries!$B$5:$B$434,"Organic",Countries!$C$5:$C$434,"Desktop",Countries!$D$5:$D$434,$A133,Countries!$P$5:$P$434,"&gt;0"))</f>
        <v/>
      </c>
      <c r="M133" s="43">
        <f>IF(SUMIFS(Countries!$F$5:$F$434,Countries!$A$5:$A$434,"All landing pages",Countries!$B$5:$B$434,"Organic",Countries!$C$5:$C$434,"Desktop",Countries!$D$5:$D$434,$A133,Countries!$Q$5:$Q$434,"&gt;0")=0,"",SUMIFS(Countries!$Q$5:$Q$434,Countries!$A$5:$A$434,"All landing pages",Countries!$B$5:$B$434,"Organic",Countries!$C$5:$C$434,"Desktop",Countries!$D$5:$D$434,$A133,Countries!$F$5:$F$434,"&gt;0")/SUMIFS(Countries!$F$5:$F$434,Countries!$A$5:$A$434,"All landing pages",Countries!$B$5:$B$434,"Organic",Countries!$C$5:$C$434,"Desktop",Countries!$D$5:$D$434,$A133,Countries!$Q$5:$Q$434,"&gt;0"))</f>
        <v/>
      </c>
      <c r="N133" s="44">
        <f>IF(OR(L133="",M133=""),"",(M133-L133)*100)</f>
        <v/>
      </c>
      <c r="O133" s="45">
        <f>IF(SUMIFS(Countries!$P$5:$P$434,Countries!$A$5:$A$434,"All landing pages",Countries!$B$5:$B$434,"Organic",Countries!$C$5:$C$434,"Desktop",Countries!$D$5:$D$434,$A133,Countries!$AR$5:$AR$434,"&gt;0")=0,"",SUMIFS(Countries!$AR$5:$AR$434,Countries!$A$5:$A$434,"All landing pages",Countries!$B$5:$B$434,"Organic",Countries!$C$5:$C$434,"Desktop",Countries!$D$5:$D$434,$A133,Countries!$P$5:$P$434,"&gt;0")/SUMIFS(Countries!$P$5:$P$434,Countries!$A$5:$A$434,"All landing pages",Countries!$B$5:$B$434,"Organic",Countries!$C$5:$C$434,"Desktop",Countries!$D$5:$D$434,$A133,Countries!$AR$5:$AR$434,"&gt;0"))</f>
        <v/>
      </c>
      <c r="P133" s="45">
        <f>IF(SUMIFS(Countries!$Q$5:$Q$434,Countries!$A$5:$A$434,"All landing pages",Countries!$B$5:$B$434,"Organic",Countries!$C$5:$C$434,"Desktop",Countries!$D$5:$D$434,$A133,Countries!$AS$5:$AS$434,"&gt;0")=0,"",SUMIFS(Countries!$AS$5:$AS$434,Countries!$A$5:$A$434,"All landing pages",Countries!$B$5:$B$434,"Organic",Countries!$C$5:$C$434,"Desktop",Countries!$D$5:$D$434,$A133,Countries!$Q$5:$Q$434,"&gt;0")/SUMIFS(Countries!$Q$5:$Q$434,Countries!$A$5:$A$434,"All landing pages",Countries!$B$5:$B$434,"Organic",Countries!$C$5:$C$434,"Desktop",Countries!$D$5:$D$434,$A133,Countries!$AS$5:$AS$434,"&gt;0"))</f>
        <v/>
      </c>
      <c r="Q133" s="44">
        <f>IF(OR(O133="",P133=""),"",(P133-O133)*100)</f>
        <v/>
      </c>
      <c r="R133" s="45">
        <f>IF(SUMIFS(Countries!$E$5:$E$434,Countries!$A$5:$A$434,"All landing pages",Countries!$B$5:$B$434,"Organic",Countries!$C$5:$C$434,"Desktop",Countries!$D$5:$D$434,$A133,Countries!$AR$5:$AR$434,"&gt;0")=0,"",SUMIFS(Countries!$AR$5:$AR$434,Countries!$A$5:$A$434,"All landing pages",Countries!$B$5:$B$434,"Organic",Countries!$C$5:$C$434,"Desktop",Countries!$D$5:$D$434,$A133,Countries!$E$5:$E$434,"&gt;0")/SUMIFS(Countries!$E$5:$E$434,Countries!$A$5:$A$434,"All landing pages",Countries!$B$5:$B$434,"Organic",Countries!$C$5:$C$434,"Desktop",Countries!$D$5:$D$434,$A133,Countries!$AR$5:$AR$434,"&gt;0"))</f>
        <v/>
      </c>
      <c r="S133" s="45">
        <f>IF(SUMIFS(Countries!$F$5:$F$434,Countries!$A$5:$A$434,"All landing pages",Countries!$B$5:$B$434,"Organic",Countries!$C$5:$C$434,"Desktop",Countries!$D$5:$D$434,$A133,Countries!$AS$5:$AS$434,"&gt;0")=0,"",SUMIFS(Countries!$AS$5:$AS$434,Countries!$A$5:$A$434,"All landing pages",Countries!$B$5:$B$434,"Organic",Countries!$C$5:$C$434,"Desktop",Countries!$D$5:$D$434,$A133,Countries!$F$5:$F$434,"&gt;0")/SUMIFS(Countries!$F$5:$F$434,Countries!$A$5:$A$434,"All landing pages",Countries!$B$5:$B$434,"Organic",Countries!$C$5:$C$434,"Desktop",Countries!$D$5:$D$434,$A133,Countries!$AS$5:$AS$434,"&gt;0"))</f>
        <v/>
      </c>
      <c r="T133" s="44">
        <f>IF(OR(R133="",S133=""),"",(S133-R133)*100)</f>
        <v/>
      </c>
    </row>
    <row r="134">
      <c r="A134" s="40" t="inlineStr">
        <is>
          <t>Brazil</t>
        </is>
      </c>
      <c r="B134" s="40" t="inlineStr">
        <is>
          <t>Organic</t>
        </is>
      </c>
      <c r="C134" s="41">
        <f>IF(SUMIFS(Countries!$E$5:$E$434,Countries!$A$5:$A$434,"All landing pages",Countries!$B$5:$B$434,"Organic",Countries!$C$5:$C$434,"Desktop",Countries!$D$5:$D$434,$A134)=0,"",SUMIFS(Countries!$E$5:$E$434,Countries!$A$5:$A$434,"All landing pages",Countries!$B$5:$B$434,"Organic",Countries!$C$5:$C$434,"Desktop",Countries!$D$5:$D$434,$A134))</f>
        <v/>
      </c>
      <c r="D134" s="41">
        <f>IF(SUMIFS(Countries!$F$5:$F$434,Countries!$A$5:$A$434,"All landing pages",Countries!$B$5:$B$434,"Organic",Countries!$C$5:$C$434,"Desktop",Countries!$D$5:$D$434,$A134)=0,"",SUMIFS(Countries!$F$5:$F$434,Countries!$A$5:$A$434,"All landing pages",Countries!$B$5:$B$434,"Organic",Countries!$C$5:$C$434,"Desktop",Countries!$D$5:$D$434,$A134))</f>
        <v/>
      </c>
      <c r="E134" s="42">
        <f>IF(OR(C134="",D134="",D134=0,C134=0),"",D134/C134-1)</f>
        <v/>
      </c>
      <c r="F134" s="41">
        <f>IF(SUMIFS(Countries!$P$5:$P$434,Countries!$A$5:$A$434,"All landing pages",Countries!$B$5:$B$434,"Organic",Countries!$C$5:$C$434,"Desktop",Countries!$D$5:$D$434,$A134)=0,"",SUMIFS(Countries!$P$5:$P$434,Countries!$A$5:$A$434,"All landing pages",Countries!$B$5:$B$434,"Organic",Countries!$C$5:$C$434,"Desktop",Countries!$D$5:$D$434,$A134))</f>
        <v/>
      </c>
      <c r="G134" s="41">
        <f>IF(SUMIFS(Countries!$Q$5:$Q$434,Countries!$A$5:$A$434,"All landing pages",Countries!$B$5:$B$434,"Organic",Countries!$C$5:$C$434,"Desktop",Countries!$D$5:$D$434,$A134)=0,"",SUMIFS(Countries!$Q$5:$Q$434,Countries!$A$5:$A$434,"All landing pages",Countries!$B$5:$B$434,"Organic",Countries!$C$5:$C$434,"Desktop",Countries!$D$5:$D$434,$A134))</f>
        <v/>
      </c>
      <c r="H134" s="42">
        <f>IF(OR(F134="",G134="",G134=0,F134=0),"",G134/F134-1)</f>
        <v/>
      </c>
      <c r="I134" s="41">
        <f>IF(SUMIFS(Countries!$AR$5:$AR$434,Countries!$A$5:$A$434,"All landing pages",Countries!$B$5:$B$434,"Organic",Countries!$C$5:$C$434,"Desktop",Countries!$D$5:$D$434,$A134)=0,"",SUMIFS(Countries!$AR$5:$AR$434,Countries!$A$5:$A$434,"All landing pages",Countries!$B$5:$B$434,"Organic",Countries!$C$5:$C$434,"Desktop",Countries!$D$5:$D$434,$A134))</f>
        <v/>
      </c>
      <c r="J134" s="41">
        <f>IF(SUMIFS(Countries!$AS$5:$AS$434,Countries!$A$5:$A$434,"All landing pages",Countries!$B$5:$B$434,"Organic",Countries!$C$5:$C$434,"Desktop",Countries!$D$5:$D$434,$A134)=0,"",SUMIFS(Countries!$AS$5:$AS$434,Countries!$A$5:$A$434,"All landing pages",Countries!$B$5:$B$434,"Organic",Countries!$C$5:$C$434,"Desktop",Countries!$D$5:$D$434,$A134))</f>
        <v/>
      </c>
      <c r="K134" s="42">
        <f>IF(OR(I134="",J134="",J134=0,I134=0),"",J134/I134-1)</f>
        <v/>
      </c>
      <c r="L134" s="43">
        <f>IF(SUMIFS(Countries!$E$5:$E$434,Countries!$A$5:$A$434,"All landing pages",Countries!$B$5:$B$434,"Organic",Countries!$C$5:$C$434,"Desktop",Countries!$D$5:$D$434,$A134,Countries!$P$5:$P$434,"&gt;0")=0,"",SUMIFS(Countries!$P$5:$P$434,Countries!$A$5:$A$434,"All landing pages",Countries!$B$5:$B$434,"Organic",Countries!$C$5:$C$434,"Desktop",Countries!$D$5:$D$434,$A134,Countries!$E$5:$E$434,"&gt;0")/SUMIFS(Countries!$E$5:$E$434,Countries!$A$5:$A$434,"All landing pages",Countries!$B$5:$B$434,"Organic",Countries!$C$5:$C$434,"Desktop",Countries!$D$5:$D$434,$A134,Countries!$P$5:$P$434,"&gt;0"))</f>
        <v/>
      </c>
      <c r="M134" s="43">
        <f>IF(SUMIFS(Countries!$F$5:$F$434,Countries!$A$5:$A$434,"All landing pages",Countries!$B$5:$B$434,"Organic",Countries!$C$5:$C$434,"Desktop",Countries!$D$5:$D$434,$A134,Countries!$Q$5:$Q$434,"&gt;0")=0,"",SUMIFS(Countries!$Q$5:$Q$434,Countries!$A$5:$A$434,"All landing pages",Countries!$B$5:$B$434,"Organic",Countries!$C$5:$C$434,"Desktop",Countries!$D$5:$D$434,$A134,Countries!$F$5:$F$434,"&gt;0")/SUMIFS(Countries!$F$5:$F$434,Countries!$A$5:$A$434,"All landing pages",Countries!$B$5:$B$434,"Organic",Countries!$C$5:$C$434,"Desktop",Countries!$D$5:$D$434,$A134,Countries!$Q$5:$Q$434,"&gt;0"))</f>
        <v/>
      </c>
      <c r="N134" s="44">
        <f>IF(OR(L134="",M134=""),"",(M134-L134)*100)</f>
        <v/>
      </c>
      <c r="O134" s="45">
        <f>IF(SUMIFS(Countries!$P$5:$P$434,Countries!$A$5:$A$434,"All landing pages",Countries!$B$5:$B$434,"Organic",Countries!$C$5:$C$434,"Desktop",Countries!$D$5:$D$434,$A134,Countries!$AR$5:$AR$434,"&gt;0")=0,"",SUMIFS(Countries!$AR$5:$AR$434,Countries!$A$5:$A$434,"All landing pages",Countries!$B$5:$B$434,"Organic",Countries!$C$5:$C$434,"Desktop",Countries!$D$5:$D$434,$A134,Countries!$P$5:$P$434,"&gt;0")/SUMIFS(Countries!$P$5:$P$434,Countries!$A$5:$A$434,"All landing pages",Countries!$B$5:$B$434,"Organic",Countries!$C$5:$C$434,"Desktop",Countries!$D$5:$D$434,$A134,Countries!$AR$5:$AR$434,"&gt;0"))</f>
        <v/>
      </c>
      <c r="P134" s="45">
        <f>IF(SUMIFS(Countries!$Q$5:$Q$434,Countries!$A$5:$A$434,"All landing pages",Countries!$B$5:$B$434,"Organic",Countries!$C$5:$C$434,"Desktop",Countries!$D$5:$D$434,$A134,Countries!$AS$5:$AS$434,"&gt;0")=0,"",SUMIFS(Countries!$AS$5:$AS$434,Countries!$A$5:$A$434,"All landing pages",Countries!$B$5:$B$434,"Organic",Countries!$C$5:$C$434,"Desktop",Countries!$D$5:$D$434,$A134,Countries!$Q$5:$Q$434,"&gt;0")/SUMIFS(Countries!$Q$5:$Q$434,Countries!$A$5:$A$434,"All landing pages",Countries!$B$5:$B$434,"Organic",Countries!$C$5:$C$434,"Desktop",Countries!$D$5:$D$434,$A134,Countries!$AS$5:$AS$434,"&gt;0"))</f>
        <v/>
      </c>
      <c r="Q134" s="44">
        <f>IF(OR(O134="",P134=""),"",(P134-O134)*100)</f>
        <v/>
      </c>
      <c r="R134" s="45">
        <f>IF(SUMIFS(Countries!$E$5:$E$434,Countries!$A$5:$A$434,"All landing pages",Countries!$B$5:$B$434,"Organic",Countries!$C$5:$C$434,"Desktop",Countries!$D$5:$D$434,$A134,Countries!$AR$5:$AR$434,"&gt;0")=0,"",SUMIFS(Countries!$AR$5:$AR$434,Countries!$A$5:$A$434,"All landing pages",Countries!$B$5:$B$434,"Organic",Countries!$C$5:$C$434,"Desktop",Countries!$D$5:$D$434,$A134,Countries!$E$5:$E$434,"&gt;0")/SUMIFS(Countries!$E$5:$E$434,Countries!$A$5:$A$434,"All landing pages",Countries!$B$5:$B$434,"Organic",Countries!$C$5:$C$434,"Desktop",Countries!$D$5:$D$434,$A134,Countries!$AR$5:$AR$434,"&gt;0"))</f>
        <v/>
      </c>
      <c r="S134" s="45">
        <f>IF(SUMIFS(Countries!$F$5:$F$434,Countries!$A$5:$A$434,"All landing pages",Countries!$B$5:$B$434,"Organic",Countries!$C$5:$C$434,"Desktop",Countries!$D$5:$D$434,$A134,Countries!$AS$5:$AS$434,"&gt;0")=0,"",SUMIFS(Countries!$AS$5:$AS$434,Countries!$A$5:$A$434,"All landing pages",Countries!$B$5:$B$434,"Organic",Countries!$C$5:$C$434,"Desktop",Countries!$D$5:$D$434,$A134,Countries!$F$5:$F$434,"&gt;0")/SUMIFS(Countries!$F$5:$F$434,Countries!$A$5:$A$434,"All landing pages",Countries!$B$5:$B$434,"Organic",Countries!$C$5:$C$434,"Desktop",Countries!$D$5:$D$434,$A134,Countries!$AS$5:$AS$434,"&gt;0"))</f>
        <v/>
      </c>
      <c r="T134" s="44">
        <f>IF(OR(R134="",S134=""),"",(S134-R134)*100)</f>
        <v/>
      </c>
    </row>
    <row r="135">
      <c r="A135" s="32" t="inlineStr">
        <is>
          <t>Sum of listed markets</t>
        </is>
      </c>
      <c r="B135" s="32" t="inlineStr">
        <is>
          <t>Organic</t>
        </is>
      </c>
      <c r="C135" s="33">
        <f>SUM(C116:C134)</f>
        <v/>
      </c>
      <c r="D135" s="33">
        <f>SUM(D116:D134)</f>
        <v/>
      </c>
      <c r="E135" s="34">
        <f>IF(OR(C135="",D135="",D135=0,C135=0),"",D135/C135-1)</f>
        <v/>
      </c>
      <c r="F135" s="33">
        <f>SUM(F116:F134)</f>
        <v/>
      </c>
      <c r="G135" s="33">
        <f>SUM(G116:G134)</f>
        <v/>
      </c>
      <c r="H135" s="34">
        <f>IF(OR(F135="",G135="",G135=0,F135=0),"",G135/F135-1)</f>
        <v/>
      </c>
      <c r="I135" s="33">
        <f>SUM(I116:I134)</f>
        <v/>
      </c>
      <c r="J135" s="33">
        <f>SUM(J116:J134)</f>
        <v/>
      </c>
      <c r="K135" s="34">
        <f>IF(OR(I135="",J135="",J135=0,I135=0),"",J135/I135-1)</f>
        <v/>
      </c>
      <c r="L135" s="35">
        <f>IF(OR(F135="",C135="",C135=0),"",F135/C135)</f>
        <v/>
      </c>
      <c r="M135" s="35">
        <f>IF(OR(G135="",D135="",D135=0),"",G135/D135)</f>
        <v/>
      </c>
      <c r="N135" s="36">
        <f>IF(OR(L135="",M135=""),"",(M135-L135)*100)</f>
        <v/>
      </c>
      <c r="O135" s="37">
        <f>IF(OR(I135="",F135="",F135=0),"",I135/F135)</f>
        <v/>
      </c>
      <c r="P135" s="37">
        <f>IF(OR(J135="",G135="",G135=0),"",J135/G135)</f>
        <v/>
      </c>
      <c r="Q135" s="36">
        <f>IF(OR(O135="",P135=""),"",(P135-O135)*100)</f>
        <v/>
      </c>
      <c r="R135" s="37">
        <f>IF(OR(I135="",C135="",C135=0),"",I135/C135)</f>
        <v/>
      </c>
      <c r="S135" s="37">
        <f>IF(OR(J135="",D135="",D135=0),"",J135/D135)</f>
        <v/>
      </c>
      <c r="T135" s="36">
        <f>IF(OR(R135="",S135=""),"",(S135-R135)*100)</f>
        <v/>
      </c>
      <c r="U135" s="38" t="n"/>
      <c r="V135" s="38" t="n"/>
      <c r="W135" s="38" t="n"/>
      <c r="X135" s="38" t="n"/>
      <c r="Y135" s="38" t="n"/>
      <c r="Z135" s="38" t="n"/>
      <c r="AA135" s="38" t="n"/>
      <c r="AB135" s="38" t="n"/>
      <c r="AC135" s="38" t="n"/>
      <c r="AD135" s="38" t="n"/>
      <c r="AE135" s="38" t="n"/>
      <c r="AF135" s="38" t="n"/>
      <c r="AG135" s="38" t="n"/>
      <c r="AH135" s="38" t="n"/>
      <c r="AI135" s="38" t="n"/>
      <c r="AJ135" s="38" t="n"/>
      <c r="AK135" s="38" t="n"/>
      <c r="AL135" s="38" t="n"/>
      <c r="AM135" s="38" t="n"/>
      <c r="AN135" s="38" t="n"/>
      <c r="AO135" s="38" t="n"/>
      <c r="AP135" s="38" t="n"/>
      <c r="AQ135" s="38" t="n"/>
      <c r="AR135" s="38" t="n"/>
      <c r="AS135" s="38" t="n"/>
      <c r="AT135" s="38" t="n"/>
      <c r="AU135" s="38" t="n"/>
      <c r="AV135" s="38" t="n"/>
      <c r="AW135" s="38" t="n"/>
      <c r="AX135" s="38" t="n"/>
      <c r="AY135" s="38" t="n"/>
      <c r="AZ135" s="38" t="n"/>
      <c r="BA135" s="38" t="n"/>
      <c r="BB135" s="38" t="n"/>
    </row>
    <row r="136">
      <c r="A136" s="32" t="inlineStr">
        <is>
          <t>Scorecard total</t>
        </is>
      </c>
      <c r="B136" s="32" t="inlineStr">
        <is>
          <t>Organic</t>
        </is>
      </c>
      <c r="C136" s="33">
        <f>SUMIFS(Totals!$D$5:$D$49,Totals!$A$5:$A$49,"All landing pages",Totals!$B$5:$B$49,"Organic",Totals!$C$5:$C$49,"Desktop")</f>
        <v/>
      </c>
      <c r="D136" s="33">
        <f>SUMIFS(Totals!$E$5:$E$49,Totals!$A$5:$A$49,"All landing pages",Totals!$B$5:$B$49,"Organic",Totals!$C$5:$C$49,"Desktop")</f>
        <v/>
      </c>
      <c r="E136" s="34">
        <f>IF(OR(C136="",D136="",D136=0,C136=0),"",D136/C136-1)</f>
        <v/>
      </c>
      <c r="F136" s="33">
        <f>SUMIFS(Totals!$O$5:$O$49,Totals!$A$5:$A$49,"All landing pages",Totals!$B$5:$B$49,"Organic",Totals!$C$5:$C$49,"Desktop")</f>
        <v/>
      </c>
      <c r="G136" s="33">
        <f>SUMIFS(Totals!$P$5:$P$49,Totals!$A$5:$A$49,"All landing pages",Totals!$B$5:$B$49,"Organic",Totals!$C$5:$C$49,"Desktop")</f>
        <v/>
      </c>
      <c r="H136" s="34">
        <f>IF(OR(F136="",G136="",G136=0,F136=0),"",G136/F136-1)</f>
        <v/>
      </c>
      <c r="I136" s="33">
        <f>SUMIFS(Totals!$AQ$5:$AQ$49,Totals!$A$5:$A$49,"All landing pages",Totals!$B$5:$B$49,"Organic",Totals!$C$5:$C$49,"Desktop")</f>
        <v/>
      </c>
      <c r="J136" s="33">
        <f>SUMIFS(Totals!$AR$5:$AR$49,Totals!$A$5:$A$49,"All landing pages",Totals!$B$5:$B$49,"Organic",Totals!$C$5:$C$49,"Desktop")</f>
        <v/>
      </c>
      <c r="K136" s="34">
        <f>IF(OR(I136="",J136="",J136=0,I136=0),"",J136/I136-1)</f>
        <v/>
      </c>
      <c r="L136" s="35">
        <f>IF(OR(F136="",C136="",C136=0),"",F136/C136)</f>
        <v/>
      </c>
      <c r="M136" s="35">
        <f>IF(OR(G136="",D136="",D136=0),"",G136/D136)</f>
        <v/>
      </c>
      <c r="N136" s="36">
        <f>IF(OR(L136="",M136=""),"",(M136-L136)*100)</f>
        <v/>
      </c>
      <c r="O136" s="37">
        <f>IF(OR(I136="",F136="",F136=0),"",I136/F136)</f>
        <v/>
      </c>
      <c r="P136" s="37">
        <f>IF(OR(J136="",G136="",G136=0),"",J136/G136)</f>
        <v/>
      </c>
      <c r="Q136" s="36">
        <f>IF(OR(O136="",P136=""),"",(P136-O136)*100)</f>
        <v/>
      </c>
      <c r="R136" s="37">
        <f>IF(OR(I136="",C136="",C136=0),"",I136/C136)</f>
        <v/>
      </c>
      <c r="S136" s="37">
        <f>IF(OR(J136="",D136="",D136=0),"",J136/D136)</f>
        <v/>
      </c>
      <c r="T136" s="36">
        <f>IF(OR(R136="",S136=""),"",(S136-R136)*100)</f>
        <v/>
      </c>
      <c r="U136" s="38" t="n"/>
      <c r="V136" s="38" t="n"/>
      <c r="W136" s="38" t="n"/>
      <c r="X136" s="38" t="n"/>
      <c r="Y136" s="38" t="n"/>
      <c r="Z136" s="38" t="n"/>
      <c r="AA136" s="38" t="n"/>
      <c r="AB136" s="38" t="n"/>
      <c r="AC136" s="38" t="n"/>
      <c r="AD136" s="38" t="n"/>
      <c r="AE136" s="38" t="n"/>
      <c r="AF136" s="38" t="n"/>
      <c r="AG136" s="38" t="n"/>
      <c r="AH136" s="38" t="n"/>
      <c r="AI136" s="38" t="n"/>
      <c r="AJ136" s="38" t="n"/>
      <c r="AK136" s="38" t="n"/>
      <c r="AL136" s="38" t="n"/>
      <c r="AM136" s="38" t="n"/>
      <c r="AN136" s="38" t="n"/>
      <c r="AO136" s="38" t="n"/>
      <c r="AP136" s="38" t="n"/>
      <c r="AQ136" s="38" t="n"/>
      <c r="AR136" s="38" t="n"/>
      <c r="AS136" s="38" t="n"/>
      <c r="AT136" s="38" t="n"/>
      <c r="AU136" s="38" t="n"/>
      <c r="AV136" s="38" t="n"/>
      <c r="AW136" s="38" t="n"/>
      <c r="AX136" s="38" t="n"/>
      <c r="AY136" s="38" t="n"/>
      <c r="AZ136" s="38" t="n"/>
      <c r="BA136" s="38" t="n"/>
      <c r="BB136" s="38" t="n"/>
    </row>
    <row r="137">
      <c r="A137" s="32" t="inlineStr">
        <is>
          <t>Coverage of listed markets</t>
        </is>
      </c>
      <c r="B137" s="52" t="n"/>
      <c r="C137" s="35">
        <f>IFERROR(C135/C136,"")</f>
        <v/>
      </c>
      <c r="D137" s="35">
        <f>IFERROR(D135/D136,"")</f>
        <v/>
      </c>
      <c r="E137" s="52" t="n"/>
      <c r="F137" s="35">
        <f>IFERROR(F135/F136,"")</f>
        <v/>
      </c>
      <c r="G137" s="35">
        <f>IFERROR(G135/G136,"")</f>
        <v/>
      </c>
      <c r="H137" s="52" t="n"/>
      <c r="I137" s="35">
        <f>IFERROR(I135/I136,"")</f>
        <v/>
      </c>
      <c r="J137" s="35">
        <f>IFERROR(J135/J136,"")</f>
        <v/>
      </c>
      <c r="K137" s="52" t="n"/>
      <c r="L137" s="52" t="n"/>
      <c r="M137" s="52" t="n"/>
      <c r="N137" s="52" t="n"/>
      <c r="O137" s="52" t="n"/>
      <c r="P137" s="52" t="n"/>
      <c r="Q137" s="52" t="n"/>
      <c r="R137" s="52" t="n"/>
      <c r="S137" s="52" t="n"/>
      <c r="T137" s="52" t="n"/>
      <c r="U137" s="38" t="n"/>
      <c r="V137" s="38" t="n"/>
      <c r="W137" s="38" t="n"/>
      <c r="X137" s="38" t="n"/>
      <c r="Y137" s="38" t="n"/>
      <c r="Z137" s="38" t="n"/>
      <c r="AA137" s="38" t="n"/>
      <c r="AB137" s="38" t="n"/>
      <c r="AC137" s="38" t="n"/>
      <c r="AD137" s="38" t="n"/>
      <c r="AE137" s="38" t="n"/>
      <c r="AF137" s="38" t="n"/>
      <c r="AG137" s="38" t="n"/>
      <c r="AH137" s="38" t="n"/>
      <c r="AI137" s="38" t="n"/>
      <c r="AJ137" s="38" t="n"/>
      <c r="AK137" s="38" t="n"/>
      <c r="AL137" s="38" t="n"/>
      <c r="AM137" s="38" t="n"/>
      <c r="AN137" s="38" t="n"/>
      <c r="AO137" s="38" t="n"/>
      <c r="AP137" s="38" t="n"/>
      <c r="AQ137" s="38" t="n"/>
      <c r="AR137" s="38" t="n"/>
      <c r="AS137" s="38" t="n"/>
      <c r="AT137" s="38" t="n"/>
      <c r="AU137" s="38" t="n"/>
      <c r="AV137" s="38" t="n"/>
      <c r="AW137" s="38" t="n"/>
      <c r="AX137" s="38" t="n"/>
      <c r="AY137" s="38" t="n"/>
      <c r="AZ137" s="38" t="n"/>
      <c r="BA137" s="38" t="n"/>
      <c r="BB137" s="38" t="n"/>
    </row>
    <row r="139">
      <c r="A139" s="39" t="inlineStr">
        <is>
          <t>Direct — Desktop</t>
        </is>
      </c>
    </row>
    <row r="140">
      <c r="A140" s="40" t="inlineStr">
        <is>
          <t>United Kingdom</t>
        </is>
      </c>
      <c r="B140" s="40" t="inlineStr">
        <is>
          <t>Direct</t>
        </is>
      </c>
      <c r="C140" s="41">
        <f>IF(SUMIFS(Countries!$E$5:$E$434,Countries!$A$5:$A$434,"All landing pages",Countries!$B$5:$B$434,"Direct",Countries!$C$5:$C$434,"Desktop",Countries!$D$5:$D$434,$A140)=0,"",SUMIFS(Countries!$E$5:$E$434,Countries!$A$5:$A$434,"All landing pages",Countries!$B$5:$B$434,"Direct",Countries!$C$5:$C$434,"Desktop",Countries!$D$5:$D$434,$A140))</f>
        <v/>
      </c>
      <c r="D140" s="41">
        <f>IF(SUMIFS(Countries!$F$5:$F$434,Countries!$A$5:$A$434,"All landing pages",Countries!$B$5:$B$434,"Direct",Countries!$C$5:$C$434,"Desktop",Countries!$D$5:$D$434,$A140)=0,"",SUMIFS(Countries!$F$5:$F$434,Countries!$A$5:$A$434,"All landing pages",Countries!$B$5:$B$434,"Direct",Countries!$C$5:$C$434,"Desktop",Countries!$D$5:$D$434,$A140))</f>
        <v/>
      </c>
      <c r="E140" s="42">
        <f>IF(OR(C140="",D140="",D140=0,C140=0),"",D140/C140-1)</f>
        <v/>
      </c>
      <c r="F140" s="41">
        <f>IF(SUMIFS(Countries!$P$5:$P$434,Countries!$A$5:$A$434,"All landing pages",Countries!$B$5:$B$434,"Direct",Countries!$C$5:$C$434,"Desktop",Countries!$D$5:$D$434,$A140)=0,"",SUMIFS(Countries!$P$5:$P$434,Countries!$A$5:$A$434,"All landing pages",Countries!$B$5:$B$434,"Direct",Countries!$C$5:$C$434,"Desktop",Countries!$D$5:$D$434,$A140))</f>
        <v/>
      </c>
      <c r="G140" s="41">
        <f>IF(SUMIFS(Countries!$Q$5:$Q$434,Countries!$A$5:$A$434,"All landing pages",Countries!$B$5:$B$434,"Direct",Countries!$C$5:$C$434,"Desktop",Countries!$D$5:$D$434,$A140)=0,"",SUMIFS(Countries!$Q$5:$Q$434,Countries!$A$5:$A$434,"All landing pages",Countries!$B$5:$B$434,"Direct",Countries!$C$5:$C$434,"Desktop",Countries!$D$5:$D$434,$A140))</f>
        <v/>
      </c>
      <c r="H140" s="42">
        <f>IF(OR(F140="",G140="",G140=0,F140=0),"",G140/F140-1)</f>
        <v/>
      </c>
      <c r="I140" s="41">
        <f>IF(SUMIFS(Countries!$AR$5:$AR$434,Countries!$A$5:$A$434,"All landing pages",Countries!$B$5:$B$434,"Direct",Countries!$C$5:$C$434,"Desktop",Countries!$D$5:$D$434,$A140)=0,"",SUMIFS(Countries!$AR$5:$AR$434,Countries!$A$5:$A$434,"All landing pages",Countries!$B$5:$B$434,"Direct",Countries!$C$5:$C$434,"Desktop",Countries!$D$5:$D$434,$A140))</f>
        <v/>
      </c>
      <c r="J140" s="41">
        <f>IF(SUMIFS(Countries!$AS$5:$AS$434,Countries!$A$5:$A$434,"All landing pages",Countries!$B$5:$B$434,"Direct",Countries!$C$5:$C$434,"Desktop",Countries!$D$5:$D$434,$A140)=0,"",SUMIFS(Countries!$AS$5:$AS$434,Countries!$A$5:$A$434,"All landing pages",Countries!$B$5:$B$434,"Direct",Countries!$C$5:$C$434,"Desktop",Countries!$D$5:$D$434,$A140))</f>
        <v/>
      </c>
      <c r="K140" s="42">
        <f>IF(OR(I140="",J140="",J140=0,I140=0),"",J140/I140-1)</f>
        <v/>
      </c>
      <c r="L140" s="43">
        <f>IF(SUMIFS(Countries!$E$5:$E$434,Countries!$A$5:$A$434,"All landing pages",Countries!$B$5:$B$434,"Direct",Countries!$C$5:$C$434,"Desktop",Countries!$D$5:$D$434,$A140,Countries!$P$5:$P$434,"&gt;0")=0,"",SUMIFS(Countries!$P$5:$P$434,Countries!$A$5:$A$434,"All landing pages",Countries!$B$5:$B$434,"Direct",Countries!$C$5:$C$434,"Desktop",Countries!$D$5:$D$434,$A140,Countries!$E$5:$E$434,"&gt;0")/SUMIFS(Countries!$E$5:$E$434,Countries!$A$5:$A$434,"All landing pages",Countries!$B$5:$B$434,"Direct",Countries!$C$5:$C$434,"Desktop",Countries!$D$5:$D$434,$A140,Countries!$P$5:$P$434,"&gt;0"))</f>
        <v/>
      </c>
      <c r="M140" s="43">
        <f>IF(SUMIFS(Countries!$F$5:$F$434,Countries!$A$5:$A$434,"All landing pages",Countries!$B$5:$B$434,"Direct",Countries!$C$5:$C$434,"Desktop",Countries!$D$5:$D$434,$A140,Countries!$Q$5:$Q$434,"&gt;0")=0,"",SUMIFS(Countries!$Q$5:$Q$434,Countries!$A$5:$A$434,"All landing pages",Countries!$B$5:$B$434,"Direct",Countries!$C$5:$C$434,"Desktop",Countries!$D$5:$D$434,$A140,Countries!$F$5:$F$434,"&gt;0")/SUMIFS(Countries!$F$5:$F$434,Countries!$A$5:$A$434,"All landing pages",Countries!$B$5:$B$434,"Direct",Countries!$C$5:$C$434,"Desktop",Countries!$D$5:$D$434,$A140,Countries!$Q$5:$Q$434,"&gt;0"))</f>
        <v/>
      </c>
      <c r="N140" s="44">
        <f>IF(OR(L140="",M140=""),"",(M140-L140)*100)</f>
        <v/>
      </c>
      <c r="O140" s="45">
        <f>IF(SUMIFS(Countries!$P$5:$P$434,Countries!$A$5:$A$434,"All landing pages",Countries!$B$5:$B$434,"Direct",Countries!$C$5:$C$434,"Desktop",Countries!$D$5:$D$434,$A140,Countries!$AR$5:$AR$434,"&gt;0")=0,"",SUMIFS(Countries!$AR$5:$AR$434,Countries!$A$5:$A$434,"All landing pages",Countries!$B$5:$B$434,"Direct",Countries!$C$5:$C$434,"Desktop",Countries!$D$5:$D$434,$A140,Countries!$P$5:$P$434,"&gt;0")/SUMIFS(Countries!$P$5:$P$434,Countries!$A$5:$A$434,"All landing pages",Countries!$B$5:$B$434,"Direct",Countries!$C$5:$C$434,"Desktop",Countries!$D$5:$D$434,$A140,Countries!$AR$5:$AR$434,"&gt;0"))</f>
        <v/>
      </c>
      <c r="P140" s="45">
        <f>IF(SUMIFS(Countries!$Q$5:$Q$434,Countries!$A$5:$A$434,"All landing pages",Countries!$B$5:$B$434,"Direct",Countries!$C$5:$C$434,"Desktop",Countries!$D$5:$D$434,$A140,Countries!$AS$5:$AS$434,"&gt;0")=0,"",SUMIFS(Countries!$AS$5:$AS$434,Countries!$A$5:$A$434,"All landing pages",Countries!$B$5:$B$434,"Direct",Countries!$C$5:$C$434,"Desktop",Countries!$D$5:$D$434,$A140,Countries!$Q$5:$Q$434,"&gt;0")/SUMIFS(Countries!$Q$5:$Q$434,Countries!$A$5:$A$434,"All landing pages",Countries!$B$5:$B$434,"Direct",Countries!$C$5:$C$434,"Desktop",Countries!$D$5:$D$434,$A140,Countries!$AS$5:$AS$434,"&gt;0"))</f>
        <v/>
      </c>
      <c r="Q140" s="44">
        <f>IF(OR(O140="",P140=""),"",(P140-O140)*100)</f>
        <v/>
      </c>
      <c r="R140" s="45">
        <f>IF(SUMIFS(Countries!$E$5:$E$434,Countries!$A$5:$A$434,"All landing pages",Countries!$B$5:$B$434,"Direct",Countries!$C$5:$C$434,"Desktop",Countries!$D$5:$D$434,$A140,Countries!$AR$5:$AR$434,"&gt;0")=0,"",SUMIFS(Countries!$AR$5:$AR$434,Countries!$A$5:$A$434,"All landing pages",Countries!$B$5:$B$434,"Direct",Countries!$C$5:$C$434,"Desktop",Countries!$D$5:$D$434,$A140,Countries!$E$5:$E$434,"&gt;0")/SUMIFS(Countries!$E$5:$E$434,Countries!$A$5:$A$434,"All landing pages",Countries!$B$5:$B$434,"Direct",Countries!$C$5:$C$434,"Desktop",Countries!$D$5:$D$434,$A140,Countries!$AR$5:$AR$434,"&gt;0"))</f>
        <v/>
      </c>
      <c r="S140" s="45">
        <f>IF(SUMIFS(Countries!$F$5:$F$434,Countries!$A$5:$A$434,"All landing pages",Countries!$B$5:$B$434,"Direct",Countries!$C$5:$C$434,"Desktop",Countries!$D$5:$D$434,$A140,Countries!$AS$5:$AS$434,"&gt;0")=0,"",SUMIFS(Countries!$AS$5:$AS$434,Countries!$A$5:$A$434,"All landing pages",Countries!$B$5:$B$434,"Direct",Countries!$C$5:$C$434,"Desktop",Countries!$D$5:$D$434,$A140,Countries!$F$5:$F$434,"&gt;0")/SUMIFS(Countries!$F$5:$F$434,Countries!$A$5:$A$434,"All landing pages",Countries!$B$5:$B$434,"Direct",Countries!$C$5:$C$434,"Desktop",Countries!$D$5:$D$434,$A140,Countries!$AS$5:$AS$434,"&gt;0"))</f>
        <v/>
      </c>
      <c r="T140" s="44">
        <f>IF(OR(R140="",S140=""),"",(S140-R140)*100)</f>
        <v/>
      </c>
    </row>
    <row r="141">
      <c r="A141" s="40" t="inlineStr">
        <is>
          <t>Germany</t>
        </is>
      </c>
      <c r="B141" s="40" t="inlineStr">
        <is>
          <t>Direct</t>
        </is>
      </c>
      <c r="C141" s="41">
        <f>IF(SUMIFS(Countries!$E$5:$E$434,Countries!$A$5:$A$434,"All landing pages",Countries!$B$5:$B$434,"Direct",Countries!$C$5:$C$434,"Desktop",Countries!$D$5:$D$434,$A141)=0,"",SUMIFS(Countries!$E$5:$E$434,Countries!$A$5:$A$434,"All landing pages",Countries!$B$5:$B$434,"Direct",Countries!$C$5:$C$434,"Desktop",Countries!$D$5:$D$434,$A141))</f>
        <v/>
      </c>
      <c r="D141" s="41">
        <f>IF(SUMIFS(Countries!$F$5:$F$434,Countries!$A$5:$A$434,"All landing pages",Countries!$B$5:$B$434,"Direct",Countries!$C$5:$C$434,"Desktop",Countries!$D$5:$D$434,$A141)=0,"",SUMIFS(Countries!$F$5:$F$434,Countries!$A$5:$A$434,"All landing pages",Countries!$B$5:$B$434,"Direct",Countries!$C$5:$C$434,"Desktop",Countries!$D$5:$D$434,$A141))</f>
        <v/>
      </c>
      <c r="E141" s="42">
        <f>IF(OR(C141="",D141="",D141=0,C141=0),"",D141/C141-1)</f>
        <v/>
      </c>
      <c r="F141" s="41">
        <f>IF(SUMIFS(Countries!$P$5:$P$434,Countries!$A$5:$A$434,"All landing pages",Countries!$B$5:$B$434,"Direct",Countries!$C$5:$C$434,"Desktop",Countries!$D$5:$D$434,$A141)=0,"",SUMIFS(Countries!$P$5:$P$434,Countries!$A$5:$A$434,"All landing pages",Countries!$B$5:$B$434,"Direct",Countries!$C$5:$C$434,"Desktop",Countries!$D$5:$D$434,$A141))</f>
        <v/>
      </c>
      <c r="G141" s="41">
        <f>IF(SUMIFS(Countries!$Q$5:$Q$434,Countries!$A$5:$A$434,"All landing pages",Countries!$B$5:$B$434,"Direct",Countries!$C$5:$C$434,"Desktop",Countries!$D$5:$D$434,$A141)=0,"",SUMIFS(Countries!$Q$5:$Q$434,Countries!$A$5:$A$434,"All landing pages",Countries!$B$5:$B$434,"Direct",Countries!$C$5:$C$434,"Desktop",Countries!$D$5:$D$434,$A141))</f>
        <v/>
      </c>
      <c r="H141" s="42">
        <f>IF(OR(F141="",G141="",G141=0,F141=0),"",G141/F141-1)</f>
        <v/>
      </c>
      <c r="I141" s="41">
        <f>IF(SUMIFS(Countries!$AR$5:$AR$434,Countries!$A$5:$A$434,"All landing pages",Countries!$B$5:$B$434,"Direct",Countries!$C$5:$C$434,"Desktop",Countries!$D$5:$D$434,$A141)=0,"",SUMIFS(Countries!$AR$5:$AR$434,Countries!$A$5:$A$434,"All landing pages",Countries!$B$5:$B$434,"Direct",Countries!$C$5:$C$434,"Desktop",Countries!$D$5:$D$434,$A141))</f>
        <v/>
      </c>
      <c r="J141" s="41">
        <f>IF(SUMIFS(Countries!$AS$5:$AS$434,Countries!$A$5:$A$434,"All landing pages",Countries!$B$5:$B$434,"Direct",Countries!$C$5:$C$434,"Desktop",Countries!$D$5:$D$434,$A141)=0,"",SUMIFS(Countries!$AS$5:$AS$434,Countries!$A$5:$A$434,"All landing pages",Countries!$B$5:$B$434,"Direct",Countries!$C$5:$C$434,"Desktop",Countries!$D$5:$D$434,$A141))</f>
        <v/>
      </c>
      <c r="K141" s="42">
        <f>IF(OR(I141="",J141="",J141=0,I141=0),"",J141/I141-1)</f>
        <v/>
      </c>
      <c r="L141" s="43">
        <f>IF(SUMIFS(Countries!$E$5:$E$434,Countries!$A$5:$A$434,"All landing pages",Countries!$B$5:$B$434,"Direct",Countries!$C$5:$C$434,"Desktop",Countries!$D$5:$D$434,$A141,Countries!$P$5:$P$434,"&gt;0")=0,"",SUMIFS(Countries!$P$5:$P$434,Countries!$A$5:$A$434,"All landing pages",Countries!$B$5:$B$434,"Direct",Countries!$C$5:$C$434,"Desktop",Countries!$D$5:$D$434,$A141,Countries!$E$5:$E$434,"&gt;0")/SUMIFS(Countries!$E$5:$E$434,Countries!$A$5:$A$434,"All landing pages",Countries!$B$5:$B$434,"Direct",Countries!$C$5:$C$434,"Desktop",Countries!$D$5:$D$434,$A141,Countries!$P$5:$P$434,"&gt;0"))</f>
        <v/>
      </c>
      <c r="M141" s="43">
        <f>IF(SUMIFS(Countries!$F$5:$F$434,Countries!$A$5:$A$434,"All landing pages",Countries!$B$5:$B$434,"Direct",Countries!$C$5:$C$434,"Desktop",Countries!$D$5:$D$434,$A141,Countries!$Q$5:$Q$434,"&gt;0")=0,"",SUMIFS(Countries!$Q$5:$Q$434,Countries!$A$5:$A$434,"All landing pages",Countries!$B$5:$B$434,"Direct",Countries!$C$5:$C$434,"Desktop",Countries!$D$5:$D$434,$A141,Countries!$F$5:$F$434,"&gt;0")/SUMIFS(Countries!$F$5:$F$434,Countries!$A$5:$A$434,"All landing pages",Countries!$B$5:$B$434,"Direct",Countries!$C$5:$C$434,"Desktop",Countries!$D$5:$D$434,$A141,Countries!$Q$5:$Q$434,"&gt;0"))</f>
        <v/>
      </c>
      <c r="N141" s="44">
        <f>IF(OR(L141="",M141=""),"",(M141-L141)*100)</f>
        <v/>
      </c>
      <c r="O141" s="45">
        <f>IF(SUMIFS(Countries!$P$5:$P$434,Countries!$A$5:$A$434,"All landing pages",Countries!$B$5:$B$434,"Direct",Countries!$C$5:$C$434,"Desktop",Countries!$D$5:$D$434,$A141,Countries!$AR$5:$AR$434,"&gt;0")=0,"",SUMIFS(Countries!$AR$5:$AR$434,Countries!$A$5:$A$434,"All landing pages",Countries!$B$5:$B$434,"Direct",Countries!$C$5:$C$434,"Desktop",Countries!$D$5:$D$434,$A141,Countries!$P$5:$P$434,"&gt;0")/SUMIFS(Countries!$P$5:$P$434,Countries!$A$5:$A$434,"All landing pages",Countries!$B$5:$B$434,"Direct",Countries!$C$5:$C$434,"Desktop",Countries!$D$5:$D$434,$A141,Countries!$AR$5:$AR$434,"&gt;0"))</f>
        <v/>
      </c>
      <c r="P141" s="45">
        <f>IF(SUMIFS(Countries!$Q$5:$Q$434,Countries!$A$5:$A$434,"All landing pages",Countries!$B$5:$B$434,"Direct",Countries!$C$5:$C$434,"Desktop",Countries!$D$5:$D$434,$A141,Countries!$AS$5:$AS$434,"&gt;0")=0,"",SUMIFS(Countries!$AS$5:$AS$434,Countries!$A$5:$A$434,"All landing pages",Countries!$B$5:$B$434,"Direct",Countries!$C$5:$C$434,"Desktop",Countries!$D$5:$D$434,$A141,Countries!$Q$5:$Q$434,"&gt;0")/SUMIFS(Countries!$Q$5:$Q$434,Countries!$A$5:$A$434,"All landing pages",Countries!$B$5:$B$434,"Direct",Countries!$C$5:$C$434,"Desktop",Countries!$D$5:$D$434,$A141,Countries!$AS$5:$AS$434,"&gt;0"))</f>
        <v/>
      </c>
      <c r="Q141" s="44">
        <f>IF(OR(O141="",P141=""),"",(P141-O141)*100)</f>
        <v/>
      </c>
      <c r="R141" s="45">
        <f>IF(SUMIFS(Countries!$E$5:$E$434,Countries!$A$5:$A$434,"All landing pages",Countries!$B$5:$B$434,"Direct",Countries!$C$5:$C$434,"Desktop",Countries!$D$5:$D$434,$A141,Countries!$AR$5:$AR$434,"&gt;0")=0,"",SUMIFS(Countries!$AR$5:$AR$434,Countries!$A$5:$A$434,"All landing pages",Countries!$B$5:$B$434,"Direct",Countries!$C$5:$C$434,"Desktop",Countries!$D$5:$D$434,$A141,Countries!$E$5:$E$434,"&gt;0")/SUMIFS(Countries!$E$5:$E$434,Countries!$A$5:$A$434,"All landing pages",Countries!$B$5:$B$434,"Direct",Countries!$C$5:$C$434,"Desktop",Countries!$D$5:$D$434,$A141,Countries!$AR$5:$AR$434,"&gt;0"))</f>
        <v/>
      </c>
      <c r="S141" s="45">
        <f>IF(SUMIFS(Countries!$F$5:$F$434,Countries!$A$5:$A$434,"All landing pages",Countries!$B$5:$B$434,"Direct",Countries!$C$5:$C$434,"Desktop",Countries!$D$5:$D$434,$A141,Countries!$AS$5:$AS$434,"&gt;0")=0,"",SUMIFS(Countries!$AS$5:$AS$434,Countries!$A$5:$A$434,"All landing pages",Countries!$B$5:$B$434,"Direct",Countries!$C$5:$C$434,"Desktop",Countries!$D$5:$D$434,$A141,Countries!$F$5:$F$434,"&gt;0")/SUMIFS(Countries!$F$5:$F$434,Countries!$A$5:$A$434,"All landing pages",Countries!$B$5:$B$434,"Direct",Countries!$C$5:$C$434,"Desktop",Countries!$D$5:$D$434,$A141,Countries!$AS$5:$AS$434,"&gt;0"))</f>
        <v/>
      </c>
      <c r="T141" s="44">
        <f>IF(OR(R141="",S141=""),"",(S141-R141)*100)</f>
        <v/>
      </c>
    </row>
    <row r="142">
      <c r="A142" s="40" t="inlineStr">
        <is>
          <t>Italy</t>
        </is>
      </c>
      <c r="B142" s="40" t="inlineStr">
        <is>
          <t>Direct</t>
        </is>
      </c>
      <c r="C142" s="41">
        <f>IF(SUMIFS(Countries!$E$5:$E$434,Countries!$A$5:$A$434,"All landing pages",Countries!$B$5:$B$434,"Direct",Countries!$C$5:$C$434,"Desktop",Countries!$D$5:$D$434,$A142)=0,"",SUMIFS(Countries!$E$5:$E$434,Countries!$A$5:$A$434,"All landing pages",Countries!$B$5:$B$434,"Direct",Countries!$C$5:$C$434,"Desktop",Countries!$D$5:$D$434,$A142))</f>
        <v/>
      </c>
      <c r="D142" s="41">
        <f>IF(SUMIFS(Countries!$F$5:$F$434,Countries!$A$5:$A$434,"All landing pages",Countries!$B$5:$B$434,"Direct",Countries!$C$5:$C$434,"Desktop",Countries!$D$5:$D$434,$A142)=0,"",SUMIFS(Countries!$F$5:$F$434,Countries!$A$5:$A$434,"All landing pages",Countries!$B$5:$B$434,"Direct",Countries!$C$5:$C$434,"Desktop",Countries!$D$5:$D$434,$A142))</f>
        <v/>
      </c>
      <c r="E142" s="42">
        <f>IF(OR(C142="",D142="",D142=0,C142=0),"",D142/C142-1)</f>
        <v/>
      </c>
      <c r="F142" s="41">
        <f>IF(SUMIFS(Countries!$P$5:$P$434,Countries!$A$5:$A$434,"All landing pages",Countries!$B$5:$B$434,"Direct",Countries!$C$5:$C$434,"Desktop",Countries!$D$5:$D$434,$A142)=0,"",SUMIFS(Countries!$P$5:$P$434,Countries!$A$5:$A$434,"All landing pages",Countries!$B$5:$B$434,"Direct",Countries!$C$5:$C$434,"Desktop",Countries!$D$5:$D$434,$A142))</f>
        <v/>
      </c>
      <c r="G142" s="41">
        <f>IF(SUMIFS(Countries!$Q$5:$Q$434,Countries!$A$5:$A$434,"All landing pages",Countries!$B$5:$B$434,"Direct",Countries!$C$5:$C$434,"Desktop",Countries!$D$5:$D$434,$A142)=0,"",SUMIFS(Countries!$Q$5:$Q$434,Countries!$A$5:$A$434,"All landing pages",Countries!$B$5:$B$434,"Direct",Countries!$C$5:$C$434,"Desktop",Countries!$D$5:$D$434,$A142))</f>
        <v/>
      </c>
      <c r="H142" s="42">
        <f>IF(OR(F142="",G142="",G142=0,F142=0),"",G142/F142-1)</f>
        <v/>
      </c>
      <c r="I142" s="41">
        <f>IF(SUMIFS(Countries!$AR$5:$AR$434,Countries!$A$5:$A$434,"All landing pages",Countries!$B$5:$B$434,"Direct",Countries!$C$5:$C$434,"Desktop",Countries!$D$5:$D$434,$A142)=0,"",SUMIFS(Countries!$AR$5:$AR$434,Countries!$A$5:$A$434,"All landing pages",Countries!$B$5:$B$434,"Direct",Countries!$C$5:$C$434,"Desktop",Countries!$D$5:$D$434,$A142))</f>
        <v/>
      </c>
      <c r="J142" s="41">
        <f>IF(SUMIFS(Countries!$AS$5:$AS$434,Countries!$A$5:$A$434,"All landing pages",Countries!$B$5:$B$434,"Direct",Countries!$C$5:$C$434,"Desktop",Countries!$D$5:$D$434,$A142)=0,"",SUMIFS(Countries!$AS$5:$AS$434,Countries!$A$5:$A$434,"All landing pages",Countries!$B$5:$B$434,"Direct",Countries!$C$5:$C$434,"Desktop",Countries!$D$5:$D$434,$A142))</f>
        <v/>
      </c>
      <c r="K142" s="42">
        <f>IF(OR(I142="",J142="",J142=0,I142=0),"",J142/I142-1)</f>
        <v/>
      </c>
      <c r="L142" s="43">
        <f>IF(SUMIFS(Countries!$E$5:$E$434,Countries!$A$5:$A$434,"All landing pages",Countries!$B$5:$B$434,"Direct",Countries!$C$5:$C$434,"Desktop",Countries!$D$5:$D$434,$A142,Countries!$P$5:$P$434,"&gt;0")=0,"",SUMIFS(Countries!$P$5:$P$434,Countries!$A$5:$A$434,"All landing pages",Countries!$B$5:$B$434,"Direct",Countries!$C$5:$C$434,"Desktop",Countries!$D$5:$D$434,$A142,Countries!$E$5:$E$434,"&gt;0")/SUMIFS(Countries!$E$5:$E$434,Countries!$A$5:$A$434,"All landing pages",Countries!$B$5:$B$434,"Direct",Countries!$C$5:$C$434,"Desktop",Countries!$D$5:$D$434,$A142,Countries!$P$5:$P$434,"&gt;0"))</f>
        <v/>
      </c>
      <c r="M142" s="43">
        <f>IF(SUMIFS(Countries!$F$5:$F$434,Countries!$A$5:$A$434,"All landing pages",Countries!$B$5:$B$434,"Direct",Countries!$C$5:$C$434,"Desktop",Countries!$D$5:$D$434,$A142,Countries!$Q$5:$Q$434,"&gt;0")=0,"",SUMIFS(Countries!$Q$5:$Q$434,Countries!$A$5:$A$434,"All landing pages",Countries!$B$5:$B$434,"Direct",Countries!$C$5:$C$434,"Desktop",Countries!$D$5:$D$434,$A142,Countries!$F$5:$F$434,"&gt;0")/SUMIFS(Countries!$F$5:$F$434,Countries!$A$5:$A$434,"All landing pages",Countries!$B$5:$B$434,"Direct",Countries!$C$5:$C$434,"Desktop",Countries!$D$5:$D$434,$A142,Countries!$Q$5:$Q$434,"&gt;0"))</f>
        <v/>
      </c>
      <c r="N142" s="44">
        <f>IF(OR(L142="",M142=""),"",(M142-L142)*100)</f>
        <v/>
      </c>
      <c r="O142" s="45">
        <f>IF(SUMIFS(Countries!$P$5:$P$434,Countries!$A$5:$A$434,"All landing pages",Countries!$B$5:$B$434,"Direct",Countries!$C$5:$C$434,"Desktop",Countries!$D$5:$D$434,$A142,Countries!$AR$5:$AR$434,"&gt;0")=0,"",SUMIFS(Countries!$AR$5:$AR$434,Countries!$A$5:$A$434,"All landing pages",Countries!$B$5:$B$434,"Direct",Countries!$C$5:$C$434,"Desktop",Countries!$D$5:$D$434,$A142,Countries!$P$5:$P$434,"&gt;0")/SUMIFS(Countries!$P$5:$P$434,Countries!$A$5:$A$434,"All landing pages",Countries!$B$5:$B$434,"Direct",Countries!$C$5:$C$434,"Desktop",Countries!$D$5:$D$434,$A142,Countries!$AR$5:$AR$434,"&gt;0"))</f>
        <v/>
      </c>
      <c r="P142" s="45">
        <f>IF(SUMIFS(Countries!$Q$5:$Q$434,Countries!$A$5:$A$434,"All landing pages",Countries!$B$5:$B$434,"Direct",Countries!$C$5:$C$434,"Desktop",Countries!$D$5:$D$434,$A142,Countries!$AS$5:$AS$434,"&gt;0")=0,"",SUMIFS(Countries!$AS$5:$AS$434,Countries!$A$5:$A$434,"All landing pages",Countries!$B$5:$B$434,"Direct",Countries!$C$5:$C$434,"Desktop",Countries!$D$5:$D$434,$A142,Countries!$Q$5:$Q$434,"&gt;0")/SUMIFS(Countries!$Q$5:$Q$434,Countries!$A$5:$A$434,"All landing pages",Countries!$B$5:$B$434,"Direct",Countries!$C$5:$C$434,"Desktop",Countries!$D$5:$D$434,$A142,Countries!$AS$5:$AS$434,"&gt;0"))</f>
        <v/>
      </c>
      <c r="Q142" s="44">
        <f>IF(OR(O142="",P142=""),"",(P142-O142)*100)</f>
        <v/>
      </c>
      <c r="R142" s="45">
        <f>IF(SUMIFS(Countries!$E$5:$E$434,Countries!$A$5:$A$434,"All landing pages",Countries!$B$5:$B$434,"Direct",Countries!$C$5:$C$434,"Desktop",Countries!$D$5:$D$434,$A142,Countries!$AR$5:$AR$434,"&gt;0")=0,"",SUMIFS(Countries!$AR$5:$AR$434,Countries!$A$5:$A$434,"All landing pages",Countries!$B$5:$B$434,"Direct",Countries!$C$5:$C$434,"Desktop",Countries!$D$5:$D$434,$A142,Countries!$E$5:$E$434,"&gt;0")/SUMIFS(Countries!$E$5:$E$434,Countries!$A$5:$A$434,"All landing pages",Countries!$B$5:$B$434,"Direct",Countries!$C$5:$C$434,"Desktop",Countries!$D$5:$D$434,$A142,Countries!$AR$5:$AR$434,"&gt;0"))</f>
        <v/>
      </c>
      <c r="S142" s="45">
        <f>IF(SUMIFS(Countries!$F$5:$F$434,Countries!$A$5:$A$434,"All landing pages",Countries!$B$5:$B$434,"Direct",Countries!$C$5:$C$434,"Desktop",Countries!$D$5:$D$434,$A142,Countries!$AS$5:$AS$434,"&gt;0")=0,"",SUMIFS(Countries!$AS$5:$AS$434,Countries!$A$5:$A$434,"All landing pages",Countries!$B$5:$B$434,"Direct",Countries!$C$5:$C$434,"Desktop",Countries!$D$5:$D$434,$A142,Countries!$F$5:$F$434,"&gt;0")/SUMIFS(Countries!$F$5:$F$434,Countries!$A$5:$A$434,"All landing pages",Countries!$B$5:$B$434,"Direct",Countries!$C$5:$C$434,"Desktop",Countries!$D$5:$D$434,$A142,Countries!$AS$5:$AS$434,"&gt;0"))</f>
        <v/>
      </c>
      <c r="T142" s="44">
        <f>IF(OR(R142="",S142=""),"",(S142-R142)*100)</f>
        <v/>
      </c>
    </row>
    <row r="143">
      <c r="A143" s="40" t="inlineStr">
        <is>
          <t>Spain</t>
        </is>
      </c>
      <c r="B143" s="40" t="inlineStr">
        <is>
          <t>Direct</t>
        </is>
      </c>
      <c r="C143" s="41">
        <f>IF(SUMIFS(Countries!$E$5:$E$434,Countries!$A$5:$A$434,"All landing pages",Countries!$B$5:$B$434,"Direct",Countries!$C$5:$C$434,"Desktop",Countries!$D$5:$D$434,$A143)=0,"",SUMIFS(Countries!$E$5:$E$434,Countries!$A$5:$A$434,"All landing pages",Countries!$B$5:$B$434,"Direct",Countries!$C$5:$C$434,"Desktop",Countries!$D$5:$D$434,$A143))</f>
        <v/>
      </c>
      <c r="D143" s="41">
        <f>IF(SUMIFS(Countries!$F$5:$F$434,Countries!$A$5:$A$434,"All landing pages",Countries!$B$5:$B$434,"Direct",Countries!$C$5:$C$434,"Desktop",Countries!$D$5:$D$434,$A143)=0,"",SUMIFS(Countries!$F$5:$F$434,Countries!$A$5:$A$434,"All landing pages",Countries!$B$5:$B$434,"Direct",Countries!$C$5:$C$434,"Desktop",Countries!$D$5:$D$434,$A143))</f>
        <v/>
      </c>
      <c r="E143" s="42">
        <f>IF(OR(C143="",D143="",D143=0,C143=0),"",D143/C143-1)</f>
        <v/>
      </c>
      <c r="F143" s="41">
        <f>IF(SUMIFS(Countries!$P$5:$P$434,Countries!$A$5:$A$434,"All landing pages",Countries!$B$5:$B$434,"Direct",Countries!$C$5:$C$434,"Desktop",Countries!$D$5:$D$434,$A143)=0,"",SUMIFS(Countries!$P$5:$P$434,Countries!$A$5:$A$434,"All landing pages",Countries!$B$5:$B$434,"Direct",Countries!$C$5:$C$434,"Desktop",Countries!$D$5:$D$434,$A143))</f>
        <v/>
      </c>
      <c r="G143" s="41">
        <f>IF(SUMIFS(Countries!$Q$5:$Q$434,Countries!$A$5:$A$434,"All landing pages",Countries!$B$5:$B$434,"Direct",Countries!$C$5:$C$434,"Desktop",Countries!$D$5:$D$434,$A143)=0,"",SUMIFS(Countries!$Q$5:$Q$434,Countries!$A$5:$A$434,"All landing pages",Countries!$B$5:$B$434,"Direct",Countries!$C$5:$C$434,"Desktop",Countries!$D$5:$D$434,$A143))</f>
        <v/>
      </c>
      <c r="H143" s="42">
        <f>IF(OR(F143="",G143="",G143=0,F143=0),"",G143/F143-1)</f>
        <v/>
      </c>
      <c r="I143" s="41">
        <f>IF(SUMIFS(Countries!$AR$5:$AR$434,Countries!$A$5:$A$434,"All landing pages",Countries!$B$5:$B$434,"Direct",Countries!$C$5:$C$434,"Desktop",Countries!$D$5:$D$434,$A143)=0,"",SUMIFS(Countries!$AR$5:$AR$434,Countries!$A$5:$A$434,"All landing pages",Countries!$B$5:$B$434,"Direct",Countries!$C$5:$C$434,"Desktop",Countries!$D$5:$D$434,$A143))</f>
        <v/>
      </c>
      <c r="J143" s="41">
        <f>IF(SUMIFS(Countries!$AS$5:$AS$434,Countries!$A$5:$A$434,"All landing pages",Countries!$B$5:$B$434,"Direct",Countries!$C$5:$C$434,"Desktop",Countries!$D$5:$D$434,$A143)=0,"",SUMIFS(Countries!$AS$5:$AS$434,Countries!$A$5:$A$434,"All landing pages",Countries!$B$5:$B$434,"Direct",Countries!$C$5:$C$434,"Desktop",Countries!$D$5:$D$434,$A143))</f>
        <v/>
      </c>
      <c r="K143" s="42">
        <f>IF(OR(I143="",J143="",J143=0,I143=0),"",J143/I143-1)</f>
        <v/>
      </c>
      <c r="L143" s="43">
        <f>IF(SUMIFS(Countries!$E$5:$E$434,Countries!$A$5:$A$434,"All landing pages",Countries!$B$5:$B$434,"Direct",Countries!$C$5:$C$434,"Desktop",Countries!$D$5:$D$434,$A143,Countries!$P$5:$P$434,"&gt;0")=0,"",SUMIFS(Countries!$P$5:$P$434,Countries!$A$5:$A$434,"All landing pages",Countries!$B$5:$B$434,"Direct",Countries!$C$5:$C$434,"Desktop",Countries!$D$5:$D$434,$A143,Countries!$E$5:$E$434,"&gt;0")/SUMIFS(Countries!$E$5:$E$434,Countries!$A$5:$A$434,"All landing pages",Countries!$B$5:$B$434,"Direct",Countries!$C$5:$C$434,"Desktop",Countries!$D$5:$D$434,$A143,Countries!$P$5:$P$434,"&gt;0"))</f>
        <v/>
      </c>
      <c r="M143" s="43">
        <f>IF(SUMIFS(Countries!$F$5:$F$434,Countries!$A$5:$A$434,"All landing pages",Countries!$B$5:$B$434,"Direct",Countries!$C$5:$C$434,"Desktop",Countries!$D$5:$D$434,$A143,Countries!$Q$5:$Q$434,"&gt;0")=0,"",SUMIFS(Countries!$Q$5:$Q$434,Countries!$A$5:$A$434,"All landing pages",Countries!$B$5:$B$434,"Direct",Countries!$C$5:$C$434,"Desktop",Countries!$D$5:$D$434,$A143,Countries!$F$5:$F$434,"&gt;0")/SUMIFS(Countries!$F$5:$F$434,Countries!$A$5:$A$434,"All landing pages",Countries!$B$5:$B$434,"Direct",Countries!$C$5:$C$434,"Desktop",Countries!$D$5:$D$434,$A143,Countries!$Q$5:$Q$434,"&gt;0"))</f>
        <v/>
      </c>
      <c r="N143" s="44">
        <f>IF(OR(L143="",M143=""),"",(M143-L143)*100)</f>
        <v/>
      </c>
      <c r="O143" s="45">
        <f>IF(SUMIFS(Countries!$P$5:$P$434,Countries!$A$5:$A$434,"All landing pages",Countries!$B$5:$B$434,"Direct",Countries!$C$5:$C$434,"Desktop",Countries!$D$5:$D$434,$A143,Countries!$AR$5:$AR$434,"&gt;0")=0,"",SUMIFS(Countries!$AR$5:$AR$434,Countries!$A$5:$A$434,"All landing pages",Countries!$B$5:$B$434,"Direct",Countries!$C$5:$C$434,"Desktop",Countries!$D$5:$D$434,$A143,Countries!$P$5:$P$434,"&gt;0")/SUMIFS(Countries!$P$5:$P$434,Countries!$A$5:$A$434,"All landing pages",Countries!$B$5:$B$434,"Direct",Countries!$C$5:$C$434,"Desktop",Countries!$D$5:$D$434,$A143,Countries!$AR$5:$AR$434,"&gt;0"))</f>
        <v/>
      </c>
      <c r="P143" s="45">
        <f>IF(SUMIFS(Countries!$Q$5:$Q$434,Countries!$A$5:$A$434,"All landing pages",Countries!$B$5:$B$434,"Direct",Countries!$C$5:$C$434,"Desktop",Countries!$D$5:$D$434,$A143,Countries!$AS$5:$AS$434,"&gt;0")=0,"",SUMIFS(Countries!$AS$5:$AS$434,Countries!$A$5:$A$434,"All landing pages",Countries!$B$5:$B$434,"Direct",Countries!$C$5:$C$434,"Desktop",Countries!$D$5:$D$434,$A143,Countries!$Q$5:$Q$434,"&gt;0")/SUMIFS(Countries!$Q$5:$Q$434,Countries!$A$5:$A$434,"All landing pages",Countries!$B$5:$B$434,"Direct",Countries!$C$5:$C$434,"Desktop",Countries!$D$5:$D$434,$A143,Countries!$AS$5:$AS$434,"&gt;0"))</f>
        <v/>
      </c>
      <c r="Q143" s="44">
        <f>IF(OR(O143="",P143=""),"",(P143-O143)*100)</f>
        <v/>
      </c>
      <c r="R143" s="45">
        <f>IF(SUMIFS(Countries!$E$5:$E$434,Countries!$A$5:$A$434,"All landing pages",Countries!$B$5:$B$434,"Direct",Countries!$C$5:$C$434,"Desktop",Countries!$D$5:$D$434,$A143,Countries!$AR$5:$AR$434,"&gt;0")=0,"",SUMIFS(Countries!$AR$5:$AR$434,Countries!$A$5:$A$434,"All landing pages",Countries!$B$5:$B$434,"Direct",Countries!$C$5:$C$434,"Desktop",Countries!$D$5:$D$434,$A143,Countries!$E$5:$E$434,"&gt;0")/SUMIFS(Countries!$E$5:$E$434,Countries!$A$5:$A$434,"All landing pages",Countries!$B$5:$B$434,"Direct",Countries!$C$5:$C$434,"Desktop",Countries!$D$5:$D$434,$A143,Countries!$AR$5:$AR$434,"&gt;0"))</f>
        <v/>
      </c>
      <c r="S143" s="45">
        <f>IF(SUMIFS(Countries!$F$5:$F$434,Countries!$A$5:$A$434,"All landing pages",Countries!$B$5:$B$434,"Direct",Countries!$C$5:$C$434,"Desktop",Countries!$D$5:$D$434,$A143,Countries!$AS$5:$AS$434,"&gt;0")=0,"",SUMIFS(Countries!$AS$5:$AS$434,Countries!$A$5:$A$434,"All landing pages",Countries!$B$5:$B$434,"Direct",Countries!$C$5:$C$434,"Desktop",Countries!$D$5:$D$434,$A143,Countries!$F$5:$F$434,"&gt;0")/SUMIFS(Countries!$F$5:$F$434,Countries!$A$5:$A$434,"All landing pages",Countries!$B$5:$B$434,"Direct",Countries!$C$5:$C$434,"Desktop",Countries!$D$5:$D$434,$A143,Countries!$AS$5:$AS$434,"&gt;0"))</f>
        <v/>
      </c>
      <c r="T143" s="44">
        <f>IF(OR(R143="",S143=""),"",(S143-R143)*100)</f>
        <v/>
      </c>
    </row>
    <row r="144">
      <c r="A144" s="40" t="inlineStr">
        <is>
          <t>Ireland</t>
        </is>
      </c>
      <c r="B144" s="40" t="inlineStr">
        <is>
          <t>Direct</t>
        </is>
      </c>
      <c r="C144" s="41">
        <f>IF(SUMIFS(Countries!$E$5:$E$434,Countries!$A$5:$A$434,"All landing pages",Countries!$B$5:$B$434,"Direct",Countries!$C$5:$C$434,"Desktop",Countries!$D$5:$D$434,$A144)=0,"",SUMIFS(Countries!$E$5:$E$434,Countries!$A$5:$A$434,"All landing pages",Countries!$B$5:$B$434,"Direct",Countries!$C$5:$C$434,"Desktop",Countries!$D$5:$D$434,$A144))</f>
        <v/>
      </c>
      <c r="D144" s="41">
        <f>IF(SUMIFS(Countries!$F$5:$F$434,Countries!$A$5:$A$434,"All landing pages",Countries!$B$5:$B$434,"Direct",Countries!$C$5:$C$434,"Desktop",Countries!$D$5:$D$434,$A144)=0,"",SUMIFS(Countries!$F$5:$F$434,Countries!$A$5:$A$434,"All landing pages",Countries!$B$5:$B$434,"Direct",Countries!$C$5:$C$434,"Desktop",Countries!$D$5:$D$434,$A144))</f>
        <v/>
      </c>
      <c r="E144" s="42">
        <f>IF(OR(C144="",D144="",D144=0,C144=0),"",D144/C144-1)</f>
        <v/>
      </c>
      <c r="F144" s="41">
        <f>IF(SUMIFS(Countries!$P$5:$P$434,Countries!$A$5:$A$434,"All landing pages",Countries!$B$5:$B$434,"Direct",Countries!$C$5:$C$434,"Desktop",Countries!$D$5:$D$434,$A144)=0,"",SUMIFS(Countries!$P$5:$P$434,Countries!$A$5:$A$434,"All landing pages",Countries!$B$5:$B$434,"Direct",Countries!$C$5:$C$434,"Desktop",Countries!$D$5:$D$434,$A144))</f>
        <v/>
      </c>
      <c r="G144" s="41">
        <f>IF(SUMIFS(Countries!$Q$5:$Q$434,Countries!$A$5:$A$434,"All landing pages",Countries!$B$5:$B$434,"Direct",Countries!$C$5:$C$434,"Desktop",Countries!$D$5:$D$434,$A144)=0,"",SUMIFS(Countries!$Q$5:$Q$434,Countries!$A$5:$A$434,"All landing pages",Countries!$B$5:$B$434,"Direct",Countries!$C$5:$C$434,"Desktop",Countries!$D$5:$D$434,$A144))</f>
        <v/>
      </c>
      <c r="H144" s="42">
        <f>IF(OR(F144="",G144="",G144=0,F144=0),"",G144/F144-1)</f>
        <v/>
      </c>
      <c r="I144" s="41">
        <f>IF(SUMIFS(Countries!$AR$5:$AR$434,Countries!$A$5:$A$434,"All landing pages",Countries!$B$5:$B$434,"Direct",Countries!$C$5:$C$434,"Desktop",Countries!$D$5:$D$434,$A144)=0,"",SUMIFS(Countries!$AR$5:$AR$434,Countries!$A$5:$A$434,"All landing pages",Countries!$B$5:$B$434,"Direct",Countries!$C$5:$C$434,"Desktop",Countries!$D$5:$D$434,$A144))</f>
        <v/>
      </c>
      <c r="J144" s="41">
        <f>IF(SUMIFS(Countries!$AS$5:$AS$434,Countries!$A$5:$A$434,"All landing pages",Countries!$B$5:$B$434,"Direct",Countries!$C$5:$C$434,"Desktop",Countries!$D$5:$D$434,$A144)=0,"",SUMIFS(Countries!$AS$5:$AS$434,Countries!$A$5:$A$434,"All landing pages",Countries!$B$5:$B$434,"Direct",Countries!$C$5:$C$434,"Desktop",Countries!$D$5:$D$434,$A144))</f>
        <v/>
      </c>
      <c r="K144" s="42">
        <f>IF(OR(I144="",J144="",J144=0,I144=0),"",J144/I144-1)</f>
        <v/>
      </c>
      <c r="L144" s="43">
        <f>IF(SUMIFS(Countries!$E$5:$E$434,Countries!$A$5:$A$434,"All landing pages",Countries!$B$5:$B$434,"Direct",Countries!$C$5:$C$434,"Desktop",Countries!$D$5:$D$434,$A144,Countries!$P$5:$P$434,"&gt;0")=0,"",SUMIFS(Countries!$P$5:$P$434,Countries!$A$5:$A$434,"All landing pages",Countries!$B$5:$B$434,"Direct",Countries!$C$5:$C$434,"Desktop",Countries!$D$5:$D$434,$A144,Countries!$E$5:$E$434,"&gt;0")/SUMIFS(Countries!$E$5:$E$434,Countries!$A$5:$A$434,"All landing pages",Countries!$B$5:$B$434,"Direct",Countries!$C$5:$C$434,"Desktop",Countries!$D$5:$D$434,$A144,Countries!$P$5:$P$434,"&gt;0"))</f>
        <v/>
      </c>
      <c r="M144" s="43">
        <f>IF(SUMIFS(Countries!$F$5:$F$434,Countries!$A$5:$A$434,"All landing pages",Countries!$B$5:$B$434,"Direct",Countries!$C$5:$C$434,"Desktop",Countries!$D$5:$D$434,$A144,Countries!$Q$5:$Q$434,"&gt;0")=0,"",SUMIFS(Countries!$Q$5:$Q$434,Countries!$A$5:$A$434,"All landing pages",Countries!$B$5:$B$434,"Direct",Countries!$C$5:$C$434,"Desktop",Countries!$D$5:$D$434,$A144,Countries!$F$5:$F$434,"&gt;0")/SUMIFS(Countries!$F$5:$F$434,Countries!$A$5:$A$434,"All landing pages",Countries!$B$5:$B$434,"Direct",Countries!$C$5:$C$434,"Desktop",Countries!$D$5:$D$434,$A144,Countries!$Q$5:$Q$434,"&gt;0"))</f>
        <v/>
      </c>
      <c r="N144" s="44">
        <f>IF(OR(L144="",M144=""),"",(M144-L144)*100)</f>
        <v/>
      </c>
      <c r="O144" s="45">
        <f>IF(SUMIFS(Countries!$P$5:$P$434,Countries!$A$5:$A$434,"All landing pages",Countries!$B$5:$B$434,"Direct",Countries!$C$5:$C$434,"Desktop",Countries!$D$5:$D$434,$A144,Countries!$AR$5:$AR$434,"&gt;0")=0,"",SUMIFS(Countries!$AR$5:$AR$434,Countries!$A$5:$A$434,"All landing pages",Countries!$B$5:$B$434,"Direct",Countries!$C$5:$C$434,"Desktop",Countries!$D$5:$D$434,$A144,Countries!$P$5:$P$434,"&gt;0")/SUMIFS(Countries!$P$5:$P$434,Countries!$A$5:$A$434,"All landing pages",Countries!$B$5:$B$434,"Direct",Countries!$C$5:$C$434,"Desktop",Countries!$D$5:$D$434,$A144,Countries!$AR$5:$AR$434,"&gt;0"))</f>
        <v/>
      </c>
      <c r="P144" s="45">
        <f>IF(SUMIFS(Countries!$Q$5:$Q$434,Countries!$A$5:$A$434,"All landing pages",Countries!$B$5:$B$434,"Direct",Countries!$C$5:$C$434,"Desktop",Countries!$D$5:$D$434,$A144,Countries!$AS$5:$AS$434,"&gt;0")=0,"",SUMIFS(Countries!$AS$5:$AS$434,Countries!$A$5:$A$434,"All landing pages",Countries!$B$5:$B$434,"Direct",Countries!$C$5:$C$434,"Desktop",Countries!$D$5:$D$434,$A144,Countries!$Q$5:$Q$434,"&gt;0")/SUMIFS(Countries!$Q$5:$Q$434,Countries!$A$5:$A$434,"All landing pages",Countries!$B$5:$B$434,"Direct",Countries!$C$5:$C$434,"Desktop",Countries!$D$5:$D$434,$A144,Countries!$AS$5:$AS$434,"&gt;0"))</f>
        <v/>
      </c>
      <c r="Q144" s="44">
        <f>IF(OR(O144="",P144=""),"",(P144-O144)*100)</f>
        <v/>
      </c>
      <c r="R144" s="45">
        <f>IF(SUMIFS(Countries!$E$5:$E$434,Countries!$A$5:$A$434,"All landing pages",Countries!$B$5:$B$434,"Direct",Countries!$C$5:$C$434,"Desktop",Countries!$D$5:$D$434,$A144,Countries!$AR$5:$AR$434,"&gt;0")=0,"",SUMIFS(Countries!$AR$5:$AR$434,Countries!$A$5:$A$434,"All landing pages",Countries!$B$5:$B$434,"Direct",Countries!$C$5:$C$434,"Desktop",Countries!$D$5:$D$434,$A144,Countries!$E$5:$E$434,"&gt;0")/SUMIFS(Countries!$E$5:$E$434,Countries!$A$5:$A$434,"All landing pages",Countries!$B$5:$B$434,"Direct",Countries!$C$5:$C$434,"Desktop",Countries!$D$5:$D$434,$A144,Countries!$AR$5:$AR$434,"&gt;0"))</f>
        <v/>
      </c>
      <c r="S144" s="45">
        <f>IF(SUMIFS(Countries!$F$5:$F$434,Countries!$A$5:$A$434,"All landing pages",Countries!$B$5:$B$434,"Direct",Countries!$C$5:$C$434,"Desktop",Countries!$D$5:$D$434,$A144,Countries!$AS$5:$AS$434,"&gt;0")=0,"",SUMIFS(Countries!$AS$5:$AS$434,Countries!$A$5:$A$434,"All landing pages",Countries!$B$5:$B$434,"Direct",Countries!$C$5:$C$434,"Desktop",Countries!$D$5:$D$434,$A144,Countries!$F$5:$F$434,"&gt;0")/SUMIFS(Countries!$F$5:$F$434,Countries!$A$5:$A$434,"All landing pages",Countries!$B$5:$B$434,"Direct",Countries!$C$5:$C$434,"Desktop",Countries!$D$5:$D$434,$A144,Countries!$AS$5:$AS$434,"&gt;0"))</f>
        <v/>
      </c>
      <c r="T144" s="44">
        <f>IF(OR(R144="",S144=""),"",(S144-R144)*100)</f>
        <v/>
      </c>
    </row>
    <row r="145">
      <c r="A145" s="40" t="inlineStr">
        <is>
          <t>Netherlands</t>
        </is>
      </c>
      <c r="B145" s="40" t="inlineStr">
        <is>
          <t>Direct</t>
        </is>
      </c>
      <c r="C145" s="41">
        <f>IF(SUMIFS(Countries!$E$5:$E$434,Countries!$A$5:$A$434,"All landing pages",Countries!$B$5:$B$434,"Direct",Countries!$C$5:$C$434,"Desktop",Countries!$D$5:$D$434,$A145)=0,"",SUMIFS(Countries!$E$5:$E$434,Countries!$A$5:$A$434,"All landing pages",Countries!$B$5:$B$434,"Direct",Countries!$C$5:$C$434,"Desktop",Countries!$D$5:$D$434,$A145))</f>
        <v/>
      </c>
      <c r="D145" s="41">
        <f>IF(SUMIFS(Countries!$F$5:$F$434,Countries!$A$5:$A$434,"All landing pages",Countries!$B$5:$B$434,"Direct",Countries!$C$5:$C$434,"Desktop",Countries!$D$5:$D$434,$A145)=0,"",SUMIFS(Countries!$F$5:$F$434,Countries!$A$5:$A$434,"All landing pages",Countries!$B$5:$B$434,"Direct",Countries!$C$5:$C$434,"Desktop",Countries!$D$5:$D$434,$A145))</f>
        <v/>
      </c>
      <c r="E145" s="42">
        <f>IF(OR(C145="",D145="",D145=0,C145=0),"",D145/C145-1)</f>
        <v/>
      </c>
      <c r="F145" s="41">
        <f>IF(SUMIFS(Countries!$P$5:$P$434,Countries!$A$5:$A$434,"All landing pages",Countries!$B$5:$B$434,"Direct",Countries!$C$5:$C$434,"Desktop",Countries!$D$5:$D$434,$A145)=0,"",SUMIFS(Countries!$P$5:$P$434,Countries!$A$5:$A$434,"All landing pages",Countries!$B$5:$B$434,"Direct",Countries!$C$5:$C$434,"Desktop",Countries!$D$5:$D$434,$A145))</f>
        <v/>
      </c>
      <c r="G145" s="41">
        <f>IF(SUMIFS(Countries!$Q$5:$Q$434,Countries!$A$5:$A$434,"All landing pages",Countries!$B$5:$B$434,"Direct",Countries!$C$5:$C$434,"Desktop",Countries!$D$5:$D$434,$A145)=0,"",SUMIFS(Countries!$Q$5:$Q$434,Countries!$A$5:$A$434,"All landing pages",Countries!$B$5:$B$434,"Direct",Countries!$C$5:$C$434,"Desktop",Countries!$D$5:$D$434,$A145))</f>
        <v/>
      </c>
      <c r="H145" s="42">
        <f>IF(OR(F145="",G145="",G145=0,F145=0),"",G145/F145-1)</f>
        <v/>
      </c>
      <c r="I145" s="41">
        <f>IF(SUMIFS(Countries!$AR$5:$AR$434,Countries!$A$5:$A$434,"All landing pages",Countries!$B$5:$B$434,"Direct",Countries!$C$5:$C$434,"Desktop",Countries!$D$5:$D$434,$A145)=0,"",SUMIFS(Countries!$AR$5:$AR$434,Countries!$A$5:$A$434,"All landing pages",Countries!$B$5:$B$434,"Direct",Countries!$C$5:$C$434,"Desktop",Countries!$D$5:$D$434,$A145))</f>
        <v/>
      </c>
      <c r="J145" s="41">
        <f>IF(SUMIFS(Countries!$AS$5:$AS$434,Countries!$A$5:$A$434,"All landing pages",Countries!$B$5:$B$434,"Direct",Countries!$C$5:$C$434,"Desktop",Countries!$D$5:$D$434,$A145)=0,"",SUMIFS(Countries!$AS$5:$AS$434,Countries!$A$5:$A$434,"All landing pages",Countries!$B$5:$B$434,"Direct",Countries!$C$5:$C$434,"Desktop",Countries!$D$5:$D$434,$A145))</f>
        <v/>
      </c>
      <c r="K145" s="42">
        <f>IF(OR(I145="",J145="",J145=0,I145=0),"",J145/I145-1)</f>
        <v/>
      </c>
      <c r="L145" s="43">
        <f>IF(SUMIFS(Countries!$E$5:$E$434,Countries!$A$5:$A$434,"All landing pages",Countries!$B$5:$B$434,"Direct",Countries!$C$5:$C$434,"Desktop",Countries!$D$5:$D$434,$A145,Countries!$P$5:$P$434,"&gt;0")=0,"",SUMIFS(Countries!$P$5:$P$434,Countries!$A$5:$A$434,"All landing pages",Countries!$B$5:$B$434,"Direct",Countries!$C$5:$C$434,"Desktop",Countries!$D$5:$D$434,$A145,Countries!$E$5:$E$434,"&gt;0")/SUMIFS(Countries!$E$5:$E$434,Countries!$A$5:$A$434,"All landing pages",Countries!$B$5:$B$434,"Direct",Countries!$C$5:$C$434,"Desktop",Countries!$D$5:$D$434,$A145,Countries!$P$5:$P$434,"&gt;0"))</f>
        <v/>
      </c>
      <c r="M145" s="43">
        <f>IF(SUMIFS(Countries!$F$5:$F$434,Countries!$A$5:$A$434,"All landing pages",Countries!$B$5:$B$434,"Direct",Countries!$C$5:$C$434,"Desktop",Countries!$D$5:$D$434,$A145,Countries!$Q$5:$Q$434,"&gt;0")=0,"",SUMIFS(Countries!$Q$5:$Q$434,Countries!$A$5:$A$434,"All landing pages",Countries!$B$5:$B$434,"Direct",Countries!$C$5:$C$434,"Desktop",Countries!$D$5:$D$434,$A145,Countries!$F$5:$F$434,"&gt;0")/SUMIFS(Countries!$F$5:$F$434,Countries!$A$5:$A$434,"All landing pages",Countries!$B$5:$B$434,"Direct",Countries!$C$5:$C$434,"Desktop",Countries!$D$5:$D$434,$A145,Countries!$Q$5:$Q$434,"&gt;0"))</f>
        <v/>
      </c>
      <c r="N145" s="44">
        <f>IF(OR(L145="",M145=""),"",(M145-L145)*100)</f>
        <v/>
      </c>
      <c r="O145" s="45">
        <f>IF(SUMIFS(Countries!$P$5:$P$434,Countries!$A$5:$A$434,"All landing pages",Countries!$B$5:$B$434,"Direct",Countries!$C$5:$C$434,"Desktop",Countries!$D$5:$D$434,$A145,Countries!$AR$5:$AR$434,"&gt;0")=0,"",SUMIFS(Countries!$AR$5:$AR$434,Countries!$A$5:$A$434,"All landing pages",Countries!$B$5:$B$434,"Direct",Countries!$C$5:$C$434,"Desktop",Countries!$D$5:$D$434,$A145,Countries!$P$5:$P$434,"&gt;0")/SUMIFS(Countries!$P$5:$P$434,Countries!$A$5:$A$434,"All landing pages",Countries!$B$5:$B$434,"Direct",Countries!$C$5:$C$434,"Desktop",Countries!$D$5:$D$434,$A145,Countries!$AR$5:$AR$434,"&gt;0"))</f>
        <v/>
      </c>
      <c r="P145" s="45">
        <f>IF(SUMIFS(Countries!$Q$5:$Q$434,Countries!$A$5:$A$434,"All landing pages",Countries!$B$5:$B$434,"Direct",Countries!$C$5:$C$434,"Desktop",Countries!$D$5:$D$434,$A145,Countries!$AS$5:$AS$434,"&gt;0")=0,"",SUMIFS(Countries!$AS$5:$AS$434,Countries!$A$5:$A$434,"All landing pages",Countries!$B$5:$B$434,"Direct",Countries!$C$5:$C$434,"Desktop",Countries!$D$5:$D$434,$A145,Countries!$Q$5:$Q$434,"&gt;0")/SUMIFS(Countries!$Q$5:$Q$434,Countries!$A$5:$A$434,"All landing pages",Countries!$B$5:$B$434,"Direct",Countries!$C$5:$C$434,"Desktop",Countries!$D$5:$D$434,$A145,Countries!$AS$5:$AS$434,"&gt;0"))</f>
        <v/>
      </c>
      <c r="Q145" s="44">
        <f>IF(OR(O145="",P145=""),"",(P145-O145)*100)</f>
        <v/>
      </c>
      <c r="R145" s="45">
        <f>IF(SUMIFS(Countries!$E$5:$E$434,Countries!$A$5:$A$434,"All landing pages",Countries!$B$5:$B$434,"Direct",Countries!$C$5:$C$434,"Desktop",Countries!$D$5:$D$434,$A145,Countries!$AR$5:$AR$434,"&gt;0")=0,"",SUMIFS(Countries!$AR$5:$AR$434,Countries!$A$5:$A$434,"All landing pages",Countries!$B$5:$B$434,"Direct",Countries!$C$5:$C$434,"Desktop",Countries!$D$5:$D$434,$A145,Countries!$E$5:$E$434,"&gt;0")/SUMIFS(Countries!$E$5:$E$434,Countries!$A$5:$A$434,"All landing pages",Countries!$B$5:$B$434,"Direct",Countries!$C$5:$C$434,"Desktop",Countries!$D$5:$D$434,$A145,Countries!$AR$5:$AR$434,"&gt;0"))</f>
        <v/>
      </c>
      <c r="S145" s="45">
        <f>IF(SUMIFS(Countries!$F$5:$F$434,Countries!$A$5:$A$434,"All landing pages",Countries!$B$5:$B$434,"Direct",Countries!$C$5:$C$434,"Desktop",Countries!$D$5:$D$434,$A145,Countries!$AS$5:$AS$434,"&gt;0")=0,"",SUMIFS(Countries!$AS$5:$AS$434,Countries!$A$5:$A$434,"All landing pages",Countries!$B$5:$B$434,"Direct",Countries!$C$5:$C$434,"Desktop",Countries!$D$5:$D$434,$A145,Countries!$F$5:$F$434,"&gt;0")/SUMIFS(Countries!$F$5:$F$434,Countries!$A$5:$A$434,"All landing pages",Countries!$B$5:$B$434,"Direct",Countries!$C$5:$C$434,"Desktop",Countries!$D$5:$D$434,$A145,Countries!$AS$5:$AS$434,"&gt;0"))</f>
        <v/>
      </c>
      <c r="T145" s="44">
        <f>IF(OR(R145="",S145=""),"",(S145-R145)*100)</f>
        <v/>
      </c>
    </row>
    <row r="146">
      <c r="A146" s="40" t="inlineStr">
        <is>
          <t>France</t>
        </is>
      </c>
      <c r="B146" s="40" t="inlineStr">
        <is>
          <t>Direct</t>
        </is>
      </c>
      <c r="C146" s="41">
        <f>IF(SUMIFS(Countries!$E$5:$E$434,Countries!$A$5:$A$434,"All landing pages",Countries!$B$5:$B$434,"Direct",Countries!$C$5:$C$434,"Desktop",Countries!$D$5:$D$434,$A146)=0,"",SUMIFS(Countries!$E$5:$E$434,Countries!$A$5:$A$434,"All landing pages",Countries!$B$5:$B$434,"Direct",Countries!$C$5:$C$434,"Desktop",Countries!$D$5:$D$434,$A146))</f>
        <v/>
      </c>
      <c r="D146" s="41">
        <f>IF(SUMIFS(Countries!$F$5:$F$434,Countries!$A$5:$A$434,"All landing pages",Countries!$B$5:$B$434,"Direct",Countries!$C$5:$C$434,"Desktop",Countries!$D$5:$D$434,$A146)=0,"",SUMIFS(Countries!$F$5:$F$434,Countries!$A$5:$A$434,"All landing pages",Countries!$B$5:$B$434,"Direct",Countries!$C$5:$C$434,"Desktop",Countries!$D$5:$D$434,$A146))</f>
        <v/>
      </c>
      <c r="E146" s="42">
        <f>IF(OR(C146="",D146="",D146=0,C146=0),"",D146/C146-1)</f>
        <v/>
      </c>
      <c r="F146" s="41">
        <f>IF(SUMIFS(Countries!$P$5:$P$434,Countries!$A$5:$A$434,"All landing pages",Countries!$B$5:$B$434,"Direct",Countries!$C$5:$C$434,"Desktop",Countries!$D$5:$D$434,$A146)=0,"",SUMIFS(Countries!$P$5:$P$434,Countries!$A$5:$A$434,"All landing pages",Countries!$B$5:$B$434,"Direct",Countries!$C$5:$C$434,"Desktop",Countries!$D$5:$D$434,$A146))</f>
        <v/>
      </c>
      <c r="G146" s="41">
        <f>IF(SUMIFS(Countries!$Q$5:$Q$434,Countries!$A$5:$A$434,"All landing pages",Countries!$B$5:$B$434,"Direct",Countries!$C$5:$C$434,"Desktop",Countries!$D$5:$D$434,$A146)=0,"",SUMIFS(Countries!$Q$5:$Q$434,Countries!$A$5:$A$434,"All landing pages",Countries!$B$5:$B$434,"Direct",Countries!$C$5:$C$434,"Desktop",Countries!$D$5:$D$434,$A146))</f>
        <v/>
      </c>
      <c r="H146" s="42">
        <f>IF(OR(F146="",G146="",G146=0,F146=0),"",G146/F146-1)</f>
        <v/>
      </c>
      <c r="I146" s="41">
        <f>IF(SUMIFS(Countries!$AR$5:$AR$434,Countries!$A$5:$A$434,"All landing pages",Countries!$B$5:$B$434,"Direct",Countries!$C$5:$C$434,"Desktop",Countries!$D$5:$D$434,$A146)=0,"",SUMIFS(Countries!$AR$5:$AR$434,Countries!$A$5:$A$434,"All landing pages",Countries!$B$5:$B$434,"Direct",Countries!$C$5:$C$434,"Desktop",Countries!$D$5:$D$434,$A146))</f>
        <v/>
      </c>
      <c r="J146" s="41">
        <f>IF(SUMIFS(Countries!$AS$5:$AS$434,Countries!$A$5:$A$434,"All landing pages",Countries!$B$5:$B$434,"Direct",Countries!$C$5:$C$434,"Desktop",Countries!$D$5:$D$434,$A146)=0,"",SUMIFS(Countries!$AS$5:$AS$434,Countries!$A$5:$A$434,"All landing pages",Countries!$B$5:$B$434,"Direct",Countries!$C$5:$C$434,"Desktop",Countries!$D$5:$D$434,$A146))</f>
        <v/>
      </c>
      <c r="K146" s="42">
        <f>IF(OR(I146="",J146="",J146=0,I146=0),"",J146/I146-1)</f>
        <v/>
      </c>
      <c r="L146" s="43">
        <f>IF(SUMIFS(Countries!$E$5:$E$434,Countries!$A$5:$A$434,"All landing pages",Countries!$B$5:$B$434,"Direct",Countries!$C$5:$C$434,"Desktop",Countries!$D$5:$D$434,$A146,Countries!$P$5:$P$434,"&gt;0")=0,"",SUMIFS(Countries!$P$5:$P$434,Countries!$A$5:$A$434,"All landing pages",Countries!$B$5:$B$434,"Direct",Countries!$C$5:$C$434,"Desktop",Countries!$D$5:$D$434,$A146,Countries!$E$5:$E$434,"&gt;0")/SUMIFS(Countries!$E$5:$E$434,Countries!$A$5:$A$434,"All landing pages",Countries!$B$5:$B$434,"Direct",Countries!$C$5:$C$434,"Desktop",Countries!$D$5:$D$434,$A146,Countries!$P$5:$P$434,"&gt;0"))</f>
        <v/>
      </c>
      <c r="M146" s="43">
        <f>IF(SUMIFS(Countries!$F$5:$F$434,Countries!$A$5:$A$434,"All landing pages",Countries!$B$5:$B$434,"Direct",Countries!$C$5:$C$434,"Desktop",Countries!$D$5:$D$434,$A146,Countries!$Q$5:$Q$434,"&gt;0")=0,"",SUMIFS(Countries!$Q$5:$Q$434,Countries!$A$5:$A$434,"All landing pages",Countries!$B$5:$B$434,"Direct",Countries!$C$5:$C$434,"Desktop",Countries!$D$5:$D$434,$A146,Countries!$F$5:$F$434,"&gt;0")/SUMIFS(Countries!$F$5:$F$434,Countries!$A$5:$A$434,"All landing pages",Countries!$B$5:$B$434,"Direct",Countries!$C$5:$C$434,"Desktop",Countries!$D$5:$D$434,$A146,Countries!$Q$5:$Q$434,"&gt;0"))</f>
        <v/>
      </c>
      <c r="N146" s="44">
        <f>IF(OR(L146="",M146=""),"",(M146-L146)*100)</f>
        <v/>
      </c>
      <c r="O146" s="45">
        <f>IF(SUMIFS(Countries!$P$5:$P$434,Countries!$A$5:$A$434,"All landing pages",Countries!$B$5:$B$434,"Direct",Countries!$C$5:$C$434,"Desktop",Countries!$D$5:$D$434,$A146,Countries!$AR$5:$AR$434,"&gt;0")=0,"",SUMIFS(Countries!$AR$5:$AR$434,Countries!$A$5:$A$434,"All landing pages",Countries!$B$5:$B$434,"Direct",Countries!$C$5:$C$434,"Desktop",Countries!$D$5:$D$434,$A146,Countries!$P$5:$P$434,"&gt;0")/SUMIFS(Countries!$P$5:$P$434,Countries!$A$5:$A$434,"All landing pages",Countries!$B$5:$B$434,"Direct",Countries!$C$5:$C$434,"Desktop",Countries!$D$5:$D$434,$A146,Countries!$AR$5:$AR$434,"&gt;0"))</f>
        <v/>
      </c>
      <c r="P146" s="45">
        <f>IF(SUMIFS(Countries!$Q$5:$Q$434,Countries!$A$5:$A$434,"All landing pages",Countries!$B$5:$B$434,"Direct",Countries!$C$5:$C$434,"Desktop",Countries!$D$5:$D$434,$A146,Countries!$AS$5:$AS$434,"&gt;0")=0,"",SUMIFS(Countries!$AS$5:$AS$434,Countries!$A$5:$A$434,"All landing pages",Countries!$B$5:$B$434,"Direct",Countries!$C$5:$C$434,"Desktop",Countries!$D$5:$D$434,$A146,Countries!$Q$5:$Q$434,"&gt;0")/SUMIFS(Countries!$Q$5:$Q$434,Countries!$A$5:$A$434,"All landing pages",Countries!$B$5:$B$434,"Direct",Countries!$C$5:$C$434,"Desktop",Countries!$D$5:$D$434,$A146,Countries!$AS$5:$AS$434,"&gt;0"))</f>
        <v/>
      </c>
      <c r="Q146" s="44">
        <f>IF(OR(O146="",P146=""),"",(P146-O146)*100)</f>
        <v/>
      </c>
      <c r="R146" s="45">
        <f>IF(SUMIFS(Countries!$E$5:$E$434,Countries!$A$5:$A$434,"All landing pages",Countries!$B$5:$B$434,"Direct",Countries!$C$5:$C$434,"Desktop",Countries!$D$5:$D$434,$A146,Countries!$AR$5:$AR$434,"&gt;0")=0,"",SUMIFS(Countries!$AR$5:$AR$434,Countries!$A$5:$A$434,"All landing pages",Countries!$B$5:$B$434,"Direct",Countries!$C$5:$C$434,"Desktop",Countries!$D$5:$D$434,$A146,Countries!$E$5:$E$434,"&gt;0")/SUMIFS(Countries!$E$5:$E$434,Countries!$A$5:$A$434,"All landing pages",Countries!$B$5:$B$434,"Direct",Countries!$C$5:$C$434,"Desktop",Countries!$D$5:$D$434,$A146,Countries!$AR$5:$AR$434,"&gt;0"))</f>
        <v/>
      </c>
      <c r="S146" s="45">
        <f>IF(SUMIFS(Countries!$F$5:$F$434,Countries!$A$5:$A$434,"All landing pages",Countries!$B$5:$B$434,"Direct",Countries!$C$5:$C$434,"Desktop",Countries!$D$5:$D$434,$A146,Countries!$AS$5:$AS$434,"&gt;0")=0,"",SUMIFS(Countries!$AS$5:$AS$434,Countries!$A$5:$A$434,"All landing pages",Countries!$B$5:$B$434,"Direct",Countries!$C$5:$C$434,"Desktop",Countries!$D$5:$D$434,$A146,Countries!$F$5:$F$434,"&gt;0")/SUMIFS(Countries!$F$5:$F$434,Countries!$A$5:$A$434,"All landing pages",Countries!$B$5:$B$434,"Direct",Countries!$C$5:$C$434,"Desktop",Countries!$D$5:$D$434,$A146,Countries!$AS$5:$AS$434,"&gt;0"))</f>
        <v/>
      </c>
      <c r="T146" s="44">
        <f>IF(OR(R146="",S146=""),"",(S146-R146)*100)</f>
        <v/>
      </c>
    </row>
    <row r="147">
      <c r="A147" s="40" t="inlineStr">
        <is>
          <t>Poland</t>
        </is>
      </c>
      <c r="B147" s="40" t="inlineStr">
        <is>
          <t>Direct</t>
        </is>
      </c>
      <c r="C147" s="41">
        <f>IF(SUMIFS(Countries!$E$5:$E$434,Countries!$A$5:$A$434,"All landing pages",Countries!$B$5:$B$434,"Direct",Countries!$C$5:$C$434,"Desktop",Countries!$D$5:$D$434,$A147)=0,"",SUMIFS(Countries!$E$5:$E$434,Countries!$A$5:$A$434,"All landing pages",Countries!$B$5:$B$434,"Direct",Countries!$C$5:$C$434,"Desktop",Countries!$D$5:$D$434,$A147))</f>
        <v/>
      </c>
      <c r="D147" s="41">
        <f>IF(SUMIFS(Countries!$F$5:$F$434,Countries!$A$5:$A$434,"All landing pages",Countries!$B$5:$B$434,"Direct",Countries!$C$5:$C$434,"Desktop",Countries!$D$5:$D$434,$A147)=0,"",SUMIFS(Countries!$F$5:$F$434,Countries!$A$5:$A$434,"All landing pages",Countries!$B$5:$B$434,"Direct",Countries!$C$5:$C$434,"Desktop",Countries!$D$5:$D$434,$A147))</f>
        <v/>
      </c>
      <c r="E147" s="42">
        <f>IF(OR(C147="",D147="",D147=0,C147=0),"",D147/C147-1)</f>
        <v/>
      </c>
      <c r="F147" s="41">
        <f>IF(SUMIFS(Countries!$P$5:$P$434,Countries!$A$5:$A$434,"All landing pages",Countries!$B$5:$B$434,"Direct",Countries!$C$5:$C$434,"Desktop",Countries!$D$5:$D$434,$A147)=0,"",SUMIFS(Countries!$P$5:$P$434,Countries!$A$5:$A$434,"All landing pages",Countries!$B$5:$B$434,"Direct",Countries!$C$5:$C$434,"Desktop",Countries!$D$5:$D$434,$A147))</f>
        <v/>
      </c>
      <c r="G147" s="41">
        <f>IF(SUMIFS(Countries!$Q$5:$Q$434,Countries!$A$5:$A$434,"All landing pages",Countries!$B$5:$B$434,"Direct",Countries!$C$5:$C$434,"Desktop",Countries!$D$5:$D$434,$A147)=0,"",SUMIFS(Countries!$Q$5:$Q$434,Countries!$A$5:$A$434,"All landing pages",Countries!$B$5:$B$434,"Direct",Countries!$C$5:$C$434,"Desktop",Countries!$D$5:$D$434,$A147))</f>
        <v/>
      </c>
      <c r="H147" s="42">
        <f>IF(OR(F147="",G147="",G147=0,F147=0),"",G147/F147-1)</f>
        <v/>
      </c>
      <c r="I147" s="41">
        <f>IF(SUMIFS(Countries!$AR$5:$AR$434,Countries!$A$5:$A$434,"All landing pages",Countries!$B$5:$B$434,"Direct",Countries!$C$5:$C$434,"Desktop",Countries!$D$5:$D$434,$A147)=0,"",SUMIFS(Countries!$AR$5:$AR$434,Countries!$A$5:$A$434,"All landing pages",Countries!$B$5:$B$434,"Direct",Countries!$C$5:$C$434,"Desktop",Countries!$D$5:$D$434,$A147))</f>
        <v/>
      </c>
      <c r="J147" s="41">
        <f>IF(SUMIFS(Countries!$AS$5:$AS$434,Countries!$A$5:$A$434,"All landing pages",Countries!$B$5:$B$434,"Direct",Countries!$C$5:$C$434,"Desktop",Countries!$D$5:$D$434,$A147)=0,"",SUMIFS(Countries!$AS$5:$AS$434,Countries!$A$5:$A$434,"All landing pages",Countries!$B$5:$B$434,"Direct",Countries!$C$5:$C$434,"Desktop",Countries!$D$5:$D$434,$A147))</f>
        <v/>
      </c>
      <c r="K147" s="42">
        <f>IF(OR(I147="",J147="",J147=0,I147=0),"",J147/I147-1)</f>
        <v/>
      </c>
      <c r="L147" s="43">
        <f>IF(SUMIFS(Countries!$E$5:$E$434,Countries!$A$5:$A$434,"All landing pages",Countries!$B$5:$B$434,"Direct",Countries!$C$5:$C$434,"Desktop",Countries!$D$5:$D$434,$A147,Countries!$P$5:$P$434,"&gt;0")=0,"",SUMIFS(Countries!$P$5:$P$434,Countries!$A$5:$A$434,"All landing pages",Countries!$B$5:$B$434,"Direct",Countries!$C$5:$C$434,"Desktop",Countries!$D$5:$D$434,$A147,Countries!$E$5:$E$434,"&gt;0")/SUMIFS(Countries!$E$5:$E$434,Countries!$A$5:$A$434,"All landing pages",Countries!$B$5:$B$434,"Direct",Countries!$C$5:$C$434,"Desktop",Countries!$D$5:$D$434,$A147,Countries!$P$5:$P$434,"&gt;0"))</f>
        <v/>
      </c>
      <c r="M147" s="43">
        <f>IF(SUMIFS(Countries!$F$5:$F$434,Countries!$A$5:$A$434,"All landing pages",Countries!$B$5:$B$434,"Direct",Countries!$C$5:$C$434,"Desktop",Countries!$D$5:$D$434,$A147,Countries!$Q$5:$Q$434,"&gt;0")=0,"",SUMIFS(Countries!$Q$5:$Q$434,Countries!$A$5:$A$434,"All landing pages",Countries!$B$5:$B$434,"Direct",Countries!$C$5:$C$434,"Desktop",Countries!$D$5:$D$434,$A147,Countries!$F$5:$F$434,"&gt;0")/SUMIFS(Countries!$F$5:$F$434,Countries!$A$5:$A$434,"All landing pages",Countries!$B$5:$B$434,"Direct",Countries!$C$5:$C$434,"Desktop",Countries!$D$5:$D$434,$A147,Countries!$Q$5:$Q$434,"&gt;0"))</f>
        <v/>
      </c>
      <c r="N147" s="44">
        <f>IF(OR(L147="",M147=""),"",(M147-L147)*100)</f>
        <v/>
      </c>
      <c r="O147" s="45">
        <f>IF(SUMIFS(Countries!$P$5:$P$434,Countries!$A$5:$A$434,"All landing pages",Countries!$B$5:$B$434,"Direct",Countries!$C$5:$C$434,"Desktop",Countries!$D$5:$D$434,$A147,Countries!$AR$5:$AR$434,"&gt;0")=0,"",SUMIFS(Countries!$AR$5:$AR$434,Countries!$A$5:$A$434,"All landing pages",Countries!$B$5:$B$434,"Direct",Countries!$C$5:$C$434,"Desktop",Countries!$D$5:$D$434,$A147,Countries!$P$5:$P$434,"&gt;0")/SUMIFS(Countries!$P$5:$P$434,Countries!$A$5:$A$434,"All landing pages",Countries!$B$5:$B$434,"Direct",Countries!$C$5:$C$434,"Desktop",Countries!$D$5:$D$434,$A147,Countries!$AR$5:$AR$434,"&gt;0"))</f>
        <v/>
      </c>
      <c r="P147" s="45">
        <f>IF(SUMIFS(Countries!$Q$5:$Q$434,Countries!$A$5:$A$434,"All landing pages",Countries!$B$5:$B$434,"Direct",Countries!$C$5:$C$434,"Desktop",Countries!$D$5:$D$434,$A147,Countries!$AS$5:$AS$434,"&gt;0")=0,"",SUMIFS(Countries!$AS$5:$AS$434,Countries!$A$5:$A$434,"All landing pages",Countries!$B$5:$B$434,"Direct",Countries!$C$5:$C$434,"Desktop",Countries!$D$5:$D$434,$A147,Countries!$Q$5:$Q$434,"&gt;0")/SUMIFS(Countries!$Q$5:$Q$434,Countries!$A$5:$A$434,"All landing pages",Countries!$B$5:$B$434,"Direct",Countries!$C$5:$C$434,"Desktop",Countries!$D$5:$D$434,$A147,Countries!$AS$5:$AS$434,"&gt;0"))</f>
        <v/>
      </c>
      <c r="Q147" s="44">
        <f>IF(OR(O147="",P147=""),"",(P147-O147)*100)</f>
        <v/>
      </c>
      <c r="R147" s="45">
        <f>IF(SUMIFS(Countries!$E$5:$E$434,Countries!$A$5:$A$434,"All landing pages",Countries!$B$5:$B$434,"Direct",Countries!$C$5:$C$434,"Desktop",Countries!$D$5:$D$434,$A147,Countries!$AR$5:$AR$434,"&gt;0")=0,"",SUMIFS(Countries!$AR$5:$AR$434,Countries!$A$5:$A$434,"All landing pages",Countries!$B$5:$B$434,"Direct",Countries!$C$5:$C$434,"Desktop",Countries!$D$5:$D$434,$A147,Countries!$E$5:$E$434,"&gt;0")/SUMIFS(Countries!$E$5:$E$434,Countries!$A$5:$A$434,"All landing pages",Countries!$B$5:$B$434,"Direct",Countries!$C$5:$C$434,"Desktop",Countries!$D$5:$D$434,$A147,Countries!$AR$5:$AR$434,"&gt;0"))</f>
        <v/>
      </c>
      <c r="S147" s="45">
        <f>IF(SUMIFS(Countries!$F$5:$F$434,Countries!$A$5:$A$434,"All landing pages",Countries!$B$5:$B$434,"Direct",Countries!$C$5:$C$434,"Desktop",Countries!$D$5:$D$434,$A147,Countries!$AS$5:$AS$434,"&gt;0")=0,"",SUMIFS(Countries!$AS$5:$AS$434,Countries!$A$5:$A$434,"All landing pages",Countries!$B$5:$B$434,"Direct",Countries!$C$5:$C$434,"Desktop",Countries!$D$5:$D$434,$A147,Countries!$F$5:$F$434,"&gt;0")/SUMIFS(Countries!$F$5:$F$434,Countries!$A$5:$A$434,"All landing pages",Countries!$B$5:$B$434,"Direct",Countries!$C$5:$C$434,"Desktop",Countries!$D$5:$D$434,$A147,Countries!$AS$5:$AS$434,"&gt;0"))</f>
        <v/>
      </c>
      <c r="T147" s="44">
        <f>IF(OR(R147="",S147=""),"",(S147-R147)*100)</f>
        <v/>
      </c>
    </row>
    <row r="148">
      <c r="A148" s="40" t="inlineStr">
        <is>
          <t>United States</t>
        </is>
      </c>
      <c r="B148" s="40" t="inlineStr">
        <is>
          <t>Direct</t>
        </is>
      </c>
      <c r="C148" s="41">
        <f>IF(SUMIFS(Countries!$E$5:$E$434,Countries!$A$5:$A$434,"All landing pages",Countries!$B$5:$B$434,"Direct",Countries!$C$5:$C$434,"Desktop",Countries!$D$5:$D$434,$A148)=0,"",SUMIFS(Countries!$E$5:$E$434,Countries!$A$5:$A$434,"All landing pages",Countries!$B$5:$B$434,"Direct",Countries!$C$5:$C$434,"Desktop",Countries!$D$5:$D$434,$A148))</f>
        <v/>
      </c>
      <c r="D148" s="41">
        <f>IF(SUMIFS(Countries!$F$5:$F$434,Countries!$A$5:$A$434,"All landing pages",Countries!$B$5:$B$434,"Direct",Countries!$C$5:$C$434,"Desktop",Countries!$D$5:$D$434,$A148)=0,"",SUMIFS(Countries!$F$5:$F$434,Countries!$A$5:$A$434,"All landing pages",Countries!$B$5:$B$434,"Direct",Countries!$C$5:$C$434,"Desktop",Countries!$D$5:$D$434,$A148))</f>
        <v/>
      </c>
      <c r="E148" s="42">
        <f>IF(OR(C148="",D148="",D148=0,C148=0),"",D148/C148-1)</f>
        <v/>
      </c>
      <c r="F148" s="41">
        <f>IF(SUMIFS(Countries!$P$5:$P$434,Countries!$A$5:$A$434,"All landing pages",Countries!$B$5:$B$434,"Direct",Countries!$C$5:$C$434,"Desktop",Countries!$D$5:$D$434,$A148)=0,"",SUMIFS(Countries!$P$5:$P$434,Countries!$A$5:$A$434,"All landing pages",Countries!$B$5:$B$434,"Direct",Countries!$C$5:$C$434,"Desktop",Countries!$D$5:$D$434,$A148))</f>
        <v/>
      </c>
      <c r="G148" s="41">
        <f>IF(SUMIFS(Countries!$Q$5:$Q$434,Countries!$A$5:$A$434,"All landing pages",Countries!$B$5:$B$434,"Direct",Countries!$C$5:$C$434,"Desktop",Countries!$D$5:$D$434,$A148)=0,"",SUMIFS(Countries!$Q$5:$Q$434,Countries!$A$5:$A$434,"All landing pages",Countries!$B$5:$B$434,"Direct",Countries!$C$5:$C$434,"Desktop",Countries!$D$5:$D$434,$A148))</f>
        <v/>
      </c>
      <c r="H148" s="42">
        <f>IF(OR(F148="",G148="",G148=0,F148=0),"",G148/F148-1)</f>
        <v/>
      </c>
      <c r="I148" s="41">
        <f>IF(SUMIFS(Countries!$AR$5:$AR$434,Countries!$A$5:$A$434,"All landing pages",Countries!$B$5:$B$434,"Direct",Countries!$C$5:$C$434,"Desktop",Countries!$D$5:$D$434,$A148)=0,"",SUMIFS(Countries!$AR$5:$AR$434,Countries!$A$5:$A$434,"All landing pages",Countries!$B$5:$B$434,"Direct",Countries!$C$5:$C$434,"Desktop",Countries!$D$5:$D$434,$A148))</f>
        <v/>
      </c>
      <c r="J148" s="41">
        <f>IF(SUMIFS(Countries!$AS$5:$AS$434,Countries!$A$5:$A$434,"All landing pages",Countries!$B$5:$B$434,"Direct",Countries!$C$5:$C$434,"Desktop",Countries!$D$5:$D$434,$A148)=0,"",SUMIFS(Countries!$AS$5:$AS$434,Countries!$A$5:$A$434,"All landing pages",Countries!$B$5:$B$434,"Direct",Countries!$C$5:$C$434,"Desktop",Countries!$D$5:$D$434,$A148))</f>
        <v/>
      </c>
      <c r="K148" s="42">
        <f>IF(OR(I148="",J148="",J148=0,I148=0),"",J148/I148-1)</f>
        <v/>
      </c>
      <c r="L148" s="43">
        <f>IF(SUMIFS(Countries!$E$5:$E$434,Countries!$A$5:$A$434,"All landing pages",Countries!$B$5:$B$434,"Direct",Countries!$C$5:$C$434,"Desktop",Countries!$D$5:$D$434,$A148,Countries!$P$5:$P$434,"&gt;0")=0,"",SUMIFS(Countries!$P$5:$P$434,Countries!$A$5:$A$434,"All landing pages",Countries!$B$5:$B$434,"Direct",Countries!$C$5:$C$434,"Desktop",Countries!$D$5:$D$434,$A148,Countries!$E$5:$E$434,"&gt;0")/SUMIFS(Countries!$E$5:$E$434,Countries!$A$5:$A$434,"All landing pages",Countries!$B$5:$B$434,"Direct",Countries!$C$5:$C$434,"Desktop",Countries!$D$5:$D$434,$A148,Countries!$P$5:$P$434,"&gt;0"))</f>
        <v/>
      </c>
      <c r="M148" s="43">
        <f>IF(SUMIFS(Countries!$F$5:$F$434,Countries!$A$5:$A$434,"All landing pages",Countries!$B$5:$B$434,"Direct",Countries!$C$5:$C$434,"Desktop",Countries!$D$5:$D$434,$A148,Countries!$Q$5:$Q$434,"&gt;0")=0,"",SUMIFS(Countries!$Q$5:$Q$434,Countries!$A$5:$A$434,"All landing pages",Countries!$B$5:$B$434,"Direct",Countries!$C$5:$C$434,"Desktop",Countries!$D$5:$D$434,$A148,Countries!$F$5:$F$434,"&gt;0")/SUMIFS(Countries!$F$5:$F$434,Countries!$A$5:$A$434,"All landing pages",Countries!$B$5:$B$434,"Direct",Countries!$C$5:$C$434,"Desktop",Countries!$D$5:$D$434,$A148,Countries!$Q$5:$Q$434,"&gt;0"))</f>
        <v/>
      </c>
      <c r="N148" s="44">
        <f>IF(OR(L148="",M148=""),"",(M148-L148)*100)</f>
        <v/>
      </c>
      <c r="O148" s="45">
        <f>IF(SUMIFS(Countries!$P$5:$P$434,Countries!$A$5:$A$434,"All landing pages",Countries!$B$5:$B$434,"Direct",Countries!$C$5:$C$434,"Desktop",Countries!$D$5:$D$434,$A148,Countries!$AR$5:$AR$434,"&gt;0")=0,"",SUMIFS(Countries!$AR$5:$AR$434,Countries!$A$5:$A$434,"All landing pages",Countries!$B$5:$B$434,"Direct",Countries!$C$5:$C$434,"Desktop",Countries!$D$5:$D$434,$A148,Countries!$P$5:$P$434,"&gt;0")/SUMIFS(Countries!$P$5:$P$434,Countries!$A$5:$A$434,"All landing pages",Countries!$B$5:$B$434,"Direct",Countries!$C$5:$C$434,"Desktop",Countries!$D$5:$D$434,$A148,Countries!$AR$5:$AR$434,"&gt;0"))</f>
        <v/>
      </c>
      <c r="P148" s="45">
        <f>IF(SUMIFS(Countries!$Q$5:$Q$434,Countries!$A$5:$A$434,"All landing pages",Countries!$B$5:$B$434,"Direct",Countries!$C$5:$C$434,"Desktop",Countries!$D$5:$D$434,$A148,Countries!$AS$5:$AS$434,"&gt;0")=0,"",SUMIFS(Countries!$AS$5:$AS$434,Countries!$A$5:$A$434,"All landing pages",Countries!$B$5:$B$434,"Direct",Countries!$C$5:$C$434,"Desktop",Countries!$D$5:$D$434,$A148,Countries!$Q$5:$Q$434,"&gt;0")/SUMIFS(Countries!$Q$5:$Q$434,Countries!$A$5:$A$434,"All landing pages",Countries!$B$5:$B$434,"Direct",Countries!$C$5:$C$434,"Desktop",Countries!$D$5:$D$434,$A148,Countries!$AS$5:$AS$434,"&gt;0"))</f>
        <v/>
      </c>
      <c r="Q148" s="44">
        <f>IF(OR(O148="",P148=""),"",(P148-O148)*100)</f>
        <v/>
      </c>
      <c r="R148" s="45">
        <f>IF(SUMIFS(Countries!$E$5:$E$434,Countries!$A$5:$A$434,"All landing pages",Countries!$B$5:$B$434,"Direct",Countries!$C$5:$C$434,"Desktop",Countries!$D$5:$D$434,$A148,Countries!$AR$5:$AR$434,"&gt;0")=0,"",SUMIFS(Countries!$AR$5:$AR$434,Countries!$A$5:$A$434,"All landing pages",Countries!$B$5:$B$434,"Direct",Countries!$C$5:$C$434,"Desktop",Countries!$D$5:$D$434,$A148,Countries!$E$5:$E$434,"&gt;0")/SUMIFS(Countries!$E$5:$E$434,Countries!$A$5:$A$434,"All landing pages",Countries!$B$5:$B$434,"Direct",Countries!$C$5:$C$434,"Desktop",Countries!$D$5:$D$434,$A148,Countries!$AR$5:$AR$434,"&gt;0"))</f>
        <v/>
      </c>
      <c r="S148" s="45">
        <f>IF(SUMIFS(Countries!$F$5:$F$434,Countries!$A$5:$A$434,"All landing pages",Countries!$B$5:$B$434,"Direct",Countries!$C$5:$C$434,"Desktop",Countries!$D$5:$D$434,$A148,Countries!$AS$5:$AS$434,"&gt;0")=0,"",SUMIFS(Countries!$AS$5:$AS$434,Countries!$A$5:$A$434,"All landing pages",Countries!$B$5:$B$434,"Direct",Countries!$C$5:$C$434,"Desktop",Countries!$D$5:$D$434,$A148,Countries!$F$5:$F$434,"&gt;0")/SUMIFS(Countries!$F$5:$F$434,Countries!$A$5:$A$434,"All landing pages",Countries!$B$5:$B$434,"Direct",Countries!$C$5:$C$434,"Desktop",Countries!$D$5:$D$434,$A148,Countries!$AS$5:$AS$434,"&gt;0"))</f>
        <v/>
      </c>
      <c r="T148" s="44">
        <f>IF(OR(R148="",S148=""),"",(S148-R148)*100)</f>
        <v/>
      </c>
    </row>
    <row r="149">
      <c r="A149" s="40" t="inlineStr">
        <is>
          <t>Sweden</t>
        </is>
      </c>
      <c r="B149" s="40" t="inlineStr">
        <is>
          <t>Direct</t>
        </is>
      </c>
      <c r="C149" s="41">
        <f>IF(SUMIFS(Countries!$E$5:$E$434,Countries!$A$5:$A$434,"All landing pages",Countries!$B$5:$B$434,"Direct",Countries!$C$5:$C$434,"Desktop",Countries!$D$5:$D$434,$A149)=0,"",SUMIFS(Countries!$E$5:$E$434,Countries!$A$5:$A$434,"All landing pages",Countries!$B$5:$B$434,"Direct",Countries!$C$5:$C$434,"Desktop",Countries!$D$5:$D$434,$A149))</f>
        <v/>
      </c>
      <c r="D149" s="41">
        <f>IF(SUMIFS(Countries!$F$5:$F$434,Countries!$A$5:$A$434,"All landing pages",Countries!$B$5:$B$434,"Direct",Countries!$C$5:$C$434,"Desktop",Countries!$D$5:$D$434,$A149)=0,"",SUMIFS(Countries!$F$5:$F$434,Countries!$A$5:$A$434,"All landing pages",Countries!$B$5:$B$434,"Direct",Countries!$C$5:$C$434,"Desktop",Countries!$D$5:$D$434,$A149))</f>
        <v/>
      </c>
      <c r="E149" s="42">
        <f>IF(OR(C149="",D149="",D149=0,C149=0),"",D149/C149-1)</f>
        <v/>
      </c>
      <c r="F149" s="41">
        <f>IF(SUMIFS(Countries!$P$5:$P$434,Countries!$A$5:$A$434,"All landing pages",Countries!$B$5:$B$434,"Direct",Countries!$C$5:$C$434,"Desktop",Countries!$D$5:$D$434,$A149)=0,"",SUMIFS(Countries!$P$5:$P$434,Countries!$A$5:$A$434,"All landing pages",Countries!$B$5:$B$434,"Direct",Countries!$C$5:$C$434,"Desktop",Countries!$D$5:$D$434,$A149))</f>
        <v/>
      </c>
      <c r="G149" s="41">
        <f>IF(SUMIFS(Countries!$Q$5:$Q$434,Countries!$A$5:$A$434,"All landing pages",Countries!$B$5:$B$434,"Direct",Countries!$C$5:$C$434,"Desktop",Countries!$D$5:$D$434,$A149)=0,"",SUMIFS(Countries!$Q$5:$Q$434,Countries!$A$5:$A$434,"All landing pages",Countries!$B$5:$B$434,"Direct",Countries!$C$5:$C$434,"Desktop",Countries!$D$5:$D$434,$A149))</f>
        <v/>
      </c>
      <c r="H149" s="42">
        <f>IF(OR(F149="",G149="",G149=0,F149=0),"",G149/F149-1)</f>
        <v/>
      </c>
      <c r="I149" s="41">
        <f>IF(SUMIFS(Countries!$AR$5:$AR$434,Countries!$A$5:$A$434,"All landing pages",Countries!$B$5:$B$434,"Direct",Countries!$C$5:$C$434,"Desktop",Countries!$D$5:$D$434,$A149)=0,"",SUMIFS(Countries!$AR$5:$AR$434,Countries!$A$5:$A$434,"All landing pages",Countries!$B$5:$B$434,"Direct",Countries!$C$5:$C$434,"Desktop",Countries!$D$5:$D$434,$A149))</f>
        <v/>
      </c>
      <c r="J149" s="41">
        <f>IF(SUMIFS(Countries!$AS$5:$AS$434,Countries!$A$5:$A$434,"All landing pages",Countries!$B$5:$B$434,"Direct",Countries!$C$5:$C$434,"Desktop",Countries!$D$5:$D$434,$A149)=0,"",SUMIFS(Countries!$AS$5:$AS$434,Countries!$A$5:$A$434,"All landing pages",Countries!$B$5:$B$434,"Direct",Countries!$C$5:$C$434,"Desktop",Countries!$D$5:$D$434,$A149))</f>
        <v/>
      </c>
      <c r="K149" s="42">
        <f>IF(OR(I149="",J149="",J149=0,I149=0),"",J149/I149-1)</f>
        <v/>
      </c>
      <c r="L149" s="43">
        <f>IF(SUMIFS(Countries!$E$5:$E$434,Countries!$A$5:$A$434,"All landing pages",Countries!$B$5:$B$434,"Direct",Countries!$C$5:$C$434,"Desktop",Countries!$D$5:$D$434,$A149,Countries!$P$5:$P$434,"&gt;0")=0,"",SUMIFS(Countries!$P$5:$P$434,Countries!$A$5:$A$434,"All landing pages",Countries!$B$5:$B$434,"Direct",Countries!$C$5:$C$434,"Desktop",Countries!$D$5:$D$434,$A149,Countries!$E$5:$E$434,"&gt;0")/SUMIFS(Countries!$E$5:$E$434,Countries!$A$5:$A$434,"All landing pages",Countries!$B$5:$B$434,"Direct",Countries!$C$5:$C$434,"Desktop",Countries!$D$5:$D$434,$A149,Countries!$P$5:$P$434,"&gt;0"))</f>
        <v/>
      </c>
      <c r="M149" s="43">
        <f>IF(SUMIFS(Countries!$F$5:$F$434,Countries!$A$5:$A$434,"All landing pages",Countries!$B$5:$B$434,"Direct",Countries!$C$5:$C$434,"Desktop",Countries!$D$5:$D$434,$A149,Countries!$Q$5:$Q$434,"&gt;0")=0,"",SUMIFS(Countries!$Q$5:$Q$434,Countries!$A$5:$A$434,"All landing pages",Countries!$B$5:$B$434,"Direct",Countries!$C$5:$C$434,"Desktop",Countries!$D$5:$D$434,$A149,Countries!$F$5:$F$434,"&gt;0")/SUMIFS(Countries!$F$5:$F$434,Countries!$A$5:$A$434,"All landing pages",Countries!$B$5:$B$434,"Direct",Countries!$C$5:$C$434,"Desktop",Countries!$D$5:$D$434,$A149,Countries!$Q$5:$Q$434,"&gt;0"))</f>
        <v/>
      </c>
      <c r="N149" s="44">
        <f>IF(OR(L149="",M149=""),"",(M149-L149)*100)</f>
        <v/>
      </c>
      <c r="O149" s="45">
        <f>IF(SUMIFS(Countries!$P$5:$P$434,Countries!$A$5:$A$434,"All landing pages",Countries!$B$5:$B$434,"Direct",Countries!$C$5:$C$434,"Desktop",Countries!$D$5:$D$434,$A149,Countries!$AR$5:$AR$434,"&gt;0")=0,"",SUMIFS(Countries!$AR$5:$AR$434,Countries!$A$5:$A$434,"All landing pages",Countries!$B$5:$B$434,"Direct",Countries!$C$5:$C$434,"Desktop",Countries!$D$5:$D$434,$A149,Countries!$P$5:$P$434,"&gt;0")/SUMIFS(Countries!$P$5:$P$434,Countries!$A$5:$A$434,"All landing pages",Countries!$B$5:$B$434,"Direct",Countries!$C$5:$C$434,"Desktop",Countries!$D$5:$D$434,$A149,Countries!$AR$5:$AR$434,"&gt;0"))</f>
        <v/>
      </c>
      <c r="P149" s="45">
        <f>IF(SUMIFS(Countries!$Q$5:$Q$434,Countries!$A$5:$A$434,"All landing pages",Countries!$B$5:$B$434,"Direct",Countries!$C$5:$C$434,"Desktop",Countries!$D$5:$D$434,$A149,Countries!$AS$5:$AS$434,"&gt;0")=0,"",SUMIFS(Countries!$AS$5:$AS$434,Countries!$A$5:$A$434,"All landing pages",Countries!$B$5:$B$434,"Direct",Countries!$C$5:$C$434,"Desktop",Countries!$D$5:$D$434,$A149,Countries!$Q$5:$Q$434,"&gt;0")/SUMIFS(Countries!$Q$5:$Q$434,Countries!$A$5:$A$434,"All landing pages",Countries!$B$5:$B$434,"Direct",Countries!$C$5:$C$434,"Desktop",Countries!$D$5:$D$434,$A149,Countries!$AS$5:$AS$434,"&gt;0"))</f>
        <v/>
      </c>
      <c r="Q149" s="44">
        <f>IF(OR(O149="",P149=""),"",(P149-O149)*100)</f>
        <v/>
      </c>
      <c r="R149" s="45">
        <f>IF(SUMIFS(Countries!$E$5:$E$434,Countries!$A$5:$A$434,"All landing pages",Countries!$B$5:$B$434,"Direct",Countries!$C$5:$C$434,"Desktop",Countries!$D$5:$D$434,$A149,Countries!$AR$5:$AR$434,"&gt;0")=0,"",SUMIFS(Countries!$AR$5:$AR$434,Countries!$A$5:$A$434,"All landing pages",Countries!$B$5:$B$434,"Direct",Countries!$C$5:$C$434,"Desktop",Countries!$D$5:$D$434,$A149,Countries!$E$5:$E$434,"&gt;0")/SUMIFS(Countries!$E$5:$E$434,Countries!$A$5:$A$434,"All landing pages",Countries!$B$5:$B$434,"Direct",Countries!$C$5:$C$434,"Desktop",Countries!$D$5:$D$434,$A149,Countries!$AR$5:$AR$434,"&gt;0"))</f>
        <v/>
      </c>
      <c r="S149" s="45">
        <f>IF(SUMIFS(Countries!$F$5:$F$434,Countries!$A$5:$A$434,"All landing pages",Countries!$B$5:$B$434,"Direct",Countries!$C$5:$C$434,"Desktop",Countries!$D$5:$D$434,$A149,Countries!$AS$5:$AS$434,"&gt;0")=0,"",SUMIFS(Countries!$AS$5:$AS$434,Countries!$A$5:$A$434,"All landing pages",Countries!$B$5:$B$434,"Direct",Countries!$C$5:$C$434,"Desktop",Countries!$D$5:$D$434,$A149,Countries!$F$5:$F$434,"&gt;0")/SUMIFS(Countries!$F$5:$F$434,Countries!$A$5:$A$434,"All landing pages",Countries!$B$5:$B$434,"Direct",Countries!$C$5:$C$434,"Desktop",Countries!$D$5:$D$434,$A149,Countries!$AS$5:$AS$434,"&gt;0"))</f>
        <v/>
      </c>
      <c r="T149" s="44">
        <f>IF(OR(R149="",S149=""),"",(S149-R149)*100)</f>
        <v/>
      </c>
    </row>
    <row r="150">
      <c r="A150" s="40" t="inlineStr">
        <is>
          <t>Belgium</t>
        </is>
      </c>
      <c r="B150" s="40" t="inlineStr">
        <is>
          <t>Direct</t>
        </is>
      </c>
      <c r="C150" s="41">
        <f>IF(SUMIFS(Countries!$E$5:$E$434,Countries!$A$5:$A$434,"All landing pages",Countries!$B$5:$B$434,"Direct",Countries!$C$5:$C$434,"Desktop",Countries!$D$5:$D$434,$A150)=0,"",SUMIFS(Countries!$E$5:$E$434,Countries!$A$5:$A$434,"All landing pages",Countries!$B$5:$B$434,"Direct",Countries!$C$5:$C$434,"Desktop",Countries!$D$5:$D$434,$A150))</f>
        <v/>
      </c>
      <c r="D150" s="41">
        <f>IF(SUMIFS(Countries!$F$5:$F$434,Countries!$A$5:$A$434,"All landing pages",Countries!$B$5:$B$434,"Direct",Countries!$C$5:$C$434,"Desktop",Countries!$D$5:$D$434,$A150)=0,"",SUMIFS(Countries!$F$5:$F$434,Countries!$A$5:$A$434,"All landing pages",Countries!$B$5:$B$434,"Direct",Countries!$C$5:$C$434,"Desktop",Countries!$D$5:$D$434,$A150))</f>
        <v/>
      </c>
      <c r="E150" s="42">
        <f>IF(OR(C150="",D150="",D150=0,C150=0),"",D150/C150-1)</f>
        <v/>
      </c>
      <c r="F150" s="41">
        <f>IF(SUMIFS(Countries!$P$5:$P$434,Countries!$A$5:$A$434,"All landing pages",Countries!$B$5:$B$434,"Direct",Countries!$C$5:$C$434,"Desktop",Countries!$D$5:$D$434,$A150)=0,"",SUMIFS(Countries!$P$5:$P$434,Countries!$A$5:$A$434,"All landing pages",Countries!$B$5:$B$434,"Direct",Countries!$C$5:$C$434,"Desktop",Countries!$D$5:$D$434,$A150))</f>
        <v/>
      </c>
      <c r="G150" s="41">
        <f>IF(SUMIFS(Countries!$Q$5:$Q$434,Countries!$A$5:$A$434,"All landing pages",Countries!$B$5:$B$434,"Direct",Countries!$C$5:$C$434,"Desktop",Countries!$D$5:$D$434,$A150)=0,"",SUMIFS(Countries!$Q$5:$Q$434,Countries!$A$5:$A$434,"All landing pages",Countries!$B$5:$B$434,"Direct",Countries!$C$5:$C$434,"Desktop",Countries!$D$5:$D$434,$A150))</f>
        <v/>
      </c>
      <c r="H150" s="42">
        <f>IF(OR(F150="",G150="",G150=0,F150=0),"",G150/F150-1)</f>
        <v/>
      </c>
      <c r="I150" s="41">
        <f>IF(SUMIFS(Countries!$AR$5:$AR$434,Countries!$A$5:$A$434,"All landing pages",Countries!$B$5:$B$434,"Direct",Countries!$C$5:$C$434,"Desktop",Countries!$D$5:$D$434,$A150)=0,"",SUMIFS(Countries!$AR$5:$AR$434,Countries!$A$5:$A$434,"All landing pages",Countries!$B$5:$B$434,"Direct",Countries!$C$5:$C$434,"Desktop",Countries!$D$5:$D$434,$A150))</f>
        <v/>
      </c>
      <c r="J150" s="41">
        <f>IF(SUMIFS(Countries!$AS$5:$AS$434,Countries!$A$5:$A$434,"All landing pages",Countries!$B$5:$B$434,"Direct",Countries!$C$5:$C$434,"Desktop",Countries!$D$5:$D$434,$A150)=0,"",SUMIFS(Countries!$AS$5:$AS$434,Countries!$A$5:$A$434,"All landing pages",Countries!$B$5:$B$434,"Direct",Countries!$C$5:$C$434,"Desktop",Countries!$D$5:$D$434,$A150))</f>
        <v/>
      </c>
      <c r="K150" s="42">
        <f>IF(OR(I150="",J150="",J150=0,I150=0),"",J150/I150-1)</f>
        <v/>
      </c>
      <c r="L150" s="43">
        <f>IF(SUMIFS(Countries!$E$5:$E$434,Countries!$A$5:$A$434,"All landing pages",Countries!$B$5:$B$434,"Direct",Countries!$C$5:$C$434,"Desktop",Countries!$D$5:$D$434,$A150,Countries!$P$5:$P$434,"&gt;0")=0,"",SUMIFS(Countries!$P$5:$P$434,Countries!$A$5:$A$434,"All landing pages",Countries!$B$5:$B$434,"Direct",Countries!$C$5:$C$434,"Desktop",Countries!$D$5:$D$434,$A150,Countries!$E$5:$E$434,"&gt;0")/SUMIFS(Countries!$E$5:$E$434,Countries!$A$5:$A$434,"All landing pages",Countries!$B$5:$B$434,"Direct",Countries!$C$5:$C$434,"Desktop",Countries!$D$5:$D$434,$A150,Countries!$P$5:$P$434,"&gt;0"))</f>
        <v/>
      </c>
      <c r="M150" s="43">
        <f>IF(SUMIFS(Countries!$F$5:$F$434,Countries!$A$5:$A$434,"All landing pages",Countries!$B$5:$B$434,"Direct",Countries!$C$5:$C$434,"Desktop",Countries!$D$5:$D$434,$A150,Countries!$Q$5:$Q$434,"&gt;0")=0,"",SUMIFS(Countries!$Q$5:$Q$434,Countries!$A$5:$A$434,"All landing pages",Countries!$B$5:$B$434,"Direct",Countries!$C$5:$C$434,"Desktop",Countries!$D$5:$D$434,$A150,Countries!$F$5:$F$434,"&gt;0")/SUMIFS(Countries!$F$5:$F$434,Countries!$A$5:$A$434,"All landing pages",Countries!$B$5:$B$434,"Direct",Countries!$C$5:$C$434,"Desktop",Countries!$D$5:$D$434,$A150,Countries!$Q$5:$Q$434,"&gt;0"))</f>
        <v/>
      </c>
      <c r="N150" s="44">
        <f>IF(OR(L150="",M150=""),"",(M150-L150)*100)</f>
        <v/>
      </c>
      <c r="O150" s="45">
        <f>IF(SUMIFS(Countries!$P$5:$P$434,Countries!$A$5:$A$434,"All landing pages",Countries!$B$5:$B$434,"Direct",Countries!$C$5:$C$434,"Desktop",Countries!$D$5:$D$434,$A150,Countries!$AR$5:$AR$434,"&gt;0")=0,"",SUMIFS(Countries!$AR$5:$AR$434,Countries!$A$5:$A$434,"All landing pages",Countries!$B$5:$B$434,"Direct",Countries!$C$5:$C$434,"Desktop",Countries!$D$5:$D$434,$A150,Countries!$P$5:$P$434,"&gt;0")/SUMIFS(Countries!$P$5:$P$434,Countries!$A$5:$A$434,"All landing pages",Countries!$B$5:$B$434,"Direct",Countries!$C$5:$C$434,"Desktop",Countries!$D$5:$D$434,$A150,Countries!$AR$5:$AR$434,"&gt;0"))</f>
        <v/>
      </c>
      <c r="P150" s="45">
        <f>IF(SUMIFS(Countries!$Q$5:$Q$434,Countries!$A$5:$A$434,"All landing pages",Countries!$B$5:$B$434,"Direct",Countries!$C$5:$C$434,"Desktop",Countries!$D$5:$D$434,$A150,Countries!$AS$5:$AS$434,"&gt;0")=0,"",SUMIFS(Countries!$AS$5:$AS$434,Countries!$A$5:$A$434,"All landing pages",Countries!$B$5:$B$434,"Direct",Countries!$C$5:$C$434,"Desktop",Countries!$D$5:$D$434,$A150,Countries!$Q$5:$Q$434,"&gt;0")/SUMIFS(Countries!$Q$5:$Q$434,Countries!$A$5:$A$434,"All landing pages",Countries!$B$5:$B$434,"Direct",Countries!$C$5:$C$434,"Desktop",Countries!$D$5:$D$434,$A150,Countries!$AS$5:$AS$434,"&gt;0"))</f>
        <v/>
      </c>
      <c r="Q150" s="44">
        <f>IF(OR(O150="",P150=""),"",(P150-O150)*100)</f>
        <v/>
      </c>
      <c r="R150" s="45">
        <f>IF(SUMIFS(Countries!$E$5:$E$434,Countries!$A$5:$A$434,"All landing pages",Countries!$B$5:$B$434,"Direct",Countries!$C$5:$C$434,"Desktop",Countries!$D$5:$D$434,$A150,Countries!$AR$5:$AR$434,"&gt;0")=0,"",SUMIFS(Countries!$AR$5:$AR$434,Countries!$A$5:$A$434,"All landing pages",Countries!$B$5:$B$434,"Direct",Countries!$C$5:$C$434,"Desktop",Countries!$D$5:$D$434,$A150,Countries!$E$5:$E$434,"&gt;0")/SUMIFS(Countries!$E$5:$E$434,Countries!$A$5:$A$434,"All landing pages",Countries!$B$5:$B$434,"Direct",Countries!$C$5:$C$434,"Desktop",Countries!$D$5:$D$434,$A150,Countries!$AR$5:$AR$434,"&gt;0"))</f>
        <v/>
      </c>
      <c r="S150" s="45">
        <f>IF(SUMIFS(Countries!$F$5:$F$434,Countries!$A$5:$A$434,"All landing pages",Countries!$B$5:$B$434,"Direct",Countries!$C$5:$C$434,"Desktop",Countries!$D$5:$D$434,$A150,Countries!$AS$5:$AS$434,"&gt;0")=0,"",SUMIFS(Countries!$AS$5:$AS$434,Countries!$A$5:$A$434,"All landing pages",Countries!$B$5:$B$434,"Direct",Countries!$C$5:$C$434,"Desktop",Countries!$D$5:$D$434,$A150,Countries!$F$5:$F$434,"&gt;0")/SUMIFS(Countries!$F$5:$F$434,Countries!$A$5:$A$434,"All landing pages",Countries!$B$5:$B$434,"Direct",Countries!$C$5:$C$434,"Desktop",Countries!$D$5:$D$434,$A150,Countries!$AS$5:$AS$434,"&gt;0"))</f>
        <v/>
      </c>
      <c r="T150" s="44">
        <f>IF(OR(R150="",S150=""),"",(S150-R150)*100)</f>
        <v/>
      </c>
    </row>
    <row r="151">
      <c r="A151" s="40" t="inlineStr">
        <is>
          <t>Austria</t>
        </is>
      </c>
      <c r="B151" s="40" t="inlineStr">
        <is>
          <t>Direct</t>
        </is>
      </c>
      <c r="C151" s="41">
        <f>IF(SUMIFS(Countries!$E$5:$E$434,Countries!$A$5:$A$434,"All landing pages",Countries!$B$5:$B$434,"Direct",Countries!$C$5:$C$434,"Desktop",Countries!$D$5:$D$434,$A151)=0,"",SUMIFS(Countries!$E$5:$E$434,Countries!$A$5:$A$434,"All landing pages",Countries!$B$5:$B$434,"Direct",Countries!$C$5:$C$434,"Desktop",Countries!$D$5:$D$434,$A151))</f>
        <v/>
      </c>
      <c r="D151" s="41">
        <f>IF(SUMIFS(Countries!$F$5:$F$434,Countries!$A$5:$A$434,"All landing pages",Countries!$B$5:$B$434,"Direct",Countries!$C$5:$C$434,"Desktop",Countries!$D$5:$D$434,$A151)=0,"",SUMIFS(Countries!$F$5:$F$434,Countries!$A$5:$A$434,"All landing pages",Countries!$B$5:$B$434,"Direct",Countries!$C$5:$C$434,"Desktop",Countries!$D$5:$D$434,$A151))</f>
        <v/>
      </c>
      <c r="E151" s="42">
        <f>IF(OR(C151="",D151="",D151=0,C151=0),"",D151/C151-1)</f>
        <v/>
      </c>
      <c r="F151" s="41">
        <f>IF(SUMIFS(Countries!$P$5:$P$434,Countries!$A$5:$A$434,"All landing pages",Countries!$B$5:$B$434,"Direct",Countries!$C$5:$C$434,"Desktop",Countries!$D$5:$D$434,$A151)=0,"",SUMIFS(Countries!$P$5:$P$434,Countries!$A$5:$A$434,"All landing pages",Countries!$B$5:$B$434,"Direct",Countries!$C$5:$C$434,"Desktop",Countries!$D$5:$D$434,$A151))</f>
        <v/>
      </c>
      <c r="G151" s="41">
        <f>IF(SUMIFS(Countries!$Q$5:$Q$434,Countries!$A$5:$A$434,"All landing pages",Countries!$B$5:$B$434,"Direct",Countries!$C$5:$C$434,"Desktop",Countries!$D$5:$D$434,$A151)=0,"",SUMIFS(Countries!$Q$5:$Q$434,Countries!$A$5:$A$434,"All landing pages",Countries!$B$5:$B$434,"Direct",Countries!$C$5:$C$434,"Desktop",Countries!$D$5:$D$434,$A151))</f>
        <v/>
      </c>
      <c r="H151" s="42">
        <f>IF(OR(F151="",G151="",G151=0,F151=0),"",G151/F151-1)</f>
        <v/>
      </c>
      <c r="I151" s="41">
        <f>IF(SUMIFS(Countries!$AR$5:$AR$434,Countries!$A$5:$A$434,"All landing pages",Countries!$B$5:$B$434,"Direct",Countries!$C$5:$C$434,"Desktop",Countries!$D$5:$D$434,$A151)=0,"",SUMIFS(Countries!$AR$5:$AR$434,Countries!$A$5:$A$434,"All landing pages",Countries!$B$5:$B$434,"Direct",Countries!$C$5:$C$434,"Desktop",Countries!$D$5:$D$434,$A151))</f>
        <v/>
      </c>
      <c r="J151" s="41">
        <f>IF(SUMIFS(Countries!$AS$5:$AS$434,Countries!$A$5:$A$434,"All landing pages",Countries!$B$5:$B$434,"Direct",Countries!$C$5:$C$434,"Desktop",Countries!$D$5:$D$434,$A151)=0,"",SUMIFS(Countries!$AS$5:$AS$434,Countries!$A$5:$A$434,"All landing pages",Countries!$B$5:$B$434,"Direct",Countries!$C$5:$C$434,"Desktop",Countries!$D$5:$D$434,$A151))</f>
        <v/>
      </c>
      <c r="K151" s="42">
        <f>IF(OR(I151="",J151="",J151=0,I151=0),"",J151/I151-1)</f>
        <v/>
      </c>
      <c r="L151" s="43">
        <f>IF(SUMIFS(Countries!$E$5:$E$434,Countries!$A$5:$A$434,"All landing pages",Countries!$B$5:$B$434,"Direct",Countries!$C$5:$C$434,"Desktop",Countries!$D$5:$D$434,$A151,Countries!$P$5:$P$434,"&gt;0")=0,"",SUMIFS(Countries!$P$5:$P$434,Countries!$A$5:$A$434,"All landing pages",Countries!$B$5:$B$434,"Direct",Countries!$C$5:$C$434,"Desktop",Countries!$D$5:$D$434,$A151,Countries!$E$5:$E$434,"&gt;0")/SUMIFS(Countries!$E$5:$E$434,Countries!$A$5:$A$434,"All landing pages",Countries!$B$5:$B$434,"Direct",Countries!$C$5:$C$434,"Desktop",Countries!$D$5:$D$434,$A151,Countries!$P$5:$P$434,"&gt;0"))</f>
        <v/>
      </c>
      <c r="M151" s="43">
        <f>IF(SUMIFS(Countries!$F$5:$F$434,Countries!$A$5:$A$434,"All landing pages",Countries!$B$5:$B$434,"Direct",Countries!$C$5:$C$434,"Desktop",Countries!$D$5:$D$434,$A151,Countries!$Q$5:$Q$434,"&gt;0")=0,"",SUMIFS(Countries!$Q$5:$Q$434,Countries!$A$5:$A$434,"All landing pages",Countries!$B$5:$B$434,"Direct",Countries!$C$5:$C$434,"Desktop",Countries!$D$5:$D$434,$A151,Countries!$F$5:$F$434,"&gt;0")/SUMIFS(Countries!$F$5:$F$434,Countries!$A$5:$A$434,"All landing pages",Countries!$B$5:$B$434,"Direct",Countries!$C$5:$C$434,"Desktop",Countries!$D$5:$D$434,$A151,Countries!$Q$5:$Q$434,"&gt;0"))</f>
        <v/>
      </c>
      <c r="N151" s="44">
        <f>IF(OR(L151="",M151=""),"",(M151-L151)*100)</f>
        <v/>
      </c>
      <c r="O151" s="45">
        <f>IF(SUMIFS(Countries!$P$5:$P$434,Countries!$A$5:$A$434,"All landing pages",Countries!$B$5:$B$434,"Direct",Countries!$C$5:$C$434,"Desktop",Countries!$D$5:$D$434,$A151,Countries!$AR$5:$AR$434,"&gt;0")=0,"",SUMIFS(Countries!$AR$5:$AR$434,Countries!$A$5:$A$434,"All landing pages",Countries!$B$5:$B$434,"Direct",Countries!$C$5:$C$434,"Desktop",Countries!$D$5:$D$434,$A151,Countries!$P$5:$P$434,"&gt;0")/SUMIFS(Countries!$P$5:$P$434,Countries!$A$5:$A$434,"All landing pages",Countries!$B$5:$B$434,"Direct",Countries!$C$5:$C$434,"Desktop",Countries!$D$5:$D$434,$A151,Countries!$AR$5:$AR$434,"&gt;0"))</f>
        <v/>
      </c>
      <c r="P151" s="45">
        <f>IF(SUMIFS(Countries!$Q$5:$Q$434,Countries!$A$5:$A$434,"All landing pages",Countries!$B$5:$B$434,"Direct",Countries!$C$5:$C$434,"Desktop",Countries!$D$5:$D$434,$A151,Countries!$AS$5:$AS$434,"&gt;0")=0,"",SUMIFS(Countries!$AS$5:$AS$434,Countries!$A$5:$A$434,"All landing pages",Countries!$B$5:$B$434,"Direct",Countries!$C$5:$C$434,"Desktop",Countries!$D$5:$D$434,$A151,Countries!$Q$5:$Q$434,"&gt;0")/SUMIFS(Countries!$Q$5:$Q$434,Countries!$A$5:$A$434,"All landing pages",Countries!$B$5:$B$434,"Direct",Countries!$C$5:$C$434,"Desktop",Countries!$D$5:$D$434,$A151,Countries!$AS$5:$AS$434,"&gt;0"))</f>
        <v/>
      </c>
      <c r="Q151" s="44">
        <f>IF(OR(O151="",P151=""),"",(P151-O151)*100)</f>
        <v/>
      </c>
      <c r="R151" s="45">
        <f>IF(SUMIFS(Countries!$E$5:$E$434,Countries!$A$5:$A$434,"All landing pages",Countries!$B$5:$B$434,"Direct",Countries!$C$5:$C$434,"Desktop",Countries!$D$5:$D$434,$A151,Countries!$AR$5:$AR$434,"&gt;0")=0,"",SUMIFS(Countries!$AR$5:$AR$434,Countries!$A$5:$A$434,"All landing pages",Countries!$B$5:$B$434,"Direct",Countries!$C$5:$C$434,"Desktop",Countries!$D$5:$D$434,$A151,Countries!$E$5:$E$434,"&gt;0")/SUMIFS(Countries!$E$5:$E$434,Countries!$A$5:$A$434,"All landing pages",Countries!$B$5:$B$434,"Direct",Countries!$C$5:$C$434,"Desktop",Countries!$D$5:$D$434,$A151,Countries!$AR$5:$AR$434,"&gt;0"))</f>
        <v/>
      </c>
      <c r="S151" s="45">
        <f>IF(SUMIFS(Countries!$F$5:$F$434,Countries!$A$5:$A$434,"All landing pages",Countries!$B$5:$B$434,"Direct",Countries!$C$5:$C$434,"Desktop",Countries!$D$5:$D$434,$A151,Countries!$AS$5:$AS$434,"&gt;0")=0,"",SUMIFS(Countries!$AS$5:$AS$434,Countries!$A$5:$A$434,"All landing pages",Countries!$B$5:$B$434,"Direct",Countries!$C$5:$C$434,"Desktop",Countries!$D$5:$D$434,$A151,Countries!$F$5:$F$434,"&gt;0")/SUMIFS(Countries!$F$5:$F$434,Countries!$A$5:$A$434,"All landing pages",Countries!$B$5:$B$434,"Direct",Countries!$C$5:$C$434,"Desktop",Countries!$D$5:$D$434,$A151,Countries!$AS$5:$AS$434,"&gt;0"))</f>
        <v/>
      </c>
      <c r="T151" s="44">
        <f>IF(OR(R151="",S151=""),"",(S151-R151)*100)</f>
        <v/>
      </c>
    </row>
    <row r="152">
      <c r="A152" s="40" t="inlineStr">
        <is>
          <t>Denmark</t>
        </is>
      </c>
      <c r="B152" s="40" t="inlineStr">
        <is>
          <t>Direct</t>
        </is>
      </c>
      <c r="C152" s="41">
        <f>IF(SUMIFS(Countries!$E$5:$E$434,Countries!$A$5:$A$434,"All landing pages",Countries!$B$5:$B$434,"Direct",Countries!$C$5:$C$434,"Desktop",Countries!$D$5:$D$434,$A152)=0,"",SUMIFS(Countries!$E$5:$E$434,Countries!$A$5:$A$434,"All landing pages",Countries!$B$5:$B$434,"Direct",Countries!$C$5:$C$434,"Desktop",Countries!$D$5:$D$434,$A152))</f>
        <v/>
      </c>
      <c r="D152" s="41">
        <f>IF(SUMIFS(Countries!$F$5:$F$434,Countries!$A$5:$A$434,"All landing pages",Countries!$B$5:$B$434,"Direct",Countries!$C$5:$C$434,"Desktop",Countries!$D$5:$D$434,$A152)=0,"",SUMIFS(Countries!$F$5:$F$434,Countries!$A$5:$A$434,"All landing pages",Countries!$B$5:$B$434,"Direct",Countries!$C$5:$C$434,"Desktop",Countries!$D$5:$D$434,$A152))</f>
        <v/>
      </c>
      <c r="E152" s="42">
        <f>IF(OR(C152="",D152="",D152=0,C152=0),"",D152/C152-1)</f>
        <v/>
      </c>
      <c r="F152" s="41">
        <f>IF(SUMIFS(Countries!$P$5:$P$434,Countries!$A$5:$A$434,"All landing pages",Countries!$B$5:$B$434,"Direct",Countries!$C$5:$C$434,"Desktop",Countries!$D$5:$D$434,$A152)=0,"",SUMIFS(Countries!$P$5:$P$434,Countries!$A$5:$A$434,"All landing pages",Countries!$B$5:$B$434,"Direct",Countries!$C$5:$C$434,"Desktop",Countries!$D$5:$D$434,$A152))</f>
        <v/>
      </c>
      <c r="G152" s="41">
        <f>IF(SUMIFS(Countries!$Q$5:$Q$434,Countries!$A$5:$A$434,"All landing pages",Countries!$B$5:$B$434,"Direct",Countries!$C$5:$C$434,"Desktop",Countries!$D$5:$D$434,$A152)=0,"",SUMIFS(Countries!$Q$5:$Q$434,Countries!$A$5:$A$434,"All landing pages",Countries!$B$5:$B$434,"Direct",Countries!$C$5:$C$434,"Desktop",Countries!$D$5:$D$434,$A152))</f>
        <v/>
      </c>
      <c r="H152" s="42">
        <f>IF(OR(F152="",G152="",G152=0,F152=0),"",G152/F152-1)</f>
        <v/>
      </c>
      <c r="I152" s="41">
        <f>IF(SUMIFS(Countries!$AR$5:$AR$434,Countries!$A$5:$A$434,"All landing pages",Countries!$B$5:$B$434,"Direct",Countries!$C$5:$C$434,"Desktop",Countries!$D$5:$D$434,$A152)=0,"",SUMIFS(Countries!$AR$5:$AR$434,Countries!$A$5:$A$434,"All landing pages",Countries!$B$5:$B$434,"Direct",Countries!$C$5:$C$434,"Desktop",Countries!$D$5:$D$434,$A152))</f>
        <v/>
      </c>
      <c r="J152" s="41">
        <f>IF(SUMIFS(Countries!$AS$5:$AS$434,Countries!$A$5:$A$434,"All landing pages",Countries!$B$5:$B$434,"Direct",Countries!$C$5:$C$434,"Desktop",Countries!$D$5:$D$434,$A152)=0,"",SUMIFS(Countries!$AS$5:$AS$434,Countries!$A$5:$A$434,"All landing pages",Countries!$B$5:$B$434,"Direct",Countries!$C$5:$C$434,"Desktop",Countries!$D$5:$D$434,$A152))</f>
        <v/>
      </c>
      <c r="K152" s="42">
        <f>IF(OR(I152="",J152="",J152=0,I152=0),"",J152/I152-1)</f>
        <v/>
      </c>
      <c r="L152" s="43">
        <f>IF(SUMIFS(Countries!$E$5:$E$434,Countries!$A$5:$A$434,"All landing pages",Countries!$B$5:$B$434,"Direct",Countries!$C$5:$C$434,"Desktop",Countries!$D$5:$D$434,$A152,Countries!$P$5:$P$434,"&gt;0")=0,"",SUMIFS(Countries!$P$5:$P$434,Countries!$A$5:$A$434,"All landing pages",Countries!$B$5:$B$434,"Direct",Countries!$C$5:$C$434,"Desktop",Countries!$D$5:$D$434,$A152,Countries!$E$5:$E$434,"&gt;0")/SUMIFS(Countries!$E$5:$E$434,Countries!$A$5:$A$434,"All landing pages",Countries!$B$5:$B$434,"Direct",Countries!$C$5:$C$434,"Desktop",Countries!$D$5:$D$434,$A152,Countries!$P$5:$P$434,"&gt;0"))</f>
        <v/>
      </c>
      <c r="M152" s="43">
        <f>IF(SUMIFS(Countries!$F$5:$F$434,Countries!$A$5:$A$434,"All landing pages",Countries!$B$5:$B$434,"Direct",Countries!$C$5:$C$434,"Desktop",Countries!$D$5:$D$434,$A152,Countries!$Q$5:$Q$434,"&gt;0")=0,"",SUMIFS(Countries!$Q$5:$Q$434,Countries!$A$5:$A$434,"All landing pages",Countries!$B$5:$B$434,"Direct",Countries!$C$5:$C$434,"Desktop",Countries!$D$5:$D$434,$A152,Countries!$F$5:$F$434,"&gt;0")/SUMIFS(Countries!$F$5:$F$434,Countries!$A$5:$A$434,"All landing pages",Countries!$B$5:$B$434,"Direct",Countries!$C$5:$C$434,"Desktop",Countries!$D$5:$D$434,$A152,Countries!$Q$5:$Q$434,"&gt;0"))</f>
        <v/>
      </c>
      <c r="N152" s="44">
        <f>IF(OR(L152="",M152=""),"",(M152-L152)*100)</f>
        <v/>
      </c>
      <c r="O152" s="45">
        <f>IF(SUMIFS(Countries!$P$5:$P$434,Countries!$A$5:$A$434,"All landing pages",Countries!$B$5:$B$434,"Direct",Countries!$C$5:$C$434,"Desktop",Countries!$D$5:$D$434,$A152,Countries!$AR$5:$AR$434,"&gt;0")=0,"",SUMIFS(Countries!$AR$5:$AR$434,Countries!$A$5:$A$434,"All landing pages",Countries!$B$5:$B$434,"Direct",Countries!$C$5:$C$434,"Desktop",Countries!$D$5:$D$434,$A152,Countries!$P$5:$P$434,"&gt;0")/SUMIFS(Countries!$P$5:$P$434,Countries!$A$5:$A$434,"All landing pages",Countries!$B$5:$B$434,"Direct",Countries!$C$5:$C$434,"Desktop",Countries!$D$5:$D$434,$A152,Countries!$AR$5:$AR$434,"&gt;0"))</f>
        <v/>
      </c>
      <c r="P152" s="45">
        <f>IF(SUMIFS(Countries!$Q$5:$Q$434,Countries!$A$5:$A$434,"All landing pages",Countries!$B$5:$B$434,"Direct",Countries!$C$5:$C$434,"Desktop",Countries!$D$5:$D$434,$A152,Countries!$AS$5:$AS$434,"&gt;0")=0,"",SUMIFS(Countries!$AS$5:$AS$434,Countries!$A$5:$A$434,"All landing pages",Countries!$B$5:$B$434,"Direct",Countries!$C$5:$C$434,"Desktop",Countries!$D$5:$D$434,$A152,Countries!$Q$5:$Q$434,"&gt;0")/SUMIFS(Countries!$Q$5:$Q$434,Countries!$A$5:$A$434,"All landing pages",Countries!$B$5:$B$434,"Direct",Countries!$C$5:$C$434,"Desktop",Countries!$D$5:$D$434,$A152,Countries!$AS$5:$AS$434,"&gt;0"))</f>
        <v/>
      </c>
      <c r="Q152" s="44">
        <f>IF(OR(O152="",P152=""),"",(P152-O152)*100)</f>
        <v/>
      </c>
      <c r="R152" s="45">
        <f>IF(SUMIFS(Countries!$E$5:$E$434,Countries!$A$5:$A$434,"All landing pages",Countries!$B$5:$B$434,"Direct",Countries!$C$5:$C$434,"Desktop",Countries!$D$5:$D$434,$A152,Countries!$AR$5:$AR$434,"&gt;0")=0,"",SUMIFS(Countries!$AR$5:$AR$434,Countries!$A$5:$A$434,"All landing pages",Countries!$B$5:$B$434,"Direct",Countries!$C$5:$C$434,"Desktop",Countries!$D$5:$D$434,$A152,Countries!$E$5:$E$434,"&gt;0")/SUMIFS(Countries!$E$5:$E$434,Countries!$A$5:$A$434,"All landing pages",Countries!$B$5:$B$434,"Direct",Countries!$C$5:$C$434,"Desktop",Countries!$D$5:$D$434,$A152,Countries!$AR$5:$AR$434,"&gt;0"))</f>
        <v/>
      </c>
      <c r="S152" s="45">
        <f>IF(SUMIFS(Countries!$F$5:$F$434,Countries!$A$5:$A$434,"All landing pages",Countries!$B$5:$B$434,"Direct",Countries!$C$5:$C$434,"Desktop",Countries!$D$5:$D$434,$A152,Countries!$AS$5:$AS$434,"&gt;0")=0,"",SUMIFS(Countries!$AS$5:$AS$434,Countries!$A$5:$A$434,"All landing pages",Countries!$B$5:$B$434,"Direct",Countries!$C$5:$C$434,"Desktop",Countries!$D$5:$D$434,$A152,Countries!$F$5:$F$434,"&gt;0")/SUMIFS(Countries!$F$5:$F$434,Countries!$A$5:$A$434,"All landing pages",Countries!$B$5:$B$434,"Direct",Countries!$C$5:$C$434,"Desktop",Countries!$D$5:$D$434,$A152,Countries!$AS$5:$AS$434,"&gt;0"))</f>
        <v/>
      </c>
      <c r="T152" s="44">
        <f>IF(OR(R152="",S152=""),"",(S152-R152)*100)</f>
        <v/>
      </c>
    </row>
    <row r="153">
      <c r="A153" s="40" t="inlineStr">
        <is>
          <t>Norway</t>
        </is>
      </c>
      <c r="B153" s="40" t="inlineStr">
        <is>
          <t>Direct</t>
        </is>
      </c>
      <c r="C153" s="41">
        <f>IF(SUMIFS(Countries!$E$5:$E$434,Countries!$A$5:$A$434,"All landing pages",Countries!$B$5:$B$434,"Direct",Countries!$C$5:$C$434,"Desktop",Countries!$D$5:$D$434,$A153)=0,"",SUMIFS(Countries!$E$5:$E$434,Countries!$A$5:$A$434,"All landing pages",Countries!$B$5:$B$434,"Direct",Countries!$C$5:$C$434,"Desktop",Countries!$D$5:$D$434,$A153))</f>
        <v/>
      </c>
      <c r="D153" s="41">
        <f>IF(SUMIFS(Countries!$F$5:$F$434,Countries!$A$5:$A$434,"All landing pages",Countries!$B$5:$B$434,"Direct",Countries!$C$5:$C$434,"Desktop",Countries!$D$5:$D$434,$A153)=0,"",SUMIFS(Countries!$F$5:$F$434,Countries!$A$5:$A$434,"All landing pages",Countries!$B$5:$B$434,"Direct",Countries!$C$5:$C$434,"Desktop",Countries!$D$5:$D$434,$A153))</f>
        <v/>
      </c>
      <c r="E153" s="42">
        <f>IF(OR(C153="",D153="",D153=0,C153=0),"",D153/C153-1)</f>
        <v/>
      </c>
      <c r="F153" s="41">
        <f>IF(SUMIFS(Countries!$P$5:$P$434,Countries!$A$5:$A$434,"All landing pages",Countries!$B$5:$B$434,"Direct",Countries!$C$5:$C$434,"Desktop",Countries!$D$5:$D$434,$A153)=0,"",SUMIFS(Countries!$P$5:$P$434,Countries!$A$5:$A$434,"All landing pages",Countries!$B$5:$B$434,"Direct",Countries!$C$5:$C$434,"Desktop",Countries!$D$5:$D$434,$A153))</f>
        <v/>
      </c>
      <c r="G153" s="41">
        <f>IF(SUMIFS(Countries!$Q$5:$Q$434,Countries!$A$5:$A$434,"All landing pages",Countries!$B$5:$B$434,"Direct",Countries!$C$5:$C$434,"Desktop",Countries!$D$5:$D$434,$A153)=0,"",SUMIFS(Countries!$Q$5:$Q$434,Countries!$A$5:$A$434,"All landing pages",Countries!$B$5:$B$434,"Direct",Countries!$C$5:$C$434,"Desktop",Countries!$D$5:$D$434,$A153))</f>
        <v/>
      </c>
      <c r="H153" s="42">
        <f>IF(OR(F153="",G153="",G153=0,F153=0),"",G153/F153-1)</f>
        <v/>
      </c>
      <c r="I153" s="41">
        <f>IF(SUMIFS(Countries!$AR$5:$AR$434,Countries!$A$5:$A$434,"All landing pages",Countries!$B$5:$B$434,"Direct",Countries!$C$5:$C$434,"Desktop",Countries!$D$5:$D$434,$A153)=0,"",SUMIFS(Countries!$AR$5:$AR$434,Countries!$A$5:$A$434,"All landing pages",Countries!$B$5:$B$434,"Direct",Countries!$C$5:$C$434,"Desktop",Countries!$D$5:$D$434,$A153))</f>
        <v/>
      </c>
      <c r="J153" s="41">
        <f>IF(SUMIFS(Countries!$AS$5:$AS$434,Countries!$A$5:$A$434,"All landing pages",Countries!$B$5:$B$434,"Direct",Countries!$C$5:$C$434,"Desktop",Countries!$D$5:$D$434,$A153)=0,"",SUMIFS(Countries!$AS$5:$AS$434,Countries!$A$5:$A$434,"All landing pages",Countries!$B$5:$B$434,"Direct",Countries!$C$5:$C$434,"Desktop",Countries!$D$5:$D$434,$A153))</f>
        <v/>
      </c>
      <c r="K153" s="42">
        <f>IF(OR(I153="",J153="",J153=0,I153=0),"",J153/I153-1)</f>
        <v/>
      </c>
      <c r="L153" s="43">
        <f>IF(SUMIFS(Countries!$E$5:$E$434,Countries!$A$5:$A$434,"All landing pages",Countries!$B$5:$B$434,"Direct",Countries!$C$5:$C$434,"Desktop",Countries!$D$5:$D$434,$A153,Countries!$P$5:$P$434,"&gt;0")=0,"",SUMIFS(Countries!$P$5:$P$434,Countries!$A$5:$A$434,"All landing pages",Countries!$B$5:$B$434,"Direct",Countries!$C$5:$C$434,"Desktop",Countries!$D$5:$D$434,$A153,Countries!$E$5:$E$434,"&gt;0")/SUMIFS(Countries!$E$5:$E$434,Countries!$A$5:$A$434,"All landing pages",Countries!$B$5:$B$434,"Direct",Countries!$C$5:$C$434,"Desktop",Countries!$D$5:$D$434,$A153,Countries!$P$5:$P$434,"&gt;0"))</f>
        <v/>
      </c>
      <c r="M153" s="43">
        <f>IF(SUMIFS(Countries!$F$5:$F$434,Countries!$A$5:$A$434,"All landing pages",Countries!$B$5:$B$434,"Direct",Countries!$C$5:$C$434,"Desktop",Countries!$D$5:$D$434,$A153,Countries!$Q$5:$Q$434,"&gt;0")=0,"",SUMIFS(Countries!$Q$5:$Q$434,Countries!$A$5:$A$434,"All landing pages",Countries!$B$5:$B$434,"Direct",Countries!$C$5:$C$434,"Desktop",Countries!$D$5:$D$434,$A153,Countries!$F$5:$F$434,"&gt;0")/SUMIFS(Countries!$F$5:$F$434,Countries!$A$5:$A$434,"All landing pages",Countries!$B$5:$B$434,"Direct",Countries!$C$5:$C$434,"Desktop",Countries!$D$5:$D$434,$A153,Countries!$Q$5:$Q$434,"&gt;0"))</f>
        <v/>
      </c>
      <c r="N153" s="44">
        <f>IF(OR(L153="",M153=""),"",(M153-L153)*100)</f>
        <v/>
      </c>
      <c r="O153" s="45">
        <f>IF(SUMIFS(Countries!$P$5:$P$434,Countries!$A$5:$A$434,"All landing pages",Countries!$B$5:$B$434,"Direct",Countries!$C$5:$C$434,"Desktop",Countries!$D$5:$D$434,$A153,Countries!$AR$5:$AR$434,"&gt;0")=0,"",SUMIFS(Countries!$AR$5:$AR$434,Countries!$A$5:$A$434,"All landing pages",Countries!$B$5:$B$434,"Direct",Countries!$C$5:$C$434,"Desktop",Countries!$D$5:$D$434,$A153,Countries!$P$5:$P$434,"&gt;0")/SUMIFS(Countries!$P$5:$P$434,Countries!$A$5:$A$434,"All landing pages",Countries!$B$5:$B$434,"Direct",Countries!$C$5:$C$434,"Desktop",Countries!$D$5:$D$434,$A153,Countries!$AR$5:$AR$434,"&gt;0"))</f>
        <v/>
      </c>
      <c r="P153" s="45">
        <f>IF(SUMIFS(Countries!$Q$5:$Q$434,Countries!$A$5:$A$434,"All landing pages",Countries!$B$5:$B$434,"Direct",Countries!$C$5:$C$434,"Desktop",Countries!$D$5:$D$434,$A153,Countries!$AS$5:$AS$434,"&gt;0")=0,"",SUMIFS(Countries!$AS$5:$AS$434,Countries!$A$5:$A$434,"All landing pages",Countries!$B$5:$B$434,"Direct",Countries!$C$5:$C$434,"Desktop",Countries!$D$5:$D$434,$A153,Countries!$Q$5:$Q$434,"&gt;0")/SUMIFS(Countries!$Q$5:$Q$434,Countries!$A$5:$A$434,"All landing pages",Countries!$B$5:$B$434,"Direct",Countries!$C$5:$C$434,"Desktop",Countries!$D$5:$D$434,$A153,Countries!$AS$5:$AS$434,"&gt;0"))</f>
        <v/>
      </c>
      <c r="Q153" s="44">
        <f>IF(OR(O153="",P153=""),"",(P153-O153)*100)</f>
        <v/>
      </c>
      <c r="R153" s="45">
        <f>IF(SUMIFS(Countries!$E$5:$E$434,Countries!$A$5:$A$434,"All landing pages",Countries!$B$5:$B$434,"Direct",Countries!$C$5:$C$434,"Desktop",Countries!$D$5:$D$434,$A153,Countries!$AR$5:$AR$434,"&gt;0")=0,"",SUMIFS(Countries!$AR$5:$AR$434,Countries!$A$5:$A$434,"All landing pages",Countries!$B$5:$B$434,"Direct",Countries!$C$5:$C$434,"Desktop",Countries!$D$5:$D$434,$A153,Countries!$E$5:$E$434,"&gt;0")/SUMIFS(Countries!$E$5:$E$434,Countries!$A$5:$A$434,"All landing pages",Countries!$B$5:$B$434,"Direct",Countries!$C$5:$C$434,"Desktop",Countries!$D$5:$D$434,$A153,Countries!$AR$5:$AR$434,"&gt;0"))</f>
        <v/>
      </c>
      <c r="S153" s="45">
        <f>IF(SUMIFS(Countries!$F$5:$F$434,Countries!$A$5:$A$434,"All landing pages",Countries!$B$5:$B$434,"Direct",Countries!$C$5:$C$434,"Desktop",Countries!$D$5:$D$434,$A153,Countries!$AS$5:$AS$434,"&gt;0")=0,"",SUMIFS(Countries!$AS$5:$AS$434,Countries!$A$5:$A$434,"All landing pages",Countries!$B$5:$B$434,"Direct",Countries!$C$5:$C$434,"Desktop",Countries!$D$5:$D$434,$A153,Countries!$F$5:$F$434,"&gt;0")/SUMIFS(Countries!$F$5:$F$434,Countries!$A$5:$A$434,"All landing pages",Countries!$B$5:$B$434,"Direct",Countries!$C$5:$C$434,"Desktop",Countries!$D$5:$D$434,$A153,Countries!$AS$5:$AS$434,"&gt;0"))</f>
        <v/>
      </c>
      <c r="T153" s="44">
        <f>IF(OR(R153="",S153=""),"",(S153-R153)*100)</f>
        <v/>
      </c>
    </row>
    <row r="154">
      <c r="A154" s="40" t="inlineStr">
        <is>
          <t>Finland</t>
        </is>
      </c>
      <c r="B154" s="40" t="inlineStr">
        <is>
          <t>Direct</t>
        </is>
      </c>
      <c r="C154" s="41">
        <f>IF(SUMIFS(Countries!$E$5:$E$434,Countries!$A$5:$A$434,"All landing pages",Countries!$B$5:$B$434,"Direct",Countries!$C$5:$C$434,"Desktop",Countries!$D$5:$D$434,$A154)=0,"",SUMIFS(Countries!$E$5:$E$434,Countries!$A$5:$A$434,"All landing pages",Countries!$B$5:$B$434,"Direct",Countries!$C$5:$C$434,"Desktop",Countries!$D$5:$D$434,$A154))</f>
        <v/>
      </c>
      <c r="D154" s="41">
        <f>IF(SUMIFS(Countries!$F$5:$F$434,Countries!$A$5:$A$434,"All landing pages",Countries!$B$5:$B$434,"Direct",Countries!$C$5:$C$434,"Desktop",Countries!$D$5:$D$434,$A154)=0,"",SUMIFS(Countries!$F$5:$F$434,Countries!$A$5:$A$434,"All landing pages",Countries!$B$5:$B$434,"Direct",Countries!$C$5:$C$434,"Desktop",Countries!$D$5:$D$434,$A154))</f>
        <v/>
      </c>
      <c r="E154" s="42">
        <f>IF(OR(C154="",D154="",D154=0,C154=0),"",D154/C154-1)</f>
        <v/>
      </c>
      <c r="F154" s="41">
        <f>IF(SUMIFS(Countries!$P$5:$P$434,Countries!$A$5:$A$434,"All landing pages",Countries!$B$5:$B$434,"Direct",Countries!$C$5:$C$434,"Desktop",Countries!$D$5:$D$434,$A154)=0,"",SUMIFS(Countries!$P$5:$P$434,Countries!$A$5:$A$434,"All landing pages",Countries!$B$5:$B$434,"Direct",Countries!$C$5:$C$434,"Desktop",Countries!$D$5:$D$434,$A154))</f>
        <v/>
      </c>
      <c r="G154" s="41">
        <f>IF(SUMIFS(Countries!$Q$5:$Q$434,Countries!$A$5:$A$434,"All landing pages",Countries!$B$5:$B$434,"Direct",Countries!$C$5:$C$434,"Desktop",Countries!$D$5:$D$434,$A154)=0,"",SUMIFS(Countries!$Q$5:$Q$434,Countries!$A$5:$A$434,"All landing pages",Countries!$B$5:$B$434,"Direct",Countries!$C$5:$C$434,"Desktop",Countries!$D$5:$D$434,$A154))</f>
        <v/>
      </c>
      <c r="H154" s="42">
        <f>IF(OR(F154="",G154="",G154=0,F154=0),"",G154/F154-1)</f>
        <v/>
      </c>
      <c r="I154" s="41">
        <f>IF(SUMIFS(Countries!$AR$5:$AR$434,Countries!$A$5:$A$434,"All landing pages",Countries!$B$5:$B$434,"Direct",Countries!$C$5:$C$434,"Desktop",Countries!$D$5:$D$434,$A154)=0,"",SUMIFS(Countries!$AR$5:$AR$434,Countries!$A$5:$A$434,"All landing pages",Countries!$B$5:$B$434,"Direct",Countries!$C$5:$C$434,"Desktop",Countries!$D$5:$D$434,$A154))</f>
        <v/>
      </c>
      <c r="J154" s="41">
        <f>IF(SUMIFS(Countries!$AS$5:$AS$434,Countries!$A$5:$A$434,"All landing pages",Countries!$B$5:$B$434,"Direct",Countries!$C$5:$C$434,"Desktop",Countries!$D$5:$D$434,$A154)=0,"",SUMIFS(Countries!$AS$5:$AS$434,Countries!$A$5:$A$434,"All landing pages",Countries!$B$5:$B$434,"Direct",Countries!$C$5:$C$434,"Desktop",Countries!$D$5:$D$434,$A154))</f>
        <v/>
      </c>
      <c r="K154" s="42">
        <f>IF(OR(I154="",J154="",J154=0,I154=0),"",J154/I154-1)</f>
        <v/>
      </c>
      <c r="L154" s="43">
        <f>IF(SUMIFS(Countries!$E$5:$E$434,Countries!$A$5:$A$434,"All landing pages",Countries!$B$5:$B$434,"Direct",Countries!$C$5:$C$434,"Desktop",Countries!$D$5:$D$434,$A154,Countries!$P$5:$P$434,"&gt;0")=0,"",SUMIFS(Countries!$P$5:$P$434,Countries!$A$5:$A$434,"All landing pages",Countries!$B$5:$B$434,"Direct",Countries!$C$5:$C$434,"Desktop",Countries!$D$5:$D$434,$A154,Countries!$E$5:$E$434,"&gt;0")/SUMIFS(Countries!$E$5:$E$434,Countries!$A$5:$A$434,"All landing pages",Countries!$B$5:$B$434,"Direct",Countries!$C$5:$C$434,"Desktop",Countries!$D$5:$D$434,$A154,Countries!$P$5:$P$434,"&gt;0"))</f>
        <v/>
      </c>
      <c r="M154" s="43">
        <f>IF(SUMIFS(Countries!$F$5:$F$434,Countries!$A$5:$A$434,"All landing pages",Countries!$B$5:$B$434,"Direct",Countries!$C$5:$C$434,"Desktop",Countries!$D$5:$D$434,$A154,Countries!$Q$5:$Q$434,"&gt;0")=0,"",SUMIFS(Countries!$Q$5:$Q$434,Countries!$A$5:$A$434,"All landing pages",Countries!$B$5:$B$434,"Direct",Countries!$C$5:$C$434,"Desktop",Countries!$D$5:$D$434,$A154,Countries!$F$5:$F$434,"&gt;0")/SUMIFS(Countries!$F$5:$F$434,Countries!$A$5:$A$434,"All landing pages",Countries!$B$5:$B$434,"Direct",Countries!$C$5:$C$434,"Desktop",Countries!$D$5:$D$434,$A154,Countries!$Q$5:$Q$434,"&gt;0"))</f>
        <v/>
      </c>
      <c r="N154" s="44">
        <f>IF(OR(L154="",M154=""),"",(M154-L154)*100)</f>
        <v/>
      </c>
      <c r="O154" s="45">
        <f>IF(SUMIFS(Countries!$P$5:$P$434,Countries!$A$5:$A$434,"All landing pages",Countries!$B$5:$B$434,"Direct",Countries!$C$5:$C$434,"Desktop",Countries!$D$5:$D$434,$A154,Countries!$AR$5:$AR$434,"&gt;0")=0,"",SUMIFS(Countries!$AR$5:$AR$434,Countries!$A$5:$A$434,"All landing pages",Countries!$B$5:$B$434,"Direct",Countries!$C$5:$C$434,"Desktop",Countries!$D$5:$D$434,$A154,Countries!$P$5:$P$434,"&gt;0")/SUMIFS(Countries!$P$5:$P$434,Countries!$A$5:$A$434,"All landing pages",Countries!$B$5:$B$434,"Direct",Countries!$C$5:$C$434,"Desktop",Countries!$D$5:$D$434,$A154,Countries!$AR$5:$AR$434,"&gt;0"))</f>
        <v/>
      </c>
      <c r="P154" s="45">
        <f>IF(SUMIFS(Countries!$Q$5:$Q$434,Countries!$A$5:$A$434,"All landing pages",Countries!$B$5:$B$434,"Direct",Countries!$C$5:$C$434,"Desktop",Countries!$D$5:$D$434,$A154,Countries!$AS$5:$AS$434,"&gt;0")=0,"",SUMIFS(Countries!$AS$5:$AS$434,Countries!$A$5:$A$434,"All landing pages",Countries!$B$5:$B$434,"Direct",Countries!$C$5:$C$434,"Desktop",Countries!$D$5:$D$434,$A154,Countries!$Q$5:$Q$434,"&gt;0")/SUMIFS(Countries!$Q$5:$Q$434,Countries!$A$5:$A$434,"All landing pages",Countries!$B$5:$B$434,"Direct",Countries!$C$5:$C$434,"Desktop",Countries!$D$5:$D$434,$A154,Countries!$AS$5:$AS$434,"&gt;0"))</f>
        <v/>
      </c>
      <c r="Q154" s="44">
        <f>IF(OR(O154="",P154=""),"",(P154-O154)*100)</f>
        <v/>
      </c>
      <c r="R154" s="45">
        <f>IF(SUMIFS(Countries!$E$5:$E$434,Countries!$A$5:$A$434,"All landing pages",Countries!$B$5:$B$434,"Direct",Countries!$C$5:$C$434,"Desktop",Countries!$D$5:$D$434,$A154,Countries!$AR$5:$AR$434,"&gt;0")=0,"",SUMIFS(Countries!$AR$5:$AR$434,Countries!$A$5:$A$434,"All landing pages",Countries!$B$5:$B$434,"Direct",Countries!$C$5:$C$434,"Desktop",Countries!$D$5:$D$434,$A154,Countries!$E$5:$E$434,"&gt;0")/SUMIFS(Countries!$E$5:$E$434,Countries!$A$5:$A$434,"All landing pages",Countries!$B$5:$B$434,"Direct",Countries!$C$5:$C$434,"Desktop",Countries!$D$5:$D$434,$A154,Countries!$AR$5:$AR$434,"&gt;0"))</f>
        <v/>
      </c>
      <c r="S154" s="45">
        <f>IF(SUMIFS(Countries!$F$5:$F$434,Countries!$A$5:$A$434,"All landing pages",Countries!$B$5:$B$434,"Direct",Countries!$C$5:$C$434,"Desktop",Countries!$D$5:$D$434,$A154,Countries!$AS$5:$AS$434,"&gt;0")=0,"",SUMIFS(Countries!$AS$5:$AS$434,Countries!$A$5:$A$434,"All landing pages",Countries!$B$5:$B$434,"Direct",Countries!$C$5:$C$434,"Desktop",Countries!$D$5:$D$434,$A154,Countries!$F$5:$F$434,"&gt;0")/SUMIFS(Countries!$F$5:$F$434,Countries!$A$5:$A$434,"All landing pages",Countries!$B$5:$B$434,"Direct",Countries!$C$5:$C$434,"Desktop",Countries!$D$5:$D$434,$A154,Countries!$AS$5:$AS$434,"&gt;0"))</f>
        <v/>
      </c>
      <c r="T154" s="44">
        <f>IF(OR(R154="",S154=""),"",(S154-R154)*100)</f>
        <v/>
      </c>
    </row>
    <row r="155">
      <c r="A155" s="40" t="inlineStr">
        <is>
          <t>Portugal</t>
        </is>
      </c>
      <c r="B155" s="40" t="inlineStr">
        <is>
          <t>Direct</t>
        </is>
      </c>
      <c r="C155" s="41">
        <f>IF(SUMIFS(Countries!$E$5:$E$434,Countries!$A$5:$A$434,"All landing pages",Countries!$B$5:$B$434,"Direct",Countries!$C$5:$C$434,"Desktop",Countries!$D$5:$D$434,$A155)=0,"",SUMIFS(Countries!$E$5:$E$434,Countries!$A$5:$A$434,"All landing pages",Countries!$B$5:$B$434,"Direct",Countries!$C$5:$C$434,"Desktop",Countries!$D$5:$D$434,$A155))</f>
        <v/>
      </c>
      <c r="D155" s="41">
        <f>IF(SUMIFS(Countries!$F$5:$F$434,Countries!$A$5:$A$434,"All landing pages",Countries!$B$5:$B$434,"Direct",Countries!$C$5:$C$434,"Desktop",Countries!$D$5:$D$434,$A155)=0,"",SUMIFS(Countries!$F$5:$F$434,Countries!$A$5:$A$434,"All landing pages",Countries!$B$5:$B$434,"Direct",Countries!$C$5:$C$434,"Desktop",Countries!$D$5:$D$434,$A155))</f>
        <v/>
      </c>
      <c r="E155" s="42">
        <f>IF(OR(C155="",D155="",D155=0,C155=0),"",D155/C155-1)</f>
        <v/>
      </c>
      <c r="F155" s="41">
        <f>IF(SUMIFS(Countries!$P$5:$P$434,Countries!$A$5:$A$434,"All landing pages",Countries!$B$5:$B$434,"Direct",Countries!$C$5:$C$434,"Desktop",Countries!$D$5:$D$434,$A155)=0,"",SUMIFS(Countries!$P$5:$P$434,Countries!$A$5:$A$434,"All landing pages",Countries!$B$5:$B$434,"Direct",Countries!$C$5:$C$434,"Desktop",Countries!$D$5:$D$434,$A155))</f>
        <v/>
      </c>
      <c r="G155" s="41">
        <f>IF(SUMIFS(Countries!$Q$5:$Q$434,Countries!$A$5:$A$434,"All landing pages",Countries!$B$5:$B$434,"Direct",Countries!$C$5:$C$434,"Desktop",Countries!$D$5:$D$434,$A155)=0,"",SUMIFS(Countries!$Q$5:$Q$434,Countries!$A$5:$A$434,"All landing pages",Countries!$B$5:$B$434,"Direct",Countries!$C$5:$C$434,"Desktop",Countries!$D$5:$D$434,$A155))</f>
        <v/>
      </c>
      <c r="H155" s="42">
        <f>IF(OR(F155="",G155="",G155=0,F155=0),"",G155/F155-1)</f>
        <v/>
      </c>
      <c r="I155" s="41">
        <f>IF(SUMIFS(Countries!$AR$5:$AR$434,Countries!$A$5:$A$434,"All landing pages",Countries!$B$5:$B$434,"Direct",Countries!$C$5:$C$434,"Desktop",Countries!$D$5:$D$434,$A155)=0,"",SUMIFS(Countries!$AR$5:$AR$434,Countries!$A$5:$A$434,"All landing pages",Countries!$B$5:$B$434,"Direct",Countries!$C$5:$C$434,"Desktop",Countries!$D$5:$D$434,$A155))</f>
        <v/>
      </c>
      <c r="J155" s="41">
        <f>IF(SUMIFS(Countries!$AS$5:$AS$434,Countries!$A$5:$A$434,"All landing pages",Countries!$B$5:$B$434,"Direct",Countries!$C$5:$C$434,"Desktop",Countries!$D$5:$D$434,$A155)=0,"",SUMIFS(Countries!$AS$5:$AS$434,Countries!$A$5:$A$434,"All landing pages",Countries!$B$5:$B$434,"Direct",Countries!$C$5:$C$434,"Desktop",Countries!$D$5:$D$434,$A155))</f>
        <v/>
      </c>
      <c r="K155" s="42">
        <f>IF(OR(I155="",J155="",J155=0,I155=0),"",J155/I155-1)</f>
        <v/>
      </c>
      <c r="L155" s="43">
        <f>IF(SUMIFS(Countries!$E$5:$E$434,Countries!$A$5:$A$434,"All landing pages",Countries!$B$5:$B$434,"Direct",Countries!$C$5:$C$434,"Desktop",Countries!$D$5:$D$434,$A155,Countries!$P$5:$P$434,"&gt;0")=0,"",SUMIFS(Countries!$P$5:$P$434,Countries!$A$5:$A$434,"All landing pages",Countries!$B$5:$B$434,"Direct",Countries!$C$5:$C$434,"Desktop",Countries!$D$5:$D$434,$A155,Countries!$E$5:$E$434,"&gt;0")/SUMIFS(Countries!$E$5:$E$434,Countries!$A$5:$A$434,"All landing pages",Countries!$B$5:$B$434,"Direct",Countries!$C$5:$C$434,"Desktop",Countries!$D$5:$D$434,$A155,Countries!$P$5:$P$434,"&gt;0"))</f>
        <v/>
      </c>
      <c r="M155" s="43">
        <f>IF(SUMIFS(Countries!$F$5:$F$434,Countries!$A$5:$A$434,"All landing pages",Countries!$B$5:$B$434,"Direct",Countries!$C$5:$C$434,"Desktop",Countries!$D$5:$D$434,$A155,Countries!$Q$5:$Q$434,"&gt;0")=0,"",SUMIFS(Countries!$Q$5:$Q$434,Countries!$A$5:$A$434,"All landing pages",Countries!$B$5:$B$434,"Direct",Countries!$C$5:$C$434,"Desktop",Countries!$D$5:$D$434,$A155,Countries!$F$5:$F$434,"&gt;0")/SUMIFS(Countries!$F$5:$F$434,Countries!$A$5:$A$434,"All landing pages",Countries!$B$5:$B$434,"Direct",Countries!$C$5:$C$434,"Desktop",Countries!$D$5:$D$434,$A155,Countries!$Q$5:$Q$434,"&gt;0"))</f>
        <v/>
      </c>
      <c r="N155" s="44">
        <f>IF(OR(L155="",M155=""),"",(M155-L155)*100)</f>
        <v/>
      </c>
      <c r="O155" s="45">
        <f>IF(SUMIFS(Countries!$P$5:$P$434,Countries!$A$5:$A$434,"All landing pages",Countries!$B$5:$B$434,"Direct",Countries!$C$5:$C$434,"Desktop",Countries!$D$5:$D$434,$A155,Countries!$AR$5:$AR$434,"&gt;0")=0,"",SUMIFS(Countries!$AR$5:$AR$434,Countries!$A$5:$A$434,"All landing pages",Countries!$B$5:$B$434,"Direct",Countries!$C$5:$C$434,"Desktop",Countries!$D$5:$D$434,$A155,Countries!$P$5:$P$434,"&gt;0")/SUMIFS(Countries!$P$5:$P$434,Countries!$A$5:$A$434,"All landing pages",Countries!$B$5:$B$434,"Direct",Countries!$C$5:$C$434,"Desktop",Countries!$D$5:$D$434,$A155,Countries!$AR$5:$AR$434,"&gt;0"))</f>
        <v/>
      </c>
      <c r="P155" s="45">
        <f>IF(SUMIFS(Countries!$Q$5:$Q$434,Countries!$A$5:$A$434,"All landing pages",Countries!$B$5:$B$434,"Direct",Countries!$C$5:$C$434,"Desktop",Countries!$D$5:$D$434,$A155,Countries!$AS$5:$AS$434,"&gt;0")=0,"",SUMIFS(Countries!$AS$5:$AS$434,Countries!$A$5:$A$434,"All landing pages",Countries!$B$5:$B$434,"Direct",Countries!$C$5:$C$434,"Desktop",Countries!$D$5:$D$434,$A155,Countries!$Q$5:$Q$434,"&gt;0")/SUMIFS(Countries!$Q$5:$Q$434,Countries!$A$5:$A$434,"All landing pages",Countries!$B$5:$B$434,"Direct",Countries!$C$5:$C$434,"Desktop",Countries!$D$5:$D$434,$A155,Countries!$AS$5:$AS$434,"&gt;0"))</f>
        <v/>
      </c>
      <c r="Q155" s="44">
        <f>IF(OR(O155="",P155=""),"",(P155-O155)*100)</f>
        <v/>
      </c>
      <c r="R155" s="45">
        <f>IF(SUMIFS(Countries!$E$5:$E$434,Countries!$A$5:$A$434,"All landing pages",Countries!$B$5:$B$434,"Direct",Countries!$C$5:$C$434,"Desktop",Countries!$D$5:$D$434,$A155,Countries!$AR$5:$AR$434,"&gt;0")=0,"",SUMIFS(Countries!$AR$5:$AR$434,Countries!$A$5:$A$434,"All landing pages",Countries!$B$5:$B$434,"Direct",Countries!$C$5:$C$434,"Desktop",Countries!$D$5:$D$434,$A155,Countries!$E$5:$E$434,"&gt;0")/SUMIFS(Countries!$E$5:$E$434,Countries!$A$5:$A$434,"All landing pages",Countries!$B$5:$B$434,"Direct",Countries!$C$5:$C$434,"Desktop",Countries!$D$5:$D$434,$A155,Countries!$AR$5:$AR$434,"&gt;0"))</f>
        <v/>
      </c>
      <c r="S155" s="45">
        <f>IF(SUMIFS(Countries!$F$5:$F$434,Countries!$A$5:$A$434,"All landing pages",Countries!$B$5:$B$434,"Direct",Countries!$C$5:$C$434,"Desktop",Countries!$D$5:$D$434,$A155,Countries!$AS$5:$AS$434,"&gt;0")=0,"",SUMIFS(Countries!$AS$5:$AS$434,Countries!$A$5:$A$434,"All landing pages",Countries!$B$5:$B$434,"Direct",Countries!$C$5:$C$434,"Desktop",Countries!$D$5:$D$434,$A155,Countries!$F$5:$F$434,"&gt;0")/SUMIFS(Countries!$F$5:$F$434,Countries!$A$5:$A$434,"All landing pages",Countries!$B$5:$B$434,"Direct",Countries!$C$5:$C$434,"Desktop",Countries!$D$5:$D$434,$A155,Countries!$AS$5:$AS$434,"&gt;0"))</f>
        <v/>
      </c>
      <c r="T155" s="44">
        <f>IF(OR(R155="",S155=""),"",(S155-R155)*100)</f>
        <v/>
      </c>
    </row>
    <row r="156">
      <c r="A156" s="40" t="inlineStr">
        <is>
          <t>Romania</t>
        </is>
      </c>
      <c r="B156" s="40" t="inlineStr">
        <is>
          <t>Direct</t>
        </is>
      </c>
      <c r="C156" s="41">
        <f>IF(SUMIFS(Countries!$E$5:$E$434,Countries!$A$5:$A$434,"All landing pages",Countries!$B$5:$B$434,"Direct",Countries!$C$5:$C$434,"Desktop",Countries!$D$5:$D$434,$A156)=0,"",SUMIFS(Countries!$E$5:$E$434,Countries!$A$5:$A$434,"All landing pages",Countries!$B$5:$B$434,"Direct",Countries!$C$5:$C$434,"Desktop",Countries!$D$5:$D$434,$A156))</f>
        <v/>
      </c>
      <c r="D156" s="41">
        <f>IF(SUMIFS(Countries!$F$5:$F$434,Countries!$A$5:$A$434,"All landing pages",Countries!$B$5:$B$434,"Direct",Countries!$C$5:$C$434,"Desktop",Countries!$D$5:$D$434,$A156)=0,"",SUMIFS(Countries!$F$5:$F$434,Countries!$A$5:$A$434,"All landing pages",Countries!$B$5:$B$434,"Direct",Countries!$C$5:$C$434,"Desktop",Countries!$D$5:$D$434,$A156))</f>
        <v/>
      </c>
      <c r="E156" s="42">
        <f>IF(OR(C156="",D156="",D156=0,C156=0),"",D156/C156-1)</f>
        <v/>
      </c>
      <c r="F156" s="41">
        <f>IF(SUMIFS(Countries!$P$5:$P$434,Countries!$A$5:$A$434,"All landing pages",Countries!$B$5:$B$434,"Direct",Countries!$C$5:$C$434,"Desktop",Countries!$D$5:$D$434,$A156)=0,"",SUMIFS(Countries!$P$5:$P$434,Countries!$A$5:$A$434,"All landing pages",Countries!$B$5:$B$434,"Direct",Countries!$C$5:$C$434,"Desktop",Countries!$D$5:$D$434,$A156))</f>
        <v/>
      </c>
      <c r="G156" s="41">
        <f>IF(SUMIFS(Countries!$Q$5:$Q$434,Countries!$A$5:$A$434,"All landing pages",Countries!$B$5:$B$434,"Direct",Countries!$C$5:$C$434,"Desktop",Countries!$D$5:$D$434,$A156)=0,"",SUMIFS(Countries!$Q$5:$Q$434,Countries!$A$5:$A$434,"All landing pages",Countries!$B$5:$B$434,"Direct",Countries!$C$5:$C$434,"Desktop",Countries!$D$5:$D$434,$A156))</f>
        <v/>
      </c>
      <c r="H156" s="42">
        <f>IF(OR(F156="",G156="",G156=0,F156=0),"",G156/F156-1)</f>
        <v/>
      </c>
      <c r="I156" s="41">
        <f>IF(SUMIFS(Countries!$AR$5:$AR$434,Countries!$A$5:$A$434,"All landing pages",Countries!$B$5:$B$434,"Direct",Countries!$C$5:$C$434,"Desktop",Countries!$D$5:$D$434,$A156)=0,"",SUMIFS(Countries!$AR$5:$AR$434,Countries!$A$5:$A$434,"All landing pages",Countries!$B$5:$B$434,"Direct",Countries!$C$5:$C$434,"Desktop",Countries!$D$5:$D$434,$A156))</f>
        <v/>
      </c>
      <c r="J156" s="41">
        <f>IF(SUMIFS(Countries!$AS$5:$AS$434,Countries!$A$5:$A$434,"All landing pages",Countries!$B$5:$B$434,"Direct",Countries!$C$5:$C$434,"Desktop",Countries!$D$5:$D$434,$A156)=0,"",SUMIFS(Countries!$AS$5:$AS$434,Countries!$A$5:$A$434,"All landing pages",Countries!$B$5:$B$434,"Direct",Countries!$C$5:$C$434,"Desktop",Countries!$D$5:$D$434,$A156))</f>
        <v/>
      </c>
      <c r="K156" s="42">
        <f>IF(OR(I156="",J156="",J156=0,I156=0),"",J156/I156-1)</f>
        <v/>
      </c>
      <c r="L156" s="43">
        <f>IF(SUMIFS(Countries!$E$5:$E$434,Countries!$A$5:$A$434,"All landing pages",Countries!$B$5:$B$434,"Direct",Countries!$C$5:$C$434,"Desktop",Countries!$D$5:$D$434,$A156,Countries!$P$5:$P$434,"&gt;0")=0,"",SUMIFS(Countries!$P$5:$P$434,Countries!$A$5:$A$434,"All landing pages",Countries!$B$5:$B$434,"Direct",Countries!$C$5:$C$434,"Desktop",Countries!$D$5:$D$434,$A156,Countries!$E$5:$E$434,"&gt;0")/SUMIFS(Countries!$E$5:$E$434,Countries!$A$5:$A$434,"All landing pages",Countries!$B$5:$B$434,"Direct",Countries!$C$5:$C$434,"Desktop",Countries!$D$5:$D$434,$A156,Countries!$P$5:$P$434,"&gt;0"))</f>
        <v/>
      </c>
      <c r="M156" s="43">
        <f>IF(SUMIFS(Countries!$F$5:$F$434,Countries!$A$5:$A$434,"All landing pages",Countries!$B$5:$B$434,"Direct",Countries!$C$5:$C$434,"Desktop",Countries!$D$5:$D$434,$A156,Countries!$Q$5:$Q$434,"&gt;0")=0,"",SUMIFS(Countries!$Q$5:$Q$434,Countries!$A$5:$A$434,"All landing pages",Countries!$B$5:$B$434,"Direct",Countries!$C$5:$C$434,"Desktop",Countries!$D$5:$D$434,$A156,Countries!$F$5:$F$434,"&gt;0")/SUMIFS(Countries!$F$5:$F$434,Countries!$A$5:$A$434,"All landing pages",Countries!$B$5:$B$434,"Direct",Countries!$C$5:$C$434,"Desktop",Countries!$D$5:$D$434,$A156,Countries!$Q$5:$Q$434,"&gt;0"))</f>
        <v/>
      </c>
      <c r="N156" s="44">
        <f>IF(OR(L156="",M156=""),"",(M156-L156)*100)</f>
        <v/>
      </c>
      <c r="O156" s="45">
        <f>IF(SUMIFS(Countries!$P$5:$P$434,Countries!$A$5:$A$434,"All landing pages",Countries!$B$5:$B$434,"Direct",Countries!$C$5:$C$434,"Desktop",Countries!$D$5:$D$434,$A156,Countries!$AR$5:$AR$434,"&gt;0")=0,"",SUMIFS(Countries!$AR$5:$AR$434,Countries!$A$5:$A$434,"All landing pages",Countries!$B$5:$B$434,"Direct",Countries!$C$5:$C$434,"Desktop",Countries!$D$5:$D$434,$A156,Countries!$P$5:$P$434,"&gt;0")/SUMIFS(Countries!$P$5:$P$434,Countries!$A$5:$A$434,"All landing pages",Countries!$B$5:$B$434,"Direct",Countries!$C$5:$C$434,"Desktop",Countries!$D$5:$D$434,$A156,Countries!$AR$5:$AR$434,"&gt;0"))</f>
        <v/>
      </c>
      <c r="P156" s="45">
        <f>IF(SUMIFS(Countries!$Q$5:$Q$434,Countries!$A$5:$A$434,"All landing pages",Countries!$B$5:$B$434,"Direct",Countries!$C$5:$C$434,"Desktop",Countries!$D$5:$D$434,$A156,Countries!$AS$5:$AS$434,"&gt;0")=0,"",SUMIFS(Countries!$AS$5:$AS$434,Countries!$A$5:$A$434,"All landing pages",Countries!$B$5:$B$434,"Direct",Countries!$C$5:$C$434,"Desktop",Countries!$D$5:$D$434,$A156,Countries!$Q$5:$Q$434,"&gt;0")/SUMIFS(Countries!$Q$5:$Q$434,Countries!$A$5:$A$434,"All landing pages",Countries!$B$5:$B$434,"Direct",Countries!$C$5:$C$434,"Desktop",Countries!$D$5:$D$434,$A156,Countries!$AS$5:$AS$434,"&gt;0"))</f>
        <v/>
      </c>
      <c r="Q156" s="44">
        <f>IF(OR(O156="",P156=""),"",(P156-O156)*100)</f>
        <v/>
      </c>
      <c r="R156" s="45">
        <f>IF(SUMIFS(Countries!$E$5:$E$434,Countries!$A$5:$A$434,"All landing pages",Countries!$B$5:$B$434,"Direct",Countries!$C$5:$C$434,"Desktop",Countries!$D$5:$D$434,$A156,Countries!$AR$5:$AR$434,"&gt;0")=0,"",SUMIFS(Countries!$AR$5:$AR$434,Countries!$A$5:$A$434,"All landing pages",Countries!$B$5:$B$434,"Direct",Countries!$C$5:$C$434,"Desktop",Countries!$D$5:$D$434,$A156,Countries!$E$5:$E$434,"&gt;0")/SUMIFS(Countries!$E$5:$E$434,Countries!$A$5:$A$434,"All landing pages",Countries!$B$5:$B$434,"Direct",Countries!$C$5:$C$434,"Desktop",Countries!$D$5:$D$434,$A156,Countries!$AR$5:$AR$434,"&gt;0"))</f>
        <v/>
      </c>
      <c r="S156" s="45">
        <f>IF(SUMIFS(Countries!$F$5:$F$434,Countries!$A$5:$A$434,"All landing pages",Countries!$B$5:$B$434,"Direct",Countries!$C$5:$C$434,"Desktop",Countries!$D$5:$D$434,$A156,Countries!$AS$5:$AS$434,"&gt;0")=0,"",SUMIFS(Countries!$AS$5:$AS$434,Countries!$A$5:$A$434,"All landing pages",Countries!$B$5:$B$434,"Direct",Countries!$C$5:$C$434,"Desktop",Countries!$D$5:$D$434,$A156,Countries!$F$5:$F$434,"&gt;0")/SUMIFS(Countries!$F$5:$F$434,Countries!$A$5:$A$434,"All landing pages",Countries!$B$5:$B$434,"Direct",Countries!$C$5:$C$434,"Desktop",Countries!$D$5:$D$434,$A156,Countries!$AS$5:$AS$434,"&gt;0"))</f>
        <v/>
      </c>
      <c r="T156" s="44">
        <f>IF(OR(R156="",S156=""),"",(S156-R156)*100)</f>
        <v/>
      </c>
    </row>
    <row r="157">
      <c r="A157" s="40" t="inlineStr">
        <is>
          <t>Canada</t>
        </is>
      </c>
      <c r="B157" s="40" t="inlineStr">
        <is>
          <t>Direct</t>
        </is>
      </c>
      <c r="C157" s="41">
        <f>IF(SUMIFS(Countries!$E$5:$E$434,Countries!$A$5:$A$434,"All landing pages",Countries!$B$5:$B$434,"Direct",Countries!$C$5:$C$434,"Desktop",Countries!$D$5:$D$434,$A157)=0,"",SUMIFS(Countries!$E$5:$E$434,Countries!$A$5:$A$434,"All landing pages",Countries!$B$5:$B$434,"Direct",Countries!$C$5:$C$434,"Desktop",Countries!$D$5:$D$434,$A157))</f>
        <v/>
      </c>
      <c r="D157" s="41">
        <f>IF(SUMIFS(Countries!$F$5:$F$434,Countries!$A$5:$A$434,"All landing pages",Countries!$B$5:$B$434,"Direct",Countries!$C$5:$C$434,"Desktop",Countries!$D$5:$D$434,$A157)=0,"",SUMIFS(Countries!$F$5:$F$434,Countries!$A$5:$A$434,"All landing pages",Countries!$B$5:$B$434,"Direct",Countries!$C$5:$C$434,"Desktop",Countries!$D$5:$D$434,$A157))</f>
        <v/>
      </c>
      <c r="E157" s="42">
        <f>IF(OR(C157="",D157="",D157=0,C157=0),"",D157/C157-1)</f>
        <v/>
      </c>
      <c r="F157" s="41">
        <f>IF(SUMIFS(Countries!$P$5:$P$434,Countries!$A$5:$A$434,"All landing pages",Countries!$B$5:$B$434,"Direct",Countries!$C$5:$C$434,"Desktop",Countries!$D$5:$D$434,$A157)=0,"",SUMIFS(Countries!$P$5:$P$434,Countries!$A$5:$A$434,"All landing pages",Countries!$B$5:$B$434,"Direct",Countries!$C$5:$C$434,"Desktop",Countries!$D$5:$D$434,$A157))</f>
        <v/>
      </c>
      <c r="G157" s="41">
        <f>IF(SUMIFS(Countries!$Q$5:$Q$434,Countries!$A$5:$A$434,"All landing pages",Countries!$B$5:$B$434,"Direct",Countries!$C$5:$C$434,"Desktop",Countries!$D$5:$D$434,$A157)=0,"",SUMIFS(Countries!$Q$5:$Q$434,Countries!$A$5:$A$434,"All landing pages",Countries!$B$5:$B$434,"Direct",Countries!$C$5:$C$434,"Desktop",Countries!$D$5:$D$434,$A157))</f>
        <v/>
      </c>
      <c r="H157" s="42">
        <f>IF(OR(F157="",G157="",G157=0,F157=0),"",G157/F157-1)</f>
        <v/>
      </c>
      <c r="I157" s="41">
        <f>IF(SUMIFS(Countries!$AR$5:$AR$434,Countries!$A$5:$A$434,"All landing pages",Countries!$B$5:$B$434,"Direct",Countries!$C$5:$C$434,"Desktop",Countries!$D$5:$D$434,$A157)=0,"",SUMIFS(Countries!$AR$5:$AR$434,Countries!$A$5:$A$434,"All landing pages",Countries!$B$5:$B$434,"Direct",Countries!$C$5:$C$434,"Desktop",Countries!$D$5:$D$434,$A157))</f>
        <v/>
      </c>
      <c r="J157" s="41">
        <f>IF(SUMIFS(Countries!$AS$5:$AS$434,Countries!$A$5:$A$434,"All landing pages",Countries!$B$5:$B$434,"Direct",Countries!$C$5:$C$434,"Desktop",Countries!$D$5:$D$434,$A157)=0,"",SUMIFS(Countries!$AS$5:$AS$434,Countries!$A$5:$A$434,"All landing pages",Countries!$B$5:$B$434,"Direct",Countries!$C$5:$C$434,"Desktop",Countries!$D$5:$D$434,$A157))</f>
        <v/>
      </c>
      <c r="K157" s="42">
        <f>IF(OR(I157="",J157="",J157=0,I157=0),"",J157/I157-1)</f>
        <v/>
      </c>
      <c r="L157" s="43">
        <f>IF(SUMIFS(Countries!$E$5:$E$434,Countries!$A$5:$A$434,"All landing pages",Countries!$B$5:$B$434,"Direct",Countries!$C$5:$C$434,"Desktop",Countries!$D$5:$D$434,$A157,Countries!$P$5:$P$434,"&gt;0")=0,"",SUMIFS(Countries!$P$5:$P$434,Countries!$A$5:$A$434,"All landing pages",Countries!$B$5:$B$434,"Direct",Countries!$C$5:$C$434,"Desktop",Countries!$D$5:$D$434,$A157,Countries!$E$5:$E$434,"&gt;0")/SUMIFS(Countries!$E$5:$E$434,Countries!$A$5:$A$434,"All landing pages",Countries!$B$5:$B$434,"Direct",Countries!$C$5:$C$434,"Desktop",Countries!$D$5:$D$434,$A157,Countries!$P$5:$P$434,"&gt;0"))</f>
        <v/>
      </c>
      <c r="M157" s="43">
        <f>IF(SUMIFS(Countries!$F$5:$F$434,Countries!$A$5:$A$434,"All landing pages",Countries!$B$5:$B$434,"Direct",Countries!$C$5:$C$434,"Desktop",Countries!$D$5:$D$434,$A157,Countries!$Q$5:$Q$434,"&gt;0")=0,"",SUMIFS(Countries!$Q$5:$Q$434,Countries!$A$5:$A$434,"All landing pages",Countries!$B$5:$B$434,"Direct",Countries!$C$5:$C$434,"Desktop",Countries!$D$5:$D$434,$A157,Countries!$F$5:$F$434,"&gt;0")/SUMIFS(Countries!$F$5:$F$434,Countries!$A$5:$A$434,"All landing pages",Countries!$B$5:$B$434,"Direct",Countries!$C$5:$C$434,"Desktop",Countries!$D$5:$D$434,$A157,Countries!$Q$5:$Q$434,"&gt;0"))</f>
        <v/>
      </c>
      <c r="N157" s="44">
        <f>IF(OR(L157="",M157=""),"",(M157-L157)*100)</f>
        <v/>
      </c>
      <c r="O157" s="45">
        <f>IF(SUMIFS(Countries!$P$5:$P$434,Countries!$A$5:$A$434,"All landing pages",Countries!$B$5:$B$434,"Direct",Countries!$C$5:$C$434,"Desktop",Countries!$D$5:$D$434,$A157,Countries!$AR$5:$AR$434,"&gt;0")=0,"",SUMIFS(Countries!$AR$5:$AR$434,Countries!$A$5:$A$434,"All landing pages",Countries!$B$5:$B$434,"Direct",Countries!$C$5:$C$434,"Desktop",Countries!$D$5:$D$434,$A157,Countries!$P$5:$P$434,"&gt;0")/SUMIFS(Countries!$P$5:$P$434,Countries!$A$5:$A$434,"All landing pages",Countries!$B$5:$B$434,"Direct",Countries!$C$5:$C$434,"Desktop",Countries!$D$5:$D$434,$A157,Countries!$AR$5:$AR$434,"&gt;0"))</f>
        <v/>
      </c>
      <c r="P157" s="45">
        <f>IF(SUMIFS(Countries!$Q$5:$Q$434,Countries!$A$5:$A$434,"All landing pages",Countries!$B$5:$B$434,"Direct",Countries!$C$5:$C$434,"Desktop",Countries!$D$5:$D$434,$A157,Countries!$AS$5:$AS$434,"&gt;0")=0,"",SUMIFS(Countries!$AS$5:$AS$434,Countries!$A$5:$A$434,"All landing pages",Countries!$B$5:$B$434,"Direct",Countries!$C$5:$C$434,"Desktop",Countries!$D$5:$D$434,$A157,Countries!$Q$5:$Q$434,"&gt;0")/SUMIFS(Countries!$Q$5:$Q$434,Countries!$A$5:$A$434,"All landing pages",Countries!$B$5:$B$434,"Direct",Countries!$C$5:$C$434,"Desktop",Countries!$D$5:$D$434,$A157,Countries!$AS$5:$AS$434,"&gt;0"))</f>
        <v/>
      </c>
      <c r="Q157" s="44">
        <f>IF(OR(O157="",P157=""),"",(P157-O157)*100)</f>
        <v/>
      </c>
      <c r="R157" s="45">
        <f>IF(SUMIFS(Countries!$E$5:$E$434,Countries!$A$5:$A$434,"All landing pages",Countries!$B$5:$B$434,"Direct",Countries!$C$5:$C$434,"Desktop",Countries!$D$5:$D$434,$A157,Countries!$AR$5:$AR$434,"&gt;0")=0,"",SUMIFS(Countries!$AR$5:$AR$434,Countries!$A$5:$A$434,"All landing pages",Countries!$B$5:$B$434,"Direct",Countries!$C$5:$C$434,"Desktop",Countries!$D$5:$D$434,$A157,Countries!$E$5:$E$434,"&gt;0")/SUMIFS(Countries!$E$5:$E$434,Countries!$A$5:$A$434,"All landing pages",Countries!$B$5:$B$434,"Direct",Countries!$C$5:$C$434,"Desktop",Countries!$D$5:$D$434,$A157,Countries!$AR$5:$AR$434,"&gt;0"))</f>
        <v/>
      </c>
      <c r="S157" s="45">
        <f>IF(SUMIFS(Countries!$F$5:$F$434,Countries!$A$5:$A$434,"All landing pages",Countries!$B$5:$B$434,"Direct",Countries!$C$5:$C$434,"Desktop",Countries!$D$5:$D$434,$A157,Countries!$AS$5:$AS$434,"&gt;0")=0,"",SUMIFS(Countries!$AS$5:$AS$434,Countries!$A$5:$A$434,"All landing pages",Countries!$B$5:$B$434,"Direct",Countries!$C$5:$C$434,"Desktop",Countries!$D$5:$D$434,$A157,Countries!$F$5:$F$434,"&gt;0")/SUMIFS(Countries!$F$5:$F$434,Countries!$A$5:$A$434,"All landing pages",Countries!$B$5:$B$434,"Direct",Countries!$C$5:$C$434,"Desktop",Countries!$D$5:$D$434,$A157,Countries!$AS$5:$AS$434,"&gt;0"))</f>
        <v/>
      </c>
      <c r="T157" s="44">
        <f>IF(OR(R157="",S157=""),"",(S157-R157)*100)</f>
        <v/>
      </c>
    </row>
    <row r="158">
      <c r="A158" s="40" t="inlineStr">
        <is>
          <t>Switzerland</t>
        </is>
      </c>
      <c r="B158" s="40" t="inlineStr">
        <is>
          <t>Direct</t>
        </is>
      </c>
      <c r="C158" s="41">
        <f>IF(SUMIFS(Countries!$E$5:$E$434,Countries!$A$5:$A$434,"All landing pages",Countries!$B$5:$B$434,"Direct",Countries!$C$5:$C$434,"Desktop",Countries!$D$5:$D$434,$A158)=0,"",SUMIFS(Countries!$E$5:$E$434,Countries!$A$5:$A$434,"All landing pages",Countries!$B$5:$B$434,"Direct",Countries!$C$5:$C$434,"Desktop",Countries!$D$5:$D$434,$A158))</f>
        <v/>
      </c>
      <c r="D158" s="41">
        <f>IF(SUMIFS(Countries!$F$5:$F$434,Countries!$A$5:$A$434,"All landing pages",Countries!$B$5:$B$434,"Direct",Countries!$C$5:$C$434,"Desktop",Countries!$D$5:$D$434,$A158)=0,"",SUMIFS(Countries!$F$5:$F$434,Countries!$A$5:$A$434,"All landing pages",Countries!$B$5:$B$434,"Direct",Countries!$C$5:$C$434,"Desktop",Countries!$D$5:$D$434,$A158))</f>
        <v/>
      </c>
      <c r="E158" s="42">
        <f>IF(OR(C158="",D158="",D158=0,C158=0),"",D158/C158-1)</f>
        <v/>
      </c>
      <c r="F158" s="41">
        <f>IF(SUMIFS(Countries!$P$5:$P$434,Countries!$A$5:$A$434,"All landing pages",Countries!$B$5:$B$434,"Direct",Countries!$C$5:$C$434,"Desktop",Countries!$D$5:$D$434,$A158)=0,"",SUMIFS(Countries!$P$5:$P$434,Countries!$A$5:$A$434,"All landing pages",Countries!$B$5:$B$434,"Direct",Countries!$C$5:$C$434,"Desktop",Countries!$D$5:$D$434,$A158))</f>
        <v/>
      </c>
      <c r="G158" s="41">
        <f>IF(SUMIFS(Countries!$Q$5:$Q$434,Countries!$A$5:$A$434,"All landing pages",Countries!$B$5:$B$434,"Direct",Countries!$C$5:$C$434,"Desktop",Countries!$D$5:$D$434,$A158)=0,"",SUMIFS(Countries!$Q$5:$Q$434,Countries!$A$5:$A$434,"All landing pages",Countries!$B$5:$B$434,"Direct",Countries!$C$5:$C$434,"Desktop",Countries!$D$5:$D$434,$A158))</f>
        <v/>
      </c>
      <c r="H158" s="42">
        <f>IF(OR(F158="",G158="",G158=0,F158=0),"",G158/F158-1)</f>
        <v/>
      </c>
      <c r="I158" s="41">
        <f>IF(SUMIFS(Countries!$AR$5:$AR$434,Countries!$A$5:$A$434,"All landing pages",Countries!$B$5:$B$434,"Direct",Countries!$C$5:$C$434,"Desktop",Countries!$D$5:$D$434,$A158)=0,"",SUMIFS(Countries!$AR$5:$AR$434,Countries!$A$5:$A$434,"All landing pages",Countries!$B$5:$B$434,"Direct",Countries!$C$5:$C$434,"Desktop",Countries!$D$5:$D$434,$A158))</f>
        <v/>
      </c>
      <c r="J158" s="41">
        <f>IF(SUMIFS(Countries!$AS$5:$AS$434,Countries!$A$5:$A$434,"All landing pages",Countries!$B$5:$B$434,"Direct",Countries!$C$5:$C$434,"Desktop",Countries!$D$5:$D$434,$A158)=0,"",SUMIFS(Countries!$AS$5:$AS$434,Countries!$A$5:$A$434,"All landing pages",Countries!$B$5:$B$434,"Direct",Countries!$C$5:$C$434,"Desktop",Countries!$D$5:$D$434,$A158))</f>
        <v/>
      </c>
      <c r="K158" s="42">
        <f>IF(OR(I158="",J158="",J158=0,I158=0),"",J158/I158-1)</f>
        <v/>
      </c>
      <c r="L158" s="43">
        <f>IF(SUMIFS(Countries!$E$5:$E$434,Countries!$A$5:$A$434,"All landing pages",Countries!$B$5:$B$434,"Direct",Countries!$C$5:$C$434,"Desktop",Countries!$D$5:$D$434,$A158,Countries!$P$5:$P$434,"&gt;0")=0,"",SUMIFS(Countries!$P$5:$P$434,Countries!$A$5:$A$434,"All landing pages",Countries!$B$5:$B$434,"Direct",Countries!$C$5:$C$434,"Desktop",Countries!$D$5:$D$434,$A158,Countries!$E$5:$E$434,"&gt;0")/SUMIFS(Countries!$E$5:$E$434,Countries!$A$5:$A$434,"All landing pages",Countries!$B$5:$B$434,"Direct",Countries!$C$5:$C$434,"Desktop",Countries!$D$5:$D$434,$A158,Countries!$P$5:$P$434,"&gt;0"))</f>
        <v/>
      </c>
      <c r="M158" s="43">
        <f>IF(SUMIFS(Countries!$F$5:$F$434,Countries!$A$5:$A$434,"All landing pages",Countries!$B$5:$B$434,"Direct",Countries!$C$5:$C$434,"Desktop",Countries!$D$5:$D$434,$A158,Countries!$Q$5:$Q$434,"&gt;0")=0,"",SUMIFS(Countries!$Q$5:$Q$434,Countries!$A$5:$A$434,"All landing pages",Countries!$B$5:$B$434,"Direct",Countries!$C$5:$C$434,"Desktop",Countries!$D$5:$D$434,$A158,Countries!$F$5:$F$434,"&gt;0")/SUMIFS(Countries!$F$5:$F$434,Countries!$A$5:$A$434,"All landing pages",Countries!$B$5:$B$434,"Direct",Countries!$C$5:$C$434,"Desktop",Countries!$D$5:$D$434,$A158,Countries!$Q$5:$Q$434,"&gt;0"))</f>
        <v/>
      </c>
      <c r="N158" s="44">
        <f>IF(OR(L158="",M158=""),"",(M158-L158)*100)</f>
        <v/>
      </c>
      <c r="O158" s="45">
        <f>IF(SUMIFS(Countries!$P$5:$P$434,Countries!$A$5:$A$434,"All landing pages",Countries!$B$5:$B$434,"Direct",Countries!$C$5:$C$434,"Desktop",Countries!$D$5:$D$434,$A158,Countries!$AR$5:$AR$434,"&gt;0")=0,"",SUMIFS(Countries!$AR$5:$AR$434,Countries!$A$5:$A$434,"All landing pages",Countries!$B$5:$B$434,"Direct",Countries!$C$5:$C$434,"Desktop",Countries!$D$5:$D$434,$A158,Countries!$P$5:$P$434,"&gt;0")/SUMIFS(Countries!$P$5:$P$434,Countries!$A$5:$A$434,"All landing pages",Countries!$B$5:$B$434,"Direct",Countries!$C$5:$C$434,"Desktop",Countries!$D$5:$D$434,$A158,Countries!$AR$5:$AR$434,"&gt;0"))</f>
        <v/>
      </c>
      <c r="P158" s="45">
        <f>IF(SUMIFS(Countries!$Q$5:$Q$434,Countries!$A$5:$A$434,"All landing pages",Countries!$B$5:$B$434,"Direct",Countries!$C$5:$C$434,"Desktop",Countries!$D$5:$D$434,$A158,Countries!$AS$5:$AS$434,"&gt;0")=0,"",SUMIFS(Countries!$AS$5:$AS$434,Countries!$A$5:$A$434,"All landing pages",Countries!$B$5:$B$434,"Direct",Countries!$C$5:$C$434,"Desktop",Countries!$D$5:$D$434,$A158,Countries!$Q$5:$Q$434,"&gt;0")/SUMIFS(Countries!$Q$5:$Q$434,Countries!$A$5:$A$434,"All landing pages",Countries!$B$5:$B$434,"Direct",Countries!$C$5:$C$434,"Desktop",Countries!$D$5:$D$434,$A158,Countries!$AS$5:$AS$434,"&gt;0"))</f>
        <v/>
      </c>
      <c r="Q158" s="44">
        <f>IF(OR(O158="",P158=""),"",(P158-O158)*100)</f>
        <v/>
      </c>
      <c r="R158" s="45">
        <f>IF(SUMIFS(Countries!$E$5:$E$434,Countries!$A$5:$A$434,"All landing pages",Countries!$B$5:$B$434,"Direct",Countries!$C$5:$C$434,"Desktop",Countries!$D$5:$D$434,$A158,Countries!$AR$5:$AR$434,"&gt;0")=0,"",SUMIFS(Countries!$AR$5:$AR$434,Countries!$A$5:$A$434,"All landing pages",Countries!$B$5:$B$434,"Direct",Countries!$C$5:$C$434,"Desktop",Countries!$D$5:$D$434,$A158,Countries!$E$5:$E$434,"&gt;0")/SUMIFS(Countries!$E$5:$E$434,Countries!$A$5:$A$434,"All landing pages",Countries!$B$5:$B$434,"Direct",Countries!$C$5:$C$434,"Desktop",Countries!$D$5:$D$434,$A158,Countries!$AR$5:$AR$434,"&gt;0"))</f>
        <v/>
      </c>
      <c r="S158" s="45">
        <f>IF(SUMIFS(Countries!$F$5:$F$434,Countries!$A$5:$A$434,"All landing pages",Countries!$B$5:$B$434,"Direct",Countries!$C$5:$C$434,"Desktop",Countries!$D$5:$D$434,$A158,Countries!$AS$5:$AS$434,"&gt;0")=0,"",SUMIFS(Countries!$AS$5:$AS$434,Countries!$A$5:$A$434,"All landing pages",Countries!$B$5:$B$434,"Direct",Countries!$C$5:$C$434,"Desktop",Countries!$D$5:$D$434,$A158,Countries!$F$5:$F$434,"&gt;0")/SUMIFS(Countries!$F$5:$F$434,Countries!$A$5:$A$434,"All landing pages",Countries!$B$5:$B$434,"Direct",Countries!$C$5:$C$434,"Desktop",Countries!$D$5:$D$434,$A158,Countries!$AS$5:$AS$434,"&gt;0"))</f>
        <v/>
      </c>
      <c r="T158" s="44">
        <f>IF(OR(R158="",S158=""),"",(S158-R158)*100)</f>
        <v/>
      </c>
    </row>
    <row r="159">
      <c r="A159" s="40" t="inlineStr">
        <is>
          <t>Philippines</t>
        </is>
      </c>
      <c r="B159" s="40" t="inlineStr">
        <is>
          <t>Direct</t>
        </is>
      </c>
      <c r="C159" s="41">
        <f>IF(SUMIFS(Countries!$E$5:$E$434,Countries!$A$5:$A$434,"All landing pages",Countries!$B$5:$B$434,"Direct",Countries!$C$5:$C$434,"Desktop",Countries!$D$5:$D$434,$A159)=0,"",SUMIFS(Countries!$E$5:$E$434,Countries!$A$5:$A$434,"All landing pages",Countries!$B$5:$B$434,"Direct",Countries!$C$5:$C$434,"Desktop",Countries!$D$5:$D$434,$A159))</f>
        <v/>
      </c>
      <c r="D159" s="41">
        <f>IF(SUMIFS(Countries!$F$5:$F$434,Countries!$A$5:$A$434,"All landing pages",Countries!$B$5:$B$434,"Direct",Countries!$C$5:$C$434,"Desktop",Countries!$D$5:$D$434,$A159)=0,"",SUMIFS(Countries!$F$5:$F$434,Countries!$A$5:$A$434,"All landing pages",Countries!$B$5:$B$434,"Direct",Countries!$C$5:$C$434,"Desktop",Countries!$D$5:$D$434,$A159))</f>
        <v/>
      </c>
      <c r="E159" s="42">
        <f>IF(OR(C159="",D159="",D159=0,C159=0),"",D159/C159-1)</f>
        <v/>
      </c>
      <c r="F159" s="41">
        <f>IF(SUMIFS(Countries!$P$5:$P$434,Countries!$A$5:$A$434,"All landing pages",Countries!$B$5:$B$434,"Direct",Countries!$C$5:$C$434,"Desktop",Countries!$D$5:$D$434,$A159)=0,"",SUMIFS(Countries!$P$5:$P$434,Countries!$A$5:$A$434,"All landing pages",Countries!$B$5:$B$434,"Direct",Countries!$C$5:$C$434,"Desktop",Countries!$D$5:$D$434,$A159))</f>
        <v/>
      </c>
      <c r="G159" s="41">
        <f>IF(SUMIFS(Countries!$Q$5:$Q$434,Countries!$A$5:$A$434,"All landing pages",Countries!$B$5:$B$434,"Direct",Countries!$C$5:$C$434,"Desktop",Countries!$D$5:$D$434,$A159)=0,"",SUMIFS(Countries!$Q$5:$Q$434,Countries!$A$5:$A$434,"All landing pages",Countries!$B$5:$B$434,"Direct",Countries!$C$5:$C$434,"Desktop",Countries!$D$5:$D$434,$A159))</f>
        <v/>
      </c>
      <c r="H159" s="42">
        <f>IF(OR(F159="",G159="",G159=0,F159=0),"",G159/F159-1)</f>
        <v/>
      </c>
      <c r="I159" s="41">
        <f>IF(SUMIFS(Countries!$AR$5:$AR$434,Countries!$A$5:$A$434,"All landing pages",Countries!$B$5:$B$434,"Direct",Countries!$C$5:$C$434,"Desktop",Countries!$D$5:$D$434,$A159)=0,"",SUMIFS(Countries!$AR$5:$AR$434,Countries!$A$5:$A$434,"All landing pages",Countries!$B$5:$B$434,"Direct",Countries!$C$5:$C$434,"Desktop",Countries!$D$5:$D$434,$A159))</f>
        <v/>
      </c>
      <c r="J159" s="41">
        <f>IF(SUMIFS(Countries!$AS$5:$AS$434,Countries!$A$5:$A$434,"All landing pages",Countries!$B$5:$B$434,"Direct",Countries!$C$5:$C$434,"Desktop",Countries!$D$5:$D$434,$A159)=0,"",SUMIFS(Countries!$AS$5:$AS$434,Countries!$A$5:$A$434,"All landing pages",Countries!$B$5:$B$434,"Direct",Countries!$C$5:$C$434,"Desktop",Countries!$D$5:$D$434,$A159))</f>
        <v/>
      </c>
      <c r="K159" s="42">
        <f>IF(OR(I159="",J159="",J159=0,I159=0),"",J159/I159-1)</f>
        <v/>
      </c>
      <c r="L159" s="43">
        <f>IF(SUMIFS(Countries!$E$5:$E$434,Countries!$A$5:$A$434,"All landing pages",Countries!$B$5:$B$434,"Direct",Countries!$C$5:$C$434,"Desktop",Countries!$D$5:$D$434,$A159,Countries!$P$5:$P$434,"&gt;0")=0,"",SUMIFS(Countries!$P$5:$P$434,Countries!$A$5:$A$434,"All landing pages",Countries!$B$5:$B$434,"Direct",Countries!$C$5:$C$434,"Desktop",Countries!$D$5:$D$434,$A159,Countries!$E$5:$E$434,"&gt;0")/SUMIFS(Countries!$E$5:$E$434,Countries!$A$5:$A$434,"All landing pages",Countries!$B$5:$B$434,"Direct",Countries!$C$5:$C$434,"Desktop",Countries!$D$5:$D$434,$A159,Countries!$P$5:$P$434,"&gt;0"))</f>
        <v/>
      </c>
      <c r="M159" s="43">
        <f>IF(SUMIFS(Countries!$F$5:$F$434,Countries!$A$5:$A$434,"All landing pages",Countries!$B$5:$B$434,"Direct",Countries!$C$5:$C$434,"Desktop",Countries!$D$5:$D$434,$A159,Countries!$Q$5:$Q$434,"&gt;0")=0,"",SUMIFS(Countries!$Q$5:$Q$434,Countries!$A$5:$A$434,"All landing pages",Countries!$B$5:$B$434,"Direct",Countries!$C$5:$C$434,"Desktop",Countries!$D$5:$D$434,$A159,Countries!$F$5:$F$434,"&gt;0")/SUMIFS(Countries!$F$5:$F$434,Countries!$A$5:$A$434,"All landing pages",Countries!$B$5:$B$434,"Direct",Countries!$C$5:$C$434,"Desktop",Countries!$D$5:$D$434,$A159,Countries!$Q$5:$Q$434,"&gt;0"))</f>
        <v/>
      </c>
      <c r="N159" s="44">
        <f>IF(OR(L159="",M159=""),"",(M159-L159)*100)</f>
        <v/>
      </c>
      <c r="O159" s="45">
        <f>IF(SUMIFS(Countries!$P$5:$P$434,Countries!$A$5:$A$434,"All landing pages",Countries!$B$5:$B$434,"Direct",Countries!$C$5:$C$434,"Desktop",Countries!$D$5:$D$434,$A159,Countries!$AR$5:$AR$434,"&gt;0")=0,"",SUMIFS(Countries!$AR$5:$AR$434,Countries!$A$5:$A$434,"All landing pages",Countries!$B$5:$B$434,"Direct",Countries!$C$5:$C$434,"Desktop",Countries!$D$5:$D$434,$A159,Countries!$P$5:$P$434,"&gt;0")/SUMIFS(Countries!$P$5:$P$434,Countries!$A$5:$A$434,"All landing pages",Countries!$B$5:$B$434,"Direct",Countries!$C$5:$C$434,"Desktop",Countries!$D$5:$D$434,$A159,Countries!$AR$5:$AR$434,"&gt;0"))</f>
        <v/>
      </c>
      <c r="P159" s="45">
        <f>IF(SUMIFS(Countries!$Q$5:$Q$434,Countries!$A$5:$A$434,"All landing pages",Countries!$B$5:$B$434,"Direct",Countries!$C$5:$C$434,"Desktop",Countries!$D$5:$D$434,$A159,Countries!$AS$5:$AS$434,"&gt;0")=0,"",SUMIFS(Countries!$AS$5:$AS$434,Countries!$A$5:$A$434,"All landing pages",Countries!$B$5:$B$434,"Direct",Countries!$C$5:$C$434,"Desktop",Countries!$D$5:$D$434,$A159,Countries!$Q$5:$Q$434,"&gt;0")/SUMIFS(Countries!$Q$5:$Q$434,Countries!$A$5:$A$434,"All landing pages",Countries!$B$5:$B$434,"Direct",Countries!$C$5:$C$434,"Desktop",Countries!$D$5:$D$434,$A159,Countries!$AS$5:$AS$434,"&gt;0"))</f>
        <v/>
      </c>
      <c r="Q159" s="44">
        <f>IF(OR(O159="",P159=""),"",(P159-O159)*100)</f>
        <v/>
      </c>
      <c r="R159" s="45">
        <f>IF(SUMIFS(Countries!$E$5:$E$434,Countries!$A$5:$A$434,"All landing pages",Countries!$B$5:$B$434,"Direct",Countries!$C$5:$C$434,"Desktop",Countries!$D$5:$D$434,$A159,Countries!$AR$5:$AR$434,"&gt;0")=0,"",SUMIFS(Countries!$AR$5:$AR$434,Countries!$A$5:$A$434,"All landing pages",Countries!$B$5:$B$434,"Direct",Countries!$C$5:$C$434,"Desktop",Countries!$D$5:$D$434,$A159,Countries!$E$5:$E$434,"&gt;0")/SUMIFS(Countries!$E$5:$E$434,Countries!$A$5:$A$434,"All landing pages",Countries!$B$5:$B$434,"Direct",Countries!$C$5:$C$434,"Desktop",Countries!$D$5:$D$434,$A159,Countries!$AR$5:$AR$434,"&gt;0"))</f>
        <v/>
      </c>
      <c r="S159" s="45">
        <f>IF(SUMIFS(Countries!$F$5:$F$434,Countries!$A$5:$A$434,"All landing pages",Countries!$B$5:$B$434,"Direct",Countries!$C$5:$C$434,"Desktop",Countries!$D$5:$D$434,$A159,Countries!$AS$5:$AS$434,"&gt;0")=0,"",SUMIFS(Countries!$AS$5:$AS$434,Countries!$A$5:$A$434,"All landing pages",Countries!$B$5:$B$434,"Direct",Countries!$C$5:$C$434,"Desktop",Countries!$D$5:$D$434,$A159,Countries!$F$5:$F$434,"&gt;0")/SUMIFS(Countries!$F$5:$F$434,Countries!$A$5:$A$434,"All landing pages",Countries!$B$5:$B$434,"Direct",Countries!$C$5:$C$434,"Desktop",Countries!$D$5:$D$434,$A159,Countries!$AS$5:$AS$434,"&gt;0"))</f>
        <v/>
      </c>
      <c r="T159" s="44">
        <f>IF(OR(R159="",S159=""),"",(S159-R159)*100)</f>
        <v/>
      </c>
    </row>
    <row r="160">
      <c r="A160" s="40" t="inlineStr">
        <is>
          <t>Ukraine</t>
        </is>
      </c>
      <c r="B160" s="40" t="inlineStr">
        <is>
          <t>Direct</t>
        </is>
      </c>
      <c r="C160" s="41">
        <f>IF(SUMIFS(Countries!$E$5:$E$434,Countries!$A$5:$A$434,"All landing pages",Countries!$B$5:$B$434,"Direct",Countries!$C$5:$C$434,"Desktop",Countries!$D$5:$D$434,$A160)=0,"",SUMIFS(Countries!$E$5:$E$434,Countries!$A$5:$A$434,"All landing pages",Countries!$B$5:$B$434,"Direct",Countries!$C$5:$C$434,"Desktop",Countries!$D$5:$D$434,$A160))</f>
        <v/>
      </c>
      <c r="D160" s="41">
        <f>IF(SUMIFS(Countries!$F$5:$F$434,Countries!$A$5:$A$434,"All landing pages",Countries!$B$5:$B$434,"Direct",Countries!$C$5:$C$434,"Desktop",Countries!$D$5:$D$434,$A160)=0,"",SUMIFS(Countries!$F$5:$F$434,Countries!$A$5:$A$434,"All landing pages",Countries!$B$5:$B$434,"Direct",Countries!$C$5:$C$434,"Desktop",Countries!$D$5:$D$434,$A160))</f>
        <v/>
      </c>
      <c r="E160" s="42">
        <f>IF(OR(C160="",D160="",D160=0,C160=0),"",D160/C160-1)</f>
        <v/>
      </c>
      <c r="F160" s="41">
        <f>IF(SUMIFS(Countries!$P$5:$P$434,Countries!$A$5:$A$434,"All landing pages",Countries!$B$5:$B$434,"Direct",Countries!$C$5:$C$434,"Desktop",Countries!$D$5:$D$434,$A160)=0,"",SUMIFS(Countries!$P$5:$P$434,Countries!$A$5:$A$434,"All landing pages",Countries!$B$5:$B$434,"Direct",Countries!$C$5:$C$434,"Desktop",Countries!$D$5:$D$434,$A160))</f>
        <v/>
      </c>
      <c r="G160" s="41">
        <f>IF(SUMIFS(Countries!$Q$5:$Q$434,Countries!$A$5:$A$434,"All landing pages",Countries!$B$5:$B$434,"Direct",Countries!$C$5:$C$434,"Desktop",Countries!$D$5:$D$434,$A160)=0,"",SUMIFS(Countries!$Q$5:$Q$434,Countries!$A$5:$A$434,"All landing pages",Countries!$B$5:$B$434,"Direct",Countries!$C$5:$C$434,"Desktop",Countries!$D$5:$D$434,$A160))</f>
        <v/>
      </c>
      <c r="H160" s="42">
        <f>IF(OR(F160="",G160="",G160=0,F160=0),"",G160/F160-1)</f>
        <v/>
      </c>
      <c r="I160" s="41">
        <f>IF(SUMIFS(Countries!$AR$5:$AR$434,Countries!$A$5:$A$434,"All landing pages",Countries!$B$5:$B$434,"Direct",Countries!$C$5:$C$434,"Desktop",Countries!$D$5:$D$434,$A160)=0,"",SUMIFS(Countries!$AR$5:$AR$434,Countries!$A$5:$A$434,"All landing pages",Countries!$B$5:$B$434,"Direct",Countries!$C$5:$C$434,"Desktop",Countries!$D$5:$D$434,$A160))</f>
        <v/>
      </c>
      <c r="J160" s="41">
        <f>IF(SUMIFS(Countries!$AS$5:$AS$434,Countries!$A$5:$A$434,"All landing pages",Countries!$B$5:$B$434,"Direct",Countries!$C$5:$C$434,"Desktop",Countries!$D$5:$D$434,$A160)=0,"",SUMIFS(Countries!$AS$5:$AS$434,Countries!$A$5:$A$434,"All landing pages",Countries!$B$5:$B$434,"Direct",Countries!$C$5:$C$434,"Desktop",Countries!$D$5:$D$434,$A160))</f>
        <v/>
      </c>
      <c r="K160" s="42">
        <f>IF(OR(I160="",J160="",J160=0,I160=0),"",J160/I160-1)</f>
        <v/>
      </c>
      <c r="L160" s="43">
        <f>IF(SUMIFS(Countries!$E$5:$E$434,Countries!$A$5:$A$434,"All landing pages",Countries!$B$5:$B$434,"Direct",Countries!$C$5:$C$434,"Desktop",Countries!$D$5:$D$434,$A160,Countries!$P$5:$P$434,"&gt;0")=0,"",SUMIFS(Countries!$P$5:$P$434,Countries!$A$5:$A$434,"All landing pages",Countries!$B$5:$B$434,"Direct",Countries!$C$5:$C$434,"Desktop",Countries!$D$5:$D$434,$A160,Countries!$E$5:$E$434,"&gt;0")/SUMIFS(Countries!$E$5:$E$434,Countries!$A$5:$A$434,"All landing pages",Countries!$B$5:$B$434,"Direct",Countries!$C$5:$C$434,"Desktop",Countries!$D$5:$D$434,$A160,Countries!$P$5:$P$434,"&gt;0"))</f>
        <v/>
      </c>
      <c r="M160" s="43">
        <f>IF(SUMIFS(Countries!$F$5:$F$434,Countries!$A$5:$A$434,"All landing pages",Countries!$B$5:$B$434,"Direct",Countries!$C$5:$C$434,"Desktop",Countries!$D$5:$D$434,$A160,Countries!$Q$5:$Q$434,"&gt;0")=0,"",SUMIFS(Countries!$Q$5:$Q$434,Countries!$A$5:$A$434,"All landing pages",Countries!$B$5:$B$434,"Direct",Countries!$C$5:$C$434,"Desktop",Countries!$D$5:$D$434,$A160,Countries!$F$5:$F$434,"&gt;0")/SUMIFS(Countries!$F$5:$F$434,Countries!$A$5:$A$434,"All landing pages",Countries!$B$5:$B$434,"Direct",Countries!$C$5:$C$434,"Desktop",Countries!$D$5:$D$434,$A160,Countries!$Q$5:$Q$434,"&gt;0"))</f>
        <v/>
      </c>
      <c r="N160" s="44">
        <f>IF(OR(L160="",M160=""),"",(M160-L160)*100)</f>
        <v/>
      </c>
      <c r="O160" s="45">
        <f>IF(SUMIFS(Countries!$P$5:$P$434,Countries!$A$5:$A$434,"All landing pages",Countries!$B$5:$B$434,"Direct",Countries!$C$5:$C$434,"Desktop",Countries!$D$5:$D$434,$A160,Countries!$AR$5:$AR$434,"&gt;0")=0,"",SUMIFS(Countries!$AR$5:$AR$434,Countries!$A$5:$A$434,"All landing pages",Countries!$B$5:$B$434,"Direct",Countries!$C$5:$C$434,"Desktop",Countries!$D$5:$D$434,$A160,Countries!$P$5:$P$434,"&gt;0")/SUMIFS(Countries!$P$5:$P$434,Countries!$A$5:$A$434,"All landing pages",Countries!$B$5:$B$434,"Direct",Countries!$C$5:$C$434,"Desktop",Countries!$D$5:$D$434,$A160,Countries!$AR$5:$AR$434,"&gt;0"))</f>
        <v/>
      </c>
      <c r="P160" s="45">
        <f>IF(SUMIFS(Countries!$Q$5:$Q$434,Countries!$A$5:$A$434,"All landing pages",Countries!$B$5:$B$434,"Direct",Countries!$C$5:$C$434,"Desktop",Countries!$D$5:$D$434,$A160,Countries!$AS$5:$AS$434,"&gt;0")=0,"",SUMIFS(Countries!$AS$5:$AS$434,Countries!$A$5:$A$434,"All landing pages",Countries!$B$5:$B$434,"Direct",Countries!$C$5:$C$434,"Desktop",Countries!$D$5:$D$434,$A160,Countries!$Q$5:$Q$434,"&gt;0")/SUMIFS(Countries!$Q$5:$Q$434,Countries!$A$5:$A$434,"All landing pages",Countries!$B$5:$B$434,"Direct",Countries!$C$5:$C$434,"Desktop",Countries!$D$5:$D$434,$A160,Countries!$AS$5:$AS$434,"&gt;0"))</f>
        <v/>
      </c>
      <c r="Q160" s="44">
        <f>IF(OR(O160="",P160=""),"",(P160-O160)*100)</f>
        <v/>
      </c>
      <c r="R160" s="45">
        <f>IF(SUMIFS(Countries!$E$5:$E$434,Countries!$A$5:$A$434,"All landing pages",Countries!$B$5:$B$434,"Direct",Countries!$C$5:$C$434,"Desktop",Countries!$D$5:$D$434,$A160,Countries!$AR$5:$AR$434,"&gt;0")=0,"",SUMIFS(Countries!$AR$5:$AR$434,Countries!$A$5:$A$434,"All landing pages",Countries!$B$5:$B$434,"Direct",Countries!$C$5:$C$434,"Desktop",Countries!$D$5:$D$434,$A160,Countries!$E$5:$E$434,"&gt;0")/SUMIFS(Countries!$E$5:$E$434,Countries!$A$5:$A$434,"All landing pages",Countries!$B$5:$B$434,"Direct",Countries!$C$5:$C$434,"Desktop",Countries!$D$5:$D$434,$A160,Countries!$AR$5:$AR$434,"&gt;0"))</f>
        <v/>
      </c>
      <c r="S160" s="45">
        <f>IF(SUMIFS(Countries!$F$5:$F$434,Countries!$A$5:$A$434,"All landing pages",Countries!$B$5:$B$434,"Direct",Countries!$C$5:$C$434,"Desktop",Countries!$D$5:$D$434,$A160,Countries!$AS$5:$AS$434,"&gt;0")=0,"",SUMIFS(Countries!$AS$5:$AS$434,Countries!$A$5:$A$434,"All landing pages",Countries!$B$5:$B$434,"Direct",Countries!$C$5:$C$434,"Desktop",Countries!$D$5:$D$434,$A160,Countries!$F$5:$F$434,"&gt;0")/SUMIFS(Countries!$F$5:$F$434,Countries!$A$5:$A$434,"All landing pages",Countries!$B$5:$B$434,"Direct",Countries!$C$5:$C$434,"Desktop",Countries!$D$5:$D$434,$A160,Countries!$AS$5:$AS$434,"&gt;0"))</f>
        <v/>
      </c>
      <c r="T160" s="44">
        <f>IF(OR(R160="",S160=""),"",(S160-R160)*100)</f>
        <v/>
      </c>
    </row>
    <row r="161">
      <c r="A161" s="32" t="inlineStr">
        <is>
          <t>Sum of listed markets</t>
        </is>
      </c>
      <c r="B161" s="32" t="inlineStr">
        <is>
          <t>Direct</t>
        </is>
      </c>
      <c r="C161" s="33">
        <f>SUM(C140:C160)</f>
        <v/>
      </c>
      <c r="D161" s="33">
        <f>SUM(D140:D160)</f>
        <v/>
      </c>
      <c r="E161" s="34">
        <f>IF(OR(C161="",D161="",D161=0,C161=0),"",D161/C161-1)</f>
        <v/>
      </c>
      <c r="F161" s="33">
        <f>SUM(F140:F160)</f>
        <v/>
      </c>
      <c r="G161" s="33">
        <f>SUM(G140:G160)</f>
        <v/>
      </c>
      <c r="H161" s="34">
        <f>IF(OR(F161="",G161="",G161=0,F161=0),"",G161/F161-1)</f>
        <v/>
      </c>
      <c r="I161" s="33">
        <f>SUM(I140:I160)</f>
        <v/>
      </c>
      <c r="J161" s="33">
        <f>SUM(J140:J160)</f>
        <v/>
      </c>
      <c r="K161" s="34">
        <f>IF(OR(I161="",J161="",J161=0,I161=0),"",J161/I161-1)</f>
        <v/>
      </c>
      <c r="L161" s="35">
        <f>IF(OR(F161="",C161="",C161=0),"",F161/C161)</f>
        <v/>
      </c>
      <c r="M161" s="35">
        <f>IF(OR(G161="",D161="",D161=0),"",G161/D161)</f>
        <v/>
      </c>
      <c r="N161" s="36">
        <f>IF(OR(L161="",M161=""),"",(M161-L161)*100)</f>
        <v/>
      </c>
      <c r="O161" s="37">
        <f>IF(OR(I161="",F161="",F161=0),"",I161/F161)</f>
        <v/>
      </c>
      <c r="P161" s="37">
        <f>IF(OR(J161="",G161="",G161=0),"",J161/G161)</f>
        <v/>
      </c>
      <c r="Q161" s="36">
        <f>IF(OR(O161="",P161=""),"",(P161-O161)*100)</f>
        <v/>
      </c>
      <c r="R161" s="37">
        <f>IF(OR(I161="",C161="",C161=0),"",I161/C161)</f>
        <v/>
      </c>
      <c r="S161" s="37">
        <f>IF(OR(J161="",D161="",D161=0),"",J161/D161)</f>
        <v/>
      </c>
      <c r="T161" s="36">
        <f>IF(OR(R161="",S161=""),"",(S161-R161)*100)</f>
        <v/>
      </c>
      <c r="U161" s="38" t="n"/>
      <c r="V161" s="38" t="n"/>
      <c r="W161" s="38" t="n"/>
      <c r="X161" s="38" t="n"/>
      <c r="Y161" s="38" t="n"/>
      <c r="Z161" s="38" t="n"/>
      <c r="AA161" s="38" t="n"/>
      <c r="AB161" s="38" t="n"/>
      <c r="AC161" s="38" t="n"/>
      <c r="AD161" s="38" t="n"/>
      <c r="AE161" s="38" t="n"/>
      <c r="AF161" s="38" t="n"/>
      <c r="AG161" s="38" t="n"/>
      <c r="AH161" s="38" t="n"/>
      <c r="AI161" s="38" t="n"/>
      <c r="AJ161" s="38" t="n"/>
      <c r="AK161" s="38" t="n"/>
      <c r="AL161" s="38" t="n"/>
      <c r="AM161" s="38" t="n"/>
      <c r="AN161" s="38" t="n"/>
      <c r="AO161" s="38" t="n"/>
      <c r="AP161" s="38" t="n"/>
      <c r="AQ161" s="38" t="n"/>
      <c r="AR161" s="38" t="n"/>
      <c r="AS161" s="38" t="n"/>
      <c r="AT161" s="38" t="n"/>
      <c r="AU161" s="38" t="n"/>
      <c r="AV161" s="38" t="n"/>
      <c r="AW161" s="38" t="n"/>
      <c r="AX161" s="38" t="n"/>
      <c r="AY161" s="38" t="n"/>
      <c r="AZ161" s="38" t="n"/>
      <c r="BA161" s="38" t="n"/>
      <c r="BB161" s="38" t="n"/>
    </row>
    <row r="162">
      <c r="A162" s="32" t="inlineStr">
        <is>
          <t>Scorecard total</t>
        </is>
      </c>
      <c r="B162" s="32" t="inlineStr">
        <is>
          <t>Direct</t>
        </is>
      </c>
      <c r="C162" s="33">
        <f>SUMIFS(Totals!$D$5:$D$49,Totals!$A$5:$A$49,"All landing pages",Totals!$B$5:$B$49,"Direct",Totals!$C$5:$C$49,"Desktop")</f>
        <v/>
      </c>
      <c r="D162" s="33">
        <f>SUMIFS(Totals!$E$5:$E$49,Totals!$A$5:$A$49,"All landing pages",Totals!$B$5:$B$49,"Direct",Totals!$C$5:$C$49,"Desktop")</f>
        <v/>
      </c>
      <c r="E162" s="34">
        <f>IF(OR(C162="",D162="",D162=0,C162=0),"",D162/C162-1)</f>
        <v/>
      </c>
      <c r="F162" s="33">
        <f>SUMIFS(Totals!$O$5:$O$49,Totals!$A$5:$A$49,"All landing pages",Totals!$B$5:$B$49,"Direct",Totals!$C$5:$C$49,"Desktop")</f>
        <v/>
      </c>
      <c r="G162" s="33">
        <f>SUMIFS(Totals!$P$5:$P$49,Totals!$A$5:$A$49,"All landing pages",Totals!$B$5:$B$49,"Direct",Totals!$C$5:$C$49,"Desktop")</f>
        <v/>
      </c>
      <c r="H162" s="34">
        <f>IF(OR(F162="",G162="",G162=0,F162=0),"",G162/F162-1)</f>
        <v/>
      </c>
      <c r="I162" s="33">
        <f>SUMIFS(Totals!$AQ$5:$AQ$49,Totals!$A$5:$A$49,"All landing pages",Totals!$B$5:$B$49,"Direct",Totals!$C$5:$C$49,"Desktop")</f>
        <v/>
      </c>
      <c r="J162" s="33">
        <f>SUMIFS(Totals!$AR$5:$AR$49,Totals!$A$5:$A$49,"All landing pages",Totals!$B$5:$B$49,"Direct",Totals!$C$5:$C$49,"Desktop")</f>
        <v/>
      </c>
      <c r="K162" s="34">
        <f>IF(OR(I162="",J162="",J162=0,I162=0),"",J162/I162-1)</f>
        <v/>
      </c>
      <c r="L162" s="35">
        <f>IF(OR(F162="",C162="",C162=0),"",F162/C162)</f>
        <v/>
      </c>
      <c r="M162" s="35">
        <f>IF(OR(G162="",D162="",D162=0),"",G162/D162)</f>
        <v/>
      </c>
      <c r="N162" s="36">
        <f>IF(OR(L162="",M162=""),"",(M162-L162)*100)</f>
        <v/>
      </c>
      <c r="O162" s="37">
        <f>IF(OR(I162="",F162="",F162=0),"",I162/F162)</f>
        <v/>
      </c>
      <c r="P162" s="37">
        <f>IF(OR(J162="",G162="",G162=0),"",J162/G162)</f>
        <v/>
      </c>
      <c r="Q162" s="36">
        <f>IF(OR(O162="",P162=""),"",(P162-O162)*100)</f>
        <v/>
      </c>
      <c r="R162" s="37">
        <f>IF(OR(I162="",C162="",C162=0),"",I162/C162)</f>
        <v/>
      </c>
      <c r="S162" s="37">
        <f>IF(OR(J162="",D162="",D162=0),"",J162/D162)</f>
        <v/>
      </c>
      <c r="T162" s="36">
        <f>IF(OR(R162="",S162=""),"",(S162-R162)*100)</f>
        <v/>
      </c>
      <c r="U162" s="38" t="n"/>
      <c r="V162" s="38" t="n"/>
      <c r="W162" s="38" t="n"/>
      <c r="X162" s="38" t="n"/>
      <c r="Y162" s="38" t="n"/>
      <c r="Z162" s="38" t="n"/>
      <c r="AA162" s="38" t="n"/>
      <c r="AB162" s="38" t="n"/>
      <c r="AC162" s="38" t="n"/>
      <c r="AD162" s="38" t="n"/>
      <c r="AE162" s="38" t="n"/>
      <c r="AF162" s="38" t="n"/>
      <c r="AG162" s="38" t="n"/>
      <c r="AH162" s="38" t="n"/>
      <c r="AI162" s="38" t="n"/>
      <c r="AJ162" s="38" t="n"/>
      <c r="AK162" s="38" t="n"/>
      <c r="AL162" s="38" t="n"/>
      <c r="AM162" s="38" t="n"/>
      <c r="AN162" s="38" t="n"/>
      <c r="AO162" s="38" t="n"/>
      <c r="AP162" s="38" t="n"/>
      <c r="AQ162" s="38" t="n"/>
      <c r="AR162" s="38" t="n"/>
      <c r="AS162" s="38" t="n"/>
      <c r="AT162" s="38" t="n"/>
      <c r="AU162" s="38" t="n"/>
      <c r="AV162" s="38" t="n"/>
      <c r="AW162" s="38" t="n"/>
      <c r="AX162" s="38" t="n"/>
      <c r="AY162" s="38" t="n"/>
      <c r="AZ162" s="38" t="n"/>
      <c r="BA162" s="38" t="n"/>
      <c r="BB162" s="38" t="n"/>
    </row>
    <row r="163">
      <c r="A163" s="32" t="inlineStr">
        <is>
          <t>Coverage of listed markets</t>
        </is>
      </c>
      <c r="B163" s="52" t="n"/>
      <c r="C163" s="35">
        <f>IFERROR(C161/C162,"")</f>
        <v/>
      </c>
      <c r="D163" s="35">
        <f>IFERROR(D161/D162,"")</f>
        <v/>
      </c>
      <c r="E163" s="52" t="n"/>
      <c r="F163" s="35">
        <f>IFERROR(F161/F162,"")</f>
        <v/>
      </c>
      <c r="G163" s="35">
        <f>IFERROR(G161/G162,"")</f>
        <v/>
      </c>
      <c r="H163" s="52" t="n"/>
      <c r="I163" s="35">
        <f>IFERROR(I161/I162,"")</f>
        <v/>
      </c>
      <c r="J163" s="35">
        <f>IFERROR(J161/J162,"")</f>
        <v/>
      </c>
      <c r="K163" s="52" t="n"/>
      <c r="L163" s="52" t="n"/>
      <c r="M163" s="52" t="n"/>
      <c r="N163" s="52" t="n"/>
      <c r="O163" s="52" t="n"/>
      <c r="P163" s="52" t="n"/>
      <c r="Q163" s="52" t="n"/>
      <c r="R163" s="52" t="n"/>
      <c r="S163" s="52" t="n"/>
      <c r="T163" s="52" t="n"/>
      <c r="U163" s="38" t="n"/>
      <c r="V163" s="38" t="n"/>
      <c r="W163" s="38" t="n"/>
      <c r="X163" s="38" t="n"/>
      <c r="Y163" s="38" t="n"/>
      <c r="Z163" s="38" t="n"/>
      <c r="AA163" s="38" t="n"/>
      <c r="AB163" s="38" t="n"/>
      <c r="AC163" s="38" t="n"/>
      <c r="AD163" s="38" t="n"/>
      <c r="AE163" s="38" t="n"/>
      <c r="AF163" s="38" t="n"/>
      <c r="AG163" s="38" t="n"/>
      <c r="AH163" s="38" t="n"/>
      <c r="AI163" s="38" t="n"/>
      <c r="AJ163" s="38" t="n"/>
      <c r="AK163" s="38" t="n"/>
      <c r="AL163" s="38" t="n"/>
      <c r="AM163" s="38" t="n"/>
      <c r="AN163" s="38" t="n"/>
      <c r="AO163" s="38" t="n"/>
      <c r="AP163" s="38" t="n"/>
      <c r="AQ163" s="38" t="n"/>
      <c r="AR163" s="38" t="n"/>
      <c r="AS163" s="38" t="n"/>
      <c r="AT163" s="38" t="n"/>
      <c r="AU163" s="38" t="n"/>
      <c r="AV163" s="38" t="n"/>
      <c r="AW163" s="38" t="n"/>
      <c r="AX163" s="38" t="n"/>
      <c r="AY163" s="38" t="n"/>
      <c r="AZ163" s="38" t="n"/>
      <c r="BA163" s="38" t="n"/>
      <c r="BB163" s="38" t="n"/>
    </row>
    <row r="166">
      <c r="A166" s="12" t="inlineStr">
        <is>
          <t>Market rows come from the Looker country tables, which show only the top rows — they cover roughly 70-80% of sessions and less of bookings, so they do not sum to the scorecard. Rates use matched coverage.</t>
        </is>
      </c>
    </row>
    <row r="167">
      <c r="A167" s="12" t="inlineStr">
        <is>
          <t>A market can show more searches than sessions where it sits inside one table's visible rows but outside another's. The rate columns correct for that (matched coverage); the volume columns do not.</t>
        </is>
      </c>
    </row>
    <row r="168">
      <c r="A168" s="12" t="inlineStr">
        <is>
          <t>'Other pages (derived)' = All − Home − Airport − Route. Its rates are unreliable — the three views attribute the landing group differently — so read the named groups instead.</t>
        </is>
      </c>
    </row>
    <row r="169">
      <c r="A169" s="12" t="inlineStr">
        <is>
          <t>Markets with no data at the all-landing-pages level are omitted here; the full 32-market list is on 'L4 Market view' and 'Market Summary'.</t>
        </is>
      </c>
    </row>
    <row r="170">
      <c r="A170" s="12" t="inlineStr">
        <is>
          <t>Direct-channel market rows: the Looker Direct tables show only 9 visible rows (vs 10 for Paid Search/Organic), so coverage is naturally lower — see 'Coverage of listed markets' just above.</t>
        </is>
      </c>
    </row>
    <row r="171">
      <c r="A171" s="12" t="inlineStr">
        <is>
          <t>Direct's search→booking rate can be diluted by bot or scraper traffic, especially on desktop — see the README's Direct-channel note before treating any single Direct market's rate as a benchmark.</t>
        </is>
      </c>
    </row>
    <row r="172">
      <c r="A172" s="12" t="inlineStr">
        <is>
          <t>'By market x channel — Desktop only' is the place to look whenever a device's booking change looks out of step with its session change: compare each channel's 'Scorecard total' row to see which channel carries most of the gap.</t>
        </is>
      </c>
    </row>
    <row r="173">
      <c r="A173" s="12" t="inlineStr">
        <is>
          <t>Within each channel block, a market whose booking % change roughly tracks its session % change is a volume story. A market where the search→booking rate itself moves several points is a genuine conversion change, worth investigating first since it does not need more traffic to fix.</t>
        </is>
      </c>
    </row>
  </sheetData>
  <mergeCells count="8">
    <mergeCell ref="B4:B5"/>
    <mergeCell ref="A4:A5"/>
    <mergeCell ref="O4:Q4"/>
    <mergeCell ref="R4:T4"/>
    <mergeCell ref="C4:E4"/>
    <mergeCell ref="F4:H4"/>
    <mergeCell ref="I4:K4"/>
    <mergeCell ref="L4:N4"/>
  </mergeCells>
  <conditionalFormatting sqref="E6:E164">
    <cfRule type="cellIs" priority="1" operator="greaterThan" dxfId="0">
      <formula>0</formula>
    </cfRule>
    <cfRule type="cellIs" priority="2" operator="lessThan" dxfId="1">
      <formula>0</formula>
    </cfRule>
    <cfRule type="cellIs" priority="3" operator="greaterThan" dxfId="2">
      <formula>1</formula>
    </cfRule>
  </conditionalFormatting>
  <conditionalFormatting sqref="H6:H164">
    <cfRule type="cellIs" priority="4" operator="greaterThan" dxfId="0">
      <formula>0</formula>
    </cfRule>
    <cfRule type="cellIs" priority="5" operator="lessThan" dxfId="1">
      <formula>0</formula>
    </cfRule>
    <cfRule type="cellIs" priority="6" operator="greaterThan" dxfId="2">
      <formula>1</formula>
    </cfRule>
  </conditionalFormatting>
  <conditionalFormatting sqref="K6:K164">
    <cfRule type="cellIs" priority="7" operator="greaterThan" dxfId="0">
      <formula>0</formula>
    </cfRule>
    <cfRule type="cellIs" priority="8" operator="lessThan" dxfId="1">
      <formula>0</formula>
    </cfRule>
    <cfRule type="cellIs" priority="9" operator="greaterThan" dxfId="2">
      <formula>1</formula>
    </cfRule>
  </conditionalFormatting>
  <conditionalFormatting sqref="N6:N164">
    <cfRule type="cellIs" priority="10" operator="greaterThan" dxfId="0">
      <formula>0</formula>
    </cfRule>
    <cfRule type="cellIs" priority="11" operator="lessThan" dxfId="1">
      <formula>0</formula>
    </cfRule>
    <cfRule type="cellIs" priority="12" operator="greaterThan" dxfId="2">
      <formula>1</formula>
    </cfRule>
  </conditionalFormatting>
  <conditionalFormatting sqref="Q6:Q164">
    <cfRule type="cellIs" priority="13" operator="greaterThan" dxfId="0">
      <formula>0</formula>
    </cfRule>
    <cfRule type="cellIs" priority="14" operator="lessThan" dxfId="1">
      <formula>0</formula>
    </cfRule>
    <cfRule type="cellIs" priority="15" operator="greaterThan" dxfId="2">
      <formula>1</formula>
    </cfRule>
  </conditionalFormatting>
  <conditionalFormatting sqref="T6:T164">
    <cfRule type="cellIs" priority="16" operator="greaterThan" dxfId="0">
      <formula>0</formula>
    </cfRule>
    <cfRule type="cellIs" priority="17" operator="lessThan" dxfId="1">
      <formula>0</formula>
    </cfRule>
    <cfRule type="cellIs" priority="18" operator="greaterThan" dxfId="2">
      <formula>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73"/>
  <sheetViews>
    <sheetView showGridLines="0" workbookViewId="0">
      <pane ySplit="5" topLeftCell="A6" activePane="bottomLeft" state="frozen"/>
      <selection pane="bottomLeft" activeCell="A1" sqref="A1"/>
    </sheetView>
  </sheetViews>
  <sheetFormatPr baseColWidth="8" defaultRowHeight="15"/>
  <cols>
    <col width="11" customWidth="1" min="1" max="1"/>
    <col width="12" customWidth="1" min="2" max="2"/>
    <col width="10" customWidth="1" min="3" max="3"/>
    <col width="22" customWidth="1" min="4" max="4"/>
    <col width="13" customWidth="1" min="5" max="5"/>
    <col width="10" customWidth="1" min="6" max="6"/>
    <col width="17" customWidth="1" min="7" max="7"/>
    <col width="12" customWidth="1" min="8" max="8"/>
    <col width="11" customWidth="1" min="9" max="9"/>
    <col width="11" customWidth="1" min="10" max="10"/>
    <col width="26" customWidth="1" min="11" max="11"/>
    <col width="44" customWidth="1" min="12" max="12"/>
    <col width="15" customWidth="1" min="13" max="13"/>
  </cols>
  <sheetData>
    <row r="1">
      <c r="A1" s="11" t="inlineStr">
        <is>
          <t>Gaps to fill</t>
        </is>
      </c>
    </row>
    <row r="2">
      <c r="A2" s="12" t="inlineStr">
        <is>
          <t>Each row is a yellow cell on an input tab. Look the value up in Looker, type it into that cell, and every view updates. Type on the input tab, not here.</t>
        </is>
      </c>
    </row>
    <row r="3">
      <c r="A3" s="53" t="inlineStr">
        <is>
          <t>All six metric columns are loaded. Every row below is a market visible in one Looker table but not another — its value is off-screen, not zero.</t>
        </is>
      </c>
    </row>
    <row r="5" ht="30" customHeight="1">
      <c r="A5" s="54" t="inlineStr">
        <is>
          <t>Tab</t>
        </is>
      </c>
      <c r="B5" s="54" t="inlineStr">
        <is>
          <t>Cell to fill</t>
        </is>
      </c>
      <c r="C5" s="54" t="inlineStr">
        <is>
          <t>Input row</t>
        </is>
      </c>
      <c r="D5" s="54" t="inlineStr">
        <is>
          <t>Landing Page Group</t>
        </is>
      </c>
      <c r="E5" s="54" t="inlineStr">
        <is>
          <t>Channel</t>
        </is>
      </c>
      <c r="F5" s="54" t="inlineStr">
        <is>
          <t>Device</t>
        </is>
      </c>
      <c r="G5" s="54" t="inlineStr">
        <is>
          <t>Country</t>
        </is>
      </c>
      <c r="H5" s="54" t="inlineStr">
        <is>
          <t>Market rank</t>
        </is>
      </c>
      <c r="I5" s="54" t="inlineStr">
        <is>
          <t>Metric</t>
        </is>
      </c>
      <c r="J5" s="54" t="inlineStr">
        <is>
          <t>Period</t>
        </is>
      </c>
      <c r="K5" s="54" t="inlineStr">
        <is>
          <t>Largest value in the same row</t>
        </is>
      </c>
      <c r="L5" s="54" t="inlineStr">
        <is>
          <t>What it unblocks</t>
        </is>
      </c>
      <c r="M5" s="54" t="inlineStr">
        <is>
          <t>Status</t>
        </is>
      </c>
    </row>
    <row r="6">
      <c r="A6" s="40" t="inlineStr">
        <is>
          <t>Countries</t>
        </is>
      </c>
      <c r="B6" s="40" t="inlineStr">
        <is>
          <t>AK397</t>
        </is>
      </c>
      <c r="C6" s="40" t="n">
        <v>397</v>
      </c>
      <c r="D6" s="40" t="inlineStr">
        <is>
          <t>Route page</t>
        </is>
      </c>
      <c r="E6" s="40" t="inlineStr">
        <is>
          <t>Direct</t>
        </is>
      </c>
      <c r="F6" s="40" t="inlineStr">
        <is>
          <t>Mobile</t>
        </is>
      </c>
      <c r="G6" s="40" t="inlineStr">
        <is>
          <t>Italy</t>
        </is>
      </c>
      <c r="H6" s="40" t="n">
        <v>3</v>
      </c>
      <c r="I6" s="40" t="inlineStr">
        <is>
          <t>Begin checkout</t>
        </is>
      </c>
      <c r="J6" s="40" t="inlineStr">
        <is>
          <t>1-23 August 2025</t>
        </is>
      </c>
      <c r="K6" s="55" t="n">
        <v>491</v>
      </c>
      <c r="L6" s="40" t="inlineStr">
        <is>
          <t>Begin checkout YoY + Cart→Checkout 1-23 August 2025</t>
        </is>
      </c>
      <c r="M6" s="40">
        <f>IF(Countries!AK397="","STILL MISSING","Filled ✓")</f>
        <v/>
      </c>
    </row>
    <row r="7">
      <c r="A7" s="56" t="inlineStr">
        <is>
          <t>Countries</t>
        </is>
      </c>
      <c r="B7" s="56" t="inlineStr">
        <is>
          <t>AR397</t>
        </is>
      </c>
      <c r="C7" s="56" t="n">
        <v>397</v>
      </c>
      <c r="D7" s="56" t="inlineStr">
        <is>
          <t>Route page</t>
        </is>
      </c>
      <c r="E7" s="56" t="inlineStr">
        <is>
          <t>Direct</t>
        </is>
      </c>
      <c r="F7" s="56" t="inlineStr">
        <is>
          <t>Mobile</t>
        </is>
      </c>
      <c r="G7" s="56" t="inlineStr">
        <is>
          <t>Italy</t>
        </is>
      </c>
      <c r="H7" s="56" t="n">
        <v>3</v>
      </c>
      <c r="I7" s="56" t="inlineStr">
        <is>
          <t>Purchases</t>
        </is>
      </c>
      <c r="J7" s="56" t="inlineStr">
        <is>
          <t>1-23 August 2025</t>
        </is>
      </c>
      <c r="K7" s="57" t="n">
        <v>491</v>
      </c>
      <c r="L7" s="56" t="inlineStr">
        <is>
          <t>CR 1-23 August 2025 + Purchases YoY + Search→Booking 1-23 August 2025</t>
        </is>
      </c>
      <c r="M7" s="40">
        <f>IF(Countries!AR397="","STILL MISSING","Filled ✓")</f>
        <v/>
      </c>
    </row>
    <row r="8">
      <c r="A8" s="40" t="inlineStr">
        <is>
          <t>Countries</t>
        </is>
      </c>
      <c r="B8" s="40" t="inlineStr">
        <is>
          <t>AK419</t>
        </is>
      </c>
      <c r="C8" s="40" t="n">
        <v>419</v>
      </c>
      <c r="D8" s="40" t="inlineStr">
        <is>
          <t>Route page</t>
        </is>
      </c>
      <c r="E8" s="40" t="inlineStr">
        <is>
          <t>Direct</t>
        </is>
      </c>
      <c r="F8" s="40" t="inlineStr">
        <is>
          <t>Desktop</t>
        </is>
      </c>
      <c r="G8" s="40" t="inlineStr">
        <is>
          <t>Spain</t>
        </is>
      </c>
      <c r="H8" s="40" t="n">
        <v>4</v>
      </c>
      <c r="I8" s="40" t="inlineStr">
        <is>
          <t>Begin checkout</t>
        </is>
      </c>
      <c r="J8" s="40" t="inlineStr">
        <is>
          <t>1-23 August 2025</t>
        </is>
      </c>
      <c r="K8" s="55" t="n">
        <v>239</v>
      </c>
      <c r="L8" s="40" t="inlineStr">
        <is>
          <t>Begin checkout YoY + Cart→Checkout 1-23 August 2025</t>
        </is>
      </c>
      <c r="M8" s="40">
        <f>IF(Countries!AK419="","STILL MISSING","Filled ✓")</f>
        <v/>
      </c>
    </row>
    <row r="9">
      <c r="A9" s="56" t="inlineStr">
        <is>
          <t>Countries</t>
        </is>
      </c>
      <c r="B9" s="56" t="inlineStr">
        <is>
          <t>AR419</t>
        </is>
      </c>
      <c r="C9" s="56" t="n">
        <v>419</v>
      </c>
      <c r="D9" s="56" t="inlineStr">
        <is>
          <t>Route page</t>
        </is>
      </c>
      <c r="E9" s="56" t="inlineStr">
        <is>
          <t>Direct</t>
        </is>
      </c>
      <c r="F9" s="56" t="inlineStr">
        <is>
          <t>Desktop</t>
        </is>
      </c>
      <c r="G9" s="56" t="inlineStr">
        <is>
          <t>Spain</t>
        </is>
      </c>
      <c r="H9" s="56" t="n">
        <v>4</v>
      </c>
      <c r="I9" s="56" t="inlineStr">
        <is>
          <t>Purchases</t>
        </is>
      </c>
      <c r="J9" s="56" t="inlineStr">
        <is>
          <t>1-23 August 2025</t>
        </is>
      </c>
      <c r="K9" s="57" t="n">
        <v>239</v>
      </c>
      <c r="L9" s="56" t="inlineStr">
        <is>
          <t>CR 1-23 August 2025 + Purchases YoY + Search→Booking 1-23 August 2025</t>
        </is>
      </c>
      <c r="M9" s="40">
        <f>IF(Countries!AR419="","STILL MISSING","Filled ✓")</f>
        <v/>
      </c>
    </row>
    <row r="10">
      <c r="A10" s="40" t="inlineStr">
        <is>
          <t>Countries</t>
        </is>
      </c>
      <c r="B10" s="40" t="inlineStr">
        <is>
          <t>Q390</t>
        </is>
      </c>
      <c r="C10" s="40" t="n">
        <v>390</v>
      </c>
      <c r="D10" s="40" t="inlineStr">
        <is>
          <t>Route page</t>
        </is>
      </c>
      <c r="E10" s="40" t="inlineStr">
        <is>
          <t>Organic</t>
        </is>
      </c>
      <c r="F10" s="40" t="inlineStr">
        <is>
          <t>Desktop</t>
        </is>
      </c>
      <c r="G10" s="40" t="inlineStr">
        <is>
          <t>Ireland</t>
        </is>
      </c>
      <c r="H10" s="40" t="n">
        <v>5</v>
      </c>
      <c r="I10" s="40" t="inlineStr">
        <is>
          <t>Searches</t>
        </is>
      </c>
      <c r="J10" s="40" t="inlineStr">
        <is>
          <t>1-23 August 2026</t>
        </is>
      </c>
      <c r="K10" s="55" t="n">
        <v>256</v>
      </c>
      <c r="L10" s="40" t="inlineStr">
        <is>
          <t>Searches YoY + Search→Booking 1-23 August 2026 + Search→Select 1-23 August 2026</t>
        </is>
      </c>
      <c r="M10" s="40">
        <f>IF(Countries!Q390="","STILL MISSING","Filled ✓")</f>
        <v/>
      </c>
    </row>
    <row r="11">
      <c r="A11" s="56" t="inlineStr">
        <is>
          <t>Countries</t>
        </is>
      </c>
      <c r="B11" s="56" t="inlineStr">
        <is>
          <t>F390</t>
        </is>
      </c>
      <c r="C11" s="56" t="n">
        <v>390</v>
      </c>
      <c r="D11" s="56" t="inlineStr">
        <is>
          <t>Route page</t>
        </is>
      </c>
      <c r="E11" s="56" t="inlineStr">
        <is>
          <t>Organic</t>
        </is>
      </c>
      <c r="F11" s="56" t="inlineStr">
        <is>
          <t>Desktop</t>
        </is>
      </c>
      <c r="G11" s="56" t="inlineStr">
        <is>
          <t>Ireland</t>
        </is>
      </c>
      <c r="H11" s="56" t="n">
        <v>5</v>
      </c>
      <c r="I11" s="56" t="inlineStr">
        <is>
          <t>Sessions</t>
        </is>
      </c>
      <c r="J11" s="56" t="inlineStr">
        <is>
          <t>1-23 August 2026</t>
        </is>
      </c>
      <c r="K11" s="57" t="n">
        <v>256</v>
      </c>
      <c r="L11" s="56" t="inlineStr">
        <is>
          <t>CR 1-23 August 2026 + Sessions YoY + Visit→Engagement 1-23 August 2026</t>
        </is>
      </c>
      <c r="M11" s="40">
        <f>IF(Countries!F390="","STILL MISSING","Filled ✓")</f>
        <v/>
      </c>
    </row>
    <row r="12">
      <c r="A12" s="40" t="inlineStr">
        <is>
          <t>Countries</t>
        </is>
      </c>
      <c r="B12" s="40" t="inlineStr">
        <is>
          <t>AD423</t>
        </is>
      </c>
      <c r="C12" s="40" t="n">
        <v>423</v>
      </c>
      <c r="D12" s="40" t="inlineStr">
        <is>
          <t>Route page</t>
        </is>
      </c>
      <c r="E12" s="40" t="inlineStr">
        <is>
          <t>Direct</t>
        </is>
      </c>
      <c r="F12" s="40" t="inlineStr">
        <is>
          <t>Desktop</t>
        </is>
      </c>
      <c r="G12" s="40" t="inlineStr">
        <is>
          <t>Ireland</t>
        </is>
      </c>
      <c r="H12" s="40" t="n">
        <v>5</v>
      </c>
      <c r="I12" s="40" t="inlineStr">
        <is>
          <t>Add to cart</t>
        </is>
      </c>
      <c r="J12" s="40" t="inlineStr">
        <is>
          <t>1-23 August 2025</t>
        </is>
      </c>
      <c r="K12" s="55" t="n">
        <v>153</v>
      </c>
      <c r="L12" s="40" t="inlineStr">
        <is>
          <t>Add to cart YoY + Select→Cart 1-23 August 2025</t>
        </is>
      </c>
      <c r="M12" s="40">
        <f>IF(Countries!AD423="","STILL MISSING","Filled ✓")</f>
        <v/>
      </c>
    </row>
    <row r="13">
      <c r="A13" s="56" t="inlineStr">
        <is>
          <t>Countries</t>
        </is>
      </c>
      <c r="B13" s="56" t="inlineStr">
        <is>
          <t>AK423</t>
        </is>
      </c>
      <c r="C13" s="56" t="n">
        <v>423</v>
      </c>
      <c r="D13" s="56" t="inlineStr">
        <is>
          <t>Route page</t>
        </is>
      </c>
      <c r="E13" s="56" t="inlineStr">
        <is>
          <t>Direct</t>
        </is>
      </c>
      <c r="F13" s="56" t="inlineStr">
        <is>
          <t>Desktop</t>
        </is>
      </c>
      <c r="G13" s="56" t="inlineStr">
        <is>
          <t>Ireland</t>
        </is>
      </c>
      <c r="H13" s="56" t="n">
        <v>5</v>
      </c>
      <c r="I13" s="56" t="inlineStr">
        <is>
          <t>Begin checkout</t>
        </is>
      </c>
      <c r="J13" s="56" t="inlineStr">
        <is>
          <t>1-23 August 2025</t>
        </is>
      </c>
      <c r="K13" s="57" t="n">
        <v>153</v>
      </c>
      <c r="L13" s="56" t="inlineStr">
        <is>
          <t>Begin checkout YoY</t>
        </is>
      </c>
      <c r="M13" s="40">
        <f>IF(Countries!AK423="","STILL MISSING","Filled ✓")</f>
        <v/>
      </c>
    </row>
    <row r="14">
      <c r="A14" s="40" t="inlineStr">
        <is>
          <t>Countries</t>
        </is>
      </c>
      <c r="B14" s="40" t="inlineStr">
        <is>
          <t>AR423</t>
        </is>
      </c>
      <c r="C14" s="40" t="n">
        <v>423</v>
      </c>
      <c r="D14" s="40" t="inlineStr">
        <is>
          <t>Route page</t>
        </is>
      </c>
      <c r="E14" s="40" t="inlineStr">
        <is>
          <t>Direct</t>
        </is>
      </c>
      <c r="F14" s="40" t="inlineStr">
        <is>
          <t>Desktop</t>
        </is>
      </c>
      <c r="G14" s="40" t="inlineStr">
        <is>
          <t>Ireland</t>
        </is>
      </c>
      <c r="H14" s="40" t="n">
        <v>5</v>
      </c>
      <c r="I14" s="40" t="inlineStr">
        <is>
          <t>Purchases</t>
        </is>
      </c>
      <c r="J14" s="40" t="inlineStr">
        <is>
          <t>1-23 August 2025</t>
        </is>
      </c>
      <c r="K14" s="55" t="n">
        <v>153</v>
      </c>
      <c r="L14" s="40" t="inlineStr">
        <is>
          <t>CR 1-23 August 2025 + Purchases YoY + Search→Booking 1-23 August 2025</t>
        </is>
      </c>
      <c r="M14" s="40">
        <f>IF(Countries!AR423="","STILL MISSING","Filled ✓")</f>
        <v/>
      </c>
    </row>
    <row r="15">
      <c r="A15" s="56" t="inlineStr">
        <is>
          <t>Countries</t>
        </is>
      </c>
      <c r="B15" s="56" t="inlineStr">
        <is>
          <t>AR403</t>
        </is>
      </c>
      <c r="C15" s="56" t="n">
        <v>403</v>
      </c>
      <c r="D15" s="56" t="inlineStr">
        <is>
          <t>Route page</t>
        </is>
      </c>
      <c r="E15" s="56" t="inlineStr">
        <is>
          <t>Direct</t>
        </is>
      </c>
      <c r="F15" s="56" t="inlineStr">
        <is>
          <t>Mobile</t>
        </is>
      </c>
      <c r="G15" s="56" t="inlineStr">
        <is>
          <t>Ireland</t>
        </is>
      </c>
      <c r="H15" s="56" t="n">
        <v>5</v>
      </c>
      <c r="I15" s="56" t="inlineStr">
        <is>
          <t>Purchases</t>
        </is>
      </c>
      <c r="J15" s="56" t="inlineStr">
        <is>
          <t>1-23 August 2025</t>
        </is>
      </c>
      <c r="K15" s="57" t="n">
        <v>120</v>
      </c>
      <c r="L15" s="56" t="inlineStr">
        <is>
          <t>CR 1-23 August 2025 + Checkout→Purchase 1-23 August 2025 + Purchases YoY + Search→Booking 1-23 August 2025</t>
        </is>
      </c>
      <c r="M15" s="40">
        <f>IF(Countries!AR403="","STILL MISSING","Filled ✓")</f>
        <v/>
      </c>
    </row>
    <row r="16">
      <c r="A16" s="40" t="inlineStr">
        <is>
          <t>Countries</t>
        </is>
      </c>
      <c r="B16" s="40" t="inlineStr">
        <is>
          <t>AS264</t>
        </is>
      </c>
      <c r="C16" s="40" t="n">
        <v>264</v>
      </c>
      <c r="D16" s="40" t="inlineStr">
        <is>
          <t>Airport page</t>
        </is>
      </c>
      <c r="E16" s="40" t="inlineStr">
        <is>
          <t>Organic</t>
        </is>
      </c>
      <c r="F16" s="40" t="inlineStr">
        <is>
          <t>Mobile</t>
        </is>
      </c>
      <c r="G16" s="40" t="inlineStr">
        <is>
          <t>Netherlands</t>
        </is>
      </c>
      <c r="H16" s="40" t="n">
        <v>6</v>
      </c>
      <c r="I16" s="40" t="inlineStr">
        <is>
          <t>Purchases</t>
        </is>
      </c>
      <c r="J16" s="40" t="inlineStr">
        <is>
          <t>1-23 August 2026</t>
        </is>
      </c>
      <c r="K16" s="55" t="n">
        <v>346</v>
      </c>
      <c r="L16" s="40" t="inlineStr">
        <is>
          <t>CR 1-23 August 2026 + Checkout→Purchase 1-23 August 2026 + Purchases YoY + Search→Booking 1-23 August 2026</t>
        </is>
      </c>
      <c r="M16" s="40">
        <f>IF(Countries!AS264="","STILL MISSING","Filled ✓")</f>
        <v/>
      </c>
    </row>
    <row r="17">
      <c r="A17" s="56" t="inlineStr">
        <is>
          <t>Countries</t>
        </is>
      </c>
      <c r="B17" s="56" t="inlineStr">
        <is>
          <t>AR310</t>
        </is>
      </c>
      <c r="C17" s="56" t="n">
        <v>310</v>
      </c>
      <c r="D17" s="56" t="inlineStr">
        <is>
          <t>Airport page</t>
        </is>
      </c>
      <c r="E17" s="56" t="inlineStr">
        <is>
          <t>Direct</t>
        </is>
      </c>
      <c r="F17" s="56" t="inlineStr">
        <is>
          <t>Desktop</t>
        </is>
      </c>
      <c r="G17" s="56" t="inlineStr">
        <is>
          <t>Netherlands</t>
        </is>
      </c>
      <c r="H17" s="56" t="n">
        <v>6</v>
      </c>
      <c r="I17" s="56" t="inlineStr">
        <is>
          <t>Purchases</t>
        </is>
      </c>
      <c r="J17" s="56" t="inlineStr">
        <is>
          <t>1-23 August 2025</t>
        </is>
      </c>
      <c r="K17" s="57" t="n">
        <v>323</v>
      </c>
      <c r="L17" s="56" t="inlineStr">
        <is>
          <t>CR 1-23 August 2025 + Checkout→Purchase 1-23 August 2025 + Purchases YoY + Search→Booking 1-23 August 2025</t>
        </is>
      </c>
      <c r="M17" s="40">
        <f>IF(Countries!AR310="","STILL MISSING","Filled ✓")</f>
        <v/>
      </c>
    </row>
    <row r="18">
      <c r="A18" s="40" t="inlineStr">
        <is>
          <t>Countries</t>
        </is>
      </c>
      <c r="B18" s="40" t="inlineStr">
        <is>
          <t>AR291</t>
        </is>
      </c>
      <c r="C18" s="40" t="n">
        <v>291</v>
      </c>
      <c r="D18" s="40" t="inlineStr">
        <is>
          <t>Airport page</t>
        </is>
      </c>
      <c r="E18" s="40" t="inlineStr">
        <is>
          <t>Direct</t>
        </is>
      </c>
      <c r="F18" s="40" t="inlineStr">
        <is>
          <t>Mobile</t>
        </is>
      </c>
      <c r="G18" s="40" t="inlineStr">
        <is>
          <t>Netherlands</t>
        </is>
      </c>
      <c r="H18" s="40" t="n">
        <v>6</v>
      </c>
      <c r="I18" s="40" t="inlineStr">
        <is>
          <t>Purchases</t>
        </is>
      </c>
      <c r="J18" s="40" t="inlineStr">
        <is>
          <t>1-23 August 2025</t>
        </is>
      </c>
      <c r="K18" s="55" t="n">
        <v>88</v>
      </c>
      <c r="L18" s="40" t="inlineStr">
        <is>
          <t>CR 1-23 August 2025 + Checkout→Purchase 1-23 August 2025 + Search→Booking 1-23 August 2025</t>
        </is>
      </c>
      <c r="M18" s="40">
        <f>IF(Countries!AR291="","STILL MISSING","Filled ✓")</f>
        <v/>
      </c>
    </row>
    <row r="19">
      <c r="A19" s="56" t="inlineStr">
        <is>
          <t>Countries</t>
        </is>
      </c>
      <c r="B19" s="56" t="inlineStr">
        <is>
          <t>AS291</t>
        </is>
      </c>
      <c r="C19" s="56" t="n">
        <v>291</v>
      </c>
      <c r="D19" s="56" t="inlineStr">
        <is>
          <t>Airport page</t>
        </is>
      </c>
      <c r="E19" s="56" t="inlineStr">
        <is>
          <t>Direct</t>
        </is>
      </c>
      <c r="F19" s="56" t="inlineStr">
        <is>
          <t>Mobile</t>
        </is>
      </c>
      <c r="G19" s="56" t="inlineStr">
        <is>
          <t>Netherlands</t>
        </is>
      </c>
      <c r="H19" s="56" t="n">
        <v>6</v>
      </c>
      <c r="I19" s="56" t="inlineStr">
        <is>
          <t>Purchases</t>
        </is>
      </c>
      <c r="J19" s="56" t="inlineStr">
        <is>
          <t>1-23 August 2026</t>
        </is>
      </c>
      <c r="K19" s="57" t="n">
        <v>88</v>
      </c>
      <c r="L19" s="56" t="inlineStr">
        <is>
          <t>CR 1-23 August 2026 + Checkout→Purchase 1-23 August 2026 + Search→Booking 1-23 August 2026</t>
        </is>
      </c>
      <c r="M19" s="40">
        <f>IF(Countries!AS291="","STILL MISSING","Filled ✓")</f>
        <v/>
      </c>
    </row>
    <row r="20">
      <c r="A20" s="40" t="inlineStr">
        <is>
          <t>Countries</t>
        </is>
      </c>
      <c r="B20" s="40" t="inlineStr">
        <is>
          <t>AR366</t>
        </is>
      </c>
      <c r="C20" s="40" t="n">
        <v>366</v>
      </c>
      <c r="D20" s="40" t="inlineStr">
        <is>
          <t>Route page</t>
        </is>
      </c>
      <c r="E20" s="40" t="inlineStr">
        <is>
          <t>Organic</t>
        </is>
      </c>
      <c r="F20" s="40" t="inlineStr">
        <is>
          <t>Mobile</t>
        </is>
      </c>
      <c r="G20" s="40" t="inlineStr">
        <is>
          <t>Netherlands</t>
        </is>
      </c>
      <c r="H20" s="40" t="n">
        <v>6</v>
      </c>
      <c r="I20" s="40" t="inlineStr">
        <is>
          <t>Purchases</t>
        </is>
      </c>
      <c r="J20" s="40" t="inlineStr">
        <is>
          <t>1-23 August 2025</t>
        </is>
      </c>
      <c r="K20" s="55" t="n">
        <v>1147</v>
      </c>
      <c r="L20" s="40" t="inlineStr">
        <is>
          <t>CR 1-23 August 2025 + Checkout→Purchase 1-23 August 2025 + Purchases YoY + Search→Booking 1-23 August 2025</t>
        </is>
      </c>
      <c r="M20" s="40">
        <f>IF(Countries!AR366="","STILL MISSING","Filled ✓")</f>
        <v/>
      </c>
    </row>
    <row r="21">
      <c r="A21" s="56" t="inlineStr">
        <is>
          <t>Countries</t>
        </is>
      </c>
      <c r="B21" s="56" t="inlineStr">
        <is>
          <t>AL400</t>
        </is>
      </c>
      <c r="C21" s="56" t="n">
        <v>400</v>
      </c>
      <c r="D21" s="56" t="inlineStr">
        <is>
          <t>Route page</t>
        </is>
      </c>
      <c r="E21" s="56" t="inlineStr">
        <is>
          <t>Direct</t>
        </is>
      </c>
      <c r="F21" s="56" t="inlineStr">
        <is>
          <t>Mobile</t>
        </is>
      </c>
      <c r="G21" s="56" t="inlineStr">
        <is>
          <t>Netherlands</t>
        </is>
      </c>
      <c r="H21" s="56" t="n">
        <v>6</v>
      </c>
      <c r="I21" s="56" t="inlineStr">
        <is>
          <t>Begin checkout</t>
        </is>
      </c>
      <c r="J21" s="56" t="inlineStr">
        <is>
          <t>1-23 August 2026</t>
        </is>
      </c>
      <c r="K21" s="57" t="n">
        <v>165</v>
      </c>
      <c r="L21" s="56" t="inlineStr">
        <is>
          <t>Begin checkout YoY + Cart→Checkout 1-23 August 2026</t>
        </is>
      </c>
      <c r="M21" s="40">
        <f>IF(Countries!AL400="","STILL MISSING","Filled ✓")</f>
        <v/>
      </c>
    </row>
    <row r="22">
      <c r="A22" s="40" t="inlineStr">
        <is>
          <t>Countries</t>
        </is>
      </c>
      <c r="B22" s="40" t="inlineStr">
        <is>
          <t>AR400</t>
        </is>
      </c>
      <c r="C22" s="40" t="n">
        <v>400</v>
      </c>
      <c r="D22" s="40" t="inlineStr">
        <is>
          <t>Route page</t>
        </is>
      </c>
      <c r="E22" s="40" t="inlineStr">
        <is>
          <t>Direct</t>
        </is>
      </c>
      <c r="F22" s="40" t="inlineStr">
        <is>
          <t>Mobile</t>
        </is>
      </c>
      <c r="G22" s="40" t="inlineStr">
        <is>
          <t>Netherlands</t>
        </is>
      </c>
      <c r="H22" s="40" t="n">
        <v>6</v>
      </c>
      <c r="I22" s="40" t="inlineStr">
        <is>
          <t>Purchases</t>
        </is>
      </c>
      <c r="J22" s="40" t="inlineStr">
        <is>
          <t>1-23 August 2025</t>
        </is>
      </c>
      <c r="K22" s="55" t="n">
        <v>165</v>
      </c>
      <c r="L22" s="40" t="inlineStr">
        <is>
          <t>CR 1-23 August 2025 + Checkout→Purchase 1-23 August 2025 + Search→Booking 1-23 August 2025</t>
        </is>
      </c>
      <c r="M22" s="40">
        <f>IF(Countries!AR400="","STILL MISSING","Filled ✓")</f>
        <v/>
      </c>
    </row>
    <row r="23">
      <c r="A23" s="56" t="inlineStr">
        <is>
          <t>Countries</t>
        </is>
      </c>
      <c r="B23" s="56" t="inlineStr">
        <is>
          <t>AS400</t>
        </is>
      </c>
      <c r="C23" s="56" t="n">
        <v>400</v>
      </c>
      <c r="D23" s="56" t="inlineStr">
        <is>
          <t>Route page</t>
        </is>
      </c>
      <c r="E23" s="56" t="inlineStr">
        <is>
          <t>Direct</t>
        </is>
      </c>
      <c r="F23" s="56" t="inlineStr">
        <is>
          <t>Mobile</t>
        </is>
      </c>
      <c r="G23" s="56" t="inlineStr">
        <is>
          <t>Netherlands</t>
        </is>
      </c>
      <c r="H23" s="56" t="n">
        <v>6</v>
      </c>
      <c r="I23" s="56" t="inlineStr">
        <is>
          <t>Purchases</t>
        </is>
      </c>
      <c r="J23" s="56" t="inlineStr">
        <is>
          <t>1-23 August 2026</t>
        </is>
      </c>
      <c r="K23" s="57" t="n">
        <v>165</v>
      </c>
      <c r="L23" s="56" t="inlineStr">
        <is>
          <t>CR 1-23 August 2026 + Search→Booking 1-23 August 2026</t>
        </is>
      </c>
      <c r="M23" s="40">
        <f>IF(Countries!AS400="","STILL MISSING","Filled ✓")</f>
        <v/>
      </c>
    </row>
    <row r="24">
      <c r="A24" s="40" t="inlineStr">
        <is>
          <t>Countries</t>
        </is>
      </c>
      <c r="B24" s="40" t="inlineStr">
        <is>
          <t>P350</t>
        </is>
      </c>
      <c r="C24" s="40" t="n">
        <v>350</v>
      </c>
      <c r="D24" s="40" t="inlineStr">
        <is>
          <t>Route page</t>
        </is>
      </c>
      <c r="E24" s="40" t="inlineStr">
        <is>
          <t>Paid Search</t>
        </is>
      </c>
      <c r="F24" s="40" t="inlineStr">
        <is>
          <t>Desktop</t>
        </is>
      </c>
      <c r="G24" s="40" t="inlineStr">
        <is>
          <t>France</t>
        </is>
      </c>
      <c r="H24" s="40" t="n">
        <v>7</v>
      </c>
      <c r="I24" s="40" t="inlineStr">
        <is>
          <t>Searches</t>
        </is>
      </c>
      <c r="J24" s="40" t="inlineStr">
        <is>
          <t>1-23 August 2025</t>
        </is>
      </c>
      <c r="K24" s="55" t="n">
        <v>534</v>
      </c>
      <c r="L24" s="40" t="inlineStr">
        <is>
          <t>Searches YoY + Search→Booking 1-23 August 2025 + Search→Select 1-23 August 2025</t>
        </is>
      </c>
      <c r="M24" s="40">
        <f>IF(Countries!P350="","STILL MISSING","Filled ✓")</f>
        <v/>
      </c>
    </row>
    <row r="25">
      <c r="A25" s="56" t="inlineStr">
        <is>
          <t>Countries</t>
        </is>
      </c>
      <c r="B25" s="56" t="inlineStr">
        <is>
          <t>E350</t>
        </is>
      </c>
      <c r="C25" s="56" t="n">
        <v>350</v>
      </c>
      <c r="D25" s="56" t="inlineStr">
        <is>
          <t>Route page</t>
        </is>
      </c>
      <c r="E25" s="56" t="inlineStr">
        <is>
          <t>Paid Search</t>
        </is>
      </c>
      <c r="F25" s="56" t="inlineStr">
        <is>
          <t>Desktop</t>
        </is>
      </c>
      <c r="G25" s="56" t="inlineStr">
        <is>
          <t>France</t>
        </is>
      </c>
      <c r="H25" s="56" t="n">
        <v>7</v>
      </c>
      <c r="I25" s="56" t="inlineStr">
        <is>
          <t>Sessions</t>
        </is>
      </c>
      <c r="J25" s="56" t="inlineStr">
        <is>
          <t>1-23 August 2025</t>
        </is>
      </c>
      <c r="K25" s="57" t="n">
        <v>534</v>
      </c>
      <c r="L25" s="56" t="inlineStr">
        <is>
          <t>CR 1-23 August 2025 + Sessions YoY + Visit→Engagement 1-23 August 2025</t>
        </is>
      </c>
      <c r="M25" s="40">
        <f>IF(Countries!E350="","STILL MISSING","Filled ✓")</f>
        <v/>
      </c>
    </row>
    <row r="26">
      <c r="A26" s="40" t="inlineStr">
        <is>
          <t>Countries</t>
        </is>
      </c>
      <c r="B26" s="40" t="inlineStr">
        <is>
          <t>AR399</t>
        </is>
      </c>
      <c r="C26" s="40" t="n">
        <v>399</v>
      </c>
      <c r="D26" s="40" t="inlineStr">
        <is>
          <t>Route page</t>
        </is>
      </c>
      <c r="E26" s="40" t="inlineStr">
        <is>
          <t>Direct</t>
        </is>
      </c>
      <c r="F26" s="40" t="inlineStr">
        <is>
          <t>Mobile</t>
        </is>
      </c>
      <c r="G26" s="40" t="inlineStr">
        <is>
          <t>France</t>
        </is>
      </c>
      <c r="H26" s="40" t="n">
        <v>7</v>
      </c>
      <c r="I26" s="40" t="inlineStr">
        <is>
          <t>Purchases</t>
        </is>
      </c>
      <c r="J26" s="40" t="inlineStr">
        <is>
          <t>1-23 August 2025</t>
        </is>
      </c>
      <c r="K26" s="55" t="n">
        <v>173</v>
      </c>
      <c r="L26" s="40" t="inlineStr">
        <is>
          <t>CR 1-23 August 2025 + Checkout→Purchase 1-23 August 2025 + Purchases YoY + Search→Booking 1-23 August 2025</t>
        </is>
      </c>
      <c r="M26" s="40">
        <f>IF(Countries!AR399="","STILL MISSING","Filled ✓")</f>
        <v/>
      </c>
    </row>
    <row r="27">
      <c r="A27" s="56" t="inlineStr">
        <is>
          <t>Countries</t>
        </is>
      </c>
      <c r="B27" s="56" t="inlineStr">
        <is>
          <t>AS31</t>
        </is>
      </c>
      <c r="C27" s="56" t="n">
        <v>31</v>
      </c>
      <c r="D27" s="56" t="inlineStr">
        <is>
          <t>All landing pages</t>
        </is>
      </c>
      <c r="E27" s="56" t="inlineStr">
        <is>
          <t>Paid Search</t>
        </is>
      </c>
      <c r="F27" s="56" t="inlineStr">
        <is>
          <t>Desktop</t>
        </is>
      </c>
      <c r="G27" s="56" t="inlineStr">
        <is>
          <t>Poland</t>
        </is>
      </c>
      <c r="H27" s="56" t="n">
        <v>8</v>
      </c>
      <c r="I27" s="56" t="inlineStr">
        <is>
          <t>Purchases</t>
        </is>
      </c>
      <c r="J27" s="56" t="inlineStr">
        <is>
          <t>1-23 August 2026</t>
        </is>
      </c>
      <c r="K27" s="57" t="n">
        <v>2095</v>
      </c>
      <c r="L27" s="56" t="inlineStr">
        <is>
          <t>CR 1-23 August 2026 + Search→Booking 1-23 August 2026</t>
        </is>
      </c>
      <c r="M27" s="40">
        <f>IF(Countries!AS31="","STILL MISSING","Filled ✓")</f>
        <v/>
      </c>
    </row>
    <row r="28">
      <c r="A28" s="40" t="inlineStr">
        <is>
          <t>Countries</t>
        </is>
      </c>
      <c r="B28" s="40" t="inlineStr">
        <is>
          <t>P31</t>
        </is>
      </c>
      <c r="C28" s="40" t="n">
        <v>31</v>
      </c>
      <c r="D28" s="40" t="inlineStr">
        <is>
          <t>All landing pages</t>
        </is>
      </c>
      <c r="E28" s="40" t="inlineStr">
        <is>
          <t>Paid Search</t>
        </is>
      </c>
      <c r="F28" s="40" t="inlineStr">
        <is>
          <t>Desktop</t>
        </is>
      </c>
      <c r="G28" s="40" t="inlineStr">
        <is>
          <t>Poland</t>
        </is>
      </c>
      <c r="H28" s="40" t="n">
        <v>8</v>
      </c>
      <c r="I28" s="40" t="inlineStr">
        <is>
          <t>Searches</t>
        </is>
      </c>
      <c r="J28" s="40" t="inlineStr">
        <is>
          <t>1-23 August 2025</t>
        </is>
      </c>
      <c r="K28" s="55" t="n">
        <v>2095</v>
      </c>
      <c r="L28" s="40" t="inlineStr">
        <is>
          <t>Searches YoY</t>
        </is>
      </c>
      <c r="M28" s="40">
        <f>IF(Countries!P31="","STILL MISSING","Filled ✓")</f>
        <v/>
      </c>
    </row>
    <row r="29">
      <c r="A29" s="56" t="inlineStr">
        <is>
          <t>Countries</t>
        </is>
      </c>
      <c r="B29" s="56" t="inlineStr">
        <is>
          <t>X31</t>
        </is>
      </c>
      <c r="C29" s="56" t="n">
        <v>31</v>
      </c>
      <c r="D29" s="56" t="inlineStr">
        <is>
          <t>All landing pages</t>
        </is>
      </c>
      <c r="E29" s="56" t="inlineStr">
        <is>
          <t>Paid Search</t>
        </is>
      </c>
      <c r="F29" s="56" t="inlineStr">
        <is>
          <t>Desktop</t>
        </is>
      </c>
      <c r="G29" s="56" t="inlineStr">
        <is>
          <t>Poland</t>
        </is>
      </c>
      <c r="H29" s="56" t="n">
        <v>8</v>
      </c>
      <c r="I29" s="56" t="inlineStr">
        <is>
          <t>Select item</t>
        </is>
      </c>
      <c r="J29" s="56" t="inlineStr">
        <is>
          <t>1-23 August 2026</t>
        </is>
      </c>
      <c r="K29" s="57" t="n">
        <v>2095</v>
      </c>
      <c r="L29" s="56" t="inlineStr">
        <is>
          <t>Search→Select 1-23 August 2026</t>
        </is>
      </c>
      <c r="M29" s="40">
        <f>IF(Countries!X31="","STILL MISSING","Filled ✓")</f>
        <v/>
      </c>
    </row>
    <row r="30">
      <c r="A30" s="40" t="inlineStr">
        <is>
          <t>Countries</t>
        </is>
      </c>
      <c r="B30" s="40" t="inlineStr">
        <is>
          <t>E31</t>
        </is>
      </c>
      <c r="C30" s="40" t="n">
        <v>31</v>
      </c>
      <c r="D30" s="40" t="inlineStr">
        <is>
          <t>All landing pages</t>
        </is>
      </c>
      <c r="E30" s="40" t="inlineStr">
        <is>
          <t>Paid Search</t>
        </is>
      </c>
      <c r="F30" s="40" t="inlineStr">
        <is>
          <t>Desktop</t>
        </is>
      </c>
      <c r="G30" s="40" t="inlineStr">
        <is>
          <t>Poland</t>
        </is>
      </c>
      <c r="H30" s="40" t="n">
        <v>8</v>
      </c>
      <c r="I30" s="40" t="inlineStr">
        <is>
          <t>Sessions</t>
        </is>
      </c>
      <c r="J30" s="40" t="inlineStr">
        <is>
          <t>1-23 August 2025</t>
        </is>
      </c>
      <c r="K30" s="55" t="n">
        <v>2095</v>
      </c>
      <c r="L30" s="40" t="inlineStr">
        <is>
          <t>Sessions YoY</t>
        </is>
      </c>
      <c r="M30" s="40">
        <f>IF(Countries!E31="","STILL MISSING","Filled ✓")</f>
        <v/>
      </c>
    </row>
    <row r="31">
      <c r="A31" s="56" t="inlineStr">
        <is>
          <t>Countries</t>
        </is>
      </c>
      <c r="B31" s="56" t="inlineStr">
        <is>
          <t>J31</t>
        </is>
      </c>
      <c r="C31" s="56" t="n">
        <v>31</v>
      </c>
      <c r="D31" s="56" t="inlineStr">
        <is>
          <t>All landing pages</t>
        </is>
      </c>
      <c r="E31" s="56" t="inlineStr">
        <is>
          <t>Paid Search</t>
        </is>
      </c>
      <c r="F31" s="56" t="inlineStr">
        <is>
          <t>Desktop</t>
        </is>
      </c>
      <c r="G31" s="56" t="inlineStr">
        <is>
          <t>Poland</t>
        </is>
      </c>
      <c r="H31" s="56" t="n">
        <v>8</v>
      </c>
      <c r="I31" s="56" t="inlineStr">
        <is>
          <t>Start Search</t>
        </is>
      </c>
      <c r="J31" s="56" t="inlineStr">
        <is>
          <t>1-23 August 2026</t>
        </is>
      </c>
      <c r="K31" s="57" t="n">
        <v>2095</v>
      </c>
      <c r="L31" s="56" t="inlineStr">
        <is>
          <t>Visit→Engagement 1-23 August 2026</t>
        </is>
      </c>
      <c r="M31" s="40">
        <f>IF(Countries!J31="","STILL MISSING","Filled ✓")</f>
        <v/>
      </c>
    </row>
    <row r="32">
      <c r="A32" s="40" t="inlineStr">
        <is>
          <t>Countries</t>
        </is>
      </c>
      <c r="B32" s="40" t="inlineStr">
        <is>
          <t>AR14</t>
        </is>
      </c>
      <c r="C32" s="40" t="n">
        <v>14</v>
      </c>
      <c r="D32" s="40" t="inlineStr">
        <is>
          <t>All landing pages</t>
        </is>
      </c>
      <c r="E32" s="40" t="inlineStr">
        <is>
          <t>Paid Search</t>
        </is>
      </c>
      <c r="F32" s="40" t="inlineStr">
        <is>
          <t>Mobile</t>
        </is>
      </c>
      <c r="G32" s="40" t="inlineStr">
        <is>
          <t>Poland</t>
        </is>
      </c>
      <c r="H32" s="40" t="n">
        <v>8</v>
      </c>
      <c r="I32" s="40" t="inlineStr">
        <is>
          <t>Purchases</t>
        </is>
      </c>
      <c r="J32" s="40" t="inlineStr">
        <is>
          <t>1-23 August 2025</t>
        </is>
      </c>
      <c r="K32" s="55" t="n">
        <v>3202</v>
      </c>
      <c r="L32" s="40" t="inlineStr">
        <is>
          <t>CR 1-23 August 2025 + Search→Booking 1-23 August 2025</t>
        </is>
      </c>
      <c r="M32" s="40">
        <f>IF(Countries!AR14="","STILL MISSING","Filled ✓")</f>
        <v/>
      </c>
    </row>
    <row r="33">
      <c r="A33" s="56" t="inlineStr">
        <is>
          <t>Countries</t>
        </is>
      </c>
      <c r="B33" s="56" t="inlineStr">
        <is>
          <t>AS14</t>
        </is>
      </c>
      <c r="C33" s="56" t="n">
        <v>14</v>
      </c>
      <c r="D33" s="56" t="inlineStr">
        <is>
          <t>All landing pages</t>
        </is>
      </c>
      <c r="E33" s="56" t="inlineStr">
        <is>
          <t>Paid Search</t>
        </is>
      </c>
      <c r="F33" s="56" t="inlineStr">
        <is>
          <t>Mobile</t>
        </is>
      </c>
      <c r="G33" s="56" t="inlineStr">
        <is>
          <t>Poland</t>
        </is>
      </c>
      <c r="H33" s="56" t="n">
        <v>8</v>
      </c>
      <c r="I33" s="56" t="inlineStr">
        <is>
          <t>Purchases</t>
        </is>
      </c>
      <c r="J33" s="56" t="inlineStr">
        <is>
          <t>1-23 August 2026</t>
        </is>
      </c>
      <c r="K33" s="57" t="n">
        <v>3202</v>
      </c>
      <c r="L33" s="56" t="inlineStr">
        <is>
          <t>CR 1-23 August 2026 + Search→Booking 1-23 August 2026</t>
        </is>
      </c>
      <c r="M33" s="40">
        <f>IF(Countries!AS14="","STILL MISSING","Filled ✓")</f>
        <v/>
      </c>
    </row>
    <row r="34">
      <c r="A34" s="40" t="inlineStr">
        <is>
          <t>Countries</t>
        </is>
      </c>
      <c r="B34" s="40" t="inlineStr">
        <is>
          <t>W14</t>
        </is>
      </c>
      <c r="C34" s="40" t="n">
        <v>14</v>
      </c>
      <c r="D34" s="40" t="inlineStr">
        <is>
          <t>All landing pages</t>
        </is>
      </c>
      <c r="E34" s="40" t="inlineStr">
        <is>
          <t>Paid Search</t>
        </is>
      </c>
      <c r="F34" s="40" t="inlineStr">
        <is>
          <t>Mobile</t>
        </is>
      </c>
      <c r="G34" s="40" t="inlineStr">
        <is>
          <t>Poland</t>
        </is>
      </c>
      <c r="H34" s="40" t="n">
        <v>8</v>
      </c>
      <c r="I34" s="40" t="inlineStr">
        <is>
          <t>Select item</t>
        </is>
      </c>
      <c r="J34" s="40" t="inlineStr">
        <is>
          <t>1-23 August 2025</t>
        </is>
      </c>
      <c r="K34" s="55" t="n">
        <v>3202</v>
      </c>
      <c r="L34" s="40" t="inlineStr">
        <is>
          <t>Search→Select 1-23 August 2025</t>
        </is>
      </c>
      <c r="M34" s="40">
        <f>IF(Countries!W14="","STILL MISSING","Filled ✓")</f>
        <v/>
      </c>
    </row>
    <row r="35">
      <c r="A35" s="56" t="inlineStr">
        <is>
          <t>Countries</t>
        </is>
      </c>
      <c r="B35" s="56" t="inlineStr">
        <is>
          <t>X14</t>
        </is>
      </c>
      <c r="C35" s="56" t="n">
        <v>14</v>
      </c>
      <c r="D35" s="56" t="inlineStr">
        <is>
          <t>All landing pages</t>
        </is>
      </c>
      <c r="E35" s="56" t="inlineStr">
        <is>
          <t>Paid Search</t>
        </is>
      </c>
      <c r="F35" s="56" t="inlineStr">
        <is>
          <t>Mobile</t>
        </is>
      </c>
      <c r="G35" s="56" t="inlineStr">
        <is>
          <t>Poland</t>
        </is>
      </c>
      <c r="H35" s="56" t="n">
        <v>8</v>
      </c>
      <c r="I35" s="56" t="inlineStr">
        <is>
          <t>Select item</t>
        </is>
      </c>
      <c r="J35" s="56" t="inlineStr">
        <is>
          <t>1-23 August 2026</t>
        </is>
      </c>
      <c r="K35" s="57" t="n">
        <v>3202</v>
      </c>
      <c r="L35" s="56" t="inlineStr">
        <is>
          <t>Search→Select 1-23 August 2026</t>
        </is>
      </c>
      <c r="M35" s="40">
        <f>IF(Countries!X14="","STILL MISSING","Filled ✓")</f>
        <v/>
      </c>
    </row>
    <row r="36">
      <c r="A36" s="40" t="inlineStr">
        <is>
          <t>Countries</t>
        </is>
      </c>
      <c r="B36" s="40" t="inlineStr">
        <is>
          <t>I14</t>
        </is>
      </c>
      <c r="C36" s="40" t="n">
        <v>14</v>
      </c>
      <c r="D36" s="40" t="inlineStr">
        <is>
          <t>All landing pages</t>
        </is>
      </c>
      <c r="E36" s="40" t="inlineStr">
        <is>
          <t>Paid Search</t>
        </is>
      </c>
      <c r="F36" s="40" t="inlineStr">
        <is>
          <t>Mobile</t>
        </is>
      </c>
      <c r="G36" s="40" t="inlineStr">
        <is>
          <t>Poland</t>
        </is>
      </c>
      <c r="H36" s="40" t="n">
        <v>8</v>
      </c>
      <c r="I36" s="40" t="inlineStr">
        <is>
          <t>Start Search</t>
        </is>
      </c>
      <c r="J36" s="40" t="inlineStr">
        <is>
          <t>1-23 August 2025</t>
        </is>
      </c>
      <c r="K36" s="55" t="n">
        <v>3202</v>
      </c>
      <c r="L36" s="40" t="inlineStr">
        <is>
          <t>Visit→Engagement 1-23 August 2025</t>
        </is>
      </c>
      <c r="M36" s="40">
        <f>IF(Countries!I14="","STILL MISSING","Filled ✓")</f>
        <v/>
      </c>
    </row>
    <row r="37">
      <c r="A37" s="56" t="inlineStr">
        <is>
          <t>Countries</t>
        </is>
      </c>
      <c r="B37" s="56" t="inlineStr">
        <is>
          <t>J14</t>
        </is>
      </c>
      <c r="C37" s="56" t="n">
        <v>14</v>
      </c>
      <c r="D37" s="56" t="inlineStr">
        <is>
          <t>All landing pages</t>
        </is>
      </c>
      <c r="E37" s="56" t="inlineStr">
        <is>
          <t>Paid Search</t>
        </is>
      </c>
      <c r="F37" s="56" t="inlineStr">
        <is>
          <t>Mobile</t>
        </is>
      </c>
      <c r="G37" s="56" t="inlineStr">
        <is>
          <t>Poland</t>
        </is>
      </c>
      <c r="H37" s="56" t="n">
        <v>8</v>
      </c>
      <c r="I37" s="56" t="inlineStr">
        <is>
          <t>Start Search</t>
        </is>
      </c>
      <c r="J37" s="56" t="inlineStr">
        <is>
          <t>1-23 August 2026</t>
        </is>
      </c>
      <c r="K37" s="57" t="n">
        <v>3202</v>
      </c>
      <c r="L37" s="56" t="inlineStr">
        <is>
          <t>Visit→Engagement 1-23 August 2026</t>
        </is>
      </c>
      <c r="M37" s="40">
        <f>IF(Countries!J14="","STILL MISSING","Filled ✓")</f>
        <v/>
      </c>
    </row>
    <row r="38">
      <c r="A38" s="40" t="inlineStr">
        <is>
          <t>Countries</t>
        </is>
      </c>
      <c r="B38" s="40" t="inlineStr">
        <is>
          <t>AR59</t>
        </is>
      </c>
      <c r="C38" s="40" t="n">
        <v>59</v>
      </c>
      <c r="D38" s="40" t="inlineStr">
        <is>
          <t>All landing pages</t>
        </is>
      </c>
      <c r="E38" s="40" t="inlineStr">
        <is>
          <t>Organic</t>
        </is>
      </c>
      <c r="F38" s="40" t="inlineStr">
        <is>
          <t>Desktop</t>
        </is>
      </c>
      <c r="G38" s="40" t="inlineStr">
        <is>
          <t>Poland</t>
        </is>
      </c>
      <c r="H38" s="40" t="n">
        <v>8</v>
      </c>
      <c r="I38" s="40" t="inlineStr">
        <is>
          <t>Purchases</t>
        </is>
      </c>
      <c r="J38" s="40" t="inlineStr">
        <is>
          <t>1-23 August 2025</t>
        </is>
      </c>
      <c r="K38" s="55" t="n">
        <v>1163</v>
      </c>
      <c r="L38" s="40" t="inlineStr">
        <is>
          <t>CR 1-23 August 2025 + Search→Booking 1-23 August 2025</t>
        </is>
      </c>
      <c r="M38" s="40">
        <f>IF(Countries!AR59="","STILL MISSING","Filled ✓")</f>
        <v/>
      </c>
    </row>
    <row r="39">
      <c r="A39" s="56" t="inlineStr">
        <is>
          <t>Countries</t>
        </is>
      </c>
      <c r="B39" s="56" t="inlineStr">
        <is>
          <t>AS59</t>
        </is>
      </c>
      <c r="C39" s="56" t="n">
        <v>59</v>
      </c>
      <c r="D39" s="56" t="inlineStr">
        <is>
          <t>All landing pages</t>
        </is>
      </c>
      <c r="E39" s="56" t="inlineStr">
        <is>
          <t>Organic</t>
        </is>
      </c>
      <c r="F39" s="56" t="inlineStr">
        <is>
          <t>Desktop</t>
        </is>
      </c>
      <c r="G39" s="56" t="inlineStr">
        <is>
          <t>Poland</t>
        </is>
      </c>
      <c r="H39" s="56" t="n">
        <v>8</v>
      </c>
      <c r="I39" s="56" t="inlineStr">
        <is>
          <t>Purchases</t>
        </is>
      </c>
      <c r="J39" s="56" t="inlineStr">
        <is>
          <t>1-23 August 2026</t>
        </is>
      </c>
      <c r="K39" s="57" t="n">
        <v>1163</v>
      </c>
      <c r="L39" s="56" t="inlineStr">
        <is>
          <t>CR 1-23 August 2026 + Search→Booking 1-23 August 2026</t>
        </is>
      </c>
      <c r="M39" s="40">
        <f>IF(Countries!AS59="","STILL MISSING","Filled ✓")</f>
        <v/>
      </c>
    </row>
    <row r="40">
      <c r="A40" s="40" t="inlineStr">
        <is>
          <t>Countries</t>
        </is>
      </c>
      <c r="B40" s="40" t="inlineStr">
        <is>
          <t>W59</t>
        </is>
      </c>
      <c r="C40" s="40" t="n">
        <v>59</v>
      </c>
      <c r="D40" s="40" t="inlineStr">
        <is>
          <t>All landing pages</t>
        </is>
      </c>
      <c r="E40" s="40" t="inlineStr">
        <is>
          <t>Organic</t>
        </is>
      </c>
      <c r="F40" s="40" t="inlineStr">
        <is>
          <t>Desktop</t>
        </is>
      </c>
      <c r="G40" s="40" t="inlineStr">
        <is>
          <t>Poland</t>
        </is>
      </c>
      <c r="H40" s="40" t="n">
        <v>8</v>
      </c>
      <c r="I40" s="40" t="inlineStr">
        <is>
          <t>Select item</t>
        </is>
      </c>
      <c r="J40" s="40" t="inlineStr">
        <is>
          <t>1-23 August 2025</t>
        </is>
      </c>
      <c r="K40" s="55" t="n">
        <v>1163</v>
      </c>
      <c r="L40" s="40" t="inlineStr">
        <is>
          <t>Search→Select 1-23 August 2025</t>
        </is>
      </c>
      <c r="M40" s="40">
        <f>IF(Countries!W59="","STILL MISSING","Filled ✓")</f>
        <v/>
      </c>
    </row>
    <row r="41">
      <c r="A41" s="56" t="inlineStr">
        <is>
          <t>Countries</t>
        </is>
      </c>
      <c r="B41" s="56" t="inlineStr">
        <is>
          <t>X59</t>
        </is>
      </c>
      <c r="C41" s="56" t="n">
        <v>59</v>
      </c>
      <c r="D41" s="56" t="inlineStr">
        <is>
          <t>All landing pages</t>
        </is>
      </c>
      <c r="E41" s="56" t="inlineStr">
        <is>
          <t>Organic</t>
        </is>
      </c>
      <c r="F41" s="56" t="inlineStr">
        <is>
          <t>Desktop</t>
        </is>
      </c>
      <c r="G41" s="56" t="inlineStr">
        <is>
          <t>Poland</t>
        </is>
      </c>
      <c r="H41" s="56" t="n">
        <v>8</v>
      </c>
      <c r="I41" s="56" t="inlineStr">
        <is>
          <t>Select item</t>
        </is>
      </c>
      <c r="J41" s="56" t="inlineStr">
        <is>
          <t>1-23 August 2026</t>
        </is>
      </c>
      <c r="K41" s="57" t="n">
        <v>1163</v>
      </c>
      <c r="L41" s="56" t="inlineStr">
        <is>
          <t>Search→Select 1-23 August 2026</t>
        </is>
      </c>
      <c r="M41" s="40">
        <f>IF(Countries!X59="","STILL MISSING","Filled ✓")</f>
        <v/>
      </c>
    </row>
    <row r="42">
      <c r="A42" s="40" t="inlineStr">
        <is>
          <t>Countries</t>
        </is>
      </c>
      <c r="B42" s="40" t="inlineStr">
        <is>
          <t>I59</t>
        </is>
      </c>
      <c r="C42" s="40" t="n">
        <v>59</v>
      </c>
      <c r="D42" s="40" t="inlineStr">
        <is>
          <t>All landing pages</t>
        </is>
      </c>
      <c r="E42" s="40" t="inlineStr">
        <is>
          <t>Organic</t>
        </is>
      </c>
      <c r="F42" s="40" t="inlineStr">
        <is>
          <t>Desktop</t>
        </is>
      </c>
      <c r="G42" s="40" t="inlineStr">
        <is>
          <t>Poland</t>
        </is>
      </c>
      <c r="H42" s="40" t="n">
        <v>8</v>
      </c>
      <c r="I42" s="40" t="inlineStr">
        <is>
          <t>Start Search</t>
        </is>
      </c>
      <c r="J42" s="40" t="inlineStr">
        <is>
          <t>1-23 August 2025</t>
        </is>
      </c>
      <c r="K42" s="55" t="n">
        <v>1163</v>
      </c>
      <c r="L42" s="40" t="inlineStr">
        <is>
          <t>Visit→Engagement 1-23 August 2025</t>
        </is>
      </c>
      <c r="M42" s="40">
        <f>IF(Countries!I59="","STILL MISSING","Filled ✓")</f>
        <v/>
      </c>
    </row>
    <row r="43">
      <c r="A43" s="56" t="inlineStr">
        <is>
          <t>Countries</t>
        </is>
      </c>
      <c r="B43" s="56" t="inlineStr">
        <is>
          <t>J59</t>
        </is>
      </c>
      <c r="C43" s="56" t="n">
        <v>59</v>
      </c>
      <c r="D43" s="56" t="inlineStr">
        <is>
          <t>All landing pages</t>
        </is>
      </c>
      <c r="E43" s="56" t="inlineStr">
        <is>
          <t>Organic</t>
        </is>
      </c>
      <c r="F43" s="56" t="inlineStr">
        <is>
          <t>Desktop</t>
        </is>
      </c>
      <c r="G43" s="56" t="inlineStr">
        <is>
          <t>Poland</t>
        </is>
      </c>
      <c r="H43" s="56" t="n">
        <v>8</v>
      </c>
      <c r="I43" s="56" t="inlineStr">
        <is>
          <t>Start Search</t>
        </is>
      </c>
      <c r="J43" s="56" t="inlineStr">
        <is>
          <t>1-23 August 2026</t>
        </is>
      </c>
      <c r="K43" s="57" t="n">
        <v>1163</v>
      </c>
      <c r="L43" s="56" t="inlineStr">
        <is>
          <t>Visit→Engagement 1-23 August 2026</t>
        </is>
      </c>
      <c r="M43" s="40">
        <f>IF(Countries!J59="","STILL MISSING","Filled ✓")</f>
        <v/>
      </c>
    </row>
    <row r="44">
      <c r="A44" s="40" t="inlineStr">
        <is>
          <t>Countries</t>
        </is>
      </c>
      <c r="B44" s="40" t="inlineStr">
        <is>
          <t>AR41</t>
        </is>
      </c>
      <c r="C44" s="40" t="n">
        <v>41</v>
      </c>
      <c r="D44" s="40" t="inlineStr">
        <is>
          <t>All landing pages</t>
        </is>
      </c>
      <c r="E44" s="40" t="inlineStr">
        <is>
          <t>Organic</t>
        </is>
      </c>
      <c r="F44" s="40" t="inlineStr">
        <is>
          <t>Mobile</t>
        </is>
      </c>
      <c r="G44" s="40" t="inlineStr">
        <is>
          <t>Poland</t>
        </is>
      </c>
      <c r="H44" s="40" t="n">
        <v>8</v>
      </c>
      <c r="I44" s="40" t="inlineStr">
        <is>
          <t>Purchases</t>
        </is>
      </c>
      <c r="J44" s="40" t="inlineStr">
        <is>
          <t>1-23 August 2025</t>
        </is>
      </c>
      <c r="K44" s="55" t="n">
        <v>2316</v>
      </c>
      <c r="L44" s="40" t="inlineStr">
        <is>
          <t>CR 1-23 August 2025 + Search→Booking 1-23 August 2025</t>
        </is>
      </c>
      <c r="M44" s="40">
        <f>IF(Countries!AR41="","STILL MISSING","Filled ✓")</f>
        <v/>
      </c>
    </row>
    <row r="45">
      <c r="A45" s="56" t="inlineStr">
        <is>
          <t>Countries</t>
        </is>
      </c>
      <c r="B45" s="56" t="inlineStr">
        <is>
          <t>AS41</t>
        </is>
      </c>
      <c r="C45" s="56" t="n">
        <v>41</v>
      </c>
      <c r="D45" s="56" t="inlineStr">
        <is>
          <t>All landing pages</t>
        </is>
      </c>
      <c r="E45" s="56" t="inlineStr">
        <is>
          <t>Organic</t>
        </is>
      </c>
      <c r="F45" s="56" t="inlineStr">
        <is>
          <t>Mobile</t>
        </is>
      </c>
      <c r="G45" s="56" t="inlineStr">
        <is>
          <t>Poland</t>
        </is>
      </c>
      <c r="H45" s="56" t="n">
        <v>8</v>
      </c>
      <c r="I45" s="56" t="inlineStr">
        <is>
          <t>Purchases</t>
        </is>
      </c>
      <c r="J45" s="56" t="inlineStr">
        <is>
          <t>1-23 August 2026</t>
        </is>
      </c>
      <c r="K45" s="57" t="n">
        <v>2316</v>
      </c>
      <c r="L45" s="56" t="inlineStr">
        <is>
          <t>CR 1-23 August 2026 + Search→Booking 1-23 August 2026</t>
        </is>
      </c>
      <c r="M45" s="40">
        <f>IF(Countries!AS41="","STILL MISSING","Filled ✓")</f>
        <v/>
      </c>
    </row>
    <row r="46">
      <c r="A46" s="40" t="inlineStr">
        <is>
          <t>Countries</t>
        </is>
      </c>
      <c r="B46" s="40" t="inlineStr">
        <is>
          <t>W41</t>
        </is>
      </c>
      <c r="C46" s="40" t="n">
        <v>41</v>
      </c>
      <c r="D46" s="40" t="inlineStr">
        <is>
          <t>All landing pages</t>
        </is>
      </c>
      <c r="E46" s="40" t="inlineStr">
        <is>
          <t>Organic</t>
        </is>
      </c>
      <c r="F46" s="40" t="inlineStr">
        <is>
          <t>Mobile</t>
        </is>
      </c>
      <c r="G46" s="40" t="inlineStr">
        <is>
          <t>Poland</t>
        </is>
      </c>
      <c r="H46" s="40" t="n">
        <v>8</v>
      </c>
      <c r="I46" s="40" t="inlineStr">
        <is>
          <t>Select item</t>
        </is>
      </c>
      <c r="J46" s="40" t="inlineStr">
        <is>
          <t>1-23 August 2025</t>
        </is>
      </c>
      <c r="K46" s="55" t="n">
        <v>2316</v>
      </c>
      <c r="L46" s="40" t="inlineStr">
        <is>
          <t>Search→Select 1-23 August 2025</t>
        </is>
      </c>
      <c r="M46" s="40">
        <f>IF(Countries!W41="","STILL MISSING","Filled ✓")</f>
        <v/>
      </c>
    </row>
    <row r="47">
      <c r="A47" s="56" t="inlineStr">
        <is>
          <t>Countries</t>
        </is>
      </c>
      <c r="B47" s="56" t="inlineStr">
        <is>
          <t>X41</t>
        </is>
      </c>
      <c r="C47" s="56" t="n">
        <v>41</v>
      </c>
      <c r="D47" s="56" t="inlineStr">
        <is>
          <t>All landing pages</t>
        </is>
      </c>
      <c r="E47" s="56" t="inlineStr">
        <is>
          <t>Organic</t>
        </is>
      </c>
      <c r="F47" s="56" t="inlineStr">
        <is>
          <t>Mobile</t>
        </is>
      </c>
      <c r="G47" s="56" t="inlineStr">
        <is>
          <t>Poland</t>
        </is>
      </c>
      <c r="H47" s="56" t="n">
        <v>8</v>
      </c>
      <c r="I47" s="56" t="inlineStr">
        <is>
          <t>Select item</t>
        </is>
      </c>
      <c r="J47" s="56" t="inlineStr">
        <is>
          <t>1-23 August 2026</t>
        </is>
      </c>
      <c r="K47" s="57" t="n">
        <v>2316</v>
      </c>
      <c r="L47" s="56" t="inlineStr">
        <is>
          <t>Search→Select 1-23 August 2026</t>
        </is>
      </c>
      <c r="M47" s="40">
        <f>IF(Countries!X41="","STILL MISSING","Filled ✓")</f>
        <v/>
      </c>
    </row>
    <row r="48">
      <c r="A48" s="40" t="inlineStr">
        <is>
          <t>Countries</t>
        </is>
      </c>
      <c r="B48" s="40" t="inlineStr">
        <is>
          <t>I41</t>
        </is>
      </c>
      <c r="C48" s="40" t="n">
        <v>41</v>
      </c>
      <c r="D48" s="40" t="inlineStr">
        <is>
          <t>All landing pages</t>
        </is>
      </c>
      <c r="E48" s="40" t="inlineStr">
        <is>
          <t>Organic</t>
        </is>
      </c>
      <c r="F48" s="40" t="inlineStr">
        <is>
          <t>Mobile</t>
        </is>
      </c>
      <c r="G48" s="40" t="inlineStr">
        <is>
          <t>Poland</t>
        </is>
      </c>
      <c r="H48" s="40" t="n">
        <v>8</v>
      </c>
      <c r="I48" s="40" t="inlineStr">
        <is>
          <t>Start Search</t>
        </is>
      </c>
      <c r="J48" s="40" t="inlineStr">
        <is>
          <t>1-23 August 2025</t>
        </is>
      </c>
      <c r="K48" s="55" t="n">
        <v>2316</v>
      </c>
      <c r="L48" s="40" t="inlineStr">
        <is>
          <t>Visit→Engagement 1-23 August 2025</t>
        </is>
      </c>
      <c r="M48" s="40">
        <f>IF(Countries!I41="","STILL MISSING","Filled ✓")</f>
        <v/>
      </c>
    </row>
    <row r="49">
      <c r="A49" s="56" t="inlineStr">
        <is>
          <t>Countries</t>
        </is>
      </c>
      <c r="B49" s="56" t="inlineStr">
        <is>
          <t>J41</t>
        </is>
      </c>
      <c r="C49" s="56" t="n">
        <v>41</v>
      </c>
      <c r="D49" s="56" t="inlineStr">
        <is>
          <t>All landing pages</t>
        </is>
      </c>
      <c r="E49" s="56" t="inlineStr">
        <is>
          <t>Organic</t>
        </is>
      </c>
      <c r="F49" s="56" t="inlineStr">
        <is>
          <t>Mobile</t>
        </is>
      </c>
      <c r="G49" s="56" t="inlineStr">
        <is>
          <t>Poland</t>
        </is>
      </c>
      <c r="H49" s="56" t="n">
        <v>8</v>
      </c>
      <c r="I49" s="56" t="inlineStr">
        <is>
          <t>Start Search</t>
        </is>
      </c>
      <c r="J49" s="56" t="inlineStr">
        <is>
          <t>1-23 August 2026</t>
        </is>
      </c>
      <c r="K49" s="57" t="n">
        <v>2316</v>
      </c>
      <c r="L49" s="56" t="inlineStr">
        <is>
          <t>Visit→Engagement 1-23 August 2026</t>
        </is>
      </c>
      <c r="M49" s="40">
        <f>IF(Countries!J41="","STILL MISSING","Filled ✓")</f>
        <v/>
      </c>
    </row>
    <row r="50">
      <c r="A50" s="40" t="inlineStr">
        <is>
          <t>Countries</t>
        </is>
      </c>
      <c r="B50" s="40" t="inlineStr">
        <is>
          <t>AR98</t>
        </is>
      </c>
      <c r="C50" s="40" t="n">
        <v>98</v>
      </c>
      <c r="D50" s="40" t="inlineStr">
        <is>
          <t>All landing pages</t>
        </is>
      </c>
      <c r="E50" s="40" t="inlineStr">
        <is>
          <t>Direct</t>
        </is>
      </c>
      <c r="F50" s="40" t="inlineStr">
        <is>
          <t>Desktop</t>
        </is>
      </c>
      <c r="G50" s="40" t="inlineStr">
        <is>
          <t>Poland</t>
        </is>
      </c>
      <c r="H50" s="40" t="n">
        <v>8</v>
      </c>
      <c r="I50" s="40" t="inlineStr">
        <is>
          <t>Purchases</t>
        </is>
      </c>
      <c r="J50" s="40" t="inlineStr">
        <is>
          <t>1-23 August 2025</t>
        </is>
      </c>
      <c r="K50" s="55" t="n">
        <v>906</v>
      </c>
      <c r="L50" s="40" t="inlineStr">
        <is>
          <t>CR 1-23 August 2025 + Search→Booking 1-23 August 2025</t>
        </is>
      </c>
      <c r="M50" s="40">
        <f>IF(Countries!AR98="","STILL MISSING","Filled ✓")</f>
        <v/>
      </c>
    </row>
    <row r="51">
      <c r="A51" s="56" t="inlineStr">
        <is>
          <t>Countries</t>
        </is>
      </c>
      <c r="B51" s="56" t="inlineStr">
        <is>
          <t>AS98</t>
        </is>
      </c>
      <c r="C51" s="56" t="n">
        <v>98</v>
      </c>
      <c r="D51" s="56" t="inlineStr">
        <is>
          <t>All landing pages</t>
        </is>
      </c>
      <c r="E51" s="56" t="inlineStr">
        <is>
          <t>Direct</t>
        </is>
      </c>
      <c r="F51" s="56" t="inlineStr">
        <is>
          <t>Desktop</t>
        </is>
      </c>
      <c r="G51" s="56" t="inlineStr">
        <is>
          <t>Poland</t>
        </is>
      </c>
      <c r="H51" s="56" t="n">
        <v>8</v>
      </c>
      <c r="I51" s="56" t="inlineStr">
        <is>
          <t>Purchases</t>
        </is>
      </c>
      <c r="J51" s="56" t="inlineStr">
        <is>
          <t>1-23 August 2026</t>
        </is>
      </c>
      <c r="K51" s="57" t="n">
        <v>906</v>
      </c>
      <c r="L51" s="56" t="inlineStr">
        <is>
          <t>CR 1-23 August 2026 + Search→Booking 1-23 August 2026</t>
        </is>
      </c>
      <c r="M51" s="40">
        <f>IF(Countries!AS98="","STILL MISSING","Filled ✓")</f>
        <v/>
      </c>
    </row>
    <row r="52">
      <c r="A52" s="40" t="inlineStr">
        <is>
          <t>Countries</t>
        </is>
      </c>
      <c r="B52" s="40" t="inlineStr">
        <is>
          <t>W98</t>
        </is>
      </c>
      <c r="C52" s="40" t="n">
        <v>98</v>
      </c>
      <c r="D52" s="40" t="inlineStr">
        <is>
          <t>All landing pages</t>
        </is>
      </c>
      <c r="E52" s="40" t="inlineStr">
        <is>
          <t>Direct</t>
        </is>
      </c>
      <c r="F52" s="40" t="inlineStr">
        <is>
          <t>Desktop</t>
        </is>
      </c>
      <c r="G52" s="40" t="inlineStr">
        <is>
          <t>Poland</t>
        </is>
      </c>
      <c r="H52" s="40" t="n">
        <v>8</v>
      </c>
      <c r="I52" s="40" t="inlineStr">
        <is>
          <t>Select item</t>
        </is>
      </c>
      <c r="J52" s="40" t="inlineStr">
        <is>
          <t>1-23 August 2025</t>
        </is>
      </c>
      <c r="K52" s="55" t="n">
        <v>906</v>
      </c>
      <c r="L52" s="40" t="inlineStr">
        <is>
          <t>Search→Select 1-23 August 2025</t>
        </is>
      </c>
      <c r="M52" s="40">
        <f>IF(Countries!W98="","STILL MISSING","Filled ✓")</f>
        <v/>
      </c>
    </row>
    <row r="53">
      <c r="A53" s="56" t="inlineStr">
        <is>
          <t>Countries</t>
        </is>
      </c>
      <c r="B53" s="56" t="inlineStr">
        <is>
          <t>X98</t>
        </is>
      </c>
      <c r="C53" s="56" t="n">
        <v>98</v>
      </c>
      <c r="D53" s="56" t="inlineStr">
        <is>
          <t>All landing pages</t>
        </is>
      </c>
      <c r="E53" s="56" t="inlineStr">
        <is>
          <t>Direct</t>
        </is>
      </c>
      <c r="F53" s="56" t="inlineStr">
        <is>
          <t>Desktop</t>
        </is>
      </c>
      <c r="G53" s="56" t="inlineStr">
        <is>
          <t>Poland</t>
        </is>
      </c>
      <c r="H53" s="56" t="n">
        <v>8</v>
      </c>
      <c r="I53" s="56" t="inlineStr">
        <is>
          <t>Select item</t>
        </is>
      </c>
      <c r="J53" s="56" t="inlineStr">
        <is>
          <t>1-23 August 2026</t>
        </is>
      </c>
      <c r="K53" s="57" t="n">
        <v>906</v>
      </c>
      <c r="L53" s="56" t="inlineStr">
        <is>
          <t>Search→Select 1-23 August 2026</t>
        </is>
      </c>
      <c r="M53" s="40">
        <f>IF(Countries!X98="","STILL MISSING","Filled ✓")</f>
        <v/>
      </c>
    </row>
    <row r="54">
      <c r="A54" s="40" t="inlineStr">
        <is>
          <t>Countries</t>
        </is>
      </c>
      <c r="B54" s="40" t="inlineStr">
        <is>
          <t>I98</t>
        </is>
      </c>
      <c r="C54" s="40" t="n">
        <v>98</v>
      </c>
      <c r="D54" s="40" t="inlineStr">
        <is>
          <t>All landing pages</t>
        </is>
      </c>
      <c r="E54" s="40" t="inlineStr">
        <is>
          <t>Direct</t>
        </is>
      </c>
      <c r="F54" s="40" t="inlineStr">
        <is>
          <t>Desktop</t>
        </is>
      </c>
      <c r="G54" s="40" t="inlineStr">
        <is>
          <t>Poland</t>
        </is>
      </c>
      <c r="H54" s="40" t="n">
        <v>8</v>
      </c>
      <c r="I54" s="40" t="inlineStr">
        <is>
          <t>Start Search</t>
        </is>
      </c>
      <c r="J54" s="40" t="inlineStr">
        <is>
          <t>1-23 August 2025</t>
        </is>
      </c>
      <c r="K54" s="55" t="n">
        <v>906</v>
      </c>
      <c r="L54" s="40" t="inlineStr">
        <is>
          <t>Visit→Engagement 1-23 August 2025</t>
        </is>
      </c>
      <c r="M54" s="40">
        <f>IF(Countries!I98="","STILL MISSING","Filled ✓")</f>
        <v/>
      </c>
    </row>
    <row r="55">
      <c r="A55" s="56" t="inlineStr">
        <is>
          <t>Countries</t>
        </is>
      </c>
      <c r="B55" s="56" t="inlineStr">
        <is>
          <t>J98</t>
        </is>
      </c>
      <c r="C55" s="56" t="n">
        <v>98</v>
      </c>
      <c r="D55" s="56" t="inlineStr">
        <is>
          <t>All landing pages</t>
        </is>
      </c>
      <c r="E55" s="56" t="inlineStr">
        <is>
          <t>Direct</t>
        </is>
      </c>
      <c r="F55" s="56" t="inlineStr">
        <is>
          <t>Desktop</t>
        </is>
      </c>
      <c r="G55" s="56" t="inlineStr">
        <is>
          <t>Poland</t>
        </is>
      </c>
      <c r="H55" s="56" t="n">
        <v>8</v>
      </c>
      <c r="I55" s="56" t="inlineStr">
        <is>
          <t>Start Search</t>
        </is>
      </c>
      <c r="J55" s="56" t="inlineStr">
        <is>
          <t>1-23 August 2026</t>
        </is>
      </c>
      <c r="K55" s="57" t="n">
        <v>906</v>
      </c>
      <c r="L55" s="56" t="inlineStr">
        <is>
          <t>Visit→Engagement 1-23 August 2026</t>
        </is>
      </c>
      <c r="M55" s="40">
        <f>IF(Countries!J98="","STILL MISSING","Filled ✓")</f>
        <v/>
      </c>
    </row>
    <row r="56">
      <c r="A56" s="40" t="inlineStr">
        <is>
          <t>Countries</t>
        </is>
      </c>
      <c r="B56" s="40" t="inlineStr">
        <is>
          <t>AR82</t>
        </is>
      </c>
      <c r="C56" s="40" t="n">
        <v>82</v>
      </c>
      <c r="D56" s="40" t="inlineStr">
        <is>
          <t>All landing pages</t>
        </is>
      </c>
      <c r="E56" s="40" t="inlineStr">
        <is>
          <t>Direct</t>
        </is>
      </c>
      <c r="F56" s="40" t="inlineStr">
        <is>
          <t>Mobile</t>
        </is>
      </c>
      <c r="G56" s="40" t="inlineStr">
        <is>
          <t>Poland</t>
        </is>
      </c>
      <c r="H56" s="40" t="n">
        <v>8</v>
      </c>
      <c r="I56" s="40" t="inlineStr">
        <is>
          <t>Purchases</t>
        </is>
      </c>
      <c r="J56" s="40" t="inlineStr">
        <is>
          <t>1-23 August 2025</t>
        </is>
      </c>
      <c r="K56" s="55" t="n">
        <v>412</v>
      </c>
      <c r="L56" s="40" t="inlineStr">
        <is>
          <t>CR 1-23 August 2025 + Search→Booking 1-23 August 2025</t>
        </is>
      </c>
      <c r="M56" s="40">
        <f>IF(Countries!AR82="","STILL MISSING","Filled ✓")</f>
        <v/>
      </c>
    </row>
    <row r="57">
      <c r="A57" s="56" t="inlineStr">
        <is>
          <t>Countries</t>
        </is>
      </c>
      <c r="B57" s="56" t="inlineStr">
        <is>
          <t>AS82</t>
        </is>
      </c>
      <c r="C57" s="56" t="n">
        <v>82</v>
      </c>
      <c r="D57" s="56" t="inlineStr">
        <is>
          <t>All landing pages</t>
        </is>
      </c>
      <c r="E57" s="56" t="inlineStr">
        <is>
          <t>Direct</t>
        </is>
      </c>
      <c r="F57" s="56" t="inlineStr">
        <is>
          <t>Mobile</t>
        </is>
      </c>
      <c r="G57" s="56" t="inlineStr">
        <is>
          <t>Poland</t>
        </is>
      </c>
      <c r="H57" s="56" t="n">
        <v>8</v>
      </c>
      <c r="I57" s="56" t="inlineStr">
        <is>
          <t>Purchases</t>
        </is>
      </c>
      <c r="J57" s="56" t="inlineStr">
        <is>
          <t>1-23 August 2026</t>
        </is>
      </c>
      <c r="K57" s="57" t="n">
        <v>412</v>
      </c>
      <c r="L57" s="56" t="inlineStr">
        <is>
          <t>CR 1-23 August 2026 + Search→Booking 1-23 August 2026</t>
        </is>
      </c>
      <c r="M57" s="40">
        <f>IF(Countries!AS82="","STILL MISSING","Filled ✓")</f>
        <v/>
      </c>
    </row>
    <row r="58">
      <c r="A58" s="40" t="inlineStr">
        <is>
          <t>Countries</t>
        </is>
      </c>
      <c r="B58" s="40" t="inlineStr">
        <is>
          <t>W82</t>
        </is>
      </c>
      <c r="C58" s="40" t="n">
        <v>82</v>
      </c>
      <c r="D58" s="40" t="inlineStr">
        <is>
          <t>All landing pages</t>
        </is>
      </c>
      <c r="E58" s="40" t="inlineStr">
        <is>
          <t>Direct</t>
        </is>
      </c>
      <c r="F58" s="40" t="inlineStr">
        <is>
          <t>Mobile</t>
        </is>
      </c>
      <c r="G58" s="40" t="inlineStr">
        <is>
          <t>Poland</t>
        </is>
      </c>
      <c r="H58" s="40" t="n">
        <v>8</v>
      </c>
      <c r="I58" s="40" t="inlineStr">
        <is>
          <t>Select item</t>
        </is>
      </c>
      <c r="J58" s="40" t="inlineStr">
        <is>
          <t>1-23 August 2025</t>
        </is>
      </c>
      <c r="K58" s="55" t="n">
        <v>412</v>
      </c>
      <c r="L58" s="40" t="inlineStr">
        <is>
          <t>Search→Select 1-23 August 2025</t>
        </is>
      </c>
      <c r="M58" s="40">
        <f>IF(Countries!W82="","STILL MISSING","Filled ✓")</f>
        <v/>
      </c>
    </row>
    <row r="59">
      <c r="A59" s="56" t="inlineStr">
        <is>
          <t>Countries</t>
        </is>
      </c>
      <c r="B59" s="56" t="inlineStr">
        <is>
          <t>X82</t>
        </is>
      </c>
      <c r="C59" s="56" t="n">
        <v>82</v>
      </c>
      <c r="D59" s="56" t="inlineStr">
        <is>
          <t>All landing pages</t>
        </is>
      </c>
      <c r="E59" s="56" t="inlineStr">
        <is>
          <t>Direct</t>
        </is>
      </c>
      <c r="F59" s="56" t="inlineStr">
        <is>
          <t>Mobile</t>
        </is>
      </c>
      <c r="G59" s="56" t="inlineStr">
        <is>
          <t>Poland</t>
        </is>
      </c>
      <c r="H59" s="56" t="n">
        <v>8</v>
      </c>
      <c r="I59" s="56" t="inlineStr">
        <is>
          <t>Select item</t>
        </is>
      </c>
      <c r="J59" s="56" t="inlineStr">
        <is>
          <t>1-23 August 2026</t>
        </is>
      </c>
      <c r="K59" s="57" t="n">
        <v>412</v>
      </c>
      <c r="L59" s="56" t="inlineStr">
        <is>
          <t>Search→Select 1-23 August 2026</t>
        </is>
      </c>
      <c r="M59" s="40">
        <f>IF(Countries!X82="","STILL MISSING","Filled ✓")</f>
        <v/>
      </c>
    </row>
    <row r="60">
      <c r="A60" s="40" t="inlineStr">
        <is>
          <t>Countries</t>
        </is>
      </c>
      <c r="B60" s="40" t="inlineStr">
        <is>
          <t>I82</t>
        </is>
      </c>
      <c r="C60" s="40" t="n">
        <v>82</v>
      </c>
      <c r="D60" s="40" t="inlineStr">
        <is>
          <t>All landing pages</t>
        </is>
      </c>
      <c r="E60" s="40" t="inlineStr">
        <is>
          <t>Direct</t>
        </is>
      </c>
      <c r="F60" s="40" t="inlineStr">
        <is>
          <t>Mobile</t>
        </is>
      </c>
      <c r="G60" s="40" t="inlineStr">
        <is>
          <t>Poland</t>
        </is>
      </c>
      <c r="H60" s="40" t="n">
        <v>8</v>
      </c>
      <c r="I60" s="40" t="inlineStr">
        <is>
          <t>Start Search</t>
        </is>
      </c>
      <c r="J60" s="40" t="inlineStr">
        <is>
          <t>1-23 August 2025</t>
        </is>
      </c>
      <c r="K60" s="55" t="n">
        <v>412</v>
      </c>
      <c r="L60" s="40" t="inlineStr">
        <is>
          <t>Visit→Engagement 1-23 August 2025</t>
        </is>
      </c>
      <c r="M60" s="40">
        <f>IF(Countries!I82="","STILL MISSING","Filled ✓")</f>
        <v/>
      </c>
    </row>
    <row r="61">
      <c r="A61" s="56" t="inlineStr">
        <is>
          <t>Countries</t>
        </is>
      </c>
      <c r="B61" s="56" t="inlineStr">
        <is>
          <t>J82</t>
        </is>
      </c>
      <c r="C61" s="56" t="n">
        <v>82</v>
      </c>
      <c r="D61" s="56" t="inlineStr">
        <is>
          <t>All landing pages</t>
        </is>
      </c>
      <c r="E61" s="56" t="inlineStr">
        <is>
          <t>Direct</t>
        </is>
      </c>
      <c r="F61" s="56" t="inlineStr">
        <is>
          <t>Mobile</t>
        </is>
      </c>
      <c r="G61" s="56" t="inlineStr">
        <is>
          <t>Poland</t>
        </is>
      </c>
      <c r="H61" s="56" t="n">
        <v>8</v>
      </c>
      <c r="I61" s="56" t="inlineStr">
        <is>
          <t>Start Search</t>
        </is>
      </c>
      <c r="J61" s="56" t="inlineStr">
        <is>
          <t>1-23 August 2026</t>
        </is>
      </c>
      <c r="K61" s="57" t="n">
        <v>412</v>
      </c>
      <c r="L61" s="56" t="inlineStr">
        <is>
          <t>Visit→Engagement 1-23 August 2026</t>
        </is>
      </c>
      <c r="M61" s="40">
        <f>IF(Countries!J82="","STILL MISSING","Filled ✓")</f>
        <v/>
      </c>
    </row>
    <row r="62">
      <c r="A62" s="40" t="inlineStr">
        <is>
          <t>Countries</t>
        </is>
      </c>
      <c r="B62" s="40" t="inlineStr">
        <is>
          <t>AR140</t>
        </is>
      </c>
      <c r="C62" s="40" t="n">
        <v>140</v>
      </c>
      <c r="D62" s="40" t="inlineStr">
        <is>
          <t>Home page</t>
        </is>
      </c>
      <c r="E62" s="40" t="inlineStr">
        <is>
          <t>Paid Search</t>
        </is>
      </c>
      <c r="F62" s="40" t="inlineStr">
        <is>
          <t>Desktop</t>
        </is>
      </c>
      <c r="G62" s="40" t="inlineStr">
        <is>
          <t>Poland</t>
        </is>
      </c>
      <c r="H62" s="40" t="n">
        <v>8</v>
      </c>
      <c r="I62" s="40" t="inlineStr">
        <is>
          <t>Purchases</t>
        </is>
      </c>
      <c r="J62" s="40" t="inlineStr">
        <is>
          <t>1-23 August 2025</t>
        </is>
      </c>
      <c r="K62" s="55" t="n">
        <v>1030</v>
      </c>
      <c r="L62" s="40" t="inlineStr">
        <is>
          <t>Search→Booking 1-23 August 2025</t>
        </is>
      </c>
      <c r="M62" s="40">
        <f>IF(Countries!AR140="","STILL MISSING","Filled ✓")</f>
        <v/>
      </c>
    </row>
    <row r="63">
      <c r="A63" s="56" t="inlineStr">
        <is>
          <t>Countries</t>
        </is>
      </c>
      <c r="B63" s="56" t="inlineStr">
        <is>
          <t>AS140</t>
        </is>
      </c>
      <c r="C63" s="56" t="n">
        <v>140</v>
      </c>
      <c r="D63" s="56" t="inlineStr">
        <is>
          <t>Home page</t>
        </is>
      </c>
      <c r="E63" s="56" t="inlineStr">
        <is>
          <t>Paid Search</t>
        </is>
      </c>
      <c r="F63" s="56" t="inlineStr">
        <is>
          <t>Desktop</t>
        </is>
      </c>
      <c r="G63" s="56" t="inlineStr">
        <is>
          <t>Poland</t>
        </is>
      </c>
      <c r="H63" s="56" t="n">
        <v>8</v>
      </c>
      <c r="I63" s="56" t="inlineStr">
        <is>
          <t>Purchases</t>
        </is>
      </c>
      <c r="J63" s="56" t="inlineStr">
        <is>
          <t>1-23 August 2026</t>
        </is>
      </c>
      <c r="K63" s="57" t="n">
        <v>1030</v>
      </c>
      <c r="L63" s="56" t="inlineStr">
        <is>
          <t>CR 1-23 August 2026 + Search→Booking 1-23 August 2026</t>
        </is>
      </c>
      <c r="M63" s="40">
        <f>IF(Countries!AS140="","STILL MISSING","Filled ✓")</f>
        <v/>
      </c>
    </row>
    <row r="64">
      <c r="A64" s="40" t="inlineStr">
        <is>
          <t>Countries</t>
        </is>
      </c>
      <c r="B64" s="40" t="inlineStr">
        <is>
          <t>W140</t>
        </is>
      </c>
      <c r="C64" s="40" t="n">
        <v>140</v>
      </c>
      <c r="D64" s="40" t="inlineStr">
        <is>
          <t>Home page</t>
        </is>
      </c>
      <c r="E64" s="40" t="inlineStr">
        <is>
          <t>Paid Search</t>
        </is>
      </c>
      <c r="F64" s="40" t="inlineStr">
        <is>
          <t>Desktop</t>
        </is>
      </c>
      <c r="G64" s="40" t="inlineStr">
        <is>
          <t>Poland</t>
        </is>
      </c>
      <c r="H64" s="40" t="n">
        <v>8</v>
      </c>
      <c r="I64" s="40" t="inlineStr">
        <is>
          <t>Select item</t>
        </is>
      </c>
      <c r="J64" s="40" t="inlineStr">
        <is>
          <t>1-23 August 2025</t>
        </is>
      </c>
      <c r="K64" s="55" t="n">
        <v>1030</v>
      </c>
      <c r="L64" s="40" t="inlineStr">
        <is>
          <t>Search→Select 1-23 August 2025</t>
        </is>
      </c>
      <c r="M64" s="40">
        <f>IF(Countries!W140="","STILL MISSING","Filled ✓")</f>
        <v/>
      </c>
    </row>
    <row r="65">
      <c r="A65" s="56" t="inlineStr">
        <is>
          <t>Countries</t>
        </is>
      </c>
      <c r="B65" s="56" t="inlineStr">
        <is>
          <t>X140</t>
        </is>
      </c>
      <c r="C65" s="56" t="n">
        <v>140</v>
      </c>
      <c r="D65" s="56" t="inlineStr">
        <is>
          <t>Home page</t>
        </is>
      </c>
      <c r="E65" s="56" t="inlineStr">
        <is>
          <t>Paid Search</t>
        </is>
      </c>
      <c r="F65" s="56" t="inlineStr">
        <is>
          <t>Desktop</t>
        </is>
      </c>
      <c r="G65" s="56" t="inlineStr">
        <is>
          <t>Poland</t>
        </is>
      </c>
      <c r="H65" s="56" t="n">
        <v>8</v>
      </c>
      <c r="I65" s="56" t="inlineStr">
        <is>
          <t>Select item</t>
        </is>
      </c>
      <c r="J65" s="56" t="inlineStr">
        <is>
          <t>1-23 August 2026</t>
        </is>
      </c>
      <c r="K65" s="57" t="n">
        <v>1030</v>
      </c>
      <c r="L65" s="56" t="inlineStr">
        <is>
          <t>Search→Select 1-23 August 2026</t>
        </is>
      </c>
      <c r="M65" s="40">
        <f>IF(Countries!X140="","STILL MISSING","Filled ✓")</f>
        <v/>
      </c>
    </row>
    <row r="66">
      <c r="A66" s="40" t="inlineStr">
        <is>
          <t>Countries</t>
        </is>
      </c>
      <c r="B66" s="40" t="inlineStr">
        <is>
          <t>E140</t>
        </is>
      </c>
      <c r="C66" s="40" t="n">
        <v>140</v>
      </c>
      <c r="D66" s="40" t="inlineStr">
        <is>
          <t>Home page</t>
        </is>
      </c>
      <c r="E66" s="40" t="inlineStr">
        <is>
          <t>Paid Search</t>
        </is>
      </c>
      <c r="F66" s="40" t="inlineStr">
        <is>
          <t>Desktop</t>
        </is>
      </c>
      <c r="G66" s="40" t="inlineStr">
        <is>
          <t>Poland</t>
        </is>
      </c>
      <c r="H66" s="40" t="n">
        <v>8</v>
      </c>
      <c r="I66" s="40" t="inlineStr">
        <is>
          <t>Sessions</t>
        </is>
      </c>
      <c r="J66" s="40" t="inlineStr">
        <is>
          <t>1-23 August 2025</t>
        </is>
      </c>
      <c r="K66" s="55" t="n">
        <v>1030</v>
      </c>
      <c r="L66" s="40" t="inlineStr">
        <is>
          <t>Sessions YoY + Visit→Search 1-23 August 2025</t>
        </is>
      </c>
      <c r="M66" s="40">
        <f>IF(Countries!E140="","STILL MISSING","Filled ✓")</f>
        <v/>
      </c>
    </row>
    <row r="67">
      <c r="A67" s="56" t="inlineStr">
        <is>
          <t>Countries</t>
        </is>
      </c>
      <c r="B67" s="56" t="inlineStr">
        <is>
          <t>J140</t>
        </is>
      </c>
      <c r="C67" s="56" t="n">
        <v>140</v>
      </c>
      <c r="D67" s="56" t="inlineStr">
        <is>
          <t>Home page</t>
        </is>
      </c>
      <c r="E67" s="56" t="inlineStr">
        <is>
          <t>Paid Search</t>
        </is>
      </c>
      <c r="F67" s="56" t="inlineStr">
        <is>
          <t>Desktop</t>
        </is>
      </c>
      <c r="G67" s="56" t="inlineStr">
        <is>
          <t>Poland</t>
        </is>
      </c>
      <c r="H67" s="56" t="n">
        <v>8</v>
      </c>
      <c r="I67" s="56" t="inlineStr">
        <is>
          <t>Start Search</t>
        </is>
      </c>
      <c r="J67" s="56" t="inlineStr">
        <is>
          <t>1-23 August 2026</t>
        </is>
      </c>
      <c r="K67" s="57" t="n">
        <v>1030</v>
      </c>
      <c r="L67" s="56" t="inlineStr">
        <is>
          <t>Visit→Engagement 1-23 August 2026</t>
        </is>
      </c>
      <c r="M67" s="40">
        <f>IF(Countries!J140="","STILL MISSING","Filled ✓")</f>
        <v/>
      </c>
    </row>
    <row r="68">
      <c r="A68" s="40" t="inlineStr">
        <is>
          <t>Countries</t>
        </is>
      </c>
      <c r="B68" s="40" t="inlineStr">
        <is>
          <t>AS119</t>
        </is>
      </c>
      <c r="C68" s="40" t="n">
        <v>119</v>
      </c>
      <c r="D68" s="40" t="inlineStr">
        <is>
          <t>Home page</t>
        </is>
      </c>
      <c r="E68" s="40" t="inlineStr">
        <is>
          <t>Paid Search</t>
        </is>
      </c>
      <c r="F68" s="40" t="inlineStr">
        <is>
          <t>Mobile</t>
        </is>
      </c>
      <c r="G68" s="40" t="inlineStr">
        <is>
          <t>Poland</t>
        </is>
      </c>
      <c r="H68" s="40" t="n">
        <v>8</v>
      </c>
      <c r="I68" s="40" t="inlineStr">
        <is>
          <t>Purchases</t>
        </is>
      </c>
      <c r="J68" s="40" t="inlineStr">
        <is>
          <t>1-23 August 2026</t>
        </is>
      </c>
      <c r="K68" s="55" t="n">
        <v>1753</v>
      </c>
      <c r="L68" s="40" t="inlineStr">
        <is>
          <t>CR 1-23 August 2026 + Search→Booking 1-23 August 2026</t>
        </is>
      </c>
      <c r="M68" s="40">
        <f>IF(Countries!AS119="","STILL MISSING","Filled ✓")</f>
        <v/>
      </c>
    </row>
    <row r="69">
      <c r="A69" s="56" t="inlineStr">
        <is>
          <t>Countries</t>
        </is>
      </c>
      <c r="B69" s="56" t="inlineStr">
        <is>
          <t>P119</t>
        </is>
      </c>
      <c r="C69" s="56" t="n">
        <v>119</v>
      </c>
      <c r="D69" s="56" t="inlineStr">
        <is>
          <t>Home page</t>
        </is>
      </c>
      <c r="E69" s="56" t="inlineStr">
        <is>
          <t>Paid Search</t>
        </is>
      </c>
      <c r="F69" s="56" t="inlineStr">
        <is>
          <t>Mobile</t>
        </is>
      </c>
      <c r="G69" s="56" t="inlineStr">
        <is>
          <t>Poland</t>
        </is>
      </c>
      <c r="H69" s="56" t="n">
        <v>8</v>
      </c>
      <c r="I69" s="56" t="inlineStr">
        <is>
          <t>Searches</t>
        </is>
      </c>
      <c r="J69" s="56" t="inlineStr">
        <is>
          <t>1-23 August 2025</t>
        </is>
      </c>
      <c r="K69" s="57" t="n">
        <v>1753</v>
      </c>
      <c r="L69" s="56" t="inlineStr">
        <is>
          <t>Searches YoY</t>
        </is>
      </c>
      <c r="M69" s="40">
        <f>IF(Countries!P119="","STILL MISSING","Filled ✓")</f>
        <v/>
      </c>
    </row>
    <row r="70">
      <c r="A70" s="40" t="inlineStr">
        <is>
          <t>Countries</t>
        </is>
      </c>
      <c r="B70" s="40" t="inlineStr">
        <is>
          <t>X119</t>
        </is>
      </c>
      <c r="C70" s="40" t="n">
        <v>119</v>
      </c>
      <c r="D70" s="40" t="inlineStr">
        <is>
          <t>Home page</t>
        </is>
      </c>
      <c r="E70" s="40" t="inlineStr">
        <is>
          <t>Paid Search</t>
        </is>
      </c>
      <c r="F70" s="40" t="inlineStr">
        <is>
          <t>Mobile</t>
        </is>
      </c>
      <c r="G70" s="40" t="inlineStr">
        <is>
          <t>Poland</t>
        </is>
      </c>
      <c r="H70" s="40" t="n">
        <v>8</v>
      </c>
      <c r="I70" s="40" t="inlineStr">
        <is>
          <t>Select item</t>
        </is>
      </c>
      <c r="J70" s="40" t="inlineStr">
        <is>
          <t>1-23 August 2026</t>
        </is>
      </c>
      <c r="K70" s="55" t="n">
        <v>1753</v>
      </c>
      <c r="L70" s="40" t="inlineStr">
        <is>
          <t>Search→Select 1-23 August 2026</t>
        </is>
      </c>
      <c r="M70" s="40">
        <f>IF(Countries!X119="","STILL MISSING","Filled ✓")</f>
        <v/>
      </c>
    </row>
    <row r="71">
      <c r="A71" s="56" t="inlineStr">
        <is>
          <t>Countries</t>
        </is>
      </c>
      <c r="B71" s="56" t="inlineStr">
        <is>
          <t>E119</t>
        </is>
      </c>
      <c r="C71" s="56" t="n">
        <v>119</v>
      </c>
      <c r="D71" s="56" t="inlineStr">
        <is>
          <t>Home page</t>
        </is>
      </c>
      <c r="E71" s="56" t="inlineStr">
        <is>
          <t>Paid Search</t>
        </is>
      </c>
      <c r="F71" s="56" t="inlineStr">
        <is>
          <t>Mobile</t>
        </is>
      </c>
      <c r="G71" s="56" t="inlineStr">
        <is>
          <t>Poland</t>
        </is>
      </c>
      <c r="H71" s="56" t="n">
        <v>8</v>
      </c>
      <c r="I71" s="56" t="inlineStr">
        <is>
          <t>Sessions</t>
        </is>
      </c>
      <c r="J71" s="56" t="inlineStr">
        <is>
          <t>1-23 August 2025</t>
        </is>
      </c>
      <c r="K71" s="57" t="n">
        <v>1753</v>
      </c>
      <c r="L71" s="56" t="inlineStr">
        <is>
          <t>Sessions YoY</t>
        </is>
      </c>
      <c r="M71" s="40">
        <f>IF(Countries!E119="","STILL MISSING","Filled ✓")</f>
        <v/>
      </c>
    </row>
    <row r="72">
      <c r="A72" s="40" t="inlineStr">
        <is>
          <t>Countries</t>
        </is>
      </c>
      <c r="B72" s="40" t="inlineStr">
        <is>
          <t>J119</t>
        </is>
      </c>
      <c r="C72" s="40" t="n">
        <v>119</v>
      </c>
      <c r="D72" s="40" t="inlineStr">
        <is>
          <t>Home page</t>
        </is>
      </c>
      <c r="E72" s="40" t="inlineStr">
        <is>
          <t>Paid Search</t>
        </is>
      </c>
      <c r="F72" s="40" t="inlineStr">
        <is>
          <t>Mobile</t>
        </is>
      </c>
      <c r="G72" s="40" t="inlineStr">
        <is>
          <t>Poland</t>
        </is>
      </c>
      <c r="H72" s="40" t="n">
        <v>8</v>
      </c>
      <c r="I72" s="40" t="inlineStr">
        <is>
          <t>Start Search</t>
        </is>
      </c>
      <c r="J72" s="40" t="inlineStr">
        <is>
          <t>1-23 August 2026</t>
        </is>
      </c>
      <c r="K72" s="55" t="n">
        <v>1753</v>
      </c>
      <c r="L72" s="40" t="inlineStr">
        <is>
          <t>Visit→Engagement 1-23 August 2026</t>
        </is>
      </c>
      <c r="M72" s="40">
        <f>IF(Countries!J119="","STILL MISSING","Filled ✓")</f>
        <v/>
      </c>
    </row>
    <row r="73">
      <c r="A73" s="56" t="inlineStr">
        <is>
          <t>Countries</t>
        </is>
      </c>
      <c r="B73" s="56" t="inlineStr">
        <is>
          <t>AR173</t>
        </is>
      </c>
      <c r="C73" s="56" t="n">
        <v>173</v>
      </c>
      <c r="D73" s="56" t="inlineStr">
        <is>
          <t>Home page</t>
        </is>
      </c>
      <c r="E73" s="56" t="inlineStr">
        <is>
          <t>Organic</t>
        </is>
      </c>
      <c r="F73" s="56" t="inlineStr">
        <is>
          <t>Desktop</t>
        </is>
      </c>
      <c r="G73" s="56" t="inlineStr">
        <is>
          <t>Poland</t>
        </is>
      </c>
      <c r="H73" s="56" t="n">
        <v>8</v>
      </c>
      <c r="I73" s="56" t="inlineStr">
        <is>
          <t>Purchases</t>
        </is>
      </c>
      <c r="J73" s="56" t="inlineStr">
        <is>
          <t>1-23 August 2025</t>
        </is>
      </c>
      <c r="K73" s="57" t="n">
        <v>174</v>
      </c>
      <c r="L73" s="56" t="inlineStr">
        <is>
          <t>Search→Booking 1-23 August 2025</t>
        </is>
      </c>
      <c r="M73" s="40">
        <f>IF(Countries!AR173="","STILL MISSING","Filled ✓")</f>
        <v/>
      </c>
    </row>
    <row r="74">
      <c r="A74" s="40" t="inlineStr">
        <is>
          <t>Countries</t>
        </is>
      </c>
      <c r="B74" s="40" t="inlineStr">
        <is>
          <t>AS173</t>
        </is>
      </c>
      <c r="C74" s="40" t="n">
        <v>173</v>
      </c>
      <c r="D74" s="40" t="inlineStr">
        <is>
          <t>Home page</t>
        </is>
      </c>
      <c r="E74" s="40" t="inlineStr">
        <is>
          <t>Organic</t>
        </is>
      </c>
      <c r="F74" s="40" t="inlineStr">
        <is>
          <t>Desktop</t>
        </is>
      </c>
      <c r="G74" s="40" t="inlineStr">
        <is>
          <t>Poland</t>
        </is>
      </c>
      <c r="H74" s="40" t="n">
        <v>8</v>
      </c>
      <c r="I74" s="40" t="inlineStr">
        <is>
          <t>Purchases</t>
        </is>
      </c>
      <c r="J74" s="40" t="inlineStr">
        <is>
          <t>1-23 August 2026</t>
        </is>
      </c>
      <c r="K74" s="55" t="n">
        <v>174</v>
      </c>
      <c r="L74" s="40" t="inlineStr">
        <is>
          <t>CR 1-23 August 2026 + Search→Booking 1-23 August 2026</t>
        </is>
      </c>
      <c r="M74" s="40">
        <f>IF(Countries!AS173="","STILL MISSING","Filled ✓")</f>
        <v/>
      </c>
    </row>
    <row r="75">
      <c r="A75" s="56" t="inlineStr">
        <is>
          <t>Countries</t>
        </is>
      </c>
      <c r="B75" s="56" t="inlineStr">
        <is>
          <t>W173</t>
        </is>
      </c>
      <c r="C75" s="56" t="n">
        <v>173</v>
      </c>
      <c r="D75" s="56" t="inlineStr">
        <is>
          <t>Home page</t>
        </is>
      </c>
      <c r="E75" s="56" t="inlineStr">
        <is>
          <t>Organic</t>
        </is>
      </c>
      <c r="F75" s="56" t="inlineStr">
        <is>
          <t>Desktop</t>
        </is>
      </c>
      <c r="G75" s="56" t="inlineStr">
        <is>
          <t>Poland</t>
        </is>
      </c>
      <c r="H75" s="56" t="n">
        <v>8</v>
      </c>
      <c r="I75" s="56" t="inlineStr">
        <is>
          <t>Select item</t>
        </is>
      </c>
      <c r="J75" s="56" t="inlineStr">
        <is>
          <t>1-23 August 2025</t>
        </is>
      </c>
      <c r="K75" s="57" t="n">
        <v>174</v>
      </c>
      <c r="L75" s="56" t="inlineStr">
        <is>
          <t>Search→Select 1-23 August 2025</t>
        </is>
      </c>
      <c r="M75" s="40">
        <f>IF(Countries!W173="","STILL MISSING","Filled ✓")</f>
        <v/>
      </c>
    </row>
    <row r="76">
      <c r="A76" s="40" t="inlineStr">
        <is>
          <t>Countries</t>
        </is>
      </c>
      <c r="B76" s="40" t="inlineStr">
        <is>
          <t>X173</t>
        </is>
      </c>
      <c r="C76" s="40" t="n">
        <v>173</v>
      </c>
      <c r="D76" s="40" t="inlineStr">
        <is>
          <t>Home page</t>
        </is>
      </c>
      <c r="E76" s="40" t="inlineStr">
        <is>
          <t>Organic</t>
        </is>
      </c>
      <c r="F76" s="40" t="inlineStr">
        <is>
          <t>Desktop</t>
        </is>
      </c>
      <c r="G76" s="40" t="inlineStr">
        <is>
          <t>Poland</t>
        </is>
      </c>
      <c r="H76" s="40" t="n">
        <v>8</v>
      </c>
      <c r="I76" s="40" t="inlineStr">
        <is>
          <t>Select item</t>
        </is>
      </c>
      <c r="J76" s="40" t="inlineStr">
        <is>
          <t>1-23 August 2026</t>
        </is>
      </c>
      <c r="K76" s="55" t="n">
        <v>174</v>
      </c>
      <c r="L76" s="40" t="inlineStr">
        <is>
          <t>Search→Select 1-23 August 2026</t>
        </is>
      </c>
      <c r="M76" s="40">
        <f>IF(Countries!X173="","STILL MISSING","Filled ✓")</f>
        <v/>
      </c>
    </row>
    <row r="77">
      <c r="A77" s="56" t="inlineStr">
        <is>
          <t>Countries</t>
        </is>
      </c>
      <c r="B77" s="56" t="inlineStr">
        <is>
          <t>E173</t>
        </is>
      </c>
      <c r="C77" s="56" t="n">
        <v>173</v>
      </c>
      <c r="D77" s="56" t="inlineStr">
        <is>
          <t>Home page</t>
        </is>
      </c>
      <c r="E77" s="56" t="inlineStr">
        <is>
          <t>Organic</t>
        </is>
      </c>
      <c r="F77" s="56" t="inlineStr">
        <is>
          <t>Desktop</t>
        </is>
      </c>
      <c r="G77" s="56" t="inlineStr">
        <is>
          <t>Poland</t>
        </is>
      </c>
      <c r="H77" s="56" t="n">
        <v>8</v>
      </c>
      <c r="I77" s="56" t="inlineStr">
        <is>
          <t>Sessions</t>
        </is>
      </c>
      <c r="J77" s="56" t="inlineStr">
        <is>
          <t>1-23 August 2025</t>
        </is>
      </c>
      <c r="K77" s="57" t="n">
        <v>174</v>
      </c>
      <c r="L77" s="56" t="inlineStr">
        <is>
          <t>Sessions YoY + Visit→Search 1-23 August 2025</t>
        </is>
      </c>
      <c r="M77" s="40">
        <f>IF(Countries!E173="","STILL MISSING","Filled ✓")</f>
        <v/>
      </c>
    </row>
    <row r="78">
      <c r="A78" s="40" t="inlineStr">
        <is>
          <t>Countries</t>
        </is>
      </c>
      <c r="B78" s="40" t="inlineStr">
        <is>
          <t>J173</t>
        </is>
      </c>
      <c r="C78" s="40" t="n">
        <v>173</v>
      </c>
      <c r="D78" s="40" t="inlineStr">
        <is>
          <t>Home page</t>
        </is>
      </c>
      <c r="E78" s="40" t="inlineStr">
        <is>
          <t>Organic</t>
        </is>
      </c>
      <c r="F78" s="40" t="inlineStr">
        <is>
          <t>Desktop</t>
        </is>
      </c>
      <c r="G78" s="40" t="inlineStr">
        <is>
          <t>Poland</t>
        </is>
      </c>
      <c r="H78" s="40" t="n">
        <v>8</v>
      </c>
      <c r="I78" s="40" t="inlineStr">
        <is>
          <t>Start Search</t>
        </is>
      </c>
      <c r="J78" s="40" t="inlineStr">
        <is>
          <t>1-23 August 2026</t>
        </is>
      </c>
      <c r="K78" s="55" t="n">
        <v>174</v>
      </c>
      <c r="L78" s="40" t="inlineStr">
        <is>
          <t>Visit→Engagement 1-23 August 2026</t>
        </is>
      </c>
      <c r="M78" s="40">
        <f>IF(Countries!J173="","STILL MISSING","Filled ✓")</f>
        <v/>
      </c>
    </row>
    <row r="79">
      <c r="A79" s="56" t="inlineStr">
        <is>
          <t>Countries</t>
        </is>
      </c>
      <c r="B79" s="56" t="inlineStr">
        <is>
          <t>AR156</t>
        </is>
      </c>
      <c r="C79" s="56" t="n">
        <v>156</v>
      </c>
      <c r="D79" s="56" t="inlineStr">
        <is>
          <t>Home page</t>
        </is>
      </c>
      <c r="E79" s="56" t="inlineStr">
        <is>
          <t>Organic</t>
        </is>
      </c>
      <c r="F79" s="56" t="inlineStr">
        <is>
          <t>Mobile</t>
        </is>
      </c>
      <c r="G79" s="56" t="inlineStr">
        <is>
          <t>Poland</t>
        </is>
      </c>
      <c r="H79" s="56" t="n">
        <v>8</v>
      </c>
      <c r="I79" s="56" t="inlineStr">
        <is>
          <t>Purchases</t>
        </is>
      </c>
      <c r="J79" s="56" t="inlineStr">
        <is>
          <t>1-23 August 2025</t>
        </is>
      </c>
      <c r="K79" s="57" t="n">
        <v>194</v>
      </c>
      <c r="L79" s="56" t="inlineStr">
        <is>
          <t>CR 1-23 August 2025</t>
        </is>
      </c>
      <c r="M79" s="40">
        <f>IF(Countries!AR156="","STILL MISSING","Filled ✓")</f>
        <v/>
      </c>
    </row>
    <row r="80">
      <c r="A80" s="40" t="inlineStr">
        <is>
          <t>Countries</t>
        </is>
      </c>
      <c r="B80" s="40" t="inlineStr">
        <is>
          <t>AS156</t>
        </is>
      </c>
      <c r="C80" s="40" t="n">
        <v>156</v>
      </c>
      <c r="D80" s="40" t="inlineStr">
        <is>
          <t>Home page</t>
        </is>
      </c>
      <c r="E80" s="40" t="inlineStr">
        <is>
          <t>Organic</t>
        </is>
      </c>
      <c r="F80" s="40" t="inlineStr">
        <is>
          <t>Mobile</t>
        </is>
      </c>
      <c r="G80" s="40" t="inlineStr">
        <is>
          <t>Poland</t>
        </is>
      </c>
      <c r="H80" s="40" t="n">
        <v>8</v>
      </c>
      <c r="I80" s="40" t="inlineStr">
        <is>
          <t>Purchases</t>
        </is>
      </c>
      <c r="J80" s="40" t="inlineStr">
        <is>
          <t>1-23 August 2026</t>
        </is>
      </c>
      <c r="K80" s="55" t="n">
        <v>194</v>
      </c>
      <c r="L80" s="40" t="inlineStr">
        <is>
          <t>CR 1-23 August 2026 + Search→Booking 1-23 August 2026</t>
        </is>
      </c>
      <c r="M80" s="40">
        <f>IF(Countries!AS156="","STILL MISSING","Filled ✓")</f>
        <v/>
      </c>
    </row>
    <row r="81">
      <c r="A81" s="56" t="inlineStr">
        <is>
          <t>Countries</t>
        </is>
      </c>
      <c r="B81" s="56" t="inlineStr">
        <is>
          <t>P156</t>
        </is>
      </c>
      <c r="C81" s="56" t="n">
        <v>156</v>
      </c>
      <c r="D81" s="56" t="inlineStr">
        <is>
          <t>Home page</t>
        </is>
      </c>
      <c r="E81" s="56" t="inlineStr">
        <is>
          <t>Organic</t>
        </is>
      </c>
      <c r="F81" s="56" t="inlineStr">
        <is>
          <t>Mobile</t>
        </is>
      </c>
      <c r="G81" s="56" t="inlineStr">
        <is>
          <t>Poland</t>
        </is>
      </c>
      <c r="H81" s="56" t="n">
        <v>8</v>
      </c>
      <c r="I81" s="56" t="inlineStr">
        <is>
          <t>Searches</t>
        </is>
      </c>
      <c r="J81" s="56" t="inlineStr">
        <is>
          <t>1-23 August 2025</t>
        </is>
      </c>
      <c r="K81" s="57" t="n">
        <v>194</v>
      </c>
      <c r="L81" s="56" t="inlineStr">
        <is>
          <t>Searches YoY + Visit→Search 1-23 August 2025</t>
        </is>
      </c>
      <c r="M81" s="40">
        <f>IF(Countries!P156="","STILL MISSING","Filled ✓")</f>
        <v/>
      </c>
    </row>
    <row r="82">
      <c r="A82" s="40" t="inlineStr">
        <is>
          <t>Countries</t>
        </is>
      </c>
      <c r="B82" s="40" t="inlineStr">
        <is>
          <t>X156</t>
        </is>
      </c>
      <c r="C82" s="40" t="n">
        <v>156</v>
      </c>
      <c r="D82" s="40" t="inlineStr">
        <is>
          <t>Home page</t>
        </is>
      </c>
      <c r="E82" s="40" t="inlineStr">
        <is>
          <t>Organic</t>
        </is>
      </c>
      <c r="F82" s="40" t="inlineStr">
        <is>
          <t>Mobile</t>
        </is>
      </c>
      <c r="G82" s="40" t="inlineStr">
        <is>
          <t>Poland</t>
        </is>
      </c>
      <c r="H82" s="40" t="n">
        <v>8</v>
      </c>
      <c r="I82" s="40" t="inlineStr">
        <is>
          <t>Select item</t>
        </is>
      </c>
      <c r="J82" s="40" t="inlineStr">
        <is>
          <t>1-23 August 2026</t>
        </is>
      </c>
      <c r="K82" s="55" t="n">
        <v>194</v>
      </c>
      <c r="L82" s="40" t="inlineStr">
        <is>
          <t>Search→Select 1-23 August 2026</t>
        </is>
      </c>
      <c r="M82" s="40">
        <f>IF(Countries!X156="","STILL MISSING","Filled ✓")</f>
        <v/>
      </c>
    </row>
    <row r="83">
      <c r="A83" s="56" t="inlineStr">
        <is>
          <t>Countries</t>
        </is>
      </c>
      <c r="B83" s="56" t="inlineStr">
        <is>
          <t>I156</t>
        </is>
      </c>
      <c r="C83" s="56" t="n">
        <v>156</v>
      </c>
      <c r="D83" s="56" t="inlineStr">
        <is>
          <t>Home page</t>
        </is>
      </c>
      <c r="E83" s="56" t="inlineStr">
        <is>
          <t>Organic</t>
        </is>
      </c>
      <c r="F83" s="56" t="inlineStr">
        <is>
          <t>Mobile</t>
        </is>
      </c>
      <c r="G83" s="56" t="inlineStr">
        <is>
          <t>Poland</t>
        </is>
      </c>
      <c r="H83" s="56" t="n">
        <v>8</v>
      </c>
      <c r="I83" s="56" t="inlineStr">
        <is>
          <t>Start Search</t>
        </is>
      </c>
      <c r="J83" s="56" t="inlineStr">
        <is>
          <t>1-23 August 2025</t>
        </is>
      </c>
      <c r="K83" s="57" t="n">
        <v>194</v>
      </c>
      <c r="L83" s="56" t="inlineStr">
        <is>
          <t>Visit→Engagement 1-23 August 2025</t>
        </is>
      </c>
      <c r="M83" s="40">
        <f>IF(Countries!I156="","STILL MISSING","Filled ✓")</f>
        <v/>
      </c>
    </row>
    <row r="84">
      <c r="A84" s="40" t="inlineStr">
        <is>
          <t>Countries</t>
        </is>
      </c>
      <c r="B84" s="40" t="inlineStr">
        <is>
          <t>J156</t>
        </is>
      </c>
      <c r="C84" s="40" t="n">
        <v>156</v>
      </c>
      <c r="D84" s="40" t="inlineStr">
        <is>
          <t>Home page</t>
        </is>
      </c>
      <c r="E84" s="40" t="inlineStr">
        <is>
          <t>Organic</t>
        </is>
      </c>
      <c r="F84" s="40" t="inlineStr">
        <is>
          <t>Mobile</t>
        </is>
      </c>
      <c r="G84" s="40" t="inlineStr">
        <is>
          <t>Poland</t>
        </is>
      </c>
      <c r="H84" s="40" t="n">
        <v>8</v>
      </c>
      <c r="I84" s="40" t="inlineStr">
        <is>
          <t>Start Search</t>
        </is>
      </c>
      <c r="J84" s="40" t="inlineStr">
        <is>
          <t>1-23 August 2026</t>
        </is>
      </c>
      <c r="K84" s="55" t="n">
        <v>194</v>
      </c>
      <c r="L84" s="40" t="inlineStr">
        <is>
          <t>Visit→Engagement 1-23 August 2026</t>
        </is>
      </c>
      <c r="M84" s="40">
        <f>IF(Countries!J156="","STILL MISSING","Filled ✓")</f>
        <v/>
      </c>
    </row>
    <row r="85">
      <c r="A85" s="56" t="inlineStr">
        <is>
          <t>Countries</t>
        </is>
      </c>
      <c r="B85" s="56" t="inlineStr">
        <is>
          <t>AR208</t>
        </is>
      </c>
      <c r="C85" s="56" t="n">
        <v>208</v>
      </c>
      <c r="D85" s="56" t="inlineStr">
        <is>
          <t>Home page</t>
        </is>
      </c>
      <c r="E85" s="56" t="inlineStr">
        <is>
          <t>Direct</t>
        </is>
      </c>
      <c r="F85" s="56" t="inlineStr">
        <is>
          <t>Desktop</t>
        </is>
      </c>
      <c r="G85" s="56" t="inlineStr">
        <is>
          <t>Poland</t>
        </is>
      </c>
      <c r="H85" s="56" t="n">
        <v>8</v>
      </c>
      <c r="I85" s="56" t="inlineStr">
        <is>
          <t>Purchases</t>
        </is>
      </c>
      <c r="J85" s="56" t="inlineStr">
        <is>
          <t>1-23 August 2025</t>
        </is>
      </c>
      <c r="K85" s="57" t="n">
        <v>350</v>
      </c>
      <c r="L85" s="56" t="inlineStr">
        <is>
          <t>CR 1-23 August 2025 + Search→Booking 1-23 August 2025</t>
        </is>
      </c>
      <c r="M85" s="40">
        <f>IF(Countries!AR208="","STILL MISSING","Filled ✓")</f>
        <v/>
      </c>
    </row>
    <row r="86">
      <c r="A86" s="40" t="inlineStr">
        <is>
          <t>Countries</t>
        </is>
      </c>
      <c r="B86" s="40" t="inlineStr">
        <is>
          <t>AS208</t>
        </is>
      </c>
      <c r="C86" s="40" t="n">
        <v>208</v>
      </c>
      <c r="D86" s="40" t="inlineStr">
        <is>
          <t>Home page</t>
        </is>
      </c>
      <c r="E86" s="40" t="inlineStr">
        <is>
          <t>Direct</t>
        </is>
      </c>
      <c r="F86" s="40" t="inlineStr">
        <is>
          <t>Desktop</t>
        </is>
      </c>
      <c r="G86" s="40" t="inlineStr">
        <is>
          <t>Poland</t>
        </is>
      </c>
      <c r="H86" s="40" t="n">
        <v>8</v>
      </c>
      <c r="I86" s="40" t="inlineStr">
        <is>
          <t>Purchases</t>
        </is>
      </c>
      <c r="J86" s="40" t="inlineStr">
        <is>
          <t>1-23 August 2026</t>
        </is>
      </c>
      <c r="K86" s="55" t="n">
        <v>350</v>
      </c>
      <c r="L86" s="40" t="inlineStr">
        <is>
          <t>CR 1-23 August 2026 + Search→Booking 1-23 August 2026</t>
        </is>
      </c>
      <c r="M86" s="40">
        <f>IF(Countries!AS208="","STILL MISSING","Filled ✓")</f>
        <v/>
      </c>
    </row>
    <row r="87">
      <c r="A87" s="56" t="inlineStr">
        <is>
          <t>Countries</t>
        </is>
      </c>
      <c r="B87" s="56" t="inlineStr">
        <is>
          <t>W208</t>
        </is>
      </c>
      <c r="C87" s="56" t="n">
        <v>208</v>
      </c>
      <c r="D87" s="56" t="inlineStr">
        <is>
          <t>Home page</t>
        </is>
      </c>
      <c r="E87" s="56" t="inlineStr">
        <is>
          <t>Direct</t>
        </is>
      </c>
      <c r="F87" s="56" t="inlineStr">
        <is>
          <t>Desktop</t>
        </is>
      </c>
      <c r="G87" s="56" t="inlineStr">
        <is>
          <t>Poland</t>
        </is>
      </c>
      <c r="H87" s="56" t="n">
        <v>8</v>
      </c>
      <c r="I87" s="56" t="inlineStr">
        <is>
          <t>Select item</t>
        </is>
      </c>
      <c r="J87" s="56" t="inlineStr">
        <is>
          <t>1-23 August 2025</t>
        </is>
      </c>
      <c r="K87" s="57" t="n">
        <v>350</v>
      </c>
      <c r="L87" s="56" t="inlineStr">
        <is>
          <t>Search→Select 1-23 August 2025</t>
        </is>
      </c>
      <c r="M87" s="40">
        <f>IF(Countries!W208="","STILL MISSING","Filled ✓")</f>
        <v/>
      </c>
    </row>
    <row r="88">
      <c r="A88" s="40" t="inlineStr">
        <is>
          <t>Countries</t>
        </is>
      </c>
      <c r="B88" s="40" t="inlineStr">
        <is>
          <t>X208</t>
        </is>
      </c>
      <c r="C88" s="40" t="n">
        <v>208</v>
      </c>
      <c r="D88" s="40" t="inlineStr">
        <is>
          <t>Home page</t>
        </is>
      </c>
      <c r="E88" s="40" t="inlineStr">
        <is>
          <t>Direct</t>
        </is>
      </c>
      <c r="F88" s="40" t="inlineStr">
        <is>
          <t>Desktop</t>
        </is>
      </c>
      <c r="G88" s="40" t="inlineStr">
        <is>
          <t>Poland</t>
        </is>
      </c>
      <c r="H88" s="40" t="n">
        <v>8</v>
      </c>
      <c r="I88" s="40" t="inlineStr">
        <is>
          <t>Select item</t>
        </is>
      </c>
      <c r="J88" s="40" t="inlineStr">
        <is>
          <t>1-23 August 2026</t>
        </is>
      </c>
      <c r="K88" s="55" t="n">
        <v>350</v>
      </c>
      <c r="L88" s="40" t="inlineStr">
        <is>
          <t>Search→Select 1-23 August 2026</t>
        </is>
      </c>
      <c r="M88" s="40">
        <f>IF(Countries!X208="","STILL MISSING","Filled ✓")</f>
        <v/>
      </c>
    </row>
    <row r="89">
      <c r="A89" s="56" t="inlineStr">
        <is>
          <t>Countries</t>
        </is>
      </c>
      <c r="B89" s="56" t="inlineStr">
        <is>
          <t>I208</t>
        </is>
      </c>
      <c r="C89" s="56" t="n">
        <v>208</v>
      </c>
      <c r="D89" s="56" t="inlineStr">
        <is>
          <t>Home page</t>
        </is>
      </c>
      <c r="E89" s="56" t="inlineStr">
        <is>
          <t>Direct</t>
        </is>
      </c>
      <c r="F89" s="56" t="inlineStr">
        <is>
          <t>Desktop</t>
        </is>
      </c>
      <c r="G89" s="56" t="inlineStr">
        <is>
          <t>Poland</t>
        </is>
      </c>
      <c r="H89" s="56" t="n">
        <v>8</v>
      </c>
      <c r="I89" s="56" t="inlineStr">
        <is>
          <t>Start Search</t>
        </is>
      </c>
      <c r="J89" s="56" t="inlineStr">
        <is>
          <t>1-23 August 2025</t>
        </is>
      </c>
      <c r="K89" s="57" t="n">
        <v>350</v>
      </c>
      <c r="L89" s="56" t="inlineStr">
        <is>
          <t>Visit→Engagement 1-23 August 2025</t>
        </is>
      </c>
      <c r="M89" s="40">
        <f>IF(Countries!I208="","STILL MISSING","Filled ✓")</f>
        <v/>
      </c>
    </row>
    <row r="90">
      <c r="A90" s="40" t="inlineStr">
        <is>
          <t>Countries</t>
        </is>
      </c>
      <c r="B90" s="40" t="inlineStr">
        <is>
          <t>J208</t>
        </is>
      </c>
      <c r="C90" s="40" t="n">
        <v>208</v>
      </c>
      <c r="D90" s="40" t="inlineStr">
        <is>
          <t>Home page</t>
        </is>
      </c>
      <c r="E90" s="40" t="inlineStr">
        <is>
          <t>Direct</t>
        </is>
      </c>
      <c r="F90" s="40" t="inlineStr">
        <is>
          <t>Desktop</t>
        </is>
      </c>
      <c r="G90" s="40" t="inlineStr">
        <is>
          <t>Poland</t>
        </is>
      </c>
      <c r="H90" s="40" t="n">
        <v>8</v>
      </c>
      <c r="I90" s="40" t="inlineStr">
        <is>
          <t>Start Search</t>
        </is>
      </c>
      <c r="J90" s="40" t="inlineStr">
        <is>
          <t>1-23 August 2026</t>
        </is>
      </c>
      <c r="K90" s="55" t="n">
        <v>350</v>
      </c>
      <c r="L90" s="40" t="inlineStr">
        <is>
          <t>Visit→Engagement 1-23 August 2026</t>
        </is>
      </c>
      <c r="M90" s="40">
        <f>IF(Countries!J208="","STILL MISSING","Filled ✓")</f>
        <v/>
      </c>
    </row>
    <row r="91">
      <c r="A91" s="56" t="inlineStr">
        <is>
          <t>Countries</t>
        </is>
      </c>
      <c r="B91" s="56" t="inlineStr">
        <is>
          <t>AR193</t>
        </is>
      </c>
      <c r="C91" s="56" t="n">
        <v>193</v>
      </c>
      <c r="D91" s="56" t="inlineStr">
        <is>
          <t>Home page</t>
        </is>
      </c>
      <c r="E91" s="56" t="inlineStr">
        <is>
          <t>Direct</t>
        </is>
      </c>
      <c r="F91" s="56" t="inlineStr">
        <is>
          <t>Mobile</t>
        </is>
      </c>
      <c r="G91" s="56" t="inlineStr">
        <is>
          <t>Poland</t>
        </is>
      </c>
      <c r="H91" s="56" t="n">
        <v>8</v>
      </c>
      <c r="I91" s="56" t="inlineStr">
        <is>
          <t>Purchases</t>
        </is>
      </c>
      <c r="J91" s="56" t="inlineStr">
        <is>
          <t>1-23 August 2025</t>
        </is>
      </c>
      <c r="K91" s="57" t="n">
        <v>258</v>
      </c>
      <c r="L91" s="56" t="inlineStr">
        <is>
          <t>CR 1-23 August 2025 + Search→Booking 1-23 August 2025</t>
        </is>
      </c>
      <c r="M91" s="40">
        <f>IF(Countries!AR193="","STILL MISSING","Filled ✓")</f>
        <v/>
      </c>
    </row>
    <row r="92">
      <c r="A92" s="40" t="inlineStr">
        <is>
          <t>Countries</t>
        </is>
      </c>
      <c r="B92" s="40" t="inlineStr">
        <is>
          <t>AS193</t>
        </is>
      </c>
      <c r="C92" s="40" t="n">
        <v>193</v>
      </c>
      <c r="D92" s="40" t="inlineStr">
        <is>
          <t>Home page</t>
        </is>
      </c>
      <c r="E92" s="40" t="inlineStr">
        <is>
          <t>Direct</t>
        </is>
      </c>
      <c r="F92" s="40" t="inlineStr">
        <is>
          <t>Mobile</t>
        </is>
      </c>
      <c r="G92" s="40" t="inlineStr">
        <is>
          <t>Poland</t>
        </is>
      </c>
      <c r="H92" s="40" t="n">
        <v>8</v>
      </c>
      <c r="I92" s="40" t="inlineStr">
        <is>
          <t>Purchases</t>
        </is>
      </c>
      <c r="J92" s="40" t="inlineStr">
        <is>
          <t>1-23 August 2026</t>
        </is>
      </c>
      <c r="K92" s="55" t="n">
        <v>258</v>
      </c>
      <c r="L92" s="40" t="inlineStr">
        <is>
          <t>CR 1-23 August 2026 + Search→Booking 1-23 August 2026</t>
        </is>
      </c>
      <c r="M92" s="40">
        <f>IF(Countries!AS193="","STILL MISSING","Filled ✓")</f>
        <v/>
      </c>
    </row>
    <row r="93">
      <c r="A93" s="56" t="inlineStr">
        <is>
          <t>Countries</t>
        </is>
      </c>
      <c r="B93" s="56" t="inlineStr">
        <is>
          <t>W193</t>
        </is>
      </c>
      <c r="C93" s="56" t="n">
        <v>193</v>
      </c>
      <c r="D93" s="56" t="inlineStr">
        <is>
          <t>Home page</t>
        </is>
      </c>
      <c r="E93" s="56" t="inlineStr">
        <is>
          <t>Direct</t>
        </is>
      </c>
      <c r="F93" s="56" t="inlineStr">
        <is>
          <t>Mobile</t>
        </is>
      </c>
      <c r="G93" s="56" t="inlineStr">
        <is>
          <t>Poland</t>
        </is>
      </c>
      <c r="H93" s="56" t="n">
        <v>8</v>
      </c>
      <c r="I93" s="56" t="inlineStr">
        <is>
          <t>Select item</t>
        </is>
      </c>
      <c r="J93" s="56" t="inlineStr">
        <is>
          <t>1-23 August 2025</t>
        </is>
      </c>
      <c r="K93" s="57" t="n">
        <v>258</v>
      </c>
      <c r="L93" s="56" t="inlineStr">
        <is>
          <t>Search→Select 1-23 August 2025</t>
        </is>
      </c>
      <c r="M93" s="40">
        <f>IF(Countries!W193="","STILL MISSING","Filled ✓")</f>
        <v/>
      </c>
    </row>
    <row r="94">
      <c r="A94" s="40" t="inlineStr">
        <is>
          <t>Countries</t>
        </is>
      </c>
      <c r="B94" s="40" t="inlineStr">
        <is>
          <t>X193</t>
        </is>
      </c>
      <c r="C94" s="40" t="n">
        <v>193</v>
      </c>
      <c r="D94" s="40" t="inlineStr">
        <is>
          <t>Home page</t>
        </is>
      </c>
      <c r="E94" s="40" t="inlineStr">
        <is>
          <t>Direct</t>
        </is>
      </c>
      <c r="F94" s="40" t="inlineStr">
        <is>
          <t>Mobile</t>
        </is>
      </c>
      <c r="G94" s="40" t="inlineStr">
        <is>
          <t>Poland</t>
        </is>
      </c>
      <c r="H94" s="40" t="n">
        <v>8</v>
      </c>
      <c r="I94" s="40" t="inlineStr">
        <is>
          <t>Select item</t>
        </is>
      </c>
      <c r="J94" s="40" t="inlineStr">
        <is>
          <t>1-23 August 2026</t>
        </is>
      </c>
      <c r="K94" s="55" t="n">
        <v>258</v>
      </c>
      <c r="L94" s="40" t="inlineStr">
        <is>
          <t>Search→Select 1-23 August 2026</t>
        </is>
      </c>
      <c r="M94" s="40">
        <f>IF(Countries!X193="","STILL MISSING","Filled ✓")</f>
        <v/>
      </c>
    </row>
    <row r="95">
      <c r="A95" s="56" t="inlineStr">
        <is>
          <t>Countries</t>
        </is>
      </c>
      <c r="B95" s="56" t="inlineStr">
        <is>
          <t>I193</t>
        </is>
      </c>
      <c r="C95" s="56" t="n">
        <v>193</v>
      </c>
      <c r="D95" s="56" t="inlineStr">
        <is>
          <t>Home page</t>
        </is>
      </c>
      <c r="E95" s="56" t="inlineStr">
        <is>
          <t>Direct</t>
        </is>
      </c>
      <c r="F95" s="56" t="inlineStr">
        <is>
          <t>Mobile</t>
        </is>
      </c>
      <c r="G95" s="56" t="inlineStr">
        <is>
          <t>Poland</t>
        </is>
      </c>
      <c r="H95" s="56" t="n">
        <v>8</v>
      </c>
      <c r="I95" s="56" t="inlineStr">
        <is>
          <t>Start Search</t>
        </is>
      </c>
      <c r="J95" s="56" t="inlineStr">
        <is>
          <t>1-23 August 2025</t>
        </is>
      </c>
      <c r="K95" s="57" t="n">
        <v>258</v>
      </c>
      <c r="L95" s="56" t="inlineStr">
        <is>
          <t>Visit→Engagement 1-23 August 2025</t>
        </is>
      </c>
      <c r="M95" s="40">
        <f>IF(Countries!I193="","STILL MISSING","Filled ✓")</f>
        <v/>
      </c>
    </row>
    <row r="96">
      <c r="A96" s="40" t="inlineStr">
        <is>
          <t>Countries</t>
        </is>
      </c>
      <c r="B96" s="40" t="inlineStr">
        <is>
          <t>J193</t>
        </is>
      </c>
      <c r="C96" s="40" t="n">
        <v>193</v>
      </c>
      <c r="D96" s="40" t="inlineStr">
        <is>
          <t>Home page</t>
        </is>
      </c>
      <c r="E96" s="40" t="inlineStr">
        <is>
          <t>Direct</t>
        </is>
      </c>
      <c r="F96" s="40" t="inlineStr">
        <is>
          <t>Mobile</t>
        </is>
      </c>
      <c r="G96" s="40" t="inlineStr">
        <is>
          <t>Poland</t>
        </is>
      </c>
      <c r="H96" s="40" t="n">
        <v>8</v>
      </c>
      <c r="I96" s="40" t="inlineStr">
        <is>
          <t>Start Search</t>
        </is>
      </c>
      <c r="J96" s="40" t="inlineStr">
        <is>
          <t>1-23 August 2026</t>
        </is>
      </c>
      <c r="K96" s="55" t="n">
        <v>258</v>
      </c>
      <c r="L96" s="40" t="inlineStr">
        <is>
          <t>Visit→Engagement 1-23 August 2026</t>
        </is>
      </c>
      <c r="M96" s="40">
        <f>IF(Countries!J193="","STILL MISSING","Filled ✓")</f>
        <v/>
      </c>
    </row>
    <row r="97">
      <c r="A97" s="56" t="inlineStr">
        <is>
          <t>Countries</t>
        </is>
      </c>
      <c r="B97" s="56" t="inlineStr">
        <is>
          <t>AS234</t>
        </is>
      </c>
      <c r="C97" s="56" t="n">
        <v>234</v>
      </c>
      <c r="D97" s="56" t="inlineStr">
        <is>
          <t>Airport page</t>
        </is>
      </c>
      <c r="E97" s="56" t="inlineStr">
        <is>
          <t>Paid Search</t>
        </is>
      </c>
      <c r="F97" s="56" t="inlineStr">
        <is>
          <t>Mobile</t>
        </is>
      </c>
      <c r="G97" s="56" t="inlineStr">
        <is>
          <t>Poland</t>
        </is>
      </c>
      <c r="H97" s="56" t="n">
        <v>8</v>
      </c>
      <c r="I97" s="56" t="inlineStr">
        <is>
          <t>Purchases</t>
        </is>
      </c>
      <c r="J97" s="56" t="inlineStr">
        <is>
          <t>1-23 August 2026</t>
        </is>
      </c>
      <c r="K97" s="57" t="n">
        <v>664</v>
      </c>
      <c r="L97" s="56" t="inlineStr">
        <is>
          <t>CR 1-23 August 2026 + Search→Booking 1-23 August 2026</t>
        </is>
      </c>
      <c r="M97" s="40">
        <f>IF(Countries!AS234="","STILL MISSING","Filled ✓")</f>
        <v/>
      </c>
    </row>
    <row r="98">
      <c r="A98" s="40" t="inlineStr">
        <is>
          <t>Countries</t>
        </is>
      </c>
      <c r="B98" s="40" t="inlineStr">
        <is>
          <t>P234</t>
        </is>
      </c>
      <c r="C98" s="40" t="n">
        <v>234</v>
      </c>
      <c r="D98" s="40" t="inlineStr">
        <is>
          <t>Airport page</t>
        </is>
      </c>
      <c r="E98" s="40" t="inlineStr">
        <is>
          <t>Paid Search</t>
        </is>
      </c>
      <c r="F98" s="40" t="inlineStr">
        <is>
          <t>Mobile</t>
        </is>
      </c>
      <c r="G98" s="40" t="inlineStr">
        <is>
          <t>Poland</t>
        </is>
      </c>
      <c r="H98" s="40" t="n">
        <v>8</v>
      </c>
      <c r="I98" s="40" t="inlineStr">
        <is>
          <t>Searches</t>
        </is>
      </c>
      <c r="J98" s="40" t="inlineStr">
        <is>
          <t>1-23 August 2025</t>
        </is>
      </c>
      <c r="K98" s="55" t="n">
        <v>664</v>
      </c>
      <c r="L98" s="40" t="inlineStr">
        <is>
          <t>Searches YoY</t>
        </is>
      </c>
      <c r="M98" s="40">
        <f>IF(Countries!P234="","STILL MISSING","Filled ✓")</f>
        <v/>
      </c>
    </row>
    <row r="99">
      <c r="A99" s="56" t="inlineStr">
        <is>
          <t>Countries</t>
        </is>
      </c>
      <c r="B99" s="56" t="inlineStr">
        <is>
          <t>X234</t>
        </is>
      </c>
      <c r="C99" s="56" t="n">
        <v>234</v>
      </c>
      <c r="D99" s="56" t="inlineStr">
        <is>
          <t>Airport page</t>
        </is>
      </c>
      <c r="E99" s="56" t="inlineStr">
        <is>
          <t>Paid Search</t>
        </is>
      </c>
      <c r="F99" s="56" t="inlineStr">
        <is>
          <t>Mobile</t>
        </is>
      </c>
      <c r="G99" s="56" t="inlineStr">
        <is>
          <t>Poland</t>
        </is>
      </c>
      <c r="H99" s="56" t="n">
        <v>8</v>
      </c>
      <c r="I99" s="56" t="inlineStr">
        <is>
          <t>Select item</t>
        </is>
      </c>
      <c r="J99" s="56" t="inlineStr">
        <is>
          <t>1-23 August 2026</t>
        </is>
      </c>
      <c r="K99" s="57" t="n">
        <v>664</v>
      </c>
      <c r="L99" s="56" t="inlineStr">
        <is>
          <t>Search→Select 1-23 August 2026</t>
        </is>
      </c>
      <c r="M99" s="40">
        <f>IF(Countries!X234="","STILL MISSING","Filled ✓")</f>
        <v/>
      </c>
    </row>
    <row r="100">
      <c r="A100" s="40" t="inlineStr">
        <is>
          <t>Countries</t>
        </is>
      </c>
      <c r="B100" s="40" t="inlineStr">
        <is>
          <t>E234</t>
        </is>
      </c>
      <c r="C100" s="40" t="n">
        <v>234</v>
      </c>
      <c r="D100" s="40" t="inlineStr">
        <is>
          <t>Airport page</t>
        </is>
      </c>
      <c r="E100" s="40" t="inlineStr">
        <is>
          <t>Paid Search</t>
        </is>
      </c>
      <c r="F100" s="40" t="inlineStr">
        <is>
          <t>Mobile</t>
        </is>
      </c>
      <c r="G100" s="40" t="inlineStr">
        <is>
          <t>Poland</t>
        </is>
      </c>
      <c r="H100" s="40" t="n">
        <v>8</v>
      </c>
      <c r="I100" s="40" t="inlineStr">
        <is>
          <t>Sessions</t>
        </is>
      </c>
      <c r="J100" s="40" t="inlineStr">
        <is>
          <t>1-23 August 2025</t>
        </is>
      </c>
      <c r="K100" s="55" t="n">
        <v>664</v>
      </c>
      <c r="L100" s="40" t="inlineStr">
        <is>
          <t>Sessions YoY</t>
        </is>
      </c>
      <c r="M100" s="40">
        <f>IF(Countries!E234="","STILL MISSING","Filled ✓")</f>
        <v/>
      </c>
    </row>
    <row r="101">
      <c r="A101" s="56" t="inlineStr">
        <is>
          <t>Countries</t>
        </is>
      </c>
      <c r="B101" s="56" t="inlineStr">
        <is>
          <t>J234</t>
        </is>
      </c>
      <c r="C101" s="56" t="n">
        <v>234</v>
      </c>
      <c r="D101" s="56" t="inlineStr">
        <is>
          <t>Airport page</t>
        </is>
      </c>
      <c r="E101" s="56" t="inlineStr">
        <is>
          <t>Paid Search</t>
        </is>
      </c>
      <c r="F101" s="56" t="inlineStr">
        <is>
          <t>Mobile</t>
        </is>
      </c>
      <c r="G101" s="56" t="inlineStr">
        <is>
          <t>Poland</t>
        </is>
      </c>
      <c r="H101" s="56" t="n">
        <v>8</v>
      </c>
      <c r="I101" s="56" t="inlineStr">
        <is>
          <t>Start Search</t>
        </is>
      </c>
      <c r="J101" s="56" t="inlineStr">
        <is>
          <t>1-23 August 2026</t>
        </is>
      </c>
      <c r="K101" s="57" t="n">
        <v>664</v>
      </c>
      <c r="L101" s="56" t="inlineStr">
        <is>
          <t>Visit→Engagement 1-23 August 2026</t>
        </is>
      </c>
      <c r="M101" s="40">
        <f>IF(Countries!J234="","STILL MISSING","Filled ✓")</f>
        <v/>
      </c>
    </row>
    <row r="102">
      <c r="A102" s="40" t="inlineStr">
        <is>
          <t>Countries</t>
        </is>
      </c>
      <c r="B102" s="40" t="inlineStr">
        <is>
          <t>AR274</t>
        </is>
      </c>
      <c r="C102" s="40" t="n">
        <v>274</v>
      </c>
      <c r="D102" s="40" t="inlineStr">
        <is>
          <t>Airport page</t>
        </is>
      </c>
      <c r="E102" s="40" t="inlineStr">
        <is>
          <t>Organic</t>
        </is>
      </c>
      <c r="F102" s="40" t="inlineStr">
        <is>
          <t>Desktop</t>
        </is>
      </c>
      <c r="G102" s="40" t="inlineStr">
        <is>
          <t>Poland</t>
        </is>
      </c>
      <c r="H102" s="40" t="n">
        <v>8</v>
      </c>
      <c r="I102" s="40" t="inlineStr">
        <is>
          <t>Purchases</t>
        </is>
      </c>
      <c r="J102" s="40" t="inlineStr">
        <is>
          <t>1-23 August 2025</t>
        </is>
      </c>
      <c r="K102" s="55" t="n">
        <v>480</v>
      </c>
      <c r="L102" s="40" t="inlineStr">
        <is>
          <t>CR 1-23 August 2025 + Search→Booking 1-23 August 2025</t>
        </is>
      </c>
      <c r="M102" s="40">
        <f>IF(Countries!AR274="","STILL MISSING","Filled ✓")</f>
        <v/>
      </c>
    </row>
    <row r="103">
      <c r="A103" s="56" t="inlineStr">
        <is>
          <t>Countries</t>
        </is>
      </c>
      <c r="B103" s="56" t="inlineStr">
        <is>
          <t>AS274</t>
        </is>
      </c>
      <c r="C103" s="56" t="n">
        <v>274</v>
      </c>
      <c r="D103" s="56" t="inlineStr">
        <is>
          <t>Airport page</t>
        </is>
      </c>
      <c r="E103" s="56" t="inlineStr">
        <is>
          <t>Organic</t>
        </is>
      </c>
      <c r="F103" s="56" t="inlineStr">
        <is>
          <t>Desktop</t>
        </is>
      </c>
      <c r="G103" s="56" t="inlineStr">
        <is>
          <t>Poland</t>
        </is>
      </c>
      <c r="H103" s="56" t="n">
        <v>8</v>
      </c>
      <c r="I103" s="56" t="inlineStr">
        <is>
          <t>Purchases</t>
        </is>
      </c>
      <c r="J103" s="56" t="inlineStr">
        <is>
          <t>1-23 August 2026</t>
        </is>
      </c>
      <c r="K103" s="57" t="n">
        <v>480</v>
      </c>
      <c r="L103" s="56" t="inlineStr">
        <is>
          <t>CR 1-23 August 2026 + Search→Booking 1-23 August 2026</t>
        </is>
      </c>
      <c r="M103" s="40">
        <f>IF(Countries!AS274="","STILL MISSING","Filled ✓")</f>
        <v/>
      </c>
    </row>
    <row r="104">
      <c r="A104" s="40" t="inlineStr">
        <is>
          <t>Countries</t>
        </is>
      </c>
      <c r="B104" s="40" t="inlineStr">
        <is>
          <t>W274</t>
        </is>
      </c>
      <c r="C104" s="40" t="n">
        <v>274</v>
      </c>
      <c r="D104" s="40" t="inlineStr">
        <is>
          <t>Airport page</t>
        </is>
      </c>
      <c r="E104" s="40" t="inlineStr">
        <is>
          <t>Organic</t>
        </is>
      </c>
      <c r="F104" s="40" t="inlineStr">
        <is>
          <t>Desktop</t>
        </is>
      </c>
      <c r="G104" s="40" t="inlineStr">
        <is>
          <t>Poland</t>
        </is>
      </c>
      <c r="H104" s="40" t="n">
        <v>8</v>
      </c>
      <c r="I104" s="40" t="inlineStr">
        <is>
          <t>Select item</t>
        </is>
      </c>
      <c r="J104" s="40" t="inlineStr">
        <is>
          <t>1-23 August 2025</t>
        </is>
      </c>
      <c r="K104" s="55" t="n">
        <v>480</v>
      </c>
      <c r="L104" s="40" t="inlineStr">
        <is>
          <t>Search→Select 1-23 August 2025</t>
        </is>
      </c>
      <c r="M104" s="40">
        <f>IF(Countries!W274="","STILL MISSING","Filled ✓")</f>
        <v/>
      </c>
    </row>
    <row r="105">
      <c r="A105" s="56" t="inlineStr">
        <is>
          <t>Countries</t>
        </is>
      </c>
      <c r="B105" s="56" t="inlineStr">
        <is>
          <t>X274</t>
        </is>
      </c>
      <c r="C105" s="56" t="n">
        <v>274</v>
      </c>
      <c r="D105" s="56" t="inlineStr">
        <is>
          <t>Airport page</t>
        </is>
      </c>
      <c r="E105" s="56" t="inlineStr">
        <is>
          <t>Organic</t>
        </is>
      </c>
      <c r="F105" s="56" t="inlineStr">
        <is>
          <t>Desktop</t>
        </is>
      </c>
      <c r="G105" s="56" t="inlineStr">
        <is>
          <t>Poland</t>
        </is>
      </c>
      <c r="H105" s="56" t="n">
        <v>8</v>
      </c>
      <c r="I105" s="56" t="inlineStr">
        <is>
          <t>Select item</t>
        </is>
      </c>
      <c r="J105" s="56" t="inlineStr">
        <is>
          <t>1-23 August 2026</t>
        </is>
      </c>
      <c r="K105" s="57" t="n">
        <v>480</v>
      </c>
      <c r="L105" s="56" t="inlineStr">
        <is>
          <t>Search→Select 1-23 August 2026</t>
        </is>
      </c>
      <c r="M105" s="40">
        <f>IF(Countries!X274="","STILL MISSING","Filled ✓")</f>
        <v/>
      </c>
    </row>
    <row r="106">
      <c r="A106" s="40" t="inlineStr">
        <is>
          <t>Countries</t>
        </is>
      </c>
      <c r="B106" s="40" t="inlineStr">
        <is>
          <t>I274</t>
        </is>
      </c>
      <c r="C106" s="40" t="n">
        <v>274</v>
      </c>
      <c r="D106" s="40" t="inlineStr">
        <is>
          <t>Airport page</t>
        </is>
      </c>
      <c r="E106" s="40" t="inlineStr">
        <is>
          <t>Organic</t>
        </is>
      </c>
      <c r="F106" s="40" t="inlineStr">
        <is>
          <t>Desktop</t>
        </is>
      </c>
      <c r="G106" s="40" t="inlineStr">
        <is>
          <t>Poland</t>
        </is>
      </c>
      <c r="H106" s="40" t="n">
        <v>8</v>
      </c>
      <c r="I106" s="40" t="inlineStr">
        <is>
          <t>Start Search</t>
        </is>
      </c>
      <c r="J106" s="40" t="inlineStr">
        <is>
          <t>1-23 August 2025</t>
        </is>
      </c>
      <c r="K106" s="55" t="n">
        <v>480</v>
      </c>
      <c r="L106" s="40" t="inlineStr">
        <is>
          <t>Visit→Engagement 1-23 August 2025</t>
        </is>
      </c>
      <c r="M106" s="40">
        <f>IF(Countries!I274="","STILL MISSING","Filled ✓")</f>
        <v/>
      </c>
    </row>
    <row r="107">
      <c r="A107" s="56" t="inlineStr">
        <is>
          <t>Countries</t>
        </is>
      </c>
      <c r="B107" s="56" t="inlineStr">
        <is>
          <t>J274</t>
        </is>
      </c>
      <c r="C107" s="56" t="n">
        <v>274</v>
      </c>
      <c r="D107" s="56" t="inlineStr">
        <is>
          <t>Airport page</t>
        </is>
      </c>
      <c r="E107" s="56" t="inlineStr">
        <is>
          <t>Organic</t>
        </is>
      </c>
      <c r="F107" s="56" t="inlineStr">
        <is>
          <t>Desktop</t>
        </is>
      </c>
      <c r="G107" s="56" t="inlineStr">
        <is>
          <t>Poland</t>
        </is>
      </c>
      <c r="H107" s="56" t="n">
        <v>8</v>
      </c>
      <c r="I107" s="56" t="inlineStr">
        <is>
          <t>Start Search</t>
        </is>
      </c>
      <c r="J107" s="56" t="inlineStr">
        <is>
          <t>1-23 August 2026</t>
        </is>
      </c>
      <c r="K107" s="57" t="n">
        <v>480</v>
      </c>
      <c r="L107" s="56" t="inlineStr">
        <is>
          <t>Visit→Engagement 1-23 August 2026</t>
        </is>
      </c>
      <c r="M107" s="40">
        <f>IF(Countries!J274="","STILL MISSING","Filled ✓")</f>
        <v/>
      </c>
    </row>
    <row r="108">
      <c r="A108" s="40" t="inlineStr">
        <is>
          <t>Countries</t>
        </is>
      </c>
      <c r="B108" s="40" t="inlineStr">
        <is>
          <t>AR258</t>
        </is>
      </c>
      <c r="C108" s="40" t="n">
        <v>258</v>
      </c>
      <c r="D108" s="40" t="inlineStr">
        <is>
          <t>Airport page</t>
        </is>
      </c>
      <c r="E108" s="40" t="inlineStr">
        <is>
          <t>Organic</t>
        </is>
      </c>
      <c r="F108" s="40" t="inlineStr">
        <is>
          <t>Mobile</t>
        </is>
      </c>
      <c r="G108" s="40" t="inlineStr">
        <is>
          <t>Poland</t>
        </is>
      </c>
      <c r="H108" s="40" t="n">
        <v>8</v>
      </c>
      <c r="I108" s="40" t="inlineStr">
        <is>
          <t>Purchases</t>
        </is>
      </c>
      <c r="J108" s="40" t="inlineStr">
        <is>
          <t>1-23 August 2025</t>
        </is>
      </c>
      <c r="K108" s="55" t="n">
        <v>848</v>
      </c>
      <c r="L108" s="40" t="inlineStr">
        <is>
          <t>CR 1-23 August 2025 + Search→Booking 1-23 August 2025</t>
        </is>
      </c>
      <c r="M108" s="40">
        <f>IF(Countries!AR258="","STILL MISSING","Filled ✓")</f>
        <v/>
      </c>
    </row>
    <row r="109">
      <c r="A109" s="56" t="inlineStr">
        <is>
          <t>Countries</t>
        </is>
      </c>
      <c r="B109" s="56" t="inlineStr">
        <is>
          <t>AS258</t>
        </is>
      </c>
      <c r="C109" s="56" t="n">
        <v>258</v>
      </c>
      <c r="D109" s="56" t="inlineStr">
        <is>
          <t>Airport page</t>
        </is>
      </c>
      <c r="E109" s="56" t="inlineStr">
        <is>
          <t>Organic</t>
        </is>
      </c>
      <c r="F109" s="56" t="inlineStr">
        <is>
          <t>Mobile</t>
        </is>
      </c>
      <c r="G109" s="56" t="inlineStr">
        <is>
          <t>Poland</t>
        </is>
      </c>
      <c r="H109" s="56" t="n">
        <v>8</v>
      </c>
      <c r="I109" s="56" t="inlineStr">
        <is>
          <t>Purchases</t>
        </is>
      </c>
      <c r="J109" s="56" t="inlineStr">
        <is>
          <t>1-23 August 2026</t>
        </is>
      </c>
      <c r="K109" s="57" t="n">
        <v>848</v>
      </c>
      <c r="L109" s="56" t="inlineStr">
        <is>
          <t>CR 1-23 August 2026 + Search→Booking 1-23 August 2026</t>
        </is>
      </c>
      <c r="M109" s="40">
        <f>IF(Countries!AS258="","STILL MISSING","Filled ✓")</f>
        <v/>
      </c>
    </row>
    <row r="110">
      <c r="A110" s="40" t="inlineStr">
        <is>
          <t>Countries</t>
        </is>
      </c>
      <c r="B110" s="40" t="inlineStr">
        <is>
          <t>W258</t>
        </is>
      </c>
      <c r="C110" s="40" t="n">
        <v>258</v>
      </c>
      <c r="D110" s="40" t="inlineStr">
        <is>
          <t>Airport page</t>
        </is>
      </c>
      <c r="E110" s="40" t="inlineStr">
        <is>
          <t>Organic</t>
        </is>
      </c>
      <c r="F110" s="40" t="inlineStr">
        <is>
          <t>Mobile</t>
        </is>
      </c>
      <c r="G110" s="40" t="inlineStr">
        <is>
          <t>Poland</t>
        </is>
      </c>
      <c r="H110" s="40" t="n">
        <v>8</v>
      </c>
      <c r="I110" s="40" t="inlineStr">
        <is>
          <t>Select item</t>
        </is>
      </c>
      <c r="J110" s="40" t="inlineStr">
        <is>
          <t>1-23 August 2025</t>
        </is>
      </c>
      <c r="K110" s="55" t="n">
        <v>848</v>
      </c>
      <c r="L110" s="40" t="inlineStr">
        <is>
          <t>Search→Select 1-23 August 2025</t>
        </is>
      </c>
      <c r="M110" s="40">
        <f>IF(Countries!W258="","STILL MISSING","Filled ✓")</f>
        <v/>
      </c>
    </row>
    <row r="111">
      <c r="A111" s="56" t="inlineStr">
        <is>
          <t>Countries</t>
        </is>
      </c>
      <c r="B111" s="56" t="inlineStr">
        <is>
          <t>X258</t>
        </is>
      </c>
      <c r="C111" s="56" t="n">
        <v>258</v>
      </c>
      <c r="D111" s="56" t="inlineStr">
        <is>
          <t>Airport page</t>
        </is>
      </c>
      <c r="E111" s="56" t="inlineStr">
        <is>
          <t>Organic</t>
        </is>
      </c>
      <c r="F111" s="56" t="inlineStr">
        <is>
          <t>Mobile</t>
        </is>
      </c>
      <c r="G111" s="56" t="inlineStr">
        <is>
          <t>Poland</t>
        </is>
      </c>
      <c r="H111" s="56" t="n">
        <v>8</v>
      </c>
      <c r="I111" s="56" t="inlineStr">
        <is>
          <t>Select item</t>
        </is>
      </c>
      <c r="J111" s="56" t="inlineStr">
        <is>
          <t>1-23 August 2026</t>
        </is>
      </c>
      <c r="K111" s="57" t="n">
        <v>848</v>
      </c>
      <c r="L111" s="56" t="inlineStr">
        <is>
          <t>Search→Select 1-23 August 2026</t>
        </is>
      </c>
      <c r="M111" s="40">
        <f>IF(Countries!X258="","STILL MISSING","Filled ✓")</f>
        <v/>
      </c>
    </row>
    <row r="112">
      <c r="A112" s="40" t="inlineStr">
        <is>
          <t>Countries</t>
        </is>
      </c>
      <c r="B112" s="40" t="inlineStr">
        <is>
          <t>I258</t>
        </is>
      </c>
      <c r="C112" s="40" t="n">
        <v>258</v>
      </c>
      <c r="D112" s="40" t="inlineStr">
        <is>
          <t>Airport page</t>
        </is>
      </c>
      <c r="E112" s="40" t="inlineStr">
        <is>
          <t>Organic</t>
        </is>
      </c>
      <c r="F112" s="40" t="inlineStr">
        <is>
          <t>Mobile</t>
        </is>
      </c>
      <c r="G112" s="40" t="inlineStr">
        <is>
          <t>Poland</t>
        </is>
      </c>
      <c r="H112" s="40" t="n">
        <v>8</v>
      </c>
      <c r="I112" s="40" t="inlineStr">
        <is>
          <t>Start Search</t>
        </is>
      </c>
      <c r="J112" s="40" t="inlineStr">
        <is>
          <t>1-23 August 2025</t>
        </is>
      </c>
      <c r="K112" s="55" t="n">
        <v>848</v>
      </c>
      <c r="L112" s="40" t="inlineStr">
        <is>
          <t>Visit→Engagement 1-23 August 2025</t>
        </is>
      </c>
      <c r="M112" s="40">
        <f>IF(Countries!I258="","STILL MISSING","Filled ✓")</f>
        <v/>
      </c>
    </row>
    <row r="113">
      <c r="A113" s="56" t="inlineStr">
        <is>
          <t>Countries</t>
        </is>
      </c>
      <c r="B113" s="56" t="inlineStr">
        <is>
          <t>J258</t>
        </is>
      </c>
      <c r="C113" s="56" t="n">
        <v>258</v>
      </c>
      <c r="D113" s="56" t="inlineStr">
        <is>
          <t>Airport page</t>
        </is>
      </c>
      <c r="E113" s="56" t="inlineStr">
        <is>
          <t>Organic</t>
        </is>
      </c>
      <c r="F113" s="56" t="inlineStr">
        <is>
          <t>Mobile</t>
        </is>
      </c>
      <c r="G113" s="56" t="inlineStr">
        <is>
          <t>Poland</t>
        </is>
      </c>
      <c r="H113" s="56" t="n">
        <v>8</v>
      </c>
      <c r="I113" s="56" t="inlineStr">
        <is>
          <t>Start Search</t>
        </is>
      </c>
      <c r="J113" s="56" t="inlineStr">
        <is>
          <t>1-23 August 2026</t>
        </is>
      </c>
      <c r="K113" s="57" t="n">
        <v>848</v>
      </c>
      <c r="L113" s="56" t="inlineStr">
        <is>
          <t>Visit→Engagement 1-23 August 2026</t>
        </is>
      </c>
      <c r="M113" s="40">
        <f>IF(Countries!J258="","STILL MISSING","Filled ✓")</f>
        <v/>
      </c>
    </row>
    <row r="114">
      <c r="A114" s="40" t="inlineStr">
        <is>
          <t>Countries</t>
        </is>
      </c>
      <c r="B114" s="40" t="inlineStr">
        <is>
          <t>AR312</t>
        </is>
      </c>
      <c r="C114" s="40" t="n">
        <v>312</v>
      </c>
      <c r="D114" s="40" t="inlineStr">
        <is>
          <t>Airport page</t>
        </is>
      </c>
      <c r="E114" s="40" t="inlineStr">
        <is>
          <t>Direct</t>
        </is>
      </c>
      <c r="F114" s="40" t="inlineStr">
        <is>
          <t>Desktop</t>
        </is>
      </c>
      <c r="G114" s="40" t="inlineStr">
        <is>
          <t>Poland</t>
        </is>
      </c>
      <c r="H114" s="40" t="n">
        <v>8</v>
      </c>
      <c r="I114" s="40" t="inlineStr">
        <is>
          <t>Purchases</t>
        </is>
      </c>
      <c r="J114" s="40" t="inlineStr">
        <is>
          <t>1-23 August 2025</t>
        </is>
      </c>
      <c r="K114" s="55" t="n">
        <v>222</v>
      </c>
      <c r="L114" s="40" t="inlineStr">
        <is>
          <t>CR 1-23 August 2025 + Search→Booking 1-23 August 2025</t>
        </is>
      </c>
      <c r="M114" s="40">
        <f>IF(Countries!AR312="","STILL MISSING","Filled ✓")</f>
        <v/>
      </c>
    </row>
    <row r="115">
      <c r="A115" s="56" t="inlineStr">
        <is>
          <t>Countries</t>
        </is>
      </c>
      <c r="B115" s="56" t="inlineStr">
        <is>
          <t>AS312</t>
        </is>
      </c>
      <c r="C115" s="56" t="n">
        <v>312</v>
      </c>
      <c r="D115" s="56" t="inlineStr">
        <is>
          <t>Airport page</t>
        </is>
      </c>
      <c r="E115" s="56" t="inlineStr">
        <is>
          <t>Direct</t>
        </is>
      </c>
      <c r="F115" s="56" t="inlineStr">
        <is>
          <t>Desktop</t>
        </is>
      </c>
      <c r="G115" s="56" t="inlineStr">
        <is>
          <t>Poland</t>
        </is>
      </c>
      <c r="H115" s="56" t="n">
        <v>8</v>
      </c>
      <c r="I115" s="56" t="inlineStr">
        <is>
          <t>Purchases</t>
        </is>
      </c>
      <c r="J115" s="56" t="inlineStr">
        <is>
          <t>1-23 August 2026</t>
        </is>
      </c>
      <c r="K115" s="57" t="n">
        <v>222</v>
      </c>
      <c r="L115" s="56" t="inlineStr">
        <is>
          <t>CR 1-23 August 2026 + Search→Booking 1-23 August 2026</t>
        </is>
      </c>
      <c r="M115" s="40">
        <f>IF(Countries!AS312="","STILL MISSING","Filled ✓")</f>
        <v/>
      </c>
    </row>
    <row r="116">
      <c r="A116" s="40" t="inlineStr">
        <is>
          <t>Countries</t>
        </is>
      </c>
      <c r="B116" s="40" t="inlineStr">
        <is>
          <t>W312</t>
        </is>
      </c>
      <c r="C116" s="40" t="n">
        <v>312</v>
      </c>
      <c r="D116" s="40" t="inlineStr">
        <is>
          <t>Airport page</t>
        </is>
      </c>
      <c r="E116" s="40" t="inlineStr">
        <is>
          <t>Direct</t>
        </is>
      </c>
      <c r="F116" s="40" t="inlineStr">
        <is>
          <t>Desktop</t>
        </is>
      </c>
      <c r="G116" s="40" t="inlineStr">
        <is>
          <t>Poland</t>
        </is>
      </c>
      <c r="H116" s="40" t="n">
        <v>8</v>
      </c>
      <c r="I116" s="40" t="inlineStr">
        <is>
          <t>Select item</t>
        </is>
      </c>
      <c r="J116" s="40" t="inlineStr">
        <is>
          <t>1-23 August 2025</t>
        </is>
      </c>
      <c r="K116" s="55" t="n">
        <v>222</v>
      </c>
      <c r="L116" s="40" t="inlineStr">
        <is>
          <t>Search→Select 1-23 August 2025</t>
        </is>
      </c>
      <c r="M116" s="40">
        <f>IF(Countries!W312="","STILL MISSING","Filled ✓")</f>
        <v/>
      </c>
    </row>
    <row r="117">
      <c r="A117" s="56" t="inlineStr">
        <is>
          <t>Countries</t>
        </is>
      </c>
      <c r="B117" s="56" t="inlineStr">
        <is>
          <t>X312</t>
        </is>
      </c>
      <c r="C117" s="56" t="n">
        <v>312</v>
      </c>
      <c r="D117" s="56" t="inlineStr">
        <is>
          <t>Airport page</t>
        </is>
      </c>
      <c r="E117" s="56" t="inlineStr">
        <is>
          <t>Direct</t>
        </is>
      </c>
      <c r="F117" s="56" t="inlineStr">
        <is>
          <t>Desktop</t>
        </is>
      </c>
      <c r="G117" s="56" t="inlineStr">
        <is>
          <t>Poland</t>
        </is>
      </c>
      <c r="H117" s="56" t="n">
        <v>8</v>
      </c>
      <c r="I117" s="56" t="inlineStr">
        <is>
          <t>Select item</t>
        </is>
      </c>
      <c r="J117" s="56" t="inlineStr">
        <is>
          <t>1-23 August 2026</t>
        </is>
      </c>
      <c r="K117" s="57" t="n">
        <v>222</v>
      </c>
      <c r="L117" s="56" t="inlineStr">
        <is>
          <t>Search→Select 1-23 August 2026</t>
        </is>
      </c>
      <c r="M117" s="40">
        <f>IF(Countries!X312="","STILL MISSING","Filled ✓")</f>
        <v/>
      </c>
    </row>
    <row r="118">
      <c r="A118" s="40" t="inlineStr">
        <is>
          <t>Countries</t>
        </is>
      </c>
      <c r="B118" s="40" t="inlineStr">
        <is>
          <t>I312</t>
        </is>
      </c>
      <c r="C118" s="40" t="n">
        <v>312</v>
      </c>
      <c r="D118" s="40" t="inlineStr">
        <is>
          <t>Airport page</t>
        </is>
      </c>
      <c r="E118" s="40" t="inlineStr">
        <is>
          <t>Direct</t>
        </is>
      </c>
      <c r="F118" s="40" t="inlineStr">
        <is>
          <t>Desktop</t>
        </is>
      </c>
      <c r="G118" s="40" t="inlineStr">
        <is>
          <t>Poland</t>
        </is>
      </c>
      <c r="H118" s="40" t="n">
        <v>8</v>
      </c>
      <c r="I118" s="40" t="inlineStr">
        <is>
          <t>Start Search</t>
        </is>
      </c>
      <c r="J118" s="40" t="inlineStr">
        <is>
          <t>1-23 August 2025</t>
        </is>
      </c>
      <c r="K118" s="55" t="n">
        <v>222</v>
      </c>
      <c r="L118" s="40" t="inlineStr">
        <is>
          <t>Visit→Engagement 1-23 August 2025</t>
        </is>
      </c>
      <c r="M118" s="40">
        <f>IF(Countries!I312="","STILL MISSING","Filled ✓")</f>
        <v/>
      </c>
    </row>
    <row r="119">
      <c r="A119" s="56" t="inlineStr">
        <is>
          <t>Countries</t>
        </is>
      </c>
      <c r="B119" s="56" t="inlineStr">
        <is>
          <t>J312</t>
        </is>
      </c>
      <c r="C119" s="56" t="n">
        <v>312</v>
      </c>
      <c r="D119" s="56" t="inlineStr">
        <is>
          <t>Airport page</t>
        </is>
      </c>
      <c r="E119" s="56" t="inlineStr">
        <is>
          <t>Direct</t>
        </is>
      </c>
      <c r="F119" s="56" t="inlineStr">
        <is>
          <t>Desktop</t>
        </is>
      </c>
      <c r="G119" s="56" t="inlineStr">
        <is>
          <t>Poland</t>
        </is>
      </c>
      <c r="H119" s="56" t="n">
        <v>8</v>
      </c>
      <c r="I119" s="56" t="inlineStr">
        <is>
          <t>Start Search</t>
        </is>
      </c>
      <c r="J119" s="56" t="inlineStr">
        <is>
          <t>1-23 August 2026</t>
        </is>
      </c>
      <c r="K119" s="57" t="n">
        <v>222</v>
      </c>
      <c r="L119" s="56" t="inlineStr">
        <is>
          <t>Visit→Engagement 1-23 August 2026</t>
        </is>
      </c>
      <c r="M119" s="40">
        <f>IF(Countries!J312="","STILL MISSING","Filled ✓")</f>
        <v/>
      </c>
    </row>
    <row r="120">
      <c r="A120" s="40" t="inlineStr">
        <is>
          <t>Countries</t>
        </is>
      </c>
      <c r="B120" s="40" t="inlineStr">
        <is>
          <t>AR298</t>
        </is>
      </c>
      <c r="C120" s="40" t="n">
        <v>298</v>
      </c>
      <c r="D120" s="40" t="inlineStr">
        <is>
          <t>Airport page</t>
        </is>
      </c>
      <c r="E120" s="40" t="inlineStr">
        <is>
          <t>Direct</t>
        </is>
      </c>
      <c r="F120" s="40" t="inlineStr">
        <is>
          <t>Mobile</t>
        </is>
      </c>
      <c r="G120" s="40" t="inlineStr">
        <is>
          <t>Poland</t>
        </is>
      </c>
      <c r="H120" s="40" t="n">
        <v>8</v>
      </c>
      <c r="I120" s="40" t="inlineStr">
        <is>
          <t>Purchases</t>
        </is>
      </c>
      <c r="J120" s="40" t="inlineStr">
        <is>
          <t>1-23 August 2025</t>
        </is>
      </c>
      <c r="K120" s="55" t="n">
        <v>45</v>
      </c>
      <c r="L120" s="40" t="inlineStr">
        <is>
          <t>CR 1-23 August 2025 + Search→Booking 1-23 August 2025</t>
        </is>
      </c>
      <c r="M120" s="40">
        <f>IF(Countries!AR298="","STILL MISSING","Filled ✓")</f>
        <v/>
      </c>
    </row>
    <row r="121">
      <c r="A121" s="56" t="inlineStr">
        <is>
          <t>Countries</t>
        </is>
      </c>
      <c r="B121" s="56" t="inlineStr">
        <is>
          <t>AS298</t>
        </is>
      </c>
      <c r="C121" s="56" t="n">
        <v>298</v>
      </c>
      <c r="D121" s="56" t="inlineStr">
        <is>
          <t>Airport page</t>
        </is>
      </c>
      <c r="E121" s="56" t="inlineStr">
        <is>
          <t>Direct</t>
        </is>
      </c>
      <c r="F121" s="56" t="inlineStr">
        <is>
          <t>Mobile</t>
        </is>
      </c>
      <c r="G121" s="56" t="inlineStr">
        <is>
          <t>Poland</t>
        </is>
      </c>
      <c r="H121" s="56" t="n">
        <v>8</v>
      </c>
      <c r="I121" s="56" t="inlineStr">
        <is>
          <t>Purchases</t>
        </is>
      </c>
      <c r="J121" s="56" t="inlineStr">
        <is>
          <t>1-23 August 2026</t>
        </is>
      </c>
      <c r="K121" s="57" t="n">
        <v>45</v>
      </c>
      <c r="L121" s="56" t="inlineStr">
        <is>
          <t>CR 1-23 August 2026 + Search→Booking 1-23 August 2026</t>
        </is>
      </c>
      <c r="M121" s="40">
        <f>IF(Countries!AS298="","STILL MISSING","Filled ✓")</f>
        <v/>
      </c>
    </row>
    <row r="122">
      <c r="A122" s="40" t="inlineStr">
        <is>
          <t>Countries</t>
        </is>
      </c>
      <c r="B122" s="40" t="inlineStr">
        <is>
          <t>W298</t>
        </is>
      </c>
      <c r="C122" s="40" t="n">
        <v>298</v>
      </c>
      <c r="D122" s="40" t="inlineStr">
        <is>
          <t>Airport page</t>
        </is>
      </c>
      <c r="E122" s="40" t="inlineStr">
        <is>
          <t>Direct</t>
        </is>
      </c>
      <c r="F122" s="40" t="inlineStr">
        <is>
          <t>Mobile</t>
        </is>
      </c>
      <c r="G122" s="40" t="inlineStr">
        <is>
          <t>Poland</t>
        </is>
      </c>
      <c r="H122" s="40" t="n">
        <v>8</v>
      </c>
      <c r="I122" s="40" t="inlineStr">
        <is>
          <t>Select item</t>
        </is>
      </c>
      <c r="J122" s="40" t="inlineStr">
        <is>
          <t>1-23 August 2025</t>
        </is>
      </c>
      <c r="K122" s="55" t="n">
        <v>45</v>
      </c>
      <c r="L122" s="40" t="inlineStr">
        <is>
          <t>Search→Select 1-23 August 2025</t>
        </is>
      </c>
      <c r="M122" s="40">
        <f>IF(Countries!W298="","STILL MISSING","Filled ✓")</f>
        <v/>
      </c>
    </row>
    <row r="123">
      <c r="A123" s="56" t="inlineStr">
        <is>
          <t>Countries</t>
        </is>
      </c>
      <c r="B123" s="56" t="inlineStr">
        <is>
          <t>X298</t>
        </is>
      </c>
      <c r="C123" s="56" t="n">
        <v>298</v>
      </c>
      <c r="D123" s="56" t="inlineStr">
        <is>
          <t>Airport page</t>
        </is>
      </c>
      <c r="E123" s="56" t="inlineStr">
        <is>
          <t>Direct</t>
        </is>
      </c>
      <c r="F123" s="56" t="inlineStr">
        <is>
          <t>Mobile</t>
        </is>
      </c>
      <c r="G123" s="56" t="inlineStr">
        <is>
          <t>Poland</t>
        </is>
      </c>
      <c r="H123" s="56" t="n">
        <v>8</v>
      </c>
      <c r="I123" s="56" t="inlineStr">
        <is>
          <t>Select item</t>
        </is>
      </c>
      <c r="J123" s="56" t="inlineStr">
        <is>
          <t>1-23 August 2026</t>
        </is>
      </c>
      <c r="K123" s="57" t="n">
        <v>45</v>
      </c>
      <c r="L123" s="56" t="inlineStr">
        <is>
          <t>Search→Select 1-23 August 2026</t>
        </is>
      </c>
      <c r="M123" s="40">
        <f>IF(Countries!X298="","STILL MISSING","Filled ✓")</f>
        <v/>
      </c>
    </row>
    <row r="124">
      <c r="A124" s="40" t="inlineStr">
        <is>
          <t>Countries</t>
        </is>
      </c>
      <c r="B124" s="40" t="inlineStr">
        <is>
          <t>I298</t>
        </is>
      </c>
      <c r="C124" s="40" t="n">
        <v>298</v>
      </c>
      <c r="D124" s="40" t="inlineStr">
        <is>
          <t>Airport page</t>
        </is>
      </c>
      <c r="E124" s="40" t="inlineStr">
        <is>
          <t>Direct</t>
        </is>
      </c>
      <c r="F124" s="40" t="inlineStr">
        <is>
          <t>Mobile</t>
        </is>
      </c>
      <c r="G124" s="40" t="inlineStr">
        <is>
          <t>Poland</t>
        </is>
      </c>
      <c r="H124" s="40" t="n">
        <v>8</v>
      </c>
      <c r="I124" s="40" t="inlineStr">
        <is>
          <t>Start Search</t>
        </is>
      </c>
      <c r="J124" s="40" t="inlineStr">
        <is>
          <t>1-23 August 2025</t>
        </is>
      </c>
      <c r="K124" s="55" t="n">
        <v>45</v>
      </c>
      <c r="L124" s="40" t="inlineStr">
        <is>
          <t>Visit→Engagement 1-23 August 2025</t>
        </is>
      </c>
      <c r="M124" s="40">
        <f>IF(Countries!I298="","STILL MISSING","Filled ✓")</f>
        <v/>
      </c>
    </row>
    <row r="125">
      <c r="A125" s="56" t="inlineStr">
        <is>
          <t>Countries</t>
        </is>
      </c>
      <c r="B125" s="56" t="inlineStr">
        <is>
          <t>J298</t>
        </is>
      </c>
      <c r="C125" s="56" t="n">
        <v>298</v>
      </c>
      <c r="D125" s="56" t="inlineStr">
        <is>
          <t>Airport page</t>
        </is>
      </c>
      <c r="E125" s="56" t="inlineStr">
        <is>
          <t>Direct</t>
        </is>
      </c>
      <c r="F125" s="56" t="inlineStr">
        <is>
          <t>Mobile</t>
        </is>
      </c>
      <c r="G125" s="56" t="inlineStr">
        <is>
          <t>Poland</t>
        </is>
      </c>
      <c r="H125" s="56" t="n">
        <v>8</v>
      </c>
      <c r="I125" s="56" t="inlineStr">
        <is>
          <t>Start Search</t>
        </is>
      </c>
      <c r="J125" s="56" t="inlineStr">
        <is>
          <t>1-23 August 2026</t>
        </is>
      </c>
      <c r="K125" s="57" t="n">
        <v>45</v>
      </c>
      <c r="L125" s="56" t="inlineStr">
        <is>
          <t>Visit→Engagement 1-23 August 2026</t>
        </is>
      </c>
      <c r="M125" s="40">
        <f>IF(Countries!J298="","STILL MISSING","Filled ✓")</f>
        <v/>
      </c>
    </row>
    <row r="126">
      <c r="A126" s="40" t="inlineStr">
        <is>
          <t>Countries</t>
        </is>
      </c>
      <c r="B126" s="40" t="inlineStr">
        <is>
          <t>AR351</t>
        </is>
      </c>
      <c r="C126" s="40" t="n">
        <v>351</v>
      </c>
      <c r="D126" s="40" t="inlineStr">
        <is>
          <t>Route page</t>
        </is>
      </c>
      <c r="E126" s="40" t="inlineStr">
        <is>
          <t>Paid Search</t>
        </is>
      </c>
      <c r="F126" s="40" t="inlineStr">
        <is>
          <t>Desktop</t>
        </is>
      </c>
      <c r="G126" s="40" t="inlineStr">
        <is>
          <t>Poland</t>
        </is>
      </c>
      <c r="H126" s="40" t="n">
        <v>8</v>
      </c>
      <c r="I126" s="40" t="inlineStr">
        <is>
          <t>Purchases</t>
        </is>
      </c>
      <c r="J126" s="40" t="inlineStr">
        <is>
          <t>1-23 August 2025</t>
        </is>
      </c>
      <c r="K126" s="55" t="n">
        <v>467</v>
      </c>
      <c r="L126" s="40" t="inlineStr">
        <is>
          <t>CR 1-23 August 2025 + Search→Booking 1-23 August 2025</t>
        </is>
      </c>
      <c r="M126" s="40">
        <f>IF(Countries!AR351="","STILL MISSING","Filled ✓")</f>
        <v/>
      </c>
    </row>
    <row r="127">
      <c r="A127" s="56" t="inlineStr">
        <is>
          <t>Countries</t>
        </is>
      </c>
      <c r="B127" s="56" t="inlineStr">
        <is>
          <t>AS351</t>
        </is>
      </c>
      <c r="C127" s="56" t="n">
        <v>351</v>
      </c>
      <c r="D127" s="56" t="inlineStr">
        <is>
          <t>Route page</t>
        </is>
      </c>
      <c r="E127" s="56" t="inlineStr">
        <is>
          <t>Paid Search</t>
        </is>
      </c>
      <c r="F127" s="56" t="inlineStr">
        <is>
          <t>Desktop</t>
        </is>
      </c>
      <c r="G127" s="56" t="inlineStr">
        <is>
          <t>Poland</t>
        </is>
      </c>
      <c r="H127" s="56" t="n">
        <v>8</v>
      </c>
      <c r="I127" s="56" t="inlineStr">
        <is>
          <t>Purchases</t>
        </is>
      </c>
      <c r="J127" s="56" t="inlineStr">
        <is>
          <t>1-23 August 2026</t>
        </is>
      </c>
      <c r="K127" s="57" t="n">
        <v>467</v>
      </c>
      <c r="L127" s="56" t="inlineStr">
        <is>
          <t>CR 1-23 August 2026 + Search→Booking 1-23 August 2026</t>
        </is>
      </c>
      <c r="M127" s="40">
        <f>IF(Countries!AS351="","STILL MISSING","Filled ✓")</f>
        <v/>
      </c>
    </row>
    <row r="128">
      <c r="A128" s="40" t="inlineStr">
        <is>
          <t>Countries</t>
        </is>
      </c>
      <c r="B128" s="40" t="inlineStr">
        <is>
          <t>W351</t>
        </is>
      </c>
      <c r="C128" s="40" t="n">
        <v>351</v>
      </c>
      <c r="D128" s="40" t="inlineStr">
        <is>
          <t>Route page</t>
        </is>
      </c>
      <c r="E128" s="40" t="inlineStr">
        <is>
          <t>Paid Search</t>
        </is>
      </c>
      <c r="F128" s="40" t="inlineStr">
        <is>
          <t>Desktop</t>
        </is>
      </c>
      <c r="G128" s="40" t="inlineStr">
        <is>
          <t>Poland</t>
        </is>
      </c>
      <c r="H128" s="40" t="n">
        <v>8</v>
      </c>
      <c r="I128" s="40" t="inlineStr">
        <is>
          <t>Select item</t>
        </is>
      </c>
      <c r="J128" s="40" t="inlineStr">
        <is>
          <t>1-23 August 2025</t>
        </is>
      </c>
      <c r="K128" s="55" t="n">
        <v>467</v>
      </c>
      <c r="L128" s="40" t="inlineStr">
        <is>
          <t>Search→Select 1-23 August 2025</t>
        </is>
      </c>
      <c r="M128" s="40">
        <f>IF(Countries!W351="","STILL MISSING","Filled ✓")</f>
        <v/>
      </c>
    </row>
    <row r="129">
      <c r="A129" s="56" t="inlineStr">
        <is>
          <t>Countries</t>
        </is>
      </c>
      <c r="B129" s="56" t="inlineStr">
        <is>
          <t>X351</t>
        </is>
      </c>
      <c r="C129" s="56" t="n">
        <v>351</v>
      </c>
      <c r="D129" s="56" t="inlineStr">
        <is>
          <t>Route page</t>
        </is>
      </c>
      <c r="E129" s="56" t="inlineStr">
        <is>
          <t>Paid Search</t>
        </is>
      </c>
      <c r="F129" s="56" t="inlineStr">
        <is>
          <t>Desktop</t>
        </is>
      </c>
      <c r="G129" s="56" t="inlineStr">
        <is>
          <t>Poland</t>
        </is>
      </c>
      <c r="H129" s="56" t="n">
        <v>8</v>
      </c>
      <c r="I129" s="56" t="inlineStr">
        <is>
          <t>Select item</t>
        </is>
      </c>
      <c r="J129" s="56" t="inlineStr">
        <is>
          <t>1-23 August 2026</t>
        </is>
      </c>
      <c r="K129" s="57" t="n">
        <v>467</v>
      </c>
      <c r="L129" s="56" t="inlineStr">
        <is>
          <t>Search→Select 1-23 August 2026</t>
        </is>
      </c>
      <c r="M129" s="40">
        <f>IF(Countries!X351="","STILL MISSING","Filled ✓")</f>
        <v/>
      </c>
    </row>
    <row r="130">
      <c r="A130" s="40" t="inlineStr">
        <is>
          <t>Countries</t>
        </is>
      </c>
      <c r="B130" s="40" t="inlineStr">
        <is>
          <t>I351</t>
        </is>
      </c>
      <c r="C130" s="40" t="n">
        <v>351</v>
      </c>
      <c r="D130" s="40" t="inlineStr">
        <is>
          <t>Route page</t>
        </is>
      </c>
      <c r="E130" s="40" t="inlineStr">
        <is>
          <t>Paid Search</t>
        </is>
      </c>
      <c r="F130" s="40" t="inlineStr">
        <is>
          <t>Desktop</t>
        </is>
      </c>
      <c r="G130" s="40" t="inlineStr">
        <is>
          <t>Poland</t>
        </is>
      </c>
      <c r="H130" s="40" t="n">
        <v>8</v>
      </c>
      <c r="I130" s="40" t="inlineStr">
        <is>
          <t>Start Search</t>
        </is>
      </c>
      <c r="J130" s="40" t="inlineStr">
        <is>
          <t>1-23 August 2025</t>
        </is>
      </c>
      <c r="K130" s="55" t="n">
        <v>467</v>
      </c>
      <c r="L130" s="40" t="inlineStr">
        <is>
          <t>Visit→Engagement 1-23 August 2025</t>
        </is>
      </c>
      <c r="M130" s="40">
        <f>IF(Countries!I351="","STILL MISSING","Filled ✓")</f>
        <v/>
      </c>
    </row>
    <row r="131">
      <c r="A131" s="56" t="inlineStr">
        <is>
          <t>Countries</t>
        </is>
      </c>
      <c r="B131" s="56" t="inlineStr">
        <is>
          <t>J351</t>
        </is>
      </c>
      <c r="C131" s="56" t="n">
        <v>351</v>
      </c>
      <c r="D131" s="56" t="inlineStr">
        <is>
          <t>Route page</t>
        </is>
      </c>
      <c r="E131" s="56" t="inlineStr">
        <is>
          <t>Paid Search</t>
        </is>
      </c>
      <c r="F131" s="56" t="inlineStr">
        <is>
          <t>Desktop</t>
        </is>
      </c>
      <c r="G131" s="56" t="inlineStr">
        <is>
          <t>Poland</t>
        </is>
      </c>
      <c r="H131" s="56" t="n">
        <v>8</v>
      </c>
      <c r="I131" s="56" t="inlineStr">
        <is>
          <t>Start Search</t>
        </is>
      </c>
      <c r="J131" s="56" t="inlineStr">
        <is>
          <t>1-23 August 2026</t>
        </is>
      </c>
      <c r="K131" s="57" t="n">
        <v>467</v>
      </c>
      <c r="L131" s="56" t="inlineStr">
        <is>
          <t>Visit→Engagement 1-23 August 2026</t>
        </is>
      </c>
      <c r="M131" s="40">
        <f>IF(Countries!J351="","STILL MISSING","Filled ✓")</f>
        <v/>
      </c>
    </row>
    <row r="132">
      <c r="A132" s="40" t="inlineStr">
        <is>
          <t>Countries</t>
        </is>
      </c>
      <c r="B132" s="40" t="inlineStr">
        <is>
          <t>AR331</t>
        </is>
      </c>
      <c r="C132" s="40" t="n">
        <v>331</v>
      </c>
      <c r="D132" s="40" t="inlineStr">
        <is>
          <t>Route page</t>
        </is>
      </c>
      <c r="E132" s="40" t="inlineStr">
        <is>
          <t>Paid Search</t>
        </is>
      </c>
      <c r="F132" s="40" t="inlineStr">
        <is>
          <t>Mobile</t>
        </is>
      </c>
      <c r="G132" s="40" t="inlineStr">
        <is>
          <t>Poland</t>
        </is>
      </c>
      <c r="H132" s="40" t="n">
        <v>8</v>
      </c>
      <c r="I132" s="40" t="inlineStr">
        <is>
          <t>Purchases</t>
        </is>
      </c>
      <c r="J132" s="40" t="inlineStr">
        <is>
          <t>1-23 August 2025</t>
        </is>
      </c>
      <c r="K132" s="55" t="n">
        <v>767</v>
      </c>
      <c r="L132" s="40" t="inlineStr">
        <is>
          <t>CR 1-23 August 2025 + Search→Booking 1-23 August 2025</t>
        </is>
      </c>
      <c r="M132" s="40">
        <f>IF(Countries!AR331="","STILL MISSING","Filled ✓")</f>
        <v/>
      </c>
    </row>
    <row r="133">
      <c r="A133" s="56" t="inlineStr">
        <is>
          <t>Countries</t>
        </is>
      </c>
      <c r="B133" s="56" t="inlineStr">
        <is>
          <t>AS331</t>
        </is>
      </c>
      <c r="C133" s="56" t="n">
        <v>331</v>
      </c>
      <c r="D133" s="56" t="inlineStr">
        <is>
          <t>Route page</t>
        </is>
      </c>
      <c r="E133" s="56" t="inlineStr">
        <is>
          <t>Paid Search</t>
        </is>
      </c>
      <c r="F133" s="56" t="inlineStr">
        <is>
          <t>Mobile</t>
        </is>
      </c>
      <c r="G133" s="56" t="inlineStr">
        <is>
          <t>Poland</t>
        </is>
      </c>
      <c r="H133" s="56" t="n">
        <v>8</v>
      </c>
      <c r="I133" s="56" t="inlineStr">
        <is>
          <t>Purchases</t>
        </is>
      </c>
      <c r="J133" s="56" t="inlineStr">
        <is>
          <t>1-23 August 2026</t>
        </is>
      </c>
      <c r="K133" s="57" t="n">
        <v>767</v>
      </c>
      <c r="L133" s="56" t="inlineStr">
        <is>
          <t>CR 1-23 August 2026 + Search→Booking 1-23 August 2026</t>
        </is>
      </c>
      <c r="M133" s="40">
        <f>IF(Countries!AS331="","STILL MISSING","Filled ✓")</f>
        <v/>
      </c>
    </row>
    <row r="134">
      <c r="A134" s="40" t="inlineStr">
        <is>
          <t>Countries</t>
        </is>
      </c>
      <c r="B134" s="40" t="inlineStr">
        <is>
          <t>W331</t>
        </is>
      </c>
      <c r="C134" s="40" t="n">
        <v>331</v>
      </c>
      <c r="D134" s="40" t="inlineStr">
        <is>
          <t>Route page</t>
        </is>
      </c>
      <c r="E134" s="40" t="inlineStr">
        <is>
          <t>Paid Search</t>
        </is>
      </c>
      <c r="F134" s="40" t="inlineStr">
        <is>
          <t>Mobile</t>
        </is>
      </c>
      <c r="G134" s="40" t="inlineStr">
        <is>
          <t>Poland</t>
        </is>
      </c>
      <c r="H134" s="40" t="n">
        <v>8</v>
      </c>
      <c r="I134" s="40" t="inlineStr">
        <is>
          <t>Select item</t>
        </is>
      </c>
      <c r="J134" s="40" t="inlineStr">
        <is>
          <t>1-23 August 2025</t>
        </is>
      </c>
      <c r="K134" s="55" t="n">
        <v>767</v>
      </c>
      <c r="L134" s="40" t="inlineStr">
        <is>
          <t>Search→Select 1-23 August 2025</t>
        </is>
      </c>
      <c r="M134" s="40">
        <f>IF(Countries!W331="","STILL MISSING","Filled ✓")</f>
        <v/>
      </c>
    </row>
    <row r="135">
      <c r="A135" s="56" t="inlineStr">
        <is>
          <t>Countries</t>
        </is>
      </c>
      <c r="B135" s="56" t="inlineStr">
        <is>
          <t>X331</t>
        </is>
      </c>
      <c r="C135" s="56" t="n">
        <v>331</v>
      </c>
      <c r="D135" s="56" t="inlineStr">
        <is>
          <t>Route page</t>
        </is>
      </c>
      <c r="E135" s="56" t="inlineStr">
        <is>
          <t>Paid Search</t>
        </is>
      </c>
      <c r="F135" s="56" t="inlineStr">
        <is>
          <t>Mobile</t>
        </is>
      </c>
      <c r="G135" s="56" t="inlineStr">
        <is>
          <t>Poland</t>
        </is>
      </c>
      <c r="H135" s="56" t="n">
        <v>8</v>
      </c>
      <c r="I135" s="56" t="inlineStr">
        <is>
          <t>Select item</t>
        </is>
      </c>
      <c r="J135" s="56" t="inlineStr">
        <is>
          <t>1-23 August 2026</t>
        </is>
      </c>
      <c r="K135" s="57" t="n">
        <v>767</v>
      </c>
      <c r="L135" s="56" t="inlineStr">
        <is>
          <t>Search→Select 1-23 August 2026</t>
        </is>
      </c>
      <c r="M135" s="40">
        <f>IF(Countries!X331="","STILL MISSING","Filled ✓")</f>
        <v/>
      </c>
    </row>
    <row r="136">
      <c r="A136" s="40" t="inlineStr">
        <is>
          <t>Countries</t>
        </is>
      </c>
      <c r="B136" s="40" t="inlineStr">
        <is>
          <t>I331</t>
        </is>
      </c>
      <c r="C136" s="40" t="n">
        <v>331</v>
      </c>
      <c r="D136" s="40" t="inlineStr">
        <is>
          <t>Route page</t>
        </is>
      </c>
      <c r="E136" s="40" t="inlineStr">
        <is>
          <t>Paid Search</t>
        </is>
      </c>
      <c r="F136" s="40" t="inlineStr">
        <is>
          <t>Mobile</t>
        </is>
      </c>
      <c r="G136" s="40" t="inlineStr">
        <is>
          <t>Poland</t>
        </is>
      </c>
      <c r="H136" s="40" t="n">
        <v>8</v>
      </c>
      <c r="I136" s="40" t="inlineStr">
        <is>
          <t>Start Search</t>
        </is>
      </c>
      <c r="J136" s="40" t="inlineStr">
        <is>
          <t>1-23 August 2025</t>
        </is>
      </c>
      <c r="K136" s="55" t="n">
        <v>767</v>
      </c>
      <c r="L136" s="40" t="inlineStr">
        <is>
          <t>Visit→Engagement 1-23 August 2025</t>
        </is>
      </c>
      <c r="M136" s="40">
        <f>IF(Countries!I331="","STILL MISSING","Filled ✓")</f>
        <v/>
      </c>
    </row>
    <row r="137">
      <c r="A137" s="56" t="inlineStr">
        <is>
          <t>Countries</t>
        </is>
      </c>
      <c r="B137" s="56" t="inlineStr">
        <is>
          <t>J331</t>
        </is>
      </c>
      <c r="C137" s="56" t="n">
        <v>331</v>
      </c>
      <c r="D137" s="56" t="inlineStr">
        <is>
          <t>Route page</t>
        </is>
      </c>
      <c r="E137" s="56" t="inlineStr">
        <is>
          <t>Paid Search</t>
        </is>
      </c>
      <c r="F137" s="56" t="inlineStr">
        <is>
          <t>Mobile</t>
        </is>
      </c>
      <c r="G137" s="56" t="inlineStr">
        <is>
          <t>Poland</t>
        </is>
      </c>
      <c r="H137" s="56" t="n">
        <v>8</v>
      </c>
      <c r="I137" s="56" t="inlineStr">
        <is>
          <t>Start Search</t>
        </is>
      </c>
      <c r="J137" s="56" t="inlineStr">
        <is>
          <t>1-23 August 2026</t>
        </is>
      </c>
      <c r="K137" s="57" t="n">
        <v>767</v>
      </c>
      <c r="L137" s="56" t="inlineStr">
        <is>
          <t>Visit→Engagement 1-23 August 2026</t>
        </is>
      </c>
      <c r="M137" s="40">
        <f>IF(Countries!J331="","STILL MISSING","Filled ✓")</f>
        <v/>
      </c>
    </row>
    <row r="138">
      <c r="A138" s="40" t="inlineStr">
        <is>
          <t>Countries</t>
        </is>
      </c>
      <c r="B138" s="40" t="inlineStr">
        <is>
          <t>AR381</t>
        </is>
      </c>
      <c r="C138" s="40" t="n">
        <v>381</v>
      </c>
      <c r="D138" s="40" t="inlineStr">
        <is>
          <t>Route page</t>
        </is>
      </c>
      <c r="E138" s="40" t="inlineStr">
        <is>
          <t>Organic</t>
        </is>
      </c>
      <c r="F138" s="40" t="inlineStr">
        <is>
          <t>Desktop</t>
        </is>
      </c>
      <c r="G138" s="40" t="inlineStr">
        <is>
          <t>Poland</t>
        </is>
      </c>
      <c r="H138" s="40" t="n">
        <v>8</v>
      </c>
      <c r="I138" s="40" t="inlineStr">
        <is>
          <t>Purchases</t>
        </is>
      </c>
      <c r="J138" s="40" t="inlineStr">
        <is>
          <t>1-23 August 2025</t>
        </is>
      </c>
      <c r="K138" s="55" t="n">
        <v>556</v>
      </c>
      <c r="L138" s="40" t="inlineStr">
        <is>
          <t>CR 1-23 August 2025 + Search→Booking 1-23 August 2025</t>
        </is>
      </c>
      <c r="M138" s="40">
        <f>IF(Countries!AR381="","STILL MISSING","Filled ✓")</f>
        <v/>
      </c>
    </row>
    <row r="139">
      <c r="A139" s="56" t="inlineStr">
        <is>
          <t>Countries</t>
        </is>
      </c>
      <c r="B139" s="56" t="inlineStr">
        <is>
          <t>AS381</t>
        </is>
      </c>
      <c r="C139" s="56" t="n">
        <v>381</v>
      </c>
      <c r="D139" s="56" t="inlineStr">
        <is>
          <t>Route page</t>
        </is>
      </c>
      <c r="E139" s="56" t="inlineStr">
        <is>
          <t>Organic</t>
        </is>
      </c>
      <c r="F139" s="56" t="inlineStr">
        <is>
          <t>Desktop</t>
        </is>
      </c>
      <c r="G139" s="56" t="inlineStr">
        <is>
          <t>Poland</t>
        </is>
      </c>
      <c r="H139" s="56" t="n">
        <v>8</v>
      </c>
      <c r="I139" s="56" t="inlineStr">
        <is>
          <t>Purchases</t>
        </is>
      </c>
      <c r="J139" s="56" t="inlineStr">
        <is>
          <t>1-23 August 2026</t>
        </is>
      </c>
      <c r="K139" s="57" t="n">
        <v>556</v>
      </c>
      <c r="L139" s="56" t="inlineStr">
        <is>
          <t>CR 1-23 August 2026 + Search→Booking 1-23 August 2026</t>
        </is>
      </c>
      <c r="M139" s="40">
        <f>IF(Countries!AS381="","STILL MISSING","Filled ✓")</f>
        <v/>
      </c>
    </row>
    <row r="140">
      <c r="A140" s="40" t="inlineStr">
        <is>
          <t>Countries</t>
        </is>
      </c>
      <c r="B140" s="40" t="inlineStr">
        <is>
          <t>W381</t>
        </is>
      </c>
      <c r="C140" s="40" t="n">
        <v>381</v>
      </c>
      <c r="D140" s="40" t="inlineStr">
        <is>
          <t>Route page</t>
        </is>
      </c>
      <c r="E140" s="40" t="inlineStr">
        <is>
          <t>Organic</t>
        </is>
      </c>
      <c r="F140" s="40" t="inlineStr">
        <is>
          <t>Desktop</t>
        </is>
      </c>
      <c r="G140" s="40" t="inlineStr">
        <is>
          <t>Poland</t>
        </is>
      </c>
      <c r="H140" s="40" t="n">
        <v>8</v>
      </c>
      <c r="I140" s="40" t="inlineStr">
        <is>
          <t>Select item</t>
        </is>
      </c>
      <c r="J140" s="40" t="inlineStr">
        <is>
          <t>1-23 August 2025</t>
        </is>
      </c>
      <c r="K140" s="55" t="n">
        <v>556</v>
      </c>
      <c r="L140" s="40" t="inlineStr">
        <is>
          <t>Search→Select 1-23 August 2025</t>
        </is>
      </c>
      <c r="M140" s="40">
        <f>IF(Countries!W381="","STILL MISSING","Filled ✓")</f>
        <v/>
      </c>
    </row>
    <row r="141">
      <c r="A141" s="56" t="inlineStr">
        <is>
          <t>Countries</t>
        </is>
      </c>
      <c r="B141" s="56" t="inlineStr">
        <is>
          <t>X381</t>
        </is>
      </c>
      <c r="C141" s="56" t="n">
        <v>381</v>
      </c>
      <c r="D141" s="56" t="inlineStr">
        <is>
          <t>Route page</t>
        </is>
      </c>
      <c r="E141" s="56" t="inlineStr">
        <is>
          <t>Organic</t>
        </is>
      </c>
      <c r="F141" s="56" t="inlineStr">
        <is>
          <t>Desktop</t>
        </is>
      </c>
      <c r="G141" s="56" t="inlineStr">
        <is>
          <t>Poland</t>
        </is>
      </c>
      <c r="H141" s="56" t="n">
        <v>8</v>
      </c>
      <c r="I141" s="56" t="inlineStr">
        <is>
          <t>Select item</t>
        </is>
      </c>
      <c r="J141" s="56" t="inlineStr">
        <is>
          <t>1-23 August 2026</t>
        </is>
      </c>
      <c r="K141" s="57" t="n">
        <v>556</v>
      </c>
      <c r="L141" s="56" t="inlineStr">
        <is>
          <t>Search→Select 1-23 August 2026</t>
        </is>
      </c>
      <c r="M141" s="40">
        <f>IF(Countries!X381="","STILL MISSING","Filled ✓")</f>
        <v/>
      </c>
    </row>
    <row r="142">
      <c r="A142" s="40" t="inlineStr">
        <is>
          <t>Countries</t>
        </is>
      </c>
      <c r="B142" s="40" t="inlineStr">
        <is>
          <t>I381</t>
        </is>
      </c>
      <c r="C142" s="40" t="n">
        <v>381</v>
      </c>
      <c r="D142" s="40" t="inlineStr">
        <is>
          <t>Route page</t>
        </is>
      </c>
      <c r="E142" s="40" t="inlineStr">
        <is>
          <t>Organic</t>
        </is>
      </c>
      <c r="F142" s="40" t="inlineStr">
        <is>
          <t>Desktop</t>
        </is>
      </c>
      <c r="G142" s="40" t="inlineStr">
        <is>
          <t>Poland</t>
        </is>
      </c>
      <c r="H142" s="40" t="n">
        <v>8</v>
      </c>
      <c r="I142" s="40" t="inlineStr">
        <is>
          <t>Start Search</t>
        </is>
      </c>
      <c r="J142" s="40" t="inlineStr">
        <is>
          <t>1-23 August 2025</t>
        </is>
      </c>
      <c r="K142" s="55" t="n">
        <v>556</v>
      </c>
      <c r="L142" s="40" t="inlineStr">
        <is>
          <t>Visit→Engagement 1-23 August 2025</t>
        </is>
      </c>
      <c r="M142" s="40">
        <f>IF(Countries!I381="","STILL MISSING","Filled ✓")</f>
        <v/>
      </c>
    </row>
    <row r="143">
      <c r="A143" s="56" t="inlineStr">
        <is>
          <t>Countries</t>
        </is>
      </c>
      <c r="B143" s="56" t="inlineStr">
        <is>
          <t>J381</t>
        </is>
      </c>
      <c r="C143" s="56" t="n">
        <v>381</v>
      </c>
      <c r="D143" s="56" t="inlineStr">
        <is>
          <t>Route page</t>
        </is>
      </c>
      <c r="E143" s="56" t="inlineStr">
        <is>
          <t>Organic</t>
        </is>
      </c>
      <c r="F143" s="56" t="inlineStr">
        <is>
          <t>Desktop</t>
        </is>
      </c>
      <c r="G143" s="56" t="inlineStr">
        <is>
          <t>Poland</t>
        </is>
      </c>
      <c r="H143" s="56" t="n">
        <v>8</v>
      </c>
      <c r="I143" s="56" t="inlineStr">
        <is>
          <t>Start Search</t>
        </is>
      </c>
      <c r="J143" s="56" t="inlineStr">
        <is>
          <t>1-23 August 2026</t>
        </is>
      </c>
      <c r="K143" s="57" t="n">
        <v>556</v>
      </c>
      <c r="L143" s="56" t="inlineStr">
        <is>
          <t>Visit→Engagement 1-23 August 2026</t>
        </is>
      </c>
      <c r="M143" s="40">
        <f>IF(Countries!J381="","STILL MISSING","Filled ✓")</f>
        <v/>
      </c>
    </row>
    <row r="144">
      <c r="A144" s="40" t="inlineStr">
        <is>
          <t>Countries</t>
        </is>
      </c>
      <c r="B144" s="40" t="inlineStr">
        <is>
          <t>AR363</t>
        </is>
      </c>
      <c r="C144" s="40" t="n">
        <v>363</v>
      </c>
      <c r="D144" s="40" t="inlineStr">
        <is>
          <t>Route page</t>
        </is>
      </c>
      <c r="E144" s="40" t="inlineStr">
        <is>
          <t>Organic</t>
        </is>
      </c>
      <c r="F144" s="40" t="inlineStr">
        <is>
          <t>Mobile</t>
        </is>
      </c>
      <c r="G144" s="40" t="inlineStr">
        <is>
          <t>Poland</t>
        </is>
      </c>
      <c r="H144" s="40" t="n">
        <v>8</v>
      </c>
      <c r="I144" s="40" t="inlineStr">
        <is>
          <t>Purchases</t>
        </is>
      </c>
      <c r="J144" s="40" t="inlineStr">
        <is>
          <t>1-23 August 2025</t>
        </is>
      </c>
      <c r="K144" s="55" t="n">
        <v>1335</v>
      </c>
      <c r="L144" s="40" t="inlineStr">
        <is>
          <t>CR 1-23 August 2025 + Search→Booking 1-23 August 2025</t>
        </is>
      </c>
      <c r="M144" s="40">
        <f>IF(Countries!AR363="","STILL MISSING","Filled ✓")</f>
        <v/>
      </c>
    </row>
    <row r="145">
      <c r="A145" s="56" t="inlineStr">
        <is>
          <t>Countries</t>
        </is>
      </c>
      <c r="B145" s="56" t="inlineStr">
        <is>
          <t>AS363</t>
        </is>
      </c>
      <c r="C145" s="56" t="n">
        <v>363</v>
      </c>
      <c r="D145" s="56" t="inlineStr">
        <is>
          <t>Route page</t>
        </is>
      </c>
      <c r="E145" s="56" t="inlineStr">
        <is>
          <t>Organic</t>
        </is>
      </c>
      <c r="F145" s="56" t="inlineStr">
        <is>
          <t>Mobile</t>
        </is>
      </c>
      <c r="G145" s="56" t="inlineStr">
        <is>
          <t>Poland</t>
        </is>
      </c>
      <c r="H145" s="56" t="n">
        <v>8</v>
      </c>
      <c r="I145" s="56" t="inlineStr">
        <is>
          <t>Purchases</t>
        </is>
      </c>
      <c r="J145" s="56" t="inlineStr">
        <is>
          <t>1-23 August 2026</t>
        </is>
      </c>
      <c r="K145" s="57" t="n">
        <v>1335</v>
      </c>
      <c r="L145" s="56" t="inlineStr">
        <is>
          <t>CR 1-23 August 2026 + Search→Booking 1-23 August 2026</t>
        </is>
      </c>
      <c r="M145" s="40">
        <f>IF(Countries!AS363="","STILL MISSING","Filled ✓")</f>
        <v/>
      </c>
    </row>
    <row r="146">
      <c r="A146" s="40" t="inlineStr">
        <is>
          <t>Countries</t>
        </is>
      </c>
      <c r="B146" s="40" t="inlineStr">
        <is>
          <t>W363</t>
        </is>
      </c>
      <c r="C146" s="40" t="n">
        <v>363</v>
      </c>
      <c r="D146" s="40" t="inlineStr">
        <is>
          <t>Route page</t>
        </is>
      </c>
      <c r="E146" s="40" t="inlineStr">
        <is>
          <t>Organic</t>
        </is>
      </c>
      <c r="F146" s="40" t="inlineStr">
        <is>
          <t>Mobile</t>
        </is>
      </c>
      <c r="G146" s="40" t="inlineStr">
        <is>
          <t>Poland</t>
        </is>
      </c>
      <c r="H146" s="40" t="n">
        <v>8</v>
      </c>
      <c r="I146" s="40" t="inlineStr">
        <is>
          <t>Select item</t>
        </is>
      </c>
      <c r="J146" s="40" t="inlineStr">
        <is>
          <t>1-23 August 2025</t>
        </is>
      </c>
      <c r="K146" s="55" t="n">
        <v>1335</v>
      </c>
      <c r="L146" s="40" t="inlineStr">
        <is>
          <t>Search→Select 1-23 August 2025</t>
        </is>
      </c>
      <c r="M146" s="40">
        <f>IF(Countries!W363="","STILL MISSING","Filled ✓")</f>
        <v/>
      </c>
    </row>
    <row r="147">
      <c r="A147" s="56" t="inlineStr">
        <is>
          <t>Countries</t>
        </is>
      </c>
      <c r="B147" s="56" t="inlineStr">
        <is>
          <t>X363</t>
        </is>
      </c>
      <c r="C147" s="56" t="n">
        <v>363</v>
      </c>
      <c r="D147" s="56" t="inlineStr">
        <is>
          <t>Route page</t>
        </is>
      </c>
      <c r="E147" s="56" t="inlineStr">
        <is>
          <t>Organic</t>
        </is>
      </c>
      <c r="F147" s="56" t="inlineStr">
        <is>
          <t>Mobile</t>
        </is>
      </c>
      <c r="G147" s="56" t="inlineStr">
        <is>
          <t>Poland</t>
        </is>
      </c>
      <c r="H147" s="56" t="n">
        <v>8</v>
      </c>
      <c r="I147" s="56" t="inlineStr">
        <is>
          <t>Select item</t>
        </is>
      </c>
      <c r="J147" s="56" t="inlineStr">
        <is>
          <t>1-23 August 2026</t>
        </is>
      </c>
      <c r="K147" s="57" t="n">
        <v>1335</v>
      </c>
      <c r="L147" s="56" t="inlineStr">
        <is>
          <t>Search→Select 1-23 August 2026</t>
        </is>
      </c>
      <c r="M147" s="40">
        <f>IF(Countries!X363="","STILL MISSING","Filled ✓")</f>
        <v/>
      </c>
    </row>
    <row r="148">
      <c r="A148" s="40" t="inlineStr">
        <is>
          <t>Countries</t>
        </is>
      </c>
      <c r="B148" s="40" t="inlineStr">
        <is>
          <t>I363</t>
        </is>
      </c>
      <c r="C148" s="40" t="n">
        <v>363</v>
      </c>
      <c r="D148" s="40" t="inlineStr">
        <is>
          <t>Route page</t>
        </is>
      </c>
      <c r="E148" s="40" t="inlineStr">
        <is>
          <t>Organic</t>
        </is>
      </c>
      <c r="F148" s="40" t="inlineStr">
        <is>
          <t>Mobile</t>
        </is>
      </c>
      <c r="G148" s="40" t="inlineStr">
        <is>
          <t>Poland</t>
        </is>
      </c>
      <c r="H148" s="40" t="n">
        <v>8</v>
      </c>
      <c r="I148" s="40" t="inlineStr">
        <is>
          <t>Start Search</t>
        </is>
      </c>
      <c r="J148" s="40" t="inlineStr">
        <is>
          <t>1-23 August 2025</t>
        </is>
      </c>
      <c r="K148" s="55" t="n">
        <v>1335</v>
      </c>
      <c r="L148" s="40" t="inlineStr">
        <is>
          <t>Visit→Engagement 1-23 August 2025</t>
        </is>
      </c>
      <c r="M148" s="40">
        <f>IF(Countries!I363="","STILL MISSING","Filled ✓")</f>
        <v/>
      </c>
    </row>
    <row r="149">
      <c r="A149" s="56" t="inlineStr">
        <is>
          <t>Countries</t>
        </is>
      </c>
      <c r="B149" s="56" t="inlineStr">
        <is>
          <t>J363</t>
        </is>
      </c>
      <c r="C149" s="56" t="n">
        <v>363</v>
      </c>
      <c r="D149" s="56" t="inlineStr">
        <is>
          <t>Route page</t>
        </is>
      </c>
      <c r="E149" s="56" t="inlineStr">
        <is>
          <t>Organic</t>
        </is>
      </c>
      <c r="F149" s="56" t="inlineStr">
        <is>
          <t>Mobile</t>
        </is>
      </c>
      <c r="G149" s="56" t="inlineStr">
        <is>
          <t>Poland</t>
        </is>
      </c>
      <c r="H149" s="56" t="n">
        <v>8</v>
      </c>
      <c r="I149" s="56" t="inlineStr">
        <is>
          <t>Start Search</t>
        </is>
      </c>
      <c r="J149" s="56" t="inlineStr">
        <is>
          <t>1-23 August 2026</t>
        </is>
      </c>
      <c r="K149" s="57" t="n">
        <v>1335</v>
      </c>
      <c r="L149" s="56" t="inlineStr">
        <is>
          <t>Visit→Engagement 1-23 August 2026</t>
        </is>
      </c>
      <c r="M149" s="40">
        <f>IF(Countries!J363="","STILL MISSING","Filled ✓")</f>
        <v/>
      </c>
    </row>
    <row r="150">
      <c r="A150" s="40" t="inlineStr">
        <is>
          <t>Countries</t>
        </is>
      </c>
      <c r="B150" s="40" t="inlineStr">
        <is>
          <t>AS417</t>
        </is>
      </c>
      <c r="C150" s="40" t="n">
        <v>417</v>
      </c>
      <c r="D150" s="40" t="inlineStr">
        <is>
          <t>Route page</t>
        </is>
      </c>
      <c r="E150" s="40" t="inlineStr">
        <is>
          <t>Direct</t>
        </is>
      </c>
      <c r="F150" s="40" t="inlineStr">
        <is>
          <t>Desktop</t>
        </is>
      </c>
      <c r="G150" s="40" t="inlineStr">
        <is>
          <t>Poland</t>
        </is>
      </c>
      <c r="H150" s="40" t="n">
        <v>8</v>
      </c>
      <c r="I150" s="40" t="inlineStr">
        <is>
          <t>Purchases</t>
        </is>
      </c>
      <c r="J150" s="40" t="inlineStr">
        <is>
          <t>1-23 August 2026</t>
        </is>
      </c>
      <c r="K150" s="55" t="n">
        <v>279</v>
      </c>
      <c r="L150" s="40" t="inlineStr">
        <is>
          <t>CR 1-23 August 2026 + Search→Booking 1-23 August 2026</t>
        </is>
      </c>
      <c r="M150" s="40">
        <f>IF(Countries!AS417="","STILL MISSING","Filled ✓")</f>
        <v/>
      </c>
    </row>
    <row r="151">
      <c r="A151" s="56" t="inlineStr">
        <is>
          <t>Countries</t>
        </is>
      </c>
      <c r="B151" s="56" t="inlineStr">
        <is>
          <t>P417</t>
        </is>
      </c>
      <c r="C151" s="56" t="n">
        <v>417</v>
      </c>
      <c r="D151" s="56" t="inlineStr">
        <is>
          <t>Route page</t>
        </is>
      </c>
      <c r="E151" s="56" t="inlineStr">
        <is>
          <t>Direct</t>
        </is>
      </c>
      <c r="F151" s="56" t="inlineStr">
        <is>
          <t>Desktop</t>
        </is>
      </c>
      <c r="G151" s="56" t="inlineStr">
        <is>
          <t>Poland</t>
        </is>
      </c>
      <c r="H151" s="56" t="n">
        <v>8</v>
      </c>
      <c r="I151" s="56" t="inlineStr">
        <is>
          <t>Searches</t>
        </is>
      </c>
      <c r="J151" s="56" t="inlineStr">
        <is>
          <t>1-23 August 2025</t>
        </is>
      </c>
      <c r="K151" s="57" t="n">
        <v>279</v>
      </c>
      <c r="L151" s="56" t="inlineStr">
        <is>
          <t>Searches YoY</t>
        </is>
      </c>
      <c r="M151" s="40">
        <f>IF(Countries!P417="","STILL MISSING","Filled ✓")</f>
        <v/>
      </c>
    </row>
    <row r="152">
      <c r="A152" s="40" t="inlineStr">
        <is>
          <t>Countries</t>
        </is>
      </c>
      <c r="B152" s="40" t="inlineStr">
        <is>
          <t>X417</t>
        </is>
      </c>
      <c r="C152" s="40" t="n">
        <v>417</v>
      </c>
      <c r="D152" s="40" t="inlineStr">
        <is>
          <t>Route page</t>
        </is>
      </c>
      <c r="E152" s="40" t="inlineStr">
        <is>
          <t>Direct</t>
        </is>
      </c>
      <c r="F152" s="40" t="inlineStr">
        <is>
          <t>Desktop</t>
        </is>
      </c>
      <c r="G152" s="40" t="inlineStr">
        <is>
          <t>Poland</t>
        </is>
      </c>
      <c r="H152" s="40" t="n">
        <v>8</v>
      </c>
      <c r="I152" s="40" t="inlineStr">
        <is>
          <t>Select item</t>
        </is>
      </c>
      <c r="J152" s="40" t="inlineStr">
        <is>
          <t>1-23 August 2026</t>
        </is>
      </c>
      <c r="K152" s="55" t="n">
        <v>279</v>
      </c>
      <c r="L152" s="40" t="inlineStr">
        <is>
          <t>Search→Select 1-23 August 2026</t>
        </is>
      </c>
      <c r="M152" s="40">
        <f>IF(Countries!X417="","STILL MISSING","Filled ✓")</f>
        <v/>
      </c>
    </row>
    <row r="153">
      <c r="A153" s="56" t="inlineStr">
        <is>
          <t>Countries</t>
        </is>
      </c>
      <c r="B153" s="56" t="inlineStr">
        <is>
          <t>E417</t>
        </is>
      </c>
      <c r="C153" s="56" t="n">
        <v>417</v>
      </c>
      <c r="D153" s="56" t="inlineStr">
        <is>
          <t>Route page</t>
        </is>
      </c>
      <c r="E153" s="56" t="inlineStr">
        <is>
          <t>Direct</t>
        </is>
      </c>
      <c r="F153" s="56" t="inlineStr">
        <is>
          <t>Desktop</t>
        </is>
      </c>
      <c r="G153" s="56" t="inlineStr">
        <is>
          <t>Poland</t>
        </is>
      </c>
      <c r="H153" s="56" t="n">
        <v>8</v>
      </c>
      <c r="I153" s="56" t="inlineStr">
        <is>
          <t>Sessions</t>
        </is>
      </c>
      <c r="J153" s="56" t="inlineStr">
        <is>
          <t>1-23 August 2025</t>
        </is>
      </c>
      <c r="K153" s="57" t="n">
        <v>279</v>
      </c>
      <c r="L153" s="56" t="inlineStr">
        <is>
          <t>Sessions YoY</t>
        </is>
      </c>
      <c r="M153" s="40">
        <f>IF(Countries!E417="","STILL MISSING","Filled ✓")</f>
        <v/>
      </c>
    </row>
    <row r="154">
      <c r="A154" s="40" t="inlineStr">
        <is>
          <t>Countries</t>
        </is>
      </c>
      <c r="B154" s="40" t="inlineStr">
        <is>
          <t>J417</t>
        </is>
      </c>
      <c r="C154" s="40" t="n">
        <v>417</v>
      </c>
      <c r="D154" s="40" t="inlineStr">
        <is>
          <t>Route page</t>
        </is>
      </c>
      <c r="E154" s="40" t="inlineStr">
        <is>
          <t>Direct</t>
        </is>
      </c>
      <c r="F154" s="40" t="inlineStr">
        <is>
          <t>Desktop</t>
        </is>
      </c>
      <c r="G154" s="40" t="inlineStr">
        <is>
          <t>Poland</t>
        </is>
      </c>
      <c r="H154" s="40" t="n">
        <v>8</v>
      </c>
      <c r="I154" s="40" t="inlineStr">
        <is>
          <t>Start Search</t>
        </is>
      </c>
      <c r="J154" s="40" t="inlineStr">
        <is>
          <t>1-23 August 2026</t>
        </is>
      </c>
      <c r="K154" s="55" t="n">
        <v>279</v>
      </c>
      <c r="L154" s="40" t="inlineStr">
        <is>
          <t>Visit→Engagement 1-23 August 2026</t>
        </is>
      </c>
      <c r="M154" s="40">
        <f>IF(Countries!J417="","STILL MISSING","Filled ✓")</f>
        <v/>
      </c>
    </row>
    <row r="155">
      <c r="A155" s="56" t="inlineStr">
        <is>
          <t>Countries</t>
        </is>
      </c>
      <c r="B155" s="56" t="inlineStr">
        <is>
          <t>AR402</t>
        </is>
      </c>
      <c r="C155" s="56" t="n">
        <v>402</v>
      </c>
      <c r="D155" s="56" t="inlineStr">
        <is>
          <t>Route page</t>
        </is>
      </c>
      <c r="E155" s="56" t="inlineStr">
        <is>
          <t>Direct</t>
        </is>
      </c>
      <c r="F155" s="56" t="inlineStr">
        <is>
          <t>Mobile</t>
        </is>
      </c>
      <c r="G155" s="56" t="inlineStr">
        <is>
          <t>Poland</t>
        </is>
      </c>
      <c r="H155" s="56" t="n">
        <v>8</v>
      </c>
      <c r="I155" s="56" t="inlineStr">
        <is>
          <t>Purchases</t>
        </is>
      </c>
      <c r="J155" s="56" t="inlineStr">
        <is>
          <t>1-23 August 2025</t>
        </is>
      </c>
      <c r="K155" s="57" t="n">
        <v>132</v>
      </c>
      <c r="L155" s="56" t="inlineStr">
        <is>
          <t>CR 1-23 August 2025 + Search→Booking 1-23 August 2025</t>
        </is>
      </c>
      <c r="M155" s="40">
        <f>IF(Countries!AR402="","STILL MISSING","Filled ✓")</f>
        <v/>
      </c>
    </row>
    <row r="156">
      <c r="A156" s="40" t="inlineStr">
        <is>
          <t>Countries</t>
        </is>
      </c>
      <c r="B156" s="40" t="inlineStr">
        <is>
          <t>AS402</t>
        </is>
      </c>
      <c r="C156" s="40" t="n">
        <v>402</v>
      </c>
      <c r="D156" s="40" t="inlineStr">
        <is>
          <t>Route page</t>
        </is>
      </c>
      <c r="E156" s="40" t="inlineStr">
        <is>
          <t>Direct</t>
        </is>
      </c>
      <c r="F156" s="40" t="inlineStr">
        <is>
          <t>Mobile</t>
        </is>
      </c>
      <c r="G156" s="40" t="inlineStr">
        <is>
          <t>Poland</t>
        </is>
      </c>
      <c r="H156" s="40" t="n">
        <v>8</v>
      </c>
      <c r="I156" s="40" t="inlineStr">
        <is>
          <t>Purchases</t>
        </is>
      </c>
      <c r="J156" s="40" t="inlineStr">
        <is>
          <t>1-23 August 2026</t>
        </is>
      </c>
      <c r="K156" s="55" t="n">
        <v>132</v>
      </c>
      <c r="L156" s="40" t="inlineStr">
        <is>
          <t>CR 1-23 August 2026 + Search→Booking 1-23 August 2026</t>
        </is>
      </c>
      <c r="M156" s="40">
        <f>IF(Countries!AS402="","STILL MISSING","Filled ✓")</f>
        <v/>
      </c>
    </row>
    <row r="157">
      <c r="A157" s="56" t="inlineStr">
        <is>
          <t>Countries</t>
        </is>
      </c>
      <c r="B157" s="56" t="inlineStr">
        <is>
          <t>W402</t>
        </is>
      </c>
      <c r="C157" s="56" t="n">
        <v>402</v>
      </c>
      <c r="D157" s="56" t="inlineStr">
        <is>
          <t>Route page</t>
        </is>
      </c>
      <c r="E157" s="56" t="inlineStr">
        <is>
          <t>Direct</t>
        </is>
      </c>
      <c r="F157" s="56" t="inlineStr">
        <is>
          <t>Mobile</t>
        </is>
      </c>
      <c r="G157" s="56" t="inlineStr">
        <is>
          <t>Poland</t>
        </is>
      </c>
      <c r="H157" s="56" t="n">
        <v>8</v>
      </c>
      <c r="I157" s="56" t="inlineStr">
        <is>
          <t>Select item</t>
        </is>
      </c>
      <c r="J157" s="56" t="inlineStr">
        <is>
          <t>1-23 August 2025</t>
        </is>
      </c>
      <c r="K157" s="57" t="n">
        <v>132</v>
      </c>
      <c r="L157" s="56" t="inlineStr">
        <is>
          <t>Search→Select 1-23 August 2025</t>
        </is>
      </c>
      <c r="M157" s="40">
        <f>IF(Countries!W402="","STILL MISSING","Filled ✓")</f>
        <v/>
      </c>
    </row>
    <row r="158">
      <c r="A158" s="40" t="inlineStr">
        <is>
          <t>Countries</t>
        </is>
      </c>
      <c r="B158" s="40" t="inlineStr">
        <is>
          <t>X402</t>
        </is>
      </c>
      <c r="C158" s="40" t="n">
        <v>402</v>
      </c>
      <c r="D158" s="40" t="inlineStr">
        <is>
          <t>Route page</t>
        </is>
      </c>
      <c r="E158" s="40" t="inlineStr">
        <is>
          <t>Direct</t>
        </is>
      </c>
      <c r="F158" s="40" t="inlineStr">
        <is>
          <t>Mobile</t>
        </is>
      </c>
      <c r="G158" s="40" t="inlineStr">
        <is>
          <t>Poland</t>
        </is>
      </c>
      <c r="H158" s="40" t="n">
        <v>8</v>
      </c>
      <c r="I158" s="40" t="inlineStr">
        <is>
          <t>Select item</t>
        </is>
      </c>
      <c r="J158" s="40" t="inlineStr">
        <is>
          <t>1-23 August 2026</t>
        </is>
      </c>
      <c r="K158" s="55" t="n">
        <v>132</v>
      </c>
      <c r="L158" s="40" t="inlineStr">
        <is>
          <t>Search→Select 1-23 August 2026</t>
        </is>
      </c>
      <c r="M158" s="40">
        <f>IF(Countries!X402="","STILL MISSING","Filled ✓")</f>
        <v/>
      </c>
    </row>
    <row r="159">
      <c r="A159" s="56" t="inlineStr">
        <is>
          <t>Countries</t>
        </is>
      </c>
      <c r="B159" s="56" t="inlineStr">
        <is>
          <t>I402</t>
        </is>
      </c>
      <c r="C159" s="56" t="n">
        <v>402</v>
      </c>
      <c r="D159" s="56" t="inlineStr">
        <is>
          <t>Route page</t>
        </is>
      </c>
      <c r="E159" s="56" t="inlineStr">
        <is>
          <t>Direct</t>
        </is>
      </c>
      <c r="F159" s="56" t="inlineStr">
        <is>
          <t>Mobile</t>
        </is>
      </c>
      <c r="G159" s="56" t="inlineStr">
        <is>
          <t>Poland</t>
        </is>
      </c>
      <c r="H159" s="56" t="n">
        <v>8</v>
      </c>
      <c r="I159" s="56" t="inlineStr">
        <is>
          <t>Start Search</t>
        </is>
      </c>
      <c r="J159" s="56" t="inlineStr">
        <is>
          <t>1-23 August 2025</t>
        </is>
      </c>
      <c r="K159" s="57" t="n">
        <v>132</v>
      </c>
      <c r="L159" s="56" t="inlineStr">
        <is>
          <t>Visit→Engagement 1-23 August 2025</t>
        </is>
      </c>
      <c r="M159" s="40">
        <f>IF(Countries!I402="","STILL MISSING","Filled ✓")</f>
        <v/>
      </c>
    </row>
    <row r="160">
      <c r="A160" s="40" t="inlineStr">
        <is>
          <t>Countries</t>
        </is>
      </c>
      <c r="B160" s="40" t="inlineStr">
        <is>
          <t>J402</t>
        </is>
      </c>
      <c r="C160" s="40" t="n">
        <v>402</v>
      </c>
      <c r="D160" s="40" t="inlineStr">
        <is>
          <t>Route page</t>
        </is>
      </c>
      <c r="E160" s="40" t="inlineStr">
        <is>
          <t>Direct</t>
        </is>
      </c>
      <c r="F160" s="40" t="inlineStr">
        <is>
          <t>Mobile</t>
        </is>
      </c>
      <c r="G160" s="40" t="inlineStr">
        <is>
          <t>Poland</t>
        </is>
      </c>
      <c r="H160" s="40" t="n">
        <v>8</v>
      </c>
      <c r="I160" s="40" t="inlineStr">
        <is>
          <t>Start Search</t>
        </is>
      </c>
      <c r="J160" s="40" t="inlineStr">
        <is>
          <t>1-23 August 2026</t>
        </is>
      </c>
      <c r="K160" s="55" t="n">
        <v>132</v>
      </c>
      <c r="L160" s="40" t="inlineStr">
        <is>
          <t>Visit→Engagement 1-23 August 2026</t>
        </is>
      </c>
      <c r="M160" s="40">
        <f>IF(Countries!J402="","STILL MISSING","Filled ✓")</f>
        <v/>
      </c>
    </row>
    <row r="161">
      <c r="A161" s="56" t="inlineStr">
        <is>
          <t>Countries</t>
        </is>
      </c>
      <c r="B161" s="56" t="inlineStr">
        <is>
          <t>Q19</t>
        </is>
      </c>
      <c r="C161" s="56" t="n">
        <v>19</v>
      </c>
      <c r="D161" s="56" t="inlineStr">
        <is>
          <t>All landing pages</t>
        </is>
      </c>
      <c r="E161" s="56" t="inlineStr">
        <is>
          <t>Paid Search</t>
        </is>
      </c>
      <c r="F161" s="56" t="inlineStr">
        <is>
          <t>Mobile</t>
        </is>
      </c>
      <c r="G161" s="56" t="inlineStr">
        <is>
          <t>United States</t>
        </is>
      </c>
      <c r="H161" s="56" t="n">
        <v>9</v>
      </c>
      <c r="I161" s="56" t="inlineStr">
        <is>
          <t>Searches</t>
        </is>
      </c>
      <c r="J161" s="56" t="inlineStr">
        <is>
          <t>1-23 August 2026</t>
        </is>
      </c>
      <c r="K161" s="57" t="n">
        <v>2478</v>
      </c>
      <c r="L161" s="56" t="inlineStr">
        <is>
          <t>Searches YoY + Search→Booking 1-23 August 2026 + Search→Select 1-23 August 2026</t>
        </is>
      </c>
      <c r="M161" s="40">
        <f>IF(Countries!Q19="","STILL MISSING","Filled ✓")</f>
        <v/>
      </c>
    </row>
    <row r="162">
      <c r="A162" s="40" t="inlineStr">
        <is>
          <t>Countries</t>
        </is>
      </c>
      <c r="B162" s="40" t="inlineStr">
        <is>
          <t>F19</t>
        </is>
      </c>
      <c r="C162" s="40" t="n">
        <v>19</v>
      </c>
      <c r="D162" s="40" t="inlineStr">
        <is>
          <t>All landing pages</t>
        </is>
      </c>
      <c r="E162" s="40" t="inlineStr">
        <is>
          <t>Paid Search</t>
        </is>
      </c>
      <c r="F162" s="40" t="inlineStr">
        <is>
          <t>Mobile</t>
        </is>
      </c>
      <c r="G162" s="40" t="inlineStr">
        <is>
          <t>United States</t>
        </is>
      </c>
      <c r="H162" s="40" t="n">
        <v>9</v>
      </c>
      <c r="I162" s="40" t="inlineStr">
        <is>
          <t>Sessions</t>
        </is>
      </c>
      <c r="J162" s="40" t="inlineStr">
        <is>
          <t>1-23 August 2026</t>
        </is>
      </c>
      <c r="K162" s="55" t="n">
        <v>2478</v>
      </c>
      <c r="L162" s="40" t="inlineStr">
        <is>
          <t>CR 1-23 August 2026 + Sessions YoY + Visit→Engagement 1-23 August 2026</t>
        </is>
      </c>
      <c r="M162" s="40">
        <f>IF(Countries!F19="","STILL MISSING","Filled ✓")</f>
        <v/>
      </c>
    </row>
    <row r="163">
      <c r="A163" s="56" t="inlineStr">
        <is>
          <t>Countries</t>
        </is>
      </c>
      <c r="B163" s="56" t="inlineStr">
        <is>
          <t>P125</t>
        </is>
      </c>
      <c r="C163" s="56" t="n">
        <v>125</v>
      </c>
      <c r="D163" s="56" t="inlineStr">
        <is>
          <t>Home page</t>
        </is>
      </c>
      <c r="E163" s="56" t="inlineStr">
        <is>
          <t>Paid Search</t>
        </is>
      </c>
      <c r="F163" s="56" t="inlineStr">
        <is>
          <t>Mobile</t>
        </is>
      </c>
      <c r="G163" s="56" t="inlineStr">
        <is>
          <t>United States</t>
        </is>
      </c>
      <c r="H163" s="56" t="n">
        <v>9</v>
      </c>
      <c r="I163" s="56" t="inlineStr">
        <is>
          <t>Searches</t>
        </is>
      </c>
      <c r="J163" s="56" t="inlineStr">
        <is>
          <t>1-23 August 2025</t>
        </is>
      </c>
      <c r="K163" s="57" t="n">
        <v>641</v>
      </c>
      <c r="L163" s="56" t="inlineStr">
        <is>
          <t>Searches YoY + Search→Booking 1-23 August 2025 + Search→Select 1-23 August 2025 + Visit→Search 1-23 August 2025</t>
        </is>
      </c>
      <c r="M163" s="40">
        <f>IF(Countries!P125="","STILL MISSING","Filled ✓")</f>
        <v/>
      </c>
    </row>
    <row r="164">
      <c r="A164" s="40" t="inlineStr">
        <is>
          <t>Countries</t>
        </is>
      </c>
      <c r="B164" s="40" t="inlineStr">
        <is>
          <t>Q235</t>
        </is>
      </c>
      <c r="C164" s="40" t="n">
        <v>235</v>
      </c>
      <c r="D164" s="40" t="inlineStr">
        <is>
          <t>Airport page</t>
        </is>
      </c>
      <c r="E164" s="40" t="inlineStr">
        <is>
          <t>Paid Search</t>
        </is>
      </c>
      <c r="F164" s="40" t="inlineStr">
        <is>
          <t>Mobile</t>
        </is>
      </c>
      <c r="G164" s="40" t="inlineStr">
        <is>
          <t>United States</t>
        </is>
      </c>
      <c r="H164" s="40" t="n">
        <v>9</v>
      </c>
      <c r="I164" s="40" t="inlineStr">
        <is>
          <t>Searches</t>
        </is>
      </c>
      <c r="J164" s="40" t="inlineStr">
        <is>
          <t>1-23 August 2026</t>
        </is>
      </c>
      <c r="K164" s="55" t="n">
        <v>1277</v>
      </c>
      <c r="L164" s="40" t="inlineStr">
        <is>
          <t>Searches YoY + Search→Booking 1-23 August 2026 + Search→Select 1-23 August 2026</t>
        </is>
      </c>
      <c r="M164" s="40">
        <f>IF(Countries!Q235="","STILL MISSING","Filled ✓")</f>
        <v/>
      </c>
    </row>
    <row r="165">
      <c r="A165" s="56" t="inlineStr">
        <is>
          <t>Countries</t>
        </is>
      </c>
      <c r="B165" s="56" t="inlineStr">
        <is>
          <t>F235</t>
        </is>
      </c>
      <c r="C165" s="56" t="n">
        <v>235</v>
      </c>
      <c r="D165" s="56" t="inlineStr">
        <is>
          <t>Airport page</t>
        </is>
      </c>
      <c r="E165" s="56" t="inlineStr">
        <is>
          <t>Paid Search</t>
        </is>
      </c>
      <c r="F165" s="56" t="inlineStr">
        <is>
          <t>Mobile</t>
        </is>
      </c>
      <c r="G165" s="56" t="inlineStr">
        <is>
          <t>United States</t>
        </is>
      </c>
      <c r="H165" s="56" t="n">
        <v>9</v>
      </c>
      <c r="I165" s="56" t="inlineStr">
        <is>
          <t>Sessions</t>
        </is>
      </c>
      <c r="J165" s="56" t="inlineStr">
        <is>
          <t>1-23 August 2026</t>
        </is>
      </c>
      <c r="K165" s="57" t="n">
        <v>1277</v>
      </c>
      <c r="L165" s="56" t="inlineStr">
        <is>
          <t>CR 1-23 August 2026 + Sessions YoY + Visit→Engagement 1-23 August 2026</t>
        </is>
      </c>
      <c r="M165" s="40">
        <f>IF(Countries!F235="","STILL MISSING","Filled ✓")</f>
        <v/>
      </c>
    </row>
    <row r="166">
      <c r="A166" s="40" t="inlineStr">
        <is>
          <t>Countries</t>
        </is>
      </c>
      <c r="B166" s="40" t="inlineStr">
        <is>
          <t>P265</t>
        </is>
      </c>
      <c r="C166" s="40" t="n">
        <v>265</v>
      </c>
      <c r="D166" s="40" t="inlineStr">
        <is>
          <t>Airport page</t>
        </is>
      </c>
      <c r="E166" s="40" t="inlineStr">
        <is>
          <t>Organic</t>
        </is>
      </c>
      <c r="F166" s="40" t="inlineStr">
        <is>
          <t>Mobile</t>
        </is>
      </c>
      <c r="G166" s="40" t="inlineStr">
        <is>
          <t>United States</t>
        </is>
      </c>
      <c r="H166" s="40" t="n">
        <v>9</v>
      </c>
      <c r="I166" s="40" t="inlineStr">
        <is>
          <t>Searches</t>
        </is>
      </c>
      <c r="J166" s="40" t="inlineStr">
        <is>
          <t>1-23 August 2025</t>
        </is>
      </c>
      <c r="K166" s="55" t="n">
        <v>297</v>
      </c>
      <c r="L166" s="40" t="inlineStr">
        <is>
          <t>Search→Booking 1-23 August 2025 + Search→Select 1-23 August 2025 + Visit→Search 1-23 August 2025</t>
        </is>
      </c>
      <c r="M166" s="40">
        <f>IF(Countries!P265="","STILL MISSING","Filled ✓")</f>
        <v/>
      </c>
    </row>
    <row r="167">
      <c r="A167" s="56" t="inlineStr">
        <is>
          <t>Countries</t>
        </is>
      </c>
      <c r="B167" s="56" t="inlineStr">
        <is>
          <t>Q265</t>
        </is>
      </c>
      <c r="C167" s="56" t="n">
        <v>265</v>
      </c>
      <c r="D167" s="56" t="inlineStr">
        <is>
          <t>Airport page</t>
        </is>
      </c>
      <c r="E167" s="56" t="inlineStr">
        <is>
          <t>Organic</t>
        </is>
      </c>
      <c r="F167" s="56" t="inlineStr">
        <is>
          <t>Mobile</t>
        </is>
      </c>
      <c r="G167" s="56" t="inlineStr">
        <is>
          <t>United States</t>
        </is>
      </c>
      <c r="H167" s="56" t="n">
        <v>9</v>
      </c>
      <c r="I167" s="56" t="inlineStr">
        <is>
          <t>Searches</t>
        </is>
      </c>
      <c r="J167" s="56" t="inlineStr">
        <is>
          <t>1-23 August 2026</t>
        </is>
      </c>
      <c r="K167" s="57" t="n">
        <v>297</v>
      </c>
      <c r="L167" s="56" t="inlineStr">
        <is>
          <t>Search→Booking 1-23 August 2026 + Search→Select 1-23 August 2026 + Visit→Search 1-23 August 2026</t>
        </is>
      </c>
      <c r="M167" s="40">
        <f>IF(Countries!Q265="","STILL MISSING","Filled ✓")</f>
        <v/>
      </c>
    </row>
    <row r="168">
      <c r="A168" s="40" t="inlineStr">
        <is>
          <t>Countries</t>
        </is>
      </c>
      <c r="B168" s="40" t="inlineStr">
        <is>
          <t>Q316</t>
        </is>
      </c>
      <c r="C168" s="40" t="n">
        <v>316</v>
      </c>
      <c r="D168" s="40" t="inlineStr">
        <is>
          <t>Airport page</t>
        </is>
      </c>
      <c r="E168" s="40" t="inlineStr">
        <is>
          <t>Direct</t>
        </is>
      </c>
      <c r="F168" s="40" t="inlineStr">
        <is>
          <t>Desktop</t>
        </is>
      </c>
      <c r="G168" s="40" t="inlineStr">
        <is>
          <t>United States</t>
        </is>
      </c>
      <c r="H168" s="40" t="n">
        <v>9</v>
      </c>
      <c r="I168" s="40" t="inlineStr">
        <is>
          <t>Searches</t>
        </is>
      </c>
      <c r="J168" s="40" t="inlineStr">
        <is>
          <t>1-23 August 2026</t>
        </is>
      </c>
      <c r="K168" s="55" t="n">
        <v>423</v>
      </c>
      <c r="L168" s="40" t="inlineStr">
        <is>
          <t>Searches YoY + Search→Booking 1-23 August 2026 + Search→Select 1-23 August 2026 + Visit→Search 1-23 August 2026</t>
        </is>
      </c>
      <c r="M168" s="40">
        <f>IF(Countries!Q316="","STILL MISSING","Filled ✓")</f>
        <v/>
      </c>
    </row>
    <row r="169">
      <c r="A169" s="56" t="inlineStr">
        <is>
          <t>Countries</t>
        </is>
      </c>
      <c r="B169" s="56" t="inlineStr">
        <is>
          <t>AL299</t>
        </is>
      </c>
      <c r="C169" s="56" t="n">
        <v>299</v>
      </c>
      <c r="D169" s="56" t="inlineStr">
        <is>
          <t>Airport page</t>
        </is>
      </c>
      <c r="E169" s="56" t="inlineStr">
        <is>
          <t>Direct</t>
        </is>
      </c>
      <c r="F169" s="56" t="inlineStr">
        <is>
          <t>Mobile</t>
        </is>
      </c>
      <c r="G169" s="56" t="inlineStr">
        <is>
          <t>United States</t>
        </is>
      </c>
      <c r="H169" s="56" t="n">
        <v>9</v>
      </c>
      <c r="I169" s="56" t="inlineStr">
        <is>
          <t>Begin checkout</t>
        </is>
      </c>
      <c r="J169" s="56" t="inlineStr">
        <is>
          <t>1-23 August 2026</t>
        </is>
      </c>
      <c r="K169" s="57" t="n">
        <v>49</v>
      </c>
      <c r="L169" s="56" t="inlineStr">
        <is>
          <t>Begin checkout YoY + Cart→Checkout 1-23 August 2026</t>
        </is>
      </c>
      <c r="M169" s="40">
        <f>IF(Countries!AL299="","STILL MISSING","Filled ✓")</f>
        <v/>
      </c>
    </row>
    <row r="170">
      <c r="A170" s="40" t="inlineStr">
        <is>
          <t>Countries</t>
        </is>
      </c>
      <c r="B170" s="40" t="inlineStr">
        <is>
          <t>AS299</t>
        </is>
      </c>
      <c r="C170" s="40" t="n">
        <v>299</v>
      </c>
      <c r="D170" s="40" t="inlineStr">
        <is>
          <t>Airport page</t>
        </is>
      </c>
      <c r="E170" s="40" t="inlineStr">
        <is>
          <t>Direct</t>
        </is>
      </c>
      <c r="F170" s="40" t="inlineStr">
        <is>
          <t>Mobile</t>
        </is>
      </c>
      <c r="G170" s="40" t="inlineStr">
        <is>
          <t>United States</t>
        </is>
      </c>
      <c r="H170" s="40" t="n">
        <v>9</v>
      </c>
      <c r="I170" s="40" t="inlineStr">
        <is>
          <t>Purchases</t>
        </is>
      </c>
      <c r="J170" s="40" t="inlineStr">
        <is>
          <t>1-23 August 2026</t>
        </is>
      </c>
      <c r="K170" s="55" t="n">
        <v>49</v>
      </c>
      <c r="L170" s="40" t="inlineStr">
        <is>
          <t>CR 1-23 August 2026 + Purchases YoY</t>
        </is>
      </c>
      <c r="M170" s="40">
        <f>IF(Countries!AS299="","STILL MISSING","Filled ✓")</f>
        <v/>
      </c>
    </row>
    <row r="171">
      <c r="A171" s="56" t="inlineStr">
        <is>
          <t>Countries</t>
        </is>
      </c>
      <c r="B171" s="56" t="inlineStr">
        <is>
          <t>Q299</t>
        </is>
      </c>
      <c r="C171" s="56" t="n">
        <v>299</v>
      </c>
      <c r="D171" s="56" t="inlineStr">
        <is>
          <t>Airport page</t>
        </is>
      </c>
      <c r="E171" s="56" t="inlineStr">
        <is>
          <t>Direct</t>
        </is>
      </c>
      <c r="F171" s="56" t="inlineStr">
        <is>
          <t>Mobile</t>
        </is>
      </c>
      <c r="G171" s="56" t="inlineStr">
        <is>
          <t>United States</t>
        </is>
      </c>
      <c r="H171" s="56" t="n">
        <v>9</v>
      </c>
      <c r="I171" s="56" t="inlineStr">
        <is>
          <t>Searches</t>
        </is>
      </c>
      <c r="J171" s="56" t="inlineStr">
        <is>
          <t>1-23 August 2026</t>
        </is>
      </c>
      <c r="K171" s="57" t="n">
        <v>49</v>
      </c>
      <c r="L171" s="56" t="inlineStr">
        <is>
          <t>Searches YoY + Search→Select 1-23 August 2026 + Visit→Search 1-23 August 2026</t>
        </is>
      </c>
      <c r="M171" s="40">
        <f>IF(Countries!Q299="","STILL MISSING","Filled ✓")</f>
        <v/>
      </c>
    </row>
    <row r="172">
      <c r="A172" s="40" t="inlineStr">
        <is>
          <t>Countries</t>
        </is>
      </c>
      <c r="B172" s="40" t="inlineStr">
        <is>
          <t>P342</t>
        </is>
      </c>
      <c r="C172" s="40" t="n">
        <v>342</v>
      </c>
      <c r="D172" s="40" t="inlineStr">
        <is>
          <t>Route page</t>
        </is>
      </c>
      <c r="E172" s="40" t="inlineStr">
        <is>
          <t>Paid Search</t>
        </is>
      </c>
      <c r="F172" s="40" t="inlineStr">
        <is>
          <t>Mobile</t>
        </is>
      </c>
      <c r="G172" s="40" t="inlineStr">
        <is>
          <t>United States</t>
        </is>
      </c>
      <c r="H172" s="40" t="n">
        <v>9</v>
      </c>
      <c r="I172" s="40" t="inlineStr">
        <is>
          <t>Searches</t>
        </is>
      </c>
      <c r="J172" s="40" t="inlineStr">
        <is>
          <t>1-23 August 2025</t>
        </is>
      </c>
      <c r="K172" s="55" t="n">
        <v>237</v>
      </c>
      <c r="L172" s="40" t="inlineStr">
        <is>
          <t>Search→Booking 1-23 August 2025 + Search→Select 1-23 August 2025</t>
        </is>
      </c>
      <c r="M172" s="40">
        <f>IF(Countries!P342="","STILL MISSING","Filled ✓")</f>
        <v/>
      </c>
    </row>
    <row r="173">
      <c r="A173" s="56" t="inlineStr">
        <is>
          <t>Countries</t>
        </is>
      </c>
      <c r="B173" s="56" t="inlineStr">
        <is>
          <t>Q342</t>
        </is>
      </c>
      <c r="C173" s="56" t="n">
        <v>342</v>
      </c>
      <c r="D173" s="56" t="inlineStr">
        <is>
          <t>Route page</t>
        </is>
      </c>
      <c r="E173" s="56" t="inlineStr">
        <is>
          <t>Paid Search</t>
        </is>
      </c>
      <c r="F173" s="56" t="inlineStr">
        <is>
          <t>Mobile</t>
        </is>
      </c>
      <c r="G173" s="56" t="inlineStr">
        <is>
          <t>United States</t>
        </is>
      </c>
      <c r="H173" s="56" t="n">
        <v>9</v>
      </c>
      <c r="I173" s="56" t="inlineStr">
        <is>
          <t>Searches</t>
        </is>
      </c>
      <c r="J173" s="56" t="inlineStr">
        <is>
          <t>1-23 August 2026</t>
        </is>
      </c>
      <c r="K173" s="57" t="n">
        <v>237</v>
      </c>
      <c r="L173" s="56" t="inlineStr">
        <is>
          <t>Search→Booking 1-23 August 2026 + Search→Select 1-23 August 2026</t>
        </is>
      </c>
      <c r="M173" s="40">
        <f>IF(Countries!Q342="","STILL MISSING","Filled ✓")</f>
        <v/>
      </c>
    </row>
    <row r="174">
      <c r="A174" s="40" t="inlineStr">
        <is>
          <t>Countries</t>
        </is>
      </c>
      <c r="B174" s="40" t="inlineStr">
        <is>
          <t>E342</t>
        </is>
      </c>
      <c r="C174" s="40" t="n">
        <v>342</v>
      </c>
      <c r="D174" s="40" t="inlineStr">
        <is>
          <t>Route page</t>
        </is>
      </c>
      <c r="E174" s="40" t="inlineStr">
        <is>
          <t>Paid Search</t>
        </is>
      </c>
      <c r="F174" s="40" t="inlineStr">
        <is>
          <t>Mobile</t>
        </is>
      </c>
      <c r="G174" s="40" t="inlineStr">
        <is>
          <t>United States</t>
        </is>
      </c>
      <c r="H174" s="40" t="n">
        <v>9</v>
      </c>
      <c r="I174" s="40" t="inlineStr">
        <is>
          <t>Sessions</t>
        </is>
      </c>
      <c r="J174" s="40" t="inlineStr">
        <is>
          <t>1-23 August 2025</t>
        </is>
      </c>
      <c r="K174" s="55" t="n">
        <v>237</v>
      </c>
      <c r="L174" s="40" t="inlineStr">
        <is>
          <t>CR 1-23 August 2025 + Visit→Engagement 1-23 August 2025</t>
        </is>
      </c>
      <c r="M174" s="40">
        <f>IF(Countries!E342="","STILL MISSING","Filled ✓")</f>
        <v/>
      </c>
    </row>
    <row r="175">
      <c r="A175" s="56" t="inlineStr">
        <is>
          <t>Countries</t>
        </is>
      </c>
      <c r="B175" s="56" t="inlineStr">
        <is>
          <t>F342</t>
        </is>
      </c>
      <c r="C175" s="56" t="n">
        <v>342</v>
      </c>
      <c r="D175" s="56" t="inlineStr">
        <is>
          <t>Route page</t>
        </is>
      </c>
      <c r="E175" s="56" t="inlineStr">
        <is>
          <t>Paid Search</t>
        </is>
      </c>
      <c r="F175" s="56" t="inlineStr">
        <is>
          <t>Mobile</t>
        </is>
      </c>
      <c r="G175" s="56" t="inlineStr">
        <is>
          <t>United States</t>
        </is>
      </c>
      <c r="H175" s="56" t="n">
        <v>9</v>
      </c>
      <c r="I175" s="56" t="inlineStr">
        <is>
          <t>Sessions</t>
        </is>
      </c>
      <c r="J175" s="56" t="inlineStr">
        <is>
          <t>1-23 August 2026</t>
        </is>
      </c>
      <c r="K175" s="57" t="n">
        <v>237</v>
      </c>
      <c r="L175" s="56" t="inlineStr">
        <is>
          <t>CR 1-23 August 2026 + Visit→Engagement 1-23 August 2026</t>
        </is>
      </c>
      <c r="M175" s="40">
        <f>IF(Countries!F342="","STILL MISSING","Filled ✓")</f>
        <v/>
      </c>
    </row>
    <row r="176">
      <c r="A176" s="40" t="inlineStr">
        <is>
          <t>Countries</t>
        </is>
      </c>
      <c r="B176" s="40" t="inlineStr">
        <is>
          <t>P102</t>
        </is>
      </c>
      <c r="C176" s="40" t="n">
        <v>102</v>
      </c>
      <c r="D176" s="40" t="inlineStr">
        <is>
          <t>All landing pages</t>
        </is>
      </c>
      <c r="E176" s="40" t="inlineStr">
        <is>
          <t>Direct</t>
        </is>
      </c>
      <c r="F176" s="40" t="inlineStr">
        <is>
          <t>Desktop</t>
        </is>
      </c>
      <c r="G176" s="40" t="inlineStr">
        <is>
          <t>Sweden</t>
        </is>
      </c>
      <c r="H176" s="40" t="n">
        <v>10</v>
      </c>
      <c r="I176" s="40" t="inlineStr">
        <is>
          <t>Searches</t>
        </is>
      </c>
      <c r="J176" s="40" t="inlineStr">
        <is>
          <t>1-23 August 2025</t>
        </is>
      </c>
      <c r="K176" s="55" t="n">
        <v>462</v>
      </c>
      <c r="L176" s="40" t="inlineStr">
        <is>
          <t>Searches YoY + Search→Booking 1-23 August 2025 + Search→Select 1-23 August 2025</t>
        </is>
      </c>
      <c r="M176" s="40">
        <f>IF(Countries!P102="","STILL MISSING","Filled ✓")</f>
        <v/>
      </c>
    </row>
    <row r="177">
      <c r="A177" s="56" t="inlineStr">
        <is>
          <t>Countries</t>
        </is>
      </c>
      <c r="B177" s="56" t="inlineStr">
        <is>
          <t>E102</t>
        </is>
      </c>
      <c r="C177" s="56" t="n">
        <v>102</v>
      </c>
      <c r="D177" s="56" t="inlineStr">
        <is>
          <t>All landing pages</t>
        </is>
      </c>
      <c r="E177" s="56" t="inlineStr">
        <is>
          <t>Direct</t>
        </is>
      </c>
      <c r="F177" s="56" t="inlineStr">
        <is>
          <t>Desktop</t>
        </is>
      </c>
      <c r="G177" s="56" t="inlineStr">
        <is>
          <t>Sweden</t>
        </is>
      </c>
      <c r="H177" s="56" t="n">
        <v>10</v>
      </c>
      <c r="I177" s="56" t="inlineStr">
        <is>
          <t>Sessions</t>
        </is>
      </c>
      <c r="J177" s="56" t="inlineStr">
        <is>
          <t>1-23 August 2025</t>
        </is>
      </c>
      <c r="K177" s="57" t="n">
        <v>462</v>
      </c>
      <c r="L177" s="56" t="inlineStr">
        <is>
          <t>CR 1-23 August 2025 + Sessions YoY + Visit→Engagement 1-23 August 2025</t>
        </is>
      </c>
      <c r="M177" s="40">
        <f>IF(Countries!E102="","STILL MISSING","Filled ✓")</f>
        <v/>
      </c>
    </row>
    <row r="178">
      <c r="A178" s="40" t="inlineStr">
        <is>
          <t>Countries</t>
        </is>
      </c>
      <c r="B178" s="40" t="inlineStr">
        <is>
          <t>P180</t>
        </is>
      </c>
      <c r="C178" s="40" t="n">
        <v>180</v>
      </c>
      <c r="D178" s="40" t="inlineStr">
        <is>
          <t>Home page</t>
        </is>
      </c>
      <c r="E178" s="40" t="inlineStr">
        <is>
          <t>Organic</t>
        </is>
      </c>
      <c r="F178" s="40" t="inlineStr">
        <is>
          <t>Desktop</t>
        </is>
      </c>
      <c r="G178" s="40" t="inlineStr">
        <is>
          <t>Sweden</t>
        </is>
      </c>
      <c r="H178" s="40" t="n">
        <v>10</v>
      </c>
      <c r="I178" s="40" t="inlineStr">
        <is>
          <t>Searches</t>
        </is>
      </c>
      <c r="J178" s="40" t="inlineStr">
        <is>
          <t>1-23 August 2025</t>
        </is>
      </c>
      <c r="K178" s="55" t="n">
        <v>41</v>
      </c>
      <c r="L178" s="40" t="inlineStr">
        <is>
          <t>Search→Booking 1-23 August 2025 + Search→Select 1-23 August 2025</t>
        </is>
      </c>
      <c r="M178" s="40">
        <f>IF(Countries!P180="","STILL MISSING","Filled ✓")</f>
        <v/>
      </c>
    </row>
    <row r="179">
      <c r="A179" s="56" t="inlineStr">
        <is>
          <t>Countries</t>
        </is>
      </c>
      <c r="B179" s="56" t="inlineStr">
        <is>
          <t>Q180</t>
        </is>
      </c>
      <c r="C179" s="56" t="n">
        <v>180</v>
      </c>
      <c r="D179" s="56" t="inlineStr">
        <is>
          <t>Home page</t>
        </is>
      </c>
      <c r="E179" s="56" t="inlineStr">
        <is>
          <t>Organic</t>
        </is>
      </c>
      <c r="F179" s="56" t="inlineStr">
        <is>
          <t>Desktop</t>
        </is>
      </c>
      <c r="G179" s="56" t="inlineStr">
        <is>
          <t>Sweden</t>
        </is>
      </c>
      <c r="H179" s="56" t="n">
        <v>10</v>
      </c>
      <c r="I179" s="56" t="inlineStr">
        <is>
          <t>Searches</t>
        </is>
      </c>
      <c r="J179" s="56" t="inlineStr">
        <is>
          <t>1-23 August 2026</t>
        </is>
      </c>
      <c r="K179" s="57" t="n">
        <v>41</v>
      </c>
      <c r="L179" s="56" t="inlineStr">
        <is>
          <t>Search→Booking 1-23 August 2026 + Search→Select 1-23 August 2026</t>
        </is>
      </c>
      <c r="M179" s="40">
        <f>IF(Countries!Q180="","STILL MISSING","Filled ✓")</f>
        <v/>
      </c>
    </row>
    <row r="180">
      <c r="A180" s="40" t="inlineStr">
        <is>
          <t>Countries</t>
        </is>
      </c>
      <c r="B180" s="40" t="inlineStr">
        <is>
          <t>E180</t>
        </is>
      </c>
      <c r="C180" s="40" t="n">
        <v>180</v>
      </c>
      <c r="D180" s="40" t="inlineStr">
        <is>
          <t>Home page</t>
        </is>
      </c>
      <c r="E180" s="40" t="inlineStr">
        <is>
          <t>Organic</t>
        </is>
      </c>
      <c r="F180" s="40" t="inlineStr">
        <is>
          <t>Desktop</t>
        </is>
      </c>
      <c r="G180" s="40" t="inlineStr">
        <is>
          <t>Sweden</t>
        </is>
      </c>
      <c r="H180" s="40" t="n">
        <v>10</v>
      </c>
      <c r="I180" s="40" t="inlineStr">
        <is>
          <t>Sessions</t>
        </is>
      </c>
      <c r="J180" s="40" t="inlineStr">
        <is>
          <t>1-23 August 2025</t>
        </is>
      </c>
      <c r="K180" s="55" t="n">
        <v>41</v>
      </c>
      <c r="L180" s="40" t="inlineStr">
        <is>
          <t>CR 1-23 August 2025 + Visit→Engagement 1-23 August 2025</t>
        </is>
      </c>
      <c r="M180" s="40">
        <f>IF(Countries!E180="","STILL MISSING","Filled ✓")</f>
        <v/>
      </c>
    </row>
    <row r="181">
      <c r="A181" s="56" t="inlineStr">
        <is>
          <t>Countries</t>
        </is>
      </c>
      <c r="B181" s="56" t="inlineStr">
        <is>
          <t>F180</t>
        </is>
      </c>
      <c r="C181" s="56" t="n">
        <v>180</v>
      </c>
      <c r="D181" s="56" t="inlineStr">
        <is>
          <t>Home page</t>
        </is>
      </c>
      <c r="E181" s="56" t="inlineStr">
        <is>
          <t>Organic</t>
        </is>
      </c>
      <c r="F181" s="56" t="inlineStr">
        <is>
          <t>Desktop</t>
        </is>
      </c>
      <c r="G181" s="56" t="inlineStr">
        <is>
          <t>Sweden</t>
        </is>
      </c>
      <c r="H181" s="56" t="n">
        <v>10</v>
      </c>
      <c r="I181" s="56" t="inlineStr">
        <is>
          <t>Sessions</t>
        </is>
      </c>
      <c r="J181" s="56" t="inlineStr">
        <is>
          <t>1-23 August 2026</t>
        </is>
      </c>
      <c r="K181" s="57" t="n">
        <v>41</v>
      </c>
      <c r="L181" s="56" t="inlineStr">
        <is>
          <t>CR 1-23 August 2026 + Visit→Engagement 1-23 August 2026</t>
        </is>
      </c>
      <c r="M181" s="40">
        <f>IF(Countries!F180="","STILL MISSING","Filled ✓")</f>
        <v/>
      </c>
    </row>
    <row r="182">
      <c r="A182" s="40" t="inlineStr">
        <is>
          <t>Countries</t>
        </is>
      </c>
      <c r="B182" s="40" t="inlineStr">
        <is>
          <t>Q159</t>
        </is>
      </c>
      <c r="C182" s="40" t="n">
        <v>159</v>
      </c>
      <c r="D182" s="40" t="inlineStr">
        <is>
          <t>Home page</t>
        </is>
      </c>
      <c r="E182" s="40" t="inlineStr">
        <is>
          <t>Organic</t>
        </is>
      </c>
      <c r="F182" s="40" t="inlineStr">
        <is>
          <t>Mobile</t>
        </is>
      </c>
      <c r="G182" s="40" t="inlineStr">
        <is>
          <t>Sweden</t>
        </is>
      </c>
      <c r="H182" s="40" t="n">
        <v>10</v>
      </c>
      <c r="I182" s="40" t="inlineStr">
        <is>
          <t>Searches</t>
        </is>
      </c>
      <c r="J182" s="40" t="inlineStr">
        <is>
          <t>1-23 August 2026</t>
        </is>
      </c>
      <c r="K182" s="55" t="n">
        <v>143</v>
      </c>
      <c r="L182" s="40" t="inlineStr">
        <is>
          <t>Searches YoY + Search→Booking 1-23 August 2026 + Search→Select 1-23 August 2026 + Visit→Search 1-23 August 2026</t>
        </is>
      </c>
      <c r="M182" s="40">
        <f>IF(Countries!Q159="","STILL MISSING","Filled ✓")</f>
        <v/>
      </c>
    </row>
    <row r="183">
      <c r="A183" s="56" t="inlineStr">
        <is>
          <t>Countries</t>
        </is>
      </c>
      <c r="B183" s="56" t="inlineStr">
        <is>
          <t>P215</t>
        </is>
      </c>
      <c r="C183" s="56" t="n">
        <v>215</v>
      </c>
      <c r="D183" s="56" t="inlineStr">
        <is>
          <t>Home page</t>
        </is>
      </c>
      <c r="E183" s="56" t="inlineStr">
        <is>
          <t>Direct</t>
        </is>
      </c>
      <c r="F183" s="56" t="inlineStr">
        <is>
          <t>Desktop</t>
        </is>
      </c>
      <c r="G183" s="56" t="inlineStr">
        <is>
          <t>Sweden</t>
        </is>
      </c>
      <c r="H183" s="56" t="n">
        <v>10</v>
      </c>
      <c r="I183" s="56" t="inlineStr">
        <is>
          <t>Searches</t>
        </is>
      </c>
      <c r="J183" s="56" t="inlineStr">
        <is>
          <t>1-23 August 2025</t>
        </is>
      </c>
      <c r="K183" s="57" t="n">
        <v>144</v>
      </c>
      <c r="L183" s="56" t="inlineStr">
        <is>
          <t>Search→Booking 1-23 August 2025 + Search→Select 1-23 August 2025</t>
        </is>
      </c>
      <c r="M183" s="40">
        <f>IF(Countries!P215="","STILL MISSING","Filled ✓")</f>
        <v/>
      </c>
    </row>
    <row r="184">
      <c r="A184" s="40" t="inlineStr">
        <is>
          <t>Countries</t>
        </is>
      </c>
      <c r="B184" s="40" t="inlineStr">
        <is>
          <t>Q215</t>
        </is>
      </c>
      <c r="C184" s="40" t="n">
        <v>215</v>
      </c>
      <c r="D184" s="40" t="inlineStr">
        <is>
          <t>Home page</t>
        </is>
      </c>
      <c r="E184" s="40" t="inlineStr">
        <is>
          <t>Direct</t>
        </is>
      </c>
      <c r="F184" s="40" t="inlineStr">
        <is>
          <t>Desktop</t>
        </is>
      </c>
      <c r="G184" s="40" t="inlineStr">
        <is>
          <t>Sweden</t>
        </is>
      </c>
      <c r="H184" s="40" t="n">
        <v>10</v>
      </c>
      <c r="I184" s="40" t="inlineStr">
        <is>
          <t>Searches</t>
        </is>
      </c>
      <c r="J184" s="40" t="inlineStr">
        <is>
          <t>1-23 August 2026</t>
        </is>
      </c>
      <c r="K184" s="55" t="n">
        <v>144</v>
      </c>
      <c r="L184" s="40" t="inlineStr">
        <is>
          <t>Search→Booking 1-23 August 2026 + Search→Select 1-23 August 2026 + Visit→Search 1-23 August 2026</t>
        </is>
      </c>
      <c r="M184" s="40">
        <f>IF(Countries!Q215="","STILL MISSING","Filled ✓")</f>
        <v/>
      </c>
    </row>
    <row r="185">
      <c r="A185" s="56" t="inlineStr">
        <is>
          <t>Countries</t>
        </is>
      </c>
      <c r="B185" s="56" t="inlineStr">
        <is>
          <t>E215</t>
        </is>
      </c>
      <c r="C185" s="56" t="n">
        <v>215</v>
      </c>
      <c r="D185" s="56" t="inlineStr">
        <is>
          <t>Home page</t>
        </is>
      </c>
      <c r="E185" s="56" t="inlineStr">
        <is>
          <t>Direct</t>
        </is>
      </c>
      <c r="F185" s="56" t="inlineStr">
        <is>
          <t>Desktop</t>
        </is>
      </c>
      <c r="G185" s="56" t="inlineStr">
        <is>
          <t>Sweden</t>
        </is>
      </c>
      <c r="H185" s="56" t="n">
        <v>10</v>
      </c>
      <c r="I185" s="56" t="inlineStr">
        <is>
          <t>Sessions</t>
        </is>
      </c>
      <c r="J185" s="56" t="inlineStr">
        <is>
          <t>1-23 August 2025</t>
        </is>
      </c>
      <c r="K185" s="57" t="n">
        <v>144</v>
      </c>
      <c r="L185" s="56" t="inlineStr">
        <is>
          <t>CR 1-23 August 2025 + Sessions YoY + Visit→Engagement 1-23 August 2025</t>
        </is>
      </c>
      <c r="M185" s="40">
        <f>IF(Countries!E215="","STILL MISSING","Filled ✓")</f>
        <v/>
      </c>
    </row>
    <row r="186">
      <c r="A186" s="40" t="inlineStr">
        <is>
          <t>Countries</t>
        </is>
      </c>
      <c r="B186" s="40" t="inlineStr">
        <is>
          <t>AL388</t>
        </is>
      </c>
      <c r="C186" s="40" t="n">
        <v>388</v>
      </c>
      <c r="D186" s="40" t="inlineStr">
        <is>
          <t>Route page</t>
        </is>
      </c>
      <c r="E186" s="40" t="inlineStr">
        <is>
          <t>Organic</t>
        </is>
      </c>
      <c r="F186" s="40" t="inlineStr">
        <is>
          <t>Desktop</t>
        </is>
      </c>
      <c r="G186" s="40" t="inlineStr">
        <is>
          <t>Sweden</t>
        </is>
      </c>
      <c r="H186" s="40" t="n">
        <v>10</v>
      </c>
      <c r="I186" s="40" t="inlineStr">
        <is>
          <t>Begin checkout</t>
        </is>
      </c>
      <c r="J186" s="40" t="inlineStr">
        <is>
          <t>1-23 August 2026</t>
        </is>
      </c>
      <c r="K186" s="55" t="n">
        <v>321</v>
      </c>
      <c r="L186" s="40" t="inlineStr">
        <is>
          <t>Begin checkout YoY + Cart→Checkout 1-23 August 2026</t>
        </is>
      </c>
      <c r="M186" s="40">
        <f>IF(Countries!AL388="","STILL MISSING","Filled ✓")</f>
        <v/>
      </c>
    </row>
    <row r="187">
      <c r="A187" s="56" t="inlineStr">
        <is>
          <t>Countries</t>
        </is>
      </c>
      <c r="B187" s="56" t="inlineStr">
        <is>
          <t>AS388</t>
        </is>
      </c>
      <c r="C187" s="56" t="n">
        <v>388</v>
      </c>
      <c r="D187" s="56" t="inlineStr">
        <is>
          <t>Route page</t>
        </is>
      </c>
      <c r="E187" s="56" t="inlineStr">
        <is>
          <t>Organic</t>
        </is>
      </c>
      <c r="F187" s="56" t="inlineStr">
        <is>
          <t>Desktop</t>
        </is>
      </c>
      <c r="G187" s="56" t="inlineStr">
        <is>
          <t>Sweden</t>
        </is>
      </c>
      <c r="H187" s="56" t="n">
        <v>10</v>
      </c>
      <c r="I187" s="56" t="inlineStr">
        <is>
          <t>Purchases</t>
        </is>
      </c>
      <c r="J187" s="56" t="inlineStr">
        <is>
          <t>1-23 August 2026</t>
        </is>
      </c>
      <c r="K187" s="57" t="n">
        <v>321</v>
      </c>
      <c r="L187" s="56" t="inlineStr">
        <is>
          <t>CR 1-23 August 2026 + Purchases YoY + Search→Booking 1-23 August 2026</t>
        </is>
      </c>
      <c r="M187" s="40">
        <f>IF(Countries!AS388="","STILL MISSING","Filled ✓")</f>
        <v/>
      </c>
    </row>
    <row r="188">
      <c r="A188" s="40" t="inlineStr">
        <is>
          <t>Countries</t>
        </is>
      </c>
      <c r="B188" s="40" t="inlineStr">
        <is>
          <t>AK424</t>
        </is>
      </c>
      <c r="C188" s="40" t="n">
        <v>424</v>
      </c>
      <c r="D188" s="40" t="inlineStr">
        <is>
          <t>Route page</t>
        </is>
      </c>
      <c r="E188" s="40" t="inlineStr">
        <is>
          <t>Direct</t>
        </is>
      </c>
      <c r="F188" s="40" t="inlineStr">
        <is>
          <t>Desktop</t>
        </is>
      </c>
      <c r="G188" s="40" t="inlineStr">
        <is>
          <t>Sweden</t>
        </is>
      </c>
      <c r="H188" s="40" t="n">
        <v>10</v>
      </c>
      <c r="I188" s="40" t="inlineStr">
        <is>
          <t>Begin checkout</t>
        </is>
      </c>
      <c r="J188" s="40" t="inlineStr">
        <is>
          <t>1-23 August 2025</t>
        </is>
      </c>
      <c r="K188" s="55" t="n">
        <v>153</v>
      </c>
      <c r="L188" s="40" t="inlineStr">
        <is>
          <t>Begin checkout YoY + Cart→Checkout 1-23 August 2025</t>
        </is>
      </c>
      <c r="M188" s="40">
        <f>IF(Countries!AK424="","STILL MISSING","Filled ✓")</f>
        <v/>
      </c>
    </row>
    <row r="189">
      <c r="A189" s="56" t="inlineStr">
        <is>
          <t>Countries</t>
        </is>
      </c>
      <c r="B189" s="56" t="inlineStr">
        <is>
          <t>AR424</t>
        </is>
      </c>
      <c r="C189" s="56" t="n">
        <v>424</v>
      </c>
      <c r="D189" s="56" t="inlineStr">
        <is>
          <t>Route page</t>
        </is>
      </c>
      <c r="E189" s="56" t="inlineStr">
        <is>
          <t>Direct</t>
        </is>
      </c>
      <c r="F189" s="56" t="inlineStr">
        <is>
          <t>Desktop</t>
        </is>
      </c>
      <c r="G189" s="56" t="inlineStr">
        <is>
          <t>Sweden</t>
        </is>
      </c>
      <c r="H189" s="56" t="n">
        <v>10</v>
      </c>
      <c r="I189" s="56" t="inlineStr">
        <is>
          <t>Purchases</t>
        </is>
      </c>
      <c r="J189" s="56" t="inlineStr">
        <is>
          <t>1-23 August 2025</t>
        </is>
      </c>
      <c r="K189" s="57" t="n">
        <v>153</v>
      </c>
      <c r="L189" s="56" t="inlineStr">
        <is>
          <t>CR 1-23 August 2025 + Purchases YoY + Search→Booking 1-23 August 2025</t>
        </is>
      </c>
      <c r="M189" s="40">
        <f>IF(Countries!AR424="","STILL MISSING","Filled ✓")</f>
        <v/>
      </c>
    </row>
    <row r="190">
      <c r="A190" s="40" t="inlineStr">
        <is>
          <t>Countries</t>
        </is>
      </c>
      <c r="B190" s="40" t="inlineStr">
        <is>
          <t>AL405</t>
        </is>
      </c>
      <c r="C190" s="40" t="n">
        <v>405</v>
      </c>
      <c r="D190" s="40" t="inlineStr">
        <is>
          <t>Route page</t>
        </is>
      </c>
      <c r="E190" s="40" t="inlineStr">
        <is>
          <t>Direct</t>
        </is>
      </c>
      <c r="F190" s="40" t="inlineStr">
        <is>
          <t>Mobile</t>
        </is>
      </c>
      <c r="G190" s="40" t="inlineStr">
        <is>
          <t>Sweden</t>
        </is>
      </c>
      <c r="H190" s="40" t="n">
        <v>10</v>
      </c>
      <c r="I190" s="40" t="inlineStr">
        <is>
          <t>Begin checkout</t>
        </is>
      </c>
      <c r="J190" s="40" t="inlineStr">
        <is>
          <t>1-23 August 2026</t>
        </is>
      </c>
      <c r="K190" s="55" t="n">
        <v>94</v>
      </c>
      <c r="L190" s="40" t="inlineStr">
        <is>
          <t>Begin checkout YoY + Cart→Checkout 1-23 August 2026</t>
        </is>
      </c>
      <c r="M190" s="40">
        <f>IF(Countries!AL405="","STILL MISSING","Filled ✓")</f>
        <v/>
      </c>
    </row>
    <row r="191">
      <c r="A191" s="56" t="inlineStr">
        <is>
          <t>Countries</t>
        </is>
      </c>
      <c r="B191" s="56" t="inlineStr">
        <is>
          <t>AS405</t>
        </is>
      </c>
      <c r="C191" s="56" t="n">
        <v>405</v>
      </c>
      <c r="D191" s="56" t="inlineStr">
        <is>
          <t>Route page</t>
        </is>
      </c>
      <c r="E191" s="56" t="inlineStr">
        <is>
          <t>Direct</t>
        </is>
      </c>
      <c r="F191" s="56" t="inlineStr">
        <is>
          <t>Mobile</t>
        </is>
      </c>
      <c r="G191" s="56" t="inlineStr">
        <is>
          <t>Sweden</t>
        </is>
      </c>
      <c r="H191" s="56" t="n">
        <v>10</v>
      </c>
      <c r="I191" s="56" t="inlineStr">
        <is>
          <t>Purchases</t>
        </is>
      </c>
      <c r="J191" s="56" t="inlineStr">
        <is>
          <t>1-23 August 2026</t>
        </is>
      </c>
      <c r="K191" s="57" t="n">
        <v>94</v>
      </c>
      <c r="L191" s="56" t="inlineStr">
        <is>
          <t>CR 1-23 August 2026 + Purchases YoY + Search→Booking 1-23 August 2026</t>
        </is>
      </c>
      <c r="M191" s="40">
        <f>IF(Countries!AS405="","STILL MISSING","Filled ✓")</f>
        <v/>
      </c>
    </row>
    <row r="192">
      <c r="A192" s="40" t="inlineStr">
        <is>
          <t>Countries</t>
        </is>
      </c>
      <c r="B192" s="40" t="inlineStr">
        <is>
          <t>P12</t>
        </is>
      </c>
      <c r="C192" s="40" t="n">
        <v>12</v>
      </c>
      <c r="D192" s="40" t="inlineStr">
        <is>
          <t>All landing pages</t>
        </is>
      </c>
      <c r="E192" s="40" t="inlineStr">
        <is>
          <t>Paid Search</t>
        </is>
      </c>
      <c r="F192" s="40" t="inlineStr">
        <is>
          <t>Mobile</t>
        </is>
      </c>
      <c r="G192" s="40" t="inlineStr">
        <is>
          <t>Belgium</t>
        </is>
      </c>
      <c r="H192" s="40" t="n">
        <v>11</v>
      </c>
      <c r="I192" s="40" t="inlineStr">
        <is>
          <t>Searches</t>
        </is>
      </c>
      <c r="J192" s="40" t="inlineStr">
        <is>
          <t>1-23 August 2025</t>
        </is>
      </c>
      <c r="K192" s="55" t="n">
        <v>3461</v>
      </c>
      <c r="L192" s="40" t="inlineStr">
        <is>
          <t>Searches YoY + Search→Booking 1-23 August 2025 + Search→Select 1-23 August 2025</t>
        </is>
      </c>
      <c r="M192" s="40">
        <f>IF(Countries!P12="","STILL MISSING","Filled ✓")</f>
        <v/>
      </c>
    </row>
    <row r="193">
      <c r="A193" s="56" t="inlineStr">
        <is>
          <t>Countries</t>
        </is>
      </c>
      <c r="B193" s="56" t="inlineStr">
        <is>
          <t>E12</t>
        </is>
      </c>
      <c r="C193" s="56" t="n">
        <v>12</v>
      </c>
      <c r="D193" s="56" t="inlineStr">
        <is>
          <t>All landing pages</t>
        </is>
      </c>
      <c r="E193" s="56" t="inlineStr">
        <is>
          <t>Paid Search</t>
        </is>
      </c>
      <c r="F193" s="56" t="inlineStr">
        <is>
          <t>Mobile</t>
        </is>
      </c>
      <c r="G193" s="56" t="inlineStr">
        <is>
          <t>Belgium</t>
        </is>
      </c>
      <c r="H193" s="56" t="n">
        <v>11</v>
      </c>
      <c r="I193" s="56" t="inlineStr">
        <is>
          <t>Sessions</t>
        </is>
      </c>
      <c r="J193" s="56" t="inlineStr">
        <is>
          <t>1-23 August 2025</t>
        </is>
      </c>
      <c r="K193" s="57" t="n">
        <v>3461</v>
      </c>
      <c r="L193" s="56" t="inlineStr">
        <is>
          <t>CR 1-23 August 2025 + Sessions YoY + Visit→Engagement 1-23 August 2025</t>
        </is>
      </c>
      <c r="M193" s="40">
        <f>IF(Countries!E12="","STILL MISSING","Filled ✓")</f>
        <v/>
      </c>
    </row>
    <row r="194">
      <c r="A194" s="40" t="inlineStr">
        <is>
          <t>Countries</t>
        </is>
      </c>
      <c r="B194" s="40" t="inlineStr">
        <is>
          <t>P45</t>
        </is>
      </c>
      <c r="C194" s="40" t="n">
        <v>45</v>
      </c>
      <c r="D194" s="40" t="inlineStr">
        <is>
          <t>All landing pages</t>
        </is>
      </c>
      <c r="E194" s="40" t="inlineStr">
        <is>
          <t>Organic</t>
        </is>
      </c>
      <c r="F194" s="40" t="inlineStr">
        <is>
          <t>Mobile</t>
        </is>
      </c>
      <c r="G194" s="40" t="inlineStr">
        <is>
          <t>Belgium</t>
        </is>
      </c>
      <c r="H194" s="40" t="n">
        <v>11</v>
      </c>
      <c r="I194" s="40" t="inlineStr">
        <is>
          <t>Searches</t>
        </is>
      </c>
      <c r="J194" s="40" t="inlineStr">
        <is>
          <t>1-23 August 2025</t>
        </is>
      </c>
      <c r="K194" s="55" t="n">
        <v>1671</v>
      </c>
      <c r="L194" s="40" t="inlineStr">
        <is>
          <t>Searches YoY + Search→Booking 1-23 August 2025 + Search→Select 1-23 August 2025 + Visit→Search 1-23 August 2025</t>
        </is>
      </c>
      <c r="M194" s="40">
        <f>IF(Countries!P45="","STILL MISSING","Filled ✓")</f>
        <v/>
      </c>
    </row>
    <row r="195">
      <c r="A195" s="56" t="inlineStr">
        <is>
          <t>Countries</t>
        </is>
      </c>
      <c r="B195" s="56" t="inlineStr">
        <is>
          <t>P101</t>
        </is>
      </c>
      <c r="C195" s="56" t="n">
        <v>101</v>
      </c>
      <c r="D195" s="56" t="inlineStr">
        <is>
          <t>All landing pages</t>
        </is>
      </c>
      <c r="E195" s="56" t="inlineStr">
        <is>
          <t>Direct</t>
        </is>
      </c>
      <c r="F195" s="56" t="inlineStr">
        <is>
          <t>Desktop</t>
        </is>
      </c>
      <c r="G195" s="56" t="inlineStr">
        <is>
          <t>Belgium</t>
        </is>
      </c>
      <c r="H195" s="56" t="n">
        <v>11</v>
      </c>
      <c r="I195" s="56" t="inlineStr">
        <is>
          <t>Searches</t>
        </is>
      </c>
      <c r="J195" s="56" t="inlineStr">
        <is>
          <t>1-23 August 2025</t>
        </is>
      </c>
      <c r="K195" s="57" t="n">
        <v>695</v>
      </c>
      <c r="L195" s="56" t="inlineStr">
        <is>
          <t>Searches YoY + Search→Booking 1-23 August 2025 + Search→Select 1-23 August 2025</t>
        </is>
      </c>
      <c r="M195" s="40">
        <f>IF(Countries!P101="","STILL MISSING","Filled ✓")</f>
        <v/>
      </c>
    </row>
    <row r="196">
      <c r="A196" s="40" t="inlineStr">
        <is>
          <t>Countries</t>
        </is>
      </c>
      <c r="B196" s="40" t="inlineStr">
        <is>
          <t>E101</t>
        </is>
      </c>
      <c r="C196" s="40" t="n">
        <v>101</v>
      </c>
      <c r="D196" s="40" t="inlineStr">
        <is>
          <t>All landing pages</t>
        </is>
      </c>
      <c r="E196" s="40" t="inlineStr">
        <is>
          <t>Direct</t>
        </is>
      </c>
      <c r="F196" s="40" t="inlineStr">
        <is>
          <t>Desktop</t>
        </is>
      </c>
      <c r="G196" s="40" t="inlineStr">
        <is>
          <t>Belgium</t>
        </is>
      </c>
      <c r="H196" s="40" t="n">
        <v>11</v>
      </c>
      <c r="I196" s="40" t="inlineStr">
        <is>
          <t>Sessions</t>
        </is>
      </c>
      <c r="J196" s="40" t="inlineStr">
        <is>
          <t>1-23 August 2025</t>
        </is>
      </c>
      <c r="K196" s="55" t="n">
        <v>695</v>
      </c>
      <c r="L196" s="40" t="inlineStr">
        <is>
          <t>CR 1-23 August 2025 + Sessions YoY + Visit→Engagement 1-23 August 2025</t>
        </is>
      </c>
      <c r="M196" s="40">
        <f>IF(Countries!E101="","STILL MISSING","Filled ✓")</f>
        <v/>
      </c>
    </row>
    <row r="197">
      <c r="A197" s="56" t="inlineStr">
        <is>
          <t>Countries</t>
        </is>
      </c>
      <c r="B197" s="56" t="inlineStr">
        <is>
          <t>P80</t>
        </is>
      </c>
      <c r="C197" s="56" t="n">
        <v>80</v>
      </c>
      <c r="D197" s="56" t="inlineStr">
        <is>
          <t>All landing pages</t>
        </is>
      </c>
      <c r="E197" s="56" t="inlineStr">
        <is>
          <t>Direct</t>
        </is>
      </c>
      <c r="F197" s="56" t="inlineStr">
        <is>
          <t>Mobile</t>
        </is>
      </c>
      <c r="G197" s="56" t="inlineStr">
        <is>
          <t>Belgium</t>
        </is>
      </c>
      <c r="H197" s="56" t="n">
        <v>11</v>
      </c>
      <c r="I197" s="56" t="inlineStr">
        <is>
          <t>Searches</t>
        </is>
      </c>
      <c r="J197" s="56" t="inlineStr">
        <is>
          <t>1-23 August 2025</t>
        </is>
      </c>
      <c r="K197" s="57" t="n">
        <v>610</v>
      </c>
      <c r="L197" s="56" t="inlineStr">
        <is>
          <t>Searches YoY + Search→Booking 1-23 August 2025 + Search→Select 1-23 August 2025</t>
        </is>
      </c>
      <c r="M197" s="40">
        <f>IF(Countries!P80="","STILL MISSING","Filled ✓")</f>
        <v/>
      </c>
    </row>
    <row r="198">
      <c r="A198" s="40" t="inlineStr">
        <is>
          <t>Countries</t>
        </is>
      </c>
      <c r="B198" s="40" t="inlineStr">
        <is>
          <t>E80</t>
        </is>
      </c>
      <c r="C198" s="40" t="n">
        <v>80</v>
      </c>
      <c r="D198" s="40" t="inlineStr">
        <is>
          <t>All landing pages</t>
        </is>
      </c>
      <c r="E198" s="40" t="inlineStr">
        <is>
          <t>Direct</t>
        </is>
      </c>
      <c r="F198" s="40" t="inlineStr">
        <is>
          <t>Mobile</t>
        </is>
      </c>
      <c r="G198" s="40" t="inlineStr">
        <is>
          <t>Belgium</t>
        </is>
      </c>
      <c r="H198" s="40" t="n">
        <v>11</v>
      </c>
      <c r="I198" s="40" t="inlineStr">
        <is>
          <t>Sessions</t>
        </is>
      </c>
      <c r="J198" s="40" t="inlineStr">
        <is>
          <t>1-23 August 2025</t>
        </is>
      </c>
      <c r="K198" s="55" t="n">
        <v>610</v>
      </c>
      <c r="L198" s="40" t="inlineStr">
        <is>
          <t>CR 1-23 August 2025 + Sessions YoY + Visit→Engagement 1-23 August 2025</t>
        </is>
      </c>
      <c r="M198" s="40">
        <f>IF(Countries!E80="","STILL MISSING","Filled ✓")</f>
        <v/>
      </c>
    </row>
    <row r="199">
      <c r="A199" s="56" t="inlineStr">
        <is>
          <t>Countries</t>
        </is>
      </c>
      <c r="B199" s="56" t="inlineStr">
        <is>
          <t>E121</t>
        </is>
      </c>
      <c r="C199" s="56" t="n">
        <v>121</v>
      </c>
      <c r="D199" s="56" t="inlineStr">
        <is>
          <t>Home page</t>
        </is>
      </c>
      <c r="E199" s="56" t="inlineStr">
        <is>
          <t>Paid Search</t>
        </is>
      </c>
      <c r="F199" s="56" t="inlineStr">
        <is>
          <t>Mobile</t>
        </is>
      </c>
      <c r="G199" s="56" t="inlineStr">
        <is>
          <t>Belgium</t>
        </is>
      </c>
      <c r="H199" s="56" t="n">
        <v>11</v>
      </c>
      <c r="I199" s="56" t="inlineStr">
        <is>
          <t>Sessions</t>
        </is>
      </c>
      <c r="J199" s="56" t="inlineStr">
        <is>
          <t>1-23 August 2025</t>
        </is>
      </c>
      <c r="K199" s="57" t="n">
        <v>1123</v>
      </c>
      <c r="L199" s="56" t="inlineStr">
        <is>
          <t>CR 1-23 August 2025 + Sessions YoY + Visit→Engagement 1-23 August 2025 + Visit→Search 1-23 August 2025</t>
        </is>
      </c>
      <c r="M199" s="40">
        <f>IF(Countries!E121="","STILL MISSING","Filled ✓")</f>
        <v/>
      </c>
    </row>
    <row r="200">
      <c r="A200" s="40" t="inlineStr">
        <is>
          <t>Countries</t>
        </is>
      </c>
      <c r="B200" s="40" t="inlineStr">
        <is>
          <t>P210</t>
        </is>
      </c>
      <c r="C200" s="40" t="n">
        <v>210</v>
      </c>
      <c r="D200" s="40" t="inlineStr">
        <is>
          <t>Home page</t>
        </is>
      </c>
      <c r="E200" s="40" t="inlineStr">
        <is>
          <t>Direct</t>
        </is>
      </c>
      <c r="F200" s="40" t="inlineStr">
        <is>
          <t>Desktop</t>
        </is>
      </c>
      <c r="G200" s="40" t="inlineStr">
        <is>
          <t>Belgium</t>
        </is>
      </c>
      <c r="H200" s="40" t="n">
        <v>11</v>
      </c>
      <c r="I200" s="40" t="inlineStr">
        <is>
          <t>Searches</t>
        </is>
      </c>
      <c r="J200" s="40" t="inlineStr">
        <is>
          <t>1-23 August 2025</t>
        </is>
      </c>
      <c r="K200" s="55" t="n">
        <v>309</v>
      </c>
      <c r="L200" s="40" t="inlineStr">
        <is>
          <t>Searches YoY + Search→Booking 1-23 August 2025 + Search→Select 1-23 August 2025 + Visit→Search 1-23 August 2025</t>
        </is>
      </c>
      <c r="M200" s="40">
        <f>IF(Countries!P210="","STILL MISSING","Filled ✓")</f>
        <v/>
      </c>
    </row>
    <row r="201">
      <c r="A201" s="56" t="inlineStr">
        <is>
          <t>Countries</t>
        </is>
      </c>
      <c r="B201" s="56" t="inlineStr">
        <is>
          <t>P188</t>
        </is>
      </c>
      <c r="C201" s="56" t="n">
        <v>188</v>
      </c>
      <c r="D201" s="56" t="inlineStr">
        <is>
          <t>Home page</t>
        </is>
      </c>
      <c r="E201" s="56" t="inlineStr">
        <is>
          <t>Direct</t>
        </is>
      </c>
      <c r="F201" s="56" t="inlineStr">
        <is>
          <t>Mobile</t>
        </is>
      </c>
      <c r="G201" s="56" t="inlineStr">
        <is>
          <t>Belgium</t>
        </is>
      </c>
      <c r="H201" s="56" t="n">
        <v>11</v>
      </c>
      <c r="I201" s="56" t="inlineStr">
        <is>
          <t>Searches</t>
        </is>
      </c>
      <c r="J201" s="56" t="inlineStr">
        <is>
          <t>1-23 August 2025</t>
        </is>
      </c>
      <c r="K201" s="57" t="n">
        <v>385</v>
      </c>
      <c r="L201" s="56" t="inlineStr">
        <is>
          <t>Searches YoY + Search→Booking 1-23 August 2025 + Search→Select 1-23 August 2025</t>
        </is>
      </c>
      <c r="M201" s="40">
        <f>IF(Countries!P188="","STILL MISSING","Filled ✓")</f>
        <v/>
      </c>
    </row>
    <row r="202">
      <c r="A202" s="40" t="inlineStr">
        <is>
          <t>Countries</t>
        </is>
      </c>
      <c r="B202" s="40" t="inlineStr">
        <is>
          <t>E188</t>
        </is>
      </c>
      <c r="C202" s="40" t="n">
        <v>188</v>
      </c>
      <c r="D202" s="40" t="inlineStr">
        <is>
          <t>Home page</t>
        </is>
      </c>
      <c r="E202" s="40" t="inlineStr">
        <is>
          <t>Direct</t>
        </is>
      </c>
      <c r="F202" s="40" t="inlineStr">
        <is>
          <t>Mobile</t>
        </is>
      </c>
      <c r="G202" s="40" t="inlineStr">
        <is>
          <t>Belgium</t>
        </is>
      </c>
      <c r="H202" s="40" t="n">
        <v>11</v>
      </c>
      <c r="I202" s="40" t="inlineStr">
        <is>
          <t>Sessions</t>
        </is>
      </c>
      <c r="J202" s="40" t="inlineStr">
        <is>
          <t>1-23 August 2025</t>
        </is>
      </c>
      <c r="K202" s="55" t="n">
        <v>385</v>
      </c>
      <c r="L202" s="40" t="inlineStr">
        <is>
          <t>CR 1-23 August 2025 + Sessions YoY + Visit→Engagement 1-23 August 2025</t>
        </is>
      </c>
      <c r="M202" s="40">
        <f>IF(Countries!E188="","STILL MISSING","Filled ✓")</f>
        <v/>
      </c>
    </row>
    <row r="203">
      <c r="A203" s="56" t="inlineStr">
        <is>
          <t>Countries</t>
        </is>
      </c>
      <c r="B203" s="56" t="inlineStr">
        <is>
          <t>P251</t>
        </is>
      </c>
      <c r="C203" s="56" t="n">
        <v>251</v>
      </c>
      <c r="D203" s="56" t="inlineStr">
        <is>
          <t>Airport page</t>
        </is>
      </c>
      <c r="E203" s="56" t="inlineStr">
        <is>
          <t>Paid Search</t>
        </is>
      </c>
      <c r="F203" s="56" t="inlineStr">
        <is>
          <t>Desktop</t>
        </is>
      </c>
      <c r="G203" s="56" t="inlineStr">
        <is>
          <t>Belgium</t>
        </is>
      </c>
      <c r="H203" s="56" t="n">
        <v>11</v>
      </c>
      <c r="I203" s="56" t="inlineStr">
        <is>
          <t>Searches</t>
        </is>
      </c>
      <c r="J203" s="56" t="inlineStr">
        <is>
          <t>1-23 August 2025</t>
        </is>
      </c>
      <c r="K203" s="57" t="n">
        <v>729</v>
      </c>
      <c r="L203" s="56" t="inlineStr">
        <is>
          <t>Searches YoY + Search→Booking 1-23 August 2025 + Search→Select 1-23 August 2025</t>
        </is>
      </c>
      <c r="M203" s="40">
        <f>IF(Countries!P251="","STILL MISSING","Filled ✓")</f>
        <v/>
      </c>
    </row>
    <row r="204">
      <c r="A204" s="40" t="inlineStr">
        <is>
          <t>Countries</t>
        </is>
      </c>
      <c r="B204" s="40" t="inlineStr">
        <is>
          <t>E251</t>
        </is>
      </c>
      <c r="C204" s="40" t="n">
        <v>251</v>
      </c>
      <c r="D204" s="40" t="inlineStr">
        <is>
          <t>Airport page</t>
        </is>
      </c>
      <c r="E204" s="40" t="inlineStr">
        <is>
          <t>Paid Search</t>
        </is>
      </c>
      <c r="F204" s="40" t="inlineStr">
        <is>
          <t>Desktop</t>
        </is>
      </c>
      <c r="G204" s="40" t="inlineStr">
        <is>
          <t>Belgium</t>
        </is>
      </c>
      <c r="H204" s="40" t="n">
        <v>11</v>
      </c>
      <c r="I204" s="40" t="inlineStr">
        <is>
          <t>Sessions</t>
        </is>
      </c>
      <c r="J204" s="40" t="inlineStr">
        <is>
          <t>1-23 August 2025</t>
        </is>
      </c>
      <c r="K204" s="55" t="n">
        <v>729</v>
      </c>
      <c r="L204" s="40" t="inlineStr">
        <is>
          <t>CR 1-23 August 2025 + Sessions YoY + Visit→Engagement 1-23 August 2025</t>
        </is>
      </c>
      <c r="M204" s="40">
        <f>IF(Countries!E251="","STILL MISSING","Filled ✓")</f>
        <v/>
      </c>
    </row>
    <row r="205">
      <c r="A205" s="56" t="inlineStr">
        <is>
          <t>Countries</t>
        </is>
      </c>
      <c r="B205" s="56" t="inlineStr">
        <is>
          <t>P228</t>
        </is>
      </c>
      <c r="C205" s="56" t="n">
        <v>228</v>
      </c>
      <c r="D205" s="56" t="inlineStr">
        <is>
          <t>Airport page</t>
        </is>
      </c>
      <c r="E205" s="56" t="inlineStr">
        <is>
          <t>Paid Search</t>
        </is>
      </c>
      <c r="F205" s="56" t="inlineStr">
        <is>
          <t>Mobile</t>
        </is>
      </c>
      <c r="G205" s="56" t="inlineStr">
        <is>
          <t>Belgium</t>
        </is>
      </c>
      <c r="H205" s="56" t="n">
        <v>11</v>
      </c>
      <c r="I205" s="56" t="inlineStr">
        <is>
          <t>Searches</t>
        </is>
      </c>
      <c r="J205" s="56" t="inlineStr">
        <is>
          <t>1-23 August 2025</t>
        </is>
      </c>
      <c r="K205" s="57" t="n">
        <v>1658</v>
      </c>
      <c r="L205" s="56" t="inlineStr">
        <is>
          <t>Searches YoY + Search→Booking 1-23 August 2025 + Search→Select 1-23 August 2025</t>
        </is>
      </c>
      <c r="M205" s="40">
        <f>IF(Countries!P228="","STILL MISSING","Filled ✓")</f>
        <v/>
      </c>
    </row>
    <row r="206">
      <c r="A206" s="40" t="inlineStr">
        <is>
          <t>Countries</t>
        </is>
      </c>
      <c r="B206" s="40" t="inlineStr">
        <is>
          <t>E228</t>
        </is>
      </c>
      <c r="C206" s="40" t="n">
        <v>228</v>
      </c>
      <c r="D206" s="40" t="inlineStr">
        <is>
          <t>Airport page</t>
        </is>
      </c>
      <c r="E206" s="40" t="inlineStr">
        <is>
          <t>Paid Search</t>
        </is>
      </c>
      <c r="F206" s="40" t="inlineStr">
        <is>
          <t>Mobile</t>
        </is>
      </c>
      <c r="G206" s="40" t="inlineStr">
        <is>
          <t>Belgium</t>
        </is>
      </c>
      <c r="H206" s="40" t="n">
        <v>11</v>
      </c>
      <c r="I206" s="40" t="inlineStr">
        <is>
          <t>Sessions</t>
        </is>
      </c>
      <c r="J206" s="40" t="inlineStr">
        <is>
          <t>1-23 August 2025</t>
        </is>
      </c>
      <c r="K206" s="55" t="n">
        <v>1658</v>
      </c>
      <c r="L206" s="40" t="inlineStr">
        <is>
          <t>CR 1-23 August 2025 + Sessions YoY + Visit→Engagement 1-23 August 2025</t>
        </is>
      </c>
      <c r="M206" s="40">
        <f>IF(Countries!E228="","STILL MISSING","Filled ✓")</f>
        <v/>
      </c>
    </row>
    <row r="207">
      <c r="A207" s="56" t="inlineStr">
        <is>
          <t>Countries</t>
        </is>
      </c>
      <c r="B207" s="56" t="inlineStr">
        <is>
          <t>P283</t>
        </is>
      </c>
      <c r="C207" s="56" t="n">
        <v>283</v>
      </c>
      <c r="D207" s="56" t="inlineStr">
        <is>
          <t>Airport page</t>
        </is>
      </c>
      <c r="E207" s="56" t="inlineStr">
        <is>
          <t>Organic</t>
        </is>
      </c>
      <c r="F207" s="56" t="inlineStr">
        <is>
          <t>Desktop</t>
        </is>
      </c>
      <c r="G207" s="56" t="inlineStr">
        <is>
          <t>Belgium</t>
        </is>
      </c>
      <c r="H207" s="56" t="n">
        <v>11</v>
      </c>
      <c r="I207" s="56" t="inlineStr">
        <is>
          <t>Searches</t>
        </is>
      </c>
      <c r="J207" s="56" t="inlineStr">
        <is>
          <t>1-23 August 2025</t>
        </is>
      </c>
      <c r="K207" s="57" t="n">
        <v>115</v>
      </c>
      <c r="L207" s="56" t="inlineStr">
        <is>
          <t>Searches YoY + Search→Booking 1-23 August 2025 + Search→Select 1-23 August 2025</t>
        </is>
      </c>
      <c r="M207" s="40">
        <f>IF(Countries!P283="","STILL MISSING","Filled ✓")</f>
        <v/>
      </c>
    </row>
    <row r="208">
      <c r="A208" s="40" t="inlineStr">
        <is>
          <t>Countries</t>
        </is>
      </c>
      <c r="B208" s="40" t="inlineStr">
        <is>
          <t>E283</t>
        </is>
      </c>
      <c r="C208" s="40" t="n">
        <v>283</v>
      </c>
      <c r="D208" s="40" t="inlineStr">
        <is>
          <t>Airport page</t>
        </is>
      </c>
      <c r="E208" s="40" t="inlineStr">
        <is>
          <t>Organic</t>
        </is>
      </c>
      <c r="F208" s="40" t="inlineStr">
        <is>
          <t>Desktop</t>
        </is>
      </c>
      <c r="G208" s="40" t="inlineStr">
        <is>
          <t>Belgium</t>
        </is>
      </c>
      <c r="H208" s="40" t="n">
        <v>11</v>
      </c>
      <c r="I208" s="40" t="inlineStr">
        <is>
          <t>Sessions</t>
        </is>
      </c>
      <c r="J208" s="40" t="inlineStr">
        <is>
          <t>1-23 August 2025</t>
        </is>
      </c>
      <c r="K208" s="55" t="n">
        <v>115</v>
      </c>
      <c r="L208" s="40" t="inlineStr">
        <is>
          <t>CR 1-23 August 2025 + Sessions YoY + Visit→Engagement 1-23 August 2025</t>
        </is>
      </c>
      <c r="M208" s="40">
        <f>IF(Countries!E283="","STILL MISSING","Filled ✓")</f>
        <v/>
      </c>
    </row>
    <row r="209">
      <c r="A209" s="56" t="inlineStr">
        <is>
          <t>Countries</t>
        </is>
      </c>
      <c r="B209" s="56" t="inlineStr">
        <is>
          <t>P262</t>
        </is>
      </c>
      <c r="C209" s="56" t="n">
        <v>262</v>
      </c>
      <c r="D209" s="56" t="inlineStr">
        <is>
          <t>Airport page</t>
        </is>
      </c>
      <c r="E209" s="56" t="inlineStr">
        <is>
          <t>Organic</t>
        </is>
      </c>
      <c r="F209" s="56" t="inlineStr">
        <is>
          <t>Mobile</t>
        </is>
      </c>
      <c r="G209" s="56" t="inlineStr">
        <is>
          <t>Belgium</t>
        </is>
      </c>
      <c r="H209" s="56" t="n">
        <v>11</v>
      </c>
      <c r="I209" s="56" t="inlineStr">
        <is>
          <t>Searches</t>
        </is>
      </c>
      <c r="J209" s="56" t="inlineStr">
        <is>
          <t>1-23 August 2025</t>
        </is>
      </c>
      <c r="K209" s="57" t="n">
        <v>357</v>
      </c>
      <c r="L209" s="56" t="inlineStr">
        <is>
          <t>Searches YoY + Search→Booking 1-23 August 2025 + Search→Select 1-23 August 2025</t>
        </is>
      </c>
      <c r="M209" s="40">
        <f>IF(Countries!P262="","STILL MISSING","Filled ✓")</f>
        <v/>
      </c>
    </row>
    <row r="210">
      <c r="A210" s="40" t="inlineStr">
        <is>
          <t>Countries</t>
        </is>
      </c>
      <c r="B210" s="40" t="inlineStr">
        <is>
          <t>E262</t>
        </is>
      </c>
      <c r="C210" s="40" t="n">
        <v>262</v>
      </c>
      <c r="D210" s="40" t="inlineStr">
        <is>
          <t>Airport page</t>
        </is>
      </c>
      <c r="E210" s="40" t="inlineStr">
        <is>
          <t>Organic</t>
        </is>
      </c>
      <c r="F210" s="40" t="inlineStr">
        <is>
          <t>Mobile</t>
        </is>
      </c>
      <c r="G210" s="40" t="inlineStr">
        <is>
          <t>Belgium</t>
        </is>
      </c>
      <c r="H210" s="40" t="n">
        <v>11</v>
      </c>
      <c r="I210" s="40" t="inlineStr">
        <is>
          <t>Sessions</t>
        </is>
      </c>
      <c r="J210" s="40" t="inlineStr">
        <is>
          <t>1-23 August 2025</t>
        </is>
      </c>
      <c r="K210" s="55" t="n">
        <v>357</v>
      </c>
      <c r="L210" s="40" t="inlineStr">
        <is>
          <t>CR 1-23 August 2025 + Sessions YoY + Visit→Engagement 1-23 August 2025</t>
        </is>
      </c>
      <c r="M210" s="40">
        <f>IF(Countries!E262="","STILL MISSING","Filled ✓")</f>
        <v/>
      </c>
    </row>
    <row r="211">
      <c r="A211" s="56" t="inlineStr">
        <is>
          <t>Countries</t>
        </is>
      </c>
      <c r="B211" s="56" t="inlineStr">
        <is>
          <t>AD315</t>
        </is>
      </c>
      <c r="C211" s="56" t="n">
        <v>315</v>
      </c>
      <c r="D211" s="56" t="inlineStr">
        <is>
          <t>Airport page</t>
        </is>
      </c>
      <c r="E211" s="56" t="inlineStr">
        <is>
          <t>Direct</t>
        </is>
      </c>
      <c r="F211" s="56" t="inlineStr">
        <is>
          <t>Desktop</t>
        </is>
      </c>
      <c r="G211" s="56" t="inlineStr">
        <is>
          <t>Belgium</t>
        </is>
      </c>
      <c r="H211" s="56" t="n">
        <v>11</v>
      </c>
      <c r="I211" s="56" t="inlineStr">
        <is>
          <t>Add to cart</t>
        </is>
      </c>
      <c r="J211" s="56" t="inlineStr">
        <is>
          <t>1-23 August 2025</t>
        </is>
      </c>
      <c r="K211" s="57" t="n">
        <v>177</v>
      </c>
      <c r="L211" s="56" t="inlineStr">
        <is>
          <t>Add to cart YoY + Select→Cart 1-23 August 2025</t>
        </is>
      </c>
      <c r="M211" s="40">
        <f>IF(Countries!AD315="","STILL MISSING","Filled ✓")</f>
        <v/>
      </c>
    </row>
    <row r="212">
      <c r="A212" s="40" t="inlineStr">
        <is>
          <t>Countries</t>
        </is>
      </c>
      <c r="B212" s="40" t="inlineStr">
        <is>
          <t>AK315</t>
        </is>
      </c>
      <c r="C212" s="40" t="n">
        <v>315</v>
      </c>
      <c r="D212" s="40" t="inlineStr">
        <is>
          <t>Airport page</t>
        </is>
      </c>
      <c r="E212" s="40" t="inlineStr">
        <is>
          <t>Direct</t>
        </is>
      </c>
      <c r="F212" s="40" t="inlineStr">
        <is>
          <t>Desktop</t>
        </is>
      </c>
      <c r="G212" s="40" t="inlineStr">
        <is>
          <t>Belgium</t>
        </is>
      </c>
      <c r="H212" s="40" t="n">
        <v>11</v>
      </c>
      <c r="I212" s="40" t="inlineStr">
        <is>
          <t>Begin checkout</t>
        </is>
      </c>
      <c r="J212" s="40" t="inlineStr">
        <is>
          <t>1-23 August 2025</t>
        </is>
      </c>
      <c r="K212" s="55" t="n">
        <v>177</v>
      </c>
      <c r="L212" s="40" t="inlineStr">
        <is>
          <t>Begin checkout YoY + Checkout→Purchase 1-23 August 2025</t>
        </is>
      </c>
      <c r="M212" s="40">
        <f>IF(Countries!AK315="","STILL MISSING","Filled ✓")</f>
        <v/>
      </c>
    </row>
    <row r="213">
      <c r="A213" s="56" t="inlineStr">
        <is>
          <t>Countries</t>
        </is>
      </c>
      <c r="B213" s="56" t="inlineStr">
        <is>
          <t>P315</t>
        </is>
      </c>
      <c r="C213" s="56" t="n">
        <v>315</v>
      </c>
      <c r="D213" s="56" t="inlineStr">
        <is>
          <t>Airport page</t>
        </is>
      </c>
      <c r="E213" s="56" t="inlineStr">
        <is>
          <t>Direct</t>
        </is>
      </c>
      <c r="F213" s="56" t="inlineStr">
        <is>
          <t>Desktop</t>
        </is>
      </c>
      <c r="G213" s="56" t="inlineStr">
        <is>
          <t>Belgium</t>
        </is>
      </c>
      <c r="H213" s="56" t="n">
        <v>11</v>
      </c>
      <c r="I213" s="56" t="inlineStr">
        <is>
          <t>Searches</t>
        </is>
      </c>
      <c r="J213" s="56" t="inlineStr">
        <is>
          <t>1-23 August 2025</t>
        </is>
      </c>
      <c r="K213" s="57" t="n">
        <v>177</v>
      </c>
      <c r="L213" s="56" t="inlineStr">
        <is>
          <t>Searches YoY + Search→Booking 1-23 August 2025 + Search→Select 1-23 August 2025</t>
        </is>
      </c>
      <c r="M213" s="40">
        <f>IF(Countries!P315="","STILL MISSING","Filled ✓")</f>
        <v/>
      </c>
    </row>
    <row r="214">
      <c r="A214" s="40" t="inlineStr">
        <is>
          <t>Countries</t>
        </is>
      </c>
      <c r="B214" s="40" t="inlineStr">
        <is>
          <t>E315</t>
        </is>
      </c>
      <c r="C214" s="40" t="n">
        <v>315</v>
      </c>
      <c r="D214" s="40" t="inlineStr">
        <is>
          <t>Airport page</t>
        </is>
      </c>
      <c r="E214" s="40" t="inlineStr">
        <is>
          <t>Direct</t>
        </is>
      </c>
      <c r="F214" s="40" t="inlineStr">
        <is>
          <t>Desktop</t>
        </is>
      </c>
      <c r="G214" s="40" t="inlineStr">
        <is>
          <t>Belgium</t>
        </is>
      </c>
      <c r="H214" s="40" t="n">
        <v>11</v>
      </c>
      <c r="I214" s="40" t="inlineStr">
        <is>
          <t>Sessions</t>
        </is>
      </c>
      <c r="J214" s="40" t="inlineStr">
        <is>
          <t>1-23 August 2025</t>
        </is>
      </c>
      <c r="K214" s="55" t="n">
        <v>177</v>
      </c>
      <c r="L214" s="40" t="inlineStr">
        <is>
          <t>CR 1-23 August 2025 + Sessions YoY + Visit→Engagement 1-23 August 2025</t>
        </is>
      </c>
      <c r="M214" s="40">
        <f>IF(Countries!E315="","STILL MISSING","Filled ✓")</f>
        <v/>
      </c>
    </row>
    <row r="215">
      <c r="A215" s="56" t="inlineStr">
        <is>
          <t>Countries</t>
        </is>
      </c>
      <c r="B215" s="56" t="inlineStr">
        <is>
          <t>AK293</t>
        </is>
      </c>
      <c r="C215" s="56" t="n">
        <v>293</v>
      </c>
      <c r="D215" s="56" t="inlineStr">
        <is>
          <t>Airport page</t>
        </is>
      </c>
      <c r="E215" s="56" t="inlineStr">
        <is>
          <t>Direct</t>
        </is>
      </c>
      <c r="F215" s="56" t="inlineStr">
        <is>
          <t>Mobile</t>
        </is>
      </c>
      <c r="G215" s="56" t="inlineStr">
        <is>
          <t>Belgium</t>
        </is>
      </c>
      <c r="H215" s="56" t="n">
        <v>11</v>
      </c>
      <c r="I215" s="56" t="inlineStr">
        <is>
          <t>Begin checkout</t>
        </is>
      </c>
      <c r="J215" s="56" t="inlineStr">
        <is>
          <t>1-23 August 2025</t>
        </is>
      </c>
      <c r="K215" s="57" t="n">
        <v>82</v>
      </c>
      <c r="L215" s="56" t="inlineStr">
        <is>
          <t>Begin checkout YoY + Cart→Checkout 1-23 August 2025</t>
        </is>
      </c>
      <c r="M215" s="40">
        <f>IF(Countries!AK293="","STILL MISSING","Filled ✓")</f>
        <v/>
      </c>
    </row>
    <row r="216">
      <c r="A216" s="40" t="inlineStr">
        <is>
          <t>Countries</t>
        </is>
      </c>
      <c r="B216" s="40" t="inlineStr">
        <is>
          <t>AR293</t>
        </is>
      </c>
      <c r="C216" s="40" t="n">
        <v>293</v>
      </c>
      <c r="D216" s="40" t="inlineStr">
        <is>
          <t>Airport page</t>
        </is>
      </c>
      <c r="E216" s="40" t="inlineStr">
        <is>
          <t>Direct</t>
        </is>
      </c>
      <c r="F216" s="40" t="inlineStr">
        <is>
          <t>Mobile</t>
        </is>
      </c>
      <c r="G216" s="40" t="inlineStr">
        <is>
          <t>Belgium</t>
        </is>
      </c>
      <c r="H216" s="40" t="n">
        <v>11</v>
      </c>
      <c r="I216" s="40" t="inlineStr">
        <is>
          <t>Purchases</t>
        </is>
      </c>
      <c r="J216" s="40" t="inlineStr">
        <is>
          <t>1-23 August 2025</t>
        </is>
      </c>
      <c r="K216" s="55" t="n">
        <v>82</v>
      </c>
      <c r="L216" s="40" t="inlineStr">
        <is>
          <t>Purchases YoY</t>
        </is>
      </c>
      <c r="M216" s="40">
        <f>IF(Countries!AR293="","STILL MISSING","Filled ✓")</f>
        <v/>
      </c>
    </row>
    <row r="217">
      <c r="A217" s="56" t="inlineStr">
        <is>
          <t>Countries</t>
        </is>
      </c>
      <c r="B217" s="56" t="inlineStr">
        <is>
          <t>P293</t>
        </is>
      </c>
      <c r="C217" s="56" t="n">
        <v>293</v>
      </c>
      <c r="D217" s="56" t="inlineStr">
        <is>
          <t>Airport page</t>
        </is>
      </c>
      <c r="E217" s="56" t="inlineStr">
        <is>
          <t>Direct</t>
        </is>
      </c>
      <c r="F217" s="56" t="inlineStr">
        <is>
          <t>Mobile</t>
        </is>
      </c>
      <c r="G217" s="56" t="inlineStr">
        <is>
          <t>Belgium</t>
        </is>
      </c>
      <c r="H217" s="56" t="n">
        <v>11</v>
      </c>
      <c r="I217" s="56" t="inlineStr">
        <is>
          <t>Searches</t>
        </is>
      </c>
      <c r="J217" s="56" t="inlineStr">
        <is>
          <t>1-23 August 2025</t>
        </is>
      </c>
      <c r="K217" s="57" t="n">
        <v>82</v>
      </c>
      <c r="L217" s="56" t="inlineStr">
        <is>
          <t>Searches YoY + Search→Select 1-23 August 2025</t>
        </is>
      </c>
      <c r="M217" s="40">
        <f>IF(Countries!P293="","STILL MISSING","Filled ✓")</f>
        <v/>
      </c>
    </row>
    <row r="218">
      <c r="A218" s="40" t="inlineStr">
        <is>
          <t>Countries</t>
        </is>
      </c>
      <c r="B218" s="40" t="inlineStr">
        <is>
          <t>E293</t>
        </is>
      </c>
      <c r="C218" s="40" t="n">
        <v>293</v>
      </c>
      <c r="D218" s="40" t="inlineStr">
        <is>
          <t>Airport page</t>
        </is>
      </c>
      <c r="E218" s="40" t="inlineStr">
        <is>
          <t>Direct</t>
        </is>
      </c>
      <c r="F218" s="40" t="inlineStr">
        <is>
          <t>Mobile</t>
        </is>
      </c>
      <c r="G218" s="40" t="inlineStr">
        <is>
          <t>Belgium</t>
        </is>
      </c>
      <c r="H218" s="40" t="n">
        <v>11</v>
      </c>
      <c r="I218" s="40" t="inlineStr">
        <is>
          <t>Sessions</t>
        </is>
      </c>
      <c r="J218" s="40" t="inlineStr">
        <is>
          <t>1-23 August 2025</t>
        </is>
      </c>
      <c r="K218" s="55" t="n">
        <v>82</v>
      </c>
      <c r="L218" s="40" t="inlineStr">
        <is>
          <t>Sessions YoY + Visit→Engagement 1-23 August 2025</t>
        </is>
      </c>
      <c r="M218" s="40">
        <f>IF(Countries!E293="","STILL MISSING","Filled ✓")</f>
        <v/>
      </c>
    </row>
    <row r="219">
      <c r="A219" s="56" t="inlineStr">
        <is>
          <t>Countries</t>
        </is>
      </c>
      <c r="B219" s="56" t="inlineStr">
        <is>
          <t>P334</t>
        </is>
      </c>
      <c r="C219" s="56" t="n">
        <v>334</v>
      </c>
      <c r="D219" s="56" t="inlineStr">
        <is>
          <t>Route page</t>
        </is>
      </c>
      <c r="E219" s="56" t="inlineStr">
        <is>
          <t>Paid Search</t>
        </is>
      </c>
      <c r="F219" s="56" t="inlineStr">
        <is>
          <t>Mobile</t>
        </is>
      </c>
      <c r="G219" s="56" t="inlineStr">
        <is>
          <t>Belgium</t>
        </is>
      </c>
      <c r="H219" s="56" t="n">
        <v>11</v>
      </c>
      <c r="I219" s="56" t="inlineStr">
        <is>
          <t>Searches</t>
        </is>
      </c>
      <c r="J219" s="56" t="inlineStr">
        <is>
          <t>1-23 August 2025</t>
        </is>
      </c>
      <c r="K219" s="57" t="n">
        <v>483</v>
      </c>
      <c r="L219" s="56" t="inlineStr">
        <is>
          <t>Searches YoY + Search→Booking 1-23 August 2025 + Search→Select 1-23 August 2025</t>
        </is>
      </c>
      <c r="M219" s="40">
        <f>IF(Countries!P334="","STILL MISSING","Filled ✓")</f>
        <v/>
      </c>
    </row>
    <row r="220">
      <c r="A220" s="40" t="inlineStr">
        <is>
          <t>Countries</t>
        </is>
      </c>
      <c r="B220" s="40" t="inlineStr">
        <is>
          <t>E334</t>
        </is>
      </c>
      <c r="C220" s="40" t="n">
        <v>334</v>
      </c>
      <c r="D220" s="40" t="inlineStr">
        <is>
          <t>Route page</t>
        </is>
      </c>
      <c r="E220" s="40" t="inlineStr">
        <is>
          <t>Paid Search</t>
        </is>
      </c>
      <c r="F220" s="40" t="inlineStr">
        <is>
          <t>Mobile</t>
        </is>
      </c>
      <c r="G220" s="40" t="inlineStr">
        <is>
          <t>Belgium</t>
        </is>
      </c>
      <c r="H220" s="40" t="n">
        <v>11</v>
      </c>
      <c r="I220" s="40" t="inlineStr">
        <is>
          <t>Sessions</t>
        </is>
      </c>
      <c r="J220" s="40" t="inlineStr">
        <is>
          <t>1-23 August 2025</t>
        </is>
      </c>
      <c r="K220" s="55" t="n">
        <v>483</v>
      </c>
      <c r="L220" s="40" t="inlineStr">
        <is>
          <t>CR 1-23 August 2025 + Sessions YoY + Visit→Engagement 1-23 August 2025</t>
        </is>
      </c>
      <c r="M220" s="40">
        <f>IF(Countries!E334="","STILL MISSING","Filled ✓")</f>
        <v/>
      </c>
    </row>
    <row r="221">
      <c r="A221" s="56" t="inlineStr">
        <is>
          <t>Countries</t>
        </is>
      </c>
      <c r="B221" s="56" t="inlineStr">
        <is>
          <t>Q389</t>
        </is>
      </c>
      <c r="C221" s="56" t="n">
        <v>389</v>
      </c>
      <c r="D221" s="56" t="inlineStr">
        <is>
          <t>Route page</t>
        </is>
      </c>
      <c r="E221" s="56" t="inlineStr">
        <is>
          <t>Organic</t>
        </is>
      </c>
      <c r="F221" s="56" t="inlineStr">
        <is>
          <t>Desktop</t>
        </is>
      </c>
      <c r="G221" s="56" t="inlineStr">
        <is>
          <t>Belgium</t>
        </is>
      </c>
      <c r="H221" s="56" t="n">
        <v>11</v>
      </c>
      <c r="I221" s="56" t="inlineStr">
        <is>
          <t>Searches</t>
        </is>
      </c>
      <c r="J221" s="56" t="inlineStr">
        <is>
          <t>1-23 August 2026</t>
        </is>
      </c>
      <c r="K221" s="57" t="n">
        <v>248</v>
      </c>
      <c r="L221" s="56" t="inlineStr">
        <is>
          <t>Searches YoY + Search→Booking 1-23 August 2026 + Search→Select 1-23 August 2026 + Visit→Search 1-23 August 2026</t>
        </is>
      </c>
      <c r="M221" s="40">
        <f>IF(Countries!Q389="","STILL MISSING","Filled ✓")</f>
        <v/>
      </c>
    </row>
    <row r="222">
      <c r="A222" s="40" t="inlineStr">
        <is>
          <t>Countries</t>
        </is>
      </c>
      <c r="B222" s="40" t="inlineStr">
        <is>
          <t>P369</t>
        </is>
      </c>
      <c r="C222" s="40" t="n">
        <v>369</v>
      </c>
      <c r="D222" s="40" t="inlineStr">
        <is>
          <t>Route page</t>
        </is>
      </c>
      <c r="E222" s="40" t="inlineStr">
        <is>
          <t>Organic</t>
        </is>
      </c>
      <c r="F222" s="40" t="inlineStr">
        <is>
          <t>Mobile</t>
        </is>
      </c>
      <c r="G222" s="40" t="inlineStr">
        <is>
          <t>Belgium</t>
        </is>
      </c>
      <c r="H222" s="40" t="n">
        <v>11</v>
      </c>
      <c r="I222" s="40" t="inlineStr">
        <is>
          <t>Searches</t>
        </is>
      </c>
      <c r="J222" s="40" t="inlineStr">
        <is>
          <t>1-23 August 2025</t>
        </is>
      </c>
      <c r="K222" s="55" t="n">
        <v>805</v>
      </c>
      <c r="L222" s="40" t="inlineStr">
        <is>
          <t>Searches YoY + Search→Booking 1-23 August 2025 + Search→Select 1-23 August 2025 + Visit→Search 1-23 August 2025</t>
        </is>
      </c>
      <c r="M222" s="40">
        <f>IF(Countries!P369="","STILL MISSING","Filled ✓")</f>
        <v/>
      </c>
    </row>
    <row r="223">
      <c r="A223" s="56" t="inlineStr">
        <is>
          <t>Countries</t>
        </is>
      </c>
      <c r="B223" s="56" t="inlineStr">
        <is>
          <t>AD422</t>
        </is>
      </c>
      <c r="C223" s="56" t="n">
        <v>422</v>
      </c>
      <c r="D223" s="56" t="inlineStr">
        <is>
          <t>Route page</t>
        </is>
      </c>
      <c r="E223" s="56" t="inlineStr">
        <is>
          <t>Direct</t>
        </is>
      </c>
      <c r="F223" s="56" t="inlineStr">
        <is>
          <t>Desktop</t>
        </is>
      </c>
      <c r="G223" s="56" t="inlineStr">
        <is>
          <t>Belgium</t>
        </is>
      </c>
      <c r="H223" s="56" t="n">
        <v>11</v>
      </c>
      <c r="I223" s="56" t="inlineStr">
        <is>
          <t>Add to cart</t>
        </is>
      </c>
      <c r="J223" s="56" t="inlineStr">
        <is>
          <t>1-23 August 2025</t>
        </is>
      </c>
      <c r="K223" s="57" t="n">
        <v>164</v>
      </c>
      <c r="L223" s="56" t="inlineStr">
        <is>
          <t>Add to cart YoY</t>
        </is>
      </c>
      <c r="M223" s="40">
        <f>IF(Countries!AD422="","STILL MISSING","Filled ✓")</f>
        <v/>
      </c>
    </row>
    <row r="224">
      <c r="A224" s="40" t="inlineStr">
        <is>
          <t>Countries</t>
        </is>
      </c>
      <c r="B224" s="40" t="inlineStr">
        <is>
          <t>AK422</t>
        </is>
      </c>
      <c r="C224" s="40" t="n">
        <v>422</v>
      </c>
      <c r="D224" s="40" t="inlineStr">
        <is>
          <t>Route page</t>
        </is>
      </c>
      <c r="E224" s="40" t="inlineStr">
        <is>
          <t>Direct</t>
        </is>
      </c>
      <c r="F224" s="40" t="inlineStr">
        <is>
          <t>Desktop</t>
        </is>
      </c>
      <c r="G224" s="40" t="inlineStr">
        <is>
          <t>Belgium</t>
        </is>
      </c>
      <c r="H224" s="40" t="n">
        <v>11</v>
      </c>
      <c r="I224" s="40" t="inlineStr">
        <is>
          <t>Begin checkout</t>
        </is>
      </c>
      <c r="J224" s="40" t="inlineStr">
        <is>
          <t>1-23 August 2025</t>
        </is>
      </c>
      <c r="K224" s="55" t="n">
        <v>164</v>
      </c>
      <c r="L224" s="40" t="inlineStr">
        <is>
          <t>Begin checkout YoY</t>
        </is>
      </c>
      <c r="M224" s="40">
        <f>IF(Countries!AK422="","STILL MISSING","Filled ✓")</f>
        <v/>
      </c>
    </row>
    <row r="225">
      <c r="A225" s="56" t="inlineStr">
        <is>
          <t>Countries</t>
        </is>
      </c>
      <c r="B225" s="56" t="inlineStr">
        <is>
          <t>AR422</t>
        </is>
      </c>
      <c r="C225" s="56" t="n">
        <v>422</v>
      </c>
      <c r="D225" s="56" t="inlineStr">
        <is>
          <t>Route page</t>
        </is>
      </c>
      <c r="E225" s="56" t="inlineStr">
        <is>
          <t>Direct</t>
        </is>
      </c>
      <c r="F225" s="56" t="inlineStr">
        <is>
          <t>Desktop</t>
        </is>
      </c>
      <c r="G225" s="56" t="inlineStr">
        <is>
          <t>Belgium</t>
        </is>
      </c>
      <c r="H225" s="56" t="n">
        <v>11</v>
      </c>
      <c r="I225" s="56" t="inlineStr">
        <is>
          <t>Purchases</t>
        </is>
      </c>
      <c r="J225" s="56" t="inlineStr">
        <is>
          <t>1-23 August 2025</t>
        </is>
      </c>
      <c r="K225" s="57" t="n">
        <v>164</v>
      </c>
      <c r="L225" s="56" t="inlineStr">
        <is>
          <t>Purchases YoY</t>
        </is>
      </c>
      <c r="M225" s="40">
        <f>IF(Countries!AR422="","STILL MISSING","Filled ✓")</f>
        <v/>
      </c>
    </row>
    <row r="226">
      <c r="A226" s="40" t="inlineStr">
        <is>
          <t>Countries</t>
        </is>
      </c>
      <c r="B226" s="40" t="inlineStr">
        <is>
          <t>P422</t>
        </is>
      </c>
      <c r="C226" s="40" t="n">
        <v>422</v>
      </c>
      <c r="D226" s="40" t="inlineStr">
        <is>
          <t>Route page</t>
        </is>
      </c>
      <c r="E226" s="40" t="inlineStr">
        <is>
          <t>Direct</t>
        </is>
      </c>
      <c r="F226" s="40" t="inlineStr">
        <is>
          <t>Desktop</t>
        </is>
      </c>
      <c r="G226" s="40" t="inlineStr">
        <is>
          <t>Belgium</t>
        </is>
      </c>
      <c r="H226" s="40" t="n">
        <v>11</v>
      </c>
      <c r="I226" s="40" t="inlineStr">
        <is>
          <t>Searches</t>
        </is>
      </c>
      <c r="J226" s="40" t="inlineStr">
        <is>
          <t>1-23 August 2025</t>
        </is>
      </c>
      <c r="K226" s="55" t="n">
        <v>164</v>
      </c>
      <c r="L226" s="40" t="inlineStr">
        <is>
          <t>Searches YoY</t>
        </is>
      </c>
      <c r="M226" s="40">
        <f>IF(Countries!P422="","STILL MISSING","Filled ✓")</f>
        <v/>
      </c>
    </row>
    <row r="227">
      <c r="A227" s="56" t="inlineStr">
        <is>
          <t>Countries</t>
        </is>
      </c>
      <c r="B227" s="56" t="inlineStr">
        <is>
          <t>W422</t>
        </is>
      </c>
      <c r="C227" s="56" t="n">
        <v>422</v>
      </c>
      <c r="D227" s="56" t="inlineStr">
        <is>
          <t>Route page</t>
        </is>
      </c>
      <c r="E227" s="56" t="inlineStr">
        <is>
          <t>Direct</t>
        </is>
      </c>
      <c r="F227" s="56" t="inlineStr">
        <is>
          <t>Desktop</t>
        </is>
      </c>
      <c r="G227" s="56" t="inlineStr">
        <is>
          <t>Belgium</t>
        </is>
      </c>
      <c r="H227" s="56" t="n">
        <v>11</v>
      </c>
      <c r="I227" s="56" t="inlineStr">
        <is>
          <t>Select item</t>
        </is>
      </c>
      <c r="J227" s="56" t="inlineStr">
        <is>
          <t>1-23 August 2025</t>
        </is>
      </c>
      <c r="K227" s="57" t="n">
        <v>164</v>
      </c>
      <c r="L227" s="56" t="inlineStr">
        <is>
          <t>Select item YoY</t>
        </is>
      </c>
      <c r="M227" s="40">
        <f>IF(Countries!W422="","STILL MISSING","Filled ✓")</f>
        <v/>
      </c>
    </row>
    <row r="228">
      <c r="A228" s="40" t="inlineStr">
        <is>
          <t>Countries</t>
        </is>
      </c>
      <c r="B228" s="40" t="inlineStr">
        <is>
          <t>E422</t>
        </is>
      </c>
      <c r="C228" s="40" t="n">
        <v>422</v>
      </c>
      <c r="D228" s="40" t="inlineStr">
        <is>
          <t>Route page</t>
        </is>
      </c>
      <c r="E228" s="40" t="inlineStr">
        <is>
          <t>Direct</t>
        </is>
      </c>
      <c r="F228" s="40" t="inlineStr">
        <is>
          <t>Desktop</t>
        </is>
      </c>
      <c r="G228" s="40" t="inlineStr">
        <is>
          <t>Belgium</t>
        </is>
      </c>
      <c r="H228" s="40" t="n">
        <v>11</v>
      </c>
      <c r="I228" s="40" t="inlineStr">
        <is>
          <t>Sessions</t>
        </is>
      </c>
      <c r="J228" s="40" t="inlineStr">
        <is>
          <t>1-23 August 2025</t>
        </is>
      </c>
      <c r="K228" s="55" t="n">
        <v>164</v>
      </c>
      <c r="L228" s="40" t="inlineStr">
        <is>
          <t>Sessions YoY + Visit→Engagement 1-23 August 2025</t>
        </is>
      </c>
      <c r="M228" s="40">
        <f>IF(Countries!E422="","STILL MISSING","Filled ✓")</f>
        <v/>
      </c>
    </row>
    <row r="229">
      <c r="A229" s="56" t="inlineStr">
        <is>
          <t>Countries</t>
        </is>
      </c>
      <c r="B229" s="56" t="inlineStr">
        <is>
          <t>AK404</t>
        </is>
      </c>
      <c r="C229" s="56" t="n">
        <v>404</v>
      </c>
      <c r="D229" s="56" t="inlineStr">
        <is>
          <t>Route page</t>
        </is>
      </c>
      <c r="E229" s="56" t="inlineStr">
        <is>
          <t>Direct</t>
        </is>
      </c>
      <c r="F229" s="56" t="inlineStr">
        <is>
          <t>Mobile</t>
        </is>
      </c>
      <c r="G229" s="56" t="inlineStr">
        <is>
          <t>Belgium</t>
        </is>
      </c>
      <c r="H229" s="56" t="n">
        <v>11</v>
      </c>
      <c r="I229" s="56" t="inlineStr">
        <is>
          <t>Begin checkout</t>
        </is>
      </c>
      <c r="J229" s="56" t="inlineStr">
        <is>
          <t>1-23 August 2025</t>
        </is>
      </c>
      <c r="K229" s="57" t="n">
        <v>116</v>
      </c>
      <c r="L229" s="56" t="inlineStr">
        <is>
          <t>Begin checkout YoY + Cart→Checkout 1-23 August 2025</t>
        </is>
      </c>
      <c r="M229" s="40">
        <f>IF(Countries!AK404="","STILL MISSING","Filled ✓")</f>
        <v/>
      </c>
    </row>
    <row r="230">
      <c r="A230" s="40" t="inlineStr">
        <is>
          <t>Countries</t>
        </is>
      </c>
      <c r="B230" s="40" t="inlineStr">
        <is>
          <t>AR404</t>
        </is>
      </c>
      <c r="C230" s="40" t="n">
        <v>404</v>
      </c>
      <c r="D230" s="40" t="inlineStr">
        <is>
          <t>Route page</t>
        </is>
      </c>
      <c r="E230" s="40" t="inlineStr">
        <is>
          <t>Direct</t>
        </is>
      </c>
      <c r="F230" s="40" t="inlineStr">
        <is>
          <t>Mobile</t>
        </is>
      </c>
      <c r="G230" s="40" t="inlineStr">
        <is>
          <t>Belgium</t>
        </is>
      </c>
      <c r="H230" s="40" t="n">
        <v>11</v>
      </c>
      <c r="I230" s="40" t="inlineStr">
        <is>
          <t>Purchases</t>
        </is>
      </c>
      <c r="J230" s="40" t="inlineStr">
        <is>
          <t>1-23 August 2025</t>
        </is>
      </c>
      <c r="K230" s="55" t="n">
        <v>116</v>
      </c>
      <c r="L230" s="40" t="inlineStr">
        <is>
          <t>Purchases YoY</t>
        </is>
      </c>
      <c r="M230" s="40">
        <f>IF(Countries!AR404="","STILL MISSING","Filled ✓")</f>
        <v/>
      </c>
    </row>
    <row r="231">
      <c r="A231" s="56" t="inlineStr">
        <is>
          <t>Countries</t>
        </is>
      </c>
      <c r="B231" s="56" t="inlineStr">
        <is>
          <t>P404</t>
        </is>
      </c>
      <c r="C231" s="56" t="n">
        <v>404</v>
      </c>
      <c r="D231" s="56" t="inlineStr">
        <is>
          <t>Route page</t>
        </is>
      </c>
      <c r="E231" s="56" t="inlineStr">
        <is>
          <t>Direct</t>
        </is>
      </c>
      <c r="F231" s="56" t="inlineStr">
        <is>
          <t>Mobile</t>
        </is>
      </c>
      <c r="G231" s="56" t="inlineStr">
        <is>
          <t>Belgium</t>
        </is>
      </c>
      <c r="H231" s="56" t="n">
        <v>11</v>
      </c>
      <c r="I231" s="56" t="inlineStr">
        <is>
          <t>Searches</t>
        </is>
      </c>
      <c r="J231" s="56" t="inlineStr">
        <is>
          <t>1-23 August 2025</t>
        </is>
      </c>
      <c r="K231" s="57" t="n">
        <v>116</v>
      </c>
      <c r="L231" s="56" t="inlineStr">
        <is>
          <t>Searches YoY + Search→Select 1-23 August 2025</t>
        </is>
      </c>
      <c r="M231" s="40">
        <f>IF(Countries!P404="","STILL MISSING","Filled ✓")</f>
        <v/>
      </c>
    </row>
    <row r="232">
      <c r="A232" s="40" t="inlineStr">
        <is>
          <t>Countries</t>
        </is>
      </c>
      <c r="B232" s="40" t="inlineStr">
        <is>
          <t>E404</t>
        </is>
      </c>
      <c r="C232" s="40" t="n">
        <v>404</v>
      </c>
      <c r="D232" s="40" t="inlineStr">
        <is>
          <t>Route page</t>
        </is>
      </c>
      <c r="E232" s="40" t="inlineStr">
        <is>
          <t>Direct</t>
        </is>
      </c>
      <c r="F232" s="40" t="inlineStr">
        <is>
          <t>Mobile</t>
        </is>
      </c>
      <c r="G232" s="40" t="inlineStr">
        <is>
          <t>Belgium</t>
        </is>
      </c>
      <c r="H232" s="40" t="n">
        <v>11</v>
      </c>
      <c r="I232" s="40" t="inlineStr">
        <is>
          <t>Sessions</t>
        </is>
      </c>
      <c r="J232" s="40" t="inlineStr">
        <is>
          <t>1-23 August 2025</t>
        </is>
      </c>
      <c r="K232" s="55" t="n">
        <v>116</v>
      </c>
      <c r="L232" s="40" t="inlineStr">
        <is>
          <t>Sessions YoY + Visit→Engagement 1-23 August 2025</t>
        </is>
      </c>
      <c r="M232" s="40">
        <f>IF(Countries!E404="","STILL MISSING","Filled ✓")</f>
        <v/>
      </c>
    </row>
    <row r="233">
      <c r="A233" s="56" t="inlineStr">
        <is>
          <t>Countries</t>
        </is>
      </c>
      <c r="B233" s="56" t="inlineStr">
        <is>
          <t>AR34</t>
        </is>
      </c>
      <c r="C233" s="56" t="n">
        <v>34</v>
      </c>
      <c r="D233" s="56" t="inlineStr">
        <is>
          <t>All landing pages</t>
        </is>
      </c>
      <c r="E233" s="56" t="inlineStr">
        <is>
          <t>Paid Search</t>
        </is>
      </c>
      <c r="F233" s="56" t="inlineStr">
        <is>
          <t>Desktop</t>
        </is>
      </c>
      <c r="G233" s="56" t="inlineStr">
        <is>
          <t>Austria</t>
        </is>
      </c>
      <c r="H233" s="56" t="n">
        <v>12</v>
      </c>
      <c r="I233" s="56" t="inlineStr">
        <is>
          <t>Purchases</t>
        </is>
      </c>
      <c r="J233" s="56" t="inlineStr">
        <is>
          <t>1-23 August 2025</t>
        </is>
      </c>
      <c r="K233" s="57" t="n">
        <v>1484</v>
      </c>
      <c r="L233" s="56" t="inlineStr">
        <is>
          <t>CR 1-23 August 2025 + Search→Booking 1-23 August 2025</t>
        </is>
      </c>
      <c r="M233" s="40">
        <f>IF(Countries!AR34="","STILL MISSING","Filled ✓")</f>
        <v/>
      </c>
    </row>
    <row r="234">
      <c r="A234" s="40" t="inlineStr">
        <is>
          <t>Countries</t>
        </is>
      </c>
      <c r="B234" s="40" t="inlineStr">
        <is>
          <t>AS34</t>
        </is>
      </c>
      <c r="C234" s="40" t="n">
        <v>34</v>
      </c>
      <c r="D234" s="40" t="inlineStr">
        <is>
          <t>All landing pages</t>
        </is>
      </c>
      <c r="E234" s="40" t="inlineStr">
        <is>
          <t>Paid Search</t>
        </is>
      </c>
      <c r="F234" s="40" t="inlineStr">
        <is>
          <t>Desktop</t>
        </is>
      </c>
      <c r="G234" s="40" t="inlineStr">
        <is>
          <t>Austria</t>
        </is>
      </c>
      <c r="H234" s="40" t="n">
        <v>12</v>
      </c>
      <c r="I234" s="40" t="inlineStr">
        <is>
          <t>Purchases</t>
        </is>
      </c>
      <c r="J234" s="40" t="inlineStr">
        <is>
          <t>1-23 August 2026</t>
        </is>
      </c>
      <c r="K234" s="55" t="n">
        <v>1484</v>
      </c>
      <c r="L234" s="40" t="inlineStr">
        <is>
          <t>CR 1-23 August 2026 + Search→Booking 1-23 August 2026</t>
        </is>
      </c>
      <c r="M234" s="40">
        <f>IF(Countries!AS34="","STILL MISSING","Filled ✓")</f>
        <v/>
      </c>
    </row>
    <row r="235">
      <c r="A235" s="56" t="inlineStr">
        <is>
          <t>Countries</t>
        </is>
      </c>
      <c r="B235" s="56" t="inlineStr">
        <is>
          <t>W34</t>
        </is>
      </c>
      <c r="C235" s="56" t="n">
        <v>34</v>
      </c>
      <c r="D235" s="56" t="inlineStr">
        <is>
          <t>All landing pages</t>
        </is>
      </c>
      <c r="E235" s="56" t="inlineStr">
        <is>
          <t>Paid Search</t>
        </is>
      </c>
      <c r="F235" s="56" t="inlineStr">
        <is>
          <t>Desktop</t>
        </is>
      </c>
      <c r="G235" s="56" t="inlineStr">
        <is>
          <t>Austria</t>
        </is>
      </c>
      <c r="H235" s="56" t="n">
        <v>12</v>
      </c>
      <c r="I235" s="56" t="inlineStr">
        <is>
          <t>Select item</t>
        </is>
      </c>
      <c r="J235" s="56" t="inlineStr">
        <is>
          <t>1-23 August 2025</t>
        </is>
      </c>
      <c r="K235" s="57" t="n">
        <v>1484</v>
      </c>
      <c r="L235" s="56" t="inlineStr">
        <is>
          <t>Search→Select 1-23 August 2025</t>
        </is>
      </c>
      <c r="M235" s="40">
        <f>IF(Countries!W34="","STILL MISSING","Filled ✓")</f>
        <v/>
      </c>
    </row>
    <row r="236">
      <c r="A236" s="40" t="inlineStr">
        <is>
          <t>Countries</t>
        </is>
      </c>
      <c r="B236" s="40" t="inlineStr">
        <is>
          <t>X34</t>
        </is>
      </c>
      <c r="C236" s="40" t="n">
        <v>34</v>
      </c>
      <c r="D236" s="40" t="inlineStr">
        <is>
          <t>All landing pages</t>
        </is>
      </c>
      <c r="E236" s="40" t="inlineStr">
        <is>
          <t>Paid Search</t>
        </is>
      </c>
      <c r="F236" s="40" t="inlineStr">
        <is>
          <t>Desktop</t>
        </is>
      </c>
      <c r="G236" s="40" t="inlineStr">
        <is>
          <t>Austria</t>
        </is>
      </c>
      <c r="H236" s="40" t="n">
        <v>12</v>
      </c>
      <c r="I236" s="40" t="inlineStr">
        <is>
          <t>Select item</t>
        </is>
      </c>
      <c r="J236" s="40" t="inlineStr">
        <is>
          <t>1-23 August 2026</t>
        </is>
      </c>
      <c r="K236" s="55" t="n">
        <v>1484</v>
      </c>
      <c r="L236" s="40" t="inlineStr">
        <is>
          <t>Search→Select 1-23 August 2026</t>
        </is>
      </c>
      <c r="M236" s="40">
        <f>IF(Countries!X34="","STILL MISSING","Filled ✓")</f>
        <v/>
      </c>
    </row>
    <row r="237">
      <c r="A237" s="56" t="inlineStr">
        <is>
          <t>Countries</t>
        </is>
      </c>
      <c r="B237" s="56" t="inlineStr">
        <is>
          <t>I34</t>
        </is>
      </c>
      <c r="C237" s="56" t="n">
        <v>34</v>
      </c>
      <c r="D237" s="56" t="inlineStr">
        <is>
          <t>All landing pages</t>
        </is>
      </c>
      <c r="E237" s="56" t="inlineStr">
        <is>
          <t>Paid Search</t>
        </is>
      </c>
      <c r="F237" s="56" t="inlineStr">
        <is>
          <t>Desktop</t>
        </is>
      </c>
      <c r="G237" s="56" t="inlineStr">
        <is>
          <t>Austria</t>
        </is>
      </c>
      <c r="H237" s="56" t="n">
        <v>12</v>
      </c>
      <c r="I237" s="56" t="inlineStr">
        <is>
          <t>Start Search</t>
        </is>
      </c>
      <c r="J237" s="56" t="inlineStr">
        <is>
          <t>1-23 August 2025</t>
        </is>
      </c>
      <c r="K237" s="57" t="n">
        <v>1484</v>
      </c>
      <c r="L237" s="56" t="inlineStr">
        <is>
          <t>Visit→Engagement 1-23 August 2025</t>
        </is>
      </c>
      <c r="M237" s="40">
        <f>IF(Countries!I34="","STILL MISSING","Filled ✓")</f>
        <v/>
      </c>
    </row>
    <row r="238">
      <c r="A238" s="40" t="inlineStr">
        <is>
          <t>Countries</t>
        </is>
      </c>
      <c r="B238" s="40" t="inlineStr">
        <is>
          <t>J34</t>
        </is>
      </c>
      <c r="C238" s="40" t="n">
        <v>34</v>
      </c>
      <c r="D238" s="40" t="inlineStr">
        <is>
          <t>All landing pages</t>
        </is>
      </c>
      <c r="E238" s="40" t="inlineStr">
        <is>
          <t>Paid Search</t>
        </is>
      </c>
      <c r="F238" s="40" t="inlineStr">
        <is>
          <t>Desktop</t>
        </is>
      </c>
      <c r="G238" s="40" t="inlineStr">
        <is>
          <t>Austria</t>
        </is>
      </c>
      <c r="H238" s="40" t="n">
        <v>12</v>
      </c>
      <c r="I238" s="40" t="inlineStr">
        <is>
          <t>Start Search</t>
        </is>
      </c>
      <c r="J238" s="40" t="inlineStr">
        <is>
          <t>1-23 August 2026</t>
        </is>
      </c>
      <c r="K238" s="55" t="n">
        <v>1484</v>
      </c>
      <c r="L238" s="40" t="inlineStr">
        <is>
          <t>Visit→Engagement 1-23 August 2026</t>
        </is>
      </c>
      <c r="M238" s="40">
        <f>IF(Countries!J34="","STILL MISSING","Filled ✓")</f>
        <v/>
      </c>
    </row>
    <row r="239">
      <c r="A239" s="56" t="inlineStr">
        <is>
          <t>Countries</t>
        </is>
      </c>
      <c r="B239" s="56" t="inlineStr">
        <is>
          <t>AR18</t>
        </is>
      </c>
      <c r="C239" s="56" t="n">
        <v>18</v>
      </c>
      <c r="D239" s="56" t="inlineStr">
        <is>
          <t>All landing pages</t>
        </is>
      </c>
      <c r="E239" s="56" t="inlineStr">
        <is>
          <t>Paid Search</t>
        </is>
      </c>
      <c r="F239" s="56" t="inlineStr">
        <is>
          <t>Mobile</t>
        </is>
      </c>
      <c r="G239" s="56" t="inlineStr">
        <is>
          <t>Austria</t>
        </is>
      </c>
      <c r="H239" s="56" t="n">
        <v>12</v>
      </c>
      <c r="I239" s="56" t="inlineStr">
        <is>
          <t>Purchases</t>
        </is>
      </c>
      <c r="J239" s="56" t="inlineStr">
        <is>
          <t>1-23 August 2025</t>
        </is>
      </c>
      <c r="K239" s="57" t="n">
        <v>1853</v>
      </c>
      <c r="L239" s="56" t="inlineStr">
        <is>
          <t>CR 1-23 August 2025 + Search→Booking 1-23 August 2025</t>
        </is>
      </c>
      <c r="M239" s="40">
        <f>IF(Countries!AR18="","STILL MISSING","Filled ✓")</f>
        <v/>
      </c>
    </row>
    <row r="240">
      <c r="A240" s="40" t="inlineStr">
        <is>
          <t>Countries</t>
        </is>
      </c>
      <c r="B240" s="40" t="inlineStr">
        <is>
          <t>AS18</t>
        </is>
      </c>
      <c r="C240" s="40" t="n">
        <v>18</v>
      </c>
      <c r="D240" s="40" t="inlineStr">
        <is>
          <t>All landing pages</t>
        </is>
      </c>
      <c r="E240" s="40" t="inlineStr">
        <is>
          <t>Paid Search</t>
        </is>
      </c>
      <c r="F240" s="40" t="inlineStr">
        <is>
          <t>Mobile</t>
        </is>
      </c>
      <c r="G240" s="40" t="inlineStr">
        <is>
          <t>Austria</t>
        </is>
      </c>
      <c r="H240" s="40" t="n">
        <v>12</v>
      </c>
      <c r="I240" s="40" t="inlineStr">
        <is>
          <t>Purchases</t>
        </is>
      </c>
      <c r="J240" s="40" t="inlineStr">
        <is>
          <t>1-23 August 2026</t>
        </is>
      </c>
      <c r="K240" s="55" t="n">
        <v>1853</v>
      </c>
      <c r="L240" s="40" t="inlineStr">
        <is>
          <t>CR 1-23 August 2026 + Search→Booking 1-23 August 2026</t>
        </is>
      </c>
      <c r="M240" s="40">
        <f>IF(Countries!AS18="","STILL MISSING","Filled ✓")</f>
        <v/>
      </c>
    </row>
    <row r="241">
      <c r="A241" s="56" t="inlineStr">
        <is>
          <t>Countries</t>
        </is>
      </c>
      <c r="B241" s="56" t="inlineStr">
        <is>
          <t>W18</t>
        </is>
      </c>
      <c r="C241" s="56" t="n">
        <v>18</v>
      </c>
      <c r="D241" s="56" t="inlineStr">
        <is>
          <t>All landing pages</t>
        </is>
      </c>
      <c r="E241" s="56" t="inlineStr">
        <is>
          <t>Paid Search</t>
        </is>
      </c>
      <c r="F241" s="56" t="inlineStr">
        <is>
          <t>Mobile</t>
        </is>
      </c>
      <c r="G241" s="56" t="inlineStr">
        <is>
          <t>Austria</t>
        </is>
      </c>
      <c r="H241" s="56" t="n">
        <v>12</v>
      </c>
      <c r="I241" s="56" t="inlineStr">
        <is>
          <t>Select item</t>
        </is>
      </c>
      <c r="J241" s="56" t="inlineStr">
        <is>
          <t>1-23 August 2025</t>
        </is>
      </c>
      <c r="K241" s="57" t="n">
        <v>1853</v>
      </c>
      <c r="L241" s="56" t="inlineStr">
        <is>
          <t>Search→Select 1-23 August 2025</t>
        </is>
      </c>
      <c r="M241" s="40">
        <f>IF(Countries!W18="","STILL MISSING","Filled ✓")</f>
        <v/>
      </c>
    </row>
    <row r="242">
      <c r="A242" s="40" t="inlineStr">
        <is>
          <t>Countries</t>
        </is>
      </c>
      <c r="B242" s="40" t="inlineStr">
        <is>
          <t>X18</t>
        </is>
      </c>
      <c r="C242" s="40" t="n">
        <v>18</v>
      </c>
      <c r="D242" s="40" t="inlineStr">
        <is>
          <t>All landing pages</t>
        </is>
      </c>
      <c r="E242" s="40" t="inlineStr">
        <is>
          <t>Paid Search</t>
        </is>
      </c>
      <c r="F242" s="40" t="inlineStr">
        <is>
          <t>Mobile</t>
        </is>
      </c>
      <c r="G242" s="40" t="inlineStr">
        <is>
          <t>Austria</t>
        </is>
      </c>
      <c r="H242" s="40" t="n">
        <v>12</v>
      </c>
      <c r="I242" s="40" t="inlineStr">
        <is>
          <t>Select item</t>
        </is>
      </c>
      <c r="J242" s="40" t="inlineStr">
        <is>
          <t>1-23 August 2026</t>
        </is>
      </c>
      <c r="K242" s="55" t="n">
        <v>1853</v>
      </c>
      <c r="L242" s="40" t="inlineStr">
        <is>
          <t>Search→Select 1-23 August 2026</t>
        </is>
      </c>
      <c r="M242" s="40">
        <f>IF(Countries!X18="","STILL MISSING","Filled ✓")</f>
        <v/>
      </c>
    </row>
    <row r="243">
      <c r="A243" s="56" t="inlineStr">
        <is>
          <t>Countries</t>
        </is>
      </c>
      <c r="B243" s="56" t="inlineStr">
        <is>
          <t>I18</t>
        </is>
      </c>
      <c r="C243" s="56" t="n">
        <v>18</v>
      </c>
      <c r="D243" s="56" t="inlineStr">
        <is>
          <t>All landing pages</t>
        </is>
      </c>
      <c r="E243" s="56" t="inlineStr">
        <is>
          <t>Paid Search</t>
        </is>
      </c>
      <c r="F243" s="56" t="inlineStr">
        <is>
          <t>Mobile</t>
        </is>
      </c>
      <c r="G243" s="56" t="inlineStr">
        <is>
          <t>Austria</t>
        </is>
      </c>
      <c r="H243" s="56" t="n">
        <v>12</v>
      </c>
      <c r="I243" s="56" t="inlineStr">
        <is>
          <t>Start Search</t>
        </is>
      </c>
      <c r="J243" s="56" t="inlineStr">
        <is>
          <t>1-23 August 2025</t>
        </is>
      </c>
      <c r="K243" s="57" t="n">
        <v>1853</v>
      </c>
      <c r="L243" s="56" t="inlineStr">
        <is>
          <t>Visit→Engagement 1-23 August 2025</t>
        </is>
      </c>
      <c r="M243" s="40">
        <f>IF(Countries!I18="","STILL MISSING","Filled ✓")</f>
        <v/>
      </c>
    </row>
    <row r="244">
      <c r="A244" s="40" t="inlineStr">
        <is>
          <t>Countries</t>
        </is>
      </c>
      <c r="B244" s="40" t="inlineStr">
        <is>
          <t>J18</t>
        </is>
      </c>
      <c r="C244" s="40" t="n">
        <v>18</v>
      </c>
      <c r="D244" s="40" t="inlineStr">
        <is>
          <t>All landing pages</t>
        </is>
      </c>
      <c r="E244" s="40" t="inlineStr">
        <is>
          <t>Paid Search</t>
        </is>
      </c>
      <c r="F244" s="40" t="inlineStr">
        <is>
          <t>Mobile</t>
        </is>
      </c>
      <c r="G244" s="40" t="inlineStr">
        <is>
          <t>Austria</t>
        </is>
      </c>
      <c r="H244" s="40" t="n">
        <v>12</v>
      </c>
      <c r="I244" s="40" t="inlineStr">
        <is>
          <t>Start Search</t>
        </is>
      </c>
      <c r="J244" s="40" t="inlineStr">
        <is>
          <t>1-23 August 2026</t>
        </is>
      </c>
      <c r="K244" s="55" t="n">
        <v>1853</v>
      </c>
      <c r="L244" s="40" t="inlineStr">
        <is>
          <t>Visit→Engagement 1-23 August 2026</t>
        </is>
      </c>
      <c r="M244" s="40">
        <f>IF(Countries!J18="","STILL MISSING","Filled ✓")</f>
        <v/>
      </c>
    </row>
    <row r="245">
      <c r="A245" s="56" t="inlineStr">
        <is>
          <t>Countries</t>
        </is>
      </c>
      <c r="B245" s="56" t="inlineStr">
        <is>
          <t>AR72</t>
        </is>
      </c>
      <c r="C245" s="56" t="n">
        <v>72</v>
      </c>
      <c r="D245" s="56" t="inlineStr">
        <is>
          <t>All landing pages</t>
        </is>
      </c>
      <c r="E245" s="56" t="inlineStr">
        <is>
          <t>Organic</t>
        </is>
      </c>
      <c r="F245" s="56" t="inlineStr">
        <is>
          <t>Desktop</t>
        </is>
      </c>
      <c r="G245" s="56" t="inlineStr">
        <is>
          <t>Austria</t>
        </is>
      </c>
      <c r="H245" s="56" t="n">
        <v>12</v>
      </c>
      <c r="I245" s="56" t="inlineStr">
        <is>
          <t>Purchases</t>
        </is>
      </c>
      <c r="J245" s="56" t="inlineStr">
        <is>
          <t>1-23 August 2025</t>
        </is>
      </c>
      <c r="K245" s="57" t="n">
        <v>261</v>
      </c>
      <c r="L245" s="56" t="inlineStr">
        <is>
          <t>Search→Booking 1-23 August 2025</t>
        </is>
      </c>
      <c r="M245" s="40">
        <f>IF(Countries!AR72="","STILL MISSING","Filled ✓")</f>
        <v/>
      </c>
    </row>
    <row r="246">
      <c r="A246" s="40" t="inlineStr">
        <is>
          <t>Countries</t>
        </is>
      </c>
      <c r="B246" s="40" t="inlineStr">
        <is>
          <t>Q72</t>
        </is>
      </c>
      <c r="C246" s="40" t="n">
        <v>72</v>
      </c>
      <c r="D246" s="40" t="inlineStr">
        <is>
          <t>All landing pages</t>
        </is>
      </c>
      <c r="E246" s="40" t="inlineStr">
        <is>
          <t>Organic</t>
        </is>
      </c>
      <c r="F246" s="40" t="inlineStr">
        <is>
          <t>Desktop</t>
        </is>
      </c>
      <c r="G246" s="40" t="inlineStr">
        <is>
          <t>Austria</t>
        </is>
      </c>
      <c r="H246" s="40" t="n">
        <v>12</v>
      </c>
      <c r="I246" s="40" t="inlineStr">
        <is>
          <t>Searches</t>
        </is>
      </c>
      <c r="J246" s="40" t="inlineStr">
        <is>
          <t>1-23 August 2026</t>
        </is>
      </c>
      <c r="K246" s="55" t="n">
        <v>261</v>
      </c>
      <c r="L246" s="40" t="inlineStr">
        <is>
          <t>Searches YoY</t>
        </is>
      </c>
      <c r="M246" s="40">
        <f>IF(Countries!Q72="","STILL MISSING","Filled ✓")</f>
        <v/>
      </c>
    </row>
    <row r="247">
      <c r="A247" s="56" t="inlineStr">
        <is>
          <t>Countries</t>
        </is>
      </c>
      <c r="B247" s="56" t="inlineStr">
        <is>
          <t>W72</t>
        </is>
      </c>
      <c r="C247" s="56" t="n">
        <v>72</v>
      </c>
      <c r="D247" s="56" t="inlineStr">
        <is>
          <t>All landing pages</t>
        </is>
      </c>
      <c r="E247" s="56" t="inlineStr">
        <is>
          <t>Organic</t>
        </is>
      </c>
      <c r="F247" s="56" t="inlineStr">
        <is>
          <t>Desktop</t>
        </is>
      </c>
      <c r="G247" s="56" t="inlineStr">
        <is>
          <t>Austria</t>
        </is>
      </c>
      <c r="H247" s="56" t="n">
        <v>12</v>
      </c>
      <c r="I247" s="56" t="inlineStr">
        <is>
          <t>Select item</t>
        </is>
      </c>
      <c r="J247" s="56" t="inlineStr">
        <is>
          <t>1-23 August 2025</t>
        </is>
      </c>
      <c r="K247" s="57" t="n">
        <v>261</v>
      </c>
      <c r="L247" s="56" t="inlineStr">
        <is>
          <t>Search→Select 1-23 August 2025</t>
        </is>
      </c>
      <c r="M247" s="40">
        <f>IF(Countries!W72="","STILL MISSING","Filled ✓")</f>
        <v/>
      </c>
    </row>
    <row r="248">
      <c r="A248" s="40" t="inlineStr">
        <is>
          <t>Countries</t>
        </is>
      </c>
      <c r="B248" s="40" t="inlineStr">
        <is>
          <t>E72</t>
        </is>
      </c>
      <c r="C248" s="40" t="n">
        <v>72</v>
      </c>
      <c r="D248" s="40" t="inlineStr">
        <is>
          <t>All landing pages</t>
        </is>
      </c>
      <c r="E248" s="40" t="inlineStr">
        <is>
          <t>Organic</t>
        </is>
      </c>
      <c r="F248" s="40" t="inlineStr">
        <is>
          <t>Desktop</t>
        </is>
      </c>
      <c r="G248" s="40" t="inlineStr">
        <is>
          <t>Austria</t>
        </is>
      </c>
      <c r="H248" s="40" t="n">
        <v>12</v>
      </c>
      <c r="I248" s="40" t="inlineStr">
        <is>
          <t>Sessions</t>
        </is>
      </c>
      <c r="J248" s="40" t="inlineStr">
        <is>
          <t>1-23 August 2025</t>
        </is>
      </c>
      <c r="K248" s="55" t="n">
        <v>261</v>
      </c>
      <c r="L248" s="40" t="inlineStr">
        <is>
          <t>Visit→Search 1-23 August 2025</t>
        </is>
      </c>
      <c r="M248" s="40">
        <f>IF(Countries!E72="","STILL MISSING","Filled ✓")</f>
        <v/>
      </c>
    </row>
    <row r="249">
      <c r="A249" s="56" t="inlineStr">
        <is>
          <t>Countries</t>
        </is>
      </c>
      <c r="B249" s="56" t="inlineStr">
        <is>
          <t>AS50</t>
        </is>
      </c>
      <c r="C249" s="56" t="n">
        <v>50</v>
      </c>
      <c r="D249" s="56" t="inlineStr">
        <is>
          <t>All landing pages</t>
        </is>
      </c>
      <c r="E249" s="56" t="inlineStr">
        <is>
          <t>Organic</t>
        </is>
      </c>
      <c r="F249" s="56" t="inlineStr">
        <is>
          <t>Mobile</t>
        </is>
      </c>
      <c r="G249" s="56" t="inlineStr">
        <is>
          <t>Austria</t>
        </is>
      </c>
      <c r="H249" s="56" t="n">
        <v>12</v>
      </c>
      <c r="I249" s="56" t="inlineStr">
        <is>
          <t>Purchases</t>
        </is>
      </c>
      <c r="J249" s="56" t="inlineStr">
        <is>
          <t>1-23 August 2026</t>
        </is>
      </c>
      <c r="K249" s="57" t="n">
        <v>682</v>
      </c>
      <c r="L249" s="56" t="inlineStr">
        <is>
          <t>CR 1-23 August 2026</t>
        </is>
      </c>
      <c r="M249" s="40">
        <f>IF(Countries!AS50="","STILL MISSING","Filled ✓")</f>
        <v/>
      </c>
    </row>
    <row r="250">
      <c r="A250" s="40" t="inlineStr">
        <is>
          <t>Countries</t>
        </is>
      </c>
      <c r="B250" s="40" t="inlineStr">
        <is>
          <t>Q50</t>
        </is>
      </c>
      <c r="C250" s="40" t="n">
        <v>50</v>
      </c>
      <c r="D250" s="40" t="inlineStr">
        <is>
          <t>All landing pages</t>
        </is>
      </c>
      <c r="E250" s="40" t="inlineStr">
        <is>
          <t>Organic</t>
        </is>
      </c>
      <c r="F250" s="40" t="inlineStr">
        <is>
          <t>Mobile</t>
        </is>
      </c>
      <c r="G250" s="40" t="inlineStr">
        <is>
          <t>Austria</t>
        </is>
      </c>
      <c r="H250" s="40" t="n">
        <v>12</v>
      </c>
      <c r="I250" s="40" t="inlineStr">
        <is>
          <t>Searches</t>
        </is>
      </c>
      <c r="J250" s="40" t="inlineStr">
        <is>
          <t>1-23 August 2026</t>
        </is>
      </c>
      <c r="K250" s="55" t="n">
        <v>682</v>
      </c>
      <c r="L250" s="40" t="inlineStr">
        <is>
          <t>Visit→Search 1-23 August 2026</t>
        </is>
      </c>
      <c r="M250" s="40">
        <f>IF(Countries!Q50="","STILL MISSING","Filled ✓")</f>
        <v/>
      </c>
    </row>
    <row r="251">
      <c r="A251" s="56" t="inlineStr">
        <is>
          <t>Countries</t>
        </is>
      </c>
      <c r="B251" s="56" t="inlineStr">
        <is>
          <t>E50</t>
        </is>
      </c>
      <c r="C251" s="56" t="n">
        <v>50</v>
      </c>
      <c r="D251" s="56" t="inlineStr">
        <is>
          <t>All landing pages</t>
        </is>
      </c>
      <c r="E251" s="56" t="inlineStr">
        <is>
          <t>Organic</t>
        </is>
      </c>
      <c r="F251" s="56" t="inlineStr">
        <is>
          <t>Mobile</t>
        </is>
      </c>
      <c r="G251" s="56" t="inlineStr">
        <is>
          <t>Austria</t>
        </is>
      </c>
      <c r="H251" s="56" t="n">
        <v>12</v>
      </c>
      <c r="I251" s="56" t="inlineStr">
        <is>
          <t>Sessions</t>
        </is>
      </c>
      <c r="J251" s="56" t="inlineStr">
        <is>
          <t>1-23 August 2025</t>
        </is>
      </c>
      <c r="K251" s="57" t="n">
        <v>682</v>
      </c>
      <c r="L251" s="56" t="inlineStr">
        <is>
          <t>Sessions YoY</t>
        </is>
      </c>
      <c r="M251" s="40">
        <f>IF(Countries!E50="","STILL MISSING","Filled ✓")</f>
        <v/>
      </c>
    </row>
    <row r="252">
      <c r="A252" s="40" t="inlineStr">
        <is>
          <t>Countries</t>
        </is>
      </c>
      <c r="B252" s="40" t="inlineStr">
        <is>
          <t>J50</t>
        </is>
      </c>
      <c r="C252" s="40" t="n">
        <v>50</v>
      </c>
      <c r="D252" s="40" t="inlineStr">
        <is>
          <t>All landing pages</t>
        </is>
      </c>
      <c r="E252" s="40" t="inlineStr">
        <is>
          <t>Organic</t>
        </is>
      </c>
      <c r="F252" s="40" t="inlineStr">
        <is>
          <t>Mobile</t>
        </is>
      </c>
      <c r="G252" s="40" t="inlineStr">
        <is>
          <t>Austria</t>
        </is>
      </c>
      <c r="H252" s="40" t="n">
        <v>12</v>
      </c>
      <c r="I252" s="40" t="inlineStr">
        <is>
          <t>Start Search</t>
        </is>
      </c>
      <c r="J252" s="40" t="inlineStr">
        <is>
          <t>1-23 August 2026</t>
        </is>
      </c>
      <c r="K252" s="55" t="n">
        <v>682</v>
      </c>
      <c r="L252" s="40" t="inlineStr">
        <is>
          <t>Visit→Engagement 1-23 August 2026</t>
        </is>
      </c>
      <c r="M252" s="40">
        <f>IF(Countries!J50="","STILL MISSING","Filled ✓")</f>
        <v/>
      </c>
    </row>
    <row r="253">
      <c r="A253" s="56" t="inlineStr">
        <is>
          <t>Countries</t>
        </is>
      </c>
      <c r="B253" s="56" t="inlineStr">
        <is>
          <t>AS105</t>
        </is>
      </c>
      <c r="C253" s="56" t="n">
        <v>105</v>
      </c>
      <c r="D253" s="56" t="inlineStr">
        <is>
          <t>All landing pages</t>
        </is>
      </c>
      <c r="E253" s="56" t="inlineStr">
        <is>
          <t>Direct</t>
        </is>
      </c>
      <c r="F253" s="56" t="inlineStr">
        <is>
          <t>Desktop</t>
        </is>
      </c>
      <c r="G253" s="56" t="inlineStr">
        <is>
          <t>Austria</t>
        </is>
      </c>
      <c r="H253" s="56" t="n">
        <v>12</v>
      </c>
      <c r="I253" s="56" t="inlineStr">
        <is>
          <t>Purchases</t>
        </is>
      </c>
      <c r="J253" s="56" t="inlineStr">
        <is>
          <t>1-23 August 2026</t>
        </is>
      </c>
      <c r="K253" s="57" t="n">
        <v>390</v>
      </c>
      <c r="L253" s="56" t="inlineStr">
        <is>
          <t>CR 1-23 August 2026 + Search→Booking 1-23 August 2026</t>
        </is>
      </c>
      <c r="M253" s="40">
        <f>IF(Countries!AS105="","STILL MISSING","Filled ✓")</f>
        <v/>
      </c>
    </row>
    <row r="254">
      <c r="A254" s="40" t="inlineStr">
        <is>
          <t>Countries</t>
        </is>
      </c>
      <c r="B254" s="40" t="inlineStr">
        <is>
          <t>P105</t>
        </is>
      </c>
      <c r="C254" s="40" t="n">
        <v>105</v>
      </c>
      <c r="D254" s="40" t="inlineStr">
        <is>
          <t>All landing pages</t>
        </is>
      </c>
      <c r="E254" s="40" t="inlineStr">
        <is>
          <t>Direct</t>
        </is>
      </c>
      <c r="F254" s="40" t="inlineStr">
        <is>
          <t>Desktop</t>
        </is>
      </c>
      <c r="G254" s="40" t="inlineStr">
        <is>
          <t>Austria</t>
        </is>
      </c>
      <c r="H254" s="40" t="n">
        <v>12</v>
      </c>
      <c r="I254" s="40" t="inlineStr">
        <is>
          <t>Searches</t>
        </is>
      </c>
      <c r="J254" s="40" t="inlineStr">
        <is>
          <t>1-23 August 2025</t>
        </is>
      </c>
      <c r="K254" s="55" t="n">
        <v>390</v>
      </c>
      <c r="L254" s="40" t="inlineStr">
        <is>
          <t>Searches YoY</t>
        </is>
      </c>
      <c r="M254" s="40">
        <f>IF(Countries!P105="","STILL MISSING","Filled ✓")</f>
        <v/>
      </c>
    </row>
    <row r="255">
      <c r="A255" s="56" t="inlineStr">
        <is>
          <t>Countries</t>
        </is>
      </c>
      <c r="B255" s="56" t="inlineStr">
        <is>
          <t>X105</t>
        </is>
      </c>
      <c r="C255" s="56" t="n">
        <v>105</v>
      </c>
      <c r="D255" s="56" t="inlineStr">
        <is>
          <t>All landing pages</t>
        </is>
      </c>
      <c r="E255" s="56" t="inlineStr">
        <is>
          <t>Direct</t>
        </is>
      </c>
      <c r="F255" s="56" t="inlineStr">
        <is>
          <t>Desktop</t>
        </is>
      </c>
      <c r="G255" s="56" t="inlineStr">
        <is>
          <t>Austria</t>
        </is>
      </c>
      <c r="H255" s="56" t="n">
        <v>12</v>
      </c>
      <c r="I255" s="56" t="inlineStr">
        <is>
          <t>Select item</t>
        </is>
      </c>
      <c r="J255" s="56" t="inlineStr">
        <is>
          <t>1-23 August 2026</t>
        </is>
      </c>
      <c r="K255" s="57" t="n">
        <v>390</v>
      </c>
      <c r="L255" s="56" t="inlineStr">
        <is>
          <t>Search→Select 1-23 August 2026</t>
        </is>
      </c>
      <c r="M255" s="40">
        <f>IF(Countries!X105="","STILL MISSING","Filled ✓")</f>
        <v/>
      </c>
    </row>
    <row r="256">
      <c r="A256" s="40" t="inlineStr">
        <is>
          <t>Countries</t>
        </is>
      </c>
      <c r="B256" s="40" t="inlineStr">
        <is>
          <t>E105</t>
        </is>
      </c>
      <c r="C256" s="40" t="n">
        <v>105</v>
      </c>
      <c r="D256" s="40" t="inlineStr">
        <is>
          <t>All landing pages</t>
        </is>
      </c>
      <c r="E256" s="40" t="inlineStr">
        <is>
          <t>Direct</t>
        </is>
      </c>
      <c r="F256" s="40" t="inlineStr">
        <is>
          <t>Desktop</t>
        </is>
      </c>
      <c r="G256" s="40" t="inlineStr">
        <is>
          <t>Austria</t>
        </is>
      </c>
      <c r="H256" s="40" t="n">
        <v>12</v>
      </c>
      <c r="I256" s="40" t="inlineStr">
        <is>
          <t>Sessions</t>
        </is>
      </c>
      <c r="J256" s="40" t="inlineStr">
        <is>
          <t>1-23 August 2025</t>
        </is>
      </c>
      <c r="K256" s="55" t="n">
        <v>390</v>
      </c>
      <c r="L256" s="40" t="inlineStr">
        <is>
          <t>Sessions YoY</t>
        </is>
      </c>
      <c r="M256" s="40">
        <f>IF(Countries!E105="","STILL MISSING","Filled ✓")</f>
        <v/>
      </c>
    </row>
    <row r="257">
      <c r="A257" s="56" t="inlineStr">
        <is>
          <t>Countries</t>
        </is>
      </c>
      <c r="B257" s="56" t="inlineStr">
        <is>
          <t>J105</t>
        </is>
      </c>
      <c r="C257" s="56" t="n">
        <v>105</v>
      </c>
      <c r="D257" s="56" t="inlineStr">
        <is>
          <t>All landing pages</t>
        </is>
      </c>
      <c r="E257" s="56" t="inlineStr">
        <is>
          <t>Direct</t>
        </is>
      </c>
      <c r="F257" s="56" t="inlineStr">
        <is>
          <t>Desktop</t>
        </is>
      </c>
      <c r="G257" s="56" t="inlineStr">
        <is>
          <t>Austria</t>
        </is>
      </c>
      <c r="H257" s="56" t="n">
        <v>12</v>
      </c>
      <c r="I257" s="56" t="inlineStr">
        <is>
          <t>Start Search</t>
        </is>
      </c>
      <c r="J257" s="56" t="inlineStr">
        <is>
          <t>1-23 August 2026</t>
        </is>
      </c>
      <c r="K257" s="57" t="n">
        <v>390</v>
      </c>
      <c r="L257" s="56" t="inlineStr">
        <is>
          <t>Visit→Engagement 1-23 August 2026</t>
        </is>
      </c>
      <c r="M257" s="40">
        <f>IF(Countries!J105="","STILL MISSING","Filled ✓")</f>
        <v/>
      </c>
    </row>
    <row r="258">
      <c r="A258" s="40" t="inlineStr">
        <is>
          <t>Countries</t>
        </is>
      </c>
      <c r="B258" s="40" t="inlineStr">
        <is>
          <t>AS90</t>
        </is>
      </c>
      <c r="C258" s="40" t="n">
        <v>90</v>
      </c>
      <c r="D258" s="40" t="inlineStr">
        <is>
          <t>All landing pages</t>
        </is>
      </c>
      <c r="E258" s="40" t="inlineStr">
        <is>
          <t>Direct</t>
        </is>
      </c>
      <c r="F258" s="40" t="inlineStr">
        <is>
          <t>Mobile</t>
        </is>
      </c>
      <c r="G258" s="40" t="inlineStr">
        <is>
          <t>Austria</t>
        </is>
      </c>
      <c r="H258" s="40" t="n">
        <v>12</v>
      </c>
      <c r="I258" s="40" t="inlineStr">
        <is>
          <t>Purchases</t>
        </is>
      </c>
      <c r="J258" s="40" t="inlineStr">
        <is>
          <t>1-23 August 2026</t>
        </is>
      </c>
      <c r="K258" s="55" t="n">
        <v>97</v>
      </c>
      <c r="L258" s="40" t="inlineStr">
        <is>
          <t>Search→Booking 1-23 August 2026</t>
        </is>
      </c>
      <c r="M258" s="40">
        <f>IF(Countries!AS90="","STILL MISSING","Filled ✓")</f>
        <v/>
      </c>
    </row>
    <row r="259">
      <c r="A259" s="56" t="inlineStr">
        <is>
          <t>Countries</t>
        </is>
      </c>
      <c r="B259" s="56" t="inlineStr">
        <is>
          <t>P90</t>
        </is>
      </c>
      <c r="C259" s="56" t="n">
        <v>90</v>
      </c>
      <c r="D259" s="56" t="inlineStr">
        <is>
          <t>All landing pages</t>
        </is>
      </c>
      <c r="E259" s="56" t="inlineStr">
        <is>
          <t>Direct</t>
        </is>
      </c>
      <c r="F259" s="56" t="inlineStr">
        <is>
          <t>Mobile</t>
        </is>
      </c>
      <c r="G259" s="56" t="inlineStr">
        <is>
          <t>Austria</t>
        </is>
      </c>
      <c r="H259" s="56" t="n">
        <v>12</v>
      </c>
      <c r="I259" s="56" t="inlineStr">
        <is>
          <t>Searches</t>
        </is>
      </c>
      <c r="J259" s="56" t="inlineStr">
        <is>
          <t>1-23 August 2025</t>
        </is>
      </c>
      <c r="K259" s="57" t="n">
        <v>97</v>
      </c>
      <c r="L259" s="56" t="inlineStr">
        <is>
          <t>Searches YoY</t>
        </is>
      </c>
      <c r="M259" s="40">
        <f>IF(Countries!P90="","STILL MISSING","Filled ✓")</f>
        <v/>
      </c>
    </row>
    <row r="260">
      <c r="A260" s="40" t="inlineStr">
        <is>
          <t>Countries</t>
        </is>
      </c>
      <c r="B260" s="40" t="inlineStr">
        <is>
          <t>X90</t>
        </is>
      </c>
      <c r="C260" s="40" t="n">
        <v>90</v>
      </c>
      <c r="D260" s="40" t="inlineStr">
        <is>
          <t>All landing pages</t>
        </is>
      </c>
      <c r="E260" s="40" t="inlineStr">
        <is>
          <t>Direct</t>
        </is>
      </c>
      <c r="F260" s="40" t="inlineStr">
        <is>
          <t>Mobile</t>
        </is>
      </c>
      <c r="G260" s="40" t="inlineStr">
        <is>
          <t>Austria</t>
        </is>
      </c>
      <c r="H260" s="40" t="n">
        <v>12</v>
      </c>
      <c r="I260" s="40" t="inlineStr">
        <is>
          <t>Select item</t>
        </is>
      </c>
      <c r="J260" s="40" t="inlineStr">
        <is>
          <t>1-23 August 2026</t>
        </is>
      </c>
      <c r="K260" s="55" t="n">
        <v>97</v>
      </c>
      <c r="L260" s="40" t="inlineStr">
        <is>
          <t>Search→Select 1-23 August 2026</t>
        </is>
      </c>
      <c r="M260" s="40">
        <f>IF(Countries!X90="","STILL MISSING","Filled ✓")</f>
        <v/>
      </c>
    </row>
    <row r="261">
      <c r="A261" s="56" t="inlineStr">
        <is>
          <t>Countries</t>
        </is>
      </c>
      <c r="B261" s="56" t="inlineStr">
        <is>
          <t>F90</t>
        </is>
      </c>
      <c r="C261" s="56" t="n">
        <v>90</v>
      </c>
      <c r="D261" s="56" t="inlineStr">
        <is>
          <t>All landing pages</t>
        </is>
      </c>
      <c r="E261" s="56" t="inlineStr">
        <is>
          <t>Direct</t>
        </is>
      </c>
      <c r="F261" s="56" t="inlineStr">
        <is>
          <t>Mobile</t>
        </is>
      </c>
      <c r="G261" s="56" t="inlineStr">
        <is>
          <t>Austria</t>
        </is>
      </c>
      <c r="H261" s="56" t="n">
        <v>12</v>
      </c>
      <c r="I261" s="56" t="inlineStr">
        <is>
          <t>Sessions</t>
        </is>
      </c>
      <c r="J261" s="56" t="inlineStr">
        <is>
          <t>1-23 August 2026</t>
        </is>
      </c>
      <c r="K261" s="57" t="n">
        <v>97</v>
      </c>
      <c r="L261" s="56" t="inlineStr">
        <is>
          <t>Visit→Search 1-23 August 2026</t>
        </is>
      </c>
      <c r="M261" s="40">
        <f>IF(Countries!F90="","STILL MISSING","Filled ✓")</f>
        <v/>
      </c>
    </row>
    <row r="262">
      <c r="A262" s="40" t="inlineStr">
        <is>
          <t>Countries</t>
        </is>
      </c>
      <c r="B262" s="40" t="inlineStr">
        <is>
          <t>AR126</t>
        </is>
      </c>
      <c r="C262" s="40" t="n">
        <v>126</v>
      </c>
      <c r="D262" s="40" t="inlineStr">
        <is>
          <t>Home page</t>
        </is>
      </c>
      <c r="E262" s="40" t="inlineStr">
        <is>
          <t>Paid Search</t>
        </is>
      </c>
      <c r="F262" s="40" t="inlineStr">
        <is>
          <t>Mobile</t>
        </is>
      </c>
      <c r="G262" s="40" t="inlineStr">
        <is>
          <t>Austria</t>
        </is>
      </c>
      <c r="H262" s="40" t="n">
        <v>12</v>
      </c>
      <c r="I262" s="40" t="inlineStr">
        <is>
          <t>Purchases</t>
        </is>
      </c>
      <c r="J262" s="40" t="inlineStr">
        <is>
          <t>1-23 August 2025</t>
        </is>
      </c>
      <c r="K262" s="55" t="n">
        <v>607</v>
      </c>
      <c r="L262" s="40" t="inlineStr">
        <is>
          <t>CR 1-23 August 2025 + Search→Booking 1-23 August 2025</t>
        </is>
      </c>
      <c r="M262" s="40">
        <f>IF(Countries!AR126="","STILL MISSING","Filled ✓")</f>
        <v/>
      </c>
    </row>
    <row r="263">
      <c r="A263" s="56" t="inlineStr">
        <is>
          <t>Countries</t>
        </is>
      </c>
      <c r="B263" s="56" t="inlineStr">
        <is>
          <t>AS126</t>
        </is>
      </c>
      <c r="C263" s="56" t="n">
        <v>126</v>
      </c>
      <c r="D263" s="56" t="inlineStr">
        <is>
          <t>Home page</t>
        </is>
      </c>
      <c r="E263" s="56" t="inlineStr">
        <is>
          <t>Paid Search</t>
        </is>
      </c>
      <c r="F263" s="56" t="inlineStr">
        <is>
          <t>Mobile</t>
        </is>
      </c>
      <c r="G263" s="56" t="inlineStr">
        <is>
          <t>Austria</t>
        </is>
      </c>
      <c r="H263" s="56" t="n">
        <v>12</v>
      </c>
      <c r="I263" s="56" t="inlineStr">
        <is>
          <t>Purchases</t>
        </is>
      </c>
      <c r="J263" s="56" t="inlineStr">
        <is>
          <t>1-23 August 2026</t>
        </is>
      </c>
      <c r="K263" s="57" t="n">
        <v>607</v>
      </c>
      <c r="L263" s="56" t="inlineStr">
        <is>
          <t>CR 1-23 August 2026 + Search→Booking 1-23 August 2026</t>
        </is>
      </c>
      <c r="M263" s="40">
        <f>IF(Countries!AS126="","STILL MISSING","Filled ✓")</f>
        <v/>
      </c>
    </row>
    <row r="264">
      <c r="A264" s="40" t="inlineStr">
        <is>
          <t>Countries</t>
        </is>
      </c>
      <c r="B264" s="40" t="inlineStr">
        <is>
          <t>W126</t>
        </is>
      </c>
      <c r="C264" s="40" t="n">
        <v>126</v>
      </c>
      <c r="D264" s="40" t="inlineStr">
        <is>
          <t>Home page</t>
        </is>
      </c>
      <c r="E264" s="40" t="inlineStr">
        <is>
          <t>Paid Search</t>
        </is>
      </c>
      <c r="F264" s="40" t="inlineStr">
        <is>
          <t>Mobile</t>
        </is>
      </c>
      <c r="G264" s="40" t="inlineStr">
        <is>
          <t>Austria</t>
        </is>
      </c>
      <c r="H264" s="40" t="n">
        <v>12</v>
      </c>
      <c r="I264" s="40" t="inlineStr">
        <is>
          <t>Select item</t>
        </is>
      </c>
      <c r="J264" s="40" t="inlineStr">
        <is>
          <t>1-23 August 2025</t>
        </is>
      </c>
      <c r="K264" s="55" t="n">
        <v>607</v>
      </c>
      <c r="L264" s="40" t="inlineStr">
        <is>
          <t>Search→Select 1-23 August 2025</t>
        </is>
      </c>
      <c r="M264" s="40">
        <f>IF(Countries!W126="","STILL MISSING","Filled ✓")</f>
        <v/>
      </c>
    </row>
    <row r="265">
      <c r="A265" s="56" t="inlineStr">
        <is>
          <t>Countries</t>
        </is>
      </c>
      <c r="B265" s="56" t="inlineStr">
        <is>
          <t>X126</t>
        </is>
      </c>
      <c r="C265" s="56" t="n">
        <v>126</v>
      </c>
      <c r="D265" s="56" t="inlineStr">
        <is>
          <t>Home page</t>
        </is>
      </c>
      <c r="E265" s="56" t="inlineStr">
        <is>
          <t>Paid Search</t>
        </is>
      </c>
      <c r="F265" s="56" t="inlineStr">
        <is>
          <t>Mobile</t>
        </is>
      </c>
      <c r="G265" s="56" t="inlineStr">
        <is>
          <t>Austria</t>
        </is>
      </c>
      <c r="H265" s="56" t="n">
        <v>12</v>
      </c>
      <c r="I265" s="56" t="inlineStr">
        <is>
          <t>Select item</t>
        </is>
      </c>
      <c r="J265" s="56" t="inlineStr">
        <is>
          <t>1-23 August 2026</t>
        </is>
      </c>
      <c r="K265" s="57" t="n">
        <v>607</v>
      </c>
      <c r="L265" s="56" t="inlineStr">
        <is>
          <t>Search→Select 1-23 August 2026</t>
        </is>
      </c>
      <c r="M265" s="40">
        <f>IF(Countries!X126="","STILL MISSING","Filled ✓")</f>
        <v/>
      </c>
    </row>
    <row r="266">
      <c r="A266" s="40" t="inlineStr">
        <is>
          <t>Countries</t>
        </is>
      </c>
      <c r="B266" s="40" t="inlineStr">
        <is>
          <t>I126</t>
        </is>
      </c>
      <c r="C266" s="40" t="n">
        <v>126</v>
      </c>
      <c r="D266" s="40" t="inlineStr">
        <is>
          <t>Home page</t>
        </is>
      </c>
      <c r="E266" s="40" t="inlineStr">
        <is>
          <t>Paid Search</t>
        </is>
      </c>
      <c r="F266" s="40" t="inlineStr">
        <is>
          <t>Mobile</t>
        </is>
      </c>
      <c r="G266" s="40" t="inlineStr">
        <is>
          <t>Austria</t>
        </is>
      </c>
      <c r="H266" s="40" t="n">
        <v>12</v>
      </c>
      <c r="I266" s="40" t="inlineStr">
        <is>
          <t>Start Search</t>
        </is>
      </c>
      <c r="J266" s="40" t="inlineStr">
        <is>
          <t>1-23 August 2025</t>
        </is>
      </c>
      <c r="K266" s="55" t="n">
        <v>607</v>
      </c>
      <c r="L266" s="40" t="inlineStr">
        <is>
          <t>Visit→Engagement 1-23 August 2025</t>
        </is>
      </c>
      <c r="M266" s="40">
        <f>IF(Countries!I126="","STILL MISSING","Filled ✓")</f>
        <v/>
      </c>
    </row>
    <row r="267">
      <c r="A267" s="56" t="inlineStr">
        <is>
          <t>Countries</t>
        </is>
      </c>
      <c r="B267" s="56" t="inlineStr">
        <is>
          <t>J126</t>
        </is>
      </c>
      <c r="C267" s="56" t="n">
        <v>126</v>
      </c>
      <c r="D267" s="56" t="inlineStr">
        <is>
          <t>Home page</t>
        </is>
      </c>
      <c r="E267" s="56" t="inlineStr">
        <is>
          <t>Paid Search</t>
        </is>
      </c>
      <c r="F267" s="56" t="inlineStr">
        <is>
          <t>Mobile</t>
        </is>
      </c>
      <c r="G267" s="56" t="inlineStr">
        <is>
          <t>Austria</t>
        </is>
      </c>
      <c r="H267" s="56" t="n">
        <v>12</v>
      </c>
      <c r="I267" s="56" t="inlineStr">
        <is>
          <t>Start Search</t>
        </is>
      </c>
      <c r="J267" s="56" t="inlineStr">
        <is>
          <t>1-23 August 2026</t>
        </is>
      </c>
      <c r="K267" s="57" t="n">
        <v>607</v>
      </c>
      <c r="L267" s="56" t="inlineStr">
        <is>
          <t>Visit→Engagement 1-23 August 2026</t>
        </is>
      </c>
      <c r="M267" s="40">
        <f>IF(Countries!J126="","STILL MISSING","Filled ✓")</f>
        <v/>
      </c>
    </row>
    <row r="268">
      <c r="A268" s="40" t="inlineStr">
        <is>
          <t>Countries</t>
        </is>
      </c>
      <c r="B268" s="40" t="inlineStr">
        <is>
          <t>AR253</t>
        </is>
      </c>
      <c r="C268" s="40" t="n">
        <v>253</v>
      </c>
      <c r="D268" s="40" t="inlineStr">
        <is>
          <t>Airport page</t>
        </is>
      </c>
      <c r="E268" s="40" t="inlineStr">
        <is>
          <t>Paid Search</t>
        </is>
      </c>
      <c r="F268" s="40" t="inlineStr">
        <is>
          <t>Desktop</t>
        </is>
      </c>
      <c r="G268" s="40" t="inlineStr">
        <is>
          <t>Austria</t>
        </is>
      </c>
      <c r="H268" s="40" t="n">
        <v>12</v>
      </c>
      <c r="I268" s="40" t="inlineStr">
        <is>
          <t>Purchases</t>
        </is>
      </c>
      <c r="J268" s="40" t="inlineStr">
        <is>
          <t>1-23 August 2025</t>
        </is>
      </c>
      <c r="K268" s="55" t="n">
        <v>588</v>
      </c>
      <c r="L268" s="40" t="inlineStr">
        <is>
          <t>CR 1-23 August 2025 + Search→Booking 1-23 August 2025</t>
        </is>
      </c>
      <c r="M268" s="40">
        <f>IF(Countries!AR253="","STILL MISSING","Filled ✓")</f>
        <v/>
      </c>
    </row>
    <row r="269">
      <c r="A269" s="56" t="inlineStr">
        <is>
          <t>Countries</t>
        </is>
      </c>
      <c r="B269" s="56" t="inlineStr">
        <is>
          <t>AS253</t>
        </is>
      </c>
      <c r="C269" s="56" t="n">
        <v>253</v>
      </c>
      <c r="D269" s="56" t="inlineStr">
        <is>
          <t>Airport page</t>
        </is>
      </c>
      <c r="E269" s="56" t="inlineStr">
        <is>
          <t>Paid Search</t>
        </is>
      </c>
      <c r="F269" s="56" t="inlineStr">
        <is>
          <t>Desktop</t>
        </is>
      </c>
      <c r="G269" s="56" t="inlineStr">
        <is>
          <t>Austria</t>
        </is>
      </c>
      <c r="H269" s="56" t="n">
        <v>12</v>
      </c>
      <c r="I269" s="56" t="inlineStr">
        <is>
          <t>Purchases</t>
        </is>
      </c>
      <c r="J269" s="56" t="inlineStr">
        <is>
          <t>1-23 August 2026</t>
        </is>
      </c>
      <c r="K269" s="57" t="n">
        <v>588</v>
      </c>
      <c r="L269" s="56" t="inlineStr">
        <is>
          <t>CR 1-23 August 2026 + Search→Booking 1-23 August 2026</t>
        </is>
      </c>
      <c r="M269" s="40">
        <f>IF(Countries!AS253="","STILL MISSING","Filled ✓")</f>
        <v/>
      </c>
    </row>
    <row r="270">
      <c r="A270" s="40" t="inlineStr">
        <is>
          <t>Countries</t>
        </is>
      </c>
      <c r="B270" s="40" t="inlineStr">
        <is>
          <t>W253</t>
        </is>
      </c>
      <c r="C270" s="40" t="n">
        <v>253</v>
      </c>
      <c r="D270" s="40" t="inlineStr">
        <is>
          <t>Airport page</t>
        </is>
      </c>
      <c r="E270" s="40" t="inlineStr">
        <is>
          <t>Paid Search</t>
        </is>
      </c>
      <c r="F270" s="40" t="inlineStr">
        <is>
          <t>Desktop</t>
        </is>
      </c>
      <c r="G270" s="40" t="inlineStr">
        <is>
          <t>Austria</t>
        </is>
      </c>
      <c r="H270" s="40" t="n">
        <v>12</v>
      </c>
      <c r="I270" s="40" t="inlineStr">
        <is>
          <t>Select item</t>
        </is>
      </c>
      <c r="J270" s="40" t="inlineStr">
        <is>
          <t>1-23 August 2025</t>
        </is>
      </c>
      <c r="K270" s="55" t="n">
        <v>588</v>
      </c>
      <c r="L270" s="40" t="inlineStr">
        <is>
          <t>Search→Select 1-23 August 2025</t>
        </is>
      </c>
      <c r="M270" s="40">
        <f>IF(Countries!W253="","STILL MISSING","Filled ✓")</f>
        <v/>
      </c>
    </row>
    <row r="271">
      <c r="A271" s="56" t="inlineStr">
        <is>
          <t>Countries</t>
        </is>
      </c>
      <c r="B271" s="56" t="inlineStr">
        <is>
          <t>X253</t>
        </is>
      </c>
      <c r="C271" s="56" t="n">
        <v>253</v>
      </c>
      <c r="D271" s="56" t="inlineStr">
        <is>
          <t>Airport page</t>
        </is>
      </c>
      <c r="E271" s="56" t="inlineStr">
        <is>
          <t>Paid Search</t>
        </is>
      </c>
      <c r="F271" s="56" t="inlineStr">
        <is>
          <t>Desktop</t>
        </is>
      </c>
      <c r="G271" s="56" t="inlineStr">
        <is>
          <t>Austria</t>
        </is>
      </c>
      <c r="H271" s="56" t="n">
        <v>12</v>
      </c>
      <c r="I271" s="56" t="inlineStr">
        <is>
          <t>Select item</t>
        </is>
      </c>
      <c r="J271" s="56" t="inlineStr">
        <is>
          <t>1-23 August 2026</t>
        </is>
      </c>
      <c r="K271" s="57" t="n">
        <v>588</v>
      </c>
      <c r="L271" s="56" t="inlineStr">
        <is>
          <t>Search→Select 1-23 August 2026</t>
        </is>
      </c>
      <c r="M271" s="40">
        <f>IF(Countries!X253="","STILL MISSING","Filled ✓")</f>
        <v/>
      </c>
    </row>
    <row r="272">
      <c r="A272" s="40" t="inlineStr">
        <is>
          <t>Countries</t>
        </is>
      </c>
      <c r="B272" s="40" t="inlineStr">
        <is>
          <t>I253</t>
        </is>
      </c>
      <c r="C272" s="40" t="n">
        <v>253</v>
      </c>
      <c r="D272" s="40" t="inlineStr">
        <is>
          <t>Airport page</t>
        </is>
      </c>
      <c r="E272" s="40" t="inlineStr">
        <is>
          <t>Paid Search</t>
        </is>
      </c>
      <c r="F272" s="40" t="inlineStr">
        <is>
          <t>Desktop</t>
        </is>
      </c>
      <c r="G272" s="40" t="inlineStr">
        <is>
          <t>Austria</t>
        </is>
      </c>
      <c r="H272" s="40" t="n">
        <v>12</v>
      </c>
      <c r="I272" s="40" t="inlineStr">
        <is>
          <t>Start Search</t>
        </is>
      </c>
      <c r="J272" s="40" t="inlineStr">
        <is>
          <t>1-23 August 2025</t>
        </is>
      </c>
      <c r="K272" s="55" t="n">
        <v>588</v>
      </c>
      <c r="L272" s="40" t="inlineStr">
        <is>
          <t>Visit→Engagement 1-23 August 2025</t>
        </is>
      </c>
      <c r="M272" s="40">
        <f>IF(Countries!I253="","STILL MISSING","Filled ✓")</f>
        <v/>
      </c>
    </row>
    <row r="273">
      <c r="A273" s="56" t="inlineStr">
        <is>
          <t>Countries</t>
        </is>
      </c>
      <c r="B273" s="56" t="inlineStr">
        <is>
          <t>J253</t>
        </is>
      </c>
      <c r="C273" s="56" t="n">
        <v>253</v>
      </c>
      <c r="D273" s="56" t="inlineStr">
        <is>
          <t>Airport page</t>
        </is>
      </c>
      <c r="E273" s="56" t="inlineStr">
        <is>
          <t>Paid Search</t>
        </is>
      </c>
      <c r="F273" s="56" t="inlineStr">
        <is>
          <t>Desktop</t>
        </is>
      </c>
      <c r="G273" s="56" t="inlineStr">
        <is>
          <t>Austria</t>
        </is>
      </c>
      <c r="H273" s="56" t="n">
        <v>12</v>
      </c>
      <c r="I273" s="56" t="inlineStr">
        <is>
          <t>Start Search</t>
        </is>
      </c>
      <c r="J273" s="56" t="inlineStr">
        <is>
          <t>1-23 August 2026</t>
        </is>
      </c>
      <c r="K273" s="57" t="n">
        <v>588</v>
      </c>
      <c r="L273" s="56" t="inlineStr">
        <is>
          <t>Visit→Engagement 1-23 August 2026</t>
        </is>
      </c>
      <c r="M273" s="40">
        <f>IF(Countries!J253="","STILL MISSING","Filled ✓")</f>
        <v/>
      </c>
    </row>
    <row r="274">
      <c r="A274" s="40" t="inlineStr">
        <is>
          <t>Countries</t>
        </is>
      </c>
      <c r="B274" s="40" t="inlineStr">
        <is>
          <t>AR233</t>
        </is>
      </c>
      <c r="C274" s="40" t="n">
        <v>233</v>
      </c>
      <c r="D274" s="40" t="inlineStr">
        <is>
          <t>Airport page</t>
        </is>
      </c>
      <c r="E274" s="40" t="inlineStr">
        <is>
          <t>Paid Search</t>
        </is>
      </c>
      <c r="F274" s="40" t="inlineStr">
        <is>
          <t>Mobile</t>
        </is>
      </c>
      <c r="G274" s="40" t="inlineStr">
        <is>
          <t>Austria</t>
        </is>
      </c>
      <c r="H274" s="40" t="n">
        <v>12</v>
      </c>
      <c r="I274" s="40" t="inlineStr">
        <is>
          <t>Purchases</t>
        </is>
      </c>
      <c r="J274" s="40" t="inlineStr">
        <is>
          <t>1-23 August 2025</t>
        </is>
      </c>
      <c r="K274" s="55" t="n">
        <v>849</v>
      </c>
      <c r="L274" s="40" t="inlineStr">
        <is>
          <t>CR 1-23 August 2025 + Search→Booking 1-23 August 2025</t>
        </is>
      </c>
      <c r="M274" s="40">
        <f>IF(Countries!AR233="","STILL MISSING","Filled ✓")</f>
        <v/>
      </c>
    </row>
    <row r="275">
      <c r="A275" s="56" t="inlineStr">
        <is>
          <t>Countries</t>
        </is>
      </c>
      <c r="B275" s="56" t="inlineStr">
        <is>
          <t>AS233</t>
        </is>
      </c>
      <c r="C275" s="56" t="n">
        <v>233</v>
      </c>
      <c r="D275" s="56" t="inlineStr">
        <is>
          <t>Airport page</t>
        </is>
      </c>
      <c r="E275" s="56" t="inlineStr">
        <is>
          <t>Paid Search</t>
        </is>
      </c>
      <c r="F275" s="56" t="inlineStr">
        <is>
          <t>Mobile</t>
        </is>
      </c>
      <c r="G275" s="56" t="inlineStr">
        <is>
          <t>Austria</t>
        </is>
      </c>
      <c r="H275" s="56" t="n">
        <v>12</v>
      </c>
      <c r="I275" s="56" t="inlineStr">
        <is>
          <t>Purchases</t>
        </is>
      </c>
      <c r="J275" s="56" t="inlineStr">
        <is>
          <t>1-23 August 2026</t>
        </is>
      </c>
      <c r="K275" s="57" t="n">
        <v>849</v>
      </c>
      <c r="L275" s="56" t="inlineStr">
        <is>
          <t>CR 1-23 August 2026 + Search→Booking 1-23 August 2026</t>
        </is>
      </c>
      <c r="M275" s="40">
        <f>IF(Countries!AS233="","STILL MISSING","Filled ✓")</f>
        <v/>
      </c>
    </row>
    <row r="276">
      <c r="A276" s="40" t="inlineStr">
        <is>
          <t>Countries</t>
        </is>
      </c>
      <c r="B276" s="40" t="inlineStr">
        <is>
          <t>W233</t>
        </is>
      </c>
      <c r="C276" s="40" t="n">
        <v>233</v>
      </c>
      <c r="D276" s="40" t="inlineStr">
        <is>
          <t>Airport page</t>
        </is>
      </c>
      <c r="E276" s="40" t="inlineStr">
        <is>
          <t>Paid Search</t>
        </is>
      </c>
      <c r="F276" s="40" t="inlineStr">
        <is>
          <t>Mobile</t>
        </is>
      </c>
      <c r="G276" s="40" t="inlineStr">
        <is>
          <t>Austria</t>
        </is>
      </c>
      <c r="H276" s="40" t="n">
        <v>12</v>
      </c>
      <c r="I276" s="40" t="inlineStr">
        <is>
          <t>Select item</t>
        </is>
      </c>
      <c r="J276" s="40" t="inlineStr">
        <is>
          <t>1-23 August 2025</t>
        </is>
      </c>
      <c r="K276" s="55" t="n">
        <v>849</v>
      </c>
      <c r="L276" s="40" t="inlineStr">
        <is>
          <t>Search→Select 1-23 August 2025</t>
        </is>
      </c>
      <c r="M276" s="40">
        <f>IF(Countries!W233="","STILL MISSING","Filled ✓")</f>
        <v/>
      </c>
    </row>
    <row r="277">
      <c r="A277" s="56" t="inlineStr">
        <is>
          <t>Countries</t>
        </is>
      </c>
      <c r="B277" s="56" t="inlineStr">
        <is>
          <t>X233</t>
        </is>
      </c>
      <c r="C277" s="56" t="n">
        <v>233</v>
      </c>
      <c r="D277" s="56" t="inlineStr">
        <is>
          <t>Airport page</t>
        </is>
      </c>
      <c r="E277" s="56" t="inlineStr">
        <is>
          <t>Paid Search</t>
        </is>
      </c>
      <c r="F277" s="56" t="inlineStr">
        <is>
          <t>Mobile</t>
        </is>
      </c>
      <c r="G277" s="56" t="inlineStr">
        <is>
          <t>Austria</t>
        </is>
      </c>
      <c r="H277" s="56" t="n">
        <v>12</v>
      </c>
      <c r="I277" s="56" t="inlineStr">
        <is>
          <t>Select item</t>
        </is>
      </c>
      <c r="J277" s="56" t="inlineStr">
        <is>
          <t>1-23 August 2026</t>
        </is>
      </c>
      <c r="K277" s="57" t="n">
        <v>849</v>
      </c>
      <c r="L277" s="56" t="inlineStr">
        <is>
          <t>Search→Select 1-23 August 2026</t>
        </is>
      </c>
      <c r="M277" s="40">
        <f>IF(Countries!X233="","STILL MISSING","Filled ✓")</f>
        <v/>
      </c>
    </row>
    <row r="278">
      <c r="A278" s="40" t="inlineStr">
        <is>
          <t>Countries</t>
        </is>
      </c>
      <c r="B278" s="40" t="inlineStr">
        <is>
          <t>I233</t>
        </is>
      </c>
      <c r="C278" s="40" t="n">
        <v>233</v>
      </c>
      <c r="D278" s="40" t="inlineStr">
        <is>
          <t>Airport page</t>
        </is>
      </c>
      <c r="E278" s="40" t="inlineStr">
        <is>
          <t>Paid Search</t>
        </is>
      </c>
      <c r="F278" s="40" t="inlineStr">
        <is>
          <t>Mobile</t>
        </is>
      </c>
      <c r="G278" s="40" t="inlineStr">
        <is>
          <t>Austria</t>
        </is>
      </c>
      <c r="H278" s="40" t="n">
        <v>12</v>
      </c>
      <c r="I278" s="40" t="inlineStr">
        <is>
          <t>Start Search</t>
        </is>
      </c>
      <c r="J278" s="40" t="inlineStr">
        <is>
          <t>1-23 August 2025</t>
        </is>
      </c>
      <c r="K278" s="55" t="n">
        <v>849</v>
      </c>
      <c r="L278" s="40" t="inlineStr">
        <is>
          <t>Visit→Engagement 1-23 August 2025</t>
        </is>
      </c>
      <c r="M278" s="40">
        <f>IF(Countries!I233="","STILL MISSING","Filled ✓")</f>
        <v/>
      </c>
    </row>
    <row r="279">
      <c r="A279" s="56" t="inlineStr">
        <is>
          <t>Countries</t>
        </is>
      </c>
      <c r="B279" s="56" t="inlineStr">
        <is>
          <t>J233</t>
        </is>
      </c>
      <c r="C279" s="56" t="n">
        <v>233</v>
      </c>
      <c r="D279" s="56" t="inlineStr">
        <is>
          <t>Airport page</t>
        </is>
      </c>
      <c r="E279" s="56" t="inlineStr">
        <is>
          <t>Paid Search</t>
        </is>
      </c>
      <c r="F279" s="56" t="inlineStr">
        <is>
          <t>Mobile</t>
        </is>
      </c>
      <c r="G279" s="56" t="inlineStr">
        <is>
          <t>Austria</t>
        </is>
      </c>
      <c r="H279" s="56" t="n">
        <v>12</v>
      </c>
      <c r="I279" s="56" t="inlineStr">
        <is>
          <t>Start Search</t>
        </is>
      </c>
      <c r="J279" s="56" t="inlineStr">
        <is>
          <t>1-23 August 2026</t>
        </is>
      </c>
      <c r="K279" s="57" t="n">
        <v>849</v>
      </c>
      <c r="L279" s="56" t="inlineStr">
        <is>
          <t>Visit→Engagement 1-23 August 2026</t>
        </is>
      </c>
      <c r="M279" s="40">
        <f>IF(Countries!J233="","STILL MISSING","Filled ✓")</f>
        <v/>
      </c>
    </row>
    <row r="280">
      <c r="A280" s="40" t="inlineStr">
        <is>
          <t>Countries</t>
        </is>
      </c>
      <c r="B280" s="40" t="inlineStr">
        <is>
          <t>AR285</t>
        </is>
      </c>
      <c r="C280" s="40" t="n">
        <v>285</v>
      </c>
      <c r="D280" s="40" t="inlineStr">
        <is>
          <t>Airport page</t>
        </is>
      </c>
      <c r="E280" s="40" t="inlineStr">
        <is>
          <t>Organic</t>
        </is>
      </c>
      <c r="F280" s="40" t="inlineStr">
        <is>
          <t>Desktop</t>
        </is>
      </c>
      <c r="G280" s="40" t="inlineStr">
        <is>
          <t>Austria</t>
        </is>
      </c>
      <c r="H280" s="40" t="n">
        <v>12</v>
      </c>
      <c r="I280" s="40" t="inlineStr">
        <is>
          <t>Purchases</t>
        </is>
      </c>
      <c r="J280" s="40" t="inlineStr">
        <is>
          <t>1-23 August 2025</t>
        </is>
      </c>
      <c r="K280" s="55" t="n">
        <v>147</v>
      </c>
      <c r="L280" s="40" t="inlineStr">
        <is>
          <t>CR 1-23 August 2025 + Search→Booking 1-23 August 2025</t>
        </is>
      </c>
      <c r="M280" s="40">
        <f>IF(Countries!AR285="","STILL MISSING","Filled ✓")</f>
        <v/>
      </c>
    </row>
    <row r="281">
      <c r="A281" s="56" t="inlineStr">
        <is>
          <t>Countries</t>
        </is>
      </c>
      <c r="B281" s="56" t="inlineStr">
        <is>
          <t>Q285</t>
        </is>
      </c>
      <c r="C281" s="56" t="n">
        <v>285</v>
      </c>
      <c r="D281" s="56" t="inlineStr">
        <is>
          <t>Airport page</t>
        </is>
      </c>
      <c r="E281" s="56" t="inlineStr">
        <is>
          <t>Organic</t>
        </is>
      </c>
      <c r="F281" s="56" t="inlineStr">
        <is>
          <t>Desktop</t>
        </is>
      </c>
      <c r="G281" s="56" t="inlineStr">
        <is>
          <t>Austria</t>
        </is>
      </c>
      <c r="H281" s="56" t="n">
        <v>12</v>
      </c>
      <c r="I281" s="56" t="inlineStr">
        <is>
          <t>Searches</t>
        </is>
      </c>
      <c r="J281" s="56" t="inlineStr">
        <is>
          <t>1-23 August 2026</t>
        </is>
      </c>
      <c r="K281" s="57" t="n">
        <v>147</v>
      </c>
      <c r="L281" s="56" t="inlineStr">
        <is>
          <t>Searches YoY</t>
        </is>
      </c>
      <c r="M281" s="40">
        <f>IF(Countries!Q285="","STILL MISSING","Filled ✓")</f>
        <v/>
      </c>
    </row>
    <row r="282">
      <c r="A282" s="40" t="inlineStr">
        <is>
          <t>Countries</t>
        </is>
      </c>
      <c r="B282" s="40" t="inlineStr">
        <is>
          <t>W285</t>
        </is>
      </c>
      <c r="C282" s="40" t="n">
        <v>285</v>
      </c>
      <c r="D282" s="40" t="inlineStr">
        <is>
          <t>Airport page</t>
        </is>
      </c>
      <c r="E282" s="40" t="inlineStr">
        <is>
          <t>Organic</t>
        </is>
      </c>
      <c r="F282" s="40" t="inlineStr">
        <is>
          <t>Desktop</t>
        </is>
      </c>
      <c r="G282" s="40" t="inlineStr">
        <is>
          <t>Austria</t>
        </is>
      </c>
      <c r="H282" s="40" t="n">
        <v>12</v>
      </c>
      <c r="I282" s="40" t="inlineStr">
        <is>
          <t>Select item</t>
        </is>
      </c>
      <c r="J282" s="40" t="inlineStr">
        <is>
          <t>1-23 August 2025</t>
        </is>
      </c>
      <c r="K282" s="55" t="n">
        <v>147</v>
      </c>
      <c r="L282" s="40" t="inlineStr">
        <is>
          <t>Search→Select 1-23 August 2025</t>
        </is>
      </c>
      <c r="M282" s="40">
        <f>IF(Countries!W285="","STILL MISSING","Filled ✓")</f>
        <v/>
      </c>
    </row>
    <row r="283">
      <c r="A283" s="56" t="inlineStr">
        <is>
          <t>Countries</t>
        </is>
      </c>
      <c r="B283" s="56" t="inlineStr">
        <is>
          <t>F285</t>
        </is>
      </c>
      <c r="C283" s="56" t="n">
        <v>285</v>
      </c>
      <c r="D283" s="56" t="inlineStr">
        <is>
          <t>Airport page</t>
        </is>
      </c>
      <c r="E283" s="56" t="inlineStr">
        <is>
          <t>Organic</t>
        </is>
      </c>
      <c r="F283" s="56" t="inlineStr">
        <is>
          <t>Desktop</t>
        </is>
      </c>
      <c r="G283" s="56" t="inlineStr">
        <is>
          <t>Austria</t>
        </is>
      </c>
      <c r="H283" s="56" t="n">
        <v>12</v>
      </c>
      <c r="I283" s="56" t="inlineStr">
        <is>
          <t>Sessions</t>
        </is>
      </c>
      <c r="J283" s="56" t="inlineStr">
        <is>
          <t>1-23 August 2026</t>
        </is>
      </c>
      <c r="K283" s="57" t="n">
        <v>147</v>
      </c>
      <c r="L283" s="56" t="inlineStr">
        <is>
          <t>Sessions YoY</t>
        </is>
      </c>
      <c r="M283" s="40">
        <f>IF(Countries!F285="","STILL MISSING","Filled ✓")</f>
        <v/>
      </c>
    </row>
    <row r="284">
      <c r="A284" s="40" t="inlineStr">
        <is>
          <t>Countries</t>
        </is>
      </c>
      <c r="B284" s="40" t="inlineStr">
        <is>
          <t>I285</t>
        </is>
      </c>
      <c r="C284" s="40" t="n">
        <v>285</v>
      </c>
      <c r="D284" s="40" t="inlineStr">
        <is>
          <t>Airport page</t>
        </is>
      </c>
      <c r="E284" s="40" t="inlineStr">
        <is>
          <t>Organic</t>
        </is>
      </c>
      <c r="F284" s="40" t="inlineStr">
        <is>
          <t>Desktop</t>
        </is>
      </c>
      <c r="G284" s="40" t="inlineStr">
        <is>
          <t>Austria</t>
        </is>
      </c>
      <c r="H284" s="40" t="n">
        <v>12</v>
      </c>
      <c r="I284" s="40" t="inlineStr">
        <is>
          <t>Start Search</t>
        </is>
      </c>
      <c r="J284" s="40" t="inlineStr">
        <is>
          <t>1-23 August 2025</t>
        </is>
      </c>
      <c r="K284" s="55" t="n">
        <v>147</v>
      </c>
      <c r="L284" s="40" t="inlineStr">
        <is>
          <t>Visit→Engagement 1-23 August 2025</t>
        </is>
      </c>
      <c r="M284" s="40">
        <f>IF(Countries!I285="","STILL MISSING","Filled ✓")</f>
        <v/>
      </c>
    </row>
    <row r="285">
      <c r="A285" s="56" t="inlineStr">
        <is>
          <t>Countries</t>
        </is>
      </c>
      <c r="B285" s="56" t="inlineStr">
        <is>
          <t>AR269</t>
        </is>
      </c>
      <c r="C285" s="56" t="n">
        <v>269</v>
      </c>
      <c r="D285" s="56" t="inlineStr">
        <is>
          <t>Airport page</t>
        </is>
      </c>
      <c r="E285" s="56" t="inlineStr">
        <is>
          <t>Organic</t>
        </is>
      </c>
      <c r="F285" s="56" t="inlineStr">
        <is>
          <t>Mobile</t>
        </is>
      </c>
      <c r="G285" s="56" t="inlineStr">
        <is>
          <t>Austria</t>
        </is>
      </c>
      <c r="H285" s="56" t="n">
        <v>12</v>
      </c>
      <c r="I285" s="56" t="inlineStr">
        <is>
          <t>Purchases</t>
        </is>
      </c>
      <c r="J285" s="56" t="inlineStr">
        <is>
          <t>1-23 August 2025</t>
        </is>
      </c>
      <c r="K285" s="57" t="n">
        <v>212</v>
      </c>
      <c r="L285" s="56" t="inlineStr">
        <is>
          <t>CR 1-23 August 2025</t>
        </is>
      </c>
      <c r="M285" s="40">
        <f>IF(Countries!AR269="","STILL MISSING","Filled ✓")</f>
        <v/>
      </c>
    </row>
    <row r="286">
      <c r="A286" s="40" t="inlineStr">
        <is>
          <t>Countries</t>
        </is>
      </c>
      <c r="B286" s="40" t="inlineStr">
        <is>
          <t>P269</t>
        </is>
      </c>
      <c r="C286" s="40" t="n">
        <v>269</v>
      </c>
      <c r="D286" s="40" t="inlineStr">
        <is>
          <t>Airport page</t>
        </is>
      </c>
      <c r="E286" s="40" t="inlineStr">
        <is>
          <t>Organic</t>
        </is>
      </c>
      <c r="F286" s="40" t="inlineStr">
        <is>
          <t>Mobile</t>
        </is>
      </c>
      <c r="G286" s="40" t="inlineStr">
        <is>
          <t>Austria</t>
        </is>
      </c>
      <c r="H286" s="40" t="n">
        <v>12</v>
      </c>
      <c r="I286" s="40" t="inlineStr">
        <is>
          <t>Searches</t>
        </is>
      </c>
      <c r="J286" s="40" t="inlineStr">
        <is>
          <t>1-23 August 2025</t>
        </is>
      </c>
      <c r="K286" s="55" t="n">
        <v>212</v>
      </c>
      <c r="L286" s="40" t="inlineStr">
        <is>
          <t>Visit→Search 1-23 August 2025</t>
        </is>
      </c>
      <c r="M286" s="40">
        <f>IF(Countries!P269="","STILL MISSING","Filled ✓")</f>
        <v/>
      </c>
    </row>
    <row r="287">
      <c r="A287" s="56" t="inlineStr">
        <is>
          <t>Countries</t>
        </is>
      </c>
      <c r="B287" s="56" t="inlineStr">
        <is>
          <t>F269</t>
        </is>
      </c>
      <c r="C287" s="56" t="n">
        <v>269</v>
      </c>
      <c r="D287" s="56" t="inlineStr">
        <is>
          <t>Airport page</t>
        </is>
      </c>
      <c r="E287" s="56" t="inlineStr">
        <is>
          <t>Organic</t>
        </is>
      </c>
      <c r="F287" s="56" t="inlineStr">
        <is>
          <t>Mobile</t>
        </is>
      </c>
      <c r="G287" s="56" t="inlineStr">
        <is>
          <t>Austria</t>
        </is>
      </c>
      <c r="H287" s="56" t="n">
        <v>12</v>
      </c>
      <c r="I287" s="56" t="inlineStr">
        <is>
          <t>Sessions</t>
        </is>
      </c>
      <c r="J287" s="56" t="inlineStr">
        <is>
          <t>1-23 August 2026</t>
        </is>
      </c>
      <c r="K287" s="57" t="n">
        <v>212</v>
      </c>
      <c r="L287" s="56" t="inlineStr">
        <is>
          <t>Sessions YoY</t>
        </is>
      </c>
      <c r="M287" s="40">
        <f>IF(Countries!F269="","STILL MISSING","Filled ✓")</f>
        <v/>
      </c>
    </row>
    <row r="288">
      <c r="A288" s="40" t="inlineStr">
        <is>
          <t>Countries</t>
        </is>
      </c>
      <c r="B288" s="40" t="inlineStr">
        <is>
          <t>I269</t>
        </is>
      </c>
      <c r="C288" s="40" t="n">
        <v>269</v>
      </c>
      <c r="D288" s="40" t="inlineStr">
        <is>
          <t>Airport page</t>
        </is>
      </c>
      <c r="E288" s="40" t="inlineStr">
        <is>
          <t>Organic</t>
        </is>
      </c>
      <c r="F288" s="40" t="inlineStr">
        <is>
          <t>Mobile</t>
        </is>
      </c>
      <c r="G288" s="40" t="inlineStr">
        <is>
          <t>Austria</t>
        </is>
      </c>
      <c r="H288" s="40" t="n">
        <v>12</v>
      </c>
      <c r="I288" s="40" t="inlineStr">
        <is>
          <t>Start Search</t>
        </is>
      </c>
      <c r="J288" s="40" t="inlineStr">
        <is>
          <t>1-23 August 2025</t>
        </is>
      </c>
      <c r="K288" s="55" t="n">
        <v>212</v>
      </c>
      <c r="L288" s="40" t="inlineStr">
        <is>
          <t>Visit→Engagement 1-23 August 2025</t>
        </is>
      </c>
      <c r="M288" s="40">
        <f>IF(Countries!I269="","STILL MISSING","Filled ✓")</f>
        <v/>
      </c>
    </row>
    <row r="289">
      <c r="A289" s="56" t="inlineStr">
        <is>
          <t>Countries</t>
        </is>
      </c>
      <c r="B289" s="56" t="inlineStr">
        <is>
          <t>AS318</t>
        </is>
      </c>
      <c r="C289" s="56" t="n">
        <v>318</v>
      </c>
      <c r="D289" s="56" t="inlineStr">
        <is>
          <t>Airport page</t>
        </is>
      </c>
      <c r="E289" s="56" t="inlineStr">
        <is>
          <t>Direct</t>
        </is>
      </c>
      <c r="F289" s="56" t="inlineStr">
        <is>
          <t>Desktop</t>
        </is>
      </c>
      <c r="G289" s="56" t="inlineStr">
        <is>
          <t>Austria</t>
        </is>
      </c>
      <c r="H289" s="56" t="n">
        <v>12</v>
      </c>
      <c r="I289" s="56" t="inlineStr">
        <is>
          <t>Purchases</t>
        </is>
      </c>
      <c r="J289" s="56" t="inlineStr">
        <is>
          <t>1-23 August 2026</t>
        </is>
      </c>
      <c r="K289" s="57" t="n">
        <v>102</v>
      </c>
      <c r="L289" s="56" t="inlineStr">
        <is>
          <t>CR 1-23 August 2026 + Search→Booking 1-23 August 2026</t>
        </is>
      </c>
      <c r="M289" s="40">
        <f>IF(Countries!AS318="","STILL MISSING","Filled ✓")</f>
        <v/>
      </c>
    </row>
    <row r="290">
      <c r="A290" s="40" t="inlineStr">
        <is>
          <t>Countries</t>
        </is>
      </c>
      <c r="B290" s="40" t="inlineStr">
        <is>
          <t>P318</t>
        </is>
      </c>
      <c r="C290" s="40" t="n">
        <v>318</v>
      </c>
      <c r="D290" s="40" t="inlineStr">
        <is>
          <t>Airport page</t>
        </is>
      </c>
      <c r="E290" s="40" t="inlineStr">
        <is>
          <t>Direct</t>
        </is>
      </c>
      <c r="F290" s="40" t="inlineStr">
        <is>
          <t>Desktop</t>
        </is>
      </c>
      <c r="G290" s="40" t="inlineStr">
        <is>
          <t>Austria</t>
        </is>
      </c>
      <c r="H290" s="40" t="n">
        <v>12</v>
      </c>
      <c r="I290" s="40" t="inlineStr">
        <is>
          <t>Searches</t>
        </is>
      </c>
      <c r="J290" s="40" t="inlineStr">
        <is>
          <t>1-23 August 2025</t>
        </is>
      </c>
      <c r="K290" s="55" t="n">
        <v>102</v>
      </c>
      <c r="L290" s="40" t="inlineStr">
        <is>
          <t>Searches YoY</t>
        </is>
      </c>
      <c r="M290" s="40">
        <f>IF(Countries!P318="","STILL MISSING","Filled ✓")</f>
        <v/>
      </c>
    </row>
    <row r="291">
      <c r="A291" s="56" t="inlineStr">
        <is>
          <t>Countries</t>
        </is>
      </c>
      <c r="B291" s="56" t="inlineStr">
        <is>
          <t>X318</t>
        </is>
      </c>
      <c r="C291" s="56" t="n">
        <v>318</v>
      </c>
      <c r="D291" s="56" t="inlineStr">
        <is>
          <t>Airport page</t>
        </is>
      </c>
      <c r="E291" s="56" t="inlineStr">
        <is>
          <t>Direct</t>
        </is>
      </c>
      <c r="F291" s="56" t="inlineStr">
        <is>
          <t>Desktop</t>
        </is>
      </c>
      <c r="G291" s="56" t="inlineStr">
        <is>
          <t>Austria</t>
        </is>
      </c>
      <c r="H291" s="56" t="n">
        <v>12</v>
      </c>
      <c r="I291" s="56" t="inlineStr">
        <is>
          <t>Select item</t>
        </is>
      </c>
      <c r="J291" s="56" t="inlineStr">
        <is>
          <t>1-23 August 2026</t>
        </is>
      </c>
      <c r="K291" s="57" t="n">
        <v>102</v>
      </c>
      <c r="L291" s="56" t="inlineStr">
        <is>
          <t>Search→Select 1-23 August 2026</t>
        </is>
      </c>
      <c r="M291" s="40">
        <f>IF(Countries!X318="","STILL MISSING","Filled ✓")</f>
        <v/>
      </c>
    </row>
    <row r="292">
      <c r="A292" s="40" t="inlineStr">
        <is>
          <t>Countries</t>
        </is>
      </c>
      <c r="B292" s="40" t="inlineStr">
        <is>
          <t>E318</t>
        </is>
      </c>
      <c r="C292" s="40" t="n">
        <v>318</v>
      </c>
      <c r="D292" s="40" t="inlineStr">
        <is>
          <t>Airport page</t>
        </is>
      </c>
      <c r="E292" s="40" t="inlineStr">
        <is>
          <t>Direct</t>
        </is>
      </c>
      <c r="F292" s="40" t="inlineStr">
        <is>
          <t>Desktop</t>
        </is>
      </c>
      <c r="G292" s="40" t="inlineStr">
        <is>
          <t>Austria</t>
        </is>
      </c>
      <c r="H292" s="40" t="n">
        <v>12</v>
      </c>
      <c r="I292" s="40" t="inlineStr">
        <is>
          <t>Sessions</t>
        </is>
      </c>
      <c r="J292" s="40" t="inlineStr">
        <is>
          <t>1-23 August 2025</t>
        </is>
      </c>
      <c r="K292" s="55" t="n">
        <v>102</v>
      </c>
      <c r="L292" s="40" t="inlineStr">
        <is>
          <t>Sessions YoY</t>
        </is>
      </c>
      <c r="M292" s="40">
        <f>IF(Countries!E318="","STILL MISSING","Filled ✓")</f>
        <v/>
      </c>
    </row>
    <row r="293">
      <c r="A293" s="56" t="inlineStr">
        <is>
          <t>Countries</t>
        </is>
      </c>
      <c r="B293" s="56" t="inlineStr">
        <is>
          <t>J318</t>
        </is>
      </c>
      <c r="C293" s="56" t="n">
        <v>318</v>
      </c>
      <c r="D293" s="56" t="inlineStr">
        <is>
          <t>Airport page</t>
        </is>
      </c>
      <c r="E293" s="56" t="inlineStr">
        <is>
          <t>Direct</t>
        </is>
      </c>
      <c r="F293" s="56" t="inlineStr">
        <is>
          <t>Desktop</t>
        </is>
      </c>
      <c r="G293" s="56" t="inlineStr">
        <is>
          <t>Austria</t>
        </is>
      </c>
      <c r="H293" s="56" t="n">
        <v>12</v>
      </c>
      <c r="I293" s="56" t="inlineStr">
        <is>
          <t>Start Search</t>
        </is>
      </c>
      <c r="J293" s="56" t="inlineStr">
        <is>
          <t>1-23 August 2026</t>
        </is>
      </c>
      <c r="K293" s="57" t="n">
        <v>102</v>
      </c>
      <c r="L293" s="56" t="inlineStr">
        <is>
          <t>Visit→Engagement 1-23 August 2026</t>
        </is>
      </c>
      <c r="M293" s="40">
        <f>IF(Countries!J318="","STILL MISSING","Filled ✓")</f>
        <v/>
      </c>
    </row>
    <row r="294">
      <c r="A294" s="40" t="inlineStr">
        <is>
          <t>Countries</t>
        </is>
      </c>
      <c r="B294" s="40" t="inlineStr">
        <is>
          <t>AR302</t>
        </is>
      </c>
      <c r="C294" s="40" t="n">
        <v>302</v>
      </c>
      <c r="D294" s="40" t="inlineStr">
        <is>
          <t>Airport page</t>
        </is>
      </c>
      <c r="E294" s="40" t="inlineStr">
        <is>
          <t>Direct</t>
        </is>
      </c>
      <c r="F294" s="40" t="inlineStr">
        <is>
          <t>Mobile</t>
        </is>
      </c>
      <c r="G294" s="40" t="inlineStr">
        <is>
          <t>Austria</t>
        </is>
      </c>
      <c r="H294" s="40" t="n">
        <v>12</v>
      </c>
      <c r="I294" s="40" t="inlineStr">
        <is>
          <t>Purchases</t>
        </is>
      </c>
      <c r="J294" s="40" t="inlineStr">
        <is>
          <t>1-23 August 2025</t>
        </is>
      </c>
      <c r="K294" s="55" t="n">
        <v>25</v>
      </c>
      <c r="L294" s="40" t="inlineStr">
        <is>
          <t>CR 1-23 August 2025 + Search→Booking 1-23 August 2025</t>
        </is>
      </c>
      <c r="M294" s="40">
        <f>IF(Countries!AR302="","STILL MISSING","Filled ✓")</f>
        <v/>
      </c>
    </row>
    <row r="295">
      <c r="A295" s="56" t="inlineStr">
        <is>
          <t>Countries</t>
        </is>
      </c>
      <c r="B295" s="56" t="inlineStr">
        <is>
          <t>Q302</t>
        </is>
      </c>
      <c r="C295" s="56" t="n">
        <v>302</v>
      </c>
      <c r="D295" s="56" t="inlineStr">
        <is>
          <t>Airport page</t>
        </is>
      </c>
      <c r="E295" s="56" t="inlineStr">
        <is>
          <t>Direct</t>
        </is>
      </c>
      <c r="F295" s="56" t="inlineStr">
        <is>
          <t>Mobile</t>
        </is>
      </c>
      <c r="G295" s="56" t="inlineStr">
        <is>
          <t>Austria</t>
        </is>
      </c>
      <c r="H295" s="56" t="n">
        <v>12</v>
      </c>
      <c r="I295" s="56" t="inlineStr">
        <is>
          <t>Searches</t>
        </is>
      </c>
      <c r="J295" s="56" t="inlineStr">
        <is>
          <t>1-23 August 2026</t>
        </is>
      </c>
      <c r="K295" s="57" t="n">
        <v>25</v>
      </c>
      <c r="L295" s="56" t="inlineStr">
        <is>
          <t>Searches YoY</t>
        </is>
      </c>
      <c r="M295" s="40">
        <f>IF(Countries!Q302="","STILL MISSING","Filled ✓")</f>
        <v/>
      </c>
    </row>
    <row r="296">
      <c r="A296" s="40" t="inlineStr">
        <is>
          <t>Countries</t>
        </is>
      </c>
      <c r="B296" s="40" t="inlineStr">
        <is>
          <t>W302</t>
        </is>
      </c>
      <c r="C296" s="40" t="n">
        <v>302</v>
      </c>
      <c r="D296" s="40" t="inlineStr">
        <is>
          <t>Airport page</t>
        </is>
      </c>
      <c r="E296" s="40" t="inlineStr">
        <is>
          <t>Direct</t>
        </is>
      </c>
      <c r="F296" s="40" t="inlineStr">
        <is>
          <t>Mobile</t>
        </is>
      </c>
      <c r="G296" s="40" t="inlineStr">
        <is>
          <t>Austria</t>
        </is>
      </c>
      <c r="H296" s="40" t="n">
        <v>12</v>
      </c>
      <c r="I296" s="40" t="inlineStr">
        <is>
          <t>Select item</t>
        </is>
      </c>
      <c r="J296" s="40" t="inlineStr">
        <is>
          <t>1-23 August 2025</t>
        </is>
      </c>
      <c r="K296" s="55" t="n">
        <v>25</v>
      </c>
      <c r="L296" s="40" t="inlineStr">
        <is>
          <t>Search→Select 1-23 August 2025</t>
        </is>
      </c>
      <c r="M296" s="40">
        <f>IF(Countries!W302="","STILL MISSING","Filled ✓")</f>
        <v/>
      </c>
    </row>
    <row r="297">
      <c r="A297" s="56" t="inlineStr">
        <is>
          <t>Countries</t>
        </is>
      </c>
      <c r="B297" s="56" t="inlineStr">
        <is>
          <t>F302</t>
        </is>
      </c>
      <c r="C297" s="56" t="n">
        <v>302</v>
      </c>
      <c r="D297" s="56" t="inlineStr">
        <is>
          <t>Airport page</t>
        </is>
      </c>
      <c r="E297" s="56" t="inlineStr">
        <is>
          <t>Direct</t>
        </is>
      </c>
      <c r="F297" s="56" t="inlineStr">
        <is>
          <t>Mobile</t>
        </is>
      </c>
      <c r="G297" s="56" t="inlineStr">
        <is>
          <t>Austria</t>
        </is>
      </c>
      <c r="H297" s="56" t="n">
        <v>12</v>
      </c>
      <c r="I297" s="56" t="inlineStr">
        <is>
          <t>Sessions</t>
        </is>
      </c>
      <c r="J297" s="56" t="inlineStr">
        <is>
          <t>1-23 August 2026</t>
        </is>
      </c>
      <c r="K297" s="57" t="n">
        <v>25</v>
      </c>
      <c r="L297" s="56" t="inlineStr">
        <is>
          <t>Sessions YoY</t>
        </is>
      </c>
      <c r="M297" s="40">
        <f>IF(Countries!F302="","STILL MISSING","Filled ✓")</f>
        <v/>
      </c>
    </row>
    <row r="298">
      <c r="A298" s="40" t="inlineStr">
        <is>
          <t>Countries</t>
        </is>
      </c>
      <c r="B298" s="40" t="inlineStr">
        <is>
          <t>I302</t>
        </is>
      </c>
      <c r="C298" s="40" t="n">
        <v>302</v>
      </c>
      <c r="D298" s="40" t="inlineStr">
        <is>
          <t>Airport page</t>
        </is>
      </c>
      <c r="E298" s="40" t="inlineStr">
        <is>
          <t>Direct</t>
        </is>
      </c>
      <c r="F298" s="40" t="inlineStr">
        <is>
          <t>Mobile</t>
        </is>
      </c>
      <c r="G298" s="40" t="inlineStr">
        <is>
          <t>Austria</t>
        </is>
      </c>
      <c r="H298" s="40" t="n">
        <v>12</v>
      </c>
      <c r="I298" s="40" t="inlineStr">
        <is>
          <t>Start Search</t>
        </is>
      </c>
      <c r="J298" s="40" t="inlineStr">
        <is>
          <t>1-23 August 2025</t>
        </is>
      </c>
      <c r="K298" s="55" t="n">
        <v>25</v>
      </c>
      <c r="L298" s="40" t="inlineStr">
        <is>
          <t>Visit→Engagement 1-23 August 2025</t>
        </is>
      </c>
      <c r="M298" s="40">
        <f>IF(Countries!I302="","STILL MISSING","Filled ✓")</f>
        <v/>
      </c>
    </row>
    <row r="299">
      <c r="A299" s="56" t="inlineStr">
        <is>
          <t>Countries</t>
        </is>
      </c>
      <c r="B299" s="56" t="inlineStr">
        <is>
          <t>AR353</t>
        </is>
      </c>
      <c r="C299" s="56" t="n">
        <v>353</v>
      </c>
      <c r="D299" s="56" t="inlineStr">
        <is>
          <t>Route page</t>
        </is>
      </c>
      <c r="E299" s="56" t="inlineStr">
        <is>
          <t>Paid Search</t>
        </is>
      </c>
      <c r="F299" s="56" t="inlineStr">
        <is>
          <t>Desktop</t>
        </is>
      </c>
      <c r="G299" s="56" t="inlineStr">
        <is>
          <t>Austria</t>
        </is>
      </c>
      <c r="H299" s="56" t="n">
        <v>12</v>
      </c>
      <c r="I299" s="56" t="inlineStr">
        <is>
          <t>Purchases</t>
        </is>
      </c>
      <c r="J299" s="56" t="inlineStr">
        <is>
          <t>1-23 August 2025</t>
        </is>
      </c>
      <c r="K299" s="57" t="n">
        <v>327</v>
      </c>
      <c r="L299" s="56" t="inlineStr">
        <is>
          <t>CR 1-23 August 2025 + Search→Booking 1-23 August 2025</t>
        </is>
      </c>
      <c r="M299" s="40">
        <f>IF(Countries!AR353="","STILL MISSING","Filled ✓")</f>
        <v/>
      </c>
    </row>
    <row r="300">
      <c r="A300" s="40" t="inlineStr">
        <is>
          <t>Countries</t>
        </is>
      </c>
      <c r="B300" s="40" t="inlineStr">
        <is>
          <t>AS353</t>
        </is>
      </c>
      <c r="C300" s="40" t="n">
        <v>353</v>
      </c>
      <c r="D300" s="40" t="inlineStr">
        <is>
          <t>Route page</t>
        </is>
      </c>
      <c r="E300" s="40" t="inlineStr">
        <is>
          <t>Paid Search</t>
        </is>
      </c>
      <c r="F300" s="40" t="inlineStr">
        <is>
          <t>Desktop</t>
        </is>
      </c>
      <c r="G300" s="40" t="inlineStr">
        <is>
          <t>Austria</t>
        </is>
      </c>
      <c r="H300" s="40" t="n">
        <v>12</v>
      </c>
      <c r="I300" s="40" t="inlineStr">
        <is>
          <t>Purchases</t>
        </is>
      </c>
      <c r="J300" s="40" t="inlineStr">
        <is>
          <t>1-23 August 2026</t>
        </is>
      </c>
      <c r="K300" s="55" t="n">
        <v>327</v>
      </c>
      <c r="L300" s="40" t="inlineStr">
        <is>
          <t>CR 1-23 August 2026 + Search→Booking 1-23 August 2026</t>
        </is>
      </c>
      <c r="M300" s="40">
        <f>IF(Countries!AS353="","STILL MISSING","Filled ✓")</f>
        <v/>
      </c>
    </row>
    <row r="301">
      <c r="A301" s="56" t="inlineStr">
        <is>
          <t>Countries</t>
        </is>
      </c>
      <c r="B301" s="56" t="inlineStr">
        <is>
          <t>W353</t>
        </is>
      </c>
      <c r="C301" s="56" t="n">
        <v>353</v>
      </c>
      <c r="D301" s="56" t="inlineStr">
        <is>
          <t>Route page</t>
        </is>
      </c>
      <c r="E301" s="56" t="inlineStr">
        <is>
          <t>Paid Search</t>
        </is>
      </c>
      <c r="F301" s="56" t="inlineStr">
        <is>
          <t>Desktop</t>
        </is>
      </c>
      <c r="G301" s="56" t="inlineStr">
        <is>
          <t>Austria</t>
        </is>
      </c>
      <c r="H301" s="56" t="n">
        <v>12</v>
      </c>
      <c r="I301" s="56" t="inlineStr">
        <is>
          <t>Select item</t>
        </is>
      </c>
      <c r="J301" s="56" t="inlineStr">
        <is>
          <t>1-23 August 2025</t>
        </is>
      </c>
      <c r="K301" s="57" t="n">
        <v>327</v>
      </c>
      <c r="L301" s="56" t="inlineStr">
        <is>
          <t>Search→Select 1-23 August 2025</t>
        </is>
      </c>
      <c r="M301" s="40">
        <f>IF(Countries!W353="","STILL MISSING","Filled ✓")</f>
        <v/>
      </c>
    </row>
    <row r="302">
      <c r="A302" s="40" t="inlineStr">
        <is>
          <t>Countries</t>
        </is>
      </c>
      <c r="B302" s="40" t="inlineStr">
        <is>
          <t>X353</t>
        </is>
      </c>
      <c r="C302" s="40" t="n">
        <v>353</v>
      </c>
      <c r="D302" s="40" t="inlineStr">
        <is>
          <t>Route page</t>
        </is>
      </c>
      <c r="E302" s="40" t="inlineStr">
        <is>
          <t>Paid Search</t>
        </is>
      </c>
      <c r="F302" s="40" t="inlineStr">
        <is>
          <t>Desktop</t>
        </is>
      </c>
      <c r="G302" s="40" t="inlineStr">
        <is>
          <t>Austria</t>
        </is>
      </c>
      <c r="H302" s="40" t="n">
        <v>12</v>
      </c>
      <c r="I302" s="40" t="inlineStr">
        <is>
          <t>Select item</t>
        </is>
      </c>
      <c r="J302" s="40" t="inlineStr">
        <is>
          <t>1-23 August 2026</t>
        </is>
      </c>
      <c r="K302" s="55" t="n">
        <v>327</v>
      </c>
      <c r="L302" s="40" t="inlineStr">
        <is>
          <t>Search→Select 1-23 August 2026</t>
        </is>
      </c>
      <c r="M302" s="40">
        <f>IF(Countries!X353="","STILL MISSING","Filled ✓")</f>
        <v/>
      </c>
    </row>
    <row r="303">
      <c r="A303" s="56" t="inlineStr">
        <is>
          <t>Countries</t>
        </is>
      </c>
      <c r="B303" s="56" t="inlineStr">
        <is>
          <t>I353</t>
        </is>
      </c>
      <c r="C303" s="56" t="n">
        <v>353</v>
      </c>
      <c r="D303" s="56" t="inlineStr">
        <is>
          <t>Route page</t>
        </is>
      </c>
      <c r="E303" s="56" t="inlineStr">
        <is>
          <t>Paid Search</t>
        </is>
      </c>
      <c r="F303" s="56" t="inlineStr">
        <is>
          <t>Desktop</t>
        </is>
      </c>
      <c r="G303" s="56" t="inlineStr">
        <is>
          <t>Austria</t>
        </is>
      </c>
      <c r="H303" s="56" t="n">
        <v>12</v>
      </c>
      <c r="I303" s="56" t="inlineStr">
        <is>
          <t>Start Search</t>
        </is>
      </c>
      <c r="J303" s="56" t="inlineStr">
        <is>
          <t>1-23 August 2025</t>
        </is>
      </c>
      <c r="K303" s="57" t="n">
        <v>327</v>
      </c>
      <c r="L303" s="56" t="inlineStr">
        <is>
          <t>Visit→Engagement 1-23 August 2025</t>
        </is>
      </c>
      <c r="M303" s="40">
        <f>IF(Countries!I353="","STILL MISSING","Filled ✓")</f>
        <v/>
      </c>
    </row>
    <row r="304">
      <c r="A304" s="40" t="inlineStr">
        <is>
          <t>Countries</t>
        </is>
      </c>
      <c r="B304" s="40" t="inlineStr">
        <is>
          <t>J353</t>
        </is>
      </c>
      <c r="C304" s="40" t="n">
        <v>353</v>
      </c>
      <c r="D304" s="40" t="inlineStr">
        <is>
          <t>Route page</t>
        </is>
      </c>
      <c r="E304" s="40" t="inlineStr">
        <is>
          <t>Paid Search</t>
        </is>
      </c>
      <c r="F304" s="40" t="inlineStr">
        <is>
          <t>Desktop</t>
        </is>
      </c>
      <c r="G304" s="40" t="inlineStr">
        <is>
          <t>Austria</t>
        </is>
      </c>
      <c r="H304" s="40" t="n">
        <v>12</v>
      </c>
      <c r="I304" s="40" t="inlineStr">
        <is>
          <t>Start Search</t>
        </is>
      </c>
      <c r="J304" s="40" t="inlineStr">
        <is>
          <t>1-23 August 2026</t>
        </is>
      </c>
      <c r="K304" s="55" t="n">
        <v>327</v>
      </c>
      <c r="L304" s="40" t="inlineStr">
        <is>
          <t>Visit→Engagement 1-23 August 2026</t>
        </is>
      </c>
      <c r="M304" s="40">
        <f>IF(Countries!J353="","STILL MISSING","Filled ✓")</f>
        <v/>
      </c>
    </row>
    <row r="305">
      <c r="A305" s="56" t="inlineStr">
        <is>
          <t>Countries</t>
        </is>
      </c>
      <c r="B305" s="56" t="inlineStr">
        <is>
          <t>AR335</t>
        </is>
      </c>
      <c r="C305" s="56" t="n">
        <v>335</v>
      </c>
      <c r="D305" s="56" t="inlineStr">
        <is>
          <t>Route page</t>
        </is>
      </c>
      <c r="E305" s="56" t="inlineStr">
        <is>
          <t>Paid Search</t>
        </is>
      </c>
      <c r="F305" s="56" t="inlineStr">
        <is>
          <t>Mobile</t>
        </is>
      </c>
      <c r="G305" s="56" t="inlineStr">
        <is>
          <t>Austria</t>
        </is>
      </c>
      <c r="H305" s="56" t="n">
        <v>12</v>
      </c>
      <c r="I305" s="56" t="inlineStr">
        <is>
          <t>Purchases</t>
        </is>
      </c>
      <c r="J305" s="56" t="inlineStr">
        <is>
          <t>1-23 August 2025</t>
        </is>
      </c>
      <c r="K305" s="57" t="n">
        <v>453</v>
      </c>
      <c r="L305" s="56" t="inlineStr">
        <is>
          <t>CR 1-23 August 2025 + Search→Booking 1-23 August 2025</t>
        </is>
      </c>
      <c r="M305" s="40">
        <f>IF(Countries!AR335="","STILL MISSING","Filled ✓")</f>
        <v/>
      </c>
    </row>
    <row r="306">
      <c r="A306" s="40" t="inlineStr">
        <is>
          <t>Countries</t>
        </is>
      </c>
      <c r="B306" s="40" t="inlineStr">
        <is>
          <t>AS335</t>
        </is>
      </c>
      <c r="C306" s="40" t="n">
        <v>335</v>
      </c>
      <c r="D306" s="40" t="inlineStr">
        <is>
          <t>Route page</t>
        </is>
      </c>
      <c r="E306" s="40" t="inlineStr">
        <is>
          <t>Paid Search</t>
        </is>
      </c>
      <c r="F306" s="40" t="inlineStr">
        <is>
          <t>Mobile</t>
        </is>
      </c>
      <c r="G306" s="40" t="inlineStr">
        <is>
          <t>Austria</t>
        </is>
      </c>
      <c r="H306" s="40" t="n">
        <v>12</v>
      </c>
      <c r="I306" s="40" t="inlineStr">
        <is>
          <t>Purchases</t>
        </is>
      </c>
      <c r="J306" s="40" t="inlineStr">
        <is>
          <t>1-23 August 2026</t>
        </is>
      </c>
      <c r="K306" s="55" t="n">
        <v>453</v>
      </c>
      <c r="L306" s="40" t="inlineStr">
        <is>
          <t>CR 1-23 August 2026 + Search→Booking 1-23 August 2026</t>
        </is>
      </c>
      <c r="M306" s="40">
        <f>IF(Countries!AS335="","STILL MISSING","Filled ✓")</f>
        <v/>
      </c>
    </row>
    <row r="307">
      <c r="A307" s="56" t="inlineStr">
        <is>
          <t>Countries</t>
        </is>
      </c>
      <c r="B307" s="56" t="inlineStr">
        <is>
          <t>W335</t>
        </is>
      </c>
      <c r="C307" s="56" t="n">
        <v>335</v>
      </c>
      <c r="D307" s="56" t="inlineStr">
        <is>
          <t>Route page</t>
        </is>
      </c>
      <c r="E307" s="56" t="inlineStr">
        <is>
          <t>Paid Search</t>
        </is>
      </c>
      <c r="F307" s="56" t="inlineStr">
        <is>
          <t>Mobile</t>
        </is>
      </c>
      <c r="G307" s="56" t="inlineStr">
        <is>
          <t>Austria</t>
        </is>
      </c>
      <c r="H307" s="56" t="n">
        <v>12</v>
      </c>
      <c r="I307" s="56" t="inlineStr">
        <is>
          <t>Select item</t>
        </is>
      </c>
      <c r="J307" s="56" t="inlineStr">
        <is>
          <t>1-23 August 2025</t>
        </is>
      </c>
      <c r="K307" s="57" t="n">
        <v>453</v>
      </c>
      <c r="L307" s="56" t="inlineStr">
        <is>
          <t>Search→Select 1-23 August 2025</t>
        </is>
      </c>
      <c r="M307" s="40">
        <f>IF(Countries!W335="","STILL MISSING","Filled ✓")</f>
        <v/>
      </c>
    </row>
    <row r="308">
      <c r="A308" s="40" t="inlineStr">
        <is>
          <t>Countries</t>
        </is>
      </c>
      <c r="B308" s="40" t="inlineStr">
        <is>
          <t>X335</t>
        </is>
      </c>
      <c r="C308" s="40" t="n">
        <v>335</v>
      </c>
      <c r="D308" s="40" t="inlineStr">
        <is>
          <t>Route page</t>
        </is>
      </c>
      <c r="E308" s="40" t="inlineStr">
        <is>
          <t>Paid Search</t>
        </is>
      </c>
      <c r="F308" s="40" t="inlineStr">
        <is>
          <t>Mobile</t>
        </is>
      </c>
      <c r="G308" s="40" t="inlineStr">
        <is>
          <t>Austria</t>
        </is>
      </c>
      <c r="H308" s="40" t="n">
        <v>12</v>
      </c>
      <c r="I308" s="40" t="inlineStr">
        <is>
          <t>Select item</t>
        </is>
      </c>
      <c r="J308" s="40" t="inlineStr">
        <is>
          <t>1-23 August 2026</t>
        </is>
      </c>
      <c r="K308" s="55" t="n">
        <v>453</v>
      </c>
      <c r="L308" s="40" t="inlineStr">
        <is>
          <t>Search→Select 1-23 August 2026</t>
        </is>
      </c>
      <c r="M308" s="40">
        <f>IF(Countries!X335="","STILL MISSING","Filled ✓")</f>
        <v/>
      </c>
    </row>
    <row r="309">
      <c r="A309" s="56" t="inlineStr">
        <is>
          <t>Countries</t>
        </is>
      </c>
      <c r="B309" s="56" t="inlineStr">
        <is>
          <t>I335</t>
        </is>
      </c>
      <c r="C309" s="56" t="n">
        <v>335</v>
      </c>
      <c r="D309" s="56" t="inlineStr">
        <is>
          <t>Route page</t>
        </is>
      </c>
      <c r="E309" s="56" t="inlineStr">
        <is>
          <t>Paid Search</t>
        </is>
      </c>
      <c r="F309" s="56" t="inlineStr">
        <is>
          <t>Mobile</t>
        </is>
      </c>
      <c r="G309" s="56" t="inlineStr">
        <is>
          <t>Austria</t>
        </is>
      </c>
      <c r="H309" s="56" t="n">
        <v>12</v>
      </c>
      <c r="I309" s="56" t="inlineStr">
        <is>
          <t>Start Search</t>
        </is>
      </c>
      <c r="J309" s="56" t="inlineStr">
        <is>
          <t>1-23 August 2025</t>
        </is>
      </c>
      <c r="K309" s="57" t="n">
        <v>453</v>
      </c>
      <c r="L309" s="56" t="inlineStr">
        <is>
          <t>Visit→Engagement 1-23 August 2025</t>
        </is>
      </c>
      <c r="M309" s="40">
        <f>IF(Countries!I335="","STILL MISSING","Filled ✓")</f>
        <v/>
      </c>
    </row>
    <row r="310">
      <c r="A310" s="40" t="inlineStr">
        <is>
          <t>Countries</t>
        </is>
      </c>
      <c r="B310" s="40" t="inlineStr">
        <is>
          <t>J335</t>
        </is>
      </c>
      <c r="C310" s="40" t="n">
        <v>335</v>
      </c>
      <c r="D310" s="40" t="inlineStr">
        <is>
          <t>Route page</t>
        </is>
      </c>
      <c r="E310" s="40" t="inlineStr">
        <is>
          <t>Paid Search</t>
        </is>
      </c>
      <c r="F310" s="40" t="inlineStr">
        <is>
          <t>Mobile</t>
        </is>
      </c>
      <c r="G310" s="40" t="inlineStr">
        <is>
          <t>Austria</t>
        </is>
      </c>
      <c r="H310" s="40" t="n">
        <v>12</v>
      </c>
      <c r="I310" s="40" t="inlineStr">
        <is>
          <t>Start Search</t>
        </is>
      </c>
      <c r="J310" s="40" t="inlineStr">
        <is>
          <t>1-23 August 2026</t>
        </is>
      </c>
      <c r="K310" s="55" t="n">
        <v>453</v>
      </c>
      <c r="L310" s="40" t="inlineStr">
        <is>
          <t>Visit→Engagement 1-23 August 2026</t>
        </is>
      </c>
      <c r="M310" s="40">
        <f>IF(Countries!J335="","STILL MISSING","Filled ✓")</f>
        <v/>
      </c>
    </row>
    <row r="311">
      <c r="A311" s="56" t="inlineStr">
        <is>
          <t>Countries</t>
        </is>
      </c>
      <c r="B311" s="56" t="inlineStr">
        <is>
          <t>AR394</t>
        </is>
      </c>
      <c r="C311" s="56" t="n">
        <v>394</v>
      </c>
      <c r="D311" s="56" t="inlineStr">
        <is>
          <t>Route page</t>
        </is>
      </c>
      <c r="E311" s="56" t="inlineStr">
        <is>
          <t>Organic</t>
        </is>
      </c>
      <c r="F311" s="56" t="inlineStr">
        <is>
          <t>Desktop</t>
        </is>
      </c>
      <c r="G311" s="56" t="inlineStr">
        <is>
          <t>Austria</t>
        </is>
      </c>
      <c r="H311" s="56" t="n">
        <v>12</v>
      </c>
      <c r="I311" s="56" t="inlineStr">
        <is>
          <t>Purchases</t>
        </is>
      </c>
      <c r="J311" s="56" t="inlineStr">
        <is>
          <t>1-23 August 2025</t>
        </is>
      </c>
      <c r="K311" s="57" t="n">
        <v>122</v>
      </c>
      <c r="L311" s="56" t="inlineStr">
        <is>
          <t>Search→Booking 1-23 August 2025</t>
        </is>
      </c>
      <c r="M311" s="40">
        <f>IF(Countries!AR394="","STILL MISSING","Filled ✓")</f>
        <v/>
      </c>
    </row>
    <row r="312">
      <c r="A312" s="40" t="inlineStr">
        <is>
          <t>Countries</t>
        </is>
      </c>
      <c r="B312" s="40" t="inlineStr">
        <is>
          <t>Q394</t>
        </is>
      </c>
      <c r="C312" s="40" t="n">
        <v>394</v>
      </c>
      <c r="D312" s="40" t="inlineStr">
        <is>
          <t>Route page</t>
        </is>
      </c>
      <c r="E312" s="40" t="inlineStr">
        <is>
          <t>Organic</t>
        </is>
      </c>
      <c r="F312" s="40" t="inlineStr">
        <is>
          <t>Desktop</t>
        </is>
      </c>
      <c r="G312" s="40" t="inlineStr">
        <is>
          <t>Austria</t>
        </is>
      </c>
      <c r="H312" s="40" t="n">
        <v>12</v>
      </c>
      <c r="I312" s="40" t="inlineStr">
        <is>
          <t>Searches</t>
        </is>
      </c>
      <c r="J312" s="40" t="inlineStr">
        <is>
          <t>1-23 August 2026</t>
        </is>
      </c>
      <c r="K312" s="55" t="n">
        <v>122</v>
      </c>
      <c r="L312" s="40" t="inlineStr">
        <is>
          <t>Searches YoY</t>
        </is>
      </c>
      <c r="M312" s="40">
        <f>IF(Countries!Q394="","STILL MISSING","Filled ✓")</f>
        <v/>
      </c>
    </row>
    <row r="313">
      <c r="A313" s="56" t="inlineStr">
        <is>
          <t>Countries</t>
        </is>
      </c>
      <c r="B313" s="56" t="inlineStr">
        <is>
          <t>W394</t>
        </is>
      </c>
      <c r="C313" s="56" t="n">
        <v>394</v>
      </c>
      <c r="D313" s="56" t="inlineStr">
        <is>
          <t>Route page</t>
        </is>
      </c>
      <c r="E313" s="56" t="inlineStr">
        <is>
          <t>Organic</t>
        </is>
      </c>
      <c r="F313" s="56" t="inlineStr">
        <is>
          <t>Desktop</t>
        </is>
      </c>
      <c r="G313" s="56" t="inlineStr">
        <is>
          <t>Austria</t>
        </is>
      </c>
      <c r="H313" s="56" t="n">
        <v>12</v>
      </c>
      <c r="I313" s="56" t="inlineStr">
        <is>
          <t>Select item</t>
        </is>
      </c>
      <c r="J313" s="56" t="inlineStr">
        <is>
          <t>1-23 August 2025</t>
        </is>
      </c>
      <c r="K313" s="57" t="n">
        <v>122</v>
      </c>
      <c r="L313" s="56" t="inlineStr">
        <is>
          <t>Search→Select 1-23 August 2025</t>
        </is>
      </c>
      <c r="M313" s="40">
        <f>IF(Countries!W394="","STILL MISSING","Filled ✓")</f>
        <v/>
      </c>
    </row>
    <row r="314">
      <c r="A314" s="40" t="inlineStr">
        <is>
          <t>Countries</t>
        </is>
      </c>
      <c r="B314" s="40" t="inlineStr">
        <is>
          <t>E394</t>
        </is>
      </c>
      <c r="C314" s="40" t="n">
        <v>394</v>
      </c>
      <c r="D314" s="40" t="inlineStr">
        <is>
          <t>Route page</t>
        </is>
      </c>
      <c r="E314" s="40" t="inlineStr">
        <is>
          <t>Organic</t>
        </is>
      </c>
      <c r="F314" s="40" t="inlineStr">
        <is>
          <t>Desktop</t>
        </is>
      </c>
      <c r="G314" s="40" t="inlineStr">
        <is>
          <t>Austria</t>
        </is>
      </c>
      <c r="H314" s="40" t="n">
        <v>12</v>
      </c>
      <c r="I314" s="40" t="inlineStr">
        <is>
          <t>Sessions</t>
        </is>
      </c>
      <c r="J314" s="40" t="inlineStr">
        <is>
          <t>1-23 August 2025</t>
        </is>
      </c>
      <c r="K314" s="55" t="n">
        <v>122</v>
      </c>
      <c r="L314" s="40" t="inlineStr">
        <is>
          <t>Visit→Search 1-23 August 2025</t>
        </is>
      </c>
      <c r="M314" s="40">
        <f>IF(Countries!E394="","STILL MISSING","Filled ✓")</f>
        <v/>
      </c>
    </row>
    <row r="315">
      <c r="A315" s="56" t="inlineStr">
        <is>
          <t>Countries</t>
        </is>
      </c>
      <c r="B315" s="56" t="inlineStr">
        <is>
          <t>AS373</t>
        </is>
      </c>
      <c r="C315" s="56" t="n">
        <v>373</v>
      </c>
      <c r="D315" s="56" t="inlineStr">
        <is>
          <t>Route page</t>
        </is>
      </c>
      <c r="E315" s="56" t="inlineStr">
        <is>
          <t>Organic</t>
        </is>
      </c>
      <c r="F315" s="56" t="inlineStr">
        <is>
          <t>Mobile</t>
        </is>
      </c>
      <c r="G315" s="56" t="inlineStr">
        <is>
          <t>Austria</t>
        </is>
      </c>
      <c r="H315" s="56" t="n">
        <v>12</v>
      </c>
      <c r="I315" s="56" t="inlineStr">
        <is>
          <t>Purchases</t>
        </is>
      </c>
      <c r="J315" s="56" t="inlineStr">
        <is>
          <t>1-23 August 2026</t>
        </is>
      </c>
      <c r="K315" s="57" t="n">
        <v>407</v>
      </c>
      <c r="L315" s="56" t="inlineStr">
        <is>
          <t>CR 1-23 August 2026</t>
        </is>
      </c>
      <c r="M315" s="40">
        <f>IF(Countries!AS373="","STILL MISSING","Filled ✓")</f>
        <v/>
      </c>
    </row>
    <row r="316">
      <c r="A316" s="40" t="inlineStr">
        <is>
          <t>Countries</t>
        </is>
      </c>
      <c r="B316" s="40" t="inlineStr">
        <is>
          <t>Q373</t>
        </is>
      </c>
      <c r="C316" s="40" t="n">
        <v>373</v>
      </c>
      <c r="D316" s="40" t="inlineStr">
        <is>
          <t>Route page</t>
        </is>
      </c>
      <c r="E316" s="40" t="inlineStr">
        <is>
          <t>Organic</t>
        </is>
      </c>
      <c r="F316" s="40" t="inlineStr">
        <is>
          <t>Mobile</t>
        </is>
      </c>
      <c r="G316" s="40" t="inlineStr">
        <is>
          <t>Austria</t>
        </is>
      </c>
      <c r="H316" s="40" t="n">
        <v>12</v>
      </c>
      <c r="I316" s="40" t="inlineStr">
        <is>
          <t>Searches</t>
        </is>
      </c>
      <c r="J316" s="40" t="inlineStr">
        <is>
          <t>1-23 August 2026</t>
        </is>
      </c>
      <c r="K316" s="55" t="n">
        <v>407</v>
      </c>
      <c r="L316" s="40" t="inlineStr">
        <is>
          <t>Visit→Search 1-23 August 2026</t>
        </is>
      </c>
      <c r="M316" s="40">
        <f>IF(Countries!Q373="","STILL MISSING","Filled ✓")</f>
        <v/>
      </c>
    </row>
    <row r="317">
      <c r="A317" s="56" t="inlineStr">
        <is>
          <t>Countries</t>
        </is>
      </c>
      <c r="B317" s="56" t="inlineStr">
        <is>
          <t>E373</t>
        </is>
      </c>
      <c r="C317" s="56" t="n">
        <v>373</v>
      </c>
      <c r="D317" s="56" t="inlineStr">
        <is>
          <t>Route page</t>
        </is>
      </c>
      <c r="E317" s="56" t="inlineStr">
        <is>
          <t>Organic</t>
        </is>
      </c>
      <c r="F317" s="56" t="inlineStr">
        <is>
          <t>Mobile</t>
        </is>
      </c>
      <c r="G317" s="56" t="inlineStr">
        <is>
          <t>Austria</t>
        </is>
      </c>
      <c r="H317" s="56" t="n">
        <v>12</v>
      </c>
      <c r="I317" s="56" t="inlineStr">
        <is>
          <t>Sessions</t>
        </is>
      </c>
      <c r="J317" s="56" t="inlineStr">
        <is>
          <t>1-23 August 2025</t>
        </is>
      </c>
      <c r="K317" s="57" t="n">
        <v>407</v>
      </c>
      <c r="L317" s="56" t="inlineStr">
        <is>
          <t>Sessions YoY</t>
        </is>
      </c>
      <c r="M317" s="40">
        <f>IF(Countries!E373="","STILL MISSING","Filled ✓")</f>
        <v/>
      </c>
    </row>
    <row r="318">
      <c r="A318" s="40" t="inlineStr">
        <is>
          <t>Countries</t>
        </is>
      </c>
      <c r="B318" s="40" t="inlineStr">
        <is>
          <t>J373</t>
        </is>
      </c>
      <c r="C318" s="40" t="n">
        <v>373</v>
      </c>
      <c r="D318" s="40" t="inlineStr">
        <is>
          <t>Route page</t>
        </is>
      </c>
      <c r="E318" s="40" t="inlineStr">
        <is>
          <t>Organic</t>
        </is>
      </c>
      <c r="F318" s="40" t="inlineStr">
        <is>
          <t>Mobile</t>
        </is>
      </c>
      <c r="G318" s="40" t="inlineStr">
        <is>
          <t>Austria</t>
        </is>
      </c>
      <c r="H318" s="40" t="n">
        <v>12</v>
      </c>
      <c r="I318" s="40" t="inlineStr">
        <is>
          <t>Start Search</t>
        </is>
      </c>
      <c r="J318" s="40" t="inlineStr">
        <is>
          <t>1-23 August 2026</t>
        </is>
      </c>
      <c r="K318" s="55" t="n">
        <v>407</v>
      </c>
      <c r="L318" s="40" t="inlineStr">
        <is>
          <t>Visit→Engagement 1-23 August 2026</t>
        </is>
      </c>
      <c r="M318" s="40">
        <f>IF(Countries!J373="","STILL MISSING","Filled ✓")</f>
        <v/>
      </c>
    </row>
    <row r="319">
      <c r="A319" s="56" t="inlineStr">
        <is>
          <t>Countries</t>
        </is>
      </c>
      <c r="B319" s="56" t="inlineStr">
        <is>
          <t>AR427</t>
        </is>
      </c>
      <c r="C319" s="56" t="n">
        <v>427</v>
      </c>
      <c r="D319" s="56" t="inlineStr">
        <is>
          <t>Route page</t>
        </is>
      </c>
      <c r="E319" s="56" t="inlineStr">
        <is>
          <t>Direct</t>
        </is>
      </c>
      <c r="F319" s="56" t="inlineStr">
        <is>
          <t>Desktop</t>
        </is>
      </c>
      <c r="G319" s="56" t="inlineStr">
        <is>
          <t>Austria</t>
        </is>
      </c>
      <c r="H319" s="56" t="n">
        <v>12</v>
      </c>
      <c r="I319" s="56" t="inlineStr">
        <is>
          <t>Purchases</t>
        </is>
      </c>
      <c r="J319" s="56" t="inlineStr">
        <is>
          <t>1-23 August 2025</t>
        </is>
      </c>
      <c r="K319" s="57" t="n">
        <v>114</v>
      </c>
      <c r="L319" s="56" t="inlineStr">
        <is>
          <t>Search→Booking 1-23 August 2025</t>
        </is>
      </c>
      <c r="M319" s="40">
        <f>IF(Countries!AR427="","STILL MISSING","Filled ✓")</f>
        <v/>
      </c>
    </row>
    <row r="320">
      <c r="A320" s="40" t="inlineStr">
        <is>
          <t>Countries</t>
        </is>
      </c>
      <c r="B320" s="40" t="inlineStr">
        <is>
          <t>AS427</t>
        </is>
      </c>
      <c r="C320" s="40" t="n">
        <v>427</v>
      </c>
      <c r="D320" s="40" t="inlineStr">
        <is>
          <t>Route page</t>
        </is>
      </c>
      <c r="E320" s="40" t="inlineStr">
        <is>
          <t>Direct</t>
        </is>
      </c>
      <c r="F320" s="40" t="inlineStr">
        <is>
          <t>Desktop</t>
        </is>
      </c>
      <c r="G320" s="40" t="inlineStr">
        <is>
          <t>Austria</t>
        </is>
      </c>
      <c r="H320" s="40" t="n">
        <v>12</v>
      </c>
      <c r="I320" s="40" t="inlineStr">
        <is>
          <t>Purchases</t>
        </is>
      </c>
      <c r="J320" s="40" t="inlineStr">
        <is>
          <t>1-23 August 2026</t>
        </is>
      </c>
      <c r="K320" s="55" t="n">
        <v>114</v>
      </c>
      <c r="L320" s="40" t="inlineStr">
        <is>
          <t>CR 1-23 August 2026 + Search→Booking 1-23 August 2026</t>
        </is>
      </c>
      <c r="M320" s="40">
        <f>IF(Countries!AS427="","STILL MISSING","Filled ✓")</f>
        <v/>
      </c>
    </row>
    <row r="321">
      <c r="A321" s="56" t="inlineStr">
        <is>
          <t>Countries</t>
        </is>
      </c>
      <c r="B321" s="56" t="inlineStr">
        <is>
          <t>W427</t>
        </is>
      </c>
      <c r="C321" s="56" t="n">
        <v>427</v>
      </c>
      <c r="D321" s="56" t="inlineStr">
        <is>
          <t>Route page</t>
        </is>
      </c>
      <c r="E321" s="56" t="inlineStr">
        <is>
          <t>Direct</t>
        </is>
      </c>
      <c r="F321" s="56" t="inlineStr">
        <is>
          <t>Desktop</t>
        </is>
      </c>
      <c r="G321" s="56" t="inlineStr">
        <is>
          <t>Austria</t>
        </is>
      </c>
      <c r="H321" s="56" t="n">
        <v>12</v>
      </c>
      <c r="I321" s="56" t="inlineStr">
        <is>
          <t>Select item</t>
        </is>
      </c>
      <c r="J321" s="56" t="inlineStr">
        <is>
          <t>1-23 August 2025</t>
        </is>
      </c>
      <c r="K321" s="57" t="n">
        <v>114</v>
      </c>
      <c r="L321" s="56" t="inlineStr">
        <is>
          <t>Search→Select 1-23 August 2025</t>
        </is>
      </c>
      <c r="M321" s="40">
        <f>IF(Countries!W427="","STILL MISSING","Filled ✓")</f>
        <v/>
      </c>
    </row>
    <row r="322">
      <c r="A322" s="40" t="inlineStr">
        <is>
          <t>Countries</t>
        </is>
      </c>
      <c r="B322" s="40" t="inlineStr">
        <is>
          <t>X427</t>
        </is>
      </c>
      <c r="C322" s="40" t="n">
        <v>427</v>
      </c>
      <c r="D322" s="40" t="inlineStr">
        <is>
          <t>Route page</t>
        </is>
      </c>
      <c r="E322" s="40" t="inlineStr">
        <is>
          <t>Direct</t>
        </is>
      </c>
      <c r="F322" s="40" t="inlineStr">
        <is>
          <t>Desktop</t>
        </is>
      </c>
      <c r="G322" s="40" t="inlineStr">
        <is>
          <t>Austria</t>
        </is>
      </c>
      <c r="H322" s="40" t="n">
        <v>12</v>
      </c>
      <c r="I322" s="40" t="inlineStr">
        <is>
          <t>Select item</t>
        </is>
      </c>
      <c r="J322" s="40" t="inlineStr">
        <is>
          <t>1-23 August 2026</t>
        </is>
      </c>
      <c r="K322" s="55" t="n">
        <v>114</v>
      </c>
      <c r="L322" s="40" t="inlineStr">
        <is>
          <t>Search→Select 1-23 August 2026</t>
        </is>
      </c>
      <c r="M322" s="40">
        <f>IF(Countries!X427="","STILL MISSING","Filled ✓")</f>
        <v/>
      </c>
    </row>
    <row r="323">
      <c r="A323" s="56" t="inlineStr">
        <is>
          <t>Countries</t>
        </is>
      </c>
      <c r="B323" s="56" t="inlineStr">
        <is>
          <t>E427</t>
        </is>
      </c>
      <c r="C323" s="56" t="n">
        <v>427</v>
      </c>
      <c r="D323" s="56" t="inlineStr">
        <is>
          <t>Route page</t>
        </is>
      </c>
      <c r="E323" s="56" t="inlineStr">
        <is>
          <t>Direct</t>
        </is>
      </c>
      <c r="F323" s="56" t="inlineStr">
        <is>
          <t>Desktop</t>
        </is>
      </c>
      <c r="G323" s="56" t="inlineStr">
        <is>
          <t>Austria</t>
        </is>
      </c>
      <c r="H323" s="56" t="n">
        <v>12</v>
      </c>
      <c r="I323" s="56" t="inlineStr">
        <is>
          <t>Sessions</t>
        </is>
      </c>
      <c r="J323" s="56" t="inlineStr">
        <is>
          <t>1-23 August 2025</t>
        </is>
      </c>
      <c r="K323" s="57" t="n">
        <v>114</v>
      </c>
      <c r="L323" s="56" t="inlineStr">
        <is>
          <t>Sessions YoY + Visit→Search 1-23 August 2025</t>
        </is>
      </c>
      <c r="M323" s="40">
        <f>IF(Countries!E427="","STILL MISSING","Filled ✓")</f>
        <v/>
      </c>
    </row>
    <row r="324">
      <c r="A324" s="40" t="inlineStr">
        <is>
          <t>Countries</t>
        </is>
      </c>
      <c r="B324" s="40" t="inlineStr">
        <is>
          <t>J427</t>
        </is>
      </c>
      <c r="C324" s="40" t="n">
        <v>427</v>
      </c>
      <c r="D324" s="40" t="inlineStr">
        <is>
          <t>Route page</t>
        </is>
      </c>
      <c r="E324" s="40" t="inlineStr">
        <is>
          <t>Direct</t>
        </is>
      </c>
      <c r="F324" s="40" t="inlineStr">
        <is>
          <t>Desktop</t>
        </is>
      </c>
      <c r="G324" s="40" t="inlineStr">
        <is>
          <t>Austria</t>
        </is>
      </c>
      <c r="H324" s="40" t="n">
        <v>12</v>
      </c>
      <c r="I324" s="40" t="inlineStr">
        <is>
          <t>Start Search</t>
        </is>
      </c>
      <c r="J324" s="40" t="inlineStr">
        <is>
          <t>1-23 August 2026</t>
        </is>
      </c>
      <c r="K324" s="55" t="n">
        <v>114</v>
      </c>
      <c r="L324" s="40" t="inlineStr">
        <is>
          <t>Visit→Engagement 1-23 August 2026</t>
        </is>
      </c>
      <c r="M324" s="40">
        <f>IF(Countries!J427="","STILL MISSING","Filled ✓")</f>
        <v/>
      </c>
    </row>
    <row r="325">
      <c r="A325" s="56" t="inlineStr">
        <is>
          <t>Countries</t>
        </is>
      </c>
      <c r="B325" s="56" t="inlineStr">
        <is>
          <t>AS407</t>
        </is>
      </c>
      <c r="C325" s="56" t="n">
        <v>407</v>
      </c>
      <c r="D325" s="56" t="inlineStr">
        <is>
          <t>Route page</t>
        </is>
      </c>
      <c r="E325" s="56" t="inlineStr">
        <is>
          <t>Direct</t>
        </is>
      </c>
      <c r="F325" s="56" t="inlineStr">
        <is>
          <t>Mobile</t>
        </is>
      </c>
      <c r="G325" s="56" t="inlineStr">
        <is>
          <t>Austria</t>
        </is>
      </c>
      <c r="H325" s="56" t="n">
        <v>12</v>
      </c>
      <c r="I325" s="56" t="inlineStr">
        <is>
          <t>Purchases</t>
        </is>
      </c>
      <c r="J325" s="56" t="inlineStr">
        <is>
          <t>1-23 August 2026</t>
        </is>
      </c>
      <c r="K325" s="57" t="n">
        <v>58</v>
      </c>
      <c r="L325" s="56" t="inlineStr">
        <is>
          <t>CR 1-23 August 2026 + Search→Booking 1-23 August 2026</t>
        </is>
      </c>
      <c r="M325" s="40">
        <f>IF(Countries!AS407="","STILL MISSING","Filled ✓")</f>
        <v/>
      </c>
    </row>
    <row r="326">
      <c r="A326" s="40" t="inlineStr">
        <is>
          <t>Countries</t>
        </is>
      </c>
      <c r="B326" s="40" t="inlineStr">
        <is>
          <t>P407</t>
        </is>
      </c>
      <c r="C326" s="40" t="n">
        <v>407</v>
      </c>
      <c r="D326" s="40" t="inlineStr">
        <is>
          <t>Route page</t>
        </is>
      </c>
      <c r="E326" s="40" t="inlineStr">
        <is>
          <t>Direct</t>
        </is>
      </c>
      <c r="F326" s="40" t="inlineStr">
        <is>
          <t>Mobile</t>
        </is>
      </c>
      <c r="G326" s="40" t="inlineStr">
        <is>
          <t>Austria</t>
        </is>
      </c>
      <c r="H326" s="40" t="n">
        <v>12</v>
      </c>
      <c r="I326" s="40" t="inlineStr">
        <is>
          <t>Searches</t>
        </is>
      </c>
      <c r="J326" s="40" t="inlineStr">
        <is>
          <t>1-23 August 2025</t>
        </is>
      </c>
      <c r="K326" s="55" t="n">
        <v>58</v>
      </c>
      <c r="L326" s="40" t="inlineStr">
        <is>
          <t>Searches YoY</t>
        </is>
      </c>
      <c r="M326" s="40">
        <f>IF(Countries!P407="","STILL MISSING","Filled ✓")</f>
        <v/>
      </c>
    </row>
    <row r="327">
      <c r="A327" s="56" t="inlineStr">
        <is>
          <t>Countries</t>
        </is>
      </c>
      <c r="B327" s="56" t="inlineStr">
        <is>
          <t>X407</t>
        </is>
      </c>
      <c r="C327" s="56" t="n">
        <v>407</v>
      </c>
      <c r="D327" s="56" t="inlineStr">
        <is>
          <t>Route page</t>
        </is>
      </c>
      <c r="E327" s="56" t="inlineStr">
        <is>
          <t>Direct</t>
        </is>
      </c>
      <c r="F327" s="56" t="inlineStr">
        <is>
          <t>Mobile</t>
        </is>
      </c>
      <c r="G327" s="56" t="inlineStr">
        <is>
          <t>Austria</t>
        </is>
      </c>
      <c r="H327" s="56" t="n">
        <v>12</v>
      </c>
      <c r="I327" s="56" t="inlineStr">
        <is>
          <t>Select item</t>
        </is>
      </c>
      <c r="J327" s="56" t="inlineStr">
        <is>
          <t>1-23 August 2026</t>
        </is>
      </c>
      <c r="K327" s="57" t="n">
        <v>58</v>
      </c>
      <c r="L327" s="56" t="inlineStr">
        <is>
          <t>Search→Select 1-23 August 2026</t>
        </is>
      </c>
      <c r="M327" s="40">
        <f>IF(Countries!X407="","STILL MISSING","Filled ✓")</f>
        <v/>
      </c>
    </row>
    <row r="328">
      <c r="A328" s="40" t="inlineStr">
        <is>
          <t>Countries</t>
        </is>
      </c>
      <c r="B328" s="40" t="inlineStr">
        <is>
          <t>E407</t>
        </is>
      </c>
      <c r="C328" s="40" t="n">
        <v>407</v>
      </c>
      <c r="D328" s="40" t="inlineStr">
        <is>
          <t>Route page</t>
        </is>
      </c>
      <c r="E328" s="40" t="inlineStr">
        <is>
          <t>Direct</t>
        </is>
      </c>
      <c r="F328" s="40" t="inlineStr">
        <is>
          <t>Mobile</t>
        </is>
      </c>
      <c r="G328" s="40" t="inlineStr">
        <is>
          <t>Austria</t>
        </is>
      </c>
      <c r="H328" s="40" t="n">
        <v>12</v>
      </c>
      <c r="I328" s="40" t="inlineStr">
        <is>
          <t>Sessions</t>
        </is>
      </c>
      <c r="J328" s="40" t="inlineStr">
        <is>
          <t>1-23 August 2025</t>
        </is>
      </c>
      <c r="K328" s="55" t="n">
        <v>58</v>
      </c>
      <c r="L328" s="40" t="inlineStr">
        <is>
          <t>Sessions YoY</t>
        </is>
      </c>
      <c r="M328" s="40">
        <f>IF(Countries!E407="","STILL MISSING","Filled ✓")</f>
        <v/>
      </c>
    </row>
    <row r="329">
      <c r="A329" s="56" t="inlineStr">
        <is>
          <t>Countries</t>
        </is>
      </c>
      <c r="B329" s="56" t="inlineStr">
        <is>
          <t>J407</t>
        </is>
      </c>
      <c r="C329" s="56" t="n">
        <v>407</v>
      </c>
      <c r="D329" s="56" t="inlineStr">
        <is>
          <t>Route page</t>
        </is>
      </c>
      <c r="E329" s="56" t="inlineStr">
        <is>
          <t>Direct</t>
        </is>
      </c>
      <c r="F329" s="56" t="inlineStr">
        <is>
          <t>Mobile</t>
        </is>
      </c>
      <c r="G329" s="56" t="inlineStr">
        <is>
          <t>Austria</t>
        </is>
      </c>
      <c r="H329" s="56" t="n">
        <v>12</v>
      </c>
      <c r="I329" s="56" t="inlineStr">
        <is>
          <t>Start Search</t>
        </is>
      </c>
      <c r="J329" s="56" t="inlineStr">
        <is>
          <t>1-23 August 2026</t>
        </is>
      </c>
      <c r="K329" s="57" t="n">
        <v>58</v>
      </c>
      <c r="L329" s="56" t="inlineStr">
        <is>
          <t>Visit→Engagement 1-23 August 2026</t>
        </is>
      </c>
      <c r="M329" s="40">
        <f>IF(Countries!J407="","STILL MISSING","Filled ✓")</f>
        <v/>
      </c>
    </row>
    <row r="330">
      <c r="A330" s="40" t="inlineStr">
        <is>
          <t>Countries</t>
        </is>
      </c>
      <c r="B330" s="40" t="inlineStr">
        <is>
          <t>AR30</t>
        </is>
      </c>
      <c r="C330" s="40" t="n">
        <v>30</v>
      </c>
      <c r="D330" s="40" t="inlineStr">
        <is>
          <t>All landing pages</t>
        </is>
      </c>
      <c r="E330" s="40" t="inlineStr">
        <is>
          <t>Paid Search</t>
        </is>
      </c>
      <c r="F330" s="40" t="inlineStr">
        <is>
          <t>Desktop</t>
        </is>
      </c>
      <c r="G330" s="40" t="inlineStr">
        <is>
          <t>Denmark</t>
        </is>
      </c>
      <c r="H330" s="40" t="n">
        <v>13</v>
      </c>
      <c r="I330" s="40" t="inlineStr">
        <is>
          <t>Purchases</t>
        </is>
      </c>
      <c r="J330" s="40" t="inlineStr">
        <is>
          <t>1-23 August 2025</t>
        </is>
      </c>
      <c r="K330" s="55" t="n">
        <v>2311</v>
      </c>
      <c r="L330" s="40" t="inlineStr">
        <is>
          <t>CR 1-23 August 2025 + Search→Booking 1-23 August 2025</t>
        </is>
      </c>
      <c r="M330" s="40">
        <f>IF(Countries!AR30="","STILL MISSING","Filled ✓")</f>
        <v/>
      </c>
    </row>
    <row r="331">
      <c r="A331" s="56" t="inlineStr">
        <is>
          <t>Countries</t>
        </is>
      </c>
      <c r="B331" s="56" t="inlineStr">
        <is>
          <t>AS30</t>
        </is>
      </c>
      <c r="C331" s="56" t="n">
        <v>30</v>
      </c>
      <c r="D331" s="56" t="inlineStr">
        <is>
          <t>All landing pages</t>
        </is>
      </c>
      <c r="E331" s="56" t="inlineStr">
        <is>
          <t>Paid Search</t>
        </is>
      </c>
      <c r="F331" s="56" t="inlineStr">
        <is>
          <t>Desktop</t>
        </is>
      </c>
      <c r="G331" s="56" t="inlineStr">
        <is>
          <t>Denmark</t>
        </is>
      </c>
      <c r="H331" s="56" t="n">
        <v>13</v>
      </c>
      <c r="I331" s="56" t="inlineStr">
        <is>
          <t>Purchases</t>
        </is>
      </c>
      <c r="J331" s="56" t="inlineStr">
        <is>
          <t>1-23 August 2026</t>
        </is>
      </c>
      <c r="K331" s="57" t="n">
        <v>2311</v>
      </c>
      <c r="L331" s="56" t="inlineStr">
        <is>
          <t>CR 1-23 August 2026 + Search→Booking 1-23 August 2026</t>
        </is>
      </c>
      <c r="M331" s="40">
        <f>IF(Countries!AS30="","STILL MISSING","Filled ✓")</f>
        <v/>
      </c>
    </row>
    <row r="332">
      <c r="A332" s="40" t="inlineStr">
        <is>
          <t>Countries</t>
        </is>
      </c>
      <c r="B332" s="40" t="inlineStr">
        <is>
          <t>W30</t>
        </is>
      </c>
      <c r="C332" s="40" t="n">
        <v>30</v>
      </c>
      <c r="D332" s="40" t="inlineStr">
        <is>
          <t>All landing pages</t>
        </is>
      </c>
      <c r="E332" s="40" t="inlineStr">
        <is>
          <t>Paid Search</t>
        </is>
      </c>
      <c r="F332" s="40" t="inlineStr">
        <is>
          <t>Desktop</t>
        </is>
      </c>
      <c r="G332" s="40" t="inlineStr">
        <is>
          <t>Denmark</t>
        </is>
      </c>
      <c r="H332" s="40" t="n">
        <v>13</v>
      </c>
      <c r="I332" s="40" t="inlineStr">
        <is>
          <t>Select item</t>
        </is>
      </c>
      <c r="J332" s="40" t="inlineStr">
        <is>
          <t>1-23 August 2025</t>
        </is>
      </c>
      <c r="K332" s="55" t="n">
        <v>2311</v>
      </c>
      <c r="L332" s="40" t="inlineStr">
        <is>
          <t>Search→Select 1-23 August 2025</t>
        </is>
      </c>
      <c r="M332" s="40">
        <f>IF(Countries!W30="","STILL MISSING","Filled ✓")</f>
        <v/>
      </c>
    </row>
    <row r="333">
      <c r="A333" s="56" t="inlineStr">
        <is>
          <t>Countries</t>
        </is>
      </c>
      <c r="B333" s="56" t="inlineStr">
        <is>
          <t>X30</t>
        </is>
      </c>
      <c r="C333" s="56" t="n">
        <v>30</v>
      </c>
      <c r="D333" s="56" t="inlineStr">
        <is>
          <t>All landing pages</t>
        </is>
      </c>
      <c r="E333" s="56" t="inlineStr">
        <is>
          <t>Paid Search</t>
        </is>
      </c>
      <c r="F333" s="56" t="inlineStr">
        <is>
          <t>Desktop</t>
        </is>
      </c>
      <c r="G333" s="56" t="inlineStr">
        <is>
          <t>Denmark</t>
        </is>
      </c>
      <c r="H333" s="56" t="n">
        <v>13</v>
      </c>
      <c r="I333" s="56" t="inlineStr">
        <is>
          <t>Select item</t>
        </is>
      </c>
      <c r="J333" s="56" t="inlineStr">
        <is>
          <t>1-23 August 2026</t>
        </is>
      </c>
      <c r="K333" s="57" t="n">
        <v>2311</v>
      </c>
      <c r="L333" s="56" t="inlineStr">
        <is>
          <t>Search→Select 1-23 August 2026</t>
        </is>
      </c>
      <c r="M333" s="40">
        <f>IF(Countries!X30="","STILL MISSING","Filled ✓")</f>
        <v/>
      </c>
    </row>
    <row r="334">
      <c r="A334" s="40" t="inlineStr">
        <is>
          <t>Countries</t>
        </is>
      </c>
      <c r="B334" s="40" t="inlineStr">
        <is>
          <t>I30</t>
        </is>
      </c>
      <c r="C334" s="40" t="n">
        <v>30</v>
      </c>
      <c r="D334" s="40" t="inlineStr">
        <is>
          <t>All landing pages</t>
        </is>
      </c>
      <c r="E334" s="40" t="inlineStr">
        <is>
          <t>Paid Search</t>
        </is>
      </c>
      <c r="F334" s="40" t="inlineStr">
        <is>
          <t>Desktop</t>
        </is>
      </c>
      <c r="G334" s="40" t="inlineStr">
        <is>
          <t>Denmark</t>
        </is>
      </c>
      <c r="H334" s="40" t="n">
        <v>13</v>
      </c>
      <c r="I334" s="40" t="inlineStr">
        <is>
          <t>Start Search</t>
        </is>
      </c>
      <c r="J334" s="40" t="inlineStr">
        <is>
          <t>1-23 August 2025</t>
        </is>
      </c>
      <c r="K334" s="55" t="n">
        <v>2311</v>
      </c>
      <c r="L334" s="40" t="inlineStr">
        <is>
          <t>Visit→Engagement 1-23 August 2025</t>
        </is>
      </c>
      <c r="M334" s="40">
        <f>IF(Countries!I30="","STILL MISSING","Filled ✓")</f>
        <v/>
      </c>
    </row>
    <row r="335">
      <c r="A335" s="56" t="inlineStr">
        <is>
          <t>Countries</t>
        </is>
      </c>
      <c r="B335" s="56" t="inlineStr">
        <is>
          <t>J30</t>
        </is>
      </c>
      <c r="C335" s="56" t="n">
        <v>30</v>
      </c>
      <c r="D335" s="56" t="inlineStr">
        <is>
          <t>All landing pages</t>
        </is>
      </c>
      <c r="E335" s="56" t="inlineStr">
        <is>
          <t>Paid Search</t>
        </is>
      </c>
      <c r="F335" s="56" t="inlineStr">
        <is>
          <t>Desktop</t>
        </is>
      </c>
      <c r="G335" s="56" t="inlineStr">
        <is>
          <t>Denmark</t>
        </is>
      </c>
      <c r="H335" s="56" t="n">
        <v>13</v>
      </c>
      <c r="I335" s="56" t="inlineStr">
        <is>
          <t>Start Search</t>
        </is>
      </c>
      <c r="J335" s="56" t="inlineStr">
        <is>
          <t>1-23 August 2026</t>
        </is>
      </c>
      <c r="K335" s="57" t="n">
        <v>2311</v>
      </c>
      <c r="L335" s="56" t="inlineStr">
        <is>
          <t>Visit→Engagement 1-23 August 2026</t>
        </is>
      </c>
      <c r="M335" s="40">
        <f>IF(Countries!J30="","STILL MISSING","Filled ✓")</f>
        <v/>
      </c>
    </row>
    <row r="336">
      <c r="A336" s="40" t="inlineStr">
        <is>
          <t>Countries</t>
        </is>
      </c>
      <c r="B336" s="40" t="inlineStr">
        <is>
          <t>AS15</t>
        </is>
      </c>
      <c r="C336" s="40" t="n">
        <v>15</v>
      </c>
      <c r="D336" s="40" t="inlineStr">
        <is>
          <t>All landing pages</t>
        </is>
      </c>
      <c r="E336" s="40" t="inlineStr">
        <is>
          <t>Paid Search</t>
        </is>
      </c>
      <c r="F336" s="40" t="inlineStr">
        <is>
          <t>Mobile</t>
        </is>
      </c>
      <c r="G336" s="40" t="inlineStr">
        <is>
          <t>Denmark</t>
        </is>
      </c>
      <c r="H336" s="40" t="n">
        <v>13</v>
      </c>
      <c r="I336" s="40" t="inlineStr">
        <is>
          <t>Purchases</t>
        </is>
      </c>
      <c r="J336" s="40" t="inlineStr">
        <is>
          <t>1-23 August 2026</t>
        </is>
      </c>
      <c r="K336" s="55" t="n">
        <v>1987</v>
      </c>
      <c r="L336" s="40" t="inlineStr">
        <is>
          <t>CR 1-23 August 2026 + Search→Booking 1-23 August 2026</t>
        </is>
      </c>
      <c r="M336" s="40">
        <f>IF(Countries!AS15="","STILL MISSING","Filled ✓")</f>
        <v/>
      </c>
    </row>
    <row r="337">
      <c r="A337" s="56" t="inlineStr">
        <is>
          <t>Countries</t>
        </is>
      </c>
      <c r="B337" s="56" t="inlineStr">
        <is>
          <t>P15</t>
        </is>
      </c>
      <c r="C337" s="56" t="n">
        <v>15</v>
      </c>
      <c r="D337" s="56" t="inlineStr">
        <is>
          <t>All landing pages</t>
        </is>
      </c>
      <c r="E337" s="56" t="inlineStr">
        <is>
          <t>Paid Search</t>
        </is>
      </c>
      <c r="F337" s="56" t="inlineStr">
        <is>
          <t>Mobile</t>
        </is>
      </c>
      <c r="G337" s="56" t="inlineStr">
        <is>
          <t>Denmark</t>
        </is>
      </c>
      <c r="H337" s="56" t="n">
        <v>13</v>
      </c>
      <c r="I337" s="56" t="inlineStr">
        <is>
          <t>Searches</t>
        </is>
      </c>
      <c r="J337" s="56" t="inlineStr">
        <is>
          <t>1-23 August 2025</t>
        </is>
      </c>
      <c r="K337" s="57" t="n">
        <v>1987</v>
      </c>
      <c r="L337" s="56" t="inlineStr">
        <is>
          <t>Searches YoY</t>
        </is>
      </c>
      <c r="M337" s="40">
        <f>IF(Countries!P15="","STILL MISSING","Filled ✓")</f>
        <v/>
      </c>
    </row>
    <row r="338">
      <c r="A338" s="40" t="inlineStr">
        <is>
          <t>Countries</t>
        </is>
      </c>
      <c r="B338" s="40" t="inlineStr">
        <is>
          <t>X15</t>
        </is>
      </c>
      <c r="C338" s="40" t="n">
        <v>15</v>
      </c>
      <c r="D338" s="40" t="inlineStr">
        <is>
          <t>All landing pages</t>
        </is>
      </c>
      <c r="E338" s="40" t="inlineStr">
        <is>
          <t>Paid Search</t>
        </is>
      </c>
      <c r="F338" s="40" t="inlineStr">
        <is>
          <t>Mobile</t>
        </is>
      </c>
      <c r="G338" s="40" t="inlineStr">
        <is>
          <t>Denmark</t>
        </is>
      </c>
      <c r="H338" s="40" t="n">
        <v>13</v>
      </c>
      <c r="I338" s="40" t="inlineStr">
        <is>
          <t>Select item</t>
        </is>
      </c>
      <c r="J338" s="40" t="inlineStr">
        <is>
          <t>1-23 August 2026</t>
        </is>
      </c>
      <c r="K338" s="55" t="n">
        <v>1987</v>
      </c>
      <c r="L338" s="40" t="inlineStr">
        <is>
          <t>Search→Select 1-23 August 2026</t>
        </is>
      </c>
      <c r="M338" s="40">
        <f>IF(Countries!X15="","STILL MISSING","Filled ✓")</f>
        <v/>
      </c>
    </row>
    <row r="339">
      <c r="A339" s="56" t="inlineStr">
        <is>
          <t>Countries</t>
        </is>
      </c>
      <c r="B339" s="56" t="inlineStr">
        <is>
          <t>E15</t>
        </is>
      </c>
      <c r="C339" s="56" t="n">
        <v>15</v>
      </c>
      <c r="D339" s="56" t="inlineStr">
        <is>
          <t>All landing pages</t>
        </is>
      </c>
      <c r="E339" s="56" t="inlineStr">
        <is>
          <t>Paid Search</t>
        </is>
      </c>
      <c r="F339" s="56" t="inlineStr">
        <is>
          <t>Mobile</t>
        </is>
      </c>
      <c r="G339" s="56" t="inlineStr">
        <is>
          <t>Denmark</t>
        </is>
      </c>
      <c r="H339" s="56" t="n">
        <v>13</v>
      </c>
      <c r="I339" s="56" t="inlineStr">
        <is>
          <t>Sessions</t>
        </is>
      </c>
      <c r="J339" s="56" t="inlineStr">
        <is>
          <t>1-23 August 2025</t>
        </is>
      </c>
      <c r="K339" s="57" t="n">
        <v>1987</v>
      </c>
      <c r="L339" s="56" t="inlineStr">
        <is>
          <t>Sessions YoY</t>
        </is>
      </c>
      <c r="M339" s="40">
        <f>IF(Countries!E15="","STILL MISSING","Filled ✓")</f>
        <v/>
      </c>
    </row>
    <row r="340">
      <c r="A340" s="40" t="inlineStr">
        <is>
          <t>Countries</t>
        </is>
      </c>
      <c r="B340" s="40" t="inlineStr">
        <is>
          <t>J15</t>
        </is>
      </c>
      <c r="C340" s="40" t="n">
        <v>15</v>
      </c>
      <c r="D340" s="40" t="inlineStr">
        <is>
          <t>All landing pages</t>
        </is>
      </c>
      <c r="E340" s="40" t="inlineStr">
        <is>
          <t>Paid Search</t>
        </is>
      </c>
      <c r="F340" s="40" t="inlineStr">
        <is>
          <t>Mobile</t>
        </is>
      </c>
      <c r="G340" s="40" t="inlineStr">
        <is>
          <t>Denmark</t>
        </is>
      </c>
      <c r="H340" s="40" t="n">
        <v>13</v>
      </c>
      <c r="I340" s="40" t="inlineStr">
        <is>
          <t>Start Search</t>
        </is>
      </c>
      <c r="J340" s="40" t="inlineStr">
        <is>
          <t>1-23 August 2026</t>
        </is>
      </c>
      <c r="K340" s="55" t="n">
        <v>1987</v>
      </c>
      <c r="L340" s="40" t="inlineStr">
        <is>
          <t>Visit→Engagement 1-23 August 2026</t>
        </is>
      </c>
      <c r="M340" s="40">
        <f>IF(Countries!J15="","STILL MISSING","Filled ✓")</f>
        <v/>
      </c>
    </row>
    <row r="341">
      <c r="A341" s="56" t="inlineStr">
        <is>
          <t>Countries</t>
        </is>
      </c>
      <c r="B341" s="56" t="inlineStr">
        <is>
          <t>AS111</t>
        </is>
      </c>
      <c r="C341" s="56" t="n">
        <v>111</v>
      </c>
      <c r="D341" s="56" t="inlineStr">
        <is>
          <t>All landing pages</t>
        </is>
      </c>
      <c r="E341" s="56" t="inlineStr">
        <is>
          <t>Direct</t>
        </is>
      </c>
      <c r="F341" s="56" t="inlineStr">
        <is>
          <t>Desktop</t>
        </is>
      </c>
      <c r="G341" s="56" t="inlineStr">
        <is>
          <t>Denmark</t>
        </is>
      </c>
      <c r="H341" s="56" t="n">
        <v>13</v>
      </c>
      <c r="I341" s="56" t="inlineStr">
        <is>
          <t>Purchases</t>
        </is>
      </c>
      <c r="J341" s="56" t="inlineStr">
        <is>
          <t>1-23 August 2026</t>
        </is>
      </c>
      <c r="K341" s="57" t="n">
        <v>157</v>
      </c>
      <c r="L341" s="56" t="inlineStr">
        <is>
          <t>Search→Booking 1-23 August 2026</t>
        </is>
      </c>
      <c r="M341" s="40">
        <f>IF(Countries!AS111="","STILL MISSING","Filled ✓")</f>
        <v/>
      </c>
    </row>
    <row r="342">
      <c r="A342" s="40" t="inlineStr">
        <is>
          <t>Countries</t>
        </is>
      </c>
      <c r="B342" s="40" t="inlineStr">
        <is>
          <t>P111</t>
        </is>
      </c>
      <c r="C342" s="40" t="n">
        <v>111</v>
      </c>
      <c r="D342" s="40" t="inlineStr">
        <is>
          <t>All landing pages</t>
        </is>
      </c>
      <c r="E342" s="40" t="inlineStr">
        <is>
          <t>Direct</t>
        </is>
      </c>
      <c r="F342" s="40" t="inlineStr">
        <is>
          <t>Desktop</t>
        </is>
      </c>
      <c r="G342" s="40" t="inlineStr">
        <is>
          <t>Denmark</t>
        </is>
      </c>
      <c r="H342" s="40" t="n">
        <v>13</v>
      </c>
      <c r="I342" s="40" t="inlineStr">
        <is>
          <t>Searches</t>
        </is>
      </c>
      <c r="J342" s="40" t="inlineStr">
        <is>
          <t>1-23 August 2025</t>
        </is>
      </c>
      <c r="K342" s="55" t="n">
        <v>157</v>
      </c>
      <c r="L342" s="40" t="inlineStr">
        <is>
          <t>Searches YoY</t>
        </is>
      </c>
      <c r="M342" s="40">
        <f>IF(Countries!P111="","STILL MISSING","Filled ✓")</f>
        <v/>
      </c>
    </row>
    <row r="343">
      <c r="A343" s="56" t="inlineStr">
        <is>
          <t>Countries</t>
        </is>
      </c>
      <c r="B343" s="56" t="inlineStr">
        <is>
          <t>X111</t>
        </is>
      </c>
      <c r="C343" s="56" t="n">
        <v>111</v>
      </c>
      <c r="D343" s="56" t="inlineStr">
        <is>
          <t>All landing pages</t>
        </is>
      </c>
      <c r="E343" s="56" t="inlineStr">
        <is>
          <t>Direct</t>
        </is>
      </c>
      <c r="F343" s="56" t="inlineStr">
        <is>
          <t>Desktop</t>
        </is>
      </c>
      <c r="G343" s="56" t="inlineStr">
        <is>
          <t>Denmark</t>
        </is>
      </c>
      <c r="H343" s="56" t="n">
        <v>13</v>
      </c>
      <c r="I343" s="56" t="inlineStr">
        <is>
          <t>Select item</t>
        </is>
      </c>
      <c r="J343" s="56" t="inlineStr">
        <is>
          <t>1-23 August 2026</t>
        </is>
      </c>
      <c r="K343" s="57" t="n">
        <v>157</v>
      </c>
      <c r="L343" s="56" t="inlineStr">
        <is>
          <t>Search→Select 1-23 August 2026</t>
        </is>
      </c>
      <c r="M343" s="40">
        <f>IF(Countries!X111="","STILL MISSING","Filled ✓")</f>
        <v/>
      </c>
    </row>
    <row r="344">
      <c r="A344" s="40" t="inlineStr">
        <is>
          <t>Countries</t>
        </is>
      </c>
      <c r="B344" s="40" t="inlineStr">
        <is>
          <t>F111</t>
        </is>
      </c>
      <c r="C344" s="40" t="n">
        <v>111</v>
      </c>
      <c r="D344" s="40" t="inlineStr">
        <is>
          <t>All landing pages</t>
        </is>
      </c>
      <c r="E344" s="40" t="inlineStr">
        <is>
          <t>Direct</t>
        </is>
      </c>
      <c r="F344" s="40" t="inlineStr">
        <is>
          <t>Desktop</t>
        </is>
      </c>
      <c r="G344" s="40" t="inlineStr">
        <is>
          <t>Denmark</t>
        </is>
      </c>
      <c r="H344" s="40" t="n">
        <v>13</v>
      </c>
      <c r="I344" s="40" t="inlineStr">
        <is>
          <t>Sessions</t>
        </is>
      </c>
      <c r="J344" s="40" t="inlineStr">
        <is>
          <t>1-23 August 2026</t>
        </is>
      </c>
      <c r="K344" s="55" t="n">
        <v>157</v>
      </c>
      <c r="L344" s="40" t="inlineStr">
        <is>
          <t>Visit→Search 1-23 August 2026</t>
        </is>
      </c>
      <c r="M344" s="40">
        <f>IF(Countries!F111="","STILL MISSING","Filled ✓")</f>
        <v/>
      </c>
    </row>
    <row r="345">
      <c r="A345" s="56" t="inlineStr">
        <is>
          <t>Countries</t>
        </is>
      </c>
      <c r="B345" s="56" t="inlineStr">
        <is>
          <t>AR91</t>
        </is>
      </c>
      <c r="C345" s="56" t="n">
        <v>91</v>
      </c>
      <c r="D345" s="56" t="inlineStr">
        <is>
          <t>All landing pages</t>
        </is>
      </c>
      <c r="E345" s="56" t="inlineStr">
        <is>
          <t>Direct</t>
        </is>
      </c>
      <c r="F345" s="56" t="inlineStr">
        <is>
          <t>Mobile</t>
        </is>
      </c>
      <c r="G345" s="56" t="inlineStr">
        <is>
          <t>Denmark</t>
        </is>
      </c>
      <c r="H345" s="56" t="n">
        <v>13</v>
      </c>
      <c r="I345" s="56" t="inlineStr">
        <is>
          <t>Purchases</t>
        </is>
      </c>
      <c r="J345" s="56" t="inlineStr">
        <is>
          <t>1-23 August 2025</t>
        </is>
      </c>
      <c r="K345" s="57" t="n">
        <v>89</v>
      </c>
      <c r="L345" s="56" t="inlineStr">
        <is>
          <t>Search→Booking 1-23 August 2025</t>
        </is>
      </c>
      <c r="M345" s="40">
        <f>IF(Countries!AR91="","STILL MISSING","Filled ✓")</f>
        <v/>
      </c>
    </row>
    <row r="346">
      <c r="A346" s="40" t="inlineStr">
        <is>
          <t>Countries</t>
        </is>
      </c>
      <c r="B346" s="40" t="inlineStr">
        <is>
          <t>Q91</t>
        </is>
      </c>
      <c r="C346" s="40" t="n">
        <v>91</v>
      </c>
      <c r="D346" s="40" t="inlineStr">
        <is>
          <t>All landing pages</t>
        </is>
      </c>
      <c r="E346" s="40" t="inlineStr">
        <is>
          <t>Direct</t>
        </is>
      </c>
      <c r="F346" s="40" t="inlineStr">
        <is>
          <t>Mobile</t>
        </is>
      </c>
      <c r="G346" s="40" t="inlineStr">
        <is>
          <t>Denmark</t>
        </is>
      </c>
      <c r="H346" s="40" t="n">
        <v>13</v>
      </c>
      <c r="I346" s="40" t="inlineStr">
        <is>
          <t>Searches</t>
        </is>
      </c>
      <c r="J346" s="40" t="inlineStr">
        <is>
          <t>1-23 August 2026</t>
        </is>
      </c>
      <c r="K346" s="55" t="n">
        <v>89</v>
      </c>
      <c r="L346" s="40" t="inlineStr">
        <is>
          <t>Searches YoY</t>
        </is>
      </c>
      <c r="M346" s="40">
        <f>IF(Countries!Q91="","STILL MISSING","Filled ✓")</f>
        <v/>
      </c>
    </row>
    <row r="347">
      <c r="A347" s="56" t="inlineStr">
        <is>
          <t>Countries</t>
        </is>
      </c>
      <c r="B347" s="56" t="inlineStr">
        <is>
          <t>W91</t>
        </is>
      </c>
      <c r="C347" s="56" t="n">
        <v>91</v>
      </c>
      <c r="D347" s="56" t="inlineStr">
        <is>
          <t>All landing pages</t>
        </is>
      </c>
      <c r="E347" s="56" t="inlineStr">
        <is>
          <t>Direct</t>
        </is>
      </c>
      <c r="F347" s="56" t="inlineStr">
        <is>
          <t>Mobile</t>
        </is>
      </c>
      <c r="G347" s="56" t="inlineStr">
        <is>
          <t>Denmark</t>
        </is>
      </c>
      <c r="H347" s="56" t="n">
        <v>13</v>
      </c>
      <c r="I347" s="56" t="inlineStr">
        <is>
          <t>Select item</t>
        </is>
      </c>
      <c r="J347" s="56" t="inlineStr">
        <is>
          <t>1-23 August 2025</t>
        </is>
      </c>
      <c r="K347" s="57" t="n">
        <v>89</v>
      </c>
      <c r="L347" s="56" t="inlineStr">
        <is>
          <t>Search→Select 1-23 August 2025</t>
        </is>
      </c>
      <c r="M347" s="40">
        <f>IF(Countries!W91="","STILL MISSING","Filled ✓")</f>
        <v/>
      </c>
    </row>
    <row r="348">
      <c r="A348" s="40" t="inlineStr">
        <is>
          <t>Countries</t>
        </is>
      </c>
      <c r="B348" s="40" t="inlineStr">
        <is>
          <t>E91</t>
        </is>
      </c>
      <c r="C348" s="40" t="n">
        <v>91</v>
      </c>
      <c r="D348" s="40" t="inlineStr">
        <is>
          <t>All landing pages</t>
        </is>
      </c>
      <c r="E348" s="40" t="inlineStr">
        <is>
          <t>Direct</t>
        </is>
      </c>
      <c r="F348" s="40" t="inlineStr">
        <is>
          <t>Mobile</t>
        </is>
      </c>
      <c r="G348" s="40" t="inlineStr">
        <is>
          <t>Denmark</t>
        </is>
      </c>
      <c r="H348" s="40" t="n">
        <v>13</v>
      </c>
      <c r="I348" s="40" t="inlineStr">
        <is>
          <t>Sessions</t>
        </is>
      </c>
      <c r="J348" s="40" t="inlineStr">
        <is>
          <t>1-23 August 2025</t>
        </is>
      </c>
      <c r="K348" s="55" t="n">
        <v>89</v>
      </c>
      <c r="L348" s="40" t="inlineStr">
        <is>
          <t>Visit→Search 1-23 August 2025</t>
        </is>
      </c>
      <c r="M348" s="40">
        <f>IF(Countries!E91="","STILL MISSING","Filled ✓")</f>
        <v/>
      </c>
    </row>
    <row r="349">
      <c r="A349" s="56" t="inlineStr">
        <is>
          <t>Countries</t>
        </is>
      </c>
      <c r="B349" s="56" t="inlineStr">
        <is>
          <t>AR142</t>
        </is>
      </c>
      <c r="C349" s="56" t="n">
        <v>142</v>
      </c>
      <c r="D349" s="56" t="inlineStr">
        <is>
          <t>Home page</t>
        </is>
      </c>
      <c r="E349" s="56" t="inlineStr">
        <is>
          <t>Paid Search</t>
        </is>
      </c>
      <c r="F349" s="56" t="inlineStr">
        <is>
          <t>Desktop</t>
        </is>
      </c>
      <c r="G349" s="56" t="inlineStr">
        <is>
          <t>Denmark</t>
        </is>
      </c>
      <c r="H349" s="56" t="n">
        <v>13</v>
      </c>
      <c r="I349" s="56" t="inlineStr">
        <is>
          <t>Purchases</t>
        </is>
      </c>
      <c r="J349" s="56" t="inlineStr">
        <is>
          <t>1-23 August 2025</t>
        </is>
      </c>
      <c r="K349" s="57" t="n">
        <v>826</v>
      </c>
      <c r="L349" s="56" t="inlineStr">
        <is>
          <t>CR 1-23 August 2025 + Search→Booking 1-23 August 2025</t>
        </is>
      </c>
      <c r="M349" s="40">
        <f>IF(Countries!AR142="","STILL MISSING","Filled ✓")</f>
        <v/>
      </c>
    </row>
    <row r="350">
      <c r="A350" s="40" t="inlineStr">
        <is>
          <t>Countries</t>
        </is>
      </c>
      <c r="B350" s="40" t="inlineStr">
        <is>
          <t>AS142</t>
        </is>
      </c>
      <c r="C350" s="40" t="n">
        <v>142</v>
      </c>
      <c r="D350" s="40" t="inlineStr">
        <is>
          <t>Home page</t>
        </is>
      </c>
      <c r="E350" s="40" t="inlineStr">
        <is>
          <t>Paid Search</t>
        </is>
      </c>
      <c r="F350" s="40" t="inlineStr">
        <is>
          <t>Desktop</t>
        </is>
      </c>
      <c r="G350" s="40" t="inlineStr">
        <is>
          <t>Denmark</t>
        </is>
      </c>
      <c r="H350" s="40" t="n">
        <v>13</v>
      </c>
      <c r="I350" s="40" t="inlineStr">
        <is>
          <t>Purchases</t>
        </is>
      </c>
      <c r="J350" s="40" t="inlineStr">
        <is>
          <t>1-23 August 2026</t>
        </is>
      </c>
      <c r="K350" s="55" t="n">
        <v>826</v>
      </c>
      <c r="L350" s="40" t="inlineStr">
        <is>
          <t>CR 1-23 August 2026 + Search→Booking 1-23 August 2026</t>
        </is>
      </c>
      <c r="M350" s="40">
        <f>IF(Countries!AS142="","STILL MISSING","Filled ✓")</f>
        <v/>
      </c>
    </row>
    <row r="351">
      <c r="A351" s="56" t="inlineStr">
        <is>
          <t>Countries</t>
        </is>
      </c>
      <c r="B351" s="56" t="inlineStr">
        <is>
          <t>W142</t>
        </is>
      </c>
      <c r="C351" s="56" t="n">
        <v>142</v>
      </c>
      <c r="D351" s="56" t="inlineStr">
        <is>
          <t>Home page</t>
        </is>
      </c>
      <c r="E351" s="56" t="inlineStr">
        <is>
          <t>Paid Search</t>
        </is>
      </c>
      <c r="F351" s="56" t="inlineStr">
        <is>
          <t>Desktop</t>
        </is>
      </c>
      <c r="G351" s="56" t="inlineStr">
        <is>
          <t>Denmark</t>
        </is>
      </c>
      <c r="H351" s="56" t="n">
        <v>13</v>
      </c>
      <c r="I351" s="56" t="inlineStr">
        <is>
          <t>Select item</t>
        </is>
      </c>
      <c r="J351" s="56" t="inlineStr">
        <is>
          <t>1-23 August 2025</t>
        </is>
      </c>
      <c r="K351" s="57" t="n">
        <v>826</v>
      </c>
      <c r="L351" s="56" t="inlineStr">
        <is>
          <t>Search→Select 1-23 August 2025</t>
        </is>
      </c>
      <c r="M351" s="40">
        <f>IF(Countries!W142="","STILL MISSING","Filled ✓")</f>
        <v/>
      </c>
    </row>
    <row r="352">
      <c r="A352" s="40" t="inlineStr">
        <is>
          <t>Countries</t>
        </is>
      </c>
      <c r="B352" s="40" t="inlineStr">
        <is>
          <t>X142</t>
        </is>
      </c>
      <c r="C352" s="40" t="n">
        <v>142</v>
      </c>
      <c r="D352" s="40" t="inlineStr">
        <is>
          <t>Home page</t>
        </is>
      </c>
      <c r="E352" s="40" t="inlineStr">
        <is>
          <t>Paid Search</t>
        </is>
      </c>
      <c r="F352" s="40" t="inlineStr">
        <is>
          <t>Desktop</t>
        </is>
      </c>
      <c r="G352" s="40" t="inlineStr">
        <is>
          <t>Denmark</t>
        </is>
      </c>
      <c r="H352" s="40" t="n">
        <v>13</v>
      </c>
      <c r="I352" s="40" t="inlineStr">
        <is>
          <t>Select item</t>
        </is>
      </c>
      <c r="J352" s="40" t="inlineStr">
        <is>
          <t>1-23 August 2026</t>
        </is>
      </c>
      <c r="K352" s="55" t="n">
        <v>826</v>
      </c>
      <c r="L352" s="40" t="inlineStr">
        <is>
          <t>Search→Select 1-23 August 2026</t>
        </is>
      </c>
      <c r="M352" s="40">
        <f>IF(Countries!X142="","STILL MISSING","Filled ✓")</f>
        <v/>
      </c>
    </row>
    <row r="353">
      <c r="A353" s="56" t="inlineStr">
        <is>
          <t>Countries</t>
        </is>
      </c>
      <c r="B353" s="56" t="inlineStr">
        <is>
          <t>I142</t>
        </is>
      </c>
      <c r="C353" s="56" t="n">
        <v>142</v>
      </c>
      <c r="D353" s="56" t="inlineStr">
        <is>
          <t>Home page</t>
        </is>
      </c>
      <c r="E353" s="56" t="inlineStr">
        <is>
          <t>Paid Search</t>
        </is>
      </c>
      <c r="F353" s="56" t="inlineStr">
        <is>
          <t>Desktop</t>
        </is>
      </c>
      <c r="G353" s="56" t="inlineStr">
        <is>
          <t>Denmark</t>
        </is>
      </c>
      <c r="H353" s="56" t="n">
        <v>13</v>
      </c>
      <c r="I353" s="56" t="inlineStr">
        <is>
          <t>Start Search</t>
        </is>
      </c>
      <c r="J353" s="56" t="inlineStr">
        <is>
          <t>1-23 August 2025</t>
        </is>
      </c>
      <c r="K353" s="57" t="n">
        <v>826</v>
      </c>
      <c r="L353" s="56" t="inlineStr">
        <is>
          <t>Visit→Engagement 1-23 August 2025</t>
        </is>
      </c>
      <c r="M353" s="40">
        <f>IF(Countries!I142="","STILL MISSING","Filled ✓")</f>
        <v/>
      </c>
    </row>
    <row r="354">
      <c r="A354" s="40" t="inlineStr">
        <is>
          <t>Countries</t>
        </is>
      </c>
      <c r="B354" s="40" t="inlineStr">
        <is>
          <t>J142</t>
        </is>
      </c>
      <c r="C354" s="40" t="n">
        <v>142</v>
      </c>
      <c r="D354" s="40" t="inlineStr">
        <is>
          <t>Home page</t>
        </is>
      </c>
      <c r="E354" s="40" t="inlineStr">
        <is>
          <t>Paid Search</t>
        </is>
      </c>
      <c r="F354" s="40" t="inlineStr">
        <is>
          <t>Desktop</t>
        </is>
      </c>
      <c r="G354" s="40" t="inlineStr">
        <is>
          <t>Denmark</t>
        </is>
      </c>
      <c r="H354" s="40" t="n">
        <v>13</v>
      </c>
      <c r="I354" s="40" t="inlineStr">
        <is>
          <t>Start Search</t>
        </is>
      </c>
      <c r="J354" s="40" t="inlineStr">
        <is>
          <t>1-23 August 2026</t>
        </is>
      </c>
      <c r="K354" s="55" t="n">
        <v>826</v>
      </c>
      <c r="L354" s="40" t="inlineStr">
        <is>
          <t>Visit→Engagement 1-23 August 2026</t>
        </is>
      </c>
      <c r="M354" s="40">
        <f>IF(Countries!J142="","STILL MISSING","Filled ✓")</f>
        <v/>
      </c>
    </row>
    <row r="355">
      <c r="A355" s="56" t="inlineStr">
        <is>
          <t>Countries</t>
        </is>
      </c>
      <c r="B355" s="56" t="inlineStr">
        <is>
          <t>AS124</t>
        </is>
      </c>
      <c r="C355" s="56" t="n">
        <v>124</v>
      </c>
      <c r="D355" s="56" t="inlineStr">
        <is>
          <t>Home page</t>
        </is>
      </c>
      <c r="E355" s="56" t="inlineStr">
        <is>
          <t>Paid Search</t>
        </is>
      </c>
      <c r="F355" s="56" t="inlineStr">
        <is>
          <t>Mobile</t>
        </is>
      </c>
      <c r="G355" s="56" t="inlineStr">
        <is>
          <t>Denmark</t>
        </is>
      </c>
      <c r="H355" s="56" t="n">
        <v>13</v>
      </c>
      <c r="I355" s="56" t="inlineStr">
        <is>
          <t>Purchases</t>
        </is>
      </c>
      <c r="J355" s="56" t="inlineStr">
        <is>
          <t>1-23 August 2026</t>
        </is>
      </c>
      <c r="K355" s="57" t="n">
        <v>685</v>
      </c>
      <c r="L355" s="56" t="inlineStr">
        <is>
          <t>CR 1-23 August 2026 + Search→Booking 1-23 August 2026</t>
        </is>
      </c>
      <c r="M355" s="40">
        <f>IF(Countries!AS124="","STILL MISSING","Filled ✓")</f>
        <v/>
      </c>
    </row>
    <row r="356">
      <c r="A356" s="40" t="inlineStr">
        <is>
          <t>Countries</t>
        </is>
      </c>
      <c r="B356" s="40" t="inlineStr">
        <is>
          <t>P124</t>
        </is>
      </c>
      <c r="C356" s="40" t="n">
        <v>124</v>
      </c>
      <c r="D356" s="40" t="inlineStr">
        <is>
          <t>Home page</t>
        </is>
      </c>
      <c r="E356" s="40" t="inlineStr">
        <is>
          <t>Paid Search</t>
        </is>
      </c>
      <c r="F356" s="40" t="inlineStr">
        <is>
          <t>Mobile</t>
        </is>
      </c>
      <c r="G356" s="40" t="inlineStr">
        <is>
          <t>Denmark</t>
        </is>
      </c>
      <c r="H356" s="40" t="n">
        <v>13</v>
      </c>
      <c r="I356" s="40" t="inlineStr">
        <is>
          <t>Searches</t>
        </is>
      </c>
      <c r="J356" s="40" t="inlineStr">
        <is>
          <t>1-23 August 2025</t>
        </is>
      </c>
      <c r="K356" s="55" t="n">
        <v>685</v>
      </c>
      <c r="L356" s="40" t="inlineStr">
        <is>
          <t>Searches YoY</t>
        </is>
      </c>
      <c r="M356" s="40">
        <f>IF(Countries!P124="","STILL MISSING","Filled ✓")</f>
        <v/>
      </c>
    </row>
    <row r="357">
      <c r="A357" s="56" t="inlineStr">
        <is>
          <t>Countries</t>
        </is>
      </c>
      <c r="B357" s="56" t="inlineStr">
        <is>
          <t>X124</t>
        </is>
      </c>
      <c r="C357" s="56" t="n">
        <v>124</v>
      </c>
      <c r="D357" s="56" t="inlineStr">
        <is>
          <t>Home page</t>
        </is>
      </c>
      <c r="E357" s="56" t="inlineStr">
        <is>
          <t>Paid Search</t>
        </is>
      </c>
      <c r="F357" s="56" t="inlineStr">
        <is>
          <t>Mobile</t>
        </is>
      </c>
      <c r="G357" s="56" t="inlineStr">
        <is>
          <t>Denmark</t>
        </is>
      </c>
      <c r="H357" s="56" t="n">
        <v>13</v>
      </c>
      <c r="I357" s="56" t="inlineStr">
        <is>
          <t>Select item</t>
        </is>
      </c>
      <c r="J357" s="56" t="inlineStr">
        <is>
          <t>1-23 August 2026</t>
        </is>
      </c>
      <c r="K357" s="57" t="n">
        <v>685</v>
      </c>
      <c r="L357" s="56" t="inlineStr">
        <is>
          <t>Search→Select 1-23 August 2026</t>
        </is>
      </c>
      <c r="M357" s="40">
        <f>IF(Countries!X124="","STILL MISSING","Filled ✓")</f>
        <v/>
      </c>
    </row>
    <row r="358">
      <c r="A358" s="40" t="inlineStr">
        <is>
          <t>Countries</t>
        </is>
      </c>
      <c r="B358" s="40" t="inlineStr">
        <is>
          <t>E124</t>
        </is>
      </c>
      <c r="C358" s="40" t="n">
        <v>124</v>
      </c>
      <c r="D358" s="40" t="inlineStr">
        <is>
          <t>Home page</t>
        </is>
      </c>
      <c r="E358" s="40" t="inlineStr">
        <is>
          <t>Paid Search</t>
        </is>
      </c>
      <c r="F358" s="40" t="inlineStr">
        <is>
          <t>Mobile</t>
        </is>
      </c>
      <c r="G358" s="40" t="inlineStr">
        <is>
          <t>Denmark</t>
        </is>
      </c>
      <c r="H358" s="40" t="n">
        <v>13</v>
      </c>
      <c r="I358" s="40" t="inlineStr">
        <is>
          <t>Sessions</t>
        </is>
      </c>
      <c r="J358" s="40" t="inlineStr">
        <is>
          <t>1-23 August 2025</t>
        </is>
      </c>
      <c r="K358" s="55" t="n">
        <v>685</v>
      </c>
      <c r="L358" s="40" t="inlineStr">
        <is>
          <t>Sessions YoY</t>
        </is>
      </c>
      <c r="M358" s="40">
        <f>IF(Countries!E124="","STILL MISSING","Filled ✓")</f>
        <v/>
      </c>
    </row>
    <row r="359">
      <c r="A359" s="56" t="inlineStr">
        <is>
          <t>Countries</t>
        </is>
      </c>
      <c r="B359" s="56" t="inlineStr">
        <is>
          <t>J124</t>
        </is>
      </c>
      <c r="C359" s="56" t="n">
        <v>124</v>
      </c>
      <c r="D359" s="56" t="inlineStr">
        <is>
          <t>Home page</t>
        </is>
      </c>
      <c r="E359" s="56" t="inlineStr">
        <is>
          <t>Paid Search</t>
        </is>
      </c>
      <c r="F359" s="56" t="inlineStr">
        <is>
          <t>Mobile</t>
        </is>
      </c>
      <c r="G359" s="56" t="inlineStr">
        <is>
          <t>Denmark</t>
        </is>
      </c>
      <c r="H359" s="56" t="n">
        <v>13</v>
      </c>
      <c r="I359" s="56" t="inlineStr">
        <is>
          <t>Start Search</t>
        </is>
      </c>
      <c r="J359" s="56" t="inlineStr">
        <is>
          <t>1-23 August 2026</t>
        </is>
      </c>
      <c r="K359" s="57" t="n">
        <v>685</v>
      </c>
      <c r="L359" s="56" t="inlineStr">
        <is>
          <t>Visit→Engagement 1-23 August 2026</t>
        </is>
      </c>
      <c r="M359" s="40">
        <f>IF(Countries!J124="","STILL MISSING","Filled ✓")</f>
        <v/>
      </c>
    </row>
    <row r="360">
      <c r="A360" s="40" t="inlineStr">
        <is>
          <t>Countries</t>
        </is>
      </c>
      <c r="B360" s="40" t="inlineStr">
        <is>
          <t>AR201</t>
        </is>
      </c>
      <c r="C360" s="40" t="n">
        <v>201</v>
      </c>
      <c r="D360" s="40" t="inlineStr">
        <is>
          <t>Home page</t>
        </is>
      </c>
      <c r="E360" s="40" t="inlineStr">
        <is>
          <t>Direct</t>
        </is>
      </c>
      <c r="F360" s="40" t="inlineStr">
        <is>
          <t>Mobile</t>
        </is>
      </c>
      <c r="G360" s="40" t="inlineStr">
        <is>
          <t>Denmark</t>
        </is>
      </c>
      <c r="H360" s="40" t="n">
        <v>13</v>
      </c>
      <c r="I360" s="40" t="inlineStr">
        <is>
          <t>Purchases</t>
        </is>
      </c>
      <c r="J360" s="40" t="inlineStr">
        <is>
          <t>1-23 August 2025</t>
        </is>
      </c>
      <c r="K360" s="55" t="n">
        <v>65</v>
      </c>
      <c r="L360" s="40" t="inlineStr">
        <is>
          <t>Search→Booking 1-23 August 2025</t>
        </is>
      </c>
      <c r="M360" s="40">
        <f>IF(Countries!AR201="","STILL MISSING","Filled ✓")</f>
        <v/>
      </c>
    </row>
    <row r="361">
      <c r="A361" s="56" t="inlineStr">
        <is>
          <t>Countries</t>
        </is>
      </c>
      <c r="B361" s="56" t="inlineStr">
        <is>
          <t>Q201</t>
        </is>
      </c>
      <c r="C361" s="56" t="n">
        <v>201</v>
      </c>
      <c r="D361" s="56" t="inlineStr">
        <is>
          <t>Home page</t>
        </is>
      </c>
      <c r="E361" s="56" t="inlineStr">
        <is>
          <t>Direct</t>
        </is>
      </c>
      <c r="F361" s="56" t="inlineStr">
        <is>
          <t>Mobile</t>
        </is>
      </c>
      <c r="G361" s="56" t="inlineStr">
        <is>
          <t>Denmark</t>
        </is>
      </c>
      <c r="H361" s="56" t="n">
        <v>13</v>
      </c>
      <c r="I361" s="56" t="inlineStr">
        <is>
          <t>Searches</t>
        </is>
      </c>
      <c r="J361" s="56" t="inlineStr">
        <is>
          <t>1-23 August 2026</t>
        </is>
      </c>
      <c r="K361" s="57" t="n">
        <v>65</v>
      </c>
      <c r="L361" s="56" t="inlineStr">
        <is>
          <t>Searches YoY</t>
        </is>
      </c>
      <c r="M361" s="40">
        <f>IF(Countries!Q201="","STILL MISSING","Filled ✓")</f>
        <v/>
      </c>
    </row>
    <row r="362">
      <c r="A362" s="40" t="inlineStr">
        <is>
          <t>Countries</t>
        </is>
      </c>
      <c r="B362" s="40" t="inlineStr">
        <is>
          <t>W201</t>
        </is>
      </c>
      <c r="C362" s="40" t="n">
        <v>201</v>
      </c>
      <c r="D362" s="40" t="inlineStr">
        <is>
          <t>Home page</t>
        </is>
      </c>
      <c r="E362" s="40" t="inlineStr">
        <is>
          <t>Direct</t>
        </is>
      </c>
      <c r="F362" s="40" t="inlineStr">
        <is>
          <t>Mobile</t>
        </is>
      </c>
      <c r="G362" s="40" t="inlineStr">
        <is>
          <t>Denmark</t>
        </is>
      </c>
      <c r="H362" s="40" t="n">
        <v>13</v>
      </c>
      <c r="I362" s="40" t="inlineStr">
        <is>
          <t>Select item</t>
        </is>
      </c>
      <c r="J362" s="40" t="inlineStr">
        <is>
          <t>1-23 August 2025</t>
        </is>
      </c>
      <c r="K362" s="55" t="n">
        <v>65</v>
      </c>
      <c r="L362" s="40" t="inlineStr">
        <is>
          <t>Search→Select 1-23 August 2025</t>
        </is>
      </c>
      <c r="M362" s="40">
        <f>IF(Countries!W201="","STILL MISSING","Filled ✓")</f>
        <v/>
      </c>
    </row>
    <row r="363">
      <c r="A363" s="56" t="inlineStr">
        <is>
          <t>Countries</t>
        </is>
      </c>
      <c r="B363" s="56" t="inlineStr">
        <is>
          <t>E201</t>
        </is>
      </c>
      <c r="C363" s="56" t="n">
        <v>201</v>
      </c>
      <c r="D363" s="56" t="inlineStr">
        <is>
          <t>Home page</t>
        </is>
      </c>
      <c r="E363" s="56" t="inlineStr">
        <is>
          <t>Direct</t>
        </is>
      </c>
      <c r="F363" s="56" t="inlineStr">
        <is>
          <t>Mobile</t>
        </is>
      </c>
      <c r="G363" s="56" t="inlineStr">
        <is>
          <t>Denmark</t>
        </is>
      </c>
      <c r="H363" s="56" t="n">
        <v>13</v>
      </c>
      <c r="I363" s="56" t="inlineStr">
        <is>
          <t>Sessions</t>
        </is>
      </c>
      <c r="J363" s="56" t="inlineStr">
        <is>
          <t>1-23 August 2025</t>
        </is>
      </c>
      <c r="K363" s="57" t="n">
        <v>65</v>
      </c>
      <c r="L363" s="56" t="inlineStr">
        <is>
          <t>Visit→Search 1-23 August 2025</t>
        </is>
      </c>
      <c r="M363" s="40">
        <f>IF(Countries!E201="","STILL MISSING","Filled ✓")</f>
        <v/>
      </c>
    </row>
    <row r="364">
      <c r="A364" s="40" t="inlineStr">
        <is>
          <t>Countries</t>
        </is>
      </c>
      <c r="B364" s="40" t="inlineStr">
        <is>
          <t>AR248</t>
        </is>
      </c>
      <c r="C364" s="40" t="n">
        <v>248</v>
      </c>
      <c r="D364" s="40" t="inlineStr">
        <is>
          <t>Airport page</t>
        </is>
      </c>
      <c r="E364" s="40" t="inlineStr">
        <is>
          <t>Paid Search</t>
        </is>
      </c>
      <c r="F364" s="40" t="inlineStr">
        <is>
          <t>Desktop</t>
        </is>
      </c>
      <c r="G364" s="40" t="inlineStr">
        <is>
          <t>Denmark</t>
        </is>
      </c>
      <c r="H364" s="40" t="n">
        <v>13</v>
      </c>
      <c r="I364" s="40" t="inlineStr">
        <is>
          <t>Purchases</t>
        </is>
      </c>
      <c r="J364" s="40" t="inlineStr">
        <is>
          <t>1-23 August 2025</t>
        </is>
      </c>
      <c r="K364" s="55" t="n">
        <v>1123</v>
      </c>
      <c r="L364" s="40" t="inlineStr">
        <is>
          <t>CR 1-23 August 2025 + Search→Booking 1-23 August 2025</t>
        </is>
      </c>
      <c r="M364" s="40">
        <f>IF(Countries!AR248="","STILL MISSING","Filled ✓")</f>
        <v/>
      </c>
    </row>
    <row r="365">
      <c r="A365" s="56" t="inlineStr">
        <is>
          <t>Countries</t>
        </is>
      </c>
      <c r="B365" s="56" t="inlineStr">
        <is>
          <t>AS248</t>
        </is>
      </c>
      <c r="C365" s="56" t="n">
        <v>248</v>
      </c>
      <c r="D365" s="56" t="inlineStr">
        <is>
          <t>Airport page</t>
        </is>
      </c>
      <c r="E365" s="56" t="inlineStr">
        <is>
          <t>Paid Search</t>
        </is>
      </c>
      <c r="F365" s="56" t="inlineStr">
        <is>
          <t>Desktop</t>
        </is>
      </c>
      <c r="G365" s="56" t="inlineStr">
        <is>
          <t>Denmark</t>
        </is>
      </c>
      <c r="H365" s="56" t="n">
        <v>13</v>
      </c>
      <c r="I365" s="56" t="inlineStr">
        <is>
          <t>Purchases</t>
        </is>
      </c>
      <c r="J365" s="56" t="inlineStr">
        <is>
          <t>1-23 August 2026</t>
        </is>
      </c>
      <c r="K365" s="57" t="n">
        <v>1123</v>
      </c>
      <c r="L365" s="56" t="inlineStr">
        <is>
          <t>CR 1-23 August 2026 + Search→Booking 1-23 August 2026</t>
        </is>
      </c>
      <c r="M365" s="40">
        <f>IF(Countries!AS248="","STILL MISSING","Filled ✓")</f>
        <v/>
      </c>
    </row>
    <row r="366">
      <c r="A366" s="40" t="inlineStr">
        <is>
          <t>Countries</t>
        </is>
      </c>
      <c r="B366" s="40" t="inlineStr">
        <is>
          <t>W248</t>
        </is>
      </c>
      <c r="C366" s="40" t="n">
        <v>248</v>
      </c>
      <c r="D366" s="40" t="inlineStr">
        <is>
          <t>Airport page</t>
        </is>
      </c>
      <c r="E366" s="40" t="inlineStr">
        <is>
          <t>Paid Search</t>
        </is>
      </c>
      <c r="F366" s="40" t="inlineStr">
        <is>
          <t>Desktop</t>
        </is>
      </c>
      <c r="G366" s="40" t="inlineStr">
        <is>
          <t>Denmark</t>
        </is>
      </c>
      <c r="H366" s="40" t="n">
        <v>13</v>
      </c>
      <c r="I366" s="40" t="inlineStr">
        <is>
          <t>Select item</t>
        </is>
      </c>
      <c r="J366" s="40" t="inlineStr">
        <is>
          <t>1-23 August 2025</t>
        </is>
      </c>
      <c r="K366" s="55" t="n">
        <v>1123</v>
      </c>
      <c r="L366" s="40" t="inlineStr">
        <is>
          <t>Search→Select 1-23 August 2025</t>
        </is>
      </c>
      <c r="M366" s="40">
        <f>IF(Countries!W248="","STILL MISSING","Filled ✓")</f>
        <v/>
      </c>
    </row>
    <row r="367">
      <c r="A367" s="56" t="inlineStr">
        <is>
          <t>Countries</t>
        </is>
      </c>
      <c r="B367" s="56" t="inlineStr">
        <is>
          <t>X248</t>
        </is>
      </c>
      <c r="C367" s="56" t="n">
        <v>248</v>
      </c>
      <c r="D367" s="56" t="inlineStr">
        <is>
          <t>Airport page</t>
        </is>
      </c>
      <c r="E367" s="56" t="inlineStr">
        <is>
          <t>Paid Search</t>
        </is>
      </c>
      <c r="F367" s="56" t="inlineStr">
        <is>
          <t>Desktop</t>
        </is>
      </c>
      <c r="G367" s="56" t="inlineStr">
        <is>
          <t>Denmark</t>
        </is>
      </c>
      <c r="H367" s="56" t="n">
        <v>13</v>
      </c>
      <c r="I367" s="56" t="inlineStr">
        <is>
          <t>Select item</t>
        </is>
      </c>
      <c r="J367" s="56" t="inlineStr">
        <is>
          <t>1-23 August 2026</t>
        </is>
      </c>
      <c r="K367" s="57" t="n">
        <v>1123</v>
      </c>
      <c r="L367" s="56" t="inlineStr">
        <is>
          <t>Search→Select 1-23 August 2026</t>
        </is>
      </c>
      <c r="M367" s="40">
        <f>IF(Countries!X248="","STILL MISSING","Filled ✓")</f>
        <v/>
      </c>
    </row>
    <row r="368">
      <c r="A368" s="40" t="inlineStr">
        <is>
          <t>Countries</t>
        </is>
      </c>
      <c r="B368" s="40" t="inlineStr">
        <is>
          <t>I248</t>
        </is>
      </c>
      <c r="C368" s="40" t="n">
        <v>248</v>
      </c>
      <c r="D368" s="40" t="inlineStr">
        <is>
          <t>Airport page</t>
        </is>
      </c>
      <c r="E368" s="40" t="inlineStr">
        <is>
          <t>Paid Search</t>
        </is>
      </c>
      <c r="F368" s="40" t="inlineStr">
        <is>
          <t>Desktop</t>
        </is>
      </c>
      <c r="G368" s="40" t="inlineStr">
        <is>
          <t>Denmark</t>
        </is>
      </c>
      <c r="H368" s="40" t="n">
        <v>13</v>
      </c>
      <c r="I368" s="40" t="inlineStr">
        <is>
          <t>Start Search</t>
        </is>
      </c>
      <c r="J368" s="40" t="inlineStr">
        <is>
          <t>1-23 August 2025</t>
        </is>
      </c>
      <c r="K368" s="55" t="n">
        <v>1123</v>
      </c>
      <c r="L368" s="40" t="inlineStr">
        <is>
          <t>Visit→Engagement 1-23 August 2025</t>
        </is>
      </c>
      <c r="M368" s="40">
        <f>IF(Countries!I248="","STILL MISSING","Filled ✓")</f>
        <v/>
      </c>
    </row>
    <row r="369">
      <c r="A369" s="56" t="inlineStr">
        <is>
          <t>Countries</t>
        </is>
      </c>
      <c r="B369" s="56" t="inlineStr">
        <is>
          <t>J248</t>
        </is>
      </c>
      <c r="C369" s="56" t="n">
        <v>248</v>
      </c>
      <c r="D369" s="56" t="inlineStr">
        <is>
          <t>Airport page</t>
        </is>
      </c>
      <c r="E369" s="56" t="inlineStr">
        <is>
          <t>Paid Search</t>
        </is>
      </c>
      <c r="F369" s="56" t="inlineStr">
        <is>
          <t>Desktop</t>
        </is>
      </c>
      <c r="G369" s="56" t="inlineStr">
        <is>
          <t>Denmark</t>
        </is>
      </c>
      <c r="H369" s="56" t="n">
        <v>13</v>
      </c>
      <c r="I369" s="56" t="inlineStr">
        <is>
          <t>Start Search</t>
        </is>
      </c>
      <c r="J369" s="56" t="inlineStr">
        <is>
          <t>1-23 August 2026</t>
        </is>
      </c>
      <c r="K369" s="57" t="n">
        <v>1123</v>
      </c>
      <c r="L369" s="56" t="inlineStr">
        <is>
          <t>Visit→Engagement 1-23 August 2026</t>
        </is>
      </c>
      <c r="M369" s="40">
        <f>IF(Countries!J248="","STILL MISSING","Filled ✓")</f>
        <v/>
      </c>
    </row>
    <row r="370">
      <c r="A370" s="40" t="inlineStr">
        <is>
          <t>Countries</t>
        </is>
      </c>
      <c r="B370" s="40" t="inlineStr">
        <is>
          <t>AR232</t>
        </is>
      </c>
      <c r="C370" s="40" t="n">
        <v>232</v>
      </c>
      <c r="D370" s="40" t="inlineStr">
        <is>
          <t>Airport page</t>
        </is>
      </c>
      <c r="E370" s="40" t="inlineStr">
        <is>
          <t>Paid Search</t>
        </is>
      </c>
      <c r="F370" s="40" t="inlineStr">
        <is>
          <t>Mobile</t>
        </is>
      </c>
      <c r="G370" s="40" t="inlineStr">
        <is>
          <t>Denmark</t>
        </is>
      </c>
      <c r="H370" s="40" t="n">
        <v>13</v>
      </c>
      <c r="I370" s="40" t="inlineStr">
        <is>
          <t>Purchases</t>
        </is>
      </c>
      <c r="J370" s="40" t="inlineStr">
        <is>
          <t>1-23 August 2025</t>
        </is>
      </c>
      <c r="K370" s="55" t="n">
        <v>1059</v>
      </c>
      <c r="L370" s="40" t="inlineStr">
        <is>
          <t>Search→Booking 1-23 August 2025</t>
        </is>
      </c>
      <c r="M370" s="40">
        <f>IF(Countries!AR232="","STILL MISSING","Filled ✓")</f>
        <v/>
      </c>
    </row>
    <row r="371">
      <c r="A371" s="56" t="inlineStr">
        <is>
          <t>Countries</t>
        </is>
      </c>
      <c r="B371" s="56" t="inlineStr">
        <is>
          <t>AS232</t>
        </is>
      </c>
      <c r="C371" s="56" t="n">
        <v>232</v>
      </c>
      <c r="D371" s="56" t="inlineStr">
        <is>
          <t>Airport page</t>
        </is>
      </c>
      <c r="E371" s="56" t="inlineStr">
        <is>
          <t>Paid Search</t>
        </is>
      </c>
      <c r="F371" s="56" t="inlineStr">
        <is>
          <t>Mobile</t>
        </is>
      </c>
      <c r="G371" s="56" t="inlineStr">
        <is>
          <t>Denmark</t>
        </is>
      </c>
      <c r="H371" s="56" t="n">
        <v>13</v>
      </c>
      <c r="I371" s="56" t="inlineStr">
        <is>
          <t>Purchases</t>
        </is>
      </c>
      <c r="J371" s="56" t="inlineStr">
        <is>
          <t>1-23 August 2026</t>
        </is>
      </c>
      <c r="K371" s="57" t="n">
        <v>1059</v>
      </c>
      <c r="L371" s="56" t="inlineStr">
        <is>
          <t>CR 1-23 August 2026 + Search→Booking 1-23 August 2026</t>
        </is>
      </c>
      <c r="M371" s="40">
        <f>IF(Countries!AS232="","STILL MISSING","Filled ✓")</f>
        <v/>
      </c>
    </row>
    <row r="372">
      <c r="A372" s="40" t="inlineStr">
        <is>
          <t>Countries</t>
        </is>
      </c>
      <c r="B372" s="40" t="inlineStr">
        <is>
          <t>W232</t>
        </is>
      </c>
      <c r="C372" s="40" t="n">
        <v>232</v>
      </c>
      <c r="D372" s="40" t="inlineStr">
        <is>
          <t>Airport page</t>
        </is>
      </c>
      <c r="E372" s="40" t="inlineStr">
        <is>
          <t>Paid Search</t>
        </is>
      </c>
      <c r="F372" s="40" t="inlineStr">
        <is>
          <t>Mobile</t>
        </is>
      </c>
      <c r="G372" s="40" t="inlineStr">
        <is>
          <t>Denmark</t>
        </is>
      </c>
      <c r="H372" s="40" t="n">
        <v>13</v>
      </c>
      <c r="I372" s="40" t="inlineStr">
        <is>
          <t>Select item</t>
        </is>
      </c>
      <c r="J372" s="40" t="inlineStr">
        <is>
          <t>1-23 August 2025</t>
        </is>
      </c>
      <c r="K372" s="55" t="n">
        <v>1059</v>
      </c>
      <c r="L372" s="40" t="inlineStr">
        <is>
          <t>Search→Select 1-23 August 2025</t>
        </is>
      </c>
      <c r="M372" s="40">
        <f>IF(Countries!W232="","STILL MISSING","Filled ✓")</f>
        <v/>
      </c>
    </row>
    <row r="373">
      <c r="A373" s="56" t="inlineStr">
        <is>
          <t>Countries</t>
        </is>
      </c>
      <c r="B373" s="56" t="inlineStr">
        <is>
          <t>X232</t>
        </is>
      </c>
      <c r="C373" s="56" t="n">
        <v>232</v>
      </c>
      <c r="D373" s="56" t="inlineStr">
        <is>
          <t>Airport page</t>
        </is>
      </c>
      <c r="E373" s="56" t="inlineStr">
        <is>
          <t>Paid Search</t>
        </is>
      </c>
      <c r="F373" s="56" t="inlineStr">
        <is>
          <t>Mobile</t>
        </is>
      </c>
      <c r="G373" s="56" t="inlineStr">
        <is>
          <t>Denmark</t>
        </is>
      </c>
      <c r="H373" s="56" t="n">
        <v>13</v>
      </c>
      <c r="I373" s="56" t="inlineStr">
        <is>
          <t>Select item</t>
        </is>
      </c>
      <c r="J373" s="56" t="inlineStr">
        <is>
          <t>1-23 August 2026</t>
        </is>
      </c>
      <c r="K373" s="57" t="n">
        <v>1059</v>
      </c>
      <c r="L373" s="56" t="inlineStr">
        <is>
          <t>Search→Select 1-23 August 2026</t>
        </is>
      </c>
      <c r="M373" s="40">
        <f>IF(Countries!X232="","STILL MISSING","Filled ✓")</f>
        <v/>
      </c>
    </row>
    <row r="374">
      <c r="A374" s="40" t="inlineStr">
        <is>
          <t>Countries</t>
        </is>
      </c>
      <c r="B374" s="40" t="inlineStr">
        <is>
          <t>E232</t>
        </is>
      </c>
      <c r="C374" s="40" t="n">
        <v>232</v>
      </c>
      <c r="D374" s="40" t="inlineStr">
        <is>
          <t>Airport page</t>
        </is>
      </c>
      <c r="E374" s="40" t="inlineStr">
        <is>
          <t>Paid Search</t>
        </is>
      </c>
      <c r="F374" s="40" t="inlineStr">
        <is>
          <t>Mobile</t>
        </is>
      </c>
      <c r="G374" s="40" t="inlineStr">
        <is>
          <t>Denmark</t>
        </is>
      </c>
      <c r="H374" s="40" t="n">
        <v>13</v>
      </c>
      <c r="I374" s="40" t="inlineStr">
        <is>
          <t>Sessions</t>
        </is>
      </c>
      <c r="J374" s="40" t="inlineStr">
        <is>
          <t>1-23 August 2025</t>
        </is>
      </c>
      <c r="K374" s="55" t="n">
        <v>1059</v>
      </c>
      <c r="L374" s="40" t="inlineStr">
        <is>
          <t>Sessions YoY + Visit→Search 1-23 August 2025</t>
        </is>
      </c>
      <c r="M374" s="40">
        <f>IF(Countries!E232="","STILL MISSING","Filled ✓")</f>
        <v/>
      </c>
    </row>
    <row r="375">
      <c r="A375" s="56" t="inlineStr">
        <is>
          <t>Countries</t>
        </is>
      </c>
      <c r="B375" s="56" t="inlineStr">
        <is>
          <t>J232</t>
        </is>
      </c>
      <c r="C375" s="56" t="n">
        <v>232</v>
      </c>
      <c r="D375" s="56" t="inlineStr">
        <is>
          <t>Airport page</t>
        </is>
      </c>
      <c r="E375" s="56" t="inlineStr">
        <is>
          <t>Paid Search</t>
        </is>
      </c>
      <c r="F375" s="56" t="inlineStr">
        <is>
          <t>Mobile</t>
        </is>
      </c>
      <c r="G375" s="56" t="inlineStr">
        <is>
          <t>Denmark</t>
        </is>
      </c>
      <c r="H375" s="56" t="n">
        <v>13</v>
      </c>
      <c r="I375" s="56" t="inlineStr">
        <is>
          <t>Start Search</t>
        </is>
      </c>
      <c r="J375" s="56" t="inlineStr">
        <is>
          <t>1-23 August 2026</t>
        </is>
      </c>
      <c r="K375" s="57" t="n">
        <v>1059</v>
      </c>
      <c r="L375" s="56" t="inlineStr">
        <is>
          <t>Visit→Engagement 1-23 August 2026</t>
        </is>
      </c>
      <c r="M375" s="40">
        <f>IF(Countries!J232="","STILL MISSING","Filled ✓")</f>
        <v/>
      </c>
    </row>
    <row r="376">
      <c r="A376" s="40" t="inlineStr">
        <is>
          <t>Countries</t>
        </is>
      </c>
      <c r="B376" s="40" t="inlineStr">
        <is>
          <t>AR322</t>
        </is>
      </c>
      <c r="C376" s="40" t="n">
        <v>322</v>
      </c>
      <c r="D376" s="40" t="inlineStr">
        <is>
          <t>Airport page</t>
        </is>
      </c>
      <c r="E376" s="40" t="inlineStr">
        <is>
          <t>Direct</t>
        </is>
      </c>
      <c r="F376" s="40" t="inlineStr">
        <is>
          <t>Desktop</t>
        </is>
      </c>
      <c r="G376" s="40" t="inlineStr">
        <is>
          <t>Denmark</t>
        </is>
      </c>
      <c r="H376" s="40" t="n">
        <v>13</v>
      </c>
      <c r="I376" s="40" t="inlineStr">
        <is>
          <t>Purchases</t>
        </is>
      </c>
      <c r="J376" s="40" t="inlineStr">
        <is>
          <t>1-23 August 2025</t>
        </is>
      </c>
      <c r="K376" s="55" t="n">
        <v>54</v>
      </c>
      <c r="L376" s="40" t="inlineStr">
        <is>
          <t>CR 1-23 August 2025</t>
        </is>
      </c>
      <c r="M376" s="40">
        <f>IF(Countries!AR322="","STILL MISSING","Filled ✓")</f>
        <v/>
      </c>
    </row>
    <row r="377">
      <c r="A377" s="56" t="inlineStr">
        <is>
          <t>Countries</t>
        </is>
      </c>
      <c r="B377" s="56" t="inlineStr">
        <is>
          <t>AS322</t>
        </is>
      </c>
      <c r="C377" s="56" t="n">
        <v>322</v>
      </c>
      <c r="D377" s="56" t="inlineStr">
        <is>
          <t>Airport page</t>
        </is>
      </c>
      <c r="E377" s="56" t="inlineStr">
        <is>
          <t>Direct</t>
        </is>
      </c>
      <c r="F377" s="56" t="inlineStr">
        <is>
          <t>Desktop</t>
        </is>
      </c>
      <c r="G377" s="56" t="inlineStr">
        <is>
          <t>Denmark</t>
        </is>
      </c>
      <c r="H377" s="56" t="n">
        <v>13</v>
      </c>
      <c r="I377" s="56" t="inlineStr">
        <is>
          <t>Purchases</t>
        </is>
      </c>
      <c r="J377" s="56" t="inlineStr">
        <is>
          <t>1-23 August 2026</t>
        </is>
      </c>
      <c r="K377" s="57" t="n">
        <v>54</v>
      </c>
      <c r="L377" s="56" t="inlineStr">
        <is>
          <t>Search→Booking 1-23 August 2026</t>
        </is>
      </c>
      <c r="M377" s="40">
        <f>IF(Countries!AS322="","STILL MISSING","Filled ✓")</f>
        <v/>
      </c>
    </row>
    <row r="378">
      <c r="A378" s="40" t="inlineStr">
        <is>
          <t>Countries</t>
        </is>
      </c>
      <c r="B378" s="40" t="inlineStr">
        <is>
          <t>P322</t>
        </is>
      </c>
      <c r="C378" s="40" t="n">
        <v>322</v>
      </c>
      <c r="D378" s="40" t="inlineStr">
        <is>
          <t>Airport page</t>
        </is>
      </c>
      <c r="E378" s="40" t="inlineStr">
        <is>
          <t>Direct</t>
        </is>
      </c>
      <c r="F378" s="40" t="inlineStr">
        <is>
          <t>Desktop</t>
        </is>
      </c>
      <c r="G378" s="40" t="inlineStr">
        <is>
          <t>Denmark</t>
        </is>
      </c>
      <c r="H378" s="40" t="n">
        <v>13</v>
      </c>
      <c r="I378" s="40" t="inlineStr">
        <is>
          <t>Searches</t>
        </is>
      </c>
      <c r="J378" s="40" t="inlineStr">
        <is>
          <t>1-23 August 2025</t>
        </is>
      </c>
      <c r="K378" s="55" t="n">
        <v>54</v>
      </c>
      <c r="L378" s="40" t="inlineStr">
        <is>
          <t>Searches YoY + Visit→Search 1-23 August 2025</t>
        </is>
      </c>
      <c r="M378" s="40">
        <f>IF(Countries!P322="","STILL MISSING","Filled ✓")</f>
        <v/>
      </c>
    </row>
    <row r="379">
      <c r="A379" s="56" t="inlineStr">
        <is>
          <t>Countries</t>
        </is>
      </c>
      <c r="B379" s="56" t="inlineStr">
        <is>
          <t>X322</t>
        </is>
      </c>
      <c r="C379" s="56" t="n">
        <v>322</v>
      </c>
      <c r="D379" s="56" t="inlineStr">
        <is>
          <t>Airport page</t>
        </is>
      </c>
      <c r="E379" s="56" t="inlineStr">
        <is>
          <t>Direct</t>
        </is>
      </c>
      <c r="F379" s="56" t="inlineStr">
        <is>
          <t>Desktop</t>
        </is>
      </c>
      <c r="G379" s="56" t="inlineStr">
        <is>
          <t>Denmark</t>
        </is>
      </c>
      <c r="H379" s="56" t="n">
        <v>13</v>
      </c>
      <c r="I379" s="56" t="inlineStr">
        <is>
          <t>Select item</t>
        </is>
      </c>
      <c r="J379" s="56" t="inlineStr">
        <is>
          <t>1-23 August 2026</t>
        </is>
      </c>
      <c r="K379" s="57" t="n">
        <v>54</v>
      </c>
      <c r="L379" s="56" t="inlineStr">
        <is>
          <t>Search→Select 1-23 August 2026</t>
        </is>
      </c>
      <c r="M379" s="40">
        <f>IF(Countries!X322="","STILL MISSING","Filled ✓")</f>
        <v/>
      </c>
    </row>
    <row r="380">
      <c r="A380" s="40" t="inlineStr">
        <is>
          <t>Countries</t>
        </is>
      </c>
      <c r="B380" s="40" t="inlineStr">
        <is>
          <t>F322</t>
        </is>
      </c>
      <c r="C380" s="40" t="n">
        <v>322</v>
      </c>
      <c r="D380" s="40" t="inlineStr">
        <is>
          <t>Airport page</t>
        </is>
      </c>
      <c r="E380" s="40" t="inlineStr">
        <is>
          <t>Direct</t>
        </is>
      </c>
      <c r="F380" s="40" t="inlineStr">
        <is>
          <t>Desktop</t>
        </is>
      </c>
      <c r="G380" s="40" t="inlineStr">
        <is>
          <t>Denmark</t>
        </is>
      </c>
      <c r="H380" s="40" t="n">
        <v>13</v>
      </c>
      <c r="I380" s="40" t="inlineStr">
        <is>
          <t>Sessions</t>
        </is>
      </c>
      <c r="J380" s="40" t="inlineStr">
        <is>
          <t>1-23 August 2026</t>
        </is>
      </c>
      <c r="K380" s="55" t="n">
        <v>54</v>
      </c>
      <c r="L380" s="40" t="inlineStr">
        <is>
          <t>Sessions YoY + Visit→Search 1-23 August 2026</t>
        </is>
      </c>
      <c r="M380" s="40">
        <f>IF(Countries!F322="","STILL MISSING","Filled ✓")</f>
        <v/>
      </c>
    </row>
    <row r="381">
      <c r="A381" s="56" t="inlineStr">
        <is>
          <t>Countries</t>
        </is>
      </c>
      <c r="B381" s="56" t="inlineStr">
        <is>
          <t>I322</t>
        </is>
      </c>
      <c r="C381" s="56" t="n">
        <v>322</v>
      </c>
      <c r="D381" s="56" t="inlineStr">
        <is>
          <t>Airport page</t>
        </is>
      </c>
      <c r="E381" s="56" t="inlineStr">
        <is>
          <t>Direct</t>
        </is>
      </c>
      <c r="F381" s="56" t="inlineStr">
        <is>
          <t>Desktop</t>
        </is>
      </c>
      <c r="G381" s="56" t="inlineStr">
        <is>
          <t>Denmark</t>
        </is>
      </c>
      <c r="H381" s="56" t="n">
        <v>13</v>
      </c>
      <c r="I381" s="56" t="inlineStr">
        <is>
          <t>Start Search</t>
        </is>
      </c>
      <c r="J381" s="56" t="inlineStr">
        <is>
          <t>1-23 August 2025</t>
        </is>
      </c>
      <c r="K381" s="57" t="n">
        <v>54</v>
      </c>
      <c r="L381" s="56" t="inlineStr">
        <is>
          <t>Visit→Engagement 1-23 August 2025</t>
        </is>
      </c>
      <c r="M381" s="40">
        <f>IF(Countries!I322="","STILL MISSING","Filled ✓")</f>
        <v/>
      </c>
    </row>
    <row r="382">
      <c r="A382" s="40" t="inlineStr">
        <is>
          <t>Countries</t>
        </is>
      </c>
      <c r="B382" s="40" t="inlineStr">
        <is>
          <t>AS296</t>
        </is>
      </c>
      <c r="C382" s="40" t="n">
        <v>296</v>
      </c>
      <c r="D382" s="40" t="inlineStr">
        <is>
          <t>Airport page</t>
        </is>
      </c>
      <c r="E382" s="40" t="inlineStr">
        <is>
          <t>Direct</t>
        </is>
      </c>
      <c r="F382" s="40" t="inlineStr">
        <is>
          <t>Mobile</t>
        </is>
      </c>
      <c r="G382" s="40" t="inlineStr">
        <is>
          <t>Denmark</t>
        </is>
      </c>
      <c r="H382" s="40" t="n">
        <v>13</v>
      </c>
      <c r="I382" s="40" t="inlineStr">
        <is>
          <t>Purchases</t>
        </is>
      </c>
      <c r="J382" s="40" t="inlineStr">
        <is>
          <t>1-23 August 2026</t>
        </is>
      </c>
      <c r="K382" s="55" t="n">
        <v>46</v>
      </c>
      <c r="L382" s="40" t="inlineStr">
        <is>
          <t>CR 1-23 August 2026 + Search→Booking 1-23 August 2026</t>
        </is>
      </c>
      <c r="M382" s="40">
        <f>IF(Countries!AS296="","STILL MISSING","Filled ✓")</f>
        <v/>
      </c>
    </row>
    <row r="383">
      <c r="A383" s="56" t="inlineStr">
        <is>
          <t>Countries</t>
        </is>
      </c>
      <c r="B383" s="56" t="inlineStr">
        <is>
          <t>P296</t>
        </is>
      </c>
      <c r="C383" s="56" t="n">
        <v>296</v>
      </c>
      <c r="D383" s="56" t="inlineStr">
        <is>
          <t>Airport page</t>
        </is>
      </c>
      <c r="E383" s="56" t="inlineStr">
        <is>
          <t>Direct</t>
        </is>
      </c>
      <c r="F383" s="56" t="inlineStr">
        <is>
          <t>Mobile</t>
        </is>
      </c>
      <c r="G383" s="56" t="inlineStr">
        <is>
          <t>Denmark</t>
        </is>
      </c>
      <c r="H383" s="56" t="n">
        <v>13</v>
      </c>
      <c r="I383" s="56" t="inlineStr">
        <is>
          <t>Searches</t>
        </is>
      </c>
      <c r="J383" s="56" t="inlineStr">
        <is>
          <t>1-23 August 2025</t>
        </is>
      </c>
      <c r="K383" s="57" t="n">
        <v>46</v>
      </c>
      <c r="L383" s="56" t="inlineStr">
        <is>
          <t>Searches YoY</t>
        </is>
      </c>
      <c r="M383" s="40">
        <f>IF(Countries!P296="","STILL MISSING","Filled ✓")</f>
        <v/>
      </c>
    </row>
    <row r="384">
      <c r="A384" s="40" t="inlineStr">
        <is>
          <t>Countries</t>
        </is>
      </c>
      <c r="B384" s="40" t="inlineStr">
        <is>
          <t>X296</t>
        </is>
      </c>
      <c r="C384" s="40" t="n">
        <v>296</v>
      </c>
      <c r="D384" s="40" t="inlineStr">
        <is>
          <t>Airport page</t>
        </is>
      </c>
      <c r="E384" s="40" t="inlineStr">
        <is>
          <t>Direct</t>
        </is>
      </c>
      <c r="F384" s="40" t="inlineStr">
        <is>
          <t>Mobile</t>
        </is>
      </c>
      <c r="G384" s="40" t="inlineStr">
        <is>
          <t>Denmark</t>
        </is>
      </c>
      <c r="H384" s="40" t="n">
        <v>13</v>
      </c>
      <c r="I384" s="40" t="inlineStr">
        <is>
          <t>Select item</t>
        </is>
      </c>
      <c r="J384" s="40" t="inlineStr">
        <is>
          <t>1-23 August 2026</t>
        </is>
      </c>
      <c r="K384" s="55" t="n">
        <v>46</v>
      </c>
      <c r="L384" s="40" t="inlineStr">
        <is>
          <t>Search→Select 1-23 August 2026</t>
        </is>
      </c>
      <c r="M384" s="40">
        <f>IF(Countries!X296="","STILL MISSING","Filled ✓")</f>
        <v/>
      </c>
    </row>
    <row r="385">
      <c r="A385" s="56" t="inlineStr">
        <is>
          <t>Countries</t>
        </is>
      </c>
      <c r="B385" s="56" t="inlineStr">
        <is>
          <t>E296</t>
        </is>
      </c>
      <c r="C385" s="56" t="n">
        <v>296</v>
      </c>
      <c r="D385" s="56" t="inlineStr">
        <is>
          <t>Airport page</t>
        </is>
      </c>
      <c r="E385" s="56" t="inlineStr">
        <is>
          <t>Direct</t>
        </is>
      </c>
      <c r="F385" s="56" t="inlineStr">
        <is>
          <t>Mobile</t>
        </is>
      </c>
      <c r="G385" s="56" t="inlineStr">
        <is>
          <t>Denmark</t>
        </is>
      </c>
      <c r="H385" s="56" t="n">
        <v>13</v>
      </c>
      <c r="I385" s="56" t="inlineStr">
        <is>
          <t>Sessions</t>
        </is>
      </c>
      <c r="J385" s="56" t="inlineStr">
        <is>
          <t>1-23 August 2025</t>
        </is>
      </c>
      <c r="K385" s="57" t="n">
        <v>46</v>
      </c>
      <c r="L385" s="56" t="inlineStr">
        <is>
          <t>Sessions YoY</t>
        </is>
      </c>
      <c r="M385" s="40">
        <f>IF(Countries!E296="","STILL MISSING","Filled ✓")</f>
        <v/>
      </c>
    </row>
    <row r="386">
      <c r="A386" s="40" t="inlineStr">
        <is>
          <t>Countries</t>
        </is>
      </c>
      <c r="B386" s="40" t="inlineStr">
        <is>
          <t>J296</t>
        </is>
      </c>
      <c r="C386" s="40" t="n">
        <v>296</v>
      </c>
      <c r="D386" s="40" t="inlineStr">
        <is>
          <t>Airport page</t>
        </is>
      </c>
      <c r="E386" s="40" t="inlineStr">
        <is>
          <t>Direct</t>
        </is>
      </c>
      <c r="F386" s="40" t="inlineStr">
        <is>
          <t>Mobile</t>
        </is>
      </c>
      <c r="G386" s="40" t="inlineStr">
        <is>
          <t>Denmark</t>
        </is>
      </c>
      <c r="H386" s="40" t="n">
        <v>13</v>
      </c>
      <c r="I386" s="40" t="inlineStr">
        <is>
          <t>Start Search</t>
        </is>
      </c>
      <c r="J386" s="40" t="inlineStr">
        <is>
          <t>1-23 August 2026</t>
        </is>
      </c>
      <c r="K386" s="55" t="n">
        <v>46</v>
      </c>
      <c r="L386" s="40" t="inlineStr">
        <is>
          <t>Visit→Engagement 1-23 August 2026</t>
        </is>
      </c>
      <c r="M386" s="40">
        <f>IF(Countries!J296="","STILL MISSING","Filled ✓")</f>
        <v/>
      </c>
    </row>
    <row r="387">
      <c r="A387" s="56" t="inlineStr">
        <is>
          <t>Countries</t>
        </is>
      </c>
      <c r="B387" s="56" t="inlineStr">
        <is>
          <t>AS337</t>
        </is>
      </c>
      <c r="C387" s="56" t="n">
        <v>337</v>
      </c>
      <c r="D387" s="56" t="inlineStr">
        <is>
          <t>Route page</t>
        </is>
      </c>
      <c r="E387" s="56" t="inlineStr">
        <is>
          <t>Paid Search</t>
        </is>
      </c>
      <c r="F387" s="56" t="inlineStr">
        <is>
          <t>Mobile</t>
        </is>
      </c>
      <c r="G387" s="56" t="inlineStr">
        <is>
          <t>Denmark</t>
        </is>
      </c>
      <c r="H387" s="56" t="n">
        <v>13</v>
      </c>
      <c r="I387" s="56" t="inlineStr">
        <is>
          <t>Purchases</t>
        </is>
      </c>
      <c r="J387" s="56" t="inlineStr">
        <is>
          <t>1-23 August 2026</t>
        </is>
      </c>
      <c r="K387" s="57" t="n">
        <v>214</v>
      </c>
      <c r="L387" s="56" t="inlineStr">
        <is>
          <t>CR 1-23 August 2026 + Search→Booking 1-23 August 2026</t>
        </is>
      </c>
      <c r="M387" s="40">
        <f>IF(Countries!AS337="","STILL MISSING","Filled ✓")</f>
        <v/>
      </c>
    </row>
    <row r="388">
      <c r="A388" s="40" t="inlineStr">
        <is>
          <t>Countries</t>
        </is>
      </c>
      <c r="B388" s="40" t="inlineStr">
        <is>
          <t>P337</t>
        </is>
      </c>
      <c r="C388" s="40" t="n">
        <v>337</v>
      </c>
      <c r="D388" s="40" t="inlineStr">
        <is>
          <t>Route page</t>
        </is>
      </c>
      <c r="E388" s="40" t="inlineStr">
        <is>
          <t>Paid Search</t>
        </is>
      </c>
      <c r="F388" s="40" t="inlineStr">
        <is>
          <t>Mobile</t>
        </is>
      </c>
      <c r="G388" s="40" t="inlineStr">
        <is>
          <t>Denmark</t>
        </is>
      </c>
      <c r="H388" s="40" t="n">
        <v>13</v>
      </c>
      <c r="I388" s="40" t="inlineStr">
        <is>
          <t>Searches</t>
        </is>
      </c>
      <c r="J388" s="40" t="inlineStr">
        <is>
          <t>1-23 August 2025</t>
        </is>
      </c>
      <c r="K388" s="55" t="n">
        <v>214</v>
      </c>
      <c r="L388" s="40" t="inlineStr">
        <is>
          <t>Searches YoY</t>
        </is>
      </c>
      <c r="M388" s="40">
        <f>IF(Countries!P337="","STILL MISSING","Filled ✓")</f>
        <v/>
      </c>
    </row>
    <row r="389">
      <c r="A389" s="56" t="inlineStr">
        <is>
          <t>Countries</t>
        </is>
      </c>
      <c r="B389" s="56" t="inlineStr">
        <is>
          <t>X337</t>
        </is>
      </c>
      <c r="C389" s="56" t="n">
        <v>337</v>
      </c>
      <c r="D389" s="56" t="inlineStr">
        <is>
          <t>Route page</t>
        </is>
      </c>
      <c r="E389" s="56" t="inlineStr">
        <is>
          <t>Paid Search</t>
        </is>
      </c>
      <c r="F389" s="56" t="inlineStr">
        <is>
          <t>Mobile</t>
        </is>
      </c>
      <c r="G389" s="56" t="inlineStr">
        <is>
          <t>Denmark</t>
        </is>
      </c>
      <c r="H389" s="56" t="n">
        <v>13</v>
      </c>
      <c r="I389" s="56" t="inlineStr">
        <is>
          <t>Select item</t>
        </is>
      </c>
      <c r="J389" s="56" t="inlineStr">
        <is>
          <t>1-23 August 2026</t>
        </is>
      </c>
      <c r="K389" s="57" t="n">
        <v>214</v>
      </c>
      <c r="L389" s="56" t="inlineStr">
        <is>
          <t>Search→Select 1-23 August 2026</t>
        </is>
      </c>
      <c r="M389" s="40">
        <f>IF(Countries!X337="","STILL MISSING","Filled ✓")</f>
        <v/>
      </c>
    </row>
    <row r="390">
      <c r="A390" s="40" t="inlineStr">
        <is>
          <t>Countries</t>
        </is>
      </c>
      <c r="B390" s="40" t="inlineStr">
        <is>
          <t>E337</t>
        </is>
      </c>
      <c r="C390" s="40" t="n">
        <v>337</v>
      </c>
      <c r="D390" s="40" t="inlineStr">
        <is>
          <t>Route page</t>
        </is>
      </c>
      <c r="E390" s="40" t="inlineStr">
        <is>
          <t>Paid Search</t>
        </is>
      </c>
      <c r="F390" s="40" t="inlineStr">
        <is>
          <t>Mobile</t>
        </is>
      </c>
      <c r="G390" s="40" t="inlineStr">
        <is>
          <t>Denmark</t>
        </is>
      </c>
      <c r="H390" s="40" t="n">
        <v>13</v>
      </c>
      <c r="I390" s="40" t="inlineStr">
        <is>
          <t>Sessions</t>
        </is>
      </c>
      <c r="J390" s="40" t="inlineStr">
        <is>
          <t>1-23 August 2025</t>
        </is>
      </c>
      <c r="K390" s="55" t="n">
        <v>214</v>
      </c>
      <c r="L390" s="40" t="inlineStr">
        <is>
          <t>Sessions YoY</t>
        </is>
      </c>
      <c r="M390" s="40">
        <f>IF(Countries!E337="","STILL MISSING","Filled ✓")</f>
        <v/>
      </c>
    </row>
    <row r="391">
      <c r="A391" s="56" t="inlineStr">
        <is>
          <t>Countries</t>
        </is>
      </c>
      <c r="B391" s="56" t="inlineStr">
        <is>
          <t>J337</t>
        </is>
      </c>
      <c r="C391" s="56" t="n">
        <v>337</v>
      </c>
      <c r="D391" s="56" t="inlineStr">
        <is>
          <t>Route page</t>
        </is>
      </c>
      <c r="E391" s="56" t="inlineStr">
        <is>
          <t>Paid Search</t>
        </is>
      </c>
      <c r="F391" s="56" t="inlineStr">
        <is>
          <t>Mobile</t>
        </is>
      </c>
      <c r="G391" s="56" t="inlineStr">
        <is>
          <t>Denmark</t>
        </is>
      </c>
      <c r="H391" s="56" t="n">
        <v>13</v>
      </c>
      <c r="I391" s="56" t="inlineStr">
        <is>
          <t>Start Search</t>
        </is>
      </c>
      <c r="J391" s="56" t="inlineStr">
        <is>
          <t>1-23 August 2026</t>
        </is>
      </c>
      <c r="K391" s="57" t="n">
        <v>214</v>
      </c>
      <c r="L391" s="56" t="inlineStr">
        <is>
          <t>Visit→Engagement 1-23 August 2026</t>
        </is>
      </c>
      <c r="M391" s="40">
        <f>IF(Countries!J337="","STILL MISSING","Filled ✓")</f>
        <v/>
      </c>
    </row>
    <row r="392">
      <c r="A392" s="40" t="inlineStr">
        <is>
          <t>Countries</t>
        </is>
      </c>
      <c r="B392" s="40" t="inlineStr">
        <is>
          <t>AR408</t>
        </is>
      </c>
      <c r="C392" s="40" t="n">
        <v>408</v>
      </c>
      <c r="D392" s="40" t="inlineStr">
        <is>
          <t>Route page</t>
        </is>
      </c>
      <c r="E392" s="40" t="inlineStr">
        <is>
          <t>Direct</t>
        </is>
      </c>
      <c r="F392" s="40" t="inlineStr">
        <is>
          <t>Mobile</t>
        </is>
      </c>
      <c r="G392" s="40" t="inlineStr">
        <is>
          <t>Denmark</t>
        </is>
      </c>
      <c r="H392" s="40" t="n">
        <v>13</v>
      </c>
      <c r="I392" s="40" t="inlineStr">
        <is>
          <t>Purchases</t>
        </is>
      </c>
      <c r="J392" s="40" t="inlineStr">
        <is>
          <t>1-23 August 2025</t>
        </is>
      </c>
      <c r="K392" s="55" t="n">
        <v>47</v>
      </c>
      <c r="L392" s="40" t="inlineStr">
        <is>
          <t>CR 1-23 August 2025 + Search→Booking 1-23 August 2025</t>
        </is>
      </c>
      <c r="M392" s="40">
        <f>IF(Countries!AR408="","STILL MISSING","Filled ✓")</f>
        <v/>
      </c>
    </row>
    <row r="393">
      <c r="A393" s="56" t="inlineStr">
        <is>
          <t>Countries</t>
        </is>
      </c>
      <c r="B393" s="56" t="inlineStr">
        <is>
          <t>AS408</t>
        </is>
      </c>
      <c r="C393" s="56" t="n">
        <v>408</v>
      </c>
      <c r="D393" s="56" t="inlineStr">
        <is>
          <t>Route page</t>
        </is>
      </c>
      <c r="E393" s="56" t="inlineStr">
        <is>
          <t>Direct</t>
        </is>
      </c>
      <c r="F393" s="56" t="inlineStr">
        <is>
          <t>Mobile</t>
        </is>
      </c>
      <c r="G393" s="56" t="inlineStr">
        <is>
          <t>Denmark</t>
        </is>
      </c>
      <c r="H393" s="56" t="n">
        <v>13</v>
      </c>
      <c r="I393" s="56" t="inlineStr">
        <is>
          <t>Purchases</t>
        </is>
      </c>
      <c r="J393" s="56" t="inlineStr">
        <is>
          <t>1-23 August 2026</t>
        </is>
      </c>
      <c r="K393" s="57" t="n">
        <v>47</v>
      </c>
      <c r="L393" s="56" t="inlineStr">
        <is>
          <t>CR 1-23 August 2026</t>
        </is>
      </c>
      <c r="M393" s="40">
        <f>IF(Countries!AS408="","STILL MISSING","Filled ✓")</f>
        <v/>
      </c>
    </row>
    <row r="394">
      <c r="A394" s="40" t="inlineStr">
        <is>
          <t>Countries</t>
        </is>
      </c>
      <c r="B394" s="40" t="inlineStr">
        <is>
          <t>Q408</t>
        </is>
      </c>
      <c r="C394" s="40" t="n">
        <v>408</v>
      </c>
      <c r="D394" s="40" t="inlineStr">
        <is>
          <t>Route page</t>
        </is>
      </c>
      <c r="E394" s="40" t="inlineStr">
        <is>
          <t>Direct</t>
        </is>
      </c>
      <c r="F394" s="40" t="inlineStr">
        <is>
          <t>Mobile</t>
        </is>
      </c>
      <c r="G394" s="40" t="inlineStr">
        <is>
          <t>Denmark</t>
        </is>
      </c>
      <c r="H394" s="40" t="n">
        <v>13</v>
      </c>
      <c r="I394" s="40" t="inlineStr">
        <is>
          <t>Searches</t>
        </is>
      </c>
      <c r="J394" s="40" t="inlineStr">
        <is>
          <t>1-23 August 2026</t>
        </is>
      </c>
      <c r="K394" s="55" t="n">
        <v>47</v>
      </c>
      <c r="L394" s="40" t="inlineStr">
        <is>
          <t>Searches YoY + Visit→Search 1-23 August 2026</t>
        </is>
      </c>
      <c r="M394" s="40">
        <f>IF(Countries!Q408="","STILL MISSING","Filled ✓")</f>
        <v/>
      </c>
    </row>
    <row r="395">
      <c r="A395" s="56" t="inlineStr">
        <is>
          <t>Countries</t>
        </is>
      </c>
      <c r="B395" s="56" t="inlineStr">
        <is>
          <t>W408</t>
        </is>
      </c>
      <c r="C395" s="56" t="n">
        <v>408</v>
      </c>
      <c r="D395" s="56" t="inlineStr">
        <is>
          <t>Route page</t>
        </is>
      </c>
      <c r="E395" s="56" t="inlineStr">
        <is>
          <t>Direct</t>
        </is>
      </c>
      <c r="F395" s="56" t="inlineStr">
        <is>
          <t>Mobile</t>
        </is>
      </c>
      <c r="G395" s="56" t="inlineStr">
        <is>
          <t>Denmark</t>
        </is>
      </c>
      <c r="H395" s="56" t="n">
        <v>13</v>
      </c>
      <c r="I395" s="56" t="inlineStr">
        <is>
          <t>Select item</t>
        </is>
      </c>
      <c r="J395" s="56" t="inlineStr">
        <is>
          <t>1-23 August 2025</t>
        </is>
      </c>
      <c r="K395" s="57" t="n">
        <v>47</v>
      </c>
      <c r="L395" s="56" t="inlineStr">
        <is>
          <t>Search→Select 1-23 August 2025</t>
        </is>
      </c>
      <c r="M395" s="40">
        <f>IF(Countries!W408="","STILL MISSING","Filled ✓")</f>
        <v/>
      </c>
    </row>
    <row r="396">
      <c r="A396" s="40" t="inlineStr">
        <is>
          <t>Countries</t>
        </is>
      </c>
      <c r="B396" s="40" t="inlineStr">
        <is>
          <t>I408</t>
        </is>
      </c>
      <c r="C396" s="40" t="n">
        <v>408</v>
      </c>
      <c r="D396" s="40" t="inlineStr">
        <is>
          <t>Route page</t>
        </is>
      </c>
      <c r="E396" s="40" t="inlineStr">
        <is>
          <t>Direct</t>
        </is>
      </c>
      <c r="F396" s="40" t="inlineStr">
        <is>
          <t>Mobile</t>
        </is>
      </c>
      <c r="G396" s="40" t="inlineStr">
        <is>
          <t>Denmark</t>
        </is>
      </c>
      <c r="H396" s="40" t="n">
        <v>13</v>
      </c>
      <c r="I396" s="40" t="inlineStr">
        <is>
          <t>Start Search</t>
        </is>
      </c>
      <c r="J396" s="40" t="inlineStr">
        <is>
          <t>1-23 August 2025</t>
        </is>
      </c>
      <c r="K396" s="55" t="n">
        <v>47</v>
      </c>
      <c r="L396" s="40" t="inlineStr">
        <is>
          <t>Visit→Engagement 1-23 August 2025</t>
        </is>
      </c>
      <c r="M396" s="40">
        <f>IF(Countries!I408="","STILL MISSING","Filled ✓")</f>
        <v/>
      </c>
    </row>
    <row r="397">
      <c r="A397" s="56" t="inlineStr">
        <is>
          <t>Countries</t>
        </is>
      </c>
      <c r="B397" s="56" t="inlineStr">
        <is>
          <t>J408</t>
        </is>
      </c>
      <c r="C397" s="56" t="n">
        <v>408</v>
      </c>
      <c r="D397" s="56" t="inlineStr">
        <is>
          <t>Route page</t>
        </is>
      </c>
      <c r="E397" s="56" t="inlineStr">
        <is>
          <t>Direct</t>
        </is>
      </c>
      <c r="F397" s="56" t="inlineStr">
        <is>
          <t>Mobile</t>
        </is>
      </c>
      <c r="G397" s="56" t="inlineStr">
        <is>
          <t>Denmark</t>
        </is>
      </c>
      <c r="H397" s="56" t="n">
        <v>13</v>
      </c>
      <c r="I397" s="56" t="inlineStr">
        <is>
          <t>Start Search</t>
        </is>
      </c>
      <c r="J397" s="56" t="inlineStr">
        <is>
          <t>1-23 August 2026</t>
        </is>
      </c>
      <c r="K397" s="57" t="n">
        <v>47</v>
      </c>
      <c r="L397" s="56" t="inlineStr">
        <is>
          <t>Visit→Engagement 1-23 August 2026</t>
        </is>
      </c>
      <c r="M397" s="40">
        <f>IF(Countries!J408="","STILL MISSING","Filled ✓")</f>
        <v/>
      </c>
    </row>
    <row r="398">
      <c r="A398" s="40" t="inlineStr">
        <is>
          <t>Countries</t>
        </is>
      </c>
      <c r="B398" s="40" t="inlineStr">
        <is>
          <t>P70</t>
        </is>
      </c>
      <c r="C398" s="40" t="n">
        <v>70</v>
      </c>
      <c r="D398" s="40" t="inlineStr">
        <is>
          <t>All landing pages</t>
        </is>
      </c>
      <c r="E398" s="40" t="inlineStr">
        <is>
          <t>Organic</t>
        </is>
      </c>
      <c r="F398" s="40" t="inlineStr">
        <is>
          <t>Desktop</t>
        </is>
      </c>
      <c r="G398" s="40" t="inlineStr">
        <is>
          <t>Norway</t>
        </is>
      </c>
      <c r="H398" s="40" t="n">
        <v>14</v>
      </c>
      <c r="I398" s="40" t="inlineStr">
        <is>
          <t>Searches</t>
        </is>
      </c>
      <c r="J398" s="40" t="inlineStr">
        <is>
          <t>1-23 August 2025</t>
        </is>
      </c>
      <c r="K398" s="55" t="n">
        <v>177</v>
      </c>
      <c r="L398" s="40" t="inlineStr">
        <is>
          <t>Search→Booking 1-23 August 2025 + Search→Select 1-23 August 2025</t>
        </is>
      </c>
      <c r="M398" s="40">
        <f>IF(Countries!P70="","STILL MISSING","Filled ✓")</f>
        <v/>
      </c>
    </row>
    <row r="399">
      <c r="A399" s="56" t="inlineStr">
        <is>
          <t>Countries</t>
        </is>
      </c>
      <c r="B399" s="56" t="inlineStr">
        <is>
          <t>Q70</t>
        </is>
      </c>
      <c r="C399" s="56" t="n">
        <v>70</v>
      </c>
      <c r="D399" s="56" t="inlineStr">
        <is>
          <t>All landing pages</t>
        </is>
      </c>
      <c r="E399" s="56" t="inlineStr">
        <is>
          <t>Organic</t>
        </is>
      </c>
      <c r="F399" s="56" t="inlineStr">
        <is>
          <t>Desktop</t>
        </is>
      </c>
      <c r="G399" s="56" t="inlineStr">
        <is>
          <t>Norway</t>
        </is>
      </c>
      <c r="H399" s="56" t="n">
        <v>14</v>
      </c>
      <c r="I399" s="56" t="inlineStr">
        <is>
          <t>Searches</t>
        </is>
      </c>
      <c r="J399" s="56" t="inlineStr">
        <is>
          <t>1-23 August 2026</t>
        </is>
      </c>
      <c r="K399" s="57" t="n">
        <v>177</v>
      </c>
      <c r="L399" s="56" t="inlineStr">
        <is>
          <t>Search→Booking 1-23 August 2026 + Search→Select 1-23 August 2026</t>
        </is>
      </c>
      <c r="M399" s="40">
        <f>IF(Countries!Q70="","STILL MISSING","Filled ✓")</f>
        <v/>
      </c>
    </row>
    <row r="400">
      <c r="A400" s="40" t="inlineStr">
        <is>
          <t>Countries</t>
        </is>
      </c>
      <c r="B400" s="40" t="inlineStr">
        <is>
          <t>E70</t>
        </is>
      </c>
      <c r="C400" s="40" t="n">
        <v>70</v>
      </c>
      <c r="D400" s="40" t="inlineStr">
        <is>
          <t>All landing pages</t>
        </is>
      </c>
      <c r="E400" s="40" t="inlineStr">
        <is>
          <t>Organic</t>
        </is>
      </c>
      <c r="F400" s="40" t="inlineStr">
        <is>
          <t>Desktop</t>
        </is>
      </c>
      <c r="G400" s="40" t="inlineStr">
        <is>
          <t>Norway</t>
        </is>
      </c>
      <c r="H400" s="40" t="n">
        <v>14</v>
      </c>
      <c r="I400" s="40" t="inlineStr">
        <is>
          <t>Sessions</t>
        </is>
      </c>
      <c r="J400" s="40" t="inlineStr">
        <is>
          <t>1-23 August 2025</t>
        </is>
      </c>
      <c r="K400" s="55" t="n">
        <v>177</v>
      </c>
      <c r="L400" s="40" t="inlineStr">
        <is>
          <t>CR 1-23 August 2025 + Visit→Engagement 1-23 August 2025</t>
        </is>
      </c>
      <c r="M400" s="40">
        <f>IF(Countries!E70="","STILL MISSING","Filled ✓")</f>
        <v/>
      </c>
    </row>
    <row r="401">
      <c r="A401" s="56" t="inlineStr">
        <is>
          <t>Countries</t>
        </is>
      </c>
      <c r="B401" s="56" t="inlineStr">
        <is>
          <t>F70</t>
        </is>
      </c>
      <c r="C401" s="56" t="n">
        <v>70</v>
      </c>
      <c r="D401" s="56" t="inlineStr">
        <is>
          <t>All landing pages</t>
        </is>
      </c>
      <c r="E401" s="56" t="inlineStr">
        <is>
          <t>Organic</t>
        </is>
      </c>
      <c r="F401" s="56" t="inlineStr">
        <is>
          <t>Desktop</t>
        </is>
      </c>
      <c r="G401" s="56" t="inlineStr">
        <is>
          <t>Norway</t>
        </is>
      </c>
      <c r="H401" s="56" t="n">
        <v>14</v>
      </c>
      <c r="I401" s="56" t="inlineStr">
        <is>
          <t>Sessions</t>
        </is>
      </c>
      <c r="J401" s="56" t="inlineStr">
        <is>
          <t>1-23 August 2026</t>
        </is>
      </c>
      <c r="K401" s="57" t="n">
        <v>177</v>
      </c>
      <c r="L401" s="56" t="inlineStr">
        <is>
          <t>CR 1-23 August 2026 + Visit→Engagement 1-23 August 2026</t>
        </is>
      </c>
      <c r="M401" s="40">
        <f>IF(Countries!F70="","STILL MISSING","Filled ✓")</f>
        <v/>
      </c>
    </row>
    <row r="402">
      <c r="A402" s="40" t="inlineStr">
        <is>
          <t>Countries</t>
        </is>
      </c>
      <c r="B402" s="40" t="inlineStr">
        <is>
          <t>P53</t>
        </is>
      </c>
      <c r="C402" s="40" t="n">
        <v>53</v>
      </c>
      <c r="D402" s="40" t="inlineStr">
        <is>
          <t>All landing pages</t>
        </is>
      </c>
      <c r="E402" s="40" t="inlineStr">
        <is>
          <t>Organic</t>
        </is>
      </c>
      <c r="F402" s="40" t="inlineStr">
        <is>
          <t>Mobile</t>
        </is>
      </c>
      <c r="G402" s="40" t="inlineStr">
        <is>
          <t>Norway</t>
        </is>
      </c>
      <c r="H402" s="40" t="n">
        <v>14</v>
      </c>
      <c r="I402" s="40" t="inlineStr">
        <is>
          <t>Searches</t>
        </is>
      </c>
      <c r="J402" s="40" t="inlineStr">
        <is>
          <t>1-23 August 2025</t>
        </is>
      </c>
      <c r="K402" s="55" t="n">
        <v>374</v>
      </c>
      <c r="L402" s="40" t="inlineStr">
        <is>
          <t>Search→Booking 1-23 August 2025 + Search→Select 1-23 August 2025</t>
        </is>
      </c>
      <c r="M402" s="40">
        <f>IF(Countries!P53="","STILL MISSING","Filled ✓")</f>
        <v/>
      </c>
    </row>
    <row r="403">
      <c r="A403" s="56" t="inlineStr">
        <is>
          <t>Countries</t>
        </is>
      </c>
      <c r="B403" s="56" t="inlineStr">
        <is>
          <t>Q53</t>
        </is>
      </c>
      <c r="C403" s="56" t="n">
        <v>53</v>
      </c>
      <c r="D403" s="56" t="inlineStr">
        <is>
          <t>All landing pages</t>
        </is>
      </c>
      <c r="E403" s="56" t="inlineStr">
        <is>
          <t>Organic</t>
        </is>
      </c>
      <c r="F403" s="56" t="inlineStr">
        <is>
          <t>Mobile</t>
        </is>
      </c>
      <c r="G403" s="56" t="inlineStr">
        <is>
          <t>Norway</t>
        </is>
      </c>
      <c r="H403" s="56" t="n">
        <v>14</v>
      </c>
      <c r="I403" s="56" t="inlineStr">
        <is>
          <t>Searches</t>
        </is>
      </c>
      <c r="J403" s="56" t="inlineStr">
        <is>
          <t>1-23 August 2026</t>
        </is>
      </c>
      <c r="K403" s="57" t="n">
        <v>374</v>
      </c>
      <c r="L403" s="56" t="inlineStr">
        <is>
          <t>Search→Booking 1-23 August 2026 + Search→Select 1-23 August 2026</t>
        </is>
      </c>
      <c r="M403" s="40">
        <f>IF(Countries!Q53="","STILL MISSING","Filled ✓")</f>
        <v/>
      </c>
    </row>
    <row r="404">
      <c r="A404" s="40" t="inlineStr">
        <is>
          <t>Countries</t>
        </is>
      </c>
      <c r="B404" s="40" t="inlineStr">
        <is>
          <t>E53</t>
        </is>
      </c>
      <c r="C404" s="40" t="n">
        <v>53</v>
      </c>
      <c r="D404" s="40" t="inlineStr">
        <is>
          <t>All landing pages</t>
        </is>
      </c>
      <c r="E404" s="40" t="inlineStr">
        <is>
          <t>Organic</t>
        </is>
      </c>
      <c r="F404" s="40" t="inlineStr">
        <is>
          <t>Mobile</t>
        </is>
      </c>
      <c r="G404" s="40" t="inlineStr">
        <is>
          <t>Norway</t>
        </is>
      </c>
      <c r="H404" s="40" t="n">
        <v>14</v>
      </c>
      <c r="I404" s="40" t="inlineStr">
        <is>
          <t>Sessions</t>
        </is>
      </c>
      <c r="J404" s="40" t="inlineStr">
        <is>
          <t>1-23 August 2025</t>
        </is>
      </c>
      <c r="K404" s="55" t="n">
        <v>374</v>
      </c>
      <c r="L404" s="40" t="inlineStr">
        <is>
          <t>CR 1-23 August 2025 + Visit→Engagement 1-23 August 2025</t>
        </is>
      </c>
      <c r="M404" s="40">
        <f>IF(Countries!E53="","STILL MISSING","Filled ✓")</f>
        <v/>
      </c>
    </row>
    <row r="405">
      <c r="A405" s="56" t="inlineStr">
        <is>
          <t>Countries</t>
        </is>
      </c>
      <c r="B405" s="56" t="inlineStr">
        <is>
          <t>F53</t>
        </is>
      </c>
      <c r="C405" s="56" t="n">
        <v>53</v>
      </c>
      <c r="D405" s="56" t="inlineStr">
        <is>
          <t>All landing pages</t>
        </is>
      </c>
      <c r="E405" s="56" t="inlineStr">
        <is>
          <t>Organic</t>
        </is>
      </c>
      <c r="F405" s="56" t="inlineStr">
        <is>
          <t>Mobile</t>
        </is>
      </c>
      <c r="G405" s="56" t="inlineStr">
        <is>
          <t>Norway</t>
        </is>
      </c>
      <c r="H405" s="56" t="n">
        <v>14</v>
      </c>
      <c r="I405" s="56" t="inlineStr">
        <is>
          <t>Sessions</t>
        </is>
      </c>
      <c r="J405" s="56" t="inlineStr">
        <is>
          <t>1-23 August 2026</t>
        </is>
      </c>
      <c r="K405" s="57" t="n">
        <v>374</v>
      </c>
      <c r="L405" s="56" t="inlineStr">
        <is>
          <t>CR 1-23 August 2026 + Visit→Engagement 1-23 August 2026</t>
        </is>
      </c>
      <c r="M405" s="40">
        <f>IF(Countries!F53="","STILL MISSING","Filled ✓")</f>
        <v/>
      </c>
    </row>
    <row r="406">
      <c r="A406" s="40" t="inlineStr">
        <is>
          <t>Countries</t>
        </is>
      </c>
      <c r="B406" s="40" t="inlineStr">
        <is>
          <t>P109</t>
        </is>
      </c>
      <c r="C406" s="40" t="n">
        <v>109</v>
      </c>
      <c r="D406" s="40" t="inlineStr">
        <is>
          <t>All landing pages</t>
        </is>
      </c>
      <c r="E406" s="40" t="inlineStr">
        <is>
          <t>Direct</t>
        </is>
      </c>
      <c r="F406" s="40" t="inlineStr">
        <is>
          <t>Desktop</t>
        </is>
      </c>
      <c r="G406" s="40" t="inlineStr">
        <is>
          <t>Norway</t>
        </is>
      </c>
      <c r="H406" s="40" t="n">
        <v>14</v>
      </c>
      <c r="I406" s="40" t="inlineStr">
        <is>
          <t>Searches</t>
        </is>
      </c>
      <c r="J406" s="40" t="inlineStr">
        <is>
          <t>1-23 August 2025</t>
        </is>
      </c>
      <c r="K406" s="55" t="n">
        <v>126</v>
      </c>
      <c r="L406" s="40" t="inlineStr">
        <is>
          <t>Search→Booking 1-23 August 2025 + Search→Select 1-23 August 2025</t>
        </is>
      </c>
      <c r="M406" s="40">
        <f>IF(Countries!P109="","STILL MISSING","Filled ✓")</f>
        <v/>
      </c>
    </row>
    <row r="407">
      <c r="A407" s="56" t="inlineStr">
        <is>
          <t>Countries</t>
        </is>
      </c>
      <c r="B407" s="56" t="inlineStr">
        <is>
          <t>Q109</t>
        </is>
      </c>
      <c r="C407" s="56" t="n">
        <v>109</v>
      </c>
      <c r="D407" s="56" t="inlineStr">
        <is>
          <t>All landing pages</t>
        </is>
      </c>
      <c r="E407" s="56" t="inlineStr">
        <is>
          <t>Direct</t>
        </is>
      </c>
      <c r="F407" s="56" t="inlineStr">
        <is>
          <t>Desktop</t>
        </is>
      </c>
      <c r="G407" s="56" t="inlineStr">
        <is>
          <t>Norway</t>
        </is>
      </c>
      <c r="H407" s="56" t="n">
        <v>14</v>
      </c>
      <c r="I407" s="56" t="inlineStr">
        <is>
          <t>Searches</t>
        </is>
      </c>
      <c r="J407" s="56" t="inlineStr">
        <is>
          <t>1-23 August 2026</t>
        </is>
      </c>
      <c r="K407" s="57" t="n">
        <v>126</v>
      </c>
      <c r="L407" s="56" t="inlineStr">
        <is>
          <t>Search→Booking 1-23 August 2026 + Search→Select 1-23 August 2026</t>
        </is>
      </c>
      <c r="M407" s="40">
        <f>IF(Countries!Q109="","STILL MISSING","Filled ✓")</f>
        <v/>
      </c>
    </row>
    <row r="408">
      <c r="A408" s="40" t="inlineStr">
        <is>
          <t>Countries</t>
        </is>
      </c>
      <c r="B408" s="40" t="inlineStr">
        <is>
          <t>E109</t>
        </is>
      </c>
      <c r="C408" s="40" t="n">
        <v>109</v>
      </c>
      <c r="D408" s="40" t="inlineStr">
        <is>
          <t>All landing pages</t>
        </is>
      </c>
      <c r="E408" s="40" t="inlineStr">
        <is>
          <t>Direct</t>
        </is>
      </c>
      <c r="F408" s="40" t="inlineStr">
        <is>
          <t>Desktop</t>
        </is>
      </c>
      <c r="G408" s="40" t="inlineStr">
        <is>
          <t>Norway</t>
        </is>
      </c>
      <c r="H408" s="40" t="n">
        <v>14</v>
      </c>
      <c r="I408" s="40" t="inlineStr">
        <is>
          <t>Sessions</t>
        </is>
      </c>
      <c r="J408" s="40" t="inlineStr">
        <is>
          <t>1-23 August 2025</t>
        </is>
      </c>
      <c r="K408" s="55" t="n">
        <v>126</v>
      </c>
      <c r="L408" s="40" t="inlineStr">
        <is>
          <t>CR 1-23 August 2025 + Visit→Engagement 1-23 August 2025</t>
        </is>
      </c>
      <c r="M408" s="40">
        <f>IF(Countries!E109="","STILL MISSING","Filled ✓")</f>
        <v/>
      </c>
    </row>
    <row r="409">
      <c r="A409" s="56" t="inlineStr">
        <is>
          <t>Countries</t>
        </is>
      </c>
      <c r="B409" s="56" t="inlineStr">
        <is>
          <t>F109</t>
        </is>
      </c>
      <c r="C409" s="56" t="n">
        <v>109</v>
      </c>
      <c r="D409" s="56" t="inlineStr">
        <is>
          <t>All landing pages</t>
        </is>
      </c>
      <c r="E409" s="56" t="inlineStr">
        <is>
          <t>Direct</t>
        </is>
      </c>
      <c r="F409" s="56" t="inlineStr">
        <is>
          <t>Desktop</t>
        </is>
      </c>
      <c r="G409" s="56" t="inlineStr">
        <is>
          <t>Norway</t>
        </is>
      </c>
      <c r="H409" s="56" t="n">
        <v>14</v>
      </c>
      <c r="I409" s="56" t="inlineStr">
        <is>
          <t>Sessions</t>
        </is>
      </c>
      <c r="J409" s="56" t="inlineStr">
        <is>
          <t>1-23 August 2026</t>
        </is>
      </c>
      <c r="K409" s="57" t="n">
        <v>126</v>
      </c>
      <c r="L409" s="56" t="inlineStr">
        <is>
          <t>CR 1-23 August 2026 + Visit→Engagement 1-23 August 2026</t>
        </is>
      </c>
      <c r="M409" s="40">
        <f>IF(Countries!F109="","STILL MISSING","Filled ✓")</f>
        <v/>
      </c>
    </row>
    <row r="410">
      <c r="A410" s="40" t="inlineStr">
        <is>
          <t>Countries</t>
        </is>
      </c>
      <c r="B410" s="40" t="inlineStr">
        <is>
          <t>Q88</t>
        </is>
      </c>
      <c r="C410" s="40" t="n">
        <v>88</v>
      </c>
      <c r="D410" s="40" t="inlineStr">
        <is>
          <t>All landing pages</t>
        </is>
      </c>
      <c r="E410" s="40" t="inlineStr">
        <is>
          <t>Direct</t>
        </is>
      </c>
      <c r="F410" s="40" t="inlineStr">
        <is>
          <t>Mobile</t>
        </is>
      </c>
      <c r="G410" s="40" t="inlineStr">
        <is>
          <t>Norway</t>
        </is>
      </c>
      <c r="H410" s="40" t="n">
        <v>14</v>
      </c>
      <c r="I410" s="40" t="inlineStr">
        <is>
          <t>Searches</t>
        </is>
      </c>
      <c r="J410" s="40" t="inlineStr">
        <is>
          <t>1-23 August 2026</t>
        </is>
      </c>
      <c r="K410" s="55" t="n">
        <v>290</v>
      </c>
      <c r="L410" s="40" t="inlineStr">
        <is>
          <t>Searches YoY + Search→Booking 1-23 August 2026 + Search→Select 1-23 August 2026</t>
        </is>
      </c>
      <c r="M410" s="40">
        <f>IF(Countries!Q88="","STILL MISSING","Filled ✓")</f>
        <v/>
      </c>
    </row>
    <row r="411">
      <c r="A411" s="56" t="inlineStr">
        <is>
          <t>Countries</t>
        </is>
      </c>
      <c r="B411" s="56" t="inlineStr">
        <is>
          <t>F88</t>
        </is>
      </c>
      <c r="C411" s="56" t="n">
        <v>88</v>
      </c>
      <c r="D411" s="56" t="inlineStr">
        <is>
          <t>All landing pages</t>
        </is>
      </c>
      <c r="E411" s="56" t="inlineStr">
        <is>
          <t>Direct</t>
        </is>
      </c>
      <c r="F411" s="56" t="inlineStr">
        <is>
          <t>Mobile</t>
        </is>
      </c>
      <c r="G411" s="56" t="inlineStr">
        <is>
          <t>Norway</t>
        </is>
      </c>
      <c r="H411" s="56" t="n">
        <v>14</v>
      </c>
      <c r="I411" s="56" t="inlineStr">
        <is>
          <t>Sessions</t>
        </is>
      </c>
      <c r="J411" s="56" t="inlineStr">
        <is>
          <t>1-23 August 2026</t>
        </is>
      </c>
      <c r="K411" s="57" t="n">
        <v>290</v>
      </c>
      <c r="L411" s="56" t="inlineStr">
        <is>
          <t>CR 1-23 August 2026 + Sessions YoY + Visit→Engagement 1-23 August 2026</t>
        </is>
      </c>
      <c r="M411" s="40">
        <f>IF(Countries!F88="","STILL MISSING","Filled ✓")</f>
        <v/>
      </c>
    </row>
    <row r="412">
      <c r="A412" s="40" t="inlineStr">
        <is>
          <t>Countries</t>
        </is>
      </c>
      <c r="B412" s="40" t="inlineStr">
        <is>
          <t>Q146</t>
        </is>
      </c>
      <c r="C412" s="40" t="n">
        <v>146</v>
      </c>
      <c r="D412" s="40" t="inlineStr">
        <is>
          <t>Home page</t>
        </is>
      </c>
      <c r="E412" s="40" t="inlineStr">
        <is>
          <t>Paid Search</t>
        </is>
      </c>
      <c r="F412" s="40" t="inlineStr">
        <is>
          <t>Desktop</t>
        </is>
      </c>
      <c r="G412" s="40" t="inlineStr">
        <is>
          <t>Norway</t>
        </is>
      </c>
      <c r="H412" s="40" t="n">
        <v>14</v>
      </c>
      <c r="I412" s="40" t="inlineStr">
        <is>
          <t>Searches</t>
        </is>
      </c>
      <c r="J412" s="40" t="inlineStr">
        <is>
          <t>1-23 August 2026</t>
        </is>
      </c>
      <c r="K412" s="55" t="n">
        <v>393</v>
      </c>
      <c r="L412" s="40" t="inlineStr">
        <is>
          <t>Searches YoY + Search→Booking 1-23 August 2026 + Search→Select 1-23 August 2026</t>
        </is>
      </c>
      <c r="M412" s="40">
        <f>IF(Countries!Q146="","STILL MISSING","Filled ✓")</f>
        <v/>
      </c>
    </row>
    <row r="413">
      <c r="A413" s="56" t="inlineStr">
        <is>
          <t>Countries</t>
        </is>
      </c>
      <c r="B413" s="56" t="inlineStr">
        <is>
          <t>F146</t>
        </is>
      </c>
      <c r="C413" s="56" t="n">
        <v>146</v>
      </c>
      <c r="D413" s="56" t="inlineStr">
        <is>
          <t>Home page</t>
        </is>
      </c>
      <c r="E413" s="56" t="inlineStr">
        <is>
          <t>Paid Search</t>
        </is>
      </c>
      <c r="F413" s="56" t="inlineStr">
        <is>
          <t>Desktop</t>
        </is>
      </c>
      <c r="G413" s="56" t="inlineStr">
        <is>
          <t>Norway</t>
        </is>
      </c>
      <c r="H413" s="56" t="n">
        <v>14</v>
      </c>
      <c r="I413" s="56" t="inlineStr">
        <is>
          <t>Sessions</t>
        </is>
      </c>
      <c r="J413" s="56" t="inlineStr">
        <is>
          <t>1-23 August 2026</t>
        </is>
      </c>
      <c r="K413" s="57" t="n">
        <v>393</v>
      </c>
      <c r="L413" s="56" t="inlineStr">
        <is>
          <t>CR 1-23 August 2026 + Sessions YoY + Visit→Engagement 1-23 August 2026</t>
        </is>
      </c>
      <c r="M413" s="40">
        <f>IF(Countries!F146="","STILL MISSING","Filled ✓")</f>
        <v/>
      </c>
    </row>
    <row r="414">
      <c r="A414" s="40" t="inlineStr">
        <is>
          <t>Countries</t>
        </is>
      </c>
      <c r="B414" s="40" t="inlineStr">
        <is>
          <t>P130</t>
        </is>
      </c>
      <c r="C414" s="40" t="n">
        <v>130</v>
      </c>
      <c r="D414" s="40" t="inlineStr">
        <is>
          <t>Home page</t>
        </is>
      </c>
      <c r="E414" s="40" t="inlineStr">
        <is>
          <t>Paid Search</t>
        </is>
      </c>
      <c r="F414" s="40" t="inlineStr">
        <is>
          <t>Mobile</t>
        </is>
      </c>
      <c r="G414" s="40" t="inlineStr">
        <is>
          <t>Norway</t>
        </is>
      </c>
      <c r="H414" s="40" t="n">
        <v>14</v>
      </c>
      <c r="I414" s="40" t="inlineStr">
        <is>
          <t>Searches</t>
        </is>
      </c>
      <c r="J414" s="40" t="inlineStr">
        <is>
          <t>1-23 August 2025</t>
        </is>
      </c>
      <c r="K414" s="55" t="n">
        <v>273</v>
      </c>
      <c r="L414" s="40" t="inlineStr">
        <is>
          <t>Search→Booking 1-23 August 2025 + Search→Select 1-23 August 2025</t>
        </is>
      </c>
      <c r="M414" s="40">
        <f>IF(Countries!P130="","STILL MISSING","Filled ✓")</f>
        <v/>
      </c>
    </row>
    <row r="415">
      <c r="A415" s="56" t="inlineStr">
        <is>
          <t>Countries</t>
        </is>
      </c>
      <c r="B415" s="56" t="inlineStr">
        <is>
          <t>Q130</t>
        </is>
      </c>
      <c r="C415" s="56" t="n">
        <v>130</v>
      </c>
      <c r="D415" s="56" t="inlineStr">
        <is>
          <t>Home page</t>
        </is>
      </c>
      <c r="E415" s="56" t="inlineStr">
        <is>
          <t>Paid Search</t>
        </is>
      </c>
      <c r="F415" s="56" t="inlineStr">
        <is>
          <t>Mobile</t>
        </is>
      </c>
      <c r="G415" s="56" t="inlineStr">
        <is>
          <t>Norway</t>
        </is>
      </c>
      <c r="H415" s="56" t="n">
        <v>14</v>
      </c>
      <c r="I415" s="56" t="inlineStr">
        <is>
          <t>Searches</t>
        </is>
      </c>
      <c r="J415" s="56" t="inlineStr">
        <is>
          <t>1-23 August 2026</t>
        </is>
      </c>
      <c r="K415" s="57" t="n">
        <v>273</v>
      </c>
      <c r="L415" s="56" t="inlineStr">
        <is>
          <t>Search→Booking 1-23 August 2026 + Search→Select 1-23 August 2026</t>
        </is>
      </c>
      <c r="M415" s="40">
        <f>IF(Countries!Q130="","STILL MISSING","Filled ✓")</f>
        <v/>
      </c>
    </row>
    <row r="416">
      <c r="A416" s="40" t="inlineStr">
        <is>
          <t>Countries</t>
        </is>
      </c>
      <c r="B416" s="40" t="inlineStr">
        <is>
          <t>E130</t>
        </is>
      </c>
      <c r="C416" s="40" t="n">
        <v>130</v>
      </c>
      <c r="D416" s="40" t="inlineStr">
        <is>
          <t>Home page</t>
        </is>
      </c>
      <c r="E416" s="40" t="inlineStr">
        <is>
          <t>Paid Search</t>
        </is>
      </c>
      <c r="F416" s="40" t="inlineStr">
        <is>
          <t>Mobile</t>
        </is>
      </c>
      <c r="G416" s="40" t="inlineStr">
        <is>
          <t>Norway</t>
        </is>
      </c>
      <c r="H416" s="40" t="n">
        <v>14</v>
      </c>
      <c r="I416" s="40" t="inlineStr">
        <is>
          <t>Sessions</t>
        </is>
      </c>
      <c r="J416" s="40" t="inlineStr">
        <is>
          <t>1-23 August 2025</t>
        </is>
      </c>
      <c r="K416" s="55" t="n">
        <v>273</v>
      </c>
      <c r="L416" s="40" t="inlineStr">
        <is>
          <t>CR 1-23 August 2025 + Visit→Engagement 1-23 August 2025</t>
        </is>
      </c>
      <c r="M416" s="40">
        <f>IF(Countries!E130="","STILL MISSING","Filled ✓")</f>
        <v/>
      </c>
    </row>
    <row r="417">
      <c r="A417" s="56" t="inlineStr">
        <is>
          <t>Countries</t>
        </is>
      </c>
      <c r="B417" s="56" t="inlineStr">
        <is>
          <t>F130</t>
        </is>
      </c>
      <c r="C417" s="56" t="n">
        <v>130</v>
      </c>
      <c r="D417" s="56" t="inlineStr">
        <is>
          <t>Home page</t>
        </is>
      </c>
      <c r="E417" s="56" t="inlineStr">
        <is>
          <t>Paid Search</t>
        </is>
      </c>
      <c r="F417" s="56" t="inlineStr">
        <is>
          <t>Mobile</t>
        </is>
      </c>
      <c r="G417" s="56" t="inlineStr">
        <is>
          <t>Norway</t>
        </is>
      </c>
      <c r="H417" s="56" t="n">
        <v>14</v>
      </c>
      <c r="I417" s="56" t="inlineStr">
        <is>
          <t>Sessions</t>
        </is>
      </c>
      <c r="J417" s="56" t="inlineStr">
        <is>
          <t>1-23 August 2026</t>
        </is>
      </c>
      <c r="K417" s="57" t="n">
        <v>273</v>
      </c>
      <c r="L417" s="56" t="inlineStr">
        <is>
          <t>CR 1-23 August 2026 + Visit→Engagement 1-23 August 2026</t>
        </is>
      </c>
      <c r="M417" s="40">
        <f>IF(Countries!F130="","STILL MISSING","Filled ✓")</f>
        <v/>
      </c>
    </row>
    <row r="418">
      <c r="A418" s="40" t="inlineStr">
        <is>
          <t>Countries</t>
        </is>
      </c>
      <c r="B418" s="40" t="inlineStr">
        <is>
          <t>P182</t>
        </is>
      </c>
      <c r="C418" s="40" t="n">
        <v>182</v>
      </c>
      <c r="D418" s="40" t="inlineStr">
        <is>
          <t>Home page</t>
        </is>
      </c>
      <c r="E418" s="40" t="inlineStr">
        <is>
          <t>Organic</t>
        </is>
      </c>
      <c r="F418" s="40" t="inlineStr">
        <is>
          <t>Desktop</t>
        </is>
      </c>
      <c r="G418" s="40" t="inlineStr">
        <is>
          <t>Norway</t>
        </is>
      </c>
      <c r="H418" s="40" t="n">
        <v>14</v>
      </c>
      <c r="I418" s="40" t="inlineStr">
        <is>
          <t>Searches</t>
        </is>
      </c>
      <c r="J418" s="40" t="inlineStr">
        <is>
          <t>1-23 August 2025</t>
        </is>
      </c>
      <c r="K418" s="55" t="n">
        <v>16</v>
      </c>
      <c r="L418" s="40" t="inlineStr">
        <is>
          <t>Search→Booking 1-23 August 2025 + Search→Select 1-23 August 2025</t>
        </is>
      </c>
      <c r="M418" s="40">
        <f>IF(Countries!P182="","STILL MISSING","Filled ✓")</f>
        <v/>
      </c>
    </row>
    <row r="419">
      <c r="A419" s="56" t="inlineStr">
        <is>
          <t>Countries</t>
        </is>
      </c>
      <c r="B419" s="56" t="inlineStr">
        <is>
          <t>Q182</t>
        </is>
      </c>
      <c r="C419" s="56" t="n">
        <v>182</v>
      </c>
      <c r="D419" s="56" t="inlineStr">
        <is>
          <t>Home page</t>
        </is>
      </c>
      <c r="E419" s="56" t="inlineStr">
        <is>
          <t>Organic</t>
        </is>
      </c>
      <c r="F419" s="56" t="inlineStr">
        <is>
          <t>Desktop</t>
        </is>
      </c>
      <c r="G419" s="56" t="inlineStr">
        <is>
          <t>Norway</t>
        </is>
      </c>
      <c r="H419" s="56" t="n">
        <v>14</v>
      </c>
      <c r="I419" s="56" t="inlineStr">
        <is>
          <t>Searches</t>
        </is>
      </c>
      <c r="J419" s="56" t="inlineStr">
        <is>
          <t>1-23 August 2026</t>
        </is>
      </c>
      <c r="K419" s="57" t="n">
        <v>16</v>
      </c>
      <c r="L419" s="56" t="inlineStr">
        <is>
          <t>Search→Booking 1-23 August 2026 + Search→Select 1-23 August 2026</t>
        </is>
      </c>
      <c r="M419" s="40">
        <f>IF(Countries!Q182="","STILL MISSING","Filled ✓")</f>
        <v/>
      </c>
    </row>
    <row r="420">
      <c r="A420" s="40" t="inlineStr">
        <is>
          <t>Countries</t>
        </is>
      </c>
      <c r="B420" s="40" t="inlineStr">
        <is>
          <t>E182</t>
        </is>
      </c>
      <c r="C420" s="40" t="n">
        <v>182</v>
      </c>
      <c r="D420" s="40" t="inlineStr">
        <is>
          <t>Home page</t>
        </is>
      </c>
      <c r="E420" s="40" t="inlineStr">
        <is>
          <t>Organic</t>
        </is>
      </c>
      <c r="F420" s="40" t="inlineStr">
        <is>
          <t>Desktop</t>
        </is>
      </c>
      <c r="G420" s="40" t="inlineStr">
        <is>
          <t>Norway</t>
        </is>
      </c>
      <c r="H420" s="40" t="n">
        <v>14</v>
      </c>
      <c r="I420" s="40" t="inlineStr">
        <is>
          <t>Sessions</t>
        </is>
      </c>
      <c r="J420" s="40" t="inlineStr">
        <is>
          <t>1-23 August 2025</t>
        </is>
      </c>
      <c r="K420" s="55" t="n">
        <v>16</v>
      </c>
      <c r="L420" s="40" t="inlineStr">
        <is>
          <t>CR 1-23 August 2025 + Visit→Engagement 1-23 August 2025</t>
        </is>
      </c>
      <c r="M420" s="40">
        <f>IF(Countries!E182="","STILL MISSING","Filled ✓")</f>
        <v/>
      </c>
    </row>
    <row r="421">
      <c r="A421" s="56" t="inlineStr">
        <is>
          <t>Countries</t>
        </is>
      </c>
      <c r="B421" s="56" t="inlineStr">
        <is>
          <t>F182</t>
        </is>
      </c>
      <c r="C421" s="56" t="n">
        <v>182</v>
      </c>
      <c r="D421" s="56" t="inlineStr">
        <is>
          <t>Home page</t>
        </is>
      </c>
      <c r="E421" s="56" t="inlineStr">
        <is>
          <t>Organic</t>
        </is>
      </c>
      <c r="F421" s="56" t="inlineStr">
        <is>
          <t>Desktop</t>
        </is>
      </c>
      <c r="G421" s="56" t="inlineStr">
        <is>
          <t>Norway</t>
        </is>
      </c>
      <c r="H421" s="56" t="n">
        <v>14</v>
      </c>
      <c r="I421" s="56" t="inlineStr">
        <is>
          <t>Sessions</t>
        </is>
      </c>
      <c r="J421" s="56" t="inlineStr">
        <is>
          <t>1-23 August 2026</t>
        </is>
      </c>
      <c r="K421" s="57" t="n">
        <v>16</v>
      </c>
      <c r="L421" s="56" t="inlineStr">
        <is>
          <t>CR 1-23 August 2026 + Visit→Engagement 1-23 August 2026</t>
        </is>
      </c>
      <c r="M421" s="40">
        <f>IF(Countries!F182="","STILL MISSING","Filled ✓")</f>
        <v/>
      </c>
    </row>
    <row r="422">
      <c r="A422" s="40" t="inlineStr">
        <is>
          <t>Countries</t>
        </is>
      </c>
      <c r="B422" s="40" t="inlineStr">
        <is>
          <t>P163</t>
        </is>
      </c>
      <c r="C422" s="40" t="n">
        <v>163</v>
      </c>
      <c r="D422" s="40" t="inlineStr">
        <is>
          <t>Home page</t>
        </is>
      </c>
      <c r="E422" s="40" t="inlineStr">
        <is>
          <t>Organic</t>
        </is>
      </c>
      <c r="F422" s="40" t="inlineStr">
        <is>
          <t>Mobile</t>
        </is>
      </c>
      <c r="G422" s="40" t="inlineStr">
        <is>
          <t>Norway</t>
        </is>
      </c>
      <c r="H422" s="40" t="n">
        <v>14</v>
      </c>
      <c r="I422" s="40" t="inlineStr">
        <is>
          <t>Searches</t>
        </is>
      </c>
      <c r="J422" s="40" t="inlineStr">
        <is>
          <t>1-23 August 2025</t>
        </is>
      </c>
      <c r="K422" s="55" t="n">
        <v>35</v>
      </c>
      <c r="L422" s="40" t="inlineStr">
        <is>
          <t>Search→Booking 1-23 August 2025 + Search→Select 1-23 August 2025</t>
        </is>
      </c>
      <c r="M422" s="40">
        <f>IF(Countries!P163="","STILL MISSING","Filled ✓")</f>
        <v/>
      </c>
    </row>
    <row r="423">
      <c r="A423" s="56" t="inlineStr">
        <is>
          <t>Countries</t>
        </is>
      </c>
      <c r="B423" s="56" t="inlineStr">
        <is>
          <t>Q163</t>
        </is>
      </c>
      <c r="C423" s="56" t="n">
        <v>163</v>
      </c>
      <c r="D423" s="56" t="inlineStr">
        <is>
          <t>Home page</t>
        </is>
      </c>
      <c r="E423" s="56" t="inlineStr">
        <is>
          <t>Organic</t>
        </is>
      </c>
      <c r="F423" s="56" t="inlineStr">
        <is>
          <t>Mobile</t>
        </is>
      </c>
      <c r="G423" s="56" t="inlineStr">
        <is>
          <t>Norway</t>
        </is>
      </c>
      <c r="H423" s="56" t="n">
        <v>14</v>
      </c>
      <c r="I423" s="56" t="inlineStr">
        <is>
          <t>Searches</t>
        </is>
      </c>
      <c r="J423" s="56" t="inlineStr">
        <is>
          <t>1-23 August 2026</t>
        </is>
      </c>
      <c r="K423" s="57" t="n">
        <v>35</v>
      </c>
      <c r="L423" s="56" t="inlineStr">
        <is>
          <t>Search→Booking 1-23 August 2026 + Search→Select 1-23 August 2026</t>
        </is>
      </c>
      <c r="M423" s="40">
        <f>IF(Countries!Q163="","STILL MISSING","Filled ✓")</f>
        <v/>
      </c>
    </row>
    <row r="424">
      <c r="A424" s="40" t="inlineStr">
        <is>
          <t>Countries</t>
        </is>
      </c>
      <c r="B424" s="40" t="inlineStr">
        <is>
          <t>E163</t>
        </is>
      </c>
      <c r="C424" s="40" t="n">
        <v>163</v>
      </c>
      <c r="D424" s="40" t="inlineStr">
        <is>
          <t>Home page</t>
        </is>
      </c>
      <c r="E424" s="40" t="inlineStr">
        <is>
          <t>Organic</t>
        </is>
      </c>
      <c r="F424" s="40" t="inlineStr">
        <is>
          <t>Mobile</t>
        </is>
      </c>
      <c r="G424" s="40" t="inlineStr">
        <is>
          <t>Norway</t>
        </is>
      </c>
      <c r="H424" s="40" t="n">
        <v>14</v>
      </c>
      <c r="I424" s="40" t="inlineStr">
        <is>
          <t>Sessions</t>
        </is>
      </c>
      <c r="J424" s="40" t="inlineStr">
        <is>
          <t>1-23 August 2025</t>
        </is>
      </c>
      <c r="K424" s="55" t="n">
        <v>35</v>
      </c>
      <c r="L424" s="40" t="inlineStr">
        <is>
          <t>CR 1-23 August 2025 + Visit→Engagement 1-23 August 2025</t>
        </is>
      </c>
      <c r="M424" s="40">
        <f>IF(Countries!E163="","STILL MISSING","Filled ✓")</f>
        <v/>
      </c>
    </row>
    <row r="425">
      <c r="A425" s="56" t="inlineStr">
        <is>
          <t>Countries</t>
        </is>
      </c>
      <c r="B425" s="56" t="inlineStr">
        <is>
          <t>F163</t>
        </is>
      </c>
      <c r="C425" s="56" t="n">
        <v>163</v>
      </c>
      <c r="D425" s="56" t="inlineStr">
        <is>
          <t>Home page</t>
        </is>
      </c>
      <c r="E425" s="56" t="inlineStr">
        <is>
          <t>Organic</t>
        </is>
      </c>
      <c r="F425" s="56" t="inlineStr">
        <is>
          <t>Mobile</t>
        </is>
      </c>
      <c r="G425" s="56" t="inlineStr">
        <is>
          <t>Norway</t>
        </is>
      </c>
      <c r="H425" s="56" t="n">
        <v>14</v>
      </c>
      <c r="I425" s="56" t="inlineStr">
        <is>
          <t>Sessions</t>
        </is>
      </c>
      <c r="J425" s="56" t="inlineStr">
        <is>
          <t>1-23 August 2026</t>
        </is>
      </c>
      <c r="K425" s="57" t="n">
        <v>35</v>
      </c>
      <c r="L425" s="56" t="inlineStr">
        <is>
          <t>CR 1-23 August 2026 + Visit→Engagement 1-23 August 2026</t>
        </is>
      </c>
      <c r="M425" s="40">
        <f>IF(Countries!F163="","STILL MISSING","Filled ✓")</f>
        <v/>
      </c>
    </row>
    <row r="426">
      <c r="A426" s="40" t="inlineStr">
        <is>
          <t>Countries</t>
        </is>
      </c>
      <c r="B426" s="40" t="inlineStr">
        <is>
          <t>P218</t>
        </is>
      </c>
      <c r="C426" s="40" t="n">
        <v>218</v>
      </c>
      <c r="D426" s="40" t="inlineStr">
        <is>
          <t>Home page</t>
        </is>
      </c>
      <c r="E426" s="40" t="inlineStr">
        <is>
          <t>Direct</t>
        </is>
      </c>
      <c r="F426" s="40" t="inlineStr">
        <is>
          <t>Desktop</t>
        </is>
      </c>
      <c r="G426" s="40" t="inlineStr">
        <is>
          <t>Norway</t>
        </is>
      </c>
      <c r="H426" s="40" t="n">
        <v>14</v>
      </c>
      <c r="I426" s="40" t="inlineStr">
        <is>
          <t>Searches</t>
        </is>
      </c>
      <c r="J426" s="40" t="inlineStr">
        <is>
          <t>1-23 August 2025</t>
        </is>
      </c>
      <c r="K426" s="55" t="n">
        <v>69</v>
      </c>
      <c r="L426" s="40" t="inlineStr">
        <is>
          <t>Search→Booking 1-23 August 2025 + Search→Select 1-23 August 2025</t>
        </is>
      </c>
      <c r="M426" s="40">
        <f>IF(Countries!P218="","STILL MISSING","Filled ✓")</f>
        <v/>
      </c>
    </row>
    <row r="427">
      <c r="A427" s="56" t="inlineStr">
        <is>
          <t>Countries</t>
        </is>
      </c>
      <c r="B427" s="56" t="inlineStr">
        <is>
          <t>Q218</t>
        </is>
      </c>
      <c r="C427" s="56" t="n">
        <v>218</v>
      </c>
      <c r="D427" s="56" t="inlineStr">
        <is>
          <t>Home page</t>
        </is>
      </c>
      <c r="E427" s="56" t="inlineStr">
        <is>
          <t>Direct</t>
        </is>
      </c>
      <c r="F427" s="56" t="inlineStr">
        <is>
          <t>Desktop</t>
        </is>
      </c>
      <c r="G427" s="56" t="inlineStr">
        <is>
          <t>Norway</t>
        </is>
      </c>
      <c r="H427" s="56" t="n">
        <v>14</v>
      </c>
      <c r="I427" s="56" t="inlineStr">
        <is>
          <t>Searches</t>
        </is>
      </c>
      <c r="J427" s="56" t="inlineStr">
        <is>
          <t>1-23 August 2026</t>
        </is>
      </c>
      <c r="K427" s="57" t="n">
        <v>69</v>
      </c>
      <c r="L427" s="56" t="inlineStr">
        <is>
          <t>Search→Booking 1-23 August 2026 + Search→Select 1-23 August 2026</t>
        </is>
      </c>
      <c r="M427" s="40">
        <f>IF(Countries!Q218="","STILL MISSING","Filled ✓")</f>
        <v/>
      </c>
    </row>
    <row r="428">
      <c r="A428" s="40" t="inlineStr">
        <is>
          <t>Countries</t>
        </is>
      </c>
      <c r="B428" s="40" t="inlineStr">
        <is>
          <t>E218</t>
        </is>
      </c>
      <c r="C428" s="40" t="n">
        <v>218</v>
      </c>
      <c r="D428" s="40" t="inlineStr">
        <is>
          <t>Home page</t>
        </is>
      </c>
      <c r="E428" s="40" t="inlineStr">
        <is>
          <t>Direct</t>
        </is>
      </c>
      <c r="F428" s="40" t="inlineStr">
        <is>
          <t>Desktop</t>
        </is>
      </c>
      <c r="G428" s="40" t="inlineStr">
        <is>
          <t>Norway</t>
        </is>
      </c>
      <c r="H428" s="40" t="n">
        <v>14</v>
      </c>
      <c r="I428" s="40" t="inlineStr">
        <is>
          <t>Sessions</t>
        </is>
      </c>
      <c r="J428" s="40" t="inlineStr">
        <is>
          <t>1-23 August 2025</t>
        </is>
      </c>
      <c r="K428" s="55" t="n">
        <v>69</v>
      </c>
      <c r="L428" s="40" t="inlineStr">
        <is>
          <t>CR 1-23 August 2025 + Visit→Engagement 1-23 August 2025</t>
        </is>
      </c>
      <c r="M428" s="40">
        <f>IF(Countries!E218="","STILL MISSING","Filled ✓")</f>
        <v/>
      </c>
    </row>
    <row r="429">
      <c r="A429" s="56" t="inlineStr">
        <is>
          <t>Countries</t>
        </is>
      </c>
      <c r="B429" s="56" t="inlineStr">
        <is>
          <t>F218</t>
        </is>
      </c>
      <c r="C429" s="56" t="n">
        <v>218</v>
      </c>
      <c r="D429" s="56" t="inlineStr">
        <is>
          <t>Home page</t>
        </is>
      </c>
      <c r="E429" s="56" t="inlineStr">
        <is>
          <t>Direct</t>
        </is>
      </c>
      <c r="F429" s="56" t="inlineStr">
        <is>
          <t>Desktop</t>
        </is>
      </c>
      <c r="G429" s="56" t="inlineStr">
        <is>
          <t>Norway</t>
        </is>
      </c>
      <c r="H429" s="56" t="n">
        <v>14</v>
      </c>
      <c r="I429" s="56" t="inlineStr">
        <is>
          <t>Sessions</t>
        </is>
      </c>
      <c r="J429" s="56" t="inlineStr">
        <is>
          <t>1-23 August 2026</t>
        </is>
      </c>
      <c r="K429" s="57" t="n">
        <v>69</v>
      </c>
      <c r="L429" s="56" t="inlineStr">
        <is>
          <t>CR 1-23 August 2026 + Visit→Engagement 1-23 August 2026</t>
        </is>
      </c>
      <c r="M429" s="40">
        <f>IF(Countries!F218="","STILL MISSING","Filled ✓")</f>
        <v/>
      </c>
    </row>
    <row r="430">
      <c r="A430" s="40" t="inlineStr">
        <is>
          <t>Countries</t>
        </is>
      </c>
      <c r="B430" s="40" t="inlineStr">
        <is>
          <t>Q197</t>
        </is>
      </c>
      <c r="C430" s="40" t="n">
        <v>197</v>
      </c>
      <c r="D430" s="40" t="inlineStr">
        <is>
          <t>Home page</t>
        </is>
      </c>
      <c r="E430" s="40" t="inlineStr">
        <is>
          <t>Direct</t>
        </is>
      </c>
      <c r="F430" s="40" t="inlineStr">
        <is>
          <t>Mobile</t>
        </is>
      </c>
      <c r="G430" s="40" t="inlineStr">
        <is>
          <t>Norway</t>
        </is>
      </c>
      <c r="H430" s="40" t="n">
        <v>14</v>
      </c>
      <c r="I430" s="40" t="inlineStr">
        <is>
          <t>Searches</t>
        </is>
      </c>
      <c r="J430" s="40" t="inlineStr">
        <is>
          <t>1-23 August 2026</t>
        </is>
      </c>
      <c r="K430" s="55" t="n">
        <v>229</v>
      </c>
      <c r="L430" s="40" t="inlineStr">
        <is>
          <t>Searches YoY + Search→Booking 1-23 August 2026 + Search→Select 1-23 August 2026</t>
        </is>
      </c>
      <c r="M430" s="40">
        <f>IF(Countries!Q197="","STILL MISSING","Filled ✓")</f>
        <v/>
      </c>
    </row>
    <row r="431">
      <c r="A431" s="56" t="inlineStr">
        <is>
          <t>Countries</t>
        </is>
      </c>
      <c r="B431" s="56" t="inlineStr">
        <is>
          <t>F197</t>
        </is>
      </c>
      <c r="C431" s="56" t="n">
        <v>197</v>
      </c>
      <c r="D431" s="56" t="inlineStr">
        <is>
          <t>Home page</t>
        </is>
      </c>
      <c r="E431" s="56" t="inlineStr">
        <is>
          <t>Direct</t>
        </is>
      </c>
      <c r="F431" s="56" t="inlineStr">
        <is>
          <t>Mobile</t>
        </is>
      </c>
      <c r="G431" s="56" t="inlineStr">
        <is>
          <t>Norway</t>
        </is>
      </c>
      <c r="H431" s="56" t="n">
        <v>14</v>
      </c>
      <c r="I431" s="56" t="inlineStr">
        <is>
          <t>Sessions</t>
        </is>
      </c>
      <c r="J431" s="56" t="inlineStr">
        <is>
          <t>1-23 August 2026</t>
        </is>
      </c>
      <c r="K431" s="57" t="n">
        <v>229</v>
      </c>
      <c r="L431" s="56" t="inlineStr">
        <is>
          <t>CR 1-23 August 2026 + Sessions YoY + Visit→Engagement 1-23 August 2026</t>
        </is>
      </c>
      <c r="M431" s="40">
        <f>IF(Countries!F197="","STILL MISSING","Filled ✓")</f>
        <v/>
      </c>
    </row>
    <row r="432">
      <c r="A432" s="40" t="inlineStr">
        <is>
          <t>Countries</t>
        </is>
      </c>
      <c r="B432" s="40" t="inlineStr">
        <is>
          <t>P231</t>
        </is>
      </c>
      <c r="C432" s="40" t="n">
        <v>231</v>
      </c>
      <c r="D432" s="40" t="inlineStr">
        <is>
          <t>Airport page</t>
        </is>
      </c>
      <c r="E432" s="40" t="inlineStr">
        <is>
          <t>Paid Search</t>
        </is>
      </c>
      <c r="F432" s="40" t="inlineStr">
        <is>
          <t>Mobile</t>
        </is>
      </c>
      <c r="G432" s="40" t="inlineStr">
        <is>
          <t>Norway</t>
        </is>
      </c>
      <c r="H432" s="40" t="n">
        <v>14</v>
      </c>
      <c r="I432" s="40" t="inlineStr">
        <is>
          <t>Searches</t>
        </is>
      </c>
      <c r="J432" s="40" t="inlineStr">
        <is>
          <t>1-23 August 2025</t>
        </is>
      </c>
      <c r="K432" s="55" t="n">
        <v>1061</v>
      </c>
      <c r="L432" s="40" t="inlineStr">
        <is>
          <t>Searches YoY + Search→Booking 1-23 August 2025 + Search→Select 1-23 August 2025</t>
        </is>
      </c>
      <c r="M432" s="40">
        <f>IF(Countries!P231="","STILL MISSING","Filled ✓")</f>
        <v/>
      </c>
    </row>
    <row r="433">
      <c r="A433" s="56" t="inlineStr">
        <is>
          <t>Countries</t>
        </is>
      </c>
      <c r="B433" s="56" t="inlineStr">
        <is>
          <t>E231</t>
        </is>
      </c>
      <c r="C433" s="56" t="n">
        <v>231</v>
      </c>
      <c r="D433" s="56" t="inlineStr">
        <is>
          <t>Airport page</t>
        </is>
      </c>
      <c r="E433" s="56" t="inlineStr">
        <is>
          <t>Paid Search</t>
        </is>
      </c>
      <c r="F433" s="56" t="inlineStr">
        <is>
          <t>Mobile</t>
        </is>
      </c>
      <c r="G433" s="56" t="inlineStr">
        <is>
          <t>Norway</t>
        </is>
      </c>
      <c r="H433" s="56" t="n">
        <v>14</v>
      </c>
      <c r="I433" s="56" t="inlineStr">
        <is>
          <t>Sessions</t>
        </is>
      </c>
      <c r="J433" s="56" t="inlineStr">
        <is>
          <t>1-23 August 2025</t>
        </is>
      </c>
      <c r="K433" s="57" t="n">
        <v>1061</v>
      </c>
      <c r="L433" s="56" t="inlineStr">
        <is>
          <t>CR 1-23 August 2025 + Sessions YoY + Visit→Engagement 1-23 August 2025</t>
        </is>
      </c>
      <c r="M433" s="40">
        <f>IF(Countries!E231="","STILL MISSING","Filled ✓")</f>
        <v/>
      </c>
    </row>
    <row r="434">
      <c r="A434" s="40" t="inlineStr">
        <is>
          <t>Countries</t>
        </is>
      </c>
      <c r="B434" s="40" t="inlineStr">
        <is>
          <t>P286</t>
        </is>
      </c>
      <c r="C434" s="40" t="n">
        <v>286</v>
      </c>
      <c r="D434" s="40" t="inlineStr">
        <is>
          <t>Airport page</t>
        </is>
      </c>
      <c r="E434" s="40" t="inlineStr">
        <is>
          <t>Organic</t>
        </is>
      </c>
      <c r="F434" s="40" t="inlineStr">
        <is>
          <t>Desktop</t>
        </is>
      </c>
      <c r="G434" s="40" t="inlineStr">
        <is>
          <t>Norway</t>
        </is>
      </c>
      <c r="H434" s="40" t="n">
        <v>14</v>
      </c>
      <c r="I434" s="40" t="inlineStr">
        <is>
          <t>Searches</t>
        </is>
      </c>
      <c r="J434" s="40" t="inlineStr">
        <is>
          <t>1-23 August 2025</t>
        </is>
      </c>
      <c r="K434" s="55" t="n">
        <v>58</v>
      </c>
      <c r="L434" s="40" t="inlineStr">
        <is>
          <t>Search→Booking 1-23 August 2025 + Search→Select 1-23 August 2025</t>
        </is>
      </c>
      <c r="M434" s="40">
        <f>IF(Countries!P286="","STILL MISSING","Filled ✓")</f>
        <v/>
      </c>
    </row>
    <row r="435">
      <c r="A435" s="56" t="inlineStr">
        <is>
          <t>Countries</t>
        </is>
      </c>
      <c r="B435" s="56" t="inlineStr">
        <is>
          <t>Q286</t>
        </is>
      </c>
      <c r="C435" s="56" t="n">
        <v>286</v>
      </c>
      <c r="D435" s="56" t="inlineStr">
        <is>
          <t>Airport page</t>
        </is>
      </c>
      <c r="E435" s="56" t="inlineStr">
        <is>
          <t>Organic</t>
        </is>
      </c>
      <c r="F435" s="56" t="inlineStr">
        <is>
          <t>Desktop</t>
        </is>
      </c>
      <c r="G435" s="56" t="inlineStr">
        <is>
          <t>Norway</t>
        </is>
      </c>
      <c r="H435" s="56" t="n">
        <v>14</v>
      </c>
      <c r="I435" s="56" t="inlineStr">
        <is>
          <t>Searches</t>
        </is>
      </c>
      <c r="J435" s="56" t="inlineStr">
        <is>
          <t>1-23 August 2026</t>
        </is>
      </c>
      <c r="K435" s="57" t="n">
        <v>58</v>
      </c>
      <c r="L435" s="56" t="inlineStr">
        <is>
          <t>Search→Booking 1-23 August 2026 + Search→Select 1-23 August 2026</t>
        </is>
      </c>
      <c r="M435" s="40">
        <f>IF(Countries!Q286="","STILL MISSING","Filled ✓")</f>
        <v/>
      </c>
    </row>
    <row r="436">
      <c r="A436" s="40" t="inlineStr">
        <is>
          <t>Countries</t>
        </is>
      </c>
      <c r="B436" s="40" t="inlineStr">
        <is>
          <t>E286</t>
        </is>
      </c>
      <c r="C436" s="40" t="n">
        <v>286</v>
      </c>
      <c r="D436" s="40" t="inlineStr">
        <is>
          <t>Airport page</t>
        </is>
      </c>
      <c r="E436" s="40" t="inlineStr">
        <is>
          <t>Organic</t>
        </is>
      </c>
      <c r="F436" s="40" t="inlineStr">
        <is>
          <t>Desktop</t>
        </is>
      </c>
      <c r="G436" s="40" t="inlineStr">
        <is>
          <t>Norway</t>
        </is>
      </c>
      <c r="H436" s="40" t="n">
        <v>14</v>
      </c>
      <c r="I436" s="40" t="inlineStr">
        <is>
          <t>Sessions</t>
        </is>
      </c>
      <c r="J436" s="40" t="inlineStr">
        <is>
          <t>1-23 August 2025</t>
        </is>
      </c>
      <c r="K436" s="55" t="n">
        <v>58</v>
      </c>
      <c r="L436" s="40" t="inlineStr">
        <is>
          <t>CR 1-23 August 2025 + Visit→Engagement 1-23 August 2025</t>
        </is>
      </c>
      <c r="M436" s="40">
        <f>IF(Countries!E286="","STILL MISSING","Filled ✓")</f>
        <v/>
      </c>
    </row>
    <row r="437">
      <c r="A437" s="56" t="inlineStr">
        <is>
          <t>Countries</t>
        </is>
      </c>
      <c r="B437" s="56" t="inlineStr">
        <is>
          <t>F286</t>
        </is>
      </c>
      <c r="C437" s="56" t="n">
        <v>286</v>
      </c>
      <c r="D437" s="56" t="inlineStr">
        <is>
          <t>Airport page</t>
        </is>
      </c>
      <c r="E437" s="56" t="inlineStr">
        <is>
          <t>Organic</t>
        </is>
      </c>
      <c r="F437" s="56" t="inlineStr">
        <is>
          <t>Desktop</t>
        </is>
      </c>
      <c r="G437" s="56" t="inlineStr">
        <is>
          <t>Norway</t>
        </is>
      </c>
      <c r="H437" s="56" t="n">
        <v>14</v>
      </c>
      <c r="I437" s="56" t="inlineStr">
        <is>
          <t>Sessions</t>
        </is>
      </c>
      <c r="J437" s="56" t="inlineStr">
        <is>
          <t>1-23 August 2026</t>
        </is>
      </c>
      <c r="K437" s="57" t="n">
        <v>58</v>
      </c>
      <c r="L437" s="56" t="inlineStr">
        <is>
          <t>CR 1-23 August 2026 + Visit→Engagement 1-23 August 2026</t>
        </is>
      </c>
      <c r="M437" s="40">
        <f>IF(Countries!F286="","STILL MISSING","Filled ✓")</f>
        <v/>
      </c>
    </row>
    <row r="438">
      <c r="A438" s="40" t="inlineStr">
        <is>
          <t>Countries</t>
        </is>
      </c>
      <c r="B438" s="40" t="inlineStr">
        <is>
          <t>P270</t>
        </is>
      </c>
      <c r="C438" s="40" t="n">
        <v>270</v>
      </c>
      <c r="D438" s="40" t="inlineStr">
        <is>
          <t>Airport page</t>
        </is>
      </c>
      <c r="E438" s="40" t="inlineStr">
        <is>
          <t>Organic</t>
        </is>
      </c>
      <c r="F438" s="40" t="inlineStr">
        <is>
          <t>Mobile</t>
        </is>
      </c>
      <c r="G438" s="40" t="inlineStr">
        <is>
          <t>Norway</t>
        </is>
      </c>
      <c r="H438" s="40" t="n">
        <v>14</v>
      </c>
      <c r="I438" s="40" t="inlineStr">
        <is>
          <t>Searches</t>
        </is>
      </c>
      <c r="J438" s="40" t="inlineStr">
        <is>
          <t>1-23 August 2025</t>
        </is>
      </c>
      <c r="K438" s="55" t="n">
        <v>96</v>
      </c>
      <c r="L438" s="40" t="inlineStr">
        <is>
          <t>Search→Booking 1-23 August 2025 + Search→Select 1-23 August 2025</t>
        </is>
      </c>
      <c r="M438" s="40">
        <f>IF(Countries!P270="","STILL MISSING","Filled ✓")</f>
        <v/>
      </c>
    </row>
    <row r="439">
      <c r="A439" s="56" t="inlineStr">
        <is>
          <t>Countries</t>
        </is>
      </c>
      <c r="B439" s="56" t="inlineStr">
        <is>
          <t>Q270</t>
        </is>
      </c>
      <c r="C439" s="56" t="n">
        <v>270</v>
      </c>
      <c r="D439" s="56" t="inlineStr">
        <is>
          <t>Airport page</t>
        </is>
      </c>
      <c r="E439" s="56" t="inlineStr">
        <is>
          <t>Organic</t>
        </is>
      </c>
      <c r="F439" s="56" t="inlineStr">
        <is>
          <t>Mobile</t>
        </is>
      </c>
      <c r="G439" s="56" t="inlineStr">
        <is>
          <t>Norway</t>
        </is>
      </c>
      <c r="H439" s="56" t="n">
        <v>14</v>
      </c>
      <c r="I439" s="56" t="inlineStr">
        <is>
          <t>Searches</t>
        </is>
      </c>
      <c r="J439" s="56" t="inlineStr">
        <is>
          <t>1-23 August 2026</t>
        </is>
      </c>
      <c r="K439" s="57" t="n">
        <v>96</v>
      </c>
      <c r="L439" s="56" t="inlineStr">
        <is>
          <t>Search→Booking 1-23 August 2026 + Search→Select 1-23 August 2026</t>
        </is>
      </c>
      <c r="M439" s="40">
        <f>IF(Countries!Q270="","STILL MISSING","Filled ✓")</f>
        <v/>
      </c>
    </row>
    <row r="440">
      <c r="A440" s="40" t="inlineStr">
        <is>
          <t>Countries</t>
        </is>
      </c>
      <c r="B440" s="40" t="inlineStr">
        <is>
          <t>E270</t>
        </is>
      </c>
      <c r="C440" s="40" t="n">
        <v>270</v>
      </c>
      <c r="D440" s="40" t="inlineStr">
        <is>
          <t>Airport page</t>
        </is>
      </c>
      <c r="E440" s="40" t="inlineStr">
        <is>
          <t>Organic</t>
        </is>
      </c>
      <c r="F440" s="40" t="inlineStr">
        <is>
          <t>Mobile</t>
        </is>
      </c>
      <c r="G440" s="40" t="inlineStr">
        <is>
          <t>Norway</t>
        </is>
      </c>
      <c r="H440" s="40" t="n">
        <v>14</v>
      </c>
      <c r="I440" s="40" t="inlineStr">
        <is>
          <t>Sessions</t>
        </is>
      </c>
      <c r="J440" s="40" t="inlineStr">
        <is>
          <t>1-23 August 2025</t>
        </is>
      </c>
      <c r="K440" s="55" t="n">
        <v>96</v>
      </c>
      <c r="L440" s="40" t="inlineStr">
        <is>
          <t>CR 1-23 August 2025 + Visit→Engagement 1-23 August 2025</t>
        </is>
      </c>
      <c r="M440" s="40">
        <f>IF(Countries!E270="","STILL MISSING","Filled ✓")</f>
        <v/>
      </c>
    </row>
    <row r="441">
      <c r="A441" s="56" t="inlineStr">
        <is>
          <t>Countries</t>
        </is>
      </c>
      <c r="B441" s="56" t="inlineStr">
        <is>
          <t>F270</t>
        </is>
      </c>
      <c r="C441" s="56" t="n">
        <v>270</v>
      </c>
      <c r="D441" s="56" t="inlineStr">
        <is>
          <t>Airport page</t>
        </is>
      </c>
      <c r="E441" s="56" t="inlineStr">
        <is>
          <t>Organic</t>
        </is>
      </c>
      <c r="F441" s="56" t="inlineStr">
        <is>
          <t>Mobile</t>
        </is>
      </c>
      <c r="G441" s="56" t="inlineStr">
        <is>
          <t>Norway</t>
        </is>
      </c>
      <c r="H441" s="56" t="n">
        <v>14</v>
      </c>
      <c r="I441" s="56" t="inlineStr">
        <is>
          <t>Sessions</t>
        </is>
      </c>
      <c r="J441" s="56" t="inlineStr">
        <is>
          <t>1-23 August 2026</t>
        </is>
      </c>
      <c r="K441" s="57" t="n">
        <v>96</v>
      </c>
      <c r="L441" s="56" t="inlineStr">
        <is>
          <t>CR 1-23 August 2026 + Visit→Engagement 1-23 August 2026</t>
        </is>
      </c>
      <c r="M441" s="40">
        <f>IF(Countries!F270="","STILL MISSING","Filled ✓")</f>
        <v/>
      </c>
    </row>
    <row r="442">
      <c r="A442" s="40" t="inlineStr">
        <is>
          <t>Countries</t>
        </is>
      </c>
      <c r="B442" s="40" t="inlineStr">
        <is>
          <t>P319</t>
        </is>
      </c>
      <c r="C442" s="40" t="n">
        <v>319</v>
      </c>
      <c r="D442" s="40" t="inlineStr">
        <is>
          <t>Airport page</t>
        </is>
      </c>
      <c r="E442" s="40" t="inlineStr">
        <is>
          <t>Direct</t>
        </is>
      </c>
      <c r="F442" s="40" t="inlineStr">
        <is>
          <t>Desktop</t>
        </is>
      </c>
      <c r="G442" s="40" t="inlineStr">
        <is>
          <t>Norway</t>
        </is>
      </c>
      <c r="H442" s="40" t="n">
        <v>14</v>
      </c>
      <c r="I442" s="40" t="inlineStr">
        <is>
          <t>Searches</t>
        </is>
      </c>
      <c r="J442" s="40" t="inlineStr">
        <is>
          <t>1-23 August 2025</t>
        </is>
      </c>
      <c r="K442" s="55" t="n">
        <v>99</v>
      </c>
      <c r="L442" s="40" t="inlineStr">
        <is>
          <t>Searches YoY + Search→Booking 1-23 August 2025 + Search→Select 1-23 August 2025</t>
        </is>
      </c>
      <c r="M442" s="40">
        <f>IF(Countries!P319="","STILL MISSING","Filled ✓")</f>
        <v/>
      </c>
    </row>
    <row r="443">
      <c r="A443" s="56" t="inlineStr">
        <is>
          <t>Countries</t>
        </is>
      </c>
      <c r="B443" s="56" t="inlineStr">
        <is>
          <t>E319</t>
        </is>
      </c>
      <c r="C443" s="56" t="n">
        <v>319</v>
      </c>
      <c r="D443" s="56" t="inlineStr">
        <is>
          <t>Airport page</t>
        </is>
      </c>
      <c r="E443" s="56" t="inlineStr">
        <is>
          <t>Direct</t>
        </is>
      </c>
      <c r="F443" s="56" t="inlineStr">
        <is>
          <t>Desktop</t>
        </is>
      </c>
      <c r="G443" s="56" t="inlineStr">
        <is>
          <t>Norway</t>
        </is>
      </c>
      <c r="H443" s="56" t="n">
        <v>14</v>
      </c>
      <c r="I443" s="56" t="inlineStr">
        <is>
          <t>Sessions</t>
        </is>
      </c>
      <c r="J443" s="56" t="inlineStr">
        <is>
          <t>1-23 August 2025</t>
        </is>
      </c>
      <c r="K443" s="57" t="n">
        <v>99</v>
      </c>
      <c r="L443" s="56" t="inlineStr">
        <is>
          <t>CR 1-23 August 2025 + Sessions YoY + Visit→Engagement 1-23 August 2025</t>
        </is>
      </c>
      <c r="M443" s="40">
        <f>IF(Countries!E319="","STILL MISSING","Filled ✓")</f>
        <v/>
      </c>
    </row>
    <row r="444">
      <c r="A444" s="40" t="inlineStr">
        <is>
          <t>Countries</t>
        </is>
      </c>
      <c r="B444" s="40" t="inlineStr">
        <is>
          <t>P300</t>
        </is>
      </c>
      <c r="C444" s="40" t="n">
        <v>300</v>
      </c>
      <c r="D444" s="40" t="inlineStr">
        <is>
          <t>Airport page</t>
        </is>
      </c>
      <c r="E444" s="40" t="inlineStr">
        <is>
          <t>Direct</t>
        </is>
      </c>
      <c r="F444" s="40" t="inlineStr">
        <is>
          <t>Mobile</t>
        </is>
      </c>
      <c r="G444" s="40" t="inlineStr">
        <is>
          <t>Norway</t>
        </is>
      </c>
      <c r="H444" s="40" t="n">
        <v>14</v>
      </c>
      <c r="I444" s="40" t="inlineStr">
        <is>
          <t>Searches</t>
        </is>
      </c>
      <c r="J444" s="40" t="inlineStr">
        <is>
          <t>1-23 August 2025</t>
        </is>
      </c>
      <c r="K444" s="55" t="n">
        <v>36</v>
      </c>
      <c r="L444" s="40" t="inlineStr">
        <is>
          <t>Searches YoY + Search→Booking 1-23 August 2025 + Search→Select 1-23 August 2025 + Visit→Search 1-23 August 2025</t>
        </is>
      </c>
      <c r="M444" s="40">
        <f>IF(Countries!P300="","STILL MISSING","Filled ✓")</f>
        <v/>
      </c>
    </row>
    <row r="445">
      <c r="A445" s="56" t="inlineStr">
        <is>
          <t>Countries</t>
        </is>
      </c>
      <c r="B445" s="56" t="inlineStr">
        <is>
          <t>P391</t>
        </is>
      </c>
      <c r="C445" s="56" t="n">
        <v>391</v>
      </c>
      <c r="D445" s="56" t="inlineStr">
        <is>
          <t>Route page</t>
        </is>
      </c>
      <c r="E445" s="56" t="inlineStr">
        <is>
          <t>Organic</t>
        </is>
      </c>
      <c r="F445" s="56" t="inlineStr">
        <is>
          <t>Desktop</t>
        </is>
      </c>
      <c r="G445" s="56" t="inlineStr">
        <is>
          <t>Norway</t>
        </is>
      </c>
      <c r="H445" s="56" t="n">
        <v>14</v>
      </c>
      <c r="I445" s="56" t="inlineStr">
        <is>
          <t>Searches</t>
        </is>
      </c>
      <c r="J445" s="56" t="inlineStr">
        <is>
          <t>1-23 August 2025</t>
        </is>
      </c>
      <c r="K445" s="57" t="n">
        <v>108</v>
      </c>
      <c r="L445" s="56" t="inlineStr">
        <is>
          <t>Search→Booking 1-23 August 2025 + Search→Select 1-23 August 2025</t>
        </is>
      </c>
      <c r="M445" s="40">
        <f>IF(Countries!P391="","STILL MISSING","Filled ✓")</f>
        <v/>
      </c>
    </row>
    <row r="446">
      <c r="A446" s="40" t="inlineStr">
        <is>
          <t>Countries</t>
        </is>
      </c>
      <c r="B446" s="40" t="inlineStr">
        <is>
          <t>Q391</t>
        </is>
      </c>
      <c r="C446" s="40" t="n">
        <v>391</v>
      </c>
      <c r="D446" s="40" t="inlineStr">
        <is>
          <t>Route page</t>
        </is>
      </c>
      <c r="E446" s="40" t="inlineStr">
        <is>
          <t>Organic</t>
        </is>
      </c>
      <c r="F446" s="40" t="inlineStr">
        <is>
          <t>Desktop</t>
        </is>
      </c>
      <c r="G446" s="40" t="inlineStr">
        <is>
          <t>Norway</t>
        </is>
      </c>
      <c r="H446" s="40" t="n">
        <v>14</v>
      </c>
      <c r="I446" s="40" t="inlineStr">
        <is>
          <t>Searches</t>
        </is>
      </c>
      <c r="J446" s="40" t="inlineStr">
        <is>
          <t>1-23 August 2026</t>
        </is>
      </c>
      <c r="K446" s="55" t="n">
        <v>108</v>
      </c>
      <c r="L446" s="40" t="inlineStr">
        <is>
          <t>Search→Booking 1-23 August 2026 + Search→Select 1-23 August 2026</t>
        </is>
      </c>
      <c r="M446" s="40">
        <f>IF(Countries!Q391="","STILL MISSING","Filled ✓")</f>
        <v/>
      </c>
    </row>
    <row r="447">
      <c r="A447" s="56" t="inlineStr">
        <is>
          <t>Countries</t>
        </is>
      </c>
      <c r="B447" s="56" t="inlineStr">
        <is>
          <t>E391</t>
        </is>
      </c>
      <c r="C447" s="56" t="n">
        <v>391</v>
      </c>
      <c r="D447" s="56" t="inlineStr">
        <is>
          <t>Route page</t>
        </is>
      </c>
      <c r="E447" s="56" t="inlineStr">
        <is>
          <t>Organic</t>
        </is>
      </c>
      <c r="F447" s="56" t="inlineStr">
        <is>
          <t>Desktop</t>
        </is>
      </c>
      <c r="G447" s="56" t="inlineStr">
        <is>
          <t>Norway</t>
        </is>
      </c>
      <c r="H447" s="56" t="n">
        <v>14</v>
      </c>
      <c r="I447" s="56" t="inlineStr">
        <is>
          <t>Sessions</t>
        </is>
      </c>
      <c r="J447" s="56" t="inlineStr">
        <is>
          <t>1-23 August 2025</t>
        </is>
      </c>
      <c r="K447" s="57" t="n">
        <v>108</v>
      </c>
      <c r="L447" s="56" t="inlineStr">
        <is>
          <t>CR 1-23 August 2025 + Visit→Engagement 1-23 August 2025</t>
        </is>
      </c>
      <c r="M447" s="40">
        <f>IF(Countries!E391="","STILL MISSING","Filled ✓")</f>
        <v/>
      </c>
    </row>
    <row r="448">
      <c r="A448" s="40" t="inlineStr">
        <is>
          <t>Countries</t>
        </is>
      </c>
      <c r="B448" s="40" t="inlineStr">
        <is>
          <t>F391</t>
        </is>
      </c>
      <c r="C448" s="40" t="n">
        <v>391</v>
      </c>
      <c r="D448" s="40" t="inlineStr">
        <is>
          <t>Route page</t>
        </is>
      </c>
      <c r="E448" s="40" t="inlineStr">
        <is>
          <t>Organic</t>
        </is>
      </c>
      <c r="F448" s="40" t="inlineStr">
        <is>
          <t>Desktop</t>
        </is>
      </c>
      <c r="G448" s="40" t="inlineStr">
        <is>
          <t>Norway</t>
        </is>
      </c>
      <c r="H448" s="40" t="n">
        <v>14</v>
      </c>
      <c r="I448" s="40" t="inlineStr">
        <is>
          <t>Sessions</t>
        </is>
      </c>
      <c r="J448" s="40" t="inlineStr">
        <is>
          <t>1-23 August 2026</t>
        </is>
      </c>
      <c r="K448" s="55" t="n">
        <v>108</v>
      </c>
      <c r="L448" s="40" t="inlineStr">
        <is>
          <t>CR 1-23 August 2026 + Visit→Engagement 1-23 August 2026</t>
        </is>
      </c>
      <c r="M448" s="40">
        <f>IF(Countries!F391="","STILL MISSING","Filled ✓")</f>
        <v/>
      </c>
    </row>
    <row r="449">
      <c r="A449" s="56" t="inlineStr">
        <is>
          <t>Countries</t>
        </is>
      </c>
      <c r="B449" s="56" t="inlineStr">
        <is>
          <t>P375</t>
        </is>
      </c>
      <c r="C449" s="56" t="n">
        <v>375</v>
      </c>
      <c r="D449" s="56" t="inlineStr">
        <is>
          <t>Route page</t>
        </is>
      </c>
      <c r="E449" s="56" t="inlineStr">
        <is>
          <t>Organic</t>
        </is>
      </c>
      <c r="F449" s="56" t="inlineStr">
        <is>
          <t>Mobile</t>
        </is>
      </c>
      <c r="G449" s="56" t="inlineStr">
        <is>
          <t>Norway</t>
        </is>
      </c>
      <c r="H449" s="56" t="n">
        <v>14</v>
      </c>
      <c r="I449" s="56" t="inlineStr">
        <is>
          <t>Searches</t>
        </is>
      </c>
      <c r="J449" s="56" t="inlineStr">
        <is>
          <t>1-23 August 2025</t>
        </is>
      </c>
      <c r="K449" s="57" t="n">
        <v>222</v>
      </c>
      <c r="L449" s="56" t="inlineStr">
        <is>
          <t>Search→Booking 1-23 August 2025 + Search→Select 1-23 August 2025</t>
        </is>
      </c>
      <c r="M449" s="40">
        <f>IF(Countries!P375="","STILL MISSING","Filled ✓")</f>
        <v/>
      </c>
    </row>
    <row r="450">
      <c r="A450" s="40" t="inlineStr">
        <is>
          <t>Countries</t>
        </is>
      </c>
      <c r="B450" s="40" t="inlineStr">
        <is>
          <t>Q375</t>
        </is>
      </c>
      <c r="C450" s="40" t="n">
        <v>375</v>
      </c>
      <c r="D450" s="40" t="inlineStr">
        <is>
          <t>Route page</t>
        </is>
      </c>
      <c r="E450" s="40" t="inlineStr">
        <is>
          <t>Organic</t>
        </is>
      </c>
      <c r="F450" s="40" t="inlineStr">
        <is>
          <t>Mobile</t>
        </is>
      </c>
      <c r="G450" s="40" t="inlineStr">
        <is>
          <t>Norway</t>
        </is>
      </c>
      <c r="H450" s="40" t="n">
        <v>14</v>
      </c>
      <c r="I450" s="40" t="inlineStr">
        <is>
          <t>Searches</t>
        </is>
      </c>
      <c r="J450" s="40" t="inlineStr">
        <is>
          <t>1-23 August 2026</t>
        </is>
      </c>
      <c r="K450" s="55" t="n">
        <v>222</v>
      </c>
      <c r="L450" s="40" t="inlineStr">
        <is>
          <t>Search→Booking 1-23 August 2026 + Search→Select 1-23 August 2026</t>
        </is>
      </c>
      <c r="M450" s="40">
        <f>IF(Countries!Q375="","STILL MISSING","Filled ✓")</f>
        <v/>
      </c>
    </row>
    <row r="451">
      <c r="A451" s="56" t="inlineStr">
        <is>
          <t>Countries</t>
        </is>
      </c>
      <c r="B451" s="56" t="inlineStr">
        <is>
          <t>E375</t>
        </is>
      </c>
      <c r="C451" s="56" t="n">
        <v>375</v>
      </c>
      <c r="D451" s="56" t="inlineStr">
        <is>
          <t>Route page</t>
        </is>
      </c>
      <c r="E451" s="56" t="inlineStr">
        <is>
          <t>Organic</t>
        </is>
      </c>
      <c r="F451" s="56" t="inlineStr">
        <is>
          <t>Mobile</t>
        </is>
      </c>
      <c r="G451" s="56" t="inlineStr">
        <is>
          <t>Norway</t>
        </is>
      </c>
      <c r="H451" s="56" t="n">
        <v>14</v>
      </c>
      <c r="I451" s="56" t="inlineStr">
        <is>
          <t>Sessions</t>
        </is>
      </c>
      <c r="J451" s="56" t="inlineStr">
        <is>
          <t>1-23 August 2025</t>
        </is>
      </c>
      <c r="K451" s="57" t="n">
        <v>222</v>
      </c>
      <c r="L451" s="56" t="inlineStr">
        <is>
          <t>CR 1-23 August 2025 + Visit→Engagement 1-23 August 2025</t>
        </is>
      </c>
      <c r="M451" s="40">
        <f>IF(Countries!E375="","STILL MISSING","Filled ✓")</f>
        <v/>
      </c>
    </row>
    <row r="452">
      <c r="A452" s="40" t="inlineStr">
        <is>
          <t>Countries</t>
        </is>
      </c>
      <c r="B452" s="40" t="inlineStr">
        <is>
          <t>F375</t>
        </is>
      </c>
      <c r="C452" s="40" t="n">
        <v>375</v>
      </c>
      <c r="D452" s="40" t="inlineStr">
        <is>
          <t>Route page</t>
        </is>
      </c>
      <c r="E452" s="40" t="inlineStr">
        <is>
          <t>Organic</t>
        </is>
      </c>
      <c r="F452" s="40" t="inlineStr">
        <is>
          <t>Mobile</t>
        </is>
      </c>
      <c r="G452" s="40" t="inlineStr">
        <is>
          <t>Norway</t>
        </is>
      </c>
      <c r="H452" s="40" t="n">
        <v>14</v>
      </c>
      <c r="I452" s="40" t="inlineStr">
        <is>
          <t>Sessions</t>
        </is>
      </c>
      <c r="J452" s="40" t="inlineStr">
        <is>
          <t>1-23 August 2026</t>
        </is>
      </c>
      <c r="K452" s="55" t="n">
        <v>222</v>
      </c>
      <c r="L452" s="40" t="inlineStr">
        <is>
          <t>CR 1-23 August 2026 + Visit→Engagement 1-23 August 2026</t>
        </is>
      </c>
      <c r="M452" s="40">
        <f>IF(Countries!F375="","STILL MISSING","Filled ✓")</f>
        <v/>
      </c>
    </row>
    <row r="453">
      <c r="A453" s="56" t="inlineStr">
        <is>
          <t>Countries</t>
        </is>
      </c>
      <c r="B453" s="56" t="inlineStr">
        <is>
          <t>AD432</t>
        </is>
      </c>
      <c r="C453" s="56" t="n">
        <v>432</v>
      </c>
      <c r="D453" s="56" t="inlineStr">
        <is>
          <t>Route page</t>
        </is>
      </c>
      <c r="E453" s="56" t="inlineStr">
        <is>
          <t>Direct</t>
        </is>
      </c>
      <c r="F453" s="56" t="inlineStr">
        <is>
          <t>Desktop</t>
        </is>
      </c>
      <c r="G453" s="56" t="inlineStr">
        <is>
          <t>Norway</t>
        </is>
      </c>
      <c r="H453" s="56" t="n">
        <v>14</v>
      </c>
      <c r="I453" s="56" t="inlineStr">
        <is>
          <t>Add to cart</t>
        </is>
      </c>
      <c r="J453" s="56" t="inlineStr">
        <is>
          <t>1-23 August 2025</t>
        </is>
      </c>
      <c r="K453" s="57" t="n">
        <v>25</v>
      </c>
      <c r="L453" s="56" t="inlineStr">
        <is>
          <t>Add to cart YoY</t>
        </is>
      </c>
      <c r="M453" s="40">
        <f>IF(Countries!AD432="","STILL MISSING","Filled ✓")</f>
        <v/>
      </c>
    </row>
    <row r="454">
      <c r="A454" s="40" t="inlineStr">
        <is>
          <t>Countries</t>
        </is>
      </c>
      <c r="B454" s="40" t="inlineStr">
        <is>
          <t>AK432</t>
        </is>
      </c>
      <c r="C454" s="40" t="n">
        <v>432</v>
      </c>
      <c r="D454" s="40" t="inlineStr">
        <is>
          <t>Route page</t>
        </is>
      </c>
      <c r="E454" s="40" t="inlineStr">
        <is>
          <t>Direct</t>
        </is>
      </c>
      <c r="F454" s="40" t="inlineStr">
        <is>
          <t>Desktop</t>
        </is>
      </c>
      <c r="G454" s="40" t="inlineStr">
        <is>
          <t>Norway</t>
        </is>
      </c>
      <c r="H454" s="40" t="n">
        <v>14</v>
      </c>
      <c r="I454" s="40" t="inlineStr">
        <is>
          <t>Begin checkout</t>
        </is>
      </c>
      <c r="J454" s="40" t="inlineStr">
        <is>
          <t>1-23 August 2025</t>
        </is>
      </c>
      <c r="K454" s="55" t="n">
        <v>25</v>
      </c>
      <c r="L454" s="40" t="inlineStr">
        <is>
          <t>Begin checkout YoY</t>
        </is>
      </c>
      <c r="M454" s="40">
        <f>IF(Countries!AK432="","STILL MISSING","Filled ✓")</f>
        <v/>
      </c>
    </row>
    <row r="455">
      <c r="A455" s="56" t="inlineStr">
        <is>
          <t>Countries</t>
        </is>
      </c>
      <c r="B455" s="56" t="inlineStr">
        <is>
          <t>AR432</t>
        </is>
      </c>
      <c r="C455" s="56" t="n">
        <v>432</v>
      </c>
      <c r="D455" s="56" t="inlineStr">
        <is>
          <t>Route page</t>
        </is>
      </c>
      <c r="E455" s="56" t="inlineStr">
        <is>
          <t>Direct</t>
        </is>
      </c>
      <c r="F455" s="56" t="inlineStr">
        <is>
          <t>Desktop</t>
        </is>
      </c>
      <c r="G455" s="56" t="inlineStr">
        <is>
          <t>Norway</t>
        </is>
      </c>
      <c r="H455" s="56" t="n">
        <v>14</v>
      </c>
      <c r="I455" s="56" t="inlineStr">
        <is>
          <t>Purchases</t>
        </is>
      </c>
      <c r="J455" s="56" t="inlineStr">
        <is>
          <t>1-23 August 2025</t>
        </is>
      </c>
      <c r="K455" s="57" t="n">
        <v>25</v>
      </c>
      <c r="L455" s="56" t="inlineStr">
        <is>
          <t>Purchases YoY</t>
        </is>
      </c>
      <c r="M455" s="40">
        <f>IF(Countries!AR432="","STILL MISSING","Filled ✓")</f>
        <v/>
      </c>
    </row>
    <row r="456">
      <c r="A456" s="40" t="inlineStr">
        <is>
          <t>Countries</t>
        </is>
      </c>
      <c r="B456" s="40" t="inlineStr">
        <is>
          <t>Q432</t>
        </is>
      </c>
      <c r="C456" s="40" t="n">
        <v>432</v>
      </c>
      <c r="D456" s="40" t="inlineStr">
        <is>
          <t>Route page</t>
        </is>
      </c>
      <c r="E456" s="40" t="inlineStr">
        <is>
          <t>Direct</t>
        </is>
      </c>
      <c r="F456" s="40" t="inlineStr">
        <is>
          <t>Desktop</t>
        </is>
      </c>
      <c r="G456" s="40" t="inlineStr">
        <is>
          <t>Norway</t>
        </is>
      </c>
      <c r="H456" s="40" t="n">
        <v>14</v>
      </c>
      <c r="I456" s="40" t="inlineStr">
        <is>
          <t>Searches</t>
        </is>
      </c>
      <c r="J456" s="40" t="inlineStr">
        <is>
          <t>1-23 August 2026</t>
        </is>
      </c>
      <c r="K456" s="55" t="n">
        <v>25</v>
      </c>
      <c r="L456" s="40" t="inlineStr">
        <is>
          <t>Search→Booking 1-23 August 2026 + Search→Select 1-23 August 2026</t>
        </is>
      </c>
      <c r="M456" s="40">
        <f>IF(Countries!Q432="","STILL MISSING","Filled ✓")</f>
        <v/>
      </c>
    </row>
    <row r="457">
      <c r="A457" s="56" t="inlineStr">
        <is>
          <t>Countries</t>
        </is>
      </c>
      <c r="B457" s="56" t="inlineStr">
        <is>
          <t>W432</t>
        </is>
      </c>
      <c r="C457" s="56" t="n">
        <v>432</v>
      </c>
      <c r="D457" s="56" t="inlineStr">
        <is>
          <t>Route page</t>
        </is>
      </c>
      <c r="E457" s="56" t="inlineStr">
        <is>
          <t>Direct</t>
        </is>
      </c>
      <c r="F457" s="56" t="inlineStr">
        <is>
          <t>Desktop</t>
        </is>
      </c>
      <c r="G457" s="56" t="inlineStr">
        <is>
          <t>Norway</t>
        </is>
      </c>
      <c r="H457" s="56" t="n">
        <v>14</v>
      </c>
      <c r="I457" s="56" t="inlineStr">
        <is>
          <t>Select item</t>
        </is>
      </c>
      <c r="J457" s="56" t="inlineStr">
        <is>
          <t>1-23 August 2025</t>
        </is>
      </c>
      <c r="K457" s="57" t="n">
        <v>25</v>
      </c>
      <c r="L457" s="56" t="inlineStr">
        <is>
          <t>Select item YoY</t>
        </is>
      </c>
      <c r="M457" s="40">
        <f>IF(Countries!W432="","STILL MISSING","Filled ✓")</f>
        <v/>
      </c>
    </row>
    <row r="458">
      <c r="A458" s="40" t="inlineStr">
        <is>
          <t>Countries</t>
        </is>
      </c>
      <c r="B458" s="40" t="inlineStr">
        <is>
          <t>E432</t>
        </is>
      </c>
      <c r="C458" s="40" t="n">
        <v>432</v>
      </c>
      <c r="D458" s="40" t="inlineStr">
        <is>
          <t>Route page</t>
        </is>
      </c>
      <c r="E458" s="40" t="inlineStr">
        <is>
          <t>Direct</t>
        </is>
      </c>
      <c r="F458" s="40" t="inlineStr">
        <is>
          <t>Desktop</t>
        </is>
      </c>
      <c r="G458" s="40" t="inlineStr">
        <is>
          <t>Norway</t>
        </is>
      </c>
      <c r="H458" s="40" t="n">
        <v>14</v>
      </c>
      <c r="I458" s="40" t="inlineStr">
        <is>
          <t>Sessions</t>
        </is>
      </c>
      <c r="J458" s="40" t="inlineStr">
        <is>
          <t>1-23 August 2025</t>
        </is>
      </c>
      <c r="K458" s="55" t="n">
        <v>25</v>
      </c>
      <c r="L458" s="40" t="inlineStr">
        <is>
          <t>Visit→Engagement 1-23 August 2025</t>
        </is>
      </c>
      <c r="M458" s="40">
        <f>IF(Countries!E432="","STILL MISSING","Filled ✓")</f>
        <v/>
      </c>
    </row>
    <row r="459">
      <c r="A459" s="56" t="inlineStr">
        <is>
          <t>Countries</t>
        </is>
      </c>
      <c r="B459" s="56" t="inlineStr">
        <is>
          <t>F432</t>
        </is>
      </c>
      <c r="C459" s="56" t="n">
        <v>432</v>
      </c>
      <c r="D459" s="56" t="inlineStr">
        <is>
          <t>Route page</t>
        </is>
      </c>
      <c r="E459" s="56" t="inlineStr">
        <is>
          <t>Direct</t>
        </is>
      </c>
      <c r="F459" s="56" t="inlineStr">
        <is>
          <t>Desktop</t>
        </is>
      </c>
      <c r="G459" s="56" t="inlineStr">
        <is>
          <t>Norway</t>
        </is>
      </c>
      <c r="H459" s="56" t="n">
        <v>14</v>
      </c>
      <c r="I459" s="56" t="inlineStr">
        <is>
          <t>Sessions</t>
        </is>
      </c>
      <c r="J459" s="56" t="inlineStr">
        <is>
          <t>1-23 August 2026</t>
        </is>
      </c>
      <c r="K459" s="57" t="n">
        <v>25</v>
      </c>
      <c r="L459" s="56" t="inlineStr">
        <is>
          <t>CR 1-23 August 2026 + Visit→Engagement 1-23 August 2026</t>
        </is>
      </c>
      <c r="M459" s="40">
        <f>IF(Countries!F432="","STILL MISSING","Filled ✓")</f>
        <v/>
      </c>
    </row>
    <row r="460">
      <c r="A460" s="40" t="inlineStr">
        <is>
          <t>Countries</t>
        </is>
      </c>
      <c r="B460" s="40" t="inlineStr">
        <is>
          <t>AR410</t>
        </is>
      </c>
      <c r="C460" s="40" t="n">
        <v>410</v>
      </c>
      <c r="D460" s="40" t="inlineStr">
        <is>
          <t>Route page</t>
        </is>
      </c>
      <c r="E460" s="40" t="inlineStr">
        <is>
          <t>Direct</t>
        </is>
      </c>
      <c r="F460" s="40" t="inlineStr">
        <is>
          <t>Mobile</t>
        </is>
      </c>
      <c r="G460" s="40" t="inlineStr">
        <is>
          <t>Norway</t>
        </is>
      </c>
      <c r="H460" s="40" t="n">
        <v>14</v>
      </c>
      <c r="I460" s="40" t="inlineStr">
        <is>
          <t>Purchases</t>
        </is>
      </c>
      <c r="J460" s="40" t="inlineStr">
        <is>
          <t>1-23 August 2025</t>
        </is>
      </c>
      <c r="K460" s="55" t="n">
        <v>29</v>
      </c>
      <c r="L460" s="40" t="inlineStr">
        <is>
          <t>CR 1-23 August 2025 + Checkout→Purchase 1-23 August 2025 + Search→Booking 1-23 August 2025</t>
        </is>
      </c>
      <c r="M460" s="40">
        <f>IF(Countries!AR410="","STILL MISSING","Filled ✓")</f>
        <v/>
      </c>
    </row>
    <row r="461">
      <c r="A461" s="56" t="inlineStr">
        <is>
          <t>Countries</t>
        </is>
      </c>
      <c r="B461" s="56" t="inlineStr">
        <is>
          <t>AS410</t>
        </is>
      </c>
      <c r="C461" s="56" t="n">
        <v>410</v>
      </c>
      <c r="D461" s="56" t="inlineStr">
        <is>
          <t>Route page</t>
        </is>
      </c>
      <c r="E461" s="56" t="inlineStr">
        <is>
          <t>Direct</t>
        </is>
      </c>
      <c r="F461" s="56" t="inlineStr">
        <is>
          <t>Mobile</t>
        </is>
      </c>
      <c r="G461" s="56" t="inlineStr">
        <is>
          <t>Norway</t>
        </is>
      </c>
      <c r="H461" s="56" t="n">
        <v>14</v>
      </c>
      <c r="I461" s="56" t="inlineStr">
        <is>
          <t>Purchases</t>
        </is>
      </c>
      <c r="J461" s="56" t="inlineStr">
        <is>
          <t>1-23 August 2026</t>
        </is>
      </c>
      <c r="K461" s="57" t="n">
        <v>29</v>
      </c>
      <c r="L461" s="56" t="inlineStr">
        <is>
          <t>Checkout→Purchase 1-23 August 2026</t>
        </is>
      </c>
      <c r="M461" s="40">
        <f>IF(Countries!AS410="","STILL MISSING","Filled ✓")</f>
        <v/>
      </c>
    </row>
    <row r="462">
      <c r="A462" s="40" t="inlineStr">
        <is>
          <t>Countries</t>
        </is>
      </c>
      <c r="B462" s="40" t="inlineStr">
        <is>
          <t>Q410</t>
        </is>
      </c>
      <c r="C462" s="40" t="n">
        <v>410</v>
      </c>
      <c r="D462" s="40" t="inlineStr">
        <is>
          <t>Route page</t>
        </is>
      </c>
      <c r="E462" s="40" t="inlineStr">
        <is>
          <t>Direct</t>
        </is>
      </c>
      <c r="F462" s="40" t="inlineStr">
        <is>
          <t>Mobile</t>
        </is>
      </c>
      <c r="G462" s="40" t="inlineStr">
        <is>
          <t>Norway</t>
        </is>
      </c>
      <c r="H462" s="40" t="n">
        <v>14</v>
      </c>
      <c r="I462" s="40" t="inlineStr">
        <is>
          <t>Searches</t>
        </is>
      </c>
      <c r="J462" s="40" t="inlineStr">
        <is>
          <t>1-23 August 2026</t>
        </is>
      </c>
      <c r="K462" s="55" t="n">
        <v>29</v>
      </c>
      <c r="L462" s="40" t="inlineStr">
        <is>
          <t>Searches YoY + Search→Select 1-23 August 2026</t>
        </is>
      </c>
      <c r="M462" s="40">
        <f>IF(Countries!Q410="","STILL MISSING","Filled ✓")</f>
        <v/>
      </c>
    </row>
    <row r="463">
      <c r="A463" s="56" t="inlineStr">
        <is>
          <t>Countries</t>
        </is>
      </c>
      <c r="B463" s="56" t="inlineStr">
        <is>
          <t>F410</t>
        </is>
      </c>
      <c r="C463" s="56" t="n">
        <v>410</v>
      </c>
      <c r="D463" s="56" t="inlineStr">
        <is>
          <t>Route page</t>
        </is>
      </c>
      <c r="E463" s="56" t="inlineStr">
        <is>
          <t>Direct</t>
        </is>
      </c>
      <c r="F463" s="56" t="inlineStr">
        <is>
          <t>Mobile</t>
        </is>
      </c>
      <c r="G463" s="56" t="inlineStr">
        <is>
          <t>Norway</t>
        </is>
      </c>
      <c r="H463" s="56" t="n">
        <v>14</v>
      </c>
      <c r="I463" s="56" t="inlineStr">
        <is>
          <t>Sessions</t>
        </is>
      </c>
      <c r="J463" s="56" t="inlineStr">
        <is>
          <t>1-23 August 2026</t>
        </is>
      </c>
      <c r="K463" s="57" t="n">
        <v>29</v>
      </c>
      <c r="L463" s="56" t="inlineStr">
        <is>
          <t>Sessions YoY + Visit→Engagement 1-23 August 2026</t>
        </is>
      </c>
      <c r="M463" s="40">
        <f>IF(Countries!F410="","STILL MISSING","Filled ✓")</f>
        <v/>
      </c>
    </row>
    <row r="464">
      <c r="A464" s="40" t="inlineStr">
        <is>
          <t>Countries</t>
        </is>
      </c>
      <c r="B464" s="40" t="inlineStr">
        <is>
          <t>P36</t>
        </is>
      </c>
      <c r="C464" s="40" t="n">
        <v>36</v>
      </c>
      <c r="D464" s="40" t="inlineStr">
        <is>
          <t>All landing pages</t>
        </is>
      </c>
      <c r="E464" s="40" t="inlineStr">
        <is>
          <t>Paid Search</t>
        </is>
      </c>
      <c r="F464" s="40" t="inlineStr">
        <is>
          <t>Desktop</t>
        </is>
      </c>
      <c r="G464" s="40" t="inlineStr">
        <is>
          <t>Finland</t>
        </is>
      </c>
      <c r="H464" s="40" t="n">
        <v>15</v>
      </c>
      <c r="I464" s="40" t="inlineStr">
        <is>
          <t>Searches</t>
        </is>
      </c>
      <c r="J464" s="40" t="inlineStr">
        <is>
          <t>1-23 August 2025</t>
        </is>
      </c>
      <c r="K464" s="55" t="n">
        <v>729</v>
      </c>
      <c r="L464" s="40" t="inlineStr">
        <is>
          <t>Search→Booking 1-23 August 2025 + Search→Select 1-23 August 2025</t>
        </is>
      </c>
      <c r="M464" s="40">
        <f>IF(Countries!P36="","STILL MISSING","Filled ✓")</f>
        <v/>
      </c>
    </row>
    <row r="465">
      <c r="A465" s="56" t="inlineStr">
        <is>
          <t>Countries</t>
        </is>
      </c>
      <c r="B465" s="56" t="inlineStr">
        <is>
          <t>Q36</t>
        </is>
      </c>
      <c r="C465" s="56" t="n">
        <v>36</v>
      </c>
      <c r="D465" s="56" t="inlineStr">
        <is>
          <t>All landing pages</t>
        </is>
      </c>
      <c r="E465" s="56" t="inlineStr">
        <is>
          <t>Paid Search</t>
        </is>
      </c>
      <c r="F465" s="56" t="inlineStr">
        <is>
          <t>Desktop</t>
        </is>
      </c>
      <c r="G465" s="56" t="inlineStr">
        <is>
          <t>Finland</t>
        </is>
      </c>
      <c r="H465" s="56" t="n">
        <v>15</v>
      </c>
      <c r="I465" s="56" t="inlineStr">
        <is>
          <t>Searches</t>
        </is>
      </c>
      <c r="J465" s="56" t="inlineStr">
        <is>
          <t>1-23 August 2026</t>
        </is>
      </c>
      <c r="K465" s="57" t="n">
        <v>729</v>
      </c>
      <c r="L465" s="56" t="inlineStr">
        <is>
          <t>Search→Booking 1-23 August 2026 + Search→Select 1-23 August 2026</t>
        </is>
      </c>
      <c r="M465" s="40">
        <f>IF(Countries!Q36="","STILL MISSING","Filled ✓")</f>
        <v/>
      </c>
    </row>
    <row r="466">
      <c r="A466" s="40" t="inlineStr">
        <is>
          <t>Countries</t>
        </is>
      </c>
      <c r="B466" s="40" t="inlineStr">
        <is>
          <t>E36</t>
        </is>
      </c>
      <c r="C466" s="40" t="n">
        <v>36</v>
      </c>
      <c r="D466" s="40" t="inlineStr">
        <is>
          <t>All landing pages</t>
        </is>
      </c>
      <c r="E466" s="40" t="inlineStr">
        <is>
          <t>Paid Search</t>
        </is>
      </c>
      <c r="F466" s="40" t="inlineStr">
        <is>
          <t>Desktop</t>
        </is>
      </c>
      <c r="G466" s="40" t="inlineStr">
        <is>
          <t>Finland</t>
        </is>
      </c>
      <c r="H466" s="40" t="n">
        <v>15</v>
      </c>
      <c r="I466" s="40" t="inlineStr">
        <is>
          <t>Sessions</t>
        </is>
      </c>
      <c r="J466" s="40" t="inlineStr">
        <is>
          <t>1-23 August 2025</t>
        </is>
      </c>
      <c r="K466" s="55" t="n">
        <v>729</v>
      </c>
      <c r="L466" s="40" t="inlineStr">
        <is>
          <t>CR 1-23 August 2025 + Visit→Engagement 1-23 August 2025</t>
        </is>
      </c>
      <c r="M466" s="40">
        <f>IF(Countries!E36="","STILL MISSING","Filled ✓")</f>
        <v/>
      </c>
    </row>
    <row r="467">
      <c r="A467" s="56" t="inlineStr">
        <is>
          <t>Countries</t>
        </is>
      </c>
      <c r="B467" s="56" t="inlineStr">
        <is>
          <t>F36</t>
        </is>
      </c>
      <c r="C467" s="56" t="n">
        <v>36</v>
      </c>
      <c r="D467" s="56" t="inlineStr">
        <is>
          <t>All landing pages</t>
        </is>
      </c>
      <c r="E467" s="56" t="inlineStr">
        <is>
          <t>Paid Search</t>
        </is>
      </c>
      <c r="F467" s="56" t="inlineStr">
        <is>
          <t>Desktop</t>
        </is>
      </c>
      <c r="G467" s="56" t="inlineStr">
        <is>
          <t>Finland</t>
        </is>
      </c>
      <c r="H467" s="56" t="n">
        <v>15</v>
      </c>
      <c r="I467" s="56" t="inlineStr">
        <is>
          <t>Sessions</t>
        </is>
      </c>
      <c r="J467" s="56" t="inlineStr">
        <is>
          <t>1-23 August 2026</t>
        </is>
      </c>
      <c r="K467" s="57" t="n">
        <v>729</v>
      </c>
      <c r="L467" s="56" t="inlineStr">
        <is>
          <t>CR 1-23 August 2026 + Visit→Engagement 1-23 August 2026</t>
        </is>
      </c>
      <c r="M467" s="40">
        <f>IF(Countries!F36="","STILL MISSING","Filled ✓")</f>
        <v/>
      </c>
    </row>
    <row r="468">
      <c r="A468" s="40" t="inlineStr">
        <is>
          <t>Countries</t>
        </is>
      </c>
      <c r="B468" s="40" t="inlineStr">
        <is>
          <t>P69</t>
        </is>
      </c>
      <c r="C468" s="40" t="n">
        <v>69</v>
      </c>
      <c r="D468" s="40" t="inlineStr">
        <is>
          <t>All landing pages</t>
        </is>
      </c>
      <c r="E468" s="40" t="inlineStr">
        <is>
          <t>Organic</t>
        </is>
      </c>
      <c r="F468" s="40" t="inlineStr">
        <is>
          <t>Desktop</t>
        </is>
      </c>
      <c r="G468" s="40" t="inlineStr">
        <is>
          <t>Finland</t>
        </is>
      </c>
      <c r="H468" s="40" t="n">
        <v>15</v>
      </c>
      <c r="I468" s="40" t="inlineStr">
        <is>
          <t>Searches</t>
        </is>
      </c>
      <c r="J468" s="40" t="inlineStr">
        <is>
          <t>1-23 August 2025</t>
        </is>
      </c>
      <c r="K468" s="55" t="n">
        <v>254</v>
      </c>
      <c r="L468" s="40" t="inlineStr">
        <is>
          <t>Search→Booking 1-23 August 2025 + Search→Select 1-23 August 2025</t>
        </is>
      </c>
      <c r="M468" s="40">
        <f>IF(Countries!P69="","STILL MISSING","Filled ✓")</f>
        <v/>
      </c>
    </row>
    <row r="469">
      <c r="A469" s="56" t="inlineStr">
        <is>
          <t>Countries</t>
        </is>
      </c>
      <c r="B469" s="56" t="inlineStr">
        <is>
          <t>Q69</t>
        </is>
      </c>
      <c r="C469" s="56" t="n">
        <v>69</v>
      </c>
      <c r="D469" s="56" t="inlineStr">
        <is>
          <t>All landing pages</t>
        </is>
      </c>
      <c r="E469" s="56" t="inlineStr">
        <is>
          <t>Organic</t>
        </is>
      </c>
      <c r="F469" s="56" t="inlineStr">
        <is>
          <t>Desktop</t>
        </is>
      </c>
      <c r="G469" s="56" t="inlineStr">
        <is>
          <t>Finland</t>
        </is>
      </c>
      <c r="H469" s="56" t="n">
        <v>15</v>
      </c>
      <c r="I469" s="56" t="inlineStr">
        <is>
          <t>Searches</t>
        </is>
      </c>
      <c r="J469" s="56" t="inlineStr">
        <is>
          <t>1-23 August 2026</t>
        </is>
      </c>
      <c r="K469" s="57" t="n">
        <v>254</v>
      </c>
      <c r="L469" s="56" t="inlineStr">
        <is>
          <t>Search→Booking 1-23 August 2026 + Search→Select 1-23 August 2026</t>
        </is>
      </c>
      <c r="M469" s="40">
        <f>IF(Countries!Q69="","STILL MISSING","Filled ✓")</f>
        <v/>
      </c>
    </row>
    <row r="470">
      <c r="A470" s="40" t="inlineStr">
        <is>
          <t>Countries</t>
        </is>
      </c>
      <c r="B470" s="40" t="inlineStr">
        <is>
          <t>E69</t>
        </is>
      </c>
      <c r="C470" s="40" t="n">
        <v>69</v>
      </c>
      <c r="D470" s="40" t="inlineStr">
        <is>
          <t>All landing pages</t>
        </is>
      </c>
      <c r="E470" s="40" t="inlineStr">
        <is>
          <t>Organic</t>
        </is>
      </c>
      <c r="F470" s="40" t="inlineStr">
        <is>
          <t>Desktop</t>
        </is>
      </c>
      <c r="G470" s="40" t="inlineStr">
        <is>
          <t>Finland</t>
        </is>
      </c>
      <c r="H470" s="40" t="n">
        <v>15</v>
      </c>
      <c r="I470" s="40" t="inlineStr">
        <is>
          <t>Sessions</t>
        </is>
      </c>
      <c r="J470" s="40" t="inlineStr">
        <is>
          <t>1-23 August 2025</t>
        </is>
      </c>
      <c r="K470" s="55" t="n">
        <v>254</v>
      </c>
      <c r="L470" s="40" t="inlineStr">
        <is>
          <t>CR 1-23 August 2025 + Visit→Engagement 1-23 August 2025</t>
        </is>
      </c>
      <c r="M470" s="40">
        <f>IF(Countries!E69="","STILL MISSING","Filled ✓")</f>
        <v/>
      </c>
    </row>
    <row r="471">
      <c r="A471" s="56" t="inlineStr">
        <is>
          <t>Countries</t>
        </is>
      </c>
      <c r="B471" s="56" t="inlineStr">
        <is>
          <t>F69</t>
        </is>
      </c>
      <c r="C471" s="56" t="n">
        <v>69</v>
      </c>
      <c r="D471" s="56" t="inlineStr">
        <is>
          <t>All landing pages</t>
        </is>
      </c>
      <c r="E471" s="56" t="inlineStr">
        <is>
          <t>Organic</t>
        </is>
      </c>
      <c r="F471" s="56" t="inlineStr">
        <is>
          <t>Desktop</t>
        </is>
      </c>
      <c r="G471" s="56" t="inlineStr">
        <is>
          <t>Finland</t>
        </is>
      </c>
      <c r="H471" s="56" t="n">
        <v>15</v>
      </c>
      <c r="I471" s="56" t="inlineStr">
        <is>
          <t>Sessions</t>
        </is>
      </c>
      <c r="J471" s="56" t="inlineStr">
        <is>
          <t>1-23 August 2026</t>
        </is>
      </c>
      <c r="K471" s="57" t="n">
        <v>254</v>
      </c>
      <c r="L471" s="56" t="inlineStr">
        <is>
          <t>CR 1-23 August 2026 + Visit→Engagement 1-23 August 2026</t>
        </is>
      </c>
      <c r="M471" s="40">
        <f>IF(Countries!F69="","STILL MISSING","Filled ✓")</f>
        <v/>
      </c>
    </row>
    <row r="472">
      <c r="A472" s="40" t="inlineStr">
        <is>
          <t>Countries</t>
        </is>
      </c>
      <c r="B472" s="40" t="inlineStr">
        <is>
          <t>Q51</t>
        </is>
      </c>
      <c r="C472" s="40" t="n">
        <v>51</v>
      </c>
      <c r="D472" s="40" t="inlineStr">
        <is>
          <t>All landing pages</t>
        </is>
      </c>
      <c r="E472" s="40" t="inlineStr">
        <is>
          <t>Organic</t>
        </is>
      </c>
      <c r="F472" s="40" t="inlineStr">
        <is>
          <t>Mobile</t>
        </is>
      </c>
      <c r="G472" s="40" t="inlineStr">
        <is>
          <t>Finland</t>
        </is>
      </c>
      <c r="H472" s="40" t="n">
        <v>15</v>
      </c>
      <c r="I472" s="40" t="inlineStr">
        <is>
          <t>Searches</t>
        </is>
      </c>
      <c r="J472" s="40" t="inlineStr">
        <is>
          <t>1-23 August 2026</t>
        </is>
      </c>
      <c r="K472" s="55" t="n">
        <v>943</v>
      </c>
      <c r="L472" s="40" t="inlineStr">
        <is>
          <t>Searches YoY + Search→Booking 1-23 August 2026 + Search→Select 1-23 August 2026</t>
        </is>
      </c>
      <c r="M472" s="40">
        <f>IF(Countries!Q51="","STILL MISSING","Filled ✓")</f>
        <v/>
      </c>
    </row>
    <row r="473">
      <c r="A473" s="56" t="inlineStr">
        <is>
          <t>Countries</t>
        </is>
      </c>
      <c r="B473" s="56" t="inlineStr">
        <is>
          <t>F51</t>
        </is>
      </c>
      <c r="C473" s="56" t="n">
        <v>51</v>
      </c>
      <c r="D473" s="56" t="inlineStr">
        <is>
          <t>All landing pages</t>
        </is>
      </c>
      <c r="E473" s="56" t="inlineStr">
        <is>
          <t>Organic</t>
        </is>
      </c>
      <c r="F473" s="56" t="inlineStr">
        <is>
          <t>Mobile</t>
        </is>
      </c>
      <c r="G473" s="56" t="inlineStr">
        <is>
          <t>Finland</t>
        </is>
      </c>
      <c r="H473" s="56" t="n">
        <v>15</v>
      </c>
      <c r="I473" s="56" t="inlineStr">
        <is>
          <t>Sessions</t>
        </is>
      </c>
      <c r="J473" s="56" t="inlineStr">
        <is>
          <t>1-23 August 2026</t>
        </is>
      </c>
      <c r="K473" s="57" t="n">
        <v>943</v>
      </c>
      <c r="L473" s="56" t="inlineStr">
        <is>
          <t>CR 1-23 August 2026 + Sessions YoY + Visit→Engagement 1-23 August 2026</t>
        </is>
      </c>
      <c r="M473" s="40">
        <f>IF(Countries!F51="","STILL MISSING","Filled ✓")</f>
        <v/>
      </c>
    </row>
    <row r="474">
      <c r="A474" s="40" t="inlineStr">
        <is>
          <t>Countries</t>
        </is>
      </c>
      <c r="B474" s="40" t="inlineStr">
        <is>
          <t>P110</t>
        </is>
      </c>
      <c r="C474" s="40" t="n">
        <v>110</v>
      </c>
      <c r="D474" s="40" t="inlineStr">
        <is>
          <t>All landing pages</t>
        </is>
      </c>
      <c r="E474" s="40" t="inlineStr">
        <is>
          <t>Direct</t>
        </is>
      </c>
      <c r="F474" s="40" t="inlineStr">
        <is>
          <t>Desktop</t>
        </is>
      </c>
      <c r="G474" s="40" t="inlineStr">
        <is>
          <t>Finland</t>
        </is>
      </c>
      <c r="H474" s="40" t="n">
        <v>15</v>
      </c>
      <c r="I474" s="40" t="inlineStr">
        <is>
          <t>Searches</t>
        </is>
      </c>
      <c r="J474" s="40" t="inlineStr">
        <is>
          <t>1-23 August 2025</t>
        </is>
      </c>
      <c r="K474" s="55" t="n">
        <v>92</v>
      </c>
      <c r="L474" s="40" t="inlineStr">
        <is>
          <t>Search→Booking 1-23 August 2025 + Search→Select 1-23 August 2025</t>
        </is>
      </c>
      <c r="M474" s="40">
        <f>IF(Countries!P110="","STILL MISSING","Filled ✓")</f>
        <v/>
      </c>
    </row>
    <row r="475">
      <c r="A475" s="56" t="inlineStr">
        <is>
          <t>Countries</t>
        </is>
      </c>
      <c r="B475" s="56" t="inlineStr">
        <is>
          <t>Q110</t>
        </is>
      </c>
      <c r="C475" s="56" t="n">
        <v>110</v>
      </c>
      <c r="D475" s="56" t="inlineStr">
        <is>
          <t>All landing pages</t>
        </is>
      </c>
      <c r="E475" s="56" t="inlineStr">
        <is>
          <t>Direct</t>
        </is>
      </c>
      <c r="F475" s="56" t="inlineStr">
        <is>
          <t>Desktop</t>
        </is>
      </c>
      <c r="G475" s="56" t="inlineStr">
        <is>
          <t>Finland</t>
        </is>
      </c>
      <c r="H475" s="56" t="n">
        <v>15</v>
      </c>
      <c r="I475" s="56" t="inlineStr">
        <is>
          <t>Searches</t>
        </is>
      </c>
      <c r="J475" s="56" t="inlineStr">
        <is>
          <t>1-23 August 2026</t>
        </is>
      </c>
      <c r="K475" s="57" t="n">
        <v>92</v>
      </c>
      <c r="L475" s="56" t="inlineStr">
        <is>
          <t>Search→Booking 1-23 August 2026 + Search→Select 1-23 August 2026</t>
        </is>
      </c>
      <c r="M475" s="40">
        <f>IF(Countries!Q110="","STILL MISSING","Filled ✓")</f>
        <v/>
      </c>
    </row>
    <row r="476">
      <c r="A476" s="40" t="inlineStr">
        <is>
          <t>Countries</t>
        </is>
      </c>
      <c r="B476" s="40" t="inlineStr">
        <is>
          <t>E110</t>
        </is>
      </c>
      <c r="C476" s="40" t="n">
        <v>110</v>
      </c>
      <c r="D476" s="40" t="inlineStr">
        <is>
          <t>All landing pages</t>
        </is>
      </c>
      <c r="E476" s="40" t="inlineStr">
        <is>
          <t>Direct</t>
        </is>
      </c>
      <c r="F476" s="40" t="inlineStr">
        <is>
          <t>Desktop</t>
        </is>
      </c>
      <c r="G476" s="40" t="inlineStr">
        <is>
          <t>Finland</t>
        </is>
      </c>
      <c r="H476" s="40" t="n">
        <v>15</v>
      </c>
      <c r="I476" s="40" t="inlineStr">
        <is>
          <t>Sessions</t>
        </is>
      </c>
      <c r="J476" s="40" t="inlineStr">
        <is>
          <t>1-23 August 2025</t>
        </is>
      </c>
      <c r="K476" s="55" t="n">
        <v>92</v>
      </c>
      <c r="L476" s="40" t="inlineStr">
        <is>
          <t>CR 1-23 August 2025 + Visit→Engagement 1-23 August 2025</t>
        </is>
      </c>
      <c r="M476" s="40">
        <f>IF(Countries!E110="","STILL MISSING","Filled ✓")</f>
        <v/>
      </c>
    </row>
    <row r="477">
      <c r="A477" s="56" t="inlineStr">
        <is>
          <t>Countries</t>
        </is>
      </c>
      <c r="B477" s="56" t="inlineStr">
        <is>
          <t>F110</t>
        </is>
      </c>
      <c r="C477" s="56" t="n">
        <v>110</v>
      </c>
      <c r="D477" s="56" t="inlineStr">
        <is>
          <t>All landing pages</t>
        </is>
      </c>
      <c r="E477" s="56" t="inlineStr">
        <is>
          <t>Direct</t>
        </is>
      </c>
      <c r="F477" s="56" t="inlineStr">
        <is>
          <t>Desktop</t>
        </is>
      </c>
      <c r="G477" s="56" t="inlineStr">
        <is>
          <t>Finland</t>
        </is>
      </c>
      <c r="H477" s="56" t="n">
        <v>15</v>
      </c>
      <c r="I477" s="56" t="inlineStr">
        <is>
          <t>Sessions</t>
        </is>
      </c>
      <c r="J477" s="56" t="inlineStr">
        <is>
          <t>1-23 August 2026</t>
        </is>
      </c>
      <c r="K477" s="57" t="n">
        <v>92</v>
      </c>
      <c r="L477" s="56" t="inlineStr">
        <is>
          <t>CR 1-23 August 2026 + Visit→Engagement 1-23 August 2026</t>
        </is>
      </c>
      <c r="M477" s="40">
        <f>IF(Countries!F110="","STILL MISSING","Filled ✓")</f>
        <v/>
      </c>
    </row>
    <row r="478">
      <c r="A478" s="40" t="inlineStr">
        <is>
          <t>Countries</t>
        </is>
      </c>
      <c r="B478" s="40" t="inlineStr">
        <is>
          <t>P89</t>
        </is>
      </c>
      <c r="C478" s="40" t="n">
        <v>89</v>
      </c>
      <c r="D478" s="40" t="inlineStr">
        <is>
          <t>All landing pages</t>
        </is>
      </c>
      <c r="E478" s="40" t="inlineStr">
        <is>
          <t>Direct</t>
        </is>
      </c>
      <c r="F478" s="40" t="inlineStr">
        <is>
          <t>Mobile</t>
        </is>
      </c>
      <c r="G478" s="40" t="inlineStr">
        <is>
          <t>Finland</t>
        </is>
      </c>
      <c r="H478" s="40" t="n">
        <v>15</v>
      </c>
      <c r="I478" s="40" t="inlineStr">
        <is>
          <t>Searches</t>
        </is>
      </c>
      <c r="J478" s="40" t="inlineStr">
        <is>
          <t>1-23 August 2025</t>
        </is>
      </c>
      <c r="K478" s="55" t="n">
        <v>95</v>
      </c>
      <c r="L478" s="40" t="inlineStr">
        <is>
          <t>Search→Booking 1-23 August 2025 + Search→Select 1-23 August 2025</t>
        </is>
      </c>
      <c r="M478" s="40">
        <f>IF(Countries!P89="","STILL MISSING","Filled ✓")</f>
        <v/>
      </c>
    </row>
    <row r="479">
      <c r="A479" s="56" t="inlineStr">
        <is>
          <t>Countries</t>
        </is>
      </c>
      <c r="B479" s="56" t="inlineStr">
        <is>
          <t>Q89</t>
        </is>
      </c>
      <c r="C479" s="56" t="n">
        <v>89</v>
      </c>
      <c r="D479" s="56" t="inlineStr">
        <is>
          <t>All landing pages</t>
        </is>
      </c>
      <c r="E479" s="56" t="inlineStr">
        <is>
          <t>Direct</t>
        </is>
      </c>
      <c r="F479" s="56" t="inlineStr">
        <is>
          <t>Mobile</t>
        </is>
      </c>
      <c r="G479" s="56" t="inlineStr">
        <is>
          <t>Finland</t>
        </is>
      </c>
      <c r="H479" s="56" t="n">
        <v>15</v>
      </c>
      <c r="I479" s="56" t="inlineStr">
        <is>
          <t>Searches</t>
        </is>
      </c>
      <c r="J479" s="56" t="inlineStr">
        <is>
          <t>1-23 August 2026</t>
        </is>
      </c>
      <c r="K479" s="57" t="n">
        <v>95</v>
      </c>
      <c r="L479" s="56" t="inlineStr">
        <is>
          <t>Search→Booking 1-23 August 2026 + Search→Select 1-23 August 2026</t>
        </is>
      </c>
      <c r="M479" s="40">
        <f>IF(Countries!Q89="","STILL MISSING","Filled ✓")</f>
        <v/>
      </c>
    </row>
    <row r="480">
      <c r="A480" s="40" t="inlineStr">
        <is>
          <t>Countries</t>
        </is>
      </c>
      <c r="B480" s="40" t="inlineStr">
        <is>
          <t>E89</t>
        </is>
      </c>
      <c r="C480" s="40" t="n">
        <v>89</v>
      </c>
      <c r="D480" s="40" t="inlineStr">
        <is>
          <t>All landing pages</t>
        </is>
      </c>
      <c r="E480" s="40" t="inlineStr">
        <is>
          <t>Direct</t>
        </is>
      </c>
      <c r="F480" s="40" t="inlineStr">
        <is>
          <t>Mobile</t>
        </is>
      </c>
      <c r="G480" s="40" t="inlineStr">
        <is>
          <t>Finland</t>
        </is>
      </c>
      <c r="H480" s="40" t="n">
        <v>15</v>
      </c>
      <c r="I480" s="40" t="inlineStr">
        <is>
          <t>Sessions</t>
        </is>
      </c>
      <c r="J480" s="40" t="inlineStr">
        <is>
          <t>1-23 August 2025</t>
        </is>
      </c>
      <c r="K480" s="55" t="n">
        <v>95</v>
      </c>
      <c r="L480" s="40" t="inlineStr">
        <is>
          <t>CR 1-23 August 2025 + Visit→Engagement 1-23 August 2025</t>
        </is>
      </c>
      <c r="M480" s="40">
        <f>IF(Countries!E89="","STILL MISSING","Filled ✓")</f>
        <v/>
      </c>
    </row>
    <row r="481">
      <c r="A481" s="56" t="inlineStr">
        <is>
          <t>Countries</t>
        </is>
      </c>
      <c r="B481" s="56" t="inlineStr">
        <is>
          <t>F89</t>
        </is>
      </c>
      <c r="C481" s="56" t="n">
        <v>89</v>
      </c>
      <c r="D481" s="56" t="inlineStr">
        <is>
          <t>All landing pages</t>
        </is>
      </c>
      <c r="E481" s="56" t="inlineStr">
        <is>
          <t>Direct</t>
        </is>
      </c>
      <c r="F481" s="56" t="inlineStr">
        <is>
          <t>Mobile</t>
        </is>
      </c>
      <c r="G481" s="56" t="inlineStr">
        <is>
          <t>Finland</t>
        </is>
      </c>
      <c r="H481" s="56" t="n">
        <v>15</v>
      </c>
      <c r="I481" s="56" t="inlineStr">
        <is>
          <t>Sessions</t>
        </is>
      </c>
      <c r="J481" s="56" t="inlineStr">
        <is>
          <t>1-23 August 2026</t>
        </is>
      </c>
      <c r="K481" s="57" t="n">
        <v>95</v>
      </c>
      <c r="L481" s="56" t="inlineStr">
        <is>
          <t>CR 1-23 August 2026 + Visit→Engagement 1-23 August 2026</t>
        </is>
      </c>
      <c r="M481" s="40">
        <f>IF(Countries!F89="","STILL MISSING","Filled ✓")</f>
        <v/>
      </c>
    </row>
    <row r="482">
      <c r="A482" s="40" t="inlineStr">
        <is>
          <t>Countries</t>
        </is>
      </c>
      <c r="B482" s="40" t="inlineStr">
        <is>
          <t>P147</t>
        </is>
      </c>
      <c r="C482" s="40" t="n">
        <v>147</v>
      </c>
      <c r="D482" s="40" t="inlineStr">
        <is>
          <t>Home page</t>
        </is>
      </c>
      <c r="E482" s="40" t="inlineStr">
        <is>
          <t>Paid Search</t>
        </is>
      </c>
      <c r="F482" s="40" t="inlineStr">
        <is>
          <t>Desktop</t>
        </is>
      </c>
      <c r="G482" s="40" t="inlineStr">
        <is>
          <t>Finland</t>
        </is>
      </c>
      <c r="H482" s="40" t="n">
        <v>15</v>
      </c>
      <c r="I482" s="40" t="inlineStr">
        <is>
          <t>Searches</t>
        </is>
      </c>
      <c r="J482" s="40" t="inlineStr">
        <is>
          <t>1-23 August 2025</t>
        </is>
      </c>
      <c r="K482" s="55" t="n">
        <v>132</v>
      </c>
      <c r="L482" s="40" t="inlineStr">
        <is>
          <t>Search→Booking 1-23 August 2025 + Search→Select 1-23 August 2025</t>
        </is>
      </c>
      <c r="M482" s="40">
        <f>IF(Countries!P147="","STILL MISSING","Filled ✓")</f>
        <v/>
      </c>
    </row>
    <row r="483">
      <c r="A483" s="56" t="inlineStr">
        <is>
          <t>Countries</t>
        </is>
      </c>
      <c r="B483" s="56" t="inlineStr">
        <is>
          <t>Q147</t>
        </is>
      </c>
      <c r="C483" s="56" t="n">
        <v>147</v>
      </c>
      <c r="D483" s="56" t="inlineStr">
        <is>
          <t>Home page</t>
        </is>
      </c>
      <c r="E483" s="56" t="inlineStr">
        <is>
          <t>Paid Search</t>
        </is>
      </c>
      <c r="F483" s="56" t="inlineStr">
        <is>
          <t>Desktop</t>
        </is>
      </c>
      <c r="G483" s="56" t="inlineStr">
        <is>
          <t>Finland</t>
        </is>
      </c>
      <c r="H483" s="56" t="n">
        <v>15</v>
      </c>
      <c r="I483" s="56" t="inlineStr">
        <is>
          <t>Searches</t>
        </is>
      </c>
      <c r="J483" s="56" t="inlineStr">
        <is>
          <t>1-23 August 2026</t>
        </is>
      </c>
      <c r="K483" s="57" t="n">
        <v>132</v>
      </c>
      <c r="L483" s="56" t="inlineStr">
        <is>
          <t>Search→Booking 1-23 August 2026 + Search→Select 1-23 August 2026</t>
        </is>
      </c>
      <c r="M483" s="40">
        <f>IF(Countries!Q147="","STILL MISSING","Filled ✓")</f>
        <v/>
      </c>
    </row>
    <row r="484">
      <c r="A484" s="40" t="inlineStr">
        <is>
          <t>Countries</t>
        </is>
      </c>
      <c r="B484" s="40" t="inlineStr">
        <is>
          <t>E147</t>
        </is>
      </c>
      <c r="C484" s="40" t="n">
        <v>147</v>
      </c>
      <c r="D484" s="40" t="inlineStr">
        <is>
          <t>Home page</t>
        </is>
      </c>
      <c r="E484" s="40" t="inlineStr">
        <is>
          <t>Paid Search</t>
        </is>
      </c>
      <c r="F484" s="40" t="inlineStr">
        <is>
          <t>Desktop</t>
        </is>
      </c>
      <c r="G484" s="40" t="inlineStr">
        <is>
          <t>Finland</t>
        </is>
      </c>
      <c r="H484" s="40" t="n">
        <v>15</v>
      </c>
      <c r="I484" s="40" t="inlineStr">
        <is>
          <t>Sessions</t>
        </is>
      </c>
      <c r="J484" s="40" t="inlineStr">
        <is>
          <t>1-23 August 2025</t>
        </is>
      </c>
      <c r="K484" s="55" t="n">
        <v>132</v>
      </c>
      <c r="L484" s="40" t="inlineStr">
        <is>
          <t>CR 1-23 August 2025 + Visit→Engagement 1-23 August 2025</t>
        </is>
      </c>
      <c r="M484" s="40">
        <f>IF(Countries!E147="","STILL MISSING","Filled ✓")</f>
        <v/>
      </c>
    </row>
    <row r="485">
      <c r="A485" s="56" t="inlineStr">
        <is>
          <t>Countries</t>
        </is>
      </c>
      <c r="B485" s="56" t="inlineStr">
        <is>
          <t>F147</t>
        </is>
      </c>
      <c r="C485" s="56" t="n">
        <v>147</v>
      </c>
      <c r="D485" s="56" t="inlineStr">
        <is>
          <t>Home page</t>
        </is>
      </c>
      <c r="E485" s="56" t="inlineStr">
        <is>
          <t>Paid Search</t>
        </is>
      </c>
      <c r="F485" s="56" t="inlineStr">
        <is>
          <t>Desktop</t>
        </is>
      </c>
      <c r="G485" s="56" t="inlineStr">
        <is>
          <t>Finland</t>
        </is>
      </c>
      <c r="H485" s="56" t="n">
        <v>15</v>
      </c>
      <c r="I485" s="56" t="inlineStr">
        <is>
          <t>Sessions</t>
        </is>
      </c>
      <c r="J485" s="56" t="inlineStr">
        <is>
          <t>1-23 August 2026</t>
        </is>
      </c>
      <c r="K485" s="57" t="n">
        <v>132</v>
      </c>
      <c r="L485" s="56" t="inlineStr">
        <is>
          <t>CR 1-23 August 2026 + Visit→Engagement 1-23 August 2026</t>
        </is>
      </c>
      <c r="M485" s="40">
        <f>IF(Countries!F147="","STILL MISSING","Filled ✓")</f>
        <v/>
      </c>
    </row>
    <row r="486">
      <c r="A486" s="40" t="inlineStr">
        <is>
          <t>Countries</t>
        </is>
      </c>
      <c r="B486" s="40" t="inlineStr">
        <is>
          <t>Q131</t>
        </is>
      </c>
      <c r="C486" s="40" t="n">
        <v>131</v>
      </c>
      <c r="D486" s="40" t="inlineStr">
        <is>
          <t>Home page</t>
        </is>
      </c>
      <c r="E486" s="40" t="inlineStr">
        <is>
          <t>Paid Search</t>
        </is>
      </c>
      <c r="F486" s="40" t="inlineStr">
        <is>
          <t>Mobile</t>
        </is>
      </c>
      <c r="G486" s="40" t="inlineStr">
        <is>
          <t>Finland</t>
        </is>
      </c>
      <c r="H486" s="40" t="n">
        <v>15</v>
      </c>
      <c r="I486" s="40" t="inlineStr">
        <is>
          <t>Searches</t>
        </is>
      </c>
      <c r="J486" s="40" t="inlineStr">
        <is>
          <t>1-23 August 2026</t>
        </is>
      </c>
      <c r="K486" s="55" t="n">
        <v>263</v>
      </c>
      <c r="L486" s="40" t="inlineStr">
        <is>
          <t>Searches YoY + Search→Booking 1-23 August 2026 + Search→Select 1-23 August 2026</t>
        </is>
      </c>
      <c r="M486" s="40">
        <f>IF(Countries!Q131="","STILL MISSING","Filled ✓")</f>
        <v/>
      </c>
    </row>
    <row r="487">
      <c r="A487" s="56" t="inlineStr">
        <is>
          <t>Countries</t>
        </is>
      </c>
      <c r="B487" s="56" t="inlineStr">
        <is>
          <t>E131</t>
        </is>
      </c>
      <c r="C487" s="56" t="n">
        <v>131</v>
      </c>
      <c r="D487" s="56" t="inlineStr">
        <is>
          <t>Home page</t>
        </is>
      </c>
      <c r="E487" s="56" t="inlineStr">
        <is>
          <t>Paid Search</t>
        </is>
      </c>
      <c r="F487" s="56" t="inlineStr">
        <is>
          <t>Mobile</t>
        </is>
      </c>
      <c r="G487" s="56" t="inlineStr">
        <is>
          <t>Finland</t>
        </is>
      </c>
      <c r="H487" s="56" t="n">
        <v>15</v>
      </c>
      <c r="I487" s="56" t="inlineStr">
        <is>
          <t>Sessions</t>
        </is>
      </c>
      <c r="J487" s="56" t="inlineStr">
        <is>
          <t>1-23 August 2025</t>
        </is>
      </c>
      <c r="K487" s="57" t="n">
        <v>263</v>
      </c>
      <c r="L487" s="56" t="inlineStr">
        <is>
          <t>CR 1-23 August 2025 + Visit→Engagement 1-23 August 2025 + Visit→Search 1-23 August 2025</t>
        </is>
      </c>
      <c r="M487" s="40">
        <f>IF(Countries!E131="","STILL MISSING","Filled ✓")</f>
        <v/>
      </c>
    </row>
    <row r="488">
      <c r="A488" s="40" t="inlineStr">
        <is>
          <t>Countries</t>
        </is>
      </c>
      <c r="B488" s="40" t="inlineStr">
        <is>
          <t>F131</t>
        </is>
      </c>
      <c r="C488" s="40" t="n">
        <v>131</v>
      </c>
      <c r="D488" s="40" t="inlineStr">
        <is>
          <t>Home page</t>
        </is>
      </c>
      <c r="E488" s="40" t="inlineStr">
        <is>
          <t>Paid Search</t>
        </is>
      </c>
      <c r="F488" s="40" t="inlineStr">
        <is>
          <t>Mobile</t>
        </is>
      </c>
      <c r="G488" s="40" t="inlineStr">
        <is>
          <t>Finland</t>
        </is>
      </c>
      <c r="H488" s="40" t="n">
        <v>15</v>
      </c>
      <c r="I488" s="40" t="inlineStr">
        <is>
          <t>Sessions</t>
        </is>
      </c>
      <c r="J488" s="40" t="inlineStr">
        <is>
          <t>1-23 August 2026</t>
        </is>
      </c>
      <c r="K488" s="55" t="n">
        <v>263</v>
      </c>
      <c r="L488" s="40" t="inlineStr">
        <is>
          <t>CR 1-23 August 2026 + Visit→Engagement 1-23 August 2026</t>
        </is>
      </c>
      <c r="M488" s="40">
        <f>IF(Countries!F131="","STILL MISSING","Filled ✓")</f>
        <v/>
      </c>
    </row>
    <row r="489">
      <c r="A489" s="56" t="inlineStr">
        <is>
          <t>Countries</t>
        </is>
      </c>
      <c r="B489" s="56" t="inlineStr">
        <is>
          <t>P181</t>
        </is>
      </c>
      <c r="C489" s="56" t="n">
        <v>181</v>
      </c>
      <c r="D489" s="56" t="inlineStr">
        <is>
          <t>Home page</t>
        </is>
      </c>
      <c r="E489" s="56" t="inlineStr">
        <is>
          <t>Organic</t>
        </is>
      </c>
      <c r="F489" s="56" t="inlineStr">
        <is>
          <t>Desktop</t>
        </is>
      </c>
      <c r="G489" s="56" t="inlineStr">
        <is>
          <t>Finland</t>
        </is>
      </c>
      <c r="H489" s="56" t="n">
        <v>15</v>
      </c>
      <c r="I489" s="56" t="inlineStr">
        <is>
          <t>Searches</t>
        </is>
      </c>
      <c r="J489" s="56" t="inlineStr">
        <is>
          <t>1-23 August 2025</t>
        </is>
      </c>
      <c r="K489" s="57" t="n">
        <v>22</v>
      </c>
      <c r="L489" s="56" t="inlineStr">
        <is>
          <t>Search→Booking 1-23 August 2025 + Search→Select 1-23 August 2025</t>
        </is>
      </c>
      <c r="M489" s="40">
        <f>IF(Countries!P181="","STILL MISSING","Filled ✓")</f>
        <v/>
      </c>
    </row>
    <row r="490">
      <c r="A490" s="40" t="inlineStr">
        <is>
          <t>Countries</t>
        </is>
      </c>
      <c r="B490" s="40" t="inlineStr">
        <is>
          <t>Q181</t>
        </is>
      </c>
      <c r="C490" s="40" t="n">
        <v>181</v>
      </c>
      <c r="D490" s="40" t="inlineStr">
        <is>
          <t>Home page</t>
        </is>
      </c>
      <c r="E490" s="40" t="inlineStr">
        <is>
          <t>Organic</t>
        </is>
      </c>
      <c r="F490" s="40" t="inlineStr">
        <is>
          <t>Desktop</t>
        </is>
      </c>
      <c r="G490" s="40" t="inlineStr">
        <is>
          <t>Finland</t>
        </is>
      </c>
      <c r="H490" s="40" t="n">
        <v>15</v>
      </c>
      <c r="I490" s="40" t="inlineStr">
        <is>
          <t>Searches</t>
        </is>
      </c>
      <c r="J490" s="40" t="inlineStr">
        <is>
          <t>1-23 August 2026</t>
        </is>
      </c>
      <c r="K490" s="55" t="n">
        <v>22</v>
      </c>
      <c r="L490" s="40" t="inlineStr">
        <is>
          <t>Search→Booking 1-23 August 2026 + Search→Select 1-23 August 2026</t>
        </is>
      </c>
      <c r="M490" s="40">
        <f>IF(Countries!Q181="","STILL MISSING","Filled ✓")</f>
        <v/>
      </c>
    </row>
    <row r="491">
      <c r="A491" s="56" t="inlineStr">
        <is>
          <t>Countries</t>
        </is>
      </c>
      <c r="B491" s="56" t="inlineStr">
        <is>
          <t>E181</t>
        </is>
      </c>
      <c r="C491" s="56" t="n">
        <v>181</v>
      </c>
      <c r="D491" s="56" t="inlineStr">
        <is>
          <t>Home page</t>
        </is>
      </c>
      <c r="E491" s="56" t="inlineStr">
        <is>
          <t>Organic</t>
        </is>
      </c>
      <c r="F491" s="56" t="inlineStr">
        <is>
          <t>Desktop</t>
        </is>
      </c>
      <c r="G491" s="56" t="inlineStr">
        <is>
          <t>Finland</t>
        </is>
      </c>
      <c r="H491" s="56" t="n">
        <v>15</v>
      </c>
      <c r="I491" s="56" t="inlineStr">
        <is>
          <t>Sessions</t>
        </is>
      </c>
      <c r="J491" s="56" t="inlineStr">
        <is>
          <t>1-23 August 2025</t>
        </is>
      </c>
      <c r="K491" s="57" t="n">
        <v>22</v>
      </c>
      <c r="L491" s="56" t="inlineStr">
        <is>
          <t>CR 1-23 August 2025 + Visit→Engagement 1-23 August 2025</t>
        </is>
      </c>
      <c r="M491" s="40">
        <f>IF(Countries!E181="","STILL MISSING","Filled ✓")</f>
        <v/>
      </c>
    </row>
    <row r="492">
      <c r="A492" s="40" t="inlineStr">
        <is>
          <t>Countries</t>
        </is>
      </c>
      <c r="B492" s="40" t="inlineStr">
        <is>
          <t>F181</t>
        </is>
      </c>
      <c r="C492" s="40" t="n">
        <v>181</v>
      </c>
      <c r="D492" s="40" t="inlineStr">
        <is>
          <t>Home page</t>
        </is>
      </c>
      <c r="E492" s="40" t="inlineStr">
        <is>
          <t>Organic</t>
        </is>
      </c>
      <c r="F492" s="40" t="inlineStr">
        <is>
          <t>Desktop</t>
        </is>
      </c>
      <c r="G492" s="40" t="inlineStr">
        <is>
          <t>Finland</t>
        </is>
      </c>
      <c r="H492" s="40" t="n">
        <v>15</v>
      </c>
      <c r="I492" s="40" t="inlineStr">
        <is>
          <t>Sessions</t>
        </is>
      </c>
      <c r="J492" s="40" t="inlineStr">
        <is>
          <t>1-23 August 2026</t>
        </is>
      </c>
      <c r="K492" s="55" t="n">
        <v>22</v>
      </c>
      <c r="L492" s="40" t="inlineStr">
        <is>
          <t>CR 1-23 August 2026 + Visit→Engagement 1-23 August 2026</t>
        </is>
      </c>
      <c r="M492" s="40">
        <f>IF(Countries!F181="","STILL MISSING","Filled ✓")</f>
        <v/>
      </c>
    </row>
    <row r="493">
      <c r="A493" s="56" t="inlineStr">
        <is>
          <t>Countries</t>
        </is>
      </c>
      <c r="B493" s="56" t="inlineStr">
        <is>
          <t>Q162</t>
        </is>
      </c>
      <c r="C493" s="56" t="n">
        <v>162</v>
      </c>
      <c r="D493" s="56" t="inlineStr">
        <is>
          <t>Home page</t>
        </is>
      </c>
      <c r="E493" s="56" t="inlineStr">
        <is>
          <t>Organic</t>
        </is>
      </c>
      <c r="F493" s="56" t="inlineStr">
        <is>
          <t>Mobile</t>
        </is>
      </c>
      <c r="G493" s="56" t="inlineStr">
        <is>
          <t>Finland</t>
        </is>
      </c>
      <c r="H493" s="56" t="n">
        <v>15</v>
      </c>
      <c r="I493" s="56" t="inlineStr">
        <is>
          <t>Searches</t>
        </is>
      </c>
      <c r="J493" s="56" t="inlineStr">
        <is>
          <t>1-23 August 2026</t>
        </is>
      </c>
      <c r="K493" s="57" t="n">
        <v>97</v>
      </c>
      <c r="L493" s="56" t="inlineStr">
        <is>
          <t>Searches YoY + Search→Booking 1-23 August 2026 + Search→Select 1-23 August 2026</t>
        </is>
      </c>
      <c r="M493" s="40">
        <f>IF(Countries!Q162="","STILL MISSING","Filled ✓")</f>
        <v/>
      </c>
    </row>
    <row r="494">
      <c r="A494" s="40" t="inlineStr">
        <is>
          <t>Countries</t>
        </is>
      </c>
      <c r="B494" s="40" t="inlineStr">
        <is>
          <t>F162</t>
        </is>
      </c>
      <c r="C494" s="40" t="n">
        <v>162</v>
      </c>
      <c r="D494" s="40" t="inlineStr">
        <is>
          <t>Home page</t>
        </is>
      </c>
      <c r="E494" s="40" t="inlineStr">
        <is>
          <t>Organic</t>
        </is>
      </c>
      <c r="F494" s="40" t="inlineStr">
        <is>
          <t>Mobile</t>
        </is>
      </c>
      <c r="G494" s="40" t="inlineStr">
        <is>
          <t>Finland</t>
        </is>
      </c>
      <c r="H494" s="40" t="n">
        <v>15</v>
      </c>
      <c r="I494" s="40" t="inlineStr">
        <is>
          <t>Sessions</t>
        </is>
      </c>
      <c r="J494" s="40" t="inlineStr">
        <is>
          <t>1-23 August 2026</t>
        </is>
      </c>
      <c r="K494" s="55" t="n">
        <v>97</v>
      </c>
      <c r="L494" s="40" t="inlineStr">
        <is>
          <t>CR 1-23 August 2026 + Sessions YoY + Visit→Engagement 1-23 August 2026</t>
        </is>
      </c>
      <c r="M494" s="40">
        <f>IF(Countries!F162="","STILL MISSING","Filled ✓")</f>
        <v/>
      </c>
    </row>
    <row r="495">
      <c r="A495" s="56" t="inlineStr">
        <is>
          <t>Countries</t>
        </is>
      </c>
      <c r="B495" s="56" t="inlineStr">
        <is>
          <t>P219</t>
        </is>
      </c>
      <c r="C495" s="56" t="n">
        <v>219</v>
      </c>
      <c r="D495" s="56" t="inlineStr">
        <is>
          <t>Home page</t>
        </is>
      </c>
      <c r="E495" s="56" t="inlineStr">
        <is>
          <t>Direct</t>
        </is>
      </c>
      <c r="F495" s="56" t="inlineStr">
        <is>
          <t>Desktop</t>
        </is>
      </c>
      <c r="G495" s="56" t="inlineStr">
        <is>
          <t>Finland</t>
        </is>
      </c>
      <c r="H495" s="56" t="n">
        <v>15</v>
      </c>
      <c r="I495" s="56" t="inlineStr">
        <is>
          <t>Searches</t>
        </is>
      </c>
      <c r="J495" s="56" t="inlineStr">
        <is>
          <t>1-23 August 2025</t>
        </is>
      </c>
      <c r="K495" s="57" t="n">
        <v>27</v>
      </c>
      <c r="L495" s="56" t="inlineStr">
        <is>
          <t>Search→Booking 1-23 August 2025 + Search→Select 1-23 August 2025</t>
        </is>
      </c>
      <c r="M495" s="40">
        <f>IF(Countries!P219="","STILL MISSING","Filled ✓")</f>
        <v/>
      </c>
    </row>
    <row r="496">
      <c r="A496" s="40" t="inlineStr">
        <is>
          <t>Countries</t>
        </is>
      </c>
      <c r="B496" s="40" t="inlineStr">
        <is>
          <t>Q219</t>
        </is>
      </c>
      <c r="C496" s="40" t="n">
        <v>219</v>
      </c>
      <c r="D496" s="40" t="inlineStr">
        <is>
          <t>Home page</t>
        </is>
      </c>
      <c r="E496" s="40" t="inlineStr">
        <is>
          <t>Direct</t>
        </is>
      </c>
      <c r="F496" s="40" t="inlineStr">
        <is>
          <t>Desktop</t>
        </is>
      </c>
      <c r="G496" s="40" t="inlineStr">
        <is>
          <t>Finland</t>
        </is>
      </c>
      <c r="H496" s="40" t="n">
        <v>15</v>
      </c>
      <c r="I496" s="40" t="inlineStr">
        <is>
          <t>Searches</t>
        </is>
      </c>
      <c r="J496" s="40" t="inlineStr">
        <is>
          <t>1-23 August 2026</t>
        </is>
      </c>
      <c r="K496" s="55" t="n">
        <v>27</v>
      </c>
      <c r="L496" s="40" t="inlineStr">
        <is>
          <t>Search→Booking 1-23 August 2026 + Search→Select 1-23 August 2026</t>
        </is>
      </c>
      <c r="M496" s="40">
        <f>IF(Countries!Q219="","STILL MISSING","Filled ✓")</f>
        <v/>
      </c>
    </row>
    <row r="497">
      <c r="A497" s="56" t="inlineStr">
        <is>
          <t>Countries</t>
        </is>
      </c>
      <c r="B497" s="56" t="inlineStr">
        <is>
          <t>E219</t>
        </is>
      </c>
      <c r="C497" s="56" t="n">
        <v>219</v>
      </c>
      <c r="D497" s="56" t="inlineStr">
        <is>
          <t>Home page</t>
        </is>
      </c>
      <c r="E497" s="56" t="inlineStr">
        <is>
          <t>Direct</t>
        </is>
      </c>
      <c r="F497" s="56" t="inlineStr">
        <is>
          <t>Desktop</t>
        </is>
      </c>
      <c r="G497" s="56" t="inlineStr">
        <is>
          <t>Finland</t>
        </is>
      </c>
      <c r="H497" s="56" t="n">
        <v>15</v>
      </c>
      <c r="I497" s="56" t="inlineStr">
        <is>
          <t>Sessions</t>
        </is>
      </c>
      <c r="J497" s="56" t="inlineStr">
        <is>
          <t>1-23 August 2025</t>
        </is>
      </c>
      <c r="K497" s="57" t="n">
        <v>27</v>
      </c>
      <c r="L497" s="56" t="inlineStr">
        <is>
          <t>CR 1-23 August 2025 + Visit→Engagement 1-23 August 2025</t>
        </is>
      </c>
      <c r="M497" s="40">
        <f>IF(Countries!E219="","STILL MISSING","Filled ✓")</f>
        <v/>
      </c>
    </row>
    <row r="498">
      <c r="A498" s="40" t="inlineStr">
        <is>
          <t>Countries</t>
        </is>
      </c>
      <c r="B498" s="40" t="inlineStr">
        <is>
          <t>F219</t>
        </is>
      </c>
      <c r="C498" s="40" t="n">
        <v>219</v>
      </c>
      <c r="D498" s="40" t="inlineStr">
        <is>
          <t>Home page</t>
        </is>
      </c>
      <c r="E498" s="40" t="inlineStr">
        <is>
          <t>Direct</t>
        </is>
      </c>
      <c r="F498" s="40" t="inlineStr">
        <is>
          <t>Desktop</t>
        </is>
      </c>
      <c r="G498" s="40" t="inlineStr">
        <is>
          <t>Finland</t>
        </is>
      </c>
      <c r="H498" s="40" t="n">
        <v>15</v>
      </c>
      <c r="I498" s="40" t="inlineStr">
        <is>
          <t>Sessions</t>
        </is>
      </c>
      <c r="J498" s="40" t="inlineStr">
        <is>
          <t>1-23 August 2026</t>
        </is>
      </c>
      <c r="K498" s="55" t="n">
        <v>27</v>
      </c>
      <c r="L498" s="40" t="inlineStr">
        <is>
          <t>CR 1-23 August 2026 + Visit→Engagement 1-23 August 2026</t>
        </is>
      </c>
      <c r="M498" s="40">
        <f>IF(Countries!F219="","STILL MISSING","Filled ✓")</f>
        <v/>
      </c>
    </row>
    <row r="499">
      <c r="A499" s="56" t="inlineStr">
        <is>
          <t>Countries</t>
        </is>
      </c>
      <c r="B499" s="56" t="inlineStr">
        <is>
          <t>P199</t>
        </is>
      </c>
      <c r="C499" s="56" t="n">
        <v>199</v>
      </c>
      <c r="D499" s="56" t="inlineStr">
        <is>
          <t>Home page</t>
        </is>
      </c>
      <c r="E499" s="56" t="inlineStr">
        <is>
          <t>Direct</t>
        </is>
      </c>
      <c r="F499" s="56" t="inlineStr">
        <is>
          <t>Mobile</t>
        </is>
      </c>
      <c r="G499" s="56" t="inlineStr">
        <is>
          <t>Finland</t>
        </is>
      </c>
      <c r="H499" s="56" t="n">
        <v>15</v>
      </c>
      <c r="I499" s="56" t="inlineStr">
        <is>
          <t>Searches</t>
        </is>
      </c>
      <c r="J499" s="56" t="inlineStr">
        <is>
          <t>1-23 August 2025</t>
        </is>
      </c>
      <c r="K499" s="57" t="n">
        <v>69</v>
      </c>
      <c r="L499" s="56" t="inlineStr">
        <is>
          <t>Search→Booking 1-23 August 2025 + Search→Select 1-23 August 2025</t>
        </is>
      </c>
      <c r="M499" s="40">
        <f>IF(Countries!P199="","STILL MISSING","Filled ✓")</f>
        <v/>
      </c>
    </row>
    <row r="500">
      <c r="A500" s="40" t="inlineStr">
        <is>
          <t>Countries</t>
        </is>
      </c>
      <c r="B500" s="40" t="inlineStr">
        <is>
          <t>Q199</t>
        </is>
      </c>
      <c r="C500" s="40" t="n">
        <v>199</v>
      </c>
      <c r="D500" s="40" t="inlineStr">
        <is>
          <t>Home page</t>
        </is>
      </c>
      <c r="E500" s="40" t="inlineStr">
        <is>
          <t>Direct</t>
        </is>
      </c>
      <c r="F500" s="40" t="inlineStr">
        <is>
          <t>Mobile</t>
        </is>
      </c>
      <c r="G500" s="40" t="inlineStr">
        <is>
          <t>Finland</t>
        </is>
      </c>
      <c r="H500" s="40" t="n">
        <v>15</v>
      </c>
      <c r="I500" s="40" t="inlineStr">
        <is>
          <t>Searches</t>
        </is>
      </c>
      <c r="J500" s="40" t="inlineStr">
        <is>
          <t>1-23 August 2026</t>
        </is>
      </c>
      <c r="K500" s="55" t="n">
        <v>69</v>
      </c>
      <c r="L500" s="40" t="inlineStr">
        <is>
          <t>Search→Booking 1-23 August 2026 + Search→Select 1-23 August 2026</t>
        </is>
      </c>
      <c r="M500" s="40">
        <f>IF(Countries!Q199="","STILL MISSING","Filled ✓")</f>
        <v/>
      </c>
    </row>
    <row r="501">
      <c r="A501" s="56" t="inlineStr">
        <is>
          <t>Countries</t>
        </is>
      </c>
      <c r="B501" s="56" t="inlineStr">
        <is>
          <t>E199</t>
        </is>
      </c>
      <c r="C501" s="56" t="n">
        <v>199</v>
      </c>
      <c r="D501" s="56" t="inlineStr">
        <is>
          <t>Home page</t>
        </is>
      </c>
      <c r="E501" s="56" t="inlineStr">
        <is>
          <t>Direct</t>
        </is>
      </c>
      <c r="F501" s="56" t="inlineStr">
        <is>
          <t>Mobile</t>
        </is>
      </c>
      <c r="G501" s="56" t="inlineStr">
        <is>
          <t>Finland</t>
        </is>
      </c>
      <c r="H501" s="56" t="n">
        <v>15</v>
      </c>
      <c r="I501" s="56" t="inlineStr">
        <is>
          <t>Sessions</t>
        </is>
      </c>
      <c r="J501" s="56" t="inlineStr">
        <is>
          <t>1-23 August 2025</t>
        </is>
      </c>
      <c r="K501" s="57" t="n">
        <v>69</v>
      </c>
      <c r="L501" s="56" t="inlineStr">
        <is>
          <t>CR 1-23 August 2025 + Visit→Engagement 1-23 August 2025</t>
        </is>
      </c>
      <c r="M501" s="40">
        <f>IF(Countries!E199="","STILL MISSING","Filled ✓")</f>
        <v/>
      </c>
    </row>
    <row r="502">
      <c r="A502" s="40" t="inlineStr">
        <is>
          <t>Countries</t>
        </is>
      </c>
      <c r="B502" s="40" t="inlineStr">
        <is>
          <t>F199</t>
        </is>
      </c>
      <c r="C502" s="40" t="n">
        <v>199</v>
      </c>
      <c r="D502" s="40" t="inlineStr">
        <is>
          <t>Home page</t>
        </is>
      </c>
      <c r="E502" s="40" t="inlineStr">
        <is>
          <t>Direct</t>
        </is>
      </c>
      <c r="F502" s="40" t="inlineStr">
        <is>
          <t>Mobile</t>
        </is>
      </c>
      <c r="G502" s="40" t="inlineStr">
        <is>
          <t>Finland</t>
        </is>
      </c>
      <c r="H502" s="40" t="n">
        <v>15</v>
      </c>
      <c r="I502" s="40" t="inlineStr">
        <is>
          <t>Sessions</t>
        </is>
      </c>
      <c r="J502" s="40" t="inlineStr">
        <is>
          <t>1-23 August 2026</t>
        </is>
      </c>
      <c r="K502" s="55" t="n">
        <v>69</v>
      </c>
      <c r="L502" s="40" t="inlineStr">
        <is>
          <t>CR 1-23 August 2026 + Visit→Engagement 1-23 August 2026</t>
        </is>
      </c>
      <c r="M502" s="40">
        <f>IF(Countries!F199="","STILL MISSING","Filled ✓")</f>
        <v/>
      </c>
    </row>
    <row r="503">
      <c r="A503" s="56" t="inlineStr">
        <is>
          <t>Countries</t>
        </is>
      </c>
      <c r="B503" s="56" t="inlineStr">
        <is>
          <t>AD323</t>
        </is>
      </c>
      <c r="C503" s="56" t="n">
        <v>323</v>
      </c>
      <c r="D503" s="56" t="inlineStr">
        <is>
          <t>Airport page</t>
        </is>
      </c>
      <c r="E503" s="56" t="inlineStr">
        <is>
          <t>Direct</t>
        </is>
      </c>
      <c r="F503" s="56" t="inlineStr">
        <is>
          <t>Desktop</t>
        </is>
      </c>
      <c r="G503" s="56" t="inlineStr">
        <is>
          <t>Finland</t>
        </is>
      </c>
      <c r="H503" s="56" t="n">
        <v>15</v>
      </c>
      <c r="I503" s="56" t="inlineStr">
        <is>
          <t>Add to cart</t>
        </is>
      </c>
      <c r="J503" s="56" t="inlineStr">
        <is>
          <t>1-23 August 2025</t>
        </is>
      </c>
      <c r="K503" s="57" t="n">
        <v>52</v>
      </c>
      <c r="L503" s="56" t="inlineStr">
        <is>
          <t>Add to cart YoY + Cart→Checkout 1-23 August 2025 + Select→Cart 1-23 August 2025</t>
        </is>
      </c>
      <c r="M503" s="40">
        <f>IF(Countries!AD323="","STILL MISSING","Filled ✓")</f>
        <v/>
      </c>
    </row>
    <row r="504">
      <c r="A504" s="40" t="inlineStr">
        <is>
          <t>Countries</t>
        </is>
      </c>
      <c r="B504" s="40" t="inlineStr">
        <is>
          <t>F323</t>
        </is>
      </c>
      <c r="C504" s="40" t="n">
        <v>323</v>
      </c>
      <c r="D504" s="40" t="inlineStr">
        <is>
          <t>Airport page</t>
        </is>
      </c>
      <c r="E504" s="40" t="inlineStr">
        <is>
          <t>Direct</t>
        </is>
      </c>
      <c r="F504" s="40" t="inlineStr">
        <is>
          <t>Desktop</t>
        </is>
      </c>
      <c r="G504" s="40" t="inlineStr">
        <is>
          <t>Finland</t>
        </is>
      </c>
      <c r="H504" s="40" t="n">
        <v>15</v>
      </c>
      <c r="I504" s="40" t="inlineStr">
        <is>
          <t>Sessions</t>
        </is>
      </c>
      <c r="J504" s="40" t="inlineStr">
        <is>
          <t>1-23 August 2026</t>
        </is>
      </c>
      <c r="K504" s="55" t="n">
        <v>52</v>
      </c>
      <c r="L504" s="40" t="inlineStr">
        <is>
          <t>CR 1-23 August 2026 + Sessions YoY + Visit→Engagement 1-23 August 2026 + Visit→Search 1-23 August 2026</t>
        </is>
      </c>
      <c r="M504" s="40">
        <f>IF(Countries!F323="","STILL MISSING","Filled ✓")</f>
        <v/>
      </c>
    </row>
    <row r="505">
      <c r="A505" s="56" t="inlineStr">
        <is>
          <t>Countries</t>
        </is>
      </c>
      <c r="B505" s="56" t="inlineStr">
        <is>
          <t>AD303</t>
        </is>
      </c>
      <c r="C505" s="56" t="n">
        <v>303</v>
      </c>
      <c r="D505" s="56" t="inlineStr">
        <is>
          <t>Airport page</t>
        </is>
      </c>
      <c r="E505" s="56" t="inlineStr">
        <is>
          <t>Direct</t>
        </is>
      </c>
      <c r="F505" s="56" t="inlineStr">
        <is>
          <t>Mobile</t>
        </is>
      </c>
      <c r="G505" s="56" t="inlineStr">
        <is>
          <t>Finland</t>
        </is>
      </c>
      <c r="H505" s="56" t="n">
        <v>15</v>
      </c>
      <c r="I505" s="56" t="inlineStr">
        <is>
          <t>Add to cart</t>
        </is>
      </c>
      <c r="J505" s="56" t="inlineStr">
        <is>
          <t>1-23 August 2025</t>
        </is>
      </c>
      <c r="K505" s="57" t="n">
        <v>16</v>
      </c>
      <c r="L505" s="56" t="inlineStr">
        <is>
          <t>Add to cart YoY + Select→Cart 1-23 August 2025</t>
        </is>
      </c>
      <c r="M505" s="40">
        <f>IF(Countries!AD303="","STILL MISSING","Filled ✓")</f>
        <v/>
      </c>
    </row>
    <row r="506">
      <c r="A506" s="40" t="inlineStr">
        <is>
          <t>Countries</t>
        </is>
      </c>
      <c r="B506" s="40" t="inlineStr">
        <is>
          <t>AK303</t>
        </is>
      </c>
      <c r="C506" s="40" t="n">
        <v>303</v>
      </c>
      <c r="D506" s="40" t="inlineStr">
        <is>
          <t>Airport page</t>
        </is>
      </c>
      <c r="E506" s="40" t="inlineStr">
        <is>
          <t>Direct</t>
        </is>
      </c>
      <c r="F506" s="40" t="inlineStr">
        <is>
          <t>Mobile</t>
        </is>
      </c>
      <c r="G506" s="40" t="inlineStr">
        <is>
          <t>Finland</t>
        </is>
      </c>
      <c r="H506" s="40" t="n">
        <v>15</v>
      </c>
      <c r="I506" s="40" t="inlineStr">
        <is>
          <t>Begin checkout</t>
        </is>
      </c>
      <c r="J506" s="40" t="inlineStr">
        <is>
          <t>1-23 August 2025</t>
        </is>
      </c>
      <c r="K506" s="55" t="n">
        <v>16</v>
      </c>
      <c r="L506" s="40" t="inlineStr">
        <is>
          <t>Begin checkout YoY</t>
        </is>
      </c>
      <c r="M506" s="40">
        <f>IF(Countries!AK303="","STILL MISSING","Filled ✓")</f>
        <v/>
      </c>
    </row>
    <row r="507">
      <c r="A507" s="56" t="inlineStr">
        <is>
          <t>Countries</t>
        </is>
      </c>
      <c r="B507" s="56" t="inlineStr">
        <is>
          <t>AR303</t>
        </is>
      </c>
      <c r="C507" s="56" t="n">
        <v>303</v>
      </c>
      <c r="D507" s="56" t="inlineStr">
        <is>
          <t>Airport page</t>
        </is>
      </c>
      <c r="E507" s="56" t="inlineStr">
        <is>
          <t>Direct</t>
        </is>
      </c>
      <c r="F507" s="56" t="inlineStr">
        <is>
          <t>Mobile</t>
        </is>
      </c>
      <c r="G507" s="56" t="inlineStr">
        <is>
          <t>Finland</t>
        </is>
      </c>
      <c r="H507" s="56" t="n">
        <v>15</v>
      </c>
      <c r="I507" s="56" t="inlineStr">
        <is>
          <t>Purchases</t>
        </is>
      </c>
      <c r="J507" s="56" t="inlineStr">
        <is>
          <t>1-23 August 2025</t>
        </is>
      </c>
      <c r="K507" s="57" t="n">
        <v>16</v>
      </c>
      <c r="L507" s="56" t="inlineStr">
        <is>
          <t>Purchases YoY</t>
        </is>
      </c>
      <c r="M507" s="40">
        <f>IF(Countries!AR303="","STILL MISSING","Filled ✓")</f>
        <v/>
      </c>
    </row>
    <row r="508">
      <c r="A508" s="40" t="inlineStr">
        <is>
          <t>Countries</t>
        </is>
      </c>
      <c r="B508" s="40" t="inlineStr">
        <is>
          <t>P303</t>
        </is>
      </c>
      <c r="C508" s="40" t="n">
        <v>303</v>
      </c>
      <c r="D508" s="40" t="inlineStr">
        <is>
          <t>Airport page</t>
        </is>
      </c>
      <c r="E508" s="40" t="inlineStr">
        <is>
          <t>Direct</t>
        </is>
      </c>
      <c r="F508" s="40" t="inlineStr">
        <is>
          <t>Mobile</t>
        </is>
      </c>
      <c r="G508" s="40" t="inlineStr">
        <is>
          <t>Finland</t>
        </is>
      </c>
      <c r="H508" s="40" t="n">
        <v>15</v>
      </c>
      <c r="I508" s="40" t="inlineStr">
        <is>
          <t>Searches</t>
        </is>
      </c>
      <c r="J508" s="40" t="inlineStr">
        <is>
          <t>1-23 August 2025</t>
        </is>
      </c>
      <c r="K508" s="55" t="n">
        <v>16</v>
      </c>
      <c r="L508" s="40" t="inlineStr">
        <is>
          <t>Searches YoY + Search→Select 1-23 August 2025</t>
        </is>
      </c>
      <c r="M508" s="40">
        <f>IF(Countries!P303="","STILL MISSING","Filled ✓")</f>
        <v/>
      </c>
    </row>
    <row r="509">
      <c r="A509" s="56" t="inlineStr">
        <is>
          <t>Countries</t>
        </is>
      </c>
      <c r="B509" s="56" t="inlineStr">
        <is>
          <t>E303</t>
        </is>
      </c>
      <c r="C509" s="56" t="n">
        <v>303</v>
      </c>
      <c r="D509" s="56" t="inlineStr">
        <is>
          <t>Airport page</t>
        </is>
      </c>
      <c r="E509" s="56" t="inlineStr">
        <is>
          <t>Direct</t>
        </is>
      </c>
      <c r="F509" s="56" t="inlineStr">
        <is>
          <t>Mobile</t>
        </is>
      </c>
      <c r="G509" s="56" t="inlineStr">
        <is>
          <t>Finland</t>
        </is>
      </c>
      <c r="H509" s="56" t="n">
        <v>15</v>
      </c>
      <c r="I509" s="56" t="inlineStr">
        <is>
          <t>Sessions</t>
        </is>
      </c>
      <c r="J509" s="56" t="inlineStr">
        <is>
          <t>1-23 August 2025</t>
        </is>
      </c>
      <c r="K509" s="57" t="n">
        <v>16</v>
      </c>
      <c r="L509" s="56" t="inlineStr">
        <is>
          <t>Visit→Engagement 1-23 August 2025</t>
        </is>
      </c>
      <c r="M509" s="40">
        <f>IF(Countries!E303="","STILL MISSING","Filled ✓")</f>
        <v/>
      </c>
    </row>
    <row r="510">
      <c r="A510" s="40" t="inlineStr">
        <is>
          <t>Countries</t>
        </is>
      </c>
      <c r="B510" s="40" t="inlineStr">
        <is>
          <t>F303</t>
        </is>
      </c>
      <c r="C510" s="40" t="n">
        <v>303</v>
      </c>
      <c r="D510" s="40" t="inlineStr">
        <is>
          <t>Airport page</t>
        </is>
      </c>
      <c r="E510" s="40" t="inlineStr">
        <is>
          <t>Direct</t>
        </is>
      </c>
      <c r="F510" s="40" t="inlineStr">
        <is>
          <t>Mobile</t>
        </is>
      </c>
      <c r="G510" s="40" t="inlineStr">
        <is>
          <t>Finland</t>
        </is>
      </c>
      <c r="H510" s="40" t="n">
        <v>15</v>
      </c>
      <c r="I510" s="40" t="inlineStr">
        <is>
          <t>Sessions</t>
        </is>
      </c>
      <c r="J510" s="40" t="inlineStr">
        <is>
          <t>1-23 August 2026</t>
        </is>
      </c>
      <c r="K510" s="55" t="n">
        <v>16</v>
      </c>
      <c r="L510" s="40" t="inlineStr">
        <is>
          <t>CR 1-23 August 2026 + Visit→Engagement 1-23 August 2026 + Visit→Search 1-23 August 2026</t>
        </is>
      </c>
      <c r="M510" s="40">
        <f>IF(Countries!F303="","STILL MISSING","Filled ✓")</f>
        <v/>
      </c>
    </row>
    <row r="511">
      <c r="A511" s="56" t="inlineStr">
        <is>
          <t>Countries</t>
        </is>
      </c>
      <c r="B511" s="56" t="inlineStr">
        <is>
          <t>P358</t>
        </is>
      </c>
      <c r="C511" s="56" t="n">
        <v>358</v>
      </c>
      <c r="D511" s="56" t="inlineStr">
        <is>
          <t>Route page</t>
        </is>
      </c>
      <c r="E511" s="56" t="inlineStr">
        <is>
          <t>Paid Search</t>
        </is>
      </c>
      <c r="F511" s="56" t="inlineStr">
        <is>
          <t>Desktop</t>
        </is>
      </c>
      <c r="G511" s="56" t="inlineStr">
        <is>
          <t>Finland</t>
        </is>
      </c>
      <c r="H511" s="56" t="n">
        <v>15</v>
      </c>
      <c r="I511" s="56" t="inlineStr">
        <is>
          <t>Searches</t>
        </is>
      </c>
      <c r="J511" s="56" t="inlineStr">
        <is>
          <t>1-23 August 2025</t>
        </is>
      </c>
      <c r="K511" s="57" t="n">
        <v>127</v>
      </c>
      <c r="L511" s="56" t="inlineStr">
        <is>
          <t>Search→Booking 1-23 August 2025 + Search→Select 1-23 August 2025</t>
        </is>
      </c>
      <c r="M511" s="40">
        <f>IF(Countries!P358="","STILL MISSING","Filled ✓")</f>
        <v/>
      </c>
    </row>
    <row r="512">
      <c r="A512" s="40" t="inlineStr">
        <is>
          <t>Countries</t>
        </is>
      </c>
      <c r="B512" s="40" t="inlineStr">
        <is>
          <t>Q358</t>
        </is>
      </c>
      <c r="C512" s="40" t="n">
        <v>358</v>
      </c>
      <c r="D512" s="40" t="inlineStr">
        <is>
          <t>Route page</t>
        </is>
      </c>
      <c r="E512" s="40" t="inlineStr">
        <is>
          <t>Paid Search</t>
        </is>
      </c>
      <c r="F512" s="40" t="inlineStr">
        <is>
          <t>Desktop</t>
        </is>
      </c>
      <c r="G512" s="40" t="inlineStr">
        <is>
          <t>Finland</t>
        </is>
      </c>
      <c r="H512" s="40" t="n">
        <v>15</v>
      </c>
      <c r="I512" s="40" t="inlineStr">
        <is>
          <t>Searches</t>
        </is>
      </c>
      <c r="J512" s="40" t="inlineStr">
        <is>
          <t>1-23 August 2026</t>
        </is>
      </c>
      <c r="K512" s="55" t="n">
        <v>127</v>
      </c>
      <c r="L512" s="40" t="inlineStr">
        <is>
          <t>Search→Booking 1-23 August 2026 + Search→Select 1-23 August 2026</t>
        </is>
      </c>
      <c r="M512" s="40">
        <f>IF(Countries!Q358="","STILL MISSING","Filled ✓")</f>
        <v/>
      </c>
    </row>
    <row r="513">
      <c r="A513" s="56" t="inlineStr">
        <is>
          <t>Countries</t>
        </is>
      </c>
      <c r="B513" s="56" t="inlineStr">
        <is>
          <t>E358</t>
        </is>
      </c>
      <c r="C513" s="56" t="n">
        <v>358</v>
      </c>
      <c r="D513" s="56" t="inlineStr">
        <is>
          <t>Route page</t>
        </is>
      </c>
      <c r="E513" s="56" t="inlineStr">
        <is>
          <t>Paid Search</t>
        </is>
      </c>
      <c r="F513" s="56" t="inlineStr">
        <is>
          <t>Desktop</t>
        </is>
      </c>
      <c r="G513" s="56" t="inlineStr">
        <is>
          <t>Finland</t>
        </is>
      </c>
      <c r="H513" s="56" t="n">
        <v>15</v>
      </c>
      <c r="I513" s="56" t="inlineStr">
        <is>
          <t>Sessions</t>
        </is>
      </c>
      <c r="J513" s="56" t="inlineStr">
        <is>
          <t>1-23 August 2025</t>
        </is>
      </c>
      <c r="K513" s="57" t="n">
        <v>127</v>
      </c>
      <c r="L513" s="56" t="inlineStr">
        <is>
          <t>CR 1-23 August 2025 + Visit→Engagement 1-23 August 2025</t>
        </is>
      </c>
      <c r="M513" s="40">
        <f>IF(Countries!E358="","STILL MISSING","Filled ✓")</f>
        <v/>
      </c>
    </row>
    <row r="514">
      <c r="A514" s="40" t="inlineStr">
        <is>
          <t>Countries</t>
        </is>
      </c>
      <c r="B514" s="40" t="inlineStr">
        <is>
          <t>F358</t>
        </is>
      </c>
      <c r="C514" s="40" t="n">
        <v>358</v>
      </c>
      <c r="D514" s="40" t="inlineStr">
        <is>
          <t>Route page</t>
        </is>
      </c>
      <c r="E514" s="40" t="inlineStr">
        <is>
          <t>Paid Search</t>
        </is>
      </c>
      <c r="F514" s="40" t="inlineStr">
        <is>
          <t>Desktop</t>
        </is>
      </c>
      <c r="G514" s="40" t="inlineStr">
        <is>
          <t>Finland</t>
        </is>
      </c>
      <c r="H514" s="40" t="n">
        <v>15</v>
      </c>
      <c r="I514" s="40" t="inlineStr">
        <is>
          <t>Sessions</t>
        </is>
      </c>
      <c r="J514" s="40" t="inlineStr">
        <is>
          <t>1-23 August 2026</t>
        </is>
      </c>
      <c r="K514" s="55" t="n">
        <v>127</v>
      </c>
      <c r="L514" s="40" t="inlineStr">
        <is>
          <t>CR 1-23 August 2026 + Visit→Engagement 1-23 August 2026</t>
        </is>
      </c>
      <c r="M514" s="40">
        <f>IF(Countries!F358="","STILL MISSING","Filled ✓")</f>
        <v/>
      </c>
    </row>
    <row r="515">
      <c r="A515" s="56" t="inlineStr">
        <is>
          <t>Countries</t>
        </is>
      </c>
      <c r="B515" s="56" t="inlineStr">
        <is>
          <t>P338</t>
        </is>
      </c>
      <c r="C515" s="56" t="n">
        <v>338</v>
      </c>
      <c r="D515" s="56" t="inlineStr">
        <is>
          <t>Route page</t>
        </is>
      </c>
      <c r="E515" s="56" t="inlineStr">
        <is>
          <t>Paid Search</t>
        </is>
      </c>
      <c r="F515" s="56" t="inlineStr">
        <is>
          <t>Mobile</t>
        </is>
      </c>
      <c r="G515" s="56" t="inlineStr">
        <is>
          <t>Finland</t>
        </is>
      </c>
      <c r="H515" s="56" t="n">
        <v>15</v>
      </c>
      <c r="I515" s="56" t="inlineStr">
        <is>
          <t>Searches</t>
        </is>
      </c>
      <c r="J515" s="56" t="inlineStr">
        <is>
          <t>1-23 August 2025</t>
        </is>
      </c>
      <c r="K515" s="57" t="n">
        <v>232</v>
      </c>
      <c r="L515" s="56" t="inlineStr">
        <is>
          <t>Searches YoY + Search→Booking 1-23 August 2025 + Search→Select 1-23 August 2025</t>
        </is>
      </c>
      <c r="M515" s="40">
        <f>IF(Countries!P338="","STILL MISSING","Filled ✓")</f>
        <v/>
      </c>
    </row>
    <row r="516">
      <c r="A516" s="40" t="inlineStr">
        <is>
          <t>Countries</t>
        </is>
      </c>
      <c r="B516" s="40" t="inlineStr">
        <is>
          <t>E338</t>
        </is>
      </c>
      <c r="C516" s="40" t="n">
        <v>338</v>
      </c>
      <c r="D516" s="40" t="inlineStr">
        <is>
          <t>Route page</t>
        </is>
      </c>
      <c r="E516" s="40" t="inlineStr">
        <is>
          <t>Paid Search</t>
        </is>
      </c>
      <c r="F516" s="40" t="inlineStr">
        <is>
          <t>Mobile</t>
        </is>
      </c>
      <c r="G516" s="40" t="inlineStr">
        <is>
          <t>Finland</t>
        </is>
      </c>
      <c r="H516" s="40" t="n">
        <v>15</v>
      </c>
      <c r="I516" s="40" t="inlineStr">
        <is>
          <t>Sessions</t>
        </is>
      </c>
      <c r="J516" s="40" t="inlineStr">
        <is>
          <t>1-23 August 2025</t>
        </is>
      </c>
      <c r="K516" s="55" t="n">
        <v>232</v>
      </c>
      <c r="L516" s="40" t="inlineStr">
        <is>
          <t>CR 1-23 August 2025 + Sessions YoY + Visit→Engagement 1-23 August 2025</t>
        </is>
      </c>
      <c r="M516" s="40">
        <f>IF(Countries!E338="","STILL MISSING","Filled ✓")</f>
        <v/>
      </c>
    </row>
    <row r="517">
      <c r="A517" s="56" t="inlineStr">
        <is>
          <t>Countries</t>
        </is>
      </c>
      <c r="B517" s="56" t="inlineStr">
        <is>
          <t>P392</t>
        </is>
      </c>
      <c r="C517" s="56" t="n">
        <v>392</v>
      </c>
      <c r="D517" s="56" t="inlineStr">
        <is>
          <t>Route page</t>
        </is>
      </c>
      <c r="E517" s="56" t="inlineStr">
        <is>
          <t>Organic</t>
        </is>
      </c>
      <c r="F517" s="56" t="inlineStr">
        <is>
          <t>Desktop</t>
        </is>
      </c>
      <c r="G517" s="56" t="inlineStr">
        <is>
          <t>Finland</t>
        </is>
      </c>
      <c r="H517" s="56" t="n">
        <v>15</v>
      </c>
      <c r="I517" s="56" t="inlineStr">
        <is>
          <t>Searches</t>
        </is>
      </c>
      <c r="J517" s="56" t="inlineStr">
        <is>
          <t>1-23 August 2025</t>
        </is>
      </c>
      <c r="K517" s="57" t="n">
        <v>101</v>
      </c>
      <c r="L517" s="56" t="inlineStr">
        <is>
          <t>Search→Booking 1-23 August 2025 + Search→Select 1-23 August 2025</t>
        </is>
      </c>
      <c r="M517" s="40">
        <f>IF(Countries!P392="","STILL MISSING","Filled ✓")</f>
        <v/>
      </c>
    </row>
    <row r="518">
      <c r="A518" s="40" t="inlineStr">
        <is>
          <t>Countries</t>
        </is>
      </c>
      <c r="B518" s="40" t="inlineStr">
        <is>
          <t>Q392</t>
        </is>
      </c>
      <c r="C518" s="40" t="n">
        <v>392</v>
      </c>
      <c r="D518" s="40" t="inlineStr">
        <is>
          <t>Route page</t>
        </is>
      </c>
      <c r="E518" s="40" t="inlineStr">
        <is>
          <t>Organic</t>
        </is>
      </c>
      <c r="F518" s="40" t="inlineStr">
        <is>
          <t>Desktop</t>
        </is>
      </c>
      <c r="G518" s="40" t="inlineStr">
        <is>
          <t>Finland</t>
        </is>
      </c>
      <c r="H518" s="40" t="n">
        <v>15</v>
      </c>
      <c r="I518" s="40" t="inlineStr">
        <is>
          <t>Searches</t>
        </is>
      </c>
      <c r="J518" s="40" t="inlineStr">
        <is>
          <t>1-23 August 2026</t>
        </is>
      </c>
      <c r="K518" s="55" t="n">
        <v>101</v>
      </c>
      <c r="L518" s="40" t="inlineStr">
        <is>
          <t>Search→Booking 1-23 August 2026 + Search→Select 1-23 August 2026</t>
        </is>
      </c>
      <c r="M518" s="40">
        <f>IF(Countries!Q392="","STILL MISSING","Filled ✓")</f>
        <v/>
      </c>
    </row>
    <row r="519">
      <c r="A519" s="56" t="inlineStr">
        <is>
          <t>Countries</t>
        </is>
      </c>
      <c r="B519" s="56" t="inlineStr">
        <is>
          <t>E392</t>
        </is>
      </c>
      <c r="C519" s="56" t="n">
        <v>392</v>
      </c>
      <c r="D519" s="56" t="inlineStr">
        <is>
          <t>Route page</t>
        </is>
      </c>
      <c r="E519" s="56" t="inlineStr">
        <is>
          <t>Organic</t>
        </is>
      </c>
      <c r="F519" s="56" t="inlineStr">
        <is>
          <t>Desktop</t>
        </is>
      </c>
      <c r="G519" s="56" t="inlineStr">
        <is>
          <t>Finland</t>
        </is>
      </c>
      <c r="H519" s="56" t="n">
        <v>15</v>
      </c>
      <c r="I519" s="56" t="inlineStr">
        <is>
          <t>Sessions</t>
        </is>
      </c>
      <c r="J519" s="56" t="inlineStr">
        <is>
          <t>1-23 August 2025</t>
        </is>
      </c>
      <c r="K519" s="57" t="n">
        <v>101</v>
      </c>
      <c r="L519" s="56" t="inlineStr">
        <is>
          <t>CR 1-23 August 2025 + Visit→Engagement 1-23 August 2025</t>
        </is>
      </c>
      <c r="M519" s="40">
        <f>IF(Countries!E392="","STILL MISSING","Filled ✓")</f>
        <v/>
      </c>
    </row>
    <row r="520">
      <c r="A520" s="40" t="inlineStr">
        <is>
          <t>Countries</t>
        </is>
      </c>
      <c r="B520" s="40" t="inlineStr">
        <is>
          <t>F392</t>
        </is>
      </c>
      <c r="C520" s="40" t="n">
        <v>392</v>
      </c>
      <c r="D520" s="40" t="inlineStr">
        <is>
          <t>Route page</t>
        </is>
      </c>
      <c r="E520" s="40" t="inlineStr">
        <is>
          <t>Organic</t>
        </is>
      </c>
      <c r="F520" s="40" t="inlineStr">
        <is>
          <t>Desktop</t>
        </is>
      </c>
      <c r="G520" s="40" t="inlineStr">
        <is>
          <t>Finland</t>
        </is>
      </c>
      <c r="H520" s="40" t="n">
        <v>15</v>
      </c>
      <c r="I520" s="40" t="inlineStr">
        <is>
          <t>Sessions</t>
        </is>
      </c>
      <c r="J520" s="40" t="inlineStr">
        <is>
          <t>1-23 August 2026</t>
        </is>
      </c>
      <c r="K520" s="55" t="n">
        <v>101</v>
      </c>
      <c r="L520" s="40" t="inlineStr">
        <is>
          <t>CR 1-23 August 2026 + Visit→Engagement 1-23 August 2026</t>
        </is>
      </c>
      <c r="M520" s="40">
        <f>IF(Countries!F392="","STILL MISSING","Filled ✓")</f>
        <v/>
      </c>
    </row>
    <row r="521">
      <c r="A521" s="56" t="inlineStr">
        <is>
          <t>Countries</t>
        </is>
      </c>
      <c r="B521" s="56" t="inlineStr">
        <is>
          <t>Q374</t>
        </is>
      </c>
      <c r="C521" s="56" t="n">
        <v>374</v>
      </c>
      <c r="D521" s="56" t="inlineStr">
        <is>
          <t>Route page</t>
        </is>
      </c>
      <c r="E521" s="56" t="inlineStr">
        <is>
          <t>Organic</t>
        </is>
      </c>
      <c r="F521" s="56" t="inlineStr">
        <is>
          <t>Mobile</t>
        </is>
      </c>
      <c r="G521" s="56" t="inlineStr">
        <is>
          <t>Finland</t>
        </is>
      </c>
      <c r="H521" s="56" t="n">
        <v>15</v>
      </c>
      <c r="I521" s="56" t="inlineStr">
        <is>
          <t>Searches</t>
        </is>
      </c>
      <c r="J521" s="56" t="inlineStr">
        <is>
          <t>1-23 August 2026</t>
        </is>
      </c>
      <c r="K521" s="57" t="n">
        <v>410</v>
      </c>
      <c r="L521" s="56" t="inlineStr">
        <is>
          <t>Searches YoY + Search→Booking 1-23 August 2026 + Search→Select 1-23 August 2026</t>
        </is>
      </c>
      <c r="M521" s="40">
        <f>IF(Countries!Q374="","STILL MISSING","Filled ✓")</f>
        <v/>
      </c>
    </row>
    <row r="522">
      <c r="A522" s="40" t="inlineStr">
        <is>
          <t>Countries</t>
        </is>
      </c>
      <c r="B522" s="40" t="inlineStr">
        <is>
          <t>F374</t>
        </is>
      </c>
      <c r="C522" s="40" t="n">
        <v>374</v>
      </c>
      <c r="D522" s="40" t="inlineStr">
        <is>
          <t>Route page</t>
        </is>
      </c>
      <c r="E522" s="40" t="inlineStr">
        <is>
          <t>Organic</t>
        </is>
      </c>
      <c r="F522" s="40" t="inlineStr">
        <is>
          <t>Mobile</t>
        </is>
      </c>
      <c r="G522" s="40" t="inlineStr">
        <is>
          <t>Finland</t>
        </is>
      </c>
      <c r="H522" s="40" t="n">
        <v>15</v>
      </c>
      <c r="I522" s="40" t="inlineStr">
        <is>
          <t>Sessions</t>
        </is>
      </c>
      <c r="J522" s="40" t="inlineStr">
        <is>
          <t>1-23 August 2026</t>
        </is>
      </c>
      <c r="K522" s="55" t="n">
        <v>410</v>
      </c>
      <c r="L522" s="40" t="inlineStr">
        <is>
          <t>CR 1-23 August 2026 + Sessions YoY + Visit→Engagement 1-23 August 2026</t>
        </is>
      </c>
      <c r="M522" s="40">
        <f>IF(Countries!F374="","STILL MISSING","Filled ✓")</f>
        <v/>
      </c>
    </row>
    <row r="523">
      <c r="A523" s="56" t="inlineStr">
        <is>
          <t>Countries</t>
        </is>
      </c>
      <c r="B523" s="56" t="inlineStr">
        <is>
          <t>AK433</t>
        </is>
      </c>
      <c r="C523" s="56" t="n">
        <v>433</v>
      </c>
      <c r="D523" s="56" t="inlineStr">
        <is>
          <t>Route page</t>
        </is>
      </c>
      <c r="E523" s="56" t="inlineStr">
        <is>
          <t>Direct</t>
        </is>
      </c>
      <c r="F523" s="56" t="inlineStr">
        <is>
          <t>Desktop</t>
        </is>
      </c>
      <c r="G523" s="56" t="inlineStr">
        <is>
          <t>Finland</t>
        </is>
      </c>
      <c r="H523" s="56" t="n">
        <v>15</v>
      </c>
      <c r="I523" s="56" t="inlineStr">
        <is>
          <t>Begin checkout</t>
        </is>
      </c>
      <c r="J523" s="56" t="inlineStr">
        <is>
          <t>1-23 August 2025</t>
        </is>
      </c>
      <c r="K523" s="57" t="n">
        <v>15</v>
      </c>
      <c r="L523" s="56" t="inlineStr">
        <is>
          <t>Begin checkout YoY + Cart→Checkout 1-23 August 2025</t>
        </is>
      </c>
      <c r="M523" s="40">
        <f>IF(Countries!AK433="","STILL MISSING","Filled ✓")</f>
        <v/>
      </c>
    </row>
    <row r="524">
      <c r="A524" s="40" t="inlineStr">
        <is>
          <t>Countries</t>
        </is>
      </c>
      <c r="B524" s="40" t="inlineStr">
        <is>
          <t>AR433</t>
        </is>
      </c>
      <c r="C524" s="40" t="n">
        <v>433</v>
      </c>
      <c r="D524" s="40" t="inlineStr">
        <is>
          <t>Route page</t>
        </is>
      </c>
      <c r="E524" s="40" t="inlineStr">
        <is>
          <t>Direct</t>
        </is>
      </c>
      <c r="F524" s="40" t="inlineStr">
        <is>
          <t>Desktop</t>
        </is>
      </c>
      <c r="G524" s="40" t="inlineStr">
        <is>
          <t>Finland</t>
        </is>
      </c>
      <c r="H524" s="40" t="n">
        <v>15</v>
      </c>
      <c r="I524" s="40" t="inlineStr">
        <is>
          <t>Purchases</t>
        </is>
      </c>
      <c r="J524" s="40" t="inlineStr">
        <is>
          <t>1-23 August 2025</t>
        </is>
      </c>
      <c r="K524" s="55" t="n">
        <v>15</v>
      </c>
      <c r="L524" s="40" t="inlineStr">
        <is>
          <t>Purchases YoY</t>
        </is>
      </c>
      <c r="M524" s="40">
        <f>IF(Countries!AR433="","STILL MISSING","Filled ✓")</f>
        <v/>
      </c>
    </row>
    <row r="525">
      <c r="A525" s="56" t="inlineStr">
        <is>
          <t>Countries</t>
        </is>
      </c>
      <c r="B525" s="56" t="inlineStr">
        <is>
          <t>P433</t>
        </is>
      </c>
      <c r="C525" s="56" t="n">
        <v>433</v>
      </c>
      <c r="D525" s="56" t="inlineStr">
        <is>
          <t>Route page</t>
        </is>
      </c>
      <c r="E525" s="56" t="inlineStr">
        <is>
          <t>Direct</t>
        </is>
      </c>
      <c r="F525" s="56" t="inlineStr">
        <is>
          <t>Desktop</t>
        </is>
      </c>
      <c r="G525" s="56" t="inlineStr">
        <is>
          <t>Finland</t>
        </is>
      </c>
      <c r="H525" s="56" t="n">
        <v>15</v>
      </c>
      <c r="I525" s="56" t="inlineStr">
        <is>
          <t>Searches</t>
        </is>
      </c>
      <c r="J525" s="56" t="inlineStr">
        <is>
          <t>1-23 August 2025</t>
        </is>
      </c>
      <c r="K525" s="57" t="n">
        <v>15</v>
      </c>
      <c r="L525" s="56" t="inlineStr">
        <is>
          <t>Search→Select 1-23 August 2025</t>
        </is>
      </c>
      <c r="M525" s="40">
        <f>IF(Countries!P433="","STILL MISSING","Filled ✓")</f>
        <v/>
      </c>
    </row>
    <row r="526">
      <c r="A526" s="40" t="inlineStr">
        <is>
          <t>Countries</t>
        </is>
      </c>
      <c r="B526" s="40" t="inlineStr">
        <is>
          <t>Q433</t>
        </is>
      </c>
      <c r="C526" s="40" t="n">
        <v>433</v>
      </c>
      <c r="D526" s="40" t="inlineStr">
        <is>
          <t>Route page</t>
        </is>
      </c>
      <c r="E526" s="40" t="inlineStr">
        <is>
          <t>Direct</t>
        </is>
      </c>
      <c r="F526" s="40" t="inlineStr">
        <is>
          <t>Desktop</t>
        </is>
      </c>
      <c r="G526" s="40" t="inlineStr">
        <is>
          <t>Finland</t>
        </is>
      </c>
      <c r="H526" s="40" t="n">
        <v>15</v>
      </c>
      <c r="I526" s="40" t="inlineStr">
        <is>
          <t>Searches</t>
        </is>
      </c>
      <c r="J526" s="40" t="inlineStr">
        <is>
          <t>1-23 August 2026</t>
        </is>
      </c>
      <c r="K526" s="55" t="n">
        <v>15</v>
      </c>
      <c r="L526" s="40" t="inlineStr">
        <is>
          <t>Search→Booking 1-23 August 2026 + Search→Select 1-23 August 2026</t>
        </is>
      </c>
      <c r="M526" s="40">
        <f>IF(Countries!Q433="","STILL MISSING","Filled ✓")</f>
        <v/>
      </c>
    </row>
    <row r="527">
      <c r="A527" s="56" t="inlineStr">
        <is>
          <t>Countries</t>
        </is>
      </c>
      <c r="B527" s="56" t="inlineStr">
        <is>
          <t>E433</t>
        </is>
      </c>
      <c r="C527" s="56" t="n">
        <v>433</v>
      </c>
      <c r="D527" s="56" t="inlineStr">
        <is>
          <t>Route page</t>
        </is>
      </c>
      <c r="E527" s="56" t="inlineStr">
        <is>
          <t>Direct</t>
        </is>
      </c>
      <c r="F527" s="56" t="inlineStr">
        <is>
          <t>Desktop</t>
        </is>
      </c>
      <c r="G527" s="56" t="inlineStr">
        <is>
          <t>Finland</t>
        </is>
      </c>
      <c r="H527" s="56" t="n">
        <v>15</v>
      </c>
      <c r="I527" s="56" t="inlineStr">
        <is>
          <t>Sessions</t>
        </is>
      </c>
      <c r="J527" s="56" t="inlineStr">
        <is>
          <t>1-23 August 2025</t>
        </is>
      </c>
      <c r="K527" s="57" t="n">
        <v>15</v>
      </c>
      <c r="L527" s="56" t="inlineStr">
        <is>
          <t>Visit→Engagement 1-23 August 2025</t>
        </is>
      </c>
      <c r="M527" s="40">
        <f>IF(Countries!E433="","STILL MISSING","Filled ✓")</f>
        <v/>
      </c>
    </row>
    <row r="528">
      <c r="A528" s="40" t="inlineStr">
        <is>
          <t>Countries</t>
        </is>
      </c>
      <c r="B528" s="40" t="inlineStr">
        <is>
          <t>F433</t>
        </is>
      </c>
      <c r="C528" s="40" t="n">
        <v>433</v>
      </c>
      <c r="D528" s="40" t="inlineStr">
        <is>
          <t>Route page</t>
        </is>
      </c>
      <c r="E528" s="40" t="inlineStr">
        <is>
          <t>Direct</t>
        </is>
      </c>
      <c r="F528" s="40" t="inlineStr">
        <is>
          <t>Desktop</t>
        </is>
      </c>
      <c r="G528" s="40" t="inlineStr">
        <is>
          <t>Finland</t>
        </is>
      </c>
      <c r="H528" s="40" t="n">
        <v>15</v>
      </c>
      <c r="I528" s="40" t="inlineStr">
        <is>
          <t>Sessions</t>
        </is>
      </c>
      <c r="J528" s="40" t="inlineStr">
        <is>
          <t>1-23 August 2026</t>
        </is>
      </c>
      <c r="K528" s="55" t="n">
        <v>15</v>
      </c>
      <c r="L528" s="40" t="inlineStr">
        <is>
          <t>CR 1-23 August 2026 + Visit→Engagement 1-23 August 2026</t>
        </is>
      </c>
      <c r="M528" s="40">
        <f>IF(Countries!F433="","STILL MISSING","Filled ✓")</f>
        <v/>
      </c>
    </row>
    <row r="529">
      <c r="A529" s="56" t="inlineStr">
        <is>
          <t>Countries</t>
        </is>
      </c>
      <c r="B529" s="56" t="inlineStr">
        <is>
          <t>AK411</t>
        </is>
      </c>
      <c r="C529" s="56" t="n">
        <v>411</v>
      </c>
      <c r="D529" s="56" t="inlineStr">
        <is>
          <t>Route page</t>
        </is>
      </c>
      <c r="E529" s="56" t="inlineStr">
        <is>
          <t>Direct</t>
        </is>
      </c>
      <c r="F529" s="56" t="inlineStr">
        <is>
          <t>Mobile</t>
        </is>
      </c>
      <c r="G529" s="56" t="inlineStr">
        <is>
          <t>Finland</t>
        </is>
      </c>
      <c r="H529" s="56" t="n">
        <v>15</v>
      </c>
      <c r="I529" s="56" t="inlineStr">
        <is>
          <t>Begin checkout</t>
        </is>
      </c>
      <c r="J529" s="56" t="inlineStr">
        <is>
          <t>1-23 August 2025</t>
        </is>
      </c>
      <c r="K529" s="57" t="n">
        <v>15</v>
      </c>
      <c r="L529" s="56" t="inlineStr">
        <is>
          <t>Cart→Checkout 1-23 August 2025</t>
        </is>
      </c>
      <c r="M529" s="40">
        <f>IF(Countries!AK411="","STILL MISSING","Filled ✓")</f>
        <v/>
      </c>
    </row>
    <row r="530">
      <c r="A530" s="40" t="inlineStr">
        <is>
          <t>Countries</t>
        </is>
      </c>
      <c r="B530" s="40" t="inlineStr">
        <is>
          <t>AL411</t>
        </is>
      </c>
      <c r="C530" s="40" t="n">
        <v>411</v>
      </c>
      <c r="D530" s="40" t="inlineStr">
        <is>
          <t>Route page</t>
        </is>
      </c>
      <c r="E530" s="40" t="inlineStr">
        <is>
          <t>Direct</t>
        </is>
      </c>
      <c r="F530" s="40" t="inlineStr">
        <is>
          <t>Mobile</t>
        </is>
      </c>
      <c r="G530" s="40" t="inlineStr">
        <is>
          <t>Finland</t>
        </is>
      </c>
      <c r="H530" s="40" t="n">
        <v>15</v>
      </c>
      <c r="I530" s="40" t="inlineStr">
        <is>
          <t>Begin checkout</t>
        </is>
      </c>
      <c r="J530" s="40" t="inlineStr">
        <is>
          <t>1-23 August 2026</t>
        </is>
      </c>
      <c r="K530" s="55" t="n">
        <v>15</v>
      </c>
      <c r="L530" s="40" t="inlineStr">
        <is>
          <t>Cart→Checkout 1-23 August 2026</t>
        </is>
      </c>
      <c r="M530" s="40">
        <f>IF(Countries!AL411="","STILL MISSING","Filled ✓")</f>
        <v/>
      </c>
    </row>
    <row r="531">
      <c r="A531" s="56" t="inlineStr">
        <is>
          <t>Countries</t>
        </is>
      </c>
      <c r="B531" s="56" t="inlineStr">
        <is>
          <t>P411</t>
        </is>
      </c>
      <c r="C531" s="56" t="n">
        <v>411</v>
      </c>
      <c r="D531" s="56" t="inlineStr">
        <is>
          <t>Route page</t>
        </is>
      </c>
      <c r="E531" s="56" t="inlineStr">
        <is>
          <t>Direct</t>
        </is>
      </c>
      <c r="F531" s="56" t="inlineStr">
        <is>
          <t>Mobile</t>
        </is>
      </c>
      <c r="G531" s="56" t="inlineStr">
        <is>
          <t>Finland</t>
        </is>
      </c>
      <c r="H531" s="56" t="n">
        <v>15</v>
      </c>
      <c r="I531" s="56" t="inlineStr">
        <is>
          <t>Searches</t>
        </is>
      </c>
      <c r="J531" s="56" t="inlineStr">
        <is>
          <t>1-23 August 2025</t>
        </is>
      </c>
      <c r="K531" s="57" t="n">
        <v>15</v>
      </c>
      <c r="L531" s="56" t="inlineStr">
        <is>
          <t>Search→Select 1-23 August 2025</t>
        </is>
      </c>
      <c r="M531" s="40">
        <f>IF(Countries!P411="","STILL MISSING","Filled ✓")</f>
        <v/>
      </c>
    </row>
    <row r="532">
      <c r="A532" s="40" t="inlineStr">
        <is>
          <t>Countries</t>
        </is>
      </c>
      <c r="B532" s="40" t="inlineStr">
        <is>
          <t>Q411</t>
        </is>
      </c>
      <c r="C532" s="40" t="n">
        <v>411</v>
      </c>
      <c r="D532" s="40" t="inlineStr">
        <is>
          <t>Route page</t>
        </is>
      </c>
      <c r="E532" s="40" t="inlineStr">
        <is>
          <t>Direct</t>
        </is>
      </c>
      <c r="F532" s="40" t="inlineStr">
        <is>
          <t>Mobile</t>
        </is>
      </c>
      <c r="G532" s="40" t="inlineStr">
        <is>
          <t>Finland</t>
        </is>
      </c>
      <c r="H532" s="40" t="n">
        <v>15</v>
      </c>
      <c r="I532" s="40" t="inlineStr">
        <is>
          <t>Searches</t>
        </is>
      </c>
      <c r="J532" s="40" t="inlineStr">
        <is>
          <t>1-23 August 2026</t>
        </is>
      </c>
      <c r="K532" s="55" t="n">
        <v>15</v>
      </c>
      <c r="L532" s="40" t="inlineStr">
        <is>
          <t>Search→Select 1-23 August 2026</t>
        </is>
      </c>
      <c r="M532" s="40">
        <f>IF(Countries!Q411="","STILL MISSING","Filled ✓")</f>
        <v/>
      </c>
    </row>
    <row r="533">
      <c r="A533" s="56" t="inlineStr">
        <is>
          <t>Countries</t>
        </is>
      </c>
      <c r="B533" s="56" t="inlineStr">
        <is>
          <t>E411</t>
        </is>
      </c>
      <c r="C533" s="56" t="n">
        <v>411</v>
      </c>
      <c r="D533" s="56" t="inlineStr">
        <is>
          <t>Route page</t>
        </is>
      </c>
      <c r="E533" s="56" t="inlineStr">
        <is>
          <t>Direct</t>
        </is>
      </c>
      <c r="F533" s="56" t="inlineStr">
        <is>
          <t>Mobile</t>
        </is>
      </c>
      <c r="G533" s="56" t="inlineStr">
        <is>
          <t>Finland</t>
        </is>
      </c>
      <c r="H533" s="56" t="n">
        <v>15</v>
      </c>
      <c r="I533" s="56" t="inlineStr">
        <is>
          <t>Sessions</t>
        </is>
      </c>
      <c r="J533" s="56" t="inlineStr">
        <is>
          <t>1-23 August 2025</t>
        </is>
      </c>
      <c r="K533" s="57" t="n">
        <v>15</v>
      </c>
      <c r="L533" s="56" t="inlineStr">
        <is>
          <t>Visit→Engagement 1-23 August 2025</t>
        </is>
      </c>
      <c r="M533" s="40">
        <f>IF(Countries!E411="","STILL MISSING","Filled ✓")</f>
        <v/>
      </c>
    </row>
    <row r="534">
      <c r="A534" s="40" t="inlineStr">
        <is>
          <t>Countries</t>
        </is>
      </c>
      <c r="B534" s="40" t="inlineStr">
        <is>
          <t>F411</t>
        </is>
      </c>
      <c r="C534" s="40" t="n">
        <v>411</v>
      </c>
      <c r="D534" s="40" t="inlineStr">
        <is>
          <t>Route page</t>
        </is>
      </c>
      <c r="E534" s="40" t="inlineStr">
        <is>
          <t>Direct</t>
        </is>
      </c>
      <c r="F534" s="40" t="inlineStr">
        <is>
          <t>Mobile</t>
        </is>
      </c>
      <c r="G534" s="40" t="inlineStr">
        <is>
          <t>Finland</t>
        </is>
      </c>
      <c r="H534" s="40" t="n">
        <v>15</v>
      </c>
      <c r="I534" s="40" t="inlineStr">
        <is>
          <t>Sessions</t>
        </is>
      </c>
      <c r="J534" s="40" t="inlineStr">
        <is>
          <t>1-23 August 2026</t>
        </is>
      </c>
      <c r="K534" s="55" t="n">
        <v>15</v>
      </c>
      <c r="L534" s="40" t="inlineStr">
        <is>
          <t>Visit→Engagement 1-23 August 2026</t>
        </is>
      </c>
      <c r="M534" s="40">
        <f>IF(Countries!F411="","STILL MISSING","Filled ✓")</f>
        <v/>
      </c>
    </row>
    <row r="535">
      <c r="A535" s="56" t="inlineStr">
        <is>
          <t>Countries</t>
        </is>
      </c>
      <c r="B535" s="56" t="inlineStr">
        <is>
          <t>AR65</t>
        </is>
      </c>
      <c r="C535" s="56" t="n">
        <v>65</v>
      </c>
      <c r="D535" s="56" t="inlineStr">
        <is>
          <t>All landing pages</t>
        </is>
      </c>
      <c r="E535" s="56" t="inlineStr">
        <is>
          <t>Organic</t>
        </is>
      </c>
      <c r="F535" s="56" t="inlineStr">
        <is>
          <t>Desktop</t>
        </is>
      </c>
      <c r="G535" s="56" t="inlineStr">
        <is>
          <t>Portugal</t>
        </is>
      </c>
      <c r="H535" s="56" t="n">
        <v>16</v>
      </c>
      <c r="I535" s="56" t="inlineStr">
        <is>
          <t>Purchases</t>
        </is>
      </c>
      <c r="J535" s="56" t="inlineStr">
        <is>
          <t>1-23 August 2025</t>
        </is>
      </c>
      <c r="K535" s="57" t="n">
        <v>566</v>
      </c>
      <c r="L535" s="56" t="inlineStr">
        <is>
          <t>CR 1-23 August 2025 + Search→Booking 1-23 August 2025</t>
        </is>
      </c>
      <c r="M535" s="40">
        <f>IF(Countries!AR65="","STILL MISSING","Filled ✓")</f>
        <v/>
      </c>
    </row>
    <row r="536">
      <c r="A536" s="40" t="inlineStr">
        <is>
          <t>Countries</t>
        </is>
      </c>
      <c r="B536" s="40" t="inlineStr">
        <is>
          <t>AS65</t>
        </is>
      </c>
      <c r="C536" s="40" t="n">
        <v>65</v>
      </c>
      <c r="D536" s="40" t="inlineStr">
        <is>
          <t>All landing pages</t>
        </is>
      </c>
      <c r="E536" s="40" t="inlineStr">
        <is>
          <t>Organic</t>
        </is>
      </c>
      <c r="F536" s="40" t="inlineStr">
        <is>
          <t>Desktop</t>
        </is>
      </c>
      <c r="G536" s="40" t="inlineStr">
        <is>
          <t>Portugal</t>
        </is>
      </c>
      <c r="H536" s="40" t="n">
        <v>16</v>
      </c>
      <c r="I536" s="40" t="inlineStr">
        <is>
          <t>Purchases</t>
        </is>
      </c>
      <c r="J536" s="40" t="inlineStr">
        <is>
          <t>1-23 August 2026</t>
        </is>
      </c>
      <c r="K536" s="55" t="n">
        <v>566</v>
      </c>
      <c r="L536" s="40" t="inlineStr">
        <is>
          <t>CR 1-23 August 2026</t>
        </is>
      </c>
      <c r="M536" s="40">
        <f>IF(Countries!AS65="","STILL MISSING","Filled ✓")</f>
        <v/>
      </c>
    </row>
    <row r="537">
      <c r="A537" s="56" t="inlineStr">
        <is>
          <t>Countries</t>
        </is>
      </c>
      <c r="B537" s="56" t="inlineStr">
        <is>
          <t>Q65</t>
        </is>
      </c>
      <c r="C537" s="56" t="n">
        <v>65</v>
      </c>
      <c r="D537" s="56" t="inlineStr">
        <is>
          <t>All landing pages</t>
        </is>
      </c>
      <c r="E537" s="56" t="inlineStr">
        <is>
          <t>Organic</t>
        </is>
      </c>
      <c r="F537" s="56" t="inlineStr">
        <is>
          <t>Desktop</t>
        </is>
      </c>
      <c r="G537" s="56" t="inlineStr">
        <is>
          <t>Portugal</t>
        </is>
      </c>
      <c r="H537" s="56" t="n">
        <v>16</v>
      </c>
      <c r="I537" s="56" t="inlineStr">
        <is>
          <t>Searches</t>
        </is>
      </c>
      <c r="J537" s="56" t="inlineStr">
        <is>
          <t>1-23 August 2026</t>
        </is>
      </c>
      <c r="K537" s="57" t="n">
        <v>566</v>
      </c>
      <c r="L537" s="56" t="inlineStr">
        <is>
          <t>Searches YoY + Visit→Search 1-23 August 2026</t>
        </is>
      </c>
      <c r="M537" s="40">
        <f>IF(Countries!Q65="","STILL MISSING","Filled ✓")</f>
        <v/>
      </c>
    </row>
    <row r="538">
      <c r="A538" s="40" t="inlineStr">
        <is>
          <t>Countries</t>
        </is>
      </c>
      <c r="B538" s="40" t="inlineStr">
        <is>
          <t>W65</t>
        </is>
      </c>
      <c r="C538" s="40" t="n">
        <v>65</v>
      </c>
      <c r="D538" s="40" t="inlineStr">
        <is>
          <t>All landing pages</t>
        </is>
      </c>
      <c r="E538" s="40" t="inlineStr">
        <is>
          <t>Organic</t>
        </is>
      </c>
      <c r="F538" s="40" t="inlineStr">
        <is>
          <t>Desktop</t>
        </is>
      </c>
      <c r="G538" s="40" t="inlineStr">
        <is>
          <t>Portugal</t>
        </is>
      </c>
      <c r="H538" s="40" t="n">
        <v>16</v>
      </c>
      <c r="I538" s="40" t="inlineStr">
        <is>
          <t>Select item</t>
        </is>
      </c>
      <c r="J538" s="40" t="inlineStr">
        <is>
          <t>1-23 August 2025</t>
        </is>
      </c>
      <c r="K538" s="55" t="n">
        <v>566</v>
      </c>
      <c r="L538" s="40" t="inlineStr">
        <is>
          <t>Search→Select 1-23 August 2025</t>
        </is>
      </c>
      <c r="M538" s="40">
        <f>IF(Countries!W65="","STILL MISSING","Filled ✓")</f>
        <v/>
      </c>
    </row>
    <row r="539">
      <c r="A539" s="56" t="inlineStr">
        <is>
          <t>Countries</t>
        </is>
      </c>
      <c r="B539" s="56" t="inlineStr">
        <is>
          <t>I65</t>
        </is>
      </c>
      <c r="C539" s="56" t="n">
        <v>65</v>
      </c>
      <c r="D539" s="56" t="inlineStr">
        <is>
          <t>All landing pages</t>
        </is>
      </c>
      <c r="E539" s="56" t="inlineStr">
        <is>
          <t>Organic</t>
        </is>
      </c>
      <c r="F539" s="56" t="inlineStr">
        <is>
          <t>Desktop</t>
        </is>
      </c>
      <c r="G539" s="56" t="inlineStr">
        <is>
          <t>Portugal</t>
        </is>
      </c>
      <c r="H539" s="56" t="n">
        <v>16</v>
      </c>
      <c r="I539" s="56" t="inlineStr">
        <is>
          <t>Start Search</t>
        </is>
      </c>
      <c r="J539" s="56" t="inlineStr">
        <is>
          <t>1-23 August 2025</t>
        </is>
      </c>
      <c r="K539" s="57" t="n">
        <v>566</v>
      </c>
      <c r="L539" s="56" t="inlineStr">
        <is>
          <t>Visit→Engagement 1-23 August 2025</t>
        </is>
      </c>
      <c r="M539" s="40">
        <f>IF(Countries!I65="","STILL MISSING","Filled ✓")</f>
        <v/>
      </c>
    </row>
    <row r="540">
      <c r="A540" s="40" t="inlineStr">
        <is>
          <t>Countries</t>
        </is>
      </c>
      <c r="B540" s="40" t="inlineStr">
        <is>
          <t>J65</t>
        </is>
      </c>
      <c r="C540" s="40" t="n">
        <v>65</v>
      </c>
      <c r="D540" s="40" t="inlineStr">
        <is>
          <t>All landing pages</t>
        </is>
      </c>
      <c r="E540" s="40" t="inlineStr">
        <is>
          <t>Organic</t>
        </is>
      </c>
      <c r="F540" s="40" t="inlineStr">
        <is>
          <t>Desktop</t>
        </is>
      </c>
      <c r="G540" s="40" t="inlineStr">
        <is>
          <t>Portugal</t>
        </is>
      </c>
      <c r="H540" s="40" t="n">
        <v>16</v>
      </c>
      <c r="I540" s="40" t="inlineStr">
        <is>
          <t>Start Search</t>
        </is>
      </c>
      <c r="J540" s="40" t="inlineStr">
        <is>
          <t>1-23 August 2026</t>
        </is>
      </c>
      <c r="K540" s="55" t="n">
        <v>566</v>
      </c>
      <c r="L540" s="40" t="inlineStr">
        <is>
          <t>Visit→Engagement 1-23 August 2026</t>
        </is>
      </c>
      <c r="M540" s="40">
        <f>IF(Countries!J65="","STILL MISSING","Filled ✓")</f>
        <v/>
      </c>
    </row>
    <row r="541">
      <c r="A541" s="56" t="inlineStr">
        <is>
          <t>Countries</t>
        </is>
      </c>
      <c r="B541" s="56" t="inlineStr">
        <is>
          <t>AS49</t>
        </is>
      </c>
      <c r="C541" s="56" t="n">
        <v>49</v>
      </c>
      <c r="D541" s="56" t="inlineStr">
        <is>
          <t>All landing pages</t>
        </is>
      </c>
      <c r="E541" s="56" t="inlineStr">
        <is>
          <t>Organic</t>
        </is>
      </c>
      <c r="F541" s="56" t="inlineStr">
        <is>
          <t>Mobile</t>
        </is>
      </c>
      <c r="G541" s="56" t="inlineStr">
        <is>
          <t>Portugal</t>
        </is>
      </c>
      <c r="H541" s="56" t="n">
        <v>16</v>
      </c>
      <c r="I541" s="56" t="inlineStr">
        <is>
          <t>Purchases</t>
        </is>
      </c>
      <c r="J541" s="56" t="inlineStr">
        <is>
          <t>1-23 August 2026</t>
        </is>
      </c>
      <c r="K541" s="57" t="n">
        <v>754</v>
      </c>
      <c r="L541" s="56" t="inlineStr">
        <is>
          <t>CR 1-23 August 2026</t>
        </is>
      </c>
      <c r="M541" s="40">
        <f>IF(Countries!AS49="","STILL MISSING","Filled ✓")</f>
        <v/>
      </c>
    </row>
    <row r="542">
      <c r="A542" s="40" t="inlineStr">
        <is>
          <t>Countries</t>
        </is>
      </c>
      <c r="B542" s="40" t="inlineStr">
        <is>
          <t>Q49</t>
        </is>
      </c>
      <c r="C542" s="40" t="n">
        <v>49</v>
      </c>
      <c r="D542" s="40" t="inlineStr">
        <is>
          <t>All landing pages</t>
        </is>
      </c>
      <c r="E542" s="40" t="inlineStr">
        <is>
          <t>Organic</t>
        </is>
      </c>
      <c r="F542" s="40" t="inlineStr">
        <is>
          <t>Mobile</t>
        </is>
      </c>
      <c r="G542" s="40" t="inlineStr">
        <is>
          <t>Portugal</t>
        </is>
      </c>
      <c r="H542" s="40" t="n">
        <v>16</v>
      </c>
      <c r="I542" s="40" t="inlineStr">
        <is>
          <t>Searches</t>
        </is>
      </c>
      <c r="J542" s="40" t="inlineStr">
        <is>
          <t>1-23 August 2026</t>
        </is>
      </c>
      <c r="K542" s="55" t="n">
        <v>754</v>
      </c>
      <c r="L542" s="40" t="inlineStr">
        <is>
          <t>Visit→Search 1-23 August 2026</t>
        </is>
      </c>
      <c r="M542" s="40">
        <f>IF(Countries!Q49="","STILL MISSING","Filled ✓")</f>
        <v/>
      </c>
    </row>
    <row r="543">
      <c r="A543" s="56" t="inlineStr">
        <is>
          <t>Countries</t>
        </is>
      </c>
      <c r="B543" s="56" t="inlineStr">
        <is>
          <t>E49</t>
        </is>
      </c>
      <c r="C543" s="56" t="n">
        <v>49</v>
      </c>
      <c r="D543" s="56" t="inlineStr">
        <is>
          <t>All landing pages</t>
        </is>
      </c>
      <c r="E543" s="56" t="inlineStr">
        <is>
          <t>Organic</t>
        </is>
      </c>
      <c r="F543" s="56" t="inlineStr">
        <is>
          <t>Mobile</t>
        </is>
      </c>
      <c r="G543" s="56" t="inlineStr">
        <is>
          <t>Portugal</t>
        </is>
      </c>
      <c r="H543" s="56" t="n">
        <v>16</v>
      </c>
      <c r="I543" s="56" t="inlineStr">
        <is>
          <t>Sessions</t>
        </is>
      </c>
      <c r="J543" s="56" t="inlineStr">
        <is>
          <t>1-23 August 2025</t>
        </is>
      </c>
      <c r="K543" s="57" t="n">
        <v>754</v>
      </c>
      <c r="L543" s="56" t="inlineStr">
        <is>
          <t>Sessions YoY</t>
        </is>
      </c>
      <c r="M543" s="40">
        <f>IF(Countries!E49="","STILL MISSING","Filled ✓")</f>
        <v/>
      </c>
    </row>
    <row r="544">
      <c r="A544" s="40" t="inlineStr">
        <is>
          <t>Countries</t>
        </is>
      </c>
      <c r="B544" s="40" t="inlineStr">
        <is>
          <t>J49</t>
        </is>
      </c>
      <c r="C544" s="40" t="n">
        <v>49</v>
      </c>
      <c r="D544" s="40" t="inlineStr">
        <is>
          <t>All landing pages</t>
        </is>
      </c>
      <c r="E544" s="40" t="inlineStr">
        <is>
          <t>Organic</t>
        </is>
      </c>
      <c r="F544" s="40" t="inlineStr">
        <is>
          <t>Mobile</t>
        </is>
      </c>
      <c r="G544" s="40" t="inlineStr">
        <is>
          <t>Portugal</t>
        </is>
      </c>
      <c r="H544" s="40" t="n">
        <v>16</v>
      </c>
      <c r="I544" s="40" t="inlineStr">
        <is>
          <t>Start Search</t>
        </is>
      </c>
      <c r="J544" s="40" t="inlineStr">
        <is>
          <t>1-23 August 2026</t>
        </is>
      </c>
      <c r="K544" s="55" t="n">
        <v>754</v>
      </c>
      <c r="L544" s="40" t="inlineStr">
        <is>
          <t>Visit→Engagement 1-23 August 2026</t>
        </is>
      </c>
      <c r="M544" s="40">
        <f>IF(Countries!J49="","STILL MISSING","Filled ✓")</f>
        <v/>
      </c>
    </row>
    <row r="545">
      <c r="A545" s="56" t="inlineStr">
        <is>
          <t>Countries</t>
        </is>
      </c>
      <c r="B545" s="56" t="inlineStr">
        <is>
          <t>AR103</t>
        </is>
      </c>
      <c r="C545" s="56" t="n">
        <v>103</v>
      </c>
      <c r="D545" s="56" t="inlineStr">
        <is>
          <t>All landing pages</t>
        </is>
      </c>
      <c r="E545" s="56" t="inlineStr">
        <is>
          <t>Direct</t>
        </is>
      </c>
      <c r="F545" s="56" t="inlineStr">
        <is>
          <t>Desktop</t>
        </is>
      </c>
      <c r="G545" s="56" t="inlineStr">
        <is>
          <t>Portugal</t>
        </is>
      </c>
      <c r="H545" s="56" t="n">
        <v>16</v>
      </c>
      <c r="I545" s="56" t="inlineStr">
        <is>
          <t>Purchases</t>
        </is>
      </c>
      <c r="J545" s="56" t="inlineStr">
        <is>
          <t>1-23 August 2025</t>
        </is>
      </c>
      <c r="K545" s="57" t="n">
        <v>451</v>
      </c>
      <c r="L545" s="56" t="inlineStr">
        <is>
          <t>CR 1-23 August 2025</t>
        </is>
      </c>
      <c r="M545" s="40">
        <f>IF(Countries!AR103="","STILL MISSING","Filled ✓")</f>
        <v/>
      </c>
    </row>
    <row r="546">
      <c r="A546" s="40" t="inlineStr">
        <is>
          <t>Countries</t>
        </is>
      </c>
      <c r="B546" s="40" t="inlineStr">
        <is>
          <t>AS103</t>
        </is>
      </c>
      <c r="C546" s="40" t="n">
        <v>103</v>
      </c>
      <c r="D546" s="40" t="inlineStr">
        <is>
          <t>All landing pages</t>
        </is>
      </c>
      <c r="E546" s="40" t="inlineStr">
        <is>
          <t>Direct</t>
        </is>
      </c>
      <c r="F546" s="40" t="inlineStr">
        <is>
          <t>Desktop</t>
        </is>
      </c>
      <c r="G546" s="40" t="inlineStr">
        <is>
          <t>Portugal</t>
        </is>
      </c>
      <c r="H546" s="40" t="n">
        <v>16</v>
      </c>
      <c r="I546" s="40" t="inlineStr">
        <is>
          <t>Purchases</t>
        </is>
      </c>
      <c r="J546" s="40" t="inlineStr">
        <is>
          <t>1-23 August 2026</t>
        </is>
      </c>
      <c r="K546" s="55" t="n">
        <v>451</v>
      </c>
      <c r="L546" s="40" t="inlineStr">
        <is>
          <t>CR 1-23 August 2026 + Search→Booking 1-23 August 2026</t>
        </is>
      </c>
      <c r="M546" s="40">
        <f>IF(Countries!AS103="","STILL MISSING","Filled ✓")</f>
        <v/>
      </c>
    </row>
    <row r="547">
      <c r="A547" s="56" t="inlineStr">
        <is>
          <t>Countries</t>
        </is>
      </c>
      <c r="B547" s="56" t="inlineStr">
        <is>
          <t>P103</t>
        </is>
      </c>
      <c r="C547" s="56" t="n">
        <v>103</v>
      </c>
      <c r="D547" s="56" t="inlineStr">
        <is>
          <t>All landing pages</t>
        </is>
      </c>
      <c r="E547" s="56" t="inlineStr">
        <is>
          <t>Direct</t>
        </is>
      </c>
      <c r="F547" s="56" t="inlineStr">
        <is>
          <t>Desktop</t>
        </is>
      </c>
      <c r="G547" s="56" t="inlineStr">
        <is>
          <t>Portugal</t>
        </is>
      </c>
      <c r="H547" s="56" t="n">
        <v>16</v>
      </c>
      <c r="I547" s="56" t="inlineStr">
        <is>
          <t>Searches</t>
        </is>
      </c>
      <c r="J547" s="56" t="inlineStr">
        <is>
          <t>1-23 August 2025</t>
        </is>
      </c>
      <c r="K547" s="57" t="n">
        <v>451</v>
      </c>
      <c r="L547" s="56" t="inlineStr">
        <is>
          <t>Searches YoY + Visit→Search 1-23 August 2025</t>
        </is>
      </c>
      <c r="M547" s="40">
        <f>IF(Countries!P103="","STILL MISSING","Filled ✓")</f>
        <v/>
      </c>
    </row>
    <row r="548">
      <c r="A548" s="40" t="inlineStr">
        <is>
          <t>Countries</t>
        </is>
      </c>
      <c r="B548" s="40" t="inlineStr">
        <is>
          <t>X103</t>
        </is>
      </c>
      <c r="C548" s="40" t="n">
        <v>103</v>
      </c>
      <c r="D548" s="40" t="inlineStr">
        <is>
          <t>All landing pages</t>
        </is>
      </c>
      <c r="E548" s="40" t="inlineStr">
        <is>
          <t>Direct</t>
        </is>
      </c>
      <c r="F548" s="40" t="inlineStr">
        <is>
          <t>Desktop</t>
        </is>
      </c>
      <c r="G548" s="40" t="inlineStr">
        <is>
          <t>Portugal</t>
        </is>
      </c>
      <c r="H548" s="40" t="n">
        <v>16</v>
      </c>
      <c r="I548" s="40" t="inlineStr">
        <is>
          <t>Select item</t>
        </is>
      </c>
      <c r="J548" s="40" t="inlineStr">
        <is>
          <t>1-23 August 2026</t>
        </is>
      </c>
      <c r="K548" s="55" t="n">
        <v>451</v>
      </c>
      <c r="L548" s="40" t="inlineStr">
        <is>
          <t>Search→Select 1-23 August 2026</t>
        </is>
      </c>
      <c r="M548" s="40">
        <f>IF(Countries!X103="","STILL MISSING","Filled ✓")</f>
        <v/>
      </c>
    </row>
    <row r="549">
      <c r="A549" s="56" t="inlineStr">
        <is>
          <t>Countries</t>
        </is>
      </c>
      <c r="B549" s="56" t="inlineStr">
        <is>
          <t>I103</t>
        </is>
      </c>
      <c r="C549" s="56" t="n">
        <v>103</v>
      </c>
      <c r="D549" s="56" t="inlineStr">
        <is>
          <t>All landing pages</t>
        </is>
      </c>
      <c r="E549" s="56" t="inlineStr">
        <is>
          <t>Direct</t>
        </is>
      </c>
      <c r="F549" s="56" t="inlineStr">
        <is>
          <t>Desktop</t>
        </is>
      </c>
      <c r="G549" s="56" t="inlineStr">
        <is>
          <t>Portugal</t>
        </is>
      </c>
      <c r="H549" s="56" t="n">
        <v>16</v>
      </c>
      <c r="I549" s="56" t="inlineStr">
        <is>
          <t>Start Search</t>
        </is>
      </c>
      <c r="J549" s="56" t="inlineStr">
        <is>
          <t>1-23 August 2025</t>
        </is>
      </c>
      <c r="K549" s="57" t="n">
        <v>451</v>
      </c>
      <c r="L549" s="56" t="inlineStr">
        <is>
          <t>Visit→Engagement 1-23 August 2025</t>
        </is>
      </c>
      <c r="M549" s="40">
        <f>IF(Countries!I103="","STILL MISSING","Filled ✓")</f>
        <v/>
      </c>
    </row>
    <row r="550">
      <c r="A550" s="40" t="inlineStr">
        <is>
          <t>Countries</t>
        </is>
      </c>
      <c r="B550" s="40" t="inlineStr">
        <is>
          <t>J103</t>
        </is>
      </c>
      <c r="C550" s="40" t="n">
        <v>103</v>
      </c>
      <c r="D550" s="40" t="inlineStr">
        <is>
          <t>All landing pages</t>
        </is>
      </c>
      <c r="E550" s="40" t="inlineStr">
        <is>
          <t>Direct</t>
        </is>
      </c>
      <c r="F550" s="40" t="inlineStr">
        <is>
          <t>Desktop</t>
        </is>
      </c>
      <c r="G550" s="40" t="inlineStr">
        <is>
          <t>Portugal</t>
        </is>
      </c>
      <c r="H550" s="40" t="n">
        <v>16</v>
      </c>
      <c r="I550" s="40" t="inlineStr">
        <is>
          <t>Start Search</t>
        </is>
      </c>
      <c r="J550" s="40" t="inlineStr">
        <is>
          <t>1-23 August 2026</t>
        </is>
      </c>
      <c r="K550" s="55" t="n">
        <v>451</v>
      </c>
      <c r="L550" s="40" t="inlineStr">
        <is>
          <t>Visit→Engagement 1-23 August 2026</t>
        </is>
      </c>
      <c r="M550" s="40">
        <f>IF(Countries!J103="","STILL MISSING","Filled ✓")</f>
        <v/>
      </c>
    </row>
    <row r="551">
      <c r="A551" s="56" t="inlineStr">
        <is>
          <t>Countries</t>
        </is>
      </c>
      <c r="B551" s="56" t="inlineStr">
        <is>
          <t>AR143</t>
        </is>
      </c>
      <c r="C551" s="56" t="n">
        <v>143</v>
      </c>
      <c r="D551" s="56" t="inlineStr">
        <is>
          <t>Home page</t>
        </is>
      </c>
      <c r="E551" s="56" t="inlineStr">
        <is>
          <t>Paid Search</t>
        </is>
      </c>
      <c r="F551" s="56" t="inlineStr">
        <is>
          <t>Desktop</t>
        </is>
      </c>
      <c r="G551" s="56" t="inlineStr">
        <is>
          <t>Portugal</t>
        </is>
      </c>
      <c r="H551" s="56" t="n">
        <v>16</v>
      </c>
      <c r="I551" s="56" t="inlineStr">
        <is>
          <t>Purchases</t>
        </is>
      </c>
      <c r="J551" s="56" t="inlineStr">
        <is>
          <t>1-23 August 2025</t>
        </is>
      </c>
      <c r="K551" s="57" t="n">
        <v>786</v>
      </c>
      <c r="L551" s="56" t="inlineStr">
        <is>
          <t>CR 1-23 August 2025</t>
        </is>
      </c>
      <c r="M551" s="40">
        <f>IF(Countries!AR143="","STILL MISSING","Filled ✓")</f>
        <v/>
      </c>
    </row>
    <row r="552">
      <c r="A552" s="40" t="inlineStr">
        <is>
          <t>Countries</t>
        </is>
      </c>
      <c r="B552" s="40" t="inlineStr">
        <is>
          <t>AS143</t>
        </is>
      </c>
      <c r="C552" s="40" t="n">
        <v>143</v>
      </c>
      <c r="D552" s="40" t="inlineStr">
        <is>
          <t>Home page</t>
        </is>
      </c>
      <c r="E552" s="40" t="inlineStr">
        <is>
          <t>Paid Search</t>
        </is>
      </c>
      <c r="F552" s="40" t="inlineStr">
        <is>
          <t>Desktop</t>
        </is>
      </c>
      <c r="G552" s="40" t="inlineStr">
        <is>
          <t>Portugal</t>
        </is>
      </c>
      <c r="H552" s="40" t="n">
        <v>16</v>
      </c>
      <c r="I552" s="40" t="inlineStr">
        <is>
          <t>Purchases</t>
        </is>
      </c>
      <c r="J552" s="40" t="inlineStr">
        <is>
          <t>1-23 August 2026</t>
        </is>
      </c>
      <c r="K552" s="55" t="n">
        <v>786</v>
      </c>
      <c r="L552" s="40" t="inlineStr">
        <is>
          <t>CR 1-23 August 2026 + Search→Booking 1-23 August 2026</t>
        </is>
      </c>
      <c r="M552" s="40">
        <f>IF(Countries!AS143="","STILL MISSING","Filled ✓")</f>
        <v/>
      </c>
    </row>
    <row r="553">
      <c r="A553" s="56" t="inlineStr">
        <is>
          <t>Countries</t>
        </is>
      </c>
      <c r="B553" s="56" t="inlineStr">
        <is>
          <t>P143</t>
        </is>
      </c>
      <c r="C553" s="56" t="n">
        <v>143</v>
      </c>
      <c r="D553" s="56" t="inlineStr">
        <is>
          <t>Home page</t>
        </is>
      </c>
      <c r="E553" s="56" t="inlineStr">
        <is>
          <t>Paid Search</t>
        </is>
      </c>
      <c r="F553" s="56" t="inlineStr">
        <is>
          <t>Desktop</t>
        </is>
      </c>
      <c r="G553" s="56" t="inlineStr">
        <is>
          <t>Portugal</t>
        </is>
      </c>
      <c r="H553" s="56" t="n">
        <v>16</v>
      </c>
      <c r="I553" s="56" t="inlineStr">
        <is>
          <t>Searches</t>
        </is>
      </c>
      <c r="J553" s="56" t="inlineStr">
        <is>
          <t>1-23 August 2025</t>
        </is>
      </c>
      <c r="K553" s="57" t="n">
        <v>786</v>
      </c>
      <c r="L553" s="56" t="inlineStr">
        <is>
          <t>Searches YoY + Visit→Search 1-23 August 2025</t>
        </is>
      </c>
      <c r="M553" s="40">
        <f>IF(Countries!P143="","STILL MISSING","Filled ✓")</f>
        <v/>
      </c>
    </row>
    <row r="554">
      <c r="A554" s="40" t="inlineStr">
        <is>
          <t>Countries</t>
        </is>
      </c>
      <c r="B554" s="40" t="inlineStr">
        <is>
          <t>X143</t>
        </is>
      </c>
      <c r="C554" s="40" t="n">
        <v>143</v>
      </c>
      <c r="D554" s="40" t="inlineStr">
        <is>
          <t>Home page</t>
        </is>
      </c>
      <c r="E554" s="40" t="inlineStr">
        <is>
          <t>Paid Search</t>
        </is>
      </c>
      <c r="F554" s="40" t="inlineStr">
        <is>
          <t>Desktop</t>
        </is>
      </c>
      <c r="G554" s="40" t="inlineStr">
        <is>
          <t>Portugal</t>
        </is>
      </c>
      <c r="H554" s="40" t="n">
        <v>16</v>
      </c>
      <c r="I554" s="40" t="inlineStr">
        <is>
          <t>Select item</t>
        </is>
      </c>
      <c r="J554" s="40" t="inlineStr">
        <is>
          <t>1-23 August 2026</t>
        </is>
      </c>
      <c r="K554" s="55" t="n">
        <v>786</v>
      </c>
      <c r="L554" s="40" t="inlineStr">
        <is>
          <t>Search→Select 1-23 August 2026</t>
        </is>
      </c>
      <c r="M554" s="40">
        <f>IF(Countries!X143="","STILL MISSING","Filled ✓")</f>
        <v/>
      </c>
    </row>
    <row r="555">
      <c r="A555" s="56" t="inlineStr">
        <is>
          <t>Countries</t>
        </is>
      </c>
      <c r="B555" s="56" t="inlineStr">
        <is>
          <t>I143</t>
        </is>
      </c>
      <c r="C555" s="56" t="n">
        <v>143</v>
      </c>
      <c r="D555" s="56" t="inlineStr">
        <is>
          <t>Home page</t>
        </is>
      </c>
      <c r="E555" s="56" t="inlineStr">
        <is>
          <t>Paid Search</t>
        </is>
      </c>
      <c r="F555" s="56" t="inlineStr">
        <is>
          <t>Desktop</t>
        </is>
      </c>
      <c r="G555" s="56" t="inlineStr">
        <is>
          <t>Portugal</t>
        </is>
      </c>
      <c r="H555" s="56" t="n">
        <v>16</v>
      </c>
      <c r="I555" s="56" t="inlineStr">
        <is>
          <t>Start Search</t>
        </is>
      </c>
      <c r="J555" s="56" t="inlineStr">
        <is>
          <t>1-23 August 2025</t>
        </is>
      </c>
      <c r="K555" s="57" t="n">
        <v>786</v>
      </c>
      <c r="L555" s="56" t="inlineStr">
        <is>
          <t>Visit→Engagement 1-23 August 2025</t>
        </is>
      </c>
      <c r="M555" s="40">
        <f>IF(Countries!I143="","STILL MISSING","Filled ✓")</f>
        <v/>
      </c>
    </row>
    <row r="556">
      <c r="A556" s="40" t="inlineStr">
        <is>
          <t>Countries</t>
        </is>
      </c>
      <c r="B556" s="40" t="inlineStr">
        <is>
          <t>J143</t>
        </is>
      </c>
      <c r="C556" s="40" t="n">
        <v>143</v>
      </c>
      <c r="D556" s="40" t="inlineStr">
        <is>
          <t>Home page</t>
        </is>
      </c>
      <c r="E556" s="40" t="inlineStr">
        <is>
          <t>Paid Search</t>
        </is>
      </c>
      <c r="F556" s="40" t="inlineStr">
        <is>
          <t>Desktop</t>
        </is>
      </c>
      <c r="G556" s="40" t="inlineStr">
        <is>
          <t>Portugal</t>
        </is>
      </c>
      <c r="H556" s="40" t="n">
        <v>16</v>
      </c>
      <c r="I556" s="40" t="inlineStr">
        <is>
          <t>Start Search</t>
        </is>
      </c>
      <c r="J556" s="40" t="inlineStr">
        <is>
          <t>1-23 August 2026</t>
        </is>
      </c>
      <c r="K556" s="55" t="n">
        <v>786</v>
      </c>
      <c r="L556" s="40" t="inlineStr">
        <is>
          <t>Visit→Engagement 1-23 August 2026</t>
        </is>
      </c>
      <c r="M556" s="40">
        <f>IF(Countries!J143="","STILL MISSING","Filled ✓")</f>
        <v/>
      </c>
    </row>
    <row r="557">
      <c r="A557" s="56" t="inlineStr">
        <is>
          <t>Countries</t>
        </is>
      </c>
      <c r="B557" s="56" t="inlineStr">
        <is>
          <t>AR123</t>
        </is>
      </c>
      <c r="C557" s="56" t="n">
        <v>123</v>
      </c>
      <c r="D557" s="56" t="inlineStr">
        <is>
          <t>Home page</t>
        </is>
      </c>
      <c r="E557" s="56" t="inlineStr">
        <is>
          <t>Paid Search</t>
        </is>
      </c>
      <c r="F557" s="56" t="inlineStr">
        <is>
          <t>Mobile</t>
        </is>
      </c>
      <c r="G557" s="56" t="inlineStr">
        <is>
          <t>Portugal</t>
        </is>
      </c>
      <c r="H557" s="56" t="n">
        <v>16</v>
      </c>
      <c r="I557" s="56" t="inlineStr">
        <is>
          <t>Purchases</t>
        </is>
      </c>
      <c r="J557" s="56" t="inlineStr">
        <is>
          <t>1-23 August 2025</t>
        </is>
      </c>
      <c r="K557" s="57" t="n">
        <v>903</v>
      </c>
      <c r="L557" s="56" t="inlineStr">
        <is>
          <t>CR 1-23 August 2025 + Search→Booking 1-23 August 2025</t>
        </is>
      </c>
      <c r="M557" s="40">
        <f>IF(Countries!AR123="","STILL MISSING","Filled ✓")</f>
        <v/>
      </c>
    </row>
    <row r="558">
      <c r="A558" s="40" t="inlineStr">
        <is>
          <t>Countries</t>
        </is>
      </c>
      <c r="B558" s="40" t="inlineStr">
        <is>
          <t>AS123</t>
        </is>
      </c>
      <c r="C558" s="40" t="n">
        <v>123</v>
      </c>
      <c r="D558" s="40" t="inlineStr">
        <is>
          <t>Home page</t>
        </is>
      </c>
      <c r="E558" s="40" t="inlineStr">
        <is>
          <t>Paid Search</t>
        </is>
      </c>
      <c r="F558" s="40" t="inlineStr">
        <is>
          <t>Mobile</t>
        </is>
      </c>
      <c r="G558" s="40" t="inlineStr">
        <is>
          <t>Portugal</t>
        </is>
      </c>
      <c r="H558" s="40" t="n">
        <v>16</v>
      </c>
      <c r="I558" s="40" t="inlineStr">
        <is>
          <t>Purchases</t>
        </is>
      </c>
      <c r="J558" s="40" t="inlineStr">
        <is>
          <t>1-23 August 2026</t>
        </is>
      </c>
      <c r="K558" s="55" t="n">
        <v>903</v>
      </c>
      <c r="L558" s="40" t="inlineStr">
        <is>
          <t>CR 1-23 August 2026 + Search→Booking 1-23 August 2026</t>
        </is>
      </c>
      <c r="M558" s="40">
        <f>IF(Countries!AS123="","STILL MISSING","Filled ✓")</f>
        <v/>
      </c>
    </row>
    <row r="559">
      <c r="A559" s="56" t="inlineStr">
        <is>
          <t>Countries</t>
        </is>
      </c>
      <c r="B559" s="56" t="inlineStr">
        <is>
          <t>W123</t>
        </is>
      </c>
      <c r="C559" s="56" t="n">
        <v>123</v>
      </c>
      <c r="D559" s="56" t="inlineStr">
        <is>
          <t>Home page</t>
        </is>
      </c>
      <c r="E559" s="56" t="inlineStr">
        <is>
          <t>Paid Search</t>
        </is>
      </c>
      <c r="F559" s="56" t="inlineStr">
        <is>
          <t>Mobile</t>
        </is>
      </c>
      <c r="G559" s="56" t="inlineStr">
        <is>
          <t>Portugal</t>
        </is>
      </c>
      <c r="H559" s="56" t="n">
        <v>16</v>
      </c>
      <c r="I559" s="56" t="inlineStr">
        <is>
          <t>Select item</t>
        </is>
      </c>
      <c r="J559" s="56" t="inlineStr">
        <is>
          <t>1-23 August 2025</t>
        </is>
      </c>
      <c r="K559" s="57" t="n">
        <v>903</v>
      </c>
      <c r="L559" s="56" t="inlineStr">
        <is>
          <t>Search→Select 1-23 August 2025</t>
        </is>
      </c>
      <c r="M559" s="40">
        <f>IF(Countries!W123="","STILL MISSING","Filled ✓")</f>
        <v/>
      </c>
    </row>
    <row r="560">
      <c r="A560" s="40" t="inlineStr">
        <is>
          <t>Countries</t>
        </is>
      </c>
      <c r="B560" s="40" t="inlineStr">
        <is>
          <t>X123</t>
        </is>
      </c>
      <c r="C560" s="40" t="n">
        <v>123</v>
      </c>
      <c r="D560" s="40" t="inlineStr">
        <is>
          <t>Home page</t>
        </is>
      </c>
      <c r="E560" s="40" t="inlineStr">
        <is>
          <t>Paid Search</t>
        </is>
      </c>
      <c r="F560" s="40" t="inlineStr">
        <is>
          <t>Mobile</t>
        </is>
      </c>
      <c r="G560" s="40" t="inlineStr">
        <is>
          <t>Portugal</t>
        </is>
      </c>
      <c r="H560" s="40" t="n">
        <v>16</v>
      </c>
      <c r="I560" s="40" t="inlineStr">
        <is>
          <t>Select item</t>
        </is>
      </c>
      <c r="J560" s="40" t="inlineStr">
        <is>
          <t>1-23 August 2026</t>
        </is>
      </c>
      <c r="K560" s="55" t="n">
        <v>903</v>
      </c>
      <c r="L560" s="40" t="inlineStr">
        <is>
          <t>Search→Select 1-23 August 2026</t>
        </is>
      </c>
      <c r="M560" s="40">
        <f>IF(Countries!X123="","STILL MISSING","Filled ✓")</f>
        <v/>
      </c>
    </row>
    <row r="561">
      <c r="A561" s="56" t="inlineStr">
        <is>
          <t>Countries</t>
        </is>
      </c>
      <c r="B561" s="56" t="inlineStr">
        <is>
          <t>I123</t>
        </is>
      </c>
      <c r="C561" s="56" t="n">
        <v>123</v>
      </c>
      <c r="D561" s="56" t="inlineStr">
        <is>
          <t>Home page</t>
        </is>
      </c>
      <c r="E561" s="56" t="inlineStr">
        <is>
          <t>Paid Search</t>
        </is>
      </c>
      <c r="F561" s="56" t="inlineStr">
        <is>
          <t>Mobile</t>
        </is>
      </c>
      <c r="G561" s="56" t="inlineStr">
        <is>
          <t>Portugal</t>
        </is>
      </c>
      <c r="H561" s="56" t="n">
        <v>16</v>
      </c>
      <c r="I561" s="56" t="inlineStr">
        <is>
          <t>Start Search</t>
        </is>
      </c>
      <c r="J561" s="56" t="inlineStr">
        <is>
          <t>1-23 August 2025</t>
        </is>
      </c>
      <c r="K561" s="57" t="n">
        <v>903</v>
      </c>
      <c r="L561" s="56" t="inlineStr">
        <is>
          <t>Visit→Engagement 1-23 August 2025</t>
        </is>
      </c>
      <c r="M561" s="40">
        <f>IF(Countries!I123="","STILL MISSING","Filled ✓")</f>
        <v/>
      </c>
    </row>
    <row r="562">
      <c r="A562" s="40" t="inlineStr">
        <is>
          <t>Countries</t>
        </is>
      </c>
      <c r="B562" s="40" t="inlineStr">
        <is>
          <t>J123</t>
        </is>
      </c>
      <c r="C562" s="40" t="n">
        <v>123</v>
      </c>
      <c r="D562" s="40" t="inlineStr">
        <is>
          <t>Home page</t>
        </is>
      </c>
      <c r="E562" s="40" t="inlineStr">
        <is>
          <t>Paid Search</t>
        </is>
      </c>
      <c r="F562" s="40" t="inlineStr">
        <is>
          <t>Mobile</t>
        </is>
      </c>
      <c r="G562" s="40" t="inlineStr">
        <is>
          <t>Portugal</t>
        </is>
      </c>
      <c r="H562" s="40" t="n">
        <v>16</v>
      </c>
      <c r="I562" s="40" t="inlineStr">
        <is>
          <t>Start Search</t>
        </is>
      </c>
      <c r="J562" s="40" t="inlineStr">
        <is>
          <t>1-23 August 2026</t>
        </is>
      </c>
      <c r="K562" s="55" t="n">
        <v>903</v>
      </c>
      <c r="L562" s="40" t="inlineStr">
        <is>
          <t>Visit→Engagement 1-23 August 2026</t>
        </is>
      </c>
      <c r="M562" s="40">
        <f>IF(Countries!J123="","STILL MISSING","Filled ✓")</f>
        <v/>
      </c>
    </row>
    <row r="563">
      <c r="A563" s="56" t="inlineStr">
        <is>
          <t>Countries</t>
        </is>
      </c>
      <c r="B563" s="56" t="inlineStr">
        <is>
          <t>AR175</t>
        </is>
      </c>
      <c r="C563" s="56" t="n">
        <v>175</v>
      </c>
      <c r="D563" s="56" t="inlineStr">
        <is>
          <t>Home page</t>
        </is>
      </c>
      <c r="E563" s="56" t="inlineStr">
        <is>
          <t>Organic</t>
        </is>
      </c>
      <c r="F563" s="56" t="inlineStr">
        <is>
          <t>Desktop</t>
        </is>
      </c>
      <c r="G563" s="56" t="inlineStr">
        <is>
          <t>Portugal</t>
        </is>
      </c>
      <c r="H563" s="56" t="n">
        <v>16</v>
      </c>
      <c r="I563" s="56" t="inlineStr">
        <is>
          <t>Purchases</t>
        </is>
      </c>
      <c r="J563" s="56" t="inlineStr">
        <is>
          <t>1-23 August 2025</t>
        </is>
      </c>
      <c r="K563" s="57" t="n">
        <v>164</v>
      </c>
      <c r="L563" s="56" t="inlineStr">
        <is>
          <t>CR 1-23 August 2025 + Search→Booking 1-23 August 2025</t>
        </is>
      </c>
      <c r="M563" s="40">
        <f>IF(Countries!AR175="","STILL MISSING","Filled ✓")</f>
        <v/>
      </c>
    </row>
    <row r="564">
      <c r="A564" s="40" t="inlineStr">
        <is>
          <t>Countries</t>
        </is>
      </c>
      <c r="B564" s="40" t="inlineStr">
        <is>
          <t>AS175</t>
        </is>
      </c>
      <c r="C564" s="40" t="n">
        <v>175</v>
      </c>
      <c r="D564" s="40" t="inlineStr">
        <is>
          <t>Home page</t>
        </is>
      </c>
      <c r="E564" s="40" t="inlineStr">
        <is>
          <t>Organic</t>
        </is>
      </c>
      <c r="F564" s="40" t="inlineStr">
        <is>
          <t>Desktop</t>
        </is>
      </c>
      <c r="G564" s="40" t="inlineStr">
        <is>
          <t>Portugal</t>
        </is>
      </c>
      <c r="H564" s="40" t="n">
        <v>16</v>
      </c>
      <c r="I564" s="40" t="inlineStr">
        <is>
          <t>Purchases</t>
        </is>
      </c>
      <c r="J564" s="40" t="inlineStr">
        <is>
          <t>1-23 August 2026</t>
        </is>
      </c>
      <c r="K564" s="55" t="n">
        <v>164</v>
      </c>
      <c r="L564" s="40" t="inlineStr">
        <is>
          <t>CR 1-23 August 2026 + Search→Booking 1-23 August 2026</t>
        </is>
      </c>
      <c r="M564" s="40">
        <f>IF(Countries!AS175="","STILL MISSING","Filled ✓")</f>
        <v/>
      </c>
    </row>
    <row r="565">
      <c r="A565" s="56" t="inlineStr">
        <is>
          <t>Countries</t>
        </is>
      </c>
      <c r="B565" s="56" t="inlineStr">
        <is>
          <t>W175</t>
        </is>
      </c>
      <c r="C565" s="56" t="n">
        <v>175</v>
      </c>
      <c r="D565" s="56" t="inlineStr">
        <is>
          <t>Home page</t>
        </is>
      </c>
      <c r="E565" s="56" t="inlineStr">
        <is>
          <t>Organic</t>
        </is>
      </c>
      <c r="F565" s="56" t="inlineStr">
        <is>
          <t>Desktop</t>
        </is>
      </c>
      <c r="G565" s="56" t="inlineStr">
        <is>
          <t>Portugal</t>
        </is>
      </c>
      <c r="H565" s="56" t="n">
        <v>16</v>
      </c>
      <c r="I565" s="56" t="inlineStr">
        <is>
          <t>Select item</t>
        </is>
      </c>
      <c r="J565" s="56" t="inlineStr">
        <is>
          <t>1-23 August 2025</t>
        </is>
      </c>
      <c r="K565" s="57" t="n">
        <v>164</v>
      </c>
      <c r="L565" s="56" t="inlineStr">
        <is>
          <t>Search→Select 1-23 August 2025</t>
        </is>
      </c>
      <c r="M565" s="40">
        <f>IF(Countries!W175="","STILL MISSING","Filled ✓")</f>
        <v/>
      </c>
    </row>
    <row r="566">
      <c r="A566" s="40" t="inlineStr">
        <is>
          <t>Countries</t>
        </is>
      </c>
      <c r="B566" s="40" t="inlineStr">
        <is>
          <t>X175</t>
        </is>
      </c>
      <c r="C566" s="40" t="n">
        <v>175</v>
      </c>
      <c r="D566" s="40" t="inlineStr">
        <is>
          <t>Home page</t>
        </is>
      </c>
      <c r="E566" s="40" t="inlineStr">
        <is>
          <t>Organic</t>
        </is>
      </c>
      <c r="F566" s="40" t="inlineStr">
        <is>
          <t>Desktop</t>
        </is>
      </c>
      <c r="G566" s="40" t="inlineStr">
        <is>
          <t>Portugal</t>
        </is>
      </c>
      <c r="H566" s="40" t="n">
        <v>16</v>
      </c>
      <c r="I566" s="40" t="inlineStr">
        <is>
          <t>Select item</t>
        </is>
      </c>
      <c r="J566" s="40" t="inlineStr">
        <is>
          <t>1-23 August 2026</t>
        </is>
      </c>
      <c r="K566" s="55" t="n">
        <v>164</v>
      </c>
      <c r="L566" s="40" t="inlineStr">
        <is>
          <t>Search→Select 1-23 August 2026</t>
        </is>
      </c>
      <c r="M566" s="40">
        <f>IF(Countries!X175="","STILL MISSING","Filled ✓")</f>
        <v/>
      </c>
    </row>
    <row r="567">
      <c r="A567" s="56" t="inlineStr">
        <is>
          <t>Countries</t>
        </is>
      </c>
      <c r="B567" s="56" t="inlineStr">
        <is>
          <t>I175</t>
        </is>
      </c>
      <c r="C567" s="56" t="n">
        <v>175</v>
      </c>
      <c r="D567" s="56" t="inlineStr">
        <is>
          <t>Home page</t>
        </is>
      </c>
      <c r="E567" s="56" t="inlineStr">
        <is>
          <t>Organic</t>
        </is>
      </c>
      <c r="F567" s="56" t="inlineStr">
        <is>
          <t>Desktop</t>
        </is>
      </c>
      <c r="G567" s="56" t="inlineStr">
        <is>
          <t>Portugal</t>
        </is>
      </c>
      <c r="H567" s="56" t="n">
        <v>16</v>
      </c>
      <c r="I567" s="56" t="inlineStr">
        <is>
          <t>Start Search</t>
        </is>
      </c>
      <c r="J567" s="56" t="inlineStr">
        <is>
          <t>1-23 August 2025</t>
        </is>
      </c>
      <c r="K567" s="57" t="n">
        <v>164</v>
      </c>
      <c r="L567" s="56" t="inlineStr">
        <is>
          <t>Visit→Engagement 1-23 August 2025</t>
        </is>
      </c>
      <c r="M567" s="40">
        <f>IF(Countries!I175="","STILL MISSING","Filled ✓")</f>
        <v/>
      </c>
    </row>
    <row r="568">
      <c r="A568" s="40" t="inlineStr">
        <is>
          <t>Countries</t>
        </is>
      </c>
      <c r="B568" s="40" t="inlineStr">
        <is>
          <t>J175</t>
        </is>
      </c>
      <c r="C568" s="40" t="n">
        <v>175</v>
      </c>
      <c r="D568" s="40" t="inlineStr">
        <is>
          <t>Home page</t>
        </is>
      </c>
      <c r="E568" s="40" t="inlineStr">
        <is>
          <t>Organic</t>
        </is>
      </c>
      <c r="F568" s="40" t="inlineStr">
        <is>
          <t>Desktop</t>
        </is>
      </c>
      <c r="G568" s="40" t="inlineStr">
        <is>
          <t>Portugal</t>
        </is>
      </c>
      <c r="H568" s="40" t="n">
        <v>16</v>
      </c>
      <c r="I568" s="40" t="inlineStr">
        <is>
          <t>Start Search</t>
        </is>
      </c>
      <c r="J568" s="40" t="inlineStr">
        <is>
          <t>1-23 August 2026</t>
        </is>
      </c>
      <c r="K568" s="55" t="n">
        <v>164</v>
      </c>
      <c r="L568" s="40" t="inlineStr">
        <is>
          <t>Visit→Engagement 1-23 August 2026</t>
        </is>
      </c>
      <c r="M568" s="40">
        <f>IF(Countries!J175="","STILL MISSING","Filled ✓")</f>
        <v/>
      </c>
    </row>
    <row r="569">
      <c r="A569" s="56" t="inlineStr">
        <is>
          <t>Countries</t>
        </is>
      </c>
      <c r="B569" s="56" t="inlineStr">
        <is>
          <t>AR160</t>
        </is>
      </c>
      <c r="C569" s="56" t="n">
        <v>160</v>
      </c>
      <c r="D569" s="56" t="inlineStr">
        <is>
          <t>Home page</t>
        </is>
      </c>
      <c r="E569" s="56" t="inlineStr">
        <is>
          <t>Organic</t>
        </is>
      </c>
      <c r="F569" s="56" t="inlineStr">
        <is>
          <t>Mobile</t>
        </is>
      </c>
      <c r="G569" s="56" t="inlineStr">
        <is>
          <t>Portugal</t>
        </is>
      </c>
      <c r="H569" s="56" t="n">
        <v>16</v>
      </c>
      <c r="I569" s="56" t="inlineStr">
        <is>
          <t>Purchases</t>
        </is>
      </c>
      <c r="J569" s="56" t="inlineStr">
        <is>
          <t>1-23 August 2025</t>
        </is>
      </c>
      <c r="K569" s="57" t="n">
        <v>114</v>
      </c>
      <c r="L569" s="56" t="inlineStr">
        <is>
          <t>CR 1-23 August 2025</t>
        </is>
      </c>
      <c r="M569" s="40">
        <f>IF(Countries!AR160="","STILL MISSING","Filled ✓")</f>
        <v/>
      </c>
    </row>
    <row r="570">
      <c r="A570" s="40" t="inlineStr">
        <is>
          <t>Countries</t>
        </is>
      </c>
      <c r="B570" s="40" t="inlineStr">
        <is>
          <t>AS160</t>
        </is>
      </c>
      <c r="C570" s="40" t="n">
        <v>160</v>
      </c>
      <c r="D570" s="40" t="inlineStr">
        <is>
          <t>Home page</t>
        </is>
      </c>
      <c r="E570" s="40" t="inlineStr">
        <is>
          <t>Organic</t>
        </is>
      </c>
      <c r="F570" s="40" t="inlineStr">
        <is>
          <t>Mobile</t>
        </is>
      </c>
      <c r="G570" s="40" t="inlineStr">
        <is>
          <t>Portugal</t>
        </is>
      </c>
      <c r="H570" s="40" t="n">
        <v>16</v>
      </c>
      <c r="I570" s="40" t="inlineStr">
        <is>
          <t>Purchases</t>
        </is>
      </c>
      <c r="J570" s="40" t="inlineStr">
        <is>
          <t>1-23 August 2026</t>
        </is>
      </c>
      <c r="K570" s="55" t="n">
        <v>114</v>
      </c>
      <c r="L570" s="40" t="inlineStr">
        <is>
          <t>CR 1-23 August 2026 + Search→Booking 1-23 August 2026</t>
        </is>
      </c>
      <c r="M570" s="40">
        <f>IF(Countries!AS160="","STILL MISSING","Filled ✓")</f>
        <v/>
      </c>
    </row>
    <row r="571">
      <c r="A571" s="56" t="inlineStr">
        <is>
          <t>Countries</t>
        </is>
      </c>
      <c r="B571" s="56" t="inlineStr">
        <is>
          <t>P160</t>
        </is>
      </c>
      <c r="C571" s="56" t="n">
        <v>160</v>
      </c>
      <c r="D571" s="56" t="inlineStr">
        <is>
          <t>Home page</t>
        </is>
      </c>
      <c r="E571" s="56" t="inlineStr">
        <is>
          <t>Organic</t>
        </is>
      </c>
      <c r="F571" s="56" t="inlineStr">
        <is>
          <t>Mobile</t>
        </is>
      </c>
      <c r="G571" s="56" t="inlineStr">
        <is>
          <t>Portugal</t>
        </is>
      </c>
      <c r="H571" s="56" t="n">
        <v>16</v>
      </c>
      <c r="I571" s="56" t="inlineStr">
        <is>
          <t>Searches</t>
        </is>
      </c>
      <c r="J571" s="56" t="inlineStr">
        <is>
          <t>1-23 August 2025</t>
        </is>
      </c>
      <c r="K571" s="57" t="n">
        <v>114</v>
      </c>
      <c r="L571" s="56" t="inlineStr">
        <is>
          <t>Searches YoY + Visit→Search 1-23 August 2025</t>
        </is>
      </c>
      <c r="M571" s="40">
        <f>IF(Countries!P160="","STILL MISSING","Filled ✓")</f>
        <v/>
      </c>
    </row>
    <row r="572">
      <c r="A572" s="40" t="inlineStr">
        <is>
          <t>Countries</t>
        </is>
      </c>
      <c r="B572" s="40" t="inlineStr">
        <is>
          <t>X160</t>
        </is>
      </c>
      <c r="C572" s="40" t="n">
        <v>160</v>
      </c>
      <c r="D572" s="40" t="inlineStr">
        <is>
          <t>Home page</t>
        </is>
      </c>
      <c r="E572" s="40" t="inlineStr">
        <is>
          <t>Organic</t>
        </is>
      </c>
      <c r="F572" s="40" t="inlineStr">
        <is>
          <t>Mobile</t>
        </is>
      </c>
      <c r="G572" s="40" t="inlineStr">
        <is>
          <t>Portugal</t>
        </is>
      </c>
      <c r="H572" s="40" t="n">
        <v>16</v>
      </c>
      <c r="I572" s="40" t="inlineStr">
        <is>
          <t>Select item</t>
        </is>
      </c>
      <c r="J572" s="40" t="inlineStr">
        <is>
          <t>1-23 August 2026</t>
        </is>
      </c>
      <c r="K572" s="55" t="n">
        <v>114</v>
      </c>
      <c r="L572" s="40" t="inlineStr">
        <is>
          <t>Search→Select 1-23 August 2026</t>
        </is>
      </c>
      <c r="M572" s="40">
        <f>IF(Countries!X160="","STILL MISSING","Filled ✓")</f>
        <v/>
      </c>
    </row>
    <row r="573">
      <c r="A573" s="56" t="inlineStr">
        <is>
          <t>Countries</t>
        </is>
      </c>
      <c r="B573" s="56" t="inlineStr">
        <is>
          <t>I160</t>
        </is>
      </c>
      <c r="C573" s="56" t="n">
        <v>160</v>
      </c>
      <c r="D573" s="56" t="inlineStr">
        <is>
          <t>Home page</t>
        </is>
      </c>
      <c r="E573" s="56" t="inlineStr">
        <is>
          <t>Organic</t>
        </is>
      </c>
      <c r="F573" s="56" t="inlineStr">
        <is>
          <t>Mobile</t>
        </is>
      </c>
      <c r="G573" s="56" t="inlineStr">
        <is>
          <t>Portugal</t>
        </is>
      </c>
      <c r="H573" s="56" t="n">
        <v>16</v>
      </c>
      <c r="I573" s="56" t="inlineStr">
        <is>
          <t>Start Search</t>
        </is>
      </c>
      <c r="J573" s="56" t="inlineStr">
        <is>
          <t>1-23 August 2025</t>
        </is>
      </c>
      <c r="K573" s="57" t="n">
        <v>114</v>
      </c>
      <c r="L573" s="56" t="inlineStr">
        <is>
          <t>Visit→Engagement 1-23 August 2025</t>
        </is>
      </c>
      <c r="M573" s="40">
        <f>IF(Countries!I160="","STILL MISSING","Filled ✓")</f>
        <v/>
      </c>
    </row>
    <row r="574">
      <c r="A574" s="40" t="inlineStr">
        <is>
          <t>Countries</t>
        </is>
      </c>
      <c r="B574" s="40" t="inlineStr">
        <is>
          <t>J160</t>
        </is>
      </c>
      <c r="C574" s="40" t="n">
        <v>160</v>
      </c>
      <c r="D574" s="40" t="inlineStr">
        <is>
          <t>Home page</t>
        </is>
      </c>
      <c r="E574" s="40" t="inlineStr">
        <is>
          <t>Organic</t>
        </is>
      </c>
      <c r="F574" s="40" t="inlineStr">
        <is>
          <t>Mobile</t>
        </is>
      </c>
      <c r="G574" s="40" t="inlineStr">
        <is>
          <t>Portugal</t>
        </is>
      </c>
      <c r="H574" s="40" t="n">
        <v>16</v>
      </c>
      <c r="I574" s="40" t="inlineStr">
        <is>
          <t>Start Search</t>
        </is>
      </c>
      <c r="J574" s="40" t="inlineStr">
        <is>
          <t>1-23 August 2026</t>
        </is>
      </c>
      <c r="K574" s="55" t="n">
        <v>114</v>
      </c>
      <c r="L574" s="40" t="inlineStr">
        <is>
          <t>Visit→Engagement 1-23 August 2026</t>
        </is>
      </c>
      <c r="M574" s="40">
        <f>IF(Countries!J160="","STILL MISSING","Filled ✓")</f>
        <v/>
      </c>
    </row>
    <row r="575">
      <c r="A575" s="56" t="inlineStr">
        <is>
          <t>Countries</t>
        </is>
      </c>
      <c r="B575" s="56" t="inlineStr">
        <is>
          <t>AS214</t>
        </is>
      </c>
      <c r="C575" s="56" t="n">
        <v>214</v>
      </c>
      <c r="D575" s="56" t="inlineStr">
        <is>
          <t>Home page</t>
        </is>
      </c>
      <c r="E575" s="56" t="inlineStr">
        <is>
          <t>Direct</t>
        </is>
      </c>
      <c r="F575" s="56" t="inlineStr">
        <is>
          <t>Desktop</t>
        </is>
      </c>
      <c r="G575" s="56" t="inlineStr">
        <is>
          <t>Portugal</t>
        </is>
      </c>
      <c r="H575" s="56" t="n">
        <v>16</v>
      </c>
      <c r="I575" s="56" t="inlineStr">
        <is>
          <t>Purchases</t>
        </is>
      </c>
      <c r="J575" s="56" t="inlineStr">
        <is>
          <t>1-23 August 2026</t>
        </is>
      </c>
      <c r="K575" s="57" t="n">
        <v>202</v>
      </c>
      <c r="L575" s="56" t="inlineStr">
        <is>
          <t>CR 1-23 August 2026 + Search→Booking 1-23 August 2026</t>
        </is>
      </c>
      <c r="M575" s="40">
        <f>IF(Countries!AS214="","STILL MISSING","Filled ✓")</f>
        <v/>
      </c>
    </row>
    <row r="576">
      <c r="A576" s="40" t="inlineStr">
        <is>
          <t>Countries</t>
        </is>
      </c>
      <c r="B576" s="40" t="inlineStr">
        <is>
          <t>P214</t>
        </is>
      </c>
      <c r="C576" s="40" t="n">
        <v>214</v>
      </c>
      <c r="D576" s="40" t="inlineStr">
        <is>
          <t>Home page</t>
        </is>
      </c>
      <c r="E576" s="40" t="inlineStr">
        <is>
          <t>Direct</t>
        </is>
      </c>
      <c r="F576" s="40" t="inlineStr">
        <is>
          <t>Desktop</t>
        </is>
      </c>
      <c r="G576" s="40" t="inlineStr">
        <is>
          <t>Portugal</t>
        </is>
      </c>
      <c r="H576" s="40" t="n">
        <v>16</v>
      </c>
      <c r="I576" s="40" t="inlineStr">
        <is>
          <t>Searches</t>
        </is>
      </c>
      <c r="J576" s="40" t="inlineStr">
        <is>
          <t>1-23 August 2025</t>
        </is>
      </c>
      <c r="K576" s="55" t="n">
        <v>202</v>
      </c>
      <c r="L576" s="40" t="inlineStr">
        <is>
          <t>Searches YoY</t>
        </is>
      </c>
      <c r="M576" s="40">
        <f>IF(Countries!P214="","STILL MISSING","Filled ✓")</f>
        <v/>
      </c>
    </row>
    <row r="577">
      <c r="A577" s="56" t="inlineStr">
        <is>
          <t>Countries</t>
        </is>
      </c>
      <c r="B577" s="56" t="inlineStr">
        <is>
          <t>X214</t>
        </is>
      </c>
      <c r="C577" s="56" t="n">
        <v>214</v>
      </c>
      <c r="D577" s="56" t="inlineStr">
        <is>
          <t>Home page</t>
        </is>
      </c>
      <c r="E577" s="56" t="inlineStr">
        <is>
          <t>Direct</t>
        </is>
      </c>
      <c r="F577" s="56" t="inlineStr">
        <is>
          <t>Desktop</t>
        </is>
      </c>
      <c r="G577" s="56" t="inlineStr">
        <is>
          <t>Portugal</t>
        </is>
      </c>
      <c r="H577" s="56" t="n">
        <v>16</v>
      </c>
      <c r="I577" s="56" t="inlineStr">
        <is>
          <t>Select item</t>
        </is>
      </c>
      <c r="J577" s="56" t="inlineStr">
        <is>
          <t>1-23 August 2026</t>
        </is>
      </c>
      <c r="K577" s="57" t="n">
        <v>202</v>
      </c>
      <c r="L577" s="56" t="inlineStr">
        <is>
          <t>Search→Select 1-23 August 2026</t>
        </is>
      </c>
      <c r="M577" s="40">
        <f>IF(Countries!X214="","STILL MISSING","Filled ✓")</f>
        <v/>
      </c>
    </row>
    <row r="578">
      <c r="A578" s="40" t="inlineStr">
        <is>
          <t>Countries</t>
        </is>
      </c>
      <c r="B578" s="40" t="inlineStr">
        <is>
          <t>E214</t>
        </is>
      </c>
      <c r="C578" s="40" t="n">
        <v>214</v>
      </c>
      <c r="D578" s="40" t="inlineStr">
        <is>
          <t>Home page</t>
        </is>
      </c>
      <c r="E578" s="40" t="inlineStr">
        <is>
          <t>Direct</t>
        </is>
      </c>
      <c r="F578" s="40" t="inlineStr">
        <is>
          <t>Desktop</t>
        </is>
      </c>
      <c r="G578" s="40" t="inlineStr">
        <is>
          <t>Portugal</t>
        </is>
      </c>
      <c r="H578" s="40" t="n">
        <v>16</v>
      </c>
      <c r="I578" s="40" t="inlineStr">
        <is>
          <t>Sessions</t>
        </is>
      </c>
      <c r="J578" s="40" t="inlineStr">
        <is>
          <t>1-23 August 2025</t>
        </is>
      </c>
      <c r="K578" s="55" t="n">
        <v>202</v>
      </c>
      <c r="L578" s="40" t="inlineStr">
        <is>
          <t>Sessions YoY</t>
        </is>
      </c>
      <c r="M578" s="40">
        <f>IF(Countries!E214="","STILL MISSING","Filled ✓")</f>
        <v/>
      </c>
    </row>
    <row r="579">
      <c r="A579" s="56" t="inlineStr">
        <is>
          <t>Countries</t>
        </is>
      </c>
      <c r="B579" s="56" t="inlineStr">
        <is>
          <t>J214</t>
        </is>
      </c>
      <c r="C579" s="56" t="n">
        <v>214</v>
      </c>
      <c r="D579" s="56" t="inlineStr">
        <is>
          <t>Home page</t>
        </is>
      </c>
      <c r="E579" s="56" t="inlineStr">
        <is>
          <t>Direct</t>
        </is>
      </c>
      <c r="F579" s="56" t="inlineStr">
        <is>
          <t>Desktop</t>
        </is>
      </c>
      <c r="G579" s="56" t="inlineStr">
        <is>
          <t>Portugal</t>
        </is>
      </c>
      <c r="H579" s="56" t="n">
        <v>16</v>
      </c>
      <c r="I579" s="56" t="inlineStr">
        <is>
          <t>Start Search</t>
        </is>
      </c>
      <c r="J579" s="56" t="inlineStr">
        <is>
          <t>1-23 August 2026</t>
        </is>
      </c>
      <c r="K579" s="57" t="n">
        <v>202</v>
      </c>
      <c r="L579" s="56" t="inlineStr">
        <is>
          <t>Visit→Engagement 1-23 August 2026</t>
        </is>
      </c>
      <c r="M579" s="40">
        <f>IF(Countries!J214="","STILL MISSING","Filled ✓")</f>
        <v/>
      </c>
    </row>
    <row r="580">
      <c r="A580" s="40" t="inlineStr">
        <is>
          <t>Countries</t>
        </is>
      </c>
      <c r="B580" s="40" t="inlineStr">
        <is>
          <t>AR198</t>
        </is>
      </c>
      <c r="C580" s="40" t="n">
        <v>198</v>
      </c>
      <c r="D580" s="40" t="inlineStr">
        <is>
          <t>Home page</t>
        </is>
      </c>
      <c r="E580" s="40" t="inlineStr">
        <is>
          <t>Direct</t>
        </is>
      </c>
      <c r="F580" s="40" t="inlineStr">
        <is>
          <t>Mobile</t>
        </is>
      </c>
      <c r="G580" s="40" t="inlineStr">
        <is>
          <t>Portugal</t>
        </is>
      </c>
      <c r="H580" s="40" t="n">
        <v>16</v>
      </c>
      <c r="I580" s="40" t="inlineStr">
        <is>
          <t>Purchases</t>
        </is>
      </c>
      <c r="J580" s="40" t="inlineStr">
        <is>
          <t>1-23 August 2025</t>
        </is>
      </c>
      <c r="K580" s="55" t="n">
        <v>198</v>
      </c>
      <c r="L580" s="40" t="inlineStr">
        <is>
          <t>CR 1-23 August 2025</t>
        </is>
      </c>
      <c r="M580" s="40">
        <f>IF(Countries!AR198="","STILL MISSING","Filled ✓")</f>
        <v/>
      </c>
    </row>
    <row r="581">
      <c r="A581" s="56" t="inlineStr">
        <is>
          <t>Countries</t>
        </is>
      </c>
      <c r="B581" s="56" t="inlineStr">
        <is>
          <t>P198</t>
        </is>
      </c>
      <c r="C581" s="56" t="n">
        <v>198</v>
      </c>
      <c r="D581" s="56" t="inlineStr">
        <is>
          <t>Home page</t>
        </is>
      </c>
      <c r="E581" s="56" t="inlineStr">
        <is>
          <t>Direct</t>
        </is>
      </c>
      <c r="F581" s="56" t="inlineStr">
        <is>
          <t>Mobile</t>
        </is>
      </c>
      <c r="G581" s="56" t="inlineStr">
        <is>
          <t>Portugal</t>
        </is>
      </c>
      <c r="H581" s="56" t="n">
        <v>16</v>
      </c>
      <c r="I581" s="56" t="inlineStr">
        <is>
          <t>Searches</t>
        </is>
      </c>
      <c r="J581" s="56" t="inlineStr">
        <is>
          <t>1-23 August 2025</t>
        </is>
      </c>
      <c r="K581" s="57" t="n">
        <v>198</v>
      </c>
      <c r="L581" s="56" t="inlineStr">
        <is>
          <t>Visit→Search 1-23 August 2025</t>
        </is>
      </c>
      <c r="M581" s="40">
        <f>IF(Countries!P198="","STILL MISSING","Filled ✓")</f>
        <v/>
      </c>
    </row>
    <row r="582">
      <c r="A582" s="40" t="inlineStr">
        <is>
          <t>Countries</t>
        </is>
      </c>
      <c r="B582" s="40" t="inlineStr">
        <is>
          <t>F198</t>
        </is>
      </c>
      <c r="C582" s="40" t="n">
        <v>198</v>
      </c>
      <c r="D582" s="40" t="inlineStr">
        <is>
          <t>Home page</t>
        </is>
      </c>
      <c r="E582" s="40" t="inlineStr">
        <is>
          <t>Direct</t>
        </is>
      </c>
      <c r="F582" s="40" t="inlineStr">
        <is>
          <t>Mobile</t>
        </is>
      </c>
      <c r="G582" s="40" t="inlineStr">
        <is>
          <t>Portugal</t>
        </is>
      </c>
      <c r="H582" s="40" t="n">
        <v>16</v>
      </c>
      <c r="I582" s="40" t="inlineStr">
        <is>
          <t>Sessions</t>
        </is>
      </c>
      <c r="J582" s="40" t="inlineStr">
        <is>
          <t>1-23 August 2026</t>
        </is>
      </c>
      <c r="K582" s="55" t="n">
        <v>198</v>
      </c>
      <c r="L582" s="40" t="inlineStr">
        <is>
          <t>Sessions YoY</t>
        </is>
      </c>
      <c r="M582" s="40">
        <f>IF(Countries!F198="","STILL MISSING","Filled ✓")</f>
        <v/>
      </c>
    </row>
    <row r="583">
      <c r="A583" s="56" t="inlineStr">
        <is>
          <t>Countries</t>
        </is>
      </c>
      <c r="B583" s="56" t="inlineStr">
        <is>
          <t>I198</t>
        </is>
      </c>
      <c r="C583" s="56" t="n">
        <v>198</v>
      </c>
      <c r="D583" s="56" t="inlineStr">
        <is>
          <t>Home page</t>
        </is>
      </c>
      <c r="E583" s="56" t="inlineStr">
        <is>
          <t>Direct</t>
        </is>
      </c>
      <c r="F583" s="56" t="inlineStr">
        <is>
          <t>Mobile</t>
        </is>
      </c>
      <c r="G583" s="56" t="inlineStr">
        <is>
          <t>Portugal</t>
        </is>
      </c>
      <c r="H583" s="56" t="n">
        <v>16</v>
      </c>
      <c r="I583" s="56" t="inlineStr">
        <is>
          <t>Start Search</t>
        </is>
      </c>
      <c r="J583" s="56" t="inlineStr">
        <is>
          <t>1-23 August 2025</t>
        </is>
      </c>
      <c r="K583" s="57" t="n">
        <v>198</v>
      </c>
      <c r="L583" s="56" t="inlineStr">
        <is>
          <t>Visit→Engagement 1-23 August 2025</t>
        </is>
      </c>
      <c r="M583" s="40">
        <f>IF(Countries!I198="","STILL MISSING","Filled ✓")</f>
        <v/>
      </c>
    </row>
    <row r="584">
      <c r="A584" s="40" t="inlineStr">
        <is>
          <t>Countries</t>
        </is>
      </c>
      <c r="B584" s="40" t="inlineStr">
        <is>
          <t>AR239</t>
        </is>
      </c>
      <c r="C584" s="40" t="n">
        <v>239</v>
      </c>
      <c r="D584" s="40" t="inlineStr">
        <is>
          <t>Airport page</t>
        </is>
      </c>
      <c r="E584" s="40" t="inlineStr">
        <is>
          <t>Paid Search</t>
        </is>
      </c>
      <c r="F584" s="40" t="inlineStr">
        <is>
          <t>Mobile</t>
        </is>
      </c>
      <c r="G584" s="40" t="inlineStr">
        <is>
          <t>Portugal</t>
        </is>
      </c>
      <c r="H584" s="40" t="n">
        <v>16</v>
      </c>
      <c r="I584" s="40" t="inlineStr">
        <is>
          <t>Purchases</t>
        </is>
      </c>
      <c r="J584" s="40" t="inlineStr">
        <is>
          <t>1-23 August 2025</t>
        </is>
      </c>
      <c r="K584" s="55" t="n">
        <v>393</v>
      </c>
      <c r="L584" s="40" t="inlineStr">
        <is>
          <t>Search→Booking 1-23 August 2025</t>
        </is>
      </c>
      <c r="M584" s="40">
        <f>IF(Countries!AR239="","STILL MISSING","Filled ✓")</f>
        <v/>
      </c>
    </row>
    <row r="585">
      <c r="A585" s="56" t="inlineStr">
        <is>
          <t>Countries</t>
        </is>
      </c>
      <c r="B585" s="56" t="inlineStr">
        <is>
          <t>Q239</t>
        </is>
      </c>
      <c r="C585" s="56" t="n">
        <v>239</v>
      </c>
      <c r="D585" s="56" t="inlineStr">
        <is>
          <t>Airport page</t>
        </is>
      </c>
      <c r="E585" s="56" t="inlineStr">
        <is>
          <t>Paid Search</t>
        </is>
      </c>
      <c r="F585" s="56" t="inlineStr">
        <is>
          <t>Mobile</t>
        </is>
      </c>
      <c r="G585" s="56" t="inlineStr">
        <is>
          <t>Portugal</t>
        </is>
      </c>
      <c r="H585" s="56" t="n">
        <v>16</v>
      </c>
      <c r="I585" s="56" t="inlineStr">
        <is>
          <t>Searches</t>
        </is>
      </c>
      <c r="J585" s="56" t="inlineStr">
        <is>
          <t>1-23 August 2026</t>
        </is>
      </c>
      <c r="K585" s="57" t="n">
        <v>393</v>
      </c>
      <c r="L585" s="56" t="inlineStr">
        <is>
          <t>Searches YoY</t>
        </is>
      </c>
      <c r="M585" s="40">
        <f>IF(Countries!Q239="","STILL MISSING","Filled ✓")</f>
        <v/>
      </c>
    </row>
    <row r="586">
      <c r="A586" s="40" t="inlineStr">
        <is>
          <t>Countries</t>
        </is>
      </c>
      <c r="B586" s="40" t="inlineStr">
        <is>
          <t>W239</t>
        </is>
      </c>
      <c r="C586" s="40" t="n">
        <v>239</v>
      </c>
      <c r="D586" s="40" t="inlineStr">
        <is>
          <t>Airport page</t>
        </is>
      </c>
      <c r="E586" s="40" t="inlineStr">
        <is>
          <t>Paid Search</t>
        </is>
      </c>
      <c r="F586" s="40" t="inlineStr">
        <is>
          <t>Mobile</t>
        </is>
      </c>
      <c r="G586" s="40" t="inlineStr">
        <is>
          <t>Portugal</t>
        </is>
      </c>
      <c r="H586" s="40" t="n">
        <v>16</v>
      </c>
      <c r="I586" s="40" t="inlineStr">
        <is>
          <t>Select item</t>
        </is>
      </c>
      <c r="J586" s="40" t="inlineStr">
        <is>
          <t>1-23 August 2025</t>
        </is>
      </c>
      <c r="K586" s="55" t="n">
        <v>393</v>
      </c>
      <c r="L586" s="40" t="inlineStr">
        <is>
          <t>Search→Select 1-23 August 2025</t>
        </is>
      </c>
      <c r="M586" s="40">
        <f>IF(Countries!W239="","STILL MISSING","Filled ✓")</f>
        <v/>
      </c>
    </row>
    <row r="587">
      <c r="A587" s="56" t="inlineStr">
        <is>
          <t>Countries</t>
        </is>
      </c>
      <c r="B587" s="56" t="inlineStr">
        <is>
          <t>E239</t>
        </is>
      </c>
      <c r="C587" s="56" t="n">
        <v>239</v>
      </c>
      <c r="D587" s="56" t="inlineStr">
        <is>
          <t>Airport page</t>
        </is>
      </c>
      <c r="E587" s="56" t="inlineStr">
        <is>
          <t>Paid Search</t>
        </is>
      </c>
      <c r="F587" s="56" t="inlineStr">
        <is>
          <t>Mobile</t>
        </is>
      </c>
      <c r="G587" s="56" t="inlineStr">
        <is>
          <t>Portugal</t>
        </is>
      </c>
      <c r="H587" s="56" t="n">
        <v>16</v>
      </c>
      <c r="I587" s="56" t="inlineStr">
        <is>
          <t>Sessions</t>
        </is>
      </c>
      <c r="J587" s="56" t="inlineStr">
        <is>
          <t>1-23 August 2025</t>
        </is>
      </c>
      <c r="K587" s="57" t="n">
        <v>393</v>
      </c>
      <c r="L587" s="56" t="inlineStr">
        <is>
          <t>Visit→Search 1-23 August 2025</t>
        </is>
      </c>
      <c r="M587" s="40">
        <f>IF(Countries!E239="","STILL MISSING","Filled ✓")</f>
        <v/>
      </c>
    </row>
    <row r="588">
      <c r="A588" s="40" t="inlineStr">
        <is>
          <t>Countries</t>
        </is>
      </c>
      <c r="B588" s="40" t="inlineStr">
        <is>
          <t>AR280</t>
        </is>
      </c>
      <c r="C588" s="40" t="n">
        <v>280</v>
      </c>
      <c r="D588" s="40" t="inlineStr">
        <is>
          <t>Airport page</t>
        </is>
      </c>
      <c r="E588" s="40" t="inlineStr">
        <is>
          <t>Organic</t>
        </is>
      </c>
      <c r="F588" s="40" t="inlineStr">
        <is>
          <t>Desktop</t>
        </is>
      </c>
      <c r="G588" s="40" t="inlineStr">
        <is>
          <t>Portugal</t>
        </is>
      </c>
      <c r="H588" s="40" t="n">
        <v>16</v>
      </c>
      <c r="I588" s="40" t="inlineStr">
        <is>
          <t>Purchases</t>
        </is>
      </c>
      <c r="J588" s="40" t="inlineStr">
        <is>
          <t>1-23 August 2025</t>
        </is>
      </c>
      <c r="K588" s="55" t="n">
        <v>163</v>
      </c>
      <c r="L588" s="40" t="inlineStr">
        <is>
          <t>CR 1-23 August 2025 + Search→Booking 1-23 August 2025</t>
        </is>
      </c>
      <c r="M588" s="40">
        <f>IF(Countries!AR280="","STILL MISSING","Filled ✓")</f>
        <v/>
      </c>
    </row>
    <row r="589">
      <c r="A589" s="56" t="inlineStr">
        <is>
          <t>Countries</t>
        </is>
      </c>
      <c r="B589" s="56" t="inlineStr">
        <is>
          <t>AS280</t>
        </is>
      </c>
      <c r="C589" s="56" t="n">
        <v>280</v>
      </c>
      <c r="D589" s="56" t="inlineStr">
        <is>
          <t>Airport page</t>
        </is>
      </c>
      <c r="E589" s="56" t="inlineStr">
        <is>
          <t>Organic</t>
        </is>
      </c>
      <c r="F589" s="56" t="inlineStr">
        <is>
          <t>Desktop</t>
        </is>
      </c>
      <c r="G589" s="56" t="inlineStr">
        <is>
          <t>Portugal</t>
        </is>
      </c>
      <c r="H589" s="56" t="n">
        <v>16</v>
      </c>
      <c r="I589" s="56" t="inlineStr">
        <is>
          <t>Purchases</t>
        </is>
      </c>
      <c r="J589" s="56" t="inlineStr">
        <is>
          <t>1-23 August 2026</t>
        </is>
      </c>
      <c r="K589" s="57" t="n">
        <v>163</v>
      </c>
      <c r="L589" s="56" t="inlineStr">
        <is>
          <t>CR 1-23 August 2026 + Search→Booking 1-23 August 2026</t>
        </is>
      </c>
      <c r="M589" s="40">
        <f>IF(Countries!AS280="","STILL MISSING","Filled ✓")</f>
        <v/>
      </c>
    </row>
    <row r="590">
      <c r="A590" s="40" t="inlineStr">
        <is>
          <t>Countries</t>
        </is>
      </c>
      <c r="B590" s="40" t="inlineStr">
        <is>
          <t>W280</t>
        </is>
      </c>
      <c r="C590" s="40" t="n">
        <v>280</v>
      </c>
      <c r="D590" s="40" t="inlineStr">
        <is>
          <t>Airport page</t>
        </is>
      </c>
      <c r="E590" s="40" t="inlineStr">
        <is>
          <t>Organic</t>
        </is>
      </c>
      <c r="F590" s="40" t="inlineStr">
        <is>
          <t>Desktop</t>
        </is>
      </c>
      <c r="G590" s="40" t="inlineStr">
        <is>
          <t>Portugal</t>
        </is>
      </c>
      <c r="H590" s="40" t="n">
        <v>16</v>
      </c>
      <c r="I590" s="40" t="inlineStr">
        <is>
          <t>Select item</t>
        </is>
      </c>
      <c r="J590" s="40" t="inlineStr">
        <is>
          <t>1-23 August 2025</t>
        </is>
      </c>
      <c r="K590" s="55" t="n">
        <v>163</v>
      </c>
      <c r="L590" s="40" t="inlineStr">
        <is>
          <t>Search→Select 1-23 August 2025</t>
        </is>
      </c>
      <c r="M590" s="40">
        <f>IF(Countries!W280="","STILL MISSING","Filled ✓")</f>
        <v/>
      </c>
    </row>
    <row r="591">
      <c r="A591" s="56" t="inlineStr">
        <is>
          <t>Countries</t>
        </is>
      </c>
      <c r="B591" s="56" t="inlineStr">
        <is>
          <t>X280</t>
        </is>
      </c>
      <c r="C591" s="56" t="n">
        <v>280</v>
      </c>
      <c r="D591" s="56" t="inlineStr">
        <is>
          <t>Airport page</t>
        </is>
      </c>
      <c r="E591" s="56" t="inlineStr">
        <is>
          <t>Organic</t>
        </is>
      </c>
      <c r="F591" s="56" t="inlineStr">
        <is>
          <t>Desktop</t>
        </is>
      </c>
      <c r="G591" s="56" t="inlineStr">
        <is>
          <t>Portugal</t>
        </is>
      </c>
      <c r="H591" s="56" t="n">
        <v>16</v>
      </c>
      <c r="I591" s="56" t="inlineStr">
        <is>
          <t>Select item</t>
        </is>
      </c>
      <c r="J591" s="56" t="inlineStr">
        <is>
          <t>1-23 August 2026</t>
        </is>
      </c>
      <c r="K591" s="57" t="n">
        <v>163</v>
      </c>
      <c r="L591" s="56" t="inlineStr">
        <is>
          <t>Search→Select 1-23 August 2026</t>
        </is>
      </c>
      <c r="M591" s="40">
        <f>IF(Countries!X280="","STILL MISSING","Filled ✓")</f>
        <v/>
      </c>
    </row>
    <row r="592">
      <c r="A592" s="40" t="inlineStr">
        <is>
          <t>Countries</t>
        </is>
      </c>
      <c r="B592" s="40" t="inlineStr">
        <is>
          <t>I280</t>
        </is>
      </c>
      <c r="C592" s="40" t="n">
        <v>280</v>
      </c>
      <c r="D592" s="40" t="inlineStr">
        <is>
          <t>Airport page</t>
        </is>
      </c>
      <c r="E592" s="40" t="inlineStr">
        <is>
          <t>Organic</t>
        </is>
      </c>
      <c r="F592" s="40" t="inlineStr">
        <is>
          <t>Desktop</t>
        </is>
      </c>
      <c r="G592" s="40" t="inlineStr">
        <is>
          <t>Portugal</t>
        </is>
      </c>
      <c r="H592" s="40" t="n">
        <v>16</v>
      </c>
      <c r="I592" s="40" t="inlineStr">
        <is>
          <t>Start Search</t>
        </is>
      </c>
      <c r="J592" s="40" t="inlineStr">
        <is>
          <t>1-23 August 2025</t>
        </is>
      </c>
      <c r="K592" s="55" t="n">
        <v>163</v>
      </c>
      <c r="L592" s="40" t="inlineStr">
        <is>
          <t>Visit→Engagement 1-23 August 2025</t>
        </is>
      </c>
      <c r="M592" s="40">
        <f>IF(Countries!I280="","STILL MISSING","Filled ✓")</f>
        <v/>
      </c>
    </row>
    <row r="593">
      <c r="A593" s="56" t="inlineStr">
        <is>
          <t>Countries</t>
        </is>
      </c>
      <c r="B593" s="56" t="inlineStr">
        <is>
          <t>J280</t>
        </is>
      </c>
      <c r="C593" s="56" t="n">
        <v>280</v>
      </c>
      <c r="D593" s="56" t="inlineStr">
        <is>
          <t>Airport page</t>
        </is>
      </c>
      <c r="E593" s="56" t="inlineStr">
        <is>
          <t>Organic</t>
        </is>
      </c>
      <c r="F593" s="56" t="inlineStr">
        <is>
          <t>Desktop</t>
        </is>
      </c>
      <c r="G593" s="56" t="inlineStr">
        <is>
          <t>Portugal</t>
        </is>
      </c>
      <c r="H593" s="56" t="n">
        <v>16</v>
      </c>
      <c r="I593" s="56" t="inlineStr">
        <is>
          <t>Start Search</t>
        </is>
      </c>
      <c r="J593" s="56" t="inlineStr">
        <is>
          <t>1-23 August 2026</t>
        </is>
      </c>
      <c r="K593" s="57" t="n">
        <v>163</v>
      </c>
      <c r="L593" s="56" t="inlineStr">
        <is>
          <t>Visit→Engagement 1-23 August 2026</t>
        </is>
      </c>
      <c r="M593" s="40">
        <f>IF(Countries!J280="","STILL MISSING","Filled ✓")</f>
        <v/>
      </c>
    </row>
    <row r="594">
      <c r="A594" s="40" t="inlineStr">
        <is>
          <t>Countries</t>
        </is>
      </c>
      <c r="B594" s="40" t="inlineStr">
        <is>
          <t>AR267</t>
        </is>
      </c>
      <c r="C594" s="40" t="n">
        <v>267</v>
      </c>
      <c r="D594" s="40" t="inlineStr">
        <is>
          <t>Airport page</t>
        </is>
      </c>
      <c r="E594" s="40" t="inlineStr">
        <is>
          <t>Organic</t>
        </is>
      </c>
      <c r="F594" s="40" t="inlineStr">
        <is>
          <t>Mobile</t>
        </is>
      </c>
      <c r="G594" s="40" t="inlineStr">
        <is>
          <t>Portugal</t>
        </is>
      </c>
      <c r="H594" s="40" t="n">
        <v>16</v>
      </c>
      <c r="I594" s="40" t="inlineStr">
        <is>
          <t>Purchases</t>
        </is>
      </c>
      <c r="J594" s="40" t="inlineStr">
        <is>
          <t>1-23 August 2025</t>
        </is>
      </c>
      <c r="K594" s="55" t="n">
        <v>250</v>
      </c>
      <c r="L594" s="40" t="inlineStr">
        <is>
          <t>CR 1-23 August 2025 + Search→Booking 1-23 August 2025</t>
        </is>
      </c>
      <c r="M594" s="40">
        <f>IF(Countries!AR267="","STILL MISSING","Filled ✓")</f>
        <v/>
      </c>
    </row>
    <row r="595">
      <c r="A595" s="56" t="inlineStr">
        <is>
          <t>Countries</t>
        </is>
      </c>
      <c r="B595" s="56" t="inlineStr">
        <is>
          <t>AS267</t>
        </is>
      </c>
      <c r="C595" s="56" t="n">
        <v>267</v>
      </c>
      <c r="D595" s="56" t="inlineStr">
        <is>
          <t>Airport page</t>
        </is>
      </c>
      <c r="E595" s="56" t="inlineStr">
        <is>
          <t>Organic</t>
        </is>
      </c>
      <c r="F595" s="56" t="inlineStr">
        <is>
          <t>Mobile</t>
        </is>
      </c>
      <c r="G595" s="56" t="inlineStr">
        <is>
          <t>Portugal</t>
        </is>
      </c>
      <c r="H595" s="56" t="n">
        <v>16</v>
      </c>
      <c r="I595" s="56" t="inlineStr">
        <is>
          <t>Purchases</t>
        </is>
      </c>
      <c r="J595" s="56" t="inlineStr">
        <is>
          <t>1-23 August 2026</t>
        </is>
      </c>
      <c r="K595" s="57" t="n">
        <v>250</v>
      </c>
      <c r="L595" s="56" t="inlineStr">
        <is>
          <t>CR 1-23 August 2026 + Search→Booking 1-23 August 2026</t>
        </is>
      </c>
      <c r="M595" s="40">
        <f>IF(Countries!AS267="","STILL MISSING","Filled ✓")</f>
        <v/>
      </c>
    </row>
    <row r="596">
      <c r="A596" s="40" t="inlineStr">
        <is>
          <t>Countries</t>
        </is>
      </c>
      <c r="B596" s="40" t="inlineStr">
        <is>
          <t>W267</t>
        </is>
      </c>
      <c r="C596" s="40" t="n">
        <v>267</v>
      </c>
      <c r="D596" s="40" t="inlineStr">
        <is>
          <t>Airport page</t>
        </is>
      </c>
      <c r="E596" s="40" t="inlineStr">
        <is>
          <t>Organic</t>
        </is>
      </c>
      <c r="F596" s="40" t="inlineStr">
        <is>
          <t>Mobile</t>
        </is>
      </c>
      <c r="G596" s="40" t="inlineStr">
        <is>
          <t>Portugal</t>
        </is>
      </c>
      <c r="H596" s="40" t="n">
        <v>16</v>
      </c>
      <c r="I596" s="40" t="inlineStr">
        <is>
          <t>Select item</t>
        </is>
      </c>
      <c r="J596" s="40" t="inlineStr">
        <is>
          <t>1-23 August 2025</t>
        </is>
      </c>
      <c r="K596" s="55" t="n">
        <v>250</v>
      </c>
      <c r="L596" s="40" t="inlineStr">
        <is>
          <t>Search→Select 1-23 August 2025</t>
        </is>
      </c>
      <c r="M596" s="40">
        <f>IF(Countries!W267="","STILL MISSING","Filled ✓")</f>
        <v/>
      </c>
    </row>
    <row r="597">
      <c r="A597" s="56" t="inlineStr">
        <is>
          <t>Countries</t>
        </is>
      </c>
      <c r="B597" s="56" t="inlineStr">
        <is>
          <t>X267</t>
        </is>
      </c>
      <c r="C597" s="56" t="n">
        <v>267</v>
      </c>
      <c r="D597" s="56" t="inlineStr">
        <is>
          <t>Airport page</t>
        </is>
      </c>
      <c r="E597" s="56" t="inlineStr">
        <is>
          <t>Organic</t>
        </is>
      </c>
      <c r="F597" s="56" t="inlineStr">
        <is>
          <t>Mobile</t>
        </is>
      </c>
      <c r="G597" s="56" t="inlineStr">
        <is>
          <t>Portugal</t>
        </is>
      </c>
      <c r="H597" s="56" t="n">
        <v>16</v>
      </c>
      <c r="I597" s="56" t="inlineStr">
        <is>
          <t>Select item</t>
        </is>
      </c>
      <c r="J597" s="56" t="inlineStr">
        <is>
          <t>1-23 August 2026</t>
        </is>
      </c>
      <c r="K597" s="57" t="n">
        <v>250</v>
      </c>
      <c r="L597" s="56" t="inlineStr">
        <is>
          <t>Search→Select 1-23 August 2026</t>
        </is>
      </c>
      <c r="M597" s="40">
        <f>IF(Countries!X267="","STILL MISSING","Filled ✓")</f>
        <v/>
      </c>
    </row>
    <row r="598">
      <c r="A598" s="40" t="inlineStr">
        <is>
          <t>Countries</t>
        </is>
      </c>
      <c r="B598" s="40" t="inlineStr">
        <is>
          <t>I267</t>
        </is>
      </c>
      <c r="C598" s="40" t="n">
        <v>267</v>
      </c>
      <c r="D598" s="40" t="inlineStr">
        <is>
          <t>Airport page</t>
        </is>
      </c>
      <c r="E598" s="40" t="inlineStr">
        <is>
          <t>Organic</t>
        </is>
      </c>
      <c r="F598" s="40" t="inlineStr">
        <is>
          <t>Mobile</t>
        </is>
      </c>
      <c r="G598" s="40" t="inlineStr">
        <is>
          <t>Portugal</t>
        </is>
      </c>
      <c r="H598" s="40" t="n">
        <v>16</v>
      </c>
      <c r="I598" s="40" t="inlineStr">
        <is>
          <t>Start Search</t>
        </is>
      </c>
      <c r="J598" s="40" t="inlineStr">
        <is>
          <t>1-23 August 2025</t>
        </is>
      </c>
      <c r="K598" s="55" t="n">
        <v>250</v>
      </c>
      <c r="L598" s="40" t="inlineStr">
        <is>
          <t>Visit→Engagement 1-23 August 2025</t>
        </is>
      </c>
      <c r="M598" s="40">
        <f>IF(Countries!I267="","STILL MISSING","Filled ✓")</f>
        <v/>
      </c>
    </row>
    <row r="599">
      <c r="A599" s="56" t="inlineStr">
        <is>
          <t>Countries</t>
        </is>
      </c>
      <c r="B599" s="56" t="inlineStr">
        <is>
          <t>J267</t>
        </is>
      </c>
      <c r="C599" s="56" t="n">
        <v>267</v>
      </c>
      <c r="D599" s="56" t="inlineStr">
        <is>
          <t>Airport page</t>
        </is>
      </c>
      <c r="E599" s="56" t="inlineStr">
        <is>
          <t>Organic</t>
        </is>
      </c>
      <c r="F599" s="56" t="inlineStr">
        <is>
          <t>Mobile</t>
        </is>
      </c>
      <c r="G599" s="56" t="inlineStr">
        <is>
          <t>Portugal</t>
        </is>
      </c>
      <c r="H599" s="56" t="n">
        <v>16</v>
      </c>
      <c r="I599" s="56" t="inlineStr">
        <is>
          <t>Start Search</t>
        </is>
      </c>
      <c r="J599" s="56" t="inlineStr">
        <is>
          <t>1-23 August 2026</t>
        </is>
      </c>
      <c r="K599" s="57" t="n">
        <v>250</v>
      </c>
      <c r="L599" s="56" t="inlineStr">
        <is>
          <t>Visit→Engagement 1-23 August 2026</t>
        </is>
      </c>
      <c r="M599" s="40">
        <f>IF(Countries!J267="","STILL MISSING","Filled ✓")</f>
        <v/>
      </c>
    </row>
    <row r="600">
      <c r="A600" s="40" t="inlineStr">
        <is>
          <t>Countries</t>
        </is>
      </c>
      <c r="B600" s="40" t="inlineStr">
        <is>
          <t>AR320</t>
        </is>
      </c>
      <c r="C600" s="40" t="n">
        <v>320</v>
      </c>
      <c r="D600" s="40" t="inlineStr">
        <is>
          <t>Airport page</t>
        </is>
      </c>
      <c r="E600" s="40" t="inlineStr">
        <is>
          <t>Direct</t>
        </is>
      </c>
      <c r="F600" s="40" t="inlineStr">
        <is>
          <t>Desktop</t>
        </is>
      </c>
      <c r="G600" s="40" t="inlineStr">
        <is>
          <t>Portugal</t>
        </is>
      </c>
      <c r="H600" s="40" t="n">
        <v>16</v>
      </c>
      <c r="I600" s="40" t="inlineStr">
        <is>
          <t>Purchases</t>
        </is>
      </c>
      <c r="J600" s="40" t="inlineStr">
        <is>
          <t>1-23 August 2025</t>
        </is>
      </c>
      <c r="K600" s="55" t="n">
        <v>96</v>
      </c>
      <c r="L600" s="40" t="inlineStr">
        <is>
          <t>CR 1-23 August 2025 + Search→Booking 1-23 August 2025</t>
        </is>
      </c>
      <c r="M600" s="40">
        <f>IF(Countries!AR320="","STILL MISSING","Filled ✓")</f>
        <v/>
      </c>
    </row>
    <row r="601">
      <c r="A601" s="56" t="inlineStr">
        <is>
          <t>Countries</t>
        </is>
      </c>
      <c r="B601" s="56" t="inlineStr">
        <is>
          <t>AS320</t>
        </is>
      </c>
      <c r="C601" s="56" t="n">
        <v>320</v>
      </c>
      <c r="D601" s="56" t="inlineStr">
        <is>
          <t>Airport page</t>
        </is>
      </c>
      <c r="E601" s="56" t="inlineStr">
        <is>
          <t>Direct</t>
        </is>
      </c>
      <c r="F601" s="56" t="inlineStr">
        <is>
          <t>Desktop</t>
        </is>
      </c>
      <c r="G601" s="56" t="inlineStr">
        <is>
          <t>Portugal</t>
        </is>
      </c>
      <c r="H601" s="56" t="n">
        <v>16</v>
      </c>
      <c r="I601" s="56" t="inlineStr">
        <is>
          <t>Purchases</t>
        </is>
      </c>
      <c r="J601" s="56" t="inlineStr">
        <is>
          <t>1-23 August 2026</t>
        </is>
      </c>
      <c r="K601" s="57" t="n">
        <v>96</v>
      </c>
      <c r="L601" s="56" t="inlineStr">
        <is>
          <t>CR 1-23 August 2026</t>
        </is>
      </c>
      <c r="M601" s="40">
        <f>IF(Countries!AS320="","STILL MISSING","Filled ✓")</f>
        <v/>
      </c>
    </row>
    <row r="602">
      <c r="A602" s="40" t="inlineStr">
        <is>
          <t>Countries</t>
        </is>
      </c>
      <c r="B602" s="40" t="inlineStr">
        <is>
          <t>Q320</t>
        </is>
      </c>
      <c r="C602" s="40" t="n">
        <v>320</v>
      </c>
      <c r="D602" s="40" t="inlineStr">
        <is>
          <t>Airport page</t>
        </is>
      </c>
      <c r="E602" s="40" t="inlineStr">
        <is>
          <t>Direct</t>
        </is>
      </c>
      <c r="F602" s="40" t="inlineStr">
        <is>
          <t>Desktop</t>
        </is>
      </c>
      <c r="G602" s="40" t="inlineStr">
        <is>
          <t>Portugal</t>
        </is>
      </c>
      <c r="H602" s="40" t="n">
        <v>16</v>
      </c>
      <c r="I602" s="40" t="inlineStr">
        <is>
          <t>Searches</t>
        </is>
      </c>
      <c r="J602" s="40" t="inlineStr">
        <is>
          <t>1-23 August 2026</t>
        </is>
      </c>
      <c r="K602" s="55" t="n">
        <v>96</v>
      </c>
      <c r="L602" s="40" t="inlineStr">
        <is>
          <t>Searches YoY + Visit→Search 1-23 August 2026</t>
        </is>
      </c>
      <c r="M602" s="40">
        <f>IF(Countries!Q320="","STILL MISSING","Filled ✓")</f>
        <v/>
      </c>
    </row>
    <row r="603">
      <c r="A603" s="56" t="inlineStr">
        <is>
          <t>Countries</t>
        </is>
      </c>
      <c r="B603" s="56" t="inlineStr">
        <is>
          <t>W320</t>
        </is>
      </c>
      <c r="C603" s="56" t="n">
        <v>320</v>
      </c>
      <c r="D603" s="56" t="inlineStr">
        <is>
          <t>Airport page</t>
        </is>
      </c>
      <c r="E603" s="56" t="inlineStr">
        <is>
          <t>Direct</t>
        </is>
      </c>
      <c r="F603" s="56" t="inlineStr">
        <is>
          <t>Desktop</t>
        </is>
      </c>
      <c r="G603" s="56" t="inlineStr">
        <is>
          <t>Portugal</t>
        </is>
      </c>
      <c r="H603" s="56" t="n">
        <v>16</v>
      </c>
      <c r="I603" s="56" t="inlineStr">
        <is>
          <t>Select item</t>
        </is>
      </c>
      <c r="J603" s="56" t="inlineStr">
        <is>
          <t>1-23 August 2025</t>
        </is>
      </c>
      <c r="K603" s="57" t="n">
        <v>96</v>
      </c>
      <c r="L603" s="56" t="inlineStr">
        <is>
          <t>Search→Select 1-23 August 2025</t>
        </is>
      </c>
      <c r="M603" s="40">
        <f>IF(Countries!W320="","STILL MISSING","Filled ✓")</f>
        <v/>
      </c>
    </row>
    <row r="604">
      <c r="A604" s="40" t="inlineStr">
        <is>
          <t>Countries</t>
        </is>
      </c>
      <c r="B604" s="40" t="inlineStr">
        <is>
          <t>I320</t>
        </is>
      </c>
      <c r="C604" s="40" t="n">
        <v>320</v>
      </c>
      <c r="D604" s="40" t="inlineStr">
        <is>
          <t>Airport page</t>
        </is>
      </c>
      <c r="E604" s="40" t="inlineStr">
        <is>
          <t>Direct</t>
        </is>
      </c>
      <c r="F604" s="40" t="inlineStr">
        <is>
          <t>Desktop</t>
        </is>
      </c>
      <c r="G604" s="40" t="inlineStr">
        <is>
          <t>Portugal</t>
        </is>
      </c>
      <c r="H604" s="40" t="n">
        <v>16</v>
      </c>
      <c r="I604" s="40" t="inlineStr">
        <is>
          <t>Start Search</t>
        </is>
      </c>
      <c r="J604" s="40" t="inlineStr">
        <is>
          <t>1-23 August 2025</t>
        </is>
      </c>
      <c r="K604" s="55" t="n">
        <v>96</v>
      </c>
      <c r="L604" s="40" t="inlineStr">
        <is>
          <t>Visit→Engagement 1-23 August 2025</t>
        </is>
      </c>
      <c r="M604" s="40">
        <f>IF(Countries!I320="","STILL MISSING","Filled ✓")</f>
        <v/>
      </c>
    </row>
    <row r="605">
      <c r="A605" s="56" t="inlineStr">
        <is>
          <t>Countries</t>
        </is>
      </c>
      <c r="B605" s="56" t="inlineStr">
        <is>
          <t>J320</t>
        </is>
      </c>
      <c r="C605" s="56" t="n">
        <v>320</v>
      </c>
      <c r="D605" s="56" t="inlineStr">
        <is>
          <t>Airport page</t>
        </is>
      </c>
      <c r="E605" s="56" t="inlineStr">
        <is>
          <t>Direct</t>
        </is>
      </c>
      <c r="F605" s="56" t="inlineStr">
        <is>
          <t>Desktop</t>
        </is>
      </c>
      <c r="G605" s="56" t="inlineStr">
        <is>
          <t>Portugal</t>
        </is>
      </c>
      <c r="H605" s="56" t="n">
        <v>16</v>
      </c>
      <c r="I605" s="56" t="inlineStr">
        <is>
          <t>Start Search</t>
        </is>
      </c>
      <c r="J605" s="56" t="inlineStr">
        <is>
          <t>1-23 August 2026</t>
        </is>
      </c>
      <c r="K605" s="57" t="n">
        <v>96</v>
      </c>
      <c r="L605" s="56" t="inlineStr">
        <is>
          <t>Visit→Engagement 1-23 August 2026</t>
        </is>
      </c>
      <c r="M605" s="40">
        <f>IF(Countries!J320="","STILL MISSING","Filled ✓")</f>
        <v/>
      </c>
    </row>
    <row r="606">
      <c r="A606" s="40" t="inlineStr">
        <is>
          <t>Countries</t>
        </is>
      </c>
      <c r="B606" s="40" t="inlineStr">
        <is>
          <t>AS304</t>
        </is>
      </c>
      <c r="C606" s="40" t="n">
        <v>304</v>
      </c>
      <c r="D606" s="40" t="inlineStr">
        <is>
          <t>Airport page</t>
        </is>
      </c>
      <c r="E606" s="40" t="inlineStr">
        <is>
          <t>Direct</t>
        </is>
      </c>
      <c r="F606" s="40" t="inlineStr">
        <is>
          <t>Mobile</t>
        </is>
      </c>
      <c r="G606" s="40" t="inlineStr">
        <is>
          <t>Portugal</t>
        </is>
      </c>
      <c r="H606" s="40" t="n">
        <v>16</v>
      </c>
      <c r="I606" s="40" t="inlineStr">
        <is>
          <t>Purchases</t>
        </is>
      </c>
      <c r="J606" s="40" t="inlineStr">
        <is>
          <t>1-23 August 2026</t>
        </is>
      </c>
      <c r="K606" s="55" t="n">
        <v>19</v>
      </c>
      <c r="L606" s="40" t="inlineStr">
        <is>
          <t>Search→Booking 1-23 August 2026</t>
        </is>
      </c>
      <c r="M606" s="40">
        <f>IF(Countries!AS304="","STILL MISSING","Filled ✓")</f>
        <v/>
      </c>
    </row>
    <row r="607">
      <c r="A607" s="56" t="inlineStr">
        <is>
          <t>Countries</t>
        </is>
      </c>
      <c r="B607" s="56" t="inlineStr">
        <is>
          <t>P304</t>
        </is>
      </c>
      <c r="C607" s="56" t="n">
        <v>304</v>
      </c>
      <c r="D607" s="56" t="inlineStr">
        <is>
          <t>Airport page</t>
        </is>
      </c>
      <c r="E607" s="56" t="inlineStr">
        <is>
          <t>Direct</t>
        </is>
      </c>
      <c r="F607" s="56" t="inlineStr">
        <is>
          <t>Mobile</t>
        </is>
      </c>
      <c r="G607" s="56" t="inlineStr">
        <is>
          <t>Portugal</t>
        </is>
      </c>
      <c r="H607" s="56" t="n">
        <v>16</v>
      </c>
      <c r="I607" s="56" t="inlineStr">
        <is>
          <t>Searches</t>
        </is>
      </c>
      <c r="J607" s="56" t="inlineStr">
        <is>
          <t>1-23 August 2025</t>
        </is>
      </c>
      <c r="K607" s="57" t="n">
        <v>19</v>
      </c>
      <c r="L607" s="56" t="inlineStr">
        <is>
          <t>Searches YoY</t>
        </is>
      </c>
      <c r="M607" s="40">
        <f>IF(Countries!P304="","STILL MISSING","Filled ✓")</f>
        <v/>
      </c>
    </row>
    <row r="608">
      <c r="A608" s="40" t="inlineStr">
        <is>
          <t>Countries</t>
        </is>
      </c>
      <c r="B608" s="40" t="inlineStr">
        <is>
          <t>X304</t>
        </is>
      </c>
      <c r="C608" s="40" t="n">
        <v>304</v>
      </c>
      <c r="D608" s="40" t="inlineStr">
        <is>
          <t>Airport page</t>
        </is>
      </c>
      <c r="E608" s="40" t="inlineStr">
        <is>
          <t>Direct</t>
        </is>
      </c>
      <c r="F608" s="40" t="inlineStr">
        <is>
          <t>Mobile</t>
        </is>
      </c>
      <c r="G608" s="40" t="inlineStr">
        <is>
          <t>Portugal</t>
        </is>
      </c>
      <c r="H608" s="40" t="n">
        <v>16</v>
      </c>
      <c r="I608" s="40" t="inlineStr">
        <is>
          <t>Select item</t>
        </is>
      </c>
      <c r="J608" s="40" t="inlineStr">
        <is>
          <t>1-23 August 2026</t>
        </is>
      </c>
      <c r="K608" s="55" t="n">
        <v>19</v>
      </c>
      <c r="L608" s="40" t="inlineStr">
        <is>
          <t>Search→Select 1-23 August 2026</t>
        </is>
      </c>
      <c r="M608" s="40">
        <f>IF(Countries!X304="","STILL MISSING","Filled ✓")</f>
        <v/>
      </c>
    </row>
    <row r="609">
      <c r="A609" s="56" t="inlineStr">
        <is>
          <t>Countries</t>
        </is>
      </c>
      <c r="B609" s="56" t="inlineStr">
        <is>
          <t>F304</t>
        </is>
      </c>
      <c r="C609" s="56" t="n">
        <v>304</v>
      </c>
      <c r="D609" s="56" t="inlineStr">
        <is>
          <t>Airport page</t>
        </is>
      </c>
      <c r="E609" s="56" t="inlineStr">
        <is>
          <t>Direct</t>
        </is>
      </c>
      <c r="F609" s="56" t="inlineStr">
        <is>
          <t>Mobile</t>
        </is>
      </c>
      <c r="G609" s="56" t="inlineStr">
        <is>
          <t>Portugal</t>
        </is>
      </c>
      <c r="H609" s="56" t="n">
        <v>16</v>
      </c>
      <c r="I609" s="56" t="inlineStr">
        <is>
          <t>Sessions</t>
        </is>
      </c>
      <c r="J609" s="56" t="inlineStr">
        <is>
          <t>1-23 August 2026</t>
        </is>
      </c>
      <c r="K609" s="57" t="n">
        <v>19</v>
      </c>
      <c r="L609" s="56" t="inlineStr">
        <is>
          <t>Visit→Search 1-23 August 2026</t>
        </is>
      </c>
      <c r="M609" s="40">
        <f>IF(Countries!F304="","STILL MISSING","Filled ✓")</f>
        <v/>
      </c>
    </row>
    <row r="610">
      <c r="A610" s="40" t="inlineStr">
        <is>
          <t>Countries</t>
        </is>
      </c>
      <c r="B610" s="40" t="inlineStr">
        <is>
          <t>AR359</t>
        </is>
      </c>
      <c r="C610" s="40" t="n">
        <v>359</v>
      </c>
      <c r="D610" s="40" t="inlineStr">
        <is>
          <t>Route page</t>
        </is>
      </c>
      <c r="E610" s="40" t="inlineStr">
        <is>
          <t>Paid Search</t>
        </is>
      </c>
      <c r="F610" s="40" t="inlineStr">
        <is>
          <t>Desktop</t>
        </is>
      </c>
      <c r="G610" s="40" t="inlineStr">
        <is>
          <t>Portugal</t>
        </is>
      </c>
      <c r="H610" s="40" t="n">
        <v>16</v>
      </c>
      <c r="I610" s="40" t="inlineStr">
        <is>
          <t>Purchases</t>
        </is>
      </c>
      <c r="J610" s="40" t="inlineStr">
        <is>
          <t>1-23 August 2025</t>
        </is>
      </c>
      <c r="K610" s="55" t="n">
        <v>185</v>
      </c>
      <c r="L610" s="40" t="inlineStr">
        <is>
          <t>Search→Booking 1-23 August 2025</t>
        </is>
      </c>
      <c r="M610" s="40">
        <f>IF(Countries!AR359="","STILL MISSING","Filled ✓")</f>
        <v/>
      </c>
    </row>
    <row r="611">
      <c r="A611" s="56" t="inlineStr">
        <is>
          <t>Countries</t>
        </is>
      </c>
      <c r="B611" s="56" t="inlineStr">
        <is>
          <t>Q359</t>
        </is>
      </c>
      <c r="C611" s="56" t="n">
        <v>359</v>
      </c>
      <c r="D611" s="56" t="inlineStr">
        <is>
          <t>Route page</t>
        </is>
      </c>
      <c r="E611" s="56" t="inlineStr">
        <is>
          <t>Paid Search</t>
        </is>
      </c>
      <c r="F611" s="56" t="inlineStr">
        <is>
          <t>Desktop</t>
        </is>
      </c>
      <c r="G611" s="56" t="inlineStr">
        <is>
          <t>Portugal</t>
        </is>
      </c>
      <c r="H611" s="56" t="n">
        <v>16</v>
      </c>
      <c r="I611" s="56" t="inlineStr">
        <is>
          <t>Searches</t>
        </is>
      </c>
      <c r="J611" s="56" t="inlineStr">
        <is>
          <t>1-23 August 2026</t>
        </is>
      </c>
      <c r="K611" s="57" t="n">
        <v>185</v>
      </c>
      <c r="L611" s="56" t="inlineStr">
        <is>
          <t>Searches YoY</t>
        </is>
      </c>
      <c r="M611" s="40">
        <f>IF(Countries!Q359="","STILL MISSING","Filled ✓")</f>
        <v/>
      </c>
    </row>
    <row r="612">
      <c r="A612" s="40" t="inlineStr">
        <is>
          <t>Countries</t>
        </is>
      </c>
      <c r="B612" s="40" t="inlineStr">
        <is>
          <t>W359</t>
        </is>
      </c>
      <c r="C612" s="40" t="n">
        <v>359</v>
      </c>
      <c r="D612" s="40" t="inlineStr">
        <is>
          <t>Route page</t>
        </is>
      </c>
      <c r="E612" s="40" t="inlineStr">
        <is>
          <t>Paid Search</t>
        </is>
      </c>
      <c r="F612" s="40" t="inlineStr">
        <is>
          <t>Desktop</t>
        </is>
      </c>
      <c r="G612" s="40" t="inlineStr">
        <is>
          <t>Portugal</t>
        </is>
      </c>
      <c r="H612" s="40" t="n">
        <v>16</v>
      </c>
      <c r="I612" s="40" t="inlineStr">
        <is>
          <t>Select item</t>
        </is>
      </c>
      <c r="J612" s="40" t="inlineStr">
        <is>
          <t>1-23 August 2025</t>
        </is>
      </c>
      <c r="K612" s="55" t="n">
        <v>185</v>
      </c>
      <c r="L612" s="40" t="inlineStr">
        <is>
          <t>Search→Select 1-23 August 2025</t>
        </is>
      </c>
      <c r="M612" s="40">
        <f>IF(Countries!W359="","STILL MISSING","Filled ✓")</f>
        <v/>
      </c>
    </row>
    <row r="613">
      <c r="A613" s="56" t="inlineStr">
        <is>
          <t>Countries</t>
        </is>
      </c>
      <c r="B613" s="56" t="inlineStr">
        <is>
          <t>E359</t>
        </is>
      </c>
      <c r="C613" s="56" t="n">
        <v>359</v>
      </c>
      <c r="D613" s="56" t="inlineStr">
        <is>
          <t>Route page</t>
        </is>
      </c>
      <c r="E613" s="56" t="inlineStr">
        <is>
          <t>Paid Search</t>
        </is>
      </c>
      <c r="F613" s="56" t="inlineStr">
        <is>
          <t>Desktop</t>
        </is>
      </c>
      <c r="G613" s="56" t="inlineStr">
        <is>
          <t>Portugal</t>
        </is>
      </c>
      <c r="H613" s="56" t="n">
        <v>16</v>
      </c>
      <c r="I613" s="56" t="inlineStr">
        <is>
          <t>Sessions</t>
        </is>
      </c>
      <c r="J613" s="56" t="inlineStr">
        <is>
          <t>1-23 August 2025</t>
        </is>
      </c>
      <c r="K613" s="57" t="n">
        <v>185</v>
      </c>
      <c r="L613" s="56" t="inlineStr">
        <is>
          <t>Visit→Search 1-23 August 2025</t>
        </is>
      </c>
      <c r="M613" s="40">
        <f>IF(Countries!E359="","STILL MISSING","Filled ✓")</f>
        <v/>
      </c>
    </row>
    <row r="614">
      <c r="A614" s="40" t="inlineStr">
        <is>
          <t>Countries</t>
        </is>
      </c>
      <c r="B614" s="40" t="inlineStr">
        <is>
          <t>AR340</t>
        </is>
      </c>
      <c r="C614" s="40" t="n">
        <v>340</v>
      </c>
      <c r="D614" s="40" t="inlineStr">
        <is>
          <t>Route page</t>
        </is>
      </c>
      <c r="E614" s="40" t="inlineStr">
        <is>
          <t>Paid Search</t>
        </is>
      </c>
      <c r="F614" s="40" t="inlineStr">
        <is>
          <t>Mobile</t>
        </is>
      </c>
      <c r="G614" s="40" t="inlineStr">
        <is>
          <t>Portugal</t>
        </is>
      </c>
      <c r="H614" s="40" t="n">
        <v>16</v>
      </c>
      <c r="I614" s="40" t="inlineStr">
        <is>
          <t>Purchases</t>
        </is>
      </c>
      <c r="J614" s="40" t="inlineStr">
        <is>
          <t>1-23 August 2025</t>
        </is>
      </c>
      <c r="K614" s="55" t="n">
        <v>414</v>
      </c>
      <c r="L614" s="40" t="inlineStr">
        <is>
          <t>CR 1-23 August 2025 + Search→Booking 1-23 August 2025</t>
        </is>
      </c>
      <c r="M614" s="40">
        <f>IF(Countries!AR340="","STILL MISSING","Filled ✓")</f>
        <v/>
      </c>
    </row>
    <row r="615">
      <c r="A615" s="56" t="inlineStr">
        <is>
          <t>Countries</t>
        </is>
      </c>
      <c r="B615" s="56" t="inlineStr">
        <is>
          <t>Q340</t>
        </is>
      </c>
      <c r="C615" s="56" t="n">
        <v>340</v>
      </c>
      <c r="D615" s="56" t="inlineStr">
        <is>
          <t>Route page</t>
        </is>
      </c>
      <c r="E615" s="56" t="inlineStr">
        <is>
          <t>Paid Search</t>
        </is>
      </c>
      <c r="F615" s="56" t="inlineStr">
        <is>
          <t>Mobile</t>
        </is>
      </c>
      <c r="G615" s="56" t="inlineStr">
        <is>
          <t>Portugal</t>
        </is>
      </c>
      <c r="H615" s="56" t="n">
        <v>16</v>
      </c>
      <c r="I615" s="56" t="inlineStr">
        <is>
          <t>Searches</t>
        </is>
      </c>
      <c r="J615" s="56" t="inlineStr">
        <is>
          <t>1-23 August 2026</t>
        </is>
      </c>
      <c r="K615" s="57" t="n">
        <v>414</v>
      </c>
      <c r="L615" s="56" t="inlineStr">
        <is>
          <t>Searches YoY</t>
        </is>
      </c>
      <c r="M615" s="40">
        <f>IF(Countries!Q340="","STILL MISSING","Filled ✓")</f>
        <v/>
      </c>
    </row>
    <row r="616">
      <c r="A616" s="40" t="inlineStr">
        <is>
          <t>Countries</t>
        </is>
      </c>
      <c r="B616" s="40" t="inlineStr">
        <is>
          <t>W340</t>
        </is>
      </c>
      <c r="C616" s="40" t="n">
        <v>340</v>
      </c>
      <c r="D616" s="40" t="inlineStr">
        <is>
          <t>Route page</t>
        </is>
      </c>
      <c r="E616" s="40" t="inlineStr">
        <is>
          <t>Paid Search</t>
        </is>
      </c>
      <c r="F616" s="40" t="inlineStr">
        <is>
          <t>Mobile</t>
        </is>
      </c>
      <c r="G616" s="40" t="inlineStr">
        <is>
          <t>Portugal</t>
        </is>
      </c>
      <c r="H616" s="40" t="n">
        <v>16</v>
      </c>
      <c r="I616" s="40" t="inlineStr">
        <is>
          <t>Select item</t>
        </is>
      </c>
      <c r="J616" s="40" t="inlineStr">
        <is>
          <t>1-23 August 2025</t>
        </is>
      </c>
      <c r="K616" s="55" t="n">
        <v>414</v>
      </c>
      <c r="L616" s="40" t="inlineStr">
        <is>
          <t>Search→Select 1-23 August 2025</t>
        </is>
      </c>
      <c r="M616" s="40">
        <f>IF(Countries!W340="","STILL MISSING","Filled ✓")</f>
        <v/>
      </c>
    </row>
    <row r="617">
      <c r="A617" s="56" t="inlineStr">
        <is>
          <t>Countries</t>
        </is>
      </c>
      <c r="B617" s="56" t="inlineStr">
        <is>
          <t>F340</t>
        </is>
      </c>
      <c r="C617" s="56" t="n">
        <v>340</v>
      </c>
      <c r="D617" s="56" t="inlineStr">
        <is>
          <t>Route page</t>
        </is>
      </c>
      <c r="E617" s="56" t="inlineStr">
        <is>
          <t>Paid Search</t>
        </is>
      </c>
      <c r="F617" s="56" t="inlineStr">
        <is>
          <t>Mobile</t>
        </is>
      </c>
      <c r="G617" s="56" t="inlineStr">
        <is>
          <t>Portugal</t>
        </is>
      </c>
      <c r="H617" s="56" t="n">
        <v>16</v>
      </c>
      <c r="I617" s="56" t="inlineStr">
        <is>
          <t>Sessions</t>
        </is>
      </c>
      <c r="J617" s="56" t="inlineStr">
        <is>
          <t>1-23 August 2026</t>
        </is>
      </c>
      <c r="K617" s="57" t="n">
        <v>414</v>
      </c>
      <c r="L617" s="56" t="inlineStr">
        <is>
          <t>Sessions YoY</t>
        </is>
      </c>
      <c r="M617" s="40">
        <f>IF(Countries!F340="","STILL MISSING","Filled ✓")</f>
        <v/>
      </c>
    </row>
    <row r="618">
      <c r="A618" s="40" t="inlineStr">
        <is>
          <t>Countries</t>
        </is>
      </c>
      <c r="B618" s="40" t="inlineStr">
        <is>
          <t>I340</t>
        </is>
      </c>
      <c r="C618" s="40" t="n">
        <v>340</v>
      </c>
      <c r="D618" s="40" t="inlineStr">
        <is>
          <t>Route page</t>
        </is>
      </c>
      <c r="E618" s="40" t="inlineStr">
        <is>
          <t>Paid Search</t>
        </is>
      </c>
      <c r="F618" s="40" t="inlineStr">
        <is>
          <t>Mobile</t>
        </is>
      </c>
      <c r="G618" s="40" t="inlineStr">
        <is>
          <t>Portugal</t>
        </is>
      </c>
      <c r="H618" s="40" t="n">
        <v>16</v>
      </c>
      <c r="I618" s="40" t="inlineStr">
        <is>
          <t>Start Search</t>
        </is>
      </c>
      <c r="J618" s="40" t="inlineStr">
        <is>
          <t>1-23 August 2025</t>
        </is>
      </c>
      <c r="K618" s="55" t="n">
        <v>414</v>
      </c>
      <c r="L618" s="40" t="inlineStr">
        <is>
          <t>Visit→Engagement 1-23 August 2025</t>
        </is>
      </c>
      <c r="M618" s="40">
        <f>IF(Countries!I340="","STILL MISSING","Filled ✓")</f>
        <v/>
      </c>
    </row>
    <row r="619">
      <c r="A619" s="56" t="inlineStr">
        <is>
          <t>Countries</t>
        </is>
      </c>
      <c r="B619" s="56" t="inlineStr">
        <is>
          <t>AR426</t>
        </is>
      </c>
      <c r="C619" s="56" t="n">
        <v>426</v>
      </c>
      <c r="D619" s="56" t="inlineStr">
        <is>
          <t>Route page</t>
        </is>
      </c>
      <c r="E619" s="56" t="inlineStr">
        <is>
          <t>Direct</t>
        </is>
      </c>
      <c r="F619" s="56" t="inlineStr">
        <is>
          <t>Desktop</t>
        </is>
      </c>
      <c r="G619" s="56" t="inlineStr">
        <is>
          <t>Portugal</t>
        </is>
      </c>
      <c r="H619" s="56" t="n">
        <v>16</v>
      </c>
      <c r="I619" s="56" t="inlineStr">
        <is>
          <t>Purchases</t>
        </is>
      </c>
      <c r="J619" s="56" t="inlineStr">
        <is>
          <t>1-23 August 2025</t>
        </is>
      </c>
      <c r="K619" s="57" t="n">
        <v>116</v>
      </c>
      <c r="L619" s="56" t="inlineStr">
        <is>
          <t>CR 1-23 August 2025 + Search→Booking 1-23 August 2025</t>
        </is>
      </c>
      <c r="M619" s="40">
        <f>IF(Countries!AR426="","STILL MISSING","Filled ✓")</f>
        <v/>
      </c>
    </row>
    <row r="620">
      <c r="A620" s="40" t="inlineStr">
        <is>
          <t>Countries</t>
        </is>
      </c>
      <c r="B620" s="40" t="inlineStr">
        <is>
          <t>AS426</t>
        </is>
      </c>
      <c r="C620" s="40" t="n">
        <v>426</v>
      </c>
      <c r="D620" s="40" t="inlineStr">
        <is>
          <t>Route page</t>
        </is>
      </c>
      <c r="E620" s="40" t="inlineStr">
        <is>
          <t>Direct</t>
        </is>
      </c>
      <c r="F620" s="40" t="inlineStr">
        <is>
          <t>Desktop</t>
        </is>
      </c>
      <c r="G620" s="40" t="inlineStr">
        <is>
          <t>Portugal</t>
        </is>
      </c>
      <c r="H620" s="40" t="n">
        <v>16</v>
      </c>
      <c r="I620" s="40" t="inlineStr">
        <is>
          <t>Purchases</t>
        </is>
      </c>
      <c r="J620" s="40" t="inlineStr">
        <is>
          <t>1-23 August 2026</t>
        </is>
      </c>
      <c r="K620" s="55" t="n">
        <v>116</v>
      </c>
      <c r="L620" s="40" t="inlineStr">
        <is>
          <t>CR 1-23 August 2026 + Search→Booking 1-23 August 2026</t>
        </is>
      </c>
      <c r="M620" s="40">
        <f>IF(Countries!AS426="","STILL MISSING","Filled ✓")</f>
        <v/>
      </c>
    </row>
    <row r="621">
      <c r="A621" s="56" t="inlineStr">
        <is>
          <t>Countries</t>
        </is>
      </c>
      <c r="B621" s="56" t="inlineStr">
        <is>
          <t>W426</t>
        </is>
      </c>
      <c r="C621" s="56" t="n">
        <v>426</v>
      </c>
      <c r="D621" s="56" t="inlineStr">
        <is>
          <t>Route page</t>
        </is>
      </c>
      <c r="E621" s="56" t="inlineStr">
        <is>
          <t>Direct</t>
        </is>
      </c>
      <c r="F621" s="56" t="inlineStr">
        <is>
          <t>Desktop</t>
        </is>
      </c>
      <c r="G621" s="56" t="inlineStr">
        <is>
          <t>Portugal</t>
        </is>
      </c>
      <c r="H621" s="56" t="n">
        <v>16</v>
      </c>
      <c r="I621" s="56" t="inlineStr">
        <is>
          <t>Select item</t>
        </is>
      </c>
      <c r="J621" s="56" t="inlineStr">
        <is>
          <t>1-23 August 2025</t>
        </is>
      </c>
      <c r="K621" s="57" t="n">
        <v>116</v>
      </c>
      <c r="L621" s="56" t="inlineStr">
        <is>
          <t>Search→Select 1-23 August 2025</t>
        </is>
      </c>
      <c r="M621" s="40">
        <f>IF(Countries!W426="","STILL MISSING","Filled ✓")</f>
        <v/>
      </c>
    </row>
    <row r="622">
      <c r="A622" s="40" t="inlineStr">
        <is>
          <t>Countries</t>
        </is>
      </c>
      <c r="B622" s="40" t="inlineStr">
        <is>
          <t>X426</t>
        </is>
      </c>
      <c r="C622" s="40" t="n">
        <v>426</v>
      </c>
      <c r="D622" s="40" t="inlineStr">
        <is>
          <t>Route page</t>
        </is>
      </c>
      <c r="E622" s="40" t="inlineStr">
        <is>
          <t>Direct</t>
        </is>
      </c>
      <c r="F622" s="40" t="inlineStr">
        <is>
          <t>Desktop</t>
        </is>
      </c>
      <c r="G622" s="40" t="inlineStr">
        <is>
          <t>Portugal</t>
        </is>
      </c>
      <c r="H622" s="40" t="n">
        <v>16</v>
      </c>
      <c r="I622" s="40" t="inlineStr">
        <is>
          <t>Select item</t>
        </is>
      </c>
      <c r="J622" s="40" t="inlineStr">
        <is>
          <t>1-23 August 2026</t>
        </is>
      </c>
      <c r="K622" s="55" t="n">
        <v>116</v>
      </c>
      <c r="L622" s="40" t="inlineStr">
        <is>
          <t>Search→Select 1-23 August 2026</t>
        </is>
      </c>
      <c r="M622" s="40">
        <f>IF(Countries!X426="","STILL MISSING","Filled ✓")</f>
        <v/>
      </c>
    </row>
    <row r="623">
      <c r="A623" s="56" t="inlineStr">
        <is>
          <t>Countries</t>
        </is>
      </c>
      <c r="B623" s="56" t="inlineStr">
        <is>
          <t>I426</t>
        </is>
      </c>
      <c r="C623" s="56" t="n">
        <v>426</v>
      </c>
      <c r="D623" s="56" t="inlineStr">
        <is>
          <t>Route page</t>
        </is>
      </c>
      <c r="E623" s="56" t="inlineStr">
        <is>
          <t>Direct</t>
        </is>
      </c>
      <c r="F623" s="56" t="inlineStr">
        <is>
          <t>Desktop</t>
        </is>
      </c>
      <c r="G623" s="56" t="inlineStr">
        <is>
          <t>Portugal</t>
        </is>
      </c>
      <c r="H623" s="56" t="n">
        <v>16</v>
      </c>
      <c r="I623" s="56" t="inlineStr">
        <is>
          <t>Start Search</t>
        </is>
      </c>
      <c r="J623" s="56" t="inlineStr">
        <is>
          <t>1-23 August 2025</t>
        </is>
      </c>
      <c r="K623" s="57" t="n">
        <v>116</v>
      </c>
      <c r="L623" s="56" t="inlineStr">
        <is>
          <t>Visit→Engagement 1-23 August 2025</t>
        </is>
      </c>
      <c r="M623" s="40">
        <f>IF(Countries!I426="","STILL MISSING","Filled ✓")</f>
        <v/>
      </c>
    </row>
    <row r="624">
      <c r="A624" s="40" t="inlineStr">
        <is>
          <t>Countries</t>
        </is>
      </c>
      <c r="B624" s="40" t="inlineStr">
        <is>
          <t>J426</t>
        </is>
      </c>
      <c r="C624" s="40" t="n">
        <v>426</v>
      </c>
      <c r="D624" s="40" t="inlineStr">
        <is>
          <t>Route page</t>
        </is>
      </c>
      <c r="E624" s="40" t="inlineStr">
        <is>
          <t>Direct</t>
        </is>
      </c>
      <c r="F624" s="40" t="inlineStr">
        <is>
          <t>Desktop</t>
        </is>
      </c>
      <c r="G624" s="40" t="inlineStr">
        <is>
          <t>Portugal</t>
        </is>
      </c>
      <c r="H624" s="40" t="n">
        <v>16</v>
      </c>
      <c r="I624" s="40" t="inlineStr">
        <is>
          <t>Start Search</t>
        </is>
      </c>
      <c r="J624" s="40" t="inlineStr">
        <is>
          <t>1-23 August 2026</t>
        </is>
      </c>
      <c r="K624" s="55" t="n">
        <v>116</v>
      </c>
      <c r="L624" s="40" t="inlineStr">
        <is>
          <t>Visit→Engagement 1-23 August 2026</t>
        </is>
      </c>
      <c r="M624" s="40">
        <f>IF(Countries!J426="","STILL MISSING","Filled ✓")</f>
        <v/>
      </c>
    </row>
    <row r="625">
      <c r="A625" s="56" t="inlineStr">
        <is>
          <t>Countries</t>
        </is>
      </c>
      <c r="B625" s="56" t="inlineStr">
        <is>
          <t>AS412</t>
        </is>
      </c>
      <c r="C625" s="56" t="n">
        <v>412</v>
      </c>
      <c r="D625" s="56" t="inlineStr">
        <is>
          <t>Route page</t>
        </is>
      </c>
      <c r="E625" s="56" t="inlineStr">
        <is>
          <t>Direct</t>
        </is>
      </c>
      <c r="F625" s="56" t="inlineStr">
        <is>
          <t>Mobile</t>
        </is>
      </c>
      <c r="G625" s="56" t="inlineStr">
        <is>
          <t>Portugal</t>
        </is>
      </c>
      <c r="H625" s="56" t="n">
        <v>16</v>
      </c>
      <c r="I625" s="56" t="inlineStr">
        <is>
          <t>Purchases</t>
        </is>
      </c>
      <c r="J625" s="56" t="inlineStr">
        <is>
          <t>1-23 August 2026</t>
        </is>
      </c>
      <c r="K625" s="57" t="n">
        <v>27</v>
      </c>
      <c r="L625" s="56" t="inlineStr">
        <is>
          <t>Search→Booking 1-23 August 2026</t>
        </is>
      </c>
      <c r="M625" s="40">
        <f>IF(Countries!AS412="","STILL MISSING","Filled ✓")</f>
        <v/>
      </c>
    </row>
    <row r="626">
      <c r="A626" s="40" t="inlineStr">
        <is>
          <t>Countries</t>
        </is>
      </c>
      <c r="B626" s="40" t="inlineStr">
        <is>
          <t>P412</t>
        </is>
      </c>
      <c r="C626" s="40" t="n">
        <v>412</v>
      </c>
      <c r="D626" s="40" t="inlineStr">
        <is>
          <t>Route page</t>
        </is>
      </c>
      <c r="E626" s="40" t="inlineStr">
        <is>
          <t>Direct</t>
        </is>
      </c>
      <c r="F626" s="40" t="inlineStr">
        <is>
          <t>Mobile</t>
        </is>
      </c>
      <c r="G626" s="40" t="inlineStr">
        <is>
          <t>Portugal</t>
        </is>
      </c>
      <c r="H626" s="40" t="n">
        <v>16</v>
      </c>
      <c r="I626" s="40" t="inlineStr">
        <is>
          <t>Searches</t>
        </is>
      </c>
      <c r="J626" s="40" t="inlineStr">
        <is>
          <t>1-23 August 2025</t>
        </is>
      </c>
      <c r="K626" s="55" t="n">
        <v>27</v>
      </c>
      <c r="L626" s="40" t="inlineStr">
        <is>
          <t>Searches YoY</t>
        </is>
      </c>
      <c r="M626" s="40">
        <f>IF(Countries!P412="","STILL MISSING","Filled ✓")</f>
        <v/>
      </c>
    </row>
    <row r="627">
      <c r="A627" s="56" t="inlineStr">
        <is>
          <t>Countries</t>
        </is>
      </c>
      <c r="B627" s="56" t="inlineStr">
        <is>
          <t>X412</t>
        </is>
      </c>
      <c r="C627" s="56" t="n">
        <v>412</v>
      </c>
      <c r="D627" s="56" t="inlineStr">
        <is>
          <t>Route page</t>
        </is>
      </c>
      <c r="E627" s="56" t="inlineStr">
        <is>
          <t>Direct</t>
        </is>
      </c>
      <c r="F627" s="56" t="inlineStr">
        <is>
          <t>Mobile</t>
        </is>
      </c>
      <c r="G627" s="56" t="inlineStr">
        <is>
          <t>Portugal</t>
        </is>
      </c>
      <c r="H627" s="56" t="n">
        <v>16</v>
      </c>
      <c r="I627" s="56" t="inlineStr">
        <is>
          <t>Select item</t>
        </is>
      </c>
      <c r="J627" s="56" t="inlineStr">
        <is>
          <t>1-23 August 2026</t>
        </is>
      </c>
      <c r="K627" s="57" t="n">
        <v>27</v>
      </c>
      <c r="L627" s="56" t="inlineStr">
        <is>
          <t>Search→Select 1-23 August 2026</t>
        </is>
      </c>
      <c r="M627" s="40">
        <f>IF(Countries!X412="","STILL MISSING","Filled ✓")</f>
        <v/>
      </c>
    </row>
    <row r="628">
      <c r="A628" s="40" t="inlineStr">
        <is>
          <t>Countries</t>
        </is>
      </c>
      <c r="B628" s="40" t="inlineStr">
        <is>
          <t>F412</t>
        </is>
      </c>
      <c r="C628" s="40" t="n">
        <v>412</v>
      </c>
      <c r="D628" s="40" t="inlineStr">
        <is>
          <t>Route page</t>
        </is>
      </c>
      <c r="E628" s="40" t="inlineStr">
        <is>
          <t>Direct</t>
        </is>
      </c>
      <c r="F628" s="40" t="inlineStr">
        <is>
          <t>Mobile</t>
        </is>
      </c>
      <c r="G628" s="40" t="inlineStr">
        <is>
          <t>Portugal</t>
        </is>
      </c>
      <c r="H628" s="40" t="n">
        <v>16</v>
      </c>
      <c r="I628" s="40" t="inlineStr">
        <is>
          <t>Sessions</t>
        </is>
      </c>
      <c r="J628" s="40" t="inlineStr">
        <is>
          <t>1-23 August 2026</t>
        </is>
      </c>
      <c r="K628" s="55" t="n">
        <v>27</v>
      </c>
      <c r="L628" s="40" t="inlineStr">
        <is>
          <t>Visit→Search 1-23 August 2026</t>
        </is>
      </c>
      <c r="M628" s="40">
        <f>IF(Countries!F412="","STILL MISSING","Filled ✓")</f>
        <v/>
      </c>
    </row>
    <row r="629">
      <c r="A629" s="56" t="inlineStr">
        <is>
          <t>Countries</t>
        </is>
      </c>
      <c r="B629" s="56" t="inlineStr">
        <is>
          <t>AR48</t>
        </is>
      </c>
      <c r="C629" s="56" t="n">
        <v>48</v>
      </c>
      <c r="D629" s="56" t="inlineStr">
        <is>
          <t>All landing pages</t>
        </is>
      </c>
      <c r="E629" s="56" t="inlineStr">
        <is>
          <t>Organic</t>
        </is>
      </c>
      <c r="F629" s="56" t="inlineStr">
        <is>
          <t>Mobile</t>
        </is>
      </c>
      <c r="G629" s="56" t="inlineStr">
        <is>
          <t>Türkiye</t>
        </is>
      </c>
      <c r="H629" s="56" t="n">
        <v>17</v>
      </c>
      <c r="I629" s="56" t="inlineStr">
        <is>
          <t>Purchases</t>
        </is>
      </c>
      <c r="J629" s="56" t="inlineStr">
        <is>
          <t>1-23 August 2025</t>
        </is>
      </c>
      <c r="K629" s="57" t="n">
        <v>962</v>
      </c>
      <c r="L629" s="56" t="inlineStr">
        <is>
          <t>CR 1-23 August 2025</t>
        </is>
      </c>
      <c r="M629" s="40">
        <f>IF(Countries!AR48="","STILL MISSING","Filled ✓")</f>
        <v/>
      </c>
    </row>
    <row r="630">
      <c r="A630" s="40" t="inlineStr">
        <is>
          <t>Countries</t>
        </is>
      </c>
      <c r="B630" s="40" t="inlineStr">
        <is>
          <t>AS48</t>
        </is>
      </c>
      <c r="C630" s="40" t="n">
        <v>48</v>
      </c>
      <c r="D630" s="40" t="inlineStr">
        <is>
          <t>All landing pages</t>
        </is>
      </c>
      <c r="E630" s="40" t="inlineStr">
        <is>
          <t>Organic</t>
        </is>
      </c>
      <c r="F630" s="40" t="inlineStr">
        <is>
          <t>Mobile</t>
        </is>
      </c>
      <c r="G630" s="40" t="inlineStr">
        <is>
          <t>Türkiye</t>
        </is>
      </c>
      <c r="H630" s="40" t="n">
        <v>17</v>
      </c>
      <c r="I630" s="40" t="inlineStr">
        <is>
          <t>Purchases</t>
        </is>
      </c>
      <c r="J630" s="40" t="inlineStr">
        <is>
          <t>1-23 August 2026</t>
        </is>
      </c>
      <c r="K630" s="55" t="n">
        <v>962</v>
      </c>
      <c r="L630" s="40" t="inlineStr">
        <is>
          <t>CR 1-23 August 2026 + Search→Booking 1-23 August 2026</t>
        </is>
      </c>
      <c r="M630" s="40">
        <f>IF(Countries!AS48="","STILL MISSING","Filled ✓")</f>
        <v/>
      </c>
    </row>
    <row r="631">
      <c r="A631" s="56" t="inlineStr">
        <is>
          <t>Countries</t>
        </is>
      </c>
      <c r="B631" s="56" t="inlineStr">
        <is>
          <t>P48</t>
        </is>
      </c>
      <c r="C631" s="56" t="n">
        <v>48</v>
      </c>
      <c r="D631" s="56" t="inlineStr">
        <is>
          <t>All landing pages</t>
        </is>
      </c>
      <c r="E631" s="56" t="inlineStr">
        <is>
          <t>Organic</t>
        </is>
      </c>
      <c r="F631" s="56" t="inlineStr">
        <is>
          <t>Mobile</t>
        </is>
      </c>
      <c r="G631" s="56" t="inlineStr">
        <is>
          <t>Türkiye</t>
        </is>
      </c>
      <c r="H631" s="56" t="n">
        <v>17</v>
      </c>
      <c r="I631" s="56" t="inlineStr">
        <is>
          <t>Searches</t>
        </is>
      </c>
      <c r="J631" s="56" t="inlineStr">
        <is>
          <t>1-23 August 2025</t>
        </is>
      </c>
      <c r="K631" s="57" t="n">
        <v>962</v>
      </c>
      <c r="L631" s="56" t="inlineStr">
        <is>
          <t>Searches YoY + Visit→Search 1-23 August 2025</t>
        </is>
      </c>
      <c r="M631" s="40">
        <f>IF(Countries!P48="","STILL MISSING","Filled ✓")</f>
        <v/>
      </c>
    </row>
    <row r="632">
      <c r="A632" s="40" t="inlineStr">
        <is>
          <t>Countries</t>
        </is>
      </c>
      <c r="B632" s="40" t="inlineStr">
        <is>
          <t>X48</t>
        </is>
      </c>
      <c r="C632" s="40" t="n">
        <v>48</v>
      </c>
      <c r="D632" s="40" t="inlineStr">
        <is>
          <t>All landing pages</t>
        </is>
      </c>
      <c r="E632" s="40" t="inlineStr">
        <is>
          <t>Organic</t>
        </is>
      </c>
      <c r="F632" s="40" t="inlineStr">
        <is>
          <t>Mobile</t>
        </is>
      </c>
      <c r="G632" s="40" t="inlineStr">
        <is>
          <t>Türkiye</t>
        </is>
      </c>
      <c r="H632" s="40" t="n">
        <v>17</v>
      </c>
      <c r="I632" s="40" t="inlineStr">
        <is>
          <t>Select item</t>
        </is>
      </c>
      <c r="J632" s="40" t="inlineStr">
        <is>
          <t>1-23 August 2026</t>
        </is>
      </c>
      <c r="K632" s="55" t="n">
        <v>962</v>
      </c>
      <c r="L632" s="40" t="inlineStr">
        <is>
          <t>Search→Select 1-23 August 2026</t>
        </is>
      </c>
      <c r="M632" s="40">
        <f>IF(Countries!X48="","STILL MISSING","Filled ✓")</f>
        <v/>
      </c>
    </row>
    <row r="633">
      <c r="A633" s="56" t="inlineStr">
        <is>
          <t>Countries</t>
        </is>
      </c>
      <c r="B633" s="56" t="inlineStr">
        <is>
          <t>I48</t>
        </is>
      </c>
      <c r="C633" s="56" t="n">
        <v>48</v>
      </c>
      <c r="D633" s="56" t="inlineStr">
        <is>
          <t>All landing pages</t>
        </is>
      </c>
      <c r="E633" s="56" t="inlineStr">
        <is>
          <t>Organic</t>
        </is>
      </c>
      <c r="F633" s="56" t="inlineStr">
        <is>
          <t>Mobile</t>
        </is>
      </c>
      <c r="G633" s="56" t="inlineStr">
        <is>
          <t>Türkiye</t>
        </is>
      </c>
      <c r="H633" s="56" t="n">
        <v>17</v>
      </c>
      <c r="I633" s="56" t="inlineStr">
        <is>
          <t>Start Search</t>
        </is>
      </c>
      <c r="J633" s="56" t="inlineStr">
        <is>
          <t>1-23 August 2025</t>
        </is>
      </c>
      <c r="K633" s="57" t="n">
        <v>962</v>
      </c>
      <c r="L633" s="56" t="inlineStr">
        <is>
          <t>Visit→Engagement 1-23 August 2025</t>
        </is>
      </c>
      <c r="M633" s="40">
        <f>IF(Countries!I48="","STILL MISSING","Filled ✓")</f>
        <v/>
      </c>
    </row>
    <row r="634">
      <c r="A634" s="40" t="inlineStr">
        <is>
          <t>Countries</t>
        </is>
      </c>
      <c r="B634" s="40" t="inlineStr">
        <is>
          <t>J48</t>
        </is>
      </c>
      <c r="C634" s="40" t="n">
        <v>48</v>
      </c>
      <c r="D634" s="40" t="inlineStr">
        <is>
          <t>All landing pages</t>
        </is>
      </c>
      <c r="E634" s="40" t="inlineStr">
        <is>
          <t>Organic</t>
        </is>
      </c>
      <c r="F634" s="40" t="inlineStr">
        <is>
          <t>Mobile</t>
        </is>
      </c>
      <c r="G634" s="40" t="inlineStr">
        <is>
          <t>Türkiye</t>
        </is>
      </c>
      <c r="H634" s="40" t="n">
        <v>17</v>
      </c>
      <c r="I634" s="40" t="inlineStr">
        <is>
          <t>Start Search</t>
        </is>
      </c>
      <c r="J634" s="40" t="inlineStr">
        <is>
          <t>1-23 August 2026</t>
        </is>
      </c>
      <c r="K634" s="55" t="n">
        <v>962</v>
      </c>
      <c r="L634" s="40" t="inlineStr">
        <is>
          <t>Visit→Engagement 1-23 August 2026</t>
        </is>
      </c>
      <c r="M634" s="40">
        <f>IF(Countries!J48="","STILL MISSING","Filled ✓")</f>
        <v/>
      </c>
    </row>
    <row r="635">
      <c r="A635" s="56" t="inlineStr">
        <is>
          <t>Countries</t>
        </is>
      </c>
      <c r="B635" s="56" t="inlineStr">
        <is>
          <t>AR85</t>
        </is>
      </c>
      <c r="C635" s="56" t="n">
        <v>85</v>
      </c>
      <c r="D635" s="56" t="inlineStr">
        <is>
          <t>All landing pages</t>
        </is>
      </c>
      <c r="E635" s="56" t="inlineStr">
        <is>
          <t>Direct</t>
        </is>
      </c>
      <c r="F635" s="56" t="inlineStr">
        <is>
          <t>Mobile</t>
        </is>
      </c>
      <c r="G635" s="56" t="inlineStr">
        <is>
          <t>Türkiye</t>
        </is>
      </c>
      <c r="H635" s="56" t="n">
        <v>17</v>
      </c>
      <c r="I635" s="56" t="inlineStr">
        <is>
          <t>Purchases</t>
        </is>
      </c>
      <c r="J635" s="56" t="inlineStr">
        <is>
          <t>1-23 August 2025</t>
        </is>
      </c>
      <c r="K635" s="57" t="n">
        <v>319</v>
      </c>
      <c r="L635" s="56" t="inlineStr">
        <is>
          <t>CR 1-23 August 2025 + Search→Booking 1-23 August 2025</t>
        </is>
      </c>
      <c r="M635" s="40">
        <f>IF(Countries!AR85="","STILL MISSING","Filled ✓")</f>
        <v/>
      </c>
    </row>
    <row r="636">
      <c r="A636" s="40" t="inlineStr">
        <is>
          <t>Countries</t>
        </is>
      </c>
      <c r="B636" s="40" t="inlineStr">
        <is>
          <t>AS85</t>
        </is>
      </c>
      <c r="C636" s="40" t="n">
        <v>85</v>
      </c>
      <c r="D636" s="40" t="inlineStr">
        <is>
          <t>All landing pages</t>
        </is>
      </c>
      <c r="E636" s="40" t="inlineStr">
        <is>
          <t>Direct</t>
        </is>
      </c>
      <c r="F636" s="40" t="inlineStr">
        <is>
          <t>Mobile</t>
        </is>
      </c>
      <c r="G636" s="40" t="inlineStr">
        <is>
          <t>Türkiye</t>
        </is>
      </c>
      <c r="H636" s="40" t="n">
        <v>17</v>
      </c>
      <c r="I636" s="40" t="inlineStr">
        <is>
          <t>Purchases</t>
        </is>
      </c>
      <c r="J636" s="40" t="inlineStr">
        <is>
          <t>1-23 August 2026</t>
        </is>
      </c>
      <c r="K636" s="55" t="n">
        <v>319</v>
      </c>
      <c r="L636" s="40" t="inlineStr">
        <is>
          <t>CR 1-23 August 2026 + Search→Booking 1-23 August 2026</t>
        </is>
      </c>
      <c r="M636" s="40">
        <f>IF(Countries!AS85="","STILL MISSING","Filled ✓")</f>
        <v/>
      </c>
    </row>
    <row r="637">
      <c r="A637" s="56" t="inlineStr">
        <is>
          <t>Countries</t>
        </is>
      </c>
      <c r="B637" s="56" t="inlineStr">
        <is>
          <t>W85</t>
        </is>
      </c>
      <c r="C637" s="56" t="n">
        <v>85</v>
      </c>
      <c r="D637" s="56" t="inlineStr">
        <is>
          <t>All landing pages</t>
        </is>
      </c>
      <c r="E637" s="56" t="inlineStr">
        <is>
          <t>Direct</t>
        </is>
      </c>
      <c r="F637" s="56" t="inlineStr">
        <is>
          <t>Mobile</t>
        </is>
      </c>
      <c r="G637" s="56" t="inlineStr">
        <is>
          <t>Türkiye</t>
        </is>
      </c>
      <c r="H637" s="56" t="n">
        <v>17</v>
      </c>
      <c r="I637" s="56" t="inlineStr">
        <is>
          <t>Select item</t>
        </is>
      </c>
      <c r="J637" s="56" t="inlineStr">
        <is>
          <t>1-23 August 2025</t>
        </is>
      </c>
      <c r="K637" s="57" t="n">
        <v>319</v>
      </c>
      <c r="L637" s="56" t="inlineStr">
        <is>
          <t>Search→Select 1-23 August 2025</t>
        </is>
      </c>
      <c r="M637" s="40">
        <f>IF(Countries!W85="","STILL MISSING","Filled ✓")</f>
        <v/>
      </c>
    </row>
    <row r="638">
      <c r="A638" s="40" t="inlineStr">
        <is>
          <t>Countries</t>
        </is>
      </c>
      <c r="B638" s="40" t="inlineStr">
        <is>
          <t>X85</t>
        </is>
      </c>
      <c r="C638" s="40" t="n">
        <v>85</v>
      </c>
      <c r="D638" s="40" t="inlineStr">
        <is>
          <t>All landing pages</t>
        </is>
      </c>
      <c r="E638" s="40" t="inlineStr">
        <is>
          <t>Direct</t>
        </is>
      </c>
      <c r="F638" s="40" t="inlineStr">
        <is>
          <t>Mobile</t>
        </is>
      </c>
      <c r="G638" s="40" t="inlineStr">
        <is>
          <t>Türkiye</t>
        </is>
      </c>
      <c r="H638" s="40" t="n">
        <v>17</v>
      </c>
      <c r="I638" s="40" t="inlineStr">
        <is>
          <t>Select item</t>
        </is>
      </c>
      <c r="J638" s="40" t="inlineStr">
        <is>
          <t>1-23 August 2026</t>
        </is>
      </c>
      <c r="K638" s="55" t="n">
        <v>319</v>
      </c>
      <c r="L638" s="40" t="inlineStr">
        <is>
          <t>Search→Select 1-23 August 2026</t>
        </is>
      </c>
      <c r="M638" s="40">
        <f>IF(Countries!X85="","STILL MISSING","Filled ✓")</f>
        <v/>
      </c>
    </row>
    <row r="639">
      <c r="A639" s="56" t="inlineStr">
        <is>
          <t>Countries</t>
        </is>
      </c>
      <c r="B639" s="56" t="inlineStr">
        <is>
          <t>I85</t>
        </is>
      </c>
      <c r="C639" s="56" t="n">
        <v>85</v>
      </c>
      <c r="D639" s="56" t="inlineStr">
        <is>
          <t>All landing pages</t>
        </is>
      </c>
      <c r="E639" s="56" t="inlineStr">
        <is>
          <t>Direct</t>
        </is>
      </c>
      <c r="F639" s="56" t="inlineStr">
        <is>
          <t>Mobile</t>
        </is>
      </c>
      <c r="G639" s="56" t="inlineStr">
        <is>
          <t>Türkiye</t>
        </is>
      </c>
      <c r="H639" s="56" t="n">
        <v>17</v>
      </c>
      <c r="I639" s="56" t="inlineStr">
        <is>
          <t>Start Search</t>
        </is>
      </c>
      <c r="J639" s="56" t="inlineStr">
        <is>
          <t>1-23 August 2025</t>
        </is>
      </c>
      <c r="K639" s="57" t="n">
        <v>319</v>
      </c>
      <c r="L639" s="56" t="inlineStr">
        <is>
          <t>Visit→Engagement 1-23 August 2025</t>
        </is>
      </c>
      <c r="M639" s="40">
        <f>IF(Countries!I85="","STILL MISSING","Filled ✓")</f>
        <v/>
      </c>
    </row>
    <row r="640">
      <c r="A640" s="40" t="inlineStr">
        <is>
          <t>Countries</t>
        </is>
      </c>
      <c r="B640" s="40" t="inlineStr">
        <is>
          <t>J85</t>
        </is>
      </c>
      <c r="C640" s="40" t="n">
        <v>85</v>
      </c>
      <c r="D640" s="40" t="inlineStr">
        <is>
          <t>All landing pages</t>
        </is>
      </c>
      <c r="E640" s="40" t="inlineStr">
        <is>
          <t>Direct</t>
        </is>
      </c>
      <c r="F640" s="40" t="inlineStr">
        <is>
          <t>Mobile</t>
        </is>
      </c>
      <c r="G640" s="40" t="inlineStr">
        <is>
          <t>Türkiye</t>
        </is>
      </c>
      <c r="H640" s="40" t="n">
        <v>17</v>
      </c>
      <c r="I640" s="40" t="inlineStr">
        <is>
          <t>Start Search</t>
        </is>
      </c>
      <c r="J640" s="40" t="inlineStr">
        <is>
          <t>1-23 August 2026</t>
        </is>
      </c>
      <c r="K640" s="55" t="n">
        <v>319</v>
      </c>
      <c r="L640" s="40" t="inlineStr">
        <is>
          <t>Visit→Engagement 1-23 August 2026</t>
        </is>
      </c>
      <c r="M640" s="40">
        <f>IF(Countries!J85="","STILL MISSING","Filled ✓")</f>
        <v/>
      </c>
    </row>
    <row r="641">
      <c r="A641" s="56" t="inlineStr">
        <is>
          <t>Countries</t>
        </is>
      </c>
      <c r="B641" s="56" t="inlineStr">
        <is>
          <t>AR127</t>
        </is>
      </c>
      <c r="C641" s="56" t="n">
        <v>127</v>
      </c>
      <c r="D641" s="56" t="inlineStr">
        <is>
          <t>Home page</t>
        </is>
      </c>
      <c r="E641" s="56" t="inlineStr">
        <is>
          <t>Paid Search</t>
        </is>
      </c>
      <c r="F641" s="56" t="inlineStr">
        <is>
          <t>Mobile</t>
        </is>
      </c>
      <c r="G641" s="56" t="inlineStr">
        <is>
          <t>Türkiye</t>
        </is>
      </c>
      <c r="H641" s="56" t="n">
        <v>17</v>
      </c>
      <c r="I641" s="56" t="inlineStr">
        <is>
          <t>Purchases</t>
        </is>
      </c>
      <c r="J641" s="56" t="inlineStr">
        <is>
          <t>1-23 August 2025</t>
        </is>
      </c>
      <c r="K641" s="57" t="n">
        <v>589</v>
      </c>
      <c r="L641" s="56" t="inlineStr">
        <is>
          <t>CR 1-23 August 2025 + Search→Booking 1-23 August 2025</t>
        </is>
      </c>
      <c r="M641" s="40">
        <f>IF(Countries!AR127="","STILL MISSING","Filled ✓")</f>
        <v/>
      </c>
    </row>
    <row r="642">
      <c r="A642" s="40" t="inlineStr">
        <is>
          <t>Countries</t>
        </is>
      </c>
      <c r="B642" s="40" t="inlineStr">
        <is>
          <t>Q127</t>
        </is>
      </c>
      <c r="C642" s="40" t="n">
        <v>127</v>
      </c>
      <c r="D642" s="40" t="inlineStr">
        <is>
          <t>Home page</t>
        </is>
      </c>
      <c r="E642" s="40" t="inlineStr">
        <is>
          <t>Paid Search</t>
        </is>
      </c>
      <c r="F642" s="40" t="inlineStr">
        <is>
          <t>Mobile</t>
        </is>
      </c>
      <c r="G642" s="40" t="inlineStr">
        <is>
          <t>Türkiye</t>
        </is>
      </c>
      <c r="H642" s="40" t="n">
        <v>17</v>
      </c>
      <c r="I642" s="40" t="inlineStr">
        <is>
          <t>Searches</t>
        </is>
      </c>
      <c r="J642" s="40" t="inlineStr">
        <is>
          <t>1-23 August 2026</t>
        </is>
      </c>
      <c r="K642" s="55" t="n">
        <v>589</v>
      </c>
      <c r="L642" s="40" t="inlineStr">
        <is>
          <t>Searches YoY</t>
        </is>
      </c>
      <c r="M642" s="40">
        <f>IF(Countries!Q127="","STILL MISSING","Filled ✓")</f>
        <v/>
      </c>
    </row>
    <row r="643">
      <c r="A643" s="56" t="inlineStr">
        <is>
          <t>Countries</t>
        </is>
      </c>
      <c r="B643" s="56" t="inlineStr">
        <is>
          <t>W127</t>
        </is>
      </c>
      <c r="C643" s="56" t="n">
        <v>127</v>
      </c>
      <c r="D643" s="56" t="inlineStr">
        <is>
          <t>Home page</t>
        </is>
      </c>
      <c r="E643" s="56" t="inlineStr">
        <is>
          <t>Paid Search</t>
        </is>
      </c>
      <c r="F643" s="56" t="inlineStr">
        <is>
          <t>Mobile</t>
        </is>
      </c>
      <c r="G643" s="56" t="inlineStr">
        <is>
          <t>Türkiye</t>
        </is>
      </c>
      <c r="H643" s="56" t="n">
        <v>17</v>
      </c>
      <c r="I643" s="56" t="inlineStr">
        <is>
          <t>Select item</t>
        </is>
      </c>
      <c r="J643" s="56" t="inlineStr">
        <is>
          <t>1-23 August 2025</t>
        </is>
      </c>
      <c r="K643" s="57" t="n">
        <v>589</v>
      </c>
      <c r="L643" s="56" t="inlineStr">
        <is>
          <t>Search→Select 1-23 August 2025</t>
        </is>
      </c>
      <c r="M643" s="40">
        <f>IF(Countries!W127="","STILL MISSING","Filled ✓")</f>
        <v/>
      </c>
    </row>
    <row r="644">
      <c r="A644" s="40" t="inlineStr">
        <is>
          <t>Countries</t>
        </is>
      </c>
      <c r="B644" s="40" t="inlineStr">
        <is>
          <t>F127</t>
        </is>
      </c>
      <c r="C644" s="40" t="n">
        <v>127</v>
      </c>
      <c r="D644" s="40" t="inlineStr">
        <is>
          <t>Home page</t>
        </is>
      </c>
      <c r="E644" s="40" t="inlineStr">
        <is>
          <t>Paid Search</t>
        </is>
      </c>
      <c r="F644" s="40" t="inlineStr">
        <is>
          <t>Mobile</t>
        </is>
      </c>
      <c r="G644" s="40" t="inlineStr">
        <is>
          <t>Türkiye</t>
        </is>
      </c>
      <c r="H644" s="40" t="n">
        <v>17</v>
      </c>
      <c r="I644" s="40" t="inlineStr">
        <is>
          <t>Sessions</t>
        </is>
      </c>
      <c r="J644" s="40" t="inlineStr">
        <is>
          <t>1-23 August 2026</t>
        </is>
      </c>
      <c r="K644" s="55" t="n">
        <v>589</v>
      </c>
      <c r="L644" s="40" t="inlineStr">
        <is>
          <t>Sessions YoY</t>
        </is>
      </c>
      <c r="M644" s="40">
        <f>IF(Countries!F127="","STILL MISSING","Filled ✓")</f>
        <v/>
      </c>
    </row>
    <row r="645">
      <c r="A645" s="56" t="inlineStr">
        <is>
          <t>Countries</t>
        </is>
      </c>
      <c r="B645" s="56" t="inlineStr">
        <is>
          <t>I127</t>
        </is>
      </c>
      <c r="C645" s="56" t="n">
        <v>127</v>
      </c>
      <c r="D645" s="56" t="inlineStr">
        <is>
          <t>Home page</t>
        </is>
      </c>
      <c r="E645" s="56" t="inlineStr">
        <is>
          <t>Paid Search</t>
        </is>
      </c>
      <c r="F645" s="56" t="inlineStr">
        <is>
          <t>Mobile</t>
        </is>
      </c>
      <c r="G645" s="56" t="inlineStr">
        <is>
          <t>Türkiye</t>
        </is>
      </c>
      <c r="H645" s="56" t="n">
        <v>17</v>
      </c>
      <c r="I645" s="56" t="inlineStr">
        <is>
          <t>Start Search</t>
        </is>
      </c>
      <c r="J645" s="56" t="inlineStr">
        <is>
          <t>1-23 August 2025</t>
        </is>
      </c>
      <c r="K645" s="57" t="n">
        <v>589</v>
      </c>
      <c r="L645" s="56" t="inlineStr">
        <is>
          <t>Visit→Engagement 1-23 August 2025</t>
        </is>
      </c>
      <c r="M645" s="40">
        <f>IF(Countries!I127="","STILL MISSING","Filled ✓")</f>
        <v/>
      </c>
    </row>
    <row r="646">
      <c r="A646" s="40" t="inlineStr">
        <is>
          <t>Countries</t>
        </is>
      </c>
      <c r="B646" s="40" t="inlineStr">
        <is>
          <t>AR158</t>
        </is>
      </c>
      <c r="C646" s="40" t="n">
        <v>158</v>
      </c>
      <c r="D646" s="40" t="inlineStr">
        <is>
          <t>Home page</t>
        </is>
      </c>
      <c r="E646" s="40" t="inlineStr">
        <is>
          <t>Organic</t>
        </is>
      </c>
      <c r="F646" s="40" t="inlineStr">
        <is>
          <t>Mobile</t>
        </is>
      </c>
      <c r="G646" s="40" t="inlineStr">
        <is>
          <t>Türkiye</t>
        </is>
      </c>
      <c r="H646" s="40" t="n">
        <v>17</v>
      </c>
      <c r="I646" s="40" t="inlineStr">
        <is>
          <t>Purchases</t>
        </is>
      </c>
      <c r="J646" s="40" t="inlineStr">
        <is>
          <t>1-23 August 2025</t>
        </is>
      </c>
      <c r="K646" s="55" t="n">
        <v>144</v>
      </c>
      <c r="L646" s="40" t="inlineStr">
        <is>
          <t>CR 1-23 August 2025 + Search→Booking 1-23 August 2025</t>
        </is>
      </c>
      <c r="M646" s="40">
        <f>IF(Countries!AR158="","STILL MISSING","Filled ✓")</f>
        <v/>
      </c>
    </row>
    <row r="647">
      <c r="A647" s="56" t="inlineStr">
        <is>
          <t>Countries</t>
        </is>
      </c>
      <c r="B647" s="56" t="inlineStr">
        <is>
          <t>AS158</t>
        </is>
      </c>
      <c r="C647" s="56" t="n">
        <v>158</v>
      </c>
      <c r="D647" s="56" t="inlineStr">
        <is>
          <t>Home page</t>
        </is>
      </c>
      <c r="E647" s="56" t="inlineStr">
        <is>
          <t>Organic</t>
        </is>
      </c>
      <c r="F647" s="56" t="inlineStr">
        <is>
          <t>Mobile</t>
        </is>
      </c>
      <c r="G647" s="56" t="inlineStr">
        <is>
          <t>Türkiye</t>
        </is>
      </c>
      <c r="H647" s="56" t="n">
        <v>17</v>
      </c>
      <c r="I647" s="56" t="inlineStr">
        <is>
          <t>Purchases</t>
        </is>
      </c>
      <c r="J647" s="56" t="inlineStr">
        <is>
          <t>1-23 August 2026</t>
        </is>
      </c>
      <c r="K647" s="57" t="n">
        <v>144</v>
      </c>
      <c r="L647" s="56" t="inlineStr">
        <is>
          <t>CR 1-23 August 2026 + Search→Booking 1-23 August 2026</t>
        </is>
      </c>
      <c r="M647" s="40">
        <f>IF(Countries!AS158="","STILL MISSING","Filled ✓")</f>
        <v/>
      </c>
    </row>
    <row r="648">
      <c r="A648" s="40" t="inlineStr">
        <is>
          <t>Countries</t>
        </is>
      </c>
      <c r="B648" s="40" t="inlineStr">
        <is>
          <t>W158</t>
        </is>
      </c>
      <c r="C648" s="40" t="n">
        <v>158</v>
      </c>
      <c r="D648" s="40" t="inlineStr">
        <is>
          <t>Home page</t>
        </is>
      </c>
      <c r="E648" s="40" t="inlineStr">
        <is>
          <t>Organic</t>
        </is>
      </c>
      <c r="F648" s="40" t="inlineStr">
        <is>
          <t>Mobile</t>
        </is>
      </c>
      <c r="G648" s="40" t="inlineStr">
        <is>
          <t>Türkiye</t>
        </is>
      </c>
      <c r="H648" s="40" t="n">
        <v>17</v>
      </c>
      <c r="I648" s="40" t="inlineStr">
        <is>
          <t>Select item</t>
        </is>
      </c>
      <c r="J648" s="40" t="inlineStr">
        <is>
          <t>1-23 August 2025</t>
        </is>
      </c>
      <c r="K648" s="55" t="n">
        <v>144</v>
      </c>
      <c r="L648" s="40" t="inlineStr">
        <is>
          <t>Search→Select 1-23 August 2025</t>
        </is>
      </c>
      <c r="M648" s="40">
        <f>IF(Countries!W158="","STILL MISSING","Filled ✓")</f>
        <v/>
      </c>
    </row>
    <row r="649">
      <c r="A649" s="56" t="inlineStr">
        <is>
          <t>Countries</t>
        </is>
      </c>
      <c r="B649" s="56" t="inlineStr">
        <is>
          <t>X158</t>
        </is>
      </c>
      <c r="C649" s="56" t="n">
        <v>158</v>
      </c>
      <c r="D649" s="56" t="inlineStr">
        <is>
          <t>Home page</t>
        </is>
      </c>
      <c r="E649" s="56" t="inlineStr">
        <is>
          <t>Organic</t>
        </is>
      </c>
      <c r="F649" s="56" t="inlineStr">
        <is>
          <t>Mobile</t>
        </is>
      </c>
      <c r="G649" s="56" t="inlineStr">
        <is>
          <t>Türkiye</t>
        </is>
      </c>
      <c r="H649" s="56" t="n">
        <v>17</v>
      </c>
      <c r="I649" s="56" t="inlineStr">
        <is>
          <t>Select item</t>
        </is>
      </c>
      <c r="J649" s="56" t="inlineStr">
        <is>
          <t>1-23 August 2026</t>
        </is>
      </c>
      <c r="K649" s="57" t="n">
        <v>144</v>
      </c>
      <c r="L649" s="56" t="inlineStr">
        <is>
          <t>Search→Select 1-23 August 2026</t>
        </is>
      </c>
      <c r="M649" s="40">
        <f>IF(Countries!X158="","STILL MISSING","Filled ✓")</f>
        <v/>
      </c>
    </row>
    <row r="650">
      <c r="A650" s="40" t="inlineStr">
        <is>
          <t>Countries</t>
        </is>
      </c>
      <c r="B650" s="40" t="inlineStr">
        <is>
          <t>I158</t>
        </is>
      </c>
      <c r="C650" s="40" t="n">
        <v>158</v>
      </c>
      <c r="D650" s="40" t="inlineStr">
        <is>
          <t>Home page</t>
        </is>
      </c>
      <c r="E650" s="40" t="inlineStr">
        <is>
          <t>Organic</t>
        </is>
      </c>
      <c r="F650" s="40" t="inlineStr">
        <is>
          <t>Mobile</t>
        </is>
      </c>
      <c r="G650" s="40" t="inlineStr">
        <is>
          <t>Türkiye</t>
        </is>
      </c>
      <c r="H650" s="40" t="n">
        <v>17</v>
      </c>
      <c r="I650" s="40" t="inlineStr">
        <is>
          <t>Start Search</t>
        </is>
      </c>
      <c r="J650" s="40" t="inlineStr">
        <is>
          <t>1-23 August 2025</t>
        </is>
      </c>
      <c r="K650" s="55" t="n">
        <v>144</v>
      </c>
      <c r="L650" s="40" t="inlineStr">
        <is>
          <t>Visit→Engagement 1-23 August 2025</t>
        </is>
      </c>
      <c r="M650" s="40">
        <f>IF(Countries!I158="","STILL MISSING","Filled ✓")</f>
        <v/>
      </c>
    </row>
    <row r="651">
      <c r="A651" s="56" t="inlineStr">
        <is>
          <t>Countries</t>
        </is>
      </c>
      <c r="B651" s="56" t="inlineStr">
        <is>
          <t>J158</t>
        </is>
      </c>
      <c r="C651" s="56" t="n">
        <v>158</v>
      </c>
      <c r="D651" s="56" t="inlineStr">
        <is>
          <t>Home page</t>
        </is>
      </c>
      <c r="E651" s="56" t="inlineStr">
        <is>
          <t>Organic</t>
        </is>
      </c>
      <c r="F651" s="56" t="inlineStr">
        <is>
          <t>Mobile</t>
        </is>
      </c>
      <c r="G651" s="56" t="inlineStr">
        <is>
          <t>Türkiye</t>
        </is>
      </c>
      <c r="H651" s="56" t="n">
        <v>17</v>
      </c>
      <c r="I651" s="56" t="inlineStr">
        <is>
          <t>Start Search</t>
        </is>
      </c>
      <c r="J651" s="56" t="inlineStr">
        <is>
          <t>1-23 August 2026</t>
        </is>
      </c>
      <c r="K651" s="57" t="n">
        <v>144</v>
      </c>
      <c r="L651" s="56" t="inlineStr">
        <is>
          <t>Visit→Engagement 1-23 August 2026</t>
        </is>
      </c>
      <c r="M651" s="40">
        <f>IF(Countries!J158="","STILL MISSING","Filled ✓")</f>
        <v/>
      </c>
    </row>
    <row r="652">
      <c r="A652" s="40" t="inlineStr">
        <is>
          <t>Countries</t>
        </is>
      </c>
      <c r="B652" s="40" t="inlineStr">
        <is>
          <t>AR194</t>
        </is>
      </c>
      <c r="C652" s="40" t="n">
        <v>194</v>
      </c>
      <c r="D652" s="40" t="inlineStr">
        <is>
          <t>Home page</t>
        </is>
      </c>
      <c r="E652" s="40" t="inlineStr">
        <is>
          <t>Direct</t>
        </is>
      </c>
      <c r="F652" s="40" t="inlineStr">
        <is>
          <t>Mobile</t>
        </is>
      </c>
      <c r="G652" s="40" t="inlineStr">
        <is>
          <t>Türkiye</t>
        </is>
      </c>
      <c r="H652" s="40" t="n">
        <v>17</v>
      </c>
      <c r="I652" s="40" t="inlineStr">
        <is>
          <t>Purchases</t>
        </is>
      </c>
      <c r="J652" s="40" t="inlineStr">
        <is>
          <t>1-23 August 2025</t>
        </is>
      </c>
      <c r="K652" s="55" t="n">
        <v>236</v>
      </c>
      <c r="L652" s="40" t="inlineStr">
        <is>
          <t>CR 1-23 August 2025 + Search→Booking 1-23 August 2025</t>
        </is>
      </c>
      <c r="M652" s="40">
        <f>IF(Countries!AR194="","STILL MISSING","Filled ✓")</f>
        <v/>
      </c>
    </row>
    <row r="653">
      <c r="A653" s="56" t="inlineStr">
        <is>
          <t>Countries</t>
        </is>
      </c>
      <c r="B653" s="56" t="inlineStr">
        <is>
          <t>AS194</t>
        </is>
      </c>
      <c r="C653" s="56" t="n">
        <v>194</v>
      </c>
      <c r="D653" s="56" t="inlineStr">
        <is>
          <t>Home page</t>
        </is>
      </c>
      <c r="E653" s="56" t="inlineStr">
        <is>
          <t>Direct</t>
        </is>
      </c>
      <c r="F653" s="56" t="inlineStr">
        <is>
          <t>Mobile</t>
        </is>
      </c>
      <c r="G653" s="56" t="inlineStr">
        <is>
          <t>Türkiye</t>
        </is>
      </c>
      <c r="H653" s="56" t="n">
        <v>17</v>
      </c>
      <c r="I653" s="56" t="inlineStr">
        <is>
          <t>Purchases</t>
        </is>
      </c>
      <c r="J653" s="56" t="inlineStr">
        <is>
          <t>1-23 August 2026</t>
        </is>
      </c>
      <c r="K653" s="57" t="n">
        <v>236</v>
      </c>
      <c r="L653" s="56" t="inlineStr">
        <is>
          <t>CR 1-23 August 2026 + Search→Booking 1-23 August 2026</t>
        </is>
      </c>
      <c r="M653" s="40">
        <f>IF(Countries!AS194="","STILL MISSING","Filled ✓")</f>
        <v/>
      </c>
    </row>
    <row r="654">
      <c r="A654" s="40" t="inlineStr">
        <is>
          <t>Countries</t>
        </is>
      </c>
      <c r="B654" s="40" t="inlineStr">
        <is>
          <t>W194</t>
        </is>
      </c>
      <c r="C654" s="40" t="n">
        <v>194</v>
      </c>
      <c r="D654" s="40" t="inlineStr">
        <is>
          <t>Home page</t>
        </is>
      </c>
      <c r="E654" s="40" t="inlineStr">
        <is>
          <t>Direct</t>
        </is>
      </c>
      <c r="F654" s="40" t="inlineStr">
        <is>
          <t>Mobile</t>
        </is>
      </c>
      <c r="G654" s="40" t="inlineStr">
        <is>
          <t>Türkiye</t>
        </is>
      </c>
      <c r="H654" s="40" t="n">
        <v>17</v>
      </c>
      <c r="I654" s="40" t="inlineStr">
        <is>
          <t>Select item</t>
        </is>
      </c>
      <c r="J654" s="40" t="inlineStr">
        <is>
          <t>1-23 August 2025</t>
        </is>
      </c>
      <c r="K654" s="55" t="n">
        <v>236</v>
      </c>
      <c r="L654" s="40" t="inlineStr">
        <is>
          <t>Search→Select 1-23 August 2025</t>
        </is>
      </c>
      <c r="M654" s="40">
        <f>IF(Countries!W194="","STILL MISSING","Filled ✓")</f>
        <v/>
      </c>
    </row>
    <row r="655">
      <c r="A655" s="56" t="inlineStr">
        <is>
          <t>Countries</t>
        </is>
      </c>
      <c r="B655" s="56" t="inlineStr">
        <is>
          <t>X194</t>
        </is>
      </c>
      <c r="C655" s="56" t="n">
        <v>194</v>
      </c>
      <c r="D655" s="56" t="inlineStr">
        <is>
          <t>Home page</t>
        </is>
      </c>
      <c r="E655" s="56" t="inlineStr">
        <is>
          <t>Direct</t>
        </is>
      </c>
      <c r="F655" s="56" t="inlineStr">
        <is>
          <t>Mobile</t>
        </is>
      </c>
      <c r="G655" s="56" t="inlineStr">
        <is>
          <t>Türkiye</t>
        </is>
      </c>
      <c r="H655" s="56" t="n">
        <v>17</v>
      </c>
      <c r="I655" s="56" t="inlineStr">
        <is>
          <t>Select item</t>
        </is>
      </c>
      <c r="J655" s="56" t="inlineStr">
        <is>
          <t>1-23 August 2026</t>
        </is>
      </c>
      <c r="K655" s="57" t="n">
        <v>236</v>
      </c>
      <c r="L655" s="56" t="inlineStr">
        <is>
          <t>Search→Select 1-23 August 2026</t>
        </is>
      </c>
      <c r="M655" s="40">
        <f>IF(Countries!X194="","STILL MISSING","Filled ✓")</f>
        <v/>
      </c>
    </row>
    <row r="656">
      <c r="A656" s="40" t="inlineStr">
        <is>
          <t>Countries</t>
        </is>
      </c>
      <c r="B656" s="40" t="inlineStr">
        <is>
          <t>I194</t>
        </is>
      </c>
      <c r="C656" s="40" t="n">
        <v>194</v>
      </c>
      <c r="D656" s="40" t="inlineStr">
        <is>
          <t>Home page</t>
        </is>
      </c>
      <c r="E656" s="40" t="inlineStr">
        <is>
          <t>Direct</t>
        </is>
      </c>
      <c r="F656" s="40" t="inlineStr">
        <is>
          <t>Mobile</t>
        </is>
      </c>
      <c r="G656" s="40" t="inlineStr">
        <is>
          <t>Türkiye</t>
        </is>
      </c>
      <c r="H656" s="40" t="n">
        <v>17</v>
      </c>
      <c r="I656" s="40" t="inlineStr">
        <is>
          <t>Start Search</t>
        </is>
      </c>
      <c r="J656" s="40" t="inlineStr">
        <is>
          <t>1-23 August 2025</t>
        </is>
      </c>
      <c r="K656" s="55" t="n">
        <v>236</v>
      </c>
      <c r="L656" s="40" t="inlineStr">
        <is>
          <t>Visit→Engagement 1-23 August 2025</t>
        </is>
      </c>
      <c r="M656" s="40">
        <f>IF(Countries!I194="","STILL MISSING","Filled ✓")</f>
        <v/>
      </c>
    </row>
    <row r="657">
      <c r="A657" s="56" t="inlineStr">
        <is>
          <t>Countries</t>
        </is>
      </c>
      <c r="B657" s="56" t="inlineStr">
        <is>
          <t>J194</t>
        </is>
      </c>
      <c r="C657" s="56" t="n">
        <v>194</v>
      </c>
      <c r="D657" s="56" t="inlineStr">
        <is>
          <t>Home page</t>
        </is>
      </c>
      <c r="E657" s="56" t="inlineStr">
        <is>
          <t>Direct</t>
        </is>
      </c>
      <c r="F657" s="56" t="inlineStr">
        <is>
          <t>Mobile</t>
        </is>
      </c>
      <c r="G657" s="56" t="inlineStr">
        <is>
          <t>Türkiye</t>
        </is>
      </c>
      <c r="H657" s="56" t="n">
        <v>17</v>
      </c>
      <c r="I657" s="56" t="inlineStr">
        <is>
          <t>Start Search</t>
        </is>
      </c>
      <c r="J657" s="56" t="inlineStr">
        <is>
          <t>1-23 August 2026</t>
        </is>
      </c>
      <c r="K657" s="57" t="n">
        <v>236</v>
      </c>
      <c r="L657" s="56" t="inlineStr">
        <is>
          <t>Visit→Engagement 1-23 August 2026</t>
        </is>
      </c>
      <c r="M657" s="40">
        <f>IF(Countries!J194="","STILL MISSING","Filled ✓")</f>
        <v/>
      </c>
    </row>
    <row r="658">
      <c r="A658" s="40" t="inlineStr">
        <is>
          <t>Countries</t>
        </is>
      </c>
      <c r="B658" s="40" t="inlineStr">
        <is>
          <t>AR266</t>
        </is>
      </c>
      <c r="C658" s="40" t="n">
        <v>266</v>
      </c>
      <c r="D658" s="40" t="inlineStr">
        <is>
          <t>Airport page</t>
        </is>
      </c>
      <c r="E658" s="40" t="inlineStr">
        <is>
          <t>Organic</t>
        </is>
      </c>
      <c r="F658" s="40" t="inlineStr">
        <is>
          <t>Mobile</t>
        </is>
      </c>
      <c r="G658" s="40" t="inlineStr">
        <is>
          <t>Türkiye</t>
        </is>
      </c>
      <c r="H658" s="40" t="n">
        <v>17</v>
      </c>
      <c r="I658" s="40" t="inlineStr">
        <is>
          <t>Purchases</t>
        </is>
      </c>
      <c r="J658" s="40" t="inlineStr">
        <is>
          <t>1-23 August 2025</t>
        </is>
      </c>
      <c r="K658" s="55" t="n">
        <v>254</v>
      </c>
      <c r="L658" s="40" t="inlineStr">
        <is>
          <t>CR 1-23 August 2025 + Search→Booking 1-23 August 2025</t>
        </is>
      </c>
      <c r="M658" s="40">
        <f>IF(Countries!AR266="","STILL MISSING","Filled ✓")</f>
        <v/>
      </c>
    </row>
    <row r="659">
      <c r="A659" s="56" t="inlineStr">
        <is>
          <t>Countries</t>
        </is>
      </c>
      <c r="B659" s="56" t="inlineStr">
        <is>
          <t>AS266</t>
        </is>
      </c>
      <c r="C659" s="56" t="n">
        <v>266</v>
      </c>
      <c r="D659" s="56" t="inlineStr">
        <is>
          <t>Airport page</t>
        </is>
      </c>
      <c r="E659" s="56" t="inlineStr">
        <is>
          <t>Organic</t>
        </is>
      </c>
      <c r="F659" s="56" t="inlineStr">
        <is>
          <t>Mobile</t>
        </is>
      </c>
      <c r="G659" s="56" t="inlineStr">
        <is>
          <t>Türkiye</t>
        </is>
      </c>
      <c r="H659" s="56" t="n">
        <v>17</v>
      </c>
      <c r="I659" s="56" t="inlineStr">
        <is>
          <t>Purchases</t>
        </is>
      </c>
      <c r="J659" s="56" t="inlineStr">
        <is>
          <t>1-23 August 2026</t>
        </is>
      </c>
      <c r="K659" s="57" t="n">
        <v>254</v>
      </c>
      <c r="L659" s="56" t="inlineStr">
        <is>
          <t>CR 1-23 August 2026</t>
        </is>
      </c>
      <c r="M659" s="40">
        <f>IF(Countries!AS266="","STILL MISSING","Filled ✓")</f>
        <v/>
      </c>
    </row>
    <row r="660">
      <c r="A660" s="40" t="inlineStr">
        <is>
          <t>Countries</t>
        </is>
      </c>
      <c r="B660" s="40" t="inlineStr">
        <is>
          <t>Q266</t>
        </is>
      </c>
      <c r="C660" s="40" t="n">
        <v>266</v>
      </c>
      <c r="D660" s="40" t="inlineStr">
        <is>
          <t>Airport page</t>
        </is>
      </c>
      <c r="E660" s="40" t="inlineStr">
        <is>
          <t>Organic</t>
        </is>
      </c>
      <c r="F660" s="40" t="inlineStr">
        <is>
          <t>Mobile</t>
        </is>
      </c>
      <c r="G660" s="40" t="inlineStr">
        <is>
          <t>Türkiye</t>
        </is>
      </c>
      <c r="H660" s="40" t="n">
        <v>17</v>
      </c>
      <c r="I660" s="40" t="inlineStr">
        <is>
          <t>Searches</t>
        </is>
      </c>
      <c r="J660" s="40" t="inlineStr">
        <is>
          <t>1-23 August 2026</t>
        </is>
      </c>
      <c r="K660" s="55" t="n">
        <v>254</v>
      </c>
      <c r="L660" s="40" t="inlineStr">
        <is>
          <t>Searches YoY + Visit→Search 1-23 August 2026</t>
        </is>
      </c>
      <c r="M660" s="40">
        <f>IF(Countries!Q266="","STILL MISSING","Filled ✓")</f>
        <v/>
      </c>
    </row>
    <row r="661">
      <c r="A661" s="56" t="inlineStr">
        <is>
          <t>Countries</t>
        </is>
      </c>
      <c r="B661" s="56" t="inlineStr">
        <is>
          <t>W266</t>
        </is>
      </c>
      <c r="C661" s="56" t="n">
        <v>266</v>
      </c>
      <c r="D661" s="56" t="inlineStr">
        <is>
          <t>Airport page</t>
        </is>
      </c>
      <c r="E661" s="56" t="inlineStr">
        <is>
          <t>Organic</t>
        </is>
      </c>
      <c r="F661" s="56" t="inlineStr">
        <is>
          <t>Mobile</t>
        </is>
      </c>
      <c r="G661" s="56" t="inlineStr">
        <is>
          <t>Türkiye</t>
        </is>
      </c>
      <c r="H661" s="56" t="n">
        <v>17</v>
      </c>
      <c r="I661" s="56" t="inlineStr">
        <is>
          <t>Select item</t>
        </is>
      </c>
      <c r="J661" s="56" t="inlineStr">
        <is>
          <t>1-23 August 2025</t>
        </is>
      </c>
      <c r="K661" s="57" t="n">
        <v>254</v>
      </c>
      <c r="L661" s="56" t="inlineStr">
        <is>
          <t>Search→Select 1-23 August 2025</t>
        </is>
      </c>
      <c r="M661" s="40">
        <f>IF(Countries!W266="","STILL MISSING","Filled ✓")</f>
        <v/>
      </c>
    </row>
    <row r="662">
      <c r="A662" s="40" t="inlineStr">
        <is>
          <t>Countries</t>
        </is>
      </c>
      <c r="B662" s="40" t="inlineStr">
        <is>
          <t>I266</t>
        </is>
      </c>
      <c r="C662" s="40" t="n">
        <v>266</v>
      </c>
      <c r="D662" s="40" t="inlineStr">
        <is>
          <t>Airport page</t>
        </is>
      </c>
      <c r="E662" s="40" t="inlineStr">
        <is>
          <t>Organic</t>
        </is>
      </c>
      <c r="F662" s="40" t="inlineStr">
        <is>
          <t>Mobile</t>
        </is>
      </c>
      <c r="G662" s="40" t="inlineStr">
        <is>
          <t>Türkiye</t>
        </is>
      </c>
      <c r="H662" s="40" t="n">
        <v>17</v>
      </c>
      <c r="I662" s="40" t="inlineStr">
        <is>
          <t>Start Search</t>
        </is>
      </c>
      <c r="J662" s="40" t="inlineStr">
        <is>
          <t>1-23 August 2025</t>
        </is>
      </c>
      <c r="K662" s="55" t="n">
        <v>254</v>
      </c>
      <c r="L662" s="40" t="inlineStr">
        <is>
          <t>Visit→Engagement 1-23 August 2025</t>
        </is>
      </c>
      <c r="M662" s="40">
        <f>IF(Countries!I266="","STILL MISSING","Filled ✓")</f>
        <v/>
      </c>
    </row>
    <row r="663">
      <c r="A663" s="56" t="inlineStr">
        <is>
          <t>Countries</t>
        </is>
      </c>
      <c r="B663" s="56" t="inlineStr">
        <is>
          <t>J266</t>
        </is>
      </c>
      <c r="C663" s="56" t="n">
        <v>266</v>
      </c>
      <c r="D663" s="56" t="inlineStr">
        <is>
          <t>Airport page</t>
        </is>
      </c>
      <c r="E663" s="56" t="inlineStr">
        <is>
          <t>Organic</t>
        </is>
      </c>
      <c r="F663" s="56" t="inlineStr">
        <is>
          <t>Mobile</t>
        </is>
      </c>
      <c r="G663" s="56" t="inlineStr">
        <is>
          <t>Türkiye</t>
        </is>
      </c>
      <c r="H663" s="56" t="n">
        <v>17</v>
      </c>
      <c r="I663" s="56" t="inlineStr">
        <is>
          <t>Start Search</t>
        </is>
      </c>
      <c r="J663" s="56" t="inlineStr">
        <is>
          <t>1-23 August 2026</t>
        </is>
      </c>
      <c r="K663" s="57" t="n">
        <v>254</v>
      </c>
      <c r="L663" s="56" t="inlineStr">
        <is>
          <t>Visit→Engagement 1-23 August 2026</t>
        </is>
      </c>
      <c r="M663" s="40">
        <f>IF(Countries!J266="","STILL MISSING","Filled ✓")</f>
        <v/>
      </c>
    </row>
    <row r="664">
      <c r="A664" s="40" t="inlineStr">
        <is>
          <t>Countries</t>
        </is>
      </c>
      <c r="B664" s="40" t="inlineStr">
        <is>
          <t>AR305</t>
        </is>
      </c>
      <c r="C664" s="40" t="n">
        <v>305</v>
      </c>
      <c r="D664" s="40" t="inlineStr">
        <is>
          <t>Airport page</t>
        </is>
      </c>
      <c r="E664" s="40" t="inlineStr">
        <is>
          <t>Direct</t>
        </is>
      </c>
      <c r="F664" s="40" t="inlineStr">
        <is>
          <t>Mobile</t>
        </is>
      </c>
      <c r="G664" s="40" t="inlineStr">
        <is>
          <t>Türkiye</t>
        </is>
      </c>
      <c r="H664" s="40" t="n">
        <v>17</v>
      </c>
      <c r="I664" s="40" t="inlineStr">
        <is>
          <t>Purchases</t>
        </is>
      </c>
      <c r="J664" s="40" t="inlineStr">
        <is>
          <t>1-23 August 2025</t>
        </is>
      </c>
      <c r="K664" s="55" t="n">
        <v>15</v>
      </c>
      <c r="L664" s="40" t="inlineStr">
        <is>
          <t>Search→Booking 1-23 August 2025</t>
        </is>
      </c>
      <c r="M664" s="40">
        <f>IF(Countries!AR305="","STILL MISSING","Filled ✓")</f>
        <v/>
      </c>
    </row>
    <row r="665">
      <c r="A665" s="56" t="inlineStr">
        <is>
          <t>Countries</t>
        </is>
      </c>
      <c r="B665" s="56" t="inlineStr">
        <is>
          <t>Q305</t>
        </is>
      </c>
      <c r="C665" s="56" t="n">
        <v>305</v>
      </c>
      <c r="D665" s="56" t="inlineStr">
        <is>
          <t>Airport page</t>
        </is>
      </c>
      <c r="E665" s="56" t="inlineStr">
        <is>
          <t>Direct</t>
        </is>
      </c>
      <c r="F665" s="56" t="inlineStr">
        <is>
          <t>Mobile</t>
        </is>
      </c>
      <c r="G665" s="56" t="inlineStr">
        <is>
          <t>Türkiye</t>
        </is>
      </c>
      <c r="H665" s="56" t="n">
        <v>17</v>
      </c>
      <c r="I665" s="56" t="inlineStr">
        <is>
          <t>Searches</t>
        </is>
      </c>
      <c r="J665" s="56" t="inlineStr">
        <is>
          <t>1-23 August 2026</t>
        </is>
      </c>
      <c r="K665" s="57" t="n">
        <v>15</v>
      </c>
      <c r="L665" s="56" t="inlineStr">
        <is>
          <t>Searches YoY</t>
        </is>
      </c>
      <c r="M665" s="40">
        <f>IF(Countries!Q305="","STILL MISSING","Filled ✓")</f>
        <v/>
      </c>
    </row>
    <row r="666">
      <c r="A666" s="40" t="inlineStr">
        <is>
          <t>Countries</t>
        </is>
      </c>
      <c r="B666" s="40" t="inlineStr">
        <is>
          <t>W305</t>
        </is>
      </c>
      <c r="C666" s="40" t="n">
        <v>305</v>
      </c>
      <c r="D666" s="40" t="inlineStr">
        <is>
          <t>Airport page</t>
        </is>
      </c>
      <c r="E666" s="40" t="inlineStr">
        <is>
          <t>Direct</t>
        </is>
      </c>
      <c r="F666" s="40" t="inlineStr">
        <is>
          <t>Mobile</t>
        </is>
      </c>
      <c r="G666" s="40" t="inlineStr">
        <is>
          <t>Türkiye</t>
        </is>
      </c>
      <c r="H666" s="40" t="n">
        <v>17</v>
      </c>
      <c r="I666" s="40" t="inlineStr">
        <is>
          <t>Select item</t>
        </is>
      </c>
      <c r="J666" s="40" t="inlineStr">
        <is>
          <t>1-23 August 2025</t>
        </is>
      </c>
      <c r="K666" s="55" t="n">
        <v>15</v>
      </c>
      <c r="L666" s="40" t="inlineStr">
        <is>
          <t>Search→Select 1-23 August 2025</t>
        </is>
      </c>
      <c r="M666" s="40">
        <f>IF(Countries!W305="","STILL MISSING","Filled ✓")</f>
        <v/>
      </c>
    </row>
    <row r="667">
      <c r="A667" s="56" t="inlineStr">
        <is>
          <t>Countries</t>
        </is>
      </c>
      <c r="B667" s="56" t="inlineStr">
        <is>
          <t>E305</t>
        </is>
      </c>
      <c r="C667" s="56" t="n">
        <v>305</v>
      </c>
      <c r="D667" s="56" t="inlineStr">
        <is>
          <t>Airport page</t>
        </is>
      </c>
      <c r="E667" s="56" t="inlineStr">
        <is>
          <t>Direct</t>
        </is>
      </c>
      <c r="F667" s="56" t="inlineStr">
        <is>
          <t>Mobile</t>
        </is>
      </c>
      <c r="G667" s="56" t="inlineStr">
        <is>
          <t>Türkiye</t>
        </is>
      </c>
      <c r="H667" s="56" t="n">
        <v>17</v>
      </c>
      <c r="I667" s="56" t="inlineStr">
        <is>
          <t>Sessions</t>
        </is>
      </c>
      <c r="J667" s="56" t="inlineStr">
        <is>
          <t>1-23 August 2025</t>
        </is>
      </c>
      <c r="K667" s="57" t="n">
        <v>15</v>
      </c>
      <c r="L667" s="56" t="inlineStr">
        <is>
          <t>Visit→Search 1-23 August 2025</t>
        </is>
      </c>
      <c r="M667" s="40">
        <f>IF(Countries!E305="","STILL MISSING","Filled ✓")</f>
        <v/>
      </c>
    </row>
    <row r="668">
      <c r="A668" s="40" t="inlineStr">
        <is>
          <t>Countries</t>
        </is>
      </c>
      <c r="B668" s="40" t="inlineStr">
        <is>
          <t>AR371</t>
        </is>
      </c>
      <c r="C668" s="40" t="n">
        <v>371</v>
      </c>
      <c r="D668" s="40" t="inlineStr">
        <is>
          <t>Route page</t>
        </is>
      </c>
      <c r="E668" s="40" t="inlineStr">
        <is>
          <t>Organic</t>
        </is>
      </c>
      <c r="F668" s="40" t="inlineStr">
        <is>
          <t>Mobile</t>
        </is>
      </c>
      <c r="G668" s="40" t="inlineStr">
        <is>
          <t>Türkiye</t>
        </is>
      </c>
      <c r="H668" s="40" t="n">
        <v>17</v>
      </c>
      <c r="I668" s="40" t="inlineStr">
        <is>
          <t>Purchases</t>
        </is>
      </c>
      <c r="J668" s="40" t="inlineStr">
        <is>
          <t>1-23 August 2025</t>
        </is>
      </c>
      <c r="K668" s="55" t="n">
        <v>468</v>
      </c>
      <c r="L668" s="40" t="inlineStr">
        <is>
          <t>CR 1-23 August 2025</t>
        </is>
      </c>
      <c r="M668" s="40">
        <f>IF(Countries!AR371="","STILL MISSING","Filled ✓")</f>
        <v/>
      </c>
    </row>
    <row r="669">
      <c r="A669" s="56" t="inlineStr">
        <is>
          <t>Countries</t>
        </is>
      </c>
      <c r="B669" s="56" t="inlineStr">
        <is>
          <t>AS371</t>
        </is>
      </c>
      <c r="C669" s="56" t="n">
        <v>371</v>
      </c>
      <c r="D669" s="56" t="inlineStr">
        <is>
          <t>Route page</t>
        </is>
      </c>
      <c r="E669" s="56" t="inlineStr">
        <is>
          <t>Organic</t>
        </is>
      </c>
      <c r="F669" s="56" t="inlineStr">
        <is>
          <t>Mobile</t>
        </is>
      </c>
      <c r="G669" s="56" t="inlineStr">
        <is>
          <t>Türkiye</t>
        </is>
      </c>
      <c r="H669" s="56" t="n">
        <v>17</v>
      </c>
      <c r="I669" s="56" t="inlineStr">
        <is>
          <t>Purchases</t>
        </is>
      </c>
      <c r="J669" s="56" t="inlineStr">
        <is>
          <t>1-23 August 2026</t>
        </is>
      </c>
      <c r="K669" s="57" t="n">
        <v>468</v>
      </c>
      <c r="L669" s="56" t="inlineStr">
        <is>
          <t>CR 1-23 August 2026 + Search→Booking 1-23 August 2026</t>
        </is>
      </c>
      <c r="M669" s="40">
        <f>IF(Countries!AS371="","STILL MISSING","Filled ✓")</f>
        <v/>
      </c>
    </row>
    <row r="670">
      <c r="A670" s="40" t="inlineStr">
        <is>
          <t>Countries</t>
        </is>
      </c>
      <c r="B670" s="40" t="inlineStr">
        <is>
          <t>P371</t>
        </is>
      </c>
      <c r="C670" s="40" t="n">
        <v>371</v>
      </c>
      <c r="D670" s="40" t="inlineStr">
        <is>
          <t>Route page</t>
        </is>
      </c>
      <c r="E670" s="40" t="inlineStr">
        <is>
          <t>Organic</t>
        </is>
      </c>
      <c r="F670" s="40" t="inlineStr">
        <is>
          <t>Mobile</t>
        </is>
      </c>
      <c r="G670" s="40" t="inlineStr">
        <is>
          <t>Türkiye</t>
        </is>
      </c>
      <c r="H670" s="40" t="n">
        <v>17</v>
      </c>
      <c r="I670" s="40" t="inlineStr">
        <is>
          <t>Searches</t>
        </is>
      </c>
      <c r="J670" s="40" t="inlineStr">
        <is>
          <t>1-23 August 2025</t>
        </is>
      </c>
      <c r="K670" s="55" t="n">
        <v>468</v>
      </c>
      <c r="L670" s="40" t="inlineStr">
        <is>
          <t>Searches YoY + Visit→Search 1-23 August 2025</t>
        </is>
      </c>
      <c r="M670" s="40">
        <f>IF(Countries!P371="","STILL MISSING","Filled ✓")</f>
        <v/>
      </c>
    </row>
    <row r="671">
      <c r="A671" s="56" t="inlineStr">
        <is>
          <t>Countries</t>
        </is>
      </c>
      <c r="B671" s="56" t="inlineStr">
        <is>
          <t>X371</t>
        </is>
      </c>
      <c r="C671" s="56" t="n">
        <v>371</v>
      </c>
      <c r="D671" s="56" t="inlineStr">
        <is>
          <t>Route page</t>
        </is>
      </c>
      <c r="E671" s="56" t="inlineStr">
        <is>
          <t>Organic</t>
        </is>
      </c>
      <c r="F671" s="56" t="inlineStr">
        <is>
          <t>Mobile</t>
        </is>
      </c>
      <c r="G671" s="56" t="inlineStr">
        <is>
          <t>Türkiye</t>
        </is>
      </c>
      <c r="H671" s="56" t="n">
        <v>17</v>
      </c>
      <c r="I671" s="56" t="inlineStr">
        <is>
          <t>Select item</t>
        </is>
      </c>
      <c r="J671" s="56" t="inlineStr">
        <is>
          <t>1-23 August 2026</t>
        </is>
      </c>
      <c r="K671" s="57" t="n">
        <v>468</v>
      </c>
      <c r="L671" s="56" t="inlineStr">
        <is>
          <t>Search→Select 1-23 August 2026</t>
        </is>
      </c>
      <c r="M671" s="40">
        <f>IF(Countries!X371="","STILL MISSING","Filled ✓")</f>
        <v/>
      </c>
    </row>
    <row r="672">
      <c r="A672" s="40" t="inlineStr">
        <is>
          <t>Countries</t>
        </is>
      </c>
      <c r="B672" s="40" t="inlineStr">
        <is>
          <t>I371</t>
        </is>
      </c>
      <c r="C672" s="40" t="n">
        <v>371</v>
      </c>
      <c r="D672" s="40" t="inlineStr">
        <is>
          <t>Route page</t>
        </is>
      </c>
      <c r="E672" s="40" t="inlineStr">
        <is>
          <t>Organic</t>
        </is>
      </c>
      <c r="F672" s="40" t="inlineStr">
        <is>
          <t>Mobile</t>
        </is>
      </c>
      <c r="G672" s="40" t="inlineStr">
        <is>
          <t>Türkiye</t>
        </is>
      </c>
      <c r="H672" s="40" t="n">
        <v>17</v>
      </c>
      <c r="I672" s="40" t="inlineStr">
        <is>
          <t>Start Search</t>
        </is>
      </c>
      <c r="J672" s="40" t="inlineStr">
        <is>
          <t>1-23 August 2025</t>
        </is>
      </c>
      <c r="K672" s="55" t="n">
        <v>468</v>
      </c>
      <c r="L672" s="40" t="inlineStr">
        <is>
          <t>Visit→Engagement 1-23 August 2025</t>
        </is>
      </c>
      <c r="M672" s="40">
        <f>IF(Countries!I371="","STILL MISSING","Filled ✓")</f>
        <v/>
      </c>
    </row>
    <row r="673">
      <c r="A673" s="56" t="inlineStr">
        <is>
          <t>Countries</t>
        </is>
      </c>
      <c r="B673" s="56" t="inlineStr">
        <is>
          <t>J371</t>
        </is>
      </c>
      <c r="C673" s="56" t="n">
        <v>371</v>
      </c>
      <c r="D673" s="56" t="inlineStr">
        <is>
          <t>Route page</t>
        </is>
      </c>
      <c r="E673" s="56" t="inlineStr">
        <is>
          <t>Organic</t>
        </is>
      </c>
      <c r="F673" s="56" t="inlineStr">
        <is>
          <t>Mobile</t>
        </is>
      </c>
      <c r="G673" s="56" t="inlineStr">
        <is>
          <t>Türkiye</t>
        </is>
      </c>
      <c r="H673" s="56" t="n">
        <v>17</v>
      </c>
      <c r="I673" s="56" t="inlineStr">
        <is>
          <t>Start Search</t>
        </is>
      </c>
      <c r="J673" s="56" t="inlineStr">
        <is>
          <t>1-23 August 2026</t>
        </is>
      </c>
      <c r="K673" s="57" t="n">
        <v>468</v>
      </c>
      <c r="L673" s="56" t="inlineStr">
        <is>
          <t>Visit→Engagement 1-23 August 2026</t>
        </is>
      </c>
      <c r="M673" s="40">
        <f>IF(Countries!J371="","STILL MISSING","Filled ✓")</f>
        <v/>
      </c>
    </row>
    <row r="674">
      <c r="A674" s="40" t="inlineStr">
        <is>
          <t>Countries</t>
        </is>
      </c>
      <c r="B674" s="40" t="inlineStr">
        <is>
          <t>AR406</t>
        </is>
      </c>
      <c r="C674" s="40" t="n">
        <v>406</v>
      </c>
      <c r="D674" s="40" t="inlineStr">
        <is>
          <t>Route page</t>
        </is>
      </c>
      <c r="E674" s="40" t="inlineStr">
        <is>
          <t>Direct</t>
        </is>
      </c>
      <c r="F674" s="40" t="inlineStr">
        <is>
          <t>Mobile</t>
        </is>
      </c>
      <c r="G674" s="40" t="inlineStr">
        <is>
          <t>Türkiye</t>
        </is>
      </c>
      <c r="H674" s="40" t="n">
        <v>17</v>
      </c>
      <c r="I674" s="40" t="inlineStr">
        <is>
          <t>Purchases</t>
        </is>
      </c>
      <c r="J674" s="40" t="inlineStr">
        <is>
          <t>1-23 August 2025</t>
        </is>
      </c>
      <c r="K674" s="55" t="n">
        <v>61</v>
      </c>
      <c r="L674" s="40" t="inlineStr">
        <is>
          <t>CR 1-23 August 2025 + Search→Booking 1-23 August 2025</t>
        </is>
      </c>
      <c r="M674" s="40">
        <f>IF(Countries!AR406="","STILL MISSING","Filled ✓")</f>
        <v/>
      </c>
    </row>
    <row r="675">
      <c r="A675" s="56" t="inlineStr">
        <is>
          <t>Countries</t>
        </is>
      </c>
      <c r="B675" s="56" t="inlineStr">
        <is>
          <t>AS406</t>
        </is>
      </c>
      <c r="C675" s="56" t="n">
        <v>406</v>
      </c>
      <c r="D675" s="56" t="inlineStr">
        <is>
          <t>Route page</t>
        </is>
      </c>
      <c r="E675" s="56" t="inlineStr">
        <is>
          <t>Direct</t>
        </is>
      </c>
      <c r="F675" s="56" t="inlineStr">
        <is>
          <t>Mobile</t>
        </is>
      </c>
      <c r="G675" s="56" t="inlineStr">
        <is>
          <t>Türkiye</t>
        </is>
      </c>
      <c r="H675" s="56" t="n">
        <v>17</v>
      </c>
      <c r="I675" s="56" t="inlineStr">
        <is>
          <t>Purchases</t>
        </is>
      </c>
      <c r="J675" s="56" t="inlineStr">
        <is>
          <t>1-23 August 2026</t>
        </is>
      </c>
      <c r="K675" s="57" t="n">
        <v>61</v>
      </c>
      <c r="L675" s="56" t="inlineStr">
        <is>
          <t>CR 1-23 August 2026 + Search→Booking 1-23 August 2026</t>
        </is>
      </c>
      <c r="M675" s="40">
        <f>IF(Countries!AS406="","STILL MISSING","Filled ✓")</f>
        <v/>
      </c>
    </row>
    <row r="676">
      <c r="A676" s="40" t="inlineStr">
        <is>
          <t>Countries</t>
        </is>
      </c>
      <c r="B676" s="40" t="inlineStr">
        <is>
          <t>W406</t>
        </is>
      </c>
      <c r="C676" s="40" t="n">
        <v>406</v>
      </c>
      <c r="D676" s="40" t="inlineStr">
        <is>
          <t>Route page</t>
        </is>
      </c>
      <c r="E676" s="40" t="inlineStr">
        <is>
          <t>Direct</t>
        </is>
      </c>
      <c r="F676" s="40" t="inlineStr">
        <is>
          <t>Mobile</t>
        </is>
      </c>
      <c r="G676" s="40" t="inlineStr">
        <is>
          <t>Türkiye</t>
        </is>
      </c>
      <c r="H676" s="40" t="n">
        <v>17</v>
      </c>
      <c r="I676" s="40" t="inlineStr">
        <is>
          <t>Select item</t>
        </is>
      </c>
      <c r="J676" s="40" t="inlineStr">
        <is>
          <t>1-23 August 2025</t>
        </is>
      </c>
      <c r="K676" s="55" t="n">
        <v>61</v>
      </c>
      <c r="L676" s="40" t="inlineStr">
        <is>
          <t>Search→Select 1-23 August 2025</t>
        </is>
      </c>
      <c r="M676" s="40">
        <f>IF(Countries!W406="","STILL MISSING","Filled ✓")</f>
        <v/>
      </c>
    </row>
    <row r="677">
      <c r="A677" s="56" t="inlineStr">
        <is>
          <t>Countries</t>
        </is>
      </c>
      <c r="B677" s="56" t="inlineStr">
        <is>
          <t>X406</t>
        </is>
      </c>
      <c r="C677" s="56" t="n">
        <v>406</v>
      </c>
      <c r="D677" s="56" t="inlineStr">
        <is>
          <t>Route page</t>
        </is>
      </c>
      <c r="E677" s="56" t="inlineStr">
        <is>
          <t>Direct</t>
        </is>
      </c>
      <c r="F677" s="56" t="inlineStr">
        <is>
          <t>Mobile</t>
        </is>
      </c>
      <c r="G677" s="56" t="inlineStr">
        <is>
          <t>Türkiye</t>
        </is>
      </c>
      <c r="H677" s="56" t="n">
        <v>17</v>
      </c>
      <c r="I677" s="56" t="inlineStr">
        <is>
          <t>Select item</t>
        </is>
      </c>
      <c r="J677" s="56" t="inlineStr">
        <is>
          <t>1-23 August 2026</t>
        </is>
      </c>
      <c r="K677" s="57" t="n">
        <v>61</v>
      </c>
      <c r="L677" s="56" t="inlineStr">
        <is>
          <t>Search→Select 1-23 August 2026</t>
        </is>
      </c>
      <c r="M677" s="40">
        <f>IF(Countries!X406="","STILL MISSING","Filled ✓")</f>
        <v/>
      </c>
    </row>
    <row r="678">
      <c r="A678" s="40" t="inlineStr">
        <is>
          <t>Countries</t>
        </is>
      </c>
      <c r="B678" s="40" t="inlineStr">
        <is>
          <t>I406</t>
        </is>
      </c>
      <c r="C678" s="40" t="n">
        <v>406</v>
      </c>
      <c r="D678" s="40" t="inlineStr">
        <is>
          <t>Route page</t>
        </is>
      </c>
      <c r="E678" s="40" t="inlineStr">
        <is>
          <t>Direct</t>
        </is>
      </c>
      <c r="F678" s="40" t="inlineStr">
        <is>
          <t>Mobile</t>
        </is>
      </c>
      <c r="G678" s="40" t="inlineStr">
        <is>
          <t>Türkiye</t>
        </is>
      </c>
      <c r="H678" s="40" t="n">
        <v>17</v>
      </c>
      <c r="I678" s="40" t="inlineStr">
        <is>
          <t>Start Search</t>
        </is>
      </c>
      <c r="J678" s="40" t="inlineStr">
        <is>
          <t>1-23 August 2025</t>
        </is>
      </c>
      <c r="K678" s="55" t="n">
        <v>61</v>
      </c>
      <c r="L678" s="40" t="inlineStr">
        <is>
          <t>Visit→Engagement 1-23 August 2025</t>
        </is>
      </c>
      <c r="M678" s="40">
        <f>IF(Countries!I406="","STILL MISSING","Filled ✓")</f>
        <v/>
      </c>
    </row>
    <row r="679">
      <c r="A679" s="56" t="inlineStr">
        <is>
          <t>Countries</t>
        </is>
      </c>
      <c r="B679" s="56" t="inlineStr">
        <is>
          <t>J406</t>
        </is>
      </c>
      <c r="C679" s="56" t="n">
        <v>406</v>
      </c>
      <c r="D679" s="56" t="inlineStr">
        <is>
          <t>Route page</t>
        </is>
      </c>
      <c r="E679" s="56" t="inlineStr">
        <is>
          <t>Direct</t>
        </is>
      </c>
      <c r="F679" s="56" t="inlineStr">
        <is>
          <t>Mobile</t>
        </is>
      </c>
      <c r="G679" s="56" t="inlineStr">
        <is>
          <t>Türkiye</t>
        </is>
      </c>
      <c r="H679" s="56" t="n">
        <v>17</v>
      </c>
      <c r="I679" s="56" t="inlineStr">
        <is>
          <t>Start Search</t>
        </is>
      </c>
      <c r="J679" s="56" t="inlineStr">
        <is>
          <t>1-23 August 2026</t>
        </is>
      </c>
      <c r="K679" s="57" t="n">
        <v>61</v>
      </c>
      <c r="L679" s="56" t="inlineStr">
        <is>
          <t>Visit→Engagement 1-23 August 2026</t>
        </is>
      </c>
      <c r="M679" s="40">
        <f>IF(Countries!J406="","STILL MISSING","Filled ✓")</f>
        <v/>
      </c>
    </row>
    <row r="680">
      <c r="A680" s="40" t="inlineStr">
        <is>
          <t>Countries</t>
        </is>
      </c>
      <c r="B680" s="40" t="inlineStr">
        <is>
          <t>AR61</t>
        </is>
      </c>
      <c r="C680" s="40" t="n">
        <v>61</v>
      </c>
      <c r="D680" s="40" t="inlineStr">
        <is>
          <t>All landing pages</t>
        </is>
      </c>
      <c r="E680" s="40" t="inlineStr">
        <is>
          <t>Organic</t>
        </is>
      </c>
      <c r="F680" s="40" t="inlineStr">
        <is>
          <t>Desktop</t>
        </is>
      </c>
      <c r="G680" s="40" t="inlineStr">
        <is>
          <t>Australia</t>
        </is>
      </c>
      <c r="H680" s="40" t="n">
        <v>18</v>
      </c>
      <c r="I680" s="40" t="inlineStr">
        <is>
          <t>Purchases</t>
        </is>
      </c>
      <c r="J680" s="40" t="inlineStr">
        <is>
          <t>1-23 August 2025</t>
        </is>
      </c>
      <c r="K680" s="55" t="n">
        <v>895</v>
      </c>
      <c r="L680" s="40" t="inlineStr">
        <is>
          <t>CR 1-23 August 2025 + Search→Booking 1-23 August 2025</t>
        </is>
      </c>
      <c r="M680" s="40">
        <f>IF(Countries!AR61="","STILL MISSING","Filled ✓")</f>
        <v/>
      </c>
    </row>
    <row r="681">
      <c r="A681" s="56" t="inlineStr">
        <is>
          <t>Countries</t>
        </is>
      </c>
      <c r="B681" s="56" t="inlineStr">
        <is>
          <t>AS61</t>
        </is>
      </c>
      <c r="C681" s="56" t="n">
        <v>61</v>
      </c>
      <c r="D681" s="56" t="inlineStr">
        <is>
          <t>All landing pages</t>
        </is>
      </c>
      <c r="E681" s="56" t="inlineStr">
        <is>
          <t>Organic</t>
        </is>
      </c>
      <c r="F681" s="56" t="inlineStr">
        <is>
          <t>Desktop</t>
        </is>
      </c>
      <c r="G681" s="56" t="inlineStr">
        <is>
          <t>Australia</t>
        </is>
      </c>
      <c r="H681" s="56" t="n">
        <v>18</v>
      </c>
      <c r="I681" s="56" t="inlineStr">
        <is>
          <t>Purchases</t>
        </is>
      </c>
      <c r="J681" s="56" t="inlineStr">
        <is>
          <t>1-23 August 2026</t>
        </is>
      </c>
      <c r="K681" s="57" t="n">
        <v>895</v>
      </c>
      <c r="L681" s="56" t="inlineStr">
        <is>
          <t>CR 1-23 August 2026 + Search→Booking 1-23 August 2026</t>
        </is>
      </c>
      <c r="M681" s="40">
        <f>IF(Countries!AS61="","STILL MISSING","Filled ✓")</f>
        <v/>
      </c>
    </row>
    <row r="682">
      <c r="A682" s="40" t="inlineStr">
        <is>
          <t>Countries</t>
        </is>
      </c>
      <c r="B682" s="40" t="inlineStr">
        <is>
          <t>W61</t>
        </is>
      </c>
      <c r="C682" s="40" t="n">
        <v>61</v>
      </c>
      <c r="D682" s="40" t="inlineStr">
        <is>
          <t>All landing pages</t>
        </is>
      </c>
      <c r="E682" s="40" t="inlineStr">
        <is>
          <t>Organic</t>
        </is>
      </c>
      <c r="F682" s="40" t="inlineStr">
        <is>
          <t>Desktop</t>
        </is>
      </c>
      <c r="G682" s="40" t="inlineStr">
        <is>
          <t>Australia</t>
        </is>
      </c>
      <c r="H682" s="40" t="n">
        <v>18</v>
      </c>
      <c r="I682" s="40" t="inlineStr">
        <is>
          <t>Select item</t>
        </is>
      </c>
      <c r="J682" s="40" t="inlineStr">
        <is>
          <t>1-23 August 2025</t>
        </is>
      </c>
      <c r="K682" s="55" t="n">
        <v>895</v>
      </c>
      <c r="L682" s="40" t="inlineStr">
        <is>
          <t>Search→Select 1-23 August 2025</t>
        </is>
      </c>
      <c r="M682" s="40">
        <f>IF(Countries!W61="","STILL MISSING","Filled ✓")</f>
        <v/>
      </c>
    </row>
    <row r="683">
      <c r="A683" s="56" t="inlineStr">
        <is>
          <t>Countries</t>
        </is>
      </c>
      <c r="B683" s="56" t="inlineStr">
        <is>
          <t>X61</t>
        </is>
      </c>
      <c r="C683" s="56" t="n">
        <v>61</v>
      </c>
      <c r="D683" s="56" t="inlineStr">
        <is>
          <t>All landing pages</t>
        </is>
      </c>
      <c r="E683" s="56" t="inlineStr">
        <is>
          <t>Organic</t>
        </is>
      </c>
      <c r="F683" s="56" t="inlineStr">
        <is>
          <t>Desktop</t>
        </is>
      </c>
      <c r="G683" s="56" t="inlineStr">
        <is>
          <t>Australia</t>
        </is>
      </c>
      <c r="H683" s="56" t="n">
        <v>18</v>
      </c>
      <c r="I683" s="56" t="inlineStr">
        <is>
          <t>Select item</t>
        </is>
      </c>
      <c r="J683" s="56" t="inlineStr">
        <is>
          <t>1-23 August 2026</t>
        </is>
      </c>
      <c r="K683" s="57" t="n">
        <v>895</v>
      </c>
      <c r="L683" s="56" t="inlineStr">
        <is>
          <t>Search→Select 1-23 August 2026</t>
        </is>
      </c>
      <c r="M683" s="40">
        <f>IF(Countries!X61="","STILL MISSING","Filled ✓")</f>
        <v/>
      </c>
    </row>
    <row r="684">
      <c r="A684" s="40" t="inlineStr">
        <is>
          <t>Countries</t>
        </is>
      </c>
      <c r="B684" s="40" t="inlineStr">
        <is>
          <t>I61</t>
        </is>
      </c>
      <c r="C684" s="40" t="n">
        <v>61</v>
      </c>
      <c r="D684" s="40" t="inlineStr">
        <is>
          <t>All landing pages</t>
        </is>
      </c>
      <c r="E684" s="40" t="inlineStr">
        <is>
          <t>Organic</t>
        </is>
      </c>
      <c r="F684" s="40" t="inlineStr">
        <is>
          <t>Desktop</t>
        </is>
      </c>
      <c r="G684" s="40" t="inlineStr">
        <is>
          <t>Australia</t>
        </is>
      </c>
      <c r="H684" s="40" t="n">
        <v>18</v>
      </c>
      <c r="I684" s="40" t="inlineStr">
        <is>
          <t>Start Search</t>
        </is>
      </c>
      <c r="J684" s="40" t="inlineStr">
        <is>
          <t>1-23 August 2025</t>
        </is>
      </c>
      <c r="K684" s="55" t="n">
        <v>895</v>
      </c>
      <c r="L684" s="40" t="inlineStr">
        <is>
          <t>Visit→Engagement 1-23 August 2025</t>
        </is>
      </c>
      <c r="M684" s="40">
        <f>IF(Countries!I61="","STILL MISSING","Filled ✓")</f>
        <v/>
      </c>
    </row>
    <row r="685">
      <c r="A685" s="56" t="inlineStr">
        <is>
          <t>Countries</t>
        </is>
      </c>
      <c r="B685" s="56" t="inlineStr">
        <is>
          <t>J61</t>
        </is>
      </c>
      <c r="C685" s="56" t="n">
        <v>61</v>
      </c>
      <c r="D685" s="56" t="inlineStr">
        <is>
          <t>All landing pages</t>
        </is>
      </c>
      <c r="E685" s="56" t="inlineStr">
        <is>
          <t>Organic</t>
        </is>
      </c>
      <c r="F685" s="56" t="inlineStr">
        <is>
          <t>Desktop</t>
        </is>
      </c>
      <c r="G685" s="56" t="inlineStr">
        <is>
          <t>Australia</t>
        </is>
      </c>
      <c r="H685" s="56" t="n">
        <v>18</v>
      </c>
      <c r="I685" s="56" t="inlineStr">
        <is>
          <t>Start Search</t>
        </is>
      </c>
      <c r="J685" s="56" t="inlineStr">
        <is>
          <t>1-23 August 2026</t>
        </is>
      </c>
      <c r="K685" s="57" t="n">
        <v>895</v>
      </c>
      <c r="L685" s="56" t="inlineStr">
        <is>
          <t>Visit→Engagement 1-23 August 2026</t>
        </is>
      </c>
      <c r="M685" s="40">
        <f>IF(Countries!J61="","STILL MISSING","Filled ✓")</f>
        <v/>
      </c>
    </row>
    <row r="686">
      <c r="A686" s="40" t="inlineStr">
        <is>
          <t>Countries</t>
        </is>
      </c>
      <c r="B686" s="40" t="inlineStr">
        <is>
          <t>AR52</t>
        </is>
      </c>
      <c r="C686" s="40" t="n">
        <v>52</v>
      </c>
      <c r="D686" s="40" t="inlineStr">
        <is>
          <t>All landing pages</t>
        </is>
      </c>
      <c r="E686" s="40" t="inlineStr">
        <is>
          <t>Organic</t>
        </is>
      </c>
      <c r="F686" s="40" t="inlineStr">
        <is>
          <t>Mobile</t>
        </is>
      </c>
      <c r="G686" s="40" t="inlineStr">
        <is>
          <t>Australia</t>
        </is>
      </c>
      <c r="H686" s="40" t="n">
        <v>18</v>
      </c>
      <c r="I686" s="40" t="inlineStr">
        <is>
          <t>Purchases</t>
        </is>
      </c>
      <c r="J686" s="40" t="inlineStr">
        <is>
          <t>1-23 August 2025</t>
        </is>
      </c>
      <c r="K686" s="55" t="n">
        <v>894</v>
      </c>
      <c r="L686" s="40" t="inlineStr">
        <is>
          <t>CR 1-23 August 2025 + Search→Booking 1-23 August 2025</t>
        </is>
      </c>
      <c r="M686" s="40">
        <f>IF(Countries!AR52="","STILL MISSING","Filled ✓")</f>
        <v/>
      </c>
    </row>
    <row r="687">
      <c r="A687" s="56" t="inlineStr">
        <is>
          <t>Countries</t>
        </is>
      </c>
      <c r="B687" s="56" t="inlineStr">
        <is>
          <t>Q52</t>
        </is>
      </c>
      <c r="C687" s="56" t="n">
        <v>52</v>
      </c>
      <c r="D687" s="56" t="inlineStr">
        <is>
          <t>All landing pages</t>
        </is>
      </c>
      <c r="E687" s="56" t="inlineStr">
        <is>
          <t>Organic</t>
        </is>
      </c>
      <c r="F687" s="56" t="inlineStr">
        <is>
          <t>Mobile</t>
        </is>
      </c>
      <c r="G687" s="56" t="inlineStr">
        <is>
          <t>Australia</t>
        </is>
      </c>
      <c r="H687" s="56" t="n">
        <v>18</v>
      </c>
      <c r="I687" s="56" t="inlineStr">
        <is>
          <t>Searches</t>
        </is>
      </c>
      <c r="J687" s="56" t="inlineStr">
        <is>
          <t>1-23 August 2026</t>
        </is>
      </c>
      <c r="K687" s="57" t="n">
        <v>894</v>
      </c>
      <c r="L687" s="56" t="inlineStr">
        <is>
          <t>Searches YoY</t>
        </is>
      </c>
      <c r="M687" s="40">
        <f>IF(Countries!Q52="","STILL MISSING","Filled ✓")</f>
        <v/>
      </c>
    </row>
    <row r="688">
      <c r="A688" s="40" t="inlineStr">
        <is>
          <t>Countries</t>
        </is>
      </c>
      <c r="B688" s="40" t="inlineStr">
        <is>
          <t>W52</t>
        </is>
      </c>
      <c r="C688" s="40" t="n">
        <v>52</v>
      </c>
      <c r="D688" s="40" t="inlineStr">
        <is>
          <t>All landing pages</t>
        </is>
      </c>
      <c r="E688" s="40" t="inlineStr">
        <is>
          <t>Organic</t>
        </is>
      </c>
      <c r="F688" s="40" t="inlineStr">
        <is>
          <t>Mobile</t>
        </is>
      </c>
      <c r="G688" s="40" t="inlineStr">
        <is>
          <t>Australia</t>
        </is>
      </c>
      <c r="H688" s="40" t="n">
        <v>18</v>
      </c>
      <c r="I688" s="40" t="inlineStr">
        <is>
          <t>Select item</t>
        </is>
      </c>
      <c r="J688" s="40" t="inlineStr">
        <is>
          <t>1-23 August 2025</t>
        </is>
      </c>
      <c r="K688" s="55" t="n">
        <v>894</v>
      </c>
      <c r="L688" s="40" t="inlineStr">
        <is>
          <t>Search→Select 1-23 August 2025</t>
        </is>
      </c>
      <c r="M688" s="40">
        <f>IF(Countries!W52="","STILL MISSING","Filled ✓")</f>
        <v/>
      </c>
    </row>
    <row r="689">
      <c r="A689" s="56" t="inlineStr">
        <is>
          <t>Countries</t>
        </is>
      </c>
      <c r="B689" s="56" t="inlineStr">
        <is>
          <t>F52</t>
        </is>
      </c>
      <c r="C689" s="56" t="n">
        <v>52</v>
      </c>
      <c r="D689" s="56" t="inlineStr">
        <is>
          <t>All landing pages</t>
        </is>
      </c>
      <c r="E689" s="56" t="inlineStr">
        <is>
          <t>Organic</t>
        </is>
      </c>
      <c r="F689" s="56" t="inlineStr">
        <is>
          <t>Mobile</t>
        </is>
      </c>
      <c r="G689" s="56" t="inlineStr">
        <is>
          <t>Australia</t>
        </is>
      </c>
      <c r="H689" s="56" t="n">
        <v>18</v>
      </c>
      <c r="I689" s="56" t="inlineStr">
        <is>
          <t>Sessions</t>
        </is>
      </c>
      <c r="J689" s="56" t="inlineStr">
        <is>
          <t>1-23 August 2026</t>
        </is>
      </c>
      <c r="K689" s="57" t="n">
        <v>894</v>
      </c>
      <c r="L689" s="56" t="inlineStr">
        <is>
          <t>Sessions YoY</t>
        </is>
      </c>
      <c r="M689" s="40">
        <f>IF(Countries!F52="","STILL MISSING","Filled ✓")</f>
        <v/>
      </c>
    </row>
    <row r="690">
      <c r="A690" s="40" t="inlineStr">
        <is>
          <t>Countries</t>
        </is>
      </c>
      <c r="B690" s="40" t="inlineStr">
        <is>
          <t>I52</t>
        </is>
      </c>
      <c r="C690" s="40" t="n">
        <v>52</v>
      </c>
      <c r="D690" s="40" t="inlineStr">
        <is>
          <t>All landing pages</t>
        </is>
      </c>
      <c r="E690" s="40" t="inlineStr">
        <is>
          <t>Organic</t>
        </is>
      </c>
      <c r="F690" s="40" t="inlineStr">
        <is>
          <t>Mobile</t>
        </is>
      </c>
      <c r="G690" s="40" t="inlineStr">
        <is>
          <t>Australia</t>
        </is>
      </c>
      <c r="H690" s="40" t="n">
        <v>18</v>
      </c>
      <c r="I690" s="40" t="inlineStr">
        <is>
          <t>Start Search</t>
        </is>
      </c>
      <c r="J690" s="40" t="inlineStr">
        <is>
          <t>1-23 August 2025</t>
        </is>
      </c>
      <c r="K690" s="55" t="n">
        <v>894</v>
      </c>
      <c r="L690" s="40" t="inlineStr">
        <is>
          <t>Visit→Engagement 1-23 August 2025</t>
        </is>
      </c>
      <c r="M690" s="40">
        <f>IF(Countries!I52="","STILL MISSING","Filled ✓")</f>
        <v/>
      </c>
    </row>
    <row r="691">
      <c r="A691" s="56" t="inlineStr">
        <is>
          <t>Countries</t>
        </is>
      </c>
      <c r="B691" s="56" t="inlineStr">
        <is>
          <t>AR282</t>
        </is>
      </c>
      <c r="C691" s="56" t="n">
        <v>282</v>
      </c>
      <c r="D691" s="56" t="inlineStr">
        <is>
          <t>Airport page</t>
        </is>
      </c>
      <c r="E691" s="56" t="inlineStr">
        <is>
          <t>Organic</t>
        </is>
      </c>
      <c r="F691" s="56" t="inlineStr">
        <is>
          <t>Desktop</t>
        </is>
      </c>
      <c r="G691" s="56" t="inlineStr">
        <is>
          <t>Australia</t>
        </is>
      </c>
      <c r="H691" s="56" t="n">
        <v>18</v>
      </c>
      <c r="I691" s="56" t="inlineStr">
        <is>
          <t>Purchases</t>
        </is>
      </c>
      <c r="J691" s="56" t="inlineStr">
        <is>
          <t>1-23 August 2025</t>
        </is>
      </c>
      <c r="K691" s="57" t="n">
        <v>208</v>
      </c>
      <c r="L691" s="56" t="inlineStr">
        <is>
          <t>CR 1-23 August 2025 + Search→Booking 1-23 August 2025</t>
        </is>
      </c>
      <c r="M691" s="40">
        <f>IF(Countries!AR282="","STILL MISSING","Filled ✓")</f>
        <v/>
      </c>
    </row>
    <row r="692">
      <c r="A692" s="40" t="inlineStr">
        <is>
          <t>Countries</t>
        </is>
      </c>
      <c r="B692" s="40" t="inlineStr">
        <is>
          <t>AS282</t>
        </is>
      </c>
      <c r="C692" s="40" t="n">
        <v>282</v>
      </c>
      <c r="D692" s="40" t="inlineStr">
        <is>
          <t>Airport page</t>
        </is>
      </c>
      <c r="E692" s="40" t="inlineStr">
        <is>
          <t>Organic</t>
        </is>
      </c>
      <c r="F692" s="40" t="inlineStr">
        <is>
          <t>Desktop</t>
        </is>
      </c>
      <c r="G692" s="40" t="inlineStr">
        <is>
          <t>Australia</t>
        </is>
      </c>
      <c r="H692" s="40" t="n">
        <v>18</v>
      </c>
      <c r="I692" s="40" t="inlineStr">
        <is>
          <t>Purchases</t>
        </is>
      </c>
      <c r="J692" s="40" t="inlineStr">
        <is>
          <t>1-23 August 2026</t>
        </is>
      </c>
      <c r="K692" s="55" t="n">
        <v>208</v>
      </c>
      <c r="L692" s="40" t="inlineStr">
        <is>
          <t>CR 1-23 August 2026 + Search→Booking 1-23 August 2026</t>
        </is>
      </c>
      <c r="M692" s="40">
        <f>IF(Countries!AS282="","STILL MISSING","Filled ✓")</f>
        <v/>
      </c>
    </row>
    <row r="693">
      <c r="A693" s="56" t="inlineStr">
        <is>
          <t>Countries</t>
        </is>
      </c>
      <c r="B693" s="56" t="inlineStr">
        <is>
          <t>W282</t>
        </is>
      </c>
      <c r="C693" s="56" t="n">
        <v>282</v>
      </c>
      <c r="D693" s="56" t="inlineStr">
        <is>
          <t>Airport page</t>
        </is>
      </c>
      <c r="E693" s="56" t="inlineStr">
        <is>
          <t>Organic</t>
        </is>
      </c>
      <c r="F693" s="56" t="inlineStr">
        <is>
          <t>Desktop</t>
        </is>
      </c>
      <c r="G693" s="56" t="inlineStr">
        <is>
          <t>Australia</t>
        </is>
      </c>
      <c r="H693" s="56" t="n">
        <v>18</v>
      </c>
      <c r="I693" s="56" t="inlineStr">
        <is>
          <t>Select item</t>
        </is>
      </c>
      <c r="J693" s="56" t="inlineStr">
        <is>
          <t>1-23 August 2025</t>
        </is>
      </c>
      <c r="K693" s="57" t="n">
        <v>208</v>
      </c>
      <c r="L693" s="56" t="inlineStr">
        <is>
          <t>Search→Select 1-23 August 2025</t>
        </is>
      </c>
      <c r="M693" s="40">
        <f>IF(Countries!W282="","STILL MISSING","Filled ✓")</f>
        <v/>
      </c>
    </row>
    <row r="694">
      <c r="A694" s="40" t="inlineStr">
        <is>
          <t>Countries</t>
        </is>
      </c>
      <c r="B694" s="40" t="inlineStr">
        <is>
          <t>X282</t>
        </is>
      </c>
      <c r="C694" s="40" t="n">
        <v>282</v>
      </c>
      <c r="D694" s="40" t="inlineStr">
        <is>
          <t>Airport page</t>
        </is>
      </c>
      <c r="E694" s="40" t="inlineStr">
        <is>
          <t>Organic</t>
        </is>
      </c>
      <c r="F694" s="40" t="inlineStr">
        <is>
          <t>Desktop</t>
        </is>
      </c>
      <c r="G694" s="40" t="inlineStr">
        <is>
          <t>Australia</t>
        </is>
      </c>
      <c r="H694" s="40" t="n">
        <v>18</v>
      </c>
      <c r="I694" s="40" t="inlineStr">
        <is>
          <t>Select item</t>
        </is>
      </c>
      <c r="J694" s="40" t="inlineStr">
        <is>
          <t>1-23 August 2026</t>
        </is>
      </c>
      <c r="K694" s="55" t="n">
        <v>208</v>
      </c>
      <c r="L694" s="40" t="inlineStr">
        <is>
          <t>Search→Select 1-23 August 2026</t>
        </is>
      </c>
      <c r="M694" s="40">
        <f>IF(Countries!X282="","STILL MISSING","Filled ✓")</f>
        <v/>
      </c>
    </row>
    <row r="695">
      <c r="A695" s="56" t="inlineStr">
        <is>
          <t>Countries</t>
        </is>
      </c>
      <c r="B695" s="56" t="inlineStr">
        <is>
          <t>I282</t>
        </is>
      </c>
      <c r="C695" s="56" t="n">
        <v>282</v>
      </c>
      <c r="D695" s="56" t="inlineStr">
        <is>
          <t>Airport page</t>
        </is>
      </c>
      <c r="E695" s="56" t="inlineStr">
        <is>
          <t>Organic</t>
        </is>
      </c>
      <c r="F695" s="56" t="inlineStr">
        <is>
          <t>Desktop</t>
        </is>
      </c>
      <c r="G695" s="56" t="inlineStr">
        <is>
          <t>Australia</t>
        </is>
      </c>
      <c r="H695" s="56" t="n">
        <v>18</v>
      </c>
      <c r="I695" s="56" t="inlineStr">
        <is>
          <t>Start Search</t>
        </is>
      </c>
      <c r="J695" s="56" t="inlineStr">
        <is>
          <t>1-23 August 2025</t>
        </is>
      </c>
      <c r="K695" s="57" t="n">
        <v>208</v>
      </c>
      <c r="L695" s="56" t="inlineStr">
        <is>
          <t>Visit→Engagement 1-23 August 2025</t>
        </is>
      </c>
      <c r="M695" s="40">
        <f>IF(Countries!I282="","STILL MISSING","Filled ✓")</f>
        <v/>
      </c>
    </row>
    <row r="696">
      <c r="A696" s="40" t="inlineStr">
        <is>
          <t>Countries</t>
        </is>
      </c>
      <c r="B696" s="40" t="inlineStr">
        <is>
          <t>J282</t>
        </is>
      </c>
      <c r="C696" s="40" t="n">
        <v>282</v>
      </c>
      <c r="D696" s="40" t="inlineStr">
        <is>
          <t>Airport page</t>
        </is>
      </c>
      <c r="E696" s="40" t="inlineStr">
        <is>
          <t>Organic</t>
        </is>
      </c>
      <c r="F696" s="40" t="inlineStr">
        <is>
          <t>Desktop</t>
        </is>
      </c>
      <c r="G696" s="40" t="inlineStr">
        <is>
          <t>Australia</t>
        </is>
      </c>
      <c r="H696" s="40" t="n">
        <v>18</v>
      </c>
      <c r="I696" s="40" t="inlineStr">
        <is>
          <t>Start Search</t>
        </is>
      </c>
      <c r="J696" s="40" t="inlineStr">
        <is>
          <t>1-23 August 2026</t>
        </is>
      </c>
      <c r="K696" s="55" t="n">
        <v>208</v>
      </c>
      <c r="L696" s="40" t="inlineStr">
        <is>
          <t>Visit→Engagement 1-23 August 2026</t>
        </is>
      </c>
      <c r="M696" s="40">
        <f>IF(Countries!J282="","STILL MISSING","Filled ✓")</f>
        <v/>
      </c>
    </row>
    <row r="697">
      <c r="A697" s="56" t="inlineStr">
        <is>
          <t>Countries</t>
        </is>
      </c>
      <c r="B697" s="56" t="inlineStr">
        <is>
          <t>AR354</t>
        </is>
      </c>
      <c r="C697" s="56" t="n">
        <v>354</v>
      </c>
      <c r="D697" s="56" t="inlineStr">
        <is>
          <t>Route page</t>
        </is>
      </c>
      <c r="E697" s="56" t="inlineStr">
        <is>
          <t>Paid Search</t>
        </is>
      </c>
      <c r="F697" s="56" t="inlineStr">
        <is>
          <t>Desktop</t>
        </is>
      </c>
      <c r="G697" s="56" t="inlineStr">
        <is>
          <t>Australia</t>
        </is>
      </c>
      <c r="H697" s="56" t="n">
        <v>18</v>
      </c>
      <c r="I697" s="56" t="inlineStr">
        <is>
          <t>Purchases</t>
        </is>
      </c>
      <c r="J697" s="56" t="inlineStr">
        <is>
          <t>1-23 August 2025</t>
        </is>
      </c>
      <c r="K697" s="57" t="n">
        <v>376</v>
      </c>
      <c r="L697" s="56" t="inlineStr">
        <is>
          <t>CR 1-23 August 2025</t>
        </is>
      </c>
      <c r="M697" s="40">
        <f>IF(Countries!AR354="","STILL MISSING","Filled ✓")</f>
        <v/>
      </c>
    </row>
    <row r="698">
      <c r="A698" s="40" t="inlineStr">
        <is>
          <t>Countries</t>
        </is>
      </c>
      <c r="B698" s="40" t="inlineStr">
        <is>
          <t>AS354</t>
        </is>
      </c>
      <c r="C698" s="40" t="n">
        <v>354</v>
      </c>
      <c r="D698" s="40" t="inlineStr">
        <is>
          <t>Route page</t>
        </is>
      </c>
      <c r="E698" s="40" t="inlineStr">
        <is>
          <t>Paid Search</t>
        </is>
      </c>
      <c r="F698" s="40" t="inlineStr">
        <is>
          <t>Desktop</t>
        </is>
      </c>
      <c r="G698" s="40" t="inlineStr">
        <is>
          <t>Australia</t>
        </is>
      </c>
      <c r="H698" s="40" t="n">
        <v>18</v>
      </c>
      <c r="I698" s="40" t="inlineStr">
        <is>
          <t>Purchases</t>
        </is>
      </c>
      <c r="J698" s="40" t="inlineStr">
        <is>
          <t>1-23 August 2026</t>
        </is>
      </c>
      <c r="K698" s="55" t="n">
        <v>376</v>
      </c>
      <c r="L698" s="40" t="inlineStr">
        <is>
          <t>CR 1-23 August 2026 + Search→Booking 1-23 August 2026</t>
        </is>
      </c>
      <c r="M698" s="40">
        <f>IF(Countries!AS354="","STILL MISSING","Filled ✓")</f>
        <v/>
      </c>
    </row>
    <row r="699">
      <c r="A699" s="56" t="inlineStr">
        <is>
          <t>Countries</t>
        </is>
      </c>
      <c r="B699" s="56" t="inlineStr">
        <is>
          <t>P354</t>
        </is>
      </c>
      <c r="C699" s="56" t="n">
        <v>354</v>
      </c>
      <c r="D699" s="56" t="inlineStr">
        <is>
          <t>Route page</t>
        </is>
      </c>
      <c r="E699" s="56" t="inlineStr">
        <is>
          <t>Paid Search</t>
        </is>
      </c>
      <c r="F699" s="56" t="inlineStr">
        <is>
          <t>Desktop</t>
        </is>
      </c>
      <c r="G699" s="56" t="inlineStr">
        <is>
          <t>Australia</t>
        </is>
      </c>
      <c r="H699" s="56" t="n">
        <v>18</v>
      </c>
      <c r="I699" s="56" t="inlineStr">
        <is>
          <t>Searches</t>
        </is>
      </c>
      <c r="J699" s="56" t="inlineStr">
        <is>
          <t>1-23 August 2025</t>
        </is>
      </c>
      <c r="K699" s="57" t="n">
        <v>376</v>
      </c>
      <c r="L699" s="56" t="inlineStr">
        <is>
          <t>Searches YoY + Visit→Search 1-23 August 2025</t>
        </is>
      </c>
      <c r="M699" s="40">
        <f>IF(Countries!P354="","STILL MISSING","Filled ✓")</f>
        <v/>
      </c>
    </row>
    <row r="700">
      <c r="A700" s="40" t="inlineStr">
        <is>
          <t>Countries</t>
        </is>
      </c>
      <c r="B700" s="40" t="inlineStr">
        <is>
          <t>X354</t>
        </is>
      </c>
      <c r="C700" s="40" t="n">
        <v>354</v>
      </c>
      <c r="D700" s="40" t="inlineStr">
        <is>
          <t>Route page</t>
        </is>
      </c>
      <c r="E700" s="40" t="inlineStr">
        <is>
          <t>Paid Search</t>
        </is>
      </c>
      <c r="F700" s="40" t="inlineStr">
        <is>
          <t>Desktop</t>
        </is>
      </c>
      <c r="G700" s="40" t="inlineStr">
        <is>
          <t>Australia</t>
        </is>
      </c>
      <c r="H700" s="40" t="n">
        <v>18</v>
      </c>
      <c r="I700" s="40" t="inlineStr">
        <is>
          <t>Select item</t>
        </is>
      </c>
      <c r="J700" s="40" t="inlineStr">
        <is>
          <t>1-23 August 2026</t>
        </is>
      </c>
      <c r="K700" s="55" t="n">
        <v>376</v>
      </c>
      <c r="L700" s="40" t="inlineStr">
        <is>
          <t>Search→Select 1-23 August 2026</t>
        </is>
      </c>
      <c r="M700" s="40">
        <f>IF(Countries!X354="","STILL MISSING","Filled ✓")</f>
        <v/>
      </c>
    </row>
    <row r="701">
      <c r="A701" s="56" t="inlineStr">
        <is>
          <t>Countries</t>
        </is>
      </c>
      <c r="B701" s="56" t="inlineStr">
        <is>
          <t>I354</t>
        </is>
      </c>
      <c r="C701" s="56" t="n">
        <v>354</v>
      </c>
      <c r="D701" s="56" t="inlineStr">
        <is>
          <t>Route page</t>
        </is>
      </c>
      <c r="E701" s="56" t="inlineStr">
        <is>
          <t>Paid Search</t>
        </is>
      </c>
      <c r="F701" s="56" t="inlineStr">
        <is>
          <t>Desktop</t>
        </is>
      </c>
      <c r="G701" s="56" t="inlineStr">
        <is>
          <t>Australia</t>
        </is>
      </c>
      <c r="H701" s="56" t="n">
        <v>18</v>
      </c>
      <c r="I701" s="56" t="inlineStr">
        <is>
          <t>Start Search</t>
        </is>
      </c>
      <c r="J701" s="56" t="inlineStr">
        <is>
          <t>1-23 August 2025</t>
        </is>
      </c>
      <c r="K701" s="57" t="n">
        <v>376</v>
      </c>
      <c r="L701" s="56" t="inlineStr">
        <is>
          <t>Visit→Engagement 1-23 August 2025</t>
        </is>
      </c>
      <c r="M701" s="40">
        <f>IF(Countries!I354="","STILL MISSING","Filled ✓")</f>
        <v/>
      </c>
    </row>
    <row r="702">
      <c r="A702" s="40" t="inlineStr">
        <is>
          <t>Countries</t>
        </is>
      </c>
      <c r="B702" s="40" t="inlineStr">
        <is>
          <t>J354</t>
        </is>
      </c>
      <c r="C702" s="40" t="n">
        <v>354</v>
      </c>
      <c r="D702" s="40" t="inlineStr">
        <is>
          <t>Route page</t>
        </is>
      </c>
      <c r="E702" s="40" t="inlineStr">
        <is>
          <t>Paid Search</t>
        </is>
      </c>
      <c r="F702" s="40" t="inlineStr">
        <is>
          <t>Desktop</t>
        </is>
      </c>
      <c r="G702" s="40" t="inlineStr">
        <is>
          <t>Australia</t>
        </is>
      </c>
      <c r="H702" s="40" t="n">
        <v>18</v>
      </c>
      <c r="I702" s="40" t="inlineStr">
        <is>
          <t>Start Search</t>
        </is>
      </c>
      <c r="J702" s="40" t="inlineStr">
        <is>
          <t>1-23 August 2026</t>
        </is>
      </c>
      <c r="K702" s="55" t="n">
        <v>376</v>
      </c>
      <c r="L702" s="40" t="inlineStr">
        <is>
          <t>Visit→Engagement 1-23 August 2026</t>
        </is>
      </c>
      <c r="M702" s="40">
        <f>IF(Countries!J354="","STILL MISSING","Filled ✓")</f>
        <v/>
      </c>
    </row>
    <row r="703">
      <c r="A703" s="56" t="inlineStr">
        <is>
          <t>Countries</t>
        </is>
      </c>
      <c r="B703" s="56" t="inlineStr">
        <is>
          <t>AR380</t>
        </is>
      </c>
      <c r="C703" s="56" t="n">
        <v>380</v>
      </c>
      <c r="D703" s="56" t="inlineStr">
        <is>
          <t>Route page</t>
        </is>
      </c>
      <c r="E703" s="56" t="inlineStr">
        <is>
          <t>Organic</t>
        </is>
      </c>
      <c r="F703" s="56" t="inlineStr">
        <is>
          <t>Desktop</t>
        </is>
      </c>
      <c r="G703" s="56" t="inlineStr">
        <is>
          <t>Australia</t>
        </is>
      </c>
      <c r="H703" s="56" t="n">
        <v>18</v>
      </c>
      <c r="I703" s="56" t="inlineStr">
        <is>
          <t>Purchases</t>
        </is>
      </c>
      <c r="J703" s="56" t="inlineStr">
        <is>
          <t>1-23 August 2025</t>
        </is>
      </c>
      <c r="K703" s="57" t="n">
        <v>528</v>
      </c>
      <c r="L703" s="56" t="inlineStr">
        <is>
          <t>CR 1-23 August 2025 + Search→Booking 1-23 August 2025</t>
        </is>
      </c>
      <c r="M703" s="40">
        <f>IF(Countries!AR380="","STILL MISSING","Filled ✓")</f>
        <v/>
      </c>
    </row>
    <row r="704">
      <c r="A704" s="40" t="inlineStr">
        <is>
          <t>Countries</t>
        </is>
      </c>
      <c r="B704" s="40" t="inlineStr">
        <is>
          <t>AS380</t>
        </is>
      </c>
      <c r="C704" s="40" t="n">
        <v>380</v>
      </c>
      <c r="D704" s="40" t="inlineStr">
        <is>
          <t>Route page</t>
        </is>
      </c>
      <c r="E704" s="40" t="inlineStr">
        <is>
          <t>Organic</t>
        </is>
      </c>
      <c r="F704" s="40" t="inlineStr">
        <is>
          <t>Desktop</t>
        </is>
      </c>
      <c r="G704" s="40" t="inlineStr">
        <is>
          <t>Australia</t>
        </is>
      </c>
      <c r="H704" s="40" t="n">
        <v>18</v>
      </c>
      <c r="I704" s="40" t="inlineStr">
        <is>
          <t>Purchases</t>
        </is>
      </c>
      <c r="J704" s="40" t="inlineStr">
        <is>
          <t>1-23 August 2026</t>
        </is>
      </c>
      <c r="K704" s="55" t="n">
        <v>528</v>
      </c>
      <c r="L704" s="40" t="inlineStr">
        <is>
          <t>CR 1-23 August 2026 + Search→Booking 1-23 August 2026</t>
        </is>
      </c>
      <c r="M704" s="40">
        <f>IF(Countries!AS380="","STILL MISSING","Filled ✓")</f>
        <v/>
      </c>
    </row>
    <row r="705">
      <c r="A705" s="56" t="inlineStr">
        <is>
          <t>Countries</t>
        </is>
      </c>
      <c r="B705" s="56" t="inlineStr">
        <is>
          <t>W380</t>
        </is>
      </c>
      <c r="C705" s="56" t="n">
        <v>380</v>
      </c>
      <c r="D705" s="56" t="inlineStr">
        <is>
          <t>Route page</t>
        </is>
      </c>
      <c r="E705" s="56" t="inlineStr">
        <is>
          <t>Organic</t>
        </is>
      </c>
      <c r="F705" s="56" t="inlineStr">
        <is>
          <t>Desktop</t>
        </is>
      </c>
      <c r="G705" s="56" t="inlineStr">
        <is>
          <t>Australia</t>
        </is>
      </c>
      <c r="H705" s="56" t="n">
        <v>18</v>
      </c>
      <c r="I705" s="56" t="inlineStr">
        <is>
          <t>Select item</t>
        </is>
      </c>
      <c r="J705" s="56" t="inlineStr">
        <is>
          <t>1-23 August 2025</t>
        </is>
      </c>
      <c r="K705" s="57" t="n">
        <v>528</v>
      </c>
      <c r="L705" s="56" t="inlineStr">
        <is>
          <t>Search→Select 1-23 August 2025</t>
        </is>
      </c>
      <c r="M705" s="40">
        <f>IF(Countries!W380="","STILL MISSING","Filled ✓")</f>
        <v/>
      </c>
    </row>
    <row r="706">
      <c r="A706" s="40" t="inlineStr">
        <is>
          <t>Countries</t>
        </is>
      </c>
      <c r="B706" s="40" t="inlineStr">
        <is>
          <t>X380</t>
        </is>
      </c>
      <c r="C706" s="40" t="n">
        <v>380</v>
      </c>
      <c r="D706" s="40" t="inlineStr">
        <is>
          <t>Route page</t>
        </is>
      </c>
      <c r="E706" s="40" t="inlineStr">
        <is>
          <t>Organic</t>
        </is>
      </c>
      <c r="F706" s="40" t="inlineStr">
        <is>
          <t>Desktop</t>
        </is>
      </c>
      <c r="G706" s="40" t="inlineStr">
        <is>
          <t>Australia</t>
        </is>
      </c>
      <c r="H706" s="40" t="n">
        <v>18</v>
      </c>
      <c r="I706" s="40" t="inlineStr">
        <is>
          <t>Select item</t>
        </is>
      </c>
      <c r="J706" s="40" t="inlineStr">
        <is>
          <t>1-23 August 2026</t>
        </is>
      </c>
      <c r="K706" s="55" t="n">
        <v>528</v>
      </c>
      <c r="L706" s="40" t="inlineStr">
        <is>
          <t>Search→Select 1-23 August 2026</t>
        </is>
      </c>
      <c r="M706" s="40">
        <f>IF(Countries!X380="","STILL MISSING","Filled ✓")</f>
        <v/>
      </c>
    </row>
    <row r="707">
      <c r="A707" s="56" t="inlineStr">
        <is>
          <t>Countries</t>
        </is>
      </c>
      <c r="B707" s="56" t="inlineStr">
        <is>
          <t>I380</t>
        </is>
      </c>
      <c r="C707" s="56" t="n">
        <v>380</v>
      </c>
      <c r="D707" s="56" t="inlineStr">
        <is>
          <t>Route page</t>
        </is>
      </c>
      <c r="E707" s="56" t="inlineStr">
        <is>
          <t>Organic</t>
        </is>
      </c>
      <c r="F707" s="56" t="inlineStr">
        <is>
          <t>Desktop</t>
        </is>
      </c>
      <c r="G707" s="56" t="inlineStr">
        <is>
          <t>Australia</t>
        </is>
      </c>
      <c r="H707" s="56" t="n">
        <v>18</v>
      </c>
      <c r="I707" s="56" t="inlineStr">
        <is>
          <t>Start Search</t>
        </is>
      </c>
      <c r="J707" s="56" t="inlineStr">
        <is>
          <t>1-23 August 2025</t>
        </is>
      </c>
      <c r="K707" s="57" t="n">
        <v>528</v>
      </c>
      <c r="L707" s="56" t="inlineStr">
        <is>
          <t>Visit→Engagement 1-23 August 2025</t>
        </is>
      </c>
      <c r="M707" s="40">
        <f>IF(Countries!I380="","STILL MISSING","Filled ✓")</f>
        <v/>
      </c>
    </row>
    <row r="708">
      <c r="A708" s="40" t="inlineStr">
        <is>
          <t>Countries</t>
        </is>
      </c>
      <c r="B708" s="40" t="inlineStr">
        <is>
          <t>J380</t>
        </is>
      </c>
      <c r="C708" s="40" t="n">
        <v>380</v>
      </c>
      <c r="D708" s="40" t="inlineStr">
        <is>
          <t>Route page</t>
        </is>
      </c>
      <c r="E708" s="40" t="inlineStr">
        <is>
          <t>Organic</t>
        </is>
      </c>
      <c r="F708" s="40" t="inlineStr">
        <is>
          <t>Desktop</t>
        </is>
      </c>
      <c r="G708" s="40" t="inlineStr">
        <is>
          <t>Australia</t>
        </is>
      </c>
      <c r="H708" s="40" t="n">
        <v>18</v>
      </c>
      <c r="I708" s="40" t="inlineStr">
        <is>
          <t>Start Search</t>
        </is>
      </c>
      <c r="J708" s="40" t="inlineStr">
        <is>
          <t>1-23 August 2026</t>
        </is>
      </c>
      <c r="K708" s="55" t="n">
        <v>528</v>
      </c>
      <c r="L708" s="40" t="inlineStr">
        <is>
          <t>Visit→Engagement 1-23 August 2026</t>
        </is>
      </c>
      <c r="M708" s="40">
        <f>IF(Countries!J380="","STILL MISSING","Filled ✓")</f>
        <v/>
      </c>
    </row>
    <row r="709">
      <c r="A709" s="56" t="inlineStr">
        <is>
          <t>Countries</t>
        </is>
      </c>
      <c r="B709" s="56" t="inlineStr">
        <is>
          <t>AR372</t>
        </is>
      </c>
      <c r="C709" s="56" t="n">
        <v>372</v>
      </c>
      <c r="D709" s="56" t="inlineStr">
        <is>
          <t>Route page</t>
        </is>
      </c>
      <c r="E709" s="56" t="inlineStr">
        <is>
          <t>Organic</t>
        </is>
      </c>
      <c r="F709" s="56" t="inlineStr">
        <is>
          <t>Mobile</t>
        </is>
      </c>
      <c r="G709" s="56" t="inlineStr">
        <is>
          <t>Australia</t>
        </is>
      </c>
      <c r="H709" s="56" t="n">
        <v>18</v>
      </c>
      <c r="I709" s="56" t="inlineStr">
        <is>
          <t>Purchases</t>
        </is>
      </c>
      <c r="J709" s="56" t="inlineStr">
        <is>
          <t>1-23 August 2025</t>
        </is>
      </c>
      <c r="K709" s="57" t="n">
        <v>598</v>
      </c>
      <c r="L709" s="56" t="inlineStr">
        <is>
          <t>CR 1-23 August 2025 + Search→Booking 1-23 August 2025</t>
        </is>
      </c>
      <c r="M709" s="40">
        <f>IF(Countries!AR372="","STILL MISSING","Filled ✓")</f>
        <v/>
      </c>
    </row>
    <row r="710">
      <c r="A710" s="40" t="inlineStr">
        <is>
          <t>Countries</t>
        </is>
      </c>
      <c r="B710" s="40" t="inlineStr">
        <is>
          <t>AS372</t>
        </is>
      </c>
      <c r="C710" s="40" t="n">
        <v>372</v>
      </c>
      <c r="D710" s="40" t="inlineStr">
        <is>
          <t>Route page</t>
        </is>
      </c>
      <c r="E710" s="40" t="inlineStr">
        <is>
          <t>Organic</t>
        </is>
      </c>
      <c r="F710" s="40" t="inlineStr">
        <is>
          <t>Mobile</t>
        </is>
      </c>
      <c r="G710" s="40" t="inlineStr">
        <is>
          <t>Australia</t>
        </is>
      </c>
      <c r="H710" s="40" t="n">
        <v>18</v>
      </c>
      <c r="I710" s="40" t="inlineStr">
        <is>
          <t>Purchases</t>
        </is>
      </c>
      <c r="J710" s="40" t="inlineStr">
        <is>
          <t>1-23 August 2026</t>
        </is>
      </c>
      <c r="K710" s="55" t="n">
        <v>598</v>
      </c>
      <c r="L710" s="40" t="inlineStr">
        <is>
          <t>CR 1-23 August 2026</t>
        </is>
      </c>
      <c r="M710" s="40">
        <f>IF(Countries!AS372="","STILL MISSING","Filled ✓")</f>
        <v/>
      </c>
    </row>
    <row r="711">
      <c r="A711" s="56" t="inlineStr">
        <is>
          <t>Countries</t>
        </is>
      </c>
      <c r="B711" s="56" t="inlineStr">
        <is>
          <t>Q372</t>
        </is>
      </c>
      <c r="C711" s="56" t="n">
        <v>372</v>
      </c>
      <c r="D711" s="56" t="inlineStr">
        <is>
          <t>Route page</t>
        </is>
      </c>
      <c r="E711" s="56" t="inlineStr">
        <is>
          <t>Organic</t>
        </is>
      </c>
      <c r="F711" s="56" t="inlineStr">
        <is>
          <t>Mobile</t>
        </is>
      </c>
      <c r="G711" s="56" t="inlineStr">
        <is>
          <t>Australia</t>
        </is>
      </c>
      <c r="H711" s="56" t="n">
        <v>18</v>
      </c>
      <c r="I711" s="56" t="inlineStr">
        <is>
          <t>Searches</t>
        </is>
      </c>
      <c r="J711" s="56" t="inlineStr">
        <is>
          <t>1-23 August 2026</t>
        </is>
      </c>
      <c r="K711" s="57" t="n">
        <v>598</v>
      </c>
      <c r="L711" s="56" t="inlineStr">
        <is>
          <t>Searches YoY + Visit→Search 1-23 August 2026</t>
        </is>
      </c>
      <c r="M711" s="40">
        <f>IF(Countries!Q372="","STILL MISSING","Filled ✓")</f>
        <v/>
      </c>
    </row>
    <row r="712">
      <c r="A712" s="40" t="inlineStr">
        <is>
          <t>Countries</t>
        </is>
      </c>
      <c r="B712" s="40" t="inlineStr">
        <is>
          <t>W372</t>
        </is>
      </c>
      <c r="C712" s="40" t="n">
        <v>372</v>
      </c>
      <c r="D712" s="40" t="inlineStr">
        <is>
          <t>Route page</t>
        </is>
      </c>
      <c r="E712" s="40" t="inlineStr">
        <is>
          <t>Organic</t>
        </is>
      </c>
      <c r="F712" s="40" t="inlineStr">
        <is>
          <t>Mobile</t>
        </is>
      </c>
      <c r="G712" s="40" t="inlineStr">
        <is>
          <t>Australia</t>
        </is>
      </c>
      <c r="H712" s="40" t="n">
        <v>18</v>
      </c>
      <c r="I712" s="40" t="inlineStr">
        <is>
          <t>Select item</t>
        </is>
      </c>
      <c r="J712" s="40" t="inlineStr">
        <is>
          <t>1-23 August 2025</t>
        </is>
      </c>
      <c r="K712" s="55" t="n">
        <v>598</v>
      </c>
      <c r="L712" s="40" t="inlineStr">
        <is>
          <t>Search→Select 1-23 August 2025</t>
        </is>
      </c>
      <c r="M712" s="40">
        <f>IF(Countries!W372="","STILL MISSING","Filled ✓")</f>
        <v/>
      </c>
    </row>
    <row r="713">
      <c r="A713" s="56" t="inlineStr">
        <is>
          <t>Countries</t>
        </is>
      </c>
      <c r="B713" s="56" t="inlineStr">
        <is>
          <t>I372</t>
        </is>
      </c>
      <c r="C713" s="56" t="n">
        <v>372</v>
      </c>
      <c r="D713" s="56" t="inlineStr">
        <is>
          <t>Route page</t>
        </is>
      </c>
      <c r="E713" s="56" t="inlineStr">
        <is>
          <t>Organic</t>
        </is>
      </c>
      <c r="F713" s="56" t="inlineStr">
        <is>
          <t>Mobile</t>
        </is>
      </c>
      <c r="G713" s="56" t="inlineStr">
        <is>
          <t>Australia</t>
        </is>
      </c>
      <c r="H713" s="56" t="n">
        <v>18</v>
      </c>
      <c r="I713" s="56" t="inlineStr">
        <is>
          <t>Start Search</t>
        </is>
      </c>
      <c r="J713" s="56" t="inlineStr">
        <is>
          <t>1-23 August 2025</t>
        </is>
      </c>
      <c r="K713" s="57" t="n">
        <v>598</v>
      </c>
      <c r="L713" s="56" t="inlineStr">
        <is>
          <t>Visit→Engagement 1-23 August 2025</t>
        </is>
      </c>
      <c r="M713" s="40">
        <f>IF(Countries!I372="","STILL MISSING","Filled ✓")</f>
        <v/>
      </c>
    </row>
    <row r="714">
      <c r="A714" s="40" t="inlineStr">
        <is>
          <t>Countries</t>
        </is>
      </c>
      <c r="B714" s="40" t="inlineStr">
        <is>
          <t>J372</t>
        </is>
      </c>
      <c r="C714" s="40" t="n">
        <v>372</v>
      </c>
      <c r="D714" s="40" t="inlineStr">
        <is>
          <t>Route page</t>
        </is>
      </c>
      <c r="E714" s="40" t="inlineStr">
        <is>
          <t>Organic</t>
        </is>
      </c>
      <c r="F714" s="40" t="inlineStr">
        <is>
          <t>Mobile</t>
        </is>
      </c>
      <c r="G714" s="40" t="inlineStr">
        <is>
          <t>Australia</t>
        </is>
      </c>
      <c r="H714" s="40" t="n">
        <v>18</v>
      </c>
      <c r="I714" s="40" t="inlineStr">
        <is>
          <t>Start Search</t>
        </is>
      </c>
      <c r="J714" s="40" t="inlineStr">
        <is>
          <t>1-23 August 2026</t>
        </is>
      </c>
      <c r="K714" s="55" t="n">
        <v>598</v>
      </c>
      <c r="L714" s="40" t="inlineStr">
        <is>
          <t>Visit→Engagement 1-23 August 2026</t>
        </is>
      </c>
      <c r="M714" s="40">
        <f>IF(Countries!J372="","STILL MISSING","Filled ✓")</f>
        <v/>
      </c>
    </row>
    <row r="715">
      <c r="A715" s="56" t="inlineStr">
        <is>
          <t>Countries</t>
        </is>
      </c>
      <c r="B715" s="56" t="inlineStr">
        <is>
          <t>AR431</t>
        </is>
      </c>
      <c r="C715" s="56" t="n">
        <v>431</v>
      </c>
      <c r="D715" s="56" t="inlineStr">
        <is>
          <t>Route page</t>
        </is>
      </c>
      <c r="E715" s="56" t="inlineStr">
        <is>
          <t>Direct</t>
        </is>
      </c>
      <c r="F715" s="56" t="inlineStr">
        <is>
          <t>Desktop</t>
        </is>
      </c>
      <c r="G715" s="56" t="inlineStr">
        <is>
          <t>Australia</t>
        </is>
      </c>
      <c r="H715" s="56" t="n">
        <v>18</v>
      </c>
      <c r="I715" s="56" t="inlineStr">
        <is>
          <t>Purchases</t>
        </is>
      </c>
      <c r="J715" s="56" t="inlineStr">
        <is>
          <t>1-23 August 2025</t>
        </is>
      </c>
      <c r="K715" s="57" t="n">
        <v>17</v>
      </c>
      <c r="L715" s="56" t="inlineStr">
        <is>
          <t>CR 1-23 August 2025</t>
        </is>
      </c>
      <c r="M715" s="40">
        <f>IF(Countries!AR431="","STILL MISSING","Filled ✓")</f>
        <v/>
      </c>
    </row>
    <row r="716">
      <c r="A716" s="40" t="inlineStr">
        <is>
          <t>Countries</t>
        </is>
      </c>
      <c r="B716" s="40" t="inlineStr">
        <is>
          <t>P431</t>
        </is>
      </c>
      <c r="C716" s="40" t="n">
        <v>431</v>
      </c>
      <c r="D716" s="40" t="inlineStr">
        <is>
          <t>Route page</t>
        </is>
      </c>
      <c r="E716" s="40" t="inlineStr">
        <is>
          <t>Direct</t>
        </is>
      </c>
      <c r="F716" s="40" t="inlineStr">
        <is>
          <t>Desktop</t>
        </is>
      </c>
      <c r="G716" s="40" t="inlineStr">
        <is>
          <t>Australia</t>
        </is>
      </c>
      <c r="H716" s="40" t="n">
        <v>18</v>
      </c>
      <c r="I716" s="40" t="inlineStr">
        <is>
          <t>Searches</t>
        </is>
      </c>
      <c r="J716" s="40" t="inlineStr">
        <is>
          <t>1-23 August 2025</t>
        </is>
      </c>
      <c r="K716" s="55" t="n">
        <v>17</v>
      </c>
      <c r="L716" s="40" t="inlineStr">
        <is>
          <t>Visit→Search 1-23 August 2025</t>
        </is>
      </c>
      <c r="M716" s="40">
        <f>IF(Countries!P431="","STILL MISSING","Filled ✓")</f>
        <v/>
      </c>
    </row>
    <row r="717">
      <c r="A717" s="56" t="inlineStr">
        <is>
          <t>Countries</t>
        </is>
      </c>
      <c r="B717" s="56" t="inlineStr">
        <is>
          <t>F431</t>
        </is>
      </c>
      <c r="C717" s="56" t="n">
        <v>431</v>
      </c>
      <c r="D717" s="56" t="inlineStr">
        <is>
          <t>Route page</t>
        </is>
      </c>
      <c r="E717" s="56" t="inlineStr">
        <is>
          <t>Direct</t>
        </is>
      </c>
      <c r="F717" s="56" t="inlineStr">
        <is>
          <t>Desktop</t>
        </is>
      </c>
      <c r="G717" s="56" t="inlineStr">
        <is>
          <t>Australia</t>
        </is>
      </c>
      <c r="H717" s="56" t="n">
        <v>18</v>
      </c>
      <c r="I717" s="56" t="inlineStr">
        <is>
          <t>Sessions</t>
        </is>
      </c>
      <c r="J717" s="56" t="inlineStr">
        <is>
          <t>1-23 August 2026</t>
        </is>
      </c>
      <c r="K717" s="57" t="n">
        <v>17</v>
      </c>
      <c r="L717" s="56" t="inlineStr">
        <is>
          <t>Sessions YoY</t>
        </is>
      </c>
      <c r="M717" s="40">
        <f>IF(Countries!F431="","STILL MISSING","Filled ✓")</f>
        <v/>
      </c>
    </row>
    <row r="718">
      <c r="A718" s="40" t="inlineStr">
        <is>
          <t>Countries</t>
        </is>
      </c>
      <c r="B718" s="40" t="inlineStr">
        <is>
          <t>I431</t>
        </is>
      </c>
      <c r="C718" s="40" t="n">
        <v>431</v>
      </c>
      <c r="D718" s="40" t="inlineStr">
        <is>
          <t>Route page</t>
        </is>
      </c>
      <c r="E718" s="40" t="inlineStr">
        <is>
          <t>Direct</t>
        </is>
      </c>
      <c r="F718" s="40" t="inlineStr">
        <is>
          <t>Desktop</t>
        </is>
      </c>
      <c r="G718" s="40" t="inlineStr">
        <is>
          <t>Australia</t>
        </is>
      </c>
      <c r="H718" s="40" t="n">
        <v>18</v>
      </c>
      <c r="I718" s="40" t="inlineStr">
        <is>
          <t>Start Search</t>
        </is>
      </c>
      <c r="J718" s="40" t="inlineStr">
        <is>
          <t>1-23 August 2025</t>
        </is>
      </c>
      <c r="K718" s="55" t="n">
        <v>17</v>
      </c>
      <c r="L718" s="40" t="inlineStr">
        <is>
          <t>Visit→Engagement 1-23 August 2025</t>
        </is>
      </c>
      <c r="M718" s="40">
        <f>IF(Countries!I431="","STILL MISSING","Filled ✓")</f>
        <v/>
      </c>
    </row>
    <row r="719">
      <c r="A719" s="56" t="inlineStr">
        <is>
          <t>Countries</t>
        </is>
      </c>
      <c r="B719" s="56" t="inlineStr">
        <is>
          <t>AR104</t>
        </is>
      </c>
      <c r="C719" s="56" t="n">
        <v>104</v>
      </c>
      <c r="D719" s="56" t="inlineStr">
        <is>
          <t>All landing pages</t>
        </is>
      </c>
      <c r="E719" s="56" t="inlineStr">
        <is>
          <t>Direct</t>
        </is>
      </c>
      <c r="F719" s="56" t="inlineStr">
        <is>
          <t>Desktop</t>
        </is>
      </c>
      <c r="G719" s="56" t="inlineStr">
        <is>
          <t>Romania</t>
        </is>
      </c>
      <c r="H719" s="56" t="n">
        <v>19</v>
      </c>
      <c r="I719" s="56" t="inlineStr">
        <is>
          <t>Purchases</t>
        </is>
      </c>
      <c r="J719" s="56" t="inlineStr">
        <is>
          <t>1-23 August 2025</t>
        </is>
      </c>
      <c r="K719" s="57" t="n">
        <v>449</v>
      </c>
      <c r="L719" s="56" t="inlineStr">
        <is>
          <t>CR 1-23 August 2025 + Search→Booking 1-23 August 2025</t>
        </is>
      </c>
      <c r="M719" s="40">
        <f>IF(Countries!AR104="","STILL MISSING","Filled ✓")</f>
        <v/>
      </c>
    </row>
    <row r="720">
      <c r="A720" s="40" t="inlineStr">
        <is>
          <t>Countries</t>
        </is>
      </c>
      <c r="B720" s="40" t="inlineStr">
        <is>
          <t>AS104</t>
        </is>
      </c>
      <c r="C720" s="40" t="n">
        <v>104</v>
      </c>
      <c r="D720" s="40" t="inlineStr">
        <is>
          <t>All landing pages</t>
        </is>
      </c>
      <c r="E720" s="40" t="inlineStr">
        <is>
          <t>Direct</t>
        </is>
      </c>
      <c r="F720" s="40" t="inlineStr">
        <is>
          <t>Desktop</t>
        </is>
      </c>
      <c r="G720" s="40" t="inlineStr">
        <is>
          <t>Romania</t>
        </is>
      </c>
      <c r="H720" s="40" t="n">
        <v>19</v>
      </c>
      <c r="I720" s="40" t="inlineStr">
        <is>
          <t>Purchases</t>
        </is>
      </c>
      <c r="J720" s="40" t="inlineStr">
        <is>
          <t>1-23 August 2026</t>
        </is>
      </c>
      <c r="K720" s="55" t="n">
        <v>449</v>
      </c>
      <c r="L720" s="40" t="inlineStr">
        <is>
          <t>CR 1-23 August 2026</t>
        </is>
      </c>
      <c r="M720" s="40">
        <f>IF(Countries!AS104="","STILL MISSING","Filled ✓")</f>
        <v/>
      </c>
    </row>
    <row r="721">
      <c r="A721" s="56" t="inlineStr">
        <is>
          <t>Countries</t>
        </is>
      </c>
      <c r="B721" s="56" t="inlineStr">
        <is>
          <t>Q104</t>
        </is>
      </c>
      <c r="C721" s="56" t="n">
        <v>104</v>
      </c>
      <c r="D721" s="56" t="inlineStr">
        <is>
          <t>All landing pages</t>
        </is>
      </c>
      <c r="E721" s="56" t="inlineStr">
        <is>
          <t>Direct</t>
        </is>
      </c>
      <c r="F721" s="56" t="inlineStr">
        <is>
          <t>Desktop</t>
        </is>
      </c>
      <c r="G721" s="56" t="inlineStr">
        <is>
          <t>Romania</t>
        </is>
      </c>
      <c r="H721" s="56" t="n">
        <v>19</v>
      </c>
      <c r="I721" s="56" t="inlineStr">
        <is>
          <t>Searches</t>
        </is>
      </c>
      <c r="J721" s="56" t="inlineStr">
        <is>
          <t>1-23 August 2026</t>
        </is>
      </c>
      <c r="K721" s="57" t="n">
        <v>449</v>
      </c>
      <c r="L721" s="56" t="inlineStr">
        <is>
          <t>Searches YoY + Visit→Search 1-23 August 2026</t>
        </is>
      </c>
      <c r="M721" s="40">
        <f>IF(Countries!Q104="","STILL MISSING","Filled ✓")</f>
        <v/>
      </c>
    </row>
    <row r="722">
      <c r="A722" s="40" t="inlineStr">
        <is>
          <t>Countries</t>
        </is>
      </c>
      <c r="B722" s="40" t="inlineStr">
        <is>
          <t>W104</t>
        </is>
      </c>
      <c r="C722" s="40" t="n">
        <v>104</v>
      </c>
      <c r="D722" s="40" t="inlineStr">
        <is>
          <t>All landing pages</t>
        </is>
      </c>
      <c r="E722" s="40" t="inlineStr">
        <is>
          <t>Direct</t>
        </is>
      </c>
      <c r="F722" s="40" t="inlineStr">
        <is>
          <t>Desktop</t>
        </is>
      </c>
      <c r="G722" s="40" t="inlineStr">
        <is>
          <t>Romania</t>
        </is>
      </c>
      <c r="H722" s="40" t="n">
        <v>19</v>
      </c>
      <c r="I722" s="40" t="inlineStr">
        <is>
          <t>Select item</t>
        </is>
      </c>
      <c r="J722" s="40" t="inlineStr">
        <is>
          <t>1-23 August 2025</t>
        </is>
      </c>
      <c r="K722" s="55" t="n">
        <v>449</v>
      </c>
      <c r="L722" s="40" t="inlineStr">
        <is>
          <t>Search→Select 1-23 August 2025</t>
        </is>
      </c>
      <c r="M722" s="40">
        <f>IF(Countries!W104="","STILL MISSING","Filled ✓")</f>
        <v/>
      </c>
    </row>
    <row r="723">
      <c r="A723" s="56" t="inlineStr">
        <is>
          <t>Countries</t>
        </is>
      </c>
      <c r="B723" s="56" t="inlineStr">
        <is>
          <t>I104</t>
        </is>
      </c>
      <c r="C723" s="56" t="n">
        <v>104</v>
      </c>
      <c r="D723" s="56" t="inlineStr">
        <is>
          <t>All landing pages</t>
        </is>
      </c>
      <c r="E723" s="56" t="inlineStr">
        <is>
          <t>Direct</t>
        </is>
      </c>
      <c r="F723" s="56" t="inlineStr">
        <is>
          <t>Desktop</t>
        </is>
      </c>
      <c r="G723" s="56" t="inlineStr">
        <is>
          <t>Romania</t>
        </is>
      </c>
      <c r="H723" s="56" t="n">
        <v>19</v>
      </c>
      <c r="I723" s="56" t="inlineStr">
        <is>
          <t>Start Search</t>
        </is>
      </c>
      <c r="J723" s="56" t="inlineStr">
        <is>
          <t>1-23 August 2025</t>
        </is>
      </c>
      <c r="K723" s="57" t="n">
        <v>449</v>
      </c>
      <c r="L723" s="56" t="inlineStr">
        <is>
          <t>Visit→Engagement 1-23 August 2025</t>
        </is>
      </c>
      <c r="M723" s="40">
        <f>IF(Countries!I104="","STILL MISSING","Filled ✓")</f>
        <v/>
      </c>
    </row>
    <row r="724">
      <c r="A724" s="40" t="inlineStr">
        <is>
          <t>Countries</t>
        </is>
      </c>
      <c r="B724" s="40" t="inlineStr">
        <is>
          <t>J104</t>
        </is>
      </c>
      <c r="C724" s="40" t="n">
        <v>104</v>
      </c>
      <c r="D724" s="40" t="inlineStr">
        <is>
          <t>All landing pages</t>
        </is>
      </c>
      <c r="E724" s="40" t="inlineStr">
        <is>
          <t>Direct</t>
        </is>
      </c>
      <c r="F724" s="40" t="inlineStr">
        <is>
          <t>Desktop</t>
        </is>
      </c>
      <c r="G724" s="40" t="inlineStr">
        <is>
          <t>Romania</t>
        </is>
      </c>
      <c r="H724" s="40" t="n">
        <v>19</v>
      </c>
      <c r="I724" s="40" t="inlineStr">
        <is>
          <t>Start Search</t>
        </is>
      </c>
      <c r="J724" s="40" t="inlineStr">
        <is>
          <t>1-23 August 2026</t>
        </is>
      </c>
      <c r="K724" s="55" t="n">
        <v>449</v>
      </c>
      <c r="L724" s="40" t="inlineStr">
        <is>
          <t>Visit→Engagement 1-23 August 2026</t>
        </is>
      </c>
      <c r="M724" s="40">
        <f>IF(Countries!J104="","STILL MISSING","Filled ✓")</f>
        <v/>
      </c>
    </row>
    <row r="725">
      <c r="A725" s="56" t="inlineStr">
        <is>
          <t>Countries</t>
        </is>
      </c>
      <c r="B725" s="56" t="inlineStr">
        <is>
          <t>AR213</t>
        </is>
      </c>
      <c r="C725" s="56" t="n">
        <v>213</v>
      </c>
      <c r="D725" s="56" t="inlineStr">
        <is>
          <t>Home page</t>
        </is>
      </c>
      <c r="E725" s="56" t="inlineStr">
        <is>
          <t>Direct</t>
        </is>
      </c>
      <c r="F725" s="56" t="inlineStr">
        <is>
          <t>Desktop</t>
        </is>
      </c>
      <c r="G725" s="56" t="inlineStr">
        <is>
          <t>Romania</t>
        </is>
      </c>
      <c r="H725" s="56" t="n">
        <v>19</v>
      </c>
      <c r="I725" s="56" t="inlineStr">
        <is>
          <t>Purchases</t>
        </is>
      </c>
      <c r="J725" s="56" t="inlineStr">
        <is>
          <t>1-23 August 2025</t>
        </is>
      </c>
      <c r="K725" s="57" t="n">
        <v>208</v>
      </c>
      <c r="L725" s="56" t="inlineStr">
        <is>
          <t>CR 1-23 August 2025 + Search→Booking 1-23 August 2025</t>
        </is>
      </c>
      <c r="M725" s="40">
        <f>IF(Countries!AR213="","STILL MISSING","Filled ✓")</f>
        <v/>
      </c>
    </row>
    <row r="726">
      <c r="A726" s="40" t="inlineStr">
        <is>
          <t>Countries</t>
        </is>
      </c>
      <c r="B726" s="40" t="inlineStr">
        <is>
          <t>AS213</t>
        </is>
      </c>
      <c r="C726" s="40" t="n">
        <v>213</v>
      </c>
      <c r="D726" s="40" t="inlineStr">
        <is>
          <t>Home page</t>
        </is>
      </c>
      <c r="E726" s="40" t="inlineStr">
        <is>
          <t>Direct</t>
        </is>
      </c>
      <c r="F726" s="40" t="inlineStr">
        <is>
          <t>Desktop</t>
        </is>
      </c>
      <c r="G726" s="40" t="inlineStr">
        <is>
          <t>Romania</t>
        </is>
      </c>
      <c r="H726" s="40" t="n">
        <v>19</v>
      </c>
      <c r="I726" s="40" t="inlineStr">
        <is>
          <t>Purchases</t>
        </is>
      </c>
      <c r="J726" s="40" t="inlineStr">
        <is>
          <t>1-23 August 2026</t>
        </is>
      </c>
      <c r="K726" s="55" t="n">
        <v>208</v>
      </c>
      <c r="L726" s="40" t="inlineStr">
        <is>
          <t>CR 1-23 August 2026 + Search→Booking 1-23 August 2026</t>
        </is>
      </c>
      <c r="M726" s="40">
        <f>IF(Countries!AS213="","STILL MISSING","Filled ✓")</f>
        <v/>
      </c>
    </row>
    <row r="727">
      <c r="A727" s="56" t="inlineStr">
        <is>
          <t>Countries</t>
        </is>
      </c>
      <c r="B727" s="56" t="inlineStr">
        <is>
          <t>W213</t>
        </is>
      </c>
      <c r="C727" s="56" t="n">
        <v>213</v>
      </c>
      <c r="D727" s="56" t="inlineStr">
        <is>
          <t>Home page</t>
        </is>
      </c>
      <c r="E727" s="56" t="inlineStr">
        <is>
          <t>Direct</t>
        </is>
      </c>
      <c r="F727" s="56" t="inlineStr">
        <is>
          <t>Desktop</t>
        </is>
      </c>
      <c r="G727" s="56" t="inlineStr">
        <is>
          <t>Romania</t>
        </is>
      </c>
      <c r="H727" s="56" t="n">
        <v>19</v>
      </c>
      <c r="I727" s="56" t="inlineStr">
        <is>
          <t>Select item</t>
        </is>
      </c>
      <c r="J727" s="56" t="inlineStr">
        <is>
          <t>1-23 August 2025</t>
        </is>
      </c>
      <c r="K727" s="57" t="n">
        <v>208</v>
      </c>
      <c r="L727" s="56" t="inlineStr">
        <is>
          <t>Search→Select 1-23 August 2025</t>
        </is>
      </c>
      <c r="M727" s="40">
        <f>IF(Countries!W213="","STILL MISSING","Filled ✓")</f>
        <v/>
      </c>
    </row>
    <row r="728">
      <c r="A728" s="40" t="inlineStr">
        <is>
          <t>Countries</t>
        </is>
      </c>
      <c r="B728" s="40" t="inlineStr">
        <is>
          <t>X213</t>
        </is>
      </c>
      <c r="C728" s="40" t="n">
        <v>213</v>
      </c>
      <c r="D728" s="40" t="inlineStr">
        <is>
          <t>Home page</t>
        </is>
      </c>
      <c r="E728" s="40" t="inlineStr">
        <is>
          <t>Direct</t>
        </is>
      </c>
      <c r="F728" s="40" t="inlineStr">
        <is>
          <t>Desktop</t>
        </is>
      </c>
      <c r="G728" s="40" t="inlineStr">
        <is>
          <t>Romania</t>
        </is>
      </c>
      <c r="H728" s="40" t="n">
        <v>19</v>
      </c>
      <c r="I728" s="40" t="inlineStr">
        <is>
          <t>Select item</t>
        </is>
      </c>
      <c r="J728" s="40" t="inlineStr">
        <is>
          <t>1-23 August 2026</t>
        </is>
      </c>
      <c r="K728" s="55" t="n">
        <v>208</v>
      </c>
      <c r="L728" s="40" t="inlineStr">
        <is>
          <t>Search→Select 1-23 August 2026</t>
        </is>
      </c>
      <c r="M728" s="40">
        <f>IF(Countries!X213="","STILL MISSING","Filled ✓")</f>
        <v/>
      </c>
    </row>
    <row r="729">
      <c r="A729" s="56" t="inlineStr">
        <is>
          <t>Countries</t>
        </is>
      </c>
      <c r="B729" s="56" t="inlineStr">
        <is>
          <t>I213</t>
        </is>
      </c>
      <c r="C729" s="56" t="n">
        <v>213</v>
      </c>
      <c r="D729" s="56" t="inlineStr">
        <is>
          <t>Home page</t>
        </is>
      </c>
      <c r="E729" s="56" t="inlineStr">
        <is>
          <t>Direct</t>
        </is>
      </c>
      <c r="F729" s="56" t="inlineStr">
        <is>
          <t>Desktop</t>
        </is>
      </c>
      <c r="G729" s="56" t="inlineStr">
        <is>
          <t>Romania</t>
        </is>
      </c>
      <c r="H729" s="56" t="n">
        <v>19</v>
      </c>
      <c r="I729" s="56" t="inlineStr">
        <is>
          <t>Start Search</t>
        </is>
      </c>
      <c r="J729" s="56" t="inlineStr">
        <is>
          <t>1-23 August 2025</t>
        </is>
      </c>
      <c r="K729" s="57" t="n">
        <v>208</v>
      </c>
      <c r="L729" s="56" t="inlineStr">
        <is>
          <t>Visit→Engagement 1-23 August 2025</t>
        </is>
      </c>
      <c r="M729" s="40">
        <f>IF(Countries!I213="","STILL MISSING","Filled ✓")</f>
        <v/>
      </c>
    </row>
    <row r="730">
      <c r="A730" s="40" t="inlineStr">
        <is>
          <t>Countries</t>
        </is>
      </c>
      <c r="B730" s="40" t="inlineStr">
        <is>
          <t>J213</t>
        </is>
      </c>
      <c r="C730" s="40" t="n">
        <v>213</v>
      </c>
      <c r="D730" s="40" t="inlineStr">
        <is>
          <t>Home page</t>
        </is>
      </c>
      <c r="E730" s="40" t="inlineStr">
        <is>
          <t>Direct</t>
        </is>
      </c>
      <c r="F730" s="40" t="inlineStr">
        <is>
          <t>Desktop</t>
        </is>
      </c>
      <c r="G730" s="40" t="inlineStr">
        <is>
          <t>Romania</t>
        </is>
      </c>
      <c r="H730" s="40" t="n">
        <v>19</v>
      </c>
      <c r="I730" s="40" t="inlineStr">
        <is>
          <t>Start Search</t>
        </is>
      </c>
      <c r="J730" s="40" t="inlineStr">
        <is>
          <t>1-23 August 2026</t>
        </is>
      </c>
      <c r="K730" s="55" t="n">
        <v>208</v>
      </c>
      <c r="L730" s="40" t="inlineStr">
        <is>
          <t>Visit→Engagement 1-23 August 2026</t>
        </is>
      </c>
      <c r="M730" s="40">
        <f>IF(Countries!J213="","STILL MISSING","Filled ✓")</f>
        <v/>
      </c>
    </row>
    <row r="731">
      <c r="A731" s="56" t="inlineStr">
        <is>
          <t>Countries</t>
        </is>
      </c>
      <c r="B731" s="56" t="inlineStr">
        <is>
          <t>AR339</t>
        </is>
      </c>
      <c r="C731" s="56" t="n">
        <v>339</v>
      </c>
      <c r="D731" s="56" t="inlineStr">
        <is>
          <t>Route page</t>
        </is>
      </c>
      <c r="E731" s="56" t="inlineStr">
        <is>
          <t>Paid Search</t>
        </is>
      </c>
      <c r="F731" s="56" t="inlineStr">
        <is>
          <t>Mobile</t>
        </is>
      </c>
      <c r="G731" s="56" t="inlineStr">
        <is>
          <t>Romania</t>
        </is>
      </c>
      <c r="H731" s="56" t="n">
        <v>19</v>
      </c>
      <c r="I731" s="56" t="inlineStr">
        <is>
          <t>Purchases</t>
        </is>
      </c>
      <c r="J731" s="56" t="inlineStr">
        <is>
          <t>1-23 August 2025</t>
        </is>
      </c>
      <c r="K731" s="57" t="n">
        <v>435</v>
      </c>
      <c r="L731" s="56" t="inlineStr">
        <is>
          <t>CR 1-23 August 2025 + Search→Booking 1-23 August 2025</t>
        </is>
      </c>
      <c r="M731" s="40">
        <f>IF(Countries!AR339="","STILL MISSING","Filled ✓")</f>
        <v/>
      </c>
    </row>
    <row r="732">
      <c r="A732" s="40" t="inlineStr">
        <is>
          <t>Countries</t>
        </is>
      </c>
      <c r="B732" s="40" t="inlineStr">
        <is>
          <t>Q339</t>
        </is>
      </c>
      <c r="C732" s="40" t="n">
        <v>339</v>
      </c>
      <c r="D732" s="40" t="inlineStr">
        <is>
          <t>Route page</t>
        </is>
      </c>
      <c r="E732" s="40" t="inlineStr">
        <is>
          <t>Paid Search</t>
        </is>
      </c>
      <c r="F732" s="40" t="inlineStr">
        <is>
          <t>Mobile</t>
        </is>
      </c>
      <c r="G732" s="40" t="inlineStr">
        <is>
          <t>Romania</t>
        </is>
      </c>
      <c r="H732" s="40" t="n">
        <v>19</v>
      </c>
      <c r="I732" s="40" t="inlineStr">
        <is>
          <t>Searches</t>
        </is>
      </c>
      <c r="J732" s="40" t="inlineStr">
        <is>
          <t>1-23 August 2026</t>
        </is>
      </c>
      <c r="K732" s="55" t="n">
        <v>435</v>
      </c>
      <c r="L732" s="40" t="inlineStr">
        <is>
          <t>Searches YoY</t>
        </is>
      </c>
      <c r="M732" s="40">
        <f>IF(Countries!Q339="","STILL MISSING","Filled ✓")</f>
        <v/>
      </c>
    </row>
    <row r="733">
      <c r="A733" s="56" t="inlineStr">
        <is>
          <t>Countries</t>
        </is>
      </c>
      <c r="B733" s="56" t="inlineStr">
        <is>
          <t>W339</t>
        </is>
      </c>
      <c r="C733" s="56" t="n">
        <v>339</v>
      </c>
      <c r="D733" s="56" t="inlineStr">
        <is>
          <t>Route page</t>
        </is>
      </c>
      <c r="E733" s="56" t="inlineStr">
        <is>
          <t>Paid Search</t>
        </is>
      </c>
      <c r="F733" s="56" t="inlineStr">
        <is>
          <t>Mobile</t>
        </is>
      </c>
      <c r="G733" s="56" t="inlineStr">
        <is>
          <t>Romania</t>
        </is>
      </c>
      <c r="H733" s="56" t="n">
        <v>19</v>
      </c>
      <c r="I733" s="56" t="inlineStr">
        <is>
          <t>Select item</t>
        </is>
      </c>
      <c r="J733" s="56" t="inlineStr">
        <is>
          <t>1-23 August 2025</t>
        </is>
      </c>
      <c r="K733" s="57" t="n">
        <v>435</v>
      </c>
      <c r="L733" s="56" t="inlineStr">
        <is>
          <t>Search→Select 1-23 August 2025</t>
        </is>
      </c>
      <c r="M733" s="40">
        <f>IF(Countries!W339="","STILL MISSING","Filled ✓")</f>
        <v/>
      </c>
    </row>
    <row r="734">
      <c r="A734" s="40" t="inlineStr">
        <is>
          <t>Countries</t>
        </is>
      </c>
      <c r="B734" s="40" t="inlineStr">
        <is>
          <t>F339</t>
        </is>
      </c>
      <c r="C734" s="40" t="n">
        <v>339</v>
      </c>
      <c r="D734" s="40" t="inlineStr">
        <is>
          <t>Route page</t>
        </is>
      </c>
      <c r="E734" s="40" t="inlineStr">
        <is>
          <t>Paid Search</t>
        </is>
      </c>
      <c r="F734" s="40" t="inlineStr">
        <is>
          <t>Mobile</t>
        </is>
      </c>
      <c r="G734" s="40" t="inlineStr">
        <is>
          <t>Romania</t>
        </is>
      </c>
      <c r="H734" s="40" t="n">
        <v>19</v>
      </c>
      <c r="I734" s="40" t="inlineStr">
        <is>
          <t>Sessions</t>
        </is>
      </c>
      <c r="J734" s="40" t="inlineStr">
        <is>
          <t>1-23 August 2026</t>
        </is>
      </c>
      <c r="K734" s="55" t="n">
        <v>435</v>
      </c>
      <c r="L734" s="40" t="inlineStr">
        <is>
          <t>Sessions YoY</t>
        </is>
      </c>
      <c r="M734" s="40">
        <f>IF(Countries!F339="","STILL MISSING","Filled ✓")</f>
        <v/>
      </c>
    </row>
    <row r="735">
      <c r="A735" s="56" t="inlineStr">
        <is>
          <t>Countries</t>
        </is>
      </c>
      <c r="B735" s="56" t="inlineStr">
        <is>
          <t>I339</t>
        </is>
      </c>
      <c r="C735" s="56" t="n">
        <v>339</v>
      </c>
      <c r="D735" s="56" t="inlineStr">
        <is>
          <t>Route page</t>
        </is>
      </c>
      <c r="E735" s="56" t="inlineStr">
        <is>
          <t>Paid Search</t>
        </is>
      </c>
      <c r="F735" s="56" t="inlineStr">
        <is>
          <t>Mobile</t>
        </is>
      </c>
      <c r="G735" s="56" t="inlineStr">
        <is>
          <t>Romania</t>
        </is>
      </c>
      <c r="H735" s="56" t="n">
        <v>19</v>
      </c>
      <c r="I735" s="56" t="inlineStr">
        <is>
          <t>Start Search</t>
        </is>
      </c>
      <c r="J735" s="56" t="inlineStr">
        <is>
          <t>1-23 August 2025</t>
        </is>
      </c>
      <c r="K735" s="57" t="n">
        <v>435</v>
      </c>
      <c r="L735" s="56" t="inlineStr">
        <is>
          <t>Visit→Engagement 1-23 August 2025</t>
        </is>
      </c>
      <c r="M735" s="40">
        <f>IF(Countries!I339="","STILL MISSING","Filled ✓")</f>
        <v/>
      </c>
    </row>
    <row r="736">
      <c r="A736" s="40" t="inlineStr">
        <is>
          <t>Countries</t>
        </is>
      </c>
      <c r="B736" s="40" t="inlineStr">
        <is>
          <t>AS425</t>
        </is>
      </c>
      <c r="C736" s="40" t="n">
        <v>425</v>
      </c>
      <c r="D736" s="40" t="inlineStr">
        <is>
          <t>Route page</t>
        </is>
      </c>
      <c r="E736" s="40" t="inlineStr">
        <is>
          <t>Direct</t>
        </is>
      </c>
      <c r="F736" s="40" t="inlineStr">
        <is>
          <t>Desktop</t>
        </is>
      </c>
      <c r="G736" s="40" t="inlineStr">
        <is>
          <t>Romania</t>
        </is>
      </c>
      <c r="H736" s="40" t="n">
        <v>19</v>
      </c>
      <c r="I736" s="40" t="inlineStr">
        <is>
          <t>Purchases</t>
        </is>
      </c>
      <c r="J736" s="40" t="inlineStr">
        <is>
          <t>1-23 August 2026</t>
        </is>
      </c>
      <c r="K736" s="55" t="n">
        <v>123</v>
      </c>
      <c r="L736" s="40" t="inlineStr">
        <is>
          <t>CR 1-23 August 2026 + Search→Booking 1-23 August 2026</t>
        </is>
      </c>
      <c r="M736" s="40">
        <f>IF(Countries!AS425="","STILL MISSING","Filled ✓")</f>
        <v/>
      </c>
    </row>
    <row r="737">
      <c r="A737" s="56" t="inlineStr">
        <is>
          <t>Countries</t>
        </is>
      </c>
      <c r="B737" s="56" t="inlineStr">
        <is>
          <t>P425</t>
        </is>
      </c>
      <c r="C737" s="56" t="n">
        <v>425</v>
      </c>
      <c r="D737" s="56" t="inlineStr">
        <is>
          <t>Route page</t>
        </is>
      </c>
      <c r="E737" s="56" t="inlineStr">
        <is>
          <t>Direct</t>
        </is>
      </c>
      <c r="F737" s="56" t="inlineStr">
        <is>
          <t>Desktop</t>
        </is>
      </c>
      <c r="G737" s="56" t="inlineStr">
        <is>
          <t>Romania</t>
        </is>
      </c>
      <c r="H737" s="56" t="n">
        <v>19</v>
      </c>
      <c r="I737" s="56" t="inlineStr">
        <is>
          <t>Searches</t>
        </is>
      </c>
      <c r="J737" s="56" t="inlineStr">
        <is>
          <t>1-23 August 2025</t>
        </is>
      </c>
      <c r="K737" s="57" t="n">
        <v>123</v>
      </c>
      <c r="L737" s="56" t="inlineStr">
        <is>
          <t>Searches YoY</t>
        </is>
      </c>
      <c r="M737" s="40">
        <f>IF(Countries!P425="","STILL MISSING","Filled ✓")</f>
        <v/>
      </c>
    </row>
    <row r="738">
      <c r="A738" s="40" t="inlineStr">
        <is>
          <t>Countries</t>
        </is>
      </c>
      <c r="B738" s="40" t="inlineStr">
        <is>
          <t>X425</t>
        </is>
      </c>
      <c r="C738" s="40" t="n">
        <v>425</v>
      </c>
      <c r="D738" s="40" t="inlineStr">
        <is>
          <t>Route page</t>
        </is>
      </c>
      <c r="E738" s="40" t="inlineStr">
        <is>
          <t>Direct</t>
        </is>
      </c>
      <c r="F738" s="40" t="inlineStr">
        <is>
          <t>Desktop</t>
        </is>
      </c>
      <c r="G738" s="40" t="inlineStr">
        <is>
          <t>Romania</t>
        </is>
      </c>
      <c r="H738" s="40" t="n">
        <v>19</v>
      </c>
      <c r="I738" s="40" t="inlineStr">
        <is>
          <t>Select item</t>
        </is>
      </c>
      <c r="J738" s="40" t="inlineStr">
        <is>
          <t>1-23 August 2026</t>
        </is>
      </c>
      <c r="K738" s="55" t="n">
        <v>123</v>
      </c>
      <c r="L738" s="40" t="inlineStr">
        <is>
          <t>Search→Select 1-23 August 2026</t>
        </is>
      </c>
      <c r="M738" s="40">
        <f>IF(Countries!X425="","STILL MISSING","Filled ✓")</f>
        <v/>
      </c>
    </row>
    <row r="739">
      <c r="A739" s="56" t="inlineStr">
        <is>
          <t>Countries</t>
        </is>
      </c>
      <c r="B739" s="56" t="inlineStr">
        <is>
          <t>E425</t>
        </is>
      </c>
      <c r="C739" s="56" t="n">
        <v>425</v>
      </c>
      <c r="D739" s="56" t="inlineStr">
        <is>
          <t>Route page</t>
        </is>
      </c>
      <c r="E739" s="56" t="inlineStr">
        <is>
          <t>Direct</t>
        </is>
      </c>
      <c r="F739" s="56" t="inlineStr">
        <is>
          <t>Desktop</t>
        </is>
      </c>
      <c r="G739" s="56" t="inlineStr">
        <is>
          <t>Romania</t>
        </is>
      </c>
      <c r="H739" s="56" t="n">
        <v>19</v>
      </c>
      <c r="I739" s="56" t="inlineStr">
        <is>
          <t>Sessions</t>
        </is>
      </c>
      <c r="J739" s="56" t="inlineStr">
        <is>
          <t>1-23 August 2025</t>
        </is>
      </c>
      <c r="K739" s="57" t="n">
        <v>123</v>
      </c>
      <c r="L739" s="56" t="inlineStr">
        <is>
          <t>Sessions YoY</t>
        </is>
      </c>
      <c r="M739" s="40">
        <f>IF(Countries!E425="","STILL MISSING","Filled ✓")</f>
        <v/>
      </c>
    </row>
    <row r="740">
      <c r="A740" s="40" t="inlineStr">
        <is>
          <t>Countries</t>
        </is>
      </c>
      <c r="B740" s="40" t="inlineStr">
        <is>
          <t>J425</t>
        </is>
      </c>
      <c r="C740" s="40" t="n">
        <v>425</v>
      </c>
      <c r="D740" s="40" t="inlineStr">
        <is>
          <t>Route page</t>
        </is>
      </c>
      <c r="E740" s="40" t="inlineStr">
        <is>
          <t>Direct</t>
        </is>
      </c>
      <c r="F740" s="40" t="inlineStr">
        <is>
          <t>Desktop</t>
        </is>
      </c>
      <c r="G740" s="40" t="inlineStr">
        <is>
          <t>Romania</t>
        </is>
      </c>
      <c r="H740" s="40" t="n">
        <v>19</v>
      </c>
      <c r="I740" s="40" t="inlineStr">
        <is>
          <t>Start Search</t>
        </is>
      </c>
      <c r="J740" s="40" t="inlineStr">
        <is>
          <t>1-23 August 2026</t>
        </is>
      </c>
      <c r="K740" s="55" t="n">
        <v>123</v>
      </c>
      <c r="L740" s="40" t="inlineStr">
        <is>
          <t>Visit→Engagement 1-23 August 2026</t>
        </is>
      </c>
      <c r="M740" s="40">
        <f>IF(Countries!J425="","STILL MISSING","Filled ✓")</f>
        <v/>
      </c>
    </row>
    <row r="741">
      <c r="A741" s="56" t="inlineStr">
        <is>
          <t>Countries</t>
        </is>
      </c>
      <c r="B741" s="56" t="inlineStr">
        <is>
          <t>AS67</t>
        </is>
      </c>
      <c r="C741" s="56" t="n">
        <v>67</v>
      </c>
      <c r="D741" s="56" t="inlineStr">
        <is>
          <t>All landing pages</t>
        </is>
      </c>
      <c r="E741" s="56" t="inlineStr">
        <is>
          <t>Organic</t>
        </is>
      </c>
      <c r="F741" s="56" t="inlineStr">
        <is>
          <t>Desktop</t>
        </is>
      </c>
      <c r="G741" s="56" t="inlineStr">
        <is>
          <t>Canada</t>
        </is>
      </c>
      <c r="H741" s="56" t="n">
        <v>20</v>
      </c>
      <c r="I741" s="56" t="inlineStr">
        <is>
          <t>Purchases</t>
        </is>
      </c>
      <c r="J741" s="56" t="inlineStr">
        <is>
          <t>1-23 August 2026</t>
        </is>
      </c>
      <c r="K741" s="57" t="n">
        <v>419</v>
      </c>
      <c r="L741" s="56" t="inlineStr">
        <is>
          <t>CR 1-23 August 2026 + Search→Booking 1-23 August 2026</t>
        </is>
      </c>
      <c r="M741" s="40">
        <f>IF(Countries!AS67="","STILL MISSING","Filled ✓")</f>
        <v/>
      </c>
    </row>
    <row r="742">
      <c r="A742" s="40" t="inlineStr">
        <is>
          <t>Countries</t>
        </is>
      </c>
      <c r="B742" s="40" t="inlineStr">
        <is>
          <t>P67</t>
        </is>
      </c>
      <c r="C742" s="40" t="n">
        <v>67</v>
      </c>
      <c r="D742" s="40" t="inlineStr">
        <is>
          <t>All landing pages</t>
        </is>
      </c>
      <c r="E742" s="40" t="inlineStr">
        <is>
          <t>Organic</t>
        </is>
      </c>
      <c r="F742" s="40" t="inlineStr">
        <is>
          <t>Desktop</t>
        </is>
      </c>
      <c r="G742" s="40" t="inlineStr">
        <is>
          <t>Canada</t>
        </is>
      </c>
      <c r="H742" s="40" t="n">
        <v>20</v>
      </c>
      <c r="I742" s="40" t="inlineStr">
        <is>
          <t>Searches</t>
        </is>
      </c>
      <c r="J742" s="40" t="inlineStr">
        <is>
          <t>1-23 August 2025</t>
        </is>
      </c>
      <c r="K742" s="55" t="n">
        <v>419</v>
      </c>
      <c r="L742" s="40" t="inlineStr">
        <is>
          <t>Searches YoY</t>
        </is>
      </c>
      <c r="M742" s="40">
        <f>IF(Countries!P67="","STILL MISSING","Filled ✓")</f>
        <v/>
      </c>
    </row>
    <row r="743">
      <c r="A743" s="56" t="inlineStr">
        <is>
          <t>Countries</t>
        </is>
      </c>
      <c r="B743" s="56" t="inlineStr">
        <is>
          <t>X67</t>
        </is>
      </c>
      <c r="C743" s="56" t="n">
        <v>67</v>
      </c>
      <c r="D743" s="56" t="inlineStr">
        <is>
          <t>All landing pages</t>
        </is>
      </c>
      <c r="E743" s="56" t="inlineStr">
        <is>
          <t>Organic</t>
        </is>
      </c>
      <c r="F743" s="56" t="inlineStr">
        <is>
          <t>Desktop</t>
        </is>
      </c>
      <c r="G743" s="56" t="inlineStr">
        <is>
          <t>Canada</t>
        </is>
      </c>
      <c r="H743" s="56" t="n">
        <v>20</v>
      </c>
      <c r="I743" s="56" t="inlineStr">
        <is>
          <t>Select item</t>
        </is>
      </c>
      <c r="J743" s="56" t="inlineStr">
        <is>
          <t>1-23 August 2026</t>
        </is>
      </c>
      <c r="K743" s="57" t="n">
        <v>419</v>
      </c>
      <c r="L743" s="56" t="inlineStr">
        <is>
          <t>Search→Select 1-23 August 2026</t>
        </is>
      </c>
      <c r="M743" s="40">
        <f>IF(Countries!X67="","STILL MISSING","Filled ✓")</f>
        <v/>
      </c>
    </row>
    <row r="744">
      <c r="A744" s="40" t="inlineStr">
        <is>
          <t>Countries</t>
        </is>
      </c>
      <c r="B744" s="40" t="inlineStr">
        <is>
          <t>E67</t>
        </is>
      </c>
      <c r="C744" s="40" t="n">
        <v>67</v>
      </c>
      <c r="D744" s="40" t="inlineStr">
        <is>
          <t>All landing pages</t>
        </is>
      </c>
      <c r="E744" s="40" t="inlineStr">
        <is>
          <t>Organic</t>
        </is>
      </c>
      <c r="F744" s="40" t="inlineStr">
        <is>
          <t>Desktop</t>
        </is>
      </c>
      <c r="G744" s="40" t="inlineStr">
        <is>
          <t>Canada</t>
        </is>
      </c>
      <c r="H744" s="40" t="n">
        <v>20</v>
      </c>
      <c r="I744" s="40" t="inlineStr">
        <is>
          <t>Sessions</t>
        </is>
      </c>
      <c r="J744" s="40" t="inlineStr">
        <is>
          <t>1-23 August 2025</t>
        </is>
      </c>
      <c r="K744" s="55" t="n">
        <v>419</v>
      </c>
      <c r="L744" s="40" t="inlineStr">
        <is>
          <t>Sessions YoY</t>
        </is>
      </c>
      <c r="M744" s="40">
        <f>IF(Countries!E67="","STILL MISSING","Filled ✓")</f>
        <v/>
      </c>
    </row>
    <row r="745">
      <c r="A745" s="56" t="inlineStr">
        <is>
          <t>Countries</t>
        </is>
      </c>
      <c r="B745" s="56" t="inlineStr">
        <is>
          <t>J67</t>
        </is>
      </c>
      <c r="C745" s="56" t="n">
        <v>67</v>
      </c>
      <c r="D745" s="56" t="inlineStr">
        <is>
          <t>All landing pages</t>
        </is>
      </c>
      <c r="E745" s="56" t="inlineStr">
        <is>
          <t>Organic</t>
        </is>
      </c>
      <c r="F745" s="56" t="inlineStr">
        <is>
          <t>Desktop</t>
        </is>
      </c>
      <c r="G745" s="56" t="inlineStr">
        <is>
          <t>Canada</t>
        </is>
      </c>
      <c r="H745" s="56" t="n">
        <v>20</v>
      </c>
      <c r="I745" s="56" t="inlineStr">
        <is>
          <t>Start Search</t>
        </is>
      </c>
      <c r="J745" s="56" t="inlineStr">
        <is>
          <t>1-23 August 2026</t>
        </is>
      </c>
      <c r="K745" s="57" t="n">
        <v>419</v>
      </c>
      <c r="L745" s="56" t="inlineStr">
        <is>
          <t>Visit→Engagement 1-23 August 2026</t>
        </is>
      </c>
      <c r="M745" s="40">
        <f>IF(Countries!J67="","STILL MISSING","Filled ✓")</f>
        <v/>
      </c>
    </row>
    <row r="746">
      <c r="A746" s="40" t="inlineStr">
        <is>
          <t>Countries</t>
        </is>
      </c>
      <c r="B746" s="40" t="inlineStr">
        <is>
          <t>AR106</t>
        </is>
      </c>
      <c r="C746" s="40" t="n">
        <v>106</v>
      </c>
      <c r="D746" s="40" t="inlineStr">
        <is>
          <t>All landing pages</t>
        </is>
      </c>
      <c r="E746" s="40" t="inlineStr">
        <is>
          <t>Direct</t>
        </is>
      </c>
      <c r="F746" s="40" t="inlineStr">
        <is>
          <t>Desktop</t>
        </is>
      </c>
      <c r="G746" s="40" t="inlineStr">
        <is>
          <t>Canada</t>
        </is>
      </c>
      <c r="H746" s="40" t="n">
        <v>20</v>
      </c>
      <c r="I746" s="40" t="inlineStr">
        <is>
          <t>Purchases</t>
        </is>
      </c>
      <c r="J746" s="40" t="inlineStr">
        <is>
          <t>1-23 August 2025</t>
        </is>
      </c>
      <c r="K746" s="55" t="n">
        <v>328</v>
      </c>
      <c r="L746" s="40" t="inlineStr">
        <is>
          <t>CR 1-23 August 2025 + Search→Booking 1-23 August 2025</t>
        </is>
      </c>
      <c r="M746" s="40">
        <f>IF(Countries!AR106="","STILL MISSING","Filled ✓")</f>
        <v/>
      </c>
    </row>
    <row r="747">
      <c r="A747" s="56" t="inlineStr">
        <is>
          <t>Countries</t>
        </is>
      </c>
      <c r="B747" s="56" t="inlineStr">
        <is>
          <t>Q106</t>
        </is>
      </c>
      <c r="C747" s="56" t="n">
        <v>106</v>
      </c>
      <c r="D747" s="56" t="inlineStr">
        <is>
          <t>All landing pages</t>
        </is>
      </c>
      <c r="E747" s="56" t="inlineStr">
        <is>
          <t>Direct</t>
        </is>
      </c>
      <c r="F747" s="56" t="inlineStr">
        <is>
          <t>Desktop</t>
        </is>
      </c>
      <c r="G747" s="56" t="inlineStr">
        <is>
          <t>Canada</t>
        </is>
      </c>
      <c r="H747" s="56" t="n">
        <v>20</v>
      </c>
      <c r="I747" s="56" t="inlineStr">
        <is>
          <t>Searches</t>
        </is>
      </c>
      <c r="J747" s="56" t="inlineStr">
        <is>
          <t>1-23 August 2026</t>
        </is>
      </c>
      <c r="K747" s="57" t="n">
        <v>328</v>
      </c>
      <c r="L747" s="56" t="inlineStr">
        <is>
          <t>Searches YoY</t>
        </is>
      </c>
      <c r="M747" s="40">
        <f>IF(Countries!Q106="","STILL MISSING","Filled ✓")</f>
        <v/>
      </c>
    </row>
    <row r="748">
      <c r="A748" s="40" t="inlineStr">
        <is>
          <t>Countries</t>
        </is>
      </c>
      <c r="B748" s="40" t="inlineStr">
        <is>
          <t>W106</t>
        </is>
      </c>
      <c r="C748" s="40" t="n">
        <v>106</v>
      </c>
      <c r="D748" s="40" t="inlineStr">
        <is>
          <t>All landing pages</t>
        </is>
      </c>
      <c r="E748" s="40" t="inlineStr">
        <is>
          <t>Direct</t>
        </is>
      </c>
      <c r="F748" s="40" t="inlineStr">
        <is>
          <t>Desktop</t>
        </is>
      </c>
      <c r="G748" s="40" t="inlineStr">
        <is>
          <t>Canada</t>
        </is>
      </c>
      <c r="H748" s="40" t="n">
        <v>20</v>
      </c>
      <c r="I748" s="40" t="inlineStr">
        <is>
          <t>Select item</t>
        </is>
      </c>
      <c r="J748" s="40" t="inlineStr">
        <is>
          <t>1-23 August 2025</t>
        </is>
      </c>
      <c r="K748" s="55" t="n">
        <v>328</v>
      </c>
      <c r="L748" s="40" t="inlineStr">
        <is>
          <t>Search→Select 1-23 August 2025</t>
        </is>
      </c>
      <c r="M748" s="40">
        <f>IF(Countries!W106="","STILL MISSING","Filled ✓")</f>
        <v/>
      </c>
    </row>
    <row r="749">
      <c r="A749" s="56" t="inlineStr">
        <is>
          <t>Countries</t>
        </is>
      </c>
      <c r="B749" s="56" t="inlineStr">
        <is>
          <t>F106</t>
        </is>
      </c>
      <c r="C749" s="56" t="n">
        <v>106</v>
      </c>
      <c r="D749" s="56" t="inlineStr">
        <is>
          <t>All landing pages</t>
        </is>
      </c>
      <c r="E749" s="56" t="inlineStr">
        <is>
          <t>Direct</t>
        </is>
      </c>
      <c r="F749" s="56" t="inlineStr">
        <is>
          <t>Desktop</t>
        </is>
      </c>
      <c r="G749" s="56" t="inlineStr">
        <is>
          <t>Canada</t>
        </is>
      </c>
      <c r="H749" s="56" t="n">
        <v>20</v>
      </c>
      <c r="I749" s="56" t="inlineStr">
        <is>
          <t>Sessions</t>
        </is>
      </c>
      <c r="J749" s="56" t="inlineStr">
        <is>
          <t>1-23 August 2026</t>
        </is>
      </c>
      <c r="K749" s="57" t="n">
        <v>328</v>
      </c>
      <c r="L749" s="56" t="inlineStr">
        <is>
          <t>Sessions YoY</t>
        </is>
      </c>
      <c r="M749" s="40">
        <f>IF(Countries!F106="","STILL MISSING","Filled ✓")</f>
        <v/>
      </c>
    </row>
    <row r="750">
      <c r="A750" s="40" t="inlineStr">
        <is>
          <t>Countries</t>
        </is>
      </c>
      <c r="B750" s="40" t="inlineStr">
        <is>
          <t>I106</t>
        </is>
      </c>
      <c r="C750" s="40" t="n">
        <v>106</v>
      </c>
      <c r="D750" s="40" t="inlineStr">
        <is>
          <t>All landing pages</t>
        </is>
      </c>
      <c r="E750" s="40" t="inlineStr">
        <is>
          <t>Direct</t>
        </is>
      </c>
      <c r="F750" s="40" t="inlineStr">
        <is>
          <t>Desktop</t>
        </is>
      </c>
      <c r="G750" s="40" t="inlineStr">
        <is>
          <t>Canada</t>
        </is>
      </c>
      <c r="H750" s="40" t="n">
        <v>20</v>
      </c>
      <c r="I750" s="40" t="inlineStr">
        <is>
          <t>Start Search</t>
        </is>
      </c>
      <c r="J750" s="40" t="inlineStr">
        <is>
          <t>1-23 August 2025</t>
        </is>
      </c>
      <c r="K750" s="55" t="n">
        <v>328</v>
      </c>
      <c r="L750" s="40" t="inlineStr">
        <is>
          <t>Visit→Engagement 1-23 August 2025</t>
        </is>
      </c>
      <c r="M750" s="40">
        <f>IF(Countries!I106="","STILL MISSING","Filled ✓")</f>
        <v/>
      </c>
    </row>
    <row r="751">
      <c r="A751" s="56" t="inlineStr">
        <is>
          <t>Countries</t>
        </is>
      </c>
      <c r="B751" s="56" t="inlineStr">
        <is>
          <t>AR179</t>
        </is>
      </c>
      <c r="C751" s="56" t="n">
        <v>179</v>
      </c>
      <c r="D751" s="56" t="inlineStr">
        <is>
          <t>Home page</t>
        </is>
      </c>
      <c r="E751" s="56" t="inlineStr">
        <is>
          <t>Organic</t>
        </is>
      </c>
      <c r="F751" s="56" t="inlineStr">
        <is>
          <t>Desktop</t>
        </is>
      </c>
      <c r="G751" s="56" t="inlineStr">
        <is>
          <t>Canada</t>
        </is>
      </c>
      <c r="H751" s="56" t="n">
        <v>20</v>
      </c>
      <c r="I751" s="56" t="inlineStr">
        <is>
          <t>Purchases</t>
        </is>
      </c>
      <c r="J751" s="56" t="inlineStr">
        <is>
          <t>1-23 August 2025</t>
        </is>
      </c>
      <c r="K751" s="57" t="n">
        <v>91</v>
      </c>
      <c r="L751" s="56" t="inlineStr">
        <is>
          <t>CR 1-23 August 2025 + Search→Booking 1-23 August 2025</t>
        </is>
      </c>
      <c r="M751" s="40">
        <f>IF(Countries!AR179="","STILL MISSING","Filled ✓")</f>
        <v/>
      </c>
    </row>
    <row r="752">
      <c r="A752" s="40" t="inlineStr">
        <is>
          <t>Countries</t>
        </is>
      </c>
      <c r="B752" s="40" t="inlineStr">
        <is>
          <t>Q179</t>
        </is>
      </c>
      <c r="C752" s="40" t="n">
        <v>179</v>
      </c>
      <c r="D752" s="40" t="inlineStr">
        <is>
          <t>Home page</t>
        </is>
      </c>
      <c r="E752" s="40" t="inlineStr">
        <is>
          <t>Organic</t>
        </is>
      </c>
      <c r="F752" s="40" t="inlineStr">
        <is>
          <t>Desktop</t>
        </is>
      </c>
      <c r="G752" s="40" t="inlineStr">
        <is>
          <t>Canada</t>
        </is>
      </c>
      <c r="H752" s="40" t="n">
        <v>20</v>
      </c>
      <c r="I752" s="40" t="inlineStr">
        <is>
          <t>Searches</t>
        </is>
      </c>
      <c r="J752" s="40" t="inlineStr">
        <is>
          <t>1-23 August 2026</t>
        </is>
      </c>
      <c r="K752" s="55" t="n">
        <v>91</v>
      </c>
      <c r="L752" s="40" t="inlineStr">
        <is>
          <t>Searches YoY</t>
        </is>
      </c>
      <c r="M752" s="40">
        <f>IF(Countries!Q179="","STILL MISSING","Filled ✓")</f>
        <v/>
      </c>
    </row>
    <row r="753">
      <c r="A753" s="56" t="inlineStr">
        <is>
          <t>Countries</t>
        </is>
      </c>
      <c r="B753" s="56" t="inlineStr">
        <is>
          <t>W179</t>
        </is>
      </c>
      <c r="C753" s="56" t="n">
        <v>179</v>
      </c>
      <c r="D753" s="56" t="inlineStr">
        <is>
          <t>Home page</t>
        </is>
      </c>
      <c r="E753" s="56" t="inlineStr">
        <is>
          <t>Organic</t>
        </is>
      </c>
      <c r="F753" s="56" t="inlineStr">
        <is>
          <t>Desktop</t>
        </is>
      </c>
      <c r="G753" s="56" t="inlineStr">
        <is>
          <t>Canada</t>
        </is>
      </c>
      <c r="H753" s="56" t="n">
        <v>20</v>
      </c>
      <c r="I753" s="56" t="inlineStr">
        <is>
          <t>Select item</t>
        </is>
      </c>
      <c r="J753" s="56" t="inlineStr">
        <is>
          <t>1-23 August 2025</t>
        </is>
      </c>
      <c r="K753" s="57" t="n">
        <v>91</v>
      </c>
      <c r="L753" s="56" t="inlineStr">
        <is>
          <t>Search→Select 1-23 August 2025</t>
        </is>
      </c>
      <c r="M753" s="40">
        <f>IF(Countries!W179="","STILL MISSING","Filled ✓")</f>
        <v/>
      </c>
    </row>
    <row r="754">
      <c r="A754" s="40" t="inlineStr">
        <is>
          <t>Countries</t>
        </is>
      </c>
      <c r="B754" s="40" t="inlineStr">
        <is>
          <t>F179</t>
        </is>
      </c>
      <c r="C754" s="40" t="n">
        <v>179</v>
      </c>
      <c r="D754" s="40" t="inlineStr">
        <is>
          <t>Home page</t>
        </is>
      </c>
      <c r="E754" s="40" t="inlineStr">
        <is>
          <t>Organic</t>
        </is>
      </c>
      <c r="F754" s="40" t="inlineStr">
        <is>
          <t>Desktop</t>
        </is>
      </c>
      <c r="G754" s="40" t="inlineStr">
        <is>
          <t>Canada</t>
        </is>
      </c>
      <c r="H754" s="40" t="n">
        <v>20</v>
      </c>
      <c r="I754" s="40" t="inlineStr">
        <is>
          <t>Sessions</t>
        </is>
      </c>
      <c r="J754" s="40" t="inlineStr">
        <is>
          <t>1-23 August 2026</t>
        </is>
      </c>
      <c r="K754" s="55" t="n">
        <v>91</v>
      </c>
      <c r="L754" s="40" t="inlineStr">
        <is>
          <t>Sessions YoY</t>
        </is>
      </c>
      <c r="M754" s="40">
        <f>IF(Countries!F179="","STILL MISSING","Filled ✓")</f>
        <v/>
      </c>
    </row>
    <row r="755">
      <c r="A755" s="56" t="inlineStr">
        <is>
          <t>Countries</t>
        </is>
      </c>
      <c r="B755" s="56" t="inlineStr">
        <is>
          <t>I179</t>
        </is>
      </c>
      <c r="C755" s="56" t="n">
        <v>179</v>
      </c>
      <c r="D755" s="56" t="inlineStr">
        <is>
          <t>Home page</t>
        </is>
      </c>
      <c r="E755" s="56" t="inlineStr">
        <is>
          <t>Organic</t>
        </is>
      </c>
      <c r="F755" s="56" t="inlineStr">
        <is>
          <t>Desktop</t>
        </is>
      </c>
      <c r="G755" s="56" t="inlineStr">
        <is>
          <t>Canada</t>
        </is>
      </c>
      <c r="H755" s="56" t="n">
        <v>20</v>
      </c>
      <c r="I755" s="56" t="inlineStr">
        <is>
          <t>Start Search</t>
        </is>
      </c>
      <c r="J755" s="56" t="inlineStr">
        <is>
          <t>1-23 August 2025</t>
        </is>
      </c>
      <c r="K755" s="57" t="n">
        <v>91</v>
      </c>
      <c r="L755" s="56" t="inlineStr">
        <is>
          <t>Visit→Engagement 1-23 August 2025</t>
        </is>
      </c>
      <c r="M755" s="40">
        <f>IF(Countries!I179="","STILL MISSING","Filled ✓")</f>
        <v/>
      </c>
    </row>
    <row r="756">
      <c r="A756" s="40" t="inlineStr">
        <is>
          <t>Countries</t>
        </is>
      </c>
      <c r="B756" s="40" t="inlineStr">
        <is>
          <t>AR216</t>
        </is>
      </c>
      <c r="C756" s="40" t="n">
        <v>216</v>
      </c>
      <c r="D756" s="40" t="inlineStr">
        <is>
          <t>Home page</t>
        </is>
      </c>
      <c r="E756" s="40" t="inlineStr">
        <is>
          <t>Direct</t>
        </is>
      </c>
      <c r="F756" s="40" t="inlineStr">
        <is>
          <t>Desktop</t>
        </is>
      </c>
      <c r="G756" s="40" t="inlineStr">
        <is>
          <t>Canada</t>
        </is>
      </c>
      <c r="H756" s="40" t="n">
        <v>20</v>
      </c>
      <c r="I756" s="40" t="inlineStr">
        <is>
          <t>Purchases</t>
        </is>
      </c>
      <c r="J756" s="40" t="inlineStr">
        <is>
          <t>1-23 August 2025</t>
        </is>
      </c>
      <c r="K756" s="55" t="n">
        <v>268</v>
      </c>
      <c r="L756" s="40" t="inlineStr">
        <is>
          <t>CR 1-23 August 2025 + Search→Booking 1-23 August 2025</t>
        </is>
      </c>
      <c r="M756" s="40">
        <f>IF(Countries!AR216="","STILL MISSING","Filled ✓")</f>
        <v/>
      </c>
    </row>
    <row r="757">
      <c r="A757" s="56" t="inlineStr">
        <is>
          <t>Countries</t>
        </is>
      </c>
      <c r="B757" s="56" t="inlineStr">
        <is>
          <t>Q216</t>
        </is>
      </c>
      <c r="C757" s="56" t="n">
        <v>216</v>
      </c>
      <c r="D757" s="56" t="inlineStr">
        <is>
          <t>Home page</t>
        </is>
      </c>
      <c r="E757" s="56" t="inlineStr">
        <is>
          <t>Direct</t>
        </is>
      </c>
      <c r="F757" s="56" t="inlineStr">
        <is>
          <t>Desktop</t>
        </is>
      </c>
      <c r="G757" s="56" t="inlineStr">
        <is>
          <t>Canada</t>
        </is>
      </c>
      <c r="H757" s="56" t="n">
        <v>20</v>
      </c>
      <c r="I757" s="56" t="inlineStr">
        <is>
          <t>Searches</t>
        </is>
      </c>
      <c r="J757" s="56" t="inlineStr">
        <is>
          <t>1-23 August 2026</t>
        </is>
      </c>
      <c r="K757" s="57" t="n">
        <v>268</v>
      </c>
      <c r="L757" s="56" t="inlineStr">
        <is>
          <t>Searches YoY</t>
        </is>
      </c>
      <c r="M757" s="40">
        <f>IF(Countries!Q216="","STILL MISSING","Filled ✓")</f>
        <v/>
      </c>
    </row>
    <row r="758">
      <c r="A758" s="40" t="inlineStr">
        <is>
          <t>Countries</t>
        </is>
      </c>
      <c r="B758" s="40" t="inlineStr">
        <is>
          <t>W216</t>
        </is>
      </c>
      <c r="C758" s="40" t="n">
        <v>216</v>
      </c>
      <c r="D758" s="40" t="inlineStr">
        <is>
          <t>Home page</t>
        </is>
      </c>
      <c r="E758" s="40" t="inlineStr">
        <is>
          <t>Direct</t>
        </is>
      </c>
      <c r="F758" s="40" t="inlineStr">
        <is>
          <t>Desktop</t>
        </is>
      </c>
      <c r="G758" s="40" t="inlineStr">
        <is>
          <t>Canada</t>
        </is>
      </c>
      <c r="H758" s="40" t="n">
        <v>20</v>
      </c>
      <c r="I758" s="40" t="inlineStr">
        <is>
          <t>Select item</t>
        </is>
      </c>
      <c r="J758" s="40" t="inlineStr">
        <is>
          <t>1-23 August 2025</t>
        </is>
      </c>
      <c r="K758" s="55" t="n">
        <v>268</v>
      </c>
      <c r="L758" s="40" t="inlineStr">
        <is>
          <t>Search→Select 1-23 August 2025</t>
        </is>
      </c>
      <c r="M758" s="40">
        <f>IF(Countries!W216="","STILL MISSING","Filled ✓")</f>
        <v/>
      </c>
    </row>
    <row r="759">
      <c r="A759" s="56" t="inlineStr">
        <is>
          <t>Countries</t>
        </is>
      </c>
      <c r="B759" s="56" t="inlineStr">
        <is>
          <t>F216</t>
        </is>
      </c>
      <c r="C759" s="56" t="n">
        <v>216</v>
      </c>
      <c r="D759" s="56" t="inlineStr">
        <is>
          <t>Home page</t>
        </is>
      </c>
      <c r="E759" s="56" t="inlineStr">
        <is>
          <t>Direct</t>
        </is>
      </c>
      <c r="F759" s="56" t="inlineStr">
        <is>
          <t>Desktop</t>
        </is>
      </c>
      <c r="G759" s="56" t="inlineStr">
        <is>
          <t>Canada</t>
        </is>
      </c>
      <c r="H759" s="56" t="n">
        <v>20</v>
      </c>
      <c r="I759" s="56" t="inlineStr">
        <is>
          <t>Sessions</t>
        </is>
      </c>
      <c r="J759" s="56" t="inlineStr">
        <is>
          <t>1-23 August 2026</t>
        </is>
      </c>
      <c r="K759" s="57" t="n">
        <v>268</v>
      </c>
      <c r="L759" s="56" t="inlineStr">
        <is>
          <t>Sessions YoY</t>
        </is>
      </c>
      <c r="M759" s="40">
        <f>IF(Countries!F216="","STILL MISSING","Filled ✓")</f>
        <v/>
      </c>
    </row>
    <row r="760">
      <c r="A760" s="40" t="inlineStr">
        <is>
          <t>Countries</t>
        </is>
      </c>
      <c r="B760" s="40" t="inlineStr">
        <is>
          <t>I216</t>
        </is>
      </c>
      <c r="C760" s="40" t="n">
        <v>216</v>
      </c>
      <c r="D760" s="40" t="inlineStr">
        <is>
          <t>Home page</t>
        </is>
      </c>
      <c r="E760" s="40" t="inlineStr">
        <is>
          <t>Direct</t>
        </is>
      </c>
      <c r="F760" s="40" t="inlineStr">
        <is>
          <t>Desktop</t>
        </is>
      </c>
      <c r="G760" s="40" t="inlineStr">
        <is>
          <t>Canada</t>
        </is>
      </c>
      <c r="H760" s="40" t="n">
        <v>20</v>
      </c>
      <c r="I760" s="40" t="inlineStr">
        <is>
          <t>Start Search</t>
        </is>
      </c>
      <c r="J760" s="40" t="inlineStr">
        <is>
          <t>1-23 August 2025</t>
        </is>
      </c>
      <c r="K760" s="55" t="n">
        <v>268</v>
      </c>
      <c r="L760" s="40" t="inlineStr">
        <is>
          <t>Visit→Engagement 1-23 August 2025</t>
        </is>
      </c>
      <c r="M760" s="40">
        <f>IF(Countries!I216="","STILL MISSING","Filled ✓")</f>
        <v/>
      </c>
    </row>
    <row r="761">
      <c r="A761" s="56" t="inlineStr">
        <is>
          <t>Countries</t>
        </is>
      </c>
      <c r="B761" s="56" t="inlineStr">
        <is>
          <t>AR385</t>
        </is>
      </c>
      <c r="C761" s="56" t="n">
        <v>385</v>
      </c>
      <c r="D761" s="56" t="inlineStr">
        <is>
          <t>Route page</t>
        </is>
      </c>
      <c r="E761" s="56" t="inlineStr">
        <is>
          <t>Organic</t>
        </is>
      </c>
      <c r="F761" s="56" t="inlineStr">
        <is>
          <t>Desktop</t>
        </is>
      </c>
      <c r="G761" s="56" t="inlineStr">
        <is>
          <t>Canada</t>
        </is>
      </c>
      <c r="H761" s="56" t="n">
        <v>20</v>
      </c>
      <c r="I761" s="56" t="inlineStr">
        <is>
          <t>Purchases</t>
        </is>
      </c>
      <c r="J761" s="56" t="inlineStr">
        <is>
          <t>1-23 August 2025</t>
        </is>
      </c>
      <c r="K761" s="57" t="n">
        <v>244</v>
      </c>
      <c r="L761" s="56" t="inlineStr">
        <is>
          <t>CR 1-23 August 2025</t>
        </is>
      </c>
      <c r="M761" s="40">
        <f>IF(Countries!AR385="","STILL MISSING","Filled ✓")</f>
        <v/>
      </c>
    </row>
    <row r="762">
      <c r="A762" s="40" t="inlineStr">
        <is>
          <t>Countries</t>
        </is>
      </c>
      <c r="B762" s="40" t="inlineStr">
        <is>
          <t>AS385</t>
        </is>
      </c>
      <c r="C762" s="40" t="n">
        <v>385</v>
      </c>
      <c r="D762" s="40" t="inlineStr">
        <is>
          <t>Route page</t>
        </is>
      </c>
      <c r="E762" s="40" t="inlineStr">
        <is>
          <t>Organic</t>
        </is>
      </c>
      <c r="F762" s="40" t="inlineStr">
        <is>
          <t>Desktop</t>
        </is>
      </c>
      <c r="G762" s="40" t="inlineStr">
        <is>
          <t>Canada</t>
        </is>
      </c>
      <c r="H762" s="40" t="n">
        <v>20</v>
      </c>
      <c r="I762" s="40" t="inlineStr">
        <is>
          <t>Purchases</t>
        </is>
      </c>
      <c r="J762" s="40" t="inlineStr">
        <is>
          <t>1-23 August 2026</t>
        </is>
      </c>
      <c r="K762" s="55" t="n">
        <v>244</v>
      </c>
      <c r="L762" s="40" t="inlineStr">
        <is>
          <t>CR 1-23 August 2026 + Search→Booking 1-23 August 2026</t>
        </is>
      </c>
      <c r="M762" s="40">
        <f>IF(Countries!AS385="","STILL MISSING","Filled ✓")</f>
        <v/>
      </c>
    </row>
    <row r="763">
      <c r="A763" s="56" t="inlineStr">
        <is>
          <t>Countries</t>
        </is>
      </c>
      <c r="B763" s="56" t="inlineStr">
        <is>
          <t>P385</t>
        </is>
      </c>
      <c r="C763" s="56" t="n">
        <v>385</v>
      </c>
      <c r="D763" s="56" t="inlineStr">
        <is>
          <t>Route page</t>
        </is>
      </c>
      <c r="E763" s="56" t="inlineStr">
        <is>
          <t>Organic</t>
        </is>
      </c>
      <c r="F763" s="56" t="inlineStr">
        <is>
          <t>Desktop</t>
        </is>
      </c>
      <c r="G763" s="56" t="inlineStr">
        <is>
          <t>Canada</t>
        </is>
      </c>
      <c r="H763" s="56" t="n">
        <v>20</v>
      </c>
      <c r="I763" s="56" t="inlineStr">
        <is>
          <t>Searches</t>
        </is>
      </c>
      <c r="J763" s="56" t="inlineStr">
        <is>
          <t>1-23 August 2025</t>
        </is>
      </c>
      <c r="K763" s="57" t="n">
        <v>244</v>
      </c>
      <c r="L763" s="56" t="inlineStr">
        <is>
          <t>Searches YoY + Visit→Search 1-23 August 2025</t>
        </is>
      </c>
      <c r="M763" s="40">
        <f>IF(Countries!P385="","STILL MISSING","Filled ✓")</f>
        <v/>
      </c>
    </row>
    <row r="764">
      <c r="A764" s="40" t="inlineStr">
        <is>
          <t>Countries</t>
        </is>
      </c>
      <c r="B764" s="40" t="inlineStr">
        <is>
          <t>X385</t>
        </is>
      </c>
      <c r="C764" s="40" t="n">
        <v>385</v>
      </c>
      <c r="D764" s="40" t="inlineStr">
        <is>
          <t>Route page</t>
        </is>
      </c>
      <c r="E764" s="40" t="inlineStr">
        <is>
          <t>Organic</t>
        </is>
      </c>
      <c r="F764" s="40" t="inlineStr">
        <is>
          <t>Desktop</t>
        </is>
      </c>
      <c r="G764" s="40" t="inlineStr">
        <is>
          <t>Canada</t>
        </is>
      </c>
      <c r="H764" s="40" t="n">
        <v>20</v>
      </c>
      <c r="I764" s="40" t="inlineStr">
        <is>
          <t>Select item</t>
        </is>
      </c>
      <c r="J764" s="40" t="inlineStr">
        <is>
          <t>1-23 August 2026</t>
        </is>
      </c>
      <c r="K764" s="55" t="n">
        <v>244</v>
      </c>
      <c r="L764" s="40" t="inlineStr">
        <is>
          <t>Search→Select 1-23 August 2026</t>
        </is>
      </c>
      <c r="M764" s="40">
        <f>IF(Countries!X385="","STILL MISSING","Filled ✓")</f>
        <v/>
      </c>
    </row>
    <row r="765">
      <c r="A765" s="56" t="inlineStr">
        <is>
          <t>Countries</t>
        </is>
      </c>
      <c r="B765" s="56" t="inlineStr">
        <is>
          <t>I385</t>
        </is>
      </c>
      <c r="C765" s="56" t="n">
        <v>385</v>
      </c>
      <c r="D765" s="56" t="inlineStr">
        <is>
          <t>Route page</t>
        </is>
      </c>
      <c r="E765" s="56" t="inlineStr">
        <is>
          <t>Organic</t>
        </is>
      </c>
      <c r="F765" s="56" t="inlineStr">
        <is>
          <t>Desktop</t>
        </is>
      </c>
      <c r="G765" s="56" t="inlineStr">
        <is>
          <t>Canada</t>
        </is>
      </c>
      <c r="H765" s="56" t="n">
        <v>20</v>
      </c>
      <c r="I765" s="56" t="inlineStr">
        <is>
          <t>Start Search</t>
        </is>
      </c>
      <c r="J765" s="56" t="inlineStr">
        <is>
          <t>1-23 August 2025</t>
        </is>
      </c>
      <c r="K765" s="57" t="n">
        <v>244</v>
      </c>
      <c r="L765" s="56" t="inlineStr">
        <is>
          <t>Visit→Engagement 1-23 August 2025</t>
        </is>
      </c>
      <c r="M765" s="40">
        <f>IF(Countries!I385="","STILL MISSING","Filled ✓")</f>
        <v/>
      </c>
    </row>
    <row r="766">
      <c r="A766" s="40" t="inlineStr">
        <is>
          <t>Countries</t>
        </is>
      </c>
      <c r="B766" s="40" t="inlineStr">
        <is>
          <t>J385</t>
        </is>
      </c>
      <c r="C766" s="40" t="n">
        <v>385</v>
      </c>
      <c r="D766" s="40" t="inlineStr">
        <is>
          <t>Route page</t>
        </is>
      </c>
      <c r="E766" s="40" t="inlineStr">
        <is>
          <t>Organic</t>
        </is>
      </c>
      <c r="F766" s="40" t="inlineStr">
        <is>
          <t>Desktop</t>
        </is>
      </c>
      <c r="G766" s="40" t="inlineStr">
        <is>
          <t>Canada</t>
        </is>
      </c>
      <c r="H766" s="40" t="n">
        <v>20</v>
      </c>
      <c r="I766" s="40" t="inlineStr">
        <is>
          <t>Start Search</t>
        </is>
      </c>
      <c r="J766" s="40" t="inlineStr">
        <is>
          <t>1-23 August 2026</t>
        </is>
      </c>
      <c r="K766" s="55" t="n">
        <v>244</v>
      </c>
      <c r="L766" s="40" t="inlineStr">
        <is>
          <t>Visit→Engagement 1-23 August 2026</t>
        </is>
      </c>
      <c r="M766" s="40">
        <f>IF(Countries!J385="","STILL MISSING","Filled ✓")</f>
        <v/>
      </c>
    </row>
    <row r="767">
      <c r="A767" s="56" t="inlineStr">
        <is>
          <t>Countries</t>
        </is>
      </c>
      <c r="B767" s="56" t="inlineStr">
        <is>
          <t>AR430</t>
        </is>
      </c>
      <c r="C767" s="56" t="n">
        <v>430</v>
      </c>
      <c r="D767" s="56" t="inlineStr">
        <is>
          <t>Route page</t>
        </is>
      </c>
      <c r="E767" s="56" t="inlineStr">
        <is>
          <t>Direct</t>
        </is>
      </c>
      <c r="F767" s="56" t="inlineStr">
        <is>
          <t>Desktop</t>
        </is>
      </c>
      <c r="G767" s="56" t="inlineStr">
        <is>
          <t>Canada</t>
        </is>
      </c>
      <c r="H767" s="56" t="n">
        <v>20</v>
      </c>
      <c r="I767" s="56" t="inlineStr">
        <is>
          <t>Purchases</t>
        </is>
      </c>
      <c r="J767" s="56" t="inlineStr">
        <is>
          <t>1-23 August 2025</t>
        </is>
      </c>
      <c r="K767" s="57" t="n">
        <v>24</v>
      </c>
      <c r="L767" s="56" t="inlineStr">
        <is>
          <t>CR 1-23 August 2025 + Search→Booking 1-23 August 2025</t>
        </is>
      </c>
      <c r="M767" s="40">
        <f>IF(Countries!AR430="","STILL MISSING","Filled ✓")</f>
        <v/>
      </c>
    </row>
    <row r="768">
      <c r="A768" s="40" t="inlineStr">
        <is>
          <t>Countries</t>
        </is>
      </c>
      <c r="B768" s="40" t="inlineStr">
        <is>
          <t>Q430</t>
        </is>
      </c>
      <c r="C768" s="40" t="n">
        <v>430</v>
      </c>
      <c r="D768" s="40" t="inlineStr">
        <is>
          <t>Route page</t>
        </is>
      </c>
      <c r="E768" s="40" t="inlineStr">
        <is>
          <t>Direct</t>
        </is>
      </c>
      <c r="F768" s="40" t="inlineStr">
        <is>
          <t>Desktop</t>
        </is>
      </c>
      <c r="G768" s="40" t="inlineStr">
        <is>
          <t>Canada</t>
        </is>
      </c>
      <c r="H768" s="40" t="n">
        <v>20</v>
      </c>
      <c r="I768" s="40" t="inlineStr">
        <is>
          <t>Searches</t>
        </is>
      </c>
      <c r="J768" s="40" t="inlineStr">
        <is>
          <t>1-23 August 2026</t>
        </is>
      </c>
      <c r="K768" s="55" t="n">
        <v>24</v>
      </c>
      <c r="L768" s="40" t="inlineStr">
        <is>
          <t>Searches YoY</t>
        </is>
      </c>
      <c r="M768" s="40">
        <f>IF(Countries!Q430="","STILL MISSING","Filled ✓")</f>
        <v/>
      </c>
    </row>
    <row r="769">
      <c r="A769" s="56" t="inlineStr">
        <is>
          <t>Countries</t>
        </is>
      </c>
      <c r="B769" s="56" t="inlineStr">
        <is>
          <t>W430</t>
        </is>
      </c>
      <c r="C769" s="56" t="n">
        <v>430</v>
      </c>
      <c r="D769" s="56" t="inlineStr">
        <is>
          <t>Route page</t>
        </is>
      </c>
      <c r="E769" s="56" t="inlineStr">
        <is>
          <t>Direct</t>
        </is>
      </c>
      <c r="F769" s="56" t="inlineStr">
        <is>
          <t>Desktop</t>
        </is>
      </c>
      <c r="G769" s="56" t="inlineStr">
        <is>
          <t>Canada</t>
        </is>
      </c>
      <c r="H769" s="56" t="n">
        <v>20</v>
      </c>
      <c r="I769" s="56" t="inlineStr">
        <is>
          <t>Select item</t>
        </is>
      </c>
      <c r="J769" s="56" t="inlineStr">
        <is>
          <t>1-23 August 2025</t>
        </is>
      </c>
      <c r="K769" s="57" t="n">
        <v>24</v>
      </c>
      <c r="L769" s="56" t="inlineStr">
        <is>
          <t>Search→Select 1-23 August 2025</t>
        </is>
      </c>
      <c r="M769" s="40">
        <f>IF(Countries!W430="","STILL MISSING","Filled ✓")</f>
        <v/>
      </c>
    </row>
    <row r="770">
      <c r="A770" s="40" t="inlineStr">
        <is>
          <t>Countries</t>
        </is>
      </c>
      <c r="B770" s="40" t="inlineStr">
        <is>
          <t>F430</t>
        </is>
      </c>
      <c r="C770" s="40" t="n">
        <v>430</v>
      </c>
      <c r="D770" s="40" t="inlineStr">
        <is>
          <t>Route page</t>
        </is>
      </c>
      <c r="E770" s="40" t="inlineStr">
        <is>
          <t>Direct</t>
        </is>
      </c>
      <c r="F770" s="40" t="inlineStr">
        <is>
          <t>Desktop</t>
        </is>
      </c>
      <c r="G770" s="40" t="inlineStr">
        <is>
          <t>Canada</t>
        </is>
      </c>
      <c r="H770" s="40" t="n">
        <v>20</v>
      </c>
      <c r="I770" s="40" t="inlineStr">
        <is>
          <t>Sessions</t>
        </is>
      </c>
      <c r="J770" s="40" t="inlineStr">
        <is>
          <t>1-23 August 2026</t>
        </is>
      </c>
      <c r="K770" s="55" t="n">
        <v>24</v>
      </c>
      <c r="L770" s="40" t="inlineStr">
        <is>
          <t>Sessions YoY</t>
        </is>
      </c>
      <c r="M770" s="40">
        <f>IF(Countries!F430="","STILL MISSING","Filled ✓")</f>
        <v/>
      </c>
    </row>
    <row r="771">
      <c r="A771" s="56" t="inlineStr">
        <is>
          <t>Countries</t>
        </is>
      </c>
      <c r="B771" s="56" t="inlineStr">
        <is>
          <t>I430</t>
        </is>
      </c>
      <c r="C771" s="56" t="n">
        <v>430</v>
      </c>
      <c r="D771" s="56" t="inlineStr">
        <is>
          <t>Route page</t>
        </is>
      </c>
      <c r="E771" s="56" t="inlineStr">
        <is>
          <t>Direct</t>
        </is>
      </c>
      <c r="F771" s="56" t="inlineStr">
        <is>
          <t>Desktop</t>
        </is>
      </c>
      <c r="G771" s="56" t="inlineStr">
        <is>
          <t>Canada</t>
        </is>
      </c>
      <c r="H771" s="56" t="n">
        <v>20</v>
      </c>
      <c r="I771" s="56" t="inlineStr">
        <is>
          <t>Start Search</t>
        </is>
      </c>
      <c r="J771" s="56" t="inlineStr">
        <is>
          <t>1-23 August 2025</t>
        </is>
      </c>
      <c r="K771" s="57" t="n">
        <v>24</v>
      </c>
      <c r="L771" s="56" t="inlineStr">
        <is>
          <t>Visit→Engagement 1-23 August 2025</t>
        </is>
      </c>
      <c r="M771" s="40">
        <f>IF(Countries!I430="","STILL MISSING","Filled ✓")</f>
        <v/>
      </c>
    </row>
    <row r="772">
      <c r="A772" s="40" t="inlineStr">
        <is>
          <t>Countries</t>
        </is>
      </c>
      <c r="B772" s="40" t="inlineStr">
        <is>
          <t>AR83</t>
        </is>
      </c>
      <c r="C772" s="40" t="n">
        <v>83</v>
      </c>
      <c r="D772" s="40" t="inlineStr">
        <is>
          <t>All landing pages</t>
        </is>
      </c>
      <c r="E772" s="40" t="inlineStr">
        <is>
          <t>Direct</t>
        </is>
      </c>
      <c r="F772" s="40" t="inlineStr">
        <is>
          <t>Mobile</t>
        </is>
      </c>
      <c r="G772" s="40" t="inlineStr">
        <is>
          <t>Greece</t>
        </is>
      </c>
      <c r="H772" s="40" t="n">
        <v>21</v>
      </c>
      <c r="I772" s="40" t="inlineStr">
        <is>
          <t>Purchases</t>
        </is>
      </c>
      <c r="J772" s="40" t="inlineStr">
        <is>
          <t>1-23 August 2025</t>
        </is>
      </c>
      <c r="K772" s="55" t="n">
        <v>352</v>
      </c>
      <c r="L772" s="40" t="inlineStr">
        <is>
          <t>CR 1-23 August 2025 + Search→Booking 1-23 August 2025</t>
        </is>
      </c>
      <c r="M772" s="40">
        <f>IF(Countries!AR83="","STILL MISSING","Filled ✓")</f>
        <v/>
      </c>
    </row>
    <row r="773">
      <c r="A773" s="56" t="inlineStr">
        <is>
          <t>Countries</t>
        </is>
      </c>
      <c r="B773" s="56" t="inlineStr">
        <is>
          <t>AS83</t>
        </is>
      </c>
      <c r="C773" s="56" t="n">
        <v>83</v>
      </c>
      <c r="D773" s="56" t="inlineStr">
        <is>
          <t>All landing pages</t>
        </is>
      </c>
      <c r="E773" s="56" t="inlineStr">
        <is>
          <t>Direct</t>
        </is>
      </c>
      <c r="F773" s="56" t="inlineStr">
        <is>
          <t>Mobile</t>
        </is>
      </c>
      <c r="G773" s="56" t="inlineStr">
        <is>
          <t>Greece</t>
        </is>
      </c>
      <c r="H773" s="56" t="n">
        <v>21</v>
      </c>
      <c r="I773" s="56" t="inlineStr">
        <is>
          <t>Purchases</t>
        </is>
      </c>
      <c r="J773" s="56" t="inlineStr">
        <is>
          <t>1-23 August 2026</t>
        </is>
      </c>
      <c r="K773" s="57" t="n">
        <v>352</v>
      </c>
      <c r="L773" s="56" t="inlineStr">
        <is>
          <t>CR 1-23 August 2026 + Search→Booking 1-23 August 2026</t>
        </is>
      </c>
      <c r="M773" s="40">
        <f>IF(Countries!AS83="","STILL MISSING","Filled ✓")</f>
        <v/>
      </c>
    </row>
    <row r="774">
      <c r="A774" s="40" t="inlineStr">
        <is>
          <t>Countries</t>
        </is>
      </c>
      <c r="B774" s="40" t="inlineStr">
        <is>
          <t>W83</t>
        </is>
      </c>
      <c r="C774" s="40" t="n">
        <v>83</v>
      </c>
      <c r="D774" s="40" t="inlineStr">
        <is>
          <t>All landing pages</t>
        </is>
      </c>
      <c r="E774" s="40" t="inlineStr">
        <is>
          <t>Direct</t>
        </is>
      </c>
      <c r="F774" s="40" t="inlineStr">
        <is>
          <t>Mobile</t>
        </is>
      </c>
      <c r="G774" s="40" t="inlineStr">
        <is>
          <t>Greece</t>
        </is>
      </c>
      <c r="H774" s="40" t="n">
        <v>21</v>
      </c>
      <c r="I774" s="40" t="inlineStr">
        <is>
          <t>Select item</t>
        </is>
      </c>
      <c r="J774" s="40" t="inlineStr">
        <is>
          <t>1-23 August 2025</t>
        </is>
      </c>
      <c r="K774" s="55" t="n">
        <v>352</v>
      </c>
      <c r="L774" s="40" t="inlineStr">
        <is>
          <t>Search→Select 1-23 August 2025</t>
        </is>
      </c>
      <c r="M774" s="40">
        <f>IF(Countries!W83="","STILL MISSING","Filled ✓")</f>
        <v/>
      </c>
    </row>
    <row r="775">
      <c r="A775" s="56" t="inlineStr">
        <is>
          <t>Countries</t>
        </is>
      </c>
      <c r="B775" s="56" t="inlineStr">
        <is>
          <t>X83</t>
        </is>
      </c>
      <c r="C775" s="56" t="n">
        <v>83</v>
      </c>
      <c r="D775" s="56" t="inlineStr">
        <is>
          <t>All landing pages</t>
        </is>
      </c>
      <c r="E775" s="56" t="inlineStr">
        <is>
          <t>Direct</t>
        </is>
      </c>
      <c r="F775" s="56" t="inlineStr">
        <is>
          <t>Mobile</t>
        </is>
      </c>
      <c r="G775" s="56" t="inlineStr">
        <is>
          <t>Greece</t>
        </is>
      </c>
      <c r="H775" s="56" t="n">
        <v>21</v>
      </c>
      <c r="I775" s="56" t="inlineStr">
        <is>
          <t>Select item</t>
        </is>
      </c>
      <c r="J775" s="56" t="inlineStr">
        <is>
          <t>1-23 August 2026</t>
        </is>
      </c>
      <c r="K775" s="57" t="n">
        <v>352</v>
      </c>
      <c r="L775" s="56" t="inlineStr">
        <is>
          <t>Search→Select 1-23 August 2026</t>
        </is>
      </c>
      <c r="M775" s="40">
        <f>IF(Countries!X83="","STILL MISSING","Filled ✓")</f>
        <v/>
      </c>
    </row>
    <row r="776">
      <c r="A776" s="40" t="inlineStr">
        <is>
          <t>Countries</t>
        </is>
      </c>
      <c r="B776" s="40" t="inlineStr">
        <is>
          <t>I83</t>
        </is>
      </c>
      <c r="C776" s="40" t="n">
        <v>83</v>
      </c>
      <c r="D776" s="40" t="inlineStr">
        <is>
          <t>All landing pages</t>
        </is>
      </c>
      <c r="E776" s="40" t="inlineStr">
        <is>
          <t>Direct</t>
        </is>
      </c>
      <c r="F776" s="40" t="inlineStr">
        <is>
          <t>Mobile</t>
        </is>
      </c>
      <c r="G776" s="40" t="inlineStr">
        <is>
          <t>Greece</t>
        </is>
      </c>
      <c r="H776" s="40" t="n">
        <v>21</v>
      </c>
      <c r="I776" s="40" t="inlineStr">
        <is>
          <t>Start Search</t>
        </is>
      </c>
      <c r="J776" s="40" t="inlineStr">
        <is>
          <t>1-23 August 2025</t>
        </is>
      </c>
      <c r="K776" s="55" t="n">
        <v>352</v>
      </c>
      <c r="L776" s="40" t="inlineStr">
        <is>
          <t>Visit→Engagement 1-23 August 2025</t>
        </is>
      </c>
      <c r="M776" s="40">
        <f>IF(Countries!I83="","STILL MISSING","Filled ✓")</f>
        <v/>
      </c>
    </row>
    <row r="777">
      <c r="A777" s="56" t="inlineStr">
        <is>
          <t>Countries</t>
        </is>
      </c>
      <c r="B777" s="56" t="inlineStr">
        <is>
          <t>J83</t>
        </is>
      </c>
      <c r="C777" s="56" t="n">
        <v>83</v>
      </c>
      <c r="D777" s="56" t="inlineStr">
        <is>
          <t>All landing pages</t>
        </is>
      </c>
      <c r="E777" s="56" t="inlineStr">
        <is>
          <t>Direct</t>
        </is>
      </c>
      <c r="F777" s="56" t="inlineStr">
        <is>
          <t>Mobile</t>
        </is>
      </c>
      <c r="G777" s="56" t="inlineStr">
        <is>
          <t>Greece</t>
        </is>
      </c>
      <c r="H777" s="56" t="n">
        <v>21</v>
      </c>
      <c r="I777" s="56" t="inlineStr">
        <is>
          <t>Start Search</t>
        </is>
      </c>
      <c r="J777" s="56" t="inlineStr">
        <is>
          <t>1-23 August 2026</t>
        </is>
      </c>
      <c r="K777" s="57" t="n">
        <v>352</v>
      </c>
      <c r="L777" s="56" t="inlineStr">
        <is>
          <t>Visit→Engagement 1-23 August 2026</t>
        </is>
      </c>
      <c r="M777" s="40">
        <f>IF(Countries!J83="","STILL MISSING","Filled ✓")</f>
        <v/>
      </c>
    </row>
    <row r="778">
      <c r="A778" s="40" t="inlineStr">
        <is>
          <t>Countries</t>
        </is>
      </c>
      <c r="B778" s="40" t="inlineStr">
        <is>
          <t>AR129</t>
        </is>
      </c>
      <c r="C778" s="40" t="n">
        <v>129</v>
      </c>
      <c r="D778" s="40" t="inlineStr">
        <is>
          <t>Home page</t>
        </is>
      </c>
      <c r="E778" s="40" t="inlineStr">
        <is>
          <t>Paid Search</t>
        </is>
      </c>
      <c r="F778" s="40" t="inlineStr">
        <is>
          <t>Mobile</t>
        </is>
      </c>
      <c r="G778" s="40" t="inlineStr">
        <is>
          <t>Greece</t>
        </is>
      </c>
      <c r="H778" s="40" t="n">
        <v>21</v>
      </c>
      <c r="I778" s="40" t="inlineStr">
        <is>
          <t>Purchases</t>
        </is>
      </c>
      <c r="J778" s="40" t="inlineStr">
        <is>
          <t>1-23 August 2025</t>
        </is>
      </c>
      <c r="K778" s="55" t="n">
        <v>488</v>
      </c>
      <c r="L778" s="40" t="inlineStr">
        <is>
          <t>CR 1-23 August 2025</t>
        </is>
      </c>
      <c r="M778" s="40">
        <f>IF(Countries!AR129="","STILL MISSING","Filled ✓")</f>
        <v/>
      </c>
    </row>
    <row r="779">
      <c r="A779" s="56" t="inlineStr">
        <is>
          <t>Countries</t>
        </is>
      </c>
      <c r="B779" s="56" t="inlineStr">
        <is>
          <t>P129</t>
        </is>
      </c>
      <c r="C779" s="56" t="n">
        <v>129</v>
      </c>
      <c r="D779" s="56" t="inlineStr">
        <is>
          <t>Home page</t>
        </is>
      </c>
      <c r="E779" s="56" t="inlineStr">
        <is>
          <t>Paid Search</t>
        </is>
      </c>
      <c r="F779" s="56" t="inlineStr">
        <is>
          <t>Mobile</t>
        </is>
      </c>
      <c r="G779" s="56" t="inlineStr">
        <is>
          <t>Greece</t>
        </is>
      </c>
      <c r="H779" s="56" t="n">
        <v>21</v>
      </c>
      <c r="I779" s="56" t="inlineStr">
        <is>
          <t>Searches</t>
        </is>
      </c>
      <c r="J779" s="56" t="inlineStr">
        <is>
          <t>1-23 August 2025</t>
        </is>
      </c>
      <c r="K779" s="57" t="n">
        <v>488</v>
      </c>
      <c r="L779" s="56" t="inlineStr">
        <is>
          <t>Visit→Search 1-23 August 2025</t>
        </is>
      </c>
      <c r="M779" s="40">
        <f>IF(Countries!P129="","STILL MISSING","Filled ✓")</f>
        <v/>
      </c>
    </row>
    <row r="780">
      <c r="A780" s="40" t="inlineStr">
        <is>
          <t>Countries</t>
        </is>
      </c>
      <c r="B780" s="40" t="inlineStr">
        <is>
          <t>F129</t>
        </is>
      </c>
      <c r="C780" s="40" t="n">
        <v>129</v>
      </c>
      <c r="D780" s="40" t="inlineStr">
        <is>
          <t>Home page</t>
        </is>
      </c>
      <c r="E780" s="40" t="inlineStr">
        <is>
          <t>Paid Search</t>
        </is>
      </c>
      <c r="F780" s="40" t="inlineStr">
        <is>
          <t>Mobile</t>
        </is>
      </c>
      <c r="G780" s="40" t="inlineStr">
        <is>
          <t>Greece</t>
        </is>
      </c>
      <c r="H780" s="40" t="n">
        <v>21</v>
      </c>
      <c r="I780" s="40" t="inlineStr">
        <is>
          <t>Sessions</t>
        </is>
      </c>
      <c r="J780" s="40" t="inlineStr">
        <is>
          <t>1-23 August 2026</t>
        </is>
      </c>
      <c r="K780" s="55" t="n">
        <v>488</v>
      </c>
      <c r="L780" s="40" t="inlineStr">
        <is>
          <t>Sessions YoY</t>
        </is>
      </c>
      <c r="M780" s="40">
        <f>IF(Countries!F129="","STILL MISSING","Filled ✓")</f>
        <v/>
      </c>
    </row>
    <row r="781">
      <c r="A781" s="56" t="inlineStr">
        <is>
          <t>Countries</t>
        </is>
      </c>
      <c r="B781" s="56" t="inlineStr">
        <is>
          <t>I129</t>
        </is>
      </c>
      <c r="C781" s="56" t="n">
        <v>129</v>
      </c>
      <c r="D781" s="56" t="inlineStr">
        <is>
          <t>Home page</t>
        </is>
      </c>
      <c r="E781" s="56" t="inlineStr">
        <is>
          <t>Paid Search</t>
        </is>
      </c>
      <c r="F781" s="56" t="inlineStr">
        <is>
          <t>Mobile</t>
        </is>
      </c>
      <c r="G781" s="56" t="inlineStr">
        <is>
          <t>Greece</t>
        </is>
      </c>
      <c r="H781" s="56" t="n">
        <v>21</v>
      </c>
      <c r="I781" s="56" t="inlineStr">
        <is>
          <t>Start Search</t>
        </is>
      </c>
      <c r="J781" s="56" t="inlineStr">
        <is>
          <t>1-23 August 2025</t>
        </is>
      </c>
      <c r="K781" s="57" t="n">
        <v>488</v>
      </c>
      <c r="L781" s="56" t="inlineStr">
        <is>
          <t>Visit→Engagement 1-23 August 2025</t>
        </is>
      </c>
      <c r="M781" s="40">
        <f>IF(Countries!I129="","STILL MISSING","Filled ✓")</f>
        <v/>
      </c>
    </row>
    <row r="782">
      <c r="A782" s="40" t="inlineStr">
        <is>
          <t>Countries</t>
        </is>
      </c>
      <c r="B782" s="40" t="inlineStr">
        <is>
          <t>AS161</t>
        </is>
      </c>
      <c r="C782" s="40" t="n">
        <v>161</v>
      </c>
      <c r="D782" s="40" t="inlineStr">
        <is>
          <t>Home page</t>
        </is>
      </c>
      <c r="E782" s="40" t="inlineStr">
        <is>
          <t>Organic</t>
        </is>
      </c>
      <c r="F782" s="40" t="inlineStr">
        <is>
          <t>Mobile</t>
        </is>
      </c>
      <c r="G782" s="40" t="inlineStr">
        <is>
          <t>Greece</t>
        </is>
      </c>
      <c r="H782" s="40" t="n">
        <v>21</v>
      </c>
      <c r="I782" s="40" t="inlineStr">
        <is>
          <t>Purchases</t>
        </is>
      </c>
      <c r="J782" s="40" t="inlineStr">
        <is>
          <t>1-23 August 2026</t>
        </is>
      </c>
      <c r="K782" s="55" t="n">
        <v>101</v>
      </c>
      <c r="L782" s="40" t="inlineStr">
        <is>
          <t>CR 1-23 August 2026</t>
        </is>
      </c>
      <c r="M782" s="40">
        <f>IF(Countries!AS161="","STILL MISSING","Filled ✓")</f>
        <v/>
      </c>
    </row>
    <row r="783">
      <c r="A783" s="56" t="inlineStr">
        <is>
          <t>Countries</t>
        </is>
      </c>
      <c r="B783" s="56" t="inlineStr">
        <is>
          <t>Q161</t>
        </is>
      </c>
      <c r="C783" s="56" t="n">
        <v>161</v>
      </c>
      <c r="D783" s="56" t="inlineStr">
        <is>
          <t>Home page</t>
        </is>
      </c>
      <c r="E783" s="56" t="inlineStr">
        <is>
          <t>Organic</t>
        </is>
      </c>
      <c r="F783" s="56" t="inlineStr">
        <is>
          <t>Mobile</t>
        </is>
      </c>
      <c r="G783" s="56" t="inlineStr">
        <is>
          <t>Greece</t>
        </is>
      </c>
      <c r="H783" s="56" t="n">
        <v>21</v>
      </c>
      <c r="I783" s="56" t="inlineStr">
        <is>
          <t>Searches</t>
        </is>
      </c>
      <c r="J783" s="56" t="inlineStr">
        <is>
          <t>1-23 August 2026</t>
        </is>
      </c>
      <c r="K783" s="57" t="n">
        <v>101</v>
      </c>
      <c r="L783" s="56" t="inlineStr">
        <is>
          <t>Visit→Search 1-23 August 2026</t>
        </is>
      </c>
      <c r="M783" s="40">
        <f>IF(Countries!Q161="","STILL MISSING","Filled ✓")</f>
        <v/>
      </c>
    </row>
    <row r="784">
      <c r="A784" s="40" t="inlineStr">
        <is>
          <t>Countries</t>
        </is>
      </c>
      <c r="B784" s="40" t="inlineStr">
        <is>
          <t>E161</t>
        </is>
      </c>
      <c r="C784" s="40" t="n">
        <v>161</v>
      </c>
      <c r="D784" s="40" t="inlineStr">
        <is>
          <t>Home page</t>
        </is>
      </c>
      <c r="E784" s="40" t="inlineStr">
        <is>
          <t>Organic</t>
        </is>
      </c>
      <c r="F784" s="40" t="inlineStr">
        <is>
          <t>Mobile</t>
        </is>
      </c>
      <c r="G784" s="40" t="inlineStr">
        <is>
          <t>Greece</t>
        </is>
      </c>
      <c r="H784" s="40" t="n">
        <v>21</v>
      </c>
      <c r="I784" s="40" t="inlineStr">
        <is>
          <t>Sessions</t>
        </is>
      </c>
      <c r="J784" s="40" t="inlineStr">
        <is>
          <t>1-23 August 2025</t>
        </is>
      </c>
      <c r="K784" s="55" t="n">
        <v>101</v>
      </c>
      <c r="L784" s="40" t="inlineStr">
        <is>
          <t>Sessions YoY</t>
        </is>
      </c>
      <c r="M784" s="40">
        <f>IF(Countries!E161="","STILL MISSING","Filled ✓")</f>
        <v/>
      </c>
    </row>
    <row r="785">
      <c r="A785" s="56" t="inlineStr">
        <is>
          <t>Countries</t>
        </is>
      </c>
      <c r="B785" s="56" t="inlineStr">
        <is>
          <t>J161</t>
        </is>
      </c>
      <c r="C785" s="56" t="n">
        <v>161</v>
      </c>
      <c r="D785" s="56" t="inlineStr">
        <is>
          <t>Home page</t>
        </is>
      </c>
      <c r="E785" s="56" t="inlineStr">
        <is>
          <t>Organic</t>
        </is>
      </c>
      <c r="F785" s="56" t="inlineStr">
        <is>
          <t>Mobile</t>
        </is>
      </c>
      <c r="G785" s="56" t="inlineStr">
        <is>
          <t>Greece</t>
        </is>
      </c>
      <c r="H785" s="56" t="n">
        <v>21</v>
      </c>
      <c r="I785" s="56" t="inlineStr">
        <is>
          <t>Start Search</t>
        </is>
      </c>
      <c r="J785" s="56" t="inlineStr">
        <is>
          <t>1-23 August 2026</t>
        </is>
      </c>
      <c r="K785" s="57" t="n">
        <v>101</v>
      </c>
      <c r="L785" s="56" t="inlineStr">
        <is>
          <t>Visit→Engagement 1-23 August 2026</t>
        </is>
      </c>
      <c r="M785" s="40">
        <f>IF(Countries!J161="","STILL MISSING","Filled ✓")</f>
        <v/>
      </c>
    </row>
    <row r="786">
      <c r="A786" s="40" t="inlineStr">
        <is>
          <t>Countries</t>
        </is>
      </c>
      <c r="B786" s="40" t="inlineStr">
        <is>
          <t>AR192</t>
        </is>
      </c>
      <c r="C786" s="40" t="n">
        <v>192</v>
      </c>
      <c r="D786" s="40" t="inlineStr">
        <is>
          <t>Home page</t>
        </is>
      </c>
      <c r="E786" s="40" t="inlineStr">
        <is>
          <t>Direct</t>
        </is>
      </c>
      <c r="F786" s="40" t="inlineStr">
        <is>
          <t>Mobile</t>
        </is>
      </c>
      <c r="G786" s="40" t="inlineStr">
        <is>
          <t>Greece</t>
        </is>
      </c>
      <c r="H786" s="40" t="n">
        <v>21</v>
      </c>
      <c r="I786" s="40" t="inlineStr">
        <is>
          <t>Purchases</t>
        </is>
      </c>
      <c r="J786" s="40" t="inlineStr">
        <is>
          <t>1-23 August 2025</t>
        </is>
      </c>
      <c r="K786" s="55" t="n">
        <v>234</v>
      </c>
      <c r="L786" s="40" t="inlineStr">
        <is>
          <t>CR 1-23 August 2025 + Search→Booking 1-23 August 2025</t>
        </is>
      </c>
      <c r="M786" s="40">
        <f>IF(Countries!AR192="","STILL MISSING","Filled ✓")</f>
        <v/>
      </c>
    </row>
    <row r="787">
      <c r="A787" s="56" t="inlineStr">
        <is>
          <t>Countries</t>
        </is>
      </c>
      <c r="B787" s="56" t="inlineStr">
        <is>
          <t>AS192</t>
        </is>
      </c>
      <c r="C787" s="56" t="n">
        <v>192</v>
      </c>
      <c r="D787" s="56" t="inlineStr">
        <is>
          <t>Home page</t>
        </is>
      </c>
      <c r="E787" s="56" t="inlineStr">
        <is>
          <t>Direct</t>
        </is>
      </c>
      <c r="F787" s="56" t="inlineStr">
        <is>
          <t>Mobile</t>
        </is>
      </c>
      <c r="G787" s="56" t="inlineStr">
        <is>
          <t>Greece</t>
        </is>
      </c>
      <c r="H787" s="56" t="n">
        <v>21</v>
      </c>
      <c r="I787" s="56" t="inlineStr">
        <is>
          <t>Purchases</t>
        </is>
      </c>
      <c r="J787" s="56" t="inlineStr">
        <is>
          <t>1-23 August 2026</t>
        </is>
      </c>
      <c r="K787" s="57" t="n">
        <v>234</v>
      </c>
      <c r="L787" s="56" t="inlineStr">
        <is>
          <t>CR 1-23 August 2026 + Search→Booking 1-23 August 2026</t>
        </is>
      </c>
      <c r="M787" s="40">
        <f>IF(Countries!AS192="","STILL MISSING","Filled ✓")</f>
        <v/>
      </c>
    </row>
    <row r="788">
      <c r="A788" s="40" t="inlineStr">
        <is>
          <t>Countries</t>
        </is>
      </c>
      <c r="B788" s="40" t="inlineStr">
        <is>
          <t>W192</t>
        </is>
      </c>
      <c r="C788" s="40" t="n">
        <v>192</v>
      </c>
      <c r="D788" s="40" t="inlineStr">
        <is>
          <t>Home page</t>
        </is>
      </c>
      <c r="E788" s="40" t="inlineStr">
        <is>
          <t>Direct</t>
        </is>
      </c>
      <c r="F788" s="40" t="inlineStr">
        <is>
          <t>Mobile</t>
        </is>
      </c>
      <c r="G788" s="40" t="inlineStr">
        <is>
          <t>Greece</t>
        </is>
      </c>
      <c r="H788" s="40" t="n">
        <v>21</v>
      </c>
      <c r="I788" s="40" t="inlineStr">
        <is>
          <t>Select item</t>
        </is>
      </c>
      <c r="J788" s="40" t="inlineStr">
        <is>
          <t>1-23 August 2025</t>
        </is>
      </c>
      <c r="K788" s="55" t="n">
        <v>234</v>
      </c>
      <c r="L788" s="40" t="inlineStr">
        <is>
          <t>Search→Select 1-23 August 2025</t>
        </is>
      </c>
      <c r="M788" s="40">
        <f>IF(Countries!W192="","STILL MISSING","Filled ✓")</f>
        <v/>
      </c>
    </row>
    <row r="789">
      <c r="A789" s="56" t="inlineStr">
        <is>
          <t>Countries</t>
        </is>
      </c>
      <c r="B789" s="56" t="inlineStr">
        <is>
          <t>X192</t>
        </is>
      </c>
      <c r="C789" s="56" t="n">
        <v>192</v>
      </c>
      <c r="D789" s="56" t="inlineStr">
        <is>
          <t>Home page</t>
        </is>
      </c>
      <c r="E789" s="56" t="inlineStr">
        <is>
          <t>Direct</t>
        </is>
      </c>
      <c r="F789" s="56" t="inlineStr">
        <is>
          <t>Mobile</t>
        </is>
      </c>
      <c r="G789" s="56" t="inlineStr">
        <is>
          <t>Greece</t>
        </is>
      </c>
      <c r="H789" s="56" t="n">
        <v>21</v>
      </c>
      <c r="I789" s="56" t="inlineStr">
        <is>
          <t>Select item</t>
        </is>
      </c>
      <c r="J789" s="56" t="inlineStr">
        <is>
          <t>1-23 August 2026</t>
        </is>
      </c>
      <c r="K789" s="57" t="n">
        <v>234</v>
      </c>
      <c r="L789" s="56" t="inlineStr">
        <is>
          <t>Search→Select 1-23 August 2026</t>
        </is>
      </c>
      <c r="M789" s="40">
        <f>IF(Countries!X192="","STILL MISSING","Filled ✓")</f>
        <v/>
      </c>
    </row>
    <row r="790">
      <c r="A790" s="40" t="inlineStr">
        <is>
          <t>Countries</t>
        </is>
      </c>
      <c r="B790" s="40" t="inlineStr">
        <is>
          <t>I192</t>
        </is>
      </c>
      <c r="C790" s="40" t="n">
        <v>192</v>
      </c>
      <c r="D790" s="40" t="inlineStr">
        <is>
          <t>Home page</t>
        </is>
      </c>
      <c r="E790" s="40" t="inlineStr">
        <is>
          <t>Direct</t>
        </is>
      </c>
      <c r="F790" s="40" t="inlineStr">
        <is>
          <t>Mobile</t>
        </is>
      </c>
      <c r="G790" s="40" t="inlineStr">
        <is>
          <t>Greece</t>
        </is>
      </c>
      <c r="H790" s="40" t="n">
        <v>21</v>
      </c>
      <c r="I790" s="40" t="inlineStr">
        <is>
          <t>Start Search</t>
        </is>
      </c>
      <c r="J790" s="40" t="inlineStr">
        <is>
          <t>1-23 August 2025</t>
        </is>
      </c>
      <c r="K790" s="55" t="n">
        <v>234</v>
      </c>
      <c r="L790" s="40" t="inlineStr">
        <is>
          <t>Visit→Engagement 1-23 August 2025</t>
        </is>
      </c>
      <c r="M790" s="40">
        <f>IF(Countries!I192="","STILL MISSING","Filled ✓")</f>
        <v/>
      </c>
    </row>
    <row r="791">
      <c r="A791" s="56" t="inlineStr">
        <is>
          <t>Countries</t>
        </is>
      </c>
      <c r="B791" s="56" t="inlineStr">
        <is>
          <t>J192</t>
        </is>
      </c>
      <c r="C791" s="56" t="n">
        <v>192</v>
      </c>
      <c r="D791" s="56" t="inlineStr">
        <is>
          <t>Home page</t>
        </is>
      </c>
      <c r="E791" s="56" t="inlineStr">
        <is>
          <t>Direct</t>
        </is>
      </c>
      <c r="F791" s="56" t="inlineStr">
        <is>
          <t>Mobile</t>
        </is>
      </c>
      <c r="G791" s="56" t="inlineStr">
        <is>
          <t>Greece</t>
        </is>
      </c>
      <c r="H791" s="56" t="n">
        <v>21</v>
      </c>
      <c r="I791" s="56" t="inlineStr">
        <is>
          <t>Start Search</t>
        </is>
      </c>
      <c r="J791" s="56" t="inlineStr">
        <is>
          <t>1-23 August 2026</t>
        </is>
      </c>
      <c r="K791" s="57" t="n">
        <v>234</v>
      </c>
      <c r="L791" s="56" t="inlineStr">
        <is>
          <t>Visit→Engagement 1-23 August 2026</t>
        </is>
      </c>
      <c r="M791" s="40">
        <f>IF(Countries!J192="","STILL MISSING","Filled ✓")</f>
        <v/>
      </c>
    </row>
    <row r="792">
      <c r="A792" s="40" t="inlineStr">
        <is>
          <t>Countries</t>
        </is>
      </c>
      <c r="B792" s="40" t="inlineStr">
        <is>
          <t>AR297</t>
        </is>
      </c>
      <c r="C792" s="40" t="n">
        <v>297</v>
      </c>
      <c r="D792" s="40" t="inlineStr">
        <is>
          <t>Airport page</t>
        </is>
      </c>
      <c r="E792" s="40" t="inlineStr">
        <is>
          <t>Direct</t>
        </is>
      </c>
      <c r="F792" s="40" t="inlineStr">
        <is>
          <t>Mobile</t>
        </is>
      </c>
      <c r="G792" s="40" t="inlineStr">
        <is>
          <t>Greece</t>
        </is>
      </c>
      <c r="H792" s="40" t="n">
        <v>21</v>
      </c>
      <c r="I792" s="40" t="inlineStr">
        <is>
          <t>Purchases</t>
        </is>
      </c>
      <c r="J792" s="40" t="inlineStr">
        <is>
          <t>1-23 August 2025</t>
        </is>
      </c>
      <c r="K792" s="55" t="n">
        <v>41</v>
      </c>
      <c r="L792" s="40" t="inlineStr">
        <is>
          <t>CR 1-23 August 2025 + Search→Booking 1-23 August 2025</t>
        </is>
      </c>
      <c r="M792" s="40">
        <f>IF(Countries!AR297="","STILL MISSING","Filled ✓")</f>
        <v/>
      </c>
    </row>
    <row r="793">
      <c r="A793" s="56" t="inlineStr">
        <is>
          <t>Countries</t>
        </is>
      </c>
      <c r="B793" s="56" t="inlineStr">
        <is>
          <t>AS297</t>
        </is>
      </c>
      <c r="C793" s="56" t="n">
        <v>297</v>
      </c>
      <c r="D793" s="56" t="inlineStr">
        <is>
          <t>Airport page</t>
        </is>
      </c>
      <c r="E793" s="56" t="inlineStr">
        <is>
          <t>Direct</t>
        </is>
      </c>
      <c r="F793" s="56" t="inlineStr">
        <is>
          <t>Mobile</t>
        </is>
      </c>
      <c r="G793" s="56" t="inlineStr">
        <is>
          <t>Greece</t>
        </is>
      </c>
      <c r="H793" s="56" t="n">
        <v>21</v>
      </c>
      <c r="I793" s="56" t="inlineStr">
        <is>
          <t>Purchases</t>
        </is>
      </c>
      <c r="J793" s="56" t="inlineStr">
        <is>
          <t>1-23 August 2026</t>
        </is>
      </c>
      <c r="K793" s="57" t="n">
        <v>41</v>
      </c>
      <c r="L793" s="56" t="inlineStr">
        <is>
          <t>CR 1-23 August 2026</t>
        </is>
      </c>
      <c r="M793" s="40">
        <f>IF(Countries!AS297="","STILL MISSING","Filled ✓")</f>
        <v/>
      </c>
    </row>
    <row r="794">
      <c r="A794" s="40" t="inlineStr">
        <is>
          <t>Countries</t>
        </is>
      </c>
      <c r="B794" s="40" t="inlineStr">
        <is>
          <t>Q297</t>
        </is>
      </c>
      <c r="C794" s="40" t="n">
        <v>297</v>
      </c>
      <c r="D794" s="40" t="inlineStr">
        <is>
          <t>Airport page</t>
        </is>
      </c>
      <c r="E794" s="40" t="inlineStr">
        <is>
          <t>Direct</t>
        </is>
      </c>
      <c r="F794" s="40" t="inlineStr">
        <is>
          <t>Mobile</t>
        </is>
      </c>
      <c r="G794" s="40" t="inlineStr">
        <is>
          <t>Greece</t>
        </is>
      </c>
      <c r="H794" s="40" t="n">
        <v>21</v>
      </c>
      <c r="I794" s="40" t="inlineStr">
        <is>
          <t>Searches</t>
        </is>
      </c>
      <c r="J794" s="40" t="inlineStr">
        <is>
          <t>1-23 August 2026</t>
        </is>
      </c>
      <c r="K794" s="55" t="n">
        <v>41</v>
      </c>
      <c r="L794" s="40" t="inlineStr">
        <is>
          <t>Searches YoY + Visit→Search 1-23 August 2026</t>
        </is>
      </c>
      <c r="M794" s="40">
        <f>IF(Countries!Q297="","STILL MISSING","Filled ✓")</f>
        <v/>
      </c>
    </row>
    <row r="795">
      <c r="A795" s="56" t="inlineStr">
        <is>
          <t>Countries</t>
        </is>
      </c>
      <c r="B795" s="56" t="inlineStr">
        <is>
          <t>W297</t>
        </is>
      </c>
      <c r="C795" s="56" t="n">
        <v>297</v>
      </c>
      <c r="D795" s="56" t="inlineStr">
        <is>
          <t>Airport page</t>
        </is>
      </c>
      <c r="E795" s="56" t="inlineStr">
        <is>
          <t>Direct</t>
        </is>
      </c>
      <c r="F795" s="56" t="inlineStr">
        <is>
          <t>Mobile</t>
        </is>
      </c>
      <c r="G795" s="56" t="inlineStr">
        <is>
          <t>Greece</t>
        </is>
      </c>
      <c r="H795" s="56" t="n">
        <v>21</v>
      </c>
      <c r="I795" s="56" t="inlineStr">
        <is>
          <t>Select item</t>
        </is>
      </c>
      <c r="J795" s="56" t="inlineStr">
        <is>
          <t>1-23 August 2025</t>
        </is>
      </c>
      <c r="K795" s="57" t="n">
        <v>41</v>
      </c>
      <c r="L795" s="56" t="inlineStr">
        <is>
          <t>Search→Select 1-23 August 2025</t>
        </is>
      </c>
      <c r="M795" s="40">
        <f>IF(Countries!W297="","STILL MISSING","Filled ✓")</f>
        <v/>
      </c>
    </row>
    <row r="796">
      <c r="A796" s="40" t="inlineStr">
        <is>
          <t>Countries</t>
        </is>
      </c>
      <c r="B796" s="40" t="inlineStr">
        <is>
          <t>I297</t>
        </is>
      </c>
      <c r="C796" s="40" t="n">
        <v>297</v>
      </c>
      <c r="D796" s="40" t="inlineStr">
        <is>
          <t>Airport page</t>
        </is>
      </c>
      <c r="E796" s="40" t="inlineStr">
        <is>
          <t>Direct</t>
        </is>
      </c>
      <c r="F796" s="40" t="inlineStr">
        <is>
          <t>Mobile</t>
        </is>
      </c>
      <c r="G796" s="40" t="inlineStr">
        <is>
          <t>Greece</t>
        </is>
      </c>
      <c r="H796" s="40" t="n">
        <v>21</v>
      </c>
      <c r="I796" s="40" t="inlineStr">
        <is>
          <t>Start Search</t>
        </is>
      </c>
      <c r="J796" s="40" t="inlineStr">
        <is>
          <t>1-23 August 2025</t>
        </is>
      </c>
      <c r="K796" s="55" t="n">
        <v>41</v>
      </c>
      <c r="L796" s="40" t="inlineStr">
        <is>
          <t>Visit→Engagement 1-23 August 2025</t>
        </is>
      </c>
      <c r="M796" s="40">
        <f>IF(Countries!I297="","STILL MISSING","Filled ✓")</f>
        <v/>
      </c>
    </row>
    <row r="797">
      <c r="A797" s="56" t="inlineStr">
        <is>
          <t>Countries</t>
        </is>
      </c>
      <c r="B797" s="56" t="inlineStr">
        <is>
          <t>J297</t>
        </is>
      </c>
      <c r="C797" s="56" t="n">
        <v>297</v>
      </c>
      <c r="D797" s="56" t="inlineStr">
        <is>
          <t>Airport page</t>
        </is>
      </c>
      <c r="E797" s="56" t="inlineStr">
        <is>
          <t>Direct</t>
        </is>
      </c>
      <c r="F797" s="56" t="inlineStr">
        <is>
          <t>Mobile</t>
        </is>
      </c>
      <c r="G797" s="56" t="inlineStr">
        <is>
          <t>Greece</t>
        </is>
      </c>
      <c r="H797" s="56" t="n">
        <v>21</v>
      </c>
      <c r="I797" s="56" t="inlineStr">
        <is>
          <t>Start Search</t>
        </is>
      </c>
      <c r="J797" s="56" t="inlineStr">
        <is>
          <t>1-23 August 2026</t>
        </is>
      </c>
      <c r="K797" s="57" t="n">
        <v>41</v>
      </c>
      <c r="L797" s="56" t="inlineStr">
        <is>
          <t>Visit→Engagement 1-23 August 2026</t>
        </is>
      </c>
      <c r="M797" s="40">
        <f>IF(Countries!J297="","STILL MISSING","Filled ✓")</f>
        <v/>
      </c>
    </row>
    <row r="798">
      <c r="A798" s="40" t="inlineStr">
        <is>
          <t>Countries</t>
        </is>
      </c>
      <c r="B798" s="40" t="inlineStr">
        <is>
          <t>AR35</t>
        </is>
      </c>
      <c r="C798" s="40" t="n">
        <v>35</v>
      </c>
      <c r="D798" s="40" t="inlineStr">
        <is>
          <t>All landing pages</t>
        </is>
      </c>
      <c r="E798" s="40" t="inlineStr">
        <is>
          <t>Paid Search</t>
        </is>
      </c>
      <c r="F798" s="40" t="inlineStr">
        <is>
          <t>Desktop</t>
        </is>
      </c>
      <c r="G798" s="40" t="inlineStr">
        <is>
          <t>Switzerland</t>
        </is>
      </c>
      <c r="H798" s="40" t="n">
        <v>22</v>
      </c>
      <c r="I798" s="40" t="inlineStr">
        <is>
          <t>Purchases</t>
        </is>
      </c>
      <c r="J798" s="40" t="inlineStr">
        <is>
          <t>1-23 August 2025</t>
        </is>
      </c>
      <c r="K798" s="55" t="n">
        <v>1527</v>
      </c>
      <c r="L798" s="40" t="inlineStr">
        <is>
          <t>CR 1-23 August 2025 + Search→Booking 1-23 August 2025</t>
        </is>
      </c>
      <c r="M798" s="40">
        <f>IF(Countries!AR35="","STILL MISSING","Filled ✓")</f>
        <v/>
      </c>
    </row>
    <row r="799">
      <c r="A799" s="56" t="inlineStr">
        <is>
          <t>Countries</t>
        </is>
      </c>
      <c r="B799" s="56" t="inlineStr">
        <is>
          <t>Q35</t>
        </is>
      </c>
      <c r="C799" s="56" t="n">
        <v>35</v>
      </c>
      <c r="D799" s="56" t="inlineStr">
        <is>
          <t>All landing pages</t>
        </is>
      </c>
      <c r="E799" s="56" t="inlineStr">
        <is>
          <t>Paid Search</t>
        </is>
      </c>
      <c r="F799" s="56" t="inlineStr">
        <is>
          <t>Desktop</t>
        </is>
      </c>
      <c r="G799" s="56" t="inlineStr">
        <is>
          <t>Switzerland</t>
        </is>
      </c>
      <c r="H799" s="56" t="n">
        <v>22</v>
      </c>
      <c r="I799" s="56" t="inlineStr">
        <is>
          <t>Searches</t>
        </is>
      </c>
      <c r="J799" s="56" t="inlineStr">
        <is>
          <t>1-23 August 2026</t>
        </is>
      </c>
      <c r="K799" s="57" t="n">
        <v>1527</v>
      </c>
      <c r="L799" s="56" t="inlineStr">
        <is>
          <t>Searches YoY</t>
        </is>
      </c>
      <c r="M799" s="40">
        <f>IF(Countries!Q35="","STILL MISSING","Filled ✓")</f>
        <v/>
      </c>
    </row>
    <row r="800">
      <c r="A800" s="40" t="inlineStr">
        <is>
          <t>Countries</t>
        </is>
      </c>
      <c r="B800" s="40" t="inlineStr">
        <is>
          <t>W35</t>
        </is>
      </c>
      <c r="C800" s="40" t="n">
        <v>35</v>
      </c>
      <c r="D800" s="40" t="inlineStr">
        <is>
          <t>All landing pages</t>
        </is>
      </c>
      <c r="E800" s="40" t="inlineStr">
        <is>
          <t>Paid Search</t>
        </is>
      </c>
      <c r="F800" s="40" t="inlineStr">
        <is>
          <t>Desktop</t>
        </is>
      </c>
      <c r="G800" s="40" t="inlineStr">
        <is>
          <t>Switzerland</t>
        </is>
      </c>
      <c r="H800" s="40" t="n">
        <v>22</v>
      </c>
      <c r="I800" s="40" t="inlineStr">
        <is>
          <t>Select item</t>
        </is>
      </c>
      <c r="J800" s="40" t="inlineStr">
        <is>
          <t>1-23 August 2025</t>
        </is>
      </c>
      <c r="K800" s="55" t="n">
        <v>1527</v>
      </c>
      <c r="L800" s="40" t="inlineStr">
        <is>
          <t>Search→Select 1-23 August 2025</t>
        </is>
      </c>
      <c r="M800" s="40">
        <f>IF(Countries!W35="","STILL MISSING","Filled ✓")</f>
        <v/>
      </c>
    </row>
    <row r="801">
      <c r="A801" s="56" t="inlineStr">
        <is>
          <t>Countries</t>
        </is>
      </c>
      <c r="B801" s="56" t="inlineStr">
        <is>
          <t>F35</t>
        </is>
      </c>
      <c r="C801" s="56" t="n">
        <v>35</v>
      </c>
      <c r="D801" s="56" t="inlineStr">
        <is>
          <t>All landing pages</t>
        </is>
      </c>
      <c r="E801" s="56" t="inlineStr">
        <is>
          <t>Paid Search</t>
        </is>
      </c>
      <c r="F801" s="56" t="inlineStr">
        <is>
          <t>Desktop</t>
        </is>
      </c>
      <c r="G801" s="56" t="inlineStr">
        <is>
          <t>Switzerland</t>
        </is>
      </c>
      <c r="H801" s="56" t="n">
        <v>22</v>
      </c>
      <c r="I801" s="56" t="inlineStr">
        <is>
          <t>Sessions</t>
        </is>
      </c>
      <c r="J801" s="56" t="inlineStr">
        <is>
          <t>1-23 August 2026</t>
        </is>
      </c>
      <c r="K801" s="57" t="n">
        <v>1527</v>
      </c>
      <c r="L801" s="56" t="inlineStr">
        <is>
          <t>Sessions YoY</t>
        </is>
      </c>
      <c r="M801" s="40">
        <f>IF(Countries!F35="","STILL MISSING","Filled ✓")</f>
        <v/>
      </c>
    </row>
    <row r="802">
      <c r="A802" s="40" t="inlineStr">
        <is>
          <t>Countries</t>
        </is>
      </c>
      <c r="B802" s="40" t="inlineStr">
        <is>
          <t>I35</t>
        </is>
      </c>
      <c r="C802" s="40" t="n">
        <v>35</v>
      </c>
      <c r="D802" s="40" t="inlineStr">
        <is>
          <t>All landing pages</t>
        </is>
      </c>
      <c r="E802" s="40" t="inlineStr">
        <is>
          <t>Paid Search</t>
        </is>
      </c>
      <c r="F802" s="40" t="inlineStr">
        <is>
          <t>Desktop</t>
        </is>
      </c>
      <c r="G802" s="40" t="inlineStr">
        <is>
          <t>Switzerland</t>
        </is>
      </c>
      <c r="H802" s="40" t="n">
        <v>22</v>
      </c>
      <c r="I802" s="40" t="inlineStr">
        <is>
          <t>Start Search</t>
        </is>
      </c>
      <c r="J802" s="40" t="inlineStr">
        <is>
          <t>1-23 August 2025</t>
        </is>
      </c>
      <c r="K802" s="55" t="n">
        <v>1527</v>
      </c>
      <c r="L802" s="40" t="inlineStr">
        <is>
          <t>Visit→Engagement 1-23 August 2025</t>
        </is>
      </c>
      <c r="M802" s="40">
        <f>IF(Countries!I35="","STILL MISSING","Filled ✓")</f>
        <v/>
      </c>
    </row>
    <row r="803">
      <c r="A803" s="56" t="inlineStr">
        <is>
          <t>Countries</t>
        </is>
      </c>
      <c r="B803" s="56" t="inlineStr">
        <is>
          <t>AR20</t>
        </is>
      </c>
      <c r="C803" s="56" t="n">
        <v>20</v>
      </c>
      <c r="D803" s="56" t="inlineStr">
        <is>
          <t>All landing pages</t>
        </is>
      </c>
      <c r="E803" s="56" t="inlineStr">
        <is>
          <t>Paid Search</t>
        </is>
      </c>
      <c r="F803" s="56" t="inlineStr">
        <is>
          <t>Mobile</t>
        </is>
      </c>
      <c r="G803" s="56" t="inlineStr">
        <is>
          <t>Switzerland</t>
        </is>
      </c>
      <c r="H803" s="56" t="n">
        <v>22</v>
      </c>
      <c r="I803" s="56" t="inlineStr">
        <is>
          <t>Purchases</t>
        </is>
      </c>
      <c r="J803" s="56" t="inlineStr">
        <is>
          <t>1-23 August 2025</t>
        </is>
      </c>
      <c r="K803" s="57" t="n">
        <v>1760</v>
      </c>
      <c r="L803" s="56" t="inlineStr">
        <is>
          <t>CR 1-23 August 2025 + Search→Booking 1-23 August 2025</t>
        </is>
      </c>
      <c r="M803" s="40">
        <f>IF(Countries!AR20="","STILL MISSING","Filled ✓")</f>
        <v/>
      </c>
    </row>
    <row r="804">
      <c r="A804" s="40" t="inlineStr">
        <is>
          <t>Countries</t>
        </is>
      </c>
      <c r="B804" s="40" t="inlineStr">
        <is>
          <t>Q20</t>
        </is>
      </c>
      <c r="C804" s="40" t="n">
        <v>20</v>
      </c>
      <c r="D804" s="40" t="inlineStr">
        <is>
          <t>All landing pages</t>
        </is>
      </c>
      <c r="E804" s="40" t="inlineStr">
        <is>
          <t>Paid Search</t>
        </is>
      </c>
      <c r="F804" s="40" t="inlineStr">
        <is>
          <t>Mobile</t>
        </is>
      </c>
      <c r="G804" s="40" t="inlineStr">
        <is>
          <t>Switzerland</t>
        </is>
      </c>
      <c r="H804" s="40" t="n">
        <v>22</v>
      </c>
      <c r="I804" s="40" t="inlineStr">
        <is>
          <t>Searches</t>
        </is>
      </c>
      <c r="J804" s="40" t="inlineStr">
        <is>
          <t>1-23 August 2026</t>
        </is>
      </c>
      <c r="K804" s="55" t="n">
        <v>1760</v>
      </c>
      <c r="L804" s="40" t="inlineStr">
        <is>
          <t>Searches YoY</t>
        </is>
      </c>
      <c r="M804" s="40">
        <f>IF(Countries!Q20="","STILL MISSING","Filled ✓")</f>
        <v/>
      </c>
    </row>
    <row r="805">
      <c r="A805" s="56" t="inlineStr">
        <is>
          <t>Countries</t>
        </is>
      </c>
      <c r="B805" s="56" t="inlineStr">
        <is>
          <t>W20</t>
        </is>
      </c>
      <c r="C805" s="56" t="n">
        <v>20</v>
      </c>
      <c r="D805" s="56" t="inlineStr">
        <is>
          <t>All landing pages</t>
        </is>
      </c>
      <c r="E805" s="56" t="inlineStr">
        <is>
          <t>Paid Search</t>
        </is>
      </c>
      <c r="F805" s="56" t="inlineStr">
        <is>
          <t>Mobile</t>
        </is>
      </c>
      <c r="G805" s="56" t="inlineStr">
        <is>
          <t>Switzerland</t>
        </is>
      </c>
      <c r="H805" s="56" t="n">
        <v>22</v>
      </c>
      <c r="I805" s="56" t="inlineStr">
        <is>
          <t>Select item</t>
        </is>
      </c>
      <c r="J805" s="56" t="inlineStr">
        <is>
          <t>1-23 August 2025</t>
        </is>
      </c>
      <c r="K805" s="57" t="n">
        <v>1760</v>
      </c>
      <c r="L805" s="56" t="inlineStr">
        <is>
          <t>Search→Select 1-23 August 2025</t>
        </is>
      </c>
      <c r="M805" s="40">
        <f>IF(Countries!W20="","STILL MISSING","Filled ✓")</f>
        <v/>
      </c>
    </row>
    <row r="806">
      <c r="A806" s="40" t="inlineStr">
        <is>
          <t>Countries</t>
        </is>
      </c>
      <c r="B806" s="40" t="inlineStr">
        <is>
          <t>F20</t>
        </is>
      </c>
      <c r="C806" s="40" t="n">
        <v>20</v>
      </c>
      <c r="D806" s="40" t="inlineStr">
        <is>
          <t>All landing pages</t>
        </is>
      </c>
      <c r="E806" s="40" t="inlineStr">
        <is>
          <t>Paid Search</t>
        </is>
      </c>
      <c r="F806" s="40" t="inlineStr">
        <is>
          <t>Mobile</t>
        </is>
      </c>
      <c r="G806" s="40" t="inlineStr">
        <is>
          <t>Switzerland</t>
        </is>
      </c>
      <c r="H806" s="40" t="n">
        <v>22</v>
      </c>
      <c r="I806" s="40" t="inlineStr">
        <is>
          <t>Sessions</t>
        </is>
      </c>
      <c r="J806" s="40" t="inlineStr">
        <is>
          <t>1-23 August 2026</t>
        </is>
      </c>
      <c r="K806" s="55" t="n">
        <v>1760</v>
      </c>
      <c r="L806" s="40" t="inlineStr">
        <is>
          <t>Sessions YoY</t>
        </is>
      </c>
      <c r="M806" s="40">
        <f>IF(Countries!F20="","STILL MISSING","Filled ✓")</f>
        <v/>
      </c>
    </row>
    <row r="807">
      <c r="A807" s="56" t="inlineStr">
        <is>
          <t>Countries</t>
        </is>
      </c>
      <c r="B807" s="56" t="inlineStr">
        <is>
          <t>I20</t>
        </is>
      </c>
      <c r="C807" s="56" t="n">
        <v>20</v>
      </c>
      <c r="D807" s="56" t="inlineStr">
        <is>
          <t>All landing pages</t>
        </is>
      </c>
      <c r="E807" s="56" t="inlineStr">
        <is>
          <t>Paid Search</t>
        </is>
      </c>
      <c r="F807" s="56" t="inlineStr">
        <is>
          <t>Mobile</t>
        </is>
      </c>
      <c r="G807" s="56" t="inlineStr">
        <is>
          <t>Switzerland</t>
        </is>
      </c>
      <c r="H807" s="56" t="n">
        <v>22</v>
      </c>
      <c r="I807" s="56" t="inlineStr">
        <is>
          <t>Start Search</t>
        </is>
      </c>
      <c r="J807" s="56" t="inlineStr">
        <is>
          <t>1-23 August 2025</t>
        </is>
      </c>
      <c r="K807" s="57" t="n">
        <v>1760</v>
      </c>
      <c r="L807" s="56" t="inlineStr">
        <is>
          <t>Visit→Engagement 1-23 August 2025</t>
        </is>
      </c>
      <c r="M807" s="40">
        <f>IF(Countries!I20="","STILL MISSING","Filled ✓")</f>
        <v/>
      </c>
    </row>
    <row r="808">
      <c r="A808" s="40" t="inlineStr">
        <is>
          <t>Countries</t>
        </is>
      </c>
      <c r="B808" s="40" t="inlineStr">
        <is>
          <t>AS71</t>
        </is>
      </c>
      <c r="C808" s="40" t="n">
        <v>71</v>
      </c>
      <c r="D808" s="40" t="inlineStr">
        <is>
          <t>All landing pages</t>
        </is>
      </c>
      <c r="E808" s="40" t="inlineStr">
        <is>
          <t>Organic</t>
        </is>
      </c>
      <c r="F808" s="40" t="inlineStr">
        <is>
          <t>Desktop</t>
        </is>
      </c>
      <c r="G808" s="40" t="inlineStr">
        <is>
          <t>Switzerland</t>
        </is>
      </c>
      <c r="H808" s="40" t="n">
        <v>22</v>
      </c>
      <c r="I808" s="40" t="inlineStr">
        <is>
          <t>Purchases</t>
        </is>
      </c>
      <c r="J808" s="40" t="inlineStr">
        <is>
          <t>1-23 August 2026</t>
        </is>
      </c>
      <c r="K808" s="55" t="n">
        <v>223</v>
      </c>
      <c r="L808" s="40" t="inlineStr">
        <is>
          <t>Search→Booking 1-23 August 2026</t>
        </is>
      </c>
      <c r="M808" s="40">
        <f>IF(Countries!AS71="","STILL MISSING","Filled ✓")</f>
        <v/>
      </c>
    </row>
    <row r="809">
      <c r="A809" s="56" t="inlineStr">
        <is>
          <t>Countries</t>
        </is>
      </c>
      <c r="B809" s="56" t="inlineStr">
        <is>
          <t>P71</t>
        </is>
      </c>
      <c r="C809" s="56" t="n">
        <v>71</v>
      </c>
      <c r="D809" s="56" t="inlineStr">
        <is>
          <t>All landing pages</t>
        </is>
      </c>
      <c r="E809" s="56" t="inlineStr">
        <is>
          <t>Organic</t>
        </is>
      </c>
      <c r="F809" s="56" t="inlineStr">
        <is>
          <t>Desktop</t>
        </is>
      </c>
      <c r="G809" s="56" t="inlineStr">
        <is>
          <t>Switzerland</t>
        </is>
      </c>
      <c r="H809" s="56" t="n">
        <v>22</v>
      </c>
      <c r="I809" s="56" t="inlineStr">
        <is>
          <t>Searches</t>
        </is>
      </c>
      <c r="J809" s="56" t="inlineStr">
        <is>
          <t>1-23 August 2025</t>
        </is>
      </c>
      <c r="K809" s="57" t="n">
        <v>223</v>
      </c>
      <c r="L809" s="56" t="inlineStr">
        <is>
          <t>Searches YoY</t>
        </is>
      </c>
      <c r="M809" s="40">
        <f>IF(Countries!P71="","STILL MISSING","Filled ✓")</f>
        <v/>
      </c>
    </row>
    <row r="810">
      <c r="A810" s="40" t="inlineStr">
        <is>
          <t>Countries</t>
        </is>
      </c>
      <c r="B810" s="40" t="inlineStr">
        <is>
          <t>X71</t>
        </is>
      </c>
      <c r="C810" s="40" t="n">
        <v>71</v>
      </c>
      <c r="D810" s="40" t="inlineStr">
        <is>
          <t>All landing pages</t>
        </is>
      </c>
      <c r="E810" s="40" t="inlineStr">
        <is>
          <t>Organic</t>
        </is>
      </c>
      <c r="F810" s="40" t="inlineStr">
        <is>
          <t>Desktop</t>
        </is>
      </c>
      <c r="G810" s="40" t="inlineStr">
        <is>
          <t>Switzerland</t>
        </is>
      </c>
      <c r="H810" s="40" t="n">
        <v>22</v>
      </c>
      <c r="I810" s="40" t="inlineStr">
        <is>
          <t>Select item</t>
        </is>
      </c>
      <c r="J810" s="40" t="inlineStr">
        <is>
          <t>1-23 August 2026</t>
        </is>
      </c>
      <c r="K810" s="55" t="n">
        <v>223</v>
      </c>
      <c r="L810" s="40" t="inlineStr">
        <is>
          <t>Search→Select 1-23 August 2026</t>
        </is>
      </c>
      <c r="M810" s="40">
        <f>IF(Countries!X71="","STILL MISSING","Filled ✓")</f>
        <v/>
      </c>
    </row>
    <row r="811">
      <c r="A811" s="56" t="inlineStr">
        <is>
          <t>Countries</t>
        </is>
      </c>
      <c r="B811" s="56" t="inlineStr">
        <is>
          <t>F71</t>
        </is>
      </c>
      <c r="C811" s="56" t="n">
        <v>71</v>
      </c>
      <c r="D811" s="56" t="inlineStr">
        <is>
          <t>All landing pages</t>
        </is>
      </c>
      <c r="E811" s="56" t="inlineStr">
        <is>
          <t>Organic</t>
        </is>
      </c>
      <c r="F811" s="56" t="inlineStr">
        <is>
          <t>Desktop</t>
        </is>
      </c>
      <c r="G811" s="56" t="inlineStr">
        <is>
          <t>Switzerland</t>
        </is>
      </c>
      <c r="H811" s="56" t="n">
        <v>22</v>
      </c>
      <c r="I811" s="56" t="inlineStr">
        <is>
          <t>Sessions</t>
        </is>
      </c>
      <c r="J811" s="56" t="inlineStr">
        <is>
          <t>1-23 August 2026</t>
        </is>
      </c>
      <c r="K811" s="57" t="n">
        <v>223</v>
      </c>
      <c r="L811" s="56" t="inlineStr">
        <is>
          <t>Visit→Search 1-23 August 2026</t>
        </is>
      </c>
      <c r="M811" s="40">
        <f>IF(Countries!F71="","STILL MISSING","Filled ✓")</f>
        <v/>
      </c>
    </row>
    <row r="812">
      <c r="A812" s="40" t="inlineStr">
        <is>
          <t>Countries</t>
        </is>
      </c>
      <c r="B812" s="40" t="inlineStr">
        <is>
          <t>AR108</t>
        </is>
      </c>
      <c r="C812" s="40" t="n">
        <v>108</v>
      </c>
      <c r="D812" s="40" t="inlineStr">
        <is>
          <t>All landing pages</t>
        </is>
      </c>
      <c r="E812" s="40" t="inlineStr">
        <is>
          <t>Direct</t>
        </is>
      </c>
      <c r="F812" s="40" t="inlineStr">
        <is>
          <t>Desktop</t>
        </is>
      </c>
      <c r="G812" s="40" t="inlineStr">
        <is>
          <t>Switzerland</t>
        </is>
      </c>
      <c r="H812" s="40" t="n">
        <v>22</v>
      </c>
      <c r="I812" s="40" t="inlineStr">
        <is>
          <t>Purchases</t>
        </is>
      </c>
      <c r="J812" s="40" t="inlineStr">
        <is>
          <t>1-23 August 2025</t>
        </is>
      </c>
      <c r="K812" s="55" t="n">
        <v>226</v>
      </c>
      <c r="L812" s="40" t="inlineStr">
        <is>
          <t>CR 1-23 August 2025 + Search→Booking 1-23 August 2025</t>
        </is>
      </c>
      <c r="M812" s="40">
        <f>IF(Countries!AR108="","STILL MISSING","Filled ✓")</f>
        <v/>
      </c>
    </row>
    <row r="813">
      <c r="A813" s="56" t="inlineStr">
        <is>
          <t>Countries</t>
        </is>
      </c>
      <c r="B813" s="56" t="inlineStr">
        <is>
          <t>Q108</t>
        </is>
      </c>
      <c r="C813" s="56" t="n">
        <v>108</v>
      </c>
      <c r="D813" s="56" t="inlineStr">
        <is>
          <t>All landing pages</t>
        </is>
      </c>
      <c r="E813" s="56" t="inlineStr">
        <is>
          <t>Direct</t>
        </is>
      </c>
      <c r="F813" s="56" t="inlineStr">
        <is>
          <t>Desktop</t>
        </is>
      </c>
      <c r="G813" s="56" t="inlineStr">
        <is>
          <t>Switzerland</t>
        </is>
      </c>
      <c r="H813" s="56" t="n">
        <v>22</v>
      </c>
      <c r="I813" s="56" t="inlineStr">
        <is>
          <t>Searches</t>
        </is>
      </c>
      <c r="J813" s="56" t="inlineStr">
        <is>
          <t>1-23 August 2026</t>
        </is>
      </c>
      <c r="K813" s="57" t="n">
        <v>226</v>
      </c>
      <c r="L813" s="56" t="inlineStr">
        <is>
          <t>Searches YoY</t>
        </is>
      </c>
      <c r="M813" s="40">
        <f>IF(Countries!Q108="","STILL MISSING","Filled ✓")</f>
        <v/>
      </c>
    </row>
    <row r="814">
      <c r="A814" s="40" t="inlineStr">
        <is>
          <t>Countries</t>
        </is>
      </c>
      <c r="B814" s="40" t="inlineStr">
        <is>
          <t>W108</t>
        </is>
      </c>
      <c r="C814" s="40" t="n">
        <v>108</v>
      </c>
      <c r="D814" s="40" t="inlineStr">
        <is>
          <t>All landing pages</t>
        </is>
      </c>
      <c r="E814" s="40" t="inlineStr">
        <is>
          <t>Direct</t>
        </is>
      </c>
      <c r="F814" s="40" t="inlineStr">
        <is>
          <t>Desktop</t>
        </is>
      </c>
      <c r="G814" s="40" t="inlineStr">
        <is>
          <t>Switzerland</t>
        </is>
      </c>
      <c r="H814" s="40" t="n">
        <v>22</v>
      </c>
      <c r="I814" s="40" t="inlineStr">
        <is>
          <t>Select item</t>
        </is>
      </c>
      <c r="J814" s="40" t="inlineStr">
        <is>
          <t>1-23 August 2025</t>
        </is>
      </c>
      <c r="K814" s="55" t="n">
        <v>226</v>
      </c>
      <c r="L814" s="40" t="inlineStr">
        <is>
          <t>Search→Select 1-23 August 2025</t>
        </is>
      </c>
      <c r="M814" s="40">
        <f>IF(Countries!W108="","STILL MISSING","Filled ✓")</f>
        <v/>
      </c>
    </row>
    <row r="815">
      <c r="A815" s="56" t="inlineStr">
        <is>
          <t>Countries</t>
        </is>
      </c>
      <c r="B815" s="56" t="inlineStr">
        <is>
          <t>F108</t>
        </is>
      </c>
      <c r="C815" s="56" t="n">
        <v>108</v>
      </c>
      <c r="D815" s="56" t="inlineStr">
        <is>
          <t>All landing pages</t>
        </is>
      </c>
      <c r="E815" s="56" t="inlineStr">
        <is>
          <t>Direct</t>
        </is>
      </c>
      <c r="F815" s="56" t="inlineStr">
        <is>
          <t>Desktop</t>
        </is>
      </c>
      <c r="G815" s="56" t="inlineStr">
        <is>
          <t>Switzerland</t>
        </is>
      </c>
      <c r="H815" s="56" t="n">
        <v>22</v>
      </c>
      <c r="I815" s="56" t="inlineStr">
        <is>
          <t>Sessions</t>
        </is>
      </c>
      <c r="J815" s="56" t="inlineStr">
        <is>
          <t>1-23 August 2026</t>
        </is>
      </c>
      <c r="K815" s="57" t="n">
        <v>226</v>
      </c>
      <c r="L815" s="56" t="inlineStr">
        <is>
          <t>Sessions YoY</t>
        </is>
      </c>
      <c r="M815" s="40">
        <f>IF(Countries!F108="","STILL MISSING","Filled ✓")</f>
        <v/>
      </c>
    </row>
    <row r="816">
      <c r="A816" s="40" t="inlineStr">
        <is>
          <t>Countries</t>
        </is>
      </c>
      <c r="B816" s="40" t="inlineStr">
        <is>
          <t>I108</t>
        </is>
      </c>
      <c r="C816" s="40" t="n">
        <v>108</v>
      </c>
      <c r="D816" s="40" t="inlineStr">
        <is>
          <t>All landing pages</t>
        </is>
      </c>
      <c r="E816" s="40" t="inlineStr">
        <is>
          <t>Direct</t>
        </is>
      </c>
      <c r="F816" s="40" t="inlineStr">
        <is>
          <t>Desktop</t>
        </is>
      </c>
      <c r="G816" s="40" t="inlineStr">
        <is>
          <t>Switzerland</t>
        </is>
      </c>
      <c r="H816" s="40" t="n">
        <v>22</v>
      </c>
      <c r="I816" s="40" t="inlineStr">
        <is>
          <t>Start Search</t>
        </is>
      </c>
      <c r="J816" s="40" t="inlineStr">
        <is>
          <t>1-23 August 2025</t>
        </is>
      </c>
      <c r="K816" s="55" t="n">
        <v>226</v>
      </c>
      <c r="L816" s="40" t="inlineStr">
        <is>
          <t>Visit→Engagement 1-23 August 2025</t>
        </is>
      </c>
      <c r="M816" s="40">
        <f>IF(Countries!I108="","STILL MISSING","Filled ✓")</f>
        <v/>
      </c>
    </row>
    <row r="817">
      <c r="A817" s="56" t="inlineStr">
        <is>
          <t>Countries</t>
        </is>
      </c>
      <c r="B817" s="56" t="inlineStr">
        <is>
          <t>AS86</t>
        </is>
      </c>
      <c r="C817" s="56" t="n">
        <v>86</v>
      </c>
      <c r="D817" s="56" t="inlineStr">
        <is>
          <t>All landing pages</t>
        </is>
      </c>
      <c r="E817" s="56" t="inlineStr">
        <is>
          <t>Direct</t>
        </is>
      </c>
      <c r="F817" s="56" t="inlineStr">
        <is>
          <t>Mobile</t>
        </is>
      </c>
      <c r="G817" s="56" t="inlineStr">
        <is>
          <t>Switzerland</t>
        </is>
      </c>
      <c r="H817" s="56" t="n">
        <v>22</v>
      </c>
      <c r="I817" s="56" t="inlineStr">
        <is>
          <t>Purchases</t>
        </is>
      </c>
      <c r="J817" s="56" t="inlineStr">
        <is>
          <t>1-23 August 2026</t>
        </is>
      </c>
      <c r="K817" s="57" t="n">
        <v>216</v>
      </c>
      <c r="L817" s="56" t="inlineStr">
        <is>
          <t>CR 1-23 August 2026</t>
        </is>
      </c>
      <c r="M817" s="40">
        <f>IF(Countries!AS86="","STILL MISSING","Filled ✓")</f>
        <v/>
      </c>
    </row>
    <row r="818">
      <c r="A818" s="40" t="inlineStr">
        <is>
          <t>Countries</t>
        </is>
      </c>
      <c r="B818" s="40" t="inlineStr">
        <is>
          <t>Q86</t>
        </is>
      </c>
      <c r="C818" s="40" t="n">
        <v>86</v>
      </c>
      <c r="D818" s="40" t="inlineStr">
        <is>
          <t>All landing pages</t>
        </is>
      </c>
      <c r="E818" s="40" t="inlineStr">
        <is>
          <t>Direct</t>
        </is>
      </c>
      <c r="F818" s="40" t="inlineStr">
        <is>
          <t>Mobile</t>
        </is>
      </c>
      <c r="G818" s="40" t="inlineStr">
        <is>
          <t>Switzerland</t>
        </is>
      </c>
      <c r="H818" s="40" t="n">
        <v>22</v>
      </c>
      <c r="I818" s="40" t="inlineStr">
        <is>
          <t>Searches</t>
        </is>
      </c>
      <c r="J818" s="40" t="inlineStr">
        <is>
          <t>1-23 August 2026</t>
        </is>
      </c>
      <c r="K818" s="55" t="n">
        <v>216</v>
      </c>
      <c r="L818" s="40" t="inlineStr">
        <is>
          <t>Visit→Search 1-23 August 2026</t>
        </is>
      </c>
      <c r="M818" s="40">
        <f>IF(Countries!Q86="","STILL MISSING","Filled ✓")</f>
        <v/>
      </c>
    </row>
    <row r="819">
      <c r="A819" s="56" t="inlineStr">
        <is>
          <t>Countries</t>
        </is>
      </c>
      <c r="B819" s="56" t="inlineStr">
        <is>
          <t>E86</t>
        </is>
      </c>
      <c r="C819" s="56" t="n">
        <v>86</v>
      </c>
      <c r="D819" s="56" t="inlineStr">
        <is>
          <t>All landing pages</t>
        </is>
      </c>
      <c r="E819" s="56" t="inlineStr">
        <is>
          <t>Direct</t>
        </is>
      </c>
      <c r="F819" s="56" t="inlineStr">
        <is>
          <t>Mobile</t>
        </is>
      </c>
      <c r="G819" s="56" t="inlineStr">
        <is>
          <t>Switzerland</t>
        </is>
      </c>
      <c r="H819" s="56" t="n">
        <v>22</v>
      </c>
      <c r="I819" s="56" t="inlineStr">
        <is>
          <t>Sessions</t>
        </is>
      </c>
      <c r="J819" s="56" t="inlineStr">
        <is>
          <t>1-23 August 2025</t>
        </is>
      </c>
      <c r="K819" s="57" t="n">
        <v>216</v>
      </c>
      <c r="L819" s="56" t="inlineStr">
        <is>
          <t>Sessions YoY</t>
        </is>
      </c>
      <c r="M819" s="40">
        <f>IF(Countries!E86="","STILL MISSING","Filled ✓")</f>
        <v/>
      </c>
    </row>
    <row r="820">
      <c r="A820" s="40" t="inlineStr">
        <is>
          <t>Countries</t>
        </is>
      </c>
      <c r="B820" s="40" t="inlineStr">
        <is>
          <t>J86</t>
        </is>
      </c>
      <c r="C820" s="40" t="n">
        <v>86</v>
      </c>
      <c r="D820" s="40" t="inlineStr">
        <is>
          <t>All landing pages</t>
        </is>
      </c>
      <c r="E820" s="40" t="inlineStr">
        <is>
          <t>Direct</t>
        </is>
      </c>
      <c r="F820" s="40" t="inlineStr">
        <is>
          <t>Mobile</t>
        </is>
      </c>
      <c r="G820" s="40" t="inlineStr">
        <is>
          <t>Switzerland</t>
        </is>
      </c>
      <c r="H820" s="40" t="n">
        <v>22</v>
      </c>
      <c r="I820" s="40" t="inlineStr">
        <is>
          <t>Start Search</t>
        </is>
      </c>
      <c r="J820" s="40" t="inlineStr">
        <is>
          <t>1-23 August 2026</t>
        </is>
      </c>
      <c r="K820" s="55" t="n">
        <v>216</v>
      </c>
      <c r="L820" s="40" t="inlineStr">
        <is>
          <t>Visit→Engagement 1-23 August 2026</t>
        </is>
      </c>
      <c r="M820" s="40">
        <f>IF(Countries!J86="","STILL MISSING","Filled ✓")</f>
        <v/>
      </c>
    </row>
    <row r="821">
      <c r="A821" s="56" t="inlineStr">
        <is>
          <t>Countries</t>
        </is>
      </c>
      <c r="B821" s="56" t="inlineStr">
        <is>
          <t>AR145</t>
        </is>
      </c>
      <c r="C821" s="56" t="n">
        <v>145</v>
      </c>
      <c r="D821" s="56" t="inlineStr">
        <is>
          <t>Home page</t>
        </is>
      </c>
      <c r="E821" s="56" t="inlineStr">
        <is>
          <t>Paid Search</t>
        </is>
      </c>
      <c r="F821" s="56" t="inlineStr">
        <is>
          <t>Desktop</t>
        </is>
      </c>
      <c r="G821" s="56" t="inlineStr">
        <is>
          <t>Switzerland</t>
        </is>
      </c>
      <c r="H821" s="56" t="n">
        <v>22</v>
      </c>
      <c r="I821" s="56" t="inlineStr">
        <is>
          <t>Purchases</t>
        </is>
      </c>
      <c r="J821" s="56" t="inlineStr">
        <is>
          <t>1-23 August 2025</t>
        </is>
      </c>
      <c r="K821" s="57" t="n">
        <v>515</v>
      </c>
      <c r="L821" s="56" t="inlineStr">
        <is>
          <t>CR 1-23 August 2025 + Search→Booking 1-23 August 2025</t>
        </is>
      </c>
      <c r="M821" s="40">
        <f>IF(Countries!AR145="","STILL MISSING","Filled ✓")</f>
        <v/>
      </c>
    </row>
    <row r="822">
      <c r="A822" s="40" t="inlineStr">
        <is>
          <t>Countries</t>
        </is>
      </c>
      <c r="B822" s="40" t="inlineStr">
        <is>
          <t>AS145</t>
        </is>
      </c>
      <c r="C822" s="40" t="n">
        <v>145</v>
      </c>
      <c r="D822" s="40" t="inlineStr">
        <is>
          <t>Home page</t>
        </is>
      </c>
      <c r="E822" s="40" t="inlineStr">
        <is>
          <t>Paid Search</t>
        </is>
      </c>
      <c r="F822" s="40" t="inlineStr">
        <is>
          <t>Desktop</t>
        </is>
      </c>
      <c r="G822" s="40" t="inlineStr">
        <is>
          <t>Switzerland</t>
        </is>
      </c>
      <c r="H822" s="40" t="n">
        <v>22</v>
      </c>
      <c r="I822" s="40" t="inlineStr">
        <is>
          <t>Purchases</t>
        </is>
      </c>
      <c r="J822" s="40" t="inlineStr">
        <is>
          <t>1-23 August 2026</t>
        </is>
      </c>
      <c r="K822" s="55" t="n">
        <v>515</v>
      </c>
      <c r="L822" s="40" t="inlineStr">
        <is>
          <t>CR 1-23 August 2026 + Search→Booking 1-23 August 2026</t>
        </is>
      </c>
      <c r="M822" s="40">
        <f>IF(Countries!AS145="","STILL MISSING","Filled ✓")</f>
        <v/>
      </c>
    </row>
    <row r="823">
      <c r="A823" s="56" t="inlineStr">
        <is>
          <t>Countries</t>
        </is>
      </c>
      <c r="B823" s="56" t="inlineStr">
        <is>
          <t>W145</t>
        </is>
      </c>
      <c r="C823" s="56" t="n">
        <v>145</v>
      </c>
      <c r="D823" s="56" t="inlineStr">
        <is>
          <t>Home page</t>
        </is>
      </c>
      <c r="E823" s="56" t="inlineStr">
        <is>
          <t>Paid Search</t>
        </is>
      </c>
      <c r="F823" s="56" t="inlineStr">
        <is>
          <t>Desktop</t>
        </is>
      </c>
      <c r="G823" s="56" t="inlineStr">
        <is>
          <t>Switzerland</t>
        </is>
      </c>
      <c r="H823" s="56" t="n">
        <v>22</v>
      </c>
      <c r="I823" s="56" t="inlineStr">
        <is>
          <t>Select item</t>
        </is>
      </c>
      <c r="J823" s="56" t="inlineStr">
        <is>
          <t>1-23 August 2025</t>
        </is>
      </c>
      <c r="K823" s="57" t="n">
        <v>515</v>
      </c>
      <c r="L823" s="56" t="inlineStr">
        <is>
          <t>Search→Select 1-23 August 2025</t>
        </is>
      </c>
      <c r="M823" s="40">
        <f>IF(Countries!W145="","STILL MISSING","Filled ✓")</f>
        <v/>
      </c>
    </row>
    <row r="824">
      <c r="A824" s="40" t="inlineStr">
        <is>
          <t>Countries</t>
        </is>
      </c>
      <c r="B824" s="40" t="inlineStr">
        <is>
          <t>X145</t>
        </is>
      </c>
      <c r="C824" s="40" t="n">
        <v>145</v>
      </c>
      <c r="D824" s="40" t="inlineStr">
        <is>
          <t>Home page</t>
        </is>
      </c>
      <c r="E824" s="40" t="inlineStr">
        <is>
          <t>Paid Search</t>
        </is>
      </c>
      <c r="F824" s="40" t="inlineStr">
        <is>
          <t>Desktop</t>
        </is>
      </c>
      <c r="G824" s="40" t="inlineStr">
        <is>
          <t>Switzerland</t>
        </is>
      </c>
      <c r="H824" s="40" t="n">
        <v>22</v>
      </c>
      <c r="I824" s="40" t="inlineStr">
        <is>
          <t>Select item</t>
        </is>
      </c>
      <c r="J824" s="40" t="inlineStr">
        <is>
          <t>1-23 August 2026</t>
        </is>
      </c>
      <c r="K824" s="55" t="n">
        <v>515</v>
      </c>
      <c r="L824" s="40" t="inlineStr">
        <is>
          <t>Search→Select 1-23 August 2026</t>
        </is>
      </c>
      <c r="M824" s="40">
        <f>IF(Countries!X145="","STILL MISSING","Filled ✓")</f>
        <v/>
      </c>
    </row>
    <row r="825">
      <c r="A825" s="56" t="inlineStr">
        <is>
          <t>Countries</t>
        </is>
      </c>
      <c r="B825" s="56" t="inlineStr">
        <is>
          <t>I145</t>
        </is>
      </c>
      <c r="C825" s="56" t="n">
        <v>145</v>
      </c>
      <c r="D825" s="56" t="inlineStr">
        <is>
          <t>Home page</t>
        </is>
      </c>
      <c r="E825" s="56" t="inlineStr">
        <is>
          <t>Paid Search</t>
        </is>
      </c>
      <c r="F825" s="56" t="inlineStr">
        <is>
          <t>Desktop</t>
        </is>
      </c>
      <c r="G825" s="56" t="inlineStr">
        <is>
          <t>Switzerland</t>
        </is>
      </c>
      <c r="H825" s="56" t="n">
        <v>22</v>
      </c>
      <c r="I825" s="56" t="inlineStr">
        <is>
          <t>Start Search</t>
        </is>
      </c>
      <c r="J825" s="56" t="inlineStr">
        <is>
          <t>1-23 August 2025</t>
        </is>
      </c>
      <c r="K825" s="57" t="n">
        <v>515</v>
      </c>
      <c r="L825" s="56" t="inlineStr">
        <is>
          <t>Visit→Engagement 1-23 August 2025</t>
        </is>
      </c>
      <c r="M825" s="40">
        <f>IF(Countries!I145="","STILL MISSING","Filled ✓")</f>
        <v/>
      </c>
    </row>
    <row r="826">
      <c r="A826" s="40" t="inlineStr">
        <is>
          <t>Countries</t>
        </is>
      </c>
      <c r="B826" s="40" t="inlineStr">
        <is>
          <t>J145</t>
        </is>
      </c>
      <c r="C826" s="40" t="n">
        <v>145</v>
      </c>
      <c r="D826" s="40" t="inlineStr">
        <is>
          <t>Home page</t>
        </is>
      </c>
      <c r="E826" s="40" t="inlineStr">
        <is>
          <t>Paid Search</t>
        </is>
      </c>
      <c r="F826" s="40" t="inlineStr">
        <is>
          <t>Desktop</t>
        </is>
      </c>
      <c r="G826" s="40" t="inlineStr">
        <is>
          <t>Switzerland</t>
        </is>
      </c>
      <c r="H826" s="40" t="n">
        <v>22</v>
      </c>
      <c r="I826" s="40" t="inlineStr">
        <is>
          <t>Start Search</t>
        </is>
      </c>
      <c r="J826" s="40" t="inlineStr">
        <is>
          <t>1-23 August 2026</t>
        </is>
      </c>
      <c r="K826" s="55" t="n">
        <v>515</v>
      </c>
      <c r="L826" s="40" t="inlineStr">
        <is>
          <t>Visit→Engagement 1-23 August 2026</t>
        </is>
      </c>
      <c r="M826" s="40">
        <f>IF(Countries!J145="","STILL MISSING","Filled ✓")</f>
        <v/>
      </c>
    </row>
    <row r="827">
      <c r="A827" s="56" t="inlineStr">
        <is>
          <t>Countries</t>
        </is>
      </c>
      <c r="B827" s="56" t="inlineStr">
        <is>
          <t>AR128</t>
        </is>
      </c>
      <c r="C827" s="56" t="n">
        <v>128</v>
      </c>
      <c r="D827" s="56" t="inlineStr">
        <is>
          <t>Home page</t>
        </is>
      </c>
      <c r="E827" s="56" t="inlineStr">
        <is>
          <t>Paid Search</t>
        </is>
      </c>
      <c r="F827" s="56" t="inlineStr">
        <is>
          <t>Mobile</t>
        </is>
      </c>
      <c r="G827" s="56" t="inlineStr">
        <is>
          <t>Switzerland</t>
        </is>
      </c>
      <c r="H827" s="56" t="n">
        <v>22</v>
      </c>
      <c r="I827" s="56" t="inlineStr">
        <is>
          <t>Purchases</t>
        </is>
      </c>
      <c r="J827" s="56" t="inlineStr">
        <is>
          <t>1-23 August 2025</t>
        </is>
      </c>
      <c r="K827" s="57" t="n">
        <v>559</v>
      </c>
      <c r="L827" s="56" t="inlineStr">
        <is>
          <t>CR 1-23 August 2025 + Search→Booking 1-23 August 2025</t>
        </is>
      </c>
      <c r="M827" s="40">
        <f>IF(Countries!AR128="","STILL MISSING","Filled ✓")</f>
        <v/>
      </c>
    </row>
    <row r="828">
      <c r="A828" s="40" t="inlineStr">
        <is>
          <t>Countries</t>
        </is>
      </c>
      <c r="B828" s="40" t="inlineStr">
        <is>
          <t>Q128</t>
        </is>
      </c>
      <c r="C828" s="40" t="n">
        <v>128</v>
      </c>
      <c r="D828" s="40" t="inlineStr">
        <is>
          <t>Home page</t>
        </is>
      </c>
      <c r="E828" s="40" t="inlineStr">
        <is>
          <t>Paid Search</t>
        </is>
      </c>
      <c r="F828" s="40" t="inlineStr">
        <is>
          <t>Mobile</t>
        </is>
      </c>
      <c r="G828" s="40" t="inlineStr">
        <is>
          <t>Switzerland</t>
        </is>
      </c>
      <c r="H828" s="40" t="n">
        <v>22</v>
      </c>
      <c r="I828" s="40" t="inlineStr">
        <is>
          <t>Searches</t>
        </is>
      </c>
      <c r="J828" s="40" t="inlineStr">
        <is>
          <t>1-23 August 2026</t>
        </is>
      </c>
      <c r="K828" s="55" t="n">
        <v>559</v>
      </c>
      <c r="L828" s="40" t="inlineStr">
        <is>
          <t>Searches YoY</t>
        </is>
      </c>
      <c r="M828" s="40">
        <f>IF(Countries!Q128="","STILL MISSING","Filled ✓")</f>
        <v/>
      </c>
    </row>
    <row r="829">
      <c r="A829" s="56" t="inlineStr">
        <is>
          <t>Countries</t>
        </is>
      </c>
      <c r="B829" s="56" t="inlineStr">
        <is>
          <t>W128</t>
        </is>
      </c>
      <c r="C829" s="56" t="n">
        <v>128</v>
      </c>
      <c r="D829" s="56" t="inlineStr">
        <is>
          <t>Home page</t>
        </is>
      </c>
      <c r="E829" s="56" t="inlineStr">
        <is>
          <t>Paid Search</t>
        </is>
      </c>
      <c r="F829" s="56" t="inlineStr">
        <is>
          <t>Mobile</t>
        </is>
      </c>
      <c r="G829" s="56" t="inlineStr">
        <is>
          <t>Switzerland</t>
        </is>
      </c>
      <c r="H829" s="56" t="n">
        <v>22</v>
      </c>
      <c r="I829" s="56" t="inlineStr">
        <is>
          <t>Select item</t>
        </is>
      </c>
      <c r="J829" s="56" t="inlineStr">
        <is>
          <t>1-23 August 2025</t>
        </is>
      </c>
      <c r="K829" s="57" t="n">
        <v>559</v>
      </c>
      <c r="L829" s="56" t="inlineStr">
        <is>
          <t>Search→Select 1-23 August 2025</t>
        </is>
      </c>
      <c r="M829" s="40">
        <f>IF(Countries!W128="","STILL MISSING","Filled ✓")</f>
        <v/>
      </c>
    </row>
    <row r="830">
      <c r="A830" s="40" t="inlineStr">
        <is>
          <t>Countries</t>
        </is>
      </c>
      <c r="B830" s="40" t="inlineStr">
        <is>
          <t>F128</t>
        </is>
      </c>
      <c r="C830" s="40" t="n">
        <v>128</v>
      </c>
      <c r="D830" s="40" t="inlineStr">
        <is>
          <t>Home page</t>
        </is>
      </c>
      <c r="E830" s="40" t="inlineStr">
        <is>
          <t>Paid Search</t>
        </is>
      </c>
      <c r="F830" s="40" t="inlineStr">
        <is>
          <t>Mobile</t>
        </is>
      </c>
      <c r="G830" s="40" t="inlineStr">
        <is>
          <t>Switzerland</t>
        </is>
      </c>
      <c r="H830" s="40" t="n">
        <v>22</v>
      </c>
      <c r="I830" s="40" t="inlineStr">
        <is>
          <t>Sessions</t>
        </is>
      </c>
      <c r="J830" s="40" t="inlineStr">
        <is>
          <t>1-23 August 2026</t>
        </is>
      </c>
      <c r="K830" s="55" t="n">
        <v>559</v>
      </c>
      <c r="L830" s="40" t="inlineStr">
        <is>
          <t>Sessions YoY</t>
        </is>
      </c>
      <c r="M830" s="40">
        <f>IF(Countries!F128="","STILL MISSING","Filled ✓")</f>
        <v/>
      </c>
    </row>
    <row r="831">
      <c r="A831" s="56" t="inlineStr">
        <is>
          <t>Countries</t>
        </is>
      </c>
      <c r="B831" s="56" t="inlineStr">
        <is>
          <t>I128</t>
        </is>
      </c>
      <c r="C831" s="56" t="n">
        <v>128</v>
      </c>
      <c r="D831" s="56" t="inlineStr">
        <is>
          <t>Home page</t>
        </is>
      </c>
      <c r="E831" s="56" t="inlineStr">
        <is>
          <t>Paid Search</t>
        </is>
      </c>
      <c r="F831" s="56" t="inlineStr">
        <is>
          <t>Mobile</t>
        </is>
      </c>
      <c r="G831" s="56" t="inlineStr">
        <is>
          <t>Switzerland</t>
        </is>
      </c>
      <c r="H831" s="56" t="n">
        <v>22</v>
      </c>
      <c r="I831" s="56" t="inlineStr">
        <is>
          <t>Start Search</t>
        </is>
      </c>
      <c r="J831" s="56" t="inlineStr">
        <is>
          <t>1-23 August 2025</t>
        </is>
      </c>
      <c r="K831" s="57" t="n">
        <v>559</v>
      </c>
      <c r="L831" s="56" t="inlineStr">
        <is>
          <t>Visit→Engagement 1-23 August 2025</t>
        </is>
      </c>
      <c r="M831" s="40">
        <f>IF(Countries!I128="","STILL MISSING","Filled ✓")</f>
        <v/>
      </c>
    </row>
    <row r="832">
      <c r="A832" s="40" t="inlineStr">
        <is>
          <t>Countries</t>
        </is>
      </c>
      <c r="B832" s="40" t="inlineStr">
        <is>
          <t>AR177</t>
        </is>
      </c>
      <c r="C832" s="40" t="n">
        <v>177</v>
      </c>
      <c r="D832" s="40" t="inlineStr">
        <is>
          <t>Home page</t>
        </is>
      </c>
      <c r="E832" s="40" t="inlineStr">
        <is>
          <t>Organic</t>
        </is>
      </c>
      <c r="F832" s="40" t="inlineStr">
        <is>
          <t>Desktop</t>
        </is>
      </c>
      <c r="G832" s="40" t="inlineStr">
        <is>
          <t>Switzerland</t>
        </is>
      </c>
      <c r="H832" s="40" t="n">
        <v>22</v>
      </c>
      <c r="I832" s="40" t="inlineStr">
        <is>
          <t>Purchases</t>
        </is>
      </c>
      <c r="J832" s="40" t="inlineStr">
        <is>
          <t>1-23 August 2025</t>
        </is>
      </c>
      <c r="K832" s="55" t="n">
        <v>88</v>
      </c>
      <c r="L832" s="40" t="inlineStr">
        <is>
          <t>CR 1-23 August 2025 + Search→Booking 1-23 August 2025</t>
        </is>
      </c>
      <c r="M832" s="40">
        <f>IF(Countries!AR177="","STILL MISSING","Filled ✓")</f>
        <v/>
      </c>
    </row>
    <row r="833">
      <c r="A833" s="56" t="inlineStr">
        <is>
          <t>Countries</t>
        </is>
      </c>
      <c r="B833" s="56" t="inlineStr">
        <is>
          <t>AS177</t>
        </is>
      </c>
      <c r="C833" s="56" t="n">
        <v>177</v>
      </c>
      <c r="D833" s="56" t="inlineStr">
        <is>
          <t>Home page</t>
        </is>
      </c>
      <c r="E833" s="56" t="inlineStr">
        <is>
          <t>Organic</t>
        </is>
      </c>
      <c r="F833" s="56" t="inlineStr">
        <is>
          <t>Desktop</t>
        </is>
      </c>
      <c r="G833" s="56" t="inlineStr">
        <is>
          <t>Switzerland</t>
        </is>
      </c>
      <c r="H833" s="56" t="n">
        <v>22</v>
      </c>
      <c r="I833" s="56" t="inlineStr">
        <is>
          <t>Purchases</t>
        </is>
      </c>
      <c r="J833" s="56" t="inlineStr">
        <is>
          <t>1-23 August 2026</t>
        </is>
      </c>
      <c r="K833" s="57" t="n">
        <v>88</v>
      </c>
      <c r="L833" s="56" t="inlineStr">
        <is>
          <t>CR 1-23 August 2026 + Search→Booking 1-23 August 2026</t>
        </is>
      </c>
      <c r="M833" s="40">
        <f>IF(Countries!AS177="","STILL MISSING","Filled ✓")</f>
        <v/>
      </c>
    </row>
    <row r="834">
      <c r="A834" s="40" t="inlineStr">
        <is>
          <t>Countries</t>
        </is>
      </c>
      <c r="B834" s="40" t="inlineStr">
        <is>
          <t>W177</t>
        </is>
      </c>
      <c r="C834" s="40" t="n">
        <v>177</v>
      </c>
      <c r="D834" s="40" t="inlineStr">
        <is>
          <t>Home page</t>
        </is>
      </c>
      <c r="E834" s="40" t="inlineStr">
        <is>
          <t>Organic</t>
        </is>
      </c>
      <c r="F834" s="40" t="inlineStr">
        <is>
          <t>Desktop</t>
        </is>
      </c>
      <c r="G834" s="40" t="inlineStr">
        <is>
          <t>Switzerland</t>
        </is>
      </c>
      <c r="H834" s="40" t="n">
        <v>22</v>
      </c>
      <c r="I834" s="40" t="inlineStr">
        <is>
          <t>Select item</t>
        </is>
      </c>
      <c r="J834" s="40" t="inlineStr">
        <is>
          <t>1-23 August 2025</t>
        </is>
      </c>
      <c r="K834" s="55" t="n">
        <v>88</v>
      </c>
      <c r="L834" s="40" t="inlineStr">
        <is>
          <t>Search→Select 1-23 August 2025</t>
        </is>
      </c>
      <c r="M834" s="40">
        <f>IF(Countries!W177="","STILL MISSING","Filled ✓")</f>
        <v/>
      </c>
    </row>
    <row r="835">
      <c r="A835" s="56" t="inlineStr">
        <is>
          <t>Countries</t>
        </is>
      </c>
      <c r="B835" s="56" t="inlineStr">
        <is>
          <t>X177</t>
        </is>
      </c>
      <c r="C835" s="56" t="n">
        <v>177</v>
      </c>
      <c r="D835" s="56" t="inlineStr">
        <is>
          <t>Home page</t>
        </is>
      </c>
      <c r="E835" s="56" t="inlineStr">
        <is>
          <t>Organic</t>
        </is>
      </c>
      <c r="F835" s="56" t="inlineStr">
        <is>
          <t>Desktop</t>
        </is>
      </c>
      <c r="G835" s="56" t="inlineStr">
        <is>
          <t>Switzerland</t>
        </is>
      </c>
      <c r="H835" s="56" t="n">
        <v>22</v>
      </c>
      <c r="I835" s="56" t="inlineStr">
        <is>
          <t>Select item</t>
        </is>
      </c>
      <c r="J835" s="56" t="inlineStr">
        <is>
          <t>1-23 August 2026</t>
        </is>
      </c>
      <c r="K835" s="57" t="n">
        <v>88</v>
      </c>
      <c r="L835" s="56" t="inlineStr">
        <is>
          <t>Search→Select 1-23 August 2026</t>
        </is>
      </c>
      <c r="M835" s="40">
        <f>IF(Countries!X177="","STILL MISSING","Filled ✓")</f>
        <v/>
      </c>
    </row>
    <row r="836">
      <c r="A836" s="40" t="inlineStr">
        <is>
          <t>Countries</t>
        </is>
      </c>
      <c r="B836" s="40" t="inlineStr">
        <is>
          <t>I177</t>
        </is>
      </c>
      <c r="C836" s="40" t="n">
        <v>177</v>
      </c>
      <c r="D836" s="40" t="inlineStr">
        <is>
          <t>Home page</t>
        </is>
      </c>
      <c r="E836" s="40" t="inlineStr">
        <is>
          <t>Organic</t>
        </is>
      </c>
      <c r="F836" s="40" t="inlineStr">
        <is>
          <t>Desktop</t>
        </is>
      </c>
      <c r="G836" s="40" t="inlineStr">
        <is>
          <t>Switzerland</t>
        </is>
      </c>
      <c r="H836" s="40" t="n">
        <v>22</v>
      </c>
      <c r="I836" s="40" t="inlineStr">
        <is>
          <t>Start Search</t>
        </is>
      </c>
      <c r="J836" s="40" t="inlineStr">
        <is>
          <t>1-23 August 2025</t>
        </is>
      </c>
      <c r="K836" s="55" t="n">
        <v>88</v>
      </c>
      <c r="L836" s="40" t="inlineStr">
        <is>
          <t>Visit→Engagement 1-23 August 2025</t>
        </is>
      </c>
      <c r="M836" s="40">
        <f>IF(Countries!I177="","STILL MISSING","Filled ✓")</f>
        <v/>
      </c>
    </row>
    <row r="837">
      <c r="A837" s="56" t="inlineStr">
        <is>
          <t>Countries</t>
        </is>
      </c>
      <c r="B837" s="56" t="inlineStr">
        <is>
          <t>J177</t>
        </is>
      </c>
      <c r="C837" s="56" t="n">
        <v>177</v>
      </c>
      <c r="D837" s="56" t="inlineStr">
        <is>
          <t>Home page</t>
        </is>
      </c>
      <c r="E837" s="56" t="inlineStr">
        <is>
          <t>Organic</t>
        </is>
      </c>
      <c r="F837" s="56" t="inlineStr">
        <is>
          <t>Desktop</t>
        </is>
      </c>
      <c r="G837" s="56" t="inlineStr">
        <is>
          <t>Switzerland</t>
        </is>
      </c>
      <c r="H837" s="56" t="n">
        <v>22</v>
      </c>
      <c r="I837" s="56" t="inlineStr">
        <is>
          <t>Start Search</t>
        </is>
      </c>
      <c r="J837" s="56" t="inlineStr">
        <is>
          <t>1-23 August 2026</t>
        </is>
      </c>
      <c r="K837" s="57" t="n">
        <v>88</v>
      </c>
      <c r="L837" s="56" t="inlineStr">
        <is>
          <t>Visit→Engagement 1-23 August 2026</t>
        </is>
      </c>
      <c r="M837" s="40">
        <f>IF(Countries!J177="","STILL MISSING","Filled ✓")</f>
        <v/>
      </c>
    </row>
    <row r="838">
      <c r="A838" s="40" t="inlineStr">
        <is>
          <t>Countries</t>
        </is>
      </c>
      <c r="B838" s="40" t="inlineStr">
        <is>
          <t>AR220</t>
        </is>
      </c>
      <c r="C838" s="40" t="n">
        <v>220</v>
      </c>
      <c r="D838" s="40" t="inlineStr">
        <is>
          <t>Home page</t>
        </is>
      </c>
      <c r="E838" s="40" t="inlineStr">
        <is>
          <t>Direct</t>
        </is>
      </c>
      <c r="F838" s="40" t="inlineStr">
        <is>
          <t>Desktop</t>
        </is>
      </c>
      <c r="G838" s="40" t="inlineStr">
        <is>
          <t>Switzerland</t>
        </is>
      </c>
      <c r="H838" s="40" t="n">
        <v>22</v>
      </c>
      <c r="I838" s="40" t="inlineStr">
        <is>
          <t>Purchases</t>
        </is>
      </c>
      <c r="J838" s="40" t="inlineStr">
        <is>
          <t>1-23 August 2025</t>
        </is>
      </c>
      <c r="K838" s="55" t="n">
        <v>75</v>
      </c>
      <c r="L838" s="40" t="inlineStr">
        <is>
          <t>Search→Booking 1-23 August 2025</t>
        </is>
      </c>
      <c r="M838" s="40">
        <f>IF(Countries!AR220="","STILL MISSING","Filled ✓")</f>
        <v/>
      </c>
    </row>
    <row r="839">
      <c r="A839" s="56" t="inlineStr">
        <is>
          <t>Countries</t>
        </is>
      </c>
      <c r="B839" s="56" t="inlineStr">
        <is>
          <t>Q220</t>
        </is>
      </c>
      <c r="C839" s="56" t="n">
        <v>220</v>
      </c>
      <c r="D839" s="56" t="inlineStr">
        <is>
          <t>Home page</t>
        </is>
      </c>
      <c r="E839" s="56" t="inlineStr">
        <is>
          <t>Direct</t>
        </is>
      </c>
      <c r="F839" s="56" t="inlineStr">
        <is>
          <t>Desktop</t>
        </is>
      </c>
      <c r="G839" s="56" t="inlineStr">
        <is>
          <t>Switzerland</t>
        </is>
      </c>
      <c r="H839" s="56" t="n">
        <v>22</v>
      </c>
      <c r="I839" s="56" t="inlineStr">
        <is>
          <t>Searches</t>
        </is>
      </c>
      <c r="J839" s="56" t="inlineStr">
        <is>
          <t>1-23 August 2026</t>
        </is>
      </c>
      <c r="K839" s="57" t="n">
        <v>75</v>
      </c>
      <c r="L839" s="56" t="inlineStr">
        <is>
          <t>Searches YoY</t>
        </is>
      </c>
      <c r="M839" s="40">
        <f>IF(Countries!Q220="","STILL MISSING","Filled ✓")</f>
        <v/>
      </c>
    </row>
    <row r="840">
      <c r="A840" s="40" t="inlineStr">
        <is>
          <t>Countries</t>
        </is>
      </c>
      <c r="B840" s="40" t="inlineStr">
        <is>
          <t>W220</t>
        </is>
      </c>
      <c r="C840" s="40" t="n">
        <v>220</v>
      </c>
      <c r="D840" s="40" t="inlineStr">
        <is>
          <t>Home page</t>
        </is>
      </c>
      <c r="E840" s="40" t="inlineStr">
        <is>
          <t>Direct</t>
        </is>
      </c>
      <c r="F840" s="40" t="inlineStr">
        <is>
          <t>Desktop</t>
        </is>
      </c>
      <c r="G840" s="40" t="inlineStr">
        <is>
          <t>Switzerland</t>
        </is>
      </c>
      <c r="H840" s="40" t="n">
        <v>22</v>
      </c>
      <c r="I840" s="40" t="inlineStr">
        <is>
          <t>Select item</t>
        </is>
      </c>
      <c r="J840" s="40" t="inlineStr">
        <is>
          <t>1-23 August 2025</t>
        </is>
      </c>
      <c r="K840" s="55" t="n">
        <v>75</v>
      </c>
      <c r="L840" s="40" t="inlineStr">
        <is>
          <t>Search→Select 1-23 August 2025</t>
        </is>
      </c>
      <c r="M840" s="40">
        <f>IF(Countries!W220="","STILL MISSING","Filled ✓")</f>
        <v/>
      </c>
    </row>
    <row r="841">
      <c r="A841" s="56" t="inlineStr">
        <is>
          <t>Countries</t>
        </is>
      </c>
      <c r="B841" s="56" t="inlineStr">
        <is>
          <t>E220</t>
        </is>
      </c>
      <c r="C841" s="56" t="n">
        <v>220</v>
      </c>
      <c r="D841" s="56" t="inlineStr">
        <is>
          <t>Home page</t>
        </is>
      </c>
      <c r="E841" s="56" t="inlineStr">
        <is>
          <t>Direct</t>
        </is>
      </c>
      <c r="F841" s="56" t="inlineStr">
        <is>
          <t>Desktop</t>
        </is>
      </c>
      <c r="G841" s="56" t="inlineStr">
        <is>
          <t>Switzerland</t>
        </is>
      </c>
      <c r="H841" s="56" t="n">
        <v>22</v>
      </c>
      <c r="I841" s="56" t="inlineStr">
        <is>
          <t>Sessions</t>
        </is>
      </c>
      <c r="J841" s="56" t="inlineStr">
        <is>
          <t>1-23 August 2025</t>
        </is>
      </c>
      <c r="K841" s="57" t="n">
        <v>75</v>
      </c>
      <c r="L841" s="56" t="inlineStr">
        <is>
          <t>Visit→Search 1-23 August 2025</t>
        </is>
      </c>
      <c r="M841" s="40">
        <f>IF(Countries!E220="","STILL MISSING","Filled ✓")</f>
        <v/>
      </c>
    </row>
    <row r="842">
      <c r="A842" s="40" t="inlineStr">
        <is>
          <t>Countries</t>
        </is>
      </c>
      <c r="B842" s="40" t="inlineStr">
        <is>
          <t>AS196</t>
        </is>
      </c>
      <c r="C842" s="40" t="n">
        <v>196</v>
      </c>
      <c r="D842" s="40" t="inlineStr">
        <is>
          <t>Home page</t>
        </is>
      </c>
      <c r="E842" s="40" t="inlineStr">
        <is>
          <t>Direct</t>
        </is>
      </c>
      <c r="F842" s="40" t="inlineStr">
        <is>
          <t>Mobile</t>
        </is>
      </c>
      <c r="G842" s="40" t="inlineStr">
        <is>
          <t>Switzerland</t>
        </is>
      </c>
      <c r="H842" s="40" t="n">
        <v>22</v>
      </c>
      <c r="I842" s="40" t="inlineStr">
        <is>
          <t>Purchases</t>
        </is>
      </c>
      <c r="J842" s="40" t="inlineStr">
        <is>
          <t>1-23 August 2026</t>
        </is>
      </c>
      <c r="K842" s="55" t="n">
        <v>154</v>
      </c>
      <c r="L842" s="40" t="inlineStr">
        <is>
          <t>CR 1-23 August 2026</t>
        </is>
      </c>
      <c r="M842" s="40">
        <f>IF(Countries!AS196="","STILL MISSING","Filled ✓")</f>
        <v/>
      </c>
    </row>
    <row r="843">
      <c r="A843" s="56" t="inlineStr">
        <is>
          <t>Countries</t>
        </is>
      </c>
      <c r="B843" s="56" t="inlineStr">
        <is>
          <t>Q196</t>
        </is>
      </c>
      <c r="C843" s="56" t="n">
        <v>196</v>
      </c>
      <c r="D843" s="56" t="inlineStr">
        <is>
          <t>Home page</t>
        </is>
      </c>
      <c r="E843" s="56" t="inlineStr">
        <is>
          <t>Direct</t>
        </is>
      </c>
      <c r="F843" s="56" t="inlineStr">
        <is>
          <t>Mobile</t>
        </is>
      </c>
      <c r="G843" s="56" t="inlineStr">
        <is>
          <t>Switzerland</t>
        </is>
      </c>
      <c r="H843" s="56" t="n">
        <v>22</v>
      </c>
      <c r="I843" s="56" t="inlineStr">
        <is>
          <t>Searches</t>
        </is>
      </c>
      <c r="J843" s="56" t="inlineStr">
        <is>
          <t>1-23 August 2026</t>
        </is>
      </c>
      <c r="K843" s="57" t="n">
        <v>154</v>
      </c>
      <c r="L843" s="56" t="inlineStr">
        <is>
          <t>Visit→Search 1-23 August 2026</t>
        </is>
      </c>
      <c r="M843" s="40">
        <f>IF(Countries!Q196="","STILL MISSING","Filled ✓")</f>
        <v/>
      </c>
    </row>
    <row r="844">
      <c r="A844" s="40" t="inlineStr">
        <is>
          <t>Countries</t>
        </is>
      </c>
      <c r="B844" s="40" t="inlineStr">
        <is>
          <t>E196</t>
        </is>
      </c>
      <c r="C844" s="40" t="n">
        <v>196</v>
      </c>
      <c r="D844" s="40" t="inlineStr">
        <is>
          <t>Home page</t>
        </is>
      </c>
      <c r="E844" s="40" t="inlineStr">
        <is>
          <t>Direct</t>
        </is>
      </c>
      <c r="F844" s="40" t="inlineStr">
        <is>
          <t>Mobile</t>
        </is>
      </c>
      <c r="G844" s="40" t="inlineStr">
        <is>
          <t>Switzerland</t>
        </is>
      </c>
      <c r="H844" s="40" t="n">
        <v>22</v>
      </c>
      <c r="I844" s="40" t="inlineStr">
        <is>
          <t>Sessions</t>
        </is>
      </c>
      <c r="J844" s="40" t="inlineStr">
        <is>
          <t>1-23 August 2025</t>
        </is>
      </c>
      <c r="K844" s="55" t="n">
        <v>154</v>
      </c>
      <c r="L844" s="40" t="inlineStr">
        <is>
          <t>Sessions YoY</t>
        </is>
      </c>
      <c r="M844" s="40">
        <f>IF(Countries!E196="","STILL MISSING","Filled ✓")</f>
        <v/>
      </c>
    </row>
    <row r="845">
      <c r="A845" s="56" t="inlineStr">
        <is>
          <t>Countries</t>
        </is>
      </c>
      <c r="B845" s="56" t="inlineStr">
        <is>
          <t>J196</t>
        </is>
      </c>
      <c r="C845" s="56" t="n">
        <v>196</v>
      </c>
      <c r="D845" s="56" t="inlineStr">
        <is>
          <t>Home page</t>
        </is>
      </c>
      <c r="E845" s="56" t="inlineStr">
        <is>
          <t>Direct</t>
        </is>
      </c>
      <c r="F845" s="56" t="inlineStr">
        <is>
          <t>Mobile</t>
        </is>
      </c>
      <c r="G845" s="56" t="inlineStr">
        <is>
          <t>Switzerland</t>
        </is>
      </c>
      <c r="H845" s="56" t="n">
        <v>22</v>
      </c>
      <c r="I845" s="56" t="inlineStr">
        <is>
          <t>Start Search</t>
        </is>
      </c>
      <c r="J845" s="56" t="inlineStr">
        <is>
          <t>1-23 August 2026</t>
        </is>
      </c>
      <c r="K845" s="57" t="n">
        <v>154</v>
      </c>
      <c r="L845" s="56" t="inlineStr">
        <is>
          <t>Visit→Engagement 1-23 August 2026</t>
        </is>
      </c>
      <c r="M845" s="40">
        <f>IF(Countries!J196="","STILL MISSING","Filled ✓")</f>
        <v/>
      </c>
    </row>
    <row r="846">
      <c r="A846" s="40" t="inlineStr">
        <is>
          <t>Countries</t>
        </is>
      </c>
      <c r="B846" s="40" t="inlineStr">
        <is>
          <t>AR254</t>
        </is>
      </c>
      <c r="C846" s="40" t="n">
        <v>254</v>
      </c>
      <c r="D846" s="40" t="inlineStr">
        <is>
          <t>Airport page</t>
        </is>
      </c>
      <c r="E846" s="40" t="inlineStr">
        <is>
          <t>Paid Search</t>
        </is>
      </c>
      <c r="F846" s="40" t="inlineStr">
        <is>
          <t>Desktop</t>
        </is>
      </c>
      <c r="G846" s="40" t="inlineStr">
        <is>
          <t>Switzerland</t>
        </is>
      </c>
      <c r="H846" s="40" t="n">
        <v>22</v>
      </c>
      <c r="I846" s="40" t="inlineStr">
        <is>
          <t>Purchases</t>
        </is>
      </c>
      <c r="J846" s="40" t="inlineStr">
        <is>
          <t>1-23 August 2025</t>
        </is>
      </c>
      <c r="K846" s="55" t="n">
        <v>632</v>
      </c>
      <c r="L846" s="40" t="inlineStr">
        <is>
          <t>CR 1-23 August 2025 + Search→Booking 1-23 August 2025</t>
        </is>
      </c>
      <c r="M846" s="40">
        <f>IF(Countries!AR254="","STILL MISSING","Filled ✓")</f>
        <v/>
      </c>
    </row>
    <row r="847">
      <c r="A847" s="56" t="inlineStr">
        <is>
          <t>Countries</t>
        </is>
      </c>
      <c r="B847" s="56" t="inlineStr">
        <is>
          <t>Q254</t>
        </is>
      </c>
      <c r="C847" s="56" t="n">
        <v>254</v>
      </c>
      <c r="D847" s="56" t="inlineStr">
        <is>
          <t>Airport page</t>
        </is>
      </c>
      <c r="E847" s="56" t="inlineStr">
        <is>
          <t>Paid Search</t>
        </is>
      </c>
      <c r="F847" s="56" t="inlineStr">
        <is>
          <t>Desktop</t>
        </is>
      </c>
      <c r="G847" s="56" t="inlineStr">
        <is>
          <t>Switzerland</t>
        </is>
      </c>
      <c r="H847" s="56" t="n">
        <v>22</v>
      </c>
      <c r="I847" s="56" t="inlineStr">
        <is>
          <t>Searches</t>
        </is>
      </c>
      <c r="J847" s="56" t="inlineStr">
        <is>
          <t>1-23 August 2026</t>
        </is>
      </c>
      <c r="K847" s="57" t="n">
        <v>632</v>
      </c>
      <c r="L847" s="56" t="inlineStr">
        <is>
          <t>Searches YoY</t>
        </is>
      </c>
      <c r="M847" s="40">
        <f>IF(Countries!Q254="","STILL MISSING","Filled ✓")</f>
        <v/>
      </c>
    </row>
    <row r="848">
      <c r="A848" s="40" t="inlineStr">
        <is>
          <t>Countries</t>
        </is>
      </c>
      <c r="B848" s="40" t="inlineStr">
        <is>
          <t>W254</t>
        </is>
      </c>
      <c r="C848" s="40" t="n">
        <v>254</v>
      </c>
      <c r="D848" s="40" t="inlineStr">
        <is>
          <t>Airport page</t>
        </is>
      </c>
      <c r="E848" s="40" t="inlineStr">
        <is>
          <t>Paid Search</t>
        </is>
      </c>
      <c r="F848" s="40" t="inlineStr">
        <is>
          <t>Desktop</t>
        </is>
      </c>
      <c r="G848" s="40" t="inlineStr">
        <is>
          <t>Switzerland</t>
        </is>
      </c>
      <c r="H848" s="40" t="n">
        <v>22</v>
      </c>
      <c r="I848" s="40" t="inlineStr">
        <is>
          <t>Select item</t>
        </is>
      </c>
      <c r="J848" s="40" t="inlineStr">
        <is>
          <t>1-23 August 2025</t>
        </is>
      </c>
      <c r="K848" s="55" t="n">
        <v>632</v>
      </c>
      <c r="L848" s="40" t="inlineStr">
        <is>
          <t>Search→Select 1-23 August 2025</t>
        </is>
      </c>
      <c r="M848" s="40">
        <f>IF(Countries!W254="","STILL MISSING","Filled ✓")</f>
        <v/>
      </c>
    </row>
    <row r="849">
      <c r="A849" s="56" t="inlineStr">
        <is>
          <t>Countries</t>
        </is>
      </c>
      <c r="B849" s="56" t="inlineStr">
        <is>
          <t>F254</t>
        </is>
      </c>
      <c r="C849" s="56" t="n">
        <v>254</v>
      </c>
      <c r="D849" s="56" t="inlineStr">
        <is>
          <t>Airport page</t>
        </is>
      </c>
      <c r="E849" s="56" t="inlineStr">
        <is>
          <t>Paid Search</t>
        </is>
      </c>
      <c r="F849" s="56" t="inlineStr">
        <is>
          <t>Desktop</t>
        </is>
      </c>
      <c r="G849" s="56" t="inlineStr">
        <is>
          <t>Switzerland</t>
        </is>
      </c>
      <c r="H849" s="56" t="n">
        <v>22</v>
      </c>
      <c r="I849" s="56" t="inlineStr">
        <is>
          <t>Sessions</t>
        </is>
      </c>
      <c r="J849" s="56" t="inlineStr">
        <is>
          <t>1-23 August 2026</t>
        </is>
      </c>
      <c r="K849" s="57" t="n">
        <v>632</v>
      </c>
      <c r="L849" s="56" t="inlineStr">
        <is>
          <t>Sessions YoY</t>
        </is>
      </c>
      <c r="M849" s="40">
        <f>IF(Countries!F254="","STILL MISSING","Filled ✓")</f>
        <v/>
      </c>
    </row>
    <row r="850">
      <c r="A850" s="40" t="inlineStr">
        <is>
          <t>Countries</t>
        </is>
      </c>
      <c r="B850" s="40" t="inlineStr">
        <is>
          <t>I254</t>
        </is>
      </c>
      <c r="C850" s="40" t="n">
        <v>254</v>
      </c>
      <c r="D850" s="40" t="inlineStr">
        <is>
          <t>Airport page</t>
        </is>
      </c>
      <c r="E850" s="40" t="inlineStr">
        <is>
          <t>Paid Search</t>
        </is>
      </c>
      <c r="F850" s="40" t="inlineStr">
        <is>
          <t>Desktop</t>
        </is>
      </c>
      <c r="G850" s="40" t="inlineStr">
        <is>
          <t>Switzerland</t>
        </is>
      </c>
      <c r="H850" s="40" t="n">
        <v>22</v>
      </c>
      <c r="I850" s="40" t="inlineStr">
        <is>
          <t>Start Search</t>
        </is>
      </c>
      <c r="J850" s="40" t="inlineStr">
        <is>
          <t>1-23 August 2025</t>
        </is>
      </c>
      <c r="K850" s="55" t="n">
        <v>632</v>
      </c>
      <c r="L850" s="40" t="inlineStr">
        <is>
          <t>Visit→Engagement 1-23 August 2025</t>
        </is>
      </c>
      <c r="M850" s="40">
        <f>IF(Countries!I254="","STILL MISSING","Filled ✓")</f>
        <v/>
      </c>
    </row>
    <row r="851">
      <c r="A851" s="56" t="inlineStr">
        <is>
          <t>Countries</t>
        </is>
      </c>
      <c r="B851" s="56" t="inlineStr">
        <is>
          <t>AR238</t>
        </is>
      </c>
      <c r="C851" s="56" t="n">
        <v>238</v>
      </c>
      <c r="D851" s="56" t="inlineStr">
        <is>
          <t>Airport page</t>
        </is>
      </c>
      <c r="E851" s="56" t="inlineStr">
        <is>
          <t>Paid Search</t>
        </is>
      </c>
      <c r="F851" s="56" t="inlineStr">
        <is>
          <t>Mobile</t>
        </is>
      </c>
      <c r="G851" s="56" t="inlineStr">
        <is>
          <t>Switzerland</t>
        </is>
      </c>
      <c r="H851" s="56" t="n">
        <v>22</v>
      </c>
      <c r="I851" s="56" t="inlineStr">
        <is>
          <t>Purchases</t>
        </is>
      </c>
      <c r="J851" s="56" t="inlineStr">
        <is>
          <t>1-23 August 2025</t>
        </is>
      </c>
      <c r="K851" s="57" t="n">
        <v>757</v>
      </c>
      <c r="L851" s="56" t="inlineStr">
        <is>
          <t>CR 1-23 August 2025 + Search→Booking 1-23 August 2025</t>
        </is>
      </c>
      <c r="M851" s="40">
        <f>IF(Countries!AR238="","STILL MISSING","Filled ✓")</f>
        <v/>
      </c>
    </row>
    <row r="852">
      <c r="A852" s="40" t="inlineStr">
        <is>
          <t>Countries</t>
        </is>
      </c>
      <c r="B852" s="40" t="inlineStr">
        <is>
          <t>Q238</t>
        </is>
      </c>
      <c r="C852" s="40" t="n">
        <v>238</v>
      </c>
      <c r="D852" s="40" t="inlineStr">
        <is>
          <t>Airport page</t>
        </is>
      </c>
      <c r="E852" s="40" t="inlineStr">
        <is>
          <t>Paid Search</t>
        </is>
      </c>
      <c r="F852" s="40" t="inlineStr">
        <is>
          <t>Mobile</t>
        </is>
      </c>
      <c r="G852" s="40" t="inlineStr">
        <is>
          <t>Switzerland</t>
        </is>
      </c>
      <c r="H852" s="40" t="n">
        <v>22</v>
      </c>
      <c r="I852" s="40" t="inlineStr">
        <is>
          <t>Searches</t>
        </is>
      </c>
      <c r="J852" s="40" t="inlineStr">
        <is>
          <t>1-23 August 2026</t>
        </is>
      </c>
      <c r="K852" s="55" t="n">
        <v>757</v>
      </c>
      <c r="L852" s="40" t="inlineStr">
        <is>
          <t>Searches YoY</t>
        </is>
      </c>
      <c r="M852" s="40">
        <f>IF(Countries!Q238="","STILL MISSING","Filled ✓")</f>
        <v/>
      </c>
    </row>
    <row r="853">
      <c r="A853" s="56" t="inlineStr">
        <is>
          <t>Countries</t>
        </is>
      </c>
      <c r="B853" s="56" t="inlineStr">
        <is>
          <t>W238</t>
        </is>
      </c>
      <c r="C853" s="56" t="n">
        <v>238</v>
      </c>
      <c r="D853" s="56" t="inlineStr">
        <is>
          <t>Airport page</t>
        </is>
      </c>
      <c r="E853" s="56" t="inlineStr">
        <is>
          <t>Paid Search</t>
        </is>
      </c>
      <c r="F853" s="56" t="inlineStr">
        <is>
          <t>Mobile</t>
        </is>
      </c>
      <c r="G853" s="56" t="inlineStr">
        <is>
          <t>Switzerland</t>
        </is>
      </c>
      <c r="H853" s="56" t="n">
        <v>22</v>
      </c>
      <c r="I853" s="56" t="inlineStr">
        <is>
          <t>Select item</t>
        </is>
      </c>
      <c r="J853" s="56" t="inlineStr">
        <is>
          <t>1-23 August 2025</t>
        </is>
      </c>
      <c r="K853" s="57" t="n">
        <v>757</v>
      </c>
      <c r="L853" s="56" t="inlineStr">
        <is>
          <t>Search→Select 1-23 August 2025</t>
        </is>
      </c>
      <c r="M853" s="40">
        <f>IF(Countries!W238="","STILL MISSING","Filled ✓")</f>
        <v/>
      </c>
    </row>
    <row r="854">
      <c r="A854" s="40" t="inlineStr">
        <is>
          <t>Countries</t>
        </is>
      </c>
      <c r="B854" s="40" t="inlineStr">
        <is>
          <t>F238</t>
        </is>
      </c>
      <c r="C854" s="40" t="n">
        <v>238</v>
      </c>
      <c r="D854" s="40" t="inlineStr">
        <is>
          <t>Airport page</t>
        </is>
      </c>
      <c r="E854" s="40" t="inlineStr">
        <is>
          <t>Paid Search</t>
        </is>
      </c>
      <c r="F854" s="40" t="inlineStr">
        <is>
          <t>Mobile</t>
        </is>
      </c>
      <c r="G854" s="40" t="inlineStr">
        <is>
          <t>Switzerland</t>
        </is>
      </c>
      <c r="H854" s="40" t="n">
        <v>22</v>
      </c>
      <c r="I854" s="40" t="inlineStr">
        <is>
          <t>Sessions</t>
        </is>
      </c>
      <c r="J854" s="40" t="inlineStr">
        <is>
          <t>1-23 August 2026</t>
        </is>
      </c>
      <c r="K854" s="55" t="n">
        <v>757</v>
      </c>
      <c r="L854" s="40" t="inlineStr">
        <is>
          <t>Sessions YoY</t>
        </is>
      </c>
      <c r="M854" s="40">
        <f>IF(Countries!F238="","STILL MISSING","Filled ✓")</f>
        <v/>
      </c>
    </row>
    <row r="855">
      <c r="A855" s="56" t="inlineStr">
        <is>
          <t>Countries</t>
        </is>
      </c>
      <c r="B855" s="56" t="inlineStr">
        <is>
          <t>I238</t>
        </is>
      </c>
      <c r="C855" s="56" t="n">
        <v>238</v>
      </c>
      <c r="D855" s="56" t="inlineStr">
        <is>
          <t>Airport page</t>
        </is>
      </c>
      <c r="E855" s="56" t="inlineStr">
        <is>
          <t>Paid Search</t>
        </is>
      </c>
      <c r="F855" s="56" t="inlineStr">
        <is>
          <t>Mobile</t>
        </is>
      </c>
      <c r="G855" s="56" t="inlineStr">
        <is>
          <t>Switzerland</t>
        </is>
      </c>
      <c r="H855" s="56" t="n">
        <v>22</v>
      </c>
      <c r="I855" s="56" t="inlineStr">
        <is>
          <t>Start Search</t>
        </is>
      </c>
      <c r="J855" s="56" t="inlineStr">
        <is>
          <t>1-23 August 2025</t>
        </is>
      </c>
      <c r="K855" s="57" t="n">
        <v>757</v>
      </c>
      <c r="L855" s="56" t="inlineStr">
        <is>
          <t>Visit→Engagement 1-23 August 2025</t>
        </is>
      </c>
      <c r="M855" s="40">
        <f>IF(Countries!I238="","STILL MISSING","Filled ✓")</f>
        <v/>
      </c>
    </row>
    <row r="856">
      <c r="A856" s="40" t="inlineStr">
        <is>
          <t>Countries</t>
        </is>
      </c>
      <c r="B856" s="40" t="inlineStr">
        <is>
          <t>AR321</t>
        </is>
      </c>
      <c r="C856" s="40" t="n">
        <v>321</v>
      </c>
      <c r="D856" s="40" t="inlineStr">
        <is>
          <t>Airport page</t>
        </is>
      </c>
      <c r="E856" s="40" t="inlineStr">
        <is>
          <t>Direct</t>
        </is>
      </c>
      <c r="F856" s="40" t="inlineStr">
        <is>
          <t>Desktop</t>
        </is>
      </c>
      <c r="G856" s="40" t="inlineStr">
        <is>
          <t>Switzerland</t>
        </is>
      </c>
      <c r="H856" s="40" t="n">
        <v>22</v>
      </c>
      <c r="I856" s="40" t="inlineStr">
        <is>
          <t>Purchases</t>
        </is>
      </c>
      <c r="J856" s="40" t="inlineStr">
        <is>
          <t>1-23 August 2025</t>
        </is>
      </c>
      <c r="K856" s="55" t="n">
        <v>16</v>
      </c>
      <c r="L856" s="40" t="inlineStr">
        <is>
          <t>CR 1-23 August 2025 + Search→Booking 1-23 August 2025</t>
        </is>
      </c>
      <c r="M856" s="40">
        <f>IF(Countries!AR321="","STILL MISSING","Filled ✓")</f>
        <v/>
      </c>
    </row>
    <row r="857">
      <c r="A857" s="56" t="inlineStr">
        <is>
          <t>Countries</t>
        </is>
      </c>
      <c r="B857" s="56" t="inlineStr">
        <is>
          <t>Q321</t>
        </is>
      </c>
      <c r="C857" s="56" t="n">
        <v>321</v>
      </c>
      <c r="D857" s="56" t="inlineStr">
        <is>
          <t>Airport page</t>
        </is>
      </c>
      <c r="E857" s="56" t="inlineStr">
        <is>
          <t>Direct</t>
        </is>
      </c>
      <c r="F857" s="56" t="inlineStr">
        <is>
          <t>Desktop</t>
        </is>
      </c>
      <c r="G857" s="56" t="inlineStr">
        <is>
          <t>Switzerland</t>
        </is>
      </c>
      <c r="H857" s="56" t="n">
        <v>22</v>
      </c>
      <c r="I857" s="56" t="inlineStr">
        <is>
          <t>Searches</t>
        </is>
      </c>
      <c r="J857" s="56" t="inlineStr">
        <is>
          <t>1-23 August 2026</t>
        </is>
      </c>
      <c r="K857" s="57" t="n">
        <v>16</v>
      </c>
      <c r="L857" s="56" t="inlineStr">
        <is>
          <t>Searches YoY</t>
        </is>
      </c>
      <c r="M857" s="40">
        <f>IF(Countries!Q321="","STILL MISSING","Filled ✓")</f>
        <v/>
      </c>
    </row>
    <row r="858">
      <c r="A858" s="40" t="inlineStr">
        <is>
          <t>Countries</t>
        </is>
      </c>
      <c r="B858" s="40" t="inlineStr">
        <is>
          <t>W321</t>
        </is>
      </c>
      <c r="C858" s="40" t="n">
        <v>321</v>
      </c>
      <c r="D858" s="40" t="inlineStr">
        <is>
          <t>Airport page</t>
        </is>
      </c>
      <c r="E858" s="40" t="inlineStr">
        <is>
          <t>Direct</t>
        </is>
      </c>
      <c r="F858" s="40" t="inlineStr">
        <is>
          <t>Desktop</t>
        </is>
      </c>
      <c r="G858" s="40" t="inlineStr">
        <is>
          <t>Switzerland</t>
        </is>
      </c>
      <c r="H858" s="40" t="n">
        <v>22</v>
      </c>
      <c r="I858" s="40" t="inlineStr">
        <is>
          <t>Select item</t>
        </is>
      </c>
      <c r="J858" s="40" t="inlineStr">
        <is>
          <t>1-23 August 2025</t>
        </is>
      </c>
      <c r="K858" s="55" t="n">
        <v>16</v>
      </c>
      <c r="L858" s="40" t="inlineStr">
        <is>
          <t>Search→Select 1-23 August 2025</t>
        </is>
      </c>
      <c r="M858" s="40">
        <f>IF(Countries!W321="","STILL MISSING","Filled ✓")</f>
        <v/>
      </c>
    </row>
    <row r="859">
      <c r="A859" s="56" t="inlineStr">
        <is>
          <t>Countries</t>
        </is>
      </c>
      <c r="B859" s="56" t="inlineStr">
        <is>
          <t>F321</t>
        </is>
      </c>
      <c r="C859" s="56" t="n">
        <v>321</v>
      </c>
      <c r="D859" s="56" t="inlineStr">
        <is>
          <t>Airport page</t>
        </is>
      </c>
      <c r="E859" s="56" t="inlineStr">
        <is>
          <t>Direct</t>
        </is>
      </c>
      <c r="F859" s="56" t="inlineStr">
        <is>
          <t>Desktop</t>
        </is>
      </c>
      <c r="G859" s="56" t="inlineStr">
        <is>
          <t>Switzerland</t>
        </is>
      </c>
      <c r="H859" s="56" t="n">
        <v>22</v>
      </c>
      <c r="I859" s="56" t="inlineStr">
        <is>
          <t>Sessions</t>
        </is>
      </c>
      <c r="J859" s="56" t="inlineStr">
        <is>
          <t>1-23 August 2026</t>
        </is>
      </c>
      <c r="K859" s="57" t="n">
        <v>16</v>
      </c>
      <c r="L859" s="56" t="inlineStr">
        <is>
          <t>Sessions YoY</t>
        </is>
      </c>
      <c r="M859" s="40">
        <f>IF(Countries!F321="","STILL MISSING","Filled ✓")</f>
        <v/>
      </c>
    </row>
    <row r="860">
      <c r="A860" s="40" t="inlineStr">
        <is>
          <t>Countries</t>
        </is>
      </c>
      <c r="B860" s="40" t="inlineStr">
        <is>
          <t>I321</t>
        </is>
      </c>
      <c r="C860" s="40" t="n">
        <v>321</v>
      </c>
      <c r="D860" s="40" t="inlineStr">
        <is>
          <t>Airport page</t>
        </is>
      </c>
      <c r="E860" s="40" t="inlineStr">
        <is>
          <t>Direct</t>
        </is>
      </c>
      <c r="F860" s="40" t="inlineStr">
        <is>
          <t>Desktop</t>
        </is>
      </c>
      <c r="G860" s="40" t="inlineStr">
        <is>
          <t>Switzerland</t>
        </is>
      </c>
      <c r="H860" s="40" t="n">
        <v>22</v>
      </c>
      <c r="I860" s="40" t="inlineStr">
        <is>
          <t>Start Search</t>
        </is>
      </c>
      <c r="J860" s="40" t="inlineStr">
        <is>
          <t>1-23 August 2025</t>
        </is>
      </c>
      <c r="K860" s="55" t="n">
        <v>16</v>
      </c>
      <c r="L860" s="40" t="inlineStr">
        <is>
          <t>Visit→Engagement 1-23 August 2025</t>
        </is>
      </c>
      <c r="M860" s="40">
        <f>IF(Countries!I321="","STILL MISSING","Filled ✓")</f>
        <v/>
      </c>
    </row>
    <row r="861">
      <c r="A861" s="56" t="inlineStr">
        <is>
          <t>Countries</t>
        </is>
      </c>
      <c r="B861" s="56" t="inlineStr">
        <is>
          <t>AR357</t>
        </is>
      </c>
      <c r="C861" s="56" t="n">
        <v>357</v>
      </c>
      <c r="D861" s="56" t="inlineStr">
        <is>
          <t>Route page</t>
        </is>
      </c>
      <c r="E861" s="56" t="inlineStr">
        <is>
          <t>Paid Search</t>
        </is>
      </c>
      <c r="F861" s="56" t="inlineStr">
        <is>
          <t>Desktop</t>
        </is>
      </c>
      <c r="G861" s="56" t="inlineStr">
        <is>
          <t>Switzerland</t>
        </is>
      </c>
      <c r="H861" s="56" t="n">
        <v>22</v>
      </c>
      <c r="I861" s="56" t="inlineStr">
        <is>
          <t>Purchases</t>
        </is>
      </c>
      <c r="J861" s="56" t="inlineStr">
        <is>
          <t>1-23 August 2025</t>
        </is>
      </c>
      <c r="K861" s="57" t="n">
        <v>327</v>
      </c>
      <c r="L861" s="56" t="inlineStr">
        <is>
          <t>CR 1-23 August 2025 + Search→Booking 1-23 August 2025</t>
        </is>
      </c>
      <c r="M861" s="40">
        <f>IF(Countries!AR357="","STILL MISSING","Filled ✓")</f>
        <v/>
      </c>
    </row>
    <row r="862">
      <c r="A862" s="40" t="inlineStr">
        <is>
          <t>Countries</t>
        </is>
      </c>
      <c r="B862" s="40" t="inlineStr">
        <is>
          <t>Q357</t>
        </is>
      </c>
      <c r="C862" s="40" t="n">
        <v>357</v>
      </c>
      <c r="D862" s="40" t="inlineStr">
        <is>
          <t>Route page</t>
        </is>
      </c>
      <c r="E862" s="40" t="inlineStr">
        <is>
          <t>Paid Search</t>
        </is>
      </c>
      <c r="F862" s="40" t="inlineStr">
        <is>
          <t>Desktop</t>
        </is>
      </c>
      <c r="G862" s="40" t="inlineStr">
        <is>
          <t>Switzerland</t>
        </is>
      </c>
      <c r="H862" s="40" t="n">
        <v>22</v>
      </c>
      <c r="I862" s="40" t="inlineStr">
        <is>
          <t>Searches</t>
        </is>
      </c>
      <c r="J862" s="40" t="inlineStr">
        <is>
          <t>1-23 August 2026</t>
        </is>
      </c>
      <c r="K862" s="55" t="n">
        <v>327</v>
      </c>
      <c r="L862" s="40" t="inlineStr">
        <is>
          <t>Searches YoY</t>
        </is>
      </c>
      <c r="M862" s="40">
        <f>IF(Countries!Q357="","STILL MISSING","Filled ✓")</f>
        <v/>
      </c>
    </row>
    <row r="863">
      <c r="A863" s="56" t="inlineStr">
        <is>
          <t>Countries</t>
        </is>
      </c>
      <c r="B863" s="56" t="inlineStr">
        <is>
          <t>W357</t>
        </is>
      </c>
      <c r="C863" s="56" t="n">
        <v>357</v>
      </c>
      <c r="D863" s="56" t="inlineStr">
        <is>
          <t>Route page</t>
        </is>
      </c>
      <c r="E863" s="56" t="inlineStr">
        <is>
          <t>Paid Search</t>
        </is>
      </c>
      <c r="F863" s="56" t="inlineStr">
        <is>
          <t>Desktop</t>
        </is>
      </c>
      <c r="G863" s="56" t="inlineStr">
        <is>
          <t>Switzerland</t>
        </is>
      </c>
      <c r="H863" s="56" t="n">
        <v>22</v>
      </c>
      <c r="I863" s="56" t="inlineStr">
        <is>
          <t>Select item</t>
        </is>
      </c>
      <c r="J863" s="56" t="inlineStr">
        <is>
          <t>1-23 August 2025</t>
        </is>
      </c>
      <c r="K863" s="57" t="n">
        <v>327</v>
      </c>
      <c r="L863" s="56" t="inlineStr">
        <is>
          <t>Search→Select 1-23 August 2025</t>
        </is>
      </c>
      <c r="M863" s="40">
        <f>IF(Countries!W357="","STILL MISSING","Filled ✓")</f>
        <v/>
      </c>
    </row>
    <row r="864">
      <c r="A864" s="40" t="inlineStr">
        <is>
          <t>Countries</t>
        </is>
      </c>
      <c r="B864" s="40" t="inlineStr">
        <is>
          <t>F357</t>
        </is>
      </c>
      <c r="C864" s="40" t="n">
        <v>357</v>
      </c>
      <c r="D864" s="40" t="inlineStr">
        <is>
          <t>Route page</t>
        </is>
      </c>
      <c r="E864" s="40" t="inlineStr">
        <is>
          <t>Paid Search</t>
        </is>
      </c>
      <c r="F864" s="40" t="inlineStr">
        <is>
          <t>Desktop</t>
        </is>
      </c>
      <c r="G864" s="40" t="inlineStr">
        <is>
          <t>Switzerland</t>
        </is>
      </c>
      <c r="H864" s="40" t="n">
        <v>22</v>
      </c>
      <c r="I864" s="40" t="inlineStr">
        <is>
          <t>Sessions</t>
        </is>
      </c>
      <c r="J864" s="40" t="inlineStr">
        <is>
          <t>1-23 August 2026</t>
        </is>
      </c>
      <c r="K864" s="55" t="n">
        <v>327</v>
      </c>
      <c r="L864" s="40" t="inlineStr">
        <is>
          <t>Sessions YoY</t>
        </is>
      </c>
      <c r="M864" s="40">
        <f>IF(Countries!F357="","STILL MISSING","Filled ✓")</f>
        <v/>
      </c>
    </row>
    <row r="865">
      <c r="A865" s="56" t="inlineStr">
        <is>
          <t>Countries</t>
        </is>
      </c>
      <c r="B865" s="56" t="inlineStr">
        <is>
          <t>I357</t>
        </is>
      </c>
      <c r="C865" s="56" t="n">
        <v>357</v>
      </c>
      <c r="D865" s="56" t="inlineStr">
        <is>
          <t>Route page</t>
        </is>
      </c>
      <c r="E865" s="56" t="inlineStr">
        <is>
          <t>Paid Search</t>
        </is>
      </c>
      <c r="F865" s="56" t="inlineStr">
        <is>
          <t>Desktop</t>
        </is>
      </c>
      <c r="G865" s="56" t="inlineStr">
        <is>
          <t>Switzerland</t>
        </is>
      </c>
      <c r="H865" s="56" t="n">
        <v>22</v>
      </c>
      <c r="I865" s="56" t="inlineStr">
        <is>
          <t>Start Search</t>
        </is>
      </c>
      <c r="J865" s="56" t="inlineStr">
        <is>
          <t>1-23 August 2025</t>
        </is>
      </c>
      <c r="K865" s="57" t="n">
        <v>327</v>
      </c>
      <c r="L865" s="56" t="inlineStr">
        <is>
          <t>Visit→Engagement 1-23 August 2025</t>
        </is>
      </c>
      <c r="M865" s="40">
        <f>IF(Countries!I357="","STILL MISSING","Filled ✓")</f>
        <v/>
      </c>
    </row>
    <row r="866">
      <c r="A866" s="40" t="inlineStr">
        <is>
          <t>Countries</t>
        </is>
      </c>
      <c r="B866" s="40" t="inlineStr">
        <is>
          <t>AR341</t>
        </is>
      </c>
      <c r="C866" s="40" t="n">
        <v>341</v>
      </c>
      <c r="D866" s="40" t="inlineStr">
        <is>
          <t>Route page</t>
        </is>
      </c>
      <c r="E866" s="40" t="inlineStr">
        <is>
          <t>Paid Search</t>
        </is>
      </c>
      <c r="F866" s="40" t="inlineStr">
        <is>
          <t>Mobile</t>
        </is>
      </c>
      <c r="G866" s="40" t="inlineStr">
        <is>
          <t>Switzerland</t>
        </is>
      </c>
      <c r="H866" s="40" t="n">
        <v>22</v>
      </c>
      <c r="I866" s="40" t="inlineStr">
        <is>
          <t>Purchases</t>
        </is>
      </c>
      <c r="J866" s="40" t="inlineStr">
        <is>
          <t>1-23 August 2025</t>
        </is>
      </c>
      <c r="K866" s="55" t="n">
        <v>396</v>
      </c>
      <c r="L866" s="40" t="inlineStr">
        <is>
          <t>CR 1-23 August 2025 + Search→Booking 1-23 August 2025</t>
        </is>
      </c>
      <c r="M866" s="40">
        <f>IF(Countries!AR341="","STILL MISSING","Filled ✓")</f>
        <v/>
      </c>
    </row>
    <row r="867">
      <c r="A867" s="56" t="inlineStr">
        <is>
          <t>Countries</t>
        </is>
      </c>
      <c r="B867" s="56" t="inlineStr">
        <is>
          <t>Q341</t>
        </is>
      </c>
      <c r="C867" s="56" t="n">
        <v>341</v>
      </c>
      <c r="D867" s="56" t="inlineStr">
        <is>
          <t>Route page</t>
        </is>
      </c>
      <c r="E867" s="56" t="inlineStr">
        <is>
          <t>Paid Search</t>
        </is>
      </c>
      <c r="F867" s="56" t="inlineStr">
        <is>
          <t>Mobile</t>
        </is>
      </c>
      <c r="G867" s="56" t="inlineStr">
        <is>
          <t>Switzerland</t>
        </is>
      </c>
      <c r="H867" s="56" t="n">
        <v>22</v>
      </c>
      <c r="I867" s="56" t="inlineStr">
        <is>
          <t>Searches</t>
        </is>
      </c>
      <c r="J867" s="56" t="inlineStr">
        <is>
          <t>1-23 August 2026</t>
        </is>
      </c>
      <c r="K867" s="57" t="n">
        <v>396</v>
      </c>
      <c r="L867" s="56" t="inlineStr">
        <is>
          <t>Searches YoY</t>
        </is>
      </c>
      <c r="M867" s="40">
        <f>IF(Countries!Q341="","STILL MISSING","Filled ✓")</f>
        <v/>
      </c>
    </row>
    <row r="868">
      <c r="A868" s="40" t="inlineStr">
        <is>
          <t>Countries</t>
        </is>
      </c>
      <c r="B868" s="40" t="inlineStr">
        <is>
          <t>W341</t>
        </is>
      </c>
      <c r="C868" s="40" t="n">
        <v>341</v>
      </c>
      <c r="D868" s="40" t="inlineStr">
        <is>
          <t>Route page</t>
        </is>
      </c>
      <c r="E868" s="40" t="inlineStr">
        <is>
          <t>Paid Search</t>
        </is>
      </c>
      <c r="F868" s="40" t="inlineStr">
        <is>
          <t>Mobile</t>
        </is>
      </c>
      <c r="G868" s="40" t="inlineStr">
        <is>
          <t>Switzerland</t>
        </is>
      </c>
      <c r="H868" s="40" t="n">
        <v>22</v>
      </c>
      <c r="I868" s="40" t="inlineStr">
        <is>
          <t>Select item</t>
        </is>
      </c>
      <c r="J868" s="40" t="inlineStr">
        <is>
          <t>1-23 August 2025</t>
        </is>
      </c>
      <c r="K868" s="55" t="n">
        <v>396</v>
      </c>
      <c r="L868" s="40" t="inlineStr">
        <is>
          <t>Search→Select 1-23 August 2025</t>
        </is>
      </c>
      <c r="M868" s="40">
        <f>IF(Countries!W341="","STILL MISSING","Filled ✓")</f>
        <v/>
      </c>
    </row>
    <row r="869">
      <c r="A869" s="56" t="inlineStr">
        <is>
          <t>Countries</t>
        </is>
      </c>
      <c r="B869" s="56" t="inlineStr">
        <is>
          <t>F341</t>
        </is>
      </c>
      <c r="C869" s="56" t="n">
        <v>341</v>
      </c>
      <c r="D869" s="56" t="inlineStr">
        <is>
          <t>Route page</t>
        </is>
      </c>
      <c r="E869" s="56" t="inlineStr">
        <is>
          <t>Paid Search</t>
        </is>
      </c>
      <c r="F869" s="56" t="inlineStr">
        <is>
          <t>Mobile</t>
        </is>
      </c>
      <c r="G869" s="56" t="inlineStr">
        <is>
          <t>Switzerland</t>
        </is>
      </c>
      <c r="H869" s="56" t="n">
        <v>22</v>
      </c>
      <c r="I869" s="56" t="inlineStr">
        <is>
          <t>Sessions</t>
        </is>
      </c>
      <c r="J869" s="56" t="inlineStr">
        <is>
          <t>1-23 August 2026</t>
        </is>
      </c>
      <c r="K869" s="57" t="n">
        <v>396</v>
      </c>
      <c r="L869" s="56" t="inlineStr">
        <is>
          <t>Sessions YoY</t>
        </is>
      </c>
      <c r="M869" s="40">
        <f>IF(Countries!F341="","STILL MISSING","Filled ✓")</f>
        <v/>
      </c>
    </row>
    <row r="870">
      <c r="A870" s="40" t="inlineStr">
        <is>
          <t>Countries</t>
        </is>
      </c>
      <c r="B870" s="40" t="inlineStr">
        <is>
          <t>I341</t>
        </is>
      </c>
      <c r="C870" s="40" t="n">
        <v>341</v>
      </c>
      <c r="D870" s="40" t="inlineStr">
        <is>
          <t>Route page</t>
        </is>
      </c>
      <c r="E870" s="40" t="inlineStr">
        <is>
          <t>Paid Search</t>
        </is>
      </c>
      <c r="F870" s="40" t="inlineStr">
        <is>
          <t>Mobile</t>
        </is>
      </c>
      <c r="G870" s="40" t="inlineStr">
        <is>
          <t>Switzerland</t>
        </is>
      </c>
      <c r="H870" s="40" t="n">
        <v>22</v>
      </c>
      <c r="I870" s="40" t="inlineStr">
        <is>
          <t>Start Search</t>
        </is>
      </c>
      <c r="J870" s="40" t="inlineStr">
        <is>
          <t>1-23 August 2025</t>
        </is>
      </c>
      <c r="K870" s="55" t="n">
        <v>396</v>
      </c>
      <c r="L870" s="40" t="inlineStr">
        <is>
          <t>Visit→Engagement 1-23 August 2025</t>
        </is>
      </c>
      <c r="M870" s="40">
        <f>IF(Countries!I341="","STILL MISSING","Filled ✓")</f>
        <v/>
      </c>
    </row>
    <row r="871">
      <c r="A871" s="56" t="inlineStr">
        <is>
          <t>Countries</t>
        </is>
      </c>
      <c r="B871" s="56" t="inlineStr">
        <is>
          <t>AS387</t>
        </is>
      </c>
      <c r="C871" s="56" t="n">
        <v>387</v>
      </c>
      <c r="D871" s="56" t="inlineStr">
        <is>
          <t>Route page</t>
        </is>
      </c>
      <c r="E871" s="56" t="inlineStr">
        <is>
          <t>Organic</t>
        </is>
      </c>
      <c r="F871" s="56" t="inlineStr">
        <is>
          <t>Desktop</t>
        </is>
      </c>
      <c r="G871" s="56" t="inlineStr">
        <is>
          <t>Switzerland</t>
        </is>
      </c>
      <c r="H871" s="56" t="n">
        <v>22</v>
      </c>
      <c r="I871" s="56" t="inlineStr">
        <is>
          <t>Purchases</t>
        </is>
      </c>
      <c r="J871" s="56" t="inlineStr">
        <is>
          <t>1-23 August 2026</t>
        </is>
      </c>
      <c r="K871" s="57" t="n">
        <v>218</v>
      </c>
      <c r="L871" s="56" t="inlineStr">
        <is>
          <t>CR 1-23 August 2026 + Search→Booking 1-23 August 2026</t>
        </is>
      </c>
      <c r="M871" s="40">
        <f>IF(Countries!AS387="","STILL MISSING","Filled ✓")</f>
        <v/>
      </c>
    </row>
    <row r="872">
      <c r="A872" s="40" t="inlineStr">
        <is>
          <t>Countries</t>
        </is>
      </c>
      <c r="B872" s="40" t="inlineStr">
        <is>
          <t>P387</t>
        </is>
      </c>
      <c r="C872" s="40" t="n">
        <v>387</v>
      </c>
      <c r="D872" s="40" t="inlineStr">
        <is>
          <t>Route page</t>
        </is>
      </c>
      <c r="E872" s="40" t="inlineStr">
        <is>
          <t>Organic</t>
        </is>
      </c>
      <c r="F872" s="40" t="inlineStr">
        <is>
          <t>Desktop</t>
        </is>
      </c>
      <c r="G872" s="40" t="inlineStr">
        <is>
          <t>Switzerland</t>
        </is>
      </c>
      <c r="H872" s="40" t="n">
        <v>22</v>
      </c>
      <c r="I872" s="40" t="inlineStr">
        <is>
          <t>Searches</t>
        </is>
      </c>
      <c r="J872" s="40" t="inlineStr">
        <is>
          <t>1-23 August 2025</t>
        </is>
      </c>
      <c r="K872" s="55" t="n">
        <v>218</v>
      </c>
      <c r="L872" s="40" t="inlineStr">
        <is>
          <t>Searches YoY</t>
        </is>
      </c>
      <c r="M872" s="40">
        <f>IF(Countries!P387="","STILL MISSING","Filled ✓")</f>
        <v/>
      </c>
    </row>
    <row r="873">
      <c r="A873" s="56" t="inlineStr">
        <is>
          <t>Countries</t>
        </is>
      </c>
      <c r="B873" s="56" t="inlineStr">
        <is>
          <t>X387</t>
        </is>
      </c>
      <c r="C873" s="56" t="n">
        <v>387</v>
      </c>
      <c r="D873" s="56" t="inlineStr">
        <is>
          <t>Route page</t>
        </is>
      </c>
      <c r="E873" s="56" t="inlineStr">
        <is>
          <t>Organic</t>
        </is>
      </c>
      <c r="F873" s="56" t="inlineStr">
        <is>
          <t>Desktop</t>
        </is>
      </c>
      <c r="G873" s="56" t="inlineStr">
        <is>
          <t>Switzerland</t>
        </is>
      </c>
      <c r="H873" s="56" t="n">
        <v>22</v>
      </c>
      <c r="I873" s="56" t="inlineStr">
        <is>
          <t>Select item</t>
        </is>
      </c>
      <c r="J873" s="56" t="inlineStr">
        <is>
          <t>1-23 August 2026</t>
        </is>
      </c>
      <c r="K873" s="57" t="n">
        <v>218</v>
      </c>
      <c r="L873" s="56" t="inlineStr">
        <is>
          <t>Search→Select 1-23 August 2026</t>
        </is>
      </c>
      <c r="M873" s="40">
        <f>IF(Countries!X387="","STILL MISSING","Filled ✓")</f>
        <v/>
      </c>
    </row>
    <row r="874">
      <c r="A874" s="40" t="inlineStr">
        <is>
          <t>Countries</t>
        </is>
      </c>
      <c r="B874" s="40" t="inlineStr">
        <is>
          <t>E387</t>
        </is>
      </c>
      <c r="C874" s="40" t="n">
        <v>387</v>
      </c>
      <c r="D874" s="40" t="inlineStr">
        <is>
          <t>Route page</t>
        </is>
      </c>
      <c r="E874" s="40" t="inlineStr">
        <is>
          <t>Organic</t>
        </is>
      </c>
      <c r="F874" s="40" t="inlineStr">
        <is>
          <t>Desktop</t>
        </is>
      </c>
      <c r="G874" s="40" t="inlineStr">
        <is>
          <t>Switzerland</t>
        </is>
      </c>
      <c r="H874" s="40" t="n">
        <v>22</v>
      </c>
      <c r="I874" s="40" t="inlineStr">
        <is>
          <t>Sessions</t>
        </is>
      </c>
      <c r="J874" s="40" t="inlineStr">
        <is>
          <t>1-23 August 2025</t>
        </is>
      </c>
      <c r="K874" s="55" t="n">
        <v>218</v>
      </c>
      <c r="L874" s="40" t="inlineStr">
        <is>
          <t>Sessions YoY</t>
        </is>
      </c>
      <c r="M874" s="40">
        <f>IF(Countries!E387="","STILL MISSING","Filled ✓")</f>
        <v/>
      </c>
    </row>
    <row r="875">
      <c r="A875" s="56" t="inlineStr">
        <is>
          <t>Countries</t>
        </is>
      </c>
      <c r="B875" s="56" t="inlineStr">
        <is>
          <t>J387</t>
        </is>
      </c>
      <c r="C875" s="56" t="n">
        <v>387</v>
      </c>
      <c r="D875" s="56" t="inlineStr">
        <is>
          <t>Route page</t>
        </is>
      </c>
      <c r="E875" s="56" t="inlineStr">
        <is>
          <t>Organic</t>
        </is>
      </c>
      <c r="F875" s="56" t="inlineStr">
        <is>
          <t>Desktop</t>
        </is>
      </c>
      <c r="G875" s="56" t="inlineStr">
        <is>
          <t>Switzerland</t>
        </is>
      </c>
      <c r="H875" s="56" t="n">
        <v>22</v>
      </c>
      <c r="I875" s="56" t="inlineStr">
        <is>
          <t>Start Search</t>
        </is>
      </c>
      <c r="J875" s="56" t="inlineStr">
        <is>
          <t>1-23 August 2026</t>
        </is>
      </c>
      <c r="K875" s="57" t="n">
        <v>218</v>
      </c>
      <c r="L875" s="56" t="inlineStr">
        <is>
          <t>Visit→Engagement 1-23 August 2026</t>
        </is>
      </c>
      <c r="M875" s="40">
        <f>IF(Countries!J387="","STILL MISSING","Filled ✓")</f>
        <v/>
      </c>
    </row>
    <row r="876">
      <c r="A876" s="40" t="inlineStr">
        <is>
          <t>Countries</t>
        </is>
      </c>
      <c r="B876" s="40" t="inlineStr">
        <is>
          <t>AR429</t>
        </is>
      </c>
      <c r="C876" s="40" t="n">
        <v>429</v>
      </c>
      <c r="D876" s="40" t="inlineStr">
        <is>
          <t>Route page</t>
        </is>
      </c>
      <c r="E876" s="40" t="inlineStr">
        <is>
          <t>Direct</t>
        </is>
      </c>
      <c r="F876" s="40" t="inlineStr">
        <is>
          <t>Desktop</t>
        </is>
      </c>
      <c r="G876" s="40" t="inlineStr">
        <is>
          <t>Switzerland</t>
        </is>
      </c>
      <c r="H876" s="40" t="n">
        <v>22</v>
      </c>
      <c r="I876" s="40" t="inlineStr">
        <is>
          <t>Purchases</t>
        </is>
      </c>
      <c r="J876" s="40" t="inlineStr">
        <is>
          <t>1-23 August 2025</t>
        </is>
      </c>
      <c r="K876" s="55" t="n">
        <v>26</v>
      </c>
      <c r="L876" s="40" t="inlineStr">
        <is>
          <t>CR 1-23 August 2025 + Search→Booking 1-23 August 2025</t>
        </is>
      </c>
      <c r="M876" s="40">
        <f>IF(Countries!AR429="","STILL MISSING","Filled ✓")</f>
        <v/>
      </c>
    </row>
    <row r="877">
      <c r="A877" s="56" t="inlineStr">
        <is>
          <t>Countries</t>
        </is>
      </c>
      <c r="B877" s="56" t="inlineStr">
        <is>
          <t>Q429</t>
        </is>
      </c>
      <c r="C877" s="56" t="n">
        <v>429</v>
      </c>
      <c r="D877" s="56" t="inlineStr">
        <is>
          <t>Route page</t>
        </is>
      </c>
      <c r="E877" s="56" t="inlineStr">
        <is>
          <t>Direct</t>
        </is>
      </c>
      <c r="F877" s="56" t="inlineStr">
        <is>
          <t>Desktop</t>
        </is>
      </c>
      <c r="G877" s="56" t="inlineStr">
        <is>
          <t>Switzerland</t>
        </is>
      </c>
      <c r="H877" s="56" t="n">
        <v>22</v>
      </c>
      <c r="I877" s="56" t="inlineStr">
        <is>
          <t>Searches</t>
        </is>
      </c>
      <c r="J877" s="56" t="inlineStr">
        <is>
          <t>1-23 August 2026</t>
        </is>
      </c>
      <c r="K877" s="57" t="n">
        <v>26</v>
      </c>
      <c r="L877" s="56" t="inlineStr">
        <is>
          <t>Searches YoY</t>
        </is>
      </c>
      <c r="M877" s="40">
        <f>IF(Countries!Q429="","STILL MISSING","Filled ✓")</f>
        <v/>
      </c>
    </row>
    <row r="878">
      <c r="A878" s="40" t="inlineStr">
        <is>
          <t>Countries</t>
        </is>
      </c>
      <c r="B878" s="40" t="inlineStr">
        <is>
          <t>W429</t>
        </is>
      </c>
      <c r="C878" s="40" t="n">
        <v>429</v>
      </c>
      <c r="D878" s="40" t="inlineStr">
        <is>
          <t>Route page</t>
        </is>
      </c>
      <c r="E878" s="40" t="inlineStr">
        <is>
          <t>Direct</t>
        </is>
      </c>
      <c r="F878" s="40" t="inlineStr">
        <is>
          <t>Desktop</t>
        </is>
      </c>
      <c r="G878" s="40" t="inlineStr">
        <is>
          <t>Switzerland</t>
        </is>
      </c>
      <c r="H878" s="40" t="n">
        <v>22</v>
      </c>
      <c r="I878" s="40" t="inlineStr">
        <is>
          <t>Select item</t>
        </is>
      </c>
      <c r="J878" s="40" t="inlineStr">
        <is>
          <t>1-23 August 2025</t>
        </is>
      </c>
      <c r="K878" s="55" t="n">
        <v>26</v>
      </c>
      <c r="L878" s="40" t="inlineStr">
        <is>
          <t>Search→Select 1-23 August 2025</t>
        </is>
      </c>
      <c r="M878" s="40">
        <f>IF(Countries!W429="","STILL MISSING","Filled ✓")</f>
        <v/>
      </c>
    </row>
    <row r="879">
      <c r="A879" s="56" t="inlineStr">
        <is>
          <t>Countries</t>
        </is>
      </c>
      <c r="B879" s="56" t="inlineStr">
        <is>
          <t>F429</t>
        </is>
      </c>
      <c r="C879" s="56" t="n">
        <v>429</v>
      </c>
      <c r="D879" s="56" t="inlineStr">
        <is>
          <t>Route page</t>
        </is>
      </c>
      <c r="E879" s="56" t="inlineStr">
        <is>
          <t>Direct</t>
        </is>
      </c>
      <c r="F879" s="56" t="inlineStr">
        <is>
          <t>Desktop</t>
        </is>
      </c>
      <c r="G879" s="56" t="inlineStr">
        <is>
          <t>Switzerland</t>
        </is>
      </c>
      <c r="H879" s="56" t="n">
        <v>22</v>
      </c>
      <c r="I879" s="56" t="inlineStr">
        <is>
          <t>Sessions</t>
        </is>
      </c>
      <c r="J879" s="56" t="inlineStr">
        <is>
          <t>1-23 August 2026</t>
        </is>
      </c>
      <c r="K879" s="57" t="n">
        <v>26</v>
      </c>
      <c r="L879" s="56" t="inlineStr">
        <is>
          <t>Sessions YoY</t>
        </is>
      </c>
      <c r="M879" s="40">
        <f>IF(Countries!F429="","STILL MISSING","Filled ✓")</f>
        <v/>
      </c>
    </row>
    <row r="880">
      <c r="A880" s="40" t="inlineStr">
        <is>
          <t>Countries</t>
        </is>
      </c>
      <c r="B880" s="40" t="inlineStr">
        <is>
          <t>I429</t>
        </is>
      </c>
      <c r="C880" s="40" t="n">
        <v>429</v>
      </c>
      <c r="D880" s="40" t="inlineStr">
        <is>
          <t>Route page</t>
        </is>
      </c>
      <c r="E880" s="40" t="inlineStr">
        <is>
          <t>Direct</t>
        </is>
      </c>
      <c r="F880" s="40" t="inlineStr">
        <is>
          <t>Desktop</t>
        </is>
      </c>
      <c r="G880" s="40" t="inlineStr">
        <is>
          <t>Switzerland</t>
        </is>
      </c>
      <c r="H880" s="40" t="n">
        <v>22</v>
      </c>
      <c r="I880" s="40" t="inlineStr">
        <is>
          <t>Start Search</t>
        </is>
      </c>
      <c r="J880" s="40" t="inlineStr">
        <is>
          <t>1-23 August 2025</t>
        </is>
      </c>
      <c r="K880" s="55" t="n">
        <v>26</v>
      </c>
      <c r="L880" s="40" t="inlineStr">
        <is>
          <t>Visit→Engagement 1-23 August 2025</t>
        </is>
      </c>
      <c r="M880" s="40">
        <f>IF(Countries!I429="","STILL MISSING","Filled ✓")</f>
        <v/>
      </c>
    </row>
    <row r="881">
      <c r="A881" s="56" t="inlineStr">
        <is>
          <t>Countries</t>
        </is>
      </c>
      <c r="B881" s="56" t="inlineStr">
        <is>
          <t>AR87</t>
        </is>
      </c>
      <c r="C881" s="56" t="n">
        <v>87</v>
      </c>
      <c r="D881" s="56" t="inlineStr">
        <is>
          <t>All landing pages</t>
        </is>
      </c>
      <c r="E881" s="56" t="inlineStr">
        <is>
          <t>Direct</t>
        </is>
      </c>
      <c r="F881" s="56" t="inlineStr">
        <is>
          <t>Mobile</t>
        </is>
      </c>
      <c r="G881" s="56" t="inlineStr">
        <is>
          <t>(not set)</t>
        </is>
      </c>
      <c r="H881" s="56" t="n">
        <v>23</v>
      </c>
      <c r="I881" s="56" t="inlineStr">
        <is>
          <t>Purchases</t>
        </is>
      </c>
      <c r="J881" s="56" t="inlineStr">
        <is>
          <t>1-23 August 2025</t>
        </is>
      </c>
      <c r="K881" s="57" t="n">
        <v>389</v>
      </c>
      <c r="L881" s="56" t="inlineStr">
        <is>
          <t>CR 1-23 August 2025</t>
        </is>
      </c>
      <c r="M881" s="40">
        <f>IF(Countries!AR87="","STILL MISSING","Filled ✓")</f>
        <v/>
      </c>
    </row>
    <row r="882">
      <c r="A882" s="40" t="inlineStr">
        <is>
          <t>Countries</t>
        </is>
      </c>
      <c r="B882" s="40" t="inlineStr">
        <is>
          <t>P87</t>
        </is>
      </c>
      <c r="C882" s="40" t="n">
        <v>87</v>
      </c>
      <c r="D882" s="40" t="inlineStr">
        <is>
          <t>All landing pages</t>
        </is>
      </c>
      <c r="E882" s="40" t="inlineStr">
        <is>
          <t>Direct</t>
        </is>
      </c>
      <c r="F882" s="40" t="inlineStr">
        <is>
          <t>Mobile</t>
        </is>
      </c>
      <c r="G882" s="40" t="inlineStr">
        <is>
          <t>(not set)</t>
        </is>
      </c>
      <c r="H882" s="40" t="n">
        <v>23</v>
      </c>
      <c r="I882" s="40" t="inlineStr">
        <is>
          <t>Searches</t>
        </is>
      </c>
      <c r="J882" s="40" t="inlineStr">
        <is>
          <t>1-23 August 2025</t>
        </is>
      </c>
      <c r="K882" s="55" t="n">
        <v>389</v>
      </c>
      <c r="L882" s="40" t="inlineStr">
        <is>
          <t>Visit→Search 1-23 August 2025</t>
        </is>
      </c>
      <c r="M882" s="40">
        <f>IF(Countries!P87="","STILL MISSING","Filled ✓")</f>
        <v/>
      </c>
    </row>
    <row r="883">
      <c r="A883" s="56" t="inlineStr">
        <is>
          <t>Countries</t>
        </is>
      </c>
      <c r="B883" s="56" t="inlineStr">
        <is>
          <t>F87</t>
        </is>
      </c>
      <c r="C883" s="56" t="n">
        <v>87</v>
      </c>
      <c r="D883" s="56" t="inlineStr">
        <is>
          <t>All landing pages</t>
        </is>
      </c>
      <c r="E883" s="56" t="inlineStr">
        <is>
          <t>Direct</t>
        </is>
      </c>
      <c r="F883" s="56" t="inlineStr">
        <is>
          <t>Mobile</t>
        </is>
      </c>
      <c r="G883" s="56" t="inlineStr">
        <is>
          <t>(not set)</t>
        </is>
      </c>
      <c r="H883" s="56" t="n">
        <v>23</v>
      </c>
      <c r="I883" s="56" t="inlineStr">
        <is>
          <t>Sessions</t>
        </is>
      </c>
      <c r="J883" s="56" t="inlineStr">
        <is>
          <t>1-23 August 2026</t>
        </is>
      </c>
      <c r="K883" s="57" t="n">
        <v>389</v>
      </c>
      <c r="L883" s="56" t="inlineStr">
        <is>
          <t>Sessions YoY</t>
        </is>
      </c>
      <c r="M883" s="40">
        <f>IF(Countries!F87="","STILL MISSING","Filled ✓")</f>
        <v/>
      </c>
    </row>
    <row r="884">
      <c r="A884" s="40" t="inlineStr">
        <is>
          <t>Countries</t>
        </is>
      </c>
      <c r="B884" s="40" t="inlineStr">
        <is>
          <t>I87</t>
        </is>
      </c>
      <c r="C884" s="40" t="n">
        <v>87</v>
      </c>
      <c r="D884" s="40" t="inlineStr">
        <is>
          <t>All landing pages</t>
        </is>
      </c>
      <c r="E884" s="40" t="inlineStr">
        <is>
          <t>Direct</t>
        </is>
      </c>
      <c r="F884" s="40" t="inlineStr">
        <is>
          <t>Mobile</t>
        </is>
      </c>
      <c r="G884" s="40" t="inlineStr">
        <is>
          <t>(not set)</t>
        </is>
      </c>
      <c r="H884" s="40" t="n">
        <v>23</v>
      </c>
      <c r="I884" s="40" t="inlineStr">
        <is>
          <t>Start Search</t>
        </is>
      </c>
      <c r="J884" s="40" t="inlineStr">
        <is>
          <t>1-23 August 2025</t>
        </is>
      </c>
      <c r="K884" s="55" t="n">
        <v>389</v>
      </c>
      <c r="L884" s="40" t="inlineStr">
        <is>
          <t>Visit→Engagement 1-23 August 2025</t>
        </is>
      </c>
      <c r="M884" s="40">
        <f>IF(Countries!I87="","STILL MISSING","Filled ✓")</f>
        <v/>
      </c>
    </row>
    <row r="885">
      <c r="A885" s="56" t="inlineStr">
        <is>
          <t>Countries</t>
        </is>
      </c>
      <c r="B885" s="56" t="inlineStr">
        <is>
          <t>AR301</t>
        </is>
      </c>
      <c r="C885" s="56" t="n">
        <v>301</v>
      </c>
      <c r="D885" s="56" t="inlineStr">
        <is>
          <t>Airport page</t>
        </is>
      </c>
      <c r="E885" s="56" t="inlineStr">
        <is>
          <t>Direct</t>
        </is>
      </c>
      <c r="F885" s="56" t="inlineStr">
        <is>
          <t>Mobile</t>
        </is>
      </c>
      <c r="G885" s="56" t="inlineStr">
        <is>
          <t>(not set)</t>
        </is>
      </c>
      <c r="H885" s="56" t="n">
        <v>23</v>
      </c>
      <c r="I885" s="56" t="inlineStr">
        <is>
          <t>Purchases</t>
        </is>
      </c>
      <c r="J885" s="56" t="inlineStr">
        <is>
          <t>1-23 August 2025</t>
        </is>
      </c>
      <c r="K885" s="57" t="n">
        <v>40</v>
      </c>
      <c r="L885" s="56" t="inlineStr">
        <is>
          <t>CR 1-23 August 2025</t>
        </is>
      </c>
      <c r="M885" s="40">
        <f>IF(Countries!AR301="","STILL MISSING","Filled ✓")</f>
        <v/>
      </c>
    </row>
    <row r="886">
      <c r="A886" s="40" t="inlineStr">
        <is>
          <t>Countries</t>
        </is>
      </c>
      <c r="B886" s="40" t="inlineStr">
        <is>
          <t>P301</t>
        </is>
      </c>
      <c r="C886" s="40" t="n">
        <v>301</v>
      </c>
      <c r="D886" s="40" t="inlineStr">
        <is>
          <t>Airport page</t>
        </is>
      </c>
      <c r="E886" s="40" t="inlineStr">
        <is>
          <t>Direct</t>
        </is>
      </c>
      <c r="F886" s="40" t="inlineStr">
        <is>
          <t>Mobile</t>
        </is>
      </c>
      <c r="G886" s="40" t="inlineStr">
        <is>
          <t>(not set)</t>
        </is>
      </c>
      <c r="H886" s="40" t="n">
        <v>23</v>
      </c>
      <c r="I886" s="40" t="inlineStr">
        <is>
          <t>Searches</t>
        </is>
      </c>
      <c r="J886" s="40" t="inlineStr">
        <is>
          <t>1-23 August 2025</t>
        </is>
      </c>
      <c r="K886" s="55" t="n">
        <v>40</v>
      </c>
      <c r="L886" s="40" t="inlineStr">
        <is>
          <t>Visit→Search 1-23 August 2025</t>
        </is>
      </c>
      <c r="M886" s="40">
        <f>IF(Countries!P301="","STILL MISSING","Filled ✓")</f>
        <v/>
      </c>
    </row>
    <row r="887">
      <c r="A887" s="56" t="inlineStr">
        <is>
          <t>Countries</t>
        </is>
      </c>
      <c r="B887" s="56" t="inlineStr">
        <is>
          <t>F301</t>
        </is>
      </c>
      <c r="C887" s="56" t="n">
        <v>301</v>
      </c>
      <c r="D887" s="56" t="inlineStr">
        <is>
          <t>Airport page</t>
        </is>
      </c>
      <c r="E887" s="56" t="inlineStr">
        <is>
          <t>Direct</t>
        </is>
      </c>
      <c r="F887" s="56" t="inlineStr">
        <is>
          <t>Mobile</t>
        </is>
      </c>
      <c r="G887" s="56" t="inlineStr">
        <is>
          <t>(not set)</t>
        </is>
      </c>
      <c r="H887" s="56" t="n">
        <v>23</v>
      </c>
      <c r="I887" s="56" t="inlineStr">
        <is>
          <t>Sessions</t>
        </is>
      </c>
      <c r="J887" s="56" t="inlineStr">
        <is>
          <t>1-23 August 2026</t>
        </is>
      </c>
      <c r="K887" s="57" t="n">
        <v>40</v>
      </c>
      <c r="L887" s="56" t="inlineStr">
        <is>
          <t>Sessions YoY</t>
        </is>
      </c>
      <c r="M887" s="40">
        <f>IF(Countries!F301="","STILL MISSING","Filled ✓")</f>
        <v/>
      </c>
    </row>
    <row r="888">
      <c r="A888" s="40" t="inlineStr">
        <is>
          <t>Countries</t>
        </is>
      </c>
      <c r="B888" s="40" t="inlineStr">
        <is>
          <t>I301</t>
        </is>
      </c>
      <c r="C888" s="40" t="n">
        <v>301</v>
      </c>
      <c r="D888" s="40" t="inlineStr">
        <is>
          <t>Airport page</t>
        </is>
      </c>
      <c r="E888" s="40" t="inlineStr">
        <is>
          <t>Direct</t>
        </is>
      </c>
      <c r="F888" s="40" t="inlineStr">
        <is>
          <t>Mobile</t>
        </is>
      </c>
      <c r="G888" s="40" t="inlineStr">
        <is>
          <t>(not set)</t>
        </is>
      </c>
      <c r="H888" s="40" t="n">
        <v>23</v>
      </c>
      <c r="I888" s="40" t="inlineStr">
        <is>
          <t>Start Search</t>
        </is>
      </c>
      <c r="J888" s="40" t="inlineStr">
        <is>
          <t>1-23 August 2025</t>
        </is>
      </c>
      <c r="K888" s="55" t="n">
        <v>40</v>
      </c>
      <c r="L888" s="40" t="inlineStr">
        <is>
          <t>Visit→Engagement 1-23 August 2025</t>
        </is>
      </c>
      <c r="M888" s="40">
        <f>IF(Countries!I301="","STILL MISSING","Filled ✓")</f>
        <v/>
      </c>
    </row>
    <row r="889">
      <c r="A889" s="56" t="inlineStr">
        <is>
          <t>Countries</t>
        </is>
      </c>
      <c r="B889" s="56" t="inlineStr">
        <is>
          <t>AR409</t>
        </is>
      </c>
      <c r="C889" s="56" t="n">
        <v>409</v>
      </c>
      <c r="D889" s="56" t="inlineStr">
        <is>
          <t>Route page</t>
        </is>
      </c>
      <c r="E889" s="56" t="inlineStr">
        <is>
          <t>Direct</t>
        </is>
      </c>
      <c r="F889" s="56" t="inlineStr">
        <is>
          <t>Mobile</t>
        </is>
      </c>
      <c r="G889" s="56" t="inlineStr">
        <is>
          <t>(not set)</t>
        </is>
      </c>
      <c r="H889" s="56" t="n">
        <v>23</v>
      </c>
      <c r="I889" s="56" t="inlineStr">
        <is>
          <t>Purchases</t>
        </is>
      </c>
      <c r="J889" s="56" t="inlineStr">
        <is>
          <t>1-23 August 2025</t>
        </is>
      </c>
      <c r="K889" s="57" t="n">
        <v>62</v>
      </c>
      <c r="L889" s="56" t="inlineStr">
        <is>
          <t>CR 1-23 August 2025</t>
        </is>
      </c>
      <c r="M889" s="40">
        <f>IF(Countries!AR409="","STILL MISSING","Filled ✓")</f>
        <v/>
      </c>
    </row>
    <row r="890">
      <c r="A890" s="40" t="inlineStr">
        <is>
          <t>Countries</t>
        </is>
      </c>
      <c r="B890" s="40" t="inlineStr">
        <is>
          <t>P409</t>
        </is>
      </c>
      <c r="C890" s="40" t="n">
        <v>409</v>
      </c>
      <c r="D890" s="40" t="inlineStr">
        <is>
          <t>Route page</t>
        </is>
      </c>
      <c r="E890" s="40" t="inlineStr">
        <is>
          <t>Direct</t>
        </is>
      </c>
      <c r="F890" s="40" t="inlineStr">
        <is>
          <t>Mobile</t>
        </is>
      </c>
      <c r="G890" s="40" t="inlineStr">
        <is>
          <t>(not set)</t>
        </is>
      </c>
      <c r="H890" s="40" t="n">
        <v>23</v>
      </c>
      <c r="I890" s="40" t="inlineStr">
        <is>
          <t>Searches</t>
        </is>
      </c>
      <c r="J890" s="40" t="inlineStr">
        <is>
          <t>1-23 August 2025</t>
        </is>
      </c>
      <c r="K890" s="55" t="n">
        <v>62</v>
      </c>
      <c r="L890" s="40" t="inlineStr">
        <is>
          <t>Visit→Search 1-23 August 2025</t>
        </is>
      </c>
      <c r="M890" s="40">
        <f>IF(Countries!P409="","STILL MISSING","Filled ✓")</f>
        <v/>
      </c>
    </row>
    <row r="891">
      <c r="A891" s="56" t="inlineStr">
        <is>
          <t>Countries</t>
        </is>
      </c>
      <c r="B891" s="56" t="inlineStr">
        <is>
          <t>F409</t>
        </is>
      </c>
      <c r="C891" s="56" t="n">
        <v>409</v>
      </c>
      <c r="D891" s="56" t="inlineStr">
        <is>
          <t>Route page</t>
        </is>
      </c>
      <c r="E891" s="56" t="inlineStr">
        <is>
          <t>Direct</t>
        </is>
      </c>
      <c r="F891" s="56" t="inlineStr">
        <is>
          <t>Mobile</t>
        </is>
      </c>
      <c r="G891" s="56" t="inlineStr">
        <is>
          <t>(not set)</t>
        </is>
      </c>
      <c r="H891" s="56" t="n">
        <v>23</v>
      </c>
      <c r="I891" s="56" t="inlineStr">
        <is>
          <t>Sessions</t>
        </is>
      </c>
      <c r="J891" s="56" t="inlineStr">
        <is>
          <t>1-23 August 2026</t>
        </is>
      </c>
      <c r="K891" s="57" t="n">
        <v>62</v>
      </c>
      <c r="L891" s="56" t="inlineStr">
        <is>
          <t>Sessions YoY</t>
        </is>
      </c>
      <c r="M891" s="40">
        <f>IF(Countries!F409="","STILL MISSING","Filled ✓")</f>
        <v/>
      </c>
    </row>
    <row r="892">
      <c r="A892" s="40" t="inlineStr">
        <is>
          <t>Countries</t>
        </is>
      </c>
      <c r="B892" s="40" t="inlineStr">
        <is>
          <t>I409</t>
        </is>
      </c>
      <c r="C892" s="40" t="n">
        <v>409</v>
      </c>
      <c r="D892" s="40" t="inlineStr">
        <is>
          <t>Route page</t>
        </is>
      </c>
      <c r="E892" s="40" t="inlineStr">
        <is>
          <t>Direct</t>
        </is>
      </c>
      <c r="F892" s="40" t="inlineStr">
        <is>
          <t>Mobile</t>
        </is>
      </c>
      <c r="G892" s="40" t="inlineStr">
        <is>
          <t>(not set)</t>
        </is>
      </c>
      <c r="H892" s="40" t="n">
        <v>23</v>
      </c>
      <c r="I892" s="40" t="inlineStr">
        <is>
          <t>Start Search</t>
        </is>
      </c>
      <c r="J892" s="40" t="inlineStr">
        <is>
          <t>1-23 August 2025</t>
        </is>
      </c>
      <c r="K892" s="55" t="n">
        <v>62</v>
      </c>
      <c r="L892" s="40" t="inlineStr">
        <is>
          <t>Visit→Engagement 1-23 August 2025</t>
        </is>
      </c>
      <c r="M892" s="40">
        <f>IF(Countries!I409="","STILL MISSING","Filled ✓")</f>
        <v/>
      </c>
    </row>
    <row r="893">
      <c r="A893" s="56" t="inlineStr">
        <is>
          <t>Countries</t>
        </is>
      </c>
      <c r="B893" s="56" t="inlineStr">
        <is>
          <t>AS200</t>
        </is>
      </c>
      <c r="C893" s="56" t="n">
        <v>200</v>
      </c>
      <c r="D893" s="56" t="inlineStr">
        <is>
          <t>Home page</t>
        </is>
      </c>
      <c r="E893" s="56" t="inlineStr">
        <is>
          <t>Direct</t>
        </is>
      </c>
      <c r="F893" s="56" t="inlineStr">
        <is>
          <t>Mobile</t>
        </is>
      </c>
      <c r="G893" s="56" t="inlineStr">
        <is>
          <t>Algeria</t>
        </is>
      </c>
      <c r="H893" s="56" t="n">
        <v>24</v>
      </c>
      <c r="I893" s="56" t="inlineStr">
        <is>
          <t>Purchases</t>
        </is>
      </c>
      <c r="J893" s="56" t="inlineStr">
        <is>
          <t>1-23 August 2026</t>
        </is>
      </c>
      <c r="K893" s="57" t="n">
        <v>58</v>
      </c>
      <c r="L893" s="56" t="inlineStr">
        <is>
          <t>Search→Booking 1-23 August 2026</t>
        </is>
      </c>
      <c r="M893" s="40">
        <f>IF(Countries!AS200="","STILL MISSING","Filled ✓")</f>
        <v/>
      </c>
    </row>
    <row r="894">
      <c r="A894" s="40" t="inlineStr">
        <is>
          <t>Countries</t>
        </is>
      </c>
      <c r="B894" s="40" t="inlineStr">
        <is>
          <t>P200</t>
        </is>
      </c>
      <c r="C894" s="40" t="n">
        <v>200</v>
      </c>
      <c r="D894" s="40" t="inlineStr">
        <is>
          <t>Home page</t>
        </is>
      </c>
      <c r="E894" s="40" t="inlineStr">
        <is>
          <t>Direct</t>
        </is>
      </c>
      <c r="F894" s="40" t="inlineStr">
        <is>
          <t>Mobile</t>
        </is>
      </c>
      <c r="G894" s="40" t="inlineStr">
        <is>
          <t>Algeria</t>
        </is>
      </c>
      <c r="H894" s="40" t="n">
        <v>24</v>
      </c>
      <c r="I894" s="40" t="inlineStr">
        <is>
          <t>Searches</t>
        </is>
      </c>
      <c r="J894" s="40" t="inlineStr">
        <is>
          <t>1-23 August 2025</t>
        </is>
      </c>
      <c r="K894" s="55" t="n">
        <v>58</v>
      </c>
      <c r="L894" s="40" t="inlineStr">
        <is>
          <t>Searches YoY</t>
        </is>
      </c>
      <c r="M894" s="40">
        <f>IF(Countries!P200="","STILL MISSING","Filled ✓")</f>
        <v/>
      </c>
    </row>
    <row r="895">
      <c r="A895" s="56" t="inlineStr">
        <is>
          <t>Countries</t>
        </is>
      </c>
      <c r="B895" s="56" t="inlineStr">
        <is>
          <t>X200</t>
        </is>
      </c>
      <c r="C895" s="56" t="n">
        <v>200</v>
      </c>
      <c r="D895" s="56" t="inlineStr">
        <is>
          <t>Home page</t>
        </is>
      </c>
      <c r="E895" s="56" t="inlineStr">
        <is>
          <t>Direct</t>
        </is>
      </c>
      <c r="F895" s="56" t="inlineStr">
        <is>
          <t>Mobile</t>
        </is>
      </c>
      <c r="G895" s="56" t="inlineStr">
        <is>
          <t>Algeria</t>
        </is>
      </c>
      <c r="H895" s="56" t="n">
        <v>24</v>
      </c>
      <c r="I895" s="56" t="inlineStr">
        <is>
          <t>Select item</t>
        </is>
      </c>
      <c r="J895" s="56" t="inlineStr">
        <is>
          <t>1-23 August 2026</t>
        </is>
      </c>
      <c r="K895" s="57" t="n">
        <v>58</v>
      </c>
      <c r="L895" s="56" t="inlineStr">
        <is>
          <t>Search→Select 1-23 August 2026</t>
        </is>
      </c>
      <c r="M895" s="40">
        <f>IF(Countries!X200="","STILL MISSING","Filled ✓")</f>
        <v/>
      </c>
    </row>
    <row r="896">
      <c r="A896" s="40" t="inlineStr">
        <is>
          <t>Countries</t>
        </is>
      </c>
      <c r="B896" s="40" t="inlineStr">
        <is>
          <t>F200</t>
        </is>
      </c>
      <c r="C896" s="40" t="n">
        <v>200</v>
      </c>
      <c r="D896" s="40" t="inlineStr">
        <is>
          <t>Home page</t>
        </is>
      </c>
      <c r="E896" s="40" t="inlineStr">
        <is>
          <t>Direct</t>
        </is>
      </c>
      <c r="F896" s="40" t="inlineStr">
        <is>
          <t>Mobile</t>
        </is>
      </c>
      <c r="G896" s="40" t="inlineStr">
        <is>
          <t>Algeria</t>
        </is>
      </c>
      <c r="H896" s="40" t="n">
        <v>24</v>
      </c>
      <c r="I896" s="40" t="inlineStr">
        <is>
          <t>Sessions</t>
        </is>
      </c>
      <c r="J896" s="40" t="inlineStr">
        <is>
          <t>1-23 August 2026</t>
        </is>
      </c>
      <c r="K896" s="55" t="n">
        <v>58</v>
      </c>
      <c r="L896" s="40" t="inlineStr">
        <is>
          <t>Visit→Search 1-23 August 2026</t>
        </is>
      </c>
      <c r="M896" s="40">
        <f>IF(Countries!F200="","STILL MISSING","Filled ✓")</f>
        <v/>
      </c>
    </row>
    <row r="897">
      <c r="A897" s="56" t="inlineStr">
        <is>
          <t>Countries</t>
        </is>
      </c>
      <c r="B897" s="56" t="inlineStr">
        <is>
          <t>AS393</t>
        </is>
      </c>
      <c r="C897" s="56" t="n">
        <v>393</v>
      </c>
      <c r="D897" s="56" t="inlineStr">
        <is>
          <t>Route page</t>
        </is>
      </c>
      <c r="E897" s="56" t="inlineStr">
        <is>
          <t>Organic</t>
        </is>
      </c>
      <c r="F897" s="56" t="inlineStr">
        <is>
          <t>Desktop</t>
        </is>
      </c>
      <c r="G897" s="56" t="inlineStr">
        <is>
          <t>Argentina</t>
        </is>
      </c>
      <c r="H897" s="56" t="n">
        <v>25</v>
      </c>
      <c r="I897" s="56" t="inlineStr">
        <is>
          <t>Purchases</t>
        </is>
      </c>
      <c r="J897" s="56" t="inlineStr">
        <is>
          <t>1-23 August 2026</t>
        </is>
      </c>
      <c r="K897" s="57" t="n">
        <v>105</v>
      </c>
      <c r="L897" s="56" t="inlineStr">
        <is>
          <t>Search→Booking 1-23 August 2026</t>
        </is>
      </c>
      <c r="M897" s="40">
        <f>IF(Countries!AS393="","STILL MISSING","Filled ✓")</f>
        <v/>
      </c>
    </row>
    <row r="898">
      <c r="A898" s="40" t="inlineStr">
        <is>
          <t>Countries</t>
        </is>
      </c>
      <c r="B898" s="40" t="inlineStr">
        <is>
          <t>P393</t>
        </is>
      </c>
      <c r="C898" s="40" t="n">
        <v>393</v>
      </c>
      <c r="D898" s="40" t="inlineStr">
        <is>
          <t>Route page</t>
        </is>
      </c>
      <c r="E898" s="40" t="inlineStr">
        <is>
          <t>Organic</t>
        </is>
      </c>
      <c r="F898" s="40" t="inlineStr">
        <is>
          <t>Desktop</t>
        </is>
      </c>
      <c r="G898" s="40" t="inlineStr">
        <is>
          <t>Argentina</t>
        </is>
      </c>
      <c r="H898" s="40" t="n">
        <v>25</v>
      </c>
      <c r="I898" s="40" t="inlineStr">
        <is>
          <t>Searches</t>
        </is>
      </c>
      <c r="J898" s="40" t="inlineStr">
        <is>
          <t>1-23 August 2025</t>
        </is>
      </c>
      <c r="K898" s="55" t="n">
        <v>105</v>
      </c>
      <c r="L898" s="40" t="inlineStr">
        <is>
          <t>Searches YoY</t>
        </is>
      </c>
      <c r="M898" s="40">
        <f>IF(Countries!P393="","STILL MISSING","Filled ✓")</f>
        <v/>
      </c>
    </row>
    <row r="899">
      <c r="A899" s="56" t="inlineStr">
        <is>
          <t>Countries</t>
        </is>
      </c>
      <c r="B899" s="56" t="inlineStr">
        <is>
          <t>X393</t>
        </is>
      </c>
      <c r="C899" s="56" t="n">
        <v>393</v>
      </c>
      <c r="D899" s="56" t="inlineStr">
        <is>
          <t>Route page</t>
        </is>
      </c>
      <c r="E899" s="56" t="inlineStr">
        <is>
          <t>Organic</t>
        </is>
      </c>
      <c r="F899" s="56" t="inlineStr">
        <is>
          <t>Desktop</t>
        </is>
      </c>
      <c r="G899" s="56" t="inlineStr">
        <is>
          <t>Argentina</t>
        </is>
      </c>
      <c r="H899" s="56" t="n">
        <v>25</v>
      </c>
      <c r="I899" s="56" t="inlineStr">
        <is>
          <t>Select item</t>
        </is>
      </c>
      <c r="J899" s="56" t="inlineStr">
        <is>
          <t>1-23 August 2026</t>
        </is>
      </c>
      <c r="K899" s="57" t="n">
        <v>105</v>
      </c>
      <c r="L899" s="56" t="inlineStr">
        <is>
          <t>Search→Select 1-23 August 2026</t>
        </is>
      </c>
      <c r="M899" s="40">
        <f>IF(Countries!X393="","STILL MISSING","Filled ✓")</f>
        <v/>
      </c>
    </row>
    <row r="900">
      <c r="A900" s="40" t="inlineStr">
        <is>
          <t>Countries</t>
        </is>
      </c>
      <c r="B900" s="40" t="inlineStr">
        <is>
          <t>F393</t>
        </is>
      </c>
      <c r="C900" s="40" t="n">
        <v>393</v>
      </c>
      <c r="D900" s="40" t="inlineStr">
        <is>
          <t>Route page</t>
        </is>
      </c>
      <c r="E900" s="40" t="inlineStr">
        <is>
          <t>Organic</t>
        </is>
      </c>
      <c r="F900" s="40" t="inlineStr">
        <is>
          <t>Desktop</t>
        </is>
      </c>
      <c r="G900" s="40" t="inlineStr">
        <is>
          <t>Argentina</t>
        </is>
      </c>
      <c r="H900" s="40" t="n">
        <v>25</v>
      </c>
      <c r="I900" s="40" t="inlineStr">
        <is>
          <t>Sessions</t>
        </is>
      </c>
      <c r="J900" s="40" t="inlineStr">
        <is>
          <t>1-23 August 2026</t>
        </is>
      </c>
      <c r="K900" s="55" t="n">
        <v>105</v>
      </c>
      <c r="L900" s="40" t="inlineStr">
        <is>
          <t>Visit→Search 1-23 August 2026</t>
        </is>
      </c>
      <c r="M900" s="40">
        <f>IF(Countries!F393="","STILL MISSING","Filled ✓")</f>
        <v/>
      </c>
    </row>
    <row r="901">
      <c r="A901" s="56" t="inlineStr">
        <is>
          <t>Countries</t>
        </is>
      </c>
      <c r="B901" s="56" t="inlineStr">
        <is>
          <t>AR237</t>
        </is>
      </c>
      <c r="C901" s="56" t="n">
        <v>237</v>
      </c>
      <c r="D901" s="56" t="inlineStr">
        <is>
          <t>Airport page</t>
        </is>
      </c>
      <c r="E901" s="56" t="inlineStr">
        <is>
          <t>Paid Search</t>
        </is>
      </c>
      <c r="F901" s="56" t="inlineStr">
        <is>
          <t>Mobile</t>
        </is>
      </c>
      <c r="G901" s="56" t="inlineStr">
        <is>
          <t>Bangladesh</t>
        </is>
      </c>
      <c r="H901" s="56" t="n">
        <v>26</v>
      </c>
      <c r="I901" s="56" t="inlineStr">
        <is>
          <t>Purchases</t>
        </is>
      </c>
      <c r="J901" s="56" t="inlineStr">
        <is>
          <t>1-23 August 2025</t>
        </is>
      </c>
      <c r="K901" s="57" t="n">
        <v>1091</v>
      </c>
      <c r="L901" s="56" t="inlineStr">
        <is>
          <t>CR 1-23 August 2025</t>
        </is>
      </c>
      <c r="M901" s="40">
        <f>IF(Countries!AR237="","STILL MISSING","Filled ✓")</f>
        <v/>
      </c>
    </row>
    <row r="902">
      <c r="A902" s="40" t="inlineStr">
        <is>
          <t>Countries</t>
        </is>
      </c>
      <c r="B902" s="40" t="inlineStr">
        <is>
          <t>P237</t>
        </is>
      </c>
      <c r="C902" s="40" t="n">
        <v>237</v>
      </c>
      <c r="D902" s="40" t="inlineStr">
        <is>
          <t>Airport page</t>
        </is>
      </c>
      <c r="E902" s="40" t="inlineStr">
        <is>
          <t>Paid Search</t>
        </is>
      </c>
      <c r="F902" s="40" t="inlineStr">
        <is>
          <t>Mobile</t>
        </is>
      </c>
      <c r="G902" s="40" t="inlineStr">
        <is>
          <t>Bangladesh</t>
        </is>
      </c>
      <c r="H902" s="40" t="n">
        <v>26</v>
      </c>
      <c r="I902" s="40" t="inlineStr">
        <is>
          <t>Searches</t>
        </is>
      </c>
      <c r="J902" s="40" t="inlineStr">
        <is>
          <t>1-23 August 2025</t>
        </is>
      </c>
      <c r="K902" s="55" t="n">
        <v>1091</v>
      </c>
      <c r="L902" s="40" t="inlineStr">
        <is>
          <t>Visit→Search 1-23 August 2025</t>
        </is>
      </c>
      <c r="M902" s="40">
        <f>IF(Countries!P237="","STILL MISSING","Filled ✓")</f>
        <v/>
      </c>
    </row>
    <row r="903">
      <c r="A903" s="56" t="inlineStr">
        <is>
          <t>Countries</t>
        </is>
      </c>
      <c r="B903" s="56" t="inlineStr">
        <is>
          <t>F237</t>
        </is>
      </c>
      <c r="C903" s="56" t="n">
        <v>237</v>
      </c>
      <c r="D903" s="56" t="inlineStr">
        <is>
          <t>Airport page</t>
        </is>
      </c>
      <c r="E903" s="56" t="inlineStr">
        <is>
          <t>Paid Search</t>
        </is>
      </c>
      <c r="F903" s="56" t="inlineStr">
        <is>
          <t>Mobile</t>
        </is>
      </c>
      <c r="G903" s="56" t="inlineStr">
        <is>
          <t>Bangladesh</t>
        </is>
      </c>
      <c r="H903" s="56" t="n">
        <v>26</v>
      </c>
      <c r="I903" s="56" t="inlineStr">
        <is>
          <t>Sessions</t>
        </is>
      </c>
      <c r="J903" s="56" t="inlineStr">
        <is>
          <t>1-23 August 2026</t>
        </is>
      </c>
      <c r="K903" s="57" t="n">
        <v>1091</v>
      </c>
      <c r="L903" s="56" t="inlineStr">
        <is>
          <t>Sessions YoY</t>
        </is>
      </c>
      <c r="M903" s="40">
        <f>IF(Countries!F237="","STILL MISSING","Filled ✓")</f>
        <v/>
      </c>
    </row>
    <row r="904">
      <c r="A904" s="40" t="inlineStr">
        <is>
          <t>Countries</t>
        </is>
      </c>
      <c r="B904" s="40" t="inlineStr">
        <is>
          <t>I237</t>
        </is>
      </c>
      <c r="C904" s="40" t="n">
        <v>237</v>
      </c>
      <c r="D904" s="40" t="inlineStr">
        <is>
          <t>Airport page</t>
        </is>
      </c>
      <c r="E904" s="40" t="inlineStr">
        <is>
          <t>Paid Search</t>
        </is>
      </c>
      <c r="F904" s="40" t="inlineStr">
        <is>
          <t>Mobile</t>
        </is>
      </c>
      <c r="G904" s="40" t="inlineStr">
        <is>
          <t>Bangladesh</t>
        </is>
      </c>
      <c r="H904" s="40" t="n">
        <v>26</v>
      </c>
      <c r="I904" s="40" t="inlineStr">
        <is>
          <t>Start Search</t>
        </is>
      </c>
      <c r="J904" s="40" t="inlineStr">
        <is>
          <t>1-23 August 2025</t>
        </is>
      </c>
      <c r="K904" s="55" t="n">
        <v>1091</v>
      </c>
      <c r="L904" s="40" t="inlineStr">
        <is>
          <t>Visit→Engagement 1-23 August 2025</t>
        </is>
      </c>
      <c r="M904" s="40">
        <f>IF(Countries!I237="","STILL MISSING","Filled ✓")</f>
        <v/>
      </c>
    </row>
    <row r="905">
      <c r="A905" s="56" t="inlineStr">
        <is>
          <t>Countries</t>
        </is>
      </c>
      <c r="B905" s="56" t="inlineStr">
        <is>
          <t>AR68</t>
        </is>
      </c>
      <c r="C905" s="56" t="n">
        <v>68</v>
      </c>
      <c r="D905" s="56" t="inlineStr">
        <is>
          <t>All landing pages</t>
        </is>
      </c>
      <c r="E905" s="56" t="inlineStr">
        <is>
          <t>Organic</t>
        </is>
      </c>
      <c r="F905" s="56" t="inlineStr">
        <is>
          <t>Desktop</t>
        </is>
      </c>
      <c r="G905" s="56" t="inlineStr">
        <is>
          <t>Brazil</t>
        </is>
      </c>
      <c r="H905" s="56" t="n">
        <v>27</v>
      </c>
      <c r="I905" s="56" t="inlineStr">
        <is>
          <t>Purchases</t>
        </is>
      </c>
      <c r="J905" s="56" t="inlineStr">
        <is>
          <t>1-23 August 2025</t>
        </is>
      </c>
      <c r="K905" s="57" t="n">
        <v>496</v>
      </c>
      <c r="L905" s="56" t="inlineStr">
        <is>
          <t>CR 1-23 August 2025</t>
        </is>
      </c>
      <c r="M905" s="40">
        <f>IF(Countries!AR68="","STILL MISSING","Filled ✓")</f>
        <v/>
      </c>
    </row>
    <row r="906">
      <c r="A906" s="40" t="inlineStr">
        <is>
          <t>Countries</t>
        </is>
      </c>
      <c r="B906" s="40" t="inlineStr">
        <is>
          <t>P68</t>
        </is>
      </c>
      <c r="C906" s="40" t="n">
        <v>68</v>
      </c>
      <c r="D906" s="40" t="inlineStr">
        <is>
          <t>All landing pages</t>
        </is>
      </c>
      <c r="E906" s="40" t="inlineStr">
        <is>
          <t>Organic</t>
        </is>
      </c>
      <c r="F906" s="40" t="inlineStr">
        <is>
          <t>Desktop</t>
        </is>
      </c>
      <c r="G906" s="40" t="inlineStr">
        <is>
          <t>Brazil</t>
        </is>
      </c>
      <c r="H906" s="40" t="n">
        <v>27</v>
      </c>
      <c r="I906" s="40" t="inlineStr">
        <is>
          <t>Searches</t>
        </is>
      </c>
      <c r="J906" s="40" t="inlineStr">
        <is>
          <t>1-23 August 2025</t>
        </is>
      </c>
      <c r="K906" s="55" t="n">
        <v>496</v>
      </c>
      <c r="L906" s="40" t="inlineStr">
        <is>
          <t>Visit→Search 1-23 August 2025</t>
        </is>
      </c>
      <c r="M906" s="40">
        <f>IF(Countries!P68="","STILL MISSING","Filled ✓")</f>
        <v/>
      </c>
    </row>
    <row r="907">
      <c r="A907" s="56" t="inlineStr">
        <is>
          <t>Countries</t>
        </is>
      </c>
      <c r="B907" s="56" t="inlineStr">
        <is>
          <t>F68</t>
        </is>
      </c>
      <c r="C907" s="56" t="n">
        <v>68</v>
      </c>
      <c r="D907" s="56" t="inlineStr">
        <is>
          <t>All landing pages</t>
        </is>
      </c>
      <c r="E907" s="56" t="inlineStr">
        <is>
          <t>Organic</t>
        </is>
      </c>
      <c r="F907" s="56" t="inlineStr">
        <is>
          <t>Desktop</t>
        </is>
      </c>
      <c r="G907" s="56" t="inlineStr">
        <is>
          <t>Brazil</t>
        </is>
      </c>
      <c r="H907" s="56" t="n">
        <v>27</v>
      </c>
      <c r="I907" s="56" t="inlineStr">
        <is>
          <t>Sessions</t>
        </is>
      </c>
      <c r="J907" s="56" t="inlineStr">
        <is>
          <t>1-23 August 2026</t>
        </is>
      </c>
      <c r="K907" s="57" t="n">
        <v>496</v>
      </c>
      <c r="L907" s="56" t="inlineStr">
        <is>
          <t>Sessions YoY</t>
        </is>
      </c>
      <c r="M907" s="40">
        <f>IF(Countries!F68="","STILL MISSING","Filled ✓")</f>
        <v/>
      </c>
    </row>
    <row r="908">
      <c r="A908" s="40" t="inlineStr">
        <is>
          <t>Countries</t>
        </is>
      </c>
      <c r="B908" s="40" t="inlineStr">
        <is>
          <t>I68</t>
        </is>
      </c>
      <c r="C908" s="40" t="n">
        <v>68</v>
      </c>
      <c r="D908" s="40" t="inlineStr">
        <is>
          <t>All landing pages</t>
        </is>
      </c>
      <c r="E908" s="40" t="inlineStr">
        <is>
          <t>Organic</t>
        </is>
      </c>
      <c r="F908" s="40" t="inlineStr">
        <is>
          <t>Desktop</t>
        </is>
      </c>
      <c r="G908" s="40" t="inlineStr">
        <is>
          <t>Brazil</t>
        </is>
      </c>
      <c r="H908" s="40" t="n">
        <v>27</v>
      </c>
      <c r="I908" s="40" t="inlineStr">
        <is>
          <t>Start Search</t>
        </is>
      </c>
      <c r="J908" s="40" t="inlineStr">
        <is>
          <t>1-23 August 2025</t>
        </is>
      </c>
      <c r="K908" s="55" t="n">
        <v>496</v>
      </c>
      <c r="L908" s="40" t="inlineStr">
        <is>
          <t>Visit→Engagement 1-23 August 2025</t>
        </is>
      </c>
      <c r="M908" s="40">
        <f>IF(Countries!I68="","STILL MISSING","Filled ✓")</f>
        <v/>
      </c>
    </row>
    <row r="909">
      <c r="A909" s="56" t="inlineStr">
        <is>
          <t>Countries</t>
        </is>
      </c>
      <c r="B909" s="56" t="inlineStr">
        <is>
          <t>AR178</t>
        </is>
      </c>
      <c r="C909" s="56" t="n">
        <v>178</v>
      </c>
      <c r="D909" s="56" t="inlineStr">
        <is>
          <t>Home page</t>
        </is>
      </c>
      <c r="E909" s="56" t="inlineStr">
        <is>
          <t>Organic</t>
        </is>
      </c>
      <c r="F909" s="56" t="inlineStr">
        <is>
          <t>Desktop</t>
        </is>
      </c>
      <c r="G909" s="56" t="inlineStr">
        <is>
          <t>Brazil</t>
        </is>
      </c>
      <c r="H909" s="56" t="n">
        <v>27</v>
      </c>
      <c r="I909" s="56" t="inlineStr">
        <is>
          <t>Purchases</t>
        </is>
      </c>
      <c r="J909" s="56" t="inlineStr">
        <is>
          <t>1-23 August 2025</t>
        </is>
      </c>
      <c r="K909" s="57" t="n">
        <v>139</v>
      </c>
      <c r="L909" s="56" t="inlineStr">
        <is>
          <t>CR 1-23 August 2025</t>
        </is>
      </c>
      <c r="M909" s="40">
        <f>IF(Countries!AR178="","STILL MISSING","Filled ✓")</f>
        <v/>
      </c>
    </row>
    <row r="910">
      <c r="A910" s="40" t="inlineStr">
        <is>
          <t>Countries</t>
        </is>
      </c>
      <c r="B910" s="40" t="inlineStr">
        <is>
          <t>P178</t>
        </is>
      </c>
      <c r="C910" s="40" t="n">
        <v>178</v>
      </c>
      <c r="D910" s="40" t="inlineStr">
        <is>
          <t>Home page</t>
        </is>
      </c>
      <c r="E910" s="40" t="inlineStr">
        <is>
          <t>Organic</t>
        </is>
      </c>
      <c r="F910" s="40" t="inlineStr">
        <is>
          <t>Desktop</t>
        </is>
      </c>
      <c r="G910" s="40" t="inlineStr">
        <is>
          <t>Brazil</t>
        </is>
      </c>
      <c r="H910" s="40" t="n">
        <v>27</v>
      </c>
      <c r="I910" s="40" t="inlineStr">
        <is>
          <t>Searches</t>
        </is>
      </c>
      <c r="J910" s="40" t="inlineStr">
        <is>
          <t>1-23 August 2025</t>
        </is>
      </c>
      <c r="K910" s="55" t="n">
        <v>139</v>
      </c>
      <c r="L910" s="40" t="inlineStr">
        <is>
          <t>Visit→Search 1-23 August 2025</t>
        </is>
      </c>
      <c r="M910" s="40">
        <f>IF(Countries!P178="","STILL MISSING","Filled ✓")</f>
        <v/>
      </c>
    </row>
    <row r="911">
      <c r="A911" s="56" t="inlineStr">
        <is>
          <t>Countries</t>
        </is>
      </c>
      <c r="B911" s="56" t="inlineStr">
        <is>
          <t>F178</t>
        </is>
      </c>
      <c r="C911" s="56" t="n">
        <v>178</v>
      </c>
      <c r="D911" s="56" t="inlineStr">
        <is>
          <t>Home page</t>
        </is>
      </c>
      <c r="E911" s="56" t="inlineStr">
        <is>
          <t>Organic</t>
        </is>
      </c>
      <c r="F911" s="56" t="inlineStr">
        <is>
          <t>Desktop</t>
        </is>
      </c>
      <c r="G911" s="56" t="inlineStr">
        <is>
          <t>Brazil</t>
        </is>
      </c>
      <c r="H911" s="56" t="n">
        <v>27</v>
      </c>
      <c r="I911" s="56" t="inlineStr">
        <is>
          <t>Sessions</t>
        </is>
      </c>
      <c r="J911" s="56" t="inlineStr">
        <is>
          <t>1-23 August 2026</t>
        </is>
      </c>
      <c r="K911" s="57" t="n">
        <v>139</v>
      </c>
      <c r="L911" s="56" t="inlineStr">
        <is>
          <t>Sessions YoY</t>
        </is>
      </c>
      <c r="M911" s="40">
        <f>IF(Countries!F178="","STILL MISSING","Filled ✓")</f>
        <v/>
      </c>
    </row>
    <row r="912">
      <c r="A912" s="40" t="inlineStr">
        <is>
          <t>Countries</t>
        </is>
      </c>
      <c r="B912" s="40" t="inlineStr">
        <is>
          <t>I178</t>
        </is>
      </c>
      <c r="C912" s="40" t="n">
        <v>178</v>
      </c>
      <c r="D912" s="40" t="inlineStr">
        <is>
          <t>Home page</t>
        </is>
      </c>
      <c r="E912" s="40" t="inlineStr">
        <is>
          <t>Organic</t>
        </is>
      </c>
      <c r="F912" s="40" t="inlineStr">
        <is>
          <t>Desktop</t>
        </is>
      </c>
      <c r="G912" s="40" t="inlineStr">
        <is>
          <t>Brazil</t>
        </is>
      </c>
      <c r="H912" s="40" t="n">
        <v>27</v>
      </c>
      <c r="I912" s="40" t="inlineStr">
        <is>
          <t>Start Search</t>
        </is>
      </c>
      <c r="J912" s="40" t="inlineStr">
        <is>
          <t>1-23 August 2025</t>
        </is>
      </c>
      <c r="K912" s="55" t="n">
        <v>139</v>
      </c>
      <c r="L912" s="40" t="inlineStr">
        <is>
          <t>Visit→Engagement 1-23 August 2025</t>
        </is>
      </c>
      <c r="M912" s="40">
        <f>IF(Countries!I178="","STILL MISSING","Filled ✓")</f>
        <v/>
      </c>
    </row>
    <row r="913">
      <c r="A913" s="56" t="inlineStr">
        <is>
          <t>Countries</t>
        </is>
      </c>
      <c r="B913" s="56" t="inlineStr">
        <is>
          <t>AR324</t>
        </is>
      </c>
      <c r="C913" s="56" t="n">
        <v>324</v>
      </c>
      <c r="D913" s="56" t="inlineStr">
        <is>
          <t>Airport page</t>
        </is>
      </c>
      <c r="E913" s="56" t="inlineStr">
        <is>
          <t>Direct</t>
        </is>
      </c>
      <c r="F913" s="56" t="inlineStr">
        <is>
          <t>Desktop</t>
        </is>
      </c>
      <c r="G913" s="56" t="inlineStr">
        <is>
          <t>Brazil</t>
        </is>
      </c>
      <c r="H913" s="56" t="n">
        <v>27</v>
      </c>
      <c r="I913" s="56" t="inlineStr">
        <is>
          <t>Purchases</t>
        </is>
      </c>
      <c r="J913" s="56" t="inlineStr">
        <is>
          <t>1-23 August 2025</t>
        </is>
      </c>
      <c r="K913" s="57" t="n">
        <v>4</v>
      </c>
      <c r="L913" s="56" t="inlineStr">
        <is>
          <t>Search→Booking 1-23 August 2025</t>
        </is>
      </c>
      <c r="M913" s="40">
        <f>IF(Countries!AR324="","STILL MISSING","Filled ✓")</f>
        <v/>
      </c>
    </row>
    <row r="914">
      <c r="A914" s="40" t="inlineStr">
        <is>
          <t>Countries</t>
        </is>
      </c>
      <c r="B914" s="40" t="inlineStr">
        <is>
          <t>Q324</t>
        </is>
      </c>
      <c r="C914" s="40" t="n">
        <v>324</v>
      </c>
      <c r="D914" s="40" t="inlineStr">
        <is>
          <t>Airport page</t>
        </is>
      </c>
      <c r="E914" s="40" t="inlineStr">
        <is>
          <t>Direct</t>
        </is>
      </c>
      <c r="F914" s="40" t="inlineStr">
        <is>
          <t>Desktop</t>
        </is>
      </c>
      <c r="G914" s="40" t="inlineStr">
        <is>
          <t>Brazil</t>
        </is>
      </c>
      <c r="H914" s="40" t="n">
        <v>27</v>
      </c>
      <c r="I914" s="40" t="inlineStr">
        <is>
          <t>Searches</t>
        </is>
      </c>
      <c r="J914" s="40" t="inlineStr">
        <is>
          <t>1-23 August 2026</t>
        </is>
      </c>
      <c r="K914" s="55" t="n">
        <v>4</v>
      </c>
      <c r="L914" s="40" t="inlineStr">
        <is>
          <t>Searches YoY</t>
        </is>
      </c>
      <c r="M914" s="40">
        <f>IF(Countries!Q324="","STILL MISSING","Filled ✓")</f>
        <v/>
      </c>
    </row>
    <row r="915">
      <c r="A915" s="56" t="inlineStr">
        <is>
          <t>Countries</t>
        </is>
      </c>
      <c r="B915" s="56" t="inlineStr">
        <is>
          <t>W324</t>
        </is>
      </c>
      <c r="C915" s="56" t="n">
        <v>324</v>
      </c>
      <c r="D915" s="56" t="inlineStr">
        <is>
          <t>Airport page</t>
        </is>
      </c>
      <c r="E915" s="56" t="inlineStr">
        <is>
          <t>Direct</t>
        </is>
      </c>
      <c r="F915" s="56" t="inlineStr">
        <is>
          <t>Desktop</t>
        </is>
      </c>
      <c r="G915" s="56" t="inlineStr">
        <is>
          <t>Brazil</t>
        </is>
      </c>
      <c r="H915" s="56" t="n">
        <v>27</v>
      </c>
      <c r="I915" s="56" t="inlineStr">
        <is>
          <t>Select item</t>
        </is>
      </c>
      <c r="J915" s="56" t="inlineStr">
        <is>
          <t>1-23 August 2025</t>
        </is>
      </c>
      <c r="K915" s="57" t="n">
        <v>4</v>
      </c>
      <c r="L915" s="56" t="inlineStr">
        <is>
          <t>Search→Select 1-23 August 2025</t>
        </is>
      </c>
      <c r="M915" s="40">
        <f>IF(Countries!W324="","STILL MISSING","Filled ✓")</f>
        <v/>
      </c>
    </row>
    <row r="916">
      <c r="A916" s="40" t="inlineStr">
        <is>
          <t>Countries</t>
        </is>
      </c>
      <c r="B916" s="40" t="inlineStr">
        <is>
          <t>E324</t>
        </is>
      </c>
      <c r="C916" s="40" t="n">
        <v>324</v>
      </c>
      <c r="D916" s="40" t="inlineStr">
        <is>
          <t>Airport page</t>
        </is>
      </c>
      <c r="E916" s="40" t="inlineStr">
        <is>
          <t>Direct</t>
        </is>
      </c>
      <c r="F916" s="40" t="inlineStr">
        <is>
          <t>Desktop</t>
        </is>
      </c>
      <c r="G916" s="40" t="inlineStr">
        <is>
          <t>Brazil</t>
        </is>
      </c>
      <c r="H916" s="40" t="n">
        <v>27</v>
      </c>
      <c r="I916" s="40" t="inlineStr">
        <is>
          <t>Sessions</t>
        </is>
      </c>
      <c r="J916" s="40" t="inlineStr">
        <is>
          <t>1-23 August 2025</t>
        </is>
      </c>
      <c r="K916" s="55" t="n">
        <v>4</v>
      </c>
      <c r="L916" s="40" t="inlineStr">
        <is>
          <t>Visit→Search 1-23 August 2025</t>
        </is>
      </c>
      <c r="M916" s="40">
        <f>IF(Countries!E324="","STILL MISSING","Filled ✓")</f>
        <v/>
      </c>
    </row>
    <row r="917">
      <c r="A917" s="56" t="inlineStr">
        <is>
          <t>Countries</t>
        </is>
      </c>
      <c r="B917" s="56" t="inlineStr">
        <is>
          <t>AR386</t>
        </is>
      </c>
      <c r="C917" s="56" t="n">
        <v>386</v>
      </c>
      <c r="D917" s="56" t="inlineStr">
        <is>
          <t>Route page</t>
        </is>
      </c>
      <c r="E917" s="56" t="inlineStr">
        <is>
          <t>Organic</t>
        </is>
      </c>
      <c r="F917" s="56" t="inlineStr">
        <is>
          <t>Desktop</t>
        </is>
      </c>
      <c r="G917" s="56" t="inlineStr">
        <is>
          <t>Brazil</t>
        </is>
      </c>
      <c r="H917" s="56" t="n">
        <v>27</v>
      </c>
      <c r="I917" s="56" t="inlineStr">
        <is>
          <t>Purchases</t>
        </is>
      </c>
      <c r="J917" s="56" t="inlineStr">
        <is>
          <t>1-23 August 2025</t>
        </is>
      </c>
      <c r="K917" s="57" t="n">
        <v>271</v>
      </c>
      <c r="L917" s="56" t="inlineStr">
        <is>
          <t>CR 1-23 August 2025 + Search→Booking 1-23 August 2025</t>
        </is>
      </c>
      <c r="M917" s="40">
        <f>IF(Countries!AR386="","STILL MISSING","Filled ✓")</f>
        <v/>
      </c>
    </row>
    <row r="918">
      <c r="A918" s="40" t="inlineStr">
        <is>
          <t>Countries</t>
        </is>
      </c>
      <c r="B918" s="40" t="inlineStr">
        <is>
          <t>AS386</t>
        </is>
      </c>
      <c r="C918" s="40" t="n">
        <v>386</v>
      </c>
      <c r="D918" s="40" t="inlineStr">
        <is>
          <t>Route page</t>
        </is>
      </c>
      <c r="E918" s="40" t="inlineStr">
        <is>
          <t>Organic</t>
        </is>
      </c>
      <c r="F918" s="40" t="inlineStr">
        <is>
          <t>Desktop</t>
        </is>
      </c>
      <c r="G918" s="40" t="inlineStr">
        <is>
          <t>Brazil</t>
        </is>
      </c>
      <c r="H918" s="40" t="n">
        <v>27</v>
      </c>
      <c r="I918" s="40" t="inlineStr">
        <is>
          <t>Purchases</t>
        </is>
      </c>
      <c r="J918" s="40" t="inlineStr">
        <is>
          <t>1-23 August 2026</t>
        </is>
      </c>
      <c r="K918" s="55" t="n">
        <v>271</v>
      </c>
      <c r="L918" s="40" t="inlineStr">
        <is>
          <t>CR 1-23 August 2026 + Search→Booking 1-23 August 2026</t>
        </is>
      </c>
      <c r="M918" s="40">
        <f>IF(Countries!AS386="","STILL MISSING","Filled ✓")</f>
        <v/>
      </c>
    </row>
    <row r="919">
      <c r="A919" s="56" t="inlineStr">
        <is>
          <t>Countries</t>
        </is>
      </c>
      <c r="B919" s="56" t="inlineStr">
        <is>
          <t>W386</t>
        </is>
      </c>
      <c r="C919" s="56" t="n">
        <v>386</v>
      </c>
      <c r="D919" s="56" t="inlineStr">
        <is>
          <t>Route page</t>
        </is>
      </c>
      <c r="E919" s="56" t="inlineStr">
        <is>
          <t>Organic</t>
        </is>
      </c>
      <c r="F919" s="56" t="inlineStr">
        <is>
          <t>Desktop</t>
        </is>
      </c>
      <c r="G919" s="56" t="inlineStr">
        <is>
          <t>Brazil</t>
        </is>
      </c>
      <c r="H919" s="56" t="n">
        <v>27</v>
      </c>
      <c r="I919" s="56" t="inlineStr">
        <is>
          <t>Select item</t>
        </is>
      </c>
      <c r="J919" s="56" t="inlineStr">
        <is>
          <t>1-23 August 2025</t>
        </is>
      </c>
      <c r="K919" s="57" t="n">
        <v>271</v>
      </c>
      <c r="L919" s="56" t="inlineStr">
        <is>
          <t>Search→Select 1-23 August 2025</t>
        </is>
      </c>
      <c r="M919" s="40">
        <f>IF(Countries!W386="","STILL MISSING","Filled ✓")</f>
        <v/>
      </c>
    </row>
    <row r="920">
      <c r="A920" s="40" t="inlineStr">
        <is>
          <t>Countries</t>
        </is>
      </c>
      <c r="B920" s="40" t="inlineStr">
        <is>
          <t>X386</t>
        </is>
      </c>
      <c r="C920" s="40" t="n">
        <v>386</v>
      </c>
      <c r="D920" s="40" t="inlineStr">
        <is>
          <t>Route page</t>
        </is>
      </c>
      <c r="E920" s="40" t="inlineStr">
        <is>
          <t>Organic</t>
        </is>
      </c>
      <c r="F920" s="40" t="inlineStr">
        <is>
          <t>Desktop</t>
        </is>
      </c>
      <c r="G920" s="40" t="inlineStr">
        <is>
          <t>Brazil</t>
        </is>
      </c>
      <c r="H920" s="40" t="n">
        <v>27</v>
      </c>
      <c r="I920" s="40" t="inlineStr">
        <is>
          <t>Select item</t>
        </is>
      </c>
      <c r="J920" s="40" t="inlineStr">
        <is>
          <t>1-23 August 2026</t>
        </is>
      </c>
      <c r="K920" s="55" t="n">
        <v>271</v>
      </c>
      <c r="L920" s="40" t="inlineStr">
        <is>
          <t>Search→Select 1-23 August 2026</t>
        </is>
      </c>
      <c r="M920" s="40">
        <f>IF(Countries!X386="","STILL MISSING","Filled ✓")</f>
        <v/>
      </c>
    </row>
    <row r="921">
      <c r="A921" s="56" t="inlineStr">
        <is>
          <t>Countries</t>
        </is>
      </c>
      <c r="B921" s="56" t="inlineStr">
        <is>
          <t>I386</t>
        </is>
      </c>
      <c r="C921" s="56" t="n">
        <v>386</v>
      </c>
      <c r="D921" s="56" t="inlineStr">
        <is>
          <t>Route page</t>
        </is>
      </c>
      <c r="E921" s="56" t="inlineStr">
        <is>
          <t>Organic</t>
        </is>
      </c>
      <c r="F921" s="56" t="inlineStr">
        <is>
          <t>Desktop</t>
        </is>
      </c>
      <c r="G921" s="56" t="inlineStr">
        <is>
          <t>Brazil</t>
        </is>
      </c>
      <c r="H921" s="56" t="n">
        <v>27</v>
      </c>
      <c r="I921" s="56" t="inlineStr">
        <is>
          <t>Start Search</t>
        </is>
      </c>
      <c r="J921" s="56" t="inlineStr">
        <is>
          <t>1-23 August 2025</t>
        </is>
      </c>
      <c r="K921" s="57" t="n">
        <v>271</v>
      </c>
      <c r="L921" s="56" t="inlineStr">
        <is>
          <t>Visit→Engagement 1-23 August 2025</t>
        </is>
      </c>
      <c r="M921" s="40">
        <f>IF(Countries!I386="","STILL MISSING","Filled ✓")</f>
        <v/>
      </c>
    </row>
    <row r="922">
      <c r="A922" s="40" t="inlineStr">
        <is>
          <t>Countries</t>
        </is>
      </c>
      <c r="B922" s="40" t="inlineStr">
        <is>
          <t>J386</t>
        </is>
      </c>
      <c r="C922" s="40" t="n">
        <v>386</v>
      </c>
      <c r="D922" s="40" t="inlineStr">
        <is>
          <t>Route page</t>
        </is>
      </c>
      <c r="E922" s="40" t="inlineStr">
        <is>
          <t>Organic</t>
        </is>
      </c>
      <c r="F922" s="40" t="inlineStr">
        <is>
          <t>Desktop</t>
        </is>
      </c>
      <c r="G922" s="40" t="inlineStr">
        <is>
          <t>Brazil</t>
        </is>
      </c>
      <c r="H922" s="40" t="n">
        <v>27</v>
      </c>
      <c r="I922" s="40" t="inlineStr">
        <is>
          <t>Start Search</t>
        </is>
      </c>
      <c r="J922" s="40" t="inlineStr">
        <is>
          <t>1-23 August 2026</t>
        </is>
      </c>
      <c r="K922" s="55" t="n">
        <v>271</v>
      </c>
      <c r="L922" s="40" t="inlineStr">
        <is>
          <t>Visit→Engagement 1-23 August 2026</t>
        </is>
      </c>
      <c r="M922" s="40">
        <f>IF(Countries!J386="","STILL MISSING","Filled ✓")</f>
        <v/>
      </c>
    </row>
    <row r="923">
      <c r="A923" s="56" t="inlineStr">
        <is>
          <t>Countries</t>
        </is>
      </c>
      <c r="B923" s="56" t="inlineStr">
        <is>
          <t>AR434</t>
        </is>
      </c>
      <c r="C923" s="56" t="n">
        <v>434</v>
      </c>
      <c r="D923" s="56" t="inlineStr">
        <is>
          <t>Route page</t>
        </is>
      </c>
      <c r="E923" s="56" t="inlineStr">
        <is>
          <t>Direct</t>
        </is>
      </c>
      <c r="F923" s="56" t="inlineStr">
        <is>
          <t>Desktop</t>
        </is>
      </c>
      <c r="G923" s="56" t="inlineStr">
        <is>
          <t>Brazil</t>
        </is>
      </c>
      <c r="H923" s="56" t="n">
        <v>27</v>
      </c>
      <c r="I923" s="56" t="inlineStr">
        <is>
          <t>Purchases</t>
        </is>
      </c>
      <c r="J923" s="56" t="inlineStr">
        <is>
          <t>1-23 August 2025</t>
        </is>
      </c>
      <c r="K923" s="57" t="n">
        <v>5</v>
      </c>
      <c r="L923" s="56" t="inlineStr">
        <is>
          <t>Search→Booking 1-23 August 2025</t>
        </is>
      </c>
      <c r="M923" s="40">
        <f>IF(Countries!AR434="","STILL MISSING","Filled ✓")</f>
        <v/>
      </c>
    </row>
    <row r="924">
      <c r="A924" s="40" t="inlineStr">
        <is>
          <t>Countries</t>
        </is>
      </c>
      <c r="B924" s="40" t="inlineStr">
        <is>
          <t>Q434</t>
        </is>
      </c>
      <c r="C924" s="40" t="n">
        <v>434</v>
      </c>
      <c r="D924" s="40" t="inlineStr">
        <is>
          <t>Route page</t>
        </is>
      </c>
      <c r="E924" s="40" t="inlineStr">
        <is>
          <t>Direct</t>
        </is>
      </c>
      <c r="F924" s="40" t="inlineStr">
        <is>
          <t>Desktop</t>
        </is>
      </c>
      <c r="G924" s="40" t="inlineStr">
        <is>
          <t>Brazil</t>
        </is>
      </c>
      <c r="H924" s="40" t="n">
        <v>27</v>
      </c>
      <c r="I924" s="40" t="inlineStr">
        <is>
          <t>Searches</t>
        </is>
      </c>
      <c r="J924" s="40" t="inlineStr">
        <is>
          <t>1-23 August 2026</t>
        </is>
      </c>
      <c r="K924" s="55" t="n">
        <v>5</v>
      </c>
      <c r="L924" s="40" t="inlineStr">
        <is>
          <t>Searches YoY</t>
        </is>
      </c>
      <c r="M924" s="40">
        <f>IF(Countries!Q434="","STILL MISSING","Filled ✓")</f>
        <v/>
      </c>
    </row>
    <row r="925">
      <c r="A925" s="56" t="inlineStr">
        <is>
          <t>Countries</t>
        </is>
      </c>
      <c r="B925" s="56" t="inlineStr">
        <is>
          <t>W434</t>
        </is>
      </c>
      <c r="C925" s="56" t="n">
        <v>434</v>
      </c>
      <c r="D925" s="56" t="inlineStr">
        <is>
          <t>Route page</t>
        </is>
      </c>
      <c r="E925" s="56" t="inlineStr">
        <is>
          <t>Direct</t>
        </is>
      </c>
      <c r="F925" s="56" t="inlineStr">
        <is>
          <t>Desktop</t>
        </is>
      </c>
      <c r="G925" s="56" t="inlineStr">
        <is>
          <t>Brazil</t>
        </is>
      </c>
      <c r="H925" s="56" t="n">
        <v>27</v>
      </c>
      <c r="I925" s="56" t="inlineStr">
        <is>
          <t>Select item</t>
        </is>
      </c>
      <c r="J925" s="56" t="inlineStr">
        <is>
          <t>1-23 August 2025</t>
        </is>
      </c>
      <c r="K925" s="57" t="n">
        <v>5</v>
      </c>
      <c r="L925" s="56" t="inlineStr">
        <is>
          <t>Search→Select 1-23 August 2025</t>
        </is>
      </c>
      <c r="M925" s="40">
        <f>IF(Countries!W434="","STILL MISSING","Filled ✓")</f>
        <v/>
      </c>
    </row>
    <row r="926">
      <c r="A926" s="40" t="inlineStr">
        <is>
          <t>Countries</t>
        </is>
      </c>
      <c r="B926" s="40" t="inlineStr">
        <is>
          <t>E434</t>
        </is>
      </c>
      <c r="C926" s="40" t="n">
        <v>434</v>
      </c>
      <c r="D926" s="40" t="inlineStr">
        <is>
          <t>Route page</t>
        </is>
      </c>
      <c r="E926" s="40" t="inlineStr">
        <is>
          <t>Direct</t>
        </is>
      </c>
      <c r="F926" s="40" t="inlineStr">
        <is>
          <t>Desktop</t>
        </is>
      </c>
      <c r="G926" s="40" t="inlineStr">
        <is>
          <t>Brazil</t>
        </is>
      </c>
      <c r="H926" s="40" t="n">
        <v>27</v>
      </c>
      <c r="I926" s="40" t="inlineStr">
        <is>
          <t>Sessions</t>
        </is>
      </c>
      <c r="J926" s="40" t="inlineStr">
        <is>
          <t>1-23 August 2025</t>
        </is>
      </c>
      <c r="K926" s="55" t="n">
        <v>5</v>
      </c>
      <c r="L926" s="40" t="inlineStr">
        <is>
          <t>Visit→Search 1-23 August 2025</t>
        </is>
      </c>
      <c r="M926" s="40">
        <f>IF(Countries!E434="","STILL MISSING","Filled ✓")</f>
        <v/>
      </c>
    </row>
    <row r="927">
      <c r="A927" s="56" t="inlineStr">
        <is>
          <t>Countries</t>
        </is>
      </c>
      <c r="B927" s="56" t="inlineStr">
        <is>
          <t>AR413</t>
        </is>
      </c>
      <c r="C927" s="56" t="n">
        <v>413</v>
      </c>
      <c r="D927" s="56" t="inlineStr">
        <is>
          <t>Route page</t>
        </is>
      </c>
      <c r="E927" s="56" t="inlineStr">
        <is>
          <t>Direct</t>
        </is>
      </c>
      <c r="F927" s="56" t="inlineStr">
        <is>
          <t>Mobile</t>
        </is>
      </c>
      <c r="G927" s="56" t="inlineStr">
        <is>
          <t>Brazil</t>
        </is>
      </c>
      <c r="H927" s="56" t="n">
        <v>27</v>
      </c>
      <c r="I927" s="56" t="inlineStr">
        <is>
          <t>Purchases</t>
        </is>
      </c>
      <c r="J927" s="56" t="inlineStr">
        <is>
          <t>1-23 August 2025</t>
        </is>
      </c>
      <c r="K927" s="57" t="n">
        <v>16</v>
      </c>
      <c r="L927" s="56" t="inlineStr">
        <is>
          <t>Search→Booking 1-23 August 2025</t>
        </is>
      </c>
      <c r="M927" s="40">
        <f>IF(Countries!AR413="","STILL MISSING","Filled ✓")</f>
        <v/>
      </c>
    </row>
    <row r="928">
      <c r="A928" s="40" t="inlineStr">
        <is>
          <t>Countries</t>
        </is>
      </c>
      <c r="B928" s="40" t="inlineStr">
        <is>
          <t>Q413</t>
        </is>
      </c>
      <c r="C928" s="40" t="n">
        <v>413</v>
      </c>
      <c r="D928" s="40" t="inlineStr">
        <is>
          <t>Route page</t>
        </is>
      </c>
      <c r="E928" s="40" t="inlineStr">
        <is>
          <t>Direct</t>
        </is>
      </c>
      <c r="F928" s="40" t="inlineStr">
        <is>
          <t>Mobile</t>
        </is>
      </c>
      <c r="G928" s="40" t="inlineStr">
        <is>
          <t>Brazil</t>
        </is>
      </c>
      <c r="H928" s="40" t="n">
        <v>27</v>
      </c>
      <c r="I928" s="40" t="inlineStr">
        <is>
          <t>Searches</t>
        </is>
      </c>
      <c r="J928" s="40" t="inlineStr">
        <is>
          <t>1-23 August 2026</t>
        </is>
      </c>
      <c r="K928" s="55" t="n">
        <v>16</v>
      </c>
      <c r="L928" s="40" t="inlineStr">
        <is>
          <t>Searches YoY</t>
        </is>
      </c>
      <c r="M928" s="40">
        <f>IF(Countries!Q413="","STILL MISSING","Filled ✓")</f>
        <v/>
      </c>
    </row>
    <row r="929">
      <c r="A929" s="56" t="inlineStr">
        <is>
          <t>Countries</t>
        </is>
      </c>
      <c r="B929" s="56" t="inlineStr">
        <is>
          <t>W413</t>
        </is>
      </c>
      <c r="C929" s="56" t="n">
        <v>413</v>
      </c>
      <c r="D929" s="56" t="inlineStr">
        <is>
          <t>Route page</t>
        </is>
      </c>
      <c r="E929" s="56" t="inlineStr">
        <is>
          <t>Direct</t>
        </is>
      </c>
      <c r="F929" s="56" t="inlineStr">
        <is>
          <t>Mobile</t>
        </is>
      </c>
      <c r="G929" s="56" t="inlineStr">
        <is>
          <t>Brazil</t>
        </is>
      </c>
      <c r="H929" s="56" t="n">
        <v>27</v>
      </c>
      <c r="I929" s="56" t="inlineStr">
        <is>
          <t>Select item</t>
        </is>
      </c>
      <c r="J929" s="56" t="inlineStr">
        <is>
          <t>1-23 August 2025</t>
        </is>
      </c>
      <c r="K929" s="57" t="n">
        <v>16</v>
      </c>
      <c r="L929" s="56" t="inlineStr">
        <is>
          <t>Search→Select 1-23 August 2025</t>
        </is>
      </c>
      <c r="M929" s="40">
        <f>IF(Countries!W413="","STILL MISSING","Filled ✓")</f>
        <v/>
      </c>
    </row>
    <row r="930">
      <c r="A930" s="40" t="inlineStr">
        <is>
          <t>Countries</t>
        </is>
      </c>
      <c r="B930" s="40" t="inlineStr">
        <is>
          <t>E413</t>
        </is>
      </c>
      <c r="C930" s="40" t="n">
        <v>413</v>
      </c>
      <c r="D930" s="40" t="inlineStr">
        <is>
          <t>Route page</t>
        </is>
      </c>
      <c r="E930" s="40" t="inlineStr">
        <is>
          <t>Direct</t>
        </is>
      </c>
      <c r="F930" s="40" t="inlineStr">
        <is>
          <t>Mobile</t>
        </is>
      </c>
      <c r="G930" s="40" t="inlineStr">
        <is>
          <t>Brazil</t>
        </is>
      </c>
      <c r="H930" s="40" t="n">
        <v>27</v>
      </c>
      <c r="I930" s="40" t="inlineStr">
        <is>
          <t>Sessions</t>
        </is>
      </c>
      <c r="J930" s="40" t="inlineStr">
        <is>
          <t>1-23 August 2025</t>
        </is>
      </c>
      <c r="K930" s="55" t="n">
        <v>16</v>
      </c>
      <c r="L930" s="40" t="inlineStr">
        <is>
          <t>Visit→Search 1-23 August 2025</t>
        </is>
      </c>
      <c r="M930" s="40">
        <f>IF(Countries!E413="","STILL MISSING","Filled ✓")</f>
        <v/>
      </c>
    </row>
    <row r="931">
      <c r="A931" s="56" t="inlineStr">
        <is>
          <t>Countries</t>
        </is>
      </c>
      <c r="B931" s="56" t="inlineStr">
        <is>
          <t>AR428</t>
        </is>
      </c>
      <c r="C931" s="56" t="n">
        <v>428</v>
      </c>
      <c r="D931" s="56" t="inlineStr">
        <is>
          <t>Route page</t>
        </is>
      </c>
      <c r="E931" s="56" t="inlineStr">
        <is>
          <t>Direct</t>
        </is>
      </c>
      <c r="F931" s="56" t="inlineStr">
        <is>
          <t>Desktop</t>
        </is>
      </c>
      <c r="G931" s="56" t="inlineStr">
        <is>
          <t>China</t>
        </is>
      </c>
      <c r="H931" s="56" t="n">
        <v>28</v>
      </c>
      <c r="I931" s="56" t="inlineStr">
        <is>
          <t>Purchases</t>
        </is>
      </c>
      <c r="J931" s="56" t="inlineStr">
        <is>
          <t>1-23 August 2025</t>
        </is>
      </c>
      <c r="K931" s="57" t="n">
        <v>59</v>
      </c>
      <c r="L931" s="56" t="inlineStr">
        <is>
          <t>CR 1-23 August 2025</t>
        </is>
      </c>
      <c r="M931" s="40">
        <f>IF(Countries!AR428="","STILL MISSING","Filled ✓")</f>
        <v/>
      </c>
    </row>
    <row r="932">
      <c r="A932" s="40" t="inlineStr">
        <is>
          <t>Countries</t>
        </is>
      </c>
      <c r="B932" s="40" t="inlineStr">
        <is>
          <t>P428</t>
        </is>
      </c>
      <c r="C932" s="40" t="n">
        <v>428</v>
      </c>
      <c r="D932" s="40" t="inlineStr">
        <is>
          <t>Route page</t>
        </is>
      </c>
      <c r="E932" s="40" t="inlineStr">
        <is>
          <t>Direct</t>
        </is>
      </c>
      <c r="F932" s="40" t="inlineStr">
        <is>
          <t>Desktop</t>
        </is>
      </c>
      <c r="G932" s="40" t="inlineStr">
        <is>
          <t>China</t>
        </is>
      </c>
      <c r="H932" s="40" t="n">
        <v>28</v>
      </c>
      <c r="I932" s="40" t="inlineStr">
        <is>
          <t>Searches</t>
        </is>
      </c>
      <c r="J932" s="40" t="inlineStr">
        <is>
          <t>1-23 August 2025</t>
        </is>
      </c>
      <c r="K932" s="55" t="n">
        <v>59</v>
      </c>
      <c r="L932" s="40" t="inlineStr">
        <is>
          <t>Visit→Search 1-23 August 2025</t>
        </is>
      </c>
      <c r="M932" s="40">
        <f>IF(Countries!P428="","STILL MISSING","Filled ✓")</f>
        <v/>
      </c>
    </row>
    <row r="933">
      <c r="A933" s="56" t="inlineStr">
        <is>
          <t>Countries</t>
        </is>
      </c>
      <c r="B933" s="56" t="inlineStr">
        <is>
          <t>F428</t>
        </is>
      </c>
      <c r="C933" s="56" t="n">
        <v>428</v>
      </c>
      <c r="D933" s="56" t="inlineStr">
        <is>
          <t>Route page</t>
        </is>
      </c>
      <c r="E933" s="56" t="inlineStr">
        <is>
          <t>Direct</t>
        </is>
      </c>
      <c r="F933" s="56" t="inlineStr">
        <is>
          <t>Desktop</t>
        </is>
      </c>
      <c r="G933" s="56" t="inlineStr">
        <is>
          <t>China</t>
        </is>
      </c>
      <c r="H933" s="56" t="n">
        <v>28</v>
      </c>
      <c r="I933" s="56" t="inlineStr">
        <is>
          <t>Sessions</t>
        </is>
      </c>
      <c r="J933" s="56" t="inlineStr">
        <is>
          <t>1-23 August 2026</t>
        </is>
      </c>
      <c r="K933" s="57" t="n">
        <v>59</v>
      </c>
      <c r="L933" s="56" t="inlineStr">
        <is>
          <t>Sessions YoY</t>
        </is>
      </c>
      <c r="M933" s="40">
        <f>IF(Countries!F428="","STILL MISSING","Filled ✓")</f>
        <v/>
      </c>
    </row>
    <row r="934">
      <c r="A934" s="40" t="inlineStr">
        <is>
          <t>Countries</t>
        </is>
      </c>
      <c r="B934" s="40" t="inlineStr">
        <is>
          <t>I428</t>
        </is>
      </c>
      <c r="C934" s="40" t="n">
        <v>428</v>
      </c>
      <c r="D934" s="40" t="inlineStr">
        <is>
          <t>Route page</t>
        </is>
      </c>
      <c r="E934" s="40" t="inlineStr">
        <is>
          <t>Direct</t>
        </is>
      </c>
      <c r="F934" s="40" t="inlineStr">
        <is>
          <t>Desktop</t>
        </is>
      </c>
      <c r="G934" s="40" t="inlineStr">
        <is>
          <t>China</t>
        </is>
      </c>
      <c r="H934" s="40" t="n">
        <v>28</v>
      </c>
      <c r="I934" s="40" t="inlineStr">
        <is>
          <t>Start Search</t>
        </is>
      </c>
      <c r="J934" s="40" t="inlineStr">
        <is>
          <t>1-23 August 2025</t>
        </is>
      </c>
      <c r="K934" s="55" t="n">
        <v>59</v>
      </c>
      <c r="L934" s="40" t="inlineStr">
        <is>
          <t>Visit→Engagement 1-23 August 2025</t>
        </is>
      </c>
      <c r="M934" s="40">
        <f>IF(Countries!I428="","STILL MISSING","Filled ✓")</f>
        <v/>
      </c>
    </row>
    <row r="935">
      <c r="A935" s="56" t="inlineStr">
        <is>
          <t>Countries</t>
        </is>
      </c>
      <c r="B935" s="56" t="inlineStr">
        <is>
          <t>AS176</t>
        </is>
      </c>
      <c r="C935" s="56" t="n">
        <v>176</v>
      </c>
      <c r="D935" s="56" t="inlineStr">
        <is>
          <t>Home page</t>
        </is>
      </c>
      <c r="E935" s="56" t="inlineStr">
        <is>
          <t>Organic</t>
        </is>
      </c>
      <c r="F935" s="56" t="inlineStr">
        <is>
          <t>Desktop</t>
        </is>
      </c>
      <c r="G935" s="56" t="inlineStr">
        <is>
          <t>Croatia</t>
        </is>
      </c>
      <c r="H935" s="56" t="n">
        <v>29</v>
      </c>
      <c r="I935" s="56" t="inlineStr">
        <is>
          <t>Purchases</t>
        </is>
      </c>
      <c r="J935" s="56" t="inlineStr">
        <is>
          <t>1-23 August 2026</t>
        </is>
      </c>
      <c r="K935" s="57" t="n">
        <v>92</v>
      </c>
      <c r="L935" s="56" t="inlineStr">
        <is>
          <t>CR 1-23 August 2026 + Search→Booking 1-23 August 2026</t>
        </is>
      </c>
      <c r="M935" s="40">
        <f>IF(Countries!AS176="","STILL MISSING","Filled ✓")</f>
        <v/>
      </c>
    </row>
    <row r="936">
      <c r="A936" s="40" t="inlineStr">
        <is>
          <t>Countries</t>
        </is>
      </c>
      <c r="B936" s="40" t="inlineStr">
        <is>
          <t>P176</t>
        </is>
      </c>
      <c r="C936" s="40" t="n">
        <v>176</v>
      </c>
      <c r="D936" s="40" t="inlineStr">
        <is>
          <t>Home page</t>
        </is>
      </c>
      <c r="E936" s="40" t="inlineStr">
        <is>
          <t>Organic</t>
        </is>
      </c>
      <c r="F936" s="40" t="inlineStr">
        <is>
          <t>Desktop</t>
        </is>
      </c>
      <c r="G936" s="40" t="inlineStr">
        <is>
          <t>Croatia</t>
        </is>
      </c>
      <c r="H936" s="40" t="n">
        <v>29</v>
      </c>
      <c r="I936" s="40" t="inlineStr">
        <is>
          <t>Searches</t>
        </is>
      </c>
      <c r="J936" s="40" t="inlineStr">
        <is>
          <t>1-23 August 2025</t>
        </is>
      </c>
      <c r="K936" s="55" t="n">
        <v>92</v>
      </c>
      <c r="L936" s="40" t="inlineStr">
        <is>
          <t>Searches YoY</t>
        </is>
      </c>
      <c r="M936" s="40">
        <f>IF(Countries!P176="","STILL MISSING","Filled ✓")</f>
        <v/>
      </c>
    </row>
    <row r="937">
      <c r="A937" s="56" t="inlineStr">
        <is>
          <t>Countries</t>
        </is>
      </c>
      <c r="B937" s="56" t="inlineStr">
        <is>
          <t>X176</t>
        </is>
      </c>
      <c r="C937" s="56" t="n">
        <v>176</v>
      </c>
      <c r="D937" s="56" t="inlineStr">
        <is>
          <t>Home page</t>
        </is>
      </c>
      <c r="E937" s="56" t="inlineStr">
        <is>
          <t>Organic</t>
        </is>
      </c>
      <c r="F937" s="56" t="inlineStr">
        <is>
          <t>Desktop</t>
        </is>
      </c>
      <c r="G937" s="56" t="inlineStr">
        <is>
          <t>Croatia</t>
        </is>
      </c>
      <c r="H937" s="56" t="n">
        <v>29</v>
      </c>
      <c r="I937" s="56" t="inlineStr">
        <is>
          <t>Select item</t>
        </is>
      </c>
      <c r="J937" s="56" t="inlineStr">
        <is>
          <t>1-23 August 2026</t>
        </is>
      </c>
      <c r="K937" s="57" t="n">
        <v>92</v>
      </c>
      <c r="L937" s="56" t="inlineStr">
        <is>
          <t>Search→Select 1-23 August 2026</t>
        </is>
      </c>
      <c r="M937" s="40">
        <f>IF(Countries!X176="","STILL MISSING","Filled ✓")</f>
        <v/>
      </c>
    </row>
    <row r="938">
      <c r="A938" s="40" t="inlineStr">
        <is>
          <t>Countries</t>
        </is>
      </c>
      <c r="B938" s="40" t="inlineStr">
        <is>
          <t>E176</t>
        </is>
      </c>
      <c r="C938" s="40" t="n">
        <v>176</v>
      </c>
      <c r="D938" s="40" t="inlineStr">
        <is>
          <t>Home page</t>
        </is>
      </c>
      <c r="E938" s="40" t="inlineStr">
        <is>
          <t>Organic</t>
        </is>
      </c>
      <c r="F938" s="40" t="inlineStr">
        <is>
          <t>Desktop</t>
        </is>
      </c>
      <c r="G938" s="40" t="inlineStr">
        <is>
          <t>Croatia</t>
        </is>
      </c>
      <c r="H938" s="40" t="n">
        <v>29</v>
      </c>
      <c r="I938" s="40" t="inlineStr">
        <is>
          <t>Sessions</t>
        </is>
      </c>
      <c r="J938" s="40" t="inlineStr">
        <is>
          <t>1-23 August 2025</t>
        </is>
      </c>
      <c r="K938" s="55" t="n">
        <v>92</v>
      </c>
      <c r="L938" s="40" t="inlineStr">
        <is>
          <t>Sessions YoY</t>
        </is>
      </c>
      <c r="M938" s="40">
        <f>IF(Countries!E176="","STILL MISSING","Filled ✓")</f>
        <v/>
      </c>
    </row>
    <row r="939">
      <c r="A939" s="56" t="inlineStr">
        <is>
          <t>Countries</t>
        </is>
      </c>
      <c r="B939" s="56" t="inlineStr">
        <is>
          <t>J176</t>
        </is>
      </c>
      <c r="C939" s="56" t="n">
        <v>176</v>
      </c>
      <c r="D939" s="56" t="inlineStr">
        <is>
          <t>Home page</t>
        </is>
      </c>
      <c r="E939" s="56" t="inlineStr">
        <is>
          <t>Organic</t>
        </is>
      </c>
      <c r="F939" s="56" t="inlineStr">
        <is>
          <t>Desktop</t>
        </is>
      </c>
      <c r="G939" s="56" t="inlineStr">
        <is>
          <t>Croatia</t>
        </is>
      </c>
      <c r="H939" s="56" t="n">
        <v>29</v>
      </c>
      <c r="I939" s="56" t="inlineStr">
        <is>
          <t>Start Search</t>
        </is>
      </c>
      <c r="J939" s="56" t="inlineStr">
        <is>
          <t>1-23 August 2026</t>
        </is>
      </c>
      <c r="K939" s="57" t="n">
        <v>92</v>
      </c>
      <c r="L939" s="56" t="inlineStr">
        <is>
          <t>Visit→Engagement 1-23 August 2026</t>
        </is>
      </c>
      <c r="M939" s="40">
        <f>IF(Countries!J176="","STILL MISSING","Filled ✓")</f>
        <v/>
      </c>
    </row>
    <row r="940">
      <c r="A940" s="40" t="inlineStr">
        <is>
          <t>Countries</t>
        </is>
      </c>
      <c r="B940" s="40" t="inlineStr">
        <is>
          <t>AR236</t>
        </is>
      </c>
      <c r="C940" s="40" t="n">
        <v>236</v>
      </c>
      <c r="D940" s="40" t="inlineStr">
        <is>
          <t>Airport page</t>
        </is>
      </c>
      <c r="E940" s="40" t="inlineStr">
        <is>
          <t>Paid Search</t>
        </is>
      </c>
      <c r="F940" s="40" t="inlineStr">
        <is>
          <t>Mobile</t>
        </is>
      </c>
      <c r="G940" s="40" t="inlineStr">
        <is>
          <t>Honduras</t>
        </is>
      </c>
      <c r="H940" s="40" t="n">
        <v>30</v>
      </c>
      <c r="I940" s="40" t="inlineStr">
        <is>
          <t>Purchases</t>
        </is>
      </c>
      <c r="J940" s="40" t="inlineStr">
        <is>
          <t>1-23 August 2025</t>
        </is>
      </c>
      <c r="K940" s="55" t="n">
        <v>1257</v>
      </c>
      <c r="L940" s="40" t="inlineStr">
        <is>
          <t>CR 1-23 August 2025</t>
        </is>
      </c>
      <c r="M940" s="40">
        <f>IF(Countries!AR236="","STILL MISSING","Filled ✓")</f>
        <v/>
      </c>
    </row>
    <row r="941">
      <c r="A941" s="56" t="inlineStr">
        <is>
          <t>Countries</t>
        </is>
      </c>
      <c r="B941" s="56" t="inlineStr">
        <is>
          <t>P236</t>
        </is>
      </c>
      <c r="C941" s="56" t="n">
        <v>236</v>
      </c>
      <c r="D941" s="56" t="inlineStr">
        <is>
          <t>Airport page</t>
        </is>
      </c>
      <c r="E941" s="56" t="inlineStr">
        <is>
          <t>Paid Search</t>
        </is>
      </c>
      <c r="F941" s="56" t="inlineStr">
        <is>
          <t>Mobile</t>
        </is>
      </c>
      <c r="G941" s="56" t="inlineStr">
        <is>
          <t>Honduras</t>
        </is>
      </c>
      <c r="H941" s="56" t="n">
        <v>30</v>
      </c>
      <c r="I941" s="56" t="inlineStr">
        <is>
          <t>Searches</t>
        </is>
      </c>
      <c r="J941" s="56" t="inlineStr">
        <is>
          <t>1-23 August 2025</t>
        </is>
      </c>
      <c r="K941" s="57" t="n">
        <v>1257</v>
      </c>
      <c r="L941" s="56" t="inlineStr">
        <is>
          <t>Visit→Search 1-23 August 2025</t>
        </is>
      </c>
      <c r="M941" s="40">
        <f>IF(Countries!P236="","STILL MISSING","Filled ✓")</f>
        <v/>
      </c>
    </row>
    <row r="942">
      <c r="A942" s="40" t="inlineStr">
        <is>
          <t>Countries</t>
        </is>
      </c>
      <c r="B942" s="40" t="inlineStr">
        <is>
          <t>F236</t>
        </is>
      </c>
      <c r="C942" s="40" t="n">
        <v>236</v>
      </c>
      <c r="D942" s="40" t="inlineStr">
        <is>
          <t>Airport page</t>
        </is>
      </c>
      <c r="E942" s="40" t="inlineStr">
        <is>
          <t>Paid Search</t>
        </is>
      </c>
      <c r="F942" s="40" t="inlineStr">
        <is>
          <t>Mobile</t>
        </is>
      </c>
      <c r="G942" s="40" t="inlineStr">
        <is>
          <t>Honduras</t>
        </is>
      </c>
      <c r="H942" s="40" t="n">
        <v>30</v>
      </c>
      <c r="I942" s="40" t="inlineStr">
        <is>
          <t>Sessions</t>
        </is>
      </c>
      <c r="J942" s="40" t="inlineStr">
        <is>
          <t>1-23 August 2026</t>
        </is>
      </c>
      <c r="K942" s="55" t="n">
        <v>1257</v>
      </c>
      <c r="L942" s="40" t="inlineStr">
        <is>
          <t>Sessions YoY</t>
        </is>
      </c>
      <c r="M942" s="40">
        <f>IF(Countries!F236="","STILL MISSING","Filled ✓")</f>
        <v/>
      </c>
    </row>
    <row r="943">
      <c r="A943" s="56" t="inlineStr">
        <is>
          <t>Countries</t>
        </is>
      </c>
      <c r="B943" s="56" t="inlineStr">
        <is>
          <t>I236</t>
        </is>
      </c>
      <c r="C943" s="56" t="n">
        <v>236</v>
      </c>
      <c r="D943" s="56" t="inlineStr">
        <is>
          <t>Airport page</t>
        </is>
      </c>
      <c r="E943" s="56" t="inlineStr">
        <is>
          <t>Paid Search</t>
        </is>
      </c>
      <c r="F943" s="56" t="inlineStr">
        <is>
          <t>Mobile</t>
        </is>
      </c>
      <c r="G943" s="56" t="inlineStr">
        <is>
          <t>Honduras</t>
        </is>
      </c>
      <c r="H943" s="56" t="n">
        <v>30</v>
      </c>
      <c r="I943" s="56" t="inlineStr">
        <is>
          <t>Start Search</t>
        </is>
      </c>
      <c r="J943" s="56" t="inlineStr">
        <is>
          <t>1-23 August 2025</t>
        </is>
      </c>
      <c r="K943" s="57" t="n">
        <v>1257</v>
      </c>
      <c r="L943" s="56" t="inlineStr">
        <is>
          <t>Visit→Engagement 1-23 August 2025</t>
        </is>
      </c>
      <c r="M943" s="40">
        <f>IF(Countries!I236="","STILL MISSING","Filled ✓")</f>
        <v/>
      </c>
    </row>
    <row r="944">
      <c r="A944" s="40" t="inlineStr">
        <is>
          <t>Countries</t>
        </is>
      </c>
      <c r="B944" s="40" t="inlineStr">
        <is>
          <t>AR306</t>
        </is>
      </c>
      <c r="C944" s="40" t="n">
        <v>306</v>
      </c>
      <c r="D944" s="40" t="inlineStr">
        <is>
          <t>Airport page</t>
        </is>
      </c>
      <c r="E944" s="40" t="inlineStr">
        <is>
          <t>Direct</t>
        </is>
      </c>
      <c r="F944" s="40" t="inlineStr">
        <is>
          <t>Mobile</t>
        </is>
      </c>
      <c r="G944" s="40" t="inlineStr">
        <is>
          <t>Israel</t>
        </is>
      </c>
      <c r="H944" s="40" t="n">
        <v>31</v>
      </c>
      <c r="I944" s="40" t="inlineStr">
        <is>
          <t>Purchases</t>
        </is>
      </c>
      <c r="J944" s="40" t="inlineStr">
        <is>
          <t>1-23 August 2025</t>
        </is>
      </c>
      <c r="K944" s="55" t="n">
        <v>14</v>
      </c>
      <c r="L944" s="40" t="inlineStr">
        <is>
          <t>Search→Booking 1-23 August 2025</t>
        </is>
      </c>
      <c r="M944" s="40">
        <f>IF(Countries!AR306="","STILL MISSING","Filled ✓")</f>
        <v/>
      </c>
    </row>
    <row r="945">
      <c r="A945" s="56" t="inlineStr">
        <is>
          <t>Countries</t>
        </is>
      </c>
      <c r="B945" s="56" t="inlineStr">
        <is>
          <t>Q306</t>
        </is>
      </c>
      <c r="C945" s="56" t="n">
        <v>306</v>
      </c>
      <c r="D945" s="56" t="inlineStr">
        <is>
          <t>Airport page</t>
        </is>
      </c>
      <c r="E945" s="56" t="inlineStr">
        <is>
          <t>Direct</t>
        </is>
      </c>
      <c r="F945" s="56" t="inlineStr">
        <is>
          <t>Mobile</t>
        </is>
      </c>
      <c r="G945" s="56" t="inlineStr">
        <is>
          <t>Israel</t>
        </is>
      </c>
      <c r="H945" s="56" t="n">
        <v>31</v>
      </c>
      <c r="I945" s="56" t="inlineStr">
        <is>
          <t>Searches</t>
        </is>
      </c>
      <c r="J945" s="56" t="inlineStr">
        <is>
          <t>1-23 August 2026</t>
        </is>
      </c>
      <c r="K945" s="57" t="n">
        <v>14</v>
      </c>
      <c r="L945" s="56" t="inlineStr">
        <is>
          <t>Searches YoY</t>
        </is>
      </c>
      <c r="M945" s="40">
        <f>IF(Countries!Q306="","STILL MISSING","Filled ✓")</f>
        <v/>
      </c>
    </row>
    <row r="946">
      <c r="A946" s="40" t="inlineStr">
        <is>
          <t>Countries</t>
        </is>
      </c>
      <c r="B946" s="40" t="inlineStr">
        <is>
          <t>W306</t>
        </is>
      </c>
      <c r="C946" s="40" t="n">
        <v>306</v>
      </c>
      <c r="D946" s="40" t="inlineStr">
        <is>
          <t>Airport page</t>
        </is>
      </c>
      <c r="E946" s="40" t="inlineStr">
        <is>
          <t>Direct</t>
        </is>
      </c>
      <c r="F946" s="40" t="inlineStr">
        <is>
          <t>Mobile</t>
        </is>
      </c>
      <c r="G946" s="40" t="inlineStr">
        <is>
          <t>Israel</t>
        </is>
      </c>
      <c r="H946" s="40" t="n">
        <v>31</v>
      </c>
      <c r="I946" s="40" t="inlineStr">
        <is>
          <t>Select item</t>
        </is>
      </c>
      <c r="J946" s="40" t="inlineStr">
        <is>
          <t>1-23 August 2025</t>
        </is>
      </c>
      <c r="K946" s="55" t="n">
        <v>14</v>
      </c>
      <c r="L946" s="40" t="inlineStr">
        <is>
          <t>Search→Select 1-23 August 2025</t>
        </is>
      </c>
      <c r="M946" s="40">
        <f>IF(Countries!W306="","STILL MISSING","Filled ✓")</f>
        <v/>
      </c>
    </row>
    <row r="947">
      <c r="A947" s="56" t="inlineStr">
        <is>
          <t>Countries</t>
        </is>
      </c>
      <c r="B947" s="56" t="inlineStr">
        <is>
          <t>E306</t>
        </is>
      </c>
      <c r="C947" s="56" t="n">
        <v>306</v>
      </c>
      <c r="D947" s="56" t="inlineStr">
        <is>
          <t>Airport page</t>
        </is>
      </c>
      <c r="E947" s="56" t="inlineStr">
        <is>
          <t>Direct</t>
        </is>
      </c>
      <c r="F947" s="56" t="inlineStr">
        <is>
          <t>Mobile</t>
        </is>
      </c>
      <c r="G947" s="56" t="inlineStr">
        <is>
          <t>Israel</t>
        </is>
      </c>
      <c r="H947" s="56" t="n">
        <v>31</v>
      </c>
      <c r="I947" s="56" t="inlineStr">
        <is>
          <t>Sessions</t>
        </is>
      </c>
      <c r="J947" s="56" t="inlineStr">
        <is>
          <t>1-23 August 2025</t>
        </is>
      </c>
      <c r="K947" s="57" t="n">
        <v>14</v>
      </c>
      <c r="L947" s="56" t="inlineStr">
        <is>
          <t>Visit→Search 1-23 August 2025</t>
        </is>
      </c>
      <c r="M947" s="40">
        <f>IF(Countries!E306="","STILL MISSING","Filled ✓")</f>
        <v/>
      </c>
    </row>
    <row r="948">
      <c r="A948" s="40" t="inlineStr">
        <is>
          <t>Countries</t>
        </is>
      </c>
      <c r="B948" s="40" t="inlineStr">
        <is>
          <t>AR112</t>
        </is>
      </c>
      <c r="C948" s="40" t="n">
        <v>112</v>
      </c>
      <c r="D948" s="40" t="inlineStr">
        <is>
          <t>All landing pages</t>
        </is>
      </c>
      <c r="E948" s="40" t="inlineStr">
        <is>
          <t>Direct</t>
        </is>
      </c>
      <c r="F948" s="40" t="inlineStr">
        <is>
          <t>Desktop</t>
        </is>
      </c>
      <c r="G948" s="40" t="inlineStr">
        <is>
          <t>Philippines</t>
        </is>
      </c>
      <c r="H948" s="40" t="n">
        <v>32</v>
      </c>
      <c r="I948" s="40" t="inlineStr">
        <is>
          <t>Purchases</t>
        </is>
      </c>
      <c r="J948" s="40" t="inlineStr">
        <is>
          <t>1-23 August 2025</t>
        </is>
      </c>
      <c r="K948" s="55" t="n">
        <v>150</v>
      </c>
      <c r="L948" s="40" t="inlineStr">
        <is>
          <t>Search→Booking 1-23 August 2025</t>
        </is>
      </c>
      <c r="M948" s="40">
        <f>IF(Countries!AR112="","STILL MISSING","Filled ✓")</f>
        <v/>
      </c>
    </row>
    <row r="949">
      <c r="A949" s="56" t="inlineStr">
        <is>
          <t>Countries</t>
        </is>
      </c>
      <c r="B949" s="56" t="inlineStr">
        <is>
          <t>Q112</t>
        </is>
      </c>
      <c r="C949" s="56" t="n">
        <v>112</v>
      </c>
      <c r="D949" s="56" t="inlineStr">
        <is>
          <t>All landing pages</t>
        </is>
      </c>
      <c r="E949" s="56" t="inlineStr">
        <is>
          <t>Direct</t>
        </is>
      </c>
      <c r="F949" s="56" t="inlineStr">
        <is>
          <t>Desktop</t>
        </is>
      </c>
      <c r="G949" s="56" t="inlineStr">
        <is>
          <t>Philippines</t>
        </is>
      </c>
      <c r="H949" s="56" t="n">
        <v>32</v>
      </c>
      <c r="I949" s="56" t="inlineStr">
        <is>
          <t>Searches</t>
        </is>
      </c>
      <c r="J949" s="56" t="inlineStr">
        <is>
          <t>1-23 August 2026</t>
        </is>
      </c>
      <c r="K949" s="57" t="n">
        <v>150</v>
      </c>
      <c r="L949" s="56" t="inlineStr">
        <is>
          <t>Searches YoY</t>
        </is>
      </c>
      <c r="M949" s="40">
        <f>IF(Countries!Q112="","STILL MISSING","Filled ✓")</f>
        <v/>
      </c>
    </row>
    <row r="950">
      <c r="A950" s="40" t="inlineStr">
        <is>
          <t>Countries</t>
        </is>
      </c>
      <c r="B950" s="40" t="inlineStr">
        <is>
          <t>W112</t>
        </is>
      </c>
      <c r="C950" s="40" t="n">
        <v>112</v>
      </c>
      <c r="D950" s="40" t="inlineStr">
        <is>
          <t>All landing pages</t>
        </is>
      </c>
      <c r="E950" s="40" t="inlineStr">
        <is>
          <t>Direct</t>
        </is>
      </c>
      <c r="F950" s="40" t="inlineStr">
        <is>
          <t>Desktop</t>
        </is>
      </c>
      <c r="G950" s="40" t="inlineStr">
        <is>
          <t>Philippines</t>
        </is>
      </c>
      <c r="H950" s="40" t="n">
        <v>32</v>
      </c>
      <c r="I950" s="40" t="inlineStr">
        <is>
          <t>Select item</t>
        </is>
      </c>
      <c r="J950" s="40" t="inlineStr">
        <is>
          <t>1-23 August 2025</t>
        </is>
      </c>
      <c r="K950" s="55" t="n">
        <v>150</v>
      </c>
      <c r="L950" s="40" t="inlineStr">
        <is>
          <t>Search→Select 1-23 August 2025</t>
        </is>
      </c>
      <c r="M950" s="40">
        <f>IF(Countries!W112="","STILL MISSING","Filled ✓")</f>
        <v/>
      </c>
    </row>
    <row r="951">
      <c r="A951" s="56" t="inlineStr">
        <is>
          <t>Countries</t>
        </is>
      </c>
      <c r="B951" s="56" t="inlineStr">
        <is>
          <t>E112</t>
        </is>
      </c>
      <c r="C951" s="56" t="n">
        <v>112</v>
      </c>
      <c r="D951" s="56" t="inlineStr">
        <is>
          <t>All landing pages</t>
        </is>
      </c>
      <c r="E951" s="56" t="inlineStr">
        <is>
          <t>Direct</t>
        </is>
      </c>
      <c r="F951" s="56" t="inlineStr">
        <is>
          <t>Desktop</t>
        </is>
      </c>
      <c r="G951" s="56" t="inlineStr">
        <is>
          <t>Philippines</t>
        </is>
      </c>
      <c r="H951" s="56" t="n">
        <v>32</v>
      </c>
      <c r="I951" s="56" t="inlineStr">
        <is>
          <t>Sessions</t>
        </is>
      </c>
      <c r="J951" s="56" t="inlineStr">
        <is>
          <t>1-23 August 2025</t>
        </is>
      </c>
      <c r="K951" s="57" t="n">
        <v>150</v>
      </c>
      <c r="L951" s="56" t="inlineStr">
        <is>
          <t>Visit→Search 1-23 August 2025</t>
        </is>
      </c>
      <c r="M951" s="40">
        <f>IF(Countries!E112="","STILL MISSING","Filled ✓")</f>
        <v/>
      </c>
    </row>
    <row r="952">
      <c r="A952" s="40" t="inlineStr">
        <is>
          <t>Countries</t>
        </is>
      </c>
      <c r="B952" s="40" t="inlineStr">
        <is>
          <t>AR217</t>
        </is>
      </c>
      <c r="C952" s="40" t="n">
        <v>217</v>
      </c>
      <c r="D952" s="40" t="inlineStr">
        <is>
          <t>Home page</t>
        </is>
      </c>
      <c r="E952" s="40" t="inlineStr">
        <is>
          <t>Direct</t>
        </is>
      </c>
      <c r="F952" s="40" t="inlineStr">
        <is>
          <t>Desktop</t>
        </is>
      </c>
      <c r="G952" s="40" t="inlineStr">
        <is>
          <t>Philippines</t>
        </is>
      </c>
      <c r="H952" s="40" t="n">
        <v>32</v>
      </c>
      <c r="I952" s="40" t="inlineStr">
        <is>
          <t>Purchases</t>
        </is>
      </c>
      <c r="J952" s="40" t="inlineStr">
        <is>
          <t>1-23 August 2025</t>
        </is>
      </c>
      <c r="K952" s="55" t="n">
        <v>177</v>
      </c>
      <c r="L952" s="40" t="inlineStr">
        <is>
          <t>CR 1-23 August 2025 + Search→Booking 1-23 August 2025</t>
        </is>
      </c>
      <c r="M952" s="40">
        <f>IF(Countries!AR217="","STILL MISSING","Filled ✓")</f>
        <v/>
      </c>
    </row>
    <row r="953">
      <c r="A953" s="56" t="inlineStr">
        <is>
          <t>Countries</t>
        </is>
      </c>
      <c r="B953" s="56" t="inlineStr">
        <is>
          <t>AS217</t>
        </is>
      </c>
      <c r="C953" s="56" t="n">
        <v>217</v>
      </c>
      <c r="D953" s="56" t="inlineStr">
        <is>
          <t>Home page</t>
        </is>
      </c>
      <c r="E953" s="56" t="inlineStr">
        <is>
          <t>Direct</t>
        </is>
      </c>
      <c r="F953" s="56" t="inlineStr">
        <is>
          <t>Desktop</t>
        </is>
      </c>
      <c r="G953" s="56" t="inlineStr">
        <is>
          <t>Philippines</t>
        </is>
      </c>
      <c r="H953" s="56" t="n">
        <v>32</v>
      </c>
      <c r="I953" s="56" t="inlineStr">
        <is>
          <t>Purchases</t>
        </is>
      </c>
      <c r="J953" s="56" t="inlineStr">
        <is>
          <t>1-23 August 2026</t>
        </is>
      </c>
      <c r="K953" s="57" t="n">
        <v>177</v>
      </c>
      <c r="L953" s="56" t="inlineStr">
        <is>
          <t>Search→Booking 1-23 August 2026</t>
        </is>
      </c>
      <c r="M953" s="40">
        <f>IF(Countries!AS217="","STILL MISSING","Filled ✓")</f>
        <v/>
      </c>
    </row>
    <row r="954">
      <c r="A954" s="40" t="inlineStr">
        <is>
          <t>Countries</t>
        </is>
      </c>
      <c r="B954" s="40" t="inlineStr">
        <is>
          <t>W217</t>
        </is>
      </c>
      <c r="C954" s="40" t="n">
        <v>217</v>
      </c>
      <c r="D954" s="40" t="inlineStr">
        <is>
          <t>Home page</t>
        </is>
      </c>
      <c r="E954" s="40" t="inlineStr">
        <is>
          <t>Direct</t>
        </is>
      </c>
      <c r="F954" s="40" t="inlineStr">
        <is>
          <t>Desktop</t>
        </is>
      </c>
      <c r="G954" s="40" t="inlineStr">
        <is>
          <t>Philippines</t>
        </is>
      </c>
      <c r="H954" s="40" t="n">
        <v>32</v>
      </c>
      <c r="I954" s="40" t="inlineStr">
        <is>
          <t>Select item</t>
        </is>
      </c>
      <c r="J954" s="40" t="inlineStr">
        <is>
          <t>1-23 August 2025</t>
        </is>
      </c>
      <c r="K954" s="55" t="n">
        <v>177</v>
      </c>
      <c r="L954" s="40" t="inlineStr">
        <is>
          <t>Search→Select 1-23 August 2025</t>
        </is>
      </c>
      <c r="M954" s="40">
        <f>IF(Countries!W217="","STILL MISSING","Filled ✓")</f>
        <v/>
      </c>
    </row>
    <row r="955">
      <c r="A955" s="56" t="inlineStr">
        <is>
          <t>Countries</t>
        </is>
      </c>
      <c r="B955" s="56" t="inlineStr">
        <is>
          <t>X217</t>
        </is>
      </c>
      <c r="C955" s="56" t="n">
        <v>217</v>
      </c>
      <c r="D955" s="56" t="inlineStr">
        <is>
          <t>Home page</t>
        </is>
      </c>
      <c r="E955" s="56" t="inlineStr">
        <is>
          <t>Direct</t>
        </is>
      </c>
      <c r="F955" s="56" t="inlineStr">
        <is>
          <t>Desktop</t>
        </is>
      </c>
      <c r="G955" s="56" t="inlineStr">
        <is>
          <t>Philippines</t>
        </is>
      </c>
      <c r="H955" s="56" t="n">
        <v>32</v>
      </c>
      <c r="I955" s="56" t="inlineStr">
        <is>
          <t>Select item</t>
        </is>
      </c>
      <c r="J955" s="56" t="inlineStr">
        <is>
          <t>1-23 August 2026</t>
        </is>
      </c>
      <c r="K955" s="57" t="n">
        <v>177</v>
      </c>
      <c r="L955" s="56" t="inlineStr">
        <is>
          <t>Search→Select 1-23 August 2026</t>
        </is>
      </c>
      <c r="M955" s="40">
        <f>IF(Countries!X217="","STILL MISSING","Filled ✓")</f>
        <v/>
      </c>
    </row>
    <row r="956">
      <c r="A956" s="40" t="inlineStr">
        <is>
          <t>Countries</t>
        </is>
      </c>
      <c r="B956" s="40" t="inlineStr">
        <is>
          <t>F217</t>
        </is>
      </c>
      <c r="C956" s="40" t="n">
        <v>217</v>
      </c>
      <c r="D956" s="40" t="inlineStr">
        <is>
          <t>Home page</t>
        </is>
      </c>
      <c r="E956" s="40" t="inlineStr">
        <is>
          <t>Direct</t>
        </is>
      </c>
      <c r="F956" s="40" t="inlineStr">
        <is>
          <t>Desktop</t>
        </is>
      </c>
      <c r="G956" s="40" t="inlineStr">
        <is>
          <t>Philippines</t>
        </is>
      </c>
      <c r="H956" s="40" t="n">
        <v>32</v>
      </c>
      <c r="I956" s="40" t="inlineStr">
        <is>
          <t>Sessions</t>
        </is>
      </c>
      <c r="J956" s="40" t="inlineStr">
        <is>
          <t>1-23 August 2026</t>
        </is>
      </c>
      <c r="K956" s="55" t="n">
        <v>177</v>
      </c>
      <c r="L956" s="40" t="inlineStr">
        <is>
          <t>Sessions YoY + Visit→Search 1-23 August 2026</t>
        </is>
      </c>
      <c r="M956" s="40">
        <f>IF(Countries!F217="","STILL MISSING","Filled ✓")</f>
        <v/>
      </c>
    </row>
    <row r="957">
      <c r="A957" s="56" t="inlineStr">
        <is>
          <t>Countries</t>
        </is>
      </c>
      <c r="B957" s="56" t="inlineStr">
        <is>
          <t>I217</t>
        </is>
      </c>
      <c r="C957" s="56" t="n">
        <v>217</v>
      </c>
      <c r="D957" s="56" t="inlineStr">
        <is>
          <t>Home page</t>
        </is>
      </c>
      <c r="E957" s="56" t="inlineStr">
        <is>
          <t>Direct</t>
        </is>
      </c>
      <c r="F957" s="56" t="inlineStr">
        <is>
          <t>Desktop</t>
        </is>
      </c>
      <c r="G957" s="56" t="inlineStr">
        <is>
          <t>Philippines</t>
        </is>
      </c>
      <c r="H957" s="56" t="n">
        <v>32</v>
      </c>
      <c r="I957" s="56" t="inlineStr">
        <is>
          <t>Start Search</t>
        </is>
      </c>
      <c r="J957" s="56" t="inlineStr">
        <is>
          <t>1-23 August 2025</t>
        </is>
      </c>
      <c r="K957" s="57" t="n">
        <v>177</v>
      </c>
      <c r="L957" s="56" t="inlineStr">
        <is>
          <t>Visit→Engagement 1-23 August 2025</t>
        </is>
      </c>
      <c r="M957" s="40">
        <f>IF(Countries!I217="","STILL MISSING","Filled ✓")</f>
        <v/>
      </c>
    </row>
    <row r="958">
      <c r="A958" s="40" t="inlineStr">
        <is>
          <t>Countries</t>
        </is>
      </c>
      <c r="B958" s="40" t="inlineStr">
        <is>
          <t>AR107</t>
        </is>
      </c>
      <c r="C958" s="40" t="n">
        <v>107</v>
      </c>
      <c r="D958" s="40" t="inlineStr">
        <is>
          <t>All landing pages</t>
        </is>
      </c>
      <c r="E958" s="40" t="inlineStr">
        <is>
          <t>Direct</t>
        </is>
      </c>
      <c r="F958" s="40" t="inlineStr">
        <is>
          <t>Desktop</t>
        </is>
      </c>
      <c r="G958" s="40" t="inlineStr">
        <is>
          <t>Ukraine</t>
        </is>
      </c>
      <c r="H958" s="40" t="n">
        <v>33</v>
      </c>
      <c r="I958" s="40" t="inlineStr">
        <is>
          <t>Purchases</t>
        </is>
      </c>
      <c r="J958" s="40" t="inlineStr">
        <is>
          <t>1-23 August 2025</t>
        </is>
      </c>
      <c r="K958" s="55" t="n">
        <v>266</v>
      </c>
      <c r="L958" s="40" t="inlineStr">
        <is>
          <t>CR 1-23 August 2025 + Search→Booking 1-23 August 2025</t>
        </is>
      </c>
      <c r="M958" s="40">
        <f>IF(Countries!AR107="","STILL MISSING","Filled ✓")</f>
        <v/>
      </c>
    </row>
    <row r="959">
      <c r="A959" s="56" t="inlineStr">
        <is>
          <t>Countries</t>
        </is>
      </c>
      <c r="B959" s="56" t="inlineStr">
        <is>
          <t>Q107</t>
        </is>
      </c>
      <c r="C959" s="56" t="n">
        <v>107</v>
      </c>
      <c r="D959" s="56" t="inlineStr">
        <is>
          <t>All landing pages</t>
        </is>
      </c>
      <c r="E959" s="56" t="inlineStr">
        <is>
          <t>Direct</t>
        </is>
      </c>
      <c r="F959" s="56" t="inlineStr">
        <is>
          <t>Desktop</t>
        </is>
      </c>
      <c r="G959" s="56" t="inlineStr">
        <is>
          <t>Ukraine</t>
        </is>
      </c>
      <c r="H959" s="56" t="n">
        <v>33</v>
      </c>
      <c r="I959" s="56" t="inlineStr">
        <is>
          <t>Searches</t>
        </is>
      </c>
      <c r="J959" s="56" t="inlineStr">
        <is>
          <t>1-23 August 2026</t>
        </is>
      </c>
      <c r="K959" s="57" t="n">
        <v>266</v>
      </c>
      <c r="L959" s="56" t="inlineStr">
        <is>
          <t>Searches YoY</t>
        </is>
      </c>
      <c r="M959" s="40">
        <f>IF(Countries!Q107="","STILL MISSING","Filled ✓")</f>
        <v/>
      </c>
    </row>
    <row r="960">
      <c r="A960" s="40" t="inlineStr">
        <is>
          <t>Countries</t>
        </is>
      </c>
      <c r="B960" s="40" t="inlineStr">
        <is>
          <t>W107</t>
        </is>
      </c>
      <c r="C960" s="40" t="n">
        <v>107</v>
      </c>
      <c r="D960" s="40" t="inlineStr">
        <is>
          <t>All landing pages</t>
        </is>
      </c>
      <c r="E960" s="40" t="inlineStr">
        <is>
          <t>Direct</t>
        </is>
      </c>
      <c r="F960" s="40" t="inlineStr">
        <is>
          <t>Desktop</t>
        </is>
      </c>
      <c r="G960" s="40" t="inlineStr">
        <is>
          <t>Ukraine</t>
        </is>
      </c>
      <c r="H960" s="40" t="n">
        <v>33</v>
      </c>
      <c r="I960" s="40" t="inlineStr">
        <is>
          <t>Select item</t>
        </is>
      </c>
      <c r="J960" s="40" t="inlineStr">
        <is>
          <t>1-23 August 2025</t>
        </is>
      </c>
      <c r="K960" s="55" t="n">
        <v>266</v>
      </c>
      <c r="L960" s="40" t="inlineStr">
        <is>
          <t>Search→Select 1-23 August 2025</t>
        </is>
      </c>
      <c r="M960" s="40">
        <f>IF(Countries!W107="","STILL MISSING","Filled ✓")</f>
        <v/>
      </c>
    </row>
    <row r="961">
      <c r="A961" s="56" t="inlineStr">
        <is>
          <t>Countries</t>
        </is>
      </c>
      <c r="B961" s="56" t="inlineStr">
        <is>
          <t>F107</t>
        </is>
      </c>
      <c r="C961" s="56" t="n">
        <v>107</v>
      </c>
      <c r="D961" s="56" t="inlineStr">
        <is>
          <t>All landing pages</t>
        </is>
      </c>
      <c r="E961" s="56" t="inlineStr">
        <is>
          <t>Direct</t>
        </is>
      </c>
      <c r="F961" s="56" t="inlineStr">
        <is>
          <t>Desktop</t>
        </is>
      </c>
      <c r="G961" s="56" t="inlineStr">
        <is>
          <t>Ukraine</t>
        </is>
      </c>
      <c r="H961" s="56" t="n">
        <v>33</v>
      </c>
      <c r="I961" s="56" t="inlineStr">
        <is>
          <t>Sessions</t>
        </is>
      </c>
      <c r="J961" s="56" t="inlineStr">
        <is>
          <t>1-23 August 2026</t>
        </is>
      </c>
      <c r="K961" s="57" t="n">
        <v>266</v>
      </c>
      <c r="L961" s="56" t="inlineStr">
        <is>
          <t>Sessions YoY</t>
        </is>
      </c>
      <c r="M961" s="40">
        <f>IF(Countries!F107="","STILL MISSING","Filled ✓")</f>
        <v/>
      </c>
    </row>
    <row r="962">
      <c r="A962" s="40" t="inlineStr">
        <is>
          <t>Countries</t>
        </is>
      </c>
      <c r="B962" s="40" t="inlineStr">
        <is>
          <t>I107</t>
        </is>
      </c>
      <c r="C962" s="40" t="n">
        <v>107</v>
      </c>
      <c r="D962" s="40" t="inlineStr">
        <is>
          <t>All landing pages</t>
        </is>
      </c>
      <c r="E962" s="40" t="inlineStr">
        <is>
          <t>Direct</t>
        </is>
      </c>
      <c r="F962" s="40" t="inlineStr">
        <is>
          <t>Desktop</t>
        </is>
      </c>
      <c r="G962" s="40" t="inlineStr">
        <is>
          <t>Ukraine</t>
        </is>
      </c>
      <c r="H962" s="40" t="n">
        <v>33</v>
      </c>
      <c r="I962" s="40" t="inlineStr">
        <is>
          <t>Start Search</t>
        </is>
      </c>
      <c r="J962" s="40" t="inlineStr">
        <is>
          <t>1-23 August 2025</t>
        </is>
      </c>
      <c r="K962" s="55" t="n">
        <v>266</v>
      </c>
      <c r="L962" s="40" t="inlineStr">
        <is>
          <t>Visit→Engagement 1-23 August 2025</t>
        </is>
      </c>
      <c r="M962" s="40">
        <f>IF(Countries!I107="","STILL MISSING","Filled ✓")</f>
        <v/>
      </c>
    </row>
    <row r="963">
      <c r="A963" s="56" t="inlineStr">
        <is>
          <t>Countries</t>
        </is>
      </c>
      <c r="B963" s="56" t="inlineStr">
        <is>
          <t>AR169</t>
        </is>
      </c>
      <c r="C963" s="56" t="n">
        <v>169</v>
      </c>
      <c r="D963" s="56" t="inlineStr">
        <is>
          <t>Home page</t>
        </is>
      </c>
      <c r="E963" s="56" t="inlineStr">
        <is>
          <t>Organic</t>
        </is>
      </c>
      <c r="F963" s="56" t="inlineStr">
        <is>
          <t>Desktop</t>
        </is>
      </c>
      <c r="G963" s="56" t="inlineStr">
        <is>
          <t>Ukraine</t>
        </is>
      </c>
      <c r="H963" s="56" t="n">
        <v>33</v>
      </c>
      <c r="I963" s="56" t="inlineStr">
        <is>
          <t>Purchases</t>
        </is>
      </c>
      <c r="J963" s="56" t="inlineStr">
        <is>
          <t>1-23 August 2025</t>
        </is>
      </c>
      <c r="K963" s="57" t="n">
        <v>267</v>
      </c>
      <c r="L963" s="56" t="inlineStr">
        <is>
          <t>CR 1-23 August 2025 + Search→Booking 1-23 August 2025</t>
        </is>
      </c>
      <c r="M963" s="40">
        <f>IF(Countries!AR169="","STILL MISSING","Filled ✓")</f>
        <v/>
      </c>
    </row>
    <row r="964">
      <c r="A964" s="40" t="inlineStr">
        <is>
          <t>Countries</t>
        </is>
      </c>
      <c r="B964" s="40" t="inlineStr">
        <is>
          <t>AS169</t>
        </is>
      </c>
      <c r="C964" s="40" t="n">
        <v>169</v>
      </c>
      <c r="D964" s="40" t="inlineStr">
        <is>
          <t>Home page</t>
        </is>
      </c>
      <c r="E964" s="40" t="inlineStr">
        <is>
          <t>Organic</t>
        </is>
      </c>
      <c r="F964" s="40" t="inlineStr">
        <is>
          <t>Desktop</t>
        </is>
      </c>
      <c r="G964" s="40" t="inlineStr">
        <is>
          <t>Ukraine</t>
        </is>
      </c>
      <c r="H964" s="40" t="n">
        <v>33</v>
      </c>
      <c r="I964" s="40" t="inlineStr">
        <is>
          <t>Purchases</t>
        </is>
      </c>
      <c r="J964" s="40" t="inlineStr">
        <is>
          <t>1-23 August 2026</t>
        </is>
      </c>
      <c r="K964" s="55" t="n">
        <v>267</v>
      </c>
      <c r="L964" s="40" t="inlineStr">
        <is>
          <t>CR 1-23 August 2026 + Search→Booking 1-23 August 2026</t>
        </is>
      </c>
      <c r="M964" s="40">
        <f>IF(Countries!AS169="","STILL MISSING","Filled ✓")</f>
        <v/>
      </c>
    </row>
    <row r="965">
      <c r="A965" s="56" t="inlineStr">
        <is>
          <t>Countries</t>
        </is>
      </c>
      <c r="B965" s="56" t="inlineStr">
        <is>
          <t>W169</t>
        </is>
      </c>
      <c r="C965" s="56" t="n">
        <v>169</v>
      </c>
      <c r="D965" s="56" t="inlineStr">
        <is>
          <t>Home page</t>
        </is>
      </c>
      <c r="E965" s="56" t="inlineStr">
        <is>
          <t>Organic</t>
        </is>
      </c>
      <c r="F965" s="56" t="inlineStr">
        <is>
          <t>Desktop</t>
        </is>
      </c>
      <c r="G965" s="56" t="inlineStr">
        <is>
          <t>Ukraine</t>
        </is>
      </c>
      <c r="H965" s="56" t="n">
        <v>33</v>
      </c>
      <c r="I965" s="56" t="inlineStr">
        <is>
          <t>Select item</t>
        </is>
      </c>
      <c r="J965" s="56" t="inlineStr">
        <is>
          <t>1-23 August 2025</t>
        </is>
      </c>
      <c r="K965" s="57" t="n">
        <v>267</v>
      </c>
      <c r="L965" s="56" t="inlineStr">
        <is>
          <t>Search→Select 1-23 August 2025</t>
        </is>
      </c>
      <c r="M965" s="40">
        <f>IF(Countries!W169="","STILL MISSING","Filled ✓")</f>
        <v/>
      </c>
    </row>
    <row r="966">
      <c r="A966" s="40" t="inlineStr">
        <is>
          <t>Countries</t>
        </is>
      </c>
      <c r="B966" s="40" t="inlineStr">
        <is>
          <t>X169</t>
        </is>
      </c>
      <c r="C966" s="40" t="n">
        <v>169</v>
      </c>
      <c r="D966" s="40" t="inlineStr">
        <is>
          <t>Home page</t>
        </is>
      </c>
      <c r="E966" s="40" t="inlineStr">
        <is>
          <t>Organic</t>
        </is>
      </c>
      <c r="F966" s="40" t="inlineStr">
        <is>
          <t>Desktop</t>
        </is>
      </c>
      <c r="G966" s="40" t="inlineStr">
        <is>
          <t>Ukraine</t>
        </is>
      </c>
      <c r="H966" s="40" t="n">
        <v>33</v>
      </c>
      <c r="I966" s="40" t="inlineStr">
        <is>
          <t>Select item</t>
        </is>
      </c>
      <c r="J966" s="40" t="inlineStr">
        <is>
          <t>1-23 August 2026</t>
        </is>
      </c>
      <c r="K966" s="55" t="n">
        <v>267</v>
      </c>
      <c r="L966" s="40" t="inlineStr">
        <is>
          <t>Search→Select 1-23 August 2026</t>
        </is>
      </c>
      <c r="M966" s="40">
        <f>IF(Countries!X169="","STILL MISSING","Filled ✓")</f>
        <v/>
      </c>
    </row>
    <row r="967">
      <c r="A967" s="56" t="inlineStr">
        <is>
          <t>Countries</t>
        </is>
      </c>
      <c r="B967" s="56" t="inlineStr">
        <is>
          <t>I169</t>
        </is>
      </c>
      <c r="C967" s="56" t="n">
        <v>169</v>
      </c>
      <c r="D967" s="56" t="inlineStr">
        <is>
          <t>Home page</t>
        </is>
      </c>
      <c r="E967" s="56" t="inlineStr">
        <is>
          <t>Organic</t>
        </is>
      </c>
      <c r="F967" s="56" t="inlineStr">
        <is>
          <t>Desktop</t>
        </is>
      </c>
      <c r="G967" s="56" t="inlineStr">
        <is>
          <t>Ukraine</t>
        </is>
      </c>
      <c r="H967" s="56" t="n">
        <v>33</v>
      </c>
      <c r="I967" s="56" t="inlineStr">
        <is>
          <t>Start Search</t>
        </is>
      </c>
      <c r="J967" s="56" t="inlineStr">
        <is>
          <t>1-23 August 2025</t>
        </is>
      </c>
      <c r="K967" s="57" t="n">
        <v>267</v>
      </c>
      <c r="L967" s="56" t="inlineStr">
        <is>
          <t>Visit→Engagement 1-23 August 2025</t>
        </is>
      </c>
      <c r="M967" s="40">
        <f>IF(Countries!I169="","STILL MISSING","Filled ✓")</f>
        <v/>
      </c>
    </row>
    <row r="968">
      <c r="A968" s="40" t="inlineStr">
        <is>
          <t>Countries</t>
        </is>
      </c>
      <c r="B968" s="40" t="inlineStr">
        <is>
          <t>J169</t>
        </is>
      </c>
      <c r="C968" s="40" t="n">
        <v>169</v>
      </c>
      <c r="D968" s="40" t="inlineStr">
        <is>
          <t>Home page</t>
        </is>
      </c>
      <c r="E968" s="40" t="inlineStr">
        <is>
          <t>Organic</t>
        </is>
      </c>
      <c r="F968" s="40" t="inlineStr">
        <is>
          <t>Desktop</t>
        </is>
      </c>
      <c r="G968" s="40" t="inlineStr">
        <is>
          <t>Ukraine</t>
        </is>
      </c>
      <c r="H968" s="40" t="n">
        <v>33</v>
      </c>
      <c r="I968" s="40" t="inlineStr">
        <is>
          <t>Start Search</t>
        </is>
      </c>
      <c r="J968" s="40" t="inlineStr">
        <is>
          <t>1-23 August 2026</t>
        </is>
      </c>
      <c r="K968" s="55" t="n">
        <v>267</v>
      </c>
      <c r="L968" s="40" t="inlineStr">
        <is>
          <t>Visit→Engagement 1-23 August 2026</t>
        </is>
      </c>
      <c r="M968" s="40">
        <f>IF(Countries!J169="","STILL MISSING","Filled ✓")</f>
        <v/>
      </c>
    </row>
    <row r="969">
      <c r="A969" s="56" t="inlineStr">
        <is>
          <t>Countries</t>
        </is>
      </c>
      <c r="B969" s="56" t="inlineStr">
        <is>
          <t>AR212</t>
        </is>
      </c>
      <c r="C969" s="56" t="n">
        <v>212</v>
      </c>
      <c r="D969" s="56" t="inlineStr">
        <is>
          <t>Home page</t>
        </is>
      </c>
      <c r="E969" s="56" t="inlineStr">
        <is>
          <t>Direct</t>
        </is>
      </c>
      <c r="F969" s="56" t="inlineStr">
        <is>
          <t>Desktop</t>
        </is>
      </c>
      <c r="G969" s="56" t="inlineStr">
        <is>
          <t>Ukraine</t>
        </is>
      </c>
      <c r="H969" s="56" t="n">
        <v>33</v>
      </c>
      <c r="I969" s="56" t="inlineStr">
        <is>
          <t>Purchases</t>
        </is>
      </c>
      <c r="J969" s="56" t="inlineStr">
        <is>
          <t>1-23 August 2025</t>
        </is>
      </c>
      <c r="K969" s="57" t="n">
        <v>252</v>
      </c>
      <c r="L969" s="56" t="inlineStr">
        <is>
          <t>CR 1-23 August 2025 + Search→Booking 1-23 August 2025</t>
        </is>
      </c>
      <c r="M969" s="40">
        <f>IF(Countries!AR212="","STILL MISSING","Filled ✓")</f>
        <v/>
      </c>
    </row>
    <row r="970">
      <c r="A970" s="40" t="inlineStr">
        <is>
          <t>Countries</t>
        </is>
      </c>
      <c r="B970" s="40" t="inlineStr">
        <is>
          <t>AS212</t>
        </is>
      </c>
      <c r="C970" s="40" t="n">
        <v>212</v>
      </c>
      <c r="D970" s="40" t="inlineStr">
        <is>
          <t>Home page</t>
        </is>
      </c>
      <c r="E970" s="40" t="inlineStr">
        <is>
          <t>Direct</t>
        </is>
      </c>
      <c r="F970" s="40" t="inlineStr">
        <is>
          <t>Desktop</t>
        </is>
      </c>
      <c r="G970" s="40" t="inlineStr">
        <is>
          <t>Ukraine</t>
        </is>
      </c>
      <c r="H970" s="40" t="n">
        <v>33</v>
      </c>
      <c r="I970" s="40" t="inlineStr">
        <is>
          <t>Purchases</t>
        </is>
      </c>
      <c r="J970" s="40" t="inlineStr">
        <is>
          <t>1-23 August 2026</t>
        </is>
      </c>
      <c r="K970" s="55" t="n">
        <v>252</v>
      </c>
      <c r="L970" s="40" t="inlineStr">
        <is>
          <t>CR 1-23 August 2026 + Search→Booking 1-23 August 2026</t>
        </is>
      </c>
      <c r="M970" s="40">
        <f>IF(Countries!AS212="","STILL MISSING","Filled ✓")</f>
        <v/>
      </c>
    </row>
    <row r="971">
      <c r="A971" s="56" t="inlineStr">
        <is>
          <t>Countries</t>
        </is>
      </c>
      <c r="B971" s="56" t="inlineStr">
        <is>
          <t>W212</t>
        </is>
      </c>
      <c r="C971" s="56" t="n">
        <v>212</v>
      </c>
      <c r="D971" s="56" t="inlineStr">
        <is>
          <t>Home page</t>
        </is>
      </c>
      <c r="E971" s="56" t="inlineStr">
        <is>
          <t>Direct</t>
        </is>
      </c>
      <c r="F971" s="56" t="inlineStr">
        <is>
          <t>Desktop</t>
        </is>
      </c>
      <c r="G971" s="56" t="inlineStr">
        <is>
          <t>Ukraine</t>
        </is>
      </c>
      <c r="H971" s="56" t="n">
        <v>33</v>
      </c>
      <c r="I971" s="56" t="inlineStr">
        <is>
          <t>Select item</t>
        </is>
      </c>
      <c r="J971" s="56" t="inlineStr">
        <is>
          <t>1-23 August 2025</t>
        </is>
      </c>
      <c r="K971" s="57" t="n">
        <v>252</v>
      </c>
      <c r="L971" s="56" t="inlineStr">
        <is>
          <t>Search→Select 1-23 August 2025</t>
        </is>
      </c>
      <c r="M971" s="40">
        <f>IF(Countries!W212="","STILL MISSING","Filled ✓")</f>
        <v/>
      </c>
    </row>
    <row r="972">
      <c r="A972" s="40" t="inlineStr">
        <is>
          <t>Countries</t>
        </is>
      </c>
      <c r="B972" s="40" t="inlineStr">
        <is>
          <t>X212</t>
        </is>
      </c>
      <c r="C972" s="40" t="n">
        <v>212</v>
      </c>
      <c r="D972" s="40" t="inlineStr">
        <is>
          <t>Home page</t>
        </is>
      </c>
      <c r="E972" s="40" t="inlineStr">
        <is>
          <t>Direct</t>
        </is>
      </c>
      <c r="F972" s="40" t="inlineStr">
        <is>
          <t>Desktop</t>
        </is>
      </c>
      <c r="G972" s="40" t="inlineStr">
        <is>
          <t>Ukraine</t>
        </is>
      </c>
      <c r="H972" s="40" t="n">
        <v>33</v>
      </c>
      <c r="I972" s="40" t="inlineStr">
        <is>
          <t>Select item</t>
        </is>
      </c>
      <c r="J972" s="40" t="inlineStr">
        <is>
          <t>1-23 August 2026</t>
        </is>
      </c>
      <c r="K972" s="55" t="n">
        <v>252</v>
      </c>
      <c r="L972" s="40" t="inlineStr">
        <is>
          <t>Search→Select 1-23 August 2026</t>
        </is>
      </c>
      <c r="M972" s="40">
        <f>IF(Countries!X212="","STILL MISSING","Filled ✓")</f>
        <v/>
      </c>
    </row>
    <row r="973">
      <c r="A973" s="56" t="inlineStr">
        <is>
          <t>Countries</t>
        </is>
      </c>
      <c r="B973" s="56" t="inlineStr">
        <is>
          <t>I212</t>
        </is>
      </c>
      <c r="C973" s="56" t="n">
        <v>212</v>
      </c>
      <c r="D973" s="56" t="inlineStr">
        <is>
          <t>Home page</t>
        </is>
      </c>
      <c r="E973" s="56" t="inlineStr">
        <is>
          <t>Direct</t>
        </is>
      </c>
      <c r="F973" s="56" t="inlineStr">
        <is>
          <t>Desktop</t>
        </is>
      </c>
      <c r="G973" s="56" t="inlineStr">
        <is>
          <t>Ukraine</t>
        </is>
      </c>
      <c r="H973" s="56" t="n">
        <v>33</v>
      </c>
      <c r="I973" s="56" t="inlineStr">
        <is>
          <t>Start Search</t>
        </is>
      </c>
      <c r="J973" s="56" t="inlineStr">
        <is>
          <t>1-23 August 2025</t>
        </is>
      </c>
      <c r="K973" s="57" t="n">
        <v>252</v>
      </c>
      <c r="L973" s="56" t="inlineStr">
        <is>
          <t>Visit→Engagement 1-23 August 2025</t>
        </is>
      </c>
      <c r="M973" s="40">
        <f>IF(Countries!I212="","STILL MISSING","Filled ✓")</f>
        <v/>
      </c>
    </row>
    <row r="974">
      <c r="A974" s="40" t="inlineStr">
        <is>
          <t>Countries</t>
        </is>
      </c>
      <c r="B974" s="40" t="inlineStr">
        <is>
          <t>J212</t>
        </is>
      </c>
      <c r="C974" s="40" t="n">
        <v>212</v>
      </c>
      <c r="D974" s="40" t="inlineStr">
        <is>
          <t>Home page</t>
        </is>
      </c>
      <c r="E974" s="40" t="inlineStr">
        <is>
          <t>Direct</t>
        </is>
      </c>
      <c r="F974" s="40" t="inlineStr">
        <is>
          <t>Desktop</t>
        </is>
      </c>
      <c r="G974" s="40" t="inlineStr">
        <is>
          <t>Ukraine</t>
        </is>
      </c>
      <c r="H974" s="40" t="n">
        <v>33</v>
      </c>
      <c r="I974" s="40" t="inlineStr">
        <is>
          <t>Start Search</t>
        </is>
      </c>
      <c r="J974" s="40" t="inlineStr">
        <is>
          <t>1-23 August 2026</t>
        </is>
      </c>
      <c r="K974" s="55" t="n">
        <v>252</v>
      </c>
      <c r="L974" s="40" t="inlineStr">
        <is>
          <t>Visit→Engagement 1-23 August 2026</t>
        </is>
      </c>
      <c r="M974" s="40">
        <f>IF(Countries!J212="","STILL MISSING","Filled ✓")</f>
        <v/>
      </c>
    </row>
    <row r="975">
      <c r="A975" s="56" t="inlineStr">
        <is>
          <t>Countries</t>
        </is>
      </c>
      <c r="B975" s="56" t="inlineStr">
        <is>
          <t>AD31</t>
        </is>
      </c>
      <c r="C975" s="56" t="n">
        <v>31</v>
      </c>
      <c r="D975" s="56" t="inlineStr">
        <is>
          <t>All landing pages</t>
        </is>
      </c>
      <c r="E975" s="56" t="inlineStr">
        <is>
          <t>Paid Search</t>
        </is>
      </c>
      <c r="F975" s="56" t="inlineStr">
        <is>
          <t>Desktop</t>
        </is>
      </c>
      <c r="G975" s="56" t="inlineStr">
        <is>
          <t>Poland</t>
        </is>
      </c>
      <c r="H975" s="56" t="n">
        <v>8</v>
      </c>
      <c r="I975" s="56" t="inlineStr">
        <is>
          <t>Add to cart</t>
        </is>
      </c>
      <c r="J975" s="56" t="inlineStr">
        <is>
          <t>1-23 August 2025</t>
        </is>
      </c>
      <c r="K975" s="57" t="n">
        <v>2095</v>
      </c>
      <c r="L975" s="56" t="inlineStr">
        <is>
          <t>Completeness only</t>
        </is>
      </c>
      <c r="M975" s="40">
        <f>IF(Countries!AD31="","STILL MISSING","Filled ✓")</f>
        <v/>
      </c>
    </row>
    <row r="976">
      <c r="A976" s="40" t="inlineStr">
        <is>
          <t>Countries</t>
        </is>
      </c>
      <c r="B976" s="40" t="inlineStr">
        <is>
          <t>AE31</t>
        </is>
      </c>
      <c r="C976" s="40" t="n">
        <v>31</v>
      </c>
      <c r="D976" s="40" t="inlineStr">
        <is>
          <t>All landing pages</t>
        </is>
      </c>
      <c r="E976" s="40" t="inlineStr">
        <is>
          <t>Paid Search</t>
        </is>
      </c>
      <c r="F976" s="40" t="inlineStr">
        <is>
          <t>Desktop</t>
        </is>
      </c>
      <c r="G976" s="40" t="inlineStr">
        <is>
          <t>Poland</t>
        </is>
      </c>
      <c r="H976" s="40" t="n">
        <v>8</v>
      </c>
      <c r="I976" s="40" t="inlineStr">
        <is>
          <t>Add to cart</t>
        </is>
      </c>
      <c r="J976" s="40" t="inlineStr">
        <is>
          <t>1-23 August 2026</t>
        </is>
      </c>
      <c r="K976" s="55" t="n">
        <v>2095</v>
      </c>
      <c r="L976" s="40" t="inlineStr">
        <is>
          <t>Completeness only</t>
        </is>
      </c>
      <c r="M976" s="40">
        <f>IF(Countries!AE31="","STILL MISSING","Filled ✓")</f>
        <v/>
      </c>
    </row>
    <row r="977">
      <c r="A977" s="56" t="inlineStr">
        <is>
          <t>Countries</t>
        </is>
      </c>
      <c r="B977" s="56" t="inlineStr">
        <is>
          <t>AK31</t>
        </is>
      </c>
      <c r="C977" s="56" t="n">
        <v>31</v>
      </c>
      <c r="D977" s="56" t="inlineStr">
        <is>
          <t>All landing pages</t>
        </is>
      </c>
      <c r="E977" s="56" t="inlineStr">
        <is>
          <t>Paid Search</t>
        </is>
      </c>
      <c r="F977" s="56" t="inlineStr">
        <is>
          <t>Desktop</t>
        </is>
      </c>
      <c r="G977" s="56" t="inlineStr">
        <is>
          <t>Poland</t>
        </is>
      </c>
      <c r="H977" s="56" t="n">
        <v>8</v>
      </c>
      <c r="I977" s="56" t="inlineStr">
        <is>
          <t>Begin checkout</t>
        </is>
      </c>
      <c r="J977" s="56" t="inlineStr">
        <is>
          <t>1-23 August 2025</t>
        </is>
      </c>
      <c r="K977" s="57" t="n">
        <v>2095</v>
      </c>
      <c r="L977" s="56" t="inlineStr">
        <is>
          <t>Completeness only</t>
        </is>
      </c>
      <c r="M977" s="40">
        <f>IF(Countries!AK31="","STILL MISSING","Filled ✓")</f>
        <v/>
      </c>
    </row>
    <row r="978">
      <c r="A978" s="40" t="inlineStr">
        <is>
          <t>Countries</t>
        </is>
      </c>
      <c r="B978" s="40" t="inlineStr">
        <is>
          <t>AL31</t>
        </is>
      </c>
      <c r="C978" s="40" t="n">
        <v>31</v>
      </c>
      <c r="D978" s="40" t="inlineStr">
        <is>
          <t>All landing pages</t>
        </is>
      </c>
      <c r="E978" s="40" t="inlineStr">
        <is>
          <t>Paid Search</t>
        </is>
      </c>
      <c r="F978" s="40" t="inlineStr">
        <is>
          <t>Desktop</t>
        </is>
      </c>
      <c r="G978" s="40" t="inlineStr">
        <is>
          <t>Poland</t>
        </is>
      </c>
      <c r="H978" s="40" t="n">
        <v>8</v>
      </c>
      <c r="I978" s="40" t="inlineStr">
        <is>
          <t>Begin checkout</t>
        </is>
      </c>
      <c r="J978" s="40" t="inlineStr">
        <is>
          <t>1-23 August 2026</t>
        </is>
      </c>
      <c r="K978" s="55" t="n">
        <v>2095</v>
      </c>
      <c r="L978" s="40" t="inlineStr">
        <is>
          <t>Completeness only</t>
        </is>
      </c>
      <c r="M978" s="40">
        <f>IF(Countries!AL31="","STILL MISSING","Filled ✓")</f>
        <v/>
      </c>
    </row>
    <row r="979">
      <c r="A979" s="56" t="inlineStr">
        <is>
          <t>Countries</t>
        </is>
      </c>
      <c r="B979" s="56" t="inlineStr">
        <is>
          <t>AR31</t>
        </is>
      </c>
      <c r="C979" s="56" t="n">
        <v>31</v>
      </c>
      <c r="D979" s="56" t="inlineStr">
        <is>
          <t>All landing pages</t>
        </is>
      </c>
      <c r="E979" s="56" t="inlineStr">
        <is>
          <t>Paid Search</t>
        </is>
      </c>
      <c r="F979" s="56" t="inlineStr">
        <is>
          <t>Desktop</t>
        </is>
      </c>
      <c r="G979" s="56" t="inlineStr">
        <is>
          <t>Poland</t>
        </is>
      </c>
      <c r="H979" s="56" t="n">
        <v>8</v>
      </c>
      <c r="I979" s="56" t="inlineStr">
        <is>
          <t>Purchases</t>
        </is>
      </c>
      <c r="J979" s="56" t="inlineStr">
        <is>
          <t>1-23 August 2025</t>
        </is>
      </c>
      <c r="K979" s="57" t="n">
        <v>2095</v>
      </c>
      <c r="L979" s="56" t="inlineStr">
        <is>
          <t>Completeness only</t>
        </is>
      </c>
      <c r="M979" s="40">
        <f>IF(Countries!AR31="","STILL MISSING","Filled ✓")</f>
        <v/>
      </c>
    </row>
    <row r="980">
      <c r="A980" s="40" t="inlineStr">
        <is>
          <t>Countries</t>
        </is>
      </c>
      <c r="B980" s="40" t="inlineStr">
        <is>
          <t>W31</t>
        </is>
      </c>
      <c r="C980" s="40" t="n">
        <v>31</v>
      </c>
      <c r="D980" s="40" t="inlineStr">
        <is>
          <t>All landing pages</t>
        </is>
      </c>
      <c r="E980" s="40" t="inlineStr">
        <is>
          <t>Paid Search</t>
        </is>
      </c>
      <c r="F980" s="40" t="inlineStr">
        <is>
          <t>Desktop</t>
        </is>
      </c>
      <c r="G980" s="40" t="inlineStr">
        <is>
          <t>Poland</t>
        </is>
      </c>
      <c r="H980" s="40" t="n">
        <v>8</v>
      </c>
      <c r="I980" s="40" t="inlineStr">
        <is>
          <t>Select item</t>
        </is>
      </c>
      <c r="J980" s="40" t="inlineStr">
        <is>
          <t>1-23 August 2025</t>
        </is>
      </c>
      <c r="K980" s="55" t="n">
        <v>2095</v>
      </c>
      <c r="L980" s="40" t="inlineStr">
        <is>
          <t>Completeness only</t>
        </is>
      </c>
      <c r="M980" s="40">
        <f>IF(Countries!W31="","STILL MISSING","Filled ✓")</f>
        <v/>
      </c>
    </row>
    <row r="981">
      <c r="A981" s="56" t="inlineStr">
        <is>
          <t>Countries</t>
        </is>
      </c>
      <c r="B981" s="56" t="inlineStr">
        <is>
          <t>I31</t>
        </is>
      </c>
      <c r="C981" s="56" t="n">
        <v>31</v>
      </c>
      <c r="D981" s="56" t="inlineStr">
        <is>
          <t>All landing pages</t>
        </is>
      </c>
      <c r="E981" s="56" t="inlineStr">
        <is>
          <t>Paid Search</t>
        </is>
      </c>
      <c r="F981" s="56" t="inlineStr">
        <is>
          <t>Desktop</t>
        </is>
      </c>
      <c r="G981" s="56" t="inlineStr">
        <is>
          <t>Poland</t>
        </is>
      </c>
      <c r="H981" s="56" t="n">
        <v>8</v>
      </c>
      <c r="I981" s="56" t="inlineStr">
        <is>
          <t>Start Search</t>
        </is>
      </c>
      <c r="J981" s="56" t="inlineStr">
        <is>
          <t>1-23 August 2025</t>
        </is>
      </c>
      <c r="K981" s="57" t="n">
        <v>2095</v>
      </c>
      <c r="L981" s="56" t="inlineStr">
        <is>
          <t>Completeness only</t>
        </is>
      </c>
      <c r="M981" s="40">
        <f>IF(Countries!I31="","STILL MISSING","Filled ✓")</f>
        <v/>
      </c>
    </row>
    <row r="982">
      <c r="A982" s="40" t="inlineStr">
        <is>
          <t>Countries</t>
        </is>
      </c>
      <c r="B982" s="40" t="inlineStr">
        <is>
          <t>AD14</t>
        </is>
      </c>
      <c r="C982" s="40" t="n">
        <v>14</v>
      </c>
      <c r="D982" s="40" t="inlineStr">
        <is>
          <t>All landing pages</t>
        </is>
      </c>
      <c r="E982" s="40" t="inlineStr">
        <is>
          <t>Paid Search</t>
        </is>
      </c>
      <c r="F982" s="40" t="inlineStr">
        <is>
          <t>Mobile</t>
        </is>
      </c>
      <c r="G982" s="40" t="inlineStr">
        <is>
          <t>Poland</t>
        </is>
      </c>
      <c r="H982" s="40" t="n">
        <v>8</v>
      </c>
      <c r="I982" s="40" t="inlineStr">
        <is>
          <t>Add to cart</t>
        </is>
      </c>
      <c r="J982" s="40" t="inlineStr">
        <is>
          <t>1-23 August 2025</t>
        </is>
      </c>
      <c r="K982" s="55" t="n">
        <v>3202</v>
      </c>
      <c r="L982" s="40" t="inlineStr">
        <is>
          <t>Completeness only</t>
        </is>
      </c>
      <c r="M982" s="40">
        <f>IF(Countries!AD14="","STILL MISSING","Filled ✓")</f>
        <v/>
      </c>
    </row>
    <row r="983">
      <c r="A983" s="56" t="inlineStr">
        <is>
          <t>Countries</t>
        </is>
      </c>
      <c r="B983" s="56" t="inlineStr">
        <is>
          <t>AE14</t>
        </is>
      </c>
      <c r="C983" s="56" t="n">
        <v>14</v>
      </c>
      <c r="D983" s="56" t="inlineStr">
        <is>
          <t>All landing pages</t>
        </is>
      </c>
      <c r="E983" s="56" t="inlineStr">
        <is>
          <t>Paid Search</t>
        </is>
      </c>
      <c r="F983" s="56" t="inlineStr">
        <is>
          <t>Mobile</t>
        </is>
      </c>
      <c r="G983" s="56" t="inlineStr">
        <is>
          <t>Poland</t>
        </is>
      </c>
      <c r="H983" s="56" t="n">
        <v>8</v>
      </c>
      <c r="I983" s="56" t="inlineStr">
        <is>
          <t>Add to cart</t>
        </is>
      </c>
      <c r="J983" s="56" t="inlineStr">
        <is>
          <t>1-23 August 2026</t>
        </is>
      </c>
      <c r="K983" s="57" t="n">
        <v>3202</v>
      </c>
      <c r="L983" s="56" t="inlineStr">
        <is>
          <t>Completeness only</t>
        </is>
      </c>
      <c r="M983" s="40">
        <f>IF(Countries!AE14="","STILL MISSING","Filled ✓")</f>
        <v/>
      </c>
    </row>
    <row r="984">
      <c r="A984" s="40" t="inlineStr">
        <is>
          <t>Countries</t>
        </is>
      </c>
      <c r="B984" s="40" t="inlineStr">
        <is>
          <t>AK14</t>
        </is>
      </c>
      <c r="C984" s="40" t="n">
        <v>14</v>
      </c>
      <c r="D984" s="40" t="inlineStr">
        <is>
          <t>All landing pages</t>
        </is>
      </c>
      <c r="E984" s="40" t="inlineStr">
        <is>
          <t>Paid Search</t>
        </is>
      </c>
      <c r="F984" s="40" t="inlineStr">
        <is>
          <t>Mobile</t>
        </is>
      </c>
      <c r="G984" s="40" t="inlineStr">
        <is>
          <t>Poland</t>
        </is>
      </c>
      <c r="H984" s="40" t="n">
        <v>8</v>
      </c>
      <c r="I984" s="40" t="inlineStr">
        <is>
          <t>Begin checkout</t>
        </is>
      </c>
      <c r="J984" s="40" t="inlineStr">
        <is>
          <t>1-23 August 2025</t>
        </is>
      </c>
      <c r="K984" s="55" t="n">
        <v>3202</v>
      </c>
      <c r="L984" s="40" t="inlineStr">
        <is>
          <t>Completeness only</t>
        </is>
      </c>
      <c r="M984" s="40">
        <f>IF(Countries!AK14="","STILL MISSING","Filled ✓")</f>
        <v/>
      </c>
    </row>
    <row r="985">
      <c r="A985" s="56" t="inlineStr">
        <is>
          <t>Countries</t>
        </is>
      </c>
      <c r="B985" s="56" t="inlineStr">
        <is>
          <t>AL14</t>
        </is>
      </c>
      <c r="C985" s="56" t="n">
        <v>14</v>
      </c>
      <c r="D985" s="56" t="inlineStr">
        <is>
          <t>All landing pages</t>
        </is>
      </c>
      <c r="E985" s="56" t="inlineStr">
        <is>
          <t>Paid Search</t>
        </is>
      </c>
      <c r="F985" s="56" t="inlineStr">
        <is>
          <t>Mobile</t>
        </is>
      </c>
      <c r="G985" s="56" t="inlineStr">
        <is>
          <t>Poland</t>
        </is>
      </c>
      <c r="H985" s="56" t="n">
        <v>8</v>
      </c>
      <c r="I985" s="56" t="inlineStr">
        <is>
          <t>Begin checkout</t>
        </is>
      </c>
      <c r="J985" s="56" t="inlineStr">
        <is>
          <t>1-23 August 2026</t>
        </is>
      </c>
      <c r="K985" s="57" t="n">
        <v>3202</v>
      </c>
      <c r="L985" s="56" t="inlineStr">
        <is>
          <t>Completeness only</t>
        </is>
      </c>
      <c r="M985" s="40">
        <f>IF(Countries!AL14="","STILL MISSING","Filled ✓")</f>
        <v/>
      </c>
    </row>
    <row r="986">
      <c r="A986" s="40" t="inlineStr">
        <is>
          <t>Countries</t>
        </is>
      </c>
      <c r="B986" s="40" t="inlineStr">
        <is>
          <t>AD59</t>
        </is>
      </c>
      <c r="C986" s="40" t="n">
        <v>59</v>
      </c>
      <c r="D986" s="40" t="inlineStr">
        <is>
          <t>All landing pages</t>
        </is>
      </c>
      <c r="E986" s="40" t="inlineStr">
        <is>
          <t>Organic</t>
        </is>
      </c>
      <c r="F986" s="40" t="inlineStr">
        <is>
          <t>Desktop</t>
        </is>
      </c>
      <c r="G986" s="40" t="inlineStr">
        <is>
          <t>Poland</t>
        </is>
      </c>
      <c r="H986" s="40" t="n">
        <v>8</v>
      </c>
      <c r="I986" s="40" t="inlineStr">
        <is>
          <t>Add to cart</t>
        </is>
      </c>
      <c r="J986" s="40" t="inlineStr">
        <is>
          <t>1-23 August 2025</t>
        </is>
      </c>
      <c r="K986" s="55" t="n">
        <v>1163</v>
      </c>
      <c r="L986" s="40" t="inlineStr">
        <is>
          <t>Completeness only</t>
        </is>
      </c>
      <c r="M986" s="40">
        <f>IF(Countries!AD59="","STILL MISSING","Filled ✓")</f>
        <v/>
      </c>
    </row>
    <row r="987">
      <c r="A987" s="56" t="inlineStr">
        <is>
          <t>Countries</t>
        </is>
      </c>
      <c r="B987" s="56" t="inlineStr">
        <is>
          <t>AE59</t>
        </is>
      </c>
      <c r="C987" s="56" t="n">
        <v>59</v>
      </c>
      <c r="D987" s="56" t="inlineStr">
        <is>
          <t>All landing pages</t>
        </is>
      </c>
      <c r="E987" s="56" t="inlineStr">
        <is>
          <t>Organic</t>
        </is>
      </c>
      <c r="F987" s="56" t="inlineStr">
        <is>
          <t>Desktop</t>
        </is>
      </c>
      <c r="G987" s="56" t="inlineStr">
        <is>
          <t>Poland</t>
        </is>
      </c>
      <c r="H987" s="56" t="n">
        <v>8</v>
      </c>
      <c r="I987" s="56" t="inlineStr">
        <is>
          <t>Add to cart</t>
        </is>
      </c>
      <c r="J987" s="56" t="inlineStr">
        <is>
          <t>1-23 August 2026</t>
        </is>
      </c>
      <c r="K987" s="57" t="n">
        <v>1163</v>
      </c>
      <c r="L987" s="56" t="inlineStr">
        <is>
          <t>Completeness only</t>
        </is>
      </c>
      <c r="M987" s="40">
        <f>IF(Countries!AE59="","STILL MISSING","Filled ✓")</f>
        <v/>
      </c>
    </row>
    <row r="988">
      <c r="A988" s="40" t="inlineStr">
        <is>
          <t>Countries</t>
        </is>
      </c>
      <c r="B988" s="40" t="inlineStr">
        <is>
          <t>AK59</t>
        </is>
      </c>
      <c r="C988" s="40" t="n">
        <v>59</v>
      </c>
      <c r="D988" s="40" t="inlineStr">
        <is>
          <t>All landing pages</t>
        </is>
      </c>
      <c r="E988" s="40" t="inlineStr">
        <is>
          <t>Organic</t>
        </is>
      </c>
      <c r="F988" s="40" t="inlineStr">
        <is>
          <t>Desktop</t>
        </is>
      </c>
      <c r="G988" s="40" t="inlineStr">
        <is>
          <t>Poland</t>
        </is>
      </c>
      <c r="H988" s="40" t="n">
        <v>8</v>
      </c>
      <c r="I988" s="40" t="inlineStr">
        <is>
          <t>Begin checkout</t>
        </is>
      </c>
      <c r="J988" s="40" t="inlineStr">
        <is>
          <t>1-23 August 2025</t>
        </is>
      </c>
      <c r="K988" s="55" t="n">
        <v>1163</v>
      </c>
      <c r="L988" s="40" t="inlineStr">
        <is>
          <t>Completeness only</t>
        </is>
      </c>
      <c r="M988" s="40">
        <f>IF(Countries!AK59="","STILL MISSING","Filled ✓")</f>
        <v/>
      </c>
    </row>
    <row r="989">
      <c r="A989" s="56" t="inlineStr">
        <is>
          <t>Countries</t>
        </is>
      </c>
      <c r="B989" s="56" t="inlineStr">
        <is>
          <t>AL59</t>
        </is>
      </c>
      <c r="C989" s="56" t="n">
        <v>59</v>
      </c>
      <c r="D989" s="56" t="inlineStr">
        <is>
          <t>All landing pages</t>
        </is>
      </c>
      <c r="E989" s="56" t="inlineStr">
        <is>
          <t>Organic</t>
        </is>
      </c>
      <c r="F989" s="56" t="inlineStr">
        <is>
          <t>Desktop</t>
        </is>
      </c>
      <c r="G989" s="56" t="inlineStr">
        <is>
          <t>Poland</t>
        </is>
      </c>
      <c r="H989" s="56" t="n">
        <v>8</v>
      </c>
      <c r="I989" s="56" t="inlineStr">
        <is>
          <t>Begin checkout</t>
        </is>
      </c>
      <c r="J989" s="56" t="inlineStr">
        <is>
          <t>1-23 August 2026</t>
        </is>
      </c>
      <c r="K989" s="57" t="n">
        <v>1163</v>
      </c>
      <c r="L989" s="56" t="inlineStr">
        <is>
          <t>Completeness only</t>
        </is>
      </c>
      <c r="M989" s="40">
        <f>IF(Countries!AL59="","STILL MISSING","Filled ✓")</f>
        <v/>
      </c>
    </row>
    <row r="990">
      <c r="A990" s="40" t="inlineStr">
        <is>
          <t>Countries</t>
        </is>
      </c>
      <c r="B990" s="40" t="inlineStr">
        <is>
          <t>AD41</t>
        </is>
      </c>
      <c r="C990" s="40" t="n">
        <v>41</v>
      </c>
      <c r="D990" s="40" t="inlineStr">
        <is>
          <t>All landing pages</t>
        </is>
      </c>
      <c r="E990" s="40" t="inlineStr">
        <is>
          <t>Organic</t>
        </is>
      </c>
      <c r="F990" s="40" t="inlineStr">
        <is>
          <t>Mobile</t>
        </is>
      </c>
      <c r="G990" s="40" t="inlineStr">
        <is>
          <t>Poland</t>
        </is>
      </c>
      <c r="H990" s="40" t="n">
        <v>8</v>
      </c>
      <c r="I990" s="40" t="inlineStr">
        <is>
          <t>Add to cart</t>
        </is>
      </c>
      <c r="J990" s="40" t="inlineStr">
        <is>
          <t>1-23 August 2025</t>
        </is>
      </c>
      <c r="K990" s="55" t="n">
        <v>2316</v>
      </c>
      <c r="L990" s="40" t="inlineStr">
        <is>
          <t>Completeness only</t>
        </is>
      </c>
      <c r="M990" s="40">
        <f>IF(Countries!AD41="","STILL MISSING","Filled ✓")</f>
        <v/>
      </c>
    </row>
    <row r="991">
      <c r="A991" s="56" t="inlineStr">
        <is>
          <t>Countries</t>
        </is>
      </c>
      <c r="B991" s="56" t="inlineStr">
        <is>
          <t>AE41</t>
        </is>
      </c>
      <c r="C991" s="56" t="n">
        <v>41</v>
      </c>
      <c r="D991" s="56" t="inlineStr">
        <is>
          <t>All landing pages</t>
        </is>
      </c>
      <c r="E991" s="56" t="inlineStr">
        <is>
          <t>Organic</t>
        </is>
      </c>
      <c r="F991" s="56" t="inlineStr">
        <is>
          <t>Mobile</t>
        </is>
      </c>
      <c r="G991" s="56" t="inlineStr">
        <is>
          <t>Poland</t>
        </is>
      </c>
      <c r="H991" s="56" t="n">
        <v>8</v>
      </c>
      <c r="I991" s="56" t="inlineStr">
        <is>
          <t>Add to cart</t>
        </is>
      </c>
      <c r="J991" s="56" t="inlineStr">
        <is>
          <t>1-23 August 2026</t>
        </is>
      </c>
      <c r="K991" s="57" t="n">
        <v>2316</v>
      </c>
      <c r="L991" s="56" t="inlineStr">
        <is>
          <t>Completeness only</t>
        </is>
      </c>
      <c r="M991" s="40">
        <f>IF(Countries!AE41="","STILL MISSING","Filled ✓")</f>
        <v/>
      </c>
    </row>
    <row r="992">
      <c r="A992" s="40" t="inlineStr">
        <is>
          <t>Countries</t>
        </is>
      </c>
      <c r="B992" s="40" t="inlineStr">
        <is>
          <t>AK41</t>
        </is>
      </c>
      <c r="C992" s="40" t="n">
        <v>41</v>
      </c>
      <c r="D992" s="40" t="inlineStr">
        <is>
          <t>All landing pages</t>
        </is>
      </c>
      <c r="E992" s="40" t="inlineStr">
        <is>
          <t>Organic</t>
        </is>
      </c>
      <c r="F992" s="40" t="inlineStr">
        <is>
          <t>Mobile</t>
        </is>
      </c>
      <c r="G992" s="40" t="inlineStr">
        <is>
          <t>Poland</t>
        </is>
      </c>
      <c r="H992" s="40" t="n">
        <v>8</v>
      </c>
      <c r="I992" s="40" t="inlineStr">
        <is>
          <t>Begin checkout</t>
        </is>
      </c>
      <c r="J992" s="40" t="inlineStr">
        <is>
          <t>1-23 August 2025</t>
        </is>
      </c>
      <c r="K992" s="55" t="n">
        <v>2316</v>
      </c>
      <c r="L992" s="40" t="inlineStr">
        <is>
          <t>Completeness only</t>
        </is>
      </c>
      <c r="M992" s="40">
        <f>IF(Countries!AK41="","STILL MISSING","Filled ✓")</f>
        <v/>
      </c>
    </row>
    <row r="993">
      <c r="A993" s="56" t="inlineStr">
        <is>
          <t>Countries</t>
        </is>
      </c>
      <c r="B993" s="56" t="inlineStr">
        <is>
          <t>AL41</t>
        </is>
      </c>
      <c r="C993" s="56" t="n">
        <v>41</v>
      </c>
      <c r="D993" s="56" t="inlineStr">
        <is>
          <t>All landing pages</t>
        </is>
      </c>
      <c r="E993" s="56" t="inlineStr">
        <is>
          <t>Organic</t>
        </is>
      </c>
      <c r="F993" s="56" t="inlineStr">
        <is>
          <t>Mobile</t>
        </is>
      </c>
      <c r="G993" s="56" t="inlineStr">
        <is>
          <t>Poland</t>
        </is>
      </c>
      <c r="H993" s="56" t="n">
        <v>8</v>
      </c>
      <c r="I993" s="56" t="inlineStr">
        <is>
          <t>Begin checkout</t>
        </is>
      </c>
      <c r="J993" s="56" t="inlineStr">
        <is>
          <t>1-23 August 2026</t>
        </is>
      </c>
      <c r="K993" s="57" t="n">
        <v>2316</v>
      </c>
      <c r="L993" s="56" t="inlineStr">
        <is>
          <t>Completeness only</t>
        </is>
      </c>
      <c r="M993" s="40">
        <f>IF(Countries!AL41="","STILL MISSING","Filled ✓")</f>
        <v/>
      </c>
    </row>
    <row r="994">
      <c r="A994" s="40" t="inlineStr">
        <is>
          <t>Countries</t>
        </is>
      </c>
      <c r="B994" s="40" t="inlineStr">
        <is>
          <t>AD98</t>
        </is>
      </c>
      <c r="C994" s="40" t="n">
        <v>98</v>
      </c>
      <c r="D994" s="40" t="inlineStr">
        <is>
          <t>All landing pages</t>
        </is>
      </c>
      <c r="E994" s="40" t="inlineStr">
        <is>
          <t>Direct</t>
        </is>
      </c>
      <c r="F994" s="40" t="inlineStr">
        <is>
          <t>Desktop</t>
        </is>
      </c>
      <c r="G994" s="40" t="inlineStr">
        <is>
          <t>Poland</t>
        </is>
      </c>
      <c r="H994" s="40" t="n">
        <v>8</v>
      </c>
      <c r="I994" s="40" t="inlineStr">
        <is>
          <t>Add to cart</t>
        </is>
      </c>
      <c r="J994" s="40" t="inlineStr">
        <is>
          <t>1-23 August 2025</t>
        </is>
      </c>
      <c r="K994" s="55" t="n">
        <v>906</v>
      </c>
      <c r="L994" s="40" t="inlineStr">
        <is>
          <t>Completeness only</t>
        </is>
      </c>
      <c r="M994" s="40">
        <f>IF(Countries!AD98="","STILL MISSING","Filled ✓")</f>
        <v/>
      </c>
    </row>
    <row r="995">
      <c r="A995" s="56" t="inlineStr">
        <is>
          <t>Countries</t>
        </is>
      </c>
      <c r="B995" s="56" t="inlineStr">
        <is>
          <t>AE98</t>
        </is>
      </c>
      <c r="C995" s="56" t="n">
        <v>98</v>
      </c>
      <c r="D995" s="56" t="inlineStr">
        <is>
          <t>All landing pages</t>
        </is>
      </c>
      <c r="E995" s="56" t="inlineStr">
        <is>
          <t>Direct</t>
        </is>
      </c>
      <c r="F995" s="56" t="inlineStr">
        <is>
          <t>Desktop</t>
        </is>
      </c>
      <c r="G995" s="56" t="inlineStr">
        <is>
          <t>Poland</t>
        </is>
      </c>
      <c r="H995" s="56" t="n">
        <v>8</v>
      </c>
      <c r="I995" s="56" t="inlineStr">
        <is>
          <t>Add to cart</t>
        </is>
      </c>
      <c r="J995" s="56" t="inlineStr">
        <is>
          <t>1-23 August 2026</t>
        </is>
      </c>
      <c r="K995" s="57" t="n">
        <v>906</v>
      </c>
      <c r="L995" s="56" t="inlineStr">
        <is>
          <t>Completeness only</t>
        </is>
      </c>
      <c r="M995" s="40">
        <f>IF(Countries!AE98="","STILL MISSING","Filled ✓")</f>
        <v/>
      </c>
    </row>
    <row r="996">
      <c r="A996" s="40" t="inlineStr">
        <is>
          <t>Countries</t>
        </is>
      </c>
      <c r="B996" s="40" t="inlineStr">
        <is>
          <t>AK98</t>
        </is>
      </c>
      <c r="C996" s="40" t="n">
        <v>98</v>
      </c>
      <c r="D996" s="40" t="inlineStr">
        <is>
          <t>All landing pages</t>
        </is>
      </c>
      <c r="E996" s="40" t="inlineStr">
        <is>
          <t>Direct</t>
        </is>
      </c>
      <c r="F996" s="40" t="inlineStr">
        <is>
          <t>Desktop</t>
        </is>
      </c>
      <c r="G996" s="40" t="inlineStr">
        <is>
          <t>Poland</t>
        </is>
      </c>
      <c r="H996" s="40" t="n">
        <v>8</v>
      </c>
      <c r="I996" s="40" t="inlineStr">
        <is>
          <t>Begin checkout</t>
        </is>
      </c>
      <c r="J996" s="40" t="inlineStr">
        <is>
          <t>1-23 August 2025</t>
        </is>
      </c>
      <c r="K996" s="55" t="n">
        <v>906</v>
      </c>
      <c r="L996" s="40" t="inlineStr">
        <is>
          <t>Completeness only</t>
        </is>
      </c>
      <c r="M996" s="40">
        <f>IF(Countries!AK98="","STILL MISSING","Filled ✓")</f>
        <v/>
      </c>
    </row>
    <row r="997">
      <c r="A997" s="56" t="inlineStr">
        <is>
          <t>Countries</t>
        </is>
      </c>
      <c r="B997" s="56" t="inlineStr">
        <is>
          <t>AL98</t>
        </is>
      </c>
      <c r="C997" s="56" t="n">
        <v>98</v>
      </c>
      <c r="D997" s="56" t="inlineStr">
        <is>
          <t>All landing pages</t>
        </is>
      </c>
      <c r="E997" s="56" t="inlineStr">
        <is>
          <t>Direct</t>
        </is>
      </c>
      <c r="F997" s="56" t="inlineStr">
        <is>
          <t>Desktop</t>
        </is>
      </c>
      <c r="G997" s="56" t="inlineStr">
        <is>
          <t>Poland</t>
        </is>
      </c>
      <c r="H997" s="56" t="n">
        <v>8</v>
      </c>
      <c r="I997" s="56" t="inlineStr">
        <is>
          <t>Begin checkout</t>
        </is>
      </c>
      <c r="J997" s="56" t="inlineStr">
        <is>
          <t>1-23 August 2026</t>
        </is>
      </c>
      <c r="K997" s="57" t="n">
        <v>906</v>
      </c>
      <c r="L997" s="56" t="inlineStr">
        <is>
          <t>Completeness only</t>
        </is>
      </c>
      <c r="M997" s="40">
        <f>IF(Countries!AL98="","STILL MISSING","Filled ✓")</f>
        <v/>
      </c>
    </row>
    <row r="998">
      <c r="A998" s="40" t="inlineStr">
        <is>
          <t>Countries</t>
        </is>
      </c>
      <c r="B998" s="40" t="inlineStr">
        <is>
          <t>AD82</t>
        </is>
      </c>
      <c r="C998" s="40" t="n">
        <v>82</v>
      </c>
      <c r="D998" s="40" t="inlineStr">
        <is>
          <t>All landing pages</t>
        </is>
      </c>
      <c r="E998" s="40" t="inlineStr">
        <is>
          <t>Direct</t>
        </is>
      </c>
      <c r="F998" s="40" t="inlineStr">
        <is>
          <t>Mobile</t>
        </is>
      </c>
      <c r="G998" s="40" t="inlineStr">
        <is>
          <t>Poland</t>
        </is>
      </c>
      <c r="H998" s="40" t="n">
        <v>8</v>
      </c>
      <c r="I998" s="40" t="inlineStr">
        <is>
          <t>Add to cart</t>
        </is>
      </c>
      <c r="J998" s="40" t="inlineStr">
        <is>
          <t>1-23 August 2025</t>
        </is>
      </c>
      <c r="K998" s="55" t="n">
        <v>412</v>
      </c>
      <c r="L998" s="40" t="inlineStr">
        <is>
          <t>Completeness only</t>
        </is>
      </c>
      <c r="M998" s="40">
        <f>IF(Countries!AD82="","STILL MISSING","Filled ✓")</f>
        <v/>
      </c>
    </row>
    <row r="999">
      <c r="A999" s="56" t="inlineStr">
        <is>
          <t>Countries</t>
        </is>
      </c>
      <c r="B999" s="56" t="inlineStr">
        <is>
          <t>AE82</t>
        </is>
      </c>
      <c r="C999" s="56" t="n">
        <v>82</v>
      </c>
      <c r="D999" s="56" t="inlineStr">
        <is>
          <t>All landing pages</t>
        </is>
      </c>
      <c r="E999" s="56" t="inlineStr">
        <is>
          <t>Direct</t>
        </is>
      </c>
      <c r="F999" s="56" t="inlineStr">
        <is>
          <t>Mobile</t>
        </is>
      </c>
      <c r="G999" s="56" t="inlineStr">
        <is>
          <t>Poland</t>
        </is>
      </c>
      <c r="H999" s="56" t="n">
        <v>8</v>
      </c>
      <c r="I999" s="56" t="inlineStr">
        <is>
          <t>Add to cart</t>
        </is>
      </c>
      <c r="J999" s="56" t="inlineStr">
        <is>
          <t>1-23 August 2026</t>
        </is>
      </c>
      <c r="K999" s="57" t="n">
        <v>412</v>
      </c>
      <c r="L999" s="56" t="inlineStr">
        <is>
          <t>Completeness only</t>
        </is>
      </c>
      <c r="M999" s="40">
        <f>IF(Countries!AE82="","STILL MISSING","Filled ✓")</f>
        <v/>
      </c>
    </row>
    <row r="1000">
      <c r="A1000" s="40" t="inlineStr">
        <is>
          <t>Countries</t>
        </is>
      </c>
      <c r="B1000" s="40" t="inlineStr">
        <is>
          <t>AK82</t>
        </is>
      </c>
      <c r="C1000" s="40" t="n">
        <v>82</v>
      </c>
      <c r="D1000" s="40" t="inlineStr">
        <is>
          <t>All landing pages</t>
        </is>
      </c>
      <c r="E1000" s="40" t="inlineStr">
        <is>
          <t>Direct</t>
        </is>
      </c>
      <c r="F1000" s="40" t="inlineStr">
        <is>
          <t>Mobile</t>
        </is>
      </c>
      <c r="G1000" s="40" t="inlineStr">
        <is>
          <t>Poland</t>
        </is>
      </c>
      <c r="H1000" s="40" t="n">
        <v>8</v>
      </c>
      <c r="I1000" s="40" t="inlineStr">
        <is>
          <t>Begin checkout</t>
        </is>
      </c>
      <c r="J1000" s="40" t="inlineStr">
        <is>
          <t>1-23 August 2025</t>
        </is>
      </c>
      <c r="K1000" s="55" t="n">
        <v>412</v>
      </c>
      <c r="L1000" s="40" t="inlineStr">
        <is>
          <t>Completeness only</t>
        </is>
      </c>
      <c r="M1000" s="40">
        <f>IF(Countries!AK82="","STILL MISSING","Filled ✓")</f>
        <v/>
      </c>
    </row>
    <row r="1001">
      <c r="A1001" s="56" t="inlineStr">
        <is>
          <t>Countries</t>
        </is>
      </c>
      <c r="B1001" s="56" t="inlineStr">
        <is>
          <t>AL82</t>
        </is>
      </c>
      <c r="C1001" s="56" t="n">
        <v>82</v>
      </c>
      <c r="D1001" s="56" t="inlineStr">
        <is>
          <t>All landing pages</t>
        </is>
      </c>
      <c r="E1001" s="56" t="inlineStr">
        <is>
          <t>Direct</t>
        </is>
      </c>
      <c r="F1001" s="56" t="inlineStr">
        <is>
          <t>Mobile</t>
        </is>
      </c>
      <c r="G1001" s="56" t="inlineStr">
        <is>
          <t>Poland</t>
        </is>
      </c>
      <c r="H1001" s="56" t="n">
        <v>8</v>
      </c>
      <c r="I1001" s="56" t="inlineStr">
        <is>
          <t>Begin checkout</t>
        </is>
      </c>
      <c r="J1001" s="56" t="inlineStr">
        <is>
          <t>1-23 August 2026</t>
        </is>
      </c>
      <c r="K1001" s="57" t="n">
        <v>412</v>
      </c>
      <c r="L1001" s="56" t="inlineStr">
        <is>
          <t>Completeness only</t>
        </is>
      </c>
      <c r="M1001" s="40">
        <f>IF(Countries!AL82="","STILL MISSING","Filled ✓")</f>
        <v/>
      </c>
    </row>
    <row r="1002">
      <c r="A1002" s="40" t="inlineStr">
        <is>
          <t>Countries</t>
        </is>
      </c>
      <c r="B1002" s="40" t="inlineStr">
        <is>
          <t>AD140</t>
        </is>
      </c>
      <c r="C1002" s="40" t="n">
        <v>140</v>
      </c>
      <c r="D1002" s="40" t="inlineStr">
        <is>
          <t>Home page</t>
        </is>
      </c>
      <c r="E1002" s="40" t="inlineStr">
        <is>
          <t>Paid Search</t>
        </is>
      </c>
      <c r="F1002" s="40" t="inlineStr">
        <is>
          <t>Desktop</t>
        </is>
      </c>
      <c r="G1002" s="40" t="inlineStr">
        <is>
          <t>Poland</t>
        </is>
      </c>
      <c r="H1002" s="40" t="n">
        <v>8</v>
      </c>
      <c r="I1002" s="40" t="inlineStr">
        <is>
          <t>Add to cart</t>
        </is>
      </c>
      <c r="J1002" s="40" t="inlineStr">
        <is>
          <t>1-23 August 2025</t>
        </is>
      </c>
      <c r="K1002" s="55" t="n">
        <v>1030</v>
      </c>
      <c r="L1002" s="40" t="inlineStr">
        <is>
          <t>Completeness only</t>
        </is>
      </c>
      <c r="M1002" s="40">
        <f>IF(Countries!AD140="","STILL MISSING","Filled ✓")</f>
        <v/>
      </c>
    </row>
    <row r="1003">
      <c r="A1003" s="56" t="inlineStr">
        <is>
          <t>Countries</t>
        </is>
      </c>
      <c r="B1003" s="56" t="inlineStr">
        <is>
          <t>AE140</t>
        </is>
      </c>
      <c r="C1003" s="56" t="n">
        <v>140</v>
      </c>
      <c r="D1003" s="56" t="inlineStr">
        <is>
          <t>Home page</t>
        </is>
      </c>
      <c r="E1003" s="56" t="inlineStr">
        <is>
          <t>Paid Search</t>
        </is>
      </c>
      <c r="F1003" s="56" t="inlineStr">
        <is>
          <t>Desktop</t>
        </is>
      </c>
      <c r="G1003" s="56" t="inlineStr">
        <is>
          <t>Poland</t>
        </is>
      </c>
      <c r="H1003" s="56" t="n">
        <v>8</v>
      </c>
      <c r="I1003" s="56" t="inlineStr">
        <is>
          <t>Add to cart</t>
        </is>
      </c>
      <c r="J1003" s="56" t="inlineStr">
        <is>
          <t>1-23 August 2026</t>
        </is>
      </c>
      <c r="K1003" s="57" t="n">
        <v>1030</v>
      </c>
      <c r="L1003" s="56" t="inlineStr">
        <is>
          <t>Completeness only</t>
        </is>
      </c>
      <c r="M1003" s="40">
        <f>IF(Countries!AE140="","STILL MISSING","Filled ✓")</f>
        <v/>
      </c>
    </row>
    <row r="1004">
      <c r="A1004" s="40" t="inlineStr">
        <is>
          <t>Countries</t>
        </is>
      </c>
      <c r="B1004" s="40" t="inlineStr">
        <is>
          <t>AK140</t>
        </is>
      </c>
      <c r="C1004" s="40" t="n">
        <v>140</v>
      </c>
      <c r="D1004" s="40" t="inlineStr">
        <is>
          <t>Home page</t>
        </is>
      </c>
      <c r="E1004" s="40" t="inlineStr">
        <is>
          <t>Paid Search</t>
        </is>
      </c>
      <c r="F1004" s="40" t="inlineStr">
        <is>
          <t>Desktop</t>
        </is>
      </c>
      <c r="G1004" s="40" t="inlineStr">
        <is>
          <t>Poland</t>
        </is>
      </c>
      <c r="H1004" s="40" t="n">
        <v>8</v>
      </c>
      <c r="I1004" s="40" t="inlineStr">
        <is>
          <t>Begin checkout</t>
        </is>
      </c>
      <c r="J1004" s="40" t="inlineStr">
        <is>
          <t>1-23 August 2025</t>
        </is>
      </c>
      <c r="K1004" s="55" t="n">
        <v>1030</v>
      </c>
      <c r="L1004" s="40" t="inlineStr">
        <is>
          <t>Completeness only</t>
        </is>
      </c>
      <c r="M1004" s="40">
        <f>IF(Countries!AK140="","STILL MISSING","Filled ✓")</f>
        <v/>
      </c>
    </row>
    <row r="1005">
      <c r="A1005" s="56" t="inlineStr">
        <is>
          <t>Countries</t>
        </is>
      </c>
      <c r="B1005" s="56" t="inlineStr">
        <is>
          <t>AL140</t>
        </is>
      </c>
      <c r="C1005" s="56" t="n">
        <v>140</v>
      </c>
      <c r="D1005" s="56" t="inlineStr">
        <is>
          <t>Home page</t>
        </is>
      </c>
      <c r="E1005" s="56" t="inlineStr">
        <is>
          <t>Paid Search</t>
        </is>
      </c>
      <c r="F1005" s="56" t="inlineStr">
        <is>
          <t>Desktop</t>
        </is>
      </c>
      <c r="G1005" s="56" t="inlineStr">
        <is>
          <t>Poland</t>
        </is>
      </c>
      <c r="H1005" s="56" t="n">
        <v>8</v>
      </c>
      <c r="I1005" s="56" t="inlineStr">
        <is>
          <t>Begin checkout</t>
        </is>
      </c>
      <c r="J1005" s="56" t="inlineStr">
        <is>
          <t>1-23 August 2026</t>
        </is>
      </c>
      <c r="K1005" s="57" t="n">
        <v>1030</v>
      </c>
      <c r="L1005" s="56" t="inlineStr">
        <is>
          <t>Completeness only</t>
        </is>
      </c>
      <c r="M1005" s="40">
        <f>IF(Countries!AL140="","STILL MISSING","Filled ✓")</f>
        <v/>
      </c>
    </row>
    <row r="1006">
      <c r="A1006" s="40" t="inlineStr">
        <is>
          <t>Countries</t>
        </is>
      </c>
      <c r="B1006" s="40" t="inlineStr">
        <is>
          <t>I140</t>
        </is>
      </c>
      <c r="C1006" s="40" t="n">
        <v>140</v>
      </c>
      <c r="D1006" s="40" t="inlineStr">
        <is>
          <t>Home page</t>
        </is>
      </c>
      <c r="E1006" s="40" t="inlineStr">
        <is>
          <t>Paid Search</t>
        </is>
      </c>
      <c r="F1006" s="40" t="inlineStr">
        <is>
          <t>Desktop</t>
        </is>
      </c>
      <c r="G1006" s="40" t="inlineStr">
        <is>
          <t>Poland</t>
        </is>
      </c>
      <c r="H1006" s="40" t="n">
        <v>8</v>
      </c>
      <c r="I1006" s="40" t="inlineStr">
        <is>
          <t>Start Search</t>
        </is>
      </c>
      <c r="J1006" s="40" t="inlineStr">
        <is>
          <t>1-23 August 2025</t>
        </is>
      </c>
      <c r="K1006" s="55" t="n">
        <v>1030</v>
      </c>
      <c r="L1006" s="40" t="inlineStr">
        <is>
          <t>Completeness only</t>
        </is>
      </c>
      <c r="M1006" s="40">
        <f>IF(Countries!I140="","STILL MISSING","Filled ✓")</f>
        <v/>
      </c>
    </row>
    <row r="1007">
      <c r="A1007" s="56" t="inlineStr">
        <is>
          <t>Countries</t>
        </is>
      </c>
      <c r="B1007" s="56" t="inlineStr">
        <is>
          <t>AD119</t>
        </is>
      </c>
      <c r="C1007" s="56" t="n">
        <v>119</v>
      </c>
      <c r="D1007" s="56" t="inlineStr">
        <is>
          <t>Home page</t>
        </is>
      </c>
      <c r="E1007" s="56" t="inlineStr">
        <is>
          <t>Paid Search</t>
        </is>
      </c>
      <c r="F1007" s="56" t="inlineStr">
        <is>
          <t>Mobile</t>
        </is>
      </c>
      <c r="G1007" s="56" t="inlineStr">
        <is>
          <t>Poland</t>
        </is>
      </c>
      <c r="H1007" s="56" t="n">
        <v>8</v>
      </c>
      <c r="I1007" s="56" t="inlineStr">
        <is>
          <t>Add to cart</t>
        </is>
      </c>
      <c r="J1007" s="56" t="inlineStr">
        <is>
          <t>1-23 August 2025</t>
        </is>
      </c>
      <c r="K1007" s="57" t="n">
        <v>1753</v>
      </c>
      <c r="L1007" s="56" t="inlineStr">
        <is>
          <t>Completeness only</t>
        </is>
      </c>
      <c r="M1007" s="40">
        <f>IF(Countries!AD119="","STILL MISSING","Filled ✓")</f>
        <v/>
      </c>
    </row>
    <row r="1008">
      <c r="A1008" s="40" t="inlineStr">
        <is>
          <t>Countries</t>
        </is>
      </c>
      <c r="B1008" s="40" t="inlineStr">
        <is>
          <t>AE119</t>
        </is>
      </c>
      <c r="C1008" s="40" t="n">
        <v>119</v>
      </c>
      <c r="D1008" s="40" t="inlineStr">
        <is>
          <t>Home page</t>
        </is>
      </c>
      <c r="E1008" s="40" t="inlineStr">
        <is>
          <t>Paid Search</t>
        </is>
      </c>
      <c r="F1008" s="40" t="inlineStr">
        <is>
          <t>Mobile</t>
        </is>
      </c>
      <c r="G1008" s="40" t="inlineStr">
        <is>
          <t>Poland</t>
        </is>
      </c>
      <c r="H1008" s="40" t="n">
        <v>8</v>
      </c>
      <c r="I1008" s="40" t="inlineStr">
        <is>
          <t>Add to cart</t>
        </is>
      </c>
      <c r="J1008" s="40" t="inlineStr">
        <is>
          <t>1-23 August 2026</t>
        </is>
      </c>
      <c r="K1008" s="55" t="n">
        <v>1753</v>
      </c>
      <c r="L1008" s="40" t="inlineStr">
        <is>
          <t>Completeness only</t>
        </is>
      </c>
      <c r="M1008" s="40">
        <f>IF(Countries!AE119="","STILL MISSING","Filled ✓")</f>
        <v/>
      </c>
    </row>
    <row r="1009">
      <c r="A1009" s="56" t="inlineStr">
        <is>
          <t>Countries</t>
        </is>
      </c>
      <c r="B1009" s="56" t="inlineStr">
        <is>
          <t>AK119</t>
        </is>
      </c>
      <c r="C1009" s="56" t="n">
        <v>119</v>
      </c>
      <c r="D1009" s="56" t="inlineStr">
        <is>
          <t>Home page</t>
        </is>
      </c>
      <c r="E1009" s="56" t="inlineStr">
        <is>
          <t>Paid Search</t>
        </is>
      </c>
      <c r="F1009" s="56" t="inlineStr">
        <is>
          <t>Mobile</t>
        </is>
      </c>
      <c r="G1009" s="56" t="inlineStr">
        <is>
          <t>Poland</t>
        </is>
      </c>
      <c r="H1009" s="56" t="n">
        <v>8</v>
      </c>
      <c r="I1009" s="56" t="inlineStr">
        <is>
          <t>Begin checkout</t>
        </is>
      </c>
      <c r="J1009" s="56" t="inlineStr">
        <is>
          <t>1-23 August 2025</t>
        </is>
      </c>
      <c r="K1009" s="57" t="n">
        <v>1753</v>
      </c>
      <c r="L1009" s="56" t="inlineStr">
        <is>
          <t>Completeness only</t>
        </is>
      </c>
      <c r="M1009" s="40">
        <f>IF(Countries!AK119="","STILL MISSING","Filled ✓")</f>
        <v/>
      </c>
    </row>
    <row r="1010">
      <c r="A1010" s="40" t="inlineStr">
        <is>
          <t>Countries</t>
        </is>
      </c>
      <c r="B1010" s="40" t="inlineStr">
        <is>
          <t>AL119</t>
        </is>
      </c>
      <c r="C1010" s="40" t="n">
        <v>119</v>
      </c>
      <c r="D1010" s="40" t="inlineStr">
        <is>
          <t>Home page</t>
        </is>
      </c>
      <c r="E1010" s="40" t="inlineStr">
        <is>
          <t>Paid Search</t>
        </is>
      </c>
      <c r="F1010" s="40" t="inlineStr">
        <is>
          <t>Mobile</t>
        </is>
      </c>
      <c r="G1010" s="40" t="inlineStr">
        <is>
          <t>Poland</t>
        </is>
      </c>
      <c r="H1010" s="40" t="n">
        <v>8</v>
      </c>
      <c r="I1010" s="40" t="inlineStr">
        <is>
          <t>Begin checkout</t>
        </is>
      </c>
      <c r="J1010" s="40" t="inlineStr">
        <is>
          <t>1-23 August 2026</t>
        </is>
      </c>
      <c r="K1010" s="55" t="n">
        <v>1753</v>
      </c>
      <c r="L1010" s="40" t="inlineStr">
        <is>
          <t>Completeness only</t>
        </is>
      </c>
      <c r="M1010" s="40">
        <f>IF(Countries!AL119="","STILL MISSING","Filled ✓")</f>
        <v/>
      </c>
    </row>
    <row r="1011">
      <c r="A1011" s="56" t="inlineStr">
        <is>
          <t>Countries</t>
        </is>
      </c>
      <c r="B1011" s="56" t="inlineStr">
        <is>
          <t>AR119</t>
        </is>
      </c>
      <c r="C1011" s="56" t="n">
        <v>119</v>
      </c>
      <c r="D1011" s="56" t="inlineStr">
        <is>
          <t>Home page</t>
        </is>
      </c>
      <c r="E1011" s="56" t="inlineStr">
        <is>
          <t>Paid Search</t>
        </is>
      </c>
      <c r="F1011" s="56" t="inlineStr">
        <is>
          <t>Mobile</t>
        </is>
      </c>
      <c r="G1011" s="56" t="inlineStr">
        <is>
          <t>Poland</t>
        </is>
      </c>
      <c r="H1011" s="56" t="n">
        <v>8</v>
      </c>
      <c r="I1011" s="56" t="inlineStr">
        <is>
          <t>Purchases</t>
        </is>
      </c>
      <c r="J1011" s="56" t="inlineStr">
        <is>
          <t>1-23 August 2025</t>
        </is>
      </c>
      <c r="K1011" s="57" t="n">
        <v>1753</v>
      </c>
      <c r="L1011" s="56" t="inlineStr">
        <is>
          <t>Completeness only</t>
        </is>
      </c>
      <c r="M1011" s="40">
        <f>IF(Countries!AR119="","STILL MISSING","Filled ✓")</f>
        <v/>
      </c>
    </row>
    <row r="1012">
      <c r="A1012" s="40" t="inlineStr">
        <is>
          <t>Countries</t>
        </is>
      </c>
      <c r="B1012" s="40" t="inlineStr">
        <is>
          <t>W119</t>
        </is>
      </c>
      <c r="C1012" s="40" t="n">
        <v>119</v>
      </c>
      <c r="D1012" s="40" t="inlineStr">
        <is>
          <t>Home page</t>
        </is>
      </c>
      <c r="E1012" s="40" t="inlineStr">
        <is>
          <t>Paid Search</t>
        </is>
      </c>
      <c r="F1012" s="40" t="inlineStr">
        <is>
          <t>Mobile</t>
        </is>
      </c>
      <c r="G1012" s="40" t="inlineStr">
        <is>
          <t>Poland</t>
        </is>
      </c>
      <c r="H1012" s="40" t="n">
        <v>8</v>
      </c>
      <c r="I1012" s="40" t="inlineStr">
        <is>
          <t>Select item</t>
        </is>
      </c>
      <c r="J1012" s="40" t="inlineStr">
        <is>
          <t>1-23 August 2025</t>
        </is>
      </c>
      <c r="K1012" s="55" t="n">
        <v>1753</v>
      </c>
      <c r="L1012" s="40" t="inlineStr">
        <is>
          <t>Completeness only</t>
        </is>
      </c>
      <c r="M1012" s="40">
        <f>IF(Countries!W119="","STILL MISSING","Filled ✓")</f>
        <v/>
      </c>
    </row>
    <row r="1013">
      <c r="A1013" s="56" t="inlineStr">
        <is>
          <t>Countries</t>
        </is>
      </c>
      <c r="B1013" s="56" t="inlineStr">
        <is>
          <t>I119</t>
        </is>
      </c>
      <c r="C1013" s="56" t="n">
        <v>119</v>
      </c>
      <c r="D1013" s="56" t="inlineStr">
        <is>
          <t>Home page</t>
        </is>
      </c>
      <c r="E1013" s="56" t="inlineStr">
        <is>
          <t>Paid Search</t>
        </is>
      </c>
      <c r="F1013" s="56" t="inlineStr">
        <is>
          <t>Mobile</t>
        </is>
      </c>
      <c r="G1013" s="56" t="inlineStr">
        <is>
          <t>Poland</t>
        </is>
      </c>
      <c r="H1013" s="56" t="n">
        <v>8</v>
      </c>
      <c r="I1013" s="56" t="inlineStr">
        <is>
          <t>Start Search</t>
        </is>
      </c>
      <c r="J1013" s="56" t="inlineStr">
        <is>
          <t>1-23 August 2025</t>
        </is>
      </c>
      <c r="K1013" s="57" t="n">
        <v>1753</v>
      </c>
      <c r="L1013" s="56" t="inlineStr">
        <is>
          <t>Completeness only</t>
        </is>
      </c>
      <c r="M1013" s="40">
        <f>IF(Countries!I119="","STILL MISSING","Filled ✓")</f>
        <v/>
      </c>
    </row>
    <row r="1014">
      <c r="A1014" s="40" t="inlineStr">
        <is>
          <t>Countries</t>
        </is>
      </c>
      <c r="B1014" s="40" t="inlineStr">
        <is>
          <t>AD173</t>
        </is>
      </c>
      <c r="C1014" s="40" t="n">
        <v>173</v>
      </c>
      <c r="D1014" s="40" t="inlineStr">
        <is>
          <t>Home page</t>
        </is>
      </c>
      <c r="E1014" s="40" t="inlineStr">
        <is>
          <t>Organic</t>
        </is>
      </c>
      <c r="F1014" s="40" t="inlineStr">
        <is>
          <t>Desktop</t>
        </is>
      </c>
      <c r="G1014" s="40" t="inlineStr">
        <is>
          <t>Poland</t>
        </is>
      </c>
      <c r="H1014" s="40" t="n">
        <v>8</v>
      </c>
      <c r="I1014" s="40" t="inlineStr">
        <is>
          <t>Add to cart</t>
        </is>
      </c>
      <c r="J1014" s="40" t="inlineStr">
        <is>
          <t>1-23 August 2025</t>
        </is>
      </c>
      <c r="K1014" s="55" t="n">
        <v>174</v>
      </c>
      <c r="L1014" s="40" t="inlineStr">
        <is>
          <t>Completeness only</t>
        </is>
      </c>
      <c r="M1014" s="40">
        <f>IF(Countries!AD173="","STILL MISSING","Filled ✓")</f>
        <v/>
      </c>
    </row>
    <row r="1015">
      <c r="A1015" s="56" t="inlineStr">
        <is>
          <t>Countries</t>
        </is>
      </c>
      <c r="B1015" s="56" t="inlineStr">
        <is>
          <t>AE173</t>
        </is>
      </c>
      <c r="C1015" s="56" t="n">
        <v>173</v>
      </c>
      <c r="D1015" s="56" t="inlineStr">
        <is>
          <t>Home page</t>
        </is>
      </c>
      <c r="E1015" s="56" t="inlineStr">
        <is>
          <t>Organic</t>
        </is>
      </c>
      <c r="F1015" s="56" t="inlineStr">
        <is>
          <t>Desktop</t>
        </is>
      </c>
      <c r="G1015" s="56" t="inlineStr">
        <is>
          <t>Poland</t>
        </is>
      </c>
      <c r="H1015" s="56" t="n">
        <v>8</v>
      </c>
      <c r="I1015" s="56" t="inlineStr">
        <is>
          <t>Add to cart</t>
        </is>
      </c>
      <c r="J1015" s="56" t="inlineStr">
        <is>
          <t>1-23 August 2026</t>
        </is>
      </c>
      <c r="K1015" s="57" t="n">
        <v>174</v>
      </c>
      <c r="L1015" s="56" t="inlineStr">
        <is>
          <t>Completeness only</t>
        </is>
      </c>
      <c r="M1015" s="40">
        <f>IF(Countries!AE173="","STILL MISSING","Filled ✓")</f>
        <v/>
      </c>
    </row>
    <row r="1016">
      <c r="A1016" s="40" t="inlineStr">
        <is>
          <t>Countries</t>
        </is>
      </c>
      <c r="B1016" s="40" t="inlineStr">
        <is>
          <t>AK173</t>
        </is>
      </c>
      <c r="C1016" s="40" t="n">
        <v>173</v>
      </c>
      <c r="D1016" s="40" t="inlineStr">
        <is>
          <t>Home page</t>
        </is>
      </c>
      <c r="E1016" s="40" t="inlineStr">
        <is>
          <t>Organic</t>
        </is>
      </c>
      <c r="F1016" s="40" t="inlineStr">
        <is>
          <t>Desktop</t>
        </is>
      </c>
      <c r="G1016" s="40" t="inlineStr">
        <is>
          <t>Poland</t>
        </is>
      </c>
      <c r="H1016" s="40" t="n">
        <v>8</v>
      </c>
      <c r="I1016" s="40" t="inlineStr">
        <is>
          <t>Begin checkout</t>
        </is>
      </c>
      <c r="J1016" s="40" t="inlineStr">
        <is>
          <t>1-23 August 2025</t>
        </is>
      </c>
      <c r="K1016" s="55" t="n">
        <v>174</v>
      </c>
      <c r="L1016" s="40" t="inlineStr">
        <is>
          <t>Completeness only</t>
        </is>
      </c>
      <c r="M1016" s="40">
        <f>IF(Countries!AK173="","STILL MISSING","Filled ✓")</f>
        <v/>
      </c>
    </row>
    <row r="1017">
      <c r="A1017" s="56" t="inlineStr">
        <is>
          <t>Countries</t>
        </is>
      </c>
      <c r="B1017" s="56" t="inlineStr">
        <is>
          <t>AL173</t>
        </is>
      </c>
      <c r="C1017" s="56" t="n">
        <v>173</v>
      </c>
      <c r="D1017" s="56" t="inlineStr">
        <is>
          <t>Home page</t>
        </is>
      </c>
      <c r="E1017" s="56" t="inlineStr">
        <is>
          <t>Organic</t>
        </is>
      </c>
      <c r="F1017" s="56" t="inlineStr">
        <is>
          <t>Desktop</t>
        </is>
      </c>
      <c r="G1017" s="56" t="inlineStr">
        <is>
          <t>Poland</t>
        </is>
      </c>
      <c r="H1017" s="56" t="n">
        <v>8</v>
      </c>
      <c r="I1017" s="56" t="inlineStr">
        <is>
          <t>Begin checkout</t>
        </is>
      </c>
      <c r="J1017" s="56" t="inlineStr">
        <is>
          <t>1-23 August 2026</t>
        </is>
      </c>
      <c r="K1017" s="57" t="n">
        <v>174</v>
      </c>
      <c r="L1017" s="56" t="inlineStr">
        <is>
          <t>Completeness only</t>
        </is>
      </c>
      <c r="M1017" s="40">
        <f>IF(Countries!AL173="","STILL MISSING","Filled ✓")</f>
        <v/>
      </c>
    </row>
    <row r="1018">
      <c r="A1018" s="40" t="inlineStr">
        <is>
          <t>Countries</t>
        </is>
      </c>
      <c r="B1018" s="40" t="inlineStr">
        <is>
          <t>I173</t>
        </is>
      </c>
      <c r="C1018" s="40" t="n">
        <v>173</v>
      </c>
      <c r="D1018" s="40" t="inlineStr">
        <is>
          <t>Home page</t>
        </is>
      </c>
      <c r="E1018" s="40" t="inlineStr">
        <is>
          <t>Organic</t>
        </is>
      </c>
      <c r="F1018" s="40" t="inlineStr">
        <is>
          <t>Desktop</t>
        </is>
      </c>
      <c r="G1018" s="40" t="inlineStr">
        <is>
          <t>Poland</t>
        </is>
      </c>
      <c r="H1018" s="40" t="n">
        <v>8</v>
      </c>
      <c r="I1018" s="40" t="inlineStr">
        <is>
          <t>Start Search</t>
        </is>
      </c>
      <c r="J1018" s="40" t="inlineStr">
        <is>
          <t>1-23 August 2025</t>
        </is>
      </c>
      <c r="K1018" s="55" t="n">
        <v>174</v>
      </c>
      <c r="L1018" s="40" t="inlineStr">
        <is>
          <t>Completeness only</t>
        </is>
      </c>
      <c r="M1018" s="40">
        <f>IF(Countries!I173="","STILL MISSING","Filled ✓")</f>
        <v/>
      </c>
    </row>
    <row r="1019">
      <c r="A1019" s="56" t="inlineStr">
        <is>
          <t>Countries</t>
        </is>
      </c>
      <c r="B1019" s="56" t="inlineStr">
        <is>
          <t>AD156</t>
        </is>
      </c>
      <c r="C1019" s="56" t="n">
        <v>156</v>
      </c>
      <c r="D1019" s="56" t="inlineStr">
        <is>
          <t>Home page</t>
        </is>
      </c>
      <c r="E1019" s="56" t="inlineStr">
        <is>
          <t>Organic</t>
        </is>
      </c>
      <c r="F1019" s="56" t="inlineStr">
        <is>
          <t>Mobile</t>
        </is>
      </c>
      <c r="G1019" s="56" t="inlineStr">
        <is>
          <t>Poland</t>
        </is>
      </c>
      <c r="H1019" s="56" t="n">
        <v>8</v>
      </c>
      <c r="I1019" s="56" t="inlineStr">
        <is>
          <t>Add to cart</t>
        </is>
      </c>
      <c r="J1019" s="56" t="inlineStr">
        <is>
          <t>1-23 August 2025</t>
        </is>
      </c>
      <c r="K1019" s="57" t="n">
        <v>194</v>
      </c>
      <c r="L1019" s="56" t="inlineStr">
        <is>
          <t>Completeness only</t>
        </is>
      </c>
      <c r="M1019" s="40">
        <f>IF(Countries!AD156="","STILL MISSING","Filled ✓")</f>
        <v/>
      </c>
    </row>
    <row r="1020">
      <c r="A1020" s="40" t="inlineStr">
        <is>
          <t>Countries</t>
        </is>
      </c>
      <c r="B1020" s="40" t="inlineStr">
        <is>
          <t>AE156</t>
        </is>
      </c>
      <c r="C1020" s="40" t="n">
        <v>156</v>
      </c>
      <c r="D1020" s="40" t="inlineStr">
        <is>
          <t>Home page</t>
        </is>
      </c>
      <c r="E1020" s="40" t="inlineStr">
        <is>
          <t>Organic</t>
        </is>
      </c>
      <c r="F1020" s="40" t="inlineStr">
        <is>
          <t>Mobile</t>
        </is>
      </c>
      <c r="G1020" s="40" t="inlineStr">
        <is>
          <t>Poland</t>
        </is>
      </c>
      <c r="H1020" s="40" t="n">
        <v>8</v>
      </c>
      <c r="I1020" s="40" t="inlineStr">
        <is>
          <t>Add to cart</t>
        </is>
      </c>
      <c r="J1020" s="40" t="inlineStr">
        <is>
          <t>1-23 August 2026</t>
        </is>
      </c>
      <c r="K1020" s="55" t="n">
        <v>194</v>
      </c>
      <c r="L1020" s="40" t="inlineStr">
        <is>
          <t>Completeness only</t>
        </is>
      </c>
      <c r="M1020" s="40">
        <f>IF(Countries!AE156="","STILL MISSING","Filled ✓")</f>
        <v/>
      </c>
    </row>
    <row r="1021">
      <c r="A1021" s="56" t="inlineStr">
        <is>
          <t>Countries</t>
        </is>
      </c>
      <c r="B1021" s="56" t="inlineStr">
        <is>
          <t>AK156</t>
        </is>
      </c>
      <c r="C1021" s="56" t="n">
        <v>156</v>
      </c>
      <c r="D1021" s="56" t="inlineStr">
        <is>
          <t>Home page</t>
        </is>
      </c>
      <c r="E1021" s="56" t="inlineStr">
        <is>
          <t>Organic</t>
        </is>
      </c>
      <c r="F1021" s="56" t="inlineStr">
        <is>
          <t>Mobile</t>
        </is>
      </c>
      <c r="G1021" s="56" t="inlineStr">
        <is>
          <t>Poland</t>
        </is>
      </c>
      <c r="H1021" s="56" t="n">
        <v>8</v>
      </c>
      <c r="I1021" s="56" t="inlineStr">
        <is>
          <t>Begin checkout</t>
        </is>
      </c>
      <c r="J1021" s="56" t="inlineStr">
        <is>
          <t>1-23 August 2025</t>
        </is>
      </c>
      <c r="K1021" s="57" t="n">
        <v>194</v>
      </c>
      <c r="L1021" s="56" t="inlineStr">
        <is>
          <t>Completeness only</t>
        </is>
      </c>
      <c r="M1021" s="40">
        <f>IF(Countries!AK156="","STILL MISSING","Filled ✓")</f>
        <v/>
      </c>
    </row>
    <row r="1022">
      <c r="A1022" s="40" t="inlineStr">
        <is>
          <t>Countries</t>
        </is>
      </c>
      <c r="B1022" s="40" t="inlineStr">
        <is>
          <t>AL156</t>
        </is>
      </c>
      <c r="C1022" s="40" t="n">
        <v>156</v>
      </c>
      <c r="D1022" s="40" t="inlineStr">
        <is>
          <t>Home page</t>
        </is>
      </c>
      <c r="E1022" s="40" t="inlineStr">
        <is>
          <t>Organic</t>
        </is>
      </c>
      <c r="F1022" s="40" t="inlineStr">
        <is>
          <t>Mobile</t>
        </is>
      </c>
      <c r="G1022" s="40" t="inlineStr">
        <is>
          <t>Poland</t>
        </is>
      </c>
      <c r="H1022" s="40" t="n">
        <v>8</v>
      </c>
      <c r="I1022" s="40" t="inlineStr">
        <is>
          <t>Begin checkout</t>
        </is>
      </c>
      <c r="J1022" s="40" t="inlineStr">
        <is>
          <t>1-23 August 2026</t>
        </is>
      </c>
      <c r="K1022" s="55" t="n">
        <v>194</v>
      </c>
      <c r="L1022" s="40" t="inlineStr">
        <is>
          <t>Completeness only</t>
        </is>
      </c>
      <c r="M1022" s="40">
        <f>IF(Countries!AL156="","STILL MISSING","Filled ✓")</f>
        <v/>
      </c>
    </row>
    <row r="1023">
      <c r="A1023" s="56" t="inlineStr">
        <is>
          <t>Countries</t>
        </is>
      </c>
      <c r="B1023" s="56" t="inlineStr">
        <is>
          <t>W156</t>
        </is>
      </c>
      <c r="C1023" s="56" t="n">
        <v>156</v>
      </c>
      <c r="D1023" s="56" t="inlineStr">
        <is>
          <t>Home page</t>
        </is>
      </c>
      <c r="E1023" s="56" t="inlineStr">
        <is>
          <t>Organic</t>
        </is>
      </c>
      <c r="F1023" s="56" t="inlineStr">
        <is>
          <t>Mobile</t>
        </is>
      </c>
      <c r="G1023" s="56" t="inlineStr">
        <is>
          <t>Poland</t>
        </is>
      </c>
      <c r="H1023" s="56" t="n">
        <v>8</v>
      </c>
      <c r="I1023" s="56" t="inlineStr">
        <is>
          <t>Select item</t>
        </is>
      </c>
      <c r="J1023" s="56" t="inlineStr">
        <is>
          <t>1-23 August 2025</t>
        </is>
      </c>
      <c r="K1023" s="57" t="n">
        <v>194</v>
      </c>
      <c r="L1023" s="56" t="inlineStr">
        <is>
          <t>Completeness only</t>
        </is>
      </c>
      <c r="M1023" s="40">
        <f>IF(Countries!W156="","STILL MISSING","Filled ✓")</f>
        <v/>
      </c>
    </row>
    <row r="1024">
      <c r="A1024" s="40" t="inlineStr">
        <is>
          <t>Countries</t>
        </is>
      </c>
      <c r="B1024" s="40" t="inlineStr">
        <is>
          <t>AD208</t>
        </is>
      </c>
      <c r="C1024" s="40" t="n">
        <v>208</v>
      </c>
      <c r="D1024" s="40" t="inlineStr">
        <is>
          <t>Home page</t>
        </is>
      </c>
      <c r="E1024" s="40" t="inlineStr">
        <is>
          <t>Direct</t>
        </is>
      </c>
      <c r="F1024" s="40" t="inlineStr">
        <is>
          <t>Desktop</t>
        </is>
      </c>
      <c r="G1024" s="40" t="inlineStr">
        <is>
          <t>Poland</t>
        </is>
      </c>
      <c r="H1024" s="40" t="n">
        <v>8</v>
      </c>
      <c r="I1024" s="40" t="inlineStr">
        <is>
          <t>Add to cart</t>
        </is>
      </c>
      <c r="J1024" s="40" t="inlineStr">
        <is>
          <t>1-23 August 2025</t>
        </is>
      </c>
      <c r="K1024" s="55" t="n">
        <v>350</v>
      </c>
      <c r="L1024" s="40" t="inlineStr">
        <is>
          <t>Completeness only</t>
        </is>
      </c>
      <c r="M1024" s="40">
        <f>IF(Countries!AD208="","STILL MISSING","Filled ✓")</f>
        <v/>
      </c>
    </row>
    <row r="1025">
      <c r="A1025" s="56" t="inlineStr">
        <is>
          <t>Countries</t>
        </is>
      </c>
      <c r="B1025" s="56" t="inlineStr">
        <is>
          <t>AE208</t>
        </is>
      </c>
      <c r="C1025" s="56" t="n">
        <v>208</v>
      </c>
      <c r="D1025" s="56" t="inlineStr">
        <is>
          <t>Home page</t>
        </is>
      </c>
      <c r="E1025" s="56" t="inlineStr">
        <is>
          <t>Direct</t>
        </is>
      </c>
      <c r="F1025" s="56" t="inlineStr">
        <is>
          <t>Desktop</t>
        </is>
      </c>
      <c r="G1025" s="56" t="inlineStr">
        <is>
          <t>Poland</t>
        </is>
      </c>
      <c r="H1025" s="56" t="n">
        <v>8</v>
      </c>
      <c r="I1025" s="56" t="inlineStr">
        <is>
          <t>Add to cart</t>
        </is>
      </c>
      <c r="J1025" s="56" t="inlineStr">
        <is>
          <t>1-23 August 2026</t>
        </is>
      </c>
      <c r="K1025" s="57" t="n">
        <v>350</v>
      </c>
      <c r="L1025" s="56" t="inlineStr">
        <is>
          <t>Completeness only</t>
        </is>
      </c>
      <c r="M1025" s="40">
        <f>IF(Countries!AE208="","STILL MISSING","Filled ✓")</f>
        <v/>
      </c>
    </row>
    <row r="1026">
      <c r="A1026" s="40" t="inlineStr">
        <is>
          <t>Countries</t>
        </is>
      </c>
      <c r="B1026" s="40" t="inlineStr">
        <is>
          <t>AK208</t>
        </is>
      </c>
      <c r="C1026" s="40" t="n">
        <v>208</v>
      </c>
      <c r="D1026" s="40" t="inlineStr">
        <is>
          <t>Home page</t>
        </is>
      </c>
      <c r="E1026" s="40" t="inlineStr">
        <is>
          <t>Direct</t>
        </is>
      </c>
      <c r="F1026" s="40" t="inlineStr">
        <is>
          <t>Desktop</t>
        </is>
      </c>
      <c r="G1026" s="40" t="inlineStr">
        <is>
          <t>Poland</t>
        </is>
      </c>
      <c r="H1026" s="40" t="n">
        <v>8</v>
      </c>
      <c r="I1026" s="40" t="inlineStr">
        <is>
          <t>Begin checkout</t>
        </is>
      </c>
      <c r="J1026" s="40" t="inlineStr">
        <is>
          <t>1-23 August 2025</t>
        </is>
      </c>
      <c r="K1026" s="55" t="n">
        <v>350</v>
      </c>
      <c r="L1026" s="40" t="inlineStr">
        <is>
          <t>Completeness only</t>
        </is>
      </c>
      <c r="M1026" s="40">
        <f>IF(Countries!AK208="","STILL MISSING","Filled ✓")</f>
        <v/>
      </c>
    </row>
    <row r="1027">
      <c r="A1027" s="56" t="inlineStr">
        <is>
          <t>Countries</t>
        </is>
      </c>
      <c r="B1027" s="56" t="inlineStr">
        <is>
          <t>AL208</t>
        </is>
      </c>
      <c r="C1027" s="56" t="n">
        <v>208</v>
      </c>
      <c r="D1027" s="56" t="inlineStr">
        <is>
          <t>Home page</t>
        </is>
      </c>
      <c r="E1027" s="56" t="inlineStr">
        <is>
          <t>Direct</t>
        </is>
      </c>
      <c r="F1027" s="56" t="inlineStr">
        <is>
          <t>Desktop</t>
        </is>
      </c>
      <c r="G1027" s="56" t="inlineStr">
        <is>
          <t>Poland</t>
        </is>
      </c>
      <c r="H1027" s="56" t="n">
        <v>8</v>
      </c>
      <c r="I1027" s="56" t="inlineStr">
        <is>
          <t>Begin checkout</t>
        </is>
      </c>
      <c r="J1027" s="56" t="inlineStr">
        <is>
          <t>1-23 August 2026</t>
        </is>
      </c>
      <c r="K1027" s="57" t="n">
        <v>350</v>
      </c>
      <c r="L1027" s="56" t="inlineStr">
        <is>
          <t>Completeness only</t>
        </is>
      </c>
      <c r="M1027" s="40">
        <f>IF(Countries!AL208="","STILL MISSING","Filled ✓")</f>
        <v/>
      </c>
    </row>
    <row r="1028">
      <c r="A1028" s="40" t="inlineStr">
        <is>
          <t>Countries</t>
        </is>
      </c>
      <c r="B1028" s="40" t="inlineStr">
        <is>
          <t>AD193</t>
        </is>
      </c>
      <c r="C1028" s="40" t="n">
        <v>193</v>
      </c>
      <c r="D1028" s="40" t="inlineStr">
        <is>
          <t>Home page</t>
        </is>
      </c>
      <c r="E1028" s="40" t="inlineStr">
        <is>
          <t>Direct</t>
        </is>
      </c>
      <c r="F1028" s="40" t="inlineStr">
        <is>
          <t>Mobile</t>
        </is>
      </c>
      <c r="G1028" s="40" t="inlineStr">
        <is>
          <t>Poland</t>
        </is>
      </c>
      <c r="H1028" s="40" t="n">
        <v>8</v>
      </c>
      <c r="I1028" s="40" t="inlineStr">
        <is>
          <t>Add to cart</t>
        </is>
      </c>
      <c r="J1028" s="40" t="inlineStr">
        <is>
          <t>1-23 August 2025</t>
        </is>
      </c>
      <c r="K1028" s="55" t="n">
        <v>258</v>
      </c>
      <c r="L1028" s="40" t="inlineStr">
        <is>
          <t>Completeness only</t>
        </is>
      </c>
      <c r="M1028" s="40">
        <f>IF(Countries!AD193="","STILL MISSING","Filled ✓")</f>
        <v/>
      </c>
    </row>
    <row r="1029">
      <c r="A1029" s="56" t="inlineStr">
        <is>
          <t>Countries</t>
        </is>
      </c>
      <c r="B1029" s="56" t="inlineStr">
        <is>
          <t>AE193</t>
        </is>
      </c>
      <c r="C1029" s="56" t="n">
        <v>193</v>
      </c>
      <c r="D1029" s="56" t="inlineStr">
        <is>
          <t>Home page</t>
        </is>
      </c>
      <c r="E1029" s="56" t="inlineStr">
        <is>
          <t>Direct</t>
        </is>
      </c>
      <c r="F1029" s="56" t="inlineStr">
        <is>
          <t>Mobile</t>
        </is>
      </c>
      <c r="G1029" s="56" t="inlineStr">
        <is>
          <t>Poland</t>
        </is>
      </c>
      <c r="H1029" s="56" t="n">
        <v>8</v>
      </c>
      <c r="I1029" s="56" t="inlineStr">
        <is>
          <t>Add to cart</t>
        </is>
      </c>
      <c r="J1029" s="56" t="inlineStr">
        <is>
          <t>1-23 August 2026</t>
        </is>
      </c>
      <c r="K1029" s="57" t="n">
        <v>258</v>
      </c>
      <c r="L1029" s="56" t="inlineStr">
        <is>
          <t>Completeness only</t>
        </is>
      </c>
      <c r="M1029" s="40">
        <f>IF(Countries!AE193="","STILL MISSING","Filled ✓")</f>
        <v/>
      </c>
    </row>
    <row r="1030">
      <c r="A1030" s="40" t="inlineStr">
        <is>
          <t>Countries</t>
        </is>
      </c>
      <c r="B1030" s="40" t="inlineStr">
        <is>
          <t>AK193</t>
        </is>
      </c>
      <c r="C1030" s="40" t="n">
        <v>193</v>
      </c>
      <c r="D1030" s="40" t="inlineStr">
        <is>
          <t>Home page</t>
        </is>
      </c>
      <c r="E1030" s="40" t="inlineStr">
        <is>
          <t>Direct</t>
        </is>
      </c>
      <c r="F1030" s="40" t="inlineStr">
        <is>
          <t>Mobile</t>
        </is>
      </c>
      <c r="G1030" s="40" t="inlineStr">
        <is>
          <t>Poland</t>
        </is>
      </c>
      <c r="H1030" s="40" t="n">
        <v>8</v>
      </c>
      <c r="I1030" s="40" t="inlineStr">
        <is>
          <t>Begin checkout</t>
        </is>
      </c>
      <c r="J1030" s="40" t="inlineStr">
        <is>
          <t>1-23 August 2025</t>
        </is>
      </c>
      <c r="K1030" s="55" t="n">
        <v>258</v>
      </c>
      <c r="L1030" s="40" t="inlineStr">
        <is>
          <t>Completeness only</t>
        </is>
      </c>
      <c r="M1030" s="40">
        <f>IF(Countries!AK193="","STILL MISSING","Filled ✓")</f>
        <v/>
      </c>
    </row>
    <row r="1031">
      <c r="A1031" s="56" t="inlineStr">
        <is>
          <t>Countries</t>
        </is>
      </c>
      <c r="B1031" s="56" t="inlineStr">
        <is>
          <t>AL193</t>
        </is>
      </c>
      <c r="C1031" s="56" t="n">
        <v>193</v>
      </c>
      <c r="D1031" s="56" t="inlineStr">
        <is>
          <t>Home page</t>
        </is>
      </c>
      <c r="E1031" s="56" t="inlineStr">
        <is>
          <t>Direct</t>
        </is>
      </c>
      <c r="F1031" s="56" t="inlineStr">
        <is>
          <t>Mobile</t>
        </is>
      </c>
      <c r="G1031" s="56" t="inlineStr">
        <is>
          <t>Poland</t>
        </is>
      </c>
      <c r="H1031" s="56" t="n">
        <v>8</v>
      </c>
      <c r="I1031" s="56" t="inlineStr">
        <is>
          <t>Begin checkout</t>
        </is>
      </c>
      <c r="J1031" s="56" t="inlineStr">
        <is>
          <t>1-23 August 2026</t>
        </is>
      </c>
      <c r="K1031" s="57" t="n">
        <v>258</v>
      </c>
      <c r="L1031" s="56" t="inlineStr">
        <is>
          <t>Completeness only</t>
        </is>
      </c>
      <c r="M1031" s="40">
        <f>IF(Countries!AL193="","STILL MISSING","Filled ✓")</f>
        <v/>
      </c>
    </row>
    <row r="1032">
      <c r="A1032" s="40" t="inlineStr">
        <is>
          <t>Countries</t>
        </is>
      </c>
      <c r="B1032" s="40" t="inlineStr">
        <is>
          <t>AD234</t>
        </is>
      </c>
      <c r="C1032" s="40" t="n">
        <v>234</v>
      </c>
      <c r="D1032" s="40" t="inlineStr">
        <is>
          <t>Airport page</t>
        </is>
      </c>
      <c r="E1032" s="40" t="inlineStr">
        <is>
          <t>Paid Search</t>
        </is>
      </c>
      <c r="F1032" s="40" t="inlineStr">
        <is>
          <t>Mobile</t>
        </is>
      </c>
      <c r="G1032" s="40" t="inlineStr">
        <is>
          <t>Poland</t>
        </is>
      </c>
      <c r="H1032" s="40" t="n">
        <v>8</v>
      </c>
      <c r="I1032" s="40" t="inlineStr">
        <is>
          <t>Add to cart</t>
        </is>
      </c>
      <c r="J1032" s="40" t="inlineStr">
        <is>
          <t>1-23 August 2025</t>
        </is>
      </c>
      <c r="K1032" s="55" t="n">
        <v>664</v>
      </c>
      <c r="L1032" s="40" t="inlineStr">
        <is>
          <t>Completeness only</t>
        </is>
      </c>
      <c r="M1032" s="40">
        <f>IF(Countries!AD234="","STILL MISSING","Filled ✓")</f>
        <v/>
      </c>
    </row>
    <row r="1033">
      <c r="A1033" s="56" t="inlineStr">
        <is>
          <t>Countries</t>
        </is>
      </c>
      <c r="B1033" s="56" t="inlineStr">
        <is>
          <t>AE234</t>
        </is>
      </c>
      <c r="C1033" s="56" t="n">
        <v>234</v>
      </c>
      <c r="D1033" s="56" t="inlineStr">
        <is>
          <t>Airport page</t>
        </is>
      </c>
      <c r="E1033" s="56" t="inlineStr">
        <is>
          <t>Paid Search</t>
        </is>
      </c>
      <c r="F1033" s="56" t="inlineStr">
        <is>
          <t>Mobile</t>
        </is>
      </c>
      <c r="G1033" s="56" t="inlineStr">
        <is>
          <t>Poland</t>
        </is>
      </c>
      <c r="H1033" s="56" t="n">
        <v>8</v>
      </c>
      <c r="I1033" s="56" t="inlineStr">
        <is>
          <t>Add to cart</t>
        </is>
      </c>
      <c r="J1033" s="56" t="inlineStr">
        <is>
          <t>1-23 August 2026</t>
        </is>
      </c>
      <c r="K1033" s="57" t="n">
        <v>664</v>
      </c>
      <c r="L1033" s="56" t="inlineStr">
        <is>
          <t>Completeness only</t>
        </is>
      </c>
      <c r="M1033" s="40">
        <f>IF(Countries!AE234="","STILL MISSING","Filled ✓")</f>
        <v/>
      </c>
    </row>
    <row r="1034">
      <c r="A1034" s="40" t="inlineStr">
        <is>
          <t>Countries</t>
        </is>
      </c>
      <c r="B1034" s="40" t="inlineStr">
        <is>
          <t>AK234</t>
        </is>
      </c>
      <c r="C1034" s="40" t="n">
        <v>234</v>
      </c>
      <c r="D1034" s="40" t="inlineStr">
        <is>
          <t>Airport page</t>
        </is>
      </c>
      <c r="E1034" s="40" t="inlineStr">
        <is>
          <t>Paid Search</t>
        </is>
      </c>
      <c r="F1034" s="40" t="inlineStr">
        <is>
          <t>Mobile</t>
        </is>
      </c>
      <c r="G1034" s="40" t="inlineStr">
        <is>
          <t>Poland</t>
        </is>
      </c>
      <c r="H1034" s="40" t="n">
        <v>8</v>
      </c>
      <c r="I1034" s="40" t="inlineStr">
        <is>
          <t>Begin checkout</t>
        </is>
      </c>
      <c r="J1034" s="40" t="inlineStr">
        <is>
          <t>1-23 August 2025</t>
        </is>
      </c>
      <c r="K1034" s="55" t="n">
        <v>664</v>
      </c>
      <c r="L1034" s="40" t="inlineStr">
        <is>
          <t>Completeness only</t>
        </is>
      </c>
      <c r="M1034" s="40">
        <f>IF(Countries!AK234="","STILL MISSING","Filled ✓")</f>
        <v/>
      </c>
    </row>
    <row r="1035">
      <c r="A1035" s="56" t="inlineStr">
        <is>
          <t>Countries</t>
        </is>
      </c>
      <c r="B1035" s="56" t="inlineStr">
        <is>
          <t>AL234</t>
        </is>
      </c>
      <c r="C1035" s="56" t="n">
        <v>234</v>
      </c>
      <c r="D1035" s="56" t="inlineStr">
        <is>
          <t>Airport page</t>
        </is>
      </c>
      <c r="E1035" s="56" t="inlineStr">
        <is>
          <t>Paid Search</t>
        </is>
      </c>
      <c r="F1035" s="56" t="inlineStr">
        <is>
          <t>Mobile</t>
        </is>
      </c>
      <c r="G1035" s="56" t="inlineStr">
        <is>
          <t>Poland</t>
        </is>
      </c>
      <c r="H1035" s="56" t="n">
        <v>8</v>
      </c>
      <c r="I1035" s="56" t="inlineStr">
        <is>
          <t>Begin checkout</t>
        </is>
      </c>
      <c r="J1035" s="56" t="inlineStr">
        <is>
          <t>1-23 August 2026</t>
        </is>
      </c>
      <c r="K1035" s="57" t="n">
        <v>664</v>
      </c>
      <c r="L1035" s="56" t="inlineStr">
        <is>
          <t>Completeness only</t>
        </is>
      </c>
      <c r="M1035" s="40">
        <f>IF(Countries!AL234="","STILL MISSING","Filled ✓")</f>
        <v/>
      </c>
    </row>
    <row r="1036">
      <c r="A1036" s="40" t="inlineStr">
        <is>
          <t>Countries</t>
        </is>
      </c>
      <c r="B1036" s="40" t="inlineStr">
        <is>
          <t>AR234</t>
        </is>
      </c>
      <c r="C1036" s="40" t="n">
        <v>234</v>
      </c>
      <c r="D1036" s="40" t="inlineStr">
        <is>
          <t>Airport page</t>
        </is>
      </c>
      <c r="E1036" s="40" t="inlineStr">
        <is>
          <t>Paid Search</t>
        </is>
      </c>
      <c r="F1036" s="40" t="inlineStr">
        <is>
          <t>Mobile</t>
        </is>
      </c>
      <c r="G1036" s="40" t="inlineStr">
        <is>
          <t>Poland</t>
        </is>
      </c>
      <c r="H1036" s="40" t="n">
        <v>8</v>
      </c>
      <c r="I1036" s="40" t="inlineStr">
        <is>
          <t>Purchases</t>
        </is>
      </c>
      <c r="J1036" s="40" t="inlineStr">
        <is>
          <t>1-23 August 2025</t>
        </is>
      </c>
      <c r="K1036" s="55" t="n">
        <v>664</v>
      </c>
      <c r="L1036" s="40" t="inlineStr">
        <is>
          <t>Completeness only</t>
        </is>
      </c>
      <c r="M1036" s="40">
        <f>IF(Countries!AR234="","STILL MISSING","Filled ✓")</f>
        <v/>
      </c>
    </row>
    <row r="1037">
      <c r="A1037" s="56" t="inlineStr">
        <is>
          <t>Countries</t>
        </is>
      </c>
      <c r="B1037" s="56" t="inlineStr">
        <is>
          <t>W234</t>
        </is>
      </c>
      <c r="C1037" s="56" t="n">
        <v>234</v>
      </c>
      <c r="D1037" s="56" t="inlineStr">
        <is>
          <t>Airport page</t>
        </is>
      </c>
      <c r="E1037" s="56" t="inlineStr">
        <is>
          <t>Paid Search</t>
        </is>
      </c>
      <c r="F1037" s="56" t="inlineStr">
        <is>
          <t>Mobile</t>
        </is>
      </c>
      <c r="G1037" s="56" t="inlineStr">
        <is>
          <t>Poland</t>
        </is>
      </c>
      <c r="H1037" s="56" t="n">
        <v>8</v>
      </c>
      <c r="I1037" s="56" t="inlineStr">
        <is>
          <t>Select item</t>
        </is>
      </c>
      <c r="J1037" s="56" t="inlineStr">
        <is>
          <t>1-23 August 2025</t>
        </is>
      </c>
      <c r="K1037" s="57" t="n">
        <v>664</v>
      </c>
      <c r="L1037" s="56" t="inlineStr">
        <is>
          <t>Completeness only</t>
        </is>
      </c>
      <c r="M1037" s="40">
        <f>IF(Countries!W234="","STILL MISSING","Filled ✓")</f>
        <v/>
      </c>
    </row>
    <row r="1038">
      <c r="A1038" s="40" t="inlineStr">
        <is>
          <t>Countries</t>
        </is>
      </c>
      <c r="B1038" s="40" t="inlineStr">
        <is>
          <t>I234</t>
        </is>
      </c>
      <c r="C1038" s="40" t="n">
        <v>234</v>
      </c>
      <c r="D1038" s="40" t="inlineStr">
        <is>
          <t>Airport page</t>
        </is>
      </c>
      <c r="E1038" s="40" t="inlineStr">
        <is>
          <t>Paid Search</t>
        </is>
      </c>
      <c r="F1038" s="40" t="inlineStr">
        <is>
          <t>Mobile</t>
        </is>
      </c>
      <c r="G1038" s="40" t="inlineStr">
        <is>
          <t>Poland</t>
        </is>
      </c>
      <c r="H1038" s="40" t="n">
        <v>8</v>
      </c>
      <c r="I1038" s="40" t="inlineStr">
        <is>
          <t>Start Search</t>
        </is>
      </c>
      <c r="J1038" s="40" t="inlineStr">
        <is>
          <t>1-23 August 2025</t>
        </is>
      </c>
      <c r="K1038" s="55" t="n">
        <v>664</v>
      </c>
      <c r="L1038" s="40" t="inlineStr">
        <is>
          <t>Completeness only</t>
        </is>
      </c>
      <c r="M1038" s="40">
        <f>IF(Countries!I234="","STILL MISSING","Filled ✓")</f>
        <v/>
      </c>
    </row>
    <row r="1039">
      <c r="A1039" s="56" t="inlineStr">
        <is>
          <t>Countries</t>
        </is>
      </c>
      <c r="B1039" s="56" t="inlineStr">
        <is>
          <t>AD274</t>
        </is>
      </c>
      <c r="C1039" s="56" t="n">
        <v>274</v>
      </c>
      <c r="D1039" s="56" t="inlineStr">
        <is>
          <t>Airport page</t>
        </is>
      </c>
      <c r="E1039" s="56" t="inlineStr">
        <is>
          <t>Organic</t>
        </is>
      </c>
      <c r="F1039" s="56" t="inlineStr">
        <is>
          <t>Desktop</t>
        </is>
      </c>
      <c r="G1039" s="56" t="inlineStr">
        <is>
          <t>Poland</t>
        </is>
      </c>
      <c r="H1039" s="56" t="n">
        <v>8</v>
      </c>
      <c r="I1039" s="56" t="inlineStr">
        <is>
          <t>Add to cart</t>
        </is>
      </c>
      <c r="J1039" s="56" t="inlineStr">
        <is>
          <t>1-23 August 2025</t>
        </is>
      </c>
      <c r="K1039" s="57" t="n">
        <v>480</v>
      </c>
      <c r="L1039" s="56" t="inlineStr">
        <is>
          <t>Completeness only</t>
        </is>
      </c>
      <c r="M1039" s="40">
        <f>IF(Countries!AD274="","STILL MISSING","Filled ✓")</f>
        <v/>
      </c>
    </row>
    <row r="1040">
      <c r="A1040" s="40" t="inlineStr">
        <is>
          <t>Countries</t>
        </is>
      </c>
      <c r="B1040" s="40" t="inlineStr">
        <is>
          <t>AE274</t>
        </is>
      </c>
      <c r="C1040" s="40" t="n">
        <v>274</v>
      </c>
      <c r="D1040" s="40" t="inlineStr">
        <is>
          <t>Airport page</t>
        </is>
      </c>
      <c r="E1040" s="40" t="inlineStr">
        <is>
          <t>Organic</t>
        </is>
      </c>
      <c r="F1040" s="40" t="inlineStr">
        <is>
          <t>Desktop</t>
        </is>
      </c>
      <c r="G1040" s="40" t="inlineStr">
        <is>
          <t>Poland</t>
        </is>
      </c>
      <c r="H1040" s="40" t="n">
        <v>8</v>
      </c>
      <c r="I1040" s="40" t="inlineStr">
        <is>
          <t>Add to cart</t>
        </is>
      </c>
      <c r="J1040" s="40" t="inlineStr">
        <is>
          <t>1-23 August 2026</t>
        </is>
      </c>
      <c r="K1040" s="55" t="n">
        <v>480</v>
      </c>
      <c r="L1040" s="40" t="inlineStr">
        <is>
          <t>Completeness only</t>
        </is>
      </c>
      <c r="M1040" s="40">
        <f>IF(Countries!AE274="","STILL MISSING","Filled ✓")</f>
        <v/>
      </c>
    </row>
    <row r="1041">
      <c r="A1041" s="56" t="inlineStr">
        <is>
          <t>Countries</t>
        </is>
      </c>
      <c r="B1041" s="56" t="inlineStr">
        <is>
          <t>AK274</t>
        </is>
      </c>
      <c r="C1041" s="56" t="n">
        <v>274</v>
      </c>
      <c r="D1041" s="56" t="inlineStr">
        <is>
          <t>Airport page</t>
        </is>
      </c>
      <c r="E1041" s="56" t="inlineStr">
        <is>
          <t>Organic</t>
        </is>
      </c>
      <c r="F1041" s="56" t="inlineStr">
        <is>
          <t>Desktop</t>
        </is>
      </c>
      <c r="G1041" s="56" t="inlineStr">
        <is>
          <t>Poland</t>
        </is>
      </c>
      <c r="H1041" s="56" t="n">
        <v>8</v>
      </c>
      <c r="I1041" s="56" t="inlineStr">
        <is>
          <t>Begin checkout</t>
        </is>
      </c>
      <c r="J1041" s="56" t="inlineStr">
        <is>
          <t>1-23 August 2025</t>
        </is>
      </c>
      <c r="K1041" s="57" t="n">
        <v>480</v>
      </c>
      <c r="L1041" s="56" t="inlineStr">
        <is>
          <t>Completeness only</t>
        </is>
      </c>
      <c r="M1041" s="40">
        <f>IF(Countries!AK274="","STILL MISSING","Filled ✓")</f>
        <v/>
      </c>
    </row>
    <row r="1042">
      <c r="A1042" s="40" t="inlineStr">
        <is>
          <t>Countries</t>
        </is>
      </c>
      <c r="B1042" s="40" t="inlineStr">
        <is>
          <t>AL274</t>
        </is>
      </c>
      <c r="C1042" s="40" t="n">
        <v>274</v>
      </c>
      <c r="D1042" s="40" t="inlineStr">
        <is>
          <t>Airport page</t>
        </is>
      </c>
      <c r="E1042" s="40" t="inlineStr">
        <is>
          <t>Organic</t>
        </is>
      </c>
      <c r="F1042" s="40" t="inlineStr">
        <is>
          <t>Desktop</t>
        </is>
      </c>
      <c r="G1042" s="40" t="inlineStr">
        <is>
          <t>Poland</t>
        </is>
      </c>
      <c r="H1042" s="40" t="n">
        <v>8</v>
      </c>
      <c r="I1042" s="40" t="inlineStr">
        <is>
          <t>Begin checkout</t>
        </is>
      </c>
      <c r="J1042" s="40" t="inlineStr">
        <is>
          <t>1-23 August 2026</t>
        </is>
      </c>
      <c r="K1042" s="55" t="n">
        <v>480</v>
      </c>
      <c r="L1042" s="40" t="inlineStr">
        <is>
          <t>Completeness only</t>
        </is>
      </c>
      <c r="M1042" s="40">
        <f>IF(Countries!AL274="","STILL MISSING","Filled ✓")</f>
        <v/>
      </c>
    </row>
    <row r="1043">
      <c r="A1043" s="56" t="inlineStr">
        <is>
          <t>Countries</t>
        </is>
      </c>
      <c r="B1043" s="56" t="inlineStr">
        <is>
          <t>AD258</t>
        </is>
      </c>
      <c r="C1043" s="56" t="n">
        <v>258</v>
      </c>
      <c r="D1043" s="56" t="inlineStr">
        <is>
          <t>Airport page</t>
        </is>
      </c>
      <c r="E1043" s="56" t="inlineStr">
        <is>
          <t>Organic</t>
        </is>
      </c>
      <c r="F1043" s="56" t="inlineStr">
        <is>
          <t>Mobile</t>
        </is>
      </c>
      <c r="G1043" s="56" t="inlineStr">
        <is>
          <t>Poland</t>
        </is>
      </c>
      <c r="H1043" s="56" t="n">
        <v>8</v>
      </c>
      <c r="I1043" s="56" t="inlineStr">
        <is>
          <t>Add to cart</t>
        </is>
      </c>
      <c r="J1043" s="56" t="inlineStr">
        <is>
          <t>1-23 August 2025</t>
        </is>
      </c>
      <c r="K1043" s="57" t="n">
        <v>848</v>
      </c>
      <c r="L1043" s="56" t="inlineStr">
        <is>
          <t>Completeness only</t>
        </is>
      </c>
      <c r="M1043" s="40">
        <f>IF(Countries!AD258="","STILL MISSING","Filled ✓")</f>
        <v/>
      </c>
    </row>
    <row r="1044">
      <c r="A1044" s="40" t="inlineStr">
        <is>
          <t>Countries</t>
        </is>
      </c>
      <c r="B1044" s="40" t="inlineStr">
        <is>
          <t>AE258</t>
        </is>
      </c>
      <c r="C1044" s="40" t="n">
        <v>258</v>
      </c>
      <c r="D1044" s="40" t="inlineStr">
        <is>
          <t>Airport page</t>
        </is>
      </c>
      <c r="E1044" s="40" t="inlineStr">
        <is>
          <t>Organic</t>
        </is>
      </c>
      <c r="F1044" s="40" t="inlineStr">
        <is>
          <t>Mobile</t>
        </is>
      </c>
      <c r="G1044" s="40" t="inlineStr">
        <is>
          <t>Poland</t>
        </is>
      </c>
      <c r="H1044" s="40" t="n">
        <v>8</v>
      </c>
      <c r="I1044" s="40" t="inlineStr">
        <is>
          <t>Add to cart</t>
        </is>
      </c>
      <c r="J1044" s="40" t="inlineStr">
        <is>
          <t>1-23 August 2026</t>
        </is>
      </c>
      <c r="K1044" s="55" t="n">
        <v>848</v>
      </c>
      <c r="L1044" s="40" t="inlineStr">
        <is>
          <t>Completeness only</t>
        </is>
      </c>
      <c r="M1044" s="40">
        <f>IF(Countries!AE258="","STILL MISSING","Filled ✓")</f>
        <v/>
      </c>
    </row>
    <row r="1045">
      <c r="A1045" s="56" t="inlineStr">
        <is>
          <t>Countries</t>
        </is>
      </c>
      <c r="B1045" s="56" t="inlineStr">
        <is>
          <t>AK258</t>
        </is>
      </c>
      <c r="C1045" s="56" t="n">
        <v>258</v>
      </c>
      <c r="D1045" s="56" t="inlineStr">
        <is>
          <t>Airport page</t>
        </is>
      </c>
      <c r="E1045" s="56" t="inlineStr">
        <is>
          <t>Organic</t>
        </is>
      </c>
      <c r="F1045" s="56" t="inlineStr">
        <is>
          <t>Mobile</t>
        </is>
      </c>
      <c r="G1045" s="56" t="inlineStr">
        <is>
          <t>Poland</t>
        </is>
      </c>
      <c r="H1045" s="56" t="n">
        <v>8</v>
      </c>
      <c r="I1045" s="56" t="inlineStr">
        <is>
          <t>Begin checkout</t>
        </is>
      </c>
      <c r="J1045" s="56" t="inlineStr">
        <is>
          <t>1-23 August 2025</t>
        </is>
      </c>
      <c r="K1045" s="57" t="n">
        <v>848</v>
      </c>
      <c r="L1045" s="56" t="inlineStr">
        <is>
          <t>Completeness only</t>
        </is>
      </c>
      <c r="M1045" s="40">
        <f>IF(Countries!AK258="","STILL MISSING","Filled ✓")</f>
        <v/>
      </c>
    </row>
    <row r="1046">
      <c r="A1046" s="40" t="inlineStr">
        <is>
          <t>Countries</t>
        </is>
      </c>
      <c r="B1046" s="40" t="inlineStr">
        <is>
          <t>AL258</t>
        </is>
      </c>
      <c r="C1046" s="40" t="n">
        <v>258</v>
      </c>
      <c r="D1046" s="40" t="inlineStr">
        <is>
          <t>Airport page</t>
        </is>
      </c>
      <c r="E1046" s="40" t="inlineStr">
        <is>
          <t>Organic</t>
        </is>
      </c>
      <c r="F1046" s="40" t="inlineStr">
        <is>
          <t>Mobile</t>
        </is>
      </c>
      <c r="G1046" s="40" t="inlineStr">
        <is>
          <t>Poland</t>
        </is>
      </c>
      <c r="H1046" s="40" t="n">
        <v>8</v>
      </c>
      <c r="I1046" s="40" t="inlineStr">
        <is>
          <t>Begin checkout</t>
        </is>
      </c>
      <c r="J1046" s="40" t="inlineStr">
        <is>
          <t>1-23 August 2026</t>
        </is>
      </c>
      <c r="K1046" s="55" t="n">
        <v>848</v>
      </c>
      <c r="L1046" s="40" t="inlineStr">
        <is>
          <t>Completeness only</t>
        </is>
      </c>
      <c r="M1046" s="40">
        <f>IF(Countries!AL258="","STILL MISSING","Filled ✓")</f>
        <v/>
      </c>
    </row>
    <row r="1047">
      <c r="A1047" s="56" t="inlineStr">
        <is>
          <t>Countries</t>
        </is>
      </c>
      <c r="B1047" s="56" t="inlineStr">
        <is>
          <t>AD312</t>
        </is>
      </c>
      <c r="C1047" s="56" t="n">
        <v>312</v>
      </c>
      <c r="D1047" s="56" t="inlineStr">
        <is>
          <t>Airport page</t>
        </is>
      </c>
      <c r="E1047" s="56" t="inlineStr">
        <is>
          <t>Direct</t>
        </is>
      </c>
      <c r="F1047" s="56" t="inlineStr">
        <is>
          <t>Desktop</t>
        </is>
      </c>
      <c r="G1047" s="56" t="inlineStr">
        <is>
          <t>Poland</t>
        </is>
      </c>
      <c r="H1047" s="56" t="n">
        <v>8</v>
      </c>
      <c r="I1047" s="56" t="inlineStr">
        <is>
          <t>Add to cart</t>
        </is>
      </c>
      <c r="J1047" s="56" t="inlineStr">
        <is>
          <t>1-23 August 2025</t>
        </is>
      </c>
      <c r="K1047" s="57" t="n">
        <v>222</v>
      </c>
      <c r="L1047" s="56" t="inlineStr">
        <is>
          <t>Completeness only</t>
        </is>
      </c>
      <c r="M1047" s="40">
        <f>IF(Countries!AD312="","STILL MISSING","Filled ✓")</f>
        <v/>
      </c>
    </row>
    <row r="1048">
      <c r="A1048" s="40" t="inlineStr">
        <is>
          <t>Countries</t>
        </is>
      </c>
      <c r="B1048" s="40" t="inlineStr">
        <is>
          <t>AE312</t>
        </is>
      </c>
      <c r="C1048" s="40" t="n">
        <v>312</v>
      </c>
      <c r="D1048" s="40" t="inlineStr">
        <is>
          <t>Airport page</t>
        </is>
      </c>
      <c r="E1048" s="40" t="inlineStr">
        <is>
          <t>Direct</t>
        </is>
      </c>
      <c r="F1048" s="40" t="inlineStr">
        <is>
          <t>Desktop</t>
        </is>
      </c>
      <c r="G1048" s="40" t="inlineStr">
        <is>
          <t>Poland</t>
        </is>
      </c>
      <c r="H1048" s="40" t="n">
        <v>8</v>
      </c>
      <c r="I1048" s="40" t="inlineStr">
        <is>
          <t>Add to cart</t>
        </is>
      </c>
      <c r="J1048" s="40" t="inlineStr">
        <is>
          <t>1-23 August 2026</t>
        </is>
      </c>
      <c r="K1048" s="55" t="n">
        <v>222</v>
      </c>
      <c r="L1048" s="40" t="inlineStr">
        <is>
          <t>Completeness only</t>
        </is>
      </c>
      <c r="M1048" s="40">
        <f>IF(Countries!AE312="","STILL MISSING","Filled ✓")</f>
        <v/>
      </c>
    </row>
    <row r="1049">
      <c r="A1049" s="56" t="inlineStr">
        <is>
          <t>Countries</t>
        </is>
      </c>
      <c r="B1049" s="56" t="inlineStr">
        <is>
          <t>AK312</t>
        </is>
      </c>
      <c r="C1049" s="56" t="n">
        <v>312</v>
      </c>
      <c r="D1049" s="56" t="inlineStr">
        <is>
          <t>Airport page</t>
        </is>
      </c>
      <c r="E1049" s="56" t="inlineStr">
        <is>
          <t>Direct</t>
        </is>
      </c>
      <c r="F1049" s="56" t="inlineStr">
        <is>
          <t>Desktop</t>
        </is>
      </c>
      <c r="G1049" s="56" t="inlineStr">
        <is>
          <t>Poland</t>
        </is>
      </c>
      <c r="H1049" s="56" t="n">
        <v>8</v>
      </c>
      <c r="I1049" s="56" t="inlineStr">
        <is>
          <t>Begin checkout</t>
        </is>
      </c>
      <c r="J1049" s="56" t="inlineStr">
        <is>
          <t>1-23 August 2025</t>
        </is>
      </c>
      <c r="K1049" s="57" t="n">
        <v>222</v>
      </c>
      <c r="L1049" s="56" t="inlineStr">
        <is>
          <t>Completeness only</t>
        </is>
      </c>
      <c r="M1049" s="40">
        <f>IF(Countries!AK312="","STILL MISSING","Filled ✓")</f>
        <v/>
      </c>
    </row>
    <row r="1050">
      <c r="A1050" s="40" t="inlineStr">
        <is>
          <t>Countries</t>
        </is>
      </c>
      <c r="B1050" s="40" t="inlineStr">
        <is>
          <t>AL312</t>
        </is>
      </c>
      <c r="C1050" s="40" t="n">
        <v>312</v>
      </c>
      <c r="D1050" s="40" t="inlineStr">
        <is>
          <t>Airport page</t>
        </is>
      </c>
      <c r="E1050" s="40" t="inlineStr">
        <is>
          <t>Direct</t>
        </is>
      </c>
      <c r="F1050" s="40" t="inlineStr">
        <is>
          <t>Desktop</t>
        </is>
      </c>
      <c r="G1050" s="40" t="inlineStr">
        <is>
          <t>Poland</t>
        </is>
      </c>
      <c r="H1050" s="40" t="n">
        <v>8</v>
      </c>
      <c r="I1050" s="40" t="inlineStr">
        <is>
          <t>Begin checkout</t>
        </is>
      </c>
      <c r="J1050" s="40" t="inlineStr">
        <is>
          <t>1-23 August 2026</t>
        </is>
      </c>
      <c r="K1050" s="55" t="n">
        <v>222</v>
      </c>
      <c r="L1050" s="40" t="inlineStr">
        <is>
          <t>Completeness only</t>
        </is>
      </c>
      <c r="M1050" s="40">
        <f>IF(Countries!AL312="","STILL MISSING","Filled ✓")</f>
        <v/>
      </c>
    </row>
    <row r="1051">
      <c r="A1051" s="56" t="inlineStr">
        <is>
          <t>Countries</t>
        </is>
      </c>
      <c r="B1051" s="56" t="inlineStr">
        <is>
          <t>AD298</t>
        </is>
      </c>
      <c r="C1051" s="56" t="n">
        <v>298</v>
      </c>
      <c r="D1051" s="56" t="inlineStr">
        <is>
          <t>Airport page</t>
        </is>
      </c>
      <c r="E1051" s="56" t="inlineStr">
        <is>
          <t>Direct</t>
        </is>
      </c>
      <c r="F1051" s="56" t="inlineStr">
        <is>
          <t>Mobile</t>
        </is>
      </c>
      <c r="G1051" s="56" t="inlineStr">
        <is>
          <t>Poland</t>
        </is>
      </c>
      <c r="H1051" s="56" t="n">
        <v>8</v>
      </c>
      <c r="I1051" s="56" t="inlineStr">
        <is>
          <t>Add to cart</t>
        </is>
      </c>
      <c r="J1051" s="56" t="inlineStr">
        <is>
          <t>1-23 August 2025</t>
        </is>
      </c>
      <c r="K1051" s="57" t="n">
        <v>45</v>
      </c>
      <c r="L1051" s="56" t="inlineStr">
        <is>
          <t>Completeness only</t>
        </is>
      </c>
      <c r="M1051" s="40">
        <f>IF(Countries!AD298="","STILL MISSING","Filled ✓")</f>
        <v/>
      </c>
    </row>
    <row r="1052">
      <c r="A1052" s="40" t="inlineStr">
        <is>
          <t>Countries</t>
        </is>
      </c>
      <c r="B1052" s="40" t="inlineStr">
        <is>
          <t>AE298</t>
        </is>
      </c>
      <c r="C1052" s="40" t="n">
        <v>298</v>
      </c>
      <c r="D1052" s="40" t="inlineStr">
        <is>
          <t>Airport page</t>
        </is>
      </c>
      <c r="E1052" s="40" t="inlineStr">
        <is>
          <t>Direct</t>
        </is>
      </c>
      <c r="F1052" s="40" t="inlineStr">
        <is>
          <t>Mobile</t>
        </is>
      </c>
      <c r="G1052" s="40" t="inlineStr">
        <is>
          <t>Poland</t>
        </is>
      </c>
      <c r="H1052" s="40" t="n">
        <v>8</v>
      </c>
      <c r="I1052" s="40" t="inlineStr">
        <is>
          <t>Add to cart</t>
        </is>
      </c>
      <c r="J1052" s="40" t="inlineStr">
        <is>
          <t>1-23 August 2026</t>
        </is>
      </c>
      <c r="K1052" s="55" t="n">
        <v>45</v>
      </c>
      <c r="L1052" s="40" t="inlineStr">
        <is>
          <t>Completeness only</t>
        </is>
      </c>
      <c r="M1052" s="40">
        <f>IF(Countries!AE298="","STILL MISSING","Filled ✓")</f>
        <v/>
      </c>
    </row>
    <row r="1053">
      <c r="A1053" s="56" t="inlineStr">
        <is>
          <t>Countries</t>
        </is>
      </c>
      <c r="B1053" s="56" t="inlineStr">
        <is>
          <t>AK298</t>
        </is>
      </c>
      <c r="C1053" s="56" t="n">
        <v>298</v>
      </c>
      <c r="D1053" s="56" t="inlineStr">
        <is>
          <t>Airport page</t>
        </is>
      </c>
      <c r="E1053" s="56" t="inlineStr">
        <is>
          <t>Direct</t>
        </is>
      </c>
      <c r="F1053" s="56" t="inlineStr">
        <is>
          <t>Mobile</t>
        </is>
      </c>
      <c r="G1053" s="56" t="inlineStr">
        <is>
          <t>Poland</t>
        </is>
      </c>
      <c r="H1053" s="56" t="n">
        <v>8</v>
      </c>
      <c r="I1053" s="56" t="inlineStr">
        <is>
          <t>Begin checkout</t>
        </is>
      </c>
      <c r="J1053" s="56" t="inlineStr">
        <is>
          <t>1-23 August 2025</t>
        </is>
      </c>
      <c r="K1053" s="57" t="n">
        <v>45</v>
      </c>
      <c r="L1053" s="56" t="inlineStr">
        <is>
          <t>Completeness only</t>
        </is>
      </c>
      <c r="M1053" s="40">
        <f>IF(Countries!AK298="","STILL MISSING","Filled ✓")</f>
        <v/>
      </c>
    </row>
    <row r="1054">
      <c r="A1054" s="40" t="inlineStr">
        <is>
          <t>Countries</t>
        </is>
      </c>
      <c r="B1054" s="40" t="inlineStr">
        <is>
          <t>AL298</t>
        </is>
      </c>
      <c r="C1054" s="40" t="n">
        <v>298</v>
      </c>
      <c r="D1054" s="40" t="inlineStr">
        <is>
          <t>Airport page</t>
        </is>
      </c>
      <c r="E1054" s="40" t="inlineStr">
        <is>
          <t>Direct</t>
        </is>
      </c>
      <c r="F1054" s="40" t="inlineStr">
        <is>
          <t>Mobile</t>
        </is>
      </c>
      <c r="G1054" s="40" t="inlineStr">
        <is>
          <t>Poland</t>
        </is>
      </c>
      <c r="H1054" s="40" t="n">
        <v>8</v>
      </c>
      <c r="I1054" s="40" t="inlineStr">
        <is>
          <t>Begin checkout</t>
        </is>
      </c>
      <c r="J1054" s="40" t="inlineStr">
        <is>
          <t>1-23 August 2026</t>
        </is>
      </c>
      <c r="K1054" s="55" t="n">
        <v>45</v>
      </c>
      <c r="L1054" s="40" t="inlineStr">
        <is>
          <t>Completeness only</t>
        </is>
      </c>
      <c r="M1054" s="40">
        <f>IF(Countries!AL298="","STILL MISSING","Filled ✓")</f>
        <v/>
      </c>
    </row>
    <row r="1055">
      <c r="A1055" s="56" t="inlineStr">
        <is>
          <t>Countries</t>
        </is>
      </c>
      <c r="B1055" s="56" t="inlineStr">
        <is>
          <t>AD351</t>
        </is>
      </c>
      <c r="C1055" s="56" t="n">
        <v>351</v>
      </c>
      <c r="D1055" s="56" t="inlineStr">
        <is>
          <t>Route page</t>
        </is>
      </c>
      <c r="E1055" s="56" t="inlineStr">
        <is>
          <t>Paid Search</t>
        </is>
      </c>
      <c r="F1055" s="56" t="inlineStr">
        <is>
          <t>Desktop</t>
        </is>
      </c>
      <c r="G1055" s="56" t="inlineStr">
        <is>
          <t>Poland</t>
        </is>
      </c>
      <c r="H1055" s="56" t="n">
        <v>8</v>
      </c>
      <c r="I1055" s="56" t="inlineStr">
        <is>
          <t>Add to cart</t>
        </is>
      </c>
      <c r="J1055" s="56" t="inlineStr">
        <is>
          <t>1-23 August 2025</t>
        </is>
      </c>
      <c r="K1055" s="57" t="n">
        <v>467</v>
      </c>
      <c r="L1055" s="56" t="inlineStr">
        <is>
          <t>Completeness only</t>
        </is>
      </c>
      <c r="M1055" s="40">
        <f>IF(Countries!AD351="","STILL MISSING","Filled ✓")</f>
        <v/>
      </c>
    </row>
    <row r="1056">
      <c r="A1056" s="40" t="inlineStr">
        <is>
          <t>Countries</t>
        </is>
      </c>
      <c r="B1056" s="40" t="inlineStr">
        <is>
          <t>AE351</t>
        </is>
      </c>
      <c r="C1056" s="40" t="n">
        <v>351</v>
      </c>
      <c r="D1056" s="40" t="inlineStr">
        <is>
          <t>Route page</t>
        </is>
      </c>
      <c r="E1056" s="40" t="inlineStr">
        <is>
          <t>Paid Search</t>
        </is>
      </c>
      <c r="F1056" s="40" t="inlineStr">
        <is>
          <t>Desktop</t>
        </is>
      </c>
      <c r="G1056" s="40" t="inlineStr">
        <is>
          <t>Poland</t>
        </is>
      </c>
      <c r="H1056" s="40" t="n">
        <v>8</v>
      </c>
      <c r="I1056" s="40" t="inlineStr">
        <is>
          <t>Add to cart</t>
        </is>
      </c>
      <c r="J1056" s="40" t="inlineStr">
        <is>
          <t>1-23 August 2026</t>
        </is>
      </c>
      <c r="K1056" s="55" t="n">
        <v>467</v>
      </c>
      <c r="L1056" s="40" t="inlineStr">
        <is>
          <t>Completeness only</t>
        </is>
      </c>
      <c r="M1056" s="40">
        <f>IF(Countries!AE351="","STILL MISSING","Filled ✓")</f>
        <v/>
      </c>
    </row>
    <row r="1057">
      <c r="A1057" s="56" t="inlineStr">
        <is>
          <t>Countries</t>
        </is>
      </c>
      <c r="B1057" s="56" t="inlineStr">
        <is>
          <t>AK351</t>
        </is>
      </c>
      <c r="C1057" s="56" t="n">
        <v>351</v>
      </c>
      <c r="D1057" s="56" t="inlineStr">
        <is>
          <t>Route page</t>
        </is>
      </c>
      <c r="E1057" s="56" t="inlineStr">
        <is>
          <t>Paid Search</t>
        </is>
      </c>
      <c r="F1057" s="56" t="inlineStr">
        <is>
          <t>Desktop</t>
        </is>
      </c>
      <c r="G1057" s="56" t="inlineStr">
        <is>
          <t>Poland</t>
        </is>
      </c>
      <c r="H1057" s="56" t="n">
        <v>8</v>
      </c>
      <c r="I1057" s="56" t="inlineStr">
        <is>
          <t>Begin checkout</t>
        </is>
      </c>
      <c r="J1057" s="56" t="inlineStr">
        <is>
          <t>1-23 August 2025</t>
        </is>
      </c>
      <c r="K1057" s="57" t="n">
        <v>467</v>
      </c>
      <c r="L1057" s="56" t="inlineStr">
        <is>
          <t>Completeness only</t>
        </is>
      </c>
      <c r="M1057" s="40">
        <f>IF(Countries!AK351="","STILL MISSING","Filled ✓")</f>
        <v/>
      </c>
    </row>
    <row r="1058">
      <c r="A1058" s="40" t="inlineStr">
        <is>
          <t>Countries</t>
        </is>
      </c>
      <c r="B1058" s="40" t="inlineStr">
        <is>
          <t>AL351</t>
        </is>
      </c>
      <c r="C1058" s="40" t="n">
        <v>351</v>
      </c>
      <c r="D1058" s="40" t="inlineStr">
        <is>
          <t>Route page</t>
        </is>
      </c>
      <c r="E1058" s="40" t="inlineStr">
        <is>
          <t>Paid Search</t>
        </is>
      </c>
      <c r="F1058" s="40" t="inlineStr">
        <is>
          <t>Desktop</t>
        </is>
      </c>
      <c r="G1058" s="40" t="inlineStr">
        <is>
          <t>Poland</t>
        </is>
      </c>
      <c r="H1058" s="40" t="n">
        <v>8</v>
      </c>
      <c r="I1058" s="40" t="inlineStr">
        <is>
          <t>Begin checkout</t>
        </is>
      </c>
      <c r="J1058" s="40" t="inlineStr">
        <is>
          <t>1-23 August 2026</t>
        </is>
      </c>
      <c r="K1058" s="55" t="n">
        <v>467</v>
      </c>
      <c r="L1058" s="40" t="inlineStr">
        <is>
          <t>Completeness only</t>
        </is>
      </c>
      <c r="M1058" s="40">
        <f>IF(Countries!AL351="","STILL MISSING","Filled ✓")</f>
        <v/>
      </c>
    </row>
    <row r="1059">
      <c r="A1059" s="56" t="inlineStr">
        <is>
          <t>Countries</t>
        </is>
      </c>
      <c r="B1059" s="56" t="inlineStr">
        <is>
          <t>AD331</t>
        </is>
      </c>
      <c r="C1059" s="56" t="n">
        <v>331</v>
      </c>
      <c r="D1059" s="56" t="inlineStr">
        <is>
          <t>Route page</t>
        </is>
      </c>
      <c r="E1059" s="56" t="inlineStr">
        <is>
          <t>Paid Search</t>
        </is>
      </c>
      <c r="F1059" s="56" t="inlineStr">
        <is>
          <t>Mobile</t>
        </is>
      </c>
      <c r="G1059" s="56" t="inlineStr">
        <is>
          <t>Poland</t>
        </is>
      </c>
      <c r="H1059" s="56" t="n">
        <v>8</v>
      </c>
      <c r="I1059" s="56" t="inlineStr">
        <is>
          <t>Add to cart</t>
        </is>
      </c>
      <c r="J1059" s="56" t="inlineStr">
        <is>
          <t>1-23 August 2025</t>
        </is>
      </c>
      <c r="K1059" s="57" t="n">
        <v>767</v>
      </c>
      <c r="L1059" s="56" t="inlineStr">
        <is>
          <t>Completeness only</t>
        </is>
      </c>
      <c r="M1059" s="40">
        <f>IF(Countries!AD331="","STILL MISSING","Filled ✓")</f>
        <v/>
      </c>
    </row>
    <row r="1060">
      <c r="A1060" s="40" t="inlineStr">
        <is>
          <t>Countries</t>
        </is>
      </c>
      <c r="B1060" s="40" t="inlineStr">
        <is>
          <t>AE331</t>
        </is>
      </c>
      <c r="C1060" s="40" t="n">
        <v>331</v>
      </c>
      <c r="D1060" s="40" t="inlineStr">
        <is>
          <t>Route page</t>
        </is>
      </c>
      <c r="E1060" s="40" t="inlineStr">
        <is>
          <t>Paid Search</t>
        </is>
      </c>
      <c r="F1060" s="40" t="inlineStr">
        <is>
          <t>Mobile</t>
        </is>
      </c>
      <c r="G1060" s="40" t="inlineStr">
        <is>
          <t>Poland</t>
        </is>
      </c>
      <c r="H1060" s="40" t="n">
        <v>8</v>
      </c>
      <c r="I1060" s="40" t="inlineStr">
        <is>
          <t>Add to cart</t>
        </is>
      </c>
      <c r="J1060" s="40" t="inlineStr">
        <is>
          <t>1-23 August 2026</t>
        </is>
      </c>
      <c r="K1060" s="55" t="n">
        <v>767</v>
      </c>
      <c r="L1060" s="40" t="inlineStr">
        <is>
          <t>Completeness only</t>
        </is>
      </c>
      <c r="M1060" s="40">
        <f>IF(Countries!AE331="","STILL MISSING","Filled ✓")</f>
        <v/>
      </c>
    </row>
    <row r="1061">
      <c r="A1061" s="56" t="inlineStr">
        <is>
          <t>Countries</t>
        </is>
      </c>
      <c r="B1061" s="56" t="inlineStr">
        <is>
          <t>AK331</t>
        </is>
      </c>
      <c r="C1061" s="56" t="n">
        <v>331</v>
      </c>
      <c r="D1061" s="56" t="inlineStr">
        <is>
          <t>Route page</t>
        </is>
      </c>
      <c r="E1061" s="56" t="inlineStr">
        <is>
          <t>Paid Search</t>
        </is>
      </c>
      <c r="F1061" s="56" t="inlineStr">
        <is>
          <t>Mobile</t>
        </is>
      </c>
      <c r="G1061" s="56" t="inlineStr">
        <is>
          <t>Poland</t>
        </is>
      </c>
      <c r="H1061" s="56" t="n">
        <v>8</v>
      </c>
      <c r="I1061" s="56" t="inlineStr">
        <is>
          <t>Begin checkout</t>
        </is>
      </c>
      <c r="J1061" s="56" t="inlineStr">
        <is>
          <t>1-23 August 2025</t>
        </is>
      </c>
      <c r="K1061" s="57" t="n">
        <v>767</v>
      </c>
      <c r="L1061" s="56" t="inlineStr">
        <is>
          <t>Completeness only</t>
        </is>
      </c>
      <c r="M1061" s="40">
        <f>IF(Countries!AK331="","STILL MISSING","Filled ✓")</f>
        <v/>
      </c>
    </row>
    <row r="1062">
      <c r="A1062" s="40" t="inlineStr">
        <is>
          <t>Countries</t>
        </is>
      </c>
      <c r="B1062" s="40" t="inlineStr">
        <is>
          <t>AL331</t>
        </is>
      </c>
      <c r="C1062" s="40" t="n">
        <v>331</v>
      </c>
      <c r="D1062" s="40" t="inlineStr">
        <is>
          <t>Route page</t>
        </is>
      </c>
      <c r="E1062" s="40" t="inlineStr">
        <is>
          <t>Paid Search</t>
        </is>
      </c>
      <c r="F1062" s="40" t="inlineStr">
        <is>
          <t>Mobile</t>
        </is>
      </c>
      <c r="G1062" s="40" t="inlineStr">
        <is>
          <t>Poland</t>
        </is>
      </c>
      <c r="H1062" s="40" t="n">
        <v>8</v>
      </c>
      <c r="I1062" s="40" t="inlineStr">
        <is>
          <t>Begin checkout</t>
        </is>
      </c>
      <c r="J1062" s="40" t="inlineStr">
        <is>
          <t>1-23 August 2026</t>
        </is>
      </c>
      <c r="K1062" s="55" t="n">
        <v>767</v>
      </c>
      <c r="L1062" s="40" t="inlineStr">
        <is>
          <t>Completeness only</t>
        </is>
      </c>
      <c r="M1062" s="40">
        <f>IF(Countries!AL331="","STILL MISSING","Filled ✓")</f>
        <v/>
      </c>
    </row>
    <row r="1063">
      <c r="A1063" s="56" t="inlineStr">
        <is>
          <t>Countries</t>
        </is>
      </c>
      <c r="B1063" s="56" t="inlineStr">
        <is>
          <t>AD381</t>
        </is>
      </c>
      <c r="C1063" s="56" t="n">
        <v>381</v>
      </c>
      <c r="D1063" s="56" t="inlineStr">
        <is>
          <t>Route page</t>
        </is>
      </c>
      <c r="E1063" s="56" t="inlineStr">
        <is>
          <t>Organic</t>
        </is>
      </c>
      <c r="F1063" s="56" t="inlineStr">
        <is>
          <t>Desktop</t>
        </is>
      </c>
      <c r="G1063" s="56" t="inlineStr">
        <is>
          <t>Poland</t>
        </is>
      </c>
      <c r="H1063" s="56" t="n">
        <v>8</v>
      </c>
      <c r="I1063" s="56" t="inlineStr">
        <is>
          <t>Add to cart</t>
        </is>
      </c>
      <c r="J1063" s="56" t="inlineStr">
        <is>
          <t>1-23 August 2025</t>
        </is>
      </c>
      <c r="K1063" s="57" t="n">
        <v>556</v>
      </c>
      <c r="L1063" s="56" t="inlineStr">
        <is>
          <t>Completeness only</t>
        </is>
      </c>
      <c r="M1063" s="40">
        <f>IF(Countries!AD381="","STILL MISSING","Filled ✓")</f>
        <v/>
      </c>
    </row>
    <row r="1064">
      <c r="A1064" s="40" t="inlineStr">
        <is>
          <t>Countries</t>
        </is>
      </c>
      <c r="B1064" s="40" t="inlineStr">
        <is>
          <t>AE381</t>
        </is>
      </c>
      <c r="C1064" s="40" t="n">
        <v>381</v>
      </c>
      <c r="D1064" s="40" t="inlineStr">
        <is>
          <t>Route page</t>
        </is>
      </c>
      <c r="E1064" s="40" t="inlineStr">
        <is>
          <t>Organic</t>
        </is>
      </c>
      <c r="F1064" s="40" t="inlineStr">
        <is>
          <t>Desktop</t>
        </is>
      </c>
      <c r="G1064" s="40" t="inlineStr">
        <is>
          <t>Poland</t>
        </is>
      </c>
      <c r="H1064" s="40" t="n">
        <v>8</v>
      </c>
      <c r="I1064" s="40" t="inlineStr">
        <is>
          <t>Add to cart</t>
        </is>
      </c>
      <c r="J1064" s="40" t="inlineStr">
        <is>
          <t>1-23 August 2026</t>
        </is>
      </c>
      <c r="K1064" s="55" t="n">
        <v>556</v>
      </c>
      <c r="L1064" s="40" t="inlineStr">
        <is>
          <t>Completeness only</t>
        </is>
      </c>
      <c r="M1064" s="40">
        <f>IF(Countries!AE381="","STILL MISSING","Filled ✓")</f>
        <v/>
      </c>
    </row>
    <row r="1065">
      <c r="A1065" s="56" t="inlineStr">
        <is>
          <t>Countries</t>
        </is>
      </c>
      <c r="B1065" s="56" t="inlineStr">
        <is>
          <t>AK381</t>
        </is>
      </c>
      <c r="C1065" s="56" t="n">
        <v>381</v>
      </c>
      <c r="D1065" s="56" t="inlineStr">
        <is>
          <t>Route page</t>
        </is>
      </c>
      <c r="E1065" s="56" t="inlineStr">
        <is>
          <t>Organic</t>
        </is>
      </c>
      <c r="F1065" s="56" t="inlineStr">
        <is>
          <t>Desktop</t>
        </is>
      </c>
      <c r="G1065" s="56" t="inlineStr">
        <is>
          <t>Poland</t>
        </is>
      </c>
      <c r="H1065" s="56" t="n">
        <v>8</v>
      </c>
      <c r="I1065" s="56" t="inlineStr">
        <is>
          <t>Begin checkout</t>
        </is>
      </c>
      <c r="J1065" s="56" t="inlineStr">
        <is>
          <t>1-23 August 2025</t>
        </is>
      </c>
      <c r="K1065" s="57" t="n">
        <v>556</v>
      </c>
      <c r="L1065" s="56" t="inlineStr">
        <is>
          <t>Completeness only</t>
        </is>
      </c>
      <c r="M1065" s="40">
        <f>IF(Countries!AK381="","STILL MISSING","Filled ✓")</f>
        <v/>
      </c>
    </row>
    <row r="1066">
      <c r="A1066" s="40" t="inlineStr">
        <is>
          <t>Countries</t>
        </is>
      </c>
      <c r="B1066" s="40" t="inlineStr">
        <is>
          <t>AL381</t>
        </is>
      </c>
      <c r="C1066" s="40" t="n">
        <v>381</v>
      </c>
      <c r="D1066" s="40" t="inlineStr">
        <is>
          <t>Route page</t>
        </is>
      </c>
      <c r="E1066" s="40" t="inlineStr">
        <is>
          <t>Organic</t>
        </is>
      </c>
      <c r="F1066" s="40" t="inlineStr">
        <is>
          <t>Desktop</t>
        </is>
      </c>
      <c r="G1066" s="40" t="inlineStr">
        <is>
          <t>Poland</t>
        </is>
      </c>
      <c r="H1066" s="40" t="n">
        <v>8</v>
      </c>
      <c r="I1066" s="40" t="inlineStr">
        <is>
          <t>Begin checkout</t>
        </is>
      </c>
      <c r="J1066" s="40" t="inlineStr">
        <is>
          <t>1-23 August 2026</t>
        </is>
      </c>
      <c r="K1066" s="55" t="n">
        <v>556</v>
      </c>
      <c r="L1066" s="40" t="inlineStr">
        <is>
          <t>Completeness only</t>
        </is>
      </c>
      <c r="M1066" s="40">
        <f>IF(Countries!AL381="","STILL MISSING","Filled ✓")</f>
        <v/>
      </c>
    </row>
    <row r="1067">
      <c r="A1067" s="56" t="inlineStr">
        <is>
          <t>Countries</t>
        </is>
      </c>
      <c r="B1067" s="56" t="inlineStr">
        <is>
          <t>AD363</t>
        </is>
      </c>
      <c r="C1067" s="56" t="n">
        <v>363</v>
      </c>
      <c r="D1067" s="56" t="inlineStr">
        <is>
          <t>Route page</t>
        </is>
      </c>
      <c r="E1067" s="56" t="inlineStr">
        <is>
          <t>Organic</t>
        </is>
      </c>
      <c r="F1067" s="56" t="inlineStr">
        <is>
          <t>Mobile</t>
        </is>
      </c>
      <c r="G1067" s="56" t="inlineStr">
        <is>
          <t>Poland</t>
        </is>
      </c>
      <c r="H1067" s="56" t="n">
        <v>8</v>
      </c>
      <c r="I1067" s="56" t="inlineStr">
        <is>
          <t>Add to cart</t>
        </is>
      </c>
      <c r="J1067" s="56" t="inlineStr">
        <is>
          <t>1-23 August 2025</t>
        </is>
      </c>
      <c r="K1067" s="57" t="n">
        <v>1335</v>
      </c>
      <c r="L1067" s="56" t="inlineStr">
        <is>
          <t>Completeness only</t>
        </is>
      </c>
      <c r="M1067" s="40">
        <f>IF(Countries!AD363="","STILL MISSING","Filled ✓")</f>
        <v/>
      </c>
    </row>
    <row r="1068">
      <c r="A1068" s="40" t="inlineStr">
        <is>
          <t>Countries</t>
        </is>
      </c>
      <c r="B1068" s="40" t="inlineStr">
        <is>
          <t>AE363</t>
        </is>
      </c>
      <c r="C1068" s="40" t="n">
        <v>363</v>
      </c>
      <c r="D1068" s="40" t="inlineStr">
        <is>
          <t>Route page</t>
        </is>
      </c>
      <c r="E1068" s="40" t="inlineStr">
        <is>
          <t>Organic</t>
        </is>
      </c>
      <c r="F1068" s="40" t="inlineStr">
        <is>
          <t>Mobile</t>
        </is>
      </c>
      <c r="G1068" s="40" t="inlineStr">
        <is>
          <t>Poland</t>
        </is>
      </c>
      <c r="H1068" s="40" t="n">
        <v>8</v>
      </c>
      <c r="I1068" s="40" t="inlineStr">
        <is>
          <t>Add to cart</t>
        </is>
      </c>
      <c r="J1068" s="40" t="inlineStr">
        <is>
          <t>1-23 August 2026</t>
        </is>
      </c>
      <c r="K1068" s="55" t="n">
        <v>1335</v>
      </c>
      <c r="L1068" s="40" t="inlineStr">
        <is>
          <t>Completeness only</t>
        </is>
      </c>
      <c r="M1068" s="40">
        <f>IF(Countries!AE363="","STILL MISSING","Filled ✓")</f>
        <v/>
      </c>
    </row>
    <row r="1069">
      <c r="A1069" s="56" t="inlineStr">
        <is>
          <t>Countries</t>
        </is>
      </c>
      <c r="B1069" s="56" t="inlineStr">
        <is>
          <t>AK363</t>
        </is>
      </c>
      <c r="C1069" s="56" t="n">
        <v>363</v>
      </c>
      <c r="D1069" s="56" t="inlineStr">
        <is>
          <t>Route page</t>
        </is>
      </c>
      <c r="E1069" s="56" t="inlineStr">
        <is>
          <t>Organic</t>
        </is>
      </c>
      <c r="F1069" s="56" t="inlineStr">
        <is>
          <t>Mobile</t>
        </is>
      </c>
      <c r="G1069" s="56" t="inlineStr">
        <is>
          <t>Poland</t>
        </is>
      </c>
      <c r="H1069" s="56" t="n">
        <v>8</v>
      </c>
      <c r="I1069" s="56" t="inlineStr">
        <is>
          <t>Begin checkout</t>
        </is>
      </c>
      <c r="J1069" s="56" t="inlineStr">
        <is>
          <t>1-23 August 2025</t>
        </is>
      </c>
      <c r="K1069" s="57" t="n">
        <v>1335</v>
      </c>
      <c r="L1069" s="56" t="inlineStr">
        <is>
          <t>Completeness only</t>
        </is>
      </c>
      <c r="M1069" s="40">
        <f>IF(Countries!AK363="","STILL MISSING","Filled ✓")</f>
        <v/>
      </c>
    </row>
    <row r="1070">
      <c r="A1070" s="40" t="inlineStr">
        <is>
          <t>Countries</t>
        </is>
      </c>
      <c r="B1070" s="40" t="inlineStr">
        <is>
          <t>AL363</t>
        </is>
      </c>
      <c r="C1070" s="40" t="n">
        <v>363</v>
      </c>
      <c r="D1070" s="40" t="inlineStr">
        <is>
          <t>Route page</t>
        </is>
      </c>
      <c r="E1070" s="40" t="inlineStr">
        <is>
          <t>Organic</t>
        </is>
      </c>
      <c r="F1070" s="40" t="inlineStr">
        <is>
          <t>Mobile</t>
        </is>
      </c>
      <c r="G1070" s="40" t="inlineStr">
        <is>
          <t>Poland</t>
        </is>
      </c>
      <c r="H1070" s="40" t="n">
        <v>8</v>
      </c>
      <c r="I1070" s="40" t="inlineStr">
        <is>
          <t>Begin checkout</t>
        </is>
      </c>
      <c r="J1070" s="40" t="inlineStr">
        <is>
          <t>1-23 August 2026</t>
        </is>
      </c>
      <c r="K1070" s="55" t="n">
        <v>1335</v>
      </c>
      <c r="L1070" s="40" t="inlineStr">
        <is>
          <t>Completeness only</t>
        </is>
      </c>
      <c r="M1070" s="40">
        <f>IF(Countries!AL363="","STILL MISSING","Filled ✓")</f>
        <v/>
      </c>
    </row>
    <row r="1071">
      <c r="A1071" s="56" t="inlineStr">
        <is>
          <t>Countries</t>
        </is>
      </c>
      <c r="B1071" s="56" t="inlineStr">
        <is>
          <t>AD417</t>
        </is>
      </c>
      <c r="C1071" s="56" t="n">
        <v>417</v>
      </c>
      <c r="D1071" s="56" t="inlineStr">
        <is>
          <t>Route page</t>
        </is>
      </c>
      <c r="E1071" s="56" t="inlineStr">
        <is>
          <t>Direct</t>
        </is>
      </c>
      <c r="F1071" s="56" t="inlineStr">
        <is>
          <t>Desktop</t>
        </is>
      </c>
      <c r="G1071" s="56" t="inlineStr">
        <is>
          <t>Poland</t>
        </is>
      </c>
      <c r="H1071" s="56" t="n">
        <v>8</v>
      </c>
      <c r="I1071" s="56" t="inlineStr">
        <is>
          <t>Add to cart</t>
        </is>
      </c>
      <c r="J1071" s="56" t="inlineStr">
        <is>
          <t>1-23 August 2025</t>
        </is>
      </c>
      <c r="K1071" s="57" t="n">
        <v>279</v>
      </c>
      <c r="L1071" s="56" t="inlineStr">
        <is>
          <t>Completeness only</t>
        </is>
      </c>
      <c r="M1071" s="40">
        <f>IF(Countries!AD417="","STILL MISSING","Filled ✓")</f>
        <v/>
      </c>
    </row>
    <row r="1072">
      <c r="A1072" s="40" t="inlineStr">
        <is>
          <t>Countries</t>
        </is>
      </c>
      <c r="B1072" s="40" t="inlineStr">
        <is>
          <t>AE417</t>
        </is>
      </c>
      <c r="C1072" s="40" t="n">
        <v>417</v>
      </c>
      <c r="D1072" s="40" t="inlineStr">
        <is>
          <t>Route page</t>
        </is>
      </c>
      <c r="E1072" s="40" t="inlineStr">
        <is>
          <t>Direct</t>
        </is>
      </c>
      <c r="F1072" s="40" t="inlineStr">
        <is>
          <t>Desktop</t>
        </is>
      </c>
      <c r="G1072" s="40" t="inlineStr">
        <is>
          <t>Poland</t>
        </is>
      </c>
      <c r="H1072" s="40" t="n">
        <v>8</v>
      </c>
      <c r="I1072" s="40" t="inlineStr">
        <is>
          <t>Add to cart</t>
        </is>
      </c>
      <c r="J1072" s="40" t="inlineStr">
        <is>
          <t>1-23 August 2026</t>
        </is>
      </c>
      <c r="K1072" s="55" t="n">
        <v>279</v>
      </c>
      <c r="L1072" s="40" t="inlineStr">
        <is>
          <t>Completeness only</t>
        </is>
      </c>
      <c r="M1072" s="40">
        <f>IF(Countries!AE417="","STILL MISSING","Filled ✓")</f>
        <v/>
      </c>
    </row>
    <row r="1073">
      <c r="A1073" s="56" t="inlineStr">
        <is>
          <t>Countries</t>
        </is>
      </c>
      <c r="B1073" s="56" t="inlineStr">
        <is>
          <t>AK417</t>
        </is>
      </c>
      <c r="C1073" s="56" t="n">
        <v>417</v>
      </c>
      <c r="D1073" s="56" t="inlineStr">
        <is>
          <t>Route page</t>
        </is>
      </c>
      <c r="E1073" s="56" t="inlineStr">
        <is>
          <t>Direct</t>
        </is>
      </c>
      <c r="F1073" s="56" t="inlineStr">
        <is>
          <t>Desktop</t>
        </is>
      </c>
      <c r="G1073" s="56" t="inlineStr">
        <is>
          <t>Poland</t>
        </is>
      </c>
      <c r="H1073" s="56" t="n">
        <v>8</v>
      </c>
      <c r="I1073" s="56" t="inlineStr">
        <is>
          <t>Begin checkout</t>
        </is>
      </c>
      <c r="J1073" s="56" t="inlineStr">
        <is>
          <t>1-23 August 2025</t>
        </is>
      </c>
      <c r="K1073" s="57" t="n">
        <v>279</v>
      </c>
      <c r="L1073" s="56" t="inlineStr">
        <is>
          <t>Completeness only</t>
        </is>
      </c>
      <c r="M1073" s="40">
        <f>IF(Countries!AK417="","STILL MISSING","Filled ✓")</f>
        <v/>
      </c>
    </row>
    <row r="1074">
      <c r="A1074" s="40" t="inlineStr">
        <is>
          <t>Countries</t>
        </is>
      </c>
      <c r="B1074" s="40" t="inlineStr">
        <is>
          <t>AL417</t>
        </is>
      </c>
      <c r="C1074" s="40" t="n">
        <v>417</v>
      </c>
      <c r="D1074" s="40" t="inlineStr">
        <is>
          <t>Route page</t>
        </is>
      </c>
      <c r="E1074" s="40" t="inlineStr">
        <is>
          <t>Direct</t>
        </is>
      </c>
      <c r="F1074" s="40" t="inlineStr">
        <is>
          <t>Desktop</t>
        </is>
      </c>
      <c r="G1074" s="40" t="inlineStr">
        <is>
          <t>Poland</t>
        </is>
      </c>
      <c r="H1074" s="40" t="n">
        <v>8</v>
      </c>
      <c r="I1074" s="40" t="inlineStr">
        <is>
          <t>Begin checkout</t>
        </is>
      </c>
      <c r="J1074" s="40" t="inlineStr">
        <is>
          <t>1-23 August 2026</t>
        </is>
      </c>
      <c r="K1074" s="55" t="n">
        <v>279</v>
      </c>
      <c r="L1074" s="40" t="inlineStr">
        <is>
          <t>Completeness only</t>
        </is>
      </c>
      <c r="M1074" s="40">
        <f>IF(Countries!AL417="","STILL MISSING","Filled ✓")</f>
        <v/>
      </c>
    </row>
    <row r="1075">
      <c r="A1075" s="56" t="inlineStr">
        <is>
          <t>Countries</t>
        </is>
      </c>
      <c r="B1075" s="56" t="inlineStr">
        <is>
          <t>AR417</t>
        </is>
      </c>
      <c r="C1075" s="56" t="n">
        <v>417</v>
      </c>
      <c r="D1075" s="56" t="inlineStr">
        <is>
          <t>Route page</t>
        </is>
      </c>
      <c r="E1075" s="56" t="inlineStr">
        <is>
          <t>Direct</t>
        </is>
      </c>
      <c r="F1075" s="56" t="inlineStr">
        <is>
          <t>Desktop</t>
        </is>
      </c>
      <c r="G1075" s="56" t="inlineStr">
        <is>
          <t>Poland</t>
        </is>
      </c>
      <c r="H1075" s="56" t="n">
        <v>8</v>
      </c>
      <c r="I1075" s="56" t="inlineStr">
        <is>
          <t>Purchases</t>
        </is>
      </c>
      <c r="J1075" s="56" t="inlineStr">
        <is>
          <t>1-23 August 2025</t>
        </is>
      </c>
      <c r="K1075" s="57" t="n">
        <v>279</v>
      </c>
      <c r="L1075" s="56" t="inlineStr">
        <is>
          <t>Completeness only</t>
        </is>
      </c>
      <c r="M1075" s="40">
        <f>IF(Countries!AR417="","STILL MISSING","Filled ✓")</f>
        <v/>
      </c>
    </row>
    <row r="1076">
      <c r="A1076" s="40" t="inlineStr">
        <is>
          <t>Countries</t>
        </is>
      </c>
      <c r="B1076" s="40" t="inlineStr">
        <is>
          <t>W417</t>
        </is>
      </c>
      <c r="C1076" s="40" t="n">
        <v>417</v>
      </c>
      <c r="D1076" s="40" t="inlineStr">
        <is>
          <t>Route page</t>
        </is>
      </c>
      <c r="E1076" s="40" t="inlineStr">
        <is>
          <t>Direct</t>
        </is>
      </c>
      <c r="F1076" s="40" t="inlineStr">
        <is>
          <t>Desktop</t>
        </is>
      </c>
      <c r="G1076" s="40" t="inlineStr">
        <is>
          <t>Poland</t>
        </is>
      </c>
      <c r="H1076" s="40" t="n">
        <v>8</v>
      </c>
      <c r="I1076" s="40" t="inlineStr">
        <is>
          <t>Select item</t>
        </is>
      </c>
      <c r="J1076" s="40" t="inlineStr">
        <is>
          <t>1-23 August 2025</t>
        </is>
      </c>
      <c r="K1076" s="55" t="n">
        <v>279</v>
      </c>
      <c r="L1076" s="40" t="inlineStr">
        <is>
          <t>Completeness only</t>
        </is>
      </c>
      <c r="M1076" s="40">
        <f>IF(Countries!W417="","STILL MISSING","Filled ✓")</f>
        <v/>
      </c>
    </row>
    <row r="1077">
      <c r="A1077" s="56" t="inlineStr">
        <is>
          <t>Countries</t>
        </is>
      </c>
      <c r="B1077" s="56" t="inlineStr">
        <is>
          <t>I417</t>
        </is>
      </c>
      <c r="C1077" s="56" t="n">
        <v>417</v>
      </c>
      <c r="D1077" s="56" t="inlineStr">
        <is>
          <t>Route page</t>
        </is>
      </c>
      <c r="E1077" s="56" t="inlineStr">
        <is>
          <t>Direct</t>
        </is>
      </c>
      <c r="F1077" s="56" t="inlineStr">
        <is>
          <t>Desktop</t>
        </is>
      </c>
      <c r="G1077" s="56" t="inlineStr">
        <is>
          <t>Poland</t>
        </is>
      </c>
      <c r="H1077" s="56" t="n">
        <v>8</v>
      </c>
      <c r="I1077" s="56" t="inlineStr">
        <is>
          <t>Start Search</t>
        </is>
      </c>
      <c r="J1077" s="56" t="inlineStr">
        <is>
          <t>1-23 August 2025</t>
        </is>
      </c>
      <c r="K1077" s="57" t="n">
        <v>279</v>
      </c>
      <c r="L1077" s="56" t="inlineStr">
        <is>
          <t>Completeness only</t>
        </is>
      </c>
      <c r="M1077" s="40">
        <f>IF(Countries!I417="","STILL MISSING","Filled ✓")</f>
        <v/>
      </c>
    </row>
    <row r="1078">
      <c r="A1078" s="40" t="inlineStr">
        <is>
          <t>Countries</t>
        </is>
      </c>
      <c r="B1078" s="40" t="inlineStr">
        <is>
          <t>AD402</t>
        </is>
      </c>
      <c r="C1078" s="40" t="n">
        <v>402</v>
      </c>
      <c r="D1078" s="40" t="inlineStr">
        <is>
          <t>Route page</t>
        </is>
      </c>
      <c r="E1078" s="40" t="inlineStr">
        <is>
          <t>Direct</t>
        </is>
      </c>
      <c r="F1078" s="40" t="inlineStr">
        <is>
          <t>Mobile</t>
        </is>
      </c>
      <c r="G1078" s="40" t="inlineStr">
        <is>
          <t>Poland</t>
        </is>
      </c>
      <c r="H1078" s="40" t="n">
        <v>8</v>
      </c>
      <c r="I1078" s="40" t="inlineStr">
        <is>
          <t>Add to cart</t>
        </is>
      </c>
      <c r="J1078" s="40" t="inlineStr">
        <is>
          <t>1-23 August 2025</t>
        </is>
      </c>
      <c r="K1078" s="55" t="n">
        <v>132</v>
      </c>
      <c r="L1078" s="40" t="inlineStr">
        <is>
          <t>Completeness only</t>
        </is>
      </c>
      <c r="M1078" s="40">
        <f>IF(Countries!AD402="","STILL MISSING","Filled ✓")</f>
        <v/>
      </c>
    </row>
    <row r="1079">
      <c r="A1079" s="56" t="inlineStr">
        <is>
          <t>Countries</t>
        </is>
      </c>
      <c r="B1079" s="56" t="inlineStr">
        <is>
          <t>AE402</t>
        </is>
      </c>
      <c r="C1079" s="56" t="n">
        <v>402</v>
      </c>
      <c r="D1079" s="56" t="inlineStr">
        <is>
          <t>Route page</t>
        </is>
      </c>
      <c r="E1079" s="56" t="inlineStr">
        <is>
          <t>Direct</t>
        </is>
      </c>
      <c r="F1079" s="56" t="inlineStr">
        <is>
          <t>Mobile</t>
        </is>
      </c>
      <c r="G1079" s="56" t="inlineStr">
        <is>
          <t>Poland</t>
        </is>
      </c>
      <c r="H1079" s="56" t="n">
        <v>8</v>
      </c>
      <c r="I1079" s="56" t="inlineStr">
        <is>
          <t>Add to cart</t>
        </is>
      </c>
      <c r="J1079" s="56" t="inlineStr">
        <is>
          <t>1-23 August 2026</t>
        </is>
      </c>
      <c r="K1079" s="57" t="n">
        <v>132</v>
      </c>
      <c r="L1079" s="56" t="inlineStr">
        <is>
          <t>Completeness only</t>
        </is>
      </c>
      <c r="M1079" s="40">
        <f>IF(Countries!AE402="","STILL MISSING","Filled ✓")</f>
        <v/>
      </c>
    </row>
    <row r="1080">
      <c r="A1080" s="40" t="inlineStr">
        <is>
          <t>Countries</t>
        </is>
      </c>
      <c r="B1080" s="40" t="inlineStr">
        <is>
          <t>AK402</t>
        </is>
      </c>
      <c r="C1080" s="40" t="n">
        <v>402</v>
      </c>
      <c r="D1080" s="40" t="inlineStr">
        <is>
          <t>Route page</t>
        </is>
      </c>
      <c r="E1080" s="40" t="inlineStr">
        <is>
          <t>Direct</t>
        </is>
      </c>
      <c r="F1080" s="40" t="inlineStr">
        <is>
          <t>Mobile</t>
        </is>
      </c>
      <c r="G1080" s="40" t="inlineStr">
        <is>
          <t>Poland</t>
        </is>
      </c>
      <c r="H1080" s="40" t="n">
        <v>8</v>
      </c>
      <c r="I1080" s="40" t="inlineStr">
        <is>
          <t>Begin checkout</t>
        </is>
      </c>
      <c r="J1080" s="40" t="inlineStr">
        <is>
          <t>1-23 August 2025</t>
        </is>
      </c>
      <c r="K1080" s="55" t="n">
        <v>132</v>
      </c>
      <c r="L1080" s="40" t="inlineStr">
        <is>
          <t>Completeness only</t>
        </is>
      </c>
      <c r="M1080" s="40">
        <f>IF(Countries!AK402="","STILL MISSING","Filled ✓")</f>
        <v/>
      </c>
    </row>
    <row r="1081">
      <c r="A1081" s="56" t="inlineStr">
        <is>
          <t>Countries</t>
        </is>
      </c>
      <c r="B1081" s="56" t="inlineStr">
        <is>
          <t>AL402</t>
        </is>
      </c>
      <c r="C1081" s="56" t="n">
        <v>402</v>
      </c>
      <c r="D1081" s="56" t="inlineStr">
        <is>
          <t>Route page</t>
        </is>
      </c>
      <c r="E1081" s="56" t="inlineStr">
        <is>
          <t>Direct</t>
        </is>
      </c>
      <c r="F1081" s="56" t="inlineStr">
        <is>
          <t>Mobile</t>
        </is>
      </c>
      <c r="G1081" s="56" t="inlineStr">
        <is>
          <t>Poland</t>
        </is>
      </c>
      <c r="H1081" s="56" t="n">
        <v>8</v>
      </c>
      <c r="I1081" s="56" t="inlineStr">
        <is>
          <t>Begin checkout</t>
        </is>
      </c>
      <c r="J1081" s="56" t="inlineStr">
        <is>
          <t>1-23 August 2026</t>
        </is>
      </c>
      <c r="K1081" s="57" t="n">
        <v>132</v>
      </c>
      <c r="L1081" s="56" t="inlineStr">
        <is>
          <t>Completeness only</t>
        </is>
      </c>
      <c r="M1081" s="40">
        <f>IF(Countries!AL402="","STILL MISSING","Filled ✓")</f>
        <v/>
      </c>
    </row>
    <row r="1082">
      <c r="A1082" s="40" t="inlineStr">
        <is>
          <t>Countries</t>
        </is>
      </c>
      <c r="B1082" s="40" t="inlineStr">
        <is>
          <t>AD34</t>
        </is>
      </c>
      <c r="C1082" s="40" t="n">
        <v>34</v>
      </c>
      <c r="D1082" s="40" t="inlineStr">
        <is>
          <t>All landing pages</t>
        </is>
      </c>
      <c r="E1082" s="40" t="inlineStr">
        <is>
          <t>Paid Search</t>
        </is>
      </c>
      <c r="F1082" s="40" t="inlineStr">
        <is>
          <t>Desktop</t>
        </is>
      </c>
      <c r="G1082" s="40" t="inlineStr">
        <is>
          <t>Austria</t>
        </is>
      </c>
      <c r="H1082" s="40" t="n">
        <v>12</v>
      </c>
      <c r="I1082" s="40" t="inlineStr">
        <is>
          <t>Add to cart</t>
        </is>
      </c>
      <c r="J1082" s="40" t="inlineStr">
        <is>
          <t>1-23 August 2025</t>
        </is>
      </c>
      <c r="K1082" s="55" t="n">
        <v>1484</v>
      </c>
      <c r="L1082" s="40" t="inlineStr">
        <is>
          <t>Completeness only</t>
        </is>
      </c>
      <c r="M1082" s="40">
        <f>IF(Countries!AD34="","STILL MISSING","Filled ✓")</f>
        <v/>
      </c>
    </row>
    <row r="1083">
      <c r="A1083" s="56" t="inlineStr">
        <is>
          <t>Countries</t>
        </is>
      </c>
      <c r="B1083" s="56" t="inlineStr">
        <is>
          <t>AE34</t>
        </is>
      </c>
      <c r="C1083" s="56" t="n">
        <v>34</v>
      </c>
      <c r="D1083" s="56" t="inlineStr">
        <is>
          <t>All landing pages</t>
        </is>
      </c>
      <c r="E1083" s="56" t="inlineStr">
        <is>
          <t>Paid Search</t>
        </is>
      </c>
      <c r="F1083" s="56" t="inlineStr">
        <is>
          <t>Desktop</t>
        </is>
      </c>
      <c r="G1083" s="56" t="inlineStr">
        <is>
          <t>Austria</t>
        </is>
      </c>
      <c r="H1083" s="56" t="n">
        <v>12</v>
      </c>
      <c r="I1083" s="56" t="inlineStr">
        <is>
          <t>Add to cart</t>
        </is>
      </c>
      <c r="J1083" s="56" t="inlineStr">
        <is>
          <t>1-23 August 2026</t>
        </is>
      </c>
      <c r="K1083" s="57" t="n">
        <v>1484</v>
      </c>
      <c r="L1083" s="56" t="inlineStr">
        <is>
          <t>Completeness only</t>
        </is>
      </c>
      <c r="M1083" s="40">
        <f>IF(Countries!AE34="","STILL MISSING","Filled ✓")</f>
        <v/>
      </c>
    </row>
    <row r="1084">
      <c r="A1084" s="40" t="inlineStr">
        <is>
          <t>Countries</t>
        </is>
      </c>
      <c r="B1084" s="40" t="inlineStr">
        <is>
          <t>AK34</t>
        </is>
      </c>
      <c r="C1084" s="40" t="n">
        <v>34</v>
      </c>
      <c r="D1084" s="40" t="inlineStr">
        <is>
          <t>All landing pages</t>
        </is>
      </c>
      <c r="E1084" s="40" t="inlineStr">
        <is>
          <t>Paid Search</t>
        </is>
      </c>
      <c r="F1084" s="40" t="inlineStr">
        <is>
          <t>Desktop</t>
        </is>
      </c>
      <c r="G1084" s="40" t="inlineStr">
        <is>
          <t>Austria</t>
        </is>
      </c>
      <c r="H1084" s="40" t="n">
        <v>12</v>
      </c>
      <c r="I1084" s="40" t="inlineStr">
        <is>
          <t>Begin checkout</t>
        </is>
      </c>
      <c r="J1084" s="40" t="inlineStr">
        <is>
          <t>1-23 August 2025</t>
        </is>
      </c>
      <c r="K1084" s="55" t="n">
        <v>1484</v>
      </c>
      <c r="L1084" s="40" t="inlineStr">
        <is>
          <t>Completeness only</t>
        </is>
      </c>
      <c r="M1084" s="40">
        <f>IF(Countries!AK34="","STILL MISSING","Filled ✓")</f>
        <v/>
      </c>
    </row>
    <row r="1085">
      <c r="A1085" s="56" t="inlineStr">
        <is>
          <t>Countries</t>
        </is>
      </c>
      <c r="B1085" s="56" t="inlineStr">
        <is>
          <t>AL34</t>
        </is>
      </c>
      <c r="C1085" s="56" t="n">
        <v>34</v>
      </c>
      <c r="D1085" s="56" t="inlineStr">
        <is>
          <t>All landing pages</t>
        </is>
      </c>
      <c r="E1085" s="56" t="inlineStr">
        <is>
          <t>Paid Search</t>
        </is>
      </c>
      <c r="F1085" s="56" t="inlineStr">
        <is>
          <t>Desktop</t>
        </is>
      </c>
      <c r="G1085" s="56" t="inlineStr">
        <is>
          <t>Austria</t>
        </is>
      </c>
      <c r="H1085" s="56" t="n">
        <v>12</v>
      </c>
      <c r="I1085" s="56" t="inlineStr">
        <is>
          <t>Begin checkout</t>
        </is>
      </c>
      <c r="J1085" s="56" t="inlineStr">
        <is>
          <t>1-23 August 2026</t>
        </is>
      </c>
      <c r="K1085" s="57" t="n">
        <v>1484</v>
      </c>
      <c r="L1085" s="56" t="inlineStr">
        <is>
          <t>Completeness only</t>
        </is>
      </c>
      <c r="M1085" s="40">
        <f>IF(Countries!AL34="","STILL MISSING","Filled ✓")</f>
        <v/>
      </c>
    </row>
    <row r="1086">
      <c r="A1086" s="40" t="inlineStr">
        <is>
          <t>Countries</t>
        </is>
      </c>
      <c r="B1086" s="40" t="inlineStr">
        <is>
          <t>AD18</t>
        </is>
      </c>
      <c r="C1086" s="40" t="n">
        <v>18</v>
      </c>
      <c r="D1086" s="40" t="inlineStr">
        <is>
          <t>All landing pages</t>
        </is>
      </c>
      <c r="E1086" s="40" t="inlineStr">
        <is>
          <t>Paid Search</t>
        </is>
      </c>
      <c r="F1086" s="40" t="inlineStr">
        <is>
          <t>Mobile</t>
        </is>
      </c>
      <c r="G1086" s="40" t="inlineStr">
        <is>
          <t>Austria</t>
        </is>
      </c>
      <c r="H1086" s="40" t="n">
        <v>12</v>
      </c>
      <c r="I1086" s="40" t="inlineStr">
        <is>
          <t>Add to cart</t>
        </is>
      </c>
      <c r="J1086" s="40" t="inlineStr">
        <is>
          <t>1-23 August 2025</t>
        </is>
      </c>
      <c r="K1086" s="55" t="n">
        <v>1853</v>
      </c>
      <c r="L1086" s="40" t="inlineStr">
        <is>
          <t>Completeness only</t>
        </is>
      </c>
      <c r="M1086" s="40">
        <f>IF(Countries!AD18="","STILL MISSING","Filled ✓")</f>
        <v/>
      </c>
    </row>
    <row r="1087">
      <c r="A1087" s="56" t="inlineStr">
        <is>
          <t>Countries</t>
        </is>
      </c>
      <c r="B1087" s="56" t="inlineStr">
        <is>
          <t>AE18</t>
        </is>
      </c>
      <c r="C1087" s="56" t="n">
        <v>18</v>
      </c>
      <c r="D1087" s="56" t="inlineStr">
        <is>
          <t>All landing pages</t>
        </is>
      </c>
      <c r="E1087" s="56" t="inlineStr">
        <is>
          <t>Paid Search</t>
        </is>
      </c>
      <c r="F1087" s="56" t="inlineStr">
        <is>
          <t>Mobile</t>
        </is>
      </c>
      <c r="G1087" s="56" t="inlineStr">
        <is>
          <t>Austria</t>
        </is>
      </c>
      <c r="H1087" s="56" t="n">
        <v>12</v>
      </c>
      <c r="I1087" s="56" t="inlineStr">
        <is>
          <t>Add to cart</t>
        </is>
      </c>
      <c r="J1087" s="56" t="inlineStr">
        <is>
          <t>1-23 August 2026</t>
        </is>
      </c>
      <c r="K1087" s="57" t="n">
        <v>1853</v>
      </c>
      <c r="L1087" s="56" t="inlineStr">
        <is>
          <t>Completeness only</t>
        </is>
      </c>
      <c r="M1087" s="40">
        <f>IF(Countries!AE18="","STILL MISSING","Filled ✓")</f>
        <v/>
      </c>
    </row>
    <row r="1088">
      <c r="A1088" s="40" t="inlineStr">
        <is>
          <t>Countries</t>
        </is>
      </c>
      <c r="B1088" s="40" t="inlineStr">
        <is>
          <t>AK18</t>
        </is>
      </c>
      <c r="C1088" s="40" t="n">
        <v>18</v>
      </c>
      <c r="D1088" s="40" t="inlineStr">
        <is>
          <t>All landing pages</t>
        </is>
      </c>
      <c r="E1088" s="40" t="inlineStr">
        <is>
          <t>Paid Search</t>
        </is>
      </c>
      <c r="F1088" s="40" t="inlineStr">
        <is>
          <t>Mobile</t>
        </is>
      </c>
      <c r="G1088" s="40" t="inlineStr">
        <is>
          <t>Austria</t>
        </is>
      </c>
      <c r="H1088" s="40" t="n">
        <v>12</v>
      </c>
      <c r="I1088" s="40" t="inlineStr">
        <is>
          <t>Begin checkout</t>
        </is>
      </c>
      <c r="J1088" s="40" t="inlineStr">
        <is>
          <t>1-23 August 2025</t>
        </is>
      </c>
      <c r="K1088" s="55" t="n">
        <v>1853</v>
      </c>
      <c r="L1088" s="40" t="inlineStr">
        <is>
          <t>Completeness only</t>
        </is>
      </c>
      <c r="M1088" s="40">
        <f>IF(Countries!AK18="","STILL MISSING","Filled ✓")</f>
        <v/>
      </c>
    </row>
    <row r="1089">
      <c r="A1089" s="56" t="inlineStr">
        <is>
          <t>Countries</t>
        </is>
      </c>
      <c r="B1089" s="56" t="inlineStr">
        <is>
          <t>AL18</t>
        </is>
      </c>
      <c r="C1089" s="56" t="n">
        <v>18</v>
      </c>
      <c r="D1089" s="56" t="inlineStr">
        <is>
          <t>All landing pages</t>
        </is>
      </c>
      <c r="E1089" s="56" t="inlineStr">
        <is>
          <t>Paid Search</t>
        </is>
      </c>
      <c r="F1089" s="56" t="inlineStr">
        <is>
          <t>Mobile</t>
        </is>
      </c>
      <c r="G1089" s="56" t="inlineStr">
        <is>
          <t>Austria</t>
        </is>
      </c>
      <c r="H1089" s="56" t="n">
        <v>12</v>
      </c>
      <c r="I1089" s="56" t="inlineStr">
        <is>
          <t>Begin checkout</t>
        </is>
      </c>
      <c r="J1089" s="56" t="inlineStr">
        <is>
          <t>1-23 August 2026</t>
        </is>
      </c>
      <c r="K1089" s="57" t="n">
        <v>1853</v>
      </c>
      <c r="L1089" s="56" t="inlineStr">
        <is>
          <t>Completeness only</t>
        </is>
      </c>
      <c r="M1089" s="40">
        <f>IF(Countries!AL18="","STILL MISSING","Filled ✓")</f>
        <v/>
      </c>
    </row>
    <row r="1090">
      <c r="A1090" s="40" t="inlineStr">
        <is>
          <t>Countries</t>
        </is>
      </c>
      <c r="B1090" s="40" t="inlineStr">
        <is>
          <t>AD72</t>
        </is>
      </c>
      <c r="C1090" s="40" t="n">
        <v>72</v>
      </c>
      <c r="D1090" s="40" t="inlineStr">
        <is>
          <t>All landing pages</t>
        </is>
      </c>
      <c r="E1090" s="40" t="inlineStr">
        <is>
          <t>Organic</t>
        </is>
      </c>
      <c r="F1090" s="40" t="inlineStr">
        <is>
          <t>Desktop</t>
        </is>
      </c>
      <c r="G1090" s="40" t="inlineStr">
        <is>
          <t>Austria</t>
        </is>
      </c>
      <c r="H1090" s="40" t="n">
        <v>12</v>
      </c>
      <c r="I1090" s="40" t="inlineStr">
        <is>
          <t>Add to cart</t>
        </is>
      </c>
      <c r="J1090" s="40" t="inlineStr">
        <is>
          <t>1-23 August 2025</t>
        </is>
      </c>
      <c r="K1090" s="55" t="n">
        <v>261</v>
      </c>
      <c r="L1090" s="40" t="inlineStr">
        <is>
          <t>Completeness only</t>
        </is>
      </c>
      <c r="M1090" s="40">
        <f>IF(Countries!AD72="","STILL MISSING","Filled ✓")</f>
        <v/>
      </c>
    </row>
    <row r="1091">
      <c r="A1091" s="56" t="inlineStr">
        <is>
          <t>Countries</t>
        </is>
      </c>
      <c r="B1091" s="56" t="inlineStr">
        <is>
          <t>AE72</t>
        </is>
      </c>
      <c r="C1091" s="56" t="n">
        <v>72</v>
      </c>
      <c r="D1091" s="56" t="inlineStr">
        <is>
          <t>All landing pages</t>
        </is>
      </c>
      <c r="E1091" s="56" t="inlineStr">
        <is>
          <t>Organic</t>
        </is>
      </c>
      <c r="F1091" s="56" t="inlineStr">
        <is>
          <t>Desktop</t>
        </is>
      </c>
      <c r="G1091" s="56" t="inlineStr">
        <is>
          <t>Austria</t>
        </is>
      </c>
      <c r="H1091" s="56" t="n">
        <v>12</v>
      </c>
      <c r="I1091" s="56" t="inlineStr">
        <is>
          <t>Add to cart</t>
        </is>
      </c>
      <c r="J1091" s="56" t="inlineStr">
        <is>
          <t>1-23 August 2026</t>
        </is>
      </c>
      <c r="K1091" s="57" t="n">
        <v>261</v>
      </c>
      <c r="L1091" s="56" t="inlineStr">
        <is>
          <t>Completeness only</t>
        </is>
      </c>
      <c r="M1091" s="40">
        <f>IF(Countries!AE72="","STILL MISSING","Filled ✓")</f>
        <v/>
      </c>
    </row>
    <row r="1092">
      <c r="A1092" s="40" t="inlineStr">
        <is>
          <t>Countries</t>
        </is>
      </c>
      <c r="B1092" s="40" t="inlineStr">
        <is>
          <t>AK72</t>
        </is>
      </c>
      <c r="C1092" s="40" t="n">
        <v>72</v>
      </c>
      <c r="D1092" s="40" t="inlineStr">
        <is>
          <t>All landing pages</t>
        </is>
      </c>
      <c r="E1092" s="40" t="inlineStr">
        <is>
          <t>Organic</t>
        </is>
      </c>
      <c r="F1092" s="40" t="inlineStr">
        <is>
          <t>Desktop</t>
        </is>
      </c>
      <c r="G1092" s="40" t="inlineStr">
        <is>
          <t>Austria</t>
        </is>
      </c>
      <c r="H1092" s="40" t="n">
        <v>12</v>
      </c>
      <c r="I1092" s="40" t="inlineStr">
        <is>
          <t>Begin checkout</t>
        </is>
      </c>
      <c r="J1092" s="40" t="inlineStr">
        <is>
          <t>1-23 August 2025</t>
        </is>
      </c>
      <c r="K1092" s="55" t="n">
        <v>261</v>
      </c>
      <c r="L1092" s="40" t="inlineStr">
        <is>
          <t>Completeness only</t>
        </is>
      </c>
      <c r="M1092" s="40">
        <f>IF(Countries!AK72="","STILL MISSING","Filled ✓")</f>
        <v/>
      </c>
    </row>
    <row r="1093">
      <c r="A1093" s="56" t="inlineStr">
        <is>
          <t>Countries</t>
        </is>
      </c>
      <c r="B1093" s="56" t="inlineStr">
        <is>
          <t>AL72</t>
        </is>
      </c>
      <c r="C1093" s="56" t="n">
        <v>72</v>
      </c>
      <c r="D1093" s="56" t="inlineStr">
        <is>
          <t>All landing pages</t>
        </is>
      </c>
      <c r="E1093" s="56" t="inlineStr">
        <is>
          <t>Organic</t>
        </is>
      </c>
      <c r="F1093" s="56" t="inlineStr">
        <is>
          <t>Desktop</t>
        </is>
      </c>
      <c r="G1093" s="56" t="inlineStr">
        <is>
          <t>Austria</t>
        </is>
      </c>
      <c r="H1093" s="56" t="n">
        <v>12</v>
      </c>
      <c r="I1093" s="56" t="inlineStr">
        <is>
          <t>Begin checkout</t>
        </is>
      </c>
      <c r="J1093" s="56" t="inlineStr">
        <is>
          <t>1-23 August 2026</t>
        </is>
      </c>
      <c r="K1093" s="57" t="n">
        <v>261</v>
      </c>
      <c r="L1093" s="56" t="inlineStr">
        <is>
          <t>Completeness only</t>
        </is>
      </c>
      <c r="M1093" s="40">
        <f>IF(Countries!AL72="","STILL MISSING","Filled ✓")</f>
        <v/>
      </c>
    </row>
    <row r="1094">
      <c r="A1094" s="40" t="inlineStr">
        <is>
          <t>Countries</t>
        </is>
      </c>
      <c r="B1094" s="40" t="inlineStr">
        <is>
          <t>AS72</t>
        </is>
      </c>
      <c r="C1094" s="40" t="n">
        <v>72</v>
      </c>
      <c r="D1094" s="40" t="inlineStr">
        <is>
          <t>All landing pages</t>
        </is>
      </c>
      <c r="E1094" s="40" t="inlineStr">
        <is>
          <t>Organic</t>
        </is>
      </c>
      <c r="F1094" s="40" t="inlineStr">
        <is>
          <t>Desktop</t>
        </is>
      </c>
      <c r="G1094" s="40" t="inlineStr">
        <is>
          <t>Austria</t>
        </is>
      </c>
      <c r="H1094" s="40" t="n">
        <v>12</v>
      </c>
      <c r="I1094" s="40" t="inlineStr">
        <is>
          <t>Purchases</t>
        </is>
      </c>
      <c r="J1094" s="40" t="inlineStr">
        <is>
          <t>1-23 August 2026</t>
        </is>
      </c>
      <c r="K1094" s="55" t="n">
        <v>261</v>
      </c>
      <c r="L1094" s="40" t="inlineStr">
        <is>
          <t>Completeness only</t>
        </is>
      </c>
      <c r="M1094" s="40">
        <f>IF(Countries!AS72="","STILL MISSING","Filled ✓")</f>
        <v/>
      </c>
    </row>
    <row r="1095">
      <c r="A1095" s="56" t="inlineStr">
        <is>
          <t>Countries</t>
        </is>
      </c>
      <c r="B1095" s="56" t="inlineStr">
        <is>
          <t>X72</t>
        </is>
      </c>
      <c r="C1095" s="56" t="n">
        <v>72</v>
      </c>
      <c r="D1095" s="56" t="inlineStr">
        <is>
          <t>All landing pages</t>
        </is>
      </c>
      <c r="E1095" s="56" t="inlineStr">
        <is>
          <t>Organic</t>
        </is>
      </c>
      <c r="F1095" s="56" t="inlineStr">
        <is>
          <t>Desktop</t>
        </is>
      </c>
      <c r="G1095" s="56" t="inlineStr">
        <is>
          <t>Austria</t>
        </is>
      </c>
      <c r="H1095" s="56" t="n">
        <v>12</v>
      </c>
      <c r="I1095" s="56" t="inlineStr">
        <is>
          <t>Select item</t>
        </is>
      </c>
      <c r="J1095" s="56" t="inlineStr">
        <is>
          <t>1-23 August 2026</t>
        </is>
      </c>
      <c r="K1095" s="57" t="n">
        <v>261</v>
      </c>
      <c r="L1095" s="56" t="inlineStr">
        <is>
          <t>Completeness only</t>
        </is>
      </c>
      <c r="M1095" s="40">
        <f>IF(Countries!X72="","STILL MISSING","Filled ✓")</f>
        <v/>
      </c>
    </row>
    <row r="1096">
      <c r="A1096" s="40" t="inlineStr">
        <is>
          <t>Countries</t>
        </is>
      </c>
      <c r="B1096" s="40" t="inlineStr">
        <is>
          <t>F72</t>
        </is>
      </c>
      <c r="C1096" s="40" t="n">
        <v>72</v>
      </c>
      <c r="D1096" s="40" t="inlineStr">
        <is>
          <t>All landing pages</t>
        </is>
      </c>
      <c r="E1096" s="40" t="inlineStr">
        <is>
          <t>Organic</t>
        </is>
      </c>
      <c r="F1096" s="40" t="inlineStr">
        <is>
          <t>Desktop</t>
        </is>
      </c>
      <c r="G1096" s="40" t="inlineStr">
        <is>
          <t>Austria</t>
        </is>
      </c>
      <c r="H1096" s="40" t="n">
        <v>12</v>
      </c>
      <c r="I1096" s="40" t="inlineStr">
        <is>
          <t>Sessions</t>
        </is>
      </c>
      <c r="J1096" s="40" t="inlineStr">
        <is>
          <t>1-23 August 2026</t>
        </is>
      </c>
      <c r="K1096" s="55" t="n">
        <v>261</v>
      </c>
      <c r="L1096" s="40" t="inlineStr">
        <is>
          <t>Completeness only</t>
        </is>
      </c>
      <c r="M1096" s="40">
        <f>IF(Countries!F72="","STILL MISSING","Filled ✓")</f>
        <v/>
      </c>
    </row>
    <row r="1097">
      <c r="A1097" s="56" t="inlineStr">
        <is>
          <t>Countries</t>
        </is>
      </c>
      <c r="B1097" s="56" t="inlineStr">
        <is>
          <t>I72</t>
        </is>
      </c>
      <c r="C1097" s="56" t="n">
        <v>72</v>
      </c>
      <c r="D1097" s="56" t="inlineStr">
        <is>
          <t>All landing pages</t>
        </is>
      </c>
      <c r="E1097" s="56" t="inlineStr">
        <is>
          <t>Organic</t>
        </is>
      </c>
      <c r="F1097" s="56" t="inlineStr">
        <is>
          <t>Desktop</t>
        </is>
      </c>
      <c r="G1097" s="56" t="inlineStr">
        <is>
          <t>Austria</t>
        </is>
      </c>
      <c r="H1097" s="56" t="n">
        <v>12</v>
      </c>
      <c r="I1097" s="56" t="inlineStr">
        <is>
          <t>Start Search</t>
        </is>
      </c>
      <c r="J1097" s="56" t="inlineStr">
        <is>
          <t>1-23 August 2025</t>
        </is>
      </c>
      <c r="K1097" s="57" t="n">
        <v>261</v>
      </c>
      <c r="L1097" s="56" t="inlineStr">
        <is>
          <t>Completeness only</t>
        </is>
      </c>
      <c r="M1097" s="40">
        <f>IF(Countries!I72="","STILL MISSING","Filled ✓")</f>
        <v/>
      </c>
    </row>
    <row r="1098">
      <c r="A1098" s="40" t="inlineStr">
        <is>
          <t>Countries</t>
        </is>
      </c>
      <c r="B1098" s="40" t="inlineStr">
        <is>
          <t>J72</t>
        </is>
      </c>
      <c r="C1098" s="40" t="n">
        <v>72</v>
      </c>
      <c r="D1098" s="40" t="inlineStr">
        <is>
          <t>All landing pages</t>
        </is>
      </c>
      <c r="E1098" s="40" t="inlineStr">
        <is>
          <t>Organic</t>
        </is>
      </c>
      <c r="F1098" s="40" t="inlineStr">
        <is>
          <t>Desktop</t>
        </is>
      </c>
      <c r="G1098" s="40" t="inlineStr">
        <is>
          <t>Austria</t>
        </is>
      </c>
      <c r="H1098" s="40" t="n">
        <v>12</v>
      </c>
      <c r="I1098" s="40" t="inlineStr">
        <is>
          <t>Start Search</t>
        </is>
      </c>
      <c r="J1098" s="40" t="inlineStr">
        <is>
          <t>1-23 August 2026</t>
        </is>
      </c>
      <c r="K1098" s="55" t="n">
        <v>261</v>
      </c>
      <c r="L1098" s="40" t="inlineStr">
        <is>
          <t>Completeness only</t>
        </is>
      </c>
      <c r="M1098" s="40">
        <f>IF(Countries!J72="","STILL MISSING","Filled ✓")</f>
        <v/>
      </c>
    </row>
    <row r="1099">
      <c r="A1099" s="56" t="inlineStr">
        <is>
          <t>Countries</t>
        </is>
      </c>
      <c r="B1099" s="56" t="inlineStr">
        <is>
          <t>AD50</t>
        </is>
      </c>
      <c r="C1099" s="56" t="n">
        <v>50</v>
      </c>
      <c r="D1099" s="56" t="inlineStr">
        <is>
          <t>All landing pages</t>
        </is>
      </c>
      <c r="E1099" s="56" t="inlineStr">
        <is>
          <t>Organic</t>
        </is>
      </c>
      <c r="F1099" s="56" t="inlineStr">
        <is>
          <t>Mobile</t>
        </is>
      </c>
      <c r="G1099" s="56" t="inlineStr">
        <is>
          <t>Austria</t>
        </is>
      </c>
      <c r="H1099" s="56" t="n">
        <v>12</v>
      </c>
      <c r="I1099" s="56" t="inlineStr">
        <is>
          <t>Add to cart</t>
        </is>
      </c>
      <c r="J1099" s="56" t="inlineStr">
        <is>
          <t>1-23 August 2025</t>
        </is>
      </c>
      <c r="K1099" s="57" t="n">
        <v>682</v>
      </c>
      <c r="L1099" s="56" t="inlineStr">
        <is>
          <t>Completeness only</t>
        </is>
      </c>
      <c r="M1099" s="40">
        <f>IF(Countries!AD50="","STILL MISSING","Filled ✓")</f>
        <v/>
      </c>
    </row>
    <row r="1100">
      <c r="A1100" s="40" t="inlineStr">
        <is>
          <t>Countries</t>
        </is>
      </c>
      <c r="B1100" s="40" t="inlineStr">
        <is>
          <t>AE50</t>
        </is>
      </c>
      <c r="C1100" s="40" t="n">
        <v>50</v>
      </c>
      <c r="D1100" s="40" t="inlineStr">
        <is>
          <t>All landing pages</t>
        </is>
      </c>
      <c r="E1100" s="40" t="inlineStr">
        <is>
          <t>Organic</t>
        </is>
      </c>
      <c r="F1100" s="40" t="inlineStr">
        <is>
          <t>Mobile</t>
        </is>
      </c>
      <c r="G1100" s="40" t="inlineStr">
        <is>
          <t>Austria</t>
        </is>
      </c>
      <c r="H1100" s="40" t="n">
        <v>12</v>
      </c>
      <c r="I1100" s="40" t="inlineStr">
        <is>
          <t>Add to cart</t>
        </is>
      </c>
      <c r="J1100" s="40" t="inlineStr">
        <is>
          <t>1-23 August 2026</t>
        </is>
      </c>
      <c r="K1100" s="55" t="n">
        <v>682</v>
      </c>
      <c r="L1100" s="40" t="inlineStr">
        <is>
          <t>Completeness only</t>
        </is>
      </c>
      <c r="M1100" s="40">
        <f>IF(Countries!AE50="","STILL MISSING","Filled ✓")</f>
        <v/>
      </c>
    </row>
    <row r="1101">
      <c r="A1101" s="56" t="inlineStr">
        <is>
          <t>Countries</t>
        </is>
      </c>
      <c r="B1101" s="56" t="inlineStr">
        <is>
          <t>AK50</t>
        </is>
      </c>
      <c r="C1101" s="56" t="n">
        <v>50</v>
      </c>
      <c r="D1101" s="56" t="inlineStr">
        <is>
          <t>All landing pages</t>
        </is>
      </c>
      <c r="E1101" s="56" t="inlineStr">
        <is>
          <t>Organic</t>
        </is>
      </c>
      <c r="F1101" s="56" t="inlineStr">
        <is>
          <t>Mobile</t>
        </is>
      </c>
      <c r="G1101" s="56" t="inlineStr">
        <is>
          <t>Austria</t>
        </is>
      </c>
      <c r="H1101" s="56" t="n">
        <v>12</v>
      </c>
      <c r="I1101" s="56" t="inlineStr">
        <is>
          <t>Begin checkout</t>
        </is>
      </c>
      <c r="J1101" s="56" t="inlineStr">
        <is>
          <t>1-23 August 2025</t>
        </is>
      </c>
      <c r="K1101" s="57" t="n">
        <v>682</v>
      </c>
      <c r="L1101" s="56" t="inlineStr">
        <is>
          <t>Completeness only</t>
        </is>
      </c>
      <c r="M1101" s="40">
        <f>IF(Countries!AK50="","STILL MISSING","Filled ✓")</f>
        <v/>
      </c>
    </row>
    <row r="1102">
      <c r="A1102" s="40" t="inlineStr">
        <is>
          <t>Countries</t>
        </is>
      </c>
      <c r="B1102" s="40" t="inlineStr">
        <is>
          <t>AL50</t>
        </is>
      </c>
      <c r="C1102" s="40" t="n">
        <v>50</v>
      </c>
      <c r="D1102" s="40" t="inlineStr">
        <is>
          <t>All landing pages</t>
        </is>
      </c>
      <c r="E1102" s="40" t="inlineStr">
        <is>
          <t>Organic</t>
        </is>
      </c>
      <c r="F1102" s="40" t="inlineStr">
        <is>
          <t>Mobile</t>
        </is>
      </c>
      <c r="G1102" s="40" t="inlineStr">
        <is>
          <t>Austria</t>
        </is>
      </c>
      <c r="H1102" s="40" t="n">
        <v>12</v>
      </c>
      <c r="I1102" s="40" t="inlineStr">
        <is>
          <t>Begin checkout</t>
        </is>
      </c>
      <c r="J1102" s="40" t="inlineStr">
        <is>
          <t>1-23 August 2026</t>
        </is>
      </c>
      <c r="K1102" s="55" t="n">
        <v>682</v>
      </c>
      <c r="L1102" s="40" t="inlineStr">
        <is>
          <t>Completeness only</t>
        </is>
      </c>
      <c r="M1102" s="40">
        <f>IF(Countries!AL50="","STILL MISSING","Filled ✓")</f>
        <v/>
      </c>
    </row>
    <row r="1103">
      <c r="A1103" s="56" t="inlineStr">
        <is>
          <t>Countries</t>
        </is>
      </c>
      <c r="B1103" s="56" t="inlineStr">
        <is>
          <t>AR50</t>
        </is>
      </c>
      <c r="C1103" s="56" t="n">
        <v>50</v>
      </c>
      <c r="D1103" s="56" t="inlineStr">
        <is>
          <t>All landing pages</t>
        </is>
      </c>
      <c r="E1103" s="56" t="inlineStr">
        <is>
          <t>Organic</t>
        </is>
      </c>
      <c r="F1103" s="56" t="inlineStr">
        <is>
          <t>Mobile</t>
        </is>
      </c>
      <c r="G1103" s="56" t="inlineStr">
        <is>
          <t>Austria</t>
        </is>
      </c>
      <c r="H1103" s="56" t="n">
        <v>12</v>
      </c>
      <c r="I1103" s="56" t="inlineStr">
        <is>
          <t>Purchases</t>
        </is>
      </c>
      <c r="J1103" s="56" t="inlineStr">
        <is>
          <t>1-23 August 2025</t>
        </is>
      </c>
      <c r="K1103" s="57" t="n">
        <v>682</v>
      </c>
      <c r="L1103" s="56" t="inlineStr">
        <is>
          <t>Completeness only</t>
        </is>
      </c>
      <c r="M1103" s="40">
        <f>IF(Countries!AR50="","STILL MISSING","Filled ✓")</f>
        <v/>
      </c>
    </row>
    <row r="1104">
      <c r="A1104" s="40" t="inlineStr">
        <is>
          <t>Countries</t>
        </is>
      </c>
      <c r="B1104" s="40" t="inlineStr">
        <is>
          <t>P50</t>
        </is>
      </c>
      <c r="C1104" s="40" t="n">
        <v>50</v>
      </c>
      <c r="D1104" s="40" t="inlineStr">
        <is>
          <t>All landing pages</t>
        </is>
      </c>
      <c r="E1104" s="40" t="inlineStr">
        <is>
          <t>Organic</t>
        </is>
      </c>
      <c r="F1104" s="40" t="inlineStr">
        <is>
          <t>Mobile</t>
        </is>
      </c>
      <c r="G1104" s="40" t="inlineStr">
        <is>
          <t>Austria</t>
        </is>
      </c>
      <c r="H1104" s="40" t="n">
        <v>12</v>
      </c>
      <c r="I1104" s="40" t="inlineStr">
        <is>
          <t>Searches</t>
        </is>
      </c>
      <c r="J1104" s="40" t="inlineStr">
        <is>
          <t>1-23 August 2025</t>
        </is>
      </c>
      <c r="K1104" s="55" t="n">
        <v>682</v>
      </c>
      <c r="L1104" s="40" t="inlineStr">
        <is>
          <t>Completeness only</t>
        </is>
      </c>
      <c r="M1104" s="40">
        <f>IF(Countries!P50="","STILL MISSING","Filled ✓")</f>
        <v/>
      </c>
    </row>
    <row r="1105">
      <c r="A1105" s="56" t="inlineStr">
        <is>
          <t>Countries</t>
        </is>
      </c>
      <c r="B1105" s="56" t="inlineStr">
        <is>
          <t>W50</t>
        </is>
      </c>
      <c r="C1105" s="56" t="n">
        <v>50</v>
      </c>
      <c r="D1105" s="56" t="inlineStr">
        <is>
          <t>All landing pages</t>
        </is>
      </c>
      <c r="E1105" s="56" t="inlineStr">
        <is>
          <t>Organic</t>
        </is>
      </c>
      <c r="F1105" s="56" t="inlineStr">
        <is>
          <t>Mobile</t>
        </is>
      </c>
      <c r="G1105" s="56" t="inlineStr">
        <is>
          <t>Austria</t>
        </is>
      </c>
      <c r="H1105" s="56" t="n">
        <v>12</v>
      </c>
      <c r="I1105" s="56" t="inlineStr">
        <is>
          <t>Select item</t>
        </is>
      </c>
      <c r="J1105" s="56" t="inlineStr">
        <is>
          <t>1-23 August 2025</t>
        </is>
      </c>
      <c r="K1105" s="57" t="n">
        <v>682</v>
      </c>
      <c r="L1105" s="56" t="inlineStr">
        <is>
          <t>Completeness only</t>
        </is>
      </c>
      <c r="M1105" s="40">
        <f>IF(Countries!W50="","STILL MISSING","Filled ✓")</f>
        <v/>
      </c>
    </row>
    <row r="1106">
      <c r="A1106" s="40" t="inlineStr">
        <is>
          <t>Countries</t>
        </is>
      </c>
      <c r="B1106" s="40" t="inlineStr">
        <is>
          <t>X50</t>
        </is>
      </c>
      <c r="C1106" s="40" t="n">
        <v>50</v>
      </c>
      <c r="D1106" s="40" t="inlineStr">
        <is>
          <t>All landing pages</t>
        </is>
      </c>
      <c r="E1106" s="40" t="inlineStr">
        <is>
          <t>Organic</t>
        </is>
      </c>
      <c r="F1106" s="40" t="inlineStr">
        <is>
          <t>Mobile</t>
        </is>
      </c>
      <c r="G1106" s="40" t="inlineStr">
        <is>
          <t>Austria</t>
        </is>
      </c>
      <c r="H1106" s="40" t="n">
        <v>12</v>
      </c>
      <c r="I1106" s="40" t="inlineStr">
        <is>
          <t>Select item</t>
        </is>
      </c>
      <c r="J1106" s="40" t="inlineStr">
        <is>
          <t>1-23 August 2026</t>
        </is>
      </c>
      <c r="K1106" s="55" t="n">
        <v>682</v>
      </c>
      <c r="L1106" s="40" t="inlineStr">
        <is>
          <t>Completeness only</t>
        </is>
      </c>
      <c r="M1106" s="40">
        <f>IF(Countries!X50="","STILL MISSING","Filled ✓")</f>
        <v/>
      </c>
    </row>
    <row r="1107">
      <c r="A1107" s="56" t="inlineStr">
        <is>
          <t>Countries</t>
        </is>
      </c>
      <c r="B1107" s="56" t="inlineStr">
        <is>
          <t>I50</t>
        </is>
      </c>
      <c r="C1107" s="56" t="n">
        <v>50</v>
      </c>
      <c r="D1107" s="56" t="inlineStr">
        <is>
          <t>All landing pages</t>
        </is>
      </c>
      <c r="E1107" s="56" t="inlineStr">
        <is>
          <t>Organic</t>
        </is>
      </c>
      <c r="F1107" s="56" t="inlineStr">
        <is>
          <t>Mobile</t>
        </is>
      </c>
      <c r="G1107" s="56" t="inlineStr">
        <is>
          <t>Austria</t>
        </is>
      </c>
      <c r="H1107" s="56" t="n">
        <v>12</v>
      </c>
      <c r="I1107" s="56" t="inlineStr">
        <is>
          <t>Start Search</t>
        </is>
      </c>
      <c r="J1107" s="56" t="inlineStr">
        <is>
          <t>1-23 August 2025</t>
        </is>
      </c>
      <c r="K1107" s="57" t="n">
        <v>682</v>
      </c>
      <c r="L1107" s="56" t="inlineStr">
        <is>
          <t>Completeness only</t>
        </is>
      </c>
      <c r="M1107" s="40">
        <f>IF(Countries!I50="","STILL MISSING","Filled ✓")</f>
        <v/>
      </c>
    </row>
    <row r="1108">
      <c r="A1108" s="40" t="inlineStr">
        <is>
          <t>Countries</t>
        </is>
      </c>
      <c r="B1108" s="40" t="inlineStr">
        <is>
          <t>AD105</t>
        </is>
      </c>
      <c r="C1108" s="40" t="n">
        <v>105</v>
      </c>
      <c r="D1108" s="40" t="inlineStr">
        <is>
          <t>All landing pages</t>
        </is>
      </c>
      <c r="E1108" s="40" t="inlineStr">
        <is>
          <t>Direct</t>
        </is>
      </c>
      <c r="F1108" s="40" t="inlineStr">
        <is>
          <t>Desktop</t>
        </is>
      </c>
      <c r="G1108" s="40" t="inlineStr">
        <is>
          <t>Austria</t>
        </is>
      </c>
      <c r="H1108" s="40" t="n">
        <v>12</v>
      </c>
      <c r="I1108" s="40" t="inlineStr">
        <is>
          <t>Add to cart</t>
        </is>
      </c>
      <c r="J1108" s="40" t="inlineStr">
        <is>
          <t>1-23 August 2025</t>
        </is>
      </c>
      <c r="K1108" s="55" t="n">
        <v>390</v>
      </c>
      <c r="L1108" s="40" t="inlineStr">
        <is>
          <t>Completeness only</t>
        </is>
      </c>
      <c r="M1108" s="40">
        <f>IF(Countries!AD105="","STILL MISSING","Filled ✓")</f>
        <v/>
      </c>
    </row>
    <row r="1109">
      <c r="A1109" s="56" t="inlineStr">
        <is>
          <t>Countries</t>
        </is>
      </c>
      <c r="B1109" s="56" t="inlineStr">
        <is>
          <t>AE105</t>
        </is>
      </c>
      <c r="C1109" s="56" t="n">
        <v>105</v>
      </c>
      <c r="D1109" s="56" t="inlineStr">
        <is>
          <t>All landing pages</t>
        </is>
      </c>
      <c r="E1109" s="56" t="inlineStr">
        <is>
          <t>Direct</t>
        </is>
      </c>
      <c r="F1109" s="56" t="inlineStr">
        <is>
          <t>Desktop</t>
        </is>
      </c>
      <c r="G1109" s="56" t="inlineStr">
        <is>
          <t>Austria</t>
        </is>
      </c>
      <c r="H1109" s="56" t="n">
        <v>12</v>
      </c>
      <c r="I1109" s="56" t="inlineStr">
        <is>
          <t>Add to cart</t>
        </is>
      </c>
      <c r="J1109" s="56" t="inlineStr">
        <is>
          <t>1-23 August 2026</t>
        </is>
      </c>
      <c r="K1109" s="57" t="n">
        <v>390</v>
      </c>
      <c r="L1109" s="56" t="inlineStr">
        <is>
          <t>Completeness only</t>
        </is>
      </c>
      <c r="M1109" s="40">
        <f>IF(Countries!AE105="","STILL MISSING","Filled ✓")</f>
        <v/>
      </c>
    </row>
    <row r="1110">
      <c r="A1110" s="40" t="inlineStr">
        <is>
          <t>Countries</t>
        </is>
      </c>
      <c r="B1110" s="40" t="inlineStr">
        <is>
          <t>AK105</t>
        </is>
      </c>
      <c r="C1110" s="40" t="n">
        <v>105</v>
      </c>
      <c r="D1110" s="40" t="inlineStr">
        <is>
          <t>All landing pages</t>
        </is>
      </c>
      <c r="E1110" s="40" t="inlineStr">
        <is>
          <t>Direct</t>
        </is>
      </c>
      <c r="F1110" s="40" t="inlineStr">
        <is>
          <t>Desktop</t>
        </is>
      </c>
      <c r="G1110" s="40" t="inlineStr">
        <is>
          <t>Austria</t>
        </is>
      </c>
      <c r="H1110" s="40" t="n">
        <v>12</v>
      </c>
      <c r="I1110" s="40" t="inlineStr">
        <is>
          <t>Begin checkout</t>
        </is>
      </c>
      <c r="J1110" s="40" t="inlineStr">
        <is>
          <t>1-23 August 2025</t>
        </is>
      </c>
      <c r="K1110" s="55" t="n">
        <v>390</v>
      </c>
      <c r="L1110" s="40" t="inlineStr">
        <is>
          <t>Completeness only</t>
        </is>
      </c>
      <c r="M1110" s="40">
        <f>IF(Countries!AK105="","STILL MISSING","Filled ✓")</f>
        <v/>
      </c>
    </row>
    <row r="1111">
      <c r="A1111" s="56" t="inlineStr">
        <is>
          <t>Countries</t>
        </is>
      </c>
      <c r="B1111" s="56" t="inlineStr">
        <is>
          <t>AL105</t>
        </is>
      </c>
      <c r="C1111" s="56" t="n">
        <v>105</v>
      </c>
      <c r="D1111" s="56" t="inlineStr">
        <is>
          <t>All landing pages</t>
        </is>
      </c>
      <c r="E1111" s="56" t="inlineStr">
        <is>
          <t>Direct</t>
        </is>
      </c>
      <c r="F1111" s="56" t="inlineStr">
        <is>
          <t>Desktop</t>
        </is>
      </c>
      <c r="G1111" s="56" t="inlineStr">
        <is>
          <t>Austria</t>
        </is>
      </c>
      <c r="H1111" s="56" t="n">
        <v>12</v>
      </c>
      <c r="I1111" s="56" t="inlineStr">
        <is>
          <t>Begin checkout</t>
        </is>
      </c>
      <c r="J1111" s="56" t="inlineStr">
        <is>
          <t>1-23 August 2026</t>
        </is>
      </c>
      <c r="K1111" s="57" t="n">
        <v>390</v>
      </c>
      <c r="L1111" s="56" t="inlineStr">
        <is>
          <t>Completeness only</t>
        </is>
      </c>
      <c r="M1111" s="40">
        <f>IF(Countries!AL105="","STILL MISSING","Filled ✓")</f>
        <v/>
      </c>
    </row>
    <row r="1112">
      <c r="A1112" s="40" t="inlineStr">
        <is>
          <t>Countries</t>
        </is>
      </c>
      <c r="B1112" s="40" t="inlineStr">
        <is>
          <t>AR105</t>
        </is>
      </c>
      <c r="C1112" s="40" t="n">
        <v>105</v>
      </c>
      <c r="D1112" s="40" t="inlineStr">
        <is>
          <t>All landing pages</t>
        </is>
      </c>
      <c r="E1112" s="40" t="inlineStr">
        <is>
          <t>Direct</t>
        </is>
      </c>
      <c r="F1112" s="40" t="inlineStr">
        <is>
          <t>Desktop</t>
        </is>
      </c>
      <c r="G1112" s="40" t="inlineStr">
        <is>
          <t>Austria</t>
        </is>
      </c>
      <c r="H1112" s="40" t="n">
        <v>12</v>
      </c>
      <c r="I1112" s="40" t="inlineStr">
        <is>
          <t>Purchases</t>
        </is>
      </c>
      <c r="J1112" s="40" t="inlineStr">
        <is>
          <t>1-23 August 2025</t>
        </is>
      </c>
      <c r="K1112" s="55" t="n">
        <v>390</v>
      </c>
      <c r="L1112" s="40" t="inlineStr">
        <is>
          <t>Completeness only</t>
        </is>
      </c>
      <c r="M1112" s="40">
        <f>IF(Countries!AR105="","STILL MISSING","Filled ✓")</f>
        <v/>
      </c>
    </row>
    <row r="1113">
      <c r="A1113" s="56" t="inlineStr">
        <is>
          <t>Countries</t>
        </is>
      </c>
      <c r="B1113" s="56" t="inlineStr">
        <is>
          <t>W105</t>
        </is>
      </c>
      <c r="C1113" s="56" t="n">
        <v>105</v>
      </c>
      <c r="D1113" s="56" t="inlineStr">
        <is>
          <t>All landing pages</t>
        </is>
      </c>
      <c r="E1113" s="56" t="inlineStr">
        <is>
          <t>Direct</t>
        </is>
      </c>
      <c r="F1113" s="56" t="inlineStr">
        <is>
          <t>Desktop</t>
        </is>
      </c>
      <c r="G1113" s="56" t="inlineStr">
        <is>
          <t>Austria</t>
        </is>
      </c>
      <c r="H1113" s="56" t="n">
        <v>12</v>
      </c>
      <c r="I1113" s="56" t="inlineStr">
        <is>
          <t>Select item</t>
        </is>
      </c>
      <c r="J1113" s="56" t="inlineStr">
        <is>
          <t>1-23 August 2025</t>
        </is>
      </c>
      <c r="K1113" s="57" t="n">
        <v>390</v>
      </c>
      <c r="L1113" s="56" t="inlineStr">
        <is>
          <t>Completeness only</t>
        </is>
      </c>
      <c r="M1113" s="40">
        <f>IF(Countries!W105="","STILL MISSING","Filled ✓")</f>
        <v/>
      </c>
    </row>
    <row r="1114">
      <c r="A1114" s="40" t="inlineStr">
        <is>
          <t>Countries</t>
        </is>
      </c>
      <c r="B1114" s="40" t="inlineStr">
        <is>
          <t>I105</t>
        </is>
      </c>
      <c r="C1114" s="40" t="n">
        <v>105</v>
      </c>
      <c r="D1114" s="40" t="inlineStr">
        <is>
          <t>All landing pages</t>
        </is>
      </c>
      <c r="E1114" s="40" t="inlineStr">
        <is>
          <t>Direct</t>
        </is>
      </c>
      <c r="F1114" s="40" t="inlineStr">
        <is>
          <t>Desktop</t>
        </is>
      </c>
      <c r="G1114" s="40" t="inlineStr">
        <is>
          <t>Austria</t>
        </is>
      </c>
      <c r="H1114" s="40" t="n">
        <v>12</v>
      </c>
      <c r="I1114" s="40" t="inlineStr">
        <is>
          <t>Start Search</t>
        </is>
      </c>
      <c r="J1114" s="40" t="inlineStr">
        <is>
          <t>1-23 August 2025</t>
        </is>
      </c>
      <c r="K1114" s="55" t="n">
        <v>390</v>
      </c>
      <c r="L1114" s="40" t="inlineStr">
        <is>
          <t>Completeness only</t>
        </is>
      </c>
      <c r="M1114" s="40">
        <f>IF(Countries!I105="","STILL MISSING","Filled ✓")</f>
        <v/>
      </c>
    </row>
    <row r="1115">
      <c r="A1115" s="56" t="inlineStr">
        <is>
          <t>Countries</t>
        </is>
      </c>
      <c r="B1115" s="56" t="inlineStr">
        <is>
          <t>AD90</t>
        </is>
      </c>
      <c r="C1115" s="56" t="n">
        <v>90</v>
      </c>
      <c r="D1115" s="56" t="inlineStr">
        <is>
          <t>All landing pages</t>
        </is>
      </c>
      <c r="E1115" s="56" t="inlineStr">
        <is>
          <t>Direct</t>
        </is>
      </c>
      <c r="F1115" s="56" t="inlineStr">
        <is>
          <t>Mobile</t>
        </is>
      </c>
      <c r="G1115" s="56" t="inlineStr">
        <is>
          <t>Austria</t>
        </is>
      </c>
      <c r="H1115" s="56" t="n">
        <v>12</v>
      </c>
      <c r="I1115" s="56" t="inlineStr">
        <is>
          <t>Add to cart</t>
        </is>
      </c>
      <c r="J1115" s="56" t="inlineStr">
        <is>
          <t>1-23 August 2025</t>
        </is>
      </c>
      <c r="K1115" s="57" t="n">
        <v>97</v>
      </c>
      <c r="L1115" s="56" t="inlineStr">
        <is>
          <t>Completeness only</t>
        </is>
      </c>
      <c r="M1115" s="40">
        <f>IF(Countries!AD90="","STILL MISSING","Filled ✓")</f>
        <v/>
      </c>
    </row>
    <row r="1116">
      <c r="A1116" s="40" t="inlineStr">
        <is>
          <t>Countries</t>
        </is>
      </c>
      <c r="B1116" s="40" t="inlineStr">
        <is>
          <t>AE90</t>
        </is>
      </c>
      <c r="C1116" s="40" t="n">
        <v>90</v>
      </c>
      <c r="D1116" s="40" t="inlineStr">
        <is>
          <t>All landing pages</t>
        </is>
      </c>
      <c r="E1116" s="40" t="inlineStr">
        <is>
          <t>Direct</t>
        </is>
      </c>
      <c r="F1116" s="40" t="inlineStr">
        <is>
          <t>Mobile</t>
        </is>
      </c>
      <c r="G1116" s="40" t="inlineStr">
        <is>
          <t>Austria</t>
        </is>
      </c>
      <c r="H1116" s="40" t="n">
        <v>12</v>
      </c>
      <c r="I1116" s="40" t="inlineStr">
        <is>
          <t>Add to cart</t>
        </is>
      </c>
      <c r="J1116" s="40" t="inlineStr">
        <is>
          <t>1-23 August 2026</t>
        </is>
      </c>
      <c r="K1116" s="55" t="n">
        <v>97</v>
      </c>
      <c r="L1116" s="40" t="inlineStr">
        <is>
          <t>Completeness only</t>
        </is>
      </c>
      <c r="M1116" s="40">
        <f>IF(Countries!AE90="","STILL MISSING","Filled ✓")</f>
        <v/>
      </c>
    </row>
    <row r="1117">
      <c r="A1117" s="56" t="inlineStr">
        <is>
          <t>Countries</t>
        </is>
      </c>
      <c r="B1117" s="56" t="inlineStr">
        <is>
          <t>AK90</t>
        </is>
      </c>
      <c r="C1117" s="56" t="n">
        <v>90</v>
      </c>
      <c r="D1117" s="56" t="inlineStr">
        <is>
          <t>All landing pages</t>
        </is>
      </c>
      <c r="E1117" s="56" t="inlineStr">
        <is>
          <t>Direct</t>
        </is>
      </c>
      <c r="F1117" s="56" t="inlineStr">
        <is>
          <t>Mobile</t>
        </is>
      </c>
      <c r="G1117" s="56" t="inlineStr">
        <is>
          <t>Austria</t>
        </is>
      </c>
      <c r="H1117" s="56" t="n">
        <v>12</v>
      </c>
      <c r="I1117" s="56" t="inlineStr">
        <is>
          <t>Begin checkout</t>
        </is>
      </c>
      <c r="J1117" s="56" t="inlineStr">
        <is>
          <t>1-23 August 2025</t>
        </is>
      </c>
      <c r="K1117" s="57" t="n">
        <v>97</v>
      </c>
      <c r="L1117" s="56" t="inlineStr">
        <is>
          <t>Completeness only</t>
        </is>
      </c>
      <c r="M1117" s="40">
        <f>IF(Countries!AK90="","STILL MISSING","Filled ✓")</f>
        <v/>
      </c>
    </row>
    <row r="1118">
      <c r="A1118" s="40" t="inlineStr">
        <is>
          <t>Countries</t>
        </is>
      </c>
      <c r="B1118" s="40" t="inlineStr">
        <is>
          <t>AL90</t>
        </is>
      </c>
      <c r="C1118" s="40" t="n">
        <v>90</v>
      </c>
      <c r="D1118" s="40" t="inlineStr">
        <is>
          <t>All landing pages</t>
        </is>
      </c>
      <c r="E1118" s="40" t="inlineStr">
        <is>
          <t>Direct</t>
        </is>
      </c>
      <c r="F1118" s="40" t="inlineStr">
        <is>
          <t>Mobile</t>
        </is>
      </c>
      <c r="G1118" s="40" t="inlineStr">
        <is>
          <t>Austria</t>
        </is>
      </c>
      <c r="H1118" s="40" t="n">
        <v>12</v>
      </c>
      <c r="I1118" s="40" t="inlineStr">
        <is>
          <t>Begin checkout</t>
        </is>
      </c>
      <c r="J1118" s="40" t="inlineStr">
        <is>
          <t>1-23 August 2026</t>
        </is>
      </c>
      <c r="K1118" s="55" t="n">
        <v>97</v>
      </c>
      <c r="L1118" s="40" t="inlineStr">
        <is>
          <t>Completeness only</t>
        </is>
      </c>
      <c r="M1118" s="40">
        <f>IF(Countries!AL90="","STILL MISSING","Filled ✓")</f>
        <v/>
      </c>
    </row>
    <row r="1119">
      <c r="A1119" s="56" t="inlineStr">
        <is>
          <t>Countries</t>
        </is>
      </c>
      <c r="B1119" s="56" t="inlineStr">
        <is>
          <t>AR90</t>
        </is>
      </c>
      <c r="C1119" s="56" t="n">
        <v>90</v>
      </c>
      <c r="D1119" s="56" t="inlineStr">
        <is>
          <t>All landing pages</t>
        </is>
      </c>
      <c r="E1119" s="56" t="inlineStr">
        <is>
          <t>Direct</t>
        </is>
      </c>
      <c r="F1119" s="56" t="inlineStr">
        <is>
          <t>Mobile</t>
        </is>
      </c>
      <c r="G1119" s="56" t="inlineStr">
        <is>
          <t>Austria</t>
        </is>
      </c>
      <c r="H1119" s="56" t="n">
        <v>12</v>
      </c>
      <c r="I1119" s="56" t="inlineStr">
        <is>
          <t>Purchases</t>
        </is>
      </c>
      <c r="J1119" s="56" t="inlineStr">
        <is>
          <t>1-23 August 2025</t>
        </is>
      </c>
      <c r="K1119" s="57" t="n">
        <v>97</v>
      </c>
      <c r="L1119" s="56" t="inlineStr">
        <is>
          <t>Completeness only</t>
        </is>
      </c>
      <c r="M1119" s="40">
        <f>IF(Countries!AR90="","STILL MISSING","Filled ✓")</f>
        <v/>
      </c>
    </row>
    <row r="1120">
      <c r="A1120" s="40" t="inlineStr">
        <is>
          <t>Countries</t>
        </is>
      </c>
      <c r="B1120" s="40" t="inlineStr">
        <is>
          <t>W90</t>
        </is>
      </c>
      <c r="C1120" s="40" t="n">
        <v>90</v>
      </c>
      <c r="D1120" s="40" t="inlineStr">
        <is>
          <t>All landing pages</t>
        </is>
      </c>
      <c r="E1120" s="40" t="inlineStr">
        <is>
          <t>Direct</t>
        </is>
      </c>
      <c r="F1120" s="40" t="inlineStr">
        <is>
          <t>Mobile</t>
        </is>
      </c>
      <c r="G1120" s="40" t="inlineStr">
        <is>
          <t>Austria</t>
        </is>
      </c>
      <c r="H1120" s="40" t="n">
        <v>12</v>
      </c>
      <c r="I1120" s="40" t="inlineStr">
        <is>
          <t>Select item</t>
        </is>
      </c>
      <c r="J1120" s="40" t="inlineStr">
        <is>
          <t>1-23 August 2025</t>
        </is>
      </c>
      <c r="K1120" s="55" t="n">
        <v>97</v>
      </c>
      <c r="L1120" s="40" t="inlineStr">
        <is>
          <t>Completeness only</t>
        </is>
      </c>
      <c r="M1120" s="40">
        <f>IF(Countries!W90="","STILL MISSING","Filled ✓")</f>
        <v/>
      </c>
    </row>
    <row r="1121">
      <c r="A1121" s="56" t="inlineStr">
        <is>
          <t>Countries</t>
        </is>
      </c>
      <c r="B1121" s="56" t="inlineStr">
        <is>
          <t>E90</t>
        </is>
      </c>
      <c r="C1121" s="56" t="n">
        <v>90</v>
      </c>
      <c r="D1121" s="56" t="inlineStr">
        <is>
          <t>All landing pages</t>
        </is>
      </c>
      <c r="E1121" s="56" t="inlineStr">
        <is>
          <t>Direct</t>
        </is>
      </c>
      <c r="F1121" s="56" t="inlineStr">
        <is>
          <t>Mobile</t>
        </is>
      </c>
      <c r="G1121" s="56" t="inlineStr">
        <is>
          <t>Austria</t>
        </is>
      </c>
      <c r="H1121" s="56" t="n">
        <v>12</v>
      </c>
      <c r="I1121" s="56" t="inlineStr">
        <is>
          <t>Sessions</t>
        </is>
      </c>
      <c r="J1121" s="56" t="inlineStr">
        <is>
          <t>1-23 August 2025</t>
        </is>
      </c>
      <c r="K1121" s="57" t="n">
        <v>97</v>
      </c>
      <c r="L1121" s="56" t="inlineStr">
        <is>
          <t>Completeness only</t>
        </is>
      </c>
      <c r="M1121" s="40">
        <f>IF(Countries!E90="","STILL MISSING","Filled ✓")</f>
        <v/>
      </c>
    </row>
    <row r="1122">
      <c r="A1122" s="40" t="inlineStr">
        <is>
          <t>Countries</t>
        </is>
      </c>
      <c r="B1122" s="40" t="inlineStr">
        <is>
          <t>I90</t>
        </is>
      </c>
      <c r="C1122" s="40" t="n">
        <v>90</v>
      </c>
      <c r="D1122" s="40" t="inlineStr">
        <is>
          <t>All landing pages</t>
        </is>
      </c>
      <c r="E1122" s="40" t="inlineStr">
        <is>
          <t>Direct</t>
        </is>
      </c>
      <c r="F1122" s="40" t="inlineStr">
        <is>
          <t>Mobile</t>
        </is>
      </c>
      <c r="G1122" s="40" t="inlineStr">
        <is>
          <t>Austria</t>
        </is>
      </c>
      <c r="H1122" s="40" t="n">
        <v>12</v>
      </c>
      <c r="I1122" s="40" t="inlineStr">
        <is>
          <t>Start Search</t>
        </is>
      </c>
      <c r="J1122" s="40" t="inlineStr">
        <is>
          <t>1-23 August 2025</t>
        </is>
      </c>
      <c r="K1122" s="55" t="n">
        <v>97</v>
      </c>
      <c r="L1122" s="40" t="inlineStr">
        <is>
          <t>Completeness only</t>
        </is>
      </c>
      <c r="M1122" s="40">
        <f>IF(Countries!I90="","STILL MISSING","Filled ✓")</f>
        <v/>
      </c>
    </row>
    <row r="1123">
      <c r="A1123" s="56" t="inlineStr">
        <is>
          <t>Countries</t>
        </is>
      </c>
      <c r="B1123" s="56" t="inlineStr">
        <is>
          <t>J90</t>
        </is>
      </c>
      <c r="C1123" s="56" t="n">
        <v>90</v>
      </c>
      <c r="D1123" s="56" t="inlineStr">
        <is>
          <t>All landing pages</t>
        </is>
      </c>
      <c r="E1123" s="56" t="inlineStr">
        <is>
          <t>Direct</t>
        </is>
      </c>
      <c r="F1123" s="56" t="inlineStr">
        <is>
          <t>Mobile</t>
        </is>
      </c>
      <c r="G1123" s="56" t="inlineStr">
        <is>
          <t>Austria</t>
        </is>
      </c>
      <c r="H1123" s="56" t="n">
        <v>12</v>
      </c>
      <c r="I1123" s="56" t="inlineStr">
        <is>
          <t>Start Search</t>
        </is>
      </c>
      <c r="J1123" s="56" t="inlineStr">
        <is>
          <t>1-23 August 2026</t>
        </is>
      </c>
      <c r="K1123" s="57" t="n">
        <v>97</v>
      </c>
      <c r="L1123" s="56" t="inlineStr">
        <is>
          <t>Completeness only</t>
        </is>
      </c>
      <c r="M1123" s="40">
        <f>IF(Countries!J90="","STILL MISSING","Filled ✓")</f>
        <v/>
      </c>
    </row>
    <row r="1124">
      <c r="A1124" s="40" t="inlineStr">
        <is>
          <t>Countries</t>
        </is>
      </c>
      <c r="B1124" s="40" t="inlineStr">
        <is>
          <t>AD126</t>
        </is>
      </c>
      <c r="C1124" s="40" t="n">
        <v>126</v>
      </c>
      <c r="D1124" s="40" t="inlineStr">
        <is>
          <t>Home page</t>
        </is>
      </c>
      <c r="E1124" s="40" t="inlineStr">
        <is>
          <t>Paid Search</t>
        </is>
      </c>
      <c r="F1124" s="40" t="inlineStr">
        <is>
          <t>Mobile</t>
        </is>
      </c>
      <c r="G1124" s="40" t="inlineStr">
        <is>
          <t>Austria</t>
        </is>
      </c>
      <c r="H1124" s="40" t="n">
        <v>12</v>
      </c>
      <c r="I1124" s="40" t="inlineStr">
        <is>
          <t>Add to cart</t>
        </is>
      </c>
      <c r="J1124" s="40" t="inlineStr">
        <is>
          <t>1-23 August 2025</t>
        </is>
      </c>
      <c r="K1124" s="55" t="n">
        <v>607</v>
      </c>
      <c r="L1124" s="40" t="inlineStr">
        <is>
          <t>Completeness only</t>
        </is>
      </c>
      <c r="M1124" s="40">
        <f>IF(Countries!AD126="","STILL MISSING","Filled ✓")</f>
        <v/>
      </c>
    </row>
    <row r="1125">
      <c r="A1125" s="56" t="inlineStr">
        <is>
          <t>Countries</t>
        </is>
      </c>
      <c r="B1125" s="56" t="inlineStr">
        <is>
          <t>AE126</t>
        </is>
      </c>
      <c r="C1125" s="56" t="n">
        <v>126</v>
      </c>
      <c r="D1125" s="56" t="inlineStr">
        <is>
          <t>Home page</t>
        </is>
      </c>
      <c r="E1125" s="56" t="inlineStr">
        <is>
          <t>Paid Search</t>
        </is>
      </c>
      <c r="F1125" s="56" t="inlineStr">
        <is>
          <t>Mobile</t>
        </is>
      </c>
      <c r="G1125" s="56" t="inlineStr">
        <is>
          <t>Austria</t>
        </is>
      </c>
      <c r="H1125" s="56" t="n">
        <v>12</v>
      </c>
      <c r="I1125" s="56" t="inlineStr">
        <is>
          <t>Add to cart</t>
        </is>
      </c>
      <c r="J1125" s="56" t="inlineStr">
        <is>
          <t>1-23 August 2026</t>
        </is>
      </c>
      <c r="K1125" s="57" t="n">
        <v>607</v>
      </c>
      <c r="L1125" s="56" t="inlineStr">
        <is>
          <t>Completeness only</t>
        </is>
      </c>
      <c r="M1125" s="40">
        <f>IF(Countries!AE126="","STILL MISSING","Filled ✓")</f>
        <v/>
      </c>
    </row>
    <row r="1126">
      <c r="A1126" s="40" t="inlineStr">
        <is>
          <t>Countries</t>
        </is>
      </c>
      <c r="B1126" s="40" t="inlineStr">
        <is>
          <t>AK126</t>
        </is>
      </c>
      <c r="C1126" s="40" t="n">
        <v>126</v>
      </c>
      <c r="D1126" s="40" t="inlineStr">
        <is>
          <t>Home page</t>
        </is>
      </c>
      <c r="E1126" s="40" t="inlineStr">
        <is>
          <t>Paid Search</t>
        </is>
      </c>
      <c r="F1126" s="40" t="inlineStr">
        <is>
          <t>Mobile</t>
        </is>
      </c>
      <c r="G1126" s="40" t="inlineStr">
        <is>
          <t>Austria</t>
        </is>
      </c>
      <c r="H1126" s="40" t="n">
        <v>12</v>
      </c>
      <c r="I1126" s="40" t="inlineStr">
        <is>
          <t>Begin checkout</t>
        </is>
      </c>
      <c r="J1126" s="40" t="inlineStr">
        <is>
          <t>1-23 August 2025</t>
        </is>
      </c>
      <c r="K1126" s="55" t="n">
        <v>607</v>
      </c>
      <c r="L1126" s="40" t="inlineStr">
        <is>
          <t>Completeness only</t>
        </is>
      </c>
      <c r="M1126" s="40">
        <f>IF(Countries!AK126="","STILL MISSING","Filled ✓")</f>
        <v/>
      </c>
    </row>
    <row r="1127">
      <c r="A1127" s="56" t="inlineStr">
        <is>
          <t>Countries</t>
        </is>
      </c>
      <c r="B1127" s="56" t="inlineStr">
        <is>
          <t>AL126</t>
        </is>
      </c>
      <c r="C1127" s="56" t="n">
        <v>126</v>
      </c>
      <c r="D1127" s="56" t="inlineStr">
        <is>
          <t>Home page</t>
        </is>
      </c>
      <c r="E1127" s="56" t="inlineStr">
        <is>
          <t>Paid Search</t>
        </is>
      </c>
      <c r="F1127" s="56" t="inlineStr">
        <is>
          <t>Mobile</t>
        </is>
      </c>
      <c r="G1127" s="56" t="inlineStr">
        <is>
          <t>Austria</t>
        </is>
      </c>
      <c r="H1127" s="56" t="n">
        <v>12</v>
      </c>
      <c r="I1127" s="56" t="inlineStr">
        <is>
          <t>Begin checkout</t>
        </is>
      </c>
      <c r="J1127" s="56" t="inlineStr">
        <is>
          <t>1-23 August 2026</t>
        </is>
      </c>
      <c r="K1127" s="57" t="n">
        <v>607</v>
      </c>
      <c r="L1127" s="56" t="inlineStr">
        <is>
          <t>Completeness only</t>
        </is>
      </c>
      <c r="M1127" s="40">
        <f>IF(Countries!AL126="","STILL MISSING","Filled ✓")</f>
        <v/>
      </c>
    </row>
    <row r="1128">
      <c r="A1128" s="40" t="inlineStr">
        <is>
          <t>Countries</t>
        </is>
      </c>
      <c r="B1128" s="40" t="inlineStr">
        <is>
          <t>AD253</t>
        </is>
      </c>
      <c r="C1128" s="40" t="n">
        <v>253</v>
      </c>
      <c r="D1128" s="40" t="inlineStr">
        <is>
          <t>Airport page</t>
        </is>
      </c>
      <c r="E1128" s="40" t="inlineStr">
        <is>
          <t>Paid Search</t>
        </is>
      </c>
      <c r="F1128" s="40" t="inlineStr">
        <is>
          <t>Desktop</t>
        </is>
      </c>
      <c r="G1128" s="40" t="inlineStr">
        <is>
          <t>Austria</t>
        </is>
      </c>
      <c r="H1128" s="40" t="n">
        <v>12</v>
      </c>
      <c r="I1128" s="40" t="inlineStr">
        <is>
          <t>Add to cart</t>
        </is>
      </c>
      <c r="J1128" s="40" t="inlineStr">
        <is>
          <t>1-23 August 2025</t>
        </is>
      </c>
      <c r="K1128" s="55" t="n">
        <v>588</v>
      </c>
      <c r="L1128" s="40" t="inlineStr">
        <is>
          <t>Completeness only</t>
        </is>
      </c>
      <c r="M1128" s="40">
        <f>IF(Countries!AD253="","STILL MISSING","Filled ✓")</f>
        <v/>
      </c>
    </row>
    <row r="1129">
      <c r="A1129" s="56" t="inlineStr">
        <is>
          <t>Countries</t>
        </is>
      </c>
      <c r="B1129" s="56" t="inlineStr">
        <is>
          <t>AE253</t>
        </is>
      </c>
      <c r="C1129" s="56" t="n">
        <v>253</v>
      </c>
      <c r="D1129" s="56" t="inlineStr">
        <is>
          <t>Airport page</t>
        </is>
      </c>
      <c r="E1129" s="56" t="inlineStr">
        <is>
          <t>Paid Search</t>
        </is>
      </c>
      <c r="F1129" s="56" t="inlineStr">
        <is>
          <t>Desktop</t>
        </is>
      </c>
      <c r="G1129" s="56" t="inlineStr">
        <is>
          <t>Austria</t>
        </is>
      </c>
      <c r="H1129" s="56" t="n">
        <v>12</v>
      </c>
      <c r="I1129" s="56" t="inlineStr">
        <is>
          <t>Add to cart</t>
        </is>
      </c>
      <c r="J1129" s="56" t="inlineStr">
        <is>
          <t>1-23 August 2026</t>
        </is>
      </c>
      <c r="K1129" s="57" t="n">
        <v>588</v>
      </c>
      <c r="L1129" s="56" t="inlineStr">
        <is>
          <t>Completeness only</t>
        </is>
      </c>
      <c r="M1129" s="40">
        <f>IF(Countries!AE253="","STILL MISSING","Filled ✓")</f>
        <v/>
      </c>
    </row>
    <row r="1130">
      <c r="A1130" s="40" t="inlineStr">
        <is>
          <t>Countries</t>
        </is>
      </c>
      <c r="B1130" s="40" t="inlineStr">
        <is>
          <t>AK253</t>
        </is>
      </c>
      <c r="C1130" s="40" t="n">
        <v>253</v>
      </c>
      <c r="D1130" s="40" t="inlineStr">
        <is>
          <t>Airport page</t>
        </is>
      </c>
      <c r="E1130" s="40" t="inlineStr">
        <is>
          <t>Paid Search</t>
        </is>
      </c>
      <c r="F1130" s="40" t="inlineStr">
        <is>
          <t>Desktop</t>
        </is>
      </c>
      <c r="G1130" s="40" t="inlineStr">
        <is>
          <t>Austria</t>
        </is>
      </c>
      <c r="H1130" s="40" t="n">
        <v>12</v>
      </c>
      <c r="I1130" s="40" t="inlineStr">
        <is>
          <t>Begin checkout</t>
        </is>
      </c>
      <c r="J1130" s="40" t="inlineStr">
        <is>
          <t>1-23 August 2025</t>
        </is>
      </c>
      <c r="K1130" s="55" t="n">
        <v>588</v>
      </c>
      <c r="L1130" s="40" t="inlineStr">
        <is>
          <t>Completeness only</t>
        </is>
      </c>
      <c r="M1130" s="40">
        <f>IF(Countries!AK253="","STILL MISSING","Filled ✓")</f>
        <v/>
      </c>
    </row>
    <row r="1131">
      <c r="A1131" s="56" t="inlineStr">
        <is>
          <t>Countries</t>
        </is>
      </c>
      <c r="B1131" s="56" t="inlineStr">
        <is>
          <t>AL253</t>
        </is>
      </c>
      <c r="C1131" s="56" t="n">
        <v>253</v>
      </c>
      <c r="D1131" s="56" t="inlineStr">
        <is>
          <t>Airport page</t>
        </is>
      </c>
      <c r="E1131" s="56" t="inlineStr">
        <is>
          <t>Paid Search</t>
        </is>
      </c>
      <c r="F1131" s="56" t="inlineStr">
        <is>
          <t>Desktop</t>
        </is>
      </c>
      <c r="G1131" s="56" t="inlineStr">
        <is>
          <t>Austria</t>
        </is>
      </c>
      <c r="H1131" s="56" t="n">
        <v>12</v>
      </c>
      <c r="I1131" s="56" t="inlineStr">
        <is>
          <t>Begin checkout</t>
        </is>
      </c>
      <c r="J1131" s="56" t="inlineStr">
        <is>
          <t>1-23 August 2026</t>
        </is>
      </c>
      <c r="K1131" s="57" t="n">
        <v>588</v>
      </c>
      <c r="L1131" s="56" t="inlineStr">
        <is>
          <t>Completeness only</t>
        </is>
      </c>
      <c r="M1131" s="40">
        <f>IF(Countries!AL253="","STILL MISSING","Filled ✓")</f>
        <v/>
      </c>
    </row>
    <row r="1132">
      <c r="A1132" s="40" t="inlineStr">
        <is>
          <t>Countries</t>
        </is>
      </c>
      <c r="B1132" s="40" t="inlineStr">
        <is>
          <t>AD233</t>
        </is>
      </c>
      <c r="C1132" s="40" t="n">
        <v>233</v>
      </c>
      <c r="D1132" s="40" t="inlineStr">
        <is>
          <t>Airport page</t>
        </is>
      </c>
      <c r="E1132" s="40" t="inlineStr">
        <is>
          <t>Paid Search</t>
        </is>
      </c>
      <c r="F1132" s="40" t="inlineStr">
        <is>
          <t>Mobile</t>
        </is>
      </c>
      <c r="G1132" s="40" t="inlineStr">
        <is>
          <t>Austria</t>
        </is>
      </c>
      <c r="H1132" s="40" t="n">
        <v>12</v>
      </c>
      <c r="I1132" s="40" t="inlineStr">
        <is>
          <t>Add to cart</t>
        </is>
      </c>
      <c r="J1132" s="40" t="inlineStr">
        <is>
          <t>1-23 August 2025</t>
        </is>
      </c>
      <c r="K1132" s="55" t="n">
        <v>849</v>
      </c>
      <c r="L1132" s="40" t="inlineStr">
        <is>
          <t>Completeness only</t>
        </is>
      </c>
      <c r="M1132" s="40">
        <f>IF(Countries!AD233="","STILL MISSING","Filled ✓")</f>
        <v/>
      </c>
    </row>
    <row r="1133">
      <c r="A1133" s="56" t="inlineStr">
        <is>
          <t>Countries</t>
        </is>
      </c>
      <c r="B1133" s="56" t="inlineStr">
        <is>
          <t>AE233</t>
        </is>
      </c>
      <c r="C1133" s="56" t="n">
        <v>233</v>
      </c>
      <c r="D1133" s="56" t="inlineStr">
        <is>
          <t>Airport page</t>
        </is>
      </c>
      <c r="E1133" s="56" t="inlineStr">
        <is>
          <t>Paid Search</t>
        </is>
      </c>
      <c r="F1133" s="56" t="inlineStr">
        <is>
          <t>Mobile</t>
        </is>
      </c>
      <c r="G1133" s="56" t="inlineStr">
        <is>
          <t>Austria</t>
        </is>
      </c>
      <c r="H1133" s="56" t="n">
        <v>12</v>
      </c>
      <c r="I1133" s="56" t="inlineStr">
        <is>
          <t>Add to cart</t>
        </is>
      </c>
      <c r="J1133" s="56" t="inlineStr">
        <is>
          <t>1-23 August 2026</t>
        </is>
      </c>
      <c r="K1133" s="57" t="n">
        <v>849</v>
      </c>
      <c r="L1133" s="56" t="inlineStr">
        <is>
          <t>Completeness only</t>
        </is>
      </c>
      <c r="M1133" s="40">
        <f>IF(Countries!AE233="","STILL MISSING","Filled ✓")</f>
        <v/>
      </c>
    </row>
    <row r="1134">
      <c r="A1134" s="40" t="inlineStr">
        <is>
          <t>Countries</t>
        </is>
      </c>
      <c r="B1134" s="40" t="inlineStr">
        <is>
          <t>AK233</t>
        </is>
      </c>
      <c r="C1134" s="40" t="n">
        <v>233</v>
      </c>
      <c r="D1134" s="40" t="inlineStr">
        <is>
          <t>Airport page</t>
        </is>
      </c>
      <c r="E1134" s="40" t="inlineStr">
        <is>
          <t>Paid Search</t>
        </is>
      </c>
      <c r="F1134" s="40" t="inlineStr">
        <is>
          <t>Mobile</t>
        </is>
      </c>
      <c r="G1134" s="40" t="inlineStr">
        <is>
          <t>Austria</t>
        </is>
      </c>
      <c r="H1134" s="40" t="n">
        <v>12</v>
      </c>
      <c r="I1134" s="40" t="inlineStr">
        <is>
          <t>Begin checkout</t>
        </is>
      </c>
      <c r="J1134" s="40" t="inlineStr">
        <is>
          <t>1-23 August 2025</t>
        </is>
      </c>
      <c r="K1134" s="55" t="n">
        <v>849</v>
      </c>
      <c r="L1134" s="40" t="inlineStr">
        <is>
          <t>Completeness only</t>
        </is>
      </c>
      <c r="M1134" s="40">
        <f>IF(Countries!AK233="","STILL MISSING","Filled ✓")</f>
        <v/>
      </c>
    </row>
    <row r="1135">
      <c r="A1135" s="56" t="inlineStr">
        <is>
          <t>Countries</t>
        </is>
      </c>
      <c r="B1135" s="56" t="inlineStr">
        <is>
          <t>AL233</t>
        </is>
      </c>
      <c r="C1135" s="56" t="n">
        <v>233</v>
      </c>
      <c r="D1135" s="56" t="inlineStr">
        <is>
          <t>Airport page</t>
        </is>
      </c>
      <c r="E1135" s="56" t="inlineStr">
        <is>
          <t>Paid Search</t>
        </is>
      </c>
      <c r="F1135" s="56" t="inlineStr">
        <is>
          <t>Mobile</t>
        </is>
      </c>
      <c r="G1135" s="56" t="inlineStr">
        <is>
          <t>Austria</t>
        </is>
      </c>
      <c r="H1135" s="56" t="n">
        <v>12</v>
      </c>
      <c r="I1135" s="56" t="inlineStr">
        <is>
          <t>Begin checkout</t>
        </is>
      </c>
      <c r="J1135" s="56" t="inlineStr">
        <is>
          <t>1-23 August 2026</t>
        </is>
      </c>
      <c r="K1135" s="57" t="n">
        <v>849</v>
      </c>
      <c r="L1135" s="56" t="inlineStr">
        <is>
          <t>Completeness only</t>
        </is>
      </c>
      <c r="M1135" s="40">
        <f>IF(Countries!AL233="","STILL MISSING","Filled ✓")</f>
        <v/>
      </c>
    </row>
    <row r="1136">
      <c r="A1136" s="40" t="inlineStr">
        <is>
          <t>Countries</t>
        </is>
      </c>
      <c r="B1136" s="40" t="inlineStr">
        <is>
          <t>AD285</t>
        </is>
      </c>
      <c r="C1136" s="40" t="n">
        <v>285</v>
      </c>
      <c r="D1136" s="40" t="inlineStr">
        <is>
          <t>Airport page</t>
        </is>
      </c>
      <c r="E1136" s="40" t="inlineStr">
        <is>
          <t>Organic</t>
        </is>
      </c>
      <c r="F1136" s="40" t="inlineStr">
        <is>
          <t>Desktop</t>
        </is>
      </c>
      <c r="G1136" s="40" t="inlineStr">
        <is>
          <t>Austria</t>
        </is>
      </c>
      <c r="H1136" s="40" t="n">
        <v>12</v>
      </c>
      <c r="I1136" s="40" t="inlineStr">
        <is>
          <t>Add to cart</t>
        </is>
      </c>
      <c r="J1136" s="40" t="inlineStr">
        <is>
          <t>1-23 August 2025</t>
        </is>
      </c>
      <c r="K1136" s="55" t="n">
        <v>147</v>
      </c>
      <c r="L1136" s="40" t="inlineStr">
        <is>
          <t>Completeness only</t>
        </is>
      </c>
      <c r="M1136" s="40">
        <f>IF(Countries!AD285="","STILL MISSING","Filled ✓")</f>
        <v/>
      </c>
    </row>
    <row r="1137">
      <c r="A1137" s="56" t="inlineStr">
        <is>
          <t>Countries</t>
        </is>
      </c>
      <c r="B1137" s="56" t="inlineStr">
        <is>
          <t>AE285</t>
        </is>
      </c>
      <c r="C1137" s="56" t="n">
        <v>285</v>
      </c>
      <c r="D1137" s="56" t="inlineStr">
        <is>
          <t>Airport page</t>
        </is>
      </c>
      <c r="E1137" s="56" t="inlineStr">
        <is>
          <t>Organic</t>
        </is>
      </c>
      <c r="F1137" s="56" t="inlineStr">
        <is>
          <t>Desktop</t>
        </is>
      </c>
      <c r="G1137" s="56" t="inlineStr">
        <is>
          <t>Austria</t>
        </is>
      </c>
      <c r="H1137" s="56" t="n">
        <v>12</v>
      </c>
      <c r="I1137" s="56" t="inlineStr">
        <is>
          <t>Add to cart</t>
        </is>
      </c>
      <c r="J1137" s="56" t="inlineStr">
        <is>
          <t>1-23 August 2026</t>
        </is>
      </c>
      <c r="K1137" s="57" t="n">
        <v>147</v>
      </c>
      <c r="L1137" s="56" t="inlineStr">
        <is>
          <t>Completeness only</t>
        </is>
      </c>
      <c r="M1137" s="40">
        <f>IF(Countries!AE285="","STILL MISSING","Filled ✓")</f>
        <v/>
      </c>
    </row>
    <row r="1138">
      <c r="A1138" s="40" t="inlineStr">
        <is>
          <t>Countries</t>
        </is>
      </c>
      <c r="B1138" s="40" t="inlineStr">
        <is>
          <t>AK285</t>
        </is>
      </c>
      <c r="C1138" s="40" t="n">
        <v>285</v>
      </c>
      <c r="D1138" s="40" t="inlineStr">
        <is>
          <t>Airport page</t>
        </is>
      </c>
      <c r="E1138" s="40" t="inlineStr">
        <is>
          <t>Organic</t>
        </is>
      </c>
      <c r="F1138" s="40" t="inlineStr">
        <is>
          <t>Desktop</t>
        </is>
      </c>
      <c r="G1138" s="40" t="inlineStr">
        <is>
          <t>Austria</t>
        </is>
      </c>
      <c r="H1138" s="40" t="n">
        <v>12</v>
      </c>
      <c r="I1138" s="40" t="inlineStr">
        <is>
          <t>Begin checkout</t>
        </is>
      </c>
      <c r="J1138" s="40" t="inlineStr">
        <is>
          <t>1-23 August 2025</t>
        </is>
      </c>
      <c r="K1138" s="55" t="n">
        <v>147</v>
      </c>
      <c r="L1138" s="40" t="inlineStr">
        <is>
          <t>Completeness only</t>
        </is>
      </c>
      <c r="M1138" s="40">
        <f>IF(Countries!AK285="","STILL MISSING","Filled ✓")</f>
        <v/>
      </c>
    </row>
    <row r="1139">
      <c r="A1139" s="56" t="inlineStr">
        <is>
          <t>Countries</t>
        </is>
      </c>
      <c r="B1139" s="56" t="inlineStr">
        <is>
          <t>AL285</t>
        </is>
      </c>
      <c r="C1139" s="56" t="n">
        <v>285</v>
      </c>
      <c r="D1139" s="56" t="inlineStr">
        <is>
          <t>Airport page</t>
        </is>
      </c>
      <c r="E1139" s="56" t="inlineStr">
        <is>
          <t>Organic</t>
        </is>
      </c>
      <c r="F1139" s="56" t="inlineStr">
        <is>
          <t>Desktop</t>
        </is>
      </c>
      <c r="G1139" s="56" t="inlineStr">
        <is>
          <t>Austria</t>
        </is>
      </c>
      <c r="H1139" s="56" t="n">
        <v>12</v>
      </c>
      <c r="I1139" s="56" t="inlineStr">
        <is>
          <t>Begin checkout</t>
        </is>
      </c>
      <c r="J1139" s="56" t="inlineStr">
        <is>
          <t>1-23 August 2026</t>
        </is>
      </c>
      <c r="K1139" s="57" t="n">
        <v>147</v>
      </c>
      <c r="L1139" s="56" t="inlineStr">
        <is>
          <t>Completeness only</t>
        </is>
      </c>
      <c r="M1139" s="40">
        <f>IF(Countries!AL285="","STILL MISSING","Filled ✓")</f>
        <v/>
      </c>
    </row>
    <row r="1140">
      <c r="A1140" s="40" t="inlineStr">
        <is>
          <t>Countries</t>
        </is>
      </c>
      <c r="B1140" s="40" t="inlineStr">
        <is>
          <t>AS285</t>
        </is>
      </c>
      <c r="C1140" s="40" t="n">
        <v>285</v>
      </c>
      <c r="D1140" s="40" t="inlineStr">
        <is>
          <t>Airport page</t>
        </is>
      </c>
      <c r="E1140" s="40" t="inlineStr">
        <is>
          <t>Organic</t>
        </is>
      </c>
      <c r="F1140" s="40" t="inlineStr">
        <is>
          <t>Desktop</t>
        </is>
      </c>
      <c r="G1140" s="40" t="inlineStr">
        <is>
          <t>Austria</t>
        </is>
      </c>
      <c r="H1140" s="40" t="n">
        <v>12</v>
      </c>
      <c r="I1140" s="40" t="inlineStr">
        <is>
          <t>Purchases</t>
        </is>
      </c>
      <c r="J1140" s="40" t="inlineStr">
        <is>
          <t>1-23 August 2026</t>
        </is>
      </c>
      <c r="K1140" s="55" t="n">
        <v>147</v>
      </c>
      <c r="L1140" s="40" t="inlineStr">
        <is>
          <t>Completeness only</t>
        </is>
      </c>
      <c r="M1140" s="40">
        <f>IF(Countries!AS285="","STILL MISSING","Filled ✓")</f>
        <v/>
      </c>
    </row>
    <row r="1141">
      <c r="A1141" s="56" t="inlineStr">
        <is>
          <t>Countries</t>
        </is>
      </c>
      <c r="B1141" s="56" t="inlineStr">
        <is>
          <t>X285</t>
        </is>
      </c>
      <c r="C1141" s="56" t="n">
        <v>285</v>
      </c>
      <c r="D1141" s="56" t="inlineStr">
        <is>
          <t>Airport page</t>
        </is>
      </c>
      <c r="E1141" s="56" t="inlineStr">
        <is>
          <t>Organic</t>
        </is>
      </c>
      <c r="F1141" s="56" t="inlineStr">
        <is>
          <t>Desktop</t>
        </is>
      </c>
      <c r="G1141" s="56" t="inlineStr">
        <is>
          <t>Austria</t>
        </is>
      </c>
      <c r="H1141" s="56" t="n">
        <v>12</v>
      </c>
      <c r="I1141" s="56" t="inlineStr">
        <is>
          <t>Select item</t>
        </is>
      </c>
      <c r="J1141" s="56" t="inlineStr">
        <is>
          <t>1-23 August 2026</t>
        </is>
      </c>
      <c r="K1141" s="57" t="n">
        <v>147</v>
      </c>
      <c r="L1141" s="56" t="inlineStr">
        <is>
          <t>Completeness only</t>
        </is>
      </c>
      <c r="M1141" s="40">
        <f>IF(Countries!X285="","STILL MISSING","Filled ✓")</f>
        <v/>
      </c>
    </row>
    <row r="1142">
      <c r="A1142" s="40" t="inlineStr">
        <is>
          <t>Countries</t>
        </is>
      </c>
      <c r="B1142" s="40" t="inlineStr">
        <is>
          <t>J285</t>
        </is>
      </c>
      <c r="C1142" s="40" t="n">
        <v>285</v>
      </c>
      <c r="D1142" s="40" t="inlineStr">
        <is>
          <t>Airport page</t>
        </is>
      </c>
      <c r="E1142" s="40" t="inlineStr">
        <is>
          <t>Organic</t>
        </is>
      </c>
      <c r="F1142" s="40" t="inlineStr">
        <is>
          <t>Desktop</t>
        </is>
      </c>
      <c r="G1142" s="40" t="inlineStr">
        <is>
          <t>Austria</t>
        </is>
      </c>
      <c r="H1142" s="40" t="n">
        <v>12</v>
      </c>
      <c r="I1142" s="40" t="inlineStr">
        <is>
          <t>Start Search</t>
        </is>
      </c>
      <c r="J1142" s="40" t="inlineStr">
        <is>
          <t>1-23 August 2026</t>
        </is>
      </c>
      <c r="K1142" s="55" t="n">
        <v>147</v>
      </c>
      <c r="L1142" s="40" t="inlineStr">
        <is>
          <t>Completeness only</t>
        </is>
      </c>
      <c r="M1142" s="40">
        <f>IF(Countries!J285="","STILL MISSING","Filled ✓")</f>
        <v/>
      </c>
    </row>
    <row r="1143">
      <c r="A1143" s="56" t="inlineStr">
        <is>
          <t>Countries</t>
        </is>
      </c>
      <c r="B1143" s="56" t="inlineStr">
        <is>
          <t>AD269</t>
        </is>
      </c>
      <c r="C1143" s="56" t="n">
        <v>269</v>
      </c>
      <c r="D1143" s="56" t="inlineStr">
        <is>
          <t>Airport page</t>
        </is>
      </c>
      <c r="E1143" s="56" t="inlineStr">
        <is>
          <t>Organic</t>
        </is>
      </c>
      <c r="F1143" s="56" t="inlineStr">
        <is>
          <t>Mobile</t>
        </is>
      </c>
      <c r="G1143" s="56" t="inlineStr">
        <is>
          <t>Austria</t>
        </is>
      </c>
      <c r="H1143" s="56" t="n">
        <v>12</v>
      </c>
      <c r="I1143" s="56" t="inlineStr">
        <is>
          <t>Add to cart</t>
        </is>
      </c>
      <c r="J1143" s="56" t="inlineStr">
        <is>
          <t>1-23 August 2025</t>
        </is>
      </c>
      <c r="K1143" s="57" t="n">
        <v>212</v>
      </c>
      <c r="L1143" s="56" t="inlineStr">
        <is>
          <t>Completeness only</t>
        </is>
      </c>
      <c r="M1143" s="40">
        <f>IF(Countries!AD269="","STILL MISSING","Filled ✓")</f>
        <v/>
      </c>
    </row>
    <row r="1144">
      <c r="A1144" s="40" t="inlineStr">
        <is>
          <t>Countries</t>
        </is>
      </c>
      <c r="B1144" s="40" t="inlineStr">
        <is>
          <t>AE269</t>
        </is>
      </c>
      <c r="C1144" s="40" t="n">
        <v>269</v>
      </c>
      <c r="D1144" s="40" t="inlineStr">
        <is>
          <t>Airport page</t>
        </is>
      </c>
      <c r="E1144" s="40" t="inlineStr">
        <is>
          <t>Organic</t>
        </is>
      </c>
      <c r="F1144" s="40" t="inlineStr">
        <is>
          <t>Mobile</t>
        </is>
      </c>
      <c r="G1144" s="40" t="inlineStr">
        <is>
          <t>Austria</t>
        </is>
      </c>
      <c r="H1144" s="40" t="n">
        <v>12</v>
      </c>
      <c r="I1144" s="40" t="inlineStr">
        <is>
          <t>Add to cart</t>
        </is>
      </c>
      <c r="J1144" s="40" t="inlineStr">
        <is>
          <t>1-23 August 2026</t>
        </is>
      </c>
      <c r="K1144" s="55" t="n">
        <v>212</v>
      </c>
      <c r="L1144" s="40" t="inlineStr">
        <is>
          <t>Completeness only</t>
        </is>
      </c>
      <c r="M1144" s="40">
        <f>IF(Countries!AE269="","STILL MISSING","Filled ✓")</f>
        <v/>
      </c>
    </row>
    <row r="1145">
      <c r="A1145" s="56" t="inlineStr">
        <is>
          <t>Countries</t>
        </is>
      </c>
      <c r="B1145" s="56" t="inlineStr">
        <is>
          <t>AK269</t>
        </is>
      </c>
      <c r="C1145" s="56" t="n">
        <v>269</v>
      </c>
      <c r="D1145" s="56" t="inlineStr">
        <is>
          <t>Airport page</t>
        </is>
      </c>
      <c r="E1145" s="56" t="inlineStr">
        <is>
          <t>Organic</t>
        </is>
      </c>
      <c r="F1145" s="56" t="inlineStr">
        <is>
          <t>Mobile</t>
        </is>
      </c>
      <c r="G1145" s="56" t="inlineStr">
        <is>
          <t>Austria</t>
        </is>
      </c>
      <c r="H1145" s="56" t="n">
        <v>12</v>
      </c>
      <c r="I1145" s="56" t="inlineStr">
        <is>
          <t>Begin checkout</t>
        </is>
      </c>
      <c r="J1145" s="56" t="inlineStr">
        <is>
          <t>1-23 August 2025</t>
        </is>
      </c>
      <c r="K1145" s="57" t="n">
        <v>212</v>
      </c>
      <c r="L1145" s="56" t="inlineStr">
        <is>
          <t>Completeness only</t>
        </is>
      </c>
      <c r="M1145" s="40">
        <f>IF(Countries!AK269="","STILL MISSING","Filled ✓")</f>
        <v/>
      </c>
    </row>
    <row r="1146">
      <c r="A1146" s="40" t="inlineStr">
        <is>
          <t>Countries</t>
        </is>
      </c>
      <c r="B1146" s="40" t="inlineStr">
        <is>
          <t>AL269</t>
        </is>
      </c>
      <c r="C1146" s="40" t="n">
        <v>269</v>
      </c>
      <c r="D1146" s="40" t="inlineStr">
        <is>
          <t>Airport page</t>
        </is>
      </c>
      <c r="E1146" s="40" t="inlineStr">
        <is>
          <t>Organic</t>
        </is>
      </c>
      <c r="F1146" s="40" t="inlineStr">
        <is>
          <t>Mobile</t>
        </is>
      </c>
      <c r="G1146" s="40" t="inlineStr">
        <is>
          <t>Austria</t>
        </is>
      </c>
      <c r="H1146" s="40" t="n">
        <v>12</v>
      </c>
      <c r="I1146" s="40" t="inlineStr">
        <is>
          <t>Begin checkout</t>
        </is>
      </c>
      <c r="J1146" s="40" t="inlineStr">
        <is>
          <t>1-23 August 2026</t>
        </is>
      </c>
      <c r="K1146" s="55" t="n">
        <v>212</v>
      </c>
      <c r="L1146" s="40" t="inlineStr">
        <is>
          <t>Completeness only</t>
        </is>
      </c>
      <c r="M1146" s="40">
        <f>IF(Countries!AL269="","STILL MISSING","Filled ✓")</f>
        <v/>
      </c>
    </row>
    <row r="1147">
      <c r="A1147" s="56" t="inlineStr">
        <is>
          <t>Countries</t>
        </is>
      </c>
      <c r="B1147" s="56" t="inlineStr">
        <is>
          <t>AS269</t>
        </is>
      </c>
      <c r="C1147" s="56" t="n">
        <v>269</v>
      </c>
      <c r="D1147" s="56" t="inlineStr">
        <is>
          <t>Airport page</t>
        </is>
      </c>
      <c r="E1147" s="56" t="inlineStr">
        <is>
          <t>Organic</t>
        </is>
      </c>
      <c r="F1147" s="56" t="inlineStr">
        <is>
          <t>Mobile</t>
        </is>
      </c>
      <c r="G1147" s="56" t="inlineStr">
        <is>
          <t>Austria</t>
        </is>
      </c>
      <c r="H1147" s="56" t="n">
        <v>12</v>
      </c>
      <c r="I1147" s="56" t="inlineStr">
        <is>
          <t>Purchases</t>
        </is>
      </c>
      <c r="J1147" s="56" t="inlineStr">
        <is>
          <t>1-23 August 2026</t>
        </is>
      </c>
      <c r="K1147" s="57" t="n">
        <v>212</v>
      </c>
      <c r="L1147" s="56" t="inlineStr">
        <is>
          <t>Completeness only</t>
        </is>
      </c>
      <c r="M1147" s="40">
        <f>IF(Countries!AS269="","STILL MISSING","Filled ✓")</f>
        <v/>
      </c>
    </row>
    <row r="1148">
      <c r="A1148" s="40" t="inlineStr">
        <is>
          <t>Countries</t>
        </is>
      </c>
      <c r="B1148" s="40" t="inlineStr">
        <is>
          <t>Q269</t>
        </is>
      </c>
      <c r="C1148" s="40" t="n">
        <v>269</v>
      </c>
      <c r="D1148" s="40" t="inlineStr">
        <is>
          <t>Airport page</t>
        </is>
      </c>
      <c r="E1148" s="40" t="inlineStr">
        <is>
          <t>Organic</t>
        </is>
      </c>
      <c r="F1148" s="40" t="inlineStr">
        <is>
          <t>Mobile</t>
        </is>
      </c>
      <c r="G1148" s="40" t="inlineStr">
        <is>
          <t>Austria</t>
        </is>
      </c>
      <c r="H1148" s="40" t="n">
        <v>12</v>
      </c>
      <c r="I1148" s="40" t="inlineStr">
        <is>
          <t>Searches</t>
        </is>
      </c>
      <c r="J1148" s="40" t="inlineStr">
        <is>
          <t>1-23 August 2026</t>
        </is>
      </c>
      <c r="K1148" s="55" t="n">
        <v>212</v>
      </c>
      <c r="L1148" s="40" t="inlineStr">
        <is>
          <t>Completeness only</t>
        </is>
      </c>
      <c r="M1148" s="40">
        <f>IF(Countries!Q269="","STILL MISSING","Filled ✓")</f>
        <v/>
      </c>
    </row>
    <row r="1149">
      <c r="A1149" s="56" t="inlineStr">
        <is>
          <t>Countries</t>
        </is>
      </c>
      <c r="B1149" s="56" t="inlineStr">
        <is>
          <t>W269</t>
        </is>
      </c>
      <c r="C1149" s="56" t="n">
        <v>269</v>
      </c>
      <c r="D1149" s="56" t="inlineStr">
        <is>
          <t>Airport page</t>
        </is>
      </c>
      <c r="E1149" s="56" t="inlineStr">
        <is>
          <t>Organic</t>
        </is>
      </c>
      <c r="F1149" s="56" t="inlineStr">
        <is>
          <t>Mobile</t>
        </is>
      </c>
      <c r="G1149" s="56" t="inlineStr">
        <is>
          <t>Austria</t>
        </is>
      </c>
      <c r="H1149" s="56" t="n">
        <v>12</v>
      </c>
      <c r="I1149" s="56" t="inlineStr">
        <is>
          <t>Select item</t>
        </is>
      </c>
      <c r="J1149" s="56" t="inlineStr">
        <is>
          <t>1-23 August 2025</t>
        </is>
      </c>
      <c r="K1149" s="57" t="n">
        <v>212</v>
      </c>
      <c r="L1149" s="56" t="inlineStr">
        <is>
          <t>Completeness only</t>
        </is>
      </c>
      <c r="M1149" s="40">
        <f>IF(Countries!W269="","STILL MISSING","Filled ✓")</f>
        <v/>
      </c>
    </row>
    <row r="1150">
      <c r="A1150" s="40" t="inlineStr">
        <is>
          <t>Countries</t>
        </is>
      </c>
      <c r="B1150" s="40" t="inlineStr">
        <is>
          <t>X269</t>
        </is>
      </c>
      <c r="C1150" s="40" t="n">
        <v>269</v>
      </c>
      <c r="D1150" s="40" t="inlineStr">
        <is>
          <t>Airport page</t>
        </is>
      </c>
      <c r="E1150" s="40" t="inlineStr">
        <is>
          <t>Organic</t>
        </is>
      </c>
      <c r="F1150" s="40" t="inlineStr">
        <is>
          <t>Mobile</t>
        </is>
      </c>
      <c r="G1150" s="40" t="inlineStr">
        <is>
          <t>Austria</t>
        </is>
      </c>
      <c r="H1150" s="40" t="n">
        <v>12</v>
      </c>
      <c r="I1150" s="40" t="inlineStr">
        <is>
          <t>Select item</t>
        </is>
      </c>
      <c r="J1150" s="40" t="inlineStr">
        <is>
          <t>1-23 August 2026</t>
        </is>
      </c>
      <c r="K1150" s="55" t="n">
        <v>212</v>
      </c>
      <c r="L1150" s="40" t="inlineStr">
        <is>
          <t>Completeness only</t>
        </is>
      </c>
      <c r="M1150" s="40">
        <f>IF(Countries!X269="","STILL MISSING","Filled ✓")</f>
        <v/>
      </c>
    </row>
    <row r="1151">
      <c r="A1151" s="56" t="inlineStr">
        <is>
          <t>Countries</t>
        </is>
      </c>
      <c r="B1151" s="56" t="inlineStr">
        <is>
          <t>J269</t>
        </is>
      </c>
      <c r="C1151" s="56" t="n">
        <v>269</v>
      </c>
      <c r="D1151" s="56" t="inlineStr">
        <is>
          <t>Airport page</t>
        </is>
      </c>
      <c r="E1151" s="56" t="inlineStr">
        <is>
          <t>Organic</t>
        </is>
      </c>
      <c r="F1151" s="56" t="inlineStr">
        <is>
          <t>Mobile</t>
        </is>
      </c>
      <c r="G1151" s="56" t="inlineStr">
        <is>
          <t>Austria</t>
        </is>
      </c>
      <c r="H1151" s="56" t="n">
        <v>12</v>
      </c>
      <c r="I1151" s="56" t="inlineStr">
        <is>
          <t>Start Search</t>
        </is>
      </c>
      <c r="J1151" s="56" t="inlineStr">
        <is>
          <t>1-23 August 2026</t>
        </is>
      </c>
      <c r="K1151" s="57" t="n">
        <v>212</v>
      </c>
      <c r="L1151" s="56" t="inlineStr">
        <is>
          <t>Completeness only</t>
        </is>
      </c>
      <c r="M1151" s="40">
        <f>IF(Countries!J269="","STILL MISSING","Filled ✓")</f>
        <v/>
      </c>
    </row>
    <row r="1152">
      <c r="A1152" s="40" t="inlineStr">
        <is>
          <t>Countries</t>
        </is>
      </c>
      <c r="B1152" s="40" t="inlineStr">
        <is>
          <t>AD318</t>
        </is>
      </c>
      <c r="C1152" s="40" t="n">
        <v>318</v>
      </c>
      <c r="D1152" s="40" t="inlineStr">
        <is>
          <t>Airport page</t>
        </is>
      </c>
      <c r="E1152" s="40" t="inlineStr">
        <is>
          <t>Direct</t>
        </is>
      </c>
      <c r="F1152" s="40" t="inlineStr">
        <is>
          <t>Desktop</t>
        </is>
      </c>
      <c r="G1152" s="40" t="inlineStr">
        <is>
          <t>Austria</t>
        </is>
      </c>
      <c r="H1152" s="40" t="n">
        <v>12</v>
      </c>
      <c r="I1152" s="40" t="inlineStr">
        <is>
          <t>Add to cart</t>
        </is>
      </c>
      <c r="J1152" s="40" t="inlineStr">
        <is>
          <t>1-23 August 2025</t>
        </is>
      </c>
      <c r="K1152" s="55" t="n">
        <v>102</v>
      </c>
      <c r="L1152" s="40" t="inlineStr">
        <is>
          <t>Completeness only</t>
        </is>
      </c>
      <c r="M1152" s="40">
        <f>IF(Countries!AD318="","STILL MISSING","Filled ✓")</f>
        <v/>
      </c>
    </row>
    <row r="1153">
      <c r="A1153" s="56" t="inlineStr">
        <is>
          <t>Countries</t>
        </is>
      </c>
      <c r="B1153" s="56" t="inlineStr">
        <is>
          <t>AE318</t>
        </is>
      </c>
      <c r="C1153" s="56" t="n">
        <v>318</v>
      </c>
      <c r="D1153" s="56" t="inlineStr">
        <is>
          <t>Airport page</t>
        </is>
      </c>
      <c r="E1153" s="56" t="inlineStr">
        <is>
          <t>Direct</t>
        </is>
      </c>
      <c r="F1153" s="56" t="inlineStr">
        <is>
          <t>Desktop</t>
        </is>
      </c>
      <c r="G1153" s="56" t="inlineStr">
        <is>
          <t>Austria</t>
        </is>
      </c>
      <c r="H1153" s="56" t="n">
        <v>12</v>
      </c>
      <c r="I1153" s="56" t="inlineStr">
        <is>
          <t>Add to cart</t>
        </is>
      </c>
      <c r="J1153" s="56" t="inlineStr">
        <is>
          <t>1-23 August 2026</t>
        </is>
      </c>
      <c r="K1153" s="57" t="n">
        <v>102</v>
      </c>
      <c r="L1153" s="56" t="inlineStr">
        <is>
          <t>Completeness only</t>
        </is>
      </c>
      <c r="M1153" s="40">
        <f>IF(Countries!AE318="","STILL MISSING","Filled ✓")</f>
        <v/>
      </c>
    </row>
    <row r="1154">
      <c r="A1154" s="40" t="inlineStr">
        <is>
          <t>Countries</t>
        </is>
      </c>
      <c r="B1154" s="40" t="inlineStr">
        <is>
          <t>AK318</t>
        </is>
      </c>
      <c r="C1154" s="40" t="n">
        <v>318</v>
      </c>
      <c r="D1154" s="40" t="inlineStr">
        <is>
          <t>Airport page</t>
        </is>
      </c>
      <c r="E1154" s="40" t="inlineStr">
        <is>
          <t>Direct</t>
        </is>
      </c>
      <c r="F1154" s="40" t="inlineStr">
        <is>
          <t>Desktop</t>
        </is>
      </c>
      <c r="G1154" s="40" t="inlineStr">
        <is>
          <t>Austria</t>
        </is>
      </c>
      <c r="H1154" s="40" t="n">
        <v>12</v>
      </c>
      <c r="I1154" s="40" t="inlineStr">
        <is>
          <t>Begin checkout</t>
        </is>
      </c>
      <c r="J1154" s="40" t="inlineStr">
        <is>
          <t>1-23 August 2025</t>
        </is>
      </c>
      <c r="K1154" s="55" t="n">
        <v>102</v>
      </c>
      <c r="L1154" s="40" t="inlineStr">
        <is>
          <t>Completeness only</t>
        </is>
      </c>
      <c r="M1154" s="40">
        <f>IF(Countries!AK318="","STILL MISSING","Filled ✓")</f>
        <v/>
      </c>
    </row>
    <row r="1155">
      <c r="A1155" s="56" t="inlineStr">
        <is>
          <t>Countries</t>
        </is>
      </c>
      <c r="B1155" s="56" t="inlineStr">
        <is>
          <t>AL318</t>
        </is>
      </c>
      <c r="C1155" s="56" t="n">
        <v>318</v>
      </c>
      <c r="D1155" s="56" t="inlineStr">
        <is>
          <t>Airport page</t>
        </is>
      </c>
      <c r="E1155" s="56" t="inlineStr">
        <is>
          <t>Direct</t>
        </is>
      </c>
      <c r="F1155" s="56" t="inlineStr">
        <is>
          <t>Desktop</t>
        </is>
      </c>
      <c r="G1155" s="56" t="inlineStr">
        <is>
          <t>Austria</t>
        </is>
      </c>
      <c r="H1155" s="56" t="n">
        <v>12</v>
      </c>
      <c r="I1155" s="56" t="inlineStr">
        <is>
          <t>Begin checkout</t>
        </is>
      </c>
      <c r="J1155" s="56" t="inlineStr">
        <is>
          <t>1-23 August 2026</t>
        </is>
      </c>
      <c r="K1155" s="57" t="n">
        <v>102</v>
      </c>
      <c r="L1155" s="56" t="inlineStr">
        <is>
          <t>Completeness only</t>
        </is>
      </c>
      <c r="M1155" s="40">
        <f>IF(Countries!AL318="","STILL MISSING","Filled ✓")</f>
        <v/>
      </c>
    </row>
    <row r="1156">
      <c r="A1156" s="40" t="inlineStr">
        <is>
          <t>Countries</t>
        </is>
      </c>
      <c r="B1156" s="40" t="inlineStr">
        <is>
          <t>AR318</t>
        </is>
      </c>
      <c r="C1156" s="40" t="n">
        <v>318</v>
      </c>
      <c r="D1156" s="40" t="inlineStr">
        <is>
          <t>Airport page</t>
        </is>
      </c>
      <c r="E1156" s="40" t="inlineStr">
        <is>
          <t>Direct</t>
        </is>
      </c>
      <c r="F1156" s="40" t="inlineStr">
        <is>
          <t>Desktop</t>
        </is>
      </c>
      <c r="G1156" s="40" t="inlineStr">
        <is>
          <t>Austria</t>
        </is>
      </c>
      <c r="H1156" s="40" t="n">
        <v>12</v>
      </c>
      <c r="I1156" s="40" t="inlineStr">
        <is>
          <t>Purchases</t>
        </is>
      </c>
      <c r="J1156" s="40" t="inlineStr">
        <is>
          <t>1-23 August 2025</t>
        </is>
      </c>
      <c r="K1156" s="55" t="n">
        <v>102</v>
      </c>
      <c r="L1156" s="40" t="inlineStr">
        <is>
          <t>Completeness only</t>
        </is>
      </c>
      <c r="M1156" s="40">
        <f>IF(Countries!AR318="","STILL MISSING","Filled ✓")</f>
        <v/>
      </c>
    </row>
    <row r="1157">
      <c r="A1157" s="56" t="inlineStr">
        <is>
          <t>Countries</t>
        </is>
      </c>
      <c r="B1157" s="56" t="inlineStr">
        <is>
          <t>W318</t>
        </is>
      </c>
      <c r="C1157" s="56" t="n">
        <v>318</v>
      </c>
      <c r="D1157" s="56" t="inlineStr">
        <is>
          <t>Airport page</t>
        </is>
      </c>
      <c r="E1157" s="56" t="inlineStr">
        <is>
          <t>Direct</t>
        </is>
      </c>
      <c r="F1157" s="56" t="inlineStr">
        <is>
          <t>Desktop</t>
        </is>
      </c>
      <c r="G1157" s="56" t="inlineStr">
        <is>
          <t>Austria</t>
        </is>
      </c>
      <c r="H1157" s="56" t="n">
        <v>12</v>
      </c>
      <c r="I1157" s="56" t="inlineStr">
        <is>
          <t>Select item</t>
        </is>
      </c>
      <c r="J1157" s="56" t="inlineStr">
        <is>
          <t>1-23 August 2025</t>
        </is>
      </c>
      <c r="K1157" s="57" t="n">
        <v>102</v>
      </c>
      <c r="L1157" s="56" t="inlineStr">
        <is>
          <t>Completeness only</t>
        </is>
      </c>
      <c r="M1157" s="40">
        <f>IF(Countries!W318="","STILL MISSING","Filled ✓")</f>
        <v/>
      </c>
    </row>
    <row r="1158">
      <c r="A1158" s="40" t="inlineStr">
        <is>
          <t>Countries</t>
        </is>
      </c>
      <c r="B1158" s="40" t="inlineStr">
        <is>
          <t>I318</t>
        </is>
      </c>
      <c r="C1158" s="40" t="n">
        <v>318</v>
      </c>
      <c r="D1158" s="40" t="inlineStr">
        <is>
          <t>Airport page</t>
        </is>
      </c>
      <c r="E1158" s="40" t="inlineStr">
        <is>
          <t>Direct</t>
        </is>
      </c>
      <c r="F1158" s="40" t="inlineStr">
        <is>
          <t>Desktop</t>
        </is>
      </c>
      <c r="G1158" s="40" t="inlineStr">
        <is>
          <t>Austria</t>
        </is>
      </c>
      <c r="H1158" s="40" t="n">
        <v>12</v>
      </c>
      <c r="I1158" s="40" t="inlineStr">
        <is>
          <t>Start Search</t>
        </is>
      </c>
      <c r="J1158" s="40" t="inlineStr">
        <is>
          <t>1-23 August 2025</t>
        </is>
      </c>
      <c r="K1158" s="55" t="n">
        <v>102</v>
      </c>
      <c r="L1158" s="40" t="inlineStr">
        <is>
          <t>Completeness only</t>
        </is>
      </c>
      <c r="M1158" s="40">
        <f>IF(Countries!I318="","STILL MISSING","Filled ✓")</f>
        <v/>
      </c>
    </row>
    <row r="1159">
      <c r="A1159" s="56" t="inlineStr">
        <is>
          <t>Countries</t>
        </is>
      </c>
      <c r="B1159" s="56" t="inlineStr">
        <is>
          <t>AD302</t>
        </is>
      </c>
      <c r="C1159" s="56" t="n">
        <v>302</v>
      </c>
      <c r="D1159" s="56" t="inlineStr">
        <is>
          <t>Airport page</t>
        </is>
      </c>
      <c r="E1159" s="56" t="inlineStr">
        <is>
          <t>Direct</t>
        </is>
      </c>
      <c r="F1159" s="56" t="inlineStr">
        <is>
          <t>Mobile</t>
        </is>
      </c>
      <c r="G1159" s="56" t="inlineStr">
        <is>
          <t>Austria</t>
        </is>
      </c>
      <c r="H1159" s="56" t="n">
        <v>12</v>
      </c>
      <c r="I1159" s="56" t="inlineStr">
        <is>
          <t>Add to cart</t>
        </is>
      </c>
      <c r="J1159" s="56" t="inlineStr">
        <is>
          <t>1-23 August 2025</t>
        </is>
      </c>
      <c r="K1159" s="57" t="n">
        <v>25</v>
      </c>
      <c r="L1159" s="56" t="inlineStr">
        <is>
          <t>Completeness only</t>
        </is>
      </c>
      <c r="M1159" s="40">
        <f>IF(Countries!AD302="","STILL MISSING","Filled ✓")</f>
        <v/>
      </c>
    </row>
    <row r="1160">
      <c r="A1160" s="40" t="inlineStr">
        <is>
          <t>Countries</t>
        </is>
      </c>
      <c r="B1160" s="40" t="inlineStr">
        <is>
          <t>AE302</t>
        </is>
      </c>
      <c r="C1160" s="40" t="n">
        <v>302</v>
      </c>
      <c r="D1160" s="40" t="inlineStr">
        <is>
          <t>Airport page</t>
        </is>
      </c>
      <c r="E1160" s="40" t="inlineStr">
        <is>
          <t>Direct</t>
        </is>
      </c>
      <c r="F1160" s="40" t="inlineStr">
        <is>
          <t>Mobile</t>
        </is>
      </c>
      <c r="G1160" s="40" t="inlineStr">
        <is>
          <t>Austria</t>
        </is>
      </c>
      <c r="H1160" s="40" t="n">
        <v>12</v>
      </c>
      <c r="I1160" s="40" t="inlineStr">
        <is>
          <t>Add to cart</t>
        </is>
      </c>
      <c r="J1160" s="40" t="inlineStr">
        <is>
          <t>1-23 August 2026</t>
        </is>
      </c>
      <c r="K1160" s="55" t="n">
        <v>25</v>
      </c>
      <c r="L1160" s="40" t="inlineStr">
        <is>
          <t>Completeness only</t>
        </is>
      </c>
      <c r="M1160" s="40">
        <f>IF(Countries!AE302="","STILL MISSING","Filled ✓")</f>
        <v/>
      </c>
    </row>
    <row r="1161">
      <c r="A1161" s="56" t="inlineStr">
        <is>
          <t>Countries</t>
        </is>
      </c>
      <c r="B1161" s="56" t="inlineStr">
        <is>
          <t>AK302</t>
        </is>
      </c>
      <c r="C1161" s="56" t="n">
        <v>302</v>
      </c>
      <c r="D1161" s="56" t="inlineStr">
        <is>
          <t>Airport page</t>
        </is>
      </c>
      <c r="E1161" s="56" t="inlineStr">
        <is>
          <t>Direct</t>
        </is>
      </c>
      <c r="F1161" s="56" t="inlineStr">
        <is>
          <t>Mobile</t>
        </is>
      </c>
      <c r="G1161" s="56" t="inlineStr">
        <is>
          <t>Austria</t>
        </is>
      </c>
      <c r="H1161" s="56" t="n">
        <v>12</v>
      </c>
      <c r="I1161" s="56" t="inlineStr">
        <is>
          <t>Begin checkout</t>
        </is>
      </c>
      <c r="J1161" s="56" t="inlineStr">
        <is>
          <t>1-23 August 2025</t>
        </is>
      </c>
      <c r="K1161" s="57" t="n">
        <v>25</v>
      </c>
      <c r="L1161" s="56" t="inlineStr">
        <is>
          <t>Completeness only</t>
        </is>
      </c>
      <c r="M1161" s="40">
        <f>IF(Countries!AK302="","STILL MISSING","Filled ✓")</f>
        <v/>
      </c>
    </row>
    <row r="1162">
      <c r="A1162" s="40" t="inlineStr">
        <is>
          <t>Countries</t>
        </is>
      </c>
      <c r="B1162" s="40" t="inlineStr">
        <is>
          <t>AL302</t>
        </is>
      </c>
      <c r="C1162" s="40" t="n">
        <v>302</v>
      </c>
      <c r="D1162" s="40" t="inlineStr">
        <is>
          <t>Airport page</t>
        </is>
      </c>
      <c r="E1162" s="40" t="inlineStr">
        <is>
          <t>Direct</t>
        </is>
      </c>
      <c r="F1162" s="40" t="inlineStr">
        <is>
          <t>Mobile</t>
        </is>
      </c>
      <c r="G1162" s="40" t="inlineStr">
        <is>
          <t>Austria</t>
        </is>
      </c>
      <c r="H1162" s="40" t="n">
        <v>12</v>
      </c>
      <c r="I1162" s="40" t="inlineStr">
        <is>
          <t>Begin checkout</t>
        </is>
      </c>
      <c r="J1162" s="40" t="inlineStr">
        <is>
          <t>1-23 August 2026</t>
        </is>
      </c>
      <c r="K1162" s="55" t="n">
        <v>25</v>
      </c>
      <c r="L1162" s="40" t="inlineStr">
        <is>
          <t>Completeness only</t>
        </is>
      </c>
      <c r="M1162" s="40">
        <f>IF(Countries!AL302="","STILL MISSING","Filled ✓")</f>
        <v/>
      </c>
    </row>
    <row r="1163">
      <c r="A1163" s="56" t="inlineStr">
        <is>
          <t>Countries</t>
        </is>
      </c>
      <c r="B1163" s="56" t="inlineStr">
        <is>
          <t>AS302</t>
        </is>
      </c>
      <c r="C1163" s="56" t="n">
        <v>302</v>
      </c>
      <c r="D1163" s="56" t="inlineStr">
        <is>
          <t>Airport page</t>
        </is>
      </c>
      <c r="E1163" s="56" t="inlineStr">
        <is>
          <t>Direct</t>
        </is>
      </c>
      <c r="F1163" s="56" t="inlineStr">
        <is>
          <t>Mobile</t>
        </is>
      </c>
      <c r="G1163" s="56" t="inlineStr">
        <is>
          <t>Austria</t>
        </is>
      </c>
      <c r="H1163" s="56" t="n">
        <v>12</v>
      </c>
      <c r="I1163" s="56" t="inlineStr">
        <is>
          <t>Purchases</t>
        </is>
      </c>
      <c r="J1163" s="56" t="inlineStr">
        <is>
          <t>1-23 August 2026</t>
        </is>
      </c>
      <c r="K1163" s="57" t="n">
        <v>25</v>
      </c>
      <c r="L1163" s="56" t="inlineStr">
        <is>
          <t>Completeness only</t>
        </is>
      </c>
      <c r="M1163" s="40">
        <f>IF(Countries!AS302="","STILL MISSING","Filled ✓")</f>
        <v/>
      </c>
    </row>
    <row r="1164">
      <c r="A1164" s="40" t="inlineStr">
        <is>
          <t>Countries</t>
        </is>
      </c>
      <c r="B1164" s="40" t="inlineStr">
        <is>
          <t>X302</t>
        </is>
      </c>
      <c r="C1164" s="40" t="n">
        <v>302</v>
      </c>
      <c r="D1164" s="40" t="inlineStr">
        <is>
          <t>Airport page</t>
        </is>
      </c>
      <c r="E1164" s="40" t="inlineStr">
        <is>
          <t>Direct</t>
        </is>
      </c>
      <c r="F1164" s="40" t="inlineStr">
        <is>
          <t>Mobile</t>
        </is>
      </c>
      <c r="G1164" s="40" t="inlineStr">
        <is>
          <t>Austria</t>
        </is>
      </c>
      <c r="H1164" s="40" t="n">
        <v>12</v>
      </c>
      <c r="I1164" s="40" t="inlineStr">
        <is>
          <t>Select item</t>
        </is>
      </c>
      <c r="J1164" s="40" t="inlineStr">
        <is>
          <t>1-23 August 2026</t>
        </is>
      </c>
      <c r="K1164" s="55" t="n">
        <v>25</v>
      </c>
      <c r="L1164" s="40" t="inlineStr">
        <is>
          <t>Completeness only</t>
        </is>
      </c>
      <c r="M1164" s="40">
        <f>IF(Countries!X302="","STILL MISSING","Filled ✓")</f>
        <v/>
      </c>
    </row>
    <row r="1165">
      <c r="A1165" s="56" t="inlineStr">
        <is>
          <t>Countries</t>
        </is>
      </c>
      <c r="B1165" s="56" t="inlineStr">
        <is>
          <t>J302</t>
        </is>
      </c>
      <c r="C1165" s="56" t="n">
        <v>302</v>
      </c>
      <c r="D1165" s="56" t="inlineStr">
        <is>
          <t>Airport page</t>
        </is>
      </c>
      <c r="E1165" s="56" t="inlineStr">
        <is>
          <t>Direct</t>
        </is>
      </c>
      <c r="F1165" s="56" t="inlineStr">
        <is>
          <t>Mobile</t>
        </is>
      </c>
      <c r="G1165" s="56" t="inlineStr">
        <is>
          <t>Austria</t>
        </is>
      </c>
      <c r="H1165" s="56" t="n">
        <v>12</v>
      </c>
      <c r="I1165" s="56" t="inlineStr">
        <is>
          <t>Start Search</t>
        </is>
      </c>
      <c r="J1165" s="56" t="inlineStr">
        <is>
          <t>1-23 August 2026</t>
        </is>
      </c>
      <c r="K1165" s="57" t="n">
        <v>25</v>
      </c>
      <c r="L1165" s="56" t="inlineStr">
        <is>
          <t>Completeness only</t>
        </is>
      </c>
      <c r="M1165" s="40">
        <f>IF(Countries!J302="","STILL MISSING","Filled ✓")</f>
        <v/>
      </c>
    </row>
    <row r="1166">
      <c r="A1166" s="40" t="inlineStr">
        <is>
          <t>Countries</t>
        </is>
      </c>
      <c r="B1166" s="40" t="inlineStr">
        <is>
          <t>AD353</t>
        </is>
      </c>
      <c r="C1166" s="40" t="n">
        <v>353</v>
      </c>
      <c r="D1166" s="40" t="inlineStr">
        <is>
          <t>Route page</t>
        </is>
      </c>
      <c r="E1166" s="40" t="inlineStr">
        <is>
          <t>Paid Search</t>
        </is>
      </c>
      <c r="F1166" s="40" t="inlineStr">
        <is>
          <t>Desktop</t>
        </is>
      </c>
      <c r="G1166" s="40" t="inlineStr">
        <is>
          <t>Austria</t>
        </is>
      </c>
      <c r="H1166" s="40" t="n">
        <v>12</v>
      </c>
      <c r="I1166" s="40" t="inlineStr">
        <is>
          <t>Add to cart</t>
        </is>
      </c>
      <c r="J1166" s="40" t="inlineStr">
        <is>
          <t>1-23 August 2025</t>
        </is>
      </c>
      <c r="K1166" s="55" t="n">
        <v>327</v>
      </c>
      <c r="L1166" s="40" t="inlineStr">
        <is>
          <t>Completeness only</t>
        </is>
      </c>
      <c r="M1166" s="40">
        <f>IF(Countries!AD353="","STILL MISSING","Filled ✓")</f>
        <v/>
      </c>
    </row>
    <row r="1167">
      <c r="A1167" s="56" t="inlineStr">
        <is>
          <t>Countries</t>
        </is>
      </c>
      <c r="B1167" s="56" t="inlineStr">
        <is>
          <t>AE353</t>
        </is>
      </c>
      <c r="C1167" s="56" t="n">
        <v>353</v>
      </c>
      <c r="D1167" s="56" t="inlineStr">
        <is>
          <t>Route page</t>
        </is>
      </c>
      <c r="E1167" s="56" t="inlineStr">
        <is>
          <t>Paid Search</t>
        </is>
      </c>
      <c r="F1167" s="56" t="inlineStr">
        <is>
          <t>Desktop</t>
        </is>
      </c>
      <c r="G1167" s="56" t="inlineStr">
        <is>
          <t>Austria</t>
        </is>
      </c>
      <c r="H1167" s="56" t="n">
        <v>12</v>
      </c>
      <c r="I1167" s="56" t="inlineStr">
        <is>
          <t>Add to cart</t>
        </is>
      </c>
      <c r="J1167" s="56" t="inlineStr">
        <is>
          <t>1-23 August 2026</t>
        </is>
      </c>
      <c r="K1167" s="57" t="n">
        <v>327</v>
      </c>
      <c r="L1167" s="56" t="inlineStr">
        <is>
          <t>Completeness only</t>
        </is>
      </c>
      <c r="M1167" s="40">
        <f>IF(Countries!AE353="","STILL MISSING","Filled ✓")</f>
        <v/>
      </c>
    </row>
    <row r="1168">
      <c r="A1168" s="40" t="inlineStr">
        <is>
          <t>Countries</t>
        </is>
      </c>
      <c r="B1168" s="40" t="inlineStr">
        <is>
          <t>AK353</t>
        </is>
      </c>
      <c r="C1168" s="40" t="n">
        <v>353</v>
      </c>
      <c r="D1168" s="40" t="inlineStr">
        <is>
          <t>Route page</t>
        </is>
      </c>
      <c r="E1168" s="40" t="inlineStr">
        <is>
          <t>Paid Search</t>
        </is>
      </c>
      <c r="F1168" s="40" t="inlineStr">
        <is>
          <t>Desktop</t>
        </is>
      </c>
      <c r="G1168" s="40" t="inlineStr">
        <is>
          <t>Austria</t>
        </is>
      </c>
      <c r="H1168" s="40" t="n">
        <v>12</v>
      </c>
      <c r="I1168" s="40" t="inlineStr">
        <is>
          <t>Begin checkout</t>
        </is>
      </c>
      <c r="J1168" s="40" t="inlineStr">
        <is>
          <t>1-23 August 2025</t>
        </is>
      </c>
      <c r="K1168" s="55" t="n">
        <v>327</v>
      </c>
      <c r="L1168" s="40" t="inlineStr">
        <is>
          <t>Completeness only</t>
        </is>
      </c>
      <c r="M1168" s="40">
        <f>IF(Countries!AK353="","STILL MISSING","Filled ✓")</f>
        <v/>
      </c>
    </row>
    <row r="1169">
      <c r="A1169" s="56" t="inlineStr">
        <is>
          <t>Countries</t>
        </is>
      </c>
      <c r="B1169" s="56" t="inlineStr">
        <is>
          <t>AL353</t>
        </is>
      </c>
      <c r="C1169" s="56" t="n">
        <v>353</v>
      </c>
      <c r="D1169" s="56" t="inlineStr">
        <is>
          <t>Route page</t>
        </is>
      </c>
      <c r="E1169" s="56" t="inlineStr">
        <is>
          <t>Paid Search</t>
        </is>
      </c>
      <c r="F1169" s="56" t="inlineStr">
        <is>
          <t>Desktop</t>
        </is>
      </c>
      <c r="G1169" s="56" t="inlineStr">
        <is>
          <t>Austria</t>
        </is>
      </c>
      <c r="H1169" s="56" t="n">
        <v>12</v>
      </c>
      <c r="I1169" s="56" t="inlineStr">
        <is>
          <t>Begin checkout</t>
        </is>
      </c>
      <c r="J1169" s="56" t="inlineStr">
        <is>
          <t>1-23 August 2026</t>
        </is>
      </c>
      <c r="K1169" s="57" t="n">
        <v>327</v>
      </c>
      <c r="L1169" s="56" t="inlineStr">
        <is>
          <t>Completeness only</t>
        </is>
      </c>
      <c r="M1169" s="40">
        <f>IF(Countries!AL353="","STILL MISSING","Filled ✓")</f>
        <v/>
      </c>
    </row>
    <row r="1170">
      <c r="A1170" s="40" t="inlineStr">
        <is>
          <t>Countries</t>
        </is>
      </c>
      <c r="B1170" s="40" t="inlineStr">
        <is>
          <t>AD335</t>
        </is>
      </c>
      <c r="C1170" s="40" t="n">
        <v>335</v>
      </c>
      <c r="D1170" s="40" t="inlineStr">
        <is>
          <t>Route page</t>
        </is>
      </c>
      <c r="E1170" s="40" t="inlineStr">
        <is>
          <t>Paid Search</t>
        </is>
      </c>
      <c r="F1170" s="40" t="inlineStr">
        <is>
          <t>Mobile</t>
        </is>
      </c>
      <c r="G1170" s="40" t="inlineStr">
        <is>
          <t>Austria</t>
        </is>
      </c>
      <c r="H1170" s="40" t="n">
        <v>12</v>
      </c>
      <c r="I1170" s="40" t="inlineStr">
        <is>
          <t>Add to cart</t>
        </is>
      </c>
      <c r="J1170" s="40" t="inlineStr">
        <is>
          <t>1-23 August 2025</t>
        </is>
      </c>
      <c r="K1170" s="55" t="n">
        <v>453</v>
      </c>
      <c r="L1170" s="40" t="inlineStr">
        <is>
          <t>Completeness only</t>
        </is>
      </c>
      <c r="M1170" s="40">
        <f>IF(Countries!AD335="","STILL MISSING","Filled ✓")</f>
        <v/>
      </c>
    </row>
    <row r="1171">
      <c r="A1171" s="56" t="inlineStr">
        <is>
          <t>Countries</t>
        </is>
      </c>
      <c r="B1171" s="56" t="inlineStr">
        <is>
          <t>AE335</t>
        </is>
      </c>
      <c r="C1171" s="56" t="n">
        <v>335</v>
      </c>
      <c r="D1171" s="56" t="inlineStr">
        <is>
          <t>Route page</t>
        </is>
      </c>
      <c r="E1171" s="56" t="inlineStr">
        <is>
          <t>Paid Search</t>
        </is>
      </c>
      <c r="F1171" s="56" t="inlineStr">
        <is>
          <t>Mobile</t>
        </is>
      </c>
      <c r="G1171" s="56" t="inlineStr">
        <is>
          <t>Austria</t>
        </is>
      </c>
      <c r="H1171" s="56" t="n">
        <v>12</v>
      </c>
      <c r="I1171" s="56" t="inlineStr">
        <is>
          <t>Add to cart</t>
        </is>
      </c>
      <c r="J1171" s="56" t="inlineStr">
        <is>
          <t>1-23 August 2026</t>
        </is>
      </c>
      <c r="K1171" s="57" t="n">
        <v>453</v>
      </c>
      <c r="L1171" s="56" t="inlineStr">
        <is>
          <t>Completeness only</t>
        </is>
      </c>
      <c r="M1171" s="40">
        <f>IF(Countries!AE335="","STILL MISSING","Filled ✓")</f>
        <v/>
      </c>
    </row>
    <row r="1172">
      <c r="A1172" s="40" t="inlineStr">
        <is>
          <t>Countries</t>
        </is>
      </c>
      <c r="B1172" s="40" t="inlineStr">
        <is>
          <t>AK335</t>
        </is>
      </c>
      <c r="C1172" s="40" t="n">
        <v>335</v>
      </c>
      <c r="D1172" s="40" t="inlineStr">
        <is>
          <t>Route page</t>
        </is>
      </c>
      <c r="E1172" s="40" t="inlineStr">
        <is>
          <t>Paid Search</t>
        </is>
      </c>
      <c r="F1172" s="40" t="inlineStr">
        <is>
          <t>Mobile</t>
        </is>
      </c>
      <c r="G1172" s="40" t="inlineStr">
        <is>
          <t>Austria</t>
        </is>
      </c>
      <c r="H1172" s="40" t="n">
        <v>12</v>
      </c>
      <c r="I1172" s="40" t="inlineStr">
        <is>
          <t>Begin checkout</t>
        </is>
      </c>
      <c r="J1172" s="40" t="inlineStr">
        <is>
          <t>1-23 August 2025</t>
        </is>
      </c>
      <c r="K1172" s="55" t="n">
        <v>453</v>
      </c>
      <c r="L1172" s="40" t="inlineStr">
        <is>
          <t>Completeness only</t>
        </is>
      </c>
      <c r="M1172" s="40">
        <f>IF(Countries!AK335="","STILL MISSING","Filled ✓")</f>
        <v/>
      </c>
    </row>
    <row r="1173">
      <c r="A1173" s="56" t="inlineStr">
        <is>
          <t>Countries</t>
        </is>
      </c>
      <c r="B1173" s="56" t="inlineStr">
        <is>
          <t>AL335</t>
        </is>
      </c>
      <c r="C1173" s="56" t="n">
        <v>335</v>
      </c>
      <c r="D1173" s="56" t="inlineStr">
        <is>
          <t>Route page</t>
        </is>
      </c>
      <c r="E1173" s="56" t="inlineStr">
        <is>
          <t>Paid Search</t>
        </is>
      </c>
      <c r="F1173" s="56" t="inlineStr">
        <is>
          <t>Mobile</t>
        </is>
      </c>
      <c r="G1173" s="56" t="inlineStr">
        <is>
          <t>Austria</t>
        </is>
      </c>
      <c r="H1173" s="56" t="n">
        <v>12</v>
      </c>
      <c r="I1173" s="56" t="inlineStr">
        <is>
          <t>Begin checkout</t>
        </is>
      </c>
      <c r="J1173" s="56" t="inlineStr">
        <is>
          <t>1-23 August 2026</t>
        </is>
      </c>
      <c r="K1173" s="57" t="n">
        <v>453</v>
      </c>
      <c r="L1173" s="56" t="inlineStr">
        <is>
          <t>Completeness only</t>
        </is>
      </c>
      <c r="M1173" s="40">
        <f>IF(Countries!AL335="","STILL MISSING","Filled ✓")</f>
        <v/>
      </c>
    </row>
    <row r="1174">
      <c r="A1174" s="40" t="inlineStr">
        <is>
          <t>Countries</t>
        </is>
      </c>
      <c r="B1174" s="40" t="inlineStr">
        <is>
          <t>AD394</t>
        </is>
      </c>
      <c r="C1174" s="40" t="n">
        <v>394</v>
      </c>
      <c r="D1174" s="40" t="inlineStr">
        <is>
          <t>Route page</t>
        </is>
      </c>
      <c r="E1174" s="40" t="inlineStr">
        <is>
          <t>Organic</t>
        </is>
      </c>
      <c r="F1174" s="40" t="inlineStr">
        <is>
          <t>Desktop</t>
        </is>
      </c>
      <c r="G1174" s="40" t="inlineStr">
        <is>
          <t>Austria</t>
        </is>
      </c>
      <c r="H1174" s="40" t="n">
        <v>12</v>
      </c>
      <c r="I1174" s="40" t="inlineStr">
        <is>
          <t>Add to cart</t>
        </is>
      </c>
      <c r="J1174" s="40" t="inlineStr">
        <is>
          <t>1-23 August 2025</t>
        </is>
      </c>
      <c r="K1174" s="55" t="n">
        <v>122</v>
      </c>
      <c r="L1174" s="40" t="inlineStr">
        <is>
          <t>Completeness only</t>
        </is>
      </c>
      <c r="M1174" s="40">
        <f>IF(Countries!AD394="","STILL MISSING","Filled ✓")</f>
        <v/>
      </c>
    </row>
    <row r="1175">
      <c r="A1175" s="56" t="inlineStr">
        <is>
          <t>Countries</t>
        </is>
      </c>
      <c r="B1175" s="56" t="inlineStr">
        <is>
          <t>AE394</t>
        </is>
      </c>
      <c r="C1175" s="56" t="n">
        <v>394</v>
      </c>
      <c r="D1175" s="56" t="inlineStr">
        <is>
          <t>Route page</t>
        </is>
      </c>
      <c r="E1175" s="56" t="inlineStr">
        <is>
          <t>Organic</t>
        </is>
      </c>
      <c r="F1175" s="56" t="inlineStr">
        <is>
          <t>Desktop</t>
        </is>
      </c>
      <c r="G1175" s="56" t="inlineStr">
        <is>
          <t>Austria</t>
        </is>
      </c>
      <c r="H1175" s="56" t="n">
        <v>12</v>
      </c>
      <c r="I1175" s="56" t="inlineStr">
        <is>
          <t>Add to cart</t>
        </is>
      </c>
      <c r="J1175" s="56" t="inlineStr">
        <is>
          <t>1-23 August 2026</t>
        </is>
      </c>
      <c r="K1175" s="57" t="n">
        <v>122</v>
      </c>
      <c r="L1175" s="56" t="inlineStr">
        <is>
          <t>Completeness only</t>
        </is>
      </c>
      <c r="M1175" s="40">
        <f>IF(Countries!AE394="","STILL MISSING","Filled ✓")</f>
        <v/>
      </c>
    </row>
    <row r="1176">
      <c r="A1176" s="40" t="inlineStr">
        <is>
          <t>Countries</t>
        </is>
      </c>
      <c r="B1176" s="40" t="inlineStr">
        <is>
          <t>AK394</t>
        </is>
      </c>
      <c r="C1176" s="40" t="n">
        <v>394</v>
      </c>
      <c r="D1176" s="40" t="inlineStr">
        <is>
          <t>Route page</t>
        </is>
      </c>
      <c r="E1176" s="40" t="inlineStr">
        <is>
          <t>Organic</t>
        </is>
      </c>
      <c r="F1176" s="40" t="inlineStr">
        <is>
          <t>Desktop</t>
        </is>
      </c>
      <c r="G1176" s="40" t="inlineStr">
        <is>
          <t>Austria</t>
        </is>
      </c>
      <c r="H1176" s="40" t="n">
        <v>12</v>
      </c>
      <c r="I1176" s="40" t="inlineStr">
        <is>
          <t>Begin checkout</t>
        </is>
      </c>
      <c r="J1176" s="40" t="inlineStr">
        <is>
          <t>1-23 August 2025</t>
        </is>
      </c>
      <c r="K1176" s="55" t="n">
        <v>122</v>
      </c>
      <c r="L1176" s="40" t="inlineStr">
        <is>
          <t>Completeness only</t>
        </is>
      </c>
      <c r="M1176" s="40">
        <f>IF(Countries!AK394="","STILL MISSING","Filled ✓")</f>
        <v/>
      </c>
    </row>
    <row r="1177">
      <c r="A1177" s="56" t="inlineStr">
        <is>
          <t>Countries</t>
        </is>
      </c>
      <c r="B1177" s="56" t="inlineStr">
        <is>
          <t>AL394</t>
        </is>
      </c>
      <c r="C1177" s="56" t="n">
        <v>394</v>
      </c>
      <c r="D1177" s="56" t="inlineStr">
        <is>
          <t>Route page</t>
        </is>
      </c>
      <c r="E1177" s="56" t="inlineStr">
        <is>
          <t>Organic</t>
        </is>
      </c>
      <c r="F1177" s="56" t="inlineStr">
        <is>
          <t>Desktop</t>
        </is>
      </c>
      <c r="G1177" s="56" t="inlineStr">
        <is>
          <t>Austria</t>
        </is>
      </c>
      <c r="H1177" s="56" t="n">
        <v>12</v>
      </c>
      <c r="I1177" s="56" t="inlineStr">
        <is>
          <t>Begin checkout</t>
        </is>
      </c>
      <c r="J1177" s="56" t="inlineStr">
        <is>
          <t>1-23 August 2026</t>
        </is>
      </c>
      <c r="K1177" s="57" t="n">
        <v>122</v>
      </c>
      <c r="L1177" s="56" t="inlineStr">
        <is>
          <t>Completeness only</t>
        </is>
      </c>
      <c r="M1177" s="40">
        <f>IF(Countries!AL394="","STILL MISSING","Filled ✓")</f>
        <v/>
      </c>
    </row>
    <row r="1178">
      <c r="A1178" s="40" t="inlineStr">
        <is>
          <t>Countries</t>
        </is>
      </c>
      <c r="B1178" s="40" t="inlineStr">
        <is>
          <t>AS394</t>
        </is>
      </c>
      <c r="C1178" s="40" t="n">
        <v>394</v>
      </c>
      <c r="D1178" s="40" t="inlineStr">
        <is>
          <t>Route page</t>
        </is>
      </c>
      <c r="E1178" s="40" t="inlineStr">
        <is>
          <t>Organic</t>
        </is>
      </c>
      <c r="F1178" s="40" t="inlineStr">
        <is>
          <t>Desktop</t>
        </is>
      </c>
      <c r="G1178" s="40" t="inlineStr">
        <is>
          <t>Austria</t>
        </is>
      </c>
      <c r="H1178" s="40" t="n">
        <v>12</v>
      </c>
      <c r="I1178" s="40" t="inlineStr">
        <is>
          <t>Purchases</t>
        </is>
      </c>
      <c r="J1178" s="40" t="inlineStr">
        <is>
          <t>1-23 August 2026</t>
        </is>
      </c>
      <c r="K1178" s="55" t="n">
        <v>122</v>
      </c>
      <c r="L1178" s="40" t="inlineStr">
        <is>
          <t>Completeness only</t>
        </is>
      </c>
      <c r="M1178" s="40">
        <f>IF(Countries!AS394="","STILL MISSING","Filled ✓")</f>
        <v/>
      </c>
    </row>
    <row r="1179">
      <c r="A1179" s="56" t="inlineStr">
        <is>
          <t>Countries</t>
        </is>
      </c>
      <c r="B1179" s="56" t="inlineStr">
        <is>
          <t>X394</t>
        </is>
      </c>
      <c r="C1179" s="56" t="n">
        <v>394</v>
      </c>
      <c r="D1179" s="56" t="inlineStr">
        <is>
          <t>Route page</t>
        </is>
      </c>
      <c r="E1179" s="56" t="inlineStr">
        <is>
          <t>Organic</t>
        </is>
      </c>
      <c r="F1179" s="56" t="inlineStr">
        <is>
          <t>Desktop</t>
        </is>
      </c>
      <c r="G1179" s="56" t="inlineStr">
        <is>
          <t>Austria</t>
        </is>
      </c>
      <c r="H1179" s="56" t="n">
        <v>12</v>
      </c>
      <c r="I1179" s="56" t="inlineStr">
        <is>
          <t>Select item</t>
        </is>
      </c>
      <c r="J1179" s="56" t="inlineStr">
        <is>
          <t>1-23 August 2026</t>
        </is>
      </c>
      <c r="K1179" s="57" t="n">
        <v>122</v>
      </c>
      <c r="L1179" s="56" t="inlineStr">
        <is>
          <t>Completeness only</t>
        </is>
      </c>
      <c r="M1179" s="40">
        <f>IF(Countries!X394="","STILL MISSING","Filled ✓")</f>
        <v/>
      </c>
    </row>
    <row r="1180">
      <c r="A1180" s="40" t="inlineStr">
        <is>
          <t>Countries</t>
        </is>
      </c>
      <c r="B1180" s="40" t="inlineStr">
        <is>
          <t>F394</t>
        </is>
      </c>
      <c r="C1180" s="40" t="n">
        <v>394</v>
      </c>
      <c r="D1180" s="40" t="inlineStr">
        <is>
          <t>Route page</t>
        </is>
      </c>
      <c r="E1180" s="40" t="inlineStr">
        <is>
          <t>Organic</t>
        </is>
      </c>
      <c r="F1180" s="40" t="inlineStr">
        <is>
          <t>Desktop</t>
        </is>
      </c>
      <c r="G1180" s="40" t="inlineStr">
        <is>
          <t>Austria</t>
        </is>
      </c>
      <c r="H1180" s="40" t="n">
        <v>12</v>
      </c>
      <c r="I1180" s="40" t="inlineStr">
        <is>
          <t>Sessions</t>
        </is>
      </c>
      <c r="J1180" s="40" t="inlineStr">
        <is>
          <t>1-23 August 2026</t>
        </is>
      </c>
      <c r="K1180" s="55" t="n">
        <v>122</v>
      </c>
      <c r="L1180" s="40" t="inlineStr">
        <is>
          <t>Completeness only</t>
        </is>
      </c>
      <c r="M1180" s="40">
        <f>IF(Countries!F394="","STILL MISSING","Filled ✓")</f>
        <v/>
      </c>
    </row>
    <row r="1181">
      <c r="A1181" s="56" t="inlineStr">
        <is>
          <t>Countries</t>
        </is>
      </c>
      <c r="B1181" s="56" t="inlineStr">
        <is>
          <t>I394</t>
        </is>
      </c>
      <c r="C1181" s="56" t="n">
        <v>394</v>
      </c>
      <c r="D1181" s="56" t="inlineStr">
        <is>
          <t>Route page</t>
        </is>
      </c>
      <c r="E1181" s="56" t="inlineStr">
        <is>
          <t>Organic</t>
        </is>
      </c>
      <c r="F1181" s="56" t="inlineStr">
        <is>
          <t>Desktop</t>
        </is>
      </c>
      <c r="G1181" s="56" t="inlineStr">
        <is>
          <t>Austria</t>
        </is>
      </c>
      <c r="H1181" s="56" t="n">
        <v>12</v>
      </c>
      <c r="I1181" s="56" t="inlineStr">
        <is>
          <t>Start Search</t>
        </is>
      </c>
      <c r="J1181" s="56" t="inlineStr">
        <is>
          <t>1-23 August 2025</t>
        </is>
      </c>
      <c r="K1181" s="57" t="n">
        <v>122</v>
      </c>
      <c r="L1181" s="56" t="inlineStr">
        <is>
          <t>Completeness only</t>
        </is>
      </c>
      <c r="M1181" s="40">
        <f>IF(Countries!I394="","STILL MISSING","Filled ✓")</f>
        <v/>
      </c>
    </row>
    <row r="1182">
      <c r="A1182" s="40" t="inlineStr">
        <is>
          <t>Countries</t>
        </is>
      </c>
      <c r="B1182" s="40" t="inlineStr">
        <is>
          <t>J394</t>
        </is>
      </c>
      <c r="C1182" s="40" t="n">
        <v>394</v>
      </c>
      <c r="D1182" s="40" t="inlineStr">
        <is>
          <t>Route page</t>
        </is>
      </c>
      <c r="E1182" s="40" t="inlineStr">
        <is>
          <t>Organic</t>
        </is>
      </c>
      <c r="F1182" s="40" t="inlineStr">
        <is>
          <t>Desktop</t>
        </is>
      </c>
      <c r="G1182" s="40" t="inlineStr">
        <is>
          <t>Austria</t>
        </is>
      </c>
      <c r="H1182" s="40" t="n">
        <v>12</v>
      </c>
      <c r="I1182" s="40" t="inlineStr">
        <is>
          <t>Start Search</t>
        </is>
      </c>
      <c r="J1182" s="40" t="inlineStr">
        <is>
          <t>1-23 August 2026</t>
        </is>
      </c>
      <c r="K1182" s="55" t="n">
        <v>122</v>
      </c>
      <c r="L1182" s="40" t="inlineStr">
        <is>
          <t>Completeness only</t>
        </is>
      </c>
      <c r="M1182" s="40">
        <f>IF(Countries!J394="","STILL MISSING","Filled ✓")</f>
        <v/>
      </c>
    </row>
    <row r="1183">
      <c r="A1183" s="56" t="inlineStr">
        <is>
          <t>Countries</t>
        </is>
      </c>
      <c r="B1183" s="56" t="inlineStr">
        <is>
          <t>AD373</t>
        </is>
      </c>
      <c r="C1183" s="56" t="n">
        <v>373</v>
      </c>
      <c r="D1183" s="56" t="inlineStr">
        <is>
          <t>Route page</t>
        </is>
      </c>
      <c r="E1183" s="56" t="inlineStr">
        <is>
          <t>Organic</t>
        </is>
      </c>
      <c r="F1183" s="56" t="inlineStr">
        <is>
          <t>Mobile</t>
        </is>
      </c>
      <c r="G1183" s="56" t="inlineStr">
        <is>
          <t>Austria</t>
        </is>
      </c>
      <c r="H1183" s="56" t="n">
        <v>12</v>
      </c>
      <c r="I1183" s="56" t="inlineStr">
        <is>
          <t>Add to cart</t>
        </is>
      </c>
      <c r="J1183" s="56" t="inlineStr">
        <is>
          <t>1-23 August 2025</t>
        </is>
      </c>
      <c r="K1183" s="57" t="n">
        <v>407</v>
      </c>
      <c r="L1183" s="56" t="inlineStr">
        <is>
          <t>Completeness only</t>
        </is>
      </c>
      <c r="M1183" s="40">
        <f>IF(Countries!AD373="","STILL MISSING","Filled ✓")</f>
        <v/>
      </c>
    </row>
    <row r="1184">
      <c r="A1184" s="40" t="inlineStr">
        <is>
          <t>Countries</t>
        </is>
      </c>
      <c r="B1184" s="40" t="inlineStr">
        <is>
          <t>AE373</t>
        </is>
      </c>
      <c r="C1184" s="40" t="n">
        <v>373</v>
      </c>
      <c r="D1184" s="40" t="inlineStr">
        <is>
          <t>Route page</t>
        </is>
      </c>
      <c r="E1184" s="40" t="inlineStr">
        <is>
          <t>Organic</t>
        </is>
      </c>
      <c r="F1184" s="40" t="inlineStr">
        <is>
          <t>Mobile</t>
        </is>
      </c>
      <c r="G1184" s="40" t="inlineStr">
        <is>
          <t>Austria</t>
        </is>
      </c>
      <c r="H1184" s="40" t="n">
        <v>12</v>
      </c>
      <c r="I1184" s="40" t="inlineStr">
        <is>
          <t>Add to cart</t>
        </is>
      </c>
      <c r="J1184" s="40" t="inlineStr">
        <is>
          <t>1-23 August 2026</t>
        </is>
      </c>
      <c r="K1184" s="55" t="n">
        <v>407</v>
      </c>
      <c r="L1184" s="40" t="inlineStr">
        <is>
          <t>Completeness only</t>
        </is>
      </c>
      <c r="M1184" s="40">
        <f>IF(Countries!AE373="","STILL MISSING","Filled ✓")</f>
        <v/>
      </c>
    </row>
    <row r="1185">
      <c r="A1185" s="56" t="inlineStr">
        <is>
          <t>Countries</t>
        </is>
      </c>
      <c r="B1185" s="56" t="inlineStr">
        <is>
          <t>AK373</t>
        </is>
      </c>
      <c r="C1185" s="56" t="n">
        <v>373</v>
      </c>
      <c r="D1185" s="56" t="inlineStr">
        <is>
          <t>Route page</t>
        </is>
      </c>
      <c r="E1185" s="56" t="inlineStr">
        <is>
          <t>Organic</t>
        </is>
      </c>
      <c r="F1185" s="56" t="inlineStr">
        <is>
          <t>Mobile</t>
        </is>
      </c>
      <c r="G1185" s="56" t="inlineStr">
        <is>
          <t>Austria</t>
        </is>
      </c>
      <c r="H1185" s="56" t="n">
        <v>12</v>
      </c>
      <c r="I1185" s="56" t="inlineStr">
        <is>
          <t>Begin checkout</t>
        </is>
      </c>
      <c r="J1185" s="56" t="inlineStr">
        <is>
          <t>1-23 August 2025</t>
        </is>
      </c>
      <c r="K1185" s="57" t="n">
        <v>407</v>
      </c>
      <c r="L1185" s="56" t="inlineStr">
        <is>
          <t>Completeness only</t>
        </is>
      </c>
      <c r="M1185" s="40">
        <f>IF(Countries!AK373="","STILL MISSING","Filled ✓")</f>
        <v/>
      </c>
    </row>
    <row r="1186">
      <c r="A1186" s="40" t="inlineStr">
        <is>
          <t>Countries</t>
        </is>
      </c>
      <c r="B1186" s="40" t="inlineStr">
        <is>
          <t>AL373</t>
        </is>
      </c>
      <c r="C1186" s="40" t="n">
        <v>373</v>
      </c>
      <c r="D1186" s="40" t="inlineStr">
        <is>
          <t>Route page</t>
        </is>
      </c>
      <c r="E1186" s="40" t="inlineStr">
        <is>
          <t>Organic</t>
        </is>
      </c>
      <c r="F1186" s="40" t="inlineStr">
        <is>
          <t>Mobile</t>
        </is>
      </c>
      <c r="G1186" s="40" t="inlineStr">
        <is>
          <t>Austria</t>
        </is>
      </c>
      <c r="H1186" s="40" t="n">
        <v>12</v>
      </c>
      <c r="I1186" s="40" t="inlineStr">
        <is>
          <t>Begin checkout</t>
        </is>
      </c>
      <c r="J1186" s="40" t="inlineStr">
        <is>
          <t>1-23 August 2026</t>
        </is>
      </c>
      <c r="K1186" s="55" t="n">
        <v>407</v>
      </c>
      <c r="L1186" s="40" t="inlineStr">
        <is>
          <t>Completeness only</t>
        </is>
      </c>
      <c r="M1186" s="40">
        <f>IF(Countries!AL373="","STILL MISSING","Filled ✓")</f>
        <v/>
      </c>
    </row>
    <row r="1187">
      <c r="A1187" s="56" t="inlineStr">
        <is>
          <t>Countries</t>
        </is>
      </c>
      <c r="B1187" s="56" t="inlineStr">
        <is>
          <t>AR373</t>
        </is>
      </c>
      <c r="C1187" s="56" t="n">
        <v>373</v>
      </c>
      <c r="D1187" s="56" t="inlineStr">
        <is>
          <t>Route page</t>
        </is>
      </c>
      <c r="E1187" s="56" t="inlineStr">
        <is>
          <t>Organic</t>
        </is>
      </c>
      <c r="F1187" s="56" t="inlineStr">
        <is>
          <t>Mobile</t>
        </is>
      </c>
      <c r="G1187" s="56" t="inlineStr">
        <is>
          <t>Austria</t>
        </is>
      </c>
      <c r="H1187" s="56" t="n">
        <v>12</v>
      </c>
      <c r="I1187" s="56" t="inlineStr">
        <is>
          <t>Purchases</t>
        </is>
      </c>
      <c r="J1187" s="56" t="inlineStr">
        <is>
          <t>1-23 August 2025</t>
        </is>
      </c>
      <c r="K1187" s="57" t="n">
        <v>407</v>
      </c>
      <c r="L1187" s="56" t="inlineStr">
        <is>
          <t>Completeness only</t>
        </is>
      </c>
      <c r="M1187" s="40">
        <f>IF(Countries!AR373="","STILL MISSING","Filled ✓")</f>
        <v/>
      </c>
    </row>
    <row r="1188">
      <c r="A1188" s="40" t="inlineStr">
        <is>
          <t>Countries</t>
        </is>
      </c>
      <c r="B1188" s="40" t="inlineStr">
        <is>
          <t>P373</t>
        </is>
      </c>
      <c r="C1188" s="40" t="n">
        <v>373</v>
      </c>
      <c r="D1188" s="40" t="inlineStr">
        <is>
          <t>Route page</t>
        </is>
      </c>
      <c r="E1188" s="40" t="inlineStr">
        <is>
          <t>Organic</t>
        </is>
      </c>
      <c r="F1188" s="40" t="inlineStr">
        <is>
          <t>Mobile</t>
        </is>
      </c>
      <c r="G1188" s="40" t="inlineStr">
        <is>
          <t>Austria</t>
        </is>
      </c>
      <c r="H1188" s="40" t="n">
        <v>12</v>
      </c>
      <c r="I1188" s="40" t="inlineStr">
        <is>
          <t>Searches</t>
        </is>
      </c>
      <c r="J1188" s="40" t="inlineStr">
        <is>
          <t>1-23 August 2025</t>
        </is>
      </c>
      <c r="K1188" s="55" t="n">
        <v>407</v>
      </c>
      <c r="L1188" s="40" t="inlineStr">
        <is>
          <t>Completeness only</t>
        </is>
      </c>
      <c r="M1188" s="40">
        <f>IF(Countries!P373="","STILL MISSING","Filled ✓")</f>
        <v/>
      </c>
    </row>
    <row r="1189">
      <c r="A1189" s="56" t="inlineStr">
        <is>
          <t>Countries</t>
        </is>
      </c>
      <c r="B1189" s="56" t="inlineStr">
        <is>
          <t>W373</t>
        </is>
      </c>
      <c r="C1189" s="56" t="n">
        <v>373</v>
      </c>
      <c r="D1189" s="56" t="inlineStr">
        <is>
          <t>Route page</t>
        </is>
      </c>
      <c r="E1189" s="56" t="inlineStr">
        <is>
          <t>Organic</t>
        </is>
      </c>
      <c r="F1189" s="56" t="inlineStr">
        <is>
          <t>Mobile</t>
        </is>
      </c>
      <c r="G1189" s="56" t="inlineStr">
        <is>
          <t>Austria</t>
        </is>
      </c>
      <c r="H1189" s="56" t="n">
        <v>12</v>
      </c>
      <c r="I1189" s="56" t="inlineStr">
        <is>
          <t>Select item</t>
        </is>
      </c>
      <c r="J1189" s="56" t="inlineStr">
        <is>
          <t>1-23 August 2025</t>
        </is>
      </c>
      <c r="K1189" s="57" t="n">
        <v>407</v>
      </c>
      <c r="L1189" s="56" t="inlineStr">
        <is>
          <t>Completeness only</t>
        </is>
      </c>
      <c r="M1189" s="40">
        <f>IF(Countries!W373="","STILL MISSING","Filled ✓")</f>
        <v/>
      </c>
    </row>
    <row r="1190">
      <c r="A1190" s="40" t="inlineStr">
        <is>
          <t>Countries</t>
        </is>
      </c>
      <c r="B1190" s="40" t="inlineStr">
        <is>
          <t>X373</t>
        </is>
      </c>
      <c r="C1190" s="40" t="n">
        <v>373</v>
      </c>
      <c r="D1190" s="40" t="inlineStr">
        <is>
          <t>Route page</t>
        </is>
      </c>
      <c r="E1190" s="40" t="inlineStr">
        <is>
          <t>Organic</t>
        </is>
      </c>
      <c r="F1190" s="40" t="inlineStr">
        <is>
          <t>Mobile</t>
        </is>
      </c>
      <c r="G1190" s="40" t="inlineStr">
        <is>
          <t>Austria</t>
        </is>
      </c>
      <c r="H1190" s="40" t="n">
        <v>12</v>
      </c>
      <c r="I1190" s="40" t="inlineStr">
        <is>
          <t>Select item</t>
        </is>
      </c>
      <c r="J1190" s="40" t="inlineStr">
        <is>
          <t>1-23 August 2026</t>
        </is>
      </c>
      <c r="K1190" s="55" t="n">
        <v>407</v>
      </c>
      <c r="L1190" s="40" t="inlineStr">
        <is>
          <t>Completeness only</t>
        </is>
      </c>
      <c r="M1190" s="40">
        <f>IF(Countries!X373="","STILL MISSING","Filled ✓")</f>
        <v/>
      </c>
    </row>
    <row r="1191">
      <c r="A1191" s="56" t="inlineStr">
        <is>
          <t>Countries</t>
        </is>
      </c>
      <c r="B1191" s="56" t="inlineStr">
        <is>
          <t>I373</t>
        </is>
      </c>
      <c r="C1191" s="56" t="n">
        <v>373</v>
      </c>
      <c r="D1191" s="56" t="inlineStr">
        <is>
          <t>Route page</t>
        </is>
      </c>
      <c r="E1191" s="56" t="inlineStr">
        <is>
          <t>Organic</t>
        </is>
      </c>
      <c r="F1191" s="56" t="inlineStr">
        <is>
          <t>Mobile</t>
        </is>
      </c>
      <c r="G1191" s="56" t="inlineStr">
        <is>
          <t>Austria</t>
        </is>
      </c>
      <c r="H1191" s="56" t="n">
        <v>12</v>
      </c>
      <c r="I1191" s="56" t="inlineStr">
        <is>
          <t>Start Search</t>
        </is>
      </c>
      <c r="J1191" s="56" t="inlineStr">
        <is>
          <t>1-23 August 2025</t>
        </is>
      </c>
      <c r="K1191" s="57" t="n">
        <v>407</v>
      </c>
      <c r="L1191" s="56" t="inlineStr">
        <is>
          <t>Completeness only</t>
        </is>
      </c>
      <c r="M1191" s="40">
        <f>IF(Countries!I373="","STILL MISSING","Filled ✓")</f>
        <v/>
      </c>
    </row>
    <row r="1192">
      <c r="A1192" s="40" t="inlineStr">
        <is>
          <t>Countries</t>
        </is>
      </c>
      <c r="B1192" s="40" t="inlineStr">
        <is>
          <t>AD427</t>
        </is>
      </c>
      <c r="C1192" s="40" t="n">
        <v>427</v>
      </c>
      <c r="D1192" s="40" t="inlineStr">
        <is>
          <t>Route page</t>
        </is>
      </c>
      <c r="E1192" s="40" t="inlineStr">
        <is>
          <t>Direct</t>
        </is>
      </c>
      <c r="F1192" s="40" t="inlineStr">
        <is>
          <t>Desktop</t>
        </is>
      </c>
      <c r="G1192" s="40" t="inlineStr">
        <is>
          <t>Austria</t>
        </is>
      </c>
      <c r="H1192" s="40" t="n">
        <v>12</v>
      </c>
      <c r="I1192" s="40" t="inlineStr">
        <is>
          <t>Add to cart</t>
        </is>
      </c>
      <c r="J1192" s="40" t="inlineStr">
        <is>
          <t>1-23 August 2025</t>
        </is>
      </c>
      <c r="K1192" s="55" t="n">
        <v>114</v>
      </c>
      <c r="L1192" s="40" t="inlineStr">
        <is>
          <t>Completeness only</t>
        </is>
      </c>
      <c r="M1192" s="40">
        <f>IF(Countries!AD427="","STILL MISSING","Filled ✓")</f>
        <v/>
      </c>
    </row>
    <row r="1193">
      <c r="A1193" s="56" t="inlineStr">
        <is>
          <t>Countries</t>
        </is>
      </c>
      <c r="B1193" s="56" t="inlineStr">
        <is>
          <t>AE427</t>
        </is>
      </c>
      <c r="C1193" s="56" t="n">
        <v>427</v>
      </c>
      <c r="D1193" s="56" t="inlineStr">
        <is>
          <t>Route page</t>
        </is>
      </c>
      <c r="E1193" s="56" t="inlineStr">
        <is>
          <t>Direct</t>
        </is>
      </c>
      <c r="F1193" s="56" t="inlineStr">
        <is>
          <t>Desktop</t>
        </is>
      </c>
      <c r="G1193" s="56" t="inlineStr">
        <is>
          <t>Austria</t>
        </is>
      </c>
      <c r="H1193" s="56" t="n">
        <v>12</v>
      </c>
      <c r="I1193" s="56" t="inlineStr">
        <is>
          <t>Add to cart</t>
        </is>
      </c>
      <c r="J1193" s="56" t="inlineStr">
        <is>
          <t>1-23 August 2026</t>
        </is>
      </c>
      <c r="K1193" s="57" t="n">
        <v>114</v>
      </c>
      <c r="L1193" s="56" t="inlineStr">
        <is>
          <t>Completeness only</t>
        </is>
      </c>
      <c r="M1193" s="40">
        <f>IF(Countries!AE427="","STILL MISSING","Filled ✓")</f>
        <v/>
      </c>
    </row>
    <row r="1194">
      <c r="A1194" s="40" t="inlineStr">
        <is>
          <t>Countries</t>
        </is>
      </c>
      <c r="B1194" s="40" t="inlineStr">
        <is>
          <t>AK427</t>
        </is>
      </c>
      <c r="C1194" s="40" t="n">
        <v>427</v>
      </c>
      <c r="D1194" s="40" t="inlineStr">
        <is>
          <t>Route page</t>
        </is>
      </c>
      <c r="E1194" s="40" t="inlineStr">
        <is>
          <t>Direct</t>
        </is>
      </c>
      <c r="F1194" s="40" t="inlineStr">
        <is>
          <t>Desktop</t>
        </is>
      </c>
      <c r="G1194" s="40" t="inlineStr">
        <is>
          <t>Austria</t>
        </is>
      </c>
      <c r="H1194" s="40" t="n">
        <v>12</v>
      </c>
      <c r="I1194" s="40" t="inlineStr">
        <is>
          <t>Begin checkout</t>
        </is>
      </c>
      <c r="J1194" s="40" t="inlineStr">
        <is>
          <t>1-23 August 2025</t>
        </is>
      </c>
      <c r="K1194" s="55" t="n">
        <v>114</v>
      </c>
      <c r="L1194" s="40" t="inlineStr">
        <is>
          <t>Completeness only</t>
        </is>
      </c>
      <c r="M1194" s="40">
        <f>IF(Countries!AK427="","STILL MISSING","Filled ✓")</f>
        <v/>
      </c>
    </row>
    <row r="1195">
      <c r="A1195" s="56" t="inlineStr">
        <is>
          <t>Countries</t>
        </is>
      </c>
      <c r="B1195" s="56" t="inlineStr">
        <is>
          <t>AL427</t>
        </is>
      </c>
      <c r="C1195" s="56" t="n">
        <v>427</v>
      </c>
      <c r="D1195" s="56" t="inlineStr">
        <is>
          <t>Route page</t>
        </is>
      </c>
      <c r="E1195" s="56" t="inlineStr">
        <is>
          <t>Direct</t>
        </is>
      </c>
      <c r="F1195" s="56" t="inlineStr">
        <is>
          <t>Desktop</t>
        </is>
      </c>
      <c r="G1195" s="56" t="inlineStr">
        <is>
          <t>Austria</t>
        </is>
      </c>
      <c r="H1195" s="56" t="n">
        <v>12</v>
      </c>
      <c r="I1195" s="56" t="inlineStr">
        <is>
          <t>Begin checkout</t>
        </is>
      </c>
      <c r="J1195" s="56" t="inlineStr">
        <is>
          <t>1-23 August 2026</t>
        </is>
      </c>
      <c r="K1195" s="57" t="n">
        <v>114</v>
      </c>
      <c r="L1195" s="56" t="inlineStr">
        <is>
          <t>Completeness only</t>
        </is>
      </c>
      <c r="M1195" s="40">
        <f>IF(Countries!AL427="","STILL MISSING","Filled ✓")</f>
        <v/>
      </c>
    </row>
    <row r="1196">
      <c r="A1196" s="40" t="inlineStr">
        <is>
          <t>Countries</t>
        </is>
      </c>
      <c r="B1196" s="40" t="inlineStr">
        <is>
          <t>I427</t>
        </is>
      </c>
      <c r="C1196" s="40" t="n">
        <v>427</v>
      </c>
      <c r="D1196" s="40" t="inlineStr">
        <is>
          <t>Route page</t>
        </is>
      </c>
      <c r="E1196" s="40" t="inlineStr">
        <is>
          <t>Direct</t>
        </is>
      </c>
      <c r="F1196" s="40" t="inlineStr">
        <is>
          <t>Desktop</t>
        </is>
      </c>
      <c r="G1196" s="40" t="inlineStr">
        <is>
          <t>Austria</t>
        </is>
      </c>
      <c r="H1196" s="40" t="n">
        <v>12</v>
      </c>
      <c r="I1196" s="40" t="inlineStr">
        <is>
          <t>Start Search</t>
        </is>
      </c>
      <c r="J1196" s="40" t="inlineStr">
        <is>
          <t>1-23 August 2025</t>
        </is>
      </c>
      <c r="K1196" s="55" t="n">
        <v>114</v>
      </c>
      <c r="L1196" s="40" t="inlineStr">
        <is>
          <t>Completeness only</t>
        </is>
      </c>
      <c r="M1196" s="40">
        <f>IF(Countries!I427="","STILL MISSING","Filled ✓")</f>
        <v/>
      </c>
    </row>
    <row r="1197">
      <c r="A1197" s="56" t="inlineStr">
        <is>
          <t>Countries</t>
        </is>
      </c>
      <c r="B1197" s="56" t="inlineStr">
        <is>
          <t>AD407</t>
        </is>
      </c>
      <c r="C1197" s="56" t="n">
        <v>407</v>
      </c>
      <c r="D1197" s="56" t="inlineStr">
        <is>
          <t>Route page</t>
        </is>
      </c>
      <c r="E1197" s="56" t="inlineStr">
        <is>
          <t>Direct</t>
        </is>
      </c>
      <c r="F1197" s="56" t="inlineStr">
        <is>
          <t>Mobile</t>
        </is>
      </c>
      <c r="G1197" s="56" t="inlineStr">
        <is>
          <t>Austria</t>
        </is>
      </c>
      <c r="H1197" s="56" t="n">
        <v>12</v>
      </c>
      <c r="I1197" s="56" t="inlineStr">
        <is>
          <t>Add to cart</t>
        </is>
      </c>
      <c r="J1197" s="56" t="inlineStr">
        <is>
          <t>1-23 August 2025</t>
        </is>
      </c>
      <c r="K1197" s="57" t="n">
        <v>58</v>
      </c>
      <c r="L1197" s="56" t="inlineStr">
        <is>
          <t>Completeness only</t>
        </is>
      </c>
      <c r="M1197" s="40">
        <f>IF(Countries!AD407="","STILL MISSING","Filled ✓")</f>
        <v/>
      </c>
    </row>
    <row r="1198">
      <c r="A1198" s="40" t="inlineStr">
        <is>
          <t>Countries</t>
        </is>
      </c>
      <c r="B1198" s="40" t="inlineStr">
        <is>
          <t>AE407</t>
        </is>
      </c>
      <c r="C1198" s="40" t="n">
        <v>407</v>
      </c>
      <c r="D1198" s="40" t="inlineStr">
        <is>
          <t>Route page</t>
        </is>
      </c>
      <c r="E1198" s="40" t="inlineStr">
        <is>
          <t>Direct</t>
        </is>
      </c>
      <c r="F1198" s="40" t="inlineStr">
        <is>
          <t>Mobile</t>
        </is>
      </c>
      <c r="G1198" s="40" t="inlineStr">
        <is>
          <t>Austria</t>
        </is>
      </c>
      <c r="H1198" s="40" t="n">
        <v>12</v>
      </c>
      <c r="I1198" s="40" t="inlineStr">
        <is>
          <t>Add to cart</t>
        </is>
      </c>
      <c r="J1198" s="40" t="inlineStr">
        <is>
          <t>1-23 August 2026</t>
        </is>
      </c>
      <c r="K1198" s="55" t="n">
        <v>58</v>
      </c>
      <c r="L1198" s="40" t="inlineStr">
        <is>
          <t>Completeness only</t>
        </is>
      </c>
      <c r="M1198" s="40">
        <f>IF(Countries!AE407="","STILL MISSING","Filled ✓")</f>
        <v/>
      </c>
    </row>
    <row r="1199">
      <c r="A1199" s="56" t="inlineStr">
        <is>
          <t>Countries</t>
        </is>
      </c>
      <c r="B1199" s="56" t="inlineStr">
        <is>
          <t>AK407</t>
        </is>
      </c>
      <c r="C1199" s="56" t="n">
        <v>407</v>
      </c>
      <c r="D1199" s="56" t="inlineStr">
        <is>
          <t>Route page</t>
        </is>
      </c>
      <c r="E1199" s="56" t="inlineStr">
        <is>
          <t>Direct</t>
        </is>
      </c>
      <c r="F1199" s="56" t="inlineStr">
        <is>
          <t>Mobile</t>
        </is>
      </c>
      <c r="G1199" s="56" t="inlineStr">
        <is>
          <t>Austria</t>
        </is>
      </c>
      <c r="H1199" s="56" t="n">
        <v>12</v>
      </c>
      <c r="I1199" s="56" t="inlineStr">
        <is>
          <t>Begin checkout</t>
        </is>
      </c>
      <c r="J1199" s="56" t="inlineStr">
        <is>
          <t>1-23 August 2025</t>
        </is>
      </c>
      <c r="K1199" s="57" t="n">
        <v>58</v>
      </c>
      <c r="L1199" s="56" t="inlineStr">
        <is>
          <t>Completeness only</t>
        </is>
      </c>
      <c r="M1199" s="40">
        <f>IF(Countries!AK407="","STILL MISSING","Filled ✓")</f>
        <v/>
      </c>
    </row>
    <row r="1200">
      <c r="A1200" s="40" t="inlineStr">
        <is>
          <t>Countries</t>
        </is>
      </c>
      <c r="B1200" s="40" t="inlineStr">
        <is>
          <t>AL407</t>
        </is>
      </c>
      <c r="C1200" s="40" t="n">
        <v>407</v>
      </c>
      <c r="D1200" s="40" t="inlineStr">
        <is>
          <t>Route page</t>
        </is>
      </c>
      <c r="E1200" s="40" t="inlineStr">
        <is>
          <t>Direct</t>
        </is>
      </c>
      <c r="F1200" s="40" t="inlineStr">
        <is>
          <t>Mobile</t>
        </is>
      </c>
      <c r="G1200" s="40" t="inlineStr">
        <is>
          <t>Austria</t>
        </is>
      </c>
      <c r="H1200" s="40" t="n">
        <v>12</v>
      </c>
      <c r="I1200" s="40" t="inlineStr">
        <is>
          <t>Begin checkout</t>
        </is>
      </c>
      <c r="J1200" s="40" t="inlineStr">
        <is>
          <t>1-23 August 2026</t>
        </is>
      </c>
      <c r="K1200" s="55" t="n">
        <v>58</v>
      </c>
      <c r="L1200" s="40" t="inlineStr">
        <is>
          <t>Completeness only</t>
        </is>
      </c>
      <c r="M1200" s="40">
        <f>IF(Countries!AL407="","STILL MISSING","Filled ✓")</f>
        <v/>
      </c>
    </row>
    <row r="1201">
      <c r="A1201" s="56" t="inlineStr">
        <is>
          <t>Countries</t>
        </is>
      </c>
      <c r="B1201" s="56" t="inlineStr">
        <is>
          <t>AR407</t>
        </is>
      </c>
      <c r="C1201" s="56" t="n">
        <v>407</v>
      </c>
      <c r="D1201" s="56" t="inlineStr">
        <is>
          <t>Route page</t>
        </is>
      </c>
      <c r="E1201" s="56" t="inlineStr">
        <is>
          <t>Direct</t>
        </is>
      </c>
      <c r="F1201" s="56" t="inlineStr">
        <is>
          <t>Mobile</t>
        </is>
      </c>
      <c r="G1201" s="56" t="inlineStr">
        <is>
          <t>Austria</t>
        </is>
      </c>
      <c r="H1201" s="56" t="n">
        <v>12</v>
      </c>
      <c r="I1201" s="56" t="inlineStr">
        <is>
          <t>Purchases</t>
        </is>
      </c>
      <c r="J1201" s="56" t="inlineStr">
        <is>
          <t>1-23 August 2025</t>
        </is>
      </c>
      <c r="K1201" s="57" t="n">
        <v>58</v>
      </c>
      <c r="L1201" s="56" t="inlineStr">
        <is>
          <t>Completeness only</t>
        </is>
      </c>
      <c r="M1201" s="40">
        <f>IF(Countries!AR407="","STILL MISSING","Filled ✓")</f>
        <v/>
      </c>
    </row>
    <row r="1202">
      <c r="A1202" s="40" t="inlineStr">
        <is>
          <t>Countries</t>
        </is>
      </c>
      <c r="B1202" s="40" t="inlineStr">
        <is>
          <t>W407</t>
        </is>
      </c>
      <c r="C1202" s="40" t="n">
        <v>407</v>
      </c>
      <c r="D1202" s="40" t="inlineStr">
        <is>
          <t>Route page</t>
        </is>
      </c>
      <c r="E1202" s="40" t="inlineStr">
        <is>
          <t>Direct</t>
        </is>
      </c>
      <c r="F1202" s="40" t="inlineStr">
        <is>
          <t>Mobile</t>
        </is>
      </c>
      <c r="G1202" s="40" t="inlineStr">
        <is>
          <t>Austria</t>
        </is>
      </c>
      <c r="H1202" s="40" t="n">
        <v>12</v>
      </c>
      <c r="I1202" s="40" t="inlineStr">
        <is>
          <t>Select item</t>
        </is>
      </c>
      <c r="J1202" s="40" t="inlineStr">
        <is>
          <t>1-23 August 2025</t>
        </is>
      </c>
      <c r="K1202" s="55" t="n">
        <v>58</v>
      </c>
      <c r="L1202" s="40" t="inlineStr">
        <is>
          <t>Completeness only</t>
        </is>
      </c>
      <c r="M1202" s="40">
        <f>IF(Countries!W407="","STILL MISSING","Filled ✓")</f>
        <v/>
      </c>
    </row>
    <row r="1203">
      <c r="A1203" s="56" t="inlineStr">
        <is>
          <t>Countries</t>
        </is>
      </c>
      <c r="B1203" s="56" t="inlineStr">
        <is>
          <t>I407</t>
        </is>
      </c>
      <c r="C1203" s="56" t="n">
        <v>407</v>
      </c>
      <c r="D1203" s="56" t="inlineStr">
        <is>
          <t>Route page</t>
        </is>
      </c>
      <c r="E1203" s="56" t="inlineStr">
        <is>
          <t>Direct</t>
        </is>
      </c>
      <c r="F1203" s="56" t="inlineStr">
        <is>
          <t>Mobile</t>
        </is>
      </c>
      <c r="G1203" s="56" t="inlineStr">
        <is>
          <t>Austria</t>
        </is>
      </c>
      <c r="H1203" s="56" t="n">
        <v>12</v>
      </c>
      <c r="I1203" s="56" t="inlineStr">
        <is>
          <t>Start Search</t>
        </is>
      </c>
      <c r="J1203" s="56" t="inlineStr">
        <is>
          <t>1-23 August 2025</t>
        </is>
      </c>
      <c r="K1203" s="57" t="n">
        <v>58</v>
      </c>
      <c r="L1203" s="56" t="inlineStr">
        <is>
          <t>Completeness only</t>
        </is>
      </c>
      <c r="M1203" s="40">
        <f>IF(Countries!I407="","STILL MISSING","Filled ✓")</f>
        <v/>
      </c>
    </row>
    <row r="1204">
      <c r="A1204" s="40" t="inlineStr">
        <is>
          <t>Countries</t>
        </is>
      </c>
      <c r="B1204" s="40" t="inlineStr">
        <is>
          <t>AD30</t>
        </is>
      </c>
      <c r="C1204" s="40" t="n">
        <v>30</v>
      </c>
      <c r="D1204" s="40" t="inlineStr">
        <is>
          <t>All landing pages</t>
        </is>
      </c>
      <c r="E1204" s="40" t="inlineStr">
        <is>
          <t>Paid Search</t>
        </is>
      </c>
      <c r="F1204" s="40" t="inlineStr">
        <is>
          <t>Desktop</t>
        </is>
      </c>
      <c r="G1204" s="40" t="inlineStr">
        <is>
          <t>Denmark</t>
        </is>
      </c>
      <c r="H1204" s="40" t="n">
        <v>13</v>
      </c>
      <c r="I1204" s="40" t="inlineStr">
        <is>
          <t>Add to cart</t>
        </is>
      </c>
      <c r="J1204" s="40" t="inlineStr">
        <is>
          <t>1-23 August 2025</t>
        </is>
      </c>
      <c r="K1204" s="55" t="n">
        <v>2311</v>
      </c>
      <c r="L1204" s="40" t="inlineStr">
        <is>
          <t>Completeness only</t>
        </is>
      </c>
      <c r="M1204" s="40">
        <f>IF(Countries!AD30="","STILL MISSING","Filled ✓")</f>
        <v/>
      </c>
    </row>
    <row r="1205">
      <c r="A1205" s="56" t="inlineStr">
        <is>
          <t>Countries</t>
        </is>
      </c>
      <c r="B1205" s="56" t="inlineStr">
        <is>
          <t>AE30</t>
        </is>
      </c>
      <c r="C1205" s="56" t="n">
        <v>30</v>
      </c>
      <c r="D1205" s="56" t="inlineStr">
        <is>
          <t>All landing pages</t>
        </is>
      </c>
      <c r="E1205" s="56" t="inlineStr">
        <is>
          <t>Paid Search</t>
        </is>
      </c>
      <c r="F1205" s="56" t="inlineStr">
        <is>
          <t>Desktop</t>
        </is>
      </c>
      <c r="G1205" s="56" t="inlineStr">
        <is>
          <t>Denmark</t>
        </is>
      </c>
      <c r="H1205" s="56" t="n">
        <v>13</v>
      </c>
      <c r="I1205" s="56" t="inlineStr">
        <is>
          <t>Add to cart</t>
        </is>
      </c>
      <c r="J1205" s="56" t="inlineStr">
        <is>
          <t>1-23 August 2026</t>
        </is>
      </c>
      <c r="K1205" s="57" t="n">
        <v>2311</v>
      </c>
      <c r="L1205" s="56" t="inlineStr">
        <is>
          <t>Completeness only</t>
        </is>
      </c>
      <c r="M1205" s="40">
        <f>IF(Countries!AE30="","STILL MISSING","Filled ✓")</f>
        <v/>
      </c>
    </row>
    <row r="1206">
      <c r="A1206" s="40" t="inlineStr">
        <is>
          <t>Countries</t>
        </is>
      </c>
      <c r="B1206" s="40" t="inlineStr">
        <is>
          <t>AK30</t>
        </is>
      </c>
      <c r="C1206" s="40" t="n">
        <v>30</v>
      </c>
      <c r="D1206" s="40" t="inlineStr">
        <is>
          <t>All landing pages</t>
        </is>
      </c>
      <c r="E1206" s="40" t="inlineStr">
        <is>
          <t>Paid Search</t>
        </is>
      </c>
      <c r="F1206" s="40" t="inlineStr">
        <is>
          <t>Desktop</t>
        </is>
      </c>
      <c r="G1206" s="40" t="inlineStr">
        <is>
          <t>Denmark</t>
        </is>
      </c>
      <c r="H1206" s="40" t="n">
        <v>13</v>
      </c>
      <c r="I1206" s="40" t="inlineStr">
        <is>
          <t>Begin checkout</t>
        </is>
      </c>
      <c r="J1206" s="40" t="inlineStr">
        <is>
          <t>1-23 August 2025</t>
        </is>
      </c>
      <c r="K1206" s="55" t="n">
        <v>2311</v>
      </c>
      <c r="L1206" s="40" t="inlineStr">
        <is>
          <t>Completeness only</t>
        </is>
      </c>
      <c r="M1206" s="40">
        <f>IF(Countries!AK30="","STILL MISSING","Filled ✓")</f>
        <v/>
      </c>
    </row>
    <row r="1207">
      <c r="A1207" s="56" t="inlineStr">
        <is>
          <t>Countries</t>
        </is>
      </c>
      <c r="B1207" s="56" t="inlineStr">
        <is>
          <t>AL30</t>
        </is>
      </c>
      <c r="C1207" s="56" t="n">
        <v>30</v>
      </c>
      <c r="D1207" s="56" t="inlineStr">
        <is>
          <t>All landing pages</t>
        </is>
      </c>
      <c r="E1207" s="56" t="inlineStr">
        <is>
          <t>Paid Search</t>
        </is>
      </c>
      <c r="F1207" s="56" t="inlineStr">
        <is>
          <t>Desktop</t>
        </is>
      </c>
      <c r="G1207" s="56" t="inlineStr">
        <is>
          <t>Denmark</t>
        </is>
      </c>
      <c r="H1207" s="56" t="n">
        <v>13</v>
      </c>
      <c r="I1207" s="56" t="inlineStr">
        <is>
          <t>Begin checkout</t>
        </is>
      </c>
      <c r="J1207" s="56" t="inlineStr">
        <is>
          <t>1-23 August 2026</t>
        </is>
      </c>
      <c r="K1207" s="57" t="n">
        <v>2311</v>
      </c>
      <c r="L1207" s="56" t="inlineStr">
        <is>
          <t>Completeness only</t>
        </is>
      </c>
      <c r="M1207" s="40">
        <f>IF(Countries!AL30="","STILL MISSING","Filled ✓")</f>
        <v/>
      </c>
    </row>
    <row r="1208">
      <c r="A1208" s="40" t="inlineStr">
        <is>
          <t>Countries</t>
        </is>
      </c>
      <c r="B1208" s="40" t="inlineStr">
        <is>
          <t>AD15</t>
        </is>
      </c>
      <c r="C1208" s="40" t="n">
        <v>15</v>
      </c>
      <c r="D1208" s="40" t="inlineStr">
        <is>
          <t>All landing pages</t>
        </is>
      </c>
      <c r="E1208" s="40" t="inlineStr">
        <is>
          <t>Paid Search</t>
        </is>
      </c>
      <c r="F1208" s="40" t="inlineStr">
        <is>
          <t>Mobile</t>
        </is>
      </c>
      <c r="G1208" s="40" t="inlineStr">
        <is>
          <t>Denmark</t>
        </is>
      </c>
      <c r="H1208" s="40" t="n">
        <v>13</v>
      </c>
      <c r="I1208" s="40" t="inlineStr">
        <is>
          <t>Add to cart</t>
        </is>
      </c>
      <c r="J1208" s="40" t="inlineStr">
        <is>
          <t>1-23 August 2025</t>
        </is>
      </c>
      <c r="K1208" s="55" t="n">
        <v>1987</v>
      </c>
      <c r="L1208" s="40" t="inlineStr">
        <is>
          <t>Completeness only</t>
        </is>
      </c>
      <c r="M1208" s="40">
        <f>IF(Countries!AD15="","STILL MISSING","Filled ✓")</f>
        <v/>
      </c>
    </row>
    <row r="1209">
      <c r="A1209" s="56" t="inlineStr">
        <is>
          <t>Countries</t>
        </is>
      </c>
      <c r="B1209" s="56" t="inlineStr">
        <is>
          <t>AE15</t>
        </is>
      </c>
      <c r="C1209" s="56" t="n">
        <v>15</v>
      </c>
      <c r="D1209" s="56" t="inlineStr">
        <is>
          <t>All landing pages</t>
        </is>
      </c>
      <c r="E1209" s="56" t="inlineStr">
        <is>
          <t>Paid Search</t>
        </is>
      </c>
      <c r="F1209" s="56" t="inlineStr">
        <is>
          <t>Mobile</t>
        </is>
      </c>
      <c r="G1209" s="56" t="inlineStr">
        <is>
          <t>Denmark</t>
        </is>
      </c>
      <c r="H1209" s="56" t="n">
        <v>13</v>
      </c>
      <c r="I1209" s="56" t="inlineStr">
        <is>
          <t>Add to cart</t>
        </is>
      </c>
      <c r="J1209" s="56" t="inlineStr">
        <is>
          <t>1-23 August 2026</t>
        </is>
      </c>
      <c r="K1209" s="57" t="n">
        <v>1987</v>
      </c>
      <c r="L1209" s="56" t="inlineStr">
        <is>
          <t>Completeness only</t>
        </is>
      </c>
      <c r="M1209" s="40">
        <f>IF(Countries!AE15="","STILL MISSING","Filled ✓")</f>
        <v/>
      </c>
    </row>
    <row r="1210">
      <c r="A1210" s="40" t="inlineStr">
        <is>
          <t>Countries</t>
        </is>
      </c>
      <c r="B1210" s="40" t="inlineStr">
        <is>
          <t>AK15</t>
        </is>
      </c>
      <c r="C1210" s="40" t="n">
        <v>15</v>
      </c>
      <c r="D1210" s="40" t="inlineStr">
        <is>
          <t>All landing pages</t>
        </is>
      </c>
      <c r="E1210" s="40" t="inlineStr">
        <is>
          <t>Paid Search</t>
        </is>
      </c>
      <c r="F1210" s="40" t="inlineStr">
        <is>
          <t>Mobile</t>
        </is>
      </c>
      <c r="G1210" s="40" t="inlineStr">
        <is>
          <t>Denmark</t>
        </is>
      </c>
      <c r="H1210" s="40" t="n">
        <v>13</v>
      </c>
      <c r="I1210" s="40" t="inlineStr">
        <is>
          <t>Begin checkout</t>
        </is>
      </c>
      <c r="J1210" s="40" t="inlineStr">
        <is>
          <t>1-23 August 2025</t>
        </is>
      </c>
      <c r="K1210" s="55" t="n">
        <v>1987</v>
      </c>
      <c r="L1210" s="40" t="inlineStr">
        <is>
          <t>Completeness only</t>
        </is>
      </c>
      <c r="M1210" s="40">
        <f>IF(Countries!AK15="","STILL MISSING","Filled ✓")</f>
        <v/>
      </c>
    </row>
    <row r="1211">
      <c r="A1211" s="56" t="inlineStr">
        <is>
          <t>Countries</t>
        </is>
      </c>
      <c r="B1211" s="56" t="inlineStr">
        <is>
          <t>AL15</t>
        </is>
      </c>
      <c r="C1211" s="56" t="n">
        <v>15</v>
      </c>
      <c r="D1211" s="56" t="inlineStr">
        <is>
          <t>All landing pages</t>
        </is>
      </c>
      <c r="E1211" s="56" t="inlineStr">
        <is>
          <t>Paid Search</t>
        </is>
      </c>
      <c r="F1211" s="56" t="inlineStr">
        <is>
          <t>Mobile</t>
        </is>
      </c>
      <c r="G1211" s="56" t="inlineStr">
        <is>
          <t>Denmark</t>
        </is>
      </c>
      <c r="H1211" s="56" t="n">
        <v>13</v>
      </c>
      <c r="I1211" s="56" t="inlineStr">
        <is>
          <t>Begin checkout</t>
        </is>
      </c>
      <c r="J1211" s="56" t="inlineStr">
        <is>
          <t>1-23 August 2026</t>
        </is>
      </c>
      <c r="K1211" s="57" t="n">
        <v>1987</v>
      </c>
      <c r="L1211" s="56" t="inlineStr">
        <is>
          <t>Completeness only</t>
        </is>
      </c>
      <c r="M1211" s="40">
        <f>IF(Countries!AL15="","STILL MISSING","Filled ✓")</f>
        <v/>
      </c>
    </row>
    <row r="1212">
      <c r="A1212" s="40" t="inlineStr">
        <is>
          <t>Countries</t>
        </is>
      </c>
      <c r="B1212" s="40" t="inlineStr">
        <is>
          <t>AR15</t>
        </is>
      </c>
      <c r="C1212" s="40" t="n">
        <v>15</v>
      </c>
      <c r="D1212" s="40" t="inlineStr">
        <is>
          <t>All landing pages</t>
        </is>
      </c>
      <c r="E1212" s="40" t="inlineStr">
        <is>
          <t>Paid Search</t>
        </is>
      </c>
      <c r="F1212" s="40" t="inlineStr">
        <is>
          <t>Mobile</t>
        </is>
      </c>
      <c r="G1212" s="40" t="inlineStr">
        <is>
          <t>Denmark</t>
        </is>
      </c>
      <c r="H1212" s="40" t="n">
        <v>13</v>
      </c>
      <c r="I1212" s="40" t="inlineStr">
        <is>
          <t>Purchases</t>
        </is>
      </c>
      <c r="J1212" s="40" t="inlineStr">
        <is>
          <t>1-23 August 2025</t>
        </is>
      </c>
      <c r="K1212" s="55" t="n">
        <v>1987</v>
      </c>
      <c r="L1212" s="40" t="inlineStr">
        <is>
          <t>Completeness only</t>
        </is>
      </c>
      <c r="M1212" s="40">
        <f>IF(Countries!AR15="","STILL MISSING","Filled ✓")</f>
        <v/>
      </c>
    </row>
    <row r="1213">
      <c r="A1213" s="56" t="inlineStr">
        <is>
          <t>Countries</t>
        </is>
      </c>
      <c r="B1213" s="56" t="inlineStr">
        <is>
          <t>W15</t>
        </is>
      </c>
      <c r="C1213" s="56" t="n">
        <v>15</v>
      </c>
      <c r="D1213" s="56" t="inlineStr">
        <is>
          <t>All landing pages</t>
        </is>
      </c>
      <c r="E1213" s="56" t="inlineStr">
        <is>
          <t>Paid Search</t>
        </is>
      </c>
      <c r="F1213" s="56" t="inlineStr">
        <is>
          <t>Mobile</t>
        </is>
      </c>
      <c r="G1213" s="56" t="inlineStr">
        <is>
          <t>Denmark</t>
        </is>
      </c>
      <c r="H1213" s="56" t="n">
        <v>13</v>
      </c>
      <c r="I1213" s="56" t="inlineStr">
        <is>
          <t>Select item</t>
        </is>
      </c>
      <c r="J1213" s="56" t="inlineStr">
        <is>
          <t>1-23 August 2025</t>
        </is>
      </c>
      <c r="K1213" s="57" t="n">
        <v>1987</v>
      </c>
      <c r="L1213" s="56" t="inlineStr">
        <is>
          <t>Completeness only</t>
        </is>
      </c>
      <c r="M1213" s="40">
        <f>IF(Countries!W15="","STILL MISSING","Filled ✓")</f>
        <v/>
      </c>
    </row>
    <row r="1214">
      <c r="A1214" s="40" t="inlineStr">
        <is>
          <t>Countries</t>
        </is>
      </c>
      <c r="B1214" s="40" t="inlineStr">
        <is>
          <t>I15</t>
        </is>
      </c>
      <c r="C1214" s="40" t="n">
        <v>15</v>
      </c>
      <c r="D1214" s="40" t="inlineStr">
        <is>
          <t>All landing pages</t>
        </is>
      </c>
      <c r="E1214" s="40" t="inlineStr">
        <is>
          <t>Paid Search</t>
        </is>
      </c>
      <c r="F1214" s="40" t="inlineStr">
        <is>
          <t>Mobile</t>
        </is>
      </c>
      <c r="G1214" s="40" t="inlineStr">
        <is>
          <t>Denmark</t>
        </is>
      </c>
      <c r="H1214" s="40" t="n">
        <v>13</v>
      </c>
      <c r="I1214" s="40" t="inlineStr">
        <is>
          <t>Start Search</t>
        </is>
      </c>
      <c r="J1214" s="40" t="inlineStr">
        <is>
          <t>1-23 August 2025</t>
        </is>
      </c>
      <c r="K1214" s="55" t="n">
        <v>1987</v>
      </c>
      <c r="L1214" s="40" t="inlineStr">
        <is>
          <t>Completeness only</t>
        </is>
      </c>
      <c r="M1214" s="40">
        <f>IF(Countries!I15="","STILL MISSING","Filled ✓")</f>
        <v/>
      </c>
    </row>
    <row r="1215">
      <c r="A1215" s="56" t="inlineStr">
        <is>
          <t>Countries</t>
        </is>
      </c>
      <c r="B1215" s="56" t="inlineStr">
        <is>
          <t>AD111</t>
        </is>
      </c>
      <c r="C1215" s="56" t="n">
        <v>111</v>
      </c>
      <c r="D1215" s="56" t="inlineStr">
        <is>
          <t>All landing pages</t>
        </is>
      </c>
      <c r="E1215" s="56" t="inlineStr">
        <is>
          <t>Direct</t>
        </is>
      </c>
      <c r="F1215" s="56" t="inlineStr">
        <is>
          <t>Desktop</t>
        </is>
      </c>
      <c r="G1215" s="56" t="inlineStr">
        <is>
          <t>Denmark</t>
        </is>
      </c>
      <c r="H1215" s="56" t="n">
        <v>13</v>
      </c>
      <c r="I1215" s="56" t="inlineStr">
        <is>
          <t>Add to cart</t>
        </is>
      </c>
      <c r="J1215" s="56" t="inlineStr">
        <is>
          <t>1-23 August 2025</t>
        </is>
      </c>
      <c r="K1215" s="57" t="n">
        <v>157</v>
      </c>
      <c r="L1215" s="56" t="inlineStr">
        <is>
          <t>Completeness only</t>
        </is>
      </c>
      <c r="M1215" s="40">
        <f>IF(Countries!AD111="","STILL MISSING","Filled ✓")</f>
        <v/>
      </c>
    </row>
    <row r="1216">
      <c r="A1216" s="40" t="inlineStr">
        <is>
          <t>Countries</t>
        </is>
      </c>
      <c r="B1216" s="40" t="inlineStr">
        <is>
          <t>AE111</t>
        </is>
      </c>
      <c r="C1216" s="40" t="n">
        <v>111</v>
      </c>
      <c r="D1216" s="40" t="inlineStr">
        <is>
          <t>All landing pages</t>
        </is>
      </c>
      <c r="E1216" s="40" t="inlineStr">
        <is>
          <t>Direct</t>
        </is>
      </c>
      <c r="F1216" s="40" t="inlineStr">
        <is>
          <t>Desktop</t>
        </is>
      </c>
      <c r="G1216" s="40" t="inlineStr">
        <is>
          <t>Denmark</t>
        </is>
      </c>
      <c r="H1216" s="40" t="n">
        <v>13</v>
      </c>
      <c r="I1216" s="40" t="inlineStr">
        <is>
          <t>Add to cart</t>
        </is>
      </c>
      <c r="J1216" s="40" t="inlineStr">
        <is>
          <t>1-23 August 2026</t>
        </is>
      </c>
      <c r="K1216" s="55" t="n">
        <v>157</v>
      </c>
      <c r="L1216" s="40" t="inlineStr">
        <is>
          <t>Completeness only</t>
        </is>
      </c>
      <c r="M1216" s="40">
        <f>IF(Countries!AE111="","STILL MISSING","Filled ✓")</f>
        <v/>
      </c>
    </row>
    <row r="1217">
      <c r="A1217" s="56" t="inlineStr">
        <is>
          <t>Countries</t>
        </is>
      </c>
      <c r="B1217" s="56" t="inlineStr">
        <is>
          <t>AK111</t>
        </is>
      </c>
      <c r="C1217" s="56" t="n">
        <v>111</v>
      </c>
      <c r="D1217" s="56" t="inlineStr">
        <is>
          <t>All landing pages</t>
        </is>
      </c>
      <c r="E1217" s="56" t="inlineStr">
        <is>
          <t>Direct</t>
        </is>
      </c>
      <c r="F1217" s="56" t="inlineStr">
        <is>
          <t>Desktop</t>
        </is>
      </c>
      <c r="G1217" s="56" t="inlineStr">
        <is>
          <t>Denmark</t>
        </is>
      </c>
      <c r="H1217" s="56" t="n">
        <v>13</v>
      </c>
      <c r="I1217" s="56" t="inlineStr">
        <is>
          <t>Begin checkout</t>
        </is>
      </c>
      <c r="J1217" s="56" t="inlineStr">
        <is>
          <t>1-23 August 2025</t>
        </is>
      </c>
      <c r="K1217" s="57" t="n">
        <v>157</v>
      </c>
      <c r="L1217" s="56" t="inlineStr">
        <is>
          <t>Completeness only</t>
        </is>
      </c>
      <c r="M1217" s="40">
        <f>IF(Countries!AK111="","STILL MISSING","Filled ✓")</f>
        <v/>
      </c>
    </row>
    <row r="1218">
      <c r="A1218" s="40" t="inlineStr">
        <is>
          <t>Countries</t>
        </is>
      </c>
      <c r="B1218" s="40" t="inlineStr">
        <is>
          <t>AL111</t>
        </is>
      </c>
      <c r="C1218" s="40" t="n">
        <v>111</v>
      </c>
      <c r="D1218" s="40" t="inlineStr">
        <is>
          <t>All landing pages</t>
        </is>
      </c>
      <c r="E1218" s="40" t="inlineStr">
        <is>
          <t>Direct</t>
        </is>
      </c>
      <c r="F1218" s="40" t="inlineStr">
        <is>
          <t>Desktop</t>
        </is>
      </c>
      <c r="G1218" s="40" t="inlineStr">
        <is>
          <t>Denmark</t>
        </is>
      </c>
      <c r="H1218" s="40" t="n">
        <v>13</v>
      </c>
      <c r="I1218" s="40" t="inlineStr">
        <is>
          <t>Begin checkout</t>
        </is>
      </c>
      <c r="J1218" s="40" t="inlineStr">
        <is>
          <t>1-23 August 2026</t>
        </is>
      </c>
      <c r="K1218" s="55" t="n">
        <v>157</v>
      </c>
      <c r="L1218" s="40" t="inlineStr">
        <is>
          <t>Completeness only</t>
        </is>
      </c>
      <c r="M1218" s="40">
        <f>IF(Countries!AL111="","STILL MISSING","Filled ✓")</f>
        <v/>
      </c>
    </row>
    <row r="1219">
      <c r="A1219" s="56" t="inlineStr">
        <is>
          <t>Countries</t>
        </is>
      </c>
      <c r="B1219" s="56" t="inlineStr">
        <is>
          <t>AR111</t>
        </is>
      </c>
      <c r="C1219" s="56" t="n">
        <v>111</v>
      </c>
      <c r="D1219" s="56" t="inlineStr">
        <is>
          <t>All landing pages</t>
        </is>
      </c>
      <c r="E1219" s="56" t="inlineStr">
        <is>
          <t>Direct</t>
        </is>
      </c>
      <c r="F1219" s="56" t="inlineStr">
        <is>
          <t>Desktop</t>
        </is>
      </c>
      <c r="G1219" s="56" t="inlineStr">
        <is>
          <t>Denmark</t>
        </is>
      </c>
      <c r="H1219" s="56" t="n">
        <v>13</v>
      </c>
      <c r="I1219" s="56" t="inlineStr">
        <is>
          <t>Purchases</t>
        </is>
      </c>
      <c r="J1219" s="56" t="inlineStr">
        <is>
          <t>1-23 August 2025</t>
        </is>
      </c>
      <c r="K1219" s="57" t="n">
        <v>157</v>
      </c>
      <c r="L1219" s="56" t="inlineStr">
        <is>
          <t>Completeness only</t>
        </is>
      </c>
      <c r="M1219" s="40">
        <f>IF(Countries!AR111="","STILL MISSING","Filled ✓")</f>
        <v/>
      </c>
    </row>
    <row r="1220">
      <c r="A1220" s="40" t="inlineStr">
        <is>
          <t>Countries</t>
        </is>
      </c>
      <c r="B1220" s="40" t="inlineStr">
        <is>
          <t>W111</t>
        </is>
      </c>
      <c r="C1220" s="40" t="n">
        <v>111</v>
      </c>
      <c r="D1220" s="40" t="inlineStr">
        <is>
          <t>All landing pages</t>
        </is>
      </c>
      <c r="E1220" s="40" t="inlineStr">
        <is>
          <t>Direct</t>
        </is>
      </c>
      <c r="F1220" s="40" t="inlineStr">
        <is>
          <t>Desktop</t>
        </is>
      </c>
      <c r="G1220" s="40" t="inlineStr">
        <is>
          <t>Denmark</t>
        </is>
      </c>
      <c r="H1220" s="40" t="n">
        <v>13</v>
      </c>
      <c r="I1220" s="40" t="inlineStr">
        <is>
          <t>Select item</t>
        </is>
      </c>
      <c r="J1220" s="40" t="inlineStr">
        <is>
          <t>1-23 August 2025</t>
        </is>
      </c>
      <c r="K1220" s="55" t="n">
        <v>157</v>
      </c>
      <c r="L1220" s="40" t="inlineStr">
        <is>
          <t>Completeness only</t>
        </is>
      </c>
      <c r="M1220" s="40">
        <f>IF(Countries!W111="","STILL MISSING","Filled ✓")</f>
        <v/>
      </c>
    </row>
    <row r="1221">
      <c r="A1221" s="56" t="inlineStr">
        <is>
          <t>Countries</t>
        </is>
      </c>
      <c r="B1221" s="56" t="inlineStr">
        <is>
          <t>E111</t>
        </is>
      </c>
      <c r="C1221" s="56" t="n">
        <v>111</v>
      </c>
      <c r="D1221" s="56" t="inlineStr">
        <is>
          <t>All landing pages</t>
        </is>
      </c>
      <c r="E1221" s="56" t="inlineStr">
        <is>
          <t>Direct</t>
        </is>
      </c>
      <c r="F1221" s="56" t="inlineStr">
        <is>
          <t>Desktop</t>
        </is>
      </c>
      <c r="G1221" s="56" t="inlineStr">
        <is>
          <t>Denmark</t>
        </is>
      </c>
      <c r="H1221" s="56" t="n">
        <v>13</v>
      </c>
      <c r="I1221" s="56" t="inlineStr">
        <is>
          <t>Sessions</t>
        </is>
      </c>
      <c r="J1221" s="56" t="inlineStr">
        <is>
          <t>1-23 August 2025</t>
        </is>
      </c>
      <c r="K1221" s="57" t="n">
        <v>157</v>
      </c>
      <c r="L1221" s="56" t="inlineStr">
        <is>
          <t>Completeness only</t>
        </is>
      </c>
      <c r="M1221" s="40">
        <f>IF(Countries!E111="","STILL MISSING","Filled ✓")</f>
        <v/>
      </c>
    </row>
    <row r="1222">
      <c r="A1222" s="40" t="inlineStr">
        <is>
          <t>Countries</t>
        </is>
      </c>
      <c r="B1222" s="40" t="inlineStr">
        <is>
          <t>I111</t>
        </is>
      </c>
      <c r="C1222" s="40" t="n">
        <v>111</v>
      </c>
      <c r="D1222" s="40" t="inlineStr">
        <is>
          <t>All landing pages</t>
        </is>
      </c>
      <c r="E1222" s="40" t="inlineStr">
        <is>
          <t>Direct</t>
        </is>
      </c>
      <c r="F1222" s="40" t="inlineStr">
        <is>
          <t>Desktop</t>
        </is>
      </c>
      <c r="G1222" s="40" t="inlineStr">
        <is>
          <t>Denmark</t>
        </is>
      </c>
      <c r="H1222" s="40" t="n">
        <v>13</v>
      </c>
      <c r="I1222" s="40" t="inlineStr">
        <is>
          <t>Start Search</t>
        </is>
      </c>
      <c r="J1222" s="40" t="inlineStr">
        <is>
          <t>1-23 August 2025</t>
        </is>
      </c>
      <c r="K1222" s="55" t="n">
        <v>157</v>
      </c>
      <c r="L1222" s="40" t="inlineStr">
        <is>
          <t>Completeness only</t>
        </is>
      </c>
      <c r="M1222" s="40">
        <f>IF(Countries!I111="","STILL MISSING","Filled ✓")</f>
        <v/>
      </c>
    </row>
    <row r="1223">
      <c r="A1223" s="56" t="inlineStr">
        <is>
          <t>Countries</t>
        </is>
      </c>
      <c r="B1223" s="56" t="inlineStr">
        <is>
          <t>J111</t>
        </is>
      </c>
      <c r="C1223" s="56" t="n">
        <v>111</v>
      </c>
      <c r="D1223" s="56" t="inlineStr">
        <is>
          <t>All landing pages</t>
        </is>
      </c>
      <c r="E1223" s="56" t="inlineStr">
        <is>
          <t>Direct</t>
        </is>
      </c>
      <c r="F1223" s="56" t="inlineStr">
        <is>
          <t>Desktop</t>
        </is>
      </c>
      <c r="G1223" s="56" t="inlineStr">
        <is>
          <t>Denmark</t>
        </is>
      </c>
      <c r="H1223" s="56" t="n">
        <v>13</v>
      </c>
      <c r="I1223" s="56" t="inlineStr">
        <is>
          <t>Start Search</t>
        </is>
      </c>
      <c r="J1223" s="56" t="inlineStr">
        <is>
          <t>1-23 August 2026</t>
        </is>
      </c>
      <c r="K1223" s="57" t="n">
        <v>157</v>
      </c>
      <c r="L1223" s="56" t="inlineStr">
        <is>
          <t>Completeness only</t>
        </is>
      </c>
      <c r="M1223" s="40">
        <f>IF(Countries!J111="","STILL MISSING","Filled ✓")</f>
        <v/>
      </c>
    </row>
    <row r="1224">
      <c r="A1224" s="40" t="inlineStr">
        <is>
          <t>Countries</t>
        </is>
      </c>
      <c r="B1224" s="40" t="inlineStr">
        <is>
          <t>AD91</t>
        </is>
      </c>
      <c r="C1224" s="40" t="n">
        <v>91</v>
      </c>
      <c r="D1224" s="40" t="inlineStr">
        <is>
          <t>All landing pages</t>
        </is>
      </c>
      <c r="E1224" s="40" t="inlineStr">
        <is>
          <t>Direct</t>
        </is>
      </c>
      <c r="F1224" s="40" t="inlineStr">
        <is>
          <t>Mobile</t>
        </is>
      </c>
      <c r="G1224" s="40" t="inlineStr">
        <is>
          <t>Denmark</t>
        </is>
      </c>
      <c r="H1224" s="40" t="n">
        <v>13</v>
      </c>
      <c r="I1224" s="40" t="inlineStr">
        <is>
          <t>Add to cart</t>
        </is>
      </c>
      <c r="J1224" s="40" t="inlineStr">
        <is>
          <t>1-23 August 2025</t>
        </is>
      </c>
      <c r="K1224" s="55" t="n">
        <v>89</v>
      </c>
      <c r="L1224" s="40" t="inlineStr">
        <is>
          <t>Completeness only</t>
        </is>
      </c>
      <c r="M1224" s="40">
        <f>IF(Countries!AD91="","STILL MISSING","Filled ✓")</f>
        <v/>
      </c>
    </row>
    <row r="1225">
      <c r="A1225" s="56" t="inlineStr">
        <is>
          <t>Countries</t>
        </is>
      </c>
      <c r="B1225" s="56" t="inlineStr">
        <is>
          <t>AE91</t>
        </is>
      </c>
      <c r="C1225" s="56" t="n">
        <v>91</v>
      </c>
      <c r="D1225" s="56" t="inlineStr">
        <is>
          <t>All landing pages</t>
        </is>
      </c>
      <c r="E1225" s="56" t="inlineStr">
        <is>
          <t>Direct</t>
        </is>
      </c>
      <c r="F1225" s="56" t="inlineStr">
        <is>
          <t>Mobile</t>
        </is>
      </c>
      <c r="G1225" s="56" t="inlineStr">
        <is>
          <t>Denmark</t>
        </is>
      </c>
      <c r="H1225" s="56" t="n">
        <v>13</v>
      </c>
      <c r="I1225" s="56" t="inlineStr">
        <is>
          <t>Add to cart</t>
        </is>
      </c>
      <c r="J1225" s="56" t="inlineStr">
        <is>
          <t>1-23 August 2026</t>
        </is>
      </c>
      <c r="K1225" s="57" t="n">
        <v>89</v>
      </c>
      <c r="L1225" s="56" t="inlineStr">
        <is>
          <t>Completeness only</t>
        </is>
      </c>
      <c r="M1225" s="40">
        <f>IF(Countries!AE91="","STILL MISSING","Filled ✓")</f>
        <v/>
      </c>
    </row>
    <row r="1226">
      <c r="A1226" s="40" t="inlineStr">
        <is>
          <t>Countries</t>
        </is>
      </c>
      <c r="B1226" s="40" t="inlineStr">
        <is>
          <t>AK91</t>
        </is>
      </c>
      <c r="C1226" s="40" t="n">
        <v>91</v>
      </c>
      <c r="D1226" s="40" t="inlineStr">
        <is>
          <t>All landing pages</t>
        </is>
      </c>
      <c r="E1226" s="40" t="inlineStr">
        <is>
          <t>Direct</t>
        </is>
      </c>
      <c r="F1226" s="40" t="inlineStr">
        <is>
          <t>Mobile</t>
        </is>
      </c>
      <c r="G1226" s="40" t="inlineStr">
        <is>
          <t>Denmark</t>
        </is>
      </c>
      <c r="H1226" s="40" t="n">
        <v>13</v>
      </c>
      <c r="I1226" s="40" t="inlineStr">
        <is>
          <t>Begin checkout</t>
        </is>
      </c>
      <c r="J1226" s="40" t="inlineStr">
        <is>
          <t>1-23 August 2025</t>
        </is>
      </c>
      <c r="K1226" s="55" t="n">
        <v>89</v>
      </c>
      <c r="L1226" s="40" t="inlineStr">
        <is>
          <t>Completeness only</t>
        </is>
      </c>
      <c r="M1226" s="40">
        <f>IF(Countries!AK91="","STILL MISSING","Filled ✓")</f>
        <v/>
      </c>
    </row>
    <row r="1227">
      <c r="A1227" s="56" t="inlineStr">
        <is>
          <t>Countries</t>
        </is>
      </c>
      <c r="B1227" s="56" t="inlineStr">
        <is>
          <t>AL91</t>
        </is>
      </c>
      <c r="C1227" s="56" t="n">
        <v>91</v>
      </c>
      <c r="D1227" s="56" t="inlineStr">
        <is>
          <t>All landing pages</t>
        </is>
      </c>
      <c r="E1227" s="56" t="inlineStr">
        <is>
          <t>Direct</t>
        </is>
      </c>
      <c r="F1227" s="56" t="inlineStr">
        <is>
          <t>Mobile</t>
        </is>
      </c>
      <c r="G1227" s="56" t="inlineStr">
        <is>
          <t>Denmark</t>
        </is>
      </c>
      <c r="H1227" s="56" t="n">
        <v>13</v>
      </c>
      <c r="I1227" s="56" t="inlineStr">
        <is>
          <t>Begin checkout</t>
        </is>
      </c>
      <c r="J1227" s="56" t="inlineStr">
        <is>
          <t>1-23 August 2026</t>
        </is>
      </c>
      <c r="K1227" s="57" t="n">
        <v>89</v>
      </c>
      <c r="L1227" s="56" t="inlineStr">
        <is>
          <t>Completeness only</t>
        </is>
      </c>
      <c r="M1227" s="40">
        <f>IF(Countries!AL91="","STILL MISSING","Filled ✓")</f>
        <v/>
      </c>
    </row>
    <row r="1228">
      <c r="A1228" s="40" t="inlineStr">
        <is>
          <t>Countries</t>
        </is>
      </c>
      <c r="B1228" s="40" t="inlineStr">
        <is>
          <t>AS91</t>
        </is>
      </c>
      <c r="C1228" s="40" t="n">
        <v>91</v>
      </c>
      <c r="D1228" s="40" t="inlineStr">
        <is>
          <t>All landing pages</t>
        </is>
      </c>
      <c r="E1228" s="40" t="inlineStr">
        <is>
          <t>Direct</t>
        </is>
      </c>
      <c r="F1228" s="40" t="inlineStr">
        <is>
          <t>Mobile</t>
        </is>
      </c>
      <c r="G1228" s="40" t="inlineStr">
        <is>
          <t>Denmark</t>
        </is>
      </c>
      <c r="H1228" s="40" t="n">
        <v>13</v>
      </c>
      <c r="I1228" s="40" t="inlineStr">
        <is>
          <t>Purchases</t>
        </is>
      </c>
      <c r="J1228" s="40" t="inlineStr">
        <is>
          <t>1-23 August 2026</t>
        </is>
      </c>
      <c r="K1228" s="55" t="n">
        <v>89</v>
      </c>
      <c r="L1228" s="40" t="inlineStr">
        <is>
          <t>Completeness only</t>
        </is>
      </c>
      <c r="M1228" s="40">
        <f>IF(Countries!AS91="","STILL MISSING","Filled ✓")</f>
        <v/>
      </c>
    </row>
    <row r="1229">
      <c r="A1229" s="56" t="inlineStr">
        <is>
          <t>Countries</t>
        </is>
      </c>
      <c r="B1229" s="56" t="inlineStr">
        <is>
          <t>X91</t>
        </is>
      </c>
      <c r="C1229" s="56" t="n">
        <v>91</v>
      </c>
      <c r="D1229" s="56" t="inlineStr">
        <is>
          <t>All landing pages</t>
        </is>
      </c>
      <c r="E1229" s="56" t="inlineStr">
        <is>
          <t>Direct</t>
        </is>
      </c>
      <c r="F1229" s="56" t="inlineStr">
        <is>
          <t>Mobile</t>
        </is>
      </c>
      <c r="G1229" s="56" t="inlineStr">
        <is>
          <t>Denmark</t>
        </is>
      </c>
      <c r="H1229" s="56" t="n">
        <v>13</v>
      </c>
      <c r="I1229" s="56" t="inlineStr">
        <is>
          <t>Select item</t>
        </is>
      </c>
      <c r="J1229" s="56" t="inlineStr">
        <is>
          <t>1-23 August 2026</t>
        </is>
      </c>
      <c r="K1229" s="57" t="n">
        <v>89</v>
      </c>
      <c r="L1229" s="56" t="inlineStr">
        <is>
          <t>Completeness only</t>
        </is>
      </c>
      <c r="M1229" s="40">
        <f>IF(Countries!X91="","STILL MISSING","Filled ✓")</f>
        <v/>
      </c>
    </row>
    <row r="1230">
      <c r="A1230" s="40" t="inlineStr">
        <is>
          <t>Countries</t>
        </is>
      </c>
      <c r="B1230" s="40" t="inlineStr">
        <is>
          <t>F91</t>
        </is>
      </c>
      <c r="C1230" s="40" t="n">
        <v>91</v>
      </c>
      <c r="D1230" s="40" t="inlineStr">
        <is>
          <t>All landing pages</t>
        </is>
      </c>
      <c r="E1230" s="40" t="inlineStr">
        <is>
          <t>Direct</t>
        </is>
      </c>
      <c r="F1230" s="40" t="inlineStr">
        <is>
          <t>Mobile</t>
        </is>
      </c>
      <c r="G1230" s="40" t="inlineStr">
        <is>
          <t>Denmark</t>
        </is>
      </c>
      <c r="H1230" s="40" t="n">
        <v>13</v>
      </c>
      <c r="I1230" s="40" t="inlineStr">
        <is>
          <t>Sessions</t>
        </is>
      </c>
      <c r="J1230" s="40" t="inlineStr">
        <is>
          <t>1-23 August 2026</t>
        </is>
      </c>
      <c r="K1230" s="55" t="n">
        <v>89</v>
      </c>
      <c r="L1230" s="40" t="inlineStr">
        <is>
          <t>Completeness only</t>
        </is>
      </c>
      <c r="M1230" s="40">
        <f>IF(Countries!F91="","STILL MISSING","Filled ✓")</f>
        <v/>
      </c>
    </row>
    <row r="1231">
      <c r="A1231" s="56" t="inlineStr">
        <is>
          <t>Countries</t>
        </is>
      </c>
      <c r="B1231" s="56" t="inlineStr">
        <is>
          <t>I91</t>
        </is>
      </c>
      <c r="C1231" s="56" t="n">
        <v>91</v>
      </c>
      <c r="D1231" s="56" t="inlineStr">
        <is>
          <t>All landing pages</t>
        </is>
      </c>
      <c r="E1231" s="56" t="inlineStr">
        <is>
          <t>Direct</t>
        </is>
      </c>
      <c r="F1231" s="56" t="inlineStr">
        <is>
          <t>Mobile</t>
        </is>
      </c>
      <c r="G1231" s="56" t="inlineStr">
        <is>
          <t>Denmark</t>
        </is>
      </c>
      <c r="H1231" s="56" t="n">
        <v>13</v>
      </c>
      <c r="I1231" s="56" t="inlineStr">
        <is>
          <t>Start Search</t>
        </is>
      </c>
      <c r="J1231" s="56" t="inlineStr">
        <is>
          <t>1-23 August 2025</t>
        </is>
      </c>
      <c r="K1231" s="57" t="n">
        <v>89</v>
      </c>
      <c r="L1231" s="56" t="inlineStr">
        <is>
          <t>Completeness only</t>
        </is>
      </c>
      <c r="M1231" s="40">
        <f>IF(Countries!I91="","STILL MISSING","Filled ✓")</f>
        <v/>
      </c>
    </row>
    <row r="1232">
      <c r="A1232" s="40" t="inlineStr">
        <is>
          <t>Countries</t>
        </is>
      </c>
      <c r="B1232" s="40" t="inlineStr">
        <is>
          <t>J91</t>
        </is>
      </c>
      <c r="C1232" s="40" t="n">
        <v>91</v>
      </c>
      <c r="D1232" s="40" t="inlineStr">
        <is>
          <t>All landing pages</t>
        </is>
      </c>
      <c r="E1232" s="40" t="inlineStr">
        <is>
          <t>Direct</t>
        </is>
      </c>
      <c r="F1232" s="40" t="inlineStr">
        <is>
          <t>Mobile</t>
        </is>
      </c>
      <c r="G1232" s="40" t="inlineStr">
        <is>
          <t>Denmark</t>
        </is>
      </c>
      <c r="H1232" s="40" t="n">
        <v>13</v>
      </c>
      <c r="I1232" s="40" t="inlineStr">
        <is>
          <t>Start Search</t>
        </is>
      </c>
      <c r="J1232" s="40" t="inlineStr">
        <is>
          <t>1-23 August 2026</t>
        </is>
      </c>
      <c r="K1232" s="55" t="n">
        <v>89</v>
      </c>
      <c r="L1232" s="40" t="inlineStr">
        <is>
          <t>Completeness only</t>
        </is>
      </c>
      <c r="M1232" s="40">
        <f>IF(Countries!J91="","STILL MISSING","Filled ✓")</f>
        <v/>
      </c>
    </row>
    <row r="1233">
      <c r="A1233" s="56" t="inlineStr">
        <is>
          <t>Countries</t>
        </is>
      </c>
      <c r="B1233" s="56" t="inlineStr">
        <is>
          <t>AD142</t>
        </is>
      </c>
      <c r="C1233" s="56" t="n">
        <v>142</v>
      </c>
      <c r="D1233" s="56" t="inlineStr">
        <is>
          <t>Home page</t>
        </is>
      </c>
      <c r="E1233" s="56" t="inlineStr">
        <is>
          <t>Paid Search</t>
        </is>
      </c>
      <c r="F1233" s="56" t="inlineStr">
        <is>
          <t>Desktop</t>
        </is>
      </c>
      <c r="G1233" s="56" t="inlineStr">
        <is>
          <t>Denmark</t>
        </is>
      </c>
      <c r="H1233" s="56" t="n">
        <v>13</v>
      </c>
      <c r="I1233" s="56" t="inlineStr">
        <is>
          <t>Add to cart</t>
        </is>
      </c>
      <c r="J1233" s="56" t="inlineStr">
        <is>
          <t>1-23 August 2025</t>
        </is>
      </c>
      <c r="K1233" s="57" t="n">
        <v>826</v>
      </c>
      <c r="L1233" s="56" t="inlineStr">
        <is>
          <t>Completeness only</t>
        </is>
      </c>
      <c r="M1233" s="40">
        <f>IF(Countries!AD142="","STILL MISSING","Filled ✓")</f>
        <v/>
      </c>
    </row>
    <row r="1234">
      <c r="A1234" s="40" t="inlineStr">
        <is>
          <t>Countries</t>
        </is>
      </c>
      <c r="B1234" s="40" t="inlineStr">
        <is>
          <t>AE142</t>
        </is>
      </c>
      <c r="C1234" s="40" t="n">
        <v>142</v>
      </c>
      <c r="D1234" s="40" t="inlineStr">
        <is>
          <t>Home page</t>
        </is>
      </c>
      <c r="E1234" s="40" t="inlineStr">
        <is>
          <t>Paid Search</t>
        </is>
      </c>
      <c r="F1234" s="40" t="inlineStr">
        <is>
          <t>Desktop</t>
        </is>
      </c>
      <c r="G1234" s="40" t="inlineStr">
        <is>
          <t>Denmark</t>
        </is>
      </c>
      <c r="H1234" s="40" t="n">
        <v>13</v>
      </c>
      <c r="I1234" s="40" t="inlineStr">
        <is>
          <t>Add to cart</t>
        </is>
      </c>
      <c r="J1234" s="40" t="inlineStr">
        <is>
          <t>1-23 August 2026</t>
        </is>
      </c>
      <c r="K1234" s="55" t="n">
        <v>826</v>
      </c>
      <c r="L1234" s="40" t="inlineStr">
        <is>
          <t>Completeness only</t>
        </is>
      </c>
      <c r="M1234" s="40">
        <f>IF(Countries!AE142="","STILL MISSING","Filled ✓")</f>
        <v/>
      </c>
    </row>
    <row r="1235">
      <c r="A1235" s="56" t="inlineStr">
        <is>
          <t>Countries</t>
        </is>
      </c>
      <c r="B1235" s="56" t="inlineStr">
        <is>
          <t>AK142</t>
        </is>
      </c>
      <c r="C1235" s="56" t="n">
        <v>142</v>
      </c>
      <c r="D1235" s="56" t="inlineStr">
        <is>
          <t>Home page</t>
        </is>
      </c>
      <c r="E1235" s="56" t="inlineStr">
        <is>
          <t>Paid Search</t>
        </is>
      </c>
      <c r="F1235" s="56" t="inlineStr">
        <is>
          <t>Desktop</t>
        </is>
      </c>
      <c r="G1235" s="56" t="inlineStr">
        <is>
          <t>Denmark</t>
        </is>
      </c>
      <c r="H1235" s="56" t="n">
        <v>13</v>
      </c>
      <c r="I1235" s="56" t="inlineStr">
        <is>
          <t>Begin checkout</t>
        </is>
      </c>
      <c r="J1235" s="56" t="inlineStr">
        <is>
          <t>1-23 August 2025</t>
        </is>
      </c>
      <c r="K1235" s="57" t="n">
        <v>826</v>
      </c>
      <c r="L1235" s="56" t="inlineStr">
        <is>
          <t>Completeness only</t>
        </is>
      </c>
      <c r="M1235" s="40">
        <f>IF(Countries!AK142="","STILL MISSING","Filled ✓")</f>
        <v/>
      </c>
    </row>
    <row r="1236">
      <c r="A1236" s="40" t="inlineStr">
        <is>
          <t>Countries</t>
        </is>
      </c>
      <c r="B1236" s="40" t="inlineStr">
        <is>
          <t>AL142</t>
        </is>
      </c>
      <c r="C1236" s="40" t="n">
        <v>142</v>
      </c>
      <c r="D1236" s="40" t="inlineStr">
        <is>
          <t>Home page</t>
        </is>
      </c>
      <c r="E1236" s="40" t="inlineStr">
        <is>
          <t>Paid Search</t>
        </is>
      </c>
      <c r="F1236" s="40" t="inlineStr">
        <is>
          <t>Desktop</t>
        </is>
      </c>
      <c r="G1236" s="40" t="inlineStr">
        <is>
          <t>Denmark</t>
        </is>
      </c>
      <c r="H1236" s="40" t="n">
        <v>13</v>
      </c>
      <c r="I1236" s="40" t="inlineStr">
        <is>
          <t>Begin checkout</t>
        </is>
      </c>
      <c r="J1236" s="40" t="inlineStr">
        <is>
          <t>1-23 August 2026</t>
        </is>
      </c>
      <c r="K1236" s="55" t="n">
        <v>826</v>
      </c>
      <c r="L1236" s="40" t="inlineStr">
        <is>
          <t>Completeness only</t>
        </is>
      </c>
      <c r="M1236" s="40">
        <f>IF(Countries!AL142="","STILL MISSING","Filled ✓")</f>
        <v/>
      </c>
    </row>
    <row r="1237">
      <c r="A1237" s="56" t="inlineStr">
        <is>
          <t>Countries</t>
        </is>
      </c>
      <c r="B1237" s="56" t="inlineStr">
        <is>
          <t>AD124</t>
        </is>
      </c>
      <c r="C1237" s="56" t="n">
        <v>124</v>
      </c>
      <c r="D1237" s="56" t="inlineStr">
        <is>
          <t>Home page</t>
        </is>
      </c>
      <c r="E1237" s="56" t="inlineStr">
        <is>
          <t>Paid Search</t>
        </is>
      </c>
      <c r="F1237" s="56" t="inlineStr">
        <is>
          <t>Mobile</t>
        </is>
      </c>
      <c r="G1237" s="56" t="inlineStr">
        <is>
          <t>Denmark</t>
        </is>
      </c>
      <c r="H1237" s="56" t="n">
        <v>13</v>
      </c>
      <c r="I1237" s="56" t="inlineStr">
        <is>
          <t>Add to cart</t>
        </is>
      </c>
      <c r="J1237" s="56" t="inlineStr">
        <is>
          <t>1-23 August 2025</t>
        </is>
      </c>
      <c r="K1237" s="57" t="n">
        <v>685</v>
      </c>
      <c r="L1237" s="56" t="inlineStr">
        <is>
          <t>Completeness only</t>
        </is>
      </c>
      <c r="M1237" s="40">
        <f>IF(Countries!AD124="","STILL MISSING","Filled ✓")</f>
        <v/>
      </c>
    </row>
    <row r="1238">
      <c r="A1238" s="40" t="inlineStr">
        <is>
          <t>Countries</t>
        </is>
      </c>
      <c r="B1238" s="40" t="inlineStr">
        <is>
          <t>AE124</t>
        </is>
      </c>
      <c r="C1238" s="40" t="n">
        <v>124</v>
      </c>
      <c r="D1238" s="40" t="inlineStr">
        <is>
          <t>Home page</t>
        </is>
      </c>
      <c r="E1238" s="40" t="inlineStr">
        <is>
          <t>Paid Search</t>
        </is>
      </c>
      <c r="F1238" s="40" t="inlineStr">
        <is>
          <t>Mobile</t>
        </is>
      </c>
      <c r="G1238" s="40" t="inlineStr">
        <is>
          <t>Denmark</t>
        </is>
      </c>
      <c r="H1238" s="40" t="n">
        <v>13</v>
      </c>
      <c r="I1238" s="40" t="inlineStr">
        <is>
          <t>Add to cart</t>
        </is>
      </c>
      <c r="J1238" s="40" t="inlineStr">
        <is>
          <t>1-23 August 2026</t>
        </is>
      </c>
      <c r="K1238" s="55" t="n">
        <v>685</v>
      </c>
      <c r="L1238" s="40" t="inlineStr">
        <is>
          <t>Completeness only</t>
        </is>
      </c>
      <c r="M1238" s="40">
        <f>IF(Countries!AE124="","STILL MISSING","Filled ✓")</f>
        <v/>
      </c>
    </row>
    <row r="1239">
      <c r="A1239" s="56" t="inlineStr">
        <is>
          <t>Countries</t>
        </is>
      </c>
      <c r="B1239" s="56" t="inlineStr">
        <is>
          <t>AK124</t>
        </is>
      </c>
      <c r="C1239" s="56" t="n">
        <v>124</v>
      </c>
      <c r="D1239" s="56" t="inlineStr">
        <is>
          <t>Home page</t>
        </is>
      </c>
      <c r="E1239" s="56" t="inlineStr">
        <is>
          <t>Paid Search</t>
        </is>
      </c>
      <c r="F1239" s="56" t="inlineStr">
        <is>
          <t>Mobile</t>
        </is>
      </c>
      <c r="G1239" s="56" t="inlineStr">
        <is>
          <t>Denmark</t>
        </is>
      </c>
      <c r="H1239" s="56" t="n">
        <v>13</v>
      </c>
      <c r="I1239" s="56" t="inlineStr">
        <is>
          <t>Begin checkout</t>
        </is>
      </c>
      <c r="J1239" s="56" t="inlineStr">
        <is>
          <t>1-23 August 2025</t>
        </is>
      </c>
      <c r="K1239" s="57" t="n">
        <v>685</v>
      </c>
      <c r="L1239" s="56" t="inlineStr">
        <is>
          <t>Completeness only</t>
        </is>
      </c>
      <c r="M1239" s="40">
        <f>IF(Countries!AK124="","STILL MISSING","Filled ✓")</f>
        <v/>
      </c>
    </row>
    <row r="1240">
      <c r="A1240" s="40" t="inlineStr">
        <is>
          <t>Countries</t>
        </is>
      </c>
      <c r="B1240" s="40" t="inlineStr">
        <is>
          <t>AL124</t>
        </is>
      </c>
      <c r="C1240" s="40" t="n">
        <v>124</v>
      </c>
      <c r="D1240" s="40" t="inlineStr">
        <is>
          <t>Home page</t>
        </is>
      </c>
      <c r="E1240" s="40" t="inlineStr">
        <is>
          <t>Paid Search</t>
        </is>
      </c>
      <c r="F1240" s="40" t="inlineStr">
        <is>
          <t>Mobile</t>
        </is>
      </c>
      <c r="G1240" s="40" t="inlineStr">
        <is>
          <t>Denmark</t>
        </is>
      </c>
      <c r="H1240" s="40" t="n">
        <v>13</v>
      </c>
      <c r="I1240" s="40" t="inlineStr">
        <is>
          <t>Begin checkout</t>
        </is>
      </c>
      <c r="J1240" s="40" t="inlineStr">
        <is>
          <t>1-23 August 2026</t>
        </is>
      </c>
      <c r="K1240" s="55" t="n">
        <v>685</v>
      </c>
      <c r="L1240" s="40" t="inlineStr">
        <is>
          <t>Completeness only</t>
        </is>
      </c>
      <c r="M1240" s="40">
        <f>IF(Countries!AL124="","STILL MISSING","Filled ✓")</f>
        <v/>
      </c>
    </row>
    <row r="1241">
      <c r="A1241" s="56" t="inlineStr">
        <is>
          <t>Countries</t>
        </is>
      </c>
      <c r="B1241" s="56" t="inlineStr">
        <is>
          <t>AR124</t>
        </is>
      </c>
      <c r="C1241" s="56" t="n">
        <v>124</v>
      </c>
      <c r="D1241" s="56" t="inlineStr">
        <is>
          <t>Home page</t>
        </is>
      </c>
      <c r="E1241" s="56" t="inlineStr">
        <is>
          <t>Paid Search</t>
        </is>
      </c>
      <c r="F1241" s="56" t="inlineStr">
        <is>
          <t>Mobile</t>
        </is>
      </c>
      <c r="G1241" s="56" t="inlineStr">
        <is>
          <t>Denmark</t>
        </is>
      </c>
      <c r="H1241" s="56" t="n">
        <v>13</v>
      </c>
      <c r="I1241" s="56" t="inlineStr">
        <is>
          <t>Purchases</t>
        </is>
      </c>
      <c r="J1241" s="56" t="inlineStr">
        <is>
          <t>1-23 August 2025</t>
        </is>
      </c>
      <c r="K1241" s="57" t="n">
        <v>685</v>
      </c>
      <c r="L1241" s="56" t="inlineStr">
        <is>
          <t>Completeness only</t>
        </is>
      </c>
      <c r="M1241" s="40">
        <f>IF(Countries!AR124="","STILL MISSING","Filled ✓")</f>
        <v/>
      </c>
    </row>
    <row r="1242">
      <c r="A1242" s="40" t="inlineStr">
        <is>
          <t>Countries</t>
        </is>
      </c>
      <c r="B1242" s="40" t="inlineStr">
        <is>
          <t>W124</t>
        </is>
      </c>
      <c r="C1242" s="40" t="n">
        <v>124</v>
      </c>
      <c r="D1242" s="40" t="inlineStr">
        <is>
          <t>Home page</t>
        </is>
      </c>
      <c r="E1242" s="40" t="inlineStr">
        <is>
          <t>Paid Search</t>
        </is>
      </c>
      <c r="F1242" s="40" t="inlineStr">
        <is>
          <t>Mobile</t>
        </is>
      </c>
      <c r="G1242" s="40" t="inlineStr">
        <is>
          <t>Denmark</t>
        </is>
      </c>
      <c r="H1242" s="40" t="n">
        <v>13</v>
      </c>
      <c r="I1242" s="40" t="inlineStr">
        <is>
          <t>Select item</t>
        </is>
      </c>
      <c r="J1242" s="40" t="inlineStr">
        <is>
          <t>1-23 August 2025</t>
        </is>
      </c>
      <c r="K1242" s="55" t="n">
        <v>685</v>
      </c>
      <c r="L1242" s="40" t="inlineStr">
        <is>
          <t>Completeness only</t>
        </is>
      </c>
      <c r="M1242" s="40">
        <f>IF(Countries!W124="","STILL MISSING","Filled ✓")</f>
        <v/>
      </c>
    </row>
    <row r="1243">
      <c r="A1243" s="56" t="inlineStr">
        <is>
          <t>Countries</t>
        </is>
      </c>
      <c r="B1243" s="56" t="inlineStr">
        <is>
          <t>I124</t>
        </is>
      </c>
      <c r="C1243" s="56" t="n">
        <v>124</v>
      </c>
      <c r="D1243" s="56" t="inlineStr">
        <is>
          <t>Home page</t>
        </is>
      </c>
      <c r="E1243" s="56" t="inlineStr">
        <is>
          <t>Paid Search</t>
        </is>
      </c>
      <c r="F1243" s="56" t="inlineStr">
        <is>
          <t>Mobile</t>
        </is>
      </c>
      <c r="G1243" s="56" t="inlineStr">
        <is>
          <t>Denmark</t>
        </is>
      </c>
      <c r="H1243" s="56" t="n">
        <v>13</v>
      </c>
      <c r="I1243" s="56" t="inlineStr">
        <is>
          <t>Start Search</t>
        </is>
      </c>
      <c r="J1243" s="56" t="inlineStr">
        <is>
          <t>1-23 August 2025</t>
        </is>
      </c>
      <c r="K1243" s="57" t="n">
        <v>685</v>
      </c>
      <c r="L1243" s="56" t="inlineStr">
        <is>
          <t>Completeness only</t>
        </is>
      </c>
      <c r="M1243" s="40">
        <f>IF(Countries!I124="","STILL MISSING","Filled ✓")</f>
        <v/>
      </c>
    </row>
    <row r="1244">
      <c r="A1244" s="40" t="inlineStr">
        <is>
          <t>Countries</t>
        </is>
      </c>
      <c r="B1244" s="40" t="inlineStr">
        <is>
          <t>AD201</t>
        </is>
      </c>
      <c r="C1244" s="40" t="n">
        <v>201</v>
      </c>
      <c r="D1244" s="40" t="inlineStr">
        <is>
          <t>Home page</t>
        </is>
      </c>
      <c r="E1244" s="40" t="inlineStr">
        <is>
          <t>Direct</t>
        </is>
      </c>
      <c r="F1244" s="40" t="inlineStr">
        <is>
          <t>Mobile</t>
        </is>
      </c>
      <c r="G1244" s="40" t="inlineStr">
        <is>
          <t>Denmark</t>
        </is>
      </c>
      <c r="H1244" s="40" t="n">
        <v>13</v>
      </c>
      <c r="I1244" s="40" t="inlineStr">
        <is>
          <t>Add to cart</t>
        </is>
      </c>
      <c r="J1244" s="40" t="inlineStr">
        <is>
          <t>1-23 August 2025</t>
        </is>
      </c>
      <c r="K1244" s="55" t="n">
        <v>65</v>
      </c>
      <c r="L1244" s="40" t="inlineStr">
        <is>
          <t>Completeness only</t>
        </is>
      </c>
      <c r="M1244" s="40">
        <f>IF(Countries!AD201="","STILL MISSING","Filled ✓")</f>
        <v/>
      </c>
    </row>
    <row r="1245">
      <c r="A1245" s="56" t="inlineStr">
        <is>
          <t>Countries</t>
        </is>
      </c>
      <c r="B1245" s="56" t="inlineStr">
        <is>
          <t>AE201</t>
        </is>
      </c>
      <c r="C1245" s="56" t="n">
        <v>201</v>
      </c>
      <c r="D1245" s="56" t="inlineStr">
        <is>
          <t>Home page</t>
        </is>
      </c>
      <c r="E1245" s="56" t="inlineStr">
        <is>
          <t>Direct</t>
        </is>
      </c>
      <c r="F1245" s="56" t="inlineStr">
        <is>
          <t>Mobile</t>
        </is>
      </c>
      <c r="G1245" s="56" t="inlineStr">
        <is>
          <t>Denmark</t>
        </is>
      </c>
      <c r="H1245" s="56" t="n">
        <v>13</v>
      </c>
      <c r="I1245" s="56" t="inlineStr">
        <is>
          <t>Add to cart</t>
        </is>
      </c>
      <c r="J1245" s="56" t="inlineStr">
        <is>
          <t>1-23 August 2026</t>
        </is>
      </c>
      <c r="K1245" s="57" t="n">
        <v>65</v>
      </c>
      <c r="L1245" s="56" t="inlineStr">
        <is>
          <t>Completeness only</t>
        </is>
      </c>
      <c r="M1245" s="40">
        <f>IF(Countries!AE201="","STILL MISSING","Filled ✓")</f>
        <v/>
      </c>
    </row>
    <row r="1246">
      <c r="A1246" s="40" t="inlineStr">
        <is>
          <t>Countries</t>
        </is>
      </c>
      <c r="B1246" s="40" t="inlineStr">
        <is>
          <t>AK201</t>
        </is>
      </c>
      <c r="C1246" s="40" t="n">
        <v>201</v>
      </c>
      <c r="D1246" s="40" t="inlineStr">
        <is>
          <t>Home page</t>
        </is>
      </c>
      <c r="E1246" s="40" t="inlineStr">
        <is>
          <t>Direct</t>
        </is>
      </c>
      <c r="F1246" s="40" t="inlineStr">
        <is>
          <t>Mobile</t>
        </is>
      </c>
      <c r="G1246" s="40" t="inlineStr">
        <is>
          <t>Denmark</t>
        </is>
      </c>
      <c r="H1246" s="40" t="n">
        <v>13</v>
      </c>
      <c r="I1246" s="40" t="inlineStr">
        <is>
          <t>Begin checkout</t>
        </is>
      </c>
      <c r="J1246" s="40" t="inlineStr">
        <is>
          <t>1-23 August 2025</t>
        </is>
      </c>
      <c r="K1246" s="55" t="n">
        <v>65</v>
      </c>
      <c r="L1246" s="40" t="inlineStr">
        <is>
          <t>Completeness only</t>
        </is>
      </c>
      <c r="M1246" s="40">
        <f>IF(Countries!AK201="","STILL MISSING","Filled ✓")</f>
        <v/>
      </c>
    </row>
    <row r="1247">
      <c r="A1247" s="56" t="inlineStr">
        <is>
          <t>Countries</t>
        </is>
      </c>
      <c r="B1247" s="56" t="inlineStr">
        <is>
          <t>AL201</t>
        </is>
      </c>
      <c r="C1247" s="56" t="n">
        <v>201</v>
      </c>
      <c r="D1247" s="56" t="inlineStr">
        <is>
          <t>Home page</t>
        </is>
      </c>
      <c r="E1247" s="56" t="inlineStr">
        <is>
          <t>Direct</t>
        </is>
      </c>
      <c r="F1247" s="56" t="inlineStr">
        <is>
          <t>Mobile</t>
        </is>
      </c>
      <c r="G1247" s="56" t="inlineStr">
        <is>
          <t>Denmark</t>
        </is>
      </c>
      <c r="H1247" s="56" t="n">
        <v>13</v>
      </c>
      <c r="I1247" s="56" t="inlineStr">
        <is>
          <t>Begin checkout</t>
        </is>
      </c>
      <c r="J1247" s="56" t="inlineStr">
        <is>
          <t>1-23 August 2026</t>
        </is>
      </c>
      <c r="K1247" s="57" t="n">
        <v>65</v>
      </c>
      <c r="L1247" s="56" t="inlineStr">
        <is>
          <t>Completeness only</t>
        </is>
      </c>
      <c r="M1247" s="40">
        <f>IF(Countries!AL201="","STILL MISSING","Filled ✓")</f>
        <v/>
      </c>
    </row>
    <row r="1248">
      <c r="A1248" s="40" t="inlineStr">
        <is>
          <t>Countries</t>
        </is>
      </c>
      <c r="B1248" s="40" t="inlineStr">
        <is>
          <t>AS201</t>
        </is>
      </c>
      <c r="C1248" s="40" t="n">
        <v>201</v>
      </c>
      <c r="D1248" s="40" t="inlineStr">
        <is>
          <t>Home page</t>
        </is>
      </c>
      <c r="E1248" s="40" t="inlineStr">
        <is>
          <t>Direct</t>
        </is>
      </c>
      <c r="F1248" s="40" t="inlineStr">
        <is>
          <t>Mobile</t>
        </is>
      </c>
      <c r="G1248" s="40" t="inlineStr">
        <is>
          <t>Denmark</t>
        </is>
      </c>
      <c r="H1248" s="40" t="n">
        <v>13</v>
      </c>
      <c r="I1248" s="40" t="inlineStr">
        <is>
          <t>Purchases</t>
        </is>
      </c>
      <c r="J1248" s="40" t="inlineStr">
        <is>
          <t>1-23 August 2026</t>
        </is>
      </c>
      <c r="K1248" s="55" t="n">
        <v>65</v>
      </c>
      <c r="L1248" s="40" t="inlineStr">
        <is>
          <t>Completeness only</t>
        </is>
      </c>
      <c r="M1248" s="40">
        <f>IF(Countries!AS201="","STILL MISSING","Filled ✓")</f>
        <v/>
      </c>
    </row>
    <row r="1249">
      <c r="A1249" s="56" t="inlineStr">
        <is>
          <t>Countries</t>
        </is>
      </c>
      <c r="B1249" s="56" t="inlineStr">
        <is>
          <t>X201</t>
        </is>
      </c>
      <c r="C1249" s="56" t="n">
        <v>201</v>
      </c>
      <c r="D1249" s="56" t="inlineStr">
        <is>
          <t>Home page</t>
        </is>
      </c>
      <c r="E1249" s="56" t="inlineStr">
        <is>
          <t>Direct</t>
        </is>
      </c>
      <c r="F1249" s="56" t="inlineStr">
        <is>
          <t>Mobile</t>
        </is>
      </c>
      <c r="G1249" s="56" t="inlineStr">
        <is>
          <t>Denmark</t>
        </is>
      </c>
      <c r="H1249" s="56" t="n">
        <v>13</v>
      </c>
      <c r="I1249" s="56" t="inlineStr">
        <is>
          <t>Select item</t>
        </is>
      </c>
      <c r="J1249" s="56" t="inlineStr">
        <is>
          <t>1-23 August 2026</t>
        </is>
      </c>
      <c r="K1249" s="57" t="n">
        <v>65</v>
      </c>
      <c r="L1249" s="56" t="inlineStr">
        <is>
          <t>Completeness only</t>
        </is>
      </c>
      <c r="M1249" s="40">
        <f>IF(Countries!X201="","STILL MISSING","Filled ✓")</f>
        <v/>
      </c>
    </row>
    <row r="1250">
      <c r="A1250" s="40" t="inlineStr">
        <is>
          <t>Countries</t>
        </is>
      </c>
      <c r="B1250" s="40" t="inlineStr">
        <is>
          <t>F201</t>
        </is>
      </c>
      <c r="C1250" s="40" t="n">
        <v>201</v>
      </c>
      <c r="D1250" s="40" t="inlineStr">
        <is>
          <t>Home page</t>
        </is>
      </c>
      <c r="E1250" s="40" t="inlineStr">
        <is>
          <t>Direct</t>
        </is>
      </c>
      <c r="F1250" s="40" t="inlineStr">
        <is>
          <t>Mobile</t>
        </is>
      </c>
      <c r="G1250" s="40" t="inlineStr">
        <is>
          <t>Denmark</t>
        </is>
      </c>
      <c r="H1250" s="40" t="n">
        <v>13</v>
      </c>
      <c r="I1250" s="40" t="inlineStr">
        <is>
          <t>Sessions</t>
        </is>
      </c>
      <c r="J1250" s="40" t="inlineStr">
        <is>
          <t>1-23 August 2026</t>
        </is>
      </c>
      <c r="K1250" s="55" t="n">
        <v>65</v>
      </c>
      <c r="L1250" s="40" t="inlineStr">
        <is>
          <t>Completeness only</t>
        </is>
      </c>
      <c r="M1250" s="40">
        <f>IF(Countries!F201="","STILL MISSING","Filled ✓")</f>
        <v/>
      </c>
    </row>
    <row r="1251">
      <c r="A1251" s="56" t="inlineStr">
        <is>
          <t>Countries</t>
        </is>
      </c>
      <c r="B1251" s="56" t="inlineStr">
        <is>
          <t>I201</t>
        </is>
      </c>
      <c r="C1251" s="56" t="n">
        <v>201</v>
      </c>
      <c r="D1251" s="56" t="inlineStr">
        <is>
          <t>Home page</t>
        </is>
      </c>
      <c r="E1251" s="56" t="inlineStr">
        <is>
          <t>Direct</t>
        </is>
      </c>
      <c r="F1251" s="56" t="inlineStr">
        <is>
          <t>Mobile</t>
        </is>
      </c>
      <c r="G1251" s="56" t="inlineStr">
        <is>
          <t>Denmark</t>
        </is>
      </c>
      <c r="H1251" s="56" t="n">
        <v>13</v>
      </c>
      <c r="I1251" s="56" t="inlineStr">
        <is>
          <t>Start Search</t>
        </is>
      </c>
      <c r="J1251" s="56" t="inlineStr">
        <is>
          <t>1-23 August 2025</t>
        </is>
      </c>
      <c r="K1251" s="57" t="n">
        <v>65</v>
      </c>
      <c r="L1251" s="56" t="inlineStr">
        <is>
          <t>Completeness only</t>
        </is>
      </c>
      <c r="M1251" s="40">
        <f>IF(Countries!I201="","STILL MISSING","Filled ✓")</f>
        <v/>
      </c>
    </row>
    <row r="1252">
      <c r="A1252" s="40" t="inlineStr">
        <is>
          <t>Countries</t>
        </is>
      </c>
      <c r="B1252" s="40" t="inlineStr">
        <is>
          <t>J201</t>
        </is>
      </c>
      <c r="C1252" s="40" t="n">
        <v>201</v>
      </c>
      <c r="D1252" s="40" t="inlineStr">
        <is>
          <t>Home page</t>
        </is>
      </c>
      <c r="E1252" s="40" t="inlineStr">
        <is>
          <t>Direct</t>
        </is>
      </c>
      <c r="F1252" s="40" t="inlineStr">
        <is>
          <t>Mobile</t>
        </is>
      </c>
      <c r="G1252" s="40" t="inlineStr">
        <is>
          <t>Denmark</t>
        </is>
      </c>
      <c r="H1252" s="40" t="n">
        <v>13</v>
      </c>
      <c r="I1252" s="40" t="inlineStr">
        <is>
          <t>Start Search</t>
        </is>
      </c>
      <c r="J1252" s="40" t="inlineStr">
        <is>
          <t>1-23 August 2026</t>
        </is>
      </c>
      <c r="K1252" s="55" t="n">
        <v>65</v>
      </c>
      <c r="L1252" s="40" t="inlineStr">
        <is>
          <t>Completeness only</t>
        </is>
      </c>
      <c r="M1252" s="40">
        <f>IF(Countries!J201="","STILL MISSING","Filled ✓")</f>
        <v/>
      </c>
    </row>
    <row r="1253">
      <c r="A1253" s="56" t="inlineStr">
        <is>
          <t>Countries</t>
        </is>
      </c>
      <c r="B1253" s="56" t="inlineStr">
        <is>
          <t>AD248</t>
        </is>
      </c>
      <c r="C1253" s="56" t="n">
        <v>248</v>
      </c>
      <c r="D1253" s="56" t="inlineStr">
        <is>
          <t>Airport page</t>
        </is>
      </c>
      <c r="E1253" s="56" t="inlineStr">
        <is>
          <t>Paid Search</t>
        </is>
      </c>
      <c r="F1253" s="56" t="inlineStr">
        <is>
          <t>Desktop</t>
        </is>
      </c>
      <c r="G1253" s="56" t="inlineStr">
        <is>
          <t>Denmark</t>
        </is>
      </c>
      <c r="H1253" s="56" t="n">
        <v>13</v>
      </c>
      <c r="I1253" s="56" t="inlineStr">
        <is>
          <t>Add to cart</t>
        </is>
      </c>
      <c r="J1253" s="56" t="inlineStr">
        <is>
          <t>1-23 August 2025</t>
        </is>
      </c>
      <c r="K1253" s="57" t="n">
        <v>1123</v>
      </c>
      <c r="L1253" s="56" t="inlineStr">
        <is>
          <t>Completeness only</t>
        </is>
      </c>
      <c r="M1253" s="40">
        <f>IF(Countries!AD248="","STILL MISSING","Filled ✓")</f>
        <v/>
      </c>
    </row>
    <row r="1254">
      <c r="A1254" s="40" t="inlineStr">
        <is>
          <t>Countries</t>
        </is>
      </c>
      <c r="B1254" s="40" t="inlineStr">
        <is>
          <t>AE248</t>
        </is>
      </c>
      <c r="C1254" s="40" t="n">
        <v>248</v>
      </c>
      <c r="D1254" s="40" t="inlineStr">
        <is>
          <t>Airport page</t>
        </is>
      </c>
      <c r="E1254" s="40" t="inlineStr">
        <is>
          <t>Paid Search</t>
        </is>
      </c>
      <c r="F1254" s="40" t="inlineStr">
        <is>
          <t>Desktop</t>
        </is>
      </c>
      <c r="G1254" s="40" t="inlineStr">
        <is>
          <t>Denmark</t>
        </is>
      </c>
      <c r="H1254" s="40" t="n">
        <v>13</v>
      </c>
      <c r="I1254" s="40" t="inlineStr">
        <is>
          <t>Add to cart</t>
        </is>
      </c>
      <c r="J1254" s="40" t="inlineStr">
        <is>
          <t>1-23 August 2026</t>
        </is>
      </c>
      <c r="K1254" s="55" t="n">
        <v>1123</v>
      </c>
      <c r="L1254" s="40" t="inlineStr">
        <is>
          <t>Completeness only</t>
        </is>
      </c>
      <c r="M1254" s="40">
        <f>IF(Countries!AE248="","STILL MISSING","Filled ✓")</f>
        <v/>
      </c>
    </row>
    <row r="1255">
      <c r="A1255" s="56" t="inlineStr">
        <is>
          <t>Countries</t>
        </is>
      </c>
      <c r="B1255" s="56" t="inlineStr">
        <is>
          <t>AK248</t>
        </is>
      </c>
      <c r="C1255" s="56" t="n">
        <v>248</v>
      </c>
      <c r="D1255" s="56" t="inlineStr">
        <is>
          <t>Airport page</t>
        </is>
      </c>
      <c r="E1255" s="56" t="inlineStr">
        <is>
          <t>Paid Search</t>
        </is>
      </c>
      <c r="F1255" s="56" t="inlineStr">
        <is>
          <t>Desktop</t>
        </is>
      </c>
      <c r="G1255" s="56" t="inlineStr">
        <is>
          <t>Denmark</t>
        </is>
      </c>
      <c r="H1255" s="56" t="n">
        <v>13</v>
      </c>
      <c r="I1255" s="56" t="inlineStr">
        <is>
          <t>Begin checkout</t>
        </is>
      </c>
      <c r="J1255" s="56" t="inlineStr">
        <is>
          <t>1-23 August 2025</t>
        </is>
      </c>
      <c r="K1255" s="57" t="n">
        <v>1123</v>
      </c>
      <c r="L1255" s="56" t="inlineStr">
        <is>
          <t>Completeness only</t>
        </is>
      </c>
      <c r="M1255" s="40">
        <f>IF(Countries!AK248="","STILL MISSING","Filled ✓")</f>
        <v/>
      </c>
    </row>
    <row r="1256">
      <c r="A1256" s="40" t="inlineStr">
        <is>
          <t>Countries</t>
        </is>
      </c>
      <c r="B1256" s="40" t="inlineStr">
        <is>
          <t>AL248</t>
        </is>
      </c>
      <c r="C1256" s="40" t="n">
        <v>248</v>
      </c>
      <c r="D1256" s="40" t="inlineStr">
        <is>
          <t>Airport page</t>
        </is>
      </c>
      <c r="E1256" s="40" t="inlineStr">
        <is>
          <t>Paid Search</t>
        </is>
      </c>
      <c r="F1256" s="40" t="inlineStr">
        <is>
          <t>Desktop</t>
        </is>
      </c>
      <c r="G1256" s="40" t="inlineStr">
        <is>
          <t>Denmark</t>
        </is>
      </c>
      <c r="H1256" s="40" t="n">
        <v>13</v>
      </c>
      <c r="I1256" s="40" t="inlineStr">
        <is>
          <t>Begin checkout</t>
        </is>
      </c>
      <c r="J1256" s="40" t="inlineStr">
        <is>
          <t>1-23 August 2026</t>
        </is>
      </c>
      <c r="K1256" s="55" t="n">
        <v>1123</v>
      </c>
      <c r="L1256" s="40" t="inlineStr">
        <is>
          <t>Completeness only</t>
        </is>
      </c>
      <c r="M1256" s="40">
        <f>IF(Countries!AL248="","STILL MISSING","Filled ✓")</f>
        <v/>
      </c>
    </row>
    <row r="1257">
      <c r="A1257" s="56" t="inlineStr">
        <is>
          <t>Countries</t>
        </is>
      </c>
      <c r="B1257" s="56" t="inlineStr">
        <is>
          <t>AD232</t>
        </is>
      </c>
      <c r="C1257" s="56" t="n">
        <v>232</v>
      </c>
      <c r="D1257" s="56" t="inlineStr">
        <is>
          <t>Airport page</t>
        </is>
      </c>
      <c r="E1257" s="56" t="inlineStr">
        <is>
          <t>Paid Search</t>
        </is>
      </c>
      <c r="F1257" s="56" t="inlineStr">
        <is>
          <t>Mobile</t>
        </is>
      </c>
      <c r="G1257" s="56" t="inlineStr">
        <is>
          <t>Denmark</t>
        </is>
      </c>
      <c r="H1257" s="56" t="n">
        <v>13</v>
      </c>
      <c r="I1257" s="56" t="inlineStr">
        <is>
          <t>Add to cart</t>
        </is>
      </c>
      <c r="J1257" s="56" t="inlineStr">
        <is>
          <t>1-23 August 2025</t>
        </is>
      </c>
      <c r="K1257" s="57" t="n">
        <v>1059</v>
      </c>
      <c r="L1257" s="56" t="inlineStr">
        <is>
          <t>Completeness only</t>
        </is>
      </c>
      <c r="M1257" s="40">
        <f>IF(Countries!AD232="","STILL MISSING","Filled ✓")</f>
        <v/>
      </c>
    </row>
    <row r="1258">
      <c r="A1258" s="40" t="inlineStr">
        <is>
          <t>Countries</t>
        </is>
      </c>
      <c r="B1258" s="40" t="inlineStr">
        <is>
          <t>AE232</t>
        </is>
      </c>
      <c r="C1258" s="40" t="n">
        <v>232</v>
      </c>
      <c r="D1258" s="40" t="inlineStr">
        <is>
          <t>Airport page</t>
        </is>
      </c>
      <c r="E1258" s="40" t="inlineStr">
        <is>
          <t>Paid Search</t>
        </is>
      </c>
      <c r="F1258" s="40" t="inlineStr">
        <is>
          <t>Mobile</t>
        </is>
      </c>
      <c r="G1258" s="40" t="inlineStr">
        <is>
          <t>Denmark</t>
        </is>
      </c>
      <c r="H1258" s="40" t="n">
        <v>13</v>
      </c>
      <c r="I1258" s="40" t="inlineStr">
        <is>
          <t>Add to cart</t>
        </is>
      </c>
      <c r="J1258" s="40" t="inlineStr">
        <is>
          <t>1-23 August 2026</t>
        </is>
      </c>
      <c r="K1258" s="55" t="n">
        <v>1059</v>
      </c>
      <c r="L1258" s="40" t="inlineStr">
        <is>
          <t>Completeness only</t>
        </is>
      </c>
      <c r="M1258" s="40">
        <f>IF(Countries!AE232="","STILL MISSING","Filled ✓")</f>
        <v/>
      </c>
    </row>
    <row r="1259">
      <c r="A1259" s="56" t="inlineStr">
        <is>
          <t>Countries</t>
        </is>
      </c>
      <c r="B1259" s="56" t="inlineStr">
        <is>
          <t>AK232</t>
        </is>
      </c>
      <c r="C1259" s="56" t="n">
        <v>232</v>
      </c>
      <c r="D1259" s="56" t="inlineStr">
        <is>
          <t>Airport page</t>
        </is>
      </c>
      <c r="E1259" s="56" t="inlineStr">
        <is>
          <t>Paid Search</t>
        </is>
      </c>
      <c r="F1259" s="56" t="inlineStr">
        <is>
          <t>Mobile</t>
        </is>
      </c>
      <c r="G1259" s="56" t="inlineStr">
        <is>
          <t>Denmark</t>
        </is>
      </c>
      <c r="H1259" s="56" t="n">
        <v>13</v>
      </c>
      <c r="I1259" s="56" t="inlineStr">
        <is>
          <t>Begin checkout</t>
        </is>
      </c>
      <c r="J1259" s="56" t="inlineStr">
        <is>
          <t>1-23 August 2025</t>
        </is>
      </c>
      <c r="K1259" s="57" t="n">
        <v>1059</v>
      </c>
      <c r="L1259" s="56" t="inlineStr">
        <is>
          <t>Completeness only</t>
        </is>
      </c>
      <c r="M1259" s="40">
        <f>IF(Countries!AK232="","STILL MISSING","Filled ✓")</f>
        <v/>
      </c>
    </row>
    <row r="1260">
      <c r="A1260" s="40" t="inlineStr">
        <is>
          <t>Countries</t>
        </is>
      </c>
      <c r="B1260" s="40" t="inlineStr">
        <is>
          <t>AL232</t>
        </is>
      </c>
      <c r="C1260" s="40" t="n">
        <v>232</v>
      </c>
      <c r="D1260" s="40" t="inlineStr">
        <is>
          <t>Airport page</t>
        </is>
      </c>
      <c r="E1260" s="40" t="inlineStr">
        <is>
          <t>Paid Search</t>
        </is>
      </c>
      <c r="F1260" s="40" t="inlineStr">
        <is>
          <t>Mobile</t>
        </is>
      </c>
      <c r="G1260" s="40" t="inlineStr">
        <is>
          <t>Denmark</t>
        </is>
      </c>
      <c r="H1260" s="40" t="n">
        <v>13</v>
      </c>
      <c r="I1260" s="40" t="inlineStr">
        <is>
          <t>Begin checkout</t>
        </is>
      </c>
      <c r="J1260" s="40" t="inlineStr">
        <is>
          <t>1-23 August 2026</t>
        </is>
      </c>
      <c r="K1260" s="55" t="n">
        <v>1059</v>
      </c>
      <c r="L1260" s="40" t="inlineStr">
        <is>
          <t>Completeness only</t>
        </is>
      </c>
      <c r="M1260" s="40">
        <f>IF(Countries!AL232="","STILL MISSING","Filled ✓")</f>
        <v/>
      </c>
    </row>
    <row r="1261">
      <c r="A1261" s="56" t="inlineStr">
        <is>
          <t>Countries</t>
        </is>
      </c>
      <c r="B1261" s="56" t="inlineStr">
        <is>
          <t>I232</t>
        </is>
      </c>
      <c r="C1261" s="56" t="n">
        <v>232</v>
      </c>
      <c r="D1261" s="56" t="inlineStr">
        <is>
          <t>Airport page</t>
        </is>
      </c>
      <c r="E1261" s="56" t="inlineStr">
        <is>
          <t>Paid Search</t>
        </is>
      </c>
      <c r="F1261" s="56" t="inlineStr">
        <is>
          <t>Mobile</t>
        </is>
      </c>
      <c r="G1261" s="56" t="inlineStr">
        <is>
          <t>Denmark</t>
        </is>
      </c>
      <c r="H1261" s="56" t="n">
        <v>13</v>
      </c>
      <c r="I1261" s="56" t="inlineStr">
        <is>
          <t>Start Search</t>
        </is>
      </c>
      <c r="J1261" s="56" t="inlineStr">
        <is>
          <t>1-23 August 2025</t>
        </is>
      </c>
      <c r="K1261" s="57" t="n">
        <v>1059</v>
      </c>
      <c r="L1261" s="56" t="inlineStr">
        <is>
          <t>Completeness only</t>
        </is>
      </c>
      <c r="M1261" s="40">
        <f>IF(Countries!I232="","STILL MISSING","Filled ✓")</f>
        <v/>
      </c>
    </row>
    <row r="1262">
      <c r="A1262" s="40" t="inlineStr">
        <is>
          <t>Countries</t>
        </is>
      </c>
      <c r="B1262" s="40" t="inlineStr">
        <is>
          <t>AD322</t>
        </is>
      </c>
      <c r="C1262" s="40" t="n">
        <v>322</v>
      </c>
      <c r="D1262" s="40" t="inlineStr">
        <is>
          <t>Airport page</t>
        </is>
      </c>
      <c r="E1262" s="40" t="inlineStr">
        <is>
          <t>Direct</t>
        </is>
      </c>
      <c r="F1262" s="40" t="inlineStr">
        <is>
          <t>Desktop</t>
        </is>
      </c>
      <c r="G1262" s="40" t="inlineStr">
        <is>
          <t>Denmark</t>
        </is>
      </c>
      <c r="H1262" s="40" t="n">
        <v>13</v>
      </c>
      <c r="I1262" s="40" t="inlineStr">
        <is>
          <t>Add to cart</t>
        </is>
      </c>
      <c r="J1262" s="40" t="inlineStr">
        <is>
          <t>1-23 August 2025</t>
        </is>
      </c>
      <c r="K1262" s="55" t="n">
        <v>54</v>
      </c>
      <c r="L1262" s="40" t="inlineStr">
        <is>
          <t>Completeness only</t>
        </is>
      </c>
      <c r="M1262" s="40">
        <f>IF(Countries!AD322="","STILL MISSING","Filled ✓")</f>
        <v/>
      </c>
    </row>
    <row r="1263">
      <c r="A1263" s="56" t="inlineStr">
        <is>
          <t>Countries</t>
        </is>
      </c>
      <c r="B1263" s="56" t="inlineStr">
        <is>
          <t>AE322</t>
        </is>
      </c>
      <c r="C1263" s="56" t="n">
        <v>322</v>
      </c>
      <c r="D1263" s="56" t="inlineStr">
        <is>
          <t>Airport page</t>
        </is>
      </c>
      <c r="E1263" s="56" t="inlineStr">
        <is>
          <t>Direct</t>
        </is>
      </c>
      <c r="F1263" s="56" t="inlineStr">
        <is>
          <t>Desktop</t>
        </is>
      </c>
      <c r="G1263" s="56" t="inlineStr">
        <is>
          <t>Denmark</t>
        </is>
      </c>
      <c r="H1263" s="56" t="n">
        <v>13</v>
      </c>
      <c r="I1263" s="56" t="inlineStr">
        <is>
          <t>Add to cart</t>
        </is>
      </c>
      <c r="J1263" s="56" t="inlineStr">
        <is>
          <t>1-23 August 2026</t>
        </is>
      </c>
      <c r="K1263" s="57" t="n">
        <v>54</v>
      </c>
      <c r="L1263" s="56" t="inlineStr">
        <is>
          <t>Completeness only</t>
        </is>
      </c>
      <c r="M1263" s="40">
        <f>IF(Countries!AE322="","STILL MISSING","Filled ✓")</f>
        <v/>
      </c>
    </row>
    <row r="1264">
      <c r="A1264" s="40" t="inlineStr">
        <is>
          <t>Countries</t>
        </is>
      </c>
      <c r="B1264" s="40" t="inlineStr">
        <is>
          <t>AK322</t>
        </is>
      </c>
      <c r="C1264" s="40" t="n">
        <v>322</v>
      </c>
      <c r="D1264" s="40" t="inlineStr">
        <is>
          <t>Airport page</t>
        </is>
      </c>
      <c r="E1264" s="40" t="inlineStr">
        <is>
          <t>Direct</t>
        </is>
      </c>
      <c r="F1264" s="40" t="inlineStr">
        <is>
          <t>Desktop</t>
        </is>
      </c>
      <c r="G1264" s="40" t="inlineStr">
        <is>
          <t>Denmark</t>
        </is>
      </c>
      <c r="H1264" s="40" t="n">
        <v>13</v>
      </c>
      <c r="I1264" s="40" t="inlineStr">
        <is>
          <t>Begin checkout</t>
        </is>
      </c>
      <c r="J1264" s="40" t="inlineStr">
        <is>
          <t>1-23 August 2025</t>
        </is>
      </c>
      <c r="K1264" s="55" t="n">
        <v>54</v>
      </c>
      <c r="L1264" s="40" t="inlineStr">
        <is>
          <t>Completeness only</t>
        </is>
      </c>
      <c r="M1264" s="40">
        <f>IF(Countries!AK322="","STILL MISSING","Filled ✓")</f>
        <v/>
      </c>
    </row>
    <row r="1265">
      <c r="A1265" s="56" t="inlineStr">
        <is>
          <t>Countries</t>
        </is>
      </c>
      <c r="B1265" s="56" t="inlineStr">
        <is>
          <t>AL322</t>
        </is>
      </c>
      <c r="C1265" s="56" t="n">
        <v>322</v>
      </c>
      <c r="D1265" s="56" t="inlineStr">
        <is>
          <t>Airport page</t>
        </is>
      </c>
      <c r="E1265" s="56" t="inlineStr">
        <is>
          <t>Direct</t>
        </is>
      </c>
      <c r="F1265" s="56" t="inlineStr">
        <is>
          <t>Desktop</t>
        </is>
      </c>
      <c r="G1265" s="56" t="inlineStr">
        <is>
          <t>Denmark</t>
        </is>
      </c>
      <c r="H1265" s="56" t="n">
        <v>13</v>
      </c>
      <c r="I1265" s="56" t="inlineStr">
        <is>
          <t>Begin checkout</t>
        </is>
      </c>
      <c r="J1265" s="56" t="inlineStr">
        <is>
          <t>1-23 August 2026</t>
        </is>
      </c>
      <c r="K1265" s="57" t="n">
        <v>54</v>
      </c>
      <c r="L1265" s="56" t="inlineStr">
        <is>
          <t>Completeness only</t>
        </is>
      </c>
      <c r="M1265" s="40">
        <f>IF(Countries!AL322="","STILL MISSING","Filled ✓")</f>
        <v/>
      </c>
    </row>
    <row r="1266">
      <c r="A1266" s="40" t="inlineStr">
        <is>
          <t>Countries</t>
        </is>
      </c>
      <c r="B1266" s="40" t="inlineStr">
        <is>
          <t>W322</t>
        </is>
      </c>
      <c r="C1266" s="40" t="n">
        <v>322</v>
      </c>
      <c r="D1266" s="40" t="inlineStr">
        <is>
          <t>Airport page</t>
        </is>
      </c>
      <c r="E1266" s="40" t="inlineStr">
        <is>
          <t>Direct</t>
        </is>
      </c>
      <c r="F1266" s="40" t="inlineStr">
        <is>
          <t>Desktop</t>
        </is>
      </c>
      <c r="G1266" s="40" t="inlineStr">
        <is>
          <t>Denmark</t>
        </is>
      </c>
      <c r="H1266" s="40" t="n">
        <v>13</v>
      </c>
      <c r="I1266" s="40" t="inlineStr">
        <is>
          <t>Select item</t>
        </is>
      </c>
      <c r="J1266" s="40" t="inlineStr">
        <is>
          <t>1-23 August 2025</t>
        </is>
      </c>
      <c r="K1266" s="55" t="n">
        <v>54</v>
      </c>
      <c r="L1266" s="40" t="inlineStr">
        <is>
          <t>Completeness only</t>
        </is>
      </c>
      <c r="M1266" s="40">
        <f>IF(Countries!W322="","STILL MISSING","Filled ✓")</f>
        <v/>
      </c>
    </row>
    <row r="1267">
      <c r="A1267" s="56" t="inlineStr">
        <is>
          <t>Countries</t>
        </is>
      </c>
      <c r="B1267" s="56" t="inlineStr">
        <is>
          <t>J322</t>
        </is>
      </c>
      <c r="C1267" s="56" t="n">
        <v>322</v>
      </c>
      <c r="D1267" s="56" t="inlineStr">
        <is>
          <t>Airport page</t>
        </is>
      </c>
      <c r="E1267" s="56" t="inlineStr">
        <is>
          <t>Direct</t>
        </is>
      </c>
      <c r="F1267" s="56" t="inlineStr">
        <is>
          <t>Desktop</t>
        </is>
      </c>
      <c r="G1267" s="56" t="inlineStr">
        <is>
          <t>Denmark</t>
        </is>
      </c>
      <c r="H1267" s="56" t="n">
        <v>13</v>
      </c>
      <c r="I1267" s="56" t="inlineStr">
        <is>
          <t>Start Search</t>
        </is>
      </c>
      <c r="J1267" s="56" t="inlineStr">
        <is>
          <t>1-23 August 2026</t>
        </is>
      </c>
      <c r="K1267" s="57" t="n">
        <v>54</v>
      </c>
      <c r="L1267" s="56" t="inlineStr">
        <is>
          <t>Completeness only</t>
        </is>
      </c>
      <c r="M1267" s="40">
        <f>IF(Countries!J322="","STILL MISSING","Filled ✓")</f>
        <v/>
      </c>
    </row>
    <row r="1268">
      <c r="A1268" s="40" t="inlineStr">
        <is>
          <t>Countries</t>
        </is>
      </c>
      <c r="B1268" s="40" t="inlineStr">
        <is>
          <t>AD296</t>
        </is>
      </c>
      <c r="C1268" s="40" t="n">
        <v>296</v>
      </c>
      <c r="D1268" s="40" t="inlineStr">
        <is>
          <t>Airport page</t>
        </is>
      </c>
      <c r="E1268" s="40" t="inlineStr">
        <is>
          <t>Direct</t>
        </is>
      </c>
      <c r="F1268" s="40" t="inlineStr">
        <is>
          <t>Mobile</t>
        </is>
      </c>
      <c r="G1268" s="40" t="inlineStr">
        <is>
          <t>Denmark</t>
        </is>
      </c>
      <c r="H1268" s="40" t="n">
        <v>13</v>
      </c>
      <c r="I1268" s="40" t="inlineStr">
        <is>
          <t>Add to cart</t>
        </is>
      </c>
      <c r="J1268" s="40" t="inlineStr">
        <is>
          <t>1-23 August 2025</t>
        </is>
      </c>
      <c r="K1268" s="55" t="n">
        <v>46</v>
      </c>
      <c r="L1268" s="40" t="inlineStr">
        <is>
          <t>Completeness only</t>
        </is>
      </c>
      <c r="M1268" s="40">
        <f>IF(Countries!AD296="","STILL MISSING","Filled ✓")</f>
        <v/>
      </c>
    </row>
    <row r="1269">
      <c r="A1269" s="56" t="inlineStr">
        <is>
          <t>Countries</t>
        </is>
      </c>
      <c r="B1269" s="56" t="inlineStr">
        <is>
          <t>AE296</t>
        </is>
      </c>
      <c r="C1269" s="56" t="n">
        <v>296</v>
      </c>
      <c r="D1269" s="56" t="inlineStr">
        <is>
          <t>Airport page</t>
        </is>
      </c>
      <c r="E1269" s="56" t="inlineStr">
        <is>
          <t>Direct</t>
        </is>
      </c>
      <c r="F1269" s="56" t="inlineStr">
        <is>
          <t>Mobile</t>
        </is>
      </c>
      <c r="G1269" s="56" t="inlineStr">
        <is>
          <t>Denmark</t>
        </is>
      </c>
      <c r="H1269" s="56" t="n">
        <v>13</v>
      </c>
      <c r="I1269" s="56" t="inlineStr">
        <is>
          <t>Add to cart</t>
        </is>
      </c>
      <c r="J1269" s="56" t="inlineStr">
        <is>
          <t>1-23 August 2026</t>
        </is>
      </c>
      <c r="K1269" s="57" t="n">
        <v>46</v>
      </c>
      <c r="L1269" s="56" t="inlineStr">
        <is>
          <t>Completeness only</t>
        </is>
      </c>
      <c r="M1269" s="40">
        <f>IF(Countries!AE296="","STILL MISSING","Filled ✓")</f>
        <v/>
      </c>
    </row>
    <row r="1270">
      <c r="A1270" s="40" t="inlineStr">
        <is>
          <t>Countries</t>
        </is>
      </c>
      <c r="B1270" s="40" t="inlineStr">
        <is>
          <t>AK296</t>
        </is>
      </c>
      <c r="C1270" s="40" t="n">
        <v>296</v>
      </c>
      <c r="D1270" s="40" t="inlineStr">
        <is>
          <t>Airport page</t>
        </is>
      </c>
      <c r="E1270" s="40" t="inlineStr">
        <is>
          <t>Direct</t>
        </is>
      </c>
      <c r="F1270" s="40" t="inlineStr">
        <is>
          <t>Mobile</t>
        </is>
      </c>
      <c r="G1270" s="40" t="inlineStr">
        <is>
          <t>Denmark</t>
        </is>
      </c>
      <c r="H1270" s="40" t="n">
        <v>13</v>
      </c>
      <c r="I1270" s="40" t="inlineStr">
        <is>
          <t>Begin checkout</t>
        </is>
      </c>
      <c r="J1270" s="40" t="inlineStr">
        <is>
          <t>1-23 August 2025</t>
        </is>
      </c>
      <c r="K1270" s="55" t="n">
        <v>46</v>
      </c>
      <c r="L1270" s="40" t="inlineStr">
        <is>
          <t>Completeness only</t>
        </is>
      </c>
      <c r="M1270" s="40">
        <f>IF(Countries!AK296="","STILL MISSING","Filled ✓")</f>
        <v/>
      </c>
    </row>
    <row r="1271">
      <c r="A1271" s="56" t="inlineStr">
        <is>
          <t>Countries</t>
        </is>
      </c>
      <c r="B1271" s="56" t="inlineStr">
        <is>
          <t>AL296</t>
        </is>
      </c>
      <c r="C1271" s="56" t="n">
        <v>296</v>
      </c>
      <c r="D1271" s="56" t="inlineStr">
        <is>
          <t>Airport page</t>
        </is>
      </c>
      <c r="E1271" s="56" t="inlineStr">
        <is>
          <t>Direct</t>
        </is>
      </c>
      <c r="F1271" s="56" t="inlineStr">
        <is>
          <t>Mobile</t>
        </is>
      </c>
      <c r="G1271" s="56" t="inlineStr">
        <is>
          <t>Denmark</t>
        </is>
      </c>
      <c r="H1271" s="56" t="n">
        <v>13</v>
      </c>
      <c r="I1271" s="56" t="inlineStr">
        <is>
          <t>Begin checkout</t>
        </is>
      </c>
      <c r="J1271" s="56" t="inlineStr">
        <is>
          <t>1-23 August 2026</t>
        </is>
      </c>
      <c r="K1271" s="57" t="n">
        <v>46</v>
      </c>
      <c r="L1271" s="56" t="inlineStr">
        <is>
          <t>Completeness only</t>
        </is>
      </c>
      <c r="M1271" s="40">
        <f>IF(Countries!AL296="","STILL MISSING","Filled ✓")</f>
        <v/>
      </c>
    </row>
    <row r="1272">
      <c r="A1272" s="40" t="inlineStr">
        <is>
          <t>Countries</t>
        </is>
      </c>
      <c r="B1272" s="40" t="inlineStr">
        <is>
          <t>AR296</t>
        </is>
      </c>
      <c r="C1272" s="40" t="n">
        <v>296</v>
      </c>
      <c r="D1272" s="40" t="inlineStr">
        <is>
          <t>Airport page</t>
        </is>
      </c>
      <c r="E1272" s="40" t="inlineStr">
        <is>
          <t>Direct</t>
        </is>
      </c>
      <c r="F1272" s="40" t="inlineStr">
        <is>
          <t>Mobile</t>
        </is>
      </c>
      <c r="G1272" s="40" t="inlineStr">
        <is>
          <t>Denmark</t>
        </is>
      </c>
      <c r="H1272" s="40" t="n">
        <v>13</v>
      </c>
      <c r="I1272" s="40" t="inlineStr">
        <is>
          <t>Purchases</t>
        </is>
      </c>
      <c r="J1272" s="40" t="inlineStr">
        <is>
          <t>1-23 August 2025</t>
        </is>
      </c>
      <c r="K1272" s="55" t="n">
        <v>46</v>
      </c>
      <c r="L1272" s="40" t="inlineStr">
        <is>
          <t>Completeness only</t>
        </is>
      </c>
      <c r="M1272" s="40">
        <f>IF(Countries!AR296="","STILL MISSING","Filled ✓")</f>
        <v/>
      </c>
    </row>
    <row r="1273">
      <c r="A1273" s="56" t="inlineStr">
        <is>
          <t>Countries</t>
        </is>
      </c>
      <c r="B1273" s="56" t="inlineStr">
        <is>
          <t>W296</t>
        </is>
      </c>
      <c r="C1273" s="56" t="n">
        <v>296</v>
      </c>
      <c r="D1273" s="56" t="inlineStr">
        <is>
          <t>Airport page</t>
        </is>
      </c>
      <c r="E1273" s="56" t="inlineStr">
        <is>
          <t>Direct</t>
        </is>
      </c>
      <c r="F1273" s="56" t="inlineStr">
        <is>
          <t>Mobile</t>
        </is>
      </c>
      <c r="G1273" s="56" t="inlineStr">
        <is>
          <t>Denmark</t>
        </is>
      </c>
      <c r="H1273" s="56" t="n">
        <v>13</v>
      </c>
      <c r="I1273" s="56" t="inlineStr">
        <is>
          <t>Select item</t>
        </is>
      </c>
      <c r="J1273" s="56" t="inlineStr">
        <is>
          <t>1-23 August 2025</t>
        </is>
      </c>
      <c r="K1273" s="57" t="n">
        <v>46</v>
      </c>
      <c r="L1273" s="56" t="inlineStr">
        <is>
          <t>Completeness only</t>
        </is>
      </c>
      <c r="M1273" s="40">
        <f>IF(Countries!W296="","STILL MISSING","Filled ✓")</f>
        <v/>
      </c>
    </row>
    <row r="1274">
      <c r="A1274" s="40" t="inlineStr">
        <is>
          <t>Countries</t>
        </is>
      </c>
      <c r="B1274" s="40" t="inlineStr">
        <is>
          <t>I296</t>
        </is>
      </c>
      <c r="C1274" s="40" t="n">
        <v>296</v>
      </c>
      <c r="D1274" s="40" t="inlineStr">
        <is>
          <t>Airport page</t>
        </is>
      </c>
      <c r="E1274" s="40" t="inlineStr">
        <is>
          <t>Direct</t>
        </is>
      </c>
      <c r="F1274" s="40" t="inlineStr">
        <is>
          <t>Mobile</t>
        </is>
      </c>
      <c r="G1274" s="40" t="inlineStr">
        <is>
          <t>Denmark</t>
        </is>
      </c>
      <c r="H1274" s="40" t="n">
        <v>13</v>
      </c>
      <c r="I1274" s="40" t="inlineStr">
        <is>
          <t>Start Search</t>
        </is>
      </c>
      <c r="J1274" s="40" t="inlineStr">
        <is>
          <t>1-23 August 2025</t>
        </is>
      </c>
      <c r="K1274" s="55" t="n">
        <v>46</v>
      </c>
      <c r="L1274" s="40" t="inlineStr">
        <is>
          <t>Completeness only</t>
        </is>
      </c>
      <c r="M1274" s="40">
        <f>IF(Countries!I296="","STILL MISSING","Filled ✓")</f>
        <v/>
      </c>
    </row>
    <row r="1275">
      <c r="A1275" s="56" t="inlineStr">
        <is>
          <t>Countries</t>
        </is>
      </c>
      <c r="B1275" s="56" t="inlineStr">
        <is>
          <t>AD337</t>
        </is>
      </c>
      <c r="C1275" s="56" t="n">
        <v>337</v>
      </c>
      <c r="D1275" s="56" t="inlineStr">
        <is>
          <t>Route page</t>
        </is>
      </c>
      <c r="E1275" s="56" t="inlineStr">
        <is>
          <t>Paid Search</t>
        </is>
      </c>
      <c r="F1275" s="56" t="inlineStr">
        <is>
          <t>Mobile</t>
        </is>
      </c>
      <c r="G1275" s="56" t="inlineStr">
        <is>
          <t>Denmark</t>
        </is>
      </c>
      <c r="H1275" s="56" t="n">
        <v>13</v>
      </c>
      <c r="I1275" s="56" t="inlineStr">
        <is>
          <t>Add to cart</t>
        </is>
      </c>
      <c r="J1275" s="56" t="inlineStr">
        <is>
          <t>1-23 August 2025</t>
        </is>
      </c>
      <c r="K1275" s="57" t="n">
        <v>214</v>
      </c>
      <c r="L1275" s="56" t="inlineStr">
        <is>
          <t>Completeness only</t>
        </is>
      </c>
      <c r="M1275" s="40">
        <f>IF(Countries!AD337="","STILL MISSING","Filled ✓")</f>
        <v/>
      </c>
    </row>
    <row r="1276">
      <c r="A1276" s="40" t="inlineStr">
        <is>
          <t>Countries</t>
        </is>
      </c>
      <c r="B1276" s="40" t="inlineStr">
        <is>
          <t>AE337</t>
        </is>
      </c>
      <c r="C1276" s="40" t="n">
        <v>337</v>
      </c>
      <c r="D1276" s="40" t="inlineStr">
        <is>
          <t>Route page</t>
        </is>
      </c>
      <c r="E1276" s="40" t="inlineStr">
        <is>
          <t>Paid Search</t>
        </is>
      </c>
      <c r="F1276" s="40" t="inlineStr">
        <is>
          <t>Mobile</t>
        </is>
      </c>
      <c r="G1276" s="40" t="inlineStr">
        <is>
          <t>Denmark</t>
        </is>
      </c>
      <c r="H1276" s="40" t="n">
        <v>13</v>
      </c>
      <c r="I1276" s="40" t="inlineStr">
        <is>
          <t>Add to cart</t>
        </is>
      </c>
      <c r="J1276" s="40" t="inlineStr">
        <is>
          <t>1-23 August 2026</t>
        </is>
      </c>
      <c r="K1276" s="55" t="n">
        <v>214</v>
      </c>
      <c r="L1276" s="40" t="inlineStr">
        <is>
          <t>Completeness only</t>
        </is>
      </c>
      <c r="M1276" s="40">
        <f>IF(Countries!AE337="","STILL MISSING","Filled ✓")</f>
        <v/>
      </c>
    </row>
    <row r="1277">
      <c r="A1277" s="56" t="inlineStr">
        <is>
          <t>Countries</t>
        </is>
      </c>
      <c r="B1277" s="56" t="inlineStr">
        <is>
          <t>AK337</t>
        </is>
      </c>
      <c r="C1277" s="56" t="n">
        <v>337</v>
      </c>
      <c r="D1277" s="56" t="inlineStr">
        <is>
          <t>Route page</t>
        </is>
      </c>
      <c r="E1277" s="56" t="inlineStr">
        <is>
          <t>Paid Search</t>
        </is>
      </c>
      <c r="F1277" s="56" t="inlineStr">
        <is>
          <t>Mobile</t>
        </is>
      </c>
      <c r="G1277" s="56" t="inlineStr">
        <is>
          <t>Denmark</t>
        </is>
      </c>
      <c r="H1277" s="56" t="n">
        <v>13</v>
      </c>
      <c r="I1277" s="56" t="inlineStr">
        <is>
          <t>Begin checkout</t>
        </is>
      </c>
      <c r="J1277" s="56" t="inlineStr">
        <is>
          <t>1-23 August 2025</t>
        </is>
      </c>
      <c r="K1277" s="57" t="n">
        <v>214</v>
      </c>
      <c r="L1277" s="56" t="inlineStr">
        <is>
          <t>Completeness only</t>
        </is>
      </c>
      <c r="M1277" s="40">
        <f>IF(Countries!AK337="","STILL MISSING","Filled ✓")</f>
        <v/>
      </c>
    </row>
    <row r="1278">
      <c r="A1278" s="40" t="inlineStr">
        <is>
          <t>Countries</t>
        </is>
      </c>
      <c r="B1278" s="40" t="inlineStr">
        <is>
          <t>AL337</t>
        </is>
      </c>
      <c r="C1278" s="40" t="n">
        <v>337</v>
      </c>
      <c r="D1278" s="40" t="inlineStr">
        <is>
          <t>Route page</t>
        </is>
      </c>
      <c r="E1278" s="40" t="inlineStr">
        <is>
          <t>Paid Search</t>
        </is>
      </c>
      <c r="F1278" s="40" t="inlineStr">
        <is>
          <t>Mobile</t>
        </is>
      </c>
      <c r="G1278" s="40" t="inlineStr">
        <is>
          <t>Denmark</t>
        </is>
      </c>
      <c r="H1278" s="40" t="n">
        <v>13</v>
      </c>
      <c r="I1278" s="40" t="inlineStr">
        <is>
          <t>Begin checkout</t>
        </is>
      </c>
      <c r="J1278" s="40" t="inlineStr">
        <is>
          <t>1-23 August 2026</t>
        </is>
      </c>
      <c r="K1278" s="55" t="n">
        <v>214</v>
      </c>
      <c r="L1278" s="40" t="inlineStr">
        <is>
          <t>Completeness only</t>
        </is>
      </c>
      <c r="M1278" s="40">
        <f>IF(Countries!AL337="","STILL MISSING","Filled ✓")</f>
        <v/>
      </c>
    </row>
    <row r="1279">
      <c r="A1279" s="56" t="inlineStr">
        <is>
          <t>Countries</t>
        </is>
      </c>
      <c r="B1279" s="56" t="inlineStr">
        <is>
          <t>AR337</t>
        </is>
      </c>
      <c r="C1279" s="56" t="n">
        <v>337</v>
      </c>
      <c r="D1279" s="56" t="inlineStr">
        <is>
          <t>Route page</t>
        </is>
      </c>
      <c r="E1279" s="56" t="inlineStr">
        <is>
          <t>Paid Search</t>
        </is>
      </c>
      <c r="F1279" s="56" t="inlineStr">
        <is>
          <t>Mobile</t>
        </is>
      </c>
      <c r="G1279" s="56" t="inlineStr">
        <is>
          <t>Denmark</t>
        </is>
      </c>
      <c r="H1279" s="56" t="n">
        <v>13</v>
      </c>
      <c r="I1279" s="56" t="inlineStr">
        <is>
          <t>Purchases</t>
        </is>
      </c>
      <c r="J1279" s="56" t="inlineStr">
        <is>
          <t>1-23 August 2025</t>
        </is>
      </c>
      <c r="K1279" s="57" t="n">
        <v>214</v>
      </c>
      <c r="L1279" s="56" t="inlineStr">
        <is>
          <t>Completeness only</t>
        </is>
      </c>
      <c r="M1279" s="40">
        <f>IF(Countries!AR337="","STILL MISSING","Filled ✓")</f>
        <v/>
      </c>
    </row>
    <row r="1280">
      <c r="A1280" s="40" t="inlineStr">
        <is>
          <t>Countries</t>
        </is>
      </c>
      <c r="B1280" s="40" t="inlineStr">
        <is>
          <t>W337</t>
        </is>
      </c>
      <c r="C1280" s="40" t="n">
        <v>337</v>
      </c>
      <c r="D1280" s="40" t="inlineStr">
        <is>
          <t>Route page</t>
        </is>
      </c>
      <c r="E1280" s="40" t="inlineStr">
        <is>
          <t>Paid Search</t>
        </is>
      </c>
      <c r="F1280" s="40" t="inlineStr">
        <is>
          <t>Mobile</t>
        </is>
      </c>
      <c r="G1280" s="40" t="inlineStr">
        <is>
          <t>Denmark</t>
        </is>
      </c>
      <c r="H1280" s="40" t="n">
        <v>13</v>
      </c>
      <c r="I1280" s="40" t="inlineStr">
        <is>
          <t>Select item</t>
        </is>
      </c>
      <c r="J1280" s="40" t="inlineStr">
        <is>
          <t>1-23 August 2025</t>
        </is>
      </c>
      <c r="K1280" s="55" t="n">
        <v>214</v>
      </c>
      <c r="L1280" s="40" t="inlineStr">
        <is>
          <t>Completeness only</t>
        </is>
      </c>
      <c r="M1280" s="40">
        <f>IF(Countries!W337="","STILL MISSING","Filled ✓")</f>
        <v/>
      </c>
    </row>
    <row r="1281">
      <c r="A1281" s="56" t="inlineStr">
        <is>
          <t>Countries</t>
        </is>
      </c>
      <c r="B1281" s="56" t="inlineStr">
        <is>
          <t>I337</t>
        </is>
      </c>
      <c r="C1281" s="56" t="n">
        <v>337</v>
      </c>
      <c r="D1281" s="56" t="inlineStr">
        <is>
          <t>Route page</t>
        </is>
      </c>
      <c r="E1281" s="56" t="inlineStr">
        <is>
          <t>Paid Search</t>
        </is>
      </c>
      <c r="F1281" s="56" t="inlineStr">
        <is>
          <t>Mobile</t>
        </is>
      </c>
      <c r="G1281" s="56" t="inlineStr">
        <is>
          <t>Denmark</t>
        </is>
      </c>
      <c r="H1281" s="56" t="n">
        <v>13</v>
      </c>
      <c r="I1281" s="56" t="inlineStr">
        <is>
          <t>Start Search</t>
        </is>
      </c>
      <c r="J1281" s="56" t="inlineStr">
        <is>
          <t>1-23 August 2025</t>
        </is>
      </c>
      <c r="K1281" s="57" t="n">
        <v>214</v>
      </c>
      <c r="L1281" s="56" t="inlineStr">
        <is>
          <t>Completeness only</t>
        </is>
      </c>
      <c r="M1281" s="40">
        <f>IF(Countries!I337="","STILL MISSING","Filled ✓")</f>
        <v/>
      </c>
    </row>
    <row r="1282">
      <c r="A1282" s="40" t="inlineStr">
        <is>
          <t>Countries</t>
        </is>
      </c>
      <c r="B1282" s="40" t="inlineStr">
        <is>
          <t>AD408</t>
        </is>
      </c>
      <c r="C1282" s="40" t="n">
        <v>408</v>
      </c>
      <c r="D1282" s="40" t="inlineStr">
        <is>
          <t>Route page</t>
        </is>
      </c>
      <c r="E1282" s="40" t="inlineStr">
        <is>
          <t>Direct</t>
        </is>
      </c>
      <c r="F1282" s="40" t="inlineStr">
        <is>
          <t>Mobile</t>
        </is>
      </c>
      <c r="G1282" s="40" t="inlineStr">
        <is>
          <t>Denmark</t>
        </is>
      </c>
      <c r="H1282" s="40" t="n">
        <v>13</v>
      </c>
      <c r="I1282" s="40" t="inlineStr">
        <is>
          <t>Add to cart</t>
        </is>
      </c>
      <c r="J1282" s="40" t="inlineStr">
        <is>
          <t>1-23 August 2025</t>
        </is>
      </c>
      <c r="K1282" s="55" t="n">
        <v>47</v>
      </c>
      <c r="L1282" s="40" t="inlineStr">
        <is>
          <t>Completeness only</t>
        </is>
      </c>
      <c r="M1282" s="40">
        <f>IF(Countries!AD408="","STILL MISSING","Filled ✓")</f>
        <v/>
      </c>
    </row>
    <row r="1283">
      <c r="A1283" s="56" t="inlineStr">
        <is>
          <t>Countries</t>
        </is>
      </c>
      <c r="B1283" s="56" t="inlineStr">
        <is>
          <t>AE408</t>
        </is>
      </c>
      <c r="C1283" s="56" t="n">
        <v>408</v>
      </c>
      <c r="D1283" s="56" t="inlineStr">
        <is>
          <t>Route page</t>
        </is>
      </c>
      <c r="E1283" s="56" t="inlineStr">
        <is>
          <t>Direct</t>
        </is>
      </c>
      <c r="F1283" s="56" t="inlineStr">
        <is>
          <t>Mobile</t>
        </is>
      </c>
      <c r="G1283" s="56" t="inlineStr">
        <is>
          <t>Denmark</t>
        </is>
      </c>
      <c r="H1283" s="56" t="n">
        <v>13</v>
      </c>
      <c r="I1283" s="56" t="inlineStr">
        <is>
          <t>Add to cart</t>
        </is>
      </c>
      <c r="J1283" s="56" t="inlineStr">
        <is>
          <t>1-23 August 2026</t>
        </is>
      </c>
      <c r="K1283" s="57" t="n">
        <v>47</v>
      </c>
      <c r="L1283" s="56" t="inlineStr">
        <is>
          <t>Completeness only</t>
        </is>
      </c>
      <c r="M1283" s="40">
        <f>IF(Countries!AE408="","STILL MISSING","Filled ✓")</f>
        <v/>
      </c>
    </row>
    <row r="1284">
      <c r="A1284" s="40" t="inlineStr">
        <is>
          <t>Countries</t>
        </is>
      </c>
      <c r="B1284" s="40" t="inlineStr">
        <is>
          <t>AK408</t>
        </is>
      </c>
      <c r="C1284" s="40" t="n">
        <v>408</v>
      </c>
      <c r="D1284" s="40" t="inlineStr">
        <is>
          <t>Route page</t>
        </is>
      </c>
      <c r="E1284" s="40" t="inlineStr">
        <is>
          <t>Direct</t>
        </is>
      </c>
      <c r="F1284" s="40" t="inlineStr">
        <is>
          <t>Mobile</t>
        </is>
      </c>
      <c r="G1284" s="40" t="inlineStr">
        <is>
          <t>Denmark</t>
        </is>
      </c>
      <c r="H1284" s="40" t="n">
        <v>13</v>
      </c>
      <c r="I1284" s="40" t="inlineStr">
        <is>
          <t>Begin checkout</t>
        </is>
      </c>
      <c r="J1284" s="40" t="inlineStr">
        <is>
          <t>1-23 August 2025</t>
        </is>
      </c>
      <c r="K1284" s="55" t="n">
        <v>47</v>
      </c>
      <c r="L1284" s="40" t="inlineStr">
        <is>
          <t>Completeness only</t>
        </is>
      </c>
      <c r="M1284" s="40">
        <f>IF(Countries!AK408="","STILL MISSING","Filled ✓")</f>
        <v/>
      </c>
    </row>
    <row r="1285">
      <c r="A1285" s="56" t="inlineStr">
        <is>
          <t>Countries</t>
        </is>
      </c>
      <c r="B1285" s="56" t="inlineStr">
        <is>
          <t>AL408</t>
        </is>
      </c>
      <c r="C1285" s="56" t="n">
        <v>408</v>
      </c>
      <c r="D1285" s="56" t="inlineStr">
        <is>
          <t>Route page</t>
        </is>
      </c>
      <c r="E1285" s="56" t="inlineStr">
        <is>
          <t>Direct</t>
        </is>
      </c>
      <c r="F1285" s="56" t="inlineStr">
        <is>
          <t>Mobile</t>
        </is>
      </c>
      <c r="G1285" s="56" t="inlineStr">
        <is>
          <t>Denmark</t>
        </is>
      </c>
      <c r="H1285" s="56" t="n">
        <v>13</v>
      </c>
      <c r="I1285" s="56" t="inlineStr">
        <is>
          <t>Begin checkout</t>
        </is>
      </c>
      <c r="J1285" s="56" t="inlineStr">
        <is>
          <t>1-23 August 2026</t>
        </is>
      </c>
      <c r="K1285" s="57" t="n">
        <v>47</v>
      </c>
      <c r="L1285" s="56" t="inlineStr">
        <is>
          <t>Completeness only</t>
        </is>
      </c>
      <c r="M1285" s="40">
        <f>IF(Countries!AL408="","STILL MISSING","Filled ✓")</f>
        <v/>
      </c>
    </row>
    <row r="1286">
      <c r="A1286" s="40" t="inlineStr">
        <is>
          <t>Countries</t>
        </is>
      </c>
      <c r="B1286" s="40" t="inlineStr">
        <is>
          <t>X408</t>
        </is>
      </c>
      <c r="C1286" s="40" t="n">
        <v>408</v>
      </c>
      <c r="D1286" s="40" t="inlineStr">
        <is>
          <t>Route page</t>
        </is>
      </c>
      <c r="E1286" s="40" t="inlineStr">
        <is>
          <t>Direct</t>
        </is>
      </c>
      <c r="F1286" s="40" t="inlineStr">
        <is>
          <t>Mobile</t>
        </is>
      </c>
      <c r="G1286" s="40" t="inlineStr">
        <is>
          <t>Denmark</t>
        </is>
      </c>
      <c r="H1286" s="40" t="n">
        <v>13</v>
      </c>
      <c r="I1286" s="40" t="inlineStr">
        <is>
          <t>Select item</t>
        </is>
      </c>
      <c r="J1286" s="40" t="inlineStr">
        <is>
          <t>1-23 August 2026</t>
        </is>
      </c>
      <c r="K1286" s="55" t="n">
        <v>47</v>
      </c>
      <c r="L1286" s="40" t="inlineStr">
        <is>
          <t>Completeness only</t>
        </is>
      </c>
      <c r="M1286" s="40">
        <f>IF(Countries!X408="","STILL MISSING","Filled ✓")</f>
        <v/>
      </c>
    </row>
    <row r="1287">
      <c r="A1287" s="56" t="inlineStr">
        <is>
          <t>Countries</t>
        </is>
      </c>
      <c r="B1287" s="56" t="inlineStr">
        <is>
          <t>P432</t>
        </is>
      </c>
      <c r="C1287" s="56" t="n">
        <v>432</v>
      </c>
      <c r="D1287" s="56" t="inlineStr">
        <is>
          <t>Route page</t>
        </is>
      </c>
      <c r="E1287" s="56" t="inlineStr">
        <is>
          <t>Direct</t>
        </is>
      </c>
      <c r="F1287" s="56" t="inlineStr">
        <is>
          <t>Desktop</t>
        </is>
      </c>
      <c r="G1287" s="56" t="inlineStr">
        <is>
          <t>Norway</t>
        </is>
      </c>
      <c r="H1287" s="56" t="n">
        <v>14</v>
      </c>
      <c r="I1287" s="56" t="inlineStr">
        <is>
          <t>Searches</t>
        </is>
      </c>
      <c r="J1287" s="56" t="inlineStr">
        <is>
          <t>1-23 August 2025</t>
        </is>
      </c>
      <c r="K1287" s="57" t="n">
        <v>25</v>
      </c>
      <c r="L1287" s="56" t="inlineStr">
        <is>
          <t>Completeness only</t>
        </is>
      </c>
      <c r="M1287" s="40">
        <f>IF(Countries!P432="","STILL MISSING","Filled ✓")</f>
        <v/>
      </c>
    </row>
    <row r="1288">
      <c r="A1288" s="40" t="inlineStr">
        <is>
          <t>Countries</t>
        </is>
      </c>
      <c r="B1288" s="40" t="inlineStr">
        <is>
          <t>AR411</t>
        </is>
      </c>
      <c r="C1288" s="40" t="n">
        <v>411</v>
      </c>
      <c r="D1288" s="40" t="inlineStr">
        <is>
          <t>Route page</t>
        </is>
      </c>
      <c r="E1288" s="40" t="inlineStr">
        <is>
          <t>Direct</t>
        </is>
      </c>
      <c r="F1288" s="40" t="inlineStr">
        <is>
          <t>Mobile</t>
        </is>
      </c>
      <c r="G1288" s="40" t="inlineStr">
        <is>
          <t>Finland</t>
        </is>
      </c>
      <c r="H1288" s="40" t="n">
        <v>15</v>
      </c>
      <c r="I1288" s="40" t="inlineStr">
        <is>
          <t>Purchases</t>
        </is>
      </c>
      <c r="J1288" s="40" t="inlineStr">
        <is>
          <t>1-23 August 2025</t>
        </is>
      </c>
      <c r="K1288" s="55" t="n">
        <v>15</v>
      </c>
      <c r="L1288" s="40" t="inlineStr">
        <is>
          <t>Completeness only</t>
        </is>
      </c>
      <c r="M1288" s="40">
        <f>IF(Countries!AR411="","STILL MISSING","Filled ✓")</f>
        <v/>
      </c>
    </row>
    <row r="1289">
      <c r="A1289" s="56" t="inlineStr">
        <is>
          <t>Countries</t>
        </is>
      </c>
      <c r="B1289" s="56" t="inlineStr">
        <is>
          <t>AS411</t>
        </is>
      </c>
      <c r="C1289" s="56" t="n">
        <v>411</v>
      </c>
      <c r="D1289" s="56" t="inlineStr">
        <is>
          <t>Route page</t>
        </is>
      </c>
      <c r="E1289" s="56" t="inlineStr">
        <is>
          <t>Direct</t>
        </is>
      </c>
      <c r="F1289" s="56" t="inlineStr">
        <is>
          <t>Mobile</t>
        </is>
      </c>
      <c r="G1289" s="56" t="inlineStr">
        <is>
          <t>Finland</t>
        </is>
      </c>
      <c r="H1289" s="56" t="n">
        <v>15</v>
      </c>
      <c r="I1289" s="56" t="inlineStr">
        <is>
          <t>Purchases</t>
        </is>
      </c>
      <c r="J1289" s="56" t="inlineStr">
        <is>
          <t>1-23 August 2026</t>
        </is>
      </c>
      <c r="K1289" s="57" t="n">
        <v>15</v>
      </c>
      <c r="L1289" s="56" t="inlineStr">
        <is>
          <t>Completeness only</t>
        </is>
      </c>
      <c r="M1289" s="40">
        <f>IF(Countries!AS411="","STILL MISSING","Filled ✓")</f>
        <v/>
      </c>
    </row>
    <row r="1290">
      <c r="A1290" s="40" t="inlineStr">
        <is>
          <t>Countries</t>
        </is>
      </c>
      <c r="B1290" s="40" t="inlineStr">
        <is>
          <t>AD65</t>
        </is>
      </c>
      <c r="C1290" s="40" t="n">
        <v>65</v>
      </c>
      <c r="D1290" s="40" t="inlineStr">
        <is>
          <t>All landing pages</t>
        </is>
      </c>
      <c r="E1290" s="40" t="inlineStr">
        <is>
          <t>Organic</t>
        </is>
      </c>
      <c r="F1290" s="40" t="inlineStr">
        <is>
          <t>Desktop</t>
        </is>
      </c>
      <c r="G1290" s="40" t="inlineStr">
        <is>
          <t>Portugal</t>
        </is>
      </c>
      <c r="H1290" s="40" t="n">
        <v>16</v>
      </c>
      <c r="I1290" s="40" t="inlineStr">
        <is>
          <t>Add to cart</t>
        </is>
      </c>
      <c r="J1290" s="40" t="inlineStr">
        <is>
          <t>1-23 August 2025</t>
        </is>
      </c>
      <c r="K1290" s="55" t="n">
        <v>566</v>
      </c>
      <c r="L1290" s="40" t="inlineStr">
        <is>
          <t>Completeness only</t>
        </is>
      </c>
      <c r="M1290" s="40">
        <f>IF(Countries!AD65="","STILL MISSING","Filled ✓")</f>
        <v/>
      </c>
    </row>
    <row r="1291">
      <c r="A1291" s="56" t="inlineStr">
        <is>
          <t>Countries</t>
        </is>
      </c>
      <c r="B1291" s="56" t="inlineStr">
        <is>
          <t>AE65</t>
        </is>
      </c>
      <c r="C1291" s="56" t="n">
        <v>65</v>
      </c>
      <c r="D1291" s="56" t="inlineStr">
        <is>
          <t>All landing pages</t>
        </is>
      </c>
      <c r="E1291" s="56" t="inlineStr">
        <is>
          <t>Organic</t>
        </is>
      </c>
      <c r="F1291" s="56" t="inlineStr">
        <is>
          <t>Desktop</t>
        </is>
      </c>
      <c r="G1291" s="56" t="inlineStr">
        <is>
          <t>Portugal</t>
        </is>
      </c>
      <c r="H1291" s="56" t="n">
        <v>16</v>
      </c>
      <c r="I1291" s="56" t="inlineStr">
        <is>
          <t>Add to cart</t>
        </is>
      </c>
      <c r="J1291" s="56" t="inlineStr">
        <is>
          <t>1-23 August 2026</t>
        </is>
      </c>
      <c r="K1291" s="57" t="n">
        <v>566</v>
      </c>
      <c r="L1291" s="56" t="inlineStr">
        <is>
          <t>Completeness only</t>
        </is>
      </c>
      <c r="M1291" s="40">
        <f>IF(Countries!AE65="","STILL MISSING","Filled ✓")</f>
        <v/>
      </c>
    </row>
    <row r="1292">
      <c r="A1292" s="40" t="inlineStr">
        <is>
          <t>Countries</t>
        </is>
      </c>
      <c r="B1292" s="40" t="inlineStr">
        <is>
          <t>AK65</t>
        </is>
      </c>
      <c r="C1292" s="40" t="n">
        <v>65</v>
      </c>
      <c r="D1292" s="40" t="inlineStr">
        <is>
          <t>All landing pages</t>
        </is>
      </c>
      <c r="E1292" s="40" t="inlineStr">
        <is>
          <t>Organic</t>
        </is>
      </c>
      <c r="F1292" s="40" t="inlineStr">
        <is>
          <t>Desktop</t>
        </is>
      </c>
      <c r="G1292" s="40" t="inlineStr">
        <is>
          <t>Portugal</t>
        </is>
      </c>
      <c r="H1292" s="40" t="n">
        <v>16</v>
      </c>
      <c r="I1292" s="40" t="inlineStr">
        <is>
          <t>Begin checkout</t>
        </is>
      </c>
      <c r="J1292" s="40" t="inlineStr">
        <is>
          <t>1-23 August 2025</t>
        </is>
      </c>
      <c r="K1292" s="55" t="n">
        <v>566</v>
      </c>
      <c r="L1292" s="40" t="inlineStr">
        <is>
          <t>Completeness only</t>
        </is>
      </c>
      <c r="M1292" s="40">
        <f>IF(Countries!AK65="","STILL MISSING","Filled ✓")</f>
        <v/>
      </c>
    </row>
    <row r="1293">
      <c r="A1293" s="56" t="inlineStr">
        <is>
          <t>Countries</t>
        </is>
      </c>
      <c r="B1293" s="56" t="inlineStr">
        <is>
          <t>AL65</t>
        </is>
      </c>
      <c r="C1293" s="56" t="n">
        <v>65</v>
      </c>
      <c r="D1293" s="56" t="inlineStr">
        <is>
          <t>All landing pages</t>
        </is>
      </c>
      <c r="E1293" s="56" t="inlineStr">
        <is>
          <t>Organic</t>
        </is>
      </c>
      <c r="F1293" s="56" t="inlineStr">
        <is>
          <t>Desktop</t>
        </is>
      </c>
      <c r="G1293" s="56" t="inlineStr">
        <is>
          <t>Portugal</t>
        </is>
      </c>
      <c r="H1293" s="56" t="n">
        <v>16</v>
      </c>
      <c r="I1293" s="56" t="inlineStr">
        <is>
          <t>Begin checkout</t>
        </is>
      </c>
      <c r="J1293" s="56" t="inlineStr">
        <is>
          <t>1-23 August 2026</t>
        </is>
      </c>
      <c r="K1293" s="57" t="n">
        <v>566</v>
      </c>
      <c r="L1293" s="56" t="inlineStr">
        <is>
          <t>Completeness only</t>
        </is>
      </c>
      <c r="M1293" s="40">
        <f>IF(Countries!AL65="","STILL MISSING","Filled ✓")</f>
        <v/>
      </c>
    </row>
    <row r="1294">
      <c r="A1294" s="40" t="inlineStr">
        <is>
          <t>Countries</t>
        </is>
      </c>
      <c r="B1294" s="40" t="inlineStr">
        <is>
          <t>X65</t>
        </is>
      </c>
      <c r="C1294" s="40" t="n">
        <v>65</v>
      </c>
      <c r="D1294" s="40" t="inlineStr">
        <is>
          <t>All landing pages</t>
        </is>
      </c>
      <c r="E1294" s="40" t="inlineStr">
        <is>
          <t>Organic</t>
        </is>
      </c>
      <c r="F1294" s="40" t="inlineStr">
        <is>
          <t>Desktop</t>
        </is>
      </c>
      <c r="G1294" s="40" t="inlineStr">
        <is>
          <t>Portugal</t>
        </is>
      </c>
      <c r="H1294" s="40" t="n">
        <v>16</v>
      </c>
      <c r="I1294" s="40" t="inlineStr">
        <is>
          <t>Select item</t>
        </is>
      </c>
      <c r="J1294" s="40" t="inlineStr">
        <is>
          <t>1-23 August 2026</t>
        </is>
      </c>
      <c r="K1294" s="55" t="n">
        <v>566</v>
      </c>
      <c r="L1294" s="40" t="inlineStr">
        <is>
          <t>Completeness only</t>
        </is>
      </c>
      <c r="M1294" s="40">
        <f>IF(Countries!X65="","STILL MISSING","Filled ✓")</f>
        <v/>
      </c>
    </row>
    <row r="1295">
      <c r="A1295" s="56" t="inlineStr">
        <is>
          <t>Countries</t>
        </is>
      </c>
      <c r="B1295" s="56" t="inlineStr">
        <is>
          <t>AD49</t>
        </is>
      </c>
      <c r="C1295" s="56" t="n">
        <v>49</v>
      </c>
      <c r="D1295" s="56" t="inlineStr">
        <is>
          <t>All landing pages</t>
        </is>
      </c>
      <c r="E1295" s="56" t="inlineStr">
        <is>
          <t>Organic</t>
        </is>
      </c>
      <c r="F1295" s="56" t="inlineStr">
        <is>
          <t>Mobile</t>
        </is>
      </c>
      <c r="G1295" s="56" t="inlineStr">
        <is>
          <t>Portugal</t>
        </is>
      </c>
      <c r="H1295" s="56" t="n">
        <v>16</v>
      </c>
      <c r="I1295" s="56" t="inlineStr">
        <is>
          <t>Add to cart</t>
        </is>
      </c>
      <c r="J1295" s="56" t="inlineStr">
        <is>
          <t>1-23 August 2025</t>
        </is>
      </c>
      <c r="K1295" s="57" t="n">
        <v>754</v>
      </c>
      <c r="L1295" s="56" t="inlineStr">
        <is>
          <t>Completeness only</t>
        </is>
      </c>
      <c r="M1295" s="40">
        <f>IF(Countries!AD49="","STILL MISSING","Filled ✓")</f>
        <v/>
      </c>
    </row>
    <row r="1296">
      <c r="A1296" s="40" t="inlineStr">
        <is>
          <t>Countries</t>
        </is>
      </c>
      <c r="B1296" s="40" t="inlineStr">
        <is>
          <t>AE49</t>
        </is>
      </c>
      <c r="C1296" s="40" t="n">
        <v>49</v>
      </c>
      <c r="D1296" s="40" t="inlineStr">
        <is>
          <t>All landing pages</t>
        </is>
      </c>
      <c r="E1296" s="40" t="inlineStr">
        <is>
          <t>Organic</t>
        </is>
      </c>
      <c r="F1296" s="40" t="inlineStr">
        <is>
          <t>Mobile</t>
        </is>
      </c>
      <c r="G1296" s="40" t="inlineStr">
        <is>
          <t>Portugal</t>
        </is>
      </c>
      <c r="H1296" s="40" t="n">
        <v>16</v>
      </c>
      <c r="I1296" s="40" t="inlineStr">
        <is>
          <t>Add to cart</t>
        </is>
      </c>
      <c r="J1296" s="40" t="inlineStr">
        <is>
          <t>1-23 August 2026</t>
        </is>
      </c>
      <c r="K1296" s="55" t="n">
        <v>754</v>
      </c>
      <c r="L1296" s="40" t="inlineStr">
        <is>
          <t>Completeness only</t>
        </is>
      </c>
      <c r="M1296" s="40">
        <f>IF(Countries!AE49="","STILL MISSING","Filled ✓")</f>
        <v/>
      </c>
    </row>
    <row r="1297">
      <c r="A1297" s="56" t="inlineStr">
        <is>
          <t>Countries</t>
        </is>
      </c>
      <c r="B1297" s="56" t="inlineStr">
        <is>
          <t>AK49</t>
        </is>
      </c>
      <c r="C1297" s="56" t="n">
        <v>49</v>
      </c>
      <c r="D1297" s="56" t="inlineStr">
        <is>
          <t>All landing pages</t>
        </is>
      </c>
      <c r="E1297" s="56" t="inlineStr">
        <is>
          <t>Organic</t>
        </is>
      </c>
      <c r="F1297" s="56" t="inlineStr">
        <is>
          <t>Mobile</t>
        </is>
      </c>
      <c r="G1297" s="56" t="inlineStr">
        <is>
          <t>Portugal</t>
        </is>
      </c>
      <c r="H1297" s="56" t="n">
        <v>16</v>
      </c>
      <c r="I1297" s="56" t="inlineStr">
        <is>
          <t>Begin checkout</t>
        </is>
      </c>
      <c r="J1297" s="56" t="inlineStr">
        <is>
          <t>1-23 August 2025</t>
        </is>
      </c>
      <c r="K1297" s="57" t="n">
        <v>754</v>
      </c>
      <c r="L1297" s="56" t="inlineStr">
        <is>
          <t>Completeness only</t>
        </is>
      </c>
      <c r="M1297" s="40">
        <f>IF(Countries!AK49="","STILL MISSING","Filled ✓")</f>
        <v/>
      </c>
    </row>
    <row r="1298">
      <c r="A1298" s="40" t="inlineStr">
        <is>
          <t>Countries</t>
        </is>
      </c>
      <c r="B1298" s="40" t="inlineStr">
        <is>
          <t>AL49</t>
        </is>
      </c>
      <c r="C1298" s="40" t="n">
        <v>49</v>
      </c>
      <c r="D1298" s="40" t="inlineStr">
        <is>
          <t>All landing pages</t>
        </is>
      </c>
      <c r="E1298" s="40" t="inlineStr">
        <is>
          <t>Organic</t>
        </is>
      </c>
      <c r="F1298" s="40" t="inlineStr">
        <is>
          <t>Mobile</t>
        </is>
      </c>
      <c r="G1298" s="40" t="inlineStr">
        <is>
          <t>Portugal</t>
        </is>
      </c>
      <c r="H1298" s="40" t="n">
        <v>16</v>
      </c>
      <c r="I1298" s="40" t="inlineStr">
        <is>
          <t>Begin checkout</t>
        </is>
      </c>
      <c r="J1298" s="40" t="inlineStr">
        <is>
          <t>1-23 August 2026</t>
        </is>
      </c>
      <c r="K1298" s="55" t="n">
        <v>754</v>
      </c>
      <c r="L1298" s="40" t="inlineStr">
        <is>
          <t>Completeness only</t>
        </is>
      </c>
      <c r="M1298" s="40">
        <f>IF(Countries!AL49="","STILL MISSING","Filled ✓")</f>
        <v/>
      </c>
    </row>
    <row r="1299">
      <c r="A1299" s="56" t="inlineStr">
        <is>
          <t>Countries</t>
        </is>
      </c>
      <c r="B1299" s="56" t="inlineStr">
        <is>
          <t>AR49</t>
        </is>
      </c>
      <c r="C1299" s="56" t="n">
        <v>49</v>
      </c>
      <c r="D1299" s="56" t="inlineStr">
        <is>
          <t>All landing pages</t>
        </is>
      </c>
      <c r="E1299" s="56" t="inlineStr">
        <is>
          <t>Organic</t>
        </is>
      </c>
      <c r="F1299" s="56" t="inlineStr">
        <is>
          <t>Mobile</t>
        </is>
      </c>
      <c r="G1299" s="56" t="inlineStr">
        <is>
          <t>Portugal</t>
        </is>
      </c>
      <c r="H1299" s="56" t="n">
        <v>16</v>
      </c>
      <c r="I1299" s="56" t="inlineStr">
        <is>
          <t>Purchases</t>
        </is>
      </c>
      <c r="J1299" s="56" t="inlineStr">
        <is>
          <t>1-23 August 2025</t>
        </is>
      </c>
      <c r="K1299" s="57" t="n">
        <v>754</v>
      </c>
      <c r="L1299" s="56" t="inlineStr">
        <is>
          <t>Completeness only</t>
        </is>
      </c>
      <c r="M1299" s="40">
        <f>IF(Countries!AR49="","STILL MISSING","Filled ✓")</f>
        <v/>
      </c>
    </row>
    <row r="1300">
      <c r="A1300" s="40" t="inlineStr">
        <is>
          <t>Countries</t>
        </is>
      </c>
      <c r="B1300" s="40" t="inlineStr">
        <is>
          <t>P49</t>
        </is>
      </c>
      <c r="C1300" s="40" t="n">
        <v>49</v>
      </c>
      <c r="D1300" s="40" t="inlineStr">
        <is>
          <t>All landing pages</t>
        </is>
      </c>
      <c r="E1300" s="40" t="inlineStr">
        <is>
          <t>Organic</t>
        </is>
      </c>
      <c r="F1300" s="40" t="inlineStr">
        <is>
          <t>Mobile</t>
        </is>
      </c>
      <c r="G1300" s="40" t="inlineStr">
        <is>
          <t>Portugal</t>
        </is>
      </c>
      <c r="H1300" s="40" t="n">
        <v>16</v>
      </c>
      <c r="I1300" s="40" t="inlineStr">
        <is>
          <t>Searches</t>
        </is>
      </c>
      <c r="J1300" s="40" t="inlineStr">
        <is>
          <t>1-23 August 2025</t>
        </is>
      </c>
      <c r="K1300" s="55" t="n">
        <v>754</v>
      </c>
      <c r="L1300" s="40" t="inlineStr">
        <is>
          <t>Completeness only</t>
        </is>
      </c>
      <c r="M1300" s="40">
        <f>IF(Countries!P49="","STILL MISSING","Filled ✓")</f>
        <v/>
      </c>
    </row>
    <row r="1301">
      <c r="A1301" s="56" t="inlineStr">
        <is>
          <t>Countries</t>
        </is>
      </c>
      <c r="B1301" s="56" t="inlineStr">
        <is>
          <t>W49</t>
        </is>
      </c>
      <c r="C1301" s="56" t="n">
        <v>49</v>
      </c>
      <c r="D1301" s="56" t="inlineStr">
        <is>
          <t>All landing pages</t>
        </is>
      </c>
      <c r="E1301" s="56" t="inlineStr">
        <is>
          <t>Organic</t>
        </is>
      </c>
      <c r="F1301" s="56" t="inlineStr">
        <is>
          <t>Mobile</t>
        </is>
      </c>
      <c r="G1301" s="56" t="inlineStr">
        <is>
          <t>Portugal</t>
        </is>
      </c>
      <c r="H1301" s="56" t="n">
        <v>16</v>
      </c>
      <c r="I1301" s="56" t="inlineStr">
        <is>
          <t>Select item</t>
        </is>
      </c>
      <c r="J1301" s="56" t="inlineStr">
        <is>
          <t>1-23 August 2025</t>
        </is>
      </c>
      <c r="K1301" s="57" t="n">
        <v>754</v>
      </c>
      <c r="L1301" s="56" t="inlineStr">
        <is>
          <t>Completeness only</t>
        </is>
      </c>
      <c r="M1301" s="40">
        <f>IF(Countries!W49="","STILL MISSING","Filled ✓")</f>
        <v/>
      </c>
    </row>
    <row r="1302">
      <c r="A1302" s="40" t="inlineStr">
        <is>
          <t>Countries</t>
        </is>
      </c>
      <c r="B1302" s="40" t="inlineStr">
        <is>
          <t>X49</t>
        </is>
      </c>
      <c r="C1302" s="40" t="n">
        <v>49</v>
      </c>
      <c r="D1302" s="40" t="inlineStr">
        <is>
          <t>All landing pages</t>
        </is>
      </c>
      <c r="E1302" s="40" t="inlineStr">
        <is>
          <t>Organic</t>
        </is>
      </c>
      <c r="F1302" s="40" t="inlineStr">
        <is>
          <t>Mobile</t>
        </is>
      </c>
      <c r="G1302" s="40" t="inlineStr">
        <is>
          <t>Portugal</t>
        </is>
      </c>
      <c r="H1302" s="40" t="n">
        <v>16</v>
      </c>
      <c r="I1302" s="40" t="inlineStr">
        <is>
          <t>Select item</t>
        </is>
      </c>
      <c r="J1302" s="40" t="inlineStr">
        <is>
          <t>1-23 August 2026</t>
        </is>
      </c>
      <c r="K1302" s="55" t="n">
        <v>754</v>
      </c>
      <c r="L1302" s="40" t="inlineStr">
        <is>
          <t>Completeness only</t>
        </is>
      </c>
      <c r="M1302" s="40">
        <f>IF(Countries!X49="","STILL MISSING","Filled ✓")</f>
        <v/>
      </c>
    </row>
    <row r="1303">
      <c r="A1303" s="56" t="inlineStr">
        <is>
          <t>Countries</t>
        </is>
      </c>
      <c r="B1303" s="56" t="inlineStr">
        <is>
          <t>I49</t>
        </is>
      </c>
      <c r="C1303" s="56" t="n">
        <v>49</v>
      </c>
      <c r="D1303" s="56" t="inlineStr">
        <is>
          <t>All landing pages</t>
        </is>
      </c>
      <c r="E1303" s="56" t="inlineStr">
        <is>
          <t>Organic</t>
        </is>
      </c>
      <c r="F1303" s="56" t="inlineStr">
        <is>
          <t>Mobile</t>
        </is>
      </c>
      <c r="G1303" s="56" t="inlineStr">
        <is>
          <t>Portugal</t>
        </is>
      </c>
      <c r="H1303" s="56" t="n">
        <v>16</v>
      </c>
      <c r="I1303" s="56" t="inlineStr">
        <is>
          <t>Start Search</t>
        </is>
      </c>
      <c r="J1303" s="56" t="inlineStr">
        <is>
          <t>1-23 August 2025</t>
        </is>
      </c>
      <c r="K1303" s="57" t="n">
        <v>754</v>
      </c>
      <c r="L1303" s="56" t="inlineStr">
        <is>
          <t>Completeness only</t>
        </is>
      </c>
      <c r="M1303" s="40">
        <f>IF(Countries!I49="","STILL MISSING","Filled ✓")</f>
        <v/>
      </c>
    </row>
    <row r="1304">
      <c r="A1304" s="40" t="inlineStr">
        <is>
          <t>Countries</t>
        </is>
      </c>
      <c r="B1304" s="40" t="inlineStr">
        <is>
          <t>AD103</t>
        </is>
      </c>
      <c r="C1304" s="40" t="n">
        <v>103</v>
      </c>
      <c r="D1304" s="40" t="inlineStr">
        <is>
          <t>All landing pages</t>
        </is>
      </c>
      <c r="E1304" s="40" t="inlineStr">
        <is>
          <t>Direct</t>
        </is>
      </c>
      <c r="F1304" s="40" t="inlineStr">
        <is>
          <t>Desktop</t>
        </is>
      </c>
      <c r="G1304" s="40" t="inlineStr">
        <is>
          <t>Portugal</t>
        </is>
      </c>
      <c r="H1304" s="40" t="n">
        <v>16</v>
      </c>
      <c r="I1304" s="40" t="inlineStr">
        <is>
          <t>Add to cart</t>
        </is>
      </c>
      <c r="J1304" s="40" t="inlineStr">
        <is>
          <t>1-23 August 2025</t>
        </is>
      </c>
      <c r="K1304" s="55" t="n">
        <v>451</v>
      </c>
      <c r="L1304" s="40" t="inlineStr">
        <is>
          <t>Completeness only</t>
        </is>
      </c>
      <c r="M1304" s="40">
        <f>IF(Countries!AD103="","STILL MISSING","Filled ✓")</f>
        <v/>
      </c>
    </row>
    <row r="1305">
      <c r="A1305" s="56" t="inlineStr">
        <is>
          <t>Countries</t>
        </is>
      </c>
      <c r="B1305" s="56" t="inlineStr">
        <is>
          <t>AE103</t>
        </is>
      </c>
      <c r="C1305" s="56" t="n">
        <v>103</v>
      </c>
      <c r="D1305" s="56" t="inlineStr">
        <is>
          <t>All landing pages</t>
        </is>
      </c>
      <c r="E1305" s="56" t="inlineStr">
        <is>
          <t>Direct</t>
        </is>
      </c>
      <c r="F1305" s="56" t="inlineStr">
        <is>
          <t>Desktop</t>
        </is>
      </c>
      <c r="G1305" s="56" t="inlineStr">
        <is>
          <t>Portugal</t>
        </is>
      </c>
      <c r="H1305" s="56" t="n">
        <v>16</v>
      </c>
      <c r="I1305" s="56" t="inlineStr">
        <is>
          <t>Add to cart</t>
        </is>
      </c>
      <c r="J1305" s="56" t="inlineStr">
        <is>
          <t>1-23 August 2026</t>
        </is>
      </c>
      <c r="K1305" s="57" t="n">
        <v>451</v>
      </c>
      <c r="L1305" s="56" t="inlineStr">
        <is>
          <t>Completeness only</t>
        </is>
      </c>
      <c r="M1305" s="40">
        <f>IF(Countries!AE103="","STILL MISSING","Filled ✓")</f>
        <v/>
      </c>
    </row>
    <row r="1306">
      <c r="A1306" s="40" t="inlineStr">
        <is>
          <t>Countries</t>
        </is>
      </c>
      <c r="B1306" s="40" t="inlineStr">
        <is>
          <t>AK103</t>
        </is>
      </c>
      <c r="C1306" s="40" t="n">
        <v>103</v>
      </c>
      <c r="D1306" s="40" t="inlineStr">
        <is>
          <t>All landing pages</t>
        </is>
      </c>
      <c r="E1306" s="40" t="inlineStr">
        <is>
          <t>Direct</t>
        </is>
      </c>
      <c r="F1306" s="40" t="inlineStr">
        <is>
          <t>Desktop</t>
        </is>
      </c>
      <c r="G1306" s="40" t="inlineStr">
        <is>
          <t>Portugal</t>
        </is>
      </c>
      <c r="H1306" s="40" t="n">
        <v>16</v>
      </c>
      <c r="I1306" s="40" t="inlineStr">
        <is>
          <t>Begin checkout</t>
        </is>
      </c>
      <c r="J1306" s="40" t="inlineStr">
        <is>
          <t>1-23 August 2025</t>
        </is>
      </c>
      <c r="K1306" s="55" t="n">
        <v>451</v>
      </c>
      <c r="L1306" s="40" t="inlineStr">
        <is>
          <t>Completeness only</t>
        </is>
      </c>
      <c r="M1306" s="40">
        <f>IF(Countries!AK103="","STILL MISSING","Filled ✓")</f>
        <v/>
      </c>
    </row>
    <row r="1307">
      <c r="A1307" s="56" t="inlineStr">
        <is>
          <t>Countries</t>
        </is>
      </c>
      <c r="B1307" s="56" t="inlineStr">
        <is>
          <t>AL103</t>
        </is>
      </c>
      <c r="C1307" s="56" t="n">
        <v>103</v>
      </c>
      <c r="D1307" s="56" t="inlineStr">
        <is>
          <t>All landing pages</t>
        </is>
      </c>
      <c r="E1307" s="56" t="inlineStr">
        <is>
          <t>Direct</t>
        </is>
      </c>
      <c r="F1307" s="56" t="inlineStr">
        <is>
          <t>Desktop</t>
        </is>
      </c>
      <c r="G1307" s="56" t="inlineStr">
        <is>
          <t>Portugal</t>
        </is>
      </c>
      <c r="H1307" s="56" t="n">
        <v>16</v>
      </c>
      <c r="I1307" s="56" t="inlineStr">
        <is>
          <t>Begin checkout</t>
        </is>
      </c>
      <c r="J1307" s="56" t="inlineStr">
        <is>
          <t>1-23 August 2026</t>
        </is>
      </c>
      <c r="K1307" s="57" t="n">
        <v>451</v>
      </c>
      <c r="L1307" s="56" t="inlineStr">
        <is>
          <t>Completeness only</t>
        </is>
      </c>
      <c r="M1307" s="40">
        <f>IF(Countries!AL103="","STILL MISSING","Filled ✓")</f>
        <v/>
      </c>
    </row>
    <row r="1308">
      <c r="A1308" s="40" t="inlineStr">
        <is>
          <t>Countries</t>
        </is>
      </c>
      <c r="B1308" s="40" t="inlineStr">
        <is>
          <t>W103</t>
        </is>
      </c>
      <c r="C1308" s="40" t="n">
        <v>103</v>
      </c>
      <c r="D1308" s="40" t="inlineStr">
        <is>
          <t>All landing pages</t>
        </is>
      </c>
      <c r="E1308" s="40" t="inlineStr">
        <is>
          <t>Direct</t>
        </is>
      </c>
      <c r="F1308" s="40" t="inlineStr">
        <is>
          <t>Desktop</t>
        </is>
      </c>
      <c r="G1308" s="40" t="inlineStr">
        <is>
          <t>Portugal</t>
        </is>
      </c>
      <c r="H1308" s="40" t="n">
        <v>16</v>
      </c>
      <c r="I1308" s="40" t="inlineStr">
        <is>
          <t>Select item</t>
        </is>
      </c>
      <c r="J1308" s="40" t="inlineStr">
        <is>
          <t>1-23 August 2025</t>
        </is>
      </c>
      <c r="K1308" s="55" t="n">
        <v>451</v>
      </c>
      <c r="L1308" s="40" t="inlineStr">
        <is>
          <t>Completeness only</t>
        </is>
      </c>
      <c r="M1308" s="40">
        <f>IF(Countries!W103="","STILL MISSING","Filled ✓")</f>
        <v/>
      </c>
    </row>
    <row r="1309">
      <c r="A1309" s="56" t="inlineStr">
        <is>
          <t>Countries</t>
        </is>
      </c>
      <c r="B1309" s="56" t="inlineStr">
        <is>
          <t>AD143</t>
        </is>
      </c>
      <c r="C1309" s="56" t="n">
        <v>143</v>
      </c>
      <c r="D1309" s="56" t="inlineStr">
        <is>
          <t>Home page</t>
        </is>
      </c>
      <c r="E1309" s="56" t="inlineStr">
        <is>
          <t>Paid Search</t>
        </is>
      </c>
      <c r="F1309" s="56" t="inlineStr">
        <is>
          <t>Desktop</t>
        </is>
      </c>
      <c r="G1309" s="56" t="inlineStr">
        <is>
          <t>Portugal</t>
        </is>
      </c>
      <c r="H1309" s="56" t="n">
        <v>16</v>
      </c>
      <c r="I1309" s="56" t="inlineStr">
        <is>
          <t>Add to cart</t>
        </is>
      </c>
      <c r="J1309" s="56" t="inlineStr">
        <is>
          <t>1-23 August 2025</t>
        </is>
      </c>
      <c r="K1309" s="57" t="n">
        <v>786</v>
      </c>
      <c r="L1309" s="56" t="inlineStr">
        <is>
          <t>Completeness only</t>
        </is>
      </c>
      <c r="M1309" s="40">
        <f>IF(Countries!AD143="","STILL MISSING","Filled ✓")</f>
        <v/>
      </c>
    </row>
    <row r="1310">
      <c r="A1310" s="40" t="inlineStr">
        <is>
          <t>Countries</t>
        </is>
      </c>
      <c r="B1310" s="40" t="inlineStr">
        <is>
          <t>AE143</t>
        </is>
      </c>
      <c r="C1310" s="40" t="n">
        <v>143</v>
      </c>
      <c r="D1310" s="40" t="inlineStr">
        <is>
          <t>Home page</t>
        </is>
      </c>
      <c r="E1310" s="40" t="inlineStr">
        <is>
          <t>Paid Search</t>
        </is>
      </c>
      <c r="F1310" s="40" t="inlineStr">
        <is>
          <t>Desktop</t>
        </is>
      </c>
      <c r="G1310" s="40" t="inlineStr">
        <is>
          <t>Portugal</t>
        </is>
      </c>
      <c r="H1310" s="40" t="n">
        <v>16</v>
      </c>
      <c r="I1310" s="40" t="inlineStr">
        <is>
          <t>Add to cart</t>
        </is>
      </c>
      <c r="J1310" s="40" t="inlineStr">
        <is>
          <t>1-23 August 2026</t>
        </is>
      </c>
      <c r="K1310" s="55" t="n">
        <v>786</v>
      </c>
      <c r="L1310" s="40" t="inlineStr">
        <is>
          <t>Completeness only</t>
        </is>
      </c>
      <c r="M1310" s="40">
        <f>IF(Countries!AE143="","STILL MISSING","Filled ✓")</f>
        <v/>
      </c>
    </row>
    <row r="1311">
      <c r="A1311" s="56" t="inlineStr">
        <is>
          <t>Countries</t>
        </is>
      </c>
      <c r="B1311" s="56" t="inlineStr">
        <is>
          <t>AK143</t>
        </is>
      </c>
      <c r="C1311" s="56" t="n">
        <v>143</v>
      </c>
      <c r="D1311" s="56" t="inlineStr">
        <is>
          <t>Home page</t>
        </is>
      </c>
      <c r="E1311" s="56" t="inlineStr">
        <is>
          <t>Paid Search</t>
        </is>
      </c>
      <c r="F1311" s="56" t="inlineStr">
        <is>
          <t>Desktop</t>
        </is>
      </c>
      <c r="G1311" s="56" t="inlineStr">
        <is>
          <t>Portugal</t>
        </is>
      </c>
      <c r="H1311" s="56" t="n">
        <v>16</v>
      </c>
      <c r="I1311" s="56" t="inlineStr">
        <is>
          <t>Begin checkout</t>
        </is>
      </c>
      <c r="J1311" s="56" t="inlineStr">
        <is>
          <t>1-23 August 2025</t>
        </is>
      </c>
      <c r="K1311" s="57" t="n">
        <v>786</v>
      </c>
      <c r="L1311" s="56" t="inlineStr">
        <is>
          <t>Completeness only</t>
        </is>
      </c>
      <c r="M1311" s="40">
        <f>IF(Countries!AK143="","STILL MISSING","Filled ✓")</f>
        <v/>
      </c>
    </row>
    <row r="1312">
      <c r="A1312" s="40" t="inlineStr">
        <is>
          <t>Countries</t>
        </is>
      </c>
      <c r="B1312" s="40" t="inlineStr">
        <is>
          <t>AL143</t>
        </is>
      </c>
      <c r="C1312" s="40" t="n">
        <v>143</v>
      </c>
      <c r="D1312" s="40" t="inlineStr">
        <is>
          <t>Home page</t>
        </is>
      </c>
      <c r="E1312" s="40" t="inlineStr">
        <is>
          <t>Paid Search</t>
        </is>
      </c>
      <c r="F1312" s="40" t="inlineStr">
        <is>
          <t>Desktop</t>
        </is>
      </c>
      <c r="G1312" s="40" t="inlineStr">
        <is>
          <t>Portugal</t>
        </is>
      </c>
      <c r="H1312" s="40" t="n">
        <v>16</v>
      </c>
      <c r="I1312" s="40" t="inlineStr">
        <is>
          <t>Begin checkout</t>
        </is>
      </c>
      <c r="J1312" s="40" t="inlineStr">
        <is>
          <t>1-23 August 2026</t>
        </is>
      </c>
      <c r="K1312" s="55" t="n">
        <v>786</v>
      </c>
      <c r="L1312" s="40" t="inlineStr">
        <is>
          <t>Completeness only</t>
        </is>
      </c>
      <c r="M1312" s="40">
        <f>IF(Countries!AL143="","STILL MISSING","Filled ✓")</f>
        <v/>
      </c>
    </row>
    <row r="1313">
      <c r="A1313" s="56" t="inlineStr">
        <is>
          <t>Countries</t>
        </is>
      </c>
      <c r="B1313" s="56" t="inlineStr">
        <is>
          <t>W143</t>
        </is>
      </c>
      <c r="C1313" s="56" t="n">
        <v>143</v>
      </c>
      <c r="D1313" s="56" t="inlineStr">
        <is>
          <t>Home page</t>
        </is>
      </c>
      <c r="E1313" s="56" t="inlineStr">
        <is>
          <t>Paid Search</t>
        </is>
      </c>
      <c r="F1313" s="56" t="inlineStr">
        <is>
          <t>Desktop</t>
        </is>
      </c>
      <c r="G1313" s="56" t="inlineStr">
        <is>
          <t>Portugal</t>
        </is>
      </c>
      <c r="H1313" s="56" t="n">
        <v>16</v>
      </c>
      <c r="I1313" s="56" t="inlineStr">
        <is>
          <t>Select item</t>
        </is>
      </c>
      <c r="J1313" s="56" t="inlineStr">
        <is>
          <t>1-23 August 2025</t>
        </is>
      </c>
      <c r="K1313" s="57" t="n">
        <v>786</v>
      </c>
      <c r="L1313" s="56" t="inlineStr">
        <is>
          <t>Completeness only</t>
        </is>
      </c>
      <c r="M1313" s="40">
        <f>IF(Countries!W143="","STILL MISSING","Filled ✓")</f>
        <v/>
      </c>
    </row>
    <row r="1314">
      <c r="A1314" s="40" t="inlineStr">
        <is>
          <t>Countries</t>
        </is>
      </c>
      <c r="B1314" s="40" t="inlineStr">
        <is>
          <t>AD123</t>
        </is>
      </c>
      <c r="C1314" s="40" t="n">
        <v>123</v>
      </c>
      <c r="D1314" s="40" t="inlineStr">
        <is>
          <t>Home page</t>
        </is>
      </c>
      <c r="E1314" s="40" t="inlineStr">
        <is>
          <t>Paid Search</t>
        </is>
      </c>
      <c r="F1314" s="40" t="inlineStr">
        <is>
          <t>Mobile</t>
        </is>
      </c>
      <c r="G1314" s="40" t="inlineStr">
        <is>
          <t>Portugal</t>
        </is>
      </c>
      <c r="H1314" s="40" t="n">
        <v>16</v>
      </c>
      <c r="I1314" s="40" t="inlineStr">
        <is>
          <t>Add to cart</t>
        </is>
      </c>
      <c r="J1314" s="40" t="inlineStr">
        <is>
          <t>1-23 August 2025</t>
        </is>
      </c>
      <c r="K1314" s="55" t="n">
        <v>903</v>
      </c>
      <c r="L1314" s="40" t="inlineStr">
        <is>
          <t>Completeness only</t>
        </is>
      </c>
      <c r="M1314" s="40">
        <f>IF(Countries!AD123="","STILL MISSING","Filled ✓")</f>
        <v/>
      </c>
    </row>
    <row r="1315">
      <c r="A1315" s="56" t="inlineStr">
        <is>
          <t>Countries</t>
        </is>
      </c>
      <c r="B1315" s="56" t="inlineStr">
        <is>
          <t>AE123</t>
        </is>
      </c>
      <c r="C1315" s="56" t="n">
        <v>123</v>
      </c>
      <c r="D1315" s="56" t="inlineStr">
        <is>
          <t>Home page</t>
        </is>
      </c>
      <c r="E1315" s="56" t="inlineStr">
        <is>
          <t>Paid Search</t>
        </is>
      </c>
      <c r="F1315" s="56" t="inlineStr">
        <is>
          <t>Mobile</t>
        </is>
      </c>
      <c r="G1315" s="56" t="inlineStr">
        <is>
          <t>Portugal</t>
        </is>
      </c>
      <c r="H1315" s="56" t="n">
        <v>16</v>
      </c>
      <c r="I1315" s="56" t="inlineStr">
        <is>
          <t>Add to cart</t>
        </is>
      </c>
      <c r="J1315" s="56" t="inlineStr">
        <is>
          <t>1-23 August 2026</t>
        </is>
      </c>
      <c r="K1315" s="57" t="n">
        <v>903</v>
      </c>
      <c r="L1315" s="56" t="inlineStr">
        <is>
          <t>Completeness only</t>
        </is>
      </c>
      <c r="M1315" s="40">
        <f>IF(Countries!AE123="","STILL MISSING","Filled ✓")</f>
        <v/>
      </c>
    </row>
    <row r="1316">
      <c r="A1316" s="40" t="inlineStr">
        <is>
          <t>Countries</t>
        </is>
      </c>
      <c r="B1316" s="40" t="inlineStr">
        <is>
          <t>AK123</t>
        </is>
      </c>
      <c r="C1316" s="40" t="n">
        <v>123</v>
      </c>
      <c r="D1316" s="40" t="inlineStr">
        <is>
          <t>Home page</t>
        </is>
      </c>
      <c r="E1316" s="40" t="inlineStr">
        <is>
          <t>Paid Search</t>
        </is>
      </c>
      <c r="F1316" s="40" t="inlineStr">
        <is>
          <t>Mobile</t>
        </is>
      </c>
      <c r="G1316" s="40" t="inlineStr">
        <is>
          <t>Portugal</t>
        </is>
      </c>
      <c r="H1316" s="40" t="n">
        <v>16</v>
      </c>
      <c r="I1316" s="40" t="inlineStr">
        <is>
          <t>Begin checkout</t>
        </is>
      </c>
      <c r="J1316" s="40" t="inlineStr">
        <is>
          <t>1-23 August 2025</t>
        </is>
      </c>
      <c r="K1316" s="55" t="n">
        <v>903</v>
      </c>
      <c r="L1316" s="40" t="inlineStr">
        <is>
          <t>Completeness only</t>
        </is>
      </c>
      <c r="M1316" s="40">
        <f>IF(Countries!AK123="","STILL MISSING","Filled ✓")</f>
        <v/>
      </c>
    </row>
    <row r="1317">
      <c r="A1317" s="56" t="inlineStr">
        <is>
          <t>Countries</t>
        </is>
      </c>
      <c r="B1317" s="56" t="inlineStr">
        <is>
          <t>AL123</t>
        </is>
      </c>
      <c r="C1317" s="56" t="n">
        <v>123</v>
      </c>
      <c r="D1317" s="56" t="inlineStr">
        <is>
          <t>Home page</t>
        </is>
      </c>
      <c r="E1317" s="56" t="inlineStr">
        <is>
          <t>Paid Search</t>
        </is>
      </c>
      <c r="F1317" s="56" t="inlineStr">
        <is>
          <t>Mobile</t>
        </is>
      </c>
      <c r="G1317" s="56" t="inlineStr">
        <is>
          <t>Portugal</t>
        </is>
      </c>
      <c r="H1317" s="56" t="n">
        <v>16</v>
      </c>
      <c r="I1317" s="56" t="inlineStr">
        <is>
          <t>Begin checkout</t>
        </is>
      </c>
      <c r="J1317" s="56" t="inlineStr">
        <is>
          <t>1-23 August 2026</t>
        </is>
      </c>
      <c r="K1317" s="57" t="n">
        <v>903</v>
      </c>
      <c r="L1317" s="56" t="inlineStr">
        <is>
          <t>Completeness only</t>
        </is>
      </c>
      <c r="M1317" s="40">
        <f>IF(Countries!AL123="","STILL MISSING","Filled ✓")</f>
        <v/>
      </c>
    </row>
    <row r="1318">
      <c r="A1318" s="40" t="inlineStr">
        <is>
          <t>Countries</t>
        </is>
      </c>
      <c r="B1318" s="40" t="inlineStr">
        <is>
          <t>AD175</t>
        </is>
      </c>
      <c r="C1318" s="40" t="n">
        <v>175</v>
      </c>
      <c r="D1318" s="40" t="inlineStr">
        <is>
          <t>Home page</t>
        </is>
      </c>
      <c r="E1318" s="40" t="inlineStr">
        <is>
          <t>Organic</t>
        </is>
      </c>
      <c r="F1318" s="40" t="inlineStr">
        <is>
          <t>Desktop</t>
        </is>
      </c>
      <c r="G1318" s="40" t="inlineStr">
        <is>
          <t>Portugal</t>
        </is>
      </c>
      <c r="H1318" s="40" t="n">
        <v>16</v>
      </c>
      <c r="I1318" s="40" t="inlineStr">
        <is>
          <t>Add to cart</t>
        </is>
      </c>
      <c r="J1318" s="40" t="inlineStr">
        <is>
          <t>1-23 August 2025</t>
        </is>
      </c>
      <c r="K1318" s="55" t="n">
        <v>164</v>
      </c>
      <c r="L1318" s="40" t="inlineStr">
        <is>
          <t>Completeness only</t>
        </is>
      </c>
      <c r="M1318" s="40">
        <f>IF(Countries!AD175="","STILL MISSING","Filled ✓")</f>
        <v/>
      </c>
    </row>
    <row r="1319">
      <c r="A1319" s="56" t="inlineStr">
        <is>
          <t>Countries</t>
        </is>
      </c>
      <c r="B1319" s="56" t="inlineStr">
        <is>
          <t>AE175</t>
        </is>
      </c>
      <c r="C1319" s="56" t="n">
        <v>175</v>
      </c>
      <c r="D1319" s="56" t="inlineStr">
        <is>
          <t>Home page</t>
        </is>
      </c>
      <c r="E1319" s="56" t="inlineStr">
        <is>
          <t>Organic</t>
        </is>
      </c>
      <c r="F1319" s="56" t="inlineStr">
        <is>
          <t>Desktop</t>
        </is>
      </c>
      <c r="G1319" s="56" t="inlineStr">
        <is>
          <t>Portugal</t>
        </is>
      </c>
      <c r="H1319" s="56" t="n">
        <v>16</v>
      </c>
      <c r="I1319" s="56" t="inlineStr">
        <is>
          <t>Add to cart</t>
        </is>
      </c>
      <c r="J1319" s="56" t="inlineStr">
        <is>
          <t>1-23 August 2026</t>
        </is>
      </c>
      <c r="K1319" s="57" t="n">
        <v>164</v>
      </c>
      <c r="L1319" s="56" t="inlineStr">
        <is>
          <t>Completeness only</t>
        </is>
      </c>
      <c r="M1319" s="40">
        <f>IF(Countries!AE175="","STILL MISSING","Filled ✓")</f>
        <v/>
      </c>
    </row>
    <row r="1320">
      <c r="A1320" s="40" t="inlineStr">
        <is>
          <t>Countries</t>
        </is>
      </c>
      <c r="B1320" s="40" t="inlineStr">
        <is>
          <t>AK175</t>
        </is>
      </c>
      <c r="C1320" s="40" t="n">
        <v>175</v>
      </c>
      <c r="D1320" s="40" t="inlineStr">
        <is>
          <t>Home page</t>
        </is>
      </c>
      <c r="E1320" s="40" t="inlineStr">
        <is>
          <t>Organic</t>
        </is>
      </c>
      <c r="F1320" s="40" t="inlineStr">
        <is>
          <t>Desktop</t>
        </is>
      </c>
      <c r="G1320" s="40" t="inlineStr">
        <is>
          <t>Portugal</t>
        </is>
      </c>
      <c r="H1320" s="40" t="n">
        <v>16</v>
      </c>
      <c r="I1320" s="40" t="inlineStr">
        <is>
          <t>Begin checkout</t>
        </is>
      </c>
      <c r="J1320" s="40" t="inlineStr">
        <is>
          <t>1-23 August 2025</t>
        </is>
      </c>
      <c r="K1320" s="55" t="n">
        <v>164</v>
      </c>
      <c r="L1320" s="40" t="inlineStr">
        <is>
          <t>Completeness only</t>
        </is>
      </c>
      <c r="M1320" s="40">
        <f>IF(Countries!AK175="","STILL MISSING","Filled ✓")</f>
        <v/>
      </c>
    </row>
    <row r="1321">
      <c r="A1321" s="56" t="inlineStr">
        <is>
          <t>Countries</t>
        </is>
      </c>
      <c r="B1321" s="56" t="inlineStr">
        <is>
          <t>AL175</t>
        </is>
      </c>
      <c r="C1321" s="56" t="n">
        <v>175</v>
      </c>
      <c r="D1321" s="56" t="inlineStr">
        <is>
          <t>Home page</t>
        </is>
      </c>
      <c r="E1321" s="56" t="inlineStr">
        <is>
          <t>Organic</t>
        </is>
      </c>
      <c r="F1321" s="56" t="inlineStr">
        <is>
          <t>Desktop</t>
        </is>
      </c>
      <c r="G1321" s="56" t="inlineStr">
        <is>
          <t>Portugal</t>
        </is>
      </c>
      <c r="H1321" s="56" t="n">
        <v>16</v>
      </c>
      <c r="I1321" s="56" t="inlineStr">
        <is>
          <t>Begin checkout</t>
        </is>
      </c>
      <c r="J1321" s="56" t="inlineStr">
        <is>
          <t>1-23 August 2026</t>
        </is>
      </c>
      <c r="K1321" s="57" t="n">
        <v>164</v>
      </c>
      <c r="L1321" s="56" t="inlineStr">
        <is>
          <t>Completeness only</t>
        </is>
      </c>
      <c r="M1321" s="40">
        <f>IF(Countries!AL175="","STILL MISSING","Filled ✓")</f>
        <v/>
      </c>
    </row>
    <row r="1322">
      <c r="A1322" s="40" t="inlineStr">
        <is>
          <t>Countries</t>
        </is>
      </c>
      <c r="B1322" s="40" t="inlineStr">
        <is>
          <t>AD160</t>
        </is>
      </c>
      <c r="C1322" s="40" t="n">
        <v>160</v>
      </c>
      <c r="D1322" s="40" t="inlineStr">
        <is>
          <t>Home page</t>
        </is>
      </c>
      <c r="E1322" s="40" t="inlineStr">
        <is>
          <t>Organic</t>
        </is>
      </c>
      <c r="F1322" s="40" t="inlineStr">
        <is>
          <t>Mobile</t>
        </is>
      </c>
      <c r="G1322" s="40" t="inlineStr">
        <is>
          <t>Portugal</t>
        </is>
      </c>
      <c r="H1322" s="40" t="n">
        <v>16</v>
      </c>
      <c r="I1322" s="40" t="inlineStr">
        <is>
          <t>Add to cart</t>
        </is>
      </c>
      <c r="J1322" s="40" t="inlineStr">
        <is>
          <t>1-23 August 2025</t>
        </is>
      </c>
      <c r="K1322" s="55" t="n">
        <v>114</v>
      </c>
      <c r="L1322" s="40" t="inlineStr">
        <is>
          <t>Completeness only</t>
        </is>
      </c>
      <c r="M1322" s="40">
        <f>IF(Countries!AD160="","STILL MISSING","Filled ✓")</f>
        <v/>
      </c>
    </row>
    <row r="1323">
      <c r="A1323" s="56" t="inlineStr">
        <is>
          <t>Countries</t>
        </is>
      </c>
      <c r="B1323" s="56" t="inlineStr">
        <is>
          <t>AE160</t>
        </is>
      </c>
      <c r="C1323" s="56" t="n">
        <v>160</v>
      </c>
      <c r="D1323" s="56" t="inlineStr">
        <is>
          <t>Home page</t>
        </is>
      </c>
      <c r="E1323" s="56" t="inlineStr">
        <is>
          <t>Organic</t>
        </is>
      </c>
      <c r="F1323" s="56" t="inlineStr">
        <is>
          <t>Mobile</t>
        </is>
      </c>
      <c r="G1323" s="56" t="inlineStr">
        <is>
          <t>Portugal</t>
        </is>
      </c>
      <c r="H1323" s="56" t="n">
        <v>16</v>
      </c>
      <c r="I1323" s="56" t="inlineStr">
        <is>
          <t>Add to cart</t>
        </is>
      </c>
      <c r="J1323" s="56" t="inlineStr">
        <is>
          <t>1-23 August 2026</t>
        </is>
      </c>
      <c r="K1323" s="57" t="n">
        <v>114</v>
      </c>
      <c r="L1323" s="56" t="inlineStr">
        <is>
          <t>Completeness only</t>
        </is>
      </c>
      <c r="M1323" s="40">
        <f>IF(Countries!AE160="","STILL MISSING","Filled ✓")</f>
        <v/>
      </c>
    </row>
    <row r="1324">
      <c r="A1324" s="40" t="inlineStr">
        <is>
          <t>Countries</t>
        </is>
      </c>
      <c r="B1324" s="40" t="inlineStr">
        <is>
          <t>AK160</t>
        </is>
      </c>
      <c r="C1324" s="40" t="n">
        <v>160</v>
      </c>
      <c r="D1324" s="40" t="inlineStr">
        <is>
          <t>Home page</t>
        </is>
      </c>
      <c r="E1324" s="40" t="inlineStr">
        <is>
          <t>Organic</t>
        </is>
      </c>
      <c r="F1324" s="40" t="inlineStr">
        <is>
          <t>Mobile</t>
        </is>
      </c>
      <c r="G1324" s="40" t="inlineStr">
        <is>
          <t>Portugal</t>
        </is>
      </c>
      <c r="H1324" s="40" t="n">
        <v>16</v>
      </c>
      <c r="I1324" s="40" t="inlineStr">
        <is>
          <t>Begin checkout</t>
        </is>
      </c>
      <c r="J1324" s="40" t="inlineStr">
        <is>
          <t>1-23 August 2025</t>
        </is>
      </c>
      <c r="K1324" s="55" t="n">
        <v>114</v>
      </c>
      <c r="L1324" s="40" t="inlineStr">
        <is>
          <t>Completeness only</t>
        </is>
      </c>
      <c r="M1324" s="40">
        <f>IF(Countries!AK160="","STILL MISSING","Filled ✓")</f>
        <v/>
      </c>
    </row>
    <row r="1325">
      <c r="A1325" s="56" t="inlineStr">
        <is>
          <t>Countries</t>
        </is>
      </c>
      <c r="B1325" s="56" t="inlineStr">
        <is>
          <t>AL160</t>
        </is>
      </c>
      <c r="C1325" s="56" t="n">
        <v>160</v>
      </c>
      <c r="D1325" s="56" t="inlineStr">
        <is>
          <t>Home page</t>
        </is>
      </c>
      <c r="E1325" s="56" t="inlineStr">
        <is>
          <t>Organic</t>
        </is>
      </c>
      <c r="F1325" s="56" t="inlineStr">
        <is>
          <t>Mobile</t>
        </is>
      </c>
      <c r="G1325" s="56" t="inlineStr">
        <is>
          <t>Portugal</t>
        </is>
      </c>
      <c r="H1325" s="56" t="n">
        <v>16</v>
      </c>
      <c r="I1325" s="56" t="inlineStr">
        <is>
          <t>Begin checkout</t>
        </is>
      </c>
      <c r="J1325" s="56" t="inlineStr">
        <is>
          <t>1-23 August 2026</t>
        </is>
      </c>
      <c r="K1325" s="57" t="n">
        <v>114</v>
      </c>
      <c r="L1325" s="56" t="inlineStr">
        <is>
          <t>Completeness only</t>
        </is>
      </c>
      <c r="M1325" s="40">
        <f>IF(Countries!AL160="","STILL MISSING","Filled ✓")</f>
        <v/>
      </c>
    </row>
    <row r="1326">
      <c r="A1326" s="40" t="inlineStr">
        <is>
          <t>Countries</t>
        </is>
      </c>
      <c r="B1326" s="40" t="inlineStr">
        <is>
          <t>W160</t>
        </is>
      </c>
      <c r="C1326" s="40" t="n">
        <v>160</v>
      </c>
      <c r="D1326" s="40" t="inlineStr">
        <is>
          <t>Home page</t>
        </is>
      </c>
      <c r="E1326" s="40" t="inlineStr">
        <is>
          <t>Organic</t>
        </is>
      </c>
      <c r="F1326" s="40" t="inlineStr">
        <is>
          <t>Mobile</t>
        </is>
      </c>
      <c r="G1326" s="40" t="inlineStr">
        <is>
          <t>Portugal</t>
        </is>
      </c>
      <c r="H1326" s="40" t="n">
        <v>16</v>
      </c>
      <c r="I1326" s="40" t="inlineStr">
        <is>
          <t>Select item</t>
        </is>
      </c>
      <c r="J1326" s="40" t="inlineStr">
        <is>
          <t>1-23 August 2025</t>
        </is>
      </c>
      <c r="K1326" s="55" t="n">
        <v>114</v>
      </c>
      <c r="L1326" s="40" t="inlineStr">
        <is>
          <t>Completeness only</t>
        </is>
      </c>
      <c r="M1326" s="40">
        <f>IF(Countries!W160="","STILL MISSING","Filled ✓")</f>
        <v/>
      </c>
    </row>
    <row r="1327">
      <c r="A1327" s="56" t="inlineStr">
        <is>
          <t>Countries</t>
        </is>
      </c>
      <c r="B1327" s="56" t="inlineStr">
        <is>
          <t>AD214</t>
        </is>
      </c>
      <c r="C1327" s="56" t="n">
        <v>214</v>
      </c>
      <c r="D1327" s="56" t="inlineStr">
        <is>
          <t>Home page</t>
        </is>
      </c>
      <c r="E1327" s="56" t="inlineStr">
        <is>
          <t>Direct</t>
        </is>
      </c>
      <c r="F1327" s="56" t="inlineStr">
        <is>
          <t>Desktop</t>
        </is>
      </c>
      <c r="G1327" s="56" t="inlineStr">
        <is>
          <t>Portugal</t>
        </is>
      </c>
      <c r="H1327" s="56" t="n">
        <v>16</v>
      </c>
      <c r="I1327" s="56" t="inlineStr">
        <is>
          <t>Add to cart</t>
        </is>
      </c>
      <c r="J1327" s="56" t="inlineStr">
        <is>
          <t>1-23 August 2025</t>
        </is>
      </c>
      <c r="K1327" s="57" t="n">
        <v>202</v>
      </c>
      <c r="L1327" s="56" t="inlineStr">
        <is>
          <t>Completeness only</t>
        </is>
      </c>
      <c r="M1327" s="40">
        <f>IF(Countries!AD214="","STILL MISSING","Filled ✓")</f>
        <v/>
      </c>
    </row>
    <row r="1328">
      <c r="A1328" s="40" t="inlineStr">
        <is>
          <t>Countries</t>
        </is>
      </c>
      <c r="B1328" s="40" t="inlineStr">
        <is>
          <t>AE214</t>
        </is>
      </c>
      <c r="C1328" s="40" t="n">
        <v>214</v>
      </c>
      <c r="D1328" s="40" t="inlineStr">
        <is>
          <t>Home page</t>
        </is>
      </c>
      <c r="E1328" s="40" t="inlineStr">
        <is>
          <t>Direct</t>
        </is>
      </c>
      <c r="F1328" s="40" t="inlineStr">
        <is>
          <t>Desktop</t>
        </is>
      </c>
      <c r="G1328" s="40" t="inlineStr">
        <is>
          <t>Portugal</t>
        </is>
      </c>
      <c r="H1328" s="40" t="n">
        <v>16</v>
      </c>
      <c r="I1328" s="40" t="inlineStr">
        <is>
          <t>Add to cart</t>
        </is>
      </c>
      <c r="J1328" s="40" t="inlineStr">
        <is>
          <t>1-23 August 2026</t>
        </is>
      </c>
      <c r="K1328" s="55" t="n">
        <v>202</v>
      </c>
      <c r="L1328" s="40" t="inlineStr">
        <is>
          <t>Completeness only</t>
        </is>
      </c>
      <c r="M1328" s="40">
        <f>IF(Countries!AE214="","STILL MISSING","Filled ✓")</f>
        <v/>
      </c>
    </row>
    <row r="1329">
      <c r="A1329" s="56" t="inlineStr">
        <is>
          <t>Countries</t>
        </is>
      </c>
      <c r="B1329" s="56" t="inlineStr">
        <is>
          <t>AK214</t>
        </is>
      </c>
      <c r="C1329" s="56" t="n">
        <v>214</v>
      </c>
      <c r="D1329" s="56" t="inlineStr">
        <is>
          <t>Home page</t>
        </is>
      </c>
      <c r="E1329" s="56" t="inlineStr">
        <is>
          <t>Direct</t>
        </is>
      </c>
      <c r="F1329" s="56" t="inlineStr">
        <is>
          <t>Desktop</t>
        </is>
      </c>
      <c r="G1329" s="56" t="inlineStr">
        <is>
          <t>Portugal</t>
        </is>
      </c>
      <c r="H1329" s="56" t="n">
        <v>16</v>
      </c>
      <c r="I1329" s="56" t="inlineStr">
        <is>
          <t>Begin checkout</t>
        </is>
      </c>
      <c r="J1329" s="56" t="inlineStr">
        <is>
          <t>1-23 August 2025</t>
        </is>
      </c>
      <c r="K1329" s="57" t="n">
        <v>202</v>
      </c>
      <c r="L1329" s="56" t="inlineStr">
        <is>
          <t>Completeness only</t>
        </is>
      </c>
      <c r="M1329" s="40">
        <f>IF(Countries!AK214="","STILL MISSING","Filled ✓")</f>
        <v/>
      </c>
    </row>
    <row r="1330">
      <c r="A1330" s="40" t="inlineStr">
        <is>
          <t>Countries</t>
        </is>
      </c>
      <c r="B1330" s="40" t="inlineStr">
        <is>
          <t>AL214</t>
        </is>
      </c>
      <c r="C1330" s="40" t="n">
        <v>214</v>
      </c>
      <c r="D1330" s="40" t="inlineStr">
        <is>
          <t>Home page</t>
        </is>
      </c>
      <c r="E1330" s="40" t="inlineStr">
        <is>
          <t>Direct</t>
        </is>
      </c>
      <c r="F1330" s="40" t="inlineStr">
        <is>
          <t>Desktop</t>
        </is>
      </c>
      <c r="G1330" s="40" t="inlineStr">
        <is>
          <t>Portugal</t>
        </is>
      </c>
      <c r="H1330" s="40" t="n">
        <v>16</v>
      </c>
      <c r="I1330" s="40" t="inlineStr">
        <is>
          <t>Begin checkout</t>
        </is>
      </c>
      <c r="J1330" s="40" t="inlineStr">
        <is>
          <t>1-23 August 2026</t>
        </is>
      </c>
      <c r="K1330" s="55" t="n">
        <v>202</v>
      </c>
      <c r="L1330" s="40" t="inlineStr">
        <is>
          <t>Completeness only</t>
        </is>
      </c>
      <c r="M1330" s="40">
        <f>IF(Countries!AL214="","STILL MISSING","Filled ✓")</f>
        <v/>
      </c>
    </row>
    <row r="1331">
      <c r="A1331" s="56" t="inlineStr">
        <is>
          <t>Countries</t>
        </is>
      </c>
      <c r="B1331" s="56" t="inlineStr">
        <is>
          <t>AR214</t>
        </is>
      </c>
      <c r="C1331" s="56" t="n">
        <v>214</v>
      </c>
      <c r="D1331" s="56" t="inlineStr">
        <is>
          <t>Home page</t>
        </is>
      </c>
      <c r="E1331" s="56" t="inlineStr">
        <is>
          <t>Direct</t>
        </is>
      </c>
      <c r="F1331" s="56" t="inlineStr">
        <is>
          <t>Desktop</t>
        </is>
      </c>
      <c r="G1331" s="56" t="inlineStr">
        <is>
          <t>Portugal</t>
        </is>
      </c>
      <c r="H1331" s="56" t="n">
        <v>16</v>
      </c>
      <c r="I1331" s="56" t="inlineStr">
        <is>
          <t>Purchases</t>
        </is>
      </c>
      <c r="J1331" s="56" t="inlineStr">
        <is>
          <t>1-23 August 2025</t>
        </is>
      </c>
      <c r="K1331" s="57" t="n">
        <v>202</v>
      </c>
      <c r="L1331" s="56" t="inlineStr">
        <is>
          <t>Completeness only</t>
        </is>
      </c>
      <c r="M1331" s="40">
        <f>IF(Countries!AR214="","STILL MISSING","Filled ✓")</f>
        <v/>
      </c>
    </row>
    <row r="1332">
      <c r="A1332" s="40" t="inlineStr">
        <is>
          <t>Countries</t>
        </is>
      </c>
      <c r="B1332" s="40" t="inlineStr">
        <is>
          <t>W214</t>
        </is>
      </c>
      <c r="C1332" s="40" t="n">
        <v>214</v>
      </c>
      <c r="D1332" s="40" t="inlineStr">
        <is>
          <t>Home page</t>
        </is>
      </c>
      <c r="E1332" s="40" t="inlineStr">
        <is>
          <t>Direct</t>
        </is>
      </c>
      <c r="F1332" s="40" t="inlineStr">
        <is>
          <t>Desktop</t>
        </is>
      </c>
      <c r="G1332" s="40" t="inlineStr">
        <is>
          <t>Portugal</t>
        </is>
      </c>
      <c r="H1332" s="40" t="n">
        <v>16</v>
      </c>
      <c r="I1332" s="40" t="inlineStr">
        <is>
          <t>Select item</t>
        </is>
      </c>
      <c r="J1332" s="40" t="inlineStr">
        <is>
          <t>1-23 August 2025</t>
        </is>
      </c>
      <c r="K1332" s="55" t="n">
        <v>202</v>
      </c>
      <c r="L1332" s="40" t="inlineStr">
        <is>
          <t>Completeness only</t>
        </is>
      </c>
      <c r="M1332" s="40">
        <f>IF(Countries!W214="","STILL MISSING","Filled ✓")</f>
        <v/>
      </c>
    </row>
    <row r="1333">
      <c r="A1333" s="56" t="inlineStr">
        <is>
          <t>Countries</t>
        </is>
      </c>
      <c r="B1333" s="56" t="inlineStr">
        <is>
          <t>I214</t>
        </is>
      </c>
      <c r="C1333" s="56" t="n">
        <v>214</v>
      </c>
      <c r="D1333" s="56" t="inlineStr">
        <is>
          <t>Home page</t>
        </is>
      </c>
      <c r="E1333" s="56" t="inlineStr">
        <is>
          <t>Direct</t>
        </is>
      </c>
      <c r="F1333" s="56" t="inlineStr">
        <is>
          <t>Desktop</t>
        </is>
      </c>
      <c r="G1333" s="56" t="inlineStr">
        <is>
          <t>Portugal</t>
        </is>
      </c>
      <c r="H1333" s="56" t="n">
        <v>16</v>
      </c>
      <c r="I1333" s="56" t="inlineStr">
        <is>
          <t>Start Search</t>
        </is>
      </c>
      <c r="J1333" s="56" t="inlineStr">
        <is>
          <t>1-23 August 2025</t>
        </is>
      </c>
      <c r="K1333" s="57" t="n">
        <v>202</v>
      </c>
      <c r="L1333" s="56" t="inlineStr">
        <is>
          <t>Completeness only</t>
        </is>
      </c>
      <c r="M1333" s="40">
        <f>IF(Countries!I214="","STILL MISSING","Filled ✓")</f>
        <v/>
      </c>
    </row>
    <row r="1334">
      <c r="A1334" s="40" t="inlineStr">
        <is>
          <t>Countries</t>
        </is>
      </c>
      <c r="B1334" s="40" t="inlineStr">
        <is>
          <t>AD198</t>
        </is>
      </c>
      <c r="C1334" s="40" t="n">
        <v>198</v>
      </c>
      <c r="D1334" s="40" t="inlineStr">
        <is>
          <t>Home page</t>
        </is>
      </c>
      <c r="E1334" s="40" t="inlineStr">
        <is>
          <t>Direct</t>
        </is>
      </c>
      <c r="F1334" s="40" t="inlineStr">
        <is>
          <t>Mobile</t>
        </is>
      </c>
      <c r="G1334" s="40" t="inlineStr">
        <is>
          <t>Portugal</t>
        </is>
      </c>
      <c r="H1334" s="40" t="n">
        <v>16</v>
      </c>
      <c r="I1334" s="40" t="inlineStr">
        <is>
          <t>Add to cart</t>
        </is>
      </c>
      <c r="J1334" s="40" t="inlineStr">
        <is>
          <t>1-23 August 2025</t>
        </is>
      </c>
      <c r="K1334" s="55" t="n">
        <v>198</v>
      </c>
      <c r="L1334" s="40" t="inlineStr">
        <is>
          <t>Completeness only</t>
        </is>
      </c>
      <c r="M1334" s="40">
        <f>IF(Countries!AD198="","STILL MISSING","Filled ✓")</f>
        <v/>
      </c>
    </row>
    <row r="1335">
      <c r="A1335" s="56" t="inlineStr">
        <is>
          <t>Countries</t>
        </is>
      </c>
      <c r="B1335" s="56" t="inlineStr">
        <is>
          <t>AE198</t>
        </is>
      </c>
      <c r="C1335" s="56" t="n">
        <v>198</v>
      </c>
      <c r="D1335" s="56" t="inlineStr">
        <is>
          <t>Home page</t>
        </is>
      </c>
      <c r="E1335" s="56" t="inlineStr">
        <is>
          <t>Direct</t>
        </is>
      </c>
      <c r="F1335" s="56" t="inlineStr">
        <is>
          <t>Mobile</t>
        </is>
      </c>
      <c r="G1335" s="56" t="inlineStr">
        <is>
          <t>Portugal</t>
        </is>
      </c>
      <c r="H1335" s="56" t="n">
        <v>16</v>
      </c>
      <c r="I1335" s="56" t="inlineStr">
        <is>
          <t>Add to cart</t>
        </is>
      </c>
      <c r="J1335" s="56" t="inlineStr">
        <is>
          <t>1-23 August 2026</t>
        </is>
      </c>
      <c r="K1335" s="57" t="n">
        <v>198</v>
      </c>
      <c r="L1335" s="56" t="inlineStr">
        <is>
          <t>Completeness only</t>
        </is>
      </c>
      <c r="M1335" s="40">
        <f>IF(Countries!AE198="","STILL MISSING","Filled ✓")</f>
        <v/>
      </c>
    </row>
    <row r="1336">
      <c r="A1336" s="40" t="inlineStr">
        <is>
          <t>Countries</t>
        </is>
      </c>
      <c r="B1336" s="40" t="inlineStr">
        <is>
          <t>AK198</t>
        </is>
      </c>
      <c r="C1336" s="40" t="n">
        <v>198</v>
      </c>
      <c r="D1336" s="40" t="inlineStr">
        <is>
          <t>Home page</t>
        </is>
      </c>
      <c r="E1336" s="40" t="inlineStr">
        <is>
          <t>Direct</t>
        </is>
      </c>
      <c r="F1336" s="40" t="inlineStr">
        <is>
          <t>Mobile</t>
        </is>
      </c>
      <c r="G1336" s="40" t="inlineStr">
        <is>
          <t>Portugal</t>
        </is>
      </c>
      <c r="H1336" s="40" t="n">
        <v>16</v>
      </c>
      <c r="I1336" s="40" t="inlineStr">
        <is>
          <t>Begin checkout</t>
        </is>
      </c>
      <c r="J1336" s="40" t="inlineStr">
        <is>
          <t>1-23 August 2025</t>
        </is>
      </c>
      <c r="K1336" s="55" t="n">
        <v>198</v>
      </c>
      <c r="L1336" s="40" t="inlineStr">
        <is>
          <t>Completeness only</t>
        </is>
      </c>
      <c r="M1336" s="40">
        <f>IF(Countries!AK198="","STILL MISSING","Filled ✓")</f>
        <v/>
      </c>
    </row>
    <row r="1337">
      <c r="A1337" s="56" t="inlineStr">
        <is>
          <t>Countries</t>
        </is>
      </c>
      <c r="B1337" s="56" t="inlineStr">
        <is>
          <t>AL198</t>
        </is>
      </c>
      <c r="C1337" s="56" t="n">
        <v>198</v>
      </c>
      <c r="D1337" s="56" t="inlineStr">
        <is>
          <t>Home page</t>
        </is>
      </c>
      <c r="E1337" s="56" t="inlineStr">
        <is>
          <t>Direct</t>
        </is>
      </c>
      <c r="F1337" s="56" t="inlineStr">
        <is>
          <t>Mobile</t>
        </is>
      </c>
      <c r="G1337" s="56" t="inlineStr">
        <is>
          <t>Portugal</t>
        </is>
      </c>
      <c r="H1337" s="56" t="n">
        <v>16</v>
      </c>
      <c r="I1337" s="56" t="inlineStr">
        <is>
          <t>Begin checkout</t>
        </is>
      </c>
      <c r="J1337" s="56" t="inlineStr">
        <is>
          <t>1-23 August 2026</t>
        </is>
      </c>
      <c r="K1337" s="57" t="n">
        <v>198</v>
      </c>
      <c r="L1337" s="56" t="inlineStr">
        <is>
          <t>Completeness only</t>
        </is>
      </c>
      <c r="M1337" s="40">
        <f>IF(Countries!AL198="","STILL MISSING","Filled ✓")</f>
        <v/>
      </c>
    </row>
    <row r="1338">
      <c r="A1338" s="40" t="inlineStr">
        <is>
          <t>Countries</t>
        </is>
      </c>
      <c r="B1338" s="40" t="inlineStr">
        <is>
          <t>AS198</t>
        </is>
      </c>
      <c r="C1338" s="40" t="n">
        <v>198</v>
      </c>
      <c r="D1338" s="40" t="inlineStr">
        <is>
          <t>Home page</t>
        </is>
      </c>
      <c r="E1338" s="40" t="inlineStr">
        <is>
          <t>Direct</t>
        </is>
      </c>
      <c r="F1338" s="40" t="inlineStr">
        <is>
          <t>Mobile</t>
        </is>
      </c>
      <c r="G1338" s="40" t="inlineStr">
        <is>
          <t>Portugal</t>
        </is>
      </c>
      <c r="H1338" s="40" t="n">
        <v>16</v>
      </c>
      <c r="I1338" s="40" t="inlineStr">
        <is>
          <t>Purchases</t>
        </is>
      </c>
      <c r="J1338" s="40" t="inlineStr">
        <is>
          <t>1-23 August 2026</t>
        </is>
      </c>
      <c r="K1338" s="55" t="n">
        <v>198</v>
      </c>
      <c r="L1338" s="40" t="inlineStr">
        <is>
          <t>Completeness only</t>
        </is>
      </c>
      <c r="M1338" s="40">
        <f>IF(Countries!AS198="","STILL MISSING","Filled ✓")</f>
        <v/>
      </c>
    </row>
    <row r="1339">
      <c r="A1339" s="56" t="inlineStr">
        <is>
          <t>Countries</t>
        </is>
      </c>
      <c r="B1339" s="56" t="inlineStr">
        <is>
          <t>Q198</t>
        </is>
      </c>
      <c r="C1339" s="56" t="n">
        <v>198</v>
      </c>
      <c r="D1339" s="56" t="inlineStr">
        <is>
          <t>Home page</t>
        </is>
      </c>
      <c r="E1339" s="56" t="inlineStr">
        <is>
          <t>Direct</t>
        </is>
      </c>
      <c r="F1339" s="56" t="inlineStr">
        <is>
          <t>Mobile</t>
        </is>
      </c>
      <c r="G1339" s="56" t="inlineStr">
        <is>
          <t>Portugal</t>
        </is>
      </c>
      <c r="H1339" s="56" t="n">
        <v>16</v>
      </c>
      <c r="I1339" s="56" t="inlineStr">
        <is>
          <t>Searches</t>
        </is>
      </c>
      <c r="J1339" s="56" t="inlineStr">
        <is>
          <t>1-23 August 2026</t>
        </is>
      </c>
      <c r="K1339" s="57" t="n">
        <v>198</v>
      </c>
      <c r="L1339" s="56" t="inlineStr">
        <is>
          <t>Completeness only</t>
        </is>
      </c>
      <c r="M1339" s="40">
        <f>IF(Countries!Q198="","STILL MISSING","Filled ✓")</f>
        <v/>
      </c>
    </row>
    <row r="1340">
      <c r="A1340" s="40" t="inlineStr">
        <is>
          <t>Countries</t>
        </is>
      </c>
      <c r="B1340" s="40" t="inlineStr">
        <is>
          <t>W198</t>
        </is>
      </c>
      <c r="C1340" s="40" t="n">
        <v>198</v>
      </c>
      <c r="D1340" s="40" t="inlineStr">
        <is>
          <t>Home page</t>
        </is>
      </c>
      <c r="E1340" s="40" t="inlineStr">
        <is>
          <t>Direct</t>
        </is>
      </c>
      <c r="F1340" s="40" t="inlineStr">
        <is>
          <t>Mobile</t>
        </is>
      </c>
      <c r="G1340" s="40" t="inlineStr">
        <is>
          <t>Portugal</t>
        </is>
      </c>
      <c r="H1340" s="40" t="n">
        <v>16</v>
      </c>
      <c r="I1340" s="40" t="inlineStr">
        <is>
          <t>Select item</t>
        </is>
      </c>
      <c r="J1340" s="40" t="inlineStr">
        <is>
          <t>1-23 August 2025</t>
        </is>
      </c>
      <c r="K1340" s="55" t="n">
        <v>198</v>
      </c>
      <c r="L1340" s="40" t="inlineStr">
        <is>
          <t>Completeness only</t>
        </is>
      </c>
      <c r="M1340" s="40">
        <f>IF(Countries!W198="","STILL MISSING","Filled ✓")</f>
        <v/>
      </c>
    </row>
    <row r="1341">
      <c r="A1341" s="56" t="inlineStr">
        <is>
          <t>Countries</t>
        </is>
      </c>
      <c r="B1341" s="56" t="inlineStr">
        <is>
          <t>X198</t>
        </is>
      </c>
      <c r="C1341" s="56" t="n">
        <v>198</v>
      </c>
      <c r="D1341" s="56" t="inlineStr">
        <is>
          <t>Home page</t>
        </is>
      </c>
      <c r="E1341" s="56" t="inlineStr">
        <is>
          <t>Direct</t>
        </is>
      </c>
      <c r="F1341" s="56" t="inlineStr">
        <is>
          <t>Mobile</t>
        </is>
      </c>
      <c r="G1341" s="56" t="inlineStr">
        <is>
          <t>Portugal</t>
        </is>
      </c>
      <c r="H1341" s="56" t="n">
        <v>16</v>
      </c>
      <c r="I1341" s="56" t="inlineStr">
        <is>
          <t>Select item</t>
        </is>
      </c>
      <c r="J1341" s="56" t="inlineStr">
        <is>
          <t>1-23 August 2026</t>
        </is>
      </c>
      <c r="K1341" s="57" t="n">
        <v>198</v>
      </c>
      <c r="L1341" s="56" t="inlineStr">
        <is>
          <t>Completeness only</t>
        </is>
      </c>
      <c r="M1341" s="40">
        <f>IF(Countries!X198="","STILL MISSING","Filled ✓")</f>
        <v/>
      </c>
    </row>
    <row r="1342">
      <c r="A1342" s="40" t="inlineStr">
        <is>
          <t>Countries</t>
        </is>
      </c>
      <c r="B1342" s="40" t="inlineStr">
        <is>
          <t>J198</t>
        </is>
      </c>
      <c r="C1342" s="40" t="n">
        <v>198</v>
      </c>
      <c r="D1342" s="40" t="inlineStr">
        <is>
          <t>Home page</t>
        </is>
      </c>
      <c r="E1342" s="40" t="inlineStr">
        <is>
          <t>Direct</t>
        </is>
      </c>
      <c r="F1342" s="40" t="inlineStr">
        <is>
          <t>Mobile</t>
        </is>
      </c>
      <c r="G1342" s="40" t="inlineStr">
        <is>
          <t>Portugal</t>
        </is>
      </c>
      <c r="H1342" s="40" t="n">
        <v>16</v>
      </c>
      <c r="I1342" s="40" t="inlineStr">
        <is>
          <t>Start Search</t>
        </is>
      </c>
      <c r="J1342" s="40" t="inlineStr">
        <is>
          <t>1-23 August 2026</t>
        </is>
      </c>
      <c r="K1342" s="55" t="n">
        <v>198</v>
      </c>
      <c r="L1342" s="40" t="inlineStr">
        <is>
          <t>Completeness only</t>
        </is>
      </c>
      <c r="M1342" s="40">
        <f>IF(Countries!J198="","STILL MISSING","Filled ✓")</f>
        <v/>
      </c>
    </row>
    <row r="1343">
      <c r="A1343" s="56" t="inlineStr">
        <is>
          <t>Countries</t>
        </is>
      </c>
      <c r="B1343" s="56" t="inlineStr">
        <is>
          <t>AD239</t>
        </is>
      </c>
      <c r="C1343" s="56" t="n">
        <v>239</v>
      </c>
      <c r="D1343" s="56" t="inlineStr">
        <is>
          <t>Airport page</t>
        </is>
      </c>
      <c r="E1343" s="56" t="inlineStr">
        <is>
          <t>Paid Search</t>
        </is>
      </c>
      <c r="F1343" s="56" t="inlineStr">
        <is>
          <t>Mobile</t>
        </is>
      </c>
      <c r="G1343" s="56" t="inlineStr">
        <is>
          <t>Portugal</t>
        </is>
      </c>
      <c r="H1343" s="56" t="n">
        <v>16</v>
      </c>
      <c r="I1343" s="56" t="inlineStr">
        <is>
          <t>Add to cart</t>
        </is>
      </c>
      <c r="J1343" s="56" t="inlineStr">
        <is>
          <t>1-23 August 2025</t>
        </is>
      </c>
      <c r="K1343" s="57" t="n">
        <v>393</v>
      </c>
      <c r="L1343" s="56" t="inlineStr">
        <is>
          <t>Completeness only</t>
        </is>
      </c>
      <c r="M1343" s="40">
        <f>IF(Countries!AD239="","STILL MISSING","Filled ✓")</f>
        <v/>
      </c>
    </row>
    <row r="1344">
      <c r="A1344" s="40" t="inlineStr">
        <is>
          <t>Countries</t>
        </is>
      </c>
      <c r="B1344" s="40" t="inlineStr">
        <is>
          <t>AE239</t>
        </is>
      </c>
      <c r="C1344" s="40" t="n">
        <v>239</v>
      </c>
      <c r="D1344" s="40" t="inlineStr">
        <is>
          <t>Airport page</t>
        </is>
      </c>
      <c r="E1344" s="40" t="inlineStr">
        <is>
          <t>Paid Search</t>
        </is>
      </c>
      <c r="F1344" s="40" t="inlineStr">
        <is>
          <t>Mobile</t>
        </is>
      </c>
      <c r="G1344" s="40" t="inlineStr">
        <is>
          <t>Portugal</t>
        </is>
      </c>
      <c r="H1344" s="40" t="n">
        <v>16</v>
      </c>
      <c r="I1344" s="40" t="inlineStr">
        <is>
          <t>Add to cart</t>
        </is>
      </c>
      <c r="J1344" s="40" t="inlineStr">
        <is>
          <t>1-23 August 2026</t>
        </is>
      </c>
      <c r="K1344" s="55" t="n">
        <v>393</v>
      </c>
      <c r="L1344" s="40" t="inlineStr">
        <is>
          <t>Completeness only</t>
        </is>
      </c>
      <c r="M1344" s="40">
        <f>IF(Countries!AE239="","STILL MISSING","Filled ✓")</f>
        <v/>
      </c>
    </row>
    <row r="1345">
      <c r="A1345" s="56" t="inlineStr">
        <is>
          <t>Countries</t>
        </is>
      </c>
      <c r="B1345" s="56" t="inlineStr">
        <is>
          <t>AK239</t>
        </is>
      </c>
      <c r="C1345" s="56" t="n">
        <v>239</v>
      </c>
      <c r="D1345" s="56" t="inlineStr">
        <is>
          <t>Airport page</t>
        </is>
      </c>
      <c r="E1345" s="56" t="inlineStr">
        <is>
          <t>Paid Search</t>
        </is>
      </c>
      <c r="F1345" s="56" t="inlineStr">
        <is>
          <t>Mobile</t>
        </is>
      </c>
      <c r="G1345" s="56" t="inlineStr">
        <is>
          <t>Portugal</t>
        </is>
      </c>
      <c r="H1345" s="56" t="n">
        <v>16</v>
      </c>
      <c r="I1345" s="56" t="inlineStr">
        <is>
          <t>Begin checkout</t>
        </is>
      </c>
      <c r="J1345" s="56" t="inlineStr">
        <is>
          <t>1-23 August 2025</t>
        </is>
      </c>
      <c r="K1345" s="57" t="n">
        <v>393</v>
      </c>
      <c r="L1345" s="56" t="inlineStr">
        <is>
          <t>Completeness only</t>
        </is>
      </c>
      <c r="M1345" s="40">
        <f>IF(Countries!AK239="","STILL MISSING","Filled ✓")</f>
        <v/>
      </c>
    </row>
    <row r="1346">
      <c r="A1346" s="40" t="inlineStr">
        <is>
          <t>Countries</t>
        </is>
      </c>
      <c r="B1346" s="40" t="inlineStr">
        <is>
          <t>AL239</t>
        </is>
      </c>
      <c r="C1346" s="40" t="n">
        <v>239</v>
      </c>
      <c r="D1346" s="40" t="inlineStr">
        <is>
          <t>Airport page</t>
        </is>
      </c>
      <c r="E1346" s="40" t="inlineStr">
        <is>
          <t>Paid Search</t>
        </is>
      </c>
      <c r="F1346" s="40" t="inlineStr">
        <is>
          <t>Mobile</t>
        </is>
      </c>
      <c r="G1346" s="40" t="inlineStr">
        <is>
          <t>Portugal</t>
        </is>
      </c>
      <c r="H1346" s="40" t="n">
        <v>16</v>
      </c>
      <c r="I1346" s="40" t="inlineStr">
        <is>
          <t>Begin checkout</t>
        </is>
      </c>
      <c r="J1346" s="40" t="inlineStr">
        <is>
          <t>1-23 August 2026</t>
        </is>
      </c>
      <c r="K1346" s="55" t="n">
        <v>393</v>
      </c>
      <c r="L1346" s="40" t="inlineStr">
        <is>
          <t>Completeness only</t>
        </is>
      </c>
      <c r="M1346" s="40">
        <f>IF(Countries!AL239="","STILL MISSING","Filled ✓")</f>
        <v/>
      </c>
    </row>
    <row r="1347">
      <c r="A1347" s="56" t="inlineStr">
        <is>
          <t>Countries</t>
        </is>
      </c>
      <c r="B1347" s="56" t="inlineStr">
        <is>
          <t>AS239</t>
        </is>
      </c>
      <c r="C1347" s="56" t="n">
        <v>239</v>
      </c>
      <c r="D1347" s="56" t="inlineStr">
        <is>
          <t>Airport page</t>
        </is>
      </c>
      <c r="E1347" s="56" t="inlineStr">
        <is>
          <t>Paid Search</t>
        </is>
      </c>
      <c r="F1347" s="56" t="inlineStr">
        <is>
          <t>Mobile</t>
        </is>
      </c>
      <c r="G1347" s="56" t="inlineStr">
        <is>
          <t>Portugal</t>
        </is>
      </c>
      <c r="H1347" s="56" t="n">
        <v>16</v>
      </c>
      <c r="I1347" s="56" t="inlineStr">
        <is>
          <t>Purchases</t>
        </is>
      </c>
      <c r="J1347" s="56" t="inlineStr">
        <is>
          <t>1-23 August 2026</t>
        </is>
      </c>
      <c r="K1347" s="57" t="n">
        <v>393</v>
      </c>
      <c r="L1347" s="56" t="inlineStr">
        <is>
          <t>Completeness only</t>
        </is>
      </c>
      <c r="M1347" s="40">
        <f>IF(Countries!AS239="","STILL MISSING","Filled ✓")</f>
        <v/>
      </c>
    </row>
    <row r="1348">
      <c r="A1348" s="40" t="inlineStr">
        <is>
          <t>Countries</t>
        </is>
      </c>
      <c r="B1348" s="40" t="inlineStr">
        <is>
          <t>X239</t>
        </is>
      </c>
      <c r="C1348" s="40" t="n">
        <v>239</v>
      </c>
      <c r="D1348" s="40" t="inlineStr">
        <is>
          <t>Airport page</t>
        </is>
      </c>
      <c r="E1348" s="40" t="inlineStr">
        <is>
          <t>Paid Search</t>
        </is>
      </c>
      <c r="F1348" s="40" t="inlineStr">
        <is>
          <t>Mobile</t>
        </is>
      </c>
      <c r="G1348" s="40" t="inlineStr">
        <is>
          <t>Portugal</t>
        </is>
      </c>
      <c r="H1348" s="40" t="n">
        <v>16</v>
      </c>
      <c r="I1348" s="40" t="inlineStr">
        <is>
          <t>Select item</t>
        </is>
      </c>
      <c r="J1348" s="40" t="inlineStr">
        <is>
          <t>1-23 August 2026</t>
        </is>
      </c>
      <c r="K1348" s="55" t="n">
        <v>393</v>
      </c>
      <c r="L1348" s="40" t="inlineStr">
        <is>
          <t>Completeness only</t>
        </is>
      </c>
      <c r="M1348" s="40">
        <f>IF(Countries!X239="","STILL MISSING","Filled ✓")</f>
        <v/>
      </c>
    </row>
    <row r="1349">
      <c r="A1349" s="56" t="inlineStr">
        <is>
          <t>Countries</t>
        </is>
      </c>
      <c r="B1349" s="56" t="inlineStr">
        <is>
          <t>F239</t>
        </is>
      </c>
      <c r="C1349" s="56" t="n">
        <v>239</v>
      </c>
      <c r="D1349" s="56" t="inlineStr">
        <is>
          <t>Airport page</t>
        </is>
      </c>
      <c r="E1349" s="56" t="inlineStr">
        <is>
          <t>Paid Search</t>
        </is>
      </c>
      <c r="F1349" s="56" t="inlineStr">
        <is>
          <t>Mobile</t>
        </is>
      </c>
      <c r="G1349" s="56" t="inlineStr">
        <is>
          <t>Portugal</t>
        </is>
      </c>
      <c r="H1349" s="56" t="n">
        <v>16</v>
      </c>
      <c r="I1349" s="56" t="inlineStr">
        <is>
          <t>Sessions</t>
        </is>
      </c>
      <c r="J1349" s="56" t="inlineStr">
        <is>
          <t>1-23 August 2026</t>
        </is>
      </c>
      <c r="K1349" s="57" t="n">
        <v>393</v>
      </c>
      <c r="L1349" s="56" t="inlineStr">
        <is>
          <t>Completeness only</t>
        </is>
      </c>
      <c r="M1349" s="40">
        <f>IF(Countries!F239="","STILL MISSING","Filled ✓")</f>
        <v/>
      </c>
    </row>
    <row r="1350">
      <c r="A1350" s="40" t="inlineStr">
        <is>
          <t>Countries</t>
        </is>
      </c>
      <c r="B1350" s="40" t="inlineStr">
        <is>
          <t>I239</t>
        </is>
      </c>
      <c r="C1350" s="40" t="n">
        <v>239</v>
      </c>
      <c r="D1350" s="40" t="inlineStr">
        <is>
          <t>Airport page</t>
        </is>
      </c>
      <c r="E1350" s="40" t="inlineStr">
        <is>
          <t>Paid Search</t>
        </is>
      </c>
      <c r="F1350" s="40" t="inlineStr">
        <is>
          <t>Mobile</t>
        </is>
      </c>
      <c r="G1350" s="40" t="inlineStr">
        <is>
          <t>Portugal</t>
        </is>
      </c>
      <c r="H1350" s="40" t="n">
        <v>16</v>
      </c>
      <c r="I1350" s="40" t="inlineStr">
        <is>
          <t>Start Search</t>
        </is>
      </c>
      <c r="J1350" s="40" t="inlineStr">
        <is>
          <t>1-23 August 2025</t>
        </is>
      </c>
      <c r="K1350" s="55" t="n">
        <v>393</v>
      </c>
      <c r="L1350" s="40" t="inlineStr">
        <is>
          <t>Completeness only</t>
        </is>
      </c>
      <c r="M1350" s="40">
        <f>IF(Countries!I239="","STILL MISSING","Filled ✓")</f>
        <v/>
      </c>
    </row>
    <row r="1351">
      <c r="A1351" s="56" t="inlineStr">
        <is>
          <t>Countries</t>
        </is>
      </c>
      <c r="B1351" s="56" t="inlineStr">
        <is>
          <t>J239</t>
        </is>
      </c>
      <c r="C1351" s="56" t="n">
        <v>239</v>
      </c>
      <c r="D1351" s="56" t="inlineStr">
        <is>
          <t>Airport page</t>
        </is>
      </c>
      <c r="E1351" s="56" t="inlineStr">
        <is>
          <t>Paid Search</t>
        </is>
      </c>
      <c r="F1351" s="56" t="inlineStr">
        <is>
          <t>Mobile</t>
        </is>
      </c>
      <c r="G1351" s="56" t="inlineStr">
        <is>
          <t>Portugal</t>
        </is>
      </c>
      <c r="H1351" s="56" t="n">
        <v>16</v>
      </c>
      <c r="I1351" s="56" t="inlineStr">
        <is>
          <t>Start Search</t>
        </is>
      </c>
      <c r="J1351" s="56" t="inlineStr">
        <is>
          <t>1-23 August 2026</t>
        </is>
      </c>
      <c r="K1351" s="57" t="n">
        <v>393</v>
      </c>
      <c r="L1351" s="56" t="inlineStr">
        <is>
          <t>Completeness only</t>
        </is>
      </c>
      <c r="M1351" s="40">
        <f>IF(Countries!J239="","STILL MISSING","Filled ✓")</f>
        <v/>
      </c>
    </row>
    <row r="1352">
      <c r="A1352" s="40" t="inlineStr">
        <is>
          <t>Countries</t>
        </is>
      </c>
      <c r="B1352" s="40" t="inlineStr">
        <is>
          <t>AD280</t>
        </is>
      </c>
      <c r="C1352" s="40" t="n">
        <v>280</v>
      </c>
      <c r="D1352" s="40" t="inlineStr">
        <is>
          <t>Airport page</t>
        </is>
      </c>
      <c r="E1352" s="40" t="inlineStr">
        <is>
          <t>Organic</t>
        </is>
      </c>
      <c r="F1352" s="40" t="inlineStr">
        <is>
          <t>Desktop</t>
        </is>
      </c>
      <c r="G1352" s="40" t="inlineStr">
        <is>
          <t>Portugal</t>
        </is>
      </c>
      <c r="H1352" s="40" t="n">
        <v>16</v>
      </c>
      <c r="I1352" s="40" t="inlineStr">
        <is>
          <t>Add to cart</t>
        </is>
      </c>
      <c r="J1352" s="40" t="inlineStr">
        <is>
          <t>1-23 August 2025</t>
        </is>
      </c>
      <c r="K1352" s="55" t="n">
        <v>163</v>
      </c>
      <c r="L1352" s="40" t="inlineStr">
        <is>
          <t>Completeness only</t>
        </is>
      </c>
      <c r="M1352" s="40">
        <f>IF(Countries!AD280="","STILL MISSING","Filled ✓")</f>
        <v/>
      </c>
    </row>
    <row r="1353">
      <c r="A1353" s="56" t="inlineStr">
        <is>
          <t>Countries</t>
        </is>
      </c>
      <c r="B1353" s="56" t="inlineStr">
        <is>
          <t>AE280</t>
        </is>
      </c>
      <c r="C1353" s="56" t="n">
        <v>280</v>
      </c>
      <c r="D1353" s="56" t="inlineStr">
        <is>
          <t>Airport page</t>
        </is>
      </c>
      <c r="E1353" s="56" t="inlineStr">
        <is>
          <t>Organic</t>
        </is>
      </c>
      <c r="F1353" s="56" t="inlineStr">
        <is>
          <t>Desktop</t>
        </is>
      </c>
      <c r="G1353" s="56" t="inlineStr">
        <is>
          <t>Portugal</t>
        </is>
      </c>
      <c r="H1353" s="56" t="n">
        <v>16</v>
      </c>
      <c r="I1353" s="56" t="inlineStr">
        <is>
          <t>Add to cart</t>
        </is>
      </c>
      <c r="J1353" s="56" t="inlineStr">
        <is>
          <t>1-23 August 2026</t>
        </is>
      </c>
      <c r="K1353" s="57" t="n">
        <v>163</v>
      </c>
      <c r="L1353" s="56" t="inlineStr">
        <is>
          <t>Completeness only</t>
        </is>
      </c>
      <c r="M1353" s="40">
        <f>IF(Countries!AE280="","STILL MISSING","Filled ✓")</f>
        <v/>
      </c>
    </row>
    <row r="1354">
      <c r="A1354" s="40" t="inlineStr">
        <is>
          <t>Countries</t>
        </is>
      </c>
      <c r="B1354" s="40" t="inlineStr">
        <is>
          <t>AK280</t>
        </is>
      </c>
      <c r="C1354" s="40" t="n">
        <v>280</v>
      </c>
      <c r="D1354" s="40" t="inlineStr">
        <is>
          <t>Airport page</t>
        </is>
      </c>
      <c r="E1354" s="40" t="inlineStr">
        <is>
          <t>Organic</t>
        </is>
      </c>
      <c r="F1354" s="40" t="inlineStr">
        <is>
          <t>Desktop</t>
        </is>
      </c>
      <c r="G1354" s="40" t="inlineStr">
        <is>
          <t>Portugal</t>
        </is>
      </c>
      <c r="H1354" s="40" t="n">
        <v>16</v>
      </c>
      <c r="I1354" s="40" t="inlineStr">
        <is>
          <t>Begin checkout</t>
        </is>
      </c>
      <c r="J1354" s="40" t="inlineStr">
        <is>
          <t>1-23 August 2025</t>
        </is>
      </c>
      <c r="K1354" s="55" t="n">
        <v>163</v>
      </c>
      <c r="L1354" s="40" t="inlineStr">
        <is>
          <t>Completeness only</t>
        </is>
      </c>
      <c r="M1354" s="40">
        <f>IF(Countries!AK280="","STILL MISSING","Filled ✓")</f>
        <v/>
      </c>
    </row>
    <row r="1355">
      <c r="A1355" s="56" t="inlineStr">
        <is>
          <t>Countries</t>
        </is>
      </c>
      <c r="B1355" s="56" t="inlineStr">
        <is>
          <t>AL280</t>
        </is>
      </c>
      <c r="C1355" s="56" t="n">
        <v>280</v>
      </c>
      <c r="D1355" s="56" t="inlineStr">
        <is>
          <t>Airport page</t>
        </is>
      </c>
      <c r="E1355" s="56" t="inlineStr">
        <is>
          <t>Organic</t>
        </is>
      </c>
      <c r="F1355" s="56" t="inlineStr">
        <is>
          <t>Desktop</t>
        </is>
      </c>
      <c r="G1355" s="56" t="inlineStr">
        <is>
          <t>Portugal</t>
        </is>
      </c>
      <c r="H1355" s="56" t="n">
        <v>16</v>
      </c>
      <c r="I1355" s="56" t="inlineStr">
        <is>
          <t>Begin checkout</t>
        </is>
      </c>
      <c r="J1355" s="56" t="inlineStr">
        <is>
          <t>1-23 August 2026</t>
        </is>
      </c>
      <c r="K1355" s="57" t="n">
        <v>163</v>
      </c>
      <c r="L1355" s="56" t="inlineStr">
        <is>
          <t>Completeness only</t>
        </is>
      </c>
      <c r="M1355" s="40">
        <f>IF(Countries!AL280="","STILL MISSING","Filled ✓")</f>
        <v/>
      </c>
    </row>
    <row r="1356">
      <c r="A1356" s="40" t="inlineStr">
        <is>
          <t>Countries</t>
        </is>
      </c>
      <c r="B1356" s="40" t="inlineStr">
        <is>
          <t>AD267</t>
        </is>
      </c>
      <c r="C1356" s="40" t="n">
        <v>267</v>
      </c>
      <c r="D1356" s="40" t="inlineStr">
        <is>
          <t>Airport page</t>
        </is>
      </c>
      <c r="E1356" s="40" t="inlineStr">
        <is>
          <t>Organic</t>
        </is>
      </c>
      <c r="F1356" s="40" t="inlineStr">
        <is>
          <t>Mobile</t>
        </is>
      </c>
      <c r="G1356" s="40" t="inlineStr">
        <is>
          <t>Portugal</t>
        </is>
      </c>
      <c r="H1356" s="40" t="n">
        <v>16</v>
      </c>
      <c r="I1356" s="40" t="inlineStr">
        <is>
          <t>Add to cart</t>
        </is>
      </c>
      <c r="J1356" s="40" t="inlineStr">
        <is>
          <t>1-23 August 2025</t>
        </is>
      </c>
      <c r="K1356" s="55" t="n">
        <v>250</v>
      </c>
      <c r="L1356" s="40" t="inlineStr">
        <is>
          <t>Completeness only</t>
        </is>
      </c>
      <c r="M1356" s="40">
        <f>IF(Countries!AD267="","STILL MISSING","Filled ✓")</f>
        <v/>
      </c>
    </row>
    <row r="1357">
      <c r="A1357" s="56" t="inlineStr">
        <is>
          <t>Countries</t>
        </is>
      </c>
      <c r="B1357" s="56" t="inlineStr">
        <is>
          <t>AE267</t>
        </is>
      </c>
      <c r="C1357" s="56" t="n">
        <v>267</v>
      </c>
      <c r="D1357" s="56" t="inlineStr">
        <is>
          <t>Airport page</t>
        </is>
      </c>
      <c r="E1357" s="56" t="inlineStr">
        <is>
          <t>Organic</t>
        </is>
      </c>
      <c r="F1357" s="56" t="inlineStr">
        <is>
          <t>Mobile</t>
        </is>
      </c>
      <c r="G1357" s="56" t="inlineStr">
        <is>
          <t>Portugal</t>
        </is>
      </c>
      <c r="H1357" s="56" t="n">
        <v>16</v>
      </c>
      <c r="I1357" s="56" t="inlineStr">
        <is>
          <t>Add to cart</t>
        </is>
      </c>
      <c r="J1357" s="56" t="inlineStr">
        <is>
          <t>1-23 August 2026</t>
        </is>
      </c>
      <c r="K1357" s="57" t="n">
        <v>250</v>
      </c>
      <c r="L1357" s="56" t="inlineStr">
        <is>
          <t>Completeness only</t>
        </is>
      </c>
      <c r="M1357" s="40">
        <f>IF(Countries!AE267="","STILL MISSING","Filled ✓")</f>
        <v/>
      </c>
    </row>
    <row r="1358">
      <c r="A1358" s="40" t="inlineStr">
        <is>
          <t>Countries</t>
        </is>
      </c>
      <c r="B1358" s="40" t="inlineStr">
        <is>
          <t>AK267</t>
        </is>
      </c>
      <c r="C1358" s="40" t="n">
        <v>267</v>
      </c>
      <c r="D1358" s="40" t="inlineStr">
        <is>
          <t>Airport page</t>
        </is>
      </c>
      <c r="E1358" s="40" t="inlineStr">
        <is>
          <t>Organic</t>
        </is>
      </c>
      <c r="F1358" s="40" t="inlineStr">
        <is>
          <t>Mobile</t>
        </is>
      </c>
      <c r="G1358" s="40" t="inlineStr">
        <is>
          <t>Portugal</t>
        </is>
      </c>
      <c r="H1358" s="40" t="n">
        <v>16</v>
      </c>
      <c r="I1358" s="40" t="inlineStr">
        <is>
          <t>Begin checkout</t>
        </is>
      </c>
      <c r="J1358" s="40" t="inlineStr">
        <is>
          <t>1-23 August 2025</t>
        </is>
      </c>
      <c r="K1358" s="55" t="n">
        <v>250</v>
      </c>
      <c r="L1358" s="40" t="inlineStr">
        <is>
          <t>Completeness only</t>
        </is>
      </c>
      <c r="M1358" s="40">
        <f>IF(Countries!AK267="","STILL MISSING","Filled ✓")</f>
        <v/>
      </c>
    </row>
    <row r="1359">
      <c r="A1359" s="56" t="inlineStr">
        <is>
          <t>Countries</t>
        </is>
      </c>
      <c r="B1359" s="56" t="inlineStr">
        <is>
          <t>AL267</t>
        </is>
      </c>
      <c r="C1359" s="56" t="n">
        <v>267</v>
      </c>
      <c r="D1359" s="56" t="inlineStr">
        <is>
          <t>Airport page</t>
        </is>
      </c>
      <c r="E1359" s="56" t="inlineStr">
        <is>
          <t>Organic</t>
        </is>
      </c>
      <c r="F1359" s="56" t="inlineStr">
        <is>
          <t>Mobile</t>
        </is>
      </c>
      <c r="G1359" s="56" t="inlineStr">
        <is>
          <t>Portugal</t>
        </is>
      </c>
      <c r="H1359" s="56" t="n">
        <v>16</v>
      </c>
      <c r="I1359" s="56" t="inlineStr">
        <is>
          <t>Begin checkout</t>
        </is>
      </c>
      <c r="J1359" s="56" t="inlineStr">
        <is>
          <t>1-23 August 2026</t>
        </is>
      </c>
      <c r="K1359" s="57" t="n">
        <v>250</v>
      </c>
      <c r="L1359" s="56" t="inlineStr">
        <is>
          <t>Completeness only</t>
        </is>
      </c>
      <c r="M1359" s="40">
        <f>IF(Countries!AL267="","STILL MISSING","Filled ✓")</f>
        <v/>
      </c>
    </row>
    <row r="1360">
      <c r="A1360" s="40" t="inlineStr">
        <is>
          <t>Countries</t>
        </is>
      </c>
      <c r="B1360" s="40" t="inlineStr">
        <is>
          <t>AD320</t>
        </is>
      </c>
      <c r="C1360" s="40" t="n">
        <v>320</v>
      </c>
      <c r="D1360" s="40" t="inlineStr">
        <is>
          <t>Airport page</t>
        </is>
      </c>
      <c r="E1360" s="40" t="inlineStr">
        <is>
          <t>Direct</t>
        </is>
      </c>
      <c r="F1360" s="40" t="inlineStr">
        <is>
          <t>Desktop</t>
        </is>
      </c>
      <c r="G1360" s="40" t="inlineStr">
        <is>
          <t>Portugal</t>
        </is>
      </c>
      <c r="H1360" s="40" t="n">
        <v>16</v>
      </c>
      <c r="I1360" s="40" t="inlineStr">
        <is>
          <t>Add to cart</t>
        </is>
      </c>
      <c r="J1360" s="40" t="inlineStr">
        <is>
          <t>1-23 August 2025</t>
        </is>
      </c>
      <c r="K1360" s="55" t="n">
        <v>96</v>
      </c>
      <c r="L1360" s="40" t="inlineStr">
        <is>
          <t>Completeness only</t>
        </is>
      </c>
      <c r="M1360" s="40">
        <f>IF(Countries!AD320="","STILL MISSING","Filled ✓")</f>
        <v/>
      </c>
    </row>
    <row r="1361">
      <c r="A1361" s="56" t="inlineStr">
        <is>
          <t>Countries</t>
        </is>
      </c>
      <c r="B1361" s="56" t="inlineStr">
        <is>
          <t>AE320</t>
        </is>
      </c>
      <c r="C1361" s="56" t="n">
        <v>320</v>
      </c>
      <c r="D1361" s="56" t="inlineStr">
        <is>
          <t>Airport page</t>
        </is>
      </c>
      <c r="E1361" s="56" t="inlineStr">
        <is>
          <t>Direct</t>
        </is>
      </c>
      <c r="F1361" s="56" t="inlineStr">
        <is>
          <t>Desktop</t>
        </is>
      </c>
      <c r="G1361" s="56" t="inlineStr">
        <is>
          <t>Portugal</t>
        </is>
      </c>
      <c r="H1361" s="56" t="n">
        <v>16</v>
      </c>
      <c r="I1361" s="56" t="inlineStr">
        <is>
          <t>Add to cart</t>
        </is>
      </c>
      <c r="J1361" s="56" t="inlineStr">
        <is>
          <t>1-23 August 2026</t>
        </is>
      </c>
      <c r="K1361" s="57" t="n">
        <v>96</v>
      </c>
      <c r="L1361" s="56" t="inlineStr">
        <is>
          <t>Completeness only</t>
        </is>
      </c>
      <c r="M1361" s="40">
        <f>IF(Countries!AE320="","STILL MISSING","Filled ✓")</f>
        <v/>
      </c>
    </row>
    <row r="1362">
      <c r="A1362" s="40" t="inlineStr">
        <is>
          <t>Countries</t>
        </is>
      </c>
      <c r="B1362" s="40" t="inlineStr">
        <is>
          <t>AK320</t>
        </is>
      </c>
      <c r="C1362" s="40" t="n">
        <v>320</v>
      </c>
      <c r="D1362" s="40" t="inlineStr">
        <is>
          <t>Airport page</t>
        </is>
      </c>
      <c r="E1362" s="40" t="inlineStr">
        <is>
          <t>Direct</t>
        </is>
      </c>
      <c r="F1362" s="40" t="inlineStr">
        <is>
          <t>Desktop</t>
        </is>
      </c>
      <c r="G1362" s="40" t="inlineStr">
        <is>
          <t>Portugal</t>
        </is>
      </c>
      <c r="H1362" s="40" t="n">
        <v>16</v>
      </c>
      <c r="I1362" s="40" t="inlineStr">
        <is>
          <t>Begin checkout</t>
        </is>
      </c>
      <c r="J1362" s="40" t="inlineStr">
        <is>
          <t>1-23 August 2025</t>
        </is>
      </c>
      <c r="K1362" s="55" t="n">
        <v>96</v>
      </c>
      <c r="L1362" s="40" t="inlineStr">
        <is>
          <t>Completeness only</t>
        </is>
      </c>
      <c r="M1362" s="40">
        <f>IF(Countries!AK320="","STILL MISSING","Filled ✓")</f>
        <v/>
      </c>
    </row>
    <row r="1363">
      <c r="A1363" s="56" t="inlineStr">
        <is>
          <t>Countries</t>
        </is>
      </c>
      <c r="B1363" s="56" t="inlineStr">
        <is>
          <t>AL320</t>
        </is>
      </c>
      <c r="C1363" s="56" t="n">
        <v>320</v>
      </c>
      <c r="D1363" s="56" t="inlineStr">
        <is>
          <t>Airport page</t>
        </is>
      </c>
      <c r="E1363" s="56" t="inlineStr">
        <is>
          <t>Direct</t>
        </is>
      </c>
      <c r="F1363" s="56" t="inlineStr">
        <is>
          <t>Desktop</t>
        </is>
      </c>
      <c r="G1363" s="56" t="inlineStr">
        <is>
          <t>Portugal</t>
        </is>
      </c>
      <c r="H1363" s="56" t="n">
        <v>16</v>
      </c>
      <c r="I1363" s="56" t="inlineStr">
        <is>
          <t>Begin checkout</t>
        </is>
      </c>
      <c r="J1363" s="56" t="inlineStr">
        <is>
          <t>1-23 August 2026</t>
        </is>
      </c>
      <c r="K1363" s="57" t="n">
        <v>96</v>
      </c>
      <c r="L1363" s="56" t="inlineStr">
        <is>
          <t>Completeness only</t>
        </is>
      </c>
      <c r="M1363" s="40">
        <f>IF(Countries!AL320="","STILL MISSING","Filled ✓")</f>
        <v/>
      </c>
    </row>
    <row r="1364">
      <c r="A1364" s="40" t="inlineStr">
        <is>
          <t>Countries</t>
        </is>
      </c>
      <c r="B1364" s="40" t="inlineStr">
        <is>
          <t>X320</t>
        </is>
      </c>
      <c r="C1364" s="40" t="n">
        <v>320</v>
      </c>
      <c r="D1364" s="40" t="inlineStr">
        <is>
          <t>Airport page</t>
        </is>
      </c>
      <c r="E1364" s="40" t="inlineStr">
        <is>
          <t>Direct</t>
        </is>
      </c>
      <c r="F1364" s="40" t="inlineStr">
        <is>
          <t>Desktop</t>
        </is>
      </c>
      <c r="G1364" s="40" t="inlineStr">
        <is>
          <t>Portugal</t>
        </is>
      </c>
      <c r="H1364" s="40" t="n">
        <v>16</v>
      </c>
      <c r="I1364" s="40" t="inlineStr">
        <is>
          <t>Select item</t>
        </is>
      </c>
      <c r="J1364" s="40" t="inlineStr">
        <is>
          <t>1-23 August 2026</t>
        </is>
      </c>
      <c r="K1364" s="55" t="n">
        <v>96</v>
      </c>
      <c r="L1364" s="40" t="inlineStr">
        <is>
          <t>Completeness only</t>
        </is>
      </c>
      <c r="M1364" s="40">
        <f>IF(Countries!X320="","STILL MISSING","Filled ✓")</f>
        <v/>
      </c>
    </row>
    <row r="1365">
      <c r="A1365" s="56" t="inlineStr">
        <is>
          <t>Countries</t>
        </is>
      </c>
      <c r="B1365" s="56" t="inlineStr">
        <is>
          <t>AD304</t>
        </is>
      </c>
      <c r="C1365" s="56" t="n">
        <v>304</v>
      </c>
      <c r="D1365" s="56" t="inlineStr">
        <is>
          <t>Airport page</t>
        </is>
      </c>
      <c r="E1365" s="56" t="inlineStr">
        <is>
          <t>Direct</t>
        </is>
      </c>
      <c r="F1365" s="56" t="inlineStr">
        <is>
          <t>Mobile</t>
        </is>
      </c>
      <c r="G1365" s="56" t="inlineStr">
        <is>
          <t>Portugal</t>
        </is>
      </c>
      <c r="H1365" s="56" t="n">
        <v>16</v>
      </c>
      <c r="I1365" s="56" t="inlineStr">
        <is>
          <t>Add to cart</t>
        </is>
      </c>
      <c r="J1365" s="56" t="inlineStr">
        <is>
          <t>1-23 August 2025</t>
        </is>
      </c>
      <c r="K1365" s="57" t="n">
        <v>19</v>
      </c>
      <c r="L1365" s="56" t="inlineStr">
        <is>
          <t>Completeness only</t>
        </is>
      </c>
      <c r="M1365" s="40">
        <f>IF(Countries!AD304="","STILL MISSING","Filled ✓")</f>
        <v/>
      </c>
    </row>
    <row r="1366">
      <c r="A1366" s="40" t="inlineStr">
        <is>
          <t>Countries</t>
        </is>
      </c>
      <c r="B1366" s="40" t="inlineStr">
        <is>
          <t>AE304</t>
        </is>
      </c>
      <c r="C1366" s="40" t="n">
        <v>304</v>
      </c>
      <c r="D1366" s="40" t="inlineStr">
        <is>
          <t>Airport page</t>
        </is>
      </c>
      <c r="E1366" s="40" t="inlineStr">
        <is>
          <t>Direct</t>
        </is>
      </c>
      <c r="F1366" s="40" t="inlineStr">
        <is>
          <t>Mobile</t>
        </is>
      </c>
      <c r="G1366" s="40" t="inlineStr">
        <is>
          <t>Portugal</t>
        </is>
      </c>
      <c r="H1366" s="40" t="n">
        <v>16</v>
      </c>
      <c r="I1366" s="40" t="inlineStr">
        <is>
          <t>Add to cart</t>
        </is>
      </c>
      <c r="J1366" s="40" t="inlineStr">
        <is>
          <t>1-23 August 2026</t>
        </is>
      </c>
      <c r="K1366" s="55" t="n">
        <v>19</v>
      </c>
      <c r="L1366" s="40" t="inlineStr">
        <is>
          <t>Completeness only</t>
        </is>
      </c>
      <c r="M1366" s="40">
        <f>IF(Countries!AE304="","STILL MISSING","Filled ✓")</f>
        <v/>
      </c>
    </row>
    <row r="1367">
      <c r="A1367" s="56" t="inlineStr">
        <is>
          <t>Countries</t>
        </is>
      </c>
      <c r="B1367" s="56" t="inlineStr">
        <is>
          <t>AK304</t>
        </is>
      </c>
      <c r="C1367" s="56" t="n">
        <v>304</v>
      </c>
      <c r="D1367" s="56" t="inlineStr">
        <is>
          <t>Airport page</t>
        </is>
      </c>
      <c r="E1367" s="56" t="inlineStr">
        <is>
          <t>Direct</t>
        </is>
      </c>
      <c r="F1367" s="56" t="inlineStr">
        <is>
          <t>Mobile</t>
        </is>
      </c>
      <c r="G1367" s="56" t="inlineStr">
        <is>
          <t>Portugal</t>
        </is>
      </c>
      <c r="H1367" s="56" t="n">
        <v>16</v>
      </c>
      <c r="I1367" s="56" t="inlineStr">
        <is>
          <t>Begin checkout</t>
        </is>
      </c>
      <c r="J1367" s="56" t="inlineStr">
        <is>
          <t>1-23 August 2025</t>
        </is>
      </c>
      <c r="K1367" s="57" t="n">
        <v>19</v>
      </c>
      <c r="L1367" s="56" t="inlineStr">
        <is>
          <t>Completeness only</t>
        </is>
      </c>
      <c r="M1367" s="40">
        <f>IF(Countries!AK304="","STILL MISSING","Filled ✓")</f>
        <v/>
      </c>
    </row>
    <row r="1368">
      <c r="A1368" s="40" t="inlineStr">
        <is>
          <t>Countries</t>
        </is>
      </c>
      <c r="B1368" s="40" t="inlineStr">
        <is>
          <t>AL304</t>
        </is>
      </c>
      <c r="C1368" s="40" t="n">
        <v>304</v>
      </c>
      <c r="D1368" s="40" t="inlineStr">
        <is>
          <t>Airport page</t>
        </is>
      </c>
      <c r="E1368" s="40" t="inlineStr">
        <is>
          <t>Direct</t>
        </is>
      </c>
      <c r="F1368" s="40" t="inlineStr">
        <is>
          <t>Mobile</t>
        </is>
      </c>
      <c r="G1368" s="40" t="inlineStr">
        <is>
          <t>Portugal</t>
        </is>
      </c>
      <c r="H1368" s="40" t="n">
        <v>16</v>
      </c>
      <c r="I1368" s="40" t="inlineStr">
        <is>
          <t>Begin checkout</t>
        </is>
      </c>
      <c r="J1368" s="40" t="inlineStr">
        <is>
          <t>1-23 August 2026</t>
        </is>
      </c>
      <c r="K1368" s="55" t="n">
        <v>19</v>
      </c>
      <c r="L1368" s="40" t="inlineStr">
        <is>
          <t>Completeness only</t>
        </is>
      </c>
      <c r="M1368" s="40">
        <f>IF(Countries!AL304="","STILL MISSING","Filled ✓")</f>
        <v/>
      </c>
    </row>
    <row r="1369">
      <c r="A1369" s="56" t="inlineStr">
        <is>
          <t>Countries</t>
        </is>
      </c>
      <c r="B1369" s="56" t="inlineStr">
        <is>
          <t>AR304</t>
        </is>
      </c>
      <c r="C1369" s="56" t="n">
        <v>304</v>
      </c>
      <c r="D1369" s="56" t="inlineStr">
        <is>
          <t>Airport page</t>
        </is>
      </c>
      <c r="E1369" s="56" t="inlineStr">
        <is>
          <t>Direct</t>
        </is>
      </c>
      <c r="F1369" s="56" t="inlineStr">
        <is>
          <t>Mobile</t>
        </is>
      </c>
      <c r="G1369" s="56" t="inlineStr">
        <is>
          <t>Portugal</t>
        </is>
      </c>
      <c r="H1369" s="56" t="n">
        <v>16</v>
      </c>
      <c r="I1369" s="56" t="inlineStr">
        <is>
          <t>Purchases</t>
        </is>
      </c>
      <c r="J1369" s="56" t="inlineStr">
        <is>
          <t>1-23 August 2025</t>
        </is>
      </c>
      <c r="K1369" s="57" t="n">
        <v>19</v>
      </c>
      <c r="L1369" s="56" t="inlineStr">
        <is>
          <t>Completeness only</t>
        </is>
      </c>
      <c r="M1369" s="40">
        <f>IF(Countries!AR304="","STILL MISSING","Filled ✓")</f>
        <v/>
      </c>
    </row>
    <row r="1370">
      <c r="A1370" s="40" t="inlineStr">
        <is>
          <t>Countries</t>
        </is>
      </c>
      <c r="B1370" s="40" t="inlineStr">
        <is>
          <t>W304</t>
        </is>
      </c>
      <c r="C1370" s="40" t="n">
        <v>304</v>
      </c>
      <c r="D1370" s="40" t="inlineStr">
        <is>
          <t>Airport page</t>
        </is>
      </c>
      <c r="E1370" s="40" t="inlineStr">
        <is>
          <t>Direct</t>
        </is>
      </c>
      <c r="F1370" s="40" t="inlineStr">
        <is>
          <t>Mobile</t>
        </is>
      </c>
      <c r="G1370" s="40" t="inlineStr">
        <is>
          <t>Portugal</t>
        </is>
      </c>
      <c r="H1370" s="40" t="n">
        <v>16</v>
      </c>
      <c r="I1370" s="40" t="inlineStr">
        <is>
          <t>Select item</t>
        </is>
      </c>
      <c r="J1370" s="40" t="inlineStr">
        <is>
          <t>1-23 August 2025</t>
        </is>
      </c>
      <c r="K1370" s="55" t="n">
        <v>19</v>
      </c>
      <c r="L1370" s="40" t="inlineStr">
        <is>
          <t>Completeness only</t>
        </is>
      </c>
      <c r="M1370" s="40">
        <f>IF(Countries!W304="","STILL MISSING","Filled ✓")</f>
        <v/>
      </c>
    </row>
    <row r="1371">
      <c r="A1371" s="56" t="inlineStr">
        <is>
          <t>Countries</t>
        </is>
      </c>
      <c r="B1371" s="56" t="inlineStr">
        <is>
          <t>E304</t>
        </is>
      </c>
      <c r="C1371" s="56" t="n">
        <v>304</v>
      </c>
      <c r="D1371" s="56" t="inlineStr">
        <is>
          <t>Airport page</t>
        </is>
      </c>
      <c r="E1371" s="56" t="inlineStr">
        <is>
          <t>Direct</t>
        </is>
      </c>
      <c r="F1371" s="56" t="inlineStr">
        <is>
          <t>Mobile</t>
        </is>
      </c>
      <c r="G1371" s="56" t="inlineStr">
        <is>
          <t>Portugal</t>
        </is>
      </c>
      <c r="H1371" s="56" t="n">
        <v>16</v>
      </c>
      <c r="I1371" s="56" t="inlineStr">
        <is>
          <t>Sessions</t>
        </is>
      </c>
      <c r="J1371" s="56" t="inlineStr">
        <is>
          <t>1-23 August 2025</t>
        </is>
      </c>
      <c r="K1371" s="57" t="n">
        <v>19</v>
      </c>
      <c r="L1371" s="56" t="inlineStr">
        <is>
          <t>Completeness only</t>
        </is>
      </c>
      <c r="M1371" s="40">
        <f>IF(Countries!E304="","STILL MISSING","Filled ✓")</f>
        <v/>
      </c>
    </row>
    <row r="1372">
      <c r="A1372" s="40" t="inlineStr">
        <is>
          <t>Countries</t>
        </is>
      </c>
      <c r="B1372" s="40" t="inlineStr">
        <is>
          <t>I304</t>
        </is>
      </c>
      <c r="C1372" s="40" t="n">
        <v>304</v>
      </c>
      <c r="D1372" s="40" t="inlineStr">
        <is>
          <t>Airport page</t>
        </is>
      </c>
      <c r="E1372" s="40" t="inlineStr">
        <is>
          <t>Direct</t>
        </is>
      </c>
      <c r="F1372" s="40" t="inlineStr">
        <is>
          <t>Mobile</t>
        </is>
      </c>
      <c r="G1372" s="40" t="inlineStr">
        <is>
          <t>Portugal</t>
        </is>
      </c>
      <c r="H1372" s="40" t="n">
        <v>16</v>
      </c>
      <c r="I1372" s="40" t="inlineStr">
        <is>
          <t>Start Search</t>
        </is>
      </c>
      <c r="J1372" s="40" t="inlineStr">
        <is>
          <t>1-23 August 2025</t>
        </is>
      </c>
      <c r="K1372" s="55" t="n">
        <v>19</v>
      </c>
      <c r="L1372" s="40" t="inlineStr">
        <is>
          <t>Completeness only</t>
        </is>
      </c>
      <c r="M1372" s="40">
        <f>IF(Countries!I304="","STILL MISSING","Filled ✓")</f>
        <v/>
      </c>
    </row>
    <row r="1373">
      <c r="A1373" s="56" t="inlineStr">
        <is>
          <t>Countries</t>
        </is>
      </c>
      <c r="B1373" s="56" t="inlineStr">
        <is>
          <t>J304</t>
        </is>
      </c>
      <c r="C1373" s="56" t="n">
        <v>304</v>
      </c>
      <c r="D1373" s="56" t="inlineStr">
        <is>
          <t>Airport page</t>
        </is>
      </c>
      <c r="E1373" s="56" t="inlineStr">
        <is>
          <t>Direct</t>
        </is>
      </c>
      <c r="F1373" s="56" t="inlineStr">
        <is>
          <t>Mobile</t>
        </is>
      </c>
      <c r="G1373" s="56" t="inlineStr">
        <is>
          <t>Portugal</t>
        </is>
      </c>
      <c r="H1373" s="56" t="n">
        <v>16</v>
      </c>
      <c r="I1373" s="56" t="inlineStr">
        <is>
          <t>Start Search</t>
        </is>
      </c>
      <c r="J1373" s="56" t="inlineStr">
        <is>
          <t>1-23 August 2026</t>
        </is>
      </c>
      <c r="K1373" s="57" t="n">
        <v>19</v>
      </c>
      <c r="L1373" s="56" t="inlineStr">
        <is>
          <t>Completeness only</t>
        </is>
      </c>
      <c r="M1373" s="40">
        <f>IF(Countries!J304="","STILL MISSING","Filled ✓")</f>
        <v/>
      </c>
    </row>
    <row r="1374">
      <c r="A1374" s="40" t="inlineStr">
        <is>
          <t>Countries</t>
        </is>
      </c>
      <c r="B1374" s="40" t="inlineStr">
        <is>
          <t>AD359</t>
        </is>
      </c>
      <c r="C1374" s="40" t="n">
        <v>359</v>
      </c>
      <c r="D1374" s="40" t="inlineStr">
        <is>
          <t>Route page</t>
        </is>
      </c>
      <c r="E1374" s="40" t="inlineStr">
        <is>
          <t>Paid Search</t>
        </is>
      </c>
      <c r="F1374" s="40" t="inlineStr">
        <is>
          <t>Desktop</t>
        </is>
      </c>
      <c r="G1374" s="40" t="inlineStr">
        <is>
          <t>Portugal</t>
        </is>
      </c>
      <c r="H1374" s="40" t="n">
        <v>16</v>
      </c>
      <c r="I1374" s="40" t="inlineStr">
        <is>
          <t>Add to cart</t>
        </is>
      </c>
      <c r="J1374" s="40" t="inlineStr">
        <is>
          <t>1-23 August 2025</t>
        </is>
      </c>
      <c r="K1374" s="55" t="n">
        <v>185</v>
      </c>
      <c r="L1374" s="40" t="inlineStr">
        <is>
          <t>Completeness only</t>
        </is>
      </c>
      <c r="M1374" s="40">
        <f>IF(Countries!AD359="","STILL MISSING","Filled ✓")</f>
        <v/>
      </c>
    </row>
    <row r="1375">
      <c r="A1375" s="56" t="inlineStr">
        <is>
          <t>Countries</t>
        </is>
      </c>
      <c r="B1375" s="56" t="inlineStr">
        <is>
          <t>AE359</t>
        </is>
      </c>
      <c r="C1375" s="56" t="n">
        <v>359</v>
      </c>
      <c r="D1375" s="56" t="inlineStr">
        <is>
          <t>Route page</t>
        </is>
      </c>
      <c r="E1375" s="56" t="inlineStr">
        <is>
          <t>Paid Search</t>
        </is>
      </c>
      <c r="F1375" s="56" t="inlineStr">
        <is>
          <t>Desktop</t>
        </is>
      </c>
      <c r="G1375" s="56" t="inlineStr">
        <is>
          <t>Portugal</t>
        </is>
      </c>
      <c r="H1375" s="56" t="n">
        <v>16</v>
      </c>
      <c r="I1375" s="56" t="inlineStr">
        <is>
          <t>Add to cart</t>
        </is>
      </c>
      <c r="J1375" s="56" t="inlineStr">
        <is>
          <t>1-23 August 2026</t>
        </is>
      </c>
      <c r="K1375" s="57" t="n">
        <v>185</v>
      </c>
      <c r="L1375" s="56" t="inlineStr">
        <is>
          <t>Completeness only</t>
        </is>
      </c>
      <c r="M1375" s="40">
        <f>IF(Countries!AE359="","STILL MISSING","Filled ✓")</f>
        <v/>
      </c>
    </row>
    <row r="1376">
      <c r="A1376" s="40" t="inlineStr">
        <is>
          <t>Countries</t>
        </is>
      </c>
      <c r="B1376" s="40" t="inlineStr">
        <is>
          <t>AK359</t>
        </is>
      </c>
      <c r="C1376" s="40" t="n">
        <v>359</v>
      </c>
      <c r="D1376" s="40" t="inlineStr">
        <is>
          <t>Route page</t>
        </is>
      </c>
      <c r="E1376" s="40" t="inlineStr">
        <is>
          <t>Paid Search</t>
        </is>
      </c>
      <c r="F1376" s="40" t="inlineStr">
        <is>
          <t>Desktop</t>
        </is>
      </c>
      <c r="G1376" s="40" t="inlineStr">
        <is>
          <t>Portugal</t>
        </is>
      </c>
      <c r="H1376" s="40" t="n">
        <v>16</v>
      </c>
      <c r="I1376" s="40" t="inlineStr">
        <is>
          <t>Begin checkout</t>
        </is>
      </c>
      <c r="J1376" s="40" t="inlineStr">
        <is>
          <t>1-23 August 2025</t>
        </is>
      </c>
      <c r="K1376" s="55" t="n">
        <v>185</v>
      </c>
      <c r="L1376" s="40" t="inlineStr">
        <is>
          <t>Completeness only</t>
        </is>
      </c>
      <c r="M1376" s="40">
        <f>IF(Countries!AK359="","STILL MISSING","Filled ✓")</f>
        <v/>
      </c>
    </row>
    <row r="1377">
      <c r="A1377" s="56" t="inlineStr">
        <is>
          <t>Countries</t>
        </is>
      </c>
      <c r="B1377" s="56" t="inlineStr">
        <is>
          <t>AL359</t>
        </is>
      </c>
      <c r="C1377" s="56" t="n">
        <v>359</v>
      </c>
      <c r="D1377" s="56" t="inlineStr">
        <is>
          <t>Route page</t>
        </is>
      </c>
      <c r="E1377" s="56" t="inlineStr">
        <is>
          <t>Paid Search</t>
        </is>
      </c>
      <c r="F1377" s="56" t="inlineStr">
        <is>
          <t>Desktop</t>
        </is>
      </c>
      <c r="G1377" s="56" t="inlineStr">
        <is>
          <t>Portugal</t>
        </is>
      </c>
      <c r="H1377" s="56" t="n">
        <v>16</v>
      </c>
      <c r="I1377" s="56" t="inlineStr">
        <is>
          <t>Begin checkout</t>
        </is>
      </c>
      <c r="J1377" s="56" t="inlineStr">
        <is>
          <t>1-23 August 2026</t>
        </is>
      </c>
      <c r="K1377" s="57" t="n">
        <v>185</v>
      </c>
      <c r="L1377" s="56" t="inlineStr">
        <is>
          <t>Completeness only</t>
        </is>
      </c>
      <c r="M1377" s="40">
        <f>IF(Countries!AL359="","STILL MISSING","Filled ✓")</f>
        <v/>
      </c>
    </row>
    <row r="1378">
      <c r="A1378" s="40" t="inlineStr">
        <is>
          <t>Countries</t>
        </is>
      </c>
      <c r="B1378" s="40" t="inlineStr">
        <is>
          <t>AS359</t>
        </is>
      </c>
      <c r="C1378" s="40" t="n">
        <v>359</v>
      </c>
      <c r="D1378" s="40" t="inlineStr">
        <is>
          <t>Route page</t>
        </is>
      </c>
      <c r="E1378" s="40" t="inlineStr">
        <is>
          <t>Paid Search</t>
        </is>
      </c>
      <c r="F1378" s="40" t="inlineStr">
        <is>
          <t>Desktop</t>
        </is>
      </c>
      <c r="G1378" s="40" t="inlineStr">
        <is>
          <t>Portugal</t>
        </is>
      </c>
      <c r="H1378" s="40" t="n">
        <v>16</v>
      </c>
      <c r="I1378" s="40" t="inlineStr">
        <is>
          <t>Purchases</t>
        </is>
      </c>
      <c r="J1378" s="40" t="inlineStr">
        <is>
          <t>1-23 August 2026</t>
        </is>
      </c>
      <c r="K1378" s="55" t="n">
        <v>185</v>
      </c>
      <c r="L1378" s="40" t="inlineStr">
        <is>
          <t>Completeness only</t>
        </is>
      </c>
      <c r="M1378" s="40">
        <f>IF(Countries!AS359="","STILL MISSING","Filled ✓")</f>
        <v/>
      </c>
    </row>
    <row r="1379">
      <c r="A1379" s="56" t="inlineStr">
        <is>
          <t>Countries</t>
        </is>
      </c>
      <c r="B1379" s="56" t="inlineStr">
        <is>
          <t>X359</t>
        </is>
      </c>
      <c r="C1379" s="56" t="n">
        <v>359</v>
      </c>
      <c r="D1379" s="56" t="inlineStr">
        <is>
          <t>Route page</t>
        </is>
      </c>
      <c r="E1379" s="56" t="inlineStr">
        <is>
          <t>Paid Search</t>
        </is>
      </c>
      <c r="F1379" s="56" t="inlineStr">
        <is>
          <t>Desktop</t>
        </is>
      </c>
      <c r="G1379" s="56" t="inlineStr">
        <is>
          <t>Portugal</t>
        </is>
      </c>
      <c r="H1379" s="56" t="n">
        <v>16</v>
      </c>
      <c r="I1379" s="56" t="inlineStr">
        <is>
          <t>Select item</t>
        </is>
      </c>
      <c r="J1379" s="56" t="inlineStr">
        <is>
          <t>1-23 August 2026</t>
        </is>
      </c>
      <c r="K1379" s="57" t="n">
        <v>185</v>
      </c>
      <c r="L1379" s="56" t="inlineStr">
        <is>
          <t>Completeness only</t>
        </is>
      </c>
      <c r="M1379" s="40">
        <f>IF(Countries!X359="","STILL MISSING","Filled ✓")</f>
        <v/>
      </c>
    </row>
    <row r="1380">
      <c r="A1380" s="40" t="inlineStr">
        <is>
          <t>Countries</t>
        </is>
      </c>
      <c r="B1380" s="40" t="inlineStr">
        <is>
          <t>F359</t>
        </is>
      </c>
      <c r="C1380" s="40" t="n">
        <v>359</v>
      </c>
      <c r="D1380" s="40" t="inlineStr">
        <is>
          <t>Route page</t>
        </is>
      </c>
      <c r="E1380" s="40" t="inlineStr">
        <is>
          <t>Paid Search</t>
        </is>
      </c>
      <c r="F1380" s="40" t="inlineStr">
        <is>
          <t>Desktop</t>
        </is>
      </c>
      <c r="G1380" s="40" t="inlineStr">
        <is>
          <t>Portugal</t>
        </is>
      </c>
      <c r="H1380" s="40" t="n">
        <v>16</v>
      </c>
      <c r="I1380" s="40" t="inlineStr">
        <is>
          <t>Sessions</t>
        </is>
      </c>
      <c r="J1380" s="40" t="inlineStr">
        <is>
          <t>1-23 August 2026</t>
        </is>
      </c>
      <c r="K1380" s="55" t="n">
        <v>185</v>
      </c>
      <c r="L1380" s="40" t="inlineStr">
        <is>
          <t>Completeness only</t>
        </is>
      </c>
      <c r="M1380" s="40">
        <f>IF(Countries!F359="","STILL MISSING","Filled ✓")</f>
        <v/>
      </c>
    </row>
    <row r="1381">
      <c r="A1381" s="56" t="inlineStr">
        <is>
          <t>Countries</t>
        </is>
      </c>
      <c r="B1381" s="56" t="inlineStr">
        <is>
          <t>I359</t>
        </is>
      </c>
      <c r="C1381" s="56" t="n">
        <v>359</v>
      </c>
      <c r="D1381" s="56" t="inlineStr">
        <is>
          <t>Route page</t>
        </is>
      </c>
      <c r="E1381" s="56" t="inlineStr">
        <is>
          <t>Paid Search</t>
        </is>
      </c>
      <c r="F1381" s="56" t="inlineStr">
        <is>
          <t>Desktop</t>
        </is>
      </c>
      <c r="G1381" s="56" t="inlineStr">
        <is>
          <t>Portugal</t>
        </is>
      </c>
      <c r="H1381" s="56" t="n">
        <v>16</v>
      </c>
      <c r="I1381" s="56" t="inlineStr">
        <is>
          <t>Start Search</t>
        </is>
      </c>
      <c r="J1381" s="56" t="inlineStr">
        <is>
          <t>1-23 August 2025</t>
        </is>
      </c>
      <c r="K1381" s="57" t="n">
        <v>185</v>
      </c>
      <c r="L1381" s="56" t="inlineStr">
        <is>
          <t>Completeness only</t>
        </is>
      </c>
      <c r="M1381" s="40">
        <f>IF(Countries!I359="","STILL MISSING","Filled ✓")</f>
        <v/>
      </c>
    </row>
    <row r="1382">
      <c r="A1382" s="40" t="inlineStr">
        <is>
          <t>Countries</t>
        </is>
      </c>
      <c r="B1382" s="40" t="inlineStr">
        <is>
          <t>J359</t>
        </is>
      </c>
      <c r="C1382" s="40" t="n">
        <v>359</v>
      </c>
      <c r="D1382" s="40" t="inlineStr">
        <is>
          <t>Route page</t>
        </is>
      </c>
      <c r="E1382" s="40" t="inlineStr">
        <is>
          <t>Paid Search</t>
        </is>
      </c>
      <c r="F1382" s="40" t="inlineStr">
        <is>
          <t>Desktop</t>
        </is>
      </c>
      <c r="G1382" s="40" t="inlineStr">
        <is>
          <t>Portugal</t>
        </is>
      </c>
      <c r="H1382" s="40" t="n">
        <v>16</v>
      </c>
      <c r="I1382" s="40" t="inlineStr">
        <is>
          <t>Start Search</t>
        </is>
      </c>
      <c r="J1382" s="40" t="inlineStr">
        <is>
          <t>1-23 August 2026</t>
        </is>
      </c>
      <c r="K1382" s="55" t="n">
        <v>185</v>
      </c>
      <c r="L1382" s="40" t="inlineStr">
        <is>
          <t>Completeness only</t>
        </is>
      </c>
      <c r="M1382" s="40">
        <f>IF(Countries!J359="","STILL MISSING","Filled ✓")</f>
        <v/>
      </c>
    </row>
    <row r="1383">
      <c r="A1383" s="56" t="inlineStr">
        <is>
          <t>Countries</t>
        </is>
      </c>
      <c r="B1383" s="56" t="inlineStr">
        <is>
          <t>AD340</t>
        </is>
      </c>
      <c r="C1383" s="56" t="n">
        <v>340</v>
      </c>
      <c r="D1383" s="56" t="inlineStr">
        <is>
          <t>Route page</t>
        </is>
      </c>
      <c r="E1383" s="56" t="inlineStr">
        <is>
          <t>Paid Search</t>
        </is>
      </c>
      <c r="F1383" s="56" t="inlineStr">
        <is>
          <t>Mobile</t>
        </is>
      </c>
      <c r="G1383" s="56" t="inlineStr">
        <is>
          <t>Portugal</t>
        </is>
      </c>
      <c r="H1383" s="56" t="n">
        <v>16</v>
      </c>
      <c r="I1383" s="56" t="inlineStr">
        <is>
          <t>Add to cart</t>
        </is>
      </c>
      <c r="J1383" s="56" t="inlineStr">
        <is>
          <t>1-23 August 2025</t>
        </is>
      </c>
      <c r="K1383" s="57" t="n">
        <v>414</v>
      </c>
      <c r="L1383" s="56" t="inlineStr">
        <is>
          <t>Completeness only</t>
        </is>
      </c>
      <c r="M1383" s="40">
        <f>IF(Countries!AD340="","STILL MISSING","Filled ✓")</f>
        <v/>
      </c>
    </row>
    <row r="1384">
      <c r="A1384" s="40" t="inlineStr">
        <is>
          <t>Countries</t>
        </is>
      </c>
      <c r="B1384" s="40" t="inlineStr">
        <is>
          <t>AE340</t>
        </is>
      </c>
      <c r="C1384" s="40" t="n">
        <v>340</v>
      </c>
      <c r="D1384" s="40" t="inlineStr">
        <is>
          <t>Route page</t>
        </is>
      </c>
      <c r="E1384" s="40" t="inlineStr">
        <is>
          <t>Paid Search</t>
        </is>
      </c>
      <c r="F1384" s="40" t="inlineStr">
        <is>
          <t>Mobile</t>
        </is>
      </c>
      <c r="G1384" s="40" t="inlineStr">
        <is>
          <t>Portugal</t>
        </is>
      </c>
      <c r="H1384" s="40" t="n">
        <v>16</v>
      </c>
      <c r="I1384" s="40" t="inlineStr">
        <is>
          <t>Add to cart</t>
        </is>
      </c>
      <c r="J1384" s="40" t="inlineStr">
        <is>
          <t>1-23 August 2026</t>
        </is>
      </c>
      <c r="K1384" s="55" t="n">
        <v>414</v>
      </c>
      <c r="L1384" s="40" t="inlineStr">
        <is>
          <t>Completeness only</t>
        </is>
      </c>
      <c r="M1384" s="40">
        <f>IF(Countries!AE340="","STILL MISSING","Filled ✓")</f>
        <v/>
      </c>
    </row>
    <row r="1385">
      <c r="A1385" s="56" t="inlineStr">
        <is>
          <t>Countries</t>
        </is>
      </c>
      <c r="B1385" s="56" t="inlineStr">
        <is>
          <t>AK340</t>
        </is>
      </c>
      <c r="C1385" s="56" t="n">
        <v>340</v>
      </c>
      <c r="D1385" s="56" t="inlineStr">
        <is>
          <t>Route page</t>
        </is>
      </c>
      <c r="E1385" s="56" t="inlineStr">
        <is>
          <t>Paid Search</t>
        </is>
      </c>
      <c r="F1385" s="56" t="inlineStr">
        <is>
          <t>Mobile</t>
        </is>
      </c>
      <c r="G1385" s="56" t="inlineStr">
        <is>
          <t>Portugal</t>
        </is>
      </c>
      <c r="H1385" s="56" t="n">
        <v>16</v>
      </c>
      <c r="I1385" s="56" t="inlineStr">
        <is>
          <t>Begin checkout</t>
        </is>
      </c>
      <c r="J1385" s="56" t="inlineStr">
        <is>
          <t>1-23 August 2025</t>
        </is>
      </c>
      <c r="K1385" s="57" t="n">
        <v>414</v>
      </c>
      <c r="L1385" s="56" t="inlineStr">
        <is>
          <t>Completeness only</t>
        </is>
      </c>
      <c r="M1385" s="40">
        <f>IF(Countries!AK340="","STILL MISSING","Filled ✓")</f>
        <v/>
      </c>
    </row>
    <row r="1386">
      <c r="A1386" s="40" t="inlineStr">
        <is>
          <t>Countries</t>
        </is>
      </c>
      <c r="B1386" s="40" t="inlineStr">
        <is>
          <t>AL340</t>
        </is>
      </c>
      <c r="C1386" s="40" t="n">
        <v>340</v>
      </c>
      <c r="D1386" s="40" t="inlineStr">
        <is>
          <t>Route page</t>
        </is>
      </c>
      <c r="E1386" s="40" t="inlineStr">
        <is>
          <t>Paid Search</t>
        </is>
      </c>
      <c r="F1386" s="40" t="inlineStr">
        <is>
          <t>Mobile</t>
        </is>
      </c>
      <c r="G1386" s="40" t="inlineStr">
        <is>
          <t>Portugal</t>
        </is>
      </c>
      <c r="H1386" s="40" t="n">
        <v>16</v>
      </c>
      <c r="I1386" s="40" t="inlineStr">
        <is>
          <t>Begin checkout</t>
        </is>
      </c>
      <c r="J1386" s="40" t="inlineStr">
        <is>
          <t>1-23 August 2026</t>
        </is>
      </c>
      <c r="K1386" s="55" t="n">
        <v>414</v>
      </c>
      <c r="L1386" s="40" t="inlineStr">
        <is>
          <t>Completeness only</t>
        </is>
      </c>
      <c r="M1386" s="40">
        <f>IF(Countries!AL340="","STILL MISSING","Filled ✓")</f>
        <v/>
      </c>
    </row>
    <row r="1387">
      <c r="A1387" s="56" t="inlineStr">
        <is>
          <t>Countries</t>
        </is>
      </c>
      <c r="B1387" s="56" t="inlineStr">
        <is>
          <t>AS340</t>
        </is>
      </c>
      <c r="C1387" s="56" t="n">
        <v>340</v>
      </c>
      <c r="D1387" s="56" t="inlineStr">
        <is>
          <t>Route page</t>
        </is>
      </c>
      <c r="E1387" s="56" t="inlineStr">
        <is>
          <t>Paid Search</t>
        </is>
      </c>
      <c r="F1387" s="56" t="inlineStr">
        <is>
          <t>Mobile</t>
        </is>
      </c>
      <c r="G1387" s="56" t="inlineStr">
        <is>
          <t>Portugal</t>
        </is>
      </c>
      <c r="H1387" s="56" t="n">
        <v>16</v>
      </c>
      <c r="I1387" s="56" t="inlineStr">
        <is>
          <t>Purchases</t>
        </is>
      </c>
      <c r="J1387" s="56" t="inlineStr">
        <is>
          <t>1-23 August 2026</t>
        </is>
      </c>
      <c r="K1387" s="57" t="n">
        <v>414</v>
      </c>
      <c r="L1387" s="56" t="inlineStr">
        <is>
          <t>Completeness only</t>
        </is>
      </c>
      <c r="M1387" s="40">
        <f>IF(Countries!AS340="","STILL MISSING","Filled ✓")</f>
        <v/>
      </c>
    </row>
    <row r="1388">
      <c r="A1388" s="40" t="inlineStr">
        <is>
          <t>Countries</t>
        </is>
      </c>
      <c r="B1388" s="40" t="inlineStr">
        <is>
          <t>X340</t>
        </is>
      </c>
      <c r="C1388" s="40" t="n">
        <v>340</v>
      </c>
      <c r="D1388" s="40" t="inlineStr">
        <is>
          <t>Route page</t>
        </is>
      </c>
      <c r="E1388" s="40" t="inlineStr">
        <is>
          <t>Paid Search</t>
        </is>
      </c>
      <c r="F1388" s="40" t="inlineStr">
        <is>
          <t>Mobile</t>
        </is>
      </c>
      <c r="G1388" s="40" t="inlineStr">
        <is>
          <t>Portugal</t>
        </is>
      </c>
      <c r="H1388" s="40" t="n">
        <v>16</v>
      </c>
      <c r="I1388" s="40" t="inlineStr">
        <is>
          <t>Select item</t>
        </is>
      </c>
      <c r="J1388" s="40" t="inlineStr">
        <is>
          <t>1-23 August 2026</t>
        </is>
      </c>
      <c r="K1388" s="55" t="n">
        <v>414</v>
      </c>
      <c r="L1388" s="40" t="inlineStr">
        <is>
          <t>Completeness only</t>
        </is>
      </c>
      <c r="M1388" s="40">
        <f>IF(Countries!X340="","STILL MISSING","Filled ✓")</f>
        <v/>
      </c>
    </row>
    <row r="1389">
      <c r="A1389" s="56" t="inlineStr">
        <is>
          <t>Countries</t>
        </is>
      </c>
      <c r="B1389" s="56" t="inlineStr">
        <is>
          <t>J340</t>
        </is>
      </c>
      <c r="C1389" s="56" t="n">
        <v>340</v>
      </c>
      <c r="D1389" s="56" t="inlineStr">
        <is>
          <t>Route page</t>
        </is>
      </c>
      <c r="E1389" s="56" t="inlineStr">
        <is>
          <t>Paid Search</t>
        </is>
      </c>
      <c r="F1389" s="56" t="inlineStr">
        <is>
          <t>Mobile</t>
        </is>
      </c>
      <c r="G1389" s="56" t="inlineStr">
        <is>
          <t>Portugal</t>
        </is>
      </c>
      <c r="H1389" s="56" t="n">
        <v>16</v>
      </c>
      <c r="I1389" s="56" t="inlineStr">
        <is>
          <t>Start Search</t>
        </is>
      </c>
      <c r="J1389" s="56" t="inlineStr">
        <is>
          <t>1-23 August 2026</t>
        </is>
      </c>
      <c r="K1389" s="57" t="n">
        <v>414</v>
      </c>
      <c r="L1389" s="56" t="inlineStr">
        <is>
          <t>Completeness only</t>
        </is>
      </c>
      <c r="M1389" s="40">
        <f>IF(Countries!J340="","STILL MISSING","Filled ✓")</f>
        <v/>
      </c>
    </row>
    <row r="1390">
      <c r="A1390" s="40" t="inlineStr">
        <is>
          <t>Countries</t>
        </is>
      </c>
      <c r="B1390" s="40" t="inlineStr">
        <is>
          <t>AD426</t>
        </is>
      </c>
      <c r="C1390" s="40" t="n">
        <v>426</v>
      </c>
      <c r="D1390" s="40" t="inlineStr">
        <is>
          <t>Route page</t>
        </is>
      </c>
      <c r="E1390" s="40" t="inlineStr">
        <is>
          <t>Direct</t>
        </is>
      </c>
      <c r="F1390" s="40" t="inlineStr">
        <is>
          <t>Desktop</t>
        </is>
      </c>
      <c r="G1390" s="40" t="inlineStr">
        <is>
          <t>Portugal</t>
        </is>
      </c>
      <c r="H1390" s="40" t="n">
        <v>16</v>
      </c>
      <c r="I1390" s="40" t="inlineStr">
        <is>
          <t>Add to cart</t>
        </is>
      </c>
      <c r="J1390" s="40" t="inlineStr">
        <is>
          <t>1-23 August 2025</t>
        </is>
      </c>
      <c r="K1390" s="55" t="n">
        <v>116</v>
      </c>
      <c r="L1390" s="40" t="inlineStr">
        <is>
          <t>Completeness only</t>
        </is>
      </c>
      <c r="M1390" s="40">
        <f>IF(Countries!AD426="","STILL MISSING","Filled ✓")</f>
        <v/>
      </c>
    </row>
    <row r="1391">
      <c r="A1391" s="56" t="inlineStr">
        <is>
          <t>Countries</t>
        </is>
      </c>
      <c r="B1391" s="56" t="inlineStr">
        <is>
          <t>AE426</t>
        </is>
      </c>
      <c r="C1391" s="56" t="n">
        <v>426</v>
      </c>
      <c r="D1391" s="56" t="inlineStr">
        <is>
          <t>Route page</t>
        </is>
      </c>
      <c r="E1391" s="56" t="inlineStr">
        <is>
          <t>Direct</t>
        </is>
      </c>
      <c r="F1391" s="56" t="inlineStr">
        <is>
          <t>Desktop</t>
        </is>
      </c>
      <c r="G1391" s="56" t="inlineStr">
        <is>
          <t>Portugal</t>
        </is>
      </c>
      <c r="H1391" s="56" t="n">
        <v>16</v>
      </c>
      <c r="I1391" s="56" t="inlineStr">
        <is>
          <t>Add to cart</t>
        </is>
      </c>
      <c r="J1391" s="56" t="inlineStr">
        <is>
          <t>1-23 August 2026</t>
        </is>
      </c>
      <c r="K1391" s="57" t="n">
        <v>116</v>
      </c>
      <c r="L1391" s="56" t="inlineStr">
        <is>
          <t>Completeness only</t>
        </is>
      </c>
      <c r="M1391" s="40">
        <f>IF(Countries!AE426="","STILL MISSING","Filled ✓")</f>
        <v/>
      </c>
    </row>
    <row r="1392">
      <c r="A1392" s="40" t="inlineStr">
        <is>
          <t>Countries</t>
        </is>
      </c>
      <c r="B1392" s="40" t="inlineStr">
        <is>
          <t>AK426</t>
        </is>
      </c>
      <c r="C1392" s="40" t="n">
        <v>426</v>
      </c>
      <c r="D1392" s="40" t="inlineStr">
        <is>
          <t>Route page</t>
        </is>
      </c>
      <c r="E1392" s="40" t="inlineStr">
        <is>
          <t>Direct</t>
        </is>
      </c>
      <c r="F1392" s="40" t="inlineStr">
        <is>
          <t>Desktop</t>
        </is>
      </c>
      <c r="G1392" s="40" t="inlineStr">
        <is>
          <t>Portugal</t>
        </is>
      </c>
      <c r="H1392" s="40" t="n">
        <v>16</v>
      </c>
      <c r="I1392" s="40" t="inlineStr">
        <is>
          <t>Begin checkout</t>
        </is>
      </c>
      <c r="J1392" s="40" t="inlineStr">
        <is>
          <t>1-23 August 2025</t>
        </is>
      </c>
      <c r="K1392" s="55" t="n">
        <v>116</v>
      </c>
      <c r="L1392" s="40" t="inlineStr">
        <is>
          <t>Completeness only</t>
        </is>
      </c>
      <c r="M1392" s="40">
        <f>IF(Countries!AK426="","STILL MISSING","Filled ✓")</f>
        <v/>
      </c>
    </row>
    <row r="1393">
      <c r="A1393" s="56" t="inlineStr">
        <is>
          <t>Countries</t>
        </is>
      </c>
      <c r="B1393" s="56" t="inlineStr">
        <is>
          <t>AL426</t>
        </is>
      </c>
      <c r="C1393" s="56" t="n">
        <v>426</v>
      </c>
      <c r="D1393" s="56" t="inlineStr">
        <is>
          <t>Route page</t>
        </is>
      </c>
      <c r="E1393" s="56" t="inlineStr">
        <is>
          <t>Direct</t>
        </is>
      </c>
      <c r="F1393" s="56" t="inlineStr">
        <is>
          <t>Desktop</t>
        </is>
      </c>
      <c r="G1393" s="56" t="inlineStr">
        <is>
          <t>Portugal</t>
        </is>
      </c>
      <c r="H1393" s="56" t="n">
        <v>16</v>
      </c>
      <c r="I1393" s="56" t="inlineStr">
        <is>
          <t>Begin checkout</t>
        </is>
      </c>
      <c r="J1393" s="56" t="inlineStr">
        <is>
          <t>1-23 August 2026</t>
        </is>
      </c>
      <c r="K1393" s="57" t="n">
        <v>116</v>
      </c>
      <c r="L1393" s="56" t="inlineStr">
        <is>
          <t>Completeness only</t>
        </is>
      </c>
      <c r="M1393" s="40">
        <f>IF(Countries!AL426="","STILL MISSING","Filled ✓")</f>
        <v/>
      </c>
    </row>
    <row r="1394">
      <c r="A1394" s="40" t="inlineStr">
        <is>
          <t>Countries</t>
        </is>
      </c>
      <c r="B1394" s="40" t="inlineStr">
        <is>
          <t>AD412</t>
        </is>
      </c>
      <c r="C1394" s="40" t="n">
        <v>412</v>
      </c>
      <c r="D1394" s="40" t="inlineStr">
        <is>
          <t>Route page</t>
        </is>
      </c>
      <c r="E1394" s="40" t="inlineStr">
        <is>
          <t>Direct</t>
        </is>
      </c>
      <c r="F1394" s="40" t="inlineStr">
        <is>
          <t>Mobile</t>
        </is>
      </c>
      <c r="G1394" s="40" t="inlineStr">
        <is>
          <t>Portugal</t>
        </is>
      </c>
      <c r="H1394" s="40" t="n">
        <v>16</v>
      </c>
      <c r="I1394" s="40" t="inlineStr">
        <is>
          <t>Add to cart</t>
        </is>
      </c>
      <c r="J1394" s="40" t="inlineStr">
        <is>
          <t>1-23 August 2025</t>
        </is>
      </c>
      <c r="K1394" s="55" t="n">
        <v>27</v>
      </c>
      <c r="L1394" s="40" t="inlineStr">
        <is>
          <t>Completeness only</t>
        </is>
      </c>
      <c r="M1394" s="40">
        <f>IF(Countries!AD412="","STILL MISSING","Filled ✓")</f>
        <v/>
      </c>
    </row>
    <row r="1395">
      <c r="A1395" s="56" t="inlineStr">
        <is>
          <t>Countries</t>
        </is>
      </c>
      <c r="B1395" s="56" t="inlineStr">
        <is>
          <t>AE412</t>
        </is>
      </c>
      <c r="C1395" s="56" t="n">
        <v>412</v>
      </c>
      <c r="D1395" s="56" t="inlineStr">
        <is>
          <t>Route page</t>
        </is>
      </c>
      <c r="E1395" s="56" t="inlineStr">
        <is>
          <t>Direct</t>
        </is>
      </c>
      <c r="F1395" s="56" t="inlineStr">
        <is>
          <t>Mobile</t>
        </is>
      </c>
      <c r="G1395" s="56" t="inlineStr">
        <is>
          <t>Portugal</t>
        </is>
      </c>
      <c r="H1395" s="56" t="n">
        <v>16</v>
      </c>
      <c r="I1395" s="56" t="inlineStr">
        <is>
          <t>Add to cart</t>
        </is>
      </c>
      <c r="J1395" s="56" t="inlineStr">
        <is>
          <t>1-23 August 2026</t>
        </is>
      </c>
      <c r="K1395" s="57" t="n">
        <v>27</v>
      </c>
      <c r="L1395" s="56" t="inlineStr">
        <is>
          <t>Completeness only</t>
        </is>
      </c>
      <c r="M1395" s="40">
        <f>IF(Countries!AE412="","STILL MISSING","Filled ✓")</f>
        <v/>
      </c>
    </row>
    <row r="1396">
      <c r="A1396" s="40" t="inlineStr">
        <is>
          <t>Countries</t>
        </is>
      </c>
      <c r="B1396" s="40" t="inlineStr">
        <is>
          <t>AK412</t>
        </is>
      </c>
      <c r="C1396" s="40" t="n">
        <v>412</v>
      </c>
      <c r="D1396" s="40" t="inlineStr">
        <is>
          <t>Route page</t>
        </is>
      </c>
      <c r="E1396" s="40" t="inlineStr">
        <is>
          <t>Direct</t>
        </is>
      </c>
      <c r="F1396" s="40" t="inlineStr">
        <is>
          <t>Mobile</t>
        </is>
      </c>
      <c r="G1396" s="40" t="inlineStr">
        <is>
          <t>Portugal</t>
        </is>
      </c>
      <c r="H1396" s="40" t="n">
        <v>16</v>
      </c>
      <c r="I1396" s="40" t="inlineStr">
        <is>
          <t>Begin checkout</t>
        </is>
      </c>
      <c r="J1396" s="40" t="inlineStr">
        <is>
          <t>1-23 August 2025</t>
        </is>
      </c>
      <c r="K1396" s="55" t="n">
        <v>27</v>
      </c>
      <c r="L1396" s="40" t="inlineStr">
        <is>
          <t>Completeness only</t>
        </is>
      </c>
      <c r="M1396" s="40">
        <f>IF(Countries!AK412="","STILL MISSING","Filled ✓")</f>
        <v/>
      </c>
    </row>
    <row r="1397">
      <c r="A1397" s="56" t="inlineStr">
        <is>
          <t>Countries</t>
        </is>
      </c>
      <c r="B1397" s="56" t="inlineStr">
        <is>
          <t>AL412</t>
        </is>
      </c>
      <c r="C1397" s="56" t="n">
        <v>412</v>
      </c>
      <c r="D1397" s="56" t="inlineStr">
        <is>
          <t>Route page</t>
        </is>
      </c>
      <c r="E1397" s="56" t="inlineStr">
        <is>
          <t>Direct</t>
        </is>
      </c>
      <c r="F1397" s="56" t="inlineStr">
        <is>
          <t>Mobile</t>
        </is>
      </c>
      <c r="G1397" s="56" t="inlineStr">
        <is>
          <t>Portugal</t>
        </is>
      </c>
      <c r="H1397" s="56" t="n">
        <v>16</v>
      </c>
      <c r="I1397" s="56" t="inlineStr">
        <is>
          <t>Begin checkout</t>
        </is>
      </c>
      <c r="J1397" s="56" t="inlineStr">
        <is>
          <t>1-23 August 2026</t>
        </is>
      </c>
      <c r="K1397" s="57" t="n">
        <v>27</v>
      </c>
      <c r="L1397" s="56" t="inlineStr">
        <is>
          <t>Completeness only</t>
        </is>
      </c>
      <c r="M1397" s="40">
        <f>IF(Countries!AL412="","STILL MISSING","Filled ✓")</f>
        <v/>
      </c>
    </row>
    <row r="1398">
      <c r="A1398" s="40" t="inlineStr">
        <is>
          <t>Countries</t>
        </is>
      </c>
      <c r="B1398" s="40" t="inlineStr">
        <is>
          <t>AR412</t>
        </is>
      </c>
      <c r="C1398" s="40" t="n">
        <v>412</v>
      </c>
      <c r="D1398" s="40" t="inlineStr">
        <is>
          <t>Route page</t>
        </is>
      </c>
      <c r="E1398" s="40" t="inlineStr">
        <is>
          <t>Direct</t>
        </is>
      </c>
      <c r="F1398" s="40" t="inlineStr">
        <is>
          <t>Mobile</t>
        </is>
      </c>
      <c r="G1398" s="40" t="inlineStr">
        <is>
          <t>Portugal</t>
        </is>
      </c>
      <c r="H1398" s="40" t="n">
        <v>16</v>
      </c>
      <c r="I1398" s="40" t="inlineStr">
        <is>
          <t>Purchases</t>
        </is>
      </c>
      <c r="J1398" s="40" t="inlineStr">
        <is>
          <t>1-23 August 2025</t>
        </is>
      </c>
      <c r="K1398" s="55" t="n">
        <v>27</v>
      </c>
      <c r="L1398" s="40" t="inlineStr">
        <is>
          <t>Completeness only</t>
        </is>
      </c>
      <c r="M1398" s="40">
        <f>IF(Countries!AR412="","STILL MISSING","Filled ✓")</f>
        <v/>
      </c>
    </row>
    <row r="1399">
      <c r="A1399" s="56" t="inlineStr">
        <is>
          <t>Countries</t>
        </is>
      </c>
      <c r="B1399" s="56" t="inlineStr">
        <is>
          <t>W412</t>
        </is>
      </c>
      <c r="C1399" s="56" t="n">
        <v>412</v>
      </c>
      <c r="D1399" s="56" t="inlineStr">
        <is>
          <t>Route page</t>
        </is>
      </c>
      <c r="E1399" s="56" t="inlineStr">
        <is>
          <t>Direct</t>
        </is>
      </c>
      <c r="F1399" s="56" t="inlineStr">
        <is>
          <t>Mobile</t>
        </is>
      </c>
      <c r="G1399" s="56" t="inlineStr">
        <is>
          <t>Portugal</t>
        </is>
      </c>
      <c r="H1399" s="56" t="n">
        <v>16</v>
      </c>
      <c r="I1399" s="56" t="inlineStr">
        <is>
          <t>Select item</t>
        </is>
      </c>
      <c r="J1399" s="56" t="inlineStr">
        <is>
          <t>1-23 August 2025</t>
        </is>
      </c>
      <c r="K1399" s="57" t="n">
        <v>27</v>
      </c>
      <c r="L1399" s="56" t="inlineStr">
        <is>
          <t>Completeness only</t>
        </is>
      </c>
      <c r="M1399" s="40">
        <f>IF(Countries!W412="","STILL MISSING","Filled ✓")</f>
        <v/>
      </c>
    </row>
    <row r="1400">
      <c r="A1400" s="40" t="inlineStr">
        <is>
          <t>Countries</t>
        </is>
      </c>
      <c r="B1400" s="40" t="inlineStr">
        <is>
          <t>E412</t>
        </is>
      </c>
      <c r="C1400" s="40" t="n">
        <v>412</v>
      </c>
      <c r="D1400" s="40" t="inlineStr">
        <is>
          <t>Route page</t>
        </is>
      </c>
      <c r="E1400" s="40" t="inlineStr">
        <is>
          <t>Direct</t>
        </is>
      </c>
      <c r="F1400" s="40" t="inlineStr">
        <is>
          <t>Mobile</t>
        </is>
      </c>
      <c r="G1400" s="40" t="inlineStr">
        <is>
          <t>Portugal</t>
        </is>
      </c>
      <c r="H1400" s="40" t="n">
        <v>16</v>
      </c>
      <c r="I1400" s="40" t="inlineStr">
        <is>
          <t>Sessions</t>
        </is>
      </c>
      <c r="J1400" s="40" t="inlineStr">
        <is>
          <t>1-23 August 2025</t>
        </is>
      </c>
      <c r="K1400" s="55" t="n">
        <v>27</v>
      </c>
      <c r="L1400" s="40" t="inlineStr">
        <is>
          <t>Completeness only</t>
        </is>
      </c>
      <c r="M1400" s="40">
        <f>IF(Countries!E412="","STILL MISSING","Filled ✓")</f>
        <v/>
      </c>
    </row>
    <row r="1401">
      <c r="A1401" s="56" t="inlineStr">
        <is>
          <t>Countries</t>
        </is>
      </c>
      <c r="B1401" s="56" t="inlineStr">
        <is>
          <t>I412</t>
        </is>
      </c>
      <c r="C1401" s="56" t="n">
        <v>412</v>
      </c>
      <c r="D1401" s="56" t="inlineStr">
        <is>
          <t>Route page</t>
        </is>
      </c>
      <c r="E1401" s="56" t="inlineStr">
        <is>
          <t>Direct</t>
        </is>
      </c>
      <c r="F1401" s="56" t="inlineStr">
        <is>
          <t>Mobile</t>
        </is>
      </c>
      <c r="G1401" s="56" t="inlineStr">
        <is>
          <t>Portugal</t>
        </is>
      </c>
      <c r="H1401" s="56" t="n">
        <v>16</v>
      </c>
      <c r="I1401" s="56" t="inlineStr">
        <is>
          <t>Start Search</t>
        </is>
      </c>
      <c r="J1401" s="56" t="inlineStr">
        <is>
          <t>1-23 August 2025</t>
        </is>
      </c>
      <c r="K1401" s="57" t="n">
        <v>27</v>
      </c>
      <c r="L1401" s="56" t="inlineStr">
        <is>
          <t>Completeness only</t>
        </is>
      </c>
      <c r="M1401" s="40">
        <f>IF(Countries!I412="","STILL MISSING","Filled ✓")</f>
        <v/>
      </c>
    </row>
    <row r="1402">
      <c r="A1402" s="40" t="inlineStr">
        <is>
          <t>Countries</t>
        </is>
      </c>
      <c r="B1402" s="40" t="inlineStr">
        <is>
          <t>J412</t>
        </is>
      </c>
      <c r="C1402" s="40" t="n">
        <v>412</v>
      </c>
      <c r="D1402" s="40" t="inlineStr">
        <is>
          <t>Route page</t>
        </is>
      </c>
      <c r="E1402" s="40" t="inlineStr">
        <is>
          <t>Direct</t>
        </is>
      </c>
      <c r="F1402" s="40" t="inlineStr">
        <is>
          <t>Mobile</t>
        </is>
      </c>
      <c r="G1402" s="40" t="inlineStr">
        <is>
          <t>Portugal</t>
        </is>
      </c>
      <c r="H1402" s="40" t="n">
        <v>16</v>
      </c>
      <c r="I1402" s="40" t="inlineStr">
        <is>
          <t>Start Search</t>
        </is>
      </c>
      <c r="J1402" s="40" t="inlineStr">
        <is>
          <t>1-23 August 2026</t>
        </is>
      </c>
      <c r="K1402" s="55" t="n">
        <v>27</v>
      </c>
      <c r="L1402" s="40" t="inlineStr">
        <is>
          <t>Completeness only</t>
        </is>
      </c>
      <c r="M1402" s="40">
        <f>IF(Countries!J412="","STILL MISSING","Filled ✓")</f>
        <v/>
      </c>
    </row>
    <row r="1403">
      <c r="A1403" s="56" t="inlineStr">
        <is>
          <t>Countries</t>
        </is>
      </c>
      <c r="B1403" s="56" t="inlineStr">
        <is>
          <t>AD48</t>
        </is>
      </c>
      <c r="C1403" s="56" t="n">
        <v>48</v>
      </c>
      <c r="D1403" s="56" t="inlineStr">
        <is>
          <t>All landing pages</t>
        </is>
      </c>
      <c r="E1403" s="56" t="inlineStr">
        <is>
          <t>Organic</t>
        </is>
      </c>
      <c r="F1403" s="56" t="inlineStr">
        <is>
          <t>Mobile</t>
        </is>
      </c>
      <c r="G1403" s="56" t="inlineStr">
        <is>
          <t>Türkiye</t>
        </is>
      </c>
      <c r="H1403" s="56" t="n">
        <v>17</v>
      </c>
      <c r="I1403" s="56" t="inlineStr">
        <is>
          <t>Add to cart</t>
        </is>
      </c>
      <c r="J1403" s="56" t="inlineStr">
        <is>
          <t>1-23 August 2025</t>
        </is>
      </c>
      <c r="K1403" s="57" t="n">
        <v>962</v>
      </c>
      <c r="L1403" s="56" t="inlineStr">
        <is>
          <t>Completeness only</t>
        </is>
      </c>
      <c r="M1403" s="40">
        <f>IF(Countries!AD48="","STILL MISSING","Filled ✓")</f>
        <v/>
      </c>
    </row>
    <row r="1404">
      <c r="A1404" s="40" t="inlineStr">
        <is>
          <t>Countries</t>
        </is>
      </c>
      <c r="B1404" s="40" t="inlineStr">
        <is>
          <t>AE48</t>
        </is>
      </c>
      <c r="C1404" s="40" t="n">
        <v>48</v>
      </c>
      <c r="D1404" s="40" t="inlineStr">
        <is>
          <t>All landing pages</t>
        </is>
      </c>
      <c r="E1404" s="40" t="inlineStr">
        <is>
          <t>Organic</t>
        </is>
      </c>
      <c r="F1404" s="40" t="inlineStr">
        <is>
          <t>Mobile</t>
        </is>
      </c>
      <c r="G1404" s="40" t="inlineStr">
        <is>
          <t>Türkiye</t>
        </is>
      </c>
      <c r="H1404" s="40" t="n">
        <v>17</v>
      </c>
      <c r="I1404" s="40" t="inlineStr">
        <is>
          <t>Add to cart</t>
        </is>
      </c>
      <c r="J1404" s="40" t="inlineStr">
        <is>
          <t>1-23 August 2026</t>
        </is>
      </c>
      <c r="K1404" s="55" t="n">
        <v>962</v>
      </c>
      <c r="L1404" s="40" t="inlineStr">
        <is>
          <t>Completeness only</t>
        </is>
      </c>
      <c r="M1404" s="40">
        <f>IF(Countries!AE48="","STILL MISSING","Filled ✓")</f>
        <v/>
      </c>
    </row>
    <row r="1405">
      <c r="A1405" s="56" t="inlineStr">
        <is>
          <t>Countries</t>
        </is>
      </c>
      <c r="B1405" s="56" t="inlineStr">
        <is>
          <t>AK48</t>
        </is>
      </c>
      <c r="C1405" s="56" t="n">
        <v>48</v>
      </c>
      <c r="D1405" s="56" t="inlineStr">
        <is>
          <t>All landing pages</t>
        </is>
      </c>
      <c r="E1405" s="56" t="inlineStr">
        <is>
          <t>Organic</t>
        </is>
      </c>
      <c r="F1405" s="56" t="inlineStr">
        <is>
          <t>Mobile</t>
        </is>
      </c>
      <c r="G1405" s="56" t="inlineStr">
        <is>
          <t>Türkiye</t>
        </is>
      </c>
      <c r="H1405" s="56" t="n">
        <v>17</v>
      </c>
      <c r="I1405" s="56" t="inlineStr">
        <is>
          <t>Begin checkout</t>
        </is>
      </c>
      <c r="J1405" s="56" t="inlineStr">
        <is>
          <t>1-23 August 2025</t>
        </is>
      </c>
      <c r="K1405" s="57" t="n">
        <v>962</v>
      </c>
      <c r="L1405" s="56" t="inlineStr">
        <is>
          <t>Completeness only</t>
        </is>
      </c>
      <c r="M1405" s="40">
        <f>IF(Countries!AK48="","STILL MISSING","Filled ✓")</f>
        <v/>
      </c>
    </row>
    <row r="1406">
      <c r="A1406" s="40" t="inlineStr">
        <is>
          <t>Countries</t>
        </is>
      </c>
      <c r="B1406" s="40" t="inlineStr">
        <is>
          <t>AL48</t>
        </is>
      </c>
      <c r="C1406" s="40" t="n">
        <v>48</v>
      </c>
      <c r="D1406" s="40" t="inlineStr">
        <is>
          <t>All landing pages</t>
        </is>
      </c>
      <c r="E1406" s="40" t="inlineStr">
        <is>
          <t>Organic</t>
        </is>
      </c>
      <c r="F1406" s="40" t="inlineStr">
        <is>
          <t>Mobile</t>
        </is>
      </c>
      <c r="G1406" s="40" t="inlineStr">
        <is>
          <t>Türkiye</t>
        </is>
      </c>
      <c r="H1406" s="40" t="n">
        <v>17</v>
      </c>
      <c r="I1406" s="40" t="inlineStr">
        <is>
          <t>Begin checkout</t>
        </is>
      </c>
      <c r="J1406" s="40" t="inlineStr">
        <is>
          <t>1-23 August 2026</t>
        </is>
      </c>
      <c r="K1406" s="55" t="n">
        <v>962</v>
      </c>
      <c r="L1406" s="40" t="inlineStr">
        <is>
          <t>Completeness only</t>
        </is>
      </c>
      <c r="M1406" s="40">
        <f>IF(Countries!AL48="","STILL MISSING","Filled ✓")</f>
        <v/>
      </c>
    </row>
    <row r="1407">
      <c r="A1407" s="56" t="inlineStr">
        <is>
          <t>Countries</t>
        </is>
      </c>
      <c r="B1407" s="56" t="inlineStr">
        <is>
          <t>W48</t>
        </is>
      </c>
      <c r="C1407" s="56" t="n">
        <v>48</v>
      </c>
      <c r="D1407" s="56" t="inlineStr">
        <is>
          <t>All landing pages</t>
        </is>
      </c>
      <c r="E1407" s="56" t="inlineStr">
        <is>
          <t>Organic</t>
        </is>
      </c>
      <c r="F1407" s="56" t="inlineStr">
        <is>
          <t>Mobile</t>
        </is>
      </c>
      <c r="G1407" s="56" t="inlineStr">
        <is>
          <t>Türkiye</t>
        </is>
      </c>
      <c r="H1407" s="56" t="n">
        <v>17</v>
      </c>
      <c r="I1407" s="56" t="inlineStr">
        <is>
          <t>Select item</t>
        </is>
      </c>
      <c r="J1407" s="56" t="inlineStr">
        <is>
          <t>1-23 August 2025</t>
        </is>
      </c>
      <c r="K1407" s="57" t="n">
        <v>962</v>
      </c>
      <c r="L1407" s="56" t="inlineStr">
        <is>
          <t>Completeness only</t>
        </is>
      </c>
      <c r="M1407" s="40">
        <f>IF(Countries!W48="","STILL MISSING","Filled ✓")</f>
        <v/>
      </c>
    </row>
    <row r="1408">
      <c r="A1408" s="40" t="inlineStr">
        <is>
          <t>Countries</t>
        </is>
      </c>
      <c r="B1408" s="40" t="inlineStr">
        <is>
          <t>AD85</t>
        </is>
      </c>
      <c r="C1408" s="40" t="n">
        <v>85</v>
      </c>
      <c r="D1408" s="40" t="inlineStr">
        <is>
          <t>All landing pages</t>
        </is>
      </c>
      <c r="E1408" s="40" t="inlineStr">
        <is>
          <t>Direct</t>
        </is>
      </c>
      <c r="F1408" s="40" t="inlineStr">
        <is>
          <t>Mobile</t>
        </is>
      </c>
      <c r="G1408" s="40" t="inlineStr">
        <is>
          <t>Türkiye</t>
        </is>
      </c>
      <c r="H1408" s="40" t="n">
        <v>17</v>
      </c>
      <c r="I1408" s="40" t="inlineStr">
        <is>
          <t>Add to cart</t>
        </is>
      </c>
      <c r="J1408" s="40" t="inlineStr">
        <is>
          <t>1-23 August 2025</t>
        </is>
      </c>
      <c r="K1408" s="55" t="n">
        <v>319</v>
      </c>
      <c r="L1408" s="40" t="inlineStr">
        <is>
          <t>Completeness only</t>
        </is>
      </c>
      <c r="M1408" s="40">
        <f>IF(Countries!AD85="","STILL MISSING","Filled ✓")</f>
        <v/>
      </c>
    </row>
    <row r="1409">
      <c r="A1409" s="56" t="inlineStr">
        <is>
          <t>Countries</t>
        </is>
      </c>
      <c r="B1409" s="56" t="inlineStr">
        <is>
          <t>AE85</t>
        </is>
      </c>
      <c r="C1409" s="56" t="n">
        <v>85</v>
      </c>
      <c r="D1409" s="56" t="inlineStr">
        <is>
          <t>All landing pages</t>
        </is>
      </c>
      <c r="E1409" s="56" t="inlineStr">
        <is>
          <t>Direct</t>
        </is>
      </c>
      <c r="F1409" s="56" t="inlineStr">
        <is>
          <t>Mobile</t>
        </is>
      </c>
      <c r="G1409" s="56" t="inlineStr">
        <is>
          <t>Türkiye</t>
        </is>
      </c>
      <c r="H1409" s="56" t="n">
        <v>17</v>
      </c>
      <c r="I1409" s="56" t="inlineStr">
        <is>
          <t>Add to cart</t>
        </is>
      </c>
      <c r="J1409" s="56" t="inlineStr">
        <is>
          <t>1-23 August 2026</t>
        </is>
      </c>
      <c r="K1409" s="57" t="n">
        <v>319</v>
      </c>
      <c r="L1409" s="56" t="inlineStr">
        <is>
          <t>Completeness only</t>
        </is>
      </c>
      <c r="M1409" s="40">
        <f>IF(Countries!AE85="","STILL MISSING","Filled ✓")</f>
        <v/>
      </c>
    </row>
    <row r="1410">
      <c r="A1410" s="40" t="inlineStr">
        <is>
          <t>Countries</t>
        </is>
      </c>
      <c r="B1410" s="40" t="inlineStr">
        <is>
          <t>AK85</t>
        </is>
      </c>
      <c r="C1410" s="40" t="n">
        <v>85</v>
      </c>
      <c r="D1410" s="40" t="inlineStr">
        <is>
          <t>All landing pages</t>
        </is>
      </c>
      <c r="E1410" s="40" t="inlineStr">
        <is>
          <t>Direct</t>
        </is>
      </c>
      <c r="F1410" s="40" t="inlineStr">
        <is>
          <t>Mobile</t>
        </is>
      </c>
      <c r="G1410" s="40" t="inlineStr">
        <is>
          <t>Türkiye</t>
        </is>
      </c>
      <c r="H1410" s="40" t="n">
        <v>17</v>
      </c>
      <c r="I1410" s="40" t="inlineStr">
        <is>
          <t>Begin checkout</t>
        </is>
      </c>
      <c r="J1410" s="40" t="inlineStr">
        <is>
          <t>1-23 August 2025</t>
        </is>
      </c>
      <c r="K1410" s="55" t="n">
        <v>319</v>
      </c>
      <c r="L1410" s="40" t="inlineStr">
        <is>
          <t>Completeness only</t>
        </is>
      </c>
      <c r="M1410" s="40">
        <f>IF(Countries!AK85="","STILL MISSING","Filled ✓")</f>
        <v/>
      </c>
    </row>
    <row r="1411">
      <c r="A1411" s="56" t="inlineStr">
        <is>
          <t>Countries</t>
        </is>
      </c>
      <c r="B1411" s="56" t="inlineStr">
        <is>
          <t>AL85</t>
        </is>
      </c>
      <c r="C1411" s="56" t="n">
        <v>85</v>
      </c>
      <c r="D1411" s="56" t="inlineStr">
        <is>
          <t>All landing pages</t>
        </is>
      </c>
      <c r="E1411" s="56" t="inlineStr">
        <is>
          <t>Direct</t>
        </is>
      </c>
      <c r="F1411" s="56" t="inlineStr">
        <is>
          <t>Mobile</t>
        </is>
      </c>
      <c r="G1411" s="56" t="inlineStr">
        <is>
          <t>Türkiye</t>
        </is>
      </c>
      <c r="H1411" s="56" t="n">
        <v>17</v>
      </c>
      <c r="I1411" s="56" t="inlineStr">
        <is>
          <t>Begin checkout</t>
        </is>
      </c>
      <c r="J1411" s="56" t="inlineStr">
        <is>
          <t>1-23 August 2026</t>
        </is>
      </c>
      <c r="K1411" s="57" t="n">
        <v>319</v>
      </c>
      <c r="L1411" s="56" t="inlineStr">
        <is>
          <t>Completeness only</t>
        </is>
      </c>
      <c r="M1411" s="40">
        <f>IF(Countries!AL85="","STILL MISSING","Filled ✓")</f>
        <v/>
      </c>
    </row>
    <row r="1412">
      <c r="A1412" s="40" t="inlineStr">
        <is>
          <t>Countries</t>
        </is>
      </c>
      <c r="B1412" s="40" t="inlineStr">
        <is>
          <t>AD127</t>
        </is>
      </c>
      <c r="C1412" s="40" t="n">
        <v>127</v>
      </c>
      <c r="D1412" s="40" t="inlineStr">
        <is>
          <t>Home page</t>
        </is>
      </c>
      <c r="E1412" s="40" t="inlineStr">
        <is>
          <t>Paid Search</t>
        </is>
      </c>
      <c r="F1412" s="40" t="inlineStr">
        <is>
          <t>Mobile</t>
        </is>
      </c>
      <c r="G1412" s="40" t="inlineStr">
        <is>
          <t>Türkiye</t>
        </is>
      </c>
      <c r="H1412" s="40" t="n">
        <v>17</v>
      </c>
      <c r="I1412" s="40" t="inlineStr">
        <is>
          <t>Add to cart</t>
        </is>
      </c>
      <c r="J1412" s="40" t="inlineStr">
        <is>
          <t>1-23 August 2025</t>
        </is>
      </c>
      <c r="K1412" s="55" t="n">
        <v>589</v>
      </c>
      <c r="L1412" s="40" t="inlineStr">
        <is>
          <t>Completeness only</t>
        </is>
      </c>
      <c r="M1412" s="40">
        <f>IF(Countries!AD127="","STILL MISSING","Filled ✓")</f>
        <v/>
      </c>
    </row>
    <row r="1413">
      <c r="A1413" s="56" t="inlineStr">
        <is>
          <t>Countries</t>
        </is>
      </c>
      <c r="B1413" s="56" t="inlineStr">
        <is>
          <t>AE127</t>
        </is>
      </c>
      <c r="C1413" s="56" t="n">
        <v>127</v>
      </c>
      <c r="D1413" s="56" t="inlineStr">
        <is>
          <t>Home page</t>
        </is>
      </c>
      <c r="E1413" s="56" t="inlineStr">
        <is>
          <t>Paid Search</t>
        </is>
      </c>
      <c r="F1413" s="56" t="inlineStr">
        <is>
          <t>Mobile</t>
        </is>
      </c>
      <c r="G1413" s="56" t="inlineStr">
        <is>
          <t>Türkiye</t>
        </is>
      </c>
      <c r="H1413" s="56" t="n">
        <v>17</v>
      </c>
      <c r="I1413" s="56" t="inlineStr">
        <is>
          <t>Add to cart</t>
        </is>
      </c>
      <c r="J1413" s="56" t="inlineStr">
        <is>
          <t>1-23 August 2026</t>
        </is>
      </c>
      <c r="K1413" s="57" t="n">
        <v>589</v>
      </c>
      <c r="L1413" s="56" t="inlineStr">
        <is>
          <t>Completeness only</t>
        </is>
      </c>
      <c r="M1413" s="40">
        <f>IF(Countries!AE127="","STILL MISSING","Filled ✓")</f>
        <v/>
      </c>
    </row>
    <row r="1414">
      <c r="A1414" s="40" t="inlineStr">
        <is>
          <t>Countries</t>
        </is>
      </c>
      <c r="B1414" s="40" t="inlineStr">
        <is>
          <t>AK127</t>
        </is>
      </c>
      <c r="C1414" s="40" t="n">
        <v>127</v>
      </c>
      <c r="D1414" s="40" t="inlineStr">
        <is>
          <t>Home page</t>
        </is>
      </c>
      <c r="E1414" s="40" t="inlineStr">
        <is>
          <t>Paid Search</t>
        </is>
      </c>
      <c r="F1414" s="40" t="inlineStr">
        <is>
          <t>Mobile</t>
        </is>
      </c>
      <c r="G1414" s="40" t="inlineStr">
        <is>
          <t>Türkiye</t>
        </is>
      </c>
      <c r="H1414" s="40" t="n">
        <v>17</v>
      </c>
      <c r="I1414" s="40" t="inlineStr">
        <is>
          <t>Begin checkout</t>
        </is>
      </c>
      <c r="J1414" s="40" t="inlineStr">
        <is>
          <t>1-23 August 2025</t>
        </is>
      </c>
      <c r="K1414" s="55" t="n">
        <v>589</v>
      </c>
      <c r="L1414" s="40" t="inlineStr">
        <is>
          <t>Completeness only</t>
        </is>
      </c>
      <c r="M1414" s="40">
        <f>IF(Countries!AK127="","STILL MISSING","Filled ✓")</f>
        <v/>
      </c>
    </row>
    <row r="1415">
      <c r="A1415" s="56" t="inlineStr">
        <is>
          <t>Countries</t>
        </is>
      </c>
      <c r="B1415" s="56" t="inlineStr">
        <is>
          <t>AL127</t>
        </is>
      </c>
      <c r="C1415" s="56" t="n">
        <v>127</v>
      </c>
      <c r="D1415" s="56" t="inlineStr">
        <is>
          <t>Home page</t>
        </is>
      </c>
      <c r="E1415" s="56" t="inlineStr">
        <is>
          <t>Paid Search</t>
        </is>
      </c>
      <c r="F1415" s="56" t="inlineStr">
        <is>
          <t>Mobile</t>
        </is>
      </c>
      <c r="G1415" s="56" t="inlineStr">
        <is>
          <t>Türkiye</t>
        </is>
      </c>
      <c r="H1415" s="56" t="n">
        <v>17</v>
      </c>
      <c r="I1415" s="56" t="inlineStr">
        <is>
          <t>Begin checkout</t>
        </is>
      </c>
      <c r="J1415" s="56" t="inlineStr">
        <is>
          <t>1-23 August 2026</t>
        </is>
      </c>
      <c r="K1415" s="57" t="n">
        <v>589</v>
      </c>
      <c r="L1415" s="56" t="inlineStr">
        <is>
          <t>Completeness only</t>
        </is>
      </c>
      <c r="M1415" s="40">
        <f>IF(Countries!AL127="","STILL MISSING","Filled ✓")</f>
        <v/>
      </c>
    </row>
    <row r="1416">
      <c r="A1416" s="40" t="inlineStr">
        <is>
          <t>Countries</t>
        </is>
      </c>
      <c r="B1416" s="40" t="inlineStr">
        <is>
          <t>AS127</t>
        </is>
      </c>
      <c r="C1416" s="40" t="n">
        <v>127</v>
      </c>
      <c r="D1416" s="40" t="inlineStr">
        <is>
          <t>Home page</t>
        </is>
      </c>
      <c r="E1416" s="40" t="inlineStr">
        <is>
          <t>Paid Search</t>
        </is>
      </c>
      <c r="F1416" s="40" t="inlineStr">
        <is>
          <t>Mobile</t>
        </is>
      </c>
      <c r="G1416" s="40" t="inlineStr">
        <is>
          <t>Türkiye</t>
        </is>
      </c>
      <c r="H1416" s="40" t="n">
        <v>17</v>
      </c>
      <c r="I1416" s="40" t="inlineStr">
        <is>
          <t>Purchases</t>
        </is>
      </c>
      <c r="J1416" s="40" t="inlineStr">
        <is>
          <t>1-23 August 2026</t>
        </is>
      </c>
      <c r="K1416" s="55" t="n">
        <v>589</v>
      </c>
      <c r="L1416" s="40" t="inlineStr">
        <is>
          <t>Completeness only</t>
        </is>
      </c>
      <c r="M1416" s="40">
        <f>IF(Countries!AS127="","STILL MISSING","Filled ✓")</f>
        <v/>
      </c>
    </row>
    <row r="1417">
      <c r="A1417" s="56" t="inlineStr">
        <is>
          <t>Countries</t>
        </is>
      </c>
      <c r="B1417" s="56" t="inlineStr">
        <is>
          <t>X127</t>
        </is>
      </c>
      <c r="C1417" s="56" t="n">
        <v>127</v>
      </c>
      <c r="D1417" s="56" t="inlineStr">
        <is>
          <t>Home page</t>
        </is>
      </c>
      <c r="E1417" s="56" t="inlineStr">
        <is>
          <t>Paid Search</t>
        </is>
      </c>
      <c r="F1417" s="56" t="inlineStr">
        <is>
          <t>Mobile</t>
        </is>
      </c>
      <c r="G1417" s="56" t="inlineStr">
        <is>
          <t>Türkiye</t>
        </is>
      </c>
      <c r="H1417" s="56" t="n">
        <v>17</v>
      </c>
      <c r="I1417" s="56" t="inlineStr">
        <is>
          <t>Select item</t>
        </is>
      </c>
      <c r="J1417" s="56" t="inlineStr">
        <is>
          <t>1-23 August 2026</t>
        </is>
      </c>
      <c r="K1417" s="57" t="n">
        <v>589</v>
      </c>
      <c r="L1417" s="56" t="inlineStr">
        <is>
          <t>Completeness only</t>
        </is>
      </c>
      <c r="M1417" s="40">
        <f>IF(Countries!X127="","STILL MISSING","Filled ✓")</f>
        <v/>
      </c>
    </row>
    <row r="1418">
      <c r="A1418" s="40" t="inlineStr">
        <is>
          <t>Countries</t>
        </is>
      </c>
      <c r="B1418" s="40" t="inlineStr">
        <is>
          <t>J127</t>
        </is>
      </c>
      <c r="C1418" s="40" t="n">
        <v>127</v>
      </c>
      <c r="D1418" s="40" t="inlineStr">
        <is>
          <t>Home page</t>
        </is>
      </c>
      <c r="E1418" s="40" t="inlineStr">
        <is>
          <t>Paid Search</t>
        </is>
      </c>
      <c r="F1418" s="40" t="inlineStr">
        <is>
          <t>Mobile</t>
        </is>
      </c>
      <c r="G1418" s="40" t="inlineStr">
        <is>
          <t>Türkiye</t>
        </is>
      </c>
      <c r="H1418" s="40" t="n">
        <v>17</v>
      </c>
      <c r="I1418" s="40" t="inlineStr">
        <is>
          <t>Start Search</t>
        </is>
      </c>
      <c r="J1418" s="40" t="inlineStr">
        <is>
          <t>1-23 August 2026</t>
        </is>
      </c>
      <c r="K1418" s="55" t="n">
        <v>589</v>
      </c>
      <c r="L1418" s="40" t="inlineStr">
        <is>
          <t>Completeness only</t>
        </is>
      </c>
      <c r="M1418" s="40">
        <f>IF(Countries!J127="","STILL MISSING","Filled ✓")</f>
        <v/>
      </c>
    </row>
    <row r="1419">
      <c r="A1419" s="56" t="inlineStr">
        <is>
          <t>Countries</t>
        </is>
      </c>
      <c r="B1419" s="56" t="inlineStr">
        <is>
          <t>AD158</t>
        </is>
      </c>
      <c r="C1419" s="56" t="n">
        <v>158</v>
      </c>
      <c r="D1419" s="56" t="inlineStr">
        <is>
          <t>Home page</t>
        </is>
      </c>
      <c r="E1419" s="56" t="inlineStr">
        <is>
          <t>Organic</t>
        </is>
      </c>
      <c r="F1419" s="56" t="inlineStr">
        <is>
          <t>Mobile</t>
        </is>
      </c>
      <c r="G1419" s="56" t="inlineStr">
        <is>
          <t>Türkiye</t>
        </is>
      </c>
      <c r="H1419" s="56" t="n">
        <v>17</v>
      </c>
      <c r="I1419" s="56" t="inlineStr">
        <is>
          <t>Add to cart</t>
        </is>
      </c>
      <c r="J1419" s="56" t="inlineStr">
        <is>
          <t>1-23 August 2025</t>
        </is>
      </c>
      <c r="K1419" s="57" t="n">
        <v>144</v>
      </c>
      <c r="L1419" s="56" t="inlineStr">
        <is>
          <t>Completeness only</t>
        </is>
      </c>
      <c r="M1419" s="40">
        <f>IF(Countries!AD158="","STILL MISSING","Filled ✓")</f>
        <v/>
      </c>
    </row>
    <row r="1420">
      <c r="A1420" s="40" t="inlineStr">
        <is>
          <t>Countries</t>
        </is>
      </c>
      <c r="B1420" s="40" t="inlineStr">
        <is>
          <t>AE158</t>
        </is>
      </c>
      <c r="C1420" s="40" t="n">
        <v>158</v>
      </c>
      <c r="D1420" s="40" t="inlineStr">
        <is>
          <t>Home page</t>
        </is>
      </c>
      <c r="E1420" s="40" t="inlineStr">
        <is>
          <t>Organic</t>
        </is>
      </c>
      <c r="F1420" s="40" t="inlineStr">
        <is>
          <t>Mobile</t>
        </is>
      </c>
      <c r="G1420" s="40" t="inlineStr">
        <is>
          <t>Türkiye</t>
        </is>
      </c>
      <c r="H1420" s="40" t="n">
        <v>17</v>
      </c>
      <c r="I1420" s="40" t="inlineStr">
        <is>
          <t>Add to cart</t>
        </is>
      </c>
      <c r="J1420" s="40" t="inlineStr">
        <is>
          <t>1-23 August 2026</t>
        </is>
      </c>
      <c r="K1420" s="55" t="n">
        <v>144</v>
      </c>
      <c r="L1420" s="40" t="inlineStr">
        <is>
          <t>Completeness only</t>
        </is>
      </c>
      <c r="M1420" s="40">
        <f>IF(Countries!AE158="","STILL MISSING","Filled ✓")</f>
        <v/>
      </c>
    </row>
    <row r="1421">
      <c r="A1421" s="56" t="inlineStr">
        <is>
          <t>Countries</t>
        </is>
      </c>
      <c r="B1421" s="56" t="inlineStr">
        <is>
          <t>AK158</t>
        </is>
      </c>
      <c r="C1421" s="56" t="n">
        <v>158</v>
      </c>
      <c r="D1421" s="56" t="inlineStr">
        <is>
          <t>Home page</t>
        </is>
      </c>
      <c r="E1421" s="56" t="inlineStr">
        <is>
          <t>Organic</t>
        </is>
      </c>
      <c r="F1421" s="56" t="inlineStr">
        <is>
          <t>Mobile</t>
        </is>
      </c>
      <c r="G1421" s="56" t="inlineStr">
        <is>
          <t>Türkiye</t>
        </is>
      </c>
      <c r="H1421" s="56" t="n">
        <v>17</v>
      </c>
      <c r="I1421" s="56" t="inlineStr">
        <is>
          <t>Begin checkout</t>
        </is>
      </c>
      <c r="J1421" s="56" t="inlineStr">
        <is>
          <t>1-23 August 2025</t>
        </is>
      </c>
      <c r="K1421" s="57" t="n">
        <v>144</v>
      </c>
      <c r="L1421" s="56" t="inlineStr">
        <is>
          <t>Completeness only</t>
        </is>
      </c>
      <c r="M1421" s="40">
        <f>IF(Countries!AK158="","STILL MISSING","Filled ✓")</f>
        <v/>
      </c>
    </row>
    <row r="1422">
      <c r="A1422" s="40" t="inlineStr">
        <is>
          <t>Countries</t>
        </is>
      </c>
      <c r="B1422" s="40" t="inlineStr">
        <is>
          <t>AL158</t>
        </is>
      </c>
      <c r="C1422" s="40" t="n">
        <v>158</v>
      </c>
      <c r="D1422" s="40" t="inlineStr">
        <is>
          <t>Home page</t>
        </is>
      </c>
      <c r="E1422" s="40" t="inlineStr">
        <is>
          <t>Organic</t>
        </is>
      </c>
      <c r="F1422" s="40" t="inlineStr">
        <is>
          <t>Mobile</t>
        </is>
      </c>
      <c r="G1422" s="40" t="inlineStr">
        <is>
          <t>Türkiye</t>
        </is>
      </c>
      <c r="H1422" s="40" t="n">
        <v>17</v>
      </c>
      <c r="I1422" s="40" t="inlineStr">
        <is>
          <t>Begin checkout</t>
        </is>
      </c>
      <c r="J1422" s="40" t="inlineStr">
        <is>
          <t>1-23 August 2026</t>
        </is>
      </c>
      <c r="K1422" s="55" t="n">
        <v>144</v>
      </c>
      <c r="L1422" s="40" t="inlineStr">
        <is>
          <t>Completeness only</t>
        </is>
      </c>
      <c r="M1422" s="40">
        <f>IF(Countries!AL158="","STILL MISSING","Filled ✓")</f>
        <v/>
      </c>
    </row>
    <row r="1423">
      <c r="A1423" s="56" t="inlineStr">
        <is>
          <t>Countries</t>
        </is>
      </c>
      <c r="B1423" s="56" t="inlineStr">
        <is>
          <t>AD194</t>
        </is>
      </c>
      <c r="C1423" s="56" t="n">
        <v>194</v>
      </c>
      <c r="D1423" s="56" t="inlineStr">
        <is>
          <t>Home page</t>
        </is>
      </c>
      <c r="E1423" s="56" t="inlineStr">
        <is>
          <t>Direct</t>
        </is>
      </c>
      <c r="F1423" s="56" t="inlineStr">
        <is>
          <t>Mobile</t>
        </is>
      </c>
      <c r="G1423" s="56" t="inlineStr">
        <is>
          <t>Türkiye</t>
        </is>
      </c>
      <c r="H1423" s="56" t="n">
        <v>17</v>
      </c>
      <c r="I1423" s="56" t="inlineStr">
        <is>
          <t>Add to cart</t>
        </is>
      </c>
      <c r="J1423" s="56" t="inlineStr">
        <is>
          <t>1-23 August 2025</t>
        </is>
      </c>
      <c r="K1423" s="57" t="n">
        <v>236</v>
      </c>
      <c r="L1423" s="56" t="inlineStr">
        <is>
          <t>Completeness only</t>
        </is>
      </c>
      <c r="M1423" s="40">
        <f>IF(Countries!AD194="","STILL MISSING","Filled ✓")</f>
        <v/>
      </c>
    </row>
    <row r="1424">
      <c r="A1424" s="40" t="inlineStr">
        <is>
          <t>Countries</t>
        </is>
      </c>
      <c r="B1424" s="40" t="inlineStr">
        <is>
          <t>AE194</t>
        </is>
      </c>
      <c r="C1424" s="40" t="n">
        <v>194</v>
      </c>
      <c r="D1424" s="40" t="inlineStr">
        <is>
          <t>Home page</t>
        </is>
      </c>
      <c r="E1424" s="40" t="inlineStr">
        <is>
          <t>Direct</t>
        </is>
      </c>
      <c r="F1424" s="40" t="inlineStr">
        <is>
          <t>Mobile</t>
        </is>
      </c>
      <c r="G1424" s="40" t="inlineStr">
        <is>
          <t>Türkiye</t>
        </is>
      </c>
      <c r="H1424" s="40" t="n">
        <v>17</v>
      </c>
      <c r="I1424" s="40" t="inlineStr">
        <is>
          <t>Add to cart</t>
        </is>
      </c>
      <c r="J1424" s="40" t="inlineStr">
        <is>
          <t>1-23 August 2026</t>
        </is>
      </c>
      <c r="K1424" s="55" t="n">
        <v>236</v>
      </c>
      <c r="L1424" s="40" t="inlineStr">
        <is>
          <t>Completeness only</t>
        </is>
      </c>
      <c r="M1424" s="40">
        <f>IF(Countries!AE194="","STILL MISSING","Filled ✓")</f>
        <v/>
      </c>
    </row>
    <row r="1425">
      <c r="A1425" s="56" t="inlineStr">
        <is>
          <t>Countries</t>
        </is>
      </c>
      <c r="B1425" s="56" t="inlineStr">
        <is>
          <t>AK194</t>
        </is>
      </c>
      <c r="C1425" s="56" t="n">
        <v>194</v>
      </c>
      <c r="D1425" s="56" t="inlineStr">
        <is>
          <t>Home page</t>
        </is>
      </c>
      <c r="E1425" s="56" t="inlineStr">
        <is>
          <t>Direct</t>
        </is>
      </c>
      <c r="F1425" s="56" t="inlineStr">
        <is>
          <t>Mobile</t>
        </is>
      </c>
      <c r="G1425" s="56" t="inlineStr">
        <is>
          <t>Türkiye</t>
        </is>
      </c>
      <c r="H1425" s="56" t="n">
        <v>17</v>
      </c>
      <c r="I1425" s="56" t="inlineStr">
        <is>
          <t>Begin checkout</t>
        </is>
      </c>
      <c r="J1425" s="56" t="inlineStr">
        <is>
          <t>1-23 August 2025</t>
        </is>
      </c>
      <c r="K1425" s="57" t="n">
        <v>236</v>
      </c>
      <c r="L1425" s="56" t="inlineStr">
        <is>
          <t>Completeness only</t>
        </is>
      </c>
      <c r="M1425" s="40">
        <f>IF(Countries!AK194="","STILL MISSING","Filled ✓")</f>
        <v/>
      </c>
    </row>
    <row r="1426">
      <c r="A1426" s="40" t="inlineStr">
        <is>
          <t>Countries</t>
        </is>
      </c>
      <c r="B1426" s="40" t="inlineStr">
        <is>
          <t>AL194</t>
        </is>
      </c>
      <c r="C1426" s="40" t="n">
        <v>194</v>
      </c>
      <c r="D1426" s="40" t="inlineStr">
        <is>
          <t>Home page</t>
        </is>
      </c>
      <c r="E1426" s="40" t="inlineStr">
        <is>
          <t>Direct</t>
        </is>
      </c>
      <c r="F1426" s="40" t="inlineStr">
        <is>
          <t>Mobile</t>
        </is>
      </c>
      <c r="G1426" s="40" t="inlineStr">
        <is>
          <t>Türkiye</t>
        </is>
      </c>
      <c r="H1426" s="40" t="n">
        <v>17</v>
      </c>
      <c r="I1426" s="40" t="inlineStr">
        <is>
          <t>Begin checkout</t>
        </is>
      </c>
      <c r="J1426" s="40" t="inlineStr">
        <is>
          <t>1-23 August 2026</t>
        </is>
      </c>
      <c r="K1426" s="55" t="n">
        <v>236</v>
      </c>
      <c r="L1426" s="40" t="inlineStr">
        <is>
          <t>Completeness only</t>
        </is>
      </c>
      <c r="M1426" s="40">
        <f>IF(Countries!AL194="","STILL MISSING","Filled ✓")</f>
        <v/>
      </c>
    </row>
    <row r="1427">
      <c r="A1427" s="56" t="inlineStr">
        <is>
          <t>Countries</t>
        </is>
      </c>
      <c r="B1427" s="56" t="inlineStr">
        <is>
          <t>AD266</t>
        </is>
      </c>
      <c r="C1427" s="56" t="n">
        <v>266</v>
      </c>
      <c r="D1427" s="56" t="inlineStr">
        <is>
          <t>Airport page</t>
        </is>
      </c>
      <c r="E1427" s="56" t="inlineStr">
        <is>
          <t>Organic</t>
        </is>
      </c>
      <c r="F1427" s="56" t="inlineStr">
        <is>
          <t>Mobile</t>
        </is>
      </c>
      <c r="G1427" s="56" t="inlineStr">
        <is>
          <t>Türkiye</t>
        </is>
      </c>
      <c r="H1427" s="56" t="n">
        <v>17</v>
      </c>
      <c r="I1427" s="56" t="inlineStr">
        <is>
          <t>Add to cart</t>
        </is>
      </c>
      <c r="J1427" s="56" t="inlineStr">
        <is>
          <t>1-23 August 2025</t>
        </is>
      </c>
      <c r="K1427" s="57" t="n">
        <v>254</v>
      </c>
      <c r="L1427" s="56" t="inlineStr">
        <is>
          <t>Completeness only</t>
        </is>
      </c>
      <c r="M1427" s="40">
        <f>IF(Countries!AD266="","STILL MISSING","Filled ✓")</f>
        <v/>
      </c>
    </row>
    <row r="1428">
      <c r="A1428" s="40" t="inlineStr">
        <is>
          <t>Countries</t>
        </is>
      </c>
      <c r="B1428" s="40" t="inlineStr">
        <is>
          <t>AE266</t>
        </is>
      </c>
      <c r="C1428" s="40" t="n">
        <v>266</v>
      </c>
      <c r="D1428" s="40" t="inlineStr">
        <is>
          <t>Airport page</t>
        </is>
      </c>
      <c r="E1428" s="40" t="inlineStr">
        <is>
          <t>Organic</t>
        </is>
      </c>
      <c r="F1428" s="40" t="inlineStr">
        <is>
          <t>Mobile</t>
        </is>
      </c>
      <c r="G1428" s="40" t="inlineStr">
        <is>
          <t>Türkiye</t>
        </is>
      </c>
      <c r="H1428" s="40" t="n">
        <v>17</v>
      </c>
      <c r="I1428" s="40" t="inlineStr">
        <is>
          <t>Add to cart</t>
        </is>
      </c>
      <c r="J1428" s="40" t="inlineStr">
        <is>
          <t>1-23 August 2026</t>
        </is>
      </c>
      <c r="K1428" s="55" t="n">
        <v>254</v>
      </c>
      <c r="L1428" s="40" t="inlineStr">
        <is>
          <t>Completeness only</t>
        </is>
      </c>
      <c r="M1428" s="40">
        <f>IF(Countries!AE266="","STILL MISSING","Filled ✓")</f>
        <v/>
      </c>
    </row>
    <row r="1429">
      <c r="A1429" s="56" t="inlineStr">
        <is>
          <t>Countries</t>
        </is>
      </c>
      <c r="B1429" s="56" t="inlineStr">
        <is>
          <t>AK266</t>
        </is>
      </c>
      <c r="C1429" s="56" t="n">
        <v>266</v>
      </c>
      <c r="D1429" s="56" t="inlineStr">
        <is>
          <t>Airport page</t>
        </is>
      </c>
      <c r="E1429" s="56" t="inlineStr">
        <is>
          <t>Organic</t>
        </is>
      </c>
      <c r="F1429" s="56" t="inlineStr">
        <is>
          <t>Mobile</t>
        </is>
      </c>
      <c r="G1429" s="56" t="inlineStr">
        <is>
          <t>Türkiye</t>
        </is>
      </c>
      <c r="H1429" s="56" t="n">
        <v>17</v>
      </c>
      <c r="I1429" s="56" t="inlineStr">
        <is>
          <t>Begin checkout</t>
        </is>
      </c>
      <c r="J1429" s="56" t="inlineStr">
        <is>
          <t>1-23 August 2025</t>
        </is>
      </c>
      <c r="K1429" s="57" t="n">
        <v>254</v>
      </c>
      <c r="L1429" s="56" t="inlineStr">
        <is>
          <t>Completeness only</t>
        </is>
      </c>
      <c r="M1429" s="40">
        <f>IF(Countries!AK266="","STILL MISSING","Filled ✓")</f>
        <v/>
      </c>
    </row>
    <row r="1430">
      <c r="A1430" s="40" t="inlineStr">
        <is>
          <t>Countries</t>
        </is>
      </c>
      <c r="B1430" s="40" t="inlineStr">
        <is>
          <t>AL266</t>
        </is>
      </c>
      <c r="C1430" s="40" t="n">
        <v>266</v>
      </c>
      <c r="D1430" s="40" t="inlineStr">
        <is>
          <t>Airport page</t>
        </is>
      </c>
      <c r="E1430" s="40" t="inlineStr">
        <is>
          <t>Organic</t>
        </is>
      </c>
      <c r="F1430" s="40" t="inlineStr">
        <is>
          <t>Mobile</t>
        </is>
      </c>
      <c r="G1430" s="40" t="inlineStr">
        <is>
          <t>Türkiye</t>
        </is>
      </c>
      <c r="H1430" s="40" t="n">
        <v>17</v>
      </c>
      <c r="I1430" s="40" t="inlineStr">
        <is>
          <t>Begin checkout</t>
        </is>
      </c>
      <c r="J1430" s="40" t="inlineStr">
        <is>
          <t>1-23 August 2026</t>
        </is>
      </c>
      <c r="K1430" s="55" t="n">
        <v>254</v>
      </c>
      <c r="L1430" s="40" t="inlineStr">
        <is>
          <t>Completeness only</t>
        </is>
      </c>
      <c r="M1430" s="40">
        <f>IF(Countries!AL266="","STILL MISSING","Filled ✓")</f>
        <v/>
      </c>
    </row>
    <row r="1431">
      <c r="A1431" s="56" t="inlineStr">
        <is>
          <t>Countries</t>
        </is>
      </c>
      <c r="B1431" s="56" t="inlineStr">
        <is>
          <t>X266</t>
        </is>
      </c>
      <c r="C1431" s="56" t="n">
        <v>266</v>
      </c>
      <c r="D1431" s="56" t="inlineStr">
        <is>
          <t>Airport page</t>
        </is>
      </c>
      <c r="E1431" s="56" t="inlineStr">
        <is>
          <t>Organic</t>
        </is>
      </c>
      <c r="F1431" s="56" t="inlineStr">
        <is>
          <t>Mobile</t>
        </is>
      </c>
      <c r="G1431" s="56" t="inlineStr">
        <is>
          <t>Türkiye</t>
        </is>
      </c>
      <c r="H1431" s="56" t="n">
        <v>17</v>
      </c>
      <c r="I1431" s="56" t="inlineStr">
        <is>
          <t>Select item</t>
        </is>
      </c>
      <c r="J1431" s="56" t="inlineStr">
        <is>
          <t>1-23 August 2026</t>
        </is>
      </c>
      <c r="K1431" s="57" t="n">
        <v>254</v>
      </c>
      <c r="L1431" s="56" t="inlineStr">
        <is>
          <t>Completeness only</t>
        </is>
      </c>
      <c r="M1431" s="40">
        <f>IF(Countries!X266="","STILL MISSING","Filled ✓")</f>
        <v/>
      </c>
    </row>
    <row r="1432">
      <c r="A1432" s="40" t="inlineStr">
        <is>
          <t>Countries</t>
        </is>
      </c>
      <c r="B1432" s="40" t="inlineStr">
        <is>
          <t>AD305</t>
        </is>
      </c>
      <c r="C1432" s="40" t="n">
        <v>305</v>
      </c>
      <c r="D1432" s="40" t="inlineStr">
        <is>
          <t>Airport page</t>
        </is>
      </c>
      <c r="E1432" s="40" t="inlineStr">
        <is>
          <t>Direct</t>
        </is>
      </c>
      <c r="F1432" s="40" t="inlineStr">
        <is>
          <t>Mobile</t>
        </is>
      </c>
      <c r="G1432" s="40" t="inlineStr">
        <is>
          <t>Türkiye</t>
        </is>
      </c>
      <c r="H1432" s="40" t="n">
        <v>17</v>
      </c>
      <c r="I1432" s="40" t="inlineStr">
        <is>
          <t>Add to cart</t>
        </is>
      </c>
      <c r="J1432" s="40" t="inlineStr">
        <is>
          <t>1-23 August 2025</t>
        </is>
      </c>
      <c r="K1432" s="55" t="n">
        <v>15</v>
      </c>
      <c r="L1432" s="40" t="inlineStr">
        <is>
          <t>Completeness only</t>
        </is>
      </c>
      <c r="M1432" s="40">
        <f>IF(Countries!AD305="","STILL MISSING","Filled ✓")</f>
        <v/>
      </c>
    </row>
    <row r="1433">
      <c r="A1433" s="56" t="inlineStr">
        <is>
          <t>Countries</t>
        </is>
      </c>
      <c r="B1433" s="56" t="inlineStr">
        <is>
          <t>AE305</t>
        </is>
      </c>
      <c r="C1433" s="56" t="n">
        <v>305</v>
      </c>
      <c r="D1433" s="56" t="inlineStr">
        <is>
          <t>Airport page</t>
        </is>
      </c>
      <c r="E1433" s="56" t="inlineStr">
        <is>
          <t>Direct</t>
        </is>
      </c>
      <c r="F1433" s="56" t="inlineStr">
        <is>
          <t>Mobile</t>
        </is>
      </c>
      <c r="G1433" s="56" t="inlineStr">
        <is>
          <t>Türkiye</t>
        </is>
      </c>
      <c r="H1433" s="56" t="n">
        <v>17</v>
      </c>
      <c r="I1433" s="56" t="inlineStr">
        <is>
          <t>Add to cart</t>
        </is>
      </c>
      <c r="J1433" s="56" t="inlineStr">
        <is>
          <t>1-23 August 2026</t>
        </is>
      </c>
      <c r="K1433" s="57" t="n">
        <v>15</v>
      </c>
      <c r="L1433" s="56" t="inlineStr">
        <is>
          <t>Completeness only</t>
        </is>
      </c>
      <c r="M1433" s="40">
        <f>IF(Countries!AE305="","STILL MISSING","Filled ✓")</f>
        <v/>
      </c>
    </row>
    <row r="1434">
      <c r="A1434" s="40" t="inlineStr">
        <is>
          <t>Countries</t>
        </is>
      </c>
      <c r="B1434" s="40" t="inlineStr">
        <is>
          <t>AK305</t>
        </is>
      </c>
      <c r="C1434" s="40" t="n">
        <v>305</v>
      </c>
      <c r="D1434" s="40" t="inlineStr">
        <is>
          <t>Airport page</t>
        </is>
      </c>
      <c r="E1434" s="40" t="inlineStr">
        <is>
          <t>Direct</t>
        </is>
      </c>
      <c r="F1434" s="40" t="inlineStr">
        <is>
          <t>Mobile</t>
        </is>
      </c>
      <c r="G1434" s="40" t="inlineStr">
        <is>
          <t>Türkiye</t>
        </is>
      </c>
      <c r="H1434" s="40" t="n">
        <v>17</v>
      </c>
      <c r="I1434" s="40" t="inlineStr">
        <is>
          <t>Begin checkout</t>
        </is>
      </c>
      <c r="J1434" s="40" t="inlineStr">
        <is>
          <t>1-23 August 2025</t>
        </is>
      </c>
      <c r="K1434" s="55" t="n">
        <v>15</v>
      </c>
      <c r="L1434" s="40" t="inlineStr">
        <is>
          <t>Completeness only</t>
        </is>
      </c>
      <c r="M1434" s="40">
        <f>IF(Countries!AK305="","STILL MISSING","Filled ✓")</f>
        <v/>
      </c>
    </row>
    <row r="1435">
      <c r="A1435" s="56" t="inlineStr">
        <is>
          <t>Countries</t>
        </is>
      </c>
      <c r="B1435" s="56" t="inlineStr">
        <is>
          <t>AL305</t>
        </is>
      </c>
      <c r="C1435" s="56" t="n">
        <v>305</v>
      </c>
      <c r="D1435" s="56" t="inlineStr">
        <is>
          <t>Airport page</t>
        </is>
      </c>
      <c r="E1435" s="56" t="inlineStr">
        <is>
          <t>Direct</t>
        </is>
      </c>
      <c r="F1435" s="56" t="inlineStr">
        <is>
          <t>Mobile</t>
        </is>
      </c>
      <c r="G1435" s="56" t="inlineStr">
        <is>
          <t>Türkiye</t>
        </is>
      </c>
      <c r="H1435" s="56" t="n">
        <v>17</v>
      </c>
      <c r="I1435" s="56" t="inlineStr">
        <is>
          <t>Begin checkout</t>
        </is>
      </c>
      <c r="J1435" s="56" t="inlineStr">
        <is>
          <t>1-23 August 2026</t>
        </is>
      </c>
      <c r="K1435" s="57" t="n">
        <v>15</v>
      </c>
      <c r="L1435" s="56" t="inlineStr">
        <is>
          <t>Completeness only</t>
        </is>
      </c>
      <c r="M1435" s="40">
        <f>IF(Countries!AL305="","STILL MISSING","Filled ✓")</f>
        <v/>
      </c>
    </row>
    <row r="1436">
      <c r="A1436" s="40" t="inlineStr">
        <is>
          <t>Countries</t>
        </is>
      </c>
      <c r="B1436" s="40" t="inlineStr">
        <is>
          <t>AS305</t>
        </is>
      </c>
      <c r="C1436" s="40" t="n">
        <v>305</v>
      </c>
      <c r="D1436" s="40" t="inlineStr">
        <is>
          <t>Airport page</t>
        </is>
      </c>
      <c r="E1436" s="40" t="inlineStr">
        <is>
          <t>Direct</t>
        </is>
      </c>
      <c r="F1436" s="40" t="inlineStr">
        <is>
          <t>Mobile</t>
        </is>
      </c>
      <c r="G1436" s="40" t="inlineStr">
        <is>
          <t>Türkiye</t>
        </is>
      </c>
      <c r="H1436" s="40" t="n">
        <v>17</v>
      </c>
      <c r="I1436" s="40" t="inlineStr">
        <is>
          <t>Purchases</t>
        </is>
      </c>
      <c r="J1436" s="40" t="inlineStr">
        <is>
          <t>1-23 August 2026</t>
        </is>
      </c>
      <c r="K1436" s="55" t="n">
        <v>15</v>
      </c>
      <c r="L1436" s="40" t="inlineStr">
        <is>
          <t>Completeness only</t>
        </is>
      </c>
      <c r="M1436" s="40">
        <f>IF(Countries!AS305="","STILL MISSING","Filled ✓")</f>
        <v/>
      </c>
    </row>
    <row r="1437">
      <c r="A1437" s="56" t="inlineStr">
        <is>
          <t>Countries</t>
        </is>
      </c>
      <c r="B1437" s="56" t="inlineStr">
        <is>
          <t>X305</t>
        </is>
      </c>
      <c r="C1437" s="56" t="n">
        <v>305</v>
      </c>
      <c r="D1437" s="56" t="inlineStr">
        <is>
          <t>Airport page</t>
        </is>
      </c>
      <c r="E1437" s="56" t="inlineStr">
        <is>
          <t>Direct</t>
        </is>
      </c>
      <c r="F1437" s="56" t="inlineStr">
        <is>
          <t>Mobile</t>
        </is>
      </c>
      <c r="G1437" s="56" t="inlineStr">
        <is>
          <t>Türkiye</t>
        </is>
      </c>
      <c r="H1437" s="56" t="n">
        <v>17</v>
      </c>
      <c r="I1437" s="56" t="inlineStr">
        <is>
          <t>Select item</t>
        </is>
      </c>
      <c r="J1437" s="56" t="inlineStr">
        <is>
          <t>1-23 August 2026</t>
        </is>
      </c>
      <c r="K1437" s="57" t="n">
        <v>15</v>
      </c>
      <c r="L1437" s="56" t="inlineStr">
        <is>
          <t>Completeness only</t>
        </is>
      </c>
      <c r="M1437" s="40">
        <f>IF(Countries!X305="","STILL MISSING","Filled ✓")</f>
        <v/>
      </c>
    </row>
    <row r="1438">
      <c r="A1438" s="40" t="inlineStr">
        <is>
          <t>Countries</t>
        </is>
      </c>
      <c r="B1438" s="40" t="inlineStr">
        <is>
          <t>F305</t>
        </is>
      </c>
      <c r="C1438" s="40" t="n">
        <v>305</v>
      </c>
      <c r="D1438" s="40" t="inlineStr">
        <is>
          <t>Airport page</t>
        </is>
      </c>
      <c r="E1438" s="40" t="inlineStr">
        <is>
          <t>Direct</t>
        </is>
      </c>
      <c r="F1438" s="40" t="inlineStr">
        <is>
          <t>Mobile</t>
        </is>
      </c>
      <c r="G1438" s="40" t="inlineStr">
        <is>
          <t>Türkiye</t>
        </is>
      </c>
      <c r="H1438" s="40" t="n">
        <v>17</v>
      </c>
      <c r="I1438" s="40" t="inlineStr">
        <is>
          <t>Sessions</t>
        </is>
      </c>
      <c r="J1438" s="40" t="inlineStr">
        <is>
          <t>1-23 August 2026</t>
        </is>
      </c>
      <c r="K1438" s="55" t="n">
        <v>15</v>
      </c>
      <c r="L1438" s="40" t="inlineStr">
        <is>
          <t>Completeness only</t>
        </is>
      </c>
      <c r="M1438" s="40">
        <f>IF(Countries!F305="","STILL MISSING","Filled ✓")</f>
        <v/>
      </c>
    </row>
    <row r="1439">
      <c r="A1439" s="56" t="inlineStr">
        <is>
          <t>Countries</t>
        </is>
      </c>
      <c r="B1439" s="56" t="inlineStr">
        <is>
          <t>I305</t>
        </is>
      </c>
      <c r="C1439" s="56" t="n">
        <v>305</v>
      </c>
      <c r="D1439" s="56" t="inlineStr">
        <is>
          <t>Airport page</t>
        </is>
      </c>
      <c r="E1439" s="56" t="inlineStr">
        <is>
          <t>Direct</t>
        </is>
      </c>
      <c r="F1439" s="56" t="inlineStr">
        <is>
          <t>Mobile</t>
        </is>
      </c>
      <c r="G1439" s="56" t="inlineStr">
        <is>
          <t>Türkiye</t>
        </is>
      </c>
      <c r="H1439" s="56" t="n">
        <v>17</v>
      </c>
      <c r="I1439" s="56" t="inlineStr">
        <is>
          <t>Start Search</t>
        </is>
      </c>
      <c r="J1439" s="56" t="inlineStr">
        <is>
          <t>1-23 August 2025</t>
        </is>
      </c>
      <c r="K1439" s="57" t="n">
        <v>15</v>
      </c>
      <c r="L1439" s="56" t="inlineStr">
        <is>
          <t>Completeness only</t>
        </is>
      </c>
      <c r="M1439" s="40">
        <f>IF(Countries!I305="","STILL MISSING","Filled ✓")</f>
        <v/>
      </c>
    </row>
    <row r="1440">
      <c r="A1440" s="40" t="inlineStr">
        <is>
          <t>Countries</t>
        </is>
      </c>
      <c r="B1440" s="40" t="inlineStr">
        <is>
          <t>J305</t>
        </is>
      </c>
      <c r="C1440" s="40" t="n">
        <v>305</v>
      </c>
      <c r="D1440" s="40" t="inlineStr">
        <is>
          <t>Airport page</t>
        </is>
      </c>
      <c r="E1440" s="40" t="inlineStr">
        <is>
          <t>Direct</t>
        </is>
      </c>
      <c r="F1440" s="40" t="inlineStr">
        <is>
          <t>Mobile</t>
        </is>
      </c>
      <c r="G1440" s="40" t="inlineStr">
        <is>
          <t>Türkiye</t>
        </is>
      </c>
      <c r="H1440" s="40" t="n">
        <v>17</v>
      </c>
      <c r="I1440" s="40" t="inlineStr">
        <is>
          <t>Start Search</t>
        </is>
      </c>
      <c r="J1440" s="40" t="inlineStr">
        <is>
          <t>1-23 August 2026</t>
        </is>
      </c>
      <c r="K1440" s="55" t="n">
        <v>15</v>
      </c>
      <c r="L1440" s="40" t="inlineStr">
        <is>
          <t>Completeness only</t>
        </is>
      </c>
      <c r="M1440" s="40">
        <f>IF(Countries!J305="","STILL MISSING","Filled ✓")</f>
        <v/>
      </c>
    </row>
    <row r="1441">
      <c r="A1441" s="56" t="inlineStr">
        <is>
          <t>Countries</t>
        </is>
      </c>
      <c r="B1441" s="56" t="inlineStr">
        <is>
          <t>AD371</t>
        </is>
      </c>
      <c r="C1441" s="56" t="n">
        <v>371</v>
      </c>
      <c r="D1441" s="56" t="inlineStr">
        <is>
          <t>Route page</t>
        </is>
      </c>
      <c r="E1441" s="56" t="inlineStr">
        <is>
          <t>Organic</t>
        </is>
      </c>
      <c r="F1441" s="56" t="inlineStr">
        <is>
          <t>Mobile</t>
        </is>
      </c>
      <c r="G1441" s="56" t="inlineStr">
        <is>
          <t>Türkiye</t>
        </is>
      </c>
      <c r="H1441" s="56" t="n">
        <v>17</v>
      </c>
      <c r="I1441" s="56" t="inlineStr">
        <is>
          <t>Add to cart</t>
        </is>
      </c>
      <c r="J1441" s="56" t="inlineStr">
        <is>
          <t>1-23 August 2025</t>
        </is>
      </c>
      <c r="K1441" s="57" t="n">
        <v>468</v>
      </c>
      <c r="L1441" s="56" t="inlineStr">
        <is>
          <t>Completeness only</t>
        </is>
      </c>
      <c r="M1441" s="40">
        <f>IF(Countries!AD371="","STILL MISSING","Filled ✓")</f>
        <v/>
      </c>
    </row>
    <row r="1442">
      <c r="A1442" s="40" t="inlineStr">
        <is>
          <t>Countries</t>
        </is>
      </c>
      <c r="B1442" s="40" t="inlineStr">
        <is>
          <t>AE371</t>
        </is>
      </c>
      <c r="C1442" s="40" t="n">
        <v>371</v>
      </c>
      <c r="D1442" s="40" t="inlineStr">
        <is>
          <t>Route page</t>
        </is>
      </c>
      <c r="E1442" s="40" t="inlineStr">
        <is>
          <t>Organic</t>
        </is>
      </c>
      <c r="F1442" s="40" t="inlineStr">
        <is>
          <t>Mobile</t>
        </is>
      </c>
      <c r="G1442" s="40" t="inlineStr">
        <is>
          <t>Türkiye</t>
        </is>
      </c>
      <c r="H1442" s="40" t="n">
        <v>17</v>
      </c>
      <c r="I1442" s="40" t="inlineStr">
        <is>
          <t>Add to cart</t>
        </is>
      </c>
      <c r="J1442" s="40" t="inlineStr">
        <is>
          <t>1-23 August 2026</t>
        </is>
      </c>
      <c r="K1442" s="55" t="n">
        <v>468</v>
      </c>
      <c r="L1442" s="40" t="inlineStr">
        <is>
          <t>Completeness only</t>
        </is>
      </c>
      <c r="M1442" s="40">
        <f>IF(Countries!AE371="","STILL MISSING","Filled ✓")</f>
        <v/>
      </c>
    </row>
    <row r="1443">
      <c r="A1443" s="56" t="inlineStr">
        <is>
          <t>Countries</t>
        </is>
      </c>
      <c r="B1443" s="56" t="inlineStr">
        <is>
          <t>AK371</t>
        </is>
      </c>
      <c r="C1443" s="56" t="n">
        <v>371</v>
      </c>
      <c r="D1443" s="56" t="inlineStr">
        <is>
          <t>Route page</t>
        </is>
      </c>
      <c r="E1443" s="56" t="inlineStr">
        <is>
          <t>Organic</t>
        </is>
      </c>
      <c r="F1443" s="56" t="inlineStr">
        <is>
          <t>Mobile</t>
        </is>
      </c>
      <c r="G1443" s="56" t="inlineStr">
        <is>
          <t>Türkiye</t>
        </is>
      </c>
      <c r="H1443" s="56" t="n">
        <v>17</v>
      </c>
      <c r="I1443" s="56" t="inlineStr">
        <is>
          <t>Begin checkout</t>
        </is>
      </c>
      <c r="J1443" s="56" t="inlineStr">
        <is>
          <t>1-23 August 2025</t>
        </is>
      </c>
      <c r="K1443" s="57" t="n">
        <v>468</v>
      </c>
      <c r="L1443" s="56" t="inlineStr">
        <is>
          <t>Completeness only</t>
        </is>
      </c>
      <c r="M1443" s="40">
        <f>IF(Countries!AK371="","STILL MISSING","Filled ✓")</f>
        <v/>
      </c>
    </row>
    <row r="1444">
      <c r="A1444" s="40" t="inlineStr">
        <is>
          <t>Countries</t>
        </is>
      </c>
      <c r="B1444" s="40" t="inlineStr">
        <is>
          <t>AL371</t>
        </is>
      </c>
      <c r="C1444" s="40" t="n">
        <v>371</v>
      </c>
      <c r="D1444" s="40" t="inlineStr">
        <is>
          <t>Route page</t>
        </is>
      </c>
      <c r="E1444" s="40" t="inlineStr">
        <is>
          <t>Organic</t>
        </is>
      </c>
      <c r="F1444" s="40" t="inlineStr">
        <is>
          <t>Mobile</t>
        </is>
      </c>
      <c r="G1444" s="40" t="inlineStr">
        <is>
          <t>Türkiye</t>
        </is>
      </c>
      <c r="H1444" s="40" t="n">
        <v>17</v>
      </c>
      <c r="I1444" s="40" t="inlineStr">
        <is>
          <t>Begin checkout</t>
        </is>
      </c>
      <c r="J1444" s="40" t="inlineStr">
        <is>
          <t>1-23 August 2026</t>
        </is>
      </c>
      <c r="K1444" s="55" t="n">
        <v>468</v>
      </c>
      <c r="L1444" s="40" t="inlineStr">
        <is>
          <t>Completeness only</t>
        </is>
      </c>
      <c r="M1444" s="40">
        <f>IF(Countries!AL371="","STILL MISSING","Filled ✓")</f>
        <v/>
      </c>
    </row>
    <row r="1445">
      <c r="A1445" s="56" t="inlineStr">
        <is>
          <t>Countries</t>
        </is>
      </c>
      <c r="B1445" s="56" t="inlineStr">
        <is>
          <t>W371</t>
        </is>
      </c>
      <c r="C1445" s="56" t="n">
        <v>371</v>
      </c>
      <c r="D1445" s="56" t="inlineStr">
        <is>
          <t>Route page</t>
        </is>
      </c>
      <c r="E1445" s="56" t="inlineStr">
        <is>
          <t>Organic</t>
        </is>
      </c>
      <c r="F1445" s="56" t="inlineStr">
        <is>
          <t>Mobile</t>
        </is>
      </c>
      <c r="G1445" s="56" t="inlineStr">
        <is>
          <t>Türkiye</t>
        </is>
      </c>
      <c r="H1445" s="56" t="n">
        <v>17</v>
      </c>
      <c r="I1445" s="56" t="inlineStr">
        <is>
          <t>Select item</t>
        </is>
      </c>
      <c r="J1445" s="56" t="inlineStr">
        <is>
          <t>1-23 August 2025</t>
        </is>
      </c>
      <c r="K1445" s="57" t="n">
        <v>468</v>
      </c>
      <c r="L1445" s="56" t="inlineStr">
        <is>
          <t>Completeness only</t>
        </is>
      </c>
      <c r="M1445" s="40">
        <f>IF(Countries!W371="","STILL MISSING","Filled ✓")</f>
        <v/>
      </c>
    </row>
    <row r="1446">
      <c r="A1446" s="40" t="inlineStr">
        <is>
          <t>Countries</t>
        </is>
      </c>
      <c r="B1446" s="40" t="inlineStr">
        <is>
          <t>AD406</t>
        </is>
      </c>
      <c r="C1446" s="40" t="n">
        <v>406</v>
      </c>
      <c r="D1446" s="40" t="inlineStr">
        <is>
          <t>Route page</t>
        </is>
      </c>
      <c r="E1446" s="40" t="inlineStr">
        <is>
          <t>Direct</t>
        </is>
      </c>
      <c r="F1446" s="40" t="inlineStr">
        <is>
          <t>Mobile</t>
        </is>
      </c>
      <c r="G1446" s="40" t="inlineStr">
        <is>
          <t>Türkiye</t>
        </is>
      </c>
      <c r="H1446" s="40" t="n">
        <v>17</v>
      </c>
      <c r="I1446" s="40" t="inlineStr">
        <is>
          <t>Add to cart</t>
        </is>
      </c>
      <c r="J1446" s="40" t="inlineStr">
        <is>
          <t>1-23 August 2025</t>
        </is>
      </c>
      <c r="K1446" s="55" t="n">
        <v>61</v>
      </c>
      <c r="L1446" s="40" t="inlineStr">
        <is>
          <t>Completeness only</t>
        </is>
      </c>
      <c r="M1446" s="40">
        <f>IF(Countries!AD406="","STILL MISSING","Filled ✓")</f>
        <v/>
      </c>
    </row>
    <row r="1447">
      <c r="A1447" s="56" t="inlineStr">
        <is>
          <t>Countries</t>
        </is>
      </c>
      <c r="B1447" s="56" t="inlineStr">
        <is>
          <t>AE406</t>
        </is>
      </c>
      <c r="C1447" s="56" t="n">
        <v>406</v>
      </c>
      <c r="D1447" s="56" t="inlineStr">
        <is>
          <t>Route page</t>
        </is>
      </c>
      <c r="E1447" s="56" t="inlineStr">
        <is>
          <t>Direct</t>
        </is>
      </c>
      <c r="F1447" s="56" t="inlineStr">
        <is>
          <t>Mobile</t>
        </is>
      </c>
      <c r="G1447" s="56" t="inlineStr">
        <is>
          <t>Türkiye</t>
        </is>
      </c>
      <c r="H1447" s="56" t="n">
        <v>17</v>
      </c>
      <c r="I1447" s="56" t="inlineStr">
        <is>
          <t>Add to cart</t>
        </is>
      </c>
      <c r="J1447" s="56" t="inlineStr">
        <is>
          <t>1-23 August 2026</t>
        </is>
      </c>
      <c r="K1447" s="57" t="n">
        <v>61</v>
      </c>
      <c r="L1447" s="56" t="inlineStr">
        <is>
          <t>Completeness only</t>
        </is>
      </c>
      <c r="M1447" s="40">
        <f>IF(Countries!AE406="","STILL MISSING","Filled ✓")</f>
        <v/>
      </c>
    </row>
    <row r="1448">
      <c r="A1448" s="40" t="inlineStr">
        <is>
          <t>Countries</t>
        </is>
      </c>
      <c r="B1448" s="40" t="inlineStr">
        <is>
          <t>AK406</t>
        </is>
      </c>
      <c r="C1448" s="40" t="n">
        <v>406</v>
      </c>
      <c r="D1448" s="40" t="inlineStr">
        <is>
          <t>Route page</t>
        </is>
      </c>
      <c r="E1448" s="40" t="inlineStr">
        <is>
          <t>Direct</t>
        </is>
      </c>
      <c r="F1448" s="40" t="inlineStr">
        <is>
          <t>Mobile</t>
        </is>
      </c>
      <c r="G1448" s="40" t="inlineStr">
        <is>
          <t>Türkiye</t>
        </is>
      </c>
      <c r="H1448" s="40" t="n">
        <v>17</v>
      </c>
      <c r="I1448" s="40" t="inlineStr">
        <is>
          <t>Begin checkout</t>
        </is>
      </c>
      <c r="J1448" s="40" t="inlineStr">
        <is>
          <t>1-23 August 2025</t>
        </is>
      </c>
      <c r="K1448" s="55" t="n">
        <v>61</v>
      </c>
      <c r="L1448" s="40" t="inlineStr">
        <is>
          <t>Completeness only</t>
        </is>
      </c>
      <c r="M1448" s="40">
        <f>IF(Countries!AK406="","STILL MISSING","Filled ✓")</f>
        <v/>
      </c>
    </row>
    <row r="1449">
      <c r="A1449" s="56" t="inlineStr">
        <is>
          <t>Countries</t>
        </is>
      </c>
      <c r="B1449" s="56" t="inlineStr">
        <is>
          <t>AL406</t>
        </is>
      </c>
      <c r="C1449" s="56" t="n">
        <v>406</v>
      </c>
      <c r="D1449" s="56" t="inlineStr">
        <is>
          <t>Route page</t>
        </is>
      </c>
      <c r="E1449" s="56" t="inlineStr">
        <is>
          <t>Direct</t>
        </is>
      </c>
      <c r="F1449" s="56" t="inlineStr">
        <is>
          <t>Mobile</t>
        </is>
      </c>
      <c r="G1449" s="56" t="inlineStr">
        <is>
          <t>Türkiye</t>
        </is>
      </c>
      <c r="H1449" s="56" t="n">
        <v>17</v>
      </c>
      <c r="I1449" s="56" t="inlineStr">
        <is>
          <t>Begin checkout</t>
        </is>
      </c>
      <c r="J1449" s="56" t="inlineStr">
        <is>
          <t>1-23 August 2026</t>
        </is>
      </c>
      <c r="K1449" s="57" t="n">
        <v>61</v>
      </c>
      <c r="L1449" s="56" t="inlineStr">
        <is>
          <t>Completeness only</t>
        </is>
      </c>
      <c r="M1449" s="40">
        <f>IF(Countries!AL406="","STILL MISSING","Filled ✓")</f>
        <v/>
      </c>
    </row>
    <row r="1450">
      <c r="A1450" s="40" t="inlineStr">
        <is>
          <t>Countries</t>
        </is>
      </c>
      <c r="B1450" s="40" t="inlineStr">
        <is>
          <t>AD61</t>
        </is>
      </c>
      <c r="C1450" s="40" t="n">
        <v>61</v>
      </c>
      <c r="D1450" s="40" t="inlineStr">
        <is>
          <t>All landing pages</t>
        </is>
      </c>
      <c r="E1450" s="40" t="inlineStr">
        <is>
          <t>Organic</t>
        </is>
      </c>
      <c r="F1450" s="40" t="inlineStr">
        <is>
          <t>Desktop</t>
        </is>
      </c>
      <c r="G1450" s="40" t="inlineStr">
        <is>
          <t>Australia</t>
        </is>
      </c>
      <c r="H1450" s="40" t="n">
        <v>18</v>
      </c>
      <c r="I1450" s="40" t="inlineStr">
        <is>
          <t>Add to cart</t>
        </is>
      </c>
      <c r="J1450" s="40" t="inlineStr">
        <is>
          <t>1-23 August 2025</t>
        </is>
      </c>
      <c r="K1450" s="55" t="n">
        <v>895</v>
      </c>
      <c r="L1450" s="40" t="inlineStr">
        <is>
          <t>Completeness only</t>
        </is>
      </c>
      <c r="M1450" s="40">
        <f>IF(Countries!AD61="","STILL MISSING","Filled ✓")</f>
        <v/>
      </c>
    </row>
    <row r="1451">
      <c r="A1451" s="56" t="inlineStr">
        <is>
          <t>Countries</t>
        </is>
      </c>
      <c r="B1451" s="56" t="inlineStr">
        <is>
          <t>AE61</t>
        </is>
      </c>
      <c r="C1451" s="56" t="n">
        <v>61</v>
      </c>
      <c r="D1451" s="56" t="inlineStr">
        <is>
          <t>All landing pages</t>
        </is>
      </c>
      <c r="E1451" s="56" t="inlineStr">
        <is>
          <t>Organic</t>
        </is>
      </c>
      <c r="F1451" s="56" t="inlineStr">
        <is>
          <t>Desktop</t>
        </is>
      </c>
      <c r="G1451" s="56" t="inlineStr">
        <is>
          <t>Australia</t>
        </is>
      </c>
      <c r="H1451" s="56" t="n">
        <v>18</v>
      </c>
      <c r="I1451" s="56" t="inlineStr">
        <is>
          <t>Add to cart</t>
        </is>
      </c>
      <c r="J1451" s="56" t="inlineStr">
        <is>
          <t>1-23 August 2026</t>
        </is>
      </c>
      <c r="K1451" s="57" t="n">
        <v>895</v>
      </c>
      <c r="L1451" s="56" t="inlineStr">
        <is>
          <t>Completeness only</t>
        </is>
      </c>
      <c r="M1451" s="40">
        <f>IF(Countries!AE61="","STILL MISSING","Filled ✓")</f>
        <v/>
      </c>
    </row>
    <row r="1452">
      <c r="A1452" s="40" t="inlineStr">
        <is>
          <t>Countries</t>
        </is>
      </c>
      <c r="B1452" s="40" t="inlineStr">
        <is>
          <t>AK61</t>
        </is>
      </c>
      <c r="C1452" s="40" t="n">
        <v>61</v>
      </c>
      <c r="D1452" s="40" t="inlineStr">
        <is>
          <t>All landing pages</t>
        </is>
      </c>
      <c r="E1452" s="40" t="inlineStr">
        <is>
          <t>Organic</t>
        </is>
      </c>
      <c r="F1452" s="40" t="inlineStr">
        <is>
          <t>Desktop</t>
        </is>
      </c>
      <c r="G1452" s="40" t="inlineStr">
        <is>
          <t>Australia</t>
        </is>
      </c>
      <c r="H1452" s="40" t="n">
        <v>18</v>
      </c>
      <c r="I1452" s="40" t="inlineStr">
        <is>
          <t>Begin checkout</t>
        </is>
      </c>
      <c r="J1452" s="40" t="inlineStr">
        <is>
          <t>1-23 August 2025</t>
        </is>
      </c>
      <c r="K1452" s="55" t="n">
        <v>895</v>
      </c>
      <c r="L1452" s="40" t="inlineStr">
        <is>
          <t>Completeness only</t>
        </is>
      </c>
      <c r="M1452" s="40">
        <f>IF(Countries!AK61="","STILL MISSING","Filled ✓")</f>
        <v/>
      </c>
    </row>
    <row r="1453">
      <c r="A1453" s="56" t="inlineStr">
        <is>
          <t>Countries</t>
        </is>
      </c>
      <c r="B1453" s="56" t="inlineStr">
        <is>
          <t>AL61</t>
        </is>
      </c>
      <c r="C1453" s="56" t="n">
        <v>61</v>
      </c>
      <c r="D1453" s="56" t="inlineStr">
        <is>
          <t>All landing pages</t>
        </is>
      </c>
      <c r="E1453" s="56" t="inlineStr">
        <is>
          <t>Organic</t>
        </is>
      </c>
      <c r="F1453" s="56" t="inlineStr">
        <is>
          <t>Desktop</t>
        </is>
      </c>
      <c r="G1453" s="56" t="inlineStr">
        <is>
          <t>Australia</t>
        </is>
      </c>
      <c r="H1453" s="56" t="n">
        <v>18</v>
      </c>
      <c r="I1453" s="56" t="inlineStr">
        <is>
          <t>Begin checkout</t>
        </is>
      </c>
      <c r="J1453" s="56" t="inlineStr">
        <is>
          <t>1-23 August 2026</t>
        </is>
      </c>
      <c r="K1453" s="57" t="n">
        <v>895</v>
      </c>
      <c r="L1453" s="56" t="inlineStr">
        <is>
          <t>Completeness only</t>
        </is>
      </c>
      <c r="M1453" s="40">
        <f>IF(Countries!AL61="","STILL MISSING","Filled ✓")</f>
        <v/>
      </c>
    </row>
    <row r="1454">
      <c r="A1454" s="40" t="inlineStr">
        <is>
          <t>Countries</t>
        </is>
      </c>
      <c r="B1454" s="40" t="inlineStr">
        <is>
          <t>AD52</t>
        </is>
      </c>
      <c r="C1454" s="40" t="n">
        <v>52</v>
      </c>
      <c r="D1454" s="40" t="inlineStr">
        <is>
          <t>All landing pages</t>
        </is>
      </c>
      <c r="E1454" s="40" t="inlineStr">
        <is>
          <t>Organic</t>
        </is>
      </c>
      <c r="F1454" s="40" t="inlineStr">
        <is>
          <t>Mobile</t>
        </is>
      </c>
      <c r="G1454" s="40" t="inlineStr">
        <is>
          <t>Australia</t>
        </is>
      </c>
      <c r="H1454" s="40" t="n">
        <v>18</v>
      </c>
      <c r="I1454" s="40" t="inlineStr">
        <is>
          <t>Add to cart</t>
        </is>
      </c>
      <c r="J1454" s="40" t="inlineStr">
        <is>
          <t>1-23 August 2025</t>
        </is>
      </c>
      <c r="K1454" s="55" t="n">
        <v>894</v>
      </c>
      <c r="L1454" s="40" t="inlineStr">
        <is>
          <t>Completeness only</t>
        </is>
      </c>
      <c r="M1454" s="40">
        <f>IF(Countries!AD52="","STILL MISSING","Filled ✓")</f>
        <v/>
      </c>
    </row>
    <row r="1455">
      <c r="A1455" s="56" t="inlineStr">
        <is>
          <t>Countries</t>
        </is>
      </c>
      <c r="B1455" s="56" t="inlineStr">
        <is>
          <t>AE52</t>
        </is>
      </c>
      <c r="C1455" s="56" t="n">
        <v>52</v>
      </c>
      <c r="D1455" s="56" t="inlineStr">
        <is>
          <t>All landing pages</t>
        </is>
      </c>
      <c r="E1455" s="56" t="inlineStr">
        <is>
          <t>Organic</t>
        </is>
      </c>
      <c r="F1455" s="56" t="inlineStr">
        <is>
          <t>Mobile</t>
        </is>
      </c>
      <c r="G1455" s="56" t="inlineStr">
        <is>
          <t>Australia</t>
        </is>
      </c>
      <c r="H1455" s="56" t="n">
        <v>18</v>
      </c>
      <c r="I1455" s="56" t="inlineStr">
        <is>
          <t>Add to cart</t>
        </is>
      </c>
      <c r="J1455" s="56" t="inlineStr">
        <is>
          <t>1-23 August 2026</t>
        </is>
      </c>
      <c r="K1455" s="57" t="n">
        <v>894</v>
      </c>
      <c r="L1455" s="56" t="inlineStr">
        <is>
          <t>Completeness only</t>
        </is>
      </c>
      <c r="M1455" s="40">
        <f>IF(Countries!AE52="","STILL MISSING","Filled ✓")</f>
        <v/>
      </c>
    </row>
    <row r="1456">
      <c r="A1456" s="40" t="inlineStr">
        <is>
          <t>Countries</t>
        </is>
      </c>
      <c r="B1456" s="40" t="inlineStr">
        <is>
          <t>AK52</t>
        </is>
      </c>
      <c r="C1456" s="40" t="n">
        <v>52</v>
      </c>
      <c r="D1456" s="40" t="inlineStr">
        <is>
          <t>All landing pages</t>
        </is>
      </c>
      <c r="E1456" s="40" t="inlineStr">
        <is>
          <t>Organic</t>
        </is>
      </c>
      <c r="F1456" s="40" t="inlineStr">
        <is>
          <t>Mobile</t>
        </is>
      </c>
      <c r="G1456" s="40" t="inlineStr">
        <is>
          <t>Australia</t>
        </is>
      </c>
      <c r="H1456" s="40" t="n">
        <v>18</v>
      </c>
      <c r="I1456" s="40" t="inlineStr">
        <is>
          <t>Begin checkout</t>
        </is>
      </c>
      <c r="J1456" s="40" t="inlineStr">
        <is>
          <t>1-23 August 2025</t>
        </is>
      </c>
      <c r="K1456" s="55" t="n">
        <v>894</v>
      </c>
      <c r="L1456" s="40" t="inlineStr">
        <is>
          <t>Completeness only</t>
        </is>
      </c>
      <c r="M1456" s="40">
        <f>IF(Countries!AK52="","STILL MISSING","Filled ✓")</f>
        <v/>
      </c>
    </row>
    <row r="1457">
      <c r="A1457" s="56" t="inlineStr">
        <is>
          <t>Countries</t>
        </is>
      </c>
      <c r="B1457" s="56" t="inlineStr">
        <is>
          <t>AL52</t>
        </is>
      </c>
      <c r="C1457" s="56" t="n">
        <v>52</v>
      </c>
      <c r="D1457" s="56" t="inlineStr">
        <is>
          <t>All landing pages</t>
        </is>
      </c>
      <c r="E1457" s="56" t="inlineStr">
        <is>
          <t>Organic</t>
        </is>
      </c>
      <c r="F1457" s="56" t="inlineStr">
        <is>
          <t>Mobile</t>
        </is>
      </c>
      <c r="G1457" s="56" t="inlineStr">
        <is>
          <t>Australia</t>
        </is>
      </c>
      <c r="H1457" s="56" t="n">
        <v>18</v>
      </c>
      <c r="I1457" s="56" t="inlineStr">
        <is>
          <t>Begin checkout</t>
        </is>
      </c>
      <c r="J1457" s="56" t="inlineStr">
        <is>
          <t>1-23 August 2026</t>
        </is>
      </c>
      <c r="K1457" s="57" t="n">
        <v>894</v>
      </c>
      <c r="L1457" s="56" t="inlineStr">
        <is>
          <t>Completeness only</t>
        </is>
      </c>
      <c r="M1457" s="40">
        <f>IF(Countries!AL52="","STILL MISSING","Filled ✓")</f>
        <v/>
      </c>
    </row>
    <row r="1458">
      <c r="A1458" s="40" t="inlineStr">
        <is>
          <t>Countries</t>
        </is>
      </c>
      <c r="B1458" s="40" t="inlineStr">
        <is>
          <t>AS52</t>
        </is>
      </c>
      <c r="C1458" s="40" t="n">
        <v>52</v>
      </c>
      <c r="D1458" s="40" t="inlineStr">
        <is>
          <t>All landing pages</t>
        </is>
      </c>
      <c r="E1458" s="40" t="inlineStr">
        <is>
          <t>Organic</t>
        </is>
      </c>
      <c r="F1458" s="40" t="inlineStr">
        <is>
          <t>Mobile</t>
        </is>
      </c>
      <c r="G1458" s="40" t="inlineStr">
        <is>
          <t>Australia</t>
        </is>
      </c>
      <c r="H1458" s="40" t="n">
        <v>18</v>
      </c>
      <c r="I1458" s="40" t="inlineStr">
        <is>
          <t>Purchases</t>
        </is>
      </c>
      <c r="J1458" s="40" t="inlineStr">
        <is>
          <t>1-23 August 2026</t>
        </is>
      </c>
      <c r="K1458" s="55" t="n">
        <v>894</v>
      </c>
      <c r="L1458" s="40" t="inlineStr">
        <is>
          <t>Completeness only</t>
        </is>
      </c>
      <c r="M1458" s="40">
        <f>IF(Countries!AS52="","STILL MISSING","Filled ✓")</f>
        <v/>
      </c>
    </row>
    <row r="1459">
      <c r="A1459" s="56" t="inlineStr">
        <is>
          <t>Countries</t>
        </is>
      </c>
      <c r="B1459" s="56" t="inlineStr">
        <is>
          <t>X52</t>
        </is>
      </c>
      <c r="C1459" s="56" t="n">
        <v>52</v>
      </c>
      <c r="D1459" s="56" t="inlineStr">
        <is>
          <t>All landing pages</t>
        </is>
      </c>
      <c r="E1459" s="56" t="inlineStr">
        <is>
          <t>Organic</t>
        </is>
      </c>
      <c r="F1459" s="56" t="inlineStr">
        <is>
          <t>Mobile</t>
        </is>
      </c>
      <c r="G1459" s="56" t="inlineStr">
        <is>
          <t>Australia</t>
        </is>
      </c>
      <c r="H1459" s="56" t="n">
        <v>18</v>
      </c>
      <c r="I1459" s="56" t="inlineStr">
        <is>
          <t>Select item</t>
        </is>
      </c>
      <c r="J1459" s="56" t="inlineStr">
        <is>
          <t>1-23 August 2026</t>
        </is>
      </c>
      <c r="K1459" s="57" t="n">
        <v>894</v>
      </c>
      <c r="L1459" s="56" t="inlineStr">
        <is>
          <t>Completeness only</t>
        </is>
      </c>
      <c r="M1459" s="40">
        <f>IF(Countries!X52="","STILL MISSING","Filled ✓")</f>
        <v/>
      </c>
    </row>
    <row r="1460">
      <c r="A1460" s="40" t="inlineStr">
        <is>
          <t>Countries</t>
        </is>
      </c>
      <c r="B1460" s="40" t="inlineStr">
        <is>
          <t>J52</t>
        </is>
      </c>
      <c r="C1460" s="40" t="n">
        <v>52</v>
      </c>
      <c r="D1460" s="40" t="inlineStr">
        <is>
          <t>All landing pages</t>
        </is>
      </c>
      <c r="E1460" s="40" t="inlineStr">
        <is>
          <t>Organic</t>
        </is>
      </c>
      <c r="F1460" s="40" t="inlineStr">
        <is>
          <t>Mobile</t>
        </is>
      </c>
      <c r="G1460" s="40" t="inlineStr">
        <is>
          <t>Australia</t>
        </is>
      </c>
      <c r="H1460" s="40" t="n">
        <v>18</v>
      </c>
      <c r="I1460" s="40" t="inlineStr">
        <is>
          <t>Start Search</t>
        </is>
      </c>
      <c r="J1460" s="40" t="inlineStr">
        <is>
          <t>1-23 August 2026</t>
        </is>
      </c>
      <c r="K1460" s="55" t="n">
        <v>894</v>
      </c>
      <c r="L1460" s="40" t="inlineStr">
        <is>
          <t>Completeness only</t>
        </is>
      </c>
      <c r="M1460" s="40">
        <f>IF(Countries!J52="","STILL MISSING","Filled ✓")</f>
        <v/>
      </c>
    </row>
    <row r="1461">
      <c r="A1461" s="56" t="inlineStr">
        <is>
          <t>Countries</t>
        </is>
      </c>
      <c r="B1461" s="56" t="inlineStr">
        <is>
          <t>AD282</t>
        </is>
      </c>
      <c r="C1461" s="56" t="n">
        <v>282</v>
      </c>
      <c r="D1461" s="56" t="inlineStr">
        <is>
          <t>Airport page</t>
        </is>
      </c>
      <c r="E1461" s="56" t="inlineStr">
        <is>
          <t>Organic</t>
        </is>
      </c>
      <c r="F1461" s="56" t="inlineStr">
        <is>
          <t>Desktop</t>
        </is>
      </c>
      <c r="G1461" s="56" t="inlineStr">
        <is>
          <t>Australia</t>
        </is>
      </c>
      <c r="H1461" s="56" t="n">
        <v>18</v>
      </c>
      <c r="I1461" s="56" t="inlineStr">
        <is>
          <t>Add to cart</t>
        </is>
      </c>
      <c r="J1461" s="56" t="inlineStr">
        <is>
          <t>1-23 August 2025</t>
        </is>
      </c>
      <c r="K1461" s="57" t="n">
        <v>208</v>
      </c>
      <c r="L1461" s="56" t="inlineStr">
        <is>
          <t>Completeness only</t>
        </is>
      </c>
      <c r="M1461" s="40">
        <f>IF(Countries!AD282="","STILL MISSING","Filled ✓")</f>
        <v/>
      </c>
    </row>
    <row r="1462">
      <c r="A1462" s="40" t="inlineStr">
        <is>
          <t>Countries</t>
        </is>
      </c>
      <c r="B1462" s="40" t="inlineStr">
        <is>
          <t>AE282</t>
        </is>
      </c>
      <c r="C1462" s="40" t="n">
        <v>282</v>
      </c>
      <c r="D1462" s="40" t="inlineStr">
        <is>
          <t>Airport page</t>
        </is>
      </c>
      <c r="E1462" s="40" t="inlineStr">
        <is>
          <t>Organic</t>
        </is>
      </c>
      <c r="F1462" s="40" t="inlineStr">
        <is>
          <t>Desktop</t>
        </is>
      </c>
      <c r="G1462" s="40" t="inlineStr">
        <is>
          <t>Australia</t>
        </is>
      </c>
      <c r="H1462" s="40" t="n">
        <v>18</v>
      </c>
      <c r="I1462" s="40" t="inlineStr">
        <is>
          <t>Add to cart</t>
        </is>
      </c>
      <c r="J1462" s="40" t="inlineStr">
        <is>
          <t>1-23 August 2026</t>
        </is>
      </c>
      <c r="K1462" s="55" t="n">
        <v>208</v>
      </c>
      <c r="L1462" s="40" t="inlineStr">
        <is>
          <t>Completeness only</t>
        </is>
      </c>
      <c r="M1462" s="40">
        <f>IF(Countries!AE282="","STILL MISSING","Filled ✓")</f>
        <v/>
      </c>
    </row>
    <row r="1463">
      <c r="A1463" s="56" t="inlineStr">
        <is>
          <t>Countries</t>
        </is>
      </c>
      <c r="B1463" s="56" t="inlineStr">
        <is>
          <t>AK282</t>
        </is>
      </c>
      <c r="C1463" s="56" t="n">
        <v>282</v>
      </c>
      <c r="D1463" s="56" t="inlineStr">
        <is>
          <t>Airport page</t>
        </is>
      </c>
      <c r="E1463" s="56" t="inlineStr">
        <is>
          <t>Organic</t>
        </is>
      </c>
      <c r="F1463" s="56" t="inlineStr">
        <is>
          <t>Desktop</t>
        </is>
      </c>
      <c r="G1463" s="56" t="inlineStr">
        <is>
          <t>Australia</t>
        </is>
      </c>
      <c r="H1463" s="56" t="n">
        <v>18</v>
      </c>
      <c r="I1463" s="56" t="inlineStr">
        <is>
          <t>Begin checkout</t>
        </is>
      </c>
      <c r="J1463" s="56" t="inlineStr">
        <is>
          <t>1-23 August 2025</t>
        </is>
      </c>
      <c r="K1463" s="57" t="n">
        <v>208</v>
      </c>
      <c r="L1463" s="56" t="inlineStr">
        <is>
          <t>Completeness only</t>
        </is>
      </c>
      <c r="M1463" s="40">
        <f>IF(Countries!AK282="","STILL MISSING","Filled ✓")</f>
        <v/>
      </c>
    </row>
    <row r="1464">
      <c r="A1464" s="40" t="inlineStr">
        <is>
          <t>Countries</t>
        </is>
      </c>
      <c r="B1464" s="40" t="inlineStr">
        <is>
          <t>AL282</t>
        </is>
      </c>
      <c r="C1464" s="40" t="n">
        <v>282</v>
      </c>
      <c r="D1464" s="40" t="inlineStr">
        <is>
          <t>Airport page</t>
        </is>
      </c>
      <c r="E1464" s="40" t="inlineStr">
        <is>
          <t>Organic</t>
        </is>
      </c>
      <c r="F1464" s="40" t="inlineStr">
        <is>
          <t>Desktop</t>
        </is>
      </c>
      <c r="G1464" s="40" t="inlineStr">
        <is>
          <t>Australia</t>
        </is>
      </c>
      <c r="H1464" s="40" t="n">
        <v>18</v>
      </c>
      <c r="I1464" s="40" t="inlineStr">
        <is>
          <t>Begin checkout</t>
        </is>
      </c>
      <c r="J1464" s="40" t="inlineStr">
        <is>
          <t>1-23 August 2026</t>
        </is>
      </c>
      <c r="K1464" s="55" t="n">
        <v>208</v>
      </c>
      <c r="L1464" s="40" t="inlineStr">
        <is>
          <t>Completeness only</t>
        </is>
      </c>
      <c r="M1464" s="40">
        <f>IF(Countries!AL282="","STILL MISSING","Filled ✓")</f>
        <v/>
      </c>
    </row>
    <row r="1465">
      <c r="A1465" s="56" t="inlineStr">
        <is>
          <t>Countries</t>
        </is>
      </c>
      <c r="B1465" s="56" t="inlineStr">
        <is>
          <t>AD354</t>
        </is>
      </c>
      <c r="C1465" s="56" t="n">
        <v>354</v>
      </c>
      <c r="D1465" s="56" t="inlineStr">
        <is>
          <t>Route page</t>
        </is>
      </c>
      <c r="E1465" s="56" t="inlineStr">
        <is>
          <t>Paid Search</t>
        </is>
      </c>
      <c r="F1465" s="56" t="inlineStr">
        <is>
          <t>Desktop</t>
        </is>
      </c>
      <c r="G1465" s="56" t="inlineStr">
        <is>
          <t>Australia</t>
        </is>
      </c>
      <c r="H1465" s="56" t="n">
        <v>18</v>
      </c>
      <c r="I1465" s="56" t="inlineStr">
        <is>
          <t>Add to cart</t>
        </is>
      </c>
      <c r="J1465" s="56" t="inlineStr">
        <is>
          <t>1-23 August 2025</t>
        </is>
      </c>
      <c r="K1465" s="57" t="n">
        <v>376</v>
      </c>
      <c r="L1465" s="56" t="inlineStr">
        <is>
          <t>Completeness only</t>
        </is>
      </c>
      <c r="M1465" s="40">
        <f>IF(Countries!AD354="","STILL MISSING","Filled ✓")</f>
        <v/>
      </c>
    </row>
    <row r="1466">
      <c r="A1466" s="40" t="inlineStr">
        <is>
          <t>Countries</t>
        </is>
      </c>
      <c r="B1466" s="40" t="inlineStr">
        <is>
          <t>AE354</t>
        </is>
      </c>
      <c r="C1466" s="40" t="n">
        <v>354</v>
      </c>
      <c r="D1466" s="40" t="inlineStr">
        <is>
          <t>Route page</t>
        </is>
      </c>
      <c r="E1466" s="40" t="inlineStr">
        <is>
          <t>Paid Search</t>
        </is>
      </c>
      <c r="F1466" s="40" t="inlineStr">
        <is>
          <t>Desktop</t>
        </is>
      </c>
      <c r="G1466" s="40" t="inlineStr">
        <is>
          <t>Australia</t>
        </is>
      </c>
      <c r="H1466" s="40" t="n">
        <v>18</v>
      </c>
      <c r="I1466" s="40" t="inlineStr">
        <is>
          <t>Add to cart</t>
        </is>
      </c>
      <c r="J1466" s="40" t="inlineStr">
        <is>
          <t>1-23 August 2026</t>
        </is>
      </c>
      <c r="K1466" s="55" t="n">
        <v>376</v>
      </c>
      <c r="L1466" s="40" t="inlineStr">
        <is>
          <t>Completeness only</t>
        </is>
      </c>
      <c r="M1466" s="40">
        <f>IF(Countries!AE354="","STILL MISSING","Filled ✓")</f>
        <v/>
      </c>
    </row>
    <row r="1467">
      <c r="A1467" s="56" t="inlineStr">
        <is>
          <t>Countries</t>
        </is>
      </c>
      <c r="B1467" s="56" t="inlineStr">
        <is>
          <t>AK354</t>
        </is>
      </c>
      <c r="C1467" s="56" t="n">
        <v>354</v>
      </c>
      <c r="D1467" s="56" t="inlineStr">
        <is>
          <t>Route page</t>
        </is>
      </c>
      <c r="E1467" s="56" t="inlineStr">
        <is>
          <t>Paid Search</t>
        </is>
      </c>
      <c r="F1467" s="56" t="inlineStr">
        <is>
          <t>Desktop</t>
        </is>
      </c>
      <c r="G1467" s="56" t="inlineStr">
        <is>
          <t>Australia</t>
        </is>
      </c>
      <c r="H1467" s="56" t="n">
        <v>18</v>
      </c>
      <c r="I1467" s="56" t="inlineStr">
        <is>
          <t>Begin checkout</t>
        </is>
      </c>
      <c r="J1467" s="56" t="inlineStr">
        <is>
          <t>1-23 August 2025</t>
        </is>
      </c>
      <c r="K1467" s="57" t="n">
        <v>376</v>
      </c>
      <c r="L1467" s="56" t="inlineStr">
        <is>
          <t>Completeness only</t>
        </is>
      </c>
      <c r="M1467" s="40">
        <f>IF(Countries!AK354="","STILL MISSING","Filled ✓")</f>
        <v/>
      </c>
    </row>
    <row r="1468">
      <c r="A1468" s="40" t="inlineStr">
        <is>
          <t>Countries</t>
        </is>
      </c>
      <c r="B1468" s="40" t="inlineStr">
        <is>
          <t>AL354</t>
        </is>
      </c>
      <c r="C1468" s="40" t="n">
        <v>354</v>
      </c>
      <c r="D1468" s="40" t="inlineStr">
        <is>
          <t>Route page</t>
        </is>
      </c>
      <c r="E1468" s="40" t="inlineStr">
        <is>
          <t>Paid Search</t>
        </is>
      </c>
      <c r="F1468" s="40" t="inlineStr">
        <is>
          <t>Desktop</t>
        </is>
      </c>
      <c r="G1468" s="40" t="inlineStr">
        <is>
          <t>Australia</t>
        </is>
      </c>
      <c r="H1468" s="40" t="n">
        <v>18</v>
      </c>
      <c r="I1468" s="40" t="inlineStr">
        <is>
          <t>Begin checkout</t>
        </is>
      </c>
      <c r="J1468" s="40" t="inlineStr">
        <is>
          <t>1-23 August 2026</t>
        </is>
      </c>
      <c r="K1468" s="55" t="n">
        <v>376</v>
      </c>
      <c r="L1468" s="40" t="inlineStr">
        <is>
          <t>Completeness only</t>
        </is>
      </c>
      <c r="M1468" s="40">
        <f>IF(Countries!AL354="","STILL MISSING","Filled ✓")</f>
        <v/>
      </c>
    </row>
    <row r="1469">
      <c r="A1469" s="56" t="inlineStr">
        <is>
          <t>Countries</t>
        </is>
      </c>
      <c r="B1469" s="56" t="inlineStr">
        <is>
          <t>W354</t>
        </is>
      </c>
      <c r="C1469" s="56" t="n">
        <v>354</v>
      </c>
      <c r="D1469" s="56" t="inlineStr">
        <is>
          <t>Route page</t>
        </is>
      </c>
      <c r="E1469" s="56" t="inlineStr">
        <is>
          <t>Paid Search</t>
        </is>
      </c>
      <c r="F1469" s="56" t="inlineStr">
        <is>
          <t>Desktop</t>
        </is>
      </c>
      <c r="G1469" s="56" t="inlineStr">
        <is>
          <t>Australia</t>
        </is>
      </c>
      <c r="H1469" s="56" t="n">
        <v>18</v>
      </c>
      <c r="I1469" s="56" t="inlineStr">
        <is>
          <t>Select item</t>
        </is>
      </c>
      <c r="J1469" s="56" t="inlineStr">
        <is>
          <t>1-23 August 2025</t>
        </is>
      </c>
      <c r="K1469" s="57" t="n">
        <v>376</v>
      </c>
      <c r="L1469" s="56" t="inlineStr">
        <is>
          <t>Completeness only</t>
        </is>
      </c>
      <c r="M1469" s="40">
        <f>IF(Countries!W354="","STILL MISSING","Filled ✓")</f>
        <v/>
      </c>
    </row>
    <row r="1470">
      <c r="A1470" s="40" t="inlineStr">
        <is>
          <t>Countries</t>
        </is>
      </c>
      <c r="B1470" s="40" t="inlineStr">
        <is>
          <t>AD380</t>
        </is>
      </c>
      <c r="C1470" s="40" t="n">
        <v>380</v>
      </c>
      <c r="D1470" s="40" t="inlineStr">
        <is>
          <t>Route page</t>
        </is>
      </c>
      <c r="E1470" s="40" t="inlineStr">
        <is>
          <t>Organic</t>
        </is>
      </c>
      <c r="F1470" s="40" t="inlineStr">
        <is>
          <t>Desktop</t>
        </is>
      </c>
      <c r="G1470" s="40" t="inlineStr">
        <is>
          <t>Australia</t>
        </is>
      </c>
      <c r="H1470" s="40" t="n">
        <v>18</v>
      </c>
      <c r="I1470" s="40" t="inlineStr">
        <is>
          <t>Add to cart</t>
        </is>
      </c>
      <c r="J1470" s="40" t="inlineStr">
        <is>
          <t>1-23 August 2025</t>
        </is>
      </c>
      <c r="K1470" s="55" t="n">
        <v>528</v>
      </c>
      <c r="L1470" s="40" t="inlineStr">
        <is>
          <t>Completeness only</t>
        </is>
      </c>
      <c r="M1470" s="40">
        <f>IF(Countries!AD380="","STILL MISSING","Filled ✓")</f>
        <v/>
      </c>
    </row>
    <row r="1471">
      <c r="A1471" s="56" t="inlineStr">
        <is>
          <t>Countries</t>
        </is>
      </c>
      <c r="B1471" s="56" t="inlineStr">
        <is>
          <t>AE380</t>
        </is>
      </c>
      <c r="C1471" s="56" t="n">
        <v>380</v>
      </c>
      <c r="D1471" s="56" t="inlineStr">
        <is>
          <t>Route page</t>
        </is>
      </c>
      <c r="E1471" s="56" t="inlineStr">
        <is>
          <t>Organic</t>
        </is>
      </c>
      <c r="F1471" s="56" t="inlineStr">
        <is>
          <t>Desktop</t>
        </is>
      </c>
      <c r="G1471" s="56" t="inlineStr">
        <is>
          <t>Australia</t>
        </is>
      </c>
      <c r="H1471" s="56" t="n">
        <v>18</v>
      </c>
      <c r="I1471" s="56" t="inlineStr">
        <is>
          <t>Add to cart</t>
        </is>
      </c>
      <c r="J1471" s="56" t="inlineStr">
        <is>
          <t>1-23 August 2026</t>
        </is>
      </c>
      <c r="K1471" s="57" t="n">
        <v>528</v>
      </c>
      <c r="L1471" s="56" t="inlineStr">
        <is>
          <t>Completeness only</t>
        </is>
      </c>
      <c r="M1471" s="40">
        <f>IF(Countries!AE380="","STILL MISSING","Filled ✓")</f>
        <v/>
      </c>
    </row>
    <row r="1472">
      <c r="A1472" s="40" t="inlineStr">
        <is>
          <t>Countries</t>
        </is>
      </c>
      <c r="B1472" s="40" t="inlineStr">
        <is>
          <t>AK380</t>
        </is>
      </c>
      <c r="C1472" s="40" t="n">
        <v>380</v>
      </c>
      <c r="D1472" s="40" t="inlineStr">
        <is>
          <t>Route page</t>
        </is>
      </c>
      <c r="E1472" s="40" t="inlineStr">
        <is>
          <t>Organic</t>
        </is>
      </c>
      <c r="F1472" s="40" t="inlineStr">
        <is>
          <t>Desktop</t>
        </is>
      </c>
      <c r="G1472" s="40" t="inlineStr">
        <is>
          <t>Australia</t>
        </is>
      </c>
      <c r="H1472" s="40" t="n">
        <v>18</v>
      </c>
      <c r="I1472" s="40" t="inlineStr">
        <is>
          <t>Begin checkout</t>
        </is>
      </c>
      <c r="J1472" s="40" t="inlineStr">
        <is>
          <t>1-23 August 2025</t>
        </is>
      </c>
      <c r="K1472" s="55" t="n">
        <v>528</v>
      </c>
      <c r="L1472" s="40" t="inlineStr">
        <is>
          <t>Completeness only</t>
        </is>
      </c>
      <c r="M1472" s="40">
        <f>IF(Countries!AK380="","STILL MISSING","Filled ✓")</f>
        <v/>
      </c>
    </row>
    <row r="1473">
      <c r="A1473" s="56" t="inlineStr">
        <is>
          <t>Countries</t>
        </is>
      </c>
      <c r="B1473" s="56" t="inlineStr">
        <is>
          <t>AL380</t>
        </is>
      </c>
      <c r="C1473" s="56" t="n">
        <v>380</v>
      </c>
      <c r="D1473" s="56" t="inlineStr">
        <is>
          <t>Route page</t>
        </is>
      </c>
      <c r="E1473" s="56" t="inlineStr">
        <is>
          <t>Organic</t>
        </is>
      </c>
      <c r="F1473" s="56" t="inlineStr">
        <is>
          <t>Desktop</t>
        </is>
      </c>
      <c r="G1473" s="56" t="inlineStr">
        <is>
          <t>Australia</t>
        </is>
      </c>
      <c r="H1473" s="56" t="n">
        <v>18</v>
      </c>
      <c r="I1473" s="56" t="inlineStr">
        <is>
          <t>Begin checkout</t>
        </is>
      </c>
      <c r="J1473" s="56" t="inlineStr">
        <is>
          <t>1-23 August 2026</t>
        </is>
      </c>
      <c r="K1473" s="57" t="n">
        <v>528</v>
      </c>
      <c r="L1473" s="56" t="inlineStr">
        <is>
          <t>Completeness only</t>
        </is>
      </c>
      <c r="M1473" s="40">
        <f>IF(Countries!AL380="","STILL MISSING","Filled ✓")</f>
        <v/>
      </c>
    </row>
    <row r="1474">
      <c r="A1474" s="40" t="inlineStr">
        <is>
          <t>Countries</t>
        </is>
      </c>
      <c r="B1474" s="40" t="inlineStr">
        <is>
          <t>AD372</t>
        </is>
      </c>
      <c r="C1474" s="40" t="n">
        <v>372</v>
      </c>
      <c r="D1474" s="40" t="inlineStr">
        <is>
          <t>Route page</t>
        </is>
      </c>
      <c r="E1474" s="40" t="inlineStr">
        <is>
          <t>Organic</t>
        </is>
      </c>
      <c r="F1474" s="40" t="inlineStr">
        <is>
          <t>Mobile</t>
        </is>
      </c>
      <c r="G1474" s="40" t="inlineStr">
        <is>
          <t>Australia</t>
        </is>
      </c>
      <c r="H1474" s="40" t="n">
        <v>18</v>
      </c>
      <c r="I1474" s="40" t="inlineStr">
        <is>
          <t>Add to cart</t>
        </is>
      </c>
      <c r="J1474" s="40" t="inlineStr">
        <is>
          <t>1-23 August 2025</t>
        </is>
      </c>
      <c r="K1474" s="55" t="n">
        <v>598</v>
      </c>
      <c r="L1474" s="40" t="inlineStr">
        <is>
          <t>Completeness only</t>
        </is>
      </c>
      <c r="M1474" s="40">
        <f>IF(Countries!AD372="","STILL MISSING","Filled ✓")</f>
        <v/>
      </c>
    </row>
    <row r="1475">
      <c r="A1475" s="56" t="inlineStr">
        <is>
          <t>Countries</t>
        </is>
      </c>
      <c r="B1475" s="56" t="inlineStr">
        <is>
          <t>AE372</t>
        </is>
      </c>
      <c r="C1475" s="56" t="n">
        <v>372</v>
      </c>
      <c r="D1475" s="56" t="inlineStr">
        <is>
          <t>Route page</t>
        </is>
      </c>
      <c r="E1475" s="56" t="inlineStr">
        <is>
          <t>Organic</t>
        </is>
      </c>
      <c r="F1475" s="56" t="inlineStr">
        <is>
          <t>Mobile</t>
        </is>
      </c>
      <c r="G1475" s="56" t="inlineStr">
        <is>
          <t>Australia</t>
        </is>
      </c>
      <c r="H1475" s="56" t="n">
        <v>18</v>
      </c>
      <c r="I1475" s="56" t="inlineStr">
        <is>
          <t>Add to cart</t>
        </is>
      </c>
      <c r="J1475" s="56" t="inlineStr">
        <is>
          <t>1-23 August 2026</t>
        </is>
      </c>
      <c r="K1475" s="57" t="n">
        <v>598</v>
      </c>
      <c r="L1475" s="56" t="inlineStr">
        <is>
          <t>Completeness only</t>
        </is>
      </c>
      <c r="M1475" s="40">
        <f>IF(Countries!AE372="","STILL MISSING","Filled ✓")</f>
        <v/>
      </c>
    </row>
    <row r="1476">
      <c r="A1476" s="40" t="inlineStr">
        <is>
          <t>Countries</t>
        </is>
      </c>
      <c r="B1476" s="40" t="inlineStr">
        <is>
          <t>AK372</t>
        </is>
      </c>
      <c r="C1476" s="40" t="n">
        <v>372</v>
      </c>
      <c r="D1476" s="40" t="inlineStr">
        <is>
          <t>Route page</t>
        </is>
      </c>
      <c r="E1476" s="40" t="inlineStr">
        <is>
          <t>Organic</t>
        </is>
      </c>
      <c r="F1476" s="40" t="inlineStr">
        <is>
          <t>Mobile</t>
        </is>
      </c>
      <c r="G1476" s="40" t="inlineStr">
        <is>
          <t>Australia</t>
        </is>
      </c>
      <c r="H1476" s="40" t="n">
        <v>18</v>
      </c>
      <c r="I1476" s="40" t="inlineStr">
        <is>
          <t>Begin checkout</t>
        </is>
      </c>
      <c r="J1476" s="40" t="inlineStr">
        <is>
          <t>1-23 August 2025</t>
        </is>
      </c>
      <c r="K1476" s="55" t="n">
        <v>598</v>
      </c>
      <c r="L1476" s="40" t="inlineStr">
        <is>
          <t>Completeness only</t>
        </is>
      </c>
      <c r="M1476" s="40">
        <f>IF(Countries!AK372="","STILL MISSING","Filled ✓")</f>
        <v/>
      </c>
    </row>
    <row r="1477">
      <c r="A1477" s="56" t="inlineStr">
        <is>
          <t>Countries</t>
        </is>
      </c>
      <c r="B1477" s="56" t="inlineStr">
        <is>
          <t>AL372</t>
        </is>
      </c>
      <c r="C1477" s="56" t="n">
        <v>372</v>
      </c>
      <c r="D1477" s="56" t="inlineStr">
        <is>
          <t>Route page</t>
        </is>
      </c>
      <c r="E1477" s="56" t="inlineStr">
        <is>
          <t>Organic</t>
        </is>
      </c>
      <c r="F1477" s="56" t="inlineStr">
        <is>
          <t>Mobile</t>
        </is>
      </c>
      <c r="G1477" s="56" t="inlineStr">
        <is>
          <t>Australia</t>
        </is>
      </c>
      <c r="H1477" s="56" t="n">
        <v>18</v>
      </c>
      <c r="I1477" s="56" t="inlineStr">
        <is>
          <t>Begin checkout</t>
        </is>
      </c>
      <c r="J1477" s="56" t="inlineStr">
        <is>
          <t>1-23 August 2026</t>
        </is>
      </c>
      <c r="K1477" s="57" t="n">
        <v>598</v>
      </c>
      <c r="L1477" s="56" t="inlineStr">
        <is>
          <t>Completeness only</t>
        </is>
      </c>
      <c r="M1477" s="40">
        <f>IF(Countries!AL372="","STILL MISSING","Filled ✓")</f>
        <v/>
      </c>
    </row>
    <row r="1478">
      <c r="A1478" s="40" t="inlineStr">
        <is>
          <t>Countries</t>
        </is>
      </c>
      <c r="B1478" s="40" t="inlineStr">
        <is>
          <t>X372</t>
        </is>
      </c>
      <c r="C1478" s="40" t="n">
        <v>372</v>
      </c>
      <c r="D1478" s="40" t="inlineStr">
        <is>
          <t>Route page</t>
        </is>
      </c>
      <c r="E1478" s="40" t="inlineStr">
        <is>
          <t>Organic</t>
        </is>
      </c>
      <c r="F1478" s="40" t="inlineStr">
        <is>
          <t>Mobile</t>
        </is>
      </c>
      <c r="G1478" s="40" t="inlineStr">
        <is>
          <t>Australia</t>
        </is>
      </c>
      <c r="H1478" s="40" t="n">
        <v>18</v>
      </c>
      <c r="I1478" s="40" t="inlineStr">
        <is>
          <t>Select item</t>
        </is>
      </c>
      <c r="J1478" s="40" t="inlineStr">
        <is>
          <t>1-23 August 2026</t>
        </is>
      </c>
      <c r="K1478" s="55" t="n">
        <v>598</v>
      </c>
      <c r="L1478" s="40" t="inlineStr">
        <is>
          <t>Completeness only</t>
        </is>
      </c>
      <c r="M1478" s="40">
        <f>IF(Countries!X372="","STILL MISSING","Filled ✓")</f>
        <v/>
      </c>
    </row>
    <row r="1479">
      <c r="A1479" s="56" t="inlineStr">
        <is>
          <t>Countries</t>
        </is>
      </c>
      <c r="B1479" s="56" t="inlineStr">
        <is>
          <t>AD431</t>
        </is>
      </c>
      <c r="C1479" s="56" t="n">
        <v>431</v>
      </c>
      <c r="D1479" s="56" t="inlineStr">
        <is>
          <t>Route page</t>
        </is>
      </c>
      <c r="E1479" s="56" t="inlineStr">
        <is>
          <t>Direct</t>
        </is>
      </c>
      <c r="F1479" s="56" t="inlineStr">
        <is>
          <t>Desktop</t>
        </is>
      </c>
      <c r="G1479" s="56" t="inlineStr">
        <is>
          <t>Australia</t>
        </is>
      </c>
      <c r="H1479" s="56" t="n">
        <v>18</v>
      </c>
      <c r="I1479" s="56" t="inlineStr">
        <is>
          <t>Add to cart</t>
        </is>
      </c>
      <c r="J1479" s="56" t="inlineStr">
        <is>
          <t>1-23 August 2025</t>
        </is>
      </c>
      <c r="K1479" s="57" t="n">
        <v>17</v>
      </c>
      <c r="L1479" s="56" t="inlineStr">
        <is>
          <t>Completeness only</t>
        </is>
      </c>
      <c r="M1479" s="40">
        <f>IF(Countries!AD431="","STILL MISSING","Filled ✓")</f>
        <v/>
      </c>
    </row>
    <row r="1480">
      <c r="A1480" s="40" t="inlineStr">
        <is>
          <t>Countries</t>
        </is>
      </c>
      <c r="B1480" s="40" t="inlineStr">
        <is>
          <t>AE431</t>
        </is>
      </c>
      <c r="C1480" s="40" t="n">
        <v>431</v>
      </c>
      <c r="D1480" s="40" t="inlineStr">
        <is>
          <t>Route page</t>
        </is>
      </c>
      <c r="E1480" s="40" t="inlineStr">
        <is>
          <t>Direct</t>
        </is>
      </c>
      <c r="F1480" s="40" t="inlineStr">
        <is>
          <t>Desktop</t>
        </is>
      </c>
      <c r="G1480" s="40" t="inlineStr">
        <is>
          <t>Australia</t>
        </is>
      </c>
      <c r="H1480" s="40" t="n">
        <v>18</v>
      </c>
      <c r="I1480" s="40" t="inlineStr">
        <is>
          <t>Add to cart</t>
        </is>
      </c>
      <c r="J1480" s="40" t="inlineStr">
        <is>
          <t>1-23 August 2026</t>
        </is>
      </c>
      <c r="K1480" s="55" t="n">
        <v>17</v>
      </c>
      <c r="L1480" s="40" t="inlineStr">
        <is>
          <t>Completeness only</t>
        </is>
      </c>
      <c r="M1480" s="40">
        <f>IF(Countries!AE431="","STILL MISSING","Filled ✓")</f>
        <v/>
      </c>
    </row>
    <row r="1481">
      <c r="A1481" s="56" t="inlineStr">
        <is>
          <t>Countries</t>
        </is>
      </c>
      <c r="B1481" s="56" t="inlineStr">
        <is>
          <t>AK431</t>
        </is>
      </c>
      <c r="C1481" s="56" t="n">
        <v>431</v>
      </c>
      <c r="D1481" s="56" t="inlineStr">
        <is>
          <t>Route page</t>
        </is>
      </c>
      <c r="E1481" s="56" t="inlineStr">
        <is>
          <t>Direct</t>
        </is>
      </c>
      <c r="F1481" s="56" t="inlineStr">
        <is>
          <t>Desktop</t>
        </is>
      </c>
      <c r="G1481" s="56" t="inlineStr">
        <is>
          <t>Australia</t>
        </is>
      </c>
      <c r="H1481" s="56" t="n">
        <v>18</v>
      </c>
      <c r="I1481" s="56" t="inlineStr">
        <is>
          <t>Begin checkout</t>
        </is>
      </c>
      <c r="J1481" s="56" t="inlineStr">
        <is>
          <t>1-23 August 2025</t>
        </is>
      </c>
      <c r="K1481" s="57" t="n">
        <v>17</v>
      </c>
      <c r="L1481" s="56" t="inlineStr">
        <is>
          <t>Completeness only</t>
        </is>
      </c>
      <c r="M1481" s="40">
        <f>IF(Countries!AK431="","STILL MISSING","Filled ✓")</f>
        <v/>
      </c>
    </row>
    <row r="1482">
      <c r="A1482" s="40" t="inlineStr">
        <is>
          <t>Countries</t>
        </is>
      </c>
      <c r="B1482" s="40" t="inlineStr">
        <is>
          <t>AL431</t>
        </is>
      </c>
      <c r="C1482" s="40" t="n">
        <v>431</v>
      </c>
      <c r="D1482" s="40" t="inlineStr">
        <is>
          <t>Route page</t>
        </is>
      </c>
      <c r="E1482" s="40" t="inlineStr">
        <is>
          <t>Direct</t>
        </is>
      </c>
      <c r="F1482" s="40" t="inlineStr">
        <is>
          <t>Desktop</t>
        </is>
      </c>
      <c r="G1482" s="40" t="inlineStr">
        <is>
          <t>Australia</t>
        </is>
      </c>
      <c r="H1482" s="40" t="n">
        <v>18</v>
      </c>
      <c r="I1482" s="40" t="inlineStr">
        <is>
          <t>Begin checkout</t>
        </is>
      </c>
      <c r="J1482" s="40" t="inlineStr">
        <is>
          <t>1-23 August 2026</t>
        </is>
      </c>
      <c r="K1482" s="55" t="n">
        <v>17</v>
      </c>
      <c r="L1482" s="40" t="inlineStr">
        <is>
          <t>Completeness only</t>
        </is>
      </c>
      <c r="M1482" s="40">
        <f>IF(Countries!AL431="","STILL MISSING","Filled ✓")</f>
        <v/>
      </c>
    </row>
    <row r="1483">
      <c r="A1483" s="56" t="inlineStr">
        <is>
          <t>Countries</t>
        </is>
      </c>
      <c r="B1483" s="56" t="inlineStr">
        <is>
          <t>AS431</t>
        </is>
      </c>
      <c r="C1483" s="56" t="n">
        <v>431</v>
      </c>
      <c r="D1483" s="56" t="inlineStr">
        <is>
          <t>Route page</t>
        </is>
      </c>
      <c r="E1483" s="56" t="inlineStr">
        <is>
          <t>Direct</t>
        </is>
      </c>
      <c r="F1483" s="56" t="inlineStr">
        <is>
          <t>Desktop</t>
        </is>
      </c>
      <c r="G1483" s="56" t="inlineStr">
        <is>
          <t>Australia</t>
        </is>
      </c>
      <c r="H1483" s="56" t="n">
        <v>18</v>
      </c>
      <c r="I1483" s="56" t="inlineStr">
        <is>
          <t>Purchases</t>
        </is>
      </c>
      <c r="J1483" s="56" t="inlineStr">
        <is>
          <t>1-23 August 2026</t>
        </is>
      </c>
      <c r="K1483" s="57" t="n">
        <v>17</v>
      </c>
      <c r="L1483" s="56" t="inlineStr">
        <is>
          <t>Completeness only</t>
        </is>
      </c>
      <c r="M1483" s="40">
        <f>IF(Countries!AS431="","STILL MISSING","Filled ✓")</f>
        <v/>
      </c>
    </row>
    <row r="1484">
      <c r="A1484" s="40" t="inlineStr">
        <is>
          <t>Countries</t>
        </is>
      </c>
      <c r="B1484" s="40" t="inlineStr">
        <is>
          <t>Q431</t>
        </is>
      </c>
      <c r="C1484" s="40" t="n">
        <v>431</v>
      </c>
      <c r="D1484" s="40" t="inlineStr">
        <is>
          <t>Route page</t>
        </is>
      </c>
      <c r="E1484" s="40" t="inlineStr">
        <is>
          <t>Direct</t>
        </is>
      </c>
      <c r="F1484" s="40" t="inlineStr">
        <is>
          <t>Desktop</t>
        </is>
      </c>
      <c r="G1484" s="40" t="inlineStr">
        <is>
          <t>Australia</t>
        </is>
      </c>
      <c r="H1484" s="40" t="n">
        <v>18</v>
      </c>
      <c r="I1484" s="40" t="inlineStr">
        <is>
          <t>Searches</t>
        </is>
      </c>
      <c r="J1484" s="40" t="inlineStr">
        <is>
          <t>1-23 August 2026</t>
        </is>
      </c>
      <c r="K1484" s="55" t="n">
        <v>17</v>
      </c>
      <c r="L1484" s="40" t="inlineStr">
        <is>
          <t>Completeness only</t>
        </is>
      </c>
      <c r="M1484" s="40">
        <f>IF(Countries!Q431="","STILL MISSING","Filled ✓")</f>
        <v/>
      </c>
    </row>
    <row r="1485">
      <c r="A1485" s="56" t="inlineStr">
        <is>
          <t>Countries</t>
        </is>
      </c>
      <c r="B1485" s="56" t="inlineStr">
        <is>
          <t>W431</t>
        </is>
      </c>
      <c r="C1485" s="56" t="n">
        <v>431</v>
      </c>
      <c r="D1485" s="56" t="inlineStr">
        <is>
          <t>Route page</t>
        </is>
      </c>
      <c r="E1485" s="56" t="inlineStr">
        <is>
          <t>Direct</t>
        </is>
      </c>
      <c r="F1485" s="56" t="inlineStr">
        <is>
          <t>Desktop</t>
        </is>
      </c>
      <c r="G1485" s="56" t="inlineStr">
        <is>
          <t>Australia</t>
        </is>
      </c>
      <c r="H1485" s="56" t="n">
        <v>18</v>
      </c>
      <c r="I1485" s="56" t="inlineStr">
        <is>
          <t>Select item</t>
        </is>
      </c>
      <c r="J1485" s="56" t="inlineStr">
        <is>
          <t>1-23 August 2025</t>
        </is>
      </c>
      <c r="K1485" s="57" t="n">
        <v>17</v>
      </c>
      <c r="L1485" s="56" t="inlineStr">
        <is>
          <t>Completeness only</t>
        </is>
      </c>
      <c r="M1485" s="40">
        <f>IF(Countries!W431="","STILL MISSING","Filled ✓")</f>
        <v/>
      </c>
    </row>
    <row r="1486">
      <c r="A1486" s="40" t="inlineStr">
        <is>
          <t>Countries</t>
        </is>
      </c>
      <c r="B1486" s="40" t="inlineStr">
        <is>
          <t>X431</t>
        </is>
      </c>
      <c r="C1486" s="40" t="n">
        <v>431</v>
      </c>
      <c r="D1486" s="40" t="inlineStr">
        <is>
          <t>Route page</t>
        </is>
      </c>
      <c r="E1486" s="40" t="inlineStr">
        <is>
          <t>Direct</t>
        </is>
      </c>
      <c r="F1486" s="40" t="inlineStr">
        <is>
          <t>Desktop</t>
        </is>
      </c>
      <c r="G1486" s="40" t="inlineStr">
        <is>
          <t>Australia</t>
        </is>
      </c>
      <c r="H1486" s="40" t="n">
        <v>18</v>
      </c>
      <c r="I1486" s="40" t="inlineStr">
        <is>
          <t>Select item</t>
        </is>
      </c>
      <c r="J1486" s="40" t="inlineStr">
        <is>
          <t>1-23 August 2026</t>
        </is>
      </c>
      <c r="K1486" s="55" t="n">
        <v>17</v>
      </c>
      <c r="L1486" s="40" t="inlineStr">
        <is>
          <t>Completeness only</t>
        </is>
      </c>
      <c r="M1486" s="40">
        <f>IF(Countries!X431="","STILL MISSING","Filled ✓")</f>
        <v/>
      </c>
    </row>
    <row r="1487">
      <c r="A1487" s="56" t="inlineStr">
        <is>
          <t>Countries</t>
        </is>
      </c>
      <c r="B1487" s="56" t="inlineStr">
        <is>
          <t>J431</t>
        </is>
      </c>
      <c r="C1487" s="56" t="n">
        <v>431</v>
      </c>
      <c r="D1487" s="56" t="inlineStr">
        <is>
          <t>Route page</t>
        </is>
      </c>
      <c r="E1487" s="56" t="inlineStr">
        <is>
          <t>Direct</t>
        </is>
      </c>
      <c r="F1487" s="56" t="inlineStr">
        <is>
          <t>Desktop</t>
        </is>
      </c>
      <c r="G1487" s="56" t="inlineStr">
        <is>
          <t>Australia</t>
        </is>
      </c>
      <c r="H1487" s="56" t="n">
        <v>18</v>
      </c>
      <c r="I1487" s="56" t="inlineStr">
        <is>
          <t>Start Search</t>
        </is>
      </c>
      <c r="J1487" s="56" t="inlineStr">
        <is>
          <t>1-23 August 2026</t>
        </is>
      </c>
      <c r="K1487" s="57" t="n">
        <v>17</v>
      </c>
      <c r="L1487" s="56" t="inlineStr">
        <is>
          <t>Completeness only</t>
        </is>
      </c>
      <c r="M1487" s="40">
        <f>IF(Countries!J431="","STILL MISSING","Filled ✓")</f>
        <v/>
      </c>
    </row>
    <row r="1488">
      <c r="A1488" s="40" t="inlineStr">
        <is>
          <t>Countries</t>
        </is>
      </c>
      <c r="B1488" s="40" t="inlineStr">
        <is>
          <t>AD104</t>
        </is>
      </c>
      <c r="C1488" s="40" t="n">
        <v>104</v>
      </c>
      <c r="D1488" s="40" t="inlineStr">
        <is>
          <t>All landing pages</t>
        </is>
      </c>
      <c r="E1488" s="40" t="inlineStr">
        <is>
          <t>Direct</t>
        </is>
      </c>
      <c r="F1488" s="40" t="inlineStr">
        <is>
          <t>Desktop</t>
        </is>
      </c>
      <c r="G1488" s="40" t="inlineStr">
        <is>
          <t>Romania</t>
        </is>
      </c>
      <c r="H1488" s="40" t="n">
        <v>19</v>
      </c>
      <c r="I1488" s="40" t="inlineStr">
        <is>
          <t>Add to cart</t>
        </is>
      </c>
      <c r="J1488" s="40" t="inlineStr">
        <is>
          <t>1-23 August 2025</t>
        </is>
      </c>
      <c r="K1488" s="55" t="n">
        <v>449</v>
      </c>
      <c r="L1488" s="40" t="inlineStr">
        <is>
          <t>Completeness only</t>
        </is>
      </c>
      <c r="M1488" s="40">
        <f>IF(Countries!AD104="","STILL MISSING","Filled ✓")</f>
        <v/>
      </c>
    </row>
    <row r="1489">
      <c r="A1489" s="56" t="inlineStr">
        <is>
          <t>Countries</t>
        </is>
      </c>
      <c r="B1489" s="56" t="inlineStr">
        <is>
          <t>AE104</t>
        </is>
      </c>
      <c r="C1489" s="56" t="n">
        <v>104</v>
      </c>
      <c r="D1489" s="56" t="inlineStr">
        <is>
          <t>All landing pages</t>
        </is>
      </c>
      <c r="E1489" s="56" t="inlineStr">
        <is>
          <t>Direct</t>
        </is>
      </c>
      <c r="F1489" s="56" t="inlineStr">
        <is>
          <t>Desktop</t>
        </is>
      </c>
      <c r="G1489" s="56" t="inlineStr">
        <is>
          <t>Romania</t>
        </is>
      </c>
      <c r="H1489" s="56" t="n">
        <v>19</v>
      </c>
      <c r="I1489" s="56" t="inlineStr">
        <is>
          <t>Add to cart</t>
        </is>
      </c>
      <c r="J1489" s="56" t="inlineStr">
        <is>
          <t>1-23 August 2026</t>
        </is>
      </c>
      <c r="K1489" s="57" t="n">
        <v>449</v>
      </c>
      <c r="L1489" s="56" t="inlineStr">
        <is>
          <t>Completeness only</t>
        </is>
      </c>
      <c r="M1489" s="40">
        <f>IF(Countries!AE104="","STILL MISSING","Filled ✓")</f>
        <v/>
      </c>
    </row>
    <row r="1490">
      <c r="A1490" s="40" t="inlineStr">
        <is>
          <t>Countries</t>
        </is>
      </c>
      <c r="B1490" s="40" t="inlineStr">
        <is>
          <t>AK104</t>
        </is>
      </c>
      <c r="C1490" s="40" t="n">
        <v>104</v>
      </c>
      <c r="D1490" s="40" t="inlineStr">
        <is>
          <t>All landing pages</t>
        </is>
      </c>
      <c r="E1490" s="40" t="inlineStr">
        <is>
          <t>Direct</t>
        </is>
      </c>
      <c r="F1490" s="40" t="inlineStr">
        <is>
          <t>Desktop</t>
        </is>
      </c>
      <c r="G1490" s="40" t="inlineStr">
        <is>
          <t>Romania</t>
        </is>
      </c>
      <c r="H1490" s="40" t="n">
        <v>19</v>
      </c>
      <c r="I1490" s="40" t="inlineStr">
        <is>
          <t>Begin checkout</t>
        </is>
      </c>
      <c r="J1490" s="40" t="inlineStr">
        <is>
          <t>1-23 August 2025</t>
        </is>
      </c>
      <c r="K1490" s="55" t="n">
        <v>449</v>
      </c>
      <c r="L1490" s="40" t="inlineStr">
        <is>
          <t>Completeness only</t>
        </is>
      </c>
      <c r="M1490" s="40">
        <f>IF(Countries!AK104="","STILL MISSING","Filled ✓")</f>
        <v/>
      </c>
    </row>
    <row r="1491">
      <c r="A1491" s="56" t="inlineStr">
        <is>
          <t>Countries</t>
        </is>
      </c>
      <c r="B1491" s="56" t="inlineStr">
        <is>
          <t>AL104</t>
        </is>
      </c>
      <c r="C1491" s="56" t="n">
        <v>104</v>
      </c>
      <c r="D1491" s="56" t="inlineStr">
        <is>
          <t>All landing pages</t>
        </is>
      </c>
      <c r="E1491" s="56" t="inlineStr">
        <is>
          <t>Direct</t>
        </is>
      </c>
      <c r="F1491" s="56" t="inlineStr">
        <is>
          <t>Desktop</t>
        </is>
      </c>
      <c r="G1491" s="56" t="inlineStr">
        <is>
          <t>Romania</t>
        </is>
      </c>
      <c r="H1491" s="56" t="n">
        <v>19</v>
      </c>
      <c r="I1491" s="56" t="inlineStr">
        <is>
          <t>Begin checkout</t>
        </is>
      </c>
      <c r="J1491" s="56" t="inlineStr">
        <is>
          <t>1-23 August 2026</t>
        </is>
      </c>
      <c r="K1491" s="57" t="n">
        <v>449</v>
      </c>
      <c r="L1491" s="56" t="inlineStr">
        <is>
          <t>Completeness only</t>
        </is>
      </c>
      <c r="M1491" s="40">
        <f>IF(Countries!AL104="","STILL MISSING","Filled ✓")</f>
        <v/>
      </c>
    </row>
    <row r="1492">
      <c r="A1492" s="40" t="inlineStr">
        <is>
          <t>Countries</t>
        </is>
      </c>
      <c r="B1492" s="40" t="inlineStr">
        <is>
          <t>X104</t>
        </is>
      </c>
      <c r="C1492" s="40" t="n">
        <v>104</v>
      </c>
      <c r="D1492" s="40" t="inlineStr">
        <is>
          <t>All landing pages</t>
        </is>
      </c>
      <c r="E1492" s="40" t="inlineStr">
        <is>
          <t>Direct</t>
        </is>
      </c>
      <c r="F1492" s="40" t="inlineStr">
        <is>
          <t>Desktop</t>
        </is>
      </c>
      <c r="G1492" s="40" t="inlineStr">
        <is>
          <t>Romania</t>
        </is>
      </c>
      <c r="H1492" s="40" t="n">
        <v>19</v>
      </c>
      <c r="I1492" s="40" t="inlineStr">
        <is>
          <t>Select item</t>
        </is>
      </c>
      <c r="J1492" s="40" t="inlineStr">
        <is>
          <t>1-23 August 2026</t>
        </is>
      </c>
      <c r="K1492" s="55" t="n">
        <v>449</v>
      </c>
      <c r="L1492" s="40" t="inlineStr">
        <is>
          <t>Completeness only</t>
        </is>
      </c>
      <c r="M1492" s="40">
        <f>IF(Countries!X104="","STILL MISSING","Filled ✓")</f>
        <v/>
      </c>
    </row>
    <row r="1493">
      <c r="A1493" s="56" t="inlineStr">
        <is>
          <t>Countries</t>
        </is>
      </c>
      <c r="B1493" s="56" t="inlineStr">
        <is>
          <t>AD213</t>
        </is>
      </c>
      <c r="C1493" s="56" t="n">
        <v>213</v>
      </c>
      <c r="D1493" s="56" t="inlineStr">
        <is>
          <t>Home page</t>
        </is>
      </c>
      <c r="E1493" s="56" t="inlineStr">
        <is>
          <t>Direct</t>
        </is>
      </c>
      <c r="F1493" s="56" t="inlineStr">
        <is>
          <t>Desktop</t>
        </is>
      </c>
      <c r="G1493" s="56" t="inlineStr">
        <is>
          <t>Romania</t>
        </is>
      </c>
      <c r="H1493" s="56" t="n">
        <v>19</v>
      </c>
      <c r="I1493" s="56" t="inlineStr">
        <is>
          <t>Add to cart</t>
        </is>
      </c>
      <c r="J1493" s="56" t="inlineStr">
        <is>
          <t>1-23 August 2025</t>
        </is>
      </c>
      <c r="K1493" s="57" t="n">
        <v>208</v>
      </c>
      <c r="L1493" s="56" t="inlineStr">
        <is>
          <t>Completeness only</t>
        </is>
      </c>
      <c r="M1493" s="40">
        <f>IF(Countries!AD213="","STILL MISSING","Filled ✓")</f>
        <v/>
      </c>
    </row>
    <row r="1494">
      <c r="A1494" s="40" t="inlineStr">
        <is>
          <t>Countries</t>
        </is>
      </c>
      <c r="B1494" s="40" t="inlineStr">
        <is>
          <t>AE213</t>
        </is>
      </c>
      <c r="C1494" s="40" t="n">
        <v>213</v>
      </c>
      <c r="D1494" s="40" t="inlineStr">
        <is>
          <t>Home page</t>
        </is>
      </c>
      <c r="E1494" s="40" t="inlineStr">
        <is>
          <t>Direct</t>
        </is>
      </c>
      <c r="F1494" s="40" t="inlineStr">
        <is>
          <t>Desktop</t>
        </is>
      </c>
      <c r="G1494" s="40" t="inlineStr">
        <is>
          <t>Romania</t>
        </is>
      </c>
      <c r="H1494" s="40" t="n">
        <v>19</v>
      </c>
      <c r="I1494" s="40" t="inlineStr">
        <is>
          <t>Add to cart</t>
        </is>
      </c>
      <c r="J1494" s="40" t="inlineStr">
        <is>
          <t>1-23 August 2026</t>
        </is>
      </c>
      <c r="K1494" s="55" t="n">
        <v>208</v>
      </c>
      <c r="L1494" s="40" t="inlineStr">
        <is>
          <t>Completeness only</t>
        </is>
      </c>
      <c r="M1494" s="40">
        <f>IF(Countries!AE213="","STILL MISSING","Filled ✓")</f>
        <v/>
      </c>
    </row>
    <row r="1495">
      <c r="A1495" s="56" t="inlineStr">
        <is>
          <t>Countries</t>
        </is>
      </c>
      <c r="B1495" s="56" t="inlineStr">
        <is>
          <t>AK213</t>
        </is>
      </c>
      <c r="C1495" s="56" t="n">
        <v>213</v>
      </c>
      <c r="D1495" s="56" t="inlineStr">
        <is>
          <t>Home page</t>
        </is>
      </c>
      <c r="E1495" s="56" t="inlineStr">
        <is>
          <t>Direct</t>
        </is>
      </c>
      <c r="F1495" s="56" t="inlineStr">
        <is>
          <t>Desktop</t>
        </is>
      </c>
      <c r="G1495" s="56" t="inlineStr">
        <is>
          <t>Romania</t>
        </is>
      </c>
      <c r="H1495" s="56" t="n">
        <v>19</v>
      </c>
      <c r="I1495" s="56" t="inlineStr">
        <is>
          <t>Begin checkout</t>
        </is>
      </c>
      <c r="J1495" s="56" t="inlineStr">
        <is>
          <t>1-23 August 2025</t>
        </is>
      </c>
      <c r="K1495" s="57" t="n">
        <v>208</v>
      </c>
      <c r="L1495" s="56" t="inlineStr">
        <is>
          <t>Completeness only</t>
        </is>
      </c>
      <c r="M1495" s="40">
        <f>IF(Countries!AK213="","STILL MISSING","Filled ✓")</f>
        <v/>
      </c>
    </row>
    <row r="1496">
      <c r="A1496" s="40" t="inlineStr">
        <is>
          <t>Countries</t>
        </is>
      </c>
      <c r="B1496" s="40" t="inlineStr">
        <is>
          <t>AL213</t>
        </is>
      </c>
      <c r="C1496" s="40" t="n">
        <v>213</v>
      </c>
      <c r="D1496" s="40" t="inlineStr">
        <is>
          <t>Home page</t>
        </is>
      </c>
      <c r="E1496" s="40" t="inlineStr">
        <is>
          <t>Direct</t>
        </is>
      </c>
      <c r="F1496" s="40" t="inlineStr">
        <is>
          <t>Desktop</t>
        </is>
      </c>
      <c r="G1496" s="40" t="inlineStr">
        <is>
          <t>Romania</t>
        </is>
      </c>
      <c r="H1496" s="40" t="n">
        <v>19</v>
      </c>
      <c r="I1496" s="40" t="inlineStr">
        <is>
          <t>Begin checkout</t>
        </is>
      </c>
      <c r="J1496" s="40" t="inlineStr">
        <is>
          <t>1-23 August 2026</t>
        </is>
      </c>
      <c r="K1496" s="55" t="n">
        <v>208</v>
      </c>
      <c r="L1496" s="40" t="inlineStr">
        <is>
          <t>Completeness only</t>
        </is>
      </c>
      <c r="M1496" s="40">
        <f>IF(Countries!AL213="","STILL MISSING","Filled ✓")</f>
        <v/>
      </c>
    </row>
    <row r="1497">
      <c r="A1497" s="56" t="inlineStr">
        <is>
          <t>Countries</t>
        </is>
      </c>
      <c r="B1497" s="56" t="inlineStr">
        <is>
          <t>AD339</t>
        </is>
      </c>
      <c r="C1497" s="56" t="n">
        <v>339</v>
      </c>
      <c r="D1497" s="56" t="inlineStr">
        <is>
          <t>Route page</t>
        </is>
      </c>
      <c r="E1497" s="56" t="inlineStr">
        <is>
          <t>Paid Search</t>
        </is>
      </c>
      <c r="F1497" s="56" t="inlineStr">
        <is>
          <t>Mobile</t>
        </is>
      </c>
      <c r="G1497" s="56" t="inlineStr">
        <is>
          <t>Romania</t>
        </is>
      </c>
      <c r="H1497" s="56" t="n">
        <v>19</v>
      </c>
      <c r="I1497" s="56" t="inlineStr">
        <is>
          <t>Add to cart</t>
        </is>
      </c>
      <c r="J1497" s="56" t="inlineStr">
        <is>
          <t>1-23 August 2025</t>
        </is>
      </c>
      <c r="K1497" s="57" t="n">
        <v>435</v>
      </c>
      <c r="L1497" s="56" t="inlineStr">
        <is>
          <t>Completeness only</t>
        </is>
      </c>
      <c r="M1497" s="40">
        <f>IF(Countries!AD339="","STILL MISSING","Filled ✓")</f>
        <v/>
      </c>
    </row>
    <row r="1498">
      <c r="A1498" s="40" t="inlineStr">
        <is>
          <t>Countries</t>
        </is>
      </c>
      <c r="B1498" s="40" t="inlineStr">
        <is>
          <t>AE339</t>
        </is>
      </c>
      <c r="C1498" s="40" t="n">
        <v>339</v>
      </c>
      <c r="D1498" s="40" t="inlineStr">
        <is>
          <t>Route page</t>
        </is>
      </c>
      <c r="E1498" s="40" t="inlineStr">
        <is>
          <t>Paid Search</t>
        </is>
      </c>
      <c r="F1498" s="40" t="inlineStr">
        <is>
          <t>Mobile</t>
        </is>
      </c>
      <c r="G1498" s="40" t="inlineStr">
        <is>
          <t>Romania</t>
        </is>
      </c>
      <c r="H1498" s="40" t="n">
        <v>19</v>
      </c>
      <c r="I1498" s="40" t="inlineStr">
        <is>
          <t>Add to cart</t>
        </is>
      </c>
      <c r="J1498" s="40" t="inlineStr">
        <is>
          <t>1-23 August 2026</t>
        </is>
      </c>
      <c r="K1498" s="55" t="n">
        <v>435</v>
      </c>
      <c r="L1498" s="40" t="inlineStr">
        <is>
          <t>Completeness only</t>
        </is>
      </c>
      <c r="M1498" s="40">
        <f>IF(Countries!AE339="","STILL MISSING","Filled ✓")</f>
        <v/>
      </c>
    </row>
    <row r="1499">
      <c r="A1499" s="56" t="inlineStr">
        <is>
          <t>Countries</t>
        </is>
      </c>
      <c r="B1499" s="56" t="inlineStr">
        <is>
          <t>AK339</t>
        </is>
      </c>
      <c r="C1499" s="56" t="n">
        <v>339</v>
      </c>
      <c r="D1499" s="56" t="inlineStr">
        <is>
          <t>Route page</t>
        </is>
      </c>
      <c r="E1499" s="56" t="inlineStr">
        <is>
          <t>Paid Search</t>
        </is>
      </c>
      <c r="F1499" s="56" t="inlineStr">
        <is>
          <t>Mobile</t>
        </is>
      </c>
      <c r="G1499" s="56" t="inlineStr">
        <is>
          <t>Romania</t>
        </is>
      </c>
      <c r="H1499" s="56" t="n">
        <v>19</v>
      </c>
      <c r="I1499" s="56" t="inlineStr">
        <is>
          <t>Begin checkout</t>
        </is>
      </c>
      <c r="J1499" s="56" t="inlineStr">
        <is>
          <t>1-23 August 2025</t>
        </is>
      </c>
      <c r="K1499" s="57" t="n">
        <v>435</v>
      </c>
      <c r="L1499" s="56" t="inlineStr">
        <is>
          <t>Completeness only</t>
        </is>
      </c>
      <c r="M1499" s="40">
        <f>IF(Countries!AK339="","STILL MISSING","Filled ✓")</f>
        <v/>
      </c>
    </row>
    <row r="1500">
      <c r="A1500" s="40" t="inlineStr">
        <is>
          <t>Countries</t>
        </is>
      </c>
      <c r="B1500" s="40" t="inlineStr">
        <is>
          <t>AL339</t>
        </is>
      </c>
      <c r="C1500" s="40" t="n">
        <v>339</v>
      </c>
      <c r="D1500" s="40" t="inlineStr">
        <is>
          <t>Route page</t>
        </is>
      </c>
      <c r="E1500" s="40" t="inlineStr">
        <is>
          <t>Paid Search</t>
        </is>
      </c>
      <c r="F1500" s="40" t="inlineStr">
        <is>
          <t>Mobile</t>
        </is>
      </c>
      <c r="G1500" s="40" t="inlineStr">
        <is>
          <t>Romania</t>
        </is>
      </c>
      <c r="H1500" s="40" t="n">
        <v>19</v>
      </c>
      <c r="I1500" s="40" t="inlineStr">
        <is>
          <t>Begin checkout</t>
        </is>
      </c>
      <c r="J1500" s="40" t="inlineStr">
        <is>
          <t>1-23 August 2026</t>
        </is>
      </c>
      <c r="K1500" s="55" t="n">
        <v>435</v>
      </c>
      <c r="L1500" s="40" t="inlineStr">
        <is>
          <t>Completeness only</t>
        </is>
      </c>
      <c r="M1500" s="40">
        <f>IF(Countries!AL339="","STILL MISSING","Filled ✓")</f>
        <v/>
      </c>
    </row>
    <row r="1501">
      <c r="A1501" s="56" t="inlineStr">
        <is>
          <t>Countries</t>
        </is>
      </c>
      <c r="B1501" s="56" t="inlineStr">
        <is>
          <t>AS339</t>
        </is>
      </c>
      <c r="C1501" s="56" t="n">
        <v>339</v>
      </c>
      <c r="D1501" s="56" t="inlineStr">
        <is>
          <t>Route page</t>
        </is>
      </c>
      <c r="E1501" s="56" t="inlineStr">
        <is>
          <t>Paid Search</t>
        </is>
      </c>
      <c r="F1501" s="56" t="inlineStr">
        <is>
          <t>Mobile</t>
        </is>
      </c>
      <c r="G1501" s="56" t="inlineStr">
        <is>
          <t>Romania</t>
        </is>
      </c>
      <c r="H1501" s="56" t="n">
        <v>19</v>
      </c>
      <c r="I1501" s="56" t="inlineStr">
        <is>
          <t>Purchases</t>
        </is>
      </c>
      <c r="J1501" s="56" t="inlineStr">
        <is>
          <t>1-23 August 2026</t>
        </is>
      </c>
      <c r="K1501" s="57" t="n">
        <v>435</v>
      </c>
      <c r="L1501" s="56" t="inlineStr">
        <is>
          <t>Completeness only</t>
        </is>
      </c>
      <c r="M1501" s="40">
        <f>IF(Countries!AS339="","STILL MISSING","Filled ✓")</f>
        <v/>
      </c>
    </row>
    <row r="1502">
      <c r="A1502" s="40" t="inlineStr">
        <is>
          <t>Countries</t>
        </is>
      </c>
      <c r="B1502" s="40" t="inlineStr">
        <is>
          <t>X339</t>
        </is>
      </c>
      <c r="C1502" s="40" t="n">
        <v>339</v>
      </c>
      <c r="D1502" s="40" t="inlineStr">
        <is>
          <t>Route page</t>
        </is>
      </c>
      <c r="E1502" s="40" t="inlineStr">
        <is>
          <t>Paid Search</t>
        </is>
      </c>
      <c r="F1502" s="40" t="inlineStr">
        <is>
          <t>Mobile</t>
        </is>
      </c>
      <c r="G1502" s="40" t="inlineStr">
        <is>
          <t>Romania</t>
        </is>
      </c>
      <c r="H1502" s="40" t="n">
        <v>19</v>
      </c>
      <c r="I1502" s="40" t="inlineStr">
        <is>
          <t>Select item</t>
        </is>
      </c>
      <c r="J1502" s="40" t="inlineStr">
        <is>
          <t>1-23 August 2026</t>
        </is>
      </c>
      <c r="K1502" s="55" t="n">
        <v>435</v>
      </c>
      <c r="L1502" s="40" t="inlineStr">
        <is>
          <t>Completeness only</t>
        </is>
      </c>
      <c r="M1502" s="40">
        <f>IF(Countries!X339="","STILL MISSING","Filled ✓")</f>
        <v/>
      </c>
    </row>
    <row r="1503">
      <c r="A1503" s="56" t="inlineStr">
        <is>
          <t>Countries</t>
        </is>
      </c>
      <c r="B1503" s="56" t="inlineStr">
        <is>
          <t>J339</t>
        </is>
      </c>
      <c r="C1503" s="56" t="n">
        <v>339</v>
      </c>
      <c r="D1503" s="56" t="inlineStr">
        <is>
          <t>Route page</t>
        </is>
      </c>
      <c r="E1503" s="56" t="inlineStr">
        <is>
          <t>Paid Search</t>
        </is>
      </c>
      <c r="F1503" s="56" t="inlineStr">
        <is>
          <t>Mobile</t>
        </is>
      </c>
      <c r="G1503" s="56" t="inlineStr">
        <is>
          <t>Romania</t>
        </is>
      </c>
      <c r="H1503" s="56" t="n">
        <v>19</v>
      </c>
      <c r="I1503" s="56" t="inlineStr">
        <is>
          <t>Start Search</t>
        </is>
      </c>
      <c r="J1503" s="56" t="inlineStr">
        <is>
          <t>1-23 August 2026</t>
        </is>
      </c>
      <c r="K1503" s="57" t="n">
        <v>435</v>
      </c>
      <c r="L1503" s="56" t="inlineStr">
        <is>
          <t>Completeness only</t>
        </is>
      </c>
      <c r="M1503" s="40">
        <f>IF(Countries!J339="","STILL MISSING","Filled ✓")</f>
        <v/>
      </c>
    </row>
    <row r="1504">
      <c r="A1504" s="40" t="inlineStr">
        <is>
          <t>Countries</t>
        </is>
      </c>
      <c r="B1504" s="40" t="inlineStr">
        <is>
          <t>AD425</t>
        </is>
      </c>
      <c r="C1504" s="40" t="n">
        <v>425</v>
      </c>
      <c r="D1504" s="40" t="inlineStr">
        <is>
          <t>Route page</t>
        </is>
      </c>
      <c r="E1504" s="40" t="inlineStr">
        <is>
          <t>Direct</t>
        </is>
      </c>
      <c r="F1504" s="40" t="inlineStr">
        <is>
          <t>Desktop</t>
        </is>
      </c>
      <c r="G1504" s="40" t="inlineStr">
        <is>
          <t>Romania</t>
        </is>
      </c>
      <c r="H1504" s="40" t="n">
        <v>19</v>
      </c>
      <c r="I1504" s="40" t="inlineStr">
        <is>
          <t>Add to cart</t>
        </is>
      </c>
      <c r="J1504" s="40" t="inlineStr">
        <is>
          <t>1-23 August 2025</t>
        </is>
      </c>
      <c r="K1504" s="55" t="n">
        <v>123</v>
      </c>
      <c r="L1504" s="40" t="inlineStr">
        <is>
          <t>Completeness only</t>
        </is>
      </c>
      <c r="M1504" s="40">
        <f>IF(Countries!AD425="","STILL MISSING","Filled ✓")</f>
        <v/>
      </c>
    </row>
    <row r="1505">
      <c r="A1505" s="56" t="inlineStr">
        <is>
          <t>Countries</t>
        </is>
      </c>
      <c r="B1505" s="56" t="inlineStr">
        <is>
          <t>AE425</t>
        </is>
      </c>
      <c r="C1505" s="56" t="n">
        <v>425</v>
      </c>
      <c r="D1505" s="56" t="inlineStr">
        <is>
          <t>Route page</t>
        </is>
      </c>
      <c r="E1505" s="56" t="inlineStr">
        <is>
          <t>Direct</t>
        </is>
      </c>
      <c r="F1505" s="56" t="inlineStr">
        <is>
          <t>Desktop</t>
        </is>
      </c>
      <c r="G1505" s="56" t="inlineStr">
        <is>
          <t>Romania</t>
        </is>
      </c>
      <c r="H1505" s="56" t="n">
        <v>19</v>
      </c>
      <c r="I1505" s="56" t="inlineStr">
        <is>
          <t>Add to cart</t>
        </is>
      </c>
      <c r="J1505" s="56" t="inlineStr">
        <is>
          <t>1-23 August 2026</t>
        </is>
      </c>
      <c r="K1505" s="57" t="n">
        <v>123</v>
      </c>
      <c r="L1505" s="56" t="inlineStr">
        <is>
          <t>Completeness only</t>
        </is>
      </c>
      <c r="M1505" s="40">
        <f>IF(Countries!AE425="","STILL MISSING","Filled ✓")</f>
        <v/>
      </c>
    </row>
    <row r="1506">
      <c r="A1506" s="40" t="inlineStr">
        <is>
          <t>Countries</t>
        </is>
      </c>
      <c r="B1506" s="40" t="inlineStr">
        <is>
          <t>AK425</t>
        </is>
      </c>
      <c r="C1506" s="40" t="n">
        <v>425</v>
      </c>
      <c r="D1506" s="40" t="inlineStr">
        <is>
          <t>Route page</t>
        </is>
      </c>
      <c r="E1506" s="40" t="inlineStr">
        <is>
          <t>Direct</t>
        </is>
      </c>
      <c r="F1506" s="40" t="inlineStr">
        <is>
          <t>Desktop</t>
        </is>
      </c>
      <c r="G1506" s="40" t="inlineStr">
        <is>
          <t>Romania</t>
        </is>
      </c>
      <c r="H1506" s="40" t="n">
        <v>19</v>
      </c>
      <c r="I1506" s="40" t="inlineStr">
        <is>
          <t>Begin checkout</t>
        </is>
      </c>
      <c r="J1506" s="40" t="inlineStr">
        <is>
          <t>1-23 August 2025</t>
        </is>
      </c>
      <c r="K1506" s="55" t="n">
        <v>123</v>
      </c>
      <c r="L1506" s="40" t="inlineStr">
        <is>
          <t>Completeness only</t>
        </is>
      </c>
      <c r="M1506" s="40">
        <f>IF(Countries!AK425="","STILL MISSING","Filled ✓")</f>
        <v/>
      </c>
    </row>
    <row r="1507">
      <c r="A1507" s="56" t="inlineStr">
        <is>
          <t>Countries</t>
        </is>
      </c>
      <c r="B1507" s="56" t="inlineStr">
        <is>
          <t>AL425</t>
        </is>
      </c>
      <c r="C1507" s="56" t="n">
        <v>425</v>
      </c>
      <c r="D1507" s="56" t="inlineStr">
        <is>
          <t>Route page</t>
        </is>
      </c>
      <c r="E1507" s="56" t="inlineStr">
        <is>
          <t>Direct</t>
        </is>
      </c>
      <c r="F1507" s="56" t="inlineStr">
        <is>
          <t>Desktop</t>
        </is>
      </c>
      <c r="G1507" s="56" t="inlineStr">
        <is>
          <t>Romania</t>
        </is>
      </c>
      <c r="H1507" s="56" t="n">
        <v>19</v>
      </c>
      <c r="I1507" s="56" t="inlineStr">
        <is>
          <t>Begin checkout</t>
        </is>
      </c>
      <c r="J1507" s="56" t="inlineStr">
        <is>
          <t>1-23 August 2026</t>
        </is>
      </c>
      <c r="K1507" s="57" t="n">
        <v>123</v>
      </c>
      <c r="L1507" s="56" t="inlineStr">
        <is>
          <t>Completeness only</t>
        </is>
      </c>
      <c r="M1507" s="40">
        <f>IF(Countries!AL425="","STILL MISSING","Filled ✓")</f>
        <v/>
      </c>
    </row>
    <row r="1508">
      <c r="A1508" s="40" t="inlineStr">
        <is>
          <t>Countries</t>
        </is>
      </c>
      <c r="B1508" s="40" t="inlineStr">
        <is>
          <t>AR425</t>
        </is>
      </c>
      <c r="C1508" s="40" t="n">
        <v>425</v>
      </c>
      <c r="D1508" s="40" t="inlineStr">
        <is>
          <t>Route page</t>
        </is>
      </c>
      <c r="E1508" s="40" t="inlineStr">
        <is>
          <t>Direct</t>
        </is>
      </c>
      <c r="F1508" s="40" t="inlineStr">
        <is>
          <t>Desktop</t>
        </is>
      </c>
      <c r="G1508" s="40" t="inlineStr">
        <is>
          <t>Romania</t>
        </is>
      </c>
      <c r="H1508" s="40" t="n">
        <v>19</v>
      </c>
      <c r="I1508" s="40" t="inlineStr">
        <is>
          <t>Purchases</t>
        </is>
      </c>
      <c r="J1508" s="40" t="inlineStr">
        <is>
          <t>1-23 August 2025</t>
        </is>
      </c>
      <c r="K1508" s="55" t="n">
        <v>123</v>
      </c>
      <c r="L1508" s="40" t="inlineStr">
        <is>
          <t>Completeness only</t>
        </is>
      </c>
      <c r="M1508" s="40">
        <f>IF(Countries!AR425="","STILL MISSING","Filled ✓")</f>
        <v/>
      </c>
    </row>
    <row r="1509">
      <c r="A1509" s="56" t="inlineStr">
        <is>
          <t>Countries</t>
        </is>
      </c>
      <c r="B1509" s="56" t="inlineStr">
        <is>
          <t>W425</t>
        </is>
      </c>
      <c r="C1509" s="56" t="n">
        <v>425</v>
      </c>
      <c r="D1509" s="56" t="inlineStr">
        <is>
          <t>Route page</t>
        </is>
      </c>
      <c r="E1509" s="56" t="inlineStr">
        <is>
          <t>Direct</t>
        </is>
      </c>
      <c r="F1509" s="56" t="inlineStr">
        <is>
          <t>Desktop</t>
        </is>
      </c>
      <c r="G1509" s="56" t="inlineStr">
        <is>
          <t>Romania</t>
        </is>
      </c>
      <c r="H1509" s="56" t="n">
        <v>19</v>
      </c>
      <c r="I1509" s="56" t="inlineStr">
        <is>
          <t>Select item</t>
        </is>
      </c>
      <c r="J1509" s="56" t="inlineStr">
        <is>
          <t>1-23 August 2025</t>
        </is>
      </c>
      <c r="K1509" s="57" t="n">
        <v>123</v>
      </c>
      <c r="L1509" s="56" t="inlineStr">
        <is>
          <t>Completeness only</t>
        </is>
      </c>
      <c r="M1509" s="40">
        <f>IF(Countries!W425="","STILL MISSING","Filled ✓")</f>
        <v/>
      </c>
    </row>
    <row r="1510">
      <c r="A1510" s="40" t="inlineStr">
        <is>
          <t>Countries</t>
        </is>
      </c>
      <c r="B1510" s="40" t="inlineStr">
        <is>
          <t>I425</t>
        </is>
      </c>
      <c r="C1510" s="40" t="n">
        <v>425</v>
      </c>
      <c r="D1510" s="40" t="inlineStr">
        <is>
          <t>Route page</t>
        </is>
      </c>
      <c r="E1510" s="40" t="inlineStr">
        <is>
          <t>Direct</t>
        </is>
      </c>
      <c r="F1510" s="40" t="inlineStr">
        <is>
          <t>Desktop</t>
        </is>
      </c>
      <c r="G1510" s="40" t="inlineStr">
        <is>
          <t>Romania</t>
        </is>
      </c>
      <c r="H1510" s="40" t="n">
        <v>19</v>
      </c>
      <c r="I1510" s="40" t="inlineStr">
        <is>
          <t>Start Search</t>
        </is>
      </c>
      <c r="J1510" s="40" t="inlineStr">
        <is>
          <t>1-23 August 2025</t>
        </is>
      </c>
      <c r="K1510" s="55" t="n">
        <v>123</v>
      </c>
      <c r="L1510" s="40" t="inlineStr">
        <is>
          <t>Completeness only</t>
        </is>
      </c>
      <c r="M1510" s="40">
        <f>IF(Countries!I425="","STILL MISSING","Filled ✓")</f>
        <v/>
      </c>
    </row>
    <row r="1511">
      <c r="A1511" s="56" t="inlineStr">
        <is>
          <t>Countries</t>
        </is>
      </c>
      <c r="B1511" s="56" t="inlineStr">
        <is>
          <t>AD67</t>
        </is>
      </c>
      <c r="C1511" s="56" t="n">
        <v>67</v>
      </c>
      <c r="D1511" s="56" t="inlineStr">
        <is>
          <t>All landing pages</t>
        </is>
      </c>
      <c r="E1511" s="56" t="inlineStr">
        <is>
          <t>Organic</t>
        </is>
      </c>
      <c r="F1511" s="56" t="inlineStr">
        <is>
          <t>Desktop</t>
        </is>
      </c>
      <c r="G1511" s="56" t="inlineStr">
        <is>
          <t>Canada</t>
        </is>
      </c>
      <c r="H1511" s="56" t="n">
        <v>20</v>
      </c>
      <c r="I1511" s="56" t="inlineStr">
        <is>
          <t>Add to cart</t>
        </is>
      </c>
      <c r="J1511" s="56" t="inlineStr">
        <is>
          <t>1-23 August 2025</t>
        </is>
      </c>
      <c r="K1511" s="57" t="n">
        <v>419</v>
      </c>
      <c r="L1511" s="56" t="inlineStr">
        <is>
          <t>Completeness only</t>
        </is>
      </c>
      <c r="M1511" s="40">
        <f>IF(Countries!AD67="","STILL MISSING","Filled ✓")</f>
        <v/>
      </c>
    </row>
    <row r="1512">
      <c r="A1512" s="40" t="inlineStr">
        <is>
          <t>Countries</t>
        </is>
      </c>
      <c r="B1512" s="40" t="inlineStr">
        <is>
          <t>AE67</t>
        </is>
      </c>
      <c r="C1512" s="40" t="n">
        <v>67</v>
      </c>
      <c r="D1512" s="40" t="inlineStr">
        <is>
          <t>All landing pages</t>
        </is>
      </c>
      <c r="E1512" s="40" t="inlineStr">
        <is>
          <t>Organic</t>
        </is>
      </c>
      <c r="F1512" s="40" t="inlineStr">
        <is>
          <t>Desktop</t>
        </is>
      </c>
      <c r="G1512" s="40" t="inlineStr">
        <is>
          <t>Canada</t>
        </is>
      </c>
      <c r="H1512" s="40" t="n">
        <v>20</v>
      </c>
      <c r="I1512" s="40" t="inlineStr">
        <is>
          <t>Add to cart</t>
        </is>
      </c>
      <c r="J1512" s="40" t="inlineStr">
        <is>
          <t>1-23 August 2026</t>
        </is>
      </c>
      <c r="K1512" s="55" t="n">
        <v>419</v>
      </c>
      <c r="L1512" s="40" t="inlineStr">
        <is>
          <t>Completeness only</t>
        </is>
      </c>
      <c r="M1512" s="40">
        <f>IF(Countries!AE67="","STILL MISSING","Filled ✓")</f>
        <v/>
      </c>
    </row>
    <row r="1513">
      <c r="A1513" s="56" t="inlineStr">
        <is>
          <t>Countries</t>
        </is>
      </c>
      <c r="B1513" s="56" t="inlineStr">
        <is>
          <t>AK67</t>
        </is>
      </c>
      <c r="C1513" s="56" t="n">
        <v>67</v>
      </c>
      <c r="D1513" s="56" t="inlineStr">
        <is>
          <t>All landing pages</t>
        </is>
      </c>
      <c r="E1513" s="56" t="inlineStr">
        <is>
          <t>Organic</t>
        </is>
      </c>
      <c r="F1513" s="56" t="inlineStr">
        <is>
          <t>Desktop</t>
        </is>
      </c>
      <c r="G1513" s="56" t="inlineStr">
        <is>
          <t>Canada</t>
        </is>
      </c>
      <c r="H1513" s="56" t="n">
        <v>20</v>
      </c>
      <c r="I1513" s="56" t="inlineStr">
        <is>
          <t>Begin checkout</t>
        </is>
      </c>
      <c r="J1513" s="56" t="inlineStr">
        <is>
          <t>1-23 August 2025</t>
        </is>
      </c>
      <c r="K1513" s="57" t="n">
        <v>419</v>
      </c>
      <c r="L1513" s="56" t="inlineStr">
        <is>
          <t>Completeness only</t>
        </is>
      </c>
      <c r="M1513" s="40">
        <f>IF(Countries!AK67="","STILL MISSING","Filled ✓")</f>
        <v/>
      </c>
    </row>
    <row r="1514">
      <c r="A1514" s="40" t="inlineStr">
        <is>
          <t>Countries</t>
        </is>
      </c>
      <c r="B1514" s="40" t="inlineStr">
        <is>
          <t>AL67</t>
        </is>
      </c>
      <c r="C1514" s="40" t="n">
        <v>67</v>
      </c>
      <c r="D1514" s="40" t="inlineStr">
        <is>
          <t>All landing pages</t>
        </is>
      </c>
      <c r="E1514" s="40" t="inlineStr">
        <is>
          <t>Organic</t>
        </is>
      </c>
      <c r="F1514" s="40" t="inlineStr">
        <is>
          <t>Desktop</t>
        </is>
      </c>
      <c r="G1514" s="40" t="inlineStr">
        <is>
          <t>Canada</t>
        </is>
      </c>
      <c r="H1514" s="40" t="n">
        <v>20</v>
      </c>
      <c r="I1514" s="40" t="inlineStr">
        <is>
          <t>Begin checkout</t>
        </is>
      </c>
      <c r="J1514" s="40" t="inlineStr">
        <is>
          <t>1-23 August 2026</t>
        </is>
      </c>
      <c r="K1514" s="55" t="n">
        <v>419</v>
      </c>
      <c r="L1514" s="40" t="inlineStr">
        <is>
          <t>Completeness only</t>
        </is>
      </c>
      <c r="M1514" s="40">
        <f>IF(Countries!AL67="","STILL MISSING","Filled ✓")</f>
        <v/>
      </c>
    </row>
    <row r="1515">
      <c r="A1515" s="56" t="inlineStr">
        <is>
          <t>Countries</t>
        </is>
      </c>
      <c r="B1515" s="56" t="inlineStr">
        <is>
          <t>AR67</t>
        </is>
      </c>
      <c r="C1515" s="56" t="n">
        <v>67</v>
      </c>
      <c r="D1515" s="56" t="inlineStr">
        <is>
          <t>All landing pages</t>
        </is>
      </c>
      <c r="E1515" s="56" t="inlineStr">
        <is>
          <t>Organic</t>
        </is>
      </c>
      <c r="F1515" s="56" t="inlineStr">
        <is>
          <t>Desktop</t>
        </is>
      </c>
      <c r="G1515" s="56" t="inlineStr">
        <is>
          <t>Canada</t>
        </is>
      </c>
      <c r="H1515" s="56" t="n">
        <v>20</v>
      </c>
      <c r="I1515" s="56" t="inlineStr">
        <is>
          <t>Purchases</t>
        </is>
      </c>
      <c r="J1515" s="56" t="inlineStr">
        <is>
          <t>1-23 August 2025</t>
        </is>
      </c>
      <c r="K1515" s="57" t="n">
        <v>419</v>
      </c>
      <c r="L1515" s="56" t="inlineStr">
        <is>
          <t>Completeness only</t>
        </is>
      </c>
      <c r="M1515" s="40">
        <f>IF(Countries!AR67="","STILL MISSING","Filled ✓")</f>
        <v/>
      </c>
    </row>
    <row r="1516">
      <c r="A1516" s="40" t="inlineStr">
        <is>
          <t>Countries</t>
        </is>
      </c>
      <c r="B1516" s="40" t="inlineStr">
        <is>
          <t>W67</t>
        </is>
      </c>
      <c r="C1516" s="40" t="n">
        <v>67</v>
      </c>
      <c r="D1516" s="40" t="inlineStr">
        <is>
          <t>All landing pages</t>
        </is>
      </c>
      <c r="E1516" s="40" t="inlineStr">
        <is>
          <t>Organic</t>
        </is>
      </c>
      <c r="F1516" s="40" t="inlineStr">
        <is>
          <t>Desktop</t>
        </is>
      </c>
      <c r="G1516" s="40" t="inlineStr">
        <is>
          <t>Canada</t>
        </is>
      </c>
      <c r="H1516" s="40" t="n">
        <v>20</v>
      </c>
      <c r="I1516" s="40" t="inlineStr">
        <is>
          <t>Select item</t>
        </is>
      </c>
      <c r="J1516" s="40" t="inlineStr">
        <is>
          <t>1-23 August 2025</t>
        </is>
      </c>
      <c r="K1516" s="55" t="n">
        <v>419</v>
      </c>
      <c r="L1516" s="40" t="inlineStr">
        <is>
          <t>Completeness only</t>
        </is>
      </c>
      <c r="M1516" s="40">
        <f>IF(Countries!W67="","STILL MISSING","Filled ✓")</f>
        <v/>
      </c>
    </row>
    <row r="1517">
      <c r="A1517" s="56" t="inlineStr">
        <is>
          <t>Countries</t>
        </is>
      </c>
      <c r="B1517" s="56" t="inlineStr">
        <is>
          <t>I67</t>
        </is>
      </c>
      <c r="C1517" s="56" t="n">
        <v>67</v>
      </c>
      <c r="D1517" s="56" t="inlineStr">
        <is>
          <t>All landing pages</t>
        </is>
      </c>
      <c r="E1517" s="56" t="inlineStr">
        <is>
          <t>Organic</t>
        </is>
      </c>
      <c r="F1517" s="56" t="inlineStr">
        <is>
          <t>Desktop</t>
        </is>
      </c>
      <c r="G1517" s="56" t="inlineStr">
        <is>
          <t>Canada</t>
        </is>
      </c>
      <c r="H1517" s="56" t="n">
        <v>20</v>
      </c>
      <c r="I1517" s="56" t="inlineStr">
        <is>
          <t>Start Search</t>
        </is>
      </c>
      <c r="J1517" s="56" t="inlineStr">
        <is>
          <t>1-23 August 2025</t>
        </is>
      </c>
      <c r="K1517" s="57" t="n">
        <v>419</v>
      </c>
      <c r="L1517" s="56" t="inlineStr">
        <is>
          <t>Completeness only</t>
        </is>
      </c>
      <c r="M1517" s="40">
        <f>IF(Countries!I67="","STILL MISSING","Filled ✓")</f>
        <v/>
      </c>
    </row>
    <row r="1518">
      <c r="A1518" s="40" t="inlineStr">
        <is>
          <t>Countries</t>
        </is>
      </c>
      <c r="B1518" s="40" t="inlineStr">
        <is>
          <t>AD106</t>
        </is>
      </c>
      <c r="C1518" s="40" t="n">
        <v>106</v>
      </c>
      <c r="D1518" s="40" t="inlineStr">
        <is>
          <t>All landing pages</t>
        </is>
      </c>
      <c r="E1518" s="40" t="inlineStr">
        <is>
          <t>Direct</t>
        </is>
      </c>
      <c r="F1518" s="40" t="inlineStr">
        <is>
          <t>Desktop</t>
        </is>
      </c>
      <c r="G1518" s="40" t="inlineStr">
        <is>
          <t>Canada</t>
        </is>
      </c>
      <c r="H1518" s="40" t="n">
        <v>20</v>
      </c>
      <c r="I1518" s="40" t="inlineStr">
        <is>
          <t>Add to cart</t>
        </is>
      </c>
      <c r="J1518" s="40" t="inlineStr">
        <is>
          <t>1-23 August 2025</t>
        </is>
      </c>
      <c r="K1518" s="55" t="n">
        <v>328</v>
      </c>
      <c r="L1518" s="40" t="inlineStr">
        <is>
          <t>Completeness only</t>
        </is>
      </c>
      <c r="M1518" s="40">
        <f>IF(Countries!AD106="","STILL MISSING","Filled ✓")</f>
        <v/>
      </c>
    </row>
    <row r="1519">
      <c r="A1519" s="56" t="inlineStr">
        <is>
          <t>Countries</t>
        </is>
      </c>
      <c r="B1519" s="56" t="inlineStr">
        <is>
          <t>AE106</t>
        </is>
      </c>
      <c r="C1519" s="56" t="n">
        <v>106</v>
      </c>
      <c r="D1519" s="56" t="inlineStr">
        <is>
          <t>All landing pages</t>
        </is>
      </c>
      <c r="E1519" s="56" t="inlineStr">
        <is>
          <t>Direct</t>
        </is>
      </c>
      <c r="F1519" s="56" t="inlineStr">
        <is>
          <t>Desktop</t>
        </is>
      </c>
      <c r="G1519" s="56" t="inlineStr">
        <is>
          <t>Canada</t>
        </is>
      </c>
      <c r="H1519" s="56" t="n">
        <v>20</v>
      </c>
      <c r="I1519" s="56" t="inlineStr">
        <is>
          <t>Add to cart</t>
        </is>
      </c>
      <c r="J1519" s="56" t="inlineStr">
        <is>
          <t>1-23 August 2026</t>
        </is>
      </c>
      <c r="K1519" s="57" t="n">
        <v>328</v>
      </c>
      <c r="L1519" s="56" t="inlineStr">
        <is>
          <t>Completeness only</t>
        </is>
      </c>
      <c r="M1519" s="40">
        <f>IF(Countries!AE106="","STILL MISSING","Filled ✓")</f>
        <v/>
      </c>
    </row>
    <row r="1520">
      <c r="A1520" s="40" t="inlineStr">
        <is>
          <t>Countries</t>
        </is>
      </c>
      <c r="B1520" s="40" t="inlineStr">
        <is>
          <t>AK106</t>
        </is>
      </c>
      <c r="C1520" s="40" t="n">
        <v>106</v>
      </c>
      <c r="D1520" s="40" t="inlineStr">
        <is>
          <t>All landing pages</t>
        </is>
      </c>
      <c r="E1520" s="40" t="inlineStr">
        <is>
          <t>Direct</t>
        </is>
      </c>
      <c r="F1520" s="40" t="inlineStr">
        <is>
          <t>Desktop</t>
        </is>
      </c>
      <c r="G1520" s="40" t="inlineStr">
        <is>
          <t>Canada</t>
        </is>
      </c>
      <c r="H1520" s="40" t="n">
        <v>20</v>
      </c>
      <c r="I1520" s="40" t="inlineStr">
        <is>
          <t>Begin checkout</t>
        </is>
      </c>
      <c r="J1520" s="40" t="inlineStr">
        <is>
          <t>1-23 August 2025</t>
        </is>
      </c>
      <c r="K1520" s="55" t="n">
        <v>328</v>
      </c>
      <c r="L1520" s="40" t="inlineStr">
        <is>
          <t>Completeness only</t>
        </is>
      </c>
      <c r="M1520" s="40">
        <f>IF(Countries!AK106="","STILL MISSING","Filled ✓")</f>
        <v/>
      </c>
    </row>
    <row r="1521">
      <c r="A1521" s="56" t="inlineStr">
        <is>
          <t>Countries</t>
        </is>
      </c>
      <c r="B1521" s="56" t="inlineStr">
        <is>
          <t>AL106</t>
        </is>
      </c>
      <c r="C1521" s="56" t="n">
        <v>106</v>
      </c>
      <c r="D1521" s="56" t="inlineStr">
        <is>
          <t>All landing pages</t>
        </is>
      </c>
      <c r="E1521" s="56" t="inlineStr">
        <is>
          <t>Direct</t>
        </is>
      </c>
      <c r="F1521" s="56" t="inlineStr">
        <is>
          <t>Desktop</t>
        </is>
      </c>
      <c r="G1521" s="56" t="inlineStr">
        <is>
          <t>Canada</t>
        </is>
      </c>
      <c r="H1521" s="56" t="n">
        <v>20</v>
      </c>
      <c r="I1521" s="56" t="inlineStr">
        <is>
          <t>Begin checkout</t>
        </is>
      </c>
      <c r="J1521" s="56" t="inlineStr">
        <is>
          <t>1-23 August 2026</t>
        </is>
      </c>
      <c r="K1521" s="57" t="n">
        <v>328</v>
      </c>
      <c r="L1521" s="56" t="inlineStr">
        <is>
          <t>Completeness only</t>
        </is>
      </c>
      <c r="M1521" s="40">
        <f>IF(Countries!AL106="","STILL MISSING","Filled ✓")</f>
        <v/>
      </c>
    </row>
    <row r="1522">
      <c r="A1522" s="40" t="inlineStr">
        <is>
          <t>Countries</t>
        </is>
      </c>
      <c r="B1522" s="40" t="inlineStr">
        <is>
          <t>AS106</t>
        </is>
      </c>
      <c r="C1522" s="40" t="n">
        <v>106</v>
      </c>
      <c r="D1522" s="40" t="inlineStr">
        <is>
          <t>All landing pages</t>
        </is>
      </c>
      <c r="E1522" s="40" t="inlineStr">
        <is>
          <t>Direct</t>
        </is>
      </c>
      <c r="F1522" s="40" t="inlineStr">
        <is>
          <t>Desktop</t>
        </is>
      </c>
      <c r="G1522" s="40" t="inlineStr">
        <is>
          <t>Canada</t>
        </is>
      </c>
      <c r="H1522" s="40" t="n">
        <v>20</v>
      </c>
      <c r="I1522" s="40" t="inlineStr">
        <is>
          <t>Purchases</t>
        </is>
      </c>
      <c r="J1522" s="40" t="inlineStr">
        <is>
          <t>1-23 August 2026</t>
        </is>
      </c>
      <c r="K1522" s="55" t="n">
        <v>328</v>
      </c>
      <c r="L1522" s="40" t="inlineStr">
        <is>
          <t>Completeness only</t>
        </is>
      </c>
      <c r="M1522" s="40">
        <f>IF(Countries!AS106="","STILL MISSING","Filled ✓")</f>
        <v/>
      </c>
    </row>
    <row r="1523">
      <c r="A1523" s="56" t="inlineStr">
        <is>
          <t>Countries</t>
        </is>
      </c>
      <c r="B1523" s="56" t="inlineStr">
        <is>
          <t>X106</t>
        </is>
      </c>
      <c r="C1523" s="56" t="n">
        <v>106</v>
      </c>
      <c r="D1523" s="56" t="inlineStr">
        <is>
          <t>All landing pages</t>
        </is>
      </c>
      <c r="E1523" s="56" t="inlineStr">
        <is>
          <t>Direct</t>
        </is>
      </c>
      <c r="F1523" s="56" t="inlineStr">
        <is>
          <t>Desktop</t>
        </is>
      </c>
      <c r="G1523" s="56" t="inlineStr">
        <is>
          <t>Canada</t>
        </is>
      </c>
      <c r="H1523" s="56" t="n">
        <v>20</v>
      </c>
      <c r="I1523" s="56" t="inlineStr">
        <is>
          <t>Select item</t>
        </is>
      </c>
      <c r="J1523" s="56" t="inlineStr">
        <is>
          <t>1-23 August 2026</t>
        </is>
      </c>
      <c r="K1523" s="57" t="n">
        <v>328</v>
      </c>
      <c r="L1523" s="56" t="inlineStr">
        <is>
          <t>Completeness only</t>
        </is>
      </c>
      <c r="M1523" s="40">
        <f>IF(Countries!X106="","STILL MISSING","Filled ✓")</f>
        <v/>
      </c>
    </row>
    <row r="1524">
      <c r="A1524" s="40" t="inlineStr">
        <is>
          <t>Countries</t>
        </is>
      </c>
      <c r="B1524" s="40" t="inlineStr">
        <is>
          <t>J106</t>
        </is>
      </c>
      <c r="C1524" s="40" t="n">
        <v>106</v>
      </c>
      <c r="D1524" s="40" t="inlineStr">
        <is>
          <t>All landing pages</t>
        </is>
      </c>
      <c r="E1524" s="40" t="inlineStr">
        <is>
          <t>Direct</t>
        </is>
      </c>
      <c r="F1524" s="40" t="inlineStr">
        <is>
          <t>Desktop</t>
        </is>
      </c>
      <c r="G1524" s="40" t="inlineStr">
        <is>
          <t>Canada</t>
        </is>
      </c>
      <c r="H1524" s="40" t="n">
        <v>20</v>
      </c>
      <c r="I1524" s="40" t="inlineStr">
        <is>
          <t>Start Search</t>
        </is>
      </c>
      <c r="J1524" s="40" t="inlineStr">
        <is>
          <t>1-23 August 2026</t>
        </is>
      </c>
      <c r="K1524" s="55" t="n">
        <v>328</v>
      </c>
      <c r="L1524" s="40" t="inlineStr">
        <is>
          <t>Completeness only</t>
        </is>
      </c>
      <c r="M1524" s="40">
        <f>IF(Countries!J106="","STILL MISSING","Filled ✓")</f>
        <v/>
      </c>
    </row>
    <row r="1525">
      <c r="A1525" s="56" t="inlineStr">
        <is>
          <t>Countries</t>
        </is>
      </c>
      <c r="B1525" s="56" t="inlineStr">
        <is>
          <t>AD179</t>
        </is>
      </c>
      <c r="C1525" s="56" t="n">
        <v>179</v>
      </c>
      <c r="D1525" s="56" t="inlineStr">
        <is>
          <t>Home page</t>
        </is>
      </c>
      <c r="E1525" s="56" t="inlineStr">
        <is>
          <t>Organic</t>
        </is>
      </c>
      <c r="F1525" s="56" t="inlineStr">
        <is>
          <t>Desktop</t>
        </is>
      </c>
      <c r="G1525" s="56" t="inlineStr">
        <is>
          <t>Canada</t>
        </is>
      </c>
      <c r="H1525" s="56" t="n">
        <v>20</v>
      </c>
      <c r="I1525" s="56" t="inlineStr">
        <is>
          <t>Add to cart</t>
        </is>
      </c>
      <c r="J1525" s="56" t="inlineStr">
        <is>
          <t>1-23 August 2025</t>
        </is>
      </c>
      <c r="K1525" s="57" t="n">
        <v>91</v>
      </c>
      <c r="L1525" s="56" t="inlineStr">
        <is>
          <t>Completeness only</t>
        </is>
      </c>
      <c r="M1525" s="40">
        <f>IF(Countries!AD179="","STILL MISSING","Filled ✓")</f>
        <v/>
      </c>
    </row>
    <row r="1526">
      <c r="A1526" s="40" t="inlineStr">
        <is>
          <t>Countries</t>
        </is>
      </c>
      <c r="B1526" s="40" t="inlineStr">
        <is>
          <t>AE179</t>
        </is>
      </c>
      <c r="C1526" s="40" t="n">
        <v>179</v>
      </c>
      <c r="D1526" s="40" t="inlineStr">
        <is>
          <t>Home page</t>
        </is>
      </c>
      <c r="E1526" s="40" t="inlineStr">
        <is>
          <t>Organic</t>
        </is>
      </c>
      <c r="F1526" s="40" t="inlineStr">
        <is>
          <t>Desktop</t>
        </is>
      </c>
      <c r="G1526" s="40" t="inlineStr">
        <is>
          <t>Canada</t>
        </is>
      </c>
      <c r="H1526" s="40" t="n">
        <v>20</v>
      </c>
      <c r="I1526" s="40" t="inlineStr">
        <is>
          <t>Add to cart</t>
        </is>
      </c>
      <c r="J1526" s="40" t="inlineStr">
        <is>
          <t>1-23 August 2026</t>
        </is>
      </c>
      <c r="K1526" s="55" t="n">
        <v>91</v>
      </c>
      <c r="L1526" s="40" t="inlineStr">
        <is>
          <t>Completeness only</t>
        </is>
      </c>
      <c r="M1526" s="40">
        <f>IF(Countries!AE179="","STILL MISSING","Filled ✓")</f>
        <v/>
      </c>
    </row>
    <row r="1527">
      <c r="A1527" s="56" t="inlineStr">
        <is>
          <t>Countries</t>
        </is>
      </c>
      <c r="B1527" s="56" t="inlineStr">
        <is>
          <t>AK179</t>
        </is>
      </c>
      <c r="C1527" s="56" t="n">
        <v>179</v>
      </c>
      <c r="D1527" s="56" t="inlineStr">
        <is>
          <t>Home page</t>
        </is>
      </c>
      <c r="E1527" s="56" t="inlineStr">
        <is>
          <t>Organic</t>
        </is>
      </c>
      <c r="F1527" s="56" t="inlineStr">
        <is>
          <t>Desktop</t>
        </is>
      </c>
      <c r="G1527" s="56" t="inlineStr">
        <is>
          <t>Canada</t>
        </is>
      </c>
      <c r="H1527" s="56" t="n">
        <v>20</v>
      </c>
      <c r="I1527" s="56" t="inlineStr">
        <is>
          <t>Begin checkout</t>
        </is>
      </c>
      <c r="J1527" s="56" t="inlineStr">
        <is>
          <t>1-23 August 2025</t>
        </is>
      </c>
      <c r="K1527" s="57" t="n">
        <v>91</v>
      </c>
      <c r="L1527" s="56" t="inlineStr">
        <is>
          <t>Completeness only</t>
        </is>
      </c>
      <c r="M1527" s="40">
        <f>IF(Countries!AK179="","STILL MISSING","Filled ✓")</f>
        <v/>
      </c>
    </row>
    <row r="1528">
      <c r="A1528" s="40" t="inlineStr">
        <is>
          <t>Countries</t>
        </is>
      </c>
      <c r="B1528" s="40" t="inlineStr">
        <is>
          <t>AL179</t>
        </is>
      </c>
      <c r="C1528" s="40" t="n">
        <v>179</v>
      </c>
      <c r="D1528" s="40" t="inlineStr">
        <is>
          <t>Home page</t>
        </is>
      </c>
      <c r="E1528" s="40" t="inlineStr">
        <is>
          <t>Organic</t>
        </is>
      </c>
      <c r="F1528" s="40" t="inlineStr">
        <is>
          <t>Desktop</t>
        </is>
      </c>
      <c r="G1528" s="40" t="inlineStr">
        <is>
          <t>Canada</t>
        </is>
      </c>
      <c r="H1528" s="40" t="n">
        <v>20</v>
      </c>
      <c r="I1528" s="40" t="inlineStr">
        <is>
          <t>Begin checkout</t>
        </is>
      </c>
      <c r="J1528" s="40" t="inlineStr">
        <is>
          <t>1-23 August 2026</t>
        </is>
      </c>
      <c r="K1528" s="55" t="n">
        <v>91</v>
      </c>
      <c r="L1528" s="40" t="inlineStr">
        <is>
          <t>Completeness only</t>
        </is>
      </c>
      <c r="M1528" s="40">
        <f>IF(Countries!AL179="","STILL MISSING","Filled ✓")</f>
        <v/>
      </c>
    </row>
    <row r="1529">
      <c r="A1529" s="56" t="inlineStr">
        <is>
          <t>Countries</t>
        </is>
      </c>
      <c r="B1529" s="56" t="inlineStr">
        <is>
          <t>AS179</t>
        </is>
      </c>
      <c r="C1529" s="56" t="n">
        <v>179</v>
      </c>
      <c r="D1529" s="56" t="inlineStr">
        <is>
          <t>Home page</t>
        </is>
      </c>
      <c r="E1529" s="56" t="inlineStr">
        <is>
          <t>Organic</t>
        </is>
      </c>
      <c r="F1529" s="56" t="inlineStr">
        <is>
          <t>Desktop</t>
        </is>
      </c>
      <c r="G1529" s="56" t="inlineStr">
        <is>
          <t>Canada</t>
        </is>
      </c>
      <c r="H1529" s="56" t="n">
        <v>20</v>
      </c>
      <c r="I1529" s="56" t="inlineStr">
        <is>
          <t>Purchases</t>
        </is>
      </c>
      <c r="J1529" s="56" t="inlineStr">
        <is>
          <t>1-23 August 2026</t>
        </is>
      </c>
      <c r="K1529" s="57" t="n">
        <v>91</v>
      </c>
      <c r="L1529" s="56" t="inlineStr">
        <is>
          <t>Completeness only</t>
        </is>
      </c>
      <c r="M1529" s="40">
        <f>IF(Countries!AS179="","STILL MISSING","Filled ✓")</f>
        <v/>
      </c>
    </row>
    <row r="1530">
      <c r="A1530" s="40" t="inlineStr">
        <is>
          <t>Countries</t>
        </is>
      </c>
      <c r="B1530" s="40" t="inlineStr">
        <is>
          <t>X179</t>
        </is>
      </c>
      <c r="C1530" s="40" t="n">
        <v>179</v>
      </c>
      <c r="D1530" s="40" t="inlineStr">
        <is>
          <t>Home page</t>
        </is>
      </c>
      <c r="E1530" s="40" t="inlineStr">
        <is>
          <t>Organic</t>
        </is>
      </c>
      <c r="F1530" s="40" t="inlineStr">
        <is>
          <t>Desktop</t>
        </is>
      </c>
      <c r="G1530" s="40" t="inlineStr">
        <is>
          <t>Canada</t>
        </is>
      </c>
      <c r="H1530" s="40" t="n">
        <v>20</v>
      </c>
      <c r="I1530" s="40" t="inlineStr">
        <is>
          <t>Select item</t>
        </is>
      </c>
      <c r="J1530" s="40" t="inlineStr">
        <is>
          <t>1-23 August 2026</t>
        </is>
      </c>
      <c r="K1530" s="55" t="n">
        <v>91</v>
      </c>
      <c r="L1530" s="40" t="inlineStr">
        <is>
          <t>Completeness only</t>
        </is>
      </c>
      <c r="M1530" s="40">
        <f>IF(Countries!X179="","STILL MISSING","Filled ✓")</f>
        <v/>
      </c>
    </row>
    <row r="1531">
      <c r="A1531" s="56" t="inlineStr">
        <is>
          <t>Countries</t>
        </is>
      </c>
      <c r="B1531" s="56" t="inlineStr">
        <is>
          <t>J179</t>
        </is>
      </c>
      <c r="C1531" s="56" t="n">
        <v>179</v>
      </c>
      <c r="D1531" s="56" t="inlineStr">
        <is>
          <t>Home page</t>
        </is>
      </c>
      <c r="E1531" s="56" t="inlineStr">
        <is>
          <t>Organic</t>
        </is>
      </c>
      <c r="F1531" s="56" t="inlineStr">
        <is>
          <t>Desktop</t>
        </is>
      </c>
      <c r="G1531" s="56" t="inlineStr">
        <is>
          <t>Canada</t>
        </is>
      </c>
      <c r="H1531" s="56" t="n">
        <v>20</v>
      </c>
      <c r="I1531" s="56" t="inlineStr">
        <is>
          <t>Start Search</t>
        </is>
      </c>
      <c r="J1531" s="56" t="inlineStr">
        <is>
          <t>1-23 August 2026</t>
        </is>
      </c>
      <c r="K1531" s="57" t="n">
        <v>91</v>
      </c>
      <c r="L1531" s="56" t="inlineStr">
        <is>
          <t>Completeness only</t>
        </is>
      </c>
      <c r="M1531" s="40">
        <f>IF(Countries!J179="","STILL MISSING","Filled ✓")</f>
        <v/>
      </c>
    </row>
    <row r="1532">
      <c r="A1532" s="40" t="inlineStr">
        <is>
          <t>Countries</t>
        </is>
      </c>
      <c r="B1532" s="40" t="inlineStr">
        <is>
          <t>AD216</t>
        </is>
      </c>
      <c r="C1532" s="40" t="n">
        <v>216</v>
      </c>
      <c r="D1532" s="40" t="inlineStr">
        <is>
          <t>Home page</t>
        </is>
      </c>
      <c r="E1532" s="40" t="inlineStr">
        <is>
          <t>Direct</t>
        </is>
      </c>
      <c r="F1532" s="40" t="inlineStr">
        <is>
          <t>Desktop</t>
        </is>
      </c>
      <c r="G1532" s="40" t="inlineStr">
        <is>
          <t>Canada</t>
        </is>
      </c>
      <c r="H1532" s="40" t="n">
        <v>20</v>
      </c>
      <c r="I1532" s="40" t="inlineStr">
        <is>
          <t>Add to cart</t>
        </is>
      </c>
      <c r="J1532" s="40" t="inlineStr">
        <is>
          <t>1-23 August 2025</t>
        </is>
      </c>
      <c r="K1532" s="55" t="n">
        <v>268</v>
      </c>
      <c r="L1532" s="40" t="inlineStr">
        <is>
          <t>Completeness only</t>
        </is>
      </c>
      <c r="M1532" s="40">
        <f>IF(Countries!AD216="","STILL MISSING","Filled ✓")</f>
        <v/>
      </c>
    </row>
    <row r="1533">
      <c r="A1533" s="56" t="inlineStr">
        <is>
          <t>Countries</t>
        </is>
      </c>
      <c r="B1533" s="56" t="inlineStr">
        <is>
          <t>AE216</t>
        </is>
      </c>
      <c r="C1533" s="56" t="n">
        <v>216</v>
      </c>
      <c r="D1533" s="56" t="inlineStr">
        <is>
          <t>Home page</t>
        </is>
      </c>
      <c r="E1533" s="56" t="inlineStr">
        <is>
          <t>Direct</t>
        </is>
      </c>
      <c r="F1533" s="56" t="inlineStr">
        <is>
          <t>Desktop</t>
        </is>
      </c>
      <c r="G1533" s="56" t="inlineStr">
        <is>
          <t>Canada</t>
        </is>
      </c>
      <c r="H1533" s="56" t="n">
        <v>20</v>
      </c>
      <c r="I1533" s="56" t="inlineStr">
        <is>
          <t>Add to cart</t>
        </is>
      </c>
      <c r="J1533" s="56" t="inlineStr">
        <is>
          <t>1-23 August 2026</t>
        </is>
      </c>
      <c r="K1533" s="57" t="n">
        <v>268</v>
      </c>
      <c r="L1533" s="56" t="inlineStr">
        <is>
          <t>Completeness only</t>
        </is>
      </c>
      <c r="M1533" s="40">
        <f>IF(Countries!AE216="","STILL MISSING","Filled ✓")</f>
        <v/>
      </c>
    </row>
    <row r="1534">
      <c r="A1534" s="40" t="inlineStr">
        <is>
          <t>Countries</t>
        </is>
      </c>
      <c r="B1534" s="40" t="inlineStr">
        <is>
          <t>AK216</t>
        </is>
      </c>
      <c r="C1534" s="40" t="n">
        <v>216</v>
      </c>
      <c r="D1534" s="40" t="inlineStr">
        <is>
          <t>Home page</t>
        </is>
      </c>
      <c r="E1534" s="40" t="inlineStr">
        <is>
          <t>Direct</t>
        </is>
      </c>
      <c r="F1534" s="40" t="inlineStr">
        <is>
          <t>Desktop</t>
        </is>
      </c>
      <c r="G1534" s="40" t="inlineStr">
        <is>
          <t>Canada</t>
        </is>
      </c>
      <c r="H1534" s="40" t="n">
        <v>20</v>
      </c>
      <c r="I1534" s="40" t="inlineStr">
        <is>
          <t>Begin checkout</t>
        </is>
      </c>
      <c r="J1534" s="40" t="inlineStr">
        <is>
          <t>1-23 August 2025</t>
        </is>
      </c>
      <c r="K1534" s="55" t="n">
        <v>268</v>
      </c>
      <c r="L1534" s="40" t="inlineStr">
        <is>
          <t>Completeness only</t>
        </is>
      </c>
      <c r="M1534" s="40">
        <f>IF(Countries!AK216="","STILL MISSING","Filled ✓")</f>
        <v/>
      </c>
    </row>
    <row r="1535">
      <c r="A1535" s="56" t="inlineStr">
        <is>
          <t>Countries</t>
        </is>
      </c>
      <c r="B1535" s="56" t="inlineStr">
        <is>
          <t>AL216</t>
        </is>
      </c>
      <c r="C1535" s="56" t="n">
        <v>216</v>
      </c>
      <c r="D1535" s="56" t="inlineStr">
        <is>
          <t>Home page</t>
        </is>
      </c>
      <c r="E1535" s="56" t="inlineStr">
        <is>
          <t>Direct</t>
        </is>
      </c>
      <c r="F1535" s="56" t="inlineStr">
        <is>
          <t>Desktop</t>
        </is>
      </c>
      <c r="G1535" s="56" t="inlineStr">
        <is>
          <t>Canada</t>
        </is>
      </c>
      <c r="H1535" s="56" t="n">
        <v>20</v>
      </c>
      <c r="I1535" s="56" t="inlineStr">
        <is>
          <t>Begin checkout</t>
        </is>
      </c>
      <c r="J1535" s="56" t="inlineStr">
        <is>
          <t>1-23 August 2026</t>
        </is>
      </c>
      <c r="K1535" s="57" t="n">
        <v>268</v>
      </c>
      <c r="L1535" s="56" t="inlineStr">
        <is>
          <t>Completeness only</t>
        </is>
      </c>
      <c r="M1535" s="40">
        <f>IF(Countries!AL216="","STILL MISSING","Filled ✓")</f>
        <v/>
      </c>
    </row>
    <row r="1536">
      <c r="A1536" s="40" t="inlineStr">
        <is>
          <t>Countries</t>
        </is>
      </c>
      <c r="B1536" s="40" t="inlineStr">
        <is>
          <t>AS216</t>
        </is>
      </c>
      <c r="C1536" s="40" t="n">
        <v>216</v>
      </c>
      <c r="D1536" s="40" t="inlineStr">
        <is>
          <t>Home page</t>
        </is>
      </c>
      <c r="E1536" s="40" t="inlineStr">
        <is>
          <t>Direct</t>
        </is>
      </c>
      <c r="F1536" s="40" t="inlineStr">
        <is>
          <t>Desktop</t>
        </is>
      </c>
      <c r="G1536" s="40" t="inlineStr">
        <is>
          <t>Canada</t>
        </is>
      </c>
      <c r="H1536" s="40" t="n">
        <v>20</v>
      </c>
      <c r="I1536" s="40" t="inlineStr">
        <is>
          <t>Purchases</t>
        </is>
      </c>
      <c r="J1536" s="40" t="inlineStr">
        <is>
          <t>1-23 August 2026</t>
        </is>
      </c>
      <c r="K1536" s="55" t="n">
        <v>268</v>
      </c>
      <c r="L1536" s="40" t="inlineStr">
        <is>
          <t>Completeness only</t>
        </is>
      </c>
      <c r="M1536" s="40">
        <f>IF(Countries!AS216="","STILL MISSING","Filled ✓")</f>
        <v/>
      </c>
    </row>
    <row r="1537">
      <c r="A1537" s="56" t="inlineStr">
        <is>
          <t>Countries</t>
        </is>
      </c>
      <c r="B1537" s="56" t="inlineStr">
        <is>
          <t>X216</t>
        </is>
      </c>
      <c r="C1537" s="56" t="n">
        <v>216</v>
      </c>
      <c r="D1537" s="56" t="inlineStr">
        <is>
          <t>Home page</t>
        </is>
      </c>
      <c r="E1537" s="56" t="inlineStr">
        <is>
          <t>Direct</t>
        </is>
      </c>
      <c r="F1537" s="56" t="inlineStr">
        <is>
          <t>Desktop</t>
        </is>
      </c>
      <c r="G1537" s="56" t="inlineStr">
        <is>
          <t>Canada</t>
        </is>
      </c>
      <c r="H1537" s="56" t="n">
        <v>20</v>
      </c>
      <c r="I1537" s="56" t="inlineStr">
        <is>
          <t>Select item</t>
        </is>
      </c>
      <c r="J1537" s="56" t="inlineStr">
        <is>
          <t>1-23 August 2026</t>
        </is>
      </c>
      <c r="K1537" s="57" t="n">
        <v>268</v>
      </c>
      <c r="L1537" s="56" t="inlineStr">
        <is>
          <t>Completeness only</t>
        </is>
      </c>
      <c r="M1537" s="40">
        <f>IF(Countries!X216="","STILL MISSING","Filled ✓")</f>
        <v/>
      </c>
    </row>
    <row r="1538">
      <c r="A1538" s="40" t="inlineStr">
        <is>
          <t>Countries</t>
        </is>
      </c>
      <c r="B1538" s="40" t="inlineStr">
        <is>
          <t>J216</t>
        </is>
      </c>
      <c r="C1538" s="40" t="n">
        <v>216</v>
      </c>
      <c r="D1538" s="40" t="inlineStr">
        <is>
          <t>Home page</t>
        </is>
      </c>
      <c r="E1538" s="40" t="inlineStr">
        <is>
          <t>Direct</t>
        </is>
      </c>
      <c r="F1538" s="40" t="inlineStr">
        <is>
          <t>Desktop</t>
        </is>
      </c>
      <c r="G1538" s="40" t="inlineStr">
        <is>
          <t>Canada</t>
        </is>
      </c>
      <c r="H1538" s="40" t="n">
        <v>20</v>
      </c>
      <c r="I1538" s="40" t="inlineStr">
        <is>
          <t>Start Search</t>
        </is>
      </c>
      <c r="J1538" s="40" t="inlineStr">
        <is>
          <t>1-23 August 2026</t>
        </is>
      </c>
      <c r="K1538" s="55" t="n">
        <v>268</v>
      </c>
      <c r="L1538" s="40" t="inlineStr">
        <is>
          <t>Completeness only</t>
        </is>
      </c>
      <c r="M1538" s="40">
        <f>IF(Countries!J216="","STILL MISSING","Filled ✓")</f>
        <v/>
      </c>
    </row>
    <row r="1539">
      <c r="A1539" s="56" t="inlineStr">
        <is>
          <t>Countries</t>
        </is>
      </c>
      <c r="B1539" s="56" t="inlineStr">
        <is>
          <t>AD385</t>
        </is>
      </c>
      <c r="C1539" s="56" t="n">
        <v>385</v>
      </c>
      <c r="D1539" s="56" t="inlineStr">
        <is>
          <t>Route page</t>
        </is>
      </c>
      <c r="E1539" s="56" t="inlineStr">
        <is>
          <t>Organic</t>
        </is>
      </c>
      <c r="F1539" s="56" t="inlineStr">
        <is>
          <t>Desktop</t>
        </is>
      </c>
      <c r="G1539" s="56" t="inlineStr">
        <is>
          <t>Canada</t>
        </is>
      </c>
      <c r="H1539" s="56" t="n">
        <v>20</v>
      </c>
      <c r="I1539" s="56" t="inlineStr">
        <is>
          <t>Add to cart</t>
        </is>
      </c>
      <c r="J1539" s="56" t="inlineStr">
        <is>
          <t>1-23 August 2025</t>
        </is>
      </c>
      <c r="K1539" s="57" t="n">
        <v>244</v>
      </c>
      <c r="L1539" s="56" t="inlineStr">
        <is>
          <t>Completeness only</t>
        </is>
      </c>
      <c r="M1539" s="40">
        <f>IF(Countries!AD385="","STILL MISSING","Filled ✓")</f>
        <v/>
      </c>
    </row>
    <row r="1540">
      <c r="A1540" s="40" t="inlineStr">
        <is>
          <t>Countries</t>
        </is>
      </c>
      <c r="B1540" s="40" t="inlineStr">
        <is>
          <t>AE385</t>
        </is>
      </c>
      <c r="C1540" s="40" t="n">
        <v>385</v>
      </c>
      <c r="D1540" s="40" t="inlineStr">
        <is>
          <t>Route page</t>
        </is>
      </c>
      <c r="E1540" s="40" t="inlineStr">
        <is>
          <t>Organic</t>
        </is>
      </c>
      <c r="F1540" s="40" t="inlineStr">
        <is>
          <t>Desktop</t>
        </is>
      </c>
      <c r="G1540" s="40" t="inlineStr">
        <is>
          <t>Canada</t>
        </is>
      </c>
      <c r="H1540" s="40" t="n">
        <v>20</v>
      </c>
      <c r="I1540" s="40" t="inlineStr">
        <is>
          <t>Add to cart</t>
        </is>
      </c>
      <c r="J1540" s="40" t="inlineStr">
        <is>
          <t>1-23 August 2026</t>
        </is>
      </c>
      <c r="K1540" s="55" t="n">
        <v>244</v>
      </c>
      <c r="L1540" s="40" t="inlineStr">
        <is>
          <t>Completeness only</t>
        </is>
      </c>
      <c r="M1540" s="40">
        <f>IF(Countries!AE385="","STILL MISSING","Filled ✓")</f>
        <v/>
      </c>
    </row>
    <row r="1541">
      <c r="A1541" s="56" t="inlineStr">
        <is>
          <t>Countries</t>
        </is>
      </c>
      <c r="B1541" s="56" t="inlineStr">
        <is>
          <t>AK385</t>
        </is>
      </c>
      <c r="C1541" s="56" t="n">
        <v>385</v>
      </c>
      <c r="D1541" s="56" t="inlineStr">
        <is>
          <t>Route page</t>
        </is>
      </c>
      <c r="E1541" s="56" t="inlineStr">
        <is>
          <t>Organic</t>
        </is>
      </c>
      <c r="F1541" s="56" t="inlineStr">
        <is>
          <t>Desktop</t>
        </is>
      </c>
      <c r="G1541" s="56" t="inlineStr">
        <is>
          <t>Canada</t>
        </is>
      </c>
      <c r="H1541" s="56" t="n">
        <v>20</v>
      </c>
      <c r="I1541" s="56" t="inlineStr">
        <is>
          <t>Begin checkout</t>
        </is>
      </c>
      <c r="J1541" s="56" t="inlineStr">
        <is>
          <t>1-23 August 2025</t>
        </is>
      </c>
      <c r="K1541" s="57" t="n">
        <v>244</v>
      </c>
      <c r="L1541" s="56" t="inlineStr">
        <is>
          <t>Completeness only</t>
        </is>
      </c>
      <c r="M1541" s="40">
        <f>IF(Countries!AK385="","STILL MISSING","Filled ✓")</f>
        <v/>
      </c>
    </row>
    <row r="1542">
      <c r="A1542" s="40" t="inlineStr">
        <is>
          <t>Countries</t>
        </is>
      </c>
      <c r="B1542" s="40" t="inlineStr">
        <is>
          <t>AL385</t>
        </is>
      </c>
      <c r="C1542" s="40" t="n">
        <v>385</v>
      </c>
      <c r="D1542" s="40" t="inlineStr">
        <is>
          <t>Route page</t>
        </is>
      </c>
      <c r="E1542" s="40" t="inlineStr">
        <is>
          <t>Organic</t>
        </is>
      </c>
      <c r="F1542" s="40" t="inlineStr">
        <is>
          <t>Desktop</t>
        </is>
      </c>
      <c r="G1542" s="40" t="inlineStr">
        <is>
          <t>Canada</t>
        </is>
      </c>
      <c r="H1542" s="40" t="n">
        <v>20</v>
      </c>
      <c r="I1542" s="40" t="inlineStr">
        <is>
          <t>Begin checkout</t>
        </is>
      </c>
      <c r="J1542" s="40" t="inlineStr">
        <is>
          <t>1-23 August 2026</t>
        </is>
      </c>
      <c r="K1542" s="55" t="n">
        <v>244</v>
      </c>
      <c r="L1542" s="40" t="inlineStr">
        <is>
          <t>Completeness only</t>
        </is>
      </c>
      <c r="M1542" s="40">
        <f>IF(Countries!AL385="","STILL MISSING","Filled ✓")</f>
        <v/>
      </c>
    </row>
    <row r="1543">
      <c r="A1543" s="56" t="inlineStr">
        <is>
          <t>Countries</t>
        </is>
      </c>
      <c r="B1543" s="56" t="inlineStr">
        <is>
          <t>W385</t>
        </is>
      </c>
      <c r="C1543" s="56" t="n">
        <v>385</v>
      </c>
      <c r="D1543" s="56" t="inlineStr">
        <is>
          <t>Route page</t>
        </is>
      </c>
      <c r="E1543" s="56" t="inlineStr">
        <is>
          <t>Organic</t>
        </is>
      </c>
      <c r="F1543" s="56" t="inlineStr">
        <is>
          <t>Desktop</t>
        </is>
      </c>
      <c r="G1543" s="56" t="inlineStr">
        <is>
          <t>Canada</t>
        </is>
      </c>
      <c r="H1543" s="56" t="n">
        <v>20</v>
      </c>
      <c r="I1543" s="56" t="inlineStr">
        <is>
          <t>Select item</t>
        </is>
      </c>
      <c r="J1543" s="56" t="inlineStr">
        <is>
          <t>1-23 August 2025</t>
        </is>
      </c>
      <c r="K1543" s="57" t="n">
        <v>244</v>
      </c>
      <c r="L1543" s="56" t="inlineStr">
        <is>
          <t>Completeness only</t>
        </is>
      </c>
      <c r="M1543" s="40">
        <f>IF(Countries!W385="","STILL MISSING","Filled ✓")</f>
        <v/>
      </c>
    </row>
    <row r="1544">
      <c r="A1544" s="40" t="inlineStr">
        <is>
          <t>Countries</t>
        </is>
      </c>
      <c r="B1544" s="40" t="inlineStr">
        <is>
          <t>AD430</t>
        </is>
      </c>
      <c r="C1544" s="40" t="n">
        <v>430</v>
      </c>
      <c r="D1544" s="40" t="inlineStr">
        <is>
          <t>Route page</t>
        </is>
      </c>
      <c r="E1544" s="40" t="inlineStr">
        <is>
          <t>Direct</t>
        </is>
      </c>
      <c r="F1544" s="40" t="inlineStr">
        <is>
          <t>Desktop</t>
        </is>
      </c>
      <c r="G1544" s="40" t="inlineStr">
        <is>
          <t>Canada</t>
        </is>
      </c>
      <c r="H1544" s="40" t="n">
        <v>20</v>
      </c>
      <c r="I1544" s="40" t="inlineStr">
        <is>
          <t>Add to cart</t>
        </is>
      </c>
      <c r="J1544" s="40" t="inlineStr">
        <is>
          <t>1-23 August 2025</t>
        </is>
      </c>
      <c r="K1544" s="55" t="n">
        <v>24</v>
      </c>
      <c r="L1544" s="40" t="inlineStr">
        <is>
          <t>Completeness only</t>
        </is>
      </c>
      <c r="M1544" s="40">
        <f>IF(Countries!AD430="","STILL MISSING","Filled ✓")</f>
        <v/>
      </c>
    </row>
    <row r="1545">
      <c r="A1545" s="56" t="inlineStr">
        <is>
          <t>Countries</t>
        </is>
      </c>
      <c r="B1545" s="56" t="inlineStr">
        <is>
          <t>AE430</t>
        </is>
      </c>
      <c r="C1545" s="56" t="n">
        <v>430</v>
      </c>
      <c r="D1545" s="56" t="inlineStr">
        <is>
          <t>Route page</t>
        </is>
      </c>
      <c r="E1545" s="56" t="inlineStr">
        <is>
          <t>Direct</t>
        </is>
      </c>
      <c r="F1545" s="56" t="inlineStr">
        <is>
          <t>Desktop</t>
        </is>
      </c>
      <c r="G1545" s="56" t="inlineStr">
        <is>
          <t>Canada</t>
        </is>
      </c>
      <c r="H1545" s="56" t="n">
        <v>20</v>
      </c>
      <c r="I1545" s="56" t="inlineStr">
        <is>
          <t>Add to cart</t>
        </is>
      </c>
      <c r="J1545" s="56" t="inlineStr">
        <is>
          <t>1-23 August 2026</t>
        </is>
      </c>
      <c r="K1545" s="57" t="n">
        <v>24</v>
      </c>
      <c r="L1545" s="56" t="inlineStr">
        <is>
          <t>Completeness only</t>
        </is>
      </c>
      <c r="M1545" s="40">
        <f>IF(Countries!AE430="","STILL MISSING","Filled ✓")</f>
        <v/>
      </c>
    </row>
    <row r="1546">
      <c r="A1546" s="40" t="inlineStr">
        <is>
          <t>Countries</t>
        </is>
      </c>
      <c r="B1546" s="40" t="inlineStr">
        <is>
          <t>AK430</t>
        </is>
      </c>
      <c r="C1546" s="40" t="n">
        <v>430</v>
      </c>
      <c r="D1546" s="40" t="inlineStr">
        <is>
          <t>Route page</t>
        </is>
      </c>
      <c r="E1546" s="40" t="inlineStr">
        <is>
          <t>Direct</t>
        </is>
      </c>
      <c r="F1546" s="40" t="inlineStr">
        <is>
          <t>Desktop</t>
        </is>
      </c>
      <c r="G1546" s="40" t="inlineStr">
        <is>
          <t>Canada</t>
        </is>
      </c>
      <c r="H1546" s="40" t="n">
        <v>20</v>
      </c>
      <c r="I1546" s="40" t="inlineStr">
        <is>
          <t>Begin checkout</t>
        </is>
      </c>
      <c r="J1546" s="40" t="inlineStr">
        <is>
          <t>1-23 August 2025</t>
        </is>
      </c>
      <c r="K1546" s="55" t="n">
        <v>24</v>
      </c>
      <c r="L1546" s="40" t="inlineStr">
        <is>
          <t>Completeness only</t>
        </is>
      </c>
      <c r="M1546" s="40">
        <f>IF(Countries!AK430="","STILL MISSING","Filled ✓")</f>
        <v/>
      </c>
    </row>
    <row r="1547">
      <c r="A1547" s="56" t="inlineStr">
        <is>
          <t>Countries</t>
        </is>
      </c>
      <c r="B1547" s="56" t="inlineStr">
        <is>
          <t>AL430</t>
        </is>
      </c>
      <c r="C1547" s="56" t="n">
        <v>430</v>
      </c>
      <c r="D1547" s="56" t="inlineStr">
        <is>
          <t>Route page</t>
        </is>
      </c>
      <c r="E1547" s="56" t="inlineStr">
        <is>
          <t>Direct</t>
        </is>
      </c>
      <c r="F1547" s="56" t="inlineStr">
        <is>
          <t>Desktop</t>
        </is>
      </c>
      <c r="G1547" s="56" t="inlineStr">
        <is>
          <t>Canada</t>
        </is>
      </c>
      <c r="H1547" s="56" t="n">
        <v>20</v>
      </c>
      <c r="I1547" s="56" t="inlineStr">
        <is>
          <t>Begin checkout</t>
        </is>
      </c>
      <c r="J1547" s="56" t="inlineStr">
        <is>
          <t>1-23 August 2026</t>
        </is>
      </c>
      <c r="K1547" s="57" t="n">
        <v>24</v>
      </c>
      <c r="L1547" s="56" t="inlineStr">
        <is>
          <t>Completeness only</t>
        </is>
      </c>
      <c r="M1547" s="40">
        <f>IF(Countries!AL430="","STILL MISSING","Filled ✓")</f>
        <v/>
      </c>
    </row>
    <row r="1548">
      <c r="A1548" s="40" t="inlineStr">
        <is>
          <t>Countries</t>
        </is>
      </c>
      <c r="B1548" s="40" t="inlineStr">
        <is>
          <t>AS430</t>
        </is>
      </c>
      <c r="C1548" s="40" t="n">
        <v>430</v>
      </c>
      <c r="D1548" s="40" t="inlineStr">
        <is>
          <t>Route page</t>
        </is>
      </c>
      <c r="E1548" s="40" t="inlineStr">
        <is>
          <t>Direct</t>
        </is>
      </c>
      <c r="F1548" s="40" t="inlineStr">
        <is>
          <t>Desktop</t>
        </is>
      </c>
      <c r="G1548" s="40" t="inlineStr">
        <is>
          <t>Canada</t>
        </is>
      </c>
      <c r="H1548" s="40" t="n">
        <v>20</v>
      </c>
      <c r="I1548" s="40" t="inlineStr">
        <is>
          <t>Purchases</t>
        </is>
      </c>
      <c r="J1548" s="40" t="inlineStr">
        <is>
          <t>1-23 August 2026</t>
        </is>
      </c>
      <c r="K1548" s="55" t="n">
        <v>24</v>
      </c>
      <c r="L1548" s="40" t="inlineStr">
        <is>
          <t>Completeness only</t>
        </is>
      </c>
      <c r="M1548" s="40">
        <f>IF(Countries!AS430="","STILL MISSING","Filled ✓")</f>
        <v/>
      </c>
    </row>
    <row r="1549">
      <c r="A1549" s="56" t="inlineStr">
        <is>
          <t>Countries</t>
        </is>
      </c>
      <c r="B1549" s="56" t="inlineStr">
        <is>
          <t>X430</t>
        </is>
      </c>
      <c r="C1549" s="56" t="n">
        <v>430</v>
      </c>
      <c r="D1549" s="56" t="inlineStr">
        <is>
          <t>Route page</t>
        </is>
      </c>
      <c r="E1549" s="56" t="inlineStr">
        <is>
          <t>Direct</t>
        </is>
      </c>
      <c r="F1549" s="56" t="inlineStr">
        <is>
          <t>Desktop</t>
        </is>
      </c>
      <c r="G1549" s="56" t="inlineStr">
        <is>
          <t>Canada</t>
        </is>
      </c>
      <c r="H1549" s="56" t="n">
        <v>20</v>
      </c>
      <c r="I1549" s="56" t="inlineStr">
        <is>
          <t>Select item</t>
        </is>
      </c>
      <c r="J1549" s="56" t="inlineStr">
        <is>
          <t>1-23 August 2026</t>
        </is>
      </c>
      <c r="K1549" s="57" t="n">
        <v>24</v>
      </c>
      <c r="L1549" s="56" t="inlineStr">
        <is>
          <t>Completeness only</t>
        </is>
      </c>
      <c r="M1549" s="40">
        <f>IF(Countries!X430="","STILL MISSING","Filled ✓")</f>
        <v/>
      </c>
    </row>
    <row r="1550">
      <c r="A1550" s="40" t="inlineStr">
        <is>
          <t>Countries</t>
        </is>
      </c>
      <c r="B1550" s="40" t="inlineStr">
        <is>
          <t>J430</t>
        </is>
      </c>
      <c r="C1550" s="40" t="n">
        <v>430</v>
      </c>
      <c r="D1550" s="40" t="inlineStr">
        <is>
          <t>Route page</t>
        </is>
      </c>
      <c r="E1550" s="40" t="inlineStr">
        <is>
          <t>Direct</t>
        </is>
      </c>
      <c r="F1550" s="40" t="inlineStr">
        <is>
          <t>Desktop</t>
        </is>
      </c>
      <c r="G1550" s="40" t="inlineStr">
        <is>
          <t>Canada</t>
        </is>
      </c>
      <c r="H1550" s="40" t="n">
        <v>20</v>
      </c>
      <c r="I1550" s="40" t="inlineStr">
        <is>
          <t>Start Search</t>
        </is>
      </c>
      <c r="J1550" s="40" t="inlineStr">
        <is>
          <t>1-23 August 2026</t>
        </is>
      </c>
      <c r="K1550" s="55" t="n">
        <v>24</v>
      </c>
      <c r="L1550" s="40" t="inlineStr">
        <is>
          <t>Completeness only</t>
        </is>
      </c>
      <c r="M1550" s="40">
        <f>IF(Countries!J430="","STILL MISSING","Filled ✓")</f>
        <v/>
      </c>
    </row>
    <row r="1551">
      <c r="A1551" s="56" t="inlineStr">
        <is>
          <t>Countries</t>
        </is>
      </c>
      <c r="B1551" s="56" t="inlineStr">
        <is>
          <t>AD83</t>
        </is>
      </c>
      <c r="C1551" s="56" t="n">
        <v>83</v>
      </c>
      <c r="D1551" s="56" t="inlineStr">
        <is>
          <t>All landing pages</t>
        </is>
      </c>
      <c r="E1551" s="56" t="inlineStr">
        <is>
          <t>Direct</t>
        </is>
      </c>
      <c r="F1551" s="56" t="inlineStr">
        <is>
          <t>Mobile</t>
        </is>
      </c>
      <c r="G1551" s="56" t="inlineStr">
        <is>
          <t>Greece</t>
        </is>
      </c>
      <c r="H1551" s="56" t="n">
        <v>21</v>
      </c>
      <c r="I1551" s="56" t="inlineStr">
        <is>
          <t>Add to cart</t>
        </is>
      </c>
      <c r="J1551" s="56" t="inlineStr">
        <is>
          <t>1-23 August 2025</t>
        </is>
      </c>
      <c r="K1551" s="57" t="n">
        <v>352</v>
      </c>
      <c r="L1551" s="56" t="inlineStr">
        <is>
          <t>Completeness only</t>
        </is>
      </c>
      <c r="M1551" s="40">
        <f>IF(Countries!AD83="","STILL MISSING","Filled ✓")</f>
        <v/>
      </c>
    </row>
    <row r="1552">
      <c r="A1552" s="40" t="inlineStr">
        <is>
          <t>Countries</t>
        </is>
      </c>
      <c r="B1552" s="40" t="inlineStr">
        <is>
          <t>AE83</t>
        </is>
      </c>
      <c r="C1552" s="40" t="n">
        <v>83</v>
      </c>
      <c r="D1552" s="40" t="inlineStr">
        <is>
          <t>All landing pages</t>
        </is>
      </c>
      <c r="E1552" s="40" t="inlineStr">
        <is>
          <t>Direct</t>
        </is>
      </c>
      <c r="F1552" s="40" t="inlineStr">
        <is>
          <t>Mobile</t>
        </is>
      </c>
      <c r="G1552" s="40" t="inlineStr">
        <is>
          <t>Greece</t>
        </is>
      </c>
      <c r="H1552" s="40" t="n">
        <v>21</v>
      </c>
      <c r="I1552" s="40" t="inlineStr">
        <is>
          <t>Add to cart</t>
        </is>
      </c>
      <c r="J1552" s="40" t="inlineStr">
        <is>
          <t>1-23 August 2026</t>
        </is>
      </c>
      <c r="K1552" s="55" t="n">
        <v>352</v>
      </c>
      <c r="L1552" s="40" t="inlineStr">
        <is>
          <t>Completeness only</t>
        </is>
      </c>
      <c r="M1552" s="40">
        <f>IF(Countries!AE83="","STILL MISSING","Filled ✓")</f>
        <v/>
      </c>
    </row>
    <row r="1553">
      <c r="A1553" s="56" t="inlineStr">
        <is>
          <t>Countries</t>
        </is>
      </c>
      <c r="B1553" s="56" t="inlineStr">
        <is>
          <t>AK83</t>
        </is>
      </c>
      <c r="C1553" s="56" t="n">
        <v>83</v>
      </c>
      <c r="D1553" s="56" t="inlineStr">
        <is>
          <t>All landing pages</t>
        </is>
      </c>
      <c r="E1553" s="56" t="inlineStr">
        <is>
          <t>Direct</t>
        </is>
      </c>
      <c r="F1553" s="56" t="inlineStr">
        <is>
          <t>Mobile</t>
        </is>
      </c>
      <c r="G1553" s="56" t="inlineStr">
        <is>
          <t>Greece</t>
        </is>
      </c>
      <c r="H1553" s="56" t="n">
        <v>21</v>
      </c>
      <c r="I1553" s="56" t="inlineStr">
        <is>
          <t>Begin checkout</t>
        </is>
      </c>
      <c r="J1553" s="56" t="inlineStr">
        <is>
          <t>1-23 August 2025</t>
        </is>
      </c>
      <c r="K1553" s="57" t="n">
        <v>352</v>
      </c>
      <c r="L1553" s="56" t="inlineStr">
        <is>
          <t>Completeness only</t>
        </is>
      </c>
      <c r="M1553" s="40">
        <f>IF(Countries!AK83="","STILL MISSING","Filled ✓")</f>
        <v/>
      </c>
    </row>
    <row r="1554">
      <c r="A1554" s="40" t="inlineStr">
        <is>
          <t>Countries</t>
        </is>
      </c>
      <c r="B1554" s="40" t="inlineStr">
        <is>
          <t>AL83</t>
        </is>
      </c>
      <c r="C1554" s="40" t="n">
        <v>83</v>
      </c>
      <c r="D1554" s="40" t="inlineStr">
        <is>
          <t>All landing pages</t>
        </is>
      </c>
      <c r="E1554" s="40" t="inlineStr">
        <is>
          <t>Direct</t>
        </is>
      </c>
      <c r="F1554" s="40" t="inlineStr">
        <is>
          <t>Mobile</t>
        </is>
      </c>
      <c r="G1554" s="40" t="inlineStr">
        <is>
          <t>Greece</t>
        </is>
      </c>
      <c r="H1554" s="40" t="n">
        <v>21</v>
      </c>
      <c r="I1554" s="40" t="inlineStr">
        <is>
          <t>Begin checkout</t>
        </is>
      </c>
      <c r="J1554" s="40" t="inlineStr">
        <is>
          <t>1-23 August 2026</t>
        </is>
      </c>
      <c r="K1554" s="55" t="n">
        <v>352</v>
      </c>
      <c r="L1554" s="40" t="inlineStr">
        <is>
          <t>Completeness only</t>
        </is>
      </c>
      <c r="M1554" s="40">
        <f>IF(Countries!AL83="","STILL MISSING","Filled ✓")</f>
        <v/>
      </c>
    </row>
    <row r="1555">
      <c r="A1555" s="56" t="inlineStr">
        <is>
          <t>Countries</t>
        </is>
      </c>
      <c r="B1555" s="56" t="inlineStr">
        <is>
          <t>AD129</t>
        </is>
      </c>
      <c r="C1555" s="56" t="n">
        <v>129</v>
      </c>
      <c r="D1555" s="56" t="inlineStr">
        <is>
          <t>Home page</t>
        </is>
      </c>
      <c r="E1555" s="56" t="inlineStr">
        <is>
          <t>Paid Search</t>
        </is>
      </c>
      <c r="F1555" s="56" t="inlineStr">
        <is>
          <t>Mobile</t>
        </is>
      </c>
      <c r="G1555" s="56" t="inlineStr">
        <is>
          <t>Greece</t>
        </is>
      </c>
      <c r="H1555" s="56" t="n">
        <v>21</v>
      </c>
      <c r="I1555" s="56" t="inlineStr">
        <is>
          <t>Add to cart</t>
        </is>
      </c>
      <c r="J1555" s="56" t="inlineStr">
        <is>
          <t>1-23 August 2025</t>
        </is>
      </c>
      <c r="K1555" s="57" t="n">
        <v>488</v>
      </c>
      <c r="L1555" s="56" t="inlineStr">
        <is>
          <t>Completeness only</t>
        </is>
      </c>
      <c r="M1555" s="40">
        <f>IF(Countries!AD129="","STILL MISSING","Filled ✓")</f>
        <v/>
      </c>
    </row>
    <row r="1556">
      <c r="A1556" s="40" t="inlineStr">
        <is>
          <t>Countries</t>
        </is>
      </c>
      <c r="B1556" s="40" t="inlineStr">
        <is>
          <t>AE129</t>
        </is>
      </c>
      <c r="C1556" s="40" t="n">
        <v>129</v>
      </c>
      <c r="D1556" s="40" t="inlineStr">
        <is>
          <t>Home page</t>
        </is>
      </c>
      <c r="E1556" s="40" t="inlineStr">
        <is>
          <t>Paid Search</t>
        </is>
      </c>
      <c r="F1556" s="40" t="inlineStr">
        <is>
          <t>Mobile</t>
        </is>
      </c>
      <c r="G1556" s="40" t="inlineStr">
        <is>
          <t>Greece</t>
        </is>
      </c>
      <c r="H1556" s="40" t="n">
        <v>21</v>
      </c>
      <c r="I1556" s="40" t="inlineStr">
        <is>
          <t>Add to cart</t>
        </is>
      </c>
      <c r="J1556" s="40" t="inlineStr">
        <is>
          <t>1-23 August 2026</t>
        </is>
      </c>
      <c r="K1556" s="55" t="n">
        <v>488</v>
      </c>
      <c r="L1556" s="40" t="inlineStr">
        <is>
          <t>Completeness only</t>
        </is>
      </c>
      <c r="M1556" s="40">
        <f>IF(Countries!AE129="","STILL MISSING","Filled ✓")</f>
        <v/>
      </c>
    </row>
    <row r="1557">
      <c r="A1557" s="56" t="inlineStr">
        <is>
          <t>Countries</t>
        </is>
      </c>
      <c r="B1557" s="56" t="inlineStr">
        <is>
          <t>AK129</t>
        </is>
      </c>
      <c r="C1557" s="56" t="n">
        <v>129</v>
      </c>
      <c r="D1557" s="56" t="inlineStr">
        <is>
          <t>Home page</t>
        </is>
      </c>
      <c r="E1557" s="56" t="inlineStr">
        <is>
          <t>Paid Search</t>
        </is>
      </c>
      <c r="F1557" s="56" t="inlineStr">
        <is>
          <t>Mobile</t>
        </is>
      </c>
      <c r="G1557" s="56" t="inlineStr">
        <is>
          <t>Greece</t>
        </is>
      </c>
      <c r="H1557" s="56" t="n">
        <v>21</v>
      </c>
      <c r="I1557" s="56" t="inlineStr">
        <is>
          <t>Begin checkout</t>
        </is>
      </c>
      <c r="J1557" s="56" t="inlineStr">
        <is>
          <t>1-23 August 2025</t>
        </is>
      </c>
      <c r="K1557" s="57" t="n">
        <v>488</v>
      </c>
      <c r="L1557" s="56" t="inlineStr">
        <is>
          <t>Completeness only</t>
        </is>
      </c>
      <c r="M1557" s="40">
        <f>IF(Countries!AK129="","STILL MISSING","Filled ✓")</f>
        <v/>
      </c>
    </row>
    <row r="1558">
      <c r="A1558" s="40" t="inlineStr">
        <is>
          <t>Countries</t>
        </is>
      </c>
      <c r="B1558" s="40" t="inlineStr">
        <is>
          <t>AL129</t>
        </is>
      </c>
      <c r="C1558" s="40" t="n">
        <v>129</v>
      </c>
      <c r="D1558" s="40" t="inlineStr">
        <is>
          <t>Home page</t>
        </is>
      </c>
      <c r="E1558" s="40" t="inlineStr">
        <is>
          <t>Paid Search</t>
        </is>
      </c>
      <c r="F1558" s="40" t="inlineStr">
        <is>
          <t>Mobile</t>
        </is>
      </c>
      <c r="G1558" s="40" t="inlineStr">
        <is>
          <t>Greece</t>
        </is>
      </c>
      <c r="H1558" s="40" t="n">
        <v>21</v>
      </c>
      <c r="I1558" s="40" t="inlineStr">
        <is>
          <t>Begin checkout</t>
        </is>
      </c>
      <c r="J1558" s="40" t="inlineStr">
        <is>
          <t>1-23 August 2026</t>
        </is>
      </c>
      <c r="K1558" s="55" t="n">
        <v>488</v>
      </c>
      <c r="L1558" s="40" t="inlineStr">
        <is>
          <t>Completeness only</t>
        </is>
      </c>
      <c r="M1558" s="40">
        <f>IF(Countries!AL129="","STILL MISSING","Filled ✓")</f>
        <v/>
      </c>
    </row>
    <row r="1559">
      <c r="A1559" s="56" t="inlineStr">
        <is>
          <t>Countries</t>
        </is>
      </c>
      <c r="B1559" s="56" t="inlineStr">
        <is>
          <t>AS129</t>
        </is>
      </c>
      <c r="C1559" s="56" t="n">
        <v>129</v>
      </c>
      <c r="D1559" s="56" t="inlineStr">
        <is>
          <t>Home page</t>
        </is>
      </c>
      <c r="E1559" s="56" t="inlineStr">
        <is>
          <t>Paid Search</t>
        </is>
      </c>
      <c r="F1559" s="56" t="inlineStr">
        <is>
          <t>Mobile</t>
        </is>
      </c>
      <c r="G1559" s="56" t="inlineStr">
        <is>
          <t>Greece</t>
        </is>
      </c>
      <c r="H1559" s="56" t="n">
        <v>21</v>
      </c>
      <c r="I1559" s="56" t="inlineStr">
        <is>
          <t>Purchases</t>
        </is>
      </c>
      <c r="J1559" s="56" t="inlineStr">
        <is>
          <t>1-23 August 2026</t>
        </is>
      </c>
      <c r="K1559" s="57" t="n">
        <v>488</v>
      </c>
      <c r="L1559" s="56" t="inlineStr">
        <is>
          <t>Completeness only</t>
        </is>
      </c>
      <c r="M1559" s="40">
        <f>IF(Countries!AS129="","STILL MISSING","Filled ✓")</f>
        <v/>
      </c>
    </row>
    <row r="1560">
      <c r="A1560" s="40" t="inlineStr">
        <is>
          <t>Countries</t>
        </is>
      </c>
      <c r="B1560" s="40" t="inlineStr">
        <is>
          <t>Q129</t>
        </is>
      </c>
      <c r="C1560" s="40" t="n">
        <v>129</v>
      </c>
      <c r="D1560" s="40" t="inlineStr">
        <is>
          <t>Home page</t>
        </is>
      </c>
      <c r="E1560" s="40" t="inlineStr">
        <is>
          <t>Paid Search</t>
        </is>
      </c>
      <c r="F1560" s="40" t="inlineStr">
        <is>
          <t>Mobile</t>
        </is>
      </c>
      <c r="G1560" s="40" t="inlineStr">
        <is>
          <t>Greece</t>
        </is>
      </c>
      <c r="H1560" s="40" t="n">
        <v>21</v>
      </c>
      <c r="I1560" s="40" t="inlineStr">
        <is>
          <t>Searches</t>
        </is>
      </c>
      <c r="J1560" s="40" t="inlineStr">
        <is>
          <t>1-23 August 2026</t>
        </is>
      </c>
      <c r="K1560" s="55" t="n">
        <v>488</v>
      </c>
      <c r="L1560" s="40" t="inlineStr">
        <is>
          <t>Completeness only</t>
        </is>
      </c>
      <c r="M1560" s="40">
        <f>IF(Countries!Q129="","STILL MISSING","Filled ✓")</f>
        <v/>
      </c>
    </row>
    <row r="1561">
      <c r="A1561" s="56" t="inlineStr">
        <is>
          <t>Countries</t>
        </is>
      </c>
      <c r="B1561" s="56" t="inlineStr">
        <is>
          <t>W129</t>
        </is>
      </c>
      <c r="C1561" s="56" t="n">
        <v>129</v>
      </c>
      <c r="D1561" s="56" t="inlineStr">
        <is>
          <t>Home page</t>
        </is>
      </c>
      <c r="E1561" s="56" t="inlineStr">
        <is>
          <t>Paid Search</t>
        </is>
      </c>
      <c r="F1561" s="56" t="inlineStr">
        <is>
          <t>Mobile</t>
        </is>
      </c>
      <c r="G1561" s="56" t="inlineStr">
        <is>
          <t>Greece</t>
        </is>
      </c>
      <c r="H1561" s="56" t="n">
        <v>21</v>
      </c>
      <c r="I1561" s="56" t="inlineStr">
        <is>
          <t>Select item</t>
        </is>
      </c>
      <c r="J1561" s="56" t="inlineStr">
        <is>
          <t>1-23 August 2025</t>
        </is>
      </c>
      <c r="K1561" s="57" t="n">
        <v>488</v>
      </c>
      <c r="L1561" s="56" t="inlineStr">
        <is>
          <t>Completeness only</t>
        </is>
      </c>
      <c r="M1561" s="40">
        <f>IF(Countries!W129="","STILL MISSING","Filled ✓")</f>
        <v/>
      </c>
    </row>
    <row r="1562">
      <c r="A1562" s="40" t="inlineStr">
        <is>
          <t>Countries</t>
        </is>
      </c>
      <c r="B1562" s="40" t="inlineStr">
        <is>
          <t>X129</t>
        </is>
      </c>
      <c r="C1562" s="40" t="n">
        <v>129</v>
      </c>
      <c r="D1562" s="40" t="inlineStr">
        <is>
          <t>Home page</t>
        </is>
      </c>
      <c r="E1562" s="40" t="inlineStr">
        <is>
          <t>Paid Search</t>
        </is>
      </c>
      <c r="F1562" s="40" t="inlineStr">
        <is>
          <t>Mobile</t>
        </is>
      </c>
      <c r="G1562" s="40" t="inlineStr">
        <is>
          <t>Greece</t>
        </is>
      </c>
      <c r="H1562" s="40" t="n">
        <v>21</v>
      </c>
      <c r="I1562" s="40" t="inlineStr">
        <is>
          <t>Select item</t>
        </is>
      </c>
      <c r="J1562" s="40" t="inlineStr">
        <is>
          <t>1-23 August 2026</t>
        </is>
      </c>
      <c r="K1562" s="55" t="n">
        <v>488</v>
      </c>
      <c r="L1562" s="40" t="inlineStr">
        <is>
          <t>Completeness only</t>
        </is>
      </c>
      <c r="M1562" s="40">
        <f>IF(Countries!X129="","STILL MISSING","Filled ✓")</f>
        <v/>
      </c>
    </row>
    <row r="1563">
      <c r="A1563" s="56" t="inlineStr">
        <is>
          <t>Countries</t>
        </is>
      </c>
      <c r="B1563" s="56" t="inlineStr">
        <is>
          <t>J129</t>
        </is>
      </c>
      <c r="C1563" s="56" t="n">
        <v>129</v>
      </c>
      <c r="D1563" s="56" t="inlineStr">
        <is>
          <t>Home page</t>
        </is>
      </c>
      <c r="E1563" s="56" t="inlineStr">
        <is>
          <t>Paid Search</t>
        </is>
      </c>
      <c r="F1563" s="56" t="inlineStr">
        <is>
          <t>Mobile</t>
        </is>
      </c>
      <c r="G1563" s="56" t="inlineStr">
        <is>
          <t>Greece</t>
        </is>
      </c>
      <c r="H1563" s="56" t="n">
        <v>21</v>
      </c>
      <c r="I1563" s="56" t="inlineStr">
        <is>
          <t>Start Search</t>
        </is>
      </c>
      <c r="J1563" s="56" t="inlineStr">
        <is>
          <t>1-23 August 2026</t>
        </is>
      </c>
      <c r="K1563" s="57" t="n">
        <v>488</v>
      </c>
      <c r="L1563" s="56" t="inlineStr">
        <is>
          <t>Completeness only</t>
        </is>
      </c>
      <c r="M1563" s="40">
        <f>IF(Countries!J129="","STILL MISSING","Filled ✓")</f>
        <v/>
      </c>
    </row>
    <row r="1564">
      <c r="A1564" s="40" t="inlineStr">
        <is>
          <t>Countries</t>
        </is>
      </c>
      <c r="B1564" s="40" t="inlineStr">
        <is>
          <t>AD161</t>
        </is>
      </c>
      <c r="C1564" s="40" t="n">
        <v>161</v>
      </c>
      <c r="D1564" s="40" t="inlineStr">
        <is>
          <t>Home page</t>
        </is>
      </c>
      <c r="E1564" s="40" t="inlineStr">
        <is>
          <t>Organic</t>
        </is>
      </c>
      <c r="F1564" s="40" t="inlineStr">
        <is>
          <t>Mobile</t>
        </is>
      </c>
      <c r="G1564" s="40" t="inlineStr">
        <is>
          <t>Greece</t>
        </is>
      </c>
      <c r="H1564" s="40" t="n">
        <v>21</v>
      </c>
      <c r="I1564" s="40" t="inlineStr">
        <is>
          <t>Add to cart</t>
        </is>
      </c>
      <c r="J1564" s="40" t="inlineStr">
        <is>
          <t>1-23 August 2025</t>
        </is>
      </c>
      <c r="K1564" s="55" t="n">
        <v>101</v>
      </c>
      <c r="L1564" s="40" t="inlineStr">
        <is>
          <t>Completeness only</t>
        </is>
      </c>
      <c r="M1564" s="40">
        <f>IF(Countries!AD161="","STILL MISSING","Filled ✓")</f>
        <v/>
      </c>
    </row>
    <row r="1565">
      <c r="A1565" s="56" t="inlineStr">
        <is>
          <t>Countries</t>
        </is>
      </c>
      <c r="B1565" s="56" t="inlineStr">
        <is>
          <t>AE161</t>
        </is>
      </c>
      <c r="C1565" s="56" t="n">
        <v>161</v>
      </c>
      <c r="D1565" s="56" t="inlineStr">
        <is>
          <t>Home page</t>
        </is>
      </c>
      <c r="E1565" s="56" t="inlineStr">
        <is>
          <t>Organic</t>
        </is>
      </c>
      <c r="F1565" s="56" t="inlineStr">
        <is>
          <t>Mobile</t>
        </is>
      </c>
      <c r="G1565" s="56" t="inlineStr">
        <is>
          <t>Greece</t>
        </is>
      </c>
      <c r="H1565" s="56" t="n">
        <v>21</v>
      </c>
      <c r="I1565" s="56" t="inlineStr">
        <is>
          <t>Add to cart</t>
        </is>
      </c>
      <c r="J1565" s="56" t="inlineStr">
        <is>
          <t>1-23 August 2026</t>
        </is>
      </c>
      <c r="K1565" s="57" t="n">
        <v>101</v>
      </c>
      <c r="L1565" s="56" t="inlineStr">
        <is>
          <t>Completeness only</t>
        </is>
      </c>
      <c r="M1565" s="40">
        <f>IF(Countries!AE161="","STILL MISSING","Filled ✓")</f>
        <v/>
      </c>
    </row>
    <row r="1566">
      <c r="A1566" s="40" t="inlineStr">
        <is>
          <t>Countries</t>
        </is>
      </c>
      <c r="B1566" s="40" t="inlineStr">
        <is>
          <t>AK161</t>
        </is>
      </c>
      <c r="C1566" s="40" t="n">
        <v>161</v>
      </c>
      <c r="D1566" s="40" t="inlineStr">
        <is>
          <t>Home page</t>
        </is>
      </c>
      <c r="E1566" s="40" t="inlineStr">
        <is>
          <t>Organic</t>
        </is>
      </c>
      <c r="F1566" s="40" t="inlineStr">
        <is>
          <t>Mobile</t>
        </is>
      </c>
      <c r="G1566" s="40" t="inlineStr">
        <is>
          <t>Greece</t>
        </is>
      </c>
      <c r="H1566" s="40" t="n">
        <v>21</v>
      </c>
      <c r="I1566" s="40" t="inlineStr">
        <is>
          <t>Begin checkout</t>
        </is>
      </c>
      <c r="J1566" s="40" t="inlineStr">
        <is>
          <t>1-23 August 2025</t>
        </is>
      </c>
      <c r="K1566" s="55" t="n">
        <v>101</v>
      </c>
      <c r="L1566" s="40" t="inlineStr">
        <is>
          <t>Completeness only</t>
        </is>
      </c>
      <c r="M1566" s="40">
        <f>IF(Countries!AK161="","STILL MISSING","Filled ✓")</f>
        <v/>
      </c>
    </row>
    <row r="1567">
      <c r="A1567" s="56" t="inlineStr">
        <is>
          <t>Countries</t>
        </is>
      </c>
      <c r="B1567" s="56" t="inlineStr">
        <is>
          <t>AL161</t>
        </is>
      </c>
      <c r="C1567" s="56" t="n">
        <v>161</v>
      </c>
      <c r="D1567" s="56" t="inlineStr">
        <is>
          <t>Home page</t>
        </is>
      </c>
      <c r="E1567" s="56" t="inlineStr">
        <is>
          <t>Organic</t>
        </is>
      </c>
      <c r="F1567" s="56" t="inlineStr">
        <is>
          <t>Mobile</t>
        </is>
      </c>
      <c r="G1567" s="56" t="inlineStr">
        <is>
          <t>Greece</t>
        </is>
      </c>
      <c r="H1567" s="56" t="n">
        <v>21</v>
      </c>
      <c r="I1567" s="56" t="inlineStr">
        <is>
          <t>Begin checkout</t>
        </is>
      </c>
      <c r="J1567" s="56" t="inlineStr">
        <is>
          <t>1-23 August 2026</t>
        </is>
      </c>
      <c r="K1567" s="57" t="n">
        <v>101</v>
      </c>
      <c r="L1567" s="56" t="inlineStr">
        <is>
          <t>Completeness only</t>
        </is>
      </c>
      <c r="M1567" s="40">
        <f>IF(Countries!AL161="","STILL MISSING","Filled ✓")</f>
        <v/>
      </c>
    </row>
    <row r="1568">
      <c r="A1568" s="40" t="inlineStr">
        <is>
          <t>Countries</t>
        </is>
      </c>
      <c r="B1568" s="40" t="inlineStr">
        <is>
          <t>AR161</t>
        </is>
      </c>
      <c r="C1568" s="40" t="n">
        <v>161</v>
      </c>
      <c r="D1568" s="40" t="inlineStr">
        <is>
          <t>Home page</t>
        </is>
      </c>
      <c r="E1568" s="40" t="inlineStr">
        <is>
          <t>Organic</t>
        </is>
      </c>
      <c r="F1568" s="40" t="inlineStr">
        <is>
          <t>Mobile</t>
        </is>
      </c>
      <c r="G1568" s="40" t="inlineStr">
        <is>
          <t>Greece</t>
        </is>
      </c>
      <c r="H1568" s="40" t="n">
        <v>21</v>
      </c>
      <c r="I1568" s="40" t="inlineStr">
        <is>
          <t>Purchases</t>
        </is>
      </c>
      <c r="J1568" s="40" t="inlineStr">
        <is>
          <t>1-23 August 2025</t>
        </is>
      </c>
      <c r="K1568" s="55" t="n">
        <v>101</v>
      </c>
      <c r="L1568" s="40" t="inlineStr">
        <is>
          <t>Completeness only</t>
        </is>
      </c>
      <c r="M1568" s="40">
        <f>IF(Countries!AR161="","STILL MISSING","Filled ✓")</f>
        <v/>
      </c>
    </row>
    <row r="1569">
      <c r="A1569" s="56" t="inlineStr">
        <is>
          <t>Countries</t>
        </is>
      </c>
      <c r="B1569" s="56" t="inlineStr">
        <is>
          <t>P161</t>
        </is>
      </c>
      <c r="C1569" s="56" t="n">
        <v>161</v>
      </c>
      <c r="D1569" s="56" t="inlineStr">
        <is>
          <t>Home page</t>
        </is>
      </c>
      <c r="E1569" s="56" t="inlineStr">
        <is>
          <t>Organic</t>
        </is>
      </c>
      <c r="F1569" s="56" t="inlineStr">
        <is>
          <t>Mobile</t>
        </is>
      </c>
      <c r="G1569" s="56" t="inlineStr">
        <is>
          <t>Greece</t>
        </is>
      </c>
      <c r="H1569" s="56" t="n">
        <v>21</v>
      </c>
      <c r="I1569" s="56" t="inlineStr">
        <is>
          <t>Searches</t>
        </is>
      </c>
      <c r="J1569" s="56" t="inlineStr">
        <is>
          <t>1-23 August 2025</t>
        </is>
      </c>
      <c r="K1569" s="57" t="n">
        <v>101</v>
      </c>
      <c r="L1569" s="56" t="inlineStr">
        <is>
          <t>Completeness only</t>
        </is>
      </c>
      <c r="M1569" s="40">
        <f>IF(Countries!P161="","STILL MISSING","Filled ✓")</f>
        <v/>
      </c>
    </row>
    <row r="1570">
      <c r="A1570" s="40" t="inlineStr">
        <is>
          <t>Countries</t>
        </is>
      </c>
      <c r="B1570" s="40" t="inlineStr">
        <is>
          <t>W161</t>
        </is>
      </c>
      <c r="C1570" s="40" t="n">
        <v>161</v>
      </c>
      <c r="D1570" s="40" t="inlineStr">
        <is>
          <t>Home page</t>
        </is>
      </c>
      <c r="E1570" s="40" t="inlineStr">
        <is>
          <t>Organic</t>
        </is>
      </c>
      <c r="F1570" s="40" t="inlineStr">
        <is>
          <t>Mobile</t>
        </is>
      </c>
      <c r="G1570" s="40" t="inlineStr">
        <is>
          <t>Greece</t>
        </is>
      </c>
      <c r="H1570" s="40" t="n">
        <v>21</v>
      </c>
      <c r="I1570" s="40" t="inlineStr">
        <is>
          <t>Select item</t>
        </is>
      </c>
      <c r="J1570" s="40" t="inlineStr">
        <is>
          <t>1-23 August 2025</t>
        </is>
      </c>
      <c r="K1570" s="55" t="n">
        <v>101</v>
      </c>
      <c r="L1570" s="40" t="inlineStr">
        <is>
          <t>Completeness only</t>
        </is>
      </c>
      <c r="M1570" s="40">
        <f>IF(Countries!W161="","STILL MISSING","Filled ✓")</f>
        <v/>
      </c>
    </row>
    <row r="1571">
      <c r="A1571" s="56" t="inlineStr">
        <is>
          <t>Countries</t>
        </is>
      </c>
      <c r="B1571" s="56" t="inlineStr">
        <is>
          <t>X161</t>
        </is>
      </c>
      <c r="C1571" s="56" t="n">
        <v>161</v>
      </c>
      <c r="D1571" s="56" t="inlineStr">
        <is>
          <t>Home page</t>
        </is>
      </c>
      <c r="E1571" s="56" t="inlineStr">
        <is>
          <t>Organic</t>
        </is>
      </c>
      <c r="F1571" s="56" t="inlineStr">
        <is>
          <t>Mobile</t>
        </is>
      </c>
      <c r="G1571" s="56" t="inlineStr">
        <is>
          <t>Greece</t>
        </is>
      </c>
      <c r="H1571" s="56" t="n">
        <v>21</v>
      </c>
      <c r="I1571" s="56" t="inlineStr">
        <is>
          <t>Select item</t>
        </is>
      </c>
      <c r="J1571" s="56" t="inlineStr">
        <is>
          <t>1-23 August 2026</t>
        </is>
      </c>
      <c r="K1571" s="57" t="n">
        <v>101</v>
      </c>
      <c r="L1571" s="56" t="inlineStr">
        <is>
          <t>Completeness only</t>
        </is>
      </c>
      <c r="M1571" s="40">
        <f>IF(Countries!X161="","STILL MISSING","Filled ✓")</f>
        <v/>
      </c>
    </row>
    <row r="1572">
      <c r="A1572" s="40" t="inlineStr">
        <is>
          <t>Countries</t>
        </is>
      </c>
      <c r="B1572" s="40" t="inlineStr">
        <is>
          <t>I161</t>
        </is>
      </c>
      <c r="C1572" s="40" t="n">
        <v>161</v>
      </c>
      <c r="D1572" s="40" t="inlineStr">
        <is>
          <t>Home page</t>
        </is>
      </c>
      <c r="E1572" s="40" t="inlineStr">
        <is>
          <t>Organic</t>
        </is>
      </c>
      <c r="F1572" s="40" t="inlineStr">
        <is>
          <t>Mobile</t>
        </is>
      </c>
      <c r="G1572" s="40" t="inlineStr">
        <is>
          <t>Greece</t>
        </is>
      </c>
      <c r="H1572" s="40" t="n">
        <v>21</v>
      </c>
      <c r="I1572" s="40" t="inlineStr">
        <is>
          <t>Start Search</t>
        </is>
      </c>
      <c r="J1572" s="40" t="inlineStr">
        <is>
          <t>1-23 August 2025</t>
        </is>
      </c>
      <c r="K1572" s="55" t="n">
        <v>101</v>
      </c>
      <c r="L1572" s="40" t="inlineStr">
        <is>
          <t>Completeness only</t>
        </is>
      </c>
      <c r="M1572" s="40">
        <f>IF(Countries!I161="","STILL MISSING","Filled ✓")</f>
        <v/>
      </c>
    </row>
    <row r="1573">
      <c r="A1573" s="56" t="inlineStr">
        <is>
          <t>Countries</t>
        </is>
      </c>
      <c r="B1573" s="56" t="inlineStr">
        <is>
          <t>AD192</t>
        </is>
      </c>
      <c r="C1573" s="56" t="n">
        <v>192</v>
      </c>
      <c r="D1573" s="56" t="inlineStr">
        <is>
          <t>Home page</t>
        </is>
      </c>
      <c r="E1573" s="56" t="inlineStr">
        <is>
          <t>Direct</t>
        </is>
      </c>
      <c r="F1573" s="56" t="inlineStr">
        <is>
          <t>Mobile</t>
        </is>
      </c>
      <c r="G1573" s="56" t="inlineStr">
        <is>
          <t>Greece</t>
        </is>
      </c>
      <c r="H1573" s="56" t="n">
        <v>21</v>
      </c>
      <c r="I1573" s="56" t="inlineStr">
        <is>
          <t>Add to cart</t>
        </is>
      </c>
      <c r="J1573" s="56" t="inlineStr">
        <is>
          <t>1-23 August 2025</t>
        </is>
      </c>
      <c r="K1573" s="57" t="n">
        <v>234</v>
      </c>
      <c r="L1573" s="56" t="inlineStr">
        <is>
          <t>Completeness only</t>
        </is>
      </c>
      <c r="M1573" s="40">
        <f>IF(Countries!AD192="","STILL MISSING","Filled ✓")</f>
        <v/>
      </c>
    </row>
    <row r="1574">
      <c r="A1574" s="40" t="inlineStr">
        <is>
          <t>Countries</t>
        </is>
      </c>
      <c r="B1574" s="40" t="inlineStr">
        <is>
          <t>AE192</t>
        </is>
      </c>
      <c r="C1574" s="40" t="n">
        <v>192</v>
      </c>
      <c r="D1574" s="40" t="inlineStr">
        <is>
          <t>Home page</t>
        </is>
      </c>
      <c r="E1574" s="40" t="inlineStr">
        <is>
          <t>Direct</t>
        </is>
      </c>
      <c r="F1574" s="40" t="inlineStr">
        <is>
          <t>Mobile</t>
        </is>
      </c>
      <c r="G1574" s="40" t="inlineStr">
        <is>
          <t>Greece</t>
        </is>
      </c>
      <c r="H1574" s="40" t="n">
        <v>21</v>
      </c>
      <c r="I1574" s="40" t="inlineStr">
        <is>
          <t>Add to cart</t>
        </is>
      </c>
      <c r="J1574" s="40" t="inlineStr">
        <is>
          <t>1-23 August 2026</t>
        </is>
      </c>
      <c r="K1574" s="55" t="n">
        <v>234</v>
      </c>
      <c r="L1574" s="40" t="inlineStr">
        <is>
          <t>Completeness only</t>
        </is>
      </c>
      <c r="M1574" s="40">
        <f>IF(Countries!AE192="","STILL MISSING","Filled ✓")</f>
        <v/>
      </c>
    </row>
    <row r="1575">
      <c r="A1575" s="56" t="inlineStr">
        <is>
          <t>Countries</t>
        </is>
      </c>
      <c r="B1575" s="56" t="inlineStr">
        <is>
          <t>AK192</t>
        </is>
      </c>
      <c r="C1575" s="56" t="n">
        <v>192</v>
      </c>
      <c r="D1575" s="56" t="inlineStr">
        <is>
          <t>Home page</t>
        </is>
      </c>
      <c r="E1575" s="56" t="inlineStr">
        <is>
          <t>Direct</t>
        </is>
      </c>
      <c r="F1575" s="56" t="inlineStr">
        <is>
          <t>Mobile</t>
        </is>
      </c>
      <c r="G1575" s="56" t="inlineStr">
        <is>
          <t>Greece</t>
        </is>
      </c>
      <c r="H1575" s="56" t="n">
        <v>21</v>
      </c>
      <c r="I1575" s="56" t="inlineStr">
        <is>
          <t>Begin checkout</t>
        </is>
      </c>
      <c r="J1575" s="56" t="inlineStr">
        <is>
          <t>1-23 August 2025</t>
        </is>
      </c>
      <c r="K1575" s="57" t="n">
        <v>234</v>
      </c>
      <c r="L1575" s="56" t="inlineStr">
        <is>
          <t>Completeness only</t>
        </is>
      </c>
      <c r="M1575" s="40">
        <f>IF(Countries!AK192="","STILL MISSING","Filled ✓")</f>
        <v/>
      </c>
    </row>
    <row r="1576">
      <c r="A1576" s="40" t="inlineStr">
        <is>
          <t>Countries</t>
        </is>
      </c>
      <c r="B1576" s="40" t="inlineStr">
        <is>
          <t>AL192</t>
        </is>
      </c>
      <c r="C1576" s="40" t="n">
        <v>192</v>
      </c>
      <c r="D1576" s="40" t="inlineStr">
        <is>
          <t>Home page</t>
        </is>
      </c>
      <c r="E1576" s="40" t="inlineStr">
        <is>
          <t>Direct</t>
        </is>
      </c>
      <c r="F1576" s="40" t="inlineStr">
        <is>
          <t>Mobile</t>
        </is>
      </c>
      <c r="G1576" s="40" t="inlineStr">
        <is>
          <t>Greece</t>
        </is>
      </c>
      <c r="H1576" s="40" t="n">
        <v>21</v>
      </c>
      <c r="I1576" s="40" t="inlineStr">
        <is>
          <t>Begin checkout</t>
        </is>
      </c>
      <c r="J1576" s="40" t="inlineStr">
        <is>
          <t>1-23 August 2026</t>
        </is>
      </c>
      <c r="K1576" s="55" t="n">
        <v>234</v>
      </c>
      <c r="L1576" s="40" t="inlineStr">
        <is>
          <t>Completeness only</t>
        </is>
      </c>
      <c r="M1576" s="40">
        <f>IF(Countries!AL192="","STILL MISSING","Filled ✓")</f>
        <v/>
      </c>
    </row>
    <row r="1577">
      <c r="A1577" s="56" t="inlineStr">
        <is>
          <t>Countries</t>
        </is>
      </c>
      <c r="B1577" s="56" t="inlineStr">
        <is>
          <t>AD297</t>
        </is>
      </c>
      <c r="C1577" s="56" t="n">
        <v>297</v>
      </c>
      <c r="D1577" s="56" t="inlineStr">
        <is>
          <t>Airport page</t>
        </is>
      </c>
      <c r="E1577" s="56" t="inlineStr">
        <is>
          <t>Direct</t>
        </is>
      </c>
      <c r="F1577" s="56" t="inlineStr">
        <is>
          <t>Mobile</t>
        </is>
      </c>
      <c r="G1577" s="56" t="inlineStr">
        <is>
          <t>Greece</t>
        </is>
      </c>
      <c r="H1577" s="56" t="n">
        <v>21</v>
      </c>
      <c r="I1577" s="56" t="inlineStr">
        <is>
          <t>Add to cart</t>
        </is>
      </c>
      <c r="J1577" s="56" t="inlineStr">
        <is>
          <t>1-23 August 2025</t>
        </is>
      </c>
      <c r="K1577" s="57" t="n">
        <v>41</v>
      </c>
      <c r="L1577" s="56" t="inlineStr">
        <is>
          <t>Completeness only</t>
        </is>
      </c>
      <c r="M1577" s="40">
        <f>IF(Countries!AD297="","STILL MISSING","Filled ✓")</f>
        <v/>
      </c>
    </row>
    <row r="1578">
      <c r="A1578" s="40" t="inlineStr">
        <is>
          <t>Countries</t>
        </is>
      </c>
      <c r="B1578" s="40" t="inlineStr">
        <is>
          <t>AE297</t>
        </is>
      </c>
      <c r="C1578" s="40" t="n">
        <v>297</v>
      </c>
      <c r="D1578" s="40" t="inlineStr">
        <is>
          <t>Airport page</t>
        </is>
      </c>
      <c r="E1578" s="40" t="inlineStr">
        <is>
          <t>Direct</t>
        </is>
      </c>
      <c r="F1578" s="40" t="inlineStr">
        <is>
          <t>Mobile</t>
        </is>
      </c>
      <c r="G1578" s="40" t="inlineStr">
        <is>
          <t>Greece</t>
        </is>
      </c>
      <c r="H1578" s="40" t="n">
        <v>21</v>
      </c>
      <c r="I1578" s="40" t="inlineStr">
        <is>
          <t>Add to cart</t>
        </is>
      </c>
      <c r="J1578" s="40" t="inlineStr">
        <is>
          <t>1-23 August 2026</t>
        </is>
      </c>
      <c r="K1578" s="55" t="n">
        <v>41</v>
      </c>
      <c r="L1578" s="40" t="inlineStr">
        <is>
          <t>Completeness only</t>
        </is>
      </c>
      <c r="M1578" s="40">
        <f>IF(Countries!AE297="","STILL MISSING","Filled ✓")</f>
        <v/>
      </c>
    </row>
    <row r="1579">
      <c r="A1579" s="56" t="inlineStr">
        <is>
          <t>Countries</t>
        </is>
      </c>
      <c r="B1579" s="56" t="inlineStr">
        <is>
          <t>AK297</t>
        </is>
      </c>
      <c r="C1579" s="56" t="n">
        <v>297</v>
      </c>
      <c r="D1579" s="56" t="inlineStr">
        <is>
          <t>Airport page</t>
        </is>
      </c>
      <c r="E1579" s="56" t="inlineStr">
        <is>
          <t>Direct</t>
        </is>
      </c>
      <c r="F1579" s="56" t="inlineStr">
        <is>
          <t>Mobile</t>
        </is>
      </c>
      <c r="G1579" s="56" t="inlineStr">
        <is>
          <t>Greece</t>
        </is>
      </c>
      <c r="H1579" s="56" t="n">
        <v>21</v>
      </c>
      <c r="I1579" s="56" t="inlineStr">
        <is>
          <t>Begin checkout</t>
        </is>
      </c>
      <c r="J1579" s="56" t="inlineStr">
        <is>
          <t>1-23 August 2025</t>
        </is>
      </c>
      <c r="K1579" s="57" t="n">
        <v>41</v>
      </c>
      <c r="L1579" s="56" t="inlineStr">
        <is>
          <t>Completeness only</t>
        </is>
      </c>
      <c r="M1579" s="40">
        <f>IF(Countries!AK297="","STILL MISSING","Filled ✓")</f>
        <v/>
      </c>
    </row>
    <row r="1580">
      <c r="A1580" s="40" t="inlineStr">
        <is>
          <t>Countries</t>
        </is>
      </c>
      <c r="B1580" s="40" t="inlineStr">
        <is>
          <t>AL297</t>
        </is>
      </c>
      <c r="C1580" s="40" t="n">
        <v>297</v>
      </c>
      <c r="D1580" s="40" t="inlineStr">
        <is>
          <t>Airport page</t>
        </is>
      </c>
      <c r="E1580" s="40" t="inlineStr">
        <is>
          <t>Direct</t>
        </is>
      </c>
      <c r="F1580" s="40" t="inlineStr">
        <is>
          <t>Mobile</t>
        </is>
      </c>
      <c r="G1580" s="40" t="inlineStr">
        <is>
          <t>Greece</t>
        </is>
      </c>
      <c r="H1580" s="40" t="n">
        <v>21</v>
      </c>
      <c r="I1580" s="40" t="inlineStr">
        <is>
          <t>Begin checkout</t>
        </is>
      </c>
      <c r="J1580" s="40" t="inlineStr">
        <is>
          <t>1-23 August 2026</t>
        </is>
      </c>
      <c r="K1580" s="55" t="n">
        <v>41</v>
      </c>
      <c r="L1580" s="40" t="inlineStr">
        <is>
          <t>Completeness only</t>
        </is>
      </c>
      <c r="M1580" s="40">
        <f>IF(Countries!AL297="","STILL MISSING","Filled ✓")</f>
        <v/>
      </c>
    </row>
    <row r="1581">
      <c r="A1581" s="56" t="inlineStr">
        <is>
          <t>Countries</t>
        </is>
      </c>
      <c r="B1581" s="56" t="inlineStr">
        <is>
          <t>X297</t>
        </is>
      </c>
      <c r="C1581" s="56" t="n">
        <v>297</v>
      </c>
      <c r="D1581" s="56" t="inlineStr">
        <is>
          <t>Airport page</t>
        </is>
      </c>
      <c r="E1581" s="56" t="inlineStr">
        <is>
          <t>Direct</t>
        </is>
      </c>
      <c r="F1581" s="56" t="inlineStr">
        <is>
          <t>Mobile</t>
        </is>
      </c>
      <c r="G1581" s="56" t="inlineStr">
        <is>
          <t>Greece</t>
        </is>
      </c>
      <c r="H1581" s="56" t="n">
        <v>21</v>
      </c>
      <c r="I1581" s="56" t="inlineStr">
        <is>
          <t>Select item</t>
        </is>
      </c>
      <c r="J1581" s="56" t="inlineStr">
        <is>
          <t>1-23 August 2026</t>
        </is>
      </c>
      <c r="K1581" s="57" t="n">
        <v>41</v>
      </c>
      <c r="L1581" s="56" t="inlineStr">
        <is>
          <t>Completeness only</t>
        </is>
      </c>
      <c r="M1581" s="40">
        <f>IF(Countries!X297="","STILL MISSING","Filled ✓")</f>
        <v/>
      </c>
    </row>
    <row r="1582">
      <c r="A1582" s="40" t="inlineStr">
        <is>
          <t>Countries</t>
        </is>
      </c>
      <c r="B1582" s="40" t="inlineStr">
        <is>
          <t>AD35</t>
        </is>
      </c>
      <c r="C1582" s="40" t="n">
        <v>35</v>
      </c>
      <c r="D1582" s="40" t="inlineStr">
        <is>
          <t>All landing pages</t>
        </is>
      </c>
      <c r="E1582" s="40" t="inlineStr">
        <is>
          <t>Paid Search</t>
        </is>
      </c>
      <c r="F1582" s="40" t="inlineStr">
        <is>
          <t>Desktop</t>
        </is>
      </c>
      <c r="G1582" s="40" t="inlineStr">
        <is>
          <t>Switzerland</t>
        </is>
      </c>
      <c r="H1582" s="40" t="n">
        <v>22</v>
      </c>
      <c r="I1582" s="40" t="inlineStr">
        <is>
          <t>Add to cart</t>
        </is>
      </c>
      <c r="J1582" s="40" t="inlineStr">
        <is>
          <t>1-23 August 2025</t>
        </is>
      </c>
      <c r="K1582" s="55" t="n">
        <v>1527</v>
      </c>
      <c r="L1582" s="40" t="inlineStr">
        <is>
          <t>Completeness only</t>
        </is>
      </c>
      <c r="M1582" s="40">
        <f>IF(Countries!AD35="","STILL MISSING","Filled ✓")</f>
        <v/>
      </c>
    </row>
    <row r="1583">
      <c r="A1583" s="56" t="inlineStr">
        <is>
          <t>Countries</t>
        </is>
      </c>
      <c r="B1583" s="56" t="inlineStr">
        <is>
          <t>AE35</t>
        </is>
      </c>
      <c r="C1583" s="56" t="n">
        <v>35</v>
      </c>
      <c r="D1583" s="56" t="inlineStr">
        <is>
          <t>All landing pages</t>
        </is>
      </c>
      <c r="E1583" s="56" t="inlineStr">
        <is>
          <t>Paid Search</t>
        </is>
      </c>
      <c r="F1583" s="56" t="inlineStr">
        <is>
          <t>Desktop</t>
        </is>
      </c>
      <c r="G1583" s="56" t="inlineStr">
        <is>
          <t>Switzerland</t>
        </is>
      </c>
      <c r="H1583" s="56" t="n">
        <v>22</v>
      </c>
      <c r="I1583" s="56" t="inlineStr">
        <is>
          <t>Add to cart</t>
        </is>
      </c>
      <c r="J1583" s="56" t="inlineStr">
        <is>
          <t>1-23 August 2026</t>
        </is>
      </c>
      <c r="K1583" s="57" t="n">
        <v>1527</v>
      </c>
      <c r="L1583" s="56" t="inlineStr">
        <is>
          <t>Completeness only</t>
        </is>
      </c>
      <c r="M1583" s="40">
        <f>IF(Countries!AE35="","STILL MISSING","Filled ✓")</f>
        <v/>
      </c>
    </row>
    <row r="1584">
      <c r="A1584" s="40" t="inlineStr">
        <is>
          <t>Countries</t>
        </is>
      </c>
      <c r="B1584" s="40" t="inlineStr">
        <is>
          <t>AK35</t>
        </is>
      </c>
      <c r="C1584" s="40" t="n">
        <v>35</v>
      </c>
      <c r="D1584" s="40" t="inlineStr">
        <is>
          <t>All landing pages</t>
        </is>
      </c>
      <c r="E1584" s="40" t="inlineStr">
        <is>
          <t>Paid Search</t>
        </is>
      </c>
      <c r="F1584" s="40" t="inlineStr">
        <is>
          <t>Desktop</t>
        </is>
      </c>
      <c r="G1584" s="40" t="inlineStr">
        <is>
          <t>Switzerland</t>
        </is>
      </c>
      <c r="H1584" s="40" t="n">
        <v>22</v>
      </c>
      <c r="I1584" s="40" t="inlineStr">
        <is>
          <t>Begin checkout</t>
        </is>
      </c>
      <c r="J1584" s="40" t="inlineStr">
        <is>
          <t>1-23 August 2025</t>
        </is>
      </c>
      <c r="K1584" s="55" t="n">
        <v>1527</v>
      </c>
      <c r="L1584" s="40" t="inlineStr">
        <is>
          <t>Completeness only</t>
        </is>
      </c>
      <c r="M1584" s="40">
        <f>IF(Countries!AK35="","STILL MISSING","Filled ✓")</f>
        <v/>
      </c>
    </row>
    <row r="1585">
      <c r="A1585" s="56" t="inlineStr">
        <is>
          <t>Countries</t>
        </is>
      </c>
      <c r="B1585" s="56" t="inlineStr">
        <is>
          <t>AL35</t>
        </is>
      </c>
      <c r="C1585" s="56" t="n">
        <v>35</v>
      </c>
      <c r="D1585" s="56" t="inlineStr">
        <is>
          <t>All landing pages</t>
        </is>
      </c>
      <c r="E1585" s="56" t="inlineStr">
        <is>
          <t>Paid Search</t>
        </is>
      </c>
      <c r="F1585" s="56" t="inlineStr">
        <is>
          <t>Desktop</t>
        </is>
      </c>
      <c r="G1585" s="56" t="inlineStr">
        <is>
          <t>Switzerland</t>
        </is>
      </c>
      <c r="H1585" s="56" t="n">
        <v>22</v>
      </c>
      <c r="I1585" s="56" t="inlineStr">
        <is>
          <t>Begin checkout</t>
        </is>
      </c>
      <c r="J1585" s="56" t="inlineStr">
        <is>
          <t>1-23 August 2026</t>
        </is>
      </c>
      <c r="K1585" s="57" t="n">
        <v>1527</v>
      </c>
      <c r="L1585" s="56" t="inlineStr">
        <is>
          <t>Completeness only</t>
        </is>
      </c>
      <c r="M1585" s="40">
        <f>IF(Countries!AL35="","STILL MISSING","Filled ✓")</f>
        <v/>
      </c>
    </row>
    <row r="1586">
      <c r="A1586" s="40" t="inlineStr">
        <is>
          <t>Countries</t>
        </is>
      </c>
      <c r="B1586" s="40" t="inlineStr">
        <is>
          <t>AS35</t>
        </is>
      </c>
      <c r="C1586" s="40" t="n">
        <v>35</v>
      </c>
      <c r="D1586" s="40" t="inlineStr">
        <is>
          <t>All landing pages</t>
        </is>
      </c>
      <c r="E1586" s="40" t="inlineStr">
        <is>
          <t>Paid Search</t>
        </is>
      </c>
      <c r="F1586" s="40" t="inlineStr">
        <is>
          <t>Desktop</t>
        </is>
      </c>
      <c r="G1586" s="40" t="inlineStr">
        <is>
          <t>Switzerland</t>
        </is>
      </c>
      <c r="H1586" s="40" t="n">
        <v>22</v>
      </c>
      <c r="I1586" s="40" t="inlineStr">
        <is>
          <t>Purchases</t>
        </is>
      </c>
      <c r="J1586" s="40" t="inlineStr">
        <is>
          <t>1-23 August 2026</t>
        </is>
      </c>
      <c r="K1586" s="55" t="n">
        <v>1527</v>
      </c>
      <c r="L1586" s="40" t="inlineStr">
        <is>
          <t>Completeness only</t>
        </is>
      </c>
      <c r="M1586" s="40">
        <f>IF(Countries!AS35="","STILL MISSING","Filled ✓")</f>
        <v/>
      </c>
    </row>
    <row r="1587">
      <c r="A1587" s="56" t="inlineStr">
        <is>
          <t>Countries</t>
        </is>
      </c>
      <c r="B1587" s="56" t="inlineStr">
        <is>
          <t>X35</t>
        </is>
      </c>
      <c r="C1587" s="56" t="n">
        <v>35</v>
      </c>
      <c r="D1587" s="56" t="inlineStr">
        <is>
          <t>All landing pages</t>
        </is>
      </c>
      <c r="E1587" s="56" t="inlineStr">
        <is>
          <t>Paid Search</t>
        </is>
      </c>
      <c r="F1587" s="56" t="inlineStr">
        <is>
          <t>Desktop</t>
        </is>
      </c>
      <c r="G1587" s="56" t="inlineStr">
        <is>
          <t>Switzerland</t>
        </is>
      </c>
      <c r="H1587" s="56" t="n">
        <v>22</v>
      </c>
      <c r="I1587" s="56" t="inlineStr">
        <is>
          <t>Select item</t>
        </is>
      </c>
      <c r="J1587" s="56" t="inlineStr">
        <is>
          <t>1-23 August 2026</t>
        </is>
      </c>
      <c r="K1587" s="57" t="n">
        <v>1527</v>
      </c>
      <c r="L1587" s="56" t="inlineStr">
        <is>
          <t>Completeness only</t>
        </is>
      </c>
      <c r="M1587" s="40">
        <f>IF(Countries!X35="","STILL MISSING","Filled ✓")</f>
        <v/>
      </c>
    </row>
    <row r="1588">
      <c r="A1588" s="40" t="inlineStr">
        <is>
          <t>Countries</t>
        </is>
      </c>
      <c r="B1588" s="40" t="inlineStr">
        <is>
          <t>J35</t>
        </is>
      </c>
      <c r="C1588" s="40" t="n">
        <v>35</v>
      </c>
      <c r="D1588" s="40" t="inlineStr">
        <is>
          <t>All landing pages</t>
        </is>
      </c>
      <c r="E1588" s="40" t="inlineStr">
        <is>
          <t>Paid Search</t>
        </is>
      </c>
      <c r="F1588" s="40" t="inlineStr">
        <is>
          <t>Desktop</t>
        </is>
      </c>
      <c r="G1588" s="40" t="inlineStr">
        <is>
          <t>Switzerland</t>
        </is>
      </c>
      <c r="H1588" s="40" t="n">
        <v>22</v>
      </c>
      <c r="I1588" s="40" t="inlineStr">
        <is>
          <t>Start Search</t>
        </is>
      </c>
      <c r="J1588" s="40" t="inlineStr">
        <is>
          <t>1-23 August 2026</t>
        </is>
      </c>
      <c r="K1588" s="55" t="n">
        <v>1527</v>
      </c>
      <c r="L1588" s="40" t="inlineStr">
        <is>
          <t>Completeness only</t>
        </is>
      </c>
      <c r="M1588" s="40">
        <f>IF(Countries!J35="","STILL MISSING","Filled ✓")</f>
        <v/>
      </c>
    </row>
    <row r="1589">
      <c r="A1589" s="56" t="inlineStr">
        <is>
          <t>Countries</t>
        </is>
      </c>
      <c r="B1589" s="56" t="inlineStr">
        <is>
          <t>AD20</t>
        </is>
      </c>
      <c r="C1589" s="56" t="n">
        <v>20</v>
      </c>
      <c r="D1589" s="56" t="inlineStr">
        <is>
          <t>All landing pages</t>
        </is>
      </c>
      <c r="E1589" s="56" t="inlineStr">
        <is>
          <t>Paid Search</t>
        </is>
      </c>
      <c r="F1589" s="56" t="inlineStr">
        <is>
          <t>Mobile</t>
        </is>
      </c>
      <c r="G1589" s="56" t="inlineStr">
        <is>
          <t>Switzerland</t>
        </is>
      </c>
      <c r="H1589" s="56" t="n">
        <v>22</v>
      </c>
      <c r="I1589" s="56" t="inlineStr">
        <is>
          <t>Add to cart</t>
        </is>
      </c>
      <c r="J1589" s="56" t="inlineStr">
        <is>
          <t>1-23 August 2025</t>
        </is>
      </c>
      <c r="K1589" s="57" t="n">
        <v>1760</v>
      </c>
      <c r="L1589" s="56" t="inlineStr">
        <is>
          <t>Completeness only</t>
        </is>
      </c>
      <c r="M1589" s="40">
        <f>IF(Countries!AD20="","STILL MISSING","Filled ✓")</f>
        <v/>
      </c>
    </row>
    <row r="1590">
      <c r="A1590" s="40" t="inlineStr">
        <is>
          <t>Countries</t>
        </is>
      </c>
      <c r="B1590" s="40" t="inlineStr">
        <is>
          <t>AE20</t>
        </is>
      </c>
      <c r="C1590" s="40" t="n">
        <v>20</v>
      </c>
      <c r="D1590" s="40" t="inlineStr">
        <is>
          <t>All landing pages</t>
        </is>
      </c>
      <c r="E1590" s="40" t="inlineStr">
        <is>
          <t>Paid Search</t>
        </is>
      </c>
      <c r="F1590" s="40" t="inlineStr">
        <is>
          <t>Mobile</t>
        </is>
      </c>
      <c r="G1590" s="40" t="inlineStr">
        <is>
          <t>Switzerland</t>
        </is>
      </c>
      <c r="H1590" s="40" t="n">
        <v>22</v>
      </c>
      <c r="I1590" s="40" t="inlineStr">
        <is>
          <t>Add to cart</t>
        </is>
      </c>
      <c r="J1590" s="40" t="inlineStr">
        <is>
          <t>1-23 August 2026</t>
        </is>
      </c>
      <c r="K1590" s="55" t="n">
        <v>1760</v>
      </c>
      <c r="L1590" s="40" t="inlineStr">
        <is>
          <t>Completeness only</t>
        </is>
      </c>
      <c r="M1590" s="40">
        <f>IF(Countries!AE20="","STILL MISSING","Filled ✓")</f>
        <v/>
      </c>
    </row>
    <row r="1591">
      <c r="A1591" s="56" t="inlineStr">
        <is>
          <t>Countries</t>
        </is>
      </c>
      <c r="B1591" s="56" t="inlineStr">
        <is>
          <t>AK20</t>
        </is>
      </c>
      <c r="C1591" s="56" t="n">
        <v>20</v>
      </c>
      <c r="D1591" s="56" t="inlineStr">
        <is>
          <t>All landing pages</t>
        </is>
      </c>
      <c r="E1591" s="56" t="inlineStr">
        <is>
          <t>Paid Search</t>
        </is>
      </c>
      <c r="F1591" s="56" t="inlineStr">
        <is>
          <t>Mobile</t>
        </is>
      </c>
      <c r="G1591" s="56" t="inlineStr">
        <is>
          <t>Switzerland</t>
        </is>
      </c>
      <c r="H1591" s="56" t="n">
        <v>22</v>
      </c>
      <c r="I1591" s="56" t="inlineStr">
        <is>
          <t>Begin checkout</t>
        </is>
      </c>
      <c r="J1591" s="56" t="inlineStr">
        <is>
          <t>1-23 August 2025</t>
        </is>
      </c>
      <c r="K1591" s="57" t="n">
        <v>1760</v>
      </c>
      <c r="L1591" s="56" t="inlineStr">
        <is>
          <t>Completeness only</t>
        </is>
      </c>
      <c r="M1591" s="40">
        <f>IF(Countries!AK20="","STILL MISSING","Filled ✓")</f>
        <v/>
      </c>
    </row>
    <row r="1592">
      <c r="A1592" s="40" t="inlineStr">
        <is>
          <t>Countries</t>
        </is>
      </c>
      <c r="B1592" s="40" t="inlineStr">
        <is>
          <t>AL20</t>
        </is>
      </c>
      <c r="C1592" s="40" t="n">
        <v>20</v>
      </c>
      <c r="D1592" s="40" t="inlineStr">
        <is>
          <t>All landing pages</t>
        </is>
      </c>
      <c r="E1592" s="40" t="inlineStr">
        <is>
          <t>Paid Search</t>
        </is>
      </c>
      <c r="F1592" s="40" t="inlineStr">
        <is>
          <t>Mobile</t>
        </is>
      </c>
      <c r="G1592" s="40" t="inlineStr">
        <is>
          <t>Switzerland</t>
        </is>
      </c>
      <c r="H1592" s="40" t="n">
        <v>22</v>
      </c>
      <c r="I1592" s="40" t="inlineStr">
        <is>
          <t>Begin checkout</t>
        </is>
      </c>
      <c r="J1592" s="40" t="inlineStr">
        <is>
          <t>1-23 August 2026</t>
        </is>
      </c>
      <c r="K1592" s="55" t="n">
        <v>1760</v>
      </c>
      <c r="L1592" s="40" t="inlineStr">
        <is>
          <t>Completeness only</t>
        </is>
      </c>
      <c r="M1592" s="40">
        <f>IF(Countries!AL20="","STILL MISSING","Filled ✓")</f>
        <v/>
      </c>
    </row>
    <row r="1593">
      <c r="A1593" s="56" t="inlineStr">
        <is>
          <t>Countries</t>
        </is>
      </c>
      <c r="B1593" s="56" t="inlineStr">
        <is>
          <t>AS20</t>
        </is>
      </c>
      <c r="C1593" s="56" t="n">
        <v>20</v>
      </c>
      <c r="D1593" s="56" t="inlineStr">
        <is>
          <t>All landing pages</t>
        </is>
      </c>
      <c r="E1593" s="56" t="inlineStr">
        <is>
          <t>Paid Search</t>
        </is>
      </c>
      <c r="F1593" s="56" t="inlineStr">
        <is>
          <t>Mobile</t>
        </is>
      </c>
      <c r="G1593" s="56" t="inlineStr">
        <is>
          <t>Switzerland</t>
        </is>
      </c>
      <c r="H1593" s="56" t="n">
        <v>22</v>
      </c>
      <c r="I1593" s="56" t="inlineStr">
        <is>
          <t>Purchases</t>
        </is>
      </c>
      <c r="J1593" s="56" t="inlineStr">
        <is>
          <t>1-23 August 2026</t>
        </is>
      </c>
      <c r="K1593" s="57" t="n">
        <v>1760</v>
      </c>
      <c r="L1593" s="56" t="inlineStr">
        <is>
          <t>Completeness only</t>
        </is>
      </c>
      <c r="M1593" s="40">
        <f>IF(Countries!AS20="","STILL MISSING","Filled ✓")</f>
        <v/>
      </c>
    </row>
    <row r="1594">
      <c r="A1594" s="40" t="inlineStr">
        <is>
          <t>Countries</t>
        </is>
      </c>
      <c r="B1594" s="40" t="inlineStr">
        <is>
          <t>X20</t>
        </is>
      </c>
      <c r="C1594" s="40" t="n">
        <v>20</v>
      </c>
      <c r="D1594" s="40" t="inlineStr">
        <is>
          <t>All landing pages</t>
        </is>
      </c>
      <c r="E1594" s="40" t="inlineStr">
        <is>
          <t>Paid Search</t>
        </is>
      </c>
      <c r="F1594" s="40" t="inlineStr">
        <is>
          <t>Mobile</t>
        </is>
      </c>
      <c r="G1594" s="40" t="inlineStr">
        <is>
          <t>Switzerland</t>
        </is>
      </c>
      <c r="H1594" s="40" t="n">
        <v>22</v>
      </c>
      <c r="I1594" s="40" t="inlineStr">
        <is>
          <t>Select item</t>
        </is>
      </c>
      <c r="J1594" s="40" t="inlineStr">
        <is>
          <t>1-23 August 2026</t>
        </is>
      </c>
      <c r="K1594" s="55" t="n">
        <v>1760</v>
      </c>
      <c r="L1594" s="40" t="inlineStr">
        <is>
          <t>Completeness only</t>
        </is>
      </c>
      <c r="M1594" s="40">
        <f>IF(Countries!X20="","STILL MISSING","Filled ✓")</f>
        <v/>
      </c>
    </row>
    <row r="1595">
      <c r="A1595" s="56" t="inlineStr">
        <is>
          <t>Countries</t>
        </is>
      </c>
      <c r="B1595" s="56" t="inlineStr">
        <is>
          <t>J20</t>
        </is>
      </c>
      <c r="C1595" s="56" t="n">
        <v>20</v>
      </c>
      <c r="D1595" s="56" t="inlineStr">
        <is>
          <t>All landing pages</t>
        </is>
      </c>
      <c r="E1595" s="56" t="inlineStr">
        <is>
          <t>Paid Search</t>
        </is>
      </c>
      <c r="F1595" s="56" t="inlineStr">
        <is>
          <t>Mobile</t>
        </is>
      </c>
      <c r="G1595" s="56" t="inlineStr">
        <is>
          <t>Switzerland</t>
        </is>
      </c>
      <c r="H1595" s="56" t="n">
        <v>22</v>
      </c>
      <c r="I1595" s="56" t="inlineStr">
        <is>
          <t>Start Search</t>
        </is>
      </c>
      <c r="J1595" s="56" t="inlineStr">
        <is>
          <t>1-23 August 2026</t>
        </is>
      </c>
      <c r="K1595" s="57" t="n">
        <v>1760</v>
      </c>
      <c r="L1595" s="56" t="inlineStr">
        <is>
          <t>Completeness only</t>
        </is>
      </c>
      <c r="M1595" s="40">
        <f>IF(Countries!J20="","STILL MISSING","Filled ✓")</f>
        <v/>
      </c>
    </row>
    <row r="1596">
      <c r="A1596" s="40" t="inlineStr">
        <is>
          <t>Countries</t>
        </is>
      </c>
      <c r="B1596" s="40" t="inlineStr">
        <is>
          <t>AD71</t>
        </is>
      </c>
      <c r="C1596" s="40" t="n">
        <v>71</v>
      </c>
      <c r="D1596" s="40" t="inlineStr">
        <is>
          <t>All landing pages</t>
        </is>
      </c>
      <c r="E1596" s="40" t="inlineStr">
        <is>
          <t>Organic</t>
        </is>
      </c>
      <c r="F1596" s="40" t="inlineStr">
        <is>
          <t>Desktop</t>
        </is>
      </c>
      <c r="G1596" s="40" t="inlineStr">
        <is>
          <t>Switzerland</t>
        </is>
      </c>
      <c r="H1596" s="40" t="n">
        <v>22</v>
      </c>
      <c r="I1596" s="40" t="inlineStr">
        <is>
          <t>Add to cart</t>
        </is>
      </c>
      <c r="J1596" s="40" t="inlineStr">
        <is>
          <t>1-23 August 2025</t>
        </is>
      </c>
      <c r="K1596" s="55" t="n">
        <v>223</v>
      </c>
      <c r="L1596" s="40" t="inlineStr">
        <is>
          <t>Completeness only</t>
        </is>
      </c>
      <c r="M1596" s="40">
        <f>IF(Countries!AD71="","STILL MISSING","Filled ✓")</f>
        <v/>
      </c>
    </row>
    <row r="1597">
      <c r="A1597" s="56" t="inlineStr">
        <is>
          <t>Countries</t>
        </is>
      </c>
      <c r="B1597" s="56" t="inlineStr">
        <is>
          <t>AE71</t>
        </is>
      </c>
      <c r="C1597" s="56" t="n">
        <v>71</v>
      </c>
      <c r="D1597" s="56" t="inlineStr">
        <is>
          <t>All landing pages</t>
        </is>
      </c>
      <c r="E1597" s="56" t="inlineStr">
        <is>
          <t>Organic</t>
        </is>
      </c>
      <c r="F1597" s="56" t="inlineStr">
        <is>
          <t>Desktop</t>
        </is>
      </c>
      <c r="G1597" s="56" t="inlineStr">
        <is>
          <t>Switzerland</t>
        </is>
      </c>
      <c r="H1597" s="56" t="n">
        <v>22</v>
      </c>
      <c r="I1597" s="56" t="inlineStr">
        <is>
          <t>Add to cart</t>
        </is>
      </c>
      <c r="J1597" s="56" t="inlineStr">
        <is>
          <t>1-23 August 2026</t>
        </is>
      </c>
      <c r="K1597" s="57" t="n">
        <v>223</v>
      </c>
      <c r="L1597" s="56" t="inlineStr">
        <is>
          <t>Completeness only</t>
        </is>
      </c>
      <c r="M1597" s="40">
        <f>IF(Countries!AE71="","STILL MISSING","Filled ✓")</f>
        <v/>
      </c>
    </row>
    <row r="1598">
      <c r="A1598" s="40" t="inlineStr">
        <is>
          <t>Countries</t>
        </is>
      </c>
      <c r="B1598" s="40" t="inlineStr">
        <is>
          <t>AK71</t>
        </is>
      </c>
      <c r="C1598" s="40" t="n">
        <v>71</v>
      </c>
      <c r="D1598" s="40" t="inlineStr">
        <is>
          <t>All landing pages</t>
        </is>
      </c>
      <c r="E1598" s="40" t="inlineStr">
        <is>
          <t>Organic</t>
        </is>
      </c>
      <c r="F1598" s="40" t="inlineStr">
        <is>
          <t>Desktop</t>
        </is>
      </c>
      <c r="G1598" s="40" t="inlineStr">
        <is>
          <t>Switzerland</t>
        </is>
      </c>
      <c r="H1598" s="40" t="n">
        <v>22</v>
      </c>
      <c r="I1598" s="40" t="inlineStr">
        <is>
          <t>Begin checkout</t>
        </is>
      </c>
      <c r="J1598" s="40" t="inlineStr">
        <is>
          <t>1-23 August 2025</t>
        </is>
      </c>
      <c r="K1598" s="55" t="n">
        <v>223</v>
      </c>
      <c r="L1598" s="40" t="inlineStr">
        <is>
          <t>Completeness only</t>
        </is>
      </c>
      <c r="M1598" s="40">
        <f>IF(Countries!AK71="","STILL MISSING","Filled ✓")</f>
        <v/>
      </c>
    </row>
    <row r="1599">
      <c r="A1599" s="56" t="inlineStr">
        <is>
          <t>Countries</t>
        </is>
      </c>
      <c r="B1599" s="56" t="inlineStr">
        <is>
          <t>AL71</t>
        </is>
      </c>
      <c r="C1599" s="56" t="n">
        <v>71</v>
      </c>
      <c r="D1599" s="56" t="inlineStr">
        <is>
          <t>All landing pages</t>
        </is>
      </c>
      <c r="E1599" s="56" t="inlineStr">
        <is>
          <t>Organic</t>
        </is>
      </c>
      <c r="F1599" s="56" t="inlineStr">
        <is>
          <t>Desktop</t>
        </is>
      </c>
      <c r="G1599" s="56" t="inlineStr">
        <is>
          <t>Switzerland</t>
        </is>
      </c>
      <c r="H1599" s="56" t="n">
        <v>22</v>
      </c>
      <c r="I1599" s="56" t="inlineStr">
        <is>
          <t>Begin checkout</t>
        </is>
      </c>
      <c r="J1599" s="56" t="inlineStr">
        <is>
          <t>1-23 August 2026</t>
        </is>
      </c>
      <c r="K1599" s="57" t="n">
        <v>223</v>
      </c>
      <c r="L1599" s="56" t="inlineStr">
        <is>
          <t>Completeness only</t>
        </is>
      </c>
      <c r="M1599" s="40">
        <f>IF(Countries!AL71="","STILL MISSING","Filled ✓")</f>
        <v/>
      </c>
    </row>
    <row r="1600">
      <c r="A1600" s="40" t="inlineStr">
        <is>
          <t>Countries</t>
        </is>
      </c>
      <c r="B1600" s="40" t="inlineStr">
        <is>
          <t>AR71</t>
        </is>
      </c>
      <c r="C1600" s="40" t="n">
        <v>71</v>
      </c>
      <c r="D1600" s="40" t="inlineStr">
        <is>
          <t>All landing pages</t>
        </is>
      </c>
      <c r="E1600" s="40" t="inlineStr">
        <is>
          <t>Organic</t>
        </is>
      </c>
      <c r="F1600" s="40" t="inlineStr">
        <is>
          <t>Desktop</t>
        </is>
      </c>
      <c r="G1600" s="40" t="inlineStr">
        <is>
          <t>Switzerland</t>
        </is>
      </c>
      <c r="H1600" s="40" t="n">
        <v>22</v>
      </c>
      <c r="I1600" s="40" t="inlineStr">
        <is>
          <t>Purchases</t>
        </is>
      </c>
      <c r="J1600" s="40" t="inlineStr">
        <is>
          <t>1-23 August 2025</t>
        </is>
      </c>
      <c r="K1600" s="55" t="n">
        <v>223</v>
      </c>
      <c r="L1600" s="40" t="inlineStr">
        <is>
          <t>Completeness only</t>
        </is>
      </c>
      <c r="M1600" s="40">
        <f>IF(Countries!AR71="","STILL MISSING","Filled ✓")</f>
        <v/>
      </c>
    </row>
    <row r="1601">
      <c r="A1601" s="56" t="inlineStr">
        <is>
          <t>Countries</t>
        </is>
      </c>
      <c r="B1601" s="56" t="inlineStr">
        <is>
          <t>W71</t>
        </is>
      </c>
      <c r="C1601" s="56" t="n">
        <v>71</v>
      </c>
      <c r="D1601" s="56" t="inlineStr">
        <is>
          <t>All landing pages</t>
        </is>
      </c>
      <c r="E1601" s="56" t="inlineStr">
        <is>
          <t>Organic</t>
        </is>
      </c>
      <c r="F1601" s="56" t="inlineStr">
        <is>
          <t>Desktop</t>
        </is>
      </c>
      <c r="G1601" s="56" t="inlineStr">
        <is>
          <t>Switzerland</t>
        </is>
      </c>
      <c r="H1601" s="56" t="n">
        <v>22</v>
      </c>
      <c r="I1601" s="56" t="inlineStr">
        <is>
          <t>Select item</t>
        </is>
      </c>
      <c r="J1601" s="56" t="inlineStr">
        <is>
          <t>1-23 August 2025</t>
        </is>
      </c>
      <c r="K1601" s="57" t="n">
        <v>223</v>
      </c>
      <c r="L1601" s="56" t="inlineStr">
        <is>
          <t>Completeness only</t>
        </is>
      </c>
      <c r="M1601" s="40">
        <f>IF(Countries!W71="","STILL MISSING","Filled ✓")</f>
        <v/>
      </c>
    </row>
    <row r="1602">
      <c r="A1602" s="40" t="inlineStr">
        <is>
          <t>Countries</t>
        </is>
      </c>
      <c r="B1602" s="40" t="inlineStr">
        <is>
          <t>E71</t>
        </is>
      </c>
      <c r="C1602" s="40" t="n">
        <v>71</v>
      </c>
      <c r="D1602" s="40" t="inlineStr">
        <is>
          <t>All landing pages</t>
        </is>
      </c>
      <c r="E1602" s="40" t="inlineStr">
        <is>
          <t>Organic</t>
        </is>
      </c>
      <c r="F1602" s="40" t="inlineStr">
        <is>
          <t>Desktop</t>
        </is>
      </c>
      <c r="G1602" s="40" t="inlineStr">
        <is>
          <t>Switzerland</t>
        </is>
      </c>
      <c r="H1602" s="40" t="n">
        <v>22</v>
      </c>
      <c r="I1602" s="40" t="inlineStr">
        <is>
          <t>Sessions</t>
        </is>
      </c>
      <c r="J1602" s="40" t="inlineStr">
        <is>
          <t>1-23 August 2025</t>
        </is>
      </c>
      <c r="K1602" s="55" t="n">
        <v>223</v>
      </c>
      <c r="L1602" s="40" t="inlineStr">
        <is>
          <t>Completeness only</t>
        </is>
      </c>
      <c r="M1602" s="40">
        <f>IF(Countries!E71="","STILL MISSING","Filled ✓")</f>
        <v/>
      </c>
    </row>
    <row r="1603">
      <c r="A1603" s="56" t="inlineStr">
        <is>
          <t>Countries</t>
        </is>
      </c>
      <c r="B1603" s="56" t="inlineStr">
        <is>
          <t>I71</t>
        </is>
      </c>
      <c r="C1603" s="56" t="n">
        <v>71</v>
      </c>
      <c r="D1603" s="56" t="inlineStr">
        <is>
          <t>All landing pages</t>
        </is>
      </c>
      <c r="E1603" s="56" t="inlineStr">
        <is>
          <t>Organic</t>
        </is>
      </c>
      <c r="F1603" s="56" t="inlineStr">
        <is>
          <t>Desktop</t>
        </is>
      </c>
      <c r="G1603" s="56" t="inlineStr">
        <is>
          <t>Switzerland</t>
        </is>
      </c>
      <c r="H1603" s="56" t="n">
        <v>22</v>
      </c>
      <c r="I1603" s="56" t="inlineStr">
        <is>
          <t>Start Search</t>
        </is>
      </c>
      <c r="J1603" s="56" t="inlineStr">
        <is>
          <t>1-23 August 2025</t>
        </is>
      </c>
      <c r="K1603" s="57" t="n">
        <v>223</v>
      </c>
      <c r="L1603" s="56" t="inlineStr">
        <is>
          <t>Completeness only</t>
        </is>
      </c>
      <c r="M1603" s="40">
        <f>IF(Countries!I71="","STILL MISSING","Filled ✓")</f>
        <v/>
      </c>
    </row>
    <row r="1604">
      <c r="A1604" s="40" t="inlineStr">
        <is>
          <t>Countries</t>
        </is>
      </c>
      <c r="B1604" s="40" t="inlineStr">
        <is>
          <t>J71</t>
        </is>
      </c>
      <c r="C1604" s="40" t="n">
        <v>71</v>
      </c>
      <c r="D1604" s="40" t="inlineStr">
        <is>
          <t>All landing pages</t>
        </is>
      </c>
      <c r="E1604" s="40" t="inlineStr">
        <is>
          <t>Organic</t>
        </is>
      </c>
      <c r="F1604" s="40" t="inlineStr">
        <is>
          <t>Desktop</t>
        </is>
      </c>
      <c r="G1604" s="40" t="inlineStr">
        <is>
          <t>Switzerland</t>
        </is>
      </c>
      <c r="H1604" s="40" t="n">
        <v>22</v>
      </c>
      <c r="I1604" s="40" t="inlineStr">
        <is>
          <t>Start Search</t>
        </is>
      </c>
      <c r="J1604" s="40" t="inlineStr">
        <is>
          <t>1-23 August 2026</t>
        </is>
      </c>
      <c r="K1604" s="55" t="n">
        <v>223</v>
      </c>
      <c r="L1604" s="40" t="inlineStr">
        <is>
          <t>Completeness only</t>
        </is>
      </c>
      <c r="M1604" s="40">
        <f>IF(Countries!J71="","STILL MISSING","Filled ✓")</f>
        <v/>
      </c>
    </row>
    <row r="1605">
      <c r="A1605" s="56" t="inlineStr">
        <is>
          <t>Countries</t>
        </is>
      </c>
      <c r="B1605" s="56" t="inlineStr">
        <is>
          <t>AD108</t>
        </is>
      </c>
      <c r="C1605" s="56" t="n">
        <v>108</v>
      </c>
      <c r="D1605" s="56" t="inlineStr">
        <is>
          <t>All landing pages</t>
        </is>
      </c>
      <c r="E1605" s="56" t="inlineStr">
        <is>
          <t>Direct</t>
        </is>
      </c>
      <c r="F1605" s="56" t="inlineStr">
        <is>
          <t>Desktop</t>
        </is>
      </c>
      <c r="G1605" s="56" t="inlineStr">
        <is>
          <t>Switzerland</t>
        </is>
      </c>
      <c r="H1605" s="56" t="n">
        <v>22</v>
      </c>
      <c r="I1605" s="56" t="inlineStr">
        <is>
          <t>Add to cart</t>
        </is>
      </c>
      <c r="J1605" s="56" t="inlineStr">
        <is>
          <t>1-23 August 2025</t>
        </is>
      </c>
      <c r="K1605" s="57" t="n">
        <v>226</v>
      </c>
      <c r="L1605" s="56" t="inlineStr">
        <is>
          <t>Completeness only</t>
        </is>
      </c>
      <c r="M1605" s="40">
        <f>IF(Countries!AD108="","STILL MISSING","Filled ✓")</f>
        <v/>
      </c>
    </row>
    <row r="1606">
      <c r="A1606" s="40" t="inlineStr">
        <is>
          <t>Countries</t>
        </is>
      </c>
      <c r="B1606" s="40" t="inlineStr">
        <is>
          <t>AE108</t>
        </is>
      </c>
      <c r="C1606" s="40" t="n">
        <v>108</v>
      </c>
      <c r="D1606" s="40" t="inlineStr">
        <is>
          <t>All landing pages</t>
        </is>
      </c>
      <c r="E1606" s="40" t="inlineStr">
        <is>
          <t>Direct</t>
        </is>
      </c>
      <c r="F1606" s="40" t="inlineStr">
        <is>
          <t>Desktop</t>
        </is>
      </c>
      <c r="G1606" s="40" t="inlineStr">
        <is>
          <t>Switzerland</t>
        </is>
      </c>
      <c r="H1606" s="40" t="n">
        <v>22</v>
      </c>
      <c r="I1606" s="40" t="inlineStr">
        <is>
          <t>Add to cart</t>
        </is>
      </c>
      <c r="J1606" s="40" t="inlineStr">
        <is>
          <t>1-23 August 2026</t>
        </is>
      </c>
      <c r="K1606" s="55" t="n">
        <v>226</v>
      </c>
      <c r="L1606" s="40" t="inlineStr">
        <is>
          <t>Completeness only</t>
        </is>
      </c>
      <c r="M1606" s="40">
        <f>IF(Countries!AE108="","STILL MISSING","Filled ✓")</f>
        <v/>
      </c>
    </row>
    <row r="1607">
      <c r="A1607" s="56" t="inlineStr">
        <is>
          <t>Countries</t>
        </is>
      </c>
      <c r="B1607" s="56" t="inlineStr">
        <is>
          <t>AK108</t>
        </is>
      </c>
      <c r="C1607" s="56" t="n">
        <v>108</v>
      </c>
      <c r="D1607" s="56" t="inlineStr">
        <is>
          <t>All landing pages</t>
        </is>
      </c>
      <c r="E1607" s="56" t="inlineStr">
        <is>
          <t>Direct</t>
        </is>
      </c>
      <c r="F1607" s="56" t="inlineStr">
        <is>
          <t>Desktop</t>
        </is>
      </c>
      <c r="G1607" s="56" t="inlineStr">
        <is>
          <t>Switzerland</t>
        </is>
      </c>
      <c r="H1607" s="56" t="n">
        <v>22</v>
      </c>
      <c r="I1607" s="56" t="inlineStr">
        <is>
          <t>Begin checkout</t>
        </is>
      </c>
      <c r="J1607" s="56" t="inlineStr">
        <is>
          <t>1-23 August 2025</t>
        </is>
      </c>
      <c r="K1607" s="57" t="n">
        <v>226</v>
      </c>
      <c r="L1607" s="56" t="inlineStr">
        <is>
          <t>Completeness only</t>
        </is>
      </c>
      <c r="M1607" s="40">
        <f>IF(Countries!AK108="","STILL MISSING","Filled ✓")</f>
        <v/>
      </c>
    </row>
    <row r="1608">
      <c r="A1608" s="40" t="inlineStr">
        <is>
          <t>Countries</t>
        </is>
      </c>
      <c r="B1608" s="40" t="inlineStr">
        <is>
          <t>AL108</t>
        </is>
      </c>
      <c r="C1608" s="40" t="n">
        <v>108</v>
      </c>
      <c r="D1608" s="40" t="inlineStr">
        <is>
          <t>All landing pages</t>
        </is>
      </c>
      <c r="E1608" s="40" t="inlineStr">
        <is>
          <t>Direct</t>
        </is>
      </c>
      <c r="F1608" s="40" t="inlineStr">
        <is>
          <t>Desktop</t>
        </is>
      </c>
      <c r="G1608" s="40" t="inlineStr">
        <is>
          <t>Switzerland</t>
        </is>
      </c>
      <c r="H1608" s="40" t="n">
        <v>22</v>
      </c>
      <c r="I1608" s="40" t="inlineStr">
        <is>
          <t>Begin checkout</t>
        </is>
      </c>
      <c r="J1608" s="40" t="inlineStr">
        <is>
          <t>1-23 August 2026</t>
        </is>
      </c>
      <c r="K1608" s="55" t="n">
        <v>226</v>
      </c>
      <c r="L1608" s="40" t="inlineStr">
        <is>
          <t>Completeness only</t>
        </is>
      </c>
      <c r="M1608" s="40">
        <f>IF(Countries!AL108="","STILL MISSING","Filled ✓")</f>
        <v/>
      </c>
    </row>
    <row r="1609">
      <c r="A1609" s="56" t="inlineStr">
        <is>
          <t>Countries</t>
        </is>
      </c>
      <c r="B1609" s="56" t="inlineStr">
        <is>
          <t>AS108</t>
        </is>
      </c>
      <c r="C1609" s="56" t="n">
        <v>108</v>
      </c>
      <c r="D1609" s="56" t="inlineStr">
        <is>
          <t>All landing pages</t>
        </is>
      </c>
      <c r="E1609" s="56" t="inlineStr">
        <is>
          <t>Direct</t>
        </is>
      </c>
      <c r="F1609" s="56" t="inlineStr">
        <is>
          <t>Desktop</t>
        </is>
      </c>
      <c r="G1609" s="56" t="inlineStr">
        <is>
          <t>Switzerland</t>
        </is>
      </c>
      <c r="H1609" s="56" t="n">
        <v>22</v>
      </c>
      <c r="I1609" s="56" t="inlineStr">
        <is>
          <t>Purchases</t>
        </is>
      </c>
      <c r="J1609" s="56" t="inlineStr">
        <is>
          <t>1-23 August 2026</t>
        </is>
      </c>
      <c r="K1609" s="57" t="n">
        <v>226</v>
      </c>
      <c r="L1609" s="56" t="inlineStr">
        <is>
          <t>Completeness only</t>
        </is>
      </c>
      <c r="M1609" s="40">
        <f>IF(Countries!AS108="","STILL MISSING","Filled ✓")</f>
        <v/>
      </c>
    </row>
    <row r="1610">
      <c r="A1610" s="40" t="inlineStr">
        <is>
          <t>Countries</t>
        </is>
      </c>
      <c r="B1610" s="40" t="inlineStr">
        <is>
          <t>X108</t>
        </is>
      </c>
      <c r="C1610" s="40" t="n">
        <v>108</v>
      </c>
      <c r="D1610" s="40" t="inlineStr">
        <is>
          <t>All landing pages</t>
        </is>
      </c>
      <c r="E1610" s="40" t="inlineStr">
        <is>
          <t>Direct</t>
        </is>
      </c>
      <c r="F1610" s="40" t="inlineStr">
        <is>
          <t>Desktop</t>
        </is>
      </c>
      <c r="G1610" s="40" t="inlineStr">
        <is>
          <t>Switzerland</t>
        </is>
      </c>
      <c r="H1610" s="40" t="n">
        <v>22</v>
      </c>
      <c r="I1610" s="40" t="inlineStr">
        <is>
          <t>Select item</t>
        </is>
      </c>
      <c r="J1610" s="40" t="inlineStr">
        <is>
          <t>1-23 August 2026</t>
        </is>
      </c>
      <c r="K1610" s="55" t="n">
        <v>226</v>
      </c>
      <c r="L1610" s="40" t="inlineStr">
        <is>
          <t>Completeness only</t>
        </is>
      </c>
      <c r="M1610" s="40">
        <f>IF(Countries!X108="","STILL MISSING","Filled ✓")</f>
        <v/>
      </c>
    </row>
    <row r="1611">
      <c r="A1611" s="56" t="inlineStr">
        <is>
          <t>Countries</t>
        </is>
      </c>
      <c r="B1611" s="56" t="inlineStr">
        <is>
          <t>J108</t>
        </is>
      </c>
      <c r="C1611" s="56" t="n">
        <v>108</v>
      </c>
      <c r="D1611" s="56" t="inlineStr">
        <is>
          <t>All landing pages</t>
        </is>
      </c>
      <c r="E1611" s="56" t="inlineStr">
        <is>
          <t>Direct</t>
        </is>
      </c>
      <c r="F1611" s="56" t="inlineStr">
        <is>
          <t>Desktop</t>
        </is>
      </c>
      <c r="G1611" s="56" t="inlineStr">
        <is>
          <t>Switzerland</t>
        </is>
      </c>
      <c r="H1611" s="56" t="n">
        <v>22</v>
      </c>
      <c r="I1611" s="56" t="inlineStr">
        <is>
          <t>Start Search</t>
        </is>
      </c>
      <c r="J1611" s="56" t="inlineStr">
        <is>
          <t>1-23 August 2026</t>
        </is>
      </c>
      <c r="K1611" s="57" t="n">
        <v>226</v>
      </c>
      <c r="L1611" s="56" t="inlineStr">
        <is>
          <t>Completeness only</t>
        </is>
      </c>
      <c r="M1611" s="40">
        <f>IF(Countries!J108="","STILL MISSING","Filled ✓")</f>
        <v/>
      </c>
    </row>
    <row r="1612">
      <c r="A1612" s="40" t="inlineStr">
        <is>
          <t>Countries</t>
        </is>
      </c>
      <c r="B1612" s="40" t="inlineStr">
        <is>
          <t>AD86</t>
        </is>
      </c>
      <c r="C1612" s="40" t="n">
        <v>86</v>
      </c>
      <c r="D1612" s="40" t="inlineStr">
        <is>
          <t>All landing pages</t>
        </is>
      </c>
      <c r="E1612" s="40" t="inlineStr">
        <is>
          <t>Direct</t>
        </is>
      </c>
      <c r="F1612" s="40" t="inlineStr">
        <is>
          <t>Mobile</t>
        </is>
      </c>
      <c r="G1612" s="40" t="inlineStr">
        <is>
          <t>Switzerland</t>
        </is>
      </c>
      <c r="H1612" s="40" t="n">
        <v>22</v>
      </c>
      <c r="I1612" s="40" t="inlineStr">
        <is>
          <t>Add to cart</t>
        </is>
      </c>
      <c r="J1612" s="40" t="inlineStr">
        <is>
          <t>1-23 August 2025</t>
        </is>
      </c>
      <c r="K1612" s="55" t="n">
        <v>216</v>
      </c>
      <c r="L1612" s="40" t="inlineStr">
        <is>
          <t>Completeness only</t>
        </is>
      </c>
      <c r="M1612" s="40">
        <f>IF(Countries!AD86="","STILL MISSING","Filled ✓")</f>
        <v/>
      </c>
    </row>
    <row r="1613">
      <c r="A1613" s="56" t="inlineStr">
        <is>
          <t>Countries</t>
        </is>
      </c>
      <c r="B1613" s="56" t="inlineStr">
        <is>
          <t>AE86</t>
        </is>
      </c>
      <c r="C1613" s="56" t="n">
        <v>86</v>
      </c>
      <c r="D1613" s="56" t="inlineStr">
        <is>
          <t>All landing pages</t>
        </is>
      </c>
      <c r="E1613" s="56" t="inlineStr">
        <is>
          <t>Direct</t>
        </is>
      </c>
      <c r="F1613" s="56" t="inlineStr">
        <is>
          <t>Mobile</t>
        </is>
      </c>
      <c r="G1613" s="56" t="inlineStr">
        <is>
          <t>Switzerland</t>
        </is>
      </c>
      <c r="H1613" s="56" t="n">
        <v>22</v>
      </c>
      <c r="I1613" s="56" t="inlineStr">
        <is>
          <t>Add to cart</t>
        </is>
      </c>
      <c r="J1613" s="56" t="inlineStr">
        <is>
          <t>1-23 August 2026</t>
        </is>
      </c>
      <c r="K1613" s="57" t="n">
        <v>216</v>
      </c>
      <c r="L1613" s="56" t="inlineStr">
        <is>
          <t>Completeness only</t>
        </is>
      </c>
      <c r="M1613" s="40">
        <f>IF(Countries!AE86="","STILL MISSING","Filled ✓")</f>
        <v/>
      </c>
    </row>
    <row r="1614">
      <c r="A1614" s="40" t="inlineStr">
        <is>
          <t>Countries</t>
        </is>
      </c>
      <c r="B1614" s="40" t="inlineStr">
        <is>
          <t>AK86</t>
        </is>
      </c>
      <c r="C1614" s="40" t="n">
        <v>86</v>
      </c>
      <c r="D1614" s="40" t="inlineStr">
        <is>
          <t>All landing pages</t>
        </is>
      </c>
      <c r="E1614" s="40" t="inlineStr">
        <is>
          <t>Direct</t>
        </is>
      </c>
      <c r="F1614" s="40" t="inlineStr">
        <is>
          <t>Mobile</t>
        </is>
      </c>
      <c r="G1614" s="40" t="inlineStr">
        <is>
          <t>Switzerland</t>
        </is>
      </c>
      <c r="H1614" s="40" t="n">
        <v>22</v>
      </c>
      <c r="I1614" s="40" t="inlineStr">
        <is>
          <t>Begin checkout</t>
        </is>
      </c>
      <c r="J1614" s="40" t="inlineStr">
        <is>
          <t>1-23 August 2025</t>
        </is>
      </c>
      <c r="K1614" s="55" t="n">
        <v>216</v>
      </c>
      <c r="L1614" s="40" t="inlineStr">
        <is>
          <t>Completeness only</t>
        </is>
      </c>
      <c r="M1614" s="40">
        <f>IF(Countries!AK86="","STILL MISSING","Filled ✓")</f>
        <v/>
      </c>
    </row>
    <row r="1615">
      <c r="A1615" s="56" t="inlineStr">
        <is>
          <t>Countries</t>
        </is>
      </c>
      <c r="B1615" s="56" t="inlineStr">
        <is>
          <t>AL86</t>
        </is>
      </c>
      <c r="C1615" s="56" t="n">
        <v>86</v>
      </c>
      <c r="D1615" s="56" t="inlineStr">
        <is>
          <t>All landing pages</t>
        </is>
      </c>
      <c r="E1615" s="56" t="inlineStr">
        <is>
          <t>Direct</t>
        </is>
      </c>
      <c r="F1615" s="56" t="inlineStr">
        <is>
          <t>Mobile</t>
        </is>
      </c>
      <c r="G1615" s="56" t="inlineStr">
        <is>
          <t>Switzerland</t>
        </is>
      </c>
      <c r="H1615" s="56" t="n">
        <v>22</v>
      </c>
      <c r="I1615" s="56" t="inlineStr">
        <is>
          <t>Begin checkout</t>
        </is>
      </c>
      <c r="J1615" s="56" t="inlineStr">
        <is>
          <t>1-23 August 2026</t>
        </is>
      </c>
      <c r="K1615" s="57" t="n">
        <v>216</v>
      </c>
      <c r="L1615" s="56" t="inlineStr">
        <is>
          <t>Completeness only</t>
        </is>
      </c>
      <c r="M1615" s="40">
        <f>IF(Countries!AL86="","STILL MISSING","Filled ✓")</f>
        <v/>
      </c>
    </row>
    <row r="1616">
      <c r="A1616" s="40" t="inlineStr">
        <is>
          <t>Countries</t>
        </is>
      </c>
      <c r="B1616" s="40" t="inlineStr">
        <is>
          <t>AR86</t>
        </is>
      </c>
      <c r="C1616" s="40" t="n">
        <v>86</v>
      </c>
      <c r="D1616" s="40" t="inlineStr">
        <is>
          <t>All landing pages</t>
        </is>
      </c>
      <c r="E1616" s="40" t="inlineStr">
        <is>
          <t>Direct</t>
        </is>
      </c>
      <c r="F1616" s="40" t="inlineStr">
        <is>
          <t>Mobile</t>
        </is>
      </c>
      <c r="G1616" s="40" t="inlineStr">
        <is>
          <t>Switzerland</t>
        </is>
      </c>
      <c r="H1616" s="40" t="n">
        <v>22</v>
      </c>
      <c r="I1616" s="40" t="inlineStr">
        <is>
          <t>Purchases</t>
        </is>
      </c>
      <c r="J1616" s="40" t="inlineStr">
        <is>
          <t>1-23 August 2025</t>
        </is>
      </c>
      <c r="K1616" s="55" t="n">
        <v>216</v>
      </c>
      <c r="L1616" s="40" t="inlineStr">
        <is>
          <t>Completeness only</t>
        </is>
      </c>
      <c r="M1616" s="40">
        <f>IF(Countries!AR86="","STILL MISSING","Filled ✓")</f>
        <v/>
      </c>
    </row>
    <row r="1617">
      <c r="A1617" s="56" t="inlineStr">
        <is>
          <t>Countries</t>
        </is>
      </c>
      <c r="B1617" s="56" t="inlineStr">
        <is>
          <t>P86</t>
        </is>
      </c>
      <c r="C1617" s="56" t="n">
        <v>86</v>
      </c>
      <c r="D1617" s="56" t="inlineStr">
        <is>
          <t>All landing pages</t>
        </is>
      </c>
      <c r="E1617" s="56" t="inlineStr">
        <is>
          <t>Direct</t>
        </is>
      </c>
      <c r="F1617" s="56" t="inlineStr">
        <is>
          <t>Mobile</t>
        </is>
      </c>
      <c r="G1617" s="56" t="inlineStr">
        <is>
          <t>Switzerland</t>
        </is>
      </c>
      <c r="H1617" s="56" t="n">
        <v>22</v>
      </c>
      <c r="I1617" s="56" t="inlineStr">
        <is>
          <t>Searches</t>
        </is>
      </c>
      <c r="J1617" s="56" t="inlineStr">
        <is>
          <t>1-23 August 2025</t>
        </is>
      </c>
      <c r="K1617" s="57" t="n">
        <v>216</v>
      </c>
      <c r="L1617" s="56" t="inlineStr">
        <is>
          <t>Completeness only</t>
        </is>
      </c>
      <c r="M1617" s="40">
        <f>IF(Countries!P86="","STILL MISSING","Filled ✓")</f>
        <v/>
      </c>
    </row>
    <row r="1618">
      <c r="A1618" s="40" t="inlineStr">
        <is>
          <t>Countries</t>
        </is>
      </c>
      <c r="B1618" s="40" t="inlineStr">
        <is>
          <t>W86</t>
        </is>
      </c>
      <c r="C1618" s="40" t="n">
        <v>86</v>
      </c>
      <c r="D1618" s="40" t="inlineStr">
        <is>
          <t>All landing pages</t>
        </is>
      </c>
      <c r="E1618" s="40" t="inlineStr">
        <is>
          <t>Direct</t>
        </is>
      </c>
      <c r="F1618" s="40" t="inlineStr">
        <is>
          <t>Mobile</t>
        </is>
      </c>
      <c r="G1618" s="40" t="inlineStr">
        <is>
          <t>Switzerland</t>
        </is>
      </c>
      <c r="H1618" s="40" t="n">
        <v>22</v>
      </c>
      <c r="I1618" s="40" t="inlineStr">
        <is>
          <t>Select item</t>
        </is>
      </c>
      <c r="J1618" s="40" t="inlineStr">
        <is>
          <t>1-23 August 2025</t>
        </is>
      </c>
      <c r="K1618" s="55" t="n">
        <v>216</v>
      </c>
      <c r="L1618" s="40" t="inlineStr">
        <is>
          <t>Completeness only</t>
        </is>
      </c>
      <c r="M1618" s="40">
        <f>IF(Countries!W86="","STILL MISSING","Filled ✓")</f>
        <v/>
      </c>
    </row>
    <row r="1619">
      <c r="A1619" s="56" t="inlineStr">
        <is>
          <t>Countries</t>
        </is>
      </c>
      <c r="B1619" s="56" t="inlineStr">
        <is>
          <t>X86</t>
        </is>
      </c>
      <c r="C1619" s="56" t="n">
        <v>86</v>
      </c>
      <c r="D1619" s="56" t="inlineStr">
        <is>
          <t>All landing pages</t>
        </is>
      </c>
      <c r="E1619" s="56" t="inlineStr">
        <is>
          <t>Direct</t>
        </is>
      </c>
      <c r="F1619" s="56" t="inlineStr">
        <is>
          <t>Mobile</t>
        </is>
      </c>
      <c r="G1619" s="56" t="inlineStr">
        <is>
          <t>Switzerland</t>
        </is>
      </c>
      <c r="H1619" s="56" t="n">
        <v>22</v>
      </c>
      <c r="I1619" s="56" t="inlineStr">
        <is>
          <t>Select item</t>
        </is>
      </c>
      <c r="J1619" s="56" t="inlineStr">
        <is>
          <t>1-23 August 2026</t>
        </is>
      </c>
      <c r="K1619" s="57" t="n">
        <v>216</v>
      </c>
      <c r="L1619" s="56" t="inlineStr">
        <is>
          <t>Completeness only</t>
        </is>
      </c>
      <c r="M1619" s="40">
        <f>IF(Countries!X86="","STILL MISSING","Filled ✓")</f>
        <v/>
      </c>
    </row>
    <row r="1620">
      <c r="A1620" s="40" t="inlineStr">
        <is>
          <t>Countries</t>
        </is>
      </c>
      <c r="B1620" s="40" t="inlineStr">
        <is>
          <t>I86</t>
        </is>
      </c>
      <c r="C1620" s="40" t="n">
        <v>86</v>
      </c>
      <c r="D1620" s="40" t="inlineStr">
        <is>
          <t>All landing pages</t>
        </is>
      </c>
      <c r="E1620" s="40" t="inlineStr">
        <is>
          <t>Direct</t>
        </is>
      </c>
      <c r="F1620" s="40" t="inlineStr">
        <is>
          <t>Mobile</t>
        </is>
      </c>
      <c r="G1620" s="40" t="inlineStr">
        <is>
          <t>Switzerland</t>
        </is>
      </c>
      <c r="H1620" s="40" t="n">
        <v>22</v>
      </c>
      <c r="I1620" s="40" t="inlineStr">
        <is>
          <t>Start Search</t>
        </is>
      </c>
      <c r="J1620" s="40" t="inlineStr">
        <is>
          <t>1-23 August 2025</t>
        </is>
      </c>
      <c r="K1620" s="55" t="n">
        <v>216</v>
      </c>
      <c r="L1620" s="40" t="inlineStr">
        <is>
          <t>Completeness only</t>
        </is>
      </c>
      <c r="M1620" s="40">
        <f>IF(Countries!I86="","STILL MISSING","Filled ✓")</f>
        <v/>
      </c>
    </row>
    <row r="1621">
      <c r="A1621" s="56" t="inlineStr">
        <is>
          <t>Countries</t>
        </is>
      </c>
      <c r="B1621" s="56" t="inlineStr">
        <is>
          <t>AD145</t>
        </is>
      </c>
      <c r="C1621" s="56" t="n">
        <v>145</v>
      </c>
      <c r="D1621" s="56" t="inlineStr">
        <is>
          <t>Home page</t>
        </is>
      </c>
      <c r="E1621" s="56" t="inlineStr">
        <is>
          <t>Paid Search</t>
        </is>
      </c>
      <c r="F1621" s="56" t="inlineStr">
        <is>
          <t>Desktop</t>
        </is>
      </c>
      <c r="G1621" s="56" t="inlineStr">
        <is>
          <t>Switzerland</t>
        </is>
      </c>
      <c r="H1621" s="56" t="n">
        <v>22</v>
      </c>
      <c r="I1621" s="56" t="inlineStr">
        <is>
          <t>Add to cart</t>
        </is>
      </c>
      <c r="J1621" s="56" t="inlineStr">
        <is>
          <t>1-23 August 2025</t>
        </is>
      </c>
      <c r="K1621" s="57" t="n">
        <v>515</v>
      </c>
      <c r="L1621" s="56" t="inlineStr">
        <is>
          <t>Completeness only</t>
        </is>
      </c>
      <c r="M1621" s="40">
        <f>IF(Countries!AD145="","STILL MISSING","Filled ✓")</f>
        <v/>
      </c>
    </row>
    <row r="1622">
      <c r="A1622" s="40" t="inlineStr">
        <is>
          <t>Countries</t>
        </is>
      </c>
      <c r="B1622" s="40" t="inlineStr">
        <is>
          <t>AE145</t>
        </is>
      </c>
      <c r="C1622" s="40" t="n">
        <v>145</v>
      </c>
      <c r="D1622" s="40" t="inlineStr">
        <is>
          <t>Home page</t>
        </is>
      </c>
      <c r="E1622" s="40" t="inlineStr">
        <is>
          <t>Paid Search</t>
        </is>
      </c>
      <c r="F1622" s="40" t="inlineStr">
        <is>
          <t>Desktop</t>
        </is>
      </c>
      <c r="G1622" s="40" t="inlineStr">
        <is>
          <t>Switzerland</t>
        </is>
      </c>
      <c r="H1622" s="40" t="n">
        <v>22</v>
      </c>
      <c r="I1622" s="40" t="inlineStr">
        <is>
          <t>Add to cart</t>
        </is>
      </c>
      <c r="J1622" s="40" t="inlineStr">
        <is>
          <t>1-23 August 2026</t>
        </is>
      </c>
      <c r="K1622" s="55" t="n">
        <v>515</v>
      </c>
      <c r="L1622" s="40" t="inlineStr">
        <is>
          <t>Completeness only</t>
        </is>
      </c>
      <c r="M1622" s="40">
        <f>IF(Countries!AE145="","STILL MISSING","Filled ✓")</f>
        <v/>
      </c>
    </row>
    <row r="1623">
      <c r="A1623" s="56" t="inlineStr">
        <is>
          <t>Countries</t>
        </is>
      </c>
      <c r="B1623" s="56" t="inlineStr">
        <is>
          <t>AK145</t>
        </is>
      </c>
      <c r="C1623" s="56" t="n">
        <v>145</v>
      </c>
      <c r="D1623" s="56" t="inlineStr">
        <is>
          <t>Home page</t>
        </is>
      </c>
      <c r="E1623" s="56" t="inlineStr">
        <is>
          <t>Paid Search</t>
        </is>
      </c>
      <c r="F1623" s="56" t="inlineStr">
        <is>
          <t>Desktop</t>
        </is>
      </c>
      <c r="G1623" s="56" t="inlineStr">
        <is>
          <t>Switzerland</t>
        </is>
      </c>
      <c r="H1623" s="56" t="n">
        <v>22</v>
      </c>
      <c r="I1623" s="56" t="inlineStr">
        <is>
          <t>Begin checkout</t>
        </is>
      </c>
      <c r="J1623" s="56" t="inlineStr">
        <is>
          <t>1-23 August 2025</t>
        </is>
      </c>
      <c r="K1623" s="57" t="n">
        <v>515</v>
      </c>
      <c r="L1623" s="56" t="inlineStr">
        <is>
          <t>Completeness only</t>
        </is>
      </c>
      <c r="M1623" s="40">
        <f>IF(Countries!AK145="","STILL MISSING","Filled ✓")</f>
        <v/>
      </c>
    </row>
    <row r="1624">
      <c r="A1624" s="40" t="inlineStr">
        <is>
          <t>Countries</t>
        </is>
      </c>
      <c r="B1624" s="40" t="inlineStr">
        <is>
          <t>AL145</t>
        </is>
      </c>
      <c r="C1624" s="40" t="n">
        <v>145</v>
      </c>
      <c r="D1624" s="40" t="inlineStr">
        <is>
          <t>Home page</t>
        </is>
      </c>
      <c r="E1624" s="40" t="inlineStr">
        <is>
          <t>Paid Search</t>
        </is>
      </c>
      <c r="F1624" s="40" t="inlineStr">
        <is>
          <t>Desktop</t>
        </is>
      </c>
      <c r="G1624" s="40" t="inlineStr">
        <is>
          <t>Switzerland</t>
        </is>
      </c>
      <c r="H1624" s="40" t="n">
        <v>22</v>
      </c>
      <c r="I1624" s="40" t="inlineStr">
        <is>
          <t>Begin checkout</t>
        </is>
      </c>
      <c r="J1624" s="40" t="inlineStr">
        <is>
          <t>1-23 August 2026</t>
        </is>
      </c>
      <c r="K1624" s="55" t="n">
        <v>515</v>
      </c>
      <c r="L1624" s="40" t="inlineStr">
        <is>
          <t>Completeness only</t>
        </is>
      </c>
      <c r="M1624" s="40">
        <f>IF(Countries!AL145="","STILL MISSING","Filled ✓")</f>
        <v/>
      </c>
    </row>
    <row r="1625">
      <c r="A1625" s="56" t="inlineStr">
        <is>
          <t>Countries</t>
        </is>
      </c>
      <c r="B1625" s="56" t="inlineStr">
        <is>
          <t>AD128</t>
        </is>
      </c>
      <c r="C1625" s="56" t="n">
        <v>128</v>
      </c>
      <c r="D1625" s="56" t="inlineStr">
        <is>
          <t>Home page</t>
        </is>
      </c>
      <c r="E1625" s="56" t="inlineStr">
        <is>
          <t>Paid Search</t>
        </is>
      </c>
      <c r="F1625" s="56" t="inlineStr">
        <is>
          <t>Mobile</t>
        </is>
      </c>
      <c r="G1625" s="56" t="inlineStr">
        <is>
          <t>Switzerland</t>
        </is>
      </c>
      <c r="H1625" s="56" t="n">
        <v>22</v>
      </c>
      <c r="I1625" s="56" t="inlineStr">
        <is>
          <t>Add to cart</t>
        </is>
      </c>
      <c r="J1625" s="56" t="inlineStr">
        <is>
          <t>1-23 August 2025</t>
        </is>
      </c>
      <c r="K1625" s="57" t="n">
        <v>559</v>
      </c>
      <c r="L1625" s="56" t="inlineStr">
        <is>
          <t>Completeness only</t>
        </is>
      </c>
      <c r="M1625" s="40">
        <f>IF(Countries!AD128="","STILL MISSING","Filled ✓")</f>
        <v/>
      </c>
    </row>
    <row r="1626">
      <c r="A1626" s="40" t="inlineStr">
        <is>
          <t>Countries</t>
        </is>
      </c>
      <c r="B1626" s="40" t="inlineStr">
        <is>
          <t>AE128</t>
        </is>
      </c>
      <c r="C1626" s="40" t="n">
        <v>128</v>
      </c>
      <c r="D1626" s="40" t="inlineStr">
        <is>
          <t>Home page</t>
        </is>
      </c>
      <c r="E1626" s="40" t="inlineStr">
        <is>
          <t>Paid Search</t>
        </is>
      </c>
      <c r="F1626" s="40" t="inlineStr">
        <is>
          <t>Mobile</t>
        </is>
      </c>
      <c r="G1626" s="40" t="inlineStr">
        <is>
          <t>Switzerland</t>
        </is>
      </c>
      <c r="H1626" s="40" t="n">
        <v>22</v>
      </c>
      <c r="I1626" s="40" t="inlineStr">
        <is>
          <t>Add to cart</t>
        </is>
      </c>
      <c r="J1626" s="40" t="inlineStr">
        <is>
          <t>1-23 August 2026</t>
        </is>
      </c>
      <c r="K1626" s="55" t="n">
        <v>559</v>
      </c>
      <c r="L1626" s="40" t="inlineStr">
        <is>
          <t>Completeness only</t>
        </is>
      </c>
      <c r="M1626" s="40">
        <f>IF(Countries!AE128="","STILL MISSING","Filled ✓")</f>
        <v/>
      </c>
    </row>
    <row r="1627">
      <c r="A1627" s="56" t="inlineStr">
        <is>
          <t>Countries</t>
        </is>
      </c>
      <c r="B1627" s="56" t="inlineStr">
        <is>
          <t>AK128</t>
        </is>
      </c>
      <c r="C1627" s="56" t="n">
        <v>128</v>
      </c>
      <c r="D1627" s="56" t="inlineStr">
        <is>
          <t>Home page</t>
        </is>
      </c>
      <c r="E1627" s="56" t="inlineStr">
        <is>
          <t>Paid Search</t>
        </is>
      </c>
      <c r="F1627" s="56" t="inlineStr">
        <is>
          <t>Mobile</t>
        </is>
      </c>
      <c r="G1627" s="56" t="inlineStr">
        <is>
          <t>Switzerland</t>
        </is>
      </c>
      <c r="H1627" s="56" t="n">
        <v>22</v>
      </c>
      <c r="I1627" s="56" t="inlineStr">
        <is>
          <t>Begin checkout</t>
        </is>
      </c>
      <c r="J1627" s="56" t="inlineStr">
        <is>
          <t>1-23 August 2025</t>
        </is>
      </c>
      <c r="K1627" s="57" t="n">
        <v>559</v>
      </c>
      <c r="L1627" s="56" t="inlineStr">
        <is>
          <t>Completeness only</t>
        </is>
      </c>
      <c r="M1627" s="40">
        <f>IF(Countries!AK128="","STILL MISSING","Filled ✓")</f>
        <v/>
      </c>
    </row>
    <row r="1628">
      <c r="A1628" s="40" t="inlineStr">
        <is>
          <t>Countries</t>
        </is>
      </c>
      <c r="B1628" s="40" t="inlineStr">
        <is>
          <t>AL128</t>
        </is>
      </c>
      <c r="C1628" s="40" t="n">
        <v>128</v>
      </c>
      <c r="D1628" s="40" t="inlineStr">
        <is>
          <t>Home page</t>
        </is>
      </c>
      <c r="E1628" s="40" t="inlineStr">
        <is>
          <t>Paid Search</t>
        </is>
      </c>
      <c r="F1628" s="40" t="inlineStr">
        <is>
          <t>Mobile</t>
        </is>
      </c>
      <c r="G1628" s="40" t="inlineStr">
        <is>
          <t>Switzerland</t>
        </is>
      </c>
      <c r="H1628" s="40" t="n">
        <v>22</v>
      </c>
      <c r="I1628" s="40" t="inlineStr">
        <is>
          <t>Begin checkout</t>
        </is>
      </c>
      <c r="J1628" s="40" t="inlineStr">
        <is>
          <t>1-23 August 2026</t>
        </is>
      </c>
      <c r="K1628" s="55" t="n">
        <v>559</v>
      </c>
      <c r="L1628" s="40" t="inlineStr">
        <is>
          <t>Completeness only</t>
        </is>
      </c>
      <c r="M1628" s="40">
        <f>IF(Countries!AL128="","STILL MISSING","Filled ✓")</f>
        <v/>
      </c>
    </row>
    <row r="1629">
      <c r="A1629" s="56" t="inlineStr">
        <is>
          <t>Countries</t>
        </is>
      </c>
      <c r="B1629" s="56" t="inlineStr">
        <is>
          <t>AS128</t>
        </is>
      </c>
      <c r="C1629" s="56" t="n">
        <v>128</v>
      </c>
      <c r="D1629" s="56" t="inlineStr">
        <is>
          <t>Home page</t>
        </is>
      </c>
      <c r="E1629" s="56" t="inlineStr">
        <is>
          <t>Paid Search</t>
        </is>
      </c>
      <c r="F1629" s="56" t="inlineStr">
        <is>
          <t>Mobile</t>
        </is>
      </c>
      <c r="G1629" s="56" t="inlineStr">
        <is>
          <t>Switzerland</t>
        </is>
      </c>
      <c r="H1629" s="56" t="n">
        <v>22</v>
      </c>
      <c r="I1629" s="56" t="inlineStr">
        <is>
          <t>Purchases</t>
        </is>
      </c>
      <c r="J1629" s="56" t="inlineStr">
        <is>
          <t>1-23 August 2026</t>
        </is>
      </c>
      <c r="K1629" s="57" t="n">
        <v>559</v>
      </c>
      <c r="L1629" s="56" t="inlineStr">
        <is>
          <t>Completeness only</t>
        </is>
      </c>
      <c r="M1629" s="40">
        <f>IF(Countries!AS128="","STILL MISSING","Filled ✓")</f>
        <v/>
      </c>
    </row>
    <row r="1630">
      <c r="A1630" s="40" t="inlineStr">
        <is>
          <t>Countries</t>
        </is>
      </c>
      <c r="B1630" s="40" t="inlineStr">
        <is>
          <t>X128</t>
        </is>
      </c>
      <c r="C1630" s="40" t="n">
        <v>128</v>
      </c>
      <c r="D1630" s="40" t="inlineStr">
        <is>
          <t>Home page</t>
        </is>
      </c>
      <c r="E1630" s="40" t="inlineStr">
        <is>
          <t>Paid Search</t>
        </is>
      </c>
      <c r="F1630" s="40" t="inlineStr">
        <is>
          <t>Mobile</t>
        </is>
      </c>
      <c r="G1630" s="40" t="inlineStr">
        <is>
          <t>Switzerland</t>
        </is>
      </c>
      <c r="H1630" s="40" t="n">
        <v>22</v>
      </c>
      <c r="I1630" s="40" t="inlineStr">
        <is>
          <t>Select item</t>
        </is>
      </c>
      <c r="J1630" s="40" t="inlineStr">
        <is>
          <t>1-23 August 2026</t>
        </is>
      </c>
      <c r="K1630" s="55" t="n">
        <v>559</v>
      </c>
      <c r="L1630" s="40" t="inlineStr">
        <is>
          <t>Completeness only</t>
        </is>
      </c>
      <c r="M1630" s="40">
        <f>IF(Countries!X128="","STILL MISSING","Filled ✓")</f>
        <v/>
      </c>
    </row>
    <row r="1631">
      <c r="A1631" s="56" t="inlineStr">
        <is>
          <t>Countries</t>
        </is>
      </c>
      <c r="B1631" s="56" t="inlineStr">
        <is>
          <t>J128</t>
        </is>
      </c>
      <c r="C1631" s="56" t="n">
        <v>128</v>
      </c>
      <c r="D1631" s="56" t="inlineStr">
        <is>
          <t>Home page</t>
        </is>
      </c>
      <c r="E1631" s="56" t="inlineStr">
        <is>
          <t>Paid Search</t>
        </is>
      </c>
      <c r="F1631" s="56" t="inlineStr">
        <is>
          <t>Mobile</t>
        </is>
      </c>
      <c r="G1631" s="56" t="inlineStr">
        <is>
          <t>Switzerland</t>
        </is>
      </c>
      <c r="H1631" s="56" t="n">
        <v>22</v>
      </c>
      <c r="I1631" s="56" t="inlineStr">
        <is>
          <t>Start Search</t>
        </is>
      </c>
      <c r="J1631" s="56" t="inlineStr">
        <is>
          <t>1-23 August 2026</t>
        </is>
      </c>
      <c r="K1631" s="57" t="n">
        <v>559</v>
      </c>
      <c r="L1631" s="56" t="inlineStr">
        <is>
          <t>Completeness only</t>
        </is>
      </c>
      <c r="M1631" s="40">
        <f>IF(Countries!J128="","STILL MISSING","Filled ✓")</f>
        <v/>
      </c>
    </row>
    <row r="1632">
      <c r="A1632" s="40" t="inlineStr">
        <is>
          <t>Countries</t>
        </is>
      </c>
      <c r="B1632" s="40" t="inlineStr">
        <is>
          <t>AD177</t>
        </is>
      </c>
      <c r="C1632" s="40" t="n">
        <v>177</v>
      </c>
      <c r="D1632" s="40" t="inlineStr">
        <is>
          <t>Home page</t>
        </is>
      </c>
      <c r="E1632" s="40" t="inlineStr">
        <is>
          <t>Organic</t>
        </is>
      </c>
      <c r="F1632" s="40" t="inlineStr">
        <is>
          <t>Desktop</t>
        </is>
      </c>
      <c r="G1632" s="40" t="inlineStr">
        <is>
          <t>Switzerland</t>
        </is>
      </c>
      <c r="H1632" s="40" t="n">
        <v>22</v>
      </c>
      <c r="I1632" s="40" t="inlineStr">
        <is>
          <t>Add to cart</t>
        </is>
      </c>
      <c r="J1632" s="40" t="inlineStr">
        <is>
          <t>1-23 August 2025</t>
        </is>
      </c>
      <c r="K1632" s="55" t="n">
        <v>88</v>
      </c>
      <c r="L1632" s="40" t="inlineStr">
        <is>
          <t>Completeness only</t>
        </is>
      </c>
      <c r="M1632" s="40">
        <f>IF(Countries!AD177="","STILL MISSING","Filled ✓")</f>
        <v/>
      </c>
    </row>
    <row r="1633">
      <c r="A1633" s="56" t="inlineStr">
        <is>
          <t>Countries</t>
        </is>
      </c>
      <c r="B1633" s="56" t="inlineStr">
        <is>
          <t>AE177</t>
        </is>
      </c>
      <c r="C1633" s="56" t="n">
        <v>177</v>
      </c>
      <c r="D1633" s="56" t="inlineStr">
        <is>
          <t>Home page</t>
        </is>
      </c>
      <c r="E1633" s="56" t="inlineStr">
        <is>
          <t>Organic</t>
        </is>
      </c>
      <c r="F1633" s="56" t="inlineStr">
        <is>
          <t>Desktop</t>
        </is>
      </c>
      <c r="G1633" s="56" t="inlineStr">
        <is>
          <t>Switzerland</t>
        </is>
      </c>
      <c r="H1633" s="56" t="n">
        <v>22</v>
      </c>
      <c r="I1633" s="56" t="inlineStr">
        <is>
          <t>Add to cart</t>
        </is>
      </c>
      <c r="J1633" s="56" t="inlineStr">
        <is>
          <t>1-23 August 2026</t>
        </is>
      </c>
      <c r="K1633" s="57" t="n">
        <v>88</v>
      </c>
      <c r="L1633" s="56" t="inlineStr">
        <is>
          <t>Completeness only</t>
        </is>
      </c>
      <c r="M1633" s="40">
        <f>IF(Countries!AE177="","STILL MISSING","Filled ✓")</f>
        <v/>
      </c>
    </row>
    <row r="1634">
      <c r="A1634" s="40" t="inlineStr">
        <is>
          <t>Countries</t>
        </is>
      </c>
      <c r="B1634" s="40" t="inlineStr">
        <is>
          <t>AK177</t>
        </is>
      </c>
      <c r="C1634" s="40" t="n">
        <v>177</v>
      </c>
      <c r="D1634" s="40" t="inlineStr">
        <is>
          <t>Home page</t>
        </is>
      </c>
      <c r="E1634" s="40" t="inlineStr">
        <is>
          <t>Organic</t>
        </is>
      </c>
      <c r="F1634" s="40" t="inlineStr">
        <is>
          <t>Desktop</t>
        </is>
      </c>
      <c r="G1634" s="40" t="inlineStr">
        <is>
          <t>Switzerland</t>
        </is>
      </c>
      <c r="H1634" s="40" t="n">
        <v>22</v>
      </c>
      <c r="I1634" s="40" t="inlineStr">
        <is>
          <t>Begin checkout</t>
        </is>
      </c>
      <c r="J1634" s="40" t="inlineStr">
        <is>
          <t>1-23 August 2025</t>
        </is>
      </c>
      <c r="K1634" s="55" t="n">
        <v>88</v>
      </c>
      <c r="L1634" s="40" t="inlineStr">
        <is>
          <t>Completeness only</t>
        </is>
      </c>
      <c r="M1634" s="40">
        <f>IF(Countries!AK177="","STILL MISSING","Filled ✓")</f>
        <v/>
      </c>
    </row>
    <row r="1635">
      <c r="A1635" s="56" t="inlineStr">
        <is>
          <t>Countries</t>
        </is>
      </c>
      <c r="B1635" s="56" t="inlineStr">
        <is>
          <t>AL177</t>
        </is>
      </c>
      <c r="C1635" s="56" t="n">
        <v>177</v>
      </c>
      <c r="D1635" s="56" t="inlineStr">
        <is>
          <t>Home page</t>
        </is>
      </c>
      <c r="E1635" s="56" t="inlineStr">
        <is>
          <t>Organic</t>
        </is>
      </c>
      <c r="F1635" s="56" t="inlineStr">
        <is>
          <t>Desktop</t>
        </is>
      </c>
      <c r="G1635" s="56" t="inlineStr">
        <is>
          <t>Switzerland</t>
        </is>
      </c>
      <c r="H1635" s="56" t="n">
        <v>22</v>
      </c>
      <c r="I1635" s="56" t="inlineStr">
        <is>
          <t>Begin checkout</t>
        </is>
      </c>
      <c r="J1635" s="56" t="inlineStr">
        <is>
          <t>1-23 August 2026</t>
        </is>
      </c>
      <c r="K1635" s="57" t="n">
        <v>88</v>
      </c>
      <c r="L1635" s="56" t="inlineStr">
        <is>
          <t>Completeness only</t>
        </is>
      </c>
      <c r="M1635" s="40">
        <f>IF(Countries!AL177="","STILL MISSING","Filled ✓")</f>
        <v/>
      </c>
    </row>
    <row r="1636">
      <c r="A1636" s="40" t="inlineStr">
        <is>
          <t>Countries</t>
        </is>
      </c>
      <c r="B1636" s="40" t="inlineStr">
        <is>
          <t>AD220</t>
        </is>
      </c>
      <c r="C1636" s="40" t="n">
        <v>220</v>
      </c>
      <c r="D1636" s="40" t="inlineStr">
        <is>
          <t>Home page</t>
        </is>
      </c>
      <c r="E1636" s="40" t="inlineStr">
        <is>
          <t>Direct</t>
        </is>
      </c>
      <c r="F1636" s="40" t="inlineStr">
        <is>
          <t>Desktop</t>
        </is>
      </c>
      <c r="G1636" s="40" t="inlineStr">
        <is>
          <t>Switzerland</t>
        </is>
      </c>
      <c r="H1636" s="40" t="n">
        <v>22</v>
      </c>
      <c r="I1636" s="40" t="inlineStr">
        <is>
          <t>Add to cart</t>
        </is>
      </c>
      <c r="J1636" s="40" t="inlineStr">
        <is>
          <t>1-23 August 2025</t>
        </is>
      </c>
      <c r="K1636" s="55" t="n">
        <v>75</v>
      </c>
      <c r="L1636" s="40" t="inlineStr">
        <is>
          <t>Completeness only</t>
        </is>
      </c>
      <c r="M1636" s="40">
        <f>IF(Countries!AD220="","STILL MISSING","Filled ✓")</f>
        <v/>
      </c>
    </row>
    <row r="1637">
      <c r="A1637" s="56" t="inlineStr">
        <is>
          <t>Countries</t>
        </is>
      </c>
      <c r="B1637" s="56" t="inlineStr">
        <is>
          <t>AE220</t>
        </is>
      </c>
      <c r="C1637" s="56" t="n">
        <v>220</v>
      </c>
      <c r="D1637" s="56" t="inlineStr">
        <is>
          <t>Home page</t>
        </is>
      </c>
      <c r="E1637" s="56" t="inlineStr">
        <is>
          <t>Direct</t>
        </is>
      </c>
      <c r="F1637" s="56" t="inlineStr">
        <is>
          <t>Desktop</t>
        </is>
      </c>
      <c r="G1637" s="56" t="inlineStr">
        <is>
          <t>Switzerland</t>
        </is>
      </c>
      <c r="H1637" s="56" t="n">
        <v>22</v>
      </c>
      <c r="I1637" s="56" t="inlineStr">
        <is>
          <t>Add to cart</t>
        </is>
      </c>
      <c r="J1637" s="56" t="inlineStr">
        <is>
          <t>1-23 August 2026</t>
        </is>
      </c>
      <c r="K1637" s="57" t="n">
        <v>75</v>
      </c>
      <c r="L1637" s="56" t="inlineStr">
        <is>
          <t>Completeness only</t>
        </is>
      </c>
      <c r="M1637" s="40">
        <f>IF(Countries!AE220="","STILL MISSING","Filled ✓")</f>
        <v/>
      </c>
    </row>
    <row r="1638">
      <c r="A1638" s="40" t="inlineStr">
        <is>
          <t>Countries</t>
        </is>
      </c>
      <c r="B1638" s="40" t="inlineStr">
        <is>
          <t>AK220</t>
        </is>
      </c>
      <c r="C1638" s="40" t="n">
        <v>220</v>
      </c>
      <c r="D1638" s="40" t="inlineStr">
        <is>
          <t>Home page</t>
        </is>
      </c>
      <c r="E1638" s="40" t="inlineStr">
        <is>
          <t>Direct</t>
        </is>
      </c>
      <c r="F1638" s="40" t="inlineStr">
        <is>
          <t>Desktop</t>
        </is>
      </c>
      <c r="G1638" s="40" t="inlineStr">
        <is>
          <t>Switzerland</t>
        </is>
      </c>
      <c r="H1638" s="40" t="n">
        <v>22</v>
      </c>
      <c r="I1638" s="40" t="inlineStr">
        <is>
          <t>Begin checkout</t>
        </is>
      </c>
      <c r="J1638" s="40" t="inlineStr">
        <is>
          <t>1-23 August 2025</t>
        </is>
      </c>
      <c r="K1638" s="55" t="n">
        <v>75</v>
      </c>
      <c r="L1638" s="40" t="inlineStr">
        <is>
          <t>Completeness only</t>
        </is>
      </c>
      <c r="M1638" s="40">
        <f>IF(Countries!AK220="","STILL MISSING","Filled ✓")</f>
        <v/>
      </c>
    </row>
    <row r="1639">
      <c r="A1639" s="56" t="inlineStr">
        <is>
          <t>Countries</t>
        </is>
      </c>
      <c r="B1639" s="56" t="inlineStr">
        <is>
          <t>AL220</t>
        </is>
      </c>
      <c r="C1639" s="56" t="n">
        <v>220</v>
      </c>
      <c r="D1639" s="56" t="inlineStr">
        <is>
          <t>Home page</t>
        </is>
      </c>
      <c r="E1639" s="56" t="inlineStr">
        <is>
          <t>Direct</t>
        </is>
      </c>
      <c r="F1639" s="56" t="inlineStr">
        <is>
          <t>Desktop</t>
        </is>
      </c>
      <c r="G1639" s="56" t="inlineStr">
        <is>
          <t>Switzerland</t>
        </is>
      </c>
      <c r="H1639" s="56" t="n">
        <v>22</v>
      </c>
      <c r="I1639" s="56" t="inlineStr">
        <is>
          <t>Begin checkout</t>
        </is>
      </c>
      <c r="J1639" s="56" t="inlineStr">
        <is>
          <t>1-23 August 2026</t>
        </is>
      </c>
      <c r="K1639" s="57" t="n">
        <v>75</v>
      </c>
      <c r="L1639" s="56" t="inlineStr">
        <is>
          <t>Completeness only</t>
        </is>
      </c>
      <c r="M1639" s="40">
        <f>IF(Countries!AL220="","STILL MISSING","Filled ✓")</f>
        <v/>
      </c>
    </row>
    <row r="1640">
      <c r="A1640" s="40" t="inlineStr">
        <is>
          <t>Countries</t>
        </is>
      </c>
      <c r="B1640" s="40" t="inlineStr">
        <is>
          <t>AS220</t>
        </is>
      </c>
      <c r="C1640" s="40" t="n">
        <v>220</v>
      </c>
      <c r="D1640" s="40" t="inlineStr">
        <is>
          <t>Home page</t>
        </is>
      </c>
      <c r="E1640" s="40" t="inlineStr">
        <is>
          <t>Direct</t>
        </is>
      </c>
      <c r="F1640" s="40" t="inlineStr">
        <is>
          <t>Desktop</t>
        </is>
      </c>
      <c r="G1640" s="40" t="inlineStr">
        <is>
          <t>Switzerland</t>
        </is>
      </c>
      <c r="H1640" s="40" t="n">
        <v>22</v>
      </c>
      <c r="I1640" s="40" t="inlineStr">
        <is>
          <t>Purchases</t>
        </is>
      </c>
      <c r="J1640" s="40" t="inlineStr">
        <is>
          <t>1-23 August 2026</t>
        </is>
      </c>
      <c r="K1640" s="55" t="n">
        <v>75</v>
      </c>
      <c r="L1640" s="40" t="inlineStr">
        <is>
          <t>Completeness only</t>
        </is>
      </c>
      <c r="M1640" s="40">
        <f>IF(Countries!AS220="","STILL MISSING","Filled ✓")</f>
        <v/>
      </c>
    </row>
    <row r="1641">
      <c r="A1641" s="56" t="inlineStr">
        <is>
          <t>Countries</t>
        </is>
      </c>
      <c r="B1641" s="56" t="inlineStr">
        <is>
          <t>X220</t>
        </is>
      </c>
      <c r="C1641" s="56" t="n">
        <v>220</v>
      </c>
      <c r="D1641" s="56" t="inlineStr">
        <is>
          <t>Home page</t>
        </is>
      </c>
      <c r="E1641" s="56" t="inlineStr">
        <is>
          <t>Direct</t>
        </is>
      </c>
      <c r="F1641" s="56" t="inlineStr">
        <is>
          <t>Desktop</t>
        </is>
      </c>
      <c r="G1641" s="56" t="inlineStr">
        <is>
          <t>Switzerland</t>
        </is>
      </c>
      <c r="H1641" s="56" t="n">
        <v>22</v>
      </c>
      <c r="I1641" s="56" t="inlineStr">
        <is>
          <t>Select item</t>
        </is>
      </c>
      <c r="J1641" s="56" t="inlineStr">
        <is>
          <t>1-23 August 2026</t>
        </is>
      </c>
      <c r="K1641" s="57" t="n">
        <v>75</v>
      </c>
      <c r="L1641" s="56" t="inlineStr">
        <is>
          <t>Completeness only</t>
        </is>
      </c>
      <c r="M1641" s="40">
        <f>IF(Countries!X220="","STILL MISSING","Filled ✓")</f>
        <v/>
      </c>
    </row>
    <row r="1642">
      <c r="A1642" s="40" t="inlineStr">
        <is>
          <t>Countries</t>
        </is>
      </c>
      <c r="B1642" s="40" t="inlineStr">
        <is>
          <t>F220</t>
        </is>
      </c>
      <c r="C1642" s="40" t="n">
        <v>220</v>
      </c>
      <c r="D1642" s="40" t="inlineStr">
        <is>
          <t>Home page</t>
        </is>
      </c>
      <c r="E1642" s="40" t="inlineStr">
        <is>
          <t>Direct</t>
        </is>
      </c>
      <c r="F1642" s="40" t="inlineStr">
        <is>
          <t>Desktop</t>
        </is>
      </c>
      <c r="G1642" s="40" t="inlineStr">
        <is>
          <t>Switzerland</t>
        </is>
      </c>
      <c r="H1642" s="40" t="n">
        <v>22</v>
      </c>
      <c r="I1642" s="40" t="inlineStr">
        <is>
          <t>Sessions</t>
        </is>
      </c>
      <c r="J1642" s="40" t="inlineStr">
        <is>
          <t>1-23 August 2026</t>
        </is>
      </c>
      <c r="K1642" s="55" t="n">
        <v>75</v>
      </c>
      <c r="L1642" s="40" t="inlineStr">
        <is>
          <t>Completeness only</t>
        </is>
      </c>
      <c r="M1642" s="40">
        <f>IF(Countries!F220="","STILL MISSING","Filled ✓")</f>
        <v/>
      </c>
    </row>
    <row r="1643">
      <c r="A1643" s="56" t="inlineStr">
        <is>
          <t>Countries</t>
        </is>
      </c>
      <c r="B1643" s="56" t="inlineStr">
        <is>
          <t>I220</t>
        </is>
      </c>
      <c r="C1643" s="56" t="n">
        <v>220</v>
      </c>
      <c r="D1643" s="56" t="inlineStr">
        <is>
          <t>Home page</t>
        </is>
      </c>
      <c r="E1643" s="56" t="inlineStr">
        <is>
          <t>Direct</t>
        </is>
      </c>
      <c r="F1643" s="56" t="inlineStr">
        <is>
          <t>Desktop</t>
        </is>
      </c>
      <c r="G1643" s="56" t="inlineStr">
        <is>
          <t>Switzerland</t>
        </is>
      </c>
      <c r="H1643" s="56" t="n">
        <v>22</v>
      </c>
      <c r="I1643" s="56" t="inlineStr">
        <is>
          <t>Start Search</t>
        </is>
      </c>
      <c r="J1643" s="56" t="inlineStr">
        <is>
          <t>1-23 August 2025</t>
        </is>
      </c>
      <c r="K1643" s="57" t="n">
        <v>75</v>
      </c>
      <c r="L1643" s="56" t="inlineStr">
        <is>
          <t>Completeness only</t>
        </is>
      </c>
      <c r="M1643" s="40">
        <f>IF(Countries!I220="","STILL MISSING","Filled ✓")</f>
        <v/>
      </c>
    </row>
    <row r="1644">
      <c r="A1644" s="40" t="inlineStr">
        <is>
          <t>Countries</t>
        </is>
      </c>
      <c r="B1644" s="40" t="inlineStr">
        <is>
          <t>J220</t>
        </is>
      </c>
      <c r="C1644" s="40" t="n">
        <v>220</v>
      </c>
      <c r="D1644" s="40" t="inlineStr">
        <is>
          <t>Home page</t>
        </is>
      </c>
      <c r="E1644" s="40" t="inlineStr">
        <is>
          <t>Direct</t>
        </is>
      </c>
      <c r="F1644" s="40" t="inlineStr">
        <is>
          <t>Desktop</t>
        </is>
      </c>
      <c r="G1644" s="40" t="inlineStr">
        <is>
          <t>Switzerland</t>
        </is>
      </c>
      <c r="H1644" s="40" t="n">
        <v>22</v>
      </c>
      <c r="I1644" s="40" t="inlineStr">
        <is>
          <t>Start Search</t>
        </is>
      </c>
      <c r="J1644" s="40" t="inlineStr">
        <is>
          <t>1-23 August 2026</t>
        </is>
      </c>
      <c r="K1644" s="55" t="n">
        <v>75</v>
      </c>
      <c r="L1644" s="40" t="inlineStr">
        <is>
          <t>Completeness only</t>
        </is>
      </c>
      <c r="M1644" s="40">
        <f>IF(Countries!J220="","STILL MISSING","Filled ✓")</f>
        <v/>
      </c>
    </row>
    <row r="1645">
      <c r="A1645" s="56" t="inlineStr">
        <is>
          <t>Countries</t>
        </is>
      </c>
      <c r="B1645" s="56" t="inlineStr">
        <is>
          <t>AD196</t>
        </is>
      </c>
      <c r="C1645" s="56" t="n">
        <v>196</v>
      </c>
      <c r="D1645" s="56" t="inlineStr">
        <is>
          <t>Home page</t>
        </is>
      </c>
      <c r="E1645" s="56" t="inlineStr">
        <is>
          <t>Direct</t>
        </is>
      </c>
      <c r="F1645" s="56" t="inlineStr">
        <is>
          <t>Mobile</t>
        </is>
      </c>
      <c r="G1645" s="56" t="inlineStr">
        <is>
          <t>Switzerland</t>
        </is>
      </c>
      <c r="H1645" s="56" t="n">
        <v>22</v>
      </c>
      <c r="I1645" s="56" t="inlineStr">
        <is>
          <t>Add to cart</t>
        </is>
      </c>
      <c r="J1645" s="56" t="inlineStr">
        <is>
          <t>1-23 August 2025</t>
        </is>
      </c>
      <c r="K1645" s="57" t="n">
        <v>154</v>
      </c>
      <c r="L1645" s="56" t="inlineStr">
        <is>
          <t>Completeness only</t>
        </is>
      </c>
      <c r="M1645" s="40">
        <f>IF(Countries!AD196="","STILL MISSING","Filled ✓")</f>
        <v/>
      </c>
    </row>
    <row r="1646">
      <c r="A1646" s="40" t="inlineStr">
        <is>
          <t>Countries</t>
        </is>
      </c>
      <c r="B1646" s="40" t="inlineStr">
        <is>
          <t>AE196</t>
        </is>
      </c>
      <c r="C1646" s="40" t="n">
        <v>196</v>
      </c>
      <c r="D1646" s="40" t="inlineStr">
        <is>
          <t>Home page</t>
        </is>
      </c>
      <c r="E1646" s="40" t="inlineStr">
        <is>
          <t>Direct</t>
        </is>
      </c>
      <c r="F1646" s="40" t="inlineStr">
        <is>
          <t>Mobile</t>
        </is>
      </c>
      <c r="G1646" s="40" t="inlineStr">
        <is>
          <t>Switzerland</t>
        </is>
      </c>
      <c r="H1646" s="40" t="n">
        <v>22</v>
      </c>
      <c r="I1646" s="40" t="inlineStr">
        <is>
          <t>Add to cart</t>
        </is>
      </c>
      <c r="J1646" s="40" t="inlineStr">
        <is>
          <t>1-23 August 2026</t>
        </is>
      </c>
      <c r="K1646" s="55" t="n">
        <v>154</v>
      </c>
      <c r="L1646" s="40" t="inlineStr">
        <is>
          <t>Completeness only</t>
        </is>
      </c>
      <c r="M1646" s="40">
        <f>IF(Countries!AE196="","STILL MISSING","Filled ✓")</f>
        <v/>
      </c>
    </row>
    <row r="1647">
      <c r="A1647" s="56" t="inlineStr">
        <is>
          <t>Countries</t>
        </is>
      </c>
      <c r="B1647" s="56" t="inlineStr">
        <is>
          <t>AK196</t>
        </is>
      </c>
      <c r="C1647" s="56" t="n">
        <v>196</v>
      </c>
      <c r="D1647" s="56" t="inlineStr">
        <is>
          <t>Home page</t>
        </is>
      </c>
      <c r="E1647" s="56" t="inlineStr">
        <is>
          <t>Direct</t>
        </is>
      </c>
      <c r="F1647" s="56" t="inlineStr">
        <is>
          <t>Mobile</t>
        </is>
      </c>
      <c r="G1647" s="56" t="inlineStr">
        <is>
          <t>Switzerland</t>
        </is>
      </c>
      <c r="H1647" s="56" t="n">
        <v>22</v>
      </c>
      <c r="I1647" s="56" t="inlineStr">
        <is>
          <t>Begin checkout</t>
        </is>
      </c>
      <c r="J1647" s="56" t="inlineStr">
        <is>
          <t>1-23 August 2025</t>
        </is>
      </c>
      <c r="K1647" s="57" t="n">
        <v>154</v>
      </c>
      <c r="L1647" s="56" t="inlineStr">
        <is>
          <t>Completeness only</t>
        </is>
      </c>
      <c r="M1647" s="40">
        <f>IF(Countries!AK196="","STILL MISSING","Filled ✓")</f>
        <v/>
      </c>
    </row>
    <row r="1648">
      <c r="A1648" s="40" t="inlineStr">
        <is>
          <t>Countries</t>
        </is>
      </c>
      <c r="B1648" s="40" t="inlineStr">
        <is>
          <t>AL196</t>
        </is>
      </c>
      <c r="C1648" s="40" t="n">
        <v>196</v>
      </c>
      <c r="D1648" s="40" t="inlineStr">
        <is>
          <t>Home page</t>
        </is>
      </c>
      <c r="E1648" s="40" t="inlineStr">
        <is>
          <t>Direct</t>
        </is>
      </c>
      <c r="F1648" s="40" t="inlineStr">
        <is>
          <t>Mobile</t>
        </is>
      </c>
      <c r="G1648" s="40" t="inlineStr">
        <is>
          <t>Switzerland</t>
        </is>
      </c>
      <c r="H1648" s="40" t="n">
        <v>22</v>
      </c>
      <c r="I1648" s="40" t="inlineStr">
        <is>
          <t>Begin checkout</t>
        </is>
      </c>
      <c r="J1648" s="40" t="inlineStr">
        <is>
          <t>1-23 August 2026</t>
        </is>
      </c>
      <c r="K1648" s="55" t="n">
        <v>154</v>
      </c>
      <c r="L1648" s="40" t="inlineStr">
        <is>
          <t>Completeness only</t>
        </is>
      </c>
      <c r="M1648" s="40">
        <f>IF(Countries!AL196="","STILL MISSING","Filled ✓")</f>
        <v/>
      </c>
    </row>
    <row r="1649">
      <c r="A1649" s="56" t="inlineStr">
        <is>
          <t>Countries</t>
        </is>
      </c>
      <c r="B1649" s="56" t="inlineStr">
        <is>
          <t>AR196</t>
        </is>
      </c>
      <c r="C1649" s="56" t="n">
        <v>196</v>
      </c>
      <c r="D1649" s="56" t="inlineStr">
        <is>
          <t>Home page</t>
        </is>
      </c>
      <c r="E1649" s="56" t="inlineStr">
        <is>
          <t>Direct</t>
        </is>
      </c>
      <c r="F1649" s="56" t="inlineStr">
        <is>
          <t>Mobile</t>
        </is>
      </c>
      <c r="G1649" s="56" t="inlineStr">
        <is>
          <t>Switzerland</t>
        </is>
      </c>
      <c r="H1649" s="56" t="n">
        <v>22</v>
      </c>
      <c r="I1649" s="56" t="inlineStr">
        <is>
          <t>Purchases</t>
        </is>
      </c>
      <c r="J1649" s="56" t="inlineStr">
        <is>
          <t>1-23 August 2025</t>
        </is>
      </c>
      <c r="K1649" s="57" t="n">
        <v>154</v>
      </c>
      <c r="L1649" s="56" t="inlineStr">
        <is>
          <t>Completeness only</t>
        </is>
      </c>
      <c r="M1649" s="40">
        <f>IF(Countries!AR196="","STILL MISSING","Filled ✓")</f>
        <v/>
      </c>
    </row>
    <row r="1650">
      <c r="A1650" s="40" t="inlineStr">
        <is>
          <t>Countries</t>
        </is>
      </c>
      <c r="B1650" s="40" t="inlineStr">
        <is>
          <t>P196</t>
        </is>
      </c>
      <c r="C1650" s="40" t="n">
        <v>196</v>
      </c>
      <c r="D1650" s="40" t="inlineStr">
        <is>
          <t>Home page</t>
        </is>
      </c>
      <c r="E1650" s="40" t="inlineStr">
        <is>
          <t>Direct</t>
        </is>
      </c>
      <c r="F1650" s="40" t="inlineStr">
        <is>
          <t>Mobile</t>
        </is>
      </c>
      <c r="G1650" s="40" t="inlineStr">
        <is>
          <t>Switzerland</t>
        </is>
      </c>
      <c r="H1650" s="40" t="n">
        <v>22</v>
      </c>
      <c r="I1650" s="40" t="inlineStr">
        <is>
          <t>Searches</t>
        </is>
      </c>
      <c r="J1650" s="40" t="inlineStr">
        <is>
          <t>1-23 August 2025</t>
        </is>
      </c>
      <c r="K1650" s="55" t="n">
        <v>154</v>
      </c>
      <c r="L1650" s="40" t="inlineStr">
        <is>
          <t>Completeness only</t>
        </is>
      </c>
      <c r="M1650" s="40">
        <f>IF(Countries!P196="","STILL MISSING","Filled ✓")</f>
        <v/>
      </c>
    </row>
    <row r="1651">
      <c r="A1651" s="56" t="inlineStr">
        <is>
          <t>Countries</t>
        </is>
      </c>
      <c r="B1651" s="56" t="inlineStr">
        <is>
          <t>W196</t>
        </is>
      </c>
      <c r="C1651" s="56" t="n">
        <v>196</v>
      </c>
      <c r="D1651" s="56" t="inlineStr">
        <is>
          <t>Home page</t>
        </is>
      </c>
      <c r="E1651" s="56" t="inlineStr">
        <is>
          <t>Direct</t>
        </is>
      </c>
      <c r="F1651" s="56" t="inlineStr">
        <is>
          <t>Mobile</t>
        </is>
      </c>
      <c r="G1651" s="56" t="inlineStr">
        <is>
          <t>Switzerland</t>
        </is>
      </c>
      <c r="H1651" s="56" t="n">
        <v>22</v>
      </c>
      <c r="I1651" s="56" t="inlineStr">
        <is>
          <t>Select item</t>
        </is>
      </c>
      <c r="J1651" s="56" t="inlineStr">
        <is>
          <t>1-23 August 2025</t>
        </is>
      </c>
      <c r="K1651" s="57" t="n">
        <v>154</v>
      </c>
      <c r="L1651" s="56" t="inlineStr">
        <is>
          <t>Completeness only</t>
        </is>
      </c>
      <c r="M1651" s="40">
        <f>IF(Countries!W196="","STILL MISSING","Filled ✓")</f>
        <v/>
      </c>
    </row>
    <row r="1652">
      <c r="A1652" s="40" t="inlineStr">
        <is>
          <t>Countries</t>
        </is>
      </c>
      <c r="B1652" s="40" t="inlineStr">
        <is>
          <t>X196</t>
        </is>
      </c>
      <c r="C1652" s="40" t="n">
        <v>196</v>
      </c>
      <c r="D1652" s="40" t="inlineStr">
        <is>
          <t>Home page</t>
        </is>
      </c>
      <c r="E1652" s="40" t="inlineStr">
        <is>
          <t>Direct</t>
        </is>
      </c>
      <c r="F1652" s="40" t="inlineStr">
        <is>
          <t>Mobile</t>
        </is>
      </c>
      <c r="G1652" s="40" t="inlineStr">
        <is>
          <t>Switzerland</t>
        </is>
      </c>
      <c r="H1652" s="40" t="n">
        <v>22</v>
      </c>
      <c r="I1652" s="40" t="inlineStr">
        <is>
          <t>Select item</t>
        </is>
      </c>
      <c r="J1652" s="40" t="inlineStr">
        <is>
          <t>1-23 August 2026</t>
        </is>
      </c>
      <c r="K1652" s="55" t="n">
        <v>154</v>
      </c>
      <c r="L1652" s="40" t="inlineStr">
        <is>
          <t>Completeness only</t>
        </is>
      </c>
      <c r="M1652" s="40">
        <f>IF(Countries!X196="","STILL MISSING","Filled ✓")</f>
        <v/>
      </c>
    </row>
    <row r="1653">
      <c r="A1653" s="56" t="inlineStr">
        <is>
          <t>Countries</t>
        </is>
      </c>
      <c r="B1653" s="56" t="inlineStr">
        <is>
          <t>I196</t>
        </is>
      </c>
      <c r="C1653" s="56" t="n">
        <v>196</v>
      </c>
      <c r="D1653" s="56" t="inlineStr">
        <is>
          <t>Home page</t>
        </is>
      </c>
      <c r="E1653" s="56" t="inlineStr">
        <is>
          <t>Direct</t>
        </is>
      </c>
      <c r="F1653" s="56" t="inlineStr">
        <is>
          <t>Mobile</t>
        </is>
      </c>
      <c r="G1653" s="56" t="inlineStr">
        <is>
          <t>Switzerland</t>
        </is>
      </c>
      <c r="H1653" s="56" t="n">
        <v>22</v>
      </c>
      <c r="I1653" s="56" t="inlineStr">
        <is>
          <t>Start Search</t>
        </is>
      </c>
      <c r="J1653" s="56" t="inlineStr">
        <is>
          <t>1-23 August 2025</t>
        </is>
      </c>
      <c r="K1653" s="57" t="n">
        <v>154</v>
      </c>
      <c r="L1653" s="56" t="inlineStr">
        <is>
          <t>Completeness only</t>
        </is>
      </c>
      <c r="M1653" s="40">
        <f>IF(Countries!I196="","STILL MISSING","Filled ✓")</f>
        <v/>
      </c>
    </row>
    <row r="1654">
      <c r="A1654" s="40" t="inlineStr">
        <is>
          <t>Countries</t>
        </is>
      </c>
      <c r="B1654" s="40" t="inlineStr">
        <is>
          <t>AD254</t>
        </is>
      </c>
      <c r="C1654" s="40" t="n">
        <v>254</v>
      </c>
      <c r="D1654" s="40" t="inlineStr">
        <is>
          <t>Airport page</t>
        </is>
      </c>
      <c r="E1654" s="40" t="inlineStr">
        <is>
          <t>Paid Search</t>
        </is>
      </c>
      <c r="F1654" s="40" t="inlineStr">
        <is>
          <t>Desktop</t>
        </is>
      </c>
      <c r="G1654" s="40" t="inlineStr">
        <is>
          <t>Switzerland</t>
        </is>
      </c>
      <c r="H1654" s="40" t="n">
        <v>22</v>
      </c>
      <c r="I1654" s="40" t="inlineStr">
        <is>
          <t>Add to cart</t>
        </is>
      </c>
      <c r="J1654" s="40" t="inlineStr">
        <is>
          <t>1-23 August 2025</t>
        </is>
      </c>
      <c r="K1654" s="55" t="n">
        <v>632</v>
      </c>
      <c r="L1654" s="40" t="inlineStr">
        <is>
          <t>Completeness only</t>
        </is>
      </c>
      <c r="M1654" s="40">
        <f>IF(Countries!AD254="","STILL MISSING","Filled ✓")</f>
        <v/>
      </c>
    </row>
    <row r="1655">
      <c r="A1655" s="56" t="inlineStr">
        <is>
          <t>Countries</t>
        </is>
      </c>
      <c r="B1655" s="56" t="inlineStr">
        <is>
          <t>AE254</t>
        </is>
      </c>
      <c r="C1655" s="56" t="n">
        <v>254</v>
      </c>
      <c r="D1655" s="56" t="inlineStr">
        <is>
          <t>Airport page</t>
        </is>
      </c>
      <c r="E1655" s="56" t="inlineStr">
        <is>
          <t>Paid Search</t>
        </is>
      </c>
      <c r="F1655" s="56" t="inlineStr">
        <is>
          <t>Desktop</t>
        </is>
      </c>
      <c r="G1655" s="56" t="inlineStr">
        <is>
          <t>Switzerland</t>
        </is>
      </c>
      <c r="H1655" s="56" t="n">
        <v>22</v>
      </c>
      <c r="I1655" s="56" t="inlineStr">
        <is>
          <t>Add to cart</t>
        </is>
      </c>
      <c r="J1655" s="56" t="inlineStr">
        <is>
          <t>1-23 August 2026</t>
        </is>
      </c>
      <c r="K1655" s="57" t="n">
        <v>632</v>
      </c>
      <c r="L1655" s="56" t="inlineStr">
        <is>
          <t>Completeness only</t>
        </is>
      </c>
      <c r="M1655" s="40">
        <f>IF(Countries!AE254="","STILL MISSING","Filled ✓")</f>
        <v/>
      </c>
    </row>
    <row r="1656">
      <c r="A1656" s="40" t="inlineStr">
        <is>
          <t>Countries</t>
        </is>
      </c>
      <c r="B1656" s="40" t="inlineStr">
        <is>
          <t>AK254</t>
        </is>
      </c>
      <c r="C1656" s="40" t="n">
        <v>254</v>
      </c>
      <c r="D1656" s="40" t="inlineStr">
        <is>
          <t>Airport page</t>
        </is>
      </c>
      <c r="E1656" s="40" t="inlineStr">
        <is>
          <t>Paid Search</t>
        </is>
      </c>
      <c r="F1656" s="40" t="inlineStr">
        <is>
          <t>Desktop</t>
        </is>
      </c>
      <c r="G1656" s="40" t="inlineStr">
        <is>
          <t>Switzerland</t>
        </is>
      </c>
      <c r="H1656" s="40" t="n">
        <v>22</v>
      </c>
      <c r="I1656" s="40" t="inlineStr">
        <is>
          <t>Begin checkout</t>
        </is>
      </c>
      <c r="J1656" s="40" t="inlineStr">
        <is>
          <t>1-23 August 2025</t>
        </is>
      </c>
      <c r="K1656" s="55" t="n">
        <v>632</v>
      </c>
      <c r="L1656" s="40" t="inlineStr">
        <is>
          <t>Completeness only</t>
        </is>
      </c>
      <c r="M1656" s="40">
        <f>IF(Countries!AK254="","STILL MISSING","Filled ✓")</f>
        <v/>
      </c>
    </row>
    <row r="1657">
      <c r="A1657" s="56" t="inlineStr">
        <is>
          <t>Countries</t>
        </is>
      </c>
      <c r="B1657" s="56" t="inlineStr">
        <is>
          <t>AL254</t>
        </is>
      </c>
      <c r="C1657" s="56" t="n">
        <v>254</v>
      </c>
      <c r="D1657" s="56" t="inlineStr">
        <is>
          <t>Airport page</t>
        </is>
      </c>
      <c r="E1657" s="56" t="inlineStr">
        <is>
          <t>Paid Search</t>
        </is>
      </c>
      <c r="F1657" s="56" t="inlineStr">
        <is>
          <t>Desktop</t>
        </is>
      </c>
      <c r="G1657" s="56" t="inlineStr">
        <is>
          <t>Switzerland</t>
        </is>
      </c>
      <c r="H1657" s="56" t="n">
        <v>22</v>
      </c>
      <c r="I1657" s="56" t="inlineStr">
        <is>
          <t>Begin checkout</t>
        </is>
      </c>
      <c r="J1657" s="56" t="inlineStr">
        <is>
          <t>1-23 August 2026</t>
        </is>
      </c>
      <c r="K1657" s="57" t="n">
        <v>632</v>
      </c>
      <c r="L1657" s="56" t="inlineStr">
        <is>
          <t>Completeness only</t>
        </is>
      </c>
      <c r="M1657" s="40">
        <f>IF(Countries!AL254="","STILL MISSING","Filled ✓")</f>
        <v/>
      </c>
    </row>
    <row r="1658">
      <c r="A1658" s="40" t="inlineStr">
        <is>
          <t>Countries</t>
        </is>
      </c>
      <c r="B1658" s="40" t="inlineStr">
        <is>
          <t>AS254</t>
        </is>
      </c>
      <c r="C1658" s="40" t="n">
        <v>254</v>
      </c>
      <c r="D1658" s="40" t="inlineStr">
        <is>
          <t>Airport page</t>
        </is>
      </c>
      <c r="E1658" s="40" t="inlineStr">
        <is>
          <t>Paid Search</t>
        </is>
      </c>
      <c r="F1658" s="40" t="inlineStr">
        <is>
          <t>Desktop</t>
        </is>
      </c>
      <c r="G1658" s="40" t="inlineStr">
        <is>
          <t>Switzerland</t>
        </is>
      </c>
      <c r="H1658" s="40" t="n">
        <v>22</v>
      </c>
      <c r="I1658" s="40" t="inlineStr">
        <is>
          <t>Purchases</t>
        </is>
      </c>
      <c r="J1658" s="40" t="inlineStr">
        <is>
          <t>1-23 August 2026</t>
        </is>
      </c>
      <c r="K1658" s="55" t="n">
        <v>632</v>
      </c>
      <c r="L1658" s="40" t="inlineStr">
        <is>
          <t>Completeness only</t>
        </is>
      </c>
      <c r="M1658" s="40">
        <f>IF(Countries!AS254="","STILL MISSING","Filled ✓")</f>
        <v/>
      </c>
    </row>
    <row r="1659">
      <c r="A1659" s="56" t="inlineStr">
        <is>
          <t>Countries</t>
        </is>
      </c>
      <c r="B1659" s="56" t="inlineStr">
        <is>
          <t>X254</t>
        </is>
      </c>
      <c r="C1659" s="56" t="n">
        <v>254</v>
      </c>
      <c r="D1659" s="56" t="inlineStr">
        <is>
          <t>Airport page</t>
        </is>
      </c>
      <c r="E1659" s="56" t="inlineStr">
        <is>
          <t>Paid Search</t>
        </is>
      </c>
      <c r="F1659" s="56" t="inlineStr">
        <is>
          <t>Desktop</t>
        </is>
      </c>
      <c r="G1659" s="56" t="inlineStr">
        <is>
          <t>Switzerland</t>
        </is>
      </c>
      <c r="H1659" s="56" t="n">
        <v>22</v>
      </c>
      <c r="I1659" s="56" t="inlineStr">
        <is>
          <t>Select item</t>
        </is>
      </c>
      <c r="J1659" s="56" t="inlineStr">
        <is>
          <t>1-23 August 2026</t>
        </is>
      </c>
      <c r="K1659" s="57" t="n">
        <v>632</v>
      </c>
      <c r="L1659" s="56" t="inlineStr">
        <is>
          <t>Completeness only</t>
        </is>
      </c>
      <c r="M1659" s="40">
        <f>IF(Countries!X254="","STILL MISSING","Filled ✓")</f>
        <v/>
      </c>
    </row>
    <row r="1660">
      <c r="A1660" s="40" t="inlineStr">
        <is>
          <t>Countries</t>
        </is>
      </c>
      <c r="B1660" s="40" t="inlineStr">
        <is>
          <t>J254</t>
        </is>
      </c>
      <c r="C1660" s="40" t="n">
        <v>254</v>
      </c>
      <c r="D1660" s="40" t="inlineStr">
        <is>
          <t>Airport page</t>
        </is>
      </c>
      <c r="E1660" s="40" t="inlineStr">
        <is>
          <t>Paid Search</t>
        </is>
      </c>
      <c r="F1660" s="40" t="inlineStr">
        <is>
          <t>Desktop</t>
        </is>
      </c>
      <c r="G1660" s="40" t="inlineStr">
        <is>
          <t>Switzerland</t>
        </is>
      </c>
      <c r="H1660" s="40" t="n">
        <v>22</v>
      </c>
      <c r="I1660" s="40" t="inlineStr">
        <is>
          <t>Start Search</t>
        </is>
      </c>
      <c r="J1660" s="40" t="inlineStr">
        <is>
          <t>1-23 August 2026</t>
        </is>
      </c>
      <c r="K1660" s="55" t="n">
        <v>632</v>
      </c>
      <c r="L1660" s="40" t="inlineStr">
        <is>
          <t>Completeness only</t>
        </is>
      </c>
      <c r="M1660" s="40">
        <f>IF(Countries!J254="","STILL MISSING","Filled ✓")</f>
        <v/>
      </c>
    </row>
    <row r="1661">
      <c r="A1661" s="56" t="inlineStr">
        <is>
          <t>Countries</t>
        </is>
      </c>
      <c r="B1661" s="56" t="inlineStr">
        <is>
          <t>AD238</t>
        </is>
      </c>
      <c r="C1661" s="56" t="n">
        <v>238</v>
      </c>
      <c r="D1661" s="56" t="inlineStr">
        <is>
          <t>Airport page</t>
        </is>
      </c>
      <c r="E1661" s="56" t="inlineStr">
        <is>
          <t>Paid Search</t>
        </is>
      </c>
      <c r="F1661" s="56" t="inlineStr">
        <is>
          <t>Mobile</t>
        </is>
      </c>
      <c r="G1661" s="56" t="inlineStr">
        <is>
          <t>Switzerland</t>
        </is>
      </c>
      <c r="H1661" s="56" t="n">
        <v>22</v>
      </c>
      <c r="I1661" s="56" t="inlineStr">
        <is>
          <t>Add to cart</t>
        </is>
      </c>
      <c r="J1661" s="56" t="inlineStr">
        <is>
          <t>1-23 August 2025</t>
        </is>
      </c>
      <c r="K1661" s="57" t="n">
        <v>757</v>
      </c>
      <c r="L1661" s="56" t="inlineStr">
        <is>
          <t>Completeness only</t>
        </is>
      </c>
      <c r="M1661" s="40">
        <f>IF(Countries!AD238="","STILL MISSING","Filled ✓")</f>
        <v/>
      </c>
    </row>
    <row r="1662">
      <c r="A1662" s="40" t="inlineStr">
        <is>
          <t>Countries</t>
        </is>
      </c>
      <c r="B1662" s="40" t="inlineStr">
        <is>
          <t>AE238</t>
        </is>
      </c>
      <c r="C1662" s="40" t="n">
        <v>238</v>
      </c>
      <c r="D1662" s="40" t="inlineStr">
        <is>
          <t>Airport page</t>
        </is>
      </c>
      <c r="E1662" s="40" t="inlineStr">
        <is>
          <t>Paid Search</t>
        </is>
      </c>
      <c r="F1662" s="40" t="inlineStr">
        <is>
          <t>Mobile</t>
        </is>
      </c>
      <c r="G1662" s="40" t="inlineStr">
        <is>
          <t>Switzerland</t>
        </is>
      </c>
      <c r="H1662" s="40" t="n">
        <v>22</v>
      </c>
      <c r="I1662" s="40" t="inlineStr">
        <is>
          <t>Add to cart</t>
        </is>
      </c>
      <c r="J1662" s="40" t="inlineStr">
        <is>
          <t>1-23 August 2026</t>
        </is>
      </c>
      <c r="K1662" s="55" t="n">
        <v>757</v>
      </c>
      <c r="L1662" s="40" t="inlineStr">
        <is>
          <t>Completeness only</t>
        </is>
      </c>
      <c r="M1662" s="40">
        <f>IF(Countries!AE238="","STILL MISSING","Filled ✓")</f>
        <v/>
      </c>
    </row>
    <row r="1663">
      <c r="A1663" s="56" t="inlineStr">
        <is>
          <t>Countries</t>
        </is>
      </c>
      <c r="B1663" s="56" t="inlineStr">
        <is>
          <t>AK238</t>
        </is>
      </c>
      <c r="C1663" s="56" t="n">
        <v>238</v>
      </c>
      <c r="D1663" s="56" t="inlineStr">
        <is>
          <t>Airport page</t>
        </is>
      </c>
      <c r="E1663" s="56" t="inlineStr">
        <is>
          <t>Paid Search</t>
        </is>
      </c>
      <c r="F1663" s="56" t="inlineStr">
        <is>
          <t>Mobile</t>
        </is>
      </c>
      <c r="G1663" s="56" t="inlineStr">
        <is>
          <t>Switzerland</t>
        </is>
      </c>
      <c r="H1663" s="56" t="n">
        <v>22</v>
      </c>
      <c r="I1663" s="56" t="inlineStr">
        <is>
          <t>Begin checkout</t>
        </is>
      </c>
      <c r="J1663" s="56" t="inlineStr">
        <is>
          <t>1-23 August 2025</t>
        </is>
      </c>
      <c r="K1663" s="57" t="n">
        <v>757</v>
      </c>
      <c r="L1663" s="56" t="inlineStr">
        <is>
          <t>Completeness only</t>
        </is>
      </c>
      <c r="M1663" s="40">
        <f>IF(Countries!AK238="","STILL MISSING","Filled ✓")</f>
        <v/>
      </c>
    </row>
    <row r="1664">
      <c r="A1664" s="40" t="inlineStr">
        <is>
          <t>Countries</t>
        </is>
      </c>
      <c r="B1664" s="40" t="inlineStr">
        <is>
          <t>AL238</t>
        </is>
      </c>
      <c r="C1664" s="40" t="n">
        <v>238</v>
      </c>
      <c r="D1664" s="40" t="inlineStr">
        <is>
          <t>Airport page</t>
        </is>
      </c>
      <c r="E1664" s="40" t="inlineStr">
        <is>
          <t>Paid Search</t>
        </is>
      </c>
      <c r="F1664" s="40" t="inlineStr">
        <is>
          <t>Mobile</t>
        </is>
      </c>
      <c r="G1664" s="40" t="inlineStr">
        <is>
          <t>Switzerland</t>
        </is>
      </c>
      <c r="H1664" s="40" t="n">
        <v>22</v>
      </c>
      <c r="I1664" s="40" t="inlineStr">
        <is>
          <t>Begin checkout</t>
        </is>
      </c>
      <c r="J1664" s="40" t="inlineStr">
        <is>
          <t>1-23 August 2026</t>
        </is>
      </c>
      <c r="K1664" s="55" t="n">
        <v>757</v>
      </c>
      <c r="L1664" s="40" t="inlineStr">
        <is>
          <t>Completeness only</t>
        </is>
      </c>
      <c r="M1664" s="40">
        <f>IF(Countries!AL238="","STILL MISSING","Filled ✓")</f>
        <v/>
      </c>
    </row>
    <row r="1665">
      <c r="A1665" s="56" t="inlineStr">
        <is>
          <t>Countries</t>
        </is>
      </c>
      <c r="B1665" s="56" t="inlineStr">
        <is>
          <t>AS238</t>
        </is>
      </c>
      <c r="C1665" s="56" t="n">
        <v>238</v>
      </c>
      <c r="D1665" s="56" t="inlineStr">
        <is>
          <t>Airport page</t>
        </is>
      </c>
      <c r="E1665" s="56" t="inlineStr">
        <is>
          <t>Paid Search</t>
        </is>
      </c>
      <c r="F1665" s="56" t="inlineStr">
        <is>
          <t>Mobile</t>
        </is>
      </c>
      <c r="G1665" s="56" t="inlineStr">
        <is>
          <t>Switzerland</t>
        </is>
      </c>
      <c r="H1665" s="56" t="n">
        <v>22</v>
      </c>
      <c r="I1665" s="56" t="inlineStr">
        <is>
          <t>Purchases</t>
        </is>
      </c>
      <c r="J1665" s="56" t="inlineStr">
        <is>
          <t>1-23 August 2026</t>
        </is>
      </c>
      <c r="K1665" s="57" t="n">
        <v>757</v>
      </c>
      <c r="L1665" s="56" t="inlineStr">
        <is>
          <t>Completeness only</t>
        </is>
      </c>
      <c r="M1665" s="40">
        <f>IF(Countries!AS238="","STILL MISSING","Filled ✓")</f>
        <v/>
      </c>
    </row>
    <row r="1666">
      <c r="A1666" s="40" t="inlineStr">
        <is>
          <t>Countries</t>
        </is>
      </c>
      <c r="B1666" s="40" t="inlineStr">
        <is>
          <t>X238</t>
        </is>
      </c>
      <c r="C1666" s="40" t="n">
        <v>238</v>
      </c>
      <c r="D1666" s="40" t="inlineStr">
        <is>
          <t>Airport page</t>
        </is>
      </c>
      <c r="E1666" s="40" t="inlineStr">
        <is>
          <t>Paid Search</t>
        </is>
      </c>
      <c r="F1666" s="40" t="inlineStr">
        <is>
          <t>Mobile</t>
        </is>
      </c>
      <c r="G1666" s="40" t="inlineStr">
        <is>
          <t>Switzerland</t>
        </is>
      </c>
      <c r="H1666" s="40" t="n">
        <v>22</v>
      </c>
      <c r="I1666" s="40" t="inlineStr">
        <is>
          <t>Select item</t>
        </is>
      </c>
      <c r="J1666" s="40" t="inlineStr">
        <is>
          <t>1-23 August 2026</t>
        </is>
      </c>
      <c r="K1666" s="55" t="n">
        <v>757</v>
      </c>
      <c r="L1666" s="40" t="inlineStr">
        <is>
          <t>Completeness only</t>
        </is>
      </c>
      <c r="M1666" s="40">
        <f>IF(Countries!X238="","STILL MISSING","Filled ✓")</f>
        <v/>
      </c>
    </row>
    <row r="1667">
      <c r="A1667" s="56" t="inlineStr">
        <is>
          <t>Countries</t>
        </is>
      </c>
      <c r="B1667" s="56" t="inlineStr">
        <is>
          <t>J238</t>
        </is>
      </c>
      <c r="C1667" s="56" t="n">
        <v>238</v>
      </c>
      <c r="D1667" s="56" t="inlineStr">
        <is>
          <t>Airport page</t>
        </is>
      </c>
      <c r="E1667" s="56" t="inlineStr">
        <is>
          <t>Paid Search</t>
        </is>
      </c>
      <c r="F1667" s="56" t="inlineStr">
        <is>
          <t>Mobile</t>
        </is>
      </c>
      <c r="G1667" s="56" t="inlineStr">
        <is>
          <t>Switzerland</t>
        </is>
      </c>
      <c r="H1667" s="56" t="n">
        <v>22</v>
      </c>
      <c r="I1667" s="56" t="inlineStr">
        <is>
          <t>Start Search</t>
        </is>
      </c>
      <c r="J1667" s="56" t="inlineStr">
        <is>
          <t>1-23 August 2026</t>
        </is>
      </c>
      <c r="K1667" s="57" t="n">
        <v>757</v>
      </c>
      <c r="L1667" s="56" t="inlineStr">
        <is>
          <t>Completeness only</t>
        </is>
      </c>
      <c r="M1667" s="40">
        <f>IF(Countries!J238="","STILL MISSING","Filled ✓")</f>
        <v/>
      </c>
    </row>
    <row r="1668">
      <c r="A1668" s="40" t="inlineStr">
        <is>
          <t>Countries</t>
        </is>
      </c>
      <c r="B1668" s="40" t="inlineStr">
        <is>
          <t>AD321</t>
        </is>
      </c>
      <c r="C1668" s="40" t="n">
        <v>321</v>
      </c>
      <c r="D1668" s="40" t="inlineStr">
        <is>
          <t>Airport page</t>
        </is>
      </c>
      <c r="E1668" s="40" t="inlineStr">
        <is>
          <t>Direct</t>
        </is>
      </c>
      <c r="F1668" s="40" t="inlineStr">
        <is>
          <t>Desktop</t>
        </is>
      </c>
      <c r="G1668" s="40" t="inlineStr">
        <is>
          <t>Switzerland</t>
        </is>
      </c>
      <c r="H1668" s="40" t="n">
        <v>22</v>
      </c>
      <c r="I1668" s="40" t="inlineStr">
        <is>
          <t>Add to cart</t>
        </is>
      </c>
      <c r="J1668" s="40" t="inlineStr">
        <is>
          <t>1-23 August 2025</t>
        </is>
      </c>
      <c r="K1668" s="55" t="n">
        <v>16</v>
      </c>
      <c r="L1668" s="40" t="inlineStr">
        <is>
          <t>Completeness only</t>
        </is>
      </c>
      <c r="M1668" s="40">
        <f>IF(Countries!AD321="","STILL MISSING","Filled ✓")</f>
        <v/>
      </c>
    </row>
    <row r="1669">
      <c r="A1669" s="56" t="inlineStr">
        <is>
          <t>Countries</t>
        </is>
      </c>
      <c r="B1669" s="56" t="inlineStr">
        <is>
          <t>AE321</t>
        </is>
      </c>
      <c r="C1669" s="56" t="n">
        <v>321</v>
      </c>
      <c r="D1669" s="56" t="inlineStr">
        <is>
          <t>Airport page</t>
        </is>
      </c>
      <c r="E1669" s="56" t="inlineStr">
        <is>
          <t>Direct</t>
        </is>
      </c>
      <c r="F1669" s="56" t="inlineStr">
        <is>
          <t>Desktop</t>
        </is>
      </c>
      <c r="G1669" s="56" t="inlineStr">
        <is>
          <t>Switzerland</t>
        </is>
      </c>
      <c r="H1669" s="56" t="n">
        <v>22</v>
      </c>
      <c r="I1669" s="56" t="inlineStr">
        <is>
          <t>Add to cart</t>
        </is>
      </c>
      <c r="J1669" s="56" t="inlineStr">
        <is>
          <t>1-23 August 2026</t>
        </is>
      </c>
      <c r="K1669" s="57" t="n">
        <v>16</v>
      </c>
      <c r="L1669" s="56" t="inlineStr">
        <is>
          <t>Completeness only</t>
        </is>
      </c>
      <c r="M1669" s="40">
        <f>IF(Countries!AE321="","STILL MISSING","Filled ✓")</f>
        <v/>
      </c>
    </row>
    <row r="1670">
      <c r="A1670" s="40" t="inlineStr">
        <is>
          <t>Countries</t>
        </is>
      </c>
      <c r="B1670" s="40" t="inlineStr">
        <is>
          <t>AK321</t>
        </is>
      </c>
      <c r="C1670" s="40" t="n">
        <v>321</v>
      </c>
      <c r="D1670" s="40" t="inlineStr">
        <is>
          <t>Airport page</t>
        </is>
      </c>
      <c r="E1670" s="40" t="inlineStr">
        <is>
          <t>Direct</t>
        </is>
      </c>
      <c r="F1670" s="40" t="inlineStr">
        <is>
          <t>Desktop</t>
        </is>
      </c>
      <c r="G1670" s="40" t="inlineStr">
        <is>
          <t>Switzerland</t>
        </is>
      </c>
      <c r="H1670" s="40" t="n">
        <v>22</v>
      </c>
      <c r="I1670" s="40" t="inlineStr">
        <is>
          <t>Begin checkout</t>
        </is>
      </c>
      <c r="J1670" s="40" t="inlineStr">
        <is>
          <t>1-23 August 2025</t>
        </is>
      </c>
      <c r="K1670" s="55" t="n">
        <v>16</v>
      </c>
      <c r="L1670" s="40" t="inlineStr">
        <is>
          <t>Completeness only</t>
        </is>
      </c>
      <c r="M1670" s="40">
        <f>IF(Countries!AK321="","STILL MISSING","Filled ✓")</f>
        <v/>
      </c>
    </row>
    <row r="1671">
      <c r="A1671" s="56" t="inlineStr">
        <is>
          <t>Countries</t>
        </is>
      </c>
      <c r="B1671" s="56" t="inlineStr">
        <is>
          <t>AL321</t>
        </is>
      </c>
      <c r="C1671" s="56" t="n">
        <v>321</v>
      </c>
      <c r="D1671" s="56" t="inlineStr">
        <is>
          <t>Airport page</t>
        </is>
      </c>
      <c r="E1671" s="56" t="inlineStr">
        <is>
          <t>Direct</t>
        </is>
      </c>
      <c r="F1671" s="56" t="inlineStr">
        <is>
          <t>Desktop</t>
        </is>
      </c>
      <c r="G1671" s="56" t="inlineStr">
        <is>
          <t>Switzerland</t>
        </is>
      </c>
      <c r="H1671" s="56" t="n">
        <v>22</v>
      </c>
      <c r="I1671" s="56" t="inlineStr">
        <is>
          <t>Begin checkout</t>
        </is>
      </c>
      <c r="J1671" s="56" t="inlineStr">
        <is>
          <t>1-23 August 2026</t>
        </is>
      </c>
      <c r="K1671" s="57" t="n">
        <v>16</v>
      </c>
      <c r="L1671" s="56" t="inlineStr">
        <is>
          <t>Completeness only</t>
        </is>
      </c>
      <c r="M1671" s="40">
        <f>IF(Countries!AL321="","STILL MISSING","Filled ✓")</f>
        <v/>
      </c>
    </row>
    <row r="1672">
      <c r="A1672" s="40" t="inlineStr">
        <is>
          <t>Countries</t>
        </is>
      </c>
      <c r="B1672" s="40" t="inlineStr">
        <is>
          <t>AS321</t>
        </is>
      </c>
      <c r="C1672" s="40" t="n">
        <v>321</v>
      </c>
      <c r="D1672" s="40" t="inlineStr">
        <is>
          <t>Airport page</t>
        </is>
      </c>
      <c r="E1672" s="40" t="inlineStr">
        <is>
          <t>Direct</t>
        </is>
      </c>
      <c r="F1672" s="40" t="inlineStr">
        <is>
          <t>Desktop</t>
        </is>
      </c>
      <c r="G1672" s="40" t="inlineStr">
        <is>
          <t>Switzerland</t>
        </is>
      </c>
      <c r="H1672" s="40" t="n">
        <v>22</v>
      </c>
      <c r="I1672" s="40" t="inlineStr">
        <is>
          <t>Purchases</t>
        </is>
      </c>
      <c r="J1672" s="40" t="inlineStr">
        <is>
          <t>1-23 August 2026</t>
        </is>
      </c>
      <c r="K1672" s="55" t="n">
        <v>16</v>
      </c>
      <c r="L1672" s="40" t="inlineStr">
        <is>
          <t>Completeness only</t>
        </is>
      </c>
      <c r="M1672" s="40">
        <f>IF(Countries!AS321="","STILL MISSING","Filled ✓")</f>
        <v/>
      </c>
    </row>
    <row r="1673">
      <c r="A1673" s="56" t="inlineStr">
        <is>
          <t>Countries</t>
        </is>
      </c>
      <c r="B1673" s="56" t="inlineStr">
        <is>
          <t>X321</t>
        </is>
      </c>
      <c r="C1673" s="56" t="n">
        <v>321</v>
      </c>
      <c r="D1673" s="56" t="inlineStr">
        <is>
          <t>Airport page</t>
        </is>
      </c>
      <c r="E1673" s="56" t="inlineStr">
        <is>
          <t>Direct</t>
        </is>
      </c>
      <c r="F1673" s="56" t="inlineStr">
        <is>
          <t>Desktop</t>
        </is>
      </c>
      <c r="G1673" s="56" t="inlineStr">
        <is>
          <t>Switzerland</t>
        </is>
      </c>
      <c r="H1673" s="56" t="n">
        <v>22</v>
      </c>
      <c r="I1673" s="56" t="inlineStr">
        <is>
          <t>Select item</t>
        </is>
      </c>
      <c r="J1673" s="56" t="inlineStr">
        <is>
          <t>1-23 August 2026</t>
        </is>
      </c>
      <c r="K1673" s="57" t="n">
        <v>16</v>
      </c>
      <c r="L1673" s="56" t="inlineStr">
        <is>
          <t>Completeness only</t>
        </is>
      </c>
      <c r="M1673" s="40">
        <f>IF(Countries!X321="","STILL MISSING","Filled ✓")</f>
        <v/>
      </c>
    </row>
    <row r="1674">
      <c r="A1674" s="40" t="inlineStr">
        <is>
          <t>Countries</t>
        </is>
      </c>
      <c r="B1674" s="40" t="inlineStr">
        <is>
          <t>J321</t>
        </is>
      </c>
      <c r="C1674" s="40" t="n">
        <v>321</v>
      </c>
      <c r="D1674" s="40" t="inlineStr">
        <is>
          <t>Airport page</t>
        </is>
      </c>
      <c r="E1674" s="40" t="inlineStr">
        <is>
          <t>Direct</t>
        </is>
      </c>
      <c r="F1674" s="40" t="inlineStr">
        <is>
          <t>Desktop</t>
        </is>
      </c>
      <c r="G1674" s="40" t="inlineStr">
        <is>
          <t>Switzerland</t>
        </is>
      </c>
      <c r="H1674" s="40" t="n">
        <v>22</v>
      </c>
      <c r="I1674" s="40" t="inlineStr">
        <is>
          <t>Start Search</t>
        </is>
      </c>
      <c r="J1674" s="40" t="inlineStr">
        <is>
          <t>1-23 August 2026</t>
        </is>
      </c>
      <c r="K1674" s="55" t="n">
        <v>16</v>
      </c>
      <c r="L1674" s="40" t="inlineStr">
        <is>
          <t>Completeness only</t>
        </is>
      </c>
      <c r="M1674" s="40">
        <f>IF(Countries!J321="","STILL MISSING","Filled ✓")</f>
        <v/>
      </c>
    </row>
    <row r="1675">
      <c r="A1675" s="56" t="inlineStr">
        <is>
          <t>Countries</t>
        </is>
      </c>
      <c r="B1675" s="56" t="inlineStr">
        <is>
          <t>AD357</t>
        </is>
      </c>
      <c r="C1675" s="56" t="n">
        <v>357</v>
      </c>
      <c r="D1675" s="56" t="inlineStr">
        <is>
          <t>Route page</t>
        </is>
      </c>
      <c r="E1675" s="56" t="inlineStr">
        <is>
          <t>Paid Search</t>
        </is>
      </c>
      <c r="F1675" s="56" t="inlineStr">
        <is>
          <t>Desktop</t>
        </is>
      </c>
      <c r="G1675" s="56" t="inlineStr">
        <is>
          <t>Switzerland</t>
        </is>
      </c>
      <c r="H1675" s="56" t="n">
        <v>22</v>
      </c>
      <c r="I1675" s="56" t="inlineStr">
        <is>
          <t>Add to cart</t>
        </is>
      </c>
      <c r="J1675" s="56" t="inlineStr">
        <is>
          <t>1-23 August 2025</t>
        </is>
      </c>
      <c r="K1675" s="57" t="n">
        <v>327</v>
      </c>
      <c r="L1675" s="56" t="inlineStr">
        <is>
          <t>Completeness only</t>
        </is>
      </c>
      <c r="M1675" s="40">
        <f>IF(Countries!AD357="","STILL MISSING","Filled ✓")</f>
        <v/>
      </c>
    </row>
    <row r="1676">
      <c r="A1676" s="40" t="inlineStr">
        <is>
          <t>Countries</t>
        </is>
      </c>
      <c r="B1676" s="40" t="inlineStr">
        <is>
          <t>AE357</t>
        </is>
      </c>
      <c r="C1676" s="40" t="n">
        <v>357</v>
      </c>
      <c r="D1676" s="40" t="inlineStr">
        <is>
          <t>Route page</t>
        </is>
      </c>
      <c r="E1676" s="40" t="inlineStr">
        <is>
          <t>Paid Search</t>
        </is>
      </c>
      <c r="F1676" s="40" t="inlineStr">
        <is>
          <t>Desktop</t>
        </is>
      </c>
      <c r="G1676" s="40" t="inlineStr">
        <is>
          <t>Switzerland</t>
        </is>
      </c>
      <c r="H1676" s="40" t="n">
        <v>22</v>
      </c>
      <c r="I1676" s="40" t="inlineStr">
        <is>
          <t>Add to cart</t>
        </is>
      </c>
      <c r="J1676" s="40" t="inlineStr">
        <is>
          <t>1-23 August 2026</t>
        </is>
      </c>
      <c r="K1676" s="55" t="n">
        <v>327</v>
      </c>
      <c r="L1676" s="40" t="inlineStr">
        <is>
          <t>Completeness only</t>
        </is>
      </c>
      <c r="M1676" s="40">
        <f>IF(Countries!AE357="","STILL MISSING","Filled ✓")</f>
        <v/>
      </c>
    </row>
    <row r="1677">
      <c r="A1677" s="56" t="inlineStr">
        <is>
          <t>Countries</t>
        </is>
      </c>
      <c r="B1677" s="56" t="inlineStr">
        <is>
          <t>AK357</t>
        </is>
      </c>
      <c r="C1677" s="56" t="n">
        <v>357</v>
      </c>
      <c r="D1677" s="56" t="inlineStr">
        <is>
          <t>Route page</t>
        </is>
      </c>
      <c r="E1677" s="56" t="inlineStr">
        <is>
          <t>Paid Search</t>
        </is>
      </c>
      <c r="F1677" s="56" t="inlineStr">
        <is>
          <t>Desktop</t>
        </is>
      </c>
      <c r="G1677" s="56" t="inlineStr">
        <is>
          <t>Switzerland</t>
        </is>
      </c>
      <c r="H1677" s="56" t="n">
        <v>22</v>
      </c>
      <c r="I1677" s="56" t="inlineStr">
        <is>
          <t>Begin checkout</t>
        </is>
      </c>
      <c r="J1677" s="56" t="inlineStr">
        <is>
          <t>1-23 August 2025</t>
        </is>
      </c>
      <c r="K1677" s="57" t="n">
        <v>327</v>
      </c>
      <c r="L1677" s="56" t="inlineStr">
        <is>
          <t>Completeness only</t>
        </is>
      </c>
      <c r="M1677" s="40">
        <f>IF(Countries!AK357="","STILL MISSING","Filled ✓")</f>
        <v/>
      </c>
    </row>
    <row r="1678">
      <c r="A1678" s="40" t="inlineStr">
        <is>
          <t>Countries</t>
        </is>
      </c>
      <c r="B1678" s="40" t="inlineStr">
        <is>
          <t>AL357</t>
        </is>
      </c>
      <c r="C1678" s="40" t="n">
        <v>357</v>
      </c>
      <c r="D1678" s="40" t="inlineStr">
        <is>
          <t>Route page</t>
        </is>
      </c>
      <c r="E1678" s="40" t="inlineStr">
        <is>
          <t>Paid Search</t>
        </is>
      </c>
      <c r="F1678" s="40" t="inlineStr">
        <is>
          <t>Desktop</t>
        </is>
      </c>
      <c r="G1678" s="40" t="inlineStr">
        <is>
          <t>Switzerland</t>
        </is>
      </c>
      <c r="H1678" s="40" t="n">
        <v>22</v>
      </c>
      <c r="I1678" s="40" t="inlineStr">
        <is>
          <t>Begin checkout</t>
        </is>
      </c>
      <c r="J1678" s="40" t="inlineStr">
        <is>
          <t>1-23 August 2026</t>
        </is>
      </c>
      <c r="K1678" s="55" t="n">
        <v>327</v>
      </c>
      <c r="L1678" s="40" t="inlineStr">
        <is>
          <t>Completeness only</t>
        </is>
      </c>
      <c r="M1678" s="40">
        <f>IF(Countries!AL357="","STILL MISSING","Filled ✓")</f>
        <v/>
      </c>
    </row>
    <row r="1679">
      <c r="A1679" s="56" t="inlineStr">
        <is>
          <t>Countries</t>
        </is>
      </c>
      <c r="B1679" s="56" t="inlineStr">
        <is>
          <t>AS357</t>
        </is>
      </c>
      <c r="C1679" s="56" t="n">
        <v>357</v>
      </c>
      <c r="D1679" s="56" t="inlineStr">
        <is>
          <t>Route page</t>
        </is>
      </c>
      <c r="E1679" s="56" t="inlineStr">
        <is>
          <t>Paid Search</t>
        </is>
      </c>
      <c r="F1679" s="56" t="inlineStr">
        <is>
          <t>Desktop</t>
        </is>
      </c>
      <c r="G1679" s="56" t="inlineStr">
        <is>
          <t>Switzerland</t>
        </is>
      </c>
      <c r="H1679" s="56" t="n">
        <v>22</v>
      </c>
      <c r="I1679" s="56" t="inlineStr">
        <is>
          <t>Purchases</t>
        </is>
      </c>
      <c r="J1679" s="56" t="inlineStr">
        <is>
          <t>1-23 August 2026</t>
        </is>
      </c>
      <c r="K1679" s="57" t="n">
        <v>327</v>
      </c>
      <c r="L1679" s="56" t="inlineStr">
        <is>
          <t>Completeness only</t>
        </is>
      </c>
      <c r="M1679" s="40">
        <f>IF(Countries!AS357="","STILL MISSING","Filled ✓")</f>
        <v/>
      </c>
    </row>
    <row r="1680">
      <c r="A1680" s="40" t="inlineStr">
        <is>
          <t>Countries</t>
        </is>
      </c>
      <c r="B1680" s="40" t="inlineStr">
        <is>
          <t>X357</t>
        </is>
      </c>
      <c r="C1680" s="40" t="n">
        <v>357</v>
      </c>
      <c r="D1680" s="40" t="inlineStr">
        <is>
          <t>Route page</t>
        </is>
      </c>
      <c r="E1680" s="40" t="inlineStr">
        <is>
          <t>Paid Search</t>
        </is>
      </c>
      <c r="F1680" s="40" t="inlineStr">
        <is>
          <t>Desktop</t>
        </is>
      </c>
      <c r="G1680" s="40" t="inlineStr">
        <is>
          <t>Switzerland</t>
        </is>
      </c>
      <c r="H1680" s="40" t="n">
        <v>22</v>
      </c>
      <c r="I1680" s="40" t="inlineStr">
        <is>
          <t>Select item</t>
        </is>
      </c>
      <c r="J1680" s="40" t="inlineStr">
        <is>
          <t>1-23 August 2026</t>
        </is>
      </c>
      <c r="K1680" s="55" t="n">
        <v>327</v>
      </c>
      <c r="L1680" s="40" t="inlineStr">
        <is>
          <t>Completeness only</t>
        </is>
      </c>
      <c r="M1680" s="40">
        <f>IF(Countries!X357="","STILL MISSING","Filled ✓")</f>
        <v/>
      </c>
    </row>
    <row r="1681">
      <c r="A1681" s="56" t="inlineStr">
        <is>
          <t>Countries</t>
        </is>
      </c>
      <c r="B1681" s="56" t="inlineStr">
        <is>
          <t>J357</t>
        </is>
      </c>
      <c r="C1681" s="56" t="n">
        <v>357</v>
      </c>
      <c r="D1681" s="56" t="inlineStr">
        <is>
          <t>Route page</t>
        </is>
      </c>
      <c r="E1681" s="56" t="inlineStr">
        <is>
          <t>Paid Search</t>
        </is>
      </c>
      <c r="F1681" s="56" t="inlineStr">
        <is>
          <t>Desktop</t>
        </is>
      </c>
      <c r="G1681" s="56" t="inlineStr">
        <is>
          <t>Switzerland</t>
        </is>
      </c>
      <c r="H1681" s="56" t="n">
        <v>22</v>
      </c>
      <c r="I1681" s="56" t="inlineStr">
        <is>
          <t>Start Search</t>
        </is>
      </c>
      <c r="J1681" s="56" t="inlineStr">
        <is>
          <t>1-23 August 2026</t>
        </is>
      </c>
      <c r="K1681" s="57" t="n">
        <v>327</v>
      </c>
      <c r="L1681" s="56" t="inlineStr">
        <is>
          <t>Completeness only</t>
        </is>
      </c>
      <c r="M1681" s="40">
        <f>IF(Countries!J357="","STILL MISSING","Filled ✓")</f>
        <v/>
      </c>
    </row>
    <row r="1682">
      <c r="A1682" s="40" t="inlineStr">
        <is>
          <t>Countries</t>
        </is>
      </c>
      <c r="B1682" s="40" t="inlineStr">
        <is>
          <t>AD341</t>
        </is>
      </c>
      <c r="C1682" s="40" t="n">
        <v>341</v>
      </c>
      <c r="D1682" s="40" t="inlineStr">
        <is>
          <t>Route page</t>
        </is>
      </c>
      <c r="E1682" s="40" t="inlineStr">
        <is>
          <t>Paid Search</t>
        </is>
      </c>
      <c r="F1682" s="40" t="inlineStr">
        <is>
          <t>Mobile</t>
        </is>
      </c>
      <c r="G1682" s="40" t="inlineStr">
        <is>
          <t>Switzerland</t>
        </is>
      </c>
      <c r="H1682" s="40" t="n">
        <v>22</v>
      </c>
      <c r="I1682" s="40" t="inlineStr">
        <is>
          <t>Add to cart</t>
        </is>
      </c>
      <c r="J1682" s="40" t="inlineStr">
        <is>
          <t>1-23 August 2025</t>
        </is>
      </c>
      <c r="K1682" s="55" t="n">
        <v>396</v>
      </c>
      <c r="L1682" s="40" t="inlineStr">
        <is>
          <t>Completeness only</t>
        </is>
      </c>
      <c r="M1682" s="40">
        <f>IF(Countries!AD341="","STILL MISSING","Filled ✓")</f>
        <v/>
      </c>
    </row>
    <row r="1683">
      <c r="A1683" s="56" t="inlineStr">
        <is>
          <t>Countries</t>
        </is>
      </c>
      <c r="B1683" s="56" t="inlineStr">
        <is>
          <t>AE341</t>
        </is>
      </c>
      <c r="C1683" s="56" t="n">
        <v>341</v>
      </c>
      <c r="D1683" s="56" t="inlineStr">
        <is>
          <t>Route page</t>
        </is>
      </c>
      <c r="E1683" s="56" t="inlineStr">
        <is>
          <t>Paid Search</t>
        </is>
      </c>
      <c r="F1683" s="56" t="inlineStr">
        <is>
          <t>Mobile</t>
        </is>
      </c>
      <c r="G1683" s="56" t="inlineStr">
        <is>
          <t>Switzerland</t>
        </is>
      </c>
      <c r="H1683" s="56" t="n">
        <v>22</v>
      </c>
      <c r="I1683" s="56" t="inlineStr">
        <is>
          <t>Add to cart</t>
        </is>
      </c>
      <c r="J1683" s="56" t="inlineStr">
        <is>
          <t>1-23 August 2026</t>
        </is>
      </c>
      <c r="K1683" s="57" t="n">
        <v>396</v>
      </c>
      <c r="L1683" s="56" t="inlineStr">
        <is>
          <t>Completeness only</t>
        </is>
      </c>
      <c r="M1683" s="40">
        <f>IF(Countries!AE341="","STILL MISSING","Filled ✓")</f>
        <v/>
      </c>
    </row>
    <row r="1684">
      <c r="A1684" s="40" t="inlineStr">
        <is>
          <t>Countries</t>
        </is>
      </c>
      <c r="B1684" s="40" t="inlineStr">
        <is>
          <t>AK341</t>
        </is>
      </c>
      <c r="C1684" s="40" t="n">
        <v>341</v>
      </c>
      <c r="D1684" s="40" t="inlineStr">
        <is>
          <t>Route page</t>
        </is>
      </c>
      <c r="E1684" s="40" t="inlineStr">
        <is>
          <t>Paid Search</t>
        </is>
      </c>
      <c r="F1684" s="40" t="inlineStr">
        <is>
          <t>Mobile</t>
        </is>
      </c>
      <c r="G1684" s="40" t="inlineStr">
        <is>
          <t>Switzerland</t>
        </is>
      </c>
      <c r="H1684" s="40" t="n">
        <v>22</v>
      </c>
      <c r="I1684" s="40" t="inlineStr">
        <is>
          <t>Begin checkout</t>
        </is>
      </c>
      <c r="J1684" s="40" t="inlineStr">
        <is>
          <t>1-23 August 2025</t>
        </is>
      </c>
      <c r="K1684" s="55" t="n">
        <v>396</v>
      </c>
      <c r="L1684" s="40" t="inlineStr">
        <is>
          <t>Completeness only</t>
        </is>
      </c>
      <c r="M1684" s="40">
        <f>IF(Countries!AK341="","STILL MISSING","Filled ✓")</f>
        <v/>
      </c>
    </row>
    <row r="1685">
      <c r="A1685" s="56" t="inlineStr">
        <is>
          <t>Countries</t>
        </is>
      </c>
      <c r="B1685" s="56" t="inlineStr">
        <is>
          <t>AL341</t>
        </is>
      </c>
      <c r="C1685" s="56" t="n">
        <v>341</v>
      </c>
      <c r="D1685" s="56" t="inlineStr">
        <is>
          <t>Route page</t>
        </is>
      </c>
      <c r="E1685" s="56" t="inlineStr">
        <is>
          <t>Paid Search</t>
        </is>
      </c>
      <c r="F1685" s="56" t="inlineStr">
        <is>
          <t>Mobile</t>
        </is>
      </c>
      <c r="G1685" s="56" t="inlineStr">
        <is>
          <t>Switzerland</t>
        </is>
      </c>
      <c r="H1685" s="56" t="n">
        <v>22</v>
      </c>
      <c r="I1685" s="56" t="inlineStr">
        <is>
          <t>Begin checkout</t>
        </is>
      </c>
      <c r="J1685" s="56" t="inlineStr">
        <is>
          <t>1-23 August 2026</t>
        </is>
      </c>
      <c r="K1685" s="57" t="n">
        <v>396</v>
      </c>
      <c r="L1685" s="56" t="inlineStr">
        <is>
          <t>Completeness only</t>
        </is>
      </c>
      <c r="M1685" s="40">
        <f>IF(Countries!AL341="","STILL MISSING","Filled ✓")</f>
        <v/>
      </c>
    </row>
    <row r="1686">
      <c r="A1686" s="40" t="inlineStr">
        <is>
          <t>Countries</t>
        </is>
      </c>
      <c r="B1686" s="40" t="inlineStr">
        <is>
          <t>AS341</t>
        </is>
      </c>
      <c r="C1686" s="40" t="n">
        <v>341</v>
      </c>
      <c r="D1686" s="40" t="inlineStr">
        <is>
          <t>Route page</t>
        </is>
      </c>
      <c r="E1686" s="40" t="inlineStr">
        <is>
          <t>Paid Search</t>
        </is>
      </c>
      <c r="F1686" s="40" t="inlineStr">
        <is>
          <t>Mobile</t>
        </is>
      </c>
      <c r="G1686" s="40" t="inlineStr">
        <is>
          <t>Switzerland</t>
        </is>
      </c>
      <c r="H1686" s="40" t="n">
        <v>22</v>
      </c>
      <c r="I1686" s="40" t="inlineStr">
        <is>
          <t>Purchases</t>
        </is>
      </c>
      <c r="J1686" s="40" t="inlineStr">
        <is>
          <t>1-23 August 2026</t>
        </is>
      </c>
      <c r="K1686" s="55" t="n">
        <v>396</v>
      </c>
      <c r="L1686" s="40" t="inlineStr">
        <is>
          <t>Completeness only</t>
        </is>
      </c>
      <c r="M1686" s="40">
        <f>IF(Countries!AS341="","STILL MISSING","Filled ✓")</f>
        <v/>
      </c>
    </row>
    <row r="1687">
      <c r="A1687" s="56" t="inlineStr">
        <is>
          <t>Countries</t>
        </is>
      </c>
      <c r="B1687" s="56" t="inlineStr">
        <is>
          <t>X341</t>
        </is>
      </c>
      <c r="C1687" s="56" t="n">
        <v>341</v>
      </c>
      <c r="D1687" s="56" t="inlineStr">
        <is>
          <t>Route page</t>
        </is>
      </c>
      <c r="E1687" s="56" t="inlineStr">
        <is>
          <t>Paid Search</t>
        </is>
      </c>
      <c r="F1687" s="56" t="inlineStr">
        <is>
          <t>Mobile</t>
        </is>
      </c>
      <c r="G1687" s="56" t="inlineStr">
        <is>
          <t>Switzerland</t>
        </is>
      </c>
      <c r="H1687" s="56" t="n">
        <v>22</v>
      </c>
      <c r="I1687" s="56" t="inlineStr">
        <is>
          <t>Select item</t>
        </is>
      </c>
      <c r="J1687" s="56" t="inlineStr">
        <is>
          <t>1-23 August 2026</t>
        </is>
      </c>
      <c r="K1687" s="57" t="n">
        <v>396</v>
      </c>
      <c r="L1687" s="56" t="inlineStr">
        <is>
          <t>Completeness only</t>
        </is>
      </c>
      <c r="M1687" s="40">
        <f>IF(Countries!X341="","STILL MISSING","Filled ✓")</f>
        <v/>
      </c>
    </row>
    <row r="1688">
      <c r="A1688" s="40" t="inlineStr">
        <is>
          <t>Countries</t>
        </is>
      </c>
      <c r="B1688" s="40" t="inlineStr">
        <is>
          <t>J341</t>
        </is>
      </c>
      <c r="C1688" s="40" t="n">
        <v>341</v>
      </c>
      <c r="D1688" s="40" t="inlineStr">
        <is>
          <t>Route page</t>
        </is>
      </c>
      <c r="E1688" s="40" t="inlineStr">
        <is>
          <t>Paid Search</t>
        </is>
      </c>
      <c r="F1688" s="40" t="inlineStr">
        <is>
          <t>Mobile</t>
        </is>
      </c>
      <c r="G1688" s="40" t="inlineStr">
        <is>
          <t>Switzerland</t>
        </is>
      </c>
      <c r="H1688" s="40" t="n">
        <v>22</v>
      </c>
      <c r="I1688" s="40" t="inlineStr">
        <is>
          <t>Start Search</t>
        </is>
      </c>
      <c r="J1688" s="40" t="inlineStr">
        <is>
          <t>1-23 August 2026</t>
        </is>
      </c>
      <c r="K1688" s="55" t="n">
        <v>396</v>
      </c>
      <c r="L1688" s="40" t="inlineStr">
        <is>
          <t>Completeness only</t>
        </is>
      </c>
      <c r="M1688" s="40">
        <f>IF(Countries!J341="","STILL MISSING","Filled ✓")</f>
        <v/>
      </c>
    </row>
    <row r="1689">
      <c r="A1689" s="56" t="inlineStr">
        <is>
          <t>Countries</t>
        </is>
      </c>
      <c r="B1689" s="56" t="inlineStr">
        <is>
          <t>AD387</t>
        </is>
      </c>
      <c r="C1689" s="56" t="n">
        <v>387</v>
      </c>
      <c r="D1689" s="56" t="inlineStr">
        <is>
          <t>Route page</t>
        </is>
      </c>
      <c r="E1689" s="56" t="inlineStr">
        <is>
          <t>Organic</t>
        </is>
      </c>
      <c r="F1689" s="56" t="inlineStr">
        <is>
          <t>Desktop</t>
        </is>
      </c>
      <c r="G1689" s="56" t="inlineStr">
        <is>
          <t>Switzerland</t>
        </is>
      </c>
      <c r="H1689" s="56" t="n">
        <v>22</v>
      </c>
      <c r="I1689" s="56" t="inlineStr">
        <is>
          <t>Add to cart</t>
        </is>
      </c>
      <c r="J1689" s="56" t="inlineStr">
        <is>
          <t>1-23 August 2025</t>
        </is>
      </c>
      <c r="K1689" s="57" t="n">
        <v>218</v>
      </c>
      <c r="L1689" s="56" t="inlineStr">
        <is>
          <t>Completeness only</t>
        </is>
      </c>
      <c r="M1689" s="40">
        <f>IF(Countries!AD387="","STILL MISSING","Filled ✓")</f>
        <v/>
      </c>
    </row>
    <row r="1690">
      <c r="A1690" s="40" t="inlineStr">
        <is>
          <t>Countries</t>
        </is>
      </c>
      <c r="B1690" s="40" t="inlineStr">
        <is>
          <t>AE387</t>
        </is>
      </c>
      <c r="C1690" s="40" t="n">
        <v>387</v>
      </c>
      <c r="D1690" s="40" t="inlineStr">
        <is>
          <t>Route page</t>
        </is>
      </c>
      <c r="E1690" s="40" t="inlineStr">
        <is>
          <t>Organic</t>
        </is>
      </c>
      <c r="F1690" s="40" t="inlineStr">
        <is>
          <t>Desktop</t>
        </is>
      </c>
      <c r="G1690" s="40" t="inlineStr">
        <is>
          <t>Switzerland</t>
        </is>
      </c>
      <c r="H1690" s="40" t="n">
        <v>22</v>
      </c>
      <c r="I1690" s="40" t="inlineStr">
        <is>
          <t>Add to cart</t>
        </is>
      </c>
      <c r="J1690" s="40" t="inlineStr">
        <is>
          <t>1-23 August 2026</t>
        </is>
      </c>
      <c r="K1690" s="55" t="n">
        <v>218</v>
      </c>
      <c r="L1690" s="40" t="inlineStr">
        <is>
          <t>Completeness only</t>
        </is>
      </c>
      <c r="M1690" s="40">
        <f>IF(Countries!AE387="","STILL MISSING","Filled ✓")</f>
        <v/>
      </c>
    </row>
    <row r="1691">
      <c r="A1691" s="56" t="inlineStr">
        <is>
          <t>Countries</t>
        </is>
      </c>
      <c r="B1691" s="56" t="inlineStr">
        <is>
          <t>AK387</t>
        </is>
      </c>
      <c r="C1691" s="56" t="n">
        <v>387</v>
      </c>
      <c r="D1691" s="56" t="inlineStr">
        <is>
          <t>Route page</t>
        </is>
      </c>
      <c r="E1691" s="56" t="inlineStr">
        <is>
          <t>Organic</t>
        </is>
      </c>
      <c r="F1691" s="56" t="inlineStr">
        <is>
          <t>Desktop</t>
        </is>
      </c>
      <c r="G1691" s="56" t="inlineStr">
        <is>
          <t>Switzerland</t>
        </is>
      </c>
      <c r="H1691" s="56" t="n">
        <v>22</v>
      </c>
      <c r="I1691" s="56" t="inlineStr">
        <is>
          <t>Begin checkout</t>
        </is>
      </c>
      <c r="J1691" s="56" t="inlineStr">
        <is>
          <t>1-23 August 2025</t>
        </is>
      </c>
      <c r="K1691" s="57" t="n">
        <v>218</v>
      </c>
      <c r="L1691" s="56" t="inlineStr">
        <is>
          <t>Completeness only</t>
        </is>
      </c>
      <c r="M1691" s="40">
        <f>IF(Countries!AK387="","STILL MISSING","Filled ✓")</f>
        <v/>
      </c>
    </row>
    <row r="1692">
      <c r="A1692" s="40" t="inlineStr">
        <is>
          <t>Countries</t>
        </is>
      </c>
      <c r="B1692" s="40" t="inlineStr">
        <is>
          <t>AL387</t>
        </is>
      </c>
      <c r="C1692" s="40" t="n">
        <v>387</v>
      </c>
      <c r="D1692" s="40" t="inlineStr">
        <is>
          <t>Route page</t>
        </is>
      </c>
      <c r="E1692" s="40" t="inlineStr">
        <is>
          <t>Organic</t>
        </is>
      </c>
      <c r="F1692" s="40" t="inlineStr">
        <is>
          <t>Desktop</t>
        </is>
      </c>
      <c r="G1692" s="40" t="inlineStr">
        <is>
          <t>Switzerland</t>
        </is>
      </c>
      <c r="H1692" s="40" t="n">
        <v>22</v>
      </c>
      <c r="I1692" s="40" t="inlineStr">
        <is>
          <t>Begin checkout</t>
        </is>
      </c>
      <c r="J1692" s="40" t="inlineStr">
        <is>
          <t>1-23 August 2026</t>
        </is>
      </c>
      <c r="K1692" s="55" t="n">
        <v>218</v>
      </c>
      <c r="L1692" s="40" t="inlineStr">
        <is>
          <t>Completeness only</t>
        </is>
      </c>
      <c r="M1692" s="40">
        <f>IF(Countries!AL387="","STILL MISSING","Filled ✓")</f>
        <v/>
      </c>
    </row>
    <row r="1693">
      <c r="A1693" s="56" t="inlineStr">
        <is>
          <t>Countries</t>
        </is>
      </c>
      <c r="B1693" s="56" t="inlineStr">
        <is>
          <t>AR387</t>
        </is>
      </c>
      <c r="C1693" s="56" t="n">
        <v>387</v>
      </c>
      <c r="D1693" s="56" t="inlineStr">
        <is>
          <t>Route page</t>
        </is>
      </c>
      <c r="E1693" s="56" t="inlineStr">
        <is>
          <t>Organic</t>
        </is>
      </c>
      <c r="F1693" s="56" t="inlineStr">
        <is>
          <t>Desktop</t>
        </is>
      </c>
      <c r="G1693" s="56" t="inlineStr">
        <is>
          <t>Switzerland</t>
        </is>
      </c>
      <c r="H1693" s="56" t="n">
        <v>22</v>
      </c>
      <c r="I1693" s="56" t="inlineStr">
        <is>
          <t>Purchases</t>
        </is>
      </c>
      <c r="J1693" s="56" t="inlineStr">
        <is>
          <t>1-23 August 2025</t>
        </is>
      </c>
      <c r="K1693" s="57" t="n">
        <v>218</v>
      </c>
      <c r="L1693" s="56" t="inlineStr">
        <is>
          <t>Completeness only</t>
        </is>
      </c>
      <c r="M1693" s="40">
        <f>IF(Countries!AR387="","STILL MISSING","Filled ✓")</f>
        <v/>
      </c>
    </row>
    <row r="1694">
      <c r="A1694" s="40" t="inlineStr">
        <is>
          <t>Countries</t>
        </is>
      </c>
      <c r="B1694" s="40" t="inlineStr">
        <is>
          <t>W387</t>
        </is>
      </c>
      <c r="C1694" s="40" t="n">
        <v>387</v>
      </c>
      <c r="D1694" s="40" t="inlineStr">
        <is>
          <t>Route page</t>
        </is>
      </c>
      <c r="E1694" s="40" t="inlineStr">
        <is>
          <t>Organic</t>
        </is>
      </c>
      <c r="F1694" s="40" t="inlineStr">
        <is>
          <t>Desktop</t>
        </is>
      </c>
      <c r="G1694" s="40" t="inlineStr">
        <is>
          <t>Switzerland</t>
        </is>
      </c>
      <c r="H1694" s="40" t="n">
        <v>22</v>
      </c>
      <c r="I1694" s="40" t="inlineStr">
        <is>
          <t>Select item</t>
        </is>
      </c>
      <c r="J1694" s="40" t="inlineStr">
        <is>
          <t>1-23 August 2025</t>
        </is>
      </c>
      <c r="K1694" s="55" t="n">
        <v>218</v>
      </c>
      <c r="L1694" s="40" t="inlineStr">
        <is>
          <t>Completeness only</t>
        </is>
      </c>
      <c r="M1694" s="40">
        <f>IF(Countries!W387="","STILL MISSING","Filled ✓")</f>
        <v/>
      </c>
    </row>
    <row r="1695">
      <c r="A1695" s="56" t="inlineStr">
        <is>
          <t>Countries</t>
        </is>
      </c>
      <c r="B1695" s="56" t="inlineStr">
        <is>
          <t>I387</t>
        </is>
      </c>
      <c r="C1695" s="56" t="n">
        <v>387</v>
      </c>
      <c r="D1695" s="56" t="inlineStr">
        <is>
          <t>Route page</t>
        </is>
      </c>
      <c r="E1695" s="56" t="inlineStr">
        <is>
          <t>Organic</t>
        </is>
      </c>
      <c r="F1695" s="56" t="inlineStr">
        <is>
          <t>Desktop</t>
        </is>
      </c>
      <c r="G1695" s="56" t="inlineStr">
        <is>
          <t>Switzerland</t>
        </is>
      </c>
      <c r="H1695" s="56" t="n">
        <v>22</v>
      </c>
      <c r="I1695" s="56" t="inlineStr">
        <is>
          <t>Start Search</t>
        </is>
      </c>
      <c r="J1695" s="56" t="inlineStr">
        <is>
          <t>1-23 August 2025</t>
        </is>
      </c>
      <c r="K1695" s="57" t="n">
        <v>218</v>
      </c>
      <c r="L1695" s="56" t="inlineStr">
        <is>
          <t>Completeness only</t>
        </is>
      </c>
      <c r="M1695" s="40">
        <f>IF(Countries!I387="","STILL MISSING","Filled ✓")</f>
        <v/>
      </c>
    </row>
    <row r="1696">
      <c r="A1696" s="40" t="inlineStr">
        <is>
          <t>Countries</t>
        </is>
      </c>
      <c r="B1696" s="40" t="inlineStr">
        <is>
          <t>AD429</t>
        </is>
      </c>
      <c r="C1696" s="40" t="n">
        <v>429</v>
      </c>
      <c r="D1696" s="40" t="inlineStr">
        <is>
          <t>Route page</t>
        </is>
      </c>
      <c r="E1696" s="40" t="inlineStr">
        <is>
          <t>Direct</t>
        </is>
      </c>
      <c r="F1696" s="40" t="inlineStr">
        <is>
          <t>Desktop</t>
        </is>
      </c>
      <c r="G1696" s="40" t="inlineStr">
        <is>
          <t>Switzerland</t>
        </is>
      </c>
      <c r="H1696" s="40" t="n">
        <v>22</v>
      </c>
      <c r="I1696" s="40" t="inlineStr">
        <is>
          <t>Add to cart</t>
        </is>
      </c>
      <c r="J1696" s="40" t="inlineStr">
        <is>
          <t>1-23 August 2025</t>
        </is>
      </c>
      <c r="K1696" s="55" t="n">
        <v>26</v>
      </c>
      <c r="L1696" s="40" t="inlineStr">
        <is>
          <t>Completeness only</t>
        </is>
      </c>
      <c r="M1696" s="40">
        <f>IF(Countries!AD429="","STILL MISSING","Filled ✓")</f>
        <v/>
      </c>
    </row>
    <row r="1697">
      <c r="A1697" s="56" t="inlineStr">
        <is>
          <t>Countries</t>
        </is>
      </c>
      <c r="B1697" s="56" t="inlineStr">
        <is>
          <t>AE429</t>
        </is>
      </c>
      <c r="C1697" s="56" t="n">
        <v>429</v>
      </c>
      <c r="D1697" s="56" t="inlineStr">
        <is>
          <t>Route page</t>
        </is>
      </c>
      <c r="E1697" s="56" t="inlineStr">
        <is>
          <t>Direct</t>
        </is>
      </c>
      <c r="F1697" s="56" t="inlineStr">
        <is>
          <t>Desktop</t>
        </is>
      </c>
      <c r="G1697" s="56" t="inlineStr">
        <is>
          <t>Switzerland</t>
        </is>
      </c>
      <c r="H1697" s="56" t="n">
        <v>22</v>
      </c>
      <c r="I1697" s="56" t="inlineStr">
        <is>
          <t>Add to cart</t>
        </is>
      </c>
      <c r="J1697" s="56" t="inlineStr">
        <is>
          <t>1-23 August 2026</t>
        </is>
      </c>
      <c r="K1697" s="57" t="n">
        <v>26</v>
      </c>
      <c r="L1697" s="56" t="inlineStr">
        <is>
          <t>Completeness only</t>
        </is>
      </c>
      <c r="M1697" s="40">
        <f>IF(Countries!AE429="","STILL MISSING","Filled ✓")</f>
        <v/>
      </c>
    </row>
    <row r="1698">
      <c r="A1698" s="40" t="inlineStr">
        <is>
          <t>Countries</t>
        </is>
      </c>
      <c r="B1698" s="40" t="inlineStr">
        <is>
          <t>AK429</t>
        </is>
      </c>
      <c r="C1698" s="40" t="n">
        <v>429</v>
      </c>
      <c r="D1698" s="40" t="inlineStr">
        <is>
          <t>Route page</t>
        </is>
      </c>
      <c r="E1698" s="40" t="inlineStr">
        <is>
          <t>Direct</t>
        </is>
      </c>
      <c r="F1698" s="40" t="inlineStr">
        <is>
          <t>Desktop</t>
        </is>
      </c>
      <c r="G1698" s="40" t="inlineStr">
        <is>
          <t>Switzerland</t>
        </is>
      </c>
      <c r="H1698" s="40" t="n">
        <v>22</v>
      </c>
      <c r="I1698" s="40" t="inlineStr">
        <is>
          <t>Begin checkout</t>
        </is>
      </c>
      <c r="J1698" s="40" t="inlineStr">
        <is>
          <t>1-23 August 2025</t>
        </is>
      </c>
      <c r="K1698" s="55" t="n">
        <v>26</v>
      </c>
      <c r="L1698" s="40" t="inlineStr">
        <is>
          <t>Completeness only</t>
        </is>
      </c>
      <c r="M1698" s="40">
        <f>IF(Countries!AK429="","STILL MISSING","Filled ✓")</f>
        <v/>
      </c>
    </row>
    <row r="1699">
      <c r="A1699" s="56" t="inlineStr">
        <is>
          <t>Countries</t>
        </is>
      </c>
      <c r="B1699" s="56" t="inlineStr">
        <is>
          <t>AL429</t>
        </is>
      </c>
      <c r="C1699" s="56" t="n">
        <v>429</v>
      </c>
      <c r="D1699" s="56" t="inlineStr">
        <is>
          <t>Route page</t>
        </is>
      </c>
      <c r="E1699" s="56" t="inlineStr">
        <is>
          <t>Direct</t>
        </is>
      </c>
      <c r="F1699" s="56" t="inlineStr">
        <is>
          <t>Desktop</t>
        </is>
      </c>
      <c r="G1699" s="56" t="inlineStr">
        <is>
          <t>Switzerland</t>
        </is>
      </c>
      <c r="H1699" s="56" t="n">
        <v>22</v>
      </c>
      <c r="I1699" s="56" t="inlineStr">
        <is>
          <t>Begin checkout</t>
        </is>
      </c>
      <c r="J1699" s="56" t="inlineStr">
        <is>
          <t>1-23 August 2026</t>
        </is>
      </c>
      <c r="K1699" s="57" t="n">
        <v>26</v>
      </c>
      <c r="L1699" s="56" t="inlineStr">
        <is>
          <t>Completeness only</t>
        </is>
      </c>
      <c r="M1699" s="40">
        <f>IF(Countries!AL429="","STILL MISSING","Filled ✓")</f>
        <v/>
      </c>
    </row>
    <row r="1700">
      <c r="A1700" s="40" t="inlineStr">
        <is>
          <t>Countries</t>
        </is>
      </c>
      <c r="B1700" s="40" t="inlineStr">
        <is>
          <t>AS429</t>
        </is>
      </c>
      <c r="C1700" s="40" t="n">
        <v>429</v>
      </c>
      <c r="D1700" s="40" t="inlineStr">
        <is>
          <t>Route page</t>
        </is>
      </c>
      <c r="E1700" s="40" t="inlineStr">
        <is>
          <t>Direct</t>
        </is>
      </c>
      <c r="F1700" s="40" t="inlineStr">
        <is>
          <t>Desktop</t>
        </is>
      </c>
      <c r="G1700" s="40" t="inlineStr">
        <is>
          <t>Switzerland</t>
        </is>
      </c>
      <c r="H1700" s="40" t="n">
        <v>22</v>
      </c>
      <c r="I1700" s="40" t="inlineStr">
        <is>
          <t>Purchases</t>
        </is>
      </c>
      <c r="J1700" s="40" t="inlineStr">
        <is>
          <t>1-23 August 2026</t>
        </is>
      </c>
      <c r="K1700" s="55" t="n">
        <v>26</v>
      </c>
      <c r="L1700" s="40" t="inlineStr">
        <is>
          <t>Completeness only</t>
        </is>
      </c>
      <c r="M1700" s="40">
        <f>IF(Countries!AS429="","STILL MISSING","Filled ✓")</f>
        <v/>
      </c>
    </row>
    <row r="1701">
      <c r="A1701" s="56" t="inlineStr">
        <is>
          <t>Countries</t>
        </is>
      </c>
      <c r="B1701" s="56" t="inlineStr">
        <is>
          <t>X429</t>
        </is>
      </c>
      <c r="C1701" s="56" t="n">
        <v>429</v>
      </c>
      <c r="D1701" s="56" t="inlineStr">
        <is>
          <t>Route page</t>
        </is>
      </c>
      <c r="E1701" s="56" t="inlineStr">
        <is>
          <t>Direct</t>
        </is>
      </c>
      <c r="F1701" s="56" t="inlineStr">
        <is>
          <t>Desktop</t>
        </is>
      </c>
      <c r="G1701" s="56" t="inlineStr">
        <is>
          <t>Switzerland</t>
        </is>
      </c>
      <c r="H1701" s="56" t="n">
        <v>22</v>
      </c>
      <c r="I1701" s="56" t="inlineStr">
        <is>
          <t>Select item</t>
        </is>
      </c>
      <c r="J1701" s="56" t="inlineStr">
        <is>
          <t>1-23 August 2026</t>
        </is>
      </c>
      <c r="K1701" s="57" t="n">
        <v>26</v>
      </c>
      <c r="L1701" s="56" t="inlineStr">
        <is>
          <t>Completeness only</t>
        </is>
      </c>
      <c r="M1701" s="40">
        <f>IF(Countries!X429="","STILL MISSING","Filled ✓")</f>
        <v/>
      </c>
    </row>
    <row r="1702">
      <c r="A1702" s="40" t="inlineStr">
        <is>
          <t>Countries</t>
        </is>
      </c>
      <c r="B1702" s="40" t="inlineStr">
        <is>
          <t>J429</t>
        </is>
      </c>
      <c r="C1702" s="40" t="n">
        <v>429</v>
      </c>
      <c r="D1702" s="40" t="inlineStr">
        <is>
          <t>Route page</t>
        </is>
      </c>
      <c r="E1702" s="40" t="inlineStr">
        <is>
          <t>Direct</t>
        </is>
      </c>
      <c r="F1702" s="40" t="inlineStr">
        <is>
          <t>Desktop</t>
        </is>
      </c>
      <c r="G1702" s="40" t="inlineStr">
        <is>
          <t>Switzerland</t>
        </is>
      </c>
      <c r="H1702" s="40" t="n">
        <v>22</v>
      </c>
      <c r="I1702" s="40" t="inlineStr">
        <is>
          <t>Start Search</t>
        </is>
      </c>
      <c r="J1702" s="40" t="inlineStr">
        <is>
          <t>1-23 August 2026</t>
        </is>
      </c>
      <c r="K1702" s="55" t="n">
        <v>26</v>
      </c>
      <c r="L1702" s="40" t="inlineStr">
        <is>
          <t>Completeness only</t>
        </is>
      </c>
      <c r="M1702" s="40">
        <f>IF(Countries!J429="","STILL MISSING","Filled ✓")</f>
        <v/>
      </c>
    </row>
    <row r="1703">
      <c r="A1703" s="56" t="inlineStr">
        <is>
          <t>Countries</t>
        </is>
      </c>
      <c r="B1703" s="56" t="inlineStr">
        <is>
          <t>AD87</t>
        </is>
      </c>
      <c r="C1703" s="56" t="n">
        <v>87</v>
      </c>
      <c r="D1703" s="56" t="inlineStr">
        <is>
          <t>All landing pages</t>
        </is>
      </c>
      <c r="E1703" s="56" t="inlineStr">
        <is>
          <t>Direct</t>
        </is>
      </c>
      <c r="F1703" s="56" t="inlineStr">
        <is>
          <t>Mobile</t>
        </is>
      </c>
      <c r="G1703" s="56" t="inlineStr">
        <is>
          <t>(not set)</t>
        </is>
      </c>
      <c r="H1703" s="56" t="n">
        <v>23</v>
      </c>
      <c r="I1703" s="56" t="inlineStr">
        <is>
          <t>Add to cart</t>
        </is>
      </c>
      <c r="J1703" s="56" t="inlineStr">
        <is>
          <t>1-23 August 2025</t>
        </is>
      </c>
      <c r="K1703" s="57" t="n">
        <v>389</v>
      </c>
      <c r="L1703" s="56" t="inlineStr">
        <is>
          <t>Completeness only</t>
        </is>
      </c>
      <c r="M1703" s="40">
        <f>IF(Countries!AD87="","STILL MISSING","Filled ✓")</f>
        <v/>
      </c>
    </row>
    <row r="1704">
      <c r="A1704" s="40" t="inlineStr">
        <is>
          <t>Countries</t>
        </is>
      </c>
      <c r="B1704" s="40" t="inlineStr">
        <is>
          <t>AE87</t>
        </is>
      </c>
      <c r="C1704" s="40" t="n">
        <v>87</v>
      </c>
      <c r="D1704" s="40" t="inlineStr">
        <is>
          <t>All landing pages</t>
        </is>
      </c>
      <c r="E1704" s="40" t="inlineStr">
        <is>
          <t>Direct</t>
        </is>
      </c>
      <c r="F1704" s="40" t="inlineStr">
        <is>
          <t>Mobile</t>
        </is>
      </c>
      <c r="G1704" s="40" t="inlineStr">
        <is>
          <t>(not set)</t>
        </is>
      </c>
      <c r="H1704" s="40" t="n">
        <v>23</v>
      </c>
      <c r="I1704" s="40" t="inlineStr">
        <is>
          <t>Add to cart</t>
        </is>
      </c>
      <c r="J1704" s="40" t="inlineStr">
        <is>
          <t>1-23 August 2026</t>
        </is>
      </c>
      <c r="K1704" s="55" t="n">
        <v>389</v>
      </c>
      <c r="L1704" s="40" t="inlineStr">
        <is>
          <t>Completeness only</t>
        </is>
      </c>
      <c r="M1704" s="40">
        <f>IF(Countries!AE87="","STILL MISSING","Filled ✓")</f>
        <v/>
      </c>
    </row>
    <row r="1705">
      <c r="A1705" s="56" t="inlineStr">
        <is>
          <t>Countries</t>
        </is>
      </c>
      <c r="B1705" s="56" t="inlineStr">
        <is>
          <t>AK87</t>
        </is>
      </c>
      <c r="C1705" s="56" t="n">
        <v>87</v>
      </c>
      <c r="D1705" s="56" t="inlineStr">
        <is>
          <t>All landing pages</t>
        </is>
      </c>
      <c r="E1705" s="56" t="inlineStr">
        <is>
          <t>Direct</t>
        </is>
      </c>
      <c r="F1705" s="56" t="inlineStr">
        <is>
          <t>Mobile</t>
        </is>
      </c>
      <c r="G1705" s="56" t="inlineStr">
        <is>
          <t>(not set)</t>
        </is>
      </c>
      <c r="H1705" s="56" t="n">
        <v>23</v>
      </c>
      <c r="I1705" s="56" t="inlineStr">
        <is>
          <t>Begin checkout</t>
        </is>
      </c>
      <c r="J1705" s="56" t="inlineStr">
        <is>
          <t>1-23 August 2025</t>
        </is>
      </c>
      <c r="K1705" s="57" t="n">
        <v>389</v>
      </c>
      <c r="L1705" s="56" t="inlineStr">
        <is>
          <t>Completeness only</t>
        </is>
      </c>
      <c r="M1705" s="40">
        <f>IF(Countries!AK87="","STILL MISSING","Filled ✓")</f>
        <v/>
      </c>
    </row>
    <row r="1706">
      <c r="A1706" s="40" t="inlineStr">
        <is>
          <t>Countries</t>
        </is>
      </c>
      <c r="B1706" s="40" t="inlineStr">
        <is>
          <t>AL87</t>
        </is>
      </c>
      <c r="C1706" s="40" t="n">
        <v>87</v>
      </c>
      <c r="D1706" s="40" t="inlineStr">
        <is>
          <t>All landing pages</t>
        </is>
      </c>
      <c r="E1706" s="40" t="inlineStr">
        <is>
          <t>Direct</t>
        </is>
      </c>
      <c r="F1706" s="40" t="inlineStr">
        <is>
          <t>Mobile</t>
        </is>
      </c>
      <c r="G1706" s="40" t="inlineStr">
        <is>
          <t>(not set)</t>
        </is>
      </c>
      <c r="H1706" s="40" t="n">
        <v>23</v>
      </c>
      <c r="I1706" s="40" t="inlineStr">
        <is>
          <t>Begin checkout</t>
        </is>
      </c>
      <c r="J1706" s="40" t="inlineStr">
        <is>
          <t>1-23 August 2026</t>
        </is>
      </c>
      <c r="K1706" s="55" t="n">
        <v>389</v>
      </c>
      <c r="L1706" s="40" t="inlineStr">
        <is>
          <t>Completeness only</t>
        </is>
      </c>
      <c r="M1706" s="40">
        <f>IF(Countries!AL87="","STILL MISSING","Filled ✓")</f>
        <v/>
      </c>
    </row>
    <row r="1707">
      <c r="A1707" s="56" t="inlineStr">
        <is>
          <t>Countries</t>
        </is>
      </c>
      <c r="B1707" s="56" t="inlineStr">
        <is>
          <t>AS87</t>
        </is>
      </c>
      <c r="C1707" s="56" t="n">
        <v>87</v>
      </c>
      <c r="D1707" s="56" t="inlineStr">
        <is>
          <t>All landing pages</t>
        </is>
      </c>
      <c r="E1707" s="56" t="inlineStr">
        <is>
          <t>Direct</t>
        </is>
      </c>
      <c r="F1707" s="56" t="inlineStr">
        <is>
          <t>Mobile</t>
        </is>
      </c>
      <c r="G1707" s="56" t="inlineStr">
        <is>
          <t>(not set)</t>
        </is>
      </c>
      <c r="H1707" s="56" t="n">
        <v>23</v>
      </c>
      <c r="I1707" s="56" t="inlineStr">
        <is>
          <t>Purchases</t>
        </is>
      </c>
      <c r="J1707" s="56" t="inlineStr">
        <is>
          <t>1-23 August 2026</t>
        </is>
      </c>
      <c r="K1707" s="57" t="n">
        <v>389</v>
      </c>
      <c r="L1707" s="56" t="inlineStr">
        <is>
          <t>Completeness only</t>
        </is>
      </c>
      <c r="M1707" s="40">
        <f>IF(Countries!AS87="","STILL MISSING","Filled ✓")</f>
        <v/>
      </c>
    </row>
    <row r="1708">
      <c r="A1708" s="40" t="inlineStr">
        <is>
          <t>Countries</t>
        </is>
      </c>
      <c r="B1708" s="40" t="inlineStr">
        <is>
          <t>Q87</t>
        </is>
      </c>
      <c r="C1708" s="40" t="n">
        <v>87</v>
      </c>
      <c r="D1708" s="40" t="inlineStr">
        <is>
          <t>All landing pages</t>
        </is>
      </c>
      <c r="E1708" s="40" t="inlineStr">
        <is>
          <t>Direct</t>
        </is>
      </c>
      <c r="F1708" s="40" t="inlineStr">
        <is>
          <t>Mobile</t>
        </is>
      </c>
      <c r="G1708" s="40" t="inlineStr">
        <is>
          <t>(not set)</t>
        </is>
      </c>
      <c r="H1708" s="40" t="n">
        <v>23</v>
      </c>
      <c r="I1708" s="40" t="inlineStr">
        <is>
          <t>Searches</t>
        </is>
      </c>
      <c r="J1708" s="40" t="inlineStr">
        <is>
          <t>1-23 August 2026</t>
        </is>
      </c>
      <c r="K1708" s="55" t="n">
        <v>389</v>
      </c>
      <c r="L1708" s="40" t="inlineStr">
        <is>
          <t>Completeness only</t>
        </is>
      </c>
      <c r="M1708" s="40">
        <f>IF(Countries!Q87="","STILL MISSING","Filled ✓")</f>
        <v/>
      </c>
    </row>
    <row r="1709">
      <c r="A1709" s="56" t="inlineStr">
        <is>
          <t>Countries</t>
        </is>
      </c>
      <c r="B1709" s="56" t="inlineStr">
        <is>
          <t>W87</t>
        </is>
      </c>
      <c r="C1709" s="56" t="n">
        <v>87</v>
      </c>
      <c r="D1709" s="56" t="inlineStr">
        <is>
          <t>All landing pages</t>
        </is>
      </c>
      <c r="E1709" s="56" t="inlineStr">
        <is>
          <t>Direct</t>
        </is>
      </c>
      <c r="F1709" s="56" t="inlineStr">
        <is>
          <t>Mobile</t>
        </is>
      </c>
      <c r="G1709" s="56" t="inlineStr">
        <is>
          <t>(not set)</t>
        </is>
      </c>
      <c r="H1709" s="56" t="n">
        <v>23</v>
      </c>
      <c r="I1709" s="56" t="inlineStr">
        <is>
          <t>Select item</t>
        </is>
      </c>
      <c r="J1709" s="56" t="inlineStr">
        <is>
          <t>1-23 August 2025</t>
        </is>
      </c>
      <c r="K1709" s="57" t="n">
        <v>389</v>
      </c>
      <c r="L1709" s="56" t="inlineStr">
        <is>
          <t>Completeness only</t>
        </is>
      </c>
      <c r="M1709" s="40">
        <f>IF(Countries!W87="","STILL MISSING","Filled ✓")</f>
        <v/>
      </c>
    </row>
    <row r="1710">
      <c r="A1710" s="40" t="inlineStr">
        <is>
          <t>Countries</t>
        </is>
      </c>
      <c r="B1710" s="40" t="inlineStr">
        <is>
          <t>X87</t>
        </is>
      </c>
      <c r="C1710" s="40" t="n">
        <v>87</v>
      </c>
      <c r="D1710" s="40" t="inlineStr">
        <is>
          <t>All landing pages</t>
        </is>
      </c>
      <c r="E1710" s="40" t="inlineStr">
        <is>
          <t>Direct</t>
        </is>
      </c>
      <c r="F1710" s="40" t="inlineStr">
        <is>
          <t>Mobile</t>
        </is>
      </c>
      <c r="G1710" s="40" t="inlineStr">
        <is>
          <t>(not set)</t>
        </is>
      </c>
      <c r="H1710" s="40" t="n">
        <v>23</v>
      </c>
      <c r="I1710" s="40" t="inlineStr">
        <is>
          <t>Select item</t>
        </is>
      </c>
      <c r="J1710" s="40" t="inlineStr">
        <is>
          <t>1-23 August 2026</t>
        </is>
      </c>
      <c r="K1710" s="55" t="n">
        <v>389</v>
      </c>
      <c r="L1710" s="40" t="inlineStr">
        <is>
          <t>Completeness only</t>
        </is>
      </c>
      <c r="M1710" s="40">
        <f>IF(Countries!X87="","STILL MISSING","Filled ✓")</f>
        <v/>
      </c>
    </row>
    <row r="1711">
      <c r="A1711" s="56" t="inlineStr">
        <is>
          <t>Countries</t>
        </is>
      </c>
      <c r="B1711" s="56" t="inlineStr">
        <is>
          <t>J87</t>
        </is>
      </c>
      <c r="C1711" s="56" t="n">
        <v>87</v>
      </c>
      <c r="D1711" s="56" t="inlineStr">
        <is>
          <t>All landing pages</t>
        </is>
      </c>
      <c r="E1711" s="56" t="inlineStr">
        <is>
          <t>Direct</t>
        </is>
      </c>
      <c r="F1711" s="56" t="inlineStr">
        <is>
          <t>Mobile</t>
        </is>
      </c>
      <c r="G1711" s="56" t="inlineStr">
        <is>
          <t>(not set)</t>
        </is>
      </c>
      <c r="H1711" s="56" t="n">
        <v>23</v>
      </c>
      <c r="I1711" s="56" t="inlineStr">
        <is>
          <t>Start Search</t>
        </is>
      </c>
      <c r="J1711" s="56" t="inlineStr">
        <is>
          <t>1-23 August 2026</t>
        </is>
      </c>
      <c r="K1711" s="57" t="n">
        <v>389</v>
      </c>
      <c r="L1711" s="56" t="inlineStr">
        <is>
          <t>Completeness only</t>
        </is>
      </c>
      <c r="M1711" s="40">
        <f>IF(Countries!J87="","STILL MISSING","Filled ✓")</f>
        <v/>
      </c>
    </row>
    <row r="1712">
      <c r="A1712" s="40" t="inlineStr">
        <is>
          <t>Countries</t>
        </is>
      </c>
      <c r="B1712" s="40" t="inlineStr">
        <is>
          <t>AD301</t>
        </is>
      </c>
      <c r="C1712" s="40" t="n">
        <v>301</v>
      </c>
      <c r="D1712" s="40" t="inlineStr">
        <is>
          <t>Airport page</t>
        </is>
      </c>
      <c r="E1712" s="40" t="inlineStr">
        <is>
          <t>Direct</t>
        </is>
      </c>
      <c r="F1712" s="40" t="inlineStr">
        <is>
          <t>Mobile</t>
        </is>
      </c>
      <c r="G1712" s="40" t="inlineStr">
        <is>
          <t>(not set)</t>
        </is>
      </c>
      <c r="H1712" s="40" t="n">
        <v>23</v>
      </c>
      <c r="I1712" s="40" t="inlineStr">
        <is>
          <t>Add to cart</t>
        </is>
      </c>
      <c r="J1712" s="40" t="inlineStr">
        <is>
          <t>1-23 August 2025</t>
        </is>
      </c>
      <c r="K1712" s="55" t="n">
        <v>40</v>
      </c>
      <c r="L1712" s="40" t="inlineStr">
        <is>
          <t>Completeness only</t>
        </is>
      </c>
      <c r="M1712" s="40">
        <f>IF(Countries!AD301="","STILL MISSING","Filled ✓")</f>
        <v/>
      </c>
    </row>
    <row r="1713">
      <c r="A1713" s="56" t="inlineStr">
        <is>
          <t>Countries</t>
        </is>
      </c>
      <c r="B1713" s="56" t="inlineStr">
        <is>
          <t>AE301</t>
        </is>
      </c>
      <c r="C1713" s="56" t="n">
        <v>301</v>
      </c>
      <c r="D1713" s="56" t="inlineStr">
        <is>
          <t>Airport page</t>
        </is>
      </c>
      <c r="E1713" s="56" t="inlineStr">
        <is>
          <t>Direct</t>
        </is>
      </c>
      <c r="F1713" s="56" t="inlineStr">
        <is>
          <t>Mobile</t>
        </is>
      </c>
      <c r="G1713" s="56" t="inlineStr">
        <is>
          <t>(not set)</t>
        </is>
      </c>
      <c r="H1713" s="56" t="n">
        <v>23</v>
      </c>
      <c r="I1713" s="56" t="inlineStr">
        <is>
          <t>Add to cart</t>
        </is>
      </c>
      <c r="J1713" s="56" t="inlineStr">
        <is>
          <t>1-23 August 2026</t>
        </is>
      </c>
      <c r="K1713" s="57" t="n">
        <v>40</v>
      </c>
      <c r="L1713" s="56" t="inlineStr">
        <is>
          <t>Completeness only</t>
        </is>
      </c>
      <c r="M1713" s="40">
        <f>IF(Countries!AE301="","STILL MISSING","Filled ✓")</f>
        <v/>
      </c>
    </row>
    <row r="1714">
      <c r="A1714" s="40" t="inlineStr">
        <is>
          <t>Countries</t>
        </is>
      </c>
      <c r="B1714" s="40" t="inlineStr">
        <is>
          <t>AK301</t>
        </is>
      </c>
      <c r="C1714" s="40" t="n">
        <v>301</v>
      </c>
      <c r="D1714" s="40" t="inlineStr">
        <is>
          <t>Airport page</t>
        </is>
      </c>
      <c r="E1714" s="40" t="inlineStr">
        <is>
          <t>Direct</t>
        </is>
      </c>
      <c r="F1714" s="40" t="inlineStr">
        <is>
          <t>Mobile</t>
        </is>
      </c>
      <c r="G1714" s="40" t="inlineStr">
        <is>
          <t>(not set)</t>
        </is>
      </c>
      <c r="H1714" s="40" t="n">
        <v>23</v>
      </c>
      <c r="I1714" s="40" t="inlineStr">
        <is>
          <t>Begin checkout</t>
        </is>
      </c>
      <c r="J1714" s="40" t="inlineStr">
        <is>
          <t>1-23 August 2025</t>
        </is>
      </c>
      <c r="K1714" s="55" t="n">
        <v>40</v>
      </c>
      <c r="L1714" s="40" t="inlineStr">
        <is>
          <t>Completeness only</t>
        </is>
      </c>
      <c r="M1714" s="40">
        <f>IF(Countries!AK301="","STILL MISSING","Filled ✓")</f>
        <v/>
      </c>
    </row>
    <row r="1715">
      <c r="A1715" s="56" t="inlineStr">
        <is>
          <t>Countries</t>
        </is>
      </c>
      <c r="B1715" s="56" t="inlineStr">
        <is>
          <t>AL301</t>
        </is>
      </c>
      <c r="C1715" s="56" t="n">
        <v>301</v>
      </c>
      <c r="D1715" s="56" t="inlineStr">
        <is>
          <t>Airport page</t>
        </is>
      </c>
      <c r="E1715" s="56" t="inlineStr">
        <is>
          <t>Direct</t>
        </is>
      </c>
      <c r="F1715" s="56" t="inlineStr">
        <is>
          <t>Mobile</t>
        </is>
      </c>
      <c r="G1715" s="56" t="inlineStr">
        <is>
          <t>(not set)</t>
        </is>
      </c>
      <c r="H1715" s="56" t="n">
        <v>23</v>
      </c>
      <c r="I1715" s="56" t="inlineStr">
        <is>
          <t>Begin checkout</t>
        </is>
      </c>
      <c r="J1715" s="56" t="inlineStr">
        <is>
          <t>1-23 August 2026</t>
        </is>
      </c>
      <c r="K1715" s="57" t="n">
        <v>40</v>
      </c>
      <c r="L1715" s="56" t="inlineStr">
        <is>
          <t>Completeness only</t>
        </is>
      </c>
      <c r="M1715" s="40">
        <f>IF(Countries!AL301="","STILL MISSING","Filled ✓")</f>
        <v/>
      </c>
    </row>
    <row r="1716">
      <c r="A1716" s="40" t="inlineStr">
        <is>
          <t>Countries</t>
        </is>
      </c>
      <c r="B1716" s="40" t="inlineStr">
        <is>
          <t>AS301</t>
        </is>
      </c>
      <c r="C1716" s="40" t="n">
        <v>301</v>
      </c>
      <c r="D1716" s="40" t="inlineStr">
        <is>
          <t>Airport page</t>
        </is>
      </c>
      <c r="E1716" s="40" t="inlineStr">
        <is>
          <t>Direct</t>
        </is>
      </c>
      <c r="F1716" s="40" t="inlineStr">
        <is>
          <t>Mobile</t>
        </is>
      </c>
      <c r="G1716" s="40" t="inlineStr">
        <is>
          <t>(not set)</t>
        </is>
      </c>
      <c r="H1716" s="40" t="n">
        <v>23</v>
      </c>
      <c r="I1716" s="40" t="inlineStr">
        <is>
          <t>Purchases</t>
        </is>
      </c>
      <c r="J1716" s="40" t="inlineStr">
        <is>
          <t>1-23 August 2026</t>
        </is>
      </c>
      <c r="K1716" s="55" t="n">
        <v>40</v>
      </c>
      <c r="L1716" s="40" t="inlineStr">
        <is>
          <t>Completeness only</t>
        </is>
      </c>
      <c r="M1716" s="40">
        <f>IF(Countries!AS301="","STILL MISSING","Filled ✓")</f>
        <v/>
      </c>
    </row>
    <row r="1717">
      <c r="A1717" s="56" t="inlineStr">
        <is>
          <t>Countries</t>
        </is>
      </c>
      <c r="B1717" s="56" t="inlineStr">
        <is>
          <t>Q301</t>
        </is>
      </c>
      <c r="C1717" s="56" t="n">
        <v>301</v>
      </c>
      <c r="D1717" s="56" t="inlineStr">
        <is>
          <t>Airport page</t>
        </is>
      </c>
      <c r="E1717" s="56" t="inlineStr">
        <is>
          <t>Direct</t>
        </is>
      </c>
      <c r="F1717" s="56" t="inlineStr">
        <is>
          <t>Mobile</t>
        </is>
      </c>
      <c r="G1717" s="56" t="inlineStr">
        <is>
          <t>(not set)</t>
        </is>
      </c>
      <c r="H1717" s="56" t="n">
        <v>23</v>
      </c>
      <c r="I1717" s="56" t="inlineStr">
        <is>
          <t>Searches</t>
        </is>
      </c>
      <c r="J1717" s="56" t="inlineStr">
        <is>
          <t>1-23 August 2026</t>
        </is>
      </c>
      <c r="K1717" s="57" t="n">
        <v>40</v>
      </c>
      <c r="L1717" s="56" t="inlineStr">
        <is>
          <t>Completeness only</t>
        </is>
      </c>
      <c r="M1717" s="40">
        <f>IF(Countries!Q301="","STILL MISSING","Filled ✓")</f>
        <v/>
      </c>
    </row>
    <row r="1718">
      <c r="A1718" s="40" t="inlineStr">
        <is>
          <t>Countries</t>
        </is>
      </c>
      <c r="B1718" s="40" t="inlineStr">
        <is>
          <t>W301</t>
        </is>
      </c>
      <c r="C1718" s="40" t="n">
        <v>301</v>
      </c>
      <c r="D1718" s="40" t="inlineStr">
        <is>
          <t>Airport page</t>
        </is>
      </c>
      <c r="E1718" s="40" t="inlineStr">
        <is>
          <t>Direct</t>
        </is>
      </c>
      <c r="F1718" s="40" t="inlineStr">
        <is>
          <t>Mobile</t>
        </is>
      </c>
      <c r="G1718" s="40" t="inlineStr">
        <is>
          <t>(not set)</t>
        </is>
      </c>
      <c r="H1718" s="40" t="n">
        <v>23</v>
      </c>
      <c r="I1718" s="40" t="inlineStr">
        <is>
          <t>Select item</t>
        </is>
      </c>
      <c r="J1718" s="40" t="inlineStr">
        <is>
          <t>1-23 August 2025</t>
        </is>
      </c>
      <c r="K1718" s="55" t="n">
        <v>40</v>
      </c>
      <c r="L1718" s="40" t="inlineStr">
        <is>
          <t>Completeness only</t>
        </is>
      </c>
      <c r="M1718" s="40">
        <f>IF(Countries!W301="","STILL MISSING","Filled ✓")</f>
        <v/>
      </c>
    </row>
    <row r="1719">
      <c r="A1719" s="56" t="inlineStr">
        <is>
          <t>Countries</t>
        </is>
      </c>
      <c r="B1719" s="56" t="inlineStr">
        <is>
          <t>X301</t>
        </is>
      </c>
      <c r="C1719" s="56" t="n">
        <v>301</v>
      </c>
      <c r="D1719" s="56" t="inlineStr">
        <is>
          <t>Airport page</t>
        </is>
      </c>
      <c r="E1719" s="56" t="inlineStr">
        <is>
          <t>Direct</t>
        </is>
      </c>
      <c r="F1719" s="56" t="inlineStr">
        <is>
          <t>Mobile</t>
        </is>
      </c>
      <c r="G1719" s="56" t="inlineStr">
        <is>
          <t>(not set)</t>
        </is>
      </c>
      <c r="H1719" s="56" t="n">
        <v>23</v>
      </c>
      <c r="I1719" s="56" t="inlineStr">
        <is>
          <t>Select item</t>
        </is>
      </c>
      <c r="J1719" s="56" t="inlineStr">
        <is>
          <t>1-23 August 2026</t>
        </is>
      </c>
      <c r="K1719" s="57" t="n">
        <v>40</v>
      </c>
      <c r="L1719" s="56" t="inlineStr">
        <is>
          <t>Completeness only</t>
        </is>
      </c>
      <c r="M1719" s="40">
        <f>IF(Countries!X301="","STILL MISSING","Filled ✓")</f>
        <v/>
      </c>
    </row>
    <row r="1720">
      <c r="A1720" s="40" t="inlineStr">
        <is>
          <t>Countries</t>
        </is>
      </c>
      <c r="B1720" s="40" t="inlineStr">
        <is>
          <t>J301</t>
        </is>
      </c>
      <c r="C1720" s="40" t="n">
        <v>301</v>
      </c>
      <c r="D1720" s="40" t="inlineStr">
        <is>
          <t>Airport page</t>
        </is>
      </c>
      <c r="E1720" s="40" t="inlineStr">
        <is>
          <t>Direct</t>
        </is>
      </c>
      <c r="F1720" s="40" t="inlineStr">
        <is>
          <t>Mobile</t>
        </is>
      </c>
      <c r="G1720" s="40" t="inlineStr">
        <is>
          <t>(not set)</t>
        </is>
      </c>
      <c r="H1720" s="40" t="n">
        <v>23</v>
      </c>
      <c r="I1720" s="40" t="inlineStr">
        <is>
          <t>Start Search</t>
        </is>
      </c>
      <c r="J1720" s="40" t="inlineStr">
        <is>
          <t>1-23 August 2026</t>
        </is>
      </c>
      <c r="K1720" s="55" t="n">
        <v>40</v>
      </c>
      <c r="L1720" s="40" t="inlineStr">
        <is>
          <t>Completeness only</t>
        </is>
      </c>
      <c r="M1720" s="40">
        <f>IF(Countries!J301="","STILL MISSING","Filled ✓")</f>
        <v/>
      </c>
    </row>
    <row r="1721">
      <c r="A1721" s="56" t="inlineStr">
        <is>
          <t>Countries</t>
        </is>
      </c>
      <c r="B1721" s="56" t="inlineStr">
        <is>
          <t>AD409</t>
        </is>
      </c>
      <c r="C1721" s="56" t="n">
        <v>409</v>
      </c>
      <c r="D1721" s="56" t="inlineStr">
        <is>
          <t>Route page</t>
        </is>
      </c>
      <c r="E1721" s="56" t="inlineStr">
        <is>
          <t>Direct</t>
        </is>
      </c>
      <c r="F1721" s="56" t="inlineStr">
        <is>
          <t>Mobile</t>
        </is>
      </c>
      <c r="G1721" s="56" t="inlineStr">
        <is>
          <t>(not set)</t>
        </is>
      </c>
      <c r="H1721" s="56" t="n">
        <v>23</v>
      </c>
      <c r="I1721" s="56" t="inlineStr">
        <is>
          <t>Add to cart</t>
        </is>
      </c>
      <c r="J1721" s="56" t="inlineStr">
        <is>
          <t>1-23 August 2025</t>
        </is>
      </c>
      <c r="K1721" s="57" t="n">
        <v>62</v>
      </c>
      <c r="L1721" s="56" t="inlineStr">
        <is>
          <t>Completeness only</t>
        </is>
      </c>
      <c r="M1721" s="40">
        <f>IF(Countries!AD409="","STILL MISSING","Filled ✓")</f>
        <v/>
      </c>
    </row>
    <row r="1722">
      <c r="A1722" s="40" t="inlineStr">
        <is>
          <t>Countries</t>
        </is>
      </c>
      <c r="B1722" s="40" t="inlineStr">
        <is>
          <t>AE409</t>
        </is>
      </c>
      <c r="C1722" s="40" t="n">
        <v>409</v>
      </c>
      <c r="D1722" s="40" t="inlineStr">
        <is>
          <t>Route page</t>
        </is>
      </c>
      <c r="E1722" s="40" t="inlineStr">
        <is>
          <t>Direct</t>
        </is>
      </c>
      <c r="F1722" s="40" t="inlineStr">
        <is>
          <t>Mobile</t>
        </is>
      </c>
      <c r="G1722" s="40" t="inlineStr">
        <is>
          <t>(not set)</t>
        </is>
      </c>
      <c r="H1722" s="40" t="n">
        <v>23</v>
      </c>
      <c r="I1722" s="40" t="inlineStr">
        <is>
          <t>Add to cart</t>
        </is>
      </c>
      <c r="J1722" s="40" t="inlineStr">
        <is>
          <t>1-23 August 2026</t>
        </is>
      </c>
      <c r="K1722" s="55" t="n">
        <v>62</v>
      </c>
      <c r="L1722" s="40" t="inlineStr">
        <is>
          <t>Completeness only</t>
        </is>
      </c>
      <c r="M1722" s="40">
        <f>IF(Countries!AE409="","STILL MISSING","Filled ✓")</f>
        <v/>
      </c>
    </row>
    <row r="1723">
      <c r="A1723" s="56" t="inlineStr">
        <is>
          <t>Countries</t>
        </is>
      </c>
      <c r="B1723" s="56" t="inlineStr">
        <is>
          <t>AK409</t>
        </is>
      </c>
      <c r="C1723" s="56" t="n">
        <v>409</v>
      </c>
      <c r="D1723" s="56" t="inlineStr">
        <is>
          <t>Route page</t>
        </is>
      </c>
      <c r="E1723" s="56" t="inlineStr">
        <is>
          <t>Direct</t>
        </is>
      </c>
      <c r="F1723" s="56" t="inlineStr">
        <is>
          <t>Mobile</t>
        </is>
      </c>
      <c r="G1723" s="56" t="inlineStr">
        <is>
          <t>(not set)</t>
        </is>
      </c>
      <c r="H1723" s="56" t="n">
        <v>23</v>
      </c>
      <c r="I1723" s="56" t="inlineStr">
        <is>
          <t>Begin checkout</t>
        </is>
      </c>
      <c r="J1723" s="56" t="inlineStr">
        <is>
          <t>1-23 August 2025</t>
        </is>
      </c>
      <c r="K1723" s="57" t="n">
        <v>62</v>
      </c>
      <c r="L1723" s="56" t="inlineStr">
        <is>
          <t>Completeness only</t>
        </is>
      </c>
      <c r="M1723" s="40">
        <f>IF(Countries!AK409="","STILL MISSING","Filled ✓")</f>
        <v/>
      </c>
    </row>
    <row r="1724">
      <c r="A1724" s="40" t="inlineStr">
        <is>
          <t>Countries</t>
        </is>
      </c>
      <c r="B1724" s="40" t="inlineStr">
        <is>
          <t>AL409</t>
        </is>
      </c>
      <c r="C1724" s="40" t="n">
        <v>409</v>
      </c>
      <c r="D1724" s="40" t="inlineStr">
        <is>
          <t>Route page</t>
        </is>
      </c>
      <c r="E1724" s="40" t="inlineStr">
        <is>
          <t>Direct</t>
        </is>
      </c>
      <c r="F1724" s="40" t="inlineStr">
        <is>
          <t>Mobile</t>
        </is>
      </c>
      <c r="G1724" s="40" t="inlineStr">
        <is>
          <t>(not set)</t>
        </is>
      </c>
      <c r="H1724" s="40" t="n">
        <v>23</v>
      </c>
      <c r="I1724" s="40" t="inlineStr">
        <is>
          <t>Begin checkout</t>
        </is>
      </c>
      <c r="J1724" s="40" t="inlineStr">
        <is>
          <t>1-23 August 2026</t>
        </is>
      </c>
      <c r="K1724" s="55" t="n">
        <v>62</v>
      </c>
      <c r="L1724" s="40" t="inlineStr">
        <is>
          <t>Completeness only</t>
        </is>
      </c>
      <c r="M1724" s="40">
        <f>IF(Countries!AL409="","STILL MISSING","Filled ✓")</f>
        <v/>
      </c>
    </row>
    <row r="1725">
      <c r="A1725" s="56" t="inlineStr">
        <is>
          <t>Countries</t>
        </is>
      </c>
      <c r="B1725" s="56" t="inlineStr">
        <is>
          <t>AS409</t>
        </is>
      </c>
      <c r="C1725" s="56" t="n">
        <v>409</v>
      </c>
      <c r="D1725" s="56" t="inlineStr">
        <is>
          <t>Route page</t>
        </is>
      </c>
      <c r="E1725" s="56" t="inlineStr">
        <is>
          <t>Direct</t>
        </is>
      </c>
      <c r="F1725" s="56" t="inlineStr">
        <is>
          <t>Mobile</t>
        </is>
      </c>
      <c r="G1725" s="56" t="inlineStr">
        <is>
          <t>(not set)</t>
        </is>
      </c>
      <c r="H1725" s="56" t="n">
        <v>23</v>
      </c>
      <c r="I1725" s="56" t="inlineStr">
        <is>
          <t>Purchases</t>
        </is>
      </c>
      <c r="J1725" s="56" t="inlineStr">
        <is>
          <t>1-23 August 2026</t>
        </is>
      </c>
      <c r="K1725" s="57" t="n">
        <v>62</v>
      </c>
      <c r="L1725" s="56" t="inlineStr">
        <is>
          <t>Completeness only</t>
        </is>
      </c>
      <c r="M1725" s="40">
        <f>IF(Countries!AS409="","STILL MISSING","Filled ✓")</f>
        <v/>
      </c>
    </row>
    <row r="1726">
      <c r="A1726" s="40" t="inlineStr">
        <is>
          <t>Countries</t>
        </is>
      </c>
      <c r="B1726" s="40" t="inlineStr">
        <is>
          <t>Q409</t>
        </is>
      </c>
      <c r="C1726" s="40" t="n">
        <v>409</v>
      </c>
      <c r="D1726" s="40" t="inlineStr">
        <is>
          <t>Route page</t>
        </is>
      </c>
      <c r="E1726" s="40" t="inlineStr">
        <is>
          <t>Direct</t>
        </is>
      </c>
      <c r="F1726" s="40" t="inlineStr">
        <is>
          <t>Mobile</t>
        </is>
      </c>
      <c r="G1726" s="40" t="inlineStr">
        <is>
          <t>(not set)</t>
        </is>
      </c>
      <c r="H1726" s="40" t="n">
        <v>23</v>
      </c>
      <c r="I1726" s="40" t="inlineStr">
        <is>
          <t>Searches</t>
        </is>
      </c>
      <c r="J1726" s="40" t="inlineStr">
        <is>
          <t>1-23 August 2026</t>
        </is>
      </c>
      <c r="K1726" s="55" t="n">
        <v>62</v>
      </c>
      <c r="L1726" s="40" t="inlineStr">
        <is>
          <t>Completeness only</t>
        </is>
      </c>
      <c r="M1726" s="40">
        <f>IF(Countries!Q409="","STILL MISSING","Filled ✓")</f>
        <v/>
      </c>
    </row>
    <row r="1727">
      <c r="A1727" s="56" t="inlineStr">
        <is>
          <t>Countries</t>
        </is>
      </c>
      <c r="B1727" s="56" t="inlineStr">
        <is>
          <t>W409</t>
        </is>
      </c>
      <c r="C1727" s="56" t="n">
        <v>409</v>
      </c>
      <c r="D1727" s="56" t="inlineStr">
        <is>
          <t>Route page</t>
        </is>
      </c>
      <c r="E1727" s="56" t="inlineStr">
        <is>
          <t>Direct</t>
        </is>
      </c>
      <c r="F1727" s="56" t="inlineStr">
        <is>
          <t>Mobile</t>
        </is>
      </c>
      <c r="G1727" s="56" t="inlineStr">
        <is>
          <t>(not set)</t>
        </is>
      </c>
      <c r="H1727" s="56" t="n">
        <v>23</v>
      </c>
      <c r="I1727" s="56" t="inlineStr">
        <is>
          <t>Select item</t>
        </is>
      </c>
      <c r="J1727" s="56" t="inlineStr">
        <is>
          <t>1-23 August 2025</t>
        </is>
      </c>
      <c r="K1727" s="57" t="n">
        <v>62</v>
      </c>
      <c r="L1727" s="56" t="inlineStr">
        <is>
          <t>Completeness only</t>
        </is>
      </c>
      <c r="M1727" s="40">
        <f>IF(Countries!W409="","STILL MISSING","Filled ✓")</f>
        <v/>
      </c>
    </row>
    <row r="1728">
      <c r="A1728" s="40" t="inlineStr">
        <is>
          <t>Countries</t>
        </is>
      </c>
      <c r="B1728" s="40" t="inlineStr">
        <is>
          <t>X409</t>
        </is>
      </c>
      <c r="C1728" s="40" t="n">
        <v>409</v>
      </c>
      <c r="D1728" s="40" t="inlineStr">
        <is>
          <t>Route page</t>
        </is>
      </c>
      <c r="E1728" s="40" t="inlineStr">
        <is>
          <t>Direct</t>
        </is>
      </c>
      <c r="F1728" s="40" t="inlineStr">
        <is>
          <t>Mobile</t>
        </is>
      </c>
      <c r="G1728" s="40" t="inlineStr">
        <is>
          <t>(not set)</t>
        </is>
      </c>
      <c r="H1728" s="40" t="n">
        <v>23</v>
      </c>
      <c r="I1728" s="40" t="inlineStr">
        <is>
          <t>Select item</t>
        </is>
      </c>
      <c r="J1728" s="40" t="inlineStr">
        <is>
          <t>1-23 August 2026</t>
        </is>
      </c>
      <c r="K1728" s="55" t="n">
        <v>62</v>
      </c>
      <c r="L1728" s="40" t="inlineStr">
        <is>
          <t>Completeness only</t>
        </is>
      </c>
      <c r="M1728" s="40">
        <f>IF(Countries!X409="","STILL MISSING","Filled ✓")</f>
        <v/>
      </c>
    </row>
    <row r="1729">
      <c r="A1729" s="56" t="inlineStr">
        <is>
          <t>Countries</t>
        </is>
      </c>
      <c r="B1729" s="56" t="inlineStr">
        <is>
          <t>J409</t>
        </is>
      </c>
      <c r="C1729" s="56" t="n">
        <v>409</v>
      </c>
      <c r="D1729" s="56" t="inlineStr">
        <is>
          <t>Route page</t>
        </is>
      </c>
      <c r="E1729" s="56" t="inlineStr">
        <is>
          <t>Direct</t>
        </is>
      </c>
      <c r="F1729" s="56" t="inlineStr">
        <is>
          <t>Mobile</t>
        </is>
      </c>
      <c r="G1729" s="56" t="inlineStr">
        <is>
          <t>(not set)</t>
        </is>
      </c>
      <c r="H1729" s="56" t="n">
        <v>23</v>
      </c>
      <c r="I1729" s="56" t="inlineStr">
        <is>
          <t>Start Search</t>
        </is>
      </c>
      <c r="J1729" s="56" t="inlineStr">
        <is>
          <t>1-23 August 2026</t>
        </is>
      </c>
      <c r="K1729" s="57" t="n">
        <v>62</v>
      </c>
      <c r="L1729" s="56" t="inlineStr">
        <is>
          <t>Completeness only</t>
        </is>
      </c>
      <c r="M1729" s="40">
        <f>IF(Countries!J409="","STILL MISSING","Filled ✓")</f>
        <v/>
      </c>
    </row>
    <row r="1730">
      <c r="A1730" s="40" t="inlineStr">
        <is>
          <t>Countries</t>
        </is>
      </c>
      <c r="B1730" s="40" t="inlineStr">
        <is>
          <t>AD200</t>
        </is>
      </c>
      <c r="C1730" s="40" t="n">
        <v>200</v>
      </c>
      <c r="D1730" s="40" t="inlineStr">
        <is>
          <t>Home page</t>
        </is>
      </c>
      <c r="E1730" s="40" t="inlineStr">
        <is>
          <t>Direct</t>
        </is>
      </c>
      <c r="F1730" s="40" t="inlineStr">
        <is>
          <t>Mobile</t>
        </is>
      </c>
      <c r="G1730" s="40" t="inlineStr">
        <is>
          <t>Algeria</t>
        </is>
      </c>
      <c r="H1730" s="40" t="n">
        <v>24</v>
      </c>
      <c r="I1730" s="40" t="inlineStr">
        <is>
          <t>Add to cart</t>
        </is>
      </c>
      <c r="J1730" s="40" t="inlineStr">
        <is>
          <t>1-23 August 2025</t>
        </is>
      </c>
      <c r="K1730" s="55" t="n">
        <v>58</v>
      </c>
      <c r="L1730" s="40" t="inlineStr">
        <is>
          <t>Completeness only</t>
        </is>
      </c>
      <c r="M1730" s="40">
        <f>IF(Countries!AD200="","STILL MISSING","Filled ✓")</f>
        <v/>
      </c>
    </row>
    <row r="1731">
      <c r="A1731" s="56" t="inlineStr">
        <is>
          <t>Countries</t>
        </is>
      </c>
      <c r="B1731" s="56" t="inlineStr">
        <is>
          <t>AE200</t>
        </is>
      </c>
      <c r="C1731" s="56" t="n">
        <v>200</v>
      </c>
      <c r="D1731" s="56" t="inlineStr">
        <is>
          <t>Home page</t>
        </is>
      </c>
      <c r="E1731" s="56" t="inlineStr">
        <is>
          <t>Direct</t>
        </is>
      </c>
      <c r="F1731" s="56" t="inlineStr">
        <is>
          <t>Mobile</t>
        </is>
      </c>
      <c r="G1731" s="56" t="inlineStr">
        <is>
          <t>Algeria</t>
        </is>
      </c>
      <c r="H1731" s="56" t="n">
        <v>24</v>
      </c>
      <c r="I1731" s="56" t="inlineStr">
        <is>
          <t>Add to cart</t>
        </is>
      </c>
      <c r="J1731" s="56" t="inlineStr">
        <is>
          <t>1-23 August 2026</t>
        </is>
      </c>
      <c r="K1731" s="57" t="n">
        <v>58</v>
      </c>
      <c r="L1731" s="56" t="inlineStr">
        <is>
          <t>Completeness only</t>
        </is>
      </c>
      <c r="M1731" s="40">
        <f>IF(Countries!AE200="","STILL MISSING","Filled ✓")</f>
        <v/>
      </c>
    </row>
    <row r="1732">
      <c r="A1732" s="40" t="inlineStr">
        <is>
          <t>Countries</t>
        </is>
      </c>
      <c r="B1732" s="40" t="inlineStr">
        <is>
          <t>AK200</t>
        </is>
      </c>
      <c r="C1732" s="40" t="n">
        <v>200</v>
      </c>
      <c r="D1732" s="40" t="inlineStr">
        <is>
          <t>Home page</t>
        </is>
      </c>
      <c r="E1732" s="40" t="inlineStr">
        <is>
          <t>Direct</t>
        </is>
      </c>
      <c r="F1732" s="40" t="inlineStr">
        <is>
          <t>Mobile</t>
        </is>
      </c>
      <c r="G1732" s="40" t="inlineStr">
        <is>
          <t>Algeria</t>
        </is>
      </c>
      <c r="H1732" s="40" t="n">
        <v>24</v>
      </c>
      <c r="I1732" s="40" t="inlineStr">
        <is>
          <t>Begin checkout</t>
        </is>
      </c>
      <c r="J1732" s="40" t="inlineStr">
        <is>
          <t>1-23 August 2025</t>
        </is>
      </c>
      <c r="K1732" s="55" t="n">
        <v>58</v>
      </c>
      <c r="L1732" s="40" t="inlineStr">
        <is>
          <t>Completeness only</t>
        </is>
      </c>
      <c r="M1732" s="40">
        <f>IF(Countries!AK200="","STILL MISSING","Filled ✓")</f>
        <v/>
      </c>
    </row>
    <row r="1733">
      <c r="A1733" s="56" t="inlineStr">
        <is>
          <t>Countries</t>
        </is>
      </c>
      <c r="B1733" s="56" t="inlineStr">
        <is>
          <t>AL200</t>
        </is>
      </c>
      <c r="C1733" s="56" t="n">
        <v>200</v>
      </c>
      <c r="D1733" s="56" t="inlineStr">
        <is>
          <t>Home page</t>
        </is>
      </c>
      <c r="E1733" s="56" t="inlineStr">
        <is>
          <t>Direct</t>
        </is>
      </c>
      <c r="F1733" s="56" t="inlineStr">
        <is>
          <t>Mobile</t>
        </is>
      </c>
      <c r="G1733" s="56" t="inlineStr">
        <is>
          <t>Algeria</t>
        </is>
      </c>
      <c r="H1733" s="56" t="n">
        <v>24</v>
      </c>
      <c r="I1733" s="56" t="inlineStr">
        <is>
          <t>Begin checkout</t>
        </is>
      </c>
      <c r="J1733" s="56" t="inlineStr">
        <is>
          <t>1-23 August 2026</t>
        </is>
      </c>
      <c r="K1733" s="57" t="n">
        <v>58</v>
      </c>
      <c r="L1733" s="56" t="inlineStr">
        <is>
          <t>Completeness only</t>
        </is>
      </c>
      <c r="M1733" s="40">
        <f>IF(Countries!AL200="","STILL MISSING","Filled ✓")</f>
        <v/>
      </c>
    </row>
    <row r="1734">
      <c r="A1734" s="40" t="inlineStr">
        <is>
          <t>Countries</t>
        </is>
      </c>
      <c r="B1734" s="40" t="inlineStr">
        <is>
          <t>AR200</t>
        </is>
      </c>
      <c r="C1734" s="40" t="n">
        <v>200</v>
      </c>
      <c r="D1734" s="40" t="inlineStr">
        <is>
          <t>Home page</t>
        </is>
      </c>
      <c r="E1734" s="40" t="inlineStr">
        <is>
          <t>Direct</t>
        </is>
      </c>
      <c r="F1734" s="40" t="inlineStr">
        <is>
          <t>Mobile</t>
        </is>
      </c>
      <c r="G1734" s="40" t="inlineStr">
        <is>
          <t>Algeria</t>
        </is>
      </c>
      <c r="H1734" s="40" t="n">
        <v>24</v>
      </c>
      <c r="I1734" s="40" t="inlineStr">
        <is>
          <t>Purchases</t>
        </is>
      </c>
      <c r="J1734" s="40" t="inlineStr">
        <is>
          <t>1-23 August 2025</t>
        </is>
      </c>
      <c r="K1734" s="55" t="n">
        <v>58</v>
      </c>
      <c r="L1734" s="40" t="inlineStr">
        <is>
          <t>Completeness only</t>
        </is>
      </c>
      <c r="M1734" s="40">
        <f>IF(Countries!AR200="","STILL MISSING","Filled ✓")</f>
        <v/>
      </c>
    </row>
    <row r="1735">
      <c r="A1735" s="56" t="inlineStr">
        <is>
          <t>Countries</t>
        </is>
      </c>
      <c r="B1735" s="56" t="inlineStr">
        <is>
          <t>W200</t>
        </is>
      </c>
      <c r="C1735" s="56" t="n">
        <v>200</v>
      </c>
      <c r="D1735" s="56" t="inlineStr">
        <is>
          <t>Home page</t>
        </is>
      </c>
      <c r="E1735" s="56" t="inlineStr">
        <is>
          <t>Direct</t>
        </is>
      </c>
      <c r="F1735" s="56" t="inlineStr">
        <is>
          <t>Mobile</t>
        </is>
      </c>
      <c r="G1735" s="56" t="inlineStr">
        <is>
          <t>Algeria</t>
        </is>
      </c>
      <c r="H1735" s="56" t="n">
        <v>24</v>
      </c>
      <c r="I1735" s="56" t="inlineStr">
        <is>
          <t>Select item</t>
        </is>
      </c>
      <c r="J1735" s="56" t="inlineStr">
        <is>
          <t>1-23 August 2025</t>
        </is>
      </c>
      <c r="K1735" s="57" t="n">
        <v>58</v>
      </c>
      <c r="L1735" s="56" t="inlineStr">
        <is>
          <t>Completeness only</t>
        </is>
      </c>
      <c r="M1735" s="40">
        <f>IF(Countries!W200="","STILL MISSING","Filled ✓")</f>
        <v/>
      </c>
    </row>
    <row r="1736">
      <c r="A1736" s="40" t="inlineStr">
        <is>
          <t>Countries</t>
        </is>
      </c>
      <c r="B1736" s="40" t="inlineStr">
        <is>
          <t>E200</t>
        </is>
      </c>
      <c r="C1736" s="40" t="n">
        <v>200</v>
      </c>
      <c r="D1736" s="40" t="inlineStr">
        <is>
          <t>Home page</t>
        </is>
      </c>
      <c r="E1736" s="40" t="inlineStr">
        <is>
          <t>Direct</t>
        </is>
      </c>
      <c r="F1736" s="40" t="inlineStr">
        <is>
          <t>Mobile</t>
        </is>
      </c>
      <c r="G1736" s="40" t="inlineStr">
        <is>
          <t>Algeria</t>
        </is>
      </c>
      <c r="H1736" s="40" t="n">
        <v>24</v>
      </c>
      <c r="I1736" s="40" t="inlineStr">
        <is>
          <t>Sessions</t>
        </is>
      </c>
      <c r="J1736" s="40" t="inlineStr">
        <is>
          <t>1-23 August 2025</t>
        </is>
      </c>
      <c r="K1736" s="55" t="n">
        <v>58</v>
      </c>
      <c r="L1736" s="40" t="inlineStr">
        <is>
          <t>Completeness only</t>
        </is>
      </c>
      <c r="M1736" s="40">
        <f>IF(Countries!E200="","STILL MISSING","Filled ✓")</f>
        <v/>
      </c>
    </row>
    <row r="1737">
      <c r="A1737" s="56" t="inlineStr">
        <is>
          <t>Countries</t>
        </is>
      </c>
      <c r="B1737" s="56" t="inlineStr">
        <is>
          <t>I200</t>
        </is>
      </c>
      <c r="C1737" s="56" t="n">
        <v>200</v>
      </c>
      <c r="D1737" s="56" t="inlineStr">
        <is>
          <t>Home page</t>
        </is>
      </c>
      <c r="E1737" s="56" t="inlineStr">
        <is>
          <t>Direct</t>
        </is>
      </c>
      <c r="F1737" s="56" t="inlineStr">
        <is>
          <t>Mobile</t>
        </is>
      </c>
      <c r="G1737" s="56" t="inlineStr">
        <is>
          <t>Algeria</t>
        </is>
      </c>
      <c r="H1737" s="56" t="n">
        <v>24</v>
      </c>
      <c r="I1737" s="56" t="inlineStr">
        <is>
          <t>Start Search</t>
        </is>
      </c>
      <c r="J1737" s="56" t="inlineStr">
        <is>
          <t>1-23 August 2025</t>
        </is>
      </c>
      <c r="K1737" s="57" t="n">
        <v>58</v>
      </c>
      <c r="L1737" s="56" t="inlineStr">
        <is>
          <t>Completeness only</t>
        </is>
      </c>
      <c r="M1737" s="40">
        <f>IF(Countries!I200="","STILL MISSING","Filled ✓")</f>
        <v/>
      </c>
    </row>
    <row r="1738">
      <c r="A1738" s="40" t="inlineStr">
        <is>
          <t>Countries</t>
        </is>
      </c>
      <c r="B1738" s="40" t="inlineStr">
        <is>
          <t>J200</t>
        </is>
      </c>
      <c r="C1738" s="40" t="n">
        <v>200</v>
      </c>
      <c r="D1738" s="40" t="inlineStr">
        <is>
          <t>Home page</t>
        </is>
      </c>
      <c r="E1738" s="40" t="inlineStr">
        <is>
          <t>Direct</t>
        </is>
      </c>
      <c r="F1738" s="40" t="inlineStr">
        <is>
          <t>Mobile</t>
        </is>
      </c>
      <c r="G1738" s="40" t="inlineStr">
        <is>
          <t>Algeria</t>
        </is>
      </c>
      <c r="H1738" s="40" t="n">
        <v>24</v>
      </c>
      <c r="I1738" s="40" t="inlineStr">
        <is>
          <t>Start Search</t>
        </is>
      </c>
      <c r="J1738" s="40" t="inlineStr">
        <is>
          <t>1-23 August 2026</t>
        </is>
      </c>
      <c r="K1738" s="55" t="n">
        <v>58</v>
      </c>
      <c r="L1738" s="40" t="inlineStr">
        <is>
          <t>Completeness only</t>
        </is>
      </c>
      <c r="M1738" s="40">
        <f>IF(Countries!J200="","STILL MISSING","Filled ✓")</f>
        <v/>
      </c>
    </row>
    <row r="1739">
      <c r="A1739" s="56" t="inlineStr">
        <is>
          <t>Countries</t>
        </is>
      </c>
      <c r="B1739" s="56" t="inlineStr">
        <is>
          <t>AD393</t>
        </is>
      </c>
      <c r="C1739" s="56" t="n">
        <v>393</v>
      </c>
      <c r="D1739" s="56" t="inlineStr">
        <is>
          <t>Route page</t>
        </is>
      </c>
      <c r="E1739" s="56" t="inlineStr">
        <is>
          <t>Organic</t>
        </is>
      </c>
      <c r="F1739" s="56" t="inlineStr">
        <is>
          <t>Desktop</t>
        </is>
      </c>
      <c r="G1739" s="56" t="inlineStr">
        <is>
          <t>Argentina</t>
        </is>
      </c>
      <c r="H1739" s="56" t="n">
        <v>25</v>
      </c>
      <c r="I1739" s="56" t="inlineStr">
        <is>
          <t>Add to cart</t>
        </is>
      </c>
      <c r="J1739" s="56" t="inlineStr">
        <is>
          <t>1-23 August 2025</t>
        </is>
      </c>
      <c r="K1739" s="57" t="n">
        <v>105</v>
      </c>
      <c r="L1739" s="56" t="inlineStr">
        <is>
          <t>Completeness only</t>
        </is>
      </c>
      <c r="M1739" s="40">
        <f>IF(Countries!AD393="","STILL MISSING","Filled ✓")</f>
        <v/>
      </c>
    </row>
    <row r="1740">
      <c r="A1740" s="40" t="inlineStr">
        <is>
          <t>Countries</t>
        </is>
      </c>
      <c r="B1740" s="40" t="inlineStr">
        <is>
          <t>AE393</t>
        </is>
      </c>
      <c r="C1740" s="40" t="n">
        <v>393</v>
      </c>
      <c r="D1740" s="40" t="inlineStr">
        <is>
          <t>Route page</t>
        </is>
      </c>
      <c r="E1740" s="40" t="inlineStr">
        <is>
          <t>Organic</t>
        </is>
      </c>
      <c r="F1740" s="40" t="inlineStr">
        <is>
          <t>Desktop</t>
        </is>
      </c>
      <c r="G1740" s="40" t="inlineStr">
        <is>
          <t>Argentina</t>
        </is>
      </c>
      <c r="H1740" s="40" t="n">
        <v>25</v>
      </c>
      <c r="I1740" s="40" t="inlineStr">
        <is>
          <t>Add to cart</t>
        </is>
      </c>
      <c r="J1740" s="40" t="inlineStr">
        <is>
          <t>1-23 August 2026</t>
        </is>
      </c>
      <c r="K1740" s="55" t="n">
        <v>105</v>
      </c>
      <c r="L1740" s="40" t="inlineStr">
        <is>
          <t>Completeness only</t>
        </is>
      </c>
      <c r="M1740" s="40">
        <f>IF(Countries!AE393="","STILL MISSING","Filled ✓")</f>
        <v/>
      </c>
    </row>
    <row r="1741">
      <c r="A1741" s="56" t="inlineStr">
        <is>
          <t>Countries</t>
        </is>
      </c>
      <c r="B1741" s="56" t="inlineStr">
        <is>
          <t>AK393</t>
        </is>
      </c>
      <c r="C1741" s="56" t="n">
        <v>393</v>
      </c>
      <c r="D1741" s="56" t="inlineStr">
        <is>
          <t>Route page</t>
        </is>
      </c>
      <c r="E1741" s="56" t="inlineStr">
        <is>
          <t>Organic</t>
        </is>
      </c>
      <c r="F1741" s="56" t="inlineStr">
        <is>
          <t>Desktop</t>
        </is>
      </c>
      <c r="G1741" s="56" t="inlineStr">
        <is>
          <t>Argentina</t>
        </is>
      </c>
      <c r="H1741" s="56" t="n">
        <v>25</v>
      </c>
      <c r="I1741" s="56" t="inlineStr">
        <is>
          <t>Begin checkout</t>
        </is>
      </c>
      <c r="J1741" s="56" t="inlineStr">
        <is>
          <t>1-23 August 2025</t>
        </is>
      </c>
      <c r="K1741" s="57" t="n">
        <v>105</v>
      </c>
      <c r="L1741" s="56" t="inlineStr">
        <is>
          <t>Completeness only</t>
        </is>
      </c>
      <c r="M1741" s="40">
        <f>IF(Countries!AK393="","STILL MISSING","Filled ✓")</f>
        <v/>
      </c>
    </row>
    <row r="1742">
      <c r="A1742" s="40" t="inlineStr">
        <is>
          <t>Countries</t>
        </is>
      </c>
      <c r="B1742" s="40" t="inlineStr">
        <is>
          <t>AL393</t>
        </is>
      </c>
      <c r="C1742" s="40" t="n">
        <v>393</v>
      </c>
      <c r="D1742" s="40" t="inlineStr">
        <is>
          <t>Route page</t>
        </is>
      </c>
      <c r="E1742" s="40" t="inlineStr">
        <is>
          <t>Organic</t>
        </is>
      </c>
      <c r="F1742" s="40" t="inlineStr">
        <is>
          <t>Desktop</t>
        </is>
      </c>
      <c r="G1742" s="40" t="inlineStr">
        <is>
          <t>Argentina</t>
        </is>
      </c>
      <c r="H1742" s="40" t="n">
        <v>25</v>
      </c>
      <c r="I1742" s="40" t="inlineStr">
        <is>
          <t>Begin checkout</t>
        </is>
      </c>
      <c r="J1742" s="40" t="inlineStr">
        <is>
          <t>1-23 August 2026</t>
        </is>
      </c>
      <c r="K1742" s="55" t="n">
        <v>105</v>
      </c>
      <c r="L1742" s="40" t="inlineStr">
        <is>
          <t>Completeness only</t>
        </is>
      </c>
      <c r="M1742" s="40">
        <f>IF(Countries!AL393="","STILL MISSING","Filled ✓")</f>
        <v/>
      </c>
    </row>
    <row r="1743">
      <c r="A1743" s="56" t="inlineStr">
        <is>
          <t>Countries</t>
        </is>
      </c>
      <c r="B1743" s="56" t="inlineStr">
        <is>
          <t>AR393</t>
        </is>
      </c>
      <c r="C1743" s="56" t="n">
        <v>393</v>
      </c>
      <c r="D1743" s="56" t="inlineStr">
        <is>
          <t>Route page</t>
        </is>
      </c>
      <c r="E1743" s="56" t="inlineStr">
        <is>
          <t>Organic</t>
        </is>
      </c>
      <c r="F1743" s="56" t="inlineStr">
        <is>
          <t>Desktop</t>
        </is>
      </c>
      <c r="G1743" s="56" t="inlineStr">
        <is>
          <t>Argentina</t>
        </is>
      </c>
      <c r="H1743" s="56" t="n">
        <v>25</v>
      </c>
      <c r="I1743" s="56" t="inlineStr">
        <is>
          <t>Purchases</t>
        </is>
      </c>
      <c r="J1743" s="56" t="inlineStr">
        <is>
          <t>1-23 August 2025</t>
        </is>
      </c>
      <c r="K1743" s="57" t="n">
        <v>105</v>
      </c>
      <c r="L1743" s="56" t="inlineStr">
        <is>
          <t>Completeness only</t>
        </is>
      </c>
      <c r="M1743" s="40">
        <f>IF(Countries!AR393="","STILL MISSING","Filled ✓")</f>
        <v/>
      </c>
    </row>
    <row r="1744">
      <c r="A1744" s="40" t="inlineStr">
        <is>
          <t>Countries</t>
        </is>
      </c>
      <c r="B1744" s="40" t="inlineStr">
        <is>
          <t>W393</t>
        </is>
      </c>
      <c r="C1744" s="40" t="n">
        <v>393</v>
      </c>
      <c r="D1744" s="40" t="inlineStr">
        <is>
          <t>Route page</t>
        </is>
      </c>
      <c r="E1744" s="40" t="inlineStr">
        <is>
          <t>Organic</t>
        </is>
      </c>
      <c r="F1744" s="40" t="inlineStr">
        <is>
          <t>Desktop</t>
        </is>
      </c>
      <c r="G1744" s="40" t="inlineStr">
        <is>
          <t>Argentina</t>
        </is>
      </c>
      <c r="H1744" s="40" t="n">
        <v>25</v>
      </c>
      <c r="I1744" s="40" t="inlineStr">
        <is>
          <t>Select item</t>
        </is>
      </c>
      <c r="J1744" s="40" t="inlineStr">
        <is>
          <t>1-23 August 2025</t>
        </is>
      </c>
      <c r="K1744" s="55" t="n">
        <v>105</v>
      </c>
      <c r="L1744" s="40" t="inlineStr">
        <is>
          <t>Completeness only</t>
        </is>
      </c>
      <c r="M1744" s="40">
        <f>IF(Countries!W393="","STILL MISSING","Filled ✓")</f>
        <v/>
      </c>
    </row>
    <row r="1745">
      <c r="A1745" s="56" t="inlineStr">
        <is>
          <t>Countries</t>
        </is>
      </c>
      <c r="B1745" s="56" t="inlineStr">
        <is>
          <t>E393</t>
        </is>
      </c>
      <c r="C1745" s="56" t="n">
        <v>393</v>
      </c>
      <c r="D1745" s="56" t="inlineStr">
        <is>
          <t>Route page</t>
        </is>
      </c>
      <c r="E1745" s="56" t="inlineStr">
        <is>
          <t>Organic</t>
        </is>
      </c>
      <c r="F1745" s="56" t="inlineStr">
        <is>
          <t>Desktop</t>
        </is>
      </c>
      <c r="G1745" s="56" t="inlineStr">
        <is>
          <t>Argentina</t>
        </is>
      </c>
      <c r="H1745" s="56" t="n">
        <v>25</v>
      </c>
      <c r="I1745" s="56" t="inlineStr">
        <is>
          <t>Sessions</t>
        </is>
      </c>
      <c r="J1745" s="56" t="inlineStr">
        <is>
          <t>1-23 August 2025</t>
        </is>
      </c>
      <c r="K1745" s="57" t="n">
        <v>105</v>
      </c>
      <c r="L1745" s="56" t="inlineStr">
        <is>
          <t>Completeness only</t>
        </is>
      </c>
      <c r="M1745" s="40">
        <f>IF(Countries!E393="","STILL MISSING","Filled ✓")</f>
        <v/>
      </c>
    </row>
    <row r="1746">
      <c r="A1746" s="40" t="inlineStr">
        <is>
          <t>Countries</t>
        </is>
      </c>
      <c r="B1746" s="40" t="inlineStr">
        <is>
          <t>I393</t>
        </is>
      </c>
      <c r="C1746" s="40" t="n">
        <v>393</v>
      </c>
      <c r="D1746" s="40" t="inlineStr">
        <is>
          <t>Route page</t>
        </is>
      </c>
      <c r="E1746" s="40" t="inlineStr">
        <is>
          <t>Organic</t>
        </is>
      </c>
      <c r="F1746" s="40" t="inlineStr">
        <is>
          <t>Desktop</t>
        </is>
      </c>
      <c r="G1746" s="40" t="inlineStr">
        <is>
          <t>Argentina</t>
        </is>
      </c>
      <c r="H1746" s="40" t="n">
        <v>25</v>
      </c>
      <c r="I1746" s="40" t="inlineStr">
        <is>
          <t>Start Search</t>
        </is>
      </c>
      <c r="J1746" s="40" t="inlineStr">
        <is>
          <t>1-23 August 2025</t>
        </is>
      </c>
      <c r="K1746" s="55" t="n">
        <v>105</v>
      </c>
      <c r="L1746" s="40" t="inlineStr">
        <is>
          <t>Completeness only</t>
        </is>
      </c>
      <c r="M1746" s="40">
        <f>IF(Countries!I393="","STILL MISSING","Filled ✓")</f>
        <v/>
      </c>
    </row>
    <row r="1747">
      <c r="A1747" s="56" t="inlineStr">
        <is>
          <t>Countries</t>
        </is>
      </c>
      <c r="B1747" s="56" t="inlineStr">
        <is>
          <t>J393</t>
        </is>
      </c>
      <c r="C1747" s="56" t="n">
        <v>393</v>
      </c>
      <c r="D1747" s="56" t="inlineStr">
        <is>
          <t>Route page</t>
        </is>
      </c>
      <c r="E1747" s="56" t="inlineStr">
        <is>
          <t>Organic</t>
        </is>
      </c>
      <c r="F1747" s="56" t="inlineStr">
        <is>
          <t>Desktop</t>
        </is>
      </c>
      <c r="G1747" s="56" t="inlineStr">
        <is>
          <t>Argentina</t>
        </is>
      </c>
      <c r="H1747" s="56" t="n">
        <v>25</v>
      </c>
      <c r="I1747" s="56" t="inlineStr">
        <is>
          <t>Start Search</t>
        </is>
      </c>
      <c r="J1747" s="56" t="inlineStr">
        <is>
          <t>1-23 August 2026</t>
        </is>
      </c>
      <c r="K1747" s="57" t="n">
        <v>105</v>
      </c>
      <c r="L1747" s="56" t="inlineStr">
        <is>
          <t>Completeness only</t>
        </is>
      </c>
      <c r="M1747" s="40">
        <f>IF(Countries!J393="","STILL MISSING","Filled ✓")</f>
        <v/>
      </c>
    </row>
    <row r="1748">
      <c r="A1748" s="40" t="inlineStr">
        <is>
          <t>Countries</t>
        </is>
      </c>
      <c r="B1748" s="40" t="inlineStr">
        <is>
          <t>AD237</t>
        </is>
      </c>
      <c r="C1748" s="40" t="n">
        <v>237</v>
      </c>
      <c r="D1748" s="40" t="inlineStr">
        <is>
          <t>Airport page</t>
        </is>
      </c>
      <c r="E1748" s="40" t="inlineStr">
        <is>
          <t>Paid Search</t>
        </is>
      </c>
      <c r="F1748" s="40" t="inlineStr">
        <is>
          <t>Mobile</t>
        </is>
      </c>
      <c r="G1748" s="40" t="inlineStr">
        <is>
          <t>Bangladesh</t>
        </is>
      </c>
      <c r="H1748" s="40" t="n">
        <v>26</v>
      </c>
      <c r="I1748" s="40" t="inlineStr">
        <is>
          <t>Add to cart</t>
        </is>
      </c>
      <c r="J1748" s="40" t="inlineStr">
        <is>
          <t>1-23 August 2025</t>
        </is>
      </c>
      <c r="K1748" s="55" t="n">
        <v>1091</v>
      </c>
      <c r="L1748" s="40" t="inlineStr">
        <is>
          <t>Completeness only</t>
        </is>
      </c>
      <c r="M1748" s="40">
        <f>IF(Countries!AD237="","STILL MISSING","Filled ✓")</f>
        <v/>
      </c>
    </row>
    <row r="1749">
      <c r="A1749" s="56" t="inlineStr">
        <is>
          <t>Countries</t>
        </is>
      </c>
      <c r="B1749" s="56" t="inlineStr">
        <is>
          <t>AE237</t>
        </is>
      </c>
      <c r="C1749" s="56" t="n">
        <v>237</v>
      </c>
      <c r="D1749" s="56" t="inlineStr">
        <is>
          <t>Airport page</t>
        </is>
      </c>
      <c r="E1749" s="56" t="inlineStr">
        <is>
          <t>Paid Search</t>
        </is>
      </c>
      <c r="F1749" s="56" t="inlineStr">
        <is>
          <t>Mobile</t>
        </is>
      </c>
      <c r="G1749" s="56" t="inlineStr">
        <is>
          <t>Bangladesh</t>
        </is>
      </c>
      <c r="H1749" s="56" t="n">
        <v>26</v>
      </c>
      <c r="I1749" s="56" t="inlineStr">
        <is>
          <t>Add to cart</t>
        </is>
      </c>
      <c r="J1749" s="56" t="inlineStr">
        <is>
          <t>1-23 August 2026</t>
        </is>
      </c>
      <c r="K1749" s="57" t="n">
        <v>1091</v>
      </c>
      <c r="L1749" s="56" t="inlineStr">
        <is>
          <t>Completeness only</t>
        </is>
      </c>
      <c r="M1749" s="40">
        <f>IF(Countries!AE237="","STILL MISSING","Filled ✓")</f>
        <v/>
      </c>
    </row>
    <row r="1750">
      <c r="A1750" s="40" t="inlineStr">
        <is>
          <t>Countries</t>
        </is>
      </c>
      <c r="B1750" s="40" t="inlineStr">
        <is>
          <t>AK237</t>
        </is>
      </c>
      <c r="C1750" s="40" t="n">
        <v>237</v>
      </c>
      <c r="D1750" s="40" t="inlineStr">
        <is>
          <t>Airport page</t>
        </is>
      </c>
      <c r="E1750" s="40" t="inlineStr">
        <is>
          <t>Paid Search</t>
        </is>
      </c>
      <c r="F1750" s="40" t="inlineStr">
        <is>
          <t>Mobile</t>
        </is>
      </c>
      <c r="G1750" s="40" t="inlineStr">
        <is>
          <t>Bangladesh</t>
        </is>
      </c>
      <c r="H1750" s="40" t="n">
        <v>26</v>
      </c>
      <c r="I1750" s="40" t="inlineStr">
        <is>
          <t>Begin checkout</t>
        </is>
      </c>
      <c r="J1750" s="40" t="inlineStr">
        <is>
          <t>1-23 August 2025</t>
        </is>
      </c>
      <c r="K1750" s="55" t="n">
        <v>1091</v>
      </c>
      <c r="L1750" s="40" t="inlineStr">
        <is>
          <t>Completeness only</t>
        </is>
      </c>
      <c r="M1750" s="40">
        <f>IF(Countries!AK237="","STILL MISSING","Filled ✓")</f>
        <v/>
      </c>
    </row>
    <row r="1751">
      <c r="A1751" s="56" t="inlineStr">
        <is>
          <t>Countries</t>
        </is>
      </c>
      <c r="B1751" s="56" t="inlineStr">
        <is>
          <t>AL237</t>
        </is>
      </c>
      <c r="C1751" s="56" t="n">
        <v>237</v>
      </c>
      <c r="D1751" s="56" t="inlineStr">
        <is>
          <t>Airport page</t>
        </is>
      </c>
      <c r="E1751" s="56" t="inlineStr">
        <is>
          <t>Paid Search</t>
        </is>
      </c>
      <c r="F1751" s="56" t="inlineStr">
        <is>
          <t>Mobile</t>
        </is>
      </c>
      <c r="G1751" s="56" t="inlineStr">
        <is>
          <t>Bangladesh</t>
        </is>
      </c>
      <c r="H1751" s="56" t="n">
        <v>26</v>
      </c>
      <c r="I1751" s="56" t="inlineStr">
        <is>
          <t>Begin checkout</t>
        </is>
      </c>
      <c r="J1751" s="56" t="inlineStr">
        <is>
          <t>1-23 August 2026</t>
        </is>
      </c>
      <c r="K1751" s="57" t="n">
        <v>1091</v>
      </c>
      <c r="L1751" s="56" t="inlineStr">
        <is>
          <t>Completeness only</t>
        </is>
      </c>
      <c r="M1751" s="40">
        <f>IF(Countries!AL237="","STILL MISSING","Filled ✓")</f>
        <v/>
      </c>
    </row>
    <row r="1752">
      <c r="A1752" s="40" t="inlineStr">
        <is>
          <t>Countries</t>
        </is>
      </c>
      <c r="B1752" s="40" t="inlineStr">
        <is>
          <t>AS237</t>
        </is>
      </c>
      <c r="C1752" s="40" t="n">
        <v>237</v>
      </c>
      <c r="D1752" s="40" t="inlineStr">
        <is>
          <t>Airport page</t>
        </is>
      </c>
      <c r="E1752" s="40" t="inlineStr">
        <is>
          <t>Paid Search</t>
        </is>
      </c>
      <c r="F1752" s="40" t="inlineStr">
        <is>
          <t>Mobile</t>
        </is>
      </c>
      <c r="G1752" s="40" t="inlineStr">
        <is>
          <t>Bangladesh</t>
        </is>
      </c>
      <c r="H1752" s="40" t="n">
        <v>26</v>
      </c>
      <c r="I1752" s="40" t="inlineStr">
        <is>
          <t>Purchases</t>
        </is>
      </c>
      <c r="J1752" s="40" t="inlineStr">
        <is>
          <t>1-23 August 2026</t>
        </is>
      </c>
      <c r="K1752" s="55" t="n">
        <v>1091</v>
      </c>
      <c r="L1752" s="40" t="inlineStr">
        <is>
          <t>Completeness only</t>
        </is>
      </c>
      <c r="M1752" s="40">
        <f>IF(Countries!AS237="","STILL MISSING","Filled ✓")</f>
        <v/>
      </c>
    </row>
    <row r="1753">
      <c r="A1753" s="56" t="inlineStr">
        <is>
          <t>Countries</t>
        </is>
      </c>
      <c r="B1753" s="56" t="inlineStr">
        <is>
          <t>Q237</t>
        </is>
      </c>
      <c r="C1753" s="56" t="n">
        <v>237</v>
      </c>
      <c r="D1753" s="56" t="inlineStr">
        <is>
          <t>Airport page</t>
        </is>
      </c>
      <c r="E1753" s="56" t="inlineStr">
        <is>
          <t>Paid Search</t>
        </is>
      </c>
      <c r="F1753" s="56" t="inlineStr">
        <is>
          <t>Mobile</t>
        </is>
      </c>
      <c r="G1753" s="56" t="inlineStr">
        <is>
          <t>Bangladesh</t>
        </is>
      </c>
      <c r="H1753" s="56" t="n">
        <v>26</v>
      </c>
      <c r="I1753" s="56" t="inlineStr">
        <is>
          <t>Searches</t>
        </is>
      </c>
      <c r="J1753" s="56" t="inlineStr">
        <is>
          <t>1-23 August 2026</t>
        </is>
      </c>
      <c r="K1753" s="57" t="n">
        <v>1091</v>
      </c>
      <c r="L1753" s="56" t="inlineStr">
        <is>
          <t>Completeness only</t>
        </is>
      </c>
      <c r="M1753" s="40">
        <f>IF(Countries!Q237="","STILL MISSING","Filled ✓")</f>
        <v/>
      </c>
    </row>
    <row r="1754">
      <c r="A1754" s="40" t="inlineStr">
        <is>
          <t>Countries</t>
        </is>
      </c>
      <c r="B1754" s="40" t="inlineStr">
        <is>
          <t>W237</t>
        </is>
      </c>
      <c r="C1754" s="40" t="n">
        <v>237</v>
      </c>
      <c r="D1754" s="40" t="inlineStr">
        <is>
          <t>Airport page</t>
        </is>
      </c>
      <c r="E1754" s="40" t="inlineStr">
        <is>
          <t>Paid Search</t>
        </is>
      </c>
      <c r="F1754" s="40" t="inlineStr">
        <is>
          <t>Mobile</t>
        </is>
      </c>
      <c r="G1754" s="40" t="inlineStr">
        <is>
          <t>Bangladesh</t>
        </is>
      </c>
      <c r="H1754" s="40" t="n">
        <v>26</v>
      </c>
      <c r="I1754" s="40" t="inlineStr">
        <is>
          <t>Select item</t>
        </is>
      </c>
      <c r="J1754" s="40" t="inlineStr">
        <is>
          <t>1-23 August 2025</t>
        </is>
      </c>
      <c r="K1754" s="55" t="n">
        <v>1091</v>
      </c>
      <c r="L1754" s="40" t="inlineStr">
        <is>
          <t>Completeness only</t>
        </is>
      </c>
      <c r="M1754" s="40">
        <f>IF(Countries!W237="","STILL MISSING","Filled ✓")</f>
        <v/>
      </c>
    </row>
    <row r="1755">
      <c r="A1755" s="56" t="inlineStr">
        <is>
          <t>Countries</t>
        </is>
      </c>
      <c r="B1755" s="56" t="inlineStr">
        <is>
          <t>X237</t>
        </is>
      </c>
      <c r="C1755" s="56" t="n">
        <v>237</v>
      </c>
      <c r="D1755" s="56" t="inlineStr">
        <is>
          <t>Airport page</t>
        </is>
      </c>
      <c r="E1755" s="56" t="inlineStr">
        <is>
          <t>Paid Search</t>
        </is>
      </c>
      <c r="F1755" s="56" t="inlineStr">
        <is>
          <t>Mobile</t>
        </is>
      </c>
      <c r="G1755" s="56" t="inlineStr">
        <is>
          <t>Bangladesh</t>
        </is>
      </c>
      <c r="H1755" s="56" t="n">
        <v>26</v>
      </c>
      <c r="I1755" s="56" t="inlineStr">
        <is>
          <t>Select item</t>
        </is>
      </c>
      <c r="J1755" s="56" t="inlineStr">
        <is>
          <t>1-23 August 2026</t>
        </is>
      </c>
      <c r="K1755" s="57" t="n">
        <v>1091</v>
      </c>
      <c r="L1755" s="56" t="inlineStr">
        <is>
          <t>Completeness only</t>
        </is>
      </c>
      <c r="M1755" s="40">
        <f>IF(Countries!X237="","STILL MISSING","Filled ✓")</f>
        <v/>
      </c>
    </row>
    <row r="1756">
      <c r="A1756" s="40" t="inlineStr">
        <is>
          <t>Countries</t>
        </is>
      </c>
      <c r="B1756" s="40" t="inlineStr">
        <is>
          <t>J237</t>
        </is>
      </c>
      <c r="C1756" s="40" t="n">
        <v>237</v>
      </c>
      <c r="D1756" s="40" t="inlineStr">
        <is>
          <t>Airport page</t>
        </is>
      </c>
      <c r="E1756" s="40" t="inlineStr">
        <is>
          <t>Paid Search</t>
        </is>
      </c>
      <c r="F1756" s="40" t="inlineStr">
        <is>
          <t>Mobile</t>
        </is>
      </c>
      <c r="G1756" s="40" t="inlineStr">
        <is>
          <t>Bangladesh</t>
        </is>
      </c>
      <c r="H1756" s="40" t="n">
        <v>26</v>
      </c>
      <c r="I1756" s="40" t="inlineStr">
        <is>
          <t>Start Search</t>
        </is>
      </c>
      <c r="J1756" s="40" t="inlineStr">
        <is>
          <t>1-23 August 2026</t>
        </is>
      </c>
      <c r="K1756" s="55" t="n">
        <v>1091</v>
      </c>
      <c r="L1756" s="40" t="inlineStr">
        <is>
          <t>Completeness only</t>
        </is>
      </c>
      <c r="M1756" s="40">
        <f>IF(Countries!J237="","STILL MISSING","Filled ✓")</f>
        <v/>
      </c>
    </row>
    <row r="1757">
      <c r="A1757" s="56" t="inlineStr">
        <is>
          <t>Countries</t>
        </is>
      </c>
      <c r="B1757" s="56" t="inlineStr">
        <is>
          <t>AD68</t>
        </is>
      </c>
      <c r="C1757" s="56" t="n">
        <v>68</v>
      </c>
      <c r="D1757" s="56" t="inlineStr">
        <is>
          <t>All landing pages</t>
        </is>
      </c>
      <c r="E1757" s="56" t="inlineStr">
        <is>
          <t>Organic</t>
        </is>
      </c>
      <c r="F1757" s="56" t="inlineStr">
        <is>
          <t>Desktop</t>
        </is>
      </c>
      <c r="G1757" s="56" t="inlineStr">
        <is>
          <t>Brazil</t>
        </is>
      </c>
      <c r="H1757" s="56" t="n">
        <v>27</v>
      </c>
      <c r="I1757" s="56" t="inlineStr">
        <is>
          <t>Add to cart</t>
        </is>
      </c>
      <c r="J1757" s="56" t="inlineStr">
        <is>
          <t>1-23 August 2025</t>
        </is>
      </c>
      <c r="K1757" s="57" t="n">
        <v>496</v>
      </c>
      <c r="L1757" s="56" t="inlineStr">
        <is>
          <t>Completeness only</t>
        </is>
      </c>
      <c r="M1757" s="40">
        <f>IF(Countries!AD68="","STILL MISSING","Filled ✓")</f>
        <v/>
      </c>
    </row>
    <row r="1758">
      <c r="A1758" s="40" t="inlineStr">
        <is>
          <t>Countries</t>
        </is>
      </c>
      <c r="B1758" s="40" t="inlineStr">
        <is>
          <t>AE68</t>
        </is>
      </c>
      <c r="C1758" s="40" t="n">
        <v>68</v>
      </c>
      <c r="D1758" s="40" t="inlineStr">
        <is>
          <t>All landing pages</t>
        </is>
      </c>
      <c r="E1758" s="40" t="inlineStr">
        <is>
          <t>Organic</t>
        </is>
      </c>
      <c r="F1758" s="40" t="inlineStr">
        <is>
          <t>Desktop</t>
        </is>
      </c>
      <c r="G1758" s="40" t="inlineStr">
        <is>
          <t>Brazil</t>
        </is>
      </c>
      <c r="H1758" s="40" t="n">
        <v>27</v>
      </c>
      <c r="I1758" s="40" t="inlineStr">
        <is>
          <t>Add to cart</t>
        </is>
      </c>
      <c r="J1758" s="40" t="inlineStr">
        <is>
          <t>1-23 August 2026</t>
        </is>
      </c>
      <c r="K1758" s="55" t="n">
        <v>496</v>
      </c>
      <c r="L1758" s="40" t="inlineStr">
        <is>
          <t>Completeness only</t>
        </is>
      </c>
      <c r="M1758" s="40">
        <f>IF(Countries!AE68="","STILL MISSING","Filled ✓")</f>
        <v/>
      </c>
    </row>
    <row r="1759">
      <c r="A1759" s="56" t="inlineStr">
        <is>
          <t>Countries</t>
        </is>
      </c>
      <c r="B1759" s="56" t="inlineStr">
        <is>
          <t>AK68</t>
        </is>
      </c>
      <c r="C1759" s="56" t="n">
        <v>68</v>
      </c>
      <c r="D1759" s="56" t="inlineStr">
        <is>
          <t>All landing pages</t>
        </is>
      </c>
      <c r="E1759" s="56" t="inlineStr">
        <is>
          <t>Organic</t>
        </is>
      </c>
      <c r="F1759" s="56" t="inlineStr">
        <is>
          <t>Desktop</t>
        </is>
      </c>
      <c r="G1759" s="56" t="inlineStr">
        <is>
          <t>Brazil</t>
        </is>
      </c>
      <c r="H1759" s="56" t="n">
        <v>27</v>
      </c>
      <c r="I1759" s="56" t="inlineStr">
        <is>
          <t>Begin checkout</t>
        </is>
      </c>
      <c r="J1759" s="56" t="inlineStr">
        <is>
          <t>1-23 August 2025</t>
        </is>
      </c>
      <c r="K1759" s="57" t="n">
        <v>496</v>
      </c>
      <c r="L1759" s="56" t="inlineStr">
        <is>
          <t>Completeness only</t>
        </is>
      </c>
      <c r="M1759" s="40">
        <f>IF(Countries!AK68="","STILL MISSING","Filled ✓")</f>
        <v/>
      </c>
    </row>
    <row r="1760">
      <c r="A1760" s="40" t="inlineStr">
        <is>
          <t>Countries</t>
        </is>
      </c>
      <c r="B1760" s="40" t="inlineStr">
        <is>
          <t>AL68</t>
        </is>
      </c>
      <c r="C1760" s="40" t="n">
        <v>68</v>
      </c>
      <c r="D1760" s="40" t="inlineStr">
        <is>
          <t>All landing pages</t>
        </is>
      </c>
      <c r="E1760" s="40" t="inlineStr">
        <is>
          <t>Organic</t>
        </is>
      </c>
      <c r="F1760" s="40" t="inlineStr">
        <is>
          <t>Desktop</t>
        </is>
      </c>
      <c r="G1760" s="40" t="inlineStr">
        <is>
          <t>Brazil</t>
        </is>
      </c>
      <c r="H1760" s="40" t="n">
        <v>27</v>
      </c>
      <c r="I1760" s="40" t="inlineStr">
        <is>
          <t>Begin checkout</t>
        </is>
      </c>
      <c r="J1760" s="40" t="inlineStr">
        <is>
          <t>1-23 August 2026</t>
        </is>
      </c>
      <c r="K1760" s="55" t="n">
        <v>496</v>
      </c>
      <c r="L1760" s="40" t="inlineStr">
        <is>
          <t>Completeness only</t>
        </is>
      </c>
      <c r="M1760" s="40">
        <f>IF(Countries!AL68="","STILL MISSING","Filled ✓")</f>
        <v/>
      </c>
    </row>
    <row r="1761">
      <c r="A1761" s="56" t="inlineStr">
        <is>
          <t>Countries</t>
        </is>
      </c>
      <c r="B1761" s="56" t="inlineStr">
        <is>
          <t>AS68</t>
        </is>
      </c>
      <c r="C1761" s="56" t="n">
        <v>68</v>
      </c>
      <c r="D1761" s="56" t="inlineStr">
        <is>
          <t>All landing pages</t>
        </is>
      </c>
      <c r="E1761" s="56" t="inlineStr">
        <is>
          <t>Organic</t>
        </is>
      </c>
      <c r="F1761" s="56" t="inlineStr">
        <is>
          <t>Desktop</t>
        </is>
      </c>
      <c r="G1761" s="56" t="inlineStr">
        <is>
          <t>Brazil</t>
        </is>
      </c>
      <c r="H1761" s="56" t="n">
        <v>27</v>
      </c>
      <c r="I1761" s="56" t="inlineStr">
        <is>
          <t>Purchases</t>
        </is>
      </c>
      <c r="J1761" s="56" t="inlineStr">
        <is>
          <t>1-23 August 2026</t>
        </is>
      </c>
      <c r="K1761" s="57" t="n">
        <v>496</v>
      </c>
      <c r="L1761" s="56" t="inlineStr">
        <is>
          <t>Completeness only</t>
        </is>
      </c>
      <c r="M1761" s="40">
        <f>IF(Countries!AS68="","STILL MISSING","Filled ✓")</f>
        <v/>
      </c>
    </row>
    <row r="1762">
      <c r="A1762" s="40" t="inlineStr">
        <is>
          <t>Countries</t>
        </is>
      </c>
      <c r="B1762" s="40" t="inlineStr">
        <is>
          <t>Q68</t>
        </is>
      </c>
      <c r="C1762" s="40" t="n">
        <v>68</v>
      </c>
      <c r="D1762" s="40" t="inlineStr">
        <is>
          <t>All landing pages</t>
        </is>
      </c>
      <c r="E1762" s="40" t="inlineStr">
        <is>
          <t>Organic</t>
        </is>
      </c>
      <c r="F1762" s="40" t="inlineStr">
        <is>
          <t>Desktop</t>
        </is>
      </c>
      <c r="G1762" s="40" t="inlineStr">
        <is>
          <t>Brazil</t>
        </is>
      </c>
      <c r="H1762" s="40" t="n">
        <v>27</v>
      </c>
      <c r="I1762" s="40" t="inlineStr">
        <is>
          <t>Searches</t>
        </is>
      </c>
      <c r="J1762" s="40" t="inlineStr">
        <is>
          <t>1-23 August 2026</t>
        </is>
      </c>
      <c r="K1762" s="55" t="n">
        <v>496</v>
      </c>
      <c r="L1762" s="40" t="inlineStr">
        <is>
          <t>Completeness only</t>
        </is>
      </c>
      <c r="M1762" s="40">
        <f>IF(Countries!Q68="","STILL MISSING","Filled ✓")</f>
        <v/>
      </c>
    </row>
    <row r="1763">
      <c r="A1763" s="56" t="inlineStr">
        <is>
          <t>Countries</t>
        </is>
      </c>
      <c r="B1763" s="56" t="inlineStr">
        <is>
          <t>W68</t>
        </is>
      </c>
      <c r="C1763" s="56" t="n">
        <v>68</v>
      </c>
      <c r="D1763" s="56" t="inlineStr">
        <is>
          <t>All landing pages</t>
        </is>
      </c>
      <c r="E1763" s="56" t="inlineStr">
        <is>
          <t>Organic</t>
        </is>
      </c>
      <c r="F1763" s="56" t="inlineStr">
        <is>
          <t>Desktop</t>
        </is>
      </c>
      <c r="G1763" s="56" t="inlineStr">
        <is>
          <t>Brazil</t>
        </is>
      </c>
      <c r="H1763" s="56" t="n">
        <v>27</v>
      </c>
      <c r="I1763" s="56" t="inlineStr">
        <is>
          <t>Select item</t>
        </is>
      </c>
      <c r="J1763" s="56" t="inlineStr">
        <is>
          <t>1-23 August 2025</t>
        </is>
      </c>
      <c r="K1763" s="57" t="n">
        <v>496</v>
      </c>
      <c r="L1763" s="56" t="inlineStr">
        <is>
          <t>Completeness only</t>
        </is>
      </c>
      <c r="M1763" s="40">
        <f>IF(Countries!W68="","STILL MISSING","Filled ✓")</f>
        <v/>
      </c>
    </row>
    <row r="1764">
      <c r="A1764" s="40" t="inlineStr">
        <is>
          <t>Countries</t>
        </is>
      </c>
      <c r="B1764" s="40" t="inlineStr">
        <is>
          <t>X68</t>
        </is>
      </c>
      <c r="C1764" s="40" t="n">
        <v>68</v>
      </c>
      <c r="D1764" s="40" t="inlineStr">
        <is>
          <t>All landing pages</t>
        </is>
      </c>
      <c r="E1764" s="40" t="inlineStr">
        <is>
          <t>Organic</t>
        </is>
      </c>
      <c r="F1764" s="40" t="inlineStr">
        <is>
          <t>Desktop</t>
        </is>
      </c>
      <c r="G1764" s="40" t="inlineStr">
        <is>
          <t>Brazil</t>
        </is>
      </c>
      <c r="H1764" s="40" t="n">
        <v>27</v>
      </c>
      <c r="I1764" s="40" t="inlineStr">
        <is>
          <t>Select item</t>
        </is>
      </c>
      <c r="J1764" s="40" t="inlineStr">
        <is>
          <t>1-23 August 2026</t>
        </is>
      </c>
      <c r="K1764" s="55" t="n">
        <v>496</v>
      </c>
      <c r="L1764" s="40" t="inlineStr">
        <is>
          <t>Completeness only</t>
        </is>
      </c>
      <c r="M1764" s="40">
        <f>IF(Countries!X68="","STILL MISSING","Filled ✓")</f>
        <v/>
      </c>
    </row>
    <row r="1765">
      <c r="A1765" s="56" t="inlineStr">
        <is>
          <t>Countries</t>
        </is>
      </c>
      <c r="B1765" s="56" t="inlineStr">
        <is>
          <t>J68</t>
        </is>
      </c>
      <c r="C1765" s="56" t="n">
        <v>68</v>
      </c>
      <c r="D1765" s="56" t="inlineStr">
        <is>
          <t>All landing pages</t>
        </is>
      </c>
      <c r="E1765" s="56" t="inlineStr">
        <is>
          <t>Organic</t>
        </is>
      </c>
      <c r="F1765" s="56" t="inlineStr">
        <is>
          <t>Desktop</t>
        </is>
      </c>
      <c r="G1765" s="56" t="inlineStr">
        <is>
          <t>Brazil</t>
        </is>
      </c>
      <c r="H1765" s="56" t="n">
        <v>27</v>
      </c>
      <c r="I1765" s="56" t="inlineStr">
        <is>
          <t>Start Search</t>
        </is>
      </c>
      <c r="J1765" s="56" t="inlineStr">
        <is>
          <t>1-23 August 2026</t>
        </is>
      </c>
      <c r="K1765" s="57" t="n">
        <v>496</v>
      </c>
      <c r="L1765" s="56" t="inlineStr">
        <is>
          <t>Completeness only</t>
        </is>
      </c>
      <c r="M1765" s="40">
        <f>IF(Countries!J68="","STILL MISSING","Filled ✓")</f>
        <v/>
      </c>
    </row>
    <row r="1766">
      <c r="A1766" s="40" t="inlineStr">
        <is>
          <t>Countries</t>
        </is>
      </c>
      <c r="B1766" s="40" t="inlineStr">
        <is>
          <t>AD178</t>
        </is>
      </c>
      <c r="C1766" s="40" t="n">
        <v>178</v>
      </c>
      <c r="D1766" s="40" t="inlineStr">
        <is>
          <t>Home page</t>
        </is>
      </c>
      <c r="E1766" s="40" t="inlineStr">
        <is>
          <t>Organic</t>
        </is>
      </c>
      <c r="F1766" s="40" t="inlineStr">
        <is>
          <t>Desktop</t>
        </is>
      </c>
      <c r="G1766" s="40" t="inlineStr">
        <is>
          <t>Brazil</t>
        </is>
      </c>
      <c r="H1766" s="40" t="n">
        <v>27</v>
      </c>
      <c r="I1766" s="40" t="inlineStr">
        <is>
          <t>Add to cart</t>
        </is>
      </c>
      <c r="J1766" s="40" t="inlineStr">
        <is>
          <t>1-23 August 2025</t>
        </is>
      </c>
      <c r="K1766" s="55" t="n">
        <v>139</v>
      </c>
      <c r="L1766" s="40" t="inlineStr">
        <is>
          <t>Completeness only</t>
        </is>
      </c>
      <c r="M1766" s="40">
        <f>IF(Countries!AD178="","STILL MISSING","Filled ✓")</f>
        <v/>
      </c>
    </row>
    <row r="1767">
      <c r="A1767" s="56" t="inlineStr">
        <is>
          <t>Countries</t>
        </is>
      </c>
      <c r="B1767" s="56" t="inlineStr">
        <is>
          <t>AE178</t>
        </is>
      </c>
      <c r="C1767" s="56" t="n">
        <v>178</v>
      </c>
      <c r="D1767" s="56" t="inlineStr">
        <is>
          <t>Home page</t>
        </is>
      </c>
      <c r="E1767" s="56" t="inlineStr">
        <is>
          <t>Organic</t>
        </is>
      </c>
      <c r="F1767" s="56" t="inlineStr">
        <is>
          <t>Desktop</t>
        </is>
      </c>
      <c r="G1767" s="56" t="inlineStr">
        <is>
          <t>Brazil</t>
        </is>
      </c>
      <c r="H1767" s="56" t="n">
        <v>27</v>
      </c>
      <c r="I1767" s="56" t="inlineStr">
        <is>
          <t>Add to cart</t>
        </is>
      </c>
      <c r="J1767" s="56" t="inlineStr">
        <is>
          <t>1-23 August 2026</t>
        </is>
      </c>
      <c r="K1767" s="57" t="n">
        <v>139</v>
      </c>
      <c r="L1767" s="56" t="inlineStr">
        <is>
          <t>Completeness only</t>
        </is>
      </c>
      <c r="M1767" s="40">
        <f>IF(Countries!AE178="","STILL MISSING","Filled ✓")</f>
        <v/>
      </c>
    </row>
    <row r="1768">
      <c r="A1768" s="40" t="inlineStr">
        <is>
          <t>Countries</t>
        </is>
      </c>
      <c r="B1768" s="40" t="inlineStr">
        <is>
          <t>AK178</t>
        </is>
      </c>
      <c r="C1768" s="40" t="n">
        <v>178</v>
      </c>
      <c r="D1768" s="40" t="inlineStr">
        <is>
          <t>Home page</t>
        </is>
      </c>
      <c r="E1768" s="40" t="inlineStr">
        <is>
          <t>Organic</t>
        </is>
      </c>
      <c r="F1768" s="40" t="inlineStr">
        <is>
          <t>Desktop</t>
        </is>
      </c>
      <c r="G1768" s="40" t="inlineStr">
        <is>
          <t>Brazil</t>
        </is>
      </c>
      <c r="H1768" s="40" t="n">
        <v>27</v>
      </c>
      <c r="I1768" s="40" t="inlineStr">
        <is>
          <t>Begin checkout</t>
        </is>
      </c>
      <c r="J1768" s="40" t="inlineStr">
        <is>
          <t>1-23 August 2025</t>
        </is>
      </c>
      <c r="K1768" s="55" t="n">
        <v>139</v>
      </c>
      <c r="L1768" s="40" t="inlineStr">
        <is>
          <t>Completeness only</t>
        </is>
      </c>
      <c r="M1768" s="40">
        <f>IF(Countries!AK178="","STILL MISSING","Filled ✓")</f>
        <v/>
      </c>
    </row>
    <row r="1769">
      <c r="A1769" s="56" t="inlineStr">
        <is>
          <t>Countries</t>
        </is>
      </c>
      <c r="B1769" s="56" t="inlineStr">
        <is>
          <t>AL178</t>
        </is>
      </c>
      <c r="C1769" s="56" t="n">
        <v>178</v>
      </c>
      <c r="D1769" s="56" t="inlineStr">
        <is>
          <t>Home page</t>
        </is>
      </c>
      <c r="E1769" s="56" t="inlineStr">
        <is>
          <t>Organic</t>
        </is>
      </c>
      <c r="F1769" s="56" t="inlineStr">
        <is>
          <t>Desktop</t>
        </is>
      </c>
      <c r="G1769" s="56" t="inlineStr">
        <is>
          <t>Brazil</t>
        </is>
      </c>
      <c r="H1769" s="56" t="n">
        <v>27</v>
      </c>
      <c r="I1769" s="56" t="inlineStr">
        <is>
          <t>Begin checkout</t>
        </is>
      </c>
      <c r="J1769" s="56" t="inlineStr">
        <is>
          <t>1-23 August 2026</t>
        </is>
      </c>
      <c r="K1769" s="57" t="n">
        <v>139</v>
      </c>
      <c r="L1769" s="56" t="inlineStr">
        <is>
          <t>Completeness only</t>
        </is>
      </c>
      <c r="M1769" s="40">
        <f>IF(Countries!AL178="","STILL MISSING","Filled ✓")</f>
        <v/>
      </c>
    </row>
    <row r="1770">
      <c r="A1770" s="40" t="inlineStr">
        <is>
          <t>Countries</t>
        </is>
      </c>
      <c r="B1770" s="40" t="inlineStr">
        <is>
          <t>AS178</t>
        </is>
      </c>
      <c r="C1770" s="40" t="n">
        <v>178</v>
      </c>
      <c r="D1770" s="40" t="inlineStr">
        <is>
          <t>Home page</t>
        </is>
      </c>
      <c r="E1770" s="40" t="inlineStr">
        <is>
          <t>Organic</t>
        </is>
      </c>
      <c r="F1770" s="40" t="inlineStr">
        <is>
          <t>Desktop</t>
        </is>
      </c>
      <c r="G1770" s="40" t="inlineStr">
        <is>
          <t>Brazil</t>
        </is>
      </c>
      <c r="H1770" s="40" t="n">
        <v>27</v>
      </c>
      <c r="I1770" s="40" t="inlineStr">
        <is>
          <t>Purchases</t>
        </is>
      </c>
      <c r="J1770" s="40" t="inlineStr">
        <is>
          <t>1-23 August 2026</t>
        </is>
      </c>
      <c r="K1770" s="55" t="n">
        <v>139</v>
      </c>
      <c r="L1770" s="40" t="inlineStr">
        <is>
          <t>Completeness only</t>
        </is>
      </c>
      <c r="M1770" s="40">
        <f>IF(Countries!AS178="","STILL MISSING","Filled ✓")</f>
        <v/>
      </c>
    </row>
    <row r="1771">
      <c r="A1771" s="56" t="inlineStr">
        <is>
          <t>Countries</t>
        </is>
      </c>
      <c r="B1771" s="56" t="inlineStr">
        <is>
          <t>Q178</t>
        </is>
      </c>
      <c r="C1771" s="56" t="n">
        <v>178</v>
      </c>
      <c r="D1771" s="56" t="inlineStr">
        <is>
          <t>Home page</t>
        </is>
      </c>
      <c r="E1771" s="56" t="inlineStr">
        <is>
          <t>Organic</t>
        </is>
      </c>
      <c r="F1771" s="56" t="inlineStr">
        <is>
          <t>Desktop</t>
        </is>
      </c>
      <c r="G1771" s="56" t="inlineStr">
        <is>
          <t>Brazil</t>
        </is>
      </c>
      <c r="H1771" s="56" t="n">
        <v>27</v>
      </c>
      <c r="I1771" s="56" t="inlineStr">
        <is>
          <t>Searches</t>
        </is>
      </c>
      <c r="J1771" s="56" t="inlineStr">
        <is>
          <t>1-23 August 2026</t>
        </is>
      </c>
      <c r="K1771" s="57" t="n">
        <v>139</v>
      </c>
      <c r="L1771" s="56" t="inlineStr">
        <is>
          <t>Completeness only</t>
        </is>
      </c>
      <c r="M1771" s="40">
        <f>IF(Countries!Q178="","STILL MISSING","Filled ✓")</f>
        <v/>
      </c>
    </row>
    <row r="1772">
      <c r="A1772" s="40" t="inlineStr">
        <is>
          <t>Countries</t>
        </is>
      </c>
      <c r="B1772" s="40" t="inlineStr">
        <is>
          <t>W178</t>
        </is>
      </c>
      <c r="C1772" s="40" t="n">
        <v>178</v>
      </c>
      <c r="D1772" s="40" t="inlineStr">
        <is>
          <t>Home page</t>
        </is>
      </c>
      <c r="E1772" s="40" t="inlineStr">
        <is>
          <t>Organic</t>
        </is>
      </c>
      <c r="F1772" s="40" t="inlineStr">
        <is>
          <t>Desktop</t>
        </is>
      </c>
      <c r="G1772" s="40" t="inlineStr">
        <is>
          <t>Brazil</t>
        </is>
      </c>
      <c r="H1772" s="40" t="n">
        <v>27</v>
      </c>
      <c r="I1772" s="40" t="inlineStr">
        <is>
          <t>Select item</t>
        </is>
      </c>
      <c r="J1772" s="40" t="inlineStr">
        <is>
          <t>1-23 August 2025</t>
        </is>
      </c>
      <c r="K1772" s="55" t="n">
        <v>139</v>
      </c>
      <c r="L1772" s="40" t="inlineStr">
        <is>
          <t>Completeness only</t>
        </is>
      </c>
      <c r="M1772" s="40">
        <f>IF(Countries!W178="","STILL MISSING","Filled ✓")</f>
        <v/>
      </c>
    </row>
    <row r="1773">
      <c r="A1773" s="56" t="inlineStr">
        <is>
          <t>Countries</t>
        </is>
      </c>
      <c r="B1773" s="56" t="inlineStr">
        <is>
          <t>X178</t>
        </is>
      </c>
      <c r="C1773" s="56" t="n">
        <v>178</v>
      </c>
      <c r="D1773" s="56" t="inlineStr">
        <is>
          <t>Home page</t>
        </is>
      </c>
      <c r="E1773" s="56" t="inlineStr">
        <is>
          <t>Organic</t>
        </is>
      </c>
      <c r="F1773" s="56" t="inlineStr">
        <is>
          <t>Desktop</t>
        </is>
      </c>
      <c r="G1773" s="56" t="inlineStr">
        <is>
          <t>Brazil</t>
        </is>
      </c>
      <c r="H1773" s="56" t="n">
        <v>27</v>
      </c>
      <c r="I1773" s="56" t="inlineStr">
        <is>
          <t>Select item</t>
        </is>
      </c>
      <c r="J1773" s="56" t="inlineStr">
        <is>
          <t>1-23 August 2026</t>
        </is>
      </c>
      <c r="K1773" s="57" t="n">
        <v>139</v>
      </c>
      <c r="L1773" s="56" t="inlineStr">
        <is>
          <t>Completeness only</t>
        </is>
      </c>
      <c r="M1773" s="40">
        <f>IF(Countries!X178="","STILL MISSING","Filled ✓")</f>
        <v/>
      </c>
    </row>
    <row r="1774">
      <c r="A1774" s="40" t="inlineStr">
        <is>
          <t>Countries</t>
        </is>
      </c>
      <c r="B1774" s="40" t="inlineStr">
        <is>
          <t>J178</t>
        </is>
      </c>
      <c r="C1774" s="40" t="n">
        <v>178</v>
      </c>
      <c r="D1774" s="40" t="inlineStr">
        <is>
          <t>Home page</t>
        </is>
      </c>
      <c r="E1774" s="40" t="inlineStr">
        <is>
          <t>Organic</t>
        </is>
      </c>
      <c r="F1774" s="40" t="inlineStr">
        <is>
          <t>Desktop</t>
        </is>
      </c>
      <c r="G1774" s="40" t="inlineStr">
        <is>
          <t>Brazil</t>
        </is>
      </c>
      <c r="H1774" s="40" t="n">
        <v>27</v>
      </c>
      <c r="I1774" s="40" t="inlineStr">
        <is>
          <t>Start Search</t>
        </is>
      </c>
      <c r="J1774" s="40" t="inlineStr">
        <is>
          <t>1-23 August 2026</t>
        </is>
      </c>
      <c r="K1774" s="55" t="n">
        <v>139</v>
      </c>
      <c r="L1774" s="40" t="inlineStr">
        <is>
          <t>Completeness only</t>
        </is>
      </c>
      <c r="M1774" s="40">
        <f>IF(Countries!J178="","STILL MISSING","Filled ✓")</f>
        <v/>
      </c>
    </row>
    <row r="1775">
      <c r="A1775" s="56" t="inlineStr">
        <is>
          <t>Countries</t>
        </is>
      </c>
      <c r="B1775" s="56" t="inlineStr">
        <is>
          <t>AD324</t>
        </is>
      </c>
      <c r="C1775" s="56" t="n">
        <v>324</v>
      </c>
      <c r="D1775" s="56" t="inlineStr">
        <is>
          <t>Airport page</t>
        </is>
      </c>
      <c r="E1775" s="56" t="inlineStr">
        <is>
          <t>Direct</t>
        </is>
      </c>
      <c r="F1775" s="56" t="inlineStr">
        <is>
          <t>Desktop</t>
        </is>
      </c>
      <c r="G1775" s="56" t="inlineStr">
        <is>
          <t>Brazil</t>
        </is>
      </c>
      <c r="H1775" s="56" t="n">
        <v>27</v>
      </c>
      <c r="I1775" s="56" t="inlineStr">
        <is>
          <t>Add to cart</t>
        </is>
      </c>
      <c r="J1775" s="56" t="inlineStr">
        <is>
          <t>1-23 August 2025</t>
        </is>
      </c>
      <c r="K1775" s="57" t="n">
        <v>4</v>
      </c>
      <c r="L1775" s="56" t="inlineStr">
        <is>
          <t>Completeness only</t>
        </is>
      </c>
      <c r="M1775" s="40">
        <f>IF(Countries!AD324="","STILL MISSING","Filled ✓")</f>
        <v/>
      </c>
    </row>
    <row r="1776">
      <c r="A1776" s="40" t="inlineStr">
        <is>
          <t>Countries</t>
        </is>
      </c>
      <c r="B1776" s="40" t="inlineStr">
        <is>
          <t>AE324</t>
        </is>
      </c>
      <c r="C1776" s="40" t="n">
        <v>324</v>
      </c>
      <c r="D1776" s="40" t="inlineStr">
        <is>
          <t>Airport page</t>
        </is>
      </c>
      <c r="E1776" s="40" t="inlineStr">
        <is>
          <t>Direct</t>
        </is>
      </c>
      <c r="F1776" s="40" t="inlineStr">
        <is>
          <t>Desktop</t>
        </is>
      </c>
      <c r="G1776" s="40" t="inlineStr">
        <is>
          <t>Brazil</t>
        </is>
      </c>
      <c r="H1776" s="40" t="n">
        <v>27</v>
      </c>
      <c r="I1776" s="40" t="inlineStr">
        <is>
          <t>Add to cart</t>
        </is>
      </c>
      <c r="J1776" s="40" t="inlineStr">
        <is>
          <t>1-23 August 2026</t>
        </is>
      </c>
      <c r="K1776" s="55" t="n">
        <v>4</v>
      </c>
      <c r="L1776" s="40" t="inlineStr">
        <is>
          <t>Completeness only</t>
        </is>
      </c>
      <c r="M1776" s="40">
        <f>IF(Countries!AE324="","STILL MISSING","Filled ✓")</f>
        <v/>
      </c>
    </row>
    <row r="1777">
      <c r="A1777" s="56" t="inlineStr">
        <is>
          <t>Countries</t>
        </is>
      </c>
      <c r="B1777" s="56" t="inlineStr">
        <is>
          <t>AK324</t>
        </is>
      </c>
      <c r="C1777" s="56" t="n">
        <v>324</v>
      </c>
      <c r="D1777" s="56" t="inlineStr">
        <is>
          <t>Airport page</t>
        </is>
      </c>
      <c r="E1777" s="56" t="inlineStr">
        <is>
          <t>Direct</t>
        </is>
      </c>
      <c r="F1777" s="56" t="inlineStr">
        <is>
          <t>Desktop</t>
        </is>
      </c>
      <c r="G1777" s="56" t="inlineStr">
        <is>
          <t>Brazil</t>
        </is>
      </c>
      <c r="H1777" s="56" t="n">
        <v>27</v>
      </c>
      <c r="I1777" s="56" t="inlineStr">
        <is>
          <t>Begin checkout</t>
        </is>
      </c>
      <c r="J1777" s="56" t="inlineStr">
        <is>
          <t>1-23 August 2025</t>
        </is>
      </c>
      <c r="K1777" s="57" t="n">
        <v>4</v>
      </c>
      <c r="L1777" s="56" t="inlineStr">
        <is>
          <t>Completeness only</t>
        </is>
      </c>
      <c r="M1777" s="40">
        <f>IF(Countries!AK324="","STILL MISSING","Filled ✓")</f>
        <v/>
      </c>
    </row>
    <row r="1778">
      <c r="A1778" s="40" t="inlineStr">
        <is>
          <t>Countries</t>
        </is>
      </c>
      <c r="B1778" s="40" t="inlineStr">
        <is>
          <t>AL324</t>
        </is>
      </c>
      <c r="C1778" s="40" t="n">
        <v>324</v>
      </c>
      <c r="D1778" s="40" t="inlineStr">
        <is>
          <t>Airport page</t>
        </is>
      </c>
      <c r="E1778" s="40" t="inlineStr">
        <is>
          <t>Direct</t>
        </is>
      </c>
      <c r="F1778" s="40" t="inlineStr">
        <is>
          <t>Desktop</t>
        </is>
      </c>
      <c r="G1778" s="40" t="inlineStr">
        <is>
          <t>Brazil</t>
        </is>
      </c>
      <c r="H1778" s="40" t="n">
        <v>27</v>
      </c>
      <c r="I1778" s="40" t="inlineStr">
        <is>
          <t>Begin checkout</t>
        </is>
      </c>
      <c r="J1778" s="40" t="inlineStr">
        <is>
          <t>1-23 August 2026</t>
        </is>
      </c>
      <c r="K1778" s="55" t="n">
        <v>4</v>
      </c>
      <c r="L1778" s="40" t="inlineStr">
        <is>
          <t>Completeness only</t>
        </is>
      </c>
      <c r="M1778" s="40">
        <f>IF(Countries!AL324="","STILL MISSING","Filled ✓")</f>
        <v/>
      </c>
    </row>
    <row r="1779">
      <c r="A1779" s="56" t="inlineStr">
        <is>
          <t>Countries</t>
        </is>
      </c>
      <c r="B1779" s="56" t="inlineStr">
        <is>
          <t>AS324</t>
        </is>
      </c>
      <c r="C1779" s="56" t="n">
        <v>324</v>
      </c>
      <c r="D1779" s="56" t="inlineStr">
        <is>
          <t>Airport page</t>
        </is>
      </c>
      <c r="E1779" s="56" t="inlineStr">
        <is>
          <t>Direct</t>
        </is>
      </c>
      <c r="F1779" s="56" t="inlineStr">
        <is>
          <t>Desktop</t>
        </is>
      </c>
      <c r="G1779" s="56" t="inlineStr">
        <is>
          <t>Brazil</t>
        </is>
      </c>
      <c r="H1779" s="56" t="n">
        <v>27</v>
      </c>
      <c r="I1779" s="56" t="inlineStr">
        <is>
          <t>Purchases</t>
        </is>
      </c>
      <c r="J1779" s="56" t="inlineStr">
        <is>
          <t>1-23 August 2026</t>
        </is>
      </c>
      <c r="K1779" s="57" t="n">
        <v>4</v>
      </c>
      <c r="L1779" s="56" t="inlineStr">
        <is>
          <t>Completeness only</t>
        </is>
      </c>
      <c r="M1779" s="40">
        <f>IF(Countries!AS324="","STILL MISSING","Filled ✓")</f>
        <v/>
      </c>
    </row>
    <row r="1780">
      <c r="A1780" s="40" t="inlineStr">
        <is>
          <t>Countries</t>
        </is>
      </c>
      <c r="B1780" s="40" t="inlineStr">
        <is>
          <t>X324</t>
        </is>
      </c>
      <c r="C1780" s="40" t="n">
        <v>324</v>
      </c>
      <c r="D1780" s="40" t="inlineStr">
        <is>
          <t>Airport page</t>
        </is>
      </c>
      <c r="E1780" s="40" t="inlineStr">
        <is>
          <t>Direct</t>
        </is>
      </c>
      <c r="F1780" s="40" t="inlineStr">
        <is>
          <t>Desktop</t>
        </is>
      </c>
      <c r="G1780" s="40" t="inlineStr">
        <is>
          <t>Brazil</t>
        </is>
      </c>
      <c r="H1780" s="40" t="n">
        <v>27</v>
      </c>
      <c r="I1780" s="40" t="inlineStr">
        <is>
          <t>Select item</t>
        </is>
      </c>
      <c r="J1780" s="40" t="inlineStr">
        <is>
          <t>1-23 August 2026</t>
        </is>
      </c>
      <c r="K1780" s="55" t="n">
        <v>4</v>
      </c>
      <c r="L1780" s="40" t="inlineStr">
        <is>
          <t>Completeness only</t>
        </is>
      </c>
      <c r="M1780" s="40">
        <f>IF(Countries!X324="","STILL MISSING","Filled ✓")</f>
        <v/>
      </c>
    </row>
    <row r="1781">
      <c r="A1781" s="56" t="inlineStr">
        <is>
          <t>Countries</t>
        </is>
      </c>
      <c r="B1781" s="56" t="inlineStr">
        <is>
          <t>F324</t>
        </is>
      </c>
      <c r="C1781" s="56" t="n">
        <v>324</v>
      </c>
      <c r="D1781" s="56" t="inlineStr">
        <is>
          <t>Airport page</t>
        </is>
      </c>
      <c r="E1781" s="56" t="inlineStr">
        <is>
          <t>Direct</t>
        </is>
      </c>
      <c r="F1781" s="56" t="inlineStr">
        <is>
          <t>Desktop</t>
        </is>
      </c>
      <c r="G1781" s="56" t="inlineStr">
        <is>
          <t>Brazil</t>
        </is>
      </c>
      <c r="H1781" s="56" t="n">
        <v>27</v>
      </c>
      <c r="I1781" s="56" t="inlineStr">
        <is>
          <t>Sessions</t>
        </is>
      </c>
      <c r="J1781" s="56" t="inlineStr">
        <is>
          <t>1-23 August 2026</t>
        </is>
      </c>
      <c r="K1781" s="57" t="n">
        <v>4</v>
      </c>
      <c r="L1781" s="56" t="inlineStr">
        <is>
          <t>Completeness only</t>
        </is>
      </c>
      <c r="M1781" s="40">
        <f>IF(Countries!F324="","STILL MISSING","Filled ✓")</f>
        <v/>
      </c>
    </row>
    <row r="1782">
      <c r="A1782" s="40" t="inlineStr">
        <is>
          <t>Countries</t>
        </is>
      </c>
      <c r="B1782" s="40" t="inlineStr">
        <is>
          <t>I324</t>
        </is>
      </c>
      <c r="C1782" s="40" t="n">
        <v>324</v>
      </c>
      <c r="D1782" s="40" t="inlineStr">
        <is>
          <t>Airport page</t>
        </is>
      </c>
      <c r="E1782" s="40" t="inlineStr">
        <is>
          <t>Direct</t>
        </is>
      </c>
      <c r="F1782" s="40" t="inlineStr">
        <is>
          <t>Desktop</t>
        </is>
      </c>
      <c r="G1782" s="40" t="inlineStr">
        <is>
          <t>Brazil</t>
        </is>
      </c>
      <c r="H1782" s="40" t="n">
        <v>27</v>
      </c>
      <c r="I1782" s="40" t="inlineStr">
        <is>
          <t>Start Search</t>
        </is>
      </c>
      <c r="J1782" s="40" t="inlineStr">
        <is>
          <t>1-23 August 2025</t>
        </is>
      </c>
      <c r="K1782" s="55" t="n">
        <v>4</v>
      </c>
      <c r="L1782" s="40" t="inlineStr">
        <is>
          <t>Completeness only</t>
        </is>
      </c>
      <c r="M1782" s="40">
        <f>IF(Countries!I324="","STILL MISSING","Filled ✓")</f>
        <v/>
      </c>
    </row>
    <row r="1783">
      <c r="A1783" s="56" t="inlineStr">
        <is>
          <t>Countries</t>
        </is>
      </c>
      <c r="B1783" s="56" t="inlineStr">
        <is>
          <t>J324</t>
        </is>
      </c>
      <c r="C1783" s="56" t="n">
        <v>324</v>
      </c>
      <c r="D1783" s="56" t="inlineStr">
        <is>
          <t>Airport page</t>
        </is>
      </c>
      <c r="E1783" s="56" t="inlineStr">
        <is>
          <t>Direct</t>
        </is>
      </c>
      <c r="F1783" s="56" t="inlineStr">
        <is>
          <t>Desktop</t>
        </is>
      </c>
      <c r="G1783" s="56" t="inlineStr">
        <is>
          <t>Brazil</t>
        </is>
      </c>
      <c r="H1783" s="56" t="n">
        <v>27</v>
      </c>
      <c r="I1783" s="56" t="inlineStr">
        <is>
          <t>Start Search</t>
        </is>
      </c>
      <c r="J1783" s="56" t="inlineStr">
        <is>
          <t>1-23 August 2026</t>
        </is>
      </c>
      <c r="K1783" s="57" t="n">
        <v>4</v>
      </c>
      <c r="L1783" s="56" t="inlineStr">
        <is>
          <t>Completeness only</t>
        </is>
      </c>
      <c r="M1783" s="40">
        <f>IF(Countries!J324="","STILL MISSING","Filled ✓")</f>
        <v/>
      </c>
    </row>
    <row r="1784">
      <c r="A1784" s="40" t="inlineStr">
        <is>
          <t>Countries</t>
        </is>
      </c>
      <c r="B1784" s="40" t="inlineStr">
        <is>
          <t>AD386</t>
        </is>
      </c>
      <c r="C1784" s="40" t="n">
        <v>386</v>
      </c>
      <c r="D1784" s="40" t="inlineStr">
        <is>
          <t>Route page</t>
        </is>
      </c>
      <c r="E1784" s="40" t="inlineStr">
        <is>
          <t>Organic</t>
        </is>
      </c>
      <c r="F1784" s="40" t="inlineStr">
        <is>
          <t>Desktop</t>
        </is>
      </c>
      <c r="G1784" s="40" t="inlineStr">
        <is>
          <t>Brazil</t>
        </is>
      </c>
      <c r="H1784" s="40" t="n">
        <v>27</v>
      </c>
      <c r="I1784" s="40" t="inlineStr">
        <is>
          <t>Add to cart</t>
        </is>
      </c>
      <c r="J1784" s="40" t="inlineStr">
        <is>
          <t>1-23 August 2025</t>
        </is>
      </c>
      <c r="K1784" s="55" t="n">
        <v>271</v>
      </c>
      <c r="L1784" s="40" t="inlineStr">
        <is>
          <t>Completeness only</t>
        </is>
      </c>
      <c r="M1784" s="40">
        <f>IF(Countries!AD386="","STILL MISSING","Filled ✓")</f>
        <v/>
      </c>
    </row>
    <row r="1785">
      <c r="A1785" s="56" t="inlineStr">
        <is>
          <t>Countries</t>
        </is>
      </c>
      <c r="B1785" s="56" t="inlineStr">
        <is>
          <t>AE386</t>
        </is>
      </c>
      <c r="C1785" s="56" t="n">
        <v>386</v>
      </c>
      <c r="D1785" s="56" t="inlineStr">
        <is>
          <t>Route page</t>
        </is>
      </c>
      <c r="E1785" s="56" t="inlineStr">
        <is>
          <t>Organic</t>
        </is>
      </c>
      <c r="F1785" s="56" t="inlineStr">
        <is>
          <t>Desktop</t>
        </is>
      </c>
      <c r="G1785" s="56" t="inlineStr">
        <is>
          <t>Brazil</t>
        </is>
      </c>
      <c r="H1785" s="56" t="n">
        <v>27</v>
      </c>
      <c r="I1785" s="56" t="inlineStr">
        <is>
          <t>Add to cart</t>
        </is>
      </c>
      <c r="J1785" s="56" t="inlineStr">
        <is>
          <t>1-23 August 2026</t>
        </is>
      </c>
      <c r="K1785" s="57" t="n">
        <v>271</v>
      </c>
      <c r="L1785" s="56" t="inlineStr">
        <is>
          <t>Completeness only</t>
        </is>
      </c>
      <c r="M1785" s="40">
        <f>IF(Countries!AE386="","STILL MISSING","Filled ✓")</f>
        <v/>
      </c>
    </row>
    <row r="1786">
      <c r="A1786" s="40" t="inlineStr">
        <is>
          <t>Countries</t>
        </is>
      </c>
      <c r="B1786" s="40" t="inlineStr">
        <is>
          <t>AK386</t>
        </is>
      </c>
      <c r="C1786" s="40" t="n">
        <v>386</v>
      </c>
      <c r="D1786" s="40" t="inlineStr">
        <is>
          <t>Route page</t>
        </is>
      </c>
      <c r="E1786" s="40" t="inlineStr">
        <is>
          <t>Organic</t>
        </is>
      </c>
      <c r="F1786" s="40" t="inlineStr">
        <is>
          <t>Desktop</t>
        </is>
      </c>
      <c r="G1786" s="40" t="inlineStr">
        <is>
          <t>Brazil</t>
        </is>
      </c>
      <c r="H1786" s="40" t="n">
        <v>27</v>
      </c>
      <c r="I1786" s="40" t="inlineStr">
        <is>
          <t>Begin checkout</t>
        </is>
      </c>
      <c r="J1786" s="40" t="inlineStr">
        <is>
          <t>1-23 August 2025</t>
        </is>
      </c>
      <c r="K1786" s="55" t="n">
        <v>271</v>
      </c>
      <c r="L1786" s="40" t="inlineStr">
        <is>
          <t>Completeness only</t>
        </is>
      </c>
      <c r="M1786" s="40">
        <f>IF(Countries!AK386="","STILL MISSING","Filled ✓")</f>
        <v/>
      </c>
    </row>
    <row r="1787">
      <c r="A1787" s="56" t="inlineStr">
        <is>
          <t>Countries</t>
        </is>
      </c>
      <c r="B1787" s="56" t="inlineStr">
        <is>
          <t>AL386</t>
        </is>
      </c>
      <c r="C1787" s="56" t="n">
        <v>386</v>
      </c>
      <c r="D1787" s="56" t="inlineStr">
        <is>
          <t>Route page</t>
        </is>
      </c>
      <c r="E1787" s="56" t="inlineStr">
        <is>
          <t>Organic</t>
        </is>
      </c>
      <c r="F1787" s="56" t="inlineStr">
        <is>
          <t>Desktop</t>
        </is>
      </c>
      <c r="G1787" s="56" t="inlineStr">
        <is>
          <t>Brazil</t>
        </is>
      </c>
      <c r="H1787" s="56" t="n">
        <v>27</v>
      </c>
      <c r="I1787" s="56" t="inlineStr">
        <is>
          <t>Begin checkout</t>
        </is>
      </c>
      <c r="J1787" s="56" t="inlineStr">
        <is>
          <t>1-23 August 2026</t>
        </is>
      </c>
      <c r="K1787" s="57" t="n">
        <v>271</v>
      </c>
      <c r="L1787" s="56" t="inlineStr">
        <is>
          <t>Completeness only</t>
        </is>
      </c>
      <c r="M1787" s="40">
        <f>IF(Countries!AL386="","STILL MISSING","Filled ✓")</f>
        <v/>
      </c>
    </row>
    <row r="1788">
      <c r="A1788" s="40" t="inlineStr">
        <is>
          <t>Countries</t>
        </is>
      </c>
      <c r="B1788" s="40" t="inlineStr">
        <is>
          <t>AD434</t>
        </is>
      </c>
      <c r="C1788" s="40" t="n">
        <v>434</v>
      </c>
      <c r="D1788" s="40" t="inlineStr">
        <is>
          <t>Route page</t>
        </is>
      </c>
      <c r="E1788" s="40" t="inlineStr">
        <is>
          <t>Direct</t>
        </is>
      </c>
      <c r="F1788" s="40" t="inlineStr">
        <is>
          <t>Desktop</t>
        </is>
      </c>
      <c r="G1788" s="40" t="inlineStr">
        <is>
          <t>Brazil</t>
        </is>
      </c>
      <c r="H1788" s="40" t="n">
        <v>27</v>
      </c>
      <c r="I1788" s="40" t="inlineStr">
        <is>
          <t>Add to cart</t>
        </is>
      </c>
      <c r="J1788" s="40" t="inlineStr">
        <is>
          <t>1-23 August 2025</t>
        </is>
      </c>
      <c r="K1788" s="55" t="n">
        <v>5</v>
      </c>
      <c r="L1788" s="40" t="inlineStr">
        <is>
          <t>Completeness only</t>
        </is>
      </c>
      <c r="M1788" s="40">
        <f>IF(Countries!AD434="","STILL MISSING","Filled ✓")</f>
        <v/>
      </c>
    </row>
    <row r="1789">
      <c r="A1789" s="56" t="inlineStr">
        <is>
          <t>Countries</t>
        </is>
      </c>
      <c r="B1789" s="56" t="inlineStr">
        <is>
          <t>AE434</t>
        </is>
      </c>
      <c r="C1789" s="56" t="n">
        <v>434</v>
      </c>
      <c r="D1789" s="56" t="inlineStr">
        <is>
          <t>Route page</t>
        </is>
      </c>
      <c r="E1789" s="56" t="inlineStr">
        <is>
          <t>Direct</t>
        </is>
      </c>
      <c r="F1789" s="56" t="inlineStr">
        <is>
          <t>Desktop</t>
        </is>
      </c>
      <c r="G1789" s="56" t="inlineStr">
        <is>
          <t>Brazil</t>
        </is>
      </c>
      <c r="H1789" s="56" t="n">
        <v>27</v>
      </c>
      <c r="I1789" s="56" t="inlineStr">
        <is>
          <t>Add to cart</t>
        </is>
      </c>
      <c r="J1789" s="56" t="inlineStr">
        <is>
          <t>1-23 August 2026</t>
        </is>
      </c>
      <c r="K1789" s="57" t="n">
        <v>5</v>
      </c>
      <c r="L1789" s="56" t="inlineStr">
        <is>
          <t>Completeness only</t>
        </is>
      </c>
      <c r="M1789" s="40">
        <f>IF(Countries!AE434="","STILL MISSING","Filled ✓")</f>
        <v/>
      </c>
    </row>
    <row r="1790">
      <c r="A1790" s="40" t="inlineStr">
        <is>
          <t>Countries</t>
        </is>
      </c>
      <c r="B1790" s="40" t="inlineStr">
        <is>
          <t>AK434</t>
        </is>
      </c>
      <c r="C1790" s="40" t="n">
        <v>434</v>
      </c>
      <c r="D1790" s="40" t="inlineStr">
        <is>
          <t>Route page</t>
        </is>
      </c>
      <c r="E1790" s="40" t="inlineStr">
        <is>
          <t>Direct</t>
        </is>
      </c>
      <c r="F1790" s="40" t="inlineStr">
        <is>
          <t>Desktop</t>
        </is>
      </c>
      <c r="G1790" s="40" t="inlineStr">
        <is>
          <t>Brazil</t>
        </is>
      </c>
      <c r="H1790" s="40" t="n">
        <v>27</v>
      </c>
      <c r="I1790" s="40" t="inlineStr">
        <is>
          <t>Begin checkout</t>
        </is>
      </c>
      <c r="J1790" s="40" t="inlineStr">
        <is>
          <t>1-23 August 2025</t>
        </is>
      </c>
      <c r="K1790" s="55" t="n">
        <v>5</v>
      </c>
      <c r="L1790" s="40" t="inlineStr">
        <is>
          <t>Completeness only</t>
        </is>
      </c>
      <c r="M1790" s="40">
        <f>IF(Countries!AK434="","STILL MISSING","Filled ✓")</f>
        <v/>
      </c>
    </row>
    <row r="1791">
      <c r="A1791" s="56" t="inlineStr">
        <is>
          <t>Countries</t>
        </is>
      </c>
      <c r="B1791" s="56" t="inlineStr">
        <is>
          <t>AL434</t>
        </is>
      </c>
      <c r="C1791" s="56" t="n">
        <v>434</v>
      </c>
      <c r="D1791" s="56" t="inlineStr">
        <is>
          <t>Route page</t>
        </is>
      </c>
      <c r="E1791" s="56" t="inlineStr">
        <is>
          <t>Direct</t>
        </is>
      </c>
      <c r="F1791" s="56" t="inlineStr">
        <is>
          <t>Desktop</t>
        </is>
      </c>
      <c r="G1791" s="56" t="inlineStr">
        <is>
          <t>Brazil</t>
        </is>
      </c>
      <c r="H1791" s="56" t="n">
        <v>27</v>
      </c>
      <c r="I1791" s="56" t="inlineStr">
        <is>
          <t>Begin checkout</t>
        </is>
      </c>
      <c r="J1791" s="56" t="inlineStr">
        <is>
          <t>1-23 August 2026</t>
        </is>
      </c>
      <c r="K1791" s="57" t="n">
        <v>5</v>
      </c>
      <c r="L1791" s="56" t="inlineStr">
        <is>
          <t>Completeness only</t>
        </is>
      </c>
      <c r="M1791" s="40">
        <f>IF(Countries!AL434="","STILL MISSING","Filled ✓")</f>
        <v/>
      </c>
    </row>
    <row r="1792">
      <c r="A1792" s="40" t="inlineStr">
        <is>
          <t>Countries</t>
        </is>
      </c>
      <c r="B1792" s="40" t="inlineStr">
        <is>
          <t>AS434</t>
        </is>
      </c>
      <c r="C1792" s="40" t="n">
        <v>434</v>
      </c>
      <c r="D1792" s="40" t="inlineStr">
        <is>
          <t>Route page</t>
        </is>
      </c>
      <c r="E1792" s="40" t="inlineStr">
        <is>
          <t>Direct</t>
        </is>
      </c>
      <c r="F1792" s="40" t="inlineStr">
        <is>
          <t>Desktop</t>
        </is>
      </c>
      <c r="G1792" s="40" t="inlineStr">
        <is>
          <t>Brazil</t>
        </is>
      </c>
      <c r="H1792" s="40" t="n">
        <v>27</v>
      </c>
      <c r="I1792" s="40" t="inlineStr">
        <is>
          <t>Purchases</t>
        </is>
      </c>
      <c r="J1792" s="40" t="inlineStr">
        <is>
          <t>1-23 August 2026</t>
        </is>
      </c>
      <c r="K1792" s="55" t="n">
        <v>5</v>
      </c>
      <c r="L1792" s="40" t="inlineStr">
        <is>
          <t>Completeness only</t>
        </is>
      </c>
      <c r="M1792" s="40">
        <f>IF(Countries!AS434="","STILL MISSING","Filled ✓")</f>
        <v/>
      </c>
    </row>
    <row r="1793">
      <c r="A1793" s="56" t="inlineStr">
        <is>
          <t>Countries</t>
        </is>
      </c>
      <c r="B1793" s="56" t="inlineStr">
        <is>
          <t>X434</t>
        </is>
      </c>
      <c r="C1793" s="56" t="n">
        <v>434</v>
      </c>
      <c r="D1793" s="56" t="inlineStr">
        <is>
          <t>Route page</t>
        </is>
      </c>
      <c r="E1793" s="56" t="inlineStr">
        <is>
          <t>Direct</t>
        </is>
      </c>
      <c r="F1793" s="56" t="inlineStr">
        <is>
          <t>Desktop</t>
        </is>
      </c>
      <c r="G1793" s="56" t="inlineStr">
        <is>
          <t>Brazil</t>
        </is>
      </c>
      <c r="H1793" s="56" t="n">
        <v>27</v>
      </c>
      <c r="I1793" s="56" t="inlineStr">
        <is>
          <t>Select item</t>
        </is>
      </c>
      <c r="J1793" s="56" t="inlineStr">
        <is>
          <t>1-23 August 2026</t>
        </is>
      </c>
      <c r="K1793" s="57" t="n">
        <v>5</v>
      </c>
      <c r="L1793" s="56" t="inlineStr">
        <is>
          <t>Completeness only</t>
        </is>
      </c>
      <c r="M1793" s="40">
        <f>IF(Countries!X434="","STILL MISSING","Filled ✓")</f>
        <v/>
      </c>
    </row>
    <row r="1794">
      <c r="A1794" s="40" t="inlineStr">
        <is>
          <t>Countries</t>
        </is>
      </c>
      <c r="B1794" s="40" t="inlineStr">
        <is>
          <t>F434</t>
        </is>
      </c>
      <c r="C1794" s="40" t="n">
        <v>434</v>
      </c>
      <c r="D1794" s="40" t="inlineStr">
        <is>
          <t>Route page</t>
        </is>
      </c>
      <c r="E1794" s="40" t="inlineStr">
        <is>
          <t>Direct</t>
        </is>
      </c>
      <c r="F1794" s="40" t="inlineStr">
        <is>
          <t>Desktop</t>
        </is>
      </c>
      <c r="G1794" s="40" t="inlineStr">
        <is>
          <t>Brazil</t>
        </is>
      </c>
      <c r="H1794" s="40" t="n">
        <v>27</v>
      </c>
      <c r="I1794" s="40" t="inlineStr">
        <is>
          <t>Sessions</t>
        </is>
      </c>
      <c r="J1794" s="40" t="inlineStr">
        <is>
          <t>1-23 August 2026</t>
        </is>
      </c>
      <c r="K1794" s="55" t="n">
        <v>5</v>
      </c>
      <c r="L1794" s="40" t="inlineStr">
        <is>
          <t>Completeness only</t>
        </is>
      </c>
      <c r="M1794" s="40">
        <f>IF(Countries!F434="","STILL MISSING","Filled ✓")</f>
        <v/>
      </c>
    </row>
    <row r="1795">
      <c r="A1795" s="56" t="inlineStr">
        <is>
          <t>Countries</t>
        </is>
      </c>
      <c r="B1795" s="56" t="inlineStr">
        <is>
          <t>I434</t>
        </is>
      </c>
      <c r="C1795" s="56" t="n">
        <v>434</v>
      </c>
      <c r="D1795" s="56" t="inlineStr">
        <is>
          <t>Route page</t>
        </is>
      </c>
      <c r="E1795" s="56" t="inlineStr">
        <is>
          <t>Direct</t>
        </is>
      </c>
      <c r="F1795" s="56" t="inlineStr">
        <is>
          <t>Desktop</t>
        </is>
      </c>
      <c r="G1795" s="56" t="inlineStr">
        <is>
          <t>Brazil</t>
        </is>
      </c>
      <c r="H1795" s="56" t="n">
        <v>27</v>
      </c>
      <c r="I1795" s="56" t="inlineStr">
        <is>
          <t>Start Search</t>
        </is>
      </c>
      <c r="J1795" s="56" t="inlineStr">
        <is>
          <t>1-23 August 2025</t>
        </is>
      </c>
      <c r="K1795" s="57" t="n">
        <v>5</v>
      </c>
      <c r="L1795" s="56" t="inlineStr">
        <is>
          <t>Completeness only</t>
        </is>
      </c>
      <c r="M1795" s="40">
        <f>IF(Countries!I434="","STILL MISSING","Filled ✓")</f>
        <v/>
      </c>
    </row>
    <row r="1796">
      <c r="A1796" s="40" t="inlineStr">
        <is>
          <t>Countries</t>
        </is>
      </c>
      <c r="B1796" s="40" t="inlineStr">
        <is>
          <t>J434</t>
        </is>
      </c>
      <c r="C1796" s="40" t="n">
        <v>434</v>
      </c>
      <c r="D1796" s="40" t="inlineStr">
        <is>
          <t>Route page</t>
        </is>
      </c>
      <c r="E1796" s="40" t="inlineStr">
        <is>
          <t>Direct</t>
        </is>
      </c>
      <c r="F1796" s="40" t="inlineStr">
        <is>
          <t>Desktop</t>
        </is>
      </c>
      <c r="G1796" s="40" t="inlineStr">
        <is>
          <t>Brazil</t>
        </is>
      </c>
      <c r="H1796" s="40" t="n">
        <v>27</v>
      </c>
      <c r="I1796" s="40" t="inlineStr">
        <is>
          <t>Start Search</t>
        </is>
      </c>
      <c r="J1796" s="40" t="inlineStr">
        <is>
          <t>1-23 August 2026</t>
        </is>
      </c>
      <c r="K1796" s="55" t="n">
        <v>5</v>
      </c>
      <c r="L1796" s="40" t="inlineStr">
        <is>
          <t>Completeness only</t>
        </is>
      </c>
      <c r="M1796" s="40">
        <f>IF(Countries!J434="","STILL MISSING","Filled ✓")</f>
        <v/>
      </c>
    </row>
    <row r="1797">
      <c r="A1797" s="56" t="inlineStr">
        <is>
          <t>Countries</t>
        </is>
      </c>
      <c r="B1797" s="56" t="inlineStr">
        <is>
          <t>AD413</t>
        </is>
      </c>
      <c r="C1797" s="56" t="n">
        <v>413</v>
      </c>
      <c r="D1797" s="56" t="inlineStr">
        <is>
          <t>Route page</t>
        </is>
      </c>
      <c r="E1797" s="56" t="inlineStr">
        <is>
          <t>Direct</t>
        </is>
      </c>
      <c r="F1797" s="56" t="inlineStr">
        <is>
          <t>Mobile</t>
        </is>
      </c>
      <c r="G1797" s="56" t="inlineStr">
        <is>
          <t>Brazil</t>
        </is>
      </c>
      <c r="H1797" s="56" t="n">
        <v>27</v>
      </c>
      <c r="I1797" s="56" t="inlineStr">
        <is>
          <t>Add to cart</t>
        </is>
      </c>
      <c r="J1797" s="56" t="inlineStr">
        <is>
          <t>1-23 August 2025</t>
        </is>
      </c>
      <c r="K1797" s="57" t="n">
        <v>16</v>
      </c>
      <c r="L1797" s="56" t="inlineStr">
        <is>
          <t>Completeness only</t>
        </is>
      </c>
      <c r="M1797" s="40">
        <f>IF(Countries!AD413="","STILL MISSING","Filled ✓")</f>
        <v/>
      </c>
    </row>
    <row r="1798">
      <c r="A1798" s="40" t="inlineStr">
        <is>
          <t>Countries</t>
        </is>
      </c>
      <c r="B1798" s="40" t="inlineStr">
        <is>
          <t>AE413</t>
        </is>
      </c>
      <c r="C1798" s="40" t="n">
        <v>413</v>
      </c>
      <c r="D1798" s="40" t="inlineStr">
        <is>
          <t>Route page</t>
        </is>
      </c>
      <c r="E1798" s="40" t="inlineStr">
        <is>
          <t>Direct</t>
        </is>
      </c>
      <c r="F1798" s="40" t="inlineStr">
        <is>
          <t>Mobile</t>
        </is>
      </c>
      <c r="G1798" s="40" t="inlineStr">
        <is>
          <t>Brazil</t>
        </is>
      </c>
      <c r="H1798" s="40" t="n">
        <v>27</v>
      </c>
      <c r="I1798" s="40" t="inlineStr">
        <is>
          <t>Add to cart</t>
        </is>
      </c>
      <c r="J1798" s="40" t="inlineStr">
        <is>
          <t>1-23 August 2026</t>
        </is>
      </c>
      <c r="K1798" s="55" t="n">
        <v>16</v>
      </c>
      <c r="L1798" s="40" t="inlineStr">
        <is>
          <t>Completeness only</t>
        </is>
      </c>
      <c r="M1798" s="40">
        <f>IF(Countries!AE413="","STILL MISSING","Filled ✓")</f>
        <v/>
      </c>
    </row>
    <row r="1799">
      <c r="A1799" s="56" t="inlineStr">
        <is>
          <t>Countries</t>
        </is>
      </c>
      <c r="B1799" s="56" t="inlineStr">
        <is>
          <t>AK413</t>
        </is>
      </c>
      <c r="C1799" s="56" t="n">
        <v>413</v>
      </c>
      <c r="D1799" s="56" t="inlineStr">
        <is>
          <t>Route page</t>
        </is>
      </c>
      <c r="E1799" s="56" t="inlineStr">
        <is>
          <t>Direct</t>
        </is>
      </c>
      <c r="F1799" s="56" t="inlineStr">
        <is>
          <t>Mobile</t>
        </is>
      </c>
      <c r="G1799" s="56" t="inlineStr">
        <is>
          <t>Brazil</t>
        </is>
      </c>
      <c r="H1799" s="56" t="n">
        <v>27</v>
      </c>
      <c r="I1799" s="56" t="inlineStr">
        <is>
          <t>Begin checkout</t>
        </is>
      </c>
      <c r="J1799" s="56" t="inlineStr">
        <is>
          <t>1-23 August 2025</t>
        </is>
      </c>
      <c r="K1799" s="57" t="n">
        <v>16</v>
      </c>
      <c r="L1799" s="56" t="inlineStr">
        <is>
          <t>Completeness only</t>
        </is>
      </c>
      <c r="M1799" s="40">
        <f>IF(Countries!AK413="","STILL MISSING","Filled ✓")</f>
        <v/>
      </c>
    </row>
    <row r="1800">
      <c r="A1800" s="40" t="inlineStr">
        <is>
          <t>Countries</t>
        </is>
      </c>
      <c r="B1800" s="40" t="inlineStr">
        <is>
          <t>AL413</t>
        </is>
      </c>
      <c r="C1800" s="40" t="n">
        <v>413</v>
      </c>
      <c r="D1800" s="40" t="inlineStr">
        <is>
          <t>Route page</t>
        </is>
      </c>
      <c r="E1800" s="40" t="inlineStr">
        <is>
          <t>Direct</t>
        </is>
      </c>
      <c r="F1800" s="40" t="inlineStr">
        <is>
          <t>Mobile</t>
        </is>
      </c>
      <c r="G1800" s="40" t="inlineStr">
        <is>
          <t>Brazil</t>
        </is>
      </c>
      <c r="H1800" s="40" t="n">
        <v>27</v>
      </c>
      <c r="I1800" s="40" t="inlineStr">
        <is>
          <t>Begin checkout</t>
        </is>
      </c>
      <c r="J1800" s="40" t="inlineStr">
        <is>
          <t>1-23 August 2026</t>
        </is>
      </c>
      <c r="K1800" s="55" t="n">
        <v>16</v>
      </c>
      <c r="L1800" s="40" t="inlineStr">
        <is>
          <t>Completeness only</t>
        </is>
      </c>
      <c r="M1800" s="40">
        <f>IF(Countries!AL413="","STILL MISSING","Filled ✓")</f>
        <v/>
      </c>
    </row>
    <row r="1801">
      <c r="A1801" s="56" t="inlineStr">
        <is>
          <t>Countries</t>
        </is>
      </c>
      <c r="B1801" s="56" t="inlineStr">
        <is>
          <t>AS413</t>
        </is>
      </c>
      <c r="C1801" s="56" t="n">
        <v>413</v>
      </c>
      <c r="D1801" s="56" t="inlineStr">
        <is>
          <t>Route page</t>
        </is>
      </c>
      <c r="E1801" s="56" t="inlineStr">
        <is>
          <t>Direct</t>
        </is>
      </c>
      <c r="F1801" s="56" t="inlineStr">
        <is>
          <t>Mobile</t>
        </is>
      </c>
      <c r="G1801" s="56" t="inlineStr">
        <is>
          <t>Brazil</t>
        </is>
      </c>
      <c r="H1801" s="56" t="n">
        <v>27</v>
      </c>
      <c r="I1801" s="56" t="inlineStr">
        <is>
          <t>Purchases</t>
        </is>
      </c>
      <c r="J1801" s="56" t="inlineStr">
        <is>
          <t>1-23 August 2026</t>
        </is>
      </c>
      <c r="K1801" s="57" t="n">
        <v>16</v>
      </c>
      <c r="L1801" s="56" t="inlineStr">
        <is>
          <t>Completeness only</t>
        </is>
      </c>
      <c r="M1801" s="40">
        <f>IF(Countries!AS413="","STILL MISSING","Filled ✓")</f>
        <v/>
      </c>
    </row>
    <row r="1802">
      <c r="A1802" s="40" t="inlineStr">
        <is>
          <t>Countries</t>
        </is>
      </c>
      <c r="B1802" s="40" t="inlineStr">
        <is>
          <t>X413</t>
        </is>
      </c>
      <c r="C1802" s="40" t="n">
        <v>413</v>
      </c>
      <c r="D1802" s="40" t="inlineStr">
        <is>
          <t>Route page</t>
        </is>
      </c>
      <c r="E1802" s="40" t="inlineStr">
        <is>
          <t>Direct</t>
        </is>
      </c>
      <c r="F1802" s="40" t="inlineStr">
        <is>
          <t>Mobile</t>
        </is>
      </c>
      <c r="G1802" s="40" t="inlineStr">
        <is>
          <t>Brazil</t>
        </is>
      </c>
      <c r="H1802" s="40" t="n">
        <v>27</v>
      </c>
      <c r="I1802" s="40" t="inlineStr">
        <is>
          <t>Select item</t>
        </is>
      </c>
      <c r="J1802" s="40" t="inlineStr">
        <is>
          <t>1-23 August 2026</t>
        </is>
      </c>
      <c r="K1802" s="55" t="n">
        <v>16</v>
      </c>
      <c r="L1802" s="40" t="inlineStr">
        <is>
          <t>Completeness only</t>
        </is>
      </c>
      <c r="M1802" s="40">
        <f>IF(Countries!X413="","STILL MISSING","Filled ✓")</f>
        <v/>
      </c>
    </row>
    <row r="1803">
      <c r="A1803" s="56" t="inlineStr">
        <is>
          <t>Countries</t>
        </is>
      </c>
      <c r="B1803" s="56" t="inlineStr">
        <is>
          <t>F413</t>
        </is>
      </c>
      <c r="C1803" s="56" t="n">
        <v>413</v>
      </c>
      <c r="D1803" s="56" t="inlineStr">
        <is>
          <t>Route page</t>
        </is>
      </c>
      <c r="E1803" s="56" t="inlineStr">
        <is>
          <t>Direct</t>
        </is>
      </c>
      <c r="F1803" s="56" t="inlineStr">
        <is>
          <t>Mobile</t>
        </is>
      </c>
      <c r="G1803" s="56" t="inlineStr">
        <is>
          <t>Brazil</t>
        </is>
      </c>
      <c r="H1803" s="56" t="n">
        <v>27</v>
      </c>
      <c r="I1803" s="56" t="inlineStr">
        <is>
          <t>Sessions</t>
        </is>
      </c>
      <c r="J1803" s="56" t="inlineStr">
        <is>
          <t>1-23 August 2026</t>
        </is>
      </c>
      <c r="K1803" s="57" t="n">
        <v>16</v>
      </c>
      <c r="L1803" s="56" t="inlineStr">
        <is>
          <t>Completeness only</t>
        </is>
      </c>
      <c r="M1803" s="40">
        <f>IF(Countries!F413="","STILL MISSING","Filled ✓")</f>
        <v/>
      </c>
    </row>
    <row r="1804">
      <c r="A1804" s="40" t="inlineStr">
        <is>
          <t>Countries</t>
        </is>
      </c>
      <c r="B1804" s="40" t="inlineStr">
        <is>
          <t>I413</t>
        </is>
      </c>
      <c r="C1804" s="40" t="n">
        <v>413</v>
      </c>
      <c r="D1804" s="40" t="inlineStr">
        <is>
          <t>Route page</t>
        </is>
      </c>
      <c r="E1804" s="40" t="inlineStr">
        <is>
          <t>Direct</t>
        </is>
      </c>
      <c r="F1804" s="40" t="inlineStr">
        <is>
          <t>Mobile</t>
        </is>
      </c>
      <c r="G1804" s="40" t="inlineStr">
        <is>
          <t>Brazil</t>
        </is>
      </c>
      <c r="H1804" s="40" t="n">
        <v>27</v>
      </c>
      <c r="I1804" s="40" t="inlineStr">
        <is>
          <t>Start Search</t>
        </is>
      </c>
      <c r="J1804" s="40" t="inlineStr">
        <is>
          <t>1-23 August 2025</t>
        </is>
      </c>
      <c r="K1804" s="55" t="n">
        <v>16</v>
      </c>
      <c r="L1804" s="40" t="inlineStr">
        <is>
          <t>Completeness only</t>
        </is>
      </c>
      <c r="M1804" s="40">
        <f>IF(Countries!I413="","STILL MISSING","Filled ✓")</f>
        <v/>
      </c>
    </row>
    <row r="1805">
      <c r="A1805" s="56" t="inlineStr">
        <is>
          <t>Countries</t>
        </is>
      </c>
      <c r="B1805" s="56" t="inlineStr">
        <is>
          <t>J413</t>
        </is>
      </c>
      <c r="C1805" s="56" t="n">
        <v>413</v>
      </c>
      <c r="D1805" s="56" t="inlineStr">
        <is>
          <t>Route page</t>
        </is>
      </c>
      <c r="E1805" s="56" t="inlineStr">
        <is>
          <t>Direct</t>
        </is>
      </c>
      <c r="F1805" s="56" t="inlineStr">
        <is>
          <t>Mobile</t>
        </is>
      </c>
      <c r="G1805" s="56" t="inlineStr">
        <is>
          <t>Brazil</t>
        </is>
      </c>
      <c r="H1805" s="56" t="n">
        <v>27</v>
      </c>
      <c r="I1805" s="56" t="inlineStr">
        <is>
          <t>Start Search</t>
        </is>
      </c>
      <c r="J1805" s="56" t="inlineStr">
        <is>
          <t>1-23 August 2026</t>
        </is>
      </c>
      <c r="K1805" s="57" t="n">
        <v>16</v>
      </c>
      <c r="L1805" s="56" t="inlineStr">
        <is>
          <t>Completeness only</t>
        </is>
      </c>
      <c r="M1805" s="40">
        <f>IF(Countries!J413="","STILL MISSING","Filled ✓")</f>
        <v/>
      </c>
    </row>
    <row r="1806">
      <c r="A1806" s="40" t="inlineStr">
        <is>
          <t>Countries</t>
        </is>
      </c>
      <c r="B1806" s="40" t="inlineStr">
        <is>
          <t>AD428</t>
        </is>
      </c>
      <c r="C1806" s="40" t="n">
        <v>428</v>
      </c>
      <c r="D1806" s="40" t="inlineStr">
        <is>
          <t>Route page</t>
        </is>
      </c>
      <c r="E1806" s="40" t="inlineStr">
        <is>
          <t>Direct</t>
        </is>
      </c>
      <c r="F1806" s="40" t="inlineStr">
        <is>
          <t>Desktop</t>
        </is>
      </c>
      <c r="G1806" s="40" t="inlineStr">
        <is>
          <t>China</t>
        </is>
      </c>
      <c r="H1806" s="40" t="n">
        <v>28</v>
      </c>
      <c r="I1806" s="40" t="inlineStr">
        <is>
          <t>Add to cart</t>
        </is>
      </c>
      <c r="J1806" s="40" t="inlineStr">
        <is>
          <t>1-23 August 2025</t>
        </is>
      </c>
      <c r="K1806" s="55" t="n">
        <v>59</v>
      </c>
      <c r="L1806" s="40" t="inlineStr">
        <is>
          <t>Completeness only</t>
        </is>
      </c>
      <c r="M1806" s="40">
        <f>IF(Countries!AD428="","STILL MISSING","Filled ✓")</f>
        <v/>
      </c>
    </row>
    <row r="1807">
      <c r="A1807" s="56" t="inlineStr">
        <is>
          <t>Countries</t>
        </is>
      </c>
      <c r="B1807" s="56" t="inlineStr">
        <is>
          <t>AE428</t>
        </is>
      </c>
      <c r="C1807" s="56" t="n">
        <v>428</v>
      </c>
      <c r="D1807" s="56" t="inlineStr">
        <is>
          <t>Route page</t>
        </is>
      </c>
      <c r="E1807" s="56" t="inlineStr">
        <is>
          <t>Direct</t>
        </is>
      </c>
      <c r="F1807" s="56" t="inlineStr">
        <is>
          <t>Desktop</t>
        </is>
      </c>
      <c r="G1807" s="56" t="inlineStr">
        <is>
          <t>China</t>
        </is>
      </c>
      <c r="H1807" s="56" t="n">
        <v>28</v>
      </c>
      <c r="I1807" s="56" t="inlineStr">
        <is>
          <t>Add to cart</t>
        </is>
      </c>
      <c r="J1807" s="56" t="inlineStr">
        <is>
          <t>1-23 August 2026</t>
        </is>
      </c>
      <c r="K1807" s="57" t="n">
        <v>59</v>
      </c>
      <c r="L1807" s="56" t="inlineStr">
        <is>
          <t>Completeness only</t>
        </is>
      </c>
      <c r="M1807" s="40">
        <f>IF(Countries!AE428="","STILL MISSING","Filled ✓")</f>
        <v/>
      </c>
    </row>
    <row r="1808">
      <c r="A1808" s="40" t="inlineStr">
        <is>
          <t>Countries</t>
        </is>
      </c>
      <c r="B1808" s="40" t="inlineStr">
        <is>
          <t>AK428</t>
        </is>
      </c>
      <c r="C1808" s="40" t="n">
        <v>428</v>
      </c>
      <c r="D1808" s="40" t="inlineStr">
        <is>
          <t>Route page</t>
        </is>
      </c>
      <c r="E1808" s="40" t="inlineStr">
        <is>
          <t>Direct</t>
        </is>
      </c>
      <c r="F1808" s="40" t="inlineStr">
        <is>
          <t>Desktop</t>
        </is>
      </c>
      <c r="G1808" s="40" t="inlineStr">
        <is>
          <t>China</t>
        </is>
      </c>
      <c r="H1808" s="40" t="n">
        <v>28</v>
      </c>
      <c r="I1808" s="40" t="inlineStr">
        <is>
          <t>Begin checkout</t>
        </is>
      </c>
      <c r="J1808" s="40" t="inlineStr">
        <is>
          <t>1-23 August 2025</t>
        </is>
      </c>
      <c r="K1808" s="55" t="n">
        <v>59</v>
      </c>
      <c r="L1808" s="40" t="inlineStr">
        <is>
          <t>Completeness only</t>
        </is>
      </c>
      <c r="M1808" s="40">
        <f>IF(Countries!AK428="","STILL MISSING","Filled ✓")</f>
        <v/>
      </c>
    </row>
    <row r="1809">
      <c r="A1809" s="56" t="inlineStr">
        <is>
          <t>Countries</t>
        </is>
      </c>
      <c r="B1809" s="56" t="inlineStr">
        <is>
          <t>AL428</t>
        </is>
      </c>
      <c r="C1809" s="56" t="n">
        <v>428</v>
      </c>
      <c r="D1809" s="56" t="inlineStr">
        <is>
          <t>Route page</t>
        </is>
      </c>
      <c r="E1809" s="56" t="inlineStr">
        <is>
          <t>Direct</t>
        </is>
      </c>
      <c r="F1809" s="56" t="inlineStr">
        <is>
          <t>Desktop</t>
        </is>
      </c>
      <c r="G1809" s="56" t="inlineStr">
        <is>
          <t>China</t>
        </is>
      </c>
      <c r="H1809" s="56" t="n">
        <v>28</v>
      </c>
      <c r="I1809" s="56" t="inlineStr">
        <is>
          <t>Begin checkout</t>
        </is>
      </c>
      <c r="J1809" s="56" t="inlineStr">
        <is>
          <t>1-23 August 2026</t>
        </is>
      </c>
      <c r="K1809" s="57" t="n">
        <v>59</v>
      </c>
      <c r="L1809" s="56" t="inlineStr">
        <is>
          <t>Completeness only</t>
        </is>
      </c>
      <c r="M1809" s="40">
        <f>IF(Countries!AL428="","STILL MISSING","Filled ✓")</f>
        <v/>
      </c>
    </row>
    <row r="1810">
      <c r="A1810" s="40" t="inlineStr">
        <is>
          <t>Countries</t>
        </is>
      </c>
      <c r="B1810" s="40" t="inlineStr">
        <is>
          <t>AS428</t>
        </is>
      </c>
      <c r="C1810" s="40" t="n">
        <v>428</v>
      </c>
      <c r="D1810" s="40" t="inlineStr">
        <is>
          <t>Route page</t>
        </is>
      </c>
      <c r="E1810" s="40" t="inlineStr">
        <is>
          <t>Direct</t>
        </is>
      </c>
      <c r="F1810" s="40" t="inlineStr">
        <is>
          <t>Desktop</t>
        </is>
      </c>
      <c r="G1810" s="40" t="inlineStr">
        <is>
          <t>China</t>
        </is>
      </c>
      <c r="H1810" s="40" t="n">
        <v>28</v>
      </c>
      <c r="I1810" s="40" t="inlineStr">
        <is>
          <t>Purchases</t>
        </is>
      </c>
      <c r="J1810" s="40" t="inlineStr">
        <is>
          <t>1-23 August 2026</t>
        </is>
      </c>
      <c r="K1810" s="55" t="n">
        <v>59</v>
      </c>
      <c r="L1810" s="40" t="inlineStr">
        <is>
          <t>Completeness only</t>
        </is>
      </c>
      <c r="M1810" s="40">
        <f>IF(Countries!AS428="","STILL MISSING","Filled ✓")</f>
        <v/>
      </c>
    </row>
    <row r="1811">
      <c r="A1811" s="56" t="inlineStr">
        <is>
          <t>Countries</t>
        </is>
      </c>
      <c r="B1811" s="56" t="inlineStr">
        <is>
          <t>Q428</t>
        </is>
      </c>
      <c r="C1811" s="56" t="n">
        <v>428</v>
      </c>
      <c r="D1811" s="56" t="inlineStr">
        <is>
          <t>Route page</t>
        </is>
      </c>
      <c r="E1811" s="56" t="inlineStr">
        <is>
          <t>Direct</t>
        </is>
      </c>
      <c r="F1811" s="56" t="inlineStr">
        <is>
          <t>Desktop</t>
        </is>
      </c>
      <c r="G1811" s="56" t="inlineStr">
        <is>
          <t>China</t>
        </is>
      </c>
      <c r="H1811" s="56" t="n">
        <v>28</v>
      </c>
      <c r="I1811" s="56" t="inlineStr">
        <is>
          <t>Searches</t>
        </is>
      </c>
      <c r="J1811" s="56" t="inlineStr">
        <is>
          <t>1-23 August 2026</t>
        </is>
      </c>
      <c r="K1811" s="57" t="n">
        <v>59</v>
      </c>
      <c r="L1811" s="56" t="inlineStr">
        <is>
          <t>Completeness only</t>
        </is>
      </c>
      <c r="M1811" s="40">
        <f>IF(Countries!Q428="","STILL MISSING","Filled ✓")</f>
        <v/>
      </c>
    </row>
    <row r="1812">
      <c r="A1812" s="40" t="inlineStr">
        <is>
          <t>Countries</t>
        </is>
      </c>
      <c r="B1812" s="40" t="inlineStr">
        <is>
          <t>W428</t>
        </is>
      </c>
      <c r="C1812" s="40" t="n">
        <v>428</v>
      </c>
      <c r="D1812" s="40" t="inlineStr">
        <is>
          <t>Route page</t>
        </is>
      </c>
      <c r="E1812" s="40" t="inlineStr">
        <is>
          <t>Direct</t>
        </is>
      </c>
      <c r="F1812" s="40" t="inlineStr">
        <is>
          <t>Desktop</t>
        </is>
      </c>
      <c r="G1812" s="40" t="inlineStr">
        <is>
          <t>China</t>
        </is>
      </c>
      <c r="H1812" s="40" t="n">
        <v>28</v>
      </c>
      <c r="I1812" s="40" t="inlineStr">
        <is>
          <t>Select item</t>
        </is>
      </c>
      <c r="J1812" s="40" t="inlineStr">
        <is>
          <t>1-23 August 2025</t>
        </is>
      </c>
      <c r="K1812" s="55" t="n">
        <v>59</v>
      </c>
      <c r="L1812" s="40" t="inlineStr">
        <is>
          <t>Completeness only</t>
        </is>
      </c>
      <c r="M1812" s="40">
        <f>IF(Countries!W428="","STILL MISSING","Filled ✓")</f>
        <v/>
      </c>
    </row>
    <row r="1813">
      <c r="A1813" s="56" t="inlineStr">
        <is>
          <t>Countries</t>
        </is>
      </c>
      <c r="B1813" s="56" t="inlineStr">
        <is>
          <t>X428</t>
        </is>
      </c>
      <c r="C1813" s="56" t="n">
        <v>428</v>
      </c>
      <c r="D1813" s="56" t="inlineStr">
        <is>
          <t>Route page</t>
        </is>
      </c>
      <c r="E1813" s="56" t="inlineStr">
        <is>
          <t>Direct</t>
        </is>
      </c>
      <c r="F1813" s="56" t="inlineStr">
        <is>
          <t>Desktop</t>
        </is>
      </c>
      <c r="G1813" s="56" t="inlineStr">
        <is>
          <t>China</t>
        </is>
      </c>
      <c r="H1813" s="56" t="n">
        <v>28</v>
      </c>
      <c r="I1813" s="56" t="inlineStr">
        <is>
          <t>Select item</t>
        </is>
      </c>
      <c r="J1813" s="56" t="inlineStr">
        <is>
          <t>1-23 August 2026</t>
        </is>
      </c>
      <c r="K1813" s="57" t="n">
        <v>59</v>
      </c>
      <c r="L1813" s="56" t="inlineStr">
        <is>
          <t>Completeness only</t>
        </is>
      </c>
      <c r="M1813" s="40">
        <f>IF(Countries!X428="","STILL MISSING","Filled ✓")</f>
        <v/>
      </c>
    </row>
    <row r="1814">
      <c r="A1814" s="40" t="inlineStr">
        <is>
          <t>Countries</t>
        </is>
      </c>
      <c r="B1814" s="40" t="inlineStr">
        <is>
          <t>J428</t>
        </is>
      </c>
      <c r="C1814" s="40" t="n">
        <v>428</v>
      </c>
      <c r="D1814" s="40" t="inlineStr">
        <is>
          <t>Route page</t>
        </is>
      </c>
      <c r="E1814" s="40" t="inlineStr">
        <is>
          <t>Direct</t>
        </is>
      </c>
      <c r="F1814" s="40" t="inlineStr">
        <is>
          <t>Desktop</t>
        </is>
      </c>
      <c r="G1814" s="40" t="inlineStr">
        <is>
          <t>China</t>
        </is>
      </c>
      <c r="H1814" s="40" t="n">
        <v>28</v>
      </c>
      <c r="I1814" s="40" t="inlineStr">
        <is>
          <t>Start Search</t>
        </is>
      </c>
      <c r="J1814" s="40" t="inlineStr">
        <is>
          <t>1-23 August 2026</t>
        </is>
      </c>
      <c r="K1814" s="55" t="n">
        <v>59</v>
      </c>
      <c r="L1814" s="40" t="inlineStr">
        <is>
          <t>Completeness only</t>
        </is>
      </c>
      <c r="M1814" s="40">
        <f>IF(Countries!J428="","STILL MISSING","Filled ✓")</f>
        <v/>
      </c>
    </row>
    <row r="1815">
      <c r="A1815" s="56" t="inlineStr">
        <is>
          <t>Countries</t>
        </is>
      </c>
      <c r="B1815" s="56" t="inlineStr">
        <is>
          <t>AD176</t>
        </is>
      </c>
      <c r="C1815" s="56" t="n">
        <v>176</v>
      </c>
      <c r="D1815" s="56" t="inlineStr">
        <is>
          <t>Home page</t>
        </is>
      </c>
      <c r="E1815" s="56" t="inlineStr">
        <is>
          <t>Organic</t>
        </is>
      </c>
      <c r="F1815" s="56" t="inlineStr">
        <is>
          <t>Desktop</t>
        </is>
      </c>
      <c r="G1815" s="56" t="inlineStr">
        <is>
          <t>Croatia</t>
        </is>
      </c>
      <c r="H1815" s="56" t="n">
        <v>29</v>
      </c>
      <c r="I1815" s="56" t="inlineStr">
        <is>
          <t>Add to cart</t>
        </is>
      </c>
      <c r="J1815" s="56" t="inlineStr">
        <is>
          <t>1-23 August 2025</t>
        </is>
      </c>
      <c r="K1815" s="57" t="n">
        <v>92</v>
      </c>
      <c r="L1815" s="56" t="inlineStr">
        <is>
          <t>Completeness only</t>
        </is>
      </c>
      <c r="M1815" s="40">
        <f>IF(Countries!AD176="","STILL MISSING","Filled ✓")</f>
        <v/>
      </c>
    </row>
    <row r="1816">
      <c r="A1816" s="40" t="inlineStr">
        <is>
          <t>Countries</t>
        </is>
      </c>
      <c r="B1816" s="40" t="inlineStr">
        <is>
          <t>AE176</t>
        </is>
      </c>
      <c r="C1816" s="40" t="n">
        <v>176</v>
      </c>
      <c r="D1816" s="40" t="inlineStr">
        <is>
          <t>Home page</t>
        </is>
      </c>
      <c r="E1816" s="40" t="inlineStr">
        <is>
          <t>Organic</t>
        </is>
      </c>
      <c r="F1816" s="40" t="inlineStr">
        <is>
          <t>Desktop</t>
        </is>
      </c>
      <c r="G1816" s="40" t="inlineStr">
        <is>
          <t>Croatia</t>
        </is>
      </c>
      <c r="H1816" s="40" t="n">
        <v>29</v>
      </c>
      <c r="I1816" s="40" t="inlineStr">
        <is>
          <t>Add to cart</t>
        </is>
      </c>
      <c r="J1816" s="40" t="inlineStr">
        <is>
          <t>1-23 August 2026</t>
        </is>
      </c>
      <c r="K1816" s="55" t="n">
        <v>92</v>
      </c>
      <c r="L1816" s="40" t="inlineStr">
        <is>
          <t>Completeness only</t>
        </is>
      </c>
      <c r="M1816" s="40">
        <f>IF(Countries!AE176="","STILL MISSING","Filled ✓")</f>
        <v/>
      </c>
    </row>
    <row r="1817">
      <c r="A1817" s="56" t="inlineStr">
        <is>
          <t>Countries</t>
        </is>
      </c>
      <c r="B1817" s="56" t="inlineStr">
        <is>
          <t>AK176</t>
        </is>
      </c>
      <c r="C1817" s="56" t="n">
        <v>176</v>
      </c>
      <c r="D1817" s="56" t="inlineStr">
        <is>
          <t>Home page</t>
        </is>
      </c>
      <c r="E1817" s="56" t="inlineStr">
        <is>
          <t>Organic</t>
        </is>
      </c>
      <c r="F1817" s="56" t="inlineStr">
        <is>
          <t>Desktop</t>
        </is>
      </c>
      <c r="G1817" s="56" t="inlineStr">
        <is>
          <t>Croatia</t>
        </is>
      </c>
      <c r="H1817" s="56" t="n">
        <v>29</v>
      </c>
      <c r="I1817" s="56" t="inlineStr">
        <is>
          <t>Begin checkout</t>
        </is>
      </c>
      <c r="J1817" s="56" t="inlineStr">
        <is>
          <t>1-23 August 2025</t>
        </is>
      </c>
      <c r="K1817" s="57" t="n">
        <v>92</v>
      </c>
      <c r="L1817" s="56" t="inlineStr">
        <is>
          <t>Completeness only</t>
        </is>
      </c>
      <c r="M1817" s="40">
        <f>IF(Countries!AK176="","STILL MISSING","Filled ✓")</f>
        <v/>
      </c>
    </row>
    <row r="1818">
      <c r="A1818" s="40" t="inlineStr">
        <is>
          <t>Countries</t>
        </is>
      </c>
      <c r="B1818" s="40" t="inlineStr">
        <is>
          <t>AL176</t>
        </is>
      </c>
      <c r="C1818" s="40" t="n">
        <v>176</v>
      </c>
      <c r="D1818" s="40" t="inlineStr">
        <is>
          <t>Home page</t>
        </is>
      </c>
      <c r="E1818" s="40" t="inlineStr">
        <is>
          <t>Organic</t>
        </is>
      </c>
      <c r="F1818" s="40" t="inlineStr">
        <is>
          <t>Desktop</t>
        </is>
      </c>
      <c r="G1818" s="40" t="inlineStr">
        <is>
          <t>Croatia</t>
        </is>
      </c>
      <c r="H1818" s="40" t="n">
        <v>29</v>
      </c>
      <c r="I1818" s="40" t="inlineStr">
        <is>
          <t>Begin checkout</t>
        </is>
      </c>
      <c r="J1818" s="40" t="inlineStr">
        <is>
          <t>1-23 August 2026</t>
        </is>
      </c>
      <c r="K1818" s="55" t="n">
        <v>92</v>
      </c>
      <c r="L1818" s="40" t="inlineStr">
        <is>
          <t>Completeness only</t>
        </is>
      </c>
      <c r="M1818" s="40">
        <f>IF(Countries!AL176="","STILL MISSING","Filled ✓")</f>
        <v/>
      </c>
    </row>
    <row r="1819">
      <c r="A1819" s="56" t="inlineStr">
        <is>
          <t>Countries</t>
        </is>
      </c>
      <c r="B1819" s="56" t="inlineStr">
        <is>
          <t>AR176</t>
        </is>
      </c>
      <c r="C1819" s="56" t="n">
        <v>176</v>
      </c>
      <c r="D1819" s="56" t="inlineStr">
        <is>
          <t>Home page</t>
        </is>
      </c>
      <c r="E1819" s="56" t="inlineStr">
        <is>
          <t>Organic</t>
        </is>
      </c>
      <c r="F1819" s="56" t="inlineStr">
        <is>
          <t>Desktop</t>
        </is>
      </c>
      <c r="G1819" s="56" t="inlineStr">
        <is>
          <t>Croatia</t>
        </is>
      </c>
      <c r="H1819" s="56" t="n">
        <v>29</v>
      </c>
      <c r="I1819" s="56" t="inlineStr">
        <is>
          <t>Purchases</t>
        </is>
      </c>
      <c r="J1819" s="56" t="inlineStr">
        <is>
          <t>1-23 August 2025</t>
        </is>
      </c>
      <c r="K1819" s="57" t="n">
        <v>92</v>
      </c>
      <c r="L1819" s="56" t="inlineStr">
        <is>
          <t>Completeness only</t>
        </is>
      </c>
      <c r="M1819" s="40">
        <f>IF(Countries!AR176="","STILL MISSING","Filled ✓")</f>
        <v/>
      </c>
    </row>
    <row r="1820">
      <c r="A1820" s="40" t="inlineStr">
        <is>
          <t>Countries</t>
        </is>
      </c>
      <c r="B1820" s="40" t="inlineStr">
        <is>
          <t>W176</t>
        </is>
      </c>
      <c r="C1820" s="40" t="n">
        <v>176</v>
      </c>
      <c r="D1820" s="40" t="inlineStr">
        <is>
          <t>Home page</t>
        </is>
      </c>
      <c r="E1820" s="40" t="inlineStr">
        <is>
          <t>Organic</t>
        </is>
      </c>
      <c r="F1820" s="40" t="inlineStr">
        <is>
          <t>Desktop</t>
        </is>
      </c>
      <c r="G1820" s="40" t="inlineStr">
        <is>
          <t>Croatia</t>
        </is>
      </c>
      <c r="H1820" s="40" t="n">
        <v>29</v>
      </c>
      <c r="I1820" s="40" t="inlineStr">
        <is>
          <t>Select item</t>
        </is>
      </c>
      <c r="J1820" s="40" t="inlineStr">
        <is>
          <t>1-23 August 2025</t>
        </is>
      </c>
      <c r="K1820" s="55" t="n">
        <v>92</v>
      </c>
      <c r="L1820" s="40" t="inlineStr">
        <is>
          <t>Completeness only</t>
        </is>
      </c>
      <c r="M1820" s="40">
        <f>IF(Countries!W176="","STILL MISSING","Filled ✓")</f>
        <v/>
      </c>
    </row>
    <row r="1821">
      <c r="A1821" s="56" t="inlineStr">
        <is>
          <t>Countries</t>
        </is>
      </c>
      <c r="B1821" s="56" t="inlineStr">
        <is>
          <t>I176</t>
        </is>
      </c>
      <c r="C1821" s="56" t="n">
        <v>176</v>
      </c>
      <c r="D1821" s="56" t="inlineStr">
        <is>
          <t>Home page</t>
        </is>
      </c>
      <c r="E1821" s="56" t="inlineStr">
        <is>
          <t>Organic</t>
        </is>
      </c>
      <c r="F1821" s="56" t="inlineStr">
        <is>
          <t>Desktop</t>
        </is>
      </c>
      <c r="G1821" s="56" t="inlineStr">
        <is>
          <t>Croatia</t>
        </is>
      </c>
      <c r="H1821" s="56" t="n">
        <v>29</v>
      </c>
      <c r="I1821" s="56" t="inlineStr">
        <is>
          <t>Start Search</t>
        </is>
      </c>
      <c r="J1821" s="56" t="inlineStr">
        <is>
          <t>1-23 August 2025</t>
        </is>
      </c>
      <c r="K1821" s="57" t="n">
        <v>92</v>
      </c>
      <c r="L1821" s="56" t="inlineStr">
        <is>
          <t>Completeness only</t>
        </is>
      </c>
      <c r="M1821" s="40">
        <f>IF(Countries!I176="","STILL MISSING","Filled ✓")</f>
        <v/>
      </c>
    </row>
    <row r="1822">
      <c r="A1822" s="40" t="inlineStr">
        <is>
          <t>Countries</t>
        </is>
      </c>
      <c r="B1822" s="40" t="inlineStr">
        <is>
          <t>AD236</t>
        </is>
      </c>
      <c r="C1822" s="40" t="n">
        <v>236</v>
      </c>
      <c r="D1822" s="40" t="inlineStr">
        <is>
          <t>Airport page</t>
        </is>
      </c>
      <c r="E1822" s="40" t="inlineStr">
        <is>
          <t>Paid Search</t>
        </is>
      </c>
      <c r="F1822" s="40" t="inlineStr">
        <is>
          <t>Mobile</t>
        </is>
      </c>
      <c r="G1822" s="40" t="inlineStr">
        <is>
          <t>Honduras</t>
        </is>
      </c>
      <c r="H1822" s="40" t="n">
        <v>30</v>
      </c>
      <c r="I1822" s="40" t="inlineStr">
        <is>
          <t>Add to cart</t>
        </is>
      </c>
      <c r="J1822" s="40" t="inlineStr">
        <is>
          <t>1-23 August 2025</t>
        </is>
      </c>
      <c r="K1822" s="55" t="n">
        <v>1257</v>
      </c>
      <c r="L1822" s="40" t="inlineStr">
        <is>
          <t>Completeness only</t>
        </is>
      </c>
      <c r="M1822" s="40">
        <f>IF(Countries!AD236="","STILL MISSING","Filled ✓")</f>
        <v/>
      </c>
    </row>
    <row r="1823">
      <c r="A1823" s="56" t="inlineStr">
        <is>
          <t>Countries</t>
        </is>
      </c>
      <c r="B1823" s="56" t="inlineStr">
        <is>
          <t>AE236</t>
        </is>
      </c>
      <c r="C1823" s="56" t="n">
        <v>236</v>
      </c>
      <c r="D1823" s="56" t="inlineStr">
        <is>
          <t>Airport page</t>
        </is>
      </c>
      <c r="E1823" s="56" t="inlineStr">
        <is>
          <t>Paid Search</t>
        </is>
      </c>
      <c r="F1823" s="56" t="inlineStr">
        <is>
          <t>Mobile</t>
        </is>
      </c>
      <c r="G1823" s="56" t="inlineStr">
        <is>
          <t>Honduras</t>
        </is>
      </c>
      <c r="H1823" s="56" t="n">
        <v>30</v>
      </c>
      <c r="I1823" s="56" t="inlineStr">
        <is>
          <t>Add to cart</t>
        </is>
      </c>
      <c r="J1823" s="56" t="inlineStr">
        <is>
          <t>1-23 August 2026</t>
        </is>
      </c>
      <c r="K1823" s="57" t="n">
        <v>1257</v>
      </c>
      <c r="L1823" s="56" t="inlineStr">
        <is>
          <t>Completeness only</t>
        </is>
      </c>
      <c r="M1823" s="40">
        <f>IF(Countries!AE236="","STILL MISSING","Filled ✓")</f>
        <v/>
      </c>
    </row>
    <row r="1824">
      <c r="A1824" s="40" t="inlineStr">
        <is>
          <t>Countries</t>
        </is>
      </c>
      <c r="B1824" s="40" t="inlineStr">
        <is>
          <t>AK236</t>
        </is>
      </c>
      <c r="C1824" s="40" t="n">
        <v>236</v>
      </c>
      <c r="D1824" s="40" t="inlineStr">
        <is>
          <t>Airport page</t>
        </is>
      </c>
      <c r="E1824" s="40" t="inlineStr">
        <is>
          <t>Paid Search</t>
        </is>
      </c>
      <c r="F1824" s="40" t="inlineStr">
        <is>
          <t>Mobile</t>
        </is>
      </c>
      <c r="G1824" s="40" t="inlineStr">
        <is>
          <t>Honduras</t>
        </is>
      </c>
      <c r="H1824" s="40" t="n">
        <v>30</v>
      </c>
      <c r="I1824" s="40" t="inlineStr">
        <is>
          <t>Begin checkout</t>
        </is>
      </c>
      <c r="J1824" s="40" t="inlineStr">
        <is>
          <t>1-23 August 2025</t>
        </is>
      </c>
      <c r="K1824" s="55" t="n">
        <v>1257</v>
      </c>
      <c r="L1824" s="40" t="inlineStr">
        <is>
          <t>Completeness only</t>
        </is>
      </c>
      <c r="M1824" s="40">
        <f>IF(Countries!AK236="","STILL MISSING","Filled ✓")</f>
        <v/>
      </c>
    </row>
    <row r="1825">
      <c r="A1825" s="56" t="inlineStr">
        <is>
          <t>Countries</t>
        </is>
      </c>
      <c r="B1825" s="56" t="inlineStr">
        <is>
          <t>AL236</t>
        </is>
      </c>
      <c r="C1825" s="56" t="n">
        <v>236</v>
      </c>
      <c r="D1825" s="56" t="inlineStr">
        <is>
          <t>Airport page</t>
        </is>
      </c>
      <c r="E1825" s="56" t="inlineStr">
        <is>
          <t>Paid Search</t>
        </is>
      </c>
      <c r="F1825" s="56" t="inlineStr">
        <is>
          <t>Mobile</t>
        </is>
      </c>
      <c r="G1825" s="56" t="inlineStr">
        <is>
          <t>Honduras</t>
        </is>
      </c>
      <c r="H1825" s="56" t="n">
        <v>30</v>
      </c>
      <c r="I1825" s="56" t="inlineStr">
        <is>
          <t>Begin checkout</t>
        </is>
      </c>
      <c r="J1825" s="56" t="inlineStr">
        <is>
          <t>1-23 August 2026</t>
        </is>
      </c>
      <c r="K1825" s="57" t="n">
        <v>1257</v>
      </c>
      <c r="L1825" s="56" t="inlineStr">
        <is>
          <t>Completeness only</t>
        </is>
      </c>
      <c r="M1825" s="40">
        <f>IF(Countries!AL236="","STILL MISSING","Filled ✓")</f>
        <v/>
      </c>
    </row>
    <row r="1826">
      <c r="A1826" s="40" t="inlineStr">
        <is>
          <t>Countries</t>
        </is>
      </c>
      <c r="B1826" s="40" t="inlineStr">
        <is>
          <t>AS236</t>
        </is>
      </c>
      <c r="C1826" s="40" t="n">
        <v>236</v>
      </c>
      <c r="D1826" s="40" t="inlineStr">
        <is>
          <t>Airport page</t>
        </is>
      </c>
      <c r="E1826" s="40" t="inlineStr">
        <is>
          <t>Paid Search</t>
        </is>
      </c>
      <c r="F1826" s="40" t="inlineStr">
        <is>
          <t>Mobile</t>
        </is>
      </c>
      <c r="G1826" s="40" t="inlineStr">
        <is>
          <t>Honduras</t>
        </is>
      </c>
      <c r="H1826" s="40" t="n">
        <v>30</v>
      </c>
      <c r="I1826" s="40" t="inlineStr">
        <is>
          <t>Purchases</t>
        </is>
      </c>
      <c r="J1826" s="40" t="inlineStr">
        <is>
          <t>1-23 August 2026</t>
        </is>
      </c>
      <c r="K1826" s="55" t="n">
        <v>1257</v>
      </c>
      <c r="L1826" s="40" t="inlineStr">
        <is>
          <t>Completeness only</t>
        </is>
      </c>
      <c r="M1826" s="40">
        <f>IF(Countries!AS236="","STILL MISSING","Filled ✓")</f>
        <v/>
      </c>
    </row>
    <row r="1827">
      <c r="A1827" s="56" t="inlineStr">
        <is>
          <t>Countries</t>
        </is>
      </c>
      <c r="B1827" s="56" t="inlineStr">
        <is>
          <t>Q236</t>
        </is>
      </c>
      <c r="C1827" s="56" t="n">
        <v>236</v>
      </c>
      <c r="D1827" s="56" t="inlineStr">
        <is>
          <t>Airport page</t>
        </is>
      </c>
      <c r="E1827" s="56" t="inlineStr">
        <is>
          <t>Paid Search</t>
        </is>
      </c>
      <c r="F1827" s="56" t="inlineStr">
        <is>
          <t>Mobile</t>
        </is>
      </c>
      <c r="G1827" s="56" t="inlineStr">
        <is>
          <t>Honduras</t>
        </is>
      </c>
      <c r="H1827" s="56" t="n">
        <v>30</v>
      </c>
      <c r="I1827" s="56" t="inlineStr">
        <is>
          <t>Searches</t>
        </is>
      </c>
      <c r="J1827" s="56" t="inlineStr">
        <is>
          <t>1-23 August 2026</t>
        </is>
      </c>
      <c r="K1827" s="57" t="n">
        <v>1257</v>
      </c>
      <c r="L1827" s="56" t="inlineStr">
        <is>
          <t>Completeness only</t>
        </is>
      </c>
      <c r="M1827" s="40">
        <f>IF(Countries!Q236="","STILL MISSING","Filled ✓")</f>
        <v/>
      </c>
    </row>
    <row r="1828">
      <c r="A1828" s="40" t="inlineStr">
        <is>
          <t>Countries</t>
        </is>
      </c>
      <c r="B1828" s="40" t="inlineStr">
        <is>
          <t>W236</t>
        </is>
      </c>
      <c r="C1828" s="40" t="n">
        <v>236</v>
      </c>
      <c r="D1828" s="40" t="inlineStr">
        <is>
          <t>Airport page</t>
        </is>
      </c>
      <c r="E1828" s="40" t="inlineStr">
        <is>
          <t>Paid Search</t>
        </is>
      </c>
      <c r="F1828" s="40" t="inlineStr">
        <is>
          <t>Mobile</t>
        </is>
      </c>
      <c r="G1828" s="40" t="inlineStr">
        <is>
          <t>Honduras</t>
        </is>
      </c>
      <c r="H1828" s="40" t="n">
        <v>30</v>
      </c>
      <c r="I1828" s="40" t="inlineStr">
        <is>
          <t>Select item</t>
        </is>
      </c>
      <c r="J1828" s="40" t="inlineStr">
        <is>
          <t>1-23 August 2025</t>
        </is>
      </c>
      <c r="K1828" s="55" t="n">
        <v>1257</v>
      </c>
      <c r="L1828" s="40" t="inlineStr">
        <is>
          <t>Completeness only</t>
        </is>
      </c>
      <c r="M1828" s="40">
        <f>IF(Countries!W236="","STILL MISSING","Filled ✓")</f>
        <v/>
      </c>
    </row>
    <row r="1829">
      <c r="A1829" s="56" t="inlineStr">
        <is>
          <t>Countries</t>
        </is>
      </c>
      <c r="B1829" s="56" t="inlineStr">
        <is>
          <t>X236</t>
        </is>
      </c>
      <c r="C1829" s="56" t="n">
        <v>236</v>
      </c>
      <c r="D1829" s="56" t="inlineStr">
        <is>
          <t>Airport page</t>
        </is>
      </c>
      <c r="E1829" s="56" t="inlineStr">
        <is>
          <t>Paid Search</t>
        </is>
      </c>
      <c r="F1829" s="56" t="inlineStr">
        <is>
          <t>Mobile</t>
        </is>
      </c>
      <c r="G1829" s="56" t="inlineStr">
        <is>
          <t>Honduras</t>
        </is>
      </c>
      <c r="H1829" s="56" t="n">
        <v>30</v>
      </c>
      <c r="I1829" s="56" t="inlineStr">
        <is>
          <t>Select item</t>
        </is>
      </c>
      <c r="J1829" s="56" t="inlineStr">
        <is>
          <t>1-23 August 2026</t>
        </is>
      </c>
      <c r="K1829" s="57" t="n">
        <v>1257</v>
      </c>
      <c r="L1829" s="56" t="inlineStr">
        <is>
          <t>Completeness only</t>
        </is>
      </c>
      <c r="M1829" s="40">
        <f>IF(Countries!X236="","STILL MISSING","Filled ✓")</f>
        <v/>
      </c>
    </row>
    <row r="1830">
      <c r="A1830" s="40" t="inlineStr">
        <is>
          <t>Countries</t>
        </is>
      </c>
      <c r="B1830" s="40" t="inlineStr">
        <is>
          <t>J236</t>
        </is>
      </c>
      <c r="C1830" s="40" t="n">
        <v>236</v>
      </c>
      <c r="D1830" s="40" t="inlineStr">
        <is>
          <t>Airport page</t>
        </is>
      </c>
      <c r="E1830" s="40" t="inlineStr">
        <is>
          <t>Paid Search</t>
        </is>
      </c>
      <c r="F1830" s="40" t="inlineStr">
        <is>
          <t>Mobile</t>
        </is>
      </c>
      <c r="G1830" s="40" t="inlineStr">
        <is>
          <t>Honduras</t>
        </is>
      </c>
      <c r="H1830" s="40" t="n">
        <v>30</v>
      </c>
      <c r="I1830" s="40" t="inlineStr">
        <is>
          <t>Start Search</t>
        </is>
      </c>
      <c r="J1830" s="40" t="inlineStr">
        <is>
          <t>1-23 August 2026</t>
        </is>
      </c>
      <c r="K1830" s="55" t="n">
        <v>1257</v>
      </c>
      <c r="L1830" s="40" t="inlineStr">
        <is>
          <t>Completeness only</t>
        </is>
      </c>
      <c r="M1830" s="40">
        <f>IF(Countries!J236="","STILL MISSING","Filled ✓")</f>
        <v/>
      </c>
    </row>
    <row r="1831">
      <c r="A1831" s="56" t="inlineStr">
        <is>
          <t>Countries</t>
        </is>
      </c>
      <c r="B1831" s="56" t="inlineStr">
        <is>
          <t>AD306</t>
        </is>
      </c>
      <c r="C1831" s="56" t="n">
        <v>306</v>
      </c>
      <c r="D1831" s="56" t="inlineStr">
        <is>
          <t>Airport page</t>
        </is>
      </c>
      <c r="E1831" s="56" t="inlineStr">
        <is>
          <t>Direct</t>
        </is>
      </c>
      <c r="F1831" s="56" t="inlineStr">
        <is>
          <t>Mobile</t>
        </is>
      </c>
      <c r="G1831" s="56" t="inlineStr">
        <is>
          <t>Israel</t>
        </is>
      </c>
      <c r="H1831" s="56" t="n">
        <v>31</v>
      </c>
      <c r="I1831" s="56" t="inlineStr">
        <is>
          <t>Add to cart</t>
        </is>
      </c>
      <c r="J1831" s="56" t="inlineStr">
        <is>
          <t>1-23 August 2025</t>
        </is>
      </c>
      <c r="K1831" s="57" t="n">
        <v>14</v>
      </c>
      <c r="L1831" s="56" t="inlineStr">
        <is>
          <t>Completeness only</t>
        </is>
      </c>
      <c r="M1831" s="40">
        <f>IF(Countries!AD306="","STILL MISSING","Filled ✓")</f>
        <v/>
      </c>
    </row>
    <row r="1832">
      <c r="A1832" s="40" t="inlineStr">
        <is>
          <t>Countries</t>
        </is>
      </c>
      <c r="B1832" s="40" t="inlineStr">
        <is>
          <t>AE306</t>
        </is>
      </c>
      <c r="C1832" s="40" t="n">
        <v>306</v>
      </c>
      <c r="D1832" s="40" t="inlineStr">
        <is>
          <t>Airport page</t>
        </is>
      </c>
      <c r="E1832" s="40" t="inlineStr">
        <is>
          <t>Direct</t>
        </is>
      </c>
      <c r="F1832" s="40" t="inlineStr">
        <is>
          <t>Mobile</t>
        </is>
      </c>
      <c r="G1832" s="40" t="inlineStr">
        <is>
          <t>Israel</t>
        </is>
      </c>
      <c r="H1832" s="40" t="n">
        <v>31</v>
      </c>
      <c r="I1832" s="40" t="inlineStr">
        <is>
          <t>Add to cart</t>
        </is>
      </c>
      <c r="J1832" s="40" t="inlineStr">
        <is>
          <t>1-23 August 2026</t>
        </is>
      </c>
      <c r="K1832" s="55" t="n">
        <v>14</v>
      </c>
      <c r="L1832" s="40" t="inlineStr">
        <is>
          <t>Completeness only</t>
        </is>
      </c>
      <c r="M1832" s="40">
        <f>IF(Countries!AE306="","STILL MISSING","Filled ✓")</f>
        <v/>
      </c>
    </row>
    <row r="1833">
      <c r="A1833" s="56" t="inlineStr">
        <is>
          <t>Countries</t>
        </is>
      </c>
      <c r="B1833" s="56" t="inlineStr">
        <is>
          <t>AK306</t>
        </is>
      </c>
      <c r="C1833" s="56" t="n">
        <v>306</v>
      </c>
      <c r="D1833" s="56" t="inlineStr">
        <is>
          <t>Airport page</t>
        </is>
      </c>
      <c r="E1833" s="56" t="inlineStr">
        <is>
          <t>Direct</t>
        </is>
      </c>
      <c r="F1833" s="56" t="inlineStr">
        <is>
          <t>Mobile</t>
        </is>
      </c>
      <c r="G1833" s="56" t="inlineStr">
        <is>
          <t>Israel</t>
        </is>
      </c>
      <c r="H1833" s="56" t="n">
        <v>31</v>
      </c>
      <c r="I1833" s="56" t="inlineStr">
        <is>
          <t>Begin checkout</t>
        </is>
      </c>
      <c r="J1833" s="56" t="inlineStr">
        <is>
          <t>1-23 August 2025</t>
        </is>
      </c>
      <c r="K1833" s="57" t="n">
        <v>14</v>
      </c>
      <c r="L1833" s="56" t="inlineStr">
        <is>
          <t>Completeness only</t>
        </is>
      </c>
      <c r="M1833" s="40">
        <f>IF(Countries!AK306="","STILL MISSING","Filled ✓")</f>
        <v/>
      </c>
    </row>
    <row r="1834">
      <c r="A1834" s="40" t="inlineStr">
        <is>
          <t>Countries</t>
        </is>
      </c>
      <c r="B1834" s="40" t="inlineStr">
        <is>
          <t>AL306</t>
        </is>
      </c>
      <c r="C1834" s="40" t="n">
        <v>306</v>
      </c>
      <c r="D1834" s="40" t="inlineStr">
        <is>
          <t>Airport page</t>
        </is>
      </c>
      <c r="E1834" s="40" t="inlineStr">
        <is>
          <t>Direct</t>
        </is>
      </c>
      <c r="F1834" s="40" t="inlineStr">
        <is>
          <t>Mobile</t>
        </is>
      </c>
      <c r="G1834" s="40" t="inlineStr">
        <is>
          <t>Israel</t>
        </is>
      </c>
      <c r="H1834" s="40" t="n">
        <v>31</v>
      </c>
      <c r="I1834" s="40" t="inlineStr">
        <is>
          <t>Begin checkout</t>
        </is>
      </c>
      <c r="J1834" s="40" t="inlineStr">
        <is>
          <t>1-23 August 2026</t>
        </is>
      </c>
      <c r="K1834" s="55" t="n">
        <v>14</v>
      </c>
      <c r="L1834" s="40" t="inlineStr">
        <is>
          <t>Completeness only</t>
        </is>
      </c>
      <c r="M1834" s="40">
        <f>IF(Countries!AL306="","STILL MISSING","Filled ✓")</f>
        <v/>
      </c>
    </row>
    <row r="1835">
      <c r="A1835" s="56" t="inlineStr">
        <is>
          <t>Countries</t>
        </is>
      </c>
      <c r="B1835" s="56" t="inlineStr">
        <is>
          <t>AS306</t>
        </is>
      </c>
      <c r="C1835" s="56" t="n">
        <v>306</v>
      </c>
      <c r="D1835" s="56" t="inlineStr">
        <is>
          <t>Airport page</t>
        </is>
      </c>
      <c r="E1835" s="56" t="inlineStr">
        <is>
          <t>Direct</t>
        </is>
      </c>
      <c r="F1835" s="56" t="inlineStr">
        <is>
          <t>Mobile</t>
        </is>
      </c>
      <c r="G1835" s="56" t="inlineStr">
        <is>
          <t>Israel</t>
        </is>
      </c>
      <c r="H1835" s="56" t="n">
        <v>31</v>
      </c>
      <c r="I1835" s="56" t="inlineStr">
        <is>
          <t>Purchases</t>
        </is>
      </c>
      <c r="J1835" s="56" t="inlineStr">
        <is>
          <t>1-23 August 2026</t>
        </is>
      </c>
      <c r="K1835" s="57" t="n">
        <v>14</v>
      </c>
      <c r="L1835" s="56" t="inlineStr">
        <is>
          <t>Completeness only</t>
        </is>
      </c>
      <c r="M1835" s="40">
        <f>IF(Countries!AS306="","STILL MISSING","Filled ✓")</f>
        <v/>
      </c>
    </row>
    <row r="1836">
      <c r="A1836" s="40" t="inlineStr">
        <is>
          <t>Countries</t>
        </is>
      </c>
      <c r="B1836" s="40" t="inlineStr">
        <is>
          <t>X306</t>
        </is>
      </c>
      <c r="C1836" s="40" t="n">
        <v>306</v>
      </c>
      <c r="D1836" s="40" t="inlineStr">
        <is>
          <t>Airport page</t>
        </is>
      </c>
      <c r="E1836" s="40" t="inlineStr">
        <is>
          <t>Direct</t>
        </is>
      </c>
      <c r="F1836" s="40" t="inlineStr">
        <is>
          <t>Mobile</t>
        </is>
      </c>
      <c r="G1836" s="40" t="inlineStr">
        <is>
          <t>Israel</t>
        </is>
      </c>
      <c r="H1836" s="40" t="n">
        <v>31</v>
      </c>
      <c r="I1836" s="40" t="inlineStr">
        <is>
          <t>Select item</t>
        </is>
      </c>
      <c r="J1836" s="40" t="inlineStr">
        <is>
          <t>1-23 August 2026</t>
        </is>
      </c>
      <c r="K1836" s="55" t="n">
        <v>14</v>
      </c>
      <c r="L1836" s="40" t="inlineStr">
        <is>
          <t>Completeness only</t>
        </is>
      </c>
      <c r="M1836" s="40">
        <f>IF(Countries!X306="","STILL MISSING","Filled ✓")</f>
        <v/>
      </c>
    </row>
    <row r="1837">
      <c r="A1837" s="56" t="inlineStr">
        <is>
          <t>Countries</t>
        </is>
      </c>
      <c r="B1837" s="56" t="inlineStr">
        <is>
          <t>F306</t>
        </is>
      </c>
      <c r="C1837" s="56" t="n">
        <v>306</v>
      </c>
      <c r="D1837" s="56" t="inlineStr">
        <is>
          <t>Airport page</t>
        </is>
      </c>
      <c r="E1837" s="56" t="inlineStr">
        <is>
          <t>Direct</t>
        </is>
      </c>
      <c r="F1837" s="56" t="inlineStr">
        <is>
          <t>Mobile</t>
        </is>
      </c>
      <c r="G1837" s="56" t="inlineStr">
        <is>
          <t>Israel</t>
        </is>
      </c>
      <c r="H1837" s="56" t="n">
        <v>31</v>
      </c>
      <c r="I1837" s="56" t="inlineStr">
        <is>
          <t>Sessions</t>
        </is>
      </c>
      <c r="J1837" s="56" t="inlineStr">
        <is>
          <t>1-23 August 2026</t>
        </is>
      </c>
      <c r="K1837" s="57" t="n">
        <v>14</v>
      </c>
      <c r="L1837" s="56" t="inlineStr">
        <is>
          <t>Completeness only</t>
        </is>
      </c>
      <c r="M1837" s="40">
        <f>IF(Countries!F306="","STILL MISSING","Filled ✓")</f>
        <v/>
      </c>
    </row>
    <row r="1838">
      <c r="A1838" s="40" t="inlineStr">
        <is>
          <t>Countries</t>
        </is>
      </c>
      <c r="B1838" s="40" t="inlineStr">
        <is>
          <t>I306</t>
        </is>
      </c>
      <c r="C1838" s="40" t="n">
        <v>306</v>
      </c>
      <c r="D1838" s="40" t="inlineStr">
        <is>
          <t>Airport page</t>
        </is>
      </c>
      <c r="E1838" s="40" t="inlineStr">
        <is>
          <t>Direct</t>
        </is>
      </c>
      <c r="F1838" s="40" t="inlineStr">
        <is>
          <t>Mobile</t>
        </is>
      </c>
      <c r="G1838" s="40" t="inlineStr">
        <is>
          <t>Israel</t>
        </is>
      </c>
      <c r="H1838" s="40" t="n">
        <v>31</v>
      </c>
      <c r="I1838" s="40" t="inlineStr">
        <is>
          <t>Start Search</t>
        </is>
      </c>
      <c r="J1838" s="40" t="inlineStr">
        <is>
          <t>1-23 August 2025</t>
        </is>
      </c>
      <c r="K1838" s="55" t="n">
        <v>14</v>
      </c>
      <c r="L1838" s="40" t="inlineStr">
        <is>
          <t>Completeness only</t>
        </is>
      </c>
      <c r="M1838" s="40">
        <f>IF(Countries!I306="","STILL MISSING","Filled ✓")</f>
        <v/>
      </c>
    </row>
    <row r="1839">
      <c r="A1839" s="56" t="inlineStr">
        <is>
          <t>Countries</t>
        </is>
      </c>
      <c r="B1839" s="56" t="inlineStr">
        <is>
          <t>J306</t>
        </is>
      </c>
      <c r="C1839" s="56" t="n">
        <v>306</v>
      </c>
      <c r="D1839" s="56" t="inlineStr">
        <is>
          <t>Airport page</t>
        </is>
      </c>
      <c r="E1839" s="56" t="inlineStr">
        <is>
          <t>Direct</t>
        </is>
      </c>
      <c r="F1839" s="56" t="inlineStr">
        <is>
          <t>Mobile</t>
        </is>
      </c>
      <c r="G1839" s="56" t="inlineStr">
        <is>
          <t>Israel</t>
        </is>
      </c>
      <c r="H1839" s="56" t="n">
        <v>31</v>
      </c>
      <c r="I1839" s="56" t="inlineStr">
        <is>
          <t>Start Search</t>
        </is>
      </c>
      <c r="J1839" s="56" t="inlineStr">
        <is>
          <t>1-23 August 2026</t>
        </is>
      </c>
      <c r="K1839" s="57" t="n">
        <v>14</v>
      </c>
      <c r="L1839" s="56" t="inlineStr">
        <is>
          <t>Completeness only</t>
        </is>
      </c>
      <c r="M1839" s="40">
        <f>IF(Countries!J306="","STILL MISSING","Filled ✓")</f>
        <v/>
      </c>
    </row>
    <row r="1840">
      <c r="A1840" s="40" t="inlineStr">
        <is>
          <t>Countries</t>
        </is>
      </c>
      <c r="B1840" s="40" t="inlineStr">
        <is>
          <t>AD112</t>
        </is>
      </c>
      <c r="C1840" s="40" t="n">
        <v>112</v>
      </c>
      <c r="D1840" s="40" t="inlineStr">
        <is>
          <t>All landing pages</t>
        </is>
      </c>
      <c r="E1840" s="40" t="inlineStr">
        <is>
          <t>Direct</t>
        </is>
      </c>
      <c r="F1840" s="40" t="inlineStr">
        <is>
          <t>Desktop</t>
        </is>
      </c>
      <c r="G1840" s="40" t="inlineStr">
        <is>
          <t>Philippines</t>
        </is>
      </c>
      <c r="H1840" s="40" t="n">
        <v>32</v>
      </c>
      <c r="I1840" s="40" t="inlineStr">
        <is>
          <t>Add to cart</t>
        </is>
      </c>
      <c r="J1840" s="40" t="inlineStr">
        <is>
          <t>1-23 August 2025</t>
        </is>
      </c>
      <c r="K1840" s="55" t="n">
        <v>150</v>
      </c>
      <c r="L1840" s="40" t="inlineStr">
        <is>
          <t>Completeness only</t>
        </is>
      </c>
      <c r="M1840" s="40">
        <f>IF(Countries!AD112="","STILL MISSING","Filled ✓")</f>
        <v/>
      </c>
    </row>
    <row r="1841">
      <c r="A1841" s="56" t="inlineStr">
        <is>
          <t>Countries</t>
        </is>
      </c>
      <c r="B1841" s="56" t="inlineStr">
        <is>
          <t>AE112</t>
        </is>
      </c>
      <c r="C1841" s="56" t="n">
        <v>112</v>
      </c>
      <c r="D1841" s="56" t="inlineStr">
        <is>
          <t>All landing pages</t>
        </is>
      </c>
      <c r="E1841" s="56" t="inlineStr">
        <is>
          <t>Direct</t>
        </is>
      </c>
      <c r="F1841" s="56" t="inlineStr">
        <is>
          <t>Desktop</t>
        </is>
      </c>
      <c r="G1841" s="56" t="inlineStr">
        <is>
          <t>Philippines</t>
        </is>
      </c>
      <c r="H1841" s="56" t="n">
        <v>32</v>
      </c>
      <c r="I1841" s="56" t="inlineStr">
        <is>
          <t>Add to cart</t>
        </is>
      </c>
      <c r="J1841" s="56" t="inlineStr">
        <is>
          <t>1-23 August 2026</t>
        </is>
      </c>
      <c r="K1841" s="57" t="n">
        <v>150</v>
      </c>
      <c r="L1841" s="56" t="inlineStr">
        <is>
          <t>Completeness only</t>
        </is>
      </c>
      <c r="M1841" s="40">
        <f>IF(Countries!AE112="","STILL MISSING","Filled ✓")</f>
        <v/>
      </c>
    </row>
    <row r="1842">
      <c r="A1842" s="40" t="inlineStr">
        <is>
          <t>Countries</t>
        </is>
      </c>
      <c r="B1842" s="40" t="inlineStr">
        <is>
          <t>AK112</t>
        </is>
      </c>
      <c r="C1842" s="40" t="n">
        <v>112</v>
      </c>
      <c r="D1842" s="40" t="inlineStr">
        <is>
          <t>All landing pages</t>
        </is>
      </c>
      <c r="E1842" s="40" t="inlineStr">
        <is>
          <t>Direct</t>
        </is>
      </c>
      <c r="F1842" s="40" t="inlineStr">
        <is>
          <t>Desktop</t>
        </is>
      </c>
      <c r="G1842" s="40" t="inlineStr">
        <is>
          <t>Philippines</t>
        </is>
      </c>
      <c r="H1842" s="40" t="n">
        <v>32</v>
      </c>
      <c r="I1842" s="40" t="inlineStr">
        <is>
          <t>Begin checkout</t>
        </is>
      </c>
      <c r="J1842" s="40" t="inlineStr">
        <is>
          <t>1-23 August 2025</t>
        </is>
      </c>
      <c r="K1842" s="55" t="n">
        <v>150</v>
      </c>
      <c r="L1842" s="40" t="inlineStr">
        <is>
          <t>Completeness only</t>
        </is>
      </c>
      <c r="M1842" s="40">
        <f>IF(Countries!AK112="","STILL MISSING","Filled ✓")</f>
        <v/>
      </c>
    </row>
    <row r="1843">
      <c r="A1843" s="56" t="inlineStr">
        <is>
          <t>Countries</t>
        </is>
      </c>
      <c r="B1843" s="56" t="inlineStr">
        <is>
          <t>AL112</t>
        </is>
      </c>
      <c r="C1843" s="56" t="n">
        <v>112</v>
      </c>
      <c r="D1843" s="56" t="inlineStr">
        <is>
          <t>All landing pages</t>
        </is>
      </c>
      <c r="E1843" s="56" t="inlineStr">
        <is>
          <t>Direct</t>
        </is>
      </c>
      <c r="F1843" s="56" t="inlineStr">
        <is>
          <t>Desktop</t>
        </is>
      </c>
      <c r="G1843" s="56" t="inlineStr">
        <is>
          <t>Philippines</t>
        </is>
      </c>
      <c r="H1843" s="56" t="n">
        <v>32</v>
      </c>
      <c r="I1843" s="56" t="inlineStr">
        <is>
          <t>Begin checkout</t>
        </is>
      </c>
      <c r="J1843" s="56" t="inlineStr">
        <is>
          <t>1-23 August 2026</t>
        </is>
      </c>
      <c r="K1843" s="57" t="n">
        <v>150</v>
      </c>
      <c r="L1843" s="56" t="inlineStr">
        <is>
          <t>Completeness only</t>
        </is>
      </c>
      <c r="M1843" s="40">
        <f>IF(Countries!AL112="","STILL MISSING","Filled ✓")</f>
        <v/>
      </c>
    </row>
    <row r="1844">
      <c r="A1844" s="40" t="inlineStr">
        <is>
          <t>Countries</t>
        </is>
      </c>
      <c r="B1844" s="40" t="inlineStr">
        <is>
          <t>AS112</t>
        </is>
      </c>
      <c r="C1844" s="40" t="n">
        <v>112</v>
      </c>
      <c r="D1844" s="40" t="inlineStr">
        <is>
          <t>All landing pages</t>
        </is>
      </c>
      <c r="E1844" s="40" t="inlineStr">
        <is>
          <t>Direct</t>
        </is>
      </c>
      <c r="F1844" s="40" t="inlineStr">
        <is>
          <t>Desktop</t>
        </is>
      </c>
      <c r="G1844" s="40" t="inlineStr">
        <is>
          <t>Philippines</t>
        </is>
      </c>
      <c r="H1844" s="40" t="n">
        <v>32</v>
      </c>
      <c r="I1844" s="40" t="inlineStr">
        <is>
          <t>Purchases</t>
        </is>
      </c>
      <c r="J1844" s="40" t="inlineStr">
        <is>
          <t>1-23 August 2026</t>
        </is>
      </c>
      <c r="K1844" s="55" t="n">
        <v>150</v>
      </c>
      <c r="L1844" s="40" t="inlineStr">
        <is>
          <t>Completeness only</t>
        </is>
      </c>
      <c r="M1844" s="40">
        <f>IF(Countries!AS112="","STILL MISSING","Filled ✓")</f>
        <v/>
      </c>
    </row>
    <row r="1845">
      <c r="A1845" s="56" t="inlineStr">
        <is>
          <t>Countries</t>
        </is>
      </c>
      <c r="B1845" s="56" t="inlineStr">
        <is>
          <t>X112</t>
        </is>
      </c>
      <c r="C1845" s="56" t="n">
        <v>112</v>
      </c>
      <c r="D1845" s="56" t="inlineStr">
        <is>
          <t>All landing pages</t>
        </is>
      </c>
      <c r="E1845" s="56" t="inlineStr">
        <is>
          <t>Direct</t>
        </is>
      </c>
      <c r="F1845" s="56" t="inlineStr">
        <is>
          <t>Desktop</t>
        </is>
      </c>
      <c r="G1845" s="56" t="inlineStr">
        <is>
          <t>Philippines</t>
        </is>
      </c>
      <c r="H1845" s="56" t="n">
        <v>32</v>
      </c>
      <c r="I1845" s="56" t="inlineStr">
        <is>
          <t>Select item</t>
        </is>
      </c>
      <c r="J1845" s="56" t="inlineStr">
        <is>
          <t>1-23 August 2026</t>
        </is>
      </c>
      <c r="K1845" s="57" t="n">
        <v>150</v>
      </c>
      <c r="L1845" s="56" t="inlineStr">
        <is>
          <t>Completeness only</t>
        </is>
      </c>
      <c r="M1845" s="40">
        <f>IF(Countries!X112="","STILL MISSING","Filled ✓")</f>
        <v/>
      </c>
    </row>
    <row r="1846">
      <c r="A1846" s="40" t="inlineStr">
        <is>
          <t>Countries</t>
        </is>
      </c>
      <c r="B1846" s="40" t="inlineStr">
        <is>
          <t>F112</t>
        </is>
      </c>
      <c r="C1846" s="40" t="n">
        <v>112</v>
      </c>
      <c r="D1846" s="40" t="inlineStr">
        <is>
          <t>All landing pages</t>
        </is>
      </c>
      <c r="E1846" s="40" t="inlineStr">
        <is>
          <t>Direct</t>
        </is>
      </c>
      <c r="F1846" s="40" t="inlineStr">
        <is>
          <t>Desktop</t>
        </is>
      </c>
      <c r="G1846" s="40" t="inlineStr">
        <is>
          <t>Philippines</t>
        </is>
      </c>
      <c r="H1846" s="40" t="n">
        <v>32</v>
      </c>
      <c r="I1846" s="40" t="inlineStr">
        <is>
          <t>Sessions</t>
        </is>
      </c>
      <c r="J1846" s="40" t="inlineStr">
        <is>
          <t>1-23 August 2026</t>
        </is>
      </c>
      <c r="K1846" s="55" t="n">
        <v>150</v>
      </c>
      <c r="L1846" s="40" t="inlineStr">
        <is>
          <t>Completeness only</t>
        </is>
      </c>
      <c r="M1846" s="40">
        <f>IF(Countries!F112="","STILL MISSING","Filled ✓")</f>
        <v/>
      </c>
    </row>
    <row r="1847">
      <c r="A1847" s="56" t="inlineStr">
        <is>
          <t>Countries</t>
        </is>
      </c>
      <c r="B1847" s="56" t="inlineStr">
        <is>
          <t>I112</t>
        </is>
      </c>
      <c r="C1847" s="56" t="n">
        <v>112</v>
      </c>
      <c r="D1847" s="56" t="inlineStr">
        <is>
          <t>All landing pages</t>
        </is>
      </c>
      <c r="E1847" s="56" t="inlineStr">
        <is>
          <t>Direct</t>
        </is>
      </c>
      <c r="F1847" s="56" t="inlineStr">
        <is>
          <t>Desktop</t>
        </is>
      </c>
      <c r="G1847" s="56" t="inlineStr">
        <is>
          <t>Philippines</t>
        </is>
      </c>
      <c r="H1847" s="56" t="n">
        <v>32</v>
      </c>
      <c r="I1847" s="56" t="inlineStr">
        <is>
          <t>Start Search</t>
        </is>
      </c>
      <c r="J1847" s="56" t="inlineStr">
        <is>
          <t>1-23 August 2025</t>
        </is>
      </c>
      <c r="K1847" s="57" t="n">
        <v>150</v>
      </c>
      <c r="L1847" s="56" t="inlineStr">
        <is>
          <t>Completeness only</t>
        </is>
      </c>
      <c r="M1847" s="40">
        <f>IF(Countries!I112="","STILL MISSING","Filled ✓")</f>
        <v/>
      </c>
    </row>
    <row r="1848">
      <c r="A1848" s="40" t="inlineStr">
        <is>
          <t>Countries</t>
        </is>
      </c>
      <c r="B1848" s="40" t="inlineStr">
        <is>
          <t>J112</t>
        </is>
      </c>
      <c r="C1848" s="40" t="n">
        <v>112</v>
      </c>
      <c r="D1848" s="40" t="inlineStr">
        <is>
          <t>All landing pages</t>
        </is>
      </c>
      <c r="E1848" s="40" t="inlineStr">
        <is>
          <t>Direct</t>
        </is>
      </c>
      <c r="F1848" s="40" t="inlineStr">
        <is>
          <t>Desktop</t>
        </is>
      </c>
      <c r="G1848" s="40" t="inlineStr">
        <is>
          <t>Philippines</t>
        </is>
      </c>
      <c r="H1848" s="40" t="n">
        <v>32</v>
      </c>
      <c r="I1848" s="40" t="inlineStr">
        <is>
          <t>Start Search</t>
        </is>
      </c>
      <c r="J1848" s="40" t="inlineStr">
        <is>
          <t>1-23 August 2026</t>
        </is>
      </c>
      <c r="K1848" s="55" t="n">
        <v>150</v>
      </c>
      <c r="L1848" s="40" t="inlineStr">
        <is>
          <t>Completeness only</t>
        </is>
      </c>
      <c r="M1848" s="40">
        <f>IF(Countries!J112="","STILL MISSING","Filled ✓")</f>
        <v/>
      </c>
    </row>
    <row r="1849">
      <c r="A1849" s="56" t="inlineStr">
        <is>
          <t>Countries</t>
        </is>
      </c>
      <c r="B1849" s="56" t="inlineStr">
        <is>
          <t>AD217</t>
        </is>
      </c>
      <c r="C1849" s="56" t="n">
        <v>217</v>
      </c>
      <c r="D1849" s="56" t="inlineStr">
        <is>
          <t>Home page</t>
        </is>
      </c>
      <c r="E1849" s="56" t="inlineStr">
        <is>
          <t>Direct</t>
        </is>
      </c>
      <c r="F1849" s="56" t="inlineStr">
        <is>
          <t>Desktop</t>
        </is>
      </c>
      <c r="G1849" s="56" t="inlineStr">
        <is>
          <t>Philippines</t>
        </is>
      </c>
      <c r="H1849" s="56" t="n">
        <v>32</v>
      </c>
      <c r="I1849" s="56" t="inlineStr">
        <is>
          <t>Add to cart</t>
        </is>
      </c>
      <c r="J1849" s="56" t="inlineStr">
        <is>
          <t>1-23 August 2025</t>
        </is>
      </c>
      <c r="K1849" s="57" t="n">
        <v>177</v>
      </c>
      <c r="L1849" s="56" t="inlineStr">
        <is>
          <t>Completeness only</t>
        </is>
      </c>
      <c r="M1849" s="40">
        <f>IF(Countries!AD217="","STILL MISSING","Filled ✓")</f>
        <v/>
      </c>
    </row>
    <row r="1850">
      <c r="A1850" s="40" t="inlineStr">
        <is>
          <t>Countries</t>
        </is>
      </c>
      <c r="B1850" s="40" t="inlineStr">
        <is>
          <t>AE217</t>
        </is>
      </c>
      <c r="C1850" s="40" t="n">
        <v>217</v>
      </c>
      <c r="D1850" s="40" t="inlineStr">
        <is>
          <t>Home page</t>
        </is>
      </c>
      <c r="E1850" s="40" t="inlineStr">
        <is>
          <t>Direct</t>
        </is>
      </c>
      <c r="F1850" s="40" t="inlineStr">
        <is>
          <t>Desktop</t>
        </is>
      </c>
      <c r="G1850" s="40" t="inlineStr">
        <is>
          <t>Philippines</t>
        </is>
      </c>
      <c r="H1850" s="40" t="n">
        <v>32</v>
      </c>
      <c r="I1850" s="40" t="inlineStr">
        <is>
          <t>Add to cart</t>
        </is>
      </c>
      <c r="J1850" s="40" t="inlineStr">
        <is>
          <t>1-23 August 2026</t>
        </is>
      </c>
      <c r="K1850" s="55" t="n">
        <v>177</v>
      </c>
      <c r="L1850" s="40" t="inlineStr">
        <is>
          <t>Completeness only</t>
        </is>
      </c>
      <c r="M1850" s="40">
        <f>IF(Countries!AE217="","STILL MISSING","Filled ✓")</f>
        <v/>
      </c>
    </row>
    <row r="1851">
      <c r="A1851" s="56" t="inlineStr">
        <is>
          <t>Countries</t>
        </is>
      </c>
      <c r="B1851" s="56" t="inlineStr">
        <is>
          <t>AK217</t>
        </is>
      </c>
      <c r="C1851" s="56" t="n">
        <v>217</v>
      </c>
      <c r="D1851" s="56" t="inlineStr">
        <is>
          <t>Home page</t>
        </is>
      </c>
      <c r="E1851" s="56" t="inlineStr">
        <is>
          <t>Direct</t>
        </is>
      </c>
      <c r="F1851" s="56" t="inlineStr">
        <is>
          <t>Desktop</t>
        </is>
      </c>
      <c r="G1851" s="56" t="inlineStr">
        <is>
          <t>Philippines</t>
        </is>
      </c>
      <c r="H1851" s="56" t="n">
        <v>32</v>
      </c>
      <c r="I1851" s="56" t="inlineStr">
        <is>
          <t>Begin checkout</t>
        </is>
      </c>
      <c r="J1851" s="56" t="inlineStr">
        <is>
          <t>1-23 August 2025</t>
        </is>
      </c>
      <c r="K1851" s="57" t="n">
        <v>177</v>
      </c>
      <c r="L1851" s="56" t="inlineStr">
        <is>
          <t>Completeness only</t>
        </is>
      </c>
      <c r="M1851" s="40">
        <f>IF(Countries!AK217="","STILL MISSING","Filled ✓")</f>
        <v/>
      </c>
    </row>
    <row r="1852">
      <c r="A1852" s="40" t="inlineStr">
        <is>
          <t>Countries</t>
        </is>
      </c>
      <c r="B1852" s="40" t="inlineStr">
        <is>
          <t>AL217</t>
        </is>
      </c>
      <c r="C1852" s="40" t="n">
        <v>217</v>
      </c>
      <c r="D1852" s="40" t="inlineStr">
        <is>
          <t>Home page</t>
        </is>
      </c>
      <c r="E1852" s="40" t="inlineStr">
        <is>
          <t>Direct</t>
        </is>
      </c>
      <c r="F1852" s="40" t="inlineStr">
        <is>
          <t>Desktop</t>
        </is>
      </c>
      <c r="G1852" s="40" t="inlineStr">
        <is>
          <t>Philippines</t>
        </is>
      </c>
      <c r="H1852" s="40" t="n">
        <v>32</v>
      </c>
      <c r="I1852" s="40" t="inlineStr">
        <is>
          <t>Begin checkout</t>
        </is>
      </c>
      <c r="J1852" s="40" t="inlineStr">
        <is>
          <t>1-23 August 2026</t>
        </is>
      </c>
      <c r="K1852" s="55" t="n">
        <v>177</v>
      </c>
      <c r="L1852" s="40" t="inlineStr">
        <is>
          <t>Completeness only</t>
        </is>
      </c>
      <c r="M1852" s="40">
        <f>IF(Countries!AL217="","STILL MISSING","Filled ✓")</f>
        <v/>
      </c>
    </row>
    <row r="1853">
      <c r="A1853" s="56" t="inlineStr">
        <is>
          <t>Countries</t>
        </is>
      </c>
      <c r="B1853" s="56" t="inlineStr">
        <is>
          <t>J217</t>
        </is>
      </c>
      <c r="C1853" s="56" t="n">
        <v>217</v>
      </c>
      <c r="D1853" s="56" t="inlineStr">
        <is>
          <t>Home page</t>
        </is>
      </c>
      <c r="E1853" s="56" t="inlineStr">
        <is>
          <t>Direct</t>
        </is>
      </c>
      <c r="F1853" s="56" t="inlineStr">
        <is>
          <t>Desktop</t>
        </is>
      </c>
      <c r="G1853" s="56" t="inlineStr">
        <is>
          <t>Philippines</t>
        </is>
      </c>
      <c r="H1853" s="56" t="n">
        <v>32</v>
      </c>
      <c r="I1853" s="56" t="inlineStr">
        <is>
          <t>Start Search</t>
        </is>
      </c>
      <c r="J1853" s="56" t="inlineStr">
        <is>
          <t>1-23 August 2026</t>
        </is>
      </c>
      <c r="K1853" s="57" t="n">
        <v>177</v>
      </c>
      <c r="L1853" s="56" t="inlineStr">
        <is>
          <t>Completeness only</t>
        </is>
      </c>
      <c r="M1853" s="40">
        <f>IF(Countries!J217="","STILL MISSING","Filled ✓")</f>
        <v/>
      </c>
    </row>
    <row r="1854">
      <c r="A1854" s="40" t="inlineStr">
        <is>
          <t>Countries</t>
        </is>
      </c>
      <c r="B1854" s="40" t="inlineStr">
        <is>
          <t>AD107</t>
        </is>
      </c>
      <c r="C1854" s="40" t="n">
        <v>107</v>
      </c>
      <c r="D1854" s="40" t="inlineStr">
        <is>
          <t>All landing pages</t>
        </is>
      </c>
      <c r="E1854" s="40" t="inlineStr">
        <is>
          <t>Direct</t>
        </is>
      </c>
      <c r="F1854" s="40" t="inlineStr">
        <is>
          <t>Desktop</t>
        </is>
      </c>
      <c r="G1854" s="40" t="inlineStr">
        <is>
          <t>Ukraine</t>
        </is>
      </c>
      <c r="H1854" s="40" t="n">
        <v>33</v>
      </c>
      <c r="I1854" s="40" t="inlineStr">
        <is>
          <t>Add to cart</t>
        </is>
      </c>
      <c r="J1854" s="40" t="inlineStr">
        <is>
          <t>1-23 August 2025</t>
        </is>
      </c>
      <c r="K1854" s="55" t="n">
        <v>266</v>
      </c>
      <c r="L1854" s="40" t="inlineStr">
        <is>
          <t>Completeness only</t>
        </is>
      </c>
      <c r="M1854" s="40">
        <f>IF(Countries!AD107="","STILL MISSING","Filled ✓")</f>
        <v/>
      </c>
    </row>
    <row r="1855">
      <c r="A1855" s="56" t="inlineStr">
        <is>
          <t>Countries</t>
        </is>
      </c>
      <c r="B1855" s="56" t="inlineStr">
        <is>
          <t>AE107</t>
        </is>
      </c>
      <c r="C1855" s="56" t="n">
        <v>107</v>
      </c>
      <c r="D1855" s="56" t="inlineStr">
        <is>
          <t>All landing pages</t>
        </is>
      </c>
      <c r="E1855" s="56" t="inlineStr">
        <is>
          <t>Direct</t>
        </is>
      </c>
      <c r="F1855" s="56" t="inlineStr">
        <is>
          <t>Desktop</t>
        </is>
      </c>
      <c r="G1855" s="56" t="inlineStr">
        <is>
          <t>Ukraine</t>
        </is>
      </c>
      <c r="H1855" s="56" t="n">
        <v>33</v>
      </c>
      <c r="I1855" s="56" t="inlineStr">
        <is>
          <t>Add to cart</t>
        </is>
      </c>
      <c r="J1855" s="56" t="inlineStr">
        <is>
          <t>1-23 August 2026</t>
        </is>
      </c>
      <c r="K1855" s="57" t="n">
        <v>266</v>
      </c>
      <c r="L1855" s="56" t="inlineStr">
        <is>
          <t>Completeness only</t>
        </is>
      </c>
      <c r="M1855" s="40">
        <f>IF(Countries!AE107="","STILL MISSING","Filled ✓")</f>
        <v/>
      </c>
    </row>
    <row r="1856">
      <c r="A1856" s="40" t="inlineStr">
        <is>
          <t>Countries</t>
        </is>
      </c>
      <c r="B1856" s="40" t="inlineStr">
        <is>
          <t>AK107</t>
        </is>
      </c>
      <c r="C1856" s="40" t="n">
        <v>107</v>
      </c>
      <c r="D1856" s="40" t="inlineStr">
        <is>
          <t>All landing pages</t>
        </is>
      </c>
      <c r="E1856" s="40" t="inlineStr">
        <is>
          <t>Direct</t>
        </is>
      </c>
      <c r="F1856" s="40" t="inlineStr">
        <is>
          <t>Desktop</t>
        </is>
      </c>
      <c r="G1856" s="40" t="inlineStr">
        <is>
          <t>Ukraine</t>
        </is>
      </c>
      <c r="H1856" s="40" t="n">
        <v>33</v>
      </c>
      <c r="I1856" s="40" t="inlineStr">
        <is>
          <t>Begin checkout</t>
        </is>
      </c>
      <c r="J1856" s="40" t="inlineStr">
        <is>
          <t>1-23 August 2025</t>
        </is>
      </c>
      <c r="K1856" s="55" t="n">
        <v>266</v>
      </c>
      <c r="L1856" s="40" t="inlineStr">
        <is>
          <t>Completeness only</t>
        </is>
      </c>
      <c r="M1856" s="40">
        <f>IF(Countries!AK107="","STILL MISSING","Filled ✓")</f>
        <v/>
      </c>
    </row>
    <row r="1857">
      <c r="A1857" s="56" t="inlineStr">
        <is>
          <t>Countries</t>
        </is>
      </c>
      <c r="B1857" s="56" t="inlineStr">
        <is>
          <t>AL107</t>
        </is>
      </c>
      <c r="C1857" s="56" t="n">
        <v>107</v>
      </c>
      <c r="D1857" s="56" t="inlineStr">
        <is>
          <t>All landing pages</t>
        </is>
      </c>
      <c r="E1857" s="56" t="inlineStr">
        <is>
          <t>Direct</t>
        </is>
      </c>
      <c r="F1857" s="56" t="inlineStr">
        <is>
          <t>Desktop</t>
        </is>
      </c>
      <c r="G1857" s="56" t="inlineStr">
        <is>
          <t>Ukraine</t>
        </is>
      </c>
      <c r="H1857" s="56" t="n">
        <v>33</v>
      </c>
      <c r="I1857" s="56" t="inlineStr">
        <is>
          <t>Begin checkout</t>
        </is>
      </c>
      <c r="J1857" s="56" t="inlineStr">
        <is>
          <t>1-23 August 2026</t>
        </is>
      </c>
      <c r="K1857" s="57" t="n">
        <v>266</v>
      </c>
      <c r="L1857" s="56" t="inlineStr">
        <is>
          <t>Completeness only</t>
        </is>
      </c>
      <c r="M1857" s="40">
        <f>IF(Countries!AL107="","STILL MISSING","Filled ✓")</f>
        <v/>
      </c>
    </row>
    <row r="1858">
      <c r="A1858" s="40" t="inlineStr">
        <is>
          <t>Countries</t>
        </is>
      </c>
      <c r="B1858" s="40" t="inlineStr">
        <is>
          <t>AS107</t>
        </is>
      </c>
      <c r="C1858" s="40" t="n">
        <v>107</v>
      </c>
      <c r="D1858" s="40" t="inlineStr">
        <is>
          <t>All landing pages</t>
        </is>
      </c>
      <c r="E1858" s="40" t="inlineStr">
        <is>
          <t>Direct</t>
        </is>
      </c>
      <c r="F1858" s="40" t="inlineStr">
        <is>
          <t>Desktop</t>
        </is>
      </c>
      <c r="G1858" s="40" t="inlineStr">
        <is>
          <t>Ukraine</t>
        </is>
      </c>
      <c r="H1858" s="40" t="n">
        <v>33</v>
      </c>
      <c r="I1858" s="40" t="inlineStr">
        <is>
          <t>Purchases</t>
        </is>
      </c>
      <c r="J1858" s="40" t="inlineStr">
        <is>
          <t>1-23 August 2026</t>
        </is>
      </c>
      <c r="K1858" s="55" t="n">
        <v>266</v>
      </c>
      <c r="L1858" s="40" t="inlineStr">
        <is>
          <t>Completeness only</t>
        </is>
      </c>
      <c r="M1858" s="40">
        <f>IF(Countries!AS107="","STILL MISSING","Filled ✓")</f>
        <v/>
      </c>
    </row>
    <row r="1859">
      <c r="A1859" s="56" t="inlineStr">
        <is>
          <t>Countries</t>
        </is>
      </c>
      <c r="B1859" s="56" t="inlineStr">
        <is>
          <t>X107</t>
        </is>
      </c>
      <c r="C1859" s="56" t="n">
        <v>107</v>
      </c>
      <c r="D1859" s="56" t="inlineStr">
        <is>
          <t>All landing pages</t>
        </is>
      </c>
      <c r="E1859" s="56" t="inlineStr">
        <is>
          <t>Direct</t>
        </is>
      </c>
      <c r="F1859" s="56" t="inlineStr">
        <is>
          <t>Desktop</t>
        </is>
      </c>
      <c r="G1859" s="56" t="inlineStr">
        <is>
          <t>Ukraine</t>
        </is>
      </c>
      <c r="H1859" s="56" t="n">
        <v>33</v>
      </c>
      <c r="I1859" s="56" t="inlineStr">
        <is>
          <t>Select item</t>
        </is>
      </c>
      <c r="J1859" s="56" t="inlineStr">
        <is>
          <t>1-23 August 2026</t>
        </is>
      </c>
      <c r="K1859" s="57" t="n">
        <v>266</v>
      </c>
      <c r="L1859" s="56" t="inlineStr">
        <is>
          <t>Completeness only</t>
        </is>
      </c>
      <c r="M1859" s="40">
        <f>IF(Countries!X107="","STILL MISSING","Filled ✓")</f>
        <v/>
      </c>
    </row>
    <row r="1860">
      <c r="A1860" s="40" t="inlineStr">
        <is>
          <t>Countries</t>
        </is>
      </c>
      <c r="B1860" s="40" t="inlineStr">
        <is>
          <t>J107</t>
        </is>
      </c>
      <c r="C1860" s="40" t="n">
        <v>107</v>
      </c>
      <c r="D1860" s="40" t="inlineStr">
        <is>
          <t>All landing pages</t>
        </is>
      </c>
      <c r="E1860" s="40" t="inlineStr">
        <is>
          <t>Direct</t>
        </is>
      </c>
      <c r="F1860" s="40" t="inlineStr">
        <is>
          <t>Desktop</t>
        </is>
      </c>
      <c r="G1860" s="40" t="inlineStr">
        <is>
          <t>Ukraine</t>
        </is>
      </c>
      <c r="H1860" s="40" t="n">
        <v>33</v>
      </c>
      <c r="I1860" s="40" t="inlineStr">
        <is>
          <t>Start Search</t>
        </is>
      </c>
      <c r="J1860" s="40" t="inlineStr">
        <is>
          <t>1-23 August 2026</t>
        </is>
      </c>
      <c r="K1860" s="55" t="n">
        <v>266</v>
      </c>
      <c r="L1860" s="40" t="inlineStr">
        <is>
          <t>Completeness only</t>
        </is>
      </c>
      <c r="M1860" s="40">
        <f>IF(Countries!J107="","STILL MISSING","Filled ✓")</f>
        <v/>
      </c>
    </row>
    <row r="1861">
      <c r="A1861" s="56" t="inlineStr">
        <is>
          <t>Countries</t>
        </is>
      </c>
      <c r="B1861" s="56" t="inlineStr">
        <is>
          <t>AD169</t>
        </is>
      </c>
      <c r="C1861" s="56" t="n">
        <v>169</v>
      </c>
      <c r="D1861" s="56" t="inlineStr">
        <is>
          <t>Home page</t>
        </is>
      </c>
      <c r="E1861" s="56" t="inlineStr">
        <is>
          <t>Organic</t>
        </is>
      </c>
      <c r="F1861" s="56" t="inlineStr">
        <is>
          <t>Desktop</t>
        </is>
      </c>
      <c r="G1861" s="56" t="inlineStr">
        <is>
          <t>Ukraine</t>
        </is>
      </c>
      <c r="H1861" s="56" t="n">
        <v>33</v>
      </c>
      <c r="I1861" s="56" t="inlineStr">
        <is>
          <t>Add to cart</t>
        </is>
      </c>
      <c r="J1861" s="56" t="inlineStr">
        <is>
          <t>1-23 August 2025</t>
        </is>
      </c>
      <c r="K1861" s="57" t="n">
        <v>267</v>
      </c>
      <c r="L1861" s="56" t="inlineStr">
        <is>
          <t>Completeness only</t>
        </is>
      </c>
      <c r="M1861" s="40">
        <f>IF(Countries!AD169="","STILL MISSING","Filled ✓")</f>
        <v/>
      </c>
    </row>
    <row r="1862">
      <c r="A1862" s="40" t="inlineStr">
        <is>
          <t>Countries</t>
        </is>
      </c>
      <c r="B1862" s="40" t="inlineStr">
        <is>
          <t>AE169</t>
        </is>
      </c>
      <c r="C1862" s="40" t="n">
        <v>169</v>
      </c>
      <c r="D1862" s="40" t="inlineStr">
        <is>
          <t>Home page</t>
        </is>
      </c>
      <c r="E1862" s="40" t="inlineStr">
        <is>
          <t>Organic</t>
        </is>
      </c>
      <c r="F1862" s="40" t="inlineStr">
        <is>
          <t>Desktop</t>
        </is>
      </c>
      <c r="G1862" s="40" t="inlineStr">
        <is>
          <t>Ukraine</t>
        </is>
      </c>
      <c r="H1862" s="40" t="n">
        <v>33</v>
      </c>
      <c r="I1862" s="40" t="inlineStr">
        <is>
          <t>Add to cart</t>
        </is>
      </c>
      <c r="J1862" s="40" t="inlineStr">
        <is>
          <t>1-23 August 2026</t>
        </is>
      </c>
      <c r="K1862" s="55" t="n">
        <v>267</v>
      </c>
      <c r="L1862" s="40" t="inlineStr">
        <is>
          <t>Completeness only</t>
        </is>
      </c>
      <c r="M1862" s="40">
        <f>IF(Countries!AE169="","STILL MISSING","Filled ✓")</f>
        <v/>
      </c>
    </row>
    <row r="1863">
      <c r="A1863" s="56" t="inlineStr">
        <is>
          <t>Countries</t>
        </is>
      </c>
      <c r="B1863" s="56" t="inlineStr">
        <is>
          <t>AK169</t>
        </is>
      </c>
      <c r="C1863" s="56" t="n">
        <v>169</v>
      </c>
      <c r="D1863" s="56" t="inlineStr">
        <is>
          <t>Home page</t>
        </is>
      </c>
      <c r="E1863" s="56" t="inlineStr">
        <is>
          <t>Organic</t>
        </is>
      </c>
      <c r="F1863" s="56" t="inlineStr">
        <is>
          <t>Desktop</t>
        </is>
      </c>
      <c r="G1863" s="56" t="inlineStr">
        <is>
          <t>Ukraine</t>
        </is>
      </c>
      <c r="H1863" s="56" t="n">
        <v>33</v>
      </c>
      <c r="I1863" s="56" t="inlineStr">
        <is>
          <t>Begin checkout</t>
        </is>
      </c>
      <c r="J1863" s="56" t="inlineStr">
        <is>
          <t>1-23 August 2025</t>
        </is>
      </c>
      <c r="K1863" s="57" t="n">
        <v>267</v>
      </c>
      <c r="L1863" s="56" t="inlineStr">
        <is>
          <t>Completeness only</t>
        </is>
      </c>
      <c r="M1863" s="40">
        <f>IF(Countries!AK169="","STILL MISSING","Filled ✓")</f>
        <v/>
      </c>
    </row>
    <row r="1864">
      <c r="A1864" s="40" t="inlineStr">
        <is>
          <t>Countries</t>
        </is>
      </c>
      <c r="B1864" s="40" t="inlineStr">
        <is>
          <t>AL169</t>
        </is>
      </c>
      <c r="C1864" s="40" t="n">
        <v>169</v>
      </c>
      <c r="D1864" s="40" t="inlineStr">
        <is>
          <t>Home page</t>
        </is>
      </c>
      <c r="E1864" s="40" t="inlineStr">
        <is>
          <t>Organic</t>
        </is>
      </c>
      <c r="F1864" s="40" t="inlineStr">
        <is>
          <t>Desktop</t>
        </is>
      </c>
      <c r="G1864" s="40" t="inlineStr">
        <is>
          <t>Ukraine</t>
        </is>
      </c>
      <c r="H1864" s="40" t="n">
        <v>33</v>
      </c>
      <c r="I1864" s="40" t="inlineStr">
        <is>
          <t>Begin checkout</t>
        </is>
      </c>
      <c r="J1864" s="40" t="inlineStr">
        <is>
          <t>1-23 August 2026</t>
        </is>
      </c>
      <c r="K1864" s="55" t="n">
        <v>267</v>
      </c>
      <c r="L1864" s="40" t="inlineStr">
        <is>
          <t>Completeness only</t>
        </is>
      </c>
      <c r="M1864" s="40">
        <f>IF(Countries!AL169="","STILL MISSING","Filled ✓")</f>
        <v/>
      </c>
    </row>
    <row r="1865">
      <c r="A1865" s="56" t="inlineStr">
        <is>
          <t>Countries</t>
        </is>
      </c>
      <c r="B1865" s="56" t="inlineStr">
        <is>
          <t>AD212</t>
        </is>
      </c>
      <c r="C1865" s="56" t="n">
        <v>212</v>
      </c>
      <c r="D1865" s="56" t="inlineStr">
        <is>
          <t>Home page</t>
        </is>
      </c>
      <c r="E1865" s="56" t="inlineStr">
        <is>
          <t>Direct</t>
        </is>
      </c>
      <c r="F1865" s="56" t="inlineStr">
        <is>
          <t>Desktop</t>
        </is>
      </c>
      <c r="G1865" s="56" t="inlineStr">
        <is>
          <t>Ukraine</t>
        </is>
      </c>
      <c r="H1865" s="56" t="n">
        <v>33</v>
      </c>
      <c r="I1865" s="56" t="inlineStr">
        <is>
          <t>Add to cart</t>
        </is>
      </c>
      <c r="J1865" s="56" t="inlineStr">
        <is>
          <t>1-23 August 2025</t>
        </is>
      </c>
      <c r="K1865" s="57" t="n">
        <v>252</v>
      </c>
      <c r="L1865" s="56" t="inlineStr">
        <is>
          <t>Completeness only</t>
        </is>
      </c>
      <c r="M1865" s="40">
        <f>IF(Countries!AD212="","STILL MISSING","Filled ✓")</f>
        <v/>
      </c>
    </row>
    <row r="1866">
      <c r="A1866" s="40" t="inlineStr">
        <is>
          <t>Countries</t>
        </is>
      </c>
      <c r="B1866" s="40" t="inlineStr">
        <is>
          <t>AE212</t>
        </is>
      </c>
      <c r="C1866" s="40" t="n">
        <v>212</v>
      </c>
      <c r="D1866" s="40" t="inlineStr">
        <is>
          <t>Home page</t>
        </is>
      </c>
      <c r="E1866" s="40" t="inlineStr">
        <is>
          <t>Direct</t>
        </is>
      </c>
      <c r="F1866" s="40" t="inlineStr">
        <is>
          <t>Desktop</t>
        </is>
      </c>
      <c r="G1866" s="40" t="inlineStr">
        <is>
          <t>Ukraine</t>
        </is>
      </c>
      <c r="H1866" s="40" t="n">
        <v>33</v>
      </c>
      <c r="I1866" s="40" t="inlineStr">
        <is>
          <t>Add to cart</t>
        </is>
      </c>
      <c r="J1866" s="40" t="inlineStr">
        <is>
          <t>1-23 August 2026</t>
        </is>
      </c>
      <c r="K1866" s="55" t="n">
        <v>252</v>
      </c>
      <c r="L1866" s="40" t="inlineStr">
        <is>
          <t>Completeness only</t>
        </is>
      </c>
      <c r="M1866" s="40">
        <f>IF(Countries!AE212="","STILL MISSING","Filled ✓")</f>
        <v/>
      </c>
    </row>
    <row r="1867">
      <c r="A1867" s="56" t="inlineStr">
        <is>
          <t>Countries</t>
        </is>
      </c>
      <c r="B1867" s="56" t="inlineStr">
        <is>
          <t>AK212</t>
        </is>
      </c>
      <c r="C1867" s="56" t="n">
        <v>212</v>
      </c>
      <c r="D1867" s="56" t="inlineStr">
        <is>
          <t>Home page</t>
        </is>
      </c>
      <c r="E1867" s="56" t="inlineStr">
        <is>
          <t>Direct</t>
        </is>
      </c>
      <c r="F1867" s="56" t="inlineStr">
        <is>
          <t>Desktop</t>
        </is>
      </c>
      <c r="G1867" s="56" t="inlineStr">
        <is>
          <t>Ukraine</t>
        </is>
      </c>
      <c r="H1867" s="56" t="n">
        <v>33</v>
      </c>
      <c r="I1867" s="56" t="inlineStr">
        <is>
          <t>Begin checkout</t>
        </is>
      </c>
      <c r="J1867" s="56" t="inlineStr">
        <is>
          <t>1-23 August 2025</t>
        </is>
      </c>
      <c r="K1867" s="57" t="n">
        <v>252</v>
      </c>
      <c r="L1867" s="56" t="inlineStr">
        <is>
          <t>Completeness only</t>
        </is>
      </c>
      <c r="M1867" s="40">
        <f>IF(Countries!AK212="","STILL MISSING","Filled ✓")</f>
        <v/>
      </c>
    </row>
    <row r="1868">
      <c r="A1868" s="40" t="inlineStr">
        <is>
          <t>Countries</t>
        </is>
      </c>
      <c r="B1868" s="40" t="inlineStr">
        <is>
          <t>AL212</t>
        </is>
      </c>
      <c r="C1868" s="40" t="n">
        <v>212</v>
      </c>
      <c r="D1868" s="40" t="inlineStr">
        <is>
          <t>Home page</t>
        </is>
      </c>
      <c r="E1868" s="40" t="inlineStr">
        <is>
          <t>Direct</t>
        </is>
      </c>
      <c r="F1868" s="40" t="inlineStr">
        <is>
          <t>Desktop</t>
        </is>
      </c>
      <c r="G1868" s="40" t="inlineStr">
        <is>
          <t>Ukraine</t>
        </is>
      </c>
      <c r="H1868" s="40" t="n">
        <v>33</v>
      </c>
      <c r="I1868" s="40" t="inlineStr">
        <is>
          <t>Begin checkout</t>
        </is>
      </c>
      <c r="J1868" s="40" t="inlineStr">
        <is>
          <t>1-23 August 2026</t>
        </is>
      </c>
      <c r="K1868" s="55" t="n">
        <v>252</v>
      </c>
      <c r="L1868" s="40" t="inlineStr">
        <is>
          <t>Completeness only</t>
        </is>
      </c>
      <c r="M1868" s="40">
        <f>IF(Countries!AL212="","STILL MISSING","Filled ✓")</f>
        <v/>
      </c>
    </row>
    <row r="1870">
      <c r="A1870" s="5" t="inlineStr">
        <is>
          <t>Still missing:</t>
        </is>
      </c>
      <c r="B1870" s="5">
        <f>COUNTIF(M6:M1868,"STILL MISSING")</f>
        <v/>
      </c>
      <c r="D1870" s="58" t="inlineStr">
        <is>
          <t>of 1863 listed gaps — 293 of them in a top-10 market</t>
        </is>
      </c>
    </row>
    <row r="1872">
      <c r="A1872" s="12" t="inlineStr">
        <is>
          <t>Why a gap exists: Looker shows only the top rows of each table, so a market inside the top 10 for sessions can fall below the cut for searches or purchases. Its value is off-screen, not zero.</t>
        </is>
      </c>
    </row>
    <row r="1873">
      <c r="A1873" s="12" t="inlineStr">
        <is>
          <t>Start with 'Market rank' ≤ 10 — those are the markets that actually move the read. Column L names what each missing cell unblocks; 'Completeness only' rows change nothing and sit at the bottom.</t>
        </is>
      </c>
    </row>
  </sheetData>
  <autoFilter ref="A5:M1868"/>
  <conditionalFormatting sqref="M6:M1868">
    <cfRule type="cellIs" priority="1" operator="equal" dxfId="3">
      <formula>"STILL MISSING"</formula>
    </cfRule>
    <cfRule type="cellIs" priority="2" operator="equal" dxfId="0">
      <formula>"Filled ✓"</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C5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3" customWidth="1" min="1" max="1"/>
    <col width="13"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s>
  <sheetData>
    <row r="1">
      <c r="A1" s="11" t="inlineStr">
        <is>
          <t>Scorecard — INPUT</t>
        </is>
      </c>
    </row>
    <row r="2">
      <c r="A2" s="12" t="inlineStr">
        <is>
          <t>Blue = hard-coded from Looker. 'Other pages (derived)' rows are formulas. Rates are calculated. Overwrite the blue cells to refresh for a new period.</t>
        </is>
      </c>
    </row>
    <row r="3" ht="18" customHeight="1">
      <c r="A3" s="59" t="inlineStr">
        <is>
          <t>Landing Page Group</t>
        </is>
      </c>
      <c r="B3" s="59" t="inlineStr">
        <is>
          <t>Channel</t>
        </is>
      </c>
      <c r="C3" s="59" t="inlineStr">
        <is>
          <t>Device</t>
        </is>
      </c>
      <c r="D3" s="14" t="inlineStr">
        <is>
          <t>Sessions</t>
        </is>
      </c>
      <c r="E3" s="15" t="n"/>
      <c r="F3" s="15" t="n"/>
      <c r="G3" s="15" t="n"/>
      <c r="H3" s="60" t="inlineStr">
        <is>
          <t>Start Search</t>
        </is>
      </c>
      <c r="I3" s="61" t="n"/>
      <c r="J3" s="61" t="n"/>
      <c r="K3" s="61" t="n"/>
      <c r="L3" s="62" t="inlineStr">
        <is>
          <t>Visit→Engagement</t>
        </is>
      </c>
      <c r="M3" s="63" t="n"/>
      <c r="N3" s="63" t="n"/>
      <c r="O3" s="16" t="inlineStr">
        <is>
          <t>Searches</t>
        </is>
      </c>
      <c r="P3" s="17" t="n"/>
      <c r="Q3" s="17" t="n"/>
      <c r="R3" s="17" t="n"/>
      <c r="S3" s="20" t="inlineStr">
        <is>
          <t>Visit→Search</t>
        </is>
      </c>
      <c r="T3" s="21" t="n"/>
      <c r="U3" s="21" t="n"/>
      <c r="V3" s="20" t="inlineStr">
        <is>
          <t>Select item</t>
        </is>
      </c>
      <c r="W3" s="21" t="n"/>
      <c r="X3" s="21" t="n"/>
      <c r="Y3" s="21" t="n"/>
      <c r="Z3" s="20" t="inlineStr">
        <is>
          <t>Search→Select</t>
        </is>
      </c>
      <c r="AA3" s="21" t="n"/>
      <c r="AB3" s="21" t="n"/>
      <c r="AC3" s="22" t="inlineStr">
        <is>
          <t>Add to cart</t>
        </is>
      </c>
      <c r="AD3" s="23" t="n"/>
      <c r="AE3" s="23" t="n"/>
      <c r="AF3" s="23" t="n"/>
      <c r="AG3" s="22" t="inlineStr">
        <is>
          <t>Select→Cart</t>
        </is>
      </c>
      <c r="AH3" s="23" t="n"/>
      <c r="AI3" s="23" t="n"/>
      <c r="AJ3" s="24" t="inlineStr">
        <is>
          <t>Begin checkout</t>
        </is>
      </c>
      <c r="AK3" s="25" t="n"/>
      <c r="AL3" s="25" t="n"/>
      <c r="AM3" s="25" t="n"/>
      <c r="AN3" s="24" t="inlineStr">
        <is>
          <t>Cart→Checkout</t>
        </is>
      </c>
      <c r="AO3" s="25" t="n"/>
      <c r="AP3" s="25" t="n"/>
      <c r="AQ3" s="18" t="inlineStr">
        <is>
          <t>Purchases</t>
        </is>
      </c>
      <c r="AR3" s="19" t="n"/>
      <c r="AS3" s="19" t="n"/>
      <c r="AT3" s="19" t="n"/>
      <c r="AU3" s="18" t="inlineStr">
        <is>
          <t>Checkout→Purchase</t>
        </is>
      </c>
      <c r="AV3" s="19" t="n"/>
      <c r="AW3" s="19" t="n"/>
      <c r="AX3" s="22" t="inlineStr">
        <is>
          <t>Search→Booking</t>
        </is>
      </c>
      <c r="AY3" s="23" t="n"/>
      <c r="AZ3" s="23" t="n"/>
      <c r="BA3" s="24" t="inlineStr">
        <is>
          <t>CR</t>
        </is>
      </c>
      <c r="BB3" s="25" t="n"/>
      <c r="BC3" s="25" t="n"/>
    </row>
    <row r="4">
      <c r="A4" s="15" t="n"/>
      <c r="B4" s="15" t="n"/>
      <c r="C4" s="15" t="n"/>
      <c r="D4" s="26" t="inlineStr">
        <is>
          <t>1-23Aug25</t>
        </is>
      </c>
      <c r="E4" s="26" t="inlineStr">
        <is>
          <t>1-23Aug26</t>
        </is>
      </c>
      <c r="F4" s="26" t="inlineStr">
        <is>
          <t>Δ</t>
        </is>
      </c>
      <c r="G4" s="26" t="inlineStr">
        <is>
          <t>% Δ</t>
        </is>
      </c>
      <c r="H4" s="64" t="inlineStr">
        <is>
          <t>1-23Aug25</t>
        </is>
      </c>
      <c r="I4" s="64" t="inlineStr">
        <is>
          <t>1-23Aug26</t>
        </is>
      </c>
      <c r="J4" s="64" t="inlineStr">
        <is>
          <t>Δ</t>
        </is>
      </c>
      <c r="K4" s="64" t="inlineStr">
        <is>
          <t>% Δ</t>
        </is>
      </c>
      <c r="L4" s="65" t="inlineStr">
        <is>
          <t>1-23Aug25</t>
        </is>
      </c>
      <c r="M4" s="65" t="inlineStr">
        <is>
          <t>1-23Aug26</t>
        </is>
      </c>
      <c r="N4" s="65" t="inlineStr">
        <is>
          <t>Δ pp</t>
        </is>
      </c>
      <c r="O4" s="27" t="inlineStr">
        <is>
          <t>1-23Aug25</t>
        </is>
      </c>
      <c r="P4" s="27" t="inlineStr">
        <is>
          <t>1-23Aug26</t>
        </is>
      </c>
      <c r="Q4" s="27" t="inlineStr">
        <is>
          <t>Δ</t>
        </is>
      </c>
      <c r="R4" s="27" t="inlineStr">
        <is>
          <t>% Δ</t>
        </is>
      </c>
      <c r="S4" s="29" t="inlineStr">
        <is>
          <t>1-23Aug25</t>
        </is>
      </c>
      <c r="T4" s="29" t="inlineStr">
        <is>
          <t>1-23Aug26</t>
        </is>
      </c>
      <c r="U4" s="29" t="inlineStr">
        <is>
          <t>Δ pp</t>
        </is>
      </c>
      <c r="V4" s="29" t="inlineStr">
        <is>
          <t>1-23Aug25</t>
        </is>
      </c>
      <c r="W4" s="29" t="inlineStr">
        <is>
          <t>1-23Aug26</t>
        </is>
      </c>
      <c r="X4" s="29" t="inlineStr">
        <is>
          <t>Δ</t>
        </is>
      </c>
      <c r="Y4" s="29" t="inlineStr">
        <is>
          <t>% Δ</t>
        </is>
      </c>
      <c r="Z4" s="29" t="inlineStr">
        <is>
          <t>1-23Aug25</t>
        </is>
      </c>
      <c r="AA4" s="29" t="inlineStr">
        <is>
          <t>1-23Aug26</t>
        </is>
      </c>
      <c r="AB4" s="29" t="inlineStr">
        <is>
          <t>Δ pp</t>
        </is>
      </c>
      <c r="AC4" s="30" t="inlineStr">
        <is>
          <t>1-23Aug25</t>
        </is>
      </c>
      <c r="AD4" s="30" t="inlineStr">
        <is>
          <t>1-23Aug26</t>
        </is>
      </c>
      <c r="AE4" s="30" t="inlineStr">
        <is>
          <t>Δ</t>
        </is>
      </c>
      <c r="AF4" s="30" t="inlineStr">
        <is>
          <t>% Δ</t>
        </is>
      </c>
      <c r="AG4" s="30" t="inlineStr">
        <is>
          <t>1-23Aug25</t>
        </is>
      </c>
      <c r="AH4" s="30" t="inlineStr">
        <is>
          <t>1-23Aug26</t>
        </is>
      </c>
      <c r="AI4" s="30" t="inlineStr">
        <is>
          <t>Δ pp</t>
        </is>
      </c>
      <c r="AJ4" s="31" t="inlineStr">
        <is>
          <t>1-23Aug25</t>
        </is>
      </c>
      <c r="AK4" s="31" t="inlineStr">
        <is>
          <t>1-23Aug26</t>
        </is>
      </c>
      <c r="AL4" s="31" t="inlineStr">
        <is>
          <t>Δ</t>
        </is>
      </c>
      <c r="AM4" s="31" t="inlineStr">
        <is>
          <t>% Δ</t>
        </is>
      </c>
      <c r="AN4" s="31" t="inlineStr">
        <is>
          <t>1-23Aug25</t>
        </is>
      </c>
      <c r="AO4" s="31" t="inlineStr">
        <is>
          <t>1-23Aug26</t>
        </is>
      </c>
      <c r="AP4" s="31" t="inlineStr">
        <is>
          <t>Δ pp</t>
        </is>
      </c>
      <c r="AQ4" s="28" t="inlineStr">
        <is>
          <t>1-23Aug25</t>
        </is>
      </c>
      <c r="AR4" s="28" t="inlineStr">
        <is>
          <t>1-23Aug26</t>
        </is>
      </c>
      <c r="AS4" s="28" t="inlineStr">
        <is>
          <t>Δ</t>
        </is>
      </c>
      <c r="AT4" s="28" t="inlineStr">
        <is>
          <t>% Δ</t>
        </is>
      </c>
      <c r="AU4" s="28" t="inlineStr">
        <is>
          <t>1-23Aug25</t>
        </is>
      </c>
      <c r="AV4" s="28" t="inlineStr">
        <is>
          <t>1-23Aug26</t>
        </is>
      </c>
      <c r="AW4" s="28" t="inlineStr">
        <is>
          <t>Δ pp</t>
        </is>
      </c>
      <c r="AX4" s="30" t="inlineStr">
        <is>
          <t>1-23Aug25</t>
        </is>
      </c>
      <c r="AY4" s="30" t="inlineStr">
        <is>
          <t>1-23Aug26</t>
        </is>
      </c>
      <c r="AZ4" s="30" t="inlineStr">
        <is>
          <t>Δ pp</t>
        </is>
      </c>
      <c r="BA4" s="31" t="inlineStr">
        <is>
          <t>1-23Aug25</t>
        </is>
      </c>
      <c r="BB4" s="31" t="inlineStr">
        <is>
          <t>1-23Aug26</t>
        </is>
      </c>
      <c r="BC4" s="31" t="inlineStr">
        <is>
          <t>Δ pp</t>
        </is>
      </c>
    </row>
    <row r="5">
      <c r="A5" s="32" t="inlineStr">
        <is>
          <t>All landing pages</t>
        </is>
      </c>
      <c r="B5" s="32" t="inlineStr">
        <is>
          <t>Paid Search</t>
        </is>
      </c>
      <c r="C5" s="32" t="inlineStr">
        <is>
          <t>Total</t>
        </is>
      </c>
      <c r="D5" s="66" t="n">
        <v>303610</v>
      </c>
      <c r="E5" s="66" t="n">
        <v>226902</v>
      </c>
      <c r="F5" s="67">
        <f>IF(OR(E5="",D5="",D5=0,E5=0),"",E5-D5)</f>
        <v/>
      </c>
      <c r="G5" s="34">
        <f>IF(OR(E5="",D5="",D5=0,E5=0),"",E5/D5-1)</f>
        <v/>
      </c>
      <c r="H5" s="66" t="n">
        <v>217440</v>
      </c>
      <c r="I5" s="66" t="n">
        <v>140367</v>
      </c>
      <c r="J5" s="67">
        <f>IF(OR(I5="",H5="",H5=0,I5=0),"",I5-H5)</f>
        <v/>
      </c>
      <c r="K5" s="34">
        <f>IF(OR(I5="",H5="",H5=0,I5=0),"",I5/H5-1)</f>
        <v/>
      </c>
      <c r="L5" s="35">
        <f>IF(OR(H5="",D5="",D5=0),"",H5/D5)</f>
        <v/>
      </c>
      <c r="M5" s="35">
        <f>IF(OR(I5="",E5="",E5=0),"",I5/E5)</f>
        <v/>
      </c>
      <c r="N5" s="36">
        <f>IF(OR(M5="",L5=""),"",(M5-L5)*100)</f>
        <v/>
      </c>
      <c r="O5" s="66" t="n">
        <v>177886</v>
      </c>
      <c r="P5" s="66" t="n">
        <v>123845</v>
      </c>
      <c r="Q5" s="67">
        <f>IF(OR(P5="",O5="",O5=0,P5=0),"",P5-O5)</f>
        <v/>
      </c>
      <c r="R5" s="34">
        <f>IF(OR(P5="",O5="",O5=0,P5=0),"",P5/O5-1)</f>
        <v/>
      </c>
      <c r="S5" s="35">
        <f>IF(OR(O5="",D5="",D5=0),"",O5/D5)</f>
        <v/>
      </c>
      <c r="T5" s="35">
        <f>IF(OR(P5="",E5="",E5=0),"",P5/E5)</f>
        <v/>
      </c>
      <c r="U5" s="36">
        <f>IF(OR(T5="",S5=""),"",(T5-S5)*100)</f>
        <v/>
      </c>
      <c r="V5" s="66" t="n">
        <v>48224</v>
      </c>
      <c r="W5" s="66" t="n">
        <v>32834</v>
      </c>
      <c r="X5" s="67">
        <f>IF(OR(W5="",V5="",V5=0,W5=0),"",W5-V5)</f>
        <v/>
      </c>
      <c r="Y5" s="34">
        <f>IF(OR(W5="",V5="",V5=0,W5=0),"",W5/V5-1)</f>
        <v/>
      </c>
      <c r="Z5" s="35">
        <f>IF(OR(V5="",O5="",O5=0),"",V5/O5)</f>
        <v/>
      </c>
      <c r="AA5" s="35">
        <f>IF(OR(W5="",P5="",P5=0),"",W5/P5)</f>
        <v/>
      </c>
      <c r="AB5" s="36">
        <f>IF(OR(AA5="",Z5=""),"",(AA5-Z5)*100)</f>
        <v/>
      </c>
      <c r="AC5" s="66" t="n">
        <v>37382</v>
      </c>
      <c r="AD5" s="66" t="n">
        <v>24865</v>
      </c>
      <c r="AE5" s="67">
        <f>IF(OR(AD5="",AC5="",AC5=0,AD5=0),"",AD5-AC5)</f>
        <v/>
      </c>
      <c r="AF5" s="34">
        <f>IF(OR(AD5="",AC5="",AC5=0,AD5=0),"",AD5/AC5-1)</f>
        <v/>
      </c>
      <c r="AG5" s="35">
        <f>IF(OR(AC5="",V5="",V5=0),"",AC5/V5)</f>
        <v/>
      </c>
      <c r="AH5" s="35">
        <f>IF(OR(AD5="",W5="",W5=0),"",AD5/W5)</f>
        <v/>
      </c>
      <c r="AI5" s="36">
        <f>IF(OR(AH5="",AG5=""),"",(AH5-AG5)*100)</f>
        <v/>
      </c>
      <c r="AJ5" s="66" t="n">
        <v>14929</v>
      </c>
      <c r="AK5" s="66" t="n">
        <v>10549</v>
      </c>
      <c r="AL5" s="67">
        <f>IF(OR(AK5="",AJ5="",AJ5=0,AK5=0),"",AK5-AJ5)</f>
        <v/>
      </c>
      <c r="AM5" s="34">
        <f>IF(OR(AK5="",AJ5="",AJ5=0,AK5=0),"",AK5/AJ5-1)</f>
        <v/>
      </c>
      <c r="AN5" s="35">
        <f>IF(OR(AJ5="",AC5="",AC5=0),"",AJ5/AC5)</f>
        <v/>
      </c>
      <c r="AO5" s="35">
        <f>IF(OR(AK5="",AD5="",AD5=0),"",AK5/AD5)</f>
        <v/>
      </c>
      <c r="AP5" s="36">
        <f>IF(OR(AO5="",AN5=""),"",(AO5-AN5)*100)</f>
        <v/>
      </c>
      <c r="AQ5" s="66" t="n">
        <v>12219</v>
      </c>
      <c r="AR5" s="66" t="n">
        <v>8848</v>
      </c>
      <c r="AS5" s="67">
        <f>IF(OR(AR5="",AQ5="",AQ5=0,AR5=0),"",AR5-AQ5)</f>
        <v/>
      </c>
      <c r="AT5" s="34">
        <f>IF(OR(AR5="",AQ5="",AQ5=0,AR5=0),"",AR5/AQ5-1)</f>
        <v/>
      </c>
      <c r="AU5" s="35">
        <f>IF(OR(AQ5="",AJ5="",AJ5=0),"",AQ5/AJ5)</f>
        <v/>
      </c>
      <c r="AV5" s="35">
        <f>IF(OR(AR5="",AK5="",AK5=0),"",AR5/AK5)</f>
        <v/>
      </c>
      <c r="AW5" s="36">
        <f>IF(OR(AV5="",AU5=""),"",(AV5-AU5)*100)</f>
        <v/>
      </c>
      <c r="AX5" s="37">
        <f>IF(OR(AQ5="",O5="",O5=0),"",AQ5/O5)</f>
        <v/>
      </c>
      <c r="AY5" s="37">
        <f>IF(OR(AR5="",P5="",P5=0),"",AR5/P5)</f>
        <v/>
      </c>
      <c r="AZ5" s="36">
        <f>IF(OR(AY5="",AX5=""),"",(AY5-AX5)*100)</f>
        <v/>
      </c>
      <c r="BA5" s="37">
        <f>IF(OR(AQ5="",D5="",D5=0),"",AQ5/D5)</f>
        <v/>
      </c>
      <c r="BB5" s="37">
        <f>IF(OR(AR5="",E5="",E5=0),"",AR5/E5)</f>
        <v/>
      </c>
      <c r="BC5" s="36">
        <f>IF(OR(BB5="",BA5=""),"",(BB5-BA5)*100)</f>
        <v/>
      </c>
    </row>
    <row r="6">
      <c r="A6" s="40" t="inlineStr">
        <is>
          <t>All landing pages</t>
        </is>
      </c>
      <c r="B6" s="40" t="inlineStr">
        <is>
          <t>Paid Search</t>
        </is>
      </c>
      <c r="C6" s="40" t="inlineStr">
        <is>
          <t>Mobile</t>
        </is>
      </c>
      <c r="D6" s="68" t="n">
        <v>193907</v>
      </c>
      <c r="E6" s="68" t="n">
        <v>128508</v>
      </c>
      <c r="F6" s="69">
        <f>IF(OR(E6="",D6="",D6=0,E6=0),"",E6-D6)</f>
        <v/>
      </c>
      <c r="G6" s="42">
        <f>IF(OR(E6="",D6="",D6=0,E6=0),"",E6/D6-1)</f>
        <v/>
      </c>
      <c r="H6" s="68" t="n">
        <v>139055</v>
      </c>
      <c r="I6" s="68" t="n">
        <v>79881</v>
      </c>
      <c r="J6" s="69">
        <f>IF(OR(I6="",H6="",H6=0,I6=0),"",I6-H6)</f>
        <v/>
      </c>
      <c r="K6" s="42">
        <f>IF(OR(I6="",H6="",H6=0,I6=0),"",I6/H6-1)</f>
        <v/>
      </c>
      <c r="L6" s="43">
        <f>IF(OR(H6="",D6="",D6=0),"",H6/D6)</f>
        <v/>
      </c>
      <c r="M6" s="43">
        <f>IF(OR(I6="",E6="",E6=0),"",I6/E6)</f>
        <v/>
      </c>
      <c r="N6" s="44">
        <f>IF(OR(M6="",L6=""),"",(M6-L6)*100)</f>
        <v/>
      </c>
      <c r="O6" s="68" t="n">
        <v>114929</v>
      </c>
      <c r="P6" s="68" t="n">
        <v>70240</v>
      </c>
      <c r="Q6" s="69">
        <f>IF(OR(P6="",O6="",O6=0,P6=0),"",P6-O6)</f>
        <v/>
      </c>
      <c r="R6" s="42">
        <f>IF(OR(P6="",O6="",O6=0,P6=0),"",P6/O6-1)</f>
        <v/>
      </c>
      <c r="S6" s="43">
        <f>IF(OR(O6="",D6="",D6=0),"",O6/D6)</f>
        <v/>
      </c>
      <c r="T6" s="43">
        <f>IF(OR(P6="",E6="",E6=0),"",P6/E6)</f>
        <v/>
      </c>
      <c r="U6" s="44">
        <f>IF(OR(T6="",S6=""),"",(T6-S6)*100)</f>
        <v/>
      </c>
      <c r="V6" s="68" t="n">
        <v>29844</v>
      </c>
      <c r="W6" s="68" t="n">
        <v>18919</v>
      </c>
      <c r="X6" s="69">
        <f>IF(OR(W6="",V6="",V6=0,W6=0),"",W6-V6)</f>
        <v/>
      </c>
      <c r="Y6" s="42">
        <f>IF(OR(W6="",V6="",V6=0,W6=0),"",W6/V6-1)</f>
        <v/>
      </c>
      <c r="Z6" s="43">
        <f>IF(OR(V6="",O6="",O6=0),"",V6/O6)</f>
        <v/>
      </c>
      <c r="AA6" s="43">
        <f>IF(OR(W6="",P6="",P6=0),"",W6/P6)</f>
        <v/>
      </c>
      <c r="AB6" s="44">
        <f>IF(OR(AA6="",Z6=""),"",(AA6-Z6)*100)</f>
        <v/>
      </c>
      <c r="AC6" s="68" t="n">
        <v>22036</v>
      </c>
      <c r="AD6" s="68" t="n">
        <v>13745</v>
      </c>
      <c r="AE6" s="69">
        <f>IF(OR(AD6="",AC6="",AC6=0,AD6=0),"",AD6-AC6)</f>
        <v/>
      </c>
      <c r="AF6" s="42">
        <f>IF(OR(AD6="",AC6="",AC6=0,AD6=0),"",AD6/AC6-1)</f>
        <v/>
      </c>
      <c r="AG6" s="43">
        <f>IF(OR(AC6="",V6="",V6=0),"",AC6/V6)</f>
        <v/>
      </c>
      <c r="AH6" s="43">
        <f>IF(OR(AD6="",W6="",W6=0),"",AD6/W6)</f>
        <v/>
      </c>
      <c r="AI6" s="44">
        <f>IF(OR(AH6="",AG6=""),"",(AH6-AG6)*100)</f>
        <v/>
      </c>
      <c r="AJ6" s="68" t="n">
        <v>7857</v>
      </c>
      <c r="AK6" s="68" t="n">
        <v>5464</v>
      </c>
      <c r="AL6" s="69">
        <f>IF(OR(AK6="",AJ6="",AJ6=0,AK6=0),"",AK6-AJ6)</f>
        <v/>
      </c>
      <c r="AM6" s="42">
        <f>IF(OR(AK6="",AJ6="",AJ6=0,AK6=0),"",AK6/AJ6-1)</f>
        <v/>
      </c>
      <c r="AN6" s="43">
        <f>IF(OR(AJ6="",AC6="",AC6=0),"",AJ6/AC6)</f>
        <v/>
      </c>
      <c r="AO6" s="43">
        <f>IF(OR(AK6="",AD6="",AD6=0),"",AK6/AD6)</f>
        <v/>
      </c>
      <c r="AP6" s="44">
        <f>IF(OR(AO6="",AN6=""),"",(AO6-AN6)*100)</f>
        <v/>
      </c>
      <c r="AQ6" s="68" t="n">
        <v>6206</v>
      </c>
      <c r="AR6" s="68" t="n">
        <v>4483</v>
      </c>
      <c r="AS6" s="69">
        <f>IF(OR(AR6="",AQ6="",AQ6=0,AR6=0),"",AR6-AQ6)</f>
        <v/>
      </c>
      <c r="AT6" s="42">
        <f>IF(OR(AR6="",AQ6="",AQ6=0,AR6=0),"",AR6/AQ6-1)</f>
        <v/>
      </c>
      <c r="AU6" s="43">
        <f>IF(OR(AQ6="",AJ6="",AJ6=0),"",AQ6/AJ6)</f>
        <v/>
      </c>
      <c r="AV6" s="43">
        <f>IF(OR(AR6="",AK6="",AK6=0),"",AR6/AK6)</f>
        <v/>
      </c>
      <c r="AW6" s="44">
        <f>IF(OR(AV6="",AU6=""),"",(AV6-AU6)*100)</f>
        <v/>
      </c>
      <c r="AX6" s="45">
        <f>IF(OR(AQ6="",O6="",O6=0),"",AQ6/O6)</f>
        <v/>
      </c>
      <c r="AY6" s="45">
        <f>IF(OR(AR6="",P6="",P6=0),"",AR6/P6)</f>
        <v/>
      </c>
      <c r="AZ6" s="44">
        <f>IF(OR(AY6="",AX6=""),"",(AY6-AX6)*100)</f>
        <v/>
      </c>
      <c r="BA6" s="45">
        <f>IF(OR(AQ6="",D6="",D6=0),"",AQ6/D6)</f>
        <v/>
      </c>
      <c r="BB6" s="45">
        <f>IF(OR(AR6="",E6="",E6=0),"",AR6/E6)</f>
        <v/>
      </c>
      <c r="BC6" s="44">
        <f>IF(OR(BB6="",BA6=""),"",(BB6-BA6)*100)</f>
        <v/>
      </c>
    </row>
    <row r="7">
      <c r="A7" s="40" t="inlineStr">
        <is>
          <t>All landing pages</t>
        </is>
      </c>
      <c r="B7" s="40" t="inlineStr">
        <is>
          <t>Paid Search</t>
        </is>
      </c>
      <c r="C7" s="40" t="inlineStr">
        <is>
          <t>Desktop</t>
        </is>
      </c>
      <c r="D7" s="68" t="n">
        <v>107863</v>
      </c>
      <c r="E7" s="68" t="n">
        <v>93542</v>
      </c>
      <c r="F7" s="69">
        <f>IF(OR(E7="",D7="",D7=0,E7=0),"",E7-D7)</f>
        <v/>
      </c>
      <c r="G7" s="42">
        <f>IF(OR(E7="",D7="",D7=0,E7=0),"",E7/D7-1)</f>
        <v/>
      </c>
      <c r="H7" s="68" t="n">
        <v>74136</v>
      </c>
      <c r="I7" s="68" t="n">
        <v>57149</v>
      </c>
      <c r="J7" s="69">
        <f>IF(OR(I7="",H7="",H7=0,I7=0),"",I7-H7)</f>
        <v/>
      </c>
      <c r="K7" s="42">
        <f>IF(OR(I7="",H7="",H7=0,I7=0),"",I7/H7-1)</f>
        <v/>
      </c>
      <c r="L7" s="43">
        <f>IF(OR(H7="",D7="",D7=0),"",H7/D7)</f>
        <v/>
      </c>
      <c r="M7" s="43">
        <f>IF(OR(I7="",E7="",E7=0),"",I7/E7)</f>
        <v/>
      </c>
      <c r="N7" s="44">
        <f>IF(OR(M7="",L7=""),"",(M7-L7)*100)</f>
        <v/>
      </c>
      <c r="O7" s="68" t="n">
        <v>60774</v>
      </c>
      <c r="P7" s="68" t="n">
        <v>50193</v>
      </c>
      <c r="Q7" s="69">
        <f>IF(OR(P7="",O7="",O7=0,P7=0),"",P7-O7)</f>
        <v/>
      </c>
      <c r="R7" s="42">
        <f>IF(OR(P7="",O7="",O7=0,P7=0),"",P7/O7-1)</f>
        <v/>
      </c>
      <c r="S7" s="43">
        <f>IF(OR(O7="",D7="",D7=0),"",O7/D7)</f>
        <v/>
      </c>
      <c r="T7" s="43">
        <f>IF(OR(P7="",E7="",E7=0),"",P7/E7)</f>
        <v/>
      </c>
      <c r="U7" s="44">
        <f>IF(OR(T7="",S7=""),"",(T7-S7)*100)</f>
        <v/>
      </c>
      <c r="V7" s="68" t="n">
        <v>17681</v>
      </c>
      <c r="W7" s="68" t="n">
        <v>13448</v>
      </c>
      <c r="X7" s="69">
        <f>IF(OR(W7="",V7="",V7=0,W7=0),"",W7-V7)</f>
        <v/>
      </c>
      <c r="Y7" s="42">
        <f>IF(OR(W7="",V7="",V7=0,W7=0),"",W7/V7-1)</f>
        <v/>
      </c>
      <c r="Z7" s="43">
        <f>IF(OR(V7="",O7="",O7=0),"",V7/O7)</f>
        <v/>
      </c>
      <c r="AA7" s="43">
        <f>IF(OR(W7="",P7="",P7=0),"",W7/P7)</f>
        <v/>
      </c>
      <c r="AB7" s="44">
        <f>IF(OR(AA7="",Z7=""),"",(AA7-Z7)*100)</f>
        <v/>
      </c>
      <c r="AC7" s="68" t="n">
        <v>14452</v>
      </c>
      <c r="AD7" s="68" t="n">
        <v>10883</v>
      </c>
      <c r="AE7" s="69">
        <f>IF(OR(AD7="",AC7="",AC7=0,AD7=0),"",AD7-AC7)</f>
        <v/>
      </c>
      <c r="AF7" s="42">
        <f>IF(OR(AD7="",AC7="",AC7=0,AD7=0),"",AD7/AC7-1)</f>
        <v/>
      </c>
      <c r="AG7" s="43">
        <f>IF(OR(AC7="",V7="",V7=0),"",AC7/V7)</f>
        <v/>
      </c>
      <c r="AH7" s="43">
        <f>IF(OR(AD7="",W7="",W7=0),"",AD7/W7)</f>
        <v/>
      </c>
      <c r="AI7" s="44">
        <f>IF(OR(AH7="",AG7=""),"",(AH7-AG7)*100)</f>
        <v/>
      </c>
      <c r="AJ7" s="68" t="n">
        <v>6881</v>
      </c>
      <c r="AK7" s="68" t="n">
        <v>5023</v>
      </c>
      <c r="AL7" s="69">
        <f>IF(OR(AK7="",AJ7="",AJ7=0,AK7=0),"",AK7-AJ7)</f>
        <v/>
      </c>
      <c r="AM7" s="42">
        <f>IF(OR(AK7="",AJ7="",AJ7=0,AK7=0),"",AK7/AJ7-1)</f>
        <v/>
      </c>
      <c r="AN7" s="43">
        <f>IF(OR(AJ7="",AC7="",AC7=0),"",AJ7/AC7)</f>
        <v/>
      </c>
      <c r="AO7" s="43">
        <f>IF(OR(AK7="",AD7="",AD7=0),"",AK7/AD7)</f>
        <v/>
      </c>
      <c r="AP7" s="44">
        <f>IF(OR(AO7="",AN7=""),"",(AO7-AN7)*100)</f>
        <v/>
      </c>
      <c r="AQ7" s="68" t="n">
        <v>5793</v>
      </c>
      <c r="AR7" s="68" t="n">
        <v>4225</v>
      </c>
      <c r="AS7" s="69">
        <f>IF(OR(AR7="",AQ7="",AQ7=0,AR7=0),"",AR7-AQ7)</f>
        <v/>
      </c>
      <c r="AT7" s="42">
        <f>IF(OR(AR7="",AQ7="",AQ7=0,AR7=0),"",AR7/AQ7-1)</f>
        <v/>
      </c>
      <c r="AU7" s="43">
        <f>IF(OR(AQ7="",AJ7="",AJ7=0),"",AQ7/AJ7)</f>
        <v/>
      </c>
      <c r="AV7" s="43">
        <f>IF(OR(AR7="",AK7="",AK7=0),"",AR7/AK7)</f>
        <v/>
      </c>
      <c r="AW7" s="44">
        <f>IF(OR(AV7="",AU7=""),"",(AV7-AU7)*100)</f>
        <v/>
      </c>
      <c r="AX7" s="45">
        <f>IF(OR(AQ7="",O7="",O7=0),"",AQ7/O7)</f>
        <v/>
      </c>
      <c r="AY7" s="45">
        <f>IF(OR(AR7="",P7="",P7=0),"",AR7/P7)</f>
        <v/>
      </c>
      <c r="AZ7" s="44">
        <f>IF(OR(AY7="",AX7=""),"",(AY7-AX7)*100)</f>
        <v/>
      </c>
      <c r="BA7" s="45">
        <f>IF(OR(AQ7="",D7="",D7=0),"",AQ7/D7)</f>
        <v/>
      </c>
      <c r="BB7" s="45">
        <f>IF(OR(AR7="",E7="",E7=0),"",AR7/E7)</f>
        <v/>
      </c>
      <c r="BC7" s="44">
        <f>IF(OR(BB7="",BA7=""),"",(BB7-BA7)*100)</f>
        <v/>
      </c>
    </row>
    <row r="8">
      <c r="A8" s="32" t="inlineStr">
        <is>
          <t>All landing pages</t>
        </is>
      </c>
      <c r="B8" s="32" t="inlineStr">
        <is>
          <t>Organic</t>
        </is>
      </c>
      <c r="C8" s="32" t="inlineStr">
        <is>
          <t>Total</t>
        </is>
      </c>
      <c r="D8" s="66" t="n">
        <v>78775</v>
      </c>
      <c r="E8" s="66" t="n">
        <v>83941</v>
      </c>
      <c r="F8" s="67">
        <f>IF(OR(E8="",D8="",D8=0,E8=0),"",E8-D8)</f>
        <v/>
      </c>
      <c r="G8" s="34">
        <f>IF(OR(E8="",D8="",D8=0,E8=0),"",E8/D8-1)</f>
        <v/>
      </c>
      <c r="H8" s="66" t="n">
        <v>55159</v>
      </c>
      <c r="I8" s="66" t="n">
        <v>55581</v>
      </c>
      <c r="J8" s="67">
        <f>IF(OR(I8="",H8="",H8=0,I8=0),"",I8-H8)</f>
        <v/>
      </c>
      <c r="K8" s="34">
        <f>IF(OR(I8="",H8="",H8=0,I8=0),"",I8/H8-1)</f>
        <v/>
      </c>
      <c r="L8" s="35">
        <f>IF(OR(H8="",D8="",D8=0),"",H8/D8)</f>
        <v/>
      </c>
      <c r="M8" s="35">
        <f>IF(OR(I8="",E8="",E8=0),"",I8/E8)</f>
        <v/>
      </c>
      <c r="N8" s="36">
        <f>IF(OR(M8="",L8=""),"",(M8-L8)*100)</f>
        <v/>
      </c>
      <c r="O8" s="66" t="n">
        <v>42951</v>
      </c>
      <c r="P8" s="66" t="n">
        <v>44301</v>
      </c>
      <c r="Q8" s="67">
        <f>IF(OR(P8="",O8="",O8=0,P8=0),"",P8-O8)</f>
        <v/>
      </c>
      <c r="R8" s="34">
        <f>IF(OR(P8="",O8="",O8=0,P8=0),"",P8/O8-1)</f>
        <v/>
      </c>
      <c r="S8" s="35">
        <f>IF(OR(O8="",D8="",D8=0),"",O8/D8)</f>
        <v/>
      </c>
      <c r="T8" s="35">
        <f>IF(OR(P8="",E8="",E8=0),"",P8/E8)</f>
        <v/>
      </c>
      <c r="U8" s="36">
        <f>IF(OR(T8="",S8=""),"",(T8-S8)*100)</f>
        <v/>
      </c>
      <c r="V8" s="66" t="n">
        <v>9946</v>
      </c>
      <c r="W8" s="66" t="n">
        <v>9056</v>
      </c>
      <c r="X8" s="67">
        <f>IF(OR(W8="",V8="",V8=0,W8=0),"",W8-V8)</f>
        <v/>
      </c>
      <c r="Y8" s="34">
        <f>IF(OR(W8="",V8="",V8=0,W8=0),"",W8/V8-1)</f>
        <v/>
      </c>
      <c r="Z8" s="35">
        <f>IF(OR(V8="",O8="",O8=0),"",V8/O8)</f>
        <v/>
      </c>
      <c r="AA8" s="35">
        <f>IF(OR(W8="",P8="",P8=0),"",W8/P8)</f>
        <v/>
      </c>
      <c r="AB8" s="36">
        <f>IF(OR(AA8="",Z8=""),"",(AA8-Z8)*100)</f>
        <v/>
      </c>
      <c r="AC8" s="66" t="n">
        <v>7770</v>
      </c>
      <c r="AD8" s="66" t="n">
        <v>6691</v>
      </c>
      <c r="AE8" s="67">
        <f>IF(OR(AD8="",AC8="",AC8=0,AD8=0),"",AD8-AC8)</f>
        <v/>
      </c>
      <c r="AF8" s="34">
        <f>IF(OR(AD8="",AC8="",AC8=0,AD8=0),"",AD8/AC8-1)</f>
        <v/>
      </c>
      <c r="AG8" s="35">
        <f>IF(OR(AC8="",V8="",V8=0),"",AC8/V8)</f>
        <v/>
      </c>
      <c r="AH8" s="35">
        <f>IF(OR(AD8="",W8="",W8=0),"",AD8/W8)</f>
        <v/>
      </c>
      <c r="AI8" s="36">
        <f>IF(OR(AH8="",AG8=""),"",(AH8-AG8)*100)</f>
        <v/>
      </c>
      <c r="AJ8" s="66" t="n">
        <v>3091</v>
      </c>
      <c r="AK8" s="66" t="n">
        <v>2296</v>
      </c>
      <c r="AL8" s="67">
        <f>IF(OR(AK8="",AJ8="",AJ8=0,AK8=0),"",AK8-AJ8)</f>
        <v/>
      </c>
      <c r="AM8" s="34">
        <f>IF(OR(AK8="",AJ8="",AJ8=0,AK8=0),"",AK8/AJ8-1)</f>
        <v/>
      </c>
      <c r="AN8" s="35">
        <f>IF(OR(AJ8="",AC8="",AC8=0),"",AJ8/AC8)</f>
        <v/>
      </c>
      <c r="AO8" s="35">
        <f>IF(OR(AK8="",AD8="",AD8=0),"",AK8/AD8)</f>
        <v/>
      </c>
      <c r="AP8" s="36">
        <f>IF(OR(AO8="",AN8=""),"",(AO8-AN8)*100)</f>
        <v/>
      </c>
      <c r="AQ8" s="66" t="n">
        <v>2643</v>
      </c>
      <c r="AR8" s="66" t="n">
        <v>1806</v>
      </c>
      <c r="AS8" s="67">
        <f>IF(OR(AR8="",AQ8="",AQ8=0,AR8=0),"",AR8-AQ8)</f>
        <v/>
      </c>
      <c r="AT8" s="34">
        <f>IF(OR(AR8="",AQ8="",AQ8=0,AR8=0),"",AR8/AQ8-1)</f>
        <v/>
      </c>
      <c r="AU8" s="35">
        <f>IF(OR(AQ8="",AJ8="",AJ8=0),"",AQ8/AJ8)</f>
        <v/>
      </c>
      <c r="AV8" s="35">
        <f>IF(OR(AR8="",AK8="",AK8=0),"",AR8/AK8)</f>
        <v/>
      </c>
      <c r="AW8" s="36">
        <f>IF(OR(AV8="",AU8=""),"",(AV8-AU8)*100)</f>
        <v/>
      </c>
      <c r="AX8" s="37">
        <f>IF(OR(AQ8="",O8="",O8=0),"",AQ8/O8)</f>
        <v/>
      </c>
      <c r="AY8" s="37">
        <f>IF(OR(AR8="",P8="",P8=0),"",AR8/P8)</f>
        <v/>
      </c>
      <c r="AZ8" s="36">
        <f>IF(OR(AY8="",AX8=""),"",(AY8-AX8)*100)</f>
        <v/>
      </c>
      <c r="BA8" s="37">
        <f>IF(OR(AQ8="",D8="",D8=0),"",AQ8/D8)</f>
        <v/>
      </c>
      <c r="BB8" s="37">
        <f>IF(OR(AR8="",E8="",E8=0),"",AR8/E8)</f>
        <v/>
      </c>
      <c r="BC8" s="36">
        <f>IF(OR(BB8="",BA8=""),"",(BB8-BA8)*100)</f>
        <v/>
      </c>
    </row>
    <row r="9">
      <c r="A9" s="40" t="inlineStr">
        <is>
          <t>All landing pages</t>
        </is>
      </c>
      <c r="B9" s="40" t="inlineStr">
        <is>
          <t>Organic</t>
        </is>
      </c>
      <c r="C9" s="40" t="inlineStr">
        <is>
          <t>Mobile</t>
        </is>
      </c>
      <c r="D9" s="68" t="n">
        <v>49403</v>
      </c>
      <c r="E9" s="68" t="n">
        <v>58185</v>
      </c>
      <c r="F9" s="69">
        <f>IF(OR(E9="",D9="",D9=0,E9=0),"",E9-D9)</f>
        <v/>
      </c>
      <c r="G9" s="42">
        <f>IF(OR(E9="",D9="",D9=0,E9=0),"",E9/D9-1)</f>
        <v/>
      </c>
      <c r="H9" s="68" t="n">
        <v>35280</v>
      </c>
      <c r="I9" s="68" t="n">
        <v>37975</v>
      </c>
      <c r="J9" s="69">
        <f>IF(OR(I9="",H9="",H9=0,I9=0),"",I9-H9)</f>
        <v/>
      </c>
      <c r="K9" s="42">
        <f>IF(OR(I9="",H9="",H9=0,I9=0),"",I9/H9-1)</f>
        <v/>
      </c>
      <c r="L9" s="43">
        <f>IF(OR(H9="",D9="",D9=0),"",H9/D9)</f>
        <v/>
      </c>
      <c r="M9" s="43">
        <f>IF(OR(I9="",E9="",E9=0),"",I9/E9)</f>
        <v/>
      </c>
      <c r="N9" s="44">
        <f>IF(OR(M9="",L9=""),"",(M9-L9)*100)</f>
        <v/>
      </c>
      <c r="O9" s="68" t="n">
        <v>26337</v>
      </c>
      <c r="P9" s="68" t="n">
        <v>30758</v>
      </c>
      <c r="Q9" s="69">
        <f>IF(OR(P9="",O9="",O9=0,P9=0),"",P9-O9)</f>
        <v/>
      </c>
      <c r="R9" s="42">
        <f>IF(OR(P9="",O9="",O9=0,P9=0),"",P9/O9-1)</f>
        <v/>
      </c>
      <c r="S9" s="43">
        <f>IF(OR(O9="",D9="",D9=0),"",O9/D9)</f>
        <v/>
      </c>
      <c r="T9" s="43">
        <f>IF(OR(P9="",E9="",E9=0),"",P9/E9)</f>
        <v/>
      </c>
      <c r="U9" s="44">
        <f>IF(OR(T9="",S9=""),"",(T9-S9)*100)</f>
        <v/>
      </c>
      <c r="V9" s="68" t="n">
        <v>5814</v>
      </c>
      <c r="W9" s="68" t="n">
        <v>6280</v>
      </c>
      <c r="X9" s="69">
        <f>IF(OR(W9="",V9="",V9=0,W9=0),"",W9-V9)</f>
        <v/>
      </c>
      <c r="Y9" s="42">
        <f>IF(OR(W9="",V9="",V9=0,W9=0),"",W9/V9-1)</f>
        <v/>
      </c>
      <c r="Z9" s="43">
        <f>IF(OR(V9="",O9="",O9=0),"",V9/O9)</f>
        <v/>
      </c>
      <c r="AA9" s="43">
        <f>IF(OR(W9="",P9="",P9=0),"",W9/P9)</f>
        <v/>
      </c>
      <c r="AB9" s="44">
        <f>IF(OR(AA9="",Z9=""),"",(AA9-Z9)*100)</f>
        <v/>
      </c>
      <c r="AC9" s="68" t="n">
        <v>4278</v>
      </c>
      <c r="AD9" s="68" t="n">
        <v>4509</v>
      </c>
      <c r="AE9" s="69">
        <f>IF(OR(AD9="",AC9="",AC9=0,AD9=0),"",AD9-AC9)</f>
        <v/>
      </c>
      <c r="AF9" s="42">
        <f>IF(OR(AD9="",AC9="",AC9=0,AD9=0),"",AD9/AC9-1)</f>
        <v/>
      </c>
      <c r="AG9" s="43">
        <f>IF(OR(AC9="",V9="",V9=0),"",AC9/V9)</f>
        <v/>
      </c>
      <c r="AH9" s="43">
        <f>IF(OR(AD9="",W9="",W9=0),"",AD9/W9)</f>
        <v/>
      </c>
      <c r="AI9" s="44">
        <f>IF(OR(AH9="",AG9=""),"",(AH9-AG9)*100)</f>
        <v/>
      </c>
      <c r="AJ9" s="68" t="n">
        <v>1464</v>
      </c>
      <c r="AK9" s="68" t="n">
        <v>1378</v>
      </c>
      <c r="AL9" s="69">
        <f>IF(OR(AK9="",AJ9="",AJ9=0,AK9=0),"",AK9-AJ9)</f>
        <v/>
      </c>
      <c r="AM9" s="42">
        <f>IF(OR(AK9="",AJ9="",AJ9=0,AK9=0),"",AK9/AJ9-1)</f>
        <v/>
      </c>
      <c r="AN9" s="43">
        <f>IF(OR(AJ9="",AC9="",AC9=0),"",AJ9/AC9)</f>
        <v/>
      </c>
      <c r="AO9" s="43">
        <f>IF(OR(AK9="",AD9="",AD9=0),"",AK9/AD9)</f>
        <v/>
      </c>
      <c r="AP9" s="44">
        <f>IF(OR(AO9="",AN9=""),"",(AO9-AN9)*100)</f>
        <v/>
      </c>
      <c r="AQ9" s="68" t="n">
        <v>1220</v>
      </c>
      <c r="AR9" s="68" t="n">
        <v>1069</v>
      </c>
      <c r="AS9" s="69">
        <f>IF(OR(AR9="",AQ9="",AQ9=0,AR9=0),"",AR9-AQ9)</f>
        <v/>
      </c>
      <c r="AT9" s="42">
        <f>IF(OR(AR9="",AQ9="",AQ9=0,AR9=0),"",AR9/AQ9-1)</f>
        <v/>
      </c>
      <c r="AU9" s="43">
        <f>IF(OR(AQ9="",AJ9="",AJ9=0),"",AQ9/AJ9)</f>
        <v/>
      </c>
      <c r="AV9" s="43">
        <f>IF(OR(AR9="",AK9="",AK9=0),"",AR9/AK9)</f>
        <v/>
      </c>
      <c r="AW9" s="44">
        <f>IF(OR(AV9="",AU9=""),"",(AV9-AU9)*100)</f>
        <v/>
      </c>
      <c r="AX9" s="45">
        <f>IF(OR(AQ9="",O9="",O9=0),"",AQ9/O9)</f>
        <v/>
      </c>
      <c r="AY9" s="45">
        <f>IF(OR(AR9="",P9="",P9=0),"",AR9/P9)</f>
        <v/>
      </c>
      <c r="AZ9" s="44">
        <f>IF(OR(AY9="",AX9=""),"",(AY9-AX9)*100)</f>
        <v/>
      </c>
      <c r="BA9" s="45">
        <f>IF(OR(AQ9="",D9="",D9=0),"",AQ9/D9)</f>
        <v/>
      </c>
      <c r="BB9" s="45">
        <f>IF(OR(AR9="",E9="",E9=0),"",AR9/E9)</f>
        <v/>
      </c>
      <c r="BC9" s="44">
        <f>IF(OR(BB9="",BA9=""),"",(BB9-BA9)*100)</f>
        <v/>
      </c>
    </row>
    <row r="10">
      <c r="A10" s="40" t="inlineStr">
        <is>
          <t>All landing pages</t>
        </is>
      </c>
      <c r="B10" s="40" t="inlineStr">
        <is>
          <t>Organic</t>
        </is>
      </c>
      <c r="C10" s="40" t="inlineStr">
        <is>
          <t>Desktop</t>
        </is>
      </c>
      <c r="D10" s="68" t="n">
        <v>27919</v>
      </c>
      <c r="E10" s="68" t="n">
        <v>25025</v>
      </c>
      <c r="F10" s="69">
        <f>IF(OR(E10="",D10="",D10=0,E10=0),"",E10-D10)</f>
        <v/>
      </c>
      <c r="G10" s="42">
        <f>IF(OR(E10="",D10="",D10=0,E10=0),"",E10/D10-1)</f>
        <v/>
      </c>
      <c r="H10" s="68" t="n">
        <v>19121</v>
      </c>
      <c r="I10" s="68" t="n">
        <v>16480</v>
      </c>
      <c r="J10" s="69">
        <f>IF(OR(I10="",H10="",H10=0,I10=0),"",I10-H10)</f>
        <v/>
      </c>
      <c r="K10" s="42">
        <f>IF(OR(I10="",H10="",H10=0,I10=0),"",I10/H10-1)</f>
        <v/>
      </c>
      <c r="L10" s="43">
        <f>IF(OR(H10="",D10="",D10=0),"",H10/D10)</f>
        <v/>
      </c>
      <c r="M10" s="43">
        <f>IF(OR(I10="",E10="",E10=0),"",I10/E10)</f>
        <v/>
      </c>
      <c r="N10" s="44">
        <f>IF(OR(M10="",L10=""),"",(M10-L10)*100)</f>
        <v/>
      </c>
      <c r="O10" s="68" t="n">
        <v>15323</v>
      </c>
      <c r="P10" s="68" t="n">
        <v>12047</v>
      </c>
      <c r="Q10" s="69">
        <f>IF(OR(P10="",O10="",O10=0,P10=0),"",P10-O10)</f>
        <v/>
      </c>
      <c r="R10" s="42">
        <f>IF(OR(P10="",O10="",O10=0,P10=0),"",P10/O10-1)</f>
        <v/>
      </c>
      <c r="S10" s="43">
        <f>IF(OR(O10="",D10="",D10=0),"",O10/D10)</f>
        <v/>
      </c>
      <c r="T10" s="43">
        <f>IF(OR(P10="",E10="",E10=0),"",P10/E10)</f>
        <v/>
      </c>
      <c r="U10" s="44">
        <f>IF(OR(T10="",S10=""),"",(T10-S10)*100)</f>
        <v/>
      </c>
      <c r="V10" s="68" t="n">
        <v>3894</v>
      </c>
      <c r="W10" s="68" t="n">
        <v>2704</v>
      </c>
      <c r="X10" s="69">
        <f>IF(OR(W10="",V10="",V10=0,W10=0),"",W10-V10)</f>
        <v/>
      </c>
      <c r="Y10" s="42">
        <f>IF(OR(W10="",V10="",V10=0,W10=0),"",W10/V10-1)</f>
        <v/>
      </c>
      <c r="Z10" s="43">
        <f>IF(OR(V10="",O10="",O10=0),"",V10/O10)</f>
        <v/>
      </c>
      <c r="AA10" s="43">
        <f>IF(OR(W10="",P10="",P10=0),"",W10/P10)</f>
        <v/>
      </c>
      <c r="AB10" s="44">
        <f>IF(OR(AA10="",Z10=""),"",(AA10-Z10)*100)</f>
        <v/>
      </c>
      <c r="AC10" s="68" t="n">
        <v>3272</v>
      </c>
      <c r="AD10" s="68" t="n">
        <v>2186</v>
      </c>
      <c r="AE10" s="69">
        <f>IF(OR(AD10="",AC10="",AC10=0,AD10=0),"",AD10-AC10)</f>
        <v/>
      </c>
      <c r="AF10" s="42">
        <f>IF(OR(AD10="",AC10="",AC10=0,AD10=0),"",AD10/AC10-1)</f>
        <v/>
      </c>
      <c r="AG10" s="43">
        <f>IF(OR(AC10="",V10="",V10=0),"",AC10/V10)</f>
        <v/>
      </c>
      <c r="AH10" s="43">
        <f>IF(OR(AD10="",W10="",W10=0),"",AD10/W10)</f>
        <v/>
      </c>
      <c r="AI10" s="44">
        <f>IF(OR(AH10="",AG10=""),"",(AH10-AG10)*100)</f>
        <v/>
      </c>
      <c r="AJ10" s="68" t="n">
        <v>1560</v>
      </c>
      <c r="AK10" s="68" t="n">
        <v>891</v>
      </c>
      <c r="AL10" s="69">
        <f>IF(OR(AK10="",AJ10="",AJ10=0,AK10=0),"",AK10-AJ10)</f>
        <v/>
      </c>
      <c r="AM10" s="42">
        <f>IF(OR(AK10="",AJ10="",AJ10=0,AK10=0),"",AK10/AJ10-1)</f>
        <v/>
      </c>
      <c r="AN10" s="43">
        <f>IF(OR(AJ10="",AC10="",AC10=0),"",AJ10/AC10)</f>
        <v/>
      </c>
      <c r="AO10" s="43">
        <f>IF(OR(AK10="",AD10="",AD10=0),"",AK10/AD10)</f>
        <v/>
      </c>
      <c r="AP10" s="44">
        <f>IF(OR(AO10="",AN10=""),"",(AO10-AN10)*100)</f>
        <v/>
      </c>
      <c r="AQ10" s="68" t="n">
        <v>1382</v>
      </c>
      <c r="AR10" s="68" t="n">
        <v>716</v>
      </c>
      <c r="AS10" s="69">
        <f>IF(OR(AR10="",AQ10="",AQ10=0,AR10=0),"",AR10-AQ10)</f>
        <v/>
      </c>
      <c r="AT10" s="42">
        <f>IF(OR(AR10="",AQ10="",AQ10=0,AR10=0),"",AR10/AQ10-1)</f>
        <v/>
      </c>
      <c r="AU10" s="43">
        <f>IF(OR(AQ10="",AJ10="",AJ10=0),"",AQ10/AJ10)</f>
        <v/>
      </c>
      <c r="AV10" s="43">
        <f>IF(OR(AR10="",AK10="",AK10=0),"",AR10/AK10)</f>
        <v/>
      </c>
      <c r="AW10" s="44">
        <f>IF(OR(AV10="",AU10=""),"",(AV10-AU10)*100)</f>
        <v/>
      </c>
      <c r="AX10" s="45">
        <f>IF(OR(AQ10="",O10="",O10=0),"",AQ10/O10)</f>
        <v/>
      </c>
      <c r="AY10" s="45">
        <f>IF(OR(AR10="",P10="",P10=0),"",AR10/P10)</f>
        <v/>
      </c>
      <c r="AZ10" s="44">
        <f>IF(OR(AY10="",AX10=""),"",(AY10-AX10)*100)</f>
        <v/>
      </c>
      <c r="BA10" s="45">
        <f>IF(OR(AQ10="",D10="",D10=0),"",AQ10/D10)</f>
        <v/>
      </c>
      <c r="BB10" s="45">
        <f>IF(OR(AR10="",E10="",E10=0),"",AR10/E10)</f>
        <v/>
      </c>
      <c r="BC10" s="44">
        <f>IF(OR(BB10="",BA10=""),"",(BB10-BA10)*100)</f>
        <v/>
      </c>
    </row>
    <row r="11">
      <c r="A11" s="32" t="inlineStr">
        <is>
          <t>All landing pages</t>
        </is>
      </c>
      <c r="B11" s="32" t="inlineStr">
        <is>
          <t>Direct</t>
        </is>
      </c>
      <c r="C11" s="32" t="inlineStr">
        <is>
          <t>Total</t>
        </is>
      </c>
      <c r="D11" s="66" t="n">
        <v>36339</v>
      </c>
      <c r="E11" s="66" t="n">
        <v>39626</v>
      </c>
      <c r="F11" s="67">
        <f>IF(OR(E11="",D11="",D11=0,E11=0),"",E11-D11)</f>
        <v/>
      </c>
      <c r="G11" s="34">
        <f>IF(OR(E11="",D11="",D11=0,E11=0),"",E11/D11-1)</f>
        <v/>
      </c>
      <c r="H11" s="66" t="n">
        <v>15936</v>
      </c>
      <c r="I11" s="66" t="n">
        <v>15152</v>
      </c>
      <c r="J11" s="67">
        <f>IF(OR(I11="",H11="",H11=0,I11=0),"",I11-H11)</f>
        <v/>
      </c>
      <c r="K11" s="34">
        <f>IF(OR(I11="",H11="",H11=0,I11=0),"",I11/H11-1)</f>
        <v/>
      </c>
      <c r="L11" s="35">
        <f>IF(OR(H11="",D11="",D11=0),"",H11/D11)</f>
        <v/>
      </c>
      <c r="M11" s="35">
        <f>IF(OR(I11="",E11="",E11=0),"",I11/E11)</f>
        <v/>
      </c>
      <c r="N11" s="36">
        <f>IF(OR(M11="",L11=""),"",(M11-L11)*100)</f>
        <v/>
      </c>
      <c r="O11" s="66" t="n">
        <v>12964</v>
      </c>
      <c r="P11" s="66" t="n">
        <v>15632</v>
      </c>
      <c r="Q11" s="67">
        <f>IF(OR(P11="",O11="",O11=0,P11=0),"",P11-O11)</f>
        <v/>
      </c>
      <c r="R11" s="34">
        <f>IF(OR(P11="",O11="",O11=0,P11=0),"",P11/O11-1)</f>
        <v/>
      </c>
      <c r="S11" s="35">
        <f>IF(OR(O11="",D11="",D11=0),"",O11/D11)</f>
        <v/>
      </c>
      <c r="T11" s="35">
        <f>IF(OR(P11="",E11="",E11=0),"",P11/E11)</f>
        <v/>
      </c>
      <c r="U11" s="36">
        <f>IF(OR(T11="",S11=""),"",(T11-S11)*100)</f>
        <v/>
      </c>
      <c r="V11" s="66" t="n">
        <v>4591</v>
      </c>
      <c r="W11" s="66" t="n">
        <v>4661</v>
      </c>
      <c r="X11" s="67">
        <f>IF(OR(W11="",V11="",V11=0,W11=0),"",W11-V11)</f>
        <v/>
      </c>
      <c r="Y11" s="34">
        <f>IF(OR(W11="",V11="",V11=0,W11=0),"",W11/V11-1)</f>
        <v/>
      </c>
      <c r="Z11" s="35">
        <f>IF(OR(V11="",O11="",O11=0),"",V11/O11)</f>
        <v/>
      </c>
      <c r="AA11" s="35">
        <f>IF(OR(W11="",P11="",P11=0),"",W11/P11)</f>
        <v/>
      </c>
      <c r="AB11" s="36">
        <f>IF(OR(AA11="",Z11=""),"",(AA11-Z11)*100)</f>
        <v/>
      </c>
      <c r="AC11" s="66" t="n">
        <v>3920</v>
      </c>
      <c r="AD11" s="66" t="n">
        <v>3787</v>
      </c>
      <c r="AE11" s="67">
        <f>IF(OR(AD11="",AC11="",AC11=0,AD11=0),"",AD11-AC11)</f>
        <v/>
      </c>
      <c r="AF11" s="34">
        <f>IF(OR(AD11="",AC11="",AC11=0,AD11=0),"",AD11/AC11-1)</f>
        <v/>
      </c>
      <c r="AG11" s="35">
        <f>IF(OR(AC11="",V11="",V11=0),"",AC11/V11)</f>
        <v/>
      </c>
      <c r="AH11" s="35">
        <f>IF(OR(AD11="",W11="",W11=0),"",AD11/W11)</f>
        <v/>
      </c>
      <c r="AI11" s="36">
        <f>IF(OR(AH11="",AG11=""),"",(AH11-AG11)*100)</f>
        <v/>
      </c>
      <c r="AJ11" s="66" t="n">
        <v>2137</v>
      </c>
      <c r="AK11" s="66" t="n">
        <v>1853</v>
      </c>
      <c r="AL11" s="67">
        <f>IF(OR(AK11="",AJ11="",AJ11=0,AK11=0),"",AK11-AJ11)</f>
        <v/>
      </c>
      <c r="AM11" s="34">
        <f>IF(OR(AK11="",AJ11="",AJ11=0,AK11=0),"",AK11/AJ11-1)</f>
        <v/>
      </c>
      <c r="AN11" s="35">
        <f>IF(OR(AJ11="",AC11="",AC11=0),"",AJ11/AC11)</f>
        <v/>
      </c>
      <c r="AO11" s="35">
        <f>IF(OR(AK11="",AD11="",AD11=0),"",AK11/AD11)</f>
        <v/>
      </c>
      <c r="AP11" s="36">
        <f>IF(OR(AO11="",AN11=""),"",(AO11-AN11)*100)</f>
        <v/>
      </c>
      <c r="AQ11" s="66" t="n">
        <v>2648</v>
      </c>
      <c r="AR11" s="66" t="n">
        <v>1889</v>
      </c>
      <c r="AS11" s="67">
        <f>IF(OR(AR11="",AQ11="",AQ11=0,AR11=0),"",AR11-AQ11)</f>
        <v/>
      </c>
      <c r="AT11" s="34">
        <f>IF(OR(AR11="",AQ11="",AQ11=0,AR11=0),"",AR11/AQ11-1)</f>
        <v/>
      </c>
      <c r="AU11" s="35">
        <f>IF(OR(AQ11="",AJ11="",AJ11=0),"",AQ11/AJ11)</f>
        <v/>
      </c>
      <c r="AV11" s="35">
        <f>IF(OR(AR11="",AK11="",AK11=0),"",AR11/AK11)</f>
        <v/>
      </c>
      <c r="AW11" s="36">
        <f>IF(OR(AV11="",AU11=""),"",(AV11-AU11)*100)</f>
        <v/>
      </c>
      <c r="AX11" s="37">
        <f>IF(OR(AQ11="",O11="",O11=0),"",AQ11/O11)</f>
        <v/>
      </c>
      <c r="AY11" s="37">
        <f>IF(OR(AR11="",P11="",P11=0),"",AR11/P11)</f>
        <v/>
      </c>
      <c r="AZ11" s="36">
        <f>IF(OR(AY11="",AX11=""),"",(AY11-AX11)*100)</f>
        <v/>
      </c>
      <c r="BA11" s="37">
        <f>IF(OR(AQ11="",D11="",D11=0),"",AQ11/D11)</f>
        <v/>
      </c>
      <c r="BB11" s="37">
        <f>IF(OR(AR11="",E11="",E11=0),"",AR11/E11)</f>
        <v/>
      </c>
      <c r="BC11" s="36">
        <f>IF(OR(BB11="",BA11=""),"",(BB11-BA11)*100)</f>
        <v/>
      </c>
    </row>
    <row r="12">
      <c r="A12" s="40" t="inlineStr">
        <is>
          <t>All landing pages</t>
        </is>
      </c>
      <c r="B12" s="40" t="inlineStr">
        <is>
          <t>Direct</t>
        </is>
      </c>
      <c r="C12" s="40" t="inlineStr">
        <is>
          <t>Mobile</t>
        </is>
      </c>
      <c r="D12" s="68" t="n">
        <v>20147</v>
      </c>
      <c r="E12" s="68" t="n">
        <v>17927</v>
      </c>
      <c r="F12" s="69">
        <f>IF(OR(E12="",D12="",D12=0,E12=0),"",E12-D12)</f>
        <v/>
      </c>
      <c r="G12" s="42">
        <f>IF(OR(E12="",D12="",D12=0,E12=0),"",E12/D12-1)</f>
        <v/>
      </c>
      <c r="H12" s="68" t="n">
        <v>8919</v>
      </c>
      <c r="I12" s="68" t="n">
        <v>6498</v>
      </c>
      <c r="J12" s="69">
        <f>IF(OR(I12="",H12="",H12=0,I12=0),"",I12-H12)</f>
        <v/>
      </c>
      <c r="K12" s="42">
        <f>IF(OR(I12="",H12="",H12=0,I12=0),"",I12/H12-1)</f>
        <v/>
      </c>
      <c r="L12" s="43">
        <f>IF(OR(H12="",D12="",D12=0),"",H12/D12)</f>
        <v/>
      </c>
      <c r="M12" s="43">
        <f>IF(OR(I12="",E12="",E12=0),"",I12/E12)</f>
        <v/>
      </c>
      <c r="N12" s="44">
        <f>IF(OR(M12="",L12=""),"",(M12-L12)*100)</f>
        <v/>
      </c>
      <c r="O12" s="68" t="n">
        <v>7311</v>
      </c>
      <c r="P12" s="68" t="n">
        <v>6548</v>
      </c>
      <c r="Q12" s="69">
        <f>IF(OR(P12="",O12="",O12=0,P12=0),"",P12-O12)</f>
        <v/>
      </c>
      <c r="R12" s="42">
        <f>IF(OR(P12="",O12="",O12=0,P12=0),"",P12/O12-1)</f>
        <v/>
      </c>
      <c r="S12" s="43">
        <f>IF(OR(O12="",D12="",D12=0),"",O12/D12)</f>
        <v/>
      </c>
      <c r="T12" s="43">
        <f>IF(OR(P12="",E12="",E12=0),"",P12/E12)</f>
        <v/>
      </c>
      <c r="U12" s="44">
        <f>IF(OR(T12="",S12=""),"",(T12-S12)*100)</f>
        <v/>
      </c>
      <c r="V12" s="68" t="n">
        <v>2785</v>
      </c>
      <c r="W12" s="68" t="n">
        <v>2135</v>
      </c>
      <c r="X12" s="69">
        <f>IF(OR(W12="",V12="",V12=0,W12=0),"",W12-V12)</f>
        <v/>
      </c>
      <c r="Y12" s="42">
        <f>IF(OR(W12="",V12="",V12=0,W12=0),"",W12/V12-1)</f>
        <v/>
      </c>
      <c r="Z12" s="43">
        <f>IF(OR(V12="",O12="",O12=0),"",V12/O12)</f>
        <v/>
      </c>
      <c r="AA12" s="43">
        <f>IF(OR(W12="",P12="",P12=0),"",W12/P12)</f>
        <v/>
      </c>
      <c r="AB12" s="44">
        <f>IF(OR(AA12="",Z12=""),"",(AA12-Z12)*100)</f>
        <v/>
      </c>
      <c r="AC12" s="68" t="n">
        <v>2328</v>
      </c>
      <c r="AD12" s="68" t="n">
        <v>1705</v>
      </c>
      <c r="AE12" s="69">
        <f>IF(OR(AD12="",AC12="",AC12=0,AD12=0),"",AD12-AC12)</f>
        <v/>
      </c>
      <c r="AF12" s="42">
        <f>IF(OR(AD12="",AC12="",AC12=0,AD12=0),"",AD12/AC12-1)</f>
        <v/>
      </c>
      <c r="AG12" s="43">
        <f>IF(OR(AC12="",V12="",V12=0),"",AC12/V12)</f>
        <v/>
      </c>
      <c r="AH12" s="43">
        <f>IF(OR(AD12="",W12="",W12=0),"",AD12/W12)</f>
        <v/>
      </c>
      <c r="AI12" s="44">
        <f>IF(OR(AH12="",AG12=""),"",(AH12-AG12)*100)</f>
        <v/>
      </c>
      <c r="AJ12" s="68" t="n">
        <v>1184</v>
      </c>
      <c r="AK12" s="68" t="n">
        <v>821</v>
      </c>
      <c r="AL12" s="69">
        <f>IF(OR(AK12="",AJ12="",AJ12=0,AK12=0),"",AK12-AJ12)</f>
        <v/>
      </c>
      <c r="AM12" s="42">
        <f>IF(OR(AK12="",AJ12="",AJ12=0,AK12=0),"",AK12/AJ12-1)</f>
        <v/>
      </c>
      <c r="AN12" s="43">
        <f>IF(OR(AJ12="",AC12="",AC12=0),"",AJ12/AC12)</f>
        <v/>
      </c>
      <c r="AO12" s="43">
        <f>IF(OR(AK12="",AD12="",AD12=0),"",AK12/AD12)</f>
        <v/>
      </c>
      <c r="AP12" s="44">
        <f>IF(OR(AO12="",AN12=""),"",(AO12-AN12)*100)</f>
        <v/>
      </c>
      <c r="AQ12" s="68" t="n">
        <v>1541</v>
      </c>
      <c r="AR12" s="68" t="n">
        <v>854</v>
      </c>
      <c r="AS12" s="69">
        <f>IF(OR(AR12="",AQ12="",AQ12=0,AR12=0),"",AR12-AQ12)</f>
        <v/>
      </c>
      <c r="AT12" s="42">
        <f>IF(OR(AR12="",AQ12="",AQ12=0,AR12=0),"",AR12/AQ12-1)</f>
        <v/>
      </c>
      <c r="AU12" s="43">
        <f>IF(OR(AQ12="",AJ12="",AJ12=0),"",AQ12/AJ12)</f>
        <v/>
      </c>
      <c r="AV12" s="43">
        <f>IF(OR(AR12="",AK12="",AK12=0),"",AR12/AK12)</f>
        <v/>
      </c>
      <c r="AW12" s="44">
        <f>IF(OR(AV12="",AU12=""),"",(AV12-AU12)*100)</f>
        <v/>
      </c>
      <c r="AX12" s="45">
        <f>IF(OR(AQ12="",O12="",O12=0),"",AQ12/O12)</f>
        <v/>
      </c>
      <c r="AY12" s="45">
        <f>IF(OR(AR12="",P12="",P12=0),"",AR12/P12)</f>
        <v/>
      </c>
      <c r="AZ12" s="44">
        <f>IF(OR(AY12="",AX12=""),"",(AY12-AX12)*100)</f>
        <v/>
      </c>
      <c r="BA12" s="45">
        <f>IF(OR(AQ12="",D12="",D12=0),"",AQ12/D12)</f>
        <v/>
      </c>
      <c r="BB12" s="45">
        <f>IF(OR(AR12="",E12="",E12=0),"",AR12/E12)</f>
        <v/>
      </c>
      <c r="BC12" s="44">
        <f>IF(OR(BB12="",BA12=""),"",(BB12-BA12)*100)</f>
        <v/>
      </c>
    </row>
    <row r="13">
      <c r="A13" s="40" t="inlineStr">
        <is>
          <t>All landing pages</t>
        </is>
      </c>
      <c r="B13" s="40" t="inlineStr">
        <is>
          <t>Direct</t>
        </is>
      </c>
      <c r="C13" s="40" t="inlineStr">
        <is>
          <t>Desktop</t>
        </is>
      </c>
      <c r="D13" s="68" t="n">
        <v>15956</v>
      </c>
      <c r="E13" s="68" t="n">
        <v>21080</v>
      </c>
      <c r="F13" s="69">
        <f>IF(OR(E13="",D13="",D13=0,E13=0),"",E13-D13)</f>
        <v/>
      </c>
      <c r="G13" s="42">
        <f>IF(OR(E13="",D13="",D13=0,E13=0),"",E13/D13-1)</f>
        <v/>
      </c>
      <c r="H13" s="68" t="n">
        <v>7136</v>
      </c>
      <c r="I13" s="68" t="n">
        <v>8287</v>
      </c>
      <c r="J13" s="69">
        <f>IF(OR(I13="",H13="",H13=0,I13=0),"",I13-H13)</f>
        <v/>
      </c>
      <c r="K13" s="42">
        <f>IF(OR(I13="",H13="",H13=0,I13=0),"",I13/H13-1)</f>
        <v/>
      </c>
      <c r="L13" s="43">
        <f>IF(OR(H13="",D13="",D13=0),"",H13/D13)</f>
        <v/>
      </c>
      <c r="M13" s="43">
        <f>IF(OR(I13="",E13="",E13=0),"",I13/E13)</f>
        <v/>
      </c>
      <c r="N13" s="44">
        <f>IF(OR(M13="",L13=""),"",(M13-L13)*100)</f>
        <v/>
      </c>
      <c r="O13" s="68" t="n">
        <v>5729</v>
      </c>
      <c r="P13" s="68" t="n">
        <v>8917</v>
      </c>
      <c r="Q13" s="69">
        <f>IF(OR(P13="",O13="",O13=0,P13=0),"",P13-O13)</f>
        <v/>
      </c>
      <c r="R13" s="42">
        <f>IF(OR(P13="",O13="",O13=0,P13=0),"",P13/O13-1)</f>
        <v/>
      </c>
      <c r="S13" s="43">
        <f>IF(OR(O13="",D13="",D13=0),"",O13/D13)</f>
        <v/>
      </c>
      <c r="T13" s="43">
        <f>IF(OR(P13="",E13="",E13=0),"",P13/E13)</f>
        <v/>
      </c>
      <c r="U13" s="44">
        <f>IF(OR(T13="",S13=""),"",(T13-S13)*100)</f>
        <v/>
      </c>
      <c r="V13" s="68" t="n">
        <v>1715</v>
      </c>
      <c r="W13" s="68" t="n">
        <v>2505</v>
      </c>
      <c r="X13" s="69">
        <f>IF(OR(W13="",V13="",V13=0,W13=0),"",W13-V13)</f>
        <v/>
      </c>
      <c r="Y13" s="42">
        <f>IF(OR(W13="",V13="",V13=0,W13=0),"",W13/V13-1)</f>
        <v/>
      </c>
      <c r="Z13" s="43">
        <f>IF(OR(V13="",O13="",O13=0),"",V13/O13)</f>
        <v/>
      </c>
      <c r="AA13" s="43">
        <f>IF(OR(W13="",P13="",P13=0),"",W13/P13)</f>
        <v/>
      </c>
      <c r="AB13" s="44">
        <f>IF(OR(AA13="",Z13=""),"",(AA13-Z13)*100)</f>
        <v/>
      </c>
      <c r="AC13" s="68" t="n">
        <v>1518</v>
      </c>
      <c r="AD13" s="68" t="n">
        <v>2113</v>
      </c>
      <c r="AE13" s="69">
        <f>IF(OR(AD13="",AC13="",AC13=0,AD13=0),"",AD13-AC13)</f>
        <v/>
      </c>
      <c r="AF13" s="42">
        <f>IF(OR(AD13="",AC13="",AC13=0,AD13=0),"",AD13/AC13-1)</f>
        <v/>
      </c>
      <c r="AG13" s="43">
        <f>IF(OR(AC13="",V13="",V13=0),"",AC13/V13)</f>
        <v/>
      </c>
      <c r="AH13" s="43">
        <f>IF(OR(AD13="",W13="",W13=0),"",AD13/W13)</f>
        <v/>
      </c>
      <c r="AI13" s="44">
        <f>IF(OR(AH13="",AG13=""),"",(AH13-AG13)*100)</f>
        <v/>
      </c>
      <c r="AJ13" s="68" t="n">
        <v>940</v>
      </c>
      <c r="AK13" s="68" t="n">
        <v>1020</v>
      </c>
      <c r="AL13" s="69">
        <f>IF(OR(AK13="",AJ13="",AJ13=0,AK13=0),"",AK13-AJ13)</f>
        <v/>
      </c>
      <c r="AM13" s="42">
        <f>IF(OR(AK13="",AJ13="",AJ13=0,AK13=0),"",AK13/AJ13-1)</f>
        <v/>
      </c>
      <c r="AN13" s="43">
        <f>IF(OR(AJ13="",AC13="",AC13=0),"",AJ13/AC13)</f>
        <v/>
      </c>
      <c r="AO13" s="43">
        <f>IF(OR(AK13="",AD13="",AD13=0),"",AK13/AD13)</f>
        <v/>
      </c>
      <c r="AP13" s="44">
        <f>IF(OR(AO13="",AN13=""),"",(AO13-AN13)*100)</f>
        <v/>
      </c>
      <c r="AQ13" s="68" t="n">
        <v>1062</v>
      </c>
      <c r="AR13" s="68" t="n">
        <v>1012</v>
      </c>
      <c r="AS13" s="69">
        <f>IF(OR(AR13="",AQ13="",AQ13=0,AR13=0),"",AR13-AQ13)</f>
        <v/>
      </c>
      <c r="AT13" s="42">
        <f>IF(OR(AR13="",AQ13="",AQ13=0,AR13=0),"",AR13/AQ13-1)</f>
        <v/>
      </c>
      <c r="AU13" s="43">
        <f>IF(OR(AQ13="",AJ13="",AJ13=0),"",AQ13/AJ13)</f>
        <v/>
      </c>
      <c r="AV13" s="43">
        <f>IF(OR(AR13="",AK13="",AK13=0),"",AR13/AK13)</f>
        <v/>
      </c>
      <c r="AW13" s="44">
        <f>IF(OR(AV13="",AU13=""),"",(AV13-AU13)*100)</f>
        <v/>
      </c>
      <c r="AX13" s="45">
        <f>IF(OR(AQ13="",O13="",O13=0),"",AQ13/O13)</f>
        <v/>
      </c>
      <c r="AY13" s="45">
        <f>IF(OR(AR13="",P13="",P13=0),"",AR13/P13)</f>
        <v/>
      </c>
      <c r="AZ13" s="44">
        <f>IF(OR(AY13="",AX13=""),"",(AY13-AX13)*100)</f>
        <v/>
      </c>
      <c r="BA13" s="45">
        <f>IF(OR(AQ13="",D13="",D13=0),"",AQ13/D13)</f>
        <v/>
      </c>
      <c r="BB13" s="45">
        <f>IF(OR(AR13="",E13="",E13=0),"",AR13/E13)</f>
        <v/>
      </c>
      <c r="BC13" s="44">
        <f>IF(OR(BB13="",BA13=""),"",(BB13-BA13)*100)</f>
        <v/>
      </c>
    </row>
    <row r="14">
      <c r="A14" s="32" t="inlineStr">
        <is>
          <t>Home page</t>
        </is>
      </c>
      <c r="B14" s="32" t="inlineStr">
        <is>
          <t>Paid Search</t>
        </is>
      </c>
      <c r="C14" s="32" t="inlineStr">
        <is>
          <t>Total</t>
        </is>
      </c>
      <c r="D14" s="66" t="n">
        <v>70228</v>
      </c>
      <c r="E14" s="66" t="n">
        <v>88825</v>
      </c>
      <c r="F14" s="67">
        <f>IF(OR(E14="",D14="",D14=0,E14=0),"",E14-D14)</f>
        <v/>
      </c>
      <c r="G14" s="34">
        <f>IF(OR(E14="",D14="",D14=0,E14=0),"",E14/D14-1)</f>
        <v/>
      </c>
      <c r="H14" s="66" t="n">
        <v>43081</v>
      </c>
      <c r="I14" s="66" t="n">
        <v>45554</v>
      </c>
      <c r="J14" s="67">
        <f>IF(OR(I14="",H14="",H14=0,I14=0),"",I14-H14)</f>
        <v/>
      </c>
      <c r="K14" s="34">
        <f>IF(OR(I14="",H14="",H14=0,I14=0),"",I14/H14-1)</f>
        <v/>
      </c>
      <c r="L14" s="35">
        <f>IF(OR(H14="",D14="",D14=0),"",H14/D14)</f>
        <v/>
      </c>
      <c r="M14" s="35">
        <f>IF(OR(I14="",E14="",E14=0),"",I14/E14)</f>
        <v/>
      </c>
      <c r="N14" s="36">
        <f>IF(OR(M14="",L14=""),"",(M14-L14)*100)</f>
        <v/>
      </c>
      <c r="O14" s="66" t="n">
        <v>36343</v>
      </c>
      <c r="P14" s="66" t="n">
        <v>41969</v>
      </c>
      <c r="Q14" s="67">
        <f>IF(OR(P14="",O14="",O14=0,P14=0),"",P14-O14)</f>
        <v/>
      </c>
      <c r="R14" s="34">
        <f>IF(OR(P14="",O14="",O14=0,P14=0),"",P14/O14-1)</f>
        <v/>
      </c>
      <c r="S14" s="35">
        <f>IF(OR(O14="",D14="",D14=0),"",O14/D14)</f>
        <v/>
      </c>
      <c r="T14" s="35">
        <f>IF(OR(P14="",E14="",E14=0),"",P14/E14)</f>
        <v/>
      </c>
      <c r="U14" s="36">
        <f>IF(OR(T14="",S14=""),"",(T14-S14)*100)</f>
        <v/>
      </c>
      <c r="V14" s="66" t="n">
        <v>12352</v>
      </c>
      <c r="W14" s="66" t="n">
        <v>13369</v>
      </c>
      <c r="X14" s="67">
        <f>IF(OR(W14="",V14="",V14=0,W14=0),"",W14-V14)</f>
        <v/>
      </c>
      <c r="Y14" s="34">
        <f>IF(OR(W14="",V14="",V14=0,W14=0),"",W14/V14-1)</f>
        <v/>
      </c>
      <c r="Z14" s="35">
        <f>IF(OR(V14="",O14="",O14=0),"",V14/O14)</f>
        <v/>
      </c>
      <c r="AA14" s="35">
        <f>IF(OR(W14="",P14="",P14=0),"",W14/P14)</f>
        <v/>
      </c>
      <c r="AB14" s="36">
        <f>IF(OR(AA14="",Z14=""),"",(AA14-Z14)*100)</f>
        <v/>
      </c>
      <c r="AC14" s="66" t="n">
        <v>10369</v>
      </c>
      <c r="AD14" s="66" t="n">
        <v>10812</v>
      </c>
      <c r="AE14" s="67">
        <f>IF(OR(AD14="",AC14="",AC14=0,AD14=0),"",AD14-AC14)</f>
        <v/>
      </c>
      <c r="AF14" s="34">
        <f>IF(OR(AD14="",AC14="",AC14=0,AD14=0),"",AD14/AC14-1)</f>
        <v/>
      </c>
      <c r="AG14" s="35">
        <f>IF(OR(AC14="",V14="",V14=0),"",AC14/V14)</f>
        <v/>
      </c>
      <c r="AH14" s="35">
        <f>IF(OR(AD14="",W14="",W14=0),"",AD14/W14)</f>
        <v/>
      </c>
      <c r="AI14" s="36">
        <f>IF(OR(AH14="",AG14=""),"",(AH14-AG14)*100)</f>
        <v/>
      </c>
      <c r="AJ14" s="66" t="n">
        <v>5385</v>
      </c>
      <c r="AK14" s="66" t="n">
        <v>5827</v>
      </c>
      <c r="AL14" s="67">
        <f>IF(OR(AK14="",AJ14="",AJ14=0,AK14=0),"",AK14-AJ14)</f>
        <v/>
      </c>
      <c r="AM14" s="34">
        <f>IF(OR(AK14="",AJ14="",AJ14=0,AK14=0),"",AK14/AJ14-1)</f>
        <v/>
      </c>
      <c r="AN14" s="35">
        <f>IF(OR(AJ14="",AC14="",AC14=0),"",AJ14/AC14)</f>
        <v/>
      </c>
      <c r="AO14" s="35">
        <f>IF(OR(AK14="",AD14="",AD14=0),"",AK14/AD14)</f>
        <v/>
      </c>
      <c r="AP14" s="36">
        <f>IF(OR(AO14="",AN14=""),"",(AO14-AN14)*100)</f>
        <v/>
      </c>
      <c r="AQ14" s="66" t="n">
        <v>4557</v>
      </c>
      <c r="AR14" s="66" t="n">
        <v>4887</v>
      </c>
      <c r="AS14" s="67">
        <f>IF(OR(AR14="",AQ14="",AQ14=0,AR14=0),"",AR14-AQ14)</f>
        <v/>
      </c>
      <c r="AT14" s="34">
        <f>IF(OR(AR14="",AQ14="",AQ14=0,AR14=0),"",AR14/AQ14-1)</f>
        <v/>
      </c>
      <c r="AU14" s="35">
        <f>IF(OR(AQ14="",AJ14="",AJ14=0),"",AQ14/AJ14)</f>
        <v/>
      </c>
      <c r="AV14" s="35">
        <f>IF(OR(AR14="",AK14="",AK14=0),"",AR14/AK14)</f>
        <v/>
      </c>
      <c r="AW14" s="36">
        <f>IF(OR(AV14="",AU14=""),"",(AV14-AU14)*100)</f>
        <v/>
      </c>
      <c r="AX14" s="37">
        <f>IF(OR(AQ14="",O14="",O14=0),"",AQ14/O14)</f>
        <v/>
      </c>
      <c r="AY14" s="37">
        <f>IF(OR(AR14="",P14="",P14=0),"",AR14/P14)</f>
        <v/>
      </c>
      <c r="AZ14" s="36">
        <f>IF(OR(AY14="",AX14=""),"",(AY14-AX14)*100)</f>
        <v/>
      </c>
      <c r="BA14" s="37">
        <f>IF(OR(AQ14="",D14="",D14=0),"",AQ14/D14)</f>
        <v/>
      </c>
      <c r="BB14" s="37">
        <f>IF(OR(AR14="",E14="",E14=0),"",AR14/E14)</f>
        <v/>
      </c>
      <c r="BC14" s="36">
        <f>IF(OR(BB14="",BA14=""),"",(BB14-BA14)*100)</f>
        <v/>
      </c>
    </row>
    <row r="15">
      <c r="A15" s="40" t="inlineStr">
        <is>
          <t>Home page</t>
        </is>
      </c>
      <c r="B15" s="40" t="inlineStr">
        <is>
          <t>Paid Search</t>
        </is>
      </c>
      <c r="C15" s="40" t="inlineStr">
        <is>
          <t>Mobile</t>
        </is>
      </c>
      <c r="D15" s="68" t="n">
        <v>36391</v>
      </c>
      <c r="E15" s="68" t="n">
        <v>53430</v>
      </c>
      <c r="F15" s="69">
        <f>IF(OR(E15="",D15="",D15=0,E15=0),"",E15-D15)</f>
        <v/>
      </c>
      <c r="G15" s="42">
        <f>IF(OR(E15="",D15="",D15=0,E15=0),"",E15/D15-1)</f>
        <v/>
      </c>
      <c r="H15" s="68" t="n">
        <v>23362</v>
      </c>
      <c r="I15" s="68" t="n">
        <v>26313</v>
      </c>
      <c r="J15" s="69">
        <f>IF(OR(I15="",H15="",H15=0,I15=0),"",I15-H15)</f>
        <v/>
      </c>
      <c r="K15" s="42">
        <f>IF(OR(I15="",H15="",H15=0,I15=0),"",I15/H15-1)</f>
        <v/>
      </c>
      <c r="L15" s="43">
        <f>IF(OR(H15="",D15="",D15=0),"",H15/D15)</f>
        <v/>
      </c>
      <c r="M15" s="43">
        <f>IF(OR(I15="",E15="",E15=0),"",I15/E15)</f>
        <v/>
      </c>
      <c r="N15" s="44">
        <f>IF(OR(M15="",L15=""),"",(M15-L15)*100)</f>
        <v/>
      </c>
      <c r="O15" s="68" t="n">
        <v>19194</v>
      </c>
      <c r="P15" s="68" t="n">
        <v>23613</v>
      </c>
      <c r="Q15" s="69">
        <f>IF(OR(P15="",O15="",O15=0,P15=0),"",P15-O15)</f>
        <v/>
      </c>
      <c r="R15" s="42">
        <f>IF(OR(P15="",O15="",O15=0,P15=0),"",P15/O15-1)</f>
        <v/>
      </c>
      <c r="S15" s="43">
        <f>IF(OR(O15="",D15="",D15=0),"",O15/D15)</f>
        <v/>
      </c>
      <c r="T15" s="43">
        <f>IF(OR(P15="",E15="",E15=0),"",P15/E15)</f>
        <v/>
      </c>
      <c r="U15" s="44">
        <f>IF(OR(T15="",S15=""),"",(T15-S15)*100)</f>
        <v/>
      </c>
      <c r="V15" s="68" t="n">
        <v>6481</v>
      </c>
      <c r="W15" s="68" t="n">
        <v>7595</v>
      </c>
      <c r="X15" s="69">
        <f>IF(OR(W15="",V15="",V15=0,W15=0),"",W15-V15)</f>
        <v/>
      </c>
      <c r="Y15" s="42">
        <f>IF(OR(W15="",V15="",V15=0,W15=0),"",W15/V15-1)</f>
        <v/>
      </c>
      <c r="Z15" s="43">
        <f>IF(OR(V15="",O15="",O15=0),"",V15/O15)</f>
        <v/>
      </c>
      <c r="AA15" s="43">
        <f>IF(OR(W15="",P15="",P15=0),"",W15/P15)</f>
        <v/>
      </c>
      <c r="AB15" s="44">
        <f>IF(OR(AA15="",Z15=""),"",(AA15-Z15)*100)</f>
        <v/>
      </c>
      <c r="AC15" s="68" t="n">
        <v>5300</v>
      </c>
      <c r="AD15" s="68" t="n">
        <v>5952</v>
      </c>
      <c r="AE15" s="69">
        <f>IF(OR(AD15="",AC15="",AC15=0,AD15=0),"",AD15-AC15)</f>
        <v/>
      </c>
      <c r="AF15" s="42">
        <f>IF(OR(AD15="",AC15="",AC15=0,AD15=0),"",AD15/AC15-1)</f>
        <v/>
      </c>
      <c r="AG15" s="43">
        <f>IF(OR(AC15="",V15="",V15=0),"",AC15/V15)</f>
        <v/>
      </c>
      <c r="AH15" s="43">
        <f>IF(OR(AD15="",W15="",W15=0),"",AD15/W15)</f>
        <v/>
      </c>
      <c r="AI15" s="44">
        <f>IF(OR(AH15="",AG15=""),"",(AH15-AG15)*100)</f>
        <v/>
      </c>
      <c r="AJ15" s="68" t="n">
        <v>2546</v>
      </c>
      <c r="AK15" s="68" t="n">
        <v>3032</v>
      </c>
      <c r="AL15" s="69">
        <f>IF(OR(AK15="",AJ15="",AJ15=0,AK15=0),"",AK15-AJ15)</f>
        <v/>
      </c>
      <c r="AM15" s="42">
        <f>IF(OR(AK15="",AJ15="",AJ15=0,AK15=0),"",AK15/AJ15-1)</f>
        <v/>
      </c>
      <c r="AN15" s="43">
        <f>IF(OR(AJ15="",AC15="",AC15=0),"",AJ15/AC15)</f>
        <v/>
      </c>
      <c r="AO15" s="43">
        <f>IF(OR(AK15="",AD15="",AD15=0),"",AK15/AD15)</f>
        <v/>
      </c>
      <c r="AP15" s="44">
        <f>IF(OR(AO15="",AN15=""),"",(AO15-AN15)*100)</f>
        <v/>
      </c>
      <c r="AQ15" s="68" t="n">
        <v>2055</v>
      </c>
      <c r="AR15" s="68" t="n">
        <v>2459</v>
      </c>
      <c r="AS15" s="69">
        <f>IF(OR(AR15="",AQ15="",AQ15=0,AR15=0),"",AR15-AQ15)</f>
        <v/>
      </c>
      <c r="AT15" s="42">
        <f>IF(OR(AR15="",AQ15="",AQ15=0,AR15=0),"",AR15/AQ15-1)</f>
        <v/>
      </c>
      <c r="AU15" s="43">
        <f>IF(OR(AQ15="",AJ15="",AJ15=0),"",AQ15/AJ15)</f>
        <v/>
      </c>
      <c r="AV15" s="43">
        <f>IF(OR(AR15="",AK15="",AK15=0),"",AR15/AK15)</f>
        <v/>
      </c>
      <c r="AW15" s="44">
        <f>IF(OR(AV15="",AU15=""),"",(AV15-AU15)*100)</f>
        <v/>
      </c>
      <c r="AX15" s="45">
        <f>IF(OR(AQ15="",O15="",O15=0),"",AQ15/O15)</f>
        <v/>
      </c>
      <c r="AY15" s="45">
        <f>IF(OR(AR15="",P15="",P15=0),"",AR15/P15)</f>
        <v/>
      </c>
      <c r="AZ15" s="44">
        <f>IF(OR(AY15="",AX15=""),"",(AY15-AX15)*100)</f>
        <v/>
      </c>
      <c r="BA15" s="45">
        <f>IF(OR(AQ15="",D15="",D15=0),"",AQ15/D15)</f>
        <v/>
      </c>
      <c r="BB15" s="45">
        <f>IF(OR(AR15="",E15="",E15=0),"",AR15/E15)</f>
        <v/>
      </c>
      <c r="BC15" s="44">
        <f>IF(OR(BB15="",BA15=""),"",(BB15-BA15)*100)</f>
        <v/>
      </c>
    </row>
    <row r="16">
      <c r="A16" s="40" t="inlineStr">
        <is>
          <t>Home page</t>
        </is>
      </c>
      <c r="B16" s="40" t="inlineStr">
        <is>
          <t>Paid Search</t>
        </is>
      </c>
      <c r="C16" s="40" t="inlineStr">
        <is>
          <t>Desktop</t>
        </is>
      </c>
      <c r="D16" s="68" t="n">
        <v>32242</v>
      </c>
      <c r="E16" s="68" t="n">
        <v>34131</v>
      </c>
      <c r="F16" s="69">
        <f>IF(OR(E16="",D16="",D16=0,E16=0),"",E16-D16)</f>
        <v/>
      </c>
      <c r="G16" s="42">
        <f>IF(OR(E16="",D16="",D16=0,E16=0),"",E16/D16-1)</f>
        <v/>
      </c>
      <c r="H16" s="68" t="n">
        <v>18869</v>
      </c>
      <c r="I16" s="68" t="n">
        <v>18152</v>
      </c>
      <c r="J16" s="69">
        <f>IF(OR(I16="",H16="",H16=0,I16=0),"",I16-H16)</f>
        <v/>
      </c>
      <c r="K16" s="42">
        <f>IF(OR(I16="",H16="",H16=0,I16=0),"",I16/H16-1)</f>
        <v/>
      </c>
      <c r="L16" s="43">
        <f>IF(OR(H16="",D16="",D16=0),"",H16/D16)</f>
        <v/>
      </c>
      <c r="M16" s="43">
        <f>IF(OR(I16="",E16="",E16=0),"",I16/E16)</f>
        <v/>
      </c>
      <c r="N16" s="44">
        <f>IF(OR(M16="",L16=""),"",(M16-L16)*100)</f>
        <v/>
      </c>
      <c r="O16" s="68" t="n">
        <v>16337</v>
      </c>
      <c r="P16" s="68" t="n">
        <v>16874</v>
      </c>
      <c r="Q16" s="69">
        <f>IF(OR(P16="",O16="",O16=0,P16=0),"",P16-O16)</f>
        <v/>
      </c>
      <c r="R16" s="42">
        <f>IF(OR(P16="",O16="",O16=0,P16=0),"",P16/O16-1)</f>
        <v/>
      </c>
      <c r="S16" s="43">
        <f>IF(OR(O16="",D16="",D16=0),"",O16/D16)</f>
        <v/>
      </c>
      <c r="T16" s="43">
        <f>IF(OR(P16="",E16="",E16=0),"",P16/E16)</f>
        <v/>
      </c>
      <c r="U16" s="44">
        <f>IF(OR(T16="",S16=""),"",(T16-S16)*100)</f>
        <v/>
      </c>
      <c r="V16" s="68" t="n">
        <v>5554</v>
      </c>
      <c r="W16" s="68" t="n">
        <v>5449</v>
      </c>
      <c r="X16" s="69">
        <f>IF(OR(W16="",V16="",V16=0,W16=0),"",W16-V16)</f>
        <v/>
      </c>
      <c r="Y16" s="42">
        <f>IF(OR(W16="",V16="",V16=0,W16=0),"",W16/V16-1)</f>
        <v/>
      </c>
      <c r="Z16" s="43">
        <f>IF(OR(V16="",O16="",O16=0),"",V16/O16)</f>
        <v/>
      </c>
      <c r="AA16" s="43">
        <f>IF(OR(W16="",P16="",P16=0),"",W16/P16)</f>
        <v/>
      </c>
      <c r="AB16" s="44">
        <f>IF(OR(AA16="",Z16=""),"",(AA16-Z16)*100)</f>
        <v/>
      </c>
      <c r="AC16" s="68" t="n">
        <v>4751</v>
      </c>
      <c r="AD16" s="68" t="n">
        <v>4684</v>
      </c>
      <c r="AE16" s="69">
        <f>IF(OR(AD16="",AC16="",AC16=0,AD16=0),"",AD16-AC16)</f>
        <v/>
      </c>
      <c r="AF16" s="42">
        <f>IF(OR(AD16="",AC16="",AC16=0,AD16=0),"",AD16/AC16-1)</f>
        <v/>
      </c>
      <c r="AG16" s="43">
        <f>IF(OR(AC16="",V16="",V16=0),"",AC16/V16)</f>
        <v/>
      </c>
      <c r="AH16" s="43">
        <f>IF(OR(AD16="",W16="",W16=0),"",AD16/W16)</f>
        <v/>
      </c>
      <c r="AI16" s="44">
        <f>IF(OR(AH16="",AG16=""),"",(AH16-AG16)*100)</f>
        <v/>
      </c>
      <c r="AJ16" s="68" t="n">
        <v>2800</v>
      </c>
      <c r="AK16" s="68" t="n">
        <v>2711</v>
      </c>
      <c r="AL16" s="69">
        <f>IF(OR(AK16="",AJ16="",AJ16=0,AK16=0),"",AK16-AJ16)</f>
        <v/>
      </c>
      <c r="AM16" s="42">
        <f>IF(OR(AK16="",AJ16="",AJ16=0,AK16=0),"",AK16/AJ16-1)</f>
        <v/>
      </c>
      <c r="AN16" s="43">
        <f>IF(OR(AJ16="",AC16="",AC16=0),"",AJ16/AC16)</f>
        <v/>
      </c>
      <c r="AO16" s="43">
        <f>IF(OR(AK16="",AD16="",AD16=0),"",AK16/AD16)</f>
        <v/>
      </c>
      <c r="AP16" s="44">
        <f>IF(OR(AO16="",AN16=""),"",(AO16-AN16)*100)</f>
        <v/>
      </c>
      <c r="AQ16" s="68" t="n">
        <v>2423</v>
      </c>
      <c r="AR16" s="68" t="n">
        <v>2338</v>
      </c>
      <c r="AS16" s="69">
        <f>IF(OR(AR16="",AQ16="",AQ16=0,AR16=0),"",AR16-AQ16)</f>
        <v/>
      </c>
      <c r="AT16" s="42">
        <f>IF(OR(AR16="",AQ16="",AQ16=0,AR16=0),"",AR16/AQ16-1)</f>
        <v/>
      </c>
      <c r="AU16" s="43">
        <f>IF(OR(AQ16="",AJ16="",AJ16=0),"",AQ16/AJ16)</f>
        <v/>
      </c>
      <c r="AV16" s="43">
        <f>IF(OR(AR16="",AK16="",AK16=0),"",AR16/AK16)</f>
        <v/>
      </c>
      <c r="AW16" s="44">
        <f>IF(OR(AV16="",AU16=""),"",(AV16-AU16)*100)</f>
        <v/>
      </c>
      <c r="AX16" s="45">
        <f>IF(OR(AQ16="",O16="",O16=0),"",AQ16/O16)</f>
        <v/>
      </c>
      <c r="AY16" s="45">
        <f>IF(OR(AR16="",P16="",P16=0),"",AR16/P16)</f>
        <v/>
      </c>
      <c r="AZ16" s="44">
        <f>IF(OR(AY16="",AX16=""),"",(AY16-AX16)*100)</f>
        <v/>
      </c>
      <c r="BA16" s="45">
        <f>IF(OR(AQ16="",D16="",D16=0),"",AQ16/D16)</f>
        <v/>
      </c>
      <c r="BB16" s="45">
        <f>IF(OR(AR16="",E16="",E16=0),"",AR16/E16)</f>
        <v/>
      </c>
      <c r="BC16" s="44">
        <f>IF(OR(BB16="",BA16=""),"",(BB16-BA16)*100)</f>
        <v/>
      </c>
    </row>
    <row r="17">
      <c r="A17" s="32" t="inlineStr">
        <is>
          <t>Home page</t>
        </is>
      </c>
      <c r="B17" s="32" t="inlineStr">
        <is>
          <t>Organic</t>
        </is>
      </c>
      <c r="C17" s="32" t="inlineStr">
        <is>
          <t>Total</t>
        </is>
      </c>
      <c r="D17" s="66" t="n">
        <v>14140</v>
      </c>
      <c r="E17" s="66" t="n">
        <v>15527</v>
      </c>
      <c r="F17" s="67">
        <f>IF(OR(E17="",D17="",D17=0,E17=0),"",E17-D17)</f>
        <v/>
      </c>
      <c r="G17" s="34">
        <f>IF(OR(E17="",D17="",D17=0,E17=0),"",E17/D17-1)</f>
        <v/>
      </c>
      <c r="H17" s="66" t="n">
        <v>8025</v>
      </c>
      <c r="I17" s="66" t="n">
        <v>7743</v>
      </c>
      <c r="J17" s="67">
        <f>IF(OR(I17="",H17="",H17=0,I17=0),"",I17-H17)</f>
        <v/>
      </c>
      <c r="K17" s="34">
        <f>IF(OR(I17="",H17="",H17=0,I17=0),"",I17/H17-1)</f>
        <v/>
      </c>
      <c r="L17" s="35">
        <f>IF(OR(H17="",D17="",D17=0),"",H17/D17)</f>
        <v/>
      </c>
      <c r="M17" s="35">
        <f>IF(OR(I17="",E17="",E17=0),"",I17/E17)</f>
        <v/>
      </c>
      <c r="N17" s="36">
        <f>IF(OR(M17="",L17=""),"",(M17-L17)*100)</f>
        <v/>
      </c>
      <c r="O17" s="66" t="n">
        <v>7072</v>
      </c>
      <c r="P17" s="66" t="n">
        <v>6512</v>
      </c>
      <c r="Q17" s="67">
        <f>IF(OR(P17="",O17="",O17=0,P17=0),"",P17-O17)</f>
        <v/>
      </c>
      <c r="R17" s="34">
        <f>IF(OR(P17="",O17="",O17=0,P17=0),"",P17/O17-1)</f>
        <v/>
      </c>
      <c r="S17" s="35">
        <f>IF(OR(O17="",D17="",D17=0),"",O17/D17)</f>
        <v/>
      </c>
      <c r="T17" s="35">
        <f>IF(OR(P17="",E17="",E17=0),"",P17/E17)</f>
        <v/>
      </c>
      <c r="U17" s="36">
        <f>IF(OR(T17="",S17=""),"",(T17-S17)*100)</f>
        <v/>
      </c>
      <c r="V17" s="66" t="n">
        <v>2643</v>
      </c>
      <c r="W17" s="66" t="n">
        <v>2028</v>
      </c>
      <c r="X17" s="67">
        <f>IF(OR(W17="",V17="",V17=0,W17=0),"",W17-V17)</f>
        <v/>
      </c>
      <c r="Y17" s="34">
        <f>IF(OR(W17="",V17="",V17=0,W17=0),"",W17/V17-1)</f>
        <v/>
      </c>
      <c r="Z17" s="35">
        <f>IF(OR(V17="",O17="",O17=0),"",V17/O17)</f>
        <v/>
      </c>
      <c r="AA17" s="35">
        <f>IF(OR(W17="",P17="",P17=0),"",W17/P17)</f>
        <v/>
      </c>
      <c r="AB17" s="36">
        <f>IF(OR(AA17="",Z17=""),"",(AA17-Z17)*100)</f>
        <v/>
      </c>
      <c r="AC17" s="66" t="n">
        <v>2285</v>
      </c>
      <c r="AD17" s="66" t="n">
        <v>1659</v>
      </c>
      <c r="AE17" s="67">
        <f>IF(OR(AD17="",AC17="",AC17=0,AD17=0),"",AD17-AC17)</f>
        <v/>
      </c>
      <c r="AF17" s="34">
        <f>IF(OR(AD17="",AC17="",AC17=0,AD17=0),"",AD17/AC17-1)</f>
        <v/>
      </c>
      <c r="AG17" s="35">
        <f>IF(OR(AC17="",V17="",V17=0),"",AC17/V17)</f>
        <v/>
      </c>
      <c r="AH17" s="35">
        <f>IF(OR(AD17="",W17="",W17=0),"",AD17/W17)</f>
        <v/>
      </c>
      <c r="AI17" s="36">
        <f>IF(OR(AH17="",AG17=""),"",(AH17-AG17)*100)</f>
        <v/>
      </c>
      <c r="AJ17" s="66" t="n">
        <v>1353</v>
      </c>
      <c r="AK17" s="66" t="n">
        <v>850</v>
      </c>
      <c r="AL17" s="67">
        <f>IF(OR(AK17="",AJ17="",AJ17=0,AK17=0),"",AK17-AJ17)</f>
        <v/>
      </c>
      <c r="AM17" s="34">
        <f>IF(OR(AK17="",AJ17="",AJ17=0,AK17=0),"",AK17/AJ17-1)</f>
        <v/>
      </c>
      <c r="AN17" s="35">
        <f>IF(OR(AJ17="",AC17="",AC17=0),"",AJ17/AC17)</f>
        <v/>
      </c>
      <c r="AO17" s="35">
        <f>IF(OR(AK17="",AD17="",AD17=0),"",AK17/AD17)</f>
        <v/>
      </c>
      <c r="AP17" s="36">
        <f>IF(OR(AO17="",AN17=""),"",(AO17-AN17)*100)</f>
        <v/>
      </c>
      <c r="AQ17" s="66" t="n">
        <v>1164</v>
      </c>
      <c r="AR17" s="66" t="n">
        <v>692</v>
      </c>
      <c r="AS17" s="67">
        <f>IF(OR(AR17="",AQ17="",AQ17=0,AR17=0),"",AR17-AQ17)</f>
        <v/>
      </c>
      <c r="AT17" s="34">
        <f>IF(OR(AR17="",AQ17="",AQ17=0,AR17=0),"",AR17/AQ17-1)</f>
        <v/>
      </c>
      <c r="AU17" s="35">
        <f>IF(OR(AQ17="",AJ17="",AJ17=0),"",AQ17/AJ17)</f>
        <v/>
      </c>
      <c r="AV17" s="35">
        <f>IF(OR(AR17="",AK17="",AK17=0),"",AR17/AK17)</f>
        <v/>
      </c>
      <c r="AW17" s="36">
        <f>IF(OR(AV17="",AU17=""),"",(AV17-AU17)*100)</f>
        <v/>
      </c>
      <c r="AX17" s="37">
        <f>IF(OR(AQ17="",O17="",O17=0),"",AQ17/O17)</f>
        <v/>
      </c>
      <c r="AY17" s="37">
        <f>IF(OR(AR17="",P17="",P17=0),"",AR17/P17)</f>
        <v/>
      </c>
      <c r="AZ17" s="36">
        <f>IF(OR(AY17="",AX17=""),"",(AY17-AX17)*100)</f>
        <v/>
      </c>
      <c r="BA17" s="37">
        <f>IF(OR(AQ17="",D17="",D17=0),"",AQ17/D17)</f>
        <v/>
      </c>
      <c r="BB17" s="37">
        <f>IF(OR(AR17="",E17="",E17=0),"",AR17/E17)</f>
        <v/>
      </c>
      <c r="BC17" s="36">
        <f>IF(OR(BB17="",BA17=""),"",(BB17-BA17)*100)</f>
        <v/>
      </c>
    </row>
    <row r="18">
      <c r="A18" s="40" t="inlineStr">
        <is>
          <t>Home page</t>
        </is>
      </c>
      <c r="B18" s="40" t="inlineStr">
        <is>
          <t>Organic</t>
        </is>
      </c>
      <c r="C18" s="40" t="inlineStr">
        <is>
          <t>Mobile</t>
        </is>
      </c>
      <c r="D18" s="68" t="n">
        <v>7368</v>
      </c>
      <c r="E18" s="68" t="n">
        <v>9637</v>
      </c>
      <c r="F18" s="69">
        <f>IF(OR(E18="",D18="",D18=0,E18=0),"",E18-D18)</f>
        <v/>
      </c>
      <c r="G18" s="42">
        <f>IF(OR(E18="",D18="",D18=0,E18=0),"",E18/D18-1)</f>
        <v/>
      </c>
      <c r="H18" s="68" t="n">
        <v>4323</v>
      </c>
      <c r="I18" s="68" t="n">
        <v>4523</v>
      </c>
      <c r="J18" s="69">
        <f>IF(OR(I18="",H18="",H18=0,I18=0),"",I18-H18)</f>
        <v/>
      </c>
      <c r="K18" s="42">
        <f>IF(OR(I18="",H18="",H18=0,I18=0),"",I18/H18-1)</f>
        <v/>
      </c>
      <c r="L18" s="43">
        <f>IF(OR(H18="",D18="",D18=0),"",H18/D18)</f>
        <v/>
      </c>
      <c r="M18" s="43">
        <f>IF(OR(I18="",E18="",E18=0),"",I18/E18)</f>
        <v/>
      </c>
      <c r="N18" s="44">
        <f>IF(OR(M18="",L18=""),"",(M18-L18)*100)</f>
        <v/>
      </c>
      <c r="O18" s="68" t="n">
        <v>3649</v>
      </c>
      <c r="P18" s="68" t="n">
        <v>3841</v>
      </c>
      <c r="Q18" s="69">
        <f>IF(OR(P18="",O18="",O18=0,P18=0),"",P18-O18)</f>
        <v/>
      </c>
      <c r="R18" s="42">
        <f>IF(OR(P18="",O18="",O18=0,P18=0),"",P18/O18-1)</f>
        <v/>
      </c>
      <c r="S18" s="43">
        <f>IF(OR(O18="",D18="",D18=0),"",O18/D18)</f>
        <v/>
      </c>
      <c r="T18" s="43">
        <f>IF(OR(P18="",E18="",E18=0),"",P18/E18)</f>
        <v/>
      </c>
      <c r="U18" s="44">
        <f>IF(OR(T18="",S18=""),"",(T18-S18)*100)</f>
        <v/>
      </c>
      <c r="V18" s="68" t="n">
        <v>1333</v>
      </c>
      <c r="W18" s="68" t="n">
        <v>1208</v>
      </c>
      <c r="X18" s="69">
        <f>IF(OR(W18="",V18="",V18=0,W18=0),"",W18-V18)</f>
        <v/>
      </c>
      <c r="Y18" s="42">
        <f>IF(OR(W18="",V18="",V18=0,W18=0),"",W18/V18-1)</f>
        <v/>
      </c>
      <c r="Z18" s="43">
        <f>IF(OR(V18="",O18="",O18=0),"",V18/O18)</f>
        <v/>
      </c>
      <c r="AA18" s="43">
        <f>IF(OR(W18="",P18="",P18=0),"",W18/P18)</f>
        <v/>
      </c>
      <c r="AB18" s="44">
        <f>IF(OR(AA18="",Z18=""),"",(AA18-Z18)*100)</f>
        <v/>
      </c>
      <c r="AC18" s="68" t="n">
        <v>1098</v>
      </c>
      <c r="AD18" s="68" t="n">
        <v>955</v>
      </c>
      <c r="AE18" s="69">
        <f>IF(OR(AD18="",AC18="",AC18=0,AD18=0),"",AD18-AC18)</f>
        <v/>
      </c>
      <c r="AF18" s="42">
        <f>IF(OR(AD18="",AC18="",AC18=0,AD18=0),"",AD18/AC18-1)</f>
        <v/>
      </c>
      <c r="AG18" s="43">
        <f>IF(OR(AC18="",V18="",V18=0),"",AC18/V18)</f>
        <v/>
      </c>
      <c r="AH18" s="43">
        <f>IF(OR(AD18="",W18="",W18=0),"",AD18/W18)</f>
        <v/>
      </c>
      <c r="AI18" s="44">
        <f>IF(OR(AH18="",AG18=""),"",(AH18-AG18)*100)</f>
        <v/>
      </c>
      <c r="AJ18" s="68" t="n">
        <v>591</v>
      </c>
      <c r="AK18" s="68" t="n">
        <v>462</v>
      </c>
      <c r="AL18" s="69">
        <f>IF(OR(AK18="",AJ18="",AJ18=0,AK18=0),"",AK18-AJ18)</f>
        <v/>
      </c>
      <c r="AM18" s="42">
        <f>IF(OR(AK18="",AJ18="",AJ18=0,AK18=0),"",AK18/AJ18-1)</f>
        <v/>
      </c>
      <c r="AN18" s="43">
        <f>IF(OR(AJ18="",AC18="",AC18=0),"",AJ18/AC18)</f>
        <v/>
      </c>
      <c r="AO18" s="43">
        <f>IF(OR(AK18="",AD18="",AD18=0),"",AK18/AD18)</f>
        <v/>
      </c>
      <c r="AP18" s="44">
        <f>IF(OR(AO18="",AN18=""),"",(AO18-AN18)*100)</f>
        <v/>
      </c>
      <c r="AQ18" s="68" t="n">
        <v>485</v>
      </c>
      <c r="AR18" s="68" t="n">
        <v>371</v>
      </c>
      <c r="AS18" s="69">
        <f>IF(OR(AR18="",AQ18="",AQ18=0,AR18=0),"",AR18-AQ18)</f>
        <v/>
      </c>
      <c r="AT18" s="42">
        <f>IF(OR(AR18="",AQ18="",AQ18=0,AR18=0),"",AR18/AQ18-1)</f>
        <v/>
      </c>
      <c r="AU18" s="43">
        <f>IF(OR(AQ18="",AJ18="",AJ18=0),"",AQ18/AJ18)</f>
        <v/>
      </c>
      <c r="AV18" s="43">
        <f>IF(OR(AR18="",AK18="",AK18=0),"",AR18/AK18)</f>
        <v/>
      </c>
      <c r="AW18" s="44">
        <f>IF(OR(AV18="",AU18=""),"",(AV18-AU18)*100)</f>
        <v/>
      </c>
      <c r="AX18" s="45">
        <f>IF(OR(AQ18="",O18="",O18=0),"",AQ18/O18)</f>
        <v/>
      </c>
      <c r="AY18" s="45">
        <f>IF(OR(AR18="",P18="",P18=0),"",AR18/P18)</f>
        <v/>
      </c>
      <c r="AZ18" s="44">
        <f>IF(OR(AY18="",AX18=""),"",(AY18-AX18)*100)</f>
        <v/>
      </c>
      <c r="BA18" s="45">
        <f>IF(OR(AQ18="",D18="",D18=0),"",AQ18/D18)</f>
        <v/>
      </c>
      <c r="BB18" s="45">
        <f>IF(OR(AR18="",E18="",E18=0),"",AR18/E18)</f>
        <v/>
      </c>
      <c r="BC18" s="44">
        <f>IF(OR(BB18="",BA18=""),"",(BB18-BA18)*100)</f>
        <v/>
      </c>
    </row>
    <row r="19">
      <c r="A19" s="40" t="inlineStr">
        <is>
          <t>Home page</t>
        </is>
      </c>
      <c r="B19" s="40" t="inlineStr">
        <is>
          <t>Organic</t>
        </is>
      </c>
      <c r="C19" s="40" t="inlineStr">
        <is>
          <t>Desktop</t>
        </is>
      </c>
      <c r="D19" s="68" t="n">
        <v>6544</v>
      </c>
      <c r="E19" s="68" t="n">
        <v>5604</v>
      </c>
      <c r="F19" s="69">
        <f>IF(OR(E19="",D19="",D19=0,E19=0),"",E19-D19)</f>
        <v/>
      </c>
      <c r="G19" s="42">
        <f>IF(OR(E19="",D19="",D19=0,E19=0),"",E19/D19-1)</f>
        <v/>
      </c>
      <c r="H19" s="68" t="n">
        <v>3649</v>
      </c>
      <c r="I19" s="68" t="n">
        <v>2906</v>
      </c>
      <c r="J19" s="69">
        <f>IF(OR(I19="",H19="",H19=0,I19=0),"",I19-H19)</f>
        <v/>
      </c>
      <c r="K19" s="42">
        <f>IF(OR(I19="",H19="",H19=0,I19=0),"",I19/H19-1)</f>
        <v/>
      </c>
      <c r="L19" s="43">
        <f>IF(OR(H19="",D19="",D19=0),"",H19/D19)</f>
        <v/>
      </c>
      <c r="M19" s="43">
        <f>IF(OR(I19="",E19="",E19=0),"",I19/E19)</f>
        <v/>
      </c>
      <c r="N19" s="44">
        <f>IF(OR(M19="",L19=""),"",(M19-L19)*100)</f>
        <v/>
      </c>
      <c r="O19" s="68" t="n">
        <v>3323</v>
      </c>
      <c r="P19" s="68" t="n">
        <v>2518</v>
      </c>
      <c r="Q19" s="69">
        <f>IF(OR(P19="",O19="",O19=0,P19=0),"",P19-O19)</f>
        <v/>
      </c>
      <c r="R19" s="42">
        <f>IF(OR(P19="",O19="",O19=0,P19=0),"",P19/O19-1)</f>
        <v/>
      </c>
      <c r="S19" s="43">
        <f>IF(OR(O19="",D19="",D19=0),"",O19/D19)</f>
        <v/>
      </c>
      <c r="T19" s="43">
        <f>IF(OR(P19="",E19="",E19=0),"",P19/E19)</f>
        <v/>
      </c>
      <c r="U19" s="44">
        <f>IF(OR(T19="",S19=""),"",(T19-S19)*100)</f>
        <v/>
      </c>
      <c r="V19" s="68" t="n">
        <v>1267</v>
      </c>
      <c r="W19" s="68" t="n">
        <v>794</v>
      </c>
      <c r="X19" s="69">
        <f>IF(OR(W19="",V19="",V19=0,W19=0),"",W19-V19)</f>
        <v/>
      </c>
      <c r="Y19" s="42">
        <f>IF(OR(W19="",V19="",V19=0,W19=0),"",W19/V19-1)</f>
        <v/>
      </c>
      <c r="Z19" s="43">
        <f>IF(OR(V19="",O19="",O19=0),"",V19/O19)</f>
        <v/>
      </c>
      <c r="AA19" s="43">
        <f>IF(OR(W19="",P19="",P19=0),"",W19/P19)</f>
        <v/>
      </c>
      <c r="AB19" s="44">
        <f>IF(OR(AA19="",Z19=""),"",(AA19-Z19)*100)</f>
        <v/>
      </c>
      <c r="AC19" s="68" t="n">
        <v>1144</v>
      </c>
      <c r="AD19" s="68" t="n">
        <v>688</v>
      </c>
      <c r="AE19" s="69">
        <f>IF(OR(AD19="",AC19="",AC19=0,AD19=0),"",AD19-AC19)</f>
        <v/>
      </c>
      <c r="AF19" s="42">
        <f>IF(OR(AD19="",AC19="",AC19=0,AD19=0),"",AD19/AC19-1)</f>
        <v/>
      </c>
      <c r="AG19" s="43">
        <f>IF(OR(AC19="",V19="",V19=0),"",AC19/V19)</f>
        <v/>
      </c>
      <c r="AH19" s="43">
        <f>IF(OR(AD19="",W19="",W19=0),"",AD19/W19)</f>
        <v/>
      </c>
      <c r="AI19" s="44">
        <f>IF(OR(AH19="",AG19=""),"",(AH19-AG19)*100)</f>
        <v/>
      </c>
      <c r="AJ19" s="68" t="n">
        <v>742</v>
      </c>
      <c r="AK19" s="68" t="n">
        <v>377</v>
      </c>
      <c r="AL19" s="69">
        <f>IF(OR(AK19="",AJ19="",AJ19=0,AK19=0),"",AK19-AJ19)</f>
        <v/>
      </c>
      <c r="AM19" s="42">
        <f>IF(OR(AK19="",AJ19="",AJ19=0,AK19=0),"",AK19/AJ19-1)</f>
        <v/>
      </c>
      <c r="AN19" s="43">
        <f>IF(OR(AJ19="",AC19="",AC19=0),"",AJ19/AC19)</f>
        <v/>
      </c>
      <c r="AO19" s="43">
        <f>IF(OR(AK19="",AD19="",AD19=0),"",AK19/AD19)</f>
        <v/>
      </c>
      <c r="AP19" s="44">
        <f>IF(OR(AO19="",AN19=""),"",(AO19-AN19)*100)</f>
        <v/>
      </c>
      <c r="AQ19" s="68" t="n">
        <v>663</v>
      </c>
      <c r="AR19" s="68" t="n">
        <v>314</v>
      </c>
      <c r="AS19" s="69">
        <f>IF(OR(AR19="",AQ19="",AQ19=0,AR19=0),"",AR19-AQ19)</f>
        <v/>
      </c>
      <c r="AT19" s="42">
        <f>IF(OR(AR19="",AQ19="",AQ19=0,AR19=0),"",AR19/AQ19-1)</f>
        <v/>
      </c>
      <c r="AU19" s="43">
        <f>IF(OR(AQ19="",AJ19="",AJ19=0),"",AQ19/AJ19)</f>
        <v/>
      </c>
      <c r="AV19" s="43">
        <f>IF(OR(AR19="",AK19="",AK19=0),"",AR19/AK19)</f>
        <v/>
      </c>
      <c r="AW19" s="44">
        <f>IF(OR(AV19="",AU19=""),"",(AV19-AU19)*100)</f>
        <v/>
      </c>
      <c r="AX19" s="45">
        <f>IF(OR(AQ19="",O19="",O19=0),"",AQ19/O19)</f>
        <v/>
      </c>
      <c r="AY19" s="45">
        <f>IF(OR(AR19="",P19="",P19=0),"",AR19/P19)</f>
        <v/>
      </c>
      <c r="AZ19" s="44">
        <f>IF(OR(AY19="",AX19=""),"",(AY19-AX19)*100)</f>
        <v/>
      </c>
      <c r="BA19" s="45">
        <f>IF(OR(AQ19="",D19="",D19=0),"",AQ19/D19)</f>
        <v/>
      </c>
      <c r="BB19" s="45">
        <f>IF(OR(AR19="",E19="",E19=0),"",AR19/E19)</f>
        <v/>
      </c>
      <c r="BC19" s="44">
        <f>IF(OR(BB19="",BA19=""),"",(BB19-BA19)*100)</f>
        <v/>
      </c>
    </row>
    <row r="20">
      <c r="A20" s="32" t="inlineStr">
        <is>
          <t>Home page</t>
        </is>
      </c>
      <c r="B20" s="32" t="inlineStr">
        <is>
          <t>Direct</t>
        </is>
      </c>
      <c r="C20" s="32" t="inlineStr">
        <is>
          <t>Total</t>
        </is>
      </c>
      <c r="D20" s="66" t="n">
        <v>25798</v>
      </c>
      <c r="E20" s="66" t="n">
        <v>18849</v>
      </c>
      <c r="F20" s="67">
        <f>IF(OR(E20="",D20="",D20=0,E20=0),"",E20-D20)</f>
        <v/>
      </c>
      <c r="G20" s="34">
        <f>IF(OR(E20="",D20="",D20=0,E20=0),"",E20/D20-1)</f>
        <v/>
      </c>
      <c r="H20" s="66" t="n">
        <v>12398</v>
      </c>
      <c r="I20" s="66" t="n">
        <v>7371</v>
      </c>
      <c r="J20" s="67">
        <f>IF(OR(I20="",H20="",H20=0,I20=0),"",I20-H20)</f>
        <v/>
      </c>
      <c r="K20" s="34">
        <f>IF(OR(I20="",H20="",H20=0,I20=0),"",I20/H20-1)</f>
        <v/>
      </c>
      <c r="L20" s="35">
        <f>IF(OR(H20="",D20="",D20=0),"",H20/D20)</f>
        <v/>
      </c>
      <c r="M20" s="35">
        <f>IF(OR(I20="",E20="",E20=0),"",I20/E20)</f>
        <v/>
      </c>
      <c r="N20" s="36">
        <f>IF(OR(M20="",L20=""),"",(M20-L20)*100)</f>
        <v/>
      </c>
      <c r="O20" s="66" t="n">
        <v>10190</v>
      </c>
      <c r="P20" s="66" t="n">
        <v>7338</v>
      </c>
      <c r="Q20" s="67">
        <f>IF(OR(P20="",O20="",O20=0,P20=0),"",P20-O20)</f>
        <v/>
      </c>
      <c r="R20" s="34">
        <f>IF(OR(P20="",O20="",O20=0,P20=0),"",P20/O20-1)</f>
        <v/>
      </c>
      <c r="S20" s="35">
        <f>IF(OR(O20="",D20="",D20=0),"",O20/D20)</f>
        <v/>
      </c>
      <c r="T20" s="35">
        <f>IF(OR(P20="",E20="",E20=0),"",P20/E20)</f>
        <v/>
      </c>
      <c r="U20" s="36">
        <f>IF(OR(T20="",S20=""),"",(T20-S20)*100)</f>
        <v/>
      </c>
      <c r="V20" s="66" t="n">
        <v>3593</v>
      </c>
      <c r="W20" s="66" t="n">
        <v>2651</v>
      </c>
      <c r="X20" s="67">
        <f>IF(OR(W20="",V20="",V20=0,W20=0),"",W20-V20)</f>
        <v/>
      </c>
      <c r="Y20" s="34">
        <f>IF(OR(W20="",V20="",V20=0,W20=0),"",W20/V20-1)</f>
        <v/>
      </c>
      <c r="Z20" s="35">
        <f>IF(OR(V20="",O20="",O20=0),"",V20/O20)</f>
        <v/>
      </c>
      <c r="AA20" s="35">
        <f>IF(OR(W20="",P20="",P20=0),"",W20/P20)</f>
        <v/>
      </c>
      <c r="AB20" s="36">
        <f>IF(OR(AA20="",Z20=""),"",(AA20-Z20)*100)</f>
        <v/>
      </c>
      <c r="AC20" s="66" t="n">
        <v>3140</v>
      </c>
      <c r="AD20" s="66" t="n">
        <v>2291</v>
      </c>
      <c r="AE20" s="67">
        <f>IF(OR(AD20="",AC20="",AC20=0,AD20=0),"",AD20-AC20)</f>
        <v/>
      </c>
      <c r="AF20" s="34">
        <f>IF(OR(AD20="",AC20="",AC20=0,AD20=0),"",AD20/AC20-1)</f>
        <v/>
      </c>
      <c r="AG20" s="35">
        <f>IF(OR(AC20="",V20="",V20=0),"",AC20/V20)</f>
        <v/>
      </c>
      <c r="AH20" s="35">
        <f>IF(OR(AD20="",W20="",W20=0),"",AD20/W20)</f>
        <v/>
      </c>
      <c r="AI20" s="36">
        <f>IF(OR(AH20="",AG20=""),"",(AH20-AG20)*100)</f>
        <v/>
      </c>
      <c r="AJ20" s="66" t="n">
        <v>1776</v>
      </c>
      <c r="AK20" s="66" t="n">
        <v>1329</v>
      </c>
      <c r="AL20" s="67">
        <f>IF(OR(AK20="",AJ20="",AJ20=0,AK20=0),"",AK20-AJ20)</f>
        <v/>
      </c>
      <c r="AM20" s="34">
        <f>IF(OR(AK20="",AJ20="",AJ20=0,AK20=0),"",AK20/AJ20-1)</f>
        <v/>
      </c>
      <c r="AN20" s="35">
        <f>IF(OR(AJ20="",AC20="",AC20=0),"",AJ20/AC20)</f>
        <v/>
      </c>
      <c r="AO20" s="35">
        <f>IF(OR(AK20="",AD20="",AD20=0),"",AK20/AD20)</f>
        <v/>
      </c>
      <c r="AP20" s="36">
        <f>IF(OR(AO20="",AN20=""),"",(AO20-AN20)*100)</f>
        <v/>
      </c>
      <c r="AQ20" s="66" t="n">
        <v>1528</v>
      </c>
      <c r="AR20" s="66" t="n">
        <v>1215</v>
      </c>
      <c r="AS20" s="67">
        <f>IF(OR(AR20="",AQ20="",AQ20=0,AR20=0),"",AR20-AQ20)</f>
        <v/>
      </c>
      <c r="AT20" s="34">
        <f>IF(OR(AR20="",AQ20="",AQ20=0,AR20=0),"",AR20/AQ20-1)</f>
        <v/>
      </c>
      <c r="AU20" s="35">
        <f>IF(OR(AQ20="",AJ20="",AJ20=0),"",AQ20/AJ20)</f>
        <v/>
      </c>
      <c r="AV20" s="35">
        <f>IF(OR(AR20="",AK20="",AK20=0),"",AR20/AK20)</f>
        <v/>
      </c>
      <c r="AW20" s="36">
        <f>IF(OR(AV20="",AU20=""),"",(AV20-AU20)*100)</f>
        <v/>
      </c>
      <c r="AX20" s="37">
        <f>IF(OR(AQ20="",O20="",O20=0),"",AQ20/O20)</f>
        <v/>
      </c>
      <c r="AY20" s="37">
        <f>IF(OR(AR20="",P20="",P20=0),"",AR20/P20)</f>
        <v/>
      </c>
      <c r="AZ20" s="36">
        <f>IF(OR(AY20="",AX20=""),"",(AY20-AX20)*100)</f>
        <v/>
      </c>
      <c r="BA20" s="37">
        <f>IF(OR(AQ20="",D20="",D20=0),"",AQ20/D20)</f>
        <v/>
      </c>
      <c r="BB20" s="37">
        <f>IF(OR(AR20="",E20="",E20=0),"",AR20/E20)</f>
        <v/>
      </c>
      <c r="BC20" s="36">
        <f>IF(OR(BB20="",BA20=""),"",(BB20-BA20)*100)</f>
        <v/>
      </c>
    </row>
    <row r="21">
      <c r="A21" s="40" t="inlineStr">
        <is>
          <t>Home page</t>
        </is>
      </c>
      <c r="B21" s="40" t="inlineStr">
        <is>
          <t>Direct</t>
        </is>
      </c>
      <c r="C21" s="40" t="inlineStr">
        <is>
          <t>Mobile</t>
        </is>
      </c>
      <c r="D21" s="68" t="n">
        <v>13845</v>
      </c>
      <c r="E21" s="68" t="n">
        <v>9620</v>
      </c>
      <c r="F21" s="69">
        <f>IF(OR(E21="",D21="",D21=0,E21=0),"",E21-D21)</f>
        <v/>
      </c>
      <c r="G21" s="42">
        <f>IF(OR(E21="",D21="",D21=0,E21=0),"",E21/D21-1)</f>
        <v/>
      </c>
      <c r="H21" s="68" t="n">
        <v>6638</v>
      </c>
      <c r="I21" s="68" t="n">
        <v>3645</v>
      </c>
      <c r="J21" s="69">
        <f>IF(OR(I21="",H21="",H21=0,I21=0),"",I21-H21)</f>
        <v/>
      </c>
      <c r="K21" s="42">
        <f>IF(OR(I21="",H21="",H21=0,I21=0),"",I21/H21-1)</f>
        <v/>
      </c>
      <c r="L21" s="43">
        <f>IF(OR(H21="",D21="",D21=0),"",H21/D21)</f>
        <v/>
      </c>
      <c r="M21" s="43">
        <f>IF(OR(I21="",E21="",E21=0),"",I21/E21)</f>
        <v/>
      </c>
      <c r="N21" s="44">
        <f>IF(OR(M21="",L21=""),"",(M21-L21)*100)</f>
        <v/>
      </c>
      <c r="O21" s="68" t="n">
        <v>5407</v>
      </c>
      <c r="P21" s="68" t="n">
        <v>3372</v>
      </c>
      <c r="Q21" s="69">
        <f>IF(OR(P21="",O21="",O21=0,P21=0),"",P21-O21)</f>
        <v/>
      </c>
      <c r="R21" s="42">
        <f>IF(OR(P21="",O21="",O21=0,P21=0),"",P21/O21-1)</f>
        <v/>
      </c>
      <c r="S21" s="43">
        <f>IF(OR(O21="",D21="",D21=0),"",O21/D21)</f>
        <v/>
      </c>
      <c r="T21" s="43">
        <f>IF(OR(P21="",E21="",E21=0),"",P21/E21)</f>
        <v/>
      </c>
      <c r="U21" s="44">
        <f>IF(OR(T21="",S21=""),"",(T21-S21)*100)</f>
        <v/>
      </c>
      <c r="V21" s="68" t="n">
        <v>2178</v>
      </c>
      <c r="W21" s="68" t="n">
        <v>1393</v>
      </c>
      <c r="X21" s="69">
        <f>IF(OR(W21="",V21="",V21=0,W21=0),"",W21-V21)</f>
        <v/>
      </c>
      <c r="Y21" s="42">
        <f>IF(OR(W21="",V21="",V21=0,W21=0),"",W21/V21-1)</f>
        <v/>
      </c>
      <c r="Z21" s="43">
        <f>IF(OR(V21="",O21="",O21=0),"",V21/O21)</f>
        <v/>
      </c>
      <c r="AA21" s="43">
        <f>IF(OR(W21="",P21="",P21=0),"",W21/P21)</f>
        <v/>
      </c>
      <c r="AB21" s="44">
        <f>IF(OR(AA21="",Z21=""),"",(AA21-Z21)*100)</f>
        <v/>
      </c>
      <c r="AC21" s="68" t="n">
        <v>1858</v>
      </c>
      <c r="AD21" s="68" t="n">
        <v>1160</v>
      </c>
      <c r="AE21" s="69">
        <f>IF(OR(AD21="",AC21="",AC21=0,AD21=0),"",AD21-AC21)</f>
        <v/>
      </c>
      <c r="AF21" s="42">
        <f>IF(OR(AD21="",AC21="",AC21=0,AD21=0),"",AD21/AC21-1)</f>
        <v/>
      </c>
      <c r="AG21" s="43">
        <f>IF(OR(AC21="",V21="",V21=0),"",AC21/V21)</f>
        <v/>
      </c>
      <c r="AH21" s="43">
        <f>IF(OR(AD21="",W21="",W21=0),"",AD21/W21)</f>
        <v/>
      </c>
      <c r="AI21" s="44">
        <f>IF(OR(AH21="",AG21=""),"",(AH21-AG21)*100)</f>
        <v/>
      </c>
      <c r="AJ21" s="68" t="n">
        <v>969</v>
      </c>
      <c r="AK21" s="68" t="n">
        <v>636</v>
      </c>
      <c r="AL21" s="69">
        <f>IF(OR(AK21="",AJ21="",AJ21=0,AK21=0),"",AK21-AJ21)</f>
        <v/>
      </c>
      <c r="AM21" s="42">
        <f>IF(OR(AK21="",AJ21="",AJ21=0,AK21=0),"",AK21/AJ21-1)</f>
        <v/>
      </c>
      <c r="AN21" s="43">
        <f>IF(OR(AJ21="",AC21="",AC21=0),"",AJ21/AC21)</f>
        <v/>
      </c>
      <c r="AO21" s="43">
        <f>IF(OR(AK21="",AD21="",AD21=0),"",AK21/AD21)</f>
        <v/>
      </c>
      <c r="AP21" s="44">
        <f>IF(OR(AO21="",AN21=""),"",(AO21-AN21)*100)</f>
        <v/>
      </c>
      <c r="AQ21" s="68" t="n">
        <v>789</v>
      </c>
      <c r="AR21" s="68" t="n">
        <v>560</v>
      </c>
      <c r="AS21" s="69">
        <f>IF(OR(AR21="",AQ21="",AQ21=0,AR21=0),"",AR21-AQ21)</f>
        <v/>
      </c>
      <c r="AT21" s="42">
        <f>IF(OR(AR21="",AQ21="",AQ21=0,AR21=0),"",AR21/AQ21-1)</f>
        <v/>
      </c>
      <c r="AU21" s="43">
        <f>IF(OR(AQ21="",AJ21="",AJ21=0),"",AQ21/AJ21)</f>
        <v/>
      </c>
      <c r="AV21" s="43">
        <f>IF(OR(AR21="",AK21="",AK21=0),"",AR21/AK21)</f>
        <v/>
      </c>
      <c r="AW21" s="44">
        <f>IF(OR(AV21="",AU21=""),"",(AV21-AU21)*100)</f>
        <v/>
      </c>
      <c r="AX21" s="45">
        <f>IF(OR(AQ21="",O21="",O21=0),"",AQ21/O21)</f>
        <v/>
      </c>
      <c r="AY21" s="45">
        <f>IF(OR(AR21="",P21="",P21=0),"",AR21/P21)</f>
        <v/>
      </c>
      <c r="AZ21" s="44">
        <f>IF(OR(AY21="",AX21=""),"",(AY21-AX21)*100)</f>
        <v/>
      </c>
      <c r="BA21" s="45">
        <f>IF(OR(AQ21="",D21="",D21=0),"",AQ21/D21)</f>
        <v/>
      </c>
      <c r="BB21" s="45">
        <f>IF(OR(AR21="",E21="",E21=0),"",AR21/E21)</f>
        <v/>
      </c>
      <c r="BC21" s="44">
        <f>IF(OR(BB21="",BA21=""),"",(BB21-BA21)*100)</f>
        <v/>
      </c>
    </row>
    <row r="22">
      <c r="A22" s="40" t="inlineStr">
        <is>
          <t>Home page</t>
        </is>
      </c>
      <c r="B22" s="40" t="inlineStr">
        <is>
          <t>Direct</t>
        </is>
      </c>
      <c r="C22" s="40" t="inlineStr">
        <is>
          <t>Desktop</t>
        </is>
      </c>
      <c r="D22" s="68" t="n">
        <v>11873</v>
      </c>
      <c r="E22" s="68" t="n">
        <v>9174</v>
      </c>
      <c r="F22" s="69">
        <f>IF(OR(E22="",D22="",D22=0,E22=0),"",E22-D22)</f>
        <v/>
      </c>
      <c r="G22" s="42">
        <f>IF(OR(E22="",D22="",D22=0,E22=0),"",E22/D22-1)</f>
        <v/>
      </c>
      <c r="H22" s="68" t="n">
        <v>5833</v>
      </c>
      <c r="I22" s="68" t="n">
        <v>3730</v>
      </c>
      <c r="J22" s="69">
        <f>IF(OR(I22="",H22="",H22=0,I22=0),"",I22-H22)</f>
        <v/>
      </c>
      <c r="K22" s="42">
        <f>IF(OR(I22="",H22="",H22=0,I22=0),"",I22/H22-1)</f>
        <v/>
      </c>
      <c r="L22" s="43">
        <f>IF(OR(H22="",D22="",D22=0),"",H22/D22)</f>
        <v/>
      </c>
      <c r="M22" s="43">
        <f>IF(OR(I22="",E22="",E22=0),"",I22/E22)</f>
        <v/>
      </c>
      <c r="N22" s="44">
        <f>IF(OR(M22="",L22=""),"",(M22-L22)*100)</f>
        <v/>
      </c>
      <c r="O22" s="68" t="n">
        <v>4894</v>
      </c>
      <c r="P22" s="68" t="n">
        <v>3883</v>
      </c>
      <c r="Q22" s="69">
        <f>IF(OR(P22="",O22="",O22=0,P22=0),"",P22-O22)</f>
        <v/>
      </c>
      <c r="R22" s="42">
        <f>IF(OR(P22="",O22="",O22=0,P22=0),"",P22/O22-1)</f>
        <v/>
      </c>
      <c r="S22" s="43">
        <f>IF(OR(O22="",D22="",D22=0),"",O22/D22)</f>
        <v/>
      </c>
      <c r="T22" s="43">
        <f>IF(OR(P22="",E22="",E22=0),"",P22/E22)</f>
        <v/>
      </c>
      <c r="U22" s="44">
        <f>IF(OR(T22="",S22=""),"",(T22-S22)*100)</f>
        <v/>
      </c>
      <c r="V22" s="68" t="n">
        <v>1391</v>
      </c>
      <c r="W22" s="68" t="n">
        <v>1228</v>
      </c>
      <c r="X22" s="69">
        <f>IF(OR(W22="",V22="",V22=0,W22=0),"",W22-V22)</f>
        <v/>
      </c>
      <c r="Y22" s="42">
        <f>IF(OR(W22="",V22="",V22=0,W22=0),"",W22/V22-1)</f>
        <v/>
      </c>
      <c r="Z22" s="43">
        <f>IF(OR(V22="",O22="",O22=0),"",V22/O22)</f>
        <v/>
      </c>
      <c r="AA22" s="43">
        <f>IF(OR(W22="",P22="",P22=0),"",W22/P22)</f>
        <v/>
      </c>
      <c r="AB22" s="44">
        <f>IF(OR(AA22="",Z22=""),"",(AA22-Z22)*100)</f>
        <v/>
      </c>
      <c r="AC22" s="68" t="n">
        <v>1251</v>
      </c>
      <c r="AD22" s="68" t="n">
        <v>1105</v>
      </c>
      <c r="AE22" s="69">
        <f>IF(OR(AD22="",AC22="",AC22=0,AD22=0),"",AD22-AC22)</f>
        <v/>
      </c>
      <c r="AF22" s="42">
        <f>IF(OR(AD22="",AC22="",AC22=0,AD22=0),"",AD22/AC22-1)</f>
        <v/>
      </c>
      <c r="AG22" s="43">
        <f>IF(OR(AC22="",V22="",V22=0),"",AC22/V22)</f>
        <v/>
      </c>
      <c r="AH22" s="43">
        <f>IF(OR(AD22="",W22="",W22=0),"",AD22/W22)</f>
        <v/>
      </c>
      <c r="AI22" s="44">
        <f>IF(OR(AH22="",AG22=""),"",(AH22-AG22)*100)</f>
        <v/>
      </c>
      <c r="AJ22" s="68" t="n">
        <v>798</v>
      </c>
      <c r="AK22" s="68" t="n">
        <v>685</v>
      </c>
      <c r="AL22" s="69">
        <f>IF(OR(AK22="",AJ22="",AJ22=0,AK22=0),"",AK22-AJ22)</f>
        <v/>
      </c>
      <c r="AM22" s="42">
        <f>IF(OR(AK22="",AJ22="",AJ22=0,AK22=0),"",AK22/AJ22-1)</f>
        <v/>
      </c>
      <c r="AN22" s="43">
        <f>IF(OR(AJ22="",AC22="",AC22=0),"",AJ22/AC22)</f>
        <v/>
      </c>
      <c r="AO22" s="43">
        <f>IF(OR(AK22="",AD22="",AD22=0),"",AK22/AD22)</f>
        <v/>
      </c>
      <c r="AP22" s="44">
        <f>IF(OR(AO22="",AN22=""),"",(AO22-AN22)*100)</f>
        <v/>
      </c>
      <c r="AQ22" s="68" t="n">
        <v>727</v>
      </c>
      <c r="AR22" s="68" t="n">
        <v>640</v>
      </c>
      <c r="AS22" s="69">
        <f>IF(OR(AR22="",AQ22="",AQ22=0,AR22=0),"",AR22-AQ22)</f>
        <v/>
      </c>
      <c r="AT22" s="42">
        <f>IF(OR(AR22="",AQ22="",AQ22=0,AR22=0),"",AR22/AQ22-1)</f>
        <v/>
      </c>
      <c r="AU22" s="43">
        <f>IF(OR(AQ22="",AJ22="",AJ22=0),"",AQ22/AJ22)</f>
        <v/>
      </c>
      <c r="AV22" s="43">
        <f>IF(OR(AR22="",AK22="",AK22=0),"",AR22/AK22)</f>
        <v/>
      </c>
      <c r="AW22" s="44">
        <f>IF(OR(AV22="",AU22=""),"",(AV22-AU22)*100)</f>
        <v/>
      </c>
      <c r="AX22" s="45">
        <f>IF(OR(AQ22="",O22="",O22=0),"",AQ22/O22)</f>
        <v/>
      </c>
      <c r="AY22" s="45">
        <f>IF(OR(AR22="",P22="",P22=0),"",AR22/P22)</f>
        <v/>
      </c>
      <c r="AZ22" s="44">
        <f>IF(OR(AY22="",AX22=""),"",(AY22-AX22)*100)</f>
        <v/>
      </c>
      <c r="BA22" s="45">
        <f>IF(OR(AQ22="",D22="",D22=0),"",AQ22/D22)</f>
        <v/>
      </c>
      <c r="BB22" s="45">
        <f>IF(OR(AR22="",E22="",E22=0),"",AR22/E22)</f>
        <v/>
      </c>
      <c r="BC22" s="44">
        <f>IF(OR(BB22="",BA22=""),"",(BB22-BA22)*100)</f>
        <v/>
      </c>
    </row>
    <row r="23">
      <c r="A23" s="32" t="inlineStr">
        <is>
          <t>Airport page</t>
        </is>
      </c>
      <c r="B23" s="32" t="inlineStr">
        <is>
          <t>Paid Search</t>
        </is>
      </c>
      <c r="C23" s="32" t="inlineStr">
        <is>
          <t>Total</t>
        </is>
      </c>
      <c r="D23" s="66" t="n">
        <v>178022</v>
      </c>
      <c r="E23" s="66" t="n">
        <v>93556</v>
      </c>
      <c r="F23" s="67">
        <f>IF(OR(E23="",D23="",D23=0,E23=0),"",E23-D23)</f>
        <v/>
      </c>
      <c r="G23" s="34">
        <f>IF(OR(E23="",D23="",D23=0,E23=0),"",E23/D23-1)</f>
        <v/>
      </c>
      <c r="H23" s="66" t="n">
        <v>125184</v>
      </c>
      <c r="I23" s="66" t="n">
        <v>63646</v>
      </c>
      <c r="J23" s="67">
        <f>IF(OR(I23="",H23="",H23=0,I23=0),"",I23-H23)</f>
        <v/>
      </c>
      <c r="K23" s="34">
        <f>IF(OR(I23="",H23="",H23=0,I23=0),"",I23/H23-1)</f>
        <v/>
      </c>
      <c r="L23" s="35">
        <f>IF(OR(H23="",D23="",D23=0),"",H23/D23)</f>
        <v/>
      </c>
      <c r="M23" s="35">
        <f>IF(OR(I23="",E23="",E23=0),"",I23/E23)</f>
        <v/>
      </c>
      <c r="N23" s="36">
        <f>IF(OR(M23="",L23=""),"",(M23-L23)*100)</f>
        <v/>
      </c>
      <c r="O23" s="66" t="n">
        <v>107611</v>
      </c>
      <c r="P23" s="66" t="n">
        <v>59938</v>
      </c>
      <c r="Q23" s="67">
        <f>IF(OR(P23="",O23="",O23=0,P23=0),"",P23-O23)</f>
        <v/>
      </c>
      <c r="R23" s="34">
        <f>IF(OR(P23="",O23="",O23=0,P23=0),"",P23/O23-1)</f>
        <v/>
      </c>
      <c r="S23" s="35">
        <f>IF(OR(O23="",D23="",D23=0),"",O23/D23)</f>
        <v/>
      </c>
      <c r="T23" s="35">
        <f>IF(OR(P23="",E23="",E23=0),"",P23/E23)</f>
        <v/>
      </c>
      <c r="U23" s="36">
        <f>IF(OR(T23="",S23=""),"",(T23-S23)*100)</f>
        <v/>
      </c>
      <c r="V23" s="66" t="n">
        <v>28480</v>
      </c>
      <c r="W23" s="66" t="n">
        <v>15418</v>
      </c>
      <c r="X23" s="67">
        <f>IF(OR(W23="",V23="",V23=0,W23=0),"",W23-V23)</f>
        <v/>
      </c>
      <c r="Y23" s="34">
        <f>IF(OR(W23="",V23="",V23=0,W23=0),"",W23/V23-1)</f>
        <v/>
      </c>
      <c r="Z23" s="35">
        <f>IF(OR(V23="",O23="",O23=0),"",V23/O23)</f>
        <v/>
      </c>
      <c r="AA23" s="35">
        <f>IF(OR(W23="",P23="",P23=0),"",W23/P23)</f>
        <v/>
      </c>
      <c r="AB23" s="36">
        <f>IF(OR(AA23="",Z23=""),"",(AA23-Z23)*100)</f>
        <v/>
      </c>
      <c r="AC23" s="66" t="n">
        <v>21773</v>
      </c>
      <c r="AD23" s="66" t="n">
        <v>11188</v>
      </c>
      <c r="AE23" s="67">
        <f>IF(OR(AD23="",AC23="",AC23=0,AD23=0),"",AD23-AC23)</f>
        <v/>
      </c>
      <c r="AF23" s="34">
        <f>IF(OR(AD23="",AC23="",AC23=0,AD23=0),"",AD23/AC23-1)</f>
        <v/>
      </c>
      <c r="AG23" s="35">
        <f>IF(OR(AC23="",V23="",V23=0),"",AC23/V23)</f>
        <v/>
      </c>
      <c r="AH23" s="35">
        <f>IF(OR(AD23="",W23="",W23=0),"",AD23/W23)</f>
        <v/>
      </c>
      <c r="AI23" s="36">
        <f>IF(OR(AH23="",AG23=""),"",(AH23-AG23)*100)</f>
        <v/>
      </c>
      <c r="AJ23" s="66" t="n">
        <v>7782</v>
      </c>
      <c r="AK23" s="66" t="n">
        <v>3781</v>
      </c>
      <c r="AL23" s="67">
        <f>IF(OR(AK23="",AJ23="",AJ23=0,AK23=0),"",AK23-AJ23)</f>
        <v/>
      </c>
      <c r="AM23" s="34">
        <f>IF(OR(AK23="",AJ23="",AJ23=0,AK23=0),"",AK23/AJ23-1)</f>
        <v/>
      </c>
      <c r="AN23" s="35">
        <f>IF(OR(AJ23="",AC23="",AC23=0),"",AJ23/AC23)</f>
        <v/>
      </c>
      <c r="AO23" s="35">
        <f>IF(OR(AK23="",AD23="",AD23=0),"",AK23/AD23)</f>
        <v/>
      </c>
      <c r="AP23" s="36">
        <f>IF(OR(AO23="",AN23=""),"",(AO23-AN23)*100)</f>
        <v/>
      </c>
      <c r="AQ23" s="66" t="n">
        <v>5723</v>
      </c>
      <c r="AR23" s="66" t="n">
        <v>2922</v>
      </c>
      <c r="AS23" s="67">
        <f>IF(OR(AR23="",AQ23="",AQ23=0,AR23=0),"",AR23-AQ23)</f>
        <v/>
      </c>
      <c r="AT23" s="34">
        <f>IF(OR(AR23="",AQ23="",AQ23=0,AR23=0),"",AR23/AQ23-1)</f>
        <v/>
      </c>
      <c r="AU23" s="35">
        <f>IF(OR(AQ23="",AJ23="",AJ23=0),"",AQ23/AJ23)</f>
        <v/>
      </c>
      <c r="AV23" s="35">
        <f>IF(OR(AR23="",AK23="",AK23=0),"",AR23/AK23)</f>
        <v/>
      </c>
      <c r="AW23" s="36">
        <f>IF(OR(AV23="",AU23=""),"",(AV23-AU23)*100)</f>
        <v/>
      </c>
      <c r="AX23" s="37">
        <f>IF(OR(AQ23="",O23="",O23=0),"",AQ23/O23)</f>
        <v/>
      </c>
      <c r="AY23" s="37">
        <f>IF(OR(AR23="",P23="",P23=0),"",AR23/P23)</f>
        <v/>
      </c>
      <c r="AZ23" s="36">
        <f>IF(OR(AY23="",AX23=""),"",(AY23-AX23)*100)</f>
        <v/>
      </c>
      <c r="BA23" s="37">
        <f>IF(OR(AQ23="",D23="",D23=0),"",AQ23/D23)</f>
        <v/>
      </c>
      <c r="BB23" s="37">
        <f>IF(OR(AR23="",E23="",E23=0),"",AR23/E23)</f>
        <v/>
      </c>
      <c r="BC23" s="36">
        <f>IF(OR(BB23="",BA23=""),"",(BB23-BA23)*100)</f>
        <v/>
      </c>
    </row>
    <row r="24">
      <c r="A24" s="40" t="inlineStr">
        <is>
          <t>Airport page</t>
        </is>
      </c>
      <c r="B24" s="40" t="inlineStr">
        <is>
          <t>Paid Search</t>
        </is>
      </c>
      <c r="C24" s="40" t="inlineStr">
        <is>
          <t>Mobile</t>
        </is>
      </c>
      <c r="D24" s="68" t="n">
        <v>117379</v>
      </c>
      <c r="E24" s="68" t="n">
        <v>54082</v>
      </c>
      <c r="F24" s="69">
        <f>IF(OR(E24="",D24="",D24=0,E24=0),"",E24-D24)</f>
        <v/>
      </c>
      <c r="G24" s="42">
        <f>IF(OR(E24="",D24="",D24=0,E24=0),"",E24/D24-1)</f>
        <v/>
      </c>
      <c r="H24" s="68" t="n">
        <v>84919</v>
      </c>
      <c r="I24" s="68" t="n">
        <v>38451</v>
      </c>
      <c r="J24" s="69">
        <f>IF(OR(I24="",H24="",H24=0,I24=0),"",I24-H24)</f>
        <v/>
      </c>
      <c r="K24" s="42">
        <f>IF(OR(I24="",H24="",H24=0,I24=0),"",I24/H24-1)</f>
        <v/>
      </c>
      <c r="L24" s="43">
        <f>IF(OR(H24="",D24="",D24=0),"",H24/D24)</f>
        <v/>
      </c>
      <c r="M24" s="43">
        <f>IF(OR(I24="",E24="",E24=0),"",I24/E24)</f>
        <v/>
      </c>
      <c r="N24" s="44">
        <f>IF(OR(M24="",L24=""),"",(M24-L24)*100)</f>
        <v/>
      </c>
      <c r="O24" s="68" t="n">
        <v>71231</v>
      </c>
      <c r="P24" s="68" t="n">
        <v>35159</v>
      </c>
      <c r="Q24" s="69">
        <f>IF(OR(P24="",O24="",O24=0,P24=0),"",P24-O24)</f>
        <v/>
      </c>
      <c r="R24" s="42">
        <f>IF(OR(P24="",O24="",O24=0,P24=0),"",P24/O24-1)</f>
        <v/>
      </c>
      <c r="S24" s="43">
        <f>IF(OR(O24="",D24="",D24=0),"",O24/D24)</f>
        <v/>
      </c>
      <c r="T24" s="43">
        <f>IF(OR(P24="",E24="",E24=0),"",P24/E24)</f>
        <v/>
      </c>
      <c r="U24" s="44">
        <f>IF(OR(T24="",S24=""),"",(T24-S24)*100)</f>
        <v/>
      </c>
      <c r="V24" s="68" t="n">
        <v>18340</v>
      </c>
      <c r="W24" s="68" t="n">
        <v>9059</v>
      </c>
      <c r="X24" s="69">
        <f>IF(OR(W24="",V24="",V24=0,W24=0),"",W24-V24)</f>
        <v/>
      </c>
      <c r="Y24" s="42">
        <f>IF(OR(W24="",V24="",V24=0,W24=0),"",W24/V24-1)</f>
        <v/>
      </c>
      <c r="Z24" s="43">
        <f>IF(OR(V24="",O24="",O24=0),"",V24/O24)</f>
        <v/>
      </c>
      <c r="AA24" s="43">
        <f>IF(OR(W24="",P24="",P24=0),"",W24/P24)</f>
        <v/>
      </c>
      <c r="AB24" s="44">
        <f>IF(OR(AA24="",Z24=""),"",(AA24-Z24)*100)</f>
        <v/>
      </c>
      <c r="AC24" s="68" t="n">
        <v>13475</v>
      </c>
      <c r="AD24" s="68" t="n">
        <v>6119</v>
      </c>
      <c r="AE24" s="69">
        <f>IF(OR(AD24="",AC24="",AC24=0,AD24=0),"",AD24-AC24)</f>
        <v/>
      </c>
      <c r="AF24" s="42">
        <f>IF(OR(AD24="",AC24="",AC24=0,AD24=0),"",AD24/AC24-1)</f>
        <v/>
      </c>
      <c r="AG24" s="43">
        <f>IF(OR(AC24="",V24="",V24=0),"",AC24/V24)</f>
        <v/>
      </c>
      <c r="AH24" s="43">
        <f>IF(OR(AD24="",W24="",W24=0),"",AD24/W24)</f>
        <v/>
      </c>
      <c r="AI24" s="44">
        <f>IF(OR(AH24="",AG24=""),"",(AH24-AG24)*100)</f>
        <v/>
      </c>
      <c r="AJ24" s="68" t="n">
        <v>4294</v>
      </c>
      <c r="AK24" s="68" t="n">
        <v>1942</v>
      </c>
      <c r="AL24" s="69">
        <f>IF(OR(AK24="",AJ24="",AJ24=0,AK24=0),"",AK24-AJ24)</f>
        <v/>
      </c>
      <c r="AM24" s="42">
        <f>IF(OR(AK24="",AJ24="",AJ24=0,AK24=0),"",AK24/AJ24-1)</f>
        <v/>
      </c>
      <c r="AN24" s="43">
        <f>IF(OR(AJ24="",AC24="",AC24=0),"",AJ24/AC24)</f>
        <v/>
      </c>
      <c r="AO24" s="43">
        <f>IF(OR(AK24="",AD24="",AD24=0),"",AK24/AD24)</f>
        <v/>
      </c>
      <c r="AP24" s="44">
        <f>IF(OR(AO24="",AN24=""),"",(AO24-AN24)*100)</f>
        <v/>
      </c>
      <c r="AQ24" s="68" t="n">
        <v>3035</v>
      </c>
      <c r="AR24" s="68" t="n">
        <v>1482</v>
      </c>
      <c r="AS24" s="69">
        <f>IF(OR(AR24="",AQ24="",AQ24=0,AR24=0),"",AR24-AQ24)</f>
        <v/>
      </c>
      <c r="AT24" s="42">
        <f>IF(OR(AR24="",AQ24="",AQ24=0,AR24=0),"",AR24/AQ24-1)</f>
        <v/>
      </c>
      <c r="AU24" s="43">
        <f>IF(OR(AQ24="",AJ24="",AJ24=0),"",AQ24/AJ24)</f>
        <v/>
      </c>
      <c r="AV24" s="43">
        <f>IF(OR(AR24="",AK24="",AK24=0),"",AR24/AK24)</f>
        <v/>
      </c>
      <c r="AW24" s="44">
        <f>IF(OR(AV24="",AU24=""),"",(AV24-AU24)*100)</f>
        <v/>
      </c>
      <c r="AX24" s="45">
        <f>IF(OR(AQ24="",O24="",O24=0),"",AQ24/O24)</f>
        <v/>
      </c>
      <c r="AY24" s="45">
        <f>IF(OR(AR24="",P24="",P24=0),"",AR24/P24)</f>
        <v/>
      </c>
      <c r="AZ24" s="44">
        <f>IF(OR(AY24="",AX24=""),"",(AY24-AX24)*100)</f>
        <v/>
      </c>
      <c r="BA24" s="45">
        <f>IF(OR(AQ24="",D24="",D24=0),"",AQ24/D24)</f>
        <v/>
      </c>
      <c r="BB24" s="45">
        <f>IF(OR(AR24="",E24="",E24=0),"",AR24/E24)</f>
        <v/>
      </c>
      <c r="BC24" s="44">
        <f>IF(OR(BB24="",BA24=""),"",(BB24-BA24)*100)</f>
        <v/>
      </c>
    </row>
    <row r="25">
      <c r="A25" s="40" t="inlineStr">
        <is>
          <t>Airport page</t>
        </is>
      </c>
      <c r="B25" s="40" t="inlineStr">
        <is>
          <t>Paid Search</t>
        </is>
      </c>
      <c r="C25" s="40" t="inlineStr">
        <is>
          <t>Desktop</t>
        </is>
      </c>
      <c r="D25" s="68" t="n">
        <v>55482</v>
      </c>
      <c r="E25" s="68" t="n">
        <v>39031</v>
      </c>
      <c r="F25" s="69">
        <f>IF(OR(E25="",D25="",D25=0,E25=0),"",E25-D25)</f>
        <v/>
      </c>
      <c r="G25" s="42">
        <f>IF(OR(E25="",D25="",D25=0,E25=0),"",E25/D25-1)</f>
        <v/>
      </c>
      <c r="H25" s="68" t="n">
        <v>37721</v>
      </c>
      <c r="I25" s="68" t="n">
        <v>24592</v>
      </c>
      <c r="J25" s="69">
        <f>IF(OR(I25="",H25="",H25=0,I25=0),"",I25-H25)</f>
        <v/>
      </c>
      <c r="K25" s="42">
        <f>IF(OR(I25="",H25="",H25=0,I25=0),"",I25/H25-1)</f>
        <v/>
      </c>
      <c r="L25" s="43">
        <f>IF(OR(H25="",D25="",D25=0),"",H25/D25)</f>
        <v/>
      </c>
      <c r="M25" s="43">
        <f>IF(OR(I25="",E25="",E25=0),"",I25/E25)</f>
        <v/>
      </c>
      <c r="N25" s="44">
        <f>IF(OR(M25="",L25=""),"",(M25-L25)*100)</f>
        <v/>
      </c>
      <c r="O25" s="68" t="n">
        <v>34682</v>
      </c>
      <c r="P25" s="68" t="n">
        <v>23132</v>
      </c>
      <c r="Q25" s="69">
        <f>IF(OR(P25="",O25="",O25=0,P25=0),"",P25-O25)</f>
        <v/>
      </c>
      <c r="R25" s="42">
        <f>IF(OR(P25="",O25="",O25=0,P25=0),"",P25/O25-1)</f>
        <v/>
      </c>
      <c r="S25" s="43">
        <f>IF(OR(O25="",D25="",D25=0),"",O25/D25)</f>
        <v/>
      </c>
      <c r="T25" s="43">
        <f>IF(OR(P25="",E25="",E25=0),"",P25/E25)</f>
        <v/>
      </c>
      <c r="U25" s="44">
        <f>IF(OR(T25="",S25=""),"",(T25-S25)*100)</f>
        <v/>
      </c>
      <c r="V25" s="68" t="n">
        <v>9817</v>
      </c>
      <c r="W25" s="68" t="n">
        <v>6223</v>
      </c>
      <c r="X25" s="69">
        <f>IF(OR(W25="",V25="",V25=0,W25=0),"",W25-V25)</f>
        <v/>
      </c>
      <c r="Y25" s="42">
        <f>IF(OR(W25="",V25="",V25=0,W25=0),"",W25/V25-1)</f>
        <v/>
      </c>
      <c r="Z25" s="43">
        <f>IF(OR(V25="",O25="",O25=0),"",V25/O25)</f>
        <v/>
      </c>
      <c r="AA25" s="43">
        <f>IF(OR(W25="",P25="",P25=0),"",W25/P25)</f>
        <v/>
      </c>
      <c r="AB25" s="44">
        <f>IF(OR(AA25="",Z25=""),"",(AA25-Z25)*100)</f>
        <v/>
      </c>
      <c r="AC25" s="68" t="n">
        <v>7843</v>
      </c>
      <c r="AD25" s="68" t="n">
        <v>4789</v>
      </c>
      <c r="AE25" s="69">
        <f>IF(OR(AD25="",AC25="",AC25=0,AD25=0),"",AD25-AC25)</f>
        <v/>
      </c>
      <c r="AF25" s="42">
        <f>IF(OR(AD25="",AC25="",AC25=0,AD25=0),"",AD25/AC25-1)</f>
        <v/>
      </c>
      <c r="AG25" s="43">
        <f>IF(OR(AC25="",V25="",V25=0),"",AC25/V25)</f>
        <v/>
      </c>
      <c r="AH25" s="43">
        <f>IF(OR(AD25="",W25="",W25=0),"",AD25/W25)</f>
        <v/>
      </c>
      <c r="AI25" s="44">
        <f>IF(OR(AH25="",AG25=""),"",(AH25-AG25)*100)</f>
        <v/>
      </c>
      <c r="AJ25" s="68" t="n">
        <v>3322</v>
      </c>
      <c r="AK25" s="68" t="n">
        <v>1854</v>
      </c>
      <c r="AL25" s="69">
        <f>IF(OR(AK25="",AJ25="",AJ25=0,AK25=0),"",AK25-AJ25)</f>
        <v/>
      </c>
      <c r="AM25" s="42">
        <f>IF(OR(AK25="",AJ25="",AJ25=0,AK25=0),"",AK25/AJ25-1)</f>
        <v/>
      </c>
      <c r="AN25" s="43">
        <f>IF(OR(AJ25="",AC25="",AC25=0),"",AJ25/AC25)</f>
        <v/>
      </c>
      <c r="AO25" s="43">
        <f>IF(OR(AK25="",AD25="",AD25=0),"",AK25/AD25)</f>
        <v/>
      </c>
      <c r="AP25" s="44">
        <f>IF(OR(AO25="",AN25=""),"",(AO25-AN25)*100)</f>
        <v/>
      </c>
      <c r="AQ25" s="68" t="n">
        <v>2589</v>
      </c>
      <c r="AR25" s="68" t="n">
        <v>1404</v>
      </c>
      <c r="AS25" s="69">
        <f>IF(OR(AR25="",AQ25="",AQ25=0,AR25=0),"",AR25-AQ25)</f>
        <v/>
      </c>
      <c r="AT25" s="42">
        <f>IF(OR(AR25="",AQ25="",AQ25=0,AR25=0),"",AR25/AQ25-1)</f>
        <v/>
      </c>
      <c r="AU25" s="43">
        <f>IF(OR(AQ25="",AJ25="",AJ25=0),"",AQ25/AJ25)</f>
        <v/>
      </c>
      <c r="AV25" s="43">
        <f>IF(OR(AR25="",AK25="",AK25=0),"",AR25/AK25)</f>
        <v/>
      </c>
      <c r="AW25" s="44">
        <f>IF(OR(AV25="",AU25=""),"",(AV25-AU25)*100)</f>
        <v/>
      </c>
      <c r="AX25" s="45">
        <f>IF(OR(AQ25="",O25="",O25=0),"",AQ25/O25)</f>
        <v/>
      </c>
      <c r="AY25" s="45">
        <f>IF(OR(AR25="",P25="",P25=0),"",AR25/P25)</f>
        <v/>
      </c>
      <c r="AZ25" s="44">
        <f>IF(OR(AY25="",AX25=""),"",(AY25-AX25)*100)</f>
        <v/>
      </c>
      <c r="BA25" s="45">
        <f>IF(OR(AQ25="",D25="",D25=0),"",AQ25/D25)</f>
        <v/>
      </c>
      <c r="BB25" s="45">
        <f>IF(OR(AR25="",E25="",E25=0),"",AR25/E25)</f>
        <v/>
      </c>
      <c r="BC25" s="44">
        <f>IF(OR(BB25="",BA25=""),"",(BB25-BA25)*100)</f>
        <v/>
      </c>
    </row>
    <row r="26">
      <c r="A26" s="32" t="inlineStr">
        <is>
          <t>Airport page</t>
        </is>
      </c>
      <c r="B26" s="32" t="inlineStr">
        <is>
          <t>Organic</t>
        </is>
      </c>
      <c r="C26" s="32" t="inlineStr">
        <is>
          <t>Total</t>
        </is>
      </c>
      <c r="D26" s="66" t="n">
        <v>20908</v>
      </c>
      <c r="E26" s="66" t="n">
        <v>19215</v>
      </c>
      <c r="F26" s="67">
        <f>IF(OR(E26="",D26="",D26=0,E26=0),"",E26-D26)</f>
        <v/>
      </c>
      <c r="G26" s="34">
        <f>IF(OR(E26="",D26="",D26=0,E26=0),"",E26/D26-1)</f>
        <v/>
      </c>
      <c r="H26" s="66" t="n">
        <v>14624</v>
      </c>
      <c r="I26" s="66" t="n">
        <v>13489</v>
      </c>
      <c r="J26" s="67">
        <f>IF(OR(I26="",H26="",H26=0,I26=0),"",I26-H26)</f>
        <v/>
      </c>
      <c r="K26" s="34">
        <f>IF(OR(I26="",H26="",H26=0,I26=0),"",I26/H26-1)</f>
        <v/>
      </c>
      <c r="L26" s="35">
        <f>IF(OR(H26="",D26="",D26=0),"",H26/D26)</f>
        <v/>
      </c>
      <c r="M26" s="35">
        <f>IF(OR(I26="",E26="",E26=0),"",I26/E26)</f>
        <v/>
      </c>
      <c r="N26" s="36">
        <f>IF(OR(M26="",L26=""),"",(M26-L26)*100)</f>
        <v/>
      </c>
      <c r="O26" s="66" t="n">
        <v>12650</v>
      </c>
      <c r="P26" s="66" t="n">
        <v>11102</v>
      </c>
      <c r="Q26" s="67">
        <f>IF(OR(P26="",O26="",O26=0,P26=0),"",P26-O26)</f>
        <v/>
      </c>
      <c r="R26" s="34">
        <f>IF(OR(P26="",O26="",O26=0,P26=0),"",P26/O26-1)</f>
        <v/>
      </c>
      <c r="S26" s="35">
        <f>IF(OR(O26="",D26="",D26=0),"",O26/D26)</f>
        <v/>
      </c>
      <c r="T26" s="35">
        <f>IF(OR(P26="",E26="",E26=0),"",P26/E26)</f>
        <v/>
      </c>
      <c r="U26" s="36">
        <f>IF(OR(T26="",S26=""),"",(T26-S26)*100)</f>
        <v/>
      </c>
      <c r="V26" s="66" t="n">
        <v>3400</v>
      </c>
      <c r="W26" s="66" t="n">
        <v>2713</v>
      </c>
      <c r="X26" s="67">
        <f>IF(OR(W26="",V26="",V26=0,W26=0),"",W26-V26)</f>
        <v/>
      </c>
      <c r="Y26" s="34">
        <f>IF(OR(W26="",V26="",V26=0,W26=0),"",W26/V26-1)</f>
        <v/>
      </c>
      <c r="Z26" s="35">
        <f>IF(OR(V26="",O26="",O26=0),"",V26/O26)</f>
        <v/>
      </c>
      <c r="AA26" s="35">
        <f>IF(OR(W26="",P26="",P26=0),"",W26/P26)</f>
        <v/>
      </c>
      <c r="AB26" s="36">
        <f>IF(OR(AA26="",Z26=""),"",(AA26-Z26)*100)</f>
        <v/>
      </c>
      <c r="AC26" s="66" t="n">
        <v>2604</v>
      </c>
      <c r="AD26" s="66" t="n">
        <v>1987</v>
      </c>
      <c r="AE26" s="67">
        <f>IF(OR(AD26="",AC26="",AC26=0,AD26=0),"",AD26-AC26)</f>
        <v/>
      </c>
      <c r="AF26" s="34">
        <f>IF(OR(AD26="",AC26="",AC26=0,AD26=0),"",AD26/AC26-1)</f>
        <v/>
      </c>
      <c r="AG26" s="35">
        <f>IF(OR(AC26="",V26="",V26=0),"",AC26/V26)</f>
        <v/>
      </c>
      <c r="AH26" s="35">
        <f>IF(OR(AD26="",W26="",W26=0),"",AD26/W26)</f>
        <v/>
      </c>
      <c r="AI26" s="36">
        <f>IF(OR(AH26="",AG26=""),"",(AH26-AG26)*100)</f>
        <v/>
      </c>
      <c r="AJ26" s="66" t="n">
        <v>949</v>
      </c>
      <c r="AK26" s="66" t="n">
        <v>650</v>
      </c>
      <c r="AL26" s="67">
        <f>IF(OR(AK26="",AJ26="",AJ26=0,AK26=0),"",AK26-AJ26)</f>
        <v/>
      </c>
      <c r="AM26" s="34">
        <f>IF(OR(AK26="",AJ26="",AJ26=0,AK26=0),"",AK26/AJ26-1)</f>
        <v/>
      </c>
      <c r="AN26" s="35">
        <f>IF(OR(AJ26="",AC26="",AC26=0),"",AJ26/AC26)</f>
        <v/>
      </c>
      <c r="AO26" s="35">
        <f>IF(OR(AK26="",AD26="",AD26=0),"",AK26/AD26)</f>
        <v/>
      </c>
      <c r="AP26" s="36">
        <f>IF(OR(AO26="",AN26=""),"",(AO26-AN26)*100)</f>
        <v/>
      </c>
      <c r="AQ26" s="66" t="n">
        <v>766</v>
      </c>
      <c r="AR26" s="66" t="n">
        <v>484</v>
      </c>
      <c r="AS26" s="67">
        <f>IF(OR(AR26="",AQ26="",AQ26=0,AR26=0),"",AR26-AQ26)</f>
        <v/>
      </c>
      <c r="AT26" s="34">
        <f>IF(OR(AR26="",AQ26="",AQ26=0,AR26=0),"",AR26/AQ26-1)</f>
        <v/>
      </c>
      <c r="AU26" s="35">
        <f>IF(OR(AQ26="",AJ26="",AJ26=0),"",AQ26/AJ26)</f>
        <v/>
      </c>
      <c r="AV26" s="35">
        <f>IF(OR(AR26="",AK26="",AK26=0),"",AR26/AK26)</f>
        <v/>
      </c>
      <c r="AW26" s="36">
        <f>IF(OR(AV26="",AU26=""),"",(AV26-AU26)*100)</f>
        <v/>
      </c>
      <c r="AX26" s="37">
        <f>IF(OR(AQ26="",O26="",O26=0),"",AQ26/O26)</f>
        <v/>
      </c>
      <c r="AY26" s="37">
        <f>IF(OR(AR26="",P26="",P26=0),"",AR26/P26)</f>
        <v/>
      </c>
      <c r="AZ26" s="36">
        <f>IF(OR(AY26="",AX26=""),"",(AY26-AX26)*100)</f>
        <v/>
      </c>
      <c r="BA26" s="37">
        <f>IF(OR(AQ26="",D26="",D26=0),"",AQ26/D26)</f>
        <v/>
      </c>
      <c r="BB26" s="37">
        <f>IF(OR(AR26="",E26="",E26=0),"",AR26/E26)</f>
        <v/>
      </c>
      <c r="BC26" s="36">
        <f>IF(OR(BB26="",BA26=""),"",(BB26-BA26)*100)</f>
        <v/>
      </c>
    </row>
    <row r="27">
      <c r="A27" s="40" t="inlineStr">
        <is>
          <t>Airport page</t>
        </is>
      </c>
      <c r="B27" s="40" t="inlineStr">
        <is>
          <t>Organic</t>
        </is>
      </c>
      <c r="C27" s="40" t="inlineStr">
        <is>
          <t>Mobile</t>
        </is>
      </c>
      <c r="D27" s="68" t="n">
        <v>13563</v>
      </c>
      <c r="E27" s="68" t="n">
        <v>12913</v>
      </c>
      <c r="F27" s="69">
        <f>IF(OR(E27="",D27="",D27=0,E27=0),"",E27-D27)</f>
        <v/>
      </c>
      <c r="G27" s="42">
        <f>IF(OR(E27="",D27="",D27=0,E27=0),"",E27/D27-1)</f>
        <v/>
      </c>
      <c r="H27" s="68" t="n">
        <v>9625</v>
      </c>
      <c r="I27" s="68" t="n">
        <v>9180</v>
      </c>
      <c r="J27" s="69">
        <f>IF(OR(I27="",H27="",H27=0,I27=0),"",I27-H27)</f>
        <v/>
      </c>
      <c r="K27" s="42">
        <f>IF(OR(I27="",H27="",H27=0,I27=0),"",I27/H27-1)</f>
        <v/>
      </c>
      <c r="L27" s="43">
        <f>IF(OR(H27="",D27="",D27=0),"",H27/D27)</f>
        <v/>
      </c>
      <c r="M27" s="43">
        <f>IF(OR(I27="",E27="",E27=0),"",I27/E27)</f>
        <v/>
      </c>
      <c r="N27" s="44">
        <f>IF(OR(M27="",L27=""),"",(M27-L27)*100)</f>
        <v/>
      </c>
      <c r="O27" s="68" t="n">
        <v>7936</v>
      </c>
      <c r="P27" s="68" t="n">
        <v>7894</v>
      </c>
      <c r="Q27" s="69">
        <f>IF(OR(P27="",O27="",O27=0,P27=0),"",P27-O27)</f>
        <v/>
      </c>
      <c r="R27" s="42">
        <f>IF(OR(P27="",O27="",O27=0,P27=0),"",P27/O27-1)</f>
        <v/>
      </c>
      <c r="S27" s="43">
        <f>IF(OR(O27="",D27="",D27=0),"",O27/D27)</f>
        <v/>
      </c>
      <c r="T27" s="43">
        <f>IF(OR(P27="",E27="",E27=0),"",P27/E27)</f>
        <v/>
      </c>
      <c r="U27" s="44">
        <f>IF(OR(T27="",S27=""),"",(T27-S27)*100)</f>
        <v/>
      </c>
      <c r="V27" s="68" t="n">
        <v>2022</v>
      </c>
      <c r="W27" s="68" t="n">
        <v>1900</v>
      </c>
      <c r="X27" s="69">
        <f>IF(OR(W27="",V27="",V27=0,W27=0),"",W27-V27)</f>
        <v/>
      </c>
      <c r="Y27" s="42">
        <f>IF(OR(W27="",V27="",V27=0,W27=0),"",W27/V27-1)</f>
        <v/>
      </c>
      <c r="Z27" s="43">
        <f>IF(OR(V27="",O27="",O27=0),"",V27/O27)</f>
        <v/>
      </c>
      <c r="AA27" s="43">
        <f>IF(OR(W27="",P27="",P27=0),"",W27/P27)</f>
        <v/>
      </c>
      <c r="AB27" s="44">
        <f>IF(OR(AA27="",Z27=""),"",(AA27-Z27)*100)</f>
        <v/>
      </c>
      <c r="AC27" s="68" t="n">
        <v>1483</v>
      </c>
      <c r="AD27" s="68" t="n">
        <v>1368</v>
      </c>
      <c r="AE27" s="69">
        <f>IF(OR(AD27="",AC27="",AC27=0,AD27=0),"",AD27-AC27)</f>
        <v/>
      </c>
      <c r="AF27" s="42">
        <f>IF(OR(AD27="",AC27="",AC27=0,AD27=0),"",AD27/AC27-1)</f>
        <v/>
      </c>
      <c r="AG27" s="43">
        <f>IF(OR(AC27="",V27="",V27=0),"",AC27/V27)</f>
        <v/>
      </c>
      <c r="AH27" s="43">
        <f>IF(OR(AD27="",W27="",W27=0),"",AD27/W27)</f>
        <v/>
      </c>
      <c r="AI27" s="44">
        <f>IF(OR(AH27="",AG27=""),"",(AH27-AG27)*100)</f>
        <v/>
      </c>
      <c r="AJ27" s="68" t="n">
        <v>479</v>
      </c>
      <c r="AK27" s="68" t="n">
        <v>414</v>
      </c>
      <c r="AL27" s="69">
        <f>IF(OR(AK27="",AJ27="",AJ27=0,AK27=0),"",AK27-AJ27)</f>
        <v/>
      </c>
      <c r="AM27" s="42">
        <f>IF(OR(AK27="",AJ27="",AJ27=0,AK27=0),"",AK27/AJ27-1)</f>
        <v/>
      </c>
      <c r="AN27" s="43">
        <f>IF(OR(AJ27="",AC27="",AC27=0),"",AJ27/AC27)</f>
        <v/>
      </c>
      <c r="AO27" s="43">
        <f>IF(OR(AK27="",AD27="",AD27=0),"",AK27/AD27)</f>
        <v/>
      </c>
      <c r="AP27" s="44">
        <f>IF(OR(AO27="",AN27=""),"",(AO27-AN27)*100)</f>
        <v/>
      </c>
      <c r="AQ27" s="68" t="n">
        <v>363</v>
      </c>
      <c r="AR27" s="68" t="n">
        <v>306</v>
      </c>
      <c r="AS27" s="69">
        <f>IF(OR(AR27="",AQ27="",AQ27=0,AR27=0),"",AR27-AQ27)</f>
        <v/>
      </c>
      <c r="AT27" s="42">
        <f>IF(OR(AR27="",AQ27="",AQ27=0,AR27=0),"",AR27/AQ27-1)</f>
        <v/>
      </c>
      <c r="AU27" s="43">
        <f>IF(OR(AQ27="",AJ27="",AJ27=0),"",AQ27/AJ27)</f>
        <v/>
      </c>
      <c r="AV27" s="43">
        <f>IF(OR(AR27="",AK27="",AK27=0),"",AR27/AK27)</f>
        <v/>
      </c>
      <c r="AW27" s="44">
        <f>IF(OR(AV27="",AU27=""),"",(AV27-AU27)*100)</f>
        <v/>
      </c>
      <c r="AX27" s="45">
        <f>IF(OR(AQ27="",O27="",O27=0),"",AQ27/O27)</f>
        <v/>
      </c>
      <c r="AY27" s="45">
        <f>IF(OR(AR27="",P27="",P27=0),"",AR27/P27)</f>
        <v/>
      </c>
      <c r="AZ27" s="44">
        <f>IF(OR(AY27="",AX27=""),"",(AY27-AX27)*100)</f>
        <v/>
      </c>
      <c r="BA27" s="45">
        <f>IF(OR(AQ27="",D27="",D27=0),"",AQ27/D27)</f>
        <v/>
      </c>
      <c r="BB27" s="45">
        <f>IF(OR(AR27="",E27="",E27=0),"",AR27/E27)</f>
        <v/>
      </c>
      <c r="BC27" s="44">
        <f>IF(OR(BB27="",BA27=""),"",(BB27-BA27)*100)</f>
        <v/>
      </c>
    </row>
    <row r="28">
      <c r="A28" s="40" t="inlineStr">
        <is>
          <t>Airport page</t>
        </is>
      </c>
      <c r="B28" s="40" t="inlineStr">
        <is>
          <t>Organic</t>
        </is>
      </c>
      <c r="C28" s="40" t="inlineStr">
        <is>
          <t>Desktop</t>
        </is>
      </c>
      <c r="D28" s="68" t="n">
        <v>7202</v>
      </c>
      <c r="E28" s="68" t="n">
        <v>6048</v>
      </c>
      <c r="F28" s="69">
        <f>IF(OR(E28="",D28="",D28=0,E28=0),"",E28-D28)</f>
        <v/>
      </c>
      <c r="G28" s="42">
        <f>IF(OR(E28="",D28="",D28=0,E28=0),"",E28/D28-1)</f>
        <v/>
      </c>
      <c r="H28" s="68" t="n">
        <v>4869</v>
      </c>
      <c r="I28" s="68" t="n">
        <v>4080</v>
      </c>
      <c r="J28" s="69">
        <f>IF(OR(I28="",H28="",H28=0,I28=0),"",I28-H28)</f>
        <v/>
      </c>
      <c r="K28" s="42">
        <f>IF(OR(I28="",H28="",H28=0,I28=0),"",I28/H28-1)</f>
        <v/>
      </c>
      <c r="L28" s="43">
        <f>IF(OR(H28="",D28="",D28=0),"",H28/D28)</f>
        <v/>
      </c>
      <c r="M28" s="43">
        <f>IF(OR(I28="",E28="",E28=0),"",I28/E28)</f>
        <v/>
      </c>
      <c r="N28" s="44">
        <f>IF(OR(M28="",L28=""),"",(M28-L28)*100)</f>
        <v/>
      </c>
      <c r="O28" s="68" t="n">
        <v>4515</v>
      </c>
      <c r="P28" s="68" t="n">
        <v>3139</v>
      </c>
      <c r="Q28" s="69">
        <f>IF(OR(P28="",O28="",O28=0,P28=0),"",P28-O28)</f>
        <v/>
      </c>
      <c r="R28" s="42">
        <f>IF(OR(P28="",O28="",O28=0,P28=0),"",P28/O28-1)</f>
        <v/>
      </c>
      <c r="S28" s="43">
        <f>IF(OR(O28="",D28="",D28=0),"",O28/D28)</f>
        <v/>
      </c>
      <c r="T28" s="43">
        <f>IF(OR(P28="",E28="",E28=0),"",P28/E28)</f>
        <v/>
      </c>
      <c r="U28" s="44">
        <f>IF(OR(T28="",S28=""),"",(T28-S28)*100)</f>
        <v/>
      </c>
      <c r="V28" s="68" t="n">
        <v>1286</v>
      </c>
      <c r="W28" s="68" t="n">
        <v>771</v>
      </c>
      <c r="X28" s="69">
        <f>IF(OR(W28="",V28="",V28=0,W28=0),"",W28-V28)</f>
        <v/>
      </c>
      <c r="Y28" s="42">
        <f>IF(OR(W28="",V28="",V28=0,W28=0),"",W28/V28-1)</f>
        <v/>
      </c>
      <c r="Z28" s="43">
        <f>IF(OR(V28="",O28="",O28=0),"",V28/O28)</f>
        <v/>
      </c>
      <c r="AA28" s="43">
        <f>IF(OR(W28="",P28="",P28=0),"",W28/P28)</f>
        <v/>
      </c>
      <c r="AB28" s="44">
        <f>IF(OR(AA28="",Z28=""),"",(AA28-Z28)*100)</f>
        <v/>
      </c>
      <c r="AC28" s="68" t="n">
        <v>1069</v>
      </c>
      <c r="AD28" s="68" t="n">
        <v>591</v>
      </c>
      <c r="AE28" s="69">
        <f>IF(OR(AD28="",AC28="",AC28=0,AD28=0),"",AD28-AC28)</f>
        <v/>
      </c>
      <c r="AF28" s="42">
        <f>IF(OR(AD28="",AC28="",AC28=0,AD28=0),"",AD28/AC28-1)</f>
        <v/>
      </c>
      <c r="AG28" s="43">
        <f>IF(OR(AC28="",V28="",V28=0),"",AC28/V28)</f>
        <v/>
      </c>
      <c r="AH28" s="43">
        <f>IF(OR(AD28="",W28="",W28=0),"",AD28/W28)</f>
        <v/>
      </c>
      <c r="AI28" s="44">
        <f>IF(OR(AH28="",AG28=""),"",(AH28-AG28)*100)</f>
        <v/>
      </c>
      <c r="AJ28" s="68" t="n">
        <v>461</v>
      </c>
      <c r="AK28" s="68" t="n">
        <v>233</v>
      </c>
      <c r="AL28" s="69">
        <f>IF(OR(AK28="",AJ28="",AJ28=0,AK28=0),"",AK28-AJ28)</f>
        <v/>
      </c>
      <c r="AM28" s="42">
        <f>IF(OR(AK28="",AJ28="",AJ28=0,AK28=0),"",AK28/AJ28-1)</f>
        <v/>
      </c>
      <c r="AN28" s="43">
        <f>IF(OR(AJ28="",AC28="",AC28=0),"",AJ28/AC28)</f>
        <v/>
      </c>
      <c r="AO28" s="43">
        <f>IF(OR(AK28="",AD28="",AD28=0),"",AK28/AD28)</f>
        <v/>
      </c>
      <c r="AP28" s="44">
        <f>IF(OR(AO28="",AN28=""),"",(AO28-AN28)*100)</f>
        <v/>
      </c>
      <c r="AQ28" s="68" t="n">
        <v>397</v>
      </c>
      <c r="AR28" s="68" t="n">
        <v>174</v>
      </c>
      <c r="AS28" s="69">
        <f>IF(OR(AR28="",AQ28="",AQ28=0,AR28=0),"",AR28-AQ28)</f>
        <v/>
      </c>
      <c r="AT28" s="42">
        <f>IF(OR(AR28="",AQ28="",AQ28=0,AR28=0),"",AR28/AQ28-1)</f>
        <v/>
      </c>
      <c r="AU28" s="43">
        <f>IF(OR(AQ28="",AJ28="",AJ28=0),"",AQ28/AJ28)</f>
        <v/>
      </c>
      <c r="AV28" s="43">
        <f>IF(OR(AR28="",AK28="",AK28=0),"",AR28/AK28)</f>
        <v/>
      </c>
      <c r="AW28" s="44">
        <f>IF(OR(AV28="",AU28=""),"",(AV28-AU28)*100)</f>
        <v/>
      </c>
      <c r="AX28" s="45">
        <f>IF(OR(AQ28="",O28="",O28=0),"",AQ28/O28)</f>
        <v/>
      </c>
      <c r="AY28" s="45">
        <f>IF(OR(AR28="",P28="",P28=0),"",AR28/P28)</f>
        <v/>
      </c>
      <c r="AZ28" s="44">
        <f>IF(OR(AY28="",AX28=""),"",(AY28-AX28)*100)</f>
        <v/>
      </c>
      <c r="BA28" s="45">
        <f>IF(OR(AQ28="",D28="",D28=0),"",AQ28/D28)</f>
        <v/>
      </c>
      <c r="BB28" s="45">
        <f>IF(OR(AR28="",E28="",E28=0),"",AR28/E28)</f>
        <v/>
      </c>
      <c r="BC28" s="44">
        <f>IF(OR(BB28="",BA28=""),"",(BB28-BA28)*100)</f>
        <v/>
      </c>
    </row>
    <row r="29">
      <c r="A29" s="32" t="inlineStr">
        <is>
          <t>Airport page</t>
        </is>
      </c>
      <c r="B29" s="32" t="inlineStr">
        <is>
          <t>Direct</t>
        </is>
      </c>
      <c r="C29" s="32" t="inlineStr">
        <is>
          <t>Total</t>
        </is>
      </c>
      <c r="D29" s="66" t="n">
        <v>3301</v>
      </c>
      <c r="E29" s="66" t="n">
        <v>6804</v>
      </c>
      <c r="F29" s="67">
        <f>IF(OR(E29="",D29="",D29=0,E29=0),"",E29-D29)</f>
        <v/>
      </c>
      <c r="G29" s="34">
        <f>IF(OR(E29="",D29="",D29=0,E29=0),"",E29/D29-1)</f>
        <v/>
      </c>
      <c r="H29" s="66" t="n">
        <v>1418</v>
      </c>
      <c r="I29" s="66" t="n">
        <v>3176</v>
      </c>
      <c r="J29" s="67">
        <f>IF(OR(I29="",H29="",H29=0,I29=0),"",I29-H29)</f>
        <v/>
      </c>
      <c r="K29" s="34">
        <f>IF(OR(I29="",H29="",H29=0,I29=0),"",I29/H29-1)</f>
        <v/>
      </c>
      <c r="L29" s="35">
        <f>IF(OR(H29="",D29="",D29=0),"",H29/D29)</f>
        <v/>
      </c>
      <c r="M29" s="35">
        <f>IF(OR(I29="",E29="",E29=0),"",I29/E29)</f>
        <v/>
      </c>
      <c r="N29" s="36">
        <f>IF(OR(M29="",L29=""),"",(M29-L29)*100)</f>
        <v/>
      </c>
      <c r="O29" s="66" t="n">
        <v>1349</v>
      </c>
      <c r="P29" s="66" t="n">
        <v>3329</v>
      </c>
      <c r="Q29" s="67">
        <f>IF(OR(P29="",O29="",O29=0,P29=0),"",P29-O29)</f>
        <v/>
      </c>
      <c r="R29" s="34">
        <f>IF(OR(P29="",O29="",O29=0,P29=0),"",P29/O29-1)</f>
        <v/>
      </c>
      <c r="S29" s="35">
        <f>IF(OR(O29="",D29="",D29=0),"",O29/D29)</f>
        <v/>
      </c>
      <c r="T29" s="35">
        <f>IF(OR(P29="",E29="",E29=0),"",P29/E29)</f>
        <v/>
      </c>
      <c r="U29" s="36">
        <f>IF(OR(T29="",S29=""),"",(T29-S29)*100)</f>
        <v/>
      </c>
      <c r="V29" s="66" t="n">
        <v>480</v>
      </c>
      <c r="W29" s="66" t="n">
        <v>880</v>
      </c>
      <c r="X29" s="67">
        <f>IF(OR(W29="",V29="",V29=0,W29=0),"",W29-V29)</f>
        <v/>
      </c>
      <c r="Y29" s="34">
        <f>IF(OR(W29="",V29="",V29=0,W29=0),"",W29/V29-1)</f>
        <v/>
      </c>
      <c r="Z29" s="35">
        <f>IF(OR(V29="",O29="",O29=0),"",V29/O29)</f>
        <v/>
      </c>
      <c r="AA29" s="35">
        <f>IF(OR(W29="",P29="",P29=0),"",W29/P29)</f>
        <v/>
      </c>
      <c r="AB29" s="36">
        <f>IF(OR(AA29="",Z29=""),"",(AA29-Z29)*100)</f>
        <v/>
      </c>
      <c r="AC29" s="66" t="n">
        <v>403</v>
      </c>
      <c r="AD29" s="66" t="n">
        <v>681</v>
      </c>
      <c r="AE29" s="67">
        <f>IF(OR(AD29="",AC29="",AC29=0,AD29=0),"",AD29-AC29)</f>
        <v/>
      </c>
      <c r="AF29" s="34">
        <f>IF(OR(AD29="",AC29="",AC29=0,AD29=0),"",AD29/AC29-1)</f>
        <v/>
      </c>
      <c r="AG29" s="35">
        <f>IF(OR(AC29="",V29="",V29=0),"",AC29/V29)</f>
        <v/>
      </c>
      <c r="AH29" s="35">
        <f>IF(OR(AD29="",W29="",W29=0),"",AD29/W29)</f>
        <v/>
      </c>
      <c r="AI29" s="36">
        <f>IF(OR(AH29="",AG29=""),"",(AH29-AG29)*100)</f>
        <v/>
      </c>
      <c r="AJ29" s="66" t="n">
        <v>208</v>
      </c>
      <c r="AK29" s="66" t="n">
        <v>230</v>
      </c>
      <c r="AL29" s="67">
        <f>IF(OR(AK29="",AJ29="",AJ29=0,AK29=0),"",AK29-AJ29)</f>
        <v/>
      </c>
      <c r="AM29" s="34">
        <f>IF(OR(AK29="",AJ29="",AJ29=0,AK29=0),"",AK29/AJ29-1)</f>
        <v/>
      </c>
      <c r="AN29" s="35">
        <f>IF(OR(AJ29="",AC29="",AC29=0),"",AJ29/AC29)</f>
        <v/>
      </c>
      <c r="AO29" s="35">
        <f>IF(OR(AK29="",AD29="",AD29=0),"",AK29/AD29)</f>
        <v/>
      </c>
      <c r="AP29" s="36">
        <f>IF(OR(AO29="",AN29=""),"",(AO29-AN29)*100)</f>
        <v/>
      </c>
      <c r="AQ29" s="66" t="n">
        <v>164</v>
      </c>
      <c r="AR29" s="66" t="n">
        <v>222</v>
      </c>
      <c r="AS29" s="67">
        <f>IF(OR(AR29="",AQ29="",AQ29=0,AR29=0),"",AR29-AQ29)</f>
        <v/>
      </c>
      <c r="AT29" s="34">
        <f>IF(OR(AR29="",AQ29="",AQ29=0,AR29=0),"",AR29/AQ29-1)</f>
        <v/>
      </c>
      <c r="AU29" s="35">
        <f>IF(OR(AQ29="",AJ29="",AJ29=0),"",AQ29/AJ29)</f>
        <v/>
      </c>
      <c r="AV29" s="35">
        <f>IF(OR(AR29="",AK29="",AK29=0),"",AR29/AK29)</f>
        <v/>
      </c>
      <c r="AW29" s="36">
        <f>IF(OR(AV29="",AU29=""),"",(AV29-AU29)*100)</f>
        <v/>
      </c>
      <c r="AX29" s="37">
        <f>IF(OR(AQ29="",O29="",O29=0),"",AQ29/O29)</f>
        <v/>
      </c>
      <c r="AY29" s="37">
        <f>IF(OR(AR29="",P29="",P29=0),"",AR29/P29)</f>
        <v/>
      </c>
      <c r="AZ29" s="36">
        <f>IF(OR(AY29="",AX29=""),"",(AY29-AX29)*100)</f>
        <v/>
      </c>
      <c r="BA29" s="37">
        <f>IF(OR(AQ29="",D29="",D29=0),"",AQ29/D29)</f>
        <v/>
      </c>
      <c r="BB29" s="37">
        <f>IF(OR(AR29="",E29="",E29=0),"",AR29/E29)</f>
        <v/>
      </c>
      <c r="BC29" s="36">
        <f>IF(OR(BB29="",BA29=""),"",(BB29-BA29)*100)</f>
        <v/>
      </c>
    </row>
    <row r="30">
      <c r="A30" s="40" t="inlineStr">
        <is>
          <t>Airport page</t>
        </is>
      </c>
      <c r="B30" s="40" t="inlineStr">
        <is>
          <t>Direct</t>
        </is>
      </c>
      <c r="C30" s="40" t="inlineStr">
        <is>
          <t>Mobile</t>
        </is>
      </c>
      <c r="D30" s="68" t="n">
        <v>1869</v>
      </c>
      <c r="E30" s="68" t="n">
        <v>2246</v>
      </c>
      <c r="F30" s="69">
        <f>IF(OR(E30="",D30="",D30=0,E30=0),"",E30-D30)</f>
        <v/>
      </c>
      <c r="G30" s="42">
        <f>IF(OR(E30="",D30="",D30=0,E30=0),"",E30/D30-1)</f>
        <v/>
      </c>
      <c r="H30" s="68" t="n">
        <v>988</v>
      </c>
      <c r="I30" s="68" t="n">
        <v>1025</v>
      </c>
      <c r="J30" s="69">
        <f>IF(OR(I30="",H30="",H30=0,I30=0),"",I30-H30)</f>
        <v/>
      </c>
      <c r="K30" s="42">
        <f>IF(OR(I30="",H30="",H30=0,I30=0),"",I30/H30-1)</f>
        <v/>
      </c>
      <c r="L30" s="43">
        <f>IF(OR(H30="",D30="",D30=0),"",H30/D30)</f>
        <v/>
      </c>
      <c r="M30" s="43">
        <f>IF(OR(I30="",E30="",E30=0),"",I30/E30)</f>
        <v/>
      </c>
      <c r="N30" s="44">
        <f>IF(OR(M30="",L30=""),"",(M30-L30)*100)</f>
        <v/>
      </c>
      <c r="O30" s="68" t="n">
        <v>900</v>
      </c>
      <c r="P30" s="68" t="n">
        <v>1024</v>
      </c>
      <c r="Q30" s="69">
        <f>IF(OR(P30="",O30="",O30=0,P30=0),"",P30-O30)</f>
        <v/>
      </c>
      <c r="R30" s="42">
        <f>IF(OR(P30="",O30="",O30=0,P30=0),"",P30/O30-1)</f>
        <v/>
      </c>
      <c r="S30" s="43">
        <f>IF(OR(O30="",D30="",D30=0),"",O30/D30)</f>
        <v/>
      </c>
      <c r="T30" s="43">
        <f>IF(OR(P30="",E30="",E30=0),"",P30/E30)</f>
        <v/>
      </c>
      <c r="U30" s="44">
        <f>IF(OR(T30="",S30=""),"",(T30-S30)*100)</f>
        <v/>
      </c>
      <c r="V30" s="68" t="n">
        <v>294</v>
      </c>
      <c r="W30" s="68" t="n">
        <v>271</v>
      </c>
      <c r="X30" s="69">
        <f>IF(OR(W30="",V30="",V30=0,W30=0),"",W30-V30)</f>
        <v/>
      </c>
      <c r="Y30" s="42">
        <f>IF(OR(W30="",V30="",V30=0,W30=0),"",W30/V30-1)</f>
        <v/>
      </c>
      <c r="Z30" s="43">
        <f>IF(OR(V30="",O30="",O30=0),"",V30/O30)</f>
        <v/>
      </c>
      <c r="AA30" s="43">
        <f>IF(OR(W30="",P30="",P30=0),"",W30/P30)</f>
        <v/>
      </c>
      <c r="AB30" s="44">
        <f>IF(OR(AA30="",Z30=""),"",(AA30-Z30)*100)</f>
        <v/>
      </c>
      <c r="AC30" s="68" t="n">
        <v>244</v>
      </c>
      <c r="AD30" s="68" t="n">
        <v>211</v>
      </c>
      <c r="AE30" s="69">
        <f>IF(OR(AD30="",AC30="",AC30=0,AD30=0),"",AD30-AC30)</f>
        <v/>
      </c>
      <c r="AF30" s="42">
        <f>IF(OR(AD30="",AC30="",AC30=0,AD30=0),"",AD30/AC30-1)</f>
        <v/>
      </c>
      <c r="AG30" s="43">
        <f>IF(OR(AC30="",V30="",V30=0),"",AC30/V30)</f>
        <v/>
      </c>
      <c r="AH30" s="43">
        <f>IF(OR(AD30="",W30="",W30=0),"",AD30/W30)</f>
        <v/>
      </c>
      <c r="AI30" s="44">
        <f>IF(OR(AH30="",AG30=""),"",(AH30-AG30)*100)</f>
        <v/>
      </c>
      <c r="AJ30" s="68" t="n">
        <v>120</v>
      </c>
      <c r="AK30" s="68" t="n">
        <v>75</v>
      </c>
      <c r="AL30" s="69">
        <f>IF(OR(AK30="",AJ30="",AJ30=0,AK30=0),"",AK30-AJ30)</f>
        <v/>
      </c>
      <c r="AM30" s="42">
        <f>IF(OR(AK30="",AJ30="",AJ30=0,AK30=0),"",AK30/AJ30-1)</f>
        <v/>
      </c>
      <c r="AN30" s="43">
        <f>IF(OR(AJ30="",AC30="",AC30=0),"",AJ30/AC30)</f>
        <v/>
      </c>
      <c r="AO30" s="43">
        <f>IF(OR(AK30="",AD30="",AD30=0),"",AK30/AD30)</f>
        <v/>
      </c>
      <c r="AP30" s="44">
        <f>IF(OR(AO30="",AN30=""),"",(AO30-AN30)*100)</f>
        <v/>
      </c>
      <c r="AQ30" s="68" t="n">
        <v>91</v>
      </c>
      <c r="AR30" s="68" t="n">
        <v>78</v>
      </c>
      <c r="AS30" s="69">
        <f>IF(OR(AR30="",AQ30="",AQ30=0,AR30=0),"",AR30-AQ30)</f>
        <v/>
      </c>
      <c r="AT30" s="42">
        <f>IF(OR(AR30="",AQ30="",AQ30=0,AR30=0),"",AR30/AQ30-1)</f>
        <v/>
      </c>
      <c r="AU30" s="43">
        <f>IF(OR(AQ30="",AJ30="",AJ30=0),"",AQ30/AJ30)</f>
        <v/>
      </c>
      <c r="AV30" s="43">
        <f>IF(OR(AR30="",AK30="",AK30=0),"",AR30/AK30)</f>
        <v/>
      </c>
      <c r="AW30" s="44">
        <f>IF(OR(AV30="",AU30=""),"",(AV30-AU30)*100)</f>
        <v/>
      </c>
      <c r="AX30" s="45">
        <f>IF(OR(AQ30="",O30="",O30=0),"",AQ30/O30)</f>
        <v/>
      </c>
      <c r="AY30" s="45">
        <f>IF(OR(AR30="",P30="",P30=0),"",AR30/P30)</f>
        <v/>
      </c>
      <c r="AZ30" s="44">
        <f>IF(OR(AY30="",AX30=""),"",(AY30-AX30)*100)</f>
        <v/>
      </c>
      <c r="BA30" s="45">
        <f>IF(OR(AQ30="",D30="",D30=0),"",AQ30/D30)</f>
        <v/>
      </c>
      <c r="BB30" s="45">
        <f>IF(OR(AR30="",E30="",E30=0),"",AR30/E30)</f>
        <v/>
      </c>
      <c r="BC30" s="44">
        <f>IF(OR(BB30="",BA30=""),"",(BB30-BA30)*100)</f>
        <v/>
      </c>
    </row>
    <row r="31">
      <c r="A31" s="40" t="inlineStr">
        <is>
          <t>Airport page</t>
        </is>
      </c>
      <c r="B31" s="40" t="inlineStr">
        <is>
          <t>Direct</t>
        </is>
      </c>
      <c r="C31" s="40" t="inlineStr">
        <is>
          <t>Desktop</t>
        </is>
      </c>
      <c r="D31" s="68" t="n">
        <v>1366</v>
      </c>
      <c r="E31" s="68" t="n">
        <v>4364</v>
      </c>
      <c r="F31" s="69">
        <f>IF(OR(E31="",D31="",D31=0,E31=0),"",E31-D31)</f>
        <v/>
      </c>
      <c r="G31" s="42">
        <f>IF(OR(E31="",D31="",D31=0,E31=0),"",E31/D31-1)</f>
        <v/>
      </c>
      <c r="H31" s="68" t="n">
        <v>416</v>
      </c>
      <c r="I31" s="68" t="n">
        <v>2082</v>
      </c>
      <c r="J31" s="69">
        <f>IF(OR(I31="",H31="",H31=0,I31=0),"",I31-H31)</f>
        <v/>
      </c>
      <c r="K31" s="42">
        <f>IF(OR(I31="",H31="",H31=0,I31=0),"",I31/H31-1)</f>
        <v/>
      </c>
      <c r="L31" s="43">
        <f>IF(OR(H31="",D31="",D31=0),"",H31/D31)</f>
        <v/>
      </c>
      <c r="M31" s="43">
        <f>IF(OR(I31="",E31="",E31=0),"",I31/E31)</f>
        <v/>
      </c>
      <c r="N31" s="44">
        <f>IF(OR(M31="",L31=""),"",(M31-L31)*100)</f>
        <v/>
      </c>
      <c r="O31" s="68" t="n">
        <v>437</v>
      </c>
      <c r="P31" s="68" t="n">
        <v>2174</v>
      </c>
      <c r="Q31" s="69">
        <f>IF(OR(P31="",O31="",O31=0,P31=0),"",P31-O31)</f>
        <v/>
      </c>
      <c r="R31" s="42">
        <f>IF(OR(P31="",O31="",O31=0,P31=0),"",P31/O31-1)</f>
        <v/>
      </c>
      <c r="S31" s="43">
        <f>IF(OR(O31="",D31="",D31=0),"",O31/D31)</f>
        <v/>
      </c>
      <c r="T31" s="43">
        <f>IF(OR(P31="",E31="",E31=0),"",P31/E31)</f>
        <v/>
      </c>
      <c r="U31" s="44">
        <f>IF(OR(T31="",S31=""),"",(T31-S31)*100)</f>
        <v/>
      </c>
      <c r="V31" s="68" t="n">
        <v>178</v>
      </c>
      <c r="W31" s="68" t="n">
        <v>590</v>
      </c>
      <c r="X31" s="69">
        <f>IF(OR(W31="",V31="",V31=0,W31=0),"",W31-V31)</f>
        <v/>
      </c>
      <c r="Y31" s="42">
        <f>IF(OR(W31="",V31="",V31=0,W31=0),"",W31/V31-1)</f>
        <v/>
      </c>
      <c r="Z31" s="43">
        <f>IF(OR(V31="",O31="",O31=0),"",V31/O31)</f>
        <v/>
      </c>
      <c r="AA31" s="43">
        <f>IF(OR(W31="",P31="",P31=0),"",W31/P31)</f>
        <v/>
      </c>
      <c r="AB31" s="44">
        <f>IF(OR(AA31="",Z31=""),"",(AA31-Z31)*100)</f>
        <v/>
      </c>
      <c r="AC31" s="68" t="n">
        <v>151</v>
      </c>
      <c r="AD31" s="68" t="n">
        <v>455</v>
      </c>
      <c r="AE31" s="69">
        <f>IF(OR(AD31="",AC31="",AC31=0,AD31=0),"",AD31-AC31)</f>
        <v/>
      </c>
      <c r="AF31" s="42">
        <f>IF(OR(AD31="",AC31="",AC31=0,AD31=0),"",AD31/AC31-1)</f>
        <v/>
      </c>
      <c r="AG31" s="43">
        <f>IF(OR(AC31="",V31="",V31=0),"",AC31/V31)</f>
        <v/>
      </c>
      <c r="AH31" s="43">
        <f>IF(OR(AD31="",W31="",W31=0),"",AD31/W31)</f>
        <v/>
      </c>
      <c r="AI31" s="44">
        <f>IF(OR(AH31="",AG31=""),"",(AH31-AG31)*100)</f>
        <v/>
      </c>
      <c r="AJ31" s="68" t="n">
        <v>85</v>
      </c>
      <c r="AK31" s="68" t="n">
        <v>149</v>
      </c>
      <c r="AL31" s="69">
        <f>IF(OR(AK31="",AJ31="",AJ31=0,AK31=0),"",AK31-AJ31)</f>
        <v/>
      </c>
      <c r="AM31" s="42">
        <f>IF(OR(AK31="",AJ31="",AJ31=0,AK31=0),"",AK31/AJ31-1)</f>
        <v/>
      </c>
      <c r="AN31" s="43">
        <f>IF(OR(AJ31="",AC31="",AC31=0),"",AJ31/AC31)</f>
        <v/>
      </c>
      <c r="AO31" s="43">
        <f>IF(OR(AK31="",AD31="",AD31=0),"",AK31/AD31)</f>
        <v/>
      </c>
      <c r="AP31" s="44">
        <f>IF(OR(AO31="",AN31=""),"",(AO31-AN31)*100)</f>
        <v/>
      </c>
      <c r="AQ31" s="68" t="n">
        <v>71</v>
      </c>
      <c r="AR31" s="68" t="n">
        <v>139</v>
      </c>
      <c r="AS31" s="69">
        <f>IF(OR(AR31="",AQ31="",AQ31=0,AR31=0),"",AR31-AQ31)</f>
        <v/>
      </c>
      <c r="AT31" s="42">
        <f>IF(OR(AR31="",AQ31="",AQ31=0,AR31=0),"",AR31/AQ31-1)</f>
        <v/>
      </c>
      <c r="AU31" s="43">
        <f>IF(OR(AQ31="",AJ31="",AJ31=0),"",AQ31/AJ31)</f>
        <v/>
      </c>
      <c r="AV31" s="43">
        <f>IF(OR(AR31="",AK31="",AK31=0),"",AR31/AK31)</f>
        <v/>
      </c>
      <c r="AW31" s="44">
        <f>IF(OR(AV31="",AU31=""),"",(AV31-AU31)*100)</f>
        <v/>
      </c>
      <c r="AX31" s="45">
        <f>IF(OR(AQ31="",O31="",O31=0),"",AQ31/O31)</f>
        <v/>
      </c>
      <c r="AY31" s="45">
        <f>IF(OR(AR31="",P31="",P31=0),"",AR31/P31)</f>
        <v/>
      </c>
      <c r="AZ31" s="44">
        <f>IF(OR(AY31="",AX31=""),"",(AY31-AX31)*100)</f>
        <v/>
      </c>
      <c r="BA31" s="45">
        <f>IF(OR(AQ31="",D31="",D31=0),"",AQ31/D31)</f>
        <v/>
      </c>
      <c r="BB31" s="45">
        <f>IF(OR(AR31="",E31="",E31=0),"",AR31/E31)</f>
        <v/>
      </c>
      <c r="BC31" s="44">
        <f>IF(OR(BB31="",BA31=""),"",(BB31-BA31)*100)</f>
        <v/>
      </c>
    </row>
    <row r="32">
      <c r="A32" s="32" t="inlineStr">
        <is>
          <t>Route page</t>
        </is>
      </c>
      <c r="B32" s="32" t="inlineStr">
        <is>
          <t>Paid Search</t>
        </is>
      </c>
      <c r="C32" s="32" t="inlineStr">
        <is>
          <t>Total</t>
        </is>
      </c>
      <c r="D32" s="66" t="n">
        <v>49203</v>
      </c>
      <c r="E32" s="66" t="n">
        <v>32572</v>
      </c>
      <c r="F32" s="67">
        <f>IF(OR(E32="",D32="",D32=0,E32=0),"",E32-D32)</f>
        <v/>
      </c>
      <c r="G32" s="34">
        <f>IF(OR(E32="",D32="",D32=0,E32=0),"",E32/D32-1)</f>
        <v/>
      </c>
      <c r="H32" s="66" t="n">
        <v>36584</v>
      </c>
      <c r="I32" s="66" t="n">
        <v>19600</v>
      </c>
      <c r="J32" s="67">
        <f>IF(OR(I32="",H32="",H32=0,I32=0),"",I32-H32)</f>
        <v/>
      </c>
      <c r="K32" s="34">
        <f>IF(OR(I32="",H32="",H32=0,I32=0),"",I32/H32-1)</f>
        <v/>
      </c>
      <c r="L32" s="35">
        <f>IF(OR(H32="",D32="",D32=0),"",H32/D32)</f>
        <v/>
      </c>
      <c r="M32" s="35">
        <f>IF(OR(I32="",E32="",E32=0),"",I32/E32)</f>
        <v/>
      </c>
      <c r="N32" s="36">
        <f>IF(OR(M32="",L32=""),"",(M32-L32)*100)</f>
        <v/>
      </c>
      <c r="O32" s="66" t="n">
        <v>32646</v>
      </c>
      <c r="P32" s="66" t="n">
        <v>19761</v>
      </c>
      <c r="Q32" s="67">
        <f>IF(OR(P32="",O32="",O32=0,P32=0),"",P32-O32)</f>
        <v/>
      </c>
      <c r="R32" s="34">
        <f>IF(OR(P32="",O32="",O32=0,P32=0),"",P32/O32-1)</f>
        <v/>
      </c>
      <c r="S32" s="35">
        <f>IF(OR(O32="",D32="",D32=0),"",O32/D32)</f>
        <v/>
      </c>
      <c r="T32" s="35">
        <f>IF(OR(P32="",E32="",E32=0),"",P32/E32)</f>
        <v/>
      </c>
      <c r="U32" s="36">
        <f>IF(OR(T32="",S32=""),"",(T32-S32)*100)</f>
        <v/>
      </c>
      <c r="V32" s="66" t="n">
        <v>6917</v>
      </c>
      <c r="W32" s="66" t="n">
        <v>3886</v>
      </c>
      <c r="X32" s="67">
        <f>IF(OR(W32="",V32="",V32=0,W32=0),"",W32-V32)</f>
        <v/>
      </c>
      <c r="Y32" s="34">
        <f>IF(OR(W32="",V32="",V32=0,W32=0),"",W32/V32-1)</f>
        <v/>
      </c>
      <c r="Z32" s="35">
        <f>IF(OR(V32="",O32="",O32=0),"",V32/O32)</f>
        <v/>
      </c>
      <c r="AA32" s="35">
        <f>IF(OR(W32="",P32="",P32=0),"",W32/P32)</f>
        <v/>
      </c>
      <c r="AB32" s="36">
        <f>IF(OR(AA32="",Z32=""),"",(AA32-Z32)*100)</f>
        <v/>
      </c>
      <c r="AC32" s="66" t="n">
        <v>5038</v>
      </c>
      <c r="AD32" s="66" t="n">
        <v>2789</v>
      </c>
      <c r="AE32" s="67">
        <f>IF(OR(AD32="",AC32="",AC32=0,AD32=0),"",AD32-AC32)</f>
        <v/>
      </c>
      <c r="AF32" s="34">
        <f>IF(OR(AD32="",AC32="",AC32=0,AD32=0),"",AD32/AC32-1)</f>
        <v/>
      </c>
      <c r="AG32" s="35">
        <f>IF(OR(AC32="",V32="",V32=0),"",AC32/V32)</f>
        <v/>
      </c>
      <c r="AH32" s="35">
        <f>IF(OR(AD32="",W32="",W32=0),"",AD32/W32)</f>
        <v/>
      </c>
      <c r="AI32" s="36">
        <f>IF(OR(AH32="",AG32=""),"",(AH32-AG32)*100)</f>
        <v/>
      </c>
      <c r="AJ32" s="66" t="n">
        <v>1367</v>
      </c>
      <c r="AK32" s="66" t="n">
        <v>828</v>
      </c>
      <c r="AL32" s="67">
        <f>IF(OR(AK32="",AJ32="",AJ32=0,AK32=0),"",AK32-AJ32)</f>
        <v/>
      </c>
      <c r="AM32" s="34">
        <f>IF(OR(AK32="",AJ32="",AJ32=0,AK32=0),"",AK32/AJ32-1)</f>
        <v/>
      </c>
      <c r="AN32" s="35">
        <f>IF(OR(AJ32="",AC32="",AC32=0),"",AJ32/AC32)</f>
        <v/>
      </c>
      <c r="AO32" s="35">
        <f>IF(OR(AK32="",AD32="",AD32=0),"",AK32/AD32)</f>
        <v/>
      </c>
      <c r="AP32" s="36">
        <f>IF(OR(AO32="",AN32=""),"",(AO32-AN32)*100)</f>
        <v/>
      </c>
      <c r="AQ32" s="66" t="n">
        <v>934</v>
      </c>
      <c r="AR32" s="66" t="n">
        <v>583</v>
      </c>
      <c r="AS32" s="67">
        <f>IF(OR(AR32="",AQ32="",AQ32=0,AR32=0),"",AR32-AQ32)</f>
        <v/>
      </c>
      <c r="AT32" s="34">
        <f>IF(OR(AR32="",AQ32="",AQ32=0,AR32=0),"",AR32/AQ32-1)</f>
        <v/>
      </c>
      <c r="AU32" s="35">
        <f>IF(OR(AQ32="",AJ32="",AJ32=0),"",AQ32/AJ32)</f>
        <v/>
      </c>
      <c r="AV32" s="35">
        <f>IF(OR(AR32="",AK32="",AK32=0),"",AR32/AK32)</f>
        <v/>
      </c>
      <c r="AW32" s="36">
        <f>IF(OR(AV32="",AU32=""),"",(AV32-AU32)*100)</f>
        <v/>
      </c>
      <c r="AX32" s="37">
        <f>IF(OR(AQ32="",O32="",O32=0),"",AQ32/O32)</f>
        <v/>
      </c>
      <c r="AY32" s="37">
        <f>IF(OR(AR32="",P32="",P32=0),"",AR32/P32)</f>
        <v/>
      </c>
      <c r="AZ32" s="36">
        <f>IF(OR(AY32="",AX32=""),"",(AY32-AX32)*100)</f>
        <v/>
      </c>
      <c r="BA32" s="37">
        <f>IF(OR(AQ32="",D32="",D32=0),"",AQ32/D32)</f>
        <v/>
      </c>
      <c r="BB32" s="37">
        <f>IF(OR(AR32="",E32="",E32=0),"",AR32/E32)</f>
        <v/>
      </c>
      <c r="BC32" s="36">
        <f>IF(OR(BB32="",BA32=""),"",(BB32-BA32)*100)</f>
        <v/>
      </c>
    </row>
    <row r="33">
      <c r="A33" s="40" t="inlineStr">
        <is>
          <t>Route page</t>
        </is>
      </c>
      <c r="B33" s="40" t="inlineStr">
        <is>
          <t>Paid Search</t>
        </is>
      </c>
      <c r="C33" s="40" t="inlineStr">
        <is>
          <t>Mobile</t>
        </is>
      </c>
      <c r="D33" s="68" t="n">
        <v>33498</v>
      </c>
      <c r="E33" s="68" t="n">
        <v>16764</v>
      </c>
      <c r="F33" s="69">
        <f>IF(OR(E33="",D33="",D33=0,E33=0),"",E33-D33)</f>
        <v/>
      </c>
      <c r="G33" s="42">
        <f>IF(OR(E33="",D33="",D33=0,E33=0),"",E33/D33-1)</f>
        <v/>
      </c>
      <c r="H33" s="68" t="n">
        <v>25883</v>
      </c>
      <c r="I33" s="68" t="n">
        <v>10524</v>
      </c>
      <c r="J33" s="69">
        <f>IF(OR(I33="",H33="",H33=0,I33=0),"",I33-H33)</f>
        <v/>
      </c>
      <c r="K33" s="42">
        <f>IF(OR(I33="",H33="",H33=0,I33=0),"",I33/H33-1)</f>
        <v/>
      </c>
      <c r="L33" s="43">
        <f>IF(OR(H33="",D33="",D33=0),"",H33/D33)</f>
        <v/>
      </c>
      <c r="M33" s="43">
        <f>IF(OR(I33="",E33="",E33=0),"",I33/E33)</f>
        <v/>
      </c>
      <c r="N33" s="44">
        <f>IF(OR(M33="",L33=""),"",(M33-L33)*100)</f>
        <v/>
      </c>
      <c r="O33" s="68" t="n">
        <v>22785</v>
      </c>
      <c r="P33" s="68" t="n">
        <v>10647</v>
      </c>
      <c r="Q33" s="69">
        <f>IF(OR(P33="",O33="",O33=0,P33=0),"",P33-O33)</f>
        <v/>
      </c>
      <c r="R33" s="42">
        <f>IF(OR(P33="",O33="",O33=0,P33=0),"",P33/O33-1)</f>
        <v/>
      </c>
      <c r="S33" s="43">
        <f>IF(OR(O33="",D33="",D33=0),"",O33/D33)</f>
        <v/>
      </c>
      <c r="T33" s="43">
        <f>IF(OR(P33="",E33="",E33=0),"",P33/E33)</f>
        <v/>
      </c>
      <c r="U33" s="44">
        <f>IF(OR(T33="",S33=""),"",(T33-S33)*100)</f>
        <v/>
      </c>
      <c r="V33" s="68" t="n">
        <v>4606</v>
      </c>
      <c r="W33" s="68" t="n">
        <v>2231</v>
      </c>
      <c r="X33" s="69">
        <f>IF(OR(W33="",V33="",V33=0,W33=0),"",W33-V33)</f>
        <v/>
      </c>
      <c r="Y33" s="42">
        <f>IF(OR(W33="",V33="",V33=0,W33=0),"",W33/V33-1)</f>
        <v/>
      </c>
      <c r="Z33" s="43">
        <f>IF(OR(V33="",O33="",O33=0),"",V33/O33)</f>
        <v/>
      </c>
      <c r="AA33" s="43">
        <f>IF(OR(W33="",P33="",P33=0),"",W33/P33)</f>
        <v/>
      </c>
      <c r="AB33" s="44">
        <f>IF(OR(AA33="",Z33=""),"",(AA33-Z33)*100)</f>
        <v/>
      </c>
      <c r="AC33" s="68" t="n">
        <v>3269</v>
      </c>
      <c r="AD33" s="68" t="n">
        <v>1483</v>
      </c>
      <c r="AE33" s="69">
        <f>IF(OR(AD33="",AC33="",AC33=0,AD33=0),"",AD33-AC33)</f>
        <v/>
      </c>
      <c r="AF33" s="42">
        <f>IF(OR(AD33="",AC33="",AC33=0,AD33=0),"",AD33/AC33-1)</f>
        <v/>
      </c>
      <c r="AG33" s="43">
        <f>IF(OR(AC33="",V33="",V33=0),"",AC33/V33)</f>
        <v/>
      </c>
      <c r="AH33" s="43">
        <f>IF(OR(AD33="",W33="",W33=0),"",AD33/W33)</f>
        <v/>
      </c>
      <c r="AI33" s="44">
        <f>IF(OR(AH33="",AG33=""),"",(AH33-AG33)*100)</f>
        <v/>
      </c>
      <c r="AJ33" s="68" t="n">
        <v>788</v>
      </c>
      <c r="AK33" s="68" t="n">
        <v>427</v>
      </c>
      <c r="AL33" s="69">
        <f>IF(OR(AK33="",AJ33="",AJ33=0,AK33=0),"",AK33-AJ33)</f>
        <v/>
      </c>
      <c r="AM33" s="42">
        <f>IF(OR(AK33="",AJ33="",AJ33=0,AK33=0),"",AK33/AJ33-1)</f>
        <v/>
      </c>
      <c r="AN33" s="43">
        <f>IF(OR(AJ33="",AC33="",AC33=0),"",AJ33/AC33)</f>
        <v/>
      </c>
      <c r="AO33" s="43">
        <f>IF(OR(AK33="",AD33="",AD33=0),"",AK33/AD33)</f>
        <v/>
      </c>
      <c r="AP33" s="44">
        <f>IF(OR(AO33="",AN33=""),"",(AO33-AN33)*100)</f>
        <v/>
      </c>
      <c r="AQ33" s="68" t="n">
        <v>515</v>
      </c>
      <c r="AR33" s="68" t="n">
        <v>292</v>
      </c>
      <c r="AS33" s="69">
        <f>IF(OR(AR33="",AQ33="",AQ33=0,AR33=0),"",AR33-AQ33)</f>
        <v/>
      </c>
      <c r="AT33" s="42">
        <f>IF(OR(AR33="",AQ33="",AQ33=0,AR33=0),"",AR33/AQ33-1)</f>
        <v/>
      </c>
      <c r="AU33" s="43">
        <f>IF(OR(AQ33="",AJ33="",AJ33=0),"",AQ33/AJ33)</f>
        <v/>
      </c>
      <c r="AV33" s="43">
        <f>IF(OR(AR33="",AK33="",AK33=0),"",AR33/AK33)</f>
        <v/>
      </c>
      <c r="AW33" s="44">
        <f>IF(OR(AV33="",AU33=""),"",(AV33-AU33)*100)</f>
        <v/>
      </c>
      <c r="AX33" s="45">
        <f>IF(OR(AQ33="",O33="",O33=0),"",AQ33/O33)</f>
        <v/>
      </c>
      <c r="AY33" s="45">
        <f>IF(OR(AR33="",P33="",P33=0),"",AR33/P33)</f>
        <v/>
      </c>
      <c r="AZ33" s="44">
        <f>IF(OR(AY33="",AX33=""),"",(AY33-AX33)*100)</f>
        <v/>
      </c>
      <c r="BA33" s="45">
        <f>IF(OR(AQ33="",D33="",D33=0),"",AQ33/D33)</f>
        <v/>
      </c>
      <c r="BB33" s="45">
        <f>IF(OR(AR33="",E33="",E33=0),"",AR33/E33)</f>
        <v/>
      </c>
      <c r="BC33" s="44">
        <f>IF(OR(BB33="",BA33=""),"",(BB33-BA33)*100)</f>
        <v/>
      </c>
    </row>
    <row r="34">
      <c r="A34" s="40" t="inlineStr">
        <is>
          <t>Route page</t>
        </is>
      </c>
      <c r="B34" s="40" t="inlineStr">
        <is>
          <t>Paid Search</t>
        </is>
      </c>
      <c r="C34" s="40" t="inlineStr">
        <is>
          <t>Desktop</t>
        </is>
      </c>
      <c r="D34" s="68" t="n">
        <v>14876</v>
      </c>
      <c r="E34" s="68" t="n">
        <v>15260</v>
      </c>
      <c r="F34" s="69">
        <f>IF(OR(E34="",D34="",D34=0,E34=0),"",E34-D34)</f>
        <v/>
      </c>
      <c r="G34" s="42">
        <f>IF(OR(E34="",D34="",D34=0,E34=0),"",E34/D34-1)</f>
        <v/>
      </c>
      <c r="H34" s="68" t="n">
        <v>10336</v>
      </c>
      <c r="I34" s="68" t="n">
        <v>8538</v>
      </c>
      <c r="J34" s="69">
        <f>IF(OR(I34="",H34="",H34=0,I34=0),"",I34-H34)</f>
        <v/>
      </c>
      <c r="K34" s="42">
        <f>IF(OR(I34="",H34="",H34=0,I34=0),"",I34/H34-1)</f>
        <v/>
      </c>
      <c r="L34" s="43">
        <f>IF(OR(H34="",D34="",D34=0),"",H34/D34)</f>
        <v/>
      </c>
      <c r="M34" s="43">
        <f>IF(OR(I34="",E34="",E34=0),"",I34/E34)</f>
        <v/>
      </c>
      <c r="N34" s="44">
        <f>IF(OR(M34="",L34=""),"",(M34-L34)*100)</f>
        <v/>
      </c>
      <c r="O34" s="68" t="n">
        <v>9565</v>
      </c>
      <c r="P34" s="68" t="n">
        <v>8749</v>
      </c>
      <c r="Q34" s="69">
        <f>IF(OR(P34="",O34="",O34=0,P34=0),"",P34-O34)</f>
        <v/>
      </c>
      <c r="R34" s="42">
        <f>IF(OR(P34="",O34="",O34=0,P34=0),"",P34/O34-1)</f>
        <v/>
      </c>
      <c r="S34" s="43">
        <f>IF(OR(O34="",D34="",D34=0),"",O34/D34)</f>
        <v/>
      </c>
      <c r="T34" s="43">
        <f>IF(OR(P34="",E34="",E34=0),"",P34/E34)</f>
        <v/>
      </c>
      <c r="U34" s="44">
        <f>IF(OR(T34="",S34=""),"",(T34-S34)*100)</f>
        <v/>
      </c>
      <c r="V34" s="68" t="n">
        <v>2108</v>
      </c>
      <c r="W34" s="68" t="n">
        <v>1674</v>
      </c>
      <c r="X34" s="69">
        <f>IF(OR(W34="",V34="",V34=0,W34=0),"",W34-V34)</f>
        <v/>
      </c>
      <c r="Y34" s="42">
        <f>IF(OR(W34="",V34="",V34=0,W34=0),"",W34/V34-1)</f>
        <v/>
      </c>
      <c r="Z34" s="43">
        <f>IF(OR(V34="",O34="",O34=0),"",V34/O34)</f>
        <v/>
      </c>
      <c r="AA34" s="43">
        <f>IF(OR(W34="",P34="",P34=0),"",W34/P34)</f>
        <v/>
      </c>
      <c r="AB34" s="44">
        <f>IF(OR(AA34="",Z34=""),"",(AA34-Z34)*100)</f>
        <v/>
      </c>
      <c r="AC34" s="68" t="n">
        <v>1653</v>
      </c>
      <c r="AD34" s="68" t="n">
        <v>1267</v>
      </c>
      <c r="AE34" s="69">
        <f>IF(OR(AD34="",AC34="",AC34=0,AD34=0),"",AD34-AC34)</f>
        <v/>
      </c>
      <c r="AF34" s="42">
        <f>IF(OR(AD34="",AC34="",AC34=0,AD34=0),"",AD34/AC34-1)</f>
        <v/>
      </c>
      <c r="AG34" s="43">
        <f>IF(OR(AC34="",V34="",V34=0),"",AC34/V34)</f>
        <v/>
      </c>
      <c r="AH34" s="43">
        <f>IF(OR(AD34="",W34="",W34=0),"",AD34/W34)</f>
        <v/>
      </c>
      <c r="AI34" s="44">
        <f>IF(OR(AH34="",AG34=""),"",(AH34-AG34)*100)</f>
        <v/>
      </c>
      <c r="AJ34" s="68" t="n">
        <v>558</v>
      </c>
      <c r="AK34" s="68" t="n">
        <v>385</v>
      </c>
      <c r="AL34" s="69">
        <f>IF(OR(AK34="",AJ34="",AJ34=0,AK34=0),"",AK34-AJ34)</f>
        <v/>
      </c>
      <c r="AM34" s="42">
        <f>IF(OR(AK34="",AJ34="",AJ34=0,AK34=0),"",AK34/AJ34-1)</f>
        <v/>
      </c>
      <c r="AN34" s="43">
        <f>IF(OR(AJ34="",AC34="",AC34=0),"",AJ34/AC34)</f>
        <v/>
      </c>
      <c r="AO34" s="43">
        <f>IF(OR(AK34="",AD34="",AD34=0),"",AK34/AD34)</f>
        <v/>
      </c>
      <c r="AP34" s="44">
        <f>IF(OR(AO34="",AN34=""),"",(AO34-AN34)*100)</f>
        <v/>
      </c>
      <c r="AQ34" s="68" t="n">
        <v>403</v>
      </c>
      <c r="AR34" s="68" t="n">
        <v>280</v>
      </c>
      <c r="AS34" s="69">
        <f>IF(OR(AR34="",AQ34="",AQ34=0,AR34=0),"",AR34-AQ34)</f>
        <v/>
      </c>
      <c r="AT34" s="42">
        <f>IF(OR(AR34="",AQ34="",AQ34=0,AR34=0),"",AR34/AQ34-1)</f>
        <v/>
      </c>
      <c r="AU34" s="43">
        <f>IF(OR(AQ34="",AJ34="",AJ34=0),"",AQ34/AJ34)</f>
        <v/>
      </c>
      <c r="AV34" s="43">
        <f>IF(OR(AR34="",AK34="",AK34=0),"",AR34/AK34)</f>
        <v/>
      </c>
      <c r="AW34" s="44">
        <f>IF(OR(AV34="",AU34=""),"",(AV34-AU34)*100)</f>
        <v/>
      </c>
      <c r="AX34" s="45">
        <f>IF(OR(AQ34="",O34="",O34=0),"",AQ34/O34)</f>
        <v/>
      </c>
      <c r="AY34" s="45">
        <f>IF(OR(AR34="",P34="",P34=0),"",AR34/P34)</f>
        <v/>
      </c>
      <c r="AZ34" s="44">
        <f>IF(OR(AY34="",AX34=""),"",(AY34-AX34)*100)</f>
        <v/>
      </c>
      <c r="BA34" s="45">
        <f>IF(OR(AQ34="",D34="",D34=0),"",AQ34/D34)</f>
        <v/>
      </c>
      <c r="BB34" s="45">
        <f>IF(OR(AR34="",E34="",E34=0),"",AR34/E34)</f>
        <v/>
      </c>
      <c r="BC34" s="44">
        <f>IF(OR(BB34="",BA34=""),"",(BB34-BA34)*100)</f>
        <v/>
      </c>
    </row>
    <row r="35">
      <c r="A35" s="32" t="inlineStr">
        <is>
          <t>Route page</t>
        </is>
      </c>
      <c r="B35" s="32" t="inlineStr">
        <is>
          <t>Organic</t>
        </is>
      </c>
      <c r="C35" s="32" t="inlineStr">
        <is>
          <t>Total</t>
        </is>
      </c>
      <c r="D35" s="66" t="n">
        <v>39155</v>
      </c>
      <c r="E35" s="66" t="n">
        <v>42081</v>
      </c>
      <c r="F35" s="67">
        <f>IF(OR(E35="",D35="",D35=0,E35=0),"",E35-D35)</f>
        <v/>
      </c>
      <c r="G35" s="34">
        <f>IF(OR(E35="",D35="",D35=0,E35=0),"",E35/D35-1)</f>
        <v/>
      </c>
      <c r="H35" s="66" t="n">
        <v>27902</v>
      </c>
      <c r="I35" s="66" t="n">
        <v>27889</v>
      </c>
      <c r="J35" s="67">
        <f>IF(OR(I35="",H35="",H35=0,I35=0),"",I35-H35)</f>
        <v/>
      </c>
      <c r="K35" s="34">
        <f>IF(OR(I35="",H35="",H35=0,I35=0),"",I35/H35-1)</f>
        <v/>
      </c>
      <c r="L35" s="35">
        <f>IF(OR(H35="",D35="",D35=0),"",H35/D35)</f>
        <v/>
      </c>
      <c r="M35" s="35">
        <f>IF(OR(I35="",E35="",E35=0),"",I35/E35)</f>
        <v/>
      </c>
      <c r="N35" s="36">
        <f>IF(OR(M35="",L35=""),"",(M35-L35)*100)</f>
        <v/>
      </c>
      <c r="O35" s="66" t="n">
        <v>21782</v>
      </c>
      <c r="P35" s="66" t="n">
        <v>24654</v>
      </c>
      <c r="Q35" s="67">
        <f>IF(OR(P35="",O35="",O35=0,P35=0),"",P35-O35)</f>
        <v/>
      </c>
      <c r="R35" s="34">
        <f>IF(OR(P35="",O35="",O35=0,P35=0),"",P35/O35-1)</f>
        <v/>
      </c>
      <c r="S35" s="35">
        <f>IF(OR(O35="",D35="",D35=0),"",O35/D35)</f>
        <v/>
      </c>
      <c r="T35" s="35">
        <f>IF(OR(P35="",E35="",E35=0),"",P35/E35)</f>
        <v/>
      </c>
      <c r="U35" s="36">
        <f>IF(OR(T35="",S35=""),"",(T35-S35)*100)</f>
        <v/>
      </c>
      <c r="V35" s="66" t="n">
        <v>3667</v>
      </c>
      <c r="W35" s="66" t="n">
        <v>4109</v>
      </c>
      <c r="X35" s="67">
        <f>IF(OR(W35="",V35="",V35=0,W35=0),"",W35-V35)</f>
        <v/>
      </c>
      <c r="Y35" s="34">
        <f>IF(OR(W35="",V35="",V35=0,W35=0),"",W35/V35-1)</f>
        <v/>
      </c>
      <c r="Z35" s="35">
        <f>IF(OR(V35="",O35="",O35=0),"",V35/O35)</f>
        <v/>
      </c>
      <c r="AA35" s="35">
        <f>IF(OR(W35="",P35="",P35=0),"",W35/P35)</f>
        <v/>
      </c>
      <c r="AB35" s="36">
        <f>IF(OR(AA35="",Z35=""),"",(AA35-Z35)*100)</f>
        <v/>
      </c>
      <c r="AC35" s="66" t="n">
        <v>2640</v>
      </c>
      <c r="AD35" s="66" t="n">
        <v>2887</v>
      </c>
      <c r="AE35" s="67">
        <f>IF(OR(AD35="",AC35="",AC35=0,AD35=0),"",AD35-AC35)</f>
        <v/>
      </c>
      <c r="AF35" s="34">
        <f>IF(OR(AD35="",AC35="",AC35=0,AD35=0),"",AD35/AC35-1)</f>
        <v/>
      </c>
      <c r="AG35" s="35">
        <f>IF(OR(AC35="",V35="",V35=0),"",AC35/V35)</f>
        <v/>
      </c>
      <c r="AH35" s="35">
        <f>IF(OR(AD35="",W35="",W35=0),"",AD35/W35)</f>
        <v/>
      </c>
      <c r="AI35" s="36">
        <f>IF(OR(AH35="",AG35=""),"",(AH35-AG35)*100)</f>
        <v/>
      </c>
      <c r="AJ35" s="66" t="n">
        <v>654</v>
      </c>
      <c r="AK35" s="66" t="n">
        <v>724</v>
      </c>
      <c r="AL35" s="67">
        <f>IF(OR(AK35="",AJ35="",AJ35=0,AK35=0),"",AK35-AJ35)</f>
        <v/>
      </c>
      <c r="AM35" s="34">
        <f>IF(OR(AK35="",AJ35="",AJ35=0,AK35=0),"",AK35/AJ35-1)</f>
        <v/>
      </c>
      <c r="AN35" s="35">
        <f>IF(OR(AJ35="",AC35="",AC35=0),"",AJ35/AC35)</f>
        <v/>
      </c>
      <c r="AO35" s="35">
        <f>IF(OR(AK35="",AD35="",AD35=0),"",AK35/AD35)</f>
        <v/>
      </c>
      <c r="AP35" s="36">
        <f>IF(OR(AO35="",AN35=""),"",(AO35-AN35)*100)</f>
        <v/>
      </c>
      <c r="AQ35" s="66" t="n">
        <v>479</v>
      </c>
      <c r="AR35" s="66" t="n">
        <v>503</v>
      </c>
      <c r="AS35" s="67">
        <f>IF(OR(AR35="",AQ35="",AQ35=0,AR35=0),"",AR35-AQ35)</f>
        <v/>
      </c>
      <c r="AT35" s="34">
        <f>IF(OR(AR35="",AQ35="",AQ35=0,AR35=0),"",AR35/AQ35-1)</f>
        <v/>
      </c>
      <c r="AU35" s="35">
        <f>IF(OR(AQ35="",AJ35="",AJ35=0),"",AQ35/AJ35)</f>
        <v/>
      </c>
      <c r="AV35" s="35">
        <f>IF(OR(AR35="",AK35="",AK35=0),"",AR35/AK35)</f>
        <v/>
      </c>
      <c r="AW35" s="36">
        <f>IF(OR(AV35="",AU35=""),"",(AV35-AU35)*100)</f>
        <v/>
      </c>
      <c r="AX35" s="37">
        <f>IF(OR(AQ35="",O35="",O35=0),"",AQ35/O35)</f>
        <v/>
      </c>
      <c r="AY35" s="37">
        <f>IF(OR(AR35="",P35="",P35=0),"",AR35/P35)</f>
        <v/>
      </c>
      <c r="AZ35" s="36">
        <f>IF(OR(AY35="",AX35=""),"",(AY35-AX35)*100)</f>
        <v/>
      </c>
      <c r="BA35" s="37">
        <f>IF(OR(AQ35="",D35="",D35=0),"",AQ35/D35)</f>
        <v/>
      </c>
      <c r="BB35" s="37">
        <f>IF(OR(AR35="",E35="",E35=0),"",AR35/E35)</f>
        <v/>
      </c>
      <c r="BC35" s="36">
        <f>IF(OR(BB35="",BA35=""),"",(BB35-BA35)*100)</f>
        <v/>
      </c>
    </row>
    <row r="36">
      <c r="A36" s="40" t="inlineStr">
        <is>
          <t>Route page</t>
        </is>
      </c>
      <c r="B36" s="40" t="inlineStr">
        <is>
          <t>Organic</t>
        </is>
      </c>
      <c r="C36" s="40" t="inlineStr">
        <is>
          <t>Mobile</t>
        </is>
      </c>
      <c r="D36" s="68" t="n">
        <v>26062</v>
      </c>
      <c r="E36" s="68" t="n">
        <v>30371</v>
      </c>
      <c r="F36" s="69">
        <f>IF(OR(E36="",D36="",D36=0,E36=0),"",E36-D36)</f>
        <v/>
      </c>
      <c r="G36" s="42">
        <f>IF(OR(E36="",D36="",D36=0,E36=0),"",E36/D36-1)</f>
        <v/>
      </c>
      <c r="H36" s="68" t="n">
        <v>18634</v>
      </c>
      <c r="I36" s="68" t="n">
        <v>20068</v>
      </c>
      <c r="J36" s="69">
        <f>IF(OR(I36="",H36="",H36=0,I36=0),"",I36-H36)</f>
        <v/>
      </c>
      <c r="K36" s="42">
        <f>IF(OR(I36="",H36="",H36=0,I36=0),"",I36/H36-1)</f>
        <v/>
      </c>
      <c r="L36" s="43">
        <f>IF(OR(H36="",D36="",D36=0),"",H36/D36)</f>
        <v/>
      </c>
      <c r="M36" s="43">
        <f>IF(OR(I36="",E36="",E36=0),"",I36/E36)</f>
        <v/>
      </c>
      <c r="N36" s="44">
        <f>IF(OR(M36="",L36=""),"",(M36-L36)*100)</f>
        <v/>
      </c>
      <c r="O36" s="68" t="n">
        <v>14088</v>
      </c>
      <c r="P36" s="68" t="n">
        <v>18303</v>
      </c>
      <c r="Q36" s="69">
        <f>IF(OR(P36="",O36="",O36=0,P36=0),"",P36-O36)</f>
        <v/>
      </c>
      <c r="R36" s="42">
        <f>IF(OR(P36="",O36="",O36=0,P36=0),"",P36/O36-1)</f>
        <v/>
      </c>
      <c r="S36" s="43">
        <f>IF(OR(O36="",D36="",D36=0),"",O36/D36)</f>
        <v/>
      </c>
      <c r="T36" s="43">
        <f>IF(OR(P36="",E36="",E36=0),"",P36/E36)</f>
        <v/>
      </c>
      <c r="U36" s="44">
        <f>IF(OR(T36="",S36=""),"",(T36-S36)*100)</f>
        <v/>
      </c>
      <c r="V36" s="68" t="n">
        <v>2316</v>
      </c>
      <c r="W36" s="68" t="n">
        <v>3013</v>
      </c>
      <c r="X36" s="69">
        <f>IF(OR(W36="",V36="",V36=0,W36=0),"",W36-V36)</f>
        <v/>
      </c>
      <c r="Y36" s="42">
        <f>IF(OR(W36="",V36="",V36=0,W36=0),"",W36/V36-1)</f>
        <v/>
      </c>
      <c r="Z36" s="43">
        <f>IF(OR(V36="",O36="",O36=0),"",V36/O36)</f>
        <v/>
      </c>
      <c r="AA36" s="43">
        <f>IF(OR(W36="",P36="",P36=0),"",W36/P36)</f>
        <v/>
      </c>
      <c r="AB36" s="44">
        <f>IF(OR(AA36="",Z36=""),"",(AA36-Z36)*100)</f>
        <v/>
      </c>
      <c r="AC36" s="68" t="n">
        <v>1601</v>
      </c>
      <c r="AD36" s="68" t="n">
        <v>2110</v>
      </c>
      <c r="AE36" s="69">
        <f>IF(OR(AD36="",AC36="",AC36=0,AD36=0),"",AD36-AC36)</f>
        <v/>
      </c>
      <c r="AF36" s="42">
        <f>IF(OR(AD36="",AC36="",AC36=0,AD36=0),"",AD36/AC36-1)</f>
        <v/>
      </c>
      <c r="AG36" s="43">
        <f>IF(OR(AC36="",V36="",V36=0),"",AC36/V36)</f>
        <v/>
      </c>
      <c r="AH36" s="43">
        <f>IF(OR(AD36="",W36="",W36=0),"",AD36/W36)</f>
        <v/>
      </c>
      <c r="AI36" s="44">
        <f>IF(OR(AH36="",AG36=""),"",(AH36-AG36)*100)</f>
        <v/>
      </c>
      <c r="AJ36" s="68" t="n">
        <v>346</v>
      </c>
      <c r="AK36" s="68" t="n">
        <v>460</v>
      </c>
      <c r="AL36" s="69">
        <f>IF(OR(AK36="",AJ36="",AJ36=0,AK36=0),"",AK36-AJ36)</f>
        <v/>
      </c>
      <c r="AM36" s="42">
        <f>IF(OR(AK36="",AJ36="",AJ36=0,AK36=0),"",AK36/AJ36-1)</f>
        <v/>
      </c>
      <c r="AN36" s="43">
        <f>IF(OR(AJ36="",AC36="",AC36=0),"",AJ36/AC36)</f>
        <v/>
      </c>
      <c r="AO36" s="43">
        <f>IF(OR(AK36="",AD36="",AD36=0),"",AK36/AD36)</f>
        <v/>
      </c>
      <c r="AP36" s="44">
        <f>IF(OR(AO36="",AN36=""),"",(AO36-AN36)*100)</f>
        <v/>
      </c>
      <c r="AQ36" s="68" t="n">
        <v>244</v>
      </c>
      <c r="AR36" s="68" t="n">
        <v>306</v>
      </c>
      <c r="AS36" s="69">
        <f>IF(OR(AR36="",AQ36="",AQ36=0,AR36=0),"",AR36-AQ36)</f>
        <v/>
      </c>
      <c r="AT36" s="42">
        <f>IF(OR(AR36="",AQ36="",AQ36=0,AR36=0),"",AR36/AQ36-1)</f>
        <v/>
      </c>
      <c r="AU36" s="43">
        <f>IF(OR(AQ36="",AJ36="",AJ36=0),"",AQ36/AJ36)</f>
        <v/>
      </c>
      <c r="AV36" s="43">
        <f>IF(OR(AR36="",AK36="",AK36=0),"",AR36/AK36)</f>
        <v/>
      </c>
      <c r="AW36" s="44">
        <f>IF(OR(AV36="",AU36=""),"",(AV36-AU36)*100)</f>
        <v/>
      </c>
      <c r="AX36" s="45">
        <f>IF(OR(AQ36="",O36="",O36=0),"",AQ36/O36)</f>
        <v/>
      </c>
      <c r="AY36" s="45">
        <f>IF(OR(AR36="",P36="",P36=0),"",AR36/P36)</f>
        <v/>
      </c>
      <c r="AZ36" s="44">
        <f>IF(OR(AY36="",AX36=""),"",(AY36-AX36)*100)</f>
        <v/>
      </c>
      <c r="BA36" s="45">
        <f>IF(OR(AQ36="",D36="",D36=0),"",AQ36/D36)</f>
        <v/>
      </c>
      <c r="BB36" s="45">
        <f>IF(OR(AR36="",E36="",E36=0),"",AR36/E36)</f>
        <v/>
      </c>
      <c r="BC36" s="44">
        <f>IF(OR(BB36="",BA36=""),"",(BB36-BA36)*100)</f>
        <v/>
      </c>
    </row>
    <row r="37">
      <c r="A37" s="40" t="inlineStr">
        <is>
          <t>Route page</t>
        </is>
      </c>
      <c r="B37" s="40" t="inlineStr">
        <is>
          <t>Organic</t>
        </is>
      </c>
      <c r="C37" s="40" t="inlineStr">
        <is>
          <t>Desktop</t>
        </is>
      </c>
      <c r="D37" s="68" t="n">
        <v>12479</v>
      </c>
      <c r="E37" s="68" t="n">
        <v>11109</v>
      </c>
      <c r="F37" s="69">
        <f>IF(OR(E37="",D37="",D37=0,E37=0),"",E37-D37)</f>
        <v/>
      </c>
      <c r="G37" s="42">
        <f>IF(OR(E37="",D37="",D37=0,E37=0),"",E37/D37-1)</f>
        <v/>
      </c>
      <c r="H37" s="68" t="n">
        <v>8512</v>
      </c>
      <c r="I37" s="68" t="n">
        <v>6960</v>
      </c>
      <c r="J37" s="69">
        <f>IF(OR(I37="",H37="",H37=0,I37=0),"",I37-H37)</f>
        <v/>
      </c>
      <c r="K37" s="42">
        <f>IF(OR(I37="",H37="",H37=0,I37=0),"",I37/H37-1)</f>
        <v/>
      </c>
      <c r="L37" s="43">
        <f>IF(OR(H37="",D37="",D37=0),"",H37/D37)</f>
        <v/>
      </c>
      <c r="M37" s="43">
        <f>IF(OR(I37="",E37="",E37=0),"",I37/E37)</f>
        <v/>
      </c>
      <c r="N37" s="44">
        <f>IF(OR(M37="",L37=""),"",(M37-L37)*100)</f>
        <v/>
      </c>
      <c r="O37" s="68" t="n">
        <v>7273</v>
      </c>
      <c r="P37" s="68" t="n">
        <v>5951</v>
      </c>
      <c r="Q37" s="69">
        <f>IF(OR(P37="",O37="",O37=0,P37=0),"",P37-O37)</f>
        <v/>
      </c>
      <c r="R37" s="42">
        <f>IF(OR(P37="",O37="",O37=0,P37=0),"",P37/O37-1)</f>
        <v/>
      </c>
      <c r="S37" s="43">
        <f>IF(OR(O37="",D37="",D37=0),"",O37/D37)</f>
        <v/>
      </c>
      <c r="T37" s="43">
        <f>IF(OR(P37="",E37="",E37=0),"",P37/E37)</f>
        <v/>
      </c>
      <c r="U37" s="44">
        <f>IF(OR(T37="",S37=""),"",(T37-S37)*100)</f>
        <v/>
      </c>
      <c r="V37" s="68" t="n">
        <v>1292</v>
      </c>
      <c r="W37" s="68" t="n">
        <v>1061</v>
      </c>
      <c r="X37" s="69">
        <f>IF(OR(W37="",V37="",V37=0,W37=0),"",W37-V37)</f>
        <v/>
      </c>
      <c r="Y37" s="42">
        <f>IF(OR(W37="",V37="",V37=0,W37=0),"",W37/V37-1)</f>
        <v/>
      </c>
      <c r="Z37" s="43">
        <f>IF(OR(V37="",O37="",O37=0),"",V37/O37)</f>
        <v/>
      </c>
      <c r="AA37" s="43">
        <f>IF(OR(W37="",P37="",P37=0),"",W37/P37)</f>
        <v/>
      </c>
      <c r="AB37" s="44">
        <f>IF(OR(AA37="",Z37=""),"",(AA37-Z37)*100)</f>
        <v/>
      </c>
      <c r="AC37" s="68" t="n">
        <v>993</v>
      </c>
      <c r="AD37" s="68" t="n">
        <v>835</v>
      </c>
      <c r="AE37" s="69">
        <f>IF(OR(AD37="",AC37="",AC37=0,AD37=0),"",AD37-AC37)</f>
        <v/>
      </c>
      <c r="AF37" s="42">
        <f>IF(OR(AD37="",AC37="",AC37=0,AD37=0),"",AD37/AC37-1)</f>
        <v/>
      </c>
      <c r="AG37" s="43">
        <f>IF(OR(AC37="",V37="",V37=0),"",AC37/V37)</f>
        <v/>
      </c>
      <c r="AH37" s="43">
        <f>IF(OR(AD37="",W37="",W37=0),"",AD37/W37)</f>
        <v/>
      </c>
      <c r="AI37" s="44">
        <f>IF(OR(AH37="",AG37=""),"",(AH37-AG37)*100)</f>
        <v/>
      </c>
      <c r="AJ37" s="68" t="n">
        <v>289</v>
      </c>
      <c r="AK37" s="68" t="n">
        <v>253</v>
      </c>
      <c r="AL37" s="69">
        <f>IF(OR(AK37="",AJ37="",AJ37=0,AK37=0),"",AK37-AJ37)</f>
        <v/>
      </c>
      <c r="AM37" s="42">
        <f>IF(OR(AK37="",AJ37="",AJ37=0,AK37=0),"",AK37/AJ37-1)</f>
        <v/>
      </c>
      <c r="AN37" s="43">
        <f>IF(OR(AJ37="",AC37="",AC37=0),"",AJ37/AC37)</f>
        <v/>
      </c>
      <c r="AO37" s="43">
        <f>IF(OR(AK37="",AD37="",AD37=0),"",AK37/AD37)</f>
        <v/>
      </c>
      <c r="AP37" s="44">
        <f>IF(OR(AO37="",AN37=""),"",(AO37-AN37)*100)</f>
        <v/>
      </c>
      <c r="AQ37" s="68" t="n">
        <v>224</v>
      </c>
      <c r="AR37" s="68" t="n">
        <v>187</v>
      </c>
      <c r="AS37" s="69">
        <f>IF(OR(AR37="",AQ37="",AQ37=0,AR37=0),"",AR37-AQ37)</f>
        <v/>
      </c>
      <c r="AT37" s="42">
        <f>IF(OR(AR37="",AQ37="",AQ37=0,AR37=0),"",AR37/AQ37-1)</f>
        <v/>
      </c>
      <c r="AU37" s="43">
        <f>IF(OR(AQ37="",AJ37="",AJ37=0),"",AQ37/AJ37)</f>
        <v/>
      </c>
      <c r="AV37" s="43">
        <f>IF(OR(AR37="",AK37="",AK37=0),"",AR37/AK37)</f>
        <v/>
      </c>
      <c r="AW37" s="44">
        <f>IF(OR(AV37="",AU37=""),"",(AV37-AU37)*100)</f>
        <v/>
      </c>
      <c r="AX37" s="45">
        <f>IF(OR(AQ37="",O37="",O37=0),"",AQ37/O37)</f>
        <v/>
      </c>
      <c r="AY37" s="45">
        <f>IF(OR(AR37="",P37="",P37=0),"",AR37/P37)</f>
        <v/>
      </c>
      <c r="AZ37" s="44">
        <f>IF(OR(AY37="",AX37=""),"",(AY37-AX37)*100)</f>
        <v/>
      </c>
      <c r="BA37" s="45">
        <f>IF(OR(AQ37="",D37="",D37=0),"",AQ37/D37)</f>
        <v/>
      </c>
      <c r="BB37" s="45">
        <f>IF(OR(AR37="",E37="",E37=0),"",AR37/E37)</f>
        <v/>
      </c>
      <c r="BC37" s="44">
        <f>IF(OR(BB37="",BA37=""),"",(BB37-BA37)*100)</f>
        <v/>
      </c>
    </row>
    <row r="38">
      <c r="A38" s="32" t="inlineStr">
        <is>
          <t>Route page</t>
        </is>
      </c>
      <c r="B38" s="32" t="inlineStr">
        <is>
          <t>Direct</t>
        </is>
      </c>
      <c r="C38" s="32" t="inlineStr">
        <is>
          <t>Total</t>
        </is>
      </c>
      <c r="D38" s="66" t="n">
        <v>2779</v>
      </c>
      <c r="E38" s="66" t="n">
        <v>8649</v>
      </c>
      <c r="F38" s="67">
        <f>IF(OR(E38="",D38="",D38=0,E38=0),"",E38-D38)</f>
        <v/>
      </c>
      <c r="G38" s="34">
        <f>IF(OR(E38="",D38="",D38=0,E38=0),"",E38/D38-1)</f>
        <v/>
      </c>
      <c r="H38" s="66" t="n">
        <v>1385</v>
      </c>
      <c r="I38" s="66" t="n">
        <v>3131</v>
      </c>
      <c r="J38" s="67">
        <f>IF(OR(I38="",H38="",H38=0,I38=0),"",I38-H38)</f>
        <v/>
      </c>
      <c r="K38" s="34">
        <f>IF(OR(I38="",H38="",H38=0,I38=0),"",I38/H38-1)</f>
        <v/>
      </c>
      <c r="L38" s="35">
        <f>IF(OR(H38="",D38="",D38=0),"",H38/D38)</f>
        <v/>
      </c>
      <c r="M38" s="35">
        <f>IF(OR(I38="",E38="",E38=0),"",I38/E38)</f>
        <v/>
      </c>
      <c r="N38" s="36">
        <f>IF(OR(M38="",L38=""),"",(M38-L38)*100)</f>
        <v/>
      </c>
      <c r="O38" s="66" t="n">
        <v>1184</v>
      </c>
      <c r="P38" s="66" t="n">
        <v>4700</v>
      </c>
      <c r="Q38" s="67">
        <f>IF(OR(P38="",O38="",O38=0,P38=0),"",P38-O38)</f>
        <v/>
      </c>
      <c r="R38" s="34">
        <f>IF(OR(P38="",O38="",O38=0,P38=0),"",P38/O38-1)</f>
        <v/>
      </c>
      <c r="S38" s="35">
        <f>IF(OR(O38="",D38="",D38=0),"",O38/D38)</f>
        <v/>
      </c>
      <c r="T38" s="35">
        <f>IF(OR(P38="",E38="",E38=0),"",P38/E38)</f>
        <v/>
      </c>
      <c r="U38" s="36">
        <f>IF(OR(T38="",S38=""),"",(T38-S38)*100)</f>
        <v/>
      </c>
      <c r="V38" s="66" t="n">
        <v>310</v>
      </c>
      <c r="W38" s="66" t="n">
        <v>1016</v>
      </c>
      <c r="X38" s="67">
        <f>IF(OR(W38="",V38="",V38=0,W38=0),"",W38-V38)</f>
        <v/>
      </c>
      <c r="Y38" s="34">
        <f>IF(OR(W38="",V38="",V38=0,W38=0),"",W38/V38-1)</f>
        <v/>
      </c>
      <c r="Z38" s="35">
        <f>IF(OR(V38="",O38="",O38=0),"",V38/O38)</f>
        <v/>
      </c>
      <c r="AA38" s="35">
        <f>IF(OR(W38="",P38="",P38=0),"",W38/P38)</f>
        <v/>
      </c>
      <c r="AB38" s="36">
        <f>IF(OR(AA38="",Z38=""),"",(AA38-Z38)*100)</f>
        <v/>
      </c>
      <c r="AC38" s="66" t="n">
        <v>242</v>
      </c>
      <c r="AD38" s="66" t="n">
        <v>784</v>
      </c>
      <c r="AE38" s="67">
        <f>IF(OR(AD38="",AC38="",AC38=0,AD38=0),"",AD38-AC38)</f>
        <v/>
      </c>
      <c r="AF38" s="34">
        <f>IF(OR(AD38="",AC38="",AC38=0,AD38=0),"",AD38/AC38-1)</f>
        <v/>
      </c>
      <c r="AG38" s="35">
        <f>IF(OR(AC38="",V38="",V38=0),"",AC38/V38)</f>
        <v/>
      </c>
      <c r="AH38" s="35">
        <f>IF(OR(AD38="",W38="",W38=0),"",AD38/W38)</f>
        <v/>
      </c>
      <c r="AI38" s="36">
        <f>IF(OR(AH38="",AG38=""),"",(AH38-AG38)*100)</f>
        <v/>
      </c>
      <c r="AJ38" s="66" t="n">
        <v>88</v>
      </c>
      <c r="AK38" s="66" t="n">
        <v>237</v>
      </c>
      <c r="AL38" s="67">
        <f>IF(OR(AK38="",AJ38="",AJ38=0,AK38=0),"",AK38-AJ38)</f>
        <v/>
      </c>
      <c r="AM38" s="34">
        <f>IF(OR(AK38="",AJ38="",AJ38=0,AK38=0),"",AK38/AJ38-1)</f>
        <v/>
      </c>
      <c r="AN38" s="35">
        <f>IF(OR(AJ38="",AC38="",AC38=0),"",AJ38/AC38)</f>
        <v/>
      </c>
      <c r="AO38" s="35">
        <f>IF(OR(AK38="",AD38="",AD38=0),"",AK38/AD38)</f>
        <v/>
      </c>
      <c r="AP38" s="36">
        <f>IF(OR(AO38="",AN38=""),"",(AO38-AN38)*100)</f>
        <v/>
      </c>
      <c r="AQ38" s="66" t="n">
        <v>66</v>
      </c>
      <c r="AR38" s="66" t="n">
        <v>199</v>
      </c>
      <c r="AS38" s="67">
        <f>IF(OR(AR38="",AQ38="",AQ38=0,AR38=0),"",AR38-AQ38)</f>
        <v/>
      </c>
      <c r="AT38" s="34">
        <f>IF(OR(AR38="",AQ38="",AQ38=0,AR38=0),"",AR38/AQ38-1)</f>
        <v/>
      </c>
      <c r="AU38" s="35">
        <f>IF(OR(AQ38="",AJ38="",AJ38=0),"",AQ38/AJ38)</f>
        <v/>
      </c>
      <c r="AV38" s="35">
        <f>IF(OR(AR38="",AK38="",AK38=0),"",AR38/AK38)</f>
        <v/>
      </c>
      <c r="AW38" s="36">
        <f>IF(OR(AV38="",AU38=""),"",(AV38-AU38)*100)</f>
        <v/>
      </c>
      <c r="AX38" s="37">
        <f>IF(OR(AQ38="",O38="",O38=0),"",AQ38/O38)</f>
        <v/>
      </c>
      <c r="AY38" s="37">
        <f>IF(OR(AR38="",P38="",P38=0),"",AR38/P38)</f>
        <v/>
      </c>
      <c r="AZ38" s="36">
        <f>IF(OR(AY38="",AX38=""),"",(AY38-AX38)*100)</f>
        <v/>
      </c>
      <c r="BA38" s="37">
        <f>IF(OR(AQ38="",D38="",D38=0),"",AQ38/D38)</f>
        <v/>
      </c>
      <c r="BB38" s="37">
        <f>IF(OR(AR38="",E38="",E38=0),"",AR38/E38)</f>
        <v/>
      </c>
      <c r="BC38" s="36">
        <f>IF(OR(BB38="",BA38=""),"",(BB38-BA38)*100)</f>
        <v/>
      </c>
    </row>
    <row r="39">
      <c r="A39" s="40" t="inlineStr">
        <is>
          <t>Route page</t>
        </is>
      </c>
      <c r="B39" s="40" t="inlineStr">
        <is>
          <t>Direct</t>
        </is>
      </c>
      <c r="C39" s="40" t="inlineStr">
        <is>
          <t>Mobile</t>
        </is>
      </c>
      <c r="D39" s="68" t="n">
        <v>1793</v>
      </c>
      <c r="E39" s="68" t="n">
        <v>3776</v>
      </c>
      <c r="F39" s="69">
        <f>IF(OR(E39="",D39="",D39=0,E39=0),"",E39-D39)</f>
        <v/>
      </c>
      <c r="G39" s="42">
        <f>IF(OR(E39="",D39="",D39=0,E39=0),"",E39/D39-1)</f>
        <v/>
      </c>
      <c r="H39" s="68" t="n">
        <v>1038</v>
      </c>
      <c r="I39" s="68" t="n">
        <v>1443</v>
      </c>
      <c r="J39" s="69">
        <f>IF(OR(I39="",H39="",H39=0,I39=0),"",I39-H39)</f>
        <v/>
      </c>
      <c r="K39" s="42">
        <f>IF(OR(I39="",H39="",H39=0,I39=0),"",I39/H39-1)</f>
        <v/>
      </c>
      <c r="L39" s="43">
        <f>IF(OR(H39="",D39="",D39=0),"",H39/D39)</f>
        <v/>
      </c>
      <c r="M39" s="43">
        <f>IF(OR(I39="",E39="",E39=0),"",I39/E39)</f>
        <v/>
      </c>
      <c r="N39" s="44">
        <f>IF(OR(M39="",L39=""),"",(M39-L39)*100)</f>
        <v/>
      </c>
      <c r="O39" s="68" t="n">
        <v>863</v>
      </c>
      <c r="P39" s="68" t="n">
        <v>1919</v>
      </c>
      <c r="Q39" s="69">
        <f>IF(OR(P39="",O39="",O39=0,P39=0),"",P39-O39)</f>
        <v/>
      </c>
      <c r="R39" s="42">
        <f>IF(OR(P39="",O39="",O39=0,P39=0),"",P39/O39-1)</f>
        <v/>
      </c>
      <c r="S39" s="43">
        <f>IF(OR(O39="",D39="",D39=0),"",O39/D39)</f>
        <v/>
      </c>
      <c r="T39" s="43">
        <f>IF(OR(P39="",E39="",E39=0),"",P39/E39)</f>
        <v/>
      </c>
      <c r="U39" s="44">
        <f>IF(OR(T39="",S39=""),"",(T39-S39)*100)</f>
        <v/>
      </c>
      <c r="V39" s="68" t="n">
        <v>214</v>
      </c>
      <c r="W39" s="68" t="n">
        <v>388</v>
      </c>
      <c r="X39" s="69">
        <f>IF(OR(W39="",V39="",V39=0,W39=0),"",W39-V39)</f>
        <v/>
      </c>
      <c r="Y39" s="42">
        <f>IF(OR(W39="",V39="",V39=0,W39=0),"",W39/V39-1)</f>
        <v/>
      </c>
      <c r="Z39" s="43">
        <f>IF(OR(V39="",O39="",O39=0),"",V39/O39)</f>
        <v/>
      </c>
      <c r="AA39" s="43">
        <f>IF(OR(W39="",P39="",P39=0),"",W39/P39)</f>
        <v/>
      </c>
      <c r="AB39" s="44">
        <f>IF(OR(AA39="",Z39=""),"",(AA39-Z39)*100)</f>
        <v/>
      </c>
      <c r="AC39" s="68" t="n">
        <v>160</v>
      </c>
      <c r="AD39" s="68" t="n">
        <v>277</v>
      </c>
      <c r="AE39" s="69">
        <f>IF(OR(AD39="",AC39="",AC39=0,AD39=0),"",AD39-AC39)</f>
        <v/>
      </c>
      <c r="AF39" s="42">
        <f>IF(OR(AD39="",AC39="",AC39=0,AD39=0),"",AD39/AC39-1)</f>
        <v/>
      </c>
      <c r="AG39" s="43">
        <f>IF(OR(AC39="",V39="",V39=0),"",AC39/V39)</f>
        <v/>
      </c>
      <c r="AH39" s="43">
        <f>IF(OR(AD39="",W39="",W39=0),"",AD39/W39)</f>
        <v/>
      </c>
      <c r="AI39" s="44">
        <f>IF(OR(AH39="",AG39=""),"",(AH39-AG39)*100)</f>
        <v/>
      </c>
      <c r="AJ39" s="68" t="n">
        <v>48</v>
      </c>
      <c r="AK39" s="68" t="n">
        <v>79</v>
      </c>
      <c r="AL39" s="69">
        <f>IF(OR(AK39="",AJ39="",AJ39=0,AK39=0),"",AK39-AJ39)</f>
        <v/>
      </c>
      <c r="AM39" s="42">
        <f>IF(OR(AK39="",AJ39="",AJ39=0,AK39=0),"",AK39/AJ39-1)</f>
        <v/>
      </c>
      <c r="AN39" s="43">
        <f>IF(OR(AJ39="",AC39="",AC39=0),"",AJ39/AC39)</f>
        <v/>
      </c>
      <c r="AO39" s="43">
        <f>IF(OR(AK39="",AD39="",AD39=0),"",AK39/AD39)</f>
        <v/>
      </c>
      <c r="AP39" s="44">
        <f>IF(OR(AO39="",AN39=""),"",(AO39-AN39)*100)</f>
        <v/>
      </c>
      <c r="AQ39" s="68" t="n">
        <v>31</v>
      </c>
      <c r="AR39" s="68" t="n">
        <v>66</v>
      </c>
      <c r="AS39" s="69">
        <f>IF(OR(AR39="",AQ39="",AQ39=0,AR39=0),"",AR39-AQ39)</f>
        <v/>
      </c>
      <c r="AT39" s="42">
        <f>IF(OR(AR39="",AQ39="",AQ39=0,AR39=0),"",AR39/AQ39-1)</f>
        <v/>
      </c>
      <c r="AU39" s="43">
        <f>IF(OR(AQ39="",AJ39="",AJ39=0),"",AQ39/AJ39)</f>
        <v/>
      </c>
      <c r="AV39" s="43">
        <f>IF(OR(AR39="",AK39="",AK39=0),"",AR39/AK39)</f>
        <v/>
      </c>
      <c r="AW39" s="44">
        <f>IF(OR(AV39="",AU39=""),"",(AV39-AU39)*100)</f>
        <v/>
      </c>
      <c r="AX39" s="45">
        <f>IF(OR(AQ39="",O39="",O39=0),"",AQ39/O39)</f>
        <v/>
      </c>
      <c r="AY39" s="45">
        <f>IF(OR(AR39="",P39="",P39=0),"",AR39/P39)</f>
        <v/>
      </c>
      <c r="AZ39" s="44">
        <f>IF(OR(AY39="",AX39=""),"",(AY39-AX39)*100)</f>
        <v/>
      </c>
      <c r="BA39" s="45">
        <f>IF(OR(AQ39="",D39="",D39=0),"",AQ39/D39)</f>
        <v/>
      </c>
      <c r="BB39" s="45">
        <f>IF(OR(AR39="",E39="",E39=0),"",AR39/E39)</f>
        <v/>
      </c>
      <c r="BC39" s="44">
        <f>IF(OR(BB39="",BA39=""),"",(BB39-BA39)*100)</f>
        <v/>
      </c>
    </row>
    <row r="40">
      <c r="A40" s="40" t="inlineStr">
        <is>
          <t>Route page</t>
        </is>
      </c>
      <c r="B40" s="40" t="inlineStr">
        <is>
          <t>Direct</t>
        </is>
      </c>
      <c r="C40" s="40" t="inlineStr">
        <is>
          <t>Desktop</t>
        </is>
      </c>
      <c r="D40" s="68" t="n">
        <v>952</v>
      </c>
      <c r="E40" s="68" t="n">
        <v>4755</v>
      </c>
      <c r="F40" s="69">
        <f>IF(OR(E40="",D40="",D40=0,E40=0),"",E40-D40)</f>
        <v/>
      </c>
      <c r="G40" s="42">
        <f>IF(OR(E40="",D40="",D40=0,E40=0),"",E40/D40-1)</f>
        <v/>
      </c>
      <c r="H40" s="68" t="n">
        <v>332</v>
      </c>
      <c r="I40" s="68" t="n">
        <v>1638</v>
      </c>
      <c r="J40" s="69">
        <f>IF(OR(I40="",H40="",H40=0,I40=0),"",I40-H40)</f>
        <v/>
      </c>
      <c r="K40" s="42">
        <f>IF(OR(I40="",H40="",H40=0,I40=0),"",I40/H40-1)</f>
        <v/>
      </c>
      <c r="L40" s="43">
        <f>IF(OR(H40="",D40="",D40=0),"",H40/D40)</f>
        <v/>
      </c>
      <c r="M40" s="43">
        <f>IF(OR(I40="",E40="",E40=0),"",I40/E40)</f>
        <v/>
      </c>
      <c r="N40" s="44">
        <f>IF(OR(M40="",L40=""),"",(M40-L40)*100)</f>
        <v/>
      </c>
      <c r="O40" s="68" t="n">
        <v>308</v>
      </c>
      <c r="P40" s="68" t="n">
        <v>2632</v>
      </c>
      <c r="Q40" s="69">
        <f>IF(OR(P40="",O40="",O40=0,P40=0),"",P40-O40)</f>
        <v/>
      </c>
      <c r="R40" s="42">
        <f>IF(OR(P40="",O40="",O40=0,P40=0),"",P40/O40-1)</f>
        <v/>
      </c>
      <c r="S40" s="43">
        <f>IF(OR(O40="",D40="",D40=0),"",O40/D40)</f>
        <v/>
      </c>
      <c r="T40" s="43">
        <f>IF(OR(P40="",E40="",E40=0),"",P40/E40)</f>
        <v/>
      </c>
      <c r="U40" s="44">
        <f>IF(OR(T40="",S40=""),"",(T40-S40)*100)</f>
        <v/>
      </c>
      <c r="V40" s="68" t="n">
        <v>92</v>
      </c>
      <c r="W40" s="68" t="n">
        <v>606</v>
      </c>
      <c r="X40" s="69">
        <f>IF(OR(W40="",V40="",V40=0,W40=0),"",W40-V40)</f>
        <v/>
      </c>
      <c r="Y40" s="42">
        <f>IF(OR(W40="",V40="",V40=0,W40=0),"",W40/V40-1)</f>
        <v/>
      </c>
      <c r="Z40" s="43">
        <f>IF(OR(V40="",O40="",O40=0),"",V40/O40)</f>
        <v/>
      </c>
      <c r="AA40" s="43">
        <f>IF(OR(W40="",P40="",P40=0),"",W40/P40)</f>
        <v/>
      </c>
      <c r="AB40" s="44">
        <f>IF(OR(AA40="",Z40=""),"",(AA40-Z40)*100)</f>
        <v/>
      </c>
      <c r="AC40" s="68" t="n">
        <v>77</v>
      </c>
      <c r="AD40" s="68" t="n">
        <v>487</v>
      </c>
      <c r="AE40" s="69">
        <f>IF(OR(AD40="",AC40="",AC40=0,AD40=0),"",AD40-AC40)</f>
        <v/>
      </c>
      <c r="AF40" s="42">
        <f>IF(OR(AD40="",AC40="",AC40=0,AD40=0),"",AD40/AC40-1)</f>
        <v/>
      </c>
      <c r="AG40" s="43">
        <f>IF(OR(AC40="",V40="",V40=0),"",AC40/V40)</f>
        <v/>
      </c>
      <c r="AH40" s="43">
        <f>IF(OR(AD40="",W40="",W40=0),"",AD40/W40)</f>
        <v/>
      </c>
      <c r="AI40" s="44">
        <f>IF(OR(AH40="",AG40=""),"",(AH40-AG40)*100)</f>
        <v/>
      </c>
      <c r="AJ40" s="68" t="n">
        <v>38</v>
      </c>
      <c r="AK40" s="68" t="n">
        <v>157</v>
      </c>
      <c r="AL40" s="69">
        <f>IF(OR(AK40="",AJ40="",AJ40=0,AK40=0),"",AK40-AJ40)</f>
        <v/>
      </c>
      <c r="AM40" s="42">
        <f>IF(OR(AK40="",AJ40="",AJ40=0,AK40=0),"",AK40/AJ40-1)</f>
        <v/>
      </c>
      <c r="AN40" s="43">
        <f>IF(OR(AJ40="",AC40="",AC40=0),"",AJ40/AC40)</f>
        <v/>
      </c>
      <c r="AO40" s="43">
        <f>IF(OR(AK40="",AD40="",AD40=0),"",AK40/AD40)</f>
        <v/>
      </c>
      <c r="AP40" s="44">
        <f>IF(OR(AO40="",AN40=""),"",(AO40-AN40)*100)</f>
        <v/>
      </c>
      <c r="AQ40" s="68" t="n">
        <v>33</v>
      </c>
      <c r="AR40" s="68" t="n">
        <v>132</v>
      </c>
      <c r="AS40" s="69">
        <f>IF(OR(AR40="",AQ40="",AQ40=0,AR40=0),"",AR40-AQ40)</f>
        <v/>
      </c>
      <c r="AT40" s="42">
        <f>IF(OR(AR40="",AQ40="",AQ40=0,AR40=0),"",AR40/AQ40-1)</f>
        <v/>
      </c>
      <c r="AU40" s="43">
        <f>IF(OR(AQ40="",AJ40="",AJ40=0),"",AQ40/AJ40)</f>
        <v/>
      </c>
      <c r="AV40" s="43">
        <f>IF(OR(AR40="",AK40="",AK40=0),"",AR40/AK40)</f>
        <v/>
      </c>
      <c r="AW40" s="44">
        <f>IF(OR(AV40="",AU40=""),"",(AV40-AU40)*100)</f>
        <v/>
      </c>
      <c r="AX40" s="45">
        <f>IF(OR(AQ40="",O40="",O40=0),"",AQ40/O40)</f>
        <v/>
      </c>
      <c r="AY40" s="45">
        <f>IF(OR(AR40="",P40="",P40=0),"",AR40/P40)</f>
        <v/>
      </c>
      <c r="AZ40" s="44">
        <f>IF(OR(AY40="",AX40=""),"",(AY40-AX40)*100)</f>
        <v/>
      </c>
      <c r="BA40" s="45">
        <f>IF(OR(AQ40="",D40="",D40=0),"",AQ40/D40)</f>
        <v/>
      </c>
      <c r="BB40" s="45">
        <f>IF(OR(AR40="",E40="",E40=0),"",AR40/E40)</f>
        <v/>
      </c>
      <c r="BC40" s="44">
        <f>IF(OR(BB40="",BA40=""),"",(BB40-BA40)*100)</f>
        <v/>
      </c>
    </row>
    <row r="41">
      <c r="A41" s="32" t="inlineStr">
        <is>
          <t>Other pages (derived)</t>
        </is>
      </c>
      <c r="B41" s="32" t="inlineStr">
        <is>
          <t>Paid Search</t>
        </is>
      </c>
      <c r="C41" s="32" t="inlineStr">
        <is>
          <t>Total</t>
        </is>
      </c>
      <c r="D41" s="33">
        <f>D5-D14-D23-D32</f>
        <v/>
      </c>
      <c r="E41" s="33">
        <f>E5-E14-E23-E32</f>
        <v/>
      </c>
      <c r="F41" s="67">
        <f>IF(OR(E41="",D41="",D41=0,E41=0),"",E41-D41)</f>
        <v/>
      </c>
      <c r="G41" s="34">
        <f>IF(OR(E41="",D41="",D41=0,E41=0),"",E41/D41-1)</f>
        <v/>
      </c>
      <c r="H41" s="33">
        <f>H5-H14-H23-H32</f>
        <v/>
      </c>
      <c r="I41" s="33">
        <f>I5-I14-I23-I32</f>
        <v/>
      </c>
      <c r="J41" s="67">
        <f>IF(OR(I41="",H41="",H41=0,I41=0),"",I41-H41)</f>
        <v/>
      </c>
      <c r="K41" s="34">
        <f>IF(OR(I41="",H41="",H41=0,I41=0),"",I41/H41-1)</f>
        <v/>
      </c>
      <c r="L41" s="35">
        <f>IF(OR(H41="",D41="",D41=0),"",H41/D41)</f>
        <v/>
      </c>
      <c r="M41" s="35">
        <f>IF(OR(I41="",E41="",E41=0),"",I41/E41)</f>
        <v/>
      </c>
      <c r="N41" s="36">
        <f>IF(OR(M41="",L41=""),"",(M41-L41)*100)</f>
        <v/>
      </c>
      <c r="O41" s="33">
        <f>O5-O14-O23-O32</f>
        <v/>
      </c>
      <c r="P41" s="33">
        <f>P5-P14-P23-P32</f>
        <v/>
      </c>
      <c r="Q41" s="67">
        <f>IF(OR(P41="",O41="",O41=0,P41=0),"",P41-O41)</f>
        <v/>
      </c>
      <c r="R41" s="34">
        <f>IF(OR(P41="",O41="",O41=0,P41=0),"",P41/O41-1)</f>
        <v/>
      </c>
      <c r="S41" s="35">
        <f>IF(OR(O41="",D41="",D41=0),"",O41/D41)</f>
        <v/>
      </c>
      <c r="T41" s="35">
        <f>IF(OR(P41="",E41="",E41=0),"",P41/E41)</f>
        <v/>
      </c>
      <c r="U41" s="36">
        <f>IF(OR(T41="",S41=""),"",(T41-S41)*100)</f>
        <v/>
      </c>
      <c r="V41" s="33">
        <f>V5-V14-V23-V32</f>
        <v/>
      </c>
      <c r="W41" s="33">
        <f>W5-W14-W23-W32</f>
        <v/>
      </c>
      <c r="X41" s="67">
        <f>IF(OR(W41="",V41="",V41=0,W41=0),"",W41-V41)</f>
        <v/>
      </c>
      <c r="Y41" s="34">
        <f>IF(OR(W41="",V41="",V41=0,W41=0),"",W41/V41-1)</f>
        <v/>
      </c>
      <c r="Z41" s="35">
        <f>IF(OR(V41="",O41="",O41=0),"",V41/O41)</f>
        <v/>
      </c>
      <c r="AA41" s="35">
        <f>IF(OR(W41="",P41="",P41=0),"",W41/P41)</f>
        <v/>
      </c>
      <c r="AB41" s="36">
        <f>IF(OR(AA41="",Z41=""),"",(AA41-Z41)*100)</f>
        <v/>
      </c>
      <c r="AC41" s="33">
        <f>AC5-AC14-AC23-AC32</f>
        <v/>
      </c>
      <c r="AD41" s="33">
        <f>AD5-AD14-AD23-AD32</f>
        <v/>
      </c>
      <c r="AE41" s="67">
        <f>IF(OR(AD41="",AC41="",AC41=0,AD41=0),"",AD41-AC41)</f>
        <v/>
      </c>
      <c r="AF41" s="34">
        <f>IF(OR(AD41="",AC41="",AC41=0,AD41=0),"",AD41/AC41-1)</f>
        <v/>
      </c>
      <c r="AG41" s="35">
        <f>IF(OR(AC41="",V41="",V41=0),"",AC41/V41)</f>
        <v/>
      </c>
      <c r="AH41" s="35">
        <f>IF(OR(AD41="",W41="",W41=0),"",AD41/W41)</f>
        <v/>
      </c>
      <c r="AI41" s="36">
        <f>IF(OR(AH41="",AG41=""),"",(AH41-AG41)*100)</f>
        <v/>
      </c>
      <c r="AJ41" s="33">
        <f>AJ5-AJ14-AJ23-AJ32</f>
        <v/>
      </c>
      <c r="AK41" s="33">
        <f>AK5-AK14-AK23-AK32</f>
        <v/>
      </c>
      <c r="AL41" s="67">
        <f>IF(OR(AK41="",AJ41="",AJ41=0,AK41=0),"",AK41-AJ41)</f>
        <v/>
      </c>
      <c r="AM41" s="34">
        <f>IF(OR(AK41="",AJ41="",AJ41=0,AK41=0),"",AK41/AJ41-1)</f>
        <v/>
      </c>
      <c r="AN41" s="35">
        <f>IF(OR(AJ41="",AC41="",AC41=0),"",AJ41/AC41)</f>
        <v/>
      </c>
      <c r="AO41" s="35">
        <f>IF(OR(AK41="",AD41="",AD41=0),"",AK41/AD41)</f>
        <v/>
      </c>
      <c r="AP41" s="36">
        <f>IF(OR(AO41="",AN41=""),"",(AO41-AN41)*100)</f>
        <v/>
      </c>
      <c r="AQ41" s="33">
        <f>AQ5-AQ14-AQ23-AQ32</f>
        <v/>
      </c>
      <c r="AR41" s="33">
        <f>AR5-AR14-AR23-AR32</f>
        <v/>
      </c>
      <c r="AS41" s="67">
        <f>IF(OR(AR41="",AQ41="",AQ41=0,AR41=0),"",AR41-AQ41)</f>
        <v/>
      </c>
      <c r="AT41" s="34">
        <f>IF(OR(AR41="",AQ41="",AQ41=0,AR41=0),"",AR41/AQ41-1)</f>
        <v/>
      </c>
      <c r="AU41" s="35">
        <f>IF(OR(AQ41="",AJ41="",AJ41=0),"",AQ41/AJ41)</f>
        <v/>
      </c>
      <c r="AV41" s="35">
        <f>IF(OR(AR41="",AK41="",AK41=0),"",AR41/AK41)</f>
        <v/>
      </c>
      <c r="AW41" s="36">
        <f>IF(OR(AV41="",AU41=""),"",(AV41-AU41)*100)</f>
        <v/>
      </c>
      <c r="AX41" s="37">
        <f>IF(OR(AQ41="",O41="",O41=0),"",AQ41/O41)</f>
        <v/>
      </c>
      <c r="AY41" s="37">
        <f>IF(OR(AR41="",P41="",P41=0),"",AR41/P41)</f>
        <v/>
      </c>
      <c r="AZ41" s="36">
        <f>IF(OR(AY41="",AX41=""),"",(AY41-AX41)*100)</f>
        <v/>
      </c>
      <c r="BA41" s="37">
        <f>IF(OR(AQ41="",D41="",D41=0),"",AQ41/D41)</f>
        <v/>
      </c>
      <c r="BB41" s="37">
        <f>IF(OR(AR41="",E41="",E41=0),"",AR41/E41)</f>
        <v/>
      </c>
      <c r="BC41" s="36">
        <f>IF(OR(BB41="",BA41=""),"",(BB41-BA41)*100)</f>
        <v/>
      </c>
    </row>
    <row r="42">
      <c r="A42" s="40" t="inlineStr">
        <is>
          <t>Other pages (derived)</t>
        </is>
      </c>
      <c r="B42" s="40" t="inlineStr">
        <is>
          <t>Paid Search</t>
        </is>
      </c>
      <c r="C42" s="40" t="inlineStr">
        <is>
          <t>Mobile</t>
        </is>
      </c>
      <c r="D42" s="41">
        <f>D6-D15-D24-D33</f>
        <v/>
      </c>
      <c r="E42" s="41">
        <f>E6-E15-E24-E33</f>
        <v/>
      </c>
      <c r="F42" s="69">
        <f>IF(OR(E42="",D42="",D42=0,E42=0),"",E42-D42)</f>
        <v/>
      </c>
      <c r="G42" s="42">
        <f>IF(OR(E42="",D42="",D42=0,E42=0),"",E42/D42-1)</f>
        <v/>
      </c>
      <c r="H42" s="41">
        <f>H6-H15-H24-H33</f>
        <v/>
      </c>
      <c r="I42" s="41">
        <f>I6-I15-I24-I33</f>
        <v/>
      </c>
      <c r="J42" s="69">
        <f>IF(OR(I42="",H42="",H42=0,I42=0),"",I42-H42)</f>
        <v/>
      </c>
      <c r="K42" s="42">
        <f>IF(OR(I42="",H42="",H42=0,I42=0),"",I42/H42-1)</f>
        <v/>
      </c>
      <c r="L42" s="43">
        <f>IF(OR(H42="",D42="",D42=0),"",H42/D42)</f>
        <v/>
      </c>
      <c r="M42" s="43">
        <f>IF(OR(I42="",E42="",E42=0),"",I42/E42)</f>
        <v/>
      </c>
      <c r="N42" s="44">
        <f>IF(OR(M42="",L42=""),"",(M42-L42)*100)</f>
        <v/>
      </c>
      <c r="O42" s="41">
        <f>O6-O15-O24-O33</f>
        <v/>
      </c>
      <c r="P42" s="41">
        <f>P6-P15-P24-P33</f>
        <v/>
      </c>
      <c r="Q42" s="69">
        <f>IF(OR(P42="",O42="",O42=0,P42=0),"",P42-O42)</f>
        <v/>
      </c>
      <c r="R42" s="42">
        <f>IF(OR(P42="",O42="",O42=0,P42=0),"",P42/O42-1)</f>
        <v/>
      </c>
      <c r="S42" s="43">
        <f>IF(OR(O42="",D42="",D42=0),"",O42/D42)</f>
        <v/>
      </c>
      <c r="T42" s="43">
        <f>IF(OR(P42="",E42="",E42=0),"",P42/E42)</f>
        <v/>
      </c>
      <c r="U42" s="44">
        <f>IF(OR(T42="",S42=""),"",(T42-S42)*100)</f>
        <v/>
      </c>
      <c r="V42" s="41">
        <f>V6-V15-V24-V33</f>
        <v/>
      </c>
      <c r="W42" s="41">
        <f>W6-W15-W24-W33</f>
        <v/>
      </c>
      <c r="X42" s="69">
        <f>IF(OR(W42="",V42="",V42=0,W42=0),"",W42-V42)</f>
        <v/>
      </c>
      <c r="Y42" s="42">
        <f>IF(OR(W42="",V42="",V42=0,W42=0),"",W42/V42-1)</f>
        <v/>
      </c>
      <c r="Z42" s="43">
        <f>IF(OR(V42="",O42="",O42=0),"",V42/O42)</f>
        <v/>
      </c>
      <c r="AA42" s="43">
        <f>IF(OR(W42="",P42="",P42=0),"",W42/P42)</f>
        <v/>
      </c>
      <c r="AB42" s="44">
        <f>IF(OR(AA42="",Z42=""),"",(AA42-Z42)*100)</f>
        <v/>
      </c>
      <c r="AC42" s="41">
        <f>AC6-AC15-AC24-AC33</f>
        <v/>
      </c>
      <c r="AD42" s="41">
        <f>AD6-AD15-AD24-AD33</f>
        <v/>
      </c>
      <c r="AE42" s="69">
        <f>IF(OR(AD42="",AC42="",AC42=0,AD42=0),"",AD42-AC42)</f>
        <v/>
      </c>
      <c r="AF42" s="42">
        <f>IF(OR(AD42="",AC42="",AC42=0,AD42=0),"",AD42/AC42-1)</f>
        <v/>
      </c>
      <c r="AG42" s="43">
        <f>IF(OR(AC42="",V42="",V42=0),"",AC42/V42)</f>
        <v/>
      </c>
      <c r="AH42" s="43">
        <f>IF(OR(AD42="",W42="",W42=0),"",AD42/W42)</f>
        <v/>
      </c>
      <c r="AI42" s="44">
        <f>IF(OR(AH42="",AG42=""),"",(AH42-AG42)*100)</f>
        <v/>
      </c>
      <c r="AJ42" s="41">
        <f>AJ6-AJ15-AJ24-AJ33</f>
        <v/>
      </c>
      <c r="AK42" s="41">
        <f>AK6-AK15-AK24-AK33</f>
        <v/>
      </c>
      <c r="AL42" s="69">
        <f>IF(OR(AK42="",AJ42="",AJ42=0,AK42=0),"",AK42-AJ42)</f>
        <v/>
      </c>
      <c r="AM42" s="42">
        <f>IF(OR(AK42="",AJ42="",AJ42=0,AK42=0),"",AK42/AJ42-1)</f>
        <v/>
      </c>
      <c r="AN42" s="43">
        <f>IF(OR(AJ42="",AC42="",AC42=0),"",AJ42/AC42)</f>
        <v/>
      </c>
      <c r="AO42" s="43">
        <f>IF(OR(AK42="",AD42="",AD42=0),"",AK42/AD42)</f>
        <v/>
      </c>
      <c r="AP42" s="44">
        <f>IF(OR(AO42="",AN42=""),"",(AO42-AN42)*100)</f>
        <v/>
      </c>
      <c r="AQ42" s="41">
        <f>AQ6-AQ15-AQ24-AQ33</f>
        <v/>
      </c>
      <c r="AR42" s="41">
        <f>AR6-AR15-AR24-AR33</f>
        <v/>
      </c>
      <c r="AS42" s="69">
        <f>IF(OR(AR42="",AQ42="",AQ42=0,AR42=0),"",AR42-AQ42)</f>
        <v/>
      </c>
      <c r="AT42" s="42">
        <f>IF(OR(AR42="",AQ42="",AQ42=0,AR42=0),"",AR42/AQ42-1)</f>
        <v/>
      </c>
      <c r="AU42" s="43">
        <f>IF(OR(AQ42="",AJ42="",AJ42=0),"",AQ42/AJ42)</f>
        <v/>
      </c>
      <c r="AV42" s="43">
        <f>IF(OR(AR42="",AK42="",AK42=0),"",AR42/AK42)</f>
        <v/>
      </c>
      <c r="AW42" s="44">
        <f>IF(OR(AV42="",AU42=""),"",(AV42-AU42)*100)</f>
        <v/>
      </c>
      <c r="AX42" s="45">
        <f>IF(OR(AQ42="",O42="",O42=0),"",AQ42/O42)</f>
        <v/>
      </c>
      <c r="AY42" s="45">
        <f>IF(OR(AR42="",P42="",P42=0),"",AR42/P42)</f>
        <v/>
      </c>
      <c r="AZ42" s="44">
        <f>IF(OR(AY42="",AX42=""),"",(AY42-AX42)*100)</f>
        <v/>
      </c>
      <c r="BA42" s="45">
        <f>IF(OR(AQ42="",D42="",D42=0),"",AQ42/D42)</f>
        <v/>
      </c>
      <c r="BB42" s="45">
        <f>IF(OR(AR42="",E42="",E42=0),"",AR42/E42)</f>
        <v/>
      </c>
      <c r="BC42" s="44">
        <f>IF(OR(BB42="",BA42=""),"",(BB42-BA42)*100)</f>
        <v/>
      </c>
    </row>
    <row r="43">
      <c r="A43" s="40" t="inlineStr">
        <is>
          <t>Other pages (derived)</t>
        </is>
      </c>
      <c r="B43" s="40" t="inlineStr">
        <is>
          <t>Paid Search</t>
        </is>
      </c>
      <c r="C43" s="40" t="inlineStr">
        <is>
          <t>Desktop</t>
        </is>
      </c>
      <c r="D43" s="41">
        <f>D7-D16-D25-D34</f>
        <v/>
      </c>
      <c r="E43" s="41">
        <f>E7-E16-E25-E34</f>
        <v/>
      </c>
      <c r="F43" s="69">
        <f>IF(OR(E43="",D43="",D43=0,E43=0),"",E43-D43)</f>
        <v/>
      </c>
      <c r="G43" s="42">
        <f>IF(OR(E43="",D43="",D43=0,E43=0),"",E43/D43-1)</f>
        <v/>
      </c>
      <c r="H43" s="41">
        <f>H7-H16-H25-H34</f>
        <v/>
      </c>
      <c r="I43" s="41">
        <f>I7-I16-I25-I34</f>
        <v/>
      </c>
      <c r="J43" s="69">
        <f>IF(OR(I43="",H43="",H43=0,I43=0),"",I43-H43)</f>
        <v/>
      </c>
      <c r="K43" s="42">
        <f>IF(OR(I43="",H43="",H43=0,I43=0),"",I43/H43-1)</f>
        <v/>
      </c>
      <c r="L43" s="43">
        <f>IF(OR(H43="",D43="",D43=0),"",H43/D43)</f>
        <v/>
      </c>
      <c r="M43" s="43">
        <f>IF(OR(I43="",E43="",E43=0),"",I43/E43)</f>
        <v/>
      </c>
      <c r="N43" s="44">
        <f>IF(OR(M43="",L43=""),"",(M43-L43)*100)</f>
        <v/>
      </c>
      <c r="O43" s="41">
        <f>O7-O16-O25-O34</f>
        <v/>
      </c>
      <c r="P43" s="41">
        <f>P7-P16-P25-P34</f>
        <v/>
      </c>
      <c r="Q43" s="69">
        <f>IF(OR(P43="",O43="",O43=0,P43=0),"",P43-O43)</f>
        <v/>
      </c>
      <c r="R43" s="42">
        <f>IF(OR(P43="",O43="",O43=0,P43=0),"",P43/O43-1)</f>
        <v/>
      </c>
      <c r="S43" s="43">
        <f>IF(OR(O43="",D43="",D43=0),"",O43/D43)</f>
        <v/>
      </c>
      <c r="T43" s="43">
        <f>IF(OR(P43="",E43="",E43=0),"",P43/E43)</f>
        <v/>
      </c>
      <c r="U43" s="44">
        <f>IF(OR(T43="",S43=""),"",(T43-S43)*100)</f>
        <v/>
      </c>
      <c r="V43" s="41">
        <f>V7-V16-V25-V34</f>
        <v/>
      </c>
      <c r="W43" s="41">
        <f>W7-W16-W25-W34</f>
        <v/>
      </c>
      <c r="X43" s="69">
        <f>IF(OR(W43="",V43="",V43=0,W43=0),"",W43-V43)</f>
        <v/>
      </c>
      <c r="Y43" s="42">
        <f>IF(OR(W43="",V43="",V43=0,W43=0),"",W43/V43-1)</f>
        <v/>
      </c>
      <c r="Z43" s="43">
        <f>IF(OR(V43="",O43="",O43=0),"",V43/O43)</f>
        <v/>
      </c>
      <c r="AA43" s="43">
        <f>IF(OR(W43="",P43="",P43=0),"",W43/P43)</f>
        <v/>
      </c>
      <c r="AB43" s="44">
        <f>IF(OR(AA43="",Z43=""),"",(AA43-Z43)*100)</f>
        <v/>
      </c>
      <c r="AC43" s="41">
        <f>AC7-AC16-AC25-AC34</f>
        <v/>
      </c>
      <c r="AD43" s="41">
        <f>AD7-AD16-AD25-AD34</f>
        <v/>
      </c>
      <c r="AE43" s="69">
        <f>IF(OR(AD43="",AC43="",AC43=0,AD43=0),"",AD43-AC43)</f>
        <v/>
      </c>
      <c r="AF43" s="42">
        <f>IF(OR(AD43="",AC43="",AC43=0,AD43=0),"",AD43/AC43-1)</f>
        <v/>
      </c>
      <c r="AG43" s="43">
        <f>IF(OR(AC43="",V43="",V43=0),"",AC43/V43)</f>
        <v/>
      </c>
      <c r="AH43" s="43">
        <f>IF(OR(AD43="",W43="",W43=0),"",AD43/W43)</f>
        <v/>
      </c>
      <c r="AI43" s="44">
        <f>IF(OR(AH43="",AG43=""),"",(AH43-AG43)*100)</f>
        <v/>
      </c>
      <c r="AJ43" s="41">
        <f>AJ7-AJ16-AJ25-AJ34</f>
        <v/>
      </c>
      <c r="AK43" s="41">
        <f>AK7-AK16-AK25-AK34</f>
        <v/>
      </c>
      <c r="AL43" s="69">
        <f>IF(OR(AK43="",AJ43="",AJ43=0,AK43=0),"",AK43-AJ43)</f>
        <v/>
      </c>
      <c r="AM43" s="42">
        <f>IF(OR(AK43="",AJ43="",AJ43=0,AK43=0),"",AK43/AJ43-1)</f>
        <v/>
      </c>
      <c r="AN43" s="43">
        <f>IF(OR(AJ43="",AC43="",AC43=0),"",AJ43/AC43)</f>
        <v/>
      </c>
      <c r="AO43" s="43">
        <f>IF(OR(AK43="",AD43="",AD43=0),"",AK43/AD43)</f>
        <v/>
      </c>
      <c r="AP43" s="44">
        <f>IF(OR(AO43="",AN43=""),"",(AO43-AN43)*100)</f>
        <v/>
      </c>
      <c r="AQ43" s="41">
        <f>AQ7-AQ16-AQ25-AQ34</f>
        <v/>
      </c>
      <c r="AR43" s="41">
        <f>AR7-AR16-AR25-AR34</f>
        <v/>
      </c>
      <c r="AS43" s="69">
        <f>IF(OR(AR43="",AQ43="",AQ43=0,AR43=0),"",AR43-AQ43)</f>
        <v/>
      </c>
      <c r="AT43" s="42">
        <f>IF(OR(AR43="",AQ43="",AQ43=0,AR43=0),"",AR43/AQ43-1)</f>
        <v/>
      </c>
      <c r="AU43" s="43">
        <f>IF(OR(AQ43="",AJ43="",AJ43=0),"",AQ43/AJ43)</f>
        <v/>
      </c>
      <c r="AV43" s="43">
        <f>IF(OR(AR43="",AK43="",AK43=0),"",AR43/AK43)</f>
        <v/>
      </c>
      <c r="AW43" s="44">
        <f>IF(OR(AV43="",AU43=""),"",(AV43-AU43)*100)</f>
        <v/>
      </c>
      <c r="AX43" s="45">
        <f>IF(OR(AQ43="",O43="",O43=0),"",AQ43/O43)</f>
        <v/>
      </c>
      <c r="AY43" s="45">
        <f>IF(OR(AR43="",P43="",P43=0),"",AR43/P43)</f>
        <v/>
      </c>
      <c r="AZ43" s="44">
        <f>IF(OR(AY43="",AX43=""),"",(AY43-AX43)*100)</f>
        <v/>
      </c>
      <c r="BA43" s="45">
        <f>IF(OR(AQ43="",D43="",D43=0),"",AQ43/D43)</f>
        <v/>
      </c>
      <c r="BB43" s="45">
        <f>IF(OR(AR43="",E43="",E43=0),"",AR43/E43)</f>
        <v/>
      </c>
      <c r="BC43" s="44">
        <f>IF(OR(BB43="",BA43=""),"",(BB43-BA43)*100)</f>
        <v/>
      </c>
    </row>
    <row r="44">
      <c r="A44" s="32" t="inlineStr">
        <is>
          <t>Other pages (derived)</t>
        </is>
      </c>
      <c r="B44" s="32" t="inlineStr">
        <is>
          <t>Organic</t>
        </is>
      </c>
      <c r="C44" s="32" t="inlineStr">
        <is>
          <t>Total</t>
        </is>
      </c>
      <c r="D44" s="33">
        <f>D8-D17-D26-D35</f>
        <v/>
      </c>
      <c r="E44" s="33">
        <f>E8-E17-E26-E35</f>
        <v/>
      </c>
      <c r="F44" s="67">
        <f>IF(OR(E44="",D44="",D44=0,E44=0),"",E44-D44)</f>
        <v/>
      </c>
      <c r="G44" s="34">
        <f>IF(OR(E44="",D44="",D44=0,E44=0),"",E44/D44-1)</f>
        <v/>
      </c>
      <c r="H44" s="33">
        <f>H8-H17-H26-H35</f>
        <v/>
      </c>
      <c r="I44" s="33">
        <f>I8-I17-I26-I35</f>
        <v/>
      </c>
      <c r="J44" s="67">
        <f>IF(OR(I44="",H44="",H44=0,I44=0),"",I44-H44)</f>
        <v/>
      </c>
      <c r="K44" s="34">
        <f>IF(OR(I44="",H44="",H44=0,I44=0),"",I44/H44-1)</f>
        <v/>
      </c>
      <c r="L44" s="35">
        <f>IF(OR(H44="",D44="",D44=0),"",H44/D44)</f>
        <v/>
      </c>
      <c r="M44" s="35">
        <f>IF(OR(I44="",E44="",E44=0),"",I44/E44)</f>
        <v/>
      </c>
      <c r="N44" s="36">
        <f>IF(OR(M44="",L44=""),"",(M44-L44)*100)</f>
        <v/>
      </c>
      <c r="O44" s="33">
        <f>O8-O17-O26-O35</f>
        <v/>
      </c>
      <c r="P44" s="33">
        <f>P8-P17-P26-P35</f>
        <v/>
      </c>
      <c r="Q44" s="67">
        <f>IF(OR(P44="",O44="",O44=0,P44=0),"",P44-O44)</f>
        <v/>
      </c>
      <c r="R44" s="34">
        <f>IF(OR(P44="",O44="",O44=0,P44=0),"",P44/O44-1)</f>
        <v/>
      </c>
      <c r="S44" s="35">
        <f>IF(OR(O44="",D44="",D44=0),"",O44/D44)</f>
        <v/>
      </c>
      <c r="T44" s="35">
        <f>IF(OR(P44="",E44="",E44=0),"",P44/E44)</f>
        <v/>
      </c>
      <c r="U44" s="36">
        <f>IF(OR(T44="",S44=""),"",(T44-S44)*100)</f>
        <v/>
      </c>
      <c r="V44" s="33">
        <f>V8-V17-V26-V35</f>
        <v/>
      </c>
      <c r="W44" s="33">
        <f>W8-W17-W26-W35</f>
        <v/>
      </c>
      <c r="X44" s="67">
        <f>IF(OR(W44="",V44="",V44=0,W44=0),"",W44-V44)</f>
        <v/>
      </c>
      <c r="Y44" s="34">
        <f>IF(OR(W44="",V44="",V44=0,W44=0),"",W44/V44-1)</f>
        <v/>
      </c>
      <c r="Z44" s="35">
        <f>IF(OR(V44="",O44="",O44=0),"",V44/O44)</f>
        <v/>
      </c>
      <c r="AA44" s="35">
        <f>IF(OR(W44="",P44="",P44=0),"",W44/P44)</f>
        <v/>
      </c>
      <c r="AB44" s="36">
        <f>IF(OR(AA44="",Z44=""),"",(AA44-Z44)*100)</f>
        <v/>
      </c>
      <c r="AC44" s="33">
        <f>AC8-AC17-AC26-AC35</f>
        <v/>
      </c>
      <c r="AD44" s="33">
        <f>AD8-AD17-AD26-AD35</f>
        <v/>
      </c>
      <c r="AE44" s="67">
        <f>IF(OR(AD44="",AC44="",AC44=0,AD44=0),"",AD44-AC44)</f>
        <v/>
      </c>
      <c r="AF44" s="34">
        <f>IF(OR(AD44="",AC44="",AC44=0,AD44=0),"",AD44/AC44-1)</f>
        <v/>
      </c>
      <c r="AG44" s="35">
        <f>IF(OR(AC44="",V44="",V44=0),"",AC44/V44)</f>
        <v/>
      </c>
      <c r="AH44" s="35">
        <f>IF(OR(AD44="",W44="",W44=0),"",AD44/W44)</f>
        <v/>
      </c>
      <c r="AI44" s="36">
        <f>IF(OR(AH44="",AG44=""),"",(AH44-AG44)*100)</f>
        <v/>
      </c>
      <c r="AJ44" s="33">
        <f>AJ8-AJ17-AJ26-AJ35</f>
        <v/>
      </c>
      <c r="AK44" s="33">
        <f>AK8-AK17-AK26-AK35</f>
        <v/>
      </c>
      <c r="AL44" s="67">
        <f>IF(OR(AK44="",AJ44="",AJ44=0,AK44=0),"",AK44-AJ44)</f>
        <v/>
      </c>
      <c r="AM44" s="34">
        <f>IF(OR(AK44="",AJ44="",AJ44=0,AK44=0),"",AK44/AJ44-1)</f>
        <v/>
      </c>
      <c r="AN44" s="35">
        <f>IF(OR(AJ44="",AC44="",AC44=0),"",AJ44/AC44)</f>
        <v/>
      </c>
      <c r="AO44" s="35">
        <f>IF(OR(AK44="",AD44="",AD44=0),"",AK44/AD44)</f>
        <v/>
      </c>
      <c r="AP44" s="36">
        <f>IF(OR(AO44="",AN44=""),"",(AO44-AN44)*100)</f>
        <v/>
      </c>
      <c r="AQ44" s="33">
        <f>AQ8-AQ17-AQ26-AQ35</f>
        <v/>
      </c>
      <c r="AR44" s="33">
        <f>AR8-AR17-AR26-AR35</f>
        <v/>
      </c>
      <c r="AS44" s="67">
        <f>IF(OR(AR44="",AQ44="",AQ44=0,AR44=0),"",AR44-AQ44)</f>
        <v/>
      </c>
      <c r="AT44" s="34">
        <f>IF(OR(AR44="",AQ44="",AQ44=0,AR44=0),"",AR44/AQ44-1)</f>
        <v/>
      </c>
      <c r="AU44" s="35">
        <f>IF(OR(AQ44="",AJ44="",AJ44=0),"",AQ44/AJ44)</f>
        <v/>
      </c>
      <c r="AV44" s="35">
        <f>IF(OR(AR44="",AK44="",AK44=0),"",AR44/AK44)</f>
        <v/>
      </c>
      <c r="AW44" s="36">
        <f>IF(OR(AV44="",AU44=""),"",(AV44-AU44)*100)</f>
        <v/>
      </c>
      <c r="AX44" s="37">
        <f>IF(OR(AQ44="",O44="",O44=0),"",AQ44/O44)</f>
        <v/>
      </c>
      <c r="AY44" s="37">
        <f>IF(OR(AR44="",P44="",P44=0),"",AR44/P44)</f>
        <v/>
      </c>
      <c r="AZ44" s="36">
        <f>IF(OR(AY44="",AX44=""),"",(AY44-AX44)*100)</f>
        <v/>
      </c>
      <c r="BA44" s="37">
        <f>IF(OR(AQ44="",D44="",D44=0),"",AQ44/D44)</f>
        <v/>
      </c>
      <c r="BB44" s="37">
        <f>IF(OR(AR44="",E44="",E44=0),"",AR44/E44)</f>
        <v/>
      </c>
      <c r="BC44" s="36">
        <f>IF(OR(BB44="",BA44=""),"",(BB44-BA44)*100)</f>
        <v/>
      </c>
    </row>
    <row r="45">
      <c r="A45" s="40" t="inlineStr">
        <is>
          <t>Other pages (derived)</t>
        </is>
      </c>
      <c r="B45" s="40" t="inlineStr">
        <is>
          <t>Organic</t>
        </is>
      </c>
      <c r="C45" s="40" t="inlineStr">
        <is>
          <t>Mobile</t>
        </is>
      </c>
      <c r="D45" s="41">
        <f>D9-D18-D27-D36</f>
        <v/>
      </c>
      <c r="E45" s="41">
        <f>E9-E18-E27-E36</f>
        <v/>
      </c>
      <c r="F45" s="69">
        <f>IF(OR(E45="",D45="",D45=0,E45=0),"",E45-D45)</f>
        <v/>
      </c>
      <c r="G45" s="42">
        <f>IF(OR(E45="",D45="",D45=0,E45=0),"",E45/D45-1)</f>
        <v/>
      </c>
      <c r="H45" s="41">
        <f>H9-H18-H27-H36</f>
        <v/>
      </c>
      <c r="I45" s="41">
        <f>I9-I18-I27-I36</f>
        <v/>
      </c>
      <c r="J45" s="69">
        <f>IF(OR(I45="",H45="",H45=0,I45=0),"",I45-H45)</f>
        <v/>
      </c>
      <c r="K45" s="42">
        <f>IF(OR(I45="",H45="",H45=0,I45=0),"",I45/H45-1)</f>
        <v/>
      </c>
      <c r="L45" s="43">
        <f>IF(OR(H45="",D45="",D45=0),"",H45/D45)</f>
        <v/>
      </c>
      <c r="M45" s="43">
        <f>IF(OR(I45="",E45="",E45=0),"",I45/E45)</f>
        <v/>
      </c>
      <c r="N45" s="44">
        <f>IF(OR(M45="",L45=""),"",(M45-L45)*100)</f>
        <v/>
      </c>
      <c r="O45" s="41">
        <f>O9-O18-O27-O36</f>
        <v/>
      </c>
      <c r="P45" s="41">
        <f>P9-P18-P27-P36</f>
        <v/>
      </c>
      <c r="Q45" s="69">
        <f>IF(OR(P45="",O45="",O45=0,P45=0),"",P45-O45)</f>
        <v/>
      </c>
      <c r="R45" s="42">
        <f>IF(OR(P45="",O45="",O45=0,P45=0),"",P45/O45-1)</f>
        <v/>
      </c>
      <c r="S45" s="43">
        <f>IF(OR(O45="",D45="",D45=0),"",O45/D45)</f>
        <v/>
      </c>
      <c r="T45" s="43">
        <f>IF(OR(P45="",E45="",E45=0),"",P45/E45)</f>
        <v/>
      </c>
      <c r="U45" s="44">
        <f>IF(OR(T45="",S45=""),"",(T45-S45)*100)</f>
        <v/>
      </c>
      <c r="V45" s="41">
        <f>V9-V18-V27-V36</f>
        <v/>
      </c>
      <c r="W45" s="41">
        <f>W9-W18-W27-W36</f>
        <v/>
      </c>
      <c r="X45" s="69">
        <f>IF(OR(W45="",V45="",V45=0,W45=0),"",W45-V45)</f>
        <v/>
      </c>
      <c r="Y45" s="42">
        <f>IF(OR(W45="",V45="",V45=0,W45=0),"",W45/V45-1)</f>
        <v/>
      </c>
      <c r="Z45" s="43">
        <f>IF(OR(V45="",O45="",O45=0),"",V45/O45)</f>
        <v/>
      </c>
      <c r="AA45" s="43">
        <f>IF(OR(W45="",P45="",P45=0),"",W45/P45)</f>
        <v/>
      </c>
      <c r="AB45" s="44">
        <f>IF(OR(AA45="",Z45=""),"",(AA45-Z45)*100)</f>
        <v/>
      </c>
      <c r="AC45" s="41">
        <f>AC9-AC18-AC27-AC36</f>
        <v/>
      </c>
      <c r="AD45" s="41">
        <f>AD9-AD18-AD27-AD36</f>
        <v/>
      </c>
      <c r="AE45" s="69">
        <f>IF(OR(AD45="",AC45="",AC45=0,AD45=0),"",AD45-AC45)</f>
        <v/>
      </c>
      <c r="AF45" s="42">
        <f>IF(OR(AD45="",AC45="",AC45=0,AD45=0),"",AD45/AC45-1)</f>
        <v/>
      </c>
      <c r="AG45" s="43">
        <f>IF(OR(AC45="",V45="",V45=0),"",AC45/V45)</f>
        <v/>
      </c>
      <c r="AH45" s="43">
        <f>IF(OR(AD45="",W45="",W45=0),"",AD45/W45)</f>
        <v/>
      </c>
      <c r="AI45" s="44">
        <f>IF(OR(AH45="",AG45=""),"",(AH45-AG45)*100)</f>
        <v/>
      </c>
      <c r="AJ45" s="41">
        <f>AJ9-AJ18-AJ27-AJ36</f>
        <v/>
      </c>
      <c r="AK45" s="41">
        <f>AK9-AK18-AK27-AK36</f>
        <v/>
      </c>
      <c r="AL45" s="69">
        <f>IF(OR(AK45="",AJ45="",AJ45=0,AK45=0),"",AK45-AJ45)</f>
        <v/>
      </c>
      <c r="AM45" s="42">
        <f>IF(OR(AK45="",AJ45="",AJ45=0,AK45=0),"",AK45/AJ45-1)</f>
        <v/>
      </c>
      <c r="AN45" s="43">
        <f>IF(OR(AJ45="",AC45="",AC45=0),"",AJ45/AC45)</f>
        <v/>
      </c>
      <c r="AO45" s="43">
        <f>IF(OR(AK45="",AD45="",AD45=0),"",AK45/AD45)</f>
        <v/>
      </c>
      <c r="AP45" s="44">
        <f>IF(OR(AO45="",AN45=""),"",(AO45-AN45)*100)</f>
        <v/>
      </c>
      <c r="AQ45" s="41">
        <f>AQ9-AQ18-AQ27-AQ36</f>
        <v/>
      </c>
      <c r="AR45" s="41">
        <f>AR9-AR18-AR27-AR36</f>
        <v/>
      </c>
      <c r="AS45" s="69">
        <f>IF(OR(AR45="",AQ45="",AQ45=0,AR45=0),"",AR45-AQ45)</f>
        <v/>
      </c>
      <c r="AT45" s="42">
        <f>IF(OR(AR45="",AQ45="",AQ45=0,AR45=0),"",AR45/AQ45-1)</f>
        <v/>
      </c>
      <c r="AU45" s="43">
        <f>IF(OR(AQ45="",AJ45="",AJ45=0),"",AQ45/AJ45)</f>
        <v/>
      </c>
      <c r="AV45" s="43">
        <f>IF(OR(AR45="",AK45="",AK45=0),"",AR45/AK45)</f>
        <v/>
      </c>
      <c r="AW45" s="44">
        <f>IF(OR(AV45="",AU45=""),"",(AV45-AU45)*100)</f>
        <v/>
      </c>
      <c r="AX45" s="45">
        <f>IF(OR(AQ45="",O45="",O45=0),"",AQ45/O45)</f>
        <v/>
      </c>
      <c r="AY45" s="45">
        <f>IF(OR(AR45="",P45="",P45=0),"",AR45/P45)</f>
        <v/>
      </c>
      <c r="AZ45" s="44">
        <f>IF(OR(AY45="",AX45=""),"",(AY45-AX45)*100)</f>
        <v/>
      </c>
      <c r="BA45" s="45">
        <f>IF(OR(AQ45="",D45="",D45=0),"",AQ45/D45)</f>
        <v/>
      </c>
      <c r="BB45" s="45">
        <f>IF(OR(AR45="",E45="",E45=0),"",AR45/E45)</f>
        <v/>
      </c>
      <c r="BC45" s="44">
        <f>IF(OR(BB45="",BA45=""),"",(BB45-BA45)*100)</f>
        <v/>
      </c>
    </row>
    <row r="46">
      <c r="A46" s="40" t="inlineStr">
        <is>
          <t>Other pages (derived)</t>
        </is>
      </c>
      <c r="B46" s="40" t="inlineStr">
        <is>
          <t>Organic</t>
        </is>
      </c>
      <c r="C46" s="40" t="inlineStr">
        <is>
          <t>Desktop</t>
        </is>
      </c>
      <c r="D46" s="41">
        <f>D10-D19-D28-D37</f>
        <v/>
      </c>
      <c r="E46" s="41">
        <f>E10-E19-E28-E37</f>
        <v/>
      </c>
      <c r="F46" s="69">
        <f>IF(OR(E46="",D46="",D46=0,E46=0),"",E46-D46)</f>
        <v/>
      </c>
      <c r="G46" s="42">
        <f>IF(OR(E46="",D46="",D46=0,E46=0),"",E46/D46-1)</f>
        <v/>
      </c>
      <c r="H46" s="41">
        <f>H10-H19-H28-H37</f>
        <v/>
      </c>
      <c r="I46" s="41">
        <f>I10-I19-I28-I37</f>
        <v/>
      </c>
      <c r="J46" s="69">
        <f>IF(OR(I46="",H46="",H46=0,I46=0),"",I46-H46)</f>
        <v/>
      </c>
      <c r="K46" s="42">
        <f>IF(OR(I46="",H46="",H46=0,I46=0),"",I46/H46-1)</f>
        <v/>
      </c>
      <c r="L46" s="43">
        <f>IF(OR(H46="",D46="",D46=0),"",H46/D46)</f>
        <v/>
      </c>
      <c r="M46" s="43">
        <f>IF(OR(I46="",E46="",E46=0),"",I46/E46)</f>
        <v/>
      </c>
      <c r="N46" s="44">
        <f>IF(OR(M46="",L46=""),"",(M46-L46)*100)</f>
        <v/>
      </c>
      <c r="O46" s="41">
        <f>O10-O19-O28-O37</f>
        <v/>
      </c>
      <c r="P46" s="41">
        <f>P10-P19-P28-P37</f>
        <v/>
      </c>
      <c r="Q46" s="69">
        <f>IF(OR(P46="",O46="",O46=0,P46=0),"",P46-O46)</f>
        <v/>
      </c>
      <c r="R46" s="42">
        <f>IF(OR(P46="",O46="",O46=0,P46=0),"",P46/O46-1)</f>
        <v/>
      </c>
      <c r="S46" s="43">
        <f>IF(OR(O46="",D46="",D46=0),"",O46/D46)</f>
        <v/>
      </c>
      <c r="T46" s="43">
        <f>IF(OR(P46="",E46="",E46=0),"",P46/E46)</f>
        <v/>
      </c>
      <c r="U46" s="44">
        <f>IF(OR(T46="",S46=""),"",(T46-S46)*100)</f>
        <v/>
      </c>
      <c r="V46" s="41">
        <f>V10-V19-V28-V37</f>
        <v/>
      </c>
      <c r="W46" s="41">
        <f>W10-W19-W28-W37</f>
        <v/>
      </c>
      <c r="X46" s="69">
        <f>IF(OR(W46="",V46="",V46=0,W46=0),"",W46-V46)</f>
        <v/>
      </c>
      <c r="Y46" s="42">
        <f>IF(OR(W46="",V46="",V46=0,W46=0),"",W46/V46-1)</f>
        <v/>
      </c>
      <c r="Z46" s="43">
        <f>IF(OR(V46="",O46="",O46=0),"",V46/O46)</f>
        <v/>
      </c>
      <c r="AA46" s="43">
        <f>IF(OR(W46="",P46="",P46=0),"",W46/P46)</f>
        <v/>
      </c>
      <c r="AB46" s="44">
        <f>IF(OR(AA46="",Z46=""),"",(AA46-Z46)*100)</f>
        <v/>
      </c>
      <c r="AC46" s="41">
        <f>AC10-AC19-AC28-AC37</f>
        <v/>
      </c>
      <c r="AD46" s="41">
        <f>AD10-AD19-AD28-AD37</f>
        <v/>
      </c>
      <c r="AE46" s="69">
        <f>IF(OR(AD46="",AC46="",AC46=0,AD46=0),"",AD46-AC46)</f>
        <v/>
      </c>
      <c r="AF46" s="42">
        <f>IF(OR(AD46="",AC46="",AC46=0,AD46=0),"",AD46/AC46-1)</f>
        <v/>
      </c>
      <c r="AG46" s="43">
        <f>IF(OR(AC46="",V46="",V46=0),"",AC46/V46)</f>
        <v/>
      </c>
      <c r="AH46" s="43">
        <f>IF(OR(AD46="",W46="",W46=0),"",AD46/W46)</f>
        <v/>
      </c>
      <c r="AI46" s="44">
        <f>IF(OR(AH46="",AG46=""),"",(AH46-AG46)*100)</f>
        <v/>
      </c>
      <c r="AJ46" s="41">
        <f>AJ10-AJ19-AJ28-AJ37</f>
        <v/>
      </c>
      <c r="AK46" s="41">
        <f>AK10-AK19-AK28-AK37</f>
        <v/>
      </c>
      <c r="AL46" s="69">
        <f>IF(OR(AK46="",AJ46="",AJ46=0,AK46=0),"",AK46-AJ46)</f>
        <v/>
      </c>
      <c r="AM46" s="42">
        <f>IF(OR(AK46="",AJ46="",AJ46=0,AK46=0),"",AK46/AJ46-1)</f>
        <v/>
      </c>
      <c r="AN46" s="43">
        <f>IF(OR(AJ46="",AC46="",AC46=0),"",AJ46/AC46)</f>
        <v/>
      </c>
      <c r="AO46" s="43">
        <f>IF(OR(AK46="",AD46="",AD46=0),"",AK46/AD46)</f>
        <v/>
      </c>
      <c r="AP46" s="44">
        <f>IF(OR(AO46="",AN46=""),"",(AO46-AN46)*100)</f>
        <v/>
      </c>
      <c r="AQ46" s="41">
        <f>AQ10-AQ19-AQ28-AQ37</f>
        <v/>
      </c>
      <c r="AR46" s="41">
        <f>AR10-AR19-AR28-AR37</f>
        <v/>
      </c>
      <c r="AS46" s="69">
        <f>IF(OR(AR46="",AQ46="",AQ46=0,AR46=0),"",AR46-AQ46)</f>
        <v/>
      </c>
      <c r="AT46" s="42">
        <f>IF(OR(AR46="",AQ46="",AQ46=0,AR46=0),"",AR46/AQ46-1)</f>
        <v/>
      </c>
      <c r="AU46" s="43">
        <f>IF(OR(AQ46="",AJ46="",AJ46=0),"",AQ46/AJ46)</f>
        <v/>
      </c>
      <c r="AV46" s="43">
        <f>IF(OR(AR46="",AK46="",AK46=0),"",AR46/AK46)</f>
        <v/>
      </c>
      <c r="AW46" s="44">
        <f>IF(OR(AV46="",AU46=""),"",(AV46-AU46)*100)</f>
        <v/>
      </c>
      <c r="AX46" s="45">
        <f>IF(OR(AQ46="",O46="",O46=0),"",AQ46/O46)</f>
        <v/>
      </c>
      <c r="AY46" s="45">
        <f>IF(OR(AR46="",P46="",P46=0),"",AR46/P46)</f>
        <v/>
      </c>
      <c r="AZ46" s="44">
        <f>IF(OR(AY46="",AX46=""),"",(AY46-AX46)*100)</f>
        <v/>
      </c>
      <c r="BA46" s="45">
        <f>IF(OR(AQ46="",D46="",D46=0),"",AQ46/D46)</f>
        <v/>
      </c>
      <c r="BB46" s="45">
        <f>IF(OR(AR46="",E46="",E46=0),"",AR46/E46)</f>
        <v/>
      </c>
      <c r="BC46" s="44">
        <f>IF(OR(BB46="",BA46=""),"",(BB46-BA46)*100)</f>
        <v/>
      </c>
    </row>
    <row r="47">
      <c r="A47" s="32" t="inlineStr">
        <is>
          <t>Other pages (derived)</t>
        </is>
      </c>
      <c r="B47" s="32" t="inlineStr">
        <is>
          <t>Direct</t>
        </is>
      </c>
      <c r="C47" s="32" t="inlineStr">
        <is>
          <t>Total</t>
        </is>
      </c>
      <c r="D47" s="33">
        <f>D11-D20-D29-D38</f>
        <v/>
      </c>
      <c r="E47" s="33">
        <f>E11-E20-E29-E38</f>
        <v/>
      </c>
      <c r="F47" s="67">
        <f>IF(OR(E47="",D47="",D47=0,E47=0),"",E47-D47)</f>
        <v/>
      </c>
      <c r="G47" s="34">
        <f>IF(OR(E47="",D47="",D47=0,E47=0),"",E47/D47-1)</f>
        <v/>
      </c>
      <c r="H47" s="33">
        <f>H11-H20-H29-H38</f>
        <v/>
      </c>
      <c r="I47" s="33">
        <f>I11-I20-I29-I38</f>
        <v/>
      </c>
      <c r="J47" s="67">
        <f>IF(OR(I47="",H47="",H47=0,I47=0),"",I47-H47)</f>
        <v/>
      </c>
      <c r="K47" s="34">
        <f>IF(OR(I47="",H47="",H47=0,I47=0),"",I47/H47-1)</f>
        <v/>
      </c>
      <c r="L47" s="35">
        <f>IF(OR(H47="",D47="",D47=0),"",H47/D47)</f>
        <v/>
      </c>
      <c r="M47" s="35">
        <f>IF(OR(I47="",E47="",E47=0),"",I47/E47)</f>
        <v/>
      </c>
      <c r="N47" s="36">
        <f>IF(OR(M47="",L47=""),"",(M47-L47)*100)</f>
        <v/>
      </c>
      <c r="O47" s="33">
        <f>O11-O20-O29-O38</f>
        <v/>
      </c>
      <c r="P47" s="33">
        <f>P11-P20-P29-P38</f>
        <v/>
      </c>
      <c r="Q47" s="67">
        <f>IF(OR(P47="",O47="",O47=0,P47=0),"",P47-O47)</f>
        <v/>
      </c>
      <c r="R47" s="34">
        <f>IF(OR(P47="",O47="",O47=0,P47=0),"",P47/O47-1)</f>
        <v/>
      </c>
      <c r="S47" s="35">
        <f>IF(OR(O47="",D47="",D47=0),"",O47/D47)</f>
        <v/>
      </c>
      <c r="T47" s="35">
        <f>IF(OR(P47="",E47="",E47=0),"",P47/E47)</f>
        <v/>
      </c>
      <c r="U47" s="36">
        <f>IF(OR(T47="",S47=""),"",(T47-S47)*100)</f>
        <v/>
      </c>
      <c r="V47" s="33">
        <f>V11-V20-V29-V38</f>
        <v/>
      </c>
      <c r="W47" s="33">
        <f>W11-W20-W29-W38</f>
        <v/>
      </c>
      <c r="X47" s="67">
        <f>IF(OR(W47="",V47="",V47=0,W47=0),"",W47-V47)</f>
        <v/>
      </c>
      <c r="Y47" s="34">
        <f>IF(OR(W47="",V47="",V47=0,W47=0),"",W47/V47-1)</f>
        <v/>
      </c>
      <c r="Z47" s="35">
        <f>IF(OR(V47="",O47="",O47=0),"",V47/O47)</f>
        <v/>
      </c>
      <c r="AA47" s="35">
        <f>IF(OR(W47="",P47="",P47=0),"",W47/P47)</f>
        <v/>
      </c>
      <c r="AB47" s="36">
        <f>IF(OR(AA47="",Z47=""),"",(AA47-Z47)*100)</f>
        <v/>
      </c>
      <c r="AC47" s="33">
        <f>AC11-AC20-AC29-AC38</f>
        <v/>
      </c>
      <c r="AD47" s="33">
        <f>AD11-AD20-AD29-AD38</f>
        <v/>
      </c>
      <c r="AE47" s="67">
        <f>IF(OR(AD47="",AC47="",AC47=0,AD47=0),"",AD47-AC47)</f>
        <v/>
      </c>
      <c r="AF47" s="34">
        <f>IF(OR(AD47="",AC47="",AC47=0,AD47=0),"",AD47/AC47-1)</f>
        <v/>
      </c>
      <c r="AG47" s="35">
        <f>IF(OR(AC47="",V47="",V47=0),"",AC47/V47)</f>
        <v/>
      </c>
      <c r="AH47" s="35">
        <f>IF(OR(AD47="",W47="",W47=0),"",AD47/W47)</f>
        <v/>
      </c>
      <c r="AI47" s="36">
        <f>IF(OR(AH47="",AG47=""),"",(AH47-AG47)*100)</f>
        <v/>
      </c>
      <c r="AJ47" s="33">
        <f>AJ11-AJ20-AJ29-AJ38</f>
        <v/>
      </c>
      <c r="AK47" s="33">
        <f>AK11-AK20-AK29-AK38</f>
        <v/>
      </c>
      <c r="AL47" s="67">
        <f>IF(OR(AK47="",AJ47="",AJ47=0,AK47=0),"",AK47-AJ47)</f>
        <v/>
      </c>
      <c r="AM47" s="34">
        <f>IF(OR(AK47="",AJ47="",AJ47=0,AK47=0),"",AK47/AJ47-1)</f>
        <v/>
      </c>
      <c r="AN47" s="35">
        <f>IF(OR(AJ47="",AC47="",AC47=0),"",AJ47/AC47)</f>
        <v/>
      </c>
      <c r="AO47" s="35">
        <f>IF(OR(AK47="",AD47="",AD47=0),"",AK47/AD47)</f>
        <v/>
      </c>
      <c r="AP47" s="36">
        <f>IF(OR(AO47="",AN47=""),"",(AO47-AN47)*100)</f>
        <v/>
      </c>
      <c r="AQ47" s="33">
        <f>AQ11-AQ20-AQ29-AQ38</f>
        <v/>
      </c>
      <c r="AR47" s="33">
        <f>AR11-AR20-AR29-AR38</f>
        <v/>
      </c>
      <c r="AS47" s="67">
        <f>IF(OR(AR47="",AQ47="",AQ47=0,AR47=0),"",AR47-AQ47)</f>
        <v/>
      </c>
      <c r="AT47" s="34">
        <f>IF(OR(AR47="",AQ47="",AQ47=0,AR47=0),"",AR47/AQ47-1)</f>
        <v/>
      </c>
      <c r="AU47" s="35">
        <f>IF(OR(AQ47="",AJ47="",AJ47=0),"",AQ47/AJ47)</f>
        <v/>
      </c>
      <c r="AV47" s="35">
        <f>IF(OR(AR47="",AK47="",AK47=0),"",AR47/AK47)</f>
        <v/>
      </c>
      <c r="AW47" s="36">
        <f>IF(OR(AV47="",AU47=""),"",(AV47-AU47)*100)</f>
        <v/>
      </c>
      <c r="AX47" s="37">
        <f>IF(OR(AQ47="",O47="",O47=0),"",AQ47/O47)</f>
        <v/>
      </c>
      <c r="AY47" s="37">
        <f>IF(OR(AR47="",P47="",P47=0),"",AR47/P47)</f>
        <v/>
      </c>
      <c r="AZ47" s="36">
        <f>IF(OR(AY47="",AX47=""),"",(AY47-AX47)*100)</f>
        <v/>
      </c>
      <c r="BA47" s="37">
        <f>IF(OR(AQ47="",D47="",D47=0),"",AQ47/D47)</f>
        <v/>
      </c>
      <c r="BB47" s="37">
        <f>IF(OR(AR47="",E47="",E47=0),"",AR47/E47)</f>
        <v/>
      </c>
      <c r="BC47" s="36">
        <f>IF(OR(BB47="",BA47=""),"",(BB47-BA47)*100)</f>
        <v/>
      </c>
    </row>
    <row r="48">
      <c r="A48" s="40" t="inlineStr">
        <is>
          <t>Other pages (derived)</t>
        </is>
      </c>
      <c r="B48" s="40" t="inlineStr">
        <is>
          <t>Direct</t>
        </is>
      </c>
      <c r="C48" s="40" t="inlineStr">
        <is>
          <t>Mobile</t>
        </is>
      </c>
      <c r="D48" s="41">
        <f>D12-D21-D30-D39</f>
        <v/>
      </c>
      <c r="E48" s="41">
        <f>E12-E21-E30-E39</f>
        <v/>
      </c>
      <c r="F48" s="69">
        <f>IF(OR(E48="",D48="",D48=0,E48=0),"",E48-D48)</f>
        <v/>
      </c>
      <c r="G48" s="42">
        <f>IF(OR(E48="",D48="",D48=0,E48=0),"",E48/D48-1)</f>
        <v/>
      </c>
      <c r="H48" s="41">
        <f>H12-H21-H30-H39</f>
        <v/>
      </c>
      <c r="I48" s="41">
        <f>I12-I21-I30-I39</f>
        <v/>
      </c>
      <c r="J48" s="69">
        <f>IF(OR(I48="",H48="",H48=0,I48=0),"",I48-H48)</f>
        <v/>
      </c>
      <c r="K48" s="42">
        <f>IF(OR(I48="",H48="",H48=0,I48=0),"",I48/H48-1)</f>
        <v/>
      </c>
      <c r="L48" s="43">
        <f>IF(OR(H48="",D48="",D48=0),"",H48/D48)</f>
        <v/>
      </c>
      <c r="M48" s="43">
        <f>IF(OR(I48="",E48="",E48=0),"",I48/E48)</f>
        <v/>
      </c>
      <c r="N48" s="44">
        <f>IF(OR(M48="",L48=""),"",(M48-L48)*100)</f>
        <v/>
      </c>
      <c r="O48" s="41">
        <f>O12-O21-O30-O39</f>
        <v/>
      </c>
      <c r="P48" s="41">
        <f>P12-P21-P30-P39</f>
        <v/>
      </c>
      <c r="Q48" s="69">
        <f>IF(OR(P48="",O48="",O48=0,P48=0),"",P48-O48)</f>
        <v/>
      </c>
      <c r="R48" s="42">
        <f>IF(OR(P48="",O48="",O48=0,P48=0),"",P48/O48-1)</f>
        <v/>
      </c>
      <c r="S48" s="43">
        <f>IF(OR(O48="",D48="",D48=0),"",O48/D48)</f>
        <v/>
      </c>
      <c r="T48" s="43">
        <f>IF(OR(P48="",E48="",E48=0),"",P48/E48)</f>
        <v/>
      </c>
      <c r="U48" s="44">
        <f>IF(OR(T48="",S48=""),"",(T48-S48)*100)</f>
        <v/>
      </c>
      <c r="V48" s="41">
        <f>V12-V21-V30-V39</f>
        <v/>
      </c>
      <c r="W48" s="41">
        <f>W12-W21-W30-W39</f>
        <v/>
      </c>
      <c r="X48" s="69">
        <f>IF(OR(W48="",V48="",V48=0,W48=0),"",W48-V48)</f>
        <v/>
      </c>
      <c r="Y48" s="42">
        <f>IF(OR(W48="",V48="",V48=0,W48=0),"",W48/V48-1)</f>
        <v/>
      </c>
      <c r="Z48" s="43">
        <f>IF(OR(V48="",O48="",O48=0),"",V48/O48)</f>
        <v/>
      </c>
      <c r="AA48" s="43">
        <f>IF(OR(W48="",P48="",P48=0),"",W48/P48)</f>
        <v/>
      </c>
      <c r="AB48" s="44">
        <f>IF(OR(AA48="",Z48=""),"",(AA48-Z48)*100)</f>
        <v/>
      </c>
      <c r="AC48" s="41">
        <f>AC12-AC21-AC30-AC39</f>
        <v/>
      </c>
      <c r="AD48" s="41">
        <f>AD12-AD21-AD30-AD39</f>
        <v/>
      </c>
      <c r="AE48" s="69">
        <f>IF(OR(AD48="",AC48="",AC48=0,AD48=0),"",AD48-AC48)</f>
        <v/>
      </c>
      <c r="AF48" s="42">
        <f>IF(OR(AD48="",AC48="",AC48=0,AD48=0),"",AD48/AC48-1)</f>
        <v/>
      </c>
      <c r="AG48" s="43">
        <f>IF(OR(AC48="",V48="",V48=0),"",AC48/V48)</f>
        <v/>
      </c>
      <c r="AH48" s="43">
        <f>IF(OR(AD48="",W48="",W48=0),"",AD48/W48)</f>
        <v/>
      </c>
      <c r="AI48" s="44">
        <f>IF(OR(AH48="",AG48=""),"",(AH48-AG48)*100)</f>
        <v/>
      </c>
      <c r="AJ48" s="41">
        <f>AJ12-AJ21-AJ30-AJ39</f>
        <v/>
      </c>
      <c r="AK48" s="41">
        <f>AK12-AK21-AK30-AK39</f>
        <v/>
      </c>
      <c r="AL48" s="69">
        <f>IF(OR(AK48="",AJ48="",AJ48=0,AK48=0),"",AK48-AJ48)</f>
        <v/>
      </c>
      <c r="AM48" s="42">
        <f>IF(OR(AK48="",AJ48="",AJ48=0,AK48=0),"",AK48/AJ48-1)</f>
        <v/>
      </c>
      <c r="AN48" s="43">
        <f>IF(OR(AJ48="",AC48="",AC48=0),"",AJ48/AC48)</f>
        <v/>
      </c>
      <c r="AO48" s="43">
        <f>IF(OR(AK48="",AD48="",AD48=0),"",AK48/AD48)</f>
        <v/>
      </c>
      <c r="AP48" s="44">
        <f>IF(OR(AO48="",AN48=""),"",(AO48-AN48)*100)</f>
        <v/>
      </c>
      <c r="AQ48" s="41">
        <f>AQ12-AQ21-AQ30-AQ39</f>
        <v/>
      </c>
      <c r="AR48" s="41">
        <f>AR12-AR21-AR30-AR39</f>
        <v/>
      </c>
      <c r="AS48" s="69">
        <f>IF(OR(AR48="",AQ48="",AQ48=0,AR48=0),"",AR48-AQ48)</f>
        <v/>
      </c>
      <c r="AT48" s="42">
        <f>IF(OR(AR48="",AQ48="",AQ48=0,AR48=0),"",AR48/AQ48-1)</f>
        <v/>
      </c>
      <c r="AU48" s="43">
        <f>IF(OR(AQ48="",AJ48="",AJ48=0),"",AQ48/AJ48)</f>
        <v/>
      </c>
      <c r="AV48" s="43">
        <f>IF(OR(AR48="",AK48="",AK48=0),"",AR48/AK48)</f>
        <v/>
      </c>
      <c r="AW48" s="44">
        <f>IF(OR(AV48="",AU48=""),"",(AV48-AU48)*100)</f>
        <v/>
      </c>
      <c r="AX48" s="45">
        <f>IF(OR(AQ48="",O48="",O48=0),"",AQ48/O48)</f>
        <v/>
      </c>
      <c r="AY48" s="45">
        <f>IF(OR(AR48="",P48="",P48=0),"",AR48/P48)</f>
        <v/>
      </c>
      <c r="AZ48" s="44">
        <f>IF(OR(AY48="",AX48=""),"",(AY48-AX48)*100)</f>
        <v/>
      </c>
      <c r="BA48" s="45">
        <f>IF(OR(AQ48="",D48="",D48=0),"",AQ48/D48)</f>
        <v/>
      </c>
      <c r="BB48" s="45">
        <f>IF(OR(AR48="",E48="",E48=0),"",AR48/E48)</f>
        <v/>
      </c>
      <c r="BC48" s="44">
        <f>IF(OR(BB48="",BA48=""),"",(BB48-BA48)*100)</f>
        <v/>
      </c>
    </row>
    <row r="49">
      <c r="A49" s="40" t="inlineStr">
        <is>
          <t>Other pages (derived)</t>
        </is>
      </c>
      <c r="B49" s="40" t="inlineStr">
        <is>
          <t>Direct</t>
        </is>
      </c>
      <c r="C49" s="40" t="inlineStr">
        <is>
          <t>Desktop</t>
        </is>
      </c>
      <c r="D49" s="41">
        <f>D13-D22-D31-D40</f>
        <v/>
      </c>
      <c r="E49" s="41">
        <f>E13-E22-E31-E40</f>
        <v/>
      </c>
      <c r="F49" s="69">
        <f>IF(OR(E49="",D49="",D49=0,E49=0),"",E49-D49)</f>
        <v/>
      </c>
      <c r="G49" s="42">
        <f>IF(OR(E49="",D49="",D49=0,E49=0),"",E49/D49-1)</f>
        <v/>
      </c>
      <c r="H49" s="41">
        <f>H13-H22-H31-H40</f>
        <v/>
      </c>
      <c r="I49" s="41">
        <f>I13-I22-I31-I40</f>
        <v/>
      </c>
      <c r="J49" s="69">
        <f>IF(OR(I49="",H49="",H49=0,I49=0),"",I49-H49)</f>
        <v/>
      </c>
      <c r="K49" s="42">
        <f>IF(OR(I49="",H49="",H49=0,I49=0),"",I49/H49-1)</f>
        <v/>
      </c>
      <c r="L49" s="43">
        <f>IF(OR(H49="",D49="",D49=0),"",H49/D49)</f>
        <v/>
      </c>
      <c r="M49" s="43">
        <f>IF(OR(I49="",E49="",E49=0),"",I49/E49)</f>
        <v/>
      </c>
      <c r="N49" s="44">
        <f>IF(OR(M49="",L49=""),"",(M49-L49)*100)</f>
        <v/>
      </c>
      <c r="O49" s="41">
        <f>O13-O22-O31-O40</f>
        <v/>
      </c>
      <c r="P49" s="41">
        <f>P13-P22-P31-P40</f>
        <v/>
      </c>
      <c r="Q49" s="69">
        <f>IF(OR(P49="",O49="",O49=0,P49=0),"",P49-O49)</f>
        <v/>
      </c>
      <c r="R49" s="42">
        <f>IF(OR(P49="",O49="",O49=0,P49=0),"",P49/O49-1)</f>
        <v/>
      </c>
      <c r="S49" s="43">
        <f>IF(OR(O49="",D49="",D49=0),"",O49/D49)</f>
        <v/>
      </c>
      <c r="T49" s="43">
        <f>IF(OR(P49="",E49="",E49=0),"",P49/E49)</f>
        <v/>
      </c>
      <c r="U49" s="44">
        <f>IF(OR(T49="",S49=""),"",(T49-S49)*100)</f>
        <v/>
      </c>
      <c r="V49" s="41">
        <f>V13-V22-V31-V40</f>
        <v/>
      </c>
      <c r="W49" s="41">
        <f>W13-W22-W31-W40</f>
        <v/>
      </c>
      <c r="X49" s="69">
        <f>IF(OR(W49="",V49="",V49=0,W49=0),"",W49-V49)</f>
        <v/>
      </c>
      <c r="Y49" s="42">
        <f>IF(OR(W49="",V49="",V49=0,W49=0),"",W49/V49-1)</f>
        <v/>
      </c>
      <c r="Z49" s="43">
        <f>IF(OR(V49="",O49="",O49=0),"",V49/O49)</f>
        <v/>
      </c>
      <c r="AA49" s="43">
        <f>IF(OR(W49="",P49="",P49=0),"",W49/P49)</f>
        <v/>
      </c>
      <c r="AB49" s="44">
        <f>IF(OR(AA49="",Z49=""),"",(AA49-Z49)*100)</f>
        <v/>
      </c>
      <c r="AC49" s="41">
        <f>AC13-AC22-AC31-AC40</f>
        <v/>
      </c>
      <c r="AD49" s="41">
        <f>AD13-AD22-AD31-AD40</f>
        <v/>
      </c>
      <c r="AE49" s="69">
        <f>IF(OR(AD49="",AC49="",AC49=0,AD49=0),"",AD49-AC49)</f>
        <v/>
      </c>
      <c r="AF49" s="42">
        <f>IF(OR(AD49="",AC49="",AC49=0,AD49=0),"",AD49/AC49-1)</f>
        <v/>
      </c>
      <c r="AG49" s="43">
        <f>IF(OR(AC49="",V49="",V49=0),"",AC49/V49)</f>
        <v/>
      </c>
      <c r="AH49" s="43">
        <f>IF(OR(AD49="",W49="",W49=0),"",AD49/W49)</f>
        <v/>
      </c>
      <c r="AI49" s="44">
        <f>IF(OR(AH49="",AG49=""),"",(AH49-AG49)*100)</f>
        <v/>
      </c>
      <c r="AJ49" s="41">
        <f>AJ13-AJ22-AJ31-AJ40</f>
        <v/>
      </c>
      <c r="AK49" s="41">
        <f>AK13-AK22-AK31-AK40</f>
        <v/>
      </c>
      <c r="AL49" s="69">
        <f>IF(OR(AK49="",AJ49="",AJ49=0,AK49=0),"",AK49-AJ49)</f>
        <v/>
      </c>
      <c r="AM49" s="42">
        <f>IF(OR(AK49="",AJ49="",AJ49=0,AK49=0),"",AK49/AJ49-1)</f>
        <v/>
      </c>
      <c r="AN49" s="43">
        <f>IF(OR(AJ49="",AC49="",AC49=0),"",AJ49/AC49)</f>
        <v/>
      </c>
      <c r="AO49" s="43">
        <f>IF(OR(AK49="",AD49="",AD49=0),"",AK49/AD49)</f>
        <v/>
      </c>
      <c r="AP49" s="44">
        <f>IF(OR(AO49="",AN49=""),"",(AO49-AN49)*100)</f>
        <v/>
      </c>
      <c r="AQ49" s="41">
        <f>AQ13-AQ22-AQ31-AQ40</f>
        <v/>
      </c>
      <c r="AR49" s="41">
        <f>AR13-AR22-AR31-AR40</f>
        <v/>
      </c>
      <c r="AS49" s="69">
        <f>IF(OR(AR49="",AQ49="",AQ49=0,AR49=0),"",AR49-AQ49)</f>
        <v/>
      </c>
      <c r="AT49" s="42">
        <f>IF(OR(AR49="",AQ49="",AQ49=0,AR49=0),"",AR49/AQ49-1)</f>
        <v/>
      </c>
      <c r="AU49" s="43">
        <f>IF(OR(AQ49="",AJ49="",AJ49=0),"",AQ49/AJ49)</f>
        <v/>
      </c>
      <c r="AV49" s="43">
        <f>IF(OR(AR49="",AK49="",AK49=0),"",AR49/AK49)</f>
        <v/>
      </c>
      <c r="AW49" s="44">
        <f>IF(OR(AV49="",AU49=""),"",(AV49-AU49)*100)</f>
        <v/>
      </c>
      <c r="AX49" s="45">
        <f>IF(OR(AQ49="",O49="",O49=0),"",AQ49/O49)</f>
        <v/>
      </c>
      <c r="AY49" s="45">
        <f>IF(OR(AR49="",P49="",P49=0),"",AR49/P49)</f>
        <v/>
      </c>
      <c r="AZ49" s="44">
        <f>IF(OR(AY49="",AX49=""),"",(AY49-AX49)*100)</f>
        <v/>
      </c>
      <c r="BA49" s="45">
        <f>IF(OR(AQ49="",D49="",D49=0),"",AQ49/D49)</f>
        <v/>
      </c>
      <c r="BB49" s="45">
        <f>IF(OR(AR49="",E49="",E49=0),"",AR49/E49)</f>
        <v/>
      </c>
      <c r="BC49" s="44">
        <f>IF(OR(BB49="",BA49=""),"",(BB49-BA49)*100)</f>
        <v/>
      </c>
    </row>
    <row r="51">
      <c r="A51" s="12" t="inlineStr">
        <is>
          <t>Source: Looker Studio scorecards. 1-23 August 2026 refreshed 28/08/2026 09:44; 1-23 August 2025 refreshed 28/08/2026 09:44.</t>
        </is>
      </c>
    </row>
    <row r="52">
      <c r="A52" s="12" t="inlineStr">
        <is>
          <t>Mobile + Desktop ≠ Total — the residual is tablet / unassigned device. The Total row is authoritative.</t>
        </is>
      </c>
    </row>
  </sheetData>
  <autoFilter ref="A4:BC49"/>
  <mergeCells count="18">
    <mergeCell ref="AU3:AW3"/>
    <mergeCell ref="D3:G3"/>
    <mergeCell ref="V3:Y3"/>
    <mergeCell ref="H3:K3"/>
    <mergeCell ref="C3:C4"/>
    <mergeCell ref="AC3:AF3"/>
    <mergeCell ref="A3:A4"/>
    <mergeCell ref="O3:R3"/>
    <mergeCell ref="B3:B4"/>
    <mergeCell ref="AJ3:AM3"/>
    <mergeCell ref="AQ3:AT3"/>
    <mergeCell ref="S3:U3"/>
    <mergeCell ref="AG3:AI3"/>
    <mergeCell ref="AX3:AZ3"/>
    <mergeCell ref="BA3:BC3"/>
    <mergeCell ref="Z3:AB3"/>
    <mergeCell ref="AN3:AP3"/>
    <mergeCell ref="L3:N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462"/>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3" customWidth="1" min="1" max="1"/>
    <col width="13" customWidth="1" min="2" max="2"/>
    <col width="10" customWidth="1" min="3" max="3"/>
    <col width="1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26" customWidth="1" min="57" max="57"/>
  </cols>
  <sheetData>
    <row r="1">
      <c r="A1" s="11" t="inlineStr">
        <is>
          <t>Country detail — INPUT</t>
        </is>
      </c>
    </row>
    <row r="2">
      <c r="A2" s="12" t="inlineStr">
        <is>
          <t>Visible rows of each Looker table only. A yellow cell is a market present in one table but not another — its value is off-screen, not zero. See 'Gaps to fill'.</t>
        </is>
      </c>
    </row>
    <row r="3" ht="18" customHeight="1">
      <c r="A3" s="59" t="inlineStr">
        <is>
          <t>Landing Page Group</t>
        </is>
      </c>
      <c r="B3" s="59" t="inlineStr">
        <is>
          <t>Channel</t>
        </is>
      </c>
      <c r="C3" s="59" t="inlineStr">
        <is>
          <t>Device</t>
        </is>
      </c>
      <c r="D3" s="59" t="inlineStr">
        <is>
          <t>Country</t>
        </is>
      </c>
      <c r="E3" s="14" t="inlineStr">
        <is>
          <t>Sessions</t>
        </is>
      </c>
      <c r="F3" s="15" t="n"/>
      <c r="G3" s="15" t="n"/>
      <c r="H3" s="15" t="n"/>
      <c r="I3" s="60" t="inlineStr">
        <is>
          <t>Start Search</t>
        </is>
      </c>
      <c r="J3" s="61" t="n"/>
      <c r="K3" s="61" t="n"/>
      <c r="L3" s="61" t="n"/>
      <c r="M3" s="62" t="inlineStr">
        <is>
          <t>Visit→Engagement</t>
        </is>
      </c>
      <c r="N3" s="63" t="n"/>
      <c r="O3" s="63" t="n"/>
      <c r="P3" s="16" t="inlineStr">
        <is>
          <t>Searches</t>
        </is>
      </c>
      <c r="Q3" s="17" t="n"/>
      <c r="R3" s="17" t="n"/>
      <c r="S3" s="17" t="n"/>
      <c r="T3" s="20" t="inlineStr">
        <is>
          <t>Visit→Search</t>
        </is>
      </c>
      <c r="U3" s="21" t="n"/>
      <c r="V3" s="21" t="n"/>
      <c r="W3" s="20" t="inlineStr">
        <is>
          <t>Select item</t>
        </is>
      </c>
      <c r="X3" s="21" t="n"/>
      <c r="Y3" s="21" t="n"/>
      <c r="Z3" s="21" t="n"/>
      <c r="AA3" s="20" t="inlineStr">
        <is>
          <t>Search→Select</t>
        </is>
      </c>
      <c r="AB3" s="21" t="n"/>
      <c r="AC3" s="21" t="n"/>
      <c r="AD3" s="22" t="inlineStr">
        <is>
          <t>Add to cart</t>
        </is>
      </c>
      <c r="AE3" s="23" t="n"/>
      <c r="AF3" s="23" t="n"/>
      <c r="AG3" s="23" t="n"/>
      <c r="AH3" s="22" t="inlineStr">
        <is>
          <t>Select→Cart</t>
        </is>
      </c>
      <c r="AI3" s="23" t="n"/>
      <c r="AJ3" s="23" t="n"/>
      <c r="AK3" s="24" t="inlineStr">
        <is>
          <t>Begin checkout</t>
        </is>
      </c>
      <c r="AL3" s="25" t="n"/>
      <c r="AM3" s="25" t="n"/>
      <c r="AN3" s="25" t="n"/>
      <c r="AO3" s="24" t="inlineStr">
        <is>
          <t>Cart→Checkout</t>
        </is>
      </c>
      <c r="AP3" s="25" t="n"/>
      <c r="AQ3" s="25" t="n"/>
      <c r="AR3" s="18" t="inlineStr">
        <is>
          <t>Purchases</t>
        </is>
      </c>
      <c r="AS3" s="19" t="n"/>
      <c r="AT3" s="19" t="n"/>
      <c r="AU3" s="19" t="n"/>
      <c r="AV3" s="18" t="inlineStr">
        <is>
          <t>Checkout→Purchase</t>
        </is>
      </c>
      <c r="AW3" s="19" t="n"/>
      <c r="AX3" s="19" t="n"/>
      <c r="AY3" s="22" t="inlineStr">
        <is>
          <t>Search→Booking</t>
        </is>
      </c>
      <c r="AZ3" s="23" t="n"/>
      <c r="BA3" s="23" t="n"/>
      <c r="BB3" s="24" t="inlineStr">
        <is>
          <t>CR</t>
        </is>
      </c>
      <c r="BC3" s="25" t="n"/>
      <c r="BD3" s="25" t="n"/>
      <c r="BE3" s="54" t="inlineStr">
        <is>
          <t>Comparability (sessions)</t>
        </is>
      </c>
    </row>
    <row r="4">
      <c r="A4" s="15" t="n"/>
      <c r="B4" s="15" t="n"/>
      <c r="C4" s="15" t="n"/>
      <c r="D4" s="15" t="n"/>
      <c r="E4" s="26" t="inlineStr">
        <is>
          <t>1-23Aug25</t>
        </is>
      </c>
      <c r="F4" s="26" t="inlineStr">
        <is>
          <t>1-23Aug26</t>
        </is>
      </c>
      <c r="G4" s="26" t="inlineStr">
        <is>
          <t>Δ</t>
        </is>
      </c>
      <c r="H4" s="26" t="inlineStr">
        <is>
          <t>% Δ</t>
        </is>
      </c>
      <c r="I4" s="64" t="inlineStr">
        <is>
          <t>1-23Aug25</t>
        </is>
      </c>
      <c r="J4" s="64" t="inlineStr">
        <is>
          <t>1-23Aug26</t>
        </is>
      </c>
      <c r="K4" s="64" t="inlineStr">
        <is>
          <t>Δ</t>
        </is>
      </c>
      <c r="L4" s="64" t="inlineStr">
        <is>
          <t>% Δ</t>
        </is>
      </c>
      <c r="M4" s="65" t="inlineStr">
        <is>
          <t>1-23Aug25</t>
        </is>
      </c>
      <c r="N4" s="65" t="inlineStr">
        <is>
          <t>1-23Aug26</t>
        </is>
      </c>
      <c r="O4" s="65" t="inlineStr">
        <is>
          <t>Δ pp</t>
        </is>
      </c>
      <c r="P4" s="27" t="inlineStr">
        <is>
          <t>1-23Aug25</t>
        </is>
      </c>
      <c r="Q4" s="27" t="inlineStr">
        <is>
          <t>1-23Aug26</t>
        </is>
      </c>
      <c r="R4" s="27" t="inlineStr">
        <is>
          <t>Δ</t>
        </is>
      </c>
      <c r="S4" s="27" t="inlineStr">
        <is>
          <t>% Δ</t>
        </is>
      </c>
      <c r="T4" s="29" t="inlineStr">
        <is>
          <t>1-23Aug25</t>
        </is>
      </c>
      <c r="U4" s="29" t="inlineStr">
        <is>
          <t>1-23Aug26</t>
        </is>
      </c>
      <c r="V4" s="29" t="inlineStr">
        <is>
          <t>Δ pp</t>
        </is>
      </c>
      <c r="W4" s="29" t="inlineStr">
        <is>
          <t>1-23Aug25</t>
        </is>
      </c>
      <c r="X4" s="29" t="inlineStr">
        <is>
          <t>1-23Aug26</t>
        </is>
      </c>
      <c r="Y4" s="29" t="inlineStr">
        <is>
          <t>Δ</t>
        </is>
      </c>
      <c r="Z4" s="29" t="inlineStr">
        <is>
          <t>% Δ</t>
        </is>
      </c>
      <c r="AA4" s="29" t="inlineStr">
        <is>
          <t>1-23Aug25</t>
        </is>
      </c>
      <c r="AB4" s="29" t="inlineStr">
        <is>
          <t>1-23Aug26</t>
        </is>
      </c>
      <c r="AC4" s="29" t="inlineStr">
        <is>
          <t>Δ pp</t>
        </is>
      </c>
      <c r="AD4" s="30" t="inlineStr">
        <is>
          <t>1-23Aug25</t>
        </is>
      </c>
      <c r="AE4" s="30" t="inlineStr">
        <is>
          <t>1-23Aug26</t>
        </is>
      </c>
      <c r="AF4" s="30" t="inlineStr">
        <is>
          <t>Δ</t>
        </is>
      </c>
      <c r="AG4" s="30" t="inlineStr">
        <is>
          <t>% Δ</t>
        </is>
      </c>
      <c r="AH4" s="30" t="inlineStr">
        <is>
          <t>1-23Aug25</t>
        </is>
      </c>
      <c r="AI4" s="30" t="inlineStr">
        <is>
          <t>1-23Aug26</t>
        </is>
      </c>
      <c r="AJ4" s="30" t="inlineStr">
        <is>
          <t>Δ pp</t>
        </is>
      </c>
      <c r="AK4" s="31" t="inlineStr">
        <is>
          <t>1-23Aug25</t>
        </is>
      </c>
      <c r="AL4" s="31" t="inlineStr">
        <is>
          <t>1-23Aug26</t>
        </is>
      </c>
      <c r="AM4" s="31" t="inlineStr">
        <is>
          <t>Δ</t>
        </is>
      </c>
      <c r="AN4" s="31" t="inlineStr">
        <is>
          <t>% Δ</t>
        </is>
      </c>
      <c r="AO4" s="31" t="inlineStr">
        <is>
          <t>1-23Aug25</t>
        </is>
      </c>
      <c r="AP4" s="31" t="inlineStr">
        <is>
          <t>1-23Aug26</t>
        </is>
      </c>
      <c r="AQ4" s="31" t="inlineStr">
        <is>
          <t>Δ pp</t>
        </is>
      </c>
      <c r="AR4" s="28" t="inlineStr">
        <is>
          <t>1-23Aug25</t>
        </is>
      </c>
      <c r="AS4" s="28" t="inlineStr">
        <is>
          <t>1-23Aug26</t>
        </is>
      </c>
      <c r="AT4" s="28" t="inlineStr">
        <is>
          <t>Δ</t>
        </is>
      </c>
      <c r="AU4" s="28" t="inlineStr">
        <is>
          <t>% Δ</t>
        </is>
      </c>
      <c r="AV4" s="28" t="inlineStr">
        <is>
          <t>1-23Aug25</t>
        </is>
      </c>
      <c r="AW4" s="28" t="inlineStr">
        <is>
          <t>1-23Aug26</t>
        </is>
      </c>
      <c r="AX4" s="28" t="inlineStr">
        <is>
          <t>Δ pp</t>
        </is>
      </c>
      <c r="AY4" s="30" t="inlineStr">
        <is>
          <t>1-23Aug25</t>
        </is>
      </c>
      <c r="AZ4" s="30" t="inlineStr">
        <is>
          <t>1-23Aug26</t>
        </is>
      </c>
      <c r="BA4" s="30" t="inlineStr">
        <is>
          <t>Δ pp</t>
        </is>
      </c>
      <c r="BB4" s="31" t="inlineStr">
        <is>
          <t>1-23Aug25</t>
        </is>
      </c>
      <c r="BC4" s="31" t="inlineStr">
        <is>
          <t>1-23Aug26</t>
        </is>
      </c>
      <c r="BD4" s="31" t="inlineStr">
        <is>
          <t>Δ pp</t>
        </is>
      </c>
      <c r="BE4" s="15" t="n"/>
    </row>
    <row r="5">
      <c r="A5" s="40" t="inlineStr">
        <is>
          <t>All landing pages</t>
        </is>
      </c>
      <c r="B5" s="40" t="inlineStr">
        <is>
          <t>Paid Search</t>
        </is>
      </c>
      <c r="C5" s="40" t="inlineStr">
        <is>
          <t>Mobile</t>
        </is>
      </c>
      <c r="D5" s="40" t="inlineStr">
        <is>
          <t>United Kingdom</t>
        </is>
      </c>
      <c r="E5" s="68" t="n">
        <v>64004</v>
      </c>
      <c r="F5" s="68" t="n">
        <v>31407</v>
      </c>
      <c r="G5" s="69">
        <f>IF(OR(F5="",E5="",E5=0,F5=0),"",F5-E5)</f>
        <v/>
      </c>
      <c r="H5" s="42">
        <f>IF(OR(F5="",E5="",E5=0,F5=0),"",F5/E5-1)</f>
        <v/>
      </c>
      <c r="I5" s="68" t="n">
        <v>48545</v>
      </c>
      <c r="J5" s="68" t="n">
        <v>21824</v>
      </c>
      <c r="K5" s="69">
        <f>IF(OR(J5="",I5="",I5=0,J5=0),"",J5-I5)</f>
        <v/>
      </c>
      <c r="L5" s="42">
        <f>IF(OR(J5="",I5="",I5=0,J5=0),"",J5/I5-1)</f>
        <v/>
      </c>
      <c r="M5" s="43">
        <f>IF(OR(I5="",E5="",E5=0),"",I5/E5)</f>
        <v/>
      </c>
      <c r="N5" s="43">
        <f>IF(OR(J5="",F5="",F5=0),"",J5/F5)</f>
        <v/>
      </c>
      <c r="O5" s="44">
        <f>IF(OR(N5="",M5=""),"",(N5-M5)*100)</f>
        <v/>
      </c>
      <c r="P5" s="68" t="n">
        <v>41676</v>
      </c>
      <c r="Q5" s="68" t="n">
        <v>19486</v>
      </c>
      <c r="R5" s="69">
        <f>IF(OR(Q5="",P5="",P5=0,Q5=0),"",Q5-P5)</f>
        <v/>
      </c>
      <c r="S5" s="42">
        <f>IF(OR(Q5="",P5="",P5=0,Q5=0),"",Q5/P5-1)</f>
        <v/>
      </c>
      <c r="T5" s="43">
        <f>IF(OR(P5="",E5="",E5=0),"",P5/E5)</f>
        <v/>
      </c>
      <c r="U5" s="43">
        <f>IF(OR(Q5="",F5="",F5=0),"",Q5/F5)</f>
        <v/>
      </c>
      <c r="V5" s="44">
        <f>IF(OR(U5="",T5=""),"",(U5-T5)*100)</f>
        <v/>
      </c>
      <c r="W5" s="68" t="n">
        <v>9594</v>
      </c>
      <c r="X5" s="68" t="n">
        <v>5048</v>
      </c>
      <c r="Y5" s="69">
        <f>IF(OR(X5="",W5="",W5=0,X5=0),"",X5-W5)</f>
        <v/>
      </c>
      <c r="Z5" s="42">
        <f>IF(OR(X5="",W5="",W5=0,X5=0),"",X5/W5-1)</f>
        <v/>
      </c>
      <c r="AA5" s="43">
        <f>IF(OR(W5="",P5="",P5=0),"",W5/P5)</f>
        <v/>
      </c>
      <c r="AB5" s="43">
        <f>IF(OR(X5="",Q5="",Q5=0),"",X5/Q5)</f>
        <v/>
      </c>
      <c r="AC5" s="44">
        <f>IF(OR(AB5="",AA5=""),"",(AB5-AA5)*100)</f>
        <v/>
      </c>
      <c r="AD5" s="68" t="n">
        <v>7361</v>
      </c>
      <c r="AE5" s="68" t="n">
        <v>3796</v>
      </c>
      <c r="AF5" s="69">
        <f>IF(OR(AE5="",AD5="",AD5=0,AE5=0),"",AE5-AD5)</f>
        <v/>
      </c>
      <c r="AG5" s="42">
        <f>IF(OR(AE5="",AD5="",AD5=0,AE5=0),"",AE5/AD5-1)</f>
        <v/>
      </c>
      <c r="AH5" s="43">
        <f>IF(OR(AD5="",W5="",W5=0),"",AD5/W5)</f>
        <v/>
      </c>
      <c r="AI5" s="43">
        <f>IF(OR(AE5="",X5="",X5=0),"",AE5/X5)</f>
        <v/>
      </c>
      <c r="AJ5" s="44">
        <f>IF(OR(AI5="",AH5=""),"",(AI5-AH5)*100)</f>
        <v/>
      </c>
      <c r="AK5" s="68" t="n">
        <v>2926</v>
      </c>
      <c r="AL5" s="68" t="n">
        <v>1854</v>
      </c>
      <c r="AM5" s="69">
        <f>IF(OR(AL5="",AK5="",AK5=0,AL5=0),"",AL5-AK5)</f>
        <v/>
      </c>
      <c r="AN5" s="42">
        <f>IF(OR(AL5="",AK5="",AK5=0,AL5=0),"",AL5/AK5-1)</f>
        <v/>
      </c>
      <c r="AO5" s="43">
        <f>IF(OR(AK5="",AD5="",AD5=0),"",AK5/AD5)</f>
        <v/>
      </c>
      <c r="AP5" s="43">
        <f>IF(OR(AL5="",AE5="",AE5=0),"",AL5/AE5)</f>
        <v/>
      </c>
      <c r="AQ5" s="44">
        <f>IF(OR(AP5="",AO5=""),"",(AP5-AO5)*100)</f>
        <v/>
      </c>
      <c r="AR5" s="68" t="n">
        <v>2309</v>
      </c>
      <c r="AS5" s="68" t="n">
        <v>1563</v>
      </c>
      <c r="AT5" s="69">
        <f>IF(OR(AS5="",AR5="",AR5=0,AS5=0),"",AS5-AR5)</f>
        <v/>
      </c>
      <c r="AU5" s="42">
        <f>IF(OR(AS5="",AR5="",AR5=0,AS5=0),"",AS5/AR5-1)</f>
        <v/>
      </c>
      <c r="AV5" s="43">
        <f>IF(OR(AR5="",AK5="",AK5=0),"",AR5/AK5)</f>
        <v/>
      </c>
      <c r="AW5" s="43">
        <f>IF(OR(AS5="",AL5="",AL5=0),"",AS5/AL5)</f>
        <v/>
      </c>
      <c r="AX5" s="44">
        <f>IF(OR(AW5="",AV5=""),"",(AW5-AV5)*100)</f>
        <v/>
      </c>
      <c r="AY5" s="45">
        <f>IF(OR(AR5="",P5="",P5=0),"",AR5/P5)</f>
        <v/>
      </c>
      <c r="AZ5" s="45">
        <f>IF(OR(AS5="",Q5="",Q5=0),"",AS5/Q5)</f>
        <v/>
      </c>
      <c r="BA5" s="44">
        <f>IF(OR(AZ5="",AY5=""),"",(AZ5-AY5)*100)</f>
        <v/>
      </c>
      <c r="BB5" s="45">
        <f>IF(OR(AR5="",E5="",E5=0),"",AR5/E5)</f>
        <v/>
      </c>
      <c r="BC5" s="45">
        <f>IF(OR(AS5="",F5="",F5=0),"",AS5/F5)</f>
        <v/>
      </c>
      <c r="BD5" s="44">
        <f>IF(OR(BC5="",BB5=""),"",(BC5-BB5)*100)</f>
        <v/>
      </c>
      <c r="BE5" s="40">
        <f>IF(AND(F5&lt;&gt;"",E5&lt;&gt;""),"Both years",IF(F5&lt;&gt;"","1-23Aug26 rows only","1-23Aug25 rows only"))</f>
        <v/>
      </c>
    </row>
    <row r="6">
      <c r="A6" s="56" t="inlineStr">
        <is>
          <t>All landing pages</t>
        </is>
      </c>
      <c r="B6" s="56" t="inlineStr">
        <is>
          <t>Paid Search</t>
        </is>
      </c>
      <c r="C6" s="56" t="inlineStr">
        <is>
          <t>Mobile</t>
        </is>
      </c>
      <c r="D6" s="56" t="inlineStr">
        <is>
          <t>Germany</t>
        </is>
      </c>
      <c r="E6" s="68" t="n">
        <v>36054</v>
      </c>
      <c r="F6" s="68" t="n">
        <v>19240</v>
      </c>
      <c r="G6" s="69">
        <f>IF(OR(F6="",E6="",E6=0,F6=0),"",F6-E6)</f>
        <v/>
      </c>
      <c r="H6" s="42">
        <f>IF(OR(F6="",E6="",E6=0,F6=0),"",F6/E6-1)</f>
        <v/>
      </c>
      <c r="I6" s="68" t="n">
        <v>26652</v>
      </c>
      <c r="J6" s="68" t="n">
        <v>13801</v>
      </c>
      <c r="K6" s="69">
        <f>IF(OR(J6="",I6="",I6=0,J6=0),"",J6-I6)</f>
        <v/>
      </c>
      <c r="L6" s="42">
        <f>IF(OR(J6="",I6="",I6=0,J6=0),"",J6/I6-1)</f>
        <v/>
      </c>
      <c r="M6" s="43">
        <f>IF(OR(I6="",E6="",E6=0),"",I6/E6)</f>
        <v/>
      </c>
      <c r="N6" s="43">
        <f>IF(OR(J6="",F6="",F6=0),"",J6/F6)</f>
        <v/>
      </c>
      <c r="O6" s="44">
        <f>IF(OR(N6="",M6=""),"",(N6-M6)*100)</f>
        <v/>
      </c>
      <c r="P6" s="68" t="n">
        <v>22472</v>
      </c>
      <c r="Q6" s="68" t="n">
        <v>12179</v>
      </c>
      <c r="R6" s="69">
        <f>IF(OR(Q6="",P6="",P6=0,Q6=0),"",Q6-P6)</f>
        <v/>
      </c>
      <c r="S6" s="42">
        <f>IF(OR(Q6="",P6="",P6=0,Q6=0),"",Q6/P6-1)</f>
        <v/>
      </c>
      <c r="T6" s="43">
        <f>IF(OR(P6="",E6="",E6=0),"",P6/E6)</f>
        <v/>
      </c>
      <c r="U6" s="43">
        <f>IF(OR(Q6="",F6="",F6=0),"",Q6/F6)</f>
        <v/>
      </c>
      <c r="V6" s="44">
        <f>IF(OR(U6="",T6=""),"",(U6-T6)*100)</f>
        <v/>
      </c>
      <c r="W6" s="68" t="n">
        <v>6382</v>
      </c>
      <c r="X6" s="68" t="n">
        <v>3570</v>
      </c>
      <c r="Y6" s="69">
        <f>IF(OR(X6="",W6="",W6=0,X6=0),"",X6-W6)</f>
        <v/>
      </c>
      <c r="Z6" s="42">
        <f>IF(OR(X6="",W6="",W6=0,X6=0),"",X6/W6-1)</f>
        <v/>
      </c>
      <c r="AA6" s="43">
        <f>IF(OR(W6="",P6="",P6=0),"",W6/P6)</f>
        <v/>
      </c>
      <c r="AB6" s="43">
        <f>IF(OR(X6="",Q6="",Q6=0),"",X6/Q6)</f>
        <v/>
      </c>
      <c r="AC6" s="44">
        <f>IF(OR(AB6="",AA6=""),"",(AB6-AA6)*100)</f>
        <v/>
      </c>
      <c r="AD6" s="68" t="n">
        <v>4526</v>
      </c>
      <c r="AE6" s="68" t="n">
        <v>2349</v>
      </c>
      <c r="AF6" s="69">
        <f>IF(OR(AE6="",AD6="",AD6=0,AE6=0),"",AE6-AD6)</f>
        <v/>
      </c>
      <c r="AG6" s="42">
        <f>IF(OR(AE6="",AD6="",AD6=0,AE6=0),"",AE6/AD6-1)</f>
        <v/>
      </c>
      <c r="AH6" s="43">
        <f>IF(OR(AD6="",W6="",W6=0),"",AD6/W6)</f>
        <v/>
      </c>
      <c r="AI6" s="43">
        <f>IF(OR(AE6="",X6="",X6=0),"",AE6/X6)</f>
        <v/>
      </c>
      <c r="AJ6" s="44">
        <f>IF(OR(AI6="",AH6=""),"",(AI6-AH6)*100)</f>
        <v/>
      </c>
      <c r="AK6" s="68" t="n">
        <v>1317</v>
      </c>
      <c r="AL6" s="68" t="n">
        <v>749</v>
      </c>
      <c r="AM6" s="69">
        <f>IF(OR(AL6="",AK6="",AK6=0,AL6=0),"",AL6-AK6)</f>
        <v/>
      </c>
      <c r="AN6" s="42">
        <f>IF(OR(AL6="",AK6="",AK6=0,AL6=0),"",AL6/AK6-1)</f>
        <v/>
      </c>
      <c r="AO6" s="43">
        <f>IF(OR(AK6="",AD6="",AD6=0),"",AK6/AD6)</f>
        <v/>
      </c>
      <c r="AP6" s="43">
        <f>IF(OR(AL6="",AE6="",AE6=0),"",AL6/AE6)</f>
        <v/>
      </c>
      <c r="AQ6" s="44">
        <f>IF(OR(AP6="",AO6=""),"",(AP6-AO6)*100)</f>
        <v/>
      </c>
      <c r="AR6" s="68" t="n">
        <v>1053</v>
      </c>
      <c r="AS6" s="68" t="n">
        <v>638</v>
      </c>
      <c r="AT6" s="69">
        <f>IF(OR(AS6="",AR6="",AR6=0,AS6=0),"",AS6-AR6)</f>
        <v/>
      </c>
      <c r="AU6" s="42">
        <f>IF(OR(AS6="",AR6="",AR6=0,AS6=0),"",AS6/AR6-1)</f>
        <v/>
      </c>
      <c r="AV6" s="43">
        <f>IF(OR(AR6="",AK6="",AK6=0),"",AR6/AK6)</f>
        <v/>
      </c>
      <c r="AW6" s="43">
        <f>IF(OR(AS6="",AL6="",AL6=0),"",AS6/AL6)</f>
        <v/>
      </c>
      <c r="AX6" s="44">
        <f>IF(OR(AW6="",AV6=""),"",(AW6-AV6)*100)</f>
        <v/>
      </c>
      <c r="AY6" s="45">
        <f>IF(OR(AR6="",P6="",P6=0),"",AR6/P6)</f>
        <v/>
      </c>
      <c r="AZ6" s="45">
        <f>IF(OR(AS6="",Q6="",Q6=0),"",AS6/Q6)</f>
        <v/>
      </c>
      <c r="BA6" s="44">
        <f>IF(OR(AZ6="",AY6=""),"",(AZ6-AY6)*100)</f>
        <v/>
      </c>
      <c r="BB6" s="45">
        <f>IF(OR(AR6="",E6="",E6=0),"",AR6/E6)</f>
        <v/>
      </c>
      <c r="BC6" s="45">
        <f>IF(OR(AS6="",F6="",F6=0),"",AS6/F6)</f>
        <v/>
      </c>
      <c r="BD6" s="44">
        <f>IF(OR(BC6="",BB6=""),"",(BC6-BB6)*100)</f>
        <v/>
      </c>
      <c r="BE6" s="40">
        <f>IF(AND(F6&lt;&gt;"",E6&lt;&gt;""),"Both years",IF(F6&lt;&gt;"","1-23Aug26 rows only","1-23Aug25 rows only"))</f>
        <v/>
      </c>
    </row>
    <row r="7">
      <c r="A7" s="40" t="inlineStr">
        <is>
          <t>All landing pages</t>
        </is>
      </c>
      <c r="B7" s="40" t="inlineStr">
        <is>
          <t>Paid Search</t>
        </is>
      </c>
      <c r="C7" s="40" t="inlineStr">
        <is>
          <t>Mobile</t>
        </is>
      </c>
      <c r="D7" s="40" t="inlineStr">
        <is>
          <t>Italy</t>
        </is>
      </c>
      <c r="E7" s="68" t="n">
        <v>14163</v>
      </c>
      <c r="F7" s="68" t="n">
        <v>13476</v>
      </c>
      <c r="G7" s="69">
        <f>IF(OR(F7="",E7="",E7=0,F7=0),"",F7-E7)</f>
        <v/>
      </c>
      <c r="H7" s="42">
        <f>IF(OR(F7="",E7="",E7=0,F7=0),"",F7/E7-1)</f>
        <v/>
      </c>
      <c r="I7" s="68" t="n">
        <v>9785</v>
      </c>
      <c r="J7" s="68" t="n">
        <v>6658</v>
      </c>
      <c r="K7" s="69">
        <f>IF(OR(J7="",I7="",I7=0,J7=0),"",J7-I7)</f>
        <v/>
      </c>
      <c r="L7" s="42">
        <f>IF(OR(J7="",I7="",I7=0,J7=0),"",J7/I7-1)</f>
        <v/>
      </c>
      <c r="M7" s="43">
        <f>IF(OR(I7="",E7="",E7=0),"",I7/E7)</f>
        <v/>
      </c>
      <c r="N7" s="43">
        <f>IF(OR(J7="",F7="",F7=0),"",J7/F7)</f>
        <v/>
      </c>
      <c r="O7" s="44">
        <f>IF(OR(N7="",M7=""),"",(N7-M7)*100)</f>
        <v/>
      </c>
      <c r="P7" s="68" t="n">
        <v>7706</v>
      </c>
      <c r="Q7" s="68" t="n">
        <v>5522</v>
      </c>
      <c r="R7" s="69">
        <f>IF(OR(Q7="",P7="",P7=0,Q7=0),"",Q7-P7)</f>
        <v/>
      </c>
      <c r="S7" s="42">
        <f>IF(OR(Q7="",P7="",P7=0,Q7=0),"",Q7/P7-1)</f>
        <v/>
      </c>
      <c r="T7" s="43">
        <f>IF(OR(P7="",E7="",E7=0),"",P7/E7)</f>
        <v/>
      </c>
      <c r="U7" s="43">
        <f>IF(OR(Q7="",F7="",F7=0),"",Q7/F7)</f>
        <v/>
      </c>
      <c r="V7" s="44">
        <f>IF(OR(U7="",T7=""),"",(U7-T7)*100)</f>
        <v/>
      </c>
      <c r="W7" s="68" t="n">
        <v>2036</v>
      </c>
      <c r="X7" s="68" t="n">
        <v>1317</v>
      </c>
      <c r="Y7" s="69">
        <f>IF(OR(X7="",W7="",W7=0,X7=0),"",X7-W7)</f>
        <v/>
      </c>
      <c r="Z7" s="42">
        <f>IF(OR(X7="",W7="",W7=0,X7=0),"",X7/W7-1)</f>
        <v/>
      </c>
      <c r="AA7" s="43">
        <f>IF(OR(W7="",P7="",P7=0),"",W7/P7)</f>
        <v/>
      </c>
      <c r="AB7" s="43">
        <f>IF(OR(X7="",Q7="",Q7=0),"",X7/Q7)</f>
        <v/>
      </c>
      <c r="AC7" s="44">
        <f>IF(OR(AB7="",AA7=""),"",(AB7-AA7)*100)</f>
        <v/>
      </c>
      <c r="AD7" s="68" t="n">
        <v>1541</v>
      </c>
      <c r="AE7" s="68" t="n">
        <v>994</v>
      </c>
      <c r="AF7" s="69">
        <f>IF(OR(AE7="",AD7="",AD7=0,AE7=0),"",AE7-AD7)</f>
        <v/>
      </c>
      <c r="AG7" s="42">
        <f>IF(OR(AE7="",AD7="",AD7=0,AE7=0),"",AE7/AD7-1)</f>
        <v/>
      </c>
      <c r="AH7" s="43">
        <f>IF(OR(AD7="",W7="",W7=0),"",AD7/W7)</f>
        <v/>
      </c>
      <c r="AI7" s="43">
        <f>IF(OR(AE7="",X7="",X7=0),"",AE7/X7)</f>
        <v/>
      </c>
      <c r="AJ7" s="44">
        <f>IF(OR(AI7="",AH7=""),"",(AI7-AH7)*100)</f>
        <v/>
      </c>
      <c r="AK7" s="68" t="n">
        <v>440</v>
      </c>
      <c r="AL7" s="68" t="n">
        <v>263</v>
      </c>
      <c r="AM7" s="69">
        <f>IF(OR(AL7="",AK7="",AK7=0,AL7=0),"",AL7-AK7)</f>
        <v/>
      </c>
      <c r="AN7" s="42">
        <f>IF(OR(AL7="",AK7="",AK7=0,AL7=0),"",AL7/AK7-1)</f>
        <v/>
      </c>
      <c r="AO7" s="43">
        <f>IF(OR(AK7="",AD7="",AD7=0),"",AK7/AD7)</f>
        <v/>
      </c>
      <c r="AP7" s="43">
        <f>IF(OR(AL7="",AE7="",AE7=0),"",AL7/AE7)</f>
        <v/>
      </c>
      <c r="AQ7" s="44">
        <f>IF(OR(AP7="",AO7=""),"",(AP7-AO7)*100)</f>
        <v/>
      </c>
      <c r="AR7" s="68" t="n">
        <v>284</v>
      </c>
      <c r="AS7" s="68" t="n">
        <v>178</v>
      </c>
      <c r="AT7" s="69">
        <f>IF(OR(AS7="",AR7="",AR7=0,AS7=0),"",AS7-AR7)</f>
        <v/>
      </c>
      <c r="AU7" s="42">
        <f>IF(OR(AS7="",AR7="",AR7=0,AS7=0),"",AS7/AR7-1)</f>
        <v/>
      </c>
      <c r="AV7" s="43">
        <f>IF(OR(AR7="",AK7="",AK7=0),"",AR7/AK7)</f>
        <v/>
      </c>
      <c r="AW7" s="43">
        <f>IF(OR(AS7="",AL7="",AL7=0),"",AS7/AL7)</f>
        <v/>
      </c>
      <c r="AX7" s="44">
        <f>IF(OR(AW7="",AV7=""),"",(AW7-AV7)*100)</f>
        <v/>
      </c>
      <c r="AY7" s="45">
        <f>IF(OR(AR7="",P7="",P7=0),"",AR7/P7)</f>
        <v/>
      </c>
      <c r="AZ7" s="45">
        <f>IF(OR(AS7="",Q7="",Q7=0),"",AS7/Q7)</f>
        <v/>
      </c>
      <c r="BA7" s="44">
        <f>IF(OR(AZ7="",AY7=""),"",(AZ7-AY7)*100)</f>
        <v/>
      </c>
      <c r="BB7" s="45">
        <f>IF(OR(AR7="",E7="",E7=0),"",AR7/E7)</f>
        <v/>
      </c>
      <c r="BC7" s="45">
        <f>IF(OR(AS7="",F7="",F7=0),"",AS7/F7)</f>
        <v/>
      </c>
      <c r="BD7" s="44">
        <f>IF(OR(BC7="",BB7=""),"",(BC7-BB7)*100)</f>
        <v/>
      </c>
      <c r="BE7" s="40">
        <f>IF(AND(F7&lt;&gt;"",E7&lt;&gt;""),"Both years",IF(F7&lt;&gt;"","1-23Aug26 rows only","1-23Aug25 rows only"))</f>
        <v/>
      </c>
    </row>
    <row r="8">
      <c r="A8" s="56" t="inlineStr">
        <is>
          <t>All landing pages</t>
        </is>
      </c>
      <c r="B8" s="56" t="inlineStr">
        <is>
          <t>Paid Search</t>
        </is>
      </c>
      <c r="C8" s="56" t="inlineStr">
        <is>
          <t>Mobile</t>
        </is>
      </c>
      <c r="D8" s="56" t="inlineStr">
        <is>
          <t>Spain</t>
        </is>
      </c>
      <c r="E8" s="68" t="n">
        <v>10372</v>
      </c>
      <c r="F8" s="68" t="n">
        <v>7453</v>
      </c>
      <c r="G8" s="69">
        <f>IF(OR(F8="",E8="",E8=0,F8=0),"",F8-E8)</f>
        <v/>
      </c>
      <c r="H8" s="42">
        <f>IF(OR(F8="",E8="",E8=0,F8=0),"",F8/E8-1)</f>
        <v/>
      </c>
      <c r="I8" s="68" t="n">
        <v>7304</v>
      </c>
      <c r="J8" s="68" t="n">
        <v>3095</v>
      </c>
      <c r="K8" s="69">
        <f>IF(OR(J8="",I8="",I8=0,J8=0),"",J8-I8)</f>
        <v/>
      </c>
      <c r="L8" s="42">
        <f>IF(OR(J8="",I8="",I8=0,J8=0),"",J8/I8-1)</f>
        <v/>
      </c>
      <c r="M8" s="43">
        <f>IF(OR(I8="",E8="",E8=0),"",I8/E8)</f>
        <v/>
      </c>
      <c r="N8" s="43">
        <f>IF(OR(J8="",F8="",F8=0),"",J8/F8)</f>
        <v/>
      </c>
      <c r="O8" s="44">
        <f>IF(OR(N8="",M8=""),"",(N8-M8)*100)</f>
        <v/>
      </c>
      <c r="P8" s="68" t="n">
        <v>5450</v>
      </c>
      <c r="Q8" s="68" t="n">
        <v>2712</v>
      </c>
      <c r="R8" s="69">
        <f>IF(OR(Q8="",P8="",P8=0,Q8=0),"",Q8-P8)</f>
        <v/>
      </c>
      <c r="S8" s="42">
        <f>IF(OR(Q8="",P8="",P8=0,Q8=0),"",Q8/P8-1)</f>
        <v/>
      </c>
      <c r="T8" s="43">
        <f>IF(OR(P8="",E8="",E8=0),"",P8/E8)</f>
        <v/>
      </c>
      <c r="U8" s="43">
        <f>IF(OR(Q8="",F8="",F8=0),"",Q8/F8)</f>
        <v/>
      </c>
      <c r="V8" s="44">
        <f>IF(OR(U8="",T8=""),"",(U8-T8)*100)</f>
        <v/>
      </c>
      <c r="W8" s="68" t="n">
        <v>1482</v>
      </c>
      <c r="X8" s="68" t="n">
        <v>799</v>
      </c>
      <c r="Y8" s="69">
        <f>IF(OR(X8="",W8="",W8=0,X8=0),"",X8-W8)</f>
        <v/>
      </c>
      <c r="Z8" s="42">
        <f>IF(OR(X8="",W8="",W8=0,X8=0),"",X8/W8-1)</f>
        <v/>
      </c>
      <c r="AA8" s="43">
        <f>IF(OR(W8="",P8="",P8=0),"",W8/P8)</f>
        <v/>
      </c>
      <c r="AB8" s="43">
        <f>IF(OR(X8="",Q8="",Q8=0),"",X8/Q8)</f>
        <v/>
      </c>
      <c r="AC8" s="44">
        <f>IF(OR(AB8="",AA8=""),"",(AB8-AA8)*100)</f>
        <v/>
      </c>
      <c r="AD8" s="68" t="n">
        <v>1183</v>
      </c>
      <c r="AE8" s="68" t="n">
        <v>627</v>
      </c>
      <c r="AF8" s="69">
        <f>IF(OR(AE8="",AD8="",AD8=0,AE8=0),"",AE8-AD8)</f>
        <v/>
      </c>
      <c r="AG8" s="42">
        <f>IF(OR(AE8="",AD8="",AD8=0,AE8=0),"",AE8/AD8-1)</f>
        <v/>
      </c>
      <c r="AH8" s="43">
        <f>IF(OR(AD8="",W8="",W8=0),"",AD8/W8)</f>
        <v/>
      </c>
      <c r="AI8" s="43">
        <f>IF(OR(AE8="",X8="",X8=0),"",AE8/X8)</f>
        <v/>
      </c>
      <c r="AJ8" s="44">
        <f>IF(OR(AI8="",AH8=""),"",(AI8-AH8)*100)</f>
        <v/>
      </c>
      <c r="AK8" s="68" t="n">
        <v>457</v>
      </c>
      <c r="AL8" s="68" t="n">
        <v>294</v>
      </c>
      <c r="AM8" s="69">
        <f>IF(OR(AL8="",AK8="",AK8=0,AL8=0),"",AL8-AK8)</f>
        <v/>
      </c>
      <c r="AN8" s="42">
        <f>IF(OR(AL8="",AK8="",AK8=0,AL8=0),"",AL8/AK8-1)</f>
        <v/>
      </c>
      <c r="AO8" s="43">
        <f>IF(OR(AK8="",AD8="",AD8=0),"",AK8/AD8)</f>
        <v/>
      </c>
      <c r="AP8" s="43">
        <f>IF(OR(AL8="",AE8="",AE8=0),"",AL8/AE8)</f>
        <v/>
      </c>
      <c r="AQ8" s="44">
        <f>IF(OR(AP8="",AO8=""),"",(AP8-AO8)*100)</f>
        <v/>
      </c>
      <c r="AR8" s="68" t="n">
        <v>356</v>
      </c>
      <c r="AS8" s="68" t="n">
        <v>228</v>
      </c>
      <c r="AT8" s="69">
        <f>IF(OR(AS8="",AR8="",AR8=0,AS8=0),"",AS8-AR8)</f>
        <v/>
      </c>
      <c r="AU8" s="42">
        <f>IF(OR(AS8="",AR8="",AR8=0,AS8=0),"",AS8/AR8-1)</f>
        <v/>
      </c>
      <c r="AV8" s="43">
        <f>IF(OR(AR8="",AK8="",AK8=0),"",AR8/AK8)</f>
        <v/>
      </c>
      <c r="AW8" s="43">
        <f>IF(OR(AS8="",AL8="",AL8=0),"",AS8/AL8)</f>
        <v/>
      </c>
      <c r="AX8" s="44">
        <f>IF(OR(AW8="",AV8=""),"",(AW8-AV8)*100)</f>
        <v/>
      </c>
      <c r="AY8" s="45">
        <f>IF(OR(AR8="",P8="",P8=0),"",AR8/P8)</f>
        <v/>
      </c>
      <c r="AZ8" s="45">
        <f>IF(OR(AS8="",Q8="",Q8=0),"",AS8/Q8)</f>
        <v/>
      </c>
      <c r="BA8" s="44">
        <f>IF(OR(AZ8="",AY8=""),"",(AZ8-AY8)*100)</f>
        <v/>
      </c>
      <c r="BB8" s="45">
        <f>IF(OR(AR8="",E8="",E8=0),"",AR8/E8)</f>
        <v/>
      </c>
      <c r="BC8" s="45">
        <f>IF(OR(AS8="",F8="",F8=0),"",AS8/F8)</f>
        <v/>
      </c>
      <c r="BD8" s="44">
        <f>IF(OR(BC8="",BB8=""),"",(BC8-BB8)*100)</f>
        <v/>
      </c>
      <c r="BE8" s="40">
        <f>IF(AND(F8&lt;&gt;"",E8&lt;&gt;""),"Both years",IF(F8&lt;&gt;"","1-23Aug26 rows only","1-23Aug25 rows only"))</f>
        <v/>
      </c>
    </row>
    <row r="9">
      <c r="A9" s="40" t="inlineStr">
        <is>
          <t>All landing pages</t>
        </is>
      </c>
      <c r="B9" s="40" t="inlineStr">
        <is>
          <t>Paid Search</t>
        </is>
      </c>
      <c r="C9" s="40" t="inlineStr">
        <is>
          <t>Mobile</t>
        </is>
      </c>
      <c r="D9" s="40" t="inlineStr">
        <is>
          <t>Ireland</t>
        </is>
      </c>
      <c r="E9" s="68" t="n">
        <v>16224</v>
      </c>
      <c r="F9" s="68" t="n">
        <v>7410</v>
      </c>
      <c r="G9" s="69">
        <f>IF(OR(F9="",E9="",E9=0,F9=0),"",F9-E9)</f>
        <v/>
      </c>
      <c r="H9" s="42">
        <f>IF(OR(F9="",E9="",E9=0,F9=0),"",F9/E9-1)</f>
        <v/>
      </c>
      <c r="I9" s="68" t="n">
        <v>12804</v>
      </c>
      <c r="J9" s="68" t="n">
        <v>5367</v>
      </c>
      <c r="K9" s="69">
        <f>IF(OR(J9="",I9="",I9=0,J9=0),"",J9-I9)</f>
        <v/>
      </c>
      <c r="L9" s="42">
        <f>IF(OR(J9="",I9="",I9=0,J9=0),"",J9/I9-1)</f>
        <v/>
      </c>
      <c r="M9" s="43">
        <f>IF(OR(I9="",E9="",E9=0),"",I9/E9)</f>
        <v/>
      </c>
      <c r="N9" s="43">
        <f>IF(OR(J9="",F9="",F9=0),"",J9/F9)</f>
        <v/>
      </c>
      <c r="O9" s="44">
        <f>IF(OR(N9="",M9=""),"",(N9-M9)*100)</f>
        <v/>
      </c>
      <c r="P9" s="68" t="n">
        <v>10903</v>
      </c>
      <c r="Q9" s="68" t="n">
        <v>4848</v>
      </c>
      <c r="R9" s="69">
        <f>IF(OR(Q9="",P9="",P9=0,Q9=0),"",Q9-P9)</f>
        <v/>
      </c>
      <c r="S9" s="42">
        <f>IF(OR(Q9="",P9="",P9=0,Q9=0),"",Q9/P9-1)</f>
        <v/>
      </c>
      <c r="T9" s="43">
        <f>IF(OR(P9="",E9="",E9=0),"",P9/E9)</f>
        <v/>
      </c>
      <c r="U9" s="43">
        <f>IF(OR(Q9="",F9="",F9=0),"",Q9/F9)</f>
        <v/>
      </c>
      <c r="V9" s="44">
        <f>IF(OR(U9="",T9=""),"",(U9-T9)*100)</f>
        <v/>
      </c>
      <c r="W9" s="68" t="n">
        <v>2777</v>
      </c>
      <c r="X9" s="68" t="n">
        <v>1198</v>
      </c>
      <c r="Y9" s="69">
        <f>IF(OR(X9="",W9="",W9=0,X9=0),"",X9-W9)</f>
        <v/>
      </c>
      <c r="Z9" s="42">
        <f>IF(OR(X9="",W9="",W9=0,X9=0),"",X9/W9-1)</f>
        <v/>
      </c>
      <c r="AA9" s="43">
        <f>IF(OR(W9="",P9="",P9=0),"",W9/P9)</f>
        <v/>
      </c>
      <c r="AB9" s="43">
        <f>IF(OR(X9="",Q9="",Q9=0),"",X9/Q9)</f>
        <v/>
      </c>
      <c r="AC9" s="44">
        <f>IF(OR(AB9="",AA9=""),"",(AB9-AA9)*100)</f>
        <v/>
      </c>
      <c r="AD9" s="68" t="n">
        <v>2101</v>
      </c>
      <c r="AE9" s="68" t="n">
        <v>869</v>
      </c>
      <c r="AF9" s="69">
        <f>IF(OR(AE9="",AD9="",AD9=0,AE9=0),"",AE9-AD9)</f>
        <v/>
      </c>
      <c r="AG9" s="42">
        <f>IF(OR(AE9="",AD9="",AD9=0,AE9=0),"",AE9/AD9-1)</f>
        <v/>
      </c>
      <c r="AH9" s="43">
        <f>IF(OR(AD9="",W9="",W9=0),"",AD9/W9)</f>
        <v/>
      </c>
      <c r="AI9" s="43">
        <f>IF(OR(AE9="",X9="",X9=0),"",AE9/X9)</f>
        <v/>
      </c>
      <c r="AJ9" s="44">
        <f>IF(OR(AI9="",AH9=""),"",(AI9-AH9)*100)</f>
        <v/>
      </c>
      <c r="AK9" s="68" t="n">
        <v>855</v>
      </c>
      <c r="AL9" s="68" t="n">
        <v>376</v>
      </c>
      <c r="AM9" s="69">
        <f>IF(OR(AL9="",AK9="",AK9=0,AL9=0),"",AL9-AK9)</f>
        <v/>
      </c>
      <c r="AN9" s="42">
        <f>IF(OR(AL9="",AK9="",AK9=0,AL9=0),"",AL9/AK9-1)</f>
        <v/>
      </c>
      <c r="AO9" s="43">
        <f>IF(OR(AK9="",AD9="",AD9=0),"",AK9/AD9)</f>
        <v/>
      </c>
      <c r="AP9" s="43">
        <f>IF(OR(AL9="",AE9="",AE9=0),"",AL9/AE9)</f>
        <v/>
      </c>
      <c r="AQ9" s="44">
        <f>IF(OR(AP9="",AO9=""),"",(AP9-AO9)*100)</f>
        <v/>
      </c>
      <c r="AR9" s="68" t="n">
        <v>643</v>
      </c>
      <c r="AS9" s="68" t="n">
        <v>307</v>
      </c>
      <c r="AT9" s="69">
        <f>IF(OR(AS9="",AR9="",AR9=0,AS9=0),"",AS9-AR9)</f>
        <v/>
      </c>
      <c r="AU9" s="42">
        <f>IF(OR(AS9="",AR9="",AR9=0,AS9=0),"",AS9/AR9-1)</f>
        <v/>
      </c>
      <c r="AV9" s="43">
        <f>IF(OR(AR9="",AK9="",AK9=0),"",AR9/AK9)</f>
        <v/>
      </c>
      <c r="AW9" s="43">
        <f>IF(OR(AS9="",AL9="",AL9=0),"",AS9/AL9)</f>
        <v/>
      </c>
      <c r="AX9" s="44">
        <f>IF(OR(AW9="",AV9=""),"",(AW9-AV9)*100)</f>
        <v/>
      </c>
      <c r="AY9" s="45">
        <f>IF(OR(AR9="",P9="",P9=0),"",AR9/P9)</f>
        <v/>
      </c>
      <c r="AZ9" s="45">
        <f>IF(OR(AS9="",Q9="",Q9=0),"",AS9/Q9)</f>
        <v/>
      </c>
      <c r="BA9" s="44">
        <f>IF(OR(AZ9="",AY9=""),"",(AZ9-AY9)*100)</f>
        <v/>
      </c>
      <c r="BB9" s="45">
        <f>IF(OR(AR9="",E9="",E9=0),"",AR9/E9)</f>
        <v/>
      </c>
      <c r="BC9" s="45">
        <f>IF(OR(AS9="",F9="",F9=0),"",AS9/F9)</f>
        <v/>
      </c>
      <c r="BD9" s="44">
        <f>IF(OR(BC9="",BB9=""),"",(BC9-BB9)*100)</f>
        <v/>
      </c>
      <c r="BE9" s="40">
        <f>IF(AND(F9&lt;&gt;"",E9&lt;&gt;""),"Both years",IF(F9&lt;&gt;"","1-23Aug26 rows only","1-23Aug25 rows only"))</f>
        <v/>
      </c>
    </row>
    <row r="10">
      <c r="A10" s="56" t="inlineStr">
        <is>
          <t>All landing pages</t>
        </is>
      </c>
      <c r="B10" s="56" t="inlineStr">
        <is>
          <t>Paid Search</t>
        </is>
      </c>
      <c r="C10" s="56" t="inlineStr">
        <is>
          <t>Mobile</t>
        </is>
      </c>
      <c r="D10" s="56" t="inlineStr">
        <is>
          <t>Netherlands</t>
        </is>
      </c>
      <c r="E10" s="68" t="n">
        <v>7410</v>
      </c>
      <c r="F10" s="68" t="n">
        <v>4814</v>
      </c>
      <c r="G10" s="69">
        <f>IF(OR(F10="",E10="",E10=0,F10=0),"",F10-E10)</f>
        <v/>
      </c>
      <c r="H10" s="42">
        <f>IF(OR(F10="",E10="",E10=0,F10=0),"",F10/E10-1)</f>
        <v/>
      </c>
      <c r="I10" s="68" t="n">
        <v>5320</v>
      </c>
      <c r="J10" s="68" t="n">
        <v>3351</v>
      </c>
      <c r="K10" s="69">
        <f>IF(OR(J10="",I10="",I10=0,J10=0),"",J10-I10)</f>
        <v/>
      </c>
      <c r="L10" s="42">
        <f>IF(OR(J10="",I10="",I10=0,J10=0),"",J10/I10-1)</f>
        <v/>
      </c>
      <c r="M10" s="43">
        <f>IF(OR(I10="",E10="",E10=0),"",I10/E10)</f>
        <v/>
      </c>
      <c r="N10" s="43">
        <f>IF(OR(J10="",F10="",F10=0),"",J10/F10)</f>
        <v/>
      </c>
      <c r="O10" s="44">
        <f>IF(OR(N10="",M10=""),"",(N10-M10)*100)</f>
        <v/>
      </c>
      <c r="P10" s="68" t="n">
        <v>4404</v>
      </c>
      <c r="Q10" s="68" t="n">
        <v>2896</v>
      </c>
      <c r="R10" s="69">
        <f>IF(OR(Q10="",P10="",P10=0,Q10=0),"",Q10-P10)</f>
        <v/>
      </c>
      <c r="S10" s="42">
        <f>IF(OR(Q10="",P10="",P10=0,Q10=0),"",Q10/P10-1)</f>
        <v/>
      </c>
      <c r="T10" s="43">
        <f>IF(OR(P10="",E10="",E10=0),"",P10/E10)</f>
        <v/>
      </c>
      <c r="U10" s="43">
        <f>IF(OR(Q10="",F10="",F10=0),"",Q10/F10)</f>
        <v/>
      </c>
      <c r="V10" s="44">
        <f>IF(OR(U10="",T10=""),"",(U10-T10)*100)</f>
        <v/>
      </c>
      <c r="W10" s="68" t="n">
        <v>1154</v>
      </c>
      <c r="X10" s="68" t="n">
        <v>741</v>
      </c>
      <c r="Y10" s="69">
        <f>IF(OR(X10="",W10="",W10=0,X10=0),"",X10-W10)</f>
        <v/>
      </c>
      <c r="Z10" s="42">
        <f>IF(OR(X10="",W10="",W10=0,X10=0),"",X10/W10-1)</f>
        <v/>
      </c>
      <c r="AA10" s="43">
        <f>IF(OR(W10="",P10="",P10=0),"",W10/P10)</f>
        <v/>
      </c>
      <c r="AB10" s="43">
        <f>IF(OR(X10="",Q10="",Q10=0),"",X10/Q10)</f>
        <v/>
      </c>
      <c r="AC10" s="44">
        <f>IF(OR(AB10="",AA10=""),"",(AB10-AA10)*100)</f>
        <v/>
      </c>
      <c r="AD10" s="68" t="n">
        <v>815</v>
      </c>
      <c r="AE10" s="68" t="n">
        <v>545</v>
      </c>
      <c r="AF10" s="69">
        <f>IF(OR(AE10="",AD10="",AD10=0,AE10=0),"",AE10-AD10)</f>
        <v/>
      </c>
      <c r="AG10" s="42">
        <f>IF(OR(AE10="",AD10="",AD10=0,AE10=0),"",AE10/AD10-1)</f>
        <v/>
      </c>
      <c r="AH10" s="43">
        <f>IF(OR(AD10="",W10="",W10=0),"",AD10/W10)</f>
        <v/>
      </c>
      <c r="AI10" s="43">
        <f>IF(OR(AE10="",X10="",X10=0),"",AE10/X10)</f>
        <v/>
      </c>
      <c r="AJ10" s="44">
        <f>IF(OR(AI10="",AH10=""),"",(AI10-AH10)*100)</f>
        <v/>
      </c>
      <c r="AK10" s="68" t="n">
        <v>245</v>
      </c>
      <c r="AL10" s="68" t="n">
        <v>208</v>
      </c>
      <c r="AM10" s="69">
        <f>IF(OR(AL10="",AK10="",AK10=0,AL10=0),"",AL10-AK10)</f>
        <v/>
      </c>
      <c r="AN10" s="42">
        <f>IF(OR(AL10="",AK10="",AK10=0,AL10=0),"",AL10/AK10-1)</f>
        <v/>
      </c>
      <c r="AO10" s="43">
        <f>IF(OR(AK10="",AD10="",AD10=0),"",AK10/AD10)</f>
        <v/>
      </c>
      <c r="AP10" s="43">
        <f>IF(OR(AL10="",AE10="",AE10=0),"",AL10/AE10)</f>
        <v/>
      </c>
      <c r="AQ10" s="44">
        <f>IF(OR(AP10="",AO10=""),"",(AP10-AO10)*100)</f>
        <v/>
      </c>
      <c r="AR10" s="68" t="n">
        <v>68</v>
      </c>
      <c r="AS10" s="68" t="n">
        <v>68</v>
      </c>
      <c r="AT10" s="69">
        <f>IF(OR(AS10="",AR10="",AR10=0,AS10=0),"",AS10-AR10)</f>
        <v/>
      </c>
      <c r="AU10" s="42">
        <f>IF(OR(AS10="",AR10="",AR10=0,AS10=0),"",AS10/AR10-1)</f>
        <v/>
      </c>
      <c r="AV10" s="43">
        <f>IF(OR(AR10="",AK10="",AK10=0),"",AR10/AK10)</f>
        <v/>
      </c>
      <c r="AW10" s="43">
        <f>IF(OR(AS10="",AL10="",AL10=0),"",AS10/AL10)</f>
        <v/>
      </c>
      <c r="AX10" s="44">
        <f>IF(OR(AW10="",AV10=""),"",(AW10-AV10)*100)</f>
        <v/>
      </c>
      <c r="AY10" s="45">
        <f>IF(OR(AR10="",P10="",P10=0),"",AR10/P10)</f>
        <v/>
      </c>
      <c r="AZ10" s="45">
        <f>IF(OR(AS10="",Q10="",Q10=0),"",AS10/Q10)</f>
        <v/>
      </c>
      <c r="BA10" s="44">
        <f>IF(OR(AZ10="",AY10=""),"",(AZ10-AY10)*100)</f>
        <v/>
      </c>
      <c r="BB10" s="45">
        <f>IF(OR(AR10="",E10="",E10=0),"",AR10/E10)</f>
        <v/>
      </c>
      <c r="BC10" s="45">
        <f>IF(OR(AS10="",F10="",F10=0),"",AS10/F10)</f>
        <v/>
      </c>
      <c r="BD10" s="44">
        <f>IF(OR(BC10="",BB10=""),"",(BC10-BB10)*100)</f>
        <v/>
      </c>
      <c r="BE10" s="40">
        <f>IF(AND(F10&lt;&gt;"",E10&lt;&gt;""),"Both years",IF(F10&lt;&gt;"","1-23Aug26 rows only","1-23Aug25 rows only"))</f>
        <v/>
      </c>
    </row>
    <row r="11">
      <c r="A11" s="40" t="inlineStr">
        <is>
          <t>All landing pages</t>
        </is>
      </c>
      <c r="B11" s="40" t="inlineStr">
        <is>
          <t>Paid Search</t>
        </is>
      </c>
      <c r="C11" s="40" t="inlineStr">
        <is>
          <t>Mobile</t>
        </is>
      </c>
      <c r="D11" s="40" t="inlineStr">
        <is>
          <t>France</t>
        </is>
      </c>
      <c r="E11" s="68" t="n">
        <v>7782</v>
      </c>
      <c r="F11" s="68" t="n">
        <v>4332</v>
      </c>
      <c r="G11" s="69">
        <f>IF(OR(F11="",E11="",E11=0,F11=0),"",F11-E11)</f>
        <v/>
      </c>
      <c r="H11" s="42">
        <f>IF(OR(F11="",E11="",E11=0,F11=0),"",F11/E11-1)</f>
        <v/>
      </c>
      <c r="I11" s="68" t="n">
        <v>5645</v>
      </c>
      <c r="J11" s="68" t="n">
        <v>2900</v>
      </c>
      <c r="K11" s="69">
        <f>IF(OR(J11="",I11="",I11=0,J11=0),"",J11-I11)</f>
        <v/>
      </c>
      <c r="L11" s="42">
        <f>IF(OR(J11="",I11="",I11=0,J11=0),"",J11/I11-1)</f>
        <v/>
      </c>
      <c r="M11" s="43">
        <f>IF(OR(I11="",E11="",E11=0),"",I11/E11)</f>
        <v/>
      </c>
      <c r="N11" s="43">
        <f>IF(OR(J11="",F11="",F11=0),"",J11/F11)</f>
        <v/>
      </c>
      <c r="O11" s="44">
        <f>IF(OR(N11="",M11=""),"",(N11-M11)*100)</f>
        <v/>
      </c>
      <c r="P11" s="68" t="n">
        <v>4308</v>
      </c>
      <c r="Q11" s="68" t="n">
        <v>2416</v>
      </c>
      <c r="R11" s="69">
        <f>IF(OR(Q11="",P11="",P11=0,Q11=0),"",Q11-P11)</f>
        <v/>
      </c>
      <c r="S11" s="42">
        <f>IF(OR(Q11="",P11="",P11=0,Q11=0),"",Q11/P11-1)</f>
        <v/>
      </c>
      <c r="T11" s="43">
        <f>IF(OR(P11="",E11="",E11=0),"",P11/E11)</f>
        <v/>
      </c>
      <c r="U11" s="43">
        <f>IF(OR(Q11="",F11="",F11=0),"",Q11/F11)</f>
        <v/>
      </c>
      <c r="V11" s="44">
        <f>IF(OR(U11="",T11=""),"",(U11-T11)*100)</f>
        <v/>
      </c>
      <c r="W11" s="68" t="n">
        <v>1312</v>
      </c>
      <c r="X11" s="68" t="n">
        <v>802</v>
      </c>
      <c r="Y11" s="69">
        <f>IF(OR(X11="",W11="",W11=0,X11=0),"",X11-W11)</f>
        <v/>
      </c>
      <c r="Z11" s="42">
        <f>IF(OR(X11="",W11="",W11=0,X11=0),"",X11/W11-1)</f>
        <v/>
      </c>
      <c r="AA11" s="43">
        <f>IF(OR(W11="",P11="",P11=0),"",W11/P11)</f>
        <v/>
      </c>
      <c r="AB11" s="43">
        <f>IF(OR(X11="",Q11="",Q11=0),"",X11/Q11)</f>
        <v/>
      </c>
      <c r="AC11" s="44">
        <f>IF(OR(AB11="",AA11=""),"",(AB11-AA11)*100)</f>
        <v/>
      </c>
      <c r="AD11" s="68" t="n">
        <v>943</v>
      </c>
      <c r="AE11" s="68" t="n">
        <v>582</v>
      </c>
      <c r="AF11" s="69">
        <f>IF(OR(AE11="",AD11="",AD11=0,AE11=0),"",AE11-AD11)</f>
        <v/>
      </c>
      <c r="AG11" s="42">
        <f>IF(OR(AE11="",AD11="",AD11=0,AE11=0),"",AE11/AD11-1)</f>
        <v/>
      </c>
      <c r="AH11" s="43">
        <f>IF(OR(AD11="",W11="",W11=0),"",AD11/W11)</f>
        <v/>
      </c>
      <c r="AI11" s="43">
        <f>IF(OR(AE11="",X11="",X11=0),"",AE11/X11)</f>
        <v/>
      </c>
      <c r="AJ11" s="44">
        <f>IF(OR(AI11="",AH11=""),"",(AI11-AH11)*100)</f>
        <v/>
      </c>
      <c r="AK11" s="68" t="n">
        <v>245</v>
      </c>
      <c r="AL11" s="68" t="n">
        <v>206</v>
      </c>
      <c r="AM11" s="69">
        <f>IF(OR(AL11="",AK11="",AK11=0,AL11=0),"",AL11-AK11)</f>
        <v/>
      </c>
      <c r="AN11" s="42">
        <f>IF(OR(AL11="",AK11="",AK11=0,AL11=0),"",AL11/AK11-1)</f>
        <v/>
      </c>
      <c r="AO11" s="43">
        <f>IF(OR(AK11="",AD11="",AD11=0),"",AK11/AD11)</f>
        <v/>
      </c>
      <c r="AP11" s="43">
        <f>IF(OR(AL11="",AE11="",AE11=0),"",AL11/AE11)</f>
        <v/>
      </c>
      <c r="AQ11" s="44">
        <f>IF(OR(AP11="",AO11=""),"",(AP11-AO11)*100)</f>
        <v/>
      </c>
      <c r="AR11" s="68" t="n">
        <v>168</v>
      </c>
      <c r="AS11" s="68" t="n">
        <v>170</v>
      </c>
      <c r="AT11" s="69">
        <f>IF(OR(AS11="",AR11="",AR11=0,AS11=0),"",AS11-AR11)</f>
        <v/>
      </c>
      <c r="AU11" s="42">
        <f>IF(OR(AS11="",AR11="",AR11=0,AS11=0),"",AS11/AR11-1)</f>
        <v/>
      </c>
      <c r="AV11" s="43">
        <f>IF(OR(AR11="",AK11="",AK11=0),"",AR11/AK11)</f>
        <v/>
      </c>
      <c r="AW11" s="43">
        <f>IF(OR(AS11="",AL11="",AL11=0),"",AS11/AL11)</f>
        <v/>
      </c>
      <c r="AX11" s="44">
        <f>IF(OR(AW11="",AV11=""),"",(AW11-AV11)*100)</f>
        <v/>
      </c>
      <c r="AY11" s="45">
        <f>IF(OR(AR11="",P11="",P11=0),"",AR11/P11)</f>
        <v/>
      </c>
      <c r="AZ11" s="45">
        <f>IF(OR(AS11="",Q11="",Q11=0),"",AS11/Q11)</f>
        <v/>
      </c>
      <c r="BA11" s="44">
        <f>IF(OR(AZ11="",AY11=""),"",(AZ11-AY11)*100)</f>
        <v/>
      </c>
      <c r="BB11" s="45">
        <f>IF(OR(AR11="",E11="",E11=0),"",AR11/E11)</f>
        <v/>
      </c>
      <c r="BC11" s="45">
        <f>IF(OR(AS11="",F11="",F11=0),"",AS11/F11)</f>
        <v/>
      </c>
      <c r="BD11" s="44">
        <f>IF(OR(BC11="",BB11=""),"",(BC11-BB11)*100)</f>
        <v/>
      </c>
      <c r="BE11" s="40">
        <f>IF(AND(F11&lt;&gt;"",E11&lt;&gt;""),"Both years",IF(F11&lt;&gt;"","1-23Aug26 rows only","1-23Aug25 rows only"))</f>
        <v/>
      </c>
    </row>
    <row r="12">
      <c r="A12" s="56" t="inlineStr">
        <is>
          <t>All landing pages</t>
        </is>
      </c>
      <c r="B12" s="56" t="inlineStr">
        <is>
          <t>Paid Search</t>
        </is>
      </c>
      <c r="C12" s="56" t="inlineStr">
        <is>
          <t>Mobile</t>
        </is>
      </c>
      <c r="D12" s="56" t="inlineStr">
        <is>
          <t>Belgium</t>
        </is>
      </c>
      <c r="E12" s="70" t="n"/>
      <c r="F12" s="68" t="n">
        <v>3461</v>
      </c>
      <c r="G12" s="69">
        <f>IF(OR(F12="",E12="",E12=0,F12=0),"",F12-E12)</f>
        <v/>
      </c>
      <c r="H12" s="42">
        <f>IF(OR(F12="",E12="",E12=0,F12=0),"",F12/E12-1)</f>
        <v/>
      </c>
      <c r="I12" s="68" t="n">
        <v>925</v>
      </c>
      <c r="J12" s="68" t="n">
        <v>2240</v>
      </c>
      <c r="K12" s="69">
        <f>IF(OR(J12="",I12="",I12=0,J12=0),"",J12-I12)</f>
        <v/>
      </c>
      <c r="L12" s="42">
        <f>IF(OR(J12="",I12="",I12=0,J12=0),"",J12/I12-1)</f>
        <v/>
      </c>
      <c r="M12" s="43">
        <f>IF(OR(I12="",E12="",E12=0),"",I12/E12)</f>
        <v/>
      </c>
      <c r="N12" s="43">
        <f>IF(OR(J12="",F12="",F12=0),"",J12/F12)</f>
        <v/>
      </c>
      <c r="O12" s="44">
        <f>IF(OR(N12="",M12=""),"",(N12-M12)*100)</f>
        <v/>
      </c>
      <c r="P12" s="70" t="n"/>
      <c r="Q12" s="68" t="n">
        <v>2009</v>
      </c>
      <c r="R12" s="69">
        <f>IF(OR(Q12="",P12="",P12=0,Q12=0),"",Q12-P12)</f>
        <v/>
      </c>
      <c r="S12" s="42">
        <f>IF(OR(Q12="",P12="",P12=0,Q12=0),"",Q12/P12-1)</f>
        <v/>
      </c>
      <c r="T12" s="43">
        <f>IF(OR(P12="",E12="",E12=0),"",P12/E12)</f>
        <v/>
      </c>
      <c r="U12" s="43">
        <f>IF(OR(Q12="",F12="",F12=0),"",Q12/F12)</f>
        <v/>
      </c>
      <c r="V12" s="44">
        <f>IF(OR(U12="",T12=""),"",(U12-T12)*100)</f>
        <v/>
      </c>
      <c r="W12" s="68" t="n">
        <v>223</v>
      </c>
      <c r="X12" s="68" t="n">
        <v>579</v>
      </c>
      <c r="Y12" s="69">
        <f>IF(OR(X12="",W12="",W12=0,X12=0),"",X12-W12)</f>
        <v/>
      </c>
      <c r="Z12" s="42">
        <f>IF(OR(X12="",W12="",W12=0,X12=0),"",X12/W12-1)</f>
        <v/>
      </c>
      <c r="AA12" s="43">
        <f>IF(OR(W12="",P12="",P12=0),"",W12/P12)</f>
        <v/>
      </c>
      <c r="AB12" s="43">
        <f>IF(OR(X12="",Q12="",Q12=0),"",X12/Q12)</f>
        <v/>
      </c>
      <c r="AC12" s="44">
        <f>IF(OR(AB12="",AA12=""),"",(AB12-AA12)*100)</f>
        <v/>
      </c>
      <c r="AD12" s="68" t="n">
        <v>152</v>
      </c>
      <c r="AE12" s="68" t="n">
        <v>422</v>
      </c>
      <c r="AF12" s="69">
        <f>IF(OR(AE12="",AD12="",AD12=0,AE12=0),"",AE12-AD12)</f>
        <v/>
      </c>
      <c r="AG12" s="42">
        <f>IF(OR(AE12="",AD12="",AD12=0,AE12=0),"",AE12/AD12-1)</f>
        <v/>
      </c>
      <c r="AH12" s="43">
        <f>IF(OR(AD12="",W12="",W12=0),"",AD12/W12)</f>
        <v/>
      </c>
      <c r="AI12" s="43">
        <f>IF(OR(AE12="",X12="",X12=0),"",AE12/X12)</f>
        <v/>
      </c>
      <c r="AJ12" s="44">
        <f>IF(OR(AI12="",AH12=""),"",(AI12-AH12)*100)</f>
        <v/>
      </c>
      <c r="AK12" s="68" t="n">
        <v>46</v>
      </c>
      <c r="AL12" s="68" t="n">
        <v>167</v>
      </c>
      <c r="AM12" s="69">
        <f>IF(OR(AL12="",AK12="",AK12=0,AL12=0),"",AL12-AK12)</f>
        <v/>
      </c>
      <c r="AN12" s="42">
        <f>IF(OR(AL12="",AK12="",AK12=0,AL12=0),"",AL12/AK12-1)</f>
        <v/>
      </c>
      <c r="AO12" s="43">
        <f>IF(OR(AK12="",AD12="",AD12=0),"",AK12/AD12)</f>
        <v/>
      </c>
      <c r="AP12" s="43">
        <f>IF(OR(AL12="",AE12="",AE12=0),"",AL12/AE12)</f>
        <v/>
      </c>
      <c r="AQ12" s="44">
        <f>IF(OR(AP12="",AO12=""),"",(AP12-AO12)*100)</f>
        <v/>
      </c>
      <c r="AR12" s="68" t="n">
        <v>36</v>
      </c>
      <c r="AS12" s="68" t="n">
        <v>130</v>
      </c>
      <c r="AT12" s="69">
        <f>IF(OR(AS12="",AR12="",AR12=0,AS12=0),"",AS12-AR12)</f>
        <v/>
      </c>
      <c r="AU12" s="42">
        <f>IF(OR(AS12="",AR12="",AR12=0,AS12=0),"",AS12/AR12-1)</f>
        <v/>
      </c>
      <c r="AV12" s="43">
        <f>IF(OR(AR12="",AK12="",AK12=0),"",AR12/AK12)</f>
        <v/>
      </c>
      <c r="AW12" s="43">
        <f>IF(OR(AS12="",AL12="",AL12=0),"",AS12/AL12)</f>
        <v/>
      </c>
      <c r="AX12" s="44">
        <f>IF(OR(AW12="",AV12=""),"",(AW12-AV12)*100)</f>
        <v/>
      </c>
      <c r="AY12" s="45">
        <f>IF(OR(AR12="",P12="",P12=0),"",AR12/P12)</f>
        <v/>
      </c>
      <c r="AZ12" s="45">
        <f>IF(OR(AS12="",Q12="",Q12=0),"",AS12/Q12)</f>
        <v/>
      </c>
      <c r="BA12" s="44">
        <f>IF(OR(AZ12="",AY12=""),"",(AZ12-AY12)*100)</f>
        <v/>
      </c>
      <c r="BB12" s="45">
        <f>IF(OR(AR12="",E12="",E12=0),"",AR12/E12)</f>
        <v/>
      </c>
      <c r="BC12" s="45">
        <f>IF(OR(AS12="",F12="",F12=0),"",AS12/F12)</f>
        <v/>
      </c>
      <c r="BD12" s="44">
        <f>IF(OR(BC12="",BB12=""),"",(BC12-BB12)*100)</f>
        <v/>
      </c>
      <c r="BE12" s="40">
        <f>IF(AND(F12&lt;&gt;"",E12&lt;&gt;""),"Both years",IF(F12&lt;&gt;"","1-23Aug26 rows only","1-23Aug25 rows only"))</f>
        <v/>
      </c>
    </row>
    <row r="13">
      <c r="A13" s="40" t="inlineStr">
        <is>
          <t>All landing pages</t>
        </is>
      </c>
      <c r="B13" s="40" t="inlineStr">
        <is>
          <t>Paid Search</t>
        </is>
      </c>
      <c r="C13" s="40" t="inlineStr">
        <is>
          <t>Mobile</t>
        </is>
      </c>
      <c r="D13" s="40" t="inlineStr">
        <is>
          <t>Sweden</t>
        </is>
      </c>
      <c r="E13" s="68" t="n">
        <v>3465</v>
      </c>
      <c r="F13" s="68" t="n">
        <v>3337</v>
      </c>
      <c r="G13" s="69">
        <f>IF(OR(F13="",E13="",E13=0,F13=0),"",F13-E13)</f>
        <v/>
      </c>
      <c r="H13" s="42">
        <f>IF(OR(F13="",E13="",E13=0,F13=0),"",F13/E13-1)</f>
        <v/>
      </c>
      <c r="I13" s="68" t="n">
        <v>2466</v>
      </c>
      <c r="J13" s="68" t="n">
        <v>2249</v>
      </c>
      <c r="K13" s="69">
        <f>IF(OR(J13="",I13="",I13=0,J13=0),"",J13-I13)</f>
        <v/>
      </c>
      <c r="L13" s="42">
        <f>IF(OR(J13="",I13="",I13=0,J13=0),"",J13/I13-1)</f>
        <v/>
      </c>
      <c r="M13" s="43">
        <f>IF(OR(I13="",E13="",E13=0),"",I13/E13)</f>
        <v/>
      </c>
      <c r="N13" s="43">
        <f>IF(OR(J13="",F13="",F13=0),"",J13/F13)</f>
        <v/>
      </c>
      <c r="O13" s="44">
        <f>IF(OR(N13="",M13=""),"",(N13-M13)*100)</f>
        <v/>
      </c>
      <c r="P13" s="68" t="n">
        <v>2103</v>
      </c>
      <c r="Q13" s="68" t="n">
        <v>2035</v>
      </c>
      <c r="R13" s="69">
        <f>IF(OR(Q13="",P13="",P13=0,Q13=0),"",Q13-P13)</f>
        <v/>
      </c>
      <c r="S13" s="42">
        <f>IF(OR(Q13="",P13="",P13=0,Q13=0),"",Q13/P13-1)</f>
        <v/>
      </c>
      <c r="T13" s="43">
        <f>IF(OR(P13="",E13="",E13=0),"",P13/E13)</f>
        <v/>
      </c>
      <c r="U13" s="43">
        <f>IF(OR(Q13="",F13="",F13=0),"",Q13/F13)</f>
        <v/>
      </c>
      <c r="V13" s="44">
        <f>IF(OR(U13="",T13=""),"",(U13-T13)*100)</f>
        <v/>
      </c>
      <c r="W13" s="68" t="n">
        <v>526</v>
      </c>
      <c r="X13" s="68" t="n">
        <v>518</v>
      </c>
      <c r="Y13" s="69">
        <f>IF(OR(X13="",W13="",W13=0,X13=0),"",X13-W13)</f>
        <v/>
      </c>
      <c r="Z13" s="42">
        <f>IF(OR(X13="",W13="",W13=0,X13=0),"",X13/W13-1)</f>
        <v/>
      </c>
      <c r="AA13" s="43">
        <f>IF(OR(W13="",P13="",P13=0),"",W13/P13)</f>
        <v/>
      </c>
      <c r="AB13" s="43">
        <f>IF(OR(X13="",Q13="",Q13=0),"",X13/Q13)</f>
        <v/>
      </c>
      <c r="AC13" s="44">
        <f>IF(OR(AB13="",AA13=""),"",(AB13-AA13)*100)</f>
        <v/>
      </c>
      <c r="AD13" s="68" t="n">
        <v>375</v>
      </c>
      <c r="AE13" s="68" t="n">
        <v>352</v>
      </c>
      <c r="AF13" s="69">
        <f>IF(OR(AE13="",AD13="",AD13=0,AE13=0),"",AE13-AD13)</f>
        <v/>
      </c>
      <c r="AG13" s="42">
        <f>IF(OR(AE13="",AD13="",AD13=0,AE13=0),"",AE13/AD13-1)</f>
        <v/>
      </c>
      <c r="AH13" s="43">
        <f>IF(OR(AD13="",W13="",W13=0),"",AD13/W13)</f>
        <v/>
      </c>
      <c r="AI13" s="43">
        <f>IF(OR(AE13="",X13="",X13=0),"",AE13/X13)</f>
        <v/>
      </c>
      <c r="AJ13" s="44">
        <f>IF(OR(AI13="",AH13=""),"",(AI13-AH13)*100)</f>
        <v/>
      </c>
      <c r="AK13" s="68" t="n">
        <v>126</v>
      </c>
      <c r="AL13" s="68" t="n">
        <v>128</v>
      </c>
      <c r="AM13" s="69">
        <f>IF(OR(AL13="",AK13="",AK13=0,AL13=0),"",AL13-AK13)</f>
        <v/>
      </c>
      <c r="AN13" s="42">
        <f>IF(OR(AL13="",AK13="",AK13=0,AL13=0),"",AL13/AK13-1)</f>
        <v/>
      </c>
      <c r="AO13" s="43">
        <f>IF(OR(AK13="",AD13="",AD13=0),"",AK13/AD13)</f>
        <v/>
      </c>
      <c r="AP13" s="43">
        <f>IF(OR(AL13="",AE13="",AE13=0),"",AL13/AE13)</f>
        <v/>
      </c>
      <c r="AQ13" s="44">
        <f>IF(OR(AP13="",AO13=""),"",(AP13-AO13)*100)</f>
        <v/>
      </c>
      <c r="AR13" s="68" t="n">
        <v>94</v>
      </c>
      <c r="AS13" s="68" t="n">
        <v>102</v>
      </c>
      <c r="AT13" s="69">
        <f>IF(OR(AS13="",AR13="",AR13=0,AS13=0),"",AS13-AR13)</f>
        <v/>
      </c>
      <c r="AU13" s="42">
        <f>IF(OR(AS13="",AR13="",AR13=0,AS13=0),"",AS13/AR13-1)</f>
        <v/>
      </c>
      <c r="AV13" s="43">
        <f>IF(OR(AR13="",AK13="",AK13=0),"",AR13/AK13)</f>
        <v/>
      </c>
      <c r="AW13" s="43">
        <f>IF(OR(AS13="",AL13="",AL13=0),"",AS13/AL13)</f>
        <v/>
      </c>
      <c r="AX13" s="44">
        <f>IF(OR(AW13="",AV13=""),"",(AW13-AV13)*100)</f>
        <v/>
      </c>
      <c r="AY13" s="45">
        <f>IF(OR(AR13="",P13="",P13=0),"",AR13/P13)</f>
        <v/>
      </c>
      <c r="AZ13" s="45">
        <f>IF(OR(AS13="",Q13="",Q13=0),"",AS13/Q13)</f>
        <v/>
      </c>
      <c r="BA13" s="44">
        <f>IF(OR(AZ13="",AY13=""),"",(AZ13-AY13)*100)</f>
        <v/>
      </c>
      <c r="BB13" s="45">
        <f>IF(OR(AR13="",E13="",E13=0),"",AR13/E13)</f>
        <v/>
      </c>
      <c r="BC13" s="45">
        <f>IF(OR(AS13="",F13="",F13=0),"",AS13/F13)</f>
        <v/>
      </c>
      <c r="BD13" s="44">
        <f>IF(OR(BC13="",BB13=""),"",(BC13-BB13)*100)</f>
        <v/>
      </c>
      <c r="BE13" s="40">
        <f>IF(AND(F13&lt;&gt;"",E13&lt;&gt;""),"Both years",IF(F13&lt;&gt;"","1-23Aug26 rows only","1-23Aug25 rows only"))</f>
        <v/>
      </c>
    </row>
    <row r="14">
      <c r="A14" s="56" t="inlineStr">
        <is>
          <t>All landing pages</t>
        </is>
      </c>
      <c r="B14" s="56" t="inlineStr">
        <is>
          <t>Paid Search</t>
        </is>
      </c>
      <c r="C14" s="56" t="inlineStr">
        <is>
          <t>Mobile</t>
        </is>
      </c>
      <c r="D14" s="56" t="inlineStr">
        <is>
          <t>Poland</t>
        </is>
      </c>
      <c r="E14" s="68" t="n">
        <v>1749</v>
      </c>
      <c r="F14" s="68" t="n">
        <v>3202</v>
      </c>
      <c r="G14" s="69">
        <f>IF(OR(F14="",E14="",E14=0,F14=0),"",F14-E14)</f>
        <v/>
      </c>
      <c r="H14" s="42">
        <f>IF(OR(F14="",E14="",E14=0,F14=0),"",F14/E14-1)</f>
        <v/>
      </c>
      <c r="I14" s="70" t="n"/>
      <c r="J14" s="70" t="n"/>
      <c r="K14" s="69">
        <f>IF(OR(J14="",I14="",I14=0,J14=0),"",J14-I14)</f>
        <v/>
      </c>
      <c r="L14" s="42">
        <f>IF(OR(J14="",I14="",I14=0,J14=0),"",J14/I14-1)</f>
        <v/>
      </c>
      <c r="M14" s="43">
        <f>IF(OR(I14="",E14="",E14=0),"",I14/E14)</f>
        <v/>
      </c>
      <c r="N14" s="43">
        <f>IF(OR(J14="",F14="",F14=0),"",J14/F14)</f>
        <v/>
      </c>
      <c r="O14" s="44">
        <f>IF(OR(N14="",M14=""),"",(N14-M14)*100)</f>
        <v/>
      </c>
      <c r="P14" s="68" t="n">
        <v>1034</v>
      </c>
      <c r="Q14" s="68" t="n">
        <v>2008</v>
      </c>
      <c r="R14" s="69">
        <f>IF(OR(Q14="",P14="",P14=0,Q14=0),"",Q14-P14)</f>
        <v/>
      </c>
      <c r="S14" s="42">
        <f>IF(OR(Q14="",P14="",P14=0,Q14=0),"",Q14/P14-1)</f>
        <v/>
      </c>
      <c r="T14" s="43">
        <f>IF(OR(P14="",E14="",E14=0),"",P14/E14)</f>
        <v/>
      </c>
      <c r="U14" s="43">
        <f>IF(OR(Q14="",F14="",F14=0),"",Q14/F14)</f>
        <v/>
      </c>
      <c r="V14" s="44">
        <f>IF(OR(U14="",T14=""),"",(U14-T14)*100)</f>
        <v/>
      </c>
      <c r="W14" s="70" t="n"/>
      <c r="X14" s="70" t="n"/>
      <c r="Y14" s="69">
        <f>IF(OR(X14="",W14="",W14=0,X14=0),"",X14-W14)</f>
        <v/>
      </c>
      <c r="Z14" s="42">
        <f>IF(OR(X14="",W14="",W14=0,X14=0),"",X14/W14-1)</f>
        <v/>
      </c>
      <c r="AA14" s="43">
        <f>IF(OR(W14="",P14="",P14=0),"",W14/P14)</f>
        <v/>
      </c>
      <c r="AB14" s="43">
        <f>IF(OR(X14="",Q14="",Q14=0),"",X14/Q14)</f>
        <v/>
      </c>
      <c r="AC14" s="44">
        <f>IF(OR(AB14="",AA14=""),"",(AB14-AA14)*100)</f>
        <v/>
      </c>
      <c r="AD14" s="70" t="n"/>
      <c r="AE14" s="70" t="n"/>
      <c r="AF14" s="69">
        <f>IF(OR(AE14="",AD14="",AD14=0,AE14=0),"",AE14-AD14)</f>
        <v/>
      </c>
      <c r="AG14" s="42">
        <f>IF(OR(AE14="",AD14="",AD14=0,AE14=0),"",AE14/AD14-1)</f>
        <v/>
      </c>
      <c r="AH14" s="43">
        <f>IF(OR(AD14="",W14="",W14=0),"",AD14/W14)</f>
        <v/>
      </c>
      <c r="AI14" s="43">
        <f>IF(OR(AE14="",X14="",X14=0),"",AE14/X14)</f>
        <v/>
      </c>
      <c r="AJ14" s="44">
        <f>IF(OR(AI14="",AH14=""),"",(AI14-AH14)*100)</f>
        <v/>
      </c>
      <c r="AK14" s="70" t="n"/>
      <c r="AL14" s="70" t="n"/>
      <c r="AM14" s="69">
        <f>IF(OR(AL14="",AK14="",AK14=0,AL14=0),"",AL14-AK14)</f>
        <v/>
      </c>
      <c r="AN14" s="42">
        <f>IF(OR(AL14="",AK14="",AK14=0,AL14=0),"",AL14/AK14-1)</f>
        <v/>
      </c>
      <c r="AO14" s="43">
        <f>IF(OR(AK14="",AD14="",AD14=0),"",AK14/AD14)</f>
        <v/>
      </c>
      <c r="AP14" s="43">
        <f>IF(OR(AL14="",AE14="",AE14=0),"",AL14/AE14)</f>
        <v/>
      </c>
      <c r="AQ14" s="44">
        <f>IF(OR(AP14="",AO14=""),"",(AP14-AO14)*100)</f>
        <v/>
      </c>
      <c r="AR14" s="70" t="n"/>
      <c r="AS14" s="70" t="n"/>
      <c r="AT14" s="69">
        <f>IF(OR(AS14="",AR14="",AR14=0,AS14=0),"",AS14-AR14)</f>
        <v/>
      </c>
      <c r="AU14" s="42">
        <f>IF(OR(AS14="",AR14="",AR14=0,AS14=0),"",AS14/AR14-1)</f>
        <v/>
      </c>
      <c r="AV14" s="43">
        <f>IF(OR(AR14="",AK14="",AK14=0),"",AR14/AK14)</f>
        <v/>
      </c>
      <c r="AW14" s="43">
        <f>IF(OR(AS14="",AL14="",AL14=0),"",AS14/AL14)</f>
        <v/>
      </c>
      <c r="AX14" s="44">
        <f>IF(OR(AW14="",AV14=""),"",(AW14-AV14)*100)</f>
        <v/>
      </c>
      <c r="AY14" s="45">
        <f>IF(OR(AR14="",P14="",P14=0),"",AR14/P14)</f>
        <v/>
      </c>
      <c r="AZ14" s="45">
        <f>IF(OR(AS14="",Q14="",Q14=0),"",AS14/Q14)</f>
        <v/>
      </c>
      <c r="BA14" s="44">
        <f>IF(OR(AZ14="",AY14=""),"",(AZ14-AY14)*100)</f>
        <v/>
      </c>
      <c r="BB14" s="45">
        <f>IF(OR(AR14="",E14="",E14=0),"",AR14/E14)</f>
        <v/>
      </c>
      <c r="BC14" s="45">
        <f>IF(OR(AS14="",F14="",F14=0),"",AS14/F14)</f>
        <v/>
      </c>
      <c r="BD14" s="44">
        <f>IF(OR(BC14="",BB14=""),"",(BC14-BB14)*100)</f>
        <v/>
      </c>
      <c r="BE14" s="40">
        <f>IF(AND(F14&lt;&gt;"",E14&lt;&gt;""),"Both years",IF(F14&lt;&gt;"","1-23Aug26 rows only","1-23Aug25 rows only"))</f>
        <v/>
      </c>
    </row>
    <row r="15">
      <c r="A15" s="40" t="inlineStr">
        <is>
          <t>All landing pages</t>
        </is>
      </c>
      <c r="B15" s="40" t="inlineStr">
        <is>
          <t>Paid Search</t>
        </is>
      </c>
      <c r="C15" s="40" t="inlineStr">
        <is>
          <t>Mobile</t>
        </is>
      </c>
      <c r="D15" s="40" t="inlineStr">
        <is>
          <t>Denmark</t>
        </is>
      </c>
      <c r="E15" s="70" t="n"/>
      <c r="F15" s="68" t="n">
        <v>1987</v>
      </c>
      <c r="G15" s="69">
        <f>IF(OR(F15="",E15="",E15=0,F15=0),"",F15-E15)</f>
        <v/>
      </c>
      <c r="H15" s="42">
        <f>IF(OR(F15="",E15="",E15=0,F15=0),"",F15/E15-1)</f>
        <v/>
      </c>
      <c r="I15" s="70" t="n"/>
      <c r="J15" s="70" t="n"/>
      <c r="K15" s="69">
        <f>IF(OR(J15="",I15="",I15=0,J15=0),"",J15-I15)</f>
        <v/>
      </c>
      <c r="L15" s="42">
        <f>IF(OR(J15="",I15="",I15=0,J15=0),"",J15/I15-1)</f>
        <v/>
      </c>
      <c r="M15" s="43">
        <f>IF(OR(I15="",E15="",E15=0),"",I15/E15)</f>
        <v/>
      </c>
      <c r="N15" s="43">
        <f>IF(OR(J15="",F15="",F15=0),"",J15/F15)</f>
        <v/>
      </c>
      <c r="O15" s="44">
        <f>IF(OR(N15="",M15=""),"",(N15-M15)*100)</f>
        <v/>
      </c>
      <c r="P15" s="70" t="n"/>
      <c r="Q15" s="68" t="n">
        <v>1221</v>
      </c>
      <c r="R15" s="69">
        <f>IF(OR(Q15="",P15="",P15=0,Q15=0),"",Q15-P15)</f>
        <v/>
      </c>
      <c r="S15" s="42">
        <f>IF(OR(Q15="",P15="",P15=0,Q15=0),"",Q15/P15-1)</f>
        <v/>
      </c>
      <c r="T15" s="43">
        <f>IF(OR(P15="",E15="",E15=0),"",P15/E15)</f>
        <v/>
      </c>
      <c r="U15" s="43">
        <f>IF(OR(Q15="",F15="",F15=0),"",Q15/F15)</f>
        <v/>
      </c>
      <c r="V15" s="44">
        <f>IF(OR(U15="",T15=""),"",(U15-T15)*100)</f>
        <v/>
      </c>
      <c r="W15" s="70" t="n"/>
      <c r="X15" s="70" t="n"/>
      <c r="Y15" s="69">
        <f>IF(OR(X15="",W15="",W15=0,X15=0),"",X15-W15)</f>
        <v/>
      </c>
      <c r="Z15" s="42">
        <f>IF(OR(X15="",W15="",W15=0,X15=0),"",X15/W15-1)</f>
        <v/>
      </c>
      <c r="AA15" s="43">
        <f>IF(OR(W15="",P15="",P15=0),"",W15/P15)</f>
        <v/>
      </c>
      <c r="AB15" s="43">
        <f>IF(OR(X15="",Q15="",Q15=0),"",X15/Q15)</f>
        <v/>
      </c>
      <c r="AC15" s="44">
        <f>IF(OR(AB15="",AA15=""),"",(AB15-AA15)*100)</f>
        <v/>
      </c>
      <c r="AD15" s="70" t="n"/>
      <c r="AE15" s="70" t="n"/>
      <c r="AF15" s="69">
        <f>IF(OR(AE15="",AD15="",AD15=0,AE15=0),"",AE15-AD15)</f>
        <v/>
      </c>
      <c r="AG15" s="42">
        <f>IF(OR(AE15="",AD15="",AD15=0,AE15=0),"",AE15/AD15-1)</f>
        <v/>
      </c>
      <c r="AH15" s="43">
        <f>IF(OR(AD15="",W15="",W15=0),"",AD15/W15)</f>
        <v/>
      </c>
      <c r="AI15" s="43">
        <f>IF(OR(AE15="",X15="",X15=0),"",AE15/X15)</f>
        <v/>
      </c>
      <c r="AJ15" s="44">
        <f>IF(OR(AI15="",AH15=""),"",(AI15-AH15)*100)</f>
        <v/>
      </c>
      <c r="AK15" s="70" t="n"/>
      <c r="AL15" s="70" t="n"/>
      <c r="AM15" s="69">
        <f>IF(OR(AL15="",AK15="",AK15=0,AL15=0),"",AL15-AK15)</f>
        <v/>
      </c>
      <c r="AN15" s="42">
        <f>IF(OR(AL15="",AK15="",AK15=0,AL15=0),"",AL15/AK15-1)</f>
        <v/>
      </c>
      <c r="AO15" s="43">
        <f>IF(OR(AK15="",AD15="",AD15=0),"",AK15/AD15)</f>
        <v/>
      </c>
      <c r="AP15" s="43">
        <f>IF(OR(AL15="",AE15="",AE15=0),"",AL15/AE15)</f>
        <v/>
      </c>
      <c r="AQ15" s="44">
        <f>IF(OR(AP15="",AO15=""),"",(AP15-AO15)*100)</f>
        <v/>
      </c>
      <c r="AR15" s="70" t="n"/>
      <c r="AS15" s="70" t="n"/>
      <c r="AT15" s="69">
        <f>IF(OR(AS15="",AR15="",AR15=0,AS15=0),"",AS15-AR15)</f>
        <v/>
      </c>
      <c r="AU15" s="42">
        <f>IF(OR(AS15="",AR15="",AR15=0,AS15=0),"",AS15/AR15-1)</f>
        <v/>
      </c>
      <c r="AV15" s="43">
        <f>IF(OR(AR15="",AK15="",AK15=0),"",AR15/AK15)</f>
        <v/>
      </c>
      <c r="AW15" s="43">
        <f>IF(OR(AS15="",AL15="",AL15=0),"",AS15/AL15)</f>
        <v/>
      </c>
      <c r="AX15" s="44">
        <f>IF(OR(AW15="",AV15=""),"",(AW15-AV15)*100)</f>
        <v/>
      </c>
      <c r="AY15" s="45">
        <f>IF(OR(AR15="",P15="",P15=0),"",AR15/P15)</f>
        <v/>
      </c>
      <c r="AZ15" s="45">
        <f>IF(OR(AS15="",Q15="",Q15=0),"",AS15/Q15)</f>
        <v/>
      </c>
      <c r="BA15" s="44">
        <f>IF(OR(AZ15="",AY15=""),"",(AZ15-AY15)*100)</f>
        <v/>
      </c>
      <c r="BB15" s="45">
        <f>IF(OR(AR15="",E15="",E15=0),"",AR15/E15)</f>
        <v/>
      </c>
      <c r="BC15" s="45">
        <f>IF(OR(AS15="",F15="",F15=0),"",AS15/F15)</f>
        <v/>
      </c>
      <c r="BD15" s="44">
        <f>IF(OR(BC15="",BB15=""),"",(BC15-BB15)*100)</f>
        <v/>
      </c>
      <c r="BE15" s="40">
        <f>IF(AND(F15&lt;&gt;"",E15&lt;&gt;""),"Both years",IF(F15&lt;&gt;"","1-23Aug26 rows only","1-23Aug25 rows only"))</f>
        <v/>
      </c>
    </row>
    <row r="16">
      <c r="A16" s="56" t="inlineStr">
        <is>
          <t>All landing pages</t>
        </is>
      </c>
      <c r="B16" s="56" t="inlineStr">
        <is>
          <t>Paid Search</t>
        </is>
      </c>
      <c r="C16" s="56" t="inlineStr">
        <is>
          <t>Mobile</t>
        </is>
      </c>
      <c r="D16" s="56" t="inlineStr">
        <is>
          <t>Norway</t>
        </is>
      </c>
      <c r="E16" s="68" t="n">
        <v>1822</v>
      </c>
      <c r="F16" s="68" t="n">
        <v>1796</v>
      </c>
      <c r="G16" s="69">
        <f>IF(OR(F16="",E16="",E16=0,F16=0),"",F16-E16)</f>
        <v/>
      </c>
      <c r="H16" s="42">
        <f>IF(OR(F16="",E16="",E16=0,F16=0),"",F16/E16-1)</f>
        <v/>
      </c>
      <c r="I16" s="68" t="n">
        <v>1269</v>
      </c>
      <c r="J16" s="68" t="n">
        <v>1275</v>
      </c>
      <c r="K16" s="69">
        <f>IF(OR(J16="",I16="",I16=0,J16=0),"",J16-I16)</f>
        <v/>
      </c>
      <c r="L16" s="42">
        <f>IF(OR(J16="",I16="",I16=0,J16=0),"",J16/I16-1)</f>
        <v/>
      </c>
      <c r="M16" s="43">
        <f>IF(OR(I16="",E16="",E16=0),"",I16/E16)</f>
        <v/>
      </c>
      <c r="N16" s="43">
        <f>IF(OR(J16="",F16="",F16=0),"",J16/F16)</f>
        <v/>
      </c>
      <c r="O16" s="44">
        <f>IF(OR(N16="",M16=""),"",(N16-M16)*100)</f>
        <v/>
      </c>
      <c r="P16" s="68" t="n">
        <v>1132</v>
      </c>
      <c r="Q16" s="68" t="n">
        <v>1168</v>
      </c>
      <c r="R16" s="69">
        <f>IF(OR(Q16="",P16="",P16=0,Q16=0),"",Q16-P16)</f>
        <v/>
      </c>
      <c r="S16" s="42">
        <f>IF(OR(Q16="",P16="",P16=0,Q16=0),"",Q16/P16-1)</f>
        <v/>
      </c>
      <c r="T16" s="43">
        <f>IF(OR(P16="",E16="",E16=0),"",P16/E16)</f>
        <v/>
      </c>
      <c r="U16" s="43">
        <f>IF(OR(Q16="",F16="",F16=0),"",Q16/F16)</f>
        <v/>
      </c>
      <c r="V16" s="44">
        <f>IF(OR(U16="",T16=""),"",(U16-T16)*100)</f>
        <v/>
      </c>
      <c r="W16" s="68" t="n">
        <v>305</v>
      </c>
      <c r="X16" s="68" t="n">
        <v>336</v>
      </c>
      <c r="Y16" s="69">
        <f>IF(OR(X16="",W16="",W16=0,X16=0),"",X16-W16)</f>
        <v/>
      </c>
      <c r="Z16" s="42">
        <f>IF(OR(X16="",W16="",W16=0,X16=0),"",X16/W16-1)</f>
        <v/>
      </c>
      <c r="AA16" s="43">
        <f>IF(OR(W16="",P16="",P16=0),"",W16/P16)</f>
        <v/>
      </c>
      <c r="AB16" s="43">
        <f>IF(OR(X16="",Q16="",Q16=0),"",X16/Q16)</f>
        <v/>
      </c>
      <c r="AC16" s="44">
        <f>IF(OR(AB16="",AA16=""),"",(AB16-AA16)*100)</f>
        <v/>
      </c>
      <c r="AD16" s="68" t="n">
        <v>224</v>
      </c>
      <c r="AE16" s="68" t="n">
        <v>196</v>
      </c>
      <c r="AF16" s="69">
        <f>IF(OR(AE16="",AD16="",AD16=0,AE16=0),"",AE16-AD16)</f>
        <v/>
      </c>
      <c r="AG16" s="42">
        <f>IF(OR(AE16="",AD16="",AD16=0,AE16=0),"",AE16/AD16-1)</f>
        <v/>
      </c>
      <c r="AH16" s="43">
        <f>IF(OR(AD16="",W16="",W16=0),"",AD16/W16)</f>
        <v/>
      </c>
      <c r="AI16" s="43">
        <f>IF(OR(AE16="",X16="",X16=0),"",AE16/X16)</f>
        <v/>
      </c>
      <c r="AJ16" s="44">
        <f>IF(OR(AI16="",AH16=""),"",(AI16-AH16)*100)</f>
        <v/>
      </c>
      <c r="AK16" s="68" t="n">
        <v>76</v>
      </c>
      <c r="AL16" s="68" t="n">
        <v>85</v>
      </c>
      <c r="AM16" s="69">
        <f>IF(OR(AL16="",AK16="",AK16=0,AL16=0),"",AL16-AK16)</f>
        <v/>
      </c>
      <c r="AN16" s="42">
        <f>IF(OR(AL16="",AK16="",AK16=0,AL16=0),"",AL16/AK16-1)</f>
        <v/>
      </c>
      <c r="AO16" s="43">
        <f>IF(OR(AK16="",AD16="",AD16=0),"",AK16/AD16)</f>
        <v/>
      </c>
      <c r="AP16" s="43">
        <f>IF(OR(AL16="",AE16="",AE16=0),"",AL16/AE16)</f>
        <v/>
      </c>
      <c r="AQ16" s="44">
        <f>IF(OR(AP16="",AO16=""),"",(AP16-AO16)*100)</f>
        <v/>
      </c>
      <c r="AR16" s="68" t="n">
        <v>63</v>
      </c>
      <c r="AS16" s="68" t="n">
        <v>73</v>
      </c>
      <c r="AT16" s="69">
        <f>IF(OR(AS16="",AR16="",AR16=0,AS16=0),"",AS16-AR16)</f>
        <v/>
      </c>
      <c r="AU16" s="42">
        <f>IF(OR(AS16="",AR16="",AR16=0,AS16=0),"",AS16/AR16-1)</f>
        <v/>
      </c>
      <c r="AV16" s="43">
        <f>IF(OR(AR16="",AK16="",AK16=0),"",AR16/AK16)</f>
        <v/>
      </c>
      <c r="AW16" s="43">
        <f>IF(OR(AS16="",AL16="",AL16=0),"",AS16/AL16)</f>
        <v/>
      </c>
      <c r="AX16" s="44">
        <f>IF(OR(AW16="",AV16=""),"",(AW16-AV16)*100)</f>
        <v/>
      </c>
      <c r="AY16" s="45">
        <f>IF(OR(AR16="",P16="",P16=0),"",AR16/P16)</f>
        <v/>
      </c>
      <c r="AZ16" s="45">
        <f>IF(OR(AS16="",Q16="",Q16=0),"",AS16/Q16)</f>
        <v/>
      </c>
      <c r="BA16" s="44">
        <f>IF(OR(AZ16="",AY16=""),"",(AZ16-AY16)*100)</f>
        <v/>
      </c>
      <c r="BB16" s="45">
        <f>IF(OR(AR16="",E16="",E16=0),"",AR16/E16)</f>
        <v/>
      </c>
      <c r="BC16" s="45">
        <f>IF(OR(AS16="",F16="",F16=0),"",AS16/F16)</f>
        <v/>
      </c>
      <c r="BD16" s="44">
        <f>IF(OR(BC16="",BB16=""),"",(BC16-BB16)*100)</f>
        <v/>
      </c>
      <c r="BE16" s="40">
        <f>IF(AND(F16&lt;&gt;"",E16&lt;&gt;""),"Both years",IF(F16&lt;&gt;"","1-23Aug26 rows only","1-23Aug25 rows only"))</f>
        <v/>
      </c>
    </row>
    <row r="17">
      <c r="A17" s="40" t="inlineStr">
        <is>
          <t>All landing pages</t>
        </is>
      </c>
      <c r="B17" s="40" t="inlineStr">
        <is>
          <t>Paid Search</t>
        </is>
      </c>
      <c r="C17" s="40" t="inlineStr">
        <is>
          <t>Mobile</t>
        </is>
      </c>
      <c r="D17" s="40" t="inlineStr">
        <is>
          <t>Finland</t>
        </is>
      </c>
      <c r="E17" s="68" t="n">
        <v>1731</v>
      </c>
      <c r="F17" s="68" t="n">
        <v>1786</v>
      </c>
      <c r="G17" s="69">
        <f>IF(OR(F17="",E17="",E17=0,F17=0),"",F17-E17)</f>
        <v/>
      </c>
      <c r="H17" s="42">
        <f>IF(OR(F17="",E17="",E17=0,F17=0),"",F17/E17-1)</f>
        <v/>
      </c>
      <c r="I17" s="68" t="n">
        <v>1285</v>
      </c>
      <c r="J17" s="68" t="n">
        <v>1291</v>
      </c>
      <c r="K17" s="69">
        <f>IF(OR(J17="",I17="",I17=0,J17=0),"",J17-I17)</f>
        <v/>
      </c>
      <c r="L17" s="42">
        <f>IF(OR(J17="",I17="",I17=0,J17=0),"",J17/I17-1)</f>
        <v/>
      </c>
      <c r="M17" s="43">
        <f>IF(OR(I17="",E17="",E17=0),"",I17/E17)</f>
        <v/>
      </c>
      <c r="N17" s="43">
        <f>IF(OR(J17="",F17="",F17=0),"",J17/F17)</f>
        <v/>
      </c>
      <c r="O17" s="44">
        <f>IF(OR(N17="",M17=""),"",(N17-M17)*100)</f>
        <v/>
      </c>
      <c r="P17" s="68" t="n">
        <v>1170</v>
      </c>
      <c r="Q17" s="68" t="n">
        <v>1212</v>
      </c>
      <c r="R17" s="69">
        <f>IF(OR(Q17="",P17="",P17=0,Q17=0),"",Q17-P17)</f>
        <v/>
      </c>
      <c r="S17" s="42">
        <f>IF(OR(Q17="",P17="",P17=0,Q17=0),"",Q17/P17-1)</f>
        <v/>
      </c>
      <c r="T17" s="43">
        <f>IF(OR(P17="",E17="",E17=0),"",P17/E17)</f>
        <v/>
      </c>
      <c r="U17" s="43">
        <f>IF(OR(Q17="",F17="",F17=0),"",Q17/F17)</f>
        <v/>
      </c>
      <c r="V17" s="44">
        <f>IF(OR(U17="",T17=""),"",(U17-T17)*100)</f>
        <v/>
      </c>
      <c r="W17" s="68" t="n">
        <v>285</v>
      </c>
      <c r="X17" s="68" t="n">
        <v>290</v>
      </c>
      <c r="Y17" s="69">
        <f>IF(OR(X17="",W17="",W17=0,X17=0),"",X17-W17)</f>
        <v/>
      </c>
      <c r="Z17" s="42">
        <f>IF(OR(X17="",W17="",W17=0,X17=0),"",X17/W17-1)</f>
        <v/>
      </c>
      <c r="AA17" s="43">
        <f>IF(OR(W17="",P17="",P17=0),"",W17/P17)</f>
        <v/>
      </c>
      <c r="AB17" s="43">
        <f>IF(OR(X17="",Q17="",Q17=0),"",X17/Q17)</f>
        <v/>
      </c>
      <c r="AC17" s="44">
        <f>IF(OR(AB17="",AA17=""),"",(AB17-AA17)*100)</f>
        <v/>
      </c>
      <c r="AD17" s="68" t="n">
        <v>203</v>
      </c>
      <c r="AE17" s="68" t="n">
        <v>182</v>
      </c>
      <c r="AF17" s="69">
        <f>IF(OR(AE17="",AD17="",AD17=0,AE17=0),"",AE17-AD17)</f>
        <v/>
      </c>
      <c r="AG17" s="42">
        <f>IF(OR(AE17="",AD17="",AD17=0,AE17=0),"",AE17/AD17-1)</f>
        <v/>
      </c>
      <c r="AH17" s="43">
        <f>IF(OR(AD17="",W17="",W17=0),"",AD17/W17)</f>
        <v/>
      </c>
      <c r="AI17" s="43">
        <f>IF(OR(AE17="",X17="",X17=0),"",AE17/X17)</f>
        <v/>
      </c>
      <c r="AJ17" s="44">
        <f>IF(OR(AI17="",AH17=""),"",(AI17-AH17)*100)</f>
        <v/>
      </c>
      <c r="AK17" s="68" t="n">
        <v>58</v>
      </c>
      <c r="AL17" s="68" t="n">
        <v>80</v>
      </c>
      <c r="AM17" s="69">
        <f>IF(OR(AL17="",AK17="",AK17=0,AL17=0),"",AL17-AK17)</f>
        <v/>
      </c>
      <c r="AN17" s="42">
        <f>IF(OR(AL17="",AK17="",AK17=0,AL17=0),"",AL17/AK17-1)</f>
        <v/>
      </c>
      <c r="AO17" s="43">
        <f>IF(OR(AK17="",AD17="",AD17=0),"",AK17/AD17)</f>
        <v/>
      </c>
      <c r="AP17" s="43">
        <f>IF(OR(AL17="",AE17="",AE17=0),"",AL17/AE17)</f>
        <v/>
      </c>
      <c r="AQ17" s="44">
        <f>IF(OR(AP17="",AO17=""),"",(AP17-AO17)*100)</f>
        <v/>
      </c>
      <c r="AR17" s="68" t="n">
        <v>49</v>
      </c>
      <c r="AS17" s="68" t="n">
        <v>61</v>
      </c>
      <c r="AT17" s="69">
        <f>IF(OR(AS17="",AR17="",AR17=0,AS17=0),"",AS17-AR17)</f>
        <v/>
      </c>
      <c r="AU17" s="42">
        <f>IF(OR(AS17="",AR17="",AR17=0,AS17=0),"",AS17/AR17-1)</f>
        <v/>
      </c>
      <c r="AV17" s="43">
        <f>IF(OR(AR17="",AK17="",AK17=0),"",AR17/AK17)</f>
        <v/>
      </c>
      <c r="AW17" s="43">
        <f>IF(OR(AS17="",AL17="",AL17=0),"",AS17/AL17)</f>
        <v/>
      </c>
      <c r="AX17" s="44">
        <f>IF(OR(AW17="",AV17=""),"",(AW17-AV17)*100)</f>
        <v/>
      </c>
      <c r="AY17" s="45">
        <f>IF(OR(AR17="",P17="",P17=0),"",AR17/P17)</f>
        <v/>
      </c>
      <c r="AZ17" s="45">
        <f>IF(OR(AS17="",Q17="",Q17=0),"",AS17/Q17)</f>
        <v/>
      </c>
      <c r="BA17" s="44">
        <f>IF(OR(AZ17="",AY17=""),"",(AZ17-AY17)*100)</f>
        <v/>
      </c>
      <c r="BB17" s="45">
        <f>IF(OR(AR17="",E17="",E17=0),"",AR17/E17)</f>
        <v/>
      </c>
      <c r="BC17" s="45">
        <f>IF(OR(AS17="",F17="",F17=0),"",AS17/F17)</f>
        <v/>
      </c>
      <c r="BD17" s="44">
        <f>IF(OR(BC17="",BB17=""),"",(BC17-BB17)*100)</f>
        <v/>
      </c>
      <c r="BE17" s="40">
        <f>IF(AND(F17&lt;&gt;"",E17&lt;&gt;""),"Both years",IF(F17&lt;&gt;"","1-23Aug26 rows only","1-23Aug25 rows only"))</f>
        <v/>
      </c>
    </row>
    <row r="18">
      <c r="A18" s="56" t="inlineStr">
        <is>
          <t>All landing pages</t>
        </is>
      </c>
      <c r="B18" s="56" t="inlineStr">
        <is>
          <t>Paid Search</t>
        </is>
      </c>
      <c r="C18" s="56" t="inlineStr">
        <is>
          <t>Mobile</t>
        </is>
      </c>
      <c r="D18" s="56" t="inlineStr">
        <is>
          <t>Austria</t>
        </is>
      </c>
      <c r="E18" s="68" t="n">
        <v>1853</v>
      </c>
      <c r="F18" s="68" t="n">
        <v>1760</v>
      </c>
      <c r="G18" s="69">
        <f>IF(OR(F18="",E18="",E18=0,F18=0),"",F18-E18)</f>
        <v/>
      </c>
      <c r="H18" s="42">
        <f>IF(OR(F18="",E18="",E18=0,F18=0),"",F18/E18-1)</f>
        <v/>
      </c>
      <c r="I18" s="70" t="n"/>
      <c r="J18" s="70" t="n"/>
      <c r="K18" s="69">
        <f>IF(OR(J18="",I18="",I18=0,J18=0),"",J18-I18)</f>
        <v/>
      </c>
      <c r="L18" s="42">
        <f>IF(OR(J18="",I18="",I18=0,J18=0),"",J18/I18-1)</f>
        <v/>
      </c>
      <c r="M18" s="43">
        <f>IF(OR(I18="",E18="",E18=0),"",I18/E18)</f>
        <v/>
      </c>
      <c r="N18" s="43">
        <f>IF(OR(J18="",F18="",F18=0),"",J18/F18)</f>
        <v/>
      </c>
      <c r="O18" s="44">
        <f>IF(OR(N18="",M18=""),"",(N18-M18)*100)</f>
        <v/>
      </c>
      <c r="P18" s="68" t="n">
        <v>1226</v>
      </c>
      <c r="Q18" s="68" t="n">
        <v>1127</v>
      </c>
      <c r="R18" s="69">
        <f>IF(OR(Q18="",P18="",P18=0,Q18=0),"",Q18-P18)</f>
        <v/>
      </c>
      <c r="S18" s="42">
        <f>IF(OR(Q18="",P18="",P18=0,Q18=0),"",Q18/P18-1)</f>
        <v/>
      </c>
      <c r="T18" s="43">
        <f>IF(OR(P18="",E18="",E18=0),"",P18/E18)</f>
        <v/>
      </c>
      <c r="U18" s="43">
        <f>IF(OR(Q18="",F18="",F18=0),"",Q18/F18)</f>
        <v/>
      </c>
      <c r="V18" s="44">
        <f>IF(OR(U18="",T18=""),"",(U18-T18)*100)</f>
        <v/>
      </c>
      <c r="W18" s="70" t="n"/>
      <c r="X18" s="70" t="n"/>
      <c r="Y18" s="69">
        <f>IF(OR(X18="",W18="",W18=0,X18=0),"",X18-W18)</f>
        <v/>
      </c>
      <c r="Z18" s="42">
        <f>IF(OR(X18="",W18="",W18=0,X18=0),"",X18/W18-1)</f>
        <v/>
      </c>
      <c r="AA18" s="43">
        <f>IF(OR(W18="",P18="",P18=0),"",W18/P18)</f>
        <v/>
      </c>
      <c r="AB18" s="43">
        <f>IF(OR(X18="",Q18="",Q18=0),"",X18/Q18)</f>
        <v/>
      </c>
      <c r="AC18" s="44">
        <f>IF(OR(AB18="",AA18=""),"",(AB18-AA18)*100)</f>
        <v/>
      </c>
      <c r="AD18" s="70" t="n"/>
      <c r="AE18" s="70" t="n"/>
      <c r="AF18" s="69">
        <f>IF(OR(AE18="",AD18="",AD18=0,AE18=0),"",AE18-AD18)</f>
        <v/>
      </c>
      <c r="AG18" s="42">
        <f>IF(OR(AE18="",AD18="",AD18=0,AE18=0),"",AE18/AD18-1)</f>
        <v/>
      </c>
      <c r="AH18" s="43">
        <f>IF(OR(AD18="",W18="",W18=0),"",AD18/W18)</f>
        <v/>
      </c>
      <c r="AI18" s="43">
        <f>IF(OR(AE18="",X18="",X18=0),"",AE18/X18)</f>
        <v/>
      </c>
      <c r="AJ18" s="44">
        <f>IF(OR(AI18="",AH18=""),"",(AI18-AH18)*100)</f>
        <v/>
      </c>
      <c r="AK18" s="70" t="n"/>
      <c r="AL18" s="70" t="n"/>
      <c r="AM18" s="69">
        <f>IF(OR(AL18="",AK18="",AK18=0,AL18=0),"",AL18-AK18)</f>
        <v/>
      </c>
      <c r="AN18" s="42">
        <f>IF(OR(AL18="",AK18="",AK18=0,AL18=0),"",AL18/AK18-1)</f>
        <v/>
      </c>
      <c r="AO18" s="43">
        <f>IF(OR(AK18="",AD18="",AD18=0),"",AK18/AD18)</f>
        <v/>
      </c>
      <c r="AP18" s="43">
        <f>IF(OR(AL18="",AE18="",AE18=0),"",AL18/AE18)</f>
        <v/>
      </c>
      <c r="AQ18" s="44">
        <f>IF(OR(AP18="",AO18=""),"",(AP18-AO18)*100)</f>
        <v/>
      </c>
      <c r="AR18" s="70" t="n"/>
      <c r="AS18" s="70" t="n"/>
      <c r="AT18" s="69">
        <f>IF(OR(AS18="",AR18="",AR18=0,AS18=0),"",AS18-AR18)</f>
        <v/>
      </c>
      <c r="AU18" s="42">
        <f>IF(OR(AS18="",AR18="",AR18=0,AS18=0),"",AS18/AR18-1)</f>
        <v/>
      </c>
      <c r="AV18" s="43">
        <f>IF(OR(AR18="",AK18="",AK18=0),"",AR18/AK18)</f>
        <v/>
      </c>
      <c r="AW18" s="43">
        <f>IF(OR(AS18="",AL18="",AL18=0),"",AS18/AL18)</f>
        <v/>
      </c>
      <c r="AX18" s="44">
        <f>IF(OR(AW18="",AV18=""),"",(AW18-AV18)*100)</f>
        <v/>
      </c>
      <c r="AY18" s="45">
        <f>IF(OR(AR18="",P18="",P18=0),"",AR18/P18)</f>
        <v/>
      </c>
      <c r="AZ18" s="45">
        <f>IF(OR(AS18="",Q18="",Q18=0),"",AS18/Q18)</f>
        <v/>
      </c>
      <c r="BA18" s="44">
        <f>IF(OR(AZ18="",AY18=""),"",(AZ18-AY18)*100)</f>
        <v/>
      </c>
      <c r="BB18" s="45">
        <f>IF(OR(AR18="",E18="",E18=0),"",AR18/E18)</f>
        <v/>
      </c>
      <c r="BC18" s="45">
        <f>IF(OR(AS18="",F18="",F18=0),"",AS18/F18)</f>
        <v/>
      </c>
      <c r="BD18" s="44">
        <f>IF(OR(BC18="",BB18=""),"",(BC18-BB18)*100)</f>
        <v/>
      </c>
      <c r="BE18" s="40">
        <f>IF(AND(F18&lt;&gt;"",E18&lt;&gt;""),"Both years",IF(F18&lt;&gt;"","1-23Aug26 rows only","1-23Aug25 rows only"))</f>
        <v/>
      </c>
    </row>
    <row r="19">
      <c r="A19" s="40" t="inlineStr">
        <is>
          <t>All landing pages</t>
        </is>
      </c>
      <c r="B19" s="40" t="inlineStr">
        <is>
          <t>Paid Search</t>
        </is>
      </c>
      <c r="C19" s="40" t="inlineStr">
        <is>
          <t>Mobile</t>
        </is>
      </c>
      <c r="D19" s="40" t="inlineStr">
        <is>
          <t>United States</t>
        </is>
      </c>
      <c r="E19" s="68" t="n">
        <v>2478</v>
      </c>
      <c r="F19" s="70" t="n"/>
      <c r="G19" s="69">
        <f>IF(OR(F19="",E19="",E19=0,F19=0),"",F19-E19)</f>
        <v/>
      </c>
      <c r="H19" s="42">
        <f>IF(OR(F19="",E19="",E19=0,F19=0),"",F19/E19-1)</f>
        <v/>
      </c>
      <c r="I19" s="68" t="n">
        <v>1366</v>
      </c>
      <c r="J19" s="68" t="n">
        <v>779</v>
      </c>
      <c r="K19" s="69">
        <f>IF(OR(J19="",I19="",I19=0,J19=0),"",J19-I19)</f>
        <v/>
      </c>
      <c r="L19" s="42">
        <f>IF(OR(J19="",I19="",I19=0,J19=0),"",J19/I19-1)</f>
        <v/>
      </c>
      <c r="M19" s="43">
        <f>IF(OR(I19="",E19="",E19=0),"",I19/E19)</f>
        <v/>
      </c>
      <c r="N19" s="43">
        <f>IF(OR(J19="",F19="",F19=0),"",J19/F19)</f>
        <v/>
      </c>
      <c r="O19" s="44">
        <f>IF(OR(N19="",M19=""),"",(N19-M19)*100)</f>
        <v/>
      </c>
      <c r="P19" s="68" t="n">
        <v>964</v>
      </c>
      <c r="Q19" s="70" t="n"/>
      <c r="R19" s="69">
        <f>IF(OR(Q19="",P19="",P19=0,Q19=0),"",Q19-P19)</f>
        <v/>
      </c>
      <c r="S19" s="42">
        <f>IF(OR(Q19="",P19="",P19=0,Q19=0),"",Q19/P19-1)</f>
        <v/>
      </c>
      <c r="T19" s="43">
        <f>IF(OR(P19="",E19="",E19=0),"",P19/E19)</f>
        <v/>
      </c>
      <c r="U19" s="43">
        <f>IF(OR(Q19="",F19="",F19=0),"",Q19/F19)</f>
        <v/>
      </c>
      <c r="V19" s="44">
        <f>IF(OR(U19="",T19=""),"",(U19-T19)*100)</f>
        <v/>
      </c>
      <c r="W19" s="68" t="n">
        <v>302</v>
      </c>
      <c r="X19" s="68" t="n">
        <v>213</v>
      </c>
      <c r="Y19" s="69">
        <f>IF(OR(X19="",W19="",W19=0,X19=0),"",X19-W19)</f>
        <v/>
      </c>
      <c r="Z19" s="42">
        <f>IF(OR(X19="",W19="",W19=0,X19=0),"",X19/W19-1)</f>
        <v/>
      </c>
      <c r="AA19" s="43">
        <f>IF(OR(W19="",P19="",P19=0),"",W19/P19)</f>
        <v/>
      </c>
      <c r="AB19" s="43">
        <f>IF(OR(X19="",Q19="",Q19=0),"",X19/Q19)</f>
        <v/>
      </c>
      <c r="AC19" s="44">
        <f>IF(OR(AB19="",AA19=""),"",(AB19-AA19)*100)</f>
        <v/>
      </c>
      <c r="AD19" s="68" t="n">
        <v>253</v>
      </c>
      <c r="AE19" s="68" t="n">
        <v>189</v>
      </c>
      <c r="AF19" s="69">
        <f>IF(OR(AE19="",AD19="",AD19=0,AE19=0),"",AE19-AD19)</f>
        <v/>
      </c>
      <c r="AG19" s="42">
        <f>IF(OR(AE19="",AD19="",AD19=0,AE19=0),"",AE19/AD19-1)</f>
        <v/>
      </c>
      <c r="AH19" s="43">
        <f>IF(OR(AD19="",W19="",W19=0),"",AD19/W19)</f>
        <v/>
      </c>
      <c r="AI19" s="43">
        <f>IF(OR(AE19="",X19="",X19=0),"",AE19/X19)</f>
        <v/>
      </c>
      <c r="AJ19" s="44">
        <f>IF(OR(AI19="",AH19=""),"",(AI19-AH19)*100)</f>
        <v/>
      </c>
      <c r="AK19" s="68" t="n">
        <v>99</v>
      </c>
      <c r="AL19" s="68" t="n">
        <v>68</v>
      </c>
      <c r="AM19" s="69">
        <f>IF(OR(AL19="",AK19="",AK19=0,AL19=0),"",AL19-AK19)</f>
        <v/>
      </c>
      <c r="AN19" s="42">
        <f>IF(OR(AL19="",AK19="",AK19=0,AL19=0),"",AL19/AK19-1)</f>
        <v/>
      </c>
      <c r="AO19" s="43">
        <f>IF(OR(AK19="",AD19="",AD19=0),"",AK19/AD19)</f>
        <v/>
      </c>
      <c r="AP19" s="43">
        <f>IF(OR(AL19="",AE19="",AE19=0),"",AL19/AE19)</f>
        <v/>
      </c>
      <c r="AQ19" s="44">
        <f>IF(OR(AP19="",AO19=""),"",(AP19-AO19)*100)</f>
        <v/>
      </c>
      <c r="AR19" s="68" t="n">
        <v>64</v>
      </c>
      <c r="AS19" s="68" t="n">
        <v>58</v>
      </c>
      <c r="AT19" s="69">
        <f>IF(OR(AS19="",AR19="",AR19=0,AS19=0),"",AS19-AR19)</f>
        <v/>
      </c>
      <c r="AU19" s="42">
        <f>IF(OR(AS19="",AR19="",AR19=0,AS19=0),"",AS19/AR19-1)</f>
        <v/>
      </c>
      <c r="AV19" s="43">
        <f>IF(OR(AR19="",AK19="",AK19=0),"",AR19/AK19)</f>
        <v/>
      </c>
      <c r="AW19" s="43">
        <f>IF(OR(AS19="",AL19="",AL19=0),"",AS19/AL19)</f>
        <v/>
      </c>
      <c r="AX19" s="44">
        <f>IF(OR(AW19="",AV19=""),"",(AW19-AV19)*100)</f>
        <v/>
      </c>
      <c r="AY19" s="45">
        <f>IF(OR(AR19="",P19="",P19=0),"",AR19/P19)</f>
        <v/>
      </c>
      <c r="AZ19" s="45">
        <f>IF(OR(AS19="",Q19="",Q19=0),"",AS19/Q19)</f>
        <v/>
      </c>
      <c r="BA19" s="44">
        <f>IF(OR(AZ19="",AY19=""),"",(AZ19-AY19)*100)</f>
        <v/>
      </c>
      <c r="BB19" s="45">
        <f>IF(OR(AR19="",E19="",E19=0),"",AR19/E19)</f>
        <v/>
      </c>
      <c r="BC19" s="45">
        <f>IF(OR(AS19="",F19="",F19=0),"",AS19/F19)</f>
        <v/>
      </c>
      <c r="BD19" s="44">
        <f>IF(OR(BC19="",BB19=""),"",(BC19-BB19)*100)</f>
        <v/>
      </c>
      <c r="BE19" s="40">
        <f>IF(AND(F19&lt;&gt;"",E19&lt;&gt;""),"Both years",IF(F19&lt;&gt;"","1-23Aug26 rows only","1-23Aug25 rows only"))</f>
        <v/>
      </c>
    </row>
    <row r="20">
      <c r="A20" s="56" t="inlineStr">
        <is>
          <t>All landing pages</t>
        </is>
      </c>
      <c r="B20" s="56" t="inlineStr">
        <is>
          <t>Paid Search</t>
        </is>
      </c>
      <c r="C20" s="56" t="inlineStr">
        <is>
          <t>Mobile</t>
        </is>
      </c>
      <c r="D20" s="56" t="inlineStr">
        <is>
          <t>Switzerland</t>
        </is>
      </c>
      <c r="E20" s="68" t="n">
        <v>1760</v>
      </c>
      <c r="F20" s="70" t="n"/>
      <c r="G20" s="69">
        <f>IF(OR(F20="",E20="",E20=0,F20=0),"",F20-E20)</f>
        <v/>
      </c>
      <c r="H20" s="42">
        <f>IF(OR(F20="",E20="",E20=0,F20=0),"",F20/E20-1)</f>
        <v/>
      </c>
      <c r="I20" s="70" t="n"/>
      <c r="J20" s="70" t="n"/>
      <c r="K20" s="69">
        <f>IF(OR(J20="",I20="",I20=0,J20=0),"",J20-I20)</f>
        <v/>
      </c>
      <c r="L20" s="42">
        <f>IF(OR(J20="",I20="",I20=0,J20=0),"",J20/I20-1)</f>
        <v/>
      </c>
      <c r="M20" s="43">
        <f>IF(OR(I20="",E20="",E20=0),"",I20/E20)</f>
        <v/>
      </c>
      <c r="N20" s="43">
        <f>IF(OR(J20="",F20="",F20=0),"",J20/F20)</f>
        <v/>
      </c>
      <c r="O20" s="44">
        <f>IF(OR(N20="",M20=""),"",(N20-M20)*100)</f>
        <v/>
      </c>
      <c r="P20" s="68" t="n">
        <v>1077</v>
      </c>
      <c r="Q20" s="70" t="n"/>
      <c r="R20" s="69">
        <f>IF(OR(Q20="",P20="",P20=0,Q20=0),"",Q20-P20)</f>
        <v/>
      </c>
      <c r="S20" s="42">
        <f>IF(OR(Q20="",P20="",P20=0,Q20=0),"",Q20/P20-1)</f>
        <v/>
      </c>
      <c r="T20" s="43">
        <f>IF(OR(P20="",E20="",E20=0),"",P20/E20)</f>
        <v/>
      </c>
      <c r="U20" s="43">
        <f>IF(OR(Q20="",F20="",F20=0),"",Q20/F20)</f>
        <v/>
      </c>
      <c r="V20" s="44">
        <f>IF(OR(U20="",T20=""),"",(U20-T20)*100)</f>
        <v/>
      </c>
      <c r="W20" s="70" t="n"/>
      <c r="X20" s="70" t="n"/>
      <c r="Y20" s="69">
        <f>IF(OR(X20="",W20="",W20=0,X20=0),"",X20-W20)</f>
        <v/>
      </c>
      <c r="Z20" s="42">
        <f>IF(OR(X20="",W20="",W20=0,X20=0),"",X20/W20-1)</f>
        <v/>
      </c>
      <c r="AA20" s="43">
        <f>IF(OR(W20="",P20="",P20=0),"",W20/P20)</f>
        <v/>
      </c>
      <c r="AB20" s="43">
        <f>IF(OR(X20="",Q20="",Q20=0),"",X20/Q20)</f>
        <v/>
      </c>
      <c r="AC20" s="44">
        <f>IF(OR(AB20="",AA20=""),"",(AB20-AA20)*100)</f>
        <v/>
      </c>
      <c r="AD20" s="70" t="n"/>
      <c r="AE20" s="70" t="n"/>
      <c r="AF20" s="69">
        <f>IF(OR(AE20="",AD20="",AD20=0,AE20=0),"",AE20-AD20)</f>
        <v/>
      </c>
      <c r="AG20" s="42">
        <f>IF(OR(AE20="",AD20="",AD20=0,AE20=0),"",AE20/AD20-1)</f>
        <v/>
      </c>
      <c r="AH20" s="43">
        <f>IF(OR(AD20="",W20="",W20=0),"",AD20/W20)</f>
        <v/>
      </c>
      <c r="AI20" s="43">
        <f>IF(OR(AE20="",X20="",X20=0),"",AE20/X20)</f>
        <v/>
      </c>
      <c r="AJ20" s="44">
        <f>IF(OR(AI20="",AH20=""),"",(AI20-AH20)*100)</f>
        <v/>
      </c>
      <c r="AK20" s="70" t="n"/>
      <c r="AL20" s="70" t="n"/>
      <c r="AM20" s="69">
        <f>IF(OR(AL20="",AK20="",AK20=0,AL20=0),"",AL20-AK20)</f>
        <v/>
      </c>
      <c r="AN20" s="42">
        <f>IF(OR(AL20="",AK20="",AK20=0,AL20=0),"",AL20/AK20-1)</f>
        <v/>
      </c>
      <c r="AO20" s="43">
        <f>IF(OR(AK20="",AD20="",AD20=0),"",AK20/AD20)</f>
        <v/>
      </c>
      <c r="AP20" s="43">
        <f>IF(OR(AL20="",AE20="",AE20=0),"",AL20/AE20)</f>
        <v/>
      </c>
      <c r="AQ20" s="44">
        <f>IF(OR(AP20="",AO20=""),"",(AP20-AO20)*100)</f>
        <v/>
      </c>
      <c r="AR20" s="70" t="n"/>
      <c r="AS20" s="70" t="n"/>
      <c r="AT20" s="69">
        <f>IF(OR(AS20="",AR20="",AR20=0,AS20=0),"",AS20-AR20)</f>
        <v/>
      </c>
      <c r="AU20" s="42">
        <f>IF(OR(AS20="",AR20="",AR20=0,AS20=0),"",AS20/AR20-1)</f>
        <v/>
      </c>
      <c r="AV20" s="43">
        <f>IF(OR(AR20="",AK20="",AK20=0),"",AR20/AK20)</f>
        <v/>
      </c>
      <c r="AW20" s="43">
        <f>IF(OR(AS20="",AL20="",AL20=0),"",AS20/AL20)</f>
        <v/>
      </c>
      <c r="AX20" s="44">
        <f>IF(OR(AW20="",AV20=""),"",(AW20-AV20)*100)</f>
        <v/>
      </c>
      <c r="AY20" s="45">
        <f>IF(OR(AR20="",P20="",P20=0),"",AR20/P20)</f>
        <v/>
      </c>
      <c r="AZ20" s="45">
        <f>IF(OR(AS20="",Q20="",Q20=0),"",AS20/Q20)</f>
        <v/>
      </c>
      <c r="BA20" s="44">
        <f>IF(OR(AZ20="",AY20=""),"",(AZ20-AY20)*100)</f>
        <v/>
      </c>
      <c r="BB20" s="45">
        <f>IF(OR(AR20="",E20="",E20=0),"",AR20/E20)</f>
        <v/>
      </c>
      <c r="BC20" s="45">
        <f>IF(OR(AS20="",F20="",F20=0),"",AS20/F20)</f>
        <v/>
      </c>
      <c r="BD20" s="44">
        <f>IF(OR(BC20="",BB20=""),"",(BC20-BB20)*100)</f>
        <v/>
      </c>
      <c r="BE20" s="40">
        <f>IF(AND(F20&lt;&gt;"",E20&lt;&gt;""),"Both years",IF(F20&lt;&gt;"","1-23Aug26 rows only","1-23Aug25 rows only"))</f>
        <v/>
      </c>
    </row>
    <row r="21">
      <c r="A21" s="40" t="inlineStr">
        <is>
          <t>All landing pages</t>
        </is>
      </c>
      <c r="B21" s="40" t="inlineStr">
        <is>
          <t>Paid Search</t>
        </is>
      </c>
      <c r="C21" s="40" t="inlineStr">
        <is>
          <t>Desktop</t>
        </is>
      </c>
      <c r="D21" s="40" t="inlineStr">
        <is>
          <t>United Kingdom</t>
        </is>
      </c>
      <c r="E21" s="68" t="n">
        <v>31579</v>
      </c>
      <c r="F21" s="68" t="n">
        <v>19970</v>
      </c>
      <c r="G21" s="69">
        <f>IF(OR(F21="",E21="",E21=0,F21=0),"",F21-E21)</f>
        <v/>
      </c>
      <c r="H21" s="42">
        <f>IF(OR(F21="",E21="",E21=0,F21=0),"",F21/E21-1)</f>
        <v/>
      </c>
      <c r="I21" s="68" t="n">
        <v>24240</v>
      </c>
      <c r="J21" s="68" t="n">
        <v>14083</v>
      </c>
      <c r="K21" s="69">
        <f>IF(OR(J21="",I21="",I21=0,J21=0),"",J21-I21)</f>
        <v/>
      </c>
      <c r="L21" s="42">
        <f>IF(OR(J21="",I21="",I21=0,J21=0),"",J21/I21-1)</f>
        <v/>
      </c>
      <c r="M21" s="43">
        <f>IF(OR(I21="",E21="",E21=0),"",I21/E21)</f>
        <v/>
      </c>
      <c r="N21" s="43">
        <f>IF(OR(J21="",F21="",F21=0),"",J21/F21)</f>
        <v/>
      </c>
      <c r="O21" s="44">
        <f>IF(OR(N21="",M21=""),"",(N21-M21)*100)</f>
        <v/>
      </c>
      <c r="P21" s="68" t="n">
        <v>20887</v>
      </c>
      <c r="Q21" s="68" t="n">
        <v>12788</v>
      </c>
      <c r="R21" s="69">
        <f>IF(OR(Q21="",P21="",P21=0,Q21=0),"",Q21-P21)</f>
        <v/>
      </c>
      <c r="S21" s="42">
        <f>IF(OR(Q21="",P21="",P21=0,Q21=0),"",Q21/P21-1)</f>
        <v/>
      </c>
      <c r="T21" s="43">
        <f>IF(OR(P21="",E21="",E21=0),"",P21/E21)</f>
        <v/>
      </c>
      <c r="U21" s="43">
        <f>IF(OR(Q21="",F21="",F21=0),"",Q21/F21)</f>
        <v/>
      </c>
      <c r="V21" s="44">
        <f>IF(OR(U21="",T21=""),"",(U21-T21)*100)</f>
        <v/>
      </c>
      <c r="W21" s="68" t="n">
        <v>5375</v>
      </c>
      <c r="X21" s="68" t="n">
        <v>3323</v>
      </c>
      <c r="Y21" s="69">
        <f>IF(OR(X21="",W21="",W21=0,X21=0),"",X21-W21)</f>
        <v/>
      </c>
      <c r="Z21" s="42">
        <f>IF(OR(X21="",W21="",W21=0,X21=0),"",X21/W21-1)</f>
        <v/>
      </c>
      <c r="AA21" s="43">
        <f>IF(OR(W21="",P21="",P21=0),"",W21/P21)</f>
        <v/>
      </c>
      <c r="AB21" s="43">
        <f>IF(OR(X21="",Q21="",Q21=0),"",X21/Q21)</f>
        <v/>
      </c>
      <c r="AC21" s="44">
        <f>IF(OR(AB21="",AA21=""),"",(AB21-AA21)*100)</f>
        <v/>
      </c>
      <c r="AD21" s="68" t="n">
        <v>4525</v>
      </c>
      <c r="AE21" s="68" t="n">
        <v>2771</v>
      </c>
      <c r="AF21" s="69">
        <f>IF(OR(AE21="",AD21="",AD21=0,AE21=0),"",AE21-AD21)</f>
        <v/>
      </c>
      <c r="AG21" s="42">
        <f>IF(OR(AE21="",AD21="",AD21=0,AE21=0),"",AE21/AD21-1)</f>
        <v/>
      </c>
      <c r="AH21" s="43">
        <f>IF(OR(AD21="",W21="",W21=0),"",AD21/W21)</f>
        <v/>
      </c>
      <c r="AI21" s="43">
        <f>IF(OR(AE21="",X21="",X21=0),"",AE21/X21)</f>
        <v/>
      </c>
      <c r="AJ21" s="44">
        <f>IF(OR(AI21="",AH21=""),"",(AI21-AH21)*100)</f>
        <v/>
      </c>
      <c r="AK21" s="68" t="n">
        <v>2463</v>
      </c>
      <c r="AL21" s="68" t="n">
        <v>1685</v>
      </c>
      <c r="AM21" s="69">
        <f>IF(OR(AL21="",AK21="",AK21=0,AL21=0),"",AL21-AK21)</f>
        <v/>
      </c>
      <c r="AN21" s="42">
        <f>IF(OR(AL21="",AK21="",AK21=0,AL21=0),"",AL21/AK21-1)</f>
        <v/>
      </c>
      <c r="AO21" s="43">
        <f>IF(OR(AK21="",AD21="",AD21=0),"",AK21/AD21)</f>
        <v/>
      </c>
      <c r="AP21" s="43">
        <f>IF(OR(AL21="",AE21="",AE21=0),"",AL21/AE21)</f>
        <v/>
      </c>
      <c r="AQ21" s="44">
        <f>IF(OR(AP21="",AO21=""),"",(AP21-AO21)*100)</f>
        <v/>
      </c>
      <c r="AR21" s="68" t="n">
        <v>2099</v>
      </c>
      <c r="AS21" s="68" t="n">
        <v>1462</v>
      </c>
      <c r="AT21" s="69">
        <f>IF(OR(AS21="",AR21="",AR21=0,AS21=0),"",AS21-AR21)</f>
        <v/>
      </c>
      <c r="AU21" s="42">
        <f>IF(OR(AS21="",AR21="",AR21=0,AS21=0),"",AS21/AR21-1)</f>
        <v/>
      </c>
      <c r="AV21" s="43">
        <f>IF(OR(AR21="",AK21="",AK21=0),"",AR21/AK21)</f>
        <v/>
      </c>
      <c r="AW21" s="43">
        <f>IF(OR(AS21="",AL21="",AL21=0),"",AS21/AL21)</f>
        <v/>
      </c>
      <c r="AX21" s="44">
        <f>IF(OR(AW21="",AV21=""),"",(AW21-AV21)*100)</f>
        <v/>
      </c>
      <c r="AY21" s="45">
        <f>IF(OR(AR21="",P21="",P21=0),"",AR21/P21)</f>
        <v/>
      </c>
      <c r="AZ21" s="45">
        <f>IF(OR(AS21="",Q21="",Q21=0),"",AS21/Q21)</f>
        <v/>
      </c>
      <c r="BA21" s="44">
        <f>IF(OR(AZ21="",AY21=""),"",(AZ21-AY21)*100)</f>
        <v/>
      </c>
      <c r="BB21" s="45">
        <f>IF(OR(AR21="",E21="",E21=0),"",AR21/E21)</f>
        <v/>
      </c>
      <c r="BC21" s="45">
        <f>IF(OR(AS21="",F21="",F21=0),"",AS21/F21)</f>
        <v/>
      </c>
      <c r="BD21" s="44">
        <f>IF(OR(BC21="",BB21=""),"",(BC21-BB21)*100)</f>
        <v/>
      </c>
      <c r="BE21" s="40">
        <f>IF(AND(F21&lt;&gt;"",E21&lt;&gt;""),"Both years",IF(F21&lt;&gt;"","1-23Aug26 rows only","1-23Aug25 rows only"))</f>
        <v/>
      </c>
    </row>
    <row r="22">
      <c r="A22" s="56" t="inlineStr">
        <is>
          <t>All landing pages</t>
        </is>
      </c>
      <c r="B22" s="56" t="inlineStr">
        <is>
          <t>Paid Search</t>
        </is>
      </c>
      <c r="C22" s="56" t="inlineStr">
        <is>
          <t>Desktop</t>
        </is>
      </c>
      <c r="D22" s="56" t="inlineStr">
        <is>
          <t>Germany</t>
        </is>
      </c>
      <c r="E22" s="68" t="n">
        <v>20972</v>
      </c>
      <c r="F22" s="68" t="n">
        <v>15292</v>
      </c>
      <c r="G22" s="69">
        <f>IF(OR(F22="",E22="",E22=0,F22=0),"",F22-E22)</f>
        <v/>
      </c>
      <c r="H22" s="42">
        <f>IF(OR(F22="",E22="",E22=0,F22=0),"",F22/E22-1)</f>
        <v/>
      </c>
      <c r="I22" s="68" t="n">
        <v>14891</v>
      </c>
      <c r="J22" s="68" t="n">
        <v>10014</v>
      </c>
      <c r="K22" s="69">
        <f>IF(OR(J22="",I22="",I22=0,J22=0),"",J22-I22)</f>
        <v/>
      </c>
      <c r="L22" s="42">
        <f>IF(OR(J22="",I22="",I22=0,J22=0),"",J22/I22-1)</f>
        <v/>
      </c>
      <c r="M22" s="43">
        <f>IF(OR(I22="",E22="",E22=0),"",I22/E22)</f>
        <v/>
      </c>
      <c r="N22" s="43">
        <f>IF(OR(J22="",F22="",F22=0),"",J22/F22)</f>
        <v/>
      </c>
      <c r="O22" s="44">
        <f>IF(OR(N22="",M22=""),"",(N22-M22)*100)</f>
        <v/>
      </c>
      <c r="P22" s="68" t="n">
        <v>12492</v>
      </c>
      <c r="Q22" s="68" t="n">
        <v>8964</v>
      </c>
      <c r="R22" s="69">
        <f>IF(OR(Q22="",P22="",P22=0,Q22=0),"",Q22-P22)</f>
        <v/>
      </c>
      <c r="S22" s="42">
        <f>IF(OR(Q22="",P22="",P22=0,Q22=0),"",Q22/P22-1)</f>
        <v/>
      </c>
      <c r="T22" s="43">
        <f>IF(OR(P22="",E22="",E22=0),"",P22/E22)</f>
        <v/>
      </c>
      <c r="U22" s="43">
        <f>IF(OR(Q22="",F22="",F22=0),"",Q22/F22)</f>
        <v/>
      </c>
      <c r="V22" s="44">
        <f>IF(OR(U22="",T22=""),"",(U22-T22)*100)</f>
        <v/>
      </c>
      <c r="W22" s="68" t="n">
        <v>3865</v>
      </c>
      <c r="X22" s="68" t="n">
        <v>2637</v>
      </c>
      <c r="Y22" s="69">
        <f>IF(OR(X22="",W22="",W22=0,X22=0),"",X22-W22)</f>
        <v/>
      </c>
      <c r="Z22" s="42">
        <f>IF(OR(X22="",W22="",W22=0,X22=0),"",X22/W22-1)</f>
        <v/>
      </c>
      <c r="AA22" s="43">
        <f>IF(OR(W22="",P22="",P22=0),"",W22/P22)</f>
        <v/>
      </c>
      <c r="AB22" s="43">
        <f>IF(OR(X22="",Q22="",Q22=0),"",X22/Q22)</f>
        <v/>
      </c>
      <c r="AC22" s="44">
        <f>IF(OR(AB22="",AA22=""),"",(AB22-AA22)*100)</f>
        <v/>
      </c>
      <c r="AD22" s="68" t="n">
        <v>3021</v>
      </c>
      <c r="AE22" s="68" t="n">
        <v>2061</v>
      </c>
      <c r="AF22" s="69">
        <f>IF(OR(AE22="",AD22="",AD22=0,AE22=0),"",AE22-AD22)</f>
        <v/>
      </c>
      <c r="AG22" s="42">
        <f>IF(OR(AE22="",AD22="",AD22=0,AE22=0),"",AE22/AD22-1)</f>
        <v/>
      </c>
      <c r="AH22" s="43">
        <f>IF(OR(AD22="",W22="",W22=0),"",AD22/W22)</f>
        <v/>
      </c>
      <c r="AI22" s="43">
        <f>IF(OR(AE22="",X22="",X22=0),"",AE22/X22)</f>
        <v/>
      </c>
      <c r="AJ22" s="44">
        <f>IF(OR(AI22="",AH22=""),"",(AI22-AH22)*100)</f>
        <v/>
      </c>
      <c r="AK22" s="68" t="n">
        <v>1144</v>
      </c>
      <c r="AL22" s="68" t="n">
        <v>677</v>
      </c>
      <c r="AM22" s="69">
        <f>IF(OR(AL22="",AK22="",AK22=0,AL22=0),"",AL22-AK22)</f>
        <v/>
      </c>
      <c r="AN22" s="42">
        <f>IF(OR(AL22="",AK22="",AK22=0,AL22=0),"",AL22/AK22-1)</f>
        <v/>
      </c>
      <c r="AO22" s="43">
        <f>IF(OR(AK22="",AD22="",AD22=0),"",AK22/AD22)</f>
        <v/>
      </c>
      <c r="AP22" s="43">
        <f>IF(OR(AL22="",AE22="",AE22=0),"",AL22/AE22)</f>
        <v/>
      </c>
      <c r="AQ22" s="44">
        <f>IF(OR(AP22="",AO22=""),"",(AP22-AO22)*100)</f>
        <v/>
      </c>
      <c r="AR22" s="68" t="n">
        <v>988</v>
      </c>
      <c r="AS22" s="68" t="n">
        <v>559</v>
      </c>
      <c r="AT22" s="69">
        <f>IF(OR(AS22="",AR22="",AR22=0,AS22=0),"",AS22-AR22)</f>
        <v/>
      </c>
      <c r="AU22" s="42">
        <f>IF(OR(AS22="",AR22="",AR22=0,AS22=0),"",AS22/AR22-1)</f>
        <v/>
      </c>
      <c r="AV22" s="43">
        <f>IF(OR(AR22="",AK22="",AK22=0),"",AR22/AK22)</f>
        <v/>
      </c>
      <c r="AW22" s="43">
        <f>IF(OR(AS22="",AL22="",AL22=0),"",AS22/AL22)</f>
        <v/>
      </c>
      <c r="AX22" s="44">
        <f>IF(OR(AW22="",AV22=""),"",(AW22-AV22)*100)</f>
        <v/>
      </c>
      <c r="AY22" s="45">
        <f>IF(OR(AR22="",P22="",P22=0),"",AR22/P22)</f>
        <v/>
      </c>
      <c r="AZ22" s="45">
        <f>IF(OR(AS22="",Q22="",Q22=0),"",AS22/Q22)</f>
        <v/>
      </c>
      <c r="BA22" s="44">
        <f>IF(OR(AZ22="",AY22=""),"",(AZ22-AY22)*100)</f>
        <v/>
      </c>
      <c r="BB22" s="45">
        <f>IF(OR(AR22="",E22="",E22=0),"",AR22/E22)</f>
        <v/>
      </c>
      <c r="BC22" s="45">
        <f>IF(OR(AS22="",F22="",F22=0),"",AS22/F22)</f>
        <v/>
      </c>
      <c r="BD22" s="44">
        <f>IF(OR(BC22="",BB22=""),"",(BC22-BB22)*100)</f>
        <v/>
      </c>
      <c r="BE22" s="40">
        <f>IF(AND(F22&lt;&gt;"",E22&lt;&gt;""),"Both years",IF(F22&lt;&gt;"","1-23Aug26 rows only","1-23Aug25 rows only"))</f>
        <v/>
      </c>
    </row>
    <row r="23">
      <c r="A23" s="40" t="inlineStr">
        <is>
          <t>All landing pages</t>
        </is>
      </c>
      <c r="B23" s="40" t="inlineStr">
        <is>
          <t>Paid Search</t>
        </is>
      </c>
      <c r="C23" s="40" t="inlineStr">
        <is>
          <t>Desktop</t>
        </is>
      </c>
      <c r="D23" s="40" t="inlineStr">
        <is>
          <t>Italy</t>
        </is>
      </c>
      <c r="E23" s="68" t="n">
        <v>7121</v>
      </c>
      <c r="F23" s="68" t="n">
        <v>9385</v>
      </c>
      <c r="G23" s="69">
        <f>IF(OR(F23="",E23="",E23=0,F23=0),"",F23-E23)</f>
        <v/>
      </c>
      <c r="H23" s="42">
        <f>IF(OR(F23="",E23="",E23=0,F23=0),"",F23/E23-1)</f>
        <v/>
      </c>
      <c r="I23" s="68" t="n">
        <v>4657</v>
      </c>
      <c r="J23" s="68" t="n">
        <v>5390</v>
      </c>
      <c r="K23" s="69">
        <f>IF(OR(J23="",I23="",I23=0,J23=0),"",J23-I23)</f>
        <v/>
      </c>
      <c r="L23" s="42">
        <f>IF(OR(J23="",I23="",I23=0,J23=0),"",J23/I23-1)</f>
        <v/>
      </c>
      <c r="M23" s="43">
        <f>IF(OR(I23="",E23="",E23=0),"",I23/E23)</f>
        <v/>
      </c>
      <c r="N23" s="43">
        <f>IF(OR(J23="",F23="",F23=0),"",J23/F23)</f>
        <v/>
      </c>
      <c r="O23" s="44">
        <f>IF(OR(N23="",M23=""),"",(N23-M23)*100)</f>
        <v/>
      </c>
      <c r="P23" s="68" t="n">
        <v>3849</v>
      </c>
      <c r="Q23" s="68" t="n">
        <v>4528</v>
      </c>
      <c r="R23" s="69">
        <f>IF(OR(Q23="",P23="",P23=0,Q23=0),"",Q23-P23)</f>
        <v/>
      </c>
      <c r="S23" s="42">
        <f>IF(OR(Q23="",P23="",P23=0,Q23=0),"",Q23/P23-1)</f>
        <v/>
      </c>
      <c r="T23" s="43">
        <f>IF(OR(P23="",E23="",E23=0),"",P23/E23)</f>
        <v/>
      </c>
      <c r="U23" s="43">
        <f>IF(OR(Q23="",F23="",F23=0),"",Q23/F23)</f>
        <v/>
      </c>
      <c r="V23" s="44">
        <f>IF(OR(U23="",T23=""),"",(U23-T23)*100)</f>
        <v/>
      </c>
      <c r="W23" s="68" t="n">
        <v>1164</v>
      </c>
      <c r="X23" s="68" t="n">
        <v>1110</v>
      </c>
      <c r="Y23" s="69">
        <f>IF(OR(X23="",W23="",W23=0,X23=0),"",X23-W23)</f>
        <v/>
      </c>
      <c r="Z23" s="42">
        <f>IF(OR(X23="",W23="",W23=0,X23=0),"",X23/W23-1)</f>
        <v/>
      </c>
      <c r="AA23" s="43">
        <f>IF(OR(W23="",P23="",P23=0),"",W23/P23)</f>
        <v/>
      </c>
      <c r="AB23" s="43">
        <f>IF(OR(X23="",Q23="",Q23=0),"",X23/Q23)</f>
        <v/>
      </c>
      <c r="AC23" s="44">
        <f>IF(OR(AB23="",AA23=""),"",(AB23-AA23)*100)</f>
        <v/>
      </c>
      <c r="AD23" s="68" t="n">
        <v>977</v>
      </c>
      <c r="AE23" s="68" t="n">
        <v>908</v>
      </c>
      <c r="AF23" s="69">
        <f>IF(OR(AE23="",AD23="",AD23=0,AE23=0),"",AE23-AD23)</f>
        <v/>
      </c>
      <c r="AG23" s="42">
        <f>IF(OR(AE23="",AD23="",AD23=0,AE23=0),"",AE23/AD23-1)</f>
        <v/>
      </c>
      <c r="AH23" s="43">
        <f>IF(OR(AD23="",W23="",W23=0),"",AD23/W23)</f>
        <v/>
      </c>
      <c r="AI23" s="43">
        <f>IF(OR(AE23="",X23="",X23=0),"",AE23/X23)</f>
        <v/>
      </c>
      <c r="AJ23" s="44">
        <f>IF(OR(AI23="",AH23=""),"",(AI23-AH23)*100)</f>
        <v/>
      </c>
      <c r="AK23" s="68" t="n">
        <v>409</v>
      </c>
      <c r="AL23" s="68" t="n">
        <v>346</v>
      </c>
      <c r="AM23" s="69">
        <f>IF(OR(AL23="",AK23="",AK23=0,AL23=0),"",AL23-AK23)</f>
        <v/>
      </c>
      <c r="AN23" s="42">
        <f>IF(OR(AL23="",AK23="",AK23=0,AL23=0),"",AL23/AK23-1)</f>
        <v/>
      </c>
      <c r="AO23" s="43">
        <f>IF(OR(AK23="",AD23="",AD23=0),"",AK23/AD23)</f>
        <v/>
      </c>
      <c r="AP23" s="43">
        <f>IF(OR(AL23="",AE23="",AE23=0),"",AL23/AE23)</f>
        <v/>
      </c>
      <c r="AQ23" s="44">
        <f>IF(OR(AP23="",AO23=""),"",(AP23-AO23)*100)</f>
        <v/>
      </c>
      <c r="AR23" s="68" t="n">
        <v>316</v>
      </c>
      <c r="AS23" s="68" t="n">
        <v>269</v>
      </c>
      <c r="AT23" s="69">
        <f>IF(OR(AS23="",AR23="",AR23=0,AS23=0),"",AS23-AR23)</f>
        <v/>
      </c>
      <c r="AU23" s="42">
        <f>IF(OR(AS23="",AR23="",AR23=0,AS23=0),"",AS23/AR23-1)</f>
        <v/>
      </c>
      <c r="AV23" s="43">
        <f>IF(OR(AR23="",AK23="",AK23=0),"",AR23/AK23)</f>
        <v/>
      </c>
      <c r="AW23" s="43">
        <f>IF(OR(AS23="",AL23="",AL23=0),"",AS23/AL23)</f>
        <v/>
      </c>
      <c r="AX23" s="44">
        <f>IF(OR(AW23="",AV23=""),"",(AW23-AV23)*100)</f>
        <v/>
      </c>
      <c r="AY23" s="45">
        <f>IF(OR(AR23="",P23="",P23=0),"",AR23/P23)</f>
        <v/>
      </c>
      <c r="AZ23" s="45">
        <f>IF(OR(AS23="",Q23="",Q23=0),"",AS23/Q23)</f>
        <v/>
      </c>
      <c r="BA23" s="44">
        <f>IF(OR(AZ23="",AY23=""),"",(AZ23-AY23)*100)</f>
        <v/>
      </c>
      <c r="BB23" s="45">
        <f>IF(OR(AR23="",E23="",E23=0),"",AR23/E23)</f>
        <v/>
      </c>
      <c r="BC23" s="45">
        <f>IF(OR(AS23="",F23="",F23=0),"",AS23/F23)</f>
        <v/>
      </c>
      <c r="BD23" s="44">
        <f>IF(OR(BC23="",BB23=""),"",(BC23-BB23)*100)</f>
        <v/>
      </c>
      <c r="BE23" s="40">
        <f>IF(AND(F23&lt;&gt;"",E23&lt;&gt;""),"Both years",IF(F23&lt;&gt;"","1-23Aug26 rows only","1-23Aug25 rows only"))</f>
        <v/>
      </c>
    </row>
    <row r="24">
      <c r="A24" s="56" t="inlineStr">
        <is>
          <t>All landing pages</t>
        </is>
      </c>
      <c r="B24" s="56" t="inlineStr">
        <is>
          <t>Paid Search</t>
        </is>
      </c>
      <c r="C24" s="56" t="inlineStr">
        <is>
          <t>Desktop</t>
        </is>
      </c>
      <c r="D24" s="56" t="inlineStr">
        <is>
          <t>Spain</t>
        </is>
      </c>
      <c r="E24" s="68" t="n">
        <v>5876</v>
      </c>
      <c r="F24" s="68" t="n">
        <v>4509</v>
      </c>
      <c r="G24" s="69">
        <f>IF(OR(F24="",E24="",E24=0,F24=0),"",F24-E24)</f>
        <v/>
      </c>
      <c r="H24" s="42">
        <f>IF(OR(F24="",E24="",E24=0,F24=0),"",F24/E24-1)</f>
        <v/>
      </c>
      <c r="I24" s="68" t="n">
        <v>3678</v>
      </c>
      <c r="J24" s="68" t="n">
        <v>2379</v>
      </c>
      <c r="K24" s="69">
        <f>IF(OR(J24="",I24="",I24=0,J24=0),"",J24-I24)</f>
        <v/>
      </c>
      <c r="L24" s="42">
        <f>IF(OR(J24="",I24="",I24=0,J24=0),"",J24/I24-1)</f>
        <v/>
      </c>
      <c r="M24" s="43">
        <f>IF(OR(I24="",E24="",E24=0),"",I24/E24)</f>
        <v/>
      </c>
      <c r="N24" s="43">
        <f>IF(OR(J24="",F24="",F24=0),"",J24/F24)</f>
        <v/>
      </c>
      <c r="O24" s="44">
        <f>IF(OR(N24="",M24=""),"",(N24-M24)*100)</f>
        <v/>
      </c>
      <c r="P24" s="68" t="n">
        <v>2785</v>
      </c>
      <c r="Q24" s="68" t="n">
        <v>1953</v>
      </c>
      <c r="R24" s="69">
        <f>IF(OR(Q24="",P24="",P24=0,Q24=0),"",Q24-P24)</f>
        <v/>
      </c>
      <c r="S24" s="42">
        <f>IF(OR(Q24="",P24="",P24=0,Q24=0),"",Q24/P24-1)</f>
        <v/>
      </c>
      <c r="T24" s="43">
        <f>IF(OR(P24="",E24="",E24=0),"",P24/E24)</f>
        <v/>
      </c>
      <c r="U24" s="43">
        <f>IF(OR(Q24="",F24="",F24=0),"",Q24/F24)</f>
        <v/>
      </c>
      <c r="V24" s="44">
        <f>IF(OR(U24="",T24=""),"",(U24-T24)*100)</f>
        <v/>
      </c>
      <c r="W24" s="68" t="n">
        <v>683</v>
      </c>
      <c r="X24" s="68" t="n">
        <v>481</v>
      </c>
      <c r="Y24" s="69">
        <f>IF(OR(X24="",W24="",W24=0,X24=0),"",X24-W24)</f>
        <v/>
      </c>
      <c r="Z24" s="42">
        <f>IF(OR(X24="",W24="",W24=0,X24=0),"",X24/W24-1)</f>
        <v/>
      </c>
      <c r="AA24" s="43">
        <f>IF(OR(W24="",P24="",P24=0),"",W24/P24)</f>
        <v/>
      </c>
      <c r="AB24" s="43">
        <f>IF(OR(X24="",Q24="",Q24=0),"",X24/Q24)</f>
        <v/>
      </c>
      <c r="AC24" s="44">
        <f>IF(OR(AB24="",AA24=""),"",(AB24-AA24)*100)</f>
        <v/>
      </c>
      <c r="AD24" s="68" t="n">
        <v>561</v>
      </c>
      <c r="AE24" s="68" t="n">
        <v>394</v>
      </c>
      <c r="AF24" s="69">
        <f>IF(OR(AE24="",AD24="",AD24=0,AE24=0),"",AE24-AD24)</f>
        <v/>
      </c>
      <c r="AG24" s="42">
        <f>IF(OR(AE24="",AD24="",AD24=0,AE24=0),"",AE24/AD24-1)</f>
        <v/>
      </c>
      <c r="AH24" s="43">
        <f>IF(OR(AD24="",W24="",W24=0),"",AD24/W24)</f>
        <v/>
      </c>
      <c r="AI24" s="43">
        <f>IF(OR(AE24="",X24="",X24=0),"",AE24/X24)</f>
        <v/>
      </c>
      <c r="AJ24" s="44">
        <f>IF(OR(AI24="",AH24=""),"",(AI24-AH24)*100)</f>
        <v/>
      </c>
      <c r="AK24" s="68" t="n">
        <v>253</v>
      </c>
      <c r="AL24" s="68" t="n">
        <v>168</v>
      </c>
      <c r="AM24" s="69">
        <f>IF(OR(AL24="",AK24="",AK24=0,AL24=0),"",AL24-AK24)</f>
        <v/>
      </c>
      <c r="AN24" s="42">
        <f>IF(OR(AL24="",AK24="",AK24=0,AL24=0),"",AL24/AK24-1)</f>
        <v/>
      </c>
      <c r="AO24" s="43">
        <f>IF(OR(AK24="",AD24="",AD24=0),"",AK24/AD24)</f>
        <v/>
      </c>
      <c r="AP24" s="43">
        <f>IF(OR(AL24="",AE24="",AE24=0),"",AL24/AE24)</f>
        <v/>
      </c>
      <c r="AQ24" s="44">
        <f>IF(OR(AP24="",AO24=""),"",(AP24-AO24)*100)</f>
        <v/>
      </c>
      <c r="AR24" s="68" t="n">
        <v>205</v>
      </c>
      <c r="AS24" s="68" t="n">
        <v>143</v>
      </c>
      <c r="AT24" s="69">
        <f>IF(OR(AS24="",AR24="",AR24=0,AS24=0),"",AS24-AR24)</f>
        <v/>
      </c>
      <c r="AU24" s="42">
        <f>IF(OR(AS24="",AR24="",AR24=0,AS24=0),"",AS24/AR24-1)</f>
        <v/>
      </c>
      <c r="AV24" s="43">
        <f>IF(OR(AR24="",AK24="",AK24=0),"",AR24/AK24)</f>
        <v/>
      </c>
      <c r="AW24" s="43">
        <f>IF(OR(AS24="",AL24="",AL24=0),"",AS24/AL24)</f>
        <v/>
      </c>
      <c r="AX24" s="44">
        <f>IF(OR(AW24="",AV24=""),"",(AW24-AV24)*100)</f>
        <v/>
      </c>
      <c r="AY24" s="45">
        <f>IF(OR(AR24="",P24="",P24=0),"",AR24/P24)</f>
        <v/>
      </c>
      <c r="AZ24" s="45">
        <f>IF(OR(AS24="",Q24="",Q24=0),"",AS24/Q24)</f>
        <v/>
      </c>
      <c r="BA24" s="44">
        <f>IF(OR(AZ24="",AY24=""),"",(AZ24-AY24)*100)</f>
        <v/>
      </c>
      <c r="BB24" s="45">
        <f>IF(OR(AR24="",E24="",E24=0),"",AR24/E24)</f>
        <v/>
      </c>
      <c r="BC24" s="45">
        <f>IF(OR(AS24="",F24="",F24=0),"",AS24/F24)</f>
        <v/>
      </c>
      <c r="BD24" s="44">
        <f>IF(OR(BC24="",BB24=""),"",(BC24-BB24)*100)</f>
        <v/>
      </c>
      <c r="BE24" s="40">
        <f>IF(AND(F24&lt;&gt;"",E24&lt;&gt;""),"Both years",IF(F24&lt;&gt;"","1-23Aug26 rows only","1-23Aug25 rows only"))</f>
        <v/>
      </c>
    </row>
    <row r="25">
      <c r="A25" s="40" t="inlineStr">
        <is>
          <t>All landing pages</t>
        </is>
      </c>
      <c r="B25" s="40" t="inlineStr">
        <is>
          <t>Paid Search</t>
        </is>
      </c>
      <c r="C25" s="40" t="inlineStr">
        <is>
          <t>Desktop</t>
        </is>
      </c>
      <c r="D25" s="40" t="inlineStr">
        <is>
          <t>France</t>
        </is>
      </c>
      <c r="E25" s="68" t="n">
        <v>3218</v>
      </c>
      <c r="F25" s="68" t="n">
        <v>3805</v>
      </c>
      <c r="G25" s="69">
        <f>IF(OR(F25="",E25="",E25=0,F25=0),"",F25-E25)</f>
        <v/>
      </c>
      <c r="H25" s="42">
        <f>IF(OR(F25="",E25="",E25=0,F25=0),"",F25/E25-1)</f>
        <v/>
      </c>
      <c r="I25" s="68" t="n">
        <v>2311</v>
      </c>
      <c r="J25" s="68" t="n">
        <v>2347</v>
      </c>
      <c r="K25" s="69">
        <f>IF(OR(J25="",I25="",I25=0,J25=0),"",J25-I25)</f>
        <v/>
      </c>
      <c r="L25" s="42">
        <f>IF(OR(J25="",I25="",I25=0,J25=0),"",J25/I25-1)</f>
        <v/>
      </c>
      <c r="M25" s="43">
        <f>IF(OR(I25="",E25="",E25=0),"",I25/E25)</f>
        <v/>
      </c>
      <c r="N25" s="43">
        <f>IF(OR(J25="",F25="",F25=0),"",J25/F25)</f>
        <v/>
      </c>
      <c r="O25" s="44">
        <f>IF(OR(N25="",M25=""),"",(N25-M25)*100)</f>
        <v/>
      </c>
      <c r="P25" s="68" t="n">
        <v>1912</v>
      </c>
      <c r="Q25" s="68" t="n">
        <v>1962</v>
      </c>
      <c r="R25" s="69">
        <f>IF(OR(Q25="",P25="",P25=0,Q25=0),"",Q25-P25)</f>
        <v/>
      </c>
      <c r="S25" s="42">
        <f>IF(OR(Q25="",P25="",P25=0,Q25=0),"",Q25/P25-1)</f>
        <v/>
      </c>
      <c r="T25" s="43">
        <f>IF(OR(P25="",E25="",E25=0),"",P25/E25)</f>
        <v/>
      </c>
      <c r="U25" s="43">
        <f>IF(OR(Q25="",F25="",F25=0),"",Q25/F25)</f>
        <v/>
      </c>
      <c r="V25" s="44">
        <f>IF(OR(U25="",T25=""),"",(U25-T25)*100)</f>
        <v/>
      </c>
      <c r="W25" s="68" t="n">
        <v>685</v>
      </c>
      <c r="X25" s="68" t="n">
        <v>693</v>
      </c>
      <c r="Y25" s="69">
        <f>IF(OR(X25="",W25="",W25=0,X25=0),"",X25-W25)</f>
        <v/>
      </c>
      <c r="Z25" s="42">
        <f>IF(OR(X25="",W25="",W25=0,X25=0),"",X25/W25-1)</f>
        <v/>
      </c>
      <c r="AA25" s="43">
        <f>IF(OR(W25="",P25="",P25=0),"",W25/P25)</f>
        <v/>
      </c>
      <c r="AB25" s="43">
        <f>IF(OR(X25="",Q25="",Q25=0),"",X25/Q25)</f>
        <v/>
      </c>
      <c r="AC25" s="44">
        <f>IF(OR(AB25="",AA25=""),"",(AB25-AA25)*100)</f>
        <v/>
      </c>
      <c r="AD25" s="68" t="n">
        <v>540</v>
      </c>
      <c r="AE25" s="68" t="n">
        <v>535</v>
      </c>
      <c r="AF25" s="69">
        <f>IF(OR(AE25="",AD25="",AD25=0,AE25=0),"",AE25-AD25)</f>
        <v/>
      </c>
      <c r="AG25" s="42">
        <f>IF(OR(AE25="",AD25="",AD25=0,AE25=0),"",AE25/AD25-1)</f>
        <v/>
      </c>
      <c r="AH25" s="43">
        <f>IF(OR(AD25="",W25="",W25=0),"",AD25/W25)</f>
        <v/>
      </c>
      <c r="AI25" s="43">
        <f>IF(OR(AE25="",X25="",X25=0),"",AE25/X25)</f>
        <v/>
      </c>
      <c r="AJ25" s="44">
        <f>IF(OR(AI25="",AH25=""),"",(AI25-AH25)*100)</f>
        <v/>
      </c>
      <c r="AK25" s="68" t="n">
        <v>226</v>
      </c>
      <c r="AL25" s="68" t="n">
        <v>212</v>
      </c>
      <c r="AM25" s="69">
        <f>IF(OR(AL25="",AK25="",AK25=0,AL25=0),"",AL25-AK25)</f>
        <v/>
      </c>
      <c r="AN25" s="42">
        <f>IF(OR(AL25="",AK25="",AK25=0,AL25=0),"",AL25/AK25-1)</f>
        <v/>
      </c>
      <c r="AO25" s="43">
        <f>IF(OR(AK25="",AD25="",AD25=0),"",AK25/AD25)</f>
        <v/>
      </c>
      <c r="AP25" s="43">
        <f>IF(OR(AL25="",AE25="",AE25=0),"",AL25/AE25)</f>
        <v/>
      </c>
      <c r="AQ25" s="44">
        <f>IF(OR(AP25="",AO25=""),"",(AP25-AO25)*100)</f>
        <v/>
      </c>
      <c r="AR25" s="68" t="n">
        <v>179</v>
      </c>
      <c r="AS25" s="68" t="n">
        <v>166</v>
      </c>
      <c r="AT25" s="69">
        <f>IF(OR(AS25="",AR25="",AR25=0,AS25=0),"",AS25-AR25)</f>
        <v/>
      </c>
      <c r="AU25" s="42">
        <f>IF(OR(AS25="",AR25="",AR25=0,AS25=0),"",AS25/AR25-1)</f>
        <v/>
      </c>
      <c r="AV25" s="43">
        <f>IF(OR(AR25="",AK25="",AK25=0),"",AR25/AK25)</f>
        <v/>
      </c>
      <c r="AW25" s="43">
        <f>IF(OR(AS25="",AL25="",AL25=0),"",AS25/AL25)</f>
        <v/>
      </c>
      <c r="AX25" s="44">
        <f>IF(OR(AW25="",AV25=""),"",(AW25-AV25)*100)</f>
        <v/>
      </c>
      <c r="AY25" s="45">
        <f>IF(OR(AR25="",P25="",P25=0),"",AR25/P25)</f>
        <v/>
      </c>
      <c r="AZ25" s="45">
        <f>IF(OR(AS25="",Q25="",Q25=0),"",AS25/Q25)</f>
        <v/>
      </c>
      <c r="BA25" s="44">
        <f>IF(OR(AZ25="",AY25=""),"",(AZ25-AY25)*100)</f>
        <v/>
      </c>
      <c r="BB25" s="45">
        <f>IF(OR(AR25="",E25="",E25=0),"",AR25/E25)</f>
        <v/>
      </c>
      <c r="BC25" s="45">
        <f>IF(OR(AS25="",F25="",F25=0),"",AS25/F25)</f>
        <v/>
      </c>
      <c r="BD25" s="44">
        <f>IF(OR(BC25="",BB25=""),"",(BC25-BB25)*100)</f>
        <v/>
      </c>
      <c r="BE25" s="40">
        <f>IF(AND(F25&lt;&gt;"",E25&lt;&gt;""),"Both years",IF(F25&lt;&gt;"","1-23Aug26 rows only","1-23Aug25 rows only"))</f>
        <v/>
      </c>
    </row>
    <row r="26">
      <c r="A26" s="56" t="inlineStr">
        <is>
          <t>All landing pages</t>
        </is>
      </c>
      <c r="B26" s="56" t="inlineStr">
        <is>
          <t>Paid Search</t>
        </is>
      </c>
      <c r="C26" s="56" t="inlineStr">
        <is>
          <t>Desktop</t>
        </is>
      </c>
      <c r="D26" s="56" t="inlineStr">
        <is>
          <t>Ireland</t>
        </is>
      </c>
      <c r="E26" s="68" t="n">
        <v>5436</v>
      </c>
      <c r="F26" s="68" t="n">
        <v>3538</v>
      </c>
      <c r="G26" s="69">
        <f>IF(OR(F26="",E26="",E26=0,F26=0),"",F26-E26)</f>
        <v/>
      </c>
      <c r="H26" s="42">
        <f>IF(OR(F26="",E26="",E26=0,F26=0),"",F26/E26-1)</f>
        <v/>
      </c>
      <c r="I26" s="68" t="n">
        <v>3892</v>
      </c>
      <c r="J26" s="68" t="n">
        <v>2146</v>
      </c>
      <c r="K26" s="69">
        <f>IF(OR(J26="",I26="",I26=0,J26=0),"",J26-I26)</f>
        <v/>
      </c>
      <c r="L26" s="42">
        <f>IF(OR(J26="",I26="",I26=0,J26=0),"",J26/I26-1)</f>
        <v/>
      </c>
      <c r="M26" s="43">
        <f>IF(OR(I26="",E26="",E26=0),"",I26/E26)</f>
        <v/>
      </c>
      <c r="N26" s="43">
        <f>IF(OR(J26="",F26="",F26=0),"",J26/F26)</f>
        <v/>
      </c>
      <c r="O26" s="44">
        <f>IF(OR(N26="",M26=""),"",(N26-M26)*100)</f>
        <v/>
      </c>
      <c r="P26" s="68" t="n">
        <v>3359</v>
      </c>
      <c r="Q26" s="68" t="n">
        <v>1943</v>
      </c>
      <c r="R26" s="69">
        <f>IF(OR(Q26="",P26="",P26=0,Q26=0),"",Q26-P26)</f>
        <v/>
      </c>
      <c r="S26" s="42">
        <f>IF(OR(Q26="",P26="",P26=0,Q26=0),"",Q26/P26-1)</f>
        <v/>
      </c>
      <c r="T26" s="43">
        <f>IF(OR(P26="",E26="",E26=0),"",P26/E26)</f>
        <v/>
      </c>
      <c r="U26" s="43">
        <f>IF(OR(Q26="",F26="",F26=0),"",Q26/F26)</f>
        <v/>
      </c>
      <c r="V26" s="44">
        <f>IF(OR(U26="",T26=""),"",(U26-T26)*100)</f>
        <v/>
      </c>
      <c r="W26" s="68" t="n">
        <v>890</v>
      </c>
      <c r="X26" s="68" t="n">
        <v>515</v>
      </c>
      <c r="Y26" s="69">
        <f>IF(OR(X26="",W26="",W26=0,X26=0),"",X26-W26)</f>
        <v/>
      </c>
      <c r="Z26" s="42">
        <f>IF(OR(X26="",W26="",W26=0,X26=0),"",X26/W26-1)</f>
        <v/>
      </c>
      <c r="AA26" s="43">
        <f>IF(OR(W26="",P26="",P26=0),"",W26/P26)</f>
        <v/>
      </c>
      <c r="AB26" s="43">
        <f>IF(OR(X26="",Q26="",Q26=0),"",X26/Q26)</f>
        <v/>
      </c>
      <c r="AC26" s="44">
        <f>IF(OR(AB26="",AA26=""),"",(AB26-AA26)*100)</f>
        <v/>
      </c>
      <c r="AD26" s="68" t="n">
        <v>748</v>
      </c>
      <c r="AE26" s="68" t="n">
        <v>419</v>
      </c>
      <c r="AF26" s="69">
        <f>IF(OR(AE26="",AD26="",AD26=0,AE26=0),"",AE26-AD26)</f>
        <v/>
      </c>
      <c r="AG26" s="42">
        <f>IF(OR(AE26="",AD26="",AD26=0,AE26=0),"",AE26/AD26-1)</f>
        <v/>
      </c>
      <c r="AH26" s="43">
        <f>IF(OR(AD26="",W26="",W26=0),"",AD26/W26)</f>
        <v/>
      </c>
      <c r="AI26" s="43">
        <f>IF(OR(AE26="",X26="",X26=0),"",AE26/X26)</f>
        <v/>
      </c>
      <c r="AJ26" s="44">
        <f>IF(OR(AI26="",AH26=""),"",(AI26-AH26)*100)</f>
        <v/>
      </c>
      <c r="AK26" s="68" t="n">
        <v>404</v>
      </c>
      <c r="AL26" s="68" t="n">
        <v>247</v>
      </c>
      <c r="AM26" s="69">
        <f>IF(OR(AL26="",AK26="",AK26=0,AL26=0),"",AL26-AK26)</f>
        <v/>
      </c>
      <c r="AN26" s="42">
        <f>IF(OR(AL26="",AK26="",AK26=0,AL26=0),"",AL26/AK26-1)</f>
        <v/>
      </c>
      <c r="AO26" s="43">
        <f>IF(OR(AK26="",AD26="",AD26=0),"",AK26/AD26)</f>
        <v/>
      </c>
      <c r="AP26" s="43">
        <f>IF(OR(AL26="",AE26="",AE26=0),"",AL26/AE26)</f>
        <v/>
      </c>
      <c r="AQ26" s="44">
        <f>IF(OR(AP26="",AO26=""),"",(AP26-AO26)*100)</f>
        <v/>
      </c>
      <c r="AR26" s="68" t="n">
        <v>329</v>
      </c>
      <c r="AS26" s="68" t="n">
        <v>206</v>
      </c>
      <c r="AT26" s="69">
        <f>IF(OR(AS26="",AR26="",AR26=0,AS26=0),"",AS26-AR26)</f>
        <v/>
      </c>
      <c r="AU26" s="42">
        <f>IF(OR(AS26="",AR26="",AR26=0,AS26=0),"",AS26/AR26-1)</f>
        <v/>
      </c>
      <c r="AV26" s="43">
        <f>IF(OR(AR26="",AK26="",AK26=0),"",AR26/AK26)</f>
        <v/>
      </c>
      <c r="AW26" s="43">
        <f>IF(OR(AS26="",AL26="",AL26=0),"",AS26/AL26)</f>
        <v/>
      </c>
      <c r="AX26" s="44">
        <f>IF(OR(AW26="",AV26=""),"",(AW26-AV26)*100)</f>
        <v/>
      </c>
      <c r="AY26" s="45">
        <f>IF(OR(AR26="",P26="",P26=0),"",AR26/P26)</f>
        <v/>
      </c>
      <c r="AZ26" s="45">
        <f>IF(OR(AS26="",Q26="",Q26=0),"",AS26/Q26)</f>
        <v/>
      </c>
      <c r="BA26" s="44">
        <f>IF(OR(AZ26="",AY26=""),"",(AZ26-AY26)*100)</f>
        <v/>
      </c>
      <c r="BB26" s="45">
        <f>IF(OR(AR26="",E26="",E26=0),"",AR26/E26)</f>
        <v/>
      </c>
      <c r="BC26" s="45">
        <f>IF(OR(AS26="",F26="",F26=0),"",AS26/F26)</f>
        <v/>
      </c>
      <c r="BD26" s="44">
        <f>IF(OR(BC26="",BB26=""),"",(BC26-BB26)*100)</f>
        <v/>
      </c>
      <c r="BE26" s="40">
        <f>IF(AND(F26&lt;&gt;"",E26&lt;&gt;""),"Both years",IF(F26&lt;&gt;"","1-23Aug26 rows only","1-23Aug25 rows only"))</f>
        <v/>
      </c>
    </row>
    <row r="27">
      <c r="A27" s="40" t="inlineStr">
        <is>
          <t>All landing pages</t>
        </is>
      </c>
      <c r="B27" s="40" t="inlineStr">
        <is>
          <t>Paid Search</t>
        </is>
      </c>
      <c r="C27" s="40" t="inlineStr">
        <is>
          <t>Desktop</t>
        </is>
      </c>
      <c r="D27" s="40" t="inlineStr">
        <is>
          <t>Netherlands</t>
        </is>
      </c>
      <c r="E27" s="68" t="n">
        <v>3603</v>
      </c>
      <c r="F27" s="68" t="n">
        <v>3456</v>
      </c>
      <c r="G27" s="69">
        <f>IF(OR(F27="",E27="",E27=0,F27=0),"",F27-E27)</f>
        <v/>
      </c>
      <c r="H27" s="42">
        <f>IF(OR(F27="",E27="",E27=0,F27=0),"",F27/E27-1)</f>
        <v/>
      </c>
      <c r="I27" s="68" t="n">
        <v>2580</v>
      </c>
      <c r="J27" s="68" t="n">
        <v>2124</v>
      </c>
      <c r="K27" s="69">
        <f>IF(OR(J27="",I27="",I27=0,J27=0),"",J27-I27)</f>
        <v/>
      </c>
      <c r="L27" s="42">
        <f>IF(OR(J27="",I27="",I27=0,J27=0),"",J27/I27-1)</f>
        <v/>
      </c>
      <c r="M27" s="43">
        <f>IF(OR(I27="",E27="",E27=0),"",I27/E27)</f>
        <v/>
      </c>
      <c r="N27" s="43">
        <f>IF(OR(J27="",F27="",F27=0),"",J27/F27)</f>
        <v/>
      </c>
      <c r="O27" s="44">
        <f>IF(OR(N27="",M27=""),"",(N27-M27)*100)</f>
        <v/>
      </c>
      <c r="P27" s="68" t="n">
        <v>2182</v>
      </c>
      <c r="Q27" s="68" t="n">
        <v>1916</v>
      </c>
      <c r="R27" s="69">
        <f>IF(OR(Q27="",P27="",P27=0,Q27=0),"",Q27-P27)</f>
        <v/>
      </c>
      <c r="S27" s="42">
        <f>IF(OR(Q27="",P27="",P27=0,Q27=0),"",Q27/P27-1)</f>
        <v/>
      </c>
      <c r="T27" s="43">
        <f>IF(OR(P27="",E27="",E27=0),"",P27/E27)</f>
        <v/>
      </c>
      <c r="U27" s="43">
        <f>IF(OR(Q27="",F27="",F27=0),"",Q27/F27)</f>
        <v/>
      </c>
      <c r="V27" s="44">
        <f>IF(OR(U27="",T27=""),"",(U27-T27)*100)</f>
        <v/>
      </c>
      <c r="W27" s="68" t="n">
        <v>631</v>
      </c>
      <c r="X27" s="68" t="n">
        <v>503</v>
      </c>
      <c r="Y27" s="69">
        <f>IF(OR(X27="",W27="",W27=0,X27=0),"",X27-W27)</f>
        <v/>
      </c>
      <c r="Z27" s="42">
        <f>IF(OR(X27="",W27="",W27=0,X27=0),"",X27/W27-1)</f>
        <v/>
      </c>
      <c r="AA27" s="43">
        <f>IF(OR(W27="",P27="",P27=0),"",W27/P27)</f>
        <v/>
      </c>
      <c r="AB27" s="43">
        <f>IF(OR(X27="",Q27="",Q27=0),"",X27/Q27)</f>
        <v/>
      </c>
      <c r="AC27" s="44">
        <f>IF(OR(AB27="",AA27=""),"",(AB27-AA27)*100)</f>
        <v/>
      </c>
      <c r="AD27" s="68" t="n">
        <v>500</v>
      </c>
      <c r="AE27" s="68" t="n">
        <v>367</v>
      </c>
      <c r="AF27" s="69">
        <f>IF(OR(AE27="",AD27="",AD27=0,AE27=0),"",AE27-AD27)</f>
        <v/>
      </c>
      <c r="AG27" s="42">
        <f>IF(OR(AE27="",AD27="",AD27=0,AE27=0),"",AE27/AD27-1)</f>
        <v/>
      </c>
      <c r="AH27" s="43">
        <f>IF(OR(AD27="",W27="",W27=0),"",AD27/W27)</f>
        <v/>
      </c>
      <c r="AI27" s="43">
        <f>IF(OR(AE27="",X27="",X27=0),"",AE27/X27)</f>
        <v/>
      </c>
      <c r="AJ27" s="44">
        <f>IF(OR(AI27="",AH27=""),"",(AI27-AH27)*100)</f>
        <v/>
      </c>
      <c r="AK27" s="68" t="n">
        <v>219</v>
      </c>
      <c r="AL27" s="68" t="n">
        <v>180</v>
      </c>
      <c r="AM27" s="69">
        <f>IF(OR(AL27="",AK27="",AK27=0,AL27=0),"",AL27-AK27)</f>
        <v/>
      </c>
      <c r="AN27" s="42">
        <f>IF(OR(AL27="",AK27="",AK27=0,AL27=0),"",AL27/AK27-1)</f>
        <v/>
      </c>
      <c r="AO27" s="43">
        <f>IF(OR(AK27="",AD27="",AD27=0),"",AK27/AD27)</f>
        <v/>
      </c>
      <c r="AP27" s="43">
        <f>IF(OR(AL27="",AE27="",AE27=0),"",AL27/AE27)</f>
        <v/>
      </c>
      <c r="AQ27" s="44">
        <f>IF(OR(AP27="",AO27=""),"",(AP27-AO27)*100)</f>
        <v/>
      </c>
      <c r="AR27" s="68" t="n">
        <v>92</v>
      </c>
      <c r="AS27" s="68" t="n">
        <v>62</v>
      </c>
      <c r="AT27" s="69">
        <f>IF(OR(AS27="",AR27="",AR27=0,AS27=0),"",AS27-AR27)</f>
        <v/>
      </c>
      <c r="AU27" s="42">
        <f>IF(OR(AS27="",AR27="",AR27=0,AS27=0),"",AS27/AR27-1)</f>
        <v/>
      </c>
      <c r="AV27" s="43">
        <f>IF(OR(AR27="",AK27="",AK27=0),"",AR27/AK27)</f>
        <v/>
      </c>
      <c r="AW27" s="43">
        <f>IF(OR(AS27="",AL27="",AL27=0),"",AS27/AL27)</f>
        <v/>
      </c>
      <c r="AX27" s="44">
        <f>IF(OR(AW27="",AV27=""),"",(AW27-AV27)*100)</f>
        <v/>
      </c>
      <c r="AY27" s="45">
        <f>IF(OR(AR27="",P27="",P27=0),"",AR27/P27)</f>
        <v/>
      </c>
      <c r="AZ27" s="45">
        <f>IF(OR(AS27="",Q27="",Q27=0),"",AS27/Q27)</f>
        <v/>
      </c>
      <c r="BA27" s="44">
        <f>IF(OR(AZ27="",AY27=""),"",(AZ27-AY27)*100)</f>
        <v/>
      </c>
      <c r="BB27" s="45">
        <f>IF(OR(AR27="",E27="",E27=0),"",AR27/E27)</f>
        <v/>
      </c>
      <c r="BC27" s="45">
        <f>IF(OR(AS27="",F27="",F27=0),"",AS27/F27)</f>
        <v/>
      </c>
      <c r="BD27" s="44">
        <f>IF(OR(BC27="",BB27=""),"",(BC27-BB27)*100)</f>
        <v/>
      </c>
      <c r="BE27" s="40">
        <f>IF(AND(F27&lt;&gt;"",E27&lt;&gt;""),"Both years",IF(F27&lt;&gt;"","1-23Aug26 rows only","1-23Aug25 rows only"))</f>
        <v/>
      </c>
    </row>
    <row r="28">
      <c r="A28" s="56" t="inlineStr">
        <is>
          <t>All landing pages</t>
        </is>
      </c>
      <c r="B28" s="56" t="inlineStr">
        <is>
          <t>Paid Search</t>
        </is>
      </c>
      <c r="C28" s="56" t="inlineStr">
        <is>
          <t>Desktop</t>
        </is>
      </c>
      <c r="D28" s="56" t="inlineStr">
        <is>
          <t>United States</t>
        </is>
      </c>
      <c r="E28" s="68" t="n">
        <v>5838</v>
      </c>
      <c r="F28" s="68" t="n">
        <v>3209</v>
      </c>
      <c r="G28" s="69">
        <f>IF(OR(F28="",E28="",E28=0,F28=0),"",F28-E28)</f>
        <v/>
      </c>
      <c r="H28" s="42">
        <f>IF(OR(F28="",E28="",E28=0,F28=0),"",F28/E28-1)</f>
        <v/>
      </c>
      <c r="I28" s="68" t="n">
        <v>3093</v>
      </c>
      <c r="J28" s="68" t="n">
        <v>1895</v>
      </c>
      <c r="K28" s="69">
        <f>IF(OR(J28="",I28="",I28=0,J28=0),"",J28-I28)</f>
        <v/>
      </c>
      <c r="L28" s="42">
        <f>IF(OR(J28="",I28="",I28=0,J28=0),"",J28/I28-1)</f>
        <v/>
      </c>
      <c r="M28" s="43">
        <f>IF(OR(I28="",E28="",E28=0),"",I28/E28)</f>
        <v/>
      </c>
      <c r="N28" s="43">
        <f>IF(OR(J28="",F28="",F28=0),"",J28/F28)</f>
        <v/>
      </c>
      <c r="O28" s="44">
        <f>IF(OR(N28="",M28=""),"",(N28-M28)*100)</f>
        <v/>
      </c>
      <c r="P28" s="68" t="n">
        <v>2138</v>
      </c>
      <c r="Q28" s="68" t="n">
        <v>1427</v>
      </c>
      <c r="R28" s="69">
        <f>IF(OR(Q28="",P28="",P28=0,Q28=0),"",Q28-P28)</f>
        <v/>
      </c>
      <c r="S28" s="42">
        <f>IF(OR(Q28="",P28="",P28=0,Q28=0),"",Q28/P28-1)</f>
        <v/>
      </c>
      <c r="T28" s="43">
        <f>IF(OR(P28="",E28="",E28=0),"",P28/E28)</f>
        <v/>
      </c>
      <c r="U28" s="43">
        <f>IF(OR(Q28="",F28="",F28=0),"",Q28/F28)</f>
        <v/>
      </c>
      <c r="V28" s="44">
        <f>IF(OR(U28="",T28=""),"",(U28-T28)*100)</f>
        <v/>
      </c>
      <c r="W28" s="68" t="n">
        <v>752</v>
      </c>
      <c r="X28" s="68" t="n">
        <v>507</v>
      </c>
      <c r="Y28" s="69">
        <f>IF(OR(X28="",W28="",W28=0,X28=0),"",X28-W28)</f>
        <v/>
      </c>
      <c r="Z28" s="42">
        <f>IF(OR(X28="",W28="",W28=0,X28=0),"",X28/W28-1)</f>
        <v/>
      </c>
      <c r="AA28" s="43">
        <f>IF(OR(W28="",P28="",P28=0),"",W28/P28)</f>
        <v/>
      </c>
      <c r="AB28" s="43">
        <f>IF(OR(X28="",Q28="",Q28=0),"",X28/Q28)</f>
        <v/>
      </c>
      <c r="AC28" s="44">
        <f>IF(OR(AB28="",AA28=""),"",(AB28-AA28)*100)</f>
        <v/>
      </c>
      <c r="AD28" s="68" t="n">
        <v>635</v>
      </c>
      <c r="AE28" s="68" t="n">
        <v>457</v>
      </c>
      <c r="AF28" s="69">
        <f>IF(OR(AE28="",AD28="",AD28=0,AE28=0),"",AE28-AD28)</f>
        <v/>
      </c>
      <c r="AG28" s="42">
        <f>IF(OR(AE28="",AD28="",AD28=0,AE28=0),"",AE28/AD28-1)</f>
        <v/>
      </c>
      <c r="AH28" s="43">
        <f>IF(OR(AD28="",W28="",W28=0),"",AD28/W28)</f>
        <v/>
      </c>
      <c r="AI28" s="43">
        <f>IF(OR(AE28="",X28="",X28=0),"",AE28/X28)</f>
        <v/>
      </c>
      <c r="AJ28" s="44">
        <f>IF(OR(AI28="",AH28=""),"",(AI28-AH28)*100)</f>
        <v/>
      </c>
      <c r="AK28" s="68" t="n">
        <v>318</v>
      </c>
      <c r="AL28" s="68" t="n">
        <v>205</v>
      </c>
      <c r="AM28" s="69">
        <f>IF(OR(AL28="",AK28="",AK28=0,AL28=0),"",AL28-AK28)</f>
        <v/>
      </c>
      <c r="AN28" s="42">
        <f>IF(OR(AL28="",AK28="",AK28=0,AL28=0),"",AL28/AK28-1)</f>
        <v/>
      </c>
      <c r="AO28" s="43">
        <f>IF(OR(AK28="",AD28="",AD28=0),"",AK28/AD28)</f>
        <v/>
      </c>
      <c r="AP28" s="43">
        <f>IF(OR(AL28="",AE28="",AE28=0),"",AL28/AE28)</f>
        <v/>
      </c>
      <c r="AQ28" s="44">
        <f>IF(OR(AP28="",AO28=""),"",(AP28-AO28)*100)</f>
        <v/>
      </c>
      <c r="AR28" s="68" t="n">
        <v>253</v>
      </c>
      <c r="AS28" s="68" t="n">
        <v>160</v>
      </c>
      <c r="AT28" s="69">
        <f>IF(OR(AS28="",AR28="",AR28=0,AS28=0),"",AS28-AR28)</f>
        <v/>
      </c>
      <c r="AU28" s="42">
        <f>IF(OR(AS28="",AR28="",AR28=0,AS28=0),"",AS28/AR28-1)</f>
        <v/>
      </c>
      <c r="AV28" s="43">
        <f>IF(OR(AR28="",AK28="",AK28=0),"",AR28/AK28)</f>
        <v/>
      </c>
      <c r="AW28" s="43">
        <f>IF(OR(AS28="",AL28="",AL28=0),"",AS28/AL28)</f>
        <v/>
      </c>
      <c r="AX28" s="44">
        <f>IF(OR(AW28="",AV28=""),"",(AW28-AV28)*100)</f>
        <v/>
      </c>
      <c r="AY28" s="45">
        <f>IF(OR(AR28="",P28="",P28=0),"",AR28/P28)</f>
        <v/>
      </c>
      <c r="AZ28" s="45">
        <f>IF(OR(AS28="",Q28="",Q28=0),"",AS28/Q28)</f>
        <v/>
      </c>
      <c r="BA28" s="44">
        <f>IF(OR(AZ28="",AY28=""),"",(AZ28-AY28)*100)</f>
        <v/>
      </c>
      <c r="BB28" s="45">
        <f>IF(OR(AR28="",E28="",E28=0),"",AR28/E28)</f>
        <v/>
      </c>
      <c r="BC28" s="45">
        <f>IF(OR(AS28="",F28="",F28=0),"",AS28/F28)</f>
        <v/>
      </c>
      <c r="BD28" s="44">
        <f>IF(OR(BC28="",BB28=""),"",(BC28-BB28)*100)</f>
        <v/>
      </c>
      <c r="BE28" s="40">
        <f>IF(AND(F28&lt;&gt;"",E28&lt;&gt;""),"Both years",IF(F28&lt;&gt;"","1-23Aug26 rows only","1-23Aug25 rows only"))</f>
        <v/>
      </c>
    </row>
    <row r="29">
      <c r="A29" s="40" t="inlineStr">
        <is>
          <t>All landing pages</t>
        </is>
      </c>
      <c r="B29" s="40" t="inlineStr">
        <is>
          <t>Paid Search</t>
        </is>
      </c>
      <c r="C29" s="40" t="inlineStr">
        <is>
          <t>Desktop</t>
        </is>
      </c>
      <c r="D29" s="40" t="inlineStr">
        <is>
          <t>Sweden</t>
        </is>
      </c>
      <c r="E29" s="68" t="n">
        <v>1846</v>
      </c>
      <c r="F29" s="68" t="n">
        <v>2716</v>
      </c>
      <c r="G29" s="69">
        <f>IF(OR(F29="",E29="",E29=0,F29=0),"",F29-E29)</f>
        <v/>
      </c>
      <c r="H29" s="42">
        <f>IF(OR(F29="",E29="",E29=0,F29=0),"",F29/E29-1)</f>
        <v/>
      </c>
      <c r="I29" s="68" t="n">
        <v>1336</v>
      </c>
      <c r="J29" s="68" t="n">
        <v>1591</v>
      </c>
      <c r="K29" s="69">
        <f>IF(OR(J29="",I29="",I29=0,J29=0),"",J29-I29)</f>
        <v/>
      </c>
      <c r="L29" s="42">
        <f>IF(OR(J29="",I29="",I29=0,J29=0),"",J29/I29-1)</f>
        <v/>
      </c>
      <c r="M29" s="43">
        <f>IF(OR(I29="",E29="",E29=0),"",I29/E29)</f>
        <v/>
      </c>
      <c r="N29" s="43">
        <f>IF(OR(J29="",F29="",F29=0),"",J29/F29)</f>
        <v/>
      </c>
      <c r="O29" s="44">
        <f>IF(OR(N29="",M29=""),"",(N29-M29)*100)</f>
        <v/>
      </c>
      <c r="P29" s="68" t="n">
        <v>1133</v>
      </c>
      <c r="Q29" s="68" t="n">
        <v>1381</v>
      </c>
      <c r="R29" s="69">
        <f>IF(OR(Q29="",P29="",P29=0,Q29=0),"",Q29-P29)</f>
        <v/>
      </c>
      <c r="S29" s="42">
        <f>IF(OR(Q29="",P29="",P29=0,Q29=0),"",Q29/P29-1)</f>
        <v/>
      </c>
      <c r="T29" s="43">
        <f>IF(OR(P29="",E29="",E29=0),"",P29/E29)</f>
        <v/>
      </c>
      <c r="U29" s="43">
        <f>IF(OR(Q29="",F29="",F29=0),"",Q29/F29)</f>
        <v/>
      </c>
      <c r="V29" s="44">
        <f>IF(OR(U29="",T29=""),"",(U29-T29)*100)</f>
        <v/>
      </c>
      <c r="W29" s="68" t="n">
        <v>322</v>
      </c>
      <c r="X29" s="68" t="n">
        <v>385</v>
      </c>
      <c r="Y29" s="69">
        <f>IF(OR(X29="",W29="",W29=0,X29=0),"",X29-W29)</f>
        <v/>
      </c>
      <c r="Z29" s="42">
        <f>IF(OR(X29="",W29="",W29=0,X29=0),"",X29/W29-1)</f>
        <v/>
      </c>
      <c r="AA29" s="43">
        <f>IF(OR(W29="",P29="",P29=0),"",W29/P29)</f>
        <v/>
      </c>
      <c r="AB29" s="43">
        <f>IF(OR(X29="",Q29="",Q29=0),"",X29/Q29)</f>
        <v/>
      </c>
      <c r="AC29" s="44">
        <f>IF(OR(AB29="",AA29=""),"",(AB29-AA29)*100)</f>
        <v/>
      </c>
      <c r="AD29" s="68" t="n">
        <v>266</v>
      </c>
      <c r="AE29" s="68" t="n">
        <v>296</v>
      </c>
      <c r="AF29" s="69">
        <f>IF(OR(AE29="",AD29="",AD29=0,AE29=0),"",AE29-AD29)</f>
        <v/>
      </c>
      <c r="AG29" s="42">
        <f>IF(OR(AE29="",AD29="",AD29=0,AE29=0),"",AE29/AD29-1)</f>
        <v/>
      </c>
      <c r="AH29" s="43">
        <f>IF(OR(AD29="",W29="",W29=0),"",AD29/W29)</f>
        <v/>
      </c>
      <c r="AI29" s="43">
        <f>IF(OR(AE29="",X29="",X29=0),"",AE29/X29)</f>
        <v/>
      </c>
      <c r="AJ29" s="44">
        <f>IF(OR(AI29="",AH29=""),"",(AI29-AH29)*100)</f>
        <v/>
      </c>
      <c r="AK29" s="68" t="n">
        <v>131</v>
      </c>
      <c r="AL29" s="68" t="n">
        <v>148</v>
      </c>
      <c r="AM29" s="69">
        <f>IF(OR(AL29="",AK29="",AK29=0,AL29=0),"",AL29-AK29)</f>
        <v/>
      </c>
      <c r="AN29" s="42">
        <f>IF(OR(AL29="",AK29="",AK29=0,AL29=0),"",AL29/AK29-1)</f>
        <v/>
      </c>
      <c r="AO29" s="43">
        <f>IF(OR(AK29="",AD29="",AD29=0),"",AK29/AD29)</f>
        <v/>
      </c>
      <c r="AP29" s="43">
        <f>IF(OR(AL29="",AE29="",AE29=0),"",AL29/AE29)</f>
        <v/>
      </c>
      <c r="AQ29" s="44">
        <f>IF(OR(AP29="",AO29=""),"",(AP29-AO29)*100)</f>
        <v/>
      </c>
      <c r="AR29" s="68" t="n">
        <v>113</v>
      </c>
      <c r="AS29" s="68" t="n">
        <v>126</v>
      </c>
      <c r="AT29" s="69">
        <f>IF(OR(AS29="",AR29="",AR29=0,AS29=0),"",AS29-AR29)</f>
        <v/>
      </c>
      <c r="AU29" s="42">
        <f>IF(OR(AS29="",AR29="",AR29=0,AS29=0),"",AS29/AR29-1)</f>
        <v/>
      </c>
      <c r="AV29" s="43">
        <f>IF(OR(AR29="",AK29="",AK29=0),"",AR29/AK29)</f>
        <v/>
      </c>
      <c r="AW29" s="43">
        <f>IF(OR(AS29="",AL29="",AL29=0),"",AS29/AL29)</f>
        <v/>
      </c>
      <c r="AX29" s="44">
        <f>IF(OR(AW29="",AV29=""),"",(AW29-AV29)*100)</f>
        <v/>
      </c>
      <c r="AY29" s="45">
        <f>IF(OR(AR29="",P29="",P29=0),"",AR29/P29)</f>
        <v/>
      </c>
      <c r="AZ29" s="45">
        <f>IF(OR(AS29="",Q29="",Q29=0),"",AS29/Q29)</f>
        <v/>
      </c>
      <c r="BA29" s="44">
        <f>IF(OR(AZ29="",AY29=""),"",(AZ29-AY29)*100)</f>
        <v/>
      </c>
      <c r="BB29" s="45">
        <f>IF(OR(AR29="",E29="",E29=0),"",AR29/E29)</f>
        <v/>
      </c>
      <c r="BC29" s="45">
        <f>IF(OR(AS29="",F29="",F29=0),"",AS29/F29)</f>
        <v/>
      </c>
      <c r="BD29" s="44">
        <f>IF(OR(BC29="",BB29=""),"",(BC29-BB29)*100)</f>
        <v/>
      </c>
      <c r="BE29" s="40">
        <f>IF(AND(F29&lt;&gt;"",E29&lt;&gt;""),"Both years",IF(F29&lt;&gt;"","1-23Aug26 rows only","1-23Aug25 rows only"))</f>
        <v/>
      </c>
    </row>
    <row r="30">
      <c r="A30" s="56" t="inlineStr">
        <is>
          <t>All landing pages</t>
        </is>
      </c>
      <c r="B30" s="56" t="inlineStr">
        <is>
          <t>Paid Search</t>
        </is>
      </c>
      <c r="C30" s="56" t="inlineStr">
        <is>
          <t>Desktop</t>
        </is>
      </c>
      <c r="D30" s="56" t="inlineStr">
        <is>
          <t>Denmark</t>
        </is>
      </c>
      <c r="E30" s="68" t="n">
        <v>1330</v>
      </c>
      <c r="F30" s="68" t="n">
        <v>2311</v>
      </c>
      <c r="G30" s="69">
        <f>IF(OR(F30="",E30="",E30=0,F30=0),"",F30-E30)</f>
        <v/>
      </c>
      <c r="H30" s="42">
        <f>IF(OR(F30="",E30="",E30=0,F30=0),"",F30/E30-1)</f>
        <v/>
      </c>
      <c r="I30" s="70" t="n"/>
      <c r="J30" s="70" t="n"/>
      <c r="K30" s="69">
        <f>IF(OR(J30="",I30="",I30=0,J30=0),"",J30-I30)</f>
        <v/>
      </c>
      <c r="L30" s="42">
        <f>IF(OR(J30="",I30="",I30=0,J30=0),"",J30/I30-1)</f>
        <v/>
      </c>
      <c r="M30" s="43">
        <f>IF(OR(I30="",E30="",E30=0),"",I30/E30)</f>
        <v/>
      </c>
      <c r="N30" s="43">
        <f>IF(OR(J30="",F30="",F30=0),"",J30/F30)</f>
        <v/>
      </c>
      <c r="O30" s="44">
        <f>IF(OR(N30="",M30=""),"",(N30-M30)*100)</f>
        <v/>
      </c>
      <c r="P30" s="68" t="n">
        <v>858</v>
      </c>
      <c r="Q30" s="68" t="n">
        <v>1199</v>
      </c>
      <c r="R30" s="69">
        <f>IF(OR(Q30="",P30="",P30=0,Q30=0),"",Q30-P30)</f>
        <v/>
      </c>
      <c r="S30" s="42">
        <f>IF(OR(Q30="",P30="",P30=0,Q30=0),"",Q30/P30-1)</f>
        <v/>
      </c>
      <c r="T30" s="43">
        <f>IF(OR(P30="",E30="",E30=0),"",P30/E30)</f>
        <v/>
      </c>
      <c r="U30" s="43">
        <f>IF(OR(Q30="",F30="",F30=0),"",Q30/F30)</f>
        <v/>
      </c>
      <c r="V30" s="44">
        <f>IF(OR(U30="",T30=""),"",(U30-T30)*100)</f>
        <v/>
      </c>
      <c r="W30" s="70" t="n"/>
      <c r="X30" s="70" t="n"/>
      <c r="Y30" s="69">
        <f>IF(OR(X30="",W30="",W30=0,X30=0),"",X30-W30)</f>
        <v/>
      </c>
      <c r="Z30" s="42">
        <f>IF(OR(X30="",W30="",W30=0,X30=0),"",X30/W30-1)</f>
        <v/>
      </c>
      <c r="AA30" s="43">
        <f>IF(OR(W30="",P30="",P30=0),"",W30/P30)</f>
        <v/>
      </c>
      <c r="AB30" s="43">
        <f>IF(OR(X30="",Q30="",Q30=0),"",X30/Q30)</f>
        <v/>
      </c>
      <c r="AC30" s="44">
        <f>IF(OR(AB30="",AA30=""),"",(AB30-AA30)*100)</f>
        <v/>
      </c>
      <c r="AD30" s="70" t="n"/>
      <c r="AE30" s="70" t="n"/>
      <c r="AF30" s="69">
        <f>IF(OR(AE30="",AD30="",AD30=0,AE30=0),"",AE30-AD30)</f>
        <v/>
      </c>
      <c r="AG30" s="42">
        <f>IF(OR(AE30="",AD30="",AD30=0,AE30=0),"",AE30/AD30-1)</f>
        <v/>
      </c>
      <c r="AH30" s="43">
        <f>IF(OR(AD30="",W30="",W30=0),"",AD30/W30)</f>
        <v/>
      </c>
      <c r="AI30" s="43">
        <f>IF(OR(AE30="",X30="",X30=0),"",AE30/X30)</f>
        <v/>
      </c>
      <c r="AJ30" s="44">
        <f>IF(OR(AI30="",AH30=""),"",(AI30-AH30)*100)</f>
        <v/>
      </c>
      <c r="AK30" s="70" t="n"/>
      <c r="AL30" s="70" t="n"/>
      <c r="AM30" s="69">
        <f>IF(OR(AL30="",AK30="",AK30=0,AL30=0),"",AL30-AK30)</f>
        <v/>
      </c>
      <c r="AN30" s="42">
        <f>IF(OR(AL30="",AK30="",AK30=0,AL30=0),"",AL30/AK30-1)</f>
        <v/>
      </c>
      <c r="AO30" s="43">
        <f>IF(OR(AK30="",AD30="",AD30=0),"",AK30/AD30)</f>
        <v/>
      </c>
      <c r="AP30" s="43">
        <f>IF(OR(AL30="",AE30="",AE30=0),"",AL30/AE30)</f>
        <v/>
      </c>
      <c r="AQ30" s="44">
        <f>IF(OR(AP30="",AO30=""),"",(AP30-AO30)*100)</f>
        <v/>
      </c>
      <c r="AR30" s="70" t="n"/>
      <c r="AS30" s="70" t="n"/>
      <c r="AT30" s="69">
        <f>IF(OR(AS30="",AR30="",AR30=0,AS30=0),"",AS30-AR30)</f>
        <v/>
      </c>
      <c r="AU30" s="42">
        <f>IF(OR(AS30="",AR30="",AR30=0,AS30=0),"",AS30/AR30-1)</f>
        <v/>
      </c>
      <c r="AV30" s="43">
        <f>IF(OR(AR30="",AK30="",AK30=0),"",AR30/AK30)</f>
        <v/>
      </c>
      <c r="AW30" s="43">
        <f>IF(OR(AS30="",AL30="",AL30=0),"",AS30/AL30)</f>
        <v/>
      </c>
      <c r="AX30" s="44">
        <f>IF(OR(AW30="",AV30=""),"",(AW30-AV30)*100)</f>
        <v/>
      </c>
      <c r="AY30" s="45">
        <f>IF(OR(AR30="",P30="",P30=0),"",AR30/P30)</f>
        <v/>
      </c>
      <c r="AZ30" s="45">
        <f>IF(OR(AS30="",Q30="",Q30=0),"",AS30/Q30)</f>
        <v/>
      </c>
      <c r="BA30" s="44">
        <f>IF(OR(AZ30="",AY30=""),"",(AZ30-AY30)*100)</f>
        <v/>
      </c>
      <c r="BB30" s="45">
        <f>IF(OR(AR30="",E30="",E30=0),"",AR30/E30)</f>
        <v/>
      </c>
      <c r="BC30" s="45">
        <f>IF(OR(AS30="",F30="",F30=0),"",AS30/F30)</f>
        <v/>
      </c>
      <c r="BD30" s="44">
        <f>IF(OR(BC30="",BB30=""),"",(BC30-BB30)*100)</f>
        <v/>
      </c>
      <c r="BE30" s="40">
        <f>IF(AND(F30&lt;&gt;"",E30&lt;&gt;""),"Both years",IF(F30&lt;&gt;"","1-23Aug26 rows only","1-23Aug25 rows only"))</f>
        <v/>
      </c>
    </row>
    <row r="31">
      <c r="A31" s="40" t="inlineStr">
        <is>
          <t>All landing pages</t>
        </is>
      </c>
      <c r="B31" s="40" t="inlineStr">
        <is>
          <t>Paid Search</t>
        </is>
      </c>
      <c r="C31" s="40" t="inlineStr">
        <is>
          <t>Desktop</t>
        </is>
      </c>
      <c r="D31" s="40" t="inlineStr">
        <is>
          <t>Poland</t>
        </is>
      </c>
      <c r="E31" s="70" t="n"/>
      <c r="F31" s="68" t="n">
        <v>2095</v>
      </c>
      <c r="G31" s="69">
        <f>IF(OR(F31="",E31="",E31=0,F31=0),"",F31-E31)</f>
        <v/>
      </c>
      <c r="H31" s="42">
        <f>IF(OR(F31="",E31="",E31=0,F31=0),"",F31/E31-1)</f>
        <v/>
      </c>
      <c r="I31" s="70" t="n"/>
      <c r="J31" s="70" t="n"/>
      <c r="K31" s="69">
        <f>IF(OR(J31="",I31="",I31=0,J31=0),"",J31-I31)</f>
        <v/>
      </c>
      <c r="L31" s="42">
        <f>IF(OR(J31="",I31="",I31=0,J31=0),"",J31/I31-1)</f>
        <v/>
      </c>
      <c r="M31" s="43">
        <f>IF(OR(I31="",E31="",E31=0),"",I31/E31)</f>
        <v/>
      </c>
      <c r="N31" s="43">
        <f>IF(OR(J31="",F31="",F31=0),"",J31/F31)</f>
        <v/>
      </c>
      <c r="O31" s="44">
        <f>IF(OR(N31="",M31=""),"",(N31-M31)*100)</f>
        <v/>
      </c>
      <c r="P31" s="70" t="n"/>
      <c r="Q31" s="68" t="n">
        <v>1170</v>
      </c>
      <c r="R31" s="69">
        <f>IF(OR(Q31="",P31="",P31=0,Q31=0),"",Q31-P31)</f>
        <v/>
      </c>
      <c r="S31" s="42">
        <f>IF(OR(Q31="",P31="",P31=0,Q31=0),"",Q31/P31-1)</f>
        <v/>
      </c>
      <c r="T31" s="43">
        <f>IF(OR(P31="",E31="",E31=0),"",P31/E31)</f>
        <v/>
      </c>
      <c r="U31" s="43">
        <f>IF(OR(Q31="",F31="",F31=0),"",Q31/F31)</f>
        <v/>
      </c>
      <c r="V31" s="44">
        <f>IF(OR(U31="",T31=""),"",(U31-T31)*100)</f>
        <v/>
      </c>
      <c r="W31" s="70" t="n"/>
      <c r="X31" s="70" t="n"/>
      <c r="Y31" s="69">
        <f>IF(OR(X31="",W31="",W31=0,X31=0),"",X31-W31)</f>
        <v/>
      </c>
      <c r="Z31" s="42">
        <f>IF(OR(X31="",W31="",W31=0,X31=0),"",X31/W31-1)</f>
        <v/>
      </c>
      <c r="AA31" s="43">
        <f>IF(OR(W31="",P31="",P31=0),"",W31/P31)</f>
        <v/>
      </c>
      <c r="AB31" s="43">
        <f>IF(OR(X31="",Q31="",Q31=0),"",X31/Q31)</f>
        <v/>
      </c>
      <c r="AC31" s="44">
        <f>IF(OR(AB31="",AA31=""),"",(AB31-AA31)*100)</f>
        <v/>
      </c>
      <c r="AD31" s="70" t="n"/>
      <c r="AE31" s="70" t="n"/>
      <c r="AF31" s="69">
        <f>IF(OR(AE31="",AD31="",AD31=0,AE31=0),"",AE31-AD31)</f>
        <v/>
      </c>
      <c r="AG31" s="42">
        <f>IF(OR(AE31="",AD31="",AD31=0,AE31=0),"",AE31/AD31-1)</f>
        <v/>
      </c>
      <c r="AH31" s="43">
        <f>IF(OR(AD31="",W31="",W31=0),"",AD31/W31)</f>
        <v/>
      </c>
      <c r="AI31" s="43">
        <f>IF(OR(AE31="",X31="",X31=0),"",AE31/X31)</f>
        <v/>
      </c>
      <c r="AJ31" s="44">
        <f>IF(OR(AI31="",AH31=""),"",(AI31-AH31)*100)</f>
        <v/>
      </c>
      <c r="AK31" s="70" t="n"/>
      <c r="AL31" s="70" t="n"/>
      <c r="AM31" s="69">
        <f>IF(OR(AL31="",AK31="",AK31=0,AL31=0),"",AL31-AK31)</f>
        <v/>
      </c>
      <c r="AN31" s="42">
        <f>IF(OR(AL31="",AK31="",AK31=0,AL31=0),"",AL31/AK31-1)</f>
        <v/>
      </c>
      <c r="AO31" s="43">
        <f>IF(OR(AK31="",AD31="",AD31=0),"",AK31/AD31)</f>
        <v/>
      </c>
      <c r="AP31" s="43">
        <f>IF(OR(AL31="",AE31="",AE31=0),"",AL31/AE31)</f>
        <v/>
      </c>
      <c r="AQ31" s="44">
        <f>IF(OR(AP31="",AO31=""),"",(AP31-AO31)*100)</f>
        <v/>
      </c>
      <c r="AR31" s="70" t="n"/>
      <c r="AS31" s="70" t="n"/>
      <c r="AT31" s="69">
        <f>IF(OR(AS31="",AR31="",AR31=0,AS31=0),"",AS31-AR31)</f>
        <v/>
      </c>
      <c r="AU31" s="42">
        <f>IF(OR(AS31="",AR31="",AR31=0,AS31=0),"",AS31/AR31-1)</f>
        <v/>
      </c>
      <c r="AV31" s="43">
        <f>IF(OR(AR31="",AK31="",AK31=0),"",AR31/AK31)</f>
        <v/>
      </c>
      <c r="AW31" s="43">
        <f>IF(OR(AS31="",AL31="",AL31=0),"",AS31/AL31)</f>
        <v/>
      </c>
      <c r="AX31" s="44">
        <f>IF(OR(AW31="",AV31=""),"",(AW31-AV31)*100)</f>
        <v/>
      </c>
      <c r="AY31" s="45">
        <f>IF(OR(AR31="",P31="",P31=0),"",AR31/P31)</f>
        <v/>
      </c>
      <c r="AZ31" s="45">
        <f>IF(OR(AS31="",Q31="",Q31=0),"",AS31/Q31)</f>
        <v/>
      </c>
      <c r="BA31" s="44">
        <f>IF(OR(AZ31="",AY31=""),"",(AZ31-AY31)*100)</f>
        <v/>
      </c>
      <c r="BB31" s="45">
        <f>IF(OR(AR31="",E31="",E31=0),"",AR31/E31)</f>
        <v/>
      </c>
      <c r="BC31" s="45">
        <f>IF(OR(AS31="",F31="",F31=0),"",AS31/F31)</f>
        <v/>
      </c>
      <c r="BD31" s="44">
        <f>IF(OR(BC31="",BB31=""),"",(BC31-BB31)*100)</f>
        <v/>
      </c>
      <c r="BE31" s="40">
        <f>IF(AND(F31&lt;&gt;"",E31&lt;&gt;""),"Both years",IF(F31&lt;&gt;"","1-23Aug26 rows only","1-23Aug25 rows only"))</f>
        <v/>
      </c>
    </row>
    <row r="32">
      <c r="A32" s="56" t="inlineStr">
        <is>
          <t>All landing pages</t>
        </is>
      </c>
      <c r="B32" s="56" t="inlineStr">
        <is>
          <t>Paid Search</t>
        </is>
      </c>
      <c r="C32" s="56" t="inlineStr">
        <is>
          <t>Desktop</t>
        </is>
      </c>
      <c r="D32" s="56" t="inlineStr">
        <is>
          <t>Belgium</t>
        </is>
      </c>
      <c r="E32" s="68" t="n">
        <v>1261</v>
      </c>
      <c r="F32" s="68" t="n">
        <v>1685</v>
      </c>
      <c r="G32" s="69">
        <f>IF(OR(F32="",E32="",E32=0,F32=0),"",F32-E32)</f>
        <v/>
      </c>
      <c r="H32" s="42">
        <f>IF(OR(F32="",E32="",E32=0,F32=0),"",F32/E32-1)</f>
        <v/>
      </c>
      <c r="I32" s="68" t="n">
        <v>863</v>
      </c>
      <c r="J32" s="68" t="n">
        <v>1010</v>
      </c>
      <c r="K32" s="69">
        <f>IF(OR(J32="",I32="",I32=0,J32=0),"",J32-I32)</f>
        <v/>
      </c>
      <c r="L32" s="42">
        <f>IF(OR(J32="",I32="",I32=0,J32=0),"",J32/I32-1)</f>
        <v/>
      </c>
      <c r="M32" s="43">
        <f>IF(OR(I32="",E32="",E32=0),"",I32/E32)</f>
        <v/>
      </c>
      <c r="N32" s="43">
        <f>IF(OR(J32="",F32="",F32=0),"",J32/F32)</f>
        <v/>
      </c>
      <c r="O32" s="44">
        <f>IF(OR(N32="",M32=""),"",(N32-M32)*100)</f>
        <v/>
      </c>
      <c r="P32" s="68" t="n">
        <v>747</v>
      </c>
      <c r="Q32" s="68" t="n">
        <v>918</v>
      </c>
      <c r="R32" s="69">
        <f>IF(OR(Q32="",P32="",P32=0,Q32=0),"",Q32-P32)</f>
        <v/>
      </c>
      <c r="S32" s="42">
        <f>IF(OR(Q32="",P32="",P32=0,Q32=0),"",Q32/P32-1)</f>
        <v/>
      </c>
      <c r="T32" s="43">
        <f>IF(OR(P32="",E32="",E32=0),"",P32/E32)</f>
        <v/>
      </c>
      <c r="U32" s="43">
        <f>IF(OR(Q32="",F32="",F32=0),"",Q32/F32)</f>
        <v/>
      </c>
      <c r="V32" s="44">
        <f>IF(OR(U32="",T32=""),"",(U32-T32)*100)</f>
        <v/>
      </c>
      <c r="W32" s="68" t="n">
        <v>219</v>
      </c>
      <c r="X32" s="68" t="n">
        <v>248</v>
      </c>
      <c r="Y32" s="69">
        <f>IF(OR(X32="",W32="",W32=0,X32=0),"",X32-W32)</f>
        <v/>
      </c>
      <c r="Z32" s="42">
        <f>IF(OR(X32="",W32="",W32=0,X32=0),"",X32/W32-1)</f>
        <v/>
      </c>
      <c r="AA32" s="43">
        <f>IF(OR(W32="",P32="",P32=0),"",W32/P32)</f>
        <v/>
      </c>
      <c r="AB32" s="43">
        <f>IF(OR(X32="",Q32="",Q32=0),"",X32/Q32)</f>
        <v/>
      </c>
      <c r="AC32" s="44">
        <f>IF(OR(AB32="",AA32=""),"",(AB32-AA32)*100)</f>
        <v/>
      </c>
      <c r="AD32" s="68" t="n">
        <v>174</v>
      </c>
      <c r="AE32" s="68" t="n">
        <v>201</v>
      </c>
      <c r="AF32" s="69">
        <f>IF(OR(AE32="",AD32="",AD32=0,AE32=0),"",AE32-AD32)</f>
        <v/>
      </c>
      <c r="AG32" s="42">
        <f>IF(OR(AE32="",AD32="",AD32=0,AE32=0),"",AE32/AD32-1)</f>
        <v/>
      </c>
      <c r="AH32" s="43">
        <f>IF(OR(AD32="",W32="",W32=0),"",AD32/W32)</f>
        <v/>
      </c>
      <c r="AI32" s="43">
        <f>IF(OR(AE32="",X32="",X32=0),"",AE32/X32)</f>
        <v/>
      </c>
      <c r="AJ32" s="44">
        <f>IF(OR(AI32="",AH32=""),"",(AI32-AH32)*100)</f>
        <v/>
      </c>
      <c r="AK32" s="68" t="n">
        <v>85</v>
      </c>
      <c r="AL32" s="68" t="n">
        <v>84</v>
      </c>
      <c r="AM32" s="69">
        <f>IF(OR(AL32="",AK32="",AK32=0,AL32=0),"",AL32-AK32)</f>
        <v/>
      </c>
      <c r="AN32" s="42">
        <f>IF(OR(AL32="",AK32="",AK32=0,AL32=0),"",AL32/AK32-1)</f>
        <v/>
      </c>
      <c r="AO32" s="43">
        <f>IF(OR(AK32="",AD32="",AD32=0),"",AK32/AD32)</f>
        <v/>
      </c>
      <c r="AP32" s="43">
        <f>IF(OR(AL32="",AE32="",AE32=0),"",AL32/AE32)</f>
        <v/>
      </c>
      <c r="AQ32" s="44">
        <f>IF(OR(AP32="",AO32=""),"",(AP32-AO32)*100)</f>
        <v/>
      </c>
      <c r="AR32" s="68" t="n">
        <v>77</v>
      </c>
      <c r="AS32" s="68" t="n">
        <v>71</v>
      </c>
      <c r="AT32" s="69">
        <f>IF(OR(AS32="",AR32="",AR32=0,AS32=0),"",AS32-AR32)</f>
        <v/>
      </c>
      <c r="AU32" s="42">
        <f>IF(OR(AS32="",AR32="",AR32=0,AS32=0),"",AS32/AR32-1)</f>
        <v/>
      </c>
      <c r="AV32" s="43">
        <f>IF(OR(AR32="",AK32="",AK32=0),"",AR32/AK32)</f>
        <v/>
      </c>
      <c r="AW32" s="43">
        <f>IF(OR(AS32="",AL32="",AL32=0),"",AS32/AL32)</f>
        <v/>
      </c>
      <c r="AX32" s="44">
        <f>IF(OR(AW32="",AV32=""),"",(AW32-AV32)*100)</f>
        <v/>
      </c>
      <c r="AY32" s="45">
        <f>IF(OR(AR32="",P32="",P32=0),"",AR32/P32)</f>
        <v/>
      </c>
      <c r="AZ32" s="45">
        <f>IF(OR(AS32="",Q32="",Q32=0),"",AS32/Q32)</f>
        <v/>
      </c>
      <c r="BA32" s="44">
        <f>IF(OR(AZ32="",AY32=""),"",(AZ32-AY32)*100)</f>
        <v/>
      </c>
      <c r="BB32" s="45">
        <f>IF(OR(AR32="",E32="",E32=0),"",AR32/E32)</f>
        <v/>
      </c>
      <c r="BC32" s="45">
        <f>IF(OR(AS32="",F32="",F32=0),"",AS32/F32)</f>
        <v/>
      </c>
      <c r="BD32" s="44">
        <f>IF(OR(BC32="",BB32=""),"",(BC32-BB32)*100)</f>
        <v/>
      </c>
      <c r="BE32" s="40">
        <f>IF(AND(F32&lt;&gt;"",E32&lt;&gt;""),"Both years",IF(F32&lt;&gt;"","1-23Aug26 rows only","1-23Aug25 rows only"))</f>
        <v/>
      </c>
    </row>
    <row r="33">
      <c r="A33" s="40" t="inlineStr">
        <is>
          <t>All landing pages</t>
        </is>
      </c>
      <c r="B33" s="40" t="inlineStr">
        <is>
          <t>Paid Search</t>
        </is>
      </c>
      <c r="C33" s="40" t="inlineStr">
        <is>
          <t>Desktop</t>
        </is>
      </c>
      <c r="D33" s="40" t="inlineStr">
        <is>
          <t>Norway</t>
        </is>
      </c>
      <c r="E33" s="68" t="n">
        <v>1279</v>
      </c>
      <c r="F33" s="68" t="n">
        <v>1541</v>
      </c>
      <c r="G33" s="69">
        <f>IF(OR(F33="",E33="",E33=0,F33=0),"",F33-E33)</f>
        <v/>
      </c>
      <c r="H33" s="42">
        <f>IF(OR(F33="",E33="",E33=0,F33=0),"",F33/E33-1)</f>
        <v/>
      </c>
      <c r="I33" s="68" t="n">
        <v>926</v>
      </c>
      <c r="J33" s="68" t="n">
        <v>947</v>
      </c>
      <c r="K33" s="69">
        <f>IF(OR(J33="",I33="",I33=0,J33=0),"",J33-I33)</f>
        <v/>
      </c>
      <c r="L33" s="42">
        <f>IF(OR(J33="",I33="",I33=0,J33=0),"",J33/I33-1)</f>
        <v/>
      </c>
      <c r="M33" s="43">
        <f>IF(OR(I33="",E33="",E33=0),"",I33/E33)</f>
        <v/>
      </c>
      <c r="N33" s="43">
        <f>IF(OR(J33="",F33="",F33=0),"",J33/F33)</f>
        <v/>
      </c>
      <c r="O33" s="44">
        <f>IF(OR(N33="",M33=""),"",(N33-M33)*100)</f>
        <v/>
      </c>
      <c r="P33" s="68" t="n">
        <v>791</v>
      </c>
      <c r="Q33" s="68" t="n">
        <v>854</v>
      </c>
      <c r="R33" s="69">
        <f>IF(OR(Q33="",P33="",P33=0,Q33=0),"",Q33-P33)</f>
        <v/>
      </c>
      <c r="S33" s="42">
        <f>IF(OR(Q33="",P33="",P33=0,Q33=0),"",Q33/P33-1)</f>
        <v/>
      </c>
      <c r="T33" s="43">
        <f>IF(OR(P33="",E33="",E33=0),"",P33/E33)</f>
        <v/>
      </c>
      <c r="U33" s="43">
        <f>IF(OR(Q33="",F33="",F33=0),"",Q33/F33)</f>
        <v/>
      </c>
      <c r="V33" s="44">
        <f>IF(OR(U33="",T33=""),"",(U33-T33)*100)</f>
        <v/>
      </c>
      <c r="W33" s="68" t="n">
        <v>222</v>
      </c>
      <c r="X33" s="68" t="n">
        <v>242</v>
      </c>
      <c r="Y33" s="69">
        <f>IF(OR(X33="",W33="",W33=0,X33=0),"",X33-W33)</f>
        <v/>
      </c>
      <c r="Z33" s="42">
        <f>IF(OR(X33="",W33="",W33=0,X33=0),"",X33/W33-1)</f>
        <v/>
      </c>
      <c r="AA33" s="43">
        <f>IF(OR(W33="",P33="",P33=0),"",W33/P33)</f>
        <v/>
      </c>
      <c r="AB33" s="43">
        <f>IF(OR(X33="",Q33="",Q33=0),"",X33/Q33)</f>
        <v/>
      </c>
      <c r="AC33" s="44">
        <f>IF(OR(AB33="",AA33=""),"",(AB33-AA33)*100)</f>
        <v/>
      </c>
      <c r="AD33" s="68" t="n">
        <v>173</v>
      </c>
      <c r="AE33" s="68" t="n">
        <v>178</v>
      </c>
      <c r="AF33" s="69">
        <f>IF(OR(AE33="",AD33="",AD33=0,AE33=0),"",AE33-AD33)</f>
        <v/>
      </c>
      <c r="AG33" s="42">
        <f>IF(OR(AE33="",AD33="",AD33=0,AE33=0),"",AE33/AD33-1)</f>
        <v/>
      </c>
      <c r="AH33" s="43">
        <f>IF(OR(AD33="",W33="",W33=0),"",AD33/W33)</f>
        <v/>
      </c>
      <c r="AI33" s="43">
        <f>IF(OR(AE33="",X33="",X33=0),"",AE33/X33)</f>
        <v/>
      </c>
      <c r="AJ33" s="44">
        <f>IF(OR(AI33="",AH33=""),"",(AI33-AH33)*100)</f>
        <v/>
      </c>
      <c r="AK33" s="68" t="n">
        <v>85</v>
      </c>
      <c r="AL33" s="68" t="n">
        <v>77</v>
      </c>
      <c r="AM33" s="69">
        <f>IF(OR(AL33="",AK33="",AK33=0,AL33=0),"",AL33-AK33)</f>
        <v/>
      </c>
      <c r="AN33" s="42">
        <f>IF(OR(AL33="",AK33="",AK33=0,AL33=0),"",AL33/AK33-1)</f>
        <v/>
      </c>
      <c r="AO33" s="43">
        <f>IF(OR(AK33="",AD33="",AD33=0),"",AK33/AD33)</f>
        <v/>
      </c>
      <c r="AP33" s="43">
        <f>IF(OR(AL33="",AE33="",AE33=0),"",AL33/AE33)</f>
        <v/>
      </c>
      <c r="AQ33" s="44">
        <f>IF(OR(AP33="",AO33=""),"",(AP33-AO33)*100)</f>
        <v/>
      </c>
      <c r="AR33" s="68" t="n">
        <v>69</v>
      </c>
      <c r="AS33" s="68" t="n">
        <v>64</v>
      </c>
      <c r="AT33" s="69">
        <f>IF(OR(AS33="",AR33="",AR33=0,AS33=0),"",AS33-AR33)</f>
        <v/>
      </c>
      <c r="AU33" s="42">
        <f>IF(OR(AS33="",AR33="",AR33=0,AS33=0),"",AS33/AR33-1)</f>
        <v/>
      </c>
      <c r="AV33" s="43">
        <f>IF(OR(AR33="",AK33="",AK33=0),"",AR33/AK33)</f>
        <v/>
      </c>
      <c r="AW33" s="43">
        <f>IF(OR(AS33="",AL33="",AL33=0),"",AS33/AL33)</f>
        <v/>
      </c>
      <c r="AX33" s="44">
        <f>IF(OR(AW33="",AV33=""),"",(AW33-AV33)*100)</f>
        <v/>
      </c>
      <c r="AY33" s="45">
        <f>IF(OR(AR33="",P33="",P33=0),"",AR33/P33)</f>
        <v/>
      </c>
      <c r="AZ33" s="45">
        <f>IF(OR(AS33="",Q33="",Q33=0),"",AS33/Q33)</f>
        <v/>
      </c>
      <c r="BA33" s="44">
        <f>IF(OR(AZ33="",AY33=""),"",(AZ33-AY33)*100)</f>
        <v/>
      </c>
      <c r="BB33" s="45">
        <f>IF(OR(AR33="",E33="",E33=0),"",AR33/E33)</f>
        <v/>
      </c>
      <c r="BC33" s="45">
        <f>IF(OR(AS33="",F33="",F33=0),"",AS33/F33)</f>
        <v/>
      </c>
      <c r="BD33" s="44">
        <f>IF(OR(BC33="",BB33=""),"",(BC33-BB33)*100)</f>
        <v/>
      </c>
      <c r="BE33" s="40">
        <f>IF(AND(F33&lt;&gt;"",E33&lt;&gt;""),"Both years",IF(F33&lt;&gt;"","1-23Aug26 rows only","1-23Aug25 rows only"))</f>
        <v/>
      </c>
    </row>
    <row r="34">
      <c r="A34" s="56" t="inlineStr">
        <is>
          <t>All landing pages</t>
        </is>
      </c>
      <c r="B34" s="56" t="inlineStr">
        <is>
          <t>Paid Search</t>
        </is>
      </c>
      <c r="C34" s="56" t="inlineStr">
        <is>
          <t>Desktop</t>
        </is>
      </c>
      <c r="D34" s="56" t="inlineStr">
        <is>
          <t>Austria</t>
        </is>
      </c>
      <c r="E34" s="68" t="n">
        <v>1287</v>
      </c>
      <c r="F34" s="68" t="n">
        <v>1484</v>
      </c>
      <c r="G34" s="69">
        <f>IF(OR(F34="",E34="",E34=0,F34=0),"",F34-E34)</f>
        <v/>
      </c>
      <c r="H34" s="42">
        <f>IF(OR(F34="",E34="",E34=0,F34=0),"",F34/E34-1)</f>
        <v/>
      </c>
      <c r="I34" s="70" t="n"/>
      <c r="J34" s="70" t="n"/>
      <c r="K34" s="69">
        <f>IF(OR(J34="",I34="",I34=0,J34=0),"",J34-I34)</f>
        <v/>
      </c>
      <c r="L34" s="42">
        <f>IF(OR(J34="",I34="",I34=0,J34=0),"",J34/I34-1)</f>
        <v/>
      </c>
      <c r="M34" s="43">
        <f>IF(OR(I34="",E34="",E34=0),"",I34/E34)</f>
        <v/>
      </c>
      <c r="N34" s="43">
        <f>IF(OR(J34="",F34="",F34=0),"",J34/F34)</f>
        <v/>
      </c>
      <c r="O34" s="44">
        <f>IF(OR(N34="",M34=""),"",(N34-M34)*100)</f>
        <v/>
      </c>
      <c r="P34" s="68" t="n">
        <v>813</v>
      </c>
      <c r="Q34" s="68" t="n">
        <v>813</v>
      </c>
      <c r="R34" s="69">
        <f>IF(OR(Q34="",P34="",P34=0,Q34=0),"",Q34-P34)</f>
        <v/>
      </c>
      <c r="S34" s="42">
        <f>IF(OR(Q34="",P34="",P34=0,Q34=0),"",Q34/P34-1)</f>
        <v/>
      </c>
      <c r="T34" s="43">
        <f>IF(OR(P34="",E34="",E34=0),"",P34/E34)</f>
        <v/>
      </c>
      <c r="U34" s="43">
        <f>IF(OR(Q34="",F34="",F34=0),"",Q34/F34)</f>
        <v/>
      </c>
      <c r="V34" s="44">
        <f>IF(OR(U34="",T34=""),"",(U34-T34)*100)</f>
        <v/>
      </c>
      <c r="W34" s="70" t="n"/>
      <c r="X34" s="70" t="n"/>
      <c r="Y34" s="69">
        <f>IF(OR(X34="",W34="",W34=0,X34=0),"",X34-W34)</f>
        <v/>
      </c>
      <c r="Z34" s="42">
        <f>IF(OR(X34="",W34="",W34=0,X34=0),"",X34/W34-1)</f>
        <v/>
      </c>
      <c r="AA34" s="43">
        <f>IF(OR(W34="",P34="",P34=0),"",W34/P34)</f>
        <v/>
      </c>
      <c r="AB34" s="43">
        <f>IF(OR(X34="",Q34="",Q34=0),"",X34/Q34)</f>
        <v/>
      </c>
      <c r="AC34" s="44">
        <f>IF(OR(AB34="",AA34=""),"",(AB34-AA34)*100)</f>
        <v/>
      </c>
      <c r="AD34" s="70" t="n"/>
      <c r="AE34" s="70" t="n"/>
      <c r="AF34" s="69">
        <f>IF(OR(AE34="",AD34="",AD34=0,AE34=0),"",AE34-AD34)</f>
        <v/>
      </c>
      <c r="AG34" s="42">
        <f>IF(OR(AE34="",AD34="",AD34=0,AE34=0),"",AE34/AD34-1)</f>
        <v/>
      </c>
      <c r="AH34" s="43">
        <f>IF(OR(AD34="",W34="",W34=0),"",AD34/W34)</f>
        <v/>
      </c>
      <c r="AI34" s="43">
        <f>IF(OR(AE34="",X34="",X34=0),"",AE34/X34)</f>
        <v/>
      </c>
      <c r="AJ34" s="44">
        <f>IF(OR(AI34="",AH34=""),"",(AI34-AH34)*100)</f>
        <v/>
      </c>
      <c r="AK34" s="70" t="n"/>
      <c r="AL34" s="70" t="n"/>
      <c r="AM34" s="69">
        <f>IF(OR(AL34="",AK34="",AK34=0,AL34=0),"",AL34-AK34)</f>
        <v/>
      </c>
      <c r="AN34" s="42">
        <f>IF(OR(AL34="",AK34="",AK34=0,AL34=0),"",AL34/AK34-1)</f>
        <v/>
      </c>
      <c r="AO34" s="43">
        <f>IF(OR(AK34="",AD34="",AD34=0),"",AK34/AD34)</f>
        <v/>
      </c>
      <c r="AP34" s="43">
        <f>IF(OR(AL34="",AE34="",AE34=0),"",AL34/AE34)</f>
        <v/>
      </c>
      <c r="AQ34" s="44">
        <f>IF(OR(AP34="",AO34=""),"",(AP34-AO34)*100)</f>
        <v/>
      </c>
      <c r="AR34" s="70" t="n"/>
      <c r="AS34" s="70" t="n"/>
      <c r="AT34" s="69">
        <f>IF(OR(AS34="",AR34="",AR34=0,AS34=0),"",AS34-AR34)</f>
        <v/>
      </c>
      <c r="AU34" s="42">
        <f>IF(OR(AS34="",AR34="",AR34=0,AS34=0),"",AS34/AR34-1)</f>
        <v/>
      </c>
      <c r="AV34" s="43">
        <f>IF(OR(AR34="",AK34="",AK34=0),"",AR34/AK34)</f>
        <v/>
      </c>
      <c r="AW34" s="43">
        <f>IF(OR(AS34="",AL34="",AL34=0),"",AS34/AL34)</f>
        <v/>
      </c>
      <c r="AX34" s="44">
        <f>IF(OR(AW34="",AV34=""),"",(AW34-AV34)*100)</f>
        <v/>
      </c>
      <c r="AY34" s="45">
        <f>IF(OR(AR34="",P34="",P34=0),"",AR34/P34)</f>
        <v/>
      </c>
      <c r="AZ34" s="45">
        <f>IF(OR(AS34="",Q34="",Q34=0),"",AS34/Q34)</f>
        <v/>
      </c>
      <c r="BA34" s="44">
        <f>IF(OR(AZ34="",AY34=""),"",(AZ34-AY34)*100)</f>
        <v/>
      </c>
      <c r="BB34" s="45">
        <f>IF(OR(AR34="",E34="",E34=0),"",AR34/E34)</f>
        <v/>
      </c>
      <c r="BC34" s="45">
        <f>IF(OR(AS34="",F34="",F34=0),"",AS34/F34)</f>
        <v/>
      </c>
      <c r="BD34" s="44">
        <f>IF(OR(BC34="",BB34=""),"",(BC34-BB34)*100)</f>
        <v/>
      </c>
      <c r="BE34" s="40">
        <f>IF(AND(F34&lt;&gt;"",E34&lt;&gt;""),"Both years",IF(F34&lt;&gt;"","1-23Aug26 rows only","1-23Aug25 rows only"))</f>
        <v/>
      </c>
    </row>
    <row r="35">
      <c r="A35" s="40" t="inlineStr">
        <is>
          <t>All landing pages</t>
        </is>
      </c>
      <c r="B35" s="40" t="inlineStr">
        <is>
          <t>Paid Search</t>
        </is>
      </c>
      <c r="C35" s="40" t="inlineStr">
        <is>
          <t>Desktop</t>
        </is>
      </c>
      <c r="D35" s="40" t="inlineStr">
        <is>
          <t>Switzerland</t>
        </is>
      </c>
      <c r="E35" s="68" t="n">
        <v>1527</v>
      </c>
      <c r="F35" s="70" t="n"/>
      <c r="G35" s="69">
        <f>IF(OR(F35="",E35="",E35=0,F35=0),"",F35-E35)</f>
        <v/>
      </c>
      <c r="H35" s="42">
        <f>IF(OR(F35="",E35="",E35=0,F35=0),"",F35/E35-1)</f>
        <v/>
      </c>
      <c r="I35" s="70" t="n"/>
      <c r="J35" s="70" t="n"/>
      <c r="K35" s="69">
        <f>IF(OR(J35="",I35="",I35=0,J35=0),"",J35-I35)</f>
        <v/>
      </c>
      <c r="L35" s="42">
        <f>IF(OR(J35="",I35="",I35=0,J35=0),"",J35/I35-1)</f>
        <v/>
      </c>
      <c r="M35" s="43">
        <f>IF(OR(I35="",E35="",E35=0),"",I35/E35)</f>
        <v/>
      </c>
      <c r="N35" s="43">
        <f>IF(OR(J35="",F35="",F35=0),"",J35/F35)</f>
        <v/>
      </c>
      <c r="O35" s="44">
        <f>IF(OR(N35="",M35=""),"",(N35-M35)*100)</f>
        <v/>
      </c>
      <c r="P35" s="68" t="n">
        <v>946</v>
      </c>
      <c r="Q35" s="70" t="n"/>
      <c r="R35" s="69">
        <f>IF(OR(Q35="",P35="",P35=0,Q35=0),"",Q35-P35)</f>
        <v/>
      </c>
      <c r="S35" s="42">
        <f>IF(OR(Q35="",P35="",P35=0,Q35=0),"",Q35/P35-1)</f>
        <v/>
      </c>
      <c r="T35" s="43">
        <f>IF(OR(P35="",E35="",E35=0),"",P35/E35)</f>
        <v/>
      </c>
      <c r="U35" s="43">
        <f>IF(OR(Q35="",F35="",F35=0),"",Q35/F35)</f>
        <v/>
      </c>
      <c r="V35" s="44">
        <f>IF(OR(U35="",T35=""),"",(U35-T35)*100)</f>
        <v/>
      </c>
      <c r="W35" s="70" t="n"/>
      <c r="X35" s="70" t="n"/>
      <c r="Y35" s="69">
        <f>IF(OR(X35="",W35="",W35=0,X35=0),"",X35-W35)</f>
        <v/>
      </c>
      <c r="Z35" s="42">
        <f>IF(OR(X35="",W35="",W35=0,X35=0),"",X35/W35-1)</f>
        <v/>
      </c>
      <c r="AA35" s="43">
        <f>IF(OR(W35="",P35="",P35=0),"",W35/P35)</f>
        <v/>
      </c>
      <c r="AB35" s="43">
        <f>IF(OR(X35="",Q35="",Q35=0),"",X35/Q35)</f>
        <v/>
      </c>
      <c r="AC35" s="44">
        <f>IF(OR(AB35="",AA35=""),"",(AB35-AA35)*100)</f>
        <v/>
      </c>
      <c r="AD35" s="70" t="n"/>
      <c r="AE35" s="70" t="n"/>
      <c r="AF35" s="69">
        <f>IF(OR(AE35="",AD35="",AD35=0,AE35=0),"",AE35-AD35)</f>
        <v/>
      </c>
      <c r="AG35" s="42">
        <f>IF(OR(AE35="",AD35="",AD35=0,AE35=0),"",AE35/AD35-1)</f>
        <v/>
      </c>
      <c r="AH35" s="43">
        <f>IF(OR(AD35="",W35="",W35=0),"",AD35/W35)</f>
        <v/>
      </c>
      <c r="AI35" s="43">
        <f>IF(OR(AE35="",X35="",X35=0),"",AE35/X35)</f>
        <v/>
      </c>
      <c r="AJ35" s="44">
        <f>IF(OR(AI35="",AH35=""),"",(AI35-AH35)*100)</f>
        <v/>
      </c>
      <c r="AK35" s="70" t="n"/>
      <c r="AL35" s="70" t="n"/>
      <c r="AM35" s="69">
        <f>IF(OR(AL35="",AK35="",AK35=0,AL35=0),"",AL35-AK35)</f>
        <v/>
      </c>
      <c r="AN35" s="42">
        <f>IF(OR(AL35="",AK35="",AK35=0,AL35=0),"",AL35/AK35-1)</f>
        <v/>
      </c>
      <c r="AO35" s="43">
        <f>IF(OR(AK35="",AD35="",AD35=0),"",AK35/AD35)</f>
        <v/>
      </c>
      <c r="AP35" s="43">
        <f>IF(OR(AL35="",AE35="",AE35=0),"",AL35/AE35)</f>
        <v/>
      </c>
      <c r="AQ35" s="44">
        <f>IF(OR(AP35="",AO35=""),"",(AP35-AO35)*100)</f>
        <v/>
      </c>
      <c r="AR35" s="70" t="n"/>
      <c r="AS35" s="70" t="n"/>
      <c r="AT35" s="69">
        <f>IF(OR(AS35="",AR35="",AR35=0,AS35=0),"",AS35-AR35)</f>
        <v/>
      </c>
      <c r="AU35" s="42">
        <f>IF(OR(AS35="",AR35="",AR35=0,AS35=0),"",AS35/AR35-1)</f>
        <v/>
      </c>
      <c r="AV35" s="43">
        <f>IF(OR(AR35="",AK35="",AK35=0),"",AR35/AK35)</f>
        <v/>
      </c>
      <c r="AW35" s="43">
        <f>IF(OR(AS35="",AL35="",AL35=0),"",AS35/AL35)</f>
        <v/>
      </c>
      <c r="AX35" s="44">
        <f>IF(OR(AW35="",AV35=""),"",(AW35-AV35)*100)</f>
        <v/>
      </c>
      <c r="AY35" s="45">
        <f>IF(OR(AR35="",P35="",P35=0),"",AR35/P35)</f>
        <v/>
      </c>
      <c r="AZ35" s="45">
        <f>IF(OR(AS35="",Q35="",Q35=0),"",AS35/Q35)</f>
        <v/>
      </c>
      <c r="BA35" s="44">
        <f>IF(OR(AZ35="",AY35=""),"",(AZ35-AY35)*100)</f>
        <v/>
      </c>
      <c r="BB35" s="45">
        <f>IF(OR(AR35="",E35="",E35=0),"",AR35/E35)</f>
        <v/>
      </c>
      <c r="BC35" s="45">
        <f>IF(OR(AS35="",F35="",F35=0),"",AS35/F35)</f>
        <v/>
      </c>
      <c r="BD35" s="44">
        <f>IF(OR(BC35="",BB35=""),"",(BC35-BB35)*100)</f>
        <v/>
      </c>
      <c r="BE35" s="40">
        <f>IF(AND(F35&lt;&gt;"",E35&lt;&gt;""),"Both years",IF(F35&lt;&gt;"","1-23Aug26 rows only","1-23Aug25 rows only"))</f>
        <v/>
      </c>
    </row>
    <row r="36">
      <c r="A36" s="56" t="inlineStr">
        <is>
          <t>All landing pages</t>
        </is>
      </c>
      <c r="B36" s="56" t="inlineStr">
        <is>
          <t>Paid Search</t>
        </is>
      </c>
      <c r="C36" s="56" t="inlineStr">
        <is>
          <t>Desktop</t>
        </is>
      </c>
      <c r="D36" s="56" t="inlineStr">
        <is>
          <t>Finland</t>
        </is>
      </c>
      <c r="E36" s="70" t="n"/>
      <c r="F36" s="70" t="n"/>
      <c r="G36" s="69">
        <f>IF(OR(F36="",E36="",E36=0,F36=0),"",F36-E36)</f>
        <v/>
      </c>
      <c r="H36" s="42">
        <f>IF(OR(F36="",E36="",E36=0,F36=0),"",F36/E36-1)</f>
        <v/>
      </c>
      <c r="I36" s="68" t="n">
        <v>641</v>
      </c>
      <c r="J36" s="68" t="n">
        <v>729</v>
      </c>
      <c r="K36" s="69">
        <f>IF(OR(J36="",I36="",I36=0,J36=0),"",J36-I36)</f>
        <v/>
      </c>
      <c r="L36" s="42">
        <f>IF(OR(J36="",I36="",I36=0,J36=0),"",J36/I36-1)</f>
        <v/>
      </c>
      <c r="M36" s="43">
        <f>IF(OR(I36="",E36="",E36=0),"",I36/E36)</f>
        <v/>
      </c>
      <c r="N36" s="43">
        <f>IF(OR(J36="",F36="",F36=0),"",J36/F36)</f>
        <v/>
      </c>
      <c r="O36" s="44">
        <f>IF(OR(N36="",M36=""),"",(N36-M36)*100)</f>
        <v/>
      </c>
      <c r="P36" s="70" t="n"/>
      <c r="Q36" s="70" t="n"/>
      <c r="R36" s="69">
        <f>IF(OR(Q36="",P36="",P36=0,Q36=0),"",Q36-P36)</f>
        <v/>
      </c>
      <c r="S36" s="42">
        <f>IF(OR(Q36="",P36="",P36=0,Q36=0),"",Q36/P36-1)</f>
        <v/>
      </c>
      <c r="T36" s="43">
        <f>IF(OR(P36="",E36="",E36=0),"",P36/E36)</f>
        <v/>
      </c>
      <c r="U36" s="43">
        <f>IF(OR(Q36="",F36="",F36=0),"",Q36/F36)</f>
        <v/>
      </c>
      <c r="V36" s="44">
        <f>IF(OR(U36="",T36=""),"",(U36-T36)*100)</f>
        <v/>
      </c>
      <c r="W36" s="68" t="n">
        <v>173</v>
      </c>
      <c r="X36" s="68" t="n">
        <v>182</v>
      </c>
      <c r="Y36" s="69">
        <f>IF(OR(X36="",W36="",W36=0,X36=0),"",X36-W36)</f>
        <v/>
      </c>
      <c r="Z36" s="42">
        <f>IF(OR(X36="",W36="",W36=0,X36=0),"",X36/W36-1)</f>
        <v/>
      </c>
      <c r="AA36" s="43">
        <f>IF(OR(W36="",P36="",P36=0),"",W36/P36)</f>
        <v/>
      </c>
      <c r="AB36" s="43">
        <f>IF(OR(X36="",Q36="",Q36=0),"",X36/Q36)</f>
        <v/>
      </c>
      <c r="AC36" s="44">
        <f>IF(OR(AB36="",AA36=""),"",(AB36-AA36)*100)</f>
        <v/>
      </c>
      <c r="AD36" s="68" t="n">
        <v>146</v>
      </c>
      <c r="AE36" s="68" t="n">
        <v>136</v>
      </c>
      <c r="AF36" s="69">
        <f>IF(OR(AE36="",AD36="",AD36=0,AE36=0),"",AE36-AD36)</f>
        <v/>
      </c>
      <c r="AG36" s="42">
        <f>IF(OR(AE36="",AD36="",AD36=0,AE36=0),"",AE36/AD36-1)</f>
        <v/>
      </c>
      <c r="AH36" s="43">
        <f>IF(OR(AD36="",W36="",W36=0),"",AD36/W36)</f>
        <v/>
      </c>
      <c r="AI36" s="43">
        <f>IF(OR(AE36="",X36="",X36=0),"",AE36/X36)</f>
        <v/>
      </c>
      <c r="AJ36" s="44">
        <f>IF(OR(AI36="",AH36=""),"",(AI36-AH36)*100)</f>
        <v/>
      </c>
      <c r="AK36" s="68" t="n">
        <v>62</v>
      </c>
      <c r="AL36" s="68" t="n">
        <v>62</v>
      </c>
      <c r="AM36" s="69">
        <f>IF(OR(AL36="",AK36="",AK36=0,AL36=0),"",AL36-AK36)</f>
        <v/>
      </c>
      <c r="AN36" s="42">
        <f>IF(OR(AL36="",AK36="",AK36=0,AL36=0),"",AL36/AK36-1)</f>
        <v/>
      </c>
      <c r="AO36" s="43">
        <f>IF(OR(AK36="",AD36="",AD36=0),"",AK36/AD36)</f>
        <v/>
      </c>
      <c r="AP36" s="43">
        <f>IF(OR(AL36="",AE36="",AE36=0),"",AL36/AE36)</f>
        <v/>
      </c>
      <c r="AQ36" s="44">
        <f>IF(OR(AP36="",AO36=""),"",(AP36-AO36)*100)</f>
        <v/>
      </c>
      <c r="AR36" s="68" t="n">
        <v>51</v>
      </c>
      <c r="AS36" s="68" t="n">
        <v>54</v>
      </c>
      <c r="AT36" s="69">
        <f>IF(OR(AS36="",AR36="",AR36=0,AS36=0),"",AS36-AR36)</f>
        <v/>
      </c>
      <c r="AU36" s="42">
        <f>IF(OR(AS36="",AR36="",AR36=0,AS36=0),"",AS36/AR36-1)</f>
        <v/>
      </c>
      <c r="AV36" s="43">
        <f>IF(OR(AR36="",AK36="",AK36=0),"",AR36/AK36)</f>
        <v/>
      </c>
      <c r="AW36" s="43">
        <f>IF(OR(AS36="",AL36="",AL36=0),"",AS36/AL36)</f>
        <v/>
      </c>
      <c r="AX36" s="44">
        <f>IF(OR(AW36="",AV36=""),"",(AW36-AV36)*100)</f>
        <v/>
      </c>
      <c r="AY36" s="45">
        <f>IF(OR(AR36="",P36="",P36=0),"",AR36/P36)</f>
        <v/>
      </c>
      <c r="AZ36" s="45">
        <f>IF(OR(AS36="",Q36="",Q36=0),"",AS36/Q36)</f>
        <v/>
      </c>
      <c r="BA36" s="44">
        <f>IF(OR(AZ36="",AY36=""),"",(AZ36-AY36)*100)</f>
        <v/>
      </c>
      <c r="BB36" s="45">
        <f>IF(OR(AR36="",E36="",E36=0),"",AR36/E36)</f>
        <v/>
      </c>
      <c r="BC36" s="45">
        <f>IF(OR(AS36="",F36="",F36=0),"",AS36/F36)</f>
        <v/>
      </c>
      <c r="BD36" s="44">
        <f>IF(OR(BC36="",BB36=""),"",(BC36-BB36)*100)</f>
        <v/>
      </c>
      <c r="BE36" s="40">
        <f>IF(AND(F36&lt;&gt;"",E36&lt;&gt;""),"Both years",IF(F36&lt;&gt;"","1-23Aug26 rows only","1-23Aug25 rows only"))</f>
        <v/>
      </c>
    </row>
    <row r="37">
      <c r="A37" s="40" t="inlineStr">
        <is>
          <t>All landing pages</t>
        </is>
      </c>
      <c r="B37" s="40" t="inlineStr">
        <is>
          <t>Organic</t>
        </is>
      </c>
      <c r="C37" s="40" t="inlineStr">
        <is>
          <t>Mobile</t>
        </is>
      </c>
      <c r="D37" s="40" t="inlineStr">
        <is>
          <t>United Kingdom</t>
        </is>
      </c>
      <c r="E37" s="68" t="n">
        <v>12465</v>
      </c>
      <c r="F37" s="68" t="n">
        <v>14612</v>
      </c>
      <c r="G37" s="69">
        <f>IF(OR(F37="",E37="",E37=0,F37=0),"",F37-E37)</f>
        <v/>
      </c>
      <c r="H37" s="42">
        <f>IF(OR(F37="",E37="",E37=0,F37=0),"",F37/E37-1)</f>
        <v/>
      </c>
      <c r="I37" s="68" t="n">
        <v>9168</v>
      </c>
      <c r="J37" s="68" t="n">
        <v>10606</v>
      </c>
      <c r="K37" s="69">
        <f>IF(OR(J37="",I37="",I37=0,J37=0),"",J37-I37)</f>
        <v/>
      </c>
      <c r="L37" s="42">
        <f>IF(OR(J37="",I37="",I37=0,J37=0),"",J37/I37-1)</f>
        <v/>
      </c>
      <c r="M37" s="43">
        <f>IF(OR(I37="",E37="",E37=0),"",I37/E37)</f>
        <v/>
      </c>
      <c r="N37" s="43">
        <f>IF(OR(J37="",F37="",F37=0),"",J37/F37)</f>
        <v/>
      </c>
      <c r="O37" s="44">
        <f>IF(OR(N37="",M37=""),"",(N37-M37)*100)</f>
        <v/>
      </c>
      <c r="P37" s="68" t="n">
        <v>7491</v>
      </c>
      <c r="Q37" s="68" t="n">
        <v>8966</v>
      </c>
      <c r="R37" s="69">
        <f>IF(OR(Q37="",P37="",P37=0,Q37=0),"",Q37-P37)</f>
        <v/>
      </c>
      <c r="S37" s="42">
        <f>IF(OR(Q37="",P37="",P37=0,Q37=0),"",Q37/P37-1)</f>
        <v/>
      </c>
      <c r="T37" s="43">
        <f>IF(OR(P37="",E37="",E37=0),"",P37/E37)</f>
        <v/>
      </c>
      <c r="U37" s="43">
        <f>IF(OR(Q37="",F37="",F37=0),"",Q37/F37)</f>
        <v/>
      </c>
      <c r="V37" s="44">
        <f>IF(OR(U37="",T37=""),"",(U37-T37)*100)</f>
        <v/>
      </c>
      <c r="W37" s="68" t="n">
        <v>1637</v>
      </c>
      <c r="X37" s="68" t="n">
        <v>1742</v>
      </c>
      <c r="Y37" s="69">
        <f>IF(OR(X37="",W37="",W37=0,X37=0),"",X37-W37)</f>
        <v/>
      </c>
      <c r="Z37" s="42">
        <f>IF(OR(X37="",W37="",W37=0,X37=0),"",X37/W37-1)</f>
        <v/>
      </c>
      <c r="AA37" s="43">
        <f>IF(OR(W37="",P37="",P37=0),"",W37/P37)</f>
        <v/>
      </c>
      <c r="AB37" s="43">
        <f>IF(OR(X37="",Q37="",Q37=0),"",X37/Q37)</f>
        <v/>
      </c>
      <c r="AC37" s="44">
        <f>IF(OR(AB37="",AA37=""),"",(AB37-AA37)*100)</f>
        <v/>
      </c>
      <c r="AD37" s="68" t="n">
        <v>1270</v>
      </c>
      <c r="AE37" s="68" t="n">
        <v>1238</v>
      </c>
      <c r="AF37" s="69">
        <f>IF(OR(AE37="",AD37="",AD37=0,AE37=0),"",AE37-AD37)</f>
        <v/>
      </c>
      <c r="AG37" s="42">
        <f>IF(OR(AE37="",AD37="",AD37=0,AE37=0),"",AE37/AD37-1)</f>
        <v/>
      </c>
      <c r="AH37" s="43">
        <f>IF(OR(AD37="",W37="",W37=0),"",AD37/W37)</f>
        <v/>
      </c>
      <c r="AI37" s="43">
        <f>IF(OR(AE37="",X37="",X37=0),"",AE37/X37)</f>
        <v/>
      </c>
      <c r="AJ37" s="44">
        <f>IF(OR(AI37="",AH37=""),"",(AI37-AH37)*100)</f>
        <v/>
      </c>
      <c r="AK37" s="68" t="n">
        <v>543</v>
      </c>
      <c r="AL37" s="68" t="n">
        <v>450</v>
      </c>
      <c r="AM37" s="69">
        <f>IF(OR(AL37="",AK37="",AK37=0,AL37=0),"",AL37-AK37)</f>
        <v/>
      </c>
      <c r="AN37" s="42">
        <f>IF(OR(AL37="",AK37="",AK37=0,AL37=0),"",AL37/AK37-1)</f>
        <v/>
      </c>
      <c r="AO37" s="43">
        <f>IF(OR(AK37="",AD37="",AD37=0),"",AK37/AD37)</f>
        <v/>
      </c>
      <c r="AP37" s="43">
        <f>IF(OR(AL37="",AE37="",AE37=0),"",AL37/AE37)</f>
        <v/>
      </c>
      <c r="AQ37" s="44">
        <f>IF(OR(AP37="",AO37=""),"",(AP37-AO37)*100)</f>
        <v/>
      </c>
      <c r="AR37" s="68" t="n">
        <v>435</v>
      </c>
      <c r="AS37" s="68" t="n">
        <v>338</v>
      </c>
      <c r="AT37" s="69">
        <f>IF(OR(AS37="",AR37="",AR37=0,AS37=0),"",AS37-AR37)</f>
        <v/>
      </c>
      <c r="AU37" s="42">
        <f>IF(OR(AS37="",AR37="",AR37=0,AS37=0),"",AS37/AR37-1)</f>
        <v/>
      </c>
      <c r="AV37" s="43">
        <f>IF(OR(AR37="",AK37="",AK37=0),"",AR37/AK37)</f>
        <v/>
      </c>
      <c r="AW37" s="43">
        <f>IF(OR(AS37="",AL37="",AL37=0),"",AS37/AL37)</f>
        <v/>
      </c>
      <c r="AX37" s="44">
        <f>IF(OR(AW37="",AV37=""),"",(AW37-AV37)*100)</f>
        <v/>
      </c>
      <c r="AY37" s="45">
        <f>IF(OR(AR37="",P37="",P37=0),"",AR37/P37)</f>
        <v/>
      </c>
      <c r="AZ37" s="45">
        <f>IF(OR(AS37="",Q37="",Q37=0),"",AS37/Q37)</f>
        <v/>
      </c>
      <c r="BA37" s="44">
        <f>IF(OR(AZ37="",AY37=""),"",(AZ37-AY37)*100)</f>
        <v/>
      </c>
      <c r="BB37" s="45">
        <f>IF(OR(AR37="",E37="",E37=0),"",AR37/E37)</f>
        <v/>
      </c>
      <c r="BC37" s="45">
        <f>IF(OR(AS37="",F37="",F37=0),"",AS37/F37)</f>
        <v/>
      </c>
      <c r="BD37" s="44">
        <f>IF(OR(BC37="",BB37=""),"",(BC37-BB37)*100)</f>
        <v/>
      </c>
      <c r="BE37" s="40">
        <f>IF(AND(F37&lt;&gt;"",E37&lt;&gt;""),"Both years",IF(F37&lt;&gt;"","1-23Aug26 rows only","1-23Aug25 rows only"))</f>
        <v/>
      </c>
    </row>
    <row r="38">
      <c r="A38" s="56" t="inlineStr">
        <is>
          <t>All landing pages</t>
        </is>
      </c>
      <c r="B38" s="56" t="inlineStr">
        <is>
          <t>Organic</t>
        </is>
      </c>
      <c r="C38" s="56" t="inlineStr">
        <is>
          <t>Mobile</t>
        </is>
      </c>
      <c r="D38" s="56" t="inlineStr">
        <is>
          <t>Germany</t>
        </is>
      </c>
      <c r="E38" s="68" t="n">
        <v>7381</v>
      </c>
      <c r="F38" s="68" t="n">
        <v>7781</v>
      </c>
      <c r="G38" s="69">
        <f>IF(OR(F38="",E38="",E38=0,F38=0),"",F38-E38)</f>
        <v/>
      </c>
      <c r="H38" s="42">
        <f>IF(OR(F38="",E38="",E38=0,F38=0),"",F38/E38-1)</f>
        <v/>
      </c>
      <c r="I38" s="68" t="n">
        <v>5307</v>
      </c>
      <c r="J38" s="68" t="n">
        <v>5547</v>
      </c>
      <c r="K38" s="69">
        <f>IF(OR(J38="",I38="",I38=0,J38=0),"",J38-I38)</f>
        <v/>
      </c>
      <c r="L38" s="42">
        <f>IF(OR(J38="",I38="",I38=0,J38=0),"",J38/I38-1)</f>
        <v/>
      </c>
      <c r="M38" s="43">
        <f>IF(OR(I38="",E38="",E38=0),"",I38/E38)</f>
        <v/>
      </c>
      <c r="N38" s="43">
        <f>IF(OR(J38="",F38="",F38=0),"",J38/F38)</f>
        <v/>
      </c>
      <c r="O38" s="44">
        <f>IF(OR(N38="",M38=""),"",(N38-M38)*100)</f>
        <v/>
      </c>
      <c r="P38" s="68" t="n">
        <v>4267</v>
      </c>
      <c r="Q38" s="68" t="n">
        <v>4601</v>
      </c>
      <c r="R38" s="69">
        <f>IF(OR(Q38="",P38="",P38=0,Q38=0),"",Q38-P38)</f>
        <v/>
      </c>
      <c r="S38" s="42">
        <f>IF(OR(Q38="",P38="",P38=0,Q38=0),"",Q38/P38-1)</f>
        <v/>
      </c>
      <c r="T38" s="43">
        <f>IF(OR(P38="",E38="",E38=0),"",P38/E38)</f>
        <v/>
      </c>
      <c r="U38" s="43">
        <f>IF(OR(Q38="",F38="",F38=0),"",Q38/F38)</f>
        <v/>
      </c>
      <c r="V38" s="44">
        <f>IF(OR(U38="",T38=""),"",(U38-T38)*100)</f>
        <v/>
      </c>
      <c r="W38" s="68" t="n">
        <v>1077</v>
      </c>
      <c r="X38" s="68" t="n">
        <v>1004</v>
      </c>
      <c r="Y38" s="69">
        <f>IF(OR(X38="",W38="",W38=0,X38=0),"",X38-W38)</f>
        <v/>
      </c>
      <c r="Z38" s="42">
        <f>IF(OR(X38="",W38="",W38=0,X38=0),"",X38/W38-1)</f>
        <v/>
      </c>
      <c r="AA38" s="43">
        <f>IF(OR(W38="",P38="",P38=0),"",W38/P38)</f>
        <v/>
      </c>
      <c r="AB38" s="43">
        <f>IF(OR(X38="",Q38="",Q38=0),"",X38/Q38)</f>
        <v/>
      </c>
      <c r="AC38" s="44">
        <f>IF(OR(AB38="",AA38=""),"",(AB38-AA38)*100)</f>
        <v/>
      </c>
      <c r="AD38" s="68" t="n">
        <v>751</v>
      </c>
      <c r="AE38" s="68" t="n">
        <v>657</v>
      </c>
      <c r="AF38" s="69">
        <f>IF(OR(AE38="",AD38="",AD38=0,AE38=0),"",AE38-AD38)</f>
        <v/>
      </c>
      <c r="AG38" s="42">
        <f>IF(OR(AE38="",AD38="",AD38=0,AE38=0),"",AE38/AD38-1)</f>
        <v/>
      </c>
      <c r="AH38" s="43">
        <f>IF(OR(AD38="",W38="",W38=0),"",AD38/W38)</f>
        <v/>
      </c>
      <c r="AI38" s="43">
        <f>IF(OR(AE38="",X38="",X38=0),"",AE38/X38)</f>
        <v/>
      </c>
      <c r="AJ38" s="44">
        <f>IF(OR(AI38="",AH38=""),"",(AI38-AH38)*100)</f>
        <v/>
      </c>
      <c r="AK38" s="68" t="n">
        <v>207</v>
      </c>
      <c r="AL38" s="68" t="n">
        <v>148</v>
      </c>
      <c r="AM38" s="69">
        <f>IF(OR(AL38="",AK38="",AK38=0,AL38=0),"",AL38-AK38)</f>
        <v/>
      </c>
      <c r="AN38" s="42">
        <f>IF(OR(AL38="",AK38="",AK38=0,AL38=0),"",AL38/AK38-1)</f>
        <v/>
      </c>
      <c r="AO38" s="43">
        <f>IF(OR(AK38="",AD38="",AD38=0),"",AK38/AD38)</f>
        <v/>
      </c>
      <c r="AP38" s="43">
        <f>IF(OR(AL38="",AE38="",AE38=0),"",AL38/AE38)</f>
        <v/>
      </c>
      <c r="AQ38" s="44">
        <f>IF(OR(AP38="",AO38=""),"",(AP38-AO38)*100)</f>
        <v/>
      </c>
      <c r="AR38" s="68" t="n">
        <v>173</v>
      </c>
      <c r="AS38" s="68" t="n">
        <v>125</v>
      </c>
      <c r="AT38" s="69">
        <f>IF(OR(AS38="",AR38="",AR38=0,AS38=0),"",AS38-AR38)</f>
        <v/>
      </c>
      <c r="AU38" s="42">
        <f>IF(OR(AS38="",AR38="",AR38=0,AS38=0),"",AS38/AR38-1)</f>
        <v/>
      </c>
      <c r="AV38" s="43">
        <f>IF(OR(AR38="",AK38="",AK38=0),"",AR38/AK38)</f>
        <v/>
      </c>
      <c r="AW38" s="43">
        <f>IF(OR(AS38="",AL38="",AL38=0),"",AS38/AL38)</f>
        <v/>
      </c>
      <c r="AX38" s="44">
        <f>IF(OR(AW38="",AV38=""),"",(AW38-AV38)*100)</f>
        <v/>
      </c>
      <c r="AY38" s="45">
        <f>IF(OR(AR38="",P38="",P38=0),"",AR38/P38)</f>
        <v/>
      </c>
      <c r="AZ38" s="45">
        <f>IF(OR(AS38="",Q38="",Q38=0),"",AS38/Q38)</f>
        <v/>
      </c>
      <c r="BA38" s="44">
        <f>IF(OR(AZ38="",AY38=""),"",(AZ38-AY38)*100)</f>
        <v/>
      </c>
      <c r="BB38" s="45">
        <f>IF(OR(AR38="",E38="",E38=0),"",AR38/E38)</f>
        <v/>
      </c>
      <c r="BC38" s="45">
        <f>IF(OR(AS38="",F38="",F38=0),"",AS38/F38)</f>
        <v/>
      </c>
      <c r="BD38" s="44">
        <f>IF(OR(BC38="",BB38=""),"",(BC38-BB38)*100)</f>
        <v/>
      </c>
      <c r="BE38" s="40">
        <f>IF(AND(F38&lt;&gt;"",E38&lt;&gt;""),"Both years",IF(F38&lt;&gt;"","1-23Aug26 rows only","1-23Aug25 rows only"))</f>
        <v/>
      </c>
    </row>
    <row r="39">
      <c r="A39" s="40" t="inlineStr">
        <is>
          <t>All landing pages</t>
        </is>
      </c>
      <c r="B39" s="40" t="inlineStr">
        <is>
          <t>Organic</t>
        </is>
      </c>
      <c r="C39" s="40" t="inlineStr">
        <is>
          <t>Mobile</t>
        </is>
      </c>
      <c r="D39" s="40" t="inlineStr">
        <is>
          <t>Italy</t>
        </is>
      </c>
      <c r="E39" s="68" t="n">
        <v>3311</v>
      </c>
      <c r="F39" s="68" t="n">
        <v>5451</v>
      </c>
      <c r="G39" s="69">
        <f>IF(OR(F39="",E39="",E39=0,F39=0),"",F39-E39)</f>
        <v/>
      </c>
      <c r="H39" s="42">
        <f>IF(OR(F39="",E39="",E39=0,F39=0),"",F39/E39-1)</f>
        <v/>
      </c>
      <c r="I39" s="68" t="n">
        <v>2315</v>
      </c>
      <c r="J39" s="68" t="n">
        <v>2831</v>
      </c>
      <c r="K39" s="69">
        <f>IF(OR(J39="",I39="",I39=0,J39=0),"",J39-I39)</f>
        <v/>
      </c>
      <c r="L39" s="42">
        <f>IF(OR(J39="",I39="",I39=0,J39=0),"",J39/I39-1)</f>
        <v/>
      </c>
      <c r="M39" s="43">
        <f>IF(OR(I39="",E39="",E39=0),"",I39/E39)</f>
        <v/>
      </c>
      <c r="N39" s="43">
        <f>IF(OR(J39="",F39="",F39=0),"",J39/F39)</f>
        <v/>
      </c>
      <c r="O39" s="44">
        <f>IF(OR(N39="",M39=""),"",(N39-M39)*100)</f>
        <v/>
      </c>
      <c r="P39" s="68" t="n">
        <v>1571</v>
      </c>
      <c r="Q39" s="68" t="n">
        <v>2219</v>
      </c>
      <c r="R39" s="69">
        <f>IF(OR(Q39="",P39="",P39=0,Q39=0),"",Q39-P39)</f>
        <v/>
      </c>
      <c r="S39" s="42">
        <f>IF(OR(Q39="",P39="",P39=0,Q39=0),"",Q39/P39-1)</f>
        <v/>
      </c>
      <c r="T39" s="43">
        <f>IF(OR(P39="",E39="",E39=0),"",P39/E39)</f>
        <v/>
      </c>
      <c r="U39" s="43">
        <f>IF(OR(Q39="",F39="",F39=0),"",Q39/F39)</f>
        <v/>
      </c>
      <c r="V39" s="44">
        <f>IF(OR(U39="",T39=""),"",(U39-T39)*100)</f>
        <v/>
      </c>
      <c r="W39" s="68" t="n">
        <v>293</v>
      </c>
      <c r="X39" s="68" t="n">
        <v>406</v>
      </c>
      <c r="Y39" s="69">
        <f>IF(OR(X39="",W39="",W39=0,X39=0),"",X39-W39)</f>
        <v/>
      </c>
      <c r="Z39" s="42">
        <f>IF(OR(X39="",W39="",W39=0,X39=0),"",X39/W39-1)</f>
        <v/>
      </c>
      <c r="AA39" s="43">
        <f>IF(OR(W39="",P39="",P39=0),"",W39/P39)</f>
        <v/>
      </c>
      <c r="AB39" s="43">
        <f>IF(OR(X39="",Q39="",Q39=0),"",X39/Q39)</f>
        <v/>
      </c>
      <c r="AC39" s="44">
        <f>IF(OR(AB39="",AA39=""),"",(AB39-AA39)*100)</f>
        <v/>
      </c>
      <c r="AD39" s="68" t="n">
        <v>219</v>
      </c>
      <c r="AE39" s="68" t="n">
        <v>321</v>
      </c>
      <c r="AF39" s="69">
        <f>IF(OR(AE39="",AD39="",AD39=0,AE39=0),"",AE39-AD39)</f>
        <v/>
      </c>
      <c r="AG39" s="42">
        <f>IF(OR(AE39="",AD39="",AD39=0,AE39=0),"",AE39/AD39-1)</f>
        <v/>
      </c>
      <c r="AH39" s="43">
        <f>IF(OR(AD39="",W39="",W39=0),"",AD39/W39)</f>
        <v/>
      </c>
      <c r="AI39" s="43">
        <f>IF(OR(AE39="",X39="",X39=0),"",AE39/X39)</f>
        <v/>
      </c>
      <c r="AJ39" s="44">
        <f>IF(OR(AI39="",AH39=""),"",(AI39-AH39)*100)</f>
        <v/>
      </c>
      <c r="AK39" s="68" t="n">
        <v>51</v>
      </c>
      <c r="AL39" s="68" t="n">
        <v>98</v>
      </c>
      <c r="AM39" s="69">
        <f>IF(OR(AL39="",AK39="",AK39=0,AL39=0),"",AL39-AK39)</f>
        <v/>
      </c>
      <c r="AN39" s="42">
        <f>IF(OR(AL39="",AK39="",AK39=0,AL39=0),"",AL39/AK39-1)</f>
        <v/>
      </c>
      <c r="AO39" s="43">
        <f>IF(OR(AK39="",AD39="",AD39=0),"",AK39/AD39)</f>
        <v/>
      </c>
      <c r="AP39" s="43">
        <f>IF(OR(AL39="",AE39="",AE39=0),"",AL39/AE39)</f>
        <v/>
      </c>
      <c r="AQ39" s="44">
        <f>IF(OR(AP39="",AO39=""),"",(AP39-AO39)*100)</f>
        <v/>
      </c>
      <c r="AR39" s="68" t="n">
        <v>36</v>
      </c>
      <c r="AS39" s="68" t="n">
        <v>78</v>
      </c>
      <c r="AT39" s="69">
        <f>IF(OR(AS39="",AR39="",AR39=0,AS39=0),"",AS39-AR39)</f>
        <v/>
      </c>
      <c r="AU39" s="42">
        <f>IF(OR(AS39="",AR39="",AR39=0,AS39=0),"",AS39/AR39-1)</f>
        <v/>
      </c>
      <c r="AV39" s="43">
        <f>IF(OR(AR39="",AK39="",AK39=0),"",AR39/AK39)</f>
        <v/>
      </c>
      <c r="AW39" s="43">
        <f>IF(OR(AS39="",AL39="",AL39=0),"",AS39/AL39)</f>
        <v/>
      </c>
      <c r="AX39" s="44">
        <f>IF(OR(AW39="",AV39=""),"",(AW39-AV39)*100)</f>
        <v/>
      </c>
      <c r="AY39" s="45">
        <f>IF(OR(AR39="",P39="",P39=0),"",AR39/P39)</f>
        <v/>
      </c>
      <c r="AZ39" s="45">
        <f>IF(OR(AS39="",Q39="",Q39=0),"",AS39/Q39)</f>
        <v/>
      </c>
      <c r="BA39" s="44">
        <f>IF(OR(AZ39="",AY39=""),"",(AZ39-AY39)*100)</f>
        <v/>
      </c>
      <c r="BB39" s="45">
        <f>IF(OR(AR39="",E39="",E39=0),"",AR39/E39)</f>
        <v/>
      </c>
      <c r="BC39" s="45">
        <f>IF(OR(AS39="",F39="",F39=0),"",AS39/F39)</f>
        <v/>
      </c>
      <c r="BD39" s="44">
        <f>IF(OR(BC39="",BB39=""),"",(BC39-BB39)*100)</f>
        <v/>
      </c>
      <c r="BE39" s="40">
        <f>IF(AND(F39&lt;&gt;"",E39&lt;&gt;""),"Both years",IF(F39&lt;&gt;"","1-23Aug26 rows only","1-23Aug25 rows only"))</f>
        <v/>
      </c>
    </row>
    <row r="40">
      <c r="A40" s="56" t="inlineStr">
        <is>
          <t>All landing pages</t>
        </is>
      </c>
      <c r="B40" s="56" t="inlineStr">
        <is>
          <t>Organic</t>
        </is>
      </c>
      <c r="C40" s="56" t="inlineStr">
        <is>
          <t>Mobile</t>
        </is>
      </c>
      <c r="D40" s="56" t="inlineStr">
        <is>
          <t>Spain</t>
        </is>
      </c>
      <c r="E40" s="68" t="n">
        <v>2394</v>
      </c>
      <c r="F40" s="68" t="n">
        <v>3152</v>
      </c>
      <c r="G40" s="69">
        <f>IF(OR(F40="",E40="",E40=0,F40=0),"",F40-E40)</f>
        <v/>
      </c>
      <c r="H40" s="42">
        <f>IF(OR(F40="",E40="",E40=0,F40=0),"",F40/E40-1)</f>
        <v/>
      </c>
      <c r="I40" s="68" t="n">
        <v>1594</v>
      </c>
      <c r="J40" s="68" t="n">
        <v>1747</v>
      </c>
      <c r="K40" s="69">
        <f>IF(OR(J40="",I40="",I40=0,J40=0),"",J40-I40)</f>
        <v/>
      </c>
      <c r="L40" s="42">
        <f>IF(OR(J40="",I40="",I40=0,J40=0),"",J40/I40-1)</f>
        <v/>
      </c>
      <c r="M40" s="43">
        <f>IF(OR(I40="",E40="",E40=0),"",I40/E40)</f>
        <v/>
      </c>
      <c r="N40" s="43">
        <f>IF(OR(J40="",F40="",F40=0),"",J40/F40)</f>
        <v/>
      </c>
      <c r="O40" s="44">
        <f>IF(OR(N40="",M40=""),"",(N40-M40)*100)</f>
        <v/>
      </c>
      <c r="P40" s="68" t="n">
        <v>1144</v>
      </c>
      <c r="Q40" s="68" t="n">
        <v>1331</v>
      </c>
      <c r="R40" s="69">
        <f>IF(OR(Q40="",P40="",P40=0,Q40=0),"",Q40-P40)</f>
        <v/>
      </c>
      <c r="S40" s="42">
        <f>IF(OR(Q40="",P40="",P40=0,Q40=0),"",Q40/P40-1)</f>
        <v/>
      </c>
      <c r="T40" s="43">
        <f>IF(OR(P40="",E40="",E40=0),"",P40/E40)</f>
        <v/>
      </c>
      <c r="U40" s="43">
        <f>IF(OR(Q40="",F40="",F40=0),"",Q40/F40)</f>
        <v/>
      </c>
      <c r="V40" s="44">
        <f>IF(OR(U40="",T40=""),"",(U40-T40)*100)</f>
        <v/>
      </c>
      <c r="W40" s="68" t="n">
        <v>247</v>
      </c>
      <c r="X40" s="68" t="n">
        <v>248</v>
      </c>
      <c r="Y40" s="69">
        <f>IF(OR(X40="",W40="",W40=0,X40=0),"",X40-W40)</f>
        <v/>
      </c>
      <c r="Z40" s="42">
        <f>IF(OR(X40="",W40="",W40=0,X40=0),"",X40/W40-1)</f>
        <v/>
      </c>
      <c r="AA40" s="43">
        <f>IF(OR(W40="",P40="",P40=0),"",W40/P40)</f>
        <v/>
      </c>
      <c r="AB40" s="43">
        <f>IF(OR(X40="",Q40="",Q40=0),"",X40/Q40)</f>
        <v/>
      </c>
      <c r="AC40" s="44">
        <f>IF(OR(AB40="",AA40=""),"",(AB40-AA40)*100)</f>
        <v/>
      </c>
      <c r="AD40" s="68" t="n">
        <v>188</v>
      </c>
      <c r="AE40" s="68" t="n">
        <v>193</v>
      </c>
      <c r="AF40" s="69">
        <f>IF(OR(AE40="",AD40="",AD40=0,AE40=0),"",AE40-AD40)</f>
        <v/>
      </c>
      <c r="AG40" s="42">
        <f>IF(OR(AE40="",AD40="",AD40=0,AE40=0),"",AE40/AD40-1)</f>
        <v/>
      </c>
      <c r="AH40" s="43">
        <f>IF(OR(AD40="",W40="",W40=0),"",AD40/W40)</f>
        <v/>
      </c>
      <c r="AI40" s="43">
        <f>IF(OR(AE40="",X40="",X40=0),"",AE40/X40)</f>
        <v/>
      </c>
      <c r="AJ40" s="44">
        <f>IF(OR(AI40="",AH40=""),"",(AI40-AH40)*100)</f>
        <v/>
      </c>
      <c r="AK40" s="68" t="n">
        <v>69</v>
      </c>
      <c r="AL40" s="68" t="n">
        <v>61</v>
      </c>
      <c r="AM40" s="69">
        <f>IF(OR(AL40="",AK40="",AK40=0,AL40=0),"",AL40-AK40)</f>
        <v/>
      </c>
      <c r="AN40" s="42">
        <f>IF(OR(AL40="",AK40="",AK40=0,AL40=0),"",AL40/AK40-1)</f>
        <v/>
      </c>
      <c r="AO40" s="43">
        <f>IF(OR(AK40="",AD40="",AD40=0),"",AK40/AD40)</f>
        <v/>
      </c>
      <c r="AP40" s="43">
        <f>IF(OR(AL40="",AE40="",AE40=0),"",AL40/AE40)</f>
        <v/>
      </c>
      <c r="AQ40" s="44">
        <f>IF(OR(AP40="",AO40=""),"",(AP40-AO40)*100)</f>
        <v/>
      </c>
      <c r="AR40" s="68" t="n">
        <v>51</v>
      </c>
      <c r="AS40" s="68" t="n">
        <v>48</v>
      </c>
      <c r="AT40" s="69">
        <f>IF(OR(AS40="",AR40="",AR40=0,AS40=0),"",AS40-AR40)</f>
        <v/>
      </c>
      <c r="AU40" s="42">
        <f>IF(OR(AS40="",AR40="",AR40=0,AS40=0),"",AS40/AR40-1)</f>
        <v/>
      </c>
      <c r="AV40" s="43">
        <f>IF(OR(AR40="",AK40="",AK40=0),"",AR40/AK40)</f>
        <v/>
      </c>
      <c r="AW40" s="43">
        <f>IF(OR(AS40="",AL40="",AL40=0),"",AS40/AL40)</f>
        <v/>
      </c>
      <c r="AX40" s="44">
        <f>IF(OR(AW40="",AV40=""),"",(AW40-AV40)*100)</f>
        <v/>
      </c>
      <c r="AY40" s="45">
        <f>IF(OR(AR40="",P40="",P40=0),"",AR40/P40)</f>
        <v/>
      </c>
      <c r="AZ40" s="45">
        <f>IF(OR(AS40="",Q40="",Q40=0),"",AS40/Q40)</f>
        <v/>
      </c>
      <c r="BA40" s="44">
        <f>IF(OR(AZ40="",AY40=""),"",(AZ40-AY40)*100)</f>
        <v/>
      </c>
      <c r="BB40" s="45">
        <f>IF(OR(AR40="",E40="",E40=0),"",AR40/E40)</f>
        <v/>
      </c>
      <c r="BC40" s="45">
        <f>IF(OR(AS40="",F40="",F40=0),"",AS40/F40)</f>
        <v/>
      </c>
      <c r="BD40" s="44">
        <f>IF(OR(BC40="",BB40=""),"",(BC40-BB40)*100)</f>
        <v/>
      </c>
      <c r="BE40" s="40">
        <f>IF(AND(F40&lt;&gt;"",E40&lt;&gt;""),"Both years",IF(F40&lt;&gt;"","1-23Aug26 rows only","1-23Aug25 rows only"))</f>
        <v/>
      </c>
    </row>
    <row r="41">
      <c r="A41" s="40" t="inlineStr">
        <is>
          <t>All landing pages</t>
        </is>
      </c>
      <c r="B41" s="40" t="inlineStr">
        <is>
          <t>Organic</t>
        </is>
      </c>
      <c r="C41" s="40" t="inlineStr">
        <is>
          <t>Mobile</t>
        </is>
      </c>
      <c r="D41" s="40" t="inlineStr">
        <is>
          <t>Poland</t>
        </is>
      </c>
      <c r="E41" s="68" t="n">
        <v>2268</v>
      </c>
      <c r="F41" s="68" t="n">
        <v>2316</v>
      </c>
      <c r="G41" s="69">
        <f>IF(OR(F41="",E41="",E41=0,F41=0),"",F41-E41)</f>
        <v/>
      </c>
      <c r="H41" s="42">
        <f>IF(OR(F41="",E41="",E41=0,F41=0),"",F41/E41-1)</f>
        <v/>
      </c>
      <c r="I41" s="70" t="n"/>
      <c r="J41" s="70" t="n"/>
      <c r="K41" s="69">
        <f>IF(OR(J41="",I41="",I41=0,J41=0),"",J41-I41)</f>
        <v/>
      </c>
      <c r="L41" s="42">
        <f>IF(OR(J41="",I41="",I41=0,J41=0),"",J41/I41-1)</f>
        <v/>
      </c>
      <c r="M41" s="43">
        <f>IF(OR(I41="",E41="",E41=0),"",I41/E41)</f>
        <v/>
      </c>
      <c r="N41" s="43">
        <f>IF(OR(J41="",F41="",F41=0),"",J41/F41)</f>
        <v/>
      </c>
      <c r="O41" s="44">
        <f>IF(OR(N41="",M41=""),"",(N41-M41)*100)</f>
        <v/>
      </c>
      <c r="P41" s="68" t="n">
        <v>1292</v>
      </c>
      <c r="Q41" s="68" t="n">
        <v>1368</v>
      </c>
      <c r="R41" s="69">
        <f>IF(OR(Q41="",P41="",P41=0,Q41=0),"",Q41-P41)</f>
        <v/>
      </c>
      <c r="S41" s="42">
        <f>IF(OR(Q41="",P41="",P41=0,Q41=0),"",Q41/P41-1)</f>
        <v/>
      </c>
      <c r="T41" s="43">
        <f>IF(OR(P41="",E41="",E41=0),"",P41/E41)</f>
        <v/>
      </c>
      <c r="U41" s="43">
        <f>IF(OR(Q41="",F41="",F41=0),"",Q41/F41)</f>
        <v/>
      </c>
      <c r="V41" s="44">
        <f>IF(OR(U41="",T41=""),"",(U41-T41)*100)</f>
        <v/>
      </c>
      <c r="W41" s="70" t="n"/>
      <c r="X41" s="70" t="n"/>
      <c r="Y41" s="69">
        <f>IF(OR(X41="",W41="",W41=0,X41=0),"",X41-W41)</f>
        <v/>
      </c>
      <c r="Z41" s="42">
        <f>IF(OR(X41="",W41="",W41=0,X41=0),"",X41/W41-1)</f>
        <v/>
      </c>
      <c r="AA41" s="43">
        <f>IF(OR(W41="",P41="",P41=0),"",W41/P41)</f>
        <v/>
      </c>
      <c r="AB41" s="43">
        <f>IF(OR(X41="",Q41="",Q41=0),"",X41/Q41)</f>
        <v/>
      </c>
      <c r="AC41" s="44">
        <f>IF(OR(AB41="",AA41=""),"",(AB41-AA41)*100)</f>
        <v/>
      </c>
      <c r="AD41" s="70" t="n"/>
      <c r="AE41" s="70" t="n"/>
      <c r="AF41" s="69">
        <f>IF(OR(AE41="",AD41="",AD41=0,AE41=0),"",AE41-AD41)</f>
        <v/>
      </c>
      <c r="AG41" s="42">
        <f>IF(OR(AE41="",AD41="",AD41=0,AE41=0),"",AE41/AD41-1)</f>
        <v/>
      </c>
      <c r="AH41" s="43">
        <f>IF(OR(AD41="",W41="",W41=0),"",AD41/W41)</f>
        <v/>
      </c>
      <c r="AI41" s="43">
        <f>IF(OR(AE41="",X41="",X41=0),"",AE41/X41)</f>
        <v/>
      </c>
      <c r="AJ41" s="44">
        <f>IF(OR(AI41="",AH41=""),"",(AI41-AH41)*100)</f>
        <v/>
      </c>
      <c r="AK41" s="70" t="n"/>
      <c r="AL41" s="70" t="n"/>
      <c r="AM41" s="69">
        <f>IF(OR(AL41="",AK41="",AK41=0,AL41=0),"",AL41-AK41)</f>
        <v/>
      </c>
      <c r="AN41" s="42">
        <f>IF(OR(AL41="",AK41="",AK41=0,AL41=0),"",AL41/AK41-1)</f>
        <v/>
      </c>
      <c r="AO41" s="43">
        <f>IF(OR(AK41="",AD41="",AD41=0),"",AK41/AD41)</f>
        <v/>
      </c>
      <c r="AP41" s="43">
        <f>IF(OR(AL41="",AE41="",AE41=0),"",AL41/AE41)</f>
        <v/>
      </c>
      <c r="AQ41" s="44">
        <f>IF(OR(AP41="",AO41=""),"",(AP41-AO41)*100)</f>
        <v/>
      </c>
      <c r="AR41" s="70" t="n"/>
      <c r="AS41" s="70" t="n"/>
      <c r="AT41" s="69">
        <f>IF(OR(AS41="",AR41="",AR41=0,AS41=0),"",AS41-AR41)</f>
        <v/>
      </c>
      <c r="AU41" s="42">
        <f>IF(OR(AS41="",AR41="",AR41=0,AS41=0),"",AS41/AR41-1)</f>
        <v/>
      </c>
      <c r="AV41" s="43">
        <f>IF(OR(AR41="",AK41="",AK41=0),"",AR41/AK41)</f>
        <v/>
      </c>
      <c r="AW41" s="43">
        <f>IF(OR(AS41="",AL41="",AL41=0),"",AS41/AL41)</f>
        <v/>
      </c>
      <c r="AX41" s="44">
        <f>IF(OR(AW41="",AV41=""),"",(AW41-AV41)*100)</f>
        <v/>
      </c>
      <c r="AY41" s="45">
        <f>IF(OR(AR41="",P41="",P41=0),"",AR41/P41)</f>
        <v/>
      </c>
      <c r="AZ41" s="45">
        <f>IF(OR(AS41="",Q41="",Q41=0),"",AS41/Q41)</f>
        <v/>
      </c>
      <c r="BA41" s="44">
        <f>IF(OR(AZ41="",AY41=""),"",(AZ41-AY41)*100)</f>
        <v/>
      </c>
      <c r="BB41" s="45">
        <f>IF(OR(AR41="",E41="",E41=0),"",AR41/E41)</f>
        <v/>
      </c>
      <c r="BC41" s="45">
        <f>IF(OR(AS41="",F41="",F41=0),"",AS41/F41)</f>
        <v/>
      </c>
      <c r="BD41" s="44">
        <f>IF(OR(BC41="",BB41=""),"",(BC41-BB41)*100)</f>
        <v/>
      </c>
      <c r="BE41" s="40">
        <f>IF(AND(F41&lt;&gt;"",E41&lt;&gt;""),"Both years",IF(F41&lt;&gt;"","1-23Aug26 rows only","1-23Aug25 rows only"))</f>
        <v/>
      </c>
    </row>
    <row r="42">
      <c r="A42" s="56" t="inlineStr">
        <is>
          <t>All landing pages</t>
        </is>
      </c>
      <c r="B42" s="56" t="inlineStr">
        <is>
          <t>Organic</t>
        </is>
      </c>
      <c r="C42" s="56" t="inlineStr">
        <is>
          <t>Mobile</t>
        </is>
      </c>
      <c r="D42" s="56" t="inlineStr">
        <is>
          <t>Ireland</t>
        </is>
      </c>
      <c r="E42" s="68" t="n">
        <v>1563</v>
      </c>
      <c r="F42" s="68" t="n">
        <v>1751</v>
      </c>
      <c r="G42" s="69">
        <f>IF(OR(F42="",E42="",E42=0,F42=0),"",F42-E42)</f>
        <v/>
      </c>
      <c r="H42" s="42">
        <f>IF(OR(F42="",E42="",E42=0,F42=0),"",F42/E42-1)</f>
        <v/>
      </c>
      <c r="I42" s="68" t="n">
        <v>1198</v>
      </c>
      <c r="J42" s="68" t="n">
        <v>1327</v>
      </c>
      <c r="K42" s="69">
        <f>IF(OR(J42="",I42="",I42=0,J42=0),"",J42-I42)</f>
        <v/>
      </c>
      <c r="L42" s="42">
        <f>IF(OR(J42="",I42="",I42=0,J42=0),"",J42/I42-1)</f>
        <v/>
      </c>
      <c r="M42" s="43">
        <f>IF(OR(I42="",E42="",E42=0),"",I42/E42)</f>
        <v/>
      </c>
      <c r="N42" s="43">
        <f>IF(OR(J42="",F42="",F42=0),"",J42/F42)</f>
        <v/>
      </c>
      <c r="O42" s="44">
        <f>IF(OR(N42="",M42=""),"",(N42-M42)*100)</f>
        <v/>
      </c>
      <c r="P42" s="68" t="n">
        <v>992</v>
      </c>
      <c r="Q42" s="68" t="n">
        <v>1103</v>
      </c>
      <c r="R42" s="69">
        <f>IF(OR(Q42="",P42="",P42=0,Q42=0),"",Q42-P42)</f>
        <v/>
      </c>
      <c r="S42" s="42">
        <f>IF(OR(Q42="",P42="",P42=0,Q42=0),"",Q42/P42-1)</f>
        <v/>
      </c>
      <c r="T42" s="43">
        <f>IF(OR(P42="",E42="",E42=0),"",P42/E42)</f>
        <v/>
      </c>
      <c r="U42" s="43">
        <f>IF(OR(Q42="",F42="",F42=0),"",Q42/F42)</f>
        <v/>
      </c>
      <c r="V42" s="44">
        <f>IF(OR(U42="",T42=""),"",(U42-T42)*100)</f>
        <v/>
      </c>
      <c r="W42" s="68" t="n">
        <v>213</v>
      </c>
      <c r="X42" s="68" t="n">
        <v>216</v>
      </c>
      <c r="Y42" s="69">
        <f>IF(OR(X42="",W42="",W42=0,X42=0),"",X42-W42)</f>
        <v/>
      </c>
      <c r="Z42" s="42">
        <f>IF(OR(X42="",W42="",W42=0,X42=0),"",X42/W42-1)</f>
        <v/>
      </c>
      <c r="AA42" s="43">
        <f>IF(OR(W42="",P42="",P42=0),"",W42/P42)</f>
        <v/>
      </c>
      <c r="AB42" s="43">
        <f>IF(OR(X42="",Q42="",Q42=0),"",X42/Q42)</f>
        <v/>
      </c>
      <c r="AC42" s="44">
        <f>IF(OR(AB42="",AA42=""),"",(AB42-AA42)*100)</f>
        <v/>
      </c>
      <c r="AD42" s="68" t="n">
        <v>163</v>
      </c>
      <c r="AE42" s="68" t="n">
        <v>157</v>
      </c>
      <c r="AF42" s="69">
        <f>IF(OR(AE42="",AD42="",AD42=0,AE42=0),"",AE42-AD42)</f>
        <v/>
      </c>
      <c r="AG42" s="42">
        <f>IF(OR(AE42="",AD42="",AD42=0,AE42=0),"",AE42/AD42-1)</f>
        <v/>
      </c>
      <c r="AH42" s="43">
        <f>IF(OR(AD42="",W42="",W42=0),"",AD42/W42)</f>
        <v/>
      </c>
      <c r="AI42" s="43">
        <f>IF(OR(AE42="",X42="",X42=0),"",AE42/X42)</f>
        <v/>
      </c>
      <c r="AJ42" s="44">
        <f>IF(OR(AI42="",AH42=""),"",(AI42-AH42)*100)</f>
        <v/>
      </c>
      <c r="AK42" s="68" t="n">
        <v>79</v>
      </c>
      <c r="AL42" s="68" t="n">
        <v>60</v>
      </c>
      <c r="AM42" s="69">
        <f>IF(OR(AL42="",AK42="",AK42=0,AL42=0),"",AL42-AK42)</f>
        <v/>
      </c>
      <c r="AN42" s="42">
        <f>IF(OR(AL42="",AK42="",AK42=0,AL42=0),"",AL42/AK42-1)</f>
        <v/>
      </c>
      <c r="AO42" s="43">
        <f>IF(OR(AK42="",AD42="",AD42=0),"",AK42/AD42)</f>
        <v/>
      </c>
      <c r="AP42" s="43">
        <f>IF(OR(AL42="",AE42="",AE42=0),"",AL42/AE42)</f>
        <v/>
      </c>
      <c r="AQ42" s="44">
        <f>IF(OR(AP42="",AO42=""),"",(AP42-AO42)*100)</f>
        <v/>
      </c>
      <c r="AR42" s="68" t="n">
        <v>71</v>
      </c>
      <c r="AS42" s="68" t="n">
        <v>50</v>
      </c>
      <c r="AT42" s="69">
        <f>IF(OR(AS42="",AR42="",AR42=0,AS42=0),"",AS42-AR42)</f>
        <v/>
      </c>
      <c r="AU42" s="42">
        <f>IF(OR(AS42="",AR42="",AR42=0,AS42=0),"",AS42/AR42-1)</f>
        <v/>
      </c>
      <c r="AV42" s="43">
        <f>IF(OR(AR42="",AK42="",AK42=0),"",AR42/AK42)</f>
        <v/>
      </c>
      <c r="AW42" s="43">
        <f>IF(OR(AS42="",AL42="",AL42=0),"",AS42/AL42)</f>
        <v/>
      </c>
      <c r="AX42" s="44">
        <f>IF(OR(AW42="",AV42=""),"",(AW42-AV42)*100)</f>
        <v/>
      </c>
      <c r="AY42" s="45">
        <f>IF(OR(AR42="",P42="",P42=0),"",AR42/P42)</f>
        <v/>
      </c>
      <c r="AZ42" s="45">
        <f>IF(OR(AS42="",Q42="",Q42=0),"",AS42/Q42)</f>
        <v/>
      </c>
      <c r="BA42" s="44">
        <f>IF(OR(AZ42="",AY42=""),"",(AZ42-AY42)*100)</f>
        <v/>
      </c>
      <c r="BB42" s="45">
        <f>IF(OR(AR42="",E42="",E42=0),"",AR42/E42)</f>
        <v/>
      </c>
      <c r="BC42" s="45">
        <f>IF(OR(AS42="",F42="",F42=0),"",AS42/F42)</f>
        <v/>
      </c>
      <c r="BD42" s="44">
        <f>IF(OR(BC42="",BB42=""),"",(BC42-BB42)*100)</f>
        <v/>
      </c>
      <c r="BE42" s="40">
        <f>IF(AND(F42&lt;&gt;"",E42&lt;&gt;""),"Both years",IF(F42&lt;&gt;"","1-23Aug26 rows only","1-23Aug25 rows only"))</f>
        <v/>
      </c>
    </row>
    <row r="43">
      <c r="A43" s="40" t="inlineStr">
        <is>
          <t>All landing pages</t>
        </is>
      </c>
      <c r="B43" s="40" t="inlineStr">
        <is>
          <t>Organic</t>
        </is>
      </c>
      <c r="C43" s="40" t="inlineStr">
        <is>
          <t>Mobile</t>
        </is>
      </c>
      <c r="D43" s="40" t="inlineStr">
        <is>
          <t>United States</t>
        </is>
      </c>
      <c r="E43" s="68" t="n">
        <v>1427</v>
      </c>
      <c r="F43" s="68" t="n">
        <v>1729</v>
      </c>
      <c r="G43" s="69">
        <f>IF(OR(F43="",E43="",E43=0,F43=0),"",F43-E43)</f>
        <v/>
      </c>
      <c r="H43" s="42">
        <f>IF(OR(F43="",E43="",E43=0,F43=0),"",F43/E43-1)</f>
        <v/>
      </c>
      <c r="I43" s="68" t="n">
        <v>837</v>
      </c>
      <c r="J43" s="68" t="n">
        <v>1004</v>
      </c>
      <c r="K43" s="69">
        <f>IF(OR(J43="",I43="",I43=0,J43=0),"",J43-I43)</f>
        <v/>
      </c>
      <c r="L43" s="42">
        <f>IF(OR(J43="",I43="",I43=0,J43=0),"",J43/I43-1)</f>
        <v/>
      </c>
      <c r="M43" s="43">
        <f>IF(OR(I43="",E43="",E43=0),"",I43/E43)</f>
        <v/>
      </c>
      <c r="N43" s="43">
        <f>IF(OR(J43="",F43="",F43=0),"",J43/F43)</f>
        <v/>
      </c>
      <c r="O43" s="44">
        <f>IF(OR(N43="",M43=""),"",(N43-M43)*100)</f>
        <v/>
      </c>
      <c r="P43" s="68" t="n">
        <v>546</v>
      </c>
      <c r="Q43" s="68" t="n">
        <v>760</v>
      </c>
      <c r="R43" s="69">
        <f>IF(OR(Q43="",P43="",P43=0,Q43=0),"",Q43-P43)</f>
        <v/>
      </c>
      <c r="S43" s="42">
        <f>IF(OR(Q43="",P43="",P43=0,Q43=0),"",Q43/P43-1)</f>
        <v/>
      </c>
      <c r="T43" s="43">
        <f>IF(OR(P43="",E43="",E43=0),"",P43/E43)</f>
        <v/>
      </c>
      <c r="U43" s="43">
        <f>IF(OR(Q43="",F43="",F43=0),"",Q43/F43)</f>
        <v/>
      </c>
      <c r="V43" s="44">
        <f>IF(OR(U43="",T43=""),"",(U43-T43)*100)</f>
        <v/>
      </c>
      <c r="W43" s="68" t="n">
        <v>120</v>
      </c>
      <c r="X43" s="68" t="n">
        <v>183</v>
      </c>
      <c r="Y43" s="69">
        <f>IF(OR(X43="",W43="",W43=0,X43=0),"",X43-W43)</f>
        <v/>
      </c>
      <c r="Z43" s="42">
        <f>IF(OR(X43="",W43="",W43=0,X43=0),"",X43/W43-1)</f>
        <v/>
      </c>
      <c r="AA43" s="43">
        <f>IF(OR(W43="",P43="",P43=0),"",W43/P43)</f>
        <v/>
      </c>
      <c r="AB43" s="43">
        <f>IF(OR(X43="",Q43="",Q43=0),"",X43/Q43)</f>
        <v/>
      </c>
      <c r="AC43" s="44">
        <f>IF(OR(AB43="",AA43=""),"",(AB43-AA43)*100)</f>
        <v/>
      </c>
      <c r="AD43" s="68" t="n">
        <v>106</v>
      </c>
      <c r="AE43" s="68" t="n">
        <v>150</v>
      </c>
      <c r="AF43" s="69">
        <f>IF(OR(AE43="",AD43="",AD43=0,AE43=0),"",AE43-AD43)</f>
        <v/>
      </c>
      <c r="AG43" s="42">
        <f>IF(OR(AE43="",AD43="",AD43=0,AE43=0),"",AE43/AD43-1)</f>
        <v/>
      </c>
      <c r="AH43" s="43">
        <f>IF(OR(AD43="",W43="",W43=0),"",AD43/W43)</f>
        <v/>
      </c>
      <c r="AI43" s="43">
        <f>IF(OR(AE43="",X43="",X43=0),"",AE43/X43)</f>
        <v/>
      </c>
      <c r="AJ43" s="44">
        <f>IF(OR(AI43="",AH43=""),"",(AI43-AH43)*100)</f>
        <v/>
      </c>
      <c r="AK43" s="68" t="n">
        <v>29</v>
      </c>
      <c r="AL43" s="68" t="n">
        <v>40</v>
      </c>
      <c r="AM43" s="69">
        <f>IF(OR(AL43="",AK43="",AK43=0,AL43=0),"",AL43-AK43)</f>
        <v/>
      </c>
      <c r="AN43" s="42">
        <f>IF(OR(AL43="",AK43="",AK43=0,AL43=0),"",AL43/AK43-1)</f>
        <v/>
      </c>
      <c r="AO43" s="43">
        <f>IF(OR(AK43="",AD43="",AD43=0),"",AK43/AD43)</f>
        <v/>
      </c>
      <c r="AP43" s="43">
        <f>IF(OR(AL43="",AE43="",AE43=0),"",AL43/AE43)</f>
        <v/>
      </c>
      <c r="AQ43" s="44">
        <f>IF(OR(AP43="",AO43=""),"",(AP43-AO43)*100)</f>
        <v/>
      </c>
      <c r="AR43" s="68" t="n">
        <v>24</v>
      </c>
      <c r="AS43" s="68" t="n">
        <v>36</v>
      </c>
      <c r="AT43" s="69">
        <f>IF(OR(AS43="",AR43="",AR43=0,AS43=0),"",AS43-AR43)</f>
        <v/>
      </c>
      <c r="AU43" s="42">
        <f>IF(OR(AS43="",AR43="",AR43=0,AS43=0),"",AS43/AR43-1)</f>
        <v/>
      </c>
      <c r="AV43" s="43">
        <f>IF(OR(AR43="",AK43="",AK43=0),"",AR43/AK43)</f>
        <v/>
      </c>
      <c r="AW43" s="43">
        <f>IF(OR(AS43="",AL43="",AL43=0),"",AS43/AL43)</f>
        <v/>
      </c>
      <c r="AX43" s="44">
        <f>IF(OR(AW43="",AV43=""),"",(AW43-AV43)*100)</f>
        <v/>
      </c>
      <c r="AY43" s="45">
        <f>IF(OR(AR43="",P43="",P43=0),"",AR43/P43)</f>
        <v/>
      </c>
      <c r="AZ43" s="45">
        <f>IF(OR(AS43="",Q43="",Q43=0),"",AS43/Q43)</f>
        <v/>
      </c>
      <c r="BA43" s="44">
        <f>IF(OR(AZ43="",AY43=""),"",(AZ43-AY43)*100)</f>
        <v/>
      </c>
      <c r="BB43" s="45">
        <f>IF(OR(AR43="",E43="",E43=0),"",AR43/E43)</f>
        <v/>
      </c>
      <c r="BC43" s="45">
        <f>IF(OR(AS43="",F43="",F43=0),"",AS43/F43)</f>
        <v/>
      </c>
      <c r="BD43" s="44">
        <f>IF(OR(BC43="",BB43=""),"",(BC43-BB43)*100)</f>
        <v/>
      </c>
      <c r="BE43" s="40">
        <f>IF(AND(F43&lt;&gt;"",E43&lt;&gt;""),"Both years",IF(F43&lt;&gt;"","1-23Aug26 rows only","1-23Aug25 rows only"))</f>
        <v/>
      </c>
    </row>
    <row r="44">
      <c r="A44" s="56" t="inlineStr">
        <is>
          <t>All landing pages</t>
        </is>
      </c>
      <c r="B44" s="56" t="inlineStr">
        <is>
          <t>Organic</t>
        </is>
      </c>
      <c r="C44" s="56" t="inlineStr">
        <is>
          <t>Mobile</t>
        </is>
      </c>
      <c r="D44" s="56" t="inlineStr">
        <is>
          <t>Netherlands</t>
        </is>
      </c>
      <c r="E44" s="68" t="n">
        <v>1865</v>
      </c>
      <c r="F44" s="68" t="n">
        <v>1721</v>
      </c>
      <c r="G44" s="69">
        <f>IF(OR(F44="",E44="",E44=0,F44=0),"",F44-E44)</f>
        <v/>
      </c>
      <c r="H44" s="42">
        <f>IF(OR(F44="",E44="",E44=0,F44=0),"",F44/E44-1)</f>
        <v/>
      </c>
      <c r="I44" s="68" t="n">
        <v>1226</v>
      </c>
      <c r="J44" s="68" t="n">
        <v>1121</v>
      </c>
      <c r="K44" s="69">
        <f>IF(OR(J44="",I44="",I44=0,J44=0),"",J44-I44)</f>
        <v/>
      </c>
      <c r="L44" s="42">
        <f>IF(OR(J44="",I44="",I44=0,J44=0),"",J44/I44-1)</f>
        <v/>
      </c>
      <c r="M44" s="43">
        <f>IF(OR(I44="",E44="",E44=0),"",I44/E44)</f>
        <v/>
      </c>
      <c r="N44" s="43">
        <f>IF(OR(J44="",F44="",F44=0),"",J44/F44)</f>
        <v/>
      </c>
      <c r="O44" s="44">
        <f>IF(OR(N44="",M44=""),"",(N44-M44)*100)</f>
        <v/>
      </c>
      <c r="P44" s="68" t="n">
        <v>991</v>
      </c>
      <c r="Q44" s="68" t="n">
        <v>927</v>
      </c>
      <c r="R44" s="69">
        <f>IF(OR(Q44="",P44="",P44=0,Q44=0),"",Q44-P44)</f>
        <v/>
      </c>
      <c r="S44" s="42">
        <f>IF(OR(Q44="",P44="",P44=0,Q44=0),"",Q44/P44-1)</f>
        <v/>
      </c>
      <c r="T44" s="43">
        <f>IF(OR(P44="",E44="",E44=0),"",P44/E44)</f>
        <v/>
      </c>
      <c r="U44" s="43">
        <f>IF(OR(Q44="",F44="",F44=0),"",Q44/F44)</f>
        <v/>
      </c>
      <c r="V44" s="44">
        <f>IF(OR(U44="",T44=""),"",(U44-T44)*100)</f>
        <v/>
      </c>
      <c r="W44" s="68" t="n">
        <v>208</v>
      </c>
      <c r="X44" s="68" t="n">
        <v>198</v>
      </c>
      <c r="Y44" s="69">
        <f>IF(OR(X44="",W44="",W44=0,X44=0),"",X44-W44)</f>
        <v/>
      </c>
      <c r="Z44" s="42">
        <f>IF(OR(X44="",W44="",W44=0,X44=0),"",X44/W44-1)</f>
        <v/>
      </c>
      <c r="AA44" s="43">
        <f>IF(OR(W44="",P44="",P44=0),"",W44/P44)</f>
        <v/>
      </c>
      <c r="AB44" s="43">
        <f>IF(OR(X44="",Q44="",Q44=0),"",X44/Q44)</f>
        <v/>
      </c>
      <c r="AC44" s="44">
        <f>IF(OR(AB44="",AA44=""),"",(AB44-AA44)*100)</f>
        <v/>
      </c>
      <c r="AD44" s="68" t="n">
        <v>144</v>
      </c>
      <c r="AE44" s="68" t="n">
        <v>150</v>
      </c>
      <c r="AF44" s="69">
        <f>IF(OR(AE44="",AD44="",AD44=0,AE44=0),"",AE44-AD44)</f>
        <v/>
      </c>
      <c r="AG44" s="42">
        <f>IF(OR(AE44="",AD44="",AD44=0,AE44=0),"",AE44/AD44-1)</f>
        <v/>
      </c>
      <c r="AH44" s="43">
        <f>IF(OR(AD44="",W44="",W44=0),"",AD44/W44)</f>
        <v/>
      </c>
      <c r="AI44" s="43">
        <f>IF(OR(AE44="",X44="",X44=0),"",AE44/X44)</f>
        <v/>
      </c>
      <c r="AJ44" s="44">
        <f>IF(OR(AI44="",AH44=""),"",(AI44-AH44)*100)</f>
        <v/>
      </c>
      <c r="AK44" s="68" t="n">
        <v>51</v>
      </c>
      <c r="AL44" s="68" t="n">
        <v>44</v>
      </c>
      <c r="AM44" s="69">
        <f>IF(OR(AL44="",AK44="",AK44=0,AL44=0),"",AL44-AK44)</f>
        <v/>
      </c>
      <c r="AN44" s="42">
        <f>IF(OR(AL44="",AK44="",AK44=0,AL44=0),"",AL44/AK44-1)</f>
        <v/>
      </c>
      <c r="AO44" s="43">
        <f>IF(OR(AK44="",AD44="",AD44=0),"",AK44/AD44)</f>
        <v/>
      </c>
      <c r="AP44" s="43">
        <f>IF(OR(AL44="",AE44="",AE44=0),"",AL44/AE44)</f>
        <v/>
      </c>
      <c r="AQ44" s="44">
        <f>IF(OR(AP44="",AO44=""),"",(AP44-AO44)*100)</f>
        <v/>
      </c>
      <c r="AR44" s="68" t="n">
        <v>17</v>
      </c>
      <c r="AS44" s="68" t="n">
        <v>9</v>
      </c>
      <c r="AT44" s="69">
        <f>IF(OR(AS44="",AR44="",AR44=0,AS44=0),"",AS44-AR44)</f>
        <v/>
      </c>
      <c r="AU44" s="42">
        <f>IF(OR(AS44="",AR44="",AR44=0,AS44=0),"",AS44/AR44-1)</f>
        <v/>
      </c>
      <c r="AV44" s="43">
        <f>IF(OR(AR44="",AK44="",AK44=0),"",AR44/AK44)</f>
        <v/>
      </c>
      <c r="AW44" s="43">
        <f>IF(OR(AS44="",AL44="",AL44=0),"",AS44/AL44)</f>
        <v/>
      </c>
      <c r="AX44" s="44">
        <f>IF(OR(AW44="",AV44=""),"",(AW44-AV44)*100)</f>
        <v/>
      </c>
      <c r="AY44" s="45">
        <f>IF(OR(AR44="",P44="",P44=0),"",AR44/P44)</f>
        <v/>
      </c>
      <c r="AZ44" s="45">
        <f>IF(OR(AS44="",Q44="",Q44=0),"",AS44/Q44)</f>
        <v/>
      </c>
      <c r="BA44" s="44">
        <f>IF(OR(AZ44="",AY44=""),"",(AZ44-AY44)*100)</f>
        <v/>
      </c>
      <c r="BB44" s="45">
        <f>IF(OR(AR44="",E44="",E44=0),"",AR44/E44)</f>
        <v/>
      </c>
      <c r="BC44" s="45">
        <f>IF(OR(AS44="",F44="",F44=0),"",AS44/F44)</f>
        <v/>
      </c>
      <c r="BD44" s="44">
        <f>IF(OR(BC44="",BB44=""),"",(BC44-BB44)*100)</f>
        <v/>
      </c>
      <c r="BE44" s="40">
        <f>IF(AND(F44&lt;&gt;"",E44&lt;&gt;""),"Both years",IF(F44&lt;&gt;"","1-23Aug26 rows only","1-23Aug25 rows only"))</f>
        <v/>
      </c>
    </row>
    <row r="45">
      <c r="A45" s="40" t="inlineStr">
        <is>
          <t>All landing pages</t>
        </is>
      </c>
      <c r="B45" s="40" t="inlineStr">
        <is>
          <t>Organic</t>
        </is>
      </c>
      <c r="C45" s="40" t="inlineStr">
        <is>
          <t>Mobile</t>
        </is>
      </c>
      <c r="D45" s="40" t="inlineStr">
        <is>
          <t>Belgium</t>
        </is>
      </c>
      <c r="E45" s="68" t="n">
        <v>785</v>
      </c>
      <c r="F45" s="68" t="n">
        <v>1671</v>
      </c>
      <c r="G45" s="69">
        <f>IF(OR(F45="",E45="",E45=0,F45=0),"",F45-E45)</f>
        <v/>
      </c>
      <c r="H45" s="42">
        <f>IF(OR(F45="",E45="",E45=0,F45=0),"",F45/E45-1)</f>
        <v/>
      </c>
      <c r="I45" s="68" t="n">
        <v>556</v>
      </c>
      <c r="J45" s="68" t="n">
        <v>1102</v>
      </c>
      <c r="K45" s="69">
        <f>IF(OR(J45="",I45="",I45=0,J45=0),"",J45-I45)</f>
        <v/>
      </c>
      <c r="L45" s="42">
        <f>IF(OR(J45="",I45="",I45=0,J45=0),"",J45/I45-1)</f>
        <v/>
      </c>
      <c r="M45" s="43">
        <f>IF(OR(I45="",E45="",E45=0),"",I45/E45)</f>
        <v/>
      </c>
      <c r="N45" s="43">
        <f>IF(OR(J45="",F45="",F45=0),"",J45/F45)</f>
        <v/>
      </c>
      <c r="O45" s="44">
        <f>IF(OR(N45="",M45=""),"",(N45-M45)*100)</f>
        <v/>
      </c>
      <c r="P45" s="70" t="n"/>
      <c r="Q45" s="68" t="n">
        <v>892</v>
      </c>
      <c r="R45" s="69">
        <f>IF(OR(Q45="",P45="",P45=0,Q45=0),"",Q45-P45)</f>
        <v/>
      </c>
      <c r="S45" s="42">
        <f>IF(OR(Q45="",P45="",P45=0,Q45=0),"",Q45/P45-1)</f>
        <v/>
      </c>
      <c r="T45" s="43">
        <f>IF(OR(P45="",E45="",E45=0),"",P45/E45)</f>
        <v/>
      </c>
      <c r="U45" s="43">
        <f>IF(OR(Q45="",F45="",F45=0),"",Q45/F45)</f>
        <v/>
      </c>
      <c r="V45" s="44">
        <f>IF(OR(U45="",T45=""),"",(U45-T45)*100)</f>
        <v/>
      </c>
      <c r="W45" s="68" t="n">
        <v>76</v>
      </c>
      <c r="X45" s="68" t="n">
        <v>204</v>
      </c>
      <c r="Y45" s="69">
        <f>IF(OR(X45="",W45="",W45=0,X45=0),"",X45-W45)</f>
        <v/>
      </c>
      <c r="Z45" s="42">
        <f>IF(OR(X45="",W45="",W45=0,X45=0),"",X45/W45-1)</f>
        <v/>
      </c>
      <c r="AA45" s="43">
        <f>IF(OR(W45="",P45="",P45=0),"",W45/P45)</f>
        <v/>
      </c>
      <c r="AB45" s="43">
        <f>IF(OR(X45="",Q45="",Q45=0),"",X45/Q45)</f>
        <v/>
      </c>
      <c r="AC45" s="44">
        <f>IF(OR(AB45="",AA45=""),"",(AB45-AA45)*100)</f>
        <v/>
      </c>
      <c r="AD45" s="68" t="n">
        <v>60</v>
      </c>
      <c r="AE45" s="68" t="n">
        <v>149</v>
      </c>
      <c r="AF45" s="69">
        <f>IF(OR(AE45="",AD45="",AD45=0,AE45=0),"",AE45-AD45)</f>
        <v/>
      </c>
      <c r="AG45" s="42">
        <f>IF(OR(AE45="",AD45="",AD45=0,AE45=0),"",AE45/AD45-1)</f>
        <v/>
      </c>
      <c r="AH45" s="43">
        <f>IF(OR(AD45="",W45="",W45=0),"",AD45/W45)</f>
        <v/>
      </c>
      <c r="AI45" s="43">
        <f>IF(OR(AE45="",X45="",X45=0),"",AE45/X45)</f>
        <v/>
      </c>
      <c r="AJ45" s="44">
        <f>IF(OR(AI45="",AH45=""),"",(AI45-AH45)*100)</f>
        <v/>
      </c>
      <c r="AK45" s="68" t="n">
        <v>16</v>
      </c>
      <c r="AL45" s="68" t="n">
        <v>49</v>
      </c>
      <c r="AM45" s="69">
        <f>IF(OR(AL45="",AK45="",AK45=0,AL45=0),"",AL45-AK45)</f>
        <v/>
      </c>
      <c r="AN45" s="42">
        <f>IF(OR(AL45="",AK45="",AK45=0,AL45=0),"",AL45/AK45-1)</f>
        <v/>
      </c>
      <c r="AO45" s="43">
        <f>IF(OR(AK45="",AD45="",AD45=0),"",AK45/AD45)</f>
        <v/>
      </c>
      <c r="AP45" s="43">
        <f>IF(OR(AL45="",AE45="",AE45=0),"",AL45/AE45)</f>
        <v/>
      </c>
      <c r="AQ45" s="44">
        <f>IF(OR(AP45="",AO45=""),"",(AP45-AO45)*100)</f>
        <v/>
      </c>
      <c r="AR45" s="68" t="n">
        <v>9</v>
      </c>
      <c r="AS45" s="68" t="n">
        <v>36</v>
      </c>
      <c r="AT45" s="69">
        <f>IF(OR(AS45="",AR45="",AR45=0,AS45=0),"",AS45-AR45)</f>
        <v/>
      </c>
      <c r="AU45" s="42">
        <f>IF(OR(AS45="",AR45="",AR45=0,AS45=0),"",AS45/AR45-1)</f>
        <v/>
      </c>
      <c r="AV45" s="43">
        <f>IF(OR(AR45="",AK45="",AK45=0),"",AR45/AK45)</f>
        <v/>
      </c>
      <c r="AW45" s="43">
        <f>IF(OR(AS45="",AL45="",AL45=0),"",AS45/AL45)</f>
        <v/>
      </c>
      <c r="AX45" s="44">
        <f>IF(OR(AW45="",AV45=""),"",(AW45-AV45)*100)</f>
        <v/>
      </c>
      <c r="AY45" s="45">
        <f>IF(OR(AR45="",P45="",P45=0),"",AR45/P45)</f>
        <v/>
      </c>
      <c r="AZ45" s="45">
        <f>IF(OR(AS45="",Q45="",Q45=0),"",AS45/Q45)</f>
        <v/>
      </c>
      <c r="BA45" s="44">
        <f>IF(OR(AZ45="",AY45=""),"",(AZ45-AY45)*100)</f>
        <v/>
      </c>
      <c r="BB45" s="45">
        <f>IF(OR(AR45="",E45="",E45=0),"",AR45/E45)</f>
        <v/>
      </c>
      <c r="BC45" s="45">
        <f>IF(OR(AS45="",F45="",F45=0),"",AS45/F45)</f>
        <v/>
      </c>
      <c r="BD45" s="44">
        <f>IF(OR(BC45="",BB45=""),"",(BC45-BB45)*100)</f>
        <v/>
      </c>
      <c r="BE45" s="40">
        <f>IF(AND(F45&lt;&gt;"",E45&lt;&gt;""),"Both years",IF(F45&lt;&gt;"","1-23Aug26 rows only","1-23Aug25 rows only"))</f>
        <v/>
      </c>
    </row>
    <row r="46">
      <c r="A46" s="56" t="inlineStr">
        <is>
          <t>All landing pages</t>
        </is>
      </c>
      <c r="B46" s="56" t="inlineStr">
        <is>
          <t>Organic</t>
        </is>
      </c>
      <c r="C46" s="56" t="inlineStr">
        <is>
          <t>Mobile</t>
        </is>
      </c>
      <c r="D46" s="56" t="inlineStr">
        <is>
          <t>France</t>
        </is>
      </c>
      <c r="E46" s="68" t="n">
        <v>2352</v>
      </c>
      <c r="F46" s="68" t="n">
        <v>1501</v>
      </c>
      <c r="G46" s="69">
        <f>IF(OR(F46="",E46="",E46=0,F46=0),"",F46-E46)</f>
        <v/>
      </c>
      <c r="H46" s="42">
        <f>IF(OR(F46="",E46="",E46=0,F46=0),"",F46/E46-1)</f>
        <v/>
      </c>
      <c r="I46" s="68" t="n">
        <v>1662</v>
      </c>
      <c r="J46" s="68" t="n">
        <v>960</v>
      </c>
      <c r="K46" s="69">
        <f>IF(OR(J46="",I46="",I46=0,J46=0),"",J46-I46)</f>
        <v/>
      </c>
      <c r="L46" s="42">
        <f>IF(OR(J46="",I46="",I46=0,J46=0),"",J46/I46-1)</f>
        <v/>
      </c>
      <c r="M46" s="43">
        <f>IF(OR(I46="",E46="",E46=0),"",I46/E46)</f>
        <v/>
      </c>
      <c r="N46" s="43">
        <f>IF(OR(J46="",F46="",F46=0),"",J46/F46)</f>
        <v/>
      </c>
      <c r="O46" s="44">
        <f>IF(OR(N46="",M46=""),"",(N46-M46)*100)</f>
        <v/>
      </c>
      <c r="P46" s="68" t="n">
        <v>1173</v>
      </c>
      <c r="Q46" s="68" t="n">
        <v>719</v>
      </c>
      <c r="R46" s="69">
        <f>IF(OR(Q46="",P46="",P46=0,Q46=0),"",Q46-P46)</f>
        <v/>
      </c>
      <c r="S46" s="42">
        <f>IF(OR(Q46="",P46="",P46=0,Q46=0),"",Q46/P46-1)</f>
        <v/>
      </c>
      <c r="T46" s="43">
        <f>IF(OR(P46="",E46="",E46=0),"",P46/E46)</f>
        <v/>
      </c>
      <c r="U46" s="43">
        <f>IF(OR(Q46="",F46="",F46=0),"",Q46/F46)</f>
        <v/>
      </c>
      <c r="V46" s="44">
        <f>IF(OR(U46="",T46=""),"",(U46-T46)*100)</f>
        <v/>
      </c>
      <c r="W46" s="68" t="n">
        <v>321</v>
      </c>
      <c r="X46" s="68" t="n">
        <v>165</v>
      </c>
      <c r="Y46" s="69">
        <f>IF(OR(X46="",W46="",W46=0,X46=0),"",X46-W46)</f>
        <v/>
      </c>
      <c r="Z46" s="42">
        <f>IF(OR(X46="",W46="",W46=0,X46=0),"",X46/W46-1)</f>
        <v/>
      </c>
      <c r="AA46" s="43">
        <f>IF(OR(W46="",P46="",P46=0),"",W46/P46)</f>
        <v/>
      </c>
      <c r="AB46" s="43">
        <f>IF(OR(X46="",Q46="",Q46=0),"",X46/Q46)</f>
        <v/>
      </c>
      <c r="AC46" s="44">
        <f>IF(OR(AB46="",AA46=""),"",(AB46-AA46)*100)</f>
        <v/>
      </c>
      <c r="AD46" s="68" t="n">
        <v>228</v>
      </c>
      <c r="AE46" s="68" t="n">
        <v>133</v>
      </c>
      <c r="AF46" s="69">
        <f>IF(OR(AE46="",AD46="",AD46=0,AE46=0),"",AE46-AD46)</f>
        <v/>
      </c>
      <c r="AG46" s="42">
        <f>IF(OR(AE46="",AD46="",AD46=0,AE46=0),"",AE46/AD46-1)</f>
        <v/>
      </c>
      <c r="AH46" s="43">
        <f>IF(OR(AD46="",W46="",W46=0),"",AD46/W46)</f>
        <v/>
      </c>
      <c r="AI46" s="43">
        <f>IF(OR(AE46="",X46="",X46=0),"",AE46/X46)</f>
        <v/>
      </c>
      <c r="AJ46" s="44">
        <f>IF(OR(AI46="",AH46=""),"",(AI46-AH46)*100)</f>
        <v/>
      </c>
      <c r="AK46" s="68" t="n">
        <v>82</v>
      </c>
      <c r="AL46" s="68" t="n">
        <v>34</v>
      </c>
      <c r="AM46" s="69">
        <f>IF(OR(AL46="",AK46="",AK46=0,AL46=0),"",AL46-AK46)</f>
        <v/>
      </c>
      <c r="AN46" s="42">
        <f>IF(OR(AL46="",AK46="",AK46=0,AL46=0),"",AL46/AK46-1)</f>
        <v/>
      </c>
      <c r="AO46" s="43">
        <f>IF(OR(AK46="",AD46="",AD46=0),"",AK46/AD46)</f>
        <v/>
      </c>
      <c r="AP46" s="43">
        <f>IF(OR(AL46="",AE46="",AE46=0),"",AL46/AE46)</f>
        <v/>
      </c>
      <c r="AQ46" s="44">
        <f>IF(OR(AP46="",AO46=""),"",(AP46-AO46)*100)</f>
        <v/>
      </c>
      <c r="AR46" s="68" t="n">
        <v>57</v>
      </c>
      <c r="AS46" s="68" t="n">
        <v>29</v>
      </c>
      <c r="AT46" s="69">
        <f>IF(OR(AS46="",AR46="",AR46=0,AS46=0),"",AS46-AR46)</f>
        <v/>
      </c>
      <c r="AU46" s="42">
        <f>IF(OR(AS46="",AR46="",AR46=0,AS46=0),"",AS46/AR46-1)</f>
        <v/>
      </c>
      <c r="AV46" s="43">
        <f>IF(OR(AR46="",AK46="",AK46=0),"",AR46/AK46)</f>
        <v/>
      </c>
      <c r="AW46" s="43">
        <f>IF(OR(AS46="",AL46="",AL46=0),"",AS46/AL46)</f>
        <v/>
      </c>
      <c r="AX46" s="44">
        <f>IF(OR(AW46="",AV46=""),"",(AW46-AV46)*100)</f>
        <v/>
      </c>
      <c r="AY46" s="45">
        <f>IF(OR(AR46="",P46="",P46=0),"",AR46/P46)</f>
        <v/>
      </c>
      <c r="AZ46" s="45">
        <f>IF(OR(AS46="",Q46="",Q46=0),"",AS46/Q46)</f>
        <v/>
      </c>
      <c r="BA46" s="44">
        <f>IF(OR(AZ46="",AY46=""),"",(AZ46-AY46)*100)</f>
        <v/>
      </c>
      <c r="BB46" s="45">
        <f>IF(OR(AR46="",E46="",E46=0),"",AR46/E46)</f>
        <v/>
      </c>
      <c r="BC46" s="45">
        <f>IF(OR(AS46="",F46="",F46=0),"",AS46/F46)</f>
        <v/>
      </c>
      <c r="BD46" s="44">
        <f>IF(OR(BC46="",BB46=""),"",(BC46-BB46)*100)</f>
        <v/>
      </c>
      <c r="BE46" s="40">
        <f>IF(AND(F46&lt;&gt;"",E46&lt;&gt;""),"Both years",IF(F46&lt;&gt;"","1-23Aug26 rows only","1-23Aug25 rows only"))</f>
        <v/>
      </c>
    </row>
    <row r="47">
      <c r="A47" s="40" t="inlineStr">
        <is>
          <t>All landing pages</t>
        </is>
      </c>
      <c r="B47" s="40" t="inlineStr">
        <is>
          <t>Organic</t>
        </is>
      </c>
      <c r="C47" s="40" t="inlineStr">
        <is>
          <t>Mobile</t>
        </is>
      </c>
      <c r="D47" s="40" t="inlineStr">
        <is>
          <t>Sweden</t>
        </is>
      </c>
      <c r="E47" s="68" t="n">
        <v>1160</v>
      </c>
      <c r="F47" s="68" t="n">
        <v>1334</v>
      </c>
      <c r="G47" s="69">
        <f>IF(OR(F47="",E47="",E47=0,F47=0),"",F47-E47)</f>
        <v/>
      </c>
      <c r="H47" s="42">
        <f>IF(OR(F47="",E47="",E47=0,F47=0),"",F47/E47-1)</f>
        <v/>
      </c>
      <c r="I47" s="68" t="n">
        <v>846</v>
      </c>
      <c r="J47" s="68" t="n">
        <v>906</v>
      </c>
      <c r="K47" s="69">
        <f>IF(OR(J47="",I47="",I47=0,J47=0),"",J47-I47)</f>
        <v/>
      </c>
      <c r="L47" s="42">
        <f>IF(OR(J47="",I47="",I47=0,J47=0),"",J47/I47-1)</f>
        <v/>
      </c>
      <c r="M47" s="43">
        <f>IF(OR(I47="",E47="",E47=0),"",I47/E47)</f>
        <v/>
      </c>
      <c r="N47" s="43">
        <f>IF(OR(J47="",F47="",F47=0),"",J47/F47)</f>
        <v/>
      </c>
      <c r="O47" s="44">
        <f>IF(OR(N47="",M47=""),"",(N47-M47)*100)</f>
        <v/>
      </c>
      <c r="P47" s="68" t="n">
        <v>698</v>
      </c>
      <c r="Q47" s="68" t="n">
        <v>779</v>
      </c>
      <c r="R47" s="69">
        <f>IF(OR(Q47="",P47="",P47=0,Q47=0),"",Q47-P47)</f>
        <v/>
      </c>
      <c r="S47" s="42">
        <f>IF(OR(Q47="",P47="",P47=0,Q47=0),"",Q47/P47-1)</f>
        <v/>
      </c>
      <c r="T47" s="43">
        <f>IF(OR(P47="",E47="",E47=0),"",P47/E47)</f>
        <v/>
      </c>
      <c r="U47" s="43">
        <f>IF(OR(Q47="",F47="",F47=0),"",Q47/F47)</f>
        <v/>
      </c>
      <c r="V47" s="44">
        <f>IF(OR(U47="",T47=""),"",(U47-T47)*100)</f>
        <v/>
      </c>
      <c r="W47" s="68" t="n">
        <v>137</v>
      </c>
      <c r="X47" s="68" t="n">
        <v>142</v>
      </c>
      <c r="Y47" s="69">
        <f>IF(OR(X47="",W47="",W47=0,X47=0),"",X47-W47)</f>
        <v/>
      </c>
      <c r="Z47" s="42">
        <f>IF(OR(X47="",W47="",W47=0,X47=0),"",X47/W47-1)</f>
        <v/>
      </c>
      <c r="AA47" s="43">
        <f>IF(OR(W47="",P47="",P47=0),"",W47/P47)</f>
        <v/>
      </c>
      <c r="AB47" s="43">
        <f>IF(OR(X47="",Q47="",Q47=0),"",X47/Q47)</f>
        <v/>
      </c>
      <c r="AC47" s="44">
        <f>IF(OR(AB47="",AA47=""),"",(AB47-AA47)*100)</f>
        <v/>
      </c>
      <c r="AD47" s="68" t="n">
        <v>99</v>
      </c>
      <c r="AE47" s="68" t="n">
        <v>91</v>
      </c>
      <c r="AF47" s="69">
        <f>IF(OR(AE47="",AD47="",AD47=0,AE47=0),"",AE47-AD47)</f>
        <v/>
      </c>
      <c r="AG47" s="42">
        <f>IF(OR(AE47="",AD47="",AD47=0,AE47=0),"",AE47/AD47-1)</f>
        <v/>
      </c>
      <c r="AH47" s="43">
        <f>IF(OR(AD47="",W47="",W47=0),"",AD47/W47)</f>
        <v/>
      </c>
      <c r="AI47" s="43">
        <f>IF(OR(AE47="",X47="",X47=0),"",AE47/X47)</f>
        <v/>
      </c>
      <c r="AJ47" s="44">
        <f>IF(OR(AI47="",AH47=""),"",(AI47-AH47)*100)</f>
        <v/>
      </c>
      <c r="AK47" s="68" t="n">
        <v>30</v>
      </c>
      <c r="AL47" s="68" t="n">
        <v>20</v>
      </c>
      <c r="AM47" s="69">
        <f>IF(OR(AL47="",AK47="",AK47=0,AL47=0),"",AL47-AK47)</f>
        <v/>
      </c>
      <c r="AN47" s="42">
        <f>IF(OR(AL47="",AK47="",AK47=0,AL47=0),"",AL47/AK47-1)</f>
        <v/>
      </c>
      <c r="AO47" s="43">
        <f>IF(OR(AK47="",AD47="",AD47=0),"",AK47/AD47)</f>
        <v/>
      </c>
      <c r="AP47" s="43">
        <f>IF(OR(AL47="",AE47="",AE47=0),"",AL47/AE47)</f>
        <v/>
      </c>
      <c r="AQ47" s="44">
        <f>IF(OR(AP47="",AO47=""),"",(AP47-AO47)*100)</f>
        <v/>
      </c>
      <c r="AR47" s="68" t="n">
        <v>23</v>
      </c>
      <c r="AS47" s="68" t="n">
        <v>16</v>
      </c>
      <c r="AT47" s="69">
        <f>IF(OR(AS47="",AR47="",AR47=0,AS47=0),"",AS47-AR47)</f>
        <v/>
      </c>
      <c r="AU47" s="42">
        <f>IF(OR(AS47="",AR47="",AR47=0,AS47=0),"",AS47/AR47-1)</f>
        <v/>
      </c>
      <c r="AV47" s="43">
        <f>IF(OR(AR47="",AK47="",AK47=0),"",AR47/AK47)</f>
        <v/>
      </c>
      <c r="AW47" s="43">
        <f>IF(OR(AS47="",AL47="",AL47=0),"",AS47/AL47)</f>
        <v/>
      </c>
      <c r="AX47" s="44">
        <f>IF(OR(AW47="",AV47=""),"",(AW47-AV47)*100)</f>
        <v/>
      </c>
      <c r="AY47" s="45">
        <f>IF(OR(AR47="",P47="",P47=0),"",AR47/P47)</f>
        <v/>
      </c>
      <c r="AZ47" s="45">
        <f>IF(OR(AS47="",Q47="",Q47=0),"",AS47/Q47)</f>
        <v/>
      </c>
      <c r="BA47" s="44">
        <f>IF(OR(AZ47="",AY47=""),"",(AZ47-AY47)*100)</f>
        <v/>
      </c>
      <c r="BB47" s="45">
        <f>IF(OR(AR47="",E47="",E47=0),"",AR47/E47)</f>
        <v/>
      </c>
      <c r="BC47" s="45">
        <f>IF(OR(AS47="",F47="",F47=0),"",AS47/F47)</f>
        <v/>
      </c>
      <c r="BD47" s="44">
        <f>IF(OR(BC47="",BB47=""),"",(BC47-BB47)*100)</f>
        <v/>
      </c>
      <c r="BE47" s="40">
        <f>IF(AND(F47&lt;&gt;"",E47&lt;&gt;""),"Both years",IF(F47&lt;&gt;"","1-23Aug26 rows only","1-23Aug25 rows only"))</f>
        <v/>
      </c>
    </row>
    <row r="48">
      <c r="A48" s="56" t="inlineStr">
        <is>
          <t>All landing pages</t>
        </is>
      </c>
      <c r="B48" s="56" t="inlineStr">
        <is>
          <t>Organic</t>
        </is>
      </c>
      <c r="C48" s="56" t="inlineStr">
        <is>
          <t>Mobile</t>
        </is>
      </c>
      <c r="D48" s="56" t="inlineStr">
        <is>
          <t>Türkiye</t>
        </is>
      </c>
      <c r="E48" s="68" t="n">
        <v>870</v>
      </c>
      <c r="F48" s="68" t="n">
        <v>962</v>
      </c>
      <c r="G48" s="69">
        <f>IF(OR(F48="",E48="",E48=0,F48=0),"",F48-E48)</f>
        <v/>
      </c>
      <c r="H48" s="42">
        <f>IF(OR(F48="",E48="",E48=0,F48=0),"",F48/E48-1)</f>
        <v/>
      </c>
      <c r="I48" s="70" t="n"/>
      <c r="J48" s="70" t="n"/>
      <c r="K48" s="69">
        <f>IF(OR(J48="",I48="",I48=0,J48=0),"",J48-I48)</f>
        <v/>
      </c>
      <c r="L48" s="42">
        <f>IF(OR(J48="",I48="",I48=0,J48=0),"",J48/I48-1)</f>
        <v/>
      </c>
      <c r="M48" s="43">
        <f>IF(OR(I48="",E48="",E48=0),"",I48/E48)</f>
        <v/>
      </c>
      <c r="N48" s="43">
        <f>IF(OR(J48="",F48="",F48=0),"",J48/F48)</f>
        <v/>
      </c>
      <c r="O48" s="44">
        <f>IF(OR(N48="",M48=""),"",(N48-M48)*100)</f>
        <v/>
      </c>
      <c r="P48" s="70" t="n"/>
      <c r="Q48" s="68" t="n">
        <v>492</v>
      </c>
      <c r="R48" s="69">
        <f>IF(OR(Q48="",P48="",P48=0,Q48=0),"",Q48-P48)</f>
        <v/>
      </c>
      <c r="S48" s="42">
        <f>IF(OR(Q48="",P48="",P48=0,Q48=0),"",Q48/P48-1)</f>
        <v/>
      </c>
      <c r="T48" s="43">
        <f>IF(OR(P48="",E48="",E48=0),"",P48/E48)</f>
        <v/>
      </c>
      <c r="U48" s="43">
        <f>IF(OR(Q48="",F48="",F48=0),"",Q48/F48)</f>
        <v/>
      </c>
      <c r="V48" s="44">
        <f>IF(OR(U48="",T48=""),"",(U48-T48)*100)</f>
        <v/>
      </c>
      <c r="W48" s="70" t="n"/>
      <c r="X48" s="70" t="n"/>
      <c r="Y48" s="69">
        <f>IF(OR(X48="",W48="",W48=0,X48=0),"",X48-W48)</f>
        <v/>
      </c>
      <c r="Z48" s="42">
        <f>IF(OR(X48="",W48="",W48=0,X48=0),"",X48/W48-1)</f>
        <v/>
      </c>
      <c r="AA48" s="43">
        <f>IF(OR(W48="",P48="",P48=0),"",W48/P48)</f>
        <v/>
      </c>
      <c r="AB48" s="43">
        <f>IF(OR(X48="",Q48="",Q48=0),"",X48/Q48)</f>
        <v/>
      </c>
      <c r="AC48" s="44">
        <f>IF(OR(AB48="",AA48=""),"",(AB48-AA48)*100)</f>
        <v/>
      </c>
      <c r="AD48" s="70" t="n"/>
      <c r="AE48" s="70" t="n"/>
      <c r="AF48" s="69">
        <f>IF(OR(AE48="",AD48="",AD48=0,AE48=0),"",AE48-AD48)</f>
        <v/>
      </c>
      <c r="AG48" s="42">
        <f>IF(OR(AE48="",AD48="",AD48=0,AE48=0),"",AE48/AD48-1)</f>
        <v/>
      </c>
      <c r="AH48" s="43">
        <f>IF(OR(AD48="",W48="",W48=0),"",AD48/W48)</f>
        <v/>
      </c>
      <c r="AI48" s="43">
        <f>IF(OR(AE48="",X48="",X48=0),"",AE48/X48)</f>
        <v/>
      </c>
      <c r="AJ48" s="44">
        <f>IF(OR(AI48="",AH48=""),"",(AI48-AH48)*100)</f>
        <v/>
      </c>
      <c r="AK48" s="70" t="n"/>
      <c r="AL48" s="70" t="n"/>
      <c r="AM48" s="69">
        <f>IF(OR(AL48="",AK48="",AK48=0,AL48=0),"",AL48-AK48)</f>
        <v/>
      </c>
      <c r="AN48" s="42">
        <f>IF(OR(AL48="",AK48="",AK48=0,AL48=0),"",AL48/AK48-1)</f>
        <v/>
      </c>
      <c r="AO48" s="43">
        <f>IF(OR(AK48="",AD48="",AD48=0),"",AK48/AD48)</f>
        <v/>
      </c>
      <c r="AP48" s="43">
        <f>IF(OR(AL48="",AE48="",AE48=0),"",AL48/AE48)</f>
        <v/>
      </c>
      <c r="AQ48" s="44">
        <f>IF(OR(AP48="",AO48=""),"",(AP48-AO48)*100)</f>
        <v/>
      </c>
      <c r="AR48" s="70" t="n"/>
      <c r="AS48" s="70" t="n"/>
      <c r="AT48" s="69">
        <f>IF(OR(AS48="",AR48="",AR48=0,AS48=0),"",AS48-AR48)</f>
        <v/>
      </c>
      <c r="AU48" s="42">
        <f>IF(OR(AS48="",AR48="",AR48=0,AS48=0),"",AS48/AR48-1)</f>
        <v/>
      </c>
      <c r="AV48" s="43">
        <f>IF(OR(AR48="",AK48="",AK48=0),"",AR48/AK48)</f>
        <v/>
      </c>
      <c r="AW48" s="43">
        <f>IF(OR(AS48="",AL48="",AL48=0),"",AS48/AL48)</f>
        <v/>
      </c>
      <c r="AX48" s="44">
        <f>IF(OR(AW48="",AV48=""),"",(AW48-AV48)*100)</f>
        <v/>
      </c>
      <c r="AY48" s="45">
        <f>IF(OR(AR48="",P48="",P48=0),"",AR48/P48)</f>
        <v/>
      </c>
      <c r="AZ48" s="45">
        <f>IF(OR(AS48="",Q48="",Q48=0),"",AS48/Q48)</f>
        <v/>
      </c>
      <c r="BA48" s="44">
        <f>IF(OR(AZ48="",AY48=""),"",(AZ48-AY48)*100)</f>
        <v/>
      </c>
      <c r="BB48" s="45">
        <f>IF(OR(AR48="",E48="",E48=0),"",AR48/E48)</f>
        <v/>
      </c>
      <c r="BC48" s="45">
        <f>IF(OR(AS48="",F48="",F48=0),"",AS48/F48)</f>
        <v/>
      </c>
      <c r="BD48" s="44">
        <f>IF(OR(BC48="",BB48=""),"",(BC48-BB48)*100)</f>
        <v/>
      </c>
      <c r="BE48" s="40">
        <f>IF(AND(F48&lt;&gt;"",E48&lt;&gt;""),"Both years",IF(F48&lt;&gt;"","1-23Aug26 rows only","1-23Aug25 rows only"))</f>
        <v/>
      </c>
    </row>
    <row r="49">
      <c r="A49" s="40" t="inlineStr">
        <is>
          <t>All landing pages</t>
        </is>
      </c>
      <c r="B49" s="40" t="inlineStr">
        <is>
          <t>Organic</t>
        </is>
      </c>
      <c r="C49" s="40" t="inlineStr">
        <is>
          <t>Mobile</t>
        </is>
      </c>
      <c r="D49" s="40" t="inlineStr">
        <is>
          <t>Portugal</t>
        </is>
      </c>
      <c r="E49" s="70" t="n"/>
      <c r="F49" s="68" t="n">
        <v>754</v>
      </c>
      <c r="G49" s="69">
        <f>IF(OR(F49="",E49="",E49=0,F49=0),"",F49-E49)</f>
        <v/>
      </c>
      <c r="H49" s="42">
        <f>IF(OR(F49="",E49="",E49=0,F49=0),"",F49/E49-1)</f>
        <v/>
      </c>
      <c r="I49" s="70" t="n"/>
      <c r="J49" s="70" t="n"/>
      <c r="K49" s="69">
        <f>IF(OR(J49="",I49="",I49=0,J49=0),"",J49-I49)</f>
        <v/>
      </c>
      <c r="L49" s="42">
        <f>IF(OR(J49="",I49="",I49=0,J49=0),"",J49/I49-1)</f>
        <v/>
      </c>
      <c r="M49" s="43">
        <f>IF(OR(I49="",E49="",E49=0),"",I49/E49)</f>
        <v/>
      </c>
      <c r="N49" s="43">
        <f>IF(OR(J49="",F49="",F49=0),"",J49/F49)</f>
        <v/>
      </c>
      <c r="O49" s="44">
        <f>IF(OR(N49="",M49=""),"",(N49-M49)*100)</f>
        <v/>
      </c>
      <c r="P49" s="70" t="n"/>
      <c r="Q49" s="70" t="n"/>
      <c r="R49" s="69">
        <f>IF(OR(Q49="",P49="",P49=0,Q49=0),"",Q49-P49)</f>
        <v/>
      </c>
      <c r="S49" s="42">
        <f>IF(OR(Q49="",P49="",P49=0,Q49=0),"",Q49/P49-1)</f>
        <v/>
      </c>
      <c r="T49" s="43">
        <f>IF(OR(P49="",E49="",E49=0),"",P49/E49)</f>
        <v/>
      </c>
      <c r="U49" s="43">
        <f>IF(OR(Q49="",F49="",F49=0),"",Q49/F49)</f>
        <v/>
      </c>
      <c r="V49" s="44">
        <f>IF(OR(U49="",T49=""),"",(U49-T49)*100)</f>
        <v/>
      </c>
      <c r="W49" s="70" t="n"/>
      <c r="X49" s="70" t="n"/>
      <c r="Y49" s="69">
        <f>IF(OR(X49="",W49="",W49=0,X49=0),"",X49-W49)</f>
        <v/>
      </c>
      <c r="Z49" s="42">
        <f>IF(OR(X49="",W49="",W49=0,X49=0),"",X49/W49-1)</f>
        <v/>
      </c>
      <c r="AA49" s="43">
        <f>IF(OR(W49="",P49="",P49=0),"",W49/P49)</f>
        <v/>
      </c>
      <c r="AB49" s="43">
        <f>IF(OR(X49="",Q49="",Q49=0),"",X49/Q49)</f>
        <v/>
      </c>
      <c r="AC49" s="44">
        <f>IF(OR(AB49="",AA49=""),"",(AB49-AA49)*100)</f>
        <v/>
      </c>
      <c r="AD49" s="70" t="n"/>
      <c r="AE49" s="70" t="n"/>
      <c r="AF49" s="69">
        <f>IF(OR(AE49="",AD49="",AD49=0,AE49=0),"",AE49-AD49)</f>
        <v/>
      </c>
      <c r="AG49" s="42">
        <f>IF(OR(AE49="",AD49="",AD49=0,AE49=0),"",AE49/AD49-1)</f>
        <v/>
      </c>
      <c r="AH49" s="43">
        <f>IF(OR(AD49="",W49="",W49=0),"",AD49/W49)</f>
        <v/>
      </c>
      <c r="AI49" s="43">
        <f>IF(OR(AE49="",X49="",X49=0),"",AE49/X49)</f>
        <v/>
      </c>
      <c r="AJ49" s="44">
        <f>IF(OR(AI49="",AH49=""),"",(AI49-AH49)*100)</f>
        <v/>
      </c>
      <c r="AK49" s="70" t="n"/>
      <c r="AL49" s="70" t="n"/>
      <c r="AM49" s="69">
        <f>IF(OR(AL49="",AK49="",AK49=0,AL49=0),"",AL49-AK49)</f>
        <v/>
      </c>
      <c r="AN49" s="42">
        <f>IF(OR(AL49="",AK49="",AK49=0,AL49=0),"",AL49/AK49-1)</f>
        <v/>
      </c>
      <c r="AO49" s="43">
        <f>IF(OR(AK49="",AD49="",AD49=0),"",AK49/AD49)</f>
        <v/>
      </c>
      <c r="AP49" s="43">
        <f>IF(OR(AL49="",AE49="",AE49=0),"",AL49/AE49)</f>
        <v/>
      </c>
      <c r="AQ49" s="44">
        <f>IF(OR(AP49="",AO49=""),"",(AP49-AO49)*100)</f>
        <v/>
      </c>
      <c r="AR49" s="70" t="n"/>
      <c r="AS49" s="70" t="n"/>
      <c r="AT49" s="69">
        <f>IF(OR(AS49="",AR49="",AR49=0,AS49=0),"",AS49-AR49)</f>
        <v/>
      </c>
      <c r="AU49" s="42">
        <f>IF(OR(AS49="",AR49="",AR49=0,AS49=0),"",AS49/AR49-1)</f>
        <v/>
      </c>
      <c r="AV49" s="43">
        <f>IF(OR(AR49="",AK49="",AK49=0),"",AR49/AK49)</f>
        <v/>
      </c>
      <c r="AW49" s="43">
        <f>IF(OR(AS49="",AL49="",AL49=0),"",AS49/AL49)</f>
        <v/>
      </c>
      <c r="AX49" s="44">
        <f>IF(OR(AW49="",AV49=""),"",(AW49-AV49)*100)</f>
        <v/>
      </c>
      <c r="AY49" s="45">
        <f>IF(OR(AR49="",P49="",P49=0),"",AR49/P49)</f>
        <v/>
      </c>
      <c r="AZ49" s="45">
        <f>IF(OR(AS49="",Q49="",Q49=0),"",AS49/Q49)</f>
        <v/>
      </c>
      <c r="BA49" s="44">
        <f>IF(OR(AZ49="",AY49=""),"",(AZ49-AY49)*100)</f>
        <v/>
      </c>
      <c r="BB49" s="45">
        <f>IF(OR(AR49="",E49="",E49=0),"",AR49/E49)</f>
        <v/>
      </c>
      <c r="BC49" s="45">
        <f>IF(OR(AS49="",F49="",F49=0),"",AS49/F49)</f>
        <v/>
      </c>
      <c r="BD49" s="44">
        <f>IF(OR(BC49="",BB49=""),"",(BC49-BB49)*100)</f>
        <v/>
      </c>
      <c r="BE49" s="40">
        <f>IF(AND(F49&lt;&gt;"",E49&lt;&gt;""),"Both years",IF(F49&lt;&gt;"","1-23Aug26 rows only","1-23Aug25 rows only"))</f>
        <v/>
      </c>
    </row>
    <row r="50">
      <c r="A50" s="56" t="inlineStr">
        <is>
          <t>All landing pages</t>
        </is>
      </c>
      <c r="B50" s="56" t="inlineStr">
        <is>
          <t>Organic</t>
        </is>
      </c>
      <c r="C50" s="56" t="inlineStr">
        <is>
          <t>Mobile</t>
        </is>
      </c>
      <c r="D50" s="56" t="inlineStr">
        <is>
          <t>Austria</t>
        </is>
      </c>
      <c r="E50" s="70" t="n"/>
      <c r="F50" s="68" t="n">
        <v>682</v>
      </c>
      <c r="G50" s="69">
        <f>IF(OR(F50="",E50="",E50=0,F50=0),"",F50-E50)</f>
        <v/>
      </c>
      <c r="H50" s="42">
        <f>IF(OR(F50="",E50="",E50=0,F50=0),"",F50/E50-1)</f>
        <v/>
      </c>
      <c r="I50" s="70" t="n"/>
      <c r="J50" s="70" t="n"/>
      <c r="K50" s="69">
        <f>IF(OR(J50="",I50="",I50=0,J50=0),"",J50-I50)</f>
        <v/>
      </c>
      <c r="L50" s="42">
        <f>IF(OR(J50="",I50="",I50=0,J50=0),"",J50/I50-1)</f>
        <v/>
      </c>
      <c r="M50" s="43">
        <f>IF(OR(I50="",E50="",E50=0),"",I50/E50)</f>
        <v/>
      </c>
      <c r="N50" s="43">
        <f>IF(OR(J50="",F50="",F50=0),"",J50/F50)</f>
        <v/>
      </c>
      <c r="O50" s="44">
        <f>IF(OR(N50="",M50=""),"",(N50-M50)*100)</f>
        <v/>
      </c>
      <c r="P50" s="70" t="n"/>
      <c r="Q50" s="70" t="n"/>
      <c r="R50" s="69">
        <f>IF(OR(Q50="",P50="",P50=0,Q50=0),"",Q50-P50)</f>
        <v/>
      </c>
      <c r="S50" s="42">
        <f>IF(OR(Q50="",P50="",P50=0,Q50=0),"",Q50/P50-1)</f>
        <v/>
      </c>
      <c r="T50" s="43">
        <f>IF(OR(P50="",E50="",E50=0),"",P50/E50)</f>
        <v/>
      </c>
      <c r="U50" s="43">
        <f>IF(OR(Q50="",F50="",F50=0),"",Q50/F50)</f>
        <v/>
      </c>
      <c r="V50" s="44">
        <f>IF(OR(U50="",T50=""),"",(U50-T50)*100)</f>
        <v/>
      </c>
      <c r="W50" s="70" t="n"/>
      <c r="X50" s="70" t="n"/>
      <c r="Y50" s="69">
        <f>IF(OR(X50="",W50="",W50=0,X50=0),"",X50-W50)</f>
        <v/>
      </c>
      <c r="Z50" s="42">
        <f>IF(OR(X50="",W50="",W50=0,X50=0),"",X50/W50-1)</f>
        <v/>
      </c>
      <c r="AA50" s="43">
        <f>IF(OR(W50="",P50="",P50=0),"",W50/P50)</f>
        <v/>
      </c>
      <c r="AB50" s="43">
        <f>IF(OR(X50="",Q50="",Q50=0),"",X50/Q50)</f>
        <v/>
      </c>
      <c r="AC50" s="44">
        <f>IF(OR(AB50="",AA50=""),"",(AB50-AA50)*100)</f>
        <v/>
      </c>
      <c r="AD50" s="70" t="n"/>
      <c r="AE50" s="70" t="n"/>
      <c r="AF50" s="69">
        <f>IF(OR(AE50="",AD50="",AD50=0,AE50=0),"",AE50-AD50)</f>
        <v/>
      </c>
      <c r="AG50" s="42">
        <f>IF(OR(AE50="",AD50="",AD50=0,AE50=0),"",AE50/AD50-1)</f>
        <v/>
      </c>
      <c r="AH50" s="43">
        <f>IF(OR(AD50="",W50="",W50=0),"",AD50/W50)</f>
        <v/>
      </c>
      <c r="AI50" s="43">
        <f>IF(OR(AE50="",X50="",X50=0),"",AE50/X50)</f>
        <v/>
      </c>
      <c r="AJ50" s="44">
        <f>IF(OR(AI50="",AH50=""),"",(AI50-AH50)*100)</f>
        <v/>
      </c>
      <c r="AK50" s="70" t="n"/>
      <c r="AL50" s="70" t="n"/>
      <c r="AM50" s="69">
        <f>IF(OR(AL50="",AK50="",AK50=0,AL50=0),"",AL50-AK50)</f>
        <v/>
      </c>
      <c r="AN50" s="42">
        <f>IF(OR(AL50="",AK50="",AK50=0,AL50=0),"",AL50/AK50-1)</f>
        <v/>
      </c>
      <c r="AO50" s="43">
        <f>IF(OR(AK50="",AD50="",AD50=0),"",AK50/AD50)</f>
        <v/>
      </c>
      <c r="AP50" s="43">
        <f>IF(OR(AL50="",AE50="",AE50=0),"",AL50/AE50)</f>
        <v/>
      </c>
      <c r="AQ50" s="44">
        <f>IF(OR(AP50="",AO50=""),"",(AP50-AO50)*100)</f>
        <v/>
      </c>
      <c r="AR50" s="70" t="n"/>
      <c r="AS50" s="70" t="n"/>
      <c r="AT50" s="69">
        <f>IF(OR(AS50="",AR50="",AR50=0,AS50=0),"",AS50-AR50)</f>
        <v/>
      </c>
      <c r="AU50" s="42">
        <f>IF(OR(AS50="",AR50="",AR50=0,AS50=0),"",AS50/AR50-1)</f>
        <v/>
      </c>
      <c r="AV50" s="43">
        <f>IF(OR(AR50="",AK50="",AK50=0),"",AR50/AK50)</f>
        <v/>
      </c>
      <c r="AW50" s="43">
        <f>IF(OR(AS50="",AL50="",AL50=0),"",AS50/AL50)</f>
        <v/>
      </c>
      <c r="AX50" s="44">
        <f>IF(OR(AW50="",AV50=""),"",(AW50-AV50)*100)</f>
        <v/>
      </c>
      <c r="AY50" s="45">
        <f>IF(OR(AR50="",P50="",P50=0),"",AR50/P50)</f>
        <v/>
      </c>
      <c r="AZ50" s="45">
        <f>IF(OR(AS50="",Q50="",Q50=0),"",AS50/Q50)</f>
        <v/>
      </c>
      <c r="BA50" s="44">
        <f>IF(OR(AZ50="",AY50=""),"",(AZ50-AY50)*100)</f>
        <v/>
      </c>
      <c r="BB50" s="45">
        <f>IF(OR(AR50="",E50="",E50=0),"",AR50/E50)</f>
        <v/>
      </c>
      <c r="BC50" s="45">
        <f>IF(OR(AS50="",F50="",F50=0),"",AS50/F50)</f>
        <v/>
      </c>
      <c r="BD50" s="44">
        <f>IF(OR(BC50="",BB50=""),"",(BC50-BB50)*100)</f>
        <v/>
      </c>
      <c r="BE50" s="40">
        <f>IF(AND(F50&lt;&gt;"",E50&lt;&gt;""),"Both years",IF(F50&lt;&gt;"","1-23Aug26 rows only","1-23Aug25 rows only"))</f>
        <v/>
      </c>
    </row>
    <row r="51">
      <c r="A51" s="40" t="inlineStr">
        <is>
          <t>All landing pages</t>
        </is>
      </c>
      <c r="B51" s="40" t="inlineStr">
        <is>
          <t>Organic</t>
        </is>
      </c>
      <c r="C51" s="40" t="inlineStr">
        <is>
          <t>Mobile</t>
        </is>
      </c>
      <c r="D51" s="40" t="inlineStr">
        <is>
          <t>Finland</t>
        </is>
      </c>
      <c r="E51" s="68" t="n">
        <v>943</v>
      </c>
      <c r="F51" s="70" t="n"/>
      <c r="G51" s="69">
        <f>IF(OR(F51="",E51="",E51=0,F51=0),"",F51-E51)</f>
        <v/>
      </c>
      <c r="H51" s="42">
        <f>IF(OR(F51="",E51="",E51=0,F51=0),"",F51/E51-1)</f>
        <v/>
      </c>
      <c r="I51" s="68" t="n">
        <v>623</v>
      </c>
      <c r="J51" s="68" t="n">
        <v>430</v>
      </c>
      <c r="K51" s="69">
        <f>IF(OR(J51="",I51="",I51=0,J51=0),"",J51-I51)</f>
        <v/>
      </c>
      <c r="L51" s="42">
        <f>IF(OR(J51="",I51="",I51=0,J51=0),"",J51/I51-1)</f>
        <v/>
      </c>
      <c r="M51" s="43">
        <f>IF(OR(I51="",E51="",E51=0),"",I51/E51)</f>
        <v/>
      </c>
      <c r="N51" s="43">
        <f>IF(OR(J51="",F51="",F51=0),"",J51/F51)</f>
        <v/>
      </c>
      <c r="O51" s="44">
        <f>IF(OR(N51="",M51=""),"",(N51-M51)*100)</f>
        <v/>
      </c>
      <c r="P51" s="68" t="n">
        <v>553</v>
      </c>
      <c r="Q51" s="70" t="n"/>
      <c r="R51" s="69">
        <f>IF(OR(Q51="",P51="",P51=0,Q51=0),"",Q51-P51)</f>
        <v/>
      </c>
      <c r="S51" s="42">
        <f>IF(OR(Q51="",P51="",P51=0,Q51=0),"",Q51/P51-1)</f>
        <v/>
      </c>
      <c r="T51" s="43">
        <f>IF(OR(P51="",E51="",E51=0),"",P51/E51)</f>
        <v/>
      </c>
      <c r="U51" s="43">
        <f>IF(OR(Q51="",F51="",F51=0),"",Q51/F51)</f>
        <v/>
      </c>
      <c r="V51" s="44">
        <f>IF(OR(U51="",T51=""),"",(U51-T51)*100)</f>
        <v/>
      </c>
      <c r="W51" s="68" t="n">
        <v>118</v>
      </c>
      <c r="X51" s="68" t="n">
        <v>88</v>
      </c>
      <c r="Y51" s="69">
        <f>IF(OR(X51="",W51="",W51=0,X51=0),"",X51-W51)</f>
        <v/>
      </c>
      <c r="Z51" s="42">
        <f>IF(OR(X51="",W51="",W51=0,X51=0),"",X51/W51-1)</f>
        <v/>
      </c>
      <c r="AA51" s="43">
        <f>IF(OR(W51="",P51="",P51=0),"",W51/P51)</f>
        <v/>
      </c>
      <c r="AB51" s="43">
        <f>IF(OR(X51="",Q51="",Q51=0),"",X51/Q51)</f>
        <v/>
      </c>
      <c r="AC51" s="44">
        <f>IF(OR(AB51="",AA51=""),"",(AB51-AA51)*100)</f>
        <v/>
      </c>
      <c r="AD51" s="68" t="n">
        <v>87</v>
      </c>
      <c r="AE51" s="68" t="n">
        <v>59</v>
      </c>
      <c r="AF51" s="69">
        <f>IF(OR(AE51="",AD51="",AD51=0,AE51=0),"",AE51-AD51)</f>
        <v/>
      </c>
      <c r="AG51" s="42">
        <f>IF(OR(AE51="",AD51="",AD51=0,AE51=0),"",AE51/AD51-1)</f>
        <v/>
      </c>
      <c r="AH51" s="43">
        <f>IF(OR(AD51="",W51="",W51=0),"",AD51/W51)</f>
        <v/>
      </c>
      <c r="AI51" s="43">
        <f>IF(OR(AE51="",X51="",X51=0),"",AE51/X51)</f>
        <v/>
      </c>
      <c r="AJ51" s="44">
        <f>IF(OR(AI51="",AH51=""),"",(AI51-AH51)*100)</f>
        <v/>
      </c>
      <c r="AK51" s="68" t="n">
        <v>21</v>
      </c>
      <c r="AL51" s="68" t="n">
        <v>20</v>
      </c>
      <c r="AM51" s="69">
        <f>IF(OR(AL51="",AK51="",AK51=0,AL51=0),"",AL51-AK51)</f>
        <v/>
      </c>
      <c r="AN51" s="42">
        <f>IF(OR(AL51="",AK51="",AK51=0,AL51=0),"",AL51/AK51-1)</f>
        <v/>
      </c>
      <c r="AO51" s="43">
        <f>IF(OR(AK51="",AD51="",AD51=0),"",AK51/AD51)</f>
        <v/>
      </c>
      <c r="AP51" s="43">
        <f>IF(OR(AL51="",AE51="",AE51=0),"",AL51/AE51)</f>
        <v/>
      </c>
      <c r="AQ51" s="44">
        <f>IF(OR(AP51="",AO51=""),"",(AP51-AO51)*100)</f>
        <v/>
      </c>
      <c r="AR51" s="68" t="n">
        <v>19</v>
      </c>
      <c r="AS51" s="68" t="n">
        <v>16</v>
      </c>
      <c r="AT51" s="69">
        <f>IF(OR(AS51="",AR51="",AR51=0,AS51=0),"",AS51-AR51)</f>
        <v/>
      </c>
      <c r="AU51" s="42">
        <f>IF(OR(AS51="",AR51="",AR51=0,AS51=0),"",AS51/AR51-1)</f>
        <v/>
      </c>
      <c r="AV51" s="43">
        <f>IF(OR(AR51="",AK51="",AK51=0),"",AR51/AK51)</f>
        <v/>
      </c>
      <c r="AW51" s="43">
        <f>IF(OR(AS51="",AL51="",AL51=0),"",AS51/AL51)</f>
        <v/>
      </c>
      <c r="AX51" s="44">
        <f>IF(OR(AW51="",AV51=""),"",(AW51-AV51)*100)</f>
        <v/>
      </c>
      <c r="AY51" s="45">
        <f>IF(OR(AR51="",P51="",P51=0),"",AR51/P51)</f>
        <v/>
      </c>
      <c r="AZ51" s="45">
        <f>IF(OR(AS51="",Q51="",Q51=0),"",AS51/Q51)</f>
        <v/>
      </c>
      <c r="BA51" s="44">
        <f>IF(OR(AZ51="",AY51=""),"",(AZ51-AY51)*100)</f>
        <v/>
      </c>
      <c r="BB51" s="45">
        <f>IF(OR(AR51="",E51="",E51=0),"",AR51/E51)</f>
        <v/>
      </c>
      <c r="BC51" s="45">
        <f>IF(OR(AS51="",F51="",F51=0),"",AS51/F51)</f>
        <v/>
      </c>
      <c r="BD51" s="44">
        <f>IF(OR(BC51="",BB51=""),"",(BC51-BB51)*100)</f>
        <v/>
      </c>
      <c r="BE51" s="40">
        <f>IF(AND(F51&lt;&gt;"",E51&lt;&gt;""),"Both years",IF(F51&lt;&gt;"","1-23Aug26 rows only","1-23Aug25 rows only"))</f>
        <v/>
      </c>
    </row>
    <row r="52">
      <c r="A52" s="56" t="inlineStr">
        <is>
          <t>All landing pages</t>
        </is>
      </c>
      <c r="B52" s="56" t="inlineStr">
        <is>
          <t>Organic</t>
        </is>
      </c>
      <c r="C52" s="56" t="inlineStr">
        <is>
          <t>Mobile</t>
        </is>
      </c>
      <c r="D52" s="56" t="inlineStr">
        <is>
          <t>Australia</t>
        </is>
      </c>
      <c r="E52" s="68" t="n">
        <v>894</v>
      </c>
      <c r="F52" s="70" t="n"/>
      <c r="G52" s="69">
        <f>IF(OR(F52="",E52="",E52=0,F52=0),"",F52-E52)</f>
        <v/>
      </c>
      <c r="H52" s="42">
        <f>IF(OR(F52="",E52="",E52=0,F52=0),"",F52/E52-1)</f>
        <v/>
      </c>
      <c r="I52" s="70" t="n"/>
      <c r="J52" s="70" t="n"/>
      <c r="K52" s="69">
        <f>IF(OR(J52="",I52="",I52=0,J52=0),"",J52-I52)</f>
        <v/>
      </c>
      <c r="L52" s="42">
        <f>IF(OR(J52="",I52="",I52=0,J52=0),"",J52/I52-1)</f>
        <v/>
      </c>
      <c r="M52" s="43">
        <f>IF(OR(I52="",E52="",E52=0),"",I52/E52)</f>
        <v/>
      </c>
      <c r="N52" s="43">
        <f>IF(OR(J52="",F52="",F52=0),"",J52/F52)</f>
        <v/>
      </c>
      <c r="O52" s="44">
        <f>IF(OR(N52="",M52=""),"",(N52-M52)*100)</f>
        <v/>
      </c>
      <c r="P52" s="68" t="n">
        <v>412</v>
      </c>
      <c r="Q52" s="70" t="n"/>
      <c r="R52" s="69">
        <f>IF(OR(Q52="",P52="",P52=0,Q52=0),"",Q52-P52)</f>
        <v/>
      </c>
      <c r="S52" s="42">
        <f>IF(OR(Q52="",P52="",P52=0,Q52=0),"",Q52/P52-1)</f>
        <v/>
      </c>
      <c r="T52" s="43">
        <f>IF(OR(P52="",E52="",E52=0),"",P52/E52)</f>
        <v/>
      </c>
      <c r="U52" s="43">
        <f>IF(OR(Q52="",F52="",F52=0),"",Q52/F52)</f>
        <v/>
      </c>
      <c r="V52" s="44">
        <f>IF(OR(U52="",T52=""),"",(U52-T52)*100)</f>
        <v/>
      </c>
      <c r="W52" s="70" t="n"/>
      <c r="X52" s="70" t="n"/>
      <c r="Y52" s="69">
        <f>IF(OR(X52="",W52="",W52=0,X52=0),"",X52-W52)</f>
        <v/>
      </c>
      <c r="Z52" s="42">
        <f>IF(OR(X52="",W52="",W52=0,X52=0),"",X52/W52-1)</f>
        <v/>
      </c>
      <c r="AA52" s="43">
        <f>IF(OR(W52="",P52="",P52=0),"",W52/P52)</f>
        <v/>
      </c>
      <c r="AB52" s="43">
        <f>IF(OR(X52="",Q52="",Q52=0),"",X52/Q52)</f>
        <v/>
      </c>
      <c r="AC52" s="44">
        <f>IF(OR(AB52="",AA52=""),"",(AB52-AA52)*100)</f>
        <v/>
      </c>
      <c r="AD52" s="70" t="n"/>
      <c r="AE52" s="70" t="n"/>
      <c r="AF52" s="69">
        <f>IF(OR(AE52="",AD52="",AD52=0,AE52=0),"",AE52-AD52)</f>
        <v/>
      </c>
      <c r="AG52" s="42">
        <f>IF(OR(AE52="",AD52="",AD52=0,AE52=0),"",AE52/AD52-1)</f>
        <v/>
      </c>
      <c r="AH52" s="43">
        <f>IF(OR(AD52="",W52="",W52=0),"",AD52/W52)</f>
        <v/>
      </c>
      <c r="AI52" s="43">
        <f>IF(OR(AE52="",X52="",X52=0),"",AE52/X52)</f>
        <v/>
      </c>
      <c r="AJ52" s="44">
        <f>IF(OR(AI52="",AH52=""),"",(AI52-AH52)*100)</f>
        <v/>
      </c>
      <c r="AK52" s="70" t="n"/>
      <c r="AL52" s="70" t="n"/>
      <c r="AM52" s="69">
        <f>IF(OR(AL52="",AK52="",AK52=0,AL52=0),"",AL52-AK52)</f>
        <v/>
      </c>
      <c r="AN52" s="42">
        <f>IF(OR(AL52="",AK52="",AK52=0,AL52=0),"",AL52/AK52-1)</f>
        <v/>
      </c>
      <c r="AO52" s="43">
        <f>IF(OR(AK52="",AD52="",AD52=0),"",AK52/AD52)</f>
        <v/>
      </c>
      <c r="AP52" s="43">
        <f>IF(OR(AL52="",AE52="",AE52=0),"",AL52/AE52)</f>
        <v/>
      </c>
      <c r="AQ52" s="44">
        <f>IF(OR(AP52="",AO52=""),"",(AP52-AO52)*100)</f>
        <v/>
      </c>
      <c r="AR52" s="70" t="n"/>
      <c r="AS52" s="70" t="n"/>
      <c r="AT52" s="69">
        <f>IF(OR(AS52="",AR52="",AR52=0,AS52=0),"",AS52-AR52)</f>
        <v/>
      </c>
      <c r="AU52" s="42">
        <f>IF(OR(AS52="",AR52="",AR52=0,AS52=0),"",AS52/AR52-1)</f>
        <v/>
      </c>
      <c r="AV52" s="43">
        <f>IF(OR(AR52="",AK52="",AK52=0),"",AR52/AK52)</f>
        <v/>
      </c>
      <c r="AW52" s="43">
        <f>IF(OR(AS52="",AL52="",AL52=0),"",AS52/AL52)</f>
        <v/>
      </c>
      <c r="AX52" s="44">
        <f>IF(OR(AW52="",AV52=""),"",(AW52-AV52)*100)</f>
        <v/>
      </c>
      <c r="AY52" s="45">
        <f>IF(OR(AR52="",P52="",P52=0),"",AR52/P52)</f>
        <v/>
      </c>
      <c r="AZ52" s="45">
        <f>IF(OR(AS52="",Q52="",Q52=0),"",AS52/Q52)</f>
        <v/>
      </c>
      <c r="BA52" s="44">
        <f>IF(OR(AZ52="",AY52=""),"",(AZ52-AY52)*100)</f>
        <v/>
      </c>
      <c r="BB52" s="45">
        <f>IF(OR(AR52="",E52="",E52=0),"",AR52/E52)</f>
        <v/>
      </c>
      <c r="BC52" s="45">
        <f>IF(OR(AS52="",F52="",F52=0),"",AS52/F52)</f>
        <v/>
      </c>
      <c r="BD52" s="44">
        <f>IF(OR(BC52="",BB52=""),"",(BC52-BB52)*100)</f>
        <v/>
      </c>
      <c r="BE52" s="40">
        <f>IF(AND(F52&lt;&gt;"",E52&lt;&gt;""),"Both years",IF(F52&lt;&gt;"","1-23Aug26 rows only","1-23Aug25 rows only"))</f>
        <v/>
      </c>
    </row>
    <row r="53">
      <c r="A53" s="40" t="inlineStr">
        <is>
          <t>All landing pages</t>
        </is>
      </c>
      <c r="B53" s="40" t="inlineStr">
        <is>
          <t>Organic</t>
        </is>
      </c>
      <c r="C53" s="40" t="inlineStr">
        <is>
          <t>Mobile</t>
        </is>
      </c>
      <c r="D53" s="40" t="inlineStr">
        <is>
          <t>Norway</t>
        </is>
      </c>
      <c r="E53" s="70" t="n"/>
      <c r="F53" s="70" t="n"/>
      <c r="G53" s="69">
        <f>IF(OR(F53="",E53="",E53=0,F53=0),"",F53-E53)</f>
        <v/>
      </c>
      <c r="H53" s="42">
        <f>IF(OR(F53="",E53="",E53=0,F53=0),"",F53/E53-1)</f>
        <v/>
      </c>
      <c r="I53" s="68" t="n">
        <v>290</v>
      </c>
      <c r="J53" s="68" t="n">
        <v>374</v>
      </c>
      <c r="K53" s="69">
        <f>IF(OR(J53="",I53="",I53=0,J53=0),"",J53-I53)</f>
        <v/>
      </c>
      <c r="L53" s="42">
        <f>IF(OR(J53="",I53="",I53=0,J53=0),"",J53/I53-1)</f>
        <v/>
      </c>
      <c r="M53" s="43">
        <f>IF(OR(I53="",E53="",E53=0),"",I53/E53)</f>
        <v/>
      </c>
      <c r="N53" s="43">
        <f>IF(OR(J53="",F53="",F53=0),"",J53/F53)</f>
        <v/>
      </c>
      <c r="O53" s="44">
        <f>IF(OR(N53="",M53=""),"",(N53-M53)*100)</f>
        <v/>
      </c>
      <c r="P53" s="70" t="n"/>
      <c r="Q53" s="70" t="n"/>
      <c r="R53" s="69">
        <f>IF(OR(Q53="",P53="",P53=0,Q53=0),"",Q53-P53)</f>
        <v/>
      </c>
      <c r="S53" s="42">
        <f>IF(OR(Q53="",P53="",P53=0,Q53=0),"",Q53/P53-1)</f>
        <v/>
      </c>
      <c r="T53" s="43">
        <f>IF(OR(P53="",E53="",E53=0),"",P53/E53)</f>
        <v/>
      </c>
      <c r="U53" s="43">
        <f>IF(OR(Q53="",F53="",F53=0),"",Q53/F53)</f>
        <v/>
      </c>
      <c r="V53" s="44">
        <f>IF(OR(U53="",T53=""),"",(U53-T53)*100)</f>
        <v/>
      </c>
      <c r="W53" s="68" t="n">
        <v>62</v>
      </c>
      <c r="X53" s="68" t="n">
        <v>66</v>
      </c>
      <c r="Y53" s="69">
        <f>IF(OR(X53="",W53="",W53=0,X53=0),"",X53-W53)</f>
        <v/>
      </c>
      <c r="Z53" s="42">
        <f>IF(OR(X53="",W53="",W53=0,X53=0),"",X53/W53-1)</f>
        <v/>
      </c>
      <c r="AA53" s="43">
        <f>IF(OR(W53="",P53="",P53=0),"",W53/P53)</f>
        <v/>
      </c>
      <c r="AB53" s="43">
        <f>IF(OR(X53="",Q53="",Q53=0),"",X53/Q53)</f>
        <v/>
      </c>
      <c r="AC53" s="44">
        <f>IF(OR(AB53="",AA53=""),"",(AB53-AA53)*100)</f>
        <v/>
      </c>
      <c r="AD53" s="68" t="n">
        <v>46</v>
      </c>
      <c r="AE53" s="68" t="n">
        <v>46</v>
      </c>
      <c r="AF53" s="69">
        <f>IF(OR(AE53="",AD53="",AD53=0,AE53=0),"",AE53-AD53)</f>
        <v/>
      </c>
      <c r="AG53" s="42">
        <f>IF(OR(AE53="",AD53="",AD53=0,AE53=0),"",AE53/AD53-1)</f>
        <v/>
      </c>
      <c r="AH53" s="43">
        <f>IF(OR(AD53="",W53="",W53=0),"",AD53/W53)</f>
        <v/>
      </c>
      <c r="AI53" s="43">
        <f>IF(OR(AE53="",X53="",X53=0),"",AE53/X53)</f>
        <v/>
      </c>
      <c r="AJ53" s="44">
        <f>IF(OR(AI53="",AH53=""),"",(AI53-AH53)*100)</f>
        <v/>
      </c>
      <c r="AK53" s="68" t="n">
        <v>14</v>
      </c>
      <c r="AL53" s="68" t="n">
        <v>16</v>
      </c>
      <c r="AM53" s="69">
        <f>IF(OR(AL53="",AK53="",AK53=0,AL53=0),"",AL53-AK53)</f>
        <v/>
      </c>
      <c r="AN53" s="42">
        <f>IF(OR(AL53="",AK53="",AK53=0,AL53=0),"",AL53/AK53-1)</f>
        <v/>
      </c>
      <c r="AO53" s="43">
        <f>IF(OR(AK53="",AD53="",AD53=0),"",AK53/AD53)</f>
        <v/>
      </c>
      <c r="AP53" s="43">
        <f>IF(OR(AL53="",AE53="",AE53=0),"",AL53/AE53)</f>
        <v/>
      </c>
      <c r="AQ53" s="44">
        <f>IF(OR(AP53="",AO53=""),"",(AP53-AO53)*100)</f>
        <v/>
      </c>
      <c r="AR53" s="68" t="n">
        <v>12</v>
      </c>
      <c r="AS53" s="68" t="n">
        <v>12</v>
      </c>
      <c r="AT53" s="69">
        <f>IF(OR(AS53="",AR53="",AR53=0,AS53=0),"",AS53-AR53)</f>
        <v/>
      </c>
      <c r="AU53" s="42">
        <f>IF(OR(AS53="",AR53="",AR53=0,AS53=0),"",AS53/AR53-1)</f>
        <v/>
      </c>
      <c r="AV53" s="43">
        <f>IF(OR(AR53="",AK53="",AK53=0),"",AR53/AK53)</f>
        <v/>
      </c>
      <c r="AW53" s="43">
        <f>IF(OR(AS53="",AL53="",AL53=0),"",AS53/AL53)</f>
        <v/>
      </c>
      <c r="AX53" s="44">
        <f>IF(OR(AW53="",AV53=""),"",(AW53-AV53)*100)</f>
        <v/>
      </c>
      <c r="AY53" s="45">
        <f>IF(OR(AR53="",P53="",P53=0),"",AR53/P53)</f>
        <v/>
      </c>
      <c r="AZ53" s="45">
        <f>IF(OR(AS53="",Q53="",Q53=0),"",AS53/Q53)</f>
        <v/>
      </c>
      <c r="BA53" s="44">
        <f>IF(OR(AZ53="",AY53=""),"",(AZ53-AY53)*100)</f>
        <v/>
      </c>
      <c r="BB53" s="45">
        <f>IF(OR(AR53="",E53="",E53=0),"",AR53/E53)</f>
        <v/>
      </c>
      <c r="BC53" s="45">
        <f>IF(OR(AS53="",F53="",F53=0),"",AS53/F53)</f>
        <v/>
      </c>
      <c r="BD53" s="44">
        <f>IF(OR(BC53="",BB53=""),"",(BC53-BB53)*100)</f>
        <v/>
      </c>
      <c r="BE53" s="40">
        <f>IF(AND(F53&lt;&gt;"",E53&lt;&gt;""),"Both years",IF(F53&lt;&gt;"","1-23Aug26 rows only","1-23Aug25 rows only"))</f>
        <v/>
      </c>
    </row>
    <row r="54">
      <c r="A54" s="40" t="inlineStr">
        <is>
          <t>All landing pages</t>
        </is>
      </c>
      <c r="B54" s="40" t="inlineStr">
        <is>
          <t>Organic</t>
        </is>
      </c>
      <c r="C54" s="40" t="inlineStr">
        <is>
          <t>Desktop</t>
        </is>
      </c>
      <c r="D54" s="40" t="inlineStr">
        <is>
          <t>United Kingdom</t>
        </is>
      </c>
      <c r="E54" s="68" t="n">
        <v>6846</v>
      </c>
      <c r="F54" s="68" t="n">
        <v>6035</v>
      </c>
      <c r="G54" s="69">
        <f>IF(OR(F54="",E54="",E54=0,F54=0),"",F54-E54)</f>
        <v/>
      </c>
      <c r="H54" s="42">
        <f>IF(OR(F54="",E54="",E54=0,F54=0),"",F54/E54-1)</f>
        <v/>
      </c>
      <c r="I54" s="68" t="n">
        <v>4985</v>
      </c>
      <c r="J54" s="68" t="n">
        <v>4370</v>
      </c>
      <c r="K54" s="69">
        <f>IF(OR(J54="",I54="",I54=0,J54=0),"",J54-I54)</f>
        <v/>
      </c>
      <c r="L54" s="42">
        <f>IF(OR(J54="",I54="",I54=0,J54=0),"",J54/I54-1)</f>
        <v/>
      </c>
      <c r="M54" s="43">
        <f>IF(OR(I54="",E54="",E54=0),"",I54/E54)</f>
        <v/>
      </c>
      <c r="N54" s="43">
        <f>IF(OR(J54="",F54="",F54=0),"",J54/F54)</f>
        <v/>
      </c>
      <c r="O54" s="44">
        <f>IF(OR(N54="",M54=""),"",(N54-M54)*100)</f>
        <v/>
      </c>
      <c r="P54" s="68" t="n">
        <v>4120</v>
      </c>
      <c r="Q54" s="68" t="n">
        <v>3692</v>
      </c>
      <c r="R54" s="69">
        <f>IF(OR(Q54="",P54="",P54=0,Q54=0),"",Q54-P54)</f>
        <v/>
      </c>
      <c r="S54" s="42">
        <f>IF(OR(Q54="",P54="",P54=0,Q54=0),"",Q54/P54-1)</f>
        <v/>
      </c>
      <c r="T54" s="43">
        <f>IF(OR(P54="",E54="",E54=0),"",P54/E54)</f>
        <v/>
      </c>
      <c r="U54" s="43">
        <f>IF(OR(Q54="",F54="",F54=0),"",Q54/F54)</f>
        <v/>
      </c>
      <c r="V54" s="44">
        <f>IF(OR(U54="",T54=""),"",(U54-T54)*100)</f>
        <v/>
      </c>
      <c r="W54" s="68" t="n">
        <v>982</v>
      </c>
      <c r="X54" s="68" t="n">
        <v>759</v>
      </c>
      <c r="Y54" s="69">
        <f>IF(OR(X54="",W54="",W54=0,X54=0),"",X54-W54)</f>
        <v/>
      </c>
      <c r="Z54" s="42">
        <f>IF(OR(X54="",W54="",W54=0,X54=0),"",X54/W54-1)</f>
        <v/>
      </c>
      <c r="AA54" s="43">
        <f>IF(OR(W54="",P54="",P54=0),"",W54/P54)</f>
        <v/>
      </c>
      <c r="AB54" s="43">
        <f>IF(OR(X54="",Q54="",Q54=0),"",X54/Q54)</f>
        <v/>
      </c>
      <c r="AC54" s="44">
        <f>IF(OR(AB54="",AA54=""),"",(AB54-AA54)*100)</f>
        <v/>
      </c>
      <c r="AD54" s="68" t="n">
        <v>842</v>
      </c>
      <c r="AE54" s="68" t="n">
        <v>632</v>
      </c>
      <c r="AF54" s="69">
        <f>IF(OR(AE54="",AD54="",AD54=0,AE54=0),"",AE54-AD54)</f>
        <v/>
      </c>
      <c r="AG54" s="42">
        <f>IF(OR(AE54="",AD54="",AD54=0,AE54=0),"",AE54/AD54-1)</f>
        <v/>
      </c>
      <c r="AH54" s="43">
        <f>IF(OR(AD54="",W54="",W54=0),"",AD54/W54)</f>
        <v/>
      </c>
      <c r="AI54" s="43">
        <f>IF(OR(AE54="",X54="",X54=0),"",AE54/X54)</f>
        <v/>
      </c>
      <c r="AJ54" s="44">
        <f>IF(OR(AI54="",AH54=""),"",(AI54-AH54)*100)</f>
        <v/>
      </c>
      <c r="AK54" s="68" t="n">
        <v>480</v>
      </c>
      <c r="AL54" s="68" t="n">
        <v>311</v>
      </c>
      <c r="AM54" s="69">
        <f>IF(OR(AL54="",AK54="",AK54=0,AL54=0),"",AL54-AK54)</f>
        <v/>
      </c>
      <c r="AN54" s="42">
        <f>IF(OR(AL54="",AK54="",AK54=0,AL54=0),"",AL54/AK54-1)</f>
        <v/>
      </c>
      <c r="AO54" s="43">
        <f>IF(OR(AK54="",AD54="",AD54=0),"",AK54/AD54)</f>
        <v/>
      </c>
      <c r="AP54" s="43">
        <f>IF(OR(AL54="",AE54="",AE54=0),"",AL54/AE54)</f>
        <v/>
      </c>
      <c r="AQ54" s="44">
        <f>IF(OR(AP54="",AO54=""),"",(AP54-AO54)*100)</f>
        <v/>
      </c>
      <c r="AR54" s="68" t="n">
        <v>465</v>
      </c>
      <c r="AS54" s="68" t="n">
        <v>264</v>
      </c>
      <c r="AT54" s="69">
        <f>IF(OR(AS54="",AR54="",AR54=0,AS54=0),"",AS54-AR54)</f>
        <v/>
      </c>
      <c r="AU54" s="42">
        <f>IF(OR(AS54="",AR54="",AR54=0,AS54=0),"",AS54/AR54-1)</f>
        <v/>
      </c>
      <c r="AV54" s="43">
        <f>IF(OR(AR54="",AK54="",AK54=0),"",AR54/AK54)</f>
        <v/>
      </c>
      <c r="AW54" s="43">
        <f>IF(OR(AS54="",AL54="",AL54=0),"",AS54/AL54)</f>
        <v/>
      </c>
      <c r="AX54" s="44">
        <f>IF(OR(AW54="",AV54=""),"",(AW54-AV54)*100)</f>
        <v/>
      </c>
      <c r="AY54" s="45">
        <f>IF(OR(AR54="",P54="",P54=0),"",AR54/P54)</f>
        <v/>
      </c>
      <c r="AZ54" s="45">
        <f>IF(OR(AS54="",Q54="",Q54=0),"",AS54/Q54)</f>
        <v/>
      </c>
      <c r="BA54" s="44">
        <f>IF(OR(AZ54="",AY54=""),"",(AZ54-AY54)*100)</f>
        <v/>
      </c>
      <c r="BB54" s="45">
        <f>IF(OR(AR54="",E54="",E54=0),"",AR54/E54)</f>
        <v/>
      </c>
      <c r="BC54" s="45">
        <f>IF(OR(AS54="",F54="",F54=0),"",AS54/F54)</f>
        <v/>
      </c>
      <c r="BD54" s="44">
        <f>IF(OR(BC54="",BB54=""),"",(BC54-BB54)*100)</f>
        <v/>
      </c>
      <c r="BE54" s="40">
        <f>IF(AND(F54&lt;&gt;"",E54&lt;&gt;""),"Both years",IF(F54&lt;&gt;"","1-23Aug26 rows only","1-23Aug25 rows only"))</f>
        <v/>
      </c>
    </row>
    <row r="55">
      <c r="A55" s="56" t="inlineStr">
        <is>
          <t>All landing pages</t>
        </is>
      </c>
      <c r="B55" s="56" t="inlineStr">
        <is>
          <t>Organic</t>
        </is>
      </c>
      <c r="C55" s="56" t="inlineStr">
        <is>
          <t>Desktop</t>
        </is>
      </c>
      <c r="D55" s="56" t="inlineStr">
        <is>
          <t>Germany</t>
        </is>
      </c>
      <c r="E55" s="68" t="n">
        <v>3573</v>
      </c>
      <c r="F55" s="68" t="n">
        <v>2725</v>
      </c>
      <c r="G55" s="69">
        <f>IF(OR(F55="",E55="",E55=0,F55=0),"",F55-E55)</f>
        <v/>
      </c>
      <c r="H55" s="42">
        <f>IF(OR(F55="",E55="",E55=0,F55=0),"",F55/E55-1)</f>
        <v/>
      </c>
      <c r="I55" s="68" t="n">
        <v>2616</v>
      </c>
      <c r="J55" s="68" t="n">
        <v>1927</v>
      </c>
      <c r="K55" s="69">
        <f>IF(OR(J55="",I55="",I55=0,J55=0),"",J55-I55)</f>
        <v/>
      </c>
      <c r="L55" s="42">
        <f>IF(OR(J55="",I55="",I55=0,J55=0),"",J55/I55-1)</f>
        <v/>
      </c>
      <c r="M55" s="43">
        <f>IF(OR(I55="",E55="",E55=0),"",I55/E55)</f>
        <v/>
      </c>
      <c r="N55" s="43">
        <f>IF(OR(J55="",F55="",F55=0),"",J55/F55)</f>
        <v/>
      </c>
      <c r="O55" s="44">
        <f>IF(OR(N55="",M55=""),"",(N55-M55)*100)</f>
        <v/>
      </c>
      <c r="P55" s="68" t="n">
        <v>2169</v>
      </c>
      <c r="Q55" s="68" t="n">
        <v>1230</v>
      </c>
      <c r="R55" s="69">
        <f>IF(OR(Q55="",P55="",P55=0,Q55=0),"",Q55-P55)</f>
        <v/>
      </c>
      <c r="S55" s="42">
        <f>IF(OR(Q55="",P55="",P55=0,Q55=0),"",Q55/P55-1)</f>
        <v/>
      </c>
      <c r="T55" s="43">
        <f>IF(OR(P55="",E55="",E55=0),"",P55/E55)</f>
        <v/>
      </c>
      <c r="U55" s="43">
        <f>IF(OR(Q55="",F55="",F55=0),"",Q55/F55)</f>
        <v/>
      </c>
      <c r="V55" s="44">
        <f>IF(OR(U55="",T55=""),"",(U55-T55)*100)</f>
        <v/>
      </c>
      <c r="W55" s="68" t="n">
        <v>633</v>
      </c>
      <c r="X55" s="68" t="n">
        <v>337</v>
      </c>
      <c r="Y55" s="69">
        <f>IF(OR(X55="",W55="",W55=0,X55=0),"",X55-W55)</f>
        <v/>
      </c>
      <c r="Z55" s="42">
        <f>IF(OR(X55="",W55="",W55=0,X55=0),"",X55/W55-1)</f>
        <v/>
      </c>
      <c r="AA55" s="43">
        <f>IF(OR(W55="",P55="",P55=0),"",W55/P55)</f>
        <v/>
      </c>
      <c r="AB55" s="43">
        <f>IF(OR(X55="",Q55="",Q55=0),"",X55/Q55)</f>
        <v/>
      </c>
      <c r="AC55" s="44">
        <f>IF(OR(AB55="",AA55=""),"",(AB55-AA55)*100)</f>
        <v/>
      </c>
      <c r="AD55" s="68" t="n">
        <v>530</v>
      </c>
      <c r="AE55" s="68" t="n">
        <v>267</v>
      </c>
      <c r="AF55" s="69">
        <f>IF(OR(AE55="",AD55="",AD55=0,AE55=0),"",AE55-AD55)</f>
        <v/>
      </c>
      <c r="AG55" s="42">
        <f>IF(OR(AE55="",AD55="",AD55=0,AE55=0),"",AE55/AD55-1)</f>
        <v/>
      </c>
      <c r="AH55" s="43">
        <f>IF(OR(AD55="",W55="",W55=0),"",AD55/W55)</f>
        <v/>
      </c>
      <c r="AI55" s="43">
        <f>IF(OR(AE55="",X55="",X55=0),"",AE55/X55)</f>
        <v/>
      </c>
      <c r="AJ55" s="44">
        <f>IF(OR(AI55="",AH55=""),"",(AI55-AH55)*100)</f>
        <v/>
      </c>
      <c r="AK55" s="68" t="n">
        <v>199</v>
      </c>
      <c r="AL55" s="68" t="n">
        <v>73</v>
      </c>
      <c r="AM55" s="69">
        <f>IF(OR(AL55="",AK55="",AK55=0,AL55=0),"",AL55-AK55)</f>
        <v/>
      </c>
      <c r="AN55" s="42">
        <f>IF(OR(AL55="",AK55="",AK55=0,AL55=0),"",AL55/AK55-1)</f>
        <v/>
      </c>
      <c r="AO55" s="43">
        <f>IF(OR(AK55="",AD55="",AD55=0),"",AK55/AD55)</f>
        <v/>
      </c>
      <c r="AP55" s="43">
        <f>IF(OR(AL55="",AE55="",AE55=0),"",AL55/AE55)</f>
        <v/>
      </c>
      <c r="AQ55" s="44">
        <f>IF(OR(AP55="",AO55=""),"",(AP55-AO55)*100)</f>
        <v/>
      </c>
      <c r="AR55" s="68" t="n">
        <v>163</v>
      </c>
      <c r="AS55" s="68" t="n">
        <v>61</v>
      </c>
      <c r="AT55" s="69">
        <f>IF(OR(AS55="",AR55="",AR55=0,AS55=0),"",AS55-AR55)</f>
        <v/>
      </c>
      <c r="AU55" s="42">
        <f>IF(OR(AS55="",AR55="",AR55=0,AS55=0),"",AS55/AR55-1)</f>
        <v/>
      </c>
      <c r="AV55" s="43">
        <f>IF(OR(AR55="",AK55="",AK55=0),"",AR55/AK55)</f>
        <v/>
      </c>
      <c r="AW55" s="43">
        <f>IF(OR(AS55="",AL55="",AL55=0),"",AS55/AL55)</f>
        <v/>
      </c>
      <c r="AX55" s="44">
        <f>IF(OR(AW55="",AV55=""),"",(AW55-AV55)*100)</f>
        <v/>
      </c>
      <c r="AY55" s="45">
        <f>IF(OR(AR55="",P55="",P55=0),"",AR55/P55)</f>
        <v/>
      </c>
      <c r="AZ55" s="45">
        <f>IF(OR(AS55="",Q55="",Q55=0),"",AS55/Q55)</f>
        <v/>
      </c>
      <c r="BA55" s="44">
        <f>IF(OR(AZ55="",AY55=""),"",(AZ55-AY55)*100)</f>
        <v/>
      </c>
      <c r="BB55" s="45">
        <f>IF(OR(AR55="",E55="",E55=0),"",AR55/E55)</f>
        <v/>
      </c>
      <c r="BC55" s="45">
        <f>IF(OR(AS55="",F55="",F55=0),"",AS55/F55)</f>
        <v/>
      </c>
      <c r="BD55" s="44">
        <f>IF(OR(BC55="",BB55=""),"",(BC55-BB55)*100)</f>
        <v/>
      </c>
      <c r="BE55" s="40">
        <f>IF(AND(F55&lt;&gt;"",E55&lt;&gt;""),"Both years",IF(F55&lt;&gt;"","1-23Aug26 rows only","1-23Aug25 rows only"))</f>
        <v/>
      </c>
    </row>
    <row r="56">
      <c r="A56" s="40" t="inlineStr">
        <is>
          <t>All landing pages</t>
        </is>
      </c>
      <c r="B56" s="40" t="inlineStr">
        <is>
          <t>Organic</t>
        </is>
      </c>
      <c r="C56" s="40" t="inlineStr">
        <is>
          <t>Desktop</t>
        </is>
      </c>
      <c r="D56" s="40" t="inlineStr">
        <is>
          <t>Italy</t>
        </is>
      </c>
      <c r="E56" s="68" t="n">
        <v>1620</v>
      </c>
      <c r="F56" s="68" t="n">
        <v>1705</v>
      </c>
      <c r="G56" s="69">
        <f>IF(OR(F56="",E56="",E56=0,F56=0),"",F56-E56)</f>
        <v/>
      </c>
      <c r="H56" s="42">
        <f>IF(OR(F56="",E56="",E56=0,F56=0),"",F56/E56-1)</f>
        <v/>
      </c>
      <c r="I56" s="68" t="n">
        <v>1097</v>
      </c>
      <c r="J56" s="68" t="n">
        <v>972</v>
      </c>
      <c r="K56" s="69">
        <f>IF(OR(J56="",I56="",I56=0,J56=0),"",J56-I56)</f>
        <v/>
      </c>
      <c r="L56" s="42">
        <f>IF(OR(J56="",I56="",I56=0,J56=0),"",J56/I56-1)</f>
        <v/>
      </c>
      <c r="M56" s="43">
        <f>IF(OR(I56="",E56="",E56=0),"",I56/E56)</f>
        <v/>
      </c>
      <c r="N56" s="43">
        <f>IF(OR(J56="",F56="",F56=0),"",J56/F56)</f>
        <v/>
      </c>
      <c r="O56" s="44">
        <f>IF(OR(N56="",M56=""),"",(N56-M56)*100)</f>
        <v/>
      </c>
      <c r="P56" s="68" t="n">
        <v>855</v>
      </c>
      <c r="Q56" s="68" t="n">
        <v>617</v>
      </c>
      <c r="R56" s="69">
        <f>IF(OR(Q56="",P56="",P56=0,Q56=0),"",Q56-P56)</f>
        <v/>
      </c>
      <c r="S56" s="42">
        <f>IF(OR(Q56="",P56="",P56=0,Q56=0),"",Q56/P56-1)</f>
        <v/>
      </c>
      <c r="T56" s="43">
        <f>IF(OR(P56="",E56="",E56=0),"",P56/E56)</f>
        <v/>
      </c>
      <c r="U56" s="43">
        <f>IF(OR(Q56="",F56="",F56=0),"",Q56/F56)</f>
        <v/>
      </c>
      <c r="V56" s="44">
        <f>IF(OR(U56="",T56=""),"",(U56-T56)*100)</f>
        <v/>
      </c>
      <c r="W56" s="68" t="n">
        <v>223</v>
      </c>
      <c r="X56" s="68" t="n">
        <v>143</v>
      </c>
      <c r="Y56" s="69">
        <f>IF(OR(X56="",W56="",W56=0,X56=0),"",X56-W56)</f>
        <v/>
      </c>
      <c r="Z56" s="42">
        <f>IF(OR(X56="",W56="",W56=0,X56=0),"",X56/W56-1)</f>
        <v/>
      </c>
      <c r="AA56" s="43">
        <f>IF(OR(W56="",P56="",P56=0),"",W56/P56)</f>
        <v/>
      </c>
      <c r="AB56" s="43">
        <f>IF(OR(X56="",Q56="",Q56=0),"",X56/Q56)</f>
        <v/>
      </c>
      <c r="AC56" s="44">
        <f>IF(OR(AB56="",AA56=""),"",(AB56-AA56)*100)</f>
        <v/>
      </c>
      <c r="AD56" s="68" t="n">
        <v>190</v>
      </c>
      <c r="AE56" s="68" t="n">
        <v>116</v>
      </c>
      <c r="AF56" s="69">
        <f>IF(OR(AE56="",AD56="",AD56=0,AE56=0),"",AE56-AD56)</f>
        <v/>
      </c>
      <c r="AG56" s="42">
        <f>IF(OR(AE56="",AD56="",AD56=0,AE56=0),"",AE56/AD56-1)</f>
        <v/>
      </c>
      <c r="AH56" s="43">
        <f>IF(OR(AD56="",W56="",W56=0),"",AD56/W56)</f>
        <v/>
      </c>
      <c r="AI56" s="43">
        <f>IF(OR(AE56="",X56="",X56=0),"",AE56/X56)</f>
        <v/>
      </c>
      <c r="AJ56" s="44">
        <f>IF(OR(AI56="",AH56=""),"",(AI56-AH56)*100)</f>
        <v/>
      </c>
      <c r="AK56" s="68" t="n">
        <v>73</v>
      </c>
      <c r="AL56" s="68" t="n">
        <v>45</v>
      </c>
      <c r="AM56" s="69">
        <f>IF(OR(AL56="",AK56="",AK56=0,AL56=0),"",AL56-AK56)</f>
        <v/>
      </c>
      <c r="AN56" s="42">
        <f>IF(OR(AL56="",AK56="",AK56=0,AL56=0),"",AL56/AK56-1)</f>
        <v/>
      </c>
      <c r="AO56" s="43">
        <f>IF(OR(AK56="",AD56="",AD56=0),"",AK56/AD56)</f>
        <v/>
      </c>
      <c r="AP56" s="43">
        <f>IF(OR(AL56="",AE56="",AE56=0),"",AL56/AE56)</f>
        <v/>
      </c>
      <c r="AQ56" s="44">
        <f>IF(OR(AP56="",AO56=""),"",(AP56-AO56)*100)</f>
        <v/>
      </c>
      <c r="AR56" s="68" t="n">
        <v>63</v>
      </c>
      <c r="AS56" s="68" t="n">
        <v>36</v>
      </c>
      <c r="AT56" s="69">
        <f>IF(OR(AS56="",AR56="",AR56=0,AS56=0),"",AS56-AR56)</f>
        <v/>
      </c>
      <c r="AU56" s="42">
        <f>IF(OR(AS56="",AR56="",AR56=0,AS56=0),"",AS56/AR56-1)</f>
        <v/>
      </c>
      <c r="AV56" s="43">
        <f>IF(OR(AR56="",AK56="",AK56=0),"",AR56/AK56)</f>
        <v/>
      </c>
      <c r="AW56" s="43">
        <f>IF(OR(AS56="",AL56="",AL56=0),"",AS56/AL56)</f>
        <v/>
      </c>
      <c r="AX56" s="44">
        <f>IF(OR(AW56="",AV56=""),"",(AW56-AV56)*100)</f>
        <v/>
      </c>
      <c r="AY56" s="45">
        <f>IF(OR(AR56="",P56="",P56=0),"",AR56/P56)</f>
        <v/>
      </c>
      <c r="AZ56" s="45">
        <f>IF(OR(AS56="",Q56="",Q56=0),"",AS56/Q56)</f>
        <v/>
      </c>
      <c r="BA56" s="44">
        <f>IF(OR(AZ56="",AY56=""),"",(AZ56-AY56)*100)</f>
        <v/>
      </c>
      <c r="BB56" s="45">
        <f>IF(OR(AR56="",E56="",E56=0),"",AR56/E56)</f>
        <v/>
      </c>
      <c r="BC56" s="45">
        <f>IF(OR(AS56="",F56="",F56=0),"",AS56/F56)</f>
        <v/>
      </c>
      <c r="BD56" s="44">
        <f>IF(OR(BC56="",BB56=""),"",(BC56-BB56)*100)</f>
        <v/>
      </c>
      <c r="BE56" s="40">
        <f>IF(AND(F56&lt;&gt;"",E56&lt;&gt;""),"Both years",IF(F56&lt;&gt;"","1-23Aug26 rows only","1-23Aug25 rows only"))</f>
        <v/>
      </c>
    </row>
    <row r="57">
      <c r="A57" s="56" t="inlineStr">
        <is>
          <t>All landing pages</t>
        </is>
      </c>
      <c r="B57" s="56" t="inlineStr">
        <is>
          <t>Organic</t>
        </is>
      </c>
      <c r="C57" s="56" t="inlineStr">
        <is>
          <t>Desktop</t>
        </is>
      </c>
      <c r="D57" s="56" t="inlineStr">
        <is>
          <t>United States</t>
        </is>
      </c>
      <c r="E57" s="68" t="n">
        <v>1426</v>
      </c>
      <c r="F57" s="68" t="n">
        <v>1500</v>
      </c>
      <c r="G57" s="69">
        <f>IF(OR(F57="",E57="",E57=0,F57=0),"",F57-E57)</f>
        <v/>
      </c>
      <c r="H57" s="42">
        <f>IF(OR(F57="",E57="",E57=0,F57=0),"",F57/E57-1)</f>
        <v/>
      </c>
      <c r="I57" s="68" t="n">
        <v>892</v>
      </c>
      <c r="J57" s="68" t="n">
        <v>900</v>
      </c>
      <c r="K57" s="69">
        <f>IF(OR(J57="",I57="",I57=0,J57=0),"",J57-I57)</f>
        <v/>
      </c>
      <c r="L57" s="42">
        <f>IF(OR(J57="",I57="",I57=0,J57=0),"",J57/I57-1)</f>
        <v/>
      </c>
      <c r="M57" s="43">
        <f>IF(OR(I57="",E57="",E57=0),"",I57/E57)</f>
        <v/>
      </c>
      <c r="N57" s="43">
        <f>IF(OR(J57="",F57="",F57=0),"",J57/F57)</f>
        <v/>
      </c>
      <c r="O57" s="44">
        <f>IF(OR(N57="",M57=""),"",(N57-M57)*100)</f>
        <v/>
      </c>
      <c r="P57" s="68" t="n">
        <v>607</v>
      </c>
      <c r="Q57" s="68" t="n">
        <v>672</v>
      </c>
      <c r="R57" s="69">
        <f>IF(OR(Q57="",P57="",P57=0,Q57=0),"",Q57-P57)</f>
        <v/>
      </c>
      <c r="S57" s="42">
        <f>IF(OR(Q57="",P57="",P57=0,Q57=0),"",Q57/P57-1)</f>
        <v/>
      </c>
      <c r="T57" s="43">
        <f>IF(OR(P57="",E57="",E57=0),"",P57/E57)</f>
        <v/>
      </c>
      <c r="U57" s="43">
        <f>IF(OR(Q57="",F57="",F57=0),"",Q57/F57)</f>
        <v/>
      </c>
      <c r="V57" s="44">
        <f>IF(OR(U57="",T57=""),"",(U57-T57)*100)</f>
        <v/>
      </c>
      <c r="W57" s="68" t="n">
        <v>200</v>
      </c>
      <c r="X57" s="68" t="n">
        <v>180</v>
      </c>
      <c r="Y57" s="69">
        <f>IF(OR(X57="",W57="",W57=0,X57=0),"",X57-W57)</f>
        <v/>
      </c>
      <c r="Z57" s="42">
        <f>IF(OR(X57="",W57="",W57=0,X57=0),"",X57/W57-1)</f>
        <v/>
      </c>
      <c r="AA57" s="43">
        <f>IF(OR(W57="",P57="",P57=0),"",W57/P57)</f>
        <v/>
      </c>
      <c r="AB57" s="43">
        <f>IF(OR(X57="",Q57="",Q57=0),"",X57/Q57)</f>
        <v/>
      </c>
      <c r="AC57" s="44">
        <f>IF(OR(AB57="",AA57=""),"",(AB57-AA57)*100)</f>
        <v/>
      </c>
      <c r="AD57" s="68" t="n">
        <v>175</v>
      </c>
      <c r="AE57" s="68" t="n">
        <v>153</v>
      </c>
      <c r="AF57" s="69">
        <f>IF(OR(AE57="",AD57="",AD57=0,AE57=0),"",AE57-AD57)</f>
        <v/>
      </c>
      <c r="AG57" s="42">
        <f>IF(OR(AE57="",AD57="",AD57=0,AE57=0),"",AE57/AD57-1)</f>
        <v/>
      </c>
      <c r="AH57" s="43">
        <f>IF(OR(AD57="",W57="",W57=0),"",AD57/W57)</f>
        <v/>
      </c>
      <c r="AI57" s="43">
        <f>IF(OR(AE57="",X57="",X57=0),"",AE57/X57)</f>
        <v/>
      </c>
      <c r="AJ57" s="44">
        <f>IF(OR(AI57="",AH57=""),"",(AI57-AH57)*100)</f>
        <v/>
      </c>
      <c r="AK57" s="68" t="n">
        <v>118</v>
      </c>
      <c r="AL57" s="68" t="n">
        <v>70</v>
      </c>
      <c r="AM57" s="69">
        <f>IF(OR(AL57="",AK57="",AK57=0,AL57=0),"",AL57-AK57)</f>
        <v/>
      </c>
      <c r="AN57" s="42">
        <f>IF(OR(AL57="",AK57="",AK57=0,AL57=0),"",AL57/AK57-1)</f>
        <v/>
      </c>
      <c r="AO57" s="43">
        <f>IF(OR(AK57="",AD57="",AD57=0),"",AK57/AD57)</f>
        <v/>
      </c>
      <c r="AP57" s="43">
        <f>IF(OR(AL57="",AE57="",AE57=0),"",AL57/AE57)</f>
        <v/>
      </c>
      <c r="AQ57" s="44">
        <f>IF(OR(AP57="",AO57=""),"",(AP57-AO57)*100)</f>
        <v/>
      </c>
      <c r="AR57" s="68" t="n">
        <v>102</v>
      </c>
      <c r="AS57" s="68" t="n">
        <v>52</v>
      </c>
      <c r="AT57" s="69">
        <f>IF(OR(AS57="",AR57="",AR57=0,AS57=0),"",AS57-AR57)</f>
        <v/>
      </c>
      <c r="AU57" s="42">
        <f>IF(OR(AS57="",AR57="",AR57=0,AS57=0),"",AS57/AR57-1)</f>
        <v/>
      </c>
      <c r="AV57" s="43">
        <f>IF(OR(AR57="",AK57="",AK57=0),"",AR57/AK57)</f>
        <v/>
      </c>
      <c r="AW57" s="43">
        <f>IF(OR(AS57="",AL57="",AL57=0),"",AS57/AL57)</f>
        <v/>
      </c>
      <c r="AX57" s="44">
        <f>IF(OR(AW57="",AV57=""),"",(AW57-AV57)*100)</f>
        <v/>
      </c>
      <c r="AY57" s="45">
        <f>IF(OR(AR57="",P57="",P57=0),"",AR57/P57)</f>
        <v/>
      </c>
      <c r="AZ57" s="45">
        <f>IF(OR(AS57="",Q57="",Q57=0),"",AS57/Q57)</f>
        <v/>
      </c>
      <c r="BA57" s="44">
        <f>IF(OR(AZ57="",AY57=""),"",(AZ57-AY57)*100)</f>
        <v/>
      </c>
      <c r="BB57" s="45">
        <f>IF(OR(AR57="",E57="",E57=0),"",AR57/E57)</f>
        <v/>
      </c>
      <c r="BC57" s="45">
        <f>IF(OR(AS57="",F57="",F57=0),"",AS57/F57)</f>
        <v/>
      </c>
      <c r="BD57" s="44">
        <f>IF(OR(BC57="",BB57=""),"",(BC57-BB57)*100)</f>
        <v/>
      </c>
      <c r="BE57" s="40">
        <f>IF(AND(F57&lt;&gt;"",E57&lt;&gt;""),"Both years",IF(F57&lt;&gt;"","1-23Aug26 rows only","1-23Aug25 rows only"))</f>
        <v/>
      </c>
    </row>
    <row r="58">
      <c r="A58" s="40" t="inlineStr">
        <is>
          <t>All landing pages</t>
        </is>
      </c>
      <c r="B58" s="40" t="inlineStr">
        <is>
          <t>Organic</t>
        </is>
      </c>
      <c r="C58" s="40" t="inlineStr">
        <is>
          <t>Desktop</t>
        </is>
      </c>
      <c r="D58" s="40" t="inlineStr">
        <is>
          <t>Spain</t>
        </is>
      </c>
      <c r="E58" s="68" t="n">
        <v>1395</v>
      </c>
      <c r="F58" s="68" t="n">
        <v>1125</v>
      </c>
      <c r="G58" s="69">
        <f>IF(OR(F58="",E58="",E58=0,F58=0),"",F58-E58)</f>
        <v/>
      </c>
      <c r="H58" s="42">
        <f>IF(OR(F58="",E58="",E58=0,F58=0),"",F58/E58-1)</f>
        <v/>
      </c>
      <c r="I58" s="68" t="n">
        <v>952</v>
      </c>
      <c r="J58" s="68" t="n">
        <v>653</v>
      </c>
      <c r="K58" s="69">
        <f>IF(OR(J58="",I58="",I58=0,J58=0),"",J58-I58)</f>
        <v/>
      </c>
      <c r="L58" s="42">
        <f>IF(OR(J58="",I58="",I58=0,J58=0),"",J58/I58-1)</f>
        <v/>
      </c>
      <c r="M58" s="43">
        <f>IF(OR(I58="",E58="",E58=0),"",I58/E58)</f>
        <v/>
      </c>
      <c r="N58" s="43">
        <f>IF(OR(J58="",F58="",F58=0),"",J58/F58)</f>
        <v/>
      </c>
      <c r="O58" s="44">
        <f>IF(OR(N58="",M58=""),"",(N58-M58)*100)</f>
        <v/>
      </c>
      <c r="P58" s="68" t="n">
        <v>731</v>
      </c>
      <c r="Q58" s="68" t="n">
        <v>410</v>
      </c>
      <c r="R58" s="69">
        <f>IF(OR(Q58="",P58="",P58=0,Q58=0),"",Q58-P58)</f>
        <v/>
      </c>
      <c r="S58" s="42">
        <f>IF(OR(Q58="",P58="",P58=0,Q58=0),"",Q58/P58-1)</f>
        <v/>
      </c>
      <c r="T58" s="43">
        <f>IF(OR(P58="",E58="",E58=0),"",P58/E58)</f>
        <v/>
      </c>
      <c r="U58" s="43">
        <f>IF(OR(Q58="",F58="",F58=0),"",Q58/F58)</f>
        <v/>
      </c>
      <c r="V58" s="44">
        <f>IF(OR(U58="",T58=""),"",(U58-T58)*100)</f>
        <v/>
      </c>
      <c r="W58" s="68" t="n">
        <v>165</v>
      </c>
      <c r="X58" s="68" t="n">
        <v>89</v>
      </c>
      <c r="Y58" s="69">
        <f>IF(OR(X58="",W58="",W58=0,X58=0),"",X58-W58)</f>
        <v/>
      </c>
      <c r="Z58" s="42">
        <f>IF(OR(X58="",W58="",W58=0,X58=0),"",X58/W58-1)</f>
        <v/>
      </c>
      <c r="AA58" s="43">
        <f>IF(OR(W58="",P58="",P58=0),"",W58/P58)</f>
        <v/>
      </c>
      <c r="AB58" s="43">
        <f>IF(OR(X58="",Q58="",Q58=0),"",X58/Q58)</f>
        <v/>
      </c>
      <c r="AC58" s="44">
        <f>IF(OR(AB58="",AA58=""),"",(AB58-AA58)*100)</f>
        <v/>
      </c>
      <c r="AD58" s="68" t="n">
        <v>136</v>
      </c>
      <c r="AE58" s="68" t="n">
        <v>71</v>
      </c>
      <c r="AF58" s="69">
        <f>IF(OR(AE58="",AD58="",AD58=0,AE58=0),"",AE58-AD58)</f>
        <v/>
      </c>
      <c r="AG58" s="42">
        <f>IF(OR(AE58="",AD58="",AD58=0,AE58=0),"",AE58/AD58-1)</f>
        <v/>
      </c>
      <c r="AH58" s="43">
        <f>IF(OR(AD58="",W58="",W58=0),"",AD58/W58)</f>
        <v/>
      </c>
      <c r="AI58" s="43">
        <f>IF(OR(AE58="",X58="",X58=0),"",AE58/X58)</f>
        <v/>
      </c>
      <c r="AJ58" s="44">
        <f>IF(OR(AI58="",AH58=""),"",(AI58-AH58)*100)</f>
        <v/>
      </c>
      <c r="AK58" s="68" t="n">
        <v>65</v>
      </c>
      <c r="AL58" s="68" t="n">
        <v>26</v>
      </c>
      <c r="AM58" s="69">
        <f>IF(OR(AL58="",AK58="",AK58=0,AL58=0),"",AL58-AK58)</f>
        <v/>
      </c>
      <c r="AN58" s="42">
        <f>IF(OR(AL58="",AK58="",AK58=0,AL58=0),"",AL58/AK58-1)</f>
        <v/>
      </c>
      <c r="AO58" s="43">
        <f>IF(OR(AK58="",AD58="",AD58=0),"",AK58/AD58)</f>
        <v/>
      </c>
      <c r="AP58" s="43">
        <f>IF(OR(AL58="",AE58="",AE58=0),"",AL58/AE58)</f>
        <v/>
      </c>
      <c r="AQ58" s="44">
        <f>IF(OR(AP58="",AO58=""),"",(AP58-AO58)*100)</f>
        <v/>
      </c>
      <c r="AR58" s="68" t="n">
        <v>52</v>
      </c>
      <c r="AS58" s="68" t="n">
        <v>21</v>
      </c>
      <c r="AT58" s="69">
        <f>IF(OR(AS58="",AR58="",AR58=0,AS58=0),"",AS58-AR58)</f>
        <v/>
      </c>
      <c r="AU58" s="42">
        <f>IF(OR(AS58="",AR58="",AR58=0,AS58=0),"",AS58/AR58-1)</f>
        <v/>
      </c>
      <c r="AV58" s="43">
        <f>IF(OR(AR58="",AK58="",AK58=0),"",AR58/AK58)</f>
        <v/>
      </c>
      <c r="AW58" s="43">
        <f>IF(OR(AS58="",AL58="",AL58=0),"",AS58/AL58)</f>
        <v/>
      </c>
      <c r="AX58" s="44">
        <f>IF(OR(AW58="",AV58=""),"",(AW58-AV58)*100)</f>
        <v/>
      </c>
      <c r="AY58" s="45">
        <f>IF(OR(AR58="",P58="",P58=0),"",AR58/P58)</f>
        <v/>
      </c>
      <c r="AZ58" s="45">
        <f>IF(OR(AS58="",Q58="",Q58=0),"",AS58/Q58)</f>
        <v/>
      </c>
      <c r="BA58" s="44">
        <f>IF(OR(AZ58="",AY58=""),"",(AZ58-AY58)*100)</f>
        <v/>
      </c>
      <c r="BB58" s="45">
        <f>IF(OR(AR58="",E58="",E58=0),"",AR58/E58)</f>
        <v/>
      </c>
      <c r="BC58" s="45">
        <f>IF(OR(AS58="",F58="",F58=0),"",AS58/F58)</f>
        <v/>
      </c>
      <c r="BD58" s="44">
        <f>IF(OR(BC58="",BB58=""),"",(BC58-BB58)*100)</f>
        <v/>
      </c>
      <c r="BE58" s="40">
        <f>IF(AND(F58&lt;&gt;"",E58&lt;&gt;""),"Both years",IF(F58&lt;&gt;"","1-23Aug26 rows only","1-23Aug25 rows only"))</f>
        <v/>
      </c>
    </row>
    <row r="59">
      <c r="A59" s="56" t="inlineStr">
        <is>
          <t>All landing pages</t>
        </is>
      </c>
      <c r="B59" s="56" t="inlineStr">
        <is>
          <t>Organic</t>
        </is>
      </c>
      <c r="C59" s="56" t="inlineStr">
        <is>
          <t>Desktop</t>
        </is>
      </c>
      <c r="D59" s="56" t="inlineStr">
        <is>
          <t>Poland</t>
        </is>
      </c>
      <c r="E59" s="68" t="n">
        <v>1163</v>
      </c>
      <c r="F59" s="68" t="n">
        <v>844</v>
      </c>
      <c r="G59" s="69">
        <f>IF(OR(F59="",E59="",E59=0,F59=0),"",F59-E59)</f>
        <v/>
      </c>
      <c r="H59" s="42">
        <f>IF(OR(F59="",E59="",E59=0,F59=0),"",F59/E59-1)</f>
        <v/>
      </c>
      <c r="I59" s="70" t="n"/>
      <c r="J59" s="70" t="n"/>
      <c r="K59" s="69">
        <f>IF(OR(J59="",I59="",I59=0,J59=0),"",J59-I59)</f>
        <v/>
      </c>
      <c r="L59" s="42">
        <f>IF(OR(J59="",I59="",I59=0,J59=0),"",J59/I59-1)</f>
        <v/>
      </c>
      <c r="M59" s="43">
        <f>IF(OR(I59="",E59="",E59=0),"",I59/E59)</f>
        <v/>
      </c>
      <c r="N59" s="43">
        <f>IF(OR(J59="",F59="",F59=0),"",J59/F59)</f>
        <v/>
      </c>
      <c r="O59" s="44">
        <f>IF(OR(N59="",M59=""),"",(N59-M59)*100)</f>
        <v/>
      </c>
      <c r="P59" s="68" t="n">
        <v>701</v>
      </c>
      <c r="Q59" s="68" t="n">
        <v>385</v>
      </c>
      <c r="R59" s="69">
        <f>IF(OR(Q59="",P59="",P59=0,Q59=0),"",Q59-P59)</f>
        <v/>
      </c>
      <c r="S59" s="42">
        <f>IF(OR(Q59="",P59="",P59=0,Q59=0),"",Q59/P59-1)</f>
        <v/>
      </c>
      <c r="T59" s="43">
        <f>IF(OR(P59="",E59="",E59=0),"",P59/E59)</f>
        <v/>
      </c>
      <c r="U59" s="43">
        <f>IF(OR(Q59="",F59="",F59=0),"",Q59/F59)</f>
        <v/>
      </c>
      <c r="V59" s="44">
        <f>IF(OR(U59="",T59=""),"",(U59-T59)*100)</f>
        <v/>
      </c>
      <c r="W59" s="70" t="n"/>
      <c r="X59" s="70" t="n"/>
      <c r="Y59" s="69">
        <f>IF(OR(X59="",W59="",W59=0,X59=0),"",X59-W59)</f>
        <v/>
      </c>
      <c r="Z59" s="42">
        <f>IF(OR(X59="",W59="",W59=0,X59=0),"",X59/W59-1)</f>
        <v/>
      </c>
      <c r="AA59" s="43">
        <f>IF(OR(W59="",P59="",P59=0),"",W59/P59)</f>
        <v/>
      </c>
      <c r="AB59" s="43">
        <f>IF(OR(X59="",Q59="",Q59=0),"",X59/Q59)</f>
        <v/>
      </c>
      <c r="AC59" s="44">
        <f>IF(OR(AB59="",AA59=""),"",(AB59-AA59)*100)</f>
        <v/>
      </c>
      <c r="AD59" s="70" t="n"/>
      <c r="AE59" s="70" t="n"/>
      <c r="AF59" s="69">
        <f>IF(OR(AE59="",AD59="",AD59=0,AE59=0),"",AE59-AD59)</f>
        <v/>
      </c>
      <c r="AG59" s="42">
        <f>IF(OR(AE59="",AD59="",AD59=0,AE59=0),"",AE59/AD59-1)</f>
        <v/>
      </c>
      <c r="AH59" s="43">
        <f>IF(OR(AD59="",W59="",W59=0),"",AD59/W59)</f>
        <v/>
      </c>
      <c r="AI59" s="43">
        <f>IF(OR(AE59="",X59="",X59=0),"",AE59/X59)</f>
        <v/>
      </c>
      <c r="AJ59" s="44">
        <f>IF(OR(AI59="",AH59=""),"",(AI59-AH59)*100)</f>
        <v/>
      </c>
      <c r="AK59" s="70" t="n"/>
      <c r="AL59" s="70" t="n"/>
      <c r="AM59" s="69">
        <f>IF(OR(AL59="",AK59="",AK59=0,AL59=0),"",AL59-AK59)</f>
        <v/>
      </c>
      <c r="AN59" s="42">
        <f>IF(OR(AL59="",AK59="",AK59=0,AL59=0),"",AL59/AK59-1)</f>
        <v/>
      </c>
      <c r="AO59" s="43">
        <f>IF(OR(AK59="",AD59="",AD59=0),"",AK59/AD59)</f>
        <v/>
      </c>
      <c r="AP59" s="43">
        <f>IF(OR(AL59="",AE59="",AE59=0),"",AL59/AE59)</f>
        <v/>
      </c>
      <c r="AQ59" s="44">
        <f>IF(OR(AP59="",AO59=""),"",(AP59-AO59)*100)</f>
        <v/>
      </c>
      <c r="AR59" s="70" t="n"/>
      <c r="AS59" s="70" t="n"/>
      <c r="AT59" s="69">
        <f>IF(OR(AS59="",AR59="",AR59=0,AS59=0),"",AS59-AR59)</f>
        <v/>
      </c>
      <c r="AU59" s="42">
        <f>IF(OR(AS59="",AR59="",AR59=0,AS59=0),"",AS59/AR59-1)</f>
        <v/>
      </c>
      <c r="AV59" s="43">
        <f>IF(OR(AR59="",AK59="",AK59=0),"",AR59/AK59)</f>
        <v/>
      </c>
      <c r="AW59" s="43">
        <f>IF(OR(AS59="",AL59="",AL59=0),"",AS59/AL59)</f>
        <v/>
      </c>
      <c r="AX59" s="44">
        <f>IF(OR(AW59="",AV59=""),"",(AW59-AV59)*100)</f>
        <v/>
      </c>
      <c r="AY59" s="45">
        <f>IF(OR(AR59="",P59="",P59=0),"",AR59/P59)</f>
        <v/>
      </c>
      <c r="AZ59" s="45">
        <f>IF(OR(AS59="",Q59="",Q59=0),"",AS59/Q59)</f>
        <v/>
      </c>
      <c r="BA59" s="44">
        <f>IF(OR(AZ59="",AY59=""),"",(AZ59-AY59)*100)</f>
        <v/>
      </c>
      <c r="BB59" s="45">
        <f>IF(OR(AR59="",E59="",E59=0),"",AR59/E59)</f>
        <v/>
      </c>
      <c r="BC59" s="45">
        <f>IF(OR(AS59="",F59="",F59=0),"",AS59/F59)</f>
        <v/>
      </c>
      <c r="BD59" s="44">
        <f>IF(OR(BC59="",BB59=""),"",(BC59-BB59)*100)</f>
        <v/>
      </c>
      <c r="BE59" s="40">
        <f>IF(AND(F59&lt;&gt;"",E59&lt;&gt;""),"Both years",IF(F59&lt;&gt;"","1-23Aug26 rows only","1-23Aug25 rows only"))</f>
        <v/>
      </c>
    </row>
    <row r="60">
      <c r="A60" s="40" t="inlineStr">
        <is>
          <t>All landing pages</t>
        </is>
      </c>
      <c r="B60" s="40" t="inlineStr">
        <is>
          <t>Organic</t>
        </is>
      </c>
      <c r="C60" s="40" t="inlineStr">
        <is>
          <t>Desktop</t>
        </is>
      </c>
      <c r="D60" s="40" t="inlineStr">
        <is>
          <t>Netherlands</t>
        </is>
      </c>
      <c r="E60" s="68" t="n">
        <v>923</v>
      </c>
      <c r="F60" s="68" t="n">
        <v>804</v>
      </c>
      <c r="G60" s="69">
        <f>IF(OR(F60="",E60="",E60=0,F60=0),"",F60-E60)</f>
        <v/>
      </c>
      <c r="H60" s="42">
        <f>IF(OR(F60="",E60="",E60=0,F60=0),"",F60/E60-1)</f>
        <v/>
      </c>
      <c r="I60" s="68" t="n">
        <v>604</v>
      </c>
      <c r="J60" s="68" t="n">
        <v>526</v>
      </c>
      <c r="K60" s="69">
        <f>IF(OR(J60="",I60="",I60=0,J60=0),"",J60-I60)</f>
        <v/>
      </c>
      <c r="L60" s="42">
        <f>IF(OR(J60="",I60="",I60=0,J60=0),"",J60/I60-1)</f>
        <v/>
      </c>
      <c r="M60" s="43">
        <f>IF(OR(I60="",E60="",E60=0),"",I60/E60)</f>
        <v/>
      </c>
      <c r="N60" s="43">
        <f>IF(OR(J60="",F60="",F60=0),"",J60/F60)</f>
        <v/>
      </c>
      <c r="O60" s="44">
        <f>IF(OR(N60="",M60=""),"",(N60-M60)*100)</f>
        <v/>
      </c>
      <c r="P60" s="68" t="n">
        <v>507</v>
      </c>
      <c r="Q60" s="68" t="n">
        <v>344</v>
      </c>
      <c r="R60" s="69">
        <f>IF(OR(Q60="",P60="",P60=0,Q60=0),"",Q60-P60)</f>
        <v/>
      </c>
      <c r="S60" s="42">
        <f>IF(OR(Q60="",P60="",P60=0,Q60=0),"",Q60/P60-1)</f>
        <v/>
      </c>
      <c r="T60" s="43">
        <f>IF(OR(P60="",E60="",E60=0),"",P60/E60)</f>
        <v/>
      </c>
      <c r="U60" s="43">
        <f>IF(OR(Q60="",F60="",F60=0),"",Q60/F60)</f>
        <v/>
      </c>
      <c r="V60" s="44">
        <f>IF(OR(U60="",T60=""),"",(U60-T60)*100)</f>
        <v/>
      </c>
      <c r="W60" s="68" t="n">
        <v>140</v>
      </c>
      <c r="X60" s="68" t="n">
        <v>80</v>
      </c>
      <c r="Y60" s="69">
        <f>IF(OR(X60="",W60="",W60=0,X60=0),"",X60-W60)</f>
        <v/>
      </c>
      <c r="Z60" s="42">
        <f>IF(OR(X60="",W60="",W60=0,X60=0),"",X60/W60-1)</f>
        <v/>
      </c>
      <c r="AA60" s="43">
        <f>IF(OR(W60="",P60="",P60=0),"",W60/P60)</f>
        <v/>
      </c>
      <c r="AB60" s="43">
        <f>IF(OR(X60="",Q60="",Q60=0),"",X60/Q60)</f>
        <v/>
      </c>
      <c r="AC60" s="44">
        <f>IF(OR(AB60="",AA60=""),"",(AB60-AA60)*100)</f>
        <v/>
      </c>
      <c r="AD60" s="68" t="n">
        <v>115</v>
      </c>
      <c r="AE60" s="68" t="n">
        <v>68</v>
      </c>
      <c r="AF60" s="69">
        <f>IF(OR(AE60="",AD60="",AD60=0,AE60=0),"",AE60-AD60)</f>
        <v/>
      </c>
      <c r="AG60" s="42">
        <f>IF(OR(AE60="",AD60="",AD60=0,AE60=0),"",AE60/AD60-1)</f>
        <v/>
      </c>
      <c r="AH60" s="43">
        <f>IF(OR(AD60="",W60="",W60=0),"",AD60/W60)</f>
        <v/>
      </c>
      <c r="AI60" s="43">
        <f>IF(OR(AE60="",X60="",X60=0),"",AE60/X60)</f>
        <v/>
      </c>
      <c r="AJ60" s="44">
        <f>IF(OR(AI60="",AH60=""),"",(AI60-AH60)*100)</f>
        <v/>
      </c>
      <c r="AK60" s="68" t="n">
        <v>61</v>
      </c>
      <c r="AL60" s="68" t="n">
        <v>30</v>
      </c>
      <c r="AM60" s="69">
        <f>IF(OR(AL60="",AK60="",AK60=0,AL60=0),"",AL60-AK60)</f>
        <v/>
      </c>
      <c r="AN60" s="42">
        <f>IF(OR(AL60="",AK60="",AK60=0,AL60=0),"",AL60/AK60-1)</f>
        <v/>
      </c>
      <c r="AO60" s="43">
        <f>IF(OR(AK60="",AD60="",AD60=0),"",AK60/AD60)</f>
        <v/>
      </c>
      <c r="AP60" s="43">
        <f>IF(OR(AL60="",AE60="",AE60=0),"",AL60/AE60)</f>
        <v/>
      </c>
      <c r="AQ60" s="44">
        <f>IF(OR(AP60="",AO60=""),"",(AP60-AO60)*100)</f>
        <v/>
      </c>
      <c r="AR60" s="68" t="n">
        <v>32</v>
      </c>
      <c r="AS60" s="68" t="n">
        <v>12</v>
      </c>
      <c r="AT60" s="69">
        <f>IF(OR(AS60="",AR60="",AR60=0,AS60=0),"",AS60-AR60)</f>
        <v/>
      </c>
      <c r="AU60" s="42">
        <f>IF(OR(AS60="",AR60="",AR60=0,AS60=0),"",AS60/AR60-1)</f>
        <v/>
      </c>
      <c r="AV60" s="43">
        <f>IF(OR(AR60="",AK60="",AK60=0),"",AR60/AK60)</f>
        <v/>
      </c>
      <c r="AW60" s="43">
        <f>IF(OR(AS60="",AL60="",AL60=0),"",AS60/AL60)</f>
        <v/>
      </c>
      <c r="AX60" s="44">
        <f>IF(OR(AW60="",AV60=""),"",(AW60-AV60)*100)</f>
        <v/>
      </c>
      <c r="AY60" s="45">
        <f>IF(OR(AR60="",P60="",P60=0),"",AR60/P60)</f>
        <v/>
      </c>
      <c r="AZ60" s="45">
        <f>IF(OR(AS60="",Q60="",Q60=0),"",AS60/Q60)</f>
        <v/>
      </c>
      <c r="BA60" s="44">
        <f>IF(OR(AZ60="",AY60=""),"",(AZ60-AY60)*100)</f>
        <v/>
      </c>
      <c r="BB60" s="45">
        <f>IF(OR(AR60="",E60="",E60=0),"",AR60/E60)</f>
        <v/>
      </c>
      <c r="BC60" s="45">
        <f>IF(OR(AS60="",F60="",F60=0),"",AS60/F60)</f>
        <v/>
      </c>
      <c r="BD60" s="44">
        <f>IF(OR(BC60="",BB60=""),"",(BC60-BB60)*100)</f>
        <v/>
      </c>
      <c r="BE60" s="40">
        <f>IF(AND(F60&lt;&gt;"",E60&lt;&gt;""),"Both years",IF(F60&lt;&gt;"","1-23Aug26 rows only","1-23Aug25 rows only"))</f>
        <v/>
      </c>
    </row>
    <row r="61">
      <c r="A61" s="56" t="inlineStr">
        <is>
          <t>All landing pages</t>
        </is>
      </c>
      <c r="B61" s="56" t="inlineStr">
        <is>
          <t>Organic</t>
        </is>
      </c>
      <c r="C61" s="56" t="inlineStr">
        <is>
          <t>Desktop</t>
        </is>
      </c>
      <c r="D61" s="56" t="inlineStr">
        <is>
          <t>Australia</t>
        </is>
      </c>
      <c r="E61" s="68" t="n">
        <v>895</v>
      </c>
      <c r="F61" s="68" t="n">
        <v>660</v>
      </c>
      <c r="G61" s="69">
        <f>IF(OR(F61="",E61="",E61=0,F61=0),"",F61-E61)</f>
        <v/>
      </c>
      <c r="H61" s="42">
        <f>IF(OR(F61="",E61="",E61=0,F61=0),"",F61/E61-1)</f>
        <v/>
      </c>
      <c r="I61" s="70" t="n"/>
      <c r="J61" s="70" t="n"/>
      <c r="K61" s="69">
        <f>IF(OR(J61="",I61="",I61=0,J61=0),"",J61-I61)</f>
        <v/>
      </c>
      <c r="L61" s="42">
        <f>IF(OR(J61="",I61="",I61=0,J61=0),"",J61/I61-1)</f>
        <v/>
      </c>
      <c r="M61" s="43">
        <f>IF(OR(I61="",E61="",E61=0),"",I61/E61)</f>
        <v/>
      </c>
      <c r="N61" s="43">
        <f>IF(OR(J61="",F61="",F61=0),"",J61/F61)</f>
        <v/>
      </c>
      <c r="O61" s="44">
        <f>IF(OR(N61="",M61=""),"",(N61-M61)*100)</f>
        <v/>
      </c>
      <c r="P61" s="68" t="n">
        <v>420</v>
      </c>
      <c r="Q61" s="68" t="n">
        <v>303</v>
      </c>
      <c r="R61" s="69">
        <f>IF(OR(Q61="",P61="",P61=0,Q61=0),"",Q61-P61)</f>
        <v/>
      </c>
      <c r="S61" s="42">
        <f>IF(OR(Q61="",P61="",P61=0,Q61=0),"",Q61/P61-1)</f>
        <v/>
      </c>
      <c r="T61" s="43">
        <f>IF(OR(P61="",E61="",E61=0),"",P61/E61)</f>
        <v/>
      </c>
      <c r="U61" s="43">
        <f>IF(OR(Q61="",F61="",F61=0),"",Q61/F61)</f>
        <v/>
      </c>
      <c r="V61" s="44">
        <f>IF(OR(U61="",T61=""),"",(U61-T61)*100)</f>
        <v/>
      </c>
      <c r="W61" s="70" t="n"/>
      <c r="X61" s="70" t="n"/>
      <c r="Y61" s="69">
        <f>IF(OR(X61="",W61="",W61=0,X61=0),"",X61-W61)</f>
        <v/>
      </c>
      <c r="Z61" s="42">
        <f>IF(OR(X61="",W61="",W61=0,X61=0),"",X61/W61-1)</f>
        <v/>
      </c>
      <c r="AA61" s="43">
        <f>IF(OR(W61="",P61="",P61=0),"",W61/P61)</f>
        <v/>
      </c>
      <c r="AB61" s="43">
        <f>IF(OR(X61="",Q61="",Q61=0),"",X61/Q61)</f>
        <v/>
      </c>
      <c r="AC61" s="44">
        <f>IF(OR(AB61="",AA61=""),"",(AB61-AA61)*100)</f>
        <v/>
      </c>
      <c r="AD61" s="70" t="n"/>
      <c r="AE61" s="70" t="n"/>
      <c r="AF61" s="69">
        <f>IF(OR(AE61="",AD61="",AD61=0,AE61=0),"",AE61-AD61)</f>
        <v/>
      </c>
      <c r="AG61" s="42">
        <f>IF(OR(AE61="",AD61="",AD61=0,AE61=0),"",AE61/AD61-1)</f>
        <v/>
      </c>
      <c r="AH61" s="43">
        <f>IF(OR(AD61="",W61="",W61=0),"",AD61/W61)</f>
        <v/>
      </c>
      <c r="AI61" s="43">
        <f>IF(OR(AE61="",X61="",X61=0),"",AE61/X61)</f>
        <v/>
      </c>
      <c r="AJ61" s="44">
        <f>IF(OR(AI61="",AH61=""),"",(AI61-AH61)*100)</f>
        <v/>
      </c>
      <c r="AK61" s="70" t="n"/>
      <c r="AL61" s="70" t="n"/>
      <c r="AM61" s="69">
        <f>IF(OR(AL61="",AK61="",AK61=0,AL61=0),"",AL61-AK61)</f>
        <v/>
      </c>
      <c r="AN61" s="42">
        <f>IF(OR(AL61="",AK61="",AK61=0,AL61=0),"",AL61/AK61-1)</f>
        <v/>
      </c>
      <c r="AO61" s="43">
        <f>IF(OR(AK61="",AD61="",AD61=0),"",AK61/AD61)</f>
        <v/>
      </c>
      <c r="AP61" s="43">
        <f>IF(OR(AL61="",AE61="",AE61=0),"",AL61/AE61)</f>
        <v/>
      </c>
      <c r="AQ61" s="44">
        <f>IF(OR(AP61="",AO61=""),"",(AP61-AO61)*100)</f>
        <v/>
      </c>
      <c r="AR61" s="70" t="n"/>
      <c r="AS61" s="70" t="n"/>
      <c r="AT61" s="69">
        <f>IF(OR(AS61="",AR61="",AR61=0,AS61=0),"",AS61-AR61)</f>
        <v/>
      </c>
      <c r="AU61" s="42">
        <f>IF(OR(AS61="",AR61="",AR61=0,AS61=0),"",AS61/AR61-1)</f>
        <v/>
      </c>
      <c r="AV61" s="43">
        <f>IF(OR(AR61="",AK61="",AK61=0),"",AR61/AK61)</f>
        <v/>
      </c>
      <c r="AW61" s="43">
        <f>IF(OR(AS61="",AL61="",AL61=0),"",AS61/AL61)</f>
        <v/>
      </c>
      <c r="AX61" s="44">
        <f>IF(OR(AW61="",AV61=""),"",(AW61-AV61)*100)</f>
        <v/>
      </c>
      <c r="AY61" s="45">
        <f>IF(OR(AR61="",P61="",P61=0),"",AR61/P61)</f>
        <v/>
      </c>
      <c r="AZ61" s="45">
        <f>IF(OR(AS61="",Q61="",Q61=0),"",AS61/Q61)</f>
        <v/>
      </c>
      <c r="BA61" s="44">
        <f>IF(OR(AZ61="",AY61=""),"",(AZ61-AY61)*100)</f>
        <v/>
      </c>
      <c r="BB61" s="45">
        <f>IF(OR(AR61="",E61="",E61=0),"",AR61/E61)</f>
        <v/>
      </c>
      <c r="BC61" s="45">
        <f>IF(OR(AS61="",F61="",F61=0),"",AS61/F61)</f>
        <v/>
      </c>
      <c r="BD61" s="44">
        <f>IF(OR(BC61="",BB61=""),"",(BC61-BB61)*100)</f>
        <v/>
      </c>
      <c r="BE61" s="40">
        <f>IF(AND(F61&lt;&gt;"",E61&lt;&gt;""),"Both years",IF(F61&lt;&gt;"","1-23Aug26 rows only","1-23Aug25 rows only"))</f>
        <v/>
      </c>
    </row>
    <row r="62">
      <c r="A62" s="40" t="inlineStr">
        <is>
          <t>All landing pages</t>
        </is>
      </c>
      <c r="B62" s="40" t="inlineStr">
        <is>
          <t>Organic</t>
        </is>
      </c>
      <c r="C62" s="40" t="inlineStr">
        <is>
          <t>Desktop</t>
        </is>
      </c>
      <c r="D62" s="40" t="inlineStr">
        <is>
          <t>France</t>
        </is>
      </c>
      <c r="E62" s="68" t="n">
        <v>1313</v>
      </c>
      <c r="F62" s="68" t="n">
        <v>615</v>
      </c>
      <c r="G62" s="69">
        <f>IF(OR(F62="",E62="",E62=0,F62=0),"",F62-E62)</f>
        <v/>
      </c>
      <c r="H62" s="42">
        <f>IF(OR(F62="",E62="",E62=0,F62=0),"",F62/E62-1)</f>
        <v/>
      </c>
      <c r="I62" s="68" t="n">
        <v>936</v>
      </c>
      <c r="J62" s="68" t="n">
        <v>421</v>
      </c>
      <c r="K62" s="69">
        <f>IF(OR(J62="",I62="",I62=0,J62=0),"",J62-I62)</f>
        <v/>
      </c>
      <c r="L62" s="42">
        <f>IF(OR(J62="",I62="",I62=0,J62=0),"",J62/I62-1)</f>
        <v/>
      </c>
      <c r="M62" s="43">
        <f>IF(OR(I62="",E62="",E62=0),"",I62/E62)</f>
        <v/>
      </c>
      <c r="N62" s="43">
        <f>IF(OR(J62="",F62="",F62=0),"",J62/F62)</f>
        <v/>
      </c>
      <c r="O62" s="44">
        <f>IF(OR(N62="",M62=""),"",(N62-M62)*100)</f>
        <v/>
      </c>
      <c r="P62" s="68" t="n">
        <v>677</v>
      </c>
      <c r="Q62" s="68" t="n">
        <v>256</v>
      </c>
      <c r="R62" s="69">
        <f>IF(OR(Q62="",P62="",P62=0,Q62=0),"",Q62-P62)</f>
        <v/>
      </c>
      <c r="S62" s="42">
        <f>IF(OR(Q62="",P62="",P62=0,Q62=0),"",Q62/P62-1)</f>
        <v/>
      </c>
      <c r="T62" s="43">
        <f>IF(OR(P62="",E62="",E62=0),"",P62/E62)</f>
        <v/>
      </c>
      <c r="U62" s="43">
        <f>IF(OR(Q62="",F62="",F62=0),"",Q62/F62)</f>
        <v/>
      </c>
      <c r="V62" s="44">
        <f>IF(OR(U62="",T62=""),"",(U62-T62)*100)</f>
        <v/>
      </c>
      <c r="W62" s="68" t="n">
        <v>213</v>
      </c>
      <c r="X62" s="68" t="n">
        <v>68</v>
      </c>
      <c r="Y62" s="69">
        <f>IF(OR(X62="",W62="",W62=0,X62=0),"",X62-W62)</f>
        <v/>
      </c>
      <c r="Z62" s="42">
        <f>IF(OR(X62="",W62="",W62=0,X62=0),"",X62/W62-1)</f>
        <v/>
      </c>
      <c r="AA62" s="43">
        <f>IF(OR(W62="",P62="",P62=0),"",W62/P62)</f>
        <v/>
      </c>
      <c r="AB62" s="43">
        <f>IF(OR(X62="",Q62="",Q62=0),"",X62/Q62)</f>
        <v/>
      </c>
      <c r="AC62" s="44">
        <f>IF(OR(AB62="",AA62=""),"",(AB62-AA62)*100)</f>
        <v/>
      </c>
      <c r="AD62" s="68" t="n">
        <v>186</v>
      </c>
      <c r="AE62" s="68" t="n">
        <v>56</v>
      </c>
      <c r="AF62" s="69">
        <f>IF(OR(AE62="",AD62="",AD62=0,AE62=0),"",AE62-AD62)</f>
        <v/>
      </c>
      <c r="AG62" s="42">
        <f>IF(OR(AE62="",AD62="",AD62=0,AE62=0),"",AE62/AD62-1)</f>
        <v/>
      </c>
      <c r="AH62" s="43">
        <f>IF(OR(AD62="",W62="",W62=0),"",AD62/W62)</f>
        <v/>
      </c>
      <c r="AI62" s="43">
        <f>IF(OR(AE62="",X62="",X62=0),"",AE62/X62)</f>
        <v/>
      </c>
      <c r="AJ62" s="44">
        <f>IF(OR(AI62="",AH62=""),"",(AI62-AH62)*100)</f>
        <v/>
      </c>
      <c r="AK62" s="68" t="n">
        <v>80</v>
      </c>
      <c r="AL62" s="68" t="n">
        <v>13</v>
      </c>
      <c r="AM62" s="69">
        <f>IF(OR(AL62="",AK62="",AK62=0,AL62=0),"",AL62-AK62)</f>
        <v/>
      </c>
      <c r="AN62" s="42">
        <f>IF(OR(AL62="",AK62="",AK62=0,AL62=0),"",AL62/AK62-1)</f>
        <v/>
      </c>
      <c r="AO62" s="43">
        <f>IF(OR(AK62="",AD62="",AD62=0),"",AK62/AD62)</f>
        <v/>
      </c>
      <c r="AP62" s="43">
        <f>IF(OR(AL62="",AE62="",AE62=0),"",AL62/AE62)</f>
        <v/>
      </c>
      <c r="AQ62" s="44">
        <f>IF(OR(AP62="",AO62=""),"",(AP62-AO62)*100)</f>
        <v/>
      </c>
      <c r="AR62" s="68" t="n">
        <v>66</v>
      </c>
      <c r="AS62" s="68" t="n">
        <v>9</v>
      </c>
      <c r="AT62" s="69">
        <f>IF(OR(AS62="",AR62="",AR62=0,AS62=0),"",AS62-AR62)</f>
        <v/>
      </c>
      <c r="AU62" s="42">
        <f>IF(OR(AS62="",AR62="",AR62=0,AS62=0),"",AS62/AR62-1)</f>
        <v/>
      </c>
      <c r="AV62" s="43">
        <f>IF(OR(AR62="",AK62="",AK62=0),"",AR62/AK62)</f>
        <v/>
      </c>
      <c r="AW62" s="43">
        <f>IF(OR(AS62="",AL62="",AL62=0),"",AS62/AL62)</f>
        <v/>
      </c>
      <c r="AX62" s="44">
        <f>IF(OR(AW62="",AV62=""),"",(AW62-AV62)*100)</f>
        <v/>
      </c>
      <c r="AY62" s="45">
        <f>IF(OR(AR62="",P62="",P62=0),"",AR62/P62)</f>
        <v/>
      </c>
      <c r="AZ62" s="45">
        <f>IF(OR(AS62="",Q62="",Q62=0),"",AS62/Q62)</f>
        <v/>
      </c>
      <c r="BA62" s="44">
        <f>IF(OR(AZ62="",AY62=""),"",(AZ62-AY62)*100)</f>
        <v/>
      </c>
      <c r="BB62" s="45">
        <f>IF(OR(AR62="",E62="",E62=0),"",AR62/E62)</f>
        <v/>
      </c>
      <c r="BC62" s="45">
        <f>IF(OR(AS62="",F62="",F62=0),"",AS62/F62)</f>
        <v/>
      </c>
      <c r="BD62" s="44">
        <f>IF(OR(BC62="",BB62=""),"",(BC62-BB62)*100)</f>
        <v/>
      </c>
      <c r="BE62" s="40">
        <f>IF(AND(F62&lt;&gt;"",E62&lt;&gt;""),"Both years",IF(F62&lt;&gt;"","1-23Aug26 rows only","1-23Aug25 rows only"))</f>
        <v/>
      </c>
    </row>
    <row r="63">
      <c r="A63" s="56" t="inlineStr">
        <is>
          <t>All landing pages</t>
        </is>
      </c>
      <c r="B63" s="56" t="inlineStr">
        <is>
          <t>Organic</t>
        </is>
      </c>
      <c r="C63" s="56" t="inlineStr">
        <is>
          <t>Desktop</t>
        </is>
      </c>
      <c r="D63" s="56" t="inlineStr">
        <is>
          <t>Ireland</t>
        </is>
      </c>
      <c r="E63" s="68" t="n">
        <v>650</v>
      </c>
      <c r="F63" s="68" t="n">
        <v>587</v>
      </c>
      <c r="G63" s="69">
        <f>IF(OR(F63="",E63="",E63=0,F63=0),"",F63-E63)</f>
        <v/>
      </c>
      <c r="H63" s="42">
        <f>IF(OR(F63="",E63="",E63=0,F63=0),"",F63/E63-1)</f>
        <v/>
      </c>
      <c r="I63" s="68" t="n">
        <v>452</v>
      </c>
      <c r="J63" s="68" t="n">
        <v>380</v>
      </c>
      <c r="K63" s="69">
        <f>IF(OR(J63="",I63="",I63=0,J63=0),"",J63-I63)</f>
        <v/>
      </c>
      <c r="L63" s="42">
        <f>IF(OR(J63="",I63="",I63=0,J63=0),"",J63/I63-1)</f>
        <v/>
      </c>
      <c r="M63" s="43">
        <f>IF(OR(I63="",E63="",E63=0),"",I63/E63)</f>
        <v/>
      </c>
      <c r="N63" s="43">
        <f>IF(OR(J63="",F63="",F63=0),"",J63/F63)</f>
        <v/>
      </c>
      <c r="O63" s="44">
        <f>IF(OR(N63="",M63=""),"",(N63-M63)*100)</f>
        <v/>
      </c>
      <c r="P63" s="68" t="n">
        <v>390</v>
      </c>
      <c r="Q63" s="68" t="n">
        <v>252</v>
      </c>
      <c r="R63" s="69">
        <f>IF(OR(Q63="",P63="",P63=0,Q63=0),"",Q63-P63)</f>
        <v/>
      </c>
      <c r="S63" s="42">
        <f>IF(OR(Q63="",P63="",P63=0,Q63=0),"",Q63/P63-1)</f>
        <v/>
      </c>
      <c r="T63" s="43">
        <f>IF(OR(P63="",E63="",E63=0),"",P63/E63)</f>
        <v/>
      </c>
      <c r="U63" s="43">
        <f>IF(OR(Q63="",F63="",F63=0),"",Q63/F63)</f>
        <v/>
      </c>
      <c r="V63" s="44">
        <f>IF(OR(U63="",T63=""),"",(U63-T63)*100)</f>
        <v/>
      </c>
      <c r="W63" s="68" t="n">
        <v>105</v>
      </c>
      <c r="X63" s="68" t="n">
        <v>59</v>
      </c>
      <c r="Y63" s="69">
        <f>IF(OR(X63="",W63="",W63=0,X63=0),"",X63-W63)</f>
        <v/>
      </c>
      <c r="Z63" s="42">
        <f>IF(OR(X63="",W63="",W63=0,X63=0),"",X63/W63-1)</f>
        <v/>
      </c>
      <c r="AA63" s="43">
        <f>IF(OR(W63="",P63="",P63=0),"",W63/P63)</f>
        <v/>
      </c>
      <c r="AB63" s="43">
        <f>IF(OR(X63="",Q63="",Q63=0),"",X63/Q63)</f>
        <v/>
      </c>
      <c r="AC63" s="44">
        <f>IF(OR(AB63="",AA63=""),"",(AB63-AA63)*100)</f>
        <v/>
      </c>
      <c r="AD63" s="68" t="n">
        <v>94</v>
      </c>
      <c r="AE63" s="68" t="n">
        <v>44</v>
      </c>
      <c r="AF63" s="69">
        <f>IF(OR(AE63="",AD63="",AD63=0,AE63=0),"",AE63-AD63)</f>
        <v/>
      </c>
      <c r="AG63" s="42">
        <f>IF(OR(AE63="",AD63="",AD63=0,AE63=0),"",AE63/AD63-1)</f>
        <v/>
      </c>
      <c r="AH63" s="43">
        <f>IF(OR(AD63="",W63="",W63=0),"",AD63/W63)</f>
        <v/>
      </c>
      <c r="AI63" s="43">
        <f>IF(OR(AE63="",X63="",X63=0),"",AE63/X63)</f>
        <v/>
      </c>
      <c r="AJ63" s="44">
        <f>IF(OR(AI63="",AH63=""),"",(AI63-AH63)*100)</f>
        <v/>
      </c>
      <c r="AK63" s="68" t="n">
        <v>55</v>
      </c>
      <c r="AL63" s="68" t="n">
        <v>20</v>
      </c>
      <c r="AM63" s="69">
        <f>IF(OR(AL63="",AK63="",AK63=0,AL63=0),"",AL63-AK63)</f>
        <v/>
      </c>
      <c r="AN63" s="42">
        <f>IF(OR(AL63="",AK63="",AK63=0,AL63=0),"",AL63/AK63-1)</f>
        <v/>
      </c>
      <c r="AO63" s="43">
        <f>IF(OR(AK63="",AD63="",AD63=0),"",AK63/AD63)</f>
        <v/>
      </c>
      <c r="AP63" s="43">
        <f>IF(OR(AL63="",AE63="",AE63=0),"",AL63/AE63)</f>
        <v/>
      </c>
      <c r="AQ63" s="44">
        <f>IF(OR(AP63="",AO63=""),"",(AP63-AO63)*100)</f>
        <v/>
      </c>
      <c r="AR63" s="68" t="n">
        <v>48</v>
      </c>
      <c r="AS63" s="68" t="n">
        <v>15</v>
      </c>
      <c r="AT63" s="69">
        <f>IF(OR(AS63="",AR63="",AR63=0,AS63=0),"",AS63-AR63)</f>
        <v/>
      </c>
      <c r="AU63" s="42">
        <f>IF(OR(AS63="",AR63="",AR63=0,AS63=0),"",AS63/AR63-1)</f>
        <v/>
      </c>
      <c r="AV63" s="43">
        <f>IF(OR(AR63="",AK63="",AK63=0),"",AR63/AK63)</f>
        <v/>
      </c>
      <c r="AW63" s="43">
        <f>IF(OR(AS63="",AL63="",AL63=0),"",AS63/AL63)</f>
        <v/>
      </c>
      <c r="AX63" s="44">
        <f>IF(OR(AW63="",AV63=""),"",(AW63-AV63)*100)</f>
        <v/>
      </c>
      <c r="AY63" s="45">
        <f>IF(OR(AR63="",P63="",P63=0),"",AR63/P63)</f>
        <v/>
      </c>
      <c r="AZ63" s="45">
        <f>IF(OR(AS63="",Q63="",Q63=0),"",AS63/Q63)</f>
        <v/>
      </c>
      <c r="BA63" s="44">
        <f>IF(OR(AZ63="",AY63=""),"",(AZ63-AY63)*100)</f>
        <v/>
      </c>
      <c r="BB63" s="45">
        <f>IF(OR(AR63="",E63="",E63=0),"",AR63/E63)</f>
        <v/>
      </c>
      <c r="BC63" s="45">
        <f>IF(OR(AS63="",F63="",F63=0),"",AS63/F63)</f>
        <v/>
      </c>
      <c r="BD63" s="44">
        <f>IF(OR(BC63="",BB63=""),"",(BC63-BB63)*100)</f>
        <v/>
      </c>
      <c r="BE63" s="40">
        <f>IF(AND(F63&lt;&gt;"",E63&lt;&gt;""),"Both years",IF(F63&lt;&gt;"","1-23Aug26 rows only","1-23Aug25 rows only"))</f>
        <v/>
      </c>
    </row>
    <row r="64">
      <c r="A64" s="40" t="inlineStr">
        <is>
          <t>All landing pages</t>
        </is>
      </c>
      <c r="B64" s="40" t="inlineStr">
        <is>
          <t>Organic</t>
        </is>
      </c>
      <c r="C64" s="40" t="inlineStr">
        <is>
          <t>Desktop</t>
        </is>
      </c>
      <c r="D64" s="40" t="inlineStr">
        <is>
          <t>Belgium</t>
        </is>
      </c>
      <c r="E64" s="68" t="n">
        <v>535</v>
      </c>
      <c r="F64" s="68" t="n">
        <v>511</v>
      </c>
      <c r="G64" s="69">
        <f>IF(OR(F64="",E64="",E64=0,F64=0),"",F64-E64)</f>
        <v/>
      </c>
      <c r="H64" s="42">
        <f>IF(OR(F64="",E64="",E64=0,F64=0),"",F64/E64-1)</f>
        <v/>
      </c>
      <c r="I64" s="68" t="n">
        <v>392</v>
      </c>
      <c r="J64" s="68" t="n">
        <v>330</v>
      </c>
      <c r="K64" s="69">
        <f>IF(OR(J64="",I64="",I64=0,J64=0),"",J64-I64)</f>
        <v/>
      </c>
      <c r="L64" s="42">
        <f>IF(OR(J64="",I64="",I64=0,J64=0),"",J64/I64-1)</f>
        <v/>
      </c>
      <c r="M64" s="43">
        <f>IF(OR(I64="",E64="",E64=0),"",I64/E64)</f>
        <v/>
      </c>
      <c r="N64" s="43">
        <f>IF(OR(J64="",F64="",F64=0),"",J64/F64)</f>
        <v/>
      </c>
      <c r="O64" s="44">
        <f>IF(OR(N64="",M64=""),"",(N64-M64)*100)</f>
        <v/>
      </c>
      <c r="P64" s="68" t="n">
        <v>326</v>
      </c>
      <c r="Q64" s="68" t="n">
        <v>235</v>
      </c>
      <c r="R64" s="69">
        <f>IF(OR(Q64="",P64="",P64=0,Q64=0),"",Q64-P64)</f>
        <v/>
      </c>
      <c r="S64" s="42">
        <f>IF(OR(Q64="",P64="",P64=0,Q64=0),"",Q64/P64-1)</f>
        <v/>
      </c>
      <c r="T64" s="43">
        <f>IF(OR(P64="",E64="",E64=0),"",P64/E64)</f>
        <v/>
      </c>
      <c r="U64" s="43">
        <f>IF(OR(Q64="",F64="",F64=0),"",Q64/F64)</f>
        <v/>
      </c>
      <c r="V64" s="44">
        <f>IF(OR(U64="",T64=""),"",(U64-T64)*100)</f>
        <v/>
      </c>
      <c r="W64" s="68" t="n">
        <v>74</v>
      </c>
      <c r="X64" s="68" t="n">
        <v>59</v>
      </c>
      <c r="Y64" s="69">
        <f>IF(OR(X64="",W64="",W64=0,X64=0),"",X64-W64)</f>
        <v/>
      </c>
      <c r="Z64" s="42">
        <f>IF(OR(X64="",W64="",W64=0,X64=0),"",X64/W64-1)</f>
        <v/>
      </c>
      <c r="AA64" s="43">
        <f>IF(OR(W64="",P64="",P64=0),"",W64/P64)</f>
        <v/>
      </c>
      <c r="AB64" s="43">
        <f>IF(OR(X64="",Q64="",Q64=0),"",X64/Q64)</f>
        <v/>
      </c>
      <c r="AC64" s="44">
        <f>IF(OR(AB64="",AA64=""),"",(AB64-AA64)*100)</f>
        <v/>
      </c>
      <c r="AD64" s="68" t="n">
        <v>51</v>
      </c>
      <c r="AE64" s="68" t="n">
        <v>42</v>
      </c>
      <c r="AF64" s="69">
        <f>IF(OR(AE64="",AD64="",AD64=0,AE64=0),"",AE64-AD64)</f>
        <v/>
      </c>
      <c r="AG64" s="42">
        <f>IF(OR(AE64="",AD64="",AD64=0,AE64=0),"",AE64/AD64-1)</f>
        <v/>
      </c>
      <c r="AH64" s="43">
        <f>IF(OR(AD64="",W64="",W64=0),"",AD64/W64)</f>
        <v/>
      </c>
      <c r="AI64" s="43">
        <f>IF(OR(AE64="",X64="",X64=0),"",AE64/X64)</f>
        <v/>
      </c>
      <c r="AJ64" s="44">
        <f>IF(OR(AI64="",AH64=""),"",(AI64-AH64)*100)</f>
        <v/>
      </c>
      <c r="AK64" s="68" t="n">
        <v>20</v>
      </c>
      <c r="AL64" s="68" t="n">
        <v>19</v>
      </c>
      <c r="AM64" s="69">
        <f>IF(OR(AL64="",AK64="",AK64=0,AL64=0),"",AL64-AK64)</f>
        <v/>
      </c>
      <c r="AN64" s="42">
        <f>IF(OR(AL64="",AK64="",AK64=0,AL64=0),"",AL64/AK64-1)</f>
        <v/>
      </c>
      <c r="AO64" s="43">
        <f>IF(OR(AK64="",AD64="",AD64=0),"",AK64/AD64)</f>
        <v/>
      </c>
      <c r="AP64" s="43">
        <f>IF(OR(AL64="",AE64="",AE64=0),"",AL64/AE64)</f>
        <v/>
      </c>
      <c r="AQ64" s="44">
        <f>IF(OR(AP64="",AO64=""),"",(AP64-AO64)*100)</f>
        <v/>
      </c>
      <c r="AR64" s="68" t="n">
        <v>20</v>
      </c>
      <c r="AS64" s="68" t="n">
        <v>18</v>
      </c>
      <c r="AT64" s="69">
        <f>IF(OR(AS64="",AR64="",AR64=0,AS64=0),"",AS64-AR64)</f>
        <v/>
      </c>
      <c r="AU64" s="42">
        <f>IF(OR(AS64="",AR64="",AR64=0,AS64=0),"",AS64/AR64-1)</f>
        <v/>
      </c>
      <c r="AV64" s="43">
        <f>IF(OR(AR64="",AK64="",AK64=0),"",AR64/AK64)</f>
        <v/>
      </c>
      <c r="AW64" s="43">
        <f>IF(OR(AS64="",AL64="",AL64=0),"",AS64/AL64)</f>
        <v/>
      </c>
      <c r="AX64" s="44">
        <f>IF(OR(AW64="",AV64=""),"",(AW64-AV64)*100)</f>
        <v/>
      </c>
      <c r="AY64" s="45">
        <f>IF(OR(AR64="",P64="",P64=0),"",AR64/P64)</f>
        <v/>
      </c>
      <c r="AZ64" s="45">
        <f>IF(OR(AS64="",Q64="",Q64=0),"",AS64/Q64)</f>
        <v/>
      </c>
      <c r="BA64" s="44">
        <f>IF(OR(AZ64="",AY64=""),"",(AZ64-AY64)*100)</f>
        <v/>
      </c>
      <c r="BB64" s="45">
        <f>IF(OR(AR64="",E64="",E64=0),"",AR64/E64)</f>
        <v/>
      </c>
      <c r="BC64" s="45">
        <f>IF(OR(AS64="",F64="",F64=0),"",AS64/F64)</f>
        <v/>
      </c>
      <c r="BD64" s="44">
        <f>IF(OR(BC64="",BB64=""),"",(BC64-BB64)*100)</f>
        <v/>
      </c>
      <c r="BE64" s="40">
        <f>IF(AND(F64&lt;&gt;"",E64&lt;&gt;""),"Both years",IF(F64&lt;&gt;"","1-23Aug26 rows only","1-23Aug25 rows only"))</f>
        <v/>
      </c>
    </row>
    <row r="65">
      <c r="A65" s="56" t="inlineStr">
        <is>
          <t>All landing pages</t>
        </is>
      </c>
      <c r="B65" s="56" t="inlineStr">
        <is>
          <t>Organic</t>
        </is>
      </c>
      <c r="C65" s="56" t="inlineStr">
        <is>
          <t>Desktop</t>
        </is>
      </c>
      <c r="D65" s="56" t="inlineStr">
        <is>
          <t>Portugal</t>
        </is>
      </c>
      <c r="E65" s="68" t="n">
        <v>566</v>
      </c>
      <c r="F65" s="68" t="n">
        <v>479</v>
      </c>
      <c r="G65" s="69">
        <f>IF(OR(F65="",E65="",E65=0,F65=0),"",F65-E65)</f>
        <v/>
      </c>
      <c r="H65" s="42">
        <f>IF(OR(F65="",E65="",E65=0,F65=0),"",F65/E65-1)</f>
        <v/>
      </c>
      <c r="I65" s="70" t="n"/>
      <c r="J65" s="70" t="n"/>
      <c r="K65" s="69">
        <f>IF(OR(J65="",I65="",I65=0,J65=0),"",J65-I65)</f>
        <v/>
      </c>
      <c r="L65" s="42">
        <f>IF(OR(J65="",I65="",I65=0,J65=0),"",J65/I65-1)</f>
        <v/>
      </c>
      <c r="M65" s="43">
        <f>IF(OR(I65="",E65="",E65=0),"",I65/E65)</f>
        <v/>
      </c>
      <c r="N65" s="43">
        <f>IF(OR(J65="",F65="",F65=0),"",J65/F65)</f>
        <v/>
      </c>
      <c r="O65" s="44">
        <f>IF(OR(N65="",M65=""),"",(N65-M65)*100)</f>
        <v/>
      </c>
      <c r="P65" s="68" t="n">
        <v>300</v>
      </c>
      <c r="Q65" s="70" t="n"/>
      <c r="R65" s="69">
        <f>IF(OR(Q65="",P65="",P65=0,Q65=0),"",Q65-P65)</f>
        <v/>
      </c>
      <c r="S65" s="42">
        <f>IF(OR(Q65="",P65="",P65=0,Q65=0),"",Q65/P65-1)</f>
        <v/>
      </c>
      <c r="T65" s="43">
        <f>IF(OR(P65="",E65="",E65=0),"",P65/E65)</f>
        <v/>
      </c>
      <c r="U65" s="43">
        <f>IF(OR(Q65="",F65="",F65=0),"",Q65/F65)</f>
        <v/>
      </c>
      <c r="V65" s="44">
        <f>IF(OR(U65="",T65=""),"",(U65-T65)*100)</f>
        <v/>
      </c>
      <c r="W65" s="70" t="n"/>
      <c r="X65" s="70" t="n"/>
      <c r="Y65" s="69">
        <f>IF(OR(X65="",W65="",W65=0,X65=0),"",X65-W65)</f>
        <v/>
      </c>
      <c r="Z65" s="42">
        <f>IF(OR(X65="",W65="",W65=0,X65=0),"",X65/W65-1)</f>
        <v/>
      </c>
      <c r="AA65" s="43">
        <f>IF(OR(W65="",P65="",P65=0),"",W65/P65)</f>
        <v/>
      </c>
      <c r="AB65" s="43">
        <f>IF(OR(X65="",Q65="",Q65=0),"",X65/Q65)</f>
        <v/>
      </c>
      <c r="AC65" s="44">
        <f>IF(OR(AB65="",AA65=""),"",(AB65-AA65)*100)</f>
        <v/>
      </c>
      <c r="AD65" s="70" t="n"/>
      <c r="AE65" s="70" t="n"/>
      <c r="AF65" s="69">
        <f>IF(OR(AE65="",AD65="",AD65=0,AE65=0),"",AE65-AD65)</f>
        <v/>
      </c>
      <c r="AG65" s="42">
        <f>IF(OR(AE65="",AD65="",AD65=0,AE65=0),"",AE65/AD65-1)</f>
        <v/>
      </c>
      <c r="AH65" s="43">
        <f>IF(OR(AD65="",W65="",W65=0),"",AD65/W65)</f>
        <v/>
      </c>
      <c r="AI65" s="43">
        <f>IF(OR(AE65="",X65="",X65=0),"",AE65/X65)</f>
        <v/>
      </c>
      <c r="AJ65" s="44">
        <f>IF(OR(AI65="",AH65=""),"",(AI65-AH65)*100)</f>
        <v/>
      </c>
      <c r="AK65" s="70" t="n"/>
      <c r="AL65" s="70" t="n"/>
      <c r="AM65" s="69">
        <f>IF(OR(AL65="",AK65="",AK65=0,AL65=0),"",AL65-AK65)</f>
        <v/>
      </c>
      <c r="AN65" s="42">
        <f>IF(OR(AL65="",AK65="",AK65=0,AL65=0),"",AL65/AK65-1)</f>
        <v/>
      </c>
      <c r="AO65" s="43">
        <f>IF(OR(AK65="",AD65="",AD65=0),"",AK65/AD65)</f>
        <v/>
      </c>
      <c r="AP65" s="43">
        <f>IF(OR(AL65="",AE65="",AE65=0),"",AL65/AE65)</f>
        <v/>
      </c>
      <c r="AQ65" s="44">
        <f>IF(OR(AP65="",AO65=""),"",(AP65-AO65)*100)</f>
        <v/>
      </c>
      <c r="AR65" s="70" t="n"/>
      <c r="AS65" s="70" t="n"/>
      <c r="AT65" s="69">
        <f>IF(OR(AS65="",AR65="",AR65=0,AS65=0),"",AS65-AR65)</f>
        <v/>
      </c>
      <c r="AU65" s="42">
        <f>IF(OR(AS65="",AR65="",AR65=0,AS65=0),"",AS65/AR65-1)</f>
        <v/>
      </c>
      <c r="AV65" s="43">
        <f>IF(OR(AR65="",AK65="",AK65=0),"",AR65/AK65)</f>
        <v/>
      </c>
      <c r="AW65" s="43">
        <f>IF(OR(AS65="",AL65="",AL65=0),"",AS65/AL65)</f>
        <v/>
      </c>
      <c r="AX65" s="44">
        <f>IF(OR(AW65="",AV65=""),"",(AW65-AV65)*100)</f>
        <v/>
      </c>
      <c r="AY65" s="45">
        <f>IF(OR(AR65="",P65="",P65=0),"",AR65/P65)</f>
        <v/>
      </c>
      <c r="AZ65" s="45">
        <f>IF(OR(AS65="",Q65="",Q65=0),"",AS65/Q65)</f>
        <v/>
      </c>
      <c r="BA65" s="44">
        <f>IF(OR(AZ65="",AY65=""),"",(AZ65-AY65)*100)</f>
        <v/>
      </c>
      <c r="BB65" s="45">
        <f>IF(OR(AR65="",E65="",E65=0),"",AR65/E65)</f>
        <v/>
      </c>
      <c r="BC65" s="45">
        <f>IF(OR(AS65="",F65="",F65=0),"",AS65/F65)</f>
        <v/>
      </c>
      <c r="BD65" s="44">
        <f>IF(OR(BC65="",BB65=""),"",(BC65-BB65)*100)</f>
        <v/>
      </c>
      <c r="BE65" s="40">
        <f>IF(AND(F65&lt;&gt;"",E65&lt;&gt;""),"Both years",IF(F65&lt;&gt;"","1-23Aug26 rows only","1-23Aug25 rows only"))</f>
        <v/>
      </c>
    </row>
    <row r="66">
      <c r="A66" s="40" t="inlineStr">
        <is>
          <t>All landing pages</t>
        </is>
      </c>
      <c r="B66" s="40" t="inlineStr">
        <is>
          <t>Organic</t>
        </is>
      </c>
      <c r="C66" s="40" t="inlineStr">
        <is>
          <t>Desktop</t>
        </is>
      </c>
      <c r="D66" s="40" t="inlineStr">
        <is>
          <t>Sweden</t>
        </is>
      </c>
      <c r="E66" s="68" t="n">
        <v>527</v>
      </c>
      <c r="F66" s="68" t="n">
        <v>457</v>
      </c>
      <c r="G66" s="69">
        <f>IF(OR(F66="",E66="",E66=0,F66=0),"",F66-E66)</f>
        <v/>
      </c>
      <c r="H66" s="42">
        <f>IF(OR(F66="",E66="",E66=0,F66=0),"",F66/E66-1)</f>
        <v/>
      </c>
      <c r="I66" s="68" t="n">
        <v>389</v>
      </c>
      <c r="J66" s="68" t="n">
        <v>300</v>
      </c>
      <c r="K66" s="69">
        <f>IF(OR(J66="",I66="",I66=0,J66=0),"",J66-I66)</f>
        <v/>
      </c>
      <c r="L66" s="42">
        <f>IF(OR(J66="",I66="",I66=0,J66=0),"",J66/I66-1)</f>
        <v/>
      </c>
      <c r="M66" s="43">
        <f>IF(OR(I66="",E66="",E66=0),"",I66/E66)</f>
        <v/>
      </c>
      <c r="N66" s="43">
        <f>IF(OR(J66="",F66="",F66=0),"",J66/F66)</f>
        <v/>
      </c>
      <c r="O66" s="44">
        <f>IF(OR(N66="",M66=""),"",(N66-M66)*100)</f>
        <v/>
      </c>
      <c r="P66" s="68" t="n">
        <v>312</v>
      </c>
      <c r="Q66" s="68" t="n">
        <v>203</v>
      </c>
      <c r="R66" s="69">
        <f>IF(OR(Q66="",P66="",P66=0,Q66=0),"",Q66-P66)</f>
        <v/>
      </c>
      <c r="S66" s="42">
        <f>IF(OR(Q66="",P66="",P66=0,Q66=0),"",Q66/P66-1)</f>
        <v/>
      </c>
      <c r="T66" s="43">
        <f>IF(OR(P66="",E66="",E66=0),"",P66/E66)</f>
        <v/>
      </c>
      <c r="U66" s="43">
        <f>IF(OR(Q66="",F66="",F66=0),"",Q66/F66)</f>
        <v/>
      </c>
      <c r="V66" s="44">
        <f>IF(OR(U66="",T66=""),"",(U66-T66)*100)</f>
        <v/>
      </c>
      <c r="W66" s="68" t="n">
        <v>74</v>
      </c>
      <c r="X66" s="68" t="n">
        <v>42</v>
      </c>
      <c r="Y66" s="69">
        <f>IF(OR(X66="",W66="",W66=0,X66=0),"",X66-W66)</f>
        <v/>
      </c>
      <c r="Z66" s="42">
        <f>IF(OR(X66="",W66="",W66=0,X66=0),"",X66/W66-1)</f>
        <v/>
      </c>
      <c r="AA66" s="43">
        <f>IF(OR(W66="",P66="",P66=0),"",W66/P66)</f>
        <v/>
      </c>
      <c r="AB66" s="43">
        <f>IF(OR(X66="",Q66="",Q66=0),"",X66/Q66)</f>
        <v/>
      </c>
      <c r="AC66" s="44">
        <f>IF(OR(AB66="",AA66=""),"",(AB66-AA66)*100)</f>
        <v/>
      </c>
      <c r="AD66" s="68" t="n">
        <v>66</v>
      </c>
      <c r="AE66" s="68" t="n">
        <v>30</v>
      </c>
      <c r="AF66" s="69">
        <f>IF(OR(AE66="",AD66="",AD66=0,AE66=0),"",AE66-AD66)</f>
        <v/>
      </c>
      <c r="AG66" s="42">
        <f>IF(OR(AE66="",AD66="",AD66=0,AE66=0),"",AE66/AD66-1)</f>
        <v/>
      </c>
      <c r="AH66" s="43">
        <f>IF(OR(AD66="",W66="",W66=0),"",AD66/W66)</f>
        <v/>
      </c>
      <c r="AI66" s="43">
        <f>IF(OR(AE66="",X66="",X66=0),"",AE66/X66)</f>
        <v/>
      </c>
      <c r="AJ66" s="44">
        <f>IF(OR(AI66="",AH66=""),"",(AI66-AH66)*100)</f>
        <v/>
      </c>
      <c r="AK66" s="68" t="n">
        <v>20</v>
      </c>
      <c r="AL66" s="68" t="n">
        <v>9</v>
      </c>
      <c r="AM66" s="69">
        <f>IF(OR(AL66="",AK66="",AK66=0,AL66=0),"",AL66-AK66)</f>
        <v/>
      </c>
      <c r="AN66" s="42">
        <f>IF(OR(AL66="",AK66="",AK66=0,AL66=0),"",AL66/AK66-1)</f>
        <v/>
      </c>
      <c r="AO66" s="43">
        <f>IF(OR(AK66="",AD66="",AD66=0),"",AK66/AD66)</f>
        <v/>
      </c>
      <c r="AP66" s="43">
        <f>IF(OR(AL66="",AE66="",AE66=0),"",AL66/AE66)</f>
        <v/>
      </c>
      <c r="AQ66" s="44">
        <f>IF(OR(AP66="",AO66=""),"",(AP66-AO66)*100)</f>
        <v/>
      </c>
      <c r="AR66" s="68" t="n">
        <v>14</v>
      </c>
      <c r="AS66" s="68" t="n">
        <v>6</v>
      </c>
      <c r="AT66" s="69">
        <f>IF(OR(AS66="",AR66="",AR66=0,AS66=0),"",AS66-AR66)</f>
        <v/>
      </c>
      <c r="AU66" s="42">
        <f>IF(OR(AS66="",AR66="",AR66=0,AS66=0),"",AS66/AR66-1)</f>
        <v/>
      </c>
      <c r="AV66" s="43">
        <f>IF(OR(AR66="",AK66="",AK66=0),"",AR66/AK66)</f>
        <v/>
      </c>
      <c r="AW66" s="43">
        <f>IF(OR(AS66="",AL66="",AL66=0),"",AS66/AL66)</f>
        <v/>
      </c>
      <c r="AX66" s="44">
        <f>IF(OR(AW66="",AV66=""),"",(AW66-AV66)*100)</f>
        <v/>
      </c>
      <c r="AY66" s="45">
        <f>IF(OR(AR66="",P66="",P66=0),"",AR66/P66)</f>
        <v/>
      </c>
      <c r="AZ66" s="45">
        <f>IF(OR(AS66="",Q66="",Q66=0),"",AS66/Q66)</f>
        <v/>
      </c>
      <c r="BA66" s="44">
        <f>IF(OR(AZ66="",AY66=""),"",(AZ66-AY66)*100)</f>
        <v/>
      </c>
      <c r="BB66" s="45">
        <f>IF(OR(AR66="",E66="",E66=0),"",AR66/E66)</f>
        <v/>
      </c>
      <c r="BC66" s="45">
        <f>IF(OR(AS66="",F66="",F66=0),"",AS66/F66)</f>
        <v/>
      </c>
      <c r="BD66" s="44">
        <f>IF(OR(BC66="",BB66=""),"",(BC66-BB66)*100)</f>
        <v/>
      </c>
      <c r="BE66" s="40">
        <f>IF(AND(F66&lt;&gt;"",E66&lt;&gt;""),"Both years",IF(F66&lt;&gt;"","1-23Aug26 rows only","1-23Aug25 rows only"))</f>
        <v/>
      </c>
    </row>
    <row r="67">
      <c r="A67" s="56" t="inlineStr">
        <is>
          <t>All landing pages</t>
        </is>
      </c>
      <c r="B67" s="56" t="inlineStr">
        <is>
          <t>Organic</t>
        </is>
      </c>
      <c r="C67" s="56" t="inlineStr">
        <is>
          <t>Desktop</t>
        </is>
      </c>
      <c r="D67" s="56" t="inlineStr">
        <is>
          <t>Canada</t>
        </is>
      </c>
      <c r="E67" s="70" t="n"/>
      <c r="F67" s="68" t="n">
        <v>419</v>
      </c>
      <c r="G67" s="69">
        <f>IF(OR(F67="",E67="",E67=0,F67=0),"",F67-E67)</f>
        <v/>
      </c>
      <c r="H67" s="42">
        <f>IF(OR(F67="",E67="",E67=0,F67=0),"",F67/E67-1)</f>
        <v/>
      </c>
      <c r="I67" s="70" t="n"/>
      <c r="J67" s="70" t="n"/>
      <c r="K67" s="69">
        <f>IF(OR(J67="",I67="",I67=0,J67=0),"",J67-I67)</f>
        <v/>
      </c>
      <c r="L67" s="42">
        <f>IF(OR(J67="",I67="",I67=0,J67=0),"",J67/I67-1)</f>
        <v/>
      </c>
      <c r="M67" s="43">
        <f>IF(OR(I67="",E67="",E67=0),"",I67/E67)</f>
        <v/>
      </c>
      <c r="N67" s="43">
        <f>IF(OR(J67="",F67="",F67=0),"",J67/F67)</f>
        <v/>
      </c>
      <c r="O67" s="44">
        <f>IF(OR(N67="",M67=""),"",(N67-M67)*100)</f>
        <v/>
      </c>
      <c r="P67" s="70" t="n"/>
      <c r="Q67" s="68" t="n">
        <v>226</v>
      </c>
      <c r="R67" s="69">
        <f>IF(OR(Q67="",P67="",P67=0,Q67=0),"",Q67-P67)</f>
        <v/>
      </c>
      <c r="S67" s="42">
        <f>IF(OR(Q67="",P67="",P67=0,Q67=0),"",Q67/P67-1)</f>
        <v/>
      </c>
      <c r="T67" s="43">
        <f>IF(OR(P67="",E67="",E67=0),"",P67/E67)</f>
        <v/>
      </c>
      <c r="U67" s="43">
        <f>IF(OR(Q67="",F67="",F67=0),"",Q67/F67)</f>
        <v/>
      </c>
      <c r="V67" s="44">
        <f>IF(OR(U67="",T67=""),"",(U67-T67)*100)</f>
        <v/>
      </c>
      <c r="W67" s="70" t="n"/>
      <c r="X67" s="70" t="n"/>
      <c r="Y67" s="69">
        <f>IF(OR(X67="",W67="",W67=0,X67=0),"",X67-W67)</f>
        <v/>
      </c>
      <c r="Z67" s="42">
        <f>IF(OR(X67="",W67="",W67=0,X67=0),"",X67/W67-1)</f>
        <v/>
      </c>
      <c r="AA67" s="43">
        <f>IF(OR(W67="",P67="",P67=0),"",W67/P67)</f>
        <v/>
      </c>
      <c r="AB67" s="43">
        <f>IF(OR(X67="",Q67="",Q67=0),"",X67/Q67)</f>
        <v/>
      </c>
      <c r="AC67" s="44">
        <f>IF(OR(AB67="",AA67=""),"",(AB67-AA67)*100)</f>
        <v/>
      </c>
      <c r="AD67" s="70" t="n"/>
      <c r="AE67" s="70" t="n"/>
      <c r="AF67" s="69">
        <f>IF(OR(AE67="",AD67="",AD67=0,AE67=0),"",AE67-AD67)</f>
        <v/>
      </c>
      <c r="AG67" s="42">
        <f>IF(OR(AE67="",AD67="",AD67=0,AE67=0),"",AE67/AD67-1)</f>
        <v/>
      </c>
      <c r="AH67" s="43">
        <f>IF(OR(AD67="",W67="",W67=0),"",AD67/W67)</f>
        <v/>
      </c>
      <c r="AI67" s="43">
        <f>IF(OR(AE67="",X67="",X67=0),"",AE67/X67)</f>
        <v/>
      </c>
      <c r="AJ67" s="44">
        <f>IF(OR(AI67="",AH67=""),"",(AI67-AH67)*100)</f>
        <v/>
      </c>
      <c r="AK67" s="70" t="n"/>
      <c r="AL67" s="70" t="n"/>
      <c r="AM67" s="69">
        <f>IF(OR(AL67="",AK67="",AK67=0,AL67=0),"",AL67-AK67)</f>
        <v/>
      </c>
      <c r="AN67" s="42">
        <f>IF(OR(AL67="",AK67="",AK67=0,AL67=0),"",AL67/AK67-1)</f>
        <v/>
      </c>
      <c r="AO67" s="43">
        <f>IF(OR(AK67="",AD67="",AD67=0),"",AK67/AD67)</f>
        <v/>
      </c>
      <c r="AP67" s="43">
        <f>IF(OR(AL67="",AE67="",AE67=0),"",AL67/AE67)</f>
        <v/>
      </c>
      <c r="AQ67" s="44">
        <f>IF(OR(AP67="",AO67=""),"",(AP67-AO67)*100)</f>
        <v/>
      </c>
      <c r="AR67" s="70" t="n"/>
      <c r="AS67" s="70" t="n"/>
      <c r="AT67" s="69">
        <f>IF(OR(AS67="",AR67="",AR67=0,AS67=0),"",AS67-AR67)</f>
        <v/>
      </c>
      <c r="AU67" s="42">
        <f>IF(OR(AS67="",AR67="",AR67=0,AS67=0),"",AS67/AR67-1)</f>
        <v/>
      </c>
      <c r="AV67" s="43">
        <f>IF(OR(AR67="",AK67="",AK67=0),"",AR67/AK67)</f>
        <v/>
      </c>
      <c r="AW67" s="43">
        <f>IF(OR(AS67="",AL67="",AL67=0),"",AS67/AL67)</f>
        <v/>
      </c>
      <c r="AX67" s="44">
        <f>IF(OR(AW67="",AV67=""),"",(AW67-AV67)*100)</f>
        <v/>
      </c>
      <c r="AY67" s="45">
        <f>IF(OR(AR67="",P67="",P67=0),"",AR67/P67)</f>
        <v/>
      </c>
      <c r="AZ67" s="45">
        <f>IF(OR(AS67="",Q67="",Q67=0),"",AS67/Q67)</f>
        <v/>
      </c>
      <c r="BA67" s="44">
        <f>IF(OR(AZ67="",AY67=""),"",(AZ67-AY67)*100)</f>
        <v/>
      </c>
      <c r="BB67" s="45">
        <f>IF(OR(AR67="",E67="",E67=0),"",AR67/E67)</f>
        <v/>
      </c>
      <c r="BC67" s="45">
        <f>IF(OR(AS67="",F67="",F67=0),"",AS67/F67)</f>
        <v/>
      </c>
      <c r="BD67" s="44">
        <f>IF(OR(BC67="",BB67=""),"",(BC67-BB67)*100)</f>
        <v/>
      </c>
      <c r="BE67" s="40">
        <f>IF(AND(F67&lt;&gt;"",E67&lt;&gt;""),"Both years",IF(F67&lt;&gt;"","1-23Aug26 rows only","1-23Aug25 rows only"))</f>
        <v/>
      </c>
    </row>
    <row r="68">
      <c r="A68" s="40" t="inlineStr">
        <is>
          <t>All landing pages</t>
        </is>
      </c>
      <c r="B68" s="40" t="inlineStr">
        <is>
          <t>Organic</t>
        </is>
      </c>
      <c r="C68" s="40" t="inlineStr">
        <is>
          <t>Desktop</t>
        </is>
      </c>
      <c r="D68" s="40" t="inlineStr">
        <is>
          <t>Brazil</t>
        </is>
      </c>
      <c r="E68" s="68" t="n">
        <v>496</v>
      </c>
      <c r="F68" s="70" t="n"/>
      <c r="G68" s="69">
        <f>IF(OR(F68="",E68="",E68=0,F68=0),"",F68-E68)</f>
        <v/>
      </c>
      <c r="H68" s="42">
        <f>IF(OR(F68="",E68="",E68=0,F68=0),"",F68/E68-1)</f>
        <v/>
      </c>
      <c r="I68" s="70" t="n"/>
      <c r="J68" s="70" t="n"/>
      <c r="K68" s="69">
        <f>IF(OR(J68="",I68="",I68=0,J68=0),"",J68-I68)</f>
        <v/>
      </c>
      <c r="L68" s="42">
        <f>IF(OR(J68="",I68="",I68=0,J68=0),"",J68/I68-1)</f>
        <v/>
      </c>
      <c r="M68" s="43">
        <f>IF(OR(I68="",E68="",E68=0),"",I68/E68)</f>
        <v/>
      </c>
      <c r="N68" s="43">
        <f>IF(OR(J68="",F68="",F68=0),"",J68/F68)</f>
        <v/>
      </c>
      <c r="O68" s="44">
        <f>IF(OR(N68="",M68=""),"",(N68-M68)*100)</f>
        <v/>
      </c>
      <c r="P68" s="70" t="n"/>
      <c r="Q68" s="70" t="n"/>
      <c r="R68" s="69">
        <f>IF(OR(Q68="",P68="",P68=0,Q68=0),"",Q68-P68)</f>
        <v/>
      </c>
      <c r="S68" s="42">
        <f>IF(OR(Q68="",P68="",P68=0,Q68=0),"",Q68/P68-1)</f>
        <v/>
      </c>
      <c r="T68" s="43">
        <f>IF(OR(P68="",E68="",E68=0),"",P68/E68)</f>
        <v/>
      </c>
      <c r="U68" s="43">
        <f>IF(OR(Q68="",F68="",F68=0),"",Q68/F68)</f>
        <v/>
      </c>
      <c r="V68" s="44">
        <f>IF(OR(U68="",T68=""),"",(U68-T68)*100)</f>
        <v/>
      </c>
      <c r="W68" s="70" t="n"/>
      <c r="X68" s="70" t="n"/>
      <c r="Y68" s="69">
        <f>IF(OR(X68="",W68="",W68=0,X68=0),"",X68-W68)</f>
        <v/>
      </c>
      <c r="Z68" s="42">
        <f>IF(OR(X68="",W68="",W68=0,X68=0),"",X68/W68-1)</f>
        <v/>
      </c>
      <c r="AA68" s="43">
        <f>IF(OR(W68="",P68="",P68=0),"",W68/P68)</f>
        <v/>
      </c>
      <c r="AB68" s="43">
        <f>IF(OR(X68="",Q68="",Q68=0),"",X68/Q68)</f>
        <v/>
      </c>
      <c r="AC68" s="44">
        <f>IF(OR(AB68="",AA68=""),"",(AB68-AA68)*100)</f>
        <v/>
      </c>
      <c r="AD68" s="70" t="n"/>
      <c r="AE68" s="70" t="n"/>
      <c r="AF68" s="69">
        <f>IF(OR(AE68="",AD68="",AD68=0,AE68=0),"",AE68-AD68)</f>
        <v/>
      </c>
      <c r="AG68" s="42">
        <f>IF(OR(AE68="",AD68="",AD68=0,AE68=0),"",AE68/AD68-1)</f>
        <v/>
      </c>
      <c r="AH68" s="43">
        <f>IF(OR(AD68="",W68="",W68=0),"",AD68/W68)</f>
        <v/>
      </c>
      <c r="AI68" s="43">
        <f>IF(OR(AE68="",X68="",X68=0),"",AE68/X68)</f>
        <v/>
      </c>
      <c r="AJ68" s="44">
        <f>IF(OR(AI68="",AH68=""),"",(AI68-AH68)*100)</f>
        <v/>
      </c>
      <c r="AK68" s="70" t="n"/>
      <c r="AL68" s="70" t="n"/>
      <c r="AM68" s="69">
        <f>IF(OR(AL68="",AK68="",AK68=0,AL68=0),"",AL68-AK68)</f>
        <v/>
      </c>
      <c r="AN68" s="42">
        <f>IF(OR(AL68="",AK68="",AK68=0,AL68=0),"",AL68/AK68-1)</f>
        <v/>
      </c>
      <c r="AO68" s="43">
        <f>IF(OR(AK68="",AD68="",AD68=0),"",AK68/AD68)</f>
        <v/>
      </c>
      <c r="AP68" s="43">
        <f>IF(OR(AL68="",AE68="",AE68=0),"",AL68/AE68)</f>
        <v/>
      </c>
      <c r="AQ68" s="44">
        <f>IF(OR(AP68="",AO68=""),"",(AP68-AO68)*100)</f>
        <v/>
      </c>
      <c r="AR68" s="70" t="n"/>
      <c r="AS68" s="70" t="n"/>
      <c r="AT68" s="69">
        <f>IF(OR(AS68="",AR68="",AR68=0,AS68=0),"",AS68-AR68)</f>
        <v/>
      </c>
      <c r="AU68" s="42">
        <f>IF(OR(AS68="",AR68="",AR68=0,AS68=0),"",AS68/AR68-1)</f>
        <v/>
      </c>
      <c r="AV68" s="43">
        <f>IF(OR(AR68="",AK68="",AK68=0),"",AR68/AK68)</f>
        <v/>
      </c>
      <c r="AW68" s="43">
        <f>IF(OR(AS68="",AL68="",AL68=0),"",AS68/AL68)</f>
        <v/>
      </c>
      <c r="AX68" s="44">
        <f>IF(OR(AW68="",AV68=""),"",(AW68-AV68)*100)</f>
        <v/>
      </c>
      <c r="AY68" s="45">
        <f>IF(OR(AR68="",P68="",P68=0),"",AR68/P68)</f>
        <v/>
      </c>
      <c r="AZ68" s="45">
        <f>IF(OR(AS68="",Q68="",Q68=0),"",AS68/Q68)</f>
        <v/>
      </c>
      <c r="BA68" s="44">
        <f>IF(OR(AZ68="",AY68=""),"",(AZ68-AY68)*100)</f>
        <v/>
      </c>
      <c r="BB68" s="45">
        <f>IF(OR(AR68="",E68="",E68=0),"",AR68/E68)</f>
        <v/>
      </c>
      <c r="BC68" s="45">
        <f>IF(OR(AS68="",F68="",F68=0),"",AS68/F68)</f>
        <v/>
      </c>
      <c r="BD68" s="44">
        <f>IF(OR(BC68="",BB68=""),"",(BC68-BB68)*100)</f>
        <v/>
      </c>
      <c r="BE68" s="40">
        <f>IF(AND(F68&lt;&gt;"",E68&lt;&gt;""),"Both years",IF(F68&lt;&gt;"","1-23Aug26 rows only","1-23Aug25 rows only"))</f>
        <v/>
      </c>
    </row>
    <row r="69">
      <c r="A69" s="56" t="inlineStr">
        <is>
          <t>All landing pages</t>
        </is>
      </c>
      <c r="B69" s="56" t="inlineStr">
        <is>
          <t>Organic</t>
        </is>
      </c>
      <c r="C69" s="56" t="inlineStr">
        <is>
          <t>Desktop</t>
        </is>
      </c>
      <c r="D69" s="56" t="inlineStr">
        <is>
          <t>Finland</t>
        </is>
      </c>
      <c r="E69" s="70" t="n"/>
      <c r="F69" s="70" t="n"/>
      <c r="G69" s="69">
        <f>IF(OR(F69="",E69="",E69=0,F69=0),"",F69-E69)</f>
        <v/>
      </c>
      <c r="H69" s="42">
        <f>IF(OR(F69="",E69="",E69=0,F69=0),"",F69/E69-1)</f>
        <v/>
      </c>
      <c r="I69" s="68" t="n">
        <v>254</v>
      </c>
      <c r="J69" s="68" t="n">
        <v>183</v>
      </c>
      <c r="K69" s="69">
        <f>IF(OR(J69="",I69="",I69=0,J69=0),"",J69-I69)</f>
        <v/>
      </c>
      <c r="L69" s="42">
        <f>IF(OR(J69="",I69="",I69=0,J69=0),"",J69/I69-1)</f>
        <v/>
      </c>
      <c r="M69" s="43">
        <f>IF(OR(I69="",E69="",E69=0),"",I69/E69)</f>
        <v/>
      </c>
      <c r="N69" s="43">
        <f>IF(OR(J69="",F69="",F69=0),"",J69/F69)</f>
        <v/>
      </c>
      <c r="O69" s="44">
        <f>IF(OR(N69="",M69=""),"",(N69-M69)*100)</f>
        <v/>
      </c>
      <c r="P69" s="70" t="n"/>
      <c r="Q69" s="70" t="n"/>
      <c r="R69" s="69">
        <f>IF(OR(Q69="",P69="",P69=0,Q69=0),"",Q69-P69)</f>
        <v/>
      </c>
      <c r="S69" s="42">
        <f>IF(OR(Q69="",P69="",P69=0,Q69=0),"",Q69/P69-1)</f>
        <v/>
      </c>
      <c r="T69" s="43">
        <f>IF(OR(P69="",E69="",E69=0),"",P69/E69)</f>
        <v/>
      </c>
      <c r="U69" s="43">
        <f>IF(OR(Q69="",F69="",F69=0),"",Q69/F69)</f>
        <v/>
      </c>
      <c r="V69" s="44">
        <f>IF(OR(U69="",T69=""),"",(U69-T69)*100)</f>
        <v/>
      </c>
      <c r="W69" s="68" t="n">
        <v>63</v>
      </c>
      <c r="X69" s="68" t="n">
        <v>35</v>
      </c>
      <c r="Y69" s="69">
        <f>IF(OR(X69="",W69="",W69=0,X69=0),"",X69-W69)</f>
        <v/>
      </c>
      <c r="Z69" s="42">
        <f>IF(OR(X69="",W69="",W69=0,X69=0),"",X69/W69-1)</f>
        <v/>
      </c>
      <c r="AA69" s="43">
        <f>IF(OR(W69="",P69="",P69=0),"",W69/P69)</f>
        <v/>
      </c>
      <c r="AB69" s="43">
        <f>IF(OR(X69="",Q69="",Q69=0),"",X69/Q69)</f>
        <v/>
      </c>
      <c r="AC69" s="44">
        <f>IF(OR(AB69="",AA69=""),"",(AB69-AA69)*100)</f>
        <v/>
      </c>
      <c r="AD69" s="68" t="n">
        <v>47</v>
      </c>
      <c r="AE69" s="68" t="n">
        <v>26</v>
      </c>
      <c r="AF69" s="69">
        <f>IF(OR(AE69="",AD69="",AD69=0,AE69=0),"",AE69-AD69)</f>
        <v/>
      </c>
      <c r="AG69" s="42">
        <f>IF(OR(AE69="",AD69="",AD69=0,AE69=0),"",AE69/AD69-1)</f>
        <v/>
      </c>
      <c r="AH69" s="43">
        <f>IF(OR(AD69="",W69="",W69=0),"",AD69/W69)</f>
        <v/>
      </c>
      <c r="AI69" s="43">
        <f>IF(OR(AE69="",X69="",X69=0),"",AE69/X69)</f>
        <v/>
      </c>
      <c r="AJ69" s="44">
        <f>IF(OR(AI69="",AH69=""),"",(AI69-AH69)*100)</f>
        <v/>
      </c>
      <c r="AK69" s="68" t="n">
        <v>26</v>
      </c>
      <c r="AL69" s="68" t="n">
        <v>17</v>
      </c>
      <c r="AM69" s="69">
        <f>IF(OR(AL69="",AK69="",AK69=0,AL69=0),"",AL69-AK69)</f>
        <v/>
      </c>
      <c r="AN69" s="42">
        <f>IF(OR(AL69="",AK69="",AK69=0,AL69=0),"",AL69/AK69-1)</f>
        <v/>
      </c>
      <c r="AO69" s="43">
        <f>IF(OR(AK69="",AD69="",AD69=0),"",AK69/AD69)</f>
        <v/>
      </c>
      <c r="AP69" s="43">
        <f>IF(OR(AL69="",AE69="",AE69=0),"",AL69/AE69)</f>
        <v/>
      </c>
      <c r="AQ69" s="44">
        <f>IF(OR(AP69="",AO69=""),"",(AP69-AO69)*100)</f>
        <v/>
      </c>
      <c r="AR69" s="68" t="n">
        <v>19</v>
      </c>
      <c r="AS69" s="68" t="n">
        <v>11</v>
      </c>
      <c r="AT69" s="69">
        <f>IF(OR(AS69="",AR69="",AR69=0,AS69=0),"",AS69-AR69)</f>
        <v/>
      </c>
      <c r="AU69" s="42">
        <f>IF(OR(AS69="",AR69="",AR69=0,AS69=0),"",AS69/AR69-1)</f>
        <v/>
      </c>
      <c r="AV69" s="43">
        <f>IF(OR(AR69="",AK69="",AK69=0),"",AR69/AK69)</f>
        <v/>
      </c>
      <c r="AW69" s="43">
        <f>IF(OR(AS69="",AL69="",AL69=0),"",AS69/AL69)</f>
        <v/>
      </c>
      <c r="AX69" s="44">
        <f>IF(OR(AW69="",AV69=""),"",(AW69-AV69)*100)</f>
        <v/>
      </c>
      <c r="AY69" s="45">
        <f>IF(OR(AR69="",P69="",P69=0),"",AR69/P69)</f>
        <v/>
      </c>
      <c r="AZ69" s="45">
        <f>IF(OR(AS69="",Q69="",Q69=0),"",AS69/Q69)</f>
        <v/>
      </c>
      <c r="BA69" s="44">
        <f>IF(OR(AZ69="",AY69=""),"",(AZ69-AY69)*100)</f>
        <v/>
      </c>
      <c r="BB69" s="45">
        <f>IF(OR(AR69="",E69="",E69=0),"",AR69/E69)</f>
        <v/>
      </c>
      <c r="BC69" s="45">
        <f>IF(OR(AS69="",F69="",F69=0),"",AS69/F69)</f>
        <v/>
      </c>
      <c r="BD69" s="44">
        <f>IF(OR(BC69="",BB69=""),"",(BC69-BB69)*100)</f>
        <v/>
      </c>
      <c r="BE69" s="40">
        <f>IF(AND(F69&lt;&gt;"",E69&lt;&gt;""),"Both years",IF(F69&lt;&gt;"","1-23Aug26 rows only","1-23Aug25 rows only"))</f>
        <v/>
      </c>
    </row>
    <row r="70">
      <c r="A70" s="40" t="inlineStr">
        <is>
          <t>All landing pages</t>
        </is>
      </c>
      <c r="B70" s="40" t="inlineStr">
        <is>
          <t>Organic</t>
        </is>
      </c>
      <c r="C70" s="40" t="inlineStr">
        <is>
          <t>Desktop</t>
        </is>
      </c>
      <c r="D70" s="40" t="inlineStr">
        <is>
          <t>Norway</t>
        </is>
      </c>
      <c r="E70" s="70" t="n"/>
      <c r="F70" s="70" t="n"/>
      <c r="G70" s="69">
        <f>IF(OR(F70="",E70="",E70=0,F70=0),"",F70-E70)</f>
        <v/>
      </c>
      <c r="H70" s="42">
        <f>IF(OR(F70="",E70="",E70=0,F70=0),"",F70/E70-1)</f>
        <v/>
      </c>
      <c r="I70" s="68" t="n">
        <v>177</v>
      </c>
      <c r="J70" s="68" t="n">
        <v>175</v>
      </c>
      <c r="K70" s="69">
        <f>IF(OR(J70="",I70="",I70=0,J70=0),"",J70-I70)</f>
        <v/>
      </c>
      <c r="L70" s="42">
        <f>IF(OR(J70="",I70="",I70=0,J70=0),"",J70/I70-1)</f>
        <v/>
      </c>
      <c r="M70" s="43">
        <f>IF(OR(I70="",E70="",E70=0),"",I70/E70)</f>
        <v/>
      </c>
      <c r="N70" s="43">
        <f>IF(OR(J70="",F70="",F70=0),"",J70/F70)</f>
        <v/>
      </c>
      <c r="O70" s="44">
        <f>IF(OR(N70="",M70=""),"",(N70-M70)*100)</f>
        <v/>
      </c>
      <c r="P70" s="70" t="n"/>
      <c r="Q70" s="70" t="n"/>
      <c r="R70" s="69">
        <f>IF(OR(Q70="",P70="",P70=0,Q70=0),"",Q70-P70)</f>
        <v/>
      </c>
      <c r="S70" s="42">
        <f>IF(OR(Q70="",P70="",P70=0,Q70=0),"",Q70/P70-1)</f>
        <v/>
      </c>
      <c r="T70" s="43">
        <f>IF(OR(P70="",E70="",E70=0),"",P70/E70)</f>
        <v/>
      </c>
      <c r="U70" s="43">
        <f>IF(OR(Q70="",F70="",F70=0),"",Q70/F70)</f>
        <v/>
      </c>
      <c r="V70" s="44">
        <f>IF(OR(U70="",T70=""),"",(U70-T70)*100)</f>
        <v/>
      </c>
      <c r="W70" s="68" t="n">
        <v>36</v>
      </c>
      <c r="X70" s="68" t="n">
        <v>21</v>
      </c>
      <c r="Y70" s="69">
        <f>IF(OR(X70="",W70="",W70=0,X70=0),"",X70-W70)</f>
        <v/>
      </c>
      <c r="Z70" s="42">
        <f>IF(OR(X70="",W70="",W70=0,X70=0),"",X70/W70-1)</f>
        <v/>
      </c>
      <c r="AA70" s="43">
        <f>IF(OR(W70="",P70="",P70=0),"",W70/P70)</f>
        <v/>
      </c>
      <c r="AB70" s="43">
        <f>IF(OR(X70="",Q70="",Q70=0),"",X70/Q70)</f>
        <v/>
      </c>
      <c r="AC70" s="44">
        <f>IF(OR(AB70="",AA70=""),"",(AB70-AA70)*100)</f>
        <v/>
      </c>
      <c r="AD70" s="68" t="n">
        <v>27</v>
      </c>
      <c r="AE70" s="68" t="n">
        <v>18</v>
      </c>
      <c r="AF70" s="69">
        <f>IF(OR(AE70="",AD70="",AD70=0,AE70=0),"",AE70-AD70)</f>
        <v/>
      </c>
      <c r="AG70" s="42">
        <f>IF(OR(AE70="",AD70="",AD70=0,AE70=0),"",AE70/AD70-1)</f>
        <v/>
      </c>
      <c r="AH70" s="43">
        <f>IF(OR(AD70="",W70="",W70=0),"",AD70/W70)</f>
        <v/>
      </c>
      <c r="AI70" s="43">
        <f>IF(OR(AE70="",X70="",X70=0),"",AE70/X70)</f>
        <v/>
      </c>
      <c r="AJ70" s="44">
        <f>IF(OR(AI70="",AH70=""),"",(AI70-AH70)*100)</f>
        <v/>
      </c>
      <c r="AK70" s="68" t="n">
        <v>12</v>
      </c>
      <c r="AL70" s="68" t="n">
        <v>8</v>
      </c>
      <c r="AM70" s="69">
        <f>IF(OR(AL70="",AK70="",AK70=0,AL70=0),"",AL70-AK70)</f>
        <v/>
      </c>
      <c r="AN70" s="42">
        <f>IF(OR(AL70="",AK70="",AK70=0,AL70=0),"",AL70/AK70-1)</f>
        <v/>
      </c>
      <c r="AO70" s="43">
        <f>IF(OR(AK70="",AD70="",AD70=0),"",AK70/AD70)</f>
        <v/>
      </c>
      <c r="AP70" s="43">
        <f>IF(OR(AL70="",AE70="",AE70=0),"",AL70/AE70)</f>
        <v/>
      </c>
      <c r="AQ70" s="44">
        <f>IF(OR(AP70="",AO70=""),"",(AP70-AO70)*100)</f>
        <v/>
      </c>
      <c r="AR70" s="68" t="n">
        <v>9</v>
      </c>
      <c r="AS70" s="68" t="n">
        <v>8</v>
      </c>
      <c r="AT70" s="69">
        <f>IF(OR(AS70="",AR70="",AR70=0,AS70=0),"",AS70-AR70)</f>
        <v/>
      </c>
      <c r="AU70" s="42">
        <f>IF(OR(AS70="",AR70="",AR70=0,AS70=0),"",AS70/AR70-1)</f>
        <v/>
      </c>
      <c r="AV70" s="43">
        <f>IF(OR(AR70="",AK70="",AK70=0),"",AR70/AK70)</f>
        <v/>
      </c>
      <c r="AW70" s="43">
        <f>IF(OR(AS70="",AL70="",AL70=0),"",AS70/AL70)</f>
        <v/>
      </c>
      <c r="AX70" s="44">
        <f>IF(OR(AW70="",AV70=""),"",(AW70-AV70)*100)</f>
        <v/>
      </c>
      <c r="AY70" s="45">
        <f>IF(OR(AR70="",P70="",P70=0),"",AR70/P70)</f>
        <v/>
      </c>
      <c r="AZ70" s="45">
        <f>IF(OR(AS70="",Q70="",Q70=0),"",AS70/Q70)</f>
        <v/>
      </c>
      <c r="BA70" s="44">
        <f>IF(OR(AZ70="",AY70=""),"",(AZ70-AY70)*100)</f>
        <v/>
      </c>
      <c r="BB70" s="45">
        <f>IF(OR(AR70="",E70="",E70=0),"",AR70/E70)</f>
        <v/>
      </c>
      <c r="BC70" s="45">
        <f>IF(OR(AS70="",F70="",F70=0),"",AS70/F70)</f>
        <v/>
      </c>
      <c r="BD70" s="44">
        <f>IF(OR(BC70="",BB70=""),"",(BC70-BB70)*100)</f>
        <v/>
      </c>
      <c r="BE70" s="40">
        <f>IF(AND(F70&lt;&gt;"",E70&lt;&gt;""),"Both years",IF(F70&lt;&gt;"","1-23Aug26 rows only","1-23Aug25 rows only"))</f>
        <v/>
      </c>
    </row>
    <row r="71">
      <c r="A71" s="56" t="inlineStr">
        <is>
          <t>All landing pages</t>
        </is>
      </c>
      <c r="B71" s="56" t="inlineStr">
        <is>
          <t>Organic</t>
        </is>
      </c>
      <c r="C71" s="56" t="inlineStr">
        <is>
          <t>Desktop</t>
        </is>
      </c>
      <c r="D71" s="56" t="inlineStr">
        <is>
          <t>Switzerland</t>
        </is>
      </c>
      <c r="E71" s="70" t="n"/>
      <c r="F71" s="70" t="n"/>
      <c r="G71" s="69">
        <f>IF(OR(F71="",E71="",E71=0,F71=0),"",F71-E71)</f>
        <v/>
      </c>
      <c r="H71" s="42">
        <f>IF(OR(F71="",E71="",E71=0,F71=0),"",F71/E71-1)</f>
        <v/>
      </c>
      <c r="I71" s="70" t="n"/>
      <c r="J71" s="70" t="n"/>
      <c r="K71" s="69">
        <f>IF(OR(J71="",I71="",I71=0,J71=0),"",J71-I71)</f>
        <v/>
      </c>
      <c r="L71" s="42">
        <f>IF(OR(J71="",I71="",I71=0,J71=0),"",J71/I71-1)</f>
        <v/>
      </c>
      <c r="M71" s="43">
        <f>IF(OR(I71="",E71="",E71=0),"",I71/E71)</f>
        <v/>
      </c>
      <c r="N71" s="43">
        <f>IF(OR(J71="",F71="",F71=0),"",J71/F71)</f>
        <v/>
      </c>
      <c r="O71" s="44">
        <f>IF(OR(N71="",M71=""),"",(N71-M71)*100)</f>
        <v/>
      </c>
      <c r="P71" s="70" t="n"/>
      <c r="Q71" s="68" t="n">
        <v>223</v>
      </c>
      <c r="R71" s="69">
        <f>IF(OR(Q71="",P71="",P71=0,Q71=0),"",Q71-P71)</f>
        <v/>
      </c>
      <c r="S71" s="42">
        <f>IF(OR(Q71="",P71="",P71=0,Q71=0),"",Q71/P71-1)</f>
        <v/>
      </c>
      <c r="T71" s="43">
        <f>IF(OR(P71="",E71="",E71=0),"",P71/E71)</f>
        <v/>
      </c>
      <c r="U71" s="43">
        <f>IF(OR(Q71="",F71="",F71=0),"",Q71/F71)</f>
        <v/>
      </c>
      <c r="V71" s="44">
        <f>IF(OR(U71="",T71=""),"",(U71-T71)*100)</f>
        <v/>
      </c>
      <c r="W71" s="70" t="n"/>
      <c r="X71" s="70" t="n"/>
      <c r="Y71" s="69">
        <f>IF(OR(X71="",W71="",W71=0,X71=0),"",X71-W71)</f>
        <v/>
      </c>
      <c r="Z71" s="42">
        <f>IF(OR(X71="",W71="",W71=0,X71=0),"",X71/W71-1)</f>
        <v/>
      </c>
      <c r="AA71" s="43">
        <f>IF(OR(W71="",P71="",P71=0),"",W71/P71)</f>
        <v/>
      </c>
      <c r="AB71" s="43">
        <f>IF(OR(X71="",Q71="",Q71=0),"",X71/Q71)</f>
        <v/>
      </c>
      <c r="AC71" s="44">
        <f>IF(OR(AB71="",AA71=""),"",(AB71-AA71)*100)</f>
        <v/>
      </c>
      <c r="AD71" s="70" t="n"/>
      <c r="AE71" s="70" t="n"/>
      <c r="AF71" s="69">
        <f>IF(OR(AE71="",AD71="",AD71=0,AE71=0),"",AE71-AD71)</f>
        <v/>
      </c>
      <c r="AG71" s="42">
        <f>IF(OR(AE71="",AD71="",AD71=0,AE71=0),"",AE71/AD71-1)</f>
        <v/>
      </c>
      <c r="AH71" s="43">
        <f>IF(OR(AD71="",W71="",W71=0),"",AD71/W71)</f>
        <v/>
      </c>
      <c r="AI71" s="43">
        <f>IF(OR(AE71="",X71="",X71=0),"",AE71/X71)</f>
        <v/>
      </c>
      <c r="AJ71" s="44">
        <f>IF(OR(AI71="",AH71=""),"",(AI71-AH71)*100)</f>
        <v/>
      </c>
      <c r="AK71" s="70" t="n"/>
      <c r="AL71" s="70" t="n"/>
      <c r="AM71" s="69">
        <f>IF(OR(AL71="",AK71="",AK71=0,AL71=0),"",AL71-AK71)</f>
        <v/>
      </c>
      <c r="AN71" s="42">
        <f>IF(OR(AL71="",AK71="",AK71=0,AL71=0),"",AL71/AK71-1)</f>
        <v/>
      </c>
      <c r="AO71" s="43">
        <f>IF(OR(AK71="",AD71="",AD71=0),"",AK71/AD71)</f>
        <v/>
      </c>
      <c r="AP71" s="43">
        <f>IF(OR(AL71="",AE71="",AE71=0),"",AL71/AE71)</f>
        <v/>
      </c>
      <c r="AQ71" s="44">
        <f>IF(OR(AP71="",AO71=""),"",(AP71-AO71)*100)</f>
        <v/>
      </c>
      <c r="AR71" s="70" t="n"/>
      <c r="AS71" s="70" t="n"/>
      <c r="AT71" s="69">
        <f>IF(OR(AS71="",AR71="",AR71=0,AS71=0),"",AS71-AR71)</f>
        <v/>
      </c>
      <c r="AU71" s="42">
        <f>IF(OR(AS71="",AR71="",AR71=0,AS71=0),"",AS71/AR71-1)</f>
        <v/>
      </c>
      <c r="AV71" s="43">
        <f>IF(OR(AR71="",AK71="",AK71=0),"",AR71/AK71)</f>
        <v/>
      </c>
      <c r="AW71" s="43">
        <f>IF(OR(AS71="",AL71="",AL71=0),"",AS71/AL71)</f>
        <v/>
      </c>
      <c r="AX71" s="44">
        <f>IF(OR(AW71="",AV71=""),"",(AW71-AV71)*100)</f>
        <v/>
      </c>
      <c r="AY71" s="45">
        <f>IF(OR(AR71="",P71="",P71=0),"",AR71/P71)</f>
        <v/>
      </c>
      <c r="AZ71" s="45">
        <f>IF(OR(AS71="",Q71="",Q71=0),"",AS71/Q71)</f>
        <v/>
      </c>
      <c r="BA71" s="44">
        <f>IF(OR(AZ71="",AY71=""),"",(AZ71-AY71)*100)</f>
        <v/>
      </c>
      <c r="BB71" s="45">
        <f>IF(OR(AR71="",E71="",E71=0),"",AR71/E71)</f>
        <v/>
      </c>
      <c r="BC71" s="45">
        <f>IF(OR(AS71="",F71="",F71=0),"",AS71/F71)</f>
        <v/>
      </c>
      <c r="BD71" s="44">
        <f>IF(OR(BC71="",BB71=""),"",(BC71-BB71)*100)</f>
        <v/>
      </c>
      <c r="BE71" s="40">
        <f>IF(AND(F71&lt;&gt;"",E71&lt;&gt;""),"Both years",IF(F71&lt;&gt;"","1-23Aug26 rows only","1-23Aug25 rows only"))</f>
        <v/>
      </c>
    </row>
    <row r="72">
      <c r="A72" s="40" t="inlineStr">
        <is>
          <t>All landing pages</t>
        </is>
      </c>
      <c r="B72" s="40" t="inlineStr">
        <is>
          <t>Organic</t>
        </is>
      </c>
      <c r="C72" s="40" t="inlineStr">
        <is>
          <t>Desktop</t>
        </is>
      </c>
      <c r="D72" s="40" t="inlineStr">
        <is>
          <t>Austria</t>
        </is>
      </c>
      <c r="E72" s="70" t="n"/>
      <c r="F72" s="70" t="n"/>
      <c r="G72" s="69">
        <f>IF(OR(F72="",E72="",E72=0,F72=0),"",F72-E72)</f>
        <v/>
      </c>
      <c r="H72" s="42">
        <f>IF(OR(F72="",E72="",E72=0,F72=0),"",F72/E72-1)</f>
        <v/>
      </c>
      <c r="I72" s="70" t="n"/>
      <c r="J72" s="70" t="n"/>
      <c r="K72" s="69">
        <f>IF(OR(J72="",I72="",I72=0,J72=0),"",J72-I72)</f>
        <v/>
      </c>
      <c r="L72" s="42">
        <f>IF(OR(J72="",I72="",I72=0,J72=0),"",J72/I72-1)</f>
        <v/>
      </c>
      <c r="M72" s="43">
        <f>IF(OR(I72="",E72="",E72=0),"",I72/E72)</f>
        <v/>
      </c>
      <c r="N72" s="43">
        <f>IF(OR(J72="",F72="",F72=0),"",J72/F72)</f>
        <v/>
      </c>
      <c r="O72" s="44">
        <f>IF(OR(N72="",M72=""),"",(N72-M72)*100)</f>
        <v/>
      </c>
      <c r="P72" s="68" t="n">
        <v>261</v>
      </c>
      <c r="Q72" s="70" t="n"/>
      <c r="R72" s="69">
        <f>IF(OR(Q72="",P72="",P72=0,Q72=0),"",Q72-P72)</f>
        <v/>
      </c>
      <c r="S72" s="42">
        <f>IF(OR(Q72="",P72="",P72=0,Q72=0),"",Q72/P72-1)</f>
        <v/>
      </c>
      <c r="T72" s="43">
        <f>IF(OR(P72="",E72="",E72=0),"",P72/E72)</f>
        <v/>
      </c>
      <c r="U72" s="43">
        <f>IF(OR(Q72="",F72="",F72=0),"",Q72/F72)</f>
        <v/>
      </c>
      <c r="V72" s="44">
        <f>IF(OR(U72="",T72=""),"",(U72-T72)*100)</f>
        <v/>
      </c>
      <c r="W72" s="70" t="n"/>
      <c r="X72" s="70" t="n"/>
      <c r="Y72" s="69">
        <f>IF(OR(X72="",W72="",W72=0,X72=0),"",X72-W72)</f>
        <v/>
      </c>
      <c r="Z72" s="42">
        <f>IF(OR(X72="",W72="",W72=0,X72=0),"",X72/W72-1)</f>
        <v/>
      </c>
      <c r="AA72" s="43">
        <f>IF(OR(W72="",P72="",P72=0),"",W72/P72)</f>
        <v/>
      </c>
      <c r="AB72" s="43">
        <f>IF(OR(X72="",Q72="",Q72=0),"",X72/Q72)</f>
        <v/>
      </c>
      <c r="AC72" s="44">
        <f>IF(OR(AB72="",AA72=""),"",(AB72-AA72)*100)</f>
        <v/>
      </c>
      <c r="AD72" s="70" t="n"/>
      <c r="AE72" s="70" t="n"/>
      <c r="AF72" s="69">
        <f>IF(OR(AE72="",AD72="",AD72=0,AE72=0),"",AE72-AD72)</f>
        <v/>
      </c>
      <c r="AG72" s="42">
        <f>IF(OR(AE72="",AD72="",AD72=0,AE72=0),"",AE72/AD72-1)</f>
        <v/>
      </c>
      <c r="AH72" s="43">
        <f>IF(OR(AD72="",W72="",W72=0),"",AD72/W72)</f>
        <v/>
      </c>
      <c r="AI72" s="43">
        <f>IF(OR(AE72="",X72="",X72=0),"",AE72/X72)</f>
        <v/>
      </c>
      <c r="AJ72" s="44">
        <f>IF(OR(AI72="",AH72=""),"",(AI72-AH72)*100)</f>
        <v/>
      </c>
      <c r="AK72" s="70" t="n"/>
      <c r="AL72" s="70" t="n"/>
      <c r="AM72" s="69">
        <f>IF(OR(AL72="",AK72="",AK72=0,AL72=0),"",AL72-AK72)</f>
        <v/>
      </c>
      <c r="AN72" s="42">
        <f>IF(OR(AL72="",AK72="",AK72=0,AL72=0),"",AL72/AK72-1)</f>
        <v/>
      </c>
      <c r="AO72" s="43">
        <f>IF(OR(AK72="",AD72="",AD72=0),"",AK72/AD72)</f>
        <v/>
      </c>
      <c r="AP72" s="43">
        <f>IF(OR(AL72="",AE72="",AE72=0),"",AL72/AE72)</f>
        <v/>
      </c>
      <c r="AQ72" s="44">
        <f>IF(OR(AP72="",AO72=""),"",(AP72-AO72)*100)</f>
        <v/>
      </c>
      <c r="AR72" s="70" t="n"/>
      <c r="AS72" s="70" t="n"/>
      <c r="AT72" s="69">
        <f>IF(OR(AS72="",AR72="",AR72=0,AS72=0),"",AS72-AR72)</f>
        <v/>
      </c>
      <c r="AU72" s="42">
        <f>IF(OR(AS72="",AR72="",AR72=0,AS72=0),"",AS72/AR72-1)</f>
        <v/>
      </c>
      <c r="AV72" s="43">
        <f>IF(OR(AR72="",AK72="",AK72=0),"",AR72/AK72)</f>
        <v/>
      </c>
      <c r="AW72" s="43">
        <f>IF(OR(AS72="",AL72="",AL72=0),"",AS72/AL72)</f>
        <v/>
      </c>
      <c r="AX72" s="44">
        <f>IF(OR(AW72="",AV72=""),"",(AW72-AV72)*100)</f>
        <v/>
      </c>
      <c r="AY72" s="45">
        <f>IF(OR(AR72="",P72="",P72=0),"",AR72/P72)</f>
        <v/>
      </c>
      <c r="AZ72" s="45">
        <f>IF(OR(AS72="",Q72="",Q72=0),"",AS72/Q72)</f>
        <v/>
      </c>
      <c r="BA72" s="44">
        <f>IF(OR(AZ72="",AY72=""),"",(AZ72-AY72)*100)</f>
        <v/>
      </c>
      <c r="BB72" s="45">
        <f>IF(OR(AR72="",E72="",E72=0),"",AR72/E72)</f>
        <v/>
      </c>
      <c r="BC72" s="45">
        <f>IF(OR(AS72="",F72="",F72=0),"",AS72/F72)</f>
        <v/>
      </c>
      <c r="BD72" s="44">
        <f>IF(OR(BC72="",BB72=""),"",(BC72-BB72)*100)</f>
        <v/>
      </c>
      <c r="BE72" s="40">
        <f>IF(AND(F72&lt;&gt;"",E72&lt;&gt;""),"Both years",IF(F72&lt;&gt;"","1-23Aug26 rows only","1-23Aug25 rows only"))</f>
        <v/>
      </c>
    </row>
    <row r="73">
      <c r="A73" s="40" t="inlineStr">
        <is>
          <t>All landing pages</t>
        </is>
      </c>
      <c r="B73" s="40" t="inlineStr">
        <is>
          <t>Direct</t>
        </is>
      </c>
      <c r="C73" s="40" t="inlineStr">
        <is>
          <t>Mobile</t>
        </is>
      </c>
      <c r="D73" s="40" t="inlineStr">
        <is>
          <t>United Kingdom</t>
        </is>
      </c>
      <c r="E73" s="68" t="n">
        <v>6494</v>
      </c>
      <c r="F73" s="68" t="n">
        <v>4074</v>
      </c>
      <c r="G73" s="69">
        <f>IF(OR(F73="",E73="",E73=0,F73=0),"",F73-E73)</f>
        <v/>
      </c>
      <c r="H73" s="42">
        <f>IF(OR(F73="",E73="",E73=0,F73=0),"",F73/E73-1)</f>
        <v/>
      </c>
      <c r="I73" s="68" t="n">
        <v>2835</v>
      </c>
      <c r="J73" s="68" t="n">
        <v>1755</v>
      </c>
      <c r="K73" s="69">
        <f>IF(OR(J73="",I73="",I73=0,J73=0),"",J73-I73)</f>
        <v/>
      </c>
      <c r="L73" s="42">
        <f>IF(OR(J73="",I73="",I73=0,J73=0),"",J73/I73-1)</f>
        <v/>
      </c>
      <c r="M73" s="43">
        <f>IF(OR(I73="",E73="",E73=0),"",I73/E73)</f>
        <v/>
      </c>
      <c r="N73" s="43">
        <f>IF(OR(J73="",F73="",F73=0),"",J73/F73)</f>
        <v/>
      </c>
      <c r="O73" s="44">
        <f>IF(OR(N73="",M73=""),"",(N73-M73)*100)</f>
        <v/>
      </c>
      <c r="P73" s="68" t="n">
        <v>2480</v>
      </c>
      <c r="Q73" s="68" t="n">
        <v>1513</v>
      </c>
      <c r="R73" s="69">
        <f>IF(OR(Q73="",P73="",P73=0,Q73=0),"",Q73-P73)</f>
        <v/>
      </c>
      <c r="S73" s="42">
        <f>IF(OR(Q73="",P73="",P73=0,Q73=0),"",Q73/P73-1)</f>
        <v/>
      </c>
      <c r="T73" s="43">
        <f>IF(OR(P73="",E73="",E73=0),"",P73/E73)</f>
        <v/>
      </c>
      <c r="U73" s="43">
        <f>IF(OR(Q73="",F73="",F73=0),"",Q73/F73)</f>
        <v/>
      </c>
      <c r="V73" s="44">
        <f>IF(OR(U73="",T73=""),"",(U73-T73)*100)</f>
        <v/>
      </c>
      <c r="W73" s="68" t="n">
        <v>915</v>
      </c>
      <c r="X73" s="68" t="n">
        <v>466</v>
      </c>
      <c r="Y73" s="69">
        <f>IF(OR(X73="",W73="",W73=0,X73=0),"",X73-W73)</f>
        <v/>
      </c>
      <c r="Z73" s="42">
        <f>IF(OR(X73="",W73="",W73=0,X73=0),"",X73/W73-1)</f>
        <v/>
      </c>
      <c r="AA73" s="43">
        <f>IF(OR(W73="",P73="",P73=0),"",W73/P73)</f>
        <v/>
      </c>
      <c r="AB73" s="43">
        <f>IF(OR(X73="",Q73="",Q73=0),"",X73/Q73)</f>
        <v/>
      </c>
      <c r="AC73" s="44">
        <f>IF(OR(AB73="",AA73=""),"",(AB73-AA73)*100)</f>
        <v/>
      </c>
      <c r="AD73" s="68" t="n">
        <v>775</v>
      </c>
      <c r="AE73" s="68" t="n">
        <v>378</v>
      </c>
      <c r="AF73" s="69">
        <f>IF(OR(AE73="",AD73="",AD73=0,AE73=0),"",AE73-AD73)</f>
        <v/>
      </c>
      <c r="AG73" s="42">
        <f>IF(OR(AE73="",AD73="",AD73=0,AE73=0),"",AE73/AD73-1)</f>
        <v/>
      </c>
      <c r="AH73" s="43">
        <f>IF(OR(AD73="",W73="",W73=0),"",AD73/W73)</f>
        <v/>
      </c>
      <c r="AI73" s="43">
        <f>IF(OR(AE73="",X73="",X73=0),"",AE73/X73)</f>
        <v/>
      </c>
      <c r="AJ73" s="44">
        <f>IF(OR(AI73="",AH73=""),"",(AI73-AH73)*100)</f>
        <v/>
      </c>
      <c r="AK73" s="68" t="n">
        <v>445</v>
      </c>
      <c r="AL73" s="68" t="n">
        <v>209</v>
      </c>
      <c r="AM73" s="69">
        <f>IF(OR(AL73="",AK73="",AK73=0,AL73=0),"",AL73-AK73)</f>
        <v/>
      </c>
      <c r="AN73" s="42">
        <f>IF(OR(AL73="",AK73="",AK73=0,AL73=0),"",AL73/AK73-1)</f>
        <v/>
      </c>
      <c r="AO73" s="43">
        <f>IF(OR(AK73="",AD73="",AD73=0),"",AK73/AD73)</f>
        <v/>
      </c>
      <c r="AP73" s="43">
        <f>IF(OR(AL73="",AE73="",AE73=0),"",AL73/AE73)</f>
        <v/>
      </c>
      <c r="AQ73" s="44">
        <f>IF(OR(AP73="",AO73=""),"",(AP73-AO73)*100)</f>
        <v/>
      </c>
      <c r="AR73" s="68" t="n">
        <v>416</v>
      </c>
      <c r="AS73" s="68" t="n">
        <v>207</v>
      </c>
      <c r="AT73" s="69">
        <f>IF(OR(AS73="",AR73="",AR73=0,AS73=0),"",AS73-AR73)</f>
        <v/>
      </c>
      <c r="AU73" s="42">
        <f>IF(OR(AS73="",AR73="",AR73=0,AS73=0),"",AS73/AR73-1)</f>
        <v/>
      </c>
      <c r="AV73" s="43">
        <f>IF(OR(AR73="",AK73="",AK73=0),"",AR73/AK73)</f>
        <v/>
      </c>
      <c r="AW73" s="43">
        <f>IF(OR(AS73="",AL73="",AL73=0),"",AS73/AL73)</f>
        <v/>
      </c>
      <c r="AX73" s="44">
        <f>IF(OR(AW73="",AV73=""),"",(AW73-AV73)*100)</f>
        <v/>
      </c>
      <c r="AY73" s="45">
        <f>IF(OR(AR73="",P73="",P73=0),"",AR73/P73)</f>
        <v/>
      </c>
      <c r="AZ73" s="45">
        <f>IF(OR(AS73="",Q73="",Q73=0),"",AS73/Q73)</f>
        <v/>
      </c>
      <c r="BA73" s="44">
        <f>IF(OR(AZ73="",AY73=""),"",(AZ73-AY73)*100)</f>
        <v/>
      </c>
      <c r="BB73" s="45">
        <f>IF(OR(AR73="",E73="",E73=0),"",AR73/E73)</f>
        <v/>
      </c>
      <c r="BC73" s="45">
        <f>IF(OR(AS73="",F73="",F73=0),"",AS73/F73)</f>
        <v/>
      </c>
      <c r="BD73" s="44">
        <f>IF(OR(BC73="",BB73=""),"",(BC73-BB73)*100)</f>
        <v/>
      </c>
      <c r="BE73" s="40">
        <f>IF(AND(F73&lt;&gt;"",E73&lt;&gt;""),"Both years",IF(F73&lt;&gt;"","1-23Aug26 rows only","1-23Aug25 rows only"))</f>
        <v/>
      </c>
    </row>
    <row r="74">
      <c r="A74" s="56" t="inlineStr">
        <is>
          <t>All landing pages</t>
        </is>
      </c>
      <c r="B74" s="56" t="inlineStr">
        <is>
          <t>Direct</t>
        </is>
      </c>
      <c r="C74" s="56" t="inlineStr">
        <is>
          <t>Mobile</t>
        </is>
      </c>
      <c r="D74" s="56" t="inlineStr">
        <is>
          <t>Germany</t>
        </is>
      </c>
      <c r="E74" s="68" t="n">
        <v>2354</v>
      </c>
      <c r="F74" s="68" t="n">
        <v>2079</v>
      </c>
      <c r="G74" s="69">
        <f>IF(OR(F74="",E74="",E74=0,F74=0),"",F74-E74)</f>
        <v/>
      </c>
      <c r="H74" s="42">
        <f>IF(OR(F74="",E74="",E74=0,F74=0),"",F74/E74-1)</f>
        <v/>
      </c>
      <c r="I74" s="68" t="n">
        <v>1142</v>
      </c>
      <c r="J74" s="68" t="n">
        <v>800</v>
      </c>
      <c r="K74" s="69">
        <f>IF(OR(J74="",I74="",I74=0,J74=0),"",J74-I74)</f>
        <v/>
      </c>
      <c r="L74" s="42">
        <f>IF(OR(J74="",I74="",I74=0,J74=0),"",J74/I74-1)</f>
        <v/>
      </c>
      <c r="M74" s="43">
        <f>IF(OR(I74="",E74="",E74=0),"",I74/E74)</f>
        <v/>
      </c>
      <c r="N74" s="43">
        <f>IF(OR(J74="",F74="",F74=0),"",J74/F74)</f>
        <v/>
      </c>
      <c r="O74" s="44">
        <f>IF(OR(N74="",M74=""),"",(N74-M74)*100)</f>
        <v/>
      </c>
      <c r="P74" s="68" t="n">
        <v>947</v>
      </c>
      <c r="Q74" s="68" t="n">
        <v>949</v>
      </c>
      <c r="R74" s="69">
        <f>IF(OR(Q74="",P74="",P74=0,Q74=0),"",Q74-P74)</f>
        <v/>
      </c>
      <c r="S74" s="42">
        <f>IF(OR(Q74="",P74="",P74=0,Q74=0),"",Q74/P74-1)</f>
        <v/>
      </c>
      <c r="T74" s="43">
        <f>IF(OR(P74="",E74="",E74=0),"",P74/E74)</f>
        <v/>
      </c>
      <c r="U74" s="43">
        <f>IF(OR(Q74="",F74="",F74=0),"",Q74/F74)</f>
        <v/>
      </c>
      <c r="V74" s="44">
        <f>IF(OR(U74="",T74=""),"",(U74-T74)*100)</f>
        <v/>
      </c>
      <c r="W74" s="68" t="n">
        <v>349</v>
      </c>
      <c r="X74" s="68" t="n">
        <v>302</v>
      </c>
      <c r="Y74" s="69">
        <f>IF(OR(X74="",W74="",W74=0,X74=0),"",X74-W74)</f>
        <v/>
      </c>
      <c r="Z74" s="42">
        <f>IF(OR(X74="",W74="",W74=0,X74=0),"",X74/W74-1)</f>
        <v/>
      </c>
      <c r="AA74" s="43">
        <f>IF(OR(W74="",P74="",P74=0),"",W74/P74)</f>
        <v/>
      </c>
      <c r="AB74" s="43">
        <f>IF(OR(X74="",Q74="",Q74=0),"",X74/Q74)</f>
        <v/>
      </c>
      <c r="AC74" s="44">
        <f>IF(OR(AB74="",AA74=""),"",(AB74-AA74)*100)</f>
        <v/>
      </c>
      <c r="AD74" s="68" t="n">
        <v>283</v>
      </c>
      <c r="AE74" s="68" t="n">
        <v>231</v>
      </c>
      <c r="AF74" s="69">
        <f>IF(OR(AE74="",AD74="",AD74=0,AE74=0),"",AE74-AD74)</f>
        <v/>
      </c>
      <c r="AG74" s="42">
        <f>IF(OR(AE74="",AD74="",AD74=0,AE74=0),"",AE74/AD74-1)</f>
        <v/>
      </c>
      <c r="AH74" s="43">
        <f>IF(OR(AD74="",W74="",W74=0),"",AD74/W74)</f>
        <v/>
      </c>
      <c r="AI74" s="43">
        <f>IF(OR(AE74="",X74="",X74=0),"",AE74/X74)</f>
        <v/>
      </c>
      <c r="AJ74" s="44">
        <f>IF(OR(AI74="",AH74=""),"",(AI74-AH74)*100)</f>
        <v/>
      </c>
      <c r="AK74" s="68" t="n">
        <v>131</v>
      </c>
      <c r="AL74" s="68" t="n">
        <v>95</v>
      </c>
      <c r="AM74" s="69">
        <f>IF(OR(AL74="",AK74="",AK74=0,AL74=0),"",AL74-AK74)</f>
        <v/>
      </c>
      <c r="AN74" s="42">
        <f>IF(OR(AL74="",AK74="",AK74=0,AL74=0),"",AL74/AK74-1)</f>
        <v/>
      </c>
      <c r="AO74" s="43">
        <f>IF(OR(AK74="",AD74="",AD74=0),"",AK74/AD74)</f>
        <v/>
      </c>
      <c r="AP74" s="43">
        <f>IF(OR(AL74="",AE74="",AE74=0),"",AL74/AE74)</f>
        <v/>
      </c>
      <c r="AQ74" s="44">
        <f>IF(OR(AP74="",AO74=""),"",(AP74-AO74)*100)</f>
        <v/>
      </c>
      <c r="AR74" s="68" t="n">
        <v>111</v>
      </c>
      <c r="AS74" s="68" t="n">
        <v>102</v>
      </c>
      <c r="AT74" s="69">
        <f>IF(OR(AS74="",AR74="",AR74=0,AS74=0),"",AS74-AR74)</f>
        <v/>
      </c>
      <c r="AU74" s="42">
        <f>IF(OR(AS74="",AR74="",AR74=0,AS74=0),"",AS74/AR74-1)</f>
        <v/>
      </c>
      <c r="AV74" s="43">
        <f>IF(OR(AR74="",AK74="",AK74=0),"",AR74/AK74)</f>
        <v/>
      </c>
      <c r="AW74" s="43">
        <f>IF(OR(AS74="",AL74="",AL74=0),"",AS74/AL74)</f>
        <v/>
      </c>
      <c r="AX74" s="44">
        <f>IF(OR(AW74="",AV74=""),"",(AW74-AV74)*100)</f>
        <v/>
      </c>
      <c r="AY74" s="45">
        <f>IF(OR(AR74="",P74="",P74=0),"",AR74/P74)</f>
        <v/>
      </c>
      <c r="AZ74" s="45">
        <f>IF(OR(AS74="",Q74="",Q74=0),"",AS74/Q74)</f>
        <v/>
      </c>
      <c r="BA74" s="44">
        <f>IF(OR(AZ74="",AY74=""),"",(AZ74-AY74)*100)</f>
        <v/>
      </c>
      <c r="BB74" s="45">
        <f>IF(OR(AR74="",E74="",E74=0),"",AR74/E74)</f>
        <v/>
      </c>
      <c r="BC74" s="45">
        <f>IF(OR(AS74="",F74="",F74=0),"",AS74/F74)</f>
        <v/>
      </c>
      <c r="BD74" s="44">
        <f>IF(OR(BC74="",BB74=""),"",(BC74-BB74)*100)</f>
        <v/>
      </c>
      <c r="BE74" s="40">
        <f>IF(AND(F74&lt;&gt;"",E74&lt;&gt;""),"Both years",IF(F74&lt;&gt;"","1-23Aug26 rows only","1-23Aug25 rows only"))</f>
        <v/>
      </c>
    </row>
    <row r="75">
      <c r="A75" s="40" t="inlineStr">
        <is>
          <t>All landing pages</t>
        </is>
      </c>
      <c r="B75" s="40" t="inlineStr">
        <is>
          <t>Direct</t>
        </is>
      </c>
      <c r="C75" s="40" t="inlineStr">
        <is>
          <t>Mobile</t>
        </is>
      </c>
      <c r="D75" s="40" t="inlineStr">
        <is>
          <t>Italy</t>
        </is>
      </c>
      <c r="E75" s="68" t="n">
        <v>886</v>
      </c>
      <c r="F75" s="68" t="n">
        <v>1404</v>
      </c>
      <c r="G75" s="69">
        <f>IF(OR(F75="",E75="",E75=0,F75=0),"",F75-E75)</f>
        <v/>
      </c>
      <c r="H75" s="42">
        <f>IF(OR(F75="",E75="",E75=0,F75=0),"",F75/E75-1)</f>
        <v/>
      </c>
      <c r="I75" s="68" t="n">
        <v>456</v>
      </c>
      <c r="J75" s="68" t="n">
        <v>401</v>
      </c>
      <c r="K75" s="69">
        <f>IF(OR(J75="",I75="",I75=0,J75=0),"",J75-I75)</f>
        <v/>
      </c>
      <c r="L75" s="42">
        <f>IF(OR(J75="",I75="",I75=0,J75=0),"",J75/I75-1)</f>
        <v/>
      </c>
      <c r="M75" s="43">
        <f>IF(OR(I75="",E75="",E75=0),"",I75/E75)</f>
        <v/>
      </c>
      <c r="N75" s="43">
        <f>IF(OR(J75="",F75="",F75=0),"",J75/F75)</f>
        <v/>
      </c>
      <c r="O75" s="44">
        <f>IF(OR(N75="",M75=""),"",(N75-M75)*100)</f>
        <v/>
      </c>
      <c r="P75" s="68" t="n">
        <v>344</v>
      </c>
      <c r="Q75" s="68" t="n">
        <v>475</v>
      </c>
      <c r="R75" s="69">
        <f>IF(OR(Q75="",P75="",P75=0,Q75=0),"",Q75-P75)</f>
        <v/>
      </c>
      <c r="S75" s="42">
        <f>IF(OR(Q75="",P75="",P75=0,Q75=0),"",Q75/P75-1)</f>
        <v/>
      </c>
      <c r="T75" s="43">
        <f>IF(OR(P75="",E75="",E75=0),"",P75/E75)</f>
        <v/>
      </c>
      <c r="U75" s="43">
        <f>IF(OR(Q75="",F75="",F75=0),"",Q75/F75)</f>
        <v/>
      </c>
      <c r="V75" s="44">
        <f>IF(OR(U75="",T75=""),"",(U75-T75)*100)</f>
        <v/>
      </c>
      <c r="W75" s="68" t="n">
        <v>104</v>
      </c>
      <c r="X75" s="68" t="n">
        <v>127</v>
      </c>
      <c r="Y75" s="69">
        <f>IF(OR(X75="",W75="",W75=0,X75=0),"",X75-W75)</f>
        <v/>
      </c>
      <c r="Z75" s="42">
        <f>IF(OR(X75="",W75="",W75=0,X75=0),"",X75/W75-1)</f>
        <v/>
      </c>
      <c r="AA75" s="43">
        <f>IF(OR(W75="",P75="",P75=0),"",W75/P75)</f>
        <v/>
      </c>
      <c r="AB75" s="43">
        <f>IF(OR(X75="",Q75="",Q75=0),"",X75/Q75)</f>
        <v/>
      </c>
      <c r="AC75" s="44">
        <f>IF(OR(AB75="",AA75=""),"",(AB75-AA75)*100)</f>
        <v/>
      </c>
      <c r="AD75" s="68" t="n">
        <v>85</v>
      </c>
      <c r="AE75" s="68" t="n">
        <v>93</v>
      </c>
      <c r="AF75" s="69">
        <f>IF(OR(AE75="",AD75="",AD75=0,AE75=0),"",AE75-AD75)</f>
        <v/>
      </c>
      <c r="AG75" s="42">
        <f>IF(OR(AE75="",AD75="",AD75=0,AE75=0),"",AE75/AD75-1)</f>
        <v/>
      </c>
      <c r="AH75" s="43">
        <f>IF(OR(AD75="",W75="",W75=0),"",AD75/W75)</f>
        <v/>
      </c>
      <c r="AI75" s="43">
        <f>IF(OR(AE75="",X75="",X75=0),"",AE75/X75)</f>
        <v/>
      </c>
      <c r="AJ75" s="44">
        <f>IF(OR(AI75="",AH75=""),"",(AI75-AH75)*100)</f>
        <v/>
      </c>
      <c r="AK75" s="68" t="n">
        <v>41</v>
      </c>
      <c r="AL75" s="68" t="n">
        <v>35</v>
      </c>
      <c r="AM75" s="69">
        <f>IF(OR(AL75="",AK75="",AK75=0,AL75=0),"",AL75-AK75)</f>
        <v/>
      </c>
      <c r="AN75" s="42">
        <f>IF(OR(AL75="",AK75="",AK75=0,AL75=0),"",AL75/AK75-1)</f>
        <v/>
      </c>
      <c r="AO75" s="43">
        <f>IF(OR(AK75="",AD75="",AD75=0),"",AK75/AD75)</f>
        <v/>
      </c>
      <c r="AP75" s="43">
        <f>IF(OR(AL75="",AE75="",AE75=0),"",AL75/AE75)</f>
        <v/>
      </c>
      <c r="AQ75" s="44">
        <f>IF(OR(AP75="",AO75=""),"",(AP75-AO75)*100)</f>
        <v/>
      </c>
      <c r="AR75" s="68" t="n">
        <v>40</v>
      </c>
      <c r="AS75" s="68" t="n">
        <v>39</v>
      </c>
      <c r="AT75" s="69">
        <f>IF(OR(AS75="",AR75="",AR75=0,AS75=0),"",AS75-AR75)</f>
        <v/>
      </c>
      <c r="AU75" s="42">
        <f>IF(OR(AS75="",AR75="",AR75=0,AS75=0),"",AS75/AR75-1)</f>
        <v/>
      </c>
      <c r="AV75" s="43">
        <f>IF(OR(AR75="",AK75="",AK75=0),"",AR75/AK75)</f>
        <v/>
      </c>
      <c r="AW75" s="43">
        <f>IF(OR(AS75="",AL75="",AL75=0),"",AS75/AL75)</f>
        <v/>
      </c>
      <c r="AX75" s="44">
        <f>IF(OR(AW75="",AV75=""),"",(AW75-AV75)*100)</f>
        <v/>
      </c>
      <c r="AY75" s="45">
        <f>IF(OR(AR75="",P75="",P75=0),"",AR75/P75)</f>
        <v/>
      </c>
      <c r="AZ75" s="45">
        <f>IF(OR(AS75="",Q75="",Q75=0),"",AS75/Q75)</f>
        <v/>
      </c>
      <c r="BA75" s="44">
        <f>IF(OR(AZ75="",AY75=""),"",(AZ75-AY75)*100)</f>
        <v/>
      </c>
      <c r="BB75" s="45">
        <f>IF(OR(AR75="",E75="",E75=0),"",AR75/E75)</f>
        <v/>
      </c>
      <c r="BC75" s="45">
        <f>IF(OR(AS75="",F75="",F75=0),"",AS75/F75)</f>
        <v/>
      </c>
      <c r="BD75" s="44">
        <f>IF(OR(BC75="",BB75=""),"",(BC75-BB75)*100)</f>
        <v/>
      </c>
      <c r="BE75" s="40">
        <f>IF(AND(F75&lt;&gt;"",E75&lt;&gt;""),"Both years",IF(F75&lt;&gt;"","1-23Aug26 rows only","1-23Aug25 rows only"))</f>
        <v/>
      </c>
    </row>
    <row r="76">
      <c r="A76" s="56" t="inlineStr">
        <is>
          <t>All landing pages</t>
        </is>
      </c>
      <c r="B76" s="56" t="inlineStr">
        <is>
          <t>Direct</t>
        </is>
      </c>
      <c r="C76" s="56" t="inlineStr">
        <is>
          <t>Mobile</t>
        </is>
      </c>
      <c r="D76" s="56" t="inlineStr">
        <is>
          <t>Spain</t>
        </is>
      </c>
      <c r="E76" s="68" t="n">
        <v>1243</v>
      </c>
      <c r="F76" s="68" t="n">
        <v>1220</v>
      </c>
      <c r="G76" s="69">
        <f>IF(OR(F76="",E76="",E76=0,F76=0),"",F76-E76)</f>
        <v/>
      </c>
      <c r="H76" s="42">
        <f>IF(OR(F76="",E76="",E76=0,F76=0),"",F76/E76-1)</f>
        <v/>
      </c>
      <c r="I76" s="68" t="n">
        <v>558</v>
      </c>
      <c r="J76" s="68" t="n">
        <v>357</v>
      </c>
      <c r="K76" s="69">
        <f>IF(OR(J76="",I76="",I76=0,J76=0),"",J76-I76)</f>
        <v/>
      </c>
      <c r="L76" s="42">
        <f>IF(OR(J76="",I76="",I76=0,J76=0),"",J76/I76-1)</f>
        <v/>
      </c>
      <c r="M76" s="43">
        <f>IF(OR(I76="",E76="",E76=0),"",I76/E76)</f>
        <v/>
      </c>
      <c r="N76" s="43">
        <f>IF(OR(J76="",F76="",F76=0),"",J76/F76)</f>
        <v/>
      </c>
      <c r="O76" s="44">
        <f>IF(OR(N76="",M76=""),"",(N76-M76)*100)</f>
        <v/>
      </c>
      <c r="P76" s="68" t="n">
        <v>432</v>
      </c>
      <c r="Q76" s="68" t="n">
        <v>395</v>
      </c>
      <c r="R76" s="69">
        <f>IF(OR(Q76="",P76="",P76=0,Q76=0),"",Q76-P76)</f>
        <v/>
      </c>
      <c r="S76" s="42">
        <f>IF(OR(Q76="",P76="",P76=0,Q76=0),"",Q76/P76-1)</f>
        <v/>
      </c>
      <c r="T76" s="43">
        <f>IF(OR(P76="",E76="",E76=0),"",P76/E76)</f>
        <v/>
      </c>
      <c r="U76" s="43">
        <f>IF(OR(Q76="",F76="",F76=0),"",Q76/F76)</f>
        <v/>
      </c>
      <c r="V76" s="44">
        <f>IF(OR(U76="",T76=""),"",(U76-T76)*100)</f>
        <v/>
      </c>
      <c r="W76" s="68" t="n">
        <v>172</v>
      </c>
      <c r="X76" s="68" t="n">
        <v>145</v>
      </c>
      <c r="Y76" s="69">
        <f>IF(OR(X76="",W76="",W76=0,X76=0),"",X76-W76)</f>
        <v/>
      </c>
      <c r="Z76" s="42">
        <f>IF(OR(X76="",W76="",W76=0,X76=0),"",X76/W76-1)</f>
        <v/>
      </c>
      <c r="AA76" s="43">
        <f>IF(OR(W76="",P76="",P76=0),"",W76/P76)</f>
        <v/>
      </c>
      <c r="AB76" s="43">
        <f>IF(OR(X76="",Q76="",Q76=0),"",X76/Q76)</f>
        <v/>
      </c>
      <c r="AC76" s="44">
        <f>IF(OR(AB76="",AA76=""),"",(AB76-AA76)*100)</f>
        <v/>
      </c>
      <c r="AD76" s="68" t="n">
        <v>144</v>
      </c>
      <c r="AE76" s="68" t="n">
        <v>117</v>
      </c>
      <c r="AF76" s="69">
        <f>IF(OR(AE76="",AD76="",AD76=0,AE76=0),"",AE76-AD76)</f>
        <v/>
      </c>
      <c r="AG76" s="42">
        <f>IF(OR(AE76="",AD76="",AD76=0,AE76=0),"",AE76/AD76-1)</f>
        <v/>
      </c>
      <c r="AH76" s="43">
        <f>IF(OR(AD76="",W76="",W76=0),"",AD76/W76)</f>
        <v/>
      </c>
      <c r="AI76" s="43">
        <f>IF(OR(AE76="",X76="",X76=0),"",AE76/X76)</f>
        <v/>
      </c>
      <c r="AJ76" s="44">
        <f>IF(OR(AI76="",AH76=""),"",(AI76-AH76)*100)</f>
        <v/>
      </c>
      <c r="AK76" s="68" t="n">
        <v>71</v>
      </c>
      <c r="AL76" s="68" t="n">
        <v>65</v>
      </c>
      <c r="AM76" s="69">
        <f>IF(OR(AL76="",AK76="",AK76=0,AL76=0),"",AL76-AK76)</f>
        <v/>
      </c>
      <c r="AN76" s="42">
        <f>IF(OR(AL76="",AK76="",AK76=0,AL76=0),"",AL76/AK76-1)</f>
        <v/>
      </c>
      <c r="AO76" s="43">
        <f>IF(OR(AK76="",AD76="",AD76=0),"",AK76/AD76)</f>
        <v/>
      </c>
      <c r="AP76" s="43">
        <f>IF(OR(AL76="",AE76="",AE76=0),"",AL76/AE76)</f>
        <v/>
      </c>
      <c r="AQ76" s="44">
        <f>IF(OR(AP76="",AO76=""),"",(AP76-AO76)*100)</f>
        <v/>
      </c>
      <c r="AR76" s="68" t="n">
        <v>64</v>
      </c>
      <c r="AS76" s="68" t="n">
        <v>66</v>
      </c>
      <c r="AT76" s="69">
        <f>IF(OR(AS76="",AR76="",AR76=0,AS76=0),"",AS76-AR76)</f>
        <v/>
      </c>
      <c r="AU76" s="42">
        <f>IF(OR(AS76="",AR76="",AR76=0,AS76=0),"",AS76/AR76-1)</f>
        <v/>
      </c>
      <c r="AV76" s="43">
        <f>IF(OR(AR76="",AK76="",AK76=0),"",AR76/AK76)</f>
        <v/>
      </c>
      <c r="AW76" s="43">
        <f>IF(OR(AS76="",AL76="",AL76=0),"",AS76/AL76)</f>
        <v/>
      </c>
      <c r="AX76" s="44">
        <f>IF(OR(AW76="",AV76=""),"",(AW76-AV76)*100)</f>
        <v/>
      </c>
      <c r="AY76" s="45">
        <f>IF(OR(AR76="",P76="",P76=0),"",AR76/P76)</f>
        <v/>
      </c>
      <c r="AZ76" s="45">
        <f>IF(OR(AS76="",Q76="",Q76=0),"",AS76/Q76)</f>
        <v/>
      </c>
      <c r="BA76" s="44">
        <f>IF(OR(AZ76="",AY76=""),"",(AZ76-AY76)*100)</f>
        <v/>
      </c>
      <c r="BB76" s="45">
        <f>IF(OR(AR76="",E76="",E76=0),"",AR76/E76)</f>
        <v/>
      </c>
      <c r="BC76" s="45">
        <f>IF(OR(AS76="",F76="",F76=0),"",AS76/F76)</f>
        <v/>
      </c>
      <c r="BD76" s="44">
        <f>IF(OR(BC76="",BB76=""),"",(BC76-BB76)*100)</f>
        <v/>
      </c>
      <c r="BE76" s="40">
        <f>IF(AND(F76&lt;&gt;"",E76&lt;&gt;""),"Both years",IF(F76&lt;&gt;"","1-23Aug26 rows only","1-23Aug25 rows only"))</f>
        <v/>
      </c>
    </row>
    <row r="77">
      <c r="A77" s="40" t="inlineStr">
        <is>
          <t>All landing pages</t>
        </is>
      </c>
      <c r="B77" s="40" t="inlineStr">
        <is>
          <t>Direct</t>
        </is>
      </c>
      <c r="C77" s="40" t="inlineStr">
        <is>
          <t>Mobile</t>
        </is>
      </c>
      <c r="D77" s="40" t="inlineStr">
        <is>
          <t>United States</t>
        </is>
      </c>
      <c r="E77" s="68" t="n">
        <v>802</v>
      </c>
      <c r="F77" s="68" t="n">
        <v>791</v>
      </c>
      <c r="G77" s="69">
        <f>IF(OR(F77="",E77="",E77=0,F77=0),"",F77-E77)</f>
        <v/>
      </c>
      <c r="H77" s="42">
        <f>IF(OR(F77="",E77="",E77=0,F77=0),"",F77/E77-1)</f>
        <v/>
      </c>
      <c r="I77" s="68" t="n">
        <v>368</v>
      </c>
      <c r="J77" s="68" t="n">
        <v>289</v>
      </c>
      <c r="K77" s="69">
        <f>IF(OR(J77="",I77="",I77=0,J77=0),"",J77-I77)</f>
        <v/>
      </c>
      <c r="L77" s="42">
        <f>IF(OR(J77="",I77="",I77=0,J77=0),"",J77/I77-1)</f>
        <v/>
      </c>
      <c r="M77" s="43">
        <f>IF(OR(I77="",E77="",E77=0),"",I77/E77)</f>
        <v/>
      </c>
      <c r="N77" s="43">
        <f>IF(OR(J77="",F77="",F77=0),"",J77/F77)</f>
        <v/>
      </c>
      <c r="O77" s="44">
        <f>IF(OR(N77="",M77=""),"",(N77-M77)*100)</f>
        <v/>
      </c>
      <c r="P77" s="68" t="n">
        <v>260</v>
      </c>
      <c r="Q77" s="68" t="n">
        <v>230</v>
      </c>
      <c r="R77" s="69">
        <f>IF(OR(Q77="",P77="",P77=0,Q77=0),"",Q77-P77)</f>
        <v/>
      </c>
      <c r="S77" s="42">
        <f>IF(OR(Q77="",P77="",P77=0,Q77=0),"",Q77/P77-1)</f>
        <v/>
      </c>
      <c r="T77" s="43">
        <f>IF(OR(P77="",E77="",E77=0),"",P77/E77)</f>
        <v/>
      </c>
      <c r="U77" s="43">
        <f>IF(OR(Q77="",F77="",F77=0),"",Q77/F77)</f>
        <v/>
      </c>
      <c r="V77" s="44">
        <f>IF(OR(U77="",T77=""),"",(U77-T77)*100)</f>
        <v/>
      </c>
      <c r="W77" s="68" t="n">
        <v>124</v>
      </c>
      <c r="X77" s="68" t="n">
        <v>96</v>
      </c>
      <c r="Y77" s="69">
        <f>IF(OR(X77="",W77="",W77=0,X77=0),"",X77-W77)</f>
        <v/>
      </c>
      <c r="Z77" s="42">
        <f>IF(OR(X77="",W77="",W77=0,X77=0),"",X77/W77-1)</f>
        <v/>
      </c>
      <c r="AA77" s="43">
        <f>IF(OR(W77="",P77="",P77=0),"",W77/P77)</f>
        <v/>
      </c>
      <c r="AB77" s="43">
        <f>IF(OR(X77="",Q77="",Q77=0),"",X77/Q77)</f>
        <v/>
      </c>
      <c r="AC77" s="44">
        <f>IF(OR(AB77="",AA77=""),"",(AB77-AA77)*100)</f>
        <v/>
      </c>
      <c r="AD77" s="68" t="n">
        <v>113</v>
      </c>
      <c r="AE77" s="68" t="n">
        <v>80</v>
      </c>
      <c r="AF77" s="69">
        <f>IF(OR(AE77="",AD77="",AD77=0,AE77=0),"",AE77-AD77)</f>
        <v/>
      </c>
      <c r="AG77" s="42">
        <f>IF(OR(AE77="",AD77="",AD77=0,AE77=0),"",AE77/AD77-1)</f>
        <v/>
      </c>
      <c r="AH77" s="43">
        <f>IF(OR(AD77="",W77="",W77=0),"",AD77/W77)</f>
        <v/>
      </c>
      <c r="AI77" s="43">
        <f>IF(OR(AE77="",X77="",X77=0),"",AE77/X77)</f>
        <v/>
      </c>
      <c r="AJ77" s="44">
        <f>IF(OR(AI77="",AH77=""),"",(AI77-AH77)*100)</f>
        <v/>
      </c>
      <c r="AK77" s="68" t="n">
        <v>53</v>
      </c>
      <c r="AL77" s="68" t="n">
        <v>39</v>
      </c>
      <c r="AM77" s="69">
        <f>IF(OR(AL77="",AK77="",AK77=0,AL77=0),"",AL77-AK77)</f>
        <v/>
      </c>
      <c r="AN77" s="42">
        <f>IF(OR(AL77="",AK77="",AK77=0,AL77=0),"",AL77/AK77-1)</f>
        <v/>
      </c>
      <c r="AO77" s="43">
        <f>IF(OR(AK77="",AD77="",AD77=0),"",AK77/AD77)</f>
        <v/>
      </c>
      <c r="AP77" s="43">
        <f>IF(OR(AL77="",AE77="",AE77=0),"",AL77/AE77)</f>
        <v/>
      </c>
      <c r="AQ77" s="44">
        <f>IF(OR(AP77="",AO77=""),"",(AP77-AO77)*100)</f>
        <v/>
      </c>
      <c r="AR77" s="68" t="n">
        <v>33</v>
      </c>
      <c r="AS77" s="68" t="n">
        <v>32</v>
      </c>
      <c r="AT77" s="69">
        <f>IF(OR(AS77="",AR77="",AR77=0,AS77=0),"",AS77-AR77)</f>
        <v/>
      </c>
      <c r="AU77" s="42">
        <f>IF(OR(AS77="",AR77="",AR77=0,AS77=0),"",AS77/AR77-1)</f>
        <v/>
      </c>
      <c r="AV77" s="43">
        <f>IF(OR(AR77="",AK77="",AK77=0),"",AR77/AK77)</f>
        <v/>
      </c>
      <c r="AW77" s="43">
        <f>IF(OR(AS77="",AL77="",AL77=0),"",AS77/AL77)</f>
        <v/>
      </c>
      <c r="AX77" s="44">
        <f>IF(OR(AW77="",AV77=""),"",(AW77-AV77)*100)</f>
        <v/>
      </c>
      <c r="AY77" s="45">
        <f>IF(OR(AR77="",P77="",P77=0),"",AR77/P77)</f>
        <v/>
      </c>
      <c r="AZ77" s="45">
        <f>IF(OR(AS77="",Q77="",Q77=0),"",AS77/Q77)</f>
        <v/>
      </c>
      <c r="BA77" s="44">
        <f>IF(OR(AZ77="",AY77=""),"",(AZ77-AY77)*100)</f>
        <v/>
      </c>
      <c r="BB77" s="45">
        <f>IF(OR(AR77="",E77="",E77=0),"",AR77/E77)</f>
        <v/>
      </c>
      <c r="BC77" s="45">
        <f>IF(OR(AS77="",F77="",F77=0),"",AS77/F77)</f>
        <v/>
      </c>
      <c r="BD77" s="44">
        <f>IF(OR(BC77="",BB77=""),"",(BC77-BB77)*100)</f>
        <v/>
      </c>
      <c r="BE77" s="40">
        <f>IF(AND(F77&lt;&gt;"",E77&lt;&gt;""),"Both years",IF(F77&lt;&gt;"","1-23Aug26 rows only","1-23Aug25 rows only"))</f>
        <v/>
      </c>
    </row>
    <row r="78">
      <c r="A78" s="56" t="inlineStr">
        <is>
          <t>All landing pages</t>
        </is>
      </c>
      <c r="B78" s="56" t="inlineStr">
        <is>
          <t>Direct</t>
        </is>
      </c>
      <c r="C78" s="56" t="inlineStr">
        <is>
          <t>Mobile</t>
        </is>
      </c>
      <c r="D78" s="56" t="inlineStr">
        <is>
          <t>Netherlands</t>
        </is>
      </c>
      <c r="E78" s="68" t="n">
        <v>786</v>
      </c>
      <c r="F78" s="68" t="n">
        <v>620</v>
      </c>
      <c r="G78" s="69">
        <f>IF(OR(F78="",E78="",E78=0,F78=0),"",F78-E78)</f>
        <v/>
      </c>
      <c r="H78" s="42">
        <f>IF(OR(F78="",E78="",E78=0,F78=0),"",F78/E78-1)</f>
        <v/>
      </c>
      <c r="I78" s="68" t="n">
        <v>374</v>
      </c>
      <c r="J78" s="68" t="n">
        <v>213</v>
      </c>
      <c r="K78" s="69">
        <f>IF(OR(J78="",I78="",I78=0,J78=0),"",J78-I78)</f>
        <v/>
      </c>
      <c r="L78" s="42">
        <f>IF(OR(J78="",I78="",I78=0,J78=0),"",J78/I78-1)</f>
        <v/>
      </c>
      <c r="M78" s="43">
        <f>IF(OR(I78="",E78="",E78=0),"",I78/E78)</f>
        <v/>
      </c>
      <c r="N78" s="43">
        <f>IF(OR(J78="",F78="",F78=0),"",J78/F78)</f>
        <v/>
      </c>
      <c r="O78" s="44">
        <f>IF(OR(N78="",M78=""),"",(N78-M78)*100)</f>
        <v/>
      </c>
      <c r="P78" s="68" t="n">
        <v>313</v>
      </c>
      <c r="Q78" s="68" t="n">
        <v>227</v>
      </c>
      <c r="R78" s="69">
        <f>IF(OR(Q78="",P78="",P78=0,Q78=0),"",Q78-P78)</f>
        <v/>
      </c>
      <c r="S78" s="42">
        <f>IF(OR(Q78="",P78="",P78=0,Q78=0),"",Q78/P78-1)</f>
        <v/>
      </c>
      <c r="T78" s="43">
        <f>IF(OR(P78="",E78="",E78=0),"",P78/E78)</f>
        <v/>
      </c>
      <c r="U78" s="43">
        <f>IF(OR(Q78="",F78="",F78=0),"",Q78/F78)</f>
        <v/>
      </c>
      <c r="V78" s="44">
        <f>IF(OR(U78="",T78=""),"",(U78-T78)*100)</f>
        <v/>
      </c>
      <c r="W78" s="68" t="n">
        <v>117</v>
      </c>
      <c r="X78" s="68" t="n">
        <v>64</v>
      </c>
      <c r="Y78" s="69">
        <f>IF(OR(X78="",W78="",W78=0,X78=0),"",X78-W78)</f>
        <v/>
      </c>
      <c r="Z78" s="42">
        <f>IF(OR(X78="",W78="",W78=0,X78=0),"",X78/W78-1)</f>
        <v/>
      </c>
      <c r="AA78" s="43">
        <f>IF(OR(W78="",P78="",P78=0),"",W78/P78)</f>
        <v/>
      </c>
      <c r="AB78" s="43">
        <f>IF(OR(X78="",Q78="",Q78=0),"",X78/Q78)</f>
        <v/>
      </c>
      <c r="AC78" s="44">
        <f>IF(OR(AB78="",AA78=""),"",(AB78-AA78)*100)</f>
        <v/>
      </c>
      <c r="AD78" s="68" t="n">
        <v>89</v>
      </c>
      <c r="AE78" s="68" t="n">
        <v>52</v>
      </c>
      <c r="AF78" s="69">
        <f>IF(OR(AE78="",AD78="",AD78=0,AE78=0),"",AE78-AD78)</f>
        <v/>
      </c>
      <c r="AG78" s="42">
        <f>IF(OR(AE78="",AD78="",AD78=0,AE78=0),"",AE78/AD78-1)</f>
        <v/>
      </c>
      <c r="AH78" s="43">
        <f>IF(OR(AD78="",W78="",W78=0),"",AD78/W78)</f>
        <v/>
      </c>
      <c r="AI78" s="43">
        <f>IF(OR(AE78="",X78="",X78=0),"",AE78/X78)</f>
        <v/>
      </c>
      <c r="AJ78" s="44">
        <f>IF(OR(AI78="",AH78=""),"",(AI78-AH78)*100)</f>
        <v/>
      </c>
      <c r="AK78" s="68" t="n">
        <v>41</v>
      </c>
      <c r="AL78" s="68" t="n">
        <v>24</v>
      </c>
      <c r="AM78" s="69">
        <f>IF(OR(AL78="",AK78="",AK78=0,AL78=0),"",AL78-AK78)</f>
        <v/>
      </c>
      <c r="AN78" s="42">
        <f>IF(OR(AL78="",AK78="",AK78=0,AL78=0),"",AL78/AK78-1)</f>
        <v/>
      </c>
      <c r="AO78" s="43">
        <f>IF(OR(AK78="",AD78="",AD78=0),"",AK78/AD78)</f>
        <v/>
      </c>
      <c r="AP78" s="43">
        <f>IF(OR(AL78="",AE78="",AE78=0),"",AL78/AE78)</f>
        <v/>
      </c>
      <c r="AQ78" s="44">
        <f>IF(OR(AP78="",AO78=""),"",(AP78-AO78)*100)</f>
        <v/>
      </c>
      <c r="AR78" s="68" t="n">
        <v>10</v>
      </c>
      <c r="AS78" s="68" t="n">
        <v>6</v>
      </c>
      <c r="AT78" s="69">
        <f>IF(OR(AS78="",AR78="",AR78=0,AS78=0),"",AS78-AR78)</f>
        <v/>
      </c>
      <c r="AU78" s="42">
        <f>IF(OR(AS78="",AR78="",AR78=0,AS78=0),"",AS78/AR78-1)</f>
        <v/>
      </c>
      <c r="AV78" s="43">
        <f>IF(OR(AR78="",AK78="",AK78=0),"",AR78/AK78)</f>
        <v/>
      </c>
      <c r="AW78" s="43">
        <f>IF(OR(AS78="",AL78="",AL78=0),"",AS78/AL78)</f>
        <v/>
      </c>
      <c r="AX78" s="44">
        <f>IF(OR(AW78="",AV78=""),"",(AW78-AV78)*100)</f>
        <v/>
      </c>
      <c r="AY78" s="45">
        <f>IF(OR(AR78="",P78="",P78=0),"",AR78/P78)</f>
        <v/>
      </c>
      <c r="AZ78" s="45">
        <f>IF(OR(AS78="",Q78="",Q78=0),"",AS78/Q78)</f>
        <v/>
      </c>
      <c r="BA78" s="44">
        <f>IF(OR(AZ78="",AY78=""),"",(AZ78-AY78)*100)</f>
        <v/>
      </c>
      <c r="BB78" s="45">
        <f>IF(OR(AR78="",E78="",E78=0),"",AR78/E78)</f>
        <v/>
      </c>
      <c r="BC78" s="45">
        <f>IF(OR(AS78="",F78="",F78=0),"",AS78/F78)</f>
        <v/>
      </c>
      <c r="BD78" s="44">
        <f>IF(OR(BC78="",BB78=""),"",(BC78-BB78)*100)</f>
        <v/>
      </c>
      <c r="BE78" s="40">
        <f>IF(AND(F78&lt;&gt;"",E78&lt;&gt;""),"Both years",IF(F78&lt;&gt;"","1-23Aug26 rows only","1-23Aug25 rows only"))</f>
        <v/>
      </c>
    </row>
    <row r="79">
      <c r="A79" s="40" t="inlineStr">
        <is>
          <t>All landing pages</t>
        </is>
      </c>
      <c r="B79" s="40" t="inlineStr">
        <is>
          <t>Direct</t>
        </is>
      </c>
      <c r="C79" s="40" t="inlineStr">
        <is>
          <t>Mobile</t>
        </is>
      </c>
      <c r="D79" s="40" t="inlineStr">
        <is>
          <t>Ireland</t>
        </is>
      </c>
      <c r="E79" s="68" t="n">
        <v>870</v>
      </c>
      <c r="F79" s="68" t="n">
        <v>619</v>
      </c>
      <c r="G79" s="69">
        <f>IF(OR(F79="",E79="",E79=0,F79=0),"",F79-E79)</f>
        <v/>
      </c>
      <c r="H79" s="42">
        <f>IF(OR(F79="",E79="",E79=0,F79=0),"",F79/E79-1)</f>
        <v/>
      </c>
      <c r="I79" s="68" t="n">
        <v>392</v>
      </c>
      <c r="J79" s="68" t="n">
        <v>244</v>
      </c>
      <c r="K79" s="69">
        <f>IF(OR(J79="",I79="",I79=0,J79=0),"",J79-I79)</f>
        <v/>
      </c>
      <c r="L79" s="42">
        <f>IF(OR(J79="",I79="",I79=0,J79=0),"",J79/I79-1)</f>
        <v/>
      </c>
      <c r="M79" s="43">
        <f>IF(OR(I79="",E79="",E79=0),"",I79/E79)</f>
        <v/>
      </c>
      <c r="N79" s="43">
        <f>IF(OR(J79="",F79="",F79=0),"",J79/F79)</f>
        <v/>
      </c>
      <c r="O79" s="44">
        <f>IF(OR(N79="",M79=""),"",(N79-M79)*100)</f>
        <v/>
      </c>
      <c r="P79" s="68" t="n">
        <v>339</v>
      </c>
      <c r="Q79" s="68" t="n">
        <v>253</v>
      </c>
      <c r="R79" s="69">
        <f>IF(OR(Q79="",P79="",P79=0,Q79=0),"",Q79-P79)</f>
        <v/>
      </c>
      <c r="S79" s="42">
        <f>IF(OR(Q79="",P79="",P79=0,Q79=0),"",Q79/P79-1)</f>
        <v/>
      </c>
      <c r="T79" s="43">
        <f>IF(OR(P79="",E79="",E79=0),"",P79/E79)</f>
        <v/>
      </c>
      <c r="U79" s="43">
        <f>IF(OR(Q79="",F79="",F79=0),"",Q79/F79)</f>
        <v/>
      </c>
      <c r="V79" s="44">
        <f>IF(OR(U79="",T79=""),"",(U79-T79)*100)</f>
        <v/>
      </c>
      <c r="W79" s="68" t="n">
        <v>140</v>
      </c>
      <c r="X79" s="68" t="n">
        <v>79</v>
      </c>
      <c r="Y79" s="69">
        <f>IF(OR(X79="",W79="",W79=0,X79=0),"",X79-W79)</f>
        <v/>
      </c>
      <c r="Z79" s="42">
        <f>IF(OR(X79="",W79="",W79=0,X79=0),"",X79/W79-1)</f>
        <v/>
      </c>
      <c r="AA79" s="43">
        <f>IF(OR(W79="",P79="",P79=0),"",W79/P79)</f>
        <v/>
      </c>
      <c r="AB79" s="43">
        <f>IF(OR(X79="",Q79="",Q79=0),"",X79/Q79)</f>
        <v/>
      </c>
      <c r="AC79" s="44">
        <f>IF(OR(AB79="",AA79=""),"",(AB79-AA79)*100)</f>
        <v/>
      </c>
      <c r="AD79" s="68" t="n">
        <v>126</v>
      </c>
      <c r="AE79" s="68" t="n">
        <v>66</v>
      </c>
      <c r="AF79" s="69">
        <f>IF(OR(AE79="",AD79="",AD79=0,AE79=0),"",AE79-AD79)</f>
        <v/>
      </c>
      <c r="AG79" s="42">
        <f>IF(OR(AE79="",AD79="",AD79=0,AE79=0),"",AE79/AD79-1)</f>
        <v/>
      </c>
      <c r="AH79" s="43">
        <f>IF(OR(AD79="",W79="",W79=0),"",AD79/W79)</f>
        <v/>
      </c>
      <c r="AI79" s="43">
        <f>IF(OR(AE79="",X79="",X79=0),"",AE79/X79)</f>
        <v/>
      </c>
      <c r="AJ79" s="44">
        <f>IF(OR(AI79="",AH79=""),"",(AI79-AH79)*100)</f>
        <v/>
      </c>
      <c r="AK79" s="68" t="n">
        <v>81</v>
      </c>
      <c r="AL79" s="68" t="n">
        <v>33</v>
      </c>
      <c r="AM79" s="69">
        <f>IF(OR(AL79="",AK79="",AK79=0,AL79=0),"",AL79-AK79)</f>
        <v/>
      </c>
      <c r="AN79" s="42">
        <f>IF(OR(AL79="",AK79="",AK79=0,AL79=0),"",AL79/AK79-1)</f>
        <v/>
      </c>
      <c r="AO79" s="43">
        <f>IF(OR(AK79="",AD79="",AD79=0),"",AK79/AD79)</f>
        <v/>
      </c>
      <c r="AP79" s="43">
        <f>IF(OR(AL79="",AE79="",AE79=0),"",AL79/AE79)</f>
        <v/>
      </c>
      <c r="AQ79" s="44">
        <f>IF(OR(AP79="",AO79=""),"",(AP79-AO79)*100)</f>
        <v/>
      </c>
      <c r="AR79" s="68" t="n">
        <v>76</v>
      </c>
      <c r="AS79" s="68" t="n">
        <v>41</v>
      </c>
      <c r="AT79" s="69">
        <f>IF(OR(AS79="",AR79="",AR79=0,AS79=0),"",AS79-AR79)</f>
        <v/>
      </c>
      <c r="AU79" s="42">
        <f>IF(OR(AS79="",AR79="",AR79=0,AS79=0),"",AS79/AR79-1)</f>
        <v/>
      </c>
      <c r="AV79" s="43">
        <f>IF(OR(AR79="",AK79="",AK79=0),"",AR79/AK79)</f>
        <v/>
      </c>
      <c r="AW79" s="43">
        <f>IF(OR(AS79="",AL79="",AL79=0),"",AS79/AL79)</f>
        <v/>
      </c>
      <c r="AX79" s="44">
        <f>IF(OR(AW79="",AV79=""),"",(AW79-AV79)*100)</f>
        <v/>
      </c>
      <c r="AY79" s="45">
        <f>IF(OR(AR79="",P79="",P79=0),"",AR79/P79)</f>
        <v/>
      </c>
      <c r="AZ79" s="45">
        <f>IF(OR(AS79="",Q79="",Q79=0),"",AS79/Q79)</f>
        <v/>
      </c>
      <c r="BA79" s="44">
        <f>IF(OR(AZ79="",AY79=""),"",(AZ79-AY79)*100)</f>
        <v/>
      </c>
      <c r="BB79" s="45">
        <f>IF(OR(AR79="",E79="",E79=0),"",AR79/E79)</f>
        <v/>
      </c>
      <c r="BC79" s="45">
        <f>IF(OR(AS79="",F79="",F79=0),"",AS79/F79)</f>
        <v/>
      </c>
      <c r="BD79" s="44">
        <f>IF(OR(BC79="",BB79=""),"",(BC79-BB79)*100)</f>
        <v/>
      </c>
      <c r="BE79" s="40">
        <f>IF(AND(F79&lt;&gt;"",E79&lt;&gt;""),"Both years",IF(F79&lt;&gt;"","1-23Aug26 rows only","1-23Aug25 rows only"))</f>
        <v/>
      </c>
    </row>
    <row r="80">
      <c r="A80" s="56" t="inlineStr">
        <is>
          <t>All landing pages</t>
        </is>
      </c>
      <c r="B80" s="56" t="inlineStr">
        <is>
          <t>Direct</t>
        </is>
      </c>
      <c r="C80" s="56" t="inlineStr">
        <is>
          <t>Mobile</t>
        </is>
      </c>
      <c r="D80" s="56" t="inlineStr">
        <is>
          <t>Belgium</t>
        </is>
      </c>
      <c r="E80" s="70" t="n"/>
      <c r="F80" s="68" t="n">
        <v>610</v>
      </c>
      <c r="G80" s="69">
        <f>IF(OR(F80="",E80="",E80=0,F80=0),"",F80-E80)</f>
        <v/>
      </c>
      <c r="H80" s="42">
        <f>IF(OR(F80="",E80="",E80=0,F80=0),"",F80/E80-1)</f>
        <v/>
      </c>
      <c r="I80" s="68" t="n">
        <v>96</v>
      </c>
      <c r="J80" s="68" t="n">
        <v>228</v>
      </c>
      <c r="K80" s="69">
        <f>IF(OR(J80="",I80="",I80=0,J80=0),"",J80-I80)</f>
        <v/>
      </c>
      <c r="L80" s="42">
        <f>IF(OR(J80="",I80="",I80=0,J80=0),"",J80/I80-1)</f>
        <v/>
      </c>
      <c r="M80" s="43">
        <f>IF(OR(I80="",E80="",E80=0),"",I80/E80)</f>
        <v/>
      </c>
      <c r="N80" s="43">
        <f>IF(OR(J80="",F80="",F80=0),"",J80/F80)</f>
        <v/>
      </c>
      <c r="O80" s="44">
        <f>IF(OR(N80="",M80=""),"",(N80-M80)*100)</f>
        <v/>
      </c>
      <c r="P80" s="70" t="n"/>
      <c r="Q80" s="68" t="n">
        <v>211</v>
      </c>
      <c r="R80" s="69">
        <f>IF(OR(Q80="",P80="",P80=0,Q80=0),"",Q80-P80)</f>
        <v/>
      </c>
      <c r="S80" s="42">
        <f>IF(OR(Q80="",P80="",P80=0,Q80=0),"",Q80/P80-1)</f>
        <v/>
      </c>
      <c r="T80" s="43">
        <f>IF(OR(P80="",E80="",E80=0),"",P80/E80)</f>
        <v/>
      </c>
      <c r="U80" s="43">
        <f>IF(OR(Q80="",F80="",F80=0),"",Q80/F80)</f>
        <v/>
      </c>
      <c r="V80" s="44">
        <f>IF(OR(U80="",T80=""),"",(U80-T80)*100)</f>
        <v/>
      </c>
      <c r="W80" s="68" t="n">
        <v>23</v>
      </c>
      <c r="X80" s="68" t="n">
        <v>75</v>
      </c>
      <c r="Y80" s="69">
        <f>IF(OR(X80="",W80="",W80=0,X80=0),"",X80-W80)</f>
        <v/>
      </c>
      <c r="Z80" s="42">
        <f>IF(OR(X80="",W80="",W80=0,X80=0),"",X80/W80-1)</f>
        <v/>
      </c>
      <c r="AA80" s="43">
        <f>IF(OR(W80="",P80="",P80=0),"",W80/P80)</f>
        <v/>
      </c>
      <c r="AB80" s="43">
        <f>IF(OR(X80="",Q80="",Q80=0),"",X80/Q80)</f>
        <v/>
      </c>
      <c r="AC80" s="44">
        <f>IF(OR(AB80="",AA80=""),"",(AB80-AA80)*100)</f>
        <v/>
      </c>
      <c r="AD80" s="68" t="n">
        <v>18</v>
      </c>
      <c r="AE80" s="68" t="n">
        <v>55</v>
      </c>
      <c r="AF80" s="69">
        <f>IF(OR(AE80="",AD80="",AD80=0,AE80=0),"",AE80-AD80)</f>
        <v/>
      </c>
      <c r="AG80" s="42">
        <f>IF(OR(AE80="",AD80="",AD80=0,AE80=0),"",AE80/AD80-1)</f>
        <v/>
      </c>
      <c r="AH80" s="43">
        <f>IF(OR(AD80="",W80="",W80=0),"",AD80/W80)</f>
        <v/>
      </c>
      <c r="AI80" s="43">
        <f>IF(OR(AE80="",X80="",X80=0),"",AE80/X80)</f>
        <v/>
      </c>
      <c r="AJ80" s="44">
        <f>IF(OR(AI80="",AH80=""),"",(AI80-AH80)*100)</f>
        <v/>
      </c>
      <c r="AK80" s="68" t="n">
        <v>3</v>
      </c>
      <c r="AL80" s="68" t="n">
        <v>27</v>
      </c>
      <c r="AM80" s="69">
        <f>IF(OR(AL80="",AK80="",AK80=0,AL80=0),"",AL80-AK80)</f>
        <v/>
      </c>
      <c r="AN80" s="42">
        <f>IF(OR(AL80="",AK80="",AK80=0,AL80=0),"",AL80/AK80-1)</f>
        <v/>
      </c>
      <c r="AO80" s="43">
        <f>IF(OR(AK80="",AD80="",AD80=0),"",AK80/AD80)</f>
        <v/>
      </c>
      <c r="AP80" s="43">
        <f>IF(OR(AL80="",AE80="",AE80=0),"",AL80/AE80)</f>
        <v/>
      </c>
      <c r="AQ80" s="44">
        <f>IF(OR(AP80="",AO80=""),"",(AP80-AO80)*100)</f>
        <v/>
      </c>
      <c r="AR80" s="68" t="n">
        <v>3</v>
      </c>
      <c r="AS80" s="68" t="n">
        <v>27</v>
      </c>
      <c r="AT80" s="69">
        <f>IF(OR(AS80="",AR80="",AR80=0,AS80=0),"",AS80-AR80)</f>
        <v/>
      </c>
      <c r="AU80" s="42">
        <f>IF(OR(AS80="",AR80="",AR80=0,AS80=0),"",AS80/AR80-1)</f>
        <v/>
      </c>
      <c r="AV80" s="43">
        <f>IF(OR(AR80="",AK80="",AK80=0),"",AR80/AK80)</f>
        <v/>
      </c>
      <c r="AW80" s="43">
        <f>IF(OR(AS80="",AL80="",AL80=0),"",AS80/AL80)</f>
        <v/>
      </c>
      <c r="AX80" s="44">
        <f>IF(OR(AW80="",AV80=""),"",(AW80-AV80)*100)</f>
        <v/>
      </c>
      <c r="AY80" s="45">
        <f>IF(OR(AR80="",P80="",P80=0),"",AR80/P80)</f>
        <v/>
      </c>
      <c r="AZ80" s="45">
        <f>IF(OR(AS80="",Q80="",Q80=0),"",AS80/Q80)</f>
        <v/>
      </c>
      <c r="BA80" s="44">
        <f>IF(OR(AZ80="",AY80=""),"",(AZ80-AY80)*100)</f>
        <v/>
      </c>
      <c r="BB80" s="45">
        <f>IF(OR(AR80="",E80="",E80=0),"",AR80/E80)</f>
        <v/>
      </c>
      <c r="BC80" s="45">
        <f>IF(OR(AS80="",F80="",F80=0),"",AS80/F80)</f>
        <v/>
      </c>
      <c r="BD80" s="44">
        <f>IF(OR(BC80="",BB80=""),"",(BC80-BB80)*100)</f>
        <v/>
      </c>
      <c r="BE80" s="40">
        <f>IF(AND(F80&lt;&gt;"",E80&lt;&gt;""),"Both years",IF(F80&lt;&gt;"","1-23Aug26 rows only","1-23Aug25 rows only"))</f>
        <v/>
      </c>
    </row>
    <row r="81">
      <c r="A81" s="40" t="inlineStr">
        <is>
          <t>All landing pages</t>
        </is>
      </c>
      <c r="B81" s="40" t="inlineStr">
        <is>
          <t>Direct</t>
        </is>
      </c>
      <c r="C81" s="40" t="inlineStr">
        <is>
          <t>Mobile</t>
        </is>
      </c>
      <c r="D81" s="40" t="inlineStr">
        <is>
          <t>France</t>
        </is>
      </c>
      <c r="E81" s="68" t="n">
        <v>611</v>
      </c>
      <c r="F81" s="68" t="n">
        <v>554</v>
      </c>
      <c r="G81" s="69">
        <f>IF(OR(F81="",E81="",E81=0,F81=0),"",F81-E81)</f>
        <v/>
      </c>
      <c r="H81" s="42">
        <f>IF(OR(F81="",E81="",E81=0,F81=0),"",F81/E81-1)</f>
        <v/>
      </c>
      <c r="I81" s="68" t="n">
        <v>292</v>
      </c>
      <c r="J81" s="68" t="n">
        <v>198</v>
      </c>
      <c r="K81" s="69">
        <f>IF(OR(J81="",I81="",I81=0,J81=0),"",J81-I81)</f>
        <v/>
      </c>
      <c r="L81" s="42">
        <f>IF(OR(J81="",I81="",I81=0,J81=0),"",J81/I81-1)</f>
        <v/>
      </c>
      <c r="M81" s="43">
        <f>IF(OR(I81="",E81="",E81=0),"",I81/E81)</f>
        <v/>
      </c>
      <c r="N81" s="43">
        <f>IF(OR(J81="",F81="",F81=0),"",J81/F81)</f>
        <v/>
      </c>
      <c r="O81" s="44">
        <f>IF(OR(N81="",M81=""),"",(N81-M81)*100)</f>
        <v/>
      </c>
      <c r="P81" s="68" t="n">
        <v>225</v>
      </c>
      <c r="Q81" s="68" t="n">
        <v>207</v>
      </c>
      <c r="R81" s="69">
        <f>IF(OR(Q81="",P81="",P81=0,Q81=0),"",Q81-P81)</f>
        <v/>
      </c>
      <c r="S81" s="42">
        <f>IF(OR(Q81="",P81="",P81=0,Q81=0),"",Q81/P81-1)</f>
        <v/>
      </c>
      <c r="T81" s="43">
        <f>IF(OR(P81="",E81="",E81=0),"",P81/E81)</f>
        <v/>
      </c>
      <c r="U81" s="43">
        <f>IF(OR(Q81="",F81="",F81=0),"",Q81/F81)</f>
        <v/>
      </c>
      <c r="V81" s="44">
        <f>IF(OR(U81="",T81=""),"",(U81-T81)*100)</f>
        <v/>
      </c>
      <c r="W81" s="68" t="n">
        <v>86</v>
      </c>
      <c r="X81" s="68" t="n">
        <v>78</v>
      </c>
      <c r="Y81" s="69">
        <f>IF(OR(X81="",W81="",W81=0,X81=0),"",X81-W81)</f>
        <v/>
      </c>
      <c r="Z81" s="42">
        <f>IF(OR(X81="",W81="",W81=0,X81=0),"",X81/W81-1)</f>
        <v/>
      </c>
      <c r="AA81" s="43">
        <f>IF(OR(W81="",P81="",P81=0),"",W81/P81)</f>
        <v/>
      </c>
      <c r="AB81" s="43">
        <f>IF(OR(X81="",Q81="",Q81=0),"",X81/Q81)</f>
        <v/>
      </c>
      <c r="AC81" s="44">
        <f>IF(OR(AB81="",AA81=""),"",(AB81-AA81)*100)</f>
        <v/>
      </c>
      <c r="AD81" s="68" t="n">
        <v>74</v>
      </c>
      <c r="AE81" s="68" t="n">
        <v>67</v>
      </c>
      <c r="AF81" s="69">
        <f>IF(OR(AE81="",AD81="",AD81=0,AE81=0),"",AE81-AD81)</f>
        <v/>
      </c>
      <c r="AG81" s="42">
        <f>IF(OR(AE81="",AD81="",AD81=0,AE81=0),"",AE81/AD81-1)</f>
        <v/>
      </c>
      <c r="AH81" s="43">
        <f>IF(OR(AD81="",W81="",W81=0),"",AD81/W81)</f>
        <v/>
      </c>
      <c r="AI81" s="43">
        <f>IF(OR(AE81="",X81="",X81=0),"",AE81/X81)</f>
        <v/>
      </c>
      <c r="AJ81" s="44">
        <f>IF(OR(AI81="",AH81=""),"",(AI81-AH81)*100)</f>
        <v/>
      </c>
      <c r="AK81" s="68" t="n">
        <v>35</v>
      </c>
      <c r="AL81" s="68" t="n">
        <v>33</v>
      </c>
      <c r="AM81" s="69">
        <f>IF(OR(AL81="",AK81="",AK81=0,AL81=0),"",AL81-AK81)</f>
        <v/>
      </c>
      <c r="AN81" s="42">
        <f>IF(OR(AL81="",AK81="",AK81=0,AL81=0),"",AL81/AK81-1)</f>
        <v/>
      </c>
      <c r="AO81" s="43">
        <f>IF(OR(AK81="",AD81="",AD81=0),"",AK81/AD81)</f>
        <v/>
      </c>
      <c r="AP81" s="43">
        <f>IF(OR(AL81="",AE81="",AE81=0),"",AL81/AE81)</f>
        <v/>
      </c>
      <c r="AQ81" s="44">
        <f>IF(OR(AP81="",AO81=""),"",(AP81-AO81)*100)</f>
        <v/>
      </c>
      <c r="AR81" s="68" t="n">
        <v>25</v>
      </c>
      <c r="AS81" s="68" t="n">
        <v>35</v>
      </c>
      <c r="AT81" s="69">
        <f>IF(OR(AS81="",AR81="",AR81=0,AS81=0),"",AS81-AR81)</f>
        <v/>
      </c>
      <c r="AU81" s="42">
        <f>IF(OR(AS81="",AR81="",AR81=0,AS81=0),"",AS81/AR81-1)</f>
        <v/>
      </c>
      <c r="AV81" s="43">
        <f>IF(OR(AR81="",AK81="",AK81=0),"",AR81/AK81)</f>
        <v/>
      </c>
      <c r="AW81" s="43">
        <f>IF(OR(AS81="",AL81="",AL81=0),"",AS81/AL81)</f>
        <v/>
      </c>
      <c r="AX81" s="44">
        <f>IF(OR(AW81="",AV81=""),"",(AW81-AV81)*100)</f>
        <v/>
      </c>
      <c r="AY81" s="45">
        <f>IF(OR(AR81="",P81="",P81=0),"",AR81/P81)</f>
        <v/>
      </c>
      <c r="AZ81" s="45">
        <f>IF(OR(AS81="",Q81="",Q81=0),"",AS81/Q81)</f>
        <v/>
      </c>
      <c r="BA81" s="44">
        <f>IF(OR(AZ81="",AY81=""),"",(AZ81-AY81)*100)</f>
        <v/>
      </c>
      <c r="BB81" s="45">
        <f>IF(OR(AR81="",E81="",E81=0),"",AR81/E81)</f>
        <v/>
      </c>
      <c r="BC81" s="45">
        <f>IF(OR(AS81="",F81="",F81=0),"",AS81/F81)</f>
        <v/>
      </c>
      <c r="BD81" s="44">
        <f>IF(OR(BC81="",BB81=""),"",(BC81-BB81)*100)</f>
        <v/>
      </c>
      <c r="BE81" s="40">
        <f>IF(AND(F81&lt;&gt;"",E81&lt;&gt;""),"Both years",IF(F81&lt;&gt;"","1-23Aug26 rows only","1-23Aug25 rows only"))</f>
        <v/>
      </c>
    </row>
    <row r="82">
      <c r="A82" s="56" t="inlineStr">
        <is>
          <t>All landing pages</t>
        </is>
      </c>
      <c r="B82" s="56" t="inlineStr">
        <is>
          <t>Direct</t>
        </is>
      </c>
      <c r="C82" s="56" t="inlineStr">
        <is>
          <t>Mobile</t>
        </is>
      </c>
      <c r="D82" s="56" t="inlineStr">
        <is>
          <t>Poland</t>
        </is>
      </c>
      <c r="E82" s="68" t="n">
        <v>386</v>
      </c>
      <c r="F82" s="68" t="n">
        <v>412</v>
      </c>
      <c r="G82" s="69">
        <f>IF(OR(F82="",E82="",E82=0,F82=0),"",F82-E82)</f>
        <v/>
      </c>
      <c r="H82" s="42">
        <f>IF(OR(F82="",E82="",E82=0,F82=0),"",F82/E82-1)</f>
        <v/>
      </c>
      <c r="I82" s="70" t="n"/>
      <c r="J82" s="70" t="n"/>
      <c r="K82" s="69">
        <f>IF(OR(J82="",I82="",I82=0,J82=0),"",J82-I82)</f>
        <v/>
      </c>
      <c r="L82" s="42">
        <f>IF(OR(J82="",I82="",I82=0,J82=0),"",J82/I82-1)</f>
        <v/>
      </c>
      <c r="M82" s="43">
        <f>IF(OR(I82="",E82="",E82=0),"",I82/E82)</f>
        <v/>
      </c>
      <c r="N82" s="43">
        <f>IF(OR(J82="",F82="",F82=0),"",J82/F82)</f>
        <v/>
      </c>
      <c r="O82" s="44">
        <f>IF(OR(N82="",M82=""),"",(N82-M82)*100)</f>
        <v/>
      </c>
      <c r="P82" s="68" t="n">
        <v>179</v>
      </c>
      <c r="Q82" s="68" t="n">
        <v>185</v>
      </c>
      <c r="R82" s="69">
        <f>IF(OR(Q82="",P82="",P82=0,Q82=0),"",Q82-P82)</f>
        <v/>
      </c>
      <c r="S82" s="42">
        <f>IF(OR(Q82="",P82="",P82=0,Q82=0),"",Q82/P82-1)</f>
        <v/>
      </c>
      <c r="T82" s="43">
        <f>IF(OR(P82="",E82="",E82=0),"",P82/E82)</f>
        <v/>
      </c>
      <c r="U82" s="43">
        <f>IF(OR(Q82="",F82="",F82=0),"",Q82/F82)</f>
        <v/>
      </c>
      <c r="V82" s="44">
        <f>IF(OR(U82="",T82=""),"",(U82-T82)*100)</f>
        <v/>
      </c>
      <c r="W82" s="70" t="n"/>
      <c r="X82" s="70" t="n"/>
      <c r="Y82" s="69">
        <f>IF(OR(X82="",W82="",W82=0,X82=0),"",X82-W82)</f>
        <v/>
      </c>
      <c r="Z82" s="42">
        <f>IF(OR(X82="",W82="",W82=0,X82=0),"",X82/W82-1)</f>
        <v/>
      </c>
      <c r="AA82" s="43">
        <f>IF(OR(W82="",P82="",P82=0),"",W82/P82)</f>
        <v/>
      </c>
      <c r="AB82" s="43">
        <f>IF(OR(X82="",Q82="",Q82=0),"",X82/Q82)</f>
        <v/>
      </c>
      <c r="AC82" s="44">
        <f>IF(OR(AB82="",AA82=""),"",(AB82-AA82)*100)</f>
        <v/>
      </c>
      <c r="AD82" s="70" t="n"/>
      <c r="AE82" s="70" t="n"/>
      <c r="AF82" s="69">
        <f>IF(OR(AE82="",AD82="",AD82=0,AE82=0),"",AE82-AD82)</f>
        <v/>
      </c>
      <c r="AG82" s="42">
        <f>IF(OR(AE82="",AD82="",AD82=0,AE82=0),"",AE82/AD82-1)</f>
        <v/>
      </c>
      <c r="AH82" s="43">
        <f>IF(OR(AD82="",W82="",W82=0),"",AD82/W82)</f>
        <v/>
      </c>
      <c r="AI82" s="43">
        <f>IF(OR(AE82="",X82="",X82=0),"",AE82/X82)</f>
        <v/>
      </c>
      <c r="AJ82" s="44">
        <f>IF(OR(AI82="",AH82=""),"",(AI82-AH82)*100)</f>
        <v/>
      </c>
      <c r="AK82" s="70" t="n"/>
      <c r="AL82" s="70" t="n"/>
      <c r="AM82" s="69">
        <f>IF(OR(AL82="",AK82="",AK82=0,AL82=0),"",AL82-AK82)</f>
        <v/>
      </c>
      <c r="AN82" s="42">
        <f>IF(OR(AL82="",AK82="",AK82=0,AL82=0),"",AL82/AK82-1)</f>
        <v/>
      </c>
      <c r="AO82" s="43">
        <f>IF(OR(AK82="",AD82="",AD82=0),"",AK82/AD82)</f>
        <v/>
      </c>
      <c r="AP82" s="43">
        <f>IF(OR(AL82="",AE82="",AE82=0),"",AL82/AE82)</f>
        <v/>
      </c>
      <c r="AQ82" s="44">
        <f>IF(OR(AP82="",AO82=""),"",(AP82-AO82)*100)</f>
        <v/>
      </c>
      <c r="AR82" s="70" t="n"/>
      <c r="AS82" s="70" t="n"/>
      <c r="AT82" s="69">
        <f>IF(OR(AS82="",AR82="",AR82=0,AS82=0),"",AS82-AR82)</f>
        <v/>
      </c>
      <c r="AU82" s="42">
        <f>IF(OR(AS82="",AR82="",AR82=0,AS82=0),"",AS82/AR82-1)</f>
        <v/>
      </c>
      <c r="AV82" s="43">
        <f>IF(OR(AR82="",AK82="",AK82=0),"",AR82/AK82)</f>
        <v/>
      </c>
      <c r="AW82" s="43">
        <f>IF(OR(AS82="",AL82="",AL82=0),"",AS82/AL82)</f>
        <v/>
      </c>
      <c r="AX82" s="44">
        <f>IF(OR(AW82="",AV82=""),"",(AW82-AV82)*100)</f>
        <v/>
      </c>
      <c r="AY82" s="45">
        <f>IF(OR(AR82="",P82="",P82=0),"",AR82/P82)</f>
        <v/>
      </c>
      <c r="AZ82" s="45">
        <f>IF(OR(AS82="",Q82="",Q82=0),"",AS82/Q82)</f>
        <v/>
      </c>
      <c r="BA82" s="44">
        <f>IF(OR(AZ82="",AY82=""),"",(AZ82-AY82)*100)</f>
        <v/>
      </c>
      <c r="BB82" s="45">
        <f>IF(OR(AR82="",E82="",E82=0),"",AR82/E82)</f>
        <v/>
      </c>
      <c r="BC82" s="45">
        <f>IF(OR(AS82="",F82="",F82=0),"",AS82/F82)</f>
        <v/>
      </c>
      <c r="BD82" s="44">
        <f>IF(OR(BC82="",BB82=""),"",(BC82-BB82)*100)</f>
        <v/>
      </c>
      <c r="BE82" s="40">
        <f>IF(AND(F82&lt;&gt;"",E82&lt;&gt;""),"Both years",IF(F82&lt;&gt;"","1-23Aug26 rows only","1-23Aug25 rows only"))</f>
        <v/>
      </c>
    </row>
    <row r="83">
      <c r="A83" s="40" t="inlineStr">
        <is>
          <t>All landing pages</t>
        </is>
      </c>
      <c r="B83" s="40" t="inlineStr">
        <is>
          <t>Direct</t>
        </is>
      </c>
      <c r="C83" s="40" t="inlineStr">
        <is>
          <t>Mobile</t>
        </is>
      </c>
      <c r="D83" s="40" t="inlineStr">
        <is>
          <t>Greece</t>
        </is>
      </c>
      <c r="E83" s="68" t="n">
        <v>292</v>
      </c>
      <c r="F83" s="68" t="n">
        <v>352</v>
      </c>
      <c r="G83" s="69">
        <f>IF(OR(F83="",E83="",E83=0,F83=0),"",F83-E83)</f>
        <v/>
      </c>
      <c r="H83" s="42">
        <f>IF(OR(F83="",E83="",E83=0,F83=0),"",F83/E83-1)</f>
        <v/>
      </c>
      <c r="I83" s="70" t="n"/>
      <c r="J83" s="70" t="n"/>
      <c r="K83" s="69">
        <f>IF(OR(J83="",I83="",I83=0,J83=0),"",J83-I83)</f>
        <v/>
      </c>
      <c r="L83" s="42">
        <f>IF(OR(J83="",I83="",I83=0,J83=0),"",J83/I83-1)</f>
        <v/>
      </c>
      <c r="M83" s="43">
        <f>IF(OR(I83="",E83="",E83=0),"",I83/E83)</f>
        <v/>
      </c>
      <c r="N83" s="43">
        <f>IF(OR(J83="",F83="",F83=0),"",J83/F83)</f>
        <v/>
      </c>
      <c r="O83" s="44">
        <f>IF(OR(N83="",M83=""),"",(N83-M83)*100)</f>
        <v/>
      </c>
      <c r="P83" s="68" t="n">
        <v>92</v>
      </c>
      <c r="Q83" s="68" t="n">
        <v>130</v>
      </c>
      <c r="R83" s="69">
        <f>IF(OR(Q83="",P83="",P83=0,Q83=0),"",Q83-P83)</f>
        <v/>
      </c>
      <c r="S83" s="42">
        <f>IF(OR(Q83="",P83="",P83=0,Q83=0),"",Q83/P83-1)</f>
        <v/>
      </c>
      <c r="T83" s="43">
        <f>IF(OR(P83="",E83="",E83=0),"",P83/E83)</f>
        <v/>
      </c>
      <c r="U83" s="43">
        <f>IF(OR(Q83="",F83="",F83=0),"",Q83/F83)</f>
        <v/>
      </c>
      <c r="V83" s="44">
        <f>IF(OR(U83="",T83=""),"",(U83-T83)*100)</f>
        <v/>
      </c>
      <c r="W83" s="70" t="n"/>
      <c r="X83" s="70" t="n"/>
      <c r="Y83" s="69">
        <f>IF(OR(X83="",W83="",W83=0,X83=0),"",X83-W83)</f>
        <v/>
      </c>
      <c r="Z83" s="42">
        <f>IF(OR(X83="",W83="",W83=0,X83=0),"",X83/W83-1)</f>
        <v/>
      </c>
      <c r="AA83" s="43">
        <f>IF(OR(W83="",P83="",P83=0),"",W83/P83)</f>
        <v/>
      </c>
      <c r="AB83" s="43">
        <f>IF(OR(X83="",Q83="",Q83=0),"",X83/Q83)</f>
        <v/>
      </c>
      <c r="AC83" s="44">
        <f>IF(OR(AB83="",AA83=""),"",(AB83-AA83)*100)</f>
        <v/>
      </c>
      <c r="AD83" s="70" t="n"/>
      <c r="AE83" s="70" t="n"/>
      <c r="AF83" s="69">
        <f>IF(OR(AE83="",AD83="",AD83=0,AE83=0),"",AE83-AD83)</f>
        <v/>
      </c>
      <c r="AG83" s="42">
        <f>IF(OR(AE83="",AD83="",AD83=0,AE83=0),"",AE83/AD83-1)</f>
        <v/>
      </c>
      <c r="AH83" s="43">
        <f>IF(OR(AD83="",W83="",W83=0),"",AD83/W83)</f>
        <v/>
      </c>
      <c r="AI83" s="43">
        <f>IF(OR(AE83="",X83="",X83=0),"",AE83/X83)</f>
        <v/>
      </c>
      <c r="AJ83" s="44">
        <f>IF(OR(AI83="",AH83=""),"",(AI83-AH83)*100)</f>
        <v/>
      </c>
      <c r="AK83" s="70" t="n"/>
      <c r="AL83" s="70" t="n"/>
      <c r="AM83" s="69">
        <f>IF(OR(AL83="",AK83="",AK83=0,AL83=0),"",AL83-AK83)</f>
        <v/>
      </c>
      <c r="AN83" s="42">
        <f>IF(OR(AL83="",AK83="",AK83=0,AL83=0),"",AL83/AK83-1)</f>
        <v/>
      </c>
      <c r="AO83" s="43">
        <f>IF(OR(AK83="",AD83="",AD83=0),"",AK83/AD83)</f>
        <v/>
      </c>
      <c r="AP83" s="43">
        <f>IF(OR(AL83="",AE83="",AE83=0),"",AL83/AE83)</f>
        <v/>
      </c>
      <c r="AQ83" s="44">
        <f>IF(OR(AP83="",AO83=""),"",(AP83-AO83)*100)</f>
        <v/>
      </c>
      <c r="AR83" s="70" t="n"/>
      <c r="AS83" s="70" t="n"/>
      <c r="AT83" s="69">
        <f>IF(OR(AS83="",AR83="",AR83=0,AS83=0),"",AS83-AR83)</f>
        <v/>
      </c>
      <c r="AU83" s="42">
        <f>IF(OR(AS83="",AR83="",AR83=0,AS83=0),"",AS83/AR83-1)</f>
        <v/>
      </c>
      <c r="AV83" s="43">
        <f>IF(OR(AR83="",AK83="",AK83=0),"",AR83/AK83)</f>
        <v/>
      </c>
      <c r="AW83" s="43">
        <f>IF(OR(AS83="",AL83="",AL83=0),"",AS83/AL83)</f>
        <v/>
      </c>
      <c r="AX83" s="44">
        <f>IF(OR(AW83="",AV83=""),"",(AW83-AV83)*100)</f>
        <v/>
      </c>
      <c r="AY83" s="45">
        <f>IF(OR(AR83="",P83="",P83=0),"",AR83/P83)</f>
        <v/>
      </c>
      <c r="AZ83" s="45">
        <f>IF(OR(AS83="",Q83="",Q83=0),"",AS83/Q83)</f>
        <v/>
      </c>
      <c r="BA83" s="44">
        <f>IF(OR(AZ83="",AY83=""),"",(AZ83-AY83)*100)</f>
        <v/>
      </c>
      <c r="BB83" s="45">
        <f>IF(OR(AR83="",E83="",E83=0),"",AR83/E83)</f>
        <v/>
      </c>
      <c r="BC83" s="45">
        <f>IF(OR(AS83="",F83="",F83=0),"",AS83/F83)</f>
        <v/>
      </c>
      <c r="BD83" s="44">
        <f>IF(OR(BC83="",BB83=""),"",(BC83-BB83)*100)</f>
        <v/>
      </c>
      <c r="BE83" s="40">
        <f>IF(AND(F83&lt;&gt;"",E83&lt;&gt;""),"Both years",IF(F83&lt;&gt;"","1-23Aug26 rows only","1-23Aug25 rows only"))</f>
        <v/>
      </c>
    </row>
    <row r="84">
      <c r="A84" s="56" t="inlineStr">
        <is>
          <t>All landing pages</t>
        </is>
      </c>
      <c r="B84" s="56" t="inlineStr">
        <is>
          <t>Direct</t>
        </is>
      </c>
      <c r="C84" s="56" t="inlineStr">
        <is>
          <t>Mobile</t>
        </is>
      </c>
      <c r="D84" s="56" t="inlineStr">
        <is>
          <t>Sweden</t>
        </is>
      </c>
      <c r="E84" s="68" t="n">
        <v>424</v>
      </c>
      <c r="F84" s="68" t="n">
        <v>333</v>
      </c>
      <c r="G84" s="69">
        <f>IF(OR(F84="",E84="",E84=0,F84=0),"",F84-E84)</f>
        <v/>
      </c>
      <c r="H84" s="42">
        <f>IF(OR(F84="",E84="",E84=0,F84=0),"",F84/E84-1)</f>
        <v/>
      </c>
      <c r="I84" s="68" t="n">
        <v>186</v>
      </c>
      <c r="J84" s="68" t="n">
        <v>127</v>
      </c>
      <c r="K84" s="69">
        <f>IF(OR(J84="",I84="",I84=0,J84=0),"",J84-I84)</f>
        <v/>
      </c>
      <c r="L84" s="42">
        <f>IF(OR(J84="",I84="",I84=0,J84=0),"",J84/I84-1)</f>
        <v/>
      </c>
      <c r="M84" s="43">
        <f>IF(OR(I84="",E84="",E84=0),"",I84/E84)</f>
        <v/>
      </c>
      <c r="N84" s="43">
        <f>IF(OR(J84="",F84="",F84=0),"",J84/F84)</f>
        <v/>
      </c>
      <c r="O84" s="44">
        <f>IF(OR(N84="",M84=""),"",(N84-M84)*100)</f>
        <v/>
      </c>
      <c r="P84" s="68" t="n">
        <v>163</v>
      </c>
      <c r="Q84" s="68" t="n">
        <v>140</v>
      </c>
      <c r="R84" s="69">
        <f>IF(OR(Q84="",P84="",P84=0,Q84=0),"",Q84-P84)</f>
        <v/>
      </c>
      <c r="S84" s="42">
        <f>IF(OR(Q84="",P84="",P84=0,Q84=0),"",Q84/P84-1)</f>
        <v/>
      </c>
      <c r="T84" s="43">
        <f>IF(OR(P84="",E84="",E84=0),"",P84/E84)</f>
        <v/>
      </c>
      <c r="U84" s="43">
        <f>IF(OR(Q84="",F84="",F84=0),"",Q84/F84)</f>
        <v/>
      </c>
      <c r="V84" s="44">
        <f>IF(OR(U84="",T84=""),"",(U84-T84)*100)</f>
        <v/>
      </c>
      <c r="W84" s="68" t="n">
        <v>65</v>
      </c>
      <c r="X84" s="68" t="n">
        <v>37</v>
      </c>
      <c r="Y84" s="69">
        <f>IF(OR(X84="",W84="",W84=0,X84=0),"",X84-W84)</f>
        <v/>
      </c>
      <c r="Z84" s="42">
        <f>IF(OR(X84="",W84="",W84=0,X84=0),"",X84/W84-1)</f>
        <v/>
      </c>
      <c r="AA84" s="43">
        <f>IF(OR(W84="",P84="",P84=0),"",W84/P84)</f>
        <v/>
      </c>
      <c r="AB84" s="43">
        <f>IF(OR(X84="",Q84="",Q84=0),"",X84/Q84)</f>
        <v/>
      </c>
      <c r="AC84" s="44">
        <f>IF(OR(AB84="",AA84=""),"",(AB84-AA84)*100)</f>
        <v/>
      </c>
      <c r="AD84" s="68" t="n">
        <v>54</v>
      </c>
      <c r="AE84" s="68" t="n">
        <v>27</v>
      </c>
      <c r="AF84" s="69">
        <f>IF(OR(AE84="",AD84="",AD84=0,AE84=0),"",AE84-AD84)</f>
        <v/>
      </c>
      <c r="AG84" s="42">
        <f>IF(OR(AE84="",AD84="",AD84=0,AE84=0),"",AE84/AD84-1)</f>
        <v/>
      </c>
      <c r="AH84" s="43">
        <f>IF(OR(AD84="",W84="",W84=0),"",AD84/W84)</f>
        <v/>
      </c>
      <c r="AI84" s="43">
        <f>IF(OR(AE84="",X84="",X84=0),"",AE84/X84)</f>
        <v/>
      </c>
      <c r="AJ84" s="44">
        <f>IF(OR(AI84="",AH84=""),"",(AI84-AH84)*100)</f>
        <v/>
      </c>
      <c r="AK84" s="68" t="n">
        <v>30</v>
      </c>
      <c r="AL84" s="68" t="n">
        <v>15</v>
      </c>
      <c r="AM84" s="69">
        <f>IF(OR(AL84="",AK84="",AK84=0,AL84=0),"",AL84-AK84)</f>
        <v/>
      </c>
      <c r="AN84" s="42">
        <f>IF(OR(AL84="",AK84="",AK84=0,AL84=0),"",AL84/AK84-1)</f>
        <v/>
      </c>
      <c r="AO84" s="43">
        <f>IF(OR(AK84="",AD84="",AD84=0),"",AK84/AD84)</f>
        <v/>
      </c>
      <c r="AP84" s="43">
        <f>IF(OR(AL84="",AE84="",AE84=0),"",AL84/AE84)</f>
        <v/>
      </c>
      <c r="AQ84" s="44">
        <f>IF(OR(AP84="",AO84=""),"",(AP84-AO84)*100)</f>
        <v/>
      </c>
      <c r="AR84" s="68" t="n">
        <v>25</v>
      </c>
      <c r="AS84" s="68" t="n">
        <v>20</v>
      </c>
      <c r="AT84" s="69">
        <f>IF(OR(AS84="",AR84="",AR84=0,AS84=0),"",AS84-AR84)</f>
        <v/>
      </c>
      <c r="AU84" s="42">
        <f>IF(OR(AS84="",AR84="",AR84=0,AS84=0),"",AS84/AR84-1)</f>
        <v/>
      </c>
      <c r="AV84" s="43">
        <f>IF(OR(AR84="",AK84="",AK84=0),"",AR84/AK84)</f>
        <v/>
      </c>
      <c r="AW84" s="43">
        <f>IF(OR(AS84="",AL84="",AL84=0),"",AS84/AL84)</f>
        <v/>
      </c>
      <c r="AX84" s="44">
        <f>IF(OR(AW84="",AV84=""),"",(AW84-AV84)*100)</f>
        <v/>
      </c>
      <c r="AY84" s="45">
        <f>IF(OR(AR84="",P84="",P84=0),"",AR84/P84)</f>
        <v/>
      </c>
      <c r="AZ84" s="45">
        <f>IF(OR(AS84="",Q84="",Q84=0),"",AS84/Q84)</f>
        <v/>
      </c>
      <c r="BA84" s="44">
        <f>IF(OR(AZ84="",AY84=""),"",(AZ84-AY84)*100)</f>
        <v/>
      </c>
      <c r="BB84" s="45">
        <f>IF(OR(AR84="",E84="",E84=0),"",AR84/E84)</f>
        <v/>
      </c>
      <c r="BC84" s="45">
        <f>IF(OR(AS84="",F84="",F84=0),"",AS84/F84)</f>
        <v/>
      </c>
      <c r="BD84" s="44">
        <f>IF(OR(BC84="",BB84=""),"",(BC84-BB84)*100)</f>
        <v/>
      </c>
      <c r="BE84" s="40">
        <f>IF(AND(F84&lt;&gt;"",E84&lt;&gt;""),"Both years",IF(F84&lt;&gt;"","1-23Aug26 rows only","1-23Aug25 rows only"))</f>
        <v/>
      </c>
    </row>
    <row r="85">
      <c r="A85" s="40" t="inlineStr">
        <is>
          <t>All landing pages</t>
        </is>
      </c>
      <c r="B85" s="40" t="inlineStr">
        <is>
          <t>Direct</t>
        </is>
      </c>
      <c r="C85" s="40" t="inlineStr">
        <is>
          <t>Mobile</t>
        </is>
      </c>
      <c r="D85" s="40" t="inlineStr">
        <is>
          <t>Türkiye</t>
        </is>
      </c>
      <c r="E85" s="68" t="n">
        <v>319</v>
      </c>
      <c r="F85" s="68" t="n">
        <v>295</v>
      </c>
      <c r="G85" s="69">
        <f>IF(OR(F85="",E85="",E85=0,F85=0),"",F85-E85)</f>
        <v/>
      </c>
      <c r="H85" s="42">
        <f>IF(OR(F85="",E85="",E85=0,F85=0),"",F85/E85-1)</f>
        <v/>
      </c>
      <c r="I85" s="70" t="n"/>
      <c r="J85" s="70" t="n"/>
      <c r="K85" s="69">
        <f>IF(OR(J85="",I85="",I85=0,J85=0),"",J85-I85)</f>
        <v/>
      </c>
      <c r="L85" s="42">
        <f>IF(OR(J85="",I85="",I85=0,J85=0),"",J85/I85-1)</f>
        <v/>
      </c>
      <c r="M85" s="43">
        <f>IF(OR(I85="",E85="",E85=0),"",I85/E85)</f>
        <v/>
      </c>
      <c r="N85" s="43">
        <f>IF(OR(J85="",F85="",F85=0),"",J85/F85)</f>
        <v/>
      </c>
      <c r="O85" s="44">
        <f>IF(OR(N85="",M85=""),"",(N85-M85)*100)</f>
        <v/>
      </c>
      <c r="P85" s="68" t="n">
        <v>128</v>
      </c>
      <c r="Q85" s="68" t="n">
        <v>104</v>
      </c>
      <c r="R85" s="69">
        <f>IF(OR(Q85="",P85="",P85=0,Q85=0),"",Q85-P85)</f>
        <v/>
      </c>
      <c r="S85" s="42">
        <f>IF(OR(Q85="",P85="",P85=0,Q85=0),"",Q85/P85-1)</f>
        <v/>
      </c>
      <c r="T85" s="43">
        <f>IF(OR(P85="",E85="",E85=0),"",P85/E85)</f>
        <v/>
      </c>
      <c r="U85" s="43">
        <f>IF(OR(Q85="",F85="",F85=0),"",Q85/F85)</f>
        <v/>
      </c>
      <c r="V85" s="44">
        <f>IF(OR(U85="",T85=""),"",(U85-T85)*100)</f>
        <v/>
      </c>
      <c r="W85" s="70" t="n"/>
      <c r="X85" s="70" t="n"/>
      <c r="Y85" s="69">
        <f>IF(OR(X85="",W85="",W85=0,X85=0),"",X85-W85)</f>
        <v/>
      </c>
      <c r="Z85" s="42">
        <f>IF(OR(X85="",W85="",W85=0,X85=0),"",X85/W85-1)</f>
        <v/>
      </c>
      <c r="AA85" s="43">
        <f>IF(OR(W85="",P85="",P85=0),"",W85/P85)</f>
        <v/>
      </c>
      <c r="AB85" s="43">
        <f>IF(OR(X85="",Q85="",Q85=0),"",X85/Q85)</f>
        <v/>
      </c>
      <c r="AC85" s="44">
        <f>IF(OR(AB85="",AA85=""),"",(AB85-AA85)*100)</f>
        <v/>
      </c>
      <c r="AD85" s="70" t="n"/>
      <c r="AE85" s="70" t="n"/>
      <c r="AF85" s="69">
        <f>IF(OR(AE85="",AD85="",AD85=0,AE85=0),"",AE85-AD85)</f>
        <v/>
      </c>
      <c r="AG85" s="42">
        <f>IF(OR(AE85="",AD85="",AD85=0,AE85=0),"",AE85/AD85-1)</f>
        <v/>
      </c>
      <c r="AH85" s="43">
        <f>IF(OR(AD85="",W85="",W85=0),"",AD85/W85)</f>
        <v/>
      </c>
      <c r="AI85" s="43">
        <f>IF(OR(AE85="",X85="",X85=0),"",AE85/X85)</f>
        <v/>
      </c>
      <c r="AJ85" s="44">
        <f>IF(OR(AI85="",AH85=""),"",(AI85-AH85)*100)</f>
        <v/>
      </c>
      <c r="AK85" s="70" t="n"/>
      <c r="AL85" s="70" t="n"/>
      <c r="AM85" s="69">
        <f>IF(OR(AL85="",AK85="",AK85=0,AL85=0),"",AL85-AK85)</f>
        <v/>
      </c>
      <c r="AN85" s="42">
        <f>IF(OR(AL85="",AK85="",AK85=0,AL85=0),"",AL85/AK85-1)</f>
        <v/>
      </c>
      <c r="AO85" s="43">
        <f>IF(OR(AK85="",AD85="",AD85=0),"",AK85/AD85)</f>
        <v/>
      </c>
      <c r="AP85" s="43">
        <f>IF(OR(AL85="",AE85="",AE85=0),"",AL85/AE85)</f>
        <v/>
      </c>
      <c r="AQ85" s="44">
        <f>IF(OR(AP85="",AO85=""),"",(AP85-AO85)*100)</f>
        <v/>
      </c>
      <c r="AR85" s="70" t="n"/>
      <c r="AS85" s="70" t="n"/>
      <c r="AT85" s="69">
        <f>IF(OR(AS85="",AR85="",AR85=0,AS85=0),"",AS85-AR85)</f>
        <v/>
      </c>
      <c r="AU85" s="42">
        <f>IF(OR(AS85="",AR85="",AR85=0,AS85=0),"",AS85/AR85-1)</f>
        <v/>
      </c>
      <c r="AV85" s="43">
        <f>IF(OR(AR85="",AK85="",AK85=0),"",AR85/AK85)</f>
        <v/>
      </c>
      <c r="AW85" s="43">
        <f>IF(OR(AS85="",AL85="",AL85=0),"",AS85/AL85)</f>
        <v/>
      </c>
      <c r="AX85" s="44">
        <f>IF(OR(AW85="",AV85=""),"",(AW85-AV85)*100)</f>
        <v/>
      </c>
      <c r="AY85" s="45">
        <f>IF(OR(AR85="",P85="",P85=0),"",AR85/P85)</f>
        <v/>
      </c>
      <c r="AZ85" s="45">
        <f>IF(OR(AS85="",Q85="",Q85=0),"",AS85/Q85)</f>
        <v/>
      </c>
      <c r="BA85" s="44">
        <f>IF(OR(AZ85="",AY85=""),"",(AZ85-AY85)*100)</f>
        <v/>
      </c>
      <c r="BB85" s="45">
        <f>IF(OR(AR85="",E85="",E85=0),"",AR85/E85)</f>
        <v/>
      </c>
      <c r="BC85" s="45">
        <f>IF(OR(AS85="",F85="",F85=0),"",AS85/F85)</f>
        <v/>
      </c>
      <c r="BD85" s="44">
        <f>IF(OR(BC85="",BB85=""),"",(BC85-BB85)*100)</f>
        <v/>
      </c>
      <c r="BE85" s="40">
        <f>IF(AND(F85&lt;&gt;"",E85&lt;&gt;""),"Both years",IF(F85&lt;&gt;"","1-23Aug26 rows only","1-23Aug25 rows only"))</f>
        <v/>
      </c>
    </row>
    <row r="86">
      <c r="A86" s="56" t="inlineStr">
        <is>
          <t>All landing pages</t>
        </is>
      </c>
      <c r="B86" s="56" t="inlineStr">
        <is>
          <t>Direct</t>
        </is>
      </c>
      <c r="C86" s="56" t="inlineStr">
        <is>
          <t>Mobile</t>
        </is>
      </c>
      <c r="D86" s="56" t="inlineStr">
        <is>
          <t>Switzerland</t>
        </is>
      </c>
      <c r="E86" s="70" t="n"/>
      <c r="F86" s="68" t="n">
        <v>216</v>
      </c>
      <c r="G86" s="69">
        <f>IF(OR(F86="",E86="",E86=0,F86=0),"",F86-E86)</f>
        <v/>
      </c>
      <c r="H86" s="42">
        <f>IF(OR(F86="",E86="",E86=0,F86=0),"",F86/E86-1)</f>
        <v/>
      </c>
      <c r="I86" s="70" t="n"/>
      <c r="J86" s="70" t="n"/>
      <c r="K86" s="69">
        <f>IF(OR(J86="",I86="",I86=0,J86=0),"",J86-I86)</f>
        <v/>
      </c>
      <c r="L86" s="42">
        <f>IF(OR(J86="",I86="",I86=0,J86=0),"",J86/I86-1)</f>
        <v/>
      </c>
      <c r="M86" s="43">
        <f>IF(OR(I86="",E86="",E86=0),"",I86/E86)</f>
        <v/>
      </c>
      <c r="N86" s="43">
        <f>IF(OR(J86="",F86="",F86=0),"",J86/F86)</f>
        <v/>
      </c>
      <c r="O86" s="44">
        <f>IF(OR(N86="",M86=""),"",(N86-M86)*100)</f>
        <v/>
      </c>
      <c r="P86" s="70" t="n"/>
      <c r="Q86" s="70" t="n"/>
      <c r="R86" s="69">
        <f>IF(OR(Q86="",P86="",P86=0,Q86=0),"",Q86-P86)</f>
        <v/>
      </c>
      <c r="S86" s="42">
        <f>IF(OR(Q86="",P86="",P86=0,Q86=0),"",Q86/P86-1)</f>
        <v/>
      </c>
      <c r="T86" s="43">
        <f>IF(OR(P86="",E86="",E86=0),"",P86/E86)</f>
        <v/>
      </c>
      <c r="U86" s="43">
        <f>IF(OR(Q86="",F86="",F86=0),"",Q86/F86)</f>
        <v/>
      </c>
      <c r="V86" s="44">
        <f>IF(OR(U86="",T86=""),"",(U86-T86)*100)</f>
        <v/>
      </c>
      <c r="W86" s="70" t="n"/>
      <c r="X86" s="70" t="n"/>
      <c r="Y86" s="69">
        <f>IF(OR(X86="",W86="",W86=0,X86=0),"",X86-W86)</f>
        <v/>
      </c>
      <c r="Z86" s="42">
        <f>IF(OR(X86="",W86="",W86=0,X86=0),"",X86/W86-1)</f>
        <v/>
      </c>
      <c r="AA86" s="43">
        <f>IF(OR(W86="",P86="",P86=0),"",W86/P86)</f>
        <v/>
      </c>
      <c r="AB86" s="43">
        <f>IF(OR(X86="",Q86="",Q86=0),"",X86/Q86)</f>
        <v/>
      </c>
      <c r="AC86" s="44">
        <f>IF(OR(AB86="",AA86=""),"",(AB86-AA86)*100)</f>
        <v/>
      </c>
      <c r="AD86" s="70" t="n"/>
      <c r="AE86" s="70" t="n"/>
      <c r="AF86" s="69">
        <f>IF(OR(AE86="",AD86="",AD86=0,AE86=0),"",AE86-AD86)</f>
        <v/>
      </c>
      <c r="AG86" s="42">
        <f>IF(OR(AE86="",AD86="",AD86=0,AE86=0),"",AE86/AD86-1)</f>
        <v/>
      </c>
      <c r="AH86" s="43">
        <f>IF(OR(AD86="",W86="",W86=0),"",AD86/W86)</f>
        <v/>
      </c>
      <c r="AI86" s="43">
        <f>IF(OR(AE86="",X86="",X86=0),"",AE86/X86)</f>
        <v/>
      </c>
      <c r="AJ86" s="44">
        <f>IF(OR(AI86="",AH86=""),"",(AI86-AH86)*100)</f>
        <v/>
      </c>
      <c r="AK86" s="70" t="n"/>
      <c r="AL86" s="70" t="n"/>
      <c r="AM86" s="69">
        <f>IF(OR(AL86="",AK86="",AK86=0,AL86=0),"",AL86-AK86)</f>
        <v/>
      </c>
      <c r="AN86" s="42">
        <f>IF(OR(AL86="",AK86="",AK86=0,AL86=0),"",AL86/AK86-1)</f>
        <v/>
      </c>
      <c r="AO86" s="43">
        <f>IF(OR(AK86="",AD86="",AD86=0),"",AK86/AD86)</f>
        <v/>
      </c>
      <c r="AP86" s="43">
        <f>IF(OR(AL86="",AE86="",AE86=0),"",AL86/AE86)</f>
        <v/>
      </c>
      <c r="AQ86" s="44">
        <f>IF(OR(AP86="",AO86=""),"",(AP86-AO86)*100)</f>
        <v/>
      </c>
      <c r="AR86" s="70" t="n"/>
      <c r="AS86" s="70" t="n"/>
      <c r="AT86" s="69">
        <f>IF(OR(AS86="",AR86="",AR86=0,AS86=0),"",AS86-AR86)</f>
        <v/>
      </c>
      <c r="AU86" s="42">
        <f>IF(OR(AS86="",AR86="",AR86=0,AS86=0),"",AS86/AR86-1)</f>
        <v/>
      </c>
      <c r="AV86" s="43">
        <f>IF(OR(AR86="",AK86="",AK86=0),"",AR86/AK86)</f>
        <v/>
      </c>
      <c r="AW86" s="43">
        <f>IF(OR(AS86="",AL86="",AL86=0),"",AS86/AL86)</f>
        <v/>
      </c>
      <c r="AX86" s="44">
        <f>IF(OR(AW86="",AV86=""),"",(AW86-AV86)*100)</f>
        <v/>
      </c>
      <c r="AY86" s="45">
        <f>IF(OR(AR86="",P86="",P86=0),"",AR86/P86)</f>
        <v/>
      </c>
      <c r="AZ86" s="45">
        <f>IF(OR(AS86="",Q86="",Q86=0),"",AS86/Q86)</f>
        <v/>
      </c>
      <c r="BA86" s="44">
        <f>IF(OR(AZ86="",AY86=""),"",(AZ86-AY86)*100)</f>
        <v/>
      </c>
      <c r="BB86" s="45">
        <f>IF(OR(AR86="",E86="",E86=0),"",AR86/E86)</f>
        <v/>
      </c>
      <c r="BC86" s="45">
        <f>IF(OR(AS86="",F86="",F86=0),"",AS86/F86)</f>
        <v/>
      </c>
      <c r="BD86" s="44">
        <f>IF(OR(BC86="",BB86=""),"",(BC86-BB86)*100)</f>
        <v/>
      </c>
      <c r="BE86" s="40">
        <f>IF(AND(F86&lt;&gt;"",E86&lt;&gt;""),"Both years",IF(F86&lt;&gt;"","1-23Aug26 rows only","1-23Aug25 rows only"))</f>
        <v/>
      </c>
    </row>
    <row r="87">
      <c r="A87" s="40" t="inlineStr">
        <is>
          <t>All landing pages</t>
        </is>
      </c>
      <c r="B87" s="40" t="inlineStr">
        <is>
          <t>Direct</t>
        </is>
      </c>
      <c r="C87" s="40" t="inlineStr">
        <is>
          <t>Mobile</t>
        </is>
      </c>
      <c r="D87" s="40" t="inlineStr">
        <is>
          <t>(not set)</t>
        </is>
      </c>
      <c r="E87" s="68" t="n">
        <v>389</v>
      </c>
      <c r="F87" s="70" t="n"/>
      <c r="G87" s="69">
        <f>IF(OR(F87="",E87="",E87=0,F87=0),"",F87-E87)</f>
        <v/>
      </c>
      <c r="H87" s="42">
        <f>IF(OR(F87="",E87="",E87=0,F87=0),"",F87/E87-1)</f>
        <v/>
      </c>
      <c r="I87" s="70" t="n"/>
      <c r="J87" s="70" t="n"/>
      <c r="K87" s="69">
        <f>IF(OR(J87="",I87="",I87=0,J87=0),"",J87-I87)</f>
        <v/>
      </c>
      <c r="L87" s="42">
        <f>IF(OR(J87="",I87="",I87=0,J87=0),"",J87/I87-1)</f>
        <v/>
      </c>
      <c r="M87" s="43">
        <f>IF(OR(I87="",E87="",E87=0),"",I87/E87)</f>
        <v/>
      </c>
      <c r="N87" s="43">
        <f>IF(OR(J87="",F87="",F87=0),"",J87/F87)</f>
        <v/>
      </c>
      <c r="O87" s="44">
        <f>IF(OR(N87="",M87=""),"",(N87-M87)*100)</f>
        <v/>
      </c>
      <c r="P87" s="70" t="n"/>
      <c r="Q87" s="70" t="n"/>
      <c r="R87" s="69">
        <f>IF(OR(Q87="",P87="",P87=0,Q87=0),"",Q87-P87)</f>
        <v/>
      </c>
      <c r="S87" s="42">
        <f>IF(OR(Q87="",P87="",P87=0,Q87=0),"",Q87/P87-1)</f>
        <v/>
      </c>
      <c r="T87" s="43">
        <f>IF(OR(P87="",E87="",E87=0),"",P87/E87)</f>
        <v/>
      </c>
      <c r="U87" s="43">
        <f>IF(OR(Q87="",F87="",F87=0),"",Q87/F87)</f>
        <v/>
      </c>
      <c r="V87" s="44">
        <f>IF(OR(U87="",T87=""),"",(U87-T87)*100)</f>
        <v/>
      </c>
      <c r="W87" s="70" t="n"/>
      <c r="X87" s="70" t="n"/>
      <c r="Y87" s="69">
        <f>IF(OR(X87="",W87="",W87=0,X87=0),"",X87-W87)</f>
        <v/>
      </c>
      <c r="Z87" s="42">
        <f>IF(OR(X87="",W87="",W87=0,X87=0),"",X87/W87-1)</f>
        <v/>
      </c>
      <c r="AA87" s="43">
        <f>IF(OR(W87="",P87="",P87=0),"",W87/P87)</f>
        <v/>
      </c>
      <c r="AB87" s="43">
        <f>IF(OR(X87="",Q87="",Q87=0),"",X87/Q87)</f>
        <v/>
      </c>
      <c r="AC87" s="44">
        <f>IF(OR(AB87="",AA87=""),"",(AB87-AA87)*100)</f>
        <v/>
      </c>
      <c r="AD87" s="70" t="n"/>
      <c r="AE87" s="70" t="n"/>
      <c r="AF87" s="69">
        <f>IF(OR(AE87="",AD87="",AD87=0,AE87=0),"",AE87-AD87)</f>
        <v/>
      </c>
      <c r="AG87" s="42">
        <f>IF(OR(AE87="",AD87="",AD87=0,AE87=0),"",AE87/AD87-1)</f>
        <v/>
      </c>
      <c r="AH87" s="43">
        <f>IF(OR(AD87="",W87="",W87=0),"",AD87/W87)</f>
        <v/>
      </c>
      <c r="AI87" s="43">
        <f>IF(OR(AE87="",X87="",X87=0),"",AE87/X87)</f>
        <v/>
      </c>
      <c r="AJ87" s="44">
        <f>IF(OR(AI87="",AH87=""),"",(AI87-AH87)*100)</f>
        <v/>
      </c>
      <c r="AK87" s="70" t="n"/>
      <c r="AL87" s="70" t="n"/>
      <c r="AM87" s="69">
        <f>IF(OR(AL87="",AK87="",AK87=0,AL87=0),"",AL87-AK87)</f>
        <v/>
      </c>
      <c r="AN87" s="42">
        <f>IF(OR(AL87="",AK87="",AK87=0,AL87=0),"",AL87/AK87-1)</f>
        <v/>
      </c>
      <c r="AO87" s="43">
        <f>IF(OR(AK87="",AD87="",AD87=0),"",AK87/AD87)</f>
        <v/>
      </c>
      <c r="AP87" s="43">
        <f>IF(OR(AL87="",AE87="",AE87=0),"",AL87/AE87)</f>
        <v/>
      </c>
      <c r="AQ87" s="44">
        <f>IF(OR(AP87="",AO87=""),"",(AP87-AO87)*100)</f>
        <v/>
      </c>
      <c r="AR87" s="70" t="n"/>
      <c r="AS87" s="70" t="n"/>
      <c r="AT87" s="69">
        <f>IF(OR(AS87="",AR87="",AR87=0,AS87=0),"",AS87-AR87)</f>
        <v/>
      </c>
      <c r="AU87" s="42">
        <f>IF(OR(AS87="",AR87="",AR87=0,AS87=0),"",AS87/AR87-1)</f>
        <v/>
      </c>
      <c r="AV87" s="43">
        <f>IF(OR(AR87="",AK87="",AK87=0),"",AR87/AK87)</f>
        <v/>
      </c>
      <c r="AW87" s="43">
        <f>IF(OR(AS87="",AL87="",AL87=0),"",AS87/AL87)</f>
        <v/>
      </c>
      <c r="AX87" s="44">
        <f>IF(OR(AW87="",AV87=""),"",(AW87-AV87)*100)</f>
        <v/>
      </c>
      <c r="AY87" s="45">
        <f>IF(OR(AR87="",P87="",P87=0),"",AR87/P87)</f>
        <v/>
      </c>
      <c r="AZ87" s="45">
        <f>IF(OR(AS87="",Q87="",Q87=0),"",AS87/Q87)</f>
        <v/>
      </c>
      <c r="BA87" s="44">
        <f>IF(OR(AZ87="",AY87=""),"",(AZ87-AY87)*100)</f>
        <v/>
      </c>
      <c r="BB87" s="45">
        <f>IF(OR(AR87="",E87="",E87=0),"",AR87/E87)</f>
        <v/>
      </c>
      <c r="BC87" s="45">
        <f>IF(OR(AS87="",F87="",F87=0),"",AS87/F87)</f>
        <v/>
      </c>
      <c r="BD87" s="44">
        <f>IF(OR(BC87="",BB87=""),"",(BC87-BB87)*100)</f>
        <v/>
      </c>
      <c r="BE87" s="40">
        <f>IF(AND(F87&lt;&gt;"",E87&lt;&gt;""),"Both years",IF(F87&lt;&gt;"","1-23Aug26 rows only","1-23Aug25 rows only"))</f>
        <v/>
      </c>
    </row>
    <row r="88">
      <c r="A88" s="56" t="inlineStr">
        <is>
          <t>All landing pages</t>
        </is>
      </c>
      <c r="B88" s="56" t="inlineStr">
        <is>
          <t>Direct</t>
        </is>
      </c>
      <c r="C88" s="56" t="inlineStr">
        <is>
          <t>Mobile</t>
        </is>
      </c>
      <c r="D88" s="56" t="inlineStr">
        <is>
          <t>Norway</t>
        </is>
      </c>
      <c r="E88" s="68" t="n">
        <v>290</v>
      </c>
      <c r="F88" s="70" t="n"/>
      <c r="G88" s="69">
        <f>IF(OR(F88="",E88="",E88=0,F88=0),"",F88-E88)</f>
        <v/>
      </c>
      <c r="H88" s="42">
        <f>IF(OR(F88="",E88="",E88=0,F88=0),"",F88/E88-1)</f>
        <v/>
      </c>
      <c r="I88" s="68" t="n">
        <v>134</v>
      </c>
      <c r="J88" s="68" t="n">
        <v>79</v>
      </c>
      <c r="K88" s="69">
        <f>IF(OR(J88="",I88="",I88=0,J88=0),"",J88-I88)</f>
        <v/>
      </c>
      <c r="L88" s="42">
        <f>IF(OR(J88="",I88="",I88=0,J88=0),"",J88/I88-1)</f>
        <v/>
      </c>
      <c r="M88" s="43">
        <f>IF(OR(I88="",E88="",E88=0),"",I88/E88)</f>
        <v/>
      </c>
      <c r="N88" s="43">
        <f>IF(OR(J88="",F88="",F88=0),"",J88/F88)</f>
        <v/>
      </c>
      <c r="O88" s="44">
        <f>IF(OR(N88="",M88=""),"",(N88-M88)*100)</f>
        <v/>
      </c>
      <c r="P88" s="68" t="n">
        <v>118</v>
      </c>
      <c r="Q88" s="70" t="n"/>
      <c r="R88" s="69">
        <f>IF(OR(Q88="",P88="",P88=0,Q88=0),"",Q88-P88)</f>
        <v/>
      </c>
      <c r="S88" s="42">
        <f>IF(OR(Q88="",P88="",P88=0,Q88=0),"",Q88/P88-1)</f>
        <v/>
      </c>
      <c r="T88" s="43">
        <f>IF(OR(P88="",E88="",E88=0),"",P88/E88)</f>
        <v/>
      </c>
      <c r="U88" s="43">
        <f>IF(OR(Q88="",F88="",F88=0),"",Q88/F88)</f>
        <v/>
      </c>
      <c r="V88" s="44">
        <f>IF(OR(U88="",T88=""),"",(U88-T88)*100)</f>
        <v/>
      </c>
      <c r="W88" s="68" t="n">
        <v>49</v>
      </c>
      <c r="X88" s="68" t="n">
        <v>31</v>
      </c>
      <c r="Y88" s="69">
        <f>IF(OR(X88="",W88="",W88=0,X88=0),"",X88-W88)</f>
        <v/>
      </c>
      <c r="Z88" s="42">
        <f>IF(OR(X88="",W88="",W88=0,X88=0),"",X88/W88-1)</f>
        <v/>
      </c>
      <c r="AA88" s="43">
        <f>IF(OR(W88="",P88="",P88=0),"",W88/P88)</f>
        <v/>
      </c>
      <c r="AB88" s="43">
        <f>IF(OR(X88="",Q88="",Q88=0),"",X88/Q88)</f>
        <v/>
      </c>
      <c r="AC88" s="44">
        <f>IF(OR(AB88="",AA88=""),"",(AB88-AA88)*100)</f>
        <v/>
      </c>
      <c r="AD88" s="68" t="n">
        <v>41</v>
      </c>
      <c r="AE88" s="68" t="n">
        <v>26</v>
      </c>
      <c r="AF88" s="69">
        <f>IF(OR(AE88="",AD88="",AD88=0,AE88=0),"",AE88-AD88)</f>
        <v/>
      </c>
      <c r="AG88" s="42">
        <f>IF(OR(AE88="",AD88="",AD88=0,AE88=0),"",AE88/AD88-1)</f>
        <v/>
      </c>
      <c r="AH88" s="43">
        <f>IF(OR(AD88="",W88="",W88=0),"",AD88/W88)</f>
        <v/>
      </c>
      <c r="AI88" s="43">
        <f>IF(OR(AE88="",X88="",X88=0),"",AE88/X88)</f>
        <v/>
      </c>
      <c r="AJ88" s="44">
        <f>IF(OR(AI88="",AH88=""),"",(AI88-AH88)*100)</f>
        <v/>
      </c>
      <c r="AK88" s="68" t="n">
        <v>22</v>
      </c>
      <c r="AL88" s="68" t="n">
        <v>14</v>
      </c>
      <c r="AM88" s="69">
        <f>IF(OR(AL88="",AK88="",AK88=0,AL88=0),"",AL88-AK88)</f>
        <v/>
      </c>
      <c r="AN88" s="42">
        <f>IF(OR(AL88="",AK88="",AK88=0,AL88=0),"",AL88/AK88-1)</f>
        <v/>
      </c>
      <c r="AO88" s="43">
        <f>IF(OR(AK88="",AD88="",AD88=0),"",AK88/AD88)</f>
        <v/>
      </c>
      <c r="AP88" s="43">
        <f>IF(OR(AL88="",AE88="",AE88=0),"",AL88/AE88)</f>
        <v/>
      </c>
      <c r="AQ88" s="44">
        <f>IF(OR(AP88="",AO88=""),"",(AP88-AO88)*100)</f>
        <v/>
      </c>
      <c r="AR88" s="68" t="n">
        <v>19</v>
      </c>
      <c r="AS88" s="68" t="n">
        <v>13</v>
      </c>
      <c r="AT88" s="69">
        <f>IF(OR(AS88="",AR88="",AR88=0,AS88=0),"",AS88-AR88)</f>
        <v/>
      </c>
      <c r="AU88" s="42">
        <f>IF(OR(AS88="",AR88="",AR88=0,AS88=0),"",AS88/AR88-1)</f>
        <v/>
      </c>
      <c r="AV88" s="43">
        <f>IF(OR(AR88="",AK88="",AK88=0),"",AR88/AK88)</f>
        <v/>
      </c>
      <c r="AW88" s="43">
        <f>IF(OR(AS88="",AL88="",AL88=0),"",AS88/AL88)</f>
        <v/>
      </c>
      <c r="AX88" s="44">
        <f>IF(OR(AW88="",AV88=""),"",(AW88-AV88)*100)</f>
        <v/>
      </c>
      <c r="AY88" s="45">
        <f>IF(OR(AR88="",P88="",P88=0),"",AR88/P88)</f>
        <v/>
      </c>
      <c r="AZ88" s="45">
        <f>IF(OR(AS88="",Q88="",Q88=0),"",AS88/Q88)</f>
        <v/>
      </c>
      <c r="BA88" s="44">
        <f>IF(OR(AZ88="",AY88=""),"",(AZ88-AY88)*100)</f>
        <v/>
      </c>
      <c r="BB88" s="45">
        <f>IF(OR(AR88="",E88="",E88=0),"",AR88/E88)</f>
        <v/>
      </c>
      <c r="BC88" s="45">
        <f>IF(OR(AS88="",F88="",F88=0),"",AS88/F88)</f>
        <v/>
      </c>
      <c r="BD88" s="44">
        <f>IF(OR(BC88="",BB88=""),"",(BC88-BB88)*100)</f>
        <v/>
      </c>
      <c r="BE88" s="40">
        <f>IF(AND(F88&lt;&gt;"",E88&lt;&gt;""),"Both years",IF(F88&lt;&gt;"","1-23Aug26 rows only","1-23Aug25 rows only"))</f>
        <v/>
      </c>
    </row>
    <row r="89">
      <c r="A89" s="40" t="inlineStr">
        <is>
          <t>All landing pages</t>
        </is>
      </c>
      <c r="B89" s="40" t="inlineStr">
        <is>
          <t>Direct</t>
        </is>
      </c>
      <c r="C89" s="40" t="inlineStr">
        <is>
          <t>Mobile</t>
        </is>
      </c>
      <c r="D89" s="40" t="inlineStr">
        <is>
          <t>Finland</t>
        </is>
      </c>
      <c r="E89" s="70" t="n"/>
      <c r="F89" s="70" t="n"/>
      <c r="G89" s="69">
        <f>IF(OR(F89="",E89="",E89=0,F89=0),"",F89-E89)</f>
        <v/>
      </c>
      <c r="H89" s="42">
        <f>IF(OR(F89="",E89="",E89=0,F89=0),"",F89/E89-1)</f>
        <v/>
      </c>
      <c r="I89" s="68" t="n">
        <v>95</v>
      </c>
      <c r="J89" s="68" t="n">
        <v>71</v>
      </c>
      <c r="K89" s="69">
        <f>IF(OR(J89="",I89="",I89=0,J89=0),"",J89-I89)</f>
        <v/>
      </c>
      <c r="L89" s="42">
        <f>IF(OR(J89="",I89="",I89=0,J89=0),"",J89/I89-1)</f>
        <v/>
      </c>
      <c r="M89" s="43">
        <f>IF(OR(I89="",E89="",E89=0),"",I89/E89)</f>
        <v/>
      </c>
      <c r="N89" s="43">
        <f>IF(OR(J89="",F89="",F89=0),"",J89/F89)</f>
        <v/>
      </c>
      <c r="O89" s="44">
        <f>IF(OR(N89="",M89=""),"",(N89-M89)*100)</f>
        <v/>
      </c>
      <c r="P89" s="70" t="n"/>
      <c r="Q89" s="70" t="n"/>
      <c r="R89" s="69">
        <f>IF(OR(Q89="",P89="",P89=0,Q89=0),"",Q89-P89)</f>
        <v/>
      </c>
      <c r="S89" s="42">
        <f>IF(OR(Q89="",P89="",P89=0,Q89=0),"",Q89/P89-1)</f>
        <v/>
      </c>
      <c r="T89" s="43">
        <f>IF(OR(P89="",E89="",E89=0),"",P89/E89)</f>
        <v/>
      </c>
      <c r="U89" s="43">
        <f>IF(OR(Q89="",F89="",F89=0),"",Q89/F89)</f>
        <v/>
      </c>
      <c r="V89" s="44">
        <f>IF(OR(U89="",T89=""),"",(U89-T89)*100)</f>
        <v/>
      </c>
      <c r="W89" s="68" t="n">
        <v>39</v>
      </c>
      <c r="X89" s="68" t="n">
        <v>27</v>
      </c>
      <c r="Y89" s="69">
        <f>IF(OR(X89="",W89="",W89=0,X89=0),"",X89-W89)</f>
        <v/>
      </c>
      <c r="Z89" s="42">
        <f>IF(OR(X89="",W89="",W89=0,X89=0),"",X89/W89-1)</f>
        <v/>
      </c>
      <c r="AA89" s="43">
        <f>IF(OR(W89="",P89="",P89=0),"",W89/P89)</f>
        <v/>
      </c>
      <c r="AB89" s="43">
        <f>IF(OR(X89="",Q89="",Q89=0),"",X89/Q89)</f>
        <v/>
      </c>
      <c r="AC89" s="44">
        <f>IF(OR(AB89="",AA89=""),"",(AB89-AA89)*100)</f>
        <v/>
      </c>
      <c r="AD89" s="68" t="n">
        <v>28</v>
      </c>
      <c r="AE89" s="68" t="n">
        <v>22</v>
      </c>
      <c r="AF89" s="69">
        <f>IF(OR(AE89="",AD89="",AD89=0,AE89=0),"",AE89-AD89)</f>
        <v/>
      </c>
      <c r="AG89" s="42">
        <f>IF(OR(AE89="",AD89="",AD89=0,AE89=0),"",AE89/AD89-1)</f>
        <v/>
      </c>
      <c r="AH89" s="43">
        <f>IF(OR(AD89="",W89="",W89=0),"",AD89/W89)</f>
        <v/>
      </c>
      <c r="AI89" s="43">
        <f>IF(OR(AE89="",X89="",X89=0),"",AE89/X89)</f>
        <v/>
      </c>
      <c r="AJ89" s="44">
        <f>IF(OR(AI89="",AH89=""),"",(AI89-AH89)*100)</f>
        <v/>
      </c>
      <c r="AK89" s="68" t="n">
        <v>12</v>
      </c>
      <c r="AL89" s="68" t="n">
        <v>12</v>
      </c>
      <c r="AM89" s="69">
        <f>IF(OR(AL89="",AK89="",AK89=0,AL89=0),"",AL89-AK89)</f>
        <v/>
      </c>
      <c r="AN89" s="42">
        <f>IF(OR(AL89="",AK89="",AK89=0,AL89=0),"",AL89/AK89-1)</f>
        <v/>
      </c>
      <c r="AO89" s="43">
        <f>IF(OR(AK89="",AD89="",AD89=0),"",AK89/AD89)</f>
        <v/>
      </c>
      <c r="AP89" s="43">
        <f>IF(OR(AL89="",AE89="",AE89=0),"",AL89/AE89)</f>
        <v/>
      </c>
      <c r="AQ89" s="44">
        <f>IF(OR(AP89="",AO89=""),"",(AP89-AO89)*100)</f>
        <v/>
      </c>
      <c r="AR89" s="68" t="n">
        <v>10</v>
      </c>
      <c r="AS89" s="68" t="n">
        <v>12</v>
      </c>
      <c r="AT89" s="69">
        <f>IF(OR(AS89="",AR89="",AR89=0,AS89=0),"",AS89-AR89)</f>
        <v/>
      </c>
      <c r="AU89" s="42">
        <f>IF(OR(AS89="",AR89="",AR89=0,AS89=0),"",AS89/AR89-1)</f>
        <v/>
      </c>
      <c r="AV89" s="43">
        <f>IF(OR(AR89="",AK89="",AK89=0),"",AR89/AK89)</f>
        <v/>
      </c>
      <c r="AW89" s="43">
        <f>IF(OR(AS89="",AL89="",AL89=0),"",AS89/AL89)</f>
        <v/>
      </c>
      <c r="AX89" s="44">
        <f>IF(OR(AW89="",AV89=""),"",(AW89-AV89)*100)</f>
        <v/>
      </c>
      <c r="AY89" s="45">
        <f>IF(OR(AR89="",P89="",P89=0),"",AR89/P89)</f>
        <v/>
      </c>
      <c r="AZ89" s="45">
        <f>IF(OR(AS89="",Q89="",Q89=0),"",AS89/Q89)</f>
        <v/>
      </c>
      <c r="BA89" s="44">
        <f>IF(OR(AZ89="",AY89=""),"",(AZ89-AY89)*100)</f>
        <v/>
      </c>
      <c r="BB89" s="45">
        <f>IF(OR(AR89="",E89="",E89=0),"",AR89/E89)</f>
        <v/>
      </c>
      <c r="BC89" s="45">
        <f>IF(OR(AS89="",F89="",F89=0),"",AS89/F89)</f>
        <v/>
      </c>
      <c r="BD89" s="44">
        <f>IF(OR(BC89="",BB89=""),"",(BC89-BB89)*100)</f>
        <v/>
      </c>
      <c r="BE89" s="40">
        <f>IF(AND(F89&lt;&gt;"",E89&lt;&gt;""),"Both years",IF(F89&lt;&gt;"","1-23Aug26 rows only","1-23Aug25 rows only"))</f>
        <v/>
      </c>
    </row>
    <row r="90">
      <c r="A90" s="56" t="inlineStr">
        <is>
          <t>All landing pages</t>
        </is>
      </c>
      <c r="B90" s="56" t="inlineStr">
        <is>
          <t>Direct</t>
        </is>
      </c>
      <c r="C90" s="56" t="inlineStr">
        <is>
          <t>Mobile</t>
        </is>
      </c>
      <c r="D90" s="56" t="inlineStr">
        <is>
          <t>Austria</t>
        </is>
      </c>
      <c r="E90" s="70" t="n"/>
      <c r="F90" s="70" t="n"/>
      <c r="G90" s="69">
        <f>IF(OR(F90="",E90="",E90=0,F90=0),"",F90-E90)</f>
        <v/>
      </c>
      <c r="H90" s="42">
        <f>IF(OR(F90="",E90="",E90=0,F90=0),"",F90/E90-1)</f>
        <v/>
      </c>
      <c r="I90" s="70" t="n"/>
      <c r="J90" s="70" t="n"/>
      <c r="K90" s="69">
        <f>IF(OR(J90="",I90="",I90=0,J90=0),"",J90-I90)</f>
        <v/>
      </c>
      <c r="L90" s="42">
        <f>IF(OR(J90="",I90="",I90=0,J90=0),"",J90/I90-1)</f>
        <v/>
      </c>
      <c r="M90" s="43">
        <f>IF(OR(I90="",E90="",E90=0),"",I90/E90)</f>
        <v/>
      </c>
      <c r="N90" s="43">
        <f>IF(OR(J90="",F90="",F90=0),"",J90/F90)</f>
        <v/>
      </c>
      <c r="O90" s="44">
        <f>IF(OR(N90="",M90=""),"",(N90-M90)*100)</f>
        <v/>
      </c>
      <c r="P90" s="70" t="n"/>
      <c r="Q90" s="68" t="n">
        <v>97</v>
      </c>
      <c r="R90" s="69">
        <f>IF(OR(Q90="",P90="",P90=0,Q90=0),"",Q90-P90)</f>
        <v/>
      </c>
      <c r="S90" s="42">
        <f>IF(OR(Q90="",P90="",P90=0,Q90=0),"",Q90/P90-1)</f>
        <v/>
      </c>
      <c r="T90" s="43">
        <f>IF(OR(P90="",E90="",E90=0),"",P90/E90)</f>
        <v/>
      </c>
      <c r="U90" s="43">
        <f>IF(OR(Q90="",F90="",F90=0),"",Q90/F90)</f>
        <v/>
      </c>
      <c r="V90" s="44">
        <f>IF(OR(U90="",T90=""),"",(U90-T90)*100)</f>
        <v/>
      </c>
      <c r="W90" s="70" t="n"/>
      <c r="X90" s="70" t="n"/>
      <c r="Y90" s="69">
        <f>IF(OR(X90="",W90="",W90=0,X90=0),"",X90-W90)</f>
        <v/>
      </c>
      <c r="Z90" s="42">
        <f>IF(OR(X90="",W90="",W90=0,X90=0),"",X90/W90-1)</f>
        <v/>
      </c>
      <c r="AA90" s="43">
        <f>IF(OR(W90="",P90="",P90=0),"",W90/P90)</f>
        <v/>
      </c>
      <c r="AB90" s="43">
        <f>IF(OR(X90="",Q90="",Q90=0),"",X90/Q90)</f>
        <v/>
      </c>
      <c r="AC90" s="44">
        <f>IF(OR(AB90="",AA90=""),"",(AB90-AA90)*100)</f>
        <v/>
      </c>
      <c r="AD90" s="70" t="n"/>
      <c r="AE90" s="70" t="n"/>
      <c r="AF90" s="69">
        <f>IF(OR(AE90="",AD90="",AD90=0,AE90=0),"",AE90-AD90)</f>
        <v/>
      </c>
      <c r="AG90" s="42">
        <f>IF(OR(AE90="",AD90="",AD90=0,AE90=0),"",AE90/AD90-1)</f>
        <v/>
      </c>
      <c r="AH90" s="43">
        <f>IF(OR(AD90="",W90="",W90=0),"",AD90/W90)</f>
        <v/>
      </c>
      <c r="AI90" s="43">
        <f>IF(OR(AE90="",X90="",X90=0),"",AE90/X90)</f>
        <v/>
      </c>
      <c r="AJ90" s="44">
        <f>IF(OR(AI90="",AH90=""),"",(AI90-AH90)*100)</f>
        <v/>
      </c>
      <c r="AK90" s="70" t="n"/>
      <c r="AL90" s="70" t="n"/>
      <c r="AM90" s="69">
        <f>IF(OR(AL90="",AK90="",AK90=0,AL90=0),"",AL90-AK90)</f>
        <v/>
      </c>
      <c r="AN90" s="42">
        <f>IF(OR(AL90="",AK90="",AK90=0,AL90=0),"",AL90/AK90-1)</f>
        <v/>
      </c>
      <c r="AO90" s="43">
        <f>IF(OR(AK90="",AD90="",AD90=0),"",AK90/AD90)</f>
        <v/>
      </c>
      <c r="AP90" s="43">
        <f>IF(OR(AL90="",AE90="",AE90=0),"",AL90/AE90)</f>
        <v/>
      </c>
      <c r="AQ90" s="44">
        <f>IF(OR(AP90="",AO90=""),"",(AP90-AO90)*100)</f>
        <v/>
      </c>
      <c r="AR90" s="70" t="n"/>
      <c r="AS90" s="70" t="n"/>
      <c r="AT90" s="69">
        <f>IF(OR(AS90="",AR90="",AR90=0,AS90=0),"",AS90-AR90)</f>
        <v/>
      </c>
      <c r="AU90" s="42">
        <f>IF(OR(AS90="",AR90="",AR90=0,AS90=0),"",AS90/AR90-1)</f>
        <v/>
      </c>
      <c r="AV90" s="43">
        <f>IF(OR(AR90="",AK90="",AK90=0),"",AR90/AK90)</f>
        <v/>
      </c>
      <c r="AW90" s="43">
        <f>IF(OR(AS90="",AL90="",AL90=0),"",AS90/AL90)</f>
        <v/>
      </c>
      <c r="AX90" s="44">
        <f>IF(OR(AW90="",AV90=""),"",(AW90-AV90)*100)</f>
        <v/>
      </c>
      <c r="AY90" s="45">
        <f>IF(OR(AR90="",P90="",P90=0),"",AR90/P90)</f>
        <v/>
      </c>
      <c r="AZ90" s="45">
        <f>IF(OR(AS90="",Q90="",Q90=0),"",AS90/Q90)</f>
        <v/>
      </c>
      <c r="BA90" s="44">
        <f>IF(OR(AZ90="",AY90=""),"",(AZ90-AY90)*100)</f>
        <v/>
      </c>
      <c r="BB90" s="45">
        <f>IF(OR(AR90="",E90="",E90=0),"",AR90/E90)</f>
        <v/>
      </c>
      <c r="BC90" s="45">
        <f>IF(OR(AS90="",F90="",F90=0),"",AS90/F90)</f>
        <v/>
      </c>
      <c r="BD90" s="44">
        <f>IF(OR(BC90="",BB90=""),"",(BC90-BB90)*100)</f>
        <v/>
      </c>
      <c r="BE90" s="40">
        <f>IF(AND(F90&lt;&gt;"",E90&lt;&gt;""),"Both years",IF(F90&lt;&gt;"","1-23Aug26 rows only","1-23Aug25 rows only"))</f>
        <v/>
      </c>
    </row>
    <row r="91">
      <c r="A91" s="40" t="inlineStr">
        <is>
          <t>All landing pages</t>
        </is>
      </c>
      <c r="B91" s="40" t="inlineStr">
        <is>
          <t>Direct</t>
        </is>
      </c>
      <c r="C91" s="40" t="inlineStr">
        <is>
          <t>Mobile</t>
        </is>
      </c>
      <c r="D91" s="40" t="inlineStr">
        <is>
          <t>Denmark</t>
        </is>
      </c>
      <c r="E91" s="70" t="n"/>
      <c r="F91" s="70" t="n"/>
      <c r="G91" s="69">
        <f>IF(OR(F91="",E91="",E91=0,F91=0),"",F91-E91)</f>
        <v/>
      </c>
      <c r="H91" s="42">
        <f>IF(OR(F91="",E91="",E91=0,F91=0),"",F91/E91-1)</f>
        <v/>
      </c>
      <c r="I91" s="70" t="n"/>
      <c r="J91" s="70" t="n"/>
      <c r="K91" s="69">
        <f>IF(OR(J91="",I91="",I91=0,J91=0),"",J91-I91)</f>
        <v/>
      </c>
      <c r="L91" s="42">
        <f>IF(OR(J91="",I91="",I91=0,J91=0),"",J91/I91-1)</f>
        <v/>
      </c>
      <c r="M91" s="43">
        <f>IF(OR(I91="",E91="",E91=0),"",I91/E91)</f>
        <v/>
      </c>
      <c r="N91" s="43">
        <f>IF(OR(J91="",F91="",F91=0),"",J91/F91)</f>
        <v/>
      </c>
      <c r="O91" s="44">
        <f>IF(OR(N91="",M91=""),"",(N91-M91)*100)</f>
        <v/>
      </c>
      <c r="P91" s="68" t="n">
        <v>89</v>
      </c>
      <c r="Q91" s="70" t="n"/>
      <c r="R91" s="69">
        <f>IF(OR(Q91="",P91="",P91=0,Q91=0),"",Q91-P91)</f>
        <v/>
      </c>
      <c r="S91" s="42">
        <f>IF(OR(Q91="",P91="",P91=0,Q91=0),"",Q91/P91-1)</f>
        <v/>
      </c>
      <c r="T91" s="43">
        <f>IF(OR(P91="",E91="",E91=0),"",P91/E91)</f>
        <v/>
      </c>
      <c r="U91" s="43">
        <f>IF(OR(Q91="",F91="",F91=0),"",Q91/F91)</f>
        <v/>
      </c>
      <c r="V91" s="44">
        <f>IF(OR(U91="",T91=""),"",(U91-T91)*100)</f>
        <v/>
      </c>
      <c r="W91" s="70" t="n"/>
      <c r="X91" s="70" t="n"/>
      <c r="Y91" s="69">
        <f>IF(OR(X91="",W91="",W91=0,X91=0),"",X91-W91)</f>
        <v/>
      </c>
      <c r="Z91" s="42">
        <f>IF(OR(X91="",W91="",W91=0,X91=0),"",X91/W91-1)</f>
        <v/>
      </c>
      <c r="AA91" s="43">
        <f>IF(OR(W91="",P91="",P91=0),"",W91/P91)</f>
        <v/>
      </c>
      <c r="AB91" s="43">
        <f>IF(OR(X91="",Q91="",Q91=0),"",X91/Q91)</f>
        <v/>
      </c>
      <c r="AC91" s="44">
        <f>IF(OR(AB91="",AA91=""),"",(AB91-AA91)*100)</f>
        <v/>
      </c>
      <c r="AD91" s="70" t="n"/>
      <c r="AE91" s="70" t="n"/>
      <c r="AF91" s="69">
        <f>IF(OR(AE91="",AD91="",AD91=0,AE91=0),"",AE91-AD91)</f>
        <v/>
      </c>
      <c r="AG91" s="42">
        <f>IF(OR(AE91="",AD91="",AD91=0,AE91=0),"",AE91/AD91-1)</f>
        <v/>
      </c>
      <c r="AH91" s="43">
        <f>IF(OR(AD91="",W91="",W91=0),"",AD91/W91)</f>
        <v/>
      </c>
      <c r="AI91" s="43">
        <f>IF(OR(AE91="",X91="",X91=0),"",AE91/X91)</f>
        <v/>
      </c>
      <c r="AJ91" s="44">
        <f>IF(OR(AI91="",AH91=""),"",(AI91-AH91)*100)</f>
        <v/>
      </c>
      <c r="AK91" s="70" t="n"/>
      <c r="AL91" s="70" t="n"/>
      <c r="AM91" s="69">
        <f>IF(OR(AL91="",AK91="",AK91=0,AL91=0),"",AL91-AK91)</f>
        <v/>
      </c>
      <c r="AN91" s="42">
        <f>IF(OR(AL91="",AK91="",AK91=0,AL91=0),"",AL91/AK91-1)</f>
        <v/>
      </c>
      <c r="AO91" s="43">
        <f>IF(OR(AK91="",AD91="",AD91=0),"",AK91/AD91)</f>
        <v/>
      </c>
      <c r="AP91" s="43">
        <f>IF(OR(AL91="",AE91="",AE91=0),"",AL91/AE91)</f>
        <v/>
      </c>
      <c r="AQ91" s="44">
        <f>IF(OR(AP91="",AO91=""),"",(AP91-AO91)*100)</f>
        <v/>
      </c>
      <c r="AR91" s="70" t="n"/>
      <c r="AS91" s="70" t="n"/>
      <c r="AT91" s="69">
        <f>IF(OR(AS91="",AR91="",AR91=0,AS91=0),"",AS91-AR91)</f>
        <v/>
      </c>
      <c r="AU91" s="42">
        <f>IF(OR(AS91="",AR91="",AR91=0,AS91=0),"",AS91/AR91-1)</f>
        <v/>
      </c>
      <c r="AV91" s="43">
        <f>IF(OR(AR91="",AK91="",AK91=0),"",AR91/AK91)</f>
        <v/>
      </c>
      <c r="AW91" s="43">
        <f>IF(OR(AS91="",AL91="",AL91=0),"",AS91/AL91)</f>
        <v/>
      </c>
      <c r="AX91" s="44">
        <f>IF(OR(AW91="",AV91=""),"",(AW91-AV91)*100)</f>
        <v/>
      </c>
      <c r="AY91" s="45">
        <f>IF(OR(AR91="",P91="",P91=0),"",AR91/P91)</f>
        <v/>
      </c>
      <c r="AZ91" s="45">
        <f>IF(OR(AS91="",Q91="",Q91=0),"",AS91/Q91)</f>
        <v/>
      </c>
      <c r="BA91" s="44">
        <f>IF(OR(AZ91="",AY91=""),"",(AZ91-AY91)*100)</f>
        <v/>
      </c>
      <c r="BB91" s="45">
        <f>IF(OR(AR91="",E91="",E91=0),"",AR91/E91)</f>
        <v/>
      </c>
      <c r="BC91" s="45">
        <f>IF(OR(AS91="",F91="",F91=0),"",AS91/F91)</f>
        <v/>
      </c>
      <c r="BD91" s="44">
        <f>IF(OR(BC91="",BB91=""),"",(BC91-BB91)*100)</f>
        <v/>
      </c>
      <c r="BE91" s="40">
        <f>IF(AND(F91&lt;&gt;"",E91&lt;&gt;""),"Both years",IF(F91&lt;&gt;"","1-23Aug26 rows only","1-23Aug25 rows only"))</f>
        <v/>
      </c>
    </row>
    <row r="92">
      <c r="A92" s="40" t="inlineStr">
        <is>
          <t>All landing pages</t>
        </is>
      </c>
      <c r="B92" s="40" t="inlineStr">
        <is>
          <t>Direct</t>
        </is>
      </c>
      <c r="C92" s="40" t="inlineStr">
        <is>
          <t>Desktop</t>
        </is>
      </c>
      <c r="D92" s="40" t="inlineStr">
        <is>
          <t>Germany</t>
        </is>
      </c>
      <c r="E92" s="68" t="n">
        <v>1166</v>
      </c>
      <c r="F92" s="68" t="n">
        <v>3017</v>
      </c>
      <c r="G92" s="69">
        <f>IF(OR(F92="",E92="",E92=0,F92=0),"",F92-E92)</f>
        <v/>
      </c>
      <c r="H92" s="42">
        <f>IF(OR(F92="",E92="",E92=0,F92=0),"",F92/E92-1)</f>
        <v/>
      </c>
      <c r="I92" s="68" t="n">
        <v>539</v>
      </c>
      <c r="J92" s="68" t="n">
        <v>1425</v>
      </c>
      <c r="K92" s="69">
        <f>IF(OR(J92="",I92="",I92=0,J92=0),"",J92-I92)</f>
        <v/>
      </c>
      <c r="L92" s="42">
        <f>IF(OR(J92="",I92="",I92=0,J92=0),"",J92/I92-1)</f>
        <v/>
      </c>
      <c r="M92" s="43">
        <f>IF(OR(I92="",E92="",E92=0),"",I92/E92)</f>
        <v/>
      </c>
      <c r="N92" s="43">
        <f>IF(OR(J92="",F92="",F92=0),"",J92/F92)</f>
        <v/>
      </c>
      <c r="O92" s="44">
        <f>IF(OR(N92="",M92=""),"",(N92-M92)*100)</f>
        <v/>
      </c>
      <c r="P92" s="68" t="n">
        <v>491</v>
      </c>
      <c r="Q92" s="68" t="n">
        <v>1678</v>
      </c>
      <c r="R92" s="69">
        <f>IF(OR(Q92="",P92="",P92=0,Q92=0),"",Q92-P92)</f>
        <v/>
      </c>
      <c r="S92" s="42">
        <f>IF(OR(Q92="",P92="",P92=0,Q92=0),"",Q92/P92-1)</f>
        <v/>
      </c>
      <c r="T92" s="43">
        <f>IF(OR(P92="",E92="",E92=0),"",P92/E92)</f>
        <v/>
      </c>
      <c r="U92" s="43">
        <f>IF(OR(Q92="",F92="",F92=0),"",Q92/F92)</f>
        <v/>
      </c>
      <c r="V92" s="44">
        <f>IF(OR(U92="",T92=""),"",(U92-T92)*100)</f>
        <v/>
      </c>
      <c r="W92" s="68" t="n">
        <v>210</v>
      </c>
      <c r="X92" s="68" t="n">
        <v>526</v>
      </c>
      <c r="Y92" s="69">
        <f>IF(OR(X92="",W92="",W92=0,X92=0),"",X92-W92)</f>
        <v/>
      </c>
      <c r="Z92" s="42">
        <f>IF(OR(X92="",W92="",W92=0,X92=0),"",X92/W92-1)</f>
        <v/>
      </c>
      <c r="AA92" s="43">
        <f>IF(OR(W92="",P92="",P92=0),"",W92/P92)</f>
        <v/>
      </c>
      <c r="AB92" s="43">
        <f>IF(OR(X92="",Q92="",Q92=0),"",X92/Q92)</f>
        <v/>
      </c>
      <c r="AC92" s="44">
        <f>IF(OR(AB92="",AA92=""),"",(AB92-AA92)*100)</f>
        <v/>
      </c>
      <c r="AD92" s="68" t="n">
        <v>185</v>
      </c>
      <c r="AE92" s="68" t="n">
        <v>448</v>
      </c>
      <c r="AF92" s="69">
        <f>IF(OR(AE92="",AD92="",AD92=0,AE92=0),"",AE92-AD92)</f>
        <v/>
      </c>
      <c r="AG92" s="42">
        <f>IF(OR(AE92="",AD92="",AD92=0,AE92=0),"",AE92/AD92-1)</f>
        <v/>
      </c>
      <c r="AH92" s="43">
        <f>IF(OR(AD92="",W92="",W92=0),"",AD92/W92)</f>
        <v/>
      </c>
      <c r="AI92" s="43">
        <f>IF(OR(AE92="",X92="",X92=0),"",AE92/X92)</f>
        <v/>
      </c>
      <c r="AJ92" s="44">
        <f>IF(OR(AI92="",AH92=""),"",(AI92-AH92)*100)</f>
        <v/>
      </c>
      <c r="AK92" s="68" t="n">
        <v>101</v>
      </c>
      <c r="AL92" s="68" t="n">
        <v>182</v>
      </c>
      <c r="AM92" s="69">
        <f>IF(OR(AL92="",AK92="",AK92=0,AL92=0),"",AL92-AK92)</f>
        <v/>
      </c>
      <c r="AN92" s="42">
        <f>IF(OR(AL92="",AK92="",AK92=0,AL92=0),"",AL92/AK92-1)</f>
        <v/>
      </c>
      <c r="AO92" s="43">
        <f>IF(OR(AK92="",AD92="",AD92=0),"",AK92/AD92)</f>
        <v/>
      </c>
      <c r="AP92" s="43">
        <f>IF(OR(AL92="",AE92="",AE92=0),"",AL92/AE92)</f>
        <v/>
      </c>
      <c r="AQ92" s="44">
        <f>IF(OR(AP92="",AO92=""),"",(AP92-AO92)*100)</f>
        <v/>
      </c>
      <c r="AR92" s="68" t="n">
        <v>102</v>
      </c>
      <c r="AS92" s="68" t="n">
        <v>180</v>
      </c>
      <c r="AT92" s="69">
        <f>IF(OR(AS92="",AR92="",AR92=0,AS92=0),"",AS92-AR92)</f>
        <v/>
      </c>
      <c r="AU92" s="42">
        <f>IF(OR(AS92="",AR92="",AR92=0,AS92=0),"",AS92/AR92-1)</f>
        <v/>
      </c>
      <c r="AV92" s="43">
        <f>IF(OR(AR92="",AK92="",AK92=0),"",AR92/AK92)</f>
        <v/>
      </c>
      <c r="AW92" s="43">
        <f>IF(OR(AS92="",AL92="",AL92=0),"",AS92/AL92)</f>
        <v/>
      </c>
      <c r="AX92" s="44">
        <f>IF(OR(AW92="",AV92=""),"",(AW92-AV92)*100)</f>
        <v/>
      </c>
      <c r="AY92" s="45">
        <f>IF(OR(AR92="",P92="",P92=0),"",AR92/P92)</f>
        <v/>
      </c>
      <c r="AZ92" s="45">
        <f>IF(OR(AS92="",Q92="",Q92=0),"",AS92/Q92)</f>
        <v/>
      </c>
      <c r="BA92" s="44">
        <f>IF(OR(AZ92="",AY92=""),"",(AZ92-AY92)*100)</f>
        <v/>
      </c>
      <c r="BB92" s="45">
        <f>IF(OR(AR92="",E92="",E92=0),"",AR92/E92)</f>
        <v/>
      </c>
      <c r="BC92" s="45">
        <f>IF(OR(AS92="",F92="",F92=0),"",AS92/F92)</f>
        <v/>
      </c>
      <c r="BD92" s="44">
        <f>IF(OR(BC92="",BB92=""),"",(BC92-BB92)*100)</f>
        <v/>
      </c>
      <c r="BE92" s="40">
        <f>IF(AND(F92&lt;&gt;"",E92&lt;&gt;""),"Both years",IF(F92&lt;&gt;"","1-23Aug26 rows only","1-23Aug25 rows only"))</f>
        <v/>
      </c>
    </row>
    <row r="93">
      <c r="A93" s="56" t="inlineStr">
        <is>
          <t>All landing pages</t>
        </is>
      </c>
      <c r="B93" s="56" t="inlineStr">
        <is>
          <t>Direct</t>
        </is>
      </c>
      <c r="C93" s="56" t="inlineStr">
        <is>
          <t>Desktop</t>
        </is>
      </c>
      <c r="D93" s="56" t="inlineStr">
        <is>
          <t>Italy</t>
        </is>
      </c>
      <c r="E93" s="68" t="n">
        <v>909</v>
      </c>
      <c r="F93" s="68" t="n">
        <v>2124</v>
      </c>
      <c r="G93" s="69">
        <f>IF(OR(F93="",E93="",E93=0,F93=0),"",F93-E93)</f>
        <v/>
      </c>
      <c r="H93" s="42">
        <f>IF(OR(F93="",E93="",E93=0,F93=0),"",F93/E93-1)</f>
        <v/>
      </c>
      <c r="I93" s="68" t="n">
        <v>376</v>
      </c>
      <c r="J93" s="68" t="n">
        <v>855</v>
      </c>
      <c r="K93" s="69">
        <f>IF(OR(J93="",I93="",I93=0,J93=0),"",J93-I93)</f>
        <v/>
      </c>
      <c r="L93" s="42">
        <f>IF(OR(J93="",I93="",I93=0,J93=0),"",J93/I93-1)</f>
        <v/>
      </c>
      <c r="M93" s="43">
        <f>IF(OR(I93="",E93="",E93=0),"",I93/E93)</f>
        <v/>
      </c>
      <c r="N93" s="43">
        <f>IF(OR(J93="",F93="",F93=0),"",J93/F93)</f>
        <v/>
      </c>
      <c r="O93" s="44">
        <f>IF(OR(N93="",M93=""),"",(N93-M93)*100)</f>
        <v/>
      </c>
      <c r="P93" s="68" t="n">
        <v>295</v>
      </c>
      <c r="Q93" s="68" t="n">
        <v>859</v>
      </c>
      <c r="R93" s="69">
        <f>IF(OR(Q93="",P93="",P93=0,Q93=0),"",Q93-P93)</f>
        <v/>
      </c>
      <c r="S93" s="42">
        <f>IF(OR(Q93="",P93="",P93=0,Q93=0),"",Q93/P93-1)</f>
        <v/>
      </c>
      <c r="T93" s="43">
        <f>IF(OR(P93="",E93="",E93=0),"",P93/E93)</f>
        <v/>
      </c>
      <c r="U93" s="43">
        <f>IF(OR(Q93="",F93="",F93=0),"",Q93/F93)</f>
        <v/>
      </c>
      <c r="V93" s="44">
        <f>IF(OR(U93="",T93=""),"",(U93-T93)*100)</f>
        <v/>
      </c>
      <c r="W93" s="68" t="n">
        <v>94</v>
      </c>
      <c r="X93" s="68" t="n">
        <v>201</v>
      </c>
      <c r="Y93" s="69">
        <f>IF(OR(X93="",W93="",W93=0,X93=0),"",X93-W93)</f>
        <v/>
      </c>
      <c r="Z93" s="42">
        <f>IF(OR(X93="",W93="",W93=0,X93=0),"",X93/W93-1)</f>
        <v/>
      </c>
      <c r="AA93" s="43">
        <f>IF(OR(W93="",P93="",P93=0),"",W93/P93)</f>
        <v/>
      </c>
      <c r="AB93" s="43">
        <f>IF(OR(X93="",Q93="",Q93=0),"",X93/Q93)</f>
        <v/>
      </c>
      <c r="AC93" s="44">
        <f>IF(OR(AB93="",AA93=""),"",(AB93-AA93)*100)</f>
        <v/>
      </c>
      <c r="AD93" s="68" t="n">
        <v>77</v>
      </c>
      <c r="AE93" s="68" t="n">
        <v>167</v>
      </c>
      <c r="AF93" s="69">
        <f>IF(OR(AE93="",AD93="",AD93=0,AE93=0),"",AE93-AD93)</f>
        <v/>
      </c>
      <c r="AG93" s="42">
        <f>IF(OR(AE93="",AD93="",AD93=0,AE93=0),"",AE93/AD93-1)</f>
        <v/>
      </c>
      <c r="AH93" s="43">
        <f>IF(OR(AD93="",W93="",W93=0),"",AD93/W93)</f>
        <v/>
      </c>
      <c r="AI93" s="43">
        <f>IF(OR(AE93="",X93="",X93=0),"",AE93/X93)</f>
        <v/>
      </c>
      <c r="AJ93" s="44">
        <f>IF(OR(AI93="",AH93=""),"",(AI93-AH93)*100)</f>
        <v/>
      </c>
      <c r="AK93" s="68" t="n">
        <v>45</v>
      </c>
      <c r="AL93" s="68" t="n">
        <v>67</v>
      </c>
      <c r="AM93" s="69">
        <f>IF(OR(AL93="",AK93="",AK93=0,AL93=0),"",AL93-AK93)</f>
        <v/>
      </c>
      <c r="AN93" s="42">
        <f>IF(OR(AL93="",AK93="",AK93=0,AL93=0),"",AL93/AK93-1)</f>
        <v/>
      </c>
      <c r="AO93" s="43">
        <f>IF(OR(AK93="",AD93="",AD93=0),"",AK93/AD93)</f>
        <v/>
      </c>
      <c r="AP93" s="43">
        <f>IF(OR(AL93="",AE93="",AE93=0),"",AL93/AE93)</f>
        <v/>
      </c>
      <c r="AQ93" s="44">
        <f>IF(OR(AP93="",AO93=""),"",(AP93-AO93)*100)</f>
        <v/>
      </c>
      <c r="AR93" s="68" t="n">
        <v>34</v>
      </c>
      <c r="AS93" s="68" t="n">
        <v>69</v>
      </c>
      <c r="AT93" s="69">
        <f>IF(OR(AS93="",AR93="",AR93=0,AS93=0),"",AS93-AR93)</f>
        <v/>
      </c>
      <c r="AU93" s="42">
        <f>IF(OR(AS93="",AR93="",AR93=0,AS93=0),"",AS93/AR93-1)</f>
        <v/>
      </c>
      <c r="AV93" s="43">
        <f>IF(OR(AR93="",AK93="",AK93=0),"",AR93/AK93)</f>
        <v/>
      </c>
      <c r="AW93" s="43">
        <f>IF(OR(AS93="",AL93="",AL93=0),"",AS93/AL93)</f>
        <v/>
      </c>
      <c r="AX93" s="44">
        <f>IF(OR(AW93="",AV93=""),"",(AW93-AV93)*100)</f>
        <v/>
      </c>
      <c r="AY93" s="45">
        <f>IF(OR(AR93="",P93="",P93=0),"",AR93/P93)</f>
        <v/>
      </c>
      <c r="AZ93" s="45">
        <f>IF(OR(AS93="",Q93="",Q93=0),"",AS93/Q93)</f>
        <v/>
      </c>
      <c r="BA93" s="44">
        <f>IF(OR(AZ93="",AY93=""),"",(AZ93-AY93)*100)</f>
        <v/>
      </c>
      <c r="BB93" s="45">
        <f>IF(OR(AR93="",E93="",E93=0),"",AR93/E93)</f>
        <v/>
      </c>
      <c r="BC93" s="45">
        <f>IF(OR(AS93="",F93="",F93=0),"",AS93/F93)</f>
        <v/>
      </c>
      <c r="BD93" s="44">
        <f>IF(OR(BC93="",BB93=""),"",(BC93-BB93)*100)</f>
        <v/>
      </c>
      <c r="BE93" s="40">
        <f>IF(AND(F93&lt;&gt;"",E93&lt;&gt;""),"Both years",IF(F93&lt;&gt;"","1-23Aug26 rows only","1-23Aug25 rows only"))</f>
        <v/>
      </c>
    </row>
    <row r="94">
      <c r="A94" s="40" t="inlineStr">
        <is>
          <t>All landing pages</t>
        </is>
      </c>
      <c r="B94" s="40" t="inlineStr">
        <is>
          <t>Direct</t>
        </is>
      </c>
      <c r="C94" s="40" t="inlineStr">
        <is>
          <t>Desktop</t>
        </is>
      </c>
      <c r="D94" s="40" t="inlineStr">
        <is>
          <t>United Kingdom</t>
        </is>
      </c>
      <c r="E94" s="68" t="n">
        <v>2770</v>
      </c>
      <c r="F94" s="68" t="n">
        <v>1963</v>
      </c>
      <c r="G94" s="69">
        <f>IF(OR(F94="",E94="",E94=0,F94=0),"",F94-E94)</f>
        <v/>
      </c>
      <c r="H94" s="42">
        <f>IF(OR(F94="",E94="",E94=0,F94=0),"",F94/E94-1)</f>
        <v/>
      </c>
      <c r="I94" s="68" t="n">
        <v>1236</v>
      </c>
      <c r="J94" s="68" t="n">
        <v>803</v>
      </c>
      <c r="K94" s="69">
        <f>IF(OR(J94="",I94="",I94=0,J94=0),"",J94-I94)</f>
        <v/>
      </c>
      <c r="L94" s="42">
        <f>IF(OR(J94="",I94="",I94=0,J94=0),"",J94/I94-1)</f>
        <v/>
      </c>
      <c r="M94" s="43">
        <f>IF(OR(I94="",E94="",E94=0),"",I94/E94)</f>
        <v/>
      </c>
      <c r="N94" s="43">
        <f>IF(OR(J94="",F94="",F94=0),"",J94/F94)</f>
        <v/>
      </c>
      <c r="O94" s="44">
        <f>IF(OR(N94="",M94=""),"",(N94-M94)*100)</f>
        <v/>
      </c>
      <c r="P94" s="68" t="n">
        <v>1098</v>
      </c>
      <c r="Q94" s="68" t="n">
        <v>770</v>
      </c>
      <c r="R94" s="69">
        <f>IF(OR(Q94="",P94="",P94=0,Q94=0),"",Q94-P94)</f>
        <v/>
      </c>
      <c r="S94" s="42">
        <f>IF(OR(Q94="",P94="",P94=0,Q94=0),"",Q94/P94-1)</f>
        <v/>
      </c>
      <c r="T94" s="43">
        <f>IF(OR(P94="",E94="",E94=0),"",P94/E94)</f>
        <v/>
      </c>
      <c r="U94" s="43">
        <f>IF(OR(Q94="",F94="",F94=0),"",Q94/F94)</f>
        <v/>
      </c>
      <c r="V94" s="44">
        <f>IF(OR(U94="",T94=""),"",(U94-T94)*100)</f>
        <v/>
      </c>
      <c r="W94" s="68" t="n">
        <v>440</v>
      </c>
      <c r="X94" s="68" t="n">
        <v>281</v>
      </c>
      <c r="Y94" s="69">
        <f>IF(OR(X94="",W94="",W94=0,X94=0),"",X94-W94)</f>
        <v/>
      </c>
      <c r="Z94" s="42">
        <f>IF(OR(X94="",W94="",W94=0,X94=0),"",X94/W94-1)</f>
        <v/>
      </c>
      <c r="AA94" s="43">
        <f>IF(OR(W94="",P94="",P94=0),"",W94/P94)</f>
        <v/>
      </c>
      <c r="AB94" s="43">
        <f>IF(OR(X94="",Q94="",Q94=0),"",X94/Q94)</f>
        <v/>
      </c>
      <c r="AC94" s="44">
        <f>IF(OR(AB94="",AA94=""),"",(AB94-AA94)*100)</f>
        <v/>
      </c>
      <c r="AD94" s="68" t="n">
        <v>394</v>
      </c>
      <c r="AE94" s="68" t="n">
        <v>258</v>
      </c>
      <c r="AF94" s="69">
        <f>IF(OR(AE94="",AD94="",AD94=0,AE94=0),"",AE94-AD94)</f>
        <v/>
      </c>
      <c r="AG94" s="42">
        <f>IF(OR(AE94="",AD94="",AD94=0,AE94=0),"",AE94/AD94-1)</f>
        <v/>
      </c>
      <c r="AH94" s="43">
        <f>IF(OR(AD94="",W94="",W94=0),"",AD94/W94)</f>
        <v/>
      </c>
      <c r="AI94" s="43">
        <f>IF(OR(AE94="",X94="",X94=0),"",AE94/X94)</f>
        <v/>
      </c>
      <c r="AJ94" s="44">
        <f>IF(OR(AI94="",AH94=""),"",(AI94-AH94)*100)</f>
        <v/>
      </c>
      <c r="AK94" s="68" t="n">
        <v>263</v>
      </c>
      <c r="AL94" s="68" t="n">
        <v>181</v>
      </c>
      <c r="AM94" s="69">
        <f>IF(OR(AL94="",AK94="",AK94=0,AL94=0),"",AL94-AK94)</f>
        <v/>
      </c>
      <c r="AN94" s="42">
        <f>IF(OR(AL94="",AK94="",AK94=0,AL94=0),"",AL94/AK94-1)</f>
        <v/>
      </c>
      <c r="AO94" s="43">
        <f>IF(OR(AK94="",AD94="",AD94=0),"",AK94/AD94)</f>
        <v/>
      </c>
      <c r="AP94" s="43">
        <f>IF(OR(AL94="",AE94="",AE94=0),"",AL94/AE94)</f>
        <v/>
      </c>
      <c r="AQ94" s="44">
        <f>IF(OR(AP94="",AO94=""),"",(AP94-AO94)*100)</f>
        <v/>
      </c>
      <c r="AR94" s="68" t="n">
        <v>260</v>
      </c>
      <c r="AS94" s="68" t="n">
        <v>179</v>
      </c>
      <c r="AT94" s="69">
        <f>IF(OR(AS94="",AR94="",AR94=0,AS94=0),"",AS94-AR94)</f>
        <v/>
      </c>
      <c r="AU94" s="42">
        <f>IF(OR(AS94="",AR94="",AR94=0,AS94=0),"",AS94/AR94-1)</f>
        <v/>
      </c>
      <c r="AV94" s="43">
        <f>IF(OR(AR94="",AK94="",AK94=0),"",AR94/AK94)</f>
        <v/>
      </c>
      <c r="AW94" s="43">
        <f>IF(OR(AS94="",AL94="",AL94=0),"",AS94/AL94)</f>
        <v/>
      </c>
      <c r="AX94" s="44">
        <f>IF(OR(AW94="",AV94=""),"",(AW94-AV94)*100)</f>
        <v/>
      </c>
      <c r="AY94" s="45">
        <f>IF(OR(AR94="",P94="",P94=0),"",AR94/P94)</f>
        <v/>
      </c>
      <c r="AZ94" s="45">
        <f>IF(OR(AS94="",Q94="",Q94=0),"",AS94/Q94)</f>
        <v/>
      </c>
      <c r="BA94" s="44">
        <f>IF(OR(AZ94="",AY94=""),"",(AZ94-AY94)*100)</f>
        <v/>
      </c>
      <c r="BB94" s="45">
        <f>IF(OR(AR94="",E94="",E94=0),"",AR94/E94)</f>
        <v/>
      </c>
      <c r="BC94" s="45">
        <f>IF(OR(AS94="",F94="",F94=0),"",AS94/F94)</f>
        <v/>
      </c>
      <c r="BD94" s="44">
        <f>IF(OR(BC94="",BB94=""),"",(BC94-BB94)*100)</f>
        <v/>
      </c>
      <c r="BE94" s="40">
        <f>IF(AND(F94&lt;&gt;"",E94&lt;&gt;""),"Both years",IF(F94&lt;&gt;"","1-23Aug26 rows only","1-23Aug25 rows only"))</f>
        <v/>
      </c>
    </row>
    <row r="95">
      <c r="A95" s="56" t="inlineStr">
        <is>
          <t>All landing pages</t>
        </is>
      </c>
      <c r="B95" s="56" t="inlineStr">
        <is>
          <t>Direct</t>
        </is>
      </c>
      <c r="C95" s="56" t="inlineStr">
        <is>
          <t>Desktop</t>
        </is>
      </c>
      <c r="D95" s="56" t="inlineStr">
        <is>
          <t>United States</t>
        </is>
      </c>
      <c r="E95" s="68" t="n">
        <v>3053</v>
      </c>
      <c r="F95" s="68" t="n">
        <v>1696</v>
      </c>
      <c r="G95" s="69">
        <f>IF(OR(F95="",E95="",E95=0,F95=0),"",F95-E95)</f>
        <v/>
      </c>
      <c r="H95" s="42">
        <f>IF(OR(F95="",E95="",E95=0,F95=0),"",F95/E95-1)</f>
        <v/>
      </c>
      <c r="I95" s="68" t="n">
        <v>1520</v>
      </c>
      <c r="J95" s="68" t="n">
        <v>411</v>
      </c>
      <c r="K95" s="69">
        <f>IF(OR(J95="",I95="",I95=0,J95=0),"",J95-I95)</f>
        <v/>
      </c>
      <c r="L95" s="42">
        <f>IF(OR(J95="",I95="",I95=0,J95=0),"",J95/I95-1)</f>
        <v/>
      </c>
      <c r="M95" s="43">
        <f>IF(OR(I95="",E95="",E95=0),"",I95/E95)</f>
        <v/>
      </c>
      <c r="N95" s="43">
        <f>IF(OR(J95="",F95="",F95=0),"",J95/F95)</f>
        <v/>
      </c>
      <c r="O95" s="44">
        <f>IF(OR(N95="",M95=""),"",(N95-M95)*100)</f>
        <v/>
      </c>
      <c r="P95" s="68" t="n">
        <v>970</v>
      </c>
      <c r="Q95" s="68" t="n">
        <v>353</v>
      </c>
      <c r="R95" s="69">
        <f>IF(OR(Q95="",P95="",P95=0,Q95=0),"",Q95-P95)</f>
        <v/>
      </c>
      <c r="S95" s="42">
        <f>IF(OR(Q95="",P95="",P95=0,Q95=0),"",Q95/P95-1)</f>
        <v/>
      </c>
      <c r="T95" s="43">
        <f>IF(OR(P95="",E95="",E95=0),"",P95/E95)</f>
        <v/>
      </c>
      <c r="U95" s="43">
        <f>IF(OR(Q95="",F95="",F95=0),"",Q95/F95)</f>
        <v/>
      </c>
      <c r="V95" s="44">
        <f>IF(OR(U95="",T95=""),"",(U95-T95)*100)</f>
        <v/>
      </c>
      <c r="W95" s="68" t="n">
        <v>167</v>
      </c>
      <c r="X95" s="68" t="n">
        <v>143</v>
      </c>
      <c r="Y95" s="69">
        <f>IF(OR(X95="",W95="",W95=0,X95=0),"",X95-W95)</f>
        <v/>
      </c>
      <c r="Z95" s="42">
        <f>IF(OR(X95="",W95="",W95=0,X95=0),"",X95/W95-1)</f>
        <v/>
      </c>
      <c r="AA95" s="43">
        <f>IF(OR(W95="",P95="",P95=0),"",W95/P95)</f>
        <v/>
      </c>
      <c r="AB95" s="43">
        <f>IF(OR(X95="",Q95="",Q95=0),"",X95/Q95)</f>
        <v/>
      </c>
      <c r="AC95" s="44">
        <f>IF(OR(AB95="",AA95=""),"",(AB95-AA95)*100)</f>
        <v/>
      </c>
      <c r="AD95" s="68" t="n">
        <v>160</v>
      </c>
      <c r="AE95" s="68" t="n">
        <v>135</v>
      </c>
      <c r="AF95" s="69">
        <f>IF(OR(AE95="",AD95="",AD95=0,AE95=0),"",AE95-AD95)</f>
        <v/>
      </c>
      <c r="AG95" s="42">
        <f>IF(OR(AE95="",AD95="",AD95=0,AE95=0),"",AE95/AD95-1)</f>
        <v/>
      </c>
      <c r="AH95" s="43">
        <f>IF(OR(AD95="",W95="",W95=0),"",AD95/W95)</f>
        <v/>
      </c>
      <c r="AI95" s="43">
        <f>IF(OR(AE95="",X95="",X95=0),"",AE95/X95)</f>
        <v/>
      </c>
      <c r="AJ95" s="44">
        <f>IF(OR(AI95="",AH95=""),"",(AI95-AH95)*100)</f>
        <v/>
      </c>
      <c r="AK95" s="68" t="n">
        <v>108</v>
      </c>
      <c r="AL95" s="68" t="n">
        <v>86</v>
      </c>
      <c r="AM95" s="69">
        <f>IF(OR(AL95="",AK95="",AK95=0,AL95=0),"",AL95-AK95)</f>
        <v/>
      </c>
      <c r="AN95" s="42">
        <f>IF(OR(AL95="",AK95="",AK95=0,AL95=0),"",AL95/AK95-1)</f>
        <v/>
      </c>
      <c r="AO95" s="43">
        <f>IF(OR(AK95="",AD95="",AD95=0),"",AK95/AD95)</f>
        <v/>
      </c>
      <c r="AP95" s="43">
        <f>IF(OR(AL95="",AE95="",AE95=0),"",AL95/AE95)</f>
        <v/>
      </c>
      <c r="AQ95" s="44">
        <f>IF(OR(AP95="",AO95=""),"",(AP95-AO95)*100)</f>
        <v/>
      </c>
      <c r="AR95" s="68" t="n">
        <v>104</v>
      </c>
      <c r="AS95" s="68" t="n">
        <v>71</v>
      </c>
      <c r="AT95" s="69">
        <f>IF(OR(AS95="",AR95="",AR95=0,AS95=0),"",AS95-AR95)</f>
        <v/>
      </c>
      <c r="AU95" s="42">
        <f>IF(OR(AS95="",AR95="",AR95=0,AS95=0),"",AS95/AR95-1)</f>
        <v/>
      </c>
      <c r="AV95" s="43">
        <f>IF(OR(AR95="",AK95="",AK95=0),"",AR95/AK95)</f>
        <v/>
      </c>
      <c r="AW95" s="43">
        <f>IF(OR(AS95="",AL95="",AL95=0),"",AS95/AL95)</f>
        <v/>
      </c>
      <c r="AX95" s="44">
        <f>IF(OR(AW95="",AV95=""),"",(AW95-AV95)*100)</f>
        <v/>
      </c>
      <c r="AY95" s="45">
        <f>IF(OR(AR95="",P95="",P95=0),"",AR95/P95)</f>
        <v/>
      </c>
      <c r="AZ95" s="45">
        <f>IF(OR(AS95="",Q95="",Q95=0),"",AS95/Q95)</f>
        <v/>
      </c>
      <c r="BA95" s="44">
        <f>IF(OR(AZ95="",AY95=""),"",(AZ95-AY95)*100)</f>
        <v/>
      </c>
      <c r="BB95" s="45">
        <f>IF(OR(AR95="",E95="",E95=0),"",AR95/E95)</f>
        <v/>
      </c>
      <c r="BC95" s="45">
        <f>IF(OR(AS95="",F95="",F95=0),"",AS95/F95)</f>
        <v/>
      </c>
      <c r="BD95" s="44">
        <f>IF(OR(BC95="",BB95=""),"",(BC95-BB95)*100)</f>
        <v/>
      </c>
      <c r="BE95" s="40">
        <f>IF(AND(F95&lt;&gt;"",E95&lt;&gt;""),"Both years",IF(F95&lt;&gt;"","1-23Aug26 rows only","1-23Aug25 rows only"))</f>
        <v/>
      </c>
    </row>
    <row r="96">
      <c r="A96" s="40" t="inlineStr">
        <is>
          <t>All landing pages</t>
        </is>
      </c>
      <c r="B96" s="40" t="inlineStr">
        <is>
          <t>Direct</t>
        </is>
      </c>
      <c r="C96" s="40" t="inlineStr">
        <is>
          <t>Desktop</t>
        </is>
      </c>
      <c r="D96" s="40" t="inlineStr">
        <is>
          <t>Netherlands</t>
        </is>
      </c>
      <c r="E96" s="68" t="n">
        <v>594</v>
      </c>
      <c r="F96" s="68" t="n">
        <v>1275</v>
      </c>
      <c r="G96" s="69">
        <f>IF(OR(F96="",E96="",E96=0,F96=0),"",F96-E96)</f>
        <v/>
      </c>
      <c r="H96" s="42">
        <f>IF(OR(F96="",E96="",E96=0,F96=0),"",F96/E96-1)</f>
        <v/>
      </c>
      <c r="I96" s="68" t="n">
        <v>277</v>
      </c>
      <c r="J96" s="68" t="n">
        <v>610</v>
      </c>
      <c r="K96" s="69">
        <f>IF(OR(J96="",I96="",I96=0,J96=0),"",J96-I96)</f>
        <v/>
      </c>
      <c r="L96" s="42">
        <f>IF(OR(J96="",I96="",I96=0,J96=0),"",J96/I96-1)</f>
        <v/>
      </c>
      <c r="M96" s="43">
        <f>IF(OR(I96="",E96="",E96=0),"",I96/E96)</f>
        <v/>
      </c>
      <c r="N96" s="43">
        <f>IF(OR(J96="",F96="",F96=0),"",J96/F96)</f>
        <v/>
      </c>
      <c r="O96" s="44">
        <f>IF(OR(N96="",M96=""),"",(N96-M96)*100)</f>
        <v/>
      </c>
      <c r="P96" s="68" t="n">
        <v>229</v>
      </c>
      <c r="Q96" s="68" t="n">
        <v>604</v>
      </c>
      <c r="R96" s="69">
        <f>IF(OR(Q96="",P96="",P96=0,Q96=0),"",Q96-P96)</f>
        <v/>
      </c>
      <c r="S96" s="42">
        <f>IF(OR(Q96="",P96="",P96=0,Q96=0),"",Q96/P96-1)</f>
        <v/>
      </c>
      <c r="T96" s="43">
        <f>IF(OR(P96="",E96="",E96=0),"",P96/E96)</f>
        <v/>
      </c>
      <c r="U96" s="43">
        <f>IF(OR(Q96="",F96="",F96=0),"",Q96/F96)</f>
        <v/>
      </c>
      <c r="V96" s="44">
        <f>IF(OR(U96="",T96=""),"",(U96-T96)*100)</f>
        <v/>
      </c>
      <c r="W96" s="68" t="n">
        <v>72</v>
      </c>
      <c r="X96" s="68" t="n">
        <v>161</v>
      </c>
      <c r="Y96" s="69">
        <f>IF(OR(X96="",W96="",W96=0,X96=0),"",X96-W96)</f>
        <v/>
      </c>
      <c r="Z96" s="42">
        <f>IF(OR(X96="",W96="",W96=0,X96=0),"",X96/W96-1)</f>
        <v/>
      </c>
      <c r="AA96" s="43">
        <f>IF(OR(W96="",P96="",P96=0),"",W96/P96)</f>
        <v/>
      </c>
      <c r="AB96" s="43">
        <f>IF(OR(X96="",Q96="",Q96=0),"",X96/Q96)</f>
        <v/>
      </c>
      <c r="AC96" s="44">
        <f>IF(OR(AB96="",AA96=""),"",(AB96-AA96)*100)</f>
        <v/>
      </c>
      <c r="AD96" s="68" t="n">
        <v>63</v>
      </c>
      <c r="AE96" s="68" t="n">
        <v>127</v>
      </c>
      <c r="AF96" s="69">
        <f>IF(OR(AE96="",AD96="",AD96=0,AE96=0),"",AE96-AD96)</f>
        <v/>
      </c>
      <c r="AG96" s="42">
        <f>IF(OR(AE96="",AD96="",AD96=0,AE96=0),"",AE96/AD96-1)</f>
        <v/>
      </c>
      <c r="AH96" s="43">
        <f>IF(OR(AD96="",W96="",W96=0),"",AD96/W96)</f>
        <v/>
      </c>
      <c r="AI96" s="43">
        <f>IF(OR(AE96="",X96="",X96=0),"",AE96/X96)</f>
        <v/>
      </c>
      <c r="AJ96" s="44">
        <f>IF(OR(AI96="",AH96=""),"",(AI96-AH96)*100)</f>
        <v/>
      </c>
      <c r="AK96" s="68" t="n">
        <v>37</v>
      </c>
      <c r="AL96" s="68" t="n">
        <v>69</v>
      </c>
      <c r="AM96" s="69">
        <f>IF(OR(AL96="",AK96="",AK96=0,AL96=0),"",AL96-AK96)</f>
        <v/>
      </c>
      <c r="AN96" s="42">
        <f>IF(OR(AL96="",AK96="",AK96=0,AL96=0),"",AL96/AK96-1)</f>
        <v/>
      </c>
      <c r="AO96" s="43">
        <f>IF(OR(AK96="",AD96="",AD96=0),"",AK96/AD96)</f>
        <v/>
      </c>
      <c r="AP96" s="43">
        <f>IF(OR(AL96="",AE96="",AE96=0),"",AL96/AE96)</f>
        <v/>
      </c>
      <c r="AQ96" s="44">
        <f>IF(OR(AP96="",AO96=""),"",(AP96-AO96)*100)</f>
        <v/>
      </c>
      <c r="AR96" s="68" t="n">
        <v>20</v>
      </c>
      <c r="AS96" s="68" t="n">
        <v>50</v>
      </c>
      <c r="AT96" s="69">
        <f>IF(OR(AS96="",AR96="",AR96=0,AS96=0),"",AS96-AR96)</f>
        <v/>
      </c>
      <c r="AU96" s="42">
        <f>IF(OR(AS96="",AR96="",AR96=0,AS96=0),"",AS96/AR96-1)</f>
        <v/>
      </c>
      <c r="AV96" s="43">
        <f>IF(OR(AR96="",AK96="",AK96=0),"",AR96/AK96)</f>
        <v/>
      </c>
      <c r="AW96" s="43">
        <f>IF(OR(AS96="",AL96="",AL96=0),"",AS96/AL96)</f>
        <v/>
      </c>
      <c r="AX96" s="44">
        <f>IF(OR(AW96="",AV96=""),"",(AW96-AV96)*100)</f>
        <v/>
      </c>
      <c r="AY96" s="45">
        <f>IF(OR(AR96="",P96="",P96=0),"",AR96/P96)</f>
        <v/>
      </c>
      <c r="AZ96" s="45">
        <f>IF(OR(AS96="",Q96="",Q96=0),"",AS96/Q96)</f>
        <v/>
      </c>
      <c r="BA96" s="44">
        <f>IF(OR(AZ96="",AY96=""),"",(AZ96-AY96)*100)</f>
        <v/>
      </c>
      <c r="BB96" s="45">
        <f>IF(OR(AR96="",E96="",E96=0),"",AR96/E96)</f>
        <v/>
      </c>
      <c r="BC96" s="45">
        <f>IF(OR(AS96="",F96="",F96=0),"",AS96/F96)</f>
        <v/>
      </c>
      <c r="BD96" s="44">
        <f>IF(OR(BC96="",BB96=""),"",(BC96-BB96)*100)</f>
        <v/>
      </c>
      <c r="BE96" s="40">
        <f>IF(AND(F96&lt;&gt;"",E96&lt;&gt;""),"Both years",IF(F96&lt;&gt;"","1-23Aug26 rows only","1-23Aug25 rows only"))</f>
        <v/>
      </c>
    </row>
    <row r="97">
      <c r="A97" s="56" t="inlineStr">
        <is>
          <t>All landing pages</t>
        </is>
      </c>
      <c r="B97" s="56" t="inlineStr">
        <is>
          <t>Direct</t>
        </is>
      </c>
      <c r="C97" s="56" t="inlineStr">
        <is>
          <t>Desktop</t>
        </is>
      </c>
      <c r="D97" s="56" t="inlineStr">
        <is>
          <t>Spain</t>
        </is>
      </c>
      <c r="E97" s="68" t="n">
        <v>881</v>
      </c>
      <c r="F97" s="68" t="n">
        <v>1118</v>
      </c>
      <c r="G97" s="69">
        <f>IF(OR(F97="",E97="",E97=0,F97=0),"",F97-E97)</f>
        <v/>
      </c>
      <c r="H97" s="42">
        <f>IF(OR(F97="",E97="",E97=0,F97=0),"",F97/E97-1)</f>
        <v/>
      </c>
      <c r="I97" s="68" t="n">
        <v>407</v>
      </c>
      <c r="J97" s="68" t="n">
        <v>360</v>
      </c>
      <c r="K97" s="69">
        <f>IF(OR(J97="",I97="",I97=0,J97=0),"",J97-I97)</f>
        <v/>
      </c>
      <c r="L97" s="42">
        <f>IF(OR(J97="",I97="",I97=0,J97=0),"",J97/I97-1)</f>
        <v/>
      </c>
      <c r="M97" s="43">
        <f>IF(OR(I97="",E97="",E97=0),"",I97/E97)</f>
        <v/>
      </c>
      <c r="N97" s="43">
        <f>IF(OR(J97="",F97="",F97=0),"",J97/F97)</f>
        <v/>
      </c>
      <c r="O97" s="44">
        <f>IF(OR(N97="",M97=""),"",(N97-M97)*100)</f>
        <v/>
      </c>
      <c r="P97" s="68" t="n">
        <v>310</v>
      </c>
      <c r="Q97" s="68" t="n">
        <v>446</v>
      </c>
      <c r="R97" s="69">
        <f>IF(OR(Q97="",P97="",P97=0,Q97=0),"",Q97-P97)</f>
        <v/>
      </c>
      <c r="S97" s="42">
        <f>IF(OR(Q97="",P97="",P97=0,Q97=0),"",Q97/P97-1)</f>
        <v/>
      </c>
      <c r="T97" s="43">
        <f>IF(OR(P97="",E97="",E97=0),"",P97/E97)</f>
        <v/>
      </c>
      <c r="U97" s="43">
        <f>IF(OR(Q97="",F97="",F97=0),"",Q97/F97)</f>
        <v/>
      </c>
      <c r="V97" s="44">
        <f>IF(OR(U97="",T97=""),"",(U97-T97)*100)</f>
        <v/>
      </c>
      <c r="W97" s="68" t="n">
        <v>92</v>
      </c>
      <c r="X97" s="68" t="n">
        <v>109</v>
      </c>
      <c r="Y97" s="69">
        <f>IF(OR(X97="",W97="",W97=0,X97=0),"",X97-W97)</f>
        <v/>
      </c>
      <c r="Z97" s="42">
        <f>IF(OR(X97="",W97="",W97=0,X97=0),"",X97/W97-1)</f>
        <v/>
      </c>
      <c r="AA97" s="43">
        <f>IF(OR(W97="",P97="",P97=0),"",W97/P97)</f>
        <v/>
      </c>
      <c r="AB97" s="43">
        <f>IF(OR(X97="",Q97="",Q97=0),"",X97/Q97)</f>
        <v/>
      </c>
      <c r="AC97" s="44">
        <f>IF(OR(AB97="",AA97=""),"",(AB97-AA97)*100)</f>
        <v/>
      </c>
      <c r="AD97" s="68" t="n">
        <v>78</v>
      </c>
      <c r="AE97" s="68" t="n">
        <v>97</v>
      </c>
      <c r="AF97" s="69">
        <f>IF(OR(AE97="",AD97="",AD97=0,AE97=0),"",AE97-AD97)</f>
        <v/>
      </c>
      <c r="AG97" s="42">
        <f>IF(OR(AE97="",AD97="",AD97=0,AE97=0),"",AE97/AD97-1)</f>
        <v/>
      </c>
      <c r="AH97" s="43">
        <f>IF(OR(AD97="",W97="",W97=0),"",AD97/W97)</f>
        <v/>
      </c>
      <c r="AI97" s="43">
        <f>IF(OR(AE97="",X97="",X97=0),"",AE97/X97)</f>
        <v/>
      </c>
      <c r="AJ97" s="44">
        <f>IF(OR(AI97="",AH97=""),"",(AI97-AH97)*100)</f>
        <v/>
      </c>
      <c r="AK97" s="68" t="n">
        <v>44</v>
      </c>
      <c r="AL97" s="68" t="n">
        <v>38</v>
      </c>
      <c r="AM97" s="69">
        <f>IF(OR(AL97="",AK97="",AK97=0,AL97=0),"",AL97-AK97)</f>
        <v/>
      </c>
      <c r="AN97" s="42">
        <f>IF(OR(AL97="",AK97="",AK97=0,AL97=0),"",AL97/AK97-1)</f>
        <v/>
      </c>
      <c r="AO97" s="43">
        <f>IF(OR(AK97="",AD97="",AD97=0),"",AK97/AD97)</f>
        <v/>
      </c>
      <c r="AP97" s="43">
        <f>IF(OR(AL97="",AE97="",AE97=0),"",AL97/AE97)</f>
        <v/>
      </c>
      <c r="AQ97" s="44">
        <f>IF(OR(AP97="",AO97=""),"",(AP97-AO97)*100)</f>
        <v/>
      </c>
      <c r="AR97" s="68" t="n">
        <v>44</v>
      </c>
      <c r="AS97" s="68" t="n">
        <v>35</v>
      </c>
      <c r="AT97" s="69">
        <f>IF(OR(AS97="",AR97="",AR97=0,AS97=0),"",AS97-AR97)</f>
        <v/>
      </c>
      <c r="AU97" s="42">
        <f>IF(OR(AS97="",AR97="",AR97=0,AS97=0),"",AS97/AR97-1)</f>
        <v/>
      </c>
      <c r="AV97" s="43">
        <f>IF(OR(AR97="",AK97="",AK97=0),"",AR97/AK97)</f>
        <v/>
      </c>
      <c r="AW97" s="43">
        <f>IF(OR(AS97="",AL97="",AL97=0),"",AS97/AL97)</f>
        <v/>
      </c>
      <c r="AX97" s="44">
        <f>IF(OR(AW97="",AV97=""),"",(AW97-AV97)*100)</f>
        <v/>
      </c>
      <c r="AY97" s="45">
        <f>IF(OR(AR97="",P97="",P97=0),"",AR97/P97)</f>
        <v/>
      </c>
      <c r="AZ97" s="45">
        <f>IF(OR(AS97="",Q97="",Q97=0),"",AS97/Q97)</f>
        <v/>
      </c>
      <c r="BA97" s="44">
        <f>IF(OR(AZ97="",AY97=""),"",(AZ97-AY97)*100)</f>
        <v/>
      </c>
      <c r="BB97" s="45">
        <f>IF(OR(AR97="",E97="",E97=0),"",AR97/E97)</f>
        <v/>
      </c>
      <c r="BC97" s="45">
        <f>IF(OR(AS97="",F97="",F97=0),"",AS97/F97)</f>
        <v/>
      </c>
      <c r="BD97" s="44">
        <f>IF(OR(BC97="",BB97=""),"",(BC97-BB97)*100)</f>
        <v/>
      </c>
      <c r="BE97" s="40">
        <f>IF(AND(F97&lt;&gt;"",E97&lt;&gt;""),"Both years",IF(F97&lt;&gt;"","1-23Aug26 rows only","1-23Aug25 rows only"))</f>
        <v/>
      </c>
    </row>
    <row r="98">
      <c r="A98" s="40" t="inlineStr">
        <is>
          <t>All landing pages</t>
        </is>
      </c>
      <c r="B98" s="40" t="inlineStr">
        <is>
          <t>Direct</t>
        </is>
      </c>
      <c r="C98" s="40" t="inlineStr">
        <is>
          <t>Desktop</t>
        </is>
      </c>
      <c r="D98" s="40" t="inlineStr">
        <is>
          <t>Poland</t>
        </is>
      </c>
      <c r="E98" s="68" t="n">
        <v>329</v>
      </c>
      <c r="F98" s="68" t="n">
        <v>906</v>
      </c>
      <c r="G98" s="69">
        <f>IF(OR(F98="",E98="",E98=0,F98=0),"",F98-E98)</f>
        <v/>
      </c>
      <c r="H98" s="42">
        <f>IF(OR(F98="",E98="",E98=0,F98=0),"",F98/E98-1)</f>
        <v/>
      </c>
      <c r="I98" s="70" t="n"/>
      <c r="J98" s="70" t="n"/>
      <c r="K98" s="69">
        <f>IF(OR(J98="",I98="",I98=0,J98=0),"",J98-I98)</f>
        <v/>
      </c>
      <c r="L98" s="42">
        <f>IF(OR(J98="",I98="",I98=0,J98=0),"",J98/I98-1)</f>
        <v/>
      </c>
      <c r="M98" s="43">
        <f>IF(OR(I98="",E98="",E98=0),"",I98/E98)</f>
        <v/>
      </c>
      <c r="N98" s="43">
        <f>IF(OR(J98="",F98="",F98=0),"",J98/F98)</f>
        <v/>
      </c>
      <c r="O98" s="44">
        <f>IF(OR(N98="",M98=""),"",(N98-M98)*100)</f>
        <v/>
      </c>
      <c r="P98" s="68" t="n">
        <v>150</v>
      </c>
      <c r="Q98" s="68" t="n">
        <v>430</v>
      </c>
      <c r="R98" s="69">
        <f>IF(OR(Q98="",P98="",P98=0,Q98=0),"",Q98-P98)</f>
        <v/>
      </c>
      <c r="S98" s="42">
        <f>IF(OR(Q98="",P98="",P98=0,Q98=0),"",Q98/P98-1)</f>
        <v/>
      </c>
      <c r="T98" s="43">
        <f>IF(OR(P98="",E98="",E98=0),"",P98/E98)</f>
        <v/>
      </c>
      <c r="U98" s="43">
        <f>IF(OR(Q98="",F98="",F98=0),"",Q98/F98)</f>
        <v/>
      </c>
      <c r="V98" s="44">
        <f>IF(OR(U98="",T98=""),"",(U98-T98)*100)</f>
        <v/>
      </c>
      <c r="W98" s="70" t="n"/>
      <c r="X98" s="70" t="n"/>
      <c r="Y98" s="69">
        <f>IF(OR(X98="",W98="",W98=0,X98=0),"",X98-W98)</f>
        <v/>
      </c>
      <c r="Z98" s="42">
        <f>IF(OR(X98="",W98="",W98=0,X98=0),"",X98/W98-1)</f>
        <v/>
      </c>
      <c r="AA98" s="43">
        <f>IF(OR(W98="",P98="",P98=0),"",W98/P98)</f>
        <v/>
      </c>
      <c r="AB98" s="43">
        <f>IF(OR(X98="",Q98="",Q98=0),"",X98/Q98)</f>
        <v/>
      </c>
      <c r="AC98" s="44">
        <f>IF(OR(AB98="",AA98=""),"",(AB98-AA98)*100)</f>
        <v/>
      </c>
      <c r="AD98" s="70" t="n"/>
      <c r="AE98" s="70" t="n"/>
      <c r="AF98" s="69">
        <f>IF(OR(AE98="",AD98="",AD98=0,AE98=0),"",AE98-AD98)</f>
        <v/>
      </c>
      <c r="AG98" s="42">
        <f>IF(OR(AE98="",AD98="",AD98=0,AE98=0),"",AE98/AD98-1)</f>
        <v/>
      </c>
      <c r="AH98" s="43">
        <f>IF(OR(AD98="",W98="",W98=0),"",AD98/W98)</f>
        <v/>
      </c>
      <c r="AI98" s="43">
        <f>IF(OR(AE98="",X98="",X98=0),"",AE98/X98)</f>
        <v/>
      </c>
      <c r="AJ98" s="44">
        <f>IF(OR(AI98="",AH98=""),"",(AI98-AH98)*100)</f>
        <v/>
      </c>
      <c r="AK98" s="70" t="n"/>
      <c r="AL98" s="70" t="n"/>
      <c r="AM98" s="69">
        <f>IF(OR(AL98="",AK98="",AK98=0,AL98=0),"",AL98-AK98)</f>
        <v/>
      </c>
      <c r="AN98" s="42">
        <f>IF(OR(AL98="",AK98="",AK98=0,AL98=0),"",AL98/AK98-1)</f>
        <v/>
      </c>
      <c r="AO98" s="43">
        <f>IF(OR(AK98="",AD98="",AD98=0),"",AK98/AD98)</f>
        <v/>
      </c>
      <c r="AP98" s="43">
        <f>IF(OR(AL98="",AE98="",AE98=0),"",AL98/AE98)</f>
        <v/>
      </c>
      <c r="AQ98" s="44">
        <f>IF(OR(AP98="",AO98=""),"",(AP98-AO98)*100)</f>
        <v/>
      </c>
      <c r="AR98" s="70" t="n"/>
      <c r="AS98" s="70" t="n"/>
      <c r="AT98" s="69">
        <f>IF(OR(AS98="",AR98="",AR98=0,AS98=0),"",AS98-AR98)</f>
        <v/>
      </c>
      <c r="AU98" s="42">
        <f>IF(OR(AS98="",AR98="",AR98=0,AS98=0),"",AS98/AR98-1)</f>
        <v/>
      </c>
      <c r="AV98" s="43">
        <f>IF(OR(AR98="",AK98="",AK98=0),"",AR98/AK98)</f>
        <v/>
      </c>
      <c r="AW98" s="43">
        <f>IF(OR(AS98="",AL98="",AL98=0),"",AS98/AL98)</f>
        <v/>
      </c>
      <c r="AX98" s="44">
        <f>IF(OR(AW98="",AV98=""),"",(AW98-AV98)*100)</f>
        <v/>
      </c>
      <c r="AY98" s="45">
        <f>IF(OR(AR98="",P98="",P98=0),"",AR98/P98)</f>
        <v/>
      </c>
      <c r="AZ98" s="45">
        <f>IF(OR(AS98="",Q98="",Q98=0),"",AS98/Q98)</f>
        <v/>
      </c>
      <c r="BA98" s="44">
        <f>IF(OR(AZ98="",AY98=""),"",(AZ98-AY98)*100)</f>
        <v/>
      </c>
      <c r="BB98" s="45">
        <f>IF(OR(AR98="",E98="",E98=0),"",AR98/E98)</f>
        <v/>
      </c>
      <c r="BC98" s="45">
        <f>IF(OR(AS98="",F98="",F98=0),"",AS98/F98)</f>
        <v/>
      </c>
      <c r="BD98" s="44">
        <f>IF(OR(BC98="",BB98=""),"",(BC98-BB98)*100)</f>
        <v/>
      </c>
      <c r="BE98" s="40">
        <f>IF(AND(F98&lt;&gt;"",E98&lt;&gt;""),"Both years",IF(F98&lt;&gt;"","1-23Aug26 rows only","1-23Aug25 rows only"))</f>
        <v/>
      </c>
    </row>
    <row r="99">
      <c r="A99" s="56" t="inlineStr">
        <is>
          <t>All landing pages</t>
        </is>
      </c>
      <c r="B99" s="56" t="inlineStr">
        <is>
          <t>Direct</t>
        </is>
      </c>
      <c r="C99" s="56" t="inlineStr">
        <is>
          <t>Desktop</t>
        </is>
      </c>
      <c r="D99" s="56" t="inlineStr">
        <is>
          <t>France</t>
        </is>
      </c>
      <c r="E99" s="68" t="n">
        <v>297</v>
      </c>
      <c r="F99" s="68" t="n">
        <v>739</v>
      </c>
      <c r="G99" s="69">
        <f>IF(OR(F99="",E99="",E99=0,F99=0),"",F99-E99)</f>
        <v/>
      </c>
      <c r="H99" s="42">
        <f>IF(OR(F99="",E99="",E99=0,F99=0),"",F99/E99-1)</f>
        <v/>
      </c>
      <c r="I99" s="68" t="n">
        <v>144</v>
      </c>
      <c r="J99" s="68" t="n">
        <v>318</v>
      </c>
      <c r="K99" s="69">
        <f>IF(OR(J99="",I99="",I99=0,J99=0),"",J99-I99)</f>
        <v/>
      </c>
      <c r="L99" s="42">
        <f>IF(OR(J99="",I99="",I99=0,J99=0),"",J99/I99-1)</f>
        <v/>
      </c>
      <c r="M99" s="43">
        <f>IF(OR(I99="",E99="",E99=0),"",I99/E99)</f>
        <v/>
      </c>
      <c r="N99" s="43">
        <f>IF(OR(J99="",F99="",F99=0),"",J99/F99)</f>
        <v/>
      </c>
      <c r="O99" s="44">
        <f>IF(OR(N99="",M99=""),"",(N99-M99)*100)</f>
        <v/>
      </c>
      <c r="P99" s="68" t="n">
        <v>104</v>
      </c>
      <c r="Q99" s="68" t="n">
        <v>335</v>
      </c>
      <c r="R99" s="69">
        <f>IF(OR(Q99="",P99="",P99=0,Q99=0),"",Q99-P99)</f>
        <v/>
      </c>
      <c r="S99" s="42">
        <f>IF(OR(Q99="",P99="",P99=0,Q99=0),"",Q99/P99-1)</f>
        <v/>
      </c>
      <c r="T99" s="43">
        <f>IF(OR(P99="",E99="",E99=0),"",P99/E99)</f>
        <v/>
      </c>
      <c r="U99" s="43">
        <f>IF(OR(Q99="",F99="",F99=0),"",Q99/F99)</f>
        <v/>
      </c>
      <c r="V99" s="44">
        <f>IF(OR(U99="",T99=""),"",(U99-T99)*100)</f>
        <v/>
      </c>
      <c r="W99" s="68" t="n">
        <v>40</v>
      </c>
      <c r="X99" s="68" t="n">
        <v>97</v>
      </c>
      <c r="Y99" s="69">
        <f>IF(OR(X99="",W99="",W99=0,X99=0),"",X99-W99)</f>
        <v/>
      </c>
      <c r="Z99" s="42">
        <f>IF(OR(X99="",W99="",W99=0,X99=0),"",X99/W99-1)</f>
        <v/>
      </c>
      <c r="AA99" s="43">
        <f>IF(OR(W99="",P99="",P99=0),"",W99/P99)</f>
        <v/>
      </c>
      <c r="AB99" s="43">
        <f>IF(OR(X99="",Q99="",Q99=0),"",X99/Q99)</f>
        <v/>
      </c>
      <c r="AC99" s="44">
        <f>IF(OR(AB99="",AA99=""),"",(AB99-AA99)*100)</f>
        <v/>
      </c>
      <c r="AD99" s="68" t="n">
        <v>38</v>
      </c>
      <c r="AE99" s="68" t="n">
        <v>78</v>
      </c>
      <c r="AF99" s="69">
        <f>IF(OR(AE99="",AD99="",AD99=0,AE99=0),"",AE99-AD99)</f>
        <v/>
      </c>
      <c r="AG99" s="42">
        <f>IF(OR(AE99="",AD99="",AD99=0,AE99=0),"",AE99/AD99-1)</f>
        <v/>
      </c>
      <c r="AH99" s="43">
        <f>IF(OR(AD99="",W99="",W99=0),"",AD99/W99)</f>
        <v/>
      </c>
      <c r="AI99" s="43">
        <f>IF(OR(AE99="",X99="",X99=0),"",AE99/X99)</f>
        <v/>
      </c>
      <c r="AJ99" s="44">
        <f>IF(OR(AI99="",AH99=""),"",(AI99-AH99)*100)</f>
        <v/>
      </c>
      <c r="AK99" s="68" t="n">
        <v>19</v>
      </c>
      <c r="AL99" s="68" t="n">
        <v>24</v>
      </c>
      <c r="AM99" s="69">
        <f>IF(OR(AL99="",AK99="",AK99=0,AL99=0),"",AL99-AK99)</f>
        <v/>
      </c>
      <c r="AN99" s="42">
        <f>IF(OR(AL99="",AK99="",AK99=0,AL99=0),"",AL99/AK99-1)</f>
        <v/>
      </c>
      <c r="AO99" s="43">
        <f>IF(OR(AK99="",AD99="",AD99=0),"",AK99/AD99)</f>
        <v/>
      </c>
      <c r="AP99" s="43">
        <f>IF(OR(AL99="",AE99="",AE99=0),"",AL99/AE99)</f>
        <v/>
      </c>
      <c r="AQ99" s="44">
        <f>IF(OR(AP99="",AO99=""),"",(AP99-AO99)*100)</f>
        <v/>
      </c>
      <c r="AR99" s="68" t="n">
        <v>20</v>
      </c>
      <c r="AS99" s="68" t="n">
        <v>30</v>
      </c>
      <c r="AT99" s="69">
        <f>IF(OR(AS99="",AR99="",AR99=0,AS99=0),"",AS99-AR99)</f>
        <v/>
      </c>
      <c r="AU99" s="42">
        <f>IF(OR(AS99="",AR99="",AR99=0,AS99=0),"",AS99/AR99-1)</f>
        <v/>
      </c>
      <c r="AV99" s="43">
        <f>IF(OR(AR99="",AK99="",AK99=0),"",AR99/AK99)</f>
        <v/>
      </c>
      <c r="AW99" s="43">
        <f>IF(OR(AS99="",AL99="",AL99=0),"",AS99/AL99)</f>
        <v/>
      </c>
      <c r="AX99" s="44">
        <f>IF(OR(AW99="",AV99=""),"",(AW99-AV99)*100)</f>
        <v/>
      </c>
      <c r="AY99" s="45">
        <f>IF(OR(AR99="",P99="",P99=0),"",AR99/P99)</f>
        <v/>
      </c>
      <c r="AZ99" s="45">
        <f>IF(OR(AS99="",Q99="",Q99=0),"",AS99/Q99)</f>
        <v/>
      </c>
      <c r="BA99" s="44">
        <f>IF(OR(AZ99="",AY99=""),"",(AZ99-AY99)*100)</f>
        <v/>
      </c>
      <c r="BB99" s="45">
        <f>IF(OR(AR99="",E99="",E99=0),"",AR99/E99)</f>
        <v/>
      </c>
      <c r="BC99" s="45">
        <f>IF(OR(AS99="",F99="",F99=0),"",AS99/F99)</f>
        <v/>
      </c>
      <c r="BD99" s="44">
        <f>IF(OR(BC99="",BB99=""),"",(BC99-BB99)*100)</f>
        <v/>
      </c>
      <c r="BE99" s="40">
        <f>IF(AND(F99&lt;&gt;"",E99&lt;&gt;""),"Both years",IF(F99&lt;&gt;"","1-23Aug26 rows only","1-23Aug25 rows only"))</f>
        <v/>
      </c>
    </row>
    <row r="100">
      <c r="A100" s="40" t="inlineStr">
        <is>
          <t>All landing pages</t>
        </is>
      </c>
      <c r="B100" s="40" t="inlineStr">
        <is>
          <t>Direct</t>
        </is>
      </c>
      <c r="C100" s="40" t="inlineStr">
        <is>
          <t>Desktop</t>
        </is>
      </c>
      <c r="D100" s="40" t="inlineStr">
        <is>
          <t>Ireland</t>
        </is>
      </c>
      <c r="E100" s="68" t="n">
        <v>726</v>
      </c>
      <c r="F100" s="68" t="n">
        <v>720</v>
      </c>
      <c r="G100" s="69">
        <f>IF(OR(F100="",E100="",E100=0,F100=0),"",F100-E100)</f>
        <v/>
      </c>
      <c r="H100" s="42">
        <f>IF(OR(F100="",E100="",E100=0,F100=0),"",F100/E100-1)</f>
        <v/>
      </c>
      <c r="I100" s="68" t="n">
        <v>161</v>
      </c>
      <c r="J100" s="68" t="n">
        <v>338</v>
      </c>
      <c r="K100" s="69">
        <f>IF(OR(J100="",I100="",I100=0,J100=0),"",J100-I100)</f>
        <v/>
      </c>
      <c r="L100" s="42">
        <f>IF(OR(J100="",I100="",I100=0,J100=0),"",J100/I100-1)</f>
        <v/>
      </c>
      <c r="M100" s="43">
        <f>IF(OR(I100="",E100="",E100=0),"",I100/E100)</f>
        <v/>
      </c>
      <c r="N100" s="43">
        <f>IF(OR(J100="",F100="",F100=0),"",J100/F100)</f>
        <v/>
      </c>
      <c r="O100" s="44">
        <f>IF(OR(N100="",M100=""),"",(N100-M100)*100)</f>
        <v/>
      </c>
      <c r="P100" s="68" t="n">
        <v>139</v>
      </c>
      <c r="Q100" s="68" t="n">
        <v>344</v>
      </c>
      <c r="R100" s="69">
        <f>IF(OR(Q100="",P100="",P100=0,Q100=0),"",Q100-P100)</f>
        <v/>
      </c>
      <c r="S100" s="42">
        <f>IF(OR(Q100="",P100="",P100=0,Q100=0),"",Q100/P100-1)</f>
        <v/>
      </c>
      <c r="T100" s="43">
        <f>IF(OR(P100="",E100="",E100=0),"",P100/E100)</f>
        <v/>
      </c>
      <c r="U100" s="43">
        <f>IF(OR(Q100="",F100="",F100=0),"",Q100/F100)</f>
        <v/>
      </c>
      <c r="V100" s="44">
        <f>IF(OR(U100="",T100=""),"",(U100-T100)*100)</f>
        <v/>
      </c>
      <c r="W100" s="68" t="n">
        <v>43</v>
      </c>
      <c r="X100" s="68" t="n">
        <v>90</v>
      </c>
      <c r="Y100" s="69">
        <f>IF(OR(X100="",W100="",W100=0,X100=0),"",X100-W100)</f>
        <v/>
      </c>
      <c r="Z100" s="42">
        <f>IF(OR(X100="",W100="",W100=0,X100=0),"",X100/W100-1)</f>
        <v/>
      </c>
      <c r="AA100" s="43">
        <f>IF(OR(W100="",P100="",P100=0),"",W100/P100)</f>
        <v/>
      </c>
      <c r="AB100" s="43">
        <f>IF(OR(X100="",Q100="",Q100=0),"",X100/Q100)</f>
        <v/>
      </c>
      <c r="AC100" s="44">
        <f>IF(OR(AB100="",AA100=""),"",(AB100-AA100)*100)</f>
        <v/>
      </c>
      <c r="AD100" s="68" t="n">
        <v>42</v>
      </c>
      <c r="AE100" s="68" t="n">
        <v>67</v>
      </c>
      <c r="AF100" s="69">
        <f>IF(OR(AE100="",AD100="",AD100=0,AE100=0),"",AE100-AD100)</f>
        <v/>
      </c>
      <c r="AG100" s="42">
        <f>IF(OR(AE100="",AD100="",AD100=0,AE100=0),"",AE100/AD100-1)</f>
        <v/>
      </c>
      <c r="AH100" s="43">
        <f>IF(OR(AD100="",W100="",W100=0),"",AD100/W100)</f>
        <v/>
      </c>
      <c r="AI100" s="43">
        <f>IF(OR(AE100="",X100="",X100=0),"",AE100/X100)</f>
        <v/>
      </c>
      <c r="AJ100" s="44">
        <f>IF(OR(AI100="",AH100=""),"",(AI100-AH100)*100)</f>
        <v/>
      </c>
      <c r="AK100" s="68" t="n">
        <v>26</v>
      </c>
      <c r="AL100" s="68" t="n">
        <v>41</v>
      </c>
      <c r="AM100" s="69">
        <f>IF(OR(AL100="",AK100="",AK100=0,AL100=0),"",AL100-AK100)</f>
        <v/>
      </c>
      <c r="AN100" s="42">
        <f>IF(OR(AL100="",AK100="",AK100=0,AL100=0),"",AL100/AK100-1)</f>
        <v/>
      </c>
      <c r="AO100" s="43">
        <f>IF(OR(AK100="",AD100="",AD100=0),"",AK100/AD100)</f>
        <v/>
      </c>
      <c r="AP100" s="43">
        <f>IF(OR(AL100="",AE100="",AE100=0),"",AL100/AE100)</f>
        <v/>
      </c>
      <c r="AQ100" s="44">
        <f>IF(OR(AP100="",AO100=""),"",(AP100-AO100)*100)</f>
        <v/>
      </c>
      <c r="AR100" s="68" t="n">
        <v>21</v>
      </c>
      <c r="AS100" s="68" t="n">
        <v>46</v>
      </c>
      <c r="AT100" s="69">
        <f>IF(OR(AS100="",AR100="",AR100=0,AS100=0),"",AS100-AR100)</f>
        <v/>
      </c>
      <c r="AU100" s="42">
        <f>IF(OR(AS100="",AR100="",AR100=0,AS100=0),"",AS100/AR100-1)</f>
        <v/>
      </c>
      <c r="AV100" s="43">
        <f>IF(OR(AR100="",AK100="",AK100=0),"",AR100/AK100)</f>
        <v/>
      </c>
      <c r="AW100" s="43">
        <f>IF(OR(AS100="",AL100="",AL100=0),"",AS100/AL100)</f>
        <v/>
      </c>
      <c r="AX100" s="44">
        <f>IF(OR(AW100="",AV100=""),"",(AW100-AV100)*100)</f>
        <v/>
      </c>
      <c r="AY100" s="45">
        <f>IF(OR(AR100="",P100="",P100=0),"",AR100/P100)</f>
        <v/>
      </c>
      <c r="AZ100" s="45">
        <f>IF(OR(AS100="",Q100="",Q100=0),"",AS100/Q100)</f>
        <v/>
      </c>
      <c r="BA100" s="44">
        <f>IF(OR(AZ100="",AY100=""),"",(AZ100-AY100)*100)</f>
        <v/>
      </c>
      <c r="BB100" s="45">
        <f>IF(OR(AR100="",E100="",E100=0),"",AR100/E100)</f>
        <v/>
      </c>
      <c r="BC100" s="45">
        <f>IF(OR(AS100="",F100="",F100=0),"",AS100/F100)</f>
        <v/>
      </c>
      <c r="BD100" s="44">
        <f>IF(OR(BC100="",BB100=""),"",(BC100-BB100)*100)</f>
        <v/>
      </c>
      <c r="BE100" s="40">
        <f>IF(AND(F100&lt;&gt;"",E100&lt;&gt;""),"Both years",IF(F100&lt;&gt;"","1-23Aug26 rows only","1-23Aug25 rows only"))</f>
        <v/>
      </c>
    </row>
    <row r="101">
      <c r="A101" s="56" t="inlineStr">
        <is>
          <t>All landing pages</t>
        </is>
      </c>
      <c r="B101" s="56" t="inlineStr">
        <is>
          <t>Direct</t>
        </is>
      </c>
      <c r="C101" s="56" t="inlineStr">
        <is>
          <t>Desktop</t>
        </is>
      </c>
      <c r="D101" s="56" t="inlineStr">
        <is>
          <t>Belgium</t>
        </is>
      </c>
      <c r="E101" s="70" t="n"/>
      <c r="F101" s="68" t="n">
        <v>695</v>
      </c>
      <c r="G101" s="69">
        <f>IF(OR(F101="",E101="",E101=0,F101=0),"",F101-E101)</f>
        <v/>
      </c>
      <c r="H101" s="42">
        <f>IF(OR(F101="",E101="",E101=0,F101=0),"",F101/E101-1)</f>
        <v/>
      </c>
      <c r="I101" s="68" t="n">
        <v>91</v>
      </c>
      <c r="J101" s="68" t="n">
        <v>299</v>
      </c>
      <c r="K101" s="69">
        <f>IF(OR(J101="",I101="",I101=0,J101=0),"",J101-I101)</f>
        <v/>
      </c>
      <c r="L101" s="42">
        <f>IF(OR(J101="",I101="",I101=0,J101=0),"",J101/I101-1)</f>
        <v/>
      </c>
      <c r="M101" s="43">
        <f>IF(OR(I101="",E101="",E101=0),"",I101/E101)</f>
        <v/>
      </c>
      <c r="N101" s="43">
        <f>IF(OR(J101="",F101="",F101=0),"",J101/F101)</f>
        <v/>
      </c>
      <c r="O101" s="44">
        <f>IF(OR(N101="",M101=""),"",(N101-M101)*100)</f>
        <v/>
      </c>
      <c r="P101" s="70" t="n"/>
      <c r="Q101" s="68" t="n">
        <v>298</v>
      </c>
      <c r="R101" s="69">
        <f>IF(OR(Q101="",P101="",P101=0,Q101=0),"",Q101-P101)</f>
        <v/>
      </c>
      <c r="S101" s="42">
        <f>IF(OR(Q101="",P101="",P101=0,Q101=0),"",Q101/P101-1)</f>
        <v/>
      </c>
      <c r="T101" s="43">
        <f>IF(OR(P101="",E101="",E101=0),"",P101/E101)</f>
        <v/>
      </c>
      <c r="U101" s="43">
        <f>IF(OR(Q101="",F101="",F101=0),"",Q101/F101)</f>
        <v/>
      </c>
      <c r="V101" s="44">
        <f>IF(OR(U101="",T101=""),"",(U101-T101)*100)</f>
        <v/>
      </c>
      <c r="W101" s="68" t="n">
        <v>23</v>
      </c>
      <c r="X101" s="68" t="n">
        <v>70</v>
      </c>
      <c r="Y101" s="69">
        <f>IF(OR(X101="",W101="",W101=0,X101=0),"",X101-W101)</f>
        <v/>
      </c>
      <c r="Z101" s="42">
        <f>IF(OR(X101="",W101="",W101=0,X101=0),"",X101/W101-1)</f>
        <v/>
      </c>
      <c r="AA101" s="43">
        <f>IF(OR(W101="",P101="",P101=0),"",W101/P101)</f>
        <v/>
      </c>
      <c r="AB101" s="43">
        <f>IF(OR(X101="",Q101="",Q101=0),"",X101/Q101)</f>
        <v/>
      </c>
      <c r="AC101" s="44">
        <f>IF(OR(AB101="",AA101=""),"",(AB101-AA101)*100)</f>
        <v/>
      </c>
      <c r="AD101" s="68" t="n">
        <v>20</v>
      </c>
      <c r="AE101" s="68" t="n">
        <v>54</v>
      </c>
      <c r="AF101" s="69">
        <f>IF(OR(AE101="",AD101="",AD101=0,AE101=0),"",AE101-AD101)</f>
        <v/>
      </c>
      <c r="AG101" s="42">
        <f>IF(OR(AE101="",AD101="",AD101=0,AE101=0),"",AE101/AD101-1)</f>
        <v/>
      </c>
      <c r="AH101" s="43">
        <f>IF(OR(AD101="",W101="",W101=0),"",AD101/W101)</f>
        <v/>
      </c>
      <c r="AI101" s="43">
        <f>IF(OR(AE101="",X101="",X101=0),"",AE101/X101)</f>
        <v/>
      </c>
      <c r="AJ101" s="44">
        <f>IF(OR(AI101="",AH101=""),"",(AI101-AH101)*100)</f>
        <v/>
      </c>
      <c r="AK101" s="68" t="n">
        <v>11</v>
      </c>
      <c r="AL101" s="68" t="n">
        <v>21</v>
      </c>
      <c r="AM101" s="69">
        <f>IF(OR(AL101="",AK101="",AK101=0,AL101=0),"",AL101-AK101)</f>
        <v/>
      </c>
      <c r="AN101" s="42">
        <f>IF(OR(AL101="",AK101="",AK101=0,AL101=0),"",AL101/AK101-1)</f>
        <v/>
      </c>
      <c r="AO101" s="43">
        <f>IF(OR(AK101="",AD101="",AD101=0),"",AK101/AD101)</f>
        <v/>
      </c>
      <c r="AP101" s="43">
        <f>IF(OR(AL101="",AE101="",AE101=0),"",AL101/AE101)</f>
        <v/>
      </c>
      <c r="AQ101" s="44">
        <f>IF(OR(AP101="",AO101=""),"",(AP101-AO101)*100)</f>
        <v/>
      </c>
      <c r="AR101" s="68" t="n">
        <v>11</v>
      </c>
      <c r="AS101" s="68" t="n">
        <v>19</v>
      </c>
      <c r="AT101" s="69">
        <f>IF(OR(AS101="",AR101="",AR101=0,AS101=0),"",AS101-AR101)</f>
        <v/>
      </c>
      <c r="AU101" s="42">
        <f>IF(OR(AS101="",AR101="",AR101=0,AS101=0),"",AS101/AR101-1)</f>
        <v/>
      </c>
      <c r="AV101" s="43">
        <f>IF(OR(AR101="",AK101="",AK101=0),"",AR101/AK101)</f>
        <v/>
      </c>
      <c r="AW101" s="43">
        <f>IF(OR(AS101="",AL101="",AL101=0),"",AS101/AL101)</f>
        <v/>
      </c>
      <c r="AX101" s="44">
        <f>IF(OR(AW101="",AV101=""),"",(AW101-AV101)*100)</f>
        <v/>
      </c>
      <c r="AY101" s="45">
        <f>IF(OR(AR101="",P101="",P101=0),"",AR101/P101)</f>
        <v/>
      </c>
      <c r="AZ101" s="45">
        <f>IF(OR(AS101="",Q101="",Q101=0),"",AS101/Q101)</f>
        <v/>
      </c>
      <c r="BA101" s="44">
        <f>IF(OR(AZ101="",AY101=""),"",(AZ101-AY101)*100)</f>
        <v/>
      </c>
      <c r="BB101" s="45">
        <f>IF(OR(AR101="",E101="",E101=0),"",AR101/E101)</f>
        <v/>
      </c>
      <c r="BC101" s="45">
        <f>IF(OR(AS101="",F101="",F101=0),"",AS101/F101)</f>
        <v/>
      </c>
      <c r="BD101" s="44">
        <f>IF(OR(BC101="",BB101=""),"",(BC101-BB101)*100)</f>
        <v/>
      </c>
      <c r="BE101" s="40">
        <f>IF(AND(F101&lt;&gt;"",E101&lt;&gt;""),"Both years",IF(F101&lt;&gt;"","1-23Aug26 rows only","1-23Aug25 rows only"))</f>
        <v/>
      </c>
    </row>
    <row r="102">
      <c r="A102" s="40" t="inlineStr">
        <is>
          <t>All landing pages</t>
        </is>
      </c>
      <c r="B102" s="40" t="inlineStr">
        <is>
          <t>Direct</t>
        </is>
      </c>
      <c r="C102" s="40" t="inlineStr">
        <is>
          <t>Desktop</t>
        </is>
      </c>
      <c r="D102" s="40" t="inlineStr">
        <is>
          <t>Sweden</t>
        </is>
      </c>
      <c r="E102" s="70" t="n"/>
      <c r="F102" s="68" t="n">
        <v>462</v>
      </c>
      <c r="G102" s="69">
        <f>IF(OR(F102="",E102="",E102=0,F102=0),"",F102-E102)</f>
        <v/>
      </c>
      <c r="H102" s="42">
        <f>IF(OR(F102="",E102="",E102=0,F102=0),"",F102/E102-1)</f>
        <v/>
      </c>
      <c r="I102" s="68" t="n">
        <v>90</v>
      </c>
      <c r="J102" s="68" t="n">
        <v>186</v>
      </c>
      <c r="K102" s="69">
        <f>IF(OR(J102="",I102="",I102=0,J102=0),"",J102-I102)</f>
        <v/>
      </c>
      <c r="L102" s="42">
        <f>IF(OR(J102="",I102="",I102=0,J102=0),"",J102/I102-1)</f>
        <v/>
      </c>
      <c r="M102" s="43">
        <f>IF(OR(I102="",E102="",E102=0),"",I102/E102)</f>
        <v/>
      </c>
      <c r="N102" s="43">
        <f>IF(OR(J102="",F102="",F102=0),"",J102/F102)</f>
        <v/>
      </c>
      <c r="O102" s="44">
        <f>IF(OR(N102="",M102=""),"",(N102-M102)*100)</f>
        <v/>
      </c>
      <c r="P102" s="70" t="n"/>
      <c r="Q102" s="68" t="n">
        <v>223</v>
      </c>
      <c r="R102" s="69">
        <f>IF(OR(Q102="",P102="",P102=0,Q102=0),"",Q102-P102)</f>
        <v/>
      </c>
      <c r="S102" s="42">
        <f>IF(OR(Q102="",P102="",P102=0,Q102=0),"",Q102/P102-1)</f>
        <v/>
      </c>
      <c r="T102" s="43">
        <f>IF(OR(P102="",E102="",E102=0),"",P102/E102)</f>
        <v/>
      </c>
      <c r="U102" s="43">
        <f>IF(OR(Q102="",F102="",F102=0),"",Q102/F102)</f>
        <v/>
      </c>
      <c r="V102" s="44">
        <f>IF(OR(U102="",T102=""),"",(U102-T102)*100)</f>
        <v/>
      </c>
      <c r="W102" s="68" t="n">
        <v>39</v>
      </c>
      <c r="X102" s="68" t="n">
        <v>66</v>
      </c>
      <c r="Y102" s="69">
        <f>IF(OR(X102="",W102="",W102=0,X102=0),"",X102-W102)</f>
        <v/>
      </c>
      <c r="Z102" s="42">
        <f>IF(OR(X102="",W102="",W102=0,X102=0),"",X102/W102-1)</f>
        <v/>
      </c>
      <c r="AA102" s="43">
        <f>IF(OR(W102="",P102="",P102=0),"",W102/P102)</f>
        <v/>
      </c>
      <c r="AB102" s="43">
        <f>IF(OR(X102="",Q102="",Q102=0),"",X102/Q102)</f>
        <v/>
      </c>
      <c r="AC102" s="44">
        <f>IF(OR(AB102="",AA102=""),"",(AB102-AA102)*100)</f>
        <v/>
      </c>
      <c r="AD102" s="68" t="n">
        <v>37</v>
      </c>
      <c r="AE102" s="68" t="n">
        <v>54</v>
      </c>
      <c r="AF102" s="69">
        <f>IF(OR(AE102="",AD102="",AD102=0,AE102=0),"",AE102-AD102)</f>
        <v/>
      </c>
      <c r="AG102" s="42">
        <f>IF(OR(AE102="",AD102="",AD102=0,AE102=0),"",AE102/AD102-1)</f>
        <v/>
      </c>
      <c r="AH102" s="43">
        <f>IF(OR(AD102="",W102="",W102=0),"",AD102/W102)</f>
        <v/>
      </c>
      <c r="AI102" s="43">
        <f>IF(OR(AE102="",X102="",X102=0),"",AE102/X102)</f>
        <v/>
      </c>
      <c r="AJ102" s="44">
        <f>IF(OR(AI102="",AH102=""),"",(AI102-AH102)*100)</f>
        <v/>
      </c>
      <c r="AK102" s="68" t="n">
        <v>24</v>
      </c>
      <c r="AL102" s="68" t="n">
        <v>21</v>
      </c>
      <c r="AM102" s="69">
        <f>IF(OR(AL102="",AK102="",AK102=0,AL102=0),"",AL102-AK102)</f>
        <v/>
      </c>
      <c r="AN102" s="42">
        <f>IF(OR(AL102="",AK102="",AK102=0,AL102=0),"",AL102/AK102-1)</f>
        <v/>
      </c>
      <c r="AO102" s="43">
        <f>IF(OR(AK102="",AD102="",AD102=0),"",AK102/AD102)</f>
        <v/>
      </c>
      <c r="AP102" s="43">
        <f>IF(OR(AL102="",AE102="",AE102=0),"",AL102/AE102)</f>
        <v/>
      </c>
      <c r="AQ102" s="44">
        <f>IF(OR(AP102="",AO102=""),"",(AP102-AO102)*100)</f>
        <v/>
      </c>
      <c r="AR102" s="68" t="n">
        <v>33</v>
      </c>
      <c r="AS102" s="68" t="n">
        <v>30</v>
      </c>
      <c r="AT102" s="69">
        <f>IF(OR(AS102="",AR102="",AR102=0,AS102=0),"",AS102-AR102)</f>
        <v/>
      </c>
      <c r="AU102" s="42">
        <f>IF(OR(AS102="",AR102="",AR102=0,AS102=0),"",AS102/AR102-1)</f>
        <v/>
      </c>
      <c r="AV102" s="43">
        <f>IF(OR(AR102="",AK102="",AK102=0),"",AR102/AK102)</f>
        <v/>
      </c>
      <c r="AW102" s="43">
        <f>IF(OR(AS102="",AL102="",AL102=0),"",AS102/AL102)</f>
        <v/>
      </c>
      <c r="AX102" s="44">
        <f>IF(OR(AW102="",AV102=""),"",(AW102-AV102)*100)</f>
        <v/>
      </c>
      <c r="AY102" s="45">
        <f>IF(OR(AR102="",P102="",P102=0),"",AR102/P102)</f>
        <v/>
      </c>
      <c r="AZ102" s="45">
        <f>IF(OR(AS102="",Q102="",Q102=0),"",AS102/Q102)</f>
        <v/>
      </c>
      <c r="BA102" s="44">
        <f>IF(OR(AZ102="",AY102=""),"",(AZ102-AY102)*100)</f>
        <v/>
      </c>
      <c r="BB102" s="45">
        <f>IF(OR(AR102="",E102="",E102=0),"",AR102/E102)</f>
        <v/>
      </c>
      <c r="BC102" s="45">
        <f>IF(OR(AS102="",F102="",F102=0),"",AS102/F102)</f>
        <v/>
      </c>
      <c r="BD102" s="44">
        <f>IF(OR(BC102="",BB102=""),"",(BC102-BB102)*100)</f>
        <v/>
      </c>
      <c r="BE102" s="40">
        <f>IF(AND(F102&lt;&gt;"",E102&lt;&gt;""),"Both years",IF(F102&lt;&gt;"","1-23Aug26 rows only","1-23Aug25 rows only"))</f>
        <v/>
      </c>
    </row>
    <row r="103">
      <c r="A103" s="56" t="inlineStr">
        <is>
          <t>All landing pages</t>
        </is>
      </c>
      <c r="B103" s="56" t="inlineStr">
        <is>
          <t>Direct</t>
        </is>
      </c>
      <c r="C103" s="56" t="inlineStr">
        <is>
          <t>Desktop</t>
        </is>
      </c>
      <c r="D103" s="56" t="inlineStr">
        <is>
          <t>Portugal</t>
        </is>
      </c>
      <c r="E103" s="68" t="n">
        <v>222</v>
      </c>
      <c r="F103" s="68" t="n">
        <v>451</v>
      </c>
      <c r="G103" s="69">
        <f>IF(OR(F103="",E103="",E103=0,F103=0),"",F103-E103)</f>
        <v/>
      </c>
      <c r="H103" s="42">
        <f>IF(OR(F103="",E103="",E103=0,F103=0),"",F103/E103-1)</f>
        <v/>
      </c>
      <c r="I103" s="70" t="n"/>
      <c r="J103" s="70" t="n"/>
      <c r="K103" s="69">
        <f>IF(OR(J103="",I103="",I103=0,J103=0),"",J103-I103)</f>
        <v/>
      </c>
      <c r="L103" s="42">
        <f>IF(OR(J103="",I103="",I103=0,J103=0),"",J103/I103-1)</f>
        <v/>
      </c>
      <c r="M103" s="43">
        <f>IF(OR(I103="",E103="",E103=0),"",I103/E103)</f>
        <v/>
      </c>
      <c r="N103" s="43">
        <f>IF(OR(J103="",F103="",F103=0),"",J103/F103)</f>
        <v/>
      </c>
      <c r="O103" s="44">
        <f>IF(OR(N103="",M103=""),"",(N103-M103)*100)</f>
        <v/>
      </c>
      <c r="P103" s="70" t="n"/>
      <c r="Q103" s="68" t="n">
        <v>229</v>
      </c>
      <c r="R103" s="69">
        <f>IF(OR(Q103="",P103="",P103=0,Q103=0),"",Q103-P103)</f>
        <v/>
      </c>
      <c r="S103" s="42">
        <f>IF(OR(Q103="",P103="",P103=0,Q103=0),"",Q103/P103-1)</f>
        <v/>
      </c>
      <c r="T103" s="43">
        <f>IF(OR(P103="",E103="",E103=0),"",P103/E103)</f>
        <v/>
      </c>
      <c r="U103" s="43">
        <f>IF(OR(Q103="",F103="",F103=0),"",Q103/F103)</f>
        <v/>
      </c>
      <c r="V103" s="44">
        <f>IF(OR(U103="",T103=""),"",(U103-T103)*100)</f>
        <v/>
      </c>
      <c r="W103" s="70" t="n"/>
      <c r="X103" s="70" t="n"/>
      <c r="Y103" s="69">
        <f>IF(OR(X103="",W103="",W103=0,X103=0),"",X103-W103)</f>
        <v/>
      </c>
      <c r="Z103" s="42">
        <f>IF(OR(X103="",W103="",W103=0,X103=0),"",X103/W103-1)</f>
        <v/>
      </c>
      <c r="AA103" s="43">
        <f>IF(OR(W103="",P103="",P103=0),"",W103/P103)</f>
        <v/>
      </c>
      <c r="AB103" s="43">
        <f>IF(OR(X103="",Q103="",Q103=0),"",X103/Q103)</f>
        <v/>
      </c>
      <c r="AC103" s="44">
        <f>IF(OR(AB103="",AA103=""),"",(AB103-AA103)*100)</f>
        <v/>
      </c>
      <c r="AD103" s="70" t="n"/>
      <c r="AE103" s="70" t="n"/>
      <c r="AF103" s="69">
        <f>IF(OR(AE103="",AD103="",AD103=0,AE103=0),"",AE103-AD103)</f>
        <v/>
      </c>
      <c r="AG103" s="42">
        <f>IF(OR(AE103="",AD103="",AD103=0,AE103=0),"",AE103/AD103-1)</f>
        <v/>
      </c>
      <c r="AH103" s="43">
        <f>IF(OR(AD103="",W103="",W103=0),"",AD103/W103)</f>
        <v/>
      </c>
      <c r="AI103" s="43">
        <f>IF(OR(AE103="",X103="",X103=0),"",AE103/X103)</f>
        <v/>
      </c>
      <c r="AJ103" s="44">
        <f>IF(OR(AI103="",AH103=""),"",(AI103-AH103)*100)</f>
        <v/>
      </c>
      <c r="AK103" s="70" t="n"/>
      <c r="AL103" s="70" t="n"/>
      <c r="AM103" s="69">
        <f>IF(OR(AL103="",AK103="",AK103=0,AL103=0),"",AL103-AK103)</f>
        <v/>
      </c>
      <c r="AN103" s="42">
        <f>IF(OR(AL103="",AK103="",AK103=0,AL103=0),"",AL103/AK103-1)</f>
        <v/>
      </c>
      <c r="AO103" s="43">
        <f>IF(OR(AK103="",AD103="",AD103=0),"",AK103/AD103)</f>
        <v/>
      </c>
      <c r="AP103" s="43">
        <f>IF(OR(AL103="",AE103="",AE103=0),"",AL103/AE103)</f>
        <v/>
      </c>
      <c r="AQ103" s="44">
        <f>IF(OR(AP103="",AO103=""),"",(AP103-AO103)*100)</f>
        <v/>
      </c>
      <c r="AR103" s="70" t="n"/>
      <c r="AS103" s="70" t="n"/>
      <c r="AT103" s="69">
        <f>IF(OR(AS103="",AR103="",AR103=0,AS103=0),"",AS103-AR103)</f>
        <v/>
      </c>
      <c r="AU103" s="42">
        <f>IF(OR(AS103="",AR103="",AR103=0,AS103=0),"",AS103/AR103-1)</f>
        <v/>
      </c>
      <c r="AV103" s="43">
        <f>IF(OR(AR103="",AK103="",AK103=0),"",AR103/AK103)</f>
        <v/>
      </c>
      <c r="AW103" s="43">
        <f>IF(OR(AS103="",AL103="",AL103=0),"",AS103/AL103)</f>
        <v/>
      </c>
      <c r="AX103" s="44">
        <f>IF(OR(AW103="",AV103=""),"",(AW103-AV103)*100)</f>
        <v/>
      </c>
      <c r="AY103" s="45">
        <f>IF(OR(AR103="",P103="",P103=0),"",AR103/P103)</f>
        <v/>
      </c>
      <c r="AZ103" s="45">
        <f>IF(OR(AS103="",Q103="",Q103=0),"",AS103/Q103)</f>
        <v/>
      </c>
      <c r="BA103" s="44">
        <f>IF(OR(AZ103="",AY103=""),"",(AZ103-AY103)*100)</f>
        <v/>
      </c>
      <c r="BB103" s="45">
        <f>IF(OR(AR103="",E103="",E103=0),"",AR103/E103)</f>
        <v/>
      </c>
      <c r="BC103" s="45">
        <f>IF(OR(AS103="",F103="",F103=0),"",AS103/F103)</f>
        <v/>
      </c>
      <c r="BD103" s="44">
        <f>IF(OR(BC103="",BB103=""),"",(BC103-BB103)*100)</f>
        <v/>
      </c>
      <c r="BE103" s="40">
        <f>IF(AND(F103&lt;&gt;"",E103&lt;&gt;""),"Both years",IF(F103&lt;&gt;"","1-23Aug26 rows only","1-23Aug25 rows only"))</f>
        <v/>
      </c>
    </row>
    <row r="104">
      <c r="A104" s="40" t="inlineStr">
        <is>
          <t>All landing pages</t>
        </is>
      </c>
      <c r="B104" s="40" t="inlineStr">
        <is>
          <t>Direct</t>
        </is>
      </c>
      <c r="C104" s="40" t="inlineStr">
        <is>
          <t>Desktop</t>
        </is>
      </c>
      <c r="D104" s="40" t="inlineStr">
        <is>
          <t>Romania</t>
        </is>
      </c>
      <c r="E104" s="68" t="n">
        <v>218</v>
      </c>
      <c r="F104" s="68" t="n">
        <v>449</v>
      </c>
      <c r="G104" s="69">
        <f>IF(OR(F104="",E104="",E104=0,F104=0),"",F104-E104)</f>
        <v/>
      </c>
      <c r="H104" s="42">
        <f>IF(OR(F104="",E104="",E104=0,F104=0),"",F104/E104-1)</f>
        <v/>
      </c>
      <c r="I104" s="70" t="n"/>
      <c r="J104" s="70" t="n"/>
      <c r="K104" s="69">
        <f>IF(OR(J104="",I104="",I104=0,J104=0),"",J104-I104)</f>
        <v/>
      </c>
      <c r="L104" s="42">
        <f>IF(OR(J104="",I104="",I104=0,J104=0),"",J104/I104-1)</f>
        <v/>
      </c>
      <c r="M104" s="43">
        <f>IF(OR(I104="",E104="",E104=0),"",I104/E104)</f>
        <v/>
      </c>
      <c r="N104" s="43">
        <f>IF(OR(J104="",F104="",F104=0),"",J104/F104)</f>
        <v/>
      </c>
      <c r="O104" s="44">
        <f>IF(OR(N104="",M104=""),"",(N104-M104)*100)</f>
        <v/>
      </c>
      <c r="P104" s="68" t="n">
        <v>90</v>
      </c>
      <c r="Q104" s="70" t="n"/>
      <c r="R104" s="69">
        <f>IF(OR(Q104="",P104="",P104=0,Q104=0),"",Q104-P104)</f>
        <v/>
      </c>
      <c r="S104" s="42">
        <f>IF(OR(Q104="",P104="",P104=0,Q104=0),"",Q104/P104-1)</f>
        <v/>
      </c>
      <c r="T104" s="43">
        <f>IF(OR(P104="",E104="",E104=0),"",P104/E104)</f>
        <v/>
      </c>
      <c r="U104" s="43">
        <f>IF(OR(Q104="",F104="",F104=0),"",Q104/F104)</f>
        <v/>
      </c>
      <c r="V104" s="44">
        <f>IF(OR(U104="",T104=""),"",(U104-T104)*100)</f>
        <v/>
      </c>
      <c r="W104" s="70" t="n"/>
      <c r="X104" s="70" t="n"/>
      <c r="Y104" s="69">
        <f>IF(OR(X104="",W104="",W104=0,X104=0),"",X104-W104)</f>
        <v/>
      </c>
      <c r="Z104" s="42">
        <f>IF(OR(X104="",W104="",W104=0,X104=0),"",X104/W104-1)</f>
        <v/>
      </c>
      <c r="AA104" s="43">
        <f>IF(OR(W104="",P104="",P104=0),"",W104/P104)</f>
        <v/>
      </c>
      <c r="AB104" s="43">
        <f>IF(OR(X104="",Q104="",Q104=0),"",X104/Q104)</f>
        <v/>
      </c>
      <c r="AC104" s="44">
        <f>IF(OR(AB104="",AA104=""),"",(AB104-AA104)*100)</f>
        <v/>
      </c>
      <c r="AD104" s="70" t="n"/>
      <c r="AE104" s="70" t="n"/>
      <c r="AF104" s="69">
        <f>IF(OR(AE104="",AD104="",AD104=0,AE104=0),"",AE104-AD104)</f>
        <v/>
      </c>
      <c r="AG104" s="42">
        <f>IF(OR(AE104="",AD104="",AD104=0,AE104=0),"",AE104/AD104-1)</f>
        <v/>
      </c>
      <c r="AH104" s="43">
        <f>IF(OR(AD104="",W104="",W104=0),"",AD104/W104)</f>
        <v/>
      </c>
      <c r="AI104" s="43">
        <f>IF(OR(AE104="",X104="",X104=0),"",AE104/X104)</f>
        <v/>
      </c>
      <c r="AJ104" s="44">
        <f>IF(OR(AI104="",AH104=""),"",(AI104-AH104)*100)</f>
        <v/>
      </c>
      <c r="AK104" s="70" t="n"/>
      <c r="AL104" s="70" t="n"/>
      <c r="AM104" s="69">
        <f>IF(OR(AL104="",AK104="",AK104=0,AL104=0),"",AL104-AK104)</f>
        <v/>
      </c>
      <c r="AN104" s="42">
        <f>IF(OR(AL104="",AK104="",AK104=0,AL104=0),"",AL104/AK104-1)</f>
        <v/>
      </c>
      <c r="AO104" s="43">
        <f>IF(OR(AK104="",AD104="",AD104=0),"",AK104/AD104)</f>
        <v/>
      </c>
      <c r="AP104" s="43">
        <f>IF(OR(AL104="",AE104="",AE104=0),"",AL104/AE104)</f>
        <v/>
      </c>
      <c r="AQ104" s="44">
        <f>IF(OR(AP104="",AO104=""),"",(AP104-AO104)*100)</f>
        <v/>
      </c>
      <c r="AR104" s="70" t="n"/>
      <c r="AS104" s="70" t="n"/>
      <c r="AT104" s="69">
        <f>IF(OR(AS104="",AR104="",AR104=0,AS104=0),"",AS104-AR104)</f>
        <v/>
      </c>
      <c r="AU104" s="42">
        <f>IF(OR(AS104="",AR104="",AR104=0,AS104=0),"",AS104/AR104-1)</f>
        <v/>
      </c>
      <c r="AV104" s="43">
        <f>IF(OR(AR104="",AK104="",AK104=0),"",AR104/AK104)</f>
        <v/>
      </c>
      <c r="AW104" s="43">
        <f>IF(OR(AS104="",AL104="",AL104=0),"",AS104/AL104)</f>
        <v/>
      </c>
      <c r="AX104" s="44">
        <f>IF(OR(AW104="",AV104=""),"",(AW104-AV104)*100)</f>
        <v/>
      </c>
      <c r="AY104" s="45">
        <f>IF(OR(AR104="",P104="",P104=0),"",AR104/P104)</f>
        <v/>
      </c>
      <c r="AZ104" s="45">
        <f>IF(OR(AS104="",Q104="",Q104=0),"",AS104/Q104)</f>
        <v/>
      </c>
      <c r="BA104" s="44">
        <f>IF(OR(AZ104="",AY104=""),"",(AZ104-AY104)*100)</f>
        <v/>
      </c>
      <c r="BB104" s="45">
        <f>IF(OR(AR104="",E104="",E104=0),"",AR104/E104)</f>
        <v/>
      </c>
      <c r="BC104" s="45">
        <f>IF(OR(AS104="",F104="",F104=0),"",AS104/F104)</f>
        <v/>
      </c>
      <c r="BD104" s="44">
        <f>IF(OR(BC104="",BB104=""),"",(BC104-BB104)*100)</f>
        <v/>
      </c>
      <c r="BE104" s="40">
        <f>IF(AND(F104&lt;&gt;"",E104&lt;&gt;""),"Both years",IF(F104&lt;&gt;"","1-23Aug26 rows only","1-23Aug25 rows only"))</f>
        <v/>
      </c>
    </row>
    <row r="105">
      <c r="A105" s="56" t="inlineStr">
        <is>
          <t>All landing pages</t>
        </is>
      </c>
      <c r="B105" s="56" t="inlineStr">
        <is>
          <t>Direct</t>
        </is>
      </c>
      <c r="C105" s="56" t="inlineStr">
        <is>
          <t>Desktop</t>
        </is>
      </c>
      <c r="D105" s="56" t="inlineStr">
        <is>
          <t>Austria</t>
        </is>
      </c>
      <c r="E105" s="70" t="n"/>
      <c r="F105" s="68" t="n">
        <v>390</v>
      </c>
      <c r="G105" s="69">
        <f>IF(OR(F105="",E105="",E105=0,F105=0),"",F105-E105)</f>
        <v/>
      </c>
      <c r="H105" s="42">
        <f>IF(OR(F105="",E105="",E105=0,F105=0),"",F105/E105-1)</f>
        <v/>
      </c>
      <c r="I105" s="70" t="n"/>
      <c r="J105" s="70" t="n"/>
      <c r="K105" s="69">
        <f>IF(OR(J105="",I105="",I105=0,J105=0),"",J105-I105)</f>
        <v/>
      </c>
      <c r="L105" s="42">
        <f>IF(OR(J105="",I105="",I105=0,J105=0),"",J105/I105-1)</f>
        <v/>
      </c>
      <c r="M105" s="43">
        <f>IF(OR(I105="",E105="",E105=0),"",I105/E105)</f>
        <v/>
      </c>
      <c r="N105" s="43">
        <f>IF(OR(J105="",F105="",F105=0),"",J105/F105)</f>
        <v/>
      </c>
      <c r="O105" s="44">
        <f>IF(OR(N105="",M105=""),"",(N105-M105)*100)</f>
        <v/>
      </c>
      <c r="P105" s="70" t="n"/>
      <c r="Q105" s="68" t="n">
        <v>180</v>
      </c>
      <c r="R105" s="69">
        <f>IF(OR(Q105="",P105="",P105=0,Q105=0),"",Q105-P105)</f>
        <v/>
      </c>
      <c r="S105" s="42">
        <f>IF(OR(Q105="",P105="",P105=0,Q105=0),"",Q105/P105-1)</f>
        <v/>
      </c>
      <c r="T105" s="43">
        <f>IF(OR(P105="",E105="",E105=0),"",P105/E105)</f>
        <v/>
      </c>
      <c r="U105" s="43">
        <f>IF(OR(Q105="",F105="",F105=0),"",Q105/F105)</f>
        <v/>
      </c>
      <c r="V105" s="44">
        <f>IF(OR(U105="",T105=""),"",(U105-T105)*100)</f>
        <v/>
      </c>
      <c r="W105" s="70" t="n"/>
      <c r="X105" s="70" t="n"/>
      <c r="Y105" s="69">
        <f>IF(OR(X105="",W105="",W105=0,X105=0),"",X105-W105)</f>
        <v/>
      </c>
      <c r="Z105" s="42">
        <f>IF(OR(X105="",W105="",W105=0,X105=0),"",X105/W105-1)</f>
        <v/>
      </c>
      <c r="AA105" s="43">
        <f>IF(OR(W105="",P105="",P105=0),"",W105/P105)</f>
        <v/>
      </c>
      <c r="AB105" s="43">
        <f>IF(OR(X105="",Q105="",Q105=0),"",X105/Q105)</f>
        <v/>
      </c>
      <c r="AC105" s="44">
        <f>IF(OR(AB105="",AA105=""),"",(AB105-AA105)*100)</f>
        <v/>
      </c>
      <c r="AD105" s="70" t="n"/>
      <c r="AE105" s="70" t="n"/>
      <c r="AF105" s="69">
        <f>IF(OR(AE105="",AD105="",AD105=0,AE105=0),"",AE105-AD105)</f>
        <v/>
      </c>
      <c r="AG105" s="42">
        <f>IF(OR(AE105="",AD105="",AD105=0,AE105=0),"",AE105/AD105-1)</f>
        <v/>
      </c>
      <c r="AH105" s="43">
        <f>IF(OR(AD105="",W105="",W105=0),"",AD105/W105)</f>
        <v/>
      </c>
      <c r="AI105" s="43">
        <f>IF(OR(AE105="",X105="",X105=0),"",AE105/X105)</f>
        <v/>
      </c>
      <c r="AJ105" s="44">
        <f>IF(OR(AI105="",AH105=""),"",(AI105-AH105)*100)</f>
        <v/>
      </c>
      <c r="AK105" s="70" t="n"/>
      <c r="AL105" s="70" t="n"/>
      <c r="AM105" s="69">
        <f>IF(OR(AL105="",AK105="",AK105=0,AL105=0),"",AL105-AK105)</f>
        <v/>
      </c>
      <c r="AN105" s="42">
        <f>IF(OR(AL105="",AK105="",AK105=0,AL105=0),"",AL105/AK105-1)</f>
        <v/>
      </c>
      <c r="AO105" s="43">
        <f>IF(OR(AK105="",AD105="",AD105=0),"",AK105/AD105)</f>
        <v/>
      </c>
      <c r="AP105" s="43">
        <f>IF(OR(AL105="",AE105="",AE105=0),"",AL105/AE105)</f>
        <v/>
      </c>
      <c r="AQ105" s="44">
        <f>IF(OR(AP105="",AO105=""),"",(AP105-AO105)*100)</f>
        <v/>
      </c>
      <c r="AR105" s="70" t="n"/>
      <c r="AS105" s="70" t="n"/>
      <c r="AT105" s="69">
        <f>IF(OR(AS105="",AR105="",AR105=0,AS105=0),"",AS105-AR105)</f>
        <v/>
      </c>
      <c r="AU105" s="42">
        <f>IF(OR(AS105="",AR105="",AR105=0,AS105=0),"",AS105/AR105-1)</f>
        <v/>
      </c>
      <c r="AV105" s="43">
        <f>IF(OR(AR105="",AK105="",AK105=0),"",AR105/AK105)</f>
        <v/>
      </c>
      <c r="AW105" s="43">
        <f>IF(OR(AS105="",AL105="",AL105=0),"",AS105/AL105)</f>
        <v/>
      </c>
      <c r="AX105" s="44">
        <f>IF(OR(AW105="",AV105=""),"",(AW105-AV105)*100)</f>
        <v/>
      </c>
      <c r="AY105" s="45">
        <f>IF(OR(AR105="",P105="",P105=0),"",AR105/P105)</f>
        <v/>
      </c>
      <c r="AZ105" s="45">
        <f>IF(OR(AS105="",Q105="",Q105=0),"",AS105/Q105)</f>
        <v/>
      </c>
      <c r="BA105" s="44">
        <f>IF(OR(AZ105="",AY105=""),"",(AZ105-AY105)*100)</f>
        <v/>
      </c>
      <c r="BB105" s="45">
        <f>IF(OR(AR105="",E105="",E105=0),"",AR105/E105)</f>
        <v/>
      </c>
      <c r="BC105" s="45">
        <f>IF(OR(AS105="",F105="",F105=0),"",AS105/F105)</f>
        <v/>
      </c>
      <c r="BD105" s="44">
        <f>IF(OR(BC105="",BB105=""),"",(BC105-BB105)*100)</f>
        <v/>
      </c>
      <c r="BE105" s="40">
        <f>IF(AND(F105&lt;&gt;"",E105&lt;&gt;""),"Both years",IF(F105&lt;&gt;"","1-23Aug26 rows only","1-23Aug25 rows only"))</f>
        <v/>
      </c>
    </row>
    <row r="106">
      <c r="A106" s="40" t="inlineStr">
        <is>
          <t>All landing pages</t>
        </is>
      </c>
      <c r="B106" s="40" t="inlineStr">
        <is>
          <t>Direct</t>
        </is>
      </c>
      <c r="C106" s="40" t="inlineStr">
        <is>
          <t>Desktop</t>
        </is>
      </c>
      <c r="D106" s="40" t="inlineStr">
        <is>
          <t>Canada</t>
        </is>
      </c>
      <c r="E106" s="68" t="n">
        <v>328</v>
      </c>
      <c r="F106" s="70" t="n"/>
      <c r="G106" s="69">
        <f>IF(OR(F106="",E106="",E106=0,F106=0),"",F106-E106)</f>
        <v/>
      </c>
      <c r="H106" s="42">
        <f>IF(OR(F106="",E106="",E106=0,F106=0),"",F106/E106-1)</f>
        <v/>
      </c>
      <c r="I106" s="70" t="n"/>
      <c r="J106" s="70" t="n"/>
      <c r="K106" s="69">
        <f>IF(OR(J106="",I106="",I106=0,J106=0),"",J106-I106)</f>
        <v/>
      </c>
      <c r="L106" s="42">
        <f>IF(OR(J106="",I106="",I106=0,J106=0),"",J106/I106-1)</f>
        <v/>
      </c>
      <c r="M106" s="43">
        <f>IF(OR(I106="",E106="",E106=0),"",I106/E106)</f>
        <v/>
      </c>
      <c r="N106" s="43">
        <f>IF(OR(J106="",F106="",F106=0),"",J106/F106)</f>
        <v/>
      </c>
      <c r="O106" s="44">
        <f>IF(OR(N106="",M106=""),"",(N106-M106)*100)</f>
        <v/>
      </c>
      <c r="P106" s="68" t="n">
        <v>138</v>
      </c>
      <c r="Q106" s="70" t="n"/>
      <c r="R106" s="69">
        <f>IF(OR(Q106="",P106="",P106=0,Q106=0),"",Q106-P106)</f>
        <v/>
      </c>
      <c r="S106" s="42">
        <f>IF(OR(Q106="",P106="",P106=0,Q106=0),"",Q106/P106-1)</f>
        <v/>
      </c>
      <c r="T106" s="43">
        <f>IF(OR(P106="",E106="",E106=0),"",P106/E106)</f>
        <v/>
      </c>
      <c r="U106" s="43">
        <f>IF(OR(Q106="",F106="",F106=0),"",Q106/F106)</f>
        <v/>
      </c>
      <c r="V106" s="44">
        <f>IF(OR(U106="",T106=""),"",(U106-T106)*100)</f>
        <v/>
      </c>
      <c r="W106" s="70" t="n"/>
      <c r="X106" s="70" t="n"/>
      <c r="Y106" s="69">
        <f>IF(OR(X106="",W106="",W106=0,X106=0),"",X106-W106)</f>
        <v/>
      </c>
      <c r="Z106" s="42">
        <f>IF(OR(X106="",W106="",W106=0,X106=0),"",X106/W106-1)</f>
        <v/>
      </c>
      <c r="AA106" s="43">
        <f>IF(OR(W106="",P106="",P106=0),"",W106/P106)</f>
        <v/>
      </c>
      <c r="AB106" s="43">
        <f>IF(OR(X106="",Q106="",Q106=0),"",X106/Q106)</f>
        <v/>
      </c>
      <c r="AC106" s="44">
        <f>IF(OR(AB106="",AA106=""),"",(AB106-AA106)*100)</f>
        <v/>
      </c>
      <c r="AD106" s="70" t="n"/>
      <c r="AE106" s="70" t="n"/>
      <c r="AF106" s="69">
        <f>IF(OR(AE106="",AD106="",AD106=0,AE106=0),"",AE106-AD106)</f>
        <v/>
      </c>
      <c r="AG106" s="42">
        <f>IF(OR(AE106="",AD106="",AD106=0,AE106=0),"",AE106/AD106-1)</f>
        <v/>
      </c>
      <c r="AH106" s="43">
        <f>IF(OR(AD106="",W106="",W106=0),"",AD106/W106)</f>
        <v/>
      </c>
      <c r="AI106" s="43">
        <f>IF(OR(AE106="",X106="",X106=0),"",AE106/X106)</f>
        <v/>
      </c>
      <c r="AJ106" s="44">
        <f>IF(OR(AI106="",AH106=""),"",(AI106-AH106)*100)</f>
        <v/>
      </c>
      <c r="AK106" s="70" t="n"/>
      <c r="AL106" s="70" t="n"/>
      <c r="AM106" s="69">
        <f>IF(OR(AL106="",AK106="",AK106=0,AL106=0),"",AL106-AK106)</f>
        <v/>
      </c>
      <c r="AN106" s="42">
        <f>IF(OR(AL106="",AK106="",AK106=0,AL106=0),"",AL106/AK106-1)</f>
        <v/>
      </c>
      <c r="AO106" s="43">
        <f>IF(OR(AK106="",AD106="",AD106=0),"",AK106/AD106)</f>
        <v/>
      </c>
      <c r="AP106" s="43">
        <f>IF(OR(AL106="",AE106="",AE106=0),"",AL106/AE106)</f>
        <v/>
      </c>
      <c r="AQ106" s="44">
        <f>IF(OR(AP106="",AO106=""),"",(AP106-AO106)*100)</f>
        <v/>
      </c>
      <c r="AR106" s="70" t="n"/>
      <c r="AS106" s="70" t="n"/>
      <c r="AT106" s="69">
        <f>IF(OR(AS106="",AR106="",AR106=0,AS106=0),"",AS106-AR106)</f>
        <v/>
      </c>
      <c r="AU106" s="42">
        <f>IF(OR(AS106="",AR106="",AR106=0,AS106=0),"",AS106/AR106-1)</f>
        <v/>
      </c>
      <c r="AV106" s="43">
        <f>IF(OR(AR106="",AK106="",AK106=0),"",AR106/AK106)</f>
        <v/>
      </c>
      <c r="AW106" s="43">
        <f>IF(OR(AS106="",AL106="",AL106=0),"",AS106/AL106)</f>
        <v/>
      </c>
      <c r="AX106" s="44">
        <f>IF(OR(AW106="",AV106=""),"",(AW106-AV106)*100)</f>
        <v/>
      </c>
      <c r="AY106" s="45">
        <f>IF(OR(AR106="",P106="",P106=0),"",AR106/P106)</f>
        <v/>
      </c>
      <c r="AZ106" s="45">
        <f>IF(OR(AS106="",Q106="",Q106=0),"",AS106/Q106)</f>
        <v/>
      </c>
      <c r="BA106" s="44">
        <f>IF(OR(AZ106="",AY106=""),"",(AZ106-AY106)*100)</f>
        <v/>
      </c>
      <c r="BB106" s="45">
        <f>IF(OR(AR106="",E106="",E106=0),"",AR106/E106)</f>
        <v/>
      </c>
      <c r="BC106" s="45">
        <f>IF(OR(AS106="",F106="",F106=0),"",AS106/F106)</f>
        <v/>
      </c>
      <c r="BD106" s="44">
        <f>IF(OR(BC106="",BB106=""),"",(BC106-BB106)*100)</f>
        <v/>
      </c>
      <c r="BE106" s="40">
        <f>IF(AND(F106&lt;&gt;"",E106&lt;&gt;""),"Both years",IF(F106&lt;&gt;"","1-23Aug26 rows only","1-23Aug25 rows only"))</f>
        <v/>
      </c>
    </row>
    <row r="107">
      <c r="A107" s="56" t="inlineStr">
        <is>
          <t>All landing pages</t>
        </is>
      </c>
      <c r="B107" s="56" t="inlineStr">
        <is>
          <t>Direct</t>
        </is>
      </c>
      <c r="C107" s="56" t="inlineStr">
        <is>
          <t>Desktop</t>
        </is>
      </c>
      <c r="D107" s="56" t="inlineStr">
        <is>
          <t>Ukraine</t>
        </is>
      </c>
      <c r="E107" s="68" t="n">
        <v>266</v>
      </c>
      <c r="F107" s="70" t="n"/>
      <c r="G107" s="69">
        <f>IF(OR(F107="",E107="",E107=0,F107=0),"",F107-E107)</f>
        <v/>
      </c>
      <c r="H107" s="42">
        <f>IF(OR(F107="",E107="",E107=0,F107=0),"",F107/E107-1)</f>
        <v/>
      </c>
      <c r="I107" s="70" t="n"/>
      <c r="J107" s="70" t="n"/>
      <c r="K107" s="69">
        <f>IF(OR(J107="",I107="",I107=0,J107=0),"",J107-I107)</f>
        <v/>
      </c>
      <c r="L107" s="42">
        <f>IF(OR(J107="",I107="",I107=0,J107=0),"",J107/I107-1)</f>
        <v/>
      </c>
      <c r="M107" s="43">
        <f>IF(OR(I107="",E107="",E107=0),"",I107/E107)</f>
        <v/>
      </c>
      <c r="N107" s="43">
        <f>IF(OR(J107="",F107="",F107=0),"",J107/F107)</f>
        <v/>
      </c>
      <c r="O107" s="44">
        <f>IF(OR(N107="",M107=""),"",(N107-M107)*100)</f>
        <v/>
      </c>
      <c r="P107" s="68" t="n">
        <v>135</v>
      </c>
      <c r="Q107" s="70" t="n"/>
      <c r="R107" s="69">
        <f>IF(OR(Q107="",P107="",P107=0,Q107=0),"",Q107-P107)</f>
        <v/>
      </c>
      <c r="S107" s="42">
        <f>IF(OR(Q107="",P107="",P107=0,Q107=0),"",Q107/P107-1)</f>
        <v/>
      </c>
      <c r="T107" s="43">
        <f>IF(OR(P107="",E107="",E107=0),"",P107/E107)</f>
        <v/>
      </c>
      <c r="U107" s="43">
        <f>IF(OR(Q107="",F107="",F107=0),"",Q107/F107)</f>
        <v/>
      </c>
      <c r="V107" s="44">
        <f>IF(OR(U107="",T107=""),"",(U107-T107)*100)</f>
        <v/>
      </c>
      <c r="W107" s="70" t="n"/>
      <c r="X107" s="70" t="n"/>
      <c r="Y107" s="69">
        <f>IF(OR(X107="",W107="",W107=0,X107=0),"",X107-W107)</f>
        <v/>
      </c>
      <c r="Z107" s="42">
        <f>IF(OR(X107="",W107="",W107=0,X107=0),"",X107/W107-1)</f>
        <v/>
      </c>
      <c r="AA107" s="43">
        <f>IF(OR(W107="",P107="",P107=0),"",W107/P107)</f>
        <v/>
      </c>
      <c r="AB107" s="43">
        <f>IF(OR(X107="",Q107="",Q107=0),"",X107/Q107)</f>
        <v/>
      </c>
      <c r="AC107" s="44">
        <f>IF(OR(AB107="",AA107=""),"",(AB107-AA107)*100)</f>
        <v/>
      </c>
      <c r="AD107" s="70" t="n"/>
      <c r="AE107" s="70" t="n"/>
      <c r="AF107" s="69">
        <f>IF(OR(AE107="",AD107="",AD107=0,AE107=0),"",AE107-AD107)</f>
        <v/>
      </c>
      <c r="AG107" s="42">
        <f>IF(OR(AE107="",AD107="",AD107=0,AE107=0),"",AE107/AD107-1)</f>
        <v/>
      </c>
      <c r="AH107" s="43">
        <f>IF(OR(AD107="",W107="",W107=0),"",AD107/W107)</f>
        <v/>
      </c>
      <c r="AI107" s="43">
        <f>IF(OR(AE107="",X107="",X107=0),"",AE107/X107)</f>
        <v/>
      </c>
      <c r="AJ107" s="44">
        <f>IF(OR(AI107="",AH107=""),"",(AI107-AH107)*100)</f>
        <v/>
      </c>
      <c r="AK107" s="70" t="n"/>
      <c r="AL107" s="70" t="n"/>
      <c r="AM107" s="69">
        <f>IF(OR(AL107="",AK107="",AK107=0,AL107=0),"",AL107-AK107)</f>
        <v/>
      </c>
      <c r="AN107" s="42">
        <f>IF(OR(AL107="",AK107="",AK107=0,AL107=0),"",AL107/AK107-1)</f>
        <v/>
      </c>
      <c r="AO107" s="43">
        <f>IF(OR(AK107="",AD107="",AD107=0),"",AK107/AD107)</f>
        <v/>
      </c>
      <c r="AP107" s="43">
        <f>IF(OR(AL107="",AE107="",AE107=0),"",AL107/AE107)</f>
        <v/>
      </c>
      <c r="AQ107" s="44">
        <f>IF(OR(AP107="",AO107=""),"",(AP107-AO107)*100)</f>
        <v/>
      </c>
      <c r="AR107" s="70" t="n"/>
      <c r="AS107" s="70" t="n"/>
      <c r="AT107" s="69">
        <f>IF(OR(AS107="",AR107="",AR107=0,AS107=0),"",AS107-AR107)</f>
        <v/>
      </c>
      <c r="AU107" s="42">
        <f>IF(OR(AS107="",AR107="",AR107=0,AS107=0),"",AS107/AR107-1)</f>
        <v/>
      </c>
      <c r="AV107" s="43">
        <f>IF(OR(AR107="",AK107="",AK107=0),"",AR107/AK107)</f>
        <v/>
      </c>
      <c r="AW107" s="43">
        <f>IF(OR(AS107="",AL107="",AL107=0),"",AS107/AL107)</f>
        <v/>
      </c>
      <c r="AX107" s="44">
        <f>IF(OR(AW107="",AV107=""),"",(AW107-AV107)*100)</f>
        <v/>
      </c>
      <c r="AY107" s="45">
        <f>IF(OR(AR107="",P107="",P107=0),"",AR107/P107)</f>
        <v/>
      </c>
      <c r="AZ107" s="45">
        <f>IF(OR(AS107="",Q107="",Q107=0),"",AS107/Q107)</f>
        <v/>
      </c>
      <c r="BA107" s="44">
        <f>IF(OR(AZ107="",AY107=""),"",(AZ107-AY107)*100)</f>
        <v/>
      </c>
      <c r="BB107" s="45">
        <f>IF(OR(AR107="",E107="",E107=0),"",AR107/E107)</f>
        <v/>
      </c>
      <c r="BC107" s="45">
        <f>IF(OR(AS107="",F107="",F107=0),"",AS107/F107)</f>
        <v/>
      </c>
      <c r="BD107" s="44">
        <f>IF(OR(BC107="",BB107=""),"",(BC107-BB107)*100)</f>
        <v/>
      </c>
      <c r="BE107" s="40">
        <f>IF(AND(F107&lt;&gt;"",E107&lt;&gt;""),"Both years",IF(F107&lt;&gt;"","1-23Aug26 rows only","1-23Aug25 rows only"))</f>
        <v/>
      </c>
    </row>
    <row r="108">
      <c r="A108" s="40" t="inlineStr">
        <is>
          <t>All landing pages</t>
        </is>
      </c>
      <c r="B108" s="40" t="inlineStr">
        <is>
          <t>Direct</t>
        </is>
      </c>
      <c r="C108" s="40" t="inlineStr">
        <is>
          <t>Desktop</t>
        </is>
      </c>
      <c r="D108" s="40" t="inlineStr">
        <is>
          <t>Switzerland</t>
        </is>
      </c>
      <c r="E108" s="68" t="n">
        <v>226</v>
      </c>
      <c r="F108" s="70" t="n"/>
      <c r="G108" s="69">
        <f>IF(OR(F108="",E108="",E108=0,F108=0),"",F108-E108)</f>
        <v/>
      </c>
      <c r="H108" s="42">
        <f>IF(OR(F108="",E108="",E108=0,F108=0),"",F108/E108-1)</f>
        <v/>
      </c>
      <c r="I108" s="70" t="n"/>
      <c r="J108" s="70" t="n"/>
      <c r="K108" s="69">
        <f>IF(OR(J108="",I108="",I108=0,J108=0),"",J108-I108)</f>
        <v/>
      </c>
      <c r="L108" s="42">
        <f>IF(OR(J108="",I108="",I108=0,J108=0),"",J108/I108-1)</f>
        <v/>
      </c>
      <c r="M108" s="43">
        <f>IF(OR(I108="",E108="",E108=0),"",I108/E108)</f>
        <v/>
      </c>
      <c r="N108" s="43">
        <f>IF(OR(J108="",F108="",F108=0),"",J108/F108)</f>
        <v/>
      </c>
      <c r="O108" s="44">
        <f>IF(OR(N108="",M108=""),"",(N108-M108)*100)</f>
        <v/>
      </c>
      <c r="P108" s="68" t="n">
        <v>93</v>
      </c>
      <c r="Q108" s="70" t="n"/>
      <c r="R108" s="69">
        <f>IF(OR(Q108="",P108="",P108=0,Q108=0),"",Q108-P108)</f>
        <v/>
      </c>
      <c r="S108" s="42">
        <f>IF(OR(Q108="",P108="",P108=0,Q108=0),"",Q108/P108-1)</f>
        <v/>
      </c>
      <c r="T108" s="43">
        <f>IF(OR(P108="",E108="",E108=0),"",P108/E108)</f>
        <v/>
      </c>
      <c r="U108" s="43">
        <f>IF(OR(Q108="",F108="",F108=0),"",Q108/F108)</f>
        <v/>
      </c>
      <c r="V108" s="44">
        <f>IF(OR(U108="",T108=""),"",(U108-T108)*100)</f>
        <v/>
      </c>
      <c r="W108" s="70" t="n"/>
      <c r="X108" s="70" t="n"/>
      <c r="Y108" s="69">
        <f>IF(OR(X108="",W108="",W108=0,X108=0),"",X108-W108)</f>
        <v/>
      </c>
      <c r="Z108" s="42">
        <f>IF(OR(X108="",W108="",W108=0,X108=0),"",X108/W108-1)</f>
        <v/>
      </c>
      <c r="AA108" s="43">
        <f>IF(OR(W108="",P108="",P108=0),"",W108/P108)</f>
        <v/>
      </c>
      <c r="AB108" s="43">
        <f>IF(OR(X108="",Q108="",Q108=0),"",X108/Q108)</f>
        <v/>
      </c>
      <c r="AC108" s="44">
        <f>IF(OR(AB108="",AA108=""),"",(AB108-AA108)*100)</f>
        <v/>
      </c>
      <c r="AD108" s="70" t="n"/>
      <c r="AE108" s="70" t="n"/>
      <c r="AF108" s="69">
        <f>IF(OR(AE108="",AD108="",AD108=0,AE108=0),"",AE108-AD108)</f>
        <v/>
      </c>
      <c r="AG108" s="42">
        <f>IF(OR(AE108="",AD108="",AD108=0,AE108=0),"",AE108/AD108-1)</f>
        <v/>
      </c>
      <c r="AH108" s="43">
        <f>IF(OR(AD108="",W108="",W108=0),"",AD108/W108)</f>
        <v/>
      </c>
      <c r="AI108" s="43">
        <f>IF(OR(AE108="",X108="",X108=0),"",AE108/X108)</f>
        <v/>
      </c>
      <c r="AJ108" s="44">
        <f>IF(OR(AI108="",AH108=""),"",(AI108-AH108)*100)</f>
        <v/>
      </c>
      <c r="AK108" s="70" t="n"/>
      <c r="AL108" s="70" t="n"/>
      <c r="AM108" s="69">
        <f>IF(OR(AL108="",AK108="",AK108=0,AL108=0),"",AL108-AK108)</f>
        <v/>
      </c>
      <c r="AN108" s="42">
        <f>IF(OR(AL108="",AK108="",AK108=0,AL108=0),"",AL108/AK108-1)</f>
        <v/>
      </c>
      <c r="AO108" s="43">
        <f>IF(OR(AK108="",AD108="",AD108=0),"",AK108/AD108)</f>
        <v/>
      </c>
      <c r="AP108" s="43">
        <f>IF(OR(AL108="",AE108="",AE108=0),"",AL108/AE108)</f>
        <v/>
      </c>
      <c r="AQ108" s="44">
        <f>IF(OR(AP108="",AO108=""),"",(AP108-AO108)*100)</f>
        <v/>
      </c>
      <c r="AR108" s="70" t="n"/>
      <c r="AS108" s="70" t="n"/>
      <c r="AT108" s="69">
        <f>IF(OR(AS108="",AR108="",AR108=0,AS108=0),"",AS108-AR108)</f>
        <v/>
      </c>
      <c r="AU108" s="42">
        <f>IF(OR(AS108="",AR108="",AR108=0,AS108=0),"",AS108/AR108-1)</f>
        <v/>
      </c>
      <c r="AV108" s="43">
        <f>IF(OR(AR108="",AK108="",AK108=0),"",AR108/AK108)</f>
        <v/>
      </c>
      <c r="AW108" s="43">
        <f>IF(OR(AS108="",AL108="",AL108=0),"",AS108/AL108)</f>
        <v/>
      </c>
      <c r="AX108" s="44">
        <f>IF(OR(AW108="",AV108=""),"",(AW108-AV108)*100)</f>
        <v/>
      </c>
      <c r="AY108" s="45">
        <f>IF(OR(AR108="",P108="",P108=0),"",AR108/P108)</f>
        <v/>
      </c>
      <c r="AZ108" s="45">
        <f>IF(OR(AS108="",Q108="",Q108=0),"",AS108/Q108)</f>
        <v/>
      </c>
      <c r="BA108" s="44">
        <f>IF(OR(AZ108="",AY108=""),"",(AZ108-AY108)*100)</f>
        <v/>
      </c>
      <c r="BB108" s="45">
        <f>IF(OR(AR108="",E108="",E108=0),"",AR108/E108)</f>
        <v/>
      </c>
      <c r="BC108" s="45">
        <f>IF(OR(AS108="",F108="",F108=0),"",AS108/F108)</f>
        <v/>
      </c>
      <c r="BD108" s="44">
        <f>IF(OR(BC108="",BB108=""),"",(BC108-BB108)*100)</f>
        <v/>
      </c>
      <c r="BE108" s="40">
        <f>IF(AND(F108&lt;&gt;"",E108&lt;&gt;""),"Both years",IF(F108&lt;&gt;"","1-23Aug26 rows only","1-23Aug25 rows only"))</f>
        <v/>
      </c>
    </row>
    <row r="109">
      <c r="A109" s="56" t="inlineStr">
        <is>
          <t>All landing pages</t>
        </is>
      </c>
      <c r="B109" s="56" t="inlineStr">
        <is>
          <t>Direct</t>
        </is>
      </c>
      <c r="C109" s="56" t="inlineStr">
        <is>
          <t>Desktop</t>
        </is>
      </c>
      <c r="D109" s="56" t="inlineStr">
        <is>
          <t>Norway</t>
        </is>
      </c>
      <c r="E109" s="70" t="n"/>
      <c r="F109" s="70" t="n"/>
      <c r="G109" s="69">
        <f>IF(OR(F109="",E109="",E109=0,F109=0),"",F109-E109)</f>
        <v/>
      </c>
      <c r="H109" s="42">
        <f>IF(OR(F109="",E109="",E109=0,F109=0),"",F109/E109-1)</f>
        <v/>
      </c>
      <c r="I109" s="68" t="n">
        <v>82</v>
      </c>
      <c r="J109" s="68" t="n">
        <v>126</v>
      </c>
      <c r="K109" s="69">
        <f>IF(OR(J109="",I109="",I109=0,J109=0),"",J109-I109)</f>
        <v/>
      </c>
      <c r="L109" s="42">
        <f>IF(OR(J109="",I109="",I109=0,J109=0),"",J109/I109-1)</f>
        <v/>
      </c>
      <c r="M109" s="43">
        <f>IF(OR(I109="",E109="",E109=0),"",I109/E109)</f>
        <v/>
      </c>
      <c r="N109" s="43">
        <f>IF(OR(J109="",F109="",F109=0),"",J109/F109)</f>
        <v/>
      </c>
      <c r="O109" s="44">
        <f>IF(OR(N109="",M109=""),"",(N109-M109)*100)</f>
        <v/>
      </c>
      <c r="P109" s="70" t="n"/>
      <c r="Q109" s="70" t="n"/>
      <c r="R109" s="69">
        <f>IF(OR(Q109="",P109="",P109=0,Q109=0),"",Q109-P109)</f>
        <v/>
      </c>
      <c r="S109" s="42">
        <f>IF(OR(Q109="",P109="",P109=0,Q109=0),"",Q109/P109-1)</f>
        <v/>
      </c>
      <c r="T109" s="43">
        <f>IF(OR(P109="",E109="",E109=0),"",P109/E109)</f>
        <v/>
      </c>
      <c r="U109" s="43">
        <f>IF(OR(Q109="",F109="",F109=0),"",Q109/F109)</f>
        <v/>
      </c>
      <c r="V109" s="44">
        <f>IF(OR(U109="",T109=""),"",(U109-T109)*100)</f>
        <v/>
      </c>
      <c r="W109" s="68" t="n">
        <v>33</v>
      </c>
      <c r="X109" s="68" t="n">
        <v>49</v>
      </c>
      <c r="Y109" s="69">
        <f>IF(OR(X109="",W109="",W109=0,X109=0),"",X109-W109)</f>
        <v/>
      </c>
      <c r="Z109" s="42">
        <f>IF(OR(X109="",W109="",W109=0,X109=0),"",X109/W109-1)</f>
        <v/>
      </c>
      <c r="AA109" s="43">
        <f>IF(OR(W109="",P109="",P109=0),"",W109/P109)</f>
        <v/>
      </c>
      <c r="AB109" s="43">
        <f>IF(OR(X109="",Q109="",Q109=0),"",X109/Q109)</f>
        <v/>
      </c>
      <c r="AC109" s="44">
        <f>IF(OR(AB109="",AA109=""),"",(AB109-AA109)*100)</f>
        <v/>
      </c>
      <c r="AD109" s="68" t="n">
        <v>27</v>
      </c>
      <c r="AE109" s="68" t="n">
        <v>43</v>
      </c>
      <c r="AF109" s="69">
        <f>IF(OR(AE109="",AD109="",AD109=0,AE109=0),"",AE109-AD109)</f>
        <v/>
      </c>
      <c r="AG109" s="42">
        <f>IF(OR(AE109="",AD109="",AD109=0,AE109=0),"",AE109/AD109-1)</f>
        <v/>
      </c>
      <c r="AH109" s="43">
        <f>IF(OR(AD109="",W109="",W109=0),"",AD109/W109)</f>
        <v/>
      </c>
      <c r="AI109" s="43">
        <f>IF(OR(AE109="",X109="",X109=0),"",AE109/X109)</f>
        <v/>
      </c>
      <c r="AJ109" s="44">
        <f>IF(OR(AI109="",AH109=""),"",(AI109-AH109)*100)</f>
        <v/>
      </c>
      <c r="AK109" s="68" t="n">
        <v>16</v>
      </c>
      <c r="AL109" s="68" t="n">
        <v>23</v>
      </c>
      <c r="AM109" s="69">
        <f>IF(OR(AL109="",AK109="",AK109=0,AL109=0),"",AL109-AK109)</f>
        <v/>
      </c>
      <c r="AN109" s="42">
        <f>IF(OR(AL109="",AK109="",AK109=0,AL109=0),"",AL109/AK109-1)</f>
        <v/>
      </c>
      <c r="AO109" s="43">
        <f>IF(OR(AK109="",AD109="",AD109=0),"",AK109/AD109)</f>
        <v/>
      </c>
      <c r="AP109" s="43">
        <f>IF(OR(AL109="",AE109="",AE109=0),"",AL109/AE109)</f>
        <v/>
      </c>
      <c r="AQ109" s="44">
        <f>IF(OR(AP109="",AO109=""),"",(AP109-AO109)*100)</f>
        <v/>
      </c>
      <c r="AR109" s="68" t="n">
        <v>12</v>
      </c>
      <c r="AS109" s="68" t="n">
        <v>23</v>
      </c>
      <c r="AT109" s="69">
        <f>IF(OR(AS109="",AR109="",AR109=0,AS109=0),"",AS109-AR109)</f>
        <v/>
      </c>
      <c r="AU109" s="42">
        <f>IF(OR(AS109="",AR109="",AR109=0,AS109=0),"",AS109/AR109-1)</f>
        <v/>
      </c>
      <c r="AV109" s="43">
        <f>IF(OR(AR109="",AK109="",AK109=0),"",AR109/AK109)</f>
        <v/>
      </c>
      <c r="AW109" s="43">
        <f>IF(OR(AS109="",AL109="",AL109=0),"",AS109/AL109)</f>
        <v/>
      </c>
      <c r="AX109" s="44">
        <f>IF(OR(AW109="",AV109=""),"",(AW109-AV109)*100)</f>
        <v/>
      </c>
      <c r="AY109" s="45">
        <f>IF(OR(AR109="",P109="",P109=0),"",AR109/P109)</f>
        <v/>
      </c>
      <c r="AZ109" s="45">
        <f>IF(OR(AS109="",Q109="",Q109=0),"",AS109/Q109)</f>
        <v/>
      </c>
      <c r="BA109" s="44">
        <f>IF(OR(AZ109="",AY109=""),"",(AZ109-AY109)*100)</f>
        <v/>
      </c>
      <c r="BB109" s="45">
        <f>IF(OR(AR109="",E109="",E109=0),"",AR109/E109)</f>
        <v/>
      </c>
      <c r="BC109" s="45">
        <f>IF(OR(AS109="",F109="",F109=0),"",AS109/F109)</f>
        <v/>
      </c>
      <c r="BD109" s="44">
        <f>IF(OR(BC109="",BB109=""),"",(BC109-BB109)*100)</f>
        <v/>
      </c>
      <c r="BE109" s="40">
        <f>IF(AND(F109&lt;&gt;"",E109&lt;&gt;""),"Both years",IF(F109&lt;&gt;"","1-23Aug26 rows only","1-23Aug25 rows only"))</f>
        <v/>
      </c>
    </row>
    <row r="110">
      <c r="A110" s="40" t="inlineStr">
        <is>
          <t>All landing pages</t>
        </is>
      </c>
      <c r="B110" s="40" t="inlineStr">
        <is>
          <t>Direct</t>
        </is>
      </c>
      <c r="C110" s="40" t="inlineStr">
        <is>
          <t>Desktop</t>
        </is>
      </c>
      <c r="D110" s="40" t="inlineStr">
        <is>
          <t>Finland</t>
        </is>
      </c>
      <c r="E110" s="70" t="n"/>
      <c r="F110" s="70" t="n"/>
      <c r="G110" s="69">
        <f>IF(OR(F110="",E110="",E110=0,F110=0),"",F110-E110)</f>
        <v/>
      </c>
      <c r="H110" s="42">
        <f>IF(OR(F110="",E110="",E110=0,F110=0),"",F110/E110-1)</f>
        <v/>
      </c>
      <c r="I110" s="68" t="n">
        <v>32</v>
      </c>
      <c r="J110" s="68" t="n">
        <v>92</v>
      </c>
      <c r="K110" s="69">
        <f>IF(OR(J110="",I110="",I110=0,J110=0),"",J110-I110)</f>
        <v/>
      </c>
      <c r="L110" s="42">
        <f>IF(OR(J110="",I110="",I110=0,J110=0),"",J110/I110-1)</f>
        <v/>
      </c>
      <c r="M110" s="43">
        <f>IF(OR(I110="",E110="",E110=0),"",I110/E110)</f>
        <v/>
      </c>
      <c r="N110" s="43">
        <f>IF(OR(J110="",F110="",F110=0),"",J110/F110)</f>
        <v/>
      </c>
      <c r="O110" s="44">
        <f>IF(OR(N110="",M110=""),"",(N110-M110)*100)</f>
        <v/>
      </c>
      <c r="P110" s="70" t="n"/>
      <c r="Q110" s="70" t="n"/>
      <c r="R110" s="69">
        <f>IF(OR(Q110="",P110="",P110=0,Q110=0),"",Q110-P110)</f>
        <v/>
      </c>
      <c r="S110" s="42">
        <f>IF(OR(Q110="",P110="",P110=0,Q110=0),"",Q110/P110-1)</f>
        <v/>
      </c>
      <c r="T110" s="43">
        <f>IF(OR(P110="",E110="",E110=0),"",P110/E110)</f>
        <v/>
      </c>
      <c r="U110" s="43">
        <f>IF(OR(Q110="",F110="",F110=0),"",Q110/F110)</f>
        <v/>
      </c>
      <c r="V110" s="44">
        <f>IF(OR(U110="",T110=""),"",(U110-T110)*100)</f>
        <v/>
      </c>
      <c r="W110" s="68" t="n">
        <v>10</v>
      </c>
      <c r="X110" s="68" t="n">
        <v>30</v>
      </c>
      <c r="Y110" s="69">
        <f>IF(OR(X110="",W110="",W110=0,X110=0),"",X110-W110)</f>
        <v/>
      </c>
      <c r="Z110" s="42">
        <f>IF(OR(X110="",W110="",W110=0,X110=0),"",X110/W110-1)</f>
        <v/>
      </c>
      <c r="AA110" s="43">
        <f>IF(OR(W110="",P110="",P110=0),"",W110/P110)</f>
        <v/>
      </c>
      <c r="AB110" s="43">
        <f>IF(OR(X110="",Q110="",Q110=0),"",X110/Q110)</f>
        <v/>
      </c>
      <c r="AC110" s="44">
        <f>IF(OR(AB110="",AA110=""),"",(AB110-AA110)*100)</f>
        <v/>
      </c>
      <c r="AD110" s="68" t="n">
        <v>8</v>
      </c>
      <c r="AE110" s="68" t="n">
        <v>26</v>
      </c>
      <c r="AF110" s="69">
        <f>IF(OR(AE110="",AD110="",AD110=0,AE110=0),"",AE110-AD110)</f>
        <v/>
      </c>
      <c r="AG110" s="42">
        <f>IF(OR(AE110="",AD110="",AD110=0,AE110=0),"",AE110/AD110-1)</f>
        <v/>
      </c>
      <c r="AH110" s="43">
        <f>IF(OR(AD110="",W110="",W110=0),"",AD110/W110)</f>
        <v/>
      </c>
      <c r="AI110" s="43">
        <f>IF(OR(AE110="",X110="",X110=0),"",AE110/X110)</f>
        <v/>
      </c>
      <c r="AJ110" s="44">
        <f>IF(OR(AI110="",AH110=""),"",(AI110-AH110)*100)</f>
        <v/>
      </c>
      <c r="AK110" s="68" t="n">
        <v>5</v>
      </c>
      <c r="AL110" s="68" t="n">
        <v>10</v>
      </c>
      <c r="AM110" s="69">
        <f>IF(OR(AL110="",AK110="",AK110=0,AL110=0),"",AL110-AK110)</f>
        <v/>
      </c>
      <c r="AN110" s="42">
        <f>IF(OR(AL110="",AK110="",AK110=0,AL110=0),"",AL110/AK110-1)</f>
        <v/>
      </c>
      <c r="AO110" s="43">
        <f>IF(OR(AK110="",AD110="",AD110=0),"",AK110/AD110)</f>
        <v/>
      </c>
      <c r="AP110" s="43">
        <f>IF(OR(AL110="",AE110="",AE110=0),"",AL110/AE110)</f>
        <v/>
      </c>
      <c r="AQ110" s="44">
        <f>IF(OR(AP110="",AO110=""),"",(AP110-AO110)*100)</f>
        <v/>
      </c>
      <c r="AR110" s="68" t="n">
        <v>6</v>
      </c>
      <c r="AS110" s="68" t="n">
        <v>13</v>
      </c>
      <c r="AT110" s="69">
        <f>IF(OR(AS110="",AR110="",AR110=0,AS110=0),"",AS110-AR110)</f>
        <v/>
      </c>
      <c r="AU110" s="42">
        <f>IF(OR(AS110="",AR110="",AR110=0,AS110=0),"",AS110/AR110-1)</f>
        <v/>
      </c>
      <c r="AV110" s="43">
        <f>IF(OR(AR110="",AK110="",AK110=0),"",AR110/AK110)</f>
        <v/>
      </c>
      <c r="AW110" s="43">
        <f>IF(OR(AS110="",AL110="",AL110=0),"",AS110/AL110)</f>
        <v/>
      </c>
      <c r="AX110" s="44">
        <f>IF(OR(AW110="",AV110=""),"",(AW110-AV110)*100)</f>
        <v/>
      </c>
      <c r="AY110" s="45">
        <f>IF(OR(AR110="",P110="",P110=0),"",AR110/P110)</f>
        <v/>
      </c>
      <c r="AZ110" s="45">
        <f>IF(OR(AS110="",Q110="",Q110=0),"",AS110/Q110)</f>
        <v/>
      </c>
      <c r="BA110" s="44">
        <f>IF(OR(AZ110="",AY110=""),"",(AZ110-AY110)*100)</f>
        <v/>
      </c>
      <c r="BB110" s="45">
        <f>IF(OR(AR110="",E110="",E110=0),"",AR110/E110)</f>
        <v/>
      </c>
      <c r="BC110" s="45">
        <f>IF(OR(AS110="",F110="",F110=0),"",AS110/F110)</f>
        <v/>
      </c>
      <c r="BD110" s="44">
        <f>IF(OR(BC110="",BB110=""),"",(BC110-BB110)*100)</f>
        <v/>
      </c>
      <c r="BE110" s="40">
        <f>IF(AND(F110&lt;&gt;"",E110&lt;&gt;""),"Both years",IF(F110&lt;&gt;"","1-23Aug26 rows only","1-23Aug25 rows only"))</f>
        <v/>
      </c>
    </row>
    <row r="111">
      <c r="A111" s="56" t="inlineStr">
        <is>
          <t>All landing pages</t>
        </is>
      </c>
      <c r="B111" s="56" t="inlineStr">
        <is>
          <t>Direct</t>
        </is>
      </c>
      <c r="C111" s="56" t="inlineStr">
        <is>
          <t>Desktop</t>
        </is>
      </c>
      <c r="D111" s="56" t="inlineStr">
        <is>
          <t>Denmark</t>
        </is>
      </c>
      <c r="E111" s="70" t="n"/>
      <c r="F111" s="70" t="n"/>
      <c r="G111" s="69">
        <f>IF(OR(F111="",E111="",E111=0,F111=0),"",F111-E111)</f>
        <v/>
      </c>
      <c r="H111" s="42">
        <f>IF(OR(F111="",E111="",E111=0,F111=0),"",F111/E111-1)</f>
        <v/>
      </c>
      <c r="I111" s="70" t="n"/>
      <c r="J111" s="70" t="n"/>
      <c r="K111" s="69">
        <f>IF(OR(J111="",I111="",I111=0,J111=0),"",J111-I111)</f>
        <v/>
      </c>
      <c r="L111" s="42">
        <f>IF(OR(J111="",I111="",I111=0,J111=0),"",J111/I111-1)</f>
        <v/>
      </c>
      <c r="M111" s="43">
        <f>IF(OR(I111="",E111="",E111=0),"",I111/E111)</f>
        <v/>
      </c>
      <c r="N111" s="43">
        <f>IF(OR(J111="",F111="",F111=0),"",J111/F111)</f>
        <v/>
      </c>
      <c r="O111" s="44">
        <f>IF(OR(N111="",M111=""),"",(N111-M111)*100)</f>
        <v/>
      </c>
      <c r="P111" s="70" t="n"/>
      <c r="Q111" s="68" t="n">
        <v>157</v>
      </c>
      <c r="R111" s="69">
        <f>IF(OR(Q111="",P111="",P111=0,Q111=0),"",Q111-P111)</f>
        <v/>
      </c>
      <c r="S111" s="42">
        <f>IF(OR(Q111="",P111="",P111=0,Q111=0),"",Q111/P111-1)</f>
        <v/>
      </c>
      <c r="T111" s="43">
        <f>IF(OR(P111="",E111="",E111=0),"",P111/E111)</f>
        <v/>
      </c>
      <c r="U111" s="43">
        <f>IF(OR(Q111="",F111="",F111=0),"",Q111/F111)</f>
        <v/>
      </c>
      <c r="V111" s="44">
        <f>IF(OR(U111="",T111=""),"",(U111-T111)*100)</f>
        <v/>
      </c>
      <c r="W111" s="70" t="n"/>
      <c r="X111" s="70" t="n"/>
      <c r="Y111" s="69">
        <f>IF(OR(X111="",W111="",W111=0,X111=0),"",X111-W111)</f>
        <v/>
      </c>
      <c r="Z111" s="42">
        <f>IF(OR(X111="",W111="",W111=0,X111=0),"",X111/W111-1)</f>
        <v/>
      </c>
      <c r="AA111" s="43">
        <f>IF(OR(W111="",P111="",P111=0),"",W111/P111)</f>
        <v/>
      </c>
      <c r="AB111" s="43">
        <f>IF(OR(X111="",Q111="",Q111=0),"",X111/Q111)</f>
        <v/>
      </c>
      <c r="AC111" s="44">
        <f>IF(OR(AB111="",AA111=""),"",(AB111-AA111)*100)</f>
        <v/>
      </c>
      <c r="AD111" s="70" t="n"/>
      <c r="AE111" s="70" t="n"/>
      <c r="AF111" s="69">
        <f>IF(OR(AE111="",AD111="",AD111=0,AE111=0),"",AE111-AD111)</f>
        <v/>
      </c>
      <c r="AG111" s="42">
        <f>IF(OR(AE111="",AD111="",AD111=0,AE111=0),"",AE111/AD111-1)</f>
        <v/>
      </c>
      <c r="AH111" s="43">
        <f>IF(OR(AD111="",W111="",W111=0),"",AD111/W111)</f>
        <v/>
      </c>
      <c r="AI111" s="43">
        <f>IF(OR(AE111="",X111="",X111=0),"",AE111/X111)</f>
        <v/>
      </c>
      <c r="AJ111" s="44">
        <f>IF(OR(AI111="",AH111=""),"",(AI111-AH111)*100)</f>
        <v/>
      </c>
      <c r="AK111" s="70" t="n"/>
      <c r="AL111" s="70" t="n"/>
      <c r="AM111" s="69">
        <f>IF(OR(AL111="",AK111="",AK111=0,AL111=0),"",AL111-AK111)</f>
        <v/>
      </c>
      <c r="AN111" s="42">
        <f>IF(OR(AL111="",AK111="",AK111=0,AL111=0),"",AL111/AK111-1)</f>
        <v/>
      </c>
      <c r="AO111" s="43">
        <f>IF(OR(AK111="",AD111="",AD111=0),"",AK111/AD111)</f>
        <v/>
      </c>
      <c r="AP111" s="43">
        <f>IF(OR(AL111="",AE111="",AE111=0),"",AL111/AE111)</f>
        <v/>
      </c>
      <c r="AQ111" s="44">
        <f>IF(OR(AP111="",AO111=""),"",(AP111-AO111)*100)</f>
        <v/>
      </c>
      <c r="AR111" s="70" t="n"/>
      <c r="AS111" s="70" t="n"/>
      <c r="AT111" s="69">
        <f>IF(OR(AS111="",AR111="",AR111=0,AS111=0),"",AS111-AR111)</f>
        <v/>
      </c>
      <c r="AU111" s="42">
        <f>IF(OR(AS111="",AR111="",AR111=0,AS111=0),"",AS111/AR111-1)</f>
        <v/>
      </c>
      <c r="AV111" s="43">
        <f>IF(OR(AR111="",AK111="",AK111=0),"",AR111/AK111)</f>
        <v/>
      </c>
      <c r="AW111" s="43">
        <f>IF(OR(AS111="",AL111="",AL111=0),"",AS111/AL111)</f>
        <v/>
      </c>
      <c r="AX111" s="44">
        <f>IF(OR(AW111="",AV111=""),"",(AW111-AV111)*100)</f>
        <v/>
      </c>
      <c r="AY111" s="45">
        <f>IF(OR(AR111="",P111="",P111=0),"",AR111/P111)</f>
        <v/>
      </c>
      <c r="AZ111" s="45">
        <f>IF(OR(AS111="",Q111="",Q111=0),"",AS111/Q111)</f>
        <v/>
      </c>
      <c r="BA111" s="44">
        <f>IF(OR(AZ111="",AY111=""),"",(AZ111-AY111)*100)</f>
        <v/>
      </c>
      <c r="BB111" s="45">
        <f>IF(OR(AR111="",E111="",E111=0),"",AR111/E111)</f>
        <v/>
      </c>
      <c r="BC111" s="45">
        <f>IF(OR(AS111="",F111="",F111=0),"",AS111/F111)</f>
        <v/>
      </c>
      <c r="BD111" s="44">
        <f>IF(OR(BC111="",BB111=""),"",(BC111-BB111)*100)</f>
        <v/>
      </c>
      <c r="BE111" s="40">
        <f>IF(AND(F111&lt;&gt;"",E111&lt;&gt;""),"Both years",IF(F111&lt;&gt;"","1-23Aug26 rows only","1-23Aug25 rows only"))</f>
        <v/>
      </c>
    </row>
    <row r="112">
      <c r="A112" s="40" t="inlineStr">
        <is>
          <t>All landing pages</t>
        </is>
      </c>
      <c r="B112" s="40" t="inlineStr">
        <is>
          <t>Direct</t>
        </is>
      </c>
      <c r="C112" s="40" t="inlineStr">
        <is>
          <t>Desktop</t>
        </is>
      </c>
      <c r="D112" s="40" t="inlineStr">
        <is>
          <t>Philippines</t>
        </is>
      </c>
      <c r="E112" s="70" t="n"/>
      <c r="F112" s="70" t="n"/>
      <c r="G112" s="69">
        <f>IF(OR(F112="",E112="",E112=0,F112=0),"",F112-E112)</f>
        <v/>
      </c>
      <c r="H112" s="42">
        <f>IF(OR(F112="",E112="",E112=0,F112=0),"",F112/E112-1)</f>
        <v/>
      </c>
      <c r="I112" s="70" t="n"/>
      <c r="J112" s="70" t="n"/>
      <c r="K112" s="69">
        <f>IF(OR(J112="",I112="",I112=0,J112=0),"",J112-I112)</f>
        <v/>
      </c>
      <c r="L112" s="42">
        <f>IF(OR(J112="",I112="",I112=0,J112=0),"",J112/I112-1)</f>
        <v/>
      </c>
      <c r="M112" s="43">
        <f>IF(OR(I112="",E112="",E112=0),"",I112/E112)</f>
        <v/>
      </c>
      <c r="N112" s="43">
        <f>IF(OR(J112="",F112="",F112=0),"",J112/F112)</f>
        <v/>
      </c>
      <c r="O112" s="44">
        <f>IF(OR(N112="",M112=""),"",(N112-M112)*100)</f>
        <v/>
      </c>
      <c r="P112" s="68" t="n">
        <v>150</v>
      </c>
      <c r="Q112" s="70" t="n"/>
      <c r="R112" s="69">
        <f>IF(OR(Q112="",P112="",P112=0,Q112=0),"",Q112-P112)</f>
        <v/>
      </c>
      <c r="S112" s="42">
        <f>IF(OR(Q112="",P112="",P112=0,Q112=0),"",Q112/P112-1)</f>
        <v/>
      </c>
      <c r="T112" s="43">
        <f>IF(OR(P112="",E112="",E112=0),"",P112/E112)</f>
        <v/>
      </c>
      <c r="U112" s="43">
        <f>IF(OR(Q112="",F112="",F112=0),"",Q112/F112)</f>
        <v/>
      </c>
      <c r="V112" s="44">
        <f>IF(OR(U112="",T112=""),"",(U112-T112)*100)</f>
        <v/>
      </c>
      <c r="W112" s="70" t="n"/>
      <c r="X112" s="70" t="n"/>
      <c r="Y112" s="69">
        <f>IF(OR(X112="",W112="",W112=0,X112=0),"",X112-W112)</f>
        <v/>
      </c>
      <c r="Z112" s="42">
        <f>IF(OR(X112="",W112="",W112=0,X112=0),"",X112/W112-1)</f>
        <v/>
      </c>
      <c r="AA112" s="43">
        <f>IF(OR(W112="",P112="",P112=0),"",W112/P112)</f>
        <v/>
      </c>
      <c r="AB112" s="43">
        <f>IF(OR(X112="",Q112="",Q112=0),"",X112/Q112)</f>
        <v/>
      </c>
      <c r="AC112" s="44">
        <f>IF(OR(AB112="",AA112=""),"",(AB112-AA112)*100)</f>
        <v/>
      </c>
      <c r="AD112" s="70" t="n"/>
      <c r="AE112" s="70" t="n"/>
      <c r="AF112" s="69">
        <f>IF(OR(AE112="",AD112="",AD112=0,AE112=0),"",AE112-AD112)</f>
        <v/>
      </c>
      <c r="AG112" s="42">
        <f>IF(OR(AE112="",AD112="",AD112=0,AE112=0),"",AE112/AD112-1)</f>
        <v/>
      </c>
      <c r="AH112" s="43">
        <f>IF(OR(AD112="",W112="",W112=0),"",AD112/W112)</f>
        <v/>
      </c>
      <c r="AI112" s="43">
        <f>IF(OR(AE112="",X112="",X112=0),"",AE112/X112)</f>
        <v/>
      </c>
      <c r="AJ112" s="44">
        <f>IF(OR(AI112="",AH112=""),"",(AI112-AH112)*100)</f>
        <v/>
      </c>
      <c r="AK112" s="70" t="n"/>
      <c r="AL112" s="70" t="n"/>
      <c r="AM112" s="69">
        <f>IF(OR(AL112="",AK112="",AK112=0,AL112=0),"",AL112-AK112)</f>
        <v/>
      </c>
      <c r="AN112" s="42">
        <f>IF(OR(AL112="",AK112="",AK112=0,AL112=0),"",AL112/AK112-1)</f>
        <v/>
      </c>
      <c r="AO112" s="43">
        <f>IF(OR(AK112="",AD112="",AD112=0),"",AK112/AD112)</f>
        <v/>
      </c>
      <c r="AP112" s="43">
        <f>IF(OR(AL112="",AE112="",AE112=0),"",AL112/AE112)</f>
        <v/>
      </c>
      <c r="AQ112" s="44">
        <f>IF(OR(AP112="",AO112=""),"",(AP112-AO112)*100)</f>
        <v/>
      </c>
      <c r="AR112" s="70" t="n"/>
      <c r="AS112" s="70" t="n"/>
      <c r="AT112" s="69">
        <f>IF(OR(AS112="",AR112="",AR112=0,AS112=0),"",AS112-AR112)</f>
        <v/>
      </c>
      <c r="AU112" s="42">
        <f>IF(OR(AS112="",AR112="",AR112=0,AS112=0),"",AS112/AR112-1)</f>
        <v/>
      </c>
      <c r="AV112" s="43">
        <f>IF(OR(AR112="",AK112="",AK112=0),"",AR112/AK112)</f>
        <v/>
      </c>
      <c r="AW112" s="43">
        <f>IF(OR(AS112="",AL112="",AL112=0),"",AS112/AL112)</f>
        <v/>
      </c>
      <c r="AX112" s="44">
        <f>IF(OR(AW112="",AV112=""),"",(AW112-AV112)*100)</f>
        <v/>
      </c>
      <c r="AY112" s="45">
        <f>IF(OR(AR112="",P112="",P112=0),"",AR112/P112)</f>
        <v/>
      </c>
      <c r="AZ112" s="45">
        <f>IF(OR(AS112="",Q112="",Q112=0),"",AS112/Q112)</f>
        <v/>
      </c>
      <c r="BA112" s="44">
        <f>IF(OR(AZ112="",AY112=""),"",(AZ112-AY112)*100)</f>
        <v/>
      </c>
      <c r="BB112" s="45">
        <f>IF(OR(AR112="",E112="",E112=0),"",AR112/E112)</f>
        <v/>
      </c>
      <c r="BC112" s="45">
        <f>IF(OR(AS112="",F112="",F112=0),"",AS112/F112)</f>
        <v/>
      </c>
      <c r="BD112" s="44">
        <f>IF(OR(BC112="",BB112=""),"",(BC112-BB112)*100)</f>
        <v/>
      </c>
      <c r="BE112" s="40">
        <f>IF(AND(F112&lt;&gt;"",E112&lt;&gt;""),"Both years",IF(F112&lt;&gt;"","1-23Aug26 rows only","1-23Aug25 rows only"))</f>
        <v/>
      </c>
    </row>
    <row r="113">
      <c r="A113" s="40" t="inlineStr">
        <is>
          <t>Home page</t>
        </is>
      </c>
      <c r="B113" s="40" t="inlineStr">
        <is>
          <t>Paid Search</t>
        </is>
      </c>
      <c r="C113" s="40" t="inlineStr">
        <is>
          <t>Mobile</t>
        </is>
      </c>
      <c r="D113" s="40" t="inlineStr">
        <is>
          <t>United Kingdom</t>
        </is>
      </c>
      <c r="E113" s="68" t="n">
        <v>13511</v>
      </c>
      <c r="F113" s="68" t="n">
        <v>12645</v>
      </c>
      <c r="G113" s="69">
        <f>IF(OR(F113="",E113="",E113=0,F113=0),"",F113-E113)</f>
        <v/>
      </c>
      <c r="H113" s="42">
        <f>IF(OR(F113="",E113="",E113=0,F113=0),"",F113/E113-1)</f>
        <v/>
      </c>
      <c r="I113" s="68" t="n">
        <v>9181</v>
      </c>
      <c r="J113" s="68" t="n">
        <v>8287</v>
      </c>
      <c r="K113" s="69">
        <f>IF(OR(J113="",I113="",I113=0,J113=0),"",J113-I113)</f>
        <v/>
      </c>
      <c r="L113" s="42">
        <f>IF(OR(J113="",I113="",I113=0,J113=0),"",J113/I113-1)</f>
        <v/>
      </c>
      <c r="M113" s="43">
        <f>IF(OR(I113="",E113="",E113=0),"",I113/E113)</f>
        <v/>
      </c>
      <c r="N113" s="43">
        <f>IF(OR(J113="",F113="",F113=0),"",J113/F113)</f>
        <v/>
      </c>
      <c r="O113" s="44">
        <f>IF(OR(N113="",M113=""),"",(N113-M113)*100)</f>
        <v/>
      </c>
      <c r="P113" s="68" t="n">
        <v>7803</v>
      </c>
      <c r="Q113" s="68" t="n">
        <v>7567</v>
      </c>
      <c r="R113" s="69">
        <f>IF(OR(Q113="",P113="",P113=0,Q113=0),"",Q113-P113)</f>
        <v/>
      </c>
      <c r="S113" s="42">
        <f>IF(OR(Q113="",P113="",P113=0,Q113=0),"",Q113/P113-1)</f>
        <v/>
      </c>
      <c r="T113" s="43">
        <f>IF(OR(P113="",E113="",E113=0),"",P113/E113)</f>
        <v/>
      </c>
      <c r="U113" s="43">
        <f>IF(OR(Q113="",F113="",F113=0),"",Q113/F113)</f>
        <v/>
      </c>
      <c r="V113" s="44">
        <f>IF(OR(U113="",T113=""),"",(U113-T113)*100)</f>
        <v/>
      </c>
      <c r="W113" s="68" t="n">
        <v>2027</v>
      </c>
      <c r="X113" s="68" t="n">
        <v>2445</v>
      </c>
      <c r="Y113" s="69">
        <f>IF(OR(X113="",W113="",W113=0,X113=0),"",X113-W113)</f>
        <v/>
      </c>
      <c r="Z113" s="42">
        <f>IF(OR(X113="",W113="",W113=0,X113=0),"",X113/W113-1)</f>
        <v/>
      </c>
      <c r="AA113" s="43">
        <f>IF(OR(W113="",P113="",P113=0),"",W113/P113)</f>
        <v/>
      </c>
      <c r="AB113" s="43">
        <f>IF(OR(X113="",Q113="",Q113=0),"",X113/Q113)</f>
        <v/>
      </c>
      <c r="AC113" s="44">
        <f>IF(OR(AB113="",AA113=""),"",(AB113-AA113)*100)</f>
        <v/>
      </c>
      <c r="AD113" s="68" t="n">
        <v>1639</v>
      </c>
      <c r="AE113" s="68" t="n">
        <v>1967</v>
      </c>
      <c r="AF113" s="69">
        <f>IF(OR(AE113="",AD113="",AD113=0,AE113=0),"",AE113-AD113)</f>
        <v/>
      </c>
      <c r="AG113" s="42">
        <f>IF(OR(AE113="",AD113="",AD113=0,AE113=0),"",AE113/AD113-1)</f>
        <v/>
      </c>
      <c r="AH113" s="43">
        <f>IF(OR(AD113="",W113="",W113=0),"",AD113/W113)</f>
        <v/>
      </c>
      <c r="AI113" s="43">
        <f>IF(OR(AE113="",X113="",X113=0),"",AE113/X113)</f>
        <v/>
      </c>
      <c r="AJ113" s="44">
        <f>IF(OR(AI113="",AH113=""),"",(AI113-AH113)*100)</f>
        <v/>
      </c>
      <c r="AK113" s="68" t="n">
        <v>836</v>
      </c>
      <c r="AL113" s="68" t="n">
        <v>1125</v>
      </c>
      <c r="AM113" s="69">
        <f>IF(OR(AL113="",AK113="",AK113=0,AL113=0),"",AL113-AK113)</f>
        <v/>
      </c>
      <c r="AN113" s="42">
        <f>IF(OR(AL113="",AK113="",AK113=0,AL113=0),"",AL113/AK113-1)</f>
        <v/>
      </c>
      <c r="AO113" s="43">
        <f>IF(OR(AK113="",AD113="",AD113=0),"",AK113/AD113)</f>
        <v/>
      </c>
      <c r="AP113" s="43">
        <f>IF(OR(AL113="",AE113="",AE113=0),"",AL113/AE113)</f>
        <v/>
      </c>
      <c r="AQ113" s="44">
        <f>IF(OR(AP113="",AO113=""),"",(AP113-AO113)*100)</f>
        <v/>
      </c>
      <c r="AR113" s="68" t="n">
        <v>685</v>
      </c>
      <c r="AS113" s="68" t="n">
        <v>958</v>
      </c>
      <c r="AT113" s="69">
        <f>IF(OR(AS113="",AR113="",AR113=0,AS113=0),"",AS113-AR113)</f>
        <v/>
      </c>
      <c r="AU113" s="42">
        <f>IF(OR(AS113="",AR113="",AR113=0,AS113=0),"",AS113/AR113-1)</f>
        <v/>
      </c>
      <c r="AV113" s="43">
        <f>IF(OR(AR113="",AK113="",AK113=0),"",AR113/AK113)</f>
        <v/>
      </c>
      <c r="AW113" s="43">
        <f>IF(OR(AS113="",AL113="",AL113=0),"",AS113/AL113)</f>
        <v/>
      </c>
      <c r="AX113" s="44">
        <f>IF(OR(AW113="",AV113=""),"",(AW113-AV113)*100)</f>
        <v/>
      </c>
      <c r="AY113" s="45">
        <f>IF(OR(AR113="",P113="",P113=0),"",AR113/P113)</f>
        <v/>
      </c>
      <c r="AZ113" s="45">
        <f>IF(OR(AS113="",Q113="",Q113=0),"",AS113/Q113)</f>
        <v/>
      </c>
      <c r="BA113" s="44">
        <f>IF(OR(AZ113="",AY113=""),"",(AZ113-AY113)*100)</f>
        <v/>
      </c>
      <c r="BB113" s="45">
        <f>IF(OR(AR113="",E113="",E113=0),"",AR113/E113)</f>
        <v/>
      </c>
      <c r="BC113" s="45">
        <f>IF(OR(AS113="",F113="",F113=0),"",AS113/F113)</f>
        <v/>
      </c>
      <c r="BD113" s="44">
        <f>IF(OR(BC113="",BB113=""),"",(BC113-BB113)*100)</f>
        <v/>
      </c>
      <c r="BE113" s="40">
        <f>IF(AND(F113&lt;&gt;"",E113&lt;&gt;""),"Both years",IF(F113&lt;&gt;"","1-23Aug26 rows only","1-23Aug25 rows only"))</f>
        <v/>
      </c>
    </row>
    <row r="114">
      <c r="A114" s="56" t="inlineStr">
        <is>
          <t>Home page</t>
        </is>
      </c>
      <c r="B114" s="56" t="inlineStr">
        <is>
          <t>Paid Search</t>
        </is>
      </c>
      <c r="C114" s="56" t="inlineStr">
        <is>
          <t>Mobile</t>
        </is>
      </c>
      <c r="D114" s="56" t="inlineStr">
        <is>
          <t>Italy</t>
        </is>
      </c>
      <c r="E114" s="68" t="n">
        <v>1376</v>
      </c>
      <c r="F114" s="68" t="n">
        <v>6512</v>
      </c>
      <c r="G114" s="69">
        <f>IF(OR(F114="",E114="",E114=0,F114=0),"",F114-E114)</f>
        <v/>
      </c>
      <c r="H114" s="42">
        <f>IF(OR(F114="",E114="",E114=0,F114=0),"",F114/E114-1)</f>
        <v/>
      </c>
      <c r="I114" s="68" t="n">
        <v>869</v>
      </c>
      <c r="J114" s="68" t="n">
        <v>1766</v>
      </c>
      <c r="K114" s="69">
        <f>IF(OR(J114="",I114="",I114=0,J114=0),"",J114-I114)</f>
        <v/>
      </c>
      <c r="L114" s="42">
        <f>IF(OR(J114="",I114="",I114=0,J114=0),"",J114/I114-1)</f>
        <v/>
      </c>
      <c r="M114" s="43">
        <f>IF(OR(I114="",E114="",E114=0),"",I114/E114)</f>
        <v/>
      </c>
      <c r="N114" s="43">
        <f>IF(OR(J114="",F114="",F114=0),"",J114/F114)</f>
        <v/>
      </c>
      <c r="O114" s="44">
        <f>IF(OR(N114="",M114=""),"",(N114-M114)*100)</f>
        <v/>
      </c>
      <c r="P114" s="68" t="n">
        <v>700</v>
      </c>
      <c r="Q114" s="68" t="n">
        <v>1407</v>
      </c>
      <c r="R114" s="69">
        <f>IF(OR(Q114="",P114="",P114=0,Q114=0),"",Q114-P114)</f>
        <v/>
      </c>
      <c r="S114" s="42">
        <f>IF(OR(Q114="",P114="",P114=0,Q114=0),"",Q114/P114-1)</f>
        <v/>
      </c>
      <c r="T114" s="43">
        <f>IF(OR(P114="",E114="",E114=0),"",P114/E114)</f>
        <v/>
      </c>
      <c r="U114" s="43">
        <f>IF(OR(Q114="",F114="",F114=0),"",Q114/F114)</f>
        <v/>
      </c>
      <c r="V114" s="44">
        <f>IF(OR(U114="",T114=""),"",(U114-T114)*100)</f>
        <v/>
      </c>
      <c r="W114" s="68" t="n">
        <v>286</v>
      </c>
      <c r="X114" s="68" t="n">
        <v>377</v>
      </c>
      <c r="Y114" s="69">
        <f>IF(OR(X114="",W114="",W114=0,X114=0),"",X114-W114)</f>
        <v/>
      </c>
      <c r="Z114" s="42">
        <f>IF(OR(X114="",W114="",W114=0,X114=0),"",X114/W114-1)</f>
        <v/>
      </c>
      <c r="AA114" s="43">
        <f>IF(OR(W114="",P114="",P114=0),"",W114/P114)</f>
        <v/>
      </c>
      <c r="AB114" s="43">
        <f>IF(OR(X114="",Q114="",Q114=0),"",X114/Q114)</f>
        <v/>
      </c>
      <c r="AC114" s="44">
        <f>IF(OR(AB114="",AA114=""),"",(AB114-AA114)*100)</f>
        <v/>
      </c>
      <c r="AD114" s="68" t="n">
        <v>224</v>
      </c>
      <c r="AE114" s="68" t="n">
        <v>292</v>
      </c>
      <c r="AF114" s="69">
        <f>IF(OR(AE114="",AD114="",AD114=0,AE114=0),"",AE114-AD114)</f>
        <v/>
      </c>
      <c r="AG114" s="42">
        <f>IF(OR(AE114="",AD114="",AD114=0,AE114=0),"",AE114/AD114-1)</f>
        <v/>
      </c>
      <c r="AH114" s="43">
        <f>IF(OR(AD114="",W114="",W114=0),"",AD114/W114)</f>
        <v/>
      </c>
      <c r="AI114" s="43">
        <f>IF(OR(AE114="",X114="",X114=0),"",AE114/X114)</f>
        <v/>
      </c>
      <c r="AJ114" s="44">
        <f>IF(OR(AI114="",AH114=""),"",(AI114-AH114)*100)</f>
        <v/>
      </c>
      <c r="AK114" s="68" t="n">
        <v>96</v>
      </c>
      <c r="AL114" s="68" t="n">
        <v>103</v>
      </c>
      <c r="AM114" s="69">
        <f>IF(OR(AL114="",AK114="",AK114=0,AL114=0),"",AL114-AK114)</f>
        <v/>
      </c>
      <c r="AN114" s="42">
        <f>IF(OR(AL114="",AK114="",AK114=0,AL114=0),"",AL114/AK114-1)</f>
        <v/>
      </c>
      <c r="AO114" s="43">
        <f>IF(OR(AK114="",AD114="",AD114=0),"",AK114/AD114)</f>
        <v/>
      </c>
      <c r="AP114" s="43">
        <f>IF(OR(AL114="",AE114="",AE114=0),"",AL114/AE114)</f>
        <v/>
      </c>
      <c r="AQ114" s="44">
        <f>IF(OR(AP114="",AO114=""),"",(AP114-AO114)*100)</f>
        <v/>
      </c>
      <c r="AR114" s="68" t="n">
        <v>76</v>
      </c>
      <c r="AS114" s="68" t="n">
        <v>66</v>
      </c>
      <c r="AT114" s="69">
        <f>IF(OR(AS114="",AR114="",AR114=0,AS114=0),"",AS114-AR114)</f>
        <v/>
      </c>
      <c r="AU114" s="42">
        <f>IF(OR(AS114="",AR114="",AR114=0,AS114=0),"",AS114/AR114-1)</f>
        <v/>
      </c>
      <c r="AV114" s="43">
        <f>IF(OR(AR114="",AK114="",AK114=0),"",AR114/AK114)</f>
        <v/>
      </c>
      <c r="AW114" s="43">
        <f>IF(OR(AS114="",AL114="",AL114=0),"",AS114/AL114)</f>
        <v/>
      </c>
      <c r="AX114" s="44">
        <f>IF(OR(AW114="",AV114=""),"",(AW114-AV114)*100)</f>
        <v/>
      </c>
      <c r="AY114" s="45">
        <f>IF(OR(AR114="",P114="",P114=0),"",AR114/P114)</f>
        <v/>
      </c>
      <c r="AZ114" s="45">
        <f>IF(OR(AS114="",Q114="",Q114=0),"",AS114/Q114)</f>
        <v/>
      </c>
      <c r="BA114" s="44">
        <f>IF(OR(AZ114="",AY114=""),"",(AZ114-AY114)*100)</f>
        <v/>
      </c>
      <c r="BB114" s="45">
        <f>IF(OR(AR114="",E114="",E114=0),"",AR114/E114)</f>
        <v/>
      </c>
      <c r="BC114" s="45">
        <f>IF(OR(AS114="",F114="",F114=0),"",AS114/F114)</f>
        <v/>
      </c>
      <c r="BD114" s="44">
        <f>IF(OR(BC114="",BB114=""),"",(BC114-BB114)*100)</f>
        <v/>
      </c>
      <c r="BE114" s="40">
        <f>IF(AND(F114&lt;&gt;"",E114&lt;&gt;""),"Both years",IF(F114&lt;&gt;"","1-23Aug26 rows only","1-23Aug25 rows only"))</f>
        <v/>
      </c>
    </row>
    <row r="115">
      <c r="A115" s="40" t="inlineStr">
        <is>
          <t>Home page</t>
        </is>
      </c>
      <c r="B115" s="40" t="inlineStr">
        <is>
          <t>Paid Search</t>
        </is>
      </c>
      <c r="C115" s="40" t="inlineStr">
        <is>
          <t>Mobile</t>
        </is>
      </c>
      <c r="D115" s="40" t="inlineStr">
        <is>
          <t>Germany</t>
        </is>
      </c>
      <c r="E115" s="68" t="n">
        <v>5086</v>
      </c>
      <c r="F115" s="68" t="n">
        <v>5253</v>
      </c>
      <c r="G115" s="69">
        <f>IF(OR(F115="",E115="",E115=0,F115=0),"",F115-E115)</f>
        <v/>
      </c>
      <c r="H115" s="42">
        <f>IF(OR(F115="",E115="",E115=0,F115=0),"",F115/E115-1)</f>
        <v/>
      </c>
      <c r="I115" s="68" t="n">
        <v>3243</v>
      </c>
      <c r="J115" s="68" t="n">
        <v>3096</v>
      </c>
      <c r="K115" s="69">
        <f>IF(OR(J115="",I115="",I115=0,J115=0),"",J115-I115)</f>
        <v/>
      </c>
      <c r="L115" s="42">
        <f>IF(OR(J115="",I115="",I115=0,J115=0),"",J115/I115-1)</f>
        <v/>
      </c>
      <c r="M115" s="43">
        <f>IF(OR(I115="",E115="",E115=0),"",I115/E115)</f>
        <v/>
      </c>
      <c r="N115" s="43">
        <f>IF(OR(J115="",F115="",F115=0),"",J115/F115)</f>
        <v/>
      </c>
      <c r="O115" s="44">
        <f>IF(OR(N115="",M115=""),"",(N115-M115)*100)</f>
        <v/>
      </c>
      <c r="P115" s="68" t="n">
        <v>2686</v>
      </c>
      <c r="Q115" s="68" t="n">
        <v>2782</v>
      </c>
      <c r="R115" s="69">
        <f>IF(OR(Q115="",P115="",P115=0,Q115=0),"",Q115-P115)</f>
        <v/>
      </c>
      <c r="S115" s="42">
        <f>IF(OR(Q115="",P115="",P115=0,Q115=0),"",Q115/P115-1)</f>
        <v/>
      </c>
      <c r="T115" s="43">
        <f>IF(OR(P115="",E115="",E115=0),"",P115/E115)</f>
        <v/>
      </c>
      <c r="U115" s="43">
        <f>IF(OR(Q115="",F115="",F115=0),"",Q115/F115)</f>
        <v/>
      </c>
      <c r="V115" s="44">
        <f>IF(OR(U115="",T115=""),"",(U115-T115)*100)</f>
        <v/>
      </c>
      <c r="W115" s="68" t="n">
        <v>1008</v>
      </c>
      <c r="X115" s="68" t="n">
        <v>975</v>
      </c>
      <c r="Y115" s="69">
        <f>IF(OR(X115="",W115="",W115=0,X115=0),"",X115-W115)</f>
        <v/>
      </c>
      <c r="Z115" s="42">
        <f>IF(OR(X115="",W115="",W115=0,X115=0),"",X115/W115-1)</f>
        <v/>
      </c>
      <c r="AA115" s="43">
        <f>IF(OR(W115="",P115="",P115=0),"",W115/P115)</f>
        <v/>
      </c>
      <c r="AB115" s="43">
        <f>IF(OR(X115="",Q115="",Q115=0),"",X115/Q115)</f>
        <v/>
      </c>
      <c r="AC115" s="44">
        <f>IF(OR(AB115="",AA115=""),"",(AB115-AA115)*100)</f>
        <v/>
      </c>
      <c r="AD115" s="68" t="n">
        <v>786</v>
      </c>
      <c r="AE115" s="68" t="n">
        <v>746</v>
      </c>
      <c r="AF115" s="69">
        <f>IF(OR(AE115="",AD115="",AD115=0,AE115=0),"",AE115-AD115)</f>
        <v/>
      </c>
      <c r="AG115" s="42">
        <f>IF(OR(AE115="",AD115="",AD115=0,AE115=0),"",AE115/AD115-1)</f>
        <v/>
      </c>
      <c r="AH115" s="43">
        <f>IF(OR(AD115="",W115="",W115=0),"",AD115/W115)</f>
        <v/>
      </c>
      <c r="AI115" s="43">
        <f>IF(OR(AE115="",X115="",X115=0),"",AE115/X115)</f>
        <v/>
      </c>
      <c r="AJ115" s="44">
        <f>IF(OR(AI115="",AH115=""),"",(AI115-AH115)*100)</f>
        <v/>
      </c>
      <c r="AK115" s="68" t="n">
        <v>376</v>
      </c>
      <c r="AL115" s="68" t="n">
        <v>329</v>
      </c>
      <c r="AM115" s="69">
        <f>IF(OR(AL115="",AK115="",AK115=0,AL115=0),"",AL115-AK115)</f>
        <v/>
      </c>
      <c r="AN115" s="42">
        <f>IF(OR(AL115="",AK115="",AK115=0,AL115=0),"",AL115/AK115-1)</f>
        <v/>
      </c>
      <c r="AO115" s="43">
        <f>IF(OR(AK115="",AD115="",AD115=0),"",AK115/AD115)</f>
        <v/>
      </c>
      <c r="AP115" s="43">
        <f>IF(OR(AL115="",AE115="",AE115=0),"",AL115/AE115)</f>
        <v/>
      </c>
      <c r="AQ115" s="44">
        <f>IF(OR(AP115="",AO115=""),"",(AP115-AO115)*100)</f>
        <v/>
      </c>
      <c r="AR115" s="68" t="n">
        <v>339</v>
      </c>
      <c r="AS115" s="68" t="n">
        <v>278</v>
      </c>
      <c r="AT115" s="69">
        <f>IF(OR(AS115="",AR115="",AR115=0,AS115=0),"",AS115-AR115)</f>
        <v/>
      </c>
      <c r="AU115" s="42">
        <f>IF(OR(AS115="",AR115="",AR115=0,AS115=0),"",AS115/AR115-1)</f>
        <v/>
      </c>
      <c r="AV115" s="43">
        <f>IF(OR(AR115="",AK115="",AK115=0),"",AR115/AK115)</f>
        <v/>
      </c>
      <c r="AW115" s="43">
        <f>IF(OR(AS115="",AL115="",AL115=0),"",AS115/AL115)</f>
        <v/>
      </c>
      <c r="AX115" s="44">
        <f>IF(OR(AW115="",AV115=""),"",(AW115-AV115)*100)</f>
        <v/>
      </c>
      <c r="AY115" s="45">
        <f>IF(OR(AR115="",P115="",P115=0),"",AR115/P115)</f>
        <v/>
      </c>
      <c r="AZ115" s="45">
        <f>IF(OR(AS115="",Q115="",Q115=0),"",AS115/Q115)</f>
        <v/>
      </c>
      <c r="BA115" s="44">
        <f>IF(OR(AZ115="",AY115=""),"",(AZ115-AY115)*100)</f>
        <v/>
      </c>
      <c r="BB115" s="45">
        <f>IF(OR(AR115="",E115="",E115=0),"",AR115/E115)</f>
        <v/>
      </c>
      <c r="BC115" s="45">
        <f>IF(OR(AS115="",F115="",F115=0),"",AS115/F115)</f>
        <v/>
      </c>
      <c r="BD115" s="44">
        <f>IF(OR(BC115="",BB115=""),"",(BC115-BB115)*100)</f>
        <v/>
      </c>
      <c r="BE115" s="40">
        <f>IF(AND(F115&lt;&gt;"",E115&lt;&gt;""),"Both years",IF(F115&lt;&gt;"","1-23Aug26 rows only","1-23Aug25 rows only"))</f>
        <v/>
      </c>
    </row>
    <row r="116">
      <c r="A116" s="56" t="inlineStr">
        <is>
          <t>Home page</t>
        </is>
      </c>
      <c r="B116" s="56" t="inlineStr">
        <is>
          <t>Paid Search</t>
        </is>
      </c>
      <c r="C116" s="56" t="inlineStr">
        <is>
          <t>Mobile</t>
        </is>
      </c>
      <c r="D116" s="56" t="inlineStr">
        <is>
          <t>Spain</t>
        </is>
      </c>
      <c r="E116" s="68" t="n">
        <v>2963</v>
      </c>
      <c r="F116" s="68" t="n">
        <v>4258</v>
      </c>
      <c r="G116" s="69">
        <f>IF(OR(F116="",E116="",E116=0,F116=0),"",F116-E116)</f>
        <v/>
      </c>
      <c r="H116" s="42">
        <f>IF(OR(F116="",E116="",E116=0,F116=0),"",F116/E116-1)</f>
        <v/>
      </c>
      <c r="I116" s="68" t="n">
        <v>1804</v>
      </c>
      <c r="J116" s="68" t="n">
        <v>1272</v>
      </c>
      <c r="K116" s="69">
        <f>IF(OR(J116="",I116="",I116=0,J116=0),"",J116-I116)</f>
        <v/>
      </c>
      <c r="L116" s="42">
        <f>IF(OR(J116="",I116="",I116=0,J116=0),"",J116/I116-1)</f>
        <v/>
      </c>
      <c r="M116" s="43">
        <f>IF(OR(I116="",E116="",E116=0),"",I116/E116)</f>
        <v/>
      </c>
      <c r="N116" s="43">
        <f>IF(OR(J116="",F116="",F116=0),"",J116/F116)</f>
        <v/>
      </c>
      <c r="O116" s="44">
        <f>IF(OR(N116="",M116=""),"",(N116-M116)*100)</f>
        <v/>
      </c>
      <c r="P116" s="68" t="n">
        <v>1350</v>
      </c>
      <c r="Q116" s="68" t="n">
        <v>1155</v>
      </c>
      <c r="R116" s="69">
        <f>IF(OR(Q116="",P116="",P116=0,Q116=0),"",Q116-P116)</f>
        <v/>
      </c>
      <c r="S116" s="42">
        <f>IF(OR(Q116="",P116="",P116=0,Q116=0),"",Q116/P116-1)</f>
        <v/>
      </c>
      <c r="T116" s="43">
        <f>IF(OR(P116="",E116="",E116=0),"",P116/E116)</f>
        <v/>
      </c>
      <c r="U116" s="43">
        <f>IF(OR(Q116="",F116="",F116=0),"",Q116/F116)</f>
        <v/>
      </c>
      <c r="V116" s="44">
        <f>IF(OR(U116="",T116=""),"",(U116-T116)*100)</f>
        <v/>
      </c>
      <c r="W116" s="68" t="n">
        <v>492</v>
      </c>
      <c r="X116" s="68" t="n">
        <v>411</v>
      </c>
      <c r="Y116" s="69">
        <f>IF(OR(X116="",W116="",W116=0,X116=0),"",X116-W116)</f>
        <v/>
      </c>
      <c r="Z116" s="42">
        <f>IF(OR(X116="",W116="",W116=0,X116=0),"",X116/W116-1)</f>
        <v/>
      </c>
      <c r="AA116" s="43">
        <f>IF(OR(W116="",P116="",P116=0),"",W116/P116)</f>
        <v/>
      </c>
      <c r="AB116" s="43">
        <f>IF(OR(X116="",Q116="",Q116=0),"",X116/Q116)</f>
        <v/>
      </c>
      <c r="AC116" s="44">
        <f>IF(OR(AB116="",AA116=""),"",(AB116-AA116)*100)</f>
        <v/>
      </c>
      <c r="AD116" s="68" t="n">
        <v>430</v>
      </c>
      <c r="AE116" s="68" t="n">
        <v>352</v>
      </c>
      <c r="AF116" s="69">
        <f>IF(OR(AE116="",AD116="",AD116=0,AE116=0),"",AE116-AD116)</f>
        <v/>
      </c>
      <c r="AG116" s="42">
        <f>IF(OR(AE116="",AD116="",AD116=0,AE116=0),"",AE116/AD116-1)</f>
        <v/>
      </c>
      <c r="AH116" s="43">
        <f>IF(OR(AD116="",W116="",W116=0),"",AD116/W116)</f>
        <v/>
      </c>
      <c r="AI116" s="43">
        <f>IF(OR(AE116="",X116="",X116=0),"",AE116/X116)</f>
        <v/>
      </c>
      <c r="AJ116" s="44">
        <f>IF(OR(AI116="",AH116=""),"",(AI116-AH116)*100)</f>
        <v/>
      </c>
      <c r="AK116" s="68" t="n">
        <v>225</v>
      </c>
      <c r="AL116" s="68" t="n">
        <v>194</v>
      </c>
      <c r="AM116" s="69">
        <f>IF(OR(AL116="",AK116="",AK116=0,AL116=0),"",AL116-AK116)</f>
        <v/>
      </c>
      <c r="AN116" s="42">
        <f>IF(OR(AL116="",AK116="",AK116=0,AL116=0),"",AL116/AK116-1)</f>
        <v/>
      </c>
      <c r="AO116" s="43">
        <f>IF(OR(AK116="",AD116="",AD116=0),"",AK116/AD116)</f>
        <v/>
      </c>
      <c r="AP116" s="43">
        <f>IF(OR(AL116="",AE116="",AE116=0),"",AL116/AE116)</f>
        <v/>
      </c>
      <c r="AQ116" s="44">
        <f>IF(OR(AP116="",AO116=""),"",(AP116-AO116)*100)</f>
        <v/>
      </c>
      <c r="AR116" s="68" t="n">
        <v>176</v>
      </c>
      <c r="AS116" s="68" t="n">
        <v>158</v>
      </c>
      <c r="AT116" s="69">
        <f>IF(OR(AS116="",AR116="",AR116=0,AS116=0),"",AS116-AR116)</f>
        <v/>
      </c>
      <c r="AU116" s="42">
        <f>IF(OR(AS116="",AR116="",AR116=0,AS116=0),"",AS116/AR116-1)</f>
        <v/>
      </c>
      <c r="AV116" s="43">
        <f>IF(OR(AR116="",AK116="",AK116=0),"",AR116/AK116)</f>
        <v/>
      </c>
      <c r="AW116" s="43">
        <f>IF(OR(AS116="",AL116="",AL116=0),"",AS116/AL116)</f>
        <v/>
      </c>
      <c r="AX116" s="44">
        <f>IF(OR(AW116="",AV116=""),"",(AW116-AV116)*100)</f>
        <v/>
      </c>
      <c r="AY116" s="45">
        <f>IF(OR(AR116="",P116="",P116=0),"",AR116/P116)</f>
        <v/>
      </c>
      <c r="AZ116" s="45">
        <f>IF(OR(AS116="",Q116="",Q116=0),"",AS116/Q116)</f>
        <v/>
      </c>
      <c r="BA116" s="44">
        <f>IF(OR(AZ116="",AY116=""),"",(AZ116-AY116)*100)</f>
        <v/>
      </c>
      <c r="BB116" s="45">
        <f>IF(OR(AR116="",E116="",E116=0),"",AR116/E116)</f>
        <v/>
      </c>
      <c r="BC116" s="45">
        <f>IF(OR(AS116="",F116="",F116=0),"",AS116/F116)</f>
        <v/>
      </c>
      <c r="BD116" s="44">
        <f>IF(OR(BC116="",BB116=""),"",(BC116-BB116)*100)</f>
        <v/>
      </c>
      <c r="BE116" s="40">
        <f>IF(AND(F116&lt;&gt;"",E116&lt;&gt;""),"Both years",IF(F116&lt;&gt;"","1-23Aug26 rows only","1-23Aug25 rows only"))</f>
        <v/>
      </c>
    </row>
    <row r="117">
      <c r="A117" s="40" t="inlineStr">
        <is>
          <t>Home page</t>
        </is>
      </c>
      <c r="B117" s="40" t="inlineStr">
        <is>
          <t>Paid Search</t>
        </is>
      </c>
      <c r="C117" s="40" t="inlineStr">
        <is>
          <t>Mobile</t>
        </is>
      </c>
      <c r="D117" s="40" t="inlineStr">
        <is>
          <t>Ireland</t>
        </is>
      </c>
      <c r="E117" s="68" t="n">
        <v>3115</v>
      </c>
      <c r="F117" s="68" t="n">
        <v>3089</v>
      </c>
      <c r="G117" s="69">
        <f>IF(OR(F117="",E117="",E117=0,F117=0),"",F117-E117)</f>
        <v/>
      </c>
      <c r="H117" s="42">
        <f>IF(OR(F117="",E117="",E117=0,F117=0),"",F117/E117-1)</f>
        <v/>
      </c>
      <c r="I117" s="68" t="n">
        <v>2295</v>
      </c>
      <c r="J117" s="68" t="n">
        <v>2095</v>
      </c>
      <c r="K117" s="69">
        <f>IF(OR(J117="",I117="",I117=0,J117=0),"",J117-I117)</f>
        <v/>
      </c>
      <c r="L117" s="42">
        <f>IF(OR(J117="",I117="",I117=0,J117=0),"",J117/I117-1)</f>
        <v/>
      </c>
      <c r="M117" s="43">
        <f>IF(OR(I117="",E117="",E117=0),"",I117/E117)</f>
        <v/>
      </c>
      <c r="N117" s="43">
        <f>IF(OR(J117="",F117="",F117=0),"",J117/F117)</f>
        <v/>
      </c>
      <c r="O117" s="44">
        <f>IF(OR(N117="",M117=""),"",(N117-M117)*100)</f>
        <v/>
      </c>
      <c r="P117" s="68" t="n">
        <v>1982</v>
      </c>
      <c r="Q117" s="68" t="n">
        <v>1889</v>
      </c>
      <c r="R117" s="69">
        <f>IF(OR(Q117="",P117="",P117=0,Q117=0),"",Q117-P117)</f>
        <v/>
      </c>
      <c r="S117" s="42">
        <f>IF(OR(Q117="",P117="",P117=0,Q117=0),"",Q117/P117-1)</f>
        <v/>
      </c>
      <c r="T117" s="43">
        <f>IF(OR(P117="",E117="",E117=0),"",P117/E117)</f>
        <v/>
      </c>
      <c r="U117" s="43">
        <f>IF(OR(Q117="",F117="",F117=0),"",Q117/F117)</f>
        <v/>
      </c>
      <c r="V117" s="44">
        <f>IF(OR(U117="",T117=""),"",(U117-T117)*100)</f>
        <v/>
      </c>
      <c r="W117" s="68" t="n">
        <v>655</v>
      </c>
      <c r="X117" s="68" t="n">
        <v>580</v>
      </c>
      <c r="Y117" s="69">
        <f>IF(OR(X117="",W117="",W117=0,X117=0),"",X117-W117)</f>
        <v/>
      </c>
      <c r="Z117" s="42">
        <f>IF(OR(X117="",W117="",W117=0,X117=0),"",X117/W117-1)</f>
        <v/>
      </c>
      <c r="AA117" s="43">
        <f>IF(OR(W117="",P117="",P117=0),"",W117/P117)</f>
        <v/>
      </c>
      <c r="AB117" s="43">
        <f>IF(OR(X117="",Q117="",Q117=0),"",X117/Q117)</f>
        <v/>
      </c>
      <c r="AC117" s="44">
        <f>IF(OR(AB117="",AA117=""),"",(AB117-AA117)*100)</f>
        <v/>
      </c>
      <c r="AD117" s="68" t="n">
        <v>542</v>
      </c>
      <c r="AE117" s="68" t="n">
        <v>441</v>
      </c>
      <c r="AF117" s="69">
        <f>IF(OR(AE117="",AD117="",AD117=0,AE117=0),"",AE117-AD117)</f>
        <v/>
      </c>
      <c r="AG117" s="42">
        <f>IF(OR(AE117="",AD117="",AD117=0,AE117=0),"",AE117/AD117-1)</f>
        <v/>
      </c>
      <c r="AH117" s="43">
        <f>IF(OR(AD117="",W117="",W117=0),"",AD117/W117)</f>
        <v/>
      </c>
      <c r="AI117" s="43">
        <f>IF(OR(AE117="",X117="",X117=0),"",AE117/X117)</f>
        <v/>
      </c>
      <c r="AJ117" s="44">
        <f>IF(OR(AI117="",AH117=""),"",(AI117-AH117)*100)</f>
        <v/>
      </c>
      <c r="AK117" s="68" t="n">
        <v>296</v>
      </c>
      <c r="AL117" s="68" t="n">
        <v>226</v>
      </c>
      <c r="AM117" s="69">
        <f>IF(OR(AL117="",AK117="",AK117=0,AL117=0),"",AL117-AK117)</f>
        <v/>
      </c>
      <c r="AN117" s="42">
        <f>IF(OR(AL117="",AK117="",AK117=0,AL117=0),"",AL117/AK117-1)</f>
        <v/>
      </c>
      <c r="AO117" s="43">
        <f>IF(OR(AK117="",AD117="",AD117=0),"",AK117/AD117)</f>
        <v/>
      </c>
      <c r="AP117" s="43">
        <f>IF(OR(AL117="",AE117="",AE117=0),"",AL117/AE117)</f>
        <v/>
      </c>
      <c r="AQ117" s="44">
        <f>IF(OR(AP117="",AO117=""),"",(AP117-AO117)*100)</f>
        <v/>
      </c>
      <c r="AR117" s="68" t="n">
        <v>232</v>
      </c>
      <c r="AS117" s="68" t="n">
        <v>194</v>
      </c>
      <c r="AT117" s="69">
        <f>IF(OR(AS117="",AR117="",AR117=0,AS117=0),"",AS117-AR117)</f>
        <v/>
      </c>
      <c r="AU117" s="42">
        <f>IF(OR(AS117="",AR117="",AR117=0,AS117=0),"",AS117/AR117-1)</f>
        <v/>
      </c>
      <c r="AV117" s="43">
        <f>IF(OR(AR117="",AK117="",AK117=0),"",AR117/AK117)</f>
        <v/>
      </c>
      <c r="AW117" s="43">
        <f>IF(OR(AS117="",AL117="",AL117=0),"",AS117/AL117)</f>
        <v/>
      </c>
      <c r="AX117" s="44">
        <f>IF(OR(AW117="",AV117=""),"",(AW117-AV117)*100)</f>
        <v/>
      </c>
      <c r="AY117" s="45">
        <f>IF(OR(AR117="",P117="",P117=0),"",AR117/P117)</f>
        <v/>
      </c>
      <c r="AZ117" s="45">
        <f>IF(OR(AS117="",Q117="",Q117=0),"",AS117/Q117)</f>
        <v/>
      </c>
      <c r="BA117" s="44">
        <f>IF(OR(AZ117="",AY117=""),"",(AZ117-AY117)*100)</f>
        <v/>
      </c>
      <c r="BB117" s="45">
        <f>IF(OR(AR117="",E117="",E117=0),"",AR117/E117)</f>
        <v/>
      </c>
      <c r="BC117" s="45">
        <f>IF(OR(AS117="",F117="",F117=0),"",AS117/F117)</f>
        <v/>
      </c>
      <c r="BD117" s="44">
        <f>IF(OR(BC117="",BB117=""),"",(BC117-BB117)*100)</f>
        <v/>
      </c>
      <c r="BE117" s="40">
        <f>IF(AND(F117&lt;&gt;"",E117&lt;&gt;""),"Both years",IF(F117&lt;&gt;"","1-23Aug26 rows only","1-23Aug25 rows only"))</f>
        <v/>
      </c>
    </row>
    <row r="118">
      <c r="A118" s="56" t="inlineStr">
        <is>
          <t>Home page</t>
        </is>
      </c>
      <c r="B118" s="56" t="inlineStr">
        <is>
          <t>Paid Search</t>
        </is>
      </c>
      <c r="C118" s="56" t="inlineStr">
        <is>
          <t>Mobile</t>
        </is>
      </c>
      <c r="D118" s="56" t="inlineStr">
        <is>
          <t>France</t>
        </is>
      </c>
      <c r="E118" s="68" t="n">
        <v>940</v>
      </c>
      <c r="F118" s="68" t="n">
        <v>1981</v>
      </c>
      <c r="G118" s="69">
        <f>IF(OR(F118="",E118="",E118=0,F118=0),"",F118-E118)</f>
        <v/>
      </c>
      <c r="H118" s="42">
        <f>IF(OR(F118="",E118="",E118=0,F118=0),"",F118/E118-1)</f>
        <v/>
      </c>
      <c r="I118" s="68" t="n">
        <v>625</v>
      </c>
      <c r="J118" s="68" t="n">
        <v>1248</v>
      </c>
      <c r="K118" s="69">
        <f>IF(OR(J118="",I118="",I118=0,J118=0),"",J118-I118)</f>
        <v/>
      </c>
      <c r="L118" s="42">
        <f>IF(OR(J118="",I118="",I118=0,J118=0),"",J118/I118-1)</f>
        <v/>
      </c>
      <c r="M118" s="43">
        <f>IF(OR(I118="",E118="",E118=0),"",I118/E118)</f>
        <v/>
      </c>
      <c r="N118" s="43">
        <f>IF(OR(J118="",F118="",F118=0),"",J118/F118)</f>
        <v/>
      </c>
      <c r="O118" s="44">
        <f>IF(OR(N118="",M118=""),"",(N118-M118)*100)</f>
        <v/>
      </c>
      <c r="P118" s="68" t="n">
        <v>497</v>
      </c>
      <c r="Q118" s="68" t="n">
        <v>1076</v>
      </c>
      <c r="R118" s="69">
        <f>IF(OR(Q118="",P118="",P118=0,Q118=0),"",Q118-P118)</f>
        <v/>
      </c>
      <c r="S118" s="42">
        <f>IF(OR(Q118="",P118="",P118=0,Q118=0),"",Q118/P118-1)</f>
        <v/>
      </c>
      <c r="T118" s="43">
        <f>IF(OR(P118="",E118="",E118=0),"",P118/E118)</f>
        <v/>
      </c>
      <c r="U118" s="43">
        <f>IF(OR(Q118="",F118="",F118=0),"",Q118/F118)</f>
        <v/>
      </c>
      <c r="V118" s="44">
        <f>IF(OR(U118="",T118=""),"",(U118-T118)*100)</f>
        <v/>
      </c>
      <c r="W118" s="68" t="n">
        <v>210</v>
      </c>
      <c r="X118" s="68" t="n">
        <v>386</v>
      </c>
      <c r="Y118" s="69">
        <f>IF(OR(X118="",W118="",W118=0,X118=0),"",X118-W118)</f>
        <v/>
      </c>
      <c r="Z118" s="42">
        <f>IF(OR(X118="",W118="",W118=0,X118=0),"",X118/W118-1)</f>
        <v/>
      </c>
      <c r="AA118" s="43">
        <f>IF(OR(W118="",P118="",P118=0),"",W118/P118)</f>
        <v/>
      </c>
      <c r="AB118" s="43">
        <f>IF(OR(X118="",Q118="",Q118=0),"",X118/Q118)</f>
        <v/>
      </c>
      <c r="AC118" s="44">
        <f>IF(OR(AB118="",AA118=""),"",(AB118-AA118)*100)</f>
        <v/>
      </c>
      <c r="AD118" s="68" t="n">
        <v>182</v>
      </c>
      <c r="AE118" s="68" t="n">
        <v>300</v>
      </c>
      <c r="AF118" s="69">
        <f>IF(OR(AE118="",AD118="",AD118=0,AE118=0),"",AE118-AD118)</f>
        <v/>
      </c>
      <c r="AG118" s="42">
        <f>IF(OR(AE118="",AD118="",AD118=0,AE118=0),"",AE118/AD118-1)</f>
        <v/>
      </c>
      <c r="AH118" s="43">
        <f>IF(OR(AD118="",W118="",W118=0),"",AD118/W118)</f>
        <v/>
      </c>
      <c r="AI118" s="43">
        <f>IF(OR(AE118="",X118="",X118=0),"",AE118/X118)</f>
        <v/>
      </c>
      <c r="AJ118" s="44">
        <f>IF(OR(AI118="",AH118=""),"",(AI118-AH118)*100)</f>
        <v/>
      </c>
      <c r="AK118" s="68" t="n">
        <v>78</v>
      </c>
      <c r="AL118" s="68" t="n">
        <v>121</v>
      </c>
      <c r="AM118" s="69">
        <f>IF(OR(AL118="",AK118="",AK118=0,AL118=0),"",AL118-AK118)</f>
        <v/>
      </c>
      <c r="AN118" s="42">
        <f>IF(OR(AL118="",AK118="",AK118=0,AL118=0),"",AL118/AK118-1)</f>
        <v/>
      </c>
      <c r="AO118" s="43">
        <f>IF(OR(AK118="",AD118="",AD118=0),"",AK118/AD118)</f>
        <v/>
      </c>
      <c r="AP118" s="43">
        <f>IF(OR(AL118="",AE118="",AE118=0),"",AL118/AE118)</f>
        <v/>
      </c>
      <c r="AQ118" s="44">
        <f>IF(OR(AP118="",AO118=""),"",(AP118-AO118)*100)</f>
        <v/>
      </c>
      <c r="AR118" s="68" t="n">
        <v>59</v>
      </c>
      <c r="AS118" s="68" t="n">
        <v>97</v>
      </c>
      <c r="AT118" s="69">
        <f>IF(OR(AS118="",AR118="",AR118=0,AS118=0),"",AS118-AR118)</f>
        <v/>
      </c>
      <c r="AU118" s="42">
        <f>IF(OR(AS118="",AR118="",AR118=0,AS118=0),"",AS118/AR118-1)</f>
        <v/>
      </c>
      <c r="AV118" s="43">
        <f>IF(OR(AR118="",AK118="",AK118=0),"",AR118/AK118)</f>
        <v/>
      </c>
      <c r="AW118" s="43">
        <f>IF(OR(AS118="",AL118="",AL118=0),"",AS118/AL118)</f>
        <v/>
      </c>
      <c r="AX118" s="44">
        <f>IF(OR(AW118="",AV118=""),"",(AW118-AV118)*100)</f>
        <v/>
      </c>
      <c r="AY118" s="45">
        <f>IF(OR(AR118="",P118="",P118=0),"",AR118/P118)</f>
        <v/>
      </c>
      <c r="AZ118" s="45">
        <f>IF(OR(AS118="",Q118="",Q118=0),"",AS118/Q118)</f>
        <v/>
      </c>
      <c r="BA118" s="44">
        <f>IF(OR(AZ118="",AY118=""),"",(AZ118-AY118)*100)</f>
        <v/>
      </c>
      <c r="BB118" s="45">
        <f>IF(OR(AR118="",E118="",E118=0),"",AR118/E118)</f>
        <v/>
      </c>
      <c r="BC118" s="45">
        <f>IF(OR(AS118="",F118="",F118=0),"",AS118/F118)</f>
        <v/>
      </c>
      <c r="BD118" s="44">
        <f>IF(OR(BC118="",BB118=""),"",(BC118-BB118)*100)</f>
        <v/>
      </c>
      <c r="BE118" s="40">
        <f>IF(AND(F118&lt;&gt;"",E118&lt;&gt;""),"Both years",IF(F118&lt;&gt;"","1-23Aug26 rows only","1-23Aug25 rows only"))</f>
        <v/>
      </c>
    </row>
    <row r="119">
      <c r="A119" s="40" t="inlineStr">
        <is>
          <t>Home page</t>
        </is>
      </c>
      <c r="B119" s="40" t="inlineStr">
        <is>
          <t>Paid Search</t>
        </is>
      </c>
      <c r="C119" s="40" t="inlineStr">
        <is>
          <t>Mobile</t>
        </is>
      </c>
      <c r="D119" s="40" t="inlineStr">
        <is>
          <t>Poland</t>
        </is>
      </c>
      <c r="E119" s="70" t="n"/>
      <c r="F119" s="68" t="n">
        <v>1753</v>
      </c>
      <c r="G119" s="69">
        <f>IF(OR(F119="",E119="",E119=0,F119=0),"",F119-E119)</f>
        <v/>
      </c>
      <c r="H119" s="42">
        <f>IF(OR(F119="",E119="",E119=0,F119=0),"",F119/E119-1)</f>
        <v/>
      </c>
      <c r="I119" s="70" t="n"/>
      <c r="J119" s="70" t="n"/>
      <c r="K119" s="69">
        <f>IF(OR(J119="",I119="",I119=0,J119=0),"",J119-I119)</f>
        <v/>
      </c>
      <c r="L119" s="42">
        <f>IF(OR(J119="",I119="",I119=0,J119=0),"",J119/I119-1)</f>
        <v/>
      </c>
      <c r="M119" s="43">
        <f>IF(OR(I119="",E119="",E119=0),"",I119/E119)</f>
        <v/>
      </c>
      <c r="N119" s="43">
        <f>IF(OR(J119="",F119="",F119=0),"",J119/F119)</f>
        <v/>
      </c>
      <c r="O119" s="44">
        <f>IF(OR(N119="",M119=""),"",(N119-M119)*100)</f>
        <v/>
      </c>
      <c r="P119" s="70" t="n"/>
      <c r="Q119" s="68" t="n">
        <v>1102</v>
      </c>
      <c r="R119" s="69">
        <f>IF(OR(Q119="",P119="",P119=0,Q119=0),"",Q119-P119)</f>
        <v/>
      </c>
      <c r="S119" s="42">
        <f>IF(OR(Q119="",P119="",P119=0,Q119=0),"",Q119/P119-1)</f>
        <v/>
      </c>
      <c r="T119" s="43">
        <f>IF(OR(P119="",E119="",E119=0),"",P119/E119)</f>
        <v/>
      </c>
      <c r="U119" s="43">
        <f>IF(OR(Q119="",F119="",F119=0),"",Q119/F119)</f>
        <v/>
      </c>
      <c r="V119" s="44">
        <f>IF(OR(U119="",T119=""),"",(U119-T119)*100)</f>
        <v/>
      </c>
      <c r="W119" s="70" t="n"/>
      <c r="X119" s="70" t="n"/>
      <c r="Y119" s="69">
        <f>IF(OR(X119="",W119="",W119=0,X119=0),"",X119-W119)</f>
        <v/>
      </c>
      <c r="Z119" s="42">
        <f>IF(OR(X119="",W119="",W119=0,X119=0),"",X119/W119-1)</f>
        <v/>
      </c>
      <c r="AA119" s="43">
        <f>IF(OR(W119="",P119="",P119=0),"",W119/P119)</f>
        <v/>
      </c>
      <c r="AB119" s="43">
        <f>IF(OR(X119="",Q119="",Q119=0),"",X119/Q119)</f>
        <v/>
      </c>
      <c r="AC119" s="44">
        <f>IF(OR(AB119="",AA119=""),"",(AB119-AA119)*100)</f>
        <v/>
      </c>
      <c r="AD119" s="70" t="n"/>
      <c r="AE119" s="70" t="n"/>
      <c r="AF119" s="69">
        <f>IF(OR(AE119="",AD119="",AD119=0,AE119=0),"",AE119-AD119)</f>
        <v/>
      </c>
      <c r="AG119" s="42">
        <f>IF(OR(AE119="",AD119="",AD119=0,AE119=0),"",AE119/AD119-1)</f>
        <v/>
      </c>
      <c r="AH119" s="43">
        <f>IF(OR(AD119="",W119="",W119=0),"",AD119/W119)</f>
        <v/>
      </c>
      <c r="AI119" s="43">
        <f>IF(OR(AE119="",X119="",X119=0),"",AE119/X119)</f>
        <v/>
      </c>
      <c r="AJ119" s="44">
        <f>IF(OR(AI119="",AH119=""),"",(AI119-AH119)*100)</f>
        <v/>
      </c>
      <c r="AK119" s="70" t="n"/>
      <c r="AL119" s="70" t="n"/>
      <c r="AM119" s="69">
        <f>IF(OR(AL119="",AK119="",AK119=0,AL119=0),"",AL119-AK119)</f>
        <v/>
      </c>
      <c r="AN119" s="42">
        <f>IF(OR(AL119="",AK119="",AK119=0,AL119=0),"",AL119/AK119-1)</f>
        <v/>
      </c>
      <c r="AO119" s="43">
        <f>IF(OR(AK119="",AD119="",AD119=0),"",AK119/AD119)</f>
        <v/>
      </c>
      <c r="AP119" s="43">
        <f>IF(OR(AL119="",AE119="",AE119=0),"",AL119/AE119)</f>
        <v/>
      </c>
      <c r="AQ119" s="44">
        <f>IF(OR(AP119="",AO119=""),"",(AP119-AO119)*100)</f>
        <v/>
      </c>
      <c r="AR119" s="70" t="n"/>
      <c r="AS119" s="70" t="n"/>
      <c r="AT119" s="69">
        <f>IF(OR(AS119="",AR119="",AR119=0,AS119=0),"",AS119-AR119)</f>
        <v/>
      </c>
      <c r="AU119" s="42">
        <f>IF(OR(AS119="",AR119="",AR119=0,AS119=0),"",AS119/AR119-1)</f>
        <v/>
      </c>
      <c r="AV119" s="43">
        <f>IF(OR(AR119="",AK119="",AK119=0),"",AR119/AK119)</f>
        <v/>
      </c>
      <c r="AW119" s="43">
        <f>IF(OR(AS119="",AL119="",AL119=0),"",AS119/AL119)</f>
        <v/>
      </c>
      <c r="AX119" s="44">
        <f>IF(OR(AW119="",AV119=""),"",(AW119-AV119)*100)</f>
        <v/>
      </c>
      <c r="AY119" s="45">
        <f>IF(OR(AR119="",P119="",P119=0),"",AR119/P119)</f>
        <v/>
      </c>
      <c r="AZ119" s="45">
        <f>IF(OR(AS119="",Q119="",Q119=0),"",AS119/Q119)</f>
        <v/>
      </c>
      <c r="BA119" s="44">
        <f>IF(OR(AZ119="",AY119=""),"",(AZ119-AY119)*100)</f>
        <v/>
      </c>
      <c r="BB119" s="45">
        <f>IF(OR(AR119="",E119="",E119=0),"",AR119/E119)</f>
        <v/>
      </c>
      <c r="BC119" s="45">
        <f>IF(OR(AS119="",F119="",F119=0),"",AS119/F119)</f>
        <v/>
      </c>
      <c r="BD119" s="44">
        <f>IF(OR(BC119="",BB119=""),"",(BC119-BB119)*100)</f>
        <v/>
      </c>
      <c r="BE119" s="40">
        <f>IF(AND(F119&lt;&gt;"",E119&lt;&gt;""),"Both years",IF(F119&lt;&gt;"","1-23Aug26 rows only","1-23Aug25 rows only"))</f>
        <v/>
      </c>
    </row>
    <row r="120">
      <c r="A120" s="56" t="inlineStr">
        <is>
          <t>Home page</t>
        </is>
      </c>
      <c r="B120" s="56" t="inlineStr">
        <is>
          <t>Paid Search</t>
        </is>
      </c>
      <c r="C120" s="56" t="inlineStr">
        <is>
          <t>Mobile</t>
        </is>
      </c>
      <c r="D120" s="56" t="inlineStr">
        <is>
          <t>Netherlands</t>
        </is>
      </c>
      <c r="E120" s="68" t="n">
        <v>968</v>
      </c>
      <c r="F120" s="68" t="n">
        <v>1435</v>
      </c>
      <c r="G120" s="69">
        <f>IF(OR(F120="",E120="",E120=0,F120=0),"",F120-E120)</f>
        <v/>
      </c>
      <c r="H120" s="42">
        <f>IF(OR(F120="",E120="",E120=0,F120=0),"",F120/E120-1)</f>
        <v/>
      </c>
      <c r="I120" s="68" t="n">
        <v>621</v>
      </c>
      <c r="J120" s="68" t="n">
        <v>798</v>
      </c>
      <c r="K120" s="69">
        <f>IF(OR(J120="",I120="",I120=0,J120=0),"",J120-I120)</f>
        <v/>
      </c>
      <c r="L120" s="42">
        <f>IF(OR(J120="",I120="",I120=0,J120=0),"",J120/I120-1)</f>
        <v/>
      </c>
      <c r="M120" s="43">
        <f>IF(OR(I120="",E120="",E120=0),"",I120/E120)</f>
        <v/>
      </c>
      <c r="N120" s="43">
        <f>IF(OR(J120="",F120="",F120=0),"",J120/F120)</f>
        <v/>
      </c>
      <c r="O120" s="44">
        <f>IF(OR(N120="",M120=""),"",(N120-M120)*100)</f>
        <v/>
      </c>
      <c r="P120" s="68" t="n">
        <v>527</v>
      </c>
      <c r="Q120" s="68" t="n">
        <v>683</v>
      </c>
      <c r="R120" s="69">
        <f>IF(OR(Q120="",P120="",P120=0,Q120=0),"",Q120-P120)</f>
        <v/>
      </c>
      <c r="S120" s="42">
        <f>IF(OR(Q120="",P120="",P120=0,Q120=0),"",Q120/P120-1)</f>
        <v/>
      </c>
      <c r="T120" s="43">
        <f>IF(OR(P120="",E120="",E120=0),"",P120/E120)</f>
        <v/>
      </c>
      <c r="U120" s="43">
        <f>IF(OR(Q120="",F120="",F120=0),"",Q120/F120)</f>
        <v/>
      </c>
      <c r="V120" s="44">
        <f>IF(OR(U120="",T120=""),"",(U120-T120)*100)</f>
        <v/>
      </c>
      <c r="W120" s="68" t="n">
        <v>198</v>
      </c>
      <c r="X120" s="68" t="n">
        <v>201</v>
      </c>
      <c r="Y120" s="69">
        <f>IF(OR(X120="",W120="",W120=0,X120=0),"",X120-W120)</f>
        <v/>
      </c>
      <c r="Z120" s="42">
        <f>IF(OR(X120="",W120="",W120=0,X120=0),"",X120/W120-1)</f>
        <v/>
      </c>
      <c r="AA120" s="43">
        <f>IF(OR(W120="",P120="",P120=0),"",W120/P120)</f>
        <v/>
      </c>
      <c r="AB120" s="43">
        <f>IF(OR(X120="",Q120="",Q120=0),"",X120/Q120)</f>
        <v/>
      </c>
      <c r="AC120" s="44">
        <f>IF(OR(AB120="",AA120=""),"",(AB120-AA120)*100)</f>
        <v/>
      </c>
      <c r="AD120" s="68" t="n">
        <v>149</v>
      </c>
      <c r="AE120" s="68" t="n">
        <v>167</v>
      </c>
      <c r="AF120" s="69">
        <f>IF(OR(AE120="",AD120="",AD120=0,AE120=0),"",AE120-AD120)</f>
        <v/>
      </c>
      <c r="AG120" s="42">
        <f>IF(OR(AE120="",AD120="",AD120=0,AE120=0),"",AE120/AD120-1)</f>
        <v/>
      </c>
      <c r="AH120" s="43">
        <f>IF(OR(AD120="",W120="",W120=0),"",AD120/W120)</f>
        <v/>
      </c>
      <c r="AI120" s="43">
        <f>IF(OR(AE120="",X120="",X120=0),"",AE120/X120)</f>
        <v/>
      </c>
      <c r="AJ120" s="44">
        <f>IF(OR(AI120="",AH120=""),"",(AI120-AH120)*100)</f>
        <v/>
      </c>
      <c r="AK120" s="68" t="n">
        <v>66</v>
      </c>
      <c r="AL120" s="68" t="n">
        <v>75</v>
      </c>
      <c r="AM120" s="69">
        <f>IF(OR(AL120="",AK120="",AK120=0,AL120=0),"",AL120-AK120)</f>
        <v/>
      </c>
      <c r="AN120" s="42">
        <f>IF(OR(AL120="",AK120="",AK120=0,AL120=0),"",AL120/AK120-1)</f>
        <v/>
      </c>
      <c r="AO120" s="43">
        <f>IF(OR(AK120="",AD120="",AD120=0),"",AK120/AD120)</f>
        <v/>
      </c>
      <c r="AP120" s="43">
        <f>IF(OR(AL120="",AE120="",AE120=0),"",AL120/AE120)</f>
        <v/>
      </c>
      <c r="AQ120" s="44">
        <f>IF(OR(AP120="",AO120=""),"",(AP120-AO120)*100)</f>
        <v/>
      </c>
      <c r="AR120" s="68" t="n">
        <v>24</v>
      </c>
      <c r="AS120" s="68" t="n">
        <v>27</v>
      </c>
      <c r="AT120" s="69">
        <f>IF(OR(AS120="",AR120="",AR120=0,AS120=0),"",AS120-AR120)</f>
        <v/>
      </c>
      <c r="AU120" s="42">
        <f>IF(OR(AS120="",AR120="",AR120=0,AS120=0),"",AS120/AR120-1)</f>
        <v/>
      </c>
      <c r="AV120" s="43">
        <f>IF(OR(AR120="",AK120="",AK120=0),"",AR120/AK120)</f>
        <v/>
      </c>
      <c r="AW120" s="43">
        <f>IF(OR(AS120="",AL120="",AL120=0),"",AS120/AL120)</f>
        <v/>
      </c>
      <c r="AX120" s="44">
        <f>IF(OR(AW120="",AV120=""),"",(AW120-AV120)*100)</f>
        <v/>
      </c>
      <c r="AY120" s="45">
        <f>IF(OR(AR120="",P120="",P120=0),"",AR120/P120)</f>
        <v/>
      </c>
      <c r="AZ120" s="45">
        <f>IF(OR(AS120="",Q120="",Q120=0),"",AS120/Q120)</f>
        <v/>
      </c>
      <c r="BA120" s="44">
        <f>IF(OR(AZ120="",AY120=""),"",(AZ120-AY120)*100)</f>
        <v/>
      </c>
      <c r="BB120" s="45">
        <f>IF(OR(AR120="",E120="",E120=0),"",AR120/E120)</f>
        <v/>
      </c>
      <c r="BC120" s="45">
        <f>IF(OR(AS120="",F120="",F120=0),"",AS120/F120)</f>
        <v/>
      </c>
      <c r="BD120" s="44">
        <f>IF(OR(BC120="",BB120=""),"",(BC120-BB120)*100)</f>
        <v/>
      </c>
      <c r="BE120" s="40">
        <f>IF(AND(F120&lt;&gt;"",E120&lt;&gt;""),"Both years",IF(F120&lt;&gt;"","1-23Aug26 rows only","1-23Aug25 rows only"))</f>
        <v/>
      </c>
    </row>
    <row r="121">
      <c r="A121" s="40" t="inlineStr">
        <is>
          <t>Home page</t>
        </is>
      </c>
      <c r="B121" s="40" t="inlineStr">
        <is>
          <t>Paid Search</t>
        </is>
      </c>
      <c r="C121" s="40" t="inlineStr">
        <is>
          <t>Mobile</t>
        </is>
      </c>
      <c r="D121" s="40" t="inlineStr">
        <is>
          <t>Belgium</t>
        </is>
      </c>
      <c r="E121" s="70" t="n"/>
      <c r="F121" s="68" t="n">
        <v>1123</v>
      </c>
      <c r="G121" s="69">
        <f>IF(OR(F121="",E121="",E121=0,F121=0),"",F121-E121)</f>
        <v/>
      </c>
      <c r="H121" s="42">
        <f>IF(OR(F121="",E121="",E121=0,F121=0),"",F121/E121-1)</f>
        <v/>
      </c>
      <c r="I121" s="68" t="n">
        <v>299</v>
      </c>
      <c r="J121" s="68" t="n">
        <v>675</v>
      </c>
      <c r="K121" s="69">
        <f>IF(OR(J121="",I121="",I121=0,J121=0),"",J121-I121)</f>
        <v/>
      </c>
      <c r="L121" s="42">
        <f>IF(OR(J121="",I121="",I121=0,J121=0),"",J121/I121-1)</f>
        <v/>
      </c>
      <c r="M121" s="43">
        <f>IF(OR(I121="",E121="",E121=0),"",I121/E121)</f>
        <v/>
      </c>
      <c r="N121" s="43">
        <f>IF(OR(J121="",F121="",F121=0),"",J121/F121)</f>
        <v/>
      </c>
      <c r="O121" s="44">
        <f>IF(OR(N121="",M121=""),"",(N121-M121)*100)</f>
        <v/>
      </c>
      <c r="P121" s="68" t="n">
        <v>263</v>
      </c>
      <c r="Q121" s="68" t="n">
        <v>643</v>
      </c>
      <c r="R121" s="69">
        <f>IF(OR(Q121="",P121="",P121=0,Q121=0),"",Q121-P121)</f>
        <v/>
      </c>
      <c r="S121" s="42">
        <f>IF(OR(Q121="",P121="",P121=0,Q121=0),"",Q121/P121-1)</f>
        <v/>
      </c>
      <c r="T121" s="43">
        <f>IF(OR(P121="",E121="",E121=0),"",P121/E121)</f>
        <v/>
      </c>
      <c r="U121" s="43">
        <f>IF(OR(Q121="",F121="",F121=0),"",Q121/F121)</f>
        <v/>
      </c>
      <c r="V121" s="44">
        <f>IF(OR(U121="",T121=""),"",(U121-T121)*100)</f>
        <v/>
      </c>
      <c r="W121" s="68" t="n">
        <v>87</v>
      </c>
      <c r="X121" s="68" t="n">
        <v>221</v>
      </c>
      <c r="Y121" s="69">
        <f>IF(OR(X121="",W121="",W121=0,X121=0),"",X121-W121)</f>
        <v/>
      </c>
      <c r="Z121" s="42">
        <f>IF(OR(X121="",W121="",W121=0,X121=0),"",X121/W121-1)</f>
        <v/>
      </c>
      <c r="AA121" s="43">
        <f>IF(OR(W121="",P121="",P121=0),"",W121/P121)</f>
        <v/>
      </c>
      <c r="AB121" s="43">
        <f>IF(OR(X121="",Q121="",Q121=0),"",X121/Q121)</f>
        <v/>
      </c>
      <c r="AC121" s="44">
        <f>IF(OR(AB121="",AA121=""),"",(AB121-AA121)*100)</f>
        <v/>
      </c>
      <c r="AD121" s="68" t="n">
        <v>63</v>
      </c>
      <c r="AE121" s="68" t="n">
        <v>178</v>
      </c>
      <c r="AF121" s="69">
        <f>IF(OR(AE121="",AD121="",AD121=0,AE121=0),"",AE121-AD121)</f>
        <v/>
      </c>
      <c r="AG121" s="42">
        <f>IF(OR(AE121="",AD121="",AD121=0,AE121=0),"",AE121/AD121-1)</f>
        <v/>
      </c>
      <c r="AH121" s="43">
        <f>IF(OR(AD121="",W121="",W121=0),"",AD121/W121)</f>
        <v/>
      </c>
      <c r="AI121" s="43">
        <f>IF(OR(AE121="",X121="",X121=0),"",AE121/X121)</f>
        <v/>
      </c>
      <c r="AJ121" s="44">
        <f>IF(OR(AI121="",AH121=""),"",(AI121-AH121)*100)</f>
        <v/>
      </c>
      <c r="AK121" s="68" t="n">
        <v>25</v>
      </c>
      <c r="AL121" s="68" t="n">
        <v>89</v>
      </c>
      <c r="AM121" s="69">
        <f>IF(OR(AL121="",AK121="",AK121=0,AL121=0),"",AL121-AK121)</f>
        <v/>
      </c>
      <c r="AN121" s="42">
        <f>IF(OR(AL121="",AK121="",AK121=0,AL121=0),"",AL121/AK121-1)</f>
        <v/>
      </c>
      <c r="AO121" s="43">
        <f>IF(OR(AK121="",AD121="",AD121=0),"",AK121/AD121)</f>
        <v/>
      </c>
      <c r="AP121" s="43">
        <f>IF(OR(AL121="",AE121="",AE121=0),"",AL121/AE121)</f>
        <v/>
      </c>
      <c r="AQ121" s="44">
        <f>IF(OR(AP121="",AO121=""),"",(AP121-AO121)*100)</f>
        <v/>
      </c>
      <c r="AR121" s="68" t="n">
        <v>22</v>
      </c>
      <c r="AS121" s="68" t="n">
        <v>70</v>
      </c>
      <c r="AT121" s="69">
        <f>IF(OR(AS121="",AR121="",AR121=0,AS121=0),"",AS121-AR121)</f>
        <v/>
      </c>
      <c r="AU121" s="42">
        <f>IF(OR(AS121="",AR121="",AR121=0,AS121=0),"",AS121/AR121-1)</f>
        <v/>
      </c>
      <c r="AV121" s="43">
        <f>IF(OR(AR121="",AK121="",AK121=0),"",AR121/AK121)</f>
        <v/>
      </c>
      <c r="AW121" s="43">
        <f>IF(OR(AS121="",AL121="",AL121=0),"",AS121/AL121)</f>
        <v/>
      </c>
      <c r="AX121" s="44">
        <f>IF(OR(AW121="",AV121=""),"",(AW121-AV121)*100)</f>
        <v/>
      </c>
      <c r="AY121" s="45">
        <f>IF(OR(AR121="",P121="",P121=0),"",AR121/P121)</f>
        <v/>
      </c>
      <c r="AZ121" s="45">
        <f>IF(OR(AS121="",Q121="",Q121=0),"",AS121/Q121)</f>
        <v/>
      </c>
      <c r="BA121" s="44">
        <f>IF(OR(AZ121="",AY121=""),"",(AZ121-AY121)*100)</f>
        <v/>
      </c>
      <c r="BB121" s="45">
        <f>IF(OR(AR121="",E121="",E121=0),"",AR121/E121)</f>
        <v/>
      </c>
      <c r="BC121" s="45">
        <f>IF(OR(AS121="",F121="",F121=0),"",AS121/F121)</f>
        <v/>
      </c>
      <c r="BD121" s="44">
        <f>IF(OR(BC121="",BB121=""),"",(BC121-BB121)*100)</f>
        <v/>
      </c>
      <c r="BE121" s="40">
        <f>IF(AND(F121&lt;&gt;"",E121&lt;&gt;""),"Both years",IF(F121&lt;&gt;"","1-23Aug26 rows only","1-23Aug25 rows only"))</f>
        <v/>
      </c>
    </row>
    <row r="122">
      <c r="A122" s="56" t="inlineStr">
        <is>
          <t>Home page</t>
        </is>
      </c>
      <c r="B122" s="56" t="inlineStr">
        <is>
          <t>Paid Search</t>
        </is>
      </c>
      <c r="C122" s="56" t="inlineStr">
        <is>
          <t>Mobile</t>
        </is>
      </c>
      <c r="D122" s="56" t="inlineStr">
        <is>
          <t>Sweden</t>
        </is>
      </c>
      <c r="E122" s="68" t="n">
        <v>647</v>
      </c>
      <c r="F122" s="68" t="n">
        <v>923</v>
      </c>
      <c r="G122" s="69">
        <f>IF(OR(F122="",E122="",E122=0,F122=0),"",F122-E122)</f>
        <v/>
      </c>
      <c r="H122" s="42">
        <f>IF(OR(F122="",E122="",E122=0,F122=0),"",F122/E122-1)</f>
        <v/>
      </c>
      <c r="I122" s="68" t="n">
        <v>390</v>
      </c>
      <c r="J122" s="68" t="n">
        <v>488</v>
      </c>
      <c r="K122" s="69">
        <f>IF(OR(J122="",I122="",I122=0,J122=0),"",J122-I122)</f>
        <v/>
      </c>
      <c r="L122" s="42">
        <f>IF(OR(J122="",I122="",I122=0,J122=0),"",J122/I122-1)</f>
        <v/>
      </c>
      <c r="M122" s="43">
        <f>IF(OR(I122="",E122="",E122=0),"",I122/E122)</f>
        <v/>
      </c>
      <c r="N122" s="43">
        <f>IF(OR(J122="",F122="",F122=0),"",J122/F122)</f>
        <v/>
      </c>
      <c r="O122" s="44">
        <f>IF(OR(N122="",M122=""),"",(N122-M122)*100)</f>
        <v/>
      </c>
      <c r="P122" s="68" t="n">
        <v>351</v>
      </c>
      <c r="Q122" s="68" t="n">
        <v>444</v>
      </c>
      <c r="R122" s="69">
        <f>IF(OR(Q122="",P122="",P122=0,Q122=0),"",Q122-P122)</f>
        <v/>
      </c>
      <c r="S122" s="42">
        <f>IF(OR(Q122="",P122="",P122=0,Q122=0),"",Q122/P122-1)</f>
        <v/>
      </c>
      <c r="T122" s="43">
        <f>IF(OR(P122="",E122="",E122=0),"",P122/E122)</f>
        <v/>
      </c>
      <c r="U122" s="43">
        <f>IF(OR(Q122="",F122="",F122=0),"",Q122/F122)</f>
        <v/>
      </c>
      <c r="V122" s="44">
        <f>IF(OR(U122="",T122=""),"",(U122-T122)*100)</f>
        <v/>
      </c>
      <c r="W122" s="68" t="n">
        <v>114</v>
      </c>
      <c r="X122" s="68" t="n">
        <v>161</v>
      </c>
      <c r="Y122" s="69">
        <f>IF(OR(X122="",W122="",W122=0,X122=0),"",X122-W122)</f>
        <v/>
      </c>
      <c r="Z122" s="42">
        <f>IF(OR(X122="",W122="",W122=0,X122=0),"",X122/W122-1)</f>
        <v/>
      </c>
      <c r="AA122" s="43">
        <f>IF(OR(W122="",P122="",P122=0),"",W122/P122)</f>
        <v/>
      </c>
      <c r="AB122" s="43">
        <f>IF(OR(X122="",Q122="",Q122=0),"",X122/Q122)</f>
        <v/>
      </c>
      <c r="AC122" s="44">
        <f>IF(OR(AB122="",AA122=""),"",(AB122-AA122)*100)</f>
        <v/>
      </c>
      <c r="AD122" s="68" t="n">
        <v>95</v>
      </c>
      <c r="AE122" s="68" t="n">
        <v>119</v>
      </c>
      <c r="AF122" s="69">
        <f>IF(OR(AE122="",AD122="",AD122=0,AE122=0),"",AE122-AD122)</f>
        <v/>
      </c>
      <c r="AG122" s="42">
        <f>IF(OR(AE122="",AD122="",AD122=0,AE122=0),"",AE122/AD122-1)</f>
        <v/>
      </c>
      <c r="AH122" s="43">
        <f>IF(OR(AD122="",W122="",W122=0),"",AD122/W122)</f>
        <v/>
      </c>
      <c r="AI122" s="43">
        <f>IF(OR(AE122="",X122="",X122=0),"",AE122/X122)</f>
        <v/>
      </c>
      <c r="AJ122" s="44">
        <f>IF(OR(AI122="",AH122=""),"",(AI122-AH122)*100)</f>
        <v/>
      </c>
      <c r="AK122" s="68" t="n">
        <v>44</v>
      </c>
      <c r="AL122" s="68" t="n">
        <v>55</v>
      </c>
      <c r="AM122" s="69">
        <f>IF(OR(AL122="",AK122="",AK122=0,AL122=0),"",AL122-AK122)</f>
        <v/>
      </c>
      <c r="AN122" s="42">
        <f>IF(OR(AL122="",AK122="",AK122=0,AL122=0),"",AL122/AK122-1)</f>
        <v/>
      </c>
      <c r="AO122" s="43">
        <f>IF(OR(AK122="",AD122="",AD122=0),"",AK122/AD122)</f>
        <v/>
      </c>
      <c r="AP122" s="43">
        <f>IF(OR(AL122="",AE122="",AE122=0),"",AL122/AE122)</f>
        <v/>
      </c>
      <c r="AQ122" s="44">
        <f>IF(OR(AP122="",AO122=""),"",(AP122-AO122)*100)</f>
        <v/>
      </c>
      <c r="AR122" s="68" t="n">
        <v>40</v>
      </c>
      <c r="AS122" s="68" t="n">
        <v>47</v>
      </c>
      <c r="AT122" s="69">
        <f>IF(OR(AS122="",AR122="",AR122=0,AS122=0),"",AS122-AR122)</f>
        <v/>
      </c>
      <c r="AU122" s="42">
        <f>IF(OR(AS122="",AR122="",AR122=0,AS122=0),"",AS122/AR122-1)</f>
        <v/>
      </c>
      <c r="AV122" s="43">
        <f>IF(OR(AR122="",AK122="",AK122=0),"",AR122/AK122)</f>
        <v/>
      </c>
      <c r="AW122" s="43">
        <f>IF(OR(AS122="",AL122="",AL122=0),"",AS122/AL122)</f>
        <v/>
      </c>
      <c r="AX122" s="44">
        <f>IF(OR(AW122="",AV122=""),"",(AW122-AV122)*100)</f>
        <v/>
      </c>
      <c r="AY122" s="45">
        <f>IF(OR(AR122="",P122="",P122=0),"",AR122/P122)</f>
        <v/>
      </c>
      <c r="AZ122" s="45">
        <f>IF(OR(AS122="",Q122="",Q122=0),"",AS122/Q122)</f>
        <v/>
      </c>
      <c r="BA122" s="44">
        <f>IF(OR(AZ122="",AY122=""),"",(AZ122-AY122)*100)</f>
        <v/>
      </c>
      <c r="BB122" s="45">
        <f>IF(OR(AR122="",E122="",E122=0),"",AR122/E122)</f>
        <v/>
      </c>
      <c r="BC122" s="45">
        <f>IF(OR(AS122="",F122="",F122=0),"",AS122/F122)</f>
        <v/>
      </c>
      <c r="BD122" s="44">
        <f>IF(OR(BC122="",BB122=""),"",(BC122-BB122)*100)</f>
        <v/>
      </c>
      <c r="BE122" s="40">
        <f>IF(AND(F122&lt;&gt;"",E122&lt;&gt;""),"Both years",IF(F122&lt;&gt;"","1-23Aug26 rows only","1-23Aug25 rows only"))</f>
        <v/>
      </c>
    </row>
    <row r="123">
      <c r="A123" s="40" t="inlineStr">
        <is>
          <t>Home page</t>
        </is>
      </c>
      <c r="B123" s="40" t="inlineStr">
        <is>
          <t>Paid Search</t>
        </is>
      </c>
      <c r="C123" s="40" t="inlineStr">
        <is>
          <t>Mobile</t>
        </is>
      </c>
      <c r="D123" s="40" t="inlineStr">
        <is>
          <t>Portugal</t>
        </is>
      </c>
      <c r="E123" s="68" t="n">
        <v>437</v>
      </c>
      <c r="F123" s="68" t="n">
        <v>903</v>
      </c>
      <c r="G123" s="69">
        <f>IF(OR(F123="",E123="",E123=0,F123=0),"",F123-E123)</f>
        <v/>
      </c>
      <c r="H123" s="42">
        <f>IF(OR(F123="",E123="",E123=0,F123=0),"",F123/E123-1)</f>
        <v/>
      </c>
      <c r="I123" s="70" t="n"/>
      <c r="J123" s="70" t="n"/>
      <c r="K123" s="69">
        <f>IF(OR(J123="",I123="",I123=0,J123=0),"",J123-I123)</f>
        <v/>
      </c>
      <c r="L123" s="42">
        <f>IF(OR(J123="",I123="",I123=0,J123=0),"",J123/I123-1)</f>
        <v/>
      </c>
      <c r="M123" s="43">
        <f>IF(OR(I123="",E123="",E123=0),"",I123/E123)</f>
        <v/>
      </c>
      <c r="N123" s="43">
        <f>IF(OR(J123="",F123="",F123=0),"",J123/F123)</f>
        <v/>
      </c>
      <c r="O123" s="44">
        <f>IF(OR(N123="",M123=""),"",(N123-M123)*100)</f>
        <v/>
      </c>
      <c r="P123" s="68" t="n">
        <v>226</v>
      </c>
      <c r="Q123" s="68" t="n">
        <v>556</v>
      </c>
      <c r="R123" s="69">
        <f>IF(OR(Q123="",P123="",P123=0,Q123=0),"",Q123-P123)</f>
        <v/>
      </c>
      <c r="S123" s="42">
        <f>IF(OR(Q123="",P123="",P123=0,Q123=0),"",Q123/P123-1)</f>
        <v/>
      </c>
      <c r="T123" s="43">
        <f>IF(OR(P123="",E123="",E123=0),"",P123/E123)</f>
        <v/>
      </c>
      <c r="U123" s="43">
        <f>IF(OR(Q123="",F123="",F123=0),"",Q123/F123)</f>
        <v/>
      </c>
      <c r="V123" s="44">
        <f>IF(OR(U123="",T123=""),"",(U123-T123)*100)</f>
        <v/>
      </c>
      <c r="W123" s="70" t="n"/>
      <c r="X123" s="70" t="n"/>
      <c r="Y123" s="69">
        <f>IF(OR(X123="",W123="",W123=0,X123=0),"",X123-W123)</f>
        <v/>
      </c>
      <c r="Z123" s="42">
        <f>IF(OR(X123="",W123="",W123=0,X123=0),"",X123/W123-1)</f>
        <v/>
      </c>
      <c r="AA123" s="43">
        <f>IF(OR(W123="",P123="",P123=0),"",W123/P123)</f>
        <v/>
      </c>
      <c r="AB123" s="43">
        <f>IF(OR(X123="",Q123="",Q123=0),"",X123/Q123)</f>
        <v/>
      </c>
      <c r="AC123" s="44">
        <f>IF(OR(AB123="",AA123=""),"",(AB123-AA123)*100)</f>
        <v/>
      </c>
      <c r="AD123" s="70" t="n"/>
      <c r="AE123" s="70" t="n"/>
      <c r="AF123" s="69">
        <f>IF(OR(AE123="",AD123="",AD123=0,AE123=0),"",AE123-AD123)</f>
        <v/>
      </c>
      <c r="AG123" s="42">
        <f>IF(OR(AE123="",AD123="",AD123=0,AE123=0),"",AE123/AD123-1)</f>
        <v/>
      </c>
      <c r="AH123" s="43">
        <f>IF(OR(AD123="",W123="",W123=0),"",AD123/W123)</f>
        <v/>
      </c>
      <c r="AI123" s="43">
        <f>IF(OR(AE123="",X123="",X123=0),"",AE123/X123)</f>
        <v/>
      </c>
      <c r="AJ123" s="44">
        <f>IF(OR(AI123="",AH123=""),"",(AI123-AH123)*100)</f>
        <v/>
      </c>
      <c r="AK123" s="70" t="n"/>
      <c r="AL123" s="70" t="n"/>
      <c r="AM123" s="69">
        <f>IF(OR(AL123="",AK123="",AK123=0,AL123=0),"",AL123-AK123)</f>
        <v/>
      </c>
      <c r="AN123" s="42">
        <f>IF(OR(AL123="",AK123="",AK123=0,AL123=0),"",AL123/AK123-1)</f>
        <v/>
      </c>
      <c r="AO123" s="43">
        <f>IF(OR(AK123="",AD123="",AD123=0),"",AK123/AD123)</f>
        <v/>
      </c>
      <c r="AP123" s="43">
        <f>IF(OR(AL123="",AE123="",AE123=0),"",AL123/AE123)</f>
        <v/>
      </c>
      <c r="AQ123" s="44">
        <f>IF(OR(AP123="",AO123=""),"",(AP123-AO123)*100)</f>
        <v/>
      </c>
      <c r="AR123" s="70" t="n"/>
      <c r="AS123" s="70" t="n"/>
      <c r="AT123" s="69">
        <f>IF(OR(AS123="",AR123="",AR123=0,AS123=0),"",AS123-AR123)</f>
        <v/>
      </c>
      <c r="AU123" s="42">
        <f>IF(OR(AS123="",AR123="",AR123=0,AS123=0),"",AS123/AR123-1)</f>
        <v/>
      </c>
      <c r="AV123" s="43">
        <f>IF(OR(AR123="",AK123="",AK123=0),"",AR123/AK123)</f>
        <v/>
      </c>
      <c r="AW123" s="43">
        <f>IF(OR(AS123="",AL123="",AL123=0),"",AS123/AL123)</f>
        <v/>
      </c>
      <c r="AX123" s="44">
        <f>IF(OR(AW123="",AV123=""),"",(AW123-AV123)*100)</f>
        <v/>
      </c>
      <c r="AY123" s="45">
        <f>IF(OR(AR123="",P123="",P123=0),"",AR123/P123)</f>
        <v/>
      </c>
      <c r="AZ123" s="45">
        <f>IF(OR(AS123="",Q123="",Q123=0),"",AS123/Q123)</f>
        <v/>
      </c>
      <c r="BA123" s="44">
        <f>IF(OR(AZ123="",AY123=""),"",(AZ123-AY123)*100)</f>
        <v/>
      </c>
      <c r="BB123" s="45">
        <f>IF(OR(AR123="",E123="",E123=0),"",AR123/E123)</f>
        <v/>
      </c>
      <c r="BC123" s="45">
        <f>IF(OR(AS123="",F123="",F123=0),"",AS123/F123)</f>
        <v/>
      </c>
      <c r="BD123" s="44">
        <f>IF(OR(BC123="",BB123=""),"",(BC123-BB123)*100)</f>
        <v/>
      </c>
      <c r="BE123" s="40">
        <f>IF(AND(F123&lt;&gt;"",E123&lt;&gt;""),"Both years",IF(F123&lt;&gt;"","1-23Aug26 rows only","1-23Aug25 rows only"))</f>
        <v/>
      </c>
    </row>
    <row r="124">
      <c r="A124" s="56" t="inlineStr">
        <is>
          <t>Home page</t>
        </is>
      </c>
      <c r="B124" s="56" t="inlineStr">
        <is>
          <t>Paid Search</t>
        </is>
      </c>
      <c r="C124" s="56" t="inlineStr">
        <is>
          <t>Mobile</t>
        </is>
      </c>
      <c r="D124" s="56" t="inlineStr">
        <is>
          <t>Denmark</t>
        </is>
      </c>
      <c r="E124" s="70" t="n"/>
      <c r="F124" s="68" t="n">
        <v>685</v>
      </c>
      <c r="G124" s="69">
        <f>IF(OR(F124="",E124="",E124=0,F124=0),"",F124-E124)</f>
        <v/>
      </c>
      <c r="H124" s="42">
        <f>IF(OR(F124="",E124="",E124=0,F124=0),"",F124/E124-1)</f>
        <v/>
      </c>
      <c r="I124" s="70" t="n"/>
      <c r="J124" s="70" t="n"/>
      <c r="K124" s="69">
        <f>IF(OR(J124="",I124="",I124=0,J124=0),"",J124-I124)</f>
        <v/>
      </c>
      <c r="L124" s="42">
        <f>IF(OR(J124="",I124="",I124=0,J124=0),"",J124/I124-1)</f>
        <v/>
      </c>
      <c r="M124" s="43">
        <f>IF(OR(I124="",E124="",E124=0),"",I124/E124)</f>
        <v/>
      </c>
      <c r="N124" s="43">
        <f>IF(OR(J124="",F124="",F124=0),"",J124/F124)</f>
        <v/>
      </c>
      <c r="O124" s="44">
        <f>IF(OR(N124="",M124=""),"",(N124-M124)*100)</f>
        <v/>
      </c>
      <c r="P124" s="70" t="n"/>
      <c r="Q124" s="68" t="n">
        <v>382</v>
      </c>
      <c r="R124" s="69">
        <f>IF(OR(Q124="",P124="",P124=0,Q124=0),"",Q124-P124)</f>
        <v/>
      </c>
      <c r="S124" s="42">
        <f>IF(OR(Q124="",P124="",P124=0,Q124=0),"",Q124/P124-1)</f>
        <v/>
      </c>
      <c r="T124" s="43">
        <f>IF(OR(P124="",E124="",E124=0),"",P124/E124)</f>
        <v/>
      </c>
      <c r="U124" s="43">
        <f>IF(OR(Q124="",F124="",F124=0),"",Q124/F124)</f>
        <v/>
      </c>
      <c r="V124" s="44">
        <f>IF(OR(U124="",T124=""),"",(U124-T124)*100)</f>
        <v/>
      </c>
      <c r="W124" s="70" t="n"/>
      <c r="X124" s="70" t="n"/>
      <c r="Y124" s="69">
        <f>IF(OR(X124="",W124="",W124=0,X124=0),"",X124-W124)</f>
        <v/>
      </c>
      <c r="Z124" s="42">
        <f>IF(OR(X124="",W124="",W124=0,X124=0),"",X124/W124-1)</f>
        <v/>
      </c>
      <c r="AA124" s="43">
        <f>IF(OR(W124="",P124="",P124=0),"",W124/P124)</f>
        <v/>
      </c>
      <c r="AB124" s="43">
        <f>IF(OR(X124="",Q124="",Q124=0),"",X124/Q124)</f>
        <v/>
      </c>
      <c r="AC124" s="44">
        <f>IF(OR(AB124="",AA124=""),"",(AB124-AA124)*100)</f>
        <v/>
      </c>
      <c r="AD124" s="70" t="n"/>
      <c r="AE124" s="70" t="n"/>
      <c r="AF124" s="69">
        <f>IF(OR(AE124="",AD124="",AD124=0,AE124=0),"",AE124-AD124)</f>
        <v/>
      </c>
      <c r="AG124" s="42">
        <f>IF(OR(AE124="",AD124="",AD124=0,AE124=0),"",AE124/AD124-1)</f>
        <v/>
      </c>
      <c r="AH124" s="43">
        <f>IF(OR(AD124="",W124="",W124=0),"",AD124/W124)</f>
        <v/>
      </c>
      <c r="AI124" s="43">
        <f>IF(OR(AE124="",X124="",X124=0),"",AE124/X124)</f>
        <v/>
      </c>
      <c r="AJ124" s="44">
        <f>IF(OR(AI124="",AH124=""),"",(AI124-AH124)*100)</f>
        <v/>
      </c>
      <c r="AK124" s="70" t="n"/>
      <c r="AL124" s="70" t="n"/>
      <c r="AM124" s="69">
        <f>IF(OR(AL124="",AK124="",AK124=0,AL124=0),"",AL124-AK124)</f>
        <v/>
      </c>
      <c r="AN124" s="42">
        <f>IF(OR(AL124="",AK124="",AK124=0,AL124=0),"",AL124/AK124-1)</f>
        <v/>
      </c>
      <c r="AO124" s="43">
        <f>IF(OR(AK124="",AD124="",AD124=0),"",AK124/AD124)</f>
        <v/>
      </c>
      <c r="AP124" s="43">
        <f>IF(OR(AL124="",AE124="",AE124=0),"",AL124/AE124)</f>
        <v/>
      </c>
      <c r="AQ124" s="44">
        <f>IF(OR(AP124="",AO124=""),"",(AP124-AO124)*100)</f>
        <v/>
      </c>
      <c r="AR124" s="70" t="n"/>
      <c r="AS124" s="70" t="n"/>
      <c r="AT124" s="69">
        <f>IF(OR(AS124="",AR124="",AR124=0,AS124=0),"",AS124-AR124)</f>
        <v/>
      </c>
      <c r="AU124" s="42">
        <f>IF(OR(AS124="",AR124="",AR124=0,AS124=0),"",AS124/AR124-1)</f>
        <v/>
      </c>
      <c r="AV124" s="43">
        <f>IF(OR(AR124="",AK124="",AK124=0),"",AR124/AK124)</f>
        <v/>
      </c>
      <c r="AW124" s="43">
        <f>IF(OR(AS124="",AL124="",AL124=0),"",AS124/AL124)</f>
        <v/>
      </c>
      <c r="AX124" s="44">
        <f>IF(OR(AW124="",AV124=""),"",(AW124-AV124)*100)</f>
        <v/>
      </c>
      <c r="AY124" s="45">
        <f>IF(OR(AR124="",P124="",P124=0),"",AR124/P124)</f>
        <v/>
      </c>
      <c r="AZ124" s="45">
        <f>IF(OR(AS124="",Q124="",Q124=0),"",AS124/Q124)</f>
        <v/>
      </c>
      <c r="BA124" s="44">
        <f>IF(OR(AZ124="",AY124=""),"",(AZ124-AY124)*100)</f>
        <v/>
      </c>
      <c r="BB124" s="45">
        <f>IF(OR(AR124="",E124="",E124=0),"",AR124/E124)</f>
        <v/>
      </c>
      <c r="BC124" s="45">
        <f>IF(OR(AS124="",F124="",F124=0),"",AS124/F124)</f>
        <v/>
      </c>
      <c r="BD124" s="44">
        <f>IF(OR(BC124="",BB124=""),"",(BC124-BB124)*100)</f>
        <v/>
      </c>
      <c r="BE124" s="40">
        <f>IF(AND(F124&lt;&gt;"",E124&lt;&gt;""),"Both years",IF(F124&lt;&gt;"","1-23Aug26 rows only","1-23Aug25 rows only"))</f>
        <v/>
      </c>
    </row>
    <row r="125">
      <c r="A125" s="40" t="inlineStr">
        <is>
          <t>Home page</t>
        </is>
      </c>
      <c r="B125" s="40" t="inlineStr">
        <is>
          <t>Paid Search</t>
        </is>
      </c>
      <c r="C125" s="40" t="inlineStr">
        <is>
          <t>Mobile</t>
        </is>
      </c>
      <c r="D125" s="40" t="inlineStr">
        <is>
          <t>United States</t>
        </is>
      </c>
      <c r="E125" s="68" t="n">
        <v>573</v>
      </c>
      <c r="F125" s="68" t="n">
        <v>641</v>
      </c>
      <c r="G125" s="69">
        <f>IF(OR(F125="",E125="",E125=0,F125=0),"",F125-E125)</f>
        <v/>
      </c>
      <c r="H125" s="42">
        <f>IF(OR(F125="",E125="",E125=0,F125=0),"",F125/E125-1)</f>
        <v/>
      </c>
      <c r="I125" s="68" t="n">
        <v>280</v>
      </c>
      <c r="J125" s="68" t="n">
        <v>289</v>
      </c>
      <c r="K125" s="69">
        <f>IF(OR(J125="",I125="",I125=0,J125=0),"",J125-I125)</f>
        <v/>
      </c>
      <c r="L125" s="42">
        <f>IF(OR(J125="",I125="",I125=0,J125=0),"",J125/I125-1)</f>
        <v/>
      </c>
      <c r="M125" s="43">
        <f>IF(OR(I125="",E125="",E125=0),"",I125/E125)</f>
        <v/>
      </c>
      <c r="N125" s="43">
        <f>IF(OR(J125="",F125="",F125=0),"",J125/F125)</f>
        <v/>
      </c>
      <c r="O125" s="44">
        <f>IF(OR(N125="",M125=""),"",(N125-M125)*100)</f>
        <v/>
      </c>
      <c r="P125" s="70" t="n"/>
      <c r="Q125" s="68" t="n">
        <v>280</v>
      </c>
      <c r="R125" s="69">
        <f>IF(OR(Q125="",P125="",P125=0,Q125=0),"",Q125-P125)</f>
        <v/>
      </c>
      <c r="S125" s="42">
        <f>IF(OR(Q125="",P125="",P125=0,Q125=0),"",Q125/P125-1)</f>
        <v/>
      </c>
      <c r="T125" s="43">
        <f>IF(OR(P125="",E125="",E125=0),"",P125/E125)</f>
        <v/>
      </c>
      <c r="U125" s="43">
        <f>IF(OR(Q125="",F125="",F125=0),"",Q125/F125)</f>
        <v/>
      </c>
      <c r="V125" s="44">
        <f>IF(OR(U125="",T125=""),"",(U125-T125)*100)</f>
        <v/>
      </c>
      <c r="W125" s="68" t="n">
        <v>90</v>
      </c>
      <c r="X125" s="68" t="n">
        <v>97</v>
      </c>
      <c r="Y125" s="69">
        <f>IF(OR(X125="",W125="",W125=0,X125=0),"",X125-W125)</f>
        <v/>
      </c>
      <c r="Z125" s="42">
        <f>IF(OR(X125="",W125="",W125=0,X125=0),"",X125/W125-1)</f>
        <v/>
      </c>
      <c r="AA125" s="43">
        <f>IF(OR(W125="",P125="",P125=0),"",W125/P125)</f>
        <v/>
      </c>
      <c r="AB125" s="43">
        <f>IF(OR(X125="",Q125="",Q125=0),"",X125/Q125)</f>
        <v/>
      </c>
      <c r="AC125" s="44">
        <f>IF(OR(AB125="",AA125=""),"",(AB125-AA125)*100)</f>
        <v/>
      </c>
      <c r="AD125" s="68" t="n">
        <v>76</v>
      </c>
      <c r="AE125" s="68" t="n">
        <v>88</v>
      </c>
      <c r="AF125" s="69">
        <f>IF(OR(AE125="",AD125="",AD125=0,AE125=0),"",AE125-AD125)</f>
        <v/>
      </c>
      <c r="AG125" s="42">
        <f>IF(OR(AE125="",AD125="",AD125=0,AE125=0),"",AE125/AD125-1)</f>
        <v/>
      </c>
      <c r="AH125" s="43">
        <f>IF(OR(AD125="",W125="",W125=0),"",AD125/W125)</f>
        <v/>
      </c>
      <c r="AI125" s="43">
        <f>IF(OR(AE125="",X125="",X125=0),"",AE125/X125)</f>
        <v/>
      </c>
      <c r="AJ125" s="44">
        <f>IF(OR(AI125="",AH125=""),"",(AI125-AH125)*100)</f>
        <v/>
      </c>
      <c r="AK125" s="68" t="n">
        <v>39</v>
      </c>
      <c r="AL125" s="68" t="n">
        <v>39</v>
      </c>
      <c r="AM125" s="69">
        <f>IF(OR(AL125="",AK125="",AK125=0,AL125=0),"",AL125-AK125)</f>
        <v/>
      </c>
      <c r="AN125" s="42">
        <f>IF(OR(AL125="",AK125="",AK125=0,AL125=0),"",AL125/AK125-1)</f>
        <v/>
      </c>
      <c r="AO125" s="43">
        <f>IF(OR(AK125="",AD125="",AD125=0),"",AK125/AD125)</f>
        <v/>
      </c>
      <c r="AP125" s="43">
        <f>IF(OR(AL125="",AE125="",AE125=0),"",AL125/AE125)</f>
        <v/>
      </c>
      <c r="AQ125" s="44">
        <f>IF(OR(AP125="",AO125=""),"",(AP125-AO125)*100)</f>
        <v/>
      </c>
      <c r="AR125" s="68" t="n">
        <v>25</v>
      </c>
      <c r="AS125" s="68" t="n">
        <v>33</v>
      </c>
      <c r="AT125" s="69">
        <f>IF(OR(AS125="",AR125="",AR125=0,AS125=0),"",AS125-AR125)</f>
        <v/>
      </c>
      <c r="AU125" s="42">
        <f>IF(OR(AS125="",AR125="",AR125=0,AS125=0),"",AS125/AR125-1)</f>
        <v/>
      </c>
      <c r="AV125" s="43">
        <f>IF(OR(AR125="",AK125="",AK125=0),"",AR125/AK125)</f>
        <v/>
      </c>
      <c r="AW125" s="43">
        <f>IF(OR(AS125="",AL125="",AL125=0),"",AS125/AL125)</f>
        <v/>
      </c>
      <c r="AX125" s="44">
        <f>IF(OR(AW125="",AV125=""),"",(AW125-AV125)*100)</f>
        <v/>
      </c>
      <c r="AY125" s="45">
        <f>IF(OR(AR125="",P125="",P125=0),"",AR125/P125)</f>
        <v/>
      </c>
      <c r="AZ125" s="45">
        <f>IF(OR(AS125="",Q125="",Q125=0),"",AS125/Q125)</f>
        <v/>
      </c>
      <c r="BA125" s="44">
        <f>IF(OR(AZ125="",AY125=""),"",(AZ125-AY125)*100)</f>
        <v/>
      </c>
      <c r="BB125" s="45">
        <f>IF(OR(AR125="",E125="",E125=0),"",AR125/E125)</f>
        <v/>
      </c>
      <c r="BC125" s="45">
        <f>IF(OR(AS125="",F125="",F125=0),"",AS125/F125)</f>
        <v/>
      </c>
      <c r="BD125" s="44">
        <f>IF(OR(BC125="",BB125=""),"",(BC125-BB125)*100)</f>
        <v/>
      </c>
      <c r="BE125" s="40">
        <f>IF(AND(F125&lt;&gt;"",E125&lt;&gt;""),"Both years",IF(F125&lt;&gt;"","1-23Aug26 rows only","1-23Aug25 rows only"))</f>
        <v/>
      </c>
    </row>
    <row r="126">
      <c r="A126" s="56" t="inlineStr">
        <is>
          <t>Home page</t>
        </is>
      </c>
      <c r="B126" s="56" t="inlineStr">
        <is>
          <t>Paid Search</t>
        </is>
      </c>
      <c r="C126" s="56" t="inlineStr">
        <is>
          <t>Mobile</t>
        </is>
      </c>
      <c r="D126" s="56" t="inlineStr">
        <is>
          <t>Austria</t>
        </is>
      </c>
      <c r="E126" s="68" t="n">
        <v>489</v>
      </c>
      <c r="F126" s="68" t="n">
        <v>607</v>
      </c>
      <c r="G126" s="69">
        <f>IF(OR(F126="",E126="",E126=0,F126=0),"",F126-E126)</f>
        <v/>
      </c>
      <c r="H126" s="42">
        <f>IF(OR(F126="",E126="",E126=0,F126=0),"",F126/E126-1)</f>
        <v/>
      </c>
      <c r="I126" s="70" t="n"/>
      <c r="J126" s="70" t="n"/>
      <c r="K126" s="69">
        <f>IF(OR(J126="",I126="",I126=0,J126=0),"",J126-I126)</f>
        <v/>
      </c>
      <c r="L126" s="42">
        <f>IF(OR(J126="",I126="",I126=0,J126=0),"",J126/I126-1)</f>
        <v/>
      </c>
      <c r="M126" s="43">
        <f>IF(OR(I126="",E126="",E126=0),"",I126/E126)</f>
        <v/>
      </c>
      <c r="N126" s="43">
        <f>IF(OR(J126="",F126="",F126=0),"",J126/F126)</f>
        <v/>
      </c>
      <c r="O126" s="44">
        <f>IF(OR(N126="",M126=""),"",(N126-M126)*100)</f>
        <v/>
      </c>
      <c r="P126" s="68" t="n">
        <v>291</v>
      </c>
      <c r="Q126" s="68" t="n">
        <v>374</v>
      </c>
      <c r="R126" s="69">
        <f>IF(OR(Q126="",P126="",P126=0,Q126=0),"",Q126-P126)</f>
        <v/>
      </c>
      <c r="S126" s="42">
        <f>IF(OR(Q126="",P126="",P126=0,Q126=0),"",Q126/P126-1)</f>
        <v/>
      </c>
      <c r="T126" s="43">
        <f>IF(OR(P126="",E126="",E126=0),"",P126/E126)</f>
        <v/>
      </c>
      <c r="U126" s="43">
        <f>IF(OR(Q126="",F126="",F126=0),"",Q126/F126)</f>
        <v/>
      </c>
      <c r="V126" s="44">
        <f>IF(OR(U126="",T126=""),"",(U126-T126)*100)</f>
        <v/>
      </c>
      <c r="W126" s="70" t="n"/>
      <c r="X126" s="70" t="n"/>
      <c r="Y126" s="69">
        <f>IF(OR(X126="",W126="",W126=0,X126=0),"",X126-W126)</f>
        <v/>
      </c>
      <c r="Z126" s="42">
        <f>IF(OR(X126="",W126="",W126=0,X126=0),"",X126/W126-1)</f>
        <v/>
      </c>
      <c r="AA126" s="43">
        <f>IF(OR(W126="",P126="",P126=0),"",W126/P126)</f>
        <v/>
      </c>
      <c r="AB126" s="43">
        <f>IF(OR(X126="",Q126="",Q126=0),"",X126/Q126)</f>
        <v/>
      </c>
      <c r="AC126" s="44">
        <f>IF(OR(AB126="",AA126=""),"",(AB126-AA126)*100)</f>
        <v/>
      </c>
      <c r="AD126" s="70" t="n"/>
      <c r="AE126" s="70" t="n"/>
      <c r="AF126" s="69">
        <f>IF(OR(AE126="",AD126="",AD126=0,AE126=0),"",AE126-AD126)</f>
        <v/>
      </c>
      <c r="AG126" s="42">
        <f>IF(OR(AE126="",AD126="",AD126=0,AE126=0),"",AE126/AD126-1)</f>
        <v/>
      </c>
      <c r="AH126" s="43">
        <f>IF(OR(AD126="",W126="",W126=0),"",AD126/W126)</f>
        <v/>
      </c>
      <c r="AI126" s="43">
        <f>IF(OR(AE126="",X126="",X126=0),"",AE126/X126)</f>
        <v/>
      </c>
      <c r="AJ126" s="44">
        <f>IF(OR(AI126="",AH126=""),"",(AI126-AH126)*100)</f>
        <v/>
      </c>
      <c r="AK126" s="70" t="n"/>
      <c r="AL126" s="70" t="n"/>
      <c r="AM126" s="69">
        <f>IF(OR(AL126="",AK126="",AK126=0,AL126=0),"",AL126-AK126)</f>
        <v/>
      </c>
      <c r="AN126" s="42">
        <f>IF(OR(AL126="",AK126="",AK126=0,AL126=0),"",AL126/AK126-1)</f>
        <v/>
      </c>
      <c r="AO126" s="43">
        <f>IF(OR(AK126="",AD126="",AD126=0),"",AK126/AD126)</f>
        <v/>
      </c>
      <c r="AP126" s="43">
        <f>IF(OR(AL126="",AE126="",AE126=0),"",AL126/AE126)</f>
        <v/>
      </c>
      <c r="AQ126" s="44">
        <f>IF(OR(AP126="",AO126=""),"",(AP126-AO126)*100)</f>
        <v/>
      </c>
      <c r="AR126" s="70" t="n"/>
      <c r="AS126" s="70" t="n"/>
      <c r="AT126" s="69">
        <f>IF(OR(AS126="",AR126="",AR126=0,AS126=0),"",AS126-AR126)</f>
        <v/>
      </c>
      <c r="AU126" s="42">
        <f>IF(OR(AS126="",AR126="",AR126=0,AS126=0),"",AS126/AR126-1)</f>
        <v/>
      </c>
      <c r="AV126" s="43">
        <f>IF(OR(AR126="",AK126="",AK126=0),"",AR126/AK126)</f>
        <v/>
      </c>
      <c r="AW126" s="43">
        <f>IF(OR(AS126="",AL126="",AL126=0),"",AS126/AL126)</f>
        <v/>
      </c>
      <c r="AX126" s="44">
        <f>IF(OR(AW126="",AV126=""),"",(AW126-AV126)*100)</f>
        <v/>
      </c>
      <c r="AY126" s="45">
        <f>IF(OR(AR126="",P126="",P126=0),"",AR126/P126)</f>
        <v/>
      </c>
      <c r="AZ126" s="45">
        <f>IF(OR(AS126="",Q126="",Q126=0),"",AS126/Q126)</f>
        <v/>
      </c>
      <c r="BA126" s="44">
        <f>IF(OR(AZ126="",AY126=""),"",(AZ126-AY126)*100)</f>
        <v/>
      </c>
      <c r="BB126" s="45">
        <f>IF(OR(AR126="",E126="",E126=0),"",AR126/E126)</f>
        <v/>
      </c>
      <c r="BC126" s="45">
        <f>IF(OR(AS126="",F126="",F126=0),"",AS126/F126)</f>
        <v/>
      </c>
      <c r="BD126" s="44">
        <f>IF(OR(BC126="",BB126=""),"",(BC126-BB126)*100)</f>
        <v/>
      </c>
      <c r="BE126" s="40">
        <f>IF(AND(F126&lt;&gt;"",E126&lt;&gt;""),"Both years",IF(F126&lt;&gt;"","1-23Aug26 rows only","1-23Aug25 rows only"))</f>
        <v/>
      </c>
    </row>
    <row r="127">
      <c r="A127" s="40" t="inlineStr">
        <is>
          <t>Home page</t>
        </is>
      </c>
      <c r="B127" s="40" t="inlineStr">
        <is>
          <t>Paid Search</t>
        </is>
      </c>
      <c r="C127" s="40" t="inlineStr">
        <is>
          <t>Mobile</t>
        </is>
      </c>
      <c r="D127" s="40" t="inlineStr">
        <is>
          <t>Türkiye</t>
        </is>
      </c>
      <c r="E127" s="68" t="n">
        <v>589</v>
      </c>
      <c r="F127" s="70" t="n"/>
      <c r="G127" s="69">
        <f>IF(OR(F127="",E127="",E127=0,F127=0),"",F127-E127)</f>
        <v/>
      </c>
      <c r="H127" s="42">
        <f>IF(OR(F127="",E127="",E127=0,F127=0),"",F127/E127-1)</f>
        <v/>
      </c>
      <c r="I127" s="70" t="n"/>
      <c r="J127" s="70" t="n"/>
      <c r="K127" s="69">
        <f>IF(OR(J127="",I127="",I127=0,J127=0),"",J127-I127)</f>
        <v/>
      </c>
      <c r="L127" s="42">
        <f>IF(OR(J127="",I127="",I127=0,J127=0),"",J127/I127-1)</f>
        <v/>
      </c>
      <c r="M127" s="43">
        <f>IF(OR(I127="",E127="",E127=0),"",I127/E127)</f>
        <v/>
      </c>
      <c r="N127" s="43">
        <f>IF(OR(J127="",F127="",F127=0),"",J127/F127)</f>
        <v/>
      </c>
      <c r="O127" s="44">
        <f>IF(OR(N127="",M127=""),"",(N127-M127)*100)</f>
        <v/>
      </c>
      <c r="P127" s="68" t="n">
        <v>307</v>
      </c>
      <c r="Q127" s="70" t="n"/>
      <c r="R127" s="69">
        <f>IF(OR(Q127="",P127="",P127=0,Q127=0),"",Q127-P127)</f>
        <v/>
      </c>
      <c r="S127" s="42">
        <f>IF(OR(Q127="",P127="",P127=0,Q127=0),"",Q127/P127-1)</f>
        <v/>
      </c>
      <c r="T127" s="43">
        <f>IF(OR(P127="",E127="",E127=0),"",P127/E127)</f>
        <v/>
      </c>
      <c r="U127" s="43">
        <f>IF(OR(Q127="",F127="",F127=0),"",Q127/F127)</f>
        <v/>
      </c>
      <c r="V127" s="44">
        <f>IF(OR(U127="",T127=""),"",(U127-T127)*100)</f>
        <v/>
      </c>
      <c r="W127" s="70" t="n"/>
      <c r="X127" s="70" t="n"/>
      <c r="Y127" s="69">
        <f>IF(OR(X127="",W127="",W127=0,X127=0),"",X127-W127)</f>
        <v/>
      </c>
      <c r="Z127" s="42">
        <f>IF(OR(X127="",W127="",W127=0,X127=0),"",X127/W127-1)</f>
        <v/>
      </c>
      <c r="AA127" s="43">
        <f>IF(OR(W127="",P127="",P127=0),"",W127/P127)</f>
        <v/>
      </c>
      <c r="AB127" s="43">
        <f>IF(OR(X127="",Q127="",Q127=0),"",X127/Q127)</f>
        <v/>
      </c>
      <c r="AC127" s="44">
        <f>IF(OR(AB127="",AA127=""),"",(AB127-AA127)*100)</f>
        <v/>
      </c>
      <c r="AD127" s="70" t="n"/>
      <c r="AE127" s="70" t="n"/>
      <c r="AF127" s="69">
        <f>IF(OR(AE127="",AD127="",AD127=0,AE127=0),"",AE127-AD127)</f>
        <v/>
      </c>
      <c r="AG127" s="42">
        <f>IF(OR(AE127="",AD127="",AD127=0,AE127=0),"",AE127/AD127-1)</f>
        <v/>
      </c>
      <c r="AH127" s="43">
        <f>IF(OR(AD127="",W127="",W127=0),"",AD127/W127)</f>
        <v/>
      </c>
      <c r="AI127" s="43">
        <f>IF(OR(AE127="",X127="",X127=0),"",AE127/X127)</f>
        <v/>
      </c>
      <c r="AJ127" s="44">
        <f>IF(OR(AI127="",AH127=""),"",(AI127-AH127)*100)</f>
        <v/>
      </c>
      <c r="AK127" s="70" t="n"/>
      <c r="AL127" s="70" t="n"/>
      <c r="AM127" s="69">
        <f>IF(OR(AL127="",AK127="",AK127=0,AL127=0),"",AL127-AK127)</f>
        <v/>
      </c>
      <c r="AN127" s="42">
        <f>IF(OR(AL127="",AK127="",AK127=0,AL127=0),"",AL127/AK127-1)</f>
        <v/>
      </c>
      <c r="AO127" s="43">
        <f>IF(OR(AK127="",AD127="",AD127=0),"",AK127/AD127)</f>
        <v/>
      </c>
      <c r="AP127" s="43">
        <f>IF(OR(AL127="",AE127="",AE127=0),"",AL127/AE127)</f>
        <v/>
      </c>
      <c r="AQ127" s="44">
        <f>IF(OR(AP127="",AO127=""),"",(AP127-AO127)*100)</f>
        <v/>
      </c>
      <c r="AR127" s="70" t="n"/>
      <c r="AS127" s="70" t="n"/>
      <c r="AT127" s="69">
        <f>IF(OR(AS127="",AR127="",AR127=0,AS127=0),"",AS127-AR127)</f>
        <v/>
      </c>
      <c r="AU127" s="42">
        <f>IF(OR(AS127="",AR127="",AR127=0,AS127=0),"",AS127/AR127-1)</f>
        <v/>
      </c>
      <c r="AV127" s="43">
        <f>IF(OR(AR127="",AK127="",AK127=0),"",AR127/AK127)</f>
        <v/>
      </c>
      <c r="AW127" s="43">
        <f>IF(OR(AS127="",AL127="",AL127=0),"",AS127/AL127)</f>
        <v/>
      </c>
      <c r="AX127" s="44">
        <f>IF(OR(AW127="",AV127=""),"",(AW127-AV127)*100)</f>
        <v/>
      </c>
      <c r="AY127" s="45">
        <f>IF(OR(AR127="",P127="",P127=0),"",AR127/P127)</f>
        <v/>
      </c>
      <c r="AZ127" s="45">
        <f>IF(OR(AS127="",Q127="",Q127=0),"",AS127/Q127)</f>
        <v/>
      </c>
      <c r="BA127" s="44">
        <f>IF(OR(AZ127="",AY127=""),"",(AZ127-AY127)*100)</f>
        <v/>
      </c>
      <c r="BB127" s="45">
        <f>IF(OR(AR127="",E127="",E127=0),"",AR127/E127)</f>
        <v/>
      </c>
      <c r="BC127" s="45">
        <f>IF(OR(AS127="",F127="",F127=0),"",AS127/F127)</f>
        <v/>
      </c>
      <c r="BD127" s="44">
        <f>IF(OR(BC127="",BB127=""),"",(BC127-BB127)*100)</f>
        <v/>
      </c>
      <c r="BE127" s="40">
        <f>IF(AND(F127&lt;&gt;"",E127&lt;&gt;""),"Both years",IF(F127&lt;&gt;"","1-23Aug26 rows only","1-23Aug25 rows only"))</f>
        <v/>
      </c>
    </row>
    <row r="128">
      <c r="A128" s="56" t="inlineStr">
        <is>
          <t>Home page</t>
        </is>
      </c>
      <c r="B128" s="56" t="inlineStr">
        <is>
          <t>Paid Search</t>
        </is>
      </c>
      <c r="C128" s="56" t="inlineStr">
        <is>
          <t>Mobile</t>
        </is>
      </c>
      <c r="D128" s="56" t="inlineStr">
        <is>
          <t>Switzerland</t>
        </is>
      </c>
      <c r="E128" s="68" t="n">
        <v>559</v>
      </c>
      <c r="F128" s="70" t="n"/>
      <c r="G128" s="69">
        <f>IF(OR(F128="",E128="",E128=0,F128=0),"",F128-E128)</f>
        <v/>
      </c>
      <c r="H128" s="42">
        <f>IF(OR(F128="",E128="",E128=0,F128=0),"",F128/E128-1)</f>
        <v/>
      </c>
      <c r="I128" s="70" t="n"/>
      <c r="J128" s="70" t="n"/>
      <c r="K128" s="69">
        <f>IF(OR(J128="",I128="",I128=0,J128=0),"",J128-I128)</f>
        <v/>
      </c>
      <c r="L128" s="42">
        <f>IF(OR(J128="",I128="",I128=0,J128=0),"",J128/I128-1)</f>
        <v/>
      </c>
      <c r="M128" s="43">
        <f>IF(OR(I128="",E128="",E128=0),"",I128/E128)</f>
        <v/>
      </c>
      <c r="N128" s="43">
        <f>IF(OR(J128="",F128="",F128=0),"",J128/F128)</f>
        <v/>
      </c>
      <c r="O128" s="44">
        <f>IF(OR(N128="",M128=""),"",(N128-M128)*100)</f>
        <v/>
      </c>
      <c r="P128" s="68" t="n">
        <v>299</v>
      </c>
      <c r="Q128" s="70" t="n"/>
      <c r="R128" s="69">
        <f>IF(OR(Q128="",P128="",P128=0,Q128=0),"",Q128-P128)</f>
        <v/>
      </c>
      <c r="S128" s="42">
        <f>IF(OR(Q128="",P128="",P128=0,Q128=0),"",Q128/P128-1)</f>
        <v/>
      </c>
      <c r="T128" s="43">
        <f>IF(OR(P128="",E128="",E128=0),"",P128/E128)</f>
        <v/>
      </c>
      <c r="U128" s="43">
        <f>IF(OR(Q128="",F128="",F128=0),"",Q128/F128)</f>
        <v/>
      </c>
      <c r="V128" s="44">
        <f>IF(OR(U128="",T128=""),"",(U128-T128)*100)</f>
        <v/>
      </c>
      <c r="W128" s="70" t="n"/>
      <c r="X128" s="70" t="n"/>
      <c r="Y128" s="69">
        <f>IF(OR(X128="",W128="",W128=0,X128=0),"",X128-W128)</f>
        <v/>
      </c>
      <c r="Z128" s="42">
        <f>IF(OR(X128="",W128="",W128=0,X128=0),"",X128/W128-1)</f>
        <v/>
      </c>
      <c r="AA128" s="43">
        <f>IF(OR(W128="",P128="",P128=0),"",W128/P128)</f>
        <v/>
      </c>
      <c r="AB128" s="43">
        <f>IF(OR(X128="",Q128="",Q128=0),"",X128/Q128)</f>
        <v/>
      </c>
      <c r="AC128" s="44">
        <f>IF(OR(AB128="",AA128=""),"",(AB128-AA128)*100)</f>
        <v/>
      </c>
      <c r="AD128" s="70" t="n"/>
      <c r="AE128" s="70" t="n"/>
      <c r="AF128" s="69">
        <f>IF(OR(AE128="",AD128="",AD128=0,AE128=0),"",AE128-AD128)</f>
        <v/>
      </c>
      <c r="AG128" s="42">
        <f>IF(OR(AE128="",AD128="",AD128=0,AE128=0),"",AE128/AD128-1)</f>
        <v/>
      </c>
      <c r="AH128" s="43">
        <f>IF(OR(AD128="",W128="",W128=0),"",AD128/W128)</f>
        <v/>
      </c>
      <c r="AI128" s="43">
        <f>IF(OR(AE128="",X128="",X128=0),"",AE128/X128)</f>
        <v/>
      </c>
      <c r="AJ128" s="44">
        <f>IF(OR(AI128="",AH128=""),"",(AI128-AH128)*100)</f>
        <v/>
      </c>
      <c r="AK128" s="70" t="n"/>
      <c r="AL128" s="70" t="n"/>
      <c r="AM128" s="69">
        <f>IF(OR(AL128="",AK128="",AK128=0,AL128=0),"",AL128-AK128)</f>
        <v/>
      </c>
      <c r="AN128" s="42">
        <f>IF(OR(AL128="",AK128="",AK128=0,AL128=0),"",AL128/AK128-1)</f>
        <v/>
      </c>
      <c r="AO128" s="43">
        <f>IF(OR(AK128="",AD128="",AD128=0),"",AK128/AD128)</f>
        <v/>
      </c>
      <c r="AP128" s="43">
        <f>IF(OR(AL128="",AE128="",AE128=0),"",AL128/AE128)</f>
        <v/>
      </c>
      <c r="AQ128" s="44">
        <f>IF(OR(AP128="",AO128=""),"",(AP128-AO128)*100)</f>
        <v/>
      </c>
      <c r="AR128" s="70" t="n"/>
      <c r="AS128" s="70" t="n"/>
      <c r="AT128" s="69">
        <f>IF(OR(AS128="",AR128="",AR128=0,AS128=0),"",AS128-AR128)</f>
        <v/>
      </c>
      <c r="AU128" s="42">
        <f>IF(OR(AS128="",AR128="",AR128=0,AS128=0),"",AS128/AR128-1)</f>
        <v/>
      </c>
      <c r="AV128" s="43">
        <f>IF(OR(AR128="",AK128="",AK128=0),"",AR128/AK128)</f>
        <v/>
      </c>
      <c r="AW128" s="43">
        <f>IF(OR(AS128="",AL128="",AL128=0),"",AS128/AL128)</f>
        <v/>
      </c>
      <c r="AX128" s="44">
        <f>IF(OR(AW128="",AV128=""),"",(AW128-AV128)*100)</f>
        <v/>
      </c>
      <c r="AY128" s="45">
        <f>IF(OR(AR128="",P128="",P128=0),"",AR128/P128)</f>
        <v/>
      </c>
      <c r="AZ128" s="45">
        <f>IF(OR(AS128="",Q128="",Q128=0),"",AS128/Q128)</f>
        <v/>
      </c>
      <c r="BA128" s="44">
        <f>IF(OR(AZ128="",AY128=""),"",(AZ128-AY128)*100)</f>
        <v/>
      </c>
      <c r="BB128" s="45">
        <f>IF(OR(AR128="",E128="",E128=0),"",AR128/E128)</f>
        <v/>
      </c>
      <c r="BC128" s="45">
        <f>IF(OR(AS128="",F128="",F128=0),"",AS128/F128)</f>
        <v/>
      </c>
      <c r="BD128" s="44">
        <f>IF(OR(BC128="",BB128=""),"",(BC128-BB128)*100)</f>
        <v/>
      </c>
      <c r="BE128" s="40">
        <f>IF(AND(F128&lt;&gt;"",E128&lt;&gt;""),"Both years",IF(F128&lt;&gt;"","1-23Aug26 rows only","1-23Aug25 rows only"))</f>
        <v/>
      </c>
    </row>
    <row r="129">
      <c r="A129" s="40" t="inlineStr">
        <is>
          <t>Home page</t>
        </is>
      </c>
      <c r="B129" s="40" t="inlineStr">
        <is>
          <t>Paid Search</t>
        </is>
      </c>
      <c r="C129" s="40" t="inlineStr">
        <is>
          <t>Mobile</t>
        </is>
      </c>
      <c r="D129" s="40" t="inlineStr">
        <is>
          <t>Greece</t>
        </is>
      </c>
      <c r="E129" s="68" t="n">
        <v>488</v>
      </c>
      <c r="F129" s="70" t="n"/>
      <c r="G129" s="69">
        <f>IF(OR(F129="",E129="",E129=0,F129=0),"",F129-E129)</f>
        <v/>
      </c>
      <c r="H129" s="42">
        <f>IF(OR(F129="",E129="",E129=0,F129=0),"",F129/E129-1)</f>
        <v/>
      </c>
      <c r="I129" s="70" t="n"/>
      <c r="J129" s="70" t="n"/>
      <c r="K129" s="69">
        <f>IF(OR(J129="",I129="",I129=0,J129=0),"",J129-I129)</f>
        <v/>
      </c>
      <c r="L129" s="42">
        <f>IF(OR(J129="",I129="",I129=0,J129=0),"",J129/I129-1)</f>
        <v/>
      </c>
      <c r="M129" s="43">
        <f>IF(OR(I129="",E129="",E129=0),"",I129/E129)</f>
        <v/>
      </c>
      <c r="N129" s="43">
        <f>IF(OR(J129="",F129="",F129=0),"",J129/F129)</f>
        <v/>
      </c>
      <c r="O129" s="44">
        <f>IF(OR(N129="",M129=""),"",(N129-M129)*100)</f>
        <v/>
      </c>
      <c r="P129" s="70" t="n"/>
      <c r="Q129" s="70" t="n"/>
      <c r="R129" s="69">
        <f>IF(OR(Q129="",P129="",P129=0,Q129=0),"",Q129-P129)</f>
        <v/>
      </c>
      <c r="S129" s="42">
        <f>IF(OR(Q129="",P129="",P129=0,Q129=0),"",Q129/P129-1)</f>
        <v/>
      </c>
      <c r="T129" s="43">
        <f>IF(OR(P129="",E129="",E129=0),"",P129/E129)</f>
        <v/>
      </c>
      <c r="U129" s="43">
        <f>IF(OR(Q129="",F129="",F129=0),"",Q129/F129)</f>
        <v/>
      </c>
      <c r="V129" s="44">
        <f>IF(OR(U129="",T129=""),"",(U129-T129)*100)</f>
        <v/>
      </c>
      <c r="W129" s="70" t="n"/>
      <c r="X129" s="70" t="n"/>
      <c r="Y129" s="69">
        <f>IF(OR(X129="",W129="",W129=0,X129=0),"",X129-W129)</f>
        <v/>
      </c>
      <c r="Z129" s="42">
        <f>IF(OR(X129="",W129="",W129=0,X129=0),"",X129/W129-1)</f>
        <v/>
      </c>
      <c r="AA129" s="43">
        <f>IF(OR(W129="",P129="",P129=0),"",W129/P129)</f>
        <v/>
      </c>
      <c r="AB129" s="43">
        <f>IF(OR(X129="",Q129="",Q129=0),"",X129/Q129)</f>
        <v/>
      </c>
      <c r="AC129" s="44">
        <f>IF(OR(AB129="",AA129=""),"",(AB129-AA129)*100)</f>
        <v/>
      </c>
      <c r="AD129" s="70" t="n"/>
      <c r="AE129" s="70" t="n"/>
      <c r="AF129" s="69">
        <f>IF(OR(AE129="",AD129="",AD129=0,AE129=0),"",AE129-AD129)</f>
        <v/>
      </c>
      <c r="AG129" s="42">
        <f>IF(OR(AE129="",AD129="",AD129=0,AE129=0),"",AE129/AD129-1)</f>
        <v/>
      </c>
      <c r="AH129" s="43">
        <f>IF(OR(AD129="",W129="",W129=0),"",AD129/W129)</f>
        <v/>
      </c>
      <c r="AI129" s="43">
        <f>IF(OR(AE129="",X129="",X129=0),"",AE129/X129)</f>
        <v/>
      </c>
      <c r="AJ129" s="44">
        <f>IF(OR(AI129="",AH129=""),"",(AI129-AH129)*100)</f>
        <v/>
      </c>
      <c r="AK129" s="70" t="n"/>
      <c r="AL129" s="70" t="n"/>
      <c r="AM129" s="69">
        <f>IF(OR(AL129="",AK129="",AK129=0,AL129=0),"",AL129-AK129)</f>
        <v/>
      </c>
      <c r="AN129" s="42">
        <f>IF(OR(AL129="",AK129="",AK129=0,AL129=0),"",AL129/AK129-1)</f>
        <v/>
      </c>
      <c r="AO129" s="43">
        <f>IF(OR(AK129="",AD129="",AD129=0),"",AK129/AD129)</f>
        <v/>
      </c>
      <c r="AP129" s="43">
        <f>IF(OR(AL129="",AE129="",AE129=0),"",AL129/AE129)</f>
        <v/>
      </c>
      <c r="AQ129" s="44">
        <f>IF(OR(AP129="",AO129=""),"",(AP129-AO129)*100)</f>
        <v/>
      </c>
      <c r="AR129" s="70" t="n"/>
      <c r="AS129" s="70" t="n"/>
      <c r="AT129" s="69">
        <f>IF(OR(AS129="",AR129="",AR129=0,AS129=0),"",AS129-AR129)</f>
        <v/>
      </c>
      <c r="AU129" s="42">
        <f>IF(OR(AS129="",AR129="",AR129=0,AS129=0),"",AS129/AR129-1)</f>
        <v/>
      </c>
      <c r="AV129" s="43">
        <f>IF(OR(AR129="",AK129="",AK129=0),"",AR129/AK129)</f>
        <v/>
      </c>
      <c r="AW129" s="43">
        <f>IF(OR(AS129="",AL129="",AL129=0),"",AS129/AL129)</f>
        <v/>
      </c>
      <c r="AX129" s="44">
        <f>IF(OR(AW129="",AV129=""),"",(AW129-AV129)*100)</f>
        <v/>
      </c>
      <c r="AY129" s="45">
        <f>IF(OR(AR129="",P129="",P129=0),"",AR129/P129)</f>
        <v/>
      </c>
      <c r="AZ129" s="45">
        <f>IF(OR(AS129="",Q129="",Q129=0),"",AS129/Q129)</f>
        <v/>
      </c>
      <c r="BA129" s="44">
        <f>IF(OR(AZ129="",AY129=""),"",(AZ129-AY129)*100)</f>
        <v/>
      </c>
      <c r="BB129" s="45">
        <f>IF(OR(AR129="",E129="",E129=0),"",AR129/E129)</f>
        <v/>
      </c>
      <c r="BC129" s="45">
        <f>IF(OR(AS129="",F129="",F129=0),"",AS129/F129)</f>
        <v/>
      </c>
      <c r="BD129" s="44">
        <f>IF(OR(BC129="",BB129=""),"",(BC129-BB129)*100)</f>
        <v/>
      </c>
      <c r="BE129" s="40">
        <f>IF(AND(F129&lt;&gt;"",E129&lt;&gt;""),"Both years",IF(F129&lt;&gt;"","1-23Aug26 rows only","1-23Aug25 rows only"))</f>
        <v/>
      </c>
    </row>
    <row r="130">
      <c r="A130" s="56" t="inlineStr">
        <is>
          <t>Home page</t>
        </is>
      </c>
      <c r="B130" s="56" t="inlineStr">
        <is>
          <t>Paid Search</t>
        </is>
      </c>
      <c r="C130" s="56" t="inlineStr">
        <is>
          <t>Mobile</t>
        </is>
      </c>
      <c r="D130" s="56" t="inlineStr">
        <is>
          <t>Norway</t>
        </is>
      </c>
      <c r="E130" s="70" t="n"/>
      <c r="F130" s="70" t="n"/>
      <c r="G130" s="69">
        <f>IF(OR(F130="",E130="",E130=0,F130=0),"",F130-E130)</f>
        <v/>
      </c>
      <c r="H130" s="42">
        <f>IF(OR(F130="",E130="",E130=0,F130=0),"",F130/E130-1)</f>
        <v/>
      </c>
      <c r="I130" s="68" t="n">
        <v>245</v>
      </c>
      <c r="J130" s="68" t="n">
        <v>273</v>
      </c>
      <c r="K130" s="69">
        <f>IF(OR(J130="",I130="",I130=0,J130=0),"",J130-I130)</f>
        <v/>
      </c>
      <c r="L130" s="42">
        <f>IF(OR(J130="",I130="",I130=0,J130=0),"",J130/I130-1)</f>
        <v/>
      </c>
      <c r="M130" s="43">
        <f>IF(OR(I130="",E130="",E130=0),"",I130/E130)</f>
        <v/>
      </c>
      <c r="N130" s="43">
        <f>IF(OR(J130="",F130="",F130=0),"",J130/F130)</f>
        <v/>
      </c>
      <c r="O130" s="44">
        <f>IF(OR(N130="",M130=""),"",(N130-M130)*100)</f>
        <v/>
      </c>
      <c r="P130" s="70" t="n"/>
      <c r="Q130" s="70" t="n"/>
      <c r="R130" s="69">
        <f>IF(OR(Q130="",P130="",P130=0,Q130=0),"",Q130-P130)</f>
        <v/>
      </c>
      <c r="S130" s="42">
        <f>IF(OR(Q130="",P130="",P130=0,Q130=0),"",Q130/P130-1)</f>
        <v/>
      </c>
      <c r="T130" s="43">
        <f>IF(OR(P130="",E130="",E130=0),"",P130/E130)</f>
        <v/>
      </c>
      <c r="U130" s="43">
        <f>IF(OR(Q130="",F130="",F130=0),"",Q130/F130)</f>
        <v/>
      </c>
      <c r="V130" s="44">
        <f>IF(OR(U130="",T130=""),"",(U130-T130)*100)</f>
        <v/>
      </c>
      <c r="W130" s="68" t="n">
        <v>87</v>
      </c>
      <c r="X130" s="68" t="n">
        <v>90</v>
      </c>
      <c r="Y130" s="69">
        <f>IF(OR(X130="",W130="",W130=0,X130=0),"",X130-W130)</f>
        <v/>
      </c>
      <c r="Z130" s="42">
        <f>IF(OR(X130="",W130="",W130=0,X130=0),"",X130/W130-1)</f>
        <v/>
      </c>
      <c r="AA130" s="43">
        <f>IF(OR(W130="",P130="",P130=0),"",W130/P130)</f>
        <v/>
      </c>
      <c r="AB130" s="43">
        <f>IF(OR(X130="",Q130="",Q130=0),"",X130/Q130)</f>
        <v/>
      </c>
      <c r="AC130" s="44">
        <f>IF(OR(AB130="",AA130=""),"",(AB130-AA130)*100)</f>
        <v/>
      </c>
      <c r="AD130" s="68" t="n">
        <v>74</v>
      </c>
      <c r="AE130" s="68" t="n">
        <v>57</v>
      </c>
      <c r="AF130" s="69">
        <f>IF(OR(AE130="",AD130="",AD130=0,AE130=0),"",AE130-AD130)</f>
        <v/>
      </c>
      <c r="AG130" s="42">
        <f>IF(OR(AE130="",AD130="",AD130=0,AE130=0),"",AE130/AD130-1)</f>
        <v/>
      </c>
      <c r="AH130" s="43">
        <f>IF(OR(AD130="",W130="",W130=0),"",AD130/W130)</f>
        <v/>
      </c>
      <c r="AI130" s="43">
        <f>IF(OR(AE130="",X130="",X130=0),"",AE130/X130)</f>
        <v/>
      </c>
      <c r="AJ130" s="44">
        <f>IF(OR(AI130="",AH130=""),"",(AI130-AH130)*100)</f>
        <v/>
      </c>
      <c r="AK130" s="68" t="n">
        <v>28</v>
      </c>
      <c r="AL130" s="68" t="n">
        <v>34</v>
      </c>
      <c r="AM130" s="69">
        <f>IF(OR(AL130="",AK130="",AK130=0,AL130=0),"",AL130-AK130)</f>
        <v/>
      </c>
      <c r="AN130" s="42">
        <f>IF(OR(AL130="",AK130="",AK130=0,AL130=0),"",AL130/AK130-1)</f>
        <v/>
      </c>
      <c r="AO130" s="43">
        <f>IF(OR(AK130="",AD130="",AD130=0),"",AK130/AD130)</f>
        <v/>
      </c>
      <c r="AP130" s="43">
        <f>IF(OR(AL130="",AE130="",AE130=0),"",AL130/AE130)</f>
        <v/>
      </c>
      <c r="AQ130" s="44">
        <f>IF(OR(AP130="",AO130=""),"",(AP130-AO130)*100)</f>
        <v/>
      </c>
      <c r="AR130" s="68" t="n">
        <v>26</v>
      </c>
      <c r="AS130" s="68" t="n">
        <v>29</v>
      </c>
      <c r="AT130" s="69">
        <f>IF(OR(AS130="",AR130="",AR130=0,AS130=0),"",AS130-AR130)</f>
        <v/>
      </c>
      <c r="AU130" s="42">
        <f>IF(OR(AS130="",AR130="",AR130=0,AS130=0),"",AS130/AR130-1)</f>
        <v/>
      </c>
      <c r="AV130" s="43">
        <f>IF(OR(AR130="",AK130="",AK130=0),"",AR130/AK130)</f>
        <v/>
      </c>
      <c r="AW130" s="43">
        <f>IF(OR(AS130="",AL130="",AL130=0),"",AS130/AL130)</f>
        <v/>
      </c>
      <c r="AX130" s="44">
        <f>IF(OR(AW130="",AV130=""),"",(AW130-AV130)*100)</f>
        <v/>
      </c>
      <c r="AY130" s="45">
        <f>IF(OR(AR130="",P130="",P130=0),"",AR130/P130)</f>
        <v/>
      </c>
      <c r="AZ130" s="45">
        <f>IF(OR(AS130="",Q130="",Q130=0),"",AS130/Q130)</f>
        <v/>
      </c>
      <c r="BA130" s="44">
        <f>IF(OR(AZ130="",AY130=""),"",(AZ130-AY130)*100)</f>
        <v/>
      </c>
      <c r="BB130" s="45">
        <f>IF(OR(AR130="",E130="",E130=0),"",AR130/E130)</f>
        <v/>
      </c>
      <c r="BC130" s="45">
        <f>IF(OR(AS130="",F130="",F130=0),"",AS130/F130)</f>
        <v/>
      </c>
      <c r="BD130" s="44">
        <f>IF(OR(BC130="",BB130=""),"",(BC130-BB130)*100)</f>
        <v/>
      </c>
      <c r="BE130" s="40">
        <f>IF(AND(F130&lt;&gt;"",E130&lt;&gt;""),"Both years",IF(F130&lt;&gt;"","1-23Aug26 rows only","1-23Aug25 rows only"))</f>
        <v/>
      </c>
    </row>
    <row r="131">
      <c r="A131" s="40" t="inlineStr">
        <is>
          <t>Home page</t>
        </is>
      </c>
      <c r="B131" s="40" t="inlineStr">
        <is>
          <t>Paid Search</t>
        </is>
      </c>
      <c r="C131" s="40" t="inlineStr">
        <is>
          <t>Mobile</t>
        </is>
      </c>
      <c r="D131" s="40" t="inlineStr">
        <is>
          <t>Finland</t>
        </is>
      </c>
      <c r="E131" s="70" t="n"/>
      <c r="F131" s="70" t="n"/>
      <c r="G131" s="69">
        <f>IF(OR(F131="",E131="",E131=0,F131=0),"",F131-E131)</f>
        <v/>
      </c>
      <c r="H131" s="42">
        <f>IF(OR(F131="",E131="",E131=0,F131=0),"",F131/E131-1)</f>
        <v/>
      </c>
      <c r="I131" s="68" t="n">
        <v>263</v>
      </c>
      <c r="J131" s="68" t="n">
        <v>244</v>
      </c>
      <c r="K131" s="69">
        <f>IF(OR(J131="",I131="",I131=0,J131=0),"",J131-I131)</f>
        <v/>
      </c>
      <c r="L131" s="42">
        <f>IF(OR(J131="",I131="",I131=0,J131=0),"",J131/I131-1)</f>
        <v/>
      </c>
      <c r="M131" s="43">
        <f>IF(OR(I131="",E131="",E131=0),"",I131/E131)</f>
        <v/>
      </c>
      <c r="N131" s="43">
        <f>IF(OR(J131="",F131="",F131=0),"",J131/F131)</f>
        <v/>
      </c>
      <c r="O131" s="44">
        <f>IF(OR(N131="",M131=""),"",(N131-M131)*100)</f>
        <v/>
      </c>
      <c r="P131" s="68" t="n">
        <v>257</v>
      </c>
      <c r="Q131" s="70" t="n"/>
      <c r="R131" s="69">
        <f>IF(OR(Q131="",P131="",P131=0,Q131=0),"",Q131-P131)</f>
        <v/>
      </c>
      <c r="S131" s="42">
        <f>IF(OR(Q131="",P131="",P131=0,Q131=0),"",Q131/P131-1)</f>
        <v/>
      </c>
      <c r="T131" s="43">
        <f>IF(OR(P131="",E131="",E131=0),"",P131/E131)</f>
        <v/>
      </c>
      <c r="U131" s="43">
        <f>IF(OR(Q131="",F131="",F131=0),"",Q131/F131)</f>
        <v/>
      </c>
      <c r="V131" s="44">
        <f>IF(OR(U131="",T131=""),"",(U131-T131)*100)</f>
        <v/>
      </c>
      <c r="W131" s="68" t="n">
        <v>76</v>
      </c>
      <c r="X131" s="68" t="n">
        <v>73</v>
      </c>
      <c r="Y131" s="69">
        <f>IF(OR(X131="",W131="",W131=0,X131=0),"",X131-W131)</f>
        <v/>
      </c>
      <c r="Z131" s="42">
        <f>IF(OR(X131="",W131="",W131=0,X131=0),"",X131/W131-1)</f>
        <v/>
      </c>
      <c r="AA131" s="43">
        <f>IF(OR(W131="",P131="",P131=0),"",W131/P131)</f>
        <v/>
      </c>
      <c r="AB131" s="43">
        <f>IF(OR(X131="",Q131="",Q131=0),"",X131/Q131)</f>
        <v/>
      </c>
      <c r="AC131" s="44">
        <f>IF(OR(AB131="",AA131=""),"",(AB131-AA131)*100)</f>
        <v/>
      </c>
      <c r="AD131" s="68" t="n">
        <v>60</v>
      </c>
      <c r="AE131" s="68" t="n">
        <v>49</v>
      </c>
      <c r="AF131" s="69">
        <f>IF(OR(AE131="",AD131="",AD131=0,AE131=0),"",AE131-AD131)</f>
        <v/>
      </c>
      <c r="AG131" s="42">
        <f>IF(OR(AE131="",AD131="",AD131=0,AE131=0),"",AE131/AD131-1)</f>
        <v/>
      </c>
      <c r="AH131" s="43">
        <f>IF(OR(AD131="",W131="",W131=0),"",AD131/W131)</f>
        <v/>
      </c>
      <c r="AI131" s="43">
        <f>IF(OR(AE131="",X131="",X131=0),"",AE131/X131)</f>
        <v/>
      </c>
      <c r="AJ131" s="44">
        <f>IF(OR(AI131="",AH131=""),"",(AI131-AH131)*100)</f>
        <v/>
      </c>
      <c r="AK131" s="68" t="n">
        <v>30</v>
      </c>
      <c r="AL131" s="68" t="n">
        <v>30</v>
      </c>
      <c r="AM131" s="69">
        <f>IF(OR(AL131="",AK131="",AK131=0,AL131=0),"",AL131-AK131)</f>
        <v/>
      </c>
      <c r="AN131" s="42">
        <f>IF(OR(AL131="",AK131="",AK131=0,AL131=0),"",AL131/AK131-1)</f>
        <v/>
      </c>
      <c r="AO131" s="43">
        <f>IF(OR(AK131="",AD131="",AD131=0),"",AK131/AD131)</f>
        <v/>
      </c>
      <c r="AP131" s="43">
        <f>IF(OR(AL131="",AE131="",AE131=0),"",AL131/AE131)</f>
        <v/>
      </c>
      <c r="AQ131" s="44">
        <f>IF(OR(AP131="",AO131=""),"",(AP131-AO131)*100)</f>
        <v/>
      </c>
      <c r="AR131" s="68" t="n">
        <v>27</v>
      </c>
      <c r="AS131" s="68" t="n">
        <v>24</v>
      </c>
      <c r="AT131" s="69">
        <f>IF(OR(AS131="",AR131="",AR131=0,AS131=0),"",AS131-AR131)</f>
        <v/>
      </c>
      <c r="AU131" s="42">
        <f>IF(OR(AS131="",AR131="",AR131=0,AS131=0),"",AS131/AR131-1)</f>
        <v/>
      </c>
      <c r="AV131" s="43">
        <f>IF(OR(AR131="",AK131="",AK131=0),"",AR131/AK131)</f>
        <v/>
      </c>
      <c r="AW131" s="43">
        <f>IF(OR(AS131="",AL131="",AL131=0),"",AS131/AL131)</f>
        <v/>
      </c>
      <c r="AX131" s="44">
        <f>IF(OR(AW131="",AV131=""),"",(AW131-AV131)*100)</f>
        <v/>
      </c>
      <c r="AY131" s="45">
        <f>IF(OR(AR131="",P131="",P131=0),"",AR131/P131)</f>
        <v/>
      </c>
      <c r="AZ131" s="45">
        <f>IF(OR(AS131="",Q131="",Q131=0),"",AS131/Q131)</f>
        <v/>
      </c>
      <c r="BA131" s="44">
        <f>IF(OR(AZ131="",AY131=""),"",(AZ131-AY131)*100)</f>
        <v/>
      </c>
      <c r="BB131" s="45">
        <f>IF(OR(AR131="",E131="",E131=0),"",AR131/E131)</f>
        <v/>
      </c>
      <c r="BC131" s="45">
        <f>IF(OR(AS131="",F131="",F131=0),"",AS131/F131)</f>
        <v/>
      </c>
      <c r="BD131" s="44">
        <f>IF(OR(BC131="",BB131=""),"",(BC131-BB131)*100)</f>
        <v/>
      </c>
      <c r="BE131" s="40">
        <f>IF(AND(F131&lt;&gt;"",E131&lt;&gt;""),"Both years",IF(F131&lt;&gt;"","1-23Aug26 rows only","1-23Aug25 rows only"))</f>
        <v/>
      </c>
    </row>
    <row r="132">
      <c r="A132" s="40" t="inlineStr">
        <is>
          <t>Home page</t>
        </is>
      </c>
      <c r="B132" s="40" t="inlineStr">
        <is>
          <t>Paid Search</t>
        </is>
      </c>
      <c r="C132" s="40" t="inlineStr">
        <is>
          <t>Desktop</t>
        </is>
      </c>
      <c r="D132" s="40" t="inlineStr">
        <is>
          <t>United Kingdom</t>
        </is>
      </c>
      <c r="E132" s="68" t="n">
        <v>7742</v>
      </c>
      <c r="F132" s="68" t="n">
        <v>7343</v>
      </c>
      <c r="G132" s="69">
        <f>IF(OR(F132="",E132="",E132=0,F132=0),"",F132-E132)</f>
        <v/>
      </c>
      <c r="H132" s="42">
        <f>IF(OR(F132="",E132="",E132=0,F132=0),"",F132/E132-1)</f>
        <v/>
      </c>
      <c r="I132" s="68" t="n">
        <v>5064</v>
      </c>
      <c r="J132" s="68" t="n">
        <v>4412</v>
      </c>
      <c r="K132" s="69">
        <f>IF(OR(J132="",I132="",I132=0,J132=0),"",J132-I132)</f>
        <v/>
      </c>
      <c r="L132" s="42">
        <f>IF(OR(J132="",I132="",I132=0,J132=0),"",J132/I132-1)</f>
        <v/>
      </c>
      <c r="M132" s="43">
        <f>IF(OR(I132="",E132="",E132=0),"",I132/E132)</f>
        <v/>
      </c>
      <c r="N132" s="43">
        <f>IF(OR(J132="",F132="",F132=0),"",J132/F132)</f>
        <v/>
      </c>
      <c r="O132" s="44">
        <f>IF(OR(N132="",M132=""),"",(N132-M132)*100)</f>
        <v/>
      </c>
      <c r="P132" s="68" t="n">
        <v>4675</v>
      </c>
      <c r="Q132" s="68" t="n">
        <v>4311</v>
      </c>
      <c r="R132" s="69">
        <f>IF(OR(Q132="",P132="",P132=0,Q132=0),"",Q132-P132)</f>
        <v/>
      </c>
      <c r="S132" s="42">
        <f>IF(OR(Q132="",P132="",P132=0,Q132=0),"",Q132/P132-1)</f>
        <v/>
      </c>
      <c r="T132" s="43">
        <f>IF(OR(P132="",E132="",E132=0),"",P132/E132)</f>
        <v/>
      </c>
      <c r="U132" s="43">
        <f>IF(OR(Q132="",F132="",F132=0),"",Q132/F132)</f>
        <v/>
      </c>
      <c r="V132" s="44">
        <f>IF(OR(U132="",T132=""),"",(U132-T132)*100)</f>
        <v/>
      </c>
      <c r="W132" s="68" t="n">
        <v>1448</v>
      </c>
      <c r="X132" s="68" t="n">
        <v>1537</v>
      </c>
      <c r="Y132" s="69">
        <f>IF(OR(X132="",W132="",W132=0,X132=0),"",X132-W132)</f>
        <v/>
      </c>
      <c r="Z132" s="42">
        <f>IF(OR(X132="",W132="",W132=0,X132=0),"",X132/W132-1)</f>
        <v/>
      </c>
      <c r="AA132" s="43">
        <f>IF(OR(W132="",P132="",P132=0),"",W132/P132)</f>
        <v/>
      </c>
      <c r="AB132" s="43">
        <f>IF(OR(X132="",Q132="",Q132=0),"",X132/Q132)</f>
        <v/>
      </c>
      <c r="AC132" s="44">
        <f>IF(OR(AB132="",AA132=""),"",(AB132-AA132)*100)</f>
        <v/>
      </c>
      <c r="AD132" s="68" t="n">
        <v>1298</v>
      </c>
      <c r="AE132" s="68" t="n">
        <v>1376</v>
      </c>
      <c r="AF132" s="69">
        <f>IF(OR(AE132="",AD132="",AD132=0,AE132=0),"",AE132-AD132)</f>
        <v/>
      </c>
      <c r="AG132" s="42">
        <f>IF(OR(AE132="",AD132="",AD132=0,AE132=0),"",AE132/AD132-1)</f>
        <v/>
      </c>
      <c r="AH132" s="43">
        <f>IF(OR(AD132="",W132="",W132=0),"",AD132/W132)</f>
        <v/>
      </c>
      <c r="AI132" s="43">
        <f>IF(OR(AE132="",X132="",X132=0),"",AE132/X132)</f>
        <v/>
      </c>
      <c r="AJ132" s="44">
        <f>IF(OR(AI132="",AH132=""),"",(AI132-AH132)*100)</f>
        <v/>
      </c>
      <c r="AK132" s="68" t="n">
        <v>842</v>
      </c>
      <c r="AL132" s="68" t="n">
        <v>986</v>
      </c>
      <c r="AM132" s="69">
        <f>IF(OR(AL132="",AK132="",AK132=0,AL132=0),"",AL132-AK132)</f>
        <v/>
      </c>
      <c r="AN132" s="42">
        <f>IF(OR(AL132="",AK132="",AK132=0,AL132=0),"",AL132/AK132-1)</f>
        <v/>
      </c>
      <c r="AO132" s="43">
        <f>IF(OR(AK132="",AD132="",AD132=0),"",AK132/AD132)</f>
        <v/>
      </c>
      <c r="AP132" s="43">
        <f>IF(OR(AL132="",AE132="",AE132=0),"",AL132/AE132)</f>
        <v/>
      </c>
      <c r="AQ132" s="44">
        <f>IF(OR(AP132="",AO132=""),"",(AP132-AO132)*100)</f>
        <v/>
      </c>
      <c r="AR132" s="68" t="n">
        <v>718</v>
      </c>
      <c r="AS132" s="68" t="n">
        <v>887</v>
      </c>
      <c r="AT132" s="69">
        <f>IF(OR(AS132="",AR132="",AR132=0,AS132=0),"",AS132-AR132)</f>
        <v/>
      </c>
      <c r="AU132" s="42">
        <f>IF(OR(AS132="",AR132="",AR132=0,AS132=0),"",AS132/AR132-1)</f>
        <v/>
      </c>
      <c r="AV132" s="43">
        <f>IF(OR(AR132="",AK132="",AK132=0),"",AR132/AK132)</f>
        <v/>
      </c>
      <c r="AW132" s="43">
        <f>IF(OR(AS132="",AL132="",AL132=0),"",AS132/AL132)</f>
        <v/>
      </c>
      <c r="AX132" s="44">
        <f>IF(OR(AW132="",AV132=""),"",(AW132-AV132)*100)</f>
        <v/>
      </c>
      <c r="AY132" s="45">
        <f>IF(OR(AR132="",P132="",P132=0),"",AR132/P132)</f>
        <v/>
      </c>
      <c r="AZ132" s="45">
        <f>IF(OR(AS132="",Q132="",Q132=0),"",AS132/Q132)</f>
        <v/>
      </c>
      <c r="BA132" s="44">
        <f>IF(OR(AZ132="",AY132=""),"",(AZ132-AY132)*100)</f>
        <v/>
      </c>
      <c r="BB132" s="45">
        <f>IF(OR(AR132="",E132="",E132=0),"",AR132/E132)</f>
        <v/>
      </c>
      <c r="BC132" s="45">
        <f>IF(OR(AS132="",F132="",F132=0),"",AS132/F132)</f>
        <v/>
      </c>
      <c r="BD132" s="44">
        <f>IF(OR(BC132="",BB132=""),"",(BC132-BB132)*100)</f>
        <v/>
      </c>
      <c r="BE132" s="40">
        <f>IF(AND(F132&lt;&gt;"",E132&lt;&gt;""),"Both years",IF(F132&lt;&gt;"","1-23Aug26 rows only","1-23Aug25 rows only"))</f>
        <v/>
      </c>
    </row>
    <row r="133">
      <c r="A133" s="56" t="inlineStr">
        <is>
          <t>Home page</t>
        </is>
      </c>
      <c r="B133" s="56" t="inlineStr">
        <is>
          <t>Paid Search</t>
        </is>
      </c>
      <c r="C133" s="56" t="inlineStr">
        <is>
          <t>Desktop</t>
        </is>
      </c>
      <c r="D133" s="56" t="inlineStr">
        <is>
          <t>Germany</t>
        </is>
      </c>
      <c r="E133" s="68" t="n">
        <v>6533</v>
      </c>
      <c r="F133" s="68" t="n">
        <v>3971</v>
      </c>
      <c r="G133" s="69">
        <f>IF(OR(F133="",E133="",E133=0,F133=0),"",F133-E133)</f>
        <v/>
      </c>
      <c r="H133" s="42">
        <f>IF(OR(F133="",E133="",E133=0,F133=0),"",F133/E133-1)</f>
        <v/>
      </c>
      <c r="I133" s="68" t="n">
        <v>3836</v>
      </c>
      <c r="J133" s="68" t="n">
        <v>2307</v>
      </c>
      <c r="K133" s="69">
        <f>IF(OR(J133="",I133="",I133=0,J133=0),"",J133-I133)</f>
        <v/>
      </c>
      <c r="L133" s="42">
        <f>IF(OR(J133="",I133="",I133=0,J133=0),"",J133/I133-1)</f>
        <v/>
      </c>
      <c r="M133" s="43">
        <f>IF(OR(I133="",E133="",E133=0),"",I133/E133)</f>
        <v/>
      </c>
      <c r="N133" s="43">
        <f>IF(OR(J133="",F133="",F133=0),"",J133/F133)</f>
        <v/>
      </c>
      <c r="O133" s="44">
        <f>IF(OR(N133="",M133=""),"",(N133-M133)*100)</f>
        <v/>
      </c>
      <c r="P133" s="68" t="n">
        <v>3053</v>
      </c>
      <c r="Q133" s="68" t="n">
        <v>2075</v>
      </c>
      <c r="R133" s="69">
        <f>IF(OR(Q133="",P133="",P133=0,Q133=0),"",Q133-P133)</f>
        <v/>
      </c>
      <c r="S133" s="42">
        <f>IF(OR(Q133="",P133="",P133=0,Q133=0),"",Q133/P133-1)</f>
        <v/>
      </c>
      <c r="T133" s="43">
        <f>IF(OR(P133="",E133="",E133=0),"",P133/E133)</f>
        <v/>
      </c>
      <c r="U133" s="43">
        <f>IF(OR(Q133="",F133="",F133=0),"",Q133/F133)</f>
        <v/>
      </c>
      <c r="V133" s="44">
        <f>IF(OR(U133="",T133=""),"",(U133-T133)*100)</f>
        <v/>
      </c>
      <c r="W133" s="68" t="n">
        <v>1064</v>
      </c>
      <c r="X133" s="68" t="n">
        <v>777</v>
      </c>
      <c r="Y133" s="69">
        <f>IF(OR(X133="",W133="",W133=0,X133=0),"",X133-W133)</f>
        <v/>
      </c>
      <c r="Z133" s="42">
        <f>IF(OR(X133="",W133="",W133=0,X133=0),"",X133/W133-1)</f>
        <v/>
      </c>
      <c r="AA133" s="43">
        <f>IF(OR(W133="",P133="",P133=0),"",W133/P133)</f>
        <v/>
      </c>
      <c r="AB133" s="43">
        <f>IF(OR(X133="",Q133="",Q133=0),"",X133/Q133)</f>
        <v/>
      </c>
      <c r="AC133" s="44">
        <f>IF(OR(AB133="",AA133=""),"",(AB133-AA133)*100)</f>
        <v/>
      </c>
      <c r="AD133" s="68" t="n">
        <v>867</v>
      </c>
      <c r="AE133" s="68" t="n">
        <v>630</v>
      </c>
      <c r="AF133" s="69">
        <f>IF(OR(AE133="",AD133="",AD133=0,AE133=0),"",AE133-AD133)</f>
        <v/>
      </c>
      <c r="AG133" s="42">
        <f>IF(OR(AE133="",AD133="",AD133=0,AE133=0),"",AE133/AD133-1)</f>
        <v/>
      </c>
      <c r="AH133" s="43">
        <f>IF(OR(AD133="",W133="",W133=0),"",AD133/W133)</f>
        <v/>
      </c>
      <c r="AI133" s="43">
        <f>IF(OR(AE133="",X133="",X133=0),"",AE133/X133)</f>
        <v/>
      </c>
      <c r="AJ133" s="44">
        <f>IF(OR(AI133="",AH133=""),"",(AI133-AH133)*100)</f>
        <v/>
      </c>
      <c r="AK133" s="68" t="n">
        <v>458</v>
      </c>
      <c r="AL133" s="68" t="n">
        <v>300</v>
      </c>
      <c r="AM133" s="69">
        <f>IF(OR(AL133="",AK133="",AK133=0,AL133=0),"",AL133-AK133)</f>
        <v/>
      </c>
      <c r="AN133" s="42">
        <f>IF(OR(AL133="",AK133="",AK133=0,AL133=0),"",AL133/AK133-1)</f>
        <v/>
      </c>
      <c r="AO133" s="43">
        <f>IF(OR(AK133="",AD133="",AD133=0),"",AK133/AD133)</f>
        <v/>
      </c>
      <c r="AP133" s="43">
        <f>IF(OR(AL133="",AE133="",AE133=0),"",AL133/AE133)</f>
        <v/>
      </c>
      <c r="AQ133" s="44">
        <f>IF(OR(AP133="",AO133=""),"",(AP133-AO133)*100)</f>
        <v/>
      </c>
      <c r="AR133" s="68" t="n">
        <v>401</v>
      </c>
      <c r="AS133" s="68" t="n">
        <v>260</v>
      </c>
      <c r="AT133" s="69">
        <f>IF(OR(AS133="",AR133="",AR133=0,AS133=0),"",AS133-AR133)</f>
        <v/>
      </c>
      <c r="AU133" s="42">
        <f>IF(OR(AS133="",AR133="",AR133=0,AS133=0),"",AS133/AR133-1)</f>
        <v/>
      </c>
      <c r="AV133" s="43">
        <f>IF(OR(AR133="",AK133="",AK133=0),"",AR133/AK133)</f>
        <v/>
      </c>
      <c r="AW133" s="43">
        <f>IF(OR(AS133="",AL133="",AL133=0),"",AS133/AL133)</f>
        <v/>
      </c>
      <c r="AX133" s="44">
        <f>IF(OR(AW133="",AV133=""),"",(AW133-AV133)*100)</f>
        <v/>
      </c>
      <c r="AY133" s="45">
        <f>IF(OR(AR133="",P133="",P133=0),"",AR133/P133)</f>
        <v/>
      </c>
      <c r="AZ133" s="45">
        <f>IF(OR(AS133="",Q133="",Q133=0),"",AS133/Q133)</f>
        <v/>
      </c>
      <c r="BA133" s="44">
        <f>IF(OR(AZ133="",AY133=""),"",(AZ133-AY133)*100)</f>
        <v/>
      </c>
      <c r="BB133" s="45">
        <f>IF(OR(AR133="",E133="",E133=0),"",AR133/E133)</f>
        <v/>
      </c>
      <c r="BC133" s="45">
        <f>IF(OR(AS133="",F133="",F133=0),"",AS133/F133)</f>
        <v/>
      </c>
      <c r="BD133" s="44">
        <f>IF(OR(BC133="",BB133=""),"",(BC133-BB133)*100)</f>
        <v/>
      </c>
      <c r="BE133" s="40">
        <f>IF(AND(F133&lt;&gt;"",E133&lt;&gt;""),"Both years",IF(F133&lt;&gt;"","1-23Aug26 rows only","1-23Aug25 rows only"))</f>
        <v/>
      </c>
    </row>
    <row r="134">
      <c r="A134" s="40" t="inlineStr">
        <is>
          <t>Home page</t>
        </is>
      </c>
      <c r="B134" s="40" t="inlineStr">
        <is>
          <t>Paid Search</t>
        </is>
      </c>
      <c r="C134" s="40" t="inlineStr">
        <is>
          <t>Desktop</t>
        </is>
      </c>
      <c r="D134" s="40" t="inlineStr">
        <is>
          <t>Italy</t>
        </is>
      </c>
      <c r="E134" s="68" t="n">
        <v>2416</v>
      </c>
      <c r="F134" s="68" t="n">
        <v>3626</v>
      </c>
      <c r="G134" s="69">
        <f>IF(OR(F134="",E134="",E134=0,F134=0),"",F134-E134)</f>
        <v/>
      </c>
      <c r="H134" s="42">
        <f>IF(OR(F134="",E134="",E134=0,F134=0),"",F134/E134-1)</f>
        <v/>
      </c>
      <c r="I134" s="68" t="n">
        <v>1232</v>
      </c>
      <c r="J134" s="68" t="n">
        <v>1727</v>
      </c>
      <c r="K134" s="69">
        <f>IF(OR(J134="",I134="",I134=0,J134=0),"",J134-I134)</f>
        <v/>
      </c>
      <c r="L134" s="42">
        <f>IF(OR(J134="",I134="",I134=0,J134=0),"",J134/I134-1)</f>
        <v/>
      </c>
      <c r="M134" s="43">
        <f>IF(OR(I134="",E134="",E134=0),"",I134/E134)</f>
        <v/>
      </c>
      <c r="N134" s="43">
        <f>IF(OR(J134="",F134="",F134=0),"",J134/F134)</f>
        <v/>
      </c>
      <c r="O134" s="44">
        <f>IF(OR(N134="",M134=""),"",(N134-M134)*100)</f>
        <v/>
      </c>
      <c r="P134" s="68" t="n">
        <v>1084</v>
      </c>
      <c r="Q134" s="68" t="n">
        <v>1477</v>
      </c>
      <c r="R134" s="69">
        <f>IF(OR(Q134="",P134="",P134=0,Q134=0),"",Q134-P134)</f>
        <v/>
      </c>
      <c r="S134" s="42">
        <f>IF(OR(Q134="",P134="",P134=0,Q134=0),"",Q134/P134-1)</f>
        <v/>
      </c>
      <c r="T134" s="43">
        <f>IF(OR(P134="",E134="",E134=0),"",P134/E134)</f>
        <v/>
      </c>
      <c r="U134" s="43">
        <f>IF(OR(Q134="",F134="",F134=0),"",Q134/F134)</f>
        <v/>
      </c>
      <c r="V134" s="44">
        <f>IF(OR(U134="",T134=""),"",(U134-T134)*100)</f>
        <v/>
      </c>
      <c r="W134" s="68" t="n">
        <v>353</v>
      </c>
      <c r="X134" s="68" t="n">
        <v>407</v>
      </c>
      <c r="Y134" s="69">
        <f>IF(OR(X134="",W134="",W134=0,X134=0),"",X134-W134)</f>
        <v/>
      </c>
      <c r="Z134" s="42">
        <f>IF(OR(X134="",W134="",W134=0,X134=0),"",X134/W134-1)</f>
        <v/>
      </c>
      <c r="AA134" s="43">
        <f>IF(OR(W134="",P134="",P134=0),"",W134/P134)</f>
        <v/>
      </c>
      <c r="AB134" s="43">
        <f>IF(OR(X134="",Q134="",Q134=0),"",X134/Q134)</f>
        <v/>
      </c>
      <c r="AC134" s="44">
        <f>IF(OR(AB134="",AA134=""),"",(AB134-AA134)*100)</f>
        <v/>
      </c>
      <c r="AD134" s="68" t="n">
        <v>316</v>
      </c>
      <c r="AE134" s="68" t="n">
        <v>350</v>
      </c>
      <c r="AF134" s="69">
        <f>IF(OR(AE134="",AD134="",AD134=0,AE134=0),"",AE134-AD134)</f>
        <v/>
      </c>
      <c r="AG134" s="42">
        <f>IF(OR(AE134="",AD134="",AD134=0,AE134=0),"",AE134/AD134-1)</f>
        <v/>
      </c>
      <c r="AH134" s="43">
        <f>IF(OR(AD134="",W134="",W134=0),"",AD134/W134)</f>
        <v/>
      </c>
      <c r="AI134" s="43">
        <f>IF(OR(AE134="",X134="",X134=0),"",AE134/X134)</f>
        <v/>
      </c>
      <c r="AJ134" s="44">
        <f>IF(OR(AI134="",AH134=""),"",(AI134-AH134)*100)</f>
        <v/>
      </c>
      <c r="AK134" s="68" t="n">
        <v>161</v>
      </c>
      <c r="AL134" s="68" t="n">
        <v>162</v>
      </c>
      <c r="AM134" s="69">
        <f>IF(OR(AL134="",AK134="",AK134=0,AL134=0),"",AL134-AK134)</f>
        <v/>
      </c>
      <c r="AN134" s="42">
        <f>IF(OR(AL134="",AK134="",AK134=0,AL134=0),"",AL134/AK134-1)</f>
        <v/>
      </c>
      <c r="AO134" s="43">
        <f>IF(OR(AK134="",AD134="",AD134=0),"",AK134/AD134)</f>
        <v/>
      </c>
      <c r="AP134" s="43">
        <f>IF(OR(AL134="",AE134="",AE134=0),"",AL134/AE134)</f>
        <v/>
      </c>
      <c r="AQ134" s="44">
        <f>IF(OR(AP134="",AO134=""),"",(AP134-AO134)*100)</f>
        <v/>
      </c>
      <c r="AR134" s="68" t="n">
        <v>133</v>
      </c>
      <c r="AS134" s="68" t="n">
        <v>130</v>
      </c>
      <c r="AT134" s="69">
        <f>IF(OR(AS134="",AR134="",AR134=0,AS134=0),"",AS134-AR134)</f>
        <v/>
      </c>
      <c r="AU134" s="42">
        <f>IF(OR(AS134="",AR134="",AR134=0,AS134=0),"",AS134/AR134-1)</f>
        <v/>
      </c>
      <c r="AV134" s="43">
        <f>IF(OR(AR134="",AK134="",AK134=0),"",AR134/AK134)</f>
        <v/>
      </c>
      <c r="AW134" s="43">
        <f>IF(OR(AS134="",AL134="",AL134=0),"",AS134/AL134)</f>
        <v/>
      </c>
      <c r="AX134" s="44">
        <f>IF(OR(AW134="",AV134=""),"",(AW134-AV134)*100)</f>
        <v/>
      </c>
      <c r="AY134" s="45">
        <f>IF(OR(AR134="",P134="",P134=0),"",AR134/P134)</f>
        <v/>
      </c>
      <c r="AZ134" s="45">
        <f>IF(OR(AS134="",Q134="",Q134=0),"",AS134/Q134)</f>
        <v/>
      </c>
      <c r="BA134" s="44">
        <f>IF(OR(AZ134="",AY134=""),"",(AZ134-AY134)*100)</f>
        <v/>
      </c>
      <c r="BB134" s="45">
        <f>IF(OR(AR134="",E134="",E134=0),"",AR134/E134)</f>
        <v/>
      </c>
      <c r="BC134" s="45">
        <f>IF(OR(AS134="",F134="",F134=0),"",AS134/F134)</f>
        <v/>
      </c>
      <c r="BD134" s="44">
        <f>IF(OR(BC134="",BB134=""),"",(BC134-BB134)*100)</f>
        <v/>
      </c>
      <c r="BE134" s="40">
        <f>IF(AND(F134&lt;&gt;"",E134&lt;&gt;""),"Both years",IF(F134&lt;&gt;"","1-23Aug26 rows only","1-23Aug25 rows only"))</f>
        <v/>
      </c>
    </row>
    <row r="135">
      <c r="A135" s="56" t="inlineStr">
        <is>
          <t>Home page</t>
        </is>
      </c>
      <c r="B135" s="56" t="inlineStr">
        <is>
          <t>Paid Search</t>
        </is>
      </c>
      <c r="C135" s="56" t="inlineStr">
        <is>
          <t>Desktop</t>
        </is>
      </c>
      <c r="D135" s="56" t="inlineStr">
        <is>
          <t>Spain</t>
        </is>
      </c>
      <c r="E135" s="68" t="n">
        <v>3285</v>
      </c>
      <c r="F135" s="68" t="n">
        <v>1916</v>
      </c>
      <c r="G135" s="69">
        <f>IF(OR(F135="",E135="",E135=0,F135=0),"",F135-E135)</f>
        <v/>
      </c>
      <c r="H135" s="42">
        <f>IF(OR(F135="",E135="",E135=0,F135=0),"",F135/E135-1)</f>
        <v/>
      </c>
      <c r="I135" s="68" t="n">
        <v>1847</v>
      </c>
      <c r="J135" s="68" t="n">
        <v>897</v>
      </c>
      <c r="K135" s="69">
        <f>IF(OR(J135="",I135="",I135=0,J135=0),"",J135-I135)</f>
        <v/>
      </c>
      <c r="L135" s="42">
        <f>IF(OR(J135="",I135="",I135=0,J135=0),"",J135/I135-1)</f>
        <v/>
      </c>
      <c r="M135" s="43">
        <f>IF(OR(I135="",E135="",E135=0),"",I135/E135)</f>
        <v/>
      </c>
      <c r="N135" s="43">
        <f>IF(OR(J135="",F135="",F135=0),"",J135/F135)</f>
        <v/>
      </c>
      <c r="O135" s="44">
        <f>IF(OR(N135="",M135=""),"",(N135-M135)*100)</f>
        <v/>
      </c>
      <c r="P135" s="68" t="n">
        <v>1436</v>
      </c>
      <c r="Q135" s="68" t="n">
        <v>765</v>
      </c>
      <c r="R135" s="69">
        <f>IF(OR(Q135="",P135="",P135=0,Q135=0),"",Q135-P135)</f>
        <v/>
      </c>
      <c r="S135" s="42">
        <f>IF(OR(Q135="",P135="",P135=0,Q135=0),"",Q135/P135-1)</f>
        <v/>
      </c>
      <c r="T135" s="43">
        <f>IF(OR(P135="",E135="",E135=0),"",P135/E135)</f>
        <v/>
      </c>
      <c r="U135" s="43">
        <f>IF(OR(Q135="",F135="",F135=0),"",Q135/F135)</f>
        <v/>
      </c>
      <c r="V135" s="44">
        <f>IF(OR(U135="",T135=""),"",(U135-T135)*100)</f>
        <v/>
      </c>
      <c r="W135" s="68" t="n">
        <v>342</v>
      </c>
      <c r="X135" s="68" t="n">
        <v>204</v>
      </c>
      <c r="Y135" s="69">
        <f>IF(OR(X135="",W135="",W135=0,X135=0),"",X135-W135)</f>
        <v/>
      </c>
      <c r="Z135" s="42">
        <f>IF(OR(X135="",W135="",W135=0,X135=0),"",X135/W135-1)</f>
        <v/>
      </c>
      <c r="AA135" s="43">
        <f>IF(OR(W135="",P135="",P135=0),"",W135/P135)</f>
        <v/>
      </c>
      <c r="AB135" s="43">
        <f>IF(OR(X135="",Q135="",Q135=0),"",X135/Q135)</f>
        <v/>
      </c>
      <c r="AC135" s="44">
        <f>IF(OR(AB135="",AA135=""),"",(AB135-AA135)*100)</f>
        <v/>
      </c>
      <c r="AD135" s="68" t="n">
        <v>286</v>
      </c>
      <c r="AE135" s="68" t="n">
        <v>181</v>
      </c>
      <c r="AF135" s="69">
        <f>IF(OR(AE135="",AD135="",AD135=0,AE135=0),"",AE135-AD135)</f>
        <v/>
      </c>
      <c r="AG135" s="42">
        <f>IF(OR(AE135="",AD135="",AD135=0,AE135=0),"",AE135/AD135-1)</f>
        <v/>
      </c>
      <c r="AH135" s="43">
        <f>IF(OR(AD135="",W135="",W135=0),"",AD135/W135)</f>
        <v/>
      </c>
      <c r="AI135" s="43">
        <f>IF(OR(AE135="",X135="",X135=0),"",AE135/X135)</f>
        <v/>
      </c>
      <c r="AJ135" s="44">
        <f>IF(OR(AI135="",AH135=""),"",(AI135-AH135)*100)</f>
        <v/>
      </c>
      <c r="AK135" s="68" t="n">
        <v>138</v>
      </c>
      <c r="AL135" s="68" t="n">
        <v>92</v>
      </c>
      <c r="AM135" s="69">
        <f>IF(OR(AL135="",AK135="",AK135=0,AL135=0),"",AL135-AK135)</f>
        <v/>
      </c>
      <c r="AN135" s="42">
        <f>IF(OR(AL135="",AK135="",AK135=0,AL135=0),"",AL135/AK135-1)</f>
        <v/>
      </c>
      <c r="AO135" s="43">
        <f>IF(OR(AK135="",AD135="",AD135=0),"",AK135/AD135)</f>
        <v/>
      </c>
      <c r="AP135" s="43">
        <f>IF(OR(AL135="",AE135="",AE135=0),"",AL135/AE135)</f>
        <v/>
      </c>
      <c r="AQ135" s="44">
        <f>IF(OR(AP135="",AO135=""),"",(AP135-AO135)*100)</f>
        <v/>
      </c>
      <c r="AR135" s="68" t="n">
        <v>117</v>
      </c>
      <c r="AS135" s="68" t="n">
        <v>75</v>
      </c>
      <c r="AT135" s="69">
        <f>IF(OR(AS135="",AR135="",AR135=0,AS135=0),"",AS135-AR135)</f>
        <v/>
      </c>
      <c r="AU135" s="42">
        <f>IF(OR(AS135="",AR135="",AR135=0,AS135=0),"",AS135/AR135-1)</f>
        <v/>
      </c>
      <c r="AV135" s="43">
        <f>IF(OR(AR135="",AK135="",AK135=0),"",AR135/AK135)</f>
        <v/>
      </c>
      <c r="AW135" s="43">
        <f>IF(OR(AS135="",AL135="",AL135=0),"",AS135/AL135)</f>
        <v/>
      </c>
      <c r="AX135" s="44">
        <f>IF(OR(AW135="",AV135=""),"",(AW135-AV135)*100)</f>
        <v/>
      </c>
      <c r="AY135" s="45">
        <f>IF(OR(AR135="",P135="",P135=0),"",AR135/P135)</f>
        <v/>
      </c>
      <c r="AZ135" s="45">
        <f>IF(OR(AS135="",Q135="",Q135=0),"",AS135/Q135)</f>
        <v/>
      </c>
      <c r="BA135" s="44">
        <f>IF(OR(AZ135="",AY135=""),"",(AZ135-AY135)*100)</f>
        <v/>
      </c>
      <c r="BB135" s="45">
        <f>IF(OR(AR135="",E135="",E135=0),"",AR135/E135)</f>
        <v/>
      </c>
      <c r="BC135" s="45">
        <f>IF(OR(AS135="",F135="",F135=0),"",AS135/F135)</f>
        <v/>
      </c>
      <c r="BD135" s="44">
        <f>IF(OR(BC135="",BB135=""),"",(BC135-BB135)*100)</f>
        <v/>
      </c>
      <c r="BE135" s="40">
        <f>IF(AND(F135&lt;&gt;"",E135&lt;&gt;""),"Both years",IF(F135&lt;&gt;"","1-23Aug26 rows only","1-23Aug25 rows only"))</f>
        <v/>
      </c>
    </row>
    <row r="136">
      <c r="A136" s="40" t="inlineStr">
        <is>
          <t>Home page</t>
        </is>
      </c>
      <c r="B136" s="40" t="inlineStr">
        <is>
          <t>Paid Search</t>
        </is>
      </c>
      <c r="C136" s="40" t="inlineStr">
        <is>
          <t>Desktop</t>
        </is>
      </c>
      <c r="D136" s="40" t="inlineStr">
        <is>
          <t>France</t>
        </is>
      </c>
      <c r="E136" s="68" t="n">
        <v>661</v>
      </c>
      <c r="F136" s="68" t="n">
        <v>1570</v>
      </c>
      <c r="G136" s="69">
        <f>IF(OR(F136="",E136="",E136=0,F136=0),"",F136-E136)</f>
        <v/>
      </c>
      <c r="H136" s="42">
        <f>IF(OR(F136="",E136="",E136=0,F136=0),"",F136/E136-1)</f>
        <v/>
      </c>
      <c r="I136" s="68" t="n">
        <v>445</v>
      </c>
      <c r="J136" s="68" t="n">
        <v>925</v>
      </c>
      <c r="K136" s="69">
        <f>IF(OR(J136="",I136="",I136=0,J136=0),"",J136-I136)</f>
        <v/>
      </c>
      <c r="L136" s="42">
        <f>IF(OR(J136="",I136="",I136=0,J136=0),"",J136/I136-1)</f>
        <v/>
      </c>
      <c r="M136" s="43">
        <f>IF(OR(I136="",E136="",E136=0),"",I136/E136)</f>
        <v/>
      </c>
      <c r="N136" s="43">
        <f>IF(OR(J136="",F136="",F136=0),"",J136/F136)</f>
        <v/>
      </c>
      <c r="O136" s="44">
        <f>IF(OR(N136="",M136=""),"",(N136-M136)*100)</f>
        <v/>
      </c>
      <c r="P136" s="68" t="n">
        <v>386</v>
      </c>
      <c r="Q136" s="68" t="n">
        <v>797</v>
      </c>
      <c r="R136" s="69">
        <f>IF(OR(Q136="",P136="",P136=0,Q136=0),"",Q136-P136)</f>
        <v/>
      </c>
      <c r="S136" s="42">
        <f>IF(OR(Q136="",P136="",P136=0,Q136=0),"",Q136/P136-1)</f>
        <v/>
      </c>
      <c r="T136" s="43">
        <f>IF(OR(P136="",E136="",E136=0),"",P136/E136)</f>
        <v/>
      </c>
      <c r="U136" s="43">
        <f>IF(OR(Q136="",F136="",F136=0),"",Q136/F136)</f>
        <v/>
      </c>
      <c r="V136" s="44">
        <f>IF(OR(U136="",T136=""),"",(U136-T136)*100)</f>
        <v/>
      </c>
      <c r="W136" s="68" t="n">
        <v>164</v>
      </c>
      <c r="X136" s="68" t="n">
        <v>301</v>
      </c>
      <c r="Y136" s="69">
        <f>IF(OR(X136="",W136="",W136=0,X136=0),"",X136-W136)</f>
        <v/>
      </c>
      <c r="Z136" s="42">
        <f>IF(OR(X136="",W136="",W136=0,X136=0),"",X136/W136-1)</f>
        <v/>
      </c>
      <c r="AA136" s="43">
        <f>IF(OR(W136="",P136="",P136=0),"",W136/P136)</f>
        <v/>
      </c>
      <c r="AB136" s="43">
        <f>IF(OR(X136="",Q136="",Q136=0),"",X136/Q136)</f>
        <v/>
      </c>
      <c r="AC136" s="44">
        <f>IF(OR(AB136="",AA136=""),"",(AB136-AA136)*100)</f>
        <v/>
      </c>
      <c r="AD136" s="68" t="n">
        <v>148</v>
      </c>
      <c r="AE136" s="68" t="n">
        <v>250</v>
      </c>
      <c r="AF136" s="69">
        <f>IF(OR(AE136="",AD136="",AD136=0,AE136=0),"",AE136-AD136)</f>
        <v/>
      </c>
      <c r="AG136" s="42">
        <f>IF(OR(AE136="",AD136="",AD136=0,AE136=0),"",AE136/AD136-1)</f>
        <v/>
      </c>
      <c r="AH136" s="43">
        <f>IF(OR(AD136="",W136="",W136=0),"",AD136/W136)</f>
        <v/>
      </c>
      <c r="AI136" s="43">
        <f>IF(OR(AE136="",X136="",X136=0),"",AE136/X136)</f>
        <v/>
      </c>
      <c r="AJ136" s="44">
        <f>IF(OR(AI136="",AH136=""),"",(AI136-AH136)*100)</f>
        <v/>
      </c>
      <c r="AK136" s="68" t="n">
        <v>93</v>
      </c>
      <c r="AL136" s="68" t="n">
        <v>109</v>
      </c>
      <c r="AM136" s="69">
        <f>IF(OR(AL136="",AK136="",AK136=0,AL136=0),"",AL136-AK136)</f>
        <v/>
      </c>
      <c r="AN136" s="42">
        <f>IF(OR(AL136="",AK136="",AK136=0,AL136=0),"",AL136/AK136-1)</f>
        <v/>
      </c>
      <c r="AO136" s="43">
        <f>IF(OR(AK136="",AD136="",AD136=0),"",AK136/AD136)</f>
        <v/>
      </c>
      <c r="AP136" s="43">
        <f>IF(OR(AL136="",AE136="",AE136=0),"",AL136/AE136)</f>
        <v/>
      </c>
      <c r="AQ136" s="44">
        <f>IF(OR(AP136="",AO136=""),"",(AP136-AO136)*100)</f>
        <v/>
      </c>
      <c r="AR136" s="68" t="n">
        <v>85</v>
      </c>
      <c r="AS136" s="68" t="n">
        <v>85</v>
      </c>
      <c r="AT136" s="69">
        <f>IF(OR(AS136="",AR136="",AR136=0,AS136=0),"",AS136-AR136)</f>
        <v/>
      </c>
      <c r="AU136" s="42">
        <f>IF(OR(AS136="",AR136="",AR136=0,AS136=0),"",AS136/AR136-1)</f>
        <v/>
      </c>
      <c r="AV136" s="43">
        <f>IF(OR(AR136="",AK136="",AK136=0),"",AR136/AK136)</f>
        <v/>
      </c>
      <c r="AW136" s="43">
        <f>IF(OR(AS136="",AL136="",AL136=0),"",AS136/AL136)</f>
        <v/>
      </c>
      <c r="AX136" s="44">
        <f>IF(OR(AW136="",AV136=""),"",(AW136-AV136)*100)</f>
        <v/>
      </c>
      <c r="AY136" s="45">
        <f>IF(OR(AR136="",P136="",P136=0),"",AR136/P136)</f>
        <v/>
      </c>
      <c r="AZ136" s="45">
        <f>IF(OR(AS136="",Q136="",Q136=0),"",AS136/Q136)</f>
        <v/>
      </c>
      <c r="BA136" s="44">
        <f>IF(OR(AZ136="",AY136=""),"",(AZ136-AY136)*100)</f>
        <v/>
      </c>
      <c r="BB136" s="45">
        <f>IF(OR(AR136="",E136="",E136=0),"",AR136/E136)</f>
        <v/>
      </c>
      <c r="BC136" s="45">
        <f>IF(OR(AS136="",F136="",F136=0),"",AS136/F136)</f>
        <v/>
      </c>
      <c r="BD136" s="44">
        <f>IF(OR(BC136="",BB136=""),"",(BC136-BB136)*100)</f>
        <v/>
      </c>
      <c r="BE136" s="40">
        <f>IF(AND(F136&lt;&gt;"",E136&lt;&gt;""),"Both years",IF(F136&lt;&gt;"","1-23Aug26 rows only","1-23Aug25 rows only"))</f>
        <v/>
      </c>
    </row>
    <row r="137">
      <c r="A137" s="56" t="inlineStr">
        <is>
          <t>Home page</t>
        </is>
      </c>
      <c r="B137" s="56" t="inlineStr">
        <is>
          <t>Paid Search</t>
        </is>
      </c>
      <c r="C137" s="56" t="inlineStr">
        <is>
          <t>Desktop</t>
        </is>
      </c>
      <c r="D137" s="56" t="inlineStr">
        <is>
          <t>Ireland</t>
        </is>
      </c>
      <c r="E137" s="68" t="n">
        <v>1632</v>
      </c>
      <c r="F137" s="68" t="n">
        <v>1544</v>
      </c>
      <c r="G137" s="69">
        <f>IF(OR(F137="",E137="",E137=0,F137=0),"",F137-E137)</f>
        <v/>
      </c>
      <c r="H137" s="42">
        <f>IF(OR(F137="",E137="",E137=0,F137=0),"",F137/E137-1)</f>
        <v/>
      </c>
      <c r="I137" s="68" t="n">
        <v>883</v>
      </c>
      <c r="J137" s="68" t="n">
        <v>736</v>
      </c>
      <c r="K137" s="69">
        <f>IF(OR(J137="",I137="",I137=0,J137=0),"",J137-I137)</f>
        <v/>
      </c>
      <c r="L137" s="42">
        <f>IF(OR(J137="",I137="",I137=0,J137=0),"",J137/I137-1)</f>
        <v/>
      </c>
      <c r="M137" s="43">
        <f>IF(OR(I137="",E137="",E137=0),"",I137/E137)</f>
        <v/>
      </c>
      <c r="N137" s="43">
        <f>IF(OR(J137="",F137="",F137=0),"",J137/F137)</f>
        <v/>
      </c>
      <c r="O137" s="44">
        <f>IF(OR(N137="",M137=""),"",(N137-M137)*100)</f>
        <v/>
      </c>
      <c r="P137" s="68" t="n">
        <v>838</v>
      </c>
      <c r="Q137" s="68" t="n">
        <v>712</v>
      </c>
      <c r="R137" s="69">
        <f>IF(OR(Q137="",P137="",P137=0,Q137=0),"",Q137-P137)</f>
        <v/>
      </c>
      <c r="S137" s="42">
        <f>IF(OR(Q137="",P137="",P137=0,Q137=0),"",Q137/P137-1)</f>
        <v/>
      </c>
      <c r="T137" s="43">
        <f>IF(OR(P137="",E137="",E137=0),"",P137/E137)</f>
        <v/>
      </c>
      <c r="U137" s="43">
        <f>IF(OR(Q137="",F137="",F137=0),"",Q137/F137)</f>
        <v/>
      </c>
      <c r="V137" s="44">
        <f>IF(OR(U137="",T137=""),"",(U137-T137)*100)</f>
        <v/>
      </c>
      <c r="W137" s="68" t="n">
        <v>288</v>
      </c>
      <c r="X137" s="68" t="n">
        <v>245</v>
      </c>
      <c r="Y137" s="69">
        <f>IF(OR(X137="",W137="",W137=0,X137=0),"",X137-W137)</f>
        <v/>
      </c>
      <c r="Z137" s="42">
        <f>IF(OR(X137="",W137="",W137=0,X137=0),"",X137/W137-1)</f>
        <v/>
      </c>
      <c r="AA137" s="43">
        <f>IF(OR(W137="",P137="",P137=0),"",W137/P137)</f>
        <v/>
      </c>
      <c r="AB137" s="43">
        <f>IF(OR(X137="",Q137="",Q137=0),"",X137/Q137)</f>
        <v/>
      </c>
      <c r="AC137" s="44">
        <f>IF(OR(AB137="",AA137=""),"",(AB137-AA137)*100)</f>
        <v/>
      </c>
      <c r="AD137" s="68" t="n">
        <v>250</v>
      </c>
      <c r="AE137" s="68" t="n">
        <v>216</v>
      </c>
      <c r="AF137" s="69">
        <f>IF(OR(AE137="",AD137="",AD137=0,AE137=0),"",AE137-AD137)</f>
        <v/>
      </c>
      <c r="AG137" s="42">
        <f>IF(OR(AE137="",AD137="",AD137=0,AE137=0),"",AE137/AD137-1)</f>
        <v/>
      </c>
      <c r="AH137" s="43">
        <f>IF(OR(AD137="",W137="",W137=0),"",AD137/W137)</f>
        <v/>
      </c>
      <c r="AI137" s="43">
        <f>IF(OR(AE137="",X137="",X137=0),"",AE137/X137)</f>
        <v/>
      </c>
      <c r="AJ137" s="44">
        <f>IF(OR(AI137="",AH137=""),"",(AI137-AH137)*100)</f>
        <v/>
      </c>
      <c r="AK137" s="68" t="n">
        <v>162</v>
      </c>
      <c r="AL137" s="68" t="n">
        <v>144</v>
      </c>
      <c r="AM137" s="69">
        <f>IF(OR(AL137="",AK137="",AK137=0,AL137=0),"",AL137-AK137)</f>
        <v/>
      </c>
      <c r="AN137" s="42">
        <f>IF(OR(AL137="",AK137="",AK137=0,AL137=0),"",AL137/AK137-1)</f>
        <v/>
      </c>
      <c r="AO137" s="43">
        <f>IF(OR(AK137="",AD137="",AD137=0),"",AK137/AD137)</f>
        <v/>
      </c>
      <c r="AP137" s="43">
        <f>IF(OR(AL137="",AE137="",AE137=0),"",AL137/AE137)</f>
        <v/>
      </c>
      <c r="AQ137" s="44">
        <f>IF(OR(AP137="",AO137=""),"",(AP137-AO137)*100)</f>
        <v/>
      </c>
      <c r="AR137" s="68" t="n">
        <v>139</v>
      </c>
      <c r="AS137" s="68" t="n">
        <v>125</v>
      </c>
      <c r="AT137" s="69">
        <f>IF(OR(AS137="",AR137="",AR137=0,AS137=0),"",AS137-AR137)</f>
        <v/>
      </c>
      <c r="AU137" s="42">
        <f>IF(OR(AS137="",AR137="",AR137=0,AS137=0),"",AS137/AR137-1)</f>
        <v/>
      </c>
      <c r="AV137" s="43">
        <f>IF(OR(AR137="",AK137="",AK137=0),"",AR137/AK137)</f>
        <v/>
      </c>
      <c r="AW137" s="43">
        <f>IF(OR(AS137="",AL137="",AL137=0),"",AS137/AL137)</f>
        <v/>
      </c>
      <c r="AX137" s="44">
        <f>IF(OR(AW137="",AV137=""),"",(AW137-AV137)*100)</f>
        <v/>
      </c>
      <c r="AY137" s="45">
        <f>IF(OR(AR137="",P137="",P137=0),"",AR137/P137)</f>
        <v/>
      </c>
      <c r="AZ137" s="45">
        <f>IF(OR(AS137="",Q137="",Q137=0),"",AS137/Q137)</f>
        <v/>
      </c>
      <c r="BA137" s="44">
        <f>IF(OR(AZ137="",AY137=""),"",(AZ137-AY137)*100)</f>
        <v/>
      </c>
      <c r="BB137" s="45">
        <f>IF(OR(AR137="",E137="",E137=0),"",AR137/E137)</f>
        <v/>
      </c>
      <c r="BC137" s="45">
        <f>IF(OR(AS137="",F137="",F137=0),"",AS137/F137)</f>
        <v/>
      </c>
      <c r="BD137" s="44">
        <f>IF(OR(BC137="",BB137=""),"",(BC137-BB137)*100)</f>
        <v/>
      </c>
      <c r="BE137" s="40">
        <f>IF(AND(F137&lt;&gt;"",E137&lt;&gt;""),"Both years",IF(F137&lt;&gt;"","1-23Aug26 rows only","1-23Aug25 rows only"))</f>
        <v/>
      </c>
    </row>
    <row r="138">
      <c r="A138" s="40" t="inlineStr">
        <is>
          <t>Home page</t>
        </is>
      </c>
      <c r="B138" s="40" t="inlineStr">
        <is>
          <t>Paid Search</t>
        </is>
      </c>
      <c r="C138" s="40" t="inlineStr">
        <is>
          <t>Desktop</t>
        </is>
      </c>
      <c r="D138" s="40" t="inlineStr">
        <is>
          <t>United States</t>
        </is>
      </c>
      <c r="E138" s="68" t="n">
        <v>1352</v>
      </c>
      <c r="F138" s="68" t="n">
        <v>1163</v>
      </c>
      <c r="G138" s="69">
        <f>IF(OR(F138="",E138="",E138=0,F138=0),"",F138-E138)</f>
        <v/>
      </c>
      <c r="H138" s="42">
        <f>IF(OR(F138="",E138="",E138=0,F138=0),"",F138/E138-1)</f>
        <v/>
      </c>
      <c r="I138" s="68" t="n">
        <v>622</v>
      </c>
      <c r="J138" s="68" t="n">
        <v>593</v>
      </c>
      <c r="K138" s="69">
        <f>IF(OR(J138="",I138="",I138=0,J138=0),"",J138-I138)</f>
        <v/>
      </c>
      <c r="L138" s="42">
        <f>IF(OR(J138="",I138="",I138=0,J138=0),"",J138/I138-1)</f>
        <v/>
      </c>
      <c r="M138" s="43">
        <f>IF(OR(I138="",E138="",E138=0),"",I138/E138)</f>
        <v/>
      </c>
      <c r="N138" s="43">
        <f>IF(OR(J138="",F138="",F138=0),"",J138/F138)</f>
        <v/>
      </c>
      <c r="O138" s="44">
        <f>IF(OR(N138="",M138=""),"",(N138-M138)*100)</f>
        <v/>
      </c>
      <c r="P138" s="68" t="n">
        <v>462</v>
      </c>
      <c r="Q138" s="68" t="n">
        <v>487</v>
      </c>
      <c r="R138" s="69">
        <f>IF(OR(Q138="",P138="",P138=0,Q138=0),"",Q138-P138)</f>
        <v/>
      </c>
      <c r="S138" s="42">
        <f>IF(OR(Q138="",P138="",P138=0,Q138=0),"",Q138/P138-1)</f>
        <v/>
      </c>
      <c r="T138" s="43">
        <f>IF(OR(P138="",E138="",E138=0),"",P138/E138)</f>
        <v/>
      </c>
      <c r="U138" s="43">
        <f>IF(OR(Q138="",F138="",F138=0),"",Q138/F138)</f>
        <v/>
      </c>
      <c r="V138" s="44">
        <f>IF(OR(U138="",T138=""),"",(U138-T138)*100)</f>
        <v/>
      </c>
      <c r="W138" s="68" t="n">
        <v>184</v>
      </c>
      <c r="X138" s="68" t="n">
        <v>196</v>
      </c>
      <c r="Y138" s="69">
        <f>IF(OR(X138="",W138="",W138=0,X138=0),"",X138-W138)</f>
        <v/>
      </c>
      <c r="Z138" s="42">
        <f>IF(OR(X138="",W138="",W138=0,X138=0),"",X138/W138-1)</f>
        <v/>
      </c>
      <c r="AA138" s="43">
        <f>IF(OR(W138="",P138="",P138=0),"",W138/P138)</f>
        <v/>
      </c>
      <c r="AB138" s="43">
        <f>IF(OR(X138="",Q138="",Q138=0),"",X138/Q138)</f>
        <v/>
      </c>
      <c r="AC138" s="44">
        <f>IF(OR(AB138="",AA138=""),"",(AB138-AA138)*100)</f>
        <v/>
      </c>
      <c r="AD138" s="68" t="n">
        <v>177</v>
      </c>
      <c r="AE138" s="68" t="n">
        <v>176</v>
      </c>
      <c r="AF138" s="69">
        <f>IF(OR(AE138="",AD138="",AD138=0,AE138=0),"",AE138-AD138)</f>
        <v/>
      </c>
      <c r="AG138" s="42">
        <f>IF(OR(AE138="",AD138="",AD138=0,AE138=0),"",AE138/AD138-1)</f>
        <v/>
      </c>
      <c r="AH138" s="43">
        <f>IF(OR(AD138="",W138="",W138=0),"",AD138/W138)</f>
        <v/>
      </c>
      <c r="AI138" s="43">
        <f>IF(OR(AE138="",X138="",X138=0),"",AE138/X138)</f>
        <v/>
      </c>
      <c r="AJ138" s="44">
        <f>IF(OR(AI138="",AH138=""),"",(AI138-AH138)*100)</f>
        <v/>
      </c>
      <c r="AK138" s="68" t="n">
        <v>121</v>
      </c>
      <c r="AL138" s="68" t="n">
        <v>98</v>
      </c>
      <c r="AM138" s="69">
        <f>IF(OR(AL138="",AK138="",AK138=0,AL138=0),"",AL138-AK138)</f>
        <v/>
      </c>
      <c r="AN138" s="42">
        <f>IF(OR(AL138="",AK138="",AK138=0,AL138=0),"",AL138/AK138-1)</f>
        <v/>
      </c>
      <c r="AO138" s="43">
        <f>IF(OR(AK138="",AD138="",AD138=0),"",AK138/AD138)</f>
        <v/>
      </c>
      <c r="AP138" s="43">
        <f>IF(OR(AL138="",AE138="",AE138=0),"",AL138/AE138)</f>
        <v/>
      </c>
      <c r="AQ138" s="44">
        <f>IF(OR(AP138="",AO138=""),"",(AP138-AO138)*100)</f>
        <v/>
      </c>
      <c r="AR138" s="68" t="n">
        <v>123</v>
      </c>
      <c r="AS138" s="68" t="n">
        <v>84</v>
      </c>
      <c r="AT138" s="69">
        <f>IF(OR(AS138="",AR138="",AR138=0,AS138=0),"",AS138-AR138)</f>
        <v/>
      </c>
      <c r="AU138" s="42">
        <f>IF(OR(AS138="",AR138="",AR138=0,AS138=0),"",AS138/AR138-1)</f>
        <v/>
      </c>
      <c r="AV138" s="43">
        <f>IF(OR(AR138="",AK138="",AK138=0),"",AR138/AK138)</f>
        <v/>
      </c>
      <c r="AW138" s="43">
        <f>IF(OR(AS138="",AL138="",AL138=0),"",AS138/AL138)</f>
        <v/>
      </c>
      <c r="AX138" s="44">
        <f>IF(OR(AW138="",AV138=""),"",(AW138-AV138)*100)</f>
        <v/>
      </c>
      <c r="AY138" s="45">
        <f>IF(OR(AR138="",P138="",P138=0),"",AR138/P138)</f>
        <v/>
      </c>
      <c r="AZ138" s="45">
        <f>IF(OR(AS138="",Q138="",Q138=0),"",AS138/Q138)</f>
        <v/>
      </c>
      <c r="BA138" s="44">
        <f>IF(OR(AZ138="",AY138=""),"",(AZ138-AY138)*100)</f>
        <v/>
      </c>
      <c r="BB138" s="45">
        <f>IF(OR(AR138="",E138="",E138=0),"",AR138/E138)</f>
        <v/>
      </c>
      <c r="BC138" s="45">
        <f>IF(OR(AS138="",F138="",F138=0),"",AS138/F138)</f>
        <v/>
      </c>
      <c r="BD138" s="44">
        <f>IF(OR(BC138="",BB138=""),"",(BC138-BB138)*100)</f>
        <v/>
      </c>
      <c r="BE138" s="40">
        <f>IF(AND(F138&lt;&gt;"",E138&lt;&gt;""),"Both years",IF(F138&lt;&gt;"","1-23Aug26 rows only","1-23Aug25 rows only"))</f>
        <v/>
      </c>
    </row>
    <row r="139">
      <c r="A139" s="56" t="inlineStr">
        <is>
          <t>Home page</t>
        </is>
      </c>
      <c r="B139" s="56" t="inlineStr">
        <is>
          <t>Paid Search</t>
        </is>
      </c>
      <c r="C139" s="56" t="inlineStr">
        <is>
          <t>Desktop</t>
        </is>
      </c>
      <c r="D139" s="56" t="inlineStr">
        <is>
          <t>Netherlands</t>
        </is>
      </c>
      <c r="E139" s="68" t="n">
        <v>740</v>
      </c>
      <c r="F139" s="68" t="n">
        <v>1049</v>
      </c>
      <c r="G139" s="69">
        <f>IF(OR(F139="",E139="",E139=0,F139=0),"",F139-E139)</f>
        <v/>
      </c>
      <c r="H139" s="42">
        <f>IF(OR(F139="",E139="",E139=0,F139=0),"",F139/E139-1)</f>
        <v/>
      </c>
      <c r="I139" s="68" t="n">
        <v>453</v>
      </c>
      <c r="J139" s="68" t="n">
        <v>536</v>
      </c>
      <c r="K139" s="69">
        <f>IF(OR(J139="",I139="",I139=0,J139=0),"",J139-I139)</f>
        <v/>
      </c>
      <c r="L139" s="42">
        <f>IF(OR(J139="",I139="",I139=0,J139=0),"",J139/I139-1)</f>
        <v/>
      </c>
      <c r="M139" s="43">
        <f>IF(OR(I139="",E139="",E139=0),"",I139/E139)</f>
        <v/>
      </c>
      <c r="N139" s="43">
        <f>IF(OR(J139="",F139="",F139=0),"",J139/F139)</f>
        <v/>
      </c>
      <c r="O139" s="44">
        <f>IF(OR(N139="",M139=""),"",(N139-M139)*100)</f>
        <v/>
      </c>
      <c r="P139" s="68" t="n">
        <v>411</v>
      </c>
      <c r="Q139" s="68" t="n">
        <v>491</v>
      </c>
      <c r="R139" s="69">
        <f>IF(OR(Q139="",P139="",P139=0,Q139=0),"",Q139-P139)</f>
        <v/>
      </c>
      <c r="S139" s="42">
        <f>IF(OR(Q139="",P139="",P139=0,Q139=0),"",Q139/P139-1)</f>
        <v/>
      </c>
      <c r="T139" s="43">
        <f>IF(OR(P139="",E139="",E139=0),"",P139/E139)</f>
        <v/>
      </c>
      <c r="U139" s="43">
        <f>IF(OR(Q139="",F139="",F139=0),"",Q139/F139)</f>
        <v/>
      </c>
      <c r="V139" s="44">
        <f>IF(OR(U139="",T139=""),"",(U139-T139)*100)</f>
        <v/>
      </c>
      <c r="W139" s="68" t="n">
        <v>171</v>
      </c>
      <c r="X139" s="68" t="n">
        <v>151</v>
      </c>
      <c r="Y139" s="69">
        <f>IF(OR(X139="",W139="",W139=0,X139=0),"",X139-W139)</f>
        <v/>
      </c>
      <c r="Z139" s="42">
        <f>IF(OR(X139="",W139="",W139=0,X139=0),"",X139/W139-1)</f>
        <v/>
      </c>
      <c r="AA139" s="43">
        <f>IF(OR(W139="",P139="",P139=0),"",W139/P139)</f>
        <v/>
      </c>
      <c r="AB139" s="43">
        <f>IF(OR(X139="",Q139="",Q139=0),"",X139/Q139)</f>
        <v/>
      </c>
      <c r="AC139" s="44">
        <f>IF(OR(AB139="",AA139=""),"",(AB139-AA139)*100)</f>
        <v/>
      </c>
      <c r="AD139" s="68" t="n">
        <v>145</v>
      </c>
      <c r="AE139" s="68" t="n">
        <v>121</v>
      </c>
      <c r="AF139" s="69">
        <f>IF(OR(AE139="",AD139="",AD139=0,AE139=0),"",AE139-AD139)</f>
        <v/>
      </c>
      <c r="AG139" s="42">
        <f>IF(OR(AE139="",AD139="",AD139=0,AE139=0),"",AE139/AD139-1)</f>
        <v/>
      </c>
      <c r="AH139" s="43">
        <f>IF(OR(AD139="",W139="",W139=0),"",AD139/W139)</f>
        <v/>
      </c>
      <c r="AI139" s="43">
        <f>IF(OR(AE139="",X139="",X139=0),"",AE139/X139)</f>
        <v/>
      </c>
      <c r="AJ139" s="44">
        <f>IF(OR(AI139="",AH139=""),"",(AI139-AH139)*100)</f>
        <v/>
      </c>
      <c r="AK139" s="68" t="n">
        <v>83</v>
      </c>
      <c r="AL139" s="68" t="n">
        <v>69</v>
      </c>
      <c r="AM139" s="69">
        <f>IF(OR(AL139="",AK139="",AK139=0,AL139=0),"",AL139-AK139)</f>
        <v/>
      </c>
      <c r="AN139" s="42">
        <f>IF(OR(AL139="",AK139="",AK139=0,AL139=0),"",AL139/AK139-1)</f>
        <v/>
      </c>
      <c r="AO139" s="43">
        <f>IF(OR(AK139="",AD139="",AD139=0),"",AK139/AD139)</f>
        <v/>
      </c>
      <c r="AP139" s="43">
        <f>IF(OR(AL139="",AE139="",AE139=0),"",AL139/AE139)</f>
        <v/>
      </c>
      <c r="AQ139" s="44">
        <f>IF(OR(AP139="",AO139=""),"",(AP139-AO139)*100)</f>
        <v/>
      </c>
      <c r="AR139" s="68" t="n">
        <v>36</v>
      </c>
      <c r="AS139" s="68" t="n">
        <v>23</v>
      </c>
      <c r="AT139" s="69">
        <f>IF(OR(AS139="",AR139="",AR139=0,AS139=0),"",AS139-AR139)</f>
        <v/>
      </c>
      <c r="AU139" s="42">
        <f>IF(OR(AS139="",AR139="",AR139=0,AS139=0),"",AS139/AR139-1)</f>
        <v/>
      </c>
      <c r="AV139" s="43">
        <f>IF(OR(AR139="",AK139="",AK139=0),"",AR139/AK139)</f>
        <v/>
      </c>
      <c r="AW139" s="43">
        <f>IF(OR(AS139="",AL139="",AL139=0),"",AS139/AL139)</f>
        <v/>
      </c>
      <c r="AX139" s="44">
        <f>IF(OR(AW139="",AV139=""),"",(AW139-AV139)*100)</f>
        <v/>
      </c>
      <c r="AY139" s="45">
        <f>IF(OR(AR139="",P139="",P139=0),"",AR139/P139)</f>
        <v/>
      </c>
      <c r="AZ139" s="45">
        <f>IF(OR(AS139="",Q139="",Q139=0),"",AS139/Q139)</f>
        <v/>
      </c>
      <c r="BA139" s="44">
        <f>IF(OR(AZ139="",AY139=""),"",(AZ139-AY139)*100)</f>
        <v/>
      </c>
      <c r="BB139" s="45">
        <f>IF(OR(AR139="",E139="",E139=0),"",AR139/E139)</f>
        <v/>
      </c>
      <c r="BC139" s="45">
        <f>IF(OR(AS139="",F139="",F139=0),"",AS139/F139)</f>
        <v/>
      </c>
      <c r="BD139" s="44">
        <f>IF(OR(BC139="",BB139=""),"",(BC139-BB139)*100)</f>
        <v/>
      </c>
      <c r="BE139" s="40">
        <f>IF(AND(F139&lt;&gt;"",E139&lt;&gt;""),"Both years",IF(F139&lt;&gt;"","1-23Aug26 rows only","1-23Aug25 rows only"))</f>
        <v/>
      </c>
    </row>
    <row r="140">
      <c r="A140" s="40" t="inlineStr">
        <is>
          <t>Home page</t>
        </is>
      </c>
      <c r="B140" s="40" t="inlineStr">
        <is>
          <t>Paid Search</t>
        </is>
      </c>
      <c r="C140" s="40" t="inlineStr">
        <is>
          <t>Desktop</t>
        </is>
      </c>
      <c r="D140" s="40" t="inlineStr">
        <is>
          <t>Poland</t>
        </is>
      </c>
      <c r="E140" s="70" t="n"/>
      <c r="F140" s="68" t="n">
        <v>1030</v>
      </c>
      <c r="G140" s="69">
        <f>IF(OR(F140="",E140="",E140=0,F140=0),"",F140-E140)</f>
        <v/>
      </c>
      <c r="H140" s="42">
        <f>IF(OR(F140="",E140="",E140=0,F140=0),"",F140/E140-1)</f>
        <v/>
      </c>
      <c r="I140" s="70" t="n"/>
      <c r="J140" s="70" t="n"/>
      <c r="K140" s="69">
        <f>IF(OR(J140="",I140="",I140=0,J140=0),"",J140-I140)</f>
        <v/>
      </c>
      <c r="L140" s="42">
        <f>IF(OR(J140="",I140="",I140=0,J140=0),"",J140/I140-1)</f>
        <v/>
      </c>
      <c r="M140" s="43">
        <f>IF(OR(I140="",E140="",E140=0),"",I140/E140)</f>
        <v/>
      </c>
      <c r="N140" s="43">
        <f>IF(OR(J140="",F140="",F140=0),"",J140/F140)</f>
        <v/>
      </c>
      <c r="O140" s="44">
        <f>IF(OR(N140="",M140=""),"",(N140-M140)*100)</f>
        <v/>
      </c>
      <c r="P140" s="68" t="n">
        <v>226</v>
      </c>
      <c r="Q140" s="68" t="n">
        <v>570</v>
      </c>
      <c r="R140" s="69">
        <f>IF(OR(Q140="",P140="",P140=0,Q140=0),"",Q140-P140)</f>
        <v/>
      </c>
      <c r="S140" s="42">
        <f>IF(OR(Q140="",P140="",P140=0,Q140=0),"",Q140/P140-1)</f>
        <v/>
      </c>
      <c r="T140" s="43">
        <f>IF(OR(P140="",E140="",E140=0),"",P140/E140)</f>
        <v/>
      </c>
      <c r="U140" s="43">
        <f>IF(OR(Q140="",F140="",F140=0),"",Q140/F140)</f>
        <v/>
      </c>
      <c r="V140" s="44">
        <f>IF(OR(U140="",T140=""),"",(U140-T140)*100)</f>
        <v/>
      </c>
      <c r="W140" s="70" t="n"/>
      <c r="X140" s="70" t="n"/>
      <c r="Y140" s="69">
        <f>IF(OR(X140="",W140="",W140=0,X140=0),"",X140-W140)</f>
        <v/>
      </c>
      <c r="Z140" s="42">
        <f>IF(OR(X140="",W140="",W140=0,X140=0),"",X140/W140-1)</f>
        <v/>
      </c>
      <c r="AA140" s="43">
        <f>IF(OR(W140="",P140="",P140=0),"",W140/P140)</f>
        <v/>
      </c>
      <c r="AB140" s="43">
        <f>IF(OR(X140="",Q140="",Q140=0),"",X140/Q140)</f>
        <v/>
      </c>
      <c r="AC140" s="44">
        <f>IF(OR(AB140="",AA140=""),"",(AB140-AA140)*100)</f>
        <v/>
      </c>
      <c r="AD140" s="70" t="n"/>
      <c r="AE140" s="70" t="n"/>
      <c r="AF140" s="69">
        <f>IF(OR(AE140="",AD140="",AD140=0,AE140=0),"",AE140-AD140)</f>
        <v/>
      </c>
      <c r="AG140" s="42">
        <f>IF(OR(AE140="",AD140="",AD140=0,AE140=0),"",AE140/AD140-1)</f>
        <v/>
      </c>
      <c r="AH140" s="43">
        <f>IF(OR(AD140="",W140="",W140=0),"",AD140/W140)</f>
        <v/>
      </c>
      <c r="AI140" s="43">
        <f>IF(OR(AE140="",X140="",X140=0),"",AE140/X140)</f>
        <v/>
      </c>
      <c r="AJ140" s="44">
        <f>IF(OR(AI140="",AH140=""),"",(AI140-AH140)*100)</f>
        <v/>
      </c>
      <c r="AK140" s="70" t="n"/>
      <c r="AL140" s="70" t="n"/>
      <c r="AM140" s="69">
        <f>IF(OR(AL140="",AK140="",AK140=0,AL140=0),"",AL140-AK140)</f>
        <v/>
      </c>
      <c r="AN140" s="42">
        <f>IF(OR(AL140="",AK140="",AK140=0,AL140=0),"",AL140/AK140-1)</f>
        <v/>
      </c>
      <c r="AO140" s="43">
        <f>IF(OR(AK140="",AD140="",AD140=0),"",AK140/AD140)</f>
        <v/>
      </c>
      <c r="AP140" s="43">
        <f>IF(OR(AL140="",AE140="",AE140=0),"",AL140/AE140)</f>
        <v/>
      </c>
      <c r="AQ140" s="44">
        <f>IF(OR(AP140="",AO140=""),"",(AP140-AO140)*100)</f>
        <v/>
      </c>
      <c r="AR140" s="70" t="n"/>
      <c r="AS140" s="70" t="n"/>
      <c r="AT140" s="69">
        <f>IF(OR(AS140="",AR140="",AR140=0,AS140=0),"",AS140-AR140)</f>
        <v/>
      </c>
      <c r="AU140" s="42">
        <f>IF(OR(AS140="",AR140="",AR140=0,AS140=0),"",AS140/AR140-1)</f>
        <v/>
      </c>
      <c r="AV140" s="43">
        <f>IF(OR(AR140="",AK140="",AK140=0),"",AR140/AK140)</f>
        <v/>
      </c>
      <c r="AW140" s="43">
        <f>IF(OR(AS140="",AL140="",AL140=0),"",AS140/AL140)</f>
        <v/>
      </c>
      <c r="AX140" s="44">
        <f>IF(OR(AW140="",AV140=""),"",(AW140-AV140)*100)</f>
        <v/>
      </c>
      <c r="AY140" s="45">
        <f>IF(OR(AR140="",P140="",P140=0),"",AR140/P140)</f>
        <v/>
      </c>
      <c r="AZ140" s="45">
        <f>IF(OR(AS140="",Q140="",Q140=0),"",AS140/Q140)</f>
        <v/>
      </c>
      <c r="BA140" s="44">
        <f>IF(OR(AZ140="",AY140=""),"",(AZ140-AY140)*100)</f>
        <v/>
      </c>
      <c r="BB140" s="45">
        <f>IF(OR(AR140="",E140="",E140=0),"",AR140/E140)</f>
        <v/>
      </c>
      <c r="BC140" s="45">
        <f>IF(OR(AS140="",F140="",F140=0),"",AS140/F140)</f>
        <v/>
      </c>
      <c r="BD140" s="44">
        <f>IF(OR(BC140="",BB140=""),"",(BC140-BB140)*100)</f>
        <v/>
      </c>
      <c r="BE140" s="40">
        <f>IF(AND(F140&lt;&gt;"",E140&lt;&gt;""),"Both years",IF(F140&lt;&gt;"","1-23Aug26 rows only","1-23Aug25 rows only"))</f>
        <v/>
      </c>
    </row>
    <row r="141">
      <c r="A141" s="56" t="inlineStr">
        <is>
          <t>Home page</t>
        </is>
      </c>
      <c r="B141" s="56" t="inlineStr">
        <is>
          <t>Paid Search</t>
        </is>
      </c>
      <c r="C141" s="56" t="inlineStr">
        <is>
          <t>Desktop</t>
        </is>
      </c>
      <c r="D141" s="56" t="inlineStr">
        <is>
          <t>Sweden</t>
        </is>
      </c>
      <c r="E141" s="68" t="n">
        <v>455</v>
      </c>
      <c r="F141" s="68" t="n">
        <v>902</v>
      </c>
      <c r="G141" s="69">
        <f>IF(OR(F141="",E141="",E141=0,F141=0),"",F141-E141)</f>
        <v/>
      </c>
      <c r="H141" s="42">
        <f>IF(OR(F141="",E141="",E141=0,F141=0),"",F141/E141-1)</f>
        <v/>
      </c>
      <c r="I141" s="68" t="n">
        <v>301</v>
      </c>
      <c r="J141" s="68" t="n">
        <v>474</v>
      </c>
      <c r="K141" s="69">
        <f>IF(OR(J141="",I141="",I141=0,J141=0),"",J141-I141)</f>
        <v/>
      </c>
      <c r="L141" s="42">
        <f>IF(OR(J141="",I141="",I141=0,J141=0),"",J141/I141-1)</f>
        <v/>
      </c>
      <c r="M141" s="43">
        <f>IF(OR(I141="",E141="",E141=0),"",I141/E141)</f>
        <v/>
      </c>
      <c r="N141" s="43">
        <f>IF(OR(J141="",F141="",F141=0),"",J141/F141)</f>
        <v/>
      </c>
      <c r="O141" s="44">
        <f>IF(OR(N141="",M141=""),"",(N141-M141)*100)</f>
        <v/>
      </c>
      <c r="P141" s="68" t="n">
        <v>265</v>
      </c>
      <c r="Q141" s="68" t="n">
        <v>424</v>
      </c>
      <c r="R141" s="69">
        <f>IF(OR(Q141="",P141="",P141=0,Q141=0),"",Q141-P141)</f>
        <v/>
      </c>
      <c r="S141" s="42">
        <f>IF(OR(Q141="",P141="",P141=0,Q141=0),"",Q141/P141-1)</f>
        <v/>
      </c>
      <c r="T141" s="43">
        <f>IF(OR(P141="",E141="",E141=0),"",P141/E141)</f>
        <v/>
      </c>
      <c r="U141" s="43">
        <f>IF(OR(Q141="",F141="",F141=0),"",Q141/F141)</f>
        <v/>
      </c>
      <c r="V141" s="44">
        <f>IF(OR(U141="",T141=""),"",(U141-T141)*100)</f>
        <v/>
      </c>
      <c r="W141" s="68" t="n">
        <v>105</v>
      </c>
      <c r="X141" s="68" t="n">
        <v>161</v>
      </c>
      <c r="Y141" s="69">
        <f>IF(OR(X141="",W141="",W141=0,X141=0),"",X141-W141)</f>
        <v/>
      </c>
      <c r="Z141" s="42">
        <f>IF(OR(X141="",W141="",W141=0,X141=0),"",X141/W141-1)</f>
        <v/>
      </c>
      <c r="AA141" s="43">
        <f>IF(OR(W141="",P141="",P141=0),"",W141/P141)</f>
        <v/>
      </c>
      <c r="AB141" s="43">
        <f>IF(OR(X141="",Q141="",Q141=0),"",X141/Q141)</f>
        <v/>
      </c>
      <c r="AC141" s="44">
        <f>IF(OR(AB141="",AA141=""),"",(AB141-AA141)*100)</f>
        <v/>
      </c>
      <c r="AD141" s="68" t="n">
        <v>93</v>
      </c>
      <c r="AE141" s="68" t="n">
        <v>141</v>
      </c>
      <c r="AF141" s="69">
        <f>IF(OR(AE141="",AD141="",AD141=0,AE141=0),"",AE141-AD141)</f>
        <v/>
      </c>
      <c r="AG141" s="42">
        <f>IF(OR(AE141="",AD141="",AD141=0,AE141=0),"",AE141/AD141-1)</f>
        <v/>
      </c>
      <c r="AH141" s="43">
        <f>IF(OR(AD141="",W141="",W141=0),"",AD141/W141)</f>
        <v/>
      </c>
      <c r="AI141" s="43">
        <f>IF(OR(AE141="",X141="",X141=0),"",AE141/X141)</f>
        <v/>
      </c>
      <c r="AJ141" s="44">
        <f>IF(OR(AI141="",AH141=""),"",(AI141-AH141)*100)</f>
        <v/>
      </c>
      <c r="AK141" s="68" t="n">
        <v>54</v>
      </c>
      <c r="AL141" s="68" t="n">
        <v>78</v>
      </c>
      <c r="AM141" s="69">
        <f>IF(OR(AL141="",AK141="",AK141=0,AL141=0),"",AL141-AK141)</f>
        <v/>
      </c>
      <c r="AN141" s="42">
        <f>IF(OR(AL141="",AK141="",AK141=0,AL141=0),"",AL141/AK141-1)</f>
        <v/>
      </c>
      <c r="AO141" s="43">
        <f>IF(OR(AK141="",AD141="",AD141=0),"",AK141/AD141)</f>
        <v/>
      </c>
      <c r="AP141" s="43">
        <f>IF(OR(AL141="",AE141="",AE141=0),"",AL141/AE141)</f>
        <v/>
      </c>
      <c r="AQ141" s="44">
        <f>IF(OR(AP141="",AO141=""),"",(AP141-AO141)*100)</f>
        <v/>
      </c>
      <c r="AR141" s="68" t="n">
        <v>48</v>
      </c>
      <c r="AS141" s="68" t="n">
        <v>70</v>
      </c>
      <c r="AT141" s="69">
        <f>IF(OR(AS141="",AR141="",AR141=0,AS141=0),"",AS141-AR141)</f>
        <v/>
      </c>
      <c r="AU141" s="42">
        <f>IF(OR(AS141="",AR141="",AR141=0,AS141=0),"",AS141/AR141-1)</f>
        <v/>
      </c>
      <c r="AV141" s="43">
        <f>IF(OR(AR141="",AK141="",AK141=0),"",AR141/AK141)</f>
        <v/>
      </c>
      <c r="AW141" s="43">
        <f>IF(OR(AS141="",AL141="",AL141=0),"",AS141/AL141)</f>
        <v/>
      </c>
      <c r="AX141" s="44">
        <f>IF(OR(AW141="",AV141=""),"",(AW141-AV141)*100)</f>
        <v/>
      </c>
      <c r="AY141" s="45">
        <f>IF(OR(AR141="",P141="",P141=0),"",AR141/P141)</f>
        <v/>
      </c>
      <c r="AZ141" s="45">
        <f>IF(OR(AS141="",Q141="",Q141=0),"",AS141/Q141)</f>
        <v/>
      </c>
      <c r="BA141" s="44">
        <f>IF(OR(AZ141="",AY141=""),"",(AZ141-AY141)*100)</f>
        <v/>
      </c>
      <c r="BB141" s="45">
        <f>IF(OR(AR141="",E141="",E141=0),"",AR141/E141)</f>
        <v/>
      </c>
      <c r="BC141" s="45">
        <f>IF(OR(AS141="",F141="",F141=0),"",AS141/F141)</f>
        <v/>
      </c>
      <c r="BD141" s="44">
        <f>IF(OR(BC141="",BB141=""),"",(BC141-BB141)*100)</f>
        <v/>
      </c>
      <c r="BE141" s="40">
        <f>IF(AND(F141&lt;&gt;"",E141&lt;&gt;""),"Both years",IF(F141&lt;&gt;"","1-23Aug26 rows only","1-23Aug25 rows only"))</f>
        <v/>
      </c>
    </row>
    <row r="142">
      <c r="A142" s="40" t="inlineStr">
        <is>
          <t>Home page</t>
        </is>
      </c>
      <c r="B142" s="40" t="inlineStr">
        <is>
          <t>Paid Search</t>
        </is>
      </c>
      <c r="C142" s="40" t="inlineStr">
        <is>
          <t>Desktop</t>
        </is>
      </c>
      <c r="D142" s="40" t="inlineStr">
        <is>
          <t>Denmark</t>
        </is>
      </c>
      <c r="E142" s="68" t="n">
        <v>409</v>
      </c>
      <c r="F142" s="68" t="n">
        <v>826</v>
      </c>
      <c r="G142" s="69">
        <f>IF(OR(F142="",E142="",E142=0,F142=0),"",F142-E142)</f>
        <v/>
      </c>
      <c r="H142" s="42">
        <f>IF(OR(F142="",E142="",E142=0,F142=0),"",F142/E142-1)</f>
        <v/>
      </c>
      <c r="I142" s="70" t="n"/>
      <c r="J142" s="70" t="n"/>
      <c r="K142" s="69">
        <f>IF(OR(J142="",I142="",I142=0,J142=0),"",J142-I142)</f>
        <v/>
      </c>
      <c r="L142" s="42">
        <f>IF(OR(J142="",I142="",I142=0,J142=0),"",J142/I142-1)</f>
        <v/>
      </c>
      <c r="M142" s="43">
        <f>IF(OR(I142="",E142="",E142=0),"",I142/E142)</f>
        <v/>
      </c>
      <c r="N142" s="43">
        <f>IF(OR(J142="",F142="",F142=0),"",J142/F142)</f>
        <v/>
      </c>
      <c r="O142" s="44">
        <f>IF(OR(N142="",M142=""),"",(N142-M142)*100)</f>
        <v/>
      </c>
      <c r="P142" s="68" t="n">
        <v>254</v>
      </c>
      <c r="Q142" s="68" t="n">
        <v>391</v>
      </c>
      <c r="R142" s="69">
        <f>IF(OR(Q142="",P142="",P142=0,Q142=0),"",Q142-P142)</f>
        <v/>
      </c>
      <c r="S142" s="42">
        <f>IF(OR(Q142="",P142="",P142=0,Q142=0),"",Q142/P142-1)</f>
        <v/>
      </c>
      <c r="T142" s="43">
        <f>IF(OR(P142="",E142="",E142=0),"",P142/E142)</f>
        <v/>
      </c>
      <c r="U142" s="43">
        <f>IF(OR(Q142="",F142="",F142=0),"",Q142/F142)</f>
        <v/>
      </c>
      <c r="V142" s="44">
        <f>IF(OR(U142="",T142=""),"",(U142-T142)*100)</f>
        <v/>
      </c>
      <c r="W142" s="70" t="n"/>
      <c r="X142" s="70" t="n"/>
      <c r="Y142" s="69">
        <f>IF(OR(X142="",W142="",W142=0,X142=0),"",X142-W142)</f>
        <v/>
      </c>
      <c r="Z142" s="42">
        <f>IF(OR(X142="",W142="",W142=0,X142=0),"",X142/W142-1)</f>
        <v/>
      </c>
      <c r="AA142" s="43">
        <f>IF(OR(W142="",P142="",P142=0),"",W142/P142)</f>
        <v/>
      </c>
      <c r="AB142" s="43">
        <f>IF(OR(X142="",Q142="",Q142=0),"",X142/Q142)</f>
        <v/>
      </c>
      <c r="AC142" s="44">
        <f>IF(OR(AB142="",AA142=""),"",(AB142-AA142)*100)</f>
        <v/>
      </c>
      <c r="AD142" s="70" t="n"/>
      <c r="AE142" s="70" t="n"/>
      <c r="AF142" s="69">
        <f>IF(OR(AE142="",AD142="",AD142=0,AE142=0),"",AE142-AD142)</f>
        <v/>
      </c>
      <c r="AG142" s="42">
        <f>IF(OR(AE142="",AD142="",AD142=0,AE142=0),"",AE142/AD142-1)</f>
        <v/>
      </c>
      <c r="AH142" s="43">
        <f>IF(OR(AD142="",W142="",W142=0),"",AD142/W142)</f>
        <v/>
      </c>
      <c r="AI142" s="43">
        <f>IF(OR(AE142="",X142="",X142=0),"",AE142/X142)</f>
        <v/>
      </c>
      <c r="AJ142" s="44">
        <f>IF(OR(AI142="",AH142=""),"",(AI142-AH142)*100)</f>
        <v/>
      </c>
      <c r="AK142" s="70" t="n"/>
      <c r="AL142" s="70" t="n"/>
      <c r="AM142" s="69">
        <f>IF(OR(AL142="",AK142="",AK142=0,AL142=0),"",AL142-AK142)</f>
        <v/>
      </c>
      <c r="AN142" s="42">
        <f>IF(OR(AL142="",AK142="",AK142=0,AL142=0),"",AL142/AK142-1)</f>
        <v/>
      </c>
      <c r="AO142" s="43">
        <f>IF(OR(AK142="",AD142="",AD142=0),"",AK142/AD142)</f>
        <v/>
      </c>
      <c r="AP142" s="43">
        <f>IF(OR(AL142="",AE142="",AE142=0),"",AL142/AE142)</f>
        <v/>
      </c>
      <c r="AQ142" s="44">
        <f>IF(OR(AP142="",AO142=""),"",(AP142-AO142)*100)</f>
        <v/>
      </c>
      <c r="AR142" s="70" t="n"/>
      <c r="AS142" s="70" t="n"/>
      <c r="AT142" s="69">
        <f>IF(OR(AS142="",AR142="",AR142=0,AS142=0),"",AS142-AR142)</f>
        <v/>
      </c>
      <c r="AU142" s="42">
        <f>IF(OR(AS142="",AR142="",AR142=0,AS142=0),"",AS142/AR142-1)</f>
        <v/>
      </c>
      <c r="AV142" s="43">
        <f>IF(OR(AR142="",AK142="",AK142=0),"",AR142/AK142)</f>
        <v/>
      </c>
      <c r="AW142" s="43">
        <f>IF(OR(AS142="",AL142="",AL142=0),"",AS142/AL142)</f>
        <v/>
      </c>
      <c r="AX142" s="44">
        <f>IF(OR(AW142="",AV142=""),"",(AW142-AV142)*100)</f>
        <v/>
      </c>
      <c r="AY142" s="45">
        <f>IF(OR(AR142="",P142="",P142=0),"",AR142/P142)</f>
        <v/>
      </c>
      <c r="AZ142" s="45">
        <f>IF(OR(AS142="",Q142="",Q142=0),"",AS142/Q142)</f>
        <v/>
      </c>
      <c r="BA142" s="44">
        <f>IF(OR(AZ142="",AY142=""),"",(AZ142-AY142)*100)</f>
        <v/>
      </c>
      <c r="BB142" s="45">
        <f>IF(OR(AR142="",E142="",E142=0),"",AR142/E142)</f>
        <v/>
      </c>
      <c r="BC142" s="45">
        <f>IF(OR(AS142="",F142="",F142=0),"",AS142/F142)</f>
        <v/>
      </c>
      <c r="BD142" s="44">
        <f>IF(OR(BC142="",BB142=""),"",(BC142-BB142)*100)</f>
        <v/>
      </c>
      <c r="BE142" s="40">
        <f>IF(AND(F142&lt;&gt;"",E142&lt;&gt;""),"Both years",IF(F142&lt;&gt;"","1-23Aug26 rows only","1-23Aug25 rows only"))</f>
        <v/>
      </c>
    </row>
    <row r="143">
      <c r="A143" s="56" t="inlineStr">
        <is>
          <t>Home page</t>
        </is>
      </c>
      <c r="B143" s="56" t="inlineStr">
        <is>
          <t>Paid Search</t>
        </is>
      </c>
      <c r="C143" s="56" t="inlineStr">
        <is>
          <t>Desktop</t>
        </is>
      </c>
      <c r="D143" s="56" t="inlineStr">
        <is>
          <t>Portugal</t>
        </is>
      </c>
      <c r="E143" s="68" t="n">
        <v>395</v>
      </c>
      <c r="F143" s="68" t="n">
        <v>786</v>
      </c>
      <c r="G143" s="69">
        <f>IF(OR(F143="",E143="",E143=0,F143=0),"",F143-E143)</f>
        <v/>
      </c>
      <c r="H143" s="42">
        <f>IF(OR(F143="",E143="",E143=0,F143=0),"",F143/E143-1)</f>
        <v/>
      </c>
      <c r="I143" s="70" t="n"/>
      <c r="J143" s="70" t="n"/>
      <c r="K143" s="69">
        <f>IF(OR(J143="",I143="",I143=0,J143=0),"",J143-I143)</f>
        <v/>
      </c>
      <c r="L143" s="42">
        <f>IF(OR(J143="",I143="",I143=0,J143=0),"",J143/I143-1)</f>
        <v/>
      </c>
      <c r="M143" s="43">
        <f>IF(OR(I143="",E143="",E143=0),"",I143/E143)</f>
        <v/>
      </c>
      <c r="N143" s="43">
        <f>IF(OR(J143="",F143="",F143=0),"",J143/F143)</f>
        <v/>
      </c>
      <c r="O143" s="44">
        <f>IF(OR(N143="",M143=""),"",(N143-M143)*100)</f>
        <v/>
      </c>
      <c r="P143" s="70" t="n"/>
      <c r="Q143" s="68" t="n">
        <v>360</v>
      </c>
      <c r="R143" s="69">
        <f>IF(OR(Q143="",P143="",P143=0,Q143=0),"",Q143-P143)</f>
        <v/>
      </c>
      <c r="S143" s="42">
        <f>IF(OR(Q143="",P143="",P143=0,Q143=0),"",Q143/P143-1)</f>
        <v/>
      </c>
      <c r="T143" s="43">
        <f>IF(OR(P143="",E143="",E143=0),"",P143/E143)</f>
        <v/>
      </c>
      <c r="U143" s="43">
        <f>IF(OR(Q143="",F143="",F143=0),"",Q143/F143)</f>
        <v/>
      </c>
      <c r="V143" s="44">
        <f>IF(OR(U143="",T143=""),"",(U143-T143)*100)</f>
        <v/>
      </c>
      <c r="W143" s="70" t="n"/>
      <c r="X143" s="70" t="n"/>
      <c r="Y143" s="69">
        <f>IF(OR(X143="",W143="",W143=0,X143=0),"",X143-W143)</f>
        <v/>
      </c>
      <c r="Z143" s="42">
        <f>IF(OR(X143="",W143="",W143=0,X143=0),"",X143/W143-1)</f>
        <v/>
      </c>
      <c r="AA143" s="43">
        <f>IF(OR(W143="",P143="",P143=0),"",W143/P143)</f>
        <v/>
      </c>
      <c r="AB143" s="43">
        <f>IF(OR(X143="",Q143="",Q143=0),"",X143/Q143)</f>
        <v/>
      </c>
      <c r="AC143" s="44">
        <f>IF(OR(AB143="",AA143=""),"",(AB143-AA143)*100)</f>
        <v/>
      </c>
      <c r="AD143" s="70" t="n"/>
      <c r="AE143" s="70" t="n"/>
      <c r="AF143" s="69">
        <f>IF(OR(AE143="",AD143="",AD143=0,AE143=0),"",AE143-AD143)</f>
        <v/>
      </c>
      <c r="AG143" s="42">
        <f>IF(OR(AE143="",AD143="",AD143=0,AE143=0),"",AE143/AD143-1)</f>
        <v/>
      </c>
      <c r="AH143" s="43">
        <f>IF(OR(AD143="",W143="",W143=0),"",AD143/W143)</f>
        <v/>
      </c>
      <c r="AI143" s="43">
        <f>IF(OR(AE143="",X143="",X143=0),"",AE143/X143)</f>
        <v/>
      </c>
      <c r="AJ143" s="44">
        <f>IF(OR(AI143="",AH143=""),"",(AI143-AH143)*100)</f>
        <v/>
      </c>
      <c r="AK143" s="70" t="n"/>
      <c r="AL143" s="70" t="n"/>
      <c r="AM143" s="69">
        <f>IF(OR(AL143="",AK143="",AK143=0,AL143=0),"",AL143-AK143)</f>
        <v/>
      </c>
      <c r="AN143" s="42">
        <f>IF(OR(AL143="",AK143="",AK143=0,AL143=0),"",AL143/AK143-1)</f>
        <v/>
      </c>
      <c r="AO143" s="43">
        <f>IF(OR(AK143="",AD143="",AD143=0),"",AK143/AD143)</f>
        <v/>
      </c>
      <c r="AP143" s="43">
        <f>IF(OR(AL143="",AE143="",AE143=0),"",AL143/AE143)</f>
        <v/>
      </c>
      <c r="AQ143" s="44">
        <f>IF(OR(AP143="",AO143=""),"",(AP143-AO143)*100)</f>
        <v/>
      </c>
      <c r="AR143" s="70" t="n"/>
      <c r="AS143" s="70" t="n"/>
      <c r="AT143" s="69">
        <f>IF(OR(AS143="",AR143="",AR143=0,AS143=0),"",AS143-AR143)</f>
        <v/>
      </c>
      <c r="AU143" s="42">
        <f>IF(OR(AS143="",AR143="",AR143=0,AS143=0),"",AS143/AR143-1)</f>
        <v/>
      </c>
      <c r="AV143" s="43">
        <f>IF(OR(AR143="",AK143="",AK143=0),"",AR143/AK143)</f>
        <v/>
      </c>
      <c r="AW143" s="43">
        <f>IF(OR(AS143="",AL143="",AL143=0),"",AS143/AL143)</f>
        <v/>
      </c>
      <c r="AX143" s="44">
        <f>IF(OR(AW143="",AV143=""),"",(AW143-AV143)*100)</f>
        <v/>
      </c>
      <c r="AY143" s="45">
        <f>IF(OR(AR143="",P143="",P143=0),"",AR143/P143)</f>
        <v/>
      </c>
      <c r="AZ143" s="45">
        <f>IF(OR(AS143="",Q143="",Q143=0),"",AS143/Q143)</f>
        <v/>
      </c>
      <c r="BA143" s="44">
        <f>IF(OR(AZ143="",AY143=""),"",(AZ143-AY143)*100)</f>
        <v/>
      </c>
      <c r="BB143" s="45">
        <f>IF(OR(AR143="",E143="",E143=0),"",AR143/E143)</f>
        <v/>
      </c>
      <c r="BC143" s="45">
        <f>IF(OR(AS143="",F143="",F143=0),"",AS143/F143)</f>
        <v/>
      </c>
      <c r="BD143" s="44">
        <f>IF(OR(BC143="",BB143=""),"",(BC143-BB143)*100)</f>
        <v/>
      </c>
      <c r="BE143" s="40">
        <f>IF(AND(F143&lt;&gt;"",E143&lt;&gt;""),"Both years",IF(F143&lt;&gt;"","1-23Aug26 rows only","1-23Aug25 rows only"))</f>
        <v/>
      </c>
    </row>
    <row r="144">
      <c r="A144" s="40" t="inlineStr">
        <is>
          <t>Home page</t>
        </is>
      </c>
      <c r="B144" s="40" t="inlineStr">
        <is>
          <t>Paid Search</t>
        </is>
      </c>
      <c r="C144" s="40" t="inlineStr">
        <is>
          <t>Desktop</t>
        </is>
      </c>
      <c r="D144" s="40" t="inlineStr">
        <is>
          <t>Belgium</t>
        </is>
      </c>
      <c r="E144" s="68" t="n">
        <v>477</v>
      </c>
      <c r="F144" s="68" t="n">
        <v>584</v>
      </c>
      <c r="G144" s="69">
        <f>IF(OR(F144="",E144="",E144=0,F144=0),"",F144-E144)</f>
        <v/>
      </c>
      <c r="H144" s="42">
        <f>IF(OR(F144="",E144="",E144=0,F144=0),"",F144/E144-1)</f>
        <v/>
      </c>
      <c r="I144" s="68" t="n">
        <v>289</v>
      </c>
      <c r="J144" s="68" t="n">
        <v>282</v>
      </c>
      <c r="K144" s="69">
        <f>IF(OR(J144="",I144="",I144=0,J144=0),"",J144-I144)</f>
        <v/>
      </c>
      <c r="L144" s="42">
        <f>IF(OR(J144="",I144="",I144=0,J144=0),"",J144/I144-1)</f>
        <v/>
      </c>
      <c r="M144" s="43">
        <f>IF(OR(I144="",E144="",E144=0),"",I144/E144)</f>
        <v/>
      </c>
      <c r="N144" s="43">
        <f>IF(OR(J144="",F144="",F144=0),"",J144/F144)</f>
        <v/>
      </c>
      <c r="O144" s="44">
        <f>IF(OR(N144="",M144=""),"",(N144-M144)*100)</f>
        <v/>
      </c>
      <c r="P144" s="68" t="n">
        <v>268</v>
      </c>
      <c r="Q144" s="68" t="n">
        <v>267</v>
      </c>
      <c r="R144" s="69">
        <f>IF(OR(Q144="",P144="",P144=0,Q144=0),"",Q144-P144)</f>
        <v/>
      </c>
      <c r="S144" s="42">
        <f>IF(OR(Q144="",P144="",P144=0,Q144=0),"",Q144/P144-1)</f>
        <v/>
      </c>
      <c r="T144" s="43">
        <f>IF(OR(P144="",E144="",E144=0),"",P144/E144)</f>
        <v/>
      </c>
      <c r="U144" s="43">
        <f>IF(OR(Q144="",F144="",F144=0),"",Q144/F144)</f>
        <v/>
      </c>
      <c r="V144" s="44">
        <f>IF(OR(U144="",T144=""),"",(U144-T144)*100)</f>
        <v/>
      </c>
      <c r="W144" s="68" t="n">
        <v>98</v>
      </c>
      <c r="X144" s="68" t="n">
        <v>101</v>
      </c>
      <c r="Y144" s="69">
        <f>IF(OR(X144="",W144="",W144=0,X144=0),"",X144-W144)</f>
        <v/>
      </c>
      <c r="Z144" s="42">
        <f>IF(OR(X144="",W144="",W144=0,X144=0),"",X144/W144-1)</f>
        <v/>
      </c>
      <c r="AA144" s="43">
        <f>IF(OR(W144="",P144="",P144=0),"",W144/P144)</f>
        <v/>
      </c>
      <c r="AB144" s="43">
        <f>IF(OR(X144="",Q144="",Q144=0),"",X144/Q144)</f>
        <v/>
      </c>
      <c r="AC144" s="44">
        <f>IF(OR(AB144="",AA144=""),"",(AB144-AA144)*100)</f>
        <v/>
      </c>
      <c r="AD144" s="68" t="n">
        <v>82</v>
      </c>
      <c r="AE144" s="68" t="n">
        <v>88</v>
      </c>
      <c r="AF144" s="69">
        <f>IF(OR(AE144="",AD144="",AD144=0,AE144=0),"",AE144-AD144)</f>
        <v/>
      </c>
      <c r="AG144" s="42">
        <f>IF(OR(AE144="",AD144="",AD144=0,AE144=0),"",AE144/AD144-1)</f>
        <v/>
      </c>
      <c r="AH144" s="43">
        <f>IF(OR(AD144="",W144="",W144=0),"",AD144/W144)</f>
        <v/>
      </c>
      <c r="AI144" s="43">
        <f>IF(OR(AE144="",X144="",X144=0),"",AE144/X144)</f>
        <v/>
      </c>
      <c r="AJ144" s="44">
        <f>IF(OR(AI144="",AH144=""),"",(AI144-AH144)*100)</f>
        <v/>
      </c>
      <c r="AK144" s="68" t="n">
        <v>50</v>
      </c>
      <c r="AL144" s="68" t="n">
        <v>53</v>
      </c>
      <c r="AM144" s="69">
        <f>IF(OR(AL144="",AK144="",AK144=0,AL144=0),"",AL144-AK144)</f>
        <v/>
      </c>
      <c r="AN144" s="42">
        <f>IF(OR(AL144="",AK144="",AK144=0,AL144=0),"",AL144/AK144-1)</f>
        <v/>
      </c>
      <c r="AO144" s="43">
        <f>IF(OR(AK144="",AD144="",AD144=0),"",AK144/AD144)</f>
        <v/>
      </c>
      <c r="AP144" s="43">
        <f>IF(OR(AL144="",AE144="",AE144=0),"",AL144/AE144)</f>
        <v/>
      </c>
      <c r="AQ144" s="44">
        <f>IF(OR(AP144="",AO144=""),"",(AP144-AO144)*100)</f>
        <v/>
      </c>
      <c r="AR144" s="68" t="n">
        <v>48</v>
      </c>
      <c r="AS144" s="68" t="n">
        <v>47</v>
      </c>
      <c r="AT144" s="69">
        <f>IF(OR(AS144="",AR144="",AR144=0,AS144=0),"",AS144-AR144)</f>
        <v/>
      </c>
      <c r="AU144" s="42">
        <f>IF(OR(AS144="",AR144="",AR144=0,AS144=0),"",AS144/AR144-1)</f>
        <v/>
      </c>
      <c r="AV144" s="43">
        <f>IF(OR(AR144="",AK144="",AK144=0),"",AR144/AK144)</f>
        <v/>
      </c>
      <c r="AW144" s="43">
        <f>IF(OR(AS144="",AL144="",AL144=0),"",AS144/AL144)</f>
        <v/>
      </c>
      <c r="AX144" s="44">
        <f>IF(OR(AW144="",AV144=""),"",(AW144-AV144)*100)</f>
        <v/>
      </c>
      <c r="AY144" s="45">
        <f>IF(OR(AR144="",P144="",P144=0),"",AR144/P144)</f>
        <v/>
      </c>
      <c r="AZ144" s="45">
        <f>IF(OR(AS144="",Q144="",Q144=0),"",AS144/Q144)</f>
        <v/>
      </c>
      <c r="BA144" s="44">
        <f>IF(OR(AZ144="",AY144=""),"",(AZ144-AY144)*100)</f>
        <v/>
      </c>
      <c r="BB144" s="45">
        <f>IF(OR(AR144="",E144="",E144=0),"",AR144/E144)</f>
        <v/>
      </c>
      <c r="BC144" s="45">
        <f>IF(OR(AS144="",F144="",F144=0),"",AS144/F144)</f>
        <v/>
      </c>
      <c r="BD144" s="44">
        <f>IF(OR(BC144="",BB144=""),"",(BC144-BB144)*100)</f>
        <v/>
      </c>
      <c r="BE144" s="40">
        <f>IF(AND(F144&lt;&gt;"",E144&lt;&gt;""),"Both years",IF(F144&lt;&gt;"","1-23Aug26 rows only","1-23Aug25 rows only"))</f>
        <v/>
      </c>
    </row>
    <row r="145">
      <c r="A145" s="56" t="inlineStr">
        <is>
          <t>Home page</t>
        </is>
      </c>
      <c r="B145" s="56" t="inlineStr">
        <is>
          <t>Paid Search</t>
        </is>
      </c>
      <c r="C145" s="56" t="inlineStr">
        <is>
          <t>Desktop</t>
        </is>
      </c>
      <c r="D145" s="56" t="inlineStr">
        <is>
          <t>Switzerland</t>
        </is>
      </c>
      <c r="E145" s="68" t="n">
        <v>515</v>
      </c>
      <c r="F145" s="68" t="n">
        <v>499</v>
      </c>
      <c r="G145" s="69">
        <f>IF(OR(F145="",E145="",E145=0,F145=0),"",F145-E145)</f>
        <v/>
      </c>
      <c r="H145" s="42">
        <f>IF(OR(F145="",E145="",E145=0,F145=0),"",F145/E145-1)</f>
        <v/>
      </c>
      <c r="I145" s="70" t="n"/>
      <c r="J145" s="70" t="n"/>
      <c r="K145" s="69">
        <f>IF(OR(J145="",I145="",I145=0,J145=0),"",J145-I145)</f>
        <v/>
      </c>
      <c r="L145" s="42">
        <f>IF(OR(J145="",I145="",I145=0,J145=0),"",J145/I145-1)</f>
        <v/>
      </c>
      <c r="M145" s="43">
        <f>IF(OR(I145="",E145="",E145=0),"",I145/E145)</f>
        <v/>
      </c>
      <c r="N145" s="43">
        <f>IF(OR(J145="",F145="",F145=0),"",J145/F145)</f>
        <v/>
      </c>
      <c r="O145" s="44">
        <f>IF(OR(N145="",M145=""),"",(N145-M145)*100)</f>
        <v/>
      </c>
      <c r="P145" s="68" t="n">
        <v>305</v>
      </c>
      <c r="Q145" s="68" t="n">
        <v>276</v>
      </c>
      <c r="R145" s="69">
        <f>IF(OR(Q145="",P145="",P145=0,Q145=0),"",Q145-P145)</f>
        <v/>
      </c>
      <c r="S145" s="42">
        <f>IF(OR(Q145="",P145="",P145=0,Q145=0),"",Q145/P145-1)</f>
        <v/>
      </c>
      <c r="T145" s="43">
        <f>IF(OR(P145="",E145="",E145=0),"",P145/E145)</f>
        <v/>
      </c>
      <c r="U145" s="43">
        <f>IF(OR(Q145="",F145="",F145=0),"",Q145/F145)</f>
        <v/>
      </c>
      <c r="V145" s="44">
        <f>IF(OR(U145="",T145=""),"",(U145-T145)*100)</f>
        <v/>
      </c>
      <c r="W145" s="70" t="n"/>
      <c r="X145" s="70" t="n"/>
      <c r="Y145" s="69">
        <f>IF(OR(X145="",W145="",W145=0,X145=0),"",X145-W145)</f>
        <v/>
      </c>
      <c r="Z145" s="42">
        <f>IF(OR(X145="",W145="",W145=0,X145=0),"",X145/W145-1)</f>
        <v/>
      </c>
      <c r="AA145" s="43">
        <f>IF(OR(W145="",P145="",P145=0),"",W145/P145)</f>
        <v/>
      </c>
      <c r="AB145" s="43">
        <f>IF(OR(X145="",Q145="",Q145=0),"",X145/Q145)</f>
        <v/>
      </c>
      <c r="AC145" s="44">
        <f>IF(OR(AB145="",AA145=""),"",(AB145-AA145)*100)</f>
        <v/>
      </c>
      <c r="AD145" s="70" t="n"/>
      <c r="AE145" s="70" t="n"/>
      <c r="AF145" s="69">
        <f>IF(OR(AE145="",AD145="",AD145=0,AE145=0),"",AE145-AD145)</f>
        <v/>
      </c>
      <c r="AG145" s="42">
        <f>IF(OR(AE145="",AD145="",AD145=0,AE145=0),"",AE145/AD145-1)</f>
        <v/>
      </c>
      <c r="AH145" s="43">
        <f>IF(OR(AD145="",W145="",W145=0),"",AD145/W145)</f>
        <v/>
      </c>
      <c r="AI145" s="43">
        <f>IF(OR(AE145="",X145="",X145=0),"",AE145/X145)</f>
        <v/>
      </c>
      <c r="AJ145" s="44">
        <f>IF(OR(AI145="",AH145=""),"",(AI145-AH145)*100)</f>
        <v/>
      </c>
      <c r="AK145" s="70" t="n"/>
      <c r="AL145" s="70" t="n"/>
      <c r="AM145" s="69">
        <f>IF(OR(AL145="",AK145="",AK145=0,AL145=0),"",AL145-AK145)</f>
        <v/>
      </c>
      <c r="AN145" s="42">
        <f>IF(OR(AL145="",AK145="",AK145=0,AL145=0),"",AL145/AK145-1)</f>
        <v/>
      </c>
      <c r="AO145" s="43">
        <f>IF(OR(AK145="",AD145="",AD145=0),"",AK145/AD145)</f>
        <v/>
      </c>
      <c r="AP145" s="43">
        <f>IF(OR(AL145="",AE145="",AE145=0),"",AL145/AE145)</f>
        <v/>
      </c>
      <c r="AQ145" s="44">
        <f>IF(OR(AP145="",AO145=""),"",(AP145-AO145)*100)</f>
        <v/>
      </c>
      <c r="AR145" s="70" t="n"/>
      <c r="AS145" s="70" t="n"/>
      <c r="AT145" s="69">
        <f>IF(OR(AS145="",AR145="",AR145=0,AS145=0),"",AS145-AR145)</f>
        <v/>
      </c>
      <c r="AU145" s="42">
        <f>IF(OR(AS145="",AR145="",AR145=0,AS145=0),"",AS145/AR145-1)</f>
        <v/>
      </c>
      <c r="AV145" s="43">
        <f>IF(OR(AR145="",AK145="",AK145=0),"",AR145/AK145)</f>
        <v/>
      </c>
      <c r="AW145" s="43">
        <f>IF(OR(AS145="",AL145="",AL145=0),"",AS145/AL145)</f>
        <v/>
      </c>
      <c r="AX145" s="44">
        <f>IF(OR(AW145="",AV145=""),"",(AW145-AV145)*100)</f>
        <v/>
      </c>
      <c r="AY145" s="45">
        <f>IF(OR(AR145="",P145="",P145=0),"",AR145/P145)</f>
        <v/>
      </c>
      <c r="AZ145" s="45">
        <f>IF(OR(AS145="",Q145="",Q145=0),"",AS145/Q145)</f>
        <v/>
      </c>
      <c r="BA145" s="44">
        <f>IF(OR(AZ145="",AY145=""),"",(AZ145-AY145)*100)</f>
        <v/>
      </c>
      <c r="BB145" s="45">
        <f>IF(OR(AR145="",E145="",E145=0),"",AR145/E145)</f>
        <v/>
      </c>
      <c r="BC145" s="45">
        <f>IF(OR(AS145="",F145="",F145=0),"",AS145/F145)</f>
        <v/>
      </c>
      <c r="BD145" s="44">
        <f>IF(OR(BC145="",BB145=""),"",(BC145-BB145)*100)</f>
        <v/>
      </c>
      <c r="BE145" s="40">
        <f>IF(AND(F145&lt;&gt;"",E145&lt;&gt;""),"Both years",IF(F145&lt;&gt;"","1-23Aug26 rows only","1-23Aug25 rows only"))</f>
        <v/>
      </c>
    </row>
    <row r="146">
      <c r="A146" s="40" t="inlineStr">
        <is>
          <t>Home page</t>
        </is>
      </c>
      <c r="B146" s="40" t="inlineStr">
        <is>
          <t>Paid Search</t>
        </is>
      </c>
      <c r="C146" s="40" t="inlineStr">
        <is>
          <t>Desktop</t>
        </is>
      </c>
      <c r="D146" s="40" t="inlineStr">
        <is>
          <t>Norway</t>
        </is>
      </c>
      <c r="E146" s="68" t="n">
        <v>393</v>
      </c>
      <c r="F146" s="70" t="n"/>
      <c r="G146" s="69">
        <f>IF(OR(F146="",E146="",E146=0,F146=0),"",F146-E146)</f>
        <v/>
      </c>
      <c r="H146" s="42">
        <f>IF(OR(F146="",E146="",E146=0,F146=0),"",F146/E146-1)</f>
        <v/>
      </c>
      <c r="I146" s="68" t="n">
        <v>263</v>
      </c>
      <c r="J146" s="68" t="n">
        <v>190</v>
      </c>
      <c r="K146" s="69">
        <f>IF(OR(J146="",I146="",I146=0,J146=0),"",J146-I146)</f>
        <v/>
      </c>
      <c r="L146" s="42">
        <f>IF(OR(J146="",I146="",I146=0,J146=0),"",J146/I146-1)</f>
        <v/>
      </c>
      <c r="M146" s="43">
        <f>IF(OR(I146="",E146="",E146=0),"",I146/E146)</f>
        <v/>
      </c>
      <c r="N146" s="43">
        <f>IF(OR(J146="",F146="",F146=0),"",J146/F146)</f>
        <v/>
      </c>
      <c r="O146" s="44">
        <f>IF(OR(N146="",M146=""),"",(N146-M146)*100)</f>
        <v/>
      </c>
      <c r="P146" s="68" t="n">
        <v>238</v>
      </c>
      <c r="Q146" s="70" t="n"/>
      <c r="R146" s="69">
        <f>IF(OR(Q146="",P146="",P146=0,Q146=0),"",Q146-P146)</f>
        <v/>
      </c>
      <c r="S146" s="42">
        <f>IF(OR(Q146="",P146="",P146=0,Q146=0),"",Q146/P146-1)</f>
        <v/>
      </c>
      <c r="T146" s="43">
        <f>IF(OR(P146="",E146="",E146=0),"",P146/E146)</f>
        <v/>
      </c>
      <c r="U146" s="43">
        <f>IF(OR(Q146="",F146="",F146=0),"",Q146/F146)</f>
        <v/>
      </c>
      <c r="V146" s="44">
        <f>IF(OR(U146="",T146=""),"",(U146-T146)*100)</f>
        <v/>
      </c>
      <c r="W146" s="68" t="n">
        <v>77</v>
      </c>
      <c r="X146" s="68" t="n">
        <v>67</v>
      </c>
      <c r="Y146" s="69">
        <f>IF(OR(X146="",W146="",W146=0,X146=0),"",X146-W146)</f>
        <v/>
      </c>
      <c r="Z146" s="42">
        <f>IF(OR(X146="",W146="",W146=0,X146=0),"",X146/W146-1)</f>
        <v/>
      </c>
      <c r="AA146" s="43">
        <f>IF(OR(W146="",P146="",P146=0),"",W146/P146)</f>
        <v/>
      </c>
      <c r="AB146" s="43">
        <f>IF(OR(X146="",Q146="",Q146=0),"",X146/Q146)</f>
        <v/>
      </c>
      <c r="AC146" s="44">
        <f>IF(OR(AB146="",AA146=""),"",(AB146-AA146)*100)</f>
        <v/>
      </c>
      <c r="AD146" s="68" t="n">
        <v>65</v>
      </c>
      <c r="AE146" s="68" t="n">
        <v>54</v>
      </c>
      <c r="AF146" s="69">
        <f>IF(OR(AE146="",AD146="",AD146=0,AE146=0),"",AE146-AD146)</f>
        <v/>
      </c>
      <c r="AG146" s="42">
        <f>IF(OR(AE146="",AD146="",AD146=0,AE146=0),"",AE146/AD146-1)</f>
        <v/>
      </c>
      <c r="AH146" s="43">
        <f>IF(OR(AD146="",W146="",W146=0),"",AD146/W146)</f>
        <v/>
      </c>
      <c r="AI146" s="43">
        <f>IF(OR(AE146="",X146="",X146=0),"",AE146/X146)</f>
        <v/>
      </c>
      <c r="AJ146" s="44">
        <f>IF(OR(AI146="",AH146=""),"",(AI146-AH146)*100)</f>
        <v/>
      </c>
      <c r="AK146" s="68" t="n">
        <v>40</v>
      </c>
      <c r="AL146" s="68" t="n">
        <v>35</v>
      </c>
      <c r="AM146" s="69">
        <f>IF(OR(AL146="",AK146="",AK146=0,AL146=0),"",AL146-AK146)</f>
        <v/>
      </c>
      <c r="AN146" s="42">
        <f>IF(OR(AL146="",AK146="",AK146=0,AL146=0),"",AL146/AK146-1)</f>
        <v/>
      </c>
      <c r="AO146" s="43">
        <f>IF(OR(AK146="",AD146="",AD146=0),"",AK146/AD146)</f>
        <v/>
      </c>
      <c r="AP146" s="43">
        <f>IF(OR(AL146="",AE146="",AE146=0),"",AL146/AE146)</f>
        <v/>
      </c>
      <c r="AQ146" s="44">
        <f>IF(OR(AP146="",AO146=""),"",(AP146-AO146)*100)</f>
        <v/>
      </c>
      <c r="AR146" s="68" t="n">
        <v>35</v>
      </c>
      <c r="AS146" s="68" t="n">
        <v>32</v>
      </c>
      <c r="AT146" s="69">
        <f>IF(OR(AS146="",AR146="",AR146=0,AS146=0),"",AS146-AR146)</f>
        <v/>
      </c>
      <c r="AU146" s="42">
        <f>IF(OR(AS146="",AR146="",AR146=0,AS146=0),"",AS146/AR146-1)</f>
        <v/>
      </c>
      <c r="AV146" s="43">
        <f>IF(OR(AR146="",AK146="",AK146=0),"",AR146/AK146)</f>
        <v/>
      </c>
      <c r="AW146" s="43">
        <f>IF(OR(AS146="",AL146="",AL146=0),"",AS146/AL146)</f>
        <v/>
      </c>
      <c r="AX146" s="44">
        <f>IF(OR(AW146="",AV146=""),"",(AW146-AV146)*100)</f>
        <v/>
      </c>
      <c r="AY146" s="45">
        <f>IF(OR(AR146="",P146="",P146=0),"",AR146/P146)</f>
        <v/>
      </c>
      <c r="AZ146" s="45">
        <f>IF(OR(AS146="",Q146="",Q146=0),"",AS146/Q146)</f>
        <v/>
      </c>
      <c r="BA146" s="44">
        <f>IF(OR(AZ146="",AY146=""),"",(AZ146-AY146)*100)</f>
        <v/>
      </c>
      <c r="BB146" s="45">
        <f>IF(OR(AR146="",E146="",E146=0),"",AR146/E146)</f>
        <v/>
      </c>
      <c r="BC146" s="45">
        <f>IF(OR(AS146="",F146="",F146=0),"",AS146/F146)</f>
        <v/>
      </c>
      <c r="BD146" s="44">
        <f>IF(OR(BC146="",BB146=""),"",(BC146-BB146)*100)</f>
        <v/>
      </c>
      <c r="BE146" s="40">
        <f>IF(AND(F146&lt;&gt;"",E146&lt;&gt;""),"Both years",IF(F146&lt;&gt;"","1-23Aug26 rows only","1-23Aug25 rows only"))</f>
        <v/>
      </c>
    </row>
    <row r="147">
      <c r="A147" s="56" t="inlineStr">
        <is>
          <t>Home page</t>
        </is>
      </c>
      <c r="B147" s="56" t="inlineStr">
        <is>
          <t>Paid Search</t>
        </is>
      </c>
      <c r="C147" s="56" t="inlineStr">
        <is>
          <t>Desktop</t>
        </is>
      </c>
      <c r="D147" s="56" t="inlineStr">
        <is>
          <t>Finland</t>
        </is>
      </c>
      <c r="E147" s="70" t="n"/>
      <c r="F147" s="70" t="n"/>
      <c r="G147" s="69">
        <f>IF(OR(F147="",E147="",E147=0,F147=0),"",F147-E147)</f>
        <v/>
      </c>
      <c r="H147" s="42">
        <f>IF(OR(F147="",E147="",E147=0,F147=0),"",F147/E147-1)</f>
        <v/>
      </c>
      <c r="I147" s="68" t="n">
        <v>127</v>
      </c>
      <c r="J147" s="68" t="n">
        <v>132</v>
      </c>
      <c r="K147" s="69">
        <f>IF(OR(J147="",I147="",I147=0,J147=0),"",J147-I147)</f>
        <v/>
      </c>
      <c r="L147" s="42">
        <f>IF(OR(J147="",I147="",I147=0,J147=0),"",J147/I147-1)</f>
        <v/>
      </c>
      <c r="M147" s="43">
        <f>IF(OR(I147="",E147="",E147=0),"",I147/E147)</f>
        <v/>
      </c>
      <c r="N147" s="43">
        <f>IF(OR(J147="",F147="",F147=0),"",J147/F147)</f>
        <v/>
      </c>
      <c r="O147" s="44">
        <f>IF(OR(N147="",M147=""),"",(N147-M147)*100)</f>
        <v/>
      </c>
      <c r="P147" s="70" t="n"/>
      <c r="Q147" s="70" t="n"/>
      <c r="R147" s="69">
        <f>IF(OR(Q147="",P147="",P147=0,Q147=0),"",Q147-P147)</f>
        <v/>
      </c>
      <c r="S147" s="42">
        <f>IF(OR(Q147="",P147="",P147=0,Q147=0),"",Q147/P147-1)</f>
        <v/>
      </c>
      <c r="T147" s="43">
        <f>IF(OR(P147="",E147="",E147=0),"",P147/E147)</f>
        <v/>
      </c>
      <c r="U147" s="43">
        <f>IF(OR(Q147="",F147="",F147=0),"",Q147/F147)</f>
        <v/>
      </c>
      <c r="V147" s="44">
        <f>IF(OR(U147="",T147=""),"",(U147-T147)*100)</f>
        <v/>
      </c>
      <c r="W147" s="68" t="n">
        <v>57</v>
      </c>
      <c r="X147" s="68" t="n">
        <v>55</v>
      </c>
      <c r="Y147" s="69">
        <f>IF(OR(X147="",W147="",W147=0,X147=0),"",X147-W147)</f>
        <v/>
      </c>
      <c r="Z147" s="42">
        <f>IF(OR(X147="",W147="",W147=0,X147=0),"",X147/W147-1)</f>
        <v/>
      </c>
      <c r="AA147" s="43">
        <f>IF(OR(W147="",P147="",P147=0),"",W147/P147)</f>
        <v/>
      </c>
      <c r="AB147" s="43">
        <f>IF(OR(X147="",Q147="",Q147=0),"",X147/Q147)</f>
        <v/>
      </c>
      <c r="AC147" s="44">
        <f>IF(OR(AB147="",AA147=""),"",(AB147-AA147)*100)</f>
        <v/>
      </c>
      <c r="AD147" s="68" t="n">
        <v>54</v>
      </c>
      <c r="AE147" s="68" t="n">
        <v>44</v>
      </c>
      <c r="AF147" s="69">
        <f>IF(OR(AE147="",AD147="",AD147=0,AE147=0),"",AE147-AD147)</f>
        <v/>
      </c>
      <c r="AG147" s="42">
        <f>IF(OR(AE147="",AD147="",AD147=0,AE147=0),"",AE147/AD147-1)</f>
        <v/>
      </c>
      <c r="AH147" s="43">
        <f>IF(OR(AD147="",W147="",W147=0),"",AD147/W147)</f>
        <v/>
      </c>
      <c r="AI147" s="43">
        <f>IF(OR(AE147="",X147="",X147=0),"",AE147/X147)</f>
        <v/>
      </c>
      <c r="AJ147" s="44">
        <f>IF(OR(AI147="",AH147=""),"",(AI147-AH147)*100)</f>
        <v/>
      </c>
      <c r="AK147" s="68" t="n">
        <v>33</v>
      </c>
      <c r="AL147" s="68" t="n">
        <v>28</v>
      </c>
      <c r="AM147" s="69">
        <f>IF(OR(AL147="",AK147="",AK147=0,AL147=0),"",AL147-AK147)</f>
        <v/>
      </c>
      <c r="AN147" s="42">
        <f>IF(OR(AL147="",AK147="",AK147=0,AL147=0),"",AL147/AK147-1)</f>
        <v/>
      </c>
      <c r="AO147" s="43">
        <f>IF(OR(AK147="",AD147="",AD147=0),"",AK147/AD147)</f>
        <v/>
      </c>
      <c r="AP147" s="43">
        <f>IF(OR(AL147="",AE147="",AE147=0),"",AL147/AE147)</f>
        <v/>
      </c>
      <c r="AQ147" s="44">
        <f>IF(OR(AP147="",AO147=""),"",(AP147-AO147)*100)</f>
        <v/>
      </c>
      <c r="AR147" s="68" t="n">
        <v>29</v>
      </c>
      <c r="AS147" s="68" t="n">
        <v>24</v>
      </c>
      <c r="AT147" s="69">
        <f>IF(OR(AS147="",AR147="",AR147=0,AS147=0),"",AS147-AR147)</f>
        <v/>
      </c>
      <c r="AU147" s="42">
        <f>IF(OR(AS147="",AR147="",AR147=0,AS147=0),"",AS147/AR147-1)</f>
        <v/>
      </c>
      <c r="AV147" s="43">
        <f>IF(OR(AR147="",AK147="",AK147=0),"",AR147/AK147)</f>
        <v/>
      </c>
      <c r="AW147" s="43">
        <f>IF(OR(AS147="",AL147="",AL147=0),"",AS147/AL147)</f>
        <v/>
      </c>
      <c r="AX147" s="44">
        <f>IF(OR(AW147="",AV147=""),"",(AW147-AV147)*100)</f>
        <v/>
      </c>
      <c r="AY147" s="45">
        <f>IF(OR(AR147="",P147="",P147=0),"",AR147/P147)</f>
        <v/>
      </c>
      <c r="AZ147" s="45">
        <f>IF(OR(AS147="",Q147="",Q147=0),"",AS147/Q147)</f>
        <v/>
      </c>
      <c r="BA147" s="44">
        <f>IF(OR(AZ147="",AY147=""),"",(AZ147-AY147)*100)</f>
        <v/>
      </c>
      <c r="BB147" s="45">
        <f>IF(OR(AR147="",E147="",E147=0),"",AR147/E147)</f>
        <v/>
      </c>
      <c r="BC147" s="45">
        <f>IF(OR(AS147="",F147="",F147=0),"",AS147/F147)</f>
        <v/>
      </c>
      <c r="BD147" s="44">
        <f>IF(OR(BC147="",BB147=""),"",(BC147-BB147)*100)</f>
        <v/>
      </c>
      <c r="BE147" s="40">
        <f>IF(AND(F147&lt;&gt;"",E147&lt;&gt;""),"Both years",IF(F147&lt;&gt;"","1-23Aug26 rows only","1-23Aug25 rows only"))</f>
        <v/>
      </c>
    </row>
    <row r="148">
      <c r="A148" s="40" t="inlineStr">
        <is>
          <t>Home page</t>
        </is>
      </c>
      <c r="B148" s="40" t="inlineStr">
        <is>
          <t>Organic</t>
        </is>
      </c>
      <c r="C148" s="40" t="inlineStr">
        <is>
          <t>Mobile</t>
        </is>
      </c>
      <c r="D148" s="40" t="inlineStr">
        <is>
          <t>United Kingdom</t>
        </is>
      </c>
      <c r="E148" s="68" t="n">
        <v>2807</v>
      </c>
      <c r="F148" s="68" t="n">
        <v>2469</v>
      </c>
      <c r="G148" s="69">
        <f>IF(OR(F148="",E148="",E148=0,F148=0),"",F148-E148)</f>
        <v/>
      </c>
      <c r="H148" s="42">
        <f>IF(OR(F148="",E148="",E148=0,F148=0),"",F148/E148-1)</f>
        <v/>
      </c>
      <c r="I148" s="68" t="n">
        <v>1803</v>
      </c>
      <c r="J148" s="68" t="n">
        <v>1552</v>
      </c>
      <c r="K148" s="69">
        <f>IF(OR(J148="",I148="",I148=0,J148=0),"",J148-I148)</f>
        <v/>
      </c>
      <c r="L148" s="42">
        <f>IF(OR(J148="",I148="",I148=0,J148=0),"",J148/I148-1)</f>
        <v/>
      </c>
      <c r="M148" s="43">
        <f>IF(OR(I148="",E148="",E148=0),"",I148/E148)</f>
        <v/>
      </c>
      <c r="N148" s="43">
        <f>IF(OR(J148="",F148="",F148=0),"",J148/F148)</f>
        <v/>
      </c>
      <c r="O148" s="44">
        <f>IF(OR(N148="",M148=""),"",(N148-M148)*100)</f>
        <v/>
      </c>
      <c r="P148" s="68" t="n">
        <v>1578</v>
      </c>
      <c r="Q148" s="68" t="n">
        <v>1379</v>
      </c>
      <c r="R148" s="69">
        <f>IF(OR(Q148="",P148="",P148=0,Q148=0),"",Q148-P148)</f>
        <v/>
      </c>
      <c r="S148" s="42">
        <f>IF(OR(Q148="",P148="",P148=0,Q148=0),"",Q148/P148-1)</f>
        <v/>
      </c>
      <c r="T148" s="43">
        <f>IF(OR(P148="",E148="",E148=0),"",P148/E148)</f>
        <v/>
      </c>
      <c r="U148" s="43">
        <f>IF(OR(Q148="",F148="",F148=0),"",Q148/F148)</f>
        <v/>
      </c>
      <c r="V148" s="44">
        <f>IF(OR(U148="",T148=""),"",(U148-T148)*100)</f>
        <v/>
      </c>
      <c r="W148" s="68" t="n">
        <v>514</v>
      </c>
      <c r="X148" s="68" t="n">
        <v>379</v>
      </c>
      <c r="Y148" s="69">
        <f>IF(OR(X148="",W148="",W148=0,X148=0),"",X148-W148)</f>
        <v/>
      </c>
      <c r="Z148" s="42">
        <f>IF(OR(X148="",W148="",W148=0,X148=0),"",X148/W148-1)</f>
        <v/>
      </c>
      <c r="AA148" s="43">
        <f>IF(OR(W148="",P148="",P148=0),"",W148/P148)</f>
        <v/>
      </c>
      <c r="AB148" s="43">
        <f>IF(OR(X148="",Q148="",Q148=0),"",X148/Q148)</f>
        <v/>
      </c>
      <c r="AC148" s="44">
        <f>IF(OR(AB148="",AA148=""),"",(AB148-AA148)*100)</f>
        <v/>
      </c>
      <c r="AD148" s="68" t="n">
        <v>424</v>
      </c>
      <c r="AE148" s="68" t="n">
        <v>296</v>
      </c>
      <c r="AF148" s="69">
        <f>IF(OR(AE148="",AD148="",AD148=0,AE148=0),"",AE148-AD148)</f>
        <v/>
      </c>
      <c r="AG148" s="42">
        <f>IF(OR(AE148="",AD148="",AD148=0,AE148=0),"",AE148/AD148-1)</f>
        <v/>
      </c>
      <c r="AH148" s="43">
        <f>IF(OR(AD148="",W148="",W148=0),"",AD148/W148)</f>
        <v/>
      </c>
      <c r="AI148" s="43">
        <f>IF(OR(AE148="",X148="",X148=0),"",AE148/X148)</f>
        <v/>
      </c>
      <c r="AJ148" s="44">
        <f>IF(OR(AI148="",AH148=""),"",(AI148-AH148)*100)</f>
        <v/>
      </c>
      <c r="AK148" s="68" t="n">
        <v>237</v>
      </c>
      <c r="AL148" s="68" t="n">
        <v>148</v>
      </c>
      <c r="AM148" s="69">
        <f>IF(OR(AL148="",AK148="",AK148=0,AL148=0),"",AL148-AK148)</f>
        <v/>
      </c>
      <c r="AN148" s="42">
        <f>IF(OR(AL148="",AK148="",AK148=0,AL148=0),"",AL148/AK148-1)</f>
        <v/>
      </c>
      <c r="AO148" s="43">
        <f>IF(OR(AK148="",AD148="",AD148=0),"",AK148/AD148)</f>
        <v/>
      </c>
      <c r="AP148" s="43">
        <f>IF(OR(AL148="",AE148="",AE148=0),"",AL148/AE148)</f>
        <v/>
      </c>
      <c r="AQ148" s="44">
        <f>IF(OR(AP148="",AO148=""),"",(AP148-AO148)*100)</f>
        <v/>
      </c>
      <c r="AR148" s="68" t="n">
        <v>206</v>
      </c>
      <c r="AS148" s="68" t="n">
        <v>114</v>
      </c>
      <c r="AT148" s="69">
        <f>IF(OR(AS148="",AR148="",AR148=0,AS148=0),"",AS148-AR148)</f>
        <v/>
      </c>
      <c r="AU148" s="42">
        <f>IF(OR(AS148="",AR148="",AR148=0,AS148=0),"",AS148/AR148-1)</f>
        <v/>
      </c>
      <c r="AV148" s="43">
        <f>IF(OR(AR148="",AK148="",AK148=0),"",AR148/AK148)</f>
        <v/>
      </c>
      <c r="AW148" s="43">
        <f>IF(OR(AS148="",AL148="",AL148=0),"",AS148/AL148)</f>
        <v/>
      </c>
      <c r="AX148" s="44">
        <f>IF(OR(AW148="",AV148=""),"",(AW148-AV148)*100)</f>
        <v/>
      </c>
      <c r="AY148" s="45">
        <f>IF(OR(AR148="",P148="",P148=0),"",AR148/P148)</f>
        <v/>
      </c>
      <c r="AZ148" s="45">
        <f>IF(OR(AS148="",Q148="",Q148=0),"",AS148/Q148)</f>
        <v/>
      </c>
      <c r="BA148" s="44">
        <f>IF(OR(AZ148="",AY148=""),"",(AZ148-AY148)*100)</f>
        <v/>
      </c>
      <c r="BB148" s="45">
        <f>IF(OR(AR148="",E148="",E148=0),"",AR148/E148)</f>
        <v/>
      </c>
      <c r="BC148" s="45">
        <f>IF(OR(AS148="",F148="",F148=0),"",AS148/F148)</f>
        <v/>
      </c>
      <c r="BD148" s="44">
        <f>IF(OR(BC148="",BB148=""),"",(BC148-BB148)*100)</f>
        <v/>
      </c>
      <c r="BE148" s="40">
        <f>IF(AND(F148&lt;&gt;"",E148&lt;&gt;""),"Both years",IF(F148&lt;&gt;"","1-23Aug26 rows only","1-23Aug25 rows only"))</f>
        <v/>
      </c>
    </row>
    <row r="149">
      <c r="A149" s="56" t="inlineStr">
        <is>
          <t>Home page</t>
        </is>
      </c>
      <c r="B149" s="56" t="inlineStr">
        <is>
          <t>Organic</t>
        </is>
      </c>
      <c r="C149" s="56" t="inlineStr">
        <is>
          <t>Mobile</t>
        </is>
      </c>
      <c r="D149" s="56" t="inlineStr">
        <is>
          <t>Italy</t>
        </is>
      </c>
      <c r="E149" s="68" t="n">
        <v>287</v>
      </c>
      <c r="F149" s="68" t="n">
        <v>1786</v>
      </c>
      <c r="G149" s="69">
        <f>IF(OR(F149="",E149="",E149=0,F149=0),"",F149-E149)</f>
        <v/>
      </c>
      <c r="H149" s="42">
        <f>IF(OR(F149="",E149="",E149=0,F149=0),"",F149/E149-1)</f>
        <v/>
      </c>
      <c r="I149" s="68" t="n">
        <v>155</v>
      </c>
      <c r="J149" s="68" t="n">
        <v>462</v>
      </c>
      <c r="K149" s="69">
        <f>IF(OR(J149="",I149="",I149=0,J149=0),"",J149-I149)</f>
        <v/>
      </c>
      <c r="L149" s="42">
        <f>IF(OR(J149="",I149="",I149=0,J149=0),"",J149/I149-1)</f>
        <v/>
      </c>
      <c r="M149" s="43">
        <f>IF(OR(I149="",E149="",E149=0),"",I149/E149)</f>
        <v/>
      </c>
      <c r="N149" s="43">
        <f>IF(OR(J149="",F149="",F149=0),"",J149/F149)</f>
        <v/>
      </c>
      <c r="O149" s="44">
        <f>IF(OR(N149="",M149=""),"",(N149-M149)*100)</f>
        <v/>
      </c>
      <c r="P149" s="68" t="n">
        <v>115</v>
      </c>
      <c r="Q149" s="68" t="n">
        <v>368</v>
      </c>
      <c r="R149" s="69">
        <f>IF(OR(Q149="",P149="",P149=0,Q149=0),"",Q149-P149)</f>
        <v/>
      </c>
      <c r="S149" s="42">
        <f>IF(OR(Q149="",P149="",P149=0,Q149=0),"",Q149/P149-1)</f>
        <v/>
      </c>
      <c r="T149" s="43">
        <f>IF(OR(P149="",E149="",E149=0),"",P149/E149)</f>
        <v/>
      </c>
      <c r="U149" s="43">
        <f>IF(OR(Q149="",F149="",F149=0),"",Q149/F149)</f>
        <v/>
      </c>
      <c r="V149" s="44">
        <f>IF(OR(U149="",T149=""),"",(U149-T149)*100)</f>
        <v/>
      </c>
      <c r="W149" s="68" t="n">
        <v>54</v>
      </c>
      <c r="X149" s="68" t="n">
        <v>121</v>
      </c>
      <c r="Y149" s="69">
        <f>IF(OR(X149="",W149="",W149=0,X149=0),"",X149-W149)</f>
        <v/>
      </c>
      <c r="Z149" s="42">
        <f>IF(OR(X149="",W149="",W149=0,X149=0),"",X149/W149-1)</f>
        <v/>
      </c>
      <c r="AA149" s="43">
        <f>IF(OR(W149="",P149="",P149=0),"",W149/P149)</f>
        <v/>
      </c>
      <c r="AB149" s="43">
        <f>IF(OR(X149="",Q149="",Q149=0),"",X149/Q149)</f>
        <v/>
      </c>
      <c r="AC149" s="44">
        <f>IF(OR(AB149="",AA149=""),"",(AB149-AA149)*100)</f>
        <v/>
      </c>
      <c r="AD149" s="68" t="n">
        <v>40</v>
      </c>
      <c r="AE149" s="68" t="n">
        <v>106</v>
      </c>
      <c r="AF149" s="69">
        <f>IF(OR(AE149="",AD149="",AD149=0,AE149=0),"",AE149-AD149)</f>
        <v/>
      </c>
      <c r="AG149" s="42">
        <f>IF(OR(AE149="",AD149="",AD149=0,AE149=0),"",AE149/AD149-1)</f>
        <v/>
      </c>
      <c r="AH149" s="43">
        <f>IF(OR(AD149="",W149="",W149=0),"",AD149/W149)</f>
        <v/>
      </c>
      <c r="AI149" s="43">
        <f>IF(OR(AE149="",X149="",X149=0),"",AE149/X149)</f>
        <v/>
      </c>
      <c r="AJ149" s="44">
        <f>IF(OR(AI149="",AH149=""),"",(AI149-AH149)*100)</f>
        <v/>
      </c>
      <c r="AK149" s="68" t="n">
        <v>16</v>
      </c>
      <c r="AL149" s="68" t="n">
        <v>48</v>
      </c>
      <c r="AM149" s="69">
        <f>IF(OR(AL149="",AK149="",AK149=0,AL149=0),"",AL149-AK149)</f>
        <v/>
      </c>
      <c r="AN149" s="42">
        <f>IF(OR(AL149="",AK149="",AK149=0,AL149=0),"",AL149/AK149-1)</f>
        <v/>
      </c>
      <c r="AO149" s="43">
        <f>IF(OR(AK149="",AD149="",AD149=0),"",AK149/AD149)</f>
        <v/>
      </c>
      <c r="AP149" s="43">
        <f>IF(OR(AL149="",AE149="",AE149=0),"",AL149/AE149)</f>
        <v/>
      </c>
      <c r="AQ149" s="44">
        <f>IF(OR(AP149="",AO149=""),"",(AP149-AO149)*100)</f>
        <v/>
      </c>
      <c r="AR149" s="68" t="n">
        <v>13</v>
      </c>
      <c r="AS149" s="68" t="n">
        <v>39</v>
      </c>
      <c r="AT149" s="69">
        <f>IF(OR(AS149="",AR149="",AR149=0,AS149=0),"",AS149-AR149)</f>
        <v/>
      </c>
      <c r="AU149" s="42">
        <f>IF(OR(AS149="",AR149="",AR149=0,AS149=0),"",AS149/AR149-1)</f>
        <v/>
      </c>
      <c r="AV149" s="43">
        <f>IF(OR(AR149="",AK149="",AK149=0),"",AR149/AK149)</f>
        <v/>
      </c>
      <c r="AW149" s="43">
        <f>IF(OR(AS149="",AL149="",AL149=0),"",AS149/AL149)</f>
        <v/>
      </c>
      <c r="AX149" s="44">
        <f>IF(OR(AW149="",AV149=""),"",(AW149-AV149)*100)</f>
        <v/>
      </c>
      <c r="AY149" s="45">
        <f>IF(OR(AR149="",P149="",P149=0),"",AR149/P149)</f>
        <v/>
      </c>
      <c r="AZ149" s="45">
        <f>IF(OR(AS149="",Q149="",Q149=0),"",AS149/Q149)</f>
        <v/>
      </c>
      <c r="BA149" s="44">
        <f>IF(OR(AZ149="",AY149=""),"",(AZ149-AY149)*100)</f>
        <v/>
      </c>
      <c r="BB149" s="45">
        <f>IF(OR(AR149="",E149="",E149=0),"",AR149/E149)</f>
        <v/>
      </c>
      <c r="BC149" s="45">
        <f>IF(OR(AS149="",F149="",F149=0),"",AS149/F149)</f>
        <v/>
      </c>
      <c r="BD149" s="44">
        <f>IF(OR(BC149="",BB149=""),"",(BC149-BB149)*100)</f>
        <v/>
      </c>
      <c r="BE149" s="40">
        <f>IF(AND(F149&lt;&gt;"",E149&lt;&gt;""),"Both years",IF(F149&lt;&gt;"","1-23Aug26 rows only","1-23Aug25 rows only"))</f>
        <v/>
      </c>
    </row>
    <row r="150">
      <c r="A150" s="40" t="inlineStr">
        <is>
          <t>Home page</t>
        </is>
      </c>
      <c r="B150" s="40" t="inlineStr">
        <is>
          <t>Organic</t>
        </is>
      </c>
      <c r="C150" s="40" t="inlineStr">
        <is>
          <t>Mobile</t>
        </is>
      </c>
      <c r="D150" s="40" t="inlineStr">
        <is>
          <t>Germany</t>
        </is>
      </c>
      <c r="E150" s="68" t="n">
        <v>560</v>
      </c>
      <c r="F150" s="68" t="n">
        <v>834</v>
      </c>
      <c r="G150" s="69">
        <f>IF(OR(F150="",E150="",E150=0,F150=0),"",F150-E150)</f>
        <v/>
      </c>
      <c r="H150" s="42">
        <f>IF(OR(F150="",E150="",E150=0,F150=0),"",F150/E150-1)</f>
        <v/>
      </c>
      <c r="I150" s="68" t="n">
        <v>300</v>
      </c>
      <c r="J150" s="68" t="n">
        <v>372</v>
      </c>
      <c r="K150" s="69">
        <f>IF(OR(J150="",I150="",I150=0,J150=0),"",J150-I150)</f>
        <v/>
      </c>
      <c r="L150" s="42">
        <f>IF(OR(J150="",I150="",I150=0,J150=0),"",J150/I150-1)</f>
        <v/>
      </c>
      <c r="M150" s="43">
        <f>IF(OR(I150="",E150="",E150=0),"",I150/E150)</f>
        <v/>
      </c>
      <c r="N150" s="43">
        <f>IF(OR(J150="",F150="",F150=0),"",J150/F150)</f>
        <v/>
      </c>
      <c r="O150" s="44">
        <f>IF(OR(N150="",M150=""),"",(N150-M150)*100)</f>
        <v/>
      </c>
      <c r="P150" s="68" t="n">
        <v>280</v>
      </c>
      <c r="Q150" s="68" t="n">
        <v>321</v>
      </c>
      <c r="R150" s="69">
        <f>IF(OR(Q150="",P150="",P150=0,Q150=0),"",Q150-P150)</f>
        <v/>
      </c>
      <c r="S150" s="42">
        <f>IF(OR(Q150="",P150="",P150=0,Q150=0),"",Q150/P150-1)</f>
        <v/>
      </c>
      <c r="T150" s="43">
        <f>IF(OR(P150="",E150="",E150=0),"",P150/E150)</f>
        <v/>
      </c>
      <c r="U150" s="43">
        <f>IF(OR(Q150="",F150="",F150=0),"",Q150/F150)</f>
        <v/>
      </c>
      <c r="V150" s="44">
        <f>IF(OR(U150="",T150=""),"",(U150-T150)*100)</f>
        <v/>
      </c>
      <c r="W150" s="68" t="n">
        <v>132</v>
      </c>
      <c r="X150" s="68" t="n">
        <v>113</v>
      </c>
      <c r="Y150" s="69">
        <f>IF(OR(X150="",W150="",W150=0,X150=0),"",X150-W150)</f>
        <v/>
      </c>
      <c r="Z150" s="42">
        <f>IF(OR(X150="",W150="",W150=0,X150=0),"",X150/W150-1)</f>
        <v/>
      </c>
      <c r="AA150" s="43">
        <f>IF(OR(W150="",P150="",P150=0),"",W150/P150)</f>
        <v/>
      </c>
      <c r="AB150" s="43">
        <f>IF(OR(X150="",Q150="",Q150=0),"",X150/Q150)</f>
        <v/>
      </c>
      <c r="AC150" s="44">
        <f>IF(OR(AB150="",AA150=""),"",(AB150-AA150)*100)</f>
        <v/>
      </c>
      <c r="AD150" s="68" t="n">
        <v>104</v>
      </c>
      <c r="AE150" s="68" t="n">
        <v>84</v>
      </c>
      <c r="AF150" s="69">
        <f>IF(OR(AE150="",AD150="",AD150=0,AE150=0),"",AE150-AD150)</f>
        <v/>
      </c>
      <c r="AG150" s="42">
        <f>IF(OR(AE150="",AD150="",AD150=0,AE150=0),"",AE150/AD150-1)</f>
        <v/>
      </c>
      <c r="AH150" s="43">
        <f>IF(OR(AD150="",W150="",W150=0),"",AD150/W150)</f>
        <v/>
      </c>
      <c r="AI150" s="43">
        <f>IF(OR(AE150="",X150="",X150=0),"",AE150/X150)</f>
        <v/>
      </c>
      <c r="AJ150" s="44">
        <f>IF(OR(AI150="",AH150=""),"",(AI150-AH150)*100)</f>
        <v/>
      </c>
      <c r="AK150" s="68" t="n">
        <v>61</v>
      </c>
      <c r="AL150" s="68" t="n">
        <v>37</v>
      </c>
      <c r="AM150" s="69">
        <f>IF(OR(AL150="",AK150="",AK150=0,AL150=0),"",AL150-AK150)</f>
        <v/>
      </c>
      <c r="AN150" s="42">
        <f>IF(OR(AL150="",AK150="",AK150=0,AL150=0),"",AL150/AK150-1)</f>
        <v/>
      </c>
      <c r="AO150" s="43">
        <f>IF(OR(AK150="",AD150="",AD150=0),"",AK150/AD150)</f>
        <v/>
      </c>
      <c r="AP150" s="43">
        <f>IF(OR(AL150="",AE150="",AE150=0),"",AL150/AE150)</f>
        <v/>
      </c>
      <c r="AQ150" s="44">
        <f>IF(OR(AP150="",AO150=""),"",(AP150-AO150)*100)</f>
        <v/>
      </c>
      <c r="AR150" s="68" t="n">
        <v>60</v>
      </c>
      <c r="AS150" s="68" t="n">
        <v>32</v>
      </c>
      <c r="AT150" s="69">
        <f>IF(OR(AS150="",AR150="",AR150=0,AS150=0),"",AS150-AR150)</f>
        <v/>
      </c>
      <c r="AU150" s="42">
        <f>IF(OR(AS150="",AR150="",AR150=0,AS150=0),"",AS150/AR150-1)</f>
        <v/>
      </c>
      <c r="AV150" s="43">
        <f>IF(OR(AR150="",AK150="",AK150=0),"",AR150/AK150)</f>
        <v/>
      </c>
      <c r="AW150" s="43">
        <f>IF(OR(AS150="",AL150="",AL150=0),"",AS150/AL150)</f>
        <v/>
      </c>
      <c r="AX150" s="44">
        <f>IF(OR(AW150="",AV150=""),"",(AW150-AV150)*100)</f>
        <v/>
      </c>
      <c r="AY150" s="45">
        <f>IF(OR(AR150="",P150="",P150=0),"",AR150/P150)</f>
        <v/>
      </c>
      <c r="AZ150" s="45">
        <f>IF(OR(AS150="",Q150="",Q150=0),"",AS150/Q150)</f>
        <v/>
      </c>
      <c r="BA150" s="44">
        <f>IF(OR(AZ150="",AY150=""),"",(AZ150-AY150)*100)</f>
        <v/>
      </c>
      <c r="BB150" s="45">
        <f>IF(OR(AR150="",E150="",E150=0),"",AR150/E150)</f>
        <v/>
      </c>
      <c r="BC150" s="45">
        <f>IF(OR(AS150="",F150="",F150=0),"",AS150/F150)</f>
        <v/>
      </c>
      <c r="BD150" s="44">
        <f>IF(OR(BC150="",BB150=""),"",(BC150-BB150)*100)</f>
        <v/>
      </c>
      <c r="BE150" s="40">
        <f>IF(AND(F150&lt;&gt;"",E150&lt;&gt;""),"Both years",IF(F150&lt;&gt;"","1-23Aug26 rows only","1-23Aug25 rows only"))</f>
        <v/>
      </c>
    </row>
    <row r="151">
      <c r="A151" s="56" t="inlineStr">
        <is>
          <t>Home page</t>
        </is>
      </c>
      <c r="B151" s="56" t="inlineStr">
        <is>
          <t>Organic</t>
        </is>
      </c>
      <c r="C151" s="56" t="inlineStr">
        <is>
          <t>Mobile</t>
        </is>
      </c>
      <c r="D151" s="56" t="inlineStr">
        <is>
          <t>Spain</t>
        </is>
      </c>
      <c r="E151" s="68" t="n">
        <v>447</v>
      </c>
      <c r="F151" s="68" t="n">
        <v>765</v>
      </c>
      <c r="G151" s="69">
        <f>IF(OR(F151="",E151="",E151=0,F151=0),"",F151-E151)</f>
        <v/>
      </c>
      <c r="H151" s="42">
        <f>IF(OR(F151="",E151="",E151=0,F151=0),"",F151/E151-1)</f>
        <v/>
      </c>
      <c r="I151" s="68" t="n">
        <v>211</v>
      </c>
      <c r="J151" s="68" t="n">
        <v>222</v>
      </c>
      <c r="K151" s="69">
        <f>IF(OR(J151="",I151="",I151=0,J151=0),"",J151-I151)</f>
        <v/>
      </c>
      <c r="L151" s="42">
        <f>IF(OR(J151="",I151="",I151=0,J151=0),"",J151/I151-1)</f>
        <v/>
      </c>
      <c r="M151" s="43">
        <f>IF(OR(I151="",E151="",E151=0),"",I151/E151)</f>
        <v/>
      </c>
      <c r="N151" s="43">
        <f>IF(OR(J151="",F151="",F151=0),"",J151/F151)</f>
        <v/>
      </c>
      <c r="O151" s="44">
        <f>IF(OR(N151="",M151=""),"",(N151-M151)*100)</f>
        <v/>
      </c>
      <c r="P151" s="68" t="n">
        <v>189</v>
      </c>
      <c r="Q151" s="68" t="n">
        <v>184</v>
      </c>
      <c r="R151" s="69">
        <f>IF(OR(Q151="",P151="",P151=0,Q151=0),"",Q151-P151)</f>
        <v/>
      </c>
      <c r="S151" s="42">
        <f>IF(OR(Q151="",P151="",P151=0,Q151=0),"",Q151/P151-1)</f>
        <v/>
      </c>
      <c r="T151" s="43">
        <f>IF(OR(P151="",E151="",E151=0),"",P151/E151)</f>
        <v/>
      </c>
      <c r="U151" s="43">
        <f>IF(OR(Q151="",F151="",F151=0),"",Q151/F151)</f>
        <v/>
      </c>
      <c r="V151" s="44">
        <f>IF(OR(U151="",T151=""),"",(U151-T151)*100)</f>
        <v/>
      </c>
      <c r="W151" s="68" t="n">
        <v>73</v>
      </c>
      <c r="X151" s="68" t="n">
        <v>55</v>
      </c>
      <c r="Y151" s="69">
        <f>IF(OR(X151="",W151="",W151=0,X151=0),"",X151-W151)</f>
        <v/>
      </c>
      <c r="Z151" s="42">
        <f>IF(OR(X151="",W151="",W151=0,X151=0),"",X151/W151-1)</f>
        <v/>
      </c>
      <c r="AA151" s="43">
        <f>IF(OR(W151="",P151="",P151=0),"",W151/P151)</f>
        <v/>
      </c>
      <c r="AB151" s="43">
        <f>IF(OR(X151="",Q151="",Q151=0),"",X151/Q151)</f>
        <v/>
      </c>
      <c r="AC151" s="44">
        <f>IF(OR(AB151="",AA151=""),"",(AB151-AA151)*100)</f>
        <v/>
      </c>
      <c r="AD151" s="68" t="n">
        <v>56</v>
      </c>
      <c r="AE151" s="68" t="n">
        <v>45</v>
      </c>
      <c r="AF151" s="69">
        <f>IF(OR(AE151="",AD151="",AD151=0,AE151=0),"",AE151-AD151)</f>
        <v/>
      </c>
      <c r="AG151" s="42">
        <f>IF(OR(AE151="",AD151="",AD151=0,AE151=0),"",AE151/AD151-1)</f>
        <v/>
      </c>
      <c r="AH151" s="43">
        <f>IF(OR(AD151="",W151="",W151=0),"",AD151/W151)</f>
        <v/>
      </c>
      <c r="AI151" s="43">
        <f>IF(OR(AE151="",X151="",X151=0),"",AE151/X151)</f>
        <v/>
      </c>
      <c r="AJ151" s="44">
        <f>IF(OR(AI151="",AH151=""),"",(AI151-AH151)*100)</f>
        <v/>
      </c>
      <c r="AK151" s="68" t="n">
        <v>31</v>
      </c>
      <c r="AL151" s="68" t="n">
        <v>21</v>
      </c>
      <c r="AM151" s="69">
        <f>IF(OR(AL151="",AK151="",AK151=0,AL151=0),"",AL151-AK151)</f>
        <v/>
      </c>
      <c r="AN151" s="42">
        <f>IF(OR(AL151="",AK151="",AK151=0,AL151=0),"",AL151/AK151-1)</f>
        <v/>
      </c>
      <c r="AO151" s="43">
        <f>IF(OR(AK151="",AD151="",AD151=0),"",AK151/AD151)</f>
        <v/>
      </c>
      <c r="AP151" s="43">
        <f>IF(OR(AL151="",AE151="",AE151=0),"",AL151/AE151)</f>
        <v/>
      </c>
      <c r="AQ151" s="44">
        <f>IF(OR(AP151="",AO151=""),"",(AP151-AO151)*100)</f>
        <v/>
      </c>
      <c r="AR151" s="68" t="n">
        <v>24</v>
      </c>
      <c r="AS151" s="68" t="n">
        <v>17</v>
      </c>
      <c r="AT151" s="69">
        <f>IF(OR(AS151="",AR151="",AR151=0,AS151=0),"",AS151-AR151)</f>
        <v/>
      </c>
      <c r="AU151" s="42">
        <f>IF(OR(AS151="",AR151="",AR151=0,AS151=0),"",AS151/AR151-1)</f>
        <v/>
      </c>
      <c r="AV151" s="43">
        <f>IF(OR(AR151="",AK151="",AK151=0),"",AR151/AK151)</f>
        <v/>
      </c>
      <c r="AW151" s="43">
        <f>IF(OR(AS151="",AL151="",AL151=0),"",AS151/AL151)</f>
        <v/>
      </c>
      <c r="AX151" s="44">
        <f>IF(OR(AW151="",AV151=""),"",(AW151-AV151)*100)</f>
        <v/>
      </c>
      <c r="AY151" s="45">
        <f>IF(OR(AR151="",P151="",P151=0),"",AR151/P151)</f>
        <v/>
      </c>
      <c r="AZ151" s="45">
        <f>IF(OR(AS151="",Q151="",Q151=0),"",AS151/Q151)</f>
        <v/>
      </c>
      <c r="BA151" s="44">
        <f>IF(OR(AZ151="",AY151=""),"",(AZ151-AY151)*100)</f>
        <v/>
      </c>
      <c r="BB151" s="45">
        <f>IF(OR(AR151="",E151="",E151=0),"",AR151/E151)</f>
        <v/>
      </c>
      <c r="BC151" s="45">
        <f>IF(OR(AS151="",F151="",F151=0),"",AS151/F151)</f>
        <v/>
      </c>
      <c r="BD151" s="44">
        <f>IF(OR(BC151="",BB151=""),"",(BC151-BB151)*100)</f>
        <v/>
      </c>
      <c r="BE151" s="40">
        <f>IF(AND(F151&lt;&gt;"",E151&lt;&gt;""),"Both years",IF(F151&lt;&gt;"","1-23Aug26 rows only","1-23Aug25 rows only"))</f>
        <v/>
      </c>
    </row>
    <row r="152">
      <c r="A152" s="40" t="inlineStr">
        <is>
          <t>Home page</t>
        </is>
      </c>
      <c r="B152" s="40" t="inlineStr">
        <is>
          <t>Organic</t>
        </is>
      </c>
      <c r="C152" s="40" t="inlineStr">
        <is>
          <t>Mobile</t>
        </is>
      </c>
      <c r="D152" s="40" t="inlineStr">
        <is>
          <t>Belgium</t>
        </is>
      </c>
      <c r="E152" s="68" t="n">
        <v>264</v>
      </c>
      <c r="F152" s="68" t="n">
        <v>452</v>
      </c>
      <c r="G152" s="69">
        <f>IF(OR(F152="",E152="",E152=0,F152=0),"",F152-E152)</f>
        <v/>
      </c>
      <c r="H152" s="42">
        <f>IF(OR(F152="",E152="",E152=0,F152=0),"",F152/E152-1)</f>
        <v/>
      </c>
      <c r="I152" s="68" t="n">
        <v>179</v>
      </c>
      <c r="J152" s="68" t="n">
        <v>281</v>
      </c>
      <c r="K152" s="69">
        <f>IF(OR(J152="",I152="",I152=0,J152=0),"",J152-I152)</f>
        <v/>
      </c>
      <c r="L152" s="42">
        <f>IF(OR(J152="",I152="",I152=0,J152=0),"",J152/I152-1)</f>
        <v/>
      </c>
      <c r="M152" s="43">
        <f>IF(OR(I152="",E152="",E152=0),"",I152/E152)</f>
        <v/>
      </c>
      <c r="N152" s="43">
        <f>IF(OR(J152="",F152="",F152=0),"",J152/F152)</f>
        <v/>
      </c>
      <c r="O152" s="44">
        <f>IF(OR(N152="",M152=""),"",(N152-M152)*100)</f>
        <v/>
      </c>
      <c r="P152" s="68" t="n">
        <v>139</v>
      </c>
      <c r="Q152" s="68" t="n">
        <v>213</v>
      </c>
      <c r="R152" s="69">
        <f>IF(OR(Q152="",P152="",P152=0,Q152=0),"",Q152-P152)</f>
        <v/>
      </c>
      <c r="S152" s="42">
        <f>IF(OR(Q152="",P152="",P152=0,Q152=0),"",Q152/P152-1)</f>
        <v/>
      </c>
      <c r="T152" s="43">
        <f>IF(OR(P152="",E152="",E152=0),"",P152/E152)</f>
        <v/>
      </c>
      <c r="U152" s="43">
        <f>IF(OR(Q152="",F152="",F152=0),"",Q152/F152)</f>
        <v/>
      </c>
      <c r="V152" s="44">
        <f>IF(OR(U152="",T152=""),"",(U152-T152)*100)</f>
        <v/>
      </c>
      <c r="W152" s="68" t="n">
        <v>38</v>
      </c>
      <c r="X152" s="68" t="n">
        <v>65</v>
      </c>
      <c r="Y152" s="69">
        <f>IF(OR(X152="",W152="",W152=0,X152=0),"",X152-W152)</f>
        <v/>
      </c>
      <c r="Z152" s="42">
        <f>IF(OR(X152="",W152="",W152=0,X152=0),"",X152/W152-1)</f>
        <v/>
      </c>
      <c r="AA152" s="43">
        <f>IF(OR(W152="",P152="",P152=0),"",W152/P152)</f>
        <v/>
      </c>
      <c r="AB152" s="43">
        <f>IF(OR(X152="",Q152="",Q152=0),"",X152/Q152)</f>
        <v/>
      </c>
      <c r="AC152" s="44">
        <f>IF(OR(AB152="",AA152=""),"",(AB152-AA152)*100)</f>
        <v/>
      </c>
      <c r="AD152" s="68" t="n">
        <v>36</v>
      </c>
      <c r="AE152" s="68" t="n">
        <v>39</v>
      </c>
      <c r="AF152" s="69">
        <f>IF(OR(AE152="",AD152="",AD152=0,AE152=0),"",AE152-AD152)</f>
        <v/>
      </c>
      <c r="AG152" s="42">
        <f>IF(OR(AE152="",AD152="",AD152=0,AE152=0),"",AE152/AD152-1)</f>
        <v/>
      </c>
      <c r="AH152" s="43">
        <f>IF(OR(AD152="",W152="",W152=0),"",AD152/W152)</f>
        <v/>
      </c>
      <c r="AI152" s="43">
        <f>IF(OR(AE152="",X152="",X152=0),"",AE152/X152)</f>
        <v/>
      </c>
      <c r="AJ152" s="44">
        <f>IF(OR(AI152="",AH152=""),"",(AI152-AH152)*100)</f>
        <v/>
      </c>
      <c r="AK152" s="68" t="n">
        <v>9</v>
      </c>
      <c r="AL152" s="68" t="n">
        <v>17</v>
      </c>
      <c r="AM152" s="69">
        <f>IF(OR(AL152="",AK152="",AK152=0,AL152=0),"",AL152-AK152)</f>
        <v/>
      </c>
      <c r="AN152" s="42">
        <f>IF(OR(AL152="",AK152="",AK152=0,AL152=0),"",AL152/AK152-1)</f>
        <v/>
      </c>
      <c r="AO152" s="43">
        <f>IF(OR(AK152="",AD152="",AD152=0),"",AK152/AD152)</f>
        <v/>
      </c>
      <c r="AP152" s="43">
        <f>IF(OR(AL152="",AE152="",AE152=0),"",AL152/AE152)</f>
        <v/>
      </c>
      <c r="AQ152" s="44">
        <f>IF(OR(AP152="",AO152=""),"",(AP152-AO152)*100)</f>
        <v/>
      </c>
      <c r="AR152" s="68" t="n">
        <v>3</v>
      </c>
      <c r="AS152" s="68" t="n">
        <v>13</v>
      </c>
      <c r="AT152" s="69">
        <f>IF(OR(AS152="",AR152="",AR152=0,AS152=0),"",AS152-AR152)</f>
        <v/>
      </c>
      <c r="AU152" s="42">
        <f>IF(OR(AS152="",AR152="",AR152=0,AS152=0),"",AS152/AR152-1)</f>
        <v/>
      </c>
      <c r="AV152" s="43">
        <f>IF(OR(AR152="",AK152="",AK152=0),"",AR152/AK152)</f>
        <v/>
      </c>
      <c r="AW152" s="43">
        <f>IF(OR(AS152="",AL152="",AL152=0),"",AS152/AL152)</f>
        <v/>
      </c>
      <c r="AX152" s="44">
        <f>IF(OR(AW152="",AV152=""),"",(AW152-AV152)*100)</f>
        <v/>
      </c>
      <c r="AY152" s="45">
        <f>IF(OR(AR152="",P152="",P152=0),"",AR152/P152)</f>
        <v/>
      </c>
      <c r="AZ152" s="45">
        <f>IF(OR(AS152="",Q152="",Q152=0),"",AS152/Q152)</f>
        <v/>
      </c>
      <c r="BA152" s="44">
        <f>IF(OR(AZ152="",AY152=""),"",(AZ152-AY152)*100)</f>
        <v/>
      </c>
      <c r="BB152" s="45">
        <f>IF(OR(AR152="",E152="",E152=0),"",AR152/E152)</f>
        <v/>
      </c>
      <c r="BC152" s="45">
        <f>IF(OR(AS152="",F152="",F152=0),"",AS152/F152)</f>
        <v/>
      </c>
      <c r="BD152" s="44">
        <f>IF(OR(BC152="",BB152=""),"",(BC152-BB152)*100)</f>
        <v/>
      </c>
      <c r="BE152" s="40">
        <f>IF(AND(F152&lt;&gt;"",E152&lt;&gt;""),"Both years",IF(F152&lt;&gt;"","1-23Aug26 rows only","1-23Aug25 rows only"))</f>
        <v/>
      </c>
    </row>
    <row r="153">
      <c r="A153" s="56" t="inlineStr">
        <is>
          <t>Home page</t>
        </is>
      </c>
      <c r="B153" s="56" t="inlineStr">
        <is>
          <t>Organic</t>
        </is>
      </c>
      <c r="C153" s="56" t="inlineStr">
        <is>
          <t>Mobile</t>
        </is>
      </c>
      <c r="D153" s="56" t="inlineStr">
        <is>
          <t>Netherlands</t>
        </is>
      </c>
      <c r="E153" s="68" t="n">
        <v>310</v>
      </c>
      <c r="F153" s="68" t="n">
        <v>373</v>
      </c>
      <c r="G153" s="69">
        <f>IF(OR(F153="",E153="",E153=0,F153=0),"",F153-E153)</f>
        <v/>
      </c>
      <c r="H153" s="42">
        <f>IF(OR(F153="",E153="",E153=0,F153=0),"",F153/E153-1)</f>
        <v/>
      </c>
      <c r="I153" s="68" t="n">
        <v>206</v>
      </c>
      <c r="J153" s="68" t="n">
        <v>194</v>
      </c>
      <c r="K153" s="69">
        <f>IF(OR(J153="",I153="",I153=0,J153=0),"",J153-I153)</f>
        <v/>
      </c>
      <c r="L153" s="42">
        <f>IF(OR(J153="",I153="",I153=0,J153=0),"",J153/I153-1)</f>
        <v/>
      </c>
      <c r="M153" s="43">
        <f>IF(OR(I153="",E153="",E153=0),"",I153/E153)</f>
        <v/>
      </c>
      <c r="N153" s="43">
        <f>IF(OR(J153="",F153="",F153=0),"",J153/F153)</f>
        <v/>
      </c>
      <c r="O153" s="44">
        <f>IF(OR(N153="",M153=""),"",(N153-M153)*100)</f>
        <v/>
      </c>
      <c r="P153" s="68" t="n">
        <v>166</v>
      </c>
      <c r="Q153" s="68" t="n">
        <v>146</v>
      </c>
      <c r="R153" s="69">
        <f>IF(OR(Q153="",P153="",P153=0,Q153=0),"",Q153-P153)</f>
        <v/>
      </c>
      <c r="S153" s="42">
        <f>IF(OR(Q153="",P153="",P153=0,Q153=0),"",Q153/P153-1)</f>
        <v/>
      </c>
      <c r="T153" s="43">
        <f>IF(OR(P153="",E153="",E153=0),"",P153/E153)</f>
        <v/>
      </c>
      <c r="U153" s="43">
        <f>IF(OR(Q153="",F153="",F153=0),"",Q153/F153)</f>
        <v/>
      </c>
      <c r="V153" s="44">
        <f>IF(OR(U153="",T153=""),"",(U153-T153)*100)</f>
        <v/>
      </c>
      <c r="W153" s="68" t="n">
        <v>72</v>
      </c>
      <c r="X153" s="68" t="n">
        <v>39</v>
      </c>
      <c r="Y153" s="69">
        <f>IF(OR(X153="",W153="",W153=0,X153=0),"",X153-W153)</f>
        <v/>
      </c>
      <c r="Z153" s="42">
        <f>IF(OR(X153="",W153="",W153=0,X153=0),"",X153/W153-1)</f>
        <v/>
      </c>
      <c r="AA153" s="43">
        <f>IF(OR(W153="",P153="",P153=0),"",W153/P153)</f>
        <v/>
      </c>
      <c r="AB153" s="43">
        <f>IF(OR(X153="",Q153="",Q153=0),"",X153/Q153)</f>
        <v/>
      </c>
      <c r="AC153" s="44">
        <f>IF(OR(AB153="",AA153=""),"",(AB153-AA153)*100)</f>
        <v/>
      </c>
      <c r="AD153" s="68" t="n">
        <v>61</v>
      </c>
      <c r="AE153" s="68" t="n">
        <v>34</v>
      </c>
      <c r="AF153" s="69">
        <f>IF(OR(AE153="",AD153="",AD153=0,AE153=0),"",AE153-AD153)</f>
        <v/>
      </c>
      <c r="AG153" s="42">
        <f>IF(OR(AE153="",AD153="",AD153=0,AE153=0),"",AE153/AD153-1)</f>
        <v/>
      </c>
      <c r="AH153" s="43">
        <f>IF(OR(AD153="",W153="",W153=0),"",AD153/W153)</f>
        <v/>
      </c>
      <c r="AI153" s="43">
        <f>IF(OR(AE153="",X153="",X153=0),"",AE153/X153)</f>
        <v/>
      </c>
      <c r="AJ153" s="44">
        <f>IF(OR(AI153="",AH153=""),"",(AI153-AH153)*100)</f>
        <v/>
      </c>
      <c r="AK153" s="68" t="n">
        <v>34</v>
      </c>
      <c r="AL153" s="68" t="n">
        <v>14</v>
      </c>
      <c r="AM153" s="69">
        <f>IF(OR(AL153="",AK153="",AK153=0,AL153=0),"",AL153-AK153)</f>
        <v/>
      </c>
      <c r="AN153" s="42">
        <f>IF(OR(AL153="",AK153="",AK153=0,AL153=0),"",AL153/AK153-1)</f>
        <v/>
      </c>
      <c r="AO153" s="43">
        <f>IF(OR(AK153="",AD153="",AD153=0),"",AK153/AD153)</f>
        <v/>
      </c>
      <c r="AP153" s="43">
        <f>IF(OR(AL153="",AE153="",AE153=0),"",AL153/AE153)</f>
        <v/>
      </c>
      <c r="AQ153" s="44">
        <f>IF(OR(AP153="",AO153=""),"",(AP153-AO153)*100)</f>
        <v/>
      </c>
      <c r="AR153" s="68" t="n">
        <v>12</v>
      </c>
      <c r="AS153" s="68" t="n">
        <v>3</v>
      </c>
      <c r="AT153" s="69">
        <f>IF(OR(AS153="",AR153="",AR153=0,AS153=0),"",AS153-AR153)</f>
        <v/>
      </c>
      <c r="AU153" s="42">
        <f>IF(OR(AS153="",AR153="",AR153=0,AS153=0),"",AS153/AR153-1)</f>
        <v/>
      </c>
      <c r="AV153" s="43">
        <f>IF(OR(AR153="",AK153="",AK153=0),"",AR153/AK153)</f>
        <v/>
      </c>
      <c r="AW153" s="43">
        <f>IF(OR(AS153="",AL153="",AL153=0),"",AS153/AL153)</f>
        <v/>
      </c>
      <c r="AX153" s="44">
        <f>IF(OR(AW153="",AV153=""),"",(AW153-AV153)*100)</f>
        <v/>
      </c>
      <c r="AY153" s="45">
        <f>IF(OR(AR153="",P153="",P153=0),"",AR153/P153)</f>
        <v/>
      </c>
      <c r="AZ153" s="45">
        <f>IF(OR(AS153="",Q153="",Q153=0),"",AS153/Q153)</f>
        <v/>
      </c>
      <c r="BA153" s="44">
        <f>IF(OR(AZ153="",AY153=""),"",(AZ153-AY153)*100)</f>
        <v/>
      </c>
      <c r="BB153" s="45">
        <f>IF(OR(AR153="",E153="",E153=0),"",AR153/E153)</f>
        <v/>
      </c>
      <c r="BC153" s="45">
        <f>IF(OR(AS153="",F153="",F153=0),"",AS153/F153)</f>
        <v/>
      </c>
      <c r="BD153" s="44">
        <f>IF(OR(BC153="",BB153=""),"",(BC153-BB153)*100)</f>
        <v/>
      </c>
      <c r="BE153" s="40">
        <f>IF(AND(F153&lt;&gt;"",E153&lt;&gt;""),"Both years",IF(F153&lt;&gt;"","1-23Aug26 rows only","1-23Aug25 rows only"))</f>
        <v/>
      </c>
    </row>
    <row r="154">
      <c r="A154" s="40" t="inlineStr">
        <is>
          <t>Home page</t>
        </is>
      </c>
      <c r="B154" s="40" t="inlineStr">
        <is>
          <t>Organic</t>
        </is>
      </c>
      <c r="C154" s="40" t="inlineStr">
        <is>
          <t>Mobile</t>
        </is>
      </c>
      <c r="D154" s="40" t="inlineStr">
        <is>
          <t>Ireland</t>
        </is>
      </c>
      <c r="E154" s="68" t="n">
        <v>268</v>
      </c>
      <c r="F154" s="68" t="n">
        <v>283</v>
      </c>
      <c r="G154" s="69">
        <f>IF(OR(F154="",E154="",E154=0,F154=0),"",F154-E154)</f>
        <v/>
      </c>
      <c r="H154" s="42">
        <f>IF(OR(F154="",E154="",E154=0,F154=0),"",F154/E154-1)</f>
        <v/>
      </c>
      <c r="I154" s="68" t="n">
        <v>190</v>
      </c>
      <c r="J154" s="68" t="n">
        <v>154</v>
      </c>
      <c r="K154" s="69">
        <f>IF(OR(J154="",I154="",I154=0,J154=0),"",J154-I154)</f>
        <v/>
      </c>
      <c r="L154" s="42">
        <f>IF(OR(J154="",I154="",I154=0,J154=0),"",J154/I154-1)</f>
        <v/>
      </c>
      <c r="M154" s="43">
        <f>IF(OR(I154="",E154="",E154=0),"",I154/E154)</f>
        <v/>
      </c>
      <c r="N154" s="43">
        <f>IF(OR(J154="",F154="",F154=0),"",J154/F154)</f>
        <v/>
      </c>
      <c r="O154" s="44">
        <f>IF(OR(N154="",M154=""),"",(N154-M154)*100)</f>
        <v/>
      </c>
      <c r="P154" s="68" t="n">
        <v>170</v>
      </c>
      <c r="Q154" s="68" t="n">
        <v>137</v>
      </c>
      <c r="R154" s="69">
        <f>IF(OR(Q154="",P154="",P154=0,Q154=0),"",Q154-P154)</f>
        <v/>
      </c>
      <c r="S154" s="42">
        <f>IF(OR(Q154="",P154="",P154=0,Q154=0),"",Q154/P154-1)</f>
        <v/>
      </c>
      <c r="T154" s="43">
        <f>IF(OR(P154="",E154="",E154=0),"",P154/E154)</f>
        <v/>
      </c>
      <c r="U154" s="43">
        <f>IF(OR(Q154="",F154="",F154=0),"",Q154/F154)</f>
        <v/>
      </c>
      <c r="V154" s="44">
        <f>IF(OR(U154="",T154=""),"",(U154-T154)*100)</f>
        <v/>
      </c>
      <c r="W154" s="68" t="n">
        <v>58</v>
      </c>
      <c r="X154" s="68" t="n">
        <v>45</v>
      </c>
      <c r="Y154" s="69">
        <f>IF(OR(X154="",W154="",W154=0,X154=0),"",X154-W154)</f>
        <v/>
      </c>
      <c r="Z154" s="42">
        <f>IF(OR(X154="",W154="",W154=0,X154=0),"",X154/W154-1)</f>
        <v/>
      </c>
      <c r="AA154" s="43">
        <f>IF(OR(W154="",P154="",P154=0),"",W154/P154)</f>
        <v/>
      </c>
      <c r="AB154" s="43">
        <f>IF(OR(X154="",Q154="",Q154=0),"",X154/Q154)</f>
        <v/>
      </c>
      <c r="AC154" s="44">
        <f>IF(OR(AB154="",AA154=""),"",(AB154-AA154)*100)</f>
        <v/>
      </c>
      <c r="AD154" s="68" t="n">
        <v>51</v>
      </c>
      <c r="AE154" s="68" t="n">
        <v>35</v>
      </c>
      <c r="AF154" s="69">
        <f>IF(OR(AE154="",AD154="",AD154=0,AE154=0),"",AE154-AD154)</f>
        <v/>
      </c>
      <c r="AG154" s="42">
        <f>IF(OR(AE154="",AD154="",AD154=0,AE154=0),"",AE154/AD154-1)</f>
        <v/>
      </c>
      <c r="AH154" s="43">
        <f>IF(OR(AD154="",W154="",W154=0),"",AD154/W154)</f>
        <v/>
      </c>
      <c r="AI154" s="43">
        <f>IF(OR(AE154="",X154="",X154=0),"",AE154/X154)</f>
        <v/>
      </c>
      <c r="AJ154" s="44">
        <f>IF(OR(AI154="",AH154=""),"",(AI154-AH154)*100)</f>
        <v/>
      </c>
      <c r="AK154" s="68" t="n">
        <v>35</v>
      </c>
      <c r="AL154" s="68" t="n">
        <v>25</v>
      </c>
      <c r="AM154" s="69">
        <f>IF(OR(AL154="",AK154="",AK154=0,AL154=0),"",AL154-AK154)</f>
        <v/>
      </c>
      <c r="AN154" s="42">
        <f>IF(OR(AL154="",AK154="",AK154=0,AL154=0),"",AL154/AK154-1)</f>
        <v/>
      </c>
      <c r="AO154" s="43">
        <f>IF(OR(AK154="",AD154="",AD154=0),"",AK154/AD154)</f>
        <v/>
      </c>
      <c r="AP154" s="43">
        <f>IF(OR(AL154="",AE154="",AE154=0),"",AL154/AE154)</f>
        <v/>
      </c>
      <c r="AQ154" s="44">
        <f>IF(OR(AP154="",AO154=""),"",(AP154-AO154)*100)</f>
        <v/>
      </c>
      <c r="AR154" s="68" t="n">
        <v>31</v>
      </c>
      <c r="AS154" s="68" t="n">
        <v>23</v>
      </c>
      <c r="AT154" s="69">
        <f>IF(OR(AS154="",AR154="",AR154=0,AS154=0),"",AS154-AR154)</f>
        <v/>
      </c>
      <c r="AU154" s="42">
        <f>IF(OR(AS154="",AR154="",AR154=0,AS154=0),"",AS154/AR154-1)</f>
        <v/>
      </c>
      <c r="AV154" s="43">
        <f>IF(OR(AR154="",AK154="",AK154=0),"",AR154/AK154)</f>
        <v/>
      </c>
      <c r="AW154" s="43">
        <f>IF(OR(AS154="",AL154="",AL154=0),"",AS154/AL154)</f>
        <v/>
      </c>
      <c r="AX154" s="44">
        <f>IF(OR(AW154="",AV154=""),"",(AW154-AV154)*100)</f>
        <v/>
      </c>
      <c r="AY154" s="45">
        <f>IF(OR(AR154="",P154="",P154=0),"",AR154/P154)</f>
        <v/>
      </c>
      <c r="AZ154" s="45">
        <f>IF(OR(AS154="",Q154="",Q154=0),"",AS154/Q154)</f>
        <v/>
      </c>
      <c r="BA154" s="44">
        <f>IF(OR(AZ154="",AY154=""),"",(AZ154-AY154)*100)</f>
        <v/>
      </c>
      <c r="BB154" s="45">
        <f>IF(OR(AR154="",E154="",E154=0),"",AR154/E154)</f>
        <v/>
      </c>
      <c r="BC154" s="45">
        <f>IF(OR(AS154="",F154="",F154=0),"",AS154/F154)</f>
        <v/>
      </c>
      <c r="BD154" s="44">
        <f>IF(OR(BC154="",BB154=""),"",(BC154-BB154)*100)</f>
        <v/>
      </c>
      <c r="BE154" s="40">
        <f>IF(AND(F154&lt;&gt;"",E154&lt;&gt;""),"Both years",IF(F154&lt;&gt;"","1-23Aug26 rows only","1-23Aug25 rows only"))</f>
        <v/>
      </c>
    </row>
    <row r="155">
      <c r="A155" s="56" t="inlineStr">
        <is>
          <t>Home page</t>
        </is>
      </c>
      <c r="B155" s="56" t="inlineStr">
        <is>
          <t>Organic</t>
        </is>
      </c>
      <c r="C155" s="56" t="inlineStr">
        <is>
          <t>Mobile</t>
        </is>
      </c>
      <c r="D155" s="56" t="inlineStr">
        <is>
          <t>France</t>
        </is>
      </c>
      <c r="E155" s="68" t="n">
        <v>517</v>
      </c>
      <c r="F155" s="68" t="n">
        <v>237</v>
      </c>
      <c r="G155" s="69">
        <f>IF(OR(F155="",E155="",E155=0,F155=0),"",F155-E155)</f>
        <v/>
      </c>
      <c r="H155" s="42">
        <f>IF(OR(F155="",E155="",E155=0,F155=0),"",F155/E155-1)</f>
        <v/>
      </c>
      <c r="I155" s="68" t="n">
        <v>344</v>
      </c>
      <c r="J155" s="68" t="n">
        <v>102</v>
      </c>
      <c r="K155" s="69">
        <f>IF(OR(J155="",I155="",I155=0,J155=0),"",J155-I155)</f>
        <v/>
      </c>
      <c r="L155" s="42">
        <f>IF(OR(J155="",I155="",I155=0,J155=0),"",J155/I155-1)</f>
        <v/>
      </c>
      <c r="M155" s="43">
        <f>IF(OR(I155="",E155="",E155=0),"",I155/E155)</f>
        <v/>
      </c>
      <c r="N155" s="43">
        <f>IF(OR(J155="",F155="",F155=0),"",J155/F155)</f>
        <v/>
      </c>
      <c r="O155" s="44">
        <f>IF(OR(N155="",M155=""),"",(N155-M155)*100)</f>
        <v/>
      </c>
      <c r="P155" s="68" t="n">
        <v>257</v>
      </c>
      <c r="Q155" s="68" t="n">
        <v>83</v>
      </c>
      <c r="R155" s="69">
        <f>IF(OR(Q155="",P155="",P155=0,Q155=0),"",Q155-P155)</f>
        <v/>
      </c>
      <c r="S155" s="42">
        <f>IF(OR(Q155="",P155="",P155=0,Q155=0),"",Q155/P155-1)</f>
        <v/>
      </c>
      <c r="T155" s="43">
        <f>IF(OR(P155="",E155="",E155=0),"",P155/E155)</f>
        <v/>
      </c>
      <c r="U155" s="43">
        <f>IF(OR(Q155="",F155="",F155=0),"",Q155/F155)</f>
        <v/>
      </c>
      <c r="V155" s="44">
        <f>IF(OR(U155="",T155=""),"",(U155-T155)*100)</f>
        <v/>
      </c>
      <c r="W155" s="68" t="n">
        <v>102</v>
      </c>
      <c r="X155" s="68" t="n">
        <v>28</v>
      </c>
      <c r="Y155" s="69">
        <f>IF(OR(X155="",W155="",W155=0,X155=0),"",X155-W155)</f>
        <v/>
      </c>
      <c r="Z155" s="42">
        <f>IF(OR(X155="",W155="",W155=0,X155=0),"",X155/W155-1)</f>
        <v/>
      </c>
      <c r="AA155" s="43">
        <f>IF(OR(W155="",P155="",P155=0),"",W155/P155)</f>
        <v/>
      </c>
      <c r="AB155" s="43">
        <f>IF(OR(X155="",Q155="",Q155=0),"",X155/Q155)</f>
        <v/>
      </c>
      <c r="AC155" s="44">
        <f>IF(OR(AB155="",AA155=""),"",(AB155-AA155)*100)</f>
        <v/>
      </c>
      <c r="AD155" s="68" t="n">
        <v>74</v>
      </c>
      <c r="AE155" s="68" t="n">
        <v>25</v>
      </c>
      <c r="AF155" s="69">
        <f>IF(OR(AE155="",AD155="",AD155=0,AE155=0),"",AE155-AD155)</f>
        <v/>
      </c>
      <c r="AG155" s="42">
        <f>IF(OR(AE155="",AD155="",AD155=0,AE155=0),"",AE155/AD155-1)</f>
        <v/>
      </c>
      <c r="AH155" s="43">
        <f>IF(OR(AD155="",W155="",W155=0),"",AD155/W155)</f>
        <v/>
      </c>
      <c r="AI155" s="43">
        <f>IF(OR(AE155="",X155="",X155=0),"",AE155/X155)</f>
        <v/>
      </c>
      <c r="AJ155" s="44">
        <f>IF(OR(AI155="",AH155=""),"",(AI155-AH155)*100)</f>
        <v/>
      </c>
      <c r="AK155" s="68" t="n">
        <v>37</v>
      </c>
      <c r="AL155" s="68" t="n">
        <v>8</v>
      </c>
      <c r="AM155" s="69">
        <f>IF(OR(AL155="",AK155="",AK155=0,AL155=0),"",AL155-AK155)</f>
        <v/>
      </c>
      <c r="AN155" s="42">
        <f>IF(OR(AL155="",AK155="",AK155=0,AL155=0),"",AL155/AK155-1)</f>
        <v/>
      </c>
      <c r="AO155" s="43">
        <f>IF(OR(AK155="",AD155="",AD155=0),"",AK155/AD155)</f>
        <v/>
      </c>
      <c r="AP155" s="43">
        <f>IF(OR(AL155="",AE155="",AE155=0),"",AL155/AE155)</f>
        <v/>
      </c>
      <c r="AQ155" s="44">
        <f>IF(OR(AP155="",AO155=""),"",(AP155-AO155)*100)</f>
        <v/>
      </c>
      <c r="AR155" s="68" t="n">
        <v>22</v>
      </c>
      <c r="AS155" s="68" t="n">
        <v>7</v>
      </c>
      <c r="AT155" s="69">
        <f>IF(OR(AS155="",AR155="",AR155=0,AS155=0),"",AS155-AR155)</f>
        <v/>
      </c>
      <c r="AU155" s="42">
        <f>IF(OR(AS155="",AR155="",AR155=0,AS155=0),"",AS155/AR155-1)</f>
        <v/>
      </c>
      <c r="AV155" s="43">
        <f>IF(OR(AR155="",AK155="",AK155=0),"",AR155/AK155)</f>
        <v/>
      </c>
      <c r="AW155" s="43">
        <f>IF(OR(AS155="",AL155="",AL155=0),"",AS155/AL155)</f>
        <v/>
      </c>
      <c r="AX155" s="44">
        <f>IF(OR(AW155="",AV155=""),"",(AW155-AV155)*100)</f>
        <v/>
      </c>
      <c r="AY155" s="45">
        <f>IF(OR(AR155="",P155="",P155=0),"",AR155/P155)</f>
        <v/>
      </c>
      <c r="AZ155" s="45">
        <f>IF(OR(AS155="",Q155="",Q155=0),"",AS155/Q155)</f>
        <v/>
      </c>
      <c r="BA155" s="44">
        <f>IF(OR(AZ155="",AY155=""),"",(AZ155-AY155)*100)</f>
        <v/>
      </c>
      <c r="BB155" s="45">
        <f>IF(OR(AR155="",E155="",E155=0),"",AR155/E155)</f>
        <v/>
      </c>
      <c r="BC155" s="45">
        <f>IF(OR(AS155="",F155="",F155=0),"",AS155/F155)</f>
        <v/>
      </c>
      <c r="BD155" s="44">
        <f>IF(OR(BC155="",BB155=""),"",(BC155-BB155)*100)</f>
        <v/>
      </c>
      <c r="BE155" s="40">
        <f>IF(AND(F155&lt;&gt;"",E155&lt;&gt;""),"Both years",IF(F155&lt;&gt;"","1-23Aug26 rows only","1-23Aug25 rows only"))</f>
        <v/>
      </c>
    </row>
    <row r="156">
      <c r="A156" s="40" t="inlineStr">
        <is>
          <t>Home page</t>
        </is>
      </c>
      <c r="B156" s="40" t="inlineStr">
        <is>
          <t>Organic</t>
        </is>
      </c>
      <c r="C156" s="40" t="inlineStr">
        <is>
          <t>Mobile</t>
        </is>
      </c>
      <c r="D156" s="40" t="inlineStr">
        <is>
          <t>Poland</t>
        </is>
      </c>
      <c r="E156" s="68" t="n">
        <v>104</v>
      </c>
      <c r="F156" s="68" t="n">
        <v>194</v>
      </c>
      <c r="G156" s="69">
        <f>IF(OR(F156="",E156="",E156=0,F156=0),"",F156-E156)</f>
        <v/>
      </c>
      <c r="H156" s="42">
        <f>IF(OR(F156="",E156="",E156=0,F156=0),"",F156/E156-1)</f>
        <v/>
      </c>
      <c r="I156" s="70" t="n"/>
      <c r="J156" s="70" t="n"/>
      <c r="K156" s="69">
        <f>IF(OR(J156="",I156="",I156=0,J156=0),"",J156-I156)</f>
        <v/>
      </c>
      <c r="L156" s="42">
        <f>IF(OR(J156="",I156="",I156=0,J156=0),"",J156/I156-1)</f>
        <v/>
      </c>
      <c r="M156" s="43">
        <f>IF(OR(I156="",E156="",E156=0),"",I156/E156)</f>
        <v/>
      </c>
      <c r="N156" s="43">
        <f>IF(OR(J156="",F156="",F156=0),"",J156/F156)</f>
        <v/>
      </c>
      <c r="O156" s="44">
        <f>IF(OR(N156="",M156=""),"",(N156-M156)*100)</f>
        <v/>
      </c>
      <c r="P156" s="70" t="n"/>
      <c r="Q156" s="68" t="n">
        <v>85</v>
      </c>
      <c r="R156" s="69">
        <f>IF(OR(Q156="",P156="",P156=0,Q156=0),"",Q156-P156)</f>
        <v/>
      </c>
      <c r="S156" s="42">
        <f>IF(OR(Q156="",P156="",P156=0,Q156=0),"",Q156/P156-1)</f>
        <v/>
      </c>
      <c r="T156" s="43">
        <f>IF(OR(P156="",E156="",E156=0),"",P156/E156)</f>
        <v/>
      </c>
      <c r="U156" s="43">
        <f>IF(OR(Q156="",F156="",F156=0),"",Q156/F156)</f>
        <v/>
      </c>
      <c r="V156" s="44">
        <f>IF(OR(U156="",T156=""),"",(U156-T156)*100)</f>
        <v/>
      </c>
      <c r="W156" s="70" t="n"/>
      <c r="X156" s="70" t="n"/>
      <c r="Y156" s="69">
        <f>IF(OR(X156="",W156="",W156=0,X156=0),"",X156-W156)</f>
        <v/>
      </c>
      <c r="Z156" s="42">
        <f>IF(OR(X156="",W156="",W156=0,X156=0),"",X156/W156-1)</f>
        <v/>
      </c>
      <c r="AA156" s="43">
        <f>IF(OR(W156="",P156="",P156=0),"",W156/P156)</f>
        <v/>
      </c>
      <c r="AB156" s="43">
        <f>IF(OR(X156="",Q156="",Q156=0),"",X156/Q156)</f>
        <v/>
      </c>
      <c r="AC156" s="44">
        <f>IF(OR(AB156="",AA156=""),"",(AB156-AA156)*100)</f>
        <v/>
      </c>
      <c r="AD156" s="70" t="n"/>
      <c r="AE156" s="70" t="n"/>
      <c r="AF156" s="69">
        <f>IF(OR(AE156="",AD156="",AD156=0,AE156=0),"",AE156-AD156)</f>
        <v/>
      </c>
      <c r="AG156" s="42">
        <f>IF(OR(AE156="",AD156="",AD156=0,AE156=0),"",AE156/AD156-1)</f>
        <v/>
      </c>
      <c r="AH156" s="43">
        <f>IF(OR(AD156="",W156="",W156=0),"",AD156/W156)</f>
        <v/>
      </c>
      <c r="AI156" s="43">
        <f>IF(OR(AE156="",X156="",X156=0),"",AE156/X156)</f>
        <v/>
      </c>
      <c r="AJ156" s="44">
        <f>IF(OR(AI156="",AH156=""),"",(AI156-AH156)*100)</f>
        <v/>
      </c>
      <c r="AK156" s="70" t="n"/>
      <c r="AL156" s="70" t="n"/>
      <c r="AM156" s="69">
        <f>IF(OR(AL156="",AK156="",AK156=0,AL156=0),"",AL156-AK156)</f>
        <v/>
      </c>
      <c r="AN156" s="42">
        <f>IF(OR(AL156="",AK156="",AK156=0,AL156=0),"",AL156/AK156-1)</f>
        <v/>
      </c>
      <c r="AO156" s="43">
        <f>IF(OR(AK156="",AD156="",AD156=0),"",AK156/AD156)</f>
        <v/>
      </c>
      <c r="AP156" s="43">
        <f>IF(OR(AL156="",AE156="",AE156=0),"",AL156/AE156)</f>
        <v/>
      </c>
      <c r="AQ156" s="44">
        <f>IF(OR(AP156="",AO156=""),"",(AP156-AO156)*100)</f>
        <v/>
      </c>
      <c r="AR156" s="70" t="n"/>
      <c r="AS156" s="70" t="n"/>
      <c r="AT156" s="69">
        <f>IF(OR(AS156="",AR156="",AR156=0,AS156=0),"",AS156-AR156)</f>
        <v/>
      </c>
      <c r="AU156" s="42">
        <f>IF(OR(AS156="",AR156="",AR156=0,AS156=0),"",AS156/AR156-1)</f>
        <v/>
      </c>
      <c r="AV156" s="43">
        <f>IF(OR(AR156="",AK156="",AK156=0),"",AR156/AK156)</f>
        <v/>
      </c>
      <c r="AW156" s="43">
        <f>IF(OR(AS156="",AL156="",AL156=0),"",AS156/AL156)</f>
        <v/>
      </c>
      <c r="AX156" s="44">
        <f>IF(OR(AW156="",AV156=""),"",(AW156-AV156)*100)</f>
        <v/>
      </c>
      <c r="AY156" s="45">
        <f>IF(OR(AR156="",P156="",P156=0),"",AR156/P156)</f>
        <v/>
      </c>
      <c r="AZ156" s="45">
        <f>IF(OR(AS156="",Q156="",Q156=0),"",AS156/Q156)</f>
        <v/>
      </c>
      <c r="BA156" s="44">
        <f>IF(OR(AZ156="",AY156=""),"",(AZ156-AY156)*100)</f>
        <v/>
      </c>
      <c r="BB156" s="45">
        <f>IF(OR(AR156="",E156="",E156=0),"",AR156/E156)</f>
        <v/>
      </c>
      <c r="BC156" s="45">
        <f>IF(OR(AS156="",F156="",F156=0),"",AS156/F156)</f>
        <v/>
      </c>
      <c r="BD156" s="44">
        <f>IF(OR(BC156="",BB156=""),"",(BC156-BB156)*100)</f>
        <v/>
      </c>
      <c r="BE156" s="40">
        <f>IF(AND(F156&lt;&gt;"",E156&lt;&gt;""),"Both years",IF(F156&lt;&gt;"","1-23Aug26 rows only","1-23Aug25 rows only"))</f>
        <v/>
      </c>
    </row>
    <row r="157">
      <c r="A157" s="56" t="inlineStr">
        <is>
          <t>Home page</t>
        </is>
      </c>
      <c r="B157" s="56" t="inlineStr">
        <is>
          <t>Organic</t>
        </is>
      </c>
      <c r="C157" s="56" t="inlineStr">
        <is>
          <t>Mobile</t>
        </is>
      </c>
      <c r="D157" s="56" t="inlineStr">
        <is>
          <t>United States</t>
        </is>
      </c>
      <c r="E157" s="68" t="n">
        <v>182</v>
      </c>
      <c r="F157" s="68" t="n">
        <v>160</v>
      </c>
      <c r="G157" s="69">
        <f>IF(OR(F157="",E157="",E157=0,F157=0),"",F157-E157)</f>
        <v/>
      </c>
      <c r="H157" s="42">
        <f>IF(OR(F157="",E157="",E157=0,F157=0),"",F157/E157-1)</f>
        <v/>
      </c>
      <c r="I157" s="68" t="n">
        <v>79</v>
      </c>
      <c r="J157" s="68" t="n">
        <v>87</v>
      </c>
      <c r="K157" s="69">
        <f>IF(OR(J157="",I157="",I157=0,J157=0),"",J157-I157)</f>
        <v/>
      </c>
      <c r="L157" s="42">
        <f>IF(OR(J157="",I157="",I157=0,J157=0),"",J157/I157-1)</f>
        <v/>
      </c>
      <c r="M157" s="43">
        <f>IF(OR(I157="",E157="",E157=0),"",I157/E157)</f>
        <v/>
      </c>
      <c r="N157" s="43">
        <f>IF(OR(J157="",F157="",F157=0),"",J157/F157)</f>
        <v/>
      </c>
      <c r="O157" s="44">
        <f>IF(OR(N157="",M157=""),"",(N157-M157)*100)</f>
        <v/>
      </c>
      <c r="P157" s="68" t="n">
        <v>59</v>
      </c>
      <c r="Q157" s="68" t="n">
        <v>68</v>
      </c>
      <c r="R157" s="69">
        <f>IF(OR(Q157="",P157="",P157=0,Q157=0),"",Q157-P157)</f>
        <v/>
      </c>
      <c r="S157" s="42">
        <f>IF(OR(Q157="",P157="",P157=0,Q157=0),"",Q157/P157-1)</f>
        <v/>
      </c>
      <c r="T157" s="43">
        <f>IF(OR(P157="",E157="",E157=0),"",P157/E157)</f>
        <v/>
      </c>
      <c r="U157" s="43">
        <f>IF(OR(Q157="",F157="",F157=0),"",Q157/F157)</f>
        <v/>
      </c>
      <c r="V157" s="44">
        <f>IF(OR(U157="",T157=""),"",(U157-T157)*100)</f>
        <v/>
      </c>
      <c r="W157" s="68" t="n">
        <v>25</v>
      </c>
      <c r="X157" s="68" t="n">
        <v>34</v>
      </c>
      <c r="Y157" s="69">
        <f>IF(OR(X157="",W157="",W157=0,X157=0),"",X157-W157)</f>
        <v/>
      </c>
      <c r="Z157" s="42">
        <f>IF(OR(X157="",W157="",W157=0,X157=0),"",X157/W157-1)</f>
        <v/>
      </c>
      <c r="AA157" s="43">
        <f>IF(OR(W157="",P157="",P157=0),"",W157/P157)</f>
        <v/>
      </c>
      <c r="AB157" s="43">
        <f>IF(OR(X157="",Q157="",Q157=0),"",X157/Q157)</f>
        <v/>
      </c>
      <c r="AC157" s="44">
        <f>IF(OR(AB157="",AA157=""),"",(AB157-AA157)*100)</f>
        <v/>
      </c>
      <c r="AD157" s="68" t="n">
        <v>22</v>
      </c>
      <c r="AE157" s="68" t="n">
        <v>29</v>
      </c>
      <c r="AF157" s="69">
        <f>IF(OR(AE157="",AD157="",AD157=0,AE157=0),"",AE157-AD157)</f>
        <v/>
      </c>
      <c r="AG157" s="42">
        <f>IF(OR(AE157="",AD157="",AD157=0,AE157=0),"",AE157/AD157-1)</f>
        <v/>
      </c>
      <c r="AH157" s="43">
        <f>IF(OR(AD157="",W157="",W157=0),"",AD157/W157)</f>
        <v/>
      </c>
      <c r="AI157" s="43">
        <f>IF(OR(AE157="",X157="",X157=0),"",AE157/X157)</f>
        <v/>
      </c>
      <c r="AJ157" s="44">
        <f>IF(OR(AI157="",AH157=""),"",(AI157-AH157)*100)</f>
        <v/>
      </c>
      <c r="AK157" s="68" t="n">
        <v>9</v>
      </c>
      <c r="AL157" s="68" t="n">
        <v>12</v>
      </c>
      <c r="AM157" s="69">
        <f>IF(OR(AL157="",AK157="",AK157=0,AL157=0),"",AL157-AK157)</f>
        <v/>
      </c>
      <c r="AN157" s="42">
        <f>IF(OR(AL157="",AK157="",AK157=0,AL157=0),"",AL157/AK157-1)</f>
        <v/>
      </c>
      <c r="AO157" s="43">
        <f>IF(OR(AK157="",AD157="",AD157=0),"",AK157/AD157)</f>
        <v/>
      </c>
      <c r="AP157" s="43">
        <f>IF(OR(AL157="",AE157="",AE157=0),"",AL157/AE157)</f>
        <v/>
      </c>
      <c r="AQ157" s="44">
        <f>IF(OR(AP157="",AO157=""),"",(AP157-AO157)*100)</f>
        <v/>
      </c>
      <c r="AR157" s="68" t="n">
        <v>10</v>
      </c>
      <c r="AS157" s="68" t="n">
        <v>11</v>
      </c>
      <c r="AT157" s="69">
        <f>IF(OR(AS157="",AR157="",AR157=0,AS157=0),"",AS157-AR157)</f>
        <v/>
      </c>
      <c r="AU157" s="42">
        <f>IF(OR(AS157="",AR157="",AR157=0,AS157=0),"",AS157/AR157-1)</f>
        <v/>
      </c>
      <c r="AV157" s="43">
        <f>IF(OR(AR157="",AK157="",AK157=0),"",AR157/AK157)</f>
        <v/>
      </c>
      <c r="AW157" s="43">
        <f>IF(OR(AS157="",AL157="",AL157=0),"",AS157/AL157)</f>
        <v/>
      </c>
      <c r="AX157" s="44">
        <f>IF(OR(AW157="",AV157=""),"",(AW157-AV157)*100)</f>
        <v/>
      </c>
      <c r="AY157" s="45">
        <f>IF(OR(AR157="",P157="",P157=0),"",AR157/P157)</f>
        <v/>
      </c>
      <c r="AZ157" s="45">
        <f>IF(OR(AS157="",Q157="",Q157=0),"",AS157/Q157)</f>
        <v/>
      </c>
      <c r="BA157" s="44">
        <f>IF(OR(AZ157="",AY157=""),"",(AZ157-AY157)*100)</f>
        <v/>
      </c>
      <c r="BB157" s="45">
        <f>IF(OR(AR157="",E157="",E157=0),"",AR157/E157)</f>
        <v/>
      </c>
      <c r="BC157" s="45">
        <f>IF(OR(AS157="",F157="",F157=0),"",AS157/F157)</f>
        <v/>
      </c>
      <c r="BD157" s="44">
        <f>IF(OR(BC157="",BB157=""),"",(BC157-BB157)*100)</f>
        <v/>
      </c>
      <c r="BE157" s="40">
        <f>IF(AND(F157&lt;&gt;"",E157&lt;&gt;""),"Both years",IF(F157&lt;&gt;"","1-23Aug26 rows only","1-23Aug25 rows only"))</f>
        <v/>
      </c>
    </row>
    <row r="158">
      <c r="A158" s="40" t="inlineStr">
        <is>
          <t>Home page</t>
        </is>
      </c>
      <c r="B158" s="40" t="inlineStr">
        <is>
          <t>Organic</t>
        </is>
      </c>
      <c r="C158" s="40" t="inlineStr">
        <is>
          <t>Mobile</t>
        </is>
      </c>
      <c r="D158" s="40" t="inlineStr">
        <is>
          <t>Türkiye</t>
        </is>
      </c>
      <c r="E158" s="68" t="n">
        <v>136</v>
      </c>
      <c r="F158" s="68" t="n">
        <v>144</v>
      </c>
      <c r="G158" s="69">
        <f>IF(OR(F158="",E158="",E158=0,F158=0),"",F158-E158)</f>
        <v/>
      </c>
      <c r="H158" s="42">
        <f>IF(OR(F158="",E158="",E158=0,F158=0),"",F158/E158-1)</f>
        <v/>
      </c>
      <c r="I158" s="70" t="n"/>
      <c r="J158" s="70" t="n"/>
      <c r="K158" s="69">
        <f>IF(OR(J158="",I158="",I158=0,J158=0),"",J158-I158)</f>
        <v/>
      </c>
      <c r="L158" s="42">
        <f>IF(OR(J158="",I158="",I158=0,J158=0),"",J158/I158-1)</f>
        <v/>
      </c>
      <c r="M158" s="43">
        <f>IF(OR(I158="",E158="",E158=0),"",I158/E158)</f>
        <v/>
      </c>
      <c r="N158" s="43">
        <f>IF(OR(J158="",F158="",F158=0),"",J158/F158)</f>
        <v/>
      </c>
      <c r="O158" s="44">
        <f>IF(OR(N158="",M158=""),"",(N158-M158)*100)</f>
        <v/>
      </c>
      <c r="P158" s="68" t="n">
        <v>56</v>
      </c>
      <c r="Q158" s="68" t="n">
        <v>63</v>
      </c>
      <c r="R158" s="69">
        <f>IF(OR(Q158="",P158="",P158=0,Q158=0),"",Q158-P158)</f>
        <v/>
      </c>
      <c r="S158" s="42">
        <f>IF(OR(Q158="",P158="",P158=0,Q158=0),"",Q158/P158-1)</f>
        <v/>
      </c>
      <c r="T158" s="43">
        <f>IF(OR(P158="",E158="",E158=0),"",P158/E158)</f>
        <v/>
      </c>
      <c r="U158" s="43">
        <f>IF(OR(Q158="",F158="",F158=0),"",Q158/F158)</f>
        <v/>
      </c>
      <c r="V158" s="44">
        <f>IF(OR(U158="",T158=""),"",(U158-T158)*100)</f>
        <v/>
      </c>
      <c r="W158" s="70" t="n"/>
      <c r="X158" s="70" t="n"/>
      <c r="Y158" s="69">
        <f>IF(OR(X158="",W158="",W158=0,X158=0),"",X158-W158)</f>
        <v/>
      </c>
      <c r="Z158" s="42">
        <f>IF(OR(X158="",W158="",W158=0,X158=0),"",X158/W158-1)</f>
        <v/>
      </c>
      <c r="AA158" s="43">
        <f>IF(OR(W158="",P158="",P158=0),"",W158/P158)</f>
        <v/>
      </c>
      <c r="AB158" s="43">
        <f>IF(OR(X158="",Q158="",Q158=0),"",X158/Q158)</f>
        <v/>
      </c>
      <c r="AC158" s="44">
        <f>IF(OR(AB158="",AA158=""),"",(AB158-AA158)*100)</f>
        <v/>
      </c>
      <c r="AD158" s="70" t="n"/>
      <c r="AE158" s="70" t="n"/>
      <c r="AF158" s="69">
        <f>IF(OR(AE158="",AD158="",AD158=0,AE158=0),"",AE158-AD158)</f>
        <v/>
      </c>
      <c r="AG158" s="42">
        <f>IF(OR(AE158="",AD158="",AD158=0,AE158=0),"",AE158/AD158-1)</f>
        <v/>
      </c>
      <c r="AH158" s="43">
        <f>IF(OR(AD158="",W158="",W158=0),"",AD158/W158)</f>
        <v/>
      </c>
      <c r="AI158" s="43">
        <f>IF(OR(AE158="",X158="",X158=0),"",AE158/X158)</f>
        <v/>
      </c>
      <c r="AJ158" s="44">
        <f>IF(OR(AI158="",AH158=""),"",(AI158-AH158)*100)</f>
        <v/>
      </c>
      <c r="AK158" s="70" t="n"/>
      <c r="AL158" s="70" t="n"/>
      <c r="AM158" s="69">
        <f>IF(OR(AL158="",AK158="",AK158=0,AL158=0),"",AL158-AK158)</f>
        <v/>
      </c>
      <c r="AN158" s="42">
        <f>IF(OR(AL158="",AK158="",AK158=0,AL158=0),"",AL158/AK158-1)</f>
        <v/>
      </c>
      <c r="AO158" s="43">
        <f>IF(OR(AK158="",AD158="",AD158=0),"",AK158/AD158)</f>
        <v/>
      </c>
      <c r="AP158" s="43">
        <f>IF(OR(AL158="",AE158="",AE158=0),"",AL158/AE158)</f>
        <v/>
      </c>
      <c r="AQ158" s="44">
        <f>IF(OR(AP158="",AO158=""),"",(AP158-AO158)*100)</f>
        <v/>
      </c>
      <c r="AR158" s="70" t="n"/>
      <c r="AS158" s="70" t="n"/>
      <c r="AT158" s="69">
        <f>IF(OR(AS158="",AR158="",AR158=0,AS158=0),"",AS158-AR158)</f>
        <v/>
      </c>
      <c r="AU158" s="42">
        <f>IF(OR(AS158="",AR158="",AR158=0,AS158=0),"",AS158/AR158-1)</f>
        <v/>
      </c>
      <c r="AV158" s="43">
        <f>IF(OR(AR158="",AK158="",AK158=0),"",AR158/AK158)</f>
        <v/>
      </c>
      <c r="AW158" s="43">
        <f>IF(OR(AS158="",AL158="",AL158=0),"",AS158/AL158)</f>
        <v/>
      </c>
      <c r="AX158" s="44">
        <f>IF(OR(AW158="",AV158=""),"",(AW158-AV158)*100)</f>
        <v/>
      </c>
      <c r="AY158" s="45">
        <f>IF(OR(AR158="",P158="",P158=0),"",AR158/P158)</f>
        <v/>
      </c>
      <c r="AZ158" s="45">
        <f>IF(OR(AS158="",Q158="",Q158=0),"",AS158/Q158)</f>
        <v/>
      </c>
      <c r="BA158" s="44">
        <f>IF(OR(AZ158="",AY158=""),"",(AZ158-AY158)*100)</f>
        <v/>
      </c>
      <c r="BB158" s="45">
        <f>IF(OR(AR158="",E158="",E158=0),"",AR158/E158)</f>
        <v/>
      </c>
      <c r="BC158" s="45">
        <f>IF(OR(AS158="",F158="",F158=0),"",AS158/F158)</f>
        <v/>
      </c>
      <c r="BD158" s="44">
        <f>IF(OR(BC158="",BB158=""),"",(BC158-BB158)*100)</f>
        <v/>
      </c>
      <c r="BE158" s="40">
        <f>IF(AND(F158&lt;&gt;"",E158&lt;&gt;""),"Both years",IF(F158&lt;&gt;"","1-23Aug26 rows only","1-23Aug25 rows only"))</f>
        <v/>
      </c>
    </row>
    <row r="159">
      <c r="A159" s="56" t="inlineStr">
        <is>
          <t>Home page</t>
        </is>
      </c>
      <c r="B159" s="56" t="inlineStr">
        <is>
          <t>Organic</t>
        </is>
      </c>
      <c r="C159" s="56" t="inlineStr">
        <is>
          <t>Mobile</t>
        </is>
      </c>
      <c r="D159" s="56" t="inlineStr">
        <is>
          <t>Sweden</t>
        </is>
      </c>
      <c r="E159" s="68" t="n">
        <v>102</v>
      </c>
      <c r="F159" s="68" t="n">
        <v>143</v>
      </c>
      <c r="G159" s="69">
        <f>IF(OR(F159="",E159="",E159=0,F159=0),"",F159-E159)</f>
        <v/>
      </c>
      <c r="H159" s="42">
        <f>IF(OR(F159="",E159="",E159=0,F159=0),"",F159/E159-1)</f>
        <v/>
      </c>
      <c r="I159" s="68" t="n">
        <v>57</v>
      </c>
      <c r="J159" s="68" t="n">
        <v>64</v>
      </c>
      <c r="K159" s="69">
        <f>IF(OR(J159="",I159="",I159=0,J159=0),"",J159-I159)</f>
        <v/>
      </c>
      <c r="L159" s="42">
        <f>IF(OR(J159="",I159="",I159=0,J159=0),"",J159/I159-1)</f>
        <v/>
      </c>
      <c r="M159" s="43">
        <f>IF(OR(I159="",E159="",E159=0),"",I159/E159)</f>
        <v/>
      </c>
      <c r="N159" s="43">
        <f>IF(OR(J159="",F159="",F159=0),"",J159/F159)</f>
        <v/>
      </c>
      <c r="O159" s="44">
        <f>IF(OR(N159="",M159=""),"",(N159-M159)*100)</f>
        <v/>
      </c>
      <c r="P159" s="68" t="n">
        <v>54</v>
      </c>
      <c r="Q159" s="70" t="n"/>
      <c r="R159" s="69">
        <f>IF(OR(Q159="",P159="",P159=0,Q159=0),"",Q159-P159)</f>
        <v/>
      </c>
      <c r="S159" s="42">
        <f>IF(OR(Q159="",P159="",P159=0,Q159=0),"",Q159/P159-1)</f>
        <v/>
      </c>
      <c r="T159" s="43">
        <f>IF(OR(P159="",E159="",E159=0),"",P159/E159)</f>
        <v/>
      </c>
      <c r="U159" s="43">
        <f>IF(OR(Q159="",F159="",F159=0),"",Q159/F159)</f>
        <v/>
      </c>
      <c r="V159" s="44">
        <f>IF(OR(U159="",T159=""),"",(U159-T159)*100)</f>
        <v/>
      </c>
      <c r="W159" s="68" t="n">
        <v>21</v>
      </c>
      <c r="X159" s="68" t="n">
        <v>23</v>
      </c>
      <c r="Y159" s="69">
        <f>IF(OR(X159="",W159="",W159=0,X159=0),"",X159-W159)</f>
        <v/>
      </c>
      <c r="Z159" s="42">
        <f>IF(OR(X159="",W159="",W159=0,X159=0),"",X159/W159-1)</f>
        <v/>
      </c>
      <c r="AA159" s="43">
        <f>IF(OR(W159="",P159="",P159=0),"",W159/P159)</f>
        <v/>
      </c>
      <c r="AB159" s="43">
        <f>IF(OR(X159="",Q159="",Q159=0),"",X159/Q159)</f>
        <v/>
      </c>
      <c r="AC159" s="44">
        <f>IF(OR(AB159="",AA159=""),"",(AB159-AA159)*100)</f>
        <v/>
      </c>
      <c r="AD159" s="68" t="n">
        <v>20</v>
      </c>
      <c r="AE159" s="68" t="n">
        <v>16</v>
      </c>
      <c r="AF159" s="69">
        <f>IF(OR(AE159="",AD159="",AD159=0,AE159=0),"",AE159-AD159)</f>
        <v/>
      </c>
      <c r="AG159" s="42">
        <f>IF(OR(AE159="",AD159="",AD159=0,AE159=0),"",AE159/AD159-1)</f>
        <v/>
      </c>
      <c r="AH159" s="43">
        <f>IF(OR(AD159="",W159="",W159=0),"",AD159/W159)</f>
        <v/>
      </c>
      <c r="AI159" s="43">
        <f>IF(OR(AE159="",X159="",X159=0),"",AE159/X159)</f>
        <v/>
      </c>
      <c r="AJ159" s="44">
        <f>IF(OR(AI159="",AH159=""),"",(AI159-AH159)*100)</f>
        <v/>
      </c>
      <c r="AK159" s="68" t="n">
        <v>12</v>
      </c>
      <c r="AL159" s="68" t="n">
        <v>10</v>
      </c>
      <c r="AM159" s="69">
        <f>IF(OR(AL159="",AK159="",AK159=0,AL159=0),"",AL159-AK159)</f>
        <v/>
      </c>
      <c r="AN159" s="42">
        <f>IF(OR(AL159="",AK159="",AK159=0,AL159=0),"",AL159/AK159-1)</f>
        <v/>
      </c>
      <c r="AO159" s="43">
        <f>IF(OR(AK159="",AD159="",AD159=0),"",AK159/AD159)</f>
        <v/>
      </c>
      <c r="AP159" s="43">
        <f>IF(OR(AL159="",AE159="",AE159=0),"",AL159/AE159)</f>
        <v/>
      </c>
      <c r="AQ159" s="44">
        <f>IF(OR(AP159="",AO159=""),"",(AP159-AO159)*100)</f>
        <v/>
      </c>
      <c r="AR159" s="68" t="n">
        <v>9</v>
      </c>
      <c r="AS159" s="68" t="n">
        <v>6</v>
      </c>
      <c r="AT159" s="69">
        <f>IF(OR(AS159="",AR159="",AR159=0,AS159=0),"",AS159-AR159)</f>
        <v/>
      </c>
      <c r="AU159" s="42">
        <f>IF(OR(AS159="",AR159="",AR159=0,AS159=0),"",AS159/AR159-1)</f>
        <v/>
      </c>
      <c r="AV159" s="43">
        <f>IF(OR(AR159="",AK159="",AK159=0),"",AR159/AK159)</f>
        <v/>
      </c>
      <c r="AW159" s="43">
        <f>IF(OR(AS159="",AL159="",AL159=0),"",AS159/AL159)</f>
        <v/>
      </c>
      <c r="AX159" s="44">
        <f>IF(OR(AW159="",AV159=""),"",(AW159-AV159)*100)</f>
        <v/>
      </c>
      <c r="AY159" s="45">
        <f>IF(OR(AR159="",P159="",P159=0),"",AR159/P159)</f>
        <v/>
      </c>
      <c r="AZ159" s="45">
        <f>IF(OR(AS159="",Q159="",Q159=0),"",AS159/Q159)</f>
        <v/>
      </c>
      <c r="BA159" s="44">
        <f>IF(OR(AZ159="",AY159=""),"",(AZ159-AY159)*100)</f>
        <v/>
      </c>
      <c r="BB159" s="45">
        <f>IF(OR(AR159="",E159="",E159=0),"",AR159/E159)</f>
        <v/>
      </c>
      <c r="BC159" s="45">
        <f>IF(OR(AS159="",F159="",F159=0),"",AS159/F159)</f>
        <v/>
      </c>
      <c r="BD159" s="44">
        <f>IF(OR(BC159="",BB159=""),"",(BC159-BB159)*100)</f>
        <v/>
      </c>
      <c r="BE159" s="40">
        <f>IF(AND(F159&lt;&gt;"",E159&lt;&gt;""),"Both years",IF(F159&lt;&gt;"","1-23Aug26 rows only","1-23Aug25 rows only"))</f>
        <v/>
      </c>
    </row>
    <row r="160">
      <c r="A160" s="40" t="inlineStr">
        <is>
          <t>Home page</t>
        </is>
      </c>
      <c r="B160" s="40" t="inlineStr">
        <is>
          <t>Organic</t>
        </is>
      </c>
      <c r="C160" s="40" t="inlineStr">
        <is>
          <t>Mobile</t>
        </is>
      </c>
      <c r="D160" s="40" t="inlineStr">
        <is>
          <t>Portugal</t>
        </is>
      </c>
      <c r="E160" s="68" t="n">
        <v>92</v>
      </c>
      <c r="F160" s="68" t="n">
        <v>114</v>
      </c>
      <c r="G160" s="69">
        <f>IF(OR(F160="",E160="",E160=0,F160=0),"",F160-E160)</f>
        <v/>
      </c>
      <c r="H160" s="42">
        <f>IF(OR(F160="",E160="",E160=0,F160=0),"",F160/E160-1)</f>
        <v/>
      </c>
      <c r="I160" s="70" t="n"/>
      <c r="J160" s="70" t="n"/>
      <c r="K160" s="69">
        <f>IF(OR(J160="",I160="",I160=0,J160=0),"",J160-I160)</f>
        <v/>
      </c>
      <c r="L160" s="42">
        <f>IF(OR(J160="",I160="",I160=0,J160=0),"",J160/I160-1)</f>
        <v/>
      </c>
      <c r="M160" s="43">
        <f>IF(OR(I160="",E160="",E160=0),"",I160/E160)</f>
        <v/>
      </c>
      <c r="N160" s="43">
        <f>IF(OR(J160="",F160="",F160=0),"",J160/F160)</f>
        <v/>
      </c>
      <c r="O160" s="44">
        <f>IF(OR(N160="",M160=""),"",(N160-M160)*100)</f>
        <v/>
      </c>
      <c r="P160" s="70" t="n"/>
      <c r="Q160" s="68" t="n">
        <v>47</v>
      </c>
      <c r="R160" s="69">
        <f>IF(OR(Q160="",P160="",P160=0,Q160=0),"",Q160-P160)</f>
        <v/>
      </c>
      <c r="S160" s="42">
        <f>IF(OR(Q160="",P160="",P160=0,Q160=0),"",Q160/P160-1)</f>
        <v/>
      </c>
      <c r="T160" s="43">
        <f>IF(OR(P160="",E160="",E160=0),"",P160/E160)</f>
        <v/>
      </c>
      <c r="U160" s="43">
        <f>IF(OR(Q160="",F160="",F160=0),"",Q160/F160)</f>
        <v/>
      </c>
      <c r="V160" s="44">
        <f>IF(OR(U160="",T160=""),"",(U160-T160)*100)</f>
        <v/>
      </c>
      <c r="W160" s="70" t="n"/>
      <c r="X160" s="70" t="n"/>
      <c r="Y160" s="69">
        <f>IF(OR(X160="",W160="",W160=0,X160=0),"",X160-W160)</f>
        <v/>
      </c>
      <c r="Z160" s="42">
        <f>IF(OR(X160="",W160="",W160=0,X160=0),"",X160/W160-1)</f>
        <v/>
      </c>
      <c r="AA160" s="43">
        <f>IF(OR(W160="",P160="",P160=0),"",W160/P160)</f>
        <v/>
      </c>
      <c r="AB160" s="43">
        <f>IF(OR(X160="",Q160="",Q160=0),"",X160/Q160)</f>
        <v/>
      </c>
      <c r="AC160" s="44">
        <f>IF(OR(AB160="",AA160=""),"",(AB160-AA160)*100)</f>
        <v/>
      </c>
      <c r="AD160" s="70" t="n"/>
      <c r="AE160" s="70" t="n"/>
      <c r="AF160" s="69">
        <f>IF(OR(AE160="",AD160="",AD160=0,AE160=0),"",AE160-AD160)</f>
        <v/>
      </c>
      <c r="AG160" s="42">
        <f>IF(OR(AE160="",AD160="",AD160=0,AE160=0),"",AE160/AD160-1)</f>
        <v/>
      </c>
      <c r="AH160" s="43">
        <f>IF(OR(AD160="",W160="",W160=0),"",AD160/W160)</f>
        <v/>
      </c>
      <c r="AI160" s="43">
        <f>IF(OR(AE160="",X160="",X160=0),"",AE160/X160)</f>
        <v/>
      </c>
      <c r="AJ160" s="44">
        <f>IF(OR(AI160="",AH160=""),"",(AI160-AH160)*100)</f>
        <v/>
      </c>
      <c r="AK160" s="70" t="n"/>
      <c r="AL160" s="70" t="n"/>
      <c r="AM160" s="69">
        <f>IF(OR(AL160="",AK160="",AK160=0,AL160=0),"",AL160-AK160)</f>
        <v/>
      </c>
      <c r="AN160" s="42">
        <f>IF(OR(AL160="",AK160="",AK160=0,AL160=0),"",AL160/AK160-1)</f>
        <v/>
      </c>
      <c r="AO160" s="43">
        <f>IF(OR(AK160="",AD160="",AD160=0),"",AK160/AD160)</f>
        <v/>
      </c>
      <c r="AP160" s="43">
        <f>IF(OR(AL160="",AE160="",AE160=0),"",AL160/AE160)</f>
        <v/>
      </c>
      <c r="AQ160" s="44">
        <f>IF(OR(AP160="",AO160=""),"",(AP160-AO160)*100)</f>
        <v/>
      </c>
      <c r="AR160" s="70" t="n"/>
      <c r="AS160" s="70" t="n"/>
      <c r="AT160" s="69">
        <f>IF(OR(AS160="",AR160="",AR160=0,AS160=0),"",AS160-AR160)</f>
        <v/>
      </c>
      <c r="AU160" s="42">
        <f>IF(OR(AS160="",AR160="",AR160=0,AS160=0),"",AS160/AR160-1)</f>
        <v/>
      </c>
      <c r="AV160" s="43">
        <f>IF(OR(AR160="",AK160="",AK160=0),"",AR160/AK160)</f>
        <v/>
      </c>
      <c r="AW160" s="43">
        <f>IF(OR(AS160="",AL160="",AL160=0),"",AS160/AL160)</f>
        <v/>
      </c>
      <c r="AX160" s="44">
        <f>IF(OR(AW160="",AV160=""),"",(AW160-AV160)*100)</f>
        <v/>
      </c>
      <c r="AY160" s="45">
        <f>IF(OR(AR160="",P160="",P160=0),"",AR160/P160)</f>
        <v/>
      </c>
      <c r="AZ160" s="45">
        <f>IF(OR(AS160="",Q160="",Q160=0),"",AS160/Q160)</f>
        <v/>
      </c>
      <c r="BA160" s="44">
        <f>IF(OR(AZ160="",AY160=""),"",(AZ160-AY160)*100)</f>
        <v/>
      </c>
      <c r="BB160" s="45">
        <f>IF(OR(AR160="",E160="",E160=0),"",AR160/E160)</f>
        <v/>
      </c>
      <c r="BC160" s="45">
        <f>IF(OR(AS160="",F160="",F160=0),"",AS160/F160)</f>
        <v/>
      </c>
      <c r="BD160" s="44">
        <f>IF(OR(BC160="",BB160=""),"",(BC160-BB160)*100)</f>
        <v/>
      </c>
      <c r="BE160" s="40">
        <f>IF(AND(F160&lt;&gt;"",E160&lt;&gt;""),"Both years",IF(F160&lt;&gt;"","1-23Aug26 rows only","1-23Aug25 rows only"))</f>
        <v/>
      </c>
    </row>
    <row r="161">
      <c r="A161" s="56" t="inlineStr">
        <is>
          <t>Home page</t>
        </is>
      </c>
      <c r="B161" s="56" t="inlineStr">
        <is>
          <t>Organic</t>
        </is>
      </c>
      <c r="C161" s="56" t="inlineStr">
        <is>
          <t>Mobile</t>
        </is>
      </c>
      <c r="D161" s="56" t="inlineStr">
        <is>
          <t>Greece</t>
        </is>
      </c>
      <c r="E161" s="70" t="n"/>
      <c r="F161" s="68" t="n">
        <v>101</v>
      </c>
      <c r="G161" s="69">
        <f>IF(OR(F161="",E161="",E161=0,F161=0),"",F161-E161)</f>
        <v/>
      </c>
      <c r="H161" s="42">
        <f>IF(OR(F161="",E161="",E161=0,F161=0),"",F161/E161-1)</f>
        <v/>
      </c>
      <c r="I161" s="70" t="n"/>
      <c r="J161" s="70" t="n"/>
      <c r="K161" s="69">
        <f>IF(OR(J161="",I161="",I161=0,J161=0),"",J161-I161)</f>
        <v/>
      </c>
      <c r="L161" s="42">
        <f>IF(OR(J161="",I161="",I161=0,J161=0),"",J161/I161-1)</f>
        <v/>
      </c>
      <c r="M161" s="43">
        <f>IF(OR(I161="",E161="",E161=0),"",I161/E161)</f>
        <v/>
      </c>
      <c r="N161" s="43">
        <f>IF(OR(J161="",F161="",F161=0),"",J161/F161)</f>
        <v/>
      </c>
      <c r="O161" s="44">
        <f>IF(OR(N161="",M161=""),"",(N161-M161)*100)</f>
        <v/>
      </c>
      <c r="P161" s="70" t="n"/>
      <c r="Q161" s="70" t="n"/>
      <c r="R161" s="69">
        <f>IF(OR(Q161="",P161="",P161=0,Q161=0),"",Q161-P161)</f>
        <v/>
      </c>
      <c r="S161" s="42">
        <f>IF(OR(Q161="",P161="",P161=0,Q161=0),"",Q161/P161-1)</f>
        <v/>
      </c>
      <c r="T161" s="43">
        <f>IF(OR(P161="",E161="",E161=0),"",P161/E161)</f>
        <v/>
      </c>
      <c r="U161" s="43">
        <f>IF(OR(Q161="",F161="",F161=0),"",Q161/F161)</f>
        <v/>
      </c>
      <c r="V161" s="44">
        <f>IF(OR(U161="",T161=""),"",(U161-T161)*100)</f>
        <v/>
      </c>
      <c r="W161" s="70" t="n"/>
      <c r="X161" s="70" t="n"/>
      <c r="Y161" s="69">
        <f>IF(OR(X161="",W161="",W161=0,X161=0),"",X161-W161)</f>
        <v/>
      </c>
      <c r="Z161" s="42">
        <f>IF(OR(X161="",W161="",W161=0,X161=0),"",X161/W161-1)</f>
        <v/>
      </c>
      <c r="AA161" s="43">
        <f>IF(OR(W161="",P161="",P161=0),"",W161/P161)</f>
        <v/>
      </c>
      <c r="AB161" s="43">
        <f>IF(OR(X161="",Q161="",Q161=0),"",X161/Q161)</f>
        <v/>
      </c>
      <c r="AC161" s="44">
        <f>IF(OR(AB161="",AA161=""),"",(AB161-AA161)*100)</f>
        <v/>
      </c>
      <c r="AD161" s="70" t="n"/>
      <c r="AE161" s="70" t="n"/>
      <c r="AF161" s="69">
        <f>IF(OR(AE161="",AD161="",AD161=0,AE161=0),"",AE161-AD161)</f>
        <v/>
      </c>
      <c r="AG161" s="42">
        <f>IF(OR(AE161="",AD161="",AD161=0,AE161=0),"",AE161/AD161-1)</f>
        <v/>
      </c>
      <c r="AH161" s="43">
        <f>IF(OR(AD161="",W161="",W161=0),"",AD161/W161)</f>
        <v/>
      </c>
      <c r="AI161" s="43">
        <f>IF(OR(AE161="",X161="",X161=0),"",AE161/X161)</f>
        <v/>
      </c>
      <c r="AJ161" s="44">
        <f>IF(OR(AI161="",AH161=""),"",(AI161-AH161)*100)</f>
        <v/>
      </c>
      <c r="AK161" s="70" t="n"/>
      <c r="AL161" s="70" t="n"/>
      <c r="AM161" s="69">
        <f>IF(OR(AL161="",AK161="",AK161=0,AL161=0),"",AL161-AK161)</f>
        <v/>
      </c>
      <c r="AN161" s="42">
        <f>IF(OR(AL161="",AK161="",AK161=0,AL161=0),"",AL161/AK161-1)</f>
        <v/>
      </c>
      <c r="AO161" s="43">
        <f>IF(OR(AK161="",AD161="",AD161=0),"",AK161/AD161)</f>
        <v/>
      </c>
      <c r="AP161" s="43">
        <f>IF(OR(AL161="",AE161="",AE161=0),"",AL161/AE161)</f>
        <v/>
      </c>
      <c r="AQ161" s="44">
        <f>IF(OR(AP161="",AO161=""),"",(AP161-AO161)*100)</f>
        <v/>
      </c>
      <c r="AR161" s="70" t="n"/>
      <c r="AS161" s="70" t="n"/>
      <c r="AT161" s="69">
        <f>IF(OR(AS161="",AR161="",AR161=0,AS161=0),"",AS161-AR161)</f>
        <v/>
      </c>
      <c r="AU161" s="42">
        <f>IF(OR(AS161="",AR161="",AR161=0,AS161=0),"",AS161/AR161-1)</f>
        <v/>
      </c>
      <c r="AV161" s="43">
        <f>IF(OR(AR161="",AK161="",AK161=0),"",AR161/AK161)</f>
        <v/>
      </c>
      <c r="AW161" s="43">
        <f>IF(OR(AS161="",AL161="",AL161=0),"",AS161/AL161)</f>
        <v/>
      </c>
      <c r="AX161" s="44">
        <f>IF(OR(AW161="",AV161=""),"",(AW161-AV161)*100)</f>
        <v/>
      </c>
      <c r="AY161" s="45">
        <f>IF(OR(AR161="",P161="",P161=0),"",AR161/P161)</f>
        <v/>
      </c>
      <c r="AZ161" s="45">
        <f>IF(OR(AS161="",Q161="",Q161=0),"",AS161/Q161)</f>
        <v/>
      </c>
      <c r="BA161" s="44">
        <f>IF(OR(AZ161="",AY161=""),"",(AZ161-AY161)*100)</f>
        <v/>
      </c>
      <c r="BB161" s="45">
        <f>IF(OR(AR161="",E161="",E161=0),"",AR161/E161)</f>
        <v/>
      </c>
      <c r="BC161" s="45">
        <f>IF(OR(AS161="",F161="",F161=0),"",AS161/F161)</f>
        <v/>
      </c>
      <c r="BD161" s="44">
        <f>IF(OR(BC161="",BB161=""),"",(BC161-BB161)*100)</f>
        <v/>
      </c>
      <c r="BE161" s="40">
        <f>IF(AND(F161&lt;&gt;"",E161&lt;&gt;""),"Both years",IF(F161&lt;&gt;"","1-23Aug26 rows only","1-23Aug25 rows only"))</f>
        <v/>
      </c>
    </row>
    <row r="162">
      <c r="A162" s="40" t="inlineStr">
        <is>
          <t>Home page</t>
        </is>
      </c>
      <c r="B162" s="40" t="inlineStr">
        <is>
          <t>Organic</t>
        </is>
      </c>
      <c r="C162" s="40" t="inlineStr">
        <is>
          <t>Mobile</t>
        </is>
      </c>
      <c r="D162" s="40" t="inlineStr">
        <is>
          <t>Finland</t>
        </is>
      </c>
      <c r="E162" s="68" t="n">
        <v>97</v>
      </c>
      <c r="F162" s="70" t="n"/>
      <c r="G162" s="69">
        <f>IF(OR(F162="",E162="",E162=0,F162=0),"",F162-E162)</f>
        <v/>
      </c>
      <c r="H162" s="42">
        <f>IF(OR(F162="",E162="",E162=0,F162=0),"",F162/E162-1)</f>
        <v/>
      </c>
      <c r="I162" s="68" t="n">
        <v>56</v>
      </c>
      <c r="J162" s="68" t="n">
        <v>25</v>
      </c>
      <c r="K162" s="69">
        <f>IF(OR(J162="",I162="",I162=0,J162=0),"",J162-I162)</f>
        <v/>
      </c>
      <c r="L162" s="42">
        <f>IF(OR(J162="",I162="",I162=0,J162=0),"",J162/I162-1)</f>
        <v/>
      </c>
      <c r="M162" s="43">
        <f>IF(OR(I162="",E162="",E162=0),"",I162/E162)</f>
        <v/>
      </c>
      <c r="N162" s="43">
        <f>IF(OR(J162="",F162="",F162=0),"",J162/F162)</f>
        <v/>
      </c>
      <c r="O162" s="44">
        <f>IF(OR(N162="",M162=""),"",(N162-M162)*100)</f>
        <v/>
      </c>
      <c r="P162" s="68" t="n">
        <v>53</v>
      </c>
      <c r="Q162" s="70" t="n"/>
      <c r="R162" s="69">
        <f>IF(OR(Q162="",P162="",P162=0,Q162=0),"",Q162-P162)</f>
        <v/>
      </c>
      <c r="S162" s="42">
        <f>IF(OR(Q162="",P162="",P162=0,Q162=0),"",Q162/P162-1)</f>
        <v/>
      </c>
      <c r="T162" s="43">
        <f>IF(OR(P162="",E162="",E162=0),"",P162/E162)</f>
        <v/>
      </c>
      <c r="U162" s="43">
        <f>IF(OR(Q162="",F162="",F162=0),"",Q162/F162)</f>
        <v/>
      </c>
      <c r="V162" s="44">
        <f>IF(OR(U162="",T162=""),"",(U162-T162)*100)</f>
        <v/>
      </c>
      <c r="W162" s="68" t="n">
        <v>19</v>
      </c>
      <c r="X162" s="68" t="n">
        <v>7</v>
      </c>
      <c r="Y162" s="69">
        <f>IF(OR(X162="",W162="",W162=0,X162=0),"",X162-W162)</f>
        <v/>
      </c>
      <c r="Z162" s="42">
        <f>IF(OR(X162="",W162="",W162=0,X162=0),"",X162/W162-1)</f>
        <v/>
      </c>
      <c r="AA162" s="43">
        <f>IF(OR(W162="",P162="",P162=0),"",W162/P162)</f>
        <v/>
      </c>
      <c r="AB162" s="43">
        <f>IF(OR(X162="",Q162="",Q162=0),"",X162/Q162)</f>
        <v/>
      </c>
      <c r="AC162" s="44">
        <f>IF(OR(AB162="",AA162=""),"",(AB162-AA162)*100)</f>
        <v/>
      </c>
      <c r="AD162" s="68" t="n">
        <v>18</v>
      </c>
      <c r="AE162" s="68" t="n">
        <v>4</v>
      </c>
      <c r="AF162" s="69">
        <f>IF(OR(AE162="",AD162="",AD162=0,AE162=0),"",AE162-AD162)</f>
        <v/>
      </c>
      <c r="AG162" s="42">
        <f>IF(OR(AE162="",AD162="",AD162=0,AE162=0),"",AE162/AD162-1)</f>
        <v/>
      </c>
      <c r="AH162" s="43">
        <f>IF(OR(AD162="",W162="",W162=0),"",AD162/W162)</f>
        <v/>
      </c>
      <c r="AI162" s="43">
        <f>IF(OR(AE162="",X162="",X162=0),"",AE162/X162)</f>
        <v/>
      </c>
      <c r="AJ162" s="44">
        <f>IF(OR(AI162="",AH162=""),"",(AI162-AH162)*100)</f>
        <v/>
      </c>
      <c r="AK162" s="68" t="n">
        <v>8</v>
      </c>
      <c r="AL162" s="68" t="n">
        <v>2</v>
      </c>
      <c r="AM162" s="69">
        <f>IF(OR(AL162="",AK162="",AK162=0,AL162=0),"",AL162-AK162)</f>
        <v/>
      </c>
      <c r="AN162" s="42">
        <f>IF(OR(AL162="",AK162="",AK162=0,AL162=0),"",AL162/AK162-1)</f>
        <v/>
      </c>
      <c r="AO162" s="43">
        <f>IF(OR(AK162="",AD162="",AD162=0),"",AK162/AD162)</f>
        <v/>
      </c>
      <c r="AP162" s="43">
        <f>IF(OR(AL162="",AE162="",AE162=0),"",AL162/AE162)</f>
        <v/>
      </c>
      <c r="AQ162" s="44">
        <f>IF(OR(AP162="",AO162=""),"",(AP162-AO162)*100)</f>
        <v/>
      </c>
      <c r="AR162" s="68" t="n">
        <v>10</v>
      </c>
      <c r="AS162" s="68" t="n">
        <v>2</v>
      </c>
      <c r="AT162" s="69">
        <f>IF(OR(AS162="",AR162="",AR162=0,AS162=0),"",AS162-AR162)</f>
        <v/>
      </c>
      <c r="AU162" s="42">
        <f>IF(OR(AS162="",AR162="",AR162=0,AS162=0),"",AS162/AR162-1)</f>
        <v/>
      </c>
      <c r="AV162" s="43">
        <f>IF(OR(AR162="",AK162="",AK162=0),"",AR162/AK162)</f>
        <v/>
      </c>
      <c r="AW162" s="43">
        <f>IF(OR(AS162="",AL162="",AL162=0),"",AS162/AL162)</f>
        <v/>
      </c>
      <c r="AX162" s="44">
        <f>IF(OR(AW162="",AV162=""),"",(AW162-AV162)*100)</f>
        <v/>
      </c>
      <c r="AY162" s="45">
        <f>IF(OR(AR162="",P162="",P162=0),"",AR162/P162)</f>
        <v/>
      </c>
      <c r="AZ162" s="45">
        <f>IF(OR(AS162="",Q162="",Q162=0),"",AS162/Q162)</f>
        <v/>
      </c>
      <c r="BA162" s="44">
        <f>IF(OR(AZ162="",AY162=""),"",(AZ162-AY162)*100)</f>
        <v/>
      </c>
      <c r="BB162" s="45">
        <f>IF(OR(AR162="",E162="",E162=0),"",AR162/E162)</f>
        <v/>
      </c>
      <c r="BC162" s="45">
        <f>IF(OR(AS162="",F162="",F162=0),"",AS162/F162)</f>
        <v/>
      </c>
      <c r="BD162" s="44">
        <f>IF(OR(BC162="",BB162=""),"",(BC162-BB162)*100)</f>
        <v/>
      </c>
      <c r="BE162" s="40">
        <f>IF(AND(F162&lt;&gt;"",E162&lt;&gt;""),"Both years",IF(F162&lt;&gt;"","1-23Aug26 rows only","1-23Aug25 rows only"))</f>
        <v/>
      </c>
    </row>
    <row r="163">
      <c r="A163" s="56" t="inlineStr">
        <is>
          <t>Home page</t>
        </is>
      </c>
      <c r="B163" s="56" t="inlineStr">
        <is>
          <t>Organic</t>
        </is>
      </c>
      <c r="C163" s="56" t="inlineStr">
        <is>
          <t>Mobile</t>
        </is>
      </c>
      <c r="D163" s="56" t="inlineStr">
        <is>
          <t>Norway</t>
        </is>
      </c>
      <c r="E163" s="70" t="n"/>
      <c r="F163" s="70" t="n"/>
      <c r="G163" s="69">
        <f>IF(OR(F163="",E163="",E163=0,F163=0),"",F163-E163)</f>
        <v/>
      </c>
      <c r="H163" s="42">
        <f>IF(OR(F163="",E163="",E163=0,F163=0),"",F163/E163-1)</f>
        <v/>
      </c>
      <c r="I163" s="68" t="n">
        <v>26</v>
      </c>
      <c r="J163" s="68" t="n">
        <v>35</v>
      </c>
      <c r="K163" s="69">
        <f>IF(OR(J163="",I163="",I163=0,J163=0),"",J163-I163)</f>
        <v/>
      </c>
      <c r="L163" s="42">
        <f>IF(OR(J163="",I163="",I163=0,J163=0),"",J163/I163-1)</f>
        <v/>
      </c>
      <c r="M163" s="43">
        <f>IF(OR(I163="",E163="",E163=0),"",I163/E163)</f>
        <v/>
      </c>
      <c r="N163" s="43">
        <f>IF(OR(J163="",F163="",F163=0),"",J163/F163)</f>
        <v/>
      </c>
      <c r="O163" s="44">
        <f>IF(OR(N163="",M163=""),"",(N163-M163)*100)</f>
        <v/>
      </c>
      <c r="P163" s="70" t="n"/>
      <c r="Q163" s="70" t="n"/>
      <c r="R163" s="69">
        <f>IF(OR(Q163="",P163="",P163=0,Q163=0),"",Q163-P163)</f>
        <v/>
      </c>
      <c r="S163" s="42">
        <f>IF(OR(Q163="",P163="",P163=0,Q163=0),"",Q163/P163-1)</f>
        <v/>
      </c>
      <c r="T163" s="43">
        <f>IF(OR(P163="",E163="",E163=0),"",P163/E163)</f>
        <v/>
      </c>
      <c r="U163" s="43">
        <f>IF(OR(Q163="",F163="",F163=0),"",Q163/F163)</f>
        <v/>
      </c>
      <c r="V163" s="44">
        <f>IF(OR(U163="",T163=""),"",(U163-T163)*100)</f>
        <v/>
      </c>
      <c r="W163" s="68" t="n">
        <v>8</v>
      </c>
      <c r="X163" s="68" t="n">
        <v>10</v>
      </c>
      <c r="Y163" s="69">
        <f>IF(OR(X163="",W163="",W163=0,X163=0),"",X163-W163)</f>
        <v/>
      </c>
      <c r="Z163" s="42">
        <f>IF(OR(X163="",W163="",W163=0,X163=0),"",X163/W163-1)</f>
        <v/>
      </c>
      <c r="AA163" s="43">
        <f>IF(OR(W163="",P163="",P163=0),"",W163/P163)</f>
        <v/>
      </c>
      <c r="AB163" s="43">
        <f>IF(OR(X163="",Q163="",Q163=0),"",X163/Q163)</f>
        <v/>
      </c>
      <c r="AC163" s="44">
        <f>IF(OR(AB163="",AA163=""),"",(AB163-AA163)*100)</f>
        <v/>
      </c>
      <c r="AD163" s="68" t="n">
        <v>9</v>
      </c>
      <c r="AE163" s="68" t="n">
        <v>6</v>
      </c>
      <c r="AF163" s="69">
        <f>IF(OR(AE163="",AD163="",AD163=0,AE163=0),"",AE163-AD163)</f>
        <v/>
      </c>
      <c r="AG163" s="42">
        <f>IF(OR(AE163="",AD163="",AD163=0,AE163=0),"",AE163/AD163-1)</f>
        <v/>
      </c>
      <c r="AH163" s="43">
        <f>IF(OR(AD163="",W163="",W163=0),"",AD163/W163)</f>
        <v/>
      </c>
      <c r="AI163" s="43">
        <f>IF(OR(AE163="",X163="",X163=0),"",AE163/X163)</f>
        <v/>
      </c>
      <c r="AJ163" s="44">
        <f>IF(OR(AI163="",AH163=""),"",(AI163-AH163)*100)</f>
        <v/>
      </c>
      <c r="AK163" s="68" t="n">
        <v>4</v>
      </c>
      <c r="AL163" s="68" t="n">
        <v>3</v>
      </c>
      <c r="AM163" s="69">
        <f>IF(OR(AL163="",AK163="",AK163=0,AL163=0),"",AL163-AK163)</f>
        <v/>
      </c>
      <c r="AN163" s="42">
        <f>IF(OR(AL163="",AK163="",AK163=0,AL163=0),"",AL163/AK163-1)</f>
        <v/>
      </c>
      <c r="AO163" s="43">
        <f>IF(OR(AK163="",AD163="",AD163=0),"",AK163/AD163)</f>
        <v/>
      </c>
      <c r="AP163" s="43">
        <f>IF(OR(AL163="",AE163="",AE163=0),"",AL163/AE163)</f>
        <v/>
      </c>
      <c r="AQ163" s="44">
        <f>IF(OR(AP163="",AO163=""),"",(AP163-AO163)*100)</f>
        <v/>
      </c>
      <c r="AR163" s="68" t="n">
        <v>2</v>
      </c>
      <c r="AS163" s="68" t="n">
        <v>3</v>
      </c>
      <c r="AT163" s="69">
        <f>IF(OR(AS163="",AR163="",AR163=0,AS163=0),"",AS163-AR163)</f>
        <v/>
      </c>
      <c r="AU163" s="42">
        <f>IF(OR(AS163="",AR163="",AR163=0,AS163=0),"",AS163/AR163-1)</f>
        <v/>
      </c>
      <c r="AV163" s="43">
        <f>IF(OR(AR163="",AK163="",AK163=0),"",AR163/AK163)</f>
        <v/>
      </c>
      <c r="AW163" s="43">
        <f>IF(OR(AS163="",AL163="",AL163=0),"",AS163/AL163)</f>
        <v/>
      </c>
      <c r="AX163" s="44">
        <f>IF(OR(AW163="",AV163=""),"",(AW163-AV163)*100)</f>
        <v/>
      </c>
      <c r="AY163" s="45">
        <f>IF(OR(AR163="",P163="",P163=0),"",AR163/P163)</f>
        <v/>
      </c>
      <c r="AZ163" s="45">
        <f>IF(OR(AS163="",Q163="",Q163=0),"",AS163/Q163)</f>
        <v/>
      </c>
      <c r="BA163" s="44">
        <f>IF(OR(AZ163="",AY163=""),"",(AZ163-AY163)*100)</f>
        <v/>
      </c>
      <c r="BB163" s="45">
        <f>IF(OR(AR163="",E163="",E163=0),"",AR163/E163)</f>
        <v/>
      </c>
      <c r="BC163" s="45">
        <f>IF(OR(AS163="",F163="",F163=0),"",AS163/F163)</f>
        <v/>
      </c>
      <c r="BD163" s="44">
        <f>IF(OR(BC163="",BB163=""),"",(BC163-BB163)*100)</f>
        <v/>
      </c>
      <c r="BE163" s="40">
        <f>IF(AND(F163&lt;&gt;"",E163&lt;&gt;""),"Both years",IF(F163&lt;&gt;"","1-23Aug26 rows only","1-23Aug25 rows only"))</f>
        <v/>
      </c>
    </row>
    <row r="164">
      <c r="A164" s="40" t="inlineStr">
        <is>
          <t>Home page</t>
        </is>
      </c>
      <c r="B164" s="40" t="inlineStr">
        <is>
          <t>Organic</t>
        </is>
      </c>
      <c r="C164" s="40" t="inlineStr">
        <is>
          <t>Desktop</t>
        </is>
      </c>
      <c r="D164" s="40" t="inlineStr">
        <is>
          <t>United Kingdom</t>
        </is>
      </c>
      <c r="E164" s="68" t="n">
        <v>1851</v>
      </c>
      <c r="F164" s="68" t="n">
        <v>1135</v>
      </c>
      <c r="G164" s="69">
        <f>IF(OR(F164="",E164="",E164=0,F164=0),"",F164-E164)</f>
        <v/>
      </c>
      <c r="H164" s="42">
        <f>IF(OR(F164="",E164="",E164=0,F164=0),"",F164/E164-1)</f>
        <v/>
      </c>
      <c r="I164" s="68" t="n">
        <v>1129</v>
      </c>
      <c r="J164" s="68" t="n">
        <v>695</v>
      </c>
      <c r="K164" s="69">
        <f>IF(OR(J164="",I164="",I164=0,J164=0),"",J164-I164)</f>
        <v/>
      </c>
      <c r="L164" s="42">
        <f>IF(OR(J164="",I164="",I164=0,J164=0),"",J164/I164-1)</f>
        <v/>
      </c>
      <c r="M164" s="43">
        <f>IF(OR(I164="",E164="",E164=0),"",I164/E164)</f>
        <v/>
      </c>
      <c r="N164" s="43">
        <f>IF(OR(J164="",F164="",F164=0),"",J164/F164)</f>
        <v/>
      </c>
      <c r="O164" s="44">
        <f>IF(OR(N164="",M164=""),"",(N164-M164)*100)</f>
        <v/>
      </c>
      <c r="P164" s="68" t="n">
        <v>1103</v>
      </c>
      <c r="Q164" s="68" t="n">
        <v>680</v>
      </c>
      <c r="R164" s="69">
        <f>IF(OR(Q164="",P164="",P164=0,Q164=0),"",Q164-P164)</f>
        <v/>
      </c>
      <c r="S164" s="42">
        <f>IF(OR(Q164="",P164="",P164=0,Q164=0),"",Q164/P164-1)</f>
        <v/>
      </c>
      <c r="T164" s="43">
        <f>IF(OR(P164="",E164="",E164=0),"",P164/E164)</f>
        <v/>
      </c>
      <c r="U164" s="43">
        <f>IF(OR(Q164="",F164="",F164=0),"",Q164/F164)</f>
        <v/>
      </c>
      <c r="V164" s="44">
        <f>IF(OR(U164="",T164=""),"",(U164-T164)*100)</f>
        <v/>
      </c>
      <c r="W164" s="68" t="n">
        <v>401</v>
      </c>
      <c r="X164" s="68" t="n">
        <v>224</v>
      </c>
      <c r="Y164" s="69">
        <f>IF(OR(X164="",W164="",W164=0,X164=0),"",X164-W164)</f>
        <v/>
      </c>
      <c r="Z164" s="42">
        <f>IF(OR(X164="",W164="",W164=0,X164=0),"",X164/W164-1)</f>
        <v/>
      </c>
      <c r="AA164" s="43">
        <f>IF(OR(W164="",P164="",P164=0),"",W164/P164)</f>
        <v/>
      </c>
      <c r="AB164" s="43">
        <f>IF(OR(X164="",Q164="",Q164=0),"",X164/Q164)</f>
        <v/>
      </c>
      <c r="AC164" s="44">
        <f>IF(OR(AB164="",AA164=""),"",(AB164-AA164)*100)</f>
        <v/>
      </c>
      <c r="AD164" s="68" t="n">
        <v>369</v>
      </c>
      <c r="AE164" s="68" t="n">
        <v>208</v>
      </c>
      <c r="AF164" s="69">
        <f>IF(OR(AE164="",AD164="",AD164=0,AE164=0),"",AE164-AD164)</f>
        <v/>
      </c>
      <c r="AG164" s="42">
        <f>IF(OR(AE164="",AD164="",AD164=0,AE164=0),"",AE164/AD164-1)</f>
        <v/>
      </c>
      <c r="AH164" s="43">
        <f>IF(OR(AD164="",W164="",W164=0),"",AD164/W164)</f>
        <v/>
      </c>
      <c r="AI164" s="43">
        <f>IF(OR(AE164="",X164="",X164=0),"",AE164/X164)</f>
        <v/>
      </c>
      <c r="AJ164" s="44">
        <f>IF(OR(AI164="",AH164=""),"",(AI164-AH164)*100)</f>
        <v/>
      </c>
      <c r="AK164" s="68" t="n">
        <v>257</v>
      </c>
      <c r="AL164" s="68" t="n">
        <v>127</v>
      </c>
      <c r="AM164" s="69">
        <f>IF(OR(AL164="",AK164="",AK164=0,AL164=0),"",AL164-AK164)</f>
        <v/>
      </c>
      <c r="AN164" s="42">
        <f>IF(OR(AL164="",AK164="",AK164=0,AL164=0),"",AL164/AK164-1)</f>
        <v/>
      </c>
      <c r="AO164" s="43">
        <f>IF(OR(AK164="",AD164="",AD164=0),"",AK164/AD164)</f>
        <v/>
      </c>
      <c r="AP164" s="43">
        <f>IF(OR(AL164="",AE164="",AE164=0),"",AL164/AE164)</f>
        <v/>
      </c>
      <c r="AQ164" s="44">
        <f>IF(OR(AP164="",AO164=""),"",(AP164-AO164)*100)</f>
        <v/>
      </c>
      <c r="AR164" s="68" t="n">
        <v>253</v>
      </c>
      <c r="AS164" s="68" t="n">
        <v>115</v>
      </c>
      <c r="AT164" s="69">
        <f>IF(OR(AS164="",AR164="",AR164=0,AS164=0),"",AS164-AR164)</f>
        <v/>
      </c>
      <c r="AU164" s="42">
        <f>IF(OR(AS164="",AR164="",AR164=0,AS164=0),"",AS164/AR164-1)</f>
        <v/>
      </c>
      <c r="AV164" s="43">
        <f>IF(OR(AR164="",AK164="",AK164=0),"",AR164/AK164)</f>
        <v/>
      </c>
      <c r="AW164" s="43">
        <f>IF(OR(AS164="",AL164="",AL164=0),"",AS164/AL164)</f>
        <v/>
      </c>
      <c r="AX164" s="44">
        <f>IF(OR(AW164="",AV164=""),"",(AW164-AV164)*100)</f>
        <v/>
      </c>
      <c r="AY164" s="45">
        <f>IF(OR(AR164="",P164="",P164=0),"",AR164/P164)</f>
        <v/>
      </c>
      <c r="AZ164" s="45">
        <f>IF(OR(AS164="",Q164="",Q164=0),"",AS164/Q164)</f>
        <v/>
      </c>
      <c r="BA164" s="44">
        <f>IF(OR(AZ164="",AY164=""),"",(AZ164-AY164)*100)</f>
        <v/>
      </c>
      <c r="BB164" s="45">
        <f>IF(OR(AR164="",E164="",E164=0),"",AR164/E164)</f>
        <v/>
      </c>
      <c r="BC164" s="45">
        <f>IF(OR(AS164="",F164="",F164=0),"",AS164/F164)</f>
        <v/>
      </c>
      <c r="BD164" s="44">
        <f>IF(OR(BC164="",BB164=""),"",(BC164-BB164)*100)</f>
        <v/>
      </c>
      <c r="BE164" s="40">
        <f>IF(AND(F164&lt;&gt;"",E164&lt;&gt;""),"Both years",IF(F164&lt;&gt;"","1-23Aug26 rows only","1-23Aug25 rows only"))</f>
        <v/>
      </c>
    </row>
    <row r="165">
      <c r="A165" s="56" t="inlineStr">
        <is>
          <t>Home page</t>
        </is>
      </c>
      <c r="B165" s="56" t="inlineStr">
        <is>
          <t>Organic</t>
        </is>
      </c>
      <c r="C165" s="56" t="inlineStr">
        <is>
          <t>Desktop</t>
        </is>
      </c>
      <c r="D165" s="56" t="inlineStr">
        <is>
          <t>Italy</t>
        </is>
      </c>
      <c r="E165" s="68" t="n">
        <v>541</v>
      </c>
      <c r="F165" s="68" t="n">
        <v>712</v>
      </c>
      <c r="G165" s="69">
        <f>IF(OR(F165="",E165="",E165=0,F165=0),"",F165-E165)</f>
        <v/>
      </c>
      <c r="H165" s="42">
        <f>IF(OR(F165="",E165="",E165=0,F165=0),"",F165/E165-1)</f>
        <v/>
      </c>
      <c r="I165" s="68" t="n">
        <v>276</v>
      </c>
      <c r="J165" s="68" t="n">
        <v>301</v>
      </c>
      <c r="K165" s="69">
        <f>IF(OR(J165="",I165="",I165=0,J165=0),"",J165-I165)</f>
        <v/>
      </c>
      <c r="L165" s="42">
        <f>IF(OR(J165="",I165="",I165=0,J165=0),"",J165/I165-1)</f>
        <v/>
      </c>
      <c r="M165" s="43">
        <f>IF(OR(I165="",E165="",E165=0),"",I165/E165)</f>
        <v/>
      </c>
      <c r="N165" s="43">
        <f>IF(OR(J165="",F165="",F165=0),"",J165/F165)</f>
        <v/>
      </c>
      <c r="O165" s="44">
        <f>IF(OR(N165="",M165=""),"",(N165-M165)*100)</f>
        <v/>
      </c>
      <c r="P165" s="68" t="n">
        <v>231</v>
      </c>
      <c r="Q165" s="68" t="n">
        <v>240</v>
      </c>
      <c r="R165" s="69">
        <f>IF(OR(Q165="",P165="",P165=0,Q165=0),"",Q165-P165)</f>
        <v/>
      </c>
      <c r="S165" s="42">
        <f>IF(OR(Q165="",P165="",P165=0,Q165=0),"",Q165/P165-1)</f>
        <v/>
      </c>
      <c r="T165" s="43">
        <f>IF(OR(P165="",E165="",E165=0),"",P165/E165)</f>
        <v/>
      </c>
      <c r="U165" s="43">
        <f>IF(OR(Q165="",F165="",F165=0),"",Q165/F165)</f>
        <v/>
      </c>
      <c r="V165" s="44">
        <f>IF(OR(U165="",T165=""),"",(U165-T165)*100)</f>
        <v/>
      </c>
      <c r="W165" s="68" t="n">
        <v>83</v>
      </c>
      <c r="X165" s="68" t="n">
        <v>65</v>
      </c>
      <c r="Y165" s="69">
        <f>IF(OR(X165="",W165="",W165=0,X165=0),"",X165-W165)</f>
        <v/>
      </c>
      <c r="Z165" s="42">
        <f>IF(OR(X165="",W165="",W165=0,X165=0),"",X165/W165-1)</f>
        <v/>
      </c>
      <c r="AA165" s="43">
        <f>IF(OR(W165="",P165="",P165=0),"",W165/P165)</f>
        <v/>
      </c>
      <c r="AB165" s="43">
        <f>IF(OR(X165="",Q165="",Q165=0),"",X165/Q165)</f>
        <v/>
      </c>
      <c r="AC165" s="44">
        <f>IF(OR(AB165="",AA165=""),"",(AB165-AA165)*100)</f>
        <v/>
      </c>
      <c r="AD165" s="68" t="n">
        <v>72</v>
      </c>
      <c r="AE165" s="68" t="n">
        <v>55</v>
      </c>
      <c r="AF165" s="69">
        <f>IF(OR(AE165="",AD165="",AD165=0,AE165=0),"",AE165-AD165)</f>
        <v/>
      </c>
      <c r="AG165" s="42">
        <f>IF(OR(AE165="",AD165="",AD165=0,AE165=0),"",AE165/AD165-1)</f>
        <v/>
      </c>
      <c r="AH165" s="43">
        <f>IF(OR(AD165="",W165="",W165=0),"",AD165/W165)</f>
        <v/>
      </c>
      <c r="AI165" s="43">
        <f>IF(OR(AE165="",X165="",X165=0),"",AE165/X165)</f>
        <v/>
      </c>
      <c r="AJ165" s="44">
        <f>IF(OR(AI165="",AH165=""),"",(AI165-AH165)*100)</f>
        <v/>
      </c>
      <c r="AK165" s="68" t="n">
        <v>40</v>
      </c>
      <c r="AL165" s="68" t="n">
        <v>26</v>
      </c>
      <c r="AM165" s="69">
        <f>IF(OR(AL165="",AK165="",AK165=0,AL165=0),"",AL165-AK165)</f>
        <v/>
      </c>
      <c r="AN165" s="42">
        <f>IF(OR(AL165="",AK165="",AK165=0,AL165=0),"",AL165/AK165-1)</f>
        <v/>
      </c>
      <c r="AO165" s="43">
        <f>IF(OR(AK165="",AD165="",AD165=0),"",AK165/AD165)</f>
        <v/>
      </c>
      <c r="AP165" s="43">
        <f>IF(OR(AL165="",AE165="",AE165=0),"",AL165/AE165)</f>
        <v/>
      </c>
      <c r="AQ165" s="44">
        <f>IF(OR(AP165="",AO165=""),"",(AP165-AO165)*100)</f>
        <v/>
      </c>
      <c r="AR165" s="68" t="n">
        <v>36</v>
      </c>
      <c r="AS165" s="68" t="n">
        <v>20</v>
      </c>
      <c r="AT165" s="69">
        <f>IF(OR(AS165="",AR165="",AR165=0,AS165=0),"",AS165-AR165)</f>
        <v/>
      </c>
      <c r="AU165" s="42">
        <f>IF(OR(AS165="",AR165="",AR165=0,AS165=0),"",AS165/AR165-1)</f>
        <v/>
      </c>
      <c r="AV165" s="43">
        <f>IF(OR(AR165="",AK165="",AK165=0),"",AR165/AK165)</f>
        <v/>
      </c>
      <c r="AW165" s="43">
        <f>IF(OR(AS165="",AL165="",AL165=0),"",AS165/AL165)</f>
        <v/>
      </c>
      <c r="AX165" s="44">
        <f>IF(OR(AW165="",AV165=""),"",(AW165-AV165)*100)</f>
        <v/>
      </c>
      <c r="AY165" s="45">
        <f>IF(OR(AR165="",P165="",P165=0),"",AR165/P165)</f>
        <v/>
      </c>
      <c r="AZ165" s="45">
        <f>IF(OR(AS165="",Q165="",Q165=0),"",AS165/Q165)</f>
        <v/>
      </c>
      <c r="BA165" s="44">
        <f>IF(OR(AZ165="",AY165=""),"",(AZ165-AY165)*100)</f>
        <v/>
      </c>
      <c r="BB165" s="45">
        <f>IF(OR(AR165="",E165="",E165=0),"",AR165/E165)</f>
        <v/>
      </c>
      <c r="BC165" s="45">
        <f>IF(OR(AS165="",F165="",F165=0),"",AS165/F165)</f>
        <v/>
      </c>
      <c r="BD165" s="44">
        <f>IF(OR(BC165="",BB165=""),"",(BC165-BB165)*100)</f>
        <v/>
      </c>
      <c r="BE165" s="40">
        <f>IF(AND(F165&lt;&gt;"",E165&lt;&gt;""),"Both years",IF(F165&lt;&gt;"","1-23Aug26 rows only","1-23Aug25 rows only"))</f>
        <v/>
      </c>
    </row>
    <row r="166">
      <c r="A166" s="40" t="inlineStr">
        <is>
          <t>Home page</t>
        </is>
      </c>
      <c r="B166" s="40" t="inlineStr">
        <is>
          <t>Organic</t>
        </is>
      </c>
      <c r="C166" s="40" t="inlineStr">
        <is>
          <t>Desktop</t>
        </is>
      </c>
      <c r="D166" s="40" t="inlineStr">
        <is>
          <t>Germany</t>
        </is>
      </c>
      <c r="E166" s="68" t="n">
        <v>397</v>
      </c>
      <c r="F166" s="68" t="n">
        <v>512</v>
      </c>
      <c r="G166" s="69">
        <f>IF(OR(F166="",E166="",E166=0,F166=0),"",F166-E166)</f>
        <v/>
      </c>
      <c r="H166" s="42">
        <f>IF(OR(F166="",E166="",E166=0,F166=0),"",F166/E166-1)</f>
        <v/>
      </c>
      <c r="I166" s="68" t="n">
        <v>236</v>
      </c>
      <c r="J166" s="68" t="n">
        <v>300</v>
      </c>
      <c r="K166" s="69">
        <f>IF(OR(J166="",I166="",I166=0,J166=0),"",J166-I166)</f>
        <v/>
      </c>
      <c r="L166" s="42">
        <f>IF(OR(J166="",I166="",I166=0,J166=0),"",J166/I166-1)</f>
        <v/>
      </c>
      <c r="M166" s="43">
        <f>IF(OR(I166="",E166="",E166=0),"",I166/E166)</f>
        <v/>
      </c>
      <c r="N166" s="43">
        <f>IF(OR(J166="",F166="",F166=0),"",J166/F166)</f>
        <v/>
      </c>
      <c r="O166" s="44">
        <f>IF(OR(N166="",M166=""),"",(N166-M166)*100)</f>
        <v/>
      </c>
      <c r="P166" s="68" t="n">
        <v>222</v>
      </c>
      <c r="Q166" s="68" t="n">
        <v>215</v>
      </c>
      <c r="R166" s="69">
        <f>IF(OR(Q166="",P166="",P166=0,Q166=0),"",Q166-P166)</f>
        <v/>
      </c>
      <c r="S166" s="42">
        <f>IF(OR(Q166="",P166="",P166=0,Q166=0),"",Q166/P166-1)</f>
        <v/>
      </c>
      <c r="T166" s="43">
        <f>IF(OR(P166="",E166="",E166=0),"",P166/E166)</f>
        <v/>
      </c>
      <c r="U166" s="43">
        <f>IF(OR(Q166="",F166="",F166=0),"",Q166/F166)</f>
        <v/>
      </c>
      <c r="V166" s="44">
        <f>IF(OR(U166="",T166=""),"",(U166-T166)*100)</f>
        <v/>
      </c>
      <c r="W166" s="68" t="n">
        <v>91</v>
      </c>
      <c r="X166" s="68" t="n">
        <v>79</v>
      </c>
      <c r="Y166" s="69">
        <f>IF(OR(X166="",W166="",W166=0,X166=0),"",X166-W166)</f>
        <v/>
      </c>
      <c r="Z166" s="42">
        <f>IF(OR(X166="",W166="",W166=0,X166=0),"",X166/W166-1)</f>
        <v/>
      </c>
      <c r="AA166" s="43">
        <f>IF(OR(W166="",P166="",P166=0),"",W166/P166)</f>
        <v/>
      </c>
      <c r="AB166" s="43">
        <f>IF(OR(X166="",Q166="",Q166=0),"",X166/Q166)</f>
        <v/>
      </c>
      <c r="AC166" s="44">
        <f>IF(OR(AB166="",AA166=""),"",(AB166-AA166)*100)</f>
        <v/>
      </c>
      <c r="AD166" s="68" t="n">
        <v>90</v>
      </c>
      <c r="AE166" s="68" t="n">
        <v>69</v>
      </c>
      <c r="AF166" s="69">
        <f>IF(OR(AE166="",AD166="",AD166=0,AE166=0),"",AE166-AD166)</f>
        <v/>
      </c>
      <c r="AG166" s="42">
        <f>IF(OR(AE166="",AD166="",AD166=0,AE166=0),"",AE166/AD166-1)</f>
        <v/>
      </c>
      <c r="AH166" s="43">
        <f>IF(OR(AD166="",W166="",W166=0),"",AD166/W166)</f>
        <v/>
      </c>
      <c r="AI166" s="43">
        <f>IF(OR(AE166="",X166="",X166=0),"",AE166/X166)</f>
        <v/>
      </c>
      <c r="AJ166" s="44">
        <f>IF(OR(AI166="",AH166=""),"",(AI166-AH166)*100)</f>
        <v/>
      </c>
      <c r="AK166" s="68" t="n">
        <v>65</v>
      </c>
      <c r="AL166" s="68" t="n">
        <v>28</v>
      </c>
      <c r="AM166" s="69">
        <f>IF(OR(AL166="",AK166="",AK166=0,AL166=0),"",AL166-AK166)</f>
        <v/>
      </c>
      <c r="AN166" s="42">
        <f>IF(OR(AL166="",AK166="",AK166=0,AL166=0),"",AL166/AK166-1)</f>
        <v/>
      </c>
      <c r="AO166" s="43">
        <f>IF(OR(AK166="",AD166="",AD166=0),"",AK166/AD166)</f>
        <v/>
      </c>
      <c r="AP166" s="43">
        <f>IF(OR(AL166="",AE166="",AE166=0),"",AL166/AE166)</f>
        <v/>
      </c>
      <c r="AQ166" s="44">
        <f>IF(OR(AP166="",AO166=""),"",(AP166-AO166)*100)</f>
        <v/>
      </c>
      <c r="AR166" s="68" t="n">
        <v>57</v>
      </c>
      <c r="AS166" s="68" t="n">
        <v>25</v>
      </c>
      <c r="AT166" s="69">
        <f>IF(OR(AS166="",AR166="",AR166=0,AS166=0),"",AS166-AR166)</f>
        <v/>
      </c>
      <c r="AU166" s="42">
        <f>IF(OR(AS166="",AR166="",AR166=0,AS166=0),"",AS166/AR166-1)</f>
        <v/>
      </c>
      <c r="AV166" s="43">
        <f>IF(OR(AR166="",AK166="",AK166=0),"",AR166/AK166)</f>
        <v/>
      </c>
      <c r="AW166" s="43">
        <f>IF(OR(AS166="",AL166="",AL166=0),"",AS166/AL166)</f>
        <v/>
      </c>
      <c r="AX166" s="44">
        <f>IF(OR(AW166="",AV166=""),"",(AW166-AV166)*100)</f>
        <v/>
      </c>
      <c r="AY166" s="45">
        <f>IF(OR(AR166="",P166="",P166=0),"",AR166/P166)</f>
        <v/>
      </c>
      <c r="AZ166" s="45">
        <f>IF(OR(AS166="",Q166="",Q166=0),"",AS166/Q166)</f>
        <v/>
      </c>
      <c r="BA166" s="44">
        <f>IF(OR(AZ166="",AY166=""),"",(AZ166-AY166)*100)</f>
        <v/>
      </c>
      <c r="BB166" s="45">
        <f>IF(OR(AR166="",E166="",E166=0),"",AR166/E166)</f>
        <v/>
      </c>
      <c r="BC166" s="45">
        <f>IF(OR(AS166="",F166="",F166=0),"",AS166/F166)</f>
        <v/>
      </c>
      <c r="BD166" s="44">
        <f>IF(OR(BC166="",BB166=""),"",(BC166-BB166)*100)</f>
        <v/>
      </c>
      <c r="BE166" s="40">
        <f>IF(AND(F166&lt;&gt;"",E166&lt;&gt;""),"Both years",IF(F166&lt;&gt;"","1-23Aug26 rows only","1-23Aug25 rows only"))</f>
        <v/>
      </c>
    </row>
    <row r="167">
      <c r="A167" s="56" t="inlineStr">
        <is>
          <t>Home page</t>
        </is>
      </c>
      <c r="B167" s="56" t="inlineStr">
        <is>
          <t>Organic</t>
        </is>
      </c>
      <c r="C167" s="56" t="inlineStr">
        <is>
          <t>Desktop</t>
        </is>
      </c>
      <c r="D167" s="56" t="inlineStr">
        <is>
          <t>Spain</t>
        </is>
      </c>
      <c r="E167" s="68" t="n">
        <v>415</v>
      </c>
      <c r="F167" s="68" t="n">
        <v>330</v>
      </c>
      <c r="G167" s="69">
        <f>IF(OR(F167="",E167="",E167=0,F167=0),"",F167-E167)</f>
        <v/>
      </c>
      <c r="H167" s="42">
        <f>IF(OR(F167="",E167="",E167=0,F167=0),"",F167/E167-1)</f>
        <v/>
      </c>
      <c r="I167" s="68" t="n">
        <v>202</v>
      </c>
      <c r="J167" s="68" t="n">
        <v>121</v>
      </c>
      <c r="K167" s="69">
        <f>IF(OR(J167="",I167="",I167=0,J167=0),"",J167-I167)</f>
        <v/>
      </c>
      <c r="L167" s="42">
        <f>IF(OR(J167="",I167="",I167=0,J167=0),"",J167/I167-1)</f>
        <v/>
      </c>
      <c r="M167" s="43">
        <f>IF(OR(I167="",E167="",E167=0),"",I167/E167)</f>
        <v/>
      </c>
      <c r="N167" s="43">
        <f>IF(OR(J167="",F167="",F167=0),"",J167/F167)</f>
        <v/>
      </c>
      <c r="O167" s="44">
        <f>IF(OR(N167="",M167=""),"",(N167-M167)*100)</f>
        <v/>
      </c>
      <c r="P167" s="68" t="n">
        <v>184</v>
      </c>
      <c r="Q167" s="68" t="n">
        <v>96</v>
      </c>
      <c r="R167" s="69">
        <f>IF(OR(Q167="",P167="",P167=0,Q167=0),"",Q167-P167)</f>
        <v/>
      </c>
      <c r="S167" s="42">
        <f>IF(OR(Q167="",P167="",P167=0,Q167=0),"",Q167/P167-1)</f>
        <v/>
      </c>
      <c r="T167" s="43">
        <f>IF(OR(P167="",E167="",E167=0),"",P167/E167)</f>
        <v/>
      </c>
      <c r="U167" s="43">
        <f>IF(OR(Q167="",F167="",F167=0),"",Q167/F167)</f>
        <v/>
      </c>
      <c r="V167" s="44">
        <f>IF(OR(U167="",T167=""),"",(U167-T167)*100)</f>
        <v/>
      </c>
      <c r="W167" s="68" t="n">
        <v>70</v>
      </c>
      <c r="X167" s="68" t="n">
        <v>34</v>
      </c>
      <c r="Y167" s="69">
        <f>IF(OR(X167="",W167="",W167=0,X167=0),"",X167-W167)</f>
        <v/>
      </c>
      <c r="Z167" s="42">
        <f>IF(OR(X167="",W167="",W167=0,X167=0),"",X167/W167-1)</f>
        <v/>
      </c>
      <c r="AA167" s="43">
        <f>IF(OR(W167="",P167="",P167=0),"",W167/P167)</f>
        <v/>
      </c>
      <c r="AB167" s="43">
        <f>IF(OR(X167="",Q167="",Q167=0),"",X167/Q167)</f>
        <v/>
      </c>
      <c r="AC167" s="44">
        <f>IF(OR(AB167="",AA167=""),"",(AB167-AA167)*100)</f>
        <v/>
      </c>
      <c r="AD167" s="68" t="n">
        <v>58</v>
      </c>
      <c r="AE167" s="68" t="n">
        <v>29</v>
      </c>
      <c r="AF167" s="69">
        <f>IF(OR(AE167="",AD167="",AD167=0,AE167=0),"",AE167-AD167)</f>
        <v/>
      </c>
      <c r="AG167" s="42">
        <f>IF(OR(AE167="",AD167="",AD167=0,AE167=0),"",AE167/AD167-1)</f>
        <v/>
      </c>
      <c r="AH167" s="43">
        <f>IF(OR(AD167="",W167="",W167=0),"",AD167/W167)</f>
        <v/>
      </c>
      <c r="AI167" s="43">
        <f>IF(OR(AE167="",X167="",X167=0),"",AE167/X167)</f>
        <v/>
      </c>
      <c r="AJ167" s="44">
        <f>IF(OR(AI167="",AH167=""),"",(AI167-AH167)*100)</f>
        <v/>
      </c>
      <c r="AK167" s="68" t="n">
        <v>36</v>
      </c>
      <c r="AL167" s="68" t="n">
        <v>11</v>
      </c>
      <c r="AM167" s="69">
        <f>IF(OR(AL167="",AK167="",AK167=0,AL167=0),"",AL167-AK167)</f>
        <v/>
      </c>
      <c r="AN167" s="42">
        <f>IF(OR(AL167="",AK167="",AK167=0,AL167=0),"",AL167/AK167-1)</f>
        <v/>
      </c>
      <c r="AO167" s="43">
        <f>IF(OR(AK167="",AD167="",AD167=0),"",AK167/AD167)</f>
        <v/>
      </c>
      <c r="AP167" s="43">
        <f>IF(OR(AL167="",AE167="",AE167=0),"",AL167/AE167)</f>
        <v/>
      </c>
      <c r="AQ167" s="44">
        <f>IF(OR(AP167="",AO167=""),"",(AP167-AO167)*100)</f>
        <v/>
      </c>
      <c r="AR167" s="68" t="n">
        <v>28</v>
      </c>
      <c r="AS167" s="68" t="n">
        <v>7</v>
      </c>
      <c r="AT167" s="69">
        <f>IF(OR(AS167="",AR167="",AR167=0,AS167=0),"",AS167-AR167)</f>
        <v/>
      </c>
      <c r="AU167" s="42">
        <f>IF(OR(AS167="",AR167="",AR167=0,AS167=0),"",AS167/AR167-1)</f>
        <v/>
      </c>
      <c r="AV167" s="43">
        <f>IF(OR(AR167="",AK167="",AK167=0),"",AR167/AK167)</f>
        <v/>
      </c>
      <c r="AW167" s="43">
        <f>IF(OR(AS167="",AL167="",AL167=0),"",AS167/AL167)</f>
        <v/>
      </c>
      <c r="AX167" s="44">
        <f>IF(OR(AW167="",AV167=""),"",(AW167-AV167)*100)</f>
        <v/>
      </c>
      <c r="AY167" s="45">
        <f>IF(OR(AR167="",P167="",P167=0),"",AR167/P167)</f>
        <v/>
      </c>
      <c r="AZ167" s="45">
        <f>IF(OR(AS167="",Q167="",Q167=0),"",AS167/Q167)</f>
        <v/>
      </c>
      <c r="BA167" s="44">
        <f>IF(OR(AZ167="",AY167=""),"",(AZ167-AY167)*100)</f>
        <v/>
      </c>
      <c r="BB167" s="45">
        <f>IF(OR(AR167="",E167="",E167=0),"",AR167/E167)</f>
        <v/>
      </c>
      <c r="BC167" s="45">
        <f>IF(OR(AS167="",F167="",F167=0),"",AS167/F167)</f>
        <v/>
      </c>
      <c r="BD167" s="44">
        <f>IF(OR(BC167="",BB167=""),"",(BC167-BB167)*100)</f>
        <v/>
      </c>
      <c r="BE167" s="40">
        <f>IF(AND(F167&lt;&gt;"",E167&lt;&gt;""),"Both years",IF(F167&lt;&gt;"","1-23Aug26 rows only","1-23Aug25 rows only"))</f>
        <v/>
      </c>
    </row>
    <row r="168">
      <c r="A168" s="40" t="inlineStr">
        <is>
          <t>Home page</t>
        </is>
      </c>
      <c r="B168" s="40" t="inlineStr">
        <is>
          <t>Organic</t>
        </is>
      </c>
      <c r="C168" s="40" t="inlineStr">
        <is>
          <t>Desktop</t>
        </is>
      </c>
      <c r="D168" s="40" t="inlineStr">
        <is>
          <t>Netherlands</t>
        </is>
      </c>
      <c r="E168" s="68" t="n">
        <v>206</v>
      </c>
      <c r="F168" s="68" t="n">
        <v>273</v>
      </c>
      <c r="G168" s="69">
        <f>IF(OR(F168="",E168="",E168=0,F168=0),"",F168-E168)</f>
        <v/>
      </c>
      <c r="H168" s="42">
        <f>IF(OR(F168="",E168="",E168=0,F168=0),"",F168/E168-1)</f>
        <v/>
      </c>
      <c r="I168" s="68" t="n">
        <v>123</v>
      </c>
      <c r="J168" s="68" t="n">
        <v>143</v>
      </c>
      <c r="K168" s="69">
        <f>IF(OR(J168="",I168="",I168=0,J168=0),"",J168-I168)</f>
        <v/>
      </c>
      <c r="L168" s="42">
        <f>IF(OR(J168="",I168="",I168=0,J168=0),"",J168/I168-1)</f>
        <v/>
      </c>
      <c r="M168" s="43">
        <f>IF(OR(I168="",E168="",E168=0),"",I168/E168)</f>
        <v/>
      </c>
      <c r="N168" s="43">
        <f>IF(OR(J168="",F168="",F168=0),"",J168/F168)</f>
        <v/>
      </c>
      <c r="O168" s="44">
        <f>IF(OR(N168="",M168=""),"",(N168-M168)*100)</f>
        <v/>
      </c>
      <c r="P168" s="68" t="n">
        <v>116</v>
      </c>
      <c r="Q168" s="68" t="n">
        <v>109</v>
      </c>
      <c r="R168" s="69">
        <f>IF(OR(Q168="",P168="",P168=0,Q168=0),"",Q168-P168)</f>
        <v/>
      </c>
      <c r="S168" s="42">
        <f>IF(OR(Q168="",P168="",P168=0,Q168=0),"",Q168/P168-1)</f>
        <v/>
      </c>
      <c r="T168" s="43">
        <f>IF(OR(P168="",E168="",E168=0),"",P168/E168)</f>
        <v/>
      </c>
      <c r="U168" s="43">
        <f>IF(OR(Q168="",F168="",F168=0),"",Q168/F168)</f>
        <v/>
      </c>
      <c r="V168" s="44">
        <f>IF(OR(U168="",T168=""),"",(U168-T168)*100)</f>
        <v/>
      </c>
      <c r="W168" s="68" t="n">
        <v>54</v>
      </c>
      <c r="X168" s="68" t="n">
        <v>31</v>
      </c>
      <c r="Y168" s="69">
        <f>IF(OR(X168="",W168="",W168=0,X168=0),"",X168-W168)</f>
        <v/>
      </c>
      <c r="Z168" s="42">
        <f>IF(OR(X168="",W168="",W168=0,X168=0),"",X168/W168-1)</f>
        <v/>
      </c>
      <c r="AA168" s="43">
        <f>IF(OR(W168="",P168="",P168=0),"",W168/P168)</f>
        <v/>
      </c>
      <c r="AB168" s="43">
        <f>IF(OR(X168="",Q168="",Q168=0),"",X168/Q168)</f>
        <v/>
      </c>
      <c r="AC168" s="44">
        <f>IF(OR(AB168="",AA168=""),"",(AB168-AA168)*100)</f>
        <v/>
      </c>
      <c r="AD168" s="68" t="n">
        <v>47</v>
      </c>
      <c r="AE168" s="68" t="n">
        <v>29</v>
      </c>
      <c r="AF168" s="69">
        <f>IF(OR(AE168="",AD168="",AD168=0,AE168=0),"",AE168-AD168)</f>
        <v/>
      </c>
      <c r="AG168" s="42">
        <f>IF(OR(AE168="",AD168="",AD168=0,AE168=0),"",AE168/AD168-1)</f>
        <v/>
      </c>
      <c r="AH168" s="43">
        <f>IF(OR(AD168="",W168="",W168=0),"",AD168/W168)</f>
        <v/>
      </c>
      <c r="AI168" s="43">
        <f>IF(OR(AE168="",X168="",X168=0),"",AE168/X168)</f>
        <v/>
      </c>
      <c r="AJ168" s="44">
        <f>IF(OR(AI168="",AH168=""),"",(AI168-AH168)*100)</f>
        <v/>
      </c>
      <c r="AK168" s="68" t="n">
        <v>34</v>
      </c>
      <c r="AL168" s="68" t="n">
        <v>16</v>
      </c>
      <c r="AM168" s="69">
        <f>IF(OR(AL168="",AK168="",AK168=0,AL168=0),"",AL168-AK168)</f>
        <v/>
      </c>
      <c r="AN168" s="42">
        <f>IF(OR(AL168="",AK168="",AK168=0,AL168=0),"",AL168/AK168-1)</f>
        <v/>
      </c>
      <c r="AO168" s="43">
        <f>IF(OR(AK168="",AD168="",AD168=0),"",AK168/AD168)</f>
        <v/>
      </c>
      <c r="AP168" s="43">
        <f>IF(OR(AL168="",AE168="",AE168=0),"",AL168/AE168)</f>
        <v/>
      </c>
      <c r="AQ168" s="44">
        <f>IF(OR(AP168="",AO168=""),"",(AP168-AO168)*100)</f>
        <v/>
      </c>
      <c r="AR168" s="68" t="n">
        <v>21</v>
      </c>
      <c r="AS168" s="68" t="n">
        <v>8</v>
      </c>
      <c r="AT168" s="69">
        <f>IF(OR(AS168="",AR168="",AR168=0,AS168=0),"",AS168-AR168)</f>
        <v/>
      </c>
      <c r="AU168" s="42">
        <f>IF(OR(AS168="",AR168="",AR168=0,AS168=0),"",AS168/AR168-1)</f>
        <v/>
      </c>
      <c r="AV168" s="43">
        <f>IF(OR(AR168="",AK168="",AK168=0),"",AR168/AK168)</f>
        <v/>
      </c>
      <c r="AW168" s="43">
        <f>IF(OR(AS168="",AL168="",AL168=0),"",AS168/AL168)</f>
        <v/>
      </c>
      <c r="AX168" s="44">
        <f>IF(OR(AW168="",AV168=""),"",(AW168-AV168)*100)</f>
        <v/>
      </c>
      <c r="AY168" s="45">
        <f>IF(OR(AR168="",P168="",P168=0),"",AR168/P168)</f>
        <v/>
      </c>
      <c r="AZ168" s="45">
        <f>IF(OR(AS168="",Q168="",Q168=0),"",AS168/Q168)</f>
        <v/>
      </c>
      <c r="BA168" s="44">
        <f>IF(OR(AZ168="",AY168=""),"",(AZ168-AY168)*100)</f>
        <v/>
      </c>
      <c r="BB168" s="45">
        <f>IF(OR(AR168="",E168="",E168=0),"",AR168/E168)</f>
        <v/>
      </c>
      <c r="BC168" s="45">
        <f>IF(OR(AS168="",F168="",F168=0),"",AS168/F168)</f>
        <v/>
      </c>
      <c r="BD168" s="44">
        <f>IF(OR(BC168="",BB168=""),"",(BC168-BB168)*100)</f>
        <v/>
      </c>
      <c r="BE168" s="40">
        <f>IF(AND(F168&lt;&gt;"",E168&lt;&gt;""),"Both years",IF(F168&lt;&gt;"","1-23Aug26 rows only","1-23Aug25 rows only"))</f>
        <v/>
      </c>
    </row>
    <row r="169">
      <c r="A169" s="56" t="inlineStr">
        <is>
          <t>Home page</t>
        </is>
      </c>
      <c r="B169" s="56" t="inlineStr">
        <is>
          <t>Organic</t>
        </is>
      </c>
      <c r="C169" s="56" t="inlineStr">
        <is>
          <t>Desktop</t>
        </is>
      </c>
      <c r="D169" s="56" t="inlineStr">
        <is>
          <t>Ukraine</t>
        </is>
      </c>
      <c r="E169" s="68" t="n">
        <v>175</v>
      </c>
      <c r="F169" s="68" t="n">
        <v>267</v>
      </c>
      <c r="G169" s="69">
        <f>IF(OR(F169="",E169="",E169=0,F169=0),"",F169-E169)</f>
        <v/>
      </c>
      <c r="H169" s="42">
        <f>IF(OR(F169="",E169="",E169=0,F169=0),"",F169/E169-1)</f>
        <v/>
      </c>
      <c r="I169" s="70" t="n"/>
      <c r="J169" s="70" t="n"/>
      <c r="K169" s="69">
        <f>IF(OR(J169="",I169="",I169=0,J169=0),"",J169-I169)</f>
        <v/>
      </c>
      <c r="L169" s="42">
        <f>IF(OR(J169="",I169="",I169=0,J169=0),"",J169/I169-1)</f>
        <v/>
      </c>
      <c r="M169" s="43">
        <f>IF(OR(I169="",E169="",E169=0),"",I169/E169)</f>
        <v/>
      </c>
      <c r="N169" s="43">
        <f>IF(OR(J169="",F169="",F169=0),"",J169/F169)</f>
        <v/>
      </c>
      <c r="O169" s="44">
        <f>IF(OR(N169="",M169=""),"",(N169-M169)*100)</f>
        <v/>
      </c>
      <c r="P169" s="68" t="n">
        <v>94</v>
      </c>
      <c r="Q169" s="68" t="n">
        <v>164</v>
      </c>
      <c r="R169" s="69">
        <f>IF(OR(Q169="",P169="",P169=0,Q169=0),"",Q169-P169)</f>
        <v/>
      </c>
      <c r="S169" s="42">
        <f>IF(OR(Q169="",P169="",P169=0,Q169=0),"",Q169/P169-1)</f>
        <v/>
      </c>
      <c r="T169" s="43">
        <f>IF(OR(P169="",E169="",E169=0),"",P169/E169)</f>
        <v/>
      </c>
      <c r="U169" s="43">
        <f>IF(OR(Q169="",F169="",F169=0),"",Q169/F169)</f>
        <v/>
      </c>
      <c r="V169" s="44">
        <f>IF(OR(U169="",T169=""),"",(U169-T169)*100)</f>
        <v/>
      </c>
      <c r="W169" s="70" t="n"/>
      <c r="X169" s="70" t="n"/>
      <c r="Y169" s="69">
        <f>IF(OR(X169="",W169="",W169=0,X169=0),"",X169-W169)</f>
        <v/>
      </c>
      <c r="Z169" s="42">
        <f>IF(OR(X169="",W169="",W169=0,X169=0),"",X169/W169-1)</f>
        <v/>
      </c>
      <c r="AA169" s="43">
        <f>IF(OR(W169="",P169="",P169=0),"",W169/P169)</f>
        <v/>
      </c>
      <c r="AB169" s="43">
        <f>IF(OR(X169="",Q169="",Q169=0),"",X169/Q169)</f>
        <v/>
      </c>
      <c r="AC169" s="44">
        <f>IF(OR(AB169="",AA169=""),"",(AB169-AA169)*100)</f>
        <v/>
      </c>
      <c r="AD169" s="70" t="n"/>
      <c r="AE169" s="70" t="n"/>
      <c r="AF169" s="69">
        <f>IF(OR(AE169="",AD169="",AD169=0,AE169=0),"",AE169-AD169)</f>
        <v/>
      </c>
      <c r="AG169" s="42">
        <f>IF(OR(AE169="",AD169="",AD169=0,AE169=0),"",AE169/AD169-1)</f>
        <v/>
      </c>
      <c r="AH169" s="43">
        <f>IF(OR(AD169="",W169="",W169=0),"",AD169/W169)</f>
        <v/>
      </c>
      <c r="AI169" s="43">
        <f>IF(OR(AE169="",X169="",X169=0),"",AE169/X169)</f>
        <v/>
      </c>
      <c r="AJ169" s="44">
        <f>IF(OR(AI169="",AH169=""),"",(AI169-AH169)*100)</f>
        <v/>
      </c>
      <c r="AK169" s="70" t="n"/>
      <c r="AL169" s="70" t="n"/>
      <c r="AM169" s="69">
        <f>IF(OR(AL169="",AK169="",AK169=0,AL169=0),"",AL169-AK169)</f>
        <v/>
      </c>
      <c r="AN169" s="42">
        <f>IF(OR(AL169="",AK169="",AK169=0,AL169=0),"",AL169/AK169-1)</f>
        <v/>
      </c>
      <c r="AO169" s="43">
        <f>IF(OR(AK169="",AD169="",AD169=0),"",AK169/AD169)</f>
        <v/>
      </c>
      <c r="AP169" s="43">
        <f>IF(OR(AL169="",AE169="",AE169=0),"",AL169/AE169)</f>
        <v/>
      </c>
      <c r="AQ169" s="44">
        <f>IF(OR(AP169="",AO169=""),"",(AP169-AO169)*100)</f>
        <v/>
      </c>
      <c r="AR169" s="70" t="n"/>
      <c r="AS169" s="70" t="n"/>
      <c r="AT169" s="69">
        <f>IF(OR(AS169="",AR169="",AR169=0,AS169=0),"",AS169-AR169)</f>
        <v/>
      </c>
      <c r="AU169" s="42">
        <f>IF(OR(AS169="",AR169="",AR169=0,AS169=0),"",AS169/AR169-1)</f>
        <v/>
      </c>
      <c r="AV169" s="43">
        <f>IF(OR(AR169="",AK169="",AK169=0),"",AR169/AK169)</f>
        <v/>
      </c>
      <c r="AW169" s="43">
        <f>IF(OR(AS169="",AL169="",AL169=0),"",AS169/AL169)</f>
        <v/>
      </c>
      <c r="AX169" s="44">
        <f>IF(OR(AW169="",AV169=""),"",(AW169-AV169)*100)</f>
        <v/>
      </c>
      <c r="AY169" s="45">
        <f>IF(OR(AR169="",P169="",P169=0),"",AR169/P169)</f>
        <v/>
      </c>
      <c r="AZ169" s="45">
        <f>IF(OR(AS169="",Q169="",Q169=0),"",AS169/Q169)</f>
        <v/>
      </c>
      <c r="BA169" s="44">
        <f>IF(OR(AZ169="",AY169=""),"",(AZ169-AY169)*100)</f>
        <v/>
      </c>
      <c r="BB169" s="45">
        <f>IF(OR(AR169="",E169="",E169=0),"",AR169/E169)</f>
        <v/>
      </c>
      <c r="BC169" s="45">
        <f>IF(OR(AS169="",F169="",F169=0),"",AS169/F169)</f>
        <v/>
      </c>
      <c r="BD169" s="44">
        <f>IF(OR(BC169="",BB169=""),"",(BC169-BB169)*100)</f>
        <v/>
      </c>
      <c r="BE169" s="40">
        <f>IF(AND(F169&lt;&gt;"",E169&lt;&gt;""),"Both years",IF(F169&lt;&gt;"","1-23Aug26 rows only","1-23Aug25 rows only"))</f>
        <v/>
      </c>
    </row>
    <row r="170">
      <c r="A170" s="40" t="inlineStr">
        <is>
          <t>Home page</t>
        </is>
      </c>
      <c r="B170" s="40" t="inlineStr">
        <is>
          <t>Organic</t>
        </is>
      </c>
      <c r="C170" s="40" t="inlineStr">
        <is>
          <t>Desktop</t>
        </is>
      </c>
      <c r="D170" s="40" t="inlineStr">
        <is>
          <t>Ireland</t>
        </is>
      </c>
      <c r="E170" s="68" t="n">
        <v>193</v>
      </c>
      <c r="F170" s="68" t="n">
        <v>201</v>
      </c>
      <c r="G170" s="69">
        <f>IF(OR(F170="",E170="",E170=0,F170=0),"",F170-E170)</f>
        <v/>
      </c>
      <c r="H170" s="42">
        <f>IF(OR(F170="",E170="",E170=0,F170=0),"",F170/E170-1)</f>
        <v/>
      </c>
      <c r="I170" s="68" t="n">
        <v>83</v>
      </c>
      <c r="J170" s="68" t="n">
        <v>81</v>
      </c>
      <c r="K170" s="69">
        <f>IF(OR(J170="",I170="",I170=0,J170=0),"",J170-I170)</f>
        <v/>
      </c>
      <c r="L170" s="42">
        <f>IF(OR(J170="",I170="",I170=0,J170=0),"",J170/I170-1)</f>
        <v/>
      </c>
      <c r="M170" s="43">
        <f>IF(OR(I170="",E170="",E170=0),"",I170/E170)</f>
        <v/>
      </c>
      <c r="N170" s="43">
        <f>IF(OR(J170="",F170="",F170=0),"",J170/F170)</f>
        <v/>
      </c>
      <c r="O170" s="44">
        <f>IF(OR(N170="",M170=""),"",(N170-M170)*100)</f>
        <v/>
      </c>
      <c r="P170" s="68" t="n">
        <v>89</v>
      </c>
      <c r="Q170" s="68" t="n">
        <v>54</v>
      </c>
      <c r="R170" s="69">
        <f>IF(OR(Q170="",P170="",P170=0,Q170=0),"",Q170-P170)</f>
        <v/>
      </c>
      <c r="S170" s="42">
        <f>IF(OR(Q170="",P170="",P170=0,Q170=0),"",Q170/P170-1)</f>
        <v/>
      </c>
      <c r="T170" s="43">
        <f>IF(OR(P170="",E170="",E170=0),"",P170/E170)</f>
        <v/>
      </c>
      <c r="U170" s="43">
        <f>IF(OR(Q170="",F170="",F170=0),"",Q170/F170)</f>
        <v/>
      </c>
      <c r="V170" s="44">
        <f>IF(OR(U170="",T170=""),"",(U170-T170)*100)</f>
        <v/>
      </c>
      <c r="W170" s="68" t="n">
        <v>35</v>
      </c>
      <c r="X170" s="68" t="n">
        <v>19</v>
      </c>
      <c r="Y170" s="69">
        <f>IF(OR(X170="",W170="",W170=0,X170=0),"",X170-W170)</f>
        <v/>
      </c>
      <c r="Z170" s="42">
        <f>IF(OR(X170="",W170="",W170=0,X170=0),"",X170/W170-1)</f>
        <v/>
      </c>
      <c r="AA170" s="43">
        <f>IF(OR(W170="",P170="",P170=0),"",W170/P170)</f>
        <v/>
      </c>
      <c r="AB170" s="43">
        <f>IF(OR(X170="",Q170="",Q170=0),"",X170/Q170)</f>
        <v/>
      </c>
      <c r="AC170" s="44">
        <f>IF(OR(AB170="",AA170=""),"",(AB170-AA170)*100)</f>
        <v/>
      </c>
      <c r="AD170" s="68" t="n">
        <v>31</v>
      </c>
      <c r="AE170" s="68" t="n">
        <v>15</v>
      </c>
      <c r="AF170" s="69">
        <f>IF(OR(AE170="",AD170="",AD170=0,AE170=0),"",AE170-AD170)</f>
        <v/>
      </c>
      <c r="AG170" s="42">
        <f>IF(OR(AE170="",AD170="",AD170=0,AE170=0),"",AE170/AD170-1)</f>
        <v/>
      </c>
      <c r="AH170" s="43">
        <f>IF(OR(AD170="",W170="",W170=0),"",AD170/W170)</f>
        <v/>
      </c>
      <c r="AI170" s="43">
        <f>IF(OR(AE170="",X170="",X170=0),"",AE170/X170)</f>
        <v/>
      </c>
      <c r="AJ170" s="44">
        <f>IF(OR(AI170="",AH170=""),"",(AI170-AH170)*100)</f>
        <v/>
      </c>
      <c r="AK170" s="68" t="n">
        <v>23</v>
      </c>
      <c r="AL170" s="68" t="n">
        <v>10</v>
      </c>
      <c r="AM170" s="69">
        <f>IF(OR(AL170="",AK170="",AK170=0,AL170=0),"",AL170-AK170)</f>
        <v/>
      </c>
      <c r="AN170" s="42">
        <f>IF(OR(AL170="",AK170="",AK170=0,AL170=0),"",AL170/AK170-1)</f>
        <v/>
      </c>
      <c r="AO170" s="43">
        <f>IF(OR(AK170="",AD170="",AD170=0),"",AK170/AD170)</f>
        <v/>
      </c>
      <c r="AP170" s="43">
        <f>IF(OR(AL170="",AE170="",AE170=0),"",AL170/AE170)</f>
        <v/>
      </c>
      <c r="AQ170" s="44">
        <f>IF(OR(AP170="",AO170=""),"",(AP170-AO170)*100)</f>
        <v/>
      </c>
      <c r="AR170" s="68" t="n">
        <v>19</v>
      </c>
      <c r="AS170" s="68" t="n">
        <v>7</v>
      </c>
      <c r="AT170" s="69">
        <f>IF(OR(AS170="",AR170="",AR170=0,AS170=0),"",AS170-AR170)</f>
        <v/>
      </c>
      <c r="AU170" s="42">
        <f>IF(OR(AS170="",AR170="",AR170=0,AS170=0),"",AS170/AR170-1)</f>
        <v/>
      </c>
      <c r="AV170" s="43">
        <f>IF(OR(AR170="",AK170="",AK170=0),"",AR170/AK170)</f>
        <v/>
      </c>
      <c r="AW170" s="43">
        <f>IF(OR(AS170="",AL170="",AL170=0),"",AS170/AL170)</f>
        <v/>
      </c>
      <c r="AX170" s="44">
        <f>IF(OR(AW170="",AV170=""),"",(AW170-AV170)*100)</f>
        <v/>
      </c>
      <c r="AY170" s="45">
        <f>IF(OR(AR170="",P170="",P170=0),"",AR170/P170)</f>
        <v/>
      </c>
      <c r="AZ170" s="45">
        <f>IF(OR(AS170="",Q170="",Q170=0),"",AS170/Q170)</f>
        <v/>
      </c>
      <c r="BA170" s="44">
        <f>IF(OR(AZ170="",AY170=""),"",(AZ170-AY170)*100)</f>
        <v/>
      </c>
      <c r="BB170" s="45">
        <f>IF(OR(AR170="",E170="",E170=0),"",AR170/E170)</f>
        <v/>
      </c>
      <c r="BC170" s="45">
        <f>IF(OR(AS170="",F170="",F170=0),"",AS170/F170)</f>
        <v/>
      </c>
      <c r="BD170" s="44">
        <f>IF(OR(BC170="",BB170=""),"",(BC170-BB170)*100)</f>
        <v/>
      </c>
      <c r="BE170" s="40">
        <f>IF(AND(F170&lt;&gt;"",E170&lt;&gt;""),"Both years",IF(F170&lt;&gt;"","1-23Aug26 rows only","1-23Aug25 rows only"))</f>
        <v/>
      </c>
    </row>
    <row r="171">
      <c r="A171" s="56" t="inlineStr">
        <is>
          <t>Home page</t>
        </is>
      </c>
      <c r="B171" s="56" t="inlineStr">
        <is>
          <t>Organic</t>
        </is>
      </c>
      <c r="C171" s="56" t="inlineStr">
        <is>
          <t>Desktop</t>
        </is>
      </c>
      <c r="D171" s="56" t="inlineStr">
        <is>
          <t>United States</t>
        </is>
      </c>
      <c r="E171" s="68" t="n">
        <v>311</v>
      </c>
      <c r="F171" s="68" t="n">
        <v>194</v>
      </c>
      <c r="G171" s="69">
        <f>IF(OR(F171="",E171="",E171=0,F171=0),"",F171-E171)</f>
        <v/>
      </c>
      <c r="H171" s="42">
        <f>IF(OR(F171="",E171="",E171=0,F171=0),"",F171/E171-1)</f>
        <v/>
      </c>
      <c r="I171" s="68" t="n">
        <v>154</v>
      </c>
      <c r="J171" s="68" t="n">
        <v>95</v>
      </c>
      <c r="K171" s="69">
        <f>IF(OR(J171="",I171="",I171=0,J171=0),"",J171-I171)</f>
        <v/>
      </c>
      <c r="L171" s="42">
        <f>IF(OR(J171="",I171="",I171=0,J171=0),"",J171/I171-1)</f>
        <v/>
      </c>
      <c r="M171" s="43">
        <f>IF(OR(I171="",E171="",E171=0),"",I171/E171)</f>
        <v/>
      </c>
      <c r="N171" s="43">
        <f>IF(OR(J171="",F171="",F171=0),"",J171/F171)</f>
        <v/>
      </c>
      <c r="O171" s="44">
        <f>IF(OR(N171="",M171=""),"",(N171-M171)*100)</f>
        <v/>
      </c>
      <c r="P171" s="68" t="n">
        <v>142</v>
      </c>
      <c r="Q171" s="68" t="n">
        <v>90</v>
      </c>
      <c r="R171" s="69">
        <f>IF(OR(Q171="",P171="",P171=0,Q171=0),"",Q171-P171)</f>
        <v/>
      </c>
      <c r="S171" s="42">
        <f>IF(OR(Q171="",P171="",P171=0,Q171=0),"",Q171/P171-1)</f>
        <v/>
      </c>
      <c r="T171" s="43">
        <f>IF(OR(P171="",E171="",E171=0),"",P171/E171)</f>
        <v/>
      </c>
      <c r="U171" s="43">
        <f>IF(OR(Q171="",F171="",F171=0),"",Q171/F171)</f>
        <v/>
      </c>
      <c r="V171" s="44">
        <f>IF(OR(U171="",T171=""),"",(U171-T171)*100)</f>
        <v/>
      </c>
      <c r="W171" s="68" t="n">
        <v>86</v>
      </c>
      <c r="X171" s="68" t="n">
        <v>31</v>
      </c>
      <c r="Y171" s="69">
        <f>IF(OR(X171="",W171="",W171=0,X171=0),"",X171-W171)</f>
        <v/>
      </c>
      <c r="Z171" s="42">
        <f>IF(OR(X171="",W171="",W171=0,X171=0),"",X171/W171-1)</f>
        <v/>
      </c>
      <c r="AA171" s="43">
        <f>IF(OR(W171="",P171="",P171=0),"",W171/P171)</f>
        <v/>
      </c>
      <c r="AB171" s="43">
        <f>IF(OR(X171="",Q171="",Q171=0),"",X171/Q171)</f>
        <v/>
      </c>
      <c r="AC171" s="44">
        <f>IF(OR(AB171="",AA171=""),"",(AB171-AA171)*100)</f>
        <v/>
      </c>
      <c r="AD171" s="68" t="n">
        <v>80</v>
      </c>
      <c r="AE171" s="68" t="n">
        <v>25</v>
      </c>
      <c r="AF171" s="69">
        <f>IF(OR(AE171="",AD171="",AD171=0,AE171=0),"",AE171-AD171)</f>
        <v/>
      </c>
      <c r="AG171" s="42">
        <f>IF(OR(AE171="",AD171="",AD171=0,AE171=0),"",AE171/AD171-1)</f>
        <v/>
      </c>
      <c r="AH171" s="43">
        <f>IF(OR(AD171="",W171="",W171=0),"",AD171/W171)</f>
        <v/>
      </c>
      <c r="AI171" s="43">
        <f>IF(OR(AE171="",X171="",X171=0),"",AE171/X171)</f>
        <v/>
      </c>
      <c r="AJ171" s="44">
        <f>IF(OR(AI171="",AH171=""),"",(AI171-AH171)*100)</f>
        <v/>
      </c>
      <c r="AK171" s="68" t="n">
        <v>61</v>
      </c>
      <c r="AL171" s="68" t="n">
        <v>11</v>
      </c>
      <c r="AM171" s="69">
        <f>IF(OR(AL171="",AK171="",AK171=0,AL171=0),"",AL171-AK171)</f>
        <v/>
      </c>
      <c r="AN171" s="42">
        <f>IF(OR(AL171="",AK171="",AK171=0,AL171=0),"",AL171/AK171-1)</f>
        <v/>
      </c>
      <c r="AO171" s="43">
        <f>IF(OR(AK171="",AD171="",AD171=0),"",AK171/AD171)</f>
        <v/>
      </c>
      <c r="AP171" s="43">
        <f>IF(OR(AL171="",AE171="",AE171=0),"",AL171/AE171)</f>
        <v/>
      </c>
      <c r="AQ171" s="44">
        <f>IF(OR(AP171="",AO171=""),"",(AP171-AO171)*100)</f>
        <v/>
      </c>
      <c r="AR171" s="68" t="n">
        <v>54</v>
      </c>
      <c r="AS171" s="68" t="n">
        <v>11</v>
      </c>
      <c r="AT171" s="69">
        <f>IF(OR(AS171="",AR171="",AR171=0,AS171=0),"",AS171-AR171)</f>
        <v/>
      </c>
      <c r="AU171" s="42">
        <f>IF(OR(AS171="",AR171="",AR171=0,AS171=0),"",AS171/AR171-1)</f>
        <v/>
      </c>
      <c r="AV171" s="43">
        <f>IF(OR(AR171="",AK171="",AK171=0),"",AR171/AK171)</f>
        <v/>
      </c>
      <c r="AW171" s="43">
        <f>IF(OR(AS171="",AL171="",AL171=0),"",AS171/AL171)</f>
        <v/>
      </c>
      <c r="AX171" s="44">
        <f>IF(OR(AW171="",AV171=""),"",(AW171-AV171)*100)</f>
        <v/>
      </c>
      <c r="AY171" s="45">
        <f>IF(OR(AR171="",P171="",P171=0),"",AR171/P171)</f>
        <v/>
      </c>
      <c r="AZ171" s="45">
        <f>IF(OR(AS171="",Q171="",Q171=0),"",AS171/Q171)</f>
        <v/>
      </c>
      <c r="BA171" s="44">
        <f>IF(OR(AZ171="",AY171=""),"",(AZ171-AY171)*100)</f>
        <v/>
      </c>
      <c r="BB171" s="45">
        <f>IF(OR(AR171="",E171="",E171=0),"",AR171/E171)</f>
        <v/>
      </c>
      <c r="BC171" s="45">
        <f>IF(OR(AS171="",F171="",F171=0),"",AS171/F171)</f>
        <v/>
      </c>
      <c r="BD171" s="44">
        <f>IF(OR(BC171="",BB171=""),"",(BC171-BB171)*100)</f>
        <v/>
      </c>
      <c r="BE171" s="40">
        <f>IF(AND(F171&lt;&gt;"",E171&lt;&gt;""),"Both years",IF(F171&lt;&gt;"","1-23Aug26 rows only","1-23Aug25 rows only"))</f>
        <v/>
      </c>
    </row>
    <row r="172">
      <c r="A172" s="40" t="inlineStr">
        <is>
          <t>Home page</t>
        </is>
      </c>
      <c r="B172" s="40" t="inlineStr">
        <is>
          <t>Organic</t>
        </is>
      </c>
      <c r="C172" s="40" t="inlineStr">
        <is>
          <t>Desktop</t>
        </is>
      </c>
      <c r="D172" s="40" t="inlineStr">
        <is>
          <t>Belgium</t>
        </is>
      </c>
      <c r="E172" s="68" t="n">
        <v>194</v>
      </c>
      <c r="F172" s="68" t="n">
        <v>186</v>
      </c>
      <c r="G172" s="69">
        <f>IF(OR(F172="",E172="",E172=0,F172=0),"",F172-E172)</f>
        <v/>
      </c>
      <c r="H172" s="42">
        <f>IF(OR(F172="",E172="",E172=0,F172=0),"",F172/E172-1)</f>
        <v/>
      </c>
      <c r="I172" s="68" t="n">
        <v>117</v>
      </c>
      <c r="J172" s="68" t="n">
        <v>110</v>
      </c>
      <c r="K172" s="69">
        <f>IF(OR(J172="",I172="",I172=0,J172=0),"",J172-I172)</f>
        <v/>
      </c>
      <c r="L172" s="42">
        <f>IF(OR(J172="",I172="",I172=0,J172=0),"",J172/I172-1)</f>
        <v/>
      </c>
      <c r="M172" s="43">
        <f>IF(OR(I172="",E172="",E172=0),"",I172/E172)</f>
        <v/>
      </c>
      <c r="N172" s="43">
        <f>IF(OR(J172="",F172="",F172=0),"",J172/F172)</f>
        <v/>
      </c>
      <c r="O172" s="44">
        <f>IF(OR(N172="",M172=""),"",(N172-M172)*100)</f>
        <v/>
      </c>
      <c r="P172" s="68" t="n">
        <v>113</v>
      </c>
      <c r="Q172" s="68" t="n">
        <v>89</v>
      </c>
      <c r="R172" s="69">
        <f>IF(OR(Q172="",P172="",P172=0,Q172=0),"",Q172-P172)</f>
        <v/>
      </c>
      <c r="S172" s="42">
        <f>IF(OR(Q172="",P172="",P172=0,Q172=0),"",Q172/P172-1)</f>
        <v/>
      </c>
      <c r="T172" s="43">
        <f>IF(OR(P172="",E172="",E172=0),"",P172/E172)</f>
        <v/>
      </c>
      <c r="U172" s="43">
        <f>IF(OR(Q172="",F172="",F172=0),"",Q172/F172)</f>
        <v/>
      </c>
      <c r="V172" s="44">
        <f>IF(OR(U172="",T172=""),"",(U172-T172)*100)</f>
        <v/>
      </c>
      <c r="W172" s="68" t="n">
        <v>34</v>
      </c>
      <c r="X172" s="68" t="n">
        <v>33</v>
      </c>
      <c r="Y172" s="69">
        <f>IF(OR(X172="",W172="",W172=0,X172=0),"",X172-W172)</f>
        <v/>
      </c>
      <c r="Z172" s="42">
        <f>IF(OR(X172="",W172="",W172=0,X172=0),"",X172/W172-1)</f>
        <v/>
      </c>
      <c r="AA172" s="43">
        <f>IF(OR(W172="",P172="",P172=0),"",W172/P172)</f>
        <v/>
      </c>
      <c r="AB172" s="43">
        <f>IF(OR(X172="",Q172="",Q172=0),"",X172/Q172)</f>
        <v/>
      </c>
      <c r="AC172" s="44">
        <f>IF(OR(AB172="",AA172=""),"",(AB172-AA172)*100)</f>
        <v/>
      </c>
      <c r="AD172" s="68" t="n">
        <v>26</v>
      </c>
      <c r="AE172" s="68" t="n">
        <v>26</v>
      </c>
      <c r="AF172" s="69">
        <f>IF(OR(AE172="",AD172="",AD172=0,AE172=0),"",AE172-AD172)</f>
        <v/>
      </c>
      <c r="AG172" s="42">
        <f>IF(OR(AE172="",AD172="",AD172=0,AE172=0),"",AE172/AD172-1)</f>
        <v/>
      </c>
      <c r="AH172" s="43">
        <f>IF(OR(AD172="",W172="",W172=0),"",AD172/W172)</f>
        <v/>
      </c>
      <c r="AI172" s="43">
        <f>IF(OR(AE172="",X172="",X172=0),"",AE172/X172)</f>
        <v/>
      </c>
      <c r="AJ172" s="44">
        <f>IF(OR(AI172="",AH172=""),"",(AI172-AH172)*100)</f>
        <v/>
      </c>
      <c r="AK172" s="68" t="n">
        <v>12</v>
      </c>
      <c r="AL172" s="68" t="n">
        <v>12</v>
      </c>
      <c r="AM172" s="69">
        <f>IF(OR(AL172="",AK172="",AK172=0,AL172=0),"",AL172-AK172)</f>
        <v/>
      </c>
      <c r="AN172" s="42">
        <f>IF(OR(AL172="",AK172="",AK172=0,AL172=0),"",AL172/AK172-1)</f>
        <v/>
      </c>
      <c r="AO172" s="43">
        <f>IF(OR(AK172="",AD172="",AD172=0),"",AK172/AD172)</f>
        <v/>
      </c>
      <c r="AP172" s="43">
        <f>IF(OR(AL172="",AE172="",AE172=0),"",AL172/AE172)</f>
        <v/>
      </c>
      <c r="AQ172" s="44">
        <f>IF(OR(AP172="",AO172=""),"",(AP172-AO172)*100)</f>
        <v/>
      </c>
      <c r="AR172" s="68" t="n">
        <v>10</v>
      </c>
      <c r="AS172" s="68" t="n">
        <v>11</v>
      </c>
      <c r="AT172" s="69">
        <f>IF(OR(AS172="",AR172="",AR172=0,AS172=0),"",AS172-AR172)</f>
        <v/>
      </c>
      <c r="AU172" s="42">
        <f>IF(OR(AS172="",AR172="",AR172=0,AS172=0),"",AS172/AR172-1)</f>
        <v/>
      </c>
      <c r="AV172" s="43">
        <f>IF(OR(AR172="",AK172="",AK172=0),"",AR172/AK172)</f>
        <v/>
      </c>
      <c r="AW172" s="43">
        <f>IF(OR(AS172="",AL172="",AL172=0),"",AS172/AL172)</f>
        <v/>
      </c>
      <c r="AX172" s="44">
        <f>IF(OR(AW172="",AV172=""),"",(AW172-AV172)*100)</f>
        <v/>
      </c>
      <c r="AY172" s="45">
        <f>IF(OR(AR172="",P172="",P172=0),"",AR172/P172)</f>
        <v/>
      </c>
      <c r="AZ172" s="45">
        <f>IF(OR(AS172="",Q172="",Q172=0),"",AS172/Q172)</f>
        <v/>
      </c>
      <c r="BA172" s="44">
        <f>IF(OR(AZ172="",AY172=""),"",(AZ172-AY172)*100)</f>
        <v/>
      </c>
      <c r="BB172" s="45">
        <f>IF(OR(AR172="",E172="",E172=0),"",AR172/E172)</f>
        <v/>
      </c>
      <c r="BC172" s="45">
        <f>IF(OR(AS172="",F172="",F172=0),"",AS172/F172)</f>
        <v/>
      </c>
      <c r="BD172" s="44">
        <f>IF(OR(BC172="",BB172=""),"",(BC172-BB172)*100)</f>
        <v/>
      </c>
      <c r="BE172" s="40">
        <f>IF(AND(F172&lt;&gt;"",E172&lt;&gt;""),"Both years",IF(F172&lt;&gt;"","1-23Aug26 rows only","1-23Aug25 rows only"))</f>
        <v/>
      </c>
    </row>
    <row r="173">
      <c r="A173" s="56" t="inlineStr">
        <is>
          <t>Home page</t>
        </is>
      </c>
      <c r="B173" s="56" t="inlineStr">
        <is>
          <t>Organic</t>
        </is>
      </c>
      <c r="C173" s="56" t="inlineStr">
        <is>
          <t>Desktop</t>
        </is>
      </c>
      <c r="D173" s="56" t="inlineStr">
        <is>
          <t>Poland</t>
        </is>
      </c>
      <c r="E173" s="70" t="n"/>
      <c r="F173" s="68" t="n">
        <v>174</v>
      </c>
      <c r="G173" s="69">
        <f>IF(OR(F173="",E173="",E173=0,F173=0),"",F173-E173)</f>
        <v/>
      </c>
      <c r="H173" s="42">
        <f>IF(OR(F173="",E173="",E173=0,F173=0),"",F173/E173-1)</f>
        <v/>
      </c>
      <c r="I173" s="70" t="n"/>
      <c r="J173" s="70" t="n"/>
      <c r="K173" s="69">
        <f>IF(OR(J173="",I173="",I173=0,J173=0),"",J173-I173)</f>
        <v/>
      </c>
      <c r="L173" s="42">
        <f>IF(OR(J173="",I173="",I173=0,J173=0),"",J173/I173-1)</f>
        <v/>
      </c>
      <c r="M173" s="43">
        <f>IF(OR(I173="",E173="",E173=0),"",I173/E173)</f>
        <v/>
      </c>
      <c r="N173" s="43">
        <f>IF(OR(J173="",F173="",F173=0),"",J173/F173)</f>
        <v/>
      </c>
      <c r="O173" s="44">
        <f>IF(OR(N173="",M173=""),"",(N173-M173)*100)</f>
        <v/>
      </c>
      <c r="P173" s="68" t="n">
        <v>49</v>
      </c>
      <c r="Q173" s="68" t="n">
        <v>66</v>
      </c>
      <c r="R173" s="69">
        <f>IF(OR(Q173="",P173="",P173=0,Q173=0),"",Q173-P173)</f>
        <v/>
      </c>
      <c r="S173" s="42">
        <f>IF(OR(Q173="",P173="",P173=0,Q173=0),"",Q173/P173-1)</f>
        <v/>
      </c>
      <c r="T173" s="43">
        <f>IF(OR(P173="",E173="",E173=0),"",P173/E173)</f>
        <v/>
      </c>
      <c r="U173" s="43">
        <f>IF(OR(Q173="",F173="",F173=0),"",Q173/F173)</f>
        <v/>
      </c>
      <c r="V173" s="44">
        <f>IF(OR(U173="",T173=""),"",(U173-T173)*100)</f>
        <v/>
      </c>
      <c r="W173" s="70" t="n"/>
      <c r="X173" s="70" t="n"/>
      <c r="Y173" s="69">
        <f>IF(OR(X173="",W173="",W173=0,X173=0),"",X173-W173)</f>
        <v/>
      </c>
      <c r="Z173" s="42">
        <f>IF(OR(X173="",W173="",W173=0,X173=0),"",X173/W173-1)</f>
        <v/>
      </c>
      <c r="AA173" s="43">
        <f>IF(OR(W173="",P173="",P173=0),"",W173/P173)</f>
        <v/>
      </c>
      <c r="AB173" s="43">
        <f>IF(OR(X173="",Q173="",Q173=0),"",X173/Q173)</f>
        <v/>
      </c>
      <c r="AC173" s="44">
        <f>IF(OR(AB173="",AA173=""),"",(AB173-AA173)*100)</f>
        <v/>
      </c>
      <c r="AD173" s="70" t="n"/>
      <c r="AE173" s="70" t="n"/>
      <c r="AF173" s="69">
        <f>IF(OR(AE173="",AD173="",AD173=0,AE173=0),"",AE173-AD173)</f>
        <v/>
      </c>
      <c r="AG173" s="42">
        <f>IF(OR(AE173="",AD173="",AD173=0,AE173=0),"",AE173/AD173-1)</f>
        <v/>
      </c>
      <c r="AH173" s="43">
        <f>IF(OR(AD173="",W173="",W173=0),"",AD173/W173)</f>
        <v/>
      </c>
      <c r="AI173" s="43">
        <f>IF(OR(AE173="",X173="",X173=0),"",AE173/X173)</f>
        <v/>
      </c>
      <c r="AJ173" s="44">
        <f>IF(OR(AI173="",AH173=""),"",(AI173-AH173)*100)</f>
        <v/>
      </c>
      <c r="AK173" s="70" t="n"/>
      <c r="AL173" s="70" t="n"/>
      <c r="AM173" s="69">
        <f>IF(OR(AL173="",AK173="",AK173=0,AL173=0),"",AL173-AK173)</f>
        <v/>
      </c>
      <c r="AN173" s="42">
        <f>IF(OR(AL173="",AK173="",AK173=0,AL173=0),"",AL173/AK173-1)</f>
        <v/>
      </c>
      <c r="AO173" s="43">
        <f>IF(OR(AK173="",AD173="",AD173=0),"",AK173/AD173)</f>
        <v/>
      </c>
      <c r="AP173" s="43">
        <f>IF(OR(AL173="",AE173="",AE173=0),"",AL173/AE173)</f>
        <v/>
      </c>
      <c r="AQ173" s="44">
        <f>IF(OR(AP173="",AO173=""),"",(AP173-AO173)*100)</f>
        <v/>
      </c>
      <c r="AR173" s="70" t="n"/>
      <c r="AS173" s="70" t="n"/>
      <c r="AT173" s="69">
        <f>IF(OR(AS173="",AR173="",AR173=0,AS173=0),"",AS173-AR173)</f>
        <v/>
      </c>
      <c r="AU173" s="42">
        <f>IF(OR(AS173="",AR173="",AR173=0,AS173=0),"",AS173/AR173-1)</f>
        <v/>
      </c>
      <c r="AV173" s="43">
        <f>IF(OR(AR173="",AK173="",AK173=0),"",AR173/AK173)</f>
        <v/>
      </c>
      <c r="AW173" s="43">
        <f>IF(OR(AS173="",AL173="",AL173=0),"",AS173/AL173)</f>
        <v/>
      </c>
      <c r="AX173" s="44">
        <f>IF(OR(AW173="",AV173=""),"",(AW173-AV173)*100)</f>
        <v/>
      </c>
      <c r="AY173" s="45">
        <f>IF(OR(AR173="",P173="",P173=0),"",AR173/P173)</f>
        <v/>
      </c>
      <c r="AZ173" s="45">
        <f>IF(OR(AS173="",Q173="",Q173=0),"",AS173/Q173)</f>
        <v/>
      </c>
      <c r="BA173" s="44">
        <f>IF(OR(AZ173="",AY173=""),"",(AZ173-AY173)*100)</f>
        <v/>
      </c>
      <c r="BB173" s="45">
        <f>IF(OR(AR173="",E173="",E173=0),"",AR173/E173)</f>
        <v/>
      </c>
      <c r="BC173" s="45">
        <f>IF(OR(AS173="",F173="",F173=0),"",AS173/F173)</f>
        <v/>
      </c>
      <c r="BD173" s="44">
        <f>IF(OR(BC173="",BB173=""),"",(BC173-BB173)*100)</f>
        <v/>
      </c>
      <c r="BE173" s="40">
        <f>IF(AND(F173&lt;&gt;"",E173&lt;&gt;""),"Both years",IF(F173&lt;&gt;"","1-23Aug26 rows only","1-23Aug25 rows only"))</f>
        <v/>
      </c>
    </row>
    <row r="174">
      <c r="A174" s="40" t="inlineStr">
        <is>
          <t>Home page</t>
        </is>
      </c>
      <c r="B174" s="40" t="inlineStr">
        <is>
          <t>Organic</t>
        </is>
      </c>
      <c r="C174" s="40" t="inlineStr">
        <is>
          <t>Desktop</t>
        </is>
      </c>
      <c r="D174" s="40" t="inlineStr">
        <is>
          <t>France</t>
        </is>
      </c>
      <c r="E174" s="68" t="n">
        <v>448</v>
      </c>
      <c r="F174" s="68" t="n">
        <v>151</v>
      </c>
      <c r="G174" s="69">
        <f>IF(OR(F174="",E174="",E174=0,F174=0),"",F174-E174)</f>
        <v/>
      </c>
      <c r="H174" s="42">
        <f>IF(OR(F174="",E174="",E174=0,F174=0),"",F174/E174-1)</f>
        <v/>
      </c>
      <c r="I174" s="68" t="n">
        <v>282</v>
      </c>
      <c r="J174" s="68" t="n">
        <v>97</v>
      </c>
      <c r="K174" s="69">
        <f>IF(OR(J174="",I174="",I174=0,J174=0),"",J174-I174)</f>
        <v/>
      </c>
      <c r="L174" s="42">
        <f>IF(OR(J174="",I174="",I174=0,J174=0),"",J174/I174-1)</f>
        <v/>
      </c>
      <c r="M174" s="43">
        <f>IF(OR(I174="",E174="",E174=0),"",I174/E174)</f>
        <v/>
      </c>
      <c r="N174" s="43">
        <f>IF(OR(J174="",F174="",F174=0),"",J174/F174)</f>
        <v/>
      </c>
      <c r="O174" s="44">
        <f>IF(OR(N174="",M174=""),"",(N174-M174)*100)</f>
        <v/>
      </c>
      <c r="P174" s="68" t="n">
        <v>219</v>
      </c>
      <c r="Q174" s="68" t="n">
        <v>67</v>
      </c>
      <c r="R174" s="69">
        <f>IF(OR(Q174="",P174="",P174=0,Q174=0),"",Q174-P174)</f>
        <v/>
      </c>
      <c r="S174" s="42">
        <f>IF(OR(Q174="",P174="",P174=0,Q174=0),"",Q174/P174-1)</f>
        <v/>
      </c>
      <c r="T174" s="43">
        <f>IF(OR(P174="",E174="",E174=0),"",P174/E174)</f>
        <v/>
      </c>
      <c r="U174" s="43">
        <f>IF(OR(Q174="",F174="",F174=0),"",Q174/F174)</f>
        <v/>
      </c>
      <c r="V174" s="44">
        <f>IF(OR(U174="",T174=""),"",(U174-T174)*100)</f>
        <v/>
      </c>
      <c r="W174" s="68" t="n">
        <v>91</v>
      </c>
      <c r="X174" s="68" t="n">
        <v>28</v>
      </c>
      <c r="Y174" s="69">
        <f>IF(OR(X174="",W174="",W174=0,X174=0),"",X174-W174)</f>
        <v/>
      </c>
      <c r="Z174" s="42">
        <f>IF(OR(X174="",W174="",W174=0,X174=0),"",X174/W174-1)</f>
        <v/>
      </c>
      <c r="AA174" s="43">
        <f>IF(OR(W174="",P174="",P174=0),"",W174/P174)</f>
        <v/>
      </c>
      <c r="AB174" s="43">
        <f>IF(OR(X174="",Q174="",Q174=0),"",X174/Q174)</f>
        <v/>
      </c>
      <c r="AC174" s="44">
        <f>IF(OR(AB174="",AA174=""),"",(AB174-AA174)*100)</f>
        <v/>
      </c>
      <c r="AD174" s="68" t="n">
        <v>82</v>
      </c>
      <c r="AE174" s="68" t="n">
        <v>19</v>
      </c>
      <c r="AF174" s="69">
        <f>IF(OR(AE174="",AD174="",AD174=0,AE174=0),"",AE174-AD174)</f>
        <v/>
      </c>
      <c r="AG174" s="42">
        <f>IF(OR(AE174="",AD174="",AD174=0,AE174=0),"",AE174/AD174-1)</f>
        <v/>
      </c>
      <c r="AH174" s="43">
        <f>IF(OR(AD174="",W174="",W174=0),"",AD174/W174)</f>
        <v/>
      </c>
      <c r="AI174" s="43">
        <f>IF(OR(AE174="",X174="",X174=0),"",AE174/X174)</f>
        <v/>
      </c>
      <c r="AJ174" s="44">
        <f>IF(OR(AI174="",AH174=""),"",(AI174-AH174)*100)</f>
        <v/>
      </c>
      <c r="AK174" s="68" t="n">
        <v>38</v>
      </c>
      <c r="AL174" s="68" t="n">
        <v>7</v>
      </c>
      <c r="AM174" s="69">
        <f>IF(OR(AL174="",AK174="",AK174=0,AL174=0),"",AL174-AK174)</f>
        <v/>
      </c>
      <c r="AN174" s="42">
        <f>IF(OR(AL174="",AK174="",AK174=0,AL174=0),"",AL174/AK174-1)</f>
        <v/>
      </c>
      <c r="AO174" s="43">
        <f>IF(OR(AK174="",AD174="",AD174=0),"",AK174/AD174)</f>
        <v/>
      </c>
      <c r="AP174" s="43">
        <f>IF(OR(AL174="",AE174="",AE174=0),"",AL174/AE174)</f>
        <v/>
      </c>
      <c r="AQ174" s="44">
        <f>IF(OR(AP174="",AO174=""),"",(AP174-AO174)*100)</f>
        <v/>
      </c>
      <c r="AR174" s="68" t="n">
        <v>34</v>
      </c>
      <c r="AS174" s="68" t="n">
        <v>5</v>
      </c>
      <c r="AT174" s="69">
        <f>IF(OR(AS174="",AR174="",AR174=0,AS174=0),"",AS174-AR174)</f>
        <v/>
      </c>
      <c r="AU174" s="42">
        <f>IF(OR(AS174="",AR174="",AR174=0,AS174=0),"",AS174/AR174-1)</f>
        <v/>
      </c>
      <c r="AV174" s="43">
        <f>IF(OR(AR174="",AK174="",AK174=0),"",AR174/AK174)</f>
        <v/>
      </c>
      <c r="AW174" s="43">
        <f>IF(OR(AS174="",AL174="",AL174=0),"",AS174/AL174)</f>
        <v/>
      </c>
      <c r="AX174" s="44">
        <f>IF(OR(AW174="",AV174=""),"",(AW174-AV174)*100)</f>
        <v/>
      </c>
      <c r="AY174" s="45">
        <f>IF(OR(AR174="",P174="",P174=0),"",AR174/P174)</f>
        <v/>
      </c>
      <c r="AZ174" s="45">
        <f>IF(OR(AS174="",Q174="",Q174=0),"",AS174/Q174)</f>
        <v/>
      </c>
      <c r="BA174" s="44">
        <f>IF(OR(AZ174="",AY174=""),"",(AZ174-AY174)*100)</f>
        <v/>
      </c>
      <c r="BB174" s="45">
        <f>IF(OR(AR174="",E174="",E174=0),"",AR174/E174)</f>
        <v/>
      </c>
      <c r="BC174" s="45">
        <f>IF(OR(AS174="",F174="",F174=0),"",AS174/F174)</f>
        <v/>
      </c>
      <c r="BD174" s="44">
        <f>IF(OR(BC174="",BB174=""),"",(BC174-BB174)*100)</f>
        <v/>
      </c>
      <c r="BE174" s="40">
        <f>IF(AND(F174&lt;&gt;"",E174&lt;&gt;""),"Both years",IF(F174&lt;&gt;"","1-23Aug26 rows only","1-23Aug25 rows only"))</f>
        <v/>
      </c>
    </row>
    <row r="175">
      <c r="A175" s="56" t="inlineStr">
        <is>
          <t>Home page</t>
        </is>
      </c>
      <c r="B175" s="56" t="inlineStr">
        <is>
          <t>Organic</t>
        </is>
      </c>
      <c r="C175" s="56" t="inlineStr">
        <is>
          <t>Desktop</t>
        </is>
      </c>
      <c r="D175" s="56" t="inlineStr">
        <is>
          <t>Portugal</t>
        </is>
      </c>
      <c r="E175" s="68" t="n">
        <v>164</v>
      </c>
      <c r="F175" s="68" t="n">
        <v>127</v>
      </c>
      <c r="G175" s="69">
        <f>IF(OR(F175="",E175="",E175=0,F175=0),"",F175-E175)</f>
        <v/>
      </c>
      <c r="H175" s="42">
        <f>IF(OR(F175="",E175="",E175=0,F175=0),"",F175/E175-1)</f>
        <v/>
      </c>
      <c r="I175" s="70" t="n"/>
      <c r="J175" s="70" t="n"/>
      <c r="K175" s="69">
        <f>IF(OR(J175="",I175="",I175=0,J175=0),"",J175-I175)</f>
        <v/>
      </c>
      <c r="L175" s="42">
        <f>IF(OR(J175="",I175="",I175=0,J175=0),"",J175/I175-1)</f>
        <v/>
      </c>
      <c r="M175" s="43">
        <f>IF(OR(I175="",E175="",E175=0),"",I175/E175)</f>
        <v/>
      </c>
      <c r="N175" s="43">
        <f>IF(OR(J175="",F175="",F175=0),"",J175/F175)</f>
        <v/>
      </c>
      <c r="O175" s="44">
        <f>IF(OR(N175="",M175=""),"",(N175-M175)*100)</f>
        <v/>
      </c>
      <c r="P175" s="68" t="n">
        <v>74</v>
      </c>
      <c r="Q175" s="68" t="n">
        <v>51</v>
      </c>
      <c r="R175" s="69">
        <f>IF(OR(Q175="",P175="",P175=0,Q175=0),"",Q175-P175)</f>
        <v/>
      </c>
      <c r="S175" s="42">
        <f>IF(OR(Q175="",P175="",P175=0,Q175=0),"",Q175/P175-1)</f>
        <v/>
      </c>
      <c r="T175" s="43">
        <f>IF(OR(P175="",E175="",E175=0),"",P175/E175)</f>
        <v/>
      </c>
      <c r="U175" s="43">
        <f>IF(OR(Q175="",F175="",F175=0),"",Q175/F175)</f>
        <v/>
      </c>
      <c r="V175" s="44">
        <f>IF(OR(U175="",T175=""),"",(U175-T175)*100)</f>
        <v/>
      </c>
      <c r="W175" s="70" t="n"/>
      <c r="X175" s="70" t="n"/>
      <c r="Y175" s="69">
        <f>IF(OR(X175="",W175="",W175=0,X175=0),"",X175-W175)</f>
        <v/>
      </c>
      <c r="Z175" s="42">
        <f>IF(OR(X175="",W175="",W175=0,X175=0),"",X175/W175-1)</f>
        <v/>
      </c>
      <c r="AA175" s="43">
        <f>IF(OR(W175="",P175="",P175=0),"",W175/P175)</f>
        <v/>
      </c>
      <c r="AB175" s="43">
        <f>IF(OR(X175="",Q175="",Q175=0),"",X175/Q175)</f>
        <v/>
      </c>
      <c r="AC175" s="44">
        <f>IF(OR(AB175="",AA175=""),"",(AB175-AA175)*100)</f>
        <v/>
      </c>
      <c r="AD175" s="70" t="n"/>
      <c r="AE175" s="70" t="n"/>
      <c r="AF175" s="69">
        <f>IF(OR(AE175="",AD175="",AD175=0,AE175=0),"",AE175-AD175)</f>
        <v/>
      </c>
      <c r="AG175" s="42">
        <f>IF(OR(AE175="",AD175="",AD175=0,AE175=0),"",AE175/AD175-1)</f>
        <v/>
      </c>
      <c r="AH175" s="43">
        <f>IF(OR(AD175="",W175="",W175=0),"",AD175/W175)</f>
        <v/>
      </c>
      <c r="AI175" s="43">
        <f>IF(OR(AE175="",X175="",X175=0),"",AE175/X175)</f>
        <v/>
      </c>
      <c r="AJ175" s="44">
        <f>IF(OR(AI175="",AH175=""),"",(AI175-AH175)*100)</f>
        <v/>
      </c>
      <c r="AK175" s="70" t="n"/>
      <c r="AL175" s="70" t="n"/>
      <c r="AM175" s="69">
        <f>IF(OR(AL175="",AK175="",AK175=0,AL175=0),"",AL175-AK175)</f>
        <v/>
      </c>
      <c r="AN175" s="42">
        <f>IF(OR(AL175="",AK175="",AK175=0,AL175=0),"",AL175/AK175-1)</f>
        <v/>
      </c>
      <c r="AO175" s="43">
        <f>IF(OR(AK175="",AD175="",AD175=0),"",AK175/AD175)</f>
        <v/>
      </c>
      <c r="AP175" s="43">
        <f>IF(OR(AL175="",AE175="",AE175=0),"",AL175/AE175)</f>
        <v/>
      </c>
      <c r="AQ175" s="44">
        <f>IF(OR(AP175="",AO175=""),"",(AP175-AO175)*100)</f>
        <v/>
      </c>
      <c r="AR175" s="70" t="n"/>
      <c r="AS175" s="70" t="n"/>
      <c r="AT175" s="69">
        <f>IF(OR(AS175="",AR175="",AR175=0,AS175=0),"",AS175-AR175)</f>
        <v/>
      </c>
      <c r="AU175" s="42">
        <f>IF(OR(AS175="",AR175="",AR175=0,AS175=0),"",AS175/AR175-1)</f>
        <v/>
      </c>
      <c r="AV175" s="43">
        <f>IF(OR(AR175="",AK175="",AK175=0),"",AR175/AK175)</f>
        <v/>
      </c>
      <c r="AW175" s="43">
        <f>IF(OR(AS175="",AL175="",AL175=0),"",AS175/AL175)</f>
        <v/>
      </c>
      <c r="AX175" s="44">
        <f>IF(OR(AW175="",AV175=""),"",(AW175-AV175)*100)</f>
        <v/>
      </c>
      <c r="AY175" s="45">
        <f>IF(OR(AR175="",P175="",P175=0),"",AR175/P175)</f>
        <v/>
      </c>
      <c r="AZ175" s="45">
        <f>IF(OR(AS175="",Q175="",Q175=0),"",AS175/Q175)</f>
        <v/>
      </c>
      <c r="BA175" s="44">
        <f>IF(OR(AZ175="",AY175=""),"",(AZ175-AY175)*100)</f>
        <v/>
      </c>
      <c r="BB175" s="45">
        <f>IF(OR(AR175="",E175="",E175=0),"",AR175/E175)</f>
        <v/>
      </c>
      <c r="BC175" s="45">
        <f>IF(OR(AS175="",F175="",F175=0),"",AS175/F175)</f>
        <v/>
      </c>
      <c r="BD175" s="44">
        <f>IF(OR(BC175="",BB175=""),"",(BC175-BB175)*100)</f>
        <v/>
      </c>
      <c r="BE175" s="40">
        <f>IF(AND(F175&lt;&gt;"",E175&lt;&gt;""),"Both years",IF(F175&lt;&gt;"","1-23Aug26 rows only","1-23Aug25 rows only"))</f>
        <v/>
      </c>
    </row>
    <row r="176">
      <c r="A176" s="40" t="inlineStr">
        <is>
          <t>Home page</t>
        </is>
      </c>
      <c r="B176" s="40" t="inlineStr">
        <is>
          <t>Organic</t>
        </is>
      </c>
      <c r="C176" s="40" t="inlineStr">
        <is>
          <t>Desktop</t>
        </is>
      </c>
      <c r="D176" s="40" t="inlineStr">
        <is>
          <t>Croatia</t>
        </is>
      </c>
      <c r="E176" s="70" t="n"/>
      <c r="F176" s="68" t="n">
        <v>92</v>
      </c>
      <c r="G176" s="69">
        <f>IF(OR(F176="",E176="",E176=0,F176=0),"",F176-E176)</f>
        <v/>
      </c>
      <c r="H176" s="42">
        <f>IF(OR(F176="",E176="",E176=0,F176=0),"",F176/E176-1)</f>
        <v/>
      </c>
      <c r="I176" s="70" t="n"/>
      <c r="J176" s="70" t="n"/>
      <c r="K176" s="69">
        <f>IF(OR(J176="",I176="",I176=0,J176=0),"",J176-I176)</f>
        <v/>
      </c>
      <c r="L176" s="42">
        <f>IF(OR(J176="",I176="",I176=0,J176=0),"",J176/I176-1)</f>
        <v/>
      </c>
      <c r="M176" s="43">
        <f>IF(OR(I176="",E176="",E176=0),"",I176/E176)</f>
        <v/>
      </c>
      <c r="N176" s="43">
        <f>IF(OR(J176="",F176="",F176=0),"",J176/F176)</f>
        <v/>
      </c>
      <c r="O176" s="44">
        <f>IF(OR(N176="",M176=""),"",(N176-M176)*100)</f>
        <v/>
      </c>
      <c r="P176" s="70" t="n"/>
      <c r="Q176" s="68" t="n">
        <v>81</v>
      </c>
      <c r="R176" s="69">
        <f>IF(OR(Q176="",P176="",P176=0,Q176=0),"",Q176-P176)</f>
        <v/>
      </c>
      <c r="S176" s="42">
        <f>IF(OR(Q176="",P176="",P176=0,Q176=0),"",Q176/P176-1)</f>
        <v/>
      </c>
      <c r="T176" s="43">
        <f>IF(OR(P176="",E176="",E176=0),"",P176/E176)</f>
        <v/>
      </c>
      <c r="U176" s="43">
        <f>IF(OR(Q176="",F176="",F176=0),"",Q176/F176)</f>
        <v/>
      </c>
      <c r="V176" s="44">
        <f>IF(OR(U176="",T176=""),"",(U176-T176)*100)</f>
        <v/>
      </c>
      <c r="W176" s="70" t="n"/>
      <c r="X176" s="70" t="n"/>
      <c r="Y176" s="69">
        <f>IF(OR(X176="",W176="",W176=0,X176=0),"",X176-W176)</f>
        <v/>
      </c>
      <c r="Z176" s="42">
        <f>IF(OR(X176="",W176="",W176=0,X176=0),"",X176/W176-1)</f>
        <v/>
      </c>
      <c r="AA176" s="43">
        <f>IF(OR(W176="",P176="",P176=0),"",W176/P176)</f>
        <v/>
      </c>
      <c r="AB176" s="43">
        <f>IF(OR(X176="",Q176="",Q176=0),"",X176/Q176)</f>
        <v/>
      </c>
      <c r="AC176" s="44">
        <f>IF(OR(AB176="",AA176=""),"",(AB176-AA176)*100)</f>
        <v/>
      </c>
      <c r="AD176" s="70" t="n"/>
      <c r="AE176" s="70" t="n"/>
      <c r="AF176" s="69">
        <f>IF(OR(AE176="",AD176="",AD176=0,AE176=0),"",AE176-AD176)</f>
        <v/>
      </c>
      <c r="AG176" s="42">
        <f>IF(OR(AE176="",AD176="",AD176=0,AE176=0),"",AE176/AD176-1)</f>
        <v/>
      </c>
      <c r="AH176" s="43">
        <f>IF(OR(AD176="",W176="",W176=0),"",AD176/W176)</f>
        <v/>
      </c>
      <c r="AI176" s="43">
        <f>IF(OR(AE176="",X176="",X176=0),"",AE176/X176)</f>
        <v/>
      </c>
      <c r="AJ176" s="44">
        <f>IF(OR(AI176="",AH176=""),"",(AI176-AH176)*100)</f>
        <v/>
      </c>
      <c r="AK176" s="70" t="n"/>
      <c r="AL176" s="70" t="n"/>
      <c r="AM176" s="69">
        <f>IF(OR(AL176="",AK176="",AK176=0,AL176=0),"",AL176-AK176)</f>
        <v/>
      </c>
      <c r="AN176" s="42">
        <f>IF(OR(AL176="",AK176="",AK176=0,AL176=0),"",AL176/AK176-1)</f>
        <v/>
      </c>
      <c r="AO176" s="43">
        <f>IF(OR(AK176="",AD176="",AD176=0),"",AK176/AD176)</f>
        <v/>
      </c>
      <c r="AP176" s="43">
        <f>IF(OR(AL176="",AE176="",AE176=0),"",AL176/AE176)</f>
        <v/>
      </c>
      <c r="AQ176" s="44">
        <f>IF(OR(AP176="",AO176=""),"",(AP176-AO176)*100)</f>
        <v/>
      </c>
      <c r="AR176" s="70" t="n"/>
      <c r="AS176" s="70" t="n"/>
      <c r="AT176" s="69">
        <f>IF(OR(AS176="",AR176="",AR176=0,AS176=0),"",AS176-AR176)</f>
        <v/>
      </c>
      <c r="AU176" s="42">
        <f>IF(OR(AS176="",AR176="",AR176=0,AS176=0),"",AS176/AR176-1)</f>
        <v/>
      </c>
      <c r="AV176" s="43">
        <f>IF(OR(AR176="",AK176="",AK176=0),"",AR176/AK176)</f>
        <v/>
      </c>
      <c r="AW176" s="43">
        <f>IF(OR(AS176="",AL176="",AL176=0),"",AS176/AL176)</f>
        <v/>
      </c>
      <c r="AX176" s="44">
        <f>IF(OR(AW176="",AV176=""),"",(AW176-AV176)*100)</f>
        <v/>
      </c>
      <c r="AY176" s="45">
        <f>IF(OR(AR176="",P176="",P176=0),"",AR176/P176)</f>
        <v/>
      </c>
      <c r="AZ176" s="45">
        <f>IF(OR(AS176="",Q176="",Q176=0),"",AS176/Q176)</f>
        <v/>
      </c>
      <c r="BA176" s="44">
        <f>IF(OR(AZ176="",AY176=""),"",(AZ176-AY176)*100)</f>
        <v/>
      </c>
      <c r="BB176" s="45">
        <f>IF(OR(AR176="",E176="",E176=0),"",AR176/E176)</f>
        <v/>
      </c>
      <c r="BC176" s="45">
        <f>IF(OR(AS176="",F176="",F176=0),"",AS176/F176)</f>
        <v/>
      </c>
      <c r="BD176" s="44">
        <f>IF(OR(BC176="",BB176=""),"",(BC176-BB176)*100)</f>
        <v/>
      </c>
      <c r="BE176" s="40">
        <f>IF(AND(F176&lt;&gt;"",E176&lt;&gt;""),"Both years",IF(F176&lt;&gt;"","1-23Aug26 rows only","1-23Aug25 rows only"))</f>
        <v/>
      </c>
    </row>
    <row r="177">
      <c r="A177" s="56" t="inlineStr">
        <is>
          <t>Home page</t>
        </is>
      </c>
      <c r="B177" s="56" t="inlineStr">
        <is>
          <t>Organic</t>
        </is>
      </c>
      <c r="C177" s="56" t="inlineStr">
        <is>
          <t>Desktop</t>
        </is>
      </c>
      <c r="D177" s="56" t="inlineStr">
        <is>
          <t>Switzerland</t>
        </is>
      </c>
      <c r="E177" s="68" t="n">
        <v>88</v>
      </c>
      <c r="F177" s="68" t="n">
        <v>74</v>
      </c>
      <c r="G177" s="69">
        <f>IF(OR(F177="",E177="",E177=0,F177=0),"",F177-E177)</f>
        <v/>
      </c>
      <c r="H177" s="42">
        <f>IF(OR(F177="",E177="",E177=0,F177=0),"",F177/E177-1)</f>
        <v/>
      </c>
      <c r="I177" s="70" t="n"/>
      <c r="J177" s="70" t="n"/>
      <c r="K177" s="69">
        <f>IF(OR(J177="",I177="",I177=0,J177=0),"",J177-I177)</f>
        <v/>
      </c>
      <c r="L177" s="42">
        <f>IF(OR(J177="",I177="",I177=0,J177=0),"",J177/I177-1)</f>
        <v/>
      </c>
      <c r="M177" s="43">
        <f>IF(OR(I177="",E177="",E177=0),"",I177/E177)</f>
        <v/>
      </c>
      <c r="N177" s="43">
        <f>IF(OR(J177="",F177="",F177=0),"",J177/F177)</f>
        <v/>
      </c>
      <c r="O177" s="44">
        <f>IF(OR(N177="",M177=""),"",(N177-M177)*100)</f>
        <v/>
      </c>
      <c r="P177" s="68" t="n">
        <v>44</v>
      </c>
      <c r="Q177" s="68" t="n">
        <v>45</v>
      </c>
      <c r="R177" s="69">
        <f>IF(OR(Q177="",P177="",P177=0,Q177=0),"",Q177-P177)</f>
        <v/>
      </c>
      <c r="S177" s="42">
        <f>IF(OR(Q177="",P177="",P177=0,Q177=0),"",Q177/P177-1)</f>
        <v/>
      </c>
      <c r="T177" s="43">
        <f>IF(OR(P177="",E177="",E177=0),"",P177/E177)</f>
        <v/>
      </c>
      <c r="U177" s="43">
        <f>IF(OR(Q177="",F177="",F177=0),"",Q177/F177)</f>
        <v/>
      </c>
      <c r="V177" s="44">
        <f>IF(OR(U177="",T177=""),"",(U177-T177)*100)</f>
        <v/>
      </c>
      <c r="W177" s="70" t="n"/>
      <c r="X177" s="70" t="n"/>
      <c r="Y177" s="69">
        <f>IF(OR(X177="",W177="",W177=0,X177=0),"",X177-W177)</f>
        <v/>
      </c>
      <c r="Z177" s="42">
        <f>IF(OR(X177="",W177="",W177=0,X177=0),"",X177/W177-1)</f>
        <v/>
      </c>
      <c r="AA177" s="43">
        <f>IF(OR(W177="",P177="",P177=0),"",W177/P177)</f>
        <v/>
      </c>
      <c r="AB177" s="43">
        <f>IF(OR(X177="",Q177="",Q177=0),"",X177/Q177)</f>
        <v/>
      </c>
      <c r="AC177" s="44">
        <f>IF(OR(AB177="",AA177=""),"",(AB177-AA177)*100)</f>
        <v/>
      </c>
      <c r="AD177" s="70" t="n"/>
      <c r="AE177" s="70" t="n"/>
      <c r="AF177" s="69">
        <f>IF(OR(AE177="",AD177="",AD177=0,AE177=0),"",AE177-AD177)</f>
        <v/>
      </c>
      <c r="AG177" s="42">
        <f>IF(OR(AE177="",AD177="",AD177=0,AE177=0),"",AE177/AD177-1)</f>
        <v/>
      </c>
      <c r="AH177" s="43">
        <f>IF(OR(AD177="",W177="",W177=0),"",AD177/W177)</f>
        <v/>
      </c>
      <c r="AI177" s="43">
        <f>IF(OR(AE177="",X177="",X177=0),"",AE177/X177)</f>
        <v/>
      </c>
      <c r="AJ177" s="44">
        <f>IF(OR(AI177="",AH177=""),"",(AI177-AH177)*100)</f>
        <v/>
      </c>
      <c r="AK177" s="70" t="n"/>
      <c r="AL177" s="70" t="n"/>
      <c r="AM177" s="69">
        <f>IF(OR(AL177="",AK177="",AK177=0,AL177=0),"",AL177-AK177)</f>
        <v/>
      </c>
      <c r="AN177" s="42">
        <f>IF(OR(AL177="",AK177="",AK177=0,AL177=0),"",AL177/AK177-1)</f>
        <v/>
      </c>
      <c r="AO177" s="43">
        <f>IF(OR(AK177="",AD177="",AD177=0),"",AK177/AD177)</f>
        <v/>
      </c>
      <c r="AP177" s="43">
        <f>IF(OR(AL177="",AE177="",AE177=0),"",AL177/AE177)</f>
        <v/>
      </c>
      <c r="AQ177" s="44">
        <f>IF(OR(AP177="",AO177=""),"",(AP177-AO177)*100)</f>
        <v/>
      </c>
      <c r="AR177" s="70" t="n"/>
      <c r="AS177" s="70" t="n"/>
      <c r="AT177" s="69">
        <f>IF(OR(AS177="",AR177="",AR177=0,AS177=0),"",AS177-AR177)</f>
        <v/>
      </c>
      <c r="AU177" s="42">
        <f>IF(OR(AS177="",AR177="",AR177=0,AS177=0),"",AS177/AR177-1)</f>
        <v/>
      </c>
      <c r="AV177" s="43">
        <f>IF(OR(AR177="",AK177="",AK177=0),"",AR177/AK177)</f>
        <v/>
      </c>
      <c r="AW177" s="43">
        <f>IF(OR(AS177="",AL177="",AL177=0),"",AS177/AL177)</f>
        <v/>
      </c>
      <c r="AX177" s="44">
        <f>IF(OR(AW177="",AV177=""),"",(AW177-AV177)*100)</f>
        <v/>
      </c>
      <c r="AY177" s="45">
        <f>IF(OR(AR177="",P177="",P177=0),"",AR177/P177)</f>
        <v/>
      </c>
      <c r="AZ177" s="45">
        <f>IF(OR(AS177="",Q177="",Q177=0),"",AS177/Q177)</f>
        <v/>
      </c>
      <c r="BA177" s="44">
        <f>IF(OR(AZ177="",AY177=""),"",(AZ177-AY177)*100)</f>
        <v/>
      </c>
      <c r="BB177" s="45">
        <f>IF(OR(AR177="",E177="",E177=0),"",AR177/E177)</f>
        <v/>
      </c>
      <c r="BC177" s="45">
        <f>IF(OR(AS177="",F177="",F177=0),"",AS177/F177)</f>
        <v/>
      </c>
      <c r="BD177" s="44">
        <f>IF(OR(BC177="",BB177=""),"",(BC177-BB177)*100)</f>
        <v/>
      </c>
      <c r="BE177" s="40">
        <f>IF(AND(F177&lt;&gt;"",E177&lt;&gt;""),"Both years",IF(F177&lt;&gt;"","1-23Aug26 rows only","1-23Aug25 rows only"))</f>
        <v/>
      </c>
    </row>
    <row r="178">
      <c r="A178" s="40" t="inlineStr">
        <is>
          <t>Home page</t>
        </is>
      </c>
      <c r="B178" s="40" t="inlineStr">
        <is>
          <t>Organic</t>
        </is>
      </c>
      <c r="C178" s="40" t="inlineStr">
        <is>
          <t>Desktop</t>
        </is>
      </c>
      <c r="D178" s="40" t="inlineStr">
        <is>
          <t>Brazil</t>
        </is>
      </c>
      <c r="E178" s="68" t="n">
        <v>139</v>
      </c>
      <c r="F178" s="70" t="n"/>
      <c r="G178" s="69">
        <f>IF(OR(F178="",E178="",E178=0,F178=0),"",F178-E178)</f>
        <v/>
      </c>
      <c r="H178" s="42">
        <f>IF(OR(F178="",E178="",E178=0,F178=0),"",F178/E178-1)</f>
        <v/>
      </c>
      <c r="I178" s="70" t="n"/>
      <c r="J178" s="70" t="n"/>
      <c r="K178" s="69">
        <f>IF(OR(J178="",I178="",I178=0,J178=0),"",J178-I178)</f>
        <v/>
      </c>
      <c r="L178" s="42">
        <f>IF(OR(J178="",I178="",I178=0,J178=0),"",J178/I178-1)</f>
        <v/>
      </c>
      <c r="M178" s="43">
        <f>IF(OR(I178="",E178="",E178=0),"",I178/E178)</f>
        <v/>
      </c>
      <c r="N178" s="43">
        <f>IF(OR(J178="",F178="",F178=0),"",J178/F178)</f>
        <v/>
      </c>
      <c r="O178" s="44">
        <f>IF(OR(N178="",M178=""),"",(N178-M178)*100)</f>
        <v/>
      </c>
      <c r="P178" s="70" t="n"/>
      <c r="Q178" s="70" t="n"/>
      <c r="R178" s="69">
        <f>IF(OR(Q178="",P178="",P178=0,Q178=0),"",Q178-P178)</f>
        <v/>
      </c>
      <c r="S178" s="42">
        <f>IF(OR(Q178="",P178="",P178=0,Q178=0),"",Q178/P178-1)</f>
        <v/>
      </c>
      <c r="T178" s="43">
        <f>IF(OR(P178="",E178="",E178=0),"",P178/E178)</f>
        <v/>
      </c>
      <c r="U178" s="43">
        <f>IF(OR(Q178="",F178="",F178=0),"",Q178/F178)</f>
        <v/>
      </c>
      <c r="V178" s="44">
        <f>IF(OR(U178="",T178=""),"",(U178-T178)*100)</f>
        <v/>
      </c>
      <c r="W178" s="70" t="n"/>
      <c r="X178" s="70" t="n"/>
      <c r="Y178" s="69">
        <f>IF(OR(X178="",W178="",W178=0,X178=0),"",X178-W178)</f>
        <v/>
      </c>
      <c r="Z178" s="42">
        <f>IF(OR(X178="",W178="",W178=0,X178=0),"",X178/W178-1)</f>
        <v/>
      </c>
      <c r="AA178" s="43">
        <f>IF(OR(W178="",P178="",P178=0),"",W178/P178)</f>
        <v/>
      </c>
      <c r="AB178" s="43">
        <f>IF(OR(X178="",Q178="",Q178=0),"",X178/Q178)</f>
        <v/>
      </c>
      <c r="AC178" s="44">
        <f>IF(OR(AB178="",AA178=""),"",(AB178-AA178)*100)</f>
        <v/>
      </c>
      <c r="AD178" s="70" t="n"/>
      <c r="AE178" s="70" t="n"/>
      <c r="AF178" s="69">
        <f>IF(OR(AE178="",AD178="",AD178=0,AE178=0),"",AE178-AD178)</f>
        <v/>
      </c>
      <c r="AG178" s="42">
        <f>IF(OR(AE178="",AD178="",AD178=0,AE178=0),"",AE178/AD178-1)</f>
        <v/>
      </c>
      <c r="AH178" s="43">
        <f>IF(OR(AD178="",W178="",W178=0),"",AD178/W178)</f>
        <v/>
      </c>
      <c r="AI178" s="43">
        <f>IF(OR(AE178="",X178="",X178=0),"",AE178/X178)</f>
        <v/>
      </c>
      <c r="AJ178" s="44">
        <f>IF(OR(AI178="",AH178=""),"",(AI178-AH178)*100)</f>
        <v/>
      </c>
      <c r="AK178" s="70" t="n"/>
      <c r="AL178" s="70" t="n"/>
      <c r="AM178" s="69">
        <f>IF(OR(AL178="",AK178="",AK178=0,AL178=0),"",AL178-AK178)</f>
        <v/>
      </c>
      <c r="AN178" s="42">
        <f>IF(OR(AL178="",AK178="",AK178=0,AL178=0),"",AL178/AK178-1)</f>
        <v/>
      </c>
      <c r="AO178" s="43">
        <f>IF(OR(AK178="",AD178="",AD178=0),"",AK178/AD178)</f>
        <v/>
      </c>
      <c r="AP178" s="43">
        <f>IF(OR(AL178="",AE178="",AE178=0),"",AL178/AE178)</f>
        <v/>
      </c>
      <c r="AQ178" s="44">
        <f>IF(OR(AP178="",AO178=""),"",(AP178-AO178)*100)</f>
        <v/>
      </c>
      <c r="AR178" s="70" t="n"/>
      <c r="AS178" s="70" t="n"/>
      <c r="AT178" s="69">
        <f>IF(OR(AS178="",AR178="",AR178=0,AS178=0),"",AS178-AR178)</f>
        <v/>
      </c>
      <c r="AU178" s="42">
        <f>IF(OR(AS178="",AR178="",AR178=0,AS178=0),"",AS178/AR178-1)</f>
        <v/>
      </c>
      <c r="AV178" s="43">
        <f>IF(OR(AR178="",AK178="",AK178=0),"",AR178/AK178)</f>
        <v/>
      </c>
      <c r="AW178" s="43">
        <f>IF(OR(AS178="",AL178="",AL178=0),"",AS178/AL178)</f>
        <v/>
      </c>
      <c r="AX178" s="44">
        <f>IF(OR(AW178="",AV178=""),"",(AW178-AV178)*100)</f>
        <v/>
      </c>
      <c r="AY178" s="45">
        <f>IF(OR(AR178="",P178="",P178=0),"",AR178/P178)</f>
        <v/>
      </c>
      <c r="AZ178" s="45">
        <f>IF(OR(AS178="",Q178="",Q178=0),"",AS178/Q178)</f>
        <v/>
      </c>
      <c r="BA178" s="44">
        <f>IF(OR(AZ178="",AY178=""),"",(AZ178-AY178)*100)</f>
        <v/>
      </c>
      <c r="BB178" s="45">
        <f>IF(OR(AR178="",E178="",E178=0),"",AR178/E178)</f>
        <v/>
      </c>
      <c r="BC178" s="45">
        <f>IF(OR(AS178="",F178="",F178=0),"",AS178/F178)</f>
        <v/>
      </c>
      <c r="BD178" s="44">
        <f>IF(OR(BC178="",BB178=""),"",(BC178-BB178)*100)</f>
        <v/>
      </c>
      <c r="BE178" s="40">
        <f>IF(AND(F178&lt;&gt;"",E178&lt;&gt;""),"Both years",IF(F178&lt;&gt;"","1-23Aug26 rows only","1-23Aug25 rows only"))</f>
        <v/>
      </c>
    </row>
    <row r="179">
      <c r="A179" s="56" t="inlineStr">
        <is>
          <t>Home page</t>
        </is>
      </c>
      <c r="B179" s="56" t="inlineStr">
        <is>
          <t>Organic</t>
        </is>
      </c>
      <c r="C179" s="56" t="inlineStr">
        <is>
          <t>Desktop</t>
        </is>
      </c>
      <c r="D179" s="56" t="inlineStr">
        <is>
          <t>Canada</t>
        </is>
      </c>
      <c r="E179" s="68" t="n">
        <v>91</v>
      </c>
      <c r="F179" s="70" t="n"/>
      <c r="G179" s="69">
        <f>IF(OR(F179="",E179="",E179=0,F179=0),"",F179-E179)</f>
        <v/>
      </c>
      <c r="H179" s="42">
        <f>IF(OR(F179="",E179="",E179=0,F179=0),"",F179/E179-1)</f>
        <v/>
      </c>
      <c r="I179" s="70" t="n"/>
      <c r="J179" s="70" t="n"/>
      <c r="K179" s="69">
        <f>IF(OR(J179="",I179="",I179=0,J179=0),"",J179-I179)</f>
        <v/>
      </c>
      <c r="L179" s="42">
        <f>IF(OR(J179="",I179="",I179=0,J179=0),"",J179/I179-1)</f>
        <v/>
      </c>
      <c r="M179" s="43">
        <f>IF(OR(I179="",E179="",E179=0),"",I179/E179)</f>
        <v/>
      </c>
      <c r="N179" s="43">
        <f>IF(OR(J179="",F179="",F179=0),"",J179/F179)</f>
        <v/>
      </c>
      <c r="O179" s="44">
        <f>IF(OR(N179="",M179=""),"",(N179-M179)*100)</f>
        <v/>
      </c>
      <c r="P179" s="68" t="n">
        <v>49</v>
      </c>
      <c r="Q179" s="70" t="n"/>
      <c r="R179" s="69">
        <f>IF(OR(Q179="",P179="",P179=0,Q179=0),"",Q179-P179)</f>
        <v/>
      </c>
      <c r="S179" s="42">
        <f>IF(OR(Q179="",P179="",P179=0,Q179=0),"",Q179/P179-1)</f>
        <v/>
      </c>
      <c r="T179" s="43">
        <f>IF(OR(P179="",E179="",E179=0),"",P179/E179)</f>
        <v/>
      </c>
      <c r="U179" s="43">
        <f>IF(OR(Q179="",F179="",F179=0),"",Q179/F179)</f>
        <v/>
      </c>
      <c r="V179" s="44">
        <f>IF(OR(U179="",T179=""),"",(U179-T179)*100)</f>
        <v/>
      </c>
      <c r="W179" s="70" t="n"/>
      <c r="X179" s="70" t="n"/>
      <c r="Y179" s="69">
        <f>IF(OR(X179="",W179="",W179=0,X179=0),"",X179-W179)</f>
        <v/>
      </c>
      <c r="Z179" s="42">
        <f>IF(OR(X179="",W179="",W179=0,X179=0),"",X179/W179-1)</f>
        <v/>
      </c>
      <c r="AA179" s="43">
        <f>IF(OR(W179="",P179="",P179=0),"",W179/P179)</f>
        <v/>
      </c>
      <c r="AB179" s="43">
        <f>IF(OR(X179="",Q179="",Q179=0),"",X179/Q179)</f>
        <v/>
      </c>
      <c r="AC179" s="44">
        <f>IF(OR(AB179="",AA179=""),"",(AB179-AA179)*100)</f>
        <v/>
      </c>
      <c r="AD179" s="70" t="n"/>
      <c r="AE179" s="70" t="n"/>
      <c r="AF179" s="69">
        <f>IF(OR(AE179="",AD179="",AD179=0,AE179=0),"",AE179-AD179)</f>
        <v/>
      </c>
      <c r="AG179" s="42">
        <f>IF(OR(AE179="",AD179="",AD179=0,AE179=0),"",AE179/AD179-1)</f>
        <v/>
      </c>
      <c r="AH179" s="43">
        <f>IF(OR(AD179="",W179="",W179=0),"",AD179/W179)</f>
        <v/>
      </c>
      <c r="AI179" s="43">
        <f>IF(OR(AE179="",X179="",X179=0),"",AE179/X179)</f>
        <v/>
      </c>
      <c r="AJ179" s="44">
        <f>IF(OR(AI179="",AH179=""),"",(AI179-AH179)*100)</f>
        <v/>
      </c>
      <c r="AK179" s="70" t="n"/>
      <c r="AL179" s="70" t="n"/>
      <c r="AM179" s="69">
        <f>IF(OR(AL179="",AK179="",AK179=0,AL179=0),"",AL179-AK179)</f>
        <v/>
      </c>
      <c r="AN179" s="42">
        <f>IF(OR(AL179="",AK179="",AK179=0,AL179=0),"",AL179/AK179-1)</f>
        <v/>
      </c>
      <c r="AO179" s="43">
        <f>IF(OR(AK179="",AD179="",AD179=0),"",AK179/AD179)</f>
        <v/>
      </c>
      <c r="AP179" s="43">
        <f>IF(OR(AL179="",AE179="",AE179=0),"",AL179/AE179)</f>
        <v/>
      </c>
      <c r="AQ179" s="44">
        <f>IF(OR(AP179="",AO179=""),"",(AP179-AO179)*100)</f>
        <v/>
      </c>
      <c r="AR179" s="70" t="n"/>
      <c r="AS179" s="70" t="n"/>
      <c r="AT179" s="69">
        <f>IF(OR(AS179="",AR179="",AR179=0,AS179=0),"",AS179-AR179)</f>
        <v/>
      </c>
      <c r="AU179" s="42">
        <f>IF(OR(AS179="",AR179="",AR179=0,AS179=0),"",AS179/AR179-1)</f>
        <v/>
      </c>
      <c r="AV179" s="43">
        <f>IF(OR(AR179="",AK179="",AK179=0),"",AR179/AK179)</f>
        <v/>
      </c>
      <c r="AW179" s="43">
        <f>IF(OR(AS179="",AL179="",AL179=0),"",AS179/AL179)</f>
        <v/>
      </c>
      <c r="AX179" s="44">
        <f>IF(OR(AW179="",AV179=""),"",(AW179-AV179)*100)</f>
        <v/>
      </c>
      <c r="AY179" s="45">
        <f>IF(OR(AR179="",P179="",P179=0),"",AR179/P179)</f>
        <v/>
      </c>
      <c r="AZ179" s="45">
        <f>IF(OR(AS179="",Q179="",Q179=0),"",AS179/Q179)</f>
        <v/>
      </c>
      <c r="BA179" s="44">
        <f>IF(OR(AZ179="",AY179=""),"",(AZ179-AY179)*100)</f>
        <v/>
      </c>
      <c r="BB179" s="45">
        <f>IF(OR(AR179="",E179="",E179=0),"",AR179/E179)</f>
        <v/>
      </c>
      <c r="BC179" s="45">
        <f>IF(OR(AS179="",F179="",F179=0),"",AS179/F179)</f>
        <v/>
      </c>
      <c r="BD179" s="44">
        <f>IF(OR(BC179="",BB179=""),"",(BC179-BB179)*100)</f>
        <v/>
      </c>
      <c r="BE179" s="40">
        <f>IF(AND(F179&lt;&gt;"",E179&lt;&gt;""),"Both years",IF(F179&lt;&gt;"","1-23Aug26 rows only","1-23Aug25 rows only"))</f>
        <v/>
      </c>
    </row>
    <row r="180">
      <c r="A180" s="40" t="inlineStr">
        <is>
          <t>Home page</t>
        </is>
      </c>
      <c r="B180" s="40" t="inlineStr">
        <is>
          <t>Organic</t>
        </is>
      </c>
      <c r="C180" s="40" t="inlineStr">
        <is>
          <t>Desktop</t>
        </is>
      </c>
      <c r="D180" s="40" t="inlineStr">
        <is>
          <t>Sweden</t>
        </is>
      </c>
      <c r="E180" s="70" t="n"/>
      <c r="F180" s="70" t="n"/>
      <c r="G180" s="69">
        <f>IF(OR(F180="",E180="",E180=0,F180=0),"",F180-E180)</f>
        <v/>
      </c>
      <c r="H180" s="42">
        <f>IF(OR(F180="",E180="",E180=0,F180=0),"",F180/E180-1)</f>
        <v/>
      </c>
      <c r="I180" s="68" t="n">
        <v>26</v>
      </c>
      <c r="J180" s="68" t="n">
        <v>41</v>
      </c>
      <c r="K180" s="69">
        <f>IF(OR(J180="",I180="",I180=0,J180=0),"",J180-I180)</f>
        <v/>
      </c>
      <c r="L180" s="42">
        <f>IF(OR(J180="",I180="",I180=0,J180=0),"",J180/I180-1)</f>
        <v/>
      </c>
      <c r="M180" s="43">
        <f>IF(OR(I180="",E180="",E180=0),"",I180/E180)</f>
        <v/>
      </c>
      <c r="N180" s="43">
        <f>IF(OR(J180="",F180="",F180=0),"",J180/F180)</f>
        <v/>
      </c>
      <c r="O180" s="44">
        <f>IF(OR(N180="",M180=""),"",(N180-M180)*100)</f>
        <v/>
      </c>
      <c r="P180" s="70" t="n"/>
      <c r="Q180" s="70" t="n"/>
      <c r="R180" s="69">
        <f>IF(OR(Q180="",P180="",P180=0,Q180=0),"",Q180-P180)</f>
        <v/>
      </c>
      <c r="S180" s="42">
        <f>IF(OR(Q180="",P180="",P180=0,Q180=0),"",Q180/P180-1)</f>
        <v/>
      </c>
      <c r="T180" s="43">
        <f>IF(OR(P180="",E180="",E180=0),"",P180/E180)</f>
        <v/>
      </c>
      <c r="U180" s="43">
        <f>IF(OR(Q180="",F180="",F180=0),"",Q180/F180)</f>
        <v/>
      </c>
      <c r="V180" s="44">
        <f>IF(OR(U180="",T180=""),"",(U180-T180)*100)</f>
        <v/>
      </c>
      <c r="W180" s="68" t="n">
        <v>16</v>
      </c>
      <c r="X180" s="68" t="n">
        <v>12</v>
      </c>
      <c r="Y180" s="69">
        <f>IF(OR(X180="",W180="",W180=0,X180=0),"",X180-W180)</f>
        <v/>
      </c>
      <c r="Z180" s="42">
        <f>IF(OR(X180="",W180="",W180=0,X180=0),"",X180/W180-1)</f>
        <v/>
      </c>
      <c r="AA180" s="43">
        <f>IF(OR(W180="",P180="",P180=0),"",W180/P180)</f>
        <v/>
      </c>
      <c r="AB180" s="43">
        <f>IF(OR(X180="",Q180="",Q180=0),"",X180/Q180)</f>
        <v/>
      </c>
      <c r="AC180" s="44">
        <f>IF(OR(AB180="",AA180=""),"",(AB180-AA180)*100)</f>
        <v/>
      </c>
      <c r="AD180" s="68" t="n">
        <v>16</v>
      </c>
      <c r="AE180" s="68" t="n">
        <v>9</v>
      </c>
      <c r="AF180" s="69">
        <f>IF(OR(AE180="",AD180="",AD180=0,AE180=0),"",AE180-AD180)</f>
        <v/>
      </c>
      <c r="AG180" s="42">
        <f>IF(OR(AE180="",AD180="",AD180=0,AE180=0),"",AE180/AD180-1)</f>
        <v/>
      </c>
      <c r="AH180" s="43">
        <f>IF(OR(AD180="",W180="",W180=0),"",AD180/W180)</f>
        <v/>
      </c>
      <c r="AI180" s="43">
        <f>IF(OR(AE180="",X180="",X180=0),"",AE180/X180)</f>
        <v/>
      </c>
      <c r="AJ180" s="44">
        <f>IF(OR(AI180="",AH180=""),"",(AI180-AH180)*100)</f>
        <v/>
      </c>
      <c r="AK180" s="68" t="n">
        <v>8</v>
      </c>
      <c r="AL180" s="68" t="n">
        <v>4</v>
      </c>
      <c r="AM180" s="69">
        <f>IF(OR(AL180="",AK180="",AK180=0,AL180=0),"",AL180-AK180)</f>
        <v/>
      </c>
      <c r="AN180" s="42">
        <f>IF(OR(AL180="",AK180="",AK180=0,AL180=0),"",AL180/AK180-1)</f>
        <v/>
      </c>
      <c r="AO180" s="43">
        <f>IF(OR(AK180="",AD180="",AD180=0),"",AK180/AD180)</f>
        <v/>
      </c>
      <c r="AP180" s="43">
        <f>IF(OR(AL180="",AE180="",AE180=0),"",AL180/AE180)</f>
        <v/>
      </c>
      <c r="AQ180" s="44">
        <f>IF(OR(AP180="",AO180=""),"",(AP180-AO180)*100)</f>
        <v/>
      </c>
      <c r="AR180" s="68" t="n">
        <v>6</v>
      </c>
      <c r="AS180" s="68" t="n">
        <v>2</v>
      </c>
      <c r="AT180" s="69">
        <f>IF(OR(AS180="",AR180="",AR180=0,AS180=0),"",AS180-AR180)</f>
        <v/>
      </c>
      <c r="AU180" s="42">
        <f>IF(OR(AS180="",AR180="",AR180=0,AS180=0),"",AS180/AR180-1)</f>
        <v/>
      </c>
      <c r="AV180" s="43">
        <f>IF(OR(AR180="",AK180="",AK180=0),"",AR180/AK180)</f>
        <v/>
      </c>
      <c r="AW180" s="43">
        <f>IF(OR(AS180="",AL180="",AL180=0),"",AS180/AL180)</f>
        <v/>
      </c>
      <c r="AX180" s="44">
        <f>IF(OR(AW180="",AV180=""),"",(AW180-AV180)*100)</f>
        <v/>
      </c>
      <c r="AY180" s="45">
        <f>IF(OR(AR180="",P180="",P180=0),"",AR180/P180)</f>
        <v/>
      </c>
      <c r="AZ180" s="45">
        <f>IF(OR(AS180="",Q180="",Q180=0),"",AS180/Q180)</f>
        <v/>
      </c>
      <c r="BA180" s="44">
        <f>IF(OR(AZ180="",AY180=""),"",(AZ180-AY180)*100)</f>
        <v/>
      </c>
      <c r="BB180" s="45">
        <f>IF(OR(AR180="",E180="",E180=0),"",AR180/E180)</f>
        <v/>
      </c>
      <c r="BC180" s="45">
        <f>IF(OR(AS180="",F180="",F180=0),"",AS180/F180)</f>
        <v/>
      </c>
      <c r="BD180" s="44">
        <f>IF(OR(BC180="",BB180=""),"",(BC180-BB180)*100)</f>
        <v/>
      </c>
      <c r="BE180" s="40">
        <f>IF(AND(F180&lt;&gt;"",E180&lt;&gt;""),"Both years",IF(F180&lt;&gt;"","1-23Aug26 rows only","1-23Aug25 rows only"))</f>
        <v/>
      </c>
    </row>
    <row r="181">
      <c r="A181" s="56" t="inlineStr">
        <is>
          <t>Home page</t>
        </is>
      </c>
      <c r="B181" s="56" t="inlineStr">
        <is>
          <t>Organic</t>
        </is>
      </c>
      <c r="C181" s="56" t="inlineStr">
        <is>
          <t>Desktop</t>
        </is>
      </c>
      <c r="D181" s="56" t="inlineStr">
        <is>
          <t>Finland</t>
        </is>
      </c>
      <c r="E181" s="70" t="n"/>
      <c r="F181" s="70" t="n"/>
      <c r="G181" s="69">
        <f>IF(OR(F181="",E181="",E181=0,F181=0),"",F181-E181)</f>
        <v/>
      </c>
      <c r="H181" s="42">
        <f>IF(OR(F181="",E181="",E181=0,F181=0),"",F181/E181-1)</f>
        <v/>
      </c>
      <c r="I181" s="68" t="n">
        <v>22</v>
      </c>
      <c r="J181" s="68" t="n">
        <v>16</v>
      </c>
      <c r="K181" s="69">
        <f>IF(OR(J181="",I181="",I181=0,J181=0),"",J181-I181)</f>
        <v/>
      </c>
      <c r="L181" s="42">
        <f>IF(OR(J181="",I181="",I181=0,J181=0),"",J181/I181-1)</f>
        <v/>
      </c>
      <c r="M181" s="43">
        <f>IF(OR(I181="",E181="",E181=0),"",I181/E181)</f>
        <v/>
      </c>
      <c r="N181" s="43">
        <f>IF(OR(J181="",F181="",F181=0),"",J181/F181)</f>
        <v/>
      </c>
      <c r="O181" s="44">
        <f>IF(OR(N181="",M181=""),"",(N181-M181)*100)</f>
        <v/>
      </c>
      <c r="P181" s="70" t="n"/>
      <c r="Q181" s="70" t="n"/>
      <c r="R181" s="69">
        <f>IF(OR(Q181="",P181="",P181=0,Q181=0),"",Q181-P181)</f>
        <v/>
      </c>
      <c r="S181" s="42">
        <f>IF(OR(Q181="",P181="",P181=0,Q181=0),"",Q181/P181-1)</f>
        <v/>
      </c>
      <c r="T181" s="43">
        <f>IF(OR(P181="",E181="",E181=0),"",P181/E181)</f>
        <v/>
      </c>
      <c r="U181" s="43">
        <f>IF(OR(Q181="",F181="",F181=0),"",Q181/F181)</f>
        <v/>
      </c>
      <c r="V181" s="44">
        <f>IF(OR(U181="",T181=""),"",(U181-T181)*100)</f>
        <v/>
      </c>
      <c r="W181" s="68" t="n">
        <v>14</v>
      </c>
      <c r="X181" s="68" t="n">
        <v>6</v>
      </c>
      <c r="Y181" s="69">
        <f>IF(OR(X181="",W181="",W181=0,X181=0),"",X181-W181)</f>
        <v/>
      </c>
      <c r="Z181" s="42">
        <f>IF(OR(X181="",W181="",W181=0,X181=0),"",X181/W181-1)</f>
        <v/>
      </c>
      <c r="AA181" s="43">
        <f>IF(OR(W181="",P181="",P181=0),"",W181/P181)</f>
        <v/>
      </c>
      <c r="AB181" s="43">
        <f>IF(OR(X181="",Q181="",Q181=0),"",X181/Q181)</f>
        <v/>
      </c>
      <c r="AC181" s="44">
        <f>IF(OR(AB181="",AA181=""),"",(AB181-AA181)*100)</f>
        <v/>
      </c>
      <c r="AD181" s="68" t="n">
        <v>12</v>
      </c>
      <c r="AE181" s="68" t="n">
        <v>5</v>
      </c>
      <c r="AF181" s="69">
        <f>IF(OR(AE181="",AD181="",AD181=0,AE181=0),"",AE181-AD181)</f>
        <v/>
      </c>
      <c r="AG181" s="42">
        <f>IF(OR(AE181="",AD181="",AD181=0,AE181=0),"",AE181/AD181-1)</f>
        <v/>
      </c>
      <c r="AH181" s="43">
        <f>IF(OR(AD181="",W181="",W181=0),"",AD181/W181)</f>
        <v/>
      </c>
      <c r="AI181" s="43">
        <f>IF(OR(AE181="",X181="",X181=0),"",AE181/X181)</f>
        <v/>
      </c>
      <c r="AJ181" s="44">
        <f>IF(OR(AI181="",AH181=""),"",(AI181-AH181)*100)</f>
        <v/>
      </c>
      <c r="AK181" s="68" t="n">
        <v>7</v>
      </c>
      <c r="AL181" s="68" t="n">
        <v>5</v>
      </c>
      <c r="AM181" s="69">
        <f>IF(OR(AL181="",AK181="",AK181=0,AL181=0),"",AL181-AK181)</f>
        <v/>
      </c>
      <c r="AN181" s="42">
        <f>IF(OR(AL181="",AK181="",AK181=0,AL181=0),"",AL181/AK181-1)</f>
        <v/>
      </c>
      <c r="AO181" s="43">
        <f>IF(OR(AK181="",AD181="",AD181=0),"",AK181/AD181)</f>
        <v/>
      </c>
      <c r="AP181" s="43">
        <f>IF(OR(AL181="",AE181="",AE181=0),"",AL181/AE181)</f>
        <v/>
      </c>
      <c r="AQ181" s="44">
        <f>IF(OR(AP181="",AO181=""),"",(AP181-AO181)*100)</f>
        <v/>
      </c>
      <c r="AR181" s="68" t="n">
        <v>5</v>
      </c>
      <c r="AS181" s="68" t="n">
        <v>4</v>
      </c>
      <c r="AT181" s="69">
        <f>IF(OR(AS181="",AR181="",AR181=0,AS181=0),"",AS181-AR181)</f>
        <v/>
      </c>
      <c r="AU181" s="42">
        <f>IF(OR(AS181="",AR181="",AR181=0,AS181=0),"",AS181/AR181-1)</f>
        <v/>
      </c>
      <c r="AV181" s="43">
        <f>IF(OR(AR181="",AK181="",AK181=0),"",AR181/AK181)</f>
        <v/>
      </c>
      <c r="AW181" s="43">
        <f>IF(OR(AS181="",AL181="",AL181=0),"",AS181/AL181)</f>
        <v/>
      </c>
      <c r="AX181" s="44">
        <f>IF(OR(AW181="",AV181=""),"",(AW181-AV181)*100)</f>
        <v/>
      </c>
      <c r="AY181" s="45">
        <f>IF(OR(AR181="",P181="",P181=0),"",AR181/P181)</f>
        <v/>
      </c>
      <c r="AZ181" s="45">
        <f>IF(OR(AS181="",Q181="",Q181=0),"",AS181/Q181)</f>
        <v/>
      </c>
      <c r="BA181" s="44">
        <f>IF(OR(AZ181="",AY181=""),"",(AZ181-AY181)*100)</f>
        <v/>
      </c>
      <c r="BB181" s="45">
        <f>IF(OR(AR181="",E181="",E181=0),"",AR181/E181)</f>
        <v/>
      </c>
      <c r="BC181" s="45">
        <f>IF(OR(AS181="",F181="",F181=0),"",AS181/F181)</f>
        <v/>
      </c>
      <c r="BD181" s="44">
        <f>IF(OR(BC181="",BB181=""),"",(BC181-BB181)*100)</f>
        <v/>
      </c>
      <c r="BE181" s="40">
        <f>IF(AND(F181&lt;&gt;"",E181&lt;&gt;""),"Both years",IF(F181&lt;&gt;"","1-23Aug26 rows only","1-23Aug25 rows only"))</f>
        <v/>
      </c>
    </row>
    <row r="182">
      <c r="A182" s="40" t="inlineStr">
        <is>
          <t>Home page</t>
        </is>
      </c>
      <c r="B182" s="40" t="inlineStr">
        <is>
          <t>Organic</t>
        </is>
      </c>
      <c r="C182" s="40" t="inlineStr">
        <is>
          <t>Desktop</t>
        </is>
      </c>
      <c r="D182" s="40" t="inlineStr">
        <is>
          <t>Norway</t>
        </is>
      </c>
      <c r="E182" s="70" t="n"/>
      <c r="F182" s="70" t="n"/>
      <c r="G182" s="69">
        <f>IF(OR(F182="",E182="",E182=0,F182=0),"",F182-E182)</f>
        <v/>
      </c>
      <c r="H182" s="42">
        <f>IF(OR(F182="",E182="",E182=0,F182=0),"",F182/E182-1)</f>
        <v/>
      </c>
      <c r="I182" s="68" t="n">
        <v>13</v>
      </c>
      <c r="J182" s="68" t="n">
        <v>16</v>
      </c>
      <c r="K182" s="69">
        <f>IF(OR(J182="",I182="",I182=0,J182=0),"",J182-I182)</f>
        <v/>
      </c>
      <c r="L182" s="42">
        <f>IF(OR(J182="",I182="",I182=0,J182=0),"",J182/I182-1)</f>
        <v/>
      </c>
      <c r="M182" s="43">
        <f>IF(OR(I182="",E182="",E182=0),"",I182/E182)</f>
        <v/>
      </c>
      <c r="N182" s="43">
        <f>IF(OR(J182="",F182="",F182=0),"",J182/F182)</f>
        <v/>
      </c>
      <c r="O182" s="44">
        <f>IF(OR(N182="",M182=""),"",(N182-M182)*100)</f>
        <v/>
      </c>
      <c r="P182" s="70" t="n"/>
      <c r="Q182" s="70" t="n"/>
      <c r="R182" s="69">
        <f>IF(OR(Q182="",P182="",P182=0,Q182=0),"",Q182-P182)</f>
        <v/>
      </c>
      <c r="S182" s="42">
        <f>IF(OR(Q182="",P182="",P182=0,Q182=0),"",Q182/P182-1)</f>
        <v/>
      </c>
      <c r="T182" s="43">
        <f>IF(OR(P182="",E182="",E182=0),"",P182/E182)</f>
        <v/>
      </c>
      <c r="U182" s="43">
        <f>IF(OR(Q182="",F182="",F182=0),"",Q182/F182)</f>
        <v/>
      </c>
      <c r="V182" s="44">
        <f>IF(OR(U182="",T182=""),"",(U182-T182)*100)</f>
        <v/>
      </c>
      <c r="W182" s="68" t="n">
        <v>10</v>
      </c>
      <c r="X182" s="68" t="n">
        <v>3</v>
      </c>
      <c r="Y182" s="69">
        <f>IF(OR(X182="",W182="",W182=0,X182=0),"",X182-W182)</f>
        <v/>
      </c>
      <c r="Z182" s="42">
        <f>IF(OR(X182="",W182="",W182=0,X182=0),"",X182/W182-1)</f>
        <v/>
      </c>
      <c r="AA182" s="43">
        <f>IF(OR(W182="",P182="",P182=0),"",W182/P182)</f>
        <v/>
      </c>
      <c r="AB182" s="43">
        <f>IF(OR(X182="",Q182="",Q182=0),"",X182/Q182)</f>
        <v/>
      </c>
      <c r="AC182" s="44">
        <f>IF(OR(AB182="",AA182=""),"",(AB182-AA182)*100)</f>
        <v/>
      </c>
      <c r="AD182" s="68" t="n">
        <v>9</v>
      </c>
      <c r="AE182" s="68" t="n">
        <v>4</v>
      </c>
      <c r="AF182" s="69">
        <f>IF(OR(AE182="",AD182="",AD182=0,AE182=0),"",AE182-AD182)</f>
        <v/>
      </c>
      <c r="AG182" s="42">
        <f>IF(OR(AE182="",AD182="",AD182=0,AE182=0),"",AE182/AD182-1)</f>
        <v/>
      </c>
      <c r="AH182" s="43">
        <f>IF(OR(AD182="",W182="",W182=0),"",AD182/W182)</f>
        <v/>
      </c>
      <c r="AI182" s="43">
        <f>IF(OR(AE182="",X182="",X182=0),"",AE182/X182)</f>
        <v/>
      </c>
      <c r="AJ182" s="44">
        <f>IF(OR(AI182="",AH182=""),"",(AI182-AH182)*100)</f>
        <v/>
      </c>
      <c r="AK182" s="68" t="n">
        <v>6</v>
      </c>
      <c r="AL182" s="68" t="n">
        <v>1</v>
      </c>
      <c r="AM182" s="69">
        <f>IF(OR(AL182="",AK182="",AK182=0,AL182=0),"",AL182-AK182)</f>
        <v/>
      </c>
      <c r="AN182" s="42">
        <f>IF(OR(AL182="",AK182="",AK182=0,AL182=0),"",AL182/AK182-1)</f>
        <v/>
      </c>
      <c r="AO182" s="43">
        <f>IF(OR(AK182="",AD182="",AD182=0),"",AK182/AD182)</f>
        <v/>
      </c>
      <c r="AP182" s="43">
        <f>IF(OR(AL182="",AE182="",AE182=0),"",AL182/AE182)</f>
        <v/>
      </c>
      <c r="AQ182" s="44">
        <f>IF(OR(AP182="",AO182=""),"",(AP182-AO182)*100)</f>
        <v/>
      </c>
      <c r="AR182" s="68" t="n">
        <v>6</v>
      </c>
      <c r="AS182" s="68" t="n">
        <v>2</v>
      </c>
      <c r="AT182" s="69">
        <f>IF(OR(AS182="",AR182="",AR182=0,AS182=0),"",AS182-AR182)</f>
        <v/>
      </c>
      <c r="AU182" s="42">
        <f>IF(OR(AS182="",AR182="",AR182=0,AS182=0),"",AS182/AR182-1)</f>
        <v/>
      </c>
      <c r="AV182" s="43">
        <f>IF(OR(AR182="",AK182="",AK182=0),"",AR182/AK182)</f>
        <v/>
      </c>
      <c r="AW182" s="43">
        <f>IF(OR(AS182="",AL182="",AL182=0),"",AS182/AL182)</f>
        <v/>
      </c>
      <c r="AX182" s="44">
        <f>IF(OR(AW182="",AV182=""),"",(AW182-AV182)*100)</f>
        <v/>
      </c>
      <c r="AY182" s="45">
        <f>IF(OR(AR182="",P182="",P182=0),"",AR182/P182)</f>
        <v/>
      </c>
      <c r="AZ182" s="45">
        <f>IF(OR(AS182="",Q182="",Q182=0),"",AS182/Q182)</f>
        <v/>
      </c>
      <c r="BA182" s="44">
        <f>IF(OR(AZ182="",AY182=""),"",(AZ182-AY182)*100)</f>
        <v/>
      </c>
      <c r="BB182" s="45">
        <f>IF(OR(AR182="",E182="",E182=0),"",AR182/E182)</f>
        <v/>
      </c>
      <c r="BC182" s="45">
        <f>IF(OR(AS182="",F182="",F182=0),"",AS182/F182)</f>
        <v/>
      </c>
      <c r="BD182" s="44">
        <f>IF(OR(BC182="",BB182=""),"",(BC182-BB182)*100)</f>
        <v/>
      </c>
      <c r="BE182" s="40">
        <f>IF(AND(F182&lt;&gt;"",E182&lt;&gt;""),"Both years",IF(F182&lt;&gt;"","1-23Aug26 rows only","1-23Aug25 rows only"))</f>
        <v/>
      </c>
    </row>
    <row r="183">
      <c r="A183" s="40" t="inlineStr">
        <is>
          <t>Home page</t>
        </is>
      </c>
      <c r="B183" s="40" t="inlineStr">
        <is>
          <t>Direct</t>
        </is>
      </c>
      <c r="C183" s="40" t="inlineStr">
        <is>
          <t>Mobile</t>
        </is>
      </c>
      <c r="D183" s="40" t="inlineStr">
        <is>
          <t>United Kingdom</t>
        </is>
      </c>
      <c r="E183" s="68" t="n">
        <v>5101</v>
      </c>
      <c r="F183" s="68" t="n">
        <v>2546</v>
      </c>
      <c r="G183" s="69">
        <f>IF(OR(F183="",E183="",E183=0,F183=0),"",F183-E183)</f>
        <v/>
      </c>
      <c r="H183" s="42">
        <f>IF(OR(F183="",E183="",E183=0,F183=0),"",F183/E183-1)</f>
        <v/>
      </c>
      <c r="I183" s="68" t="n">
        <v>2301</v>
      </c>
      <c r="J183" s="68" t="n">
        <v>968</v>
      </c>
      <c r="K183" s="69">
        <f>IF(OR(J183="",I183="",I183=0,J183=0),"",J183-I183)</f>
        <v/>
      </c>
      <c r="L183" s="42">
        <f>IF(OR(J183="",I183="",I183=0,J183=0),"",J183/I183-1)</f>
        <v/>
      </c>
      <c r="M183" s="43">
        <f>IF(OR(I183="",E183="",E183=0),"",I183/E183)</f>
        <v/>
      </c>
      <c r="N183" s="43">
        <f>IF(OR(J183="",F183="",F183=0),"",J183/F183)</f>
        <v/>
      </c>
      <c r="O183" s="44">
        <f>IF(OR(N183="",M183=""),"",(N183-M183)*100)</f>
        <v/>
      </c>
      <c r="P183" s="68" t="n">
        <v>1962</v>
      </c>
      <c r="Q183" s="68" t="n">
        <v>839</v>
      </c>
      <c r="R183" s="69">
        <f>IF(OR(Q183="",P183="",P183=0,Q183=0),"",Q183-P183)</f>
        <v/>
      </c>
      <c r="S183" s="42">
        <f>IF(OR(Q183="",P183="",P183=0,Q183=0),"",Q183/P183-1)</f>
        <v/>
      </c>
      <c r="T183" s="43">
        <f>IF(OR(P183="",E183="",E183=0),"",P183/E183)</f>
        <v/>
      </c>
      <c r="U183" s="43">
        <f>IF(OR(Q183="",F183="",F183=0),"",Q183/F183)</f>
        <v/>
      </c>
      <c r="V183" s="44">
        <f>IF(OR(U183="",T183=""),"",(U183-T183)*100)</f>
        <v/>
      </c>
      <c r="W183" s="68" t="n">
        <v>744</v>
      </c>
      <c r="X183" s="68" t="n">
        <v>325</v>
      </c>
      <c r="Y183" s="69">
        <f>IF(OR(X183="",W183="",W183=0,X183=0),"",X183-W183)</f>
        <v/>
      </c>
      <c r="Z183" s="42">
        <f>IF(OR(X183="",W183="",W183=0,X183=0),"",X183/W183-1)</f>
        <v/>
      </c>
      <c r="AA183" s="43">
        <f>IF(OR(W183="",P183="",P183=0),"",W183/P183)</f>
        <v/>
      </c>
      <c r="AB183" s="43">
        <f>IF(OR(X183="",Q183="",Q183=0),"",X183/Q183)</f>
        <v/>
      </c>
      <c r="AC183" s="44">
        <f>IF(OR(AB183="",AA183=""),"",(AB183-AA183)*100)</f>
        <v/>
      </c>
      <c r="AD183" s="68" t="n">
        <v>631</v>
      </c>
      <c r="AE183" s="68" t="n">
        <v>279</v>
      </c>
      <c r="AF183" s="69">
        <f>IF(OR(AE183="",AD183="",AD183=0,AE183=0),"",AE183-AD183)</f>
        <v/>
      </c>
      <c r="AG183" s="42">
        <f>IF(OR(AE183="",AD183="",AD183=0,AE183=0),"",AE183/AD183-1)</f>
        <v/>
      </c>
      <c r="AH183" s="43">
        <f>IF(OR(AD183="",W183="",W183=0),"",AD183/W183)</f>
        <v/>
      </c>
      <c r="AI183" s="43">
        <f>IF(OR(AE183="",X183="",X183=0),"",AE183/X183)</f>
        <v/>
      </c>
      <c r="AJ183" s="44">
        <f>IF(OR(AI183="",AH183=""),"",(AI183-AH183)*100)</f>
        <v/>
      </c>
      <c r="AK183" s="68" t="n">
        <v>381</v>
      </c>
      <c r="AL183" s="68" t="n">
        <v>163</v>
      </c>
      <c r="AM183" s="69">
        <f>IF(OR(AL183="",AK183="",AK183=0,AL183=0),"",AL183-AK183)</f>
        <v/>
      </c>
      <c r="AN183" s="42">
        <f>IF(OR(AL183="",AK183="",AK183=0,AL183=0),"",AL183/AK183-1)</f>
        <v/>
      </c>
      <c r="AO183" s="43">
        <f>IF(OR(AK183="",AD183="",AD183=0),"",AK183/AD183)</f>
        <v/>
      </c>
      <c r="AP183" s="43">
        <f>IF(OR(AL183="",AE183="",AE183=0),"",AL183/AE183)</f>
        <v/>
      </c>
      <c r="AQ183" s="44">
        <f>IF(OR(AP183="",AO183=""),"",(AP183-AO183)*100)</f>
        <v/>
      </c>
      <c r="AR183" s="68" t="n">
        <v>311</v>
      </c>
      <c r="AS183" s="68" t="n">
        <v>146</v>
      </c>
      <c r="AT183" s="69">
        <f>IF(OR(AS183="",AR183="",AR183=0,AS183=0),"",AS183-AR183)</f>
        <v/>
      </c>
      <c r="AU183" s="42">
        <f>IF(OR(AS183="",AR183="",AR183=0,AS183=0),"",AS183/AR183-1)</f>
        <v/>
      </c>
      <c r="AV183" s="43">
        <f>IF(OR(AR183="",AK183="",AK183=0),"",AR183/AK183)</f>
        <v/>
      </c>
      <c r="AW183" s="43">
        <f>IF(OR(AS183="",AL183="",AL183=0),"",AS183/AL183)</f>
        <v/>
      </c>
      <c r="AX183" s="44">
        <f>IF(OR(AW183="",AV183=""),"",(AW183-AV183)*100)</f>
        <v/>
      </c>
      <c r="AY183" s="45">
        <f>IF(OR(AR183="",P183="",P183=0),"",AR183/P183)</f>
        <v/>
      </c>
      <c r="AZ183" s="45">
        <f>IF(OR(AS183="",Q183="",Q183=0),"",AS183/Q183)</f>
        <v/>
      </c>
      <c r="BA183" s="44">
        <f>IF(OR(AZ183="",AY183=""),"",(AZ183-AY183)*100)</f>
        <v/>
      </c>
      <c r="BB183" s="45">
        <f>IF(OR(AR183="",E183="",E183=0),"",AR183/E183)</f>
        <v/>
      </c>
      <c r="BC183" s="45">
        <f>IF(OR(AS183="",F183="",F183=0),"",AS183/F183)</f>
        <v/>
      </c>
      <c r="BD183" s="44">
        <f>IF(OR(BC183="",BB183=""),"",(BC183-BB183)*100)</f>
        <v/>
      </c>
      <c r="BE183" s="40">
        <f>IF(AND(F183&lt;&gt;"",E183&lt;&gt;""),"Both years",IF(F183&lt;&gt;"","1-23Aug26 rows only","1-23Aug25 rows only"))</f>
        <v/>
      </c>
    </row>
    <row r="184">
      <c r="A184" s="56" t="inlineStr">
        <is>
          <t>Home page</t>
        </is>
      </c>
      <c r="B184" s="56" t="inlineStr">
        <is>
          <t>Direct</t>
        </is>
      </c>
      <c r="C184" s="56" t="inlineStr">
        <is>
          <t>Mobile</t>
        </is>
      </c>
      <c r="D184" s="56" t="inlineStr">
        <is>
          <t>Germany</t>
        </is>
      </c>
      <c r="E184" s="68" t="n">
        <v>1524</v>
      </c>
      <c r="F184" s="68" t="n">
        <v>943</v>
      </c>
      <c r="G184" s="69">
        <f>IF(OR(F184="",E184="",E184=0,F184=0),"",F184-E184)</f>
        <v/>
      </c>
      <c r="H184" s="42">
        <f>IF(OR(F184="",E184="",E184=0,F184=0),"",F184/E184-1)</f>
        <v/>
      </c>
      <c r="I184" s="68" t="n">
        <v>716</v>
      </c>
      <c r="J184" s="68" t="n">
        <v>405</v>
      </c>
      <c r="K184" s="69">
        <f>IF(OR(J184="",I184="",I184=0,J184=0),"",J184-I184)</f>
        <v/>
      </c>
      <c r="L184" s="42">
        <f>IF(OR(J184="",I184="",I184=0,J184=0),"",J184/I184-1)</f>
        <v/>
      </c>
      <c r="M184" s="43">
        <f>IF(OR(I184="",E184="",E184=0),"",I184/E184)</f>
        <v/>
      </c>
      <c r="N184" s="43">
        <f>IF(OR(J184="",F184="",F184=0),"",J184/F184)</f>
        <v/>
      </c>
      <c r="O184" s="44">
        <f>IF(OR(N184="",M184=""),"",(N184-M184)*100)</f>
        <v/>
      </c>
      <c r="P184" s="68" t="n">
        <v>582</v>
      </c>
      <c r="Q184" s="68" t="n">
        <v>395</v>
      </c>
      <c r="R184" s="69">
        <f>IF(OR(Q184="",P184="",P184=0,Q184=0),"",Q184-P184)</f>
        <v/>
      </c>
      <c r="S184" s="42">
        <f>IF(OR(Q184="",P184="",P184=0,Q184=0),"",Q184/P184-1)</f>
        <v/>
      </c>
      <c r="T184" s="43">
        <f>IF(OR(P184="",E184="",E184=0),"",P184/E184)</f>
        <v/>
      </c>
      <c r="U184" s="43">
        <f>IF(OR(Q184="",F184="",F184=0),"",Q184/F184)</f>
        <v/>
      </c>
      <c r="V184" s="44">
        <f>IF(OR(U184="",T184=""),"",(U184-T184)*100)</f>
        <v/>
      </c>
      <c r="W184" s="68" t="n">
        <v>241</v>
      </c>
      <c r="X184" s="68" t="n">
        <v>170</v>
      </c>
      <c r="Y184" s="69">
        <f>IF(OR(X184="",W184="",W184=0,X184=0),"",X184-W184)</f>
        <v/>
      </c>
      <c r="Z184" s="42">
        <f>IF(OR(X184="",W184="",W184=0,X184=0),"",X184/W184-1)</f>
        <v/>
      </c>
      <c r="AA184" s="43">
        <f>IF(OR(W184="",P184="",P184=0),"",W184/P184)</f>
        <v/>
      </c>
      <c r="AB184" s="43">
        <f>IF(OR(X184="",Q184="",Q184=0),"",X184/Q184)</f>
        <v/>
      </c>
      <c r="AC184" s="44">
        <f>IF(OR(AB184="",AA184=""),"",(AB184-AA184)*100)</f>
        <v/>
      </c>
      <c r="AD184" s="68" t="n">
        <v>204</v>
      </c>
      <c r="AE184" s="68" t="n">
        <v>141</v>
      </c>
      <c r="AF184" s="69">
        <f>IF(OR(AE184="",AD184="",AD184=0,AE184=0),"",AE184-AD184)</f>
        <v/>
      </c>
      <c r="AG184" s="42">
        <f>IF(OR(AE184="",AD184="",AD184=0,AE184=0),"",AE184/AD184-1)</f>
        <v/>
      </c>
      <c r="AH184" s="43">
        <f>IF(OR(AD184="",W184="",W184=0),"",AD184/W184)</f>
        <v/>
      </c>
      <c r="AI184" s="43">
        <f>IF(OR(AE184="",X184="",X184=0),"",AE184/X184)</f>
        <v/>
      </c>
      <c r="AJ184" s="44">
        <f>IF(OR(AI184="",AH184=""),"",(AI184-AH184)*100)</f>
        <v/>
      </c>
      <c r="AK184" s="68" t="n">
        <v>104</v>
      </c>
      <c r="AL184" s="68" t="n">
        <v>67</v>
      </c>
      <c r="AM184" s="69">
        <f>IF(OR(AL184="",AK184="",AK184=0,AL184=0),"",AL184-AK184)</f>
        <v/>
      </c>
      <c r="AN184" s="42">
        <f>IF(OR(AL184="",AK184="",AK184=0,AL184=0),"",AL184/AK184-1)</f>
        <v/>
      </c>
      <c r="AO184" s="43">
        <f>IF(OR(AK184="",AD184="",AD184=0),"",AK184/AD184)</f>
        <v/>
      </c>
      <c r="AP184" s="43">
        <f>IF(OR(AL184="",AE184="",AE184=0),"",AL184/AE184)</f>
        <v/>
      </c>
      <c r="AQ184" s="44">
        <f>IF(OR(AP184="",AO184=""),"",(AP184-AO184)*100)</f>
        <v/>
      </c>
      <c r="AR184" s="68" t="n">
        <v>83</v>
      </c>
      <c r="AS184" s="68" t="n">
        <v>67</v>
      </c>
      <c r="AT184" s="69">
        <f>IF(OR(AS184="",AR184="",AR184=0,AS184=0),"",AS184-AR184)</f>
        <v/>
      </c>
      <c r="AU184" s="42">
        <f>IF(OR(AS184="",AR184="",AR184=0,AS184=0),"",AS184/AR184-1)</f>
        <v/>
      </c>
      <c r="AV184" s="43">
        <f>IF(OR(AR184="",AK184="",AK184=0),"",AR184/AK184)</f>
        <v/>
      </c>
      <c r="AW184" s="43">
        <f>IF(OR(AS184="",AL184="",AL184=0),"",AS184/AL184)</f>
        <v/>
      </c>
      <c r="AX184" s="44">
        <f>IF(OR(AW184="",AV184=""),"",(AW184-AV184)*100)</f>
        <v/>
      </c>
      <c r="AY184" s="45">
        <f>IF(OR(AR184="",P184="",P184=0),"",AR184/P184)</f>
        <v/>
      </c>
      <c r="AZ184" s="45">
        <f>IF(OR(AS184="",Q184="",Q184=0),"",AS184/Q184)</f>
        <v/>
      </c>
      <c r="BA184" s="44">
        <f>IF(OR(AZ184="",AY184=""),"",(AZ184-AY184)*100)</f>
        <v/>
      </c>
      <c r="BB184" s="45">
        <f>IF(OR(AR184="",E184="",E184=0),"",AR184/E184)</f>
        <v/>
      </c>
      <c r="BC184" s="45">
        <f>IF(OR(AS184="",F184="",F184=0),"",AS184/F184)</f>
        <v/>
      </c>
      <c r="BD184" s="44">
        <f>IF(OR(BC184="",BB184=""),"",(BC184-BB184)*100)</f>
        <v/>
      </c>
      <c r="BE184" s="40">
        <f>IF(AND(F184&lt;&gt;"",E184&lt;&gt;""),"Both years",IF(F184&lt;&gt;"","1-23Aug26 rows only","1-23Aug25 rows only"))</f>
        <v/>
      </c>
    </row>
    <row r="185">
      <c r="A185" s="40" t="inlineStr">
        <is>
          <t>Home page</t>
        </is>
      </c>
      <c r="B185" s="40" t="inlineStr">
        <is>
          <t>Direct</t>
        </is>
      </c>
      <c r="C185" s="40" t="inlineStr">
        <is>
          <t>Mobile</t>
        </is>
      </c>
      <c r="D185" s="40" t="inlineStr">
        <is>
          <t>Spain</t>
        </is>
      </c>
      <c r="E185" s="68" t="n">
        <v>962</v>
      </c>
      <c r="F185" s="68" t="n">
        <v>736</v>
      </c>
      <c r="G185" s="69">
        <f>IF(OR(F185="",E185="",E185=0,F185=0),"",F185-E185)</f>
        <v/>
      </c>
      <c r="H185" s="42">
        <f>IF(OR(F185="",E185="",E185=0,F185=0),"",F185/E185-1)</f>
        <v/>
      </c>
      <c r="I185" s="68" t="n">
        <v>429</v>
      </c>
      <c r="J185" s="68" t="n">
        <v>213</v>
      </c>
      <c r="K185" s="69">
        <f>IF(OR(J185="",I185="",I185=0,J185=0),"",J185-I185)</f>
        <v/>
      </c>
      <c r="L185" s="42">
        <f>IF(OR(J185="",I185="",I185=0,J185=0),"",J185/I185-1)</f>
        <v/>
      </c>
      <c r="M185" s="43">
        <f>IF(OR(I185="",E185="",E185=0),"",I185/E185)</f>
        <v/>
      </c>
      <c r="N185" s="43">
        <f>IF(OR(J185="",F185="",F185=0),"",J185/F185)</f>
        <v/>
      </c>
      <c r="O185" s="44">
        <f>IF(OR(N185="",M185=""),"",(N185-M185)*100)</f>
        <v/>
      </c>
      <c r="P185" s="68" t="n">
        <v>323</v>
      </c>
      <c r="Q185" s="68" t="n">
        <v>212</v>
      </c>
      <c r="R185" s="69">
        <f>IF(OR(Q185="",P185="",P185=0,Q185=0),"",Q185-P185)</f>
        <v/>
      </c>
      <c r="S185" s="42">
        <f>IF(OR(Q185="",P185="",P185=0,Q185=0),"",Q185/P185-1)</f>
        <v/>
      </c>
      <c r="T185" s="43">
        <f>IF(OR(P185="",E185="",E185=0),"",P185/E185)</f>
        <v/>
      </c>
      <c r="U185" s="43">
        <f>IF(OR(Q185="",F185="",F185=0),"",Q185/F185)</f>
        <v/>
      </c>
      <c r="V185" s="44">
        <f>IF(OR(U185="",T185=""),"",(U185-T185)*100)</f>
        <v/>
      </c>
      <c r="W185" s="68" t="n">
        <v>132</v>
      </c>
      <c r="X185" s="68" t="n">
        <v>95</v>
      </c>
      <c r="Y185" s="69">
        <f>IF(OR(X185="",W185="",W185=0,X185=0),"",X185-W185)</f>
        <v/>
      </c>
      <c r="Z185" s="42">
        <f>IF(OR(X185="",W185="",W185=0,X185=0),"",X185/W185-1)</f>
        <v/>
      </c>
      <c r="AA185" s="43">
        <f>IF(OR(W185="",P185="",P185=0),"",W185/P185)</f>
        <v/>
      </c>
      <c r="AB185" s="43">
        <f>IF(OR(X185="",Q185="",Q185=0),"",X185/Q185)</f>
        <v/>
      </c>
      <c r="AC185" s="44">
        <f>IF(OR(AB185="",AA185=""),"",(AB185-AA185)*100)</f>
        <v/>
      </c>
      <c r="AD185" s="68" t="n">
        <v>115</v>
      </c>
      <c r="AE185" s="68" t="n">
        <v>80</v>
      </c>
      <c r="AF185" s="69">
        <f>IF(OR(AE185="",AD185="",AD185=0,AE185=0),"",AE185-AD185)</f>
        <v/>
      </c>
      <c r="AG185" s="42">
        <f>IF(OR(AE185="",AD185="",AD185=0,AE185=0),"",AE185/AD185-1)</f>
        <v/>
      </c>
      <c r="AH185" s="43">
        <f>IF(OR(AD185="",W185="",W185=0),"",AD185/W185)</f>
        <v/>
      </c>
      <c r="AI185" s="43">
        <f>IF(OR(AE185="",X185="",X185=0),"",AE185/X185)</f>
        <v/>
      </c>
      <c r="AJ185" s="44">
        <f>IF(OR(AI185="",AH185=""),"",(AI185-AH185)*100)</f>
        <v/>
      </c>
      <c r="AK185" s="68" t="n">
        <v>56</v>
      </c>
      <c r="AL185" s="68" t="n">
        <v>50</v>
      </c>
      <c r="AM185" s="69">
        <f>IF(OR(AL185="",AK185="",AK185=0,AL185=0),"",AL185-AK185)</f>
        <v/>
      </c>
      <c r="AN185" s="42">
        <f>IF(OR(AL185="",AK185="",AK185=0,AL185=0),"",AL185/AK185-1)</f>
        <v/>
      </c>
      <c r="AO185" s="43">
        <f>IF(OR(AK185="",AD185="",AD185=0),"",AK185/AD185)</f>
        <v/>
      </c>
      <c r="AP185" s="43">
        <f>IF(OR(AL185="",AE185="",AE185=0),"",AL185/AE185)</f>
        <v/>
      </c>
      <c r="AQ185" s="44">
        <f>IF(OR(AP185="",AO185=""),"",(AP185-AO185)*100)</f>
        <v/>
      </c>
      <c r="AR185" s="68" t="n">
        <v>50</v>
      </c>
      <c r="AS185" s="68" t="n">
        <v>46</v>
      </c>
      <c r="AT185" s="69">
        <f>IF(OR(AS185="",AR185="",AR185=0,AS185=0),"",AS185-AR185)</f>
        <v/>
      </c>
      <c r="AU185" s="42">
        <f>IF(OR(AS185="",AR185="",AR185=0,AS185=0),"",AS185/AR185-1)</f>
        <v/>
      </c>
      <c r="AV185" s="43">
        <f>IF(OR(AR185="",AK185="",AK185=0),"",AR185/AK185)</f>
        <v/>
      </c>
      <c r="AW185" s="43">
        <f>IF(OR(AS185="",AL185="",AL185=0),"",AS185/AL185)</f>
        <v/>
      </c>
      <c r="AX185" s="44">
        <f>IF(OR(AW185="",AV185=""),"",(AW185-AV185)*100)</f>
        <v/>
      </c>
      <c r="AY185" s="45">
        <f>IF(OR(AR185="",P185="",P185=0),"",AR185/P185)</f>
        <v/>
      </c>
      <c r="AZ185" s="45">
        <f>IF(OR(AS185="",Q185="",Q185=0),"",AS185/Q185)</f>
        <v/>
      </c>
      <c r="BA185" s="44">
        <f>IF(OR(AZ185="",AY185=""),"",(AZ185-AY185)*100)</f>
        <v/>
      </c>
      <c r="BB185" s="45">
        <f>IF(OR(AR185="",E185="",E185=0),"",AR185/E185)</f>
        <v/>
      </c>
      <c r="BC185" s="45">
        <f>IF(OR(AS185="",F185="",F185=0),"",AS185/F185)</f>
        <v/>
      </c>
      <c r="BD185" s="44">
        <f>IF(OR(BC185="",BB185=""),"",(BC185-BB185)*100)</f>
        <v/>
      </c>
      <c r="BE185" s="40">
        <f>IF(AND(F185&lt;&gt;"",E185&lt;&gt;""),"Both years",IF(F185&lt;&gt;"","1-23Aug26 rows only","1-23Aug25 rows only"))</f>
        <v/>
      </c>
    </row>
    <row r="186">
      <c r="A186" s="56" t="inlineStr">
        <is>
          <t>Home page</t>
        </is>
      </c>
      <c r="B186" s="56" t="inlineStr">
        <is>
          <t>Direct</t>
        </is>
      </c>
      <c r="C186" s="56" t="inlineStr">
        <is>
          <t>Mobile</t>
        </is>
      </c>
      <c r="D186" s="56" t="inlineStr">
        <is>
          <t>Italy</t>
        </is>
      </c>
      <c r="E186" s="68" t="n">
        <v>570</v>
      </c>
      <c r="F186" s="68" t="n">
        <v>726</v>
      </c>
      <c r="G186" s="69">
        <f>IF(OR(F186="",E186="",E186=0,F186=0),"",F186-E186)</f>
        <v/>
      </c>
      <c r="H186" s="42">
        <f>IF(OR(F186="",E186="",E186=0,F186=0),"",F186/E186-1)</f>
        <v/>
      </c>
      <c r="I186" s="68" t="n">
        <v>270</v>
      </c>
      <c r="J186" s="68" t="n">
        <v>220</v>
      </c>
      <c r="K186" s="69">
        <f>IF(OR(J186="",I186="",I186=0,J186=0),"",J186-I186)</f>
        <v/>
      </c>
      <c r="L186" s="42">
        <f>IF(OR(J186="",I186="",I186=0,J186=0),"",J186/I186-1)</f>
        <v/>
      </c>
      <c r="M186" s="43">
        <f>IF(OR(I186="",E186="",E186=0),"",I186/E186)</f>
        <v/>
      </c>
      <c r="N186" s="43">
        <f>IF(OR(J186="",F186="",F186=0),"",J186/F186)</f>
        <v/>
      </c>
      <c r="O186" s="44">
        <f>IF(OR(N186="",M186=""),"",(N186-M186)*100)</f>
        <v/>
      </c>
      <c r="P186" s="68" t="n">
        <v>200</v>
      </c>
      <c r="Q186" s="68" t="n">
        <v>210</v>
      </c>
      <c r="R186" s="69">
        <f>IF(OR(Q186="",P186="",P186=0,Q186=0),"",Q186-P186)</f>
        <v/>
      </c>
      <c r="S186" s="42">
        <f>IF(OR(Q186="",P186="",P186=0,Q186=0),"",Q186/P186-1)</f>
        <v/>
      </c>
      <c r="T186" s="43">
        <f>IF(OR(P186="",E186="",E186=0),"",P186/E186)</f>
        <v/>
      </c>
      <c r="U186" s="43">
        <f>IF(OR(Q186="",F186="",F186=0),"",Q186/F186)</f>
        <v/>
      </c>
      <c r="V186" s="44">
        <f>IF(OR(U186="",T186=""),"",(U186-T186)*100)</f>
        <v/>
      </c>
      <c r="W186" s="68" t="n">
        <v>65</v>
      </c>
      <c r="X186" s="68" t="n">
        <v>82</v>
      </c>
      <c r="Y186" s="69">
        <f>IF(OR(X186="",W186="",W186=0,X186=0),"",X186-W186)</f>
        <v/>
      </c>
      <c r="Z186" s="42">
        <f>IF(OR(X186="",W186="",W186=0,X186=0),"",X186/W186-1)</f>
        <v/>
      </c>
      <c r="AA186" s="43">
        <f>IF(OR(W186="",P186="",P186=0),"",W186/P186)</f>
        <v/>
      </c>
      <c r="AB186" s="43">
        <f>IF(OR(X186="",Q186="",Q186=0),"",X186/Q186)</f>
        <v/>
      </c>
      <c r="AC186" s="44">
        <f>IF(OR(AB186="",AA186=""),"",(AB186-AA186)*100)</f>
        <v/>
      </c>
      <c r="AD186" s="68" t="n">
        <v>59</v>
      </c>
      <c r="AE186" s="68" t="n">
        <v>61</v>
      </c>
      <c r="AF186" s="69">
        <f>IF(OR(AE186="",AD186="",AD186=0,AE186=0),"",AE186-AD186)</f>
        <v/>
      </c>
      <c r="AG186" s="42">
        <f>IF(OR(AE186="",AD186="",AD186=0,AE186=0),"",AE186/AD186-1)</f>
        <v/>
      </c>
      <c r="AH186" s="43">
        <f>IF(OR(AD186="",W186="",W186=0),"",AD186/W186)</f>
        <v/>
      </c>
      <c r="AI186" s="43">
        <f>IF(OR(AE186="",X186="",X186=0),"",AE186/X186)</f>
        <v/>
      </c>
      <c r="AJ186" s="44">
        <f>IF(OR(AI186="",AH186=""),"",(AI186-AH186)*100)</f>
        <v/>
      </c>
      <c r="AK186" s="68" t="n">
        <v>30</v>
      </c>
      <c r="AL186" s="68" t="n">
        <v>26</v>
      </c>
      <c r="AM186" s="69">
        <f>IF(OR(AL186="",AK186="",AK186=0,AL186=0),"",AL186-AK186)</f>
        <v/>
      </c>
      <c r="AN186" s="42">
        <f>IF(OR(AL186="",AK186="",AK186=0,AL186=0),"",AL186/AK186-1)</f>
        <v/>
      </c>
      <c r="AO186" s="43">
        <f>IF(OR(AK186="",AD186="",AD186=0),"",AK186/AD186)</f>
        <v/>
      </c>
      <c r="AP186" s="43">
        <f>IF(OR(AL186="",AE186="",AE186=0),"",AL186/AE186)</f>
        <v/>
      </c>
      <c r="AQ186" s="44">
        <f>IF(OR(AP186="",AO186=""),"",(AP186-AO186)*100)</f>
        <v/>
      </c>
      <c r="AR186" s="68" t="n">
        <v>29</v>
      </c>
      <c r="AS186" s="68" t="n">
        <v>25</v>
      </c>
      <c r="AT186" s="69">
        <f>IF(OR(AS186="",AR186="",AR186=0,AS186=0),"",AS186-AR186)</f>
        <v/>
      </c>
      <c r="AU186" s="42">
        <f>IF(OR(AS186="",AR186="",AR186=0,AS186=0),"",AS186/AR186-1)</f>
        <v/>
      </c>
      <c r="AV186" s="43">
        <f>IF(OR(AR186="",AK186="",AK186=0),"",AR186/AK186)</f>
        <v/>
      </c>
      <c r="AW186" s="43">
        <f>IF(OR(AS186="",AL186="",AL186=0),"",AS186/AL186)</f>
        <v/>
      </c>
      <c r="AX186" s="44">
        <f>IF(OR(AW186="",AV186=""),"",(AW186-AV186)*100)</f>
        <v/>
      </c>
      <c r="AY186" s="45">
        <f>IF(OR(AR186="",P186="",P186=0),"",AR186/P186)</f>
        <v/>
      </c>
      <c r="AZ186" s="45">
        <f>IF(OR(AS186="",Q186="",Q186=0),"",AS186/Q186)</f>
        <v/>
      </c>
      <c r="BA186" s="44">
        <f>IF(OR(AZ186="",AY186=""),"",(AZ186-AY186)*100)</f>
        <v/>
      </c>
      <c r="BB186" s="45">
        <f>IF(OR(AR186="",E186="",E186=0),"",AR186/E186)</f>
        <v/>
      </c>
      <c r="BC186" s="45">
        <f>IF(OR(AS186="",F186="",F186=0),"",AS186/F186)</f>
        <v/>
      </c>
      <c r="BD186" s="44">
        <f>IF(OR(BC186="",BB186=""),"",(BC186-BB186)*100)</f>
        <v/>
      </c>
      <c r="BE186" s="40">
        <f>IF(AND(F186&lt;&gt;"",E186&lt;&gt;""),"Both years",IF(F186&lt;&gt;"","1-23Aug26 rows only","1-23Aug25 rows only"))</f>
        <v/>
      </c>
    </row>
    <row r="187">
      <c r="A187" s="40" t="inlineStr">
        <is>
          <t>Home page</t>
        </is>
      </c>
      <c r="B187" s="40" t="inlineStr">
        <is>
          <t>Direct</t>
        </is>
      </c>
      <c r="C187" s="40" t="inlineStr">
        <is>
          <t>Mobile</t>
        </is>
      </c>
      <c r="D187" s="40" t="inlineStr">
        <is>
          <t>United States</t>
        </is>
      </c>
      <c r="E187" s="68" t="n">
        <v>569</v>
      </c>
      <c r="F187" s="68" t="n">
        <v>468</v>
      </c>
      <c r="G187" s="69">
        <f>IF(OR(F187="",E187="",E187=0,F187=0),"",F187-E187)</f>
        <v/>
      </c>
      <c r="H187" s="42">
        <f>IF(OR(F187="",E187="",E187=0,F187=0),"",F187/E187-1)</f>
        <v/>
      </c>
      <c r="I187" s="68" t="n">
        <v>267</v>
      </c>
      <c r="J187" s="68" t="n">
        <v>157</v>
      </c>
      <c r="K187" s="69">
        <f>IF(OR(J187="",I187="",I187=0,J187=0),"",J187-I187)</f>
        <v/>
      </c>
      <c r="L187" s="42">
        <f>IF(OR(J187="",I187="",I187=0,J187=0),"",J187/I187-1)</f>
        <v/>
      </c>
      <c r="M187" s="43">
        <f>IF(OR(I187="",E187="",E187=0),"",I187/E187)</f>
        <v/>
      </c>
      <c r="N187" s="43">
        <f>IF(OR(J187="",F187="",F187=0),"",J187/F187)</f>
        <v/>
      </c>
      <c r="O187" s="44">
        <f>IF(OR(N187="",M187=""),"",(N187-M187)*100)</f>
        <v/>
      </c>
      <c r="P187" s="68" t="n">
        <v>191</v>
      </c>
      <c r="Q187" s="68" t="n">
        <v>125</v>
      </c>
      <c r="R187" s="69">
        <f>IF(OR(Q187="",P187="",P187=0,Q187=0),"",Q187-P187)</f>
        <v/>
      </c>
      <c r="S187" s="42">
        <f>IF(OR(Q187="",P187="",P187=0,Q187=0),"",Q187/P187-1)</f>
        <v/>
      </c>
      <c r="T187" s="43">
        <f>IF(OR(P187="",E187="",E187=0),"",P187/E187)</f>
        <v/>
      </c>
      <c r="U187" s="43">
        <f>IF(OR(Q187="",F187="",F187=0),"",Q187/F187)</f>
        <v/>
      </c>
      <c r="V187" s="44">
        <f>IF(OR(U187="",T187=""),"",(U187-T187)*100)</f>
        <v/>
      </c>
      <c r="W187" s="68" t="n">
        <v>99</v>
      </c>
      <c r="X187" s="68" t="n">
        <v>69</v>
      </c>
      <c r="Y187" s="69">
        <f>IF(OR(X187="",W187="",W187=0,X187=0),"",X187-W187)</f>
        <v/>
      </c>
      <c r="Z187" s="42">
        <f>IF(OR(X187="",W187="",W187=0,X187=0),"",X187/W187-1)</f>
        <v/>
      </c>
      <c r="AA187" s="43">
        <f>IF(OR(W187="",P187="",P187=0),"",W187/P187)</f>
        <v/>
      </c>
      <c r="AB187" s="43">
        <f>IF(OR(X187="",Q187="",Q187=0),"",X187/Q187)</f>
        <v/>
      </c>
      <c r="AC187" s="44">
        <f>IF(OR(AB187="",AA187=""),"",(AB187-AA187)*100)</f>
        <v/>
      </c>
      <c r="AD187" s="68" t="n">
        <v>93</v>
      </c>
      <c r="AE187" s="68" t="n">
        <v>61</v>
      </c>
      <c r="AF187" s="69">
        <f>IF(OR(AE187="",AD187="",AD187=0,AE187=0),"",AE187-AD187)</f>
        <v/>
      </c>
      <c r="AG187" s="42">
        <f>IF(OR(AE187="",AD187="",AD187=0,AE187=0),"",AE187/AD187-1)</f>
        <v/>
      </c>
      <c r="AH187" s="43">
        <f>IF(OR(AD187="",W187="",W187=0),"",AD187/W187)</f>
        <v/>
      </c>
      <c r="AI187" s="43">
        <f>IF(OR(AE187="",X187="",X187=0),"",AE187/X187)</f>
        <v/>
      </c>
      <c r="AJ187" s="44">
        <f>IF(OR(AI187="",AH187=""),"",(AI187-AH187)*100)</f>
        <v/>
      </c>
      <c r="AK187" s="68" t="n">
        <v>43</v>
      </c>
      <c r="AL187" s="68" t="n">
        <v>34</v>
      </c>
      <c r="AM187" s="69">
        <f>IF(OR(AL187="",AK187="",AK187=0,AL187=0),"",AL187-AK187)</f>
        <v/>
      </c>
      <c r="AN187" s="42">
        <f>IF(OR(AL187="",AK187="",AK187=0,AL187=0),"",AL187/AK187-1)</f>
        <v/>
      </c>
      <c r="AO187" s="43">
        <f>IF(OR(AK187="",AD187="",AD187=0),"",AK187/AD187)</f>
        <v/>
      </c>
      <c r="AP187" s="43">
        <f>IF(OR(AL187="",AE187="",AE187=0),"",AL187/AE187)</f>
        <v/>
      </c>
      <c r="AQ187" s="44">
        <f>IF(OR(AP187="",AO187=""),"",(AP187-AO187)*100)</f>
        <v/>
      </c>
      <c r="AR187" s="68" t="n">
        <v>24</v>
      </c>
      <c r="AS187" s="68" t="n">
        <v>27</v>
      </c>
      <c r="AT187" s="69">
        <f>IF(OR(AS187="",AR187="",AR187=0,AS187=0),"",AS187-AR187)</f>
        <v/>
      </c>
      <c r="AU187" s="42">
        <f>IF(OR(AS187="",AR187="",AR187=0,AS187=0),"",AS187/AR187-1)</f>
        <v/>
      </c>
      <c r="AV187" s="43">
        <f>IF(OR(AR187="",AK187="",AK187=0),"",AR187/AK187)</f>
        <v/>
      </c>
      <c r="AW187" s="43">
        <f>IF(OR(AS187="",AL187="",AL187=0),"",AS187/AL187)</f>
        <v/>
      </c>
      <c r="AX187" s="44">
        <f>IF(OR(AW187="",AV187=""),"",(AW187-AV187)*100)</f>
        <v/>
      </c>
      <c r="AY187" s="45">
        <f>IF(OR(AR187="",P187="",P187=0),"",AR187/P187)</f>
        <v/>
      </c>
      <c r="AZ187" s="45">
        <f>IF(OR(AS187="",Q187="",Q187=0),"",AS187/Q187)</f>
        <v/>
      </c>
      <c r="BA187" s="44">
        <f>IF(OR(AZ187="",AY187=""),"",(AZ187-AY187)*100)</f>
        <v/>
      </c>
      <c r="BB187" s="45">
        <f>IF(OR(AR187="",E187="",E187=0),"",AR187/E187)</f>
        <v/>
      </c>
      <c r="BC187" s="45">
        <f>IF(OR(AS187="",F187="",F187=0),"",AS187/F187)</f>
        <v/>
      </c>
      <c r="BD187" s="44">
        <f>IF(OR(BC187="",BB187=""),"",(BC187-BB187)*100)</f>
        <v/>
      </c>
      <c r="BE187" s="40">
        <f>IF(AND(F187&lt;&gt;"",E187&lt;&gt;""),"Both years",IF(F187&lt;&gt;"","1-23Aug26 rows only","1-23Aug25 rows only"))</f>
        <v/>
      </c>
    </row>
    <row r="188">
      <c r="A188" s="56" t="inlineStr">
        <is>
          <t>Home page</t>
        </is>
      </c>
      <c r="B188" s="56" t="inlineStr">
        <is>
          <t>Direct</t>
        </is>
      </c>
      <c r="C188" s="56" t="inlineStr">
        <is>
          <t>Mobile</t>
        </is>
      </c>
      <c r="D188" s="56" t="inlineStr">
        <is>
          <t>Belgium</t>
        </is>
      </c>
      <c r="E188" s="70" t="n"/>
      <c r="F188" s="68" t="n">
        <v>385</v>
      </c>
      <c r="G188" s="69">
        <f>IF(OR(F188="",E188="",E188=0,F188=0),"",F188-E188)</f>
        <v/>
      </c>
      <c r="H188" s="42">
        <f>IF(OR(F188="",E188="",E188=0,F188=0),"",F188/E188-1)</f>
        <v/>
      </c>
      <c r="I188" s="68" t="n">
        <v>70</v>
      </c>
      <c r="J188" s="68" t="n">
        <v>134</v>
      </c>
      <c r="K188" s="69">
        <f>IF(OR(J188="",I188="",I188=0,J188=0),"",J188-I188)</f>
        <v/>
      </c>
      <c r="L188" s="42">
        <f>IF(OR(J188="",I188="",I188=0,J188=0),"",J188/I188-1)</f>
        <v/>
      </c>
      <c r="M188" s="43">
        <f>IF(OR(I188="",E188="",E188=0),"",I188/E188)</f>
        <v/>
      </c>
      <c r="N188" s="43">
        <f>IF(OR(J188="",F188="",F188=0),"",J188/F188)</f>
        <v/>
      </c>
      <c r="O188" s="44">
        <f>IF(OR(N188="",M188=""),"",(N188-M188)*100)</f>
        <v/>
      </c>
      <c r="P188" s="70" t="n"/>
      <c r="Q188" s="68" t="n">
        <v>124</v>
      </c>
      <c r="R188" s="69">
        <f>IF(OR(Q188="",P188="",P188=0,Q188=0),"",Q188-P188)</f>
        <v/>
      </c>
      <c r="S188" s="42">
        <f>IF(OR(Q188="",P188="",P188=0,Q188=0),"",Q188/P188-1)</f>
        <v/>
      </c>
      <c r="T188" s="43">
        <f>IF(OR(P188="",E188="",E188=0),"",P188/E188)</f>
        <v/>
      </c>
      <c r="U188" s="43">
        <f>IF(OR(Q188="",F188="",F188=0),"",Q188/F188)</f>
        <v/>
      </c>
      <c r="V188" s="44">
        <f>IF(OR(U188="",T188=""),"",(U188-T188)*100)</f>
        <v/>
      </c>
      <c r="W188" s="68" t="n">
        <v>17</v>
      </c>
      <c r="X188" s="68" t="n">
        <v>56</v>
      </c>
      <c r="Y188" s="69">
        <f>IF(OR(X188="",W188="",W188=0,X188=0),"",X188-W188)</f>
        <v/>
      </c>
      <c r="Z188" s="42">
        <f>IF(OR(X188="",W188="",W188=0,X188=0),"",X188/W188-1)</f>
        <v/>
      </c>
      <c r="AA188" s="43">
        <f>IF(OR(W188="",P188="",P188=0),"",W188/P188)</f>
        <v/>
      </c>
      <c r="AB188" s="43">
        <f>IF(OR(X188="",Q188="",Q188=0),"",X188/Q188)</f>
        <v/>
      </c>
      <c r="AC188" s="44">
        <f>IF(OR(AB188="",AA188=""),"",(AB188-AA188)*100)</f>
        <v/>
      </c>
      <c r="AD188" s="68" t="n">
        <v>14</v>
      </c>
      <c r="AE188" s="68" t="n">
        <v>41</v>
      </c>
      <c r="AF188" s="69">
        <f>IF(OR(AE188="",AD188="",AD188=0,AE188=0),"",AE188-AD188)</f>
        <v/>
      </c>
      <c r="AG188" s="42">
        <f>IF(OR(AE188="",AD188="",AD188=0,AE188=0),"",AE188/AD188-1)</f>
        <v/>
      </c>
      <c r="AH188" s="43">
        <f>IF(OR(AD188="",W188="",W188=0),"",AD188/W188)</f>
        <v/>
      </c>
      <c r="AI188" s="43">
        <f>IF(OR(AE188="",X188="",X188=0),"",AE188/X188)</f>
        <v/>
      </c>
      <c r="AJ188" s="44">
        <f>IF(OR(AI188="",AH188=""),"",(AI188-AH188)*100)</f>
        <v/>
      </c>
      <c r="AK188" s="68" t="n">
        <v>3</v>
      </c>
      <c r="AL188" s="68" t="n">
        <v>24</v>
      </c>
      <c r="AM188" s="69">
        <f>IF(OR(AL188="",AK188="",AK188=0,AL188=0),"",AL188-AK188)</f>
        <v/>
      </c>
      <c r="AN188" s="42">
        <f>IF(OR(AL188="",AK188="",AK188=0,AL188=0),"",AL188/AK188-1)</f>
        <v/>
      </c>
      <c r="AO188" s="43">
        <f>IF(OR(AK188="",AD188="",AD188=0),"",AK188/AD188)</f>
        <v/>
      </c>
      <c r="AP188" s="43">
        <f>IF(OR(AL188="",AE188="",AE188=0),"",AL188/AE188)</f>
        <v/>
      </c>
      <c r="AQ188" s="44">
        <f>IF(OR(AP188="",AO188=""),"",(AP188-AO188)*100)</f>
        <v/>
      </c>
      <c r="AR188" s="68" t="n">
        <v>3</v>
      </c>
      <c r="AS188" s="68" t="n">
        <v>21</v>
      </c>
      <c r="AT188" s="69">
        <f>IF(OR(AS188="",AR188="",AR188=0,AS188=0),"",AS188-AR188)</f>
        <v/>
      </c>
      <c r="AU188" s="42">
        <f>IF(OR(AS188="",AR188="",AR188=0,AS188=0),"",AS188/AR188-1)</f>
        <v/>
      </c>
      <c r="AV188" s="43">
        <f>IF(OR(AR188="",AK188="",AK188=0),"",AR188/AK188)</f>
        <v/>
      </c>
      <c r="AW188" s="43">
        <f>IF(OR(AS188="",AL188="",AL188=0),"",AS188/AL188)</f>
        <v/>
      </c>
      <c r="AX188" s="44">
        <f>IF(OR(AW188="",AV188=""),"",(AW188-AV188)*100)</f>
        <v/>
      </c>
      <c r="AY188" s="45">
        <f>IF(OR(AR188="",P188="",P188=0),"",AR188/P188)</f>
        <v/>
      </c>
      <c r="AZ188" s="45">
        <f>IF(OR(AS188="",Q188="",Q188=0),"",AS188/Q188)</f>
        <v/>
      </c>
      <c r="BA188" s="44">
        <f>IF(OR(AZ188="",AY188=""),"",(AZ188-AY188)*100)</f>
        <v/>
      </c>
      <c r="BB188" s="45">
        <f>IF(OR(AR188="",E188="",E188=0),"",AR188/E188)</f>
        <v/>
      </c>
      <c r="BC188" s="45">
        <f>IF(OR(AS188="",F188="",F188=0),"",AS188/F188)</f>
        <v/>
      </c>
      <c r="BD188" s="44">
        <f>IF(OR(BC188="",BB188=""),"",(BC188-BB188)*100)</f>
        <v/>
      </c>
      <c r="BE188" s="40">
        <f>IF(AND(F188&lt;&gt;"",E188&lt;&gt;""),"Both years",IF(F188&lt;&gt;"","1-23Aug26 rows only","1-23Aug25 rows only"))</f>
        <v/>
      </c>
    </row>
    <row r="189">
      <c r="A189" s="40" t="inlineStr">
        <is>
          <t>Home page</t>
        </is>
      </c>
      <c r="B189" s="40" t="inlineStr">
        <is>
          <t>Direct</t>
        </is>
      </c>
      <c r="C189" s="40" t="inlineStr">
        <is>
          <t>Mobile</t>
        </is>
      </c>
      <c r="D189" s="40" t="inlineStr">
        <is>
          <t>Ireland</t>
        </is>
      </c>
      <c r="E189" s="68" t="n">
        <v>687</v>
      </c>
      <c r="F189" s="68" t="n">
        <v>356</v>
      </c>
      <c r="G189" s="69">
        <f>IF(OR(F189="",E189="",E189=0,F189=0),"",F189-E189)</f>
        <v/>
      </c>
      <c r="H189" s="42">
        <f>IF(OR(F189="",E189="",E189=0,F189=0),"",F189/E189-1)</f>
        <v/>
      </c>
      <c r="I189" s="68" t="n">
        <v>311</v>
      </c>
      <c r="J189" s="68" t="n">
        <v>156</v>
      </c>
      <c r="K189" s="69">
        <f>IF(OR(J189="",I189="",I189=0,J189=0),"",J189-I189)</f>
        <v/>
      </c>
      <c r="L189" s="42">
        <f>IF(OR(J189="",I189="",I189=0,J189=0),"",J189/I189-1)</f>
        <v/>
      </c>
      <c r="M189" s="43">
        <f>IF(OR(I189="",E189="",E189=0),"",I189/E189)</f>
        <v/>
      </c>
      <c r="N189" s="43">
        <f>IF(OR(J189="",F189="",F189=0),"",J189/F189)</f>
        <v/>
      </c>
      <c r="O189" s="44">
        <f>IF(OR(N189="",M189=""),"",(N189-M189)*100)</f>
        <v/>
      </c>
      <c r="P189" s="68" t="n">
        <v>273</v>
      </c>
      <c r="Q189" s="68" t="n">
        <v>149</v>
      </c>
      <c r="R189" s="69">
        <f>IF(OR(Q189="",P189="",P189=0,Q189=0),"",Q189-P189)</f>
        <v/>
      </c>
      <c r="S189" s="42">
        <f>IF(OR(Q189="",P189="",P189=0,Q189=0),"",Q189/P189-1)</f>
        <v/>
      </c>
      <c r="T189" s="43">
        <f>IF(OR(P189="",E189="",E189=0),"",P189/E189)</f>
        <v/>
      </c>
      <c r="U189" s="43">
        <f>IF(OR(Q189="",F189="",F189=0),"",Q189/F189)</f>
        <v/>
      </c>
      <c r="V189" s="44">
        <f>IF(OR(U189="",T189=""),"",(U189-T189)*100)</f>
        <v/>
      </c>
      <c r="W189" s="68" t="n">
        <v>117</v>
      </c>
      <c r="X189" s="68" t="n">
        <v>52</v>
      </c>
      <c r="Y189" s="69">
        <f>IF(OR(X189="",W189="",W189=0,X189=0),"",X189-W189)</f>
        <v/>
      </c>
      <c r="Z189" s="42">
        <f>IF(OR(X189="",W189="",W189=0,X189=0),"",X189/W189-1)</f>
        <v/>
      </c>
      <c r="AA189" s="43">
        <f>IF(OR(W189="",P189="",P189=0),"",W189/P189)</f>
        <v/>
      </c>
      <c r="AB189" s="43">
        <f>IF(OR(X189="",Q189="",Q189=0),"",X189/Q189)</f>
        <v/>
      </c>
      <c r="AC189" s="44">
        <f>IF(OR(AB189="",AA189=""),"",(AB189-AA189)*100)</f>
        <v/>
      </c>
      <c r="AD189" s="68" t="n">
        <v>105</v>
      </c>
      <c r="AE189" s="68" t="n">
        <v>42</v>
      </c>
      <c r="AF189" s="69">
        <f>IF(OR(AE189="",AD189="",AD189=0,AE189=0),"",AE189-AD189)</f>
        <v/>
      </c>
      <c r="AG189" s="42">
        <f>IF(OR(AE189="",AD189="",AD189=0,AE189=0),"",AE189/AD189-1)</f>
        <v/>
      </c>
      <c r="AH189" s="43">
        <f>IF(OR(AD189="",W189="",W189=0),"",AD189/W189)</f>
        <v/>
      </c>
      <c r="AI189" s="43">
        <f>IF(OR(AE189="",X189="",X189=0),"",AE189/X189)</f>
        <v/>
      </c>
      <c r="AJ189" s="44">
        <f>IF(OR(AI189="",AH189=""),"",(AI189-AH189)*100)</f>
        <v/>
      </c>
      <c r="AK189" s="68" t="n">
        <v>63</v>
      </c>
      <c r="AL189" s="68" t="n">
        <v>23</v>
      </c>
      <c r="AM189" s="69">
        <f>IF(OR(AL189="",AK189="",AK189=0,AL189=0),"",AL189-AK189)</f>
        <v/>
      </c>
      <c r="AN189" s="42">
        <f>IF(OR(AL189="",AK189="",AK189=0,AL189=0),"",AL189/AK189-1)</f>
        <v/>
      </c>
      <c r="AO189" s="43">
        <f>IF(OR(AK189="",AD189="",AD189=0),"",AK189/AD189)</f>
        <v/>
      </c>
      <c r="AP189" s="43">
        <f>IF(OR(AL189="",AE189="",AE189=0),"",AL189/AE189)</f>
        <v/>
      </c>
      <c r="AQ189" s="44">
        <f>IF(OR(AP189="",AO189=""),"",(AP189-AO189)*100)</f>
        <v/>
      </c>
      <c r="AR189" s="68" t="n">
        <v>53</v>
      </c>
      <c r="AS189" s="68" t="n">
        <v>22</v>
      </c>
      <c r="AT189" s="69">
        <f>IF(OR(AS189="",AR189="",AR189=0,AS189=0),"",AS189-AR189)</f>
        <v/>
      </c>
      <c r="AU189" s="42">
        <f>IF(OR(AS189="",AR189="",AR189=0,AS189=0),"",AS189/AR189-1)</f>
        <v/>
      </c>
      <c r="AV189" s="43">
        <f>IF(OR(AR189="",AK189="",AK189=0),"",AR189/AK189)</f>
        <v/>
      </c>
      <c r="AW189" s="43">
        <f>IF(OR(AS189="",AL189="",AL189=0),"",AS189/AL189)</f>
        <v/>
      </c>
      <c r="AX189" s="44">
        <f>IF(OR(AW189="",AV189=""),"",(AW189-AV189)*100)</f>
        <v/>
      </c>
      <c r="AY189" s="45">
        <f>IF(OR(AR189="",P189="",P189=0),"",AR189/P189)</f>
        <v/>
      </c>
      <c r="AZ189" s="45">
        <f>IF(OR(AS189="",Q189="",Q189=0),"",AS189/Q189)</f>
        <v/>
      </c>
      <c r="BA189" s="44">
        <f>IF(OR(AZ189="",AY189=""),"",(AZ189-AY189)*100)</f>
        <v/>
      </c>
      <c r="BB189" s="45">
        <f>IF(OR(AR189="",E189="",E189=0),"",AR189/E189)</f>
        <v/>
      </c>
      <c r="BC189" s="45">
        <f>IF(OR(AS189="",F189="",F189=0),"",AS189/F189)</f>
        <v/>
      </c>
      <c r="BD189" s="44">
        <f>IF(OR(BC189="",BB189=""),"",(BC189-BB189)*100)</f>
        <v/>
      </c>
      <c r="BE189" s="40">
        <f>IF(AND(F189&lt;&gt;"",E189&lt;&gt;""),"Both years",IF(F189&lt;&gt;"","1-23Aug26 rows only","1-23Aug25 rows only"))</f>
        <v/>
      </c>
    </row>
    <row r="190">
      <c r="A190" s="56" t="inlineStr">
        <is>
          <t>Home page</t>
        </is>
      </c>
      <c r="B190" s="56" t="inlineStr">
        <is>
          <t>Direct</t>
        </is>
      </c>
      <c r="C190" s="56" t="inlineStr">
        <is>
          <t>Mobile</t>
        </is>
      </c>
      <c r="D190" s="56" t="inlineStr">
        <is>
          <t>Netherlands</t>
        </is>
      </c>
      <c r="E190" s="68" t="n">
        <v>621</v>
      </c>
      <c r="F190" s="68" t="n">
        <v>333</v>
      </c>
      <c r="G190" s="69">
        <f>IF(OR(F190="",E190="",E190=0,F190=0),"",F190-E190)</f>
        <v/>
      </c>
      <c r="H190" s="42">
        <f>IF(OR(F190="",E190="",E190=0,F190=0),"",F190/E190-1)</f>
        <v/>
      </c>
      <c r="I190" s="68" t="n">
        <v>289</v>
      </c>
      <c r="J190" s="68" t="n">
        <v>118</v>
      </c>
      <c r="K190" s="69">
        <f>IF(OR(J190="",I190="",I190=0,J190=0),"",J190-I190)</f>
        <v/>
      </c>
      <c r="L190" s="42">
        <f>IF(OR(J190="",I190="",I190=0,J190=0),"",J190/I190-1)</f>
        <v/>
      </c>
      <c r="M190" s="43">
        <f>IF(OR(I190="",E190="",E190=0),"",I190/E190)</f>
        <v/>
      </c>
      <c r="N190" s="43">
        <f>IF(OR(J190="",F190="",F190=0),"",J190/F190)</f>
        <v/>
      </c>
      <c r="O190" s="44">
        <f>IF(OR(N190="",M190=""),"",(N190-M190)*100)</f>
        <v/>
      </c>
      <c r="P190" s="68" t="n">
        <v>241</v>
      </c>
      <c r="Q190" s="68" t="n">
        <v>105</v>
      </c>
      <c r="R190" s="69">
        <f>IF(OR(Q190="",P190="",P190=0,Q190=0),"",Q190-P190)</f>
        <v/>
      </c>
      <c r="S190" s="42">
        <f>IF(OR(Q190="",P190="",P190=0,Q190=0),"",Q190/P190-1)</f>
        <v/>
      </c>
      <c r="T190" s="43">
        <f>IF(OR(P190="",E190="",E190=0),"",P190/E190)</f>
        <v/>
      </c>
      <c r="U190" s="43">
        <f>IF(OR(Q190="",F190="",F190=0),"",Q190/F190)</f>
        <v/>
      </c>
      <c r="V190" s="44">
        <f>IF(OR(U190="",T190=""),"",(U190-T190)*100)</f>
        <v/>
      </c>
      <c r="W190" s="68" t="n">
        <v>94</v>
      </c>
      <c r="X190" s="68" t="n">
        <v>42</v>
      </c>
      <c r="Y190" s="69">
        <f>IF(OR(X190="",W190="",W190=0,X190=0),"",X190-W190)</f>
        <v/>
      </c>
      <c r="Z190" s="42">
        <f>IF(OR(X190="",W190="",W190=0,X190=0),"",X190/W190-1)</f>
        <v/>
      </c>
      <c r="AA190" s="43">
        <f>IF(OR(W190="",P190="",P190=0),"",W190/P190)</f>
        <v/>
      </c>
      <c r="AB190" s="43">
        <f>IF(OR(X190="",Q190="",Q190=0),"",X190/Q190)</f>
        <v/>
      </c>
      <c r="AC190" s="44">
        <f>IF(OR(AB190="",AA190=""),"",(AB190-AA190)*100)</f>
        <v/>
      </c>
      <c r="AD190" s="68" t="n">
        <v>72</v>
      </c>
      <c r="AE190" s="68" t="n">
        <v>33</v>
      </c>
      <c r="AF190" s="69">
        <f>IF(OR(AE190="",AD190="",AD190=0,AE190=0),"",AE190-AD190)</f>
        <v/>
      </c>
      <c r="AG190" s="42">
        <f>IF(OR(AE190="",AD190="",AD190=0,AE190=0),"",AE190/AD190-1)</f>
        <v/>
      </c>
      <c r="AH190" s="43">
        <f>IF(OR(AD190="",W190="",W190=0),"",AD190/W190)</f>
        <v/>
      </c>
      <c r="AI190" s="43">
        <f>IF(OR(AE190="",X190="",X190=0),"",AE190/X190)</f>
        <v/>
      </c>
      <c r="AJ190" s="44">
        <f>IF(OR(AI190="",AH190=""),"",(AI190-AH190)*100)</f>
        <v/>
      </c>
      <c r="AK190" s="68" t="n">
        <v>33</v>
      </c>
      <c r="AL190" s="68" t="n">
        <v>22</v>
      </c>
      <c r="AM190" s="69">
        <f>IF(OR(AL190="",AK190="",AK190=0,AL190=0),"",AL190-AK190)</f>
        <v/>
      </c>
      <c r="AN190" s="42">
        <f>IF(OR(AL190="",AK190="",AK190=0,AL190=0),"",AL190/AK190-1)</f>
        <v/>
      </c>
      <c r="AO190" s="43">
        <f>IF(OR(AK190="",AD190="",AD190=0),"",AK190/AD190)</f>
        <v/>
      </c>
      <c r="AP190" s="43">
        <f>IF(OR(AL190="",AE190="",AE190=0),"",AL190/AE190)</f>
        <v/>
      </c>
      <c r="AQ190" s="44">
        <f>IF(OR(AP190="",AO190=""),"",(AP190-AO190)*100)</f>
        <v/>
      </c>
      <c r="AR190" s="68" t="n">
        <v>8</v>
      </c>
      <c r="AS190" s="68" t="n">
        <v>6</v>
      </c>
      <c r="AT190" s="69">
        <f>IF(OR(AS190="",AR190="",AR190=0,AS190=0),"",AS190-AR190)</f>
        <v/>
      </c>
      <c r="AU190" s="42">
        <f>IF(OR(AS190="",AR190="",AR190=0,AS190=0),"",AS190/AR190-1)</f>
        <v/>
      </c>
      <c r="AV190" s="43">
        <f>IF(OR(AR190="",AK190="",AK190=0),"",AR190/AK190)</f>
        <v/>
      </c>
      <c r="AW190" s="43">
        <f>IF(OR(AS190="",AL190="",AL190=0),"",AS190/AL190)</f>
        <v/>
      </c>
      <c r="AX190" s="44">
        <f>IF(OR(AW190="",AV190=""),"",(AW190-AV190)*100)</f>
        <v/>
      </c>
      <c r="AY190" s="45">
        <f>IF(OR(AR190="",P190="",P190=0),"",AR190/P190)</f>
        <v/>
      </c>
      <c r="AZ190" s="45">
        <f>IF(OR(AS190="",Q190="",Q190=0),"",AS190/Q190)</f>
        <v/>
      </c>
      <c r="BA190" s="44">
        <f>IF(OR(AZ190="",AY190=""),"",(AZ190-AY190)*100)</f>
        <v/>
      </c>
      <c r="BB190" s="45">
        <f>IF(OR(AR190="",E190="",E190=0),"",AR190/E190)</f>
        <v/>
      </c>
      <c r="BC190" s="45">
        <f>IF(OR(AS190="",F190="",F190=0),"",AS190/F190)</f>
        <v/>
      </c>
      <c r="BD190" s="44">
        <f>IF(OR(BC190="",BB190=""),"",(BC190-BB190)*100)</f>
        <v/>
      </c>
      <c r="BE190" s="40">
        <f>IF(AND(F190&lt;&gt;"",E190&lt;&gt;""),"Both years",IF(F190&lt;&gt;"","1-23Aug26 rows only","1-23Aug25 rows only"))</f>
        <v/>
      </c>
    </row>
    <row r="191">
      <c r="A191" s="40" t="inlineStr">
        <is>
          <t>Home page</t>
        </is>
      </c>
      <c r="B191" s="40" t="inlineStr">
        <is>
          <t>Direct</t>
        </is>
      </c>
      <c r="C191" s="40" t="inlineStr">
        <is>
          <t>Mobile</t>
        </is>
      </c>
      <c r="D191" s="40" t="inlineStr">
        <is>
          <t>France</t>
        </is>
      </c>
      <c r="E191" s="68" t="n">
        <v>447</v>
      </c>
      <c r="F191" s="68" t="n">
        <v>268</v>
      </c>
      <c r="G191" s="69">
        <f>IF(OR(F191="",E191="",E191=0,F191=0),"",F191-E191)</f>
        <v/>
      </c>
      <c r="H191" s="42">
        <f>IF(OR(F191="",E191="",E191=0,F191=0),"",F191/E191-1)</f>
        <v/>
      </c>
      <c r="I191" s="68" t="n">
        <v>211</v>
      </c>
      <c r="J191" s="68" t="n">
        <v>96</v>
      </c>
      <c r="K191" s="69">
        <f>IF(OR(J191="",I191="",I191=0,J191=0),"",J191-I191)</f>
        <v/>
      </c>
      <c r="L191" s="42">
        <f>IF(OR(J191="",I191="",I191=0,J191=0),"",J191/I191-1)</f>
        <v/>
      </c>
      <c r="M191" s="43">
        <f>IF(OR(I191="",E191="",E191=0),"",I191/E191)</f>
        <v/>
      </c>
      <c r="N191" s="43">
        <f>IF(OR(J191="",F191="",F191=0),"",J191/F191)</f>
        <v/>
      </c>
      <c r="O191" s="44">
        <f>IF(OR(N191="",M191=""),"",(N191-M191)*100)</f>
        <v/>
      </c>
      <c r="P191" s="68" t="n">
        <v>157</v>
      </c>
      <c r="Q191" s="68" t="n">
        <v>87</v>
      </c>
      <c r="R191" s="69">
        <f>IF(OR(Q191="",P191="",P191=0,Q191=0),"",Q191-P191)</f>
        <v/>
      </c>
      <c r="S191" s="42">
        <f>IF(OR(Q191="",P191="",P191=0,Q191=0),"",Q191/P191-1)</f>
        <v/>
      </c>
      <c r="T191" s="43">
        <f>IF(OR(P191="",E191="",E191=0),"",P191/E191)</f>
        <v/>
      </c>
      <c r="U191" s="43">
        <f>IF(OR(Q191="",F191="",F191=0),"",Q191/F191)</f>
        <v/>
      </c>
      <c r="V191" s="44">
        <f>IF(OR(U191="",T191=""),"",(U191-T191)*100)</f>
        <v/>
      </c>
      <c r="W191" s="68" t="n">
        <v>63</v>
      </c>
      <c r="X191" s="68" t="n">
        <v>46</v>
      </c>
      <c r="Y191" s="69">
        <f>IF(OR(X191="",W191="",W191=0,X191=0),"",X191-W191)</f>
        <v/>
      </c>
      <c r="Z191" s="42">
        <f>IF(OR(X191="",W191="",W191=0,X191=0),"",X191/W191-1)</f>
        <v/>
      </c>
      <c r="AA191" s="43">
        <f>IF(OR(W191="",P191="",P191=0),"",W191/P191)</f>
        <v/>
      </c>
      <c r="AB191" s="43">
        <f>IF(OR(X191="",Q191="",Q191=0),"",X191/Q191)</f>
        <v/>
      </c>
      <c r="AC191" s="44">
        <f>IF(OR(AB191="",AA191=""),"",(AB191-AA191)*100)</f>
        <v/>
      </c>
      <c r="AD191" s="68" t="n">
        <v>54</v>
      </c>
      <c r="AE191" s="68" t="n">
        <v>40</v>
      </c>
      <c r="AF191" s="69">
        <f>IF(OR(AE191="",AD191="",AD191=0,AE191=0),"",AE191-AD191)</f>
        <v/>
      </c>
      <c r="AG191" s="42">
        <f>IF(OR(AE191="",AD191="",AD191=0,AE191=0),"",AE191/AD191-1)</f>
        <v/>
      </c>
      <c r="AH191" s="43">
        <f>IF(OR(AD191="",W191="",W191=0),"",AD191/W191)</f>
        <v/>
      </c>
      <c r="AI191" s="43">
        <f>IF(OR(AE191="",X191="",X191=0),"",AE191/X191)</f>
        <v/>
      </c>
      <c r="AJ191" s="44">
        <f>IF(OR(AI191="",AH191=""),"",(AI191-AH191)*100)</f>
        <v/>
      </c>
      <c r="AK191" s="68" t="n">
        <v>27</v>
      </c>
      <c r="AL191" s="68" t="n">
        <v>25</v>
      </c>
      <c r="AM191" s="69">
        <f>IF(OR(AL191="",AK191="",AK191=0,AL191=0),"",AL191-AK191)</f>
        <v/>
      </c>
      <c r="AN191" s="42">
        <f>IF(OR(AL191="",AK191="",AK191=0,AL191=0),"",AL191/AK191-1)</f>
        <v/>
      </c>
      <c r="AO191" s="43">
        <f>IF(OR(AK191="",AD191="",AD191=0),"",AK191/AD191)</f>
        <v/>
      </c>
      <c r="AP191" s="43">
        <f>IF(OR(AL191="",AE191="",AE191=0),"",AL191/AE191)</f>
        <v/>
      </c>
      <c r="AQ191" s="44">
        <f>IF(OR(AP191="",AO191=""),"",(AP191-AO191)*100)</f>
        <v/>
      </c>
      <c r="AR191" s="68" t="n">
        <v>20</v>
      </c>
      <c r="AS191" s="68" t="n">
        <v>24</v>
      </c>
      <c r="AT191" s="69">
        <f>IF(OR(AS191="",AR191="",AR191=0,AS191=0),"",AS191-AR191)</f>
        <v/>
      </c>
      <c r="AU191" s="42">
        <f>IF(OR(AS191="",AR191="",AR191=0,AS191=0),"",AS191/AR191-1)</f>
        <v/>
      </c>
      <c r="AV191" s="43">
        <f>IF(OR(AR191="",AK191="",AK191=0),"",AR191/AK191)</f>
        <v/>
      </c>
      <c r="AW191" s="43">
        <f>IF(OR(AS191="",AL191="",AL191=0),"",AS191/AL191)</f>
        <v/>
      </c>
      <c r="AX191" s="44">
        <f>IF(OR(AW191="",AV191=""),"",(AW191-AV191)*100)</f>
        <v/>
      </c>
      <c r="AY191" s="45">
        <f>IF(OR(AR191="",P191="",P191=0),"",AR191/P191)</f>
        <v/>
      </c>
      <c r="AZ191" s="45">
        <f>IF(OR(AS191="",Q191="",Q191=0),"",AS191/Q191)</f>
        <v/>
      </c>
      <c r="BA191" s="44">
        <f>IF(OR(AZ191="",AY191=""),"",(AZ191-AY191)*100)</f>
        <v/>
      </c>
      <c r="BB191" s="45">
        <f>IF(OR(AR191="",E191="",E191=0),"",AR191/E191)</f>
        <v/>
      </c>
      <c r="BC191" s="45">
        <f>IF(OR(AS191="",F191="",F191=0),"",AS191/F191)</f>
        <v/>
      </c>
      <c r="BD191" s="44">
        <f>IF(OR(BC191="",BB191=""),"",(BC191-BB191)*100)</f>
        <v/>
      </c>
      <c r="BE191" s="40">
        <f>IF(AND(F191&lt;&gt;"",E191&lt;&gt;""),"Both years",IF(F191&lt;&gt;"","1-23Aug26 rows only","1-23Aug25 rows only"))</f>
        <v/>
      </c>
    </row>
    <row r="192">
      <c r="A192" s="56" t="inlineStr">
        <is>
          <t>Home page</t>
        </is>
      </c>
      <c r="B192" s="56" t="inlineStr">
        <is>
          <t>Direct</t>
        </is>
      </c>
      <c r="C192" s="56" t="inlineStr">
        <is>
          <t>Mobile</t>
        </is>
      </c>
      <c r="D192" s="56" t="inlineStr">
        <is>
          <t>Greece</t>
        </is>
      </c>
      <c r="E192" s="68" t="n">
        <v>224</v>
      </c>
      <c r="F192" s="68" t="n">
        <v>234</v>
      </c>
      <c r="G192" s="69">
        <f>IF(OR(F192="",E192="",E192=0,F192=0),"",F192-E192)</f>
        <v/>
      </c>
      <c r="H192" s="42">
        <f>IF(OR(F192="",E192="",E192=0,F192=0),"",F192/E192-1)</f>
        <v/>
      </c>
      <c r="I192" s="70" t="n"/>
      <c r="J192" s="70" t="n"/>
      <c r="K192" s="69">
        <f>IF(OR(J192="",I192="",I192=0,J192=0),"",J192-I192)</f>
        <v/>
      </c>
      <c r="L192" s="42">
        <f>IF(OR(J192="",I192="",I192=0,J192=0),"",J192/I192-1)</f>
        <v/>
      </c>
      <c r="M192" s="43">
        <f>IF(OR(I192="",E192="",E192=0),"",I192/E192)</f>
        <v/>
      </c>
      <c r="N192" s="43">
        <f>IF(OR(J192="",F192="",F192=0),"",J192/F192)</f>
        <v/>
      </c>
      <c r="O192" s="44">
        <f>IF(OR(N192="",M192=""),"",(N192-M192)*100)</f>
        <v/>
      </c>
      <c r="P192" s="68" t="n">
        <v>69</v>
      </c>
      <c r="Q192" s="68" t="n">
        <v>89</v>
      </c>
      <c r="R192" s="69">
        <f>IF(OR(Q192="",P192="",P192=0,Q192=0),"",Q192-P192)</f>
        <v/>
      </c>
      <c r="S192" s="42">
        <f>IF(OR(Q192="",P192="",P192=0,Q192=0),"",Q192/P192-1)</f>
        <v/>
      </c>
      <c r="T192" s="43">
        <f>IF(OR(P192="",E192="",E192=0),"",P192/E192)</f>
        <v/>
      </c>
      <c r="U192" s="43">
        <f>IF(OR(Q192="",F192="",F192=0),"",Q192/F192)</f>
        <v/>
      </c>
      <c r="V192" s="44">
        <f>IF(OR(U192="",T192=""),"",(U192-T192)*100)</f>
        <v/>
      </c>
      <c r="W192" s="70" t="n"/>
      <c r="X192" s="70" t="n"/>
      <c r="Y192" s="69">
        <f>IF(OR(X192="",W192="",W192=0,X192=0),"",X192-W192)</f>
        <v/>
      </c>
      <c r="Z192" s="42">
        <f>IF(OR(X192="",W192="",W192=0,X192=0),"",X192/W192-1)</f>
        <v/>
      </c>
      <c r="AA192" s="43">
        <f>IF(OR(W192="",P192="",P192=0),"",W192/P192)</f>
        <v/>
      </c>
      <c r="AB192" s="43">
        <f>IF(OR(X192="",Q192="",Q192=0),"",X192/Q192)</f>
        <v/>
      </c>
      <c r="AC192" s="44">
        <f>IF(OR(AB192="",AA192=""),"",(AB192-AA192)*100)</f>
        <v/>
      </c>
      <c r="AD192" s="70" t="n"/>
      <c r="AE192" s="70" t="n"/>
      <c r="AF192" s="69">
        <f>IF(OR(AE192="",AD192="",AD192=0,AE192=0),"",AE192-AD192)</f>
        <v/>
      </c>
      <c r="AG192" s="42">
        <f>IF(OR(AE192="",AD192="",AD192=0,AE192=0),"",AE192/AD192-1)</f>
        <v/>
      </c>
      <c r="AH192" s="43">
        <f>IF(OR(AD192="",W192="",W192=0),"",AD192/W192)</f>
        <v/>
      </c>
      <c r="AI192" s="43">
        <f>IF(OR(AE192="",X192="",X192=0),"",AE192/X192)</f>
        <v/>
      </c>
      <c r="AJ192" s="44">
        <f>IF(OR(AI192="",AH192=""),"",(AI192-AH192)*100)</f>
        <v/>
      </c>
      <c r="AK192" s="70" t="n"/>
      <c r="AL192" s="70" t="n"/>
      <c r="AM192" s="69">
        <f>IF(OR(AL192="",AK192="",AK192=0,AL192=0),"",AL192-AK192)</f>
        <v/>
      </c>
      <c r="AN192" s="42">
        <f>IF(OR(AL192="",AK192="",AK192=0,AL192=0),"",AL192/AK192-1)</f>
        <v/>
      </c>
      <c r="AO192" s="43">
        <f>IF(OR(AK192="",AD192="",AD192=0),"",AK192/AD192)</f>
        <v/>
      </c>
      <c r="AP192" s="43">
        <f>IF(OR(AL192="",AE192="",AE192=0),"",AL192/AE192)</f>
        <v/>
      </c>
      <c r="AQ192" s="44">
        <f>IF(OR(AP192="",AO192=""),"",(AP192-AO192)*100)</f>
        <v/>
      </c>
      <c r="AR192" s="70" t="n"/>
      <c r="AS192" s="70" t="n"/>
      <c r="AT192" s="69">
        <f>IF(OR(AS192="",AR192="",AR192=0,AS192=0),"",AS192-AR192)</f>
        <v/>
      </c>
      <c r="AU192" s="42">
        <f>IF(OR(AS192="",AR192="",AR192=0,AS192=0),"",AS192/AR192-1)</f>
        <v/>
      </c>
      <c r="AV192" s="43">
        <f>IF(OR(AR192="",AK192="",AK192=0),"",AR192/AK192)</f>
        <v/>
      </c>
      <c r="AW192" s="43">
        <f>IF(OR(AS192="",AL192="",AL192=0),"",AS192/AL192)</f>
        <v/>
      </c>
      <c r="AX192" s="44">
        <f>IF(OR(AW192="",AV192=""),"",(AW192-AV192)*100)</f>
        <v/>
      </c>
      <c r="AY192" s="45">
        <f>IF(OR(AR192="",P192="",P192=0),"",AR192/P192)</f>
        <v/>
      </c>
      <c r="AZ192" s="45">
        <f>IF(OR(AS192="",Q192="",Q192=0),"",AS192/Q192)</f>
        <v/>
      </c>
      <c r="BA192" s="44">
        <f>IF(OR(AZ192="",AY192=""),"",(AZ192-AY192)*100)</f>
        <v/>
      </c>
      <c r="BB192" s="45">
        <f>IF(OR(AR192="",E192="",E192=0),"",AR192/E192)</f>
        <v/>
      </c>
      <c r="BC192" s="45">
        <f>IF(OR(AS192="",F192="",F192=0),"",AS192/F192)</f>
        <v/>
      </c>
      <c r="BD192" s="44">
        <f>IF(OR(BC192="",BB192=""),"",(BC192-BB192)*100)</f>
        <v/>
      </c>
      <c r="BE192" s="40">
        <f>IF(AND(F192&lt;&gt;"",E192&lt;&gt;""),"Both years",IF(F192&lt;&gt;"","1-23Aug26 rows only","1-23Aug25 rows only"))</f>
        <v/>
      </c>
    </row>
    <row r="193">
      <c r="A193" s="40" t="inlineStr">
        <is>
          <t>Home page</t>
        </is>
      </c>
      <c r="B193" s="40" t="inlineStr">
        <is>
          <t>Direct</t>
        </is>
      </c>
      <c r="C193" s="40" t="inlineStr">
        <is>
          <t>Mobile</t>
        </is>
      </c>
      <c r="D193" s="40" t="inlineStr">
        <is>
          <t>Poland</t>
        </is>
      </c>
      <c r="E193" s="68" t="n">
        <v>258</v>
      </c>
      <c r="F193" s="68" t="n">
        <v>215</v>
      </c>
      <c r="G193" s="69">
        <f>IF(OR(F193="",E193="",E193=0,F193=0),"",F193-E193)</f>
        <v/>
      </c>
      <c r="H193" s="42">
        <f>IF(OR(F193="",E193="",E193=0,F193=0),"",F193/E193-1)</f>
        <v/>
      </c>
      <c r="I193" s="70" t="n"/>
      <c r="J193" s="70" t="n"/>
      <c r="K193" s="69">
        <f>IF(OR(J193="",I193="",I193=0,J193=0),"",J193-I193)</f>
        <v/>
      </c>
      <c r="L193" s="42">
        <f>IF(OR(J193="",I193="",I193=0,J193=0),"",J193/I193-1)</f>
        <v/>
      </c>
      <c r="M193" s="43">
        <f>IF(OR(I193="",E193="",E193=0),"",I193/E193)</f>
        <v/>
      </c>
      <c r="N193" s="43">
        <f>IF(OR(J193="",F193="",F193=0),"",J193/F193)</f>
        <v/>
      </c>
      <c r="O193" s="44">
        <f>IF(OR(N193="",M193=""),"",(N193-M193)*100)</f>
        <v/>
      </c>
      <c r="P193" s="68" t="n">
        <v>122</v>
      </c>
      <c r="Q193" s="68" t="n">
        <v>89</v>
      </c>
      <c r="R193" s="69">
        <f>IF(OR(Q193="",P193="",P193=0,Q193=0),"",Q193-P193)</f>
        <v/>
      </c>
      <c r="S193" s="42">
        <f>IF(OR(Q193="",P193="",P193=0,Q193=0),"",Q193/P193-1)</f>
        <v/>
      </c>
      <c r="T193" s="43">
        <f>IF(OR(P193="",E193="",E193=0),"",P193/E193)</f>
        <v/>
      </c>
      <c r="U193" s="43">
        <f>IF(OR(Q193="",F193="",F193=0),"",Q193/F193)</f>
        <v/>
      </c>
      <c r="V193" s="44">
        <f>IF(OR(U193="",T193=""),"",(U193-T193)*100)</f>
        <v/>
      </c>
      <c r="W193" s="70" t="n"/>
      <c r="X193" s="70" t="n"/>
      <c r="Y193" s="69">
        <f>IF(OR(X193="",W193="",W193=0,X193=0),"",X193-W193)</f>
        <v/>
      </c>
      <c r="Z193" s="42">
        <f>IF(OR(X193="",W193="",W193=0,X193=0),"",X193/W193-1)</f>
        <v/>
      </c>
      <c r="AA193" s="43">
        <f>IF(OR(W193="",P193="",P193=0),"",W193/P193)</f>
        <v/>
      </c>
      <c r="AB193" s="43">
        <f>IF(OR(X193="",Q193="",Q193=0),"",X193/Q193)</f>
        <v/>
      </c>
      <c r="AC193" s="44">
        <f>IF(OR(AB193="",AA193=""),"",(AB193-AA193)*100)</f>
        <v/>
      </c>
      <c r="AD193" s="70" t="n"/>
      <c r="AE193" s="70" t="n"/>
      <c r="AF193" s="69">
        <f>IF(OR(AE193="",AD193="",AD193=0,AE193=0),"",AE193-AD193)</f>
        <v/>
      </c>
      <c r="AG193" s="42">
        <f>IF(OR(AE193="",AD193="",AD193=0,AE193=0),"",AE193/AD193-1)</f>
        <v/>
      </c>
      <c r="AH193" s="43">
        <f>IF(OR(AD193="",W193="",W193=0),"",AD193/W193)</f>
        <v/>
      </c>
      <c r="AI193" s="43">
        <f>IF(OR(AE193="",X193="",X193=0),"",AE193/X193)</f>
        <v/>
      </c>
      <c r="AJ193" s="44">
        <f>IF(OR(AI193="",AH193=""),"",(AI193-AH193)*100)</f>
        <v/>
      </c>
      <c r="AK193" s="70" t="n"/>
      <c r="AL193" s="70" t="n"/>
      <c r="AM193" s="69">
        <f>IF(OR(AL193="",AK193="",AK193=0,AL193=0),"",AL193-AK193)</f>
        <v/>
      </c>
      <c r="AN193" s="42">
        <f>IF(OR(AL193="",AK193="",AK193=0,AL193=0),"",AL193/AK193-1)</f>
        <v/>
      </c>
      <c r="AO193" s="43">
        <f>IF(OR(AK193="",AD193="",AD193=0),"",AK193/AD193)</f>
        <v/>
      </c>
      <c r="AP193" s="43">
        <f>IF(OR(AL193="",AE193="",AE193=0),"",AL193/AE193)</f>
        <v/>
      </c>
      <c r="AQ193" s="44">
        <f>IF(OR(AP193="",AO193=""),"",(AP193-AO193)*100)</f>
        <v/>
      </c>
      <c r="AR193" s="70" t="n"/>
      <c r="AS193" s="70" t="n"/>
      <c r="AT193" s="69">
        <f>IF(OR(AS193="",AR193="",AR193=0,AS193=0),"",AS193-AR193)</f>
        <v/>
      </c>
      <c r="AU193" s="42">
        <f>IF(OR(AS193="",AR193="",AR193=0,AS193=0),"",AS193/AR193-1)</f>
        <v/>
      </c>
      <c r="AV193" s="43">
        <f>IF(OR(AR193="",AK193="",AK193=0),"",AR193/AK193)</f>
        <v/>
      </c>
      <c r="AW193" s="43">
        <f>IF(OR(AS193="",AL193="",AL193=0),"",AS193/AL193)</f>
        <v/>
      </c>
      <c r="AX193" s="44">
        <f>IF(OR(AW193="",AV193=""),"",(AW193-AV193)*100)</f>
        <v/>
      </c>
      <c r="AY193" s="45">
        <f>IF(OR(AR193="",P193="",P193=0),"",AR193/P193)</f>
        <v/>
      </c>
      <c r="AZ193" s="45">
        <f>IF(OR(AS193="",Q193="",Q193=0),"",AS193/Q193)</f>
        <v/>
      </c>
      <c r="BA193" s="44">
        <f>IF(OR(AZ193="",AY193=""),"",(AZ193-AY193)*100)</f>
        <v/>
      </c>
      <c r="BB193" s="45">
        <f>IF(OR(AR193="",E193="",E193=0),"",AR193/E193)</f>
        <v/>
      </c>
      <c r="BC193" s="45">
        <f>IF(OR(AS193="",F193="",F193=0),"",AS193/F193)</f>
        <v/>
      </c>
      <c r="BD193" s="44">
        <f>IF(OR(BC193="",BB193=""),"",(BC193-BB193)*100)</f>
        <v/>
      </c>
      <c r="BE193" s="40">
        <f>IF(AND(F193&lt;&gt;"",E193&lt;&gt;""),"Both years",IF(F193&lt;&gt;"","1-23Aug26 rows only","1-23Aug25 rows only"))</f>
        <v/>
      </c>
    </row>
    <row r="194">
      <c r="A194" s="56" t="inlineStr">
        <is>
          <t>Home page</t>
        </is>
      </c>
      <c r="B194" s="56" t="inlineStr">
        <is>
          <t>Direct</t>
        </is>
      </c>
      <c r="C194" s="56" t="inlineStr">
        <is>
          <t>Mobile</t>
        </is>
      </c>
      <c r="D194" s="56" t="inlineStr">
        <is>
          <t>Türkiye</t>
        </is>
      </c>
      <c r="E194" s="68" t="n">
        <v>236</v>
      </c>
      <c r="F194" s="68" t="n">
        <v>185</v>
      </c>
      <c r="G194" s="69">
        <f>IF(OR(F194="",E194="",E194=0,F194=0),"",F194-E194)</f>
        <v/>
      </c>
      <c r="H194" s="42">
        <f>IF(OR(F194="",E194="",E194=0,F194=0),"",F194/E194-1)</f>
        <v/>
      </c>
      <c r="I194" s="70" t="n"/>
      <c r="J194" s="70" t="n"/>
      <c r="K194" s="69">
        <f>IF(OR(J194="",I194="",I194=0,J194=0),"",J194-I194)</f>
        <v/>
      </c>
      <c r="L194" s="42">
        <f>IF(OR(J194="",I194="",I194=0,J194=0),"",J194/I194-1)</f>
        <v/>
      </c>
      <c r="M194" s="43">
        <f>IF(OR(I194="",E194="",E194=0),"",I194/E194)</f>
        <v/>
      </c>
      <c r="N194" s="43">
        <f>IF(OR(J194="",F194="",F194=0),"",J194/F194)</f>
        <v/>
      </c>
      <c r="O194" s="44">
        <f>IF(OR(N194="",M194=""),"",(N194-M194)*100)</f>
        <v/>
      </c>
      <c r="P194" s="68" t="n">
        <v>93</v>
      </c>
      <c r="Q194" s="68" t="n">
        <v>53</v>
      </c>
      <c r="R194" s="69">
        <f>IF(OR(Q194="",P194="",P194=0,Q194=0),"",Q194-P194)</f>
        <v/>
      </c>
      <c r="S194" s="42">
        <f>IF(OR(Q194="",P194="",P194=0,Q194=0),"",Q194/P194-1)</f>
        <v/>
      </c>
      <c r="T194" s="43">
        <f>IF(OR(P194="",E194="",E194=0),"",P194/E194)</f>
        <v/>
      </c>
      <c r="U194" s="43">
        <f>IF(OR(Q194="",F194="",F194=0),"",Q194/F194)</f>
        <v/>
      </c>
      <c r="V194" s="44">
        <f>IF(OR(U194="",T194=""),"",(U194-T194)*100)</f>
        <v/>
      </c>
      <c r="W194" s="70" t="n"/>
      <c r="X194" s="70" t="n"/>
      <c r="Y194" s="69">
        <f>IF(OR(X194="",W194="",W194=0,X194=0),"",X194-W194)</f>
        <v/>
      </c>
      <c r="Z194" s="42">
        <f>IF(OR(X194="",W194="",W194=0,X194=0),"",X194/W194-1)</f>
        <v/>
      </c>
      <c r="AA194" s="43">
        <f>IF(OR(W194="",P194="",P194=0),"",W194/P194)</f>
        <v/>
      </c>
      <c r="AB194" s="43">
        <f>IF(OR(X194="",Q194="",Q194=0),"",X194/Q194)</f>
        <v/>
      </c>
      <c r="AC194" s="44">
        <f>IF(OR(AB194="",AA194=""),"",(AB194-AA194)*100)</f>
        <v/>
      </c>
      <c r="AD194" s="70" t="n"/>
      <c r="AE194" s="70" t="n"/>
      <c r="AF194" s="69">
        <f>IF(OR(AE194="",AD194="",AD194=0,AE194=0),"",AE194-AD194)</f>
        <v/>
      </c>
      <c r="AG194" s="42">
        <f>IF(OR(AE194="",AD194="",AD194=0,AE194=0),"",AE194/AD194-1)</f>
        <v/>
      </c>
      <c r="AH194" s="43">
        <f>IF(OR(AD194="",W194="",W194=0),"",AD194/W194)</f>
        <v/>
      </c>
      <c r="AI194" s="43">
        <f>IF(OR(AE194="",X194="",X194=0),"",AE194/X194)</f>
        <v/>
      </c>
      <c r="AJ194" s="44">
        <f>IF(OR(AI194="",AH194=""),"",(AI194-AH194)*100)</f>
        <v/>
      </c>
      <c r="AK194" s="70" t="n"/>
      <c r="AL194" s="70" t="n"/>
      <c r="AM194" s="69">
        <f>IF(OR(AL194="",AK194="",AK194=0,AL194=0),"",AL194-AK194)</f>
        <v/>
      </c>
      <c r="AN194" s="42">
        <f>IF(OR(AL194="",AK194="",AK194=0,AL194=0),"",AL194/AK194-1)</f>
        <v/>
      </c>
      <c r="AO194" s="43">
        <f>IF(OR(AK194="",AD194="",AD194=0),"",AK194/AD194)</f>
        <v/>
      </c>
      <c r="AP194" s="43">
        <f>IF(OR(AL194="",AE194="",AE194=0),"",AL194/AE194)</f>
        <v/>
      </c>
      <c r="AQ194" s="44">
        <f>IF(OR(AP194="",AO194=""),"",(AP194-AO194)*100)</f>
        <v/>
      </c>
      <c r="AR194" s="70" t="n"/>
      <c r="AS194" s="70" t="n"/>
      <c r="AT194" s="69">
        <f>IF(OR(AS194="",AR194="",AR194=0,AS194=0),"",AS194-AR194)</f>
        <v/>
      </c>
      <c r="AU194" s="42">
        <f>IF(OR(AS194="",AR194="",AR194=0,AS194=0),"",AS194/AR194-1)</f>
        <v/>
      </c>
      <c r="AV194" s="43">
        <f>IF(OR(AR194="",AK194="",AK194=0),"",AR194/AK194)</f>
        <v/>
      </c>
      <c r="AW194" s="43">
        <f>IF(OR(AS194="",AL194="",AL194=0),"",AS194/AL194)</f>
        <v/>
      </c>
      <c r="AX194" s="44">
        <f>IF(OR(AW194="",AV194=""),"",(AW194-AV194)*100)</f>
        <v/>
      </c>
      <c r="AY194" s="45">
        <f>IF(OR(AR194="",P194="",P194=0),"",AR194/P194)</f>
        <v/>
      </c>
      <c r="AZ194" s="45">
        <f>IF(OR(AS194="",Q194="",Q194=0),"",AS194/Q194)</f>
        <v/>
      </c>
      <c r="BA194" s="44">
        <f>IF(OR(AZ194="",AY194=""),"",(AZ194-AY194)*100)</f>
        <v/>
      </c>
      <c r="BB194" s="45">
        <f>IF(OR(AR194="",E194="",E194=0),"",AR194/E194)</f>
        <v/>
      </c>
      <c r="BC194" s="45">
        <f>IF(OR(AS194="",F194="",F194=0),"",AS194/F194)</f>
        <v/>
      </c>
      <c r="BD194" s="44">
        <f>IF(OR(BC194="",BB194=""),"",(BC194-BB194)*100)</f>
        <v/>
      </c>
      <c r="BE194" s="40">
        <f>IF(AND(F194&lt;&gt;"",E194&lt;&gt;""),"Both years",IF(F194&lt;&gt;"","1-23Aug26 rows only","1-23Aug25 rows only"))</f>
        <v/>
      </c>
    </row>
    <row r="195">
      <c r="A195" s="40" t="inlineStr">
        <is>
          <t>Home page</t>
        </is>
      </c>
      <c r="B195" s="40" t="inlineStr">
        <is>
          <t>Direct</t>
        </is>
      </c>
      <c r="C195" s="40" t="inlineStr">
        <is>
          <t>Mobile</t>
        </is>
      </c>
      <c r="D195" s="40" t="inlineStr">
        <is>
          <t>Sweden</t>
        </is>
      </c>
      <c r="E195" s="68" t="n">
        <v>313</v>
      </c>
      <c r="F195" s="68" t="n">
        <v>157</v>
      </c>
      <c r="G195" s="69">
        <f>IF(OR(F195="",E195="",E195=0,F195=0),"",F195-E195)</f>
        <v/>
      </c>
      <c r="H195" s="42">
        <f>IF(OR(F195="",E195="",E195=0,F195=0),"",F195/E195-1)</f>
        <v/>
      </c>
      <c r="I195" s="68" t="n">
        <v>138</v>
      </c>
      <c r="J195" s="68" t="n">
        <v>66</v>
      </c>
      <c r="K195" s="69">
        <f>IF(OR(J195="",I195="",I195=0,J195=0),"",J195-I195)</f>
        <v/>
      </c>
      <c r="L195" s="42">
        <f>IF(OR(J195="",I195="",I195=0,J195=0),"",J195/I195-1)</f>
        <v/>
      </c>
      <c r="M195" s="43">
        <f>IF(OR(I195="",E195="",E195=0),"",I195/E195)</f>
        <v/>
      </c>
      <c r="N195" s="43">
        <f>IF(OR(J195="",F195="",F195=0),"",J195/F195)</f>
        <v/>
      </c>
      <c r="O195" s="44">
        <f>IF(OR(N195="",M195=""),"",(N195-M195)*100)</f>
        <v/>
      </c>
      <c r="P195" s="68" t="n">
        <v>121</v>
      </c>
      <c r="Q195" s="68" t="n">
        <v>63</v>
      </c>
      <c r="R195" s="69">
        <f>IF(OR(Q195="",P195="",P195=0,Q195=0),"",Q195-P195)</f>
        <v/>
      </c>
      <c r="S195" s="42">
        <f>IF(OR(Q195="",P195="",P195=0,Q195=0),"",Q195/P195-1)</f>
        <v/>
      </c>
      <c r="T195" s="43">
        <f>IF(OR(P195="",E195="",E195=0),"",P195/E195)</f>
        <v/>
      </c>
      <c r="U195" s="43">
        <f>IF(OR(Q195="",F195="",F195=0),"",Q195/F195)</f>
        <v/>
      </c>
      <c r="V195" s="44">
        <f>IF(OR(U195="",T195=""),"",(U195-T195)*100)</f>
        <v/>
      </c>
      <c r="W195" s="68" t="n">
        <v>54</v>
      </c>
      <c r="X195" s="68" t="n">
        <v>23</v>
      </c>
      <c r="Y195" s="69">
        <f>IF(OR(X195="",W195="",W195=0,X195=0),"",X195-W195)</f>
        <v/>
      </c>
      <c r="Z195" s="42">
        <f>IF(OR(X195="",W195="",W195=0,X195=0),"",X195/W195-1)</f>
        <v/>
      </c>
      <c r="AA195" s="43">
        <f>IF(OR(W195="",P195="",P195=0),"",W195/P195)</f>
        <v/>
      </c>
      <c r="AB195" s="43">
        <f>IF(OR(X195="",Q195="",Q195=0),"",X195/Q195)</f>
        <v/>
      </c>
      <c r="AC195" s="44">
        <f>IF(OR(AB195="",AA195=""),"",(AB195-AA195)*100)</f>
        <v/>
      </c>
      <c r="AD195" s="68" t="n">
        <v>46</v>
      </c>
      <c r="AE195" s="68" t="n">
        <v>19</v>
      </c>
      <c r="AF195" s="69">
        <f>IF(OR(AE195="",AD195="",AD195=0,AE195=0),"",AE195-AD195)</f>
        <v/>
      </c>
      <c r="AG195" s="42">
        <f>IF(OR(AE195="",AD195="",AD195=0,AE195=0),"",AE195/AD195-1)</f>
        <v/>
      </c>
      <c r="AH195" s="43">
        <f>IF(OR(AD195="",W195="",W195=0),"",AD195/W195)</f>
        <v/>
      </c>
      <c r="AI195" s="43">
        <f>IF(OR(AE195="",X195="",X195=0),"",AE195/X195)</f>
        <v/>
      </c>
      <c r="AJ195" s="44">
        <f>IF(OR(AI195="",AH195=""),"",(AI195-AH195)*100)</f>
        <v/>
      </c>
      <c r="AK195" s="68" t="n">
        <v>26</v>
      </c>
      <c r="AL195" s="68" t="n">
        <v>12</v>
      </c>
      <c r="AM195" s="69">
        <f>IF(OR(AL195="",AK195="",AK195=0,AL195=0),"",AL195-AK195)</f>
        <v/>
      </c>
      <c r="AN195" s="42">
        <f>IF(OR(AL195="",AK195="",AK195=0,AL195=0),"",AL195/AK195-1)</f>
        <v/>
      </c>
      <c r="AO195" s="43">
        <f>IF(OR(AK195="",AD195="",AD195=0),"",AK195/AD195)</f>
        <v/>
      </c>
      <c r="AP195" s="43">
        <f>IF(OR(AL195="",AE195="",AE195=0),"",AL195/AE195)</f>
        <v/>
      </c>
      <c r="AQ195" s="44">
        <f>IF(OR(AP195="",AO195=""),"",(AP195-AO195)*100)</f>
        <v/>
      </c>
      <c r="AR195" s="68" t="n">
        <v>21</v>
      </c>
      <c r="AS195" s="68" t="n">
        <v>13</v>
      </c>
      <c r="AT195" s="69">
        <f>IF(OR(AS195="",AR195="",AR195=0,AS195=0),"",AS195-AR195)</f>
        <v/>
      </c>
      <c r="AU195" s="42">
        <f>IF(OR(AS195="",AR195="",AR195=0,AS195=0),"",AS195/AR195-1)</f>
        <v/>
      </c>
      <c r="AV195" s="43">
        <f>IF(OR(AR195="",AK195="",AK195=0),"",AR195/AK195)</f>
        <v/>
      </c>
      <c r="AW195" s="43">
        <f>IF(OR(AS195="",AL195="",AL195=0),"",AS195/AL195)</f>
        <v/>
      </c>
      <c r="AX195" s="44">
        <f>IF(OR(AW195="",AV195=""),"",(AW195-AV195)*100)</f>
        <v/>
      </c>
      <c r="AY195" s="45">
        <f>IF(OR(AR195="",P195="",P195=0),"",AR195/P195)</f>
        <v/>
      </c>
      <c r="AZ195" s="45">
        <f>IF(OR(AS195="",Q195="",Q195=0),"",AS195/Q195)</f>
        <v/>
      </c>
      <c r="BA195" s="44">
        <f>IF(OR(AZ195="",AY195=""),"",(AZ195-AY195)*100)</f>
        <v/>
      </c>
      <c r="BB195" s="45">
        <f>IF(OR(AR195="",E195="",E195=0),"",AR195/E195)</f>
        <v/>
      </c>
      <c r="BC195" s="45">
        <f>IF(OR(AS195="",F195="",F195=0),"",AS195/F195)</f>
        <v/>
      </c>
      <c r="BD195" s="44">
        <f>IF(OR(BC195="",BB195=""),"",(BC195-BB195)*100)</f>
        <v/>
      </c>
      <c r="BE195" s="40">
        <f>IF(AND(F195&lt;&gt;"",E195&lt;&gt;""),"Both years",IF(F195&lt;&gt;"","1-23Aug26 rows only","1-23Aug25 rows only"))</f>
        <v/>
      </c>
    </row>
    <row r="196">
      <c r="A196" s="56" t="inlineStr">
        <is>
          <t>Home page</t>
        </is>
      </c>
      <c r="B196" s="56" t="inlineStr">
        <is>
          <t>Direct</t>
        </is>
      </c>
      <c r="C196" s="56" t="inlineStr">
        <is>
          <t>Mobile</t>
        </is>
      </c>
      <c r="D196" s="56" t="inlineStr">
        <is>
          <t>Switzerland</t>
        </is>
      </c>
      <c r="E196" s="70" t="n"/>
      <c r="F196" s="68" t="n">
        <v>154</v>
      </c>
      <c r="G196" s="69">
        <f>IF(OR(F196="",E196="",E196=0,F196=0),"",F196-E196)</f>
        <v/>
      </c>
      <c r="H196" s="42">
        <f>IF(OR(F196="",E196="",E196=0,F196=0),"",F196/E196-1)</f>
        <v/>
      </c>
      <c r="I196" s="70" t="n"/>
      <c r="J196" s="70" t="n"/>
      <c r="K196" s="69">
        <f>IF(OR(J196="",I196="",I196=0,J196=0),"",J196-I196)</f>
        <v/>
      </c>
      <c r="L196" s="42">
        <f>IF(OR(J196="",I196="",I196=0,J196=0),"",J196/I196-1)</f>
        <v/>
      </c>
      <c r="M196" s="43">
        <f>IF(OR(I196="",E196="",E196=0),"",I196/E196)</f>
        <v/>
      </c>
      <c r="N196" s="43">
        <f>IF(OR(J196="",F196="",F196=0),"",J196/F196)</f>
        <v/>
      </c>
      <c r="O196" s="44">
        <f>IF(OR(N196="",M196=""),"",(N196-M196)*100)</f>
        <v/>
      </c>
      <c r="P196" s="70" t="n"/>
      <c r="Q196" s="70" t="n"/>
      <c r="R196" s="69">
        <f>IF(OR(Q196="",P196="",P196=0,Q196=0),"",Q196-P196)</f>
        <v/>
      </c>
      <c r="S196" s="42">
        <f>IF(OR(Q196="",P196="",P196=0,Q196=0),"",Q196/P196-1)</f>
        <v/>
      </c>
      <c r="T196" s="43">
        <f>IF(OR(P196="",E196="",E196=0),"",P196/E196)</f>
        <v/>
      </c>
      <c r="U196" s="43">
        <f>IF(OR(Q196="",F196="",F196=0),"",Q196/F196)</f>
        <v/>
      </c>
      <c r="V196" s="44">
        <f>IF(OR(U196="",T196=""),"",(U196-T196)*100)</f>
        <v/>
      </c>
      <c r="W196" s="70" t="n"/>
      <c r="X196" s="70" t="n"/>
      <c r="Y196" s="69">
        <f>IF(OR(X196="",W196="",W196=0,X196=0),"",X196-W196)</f>
        <v/>
      </c>
      <c r="Z196" s="42">
        <f>IF(OR(X196="",W196="",W196=0,X196=0),"",X196/W196-1)</f>
        <v/>
      </c>
      <c r="AA196" s="43">
        <f>IF(OR(W196="",P196="",P196=0),"",W196/P196)</f>
        <v/>
      </c>
      <c r="AB196" s="43">
        <f>IF(OR(X196="",Q196="",Q196=0),"",X196/Q196)</f>
        <v/>
      </c>
      <c r="AC196" s="44">
        <f>IF(OR(AB196="",AA196=""),"",(AB196-AA196)*100)</f>
        <v/>
      </c>
      <c r="AD196" s="70" t="n"/>
      <c r="AE196" s="70" t="n"/>
      <c r="AF196" s="69">
        <f>IF(OR(AE196="",AD196="",AD196=0,AE196=0),"",AE196-AD196)</f>
        <v/>
      </c>
      <c r="AG196" s="42">
        <f>IF(OR(AE196="",AD196="",AD196=0,AE196=0),"",AE196/AD196-1)</f>
        <v/>
      </c>
      <c r="AH196" s="43">
        <f>IF(OR(AD196="",W196="",W196=0),"",AD196/W196)</f>
        <v/>
      </c>
      <c r="AI196" s="43">
        <f>IF(OR(AE196="",X196="",X196=0),"",AE196/X196)</f>
        <v/>
      </c>
      <c r="AJ196" s="44">
        <f>IF(OR(AI196="",AH196=""),"",(AI196-AH196)*100)</f>
        <v/>
      </c>
      <c r="AK196" s="70" t="n"/>
      <c r="AL196" s="70" t="n"/>
      <c r="AM196" s="69">
        <f>IF(OR(AL196="",AK196="",AK196=0,AL196=0),"",AL196-AK196)</f>
        <v/>
      </c>
      <c r="AN196" s="42">
        <f>IF(OR(AL196="",AK196="",AK196=0,AL196=0),"",AL196/AK196-1)</f>
        <v/>
      </c>
      <c r="AO196" s="43">
        <f>IF(OR(AK196="",AD196="",AD196=0),"",AK196/AD196)</f>
        <v/>
      </c>
      <c r="AP196" s="43">
        <f>IF(OR(AL196="",AE196="",AE196=0),"",AL196/AE196)</f>
        <v/>
      </c>
      <c r="AQ196" s="44">
        <f>IF(OR(AP196="",AO196=""),"",(AP196-AO196)*100)</f>
        <v/>
      </c>
      <c r="AR196" s="70" t="n"/>
      <c r="AS196" s="70" t="n"/>
      <c r="AT196" s="69">
        <f>IF(OR(AS196="",AR196="",AR196=0,AS196=0),"",AS196-AR196)</f>
        <v/>
      </c>
      <c r="AU196" s="42">
        <f>IF(OR(AS196="",AR196="",AR196=0,AS196=0),"",AS196/AR196-1)</f>
        <v/>
      </c>
      <c r="AV196" s="43">
        <f>IF(OR(AR196="",AK196="",AK196=0),"",AR196/AK196)</f>
        <v/>
      </c>
      <c r="AW196" s="43">
        <f>IF(OR(AS196="",AL196="",AL196=0),"",AS196/AL196)</f>
        <v/>
      </c>
      <c r="AX196" s="44">
        <f>IF(OR(AW196="",AV196=""),"",(AW196-AV196)*100)</f>
        <v/>
      </c>
      <c r="AY196" s="45">
        <f>IF(OR(AR196="",P196="",P196=0),"",AR196/P196)</f>
        <v/>
      </c>
      <c r="AZ196" s="45">
        <f>IF(OR(AS196="",Q196="",Q196=0),"",AS196/Q196)</f>
        <v/>
      </c>
      <c r="BA196" s="44">
        <f>IF(OR(AZ196="",AY196=""),"",(AZ196-AY196)*100)</f>
        <v/>
      </c>
      <c r="BB196" s="45">
        <f>IF(OR(AR196="",E196="",E196=0),"",AR196/E196)</f>
        <v/>
      </c>
      <c r="BC196" s="45">
        <f>IF(OR(AS196="",F196="",F196=0),"",AS196/F196)</f>
        <v/>
      </c>
      <c r="BD196" s="44">
        <f>IF(OR(BC196="",BB196=""),"",(BC196-BB196)*100)</f>
        <v/>
      </c>
      <c r="BE196" s="40">
        <f>IF(AND(F196&lt;&gt;"",E196&lt;&gt;""),"Both years",IF(F196&lt;&gt;"","1-23Aug26 rows only","1-23Aug25 rows only"))</f>
        <v/>
      </c>
    </row>
    <row r="197">
      <c r="A197" s="40" t="inlineStr">
        <is>
          <t>Home page</t>
        </is>
      </c>
      <c r="B197" s="40" t="inlineStr">
        <is>
          <t>Direct</t>
        </is>
      </c>
      <c r="C197" s="40" t="inlineStr">
        <is>
          <t>Mobile</t>
        </is>
      </c>
      <c r="D197" s="40" t="inlineStr">
        <is>
          <t>Norway</t>
        </is>
      </c>
      <c r="E197" s="68" t="n">
        <v>229</v>
      </c>
      <c r="F197" s="70" t="n"/>
      <c r="G197" s="69">
        <f>IF(OR(F197="",E197="",E197=0,F197=0),"",F197-E197)</f>
        <v/>
      </c>
      <c r="H197" s="42">
        <f>IF(OR(F197="",E197="",E197=0,F197=0),"",F197/E197-1)</f>
        <v/>
      </c>
      <c r="I197" s="68" t="n">
        <v>104</v>
      </c>
      <c r="J197" s="68" t="n">
        <v>50</v>
      </c>
      <c r="K197" s="69">
        <f>IF(OR(J197="",I197="",I197=0,J197=0),"",J197-I197)</f>
        <v/>
      </c>
      <c r="L197" s="42">
        <f>IF(OR(J197="",I197="",I197=0,J197=0),"",J197/I197-1)</f>
        <v/>
      </c>
      <c r="M197" s="43">
        <f>IF(OR(I197="",E197="",E197=0),"",I197/E197)</f>
        <v/>
      </c>
      <c r="N197" s="43">
        <f>IF(OR(J197="",F197="",F197=0),"",J197/F197)</f>
        <v/>
      </c>
      <c r="O197" s="44">
        <f>IF(OR(N197="",M197=""),"",(N197-M197)*100)</f>
        <v/>
      </c>
      <c r="P197" s="68" t="n">
        <v>92</v>
      </c>
      <c r="Q197" s="70" t="n"/>
      <c r="R197" s="69">
        <f>IF(OR(Q197="",P197="",P197=0,Q197=0),"",Q197-P197)</f>
        <v/>
      </c>
      <c r="S197" s="42">
        <f>IF(OR(Q197="",P197="",P197=0,Q197=0),"",Q197/P197-1)</f>
        <v/>
      </c>
      <c r="T197" s="43">
        <f>IF(OR(P197="",E197="",E197=0),"",P197/E197)</f>
        <v/>
      </c>
      <c r="U197" s="43">
        <f>IF(OR(Q197="",F197="",F197=0),"",Q197/F197)</f>
        <v/>
      </c>
      <c r="V197" s="44">
        <f>IF(OR(U197="",T197=""),"",(U197-T197)*100)</f>
        <v/>
      </c>
      <c r="W197" s="68" t="n">
        <v>42</v>
      </c>
      <c r="X197" s="68" t="n">
        <v>25</v>
      </c>
      <c r="Y197" s="69">
        <f>IF(OR(X197="",W197="",W197=0,X197=0),"",X197-W197)</f>
        <v/>
      </c>
      <c r="Z197" s="42">
        <f>IF(OR(X197="",W197="",W197=0,X197=0),"",X197/W197-1)</f>
        <v/>
      </c>
      <c r="AA197" s="43">
        <f>IF(OR(W197="",P197="",P197=0),"",W197/P197)</f>
        <v/>
      </c>
      <c r="AB197" s="43">
        <f>IF(OR(X197="",Q197="",Q197=0),"",X197/Q197)</f>
        <v/>
      </c>
      <c r="AC197" s="44">
        <f>IF(OR(AB197="",AA197=""),"",(AB197-AA197)*100)</f>
        <v/>
      </c>
      <c r="AD197" s="68" t="n">
        <v>35</v>
      </c>
      <c r="AE197" s="68" t="n">
        <v>20</v>
      </c>
      <c r="AF197" s="69">
        <f>IF(OR(AE197="",AD197="",AD197=0,AE197=0),"",AE197-AD197)</f>
        <v/>
      </c>
      <c r="AG197" s="42">
        <f>IF(OR(AE197="",AD197="",AD197=0,AE197=0),"",AE197/AD197-1)</f>
        <v/>
      </c>
      <c r="AH197" s="43">
        <f>IF(OR(AD197="",W197="",W197=0),"",AD197/W197)</f>
        <v/>
      </c>
      <c r="AI197" s="43">
        <f>IF(OR(AE197="",X197="",X197=0),"",AE197/X197)</f>
        <v/>
      </c>
      <c r="AJ197" s="44">
        <f>IF(OR(AI197="",AH197=""),"",(AI197-AH197)*100)</f>
        <v/>
      </c>
      <c r="AK197" s="68" t="n">
        <v>18</v>
      </c>
      <c r="AL197" s="68" t="n">
        <v>11</v>
      </c>
      <c r="AM197" s="69">
        <f>IF(OR(AL197="",AK197="",AK197=0,AL197=0),"",AL197-AK197)</f>
        <v/>
      </c>
      <c r="AN197" s="42">
        <f>IF(OR(AL197="",AK197="",AK197=0,AL197=0),"",AL197/AK197-1)</f>
        <v/>
      </c>
      <c r="AO197" s="43">
        <f>IF(OR(AK197="",AD197="",AD197=0),"",AK197/AD197)</f>
        <v/>
      </c>
      <c r="AP197" s="43">
        <f>IF(OR(AL197="",AE197="",AE197=0),"",AL197/AE197)</f>
        <v/>
      </c>
      <c r="AQ197" s="44">
        <f>IF(OR(AP197="",AO197=""),"",(AP197-AO197)*100)</f>
        <v/>
      </c>
      <c r="AR197" s="68" t="n">
        <v>16</v>
      </c>
      <c r="AS197" s="68" t="n">
        <v>10</v>
      </c>
      <c r="AT197" s="69">
        <f>IF(OR(AS197="",AR197="",AR197=0,AS197=0),"",AS197-AR197)</f>
        <v/>
      </c>
      <c r="AU197" s="42">
        <f>IF(OR(AS197="",AR197="",AR197=0,AS197=0),"",AS197/AR197-1)</f>
        <v/>
      </c>
      <c r="AV197" s="43">
        <f>IF(OR(AR197="",AK197="",AK197=0),"",AR197/AK197)</f>
        <v/>
      </c>
      <c r="AW197" s="43">
        <f>IF(OR(AS197="",AL197="",AL197=0),"",AS197/AL197)</f>
        <v/>
      </c>
      <c r="AX197" s="44">
        <f>IF(OR(AW197="",AV197=""),"",(AW197-AV197)*100)</f>
        <v/>
      </c>
      <c r="AY197" s="45">
        <f>IF(OR(AR197="",P197="",P197=0),"",AR197/P197)</f>
        <v/>
      </c>
      <c r="AZ197" s="45">
        <f>IF(OR(AS197="",Q197="",Q197=0),"",AS197/Q197)</f>
        <v/>
      </c>
      <c r="BA197" s="44">
        <f>IF(OR(AZ197="",AY197=""),"",(AZ197-AY197)*100)</f>
        <v/>
      </c>
      <c r="BB197" s="45">
        <f>IF(OR(AR197="",E197="",E197=0),"",AR197/E197)</f>
        <v/>
      </c>
      <c r="BC197" s="45">
        <f>IF(OR(AS197="",F197="",F197=0),"",AS197/F197)</f>
        <v/>
      </c>
      <c r="BD197" s="44">
        <f>IF(OR(BC197="",BB197=""),"",(BC197-BB197)*100)</f>
        <v/>
      </c>
      <c r="BE197" s="40">
        <f>IF(AND(F197&lt;&gt;"",E197&lt;&gt;""),"Both years",IF(F197&lt;&gt;"","1-23Aug26 rows only","1-23Aug25 rows only"))</f>
        <v/>
      </c>
    </row>
    <row r="198">
      <c r="A198" s="56" t="inlineStr">
        <is>
          <t>Home page</t>
        </is>
      </c>
      <c r="B198" s="56" t="inlineStr">
        <is>
          <t>Direct</t>
        </is>
      </c>
      <c r="C198" s="56" t="inlineStr">
        <is>
          <t>Mobile</t>
        </is>
      </c>
      <c r="D198" s="56" t="inlineStr">
        <is>
          <t>Portugal</t>
        </is>
      </c>
      <c r="E198" s="68" t="n">
        <v>198</v>
      </c>
      <c r="F198" s="70" t="n"/>
      <c r="G198" s="69">
        <f>IF(OR(F198="",E198="",E198=0,F198=0),"",F198-E198)</f>
        <v/>
      </c>
      <c r="H198" s="42">
        <f>IF(OR(F198="",E198="",E198=0,F198=0),"",F198/E198-1)</f>
        <v/>
      </c>
      <c r="I198" s="70" t="n"/>
      <c r="J198" s="70" t="n"/>
      <c r="K198" s="69">
        <f>IF(OR(J198="",I198="",I198=0,J198=0),"",J198-I198)</f>
        <v/>
      </c>
      <c r="L198" s="42">
        <f>IF(OR(J198="",I198="",I198=0,J198=0),"",J198/I198-1)</f>
        <v/>
      </c>
      <c r="M198" s="43">
        <f>IF(OR(I198="",E198="",E198=0),"",I198/E198)</f>
        <v/>
      </c>
      <c r="N198" s="43">
        <f>IF(OR(J198="",F198="",F198=0),"",J198/F198)</f>
        <v/>
      </c>
      <c r="O198" s="44">
        <f>IF(OR(N198="",M198=""),"",(N198-M198)*100)</f>
        <v/>
      </c>
      <c r="P198" s="70" t="n"/>
      <c r="Q198" s="70" t="n"/>
      <c r="R198" s="69">
        <f>IF(OR(Q198="",P198="",P198=0,Q198=0),"",Q198-P198)</f>
        <v/>
      </c>
      <c r="S198" s="42">
        <f>IF(OR(Q198="",P198="",P198=0,Q198=0),"",Q198/P198-1)</f>
        <v/>
      </c>
      <c r="T198" s="43">
        <f>IF(OR(P198="",E198="",E198=0),"",P198/E198)</f>
        <v/>
      </c>
      <c r="U198" s="43">
        <f>IF(OR(Q198="",F198="",F198=0),"",Q198/F198)</f>
        <v/>
      </c>
      <c r="V198" s="44">
        <f>IF(OR(U198="",T198=""),"",(U198-T198)*100)</f>
        <v/>
      </c>
      <c r="W198" s="70" t="n"/>
      <c r="X198" s="70" t="n"/>
      <c r="Y198" s="69">
        <f>IF(OR(X198="",W198="",W198=0,X198=0),"",X198-W198)</f>
        <v/>
      </c>
      <c r="Z198" s="42">
        <f>IF(OR(X198="",W198="",W198=0,X198=0),"",X198/W198-1)</f>
        <v/>
      </c>
      <c r="AA198" s="43">
        <f>IF(OR(W198="",P198="",P198=0),"",W198/P198)</f>
        <v/>
      </c>
      <c r="AB198" s="43">
        <f>IF(OR(X198="",Q198="",Q198=0),"",X198/Q198)</f>
        <v/>
      </c>
      <c r="AC198" s="44">
        <f>IF(OR(AB198="",AA198=""),"",(AB198-AA198)*100)</f>
        <v/>
      </c>
      <c r="AD198" s="70" t="n"/>
      <c r="AE198" s="70" t="n"/>
      <c r="AF198" s="69">
        <f>IF(OR(AE198="",AD198="",AD198=0,AE198=0),"",AE198-AD198)</f>
        <v/>
      </c>
      <c r="AG198" s="42">
        <f>IF(OR(AE198="",AD198="",AD198=0,AE198=0),"",AE198/AD198-1)</f>
        <v/>
      </c>
      <c r="AH198" s="43">
        <f>IF(OR(AD198="",W198="",W198=0),"",AD198/W198)</f>
        <v/>
      </c>
      <c r="AI198" s="43">
        <f>IF(OR(AE198="",X198="",X198=0),"",AE198/X198)</f>
        <v/>
      </c>
      <c r="AJ198" s="44">
        <f>IF(OR(AI198="",AH198=""),"",(AI198-AH198)*100)</f>
        <v/>
      </c>
      <c r="AK198" s="70" t="n"/>
      <c r="AL198" s="70" t="n"/>
      <c r="AM198" s="69">
        <f>IF(OR(AL198="",AK198="",AK198=0,AL198=0),"",AL198-AK198)</f>
        <v/>
      </c>
      <c r="AN198" s="42">
        <f>IF(OR(AL198="",AK198="",AK198=0,AL198=0),"",AL198/AK198-1)</f>
        <v/>
      </c>
      <c r="AO198" s="43">
        <f>IF(OR(AK198="",AD198="",AD198=0),"",AK198/AD198)</f>
        <v/>
      </c>
      <c r="AP198" s="43">
        <f>IF(OR(AL198="",AE198="",AE198=0),"",AL198/AE198)</f>
        <v/>
      </c>
      <c r="AQ198" s="44">
        <f>IF(OR(AP198="",AO198=""),"",(AP198-AO198)*100)</f>
        <v/>
      </c>
      <c r="AR198" s="70" t="n"/>
      <c r="AS198" s="70" t="n"/>
      <c r="AT198" s="69">
        <f>IF(OR(AS198="",AR198="",AR198=0,AS198=0),"",AS198-AR198)</f>
        <v/>
      </c>
      <c r="AU198" s="42">
        <f>IF(OR(AS198="",AR198="",AR198=0,AS198=0),"",AS198/AR198-1)</f>
        <v/>
      </c>
      <c r="AV198" s="43">
        <f>IF(OR(AR198="",AK198="",AK198=0),"",AR198/AK198)</f>
        <v/>
      </c>
      <c r="AW198" s="43">
        <f>IF(OR(AS198="",AL198="",AL198=0),"",AS198/AL198)</f>
        <v/>
      </c>
      <c r="AX198" s="44">
        <f>IF(OR(AW198="",AV198=""),"",(AW198-AV198)*100)</f>
        <v/>
      </c>
      <c r="AY198" s="45">
        <f>IF(OR(AR198="",P198="",P198=0),"",AR198/P198)</f>
        <v/>
      </c>
      <c r="AZ198" s="45">
        <f>IF(OR(AS198="",Q198="",Q198=0),"",AS198/Q198)</f>
        <v/>
      </c>
      <c r="BA198" s="44">
        <f>IF(OR(AZ198="",AY198=""),"",(AZ198-AY198)*100)</f>
        <v/>
      </c>
      <c r="BB198" s="45">
        <f>IF(OR(AR198="",E198="",E198=0),"",AR198/E198)</f>
        <v/>
      </c>
      <c r="BC198" s="45">
        <f>IF(OR(AS198="",F198="",F198=0),"",AS198/F198)</f>
        <v/>
      </c>
      <c r="BD198" s="44">
        <f>IF(OR(BC198="",BB198=""),"",(BC198-BB198)*100)</f>
        <v/>
      </c>
      <c r="BE198" s="40">
        <f>IF(AND(F198&lt;&gt;"",E198&lt;&gt;""),"Both years",IF(F198&lt;&gt;"","1-23Aug26 rows only","1-23Aug25 rows only"))</f>
        <v/>
      </c>
    </row>
    <row r="199">
      <c r="A199" s="40" t="inlineStr">
        <is>
          <t>Home page</t>
        </is>
      </c>
      <c r="B199" s="40" t="inlineStr">
        <is>
          <t>Direct</t>
        </is>
      </c>
      <c r="C199" s="40" t="inlineStr">
        <is>
          <t>Mobile</t>
        </is>
      </c>
      <c r="D199" s="40" t="inlineStr">
        <is>
          <t>Finland</t>
        </is>
      </c>
      <c r="E199" s="70" t="n"/>
      <c r="F199" s="70" t="n"/>
      <c r="G199" s="69">
        <f>IF(OR(F199="",E199="",E199=0,F199=0),"",F199-E199)</f>
        <v/>
      </c>
      <c r="H199" s="42">
        <f>IF(OR(F199="",E199="",E199=0,F199=0),"",F199/E199-1)</f>
        <v/>
      </c>
      <c r="I199" s="68" t="n">
        <v>69</v>
      </c>
      <c r="J199" s="68" t="n">
        <v>34</v>
      </c>
      <c r="K199" s="69">
        <f>IF(OR(J199="",I199="",I199=0,J199=0),"",J199-I199)</f>
        <v/>
      </c>
      <c r="L199" s="42">
        <f>IF(OR(J199="",I199="",I199=0,J199=0),"",J199/I199-1)</f>
        <v/>
      </c>
      <c r="M199" s="43">
        <f>IF(OR(I199="",E199="",E199=0),"",I199/E199)</f>
        <v/>
      </c>
      <c r="N199" s="43">
        <f>IF(OR(J199="",F199="",F199=0),"",J199/F199)</f>
        <v/>
      </c>
      <c r="O199" s="44">
        <f>IF(OR(N199="",M199=""),"",(N199-M199)*100)</f>
        <v/>
      </c>
      <c r="P199" s="70" t="n"/>
      <c r="Q199" s="70" t="n"/>
      <c r="R199" s="69">
        <f>IF(OR(Q199="",P199="",P199=0,Q199=0),"",Q199-P199)</f>
        <v/>
      </c>
      <c r="S199" s="42">
        <f>IF(OR(Q199="",P199="",P199=0,Q199=0),"",Q199/P199-1)</f>
        <v/>
      </c>
      <c r="T199" s="43">
        <f>IF(OR(P199="",E199="",E199=0),"",P199/E199)</f>
        <v/>
      </c>
      <c r="U199" s="43">
        <f>IF(OR(Q199="",F199="",F199=0),"",Q199/F199)</f>
        <v/>
      </c>
      <c r="V199" s="44">
        <f>IF(OR(U199="",T199=""),"",(U199-T199)*100)</f>
        <v/>
      </c>
      <c r="W199" s="68" t="n">
        <v>33</v>
      </c>
      <c r="X199" s="68" t="n">
        <v>19</v>
      </c>
      <c r="Y199" s="69">
        <f>IF(OR(X199="",W199="",W199=0,X199=0),"",X199-W199)</f>
        <v/>
      </c>
      <c r="Z199" s="42">
        <f>IF(OR(X199="",W199="",W199=0,X199=0),"",X199/W199-1)</f>
        <v/>
      </c>
      <c r="AA199" s="43">
        <f>IF(OR(W199="",P199="",P199=0),"",W199/P199)</f>
        <v/>
      </c>
      <c r="AB199" s="43">
        <f>IF(OR(X199="",Q199="",Q199=0),"",X199/Q199)</f>
        <v/>
      </c>
      <c r="AC199" s="44">
        <f>IF(OR(AB199="",AA199=""),"",(AB199-AA199)*100)</f>
        <v/>
      </c>
      <c r="AD199" s="68" t="n">
        <v>26</v>
      </c>
      <c r="AE199" s="68" t="n">
        <v>17</v>
      </c>
      <c r="AF199" s="69">
        <f>IF(OR(AE199="",AD199="",AD199=0,AE199=0),"",AE199-AD199)</f>
        <v/>
      </c>
      <c r="AG199" s="42">
        <f>IF(OR(AE199="",AD199="",AD199=0,AE199=0),"",AE199/AD199-1)</f>
        <v/>
      </c>
      <c r="AH199" s="43">
        <f>IF(OR(AD199="",W199="",W199=0),"",AD199/W199)</f>
        <v/>
      </c>
      <c r="AI199" s="43">
        <f>IF(OR(AE199="",X199="",X199=0),"",AE199/X199)</f>
        <v/>
      </c>
      <c r="AJ199" s="44">
        <f>IF(OR(AI199="",AH199=""),"",(AI199-AH199)*100)</f>
        <v/>
      </c>
      <c r="AK199" s="68" t="n">
        <v>12</v>
      </c>
      <c r="AL199" s="68" t="n">
        <v>11</v>
      </c>
      <c r="AM199" s="69">
        <f>IF(OR(AL199="",AK199="",AK199=0,AL199=0),"",AL199-AK199)</f>
        <v/>
      </c>
      <c r="AN199" s="42">
        <f>IF(OR(AL199="",AK199="",AK199=0,AL199=0),"",AL199/AK199-1)</f>
        <v/>
      </c>
      <c r="AO199" s="43">
        <f>IF(OR(AK199="",AD199="",AD199=0),"",AK199/AD199)</f>
        <v/>
      </c>
      <c r="AP199" s="43">
        <f>IF(OR(AL199="",AE199="",AE199=0),"",AL199/AE199)</f>
        <v/>
      </c>
      <c r="AQ199" s="44">
        <f>IF(OR(AP199="",AO199=""),"",(AP199-AO199)*100)</f>
        <v/>
      </c>
      <c r="AR199" s="68" t="n">
        <v>9</v>
      </c>
      <c r="AS199" s="68" t="n">
        <v>9</v>
      </c>
      <c r="AT199" s="69">
        <f>IF(OR(AS199="",AR199="",AR199=0,AS199=0),"",AS199-AR199)</f>
        <v/>
      </c>
      <c r="AU199" s="42">
        <f>IF(OR(AS199="",AR199="",AR199=0,AS199=0),"",AS199/AR199-1)</f>
        <v/>
      </c>
      <c r="AV199" s="43">
        <f>IF(OR(AR199="",AK199="",AK199=0),"",AR199/AK199)</f>
        <v/>
      </c>
      <c r="AW199" s="43">
        <f>IF(OR(AS199="",AL199="",AL199=0),"",AS199/AL199)</f>
        <v/>
      </c>
      <c r="AX199" s="44">
        <f>IF(OR(AW199="",AV199=""),"",(AW199-AV199)*100)</f>
        <v/>
      </c>
      <c r="AY199" s="45">
        <f>IF(OR(AR199="",P199="",P199=0),"",AR199/P199)</f>
        <v/>
      </c>
      <c r="AZ199" s="45">
        <f>IF(OR(AS199="",Q199="",Q199=0),"",AS199/Q199)</f>
        <v/>
      </c>
      <c r="BA199" s="44">
        <f>IF(OR(AZ199="",AY199=""),"",(AZ199-AY199)*100)</f>
        <v/>
      </c>
      <c r="BB199" s="45">
        <f>IF(OR(AR199="",E199="",E199=0),"",AR199/E199)</f>
        <v/>
      </c>
      <c r="BC199" s="45">
        <f>IF(OR(AS199="",F199="",F199=0),"",AS199/F199)</f>
        <v/>
      </c>
      <c r="BD199" s="44">
        <f>IF(OR(BC199="",BB199=""),"",(BC199-BB199)*100)</f>
        <v/>
      </c>
      <c r="BE199" s="40">
        <f>IF(AND(F199&lt;&gt;"",E199&lt;&gt;""),"Both years",IF(F199&lt;&gt;"","1-23Aug26 rows only","1-23Aug25 rows only"))</f>
        <v/>
      </c>
    </row>
    <row r="200">
      <c r="A200" s="56" t="inlineStr">
        <is>
          <t>Home page</t>
        </is>
      </c>
      <c r="B200" s="56" t="inlineStr">
        <is>
          <t>Direct</t>
        </is>
      </c>
      <c r="C200" s="56" t="inlineStr">
        <is>
          <t>Mobile</t>
        </is>
      </c>
      <c r="D200" s="56" t="inlineStr">
        <is>
          <t>Algeria</t>
        </is>
      </c>
      <c r="E200" s="70" t="n"/>
      <c r="F200" s="70" t="n"/>
      <c r="G200" s="69">
        <f>IF(OR(F200="",E200="",E200=0,F200=0),"",F200-E200)</f>
        <v/>
      </c>
      <c r="H200" s="42">
        <f>IF(OR(F200="",E200="",E200=0,F200=0),"",F200/E200-1)</f>
        <v/>
      </c>
      <c r="I200" s="70" t="n"/>
      <c r="J200" s="70" t="n"/>
      <c r="K200" s="69">
        <f>IF(OR(J200="",I200="",I200=0,J200=0),"",J200-I200)</f>
        <v/>
      </c>
      <c r="L200" s="42">
        <f>IF(OR(J200="",I200="",I200=0,J200=0),"",J200/I200-1)</f>
        <v/>
      </c>
      <c r="M200" s="43">
        <f>IF(OR(I200="",E200="",E200=0),"",I200/E200)</f>
        <v/>
      </c>
      <c r="N200" s="43">
        <f>IF(OR(J200="",F200="",F200=0),"",J200/F200)</f>
        <v/>
      </c>
      <c r="O200" s="44">
        <f>IF(OR(N200="",M200=""),"",(N200-M200)*100)</f>
        <v/>
      </c>
      <c r="P200" s="70" t="n"/>
      <c r="Q200" s="68" t="n">
        <v>58</v>
      </c>
      <c r="R200" s="69">
        <f>IF(OR(Q200="",P200="",P200=0,Q200=0),"",Q200-P200)</f>
        <v/>
      </c>
      <c r="S200" s="42">
        <f>IF(OR(Q200="",P200="",P200=0,Q200=0),"",Q200/P200-1)</f>
        <v/>
      </c>
      <c r="T200" s="43">
        <f>IF(OR(P200="",E200="",E200=0),"",P200/E200)</f>
        <v/>
      </c>
      <c r="U200" s="43">
        <f>IF(OR(Q200="",F200="",F200=0),"",Q200/F200)</f>
        <v/>
      </c>
      <c r="V200" s="44">
        <f>IF(OR(U200="",T200=""),"",(U200-T200)*100)</f>
        <v/>
      </c>
      <c r="W200" s="70" t="n"/>
      <c r="X200" s="70" t="n"/>
      <c r="Y200" s="69">
        <f>IF(OR(X200="",W200="",W200=0,X200=0),"",X200-W200)</f>
        <v/>
      </c>
      <c r="Z200" s="42">
        <f>IF(OR(X200="",W200="",W200=0,X200=0),"",X200/W200-1)</f>
        <v/>
      </c>
      <c r="AA200" s="43">
        <f>IF(OR(W200="",P200="",P200=0),"",W200/P200)</f>
        <v/>
      </c>
      <c r="AB200" s="43">
        <f>IF(OR(X200="",Q200="",Q200=0),"",X200/Q200)</f>
        <v/>
      </c>
      <c r="AC200" s="44">
        <f>IF(OR(AB200="",AA200=""),"",(AB200-AA200)*100)</f>
        <v/>
      </c>
      <c r="AD200" s="70" t="n"/>
      <c r="AE200" s="70" t="n"/>
      <c r="AF200" s="69">
        <f>IF(OR(AE200="",AD200="",AD200=0,AE200=0),"",AE200-AD200)</f>
        <v/>
      </c>
      <c r="AG200" s="42">
        <f>IF(OR(AE200="",AD200="",AD200=0,AE200=0),"",AE200/AD200-1)</f>
        <v/>
      </c>
      <c r="AH200" s="43">
        <f>IF(OR(AD200="",W200="",W200=0),"",AD200/W200)</f>
        <v/>
      </c>
      <c r="AI200" s="43">
        <f>IF(OR(AE200="",X200="",X200=0),"",AE200/X200)</f>
        <v/>
      </c>
      <c r="AJ200" s="44">
        <f>IF(OR(AI200="",AH200=""),"",(AI200-AH200)*100)</f>
        <v/>
      </c>
      <c r="AK200" s="70" t="n"/>
      <c r="AL200" s="70" t="n"/>
      <c r="AM200" s="69">
        <f>IF(OR(AL200="",AK200="",AK200=0,AL200=0),"",AL200-AK200)</f>
        <v/>
      </c>
      <c r="AN200" s="42">
        <f>IF(OR(AL200="",AK200="",AK200=0,AL200=0),"",AL200/AK200-1)</f>
        <v/>
      </c>
      <c r="AO200" s="43">
        <f>IF(OR(AK200="",AD200="",AD200=0),"",AK200/AD200)</f>
        <v/>
      </c>
      <c r="AP200" s="43">
        <f>IF(OR(AL200="",AE200="",AE200=0),"",AL200/AE200)</f>
        <v/>
      </c>
      <c r="AQ200" s="44">
        <f>IF(OR(AP200="",AO200=""),"",(AP200-AO200)*100)</f>
        <v/>
      </c>
      <c r="AR200" s="70" t="n"/>
      <c r="AS200" s="70" t="n"/>
      <c r="AT200" s="69">
        <f>IF(OR(AS200="",AR200="",AR200=0,AS200=0),"",AS200-AR200)</f>
        <v/>
      </c>
      <c r="AU200" s="42">
        <f>IF(OR(AS200="",AR200="",AR200=0,AS200=0),"",AS200/AR200-1)</f>
        <v/>
      </c>
      <c r="AV200" s="43">
        <f>IF(OR(AR200="",AK200="",AK200=0),"",AR200/AK200)</f>
        <v/>
      </c>
      <c r="AW200" s="43">
        <f>IF(OR(AS200="",AL200="",AL200=0),"",AS200/AL200)</f>
        <v/>
      </c>
      <c r="AX200" s="44">
        <f>IF(OR(AW200="",AV200=""),"",(AW200-AV200)*100)</f>
        <v/>
      </c>
      <c r="AY200" s="45">
        <f>IF(OR(AR200="",P200="",P200=0),"",AR200/P200)</f>
        <v/>
      </c>
      <c r="AZ200" s="45">
        <f>IF(OR(AS200="",Q200="",Q200=0),"",AS200/Q200)</f>
        <v/>
      </c>
      <c r="BA200" s="44">
        <f>IF(OR(AZ200="",AY200=""),"",(AZ200-AY200)*100)</f>
        <v/>
      </c>
      <c r="BB200" s="45">
        <f>IF(OR(AR200="",E200="",E200=0),"",AR200/E200)</f>
        <v/>
      </c>
      <c r="BC200" s="45">
        <f>IF(OR(AS200="",F200="",F200=0),"",AS200/F200)</f>
        <v/>
      </c>
      <c r="BD200" s="44">
        <f>IF(OR(BC200="",BB200=""),"",(BC200-BB200)*100)</f>
        <v/>
      </c>
      <c r="BE200" s="40">
        <f>IF(AND(F200&lt;&gt;"",E200&lt;&gt;""),"Both years",IF(F200&lt;&gt;"","1-23Aug26 rows only","1-23Aug25 rows only"))</f>
        <v/>
      </c>
    </row>
    <row r="201">
      <c r="A201" s="40" t="inlineStr">
        <is>
          <t>Home page</t>
        </is>
      </c>
      <c r="B201" s="40" t="inlineStr">
        <is>
          <t>Direct</t>
        </is>
      </c>
      <c r="C201" s="40" t="inlineStr">
        <is>
          <t>Mobile</t>
        </is>
      </c>
      <c r="D201" s="40" t="inlineStr">
        <is>
          <t>Denmark</t>
        </is>
      </c>
      <c r="E201" s="70" t="n"/>
      <c r="F201" s="70" t="n"/>
      <c r="G201" s="69">
        <f>IF(OR(F201="",E201="",E201=0,F201=0),"",F201-E201)</f>
        <v/>
      </c>
      <c r="H201" s="42">
        <f>IF(OR(F201="",E201="",E201=0,F201=0),"",F201/E201-1)</f>
        <v/>
      </c>
      <c r="I201" s="70" t="n"/>
      <c r="J201" s="70" t="n"/>
      <c r="K201" s="69">
        <f>IF(OR(J201="",I201="",I201=0,J201=0),"",J201-I201)</f>
        <v/>
      </c>
      <c r="L201" s="42">
        <f>IF(OR(J201="",I201="",I201=0,J201=0),"",J201/I201-1)</f>
        <v/>
      </c>
      <c r="M201" s="43">
        <f>IF(OR(I201="",E201="",E201=0),"",I201/E201)</f>
        <v/>
      </c>
      <c r="N201" s="43">
        <f>IF(OR(J201="",F201="",F201=0),"",J201/F201)</f>
        <v/>
      </c>
      <c r="O201" s="44">
        <f>IF(OR(N201="",M201=""),"",(N201-M201)*100)</f>
        <v/>
      </c>
      <c r="P201" s="68" t="n">
        <v>65</v>
      </c>
      <c r="Q201" s="70" t="n"/>
      <c r="R201" s="69">
        <f>IF(OR(Q201="",P201="",P201=0,Q201=0),"",Q201-P201)</f>
        <v/>
      </c>
      <c r="S201" s="42">
        <f>IF(OR(Q201="",P201="",P201=0,Q201=0),"",Q201/P201-1)</f>
        <v/>
      </c>
      <c r="T201" s="43">
        <f>IF(OR(P201="",E201="",E201=0),"",P201/E201)</f>
        <v/>
      </c>
      <c r="U201" s="43">
        <f>IF(OR(Q201="",F201="",F201=0),"",Q201/F201)</f>
        <v/>
      </c>
      <c r="V201" s="44">
        <f>IF(OR(U201="",T201=""),"",(U201-T201)*100)</f>
        <v/>
      </c>
      <c r="W201" s="70" t="n"/>
      <c r="X201" s="70" t="n"/>
      <c r="Y201" s="69">
        <f>IF(OR(X201="",W201="",W201=0,X201=0),"",X201-W201)</f>
        <v/>
      </c>
      <c r="Z201" s="42">
        <f>IF(OR(X201="",W201="",W201=0,X201=0),"",X201/W201-1)</f>
        <v/>
      </c>
      <c r="AA201" s="43">
        <f>IF(OR(W201="",P201="",P201=0),"",W201/P201)</f>
        <v/>
      </c>
      <c r="AB201" s="43">
        <f>IF(OR(X201="",Q201="",Q201=0),"",X201/Q201)</f>
        <v/>
      </c>
      <c r="AC201" s="44">
        <f>IF(OR(AB201="",AA201=""),"",(AB201-AA201)*100)</f>
        <v/>
      </c>
      <c r="AD201" s="70" t="n"/>
      <c r="AE201" s="70" t="n"/>
      <c r="AF201" s="69">
        <f>IF(OR(AE201="",AD201="",AD201=0,AE201=0),"",AE201-AD201)</f>
        <v/>
      </c>
      <c r="AG201" s="42">
        <f>IF(OR(AE201="",AD201="",AD201=0,AE201=0),"",AE201/AD201-1)</f>
        <v/>
      </c>
      <c r="AH201" s="43">
        <f>IF(OR(AD201="",W201="",W201=0),"",AD201/W201)</f>
        <v/>
      </c>
      <c r="AI201" s="43">
        <f>IF(OR(AE201="",X201="",X201=0),"",AE201/X201)</f>
        <v/>
      </c>
      <c r="AJ201" s="44">
        <f>IF(OR(AI201="",AH201=""),"",(AI201-AH201)*100)</f>
        <v/>
      </c>
      <c r="AK201" s="70" t="n"/>
      <c r="AL201" s="70" t="n"/>
      <c r="AM201" s="69">
        <f>IF(OR(AL201="",AK201="",AK201=0,AL201=0),"",AL201-AK201)</f>
        <v/>
      </c>
      <c r="AN201" s="42">
        <f>IF(OR(AL201="",AK201="",AK201=0,AL201=0),"",AL201/AK201-1)</f>
        <v/>
      </c>
      <c r="AO201" s="43">
        <f>IF(OR(AK201="",AD201="",AD201=0),"",AK201/AD201)</f>
        <v/>
      </c>
      <c r="AP201" s="43">
        <f>IF(OR(AL201="",AE201="",AE201=0),"",AL201/AE201)</f>
        <v/>
      </c>
      <c r="AQ201" s="44">
        <f>IF(OR(AP201="",AO201=""),"",(AP201-AO201)*100)</f>
        <v/>
      </c>
      <c r="AR201" s="70" t="n"/>
      <c r="AS201" s="70" t="n"/>
      <c r="AT201" s="69">
        <f>IF(OR(AS201="",AR201="",AR201=0,AS201=0),"",AS201-AR201)</f>
        <v/>
      </c>
      <c r="AU201" s="42">
        <f>IF(OR(AS201="",AR201="",AR201=0,AS201=0),"",AS201/AR201-1)</f>
        <v/>
      </c>
      <c r="AV201" s="43">
        <f>IF(OR(AR201="",AK201="",AK201=0),"",AR201/AK201)</f>
        <v/>
      </c>
      <c r="AW201" s="43">
        <f>IF(OR(AS201="",AL201="",AL201=0),"",AS201/AL201)</f>
        <v/>
      </c>
      <c r="AX201" s="44">
        <f>IF(OR(AW201="",AV201=""),"",(AW201-AV201)*100)</f>
        <v/>
      </c>
      <c r="AY201" s="45">
        <f>IF(OR(AR201="",P201="",P201=0),"",AR201/P201)</f>
        <v/>
      </c>
      <c r="AZ201" s="45">
        <f>IF(OR(AS201="",Q201="",Q201=0),"",AS201/Q201)</f>
        <v/>
      </c>
      <c r="BA201" s="44">
        <f>IF(OR(AZ201="",AY201=""),"",(AZ201-AY201)*100)</f>
        <v/>
      </c>
      <c r="BB201" s="45">
        <f>IF(OR(AR201="",E201="",E201=0),"",AR201/E201)</f>
        <v/>
      </c>
      <c r="BC201" s="45">
        <f>IF(OR(AS201="",F201="",F201=0),"",AS201/F201)</f>
        <v/>
      </c>
      <c r="BD201" s="44">
        <f>IF(OR(BC201="",BB201=""),"",(BC201-BB201)*100)</f>
        <v/>
      </c>
      <c r="BE201" s="40">
        <f>IF(AND(F201&lt;&gt;"",E201&lt;&gt;""),"Both years",IF(F201&lt;&gt;"","1-23Aug26 rows only","1-23Aug25 rows only"))</f>
        <v/>
      </c>
    </row>
    <row r="202">
      <c r="A202" s="40" t="inlineStr">
        <is>
          <t>Home page</t>
        </is>
      </c>
      <c r="B202" s="40" t="inlineStr">
        <is>
          <t>Direct</t>
        </is>
      </c>
      <c r="C202" s="40" t="inlineStr">
        <is>
          <t>Desktop</t>
        </is>
      </c>
      <c r="D202" s="40" t="inlineStr">
        <is>
          <t>United Kingdom</t>
        </is>
      </c>
      <c r="E202" s="68" t="n">
        <v>2107</v>
      </c>
      <c r="F202" s="68" t="n">
        <v>1149</v>
      </c>
      <c r="G202" s="69">
        <f>IF(OR(F202="",E202="",E202=0,F202=0),"",F202-E202)</f>
        <v/>
      </c>
      <c r="H202" s="42">
        <f>IF(OR(F202="",E202="",E202=0,F202=0),"",F202/E202-1)</f>
        <v/>
      </c>
      <c r="I202" s="68" t="n">
        <v>964</v>
      </c>
      <c r="J202" s="68" t="n">
        <v>481</v>
      </c>
      <c r="K202" s="69">
        <f>IF(OR(J202="",I202="",I202=0,J202=0),"",J202-I202)</f>
        <v/>
      </c>
      <c r="L202" s="42">
        <f>IF(OR(J202="",I202="",I202=0,J202=0),"",J202/I202-1)</f>
        <v/>
      </c>
      <c r="M202" s="43">
        <f>IF(OR(I202="",E202="",E202=0),"",I202/E202)</f>
        <v/>
      </c>
      <c r="N202" s="43">
        <f>IF(OR(J202="",F202="",F202=0),"",J202/F202)</f>
        <v/>
      </c>
      <c r="O202" s="44">
        <f>IF(OR(N202="",M202=""),"",(N202-M202)*100)</f>
        <v/>
      </c>
      <c r="P202" s="68" t="n">
        <v>857</v>
      </c>
      <c r="Q202" s="68" t="n">
        <v>484</v>
      </c>
      <c r="R202" s="69">
        <f>IF(OR(Q202="",P202="",P202=0,Q202=0),"",Q202-P202)</f>
        <v/>
      </c>
      <c r="S202" s="42">
        <f>IF(OR(Q202="",P202="",P202=0,Q202=0),"",Q202/P202-1)</f>
        <v/>
      </c>
      <c r="T202" s="43">
        <f>IF(OR(P202="",E202="",E202=0),"",P202/E202)</f>
        <v/>
      </c>
      <c r="U202" s="43">
        <f>IF(OR(Q202="",F202="",F202=0),"",Q202/F202)</f>
        <v/>
      </c>
      <c r="V202" s="44">
        <f>IF(OR(U202="",T202=""),"",(U202-T202)*100)</f>
        <v/>
      </c>
      <c r="W202" s="68" t="n">
        <v>338</v>
      </c>
      <c r="X202" s="68" t="n">
        <v>209</v>
      </c>
      <c r="Y202" s="69">
        <f>IF(OR(X202="",W202="",W202=0,X202=0),"",X202-W202)</f>
        <v/>
      </c>
      <c r="Z202" s="42">
        <f>IF(OR(X202="",W202="",W202=0,X202=0),"",X202/W202-1)</f>
        <v/>
      </c>
      <c r="AA202" s="43">
        <f>IF(OR(W202="",P202="",P202=0),"",W202/P202)</f>
        <v/>
      </c>
      <c r="AB202" s="43">
        <f>IF(OR(X202="",Q202="",Q202=0),"",X202/Q202)</f>
        <v/>
      </c>
      <c r="AC202" s="44">
        <f>IF(OR(AB202="",AA202=""),"",(AB202-AA202)*100)</f>
        <v/>
      </c>
      <c r="AD202" s="68" t="n">
        <v>312</v>
      </c>
      <c r="AE202" s="68" t="n">
        <v>199</v>
      </c>
      <c r="AF202" s="69">
        <f>IF(OR(AE202="",AD202="",AD202=0,AE202=0),"",AE202-AD202)</f>
        <v/>
      </c>
      <c r="AG202" s="42">
        <f>IF(OR(AE202="",AD202="",AD202=0,AE202=0),"",AE202/AD202-1)</f>
        <v/>
      </c>
      <c r="AH202" s="43">
        <f>IF(OR(AD202="",W202="",W202=0),"",AD202/W202)</f>
        <v/>
      </c>
      <c r="AI202" s="43">
        <f>IF(OR(AE202="",X202="",X202=0),"",AE202/X202)</f>
        <v/>
      </c>
      <c r="AJ202" s="44">
        <f>IF(OR(AI202="",AH202=""),"",(AI202-AH202)*100)</f>
        <v/>
      </c>
      <c r="AK202" s="68" t="n">
        <v>211</v>
      </c>
      <c r="AL202" s="68" t="n">
        <v>143</v>
      </c>
      <c r="AM202" s="69">
        <f>IF(OR(AL202="",AK202="",AK202=0,AL202=0),"",AL202-AK202)</f>
        <v/>
      </c>
      <c r="AN202" s="42">
        <f>IF(OR(AL202="",AK202="",AK202=0,AL202=0),"",AL202/AK202-1)</f>
        <v/>
      </c>
      <c r="AO202" s="43">
        <f>IF(OR(AK202="",AD202="",AD202=0),"",AK202/AD202)</f>
        <v/>
      </c>
      <c r="AP202" s="43">
        <f>IF(OR(AL202="",AE202="",AE202=0),"",AL202/AE202)</f>
        <v/>
      </c>
      <c r="AQ202" s="44">
        <f>IF(OR(AP202="",AO202=""),"",(AP202-AO202)*100)</f>
        <v/>
      </c>
      <c r="AR202" s="68" t="n">
        <v>192</v>
      </c>
      <c r="AS202" s="68" t="n">
        <v>136</v>
      </c>
      <c r="AT202" s="69">
        <f>IF(OR(AS202="",AR202="",AR202=0,AS202=0),"",AS202-AR202)</f>
        <v/>
      </c>
      <c r="AU202" s="42">
        <f>IF(OR(AS202="",AR202="",AR202=0,AS202=0),"",AS202/AR202-1)</f>
        <v/>
      </c>
      <c r="AV202" s="43">
        <f>IF(OR(AR202="",AK202="",AK202=0),"",AR202/AK202)</f>
        <v/>
      </c>
      <c r="AW202" s="43">
        <f>IF(OR(AS202="",AL202="",AL202=0),"",AS202/AL202)</f>
        <v/>
      </c>
      <c r="AX202" s="44">
        <f>IF(OR(AW202="",AV202=""),"",(AW202-AV202)*100)</f>
        <v/>
      </c>
      <c r="AY202" s="45">
        <f>IF(OR(AR202="",P202="",P202=0),"",AR202/P202)</f>
        <v/>
      </c>
      <c r="AZ202" s="45">
        <f>IF(OR(AS202="",Q202="",Q202=0),"",AS202/Q202)</f>
        <v/>
      </c>
      <c r="BA202" s="44">
        <f>IF(OR(AZ202="",AY202=""),"",(AZ202-AY202)*100)</f>
        <v/>
      </c>
      <c r="BB202" s="45">
        <f>IF(OR(AR202="",E202="",E202=0),"",AR202/E202)</f>
        <v/>
      </c>
      <c r="BC202" s="45">
        <f>IF(OR(AS202="",F202="",F202=0),"",AS202/F202)</f>
        <v/>
      </c>
      <c r="BD202" s="44">
        <f>IF(OR(BC202="",BB202=""),"",(BC202-BB202)*100)</f>
        <v/>
      </c>
      <c r="BE202" s="40">
        <f>IF(AND(F202&lt;&gt;"",E202&lt;&gt;""),"Both years",IF(F202&lt;&gt;"","1-23Aug26 rows only","1-23Aug25 rows only"))</f>
        <v/>
      </c>
    </row>
    <row r="203">
      <c r="A203" s="56" t="inlineStr">
        <is>
          <t>Home page</t>
        </is>
      </c>
      <c r="B203" s="56" t="inlineStr">
        <is>
          <t>Direct</t>
        </is>
      </c>
      <c r="C203" s="56" t="inlineStr">
        <is>
          <t>Desktop</t>
        </is>
      </c>
      <c r="D203" s="56" t="inlineStr">
        <is>
          <t>Italy</t>
        </is>
      </c>
      <c r="E203" s="68" t="n">
        <v>766</v>
      </c>
      <c r="F203" s="68" t="n">
        <v>999</v>
      </c>
      <c r="G203" s="69">
        <f>IF(OR(F203="",E203="",E203=0,F203=0),"",F203-E203)</f>
        <v/>
      </c>
      <c r="H203" s="42">
        <f>IF(OR(F203="",E203="",E203=0,F203=0),"",F203/E203-1)</f>
        <v/>
      </c>
      <c r="I203" s="68" t="n">
        <v>322</v>
      </c>
      <c r="J203" s="68" t="n">
        <v>373</v>
      </c>
      <c r="K203" s="69">
        <f>IF(OR(J203="",I203="",I203=0,J203=0),"",J203-I203)</f>
        <v/>
      </c>
      <c r="L203" s="42">
        <f>IF(OR(J203="",I203="",I203=0,J203=0),"",J203/I203-1)</f>
        <v/>
      </c>
      <c r="M203" s="43">
        <f>IF(OR(I203="",E203="",E203=0),"",I203/E203)</f>
        <v/>
      </c>
      <c r="N203" s="43">
        <f>IF(OR(J203="",F203="",F203=0),"",J203/F203)</f>
        <v/>
      </c>
      <c r="O203" s="44">
        <f>IF(OR(N203="",M203=""),"",(N203-M203)*100)</f>
        <v/>
      </c>
      <c r="P203" s="68" t="n">
        <v>267</v>
      </c>
      <c r="Q203" s="68" t="n">
        <v>366</v>
      </c>
      <c r="R203" s="69">
        <f>IF(OR(Q203="",P203="",P203=0,Q203=0),"",Q203-P203)</f>
        <v/>
      </c>
      <c r="S203" s="42">
        <f>IF(OR(Q203="",P203="",P203=0,Q203=0),"",Q203/P203-1)</f>
        <v/>
      </c>
      <c r="T203" s="43">
        <f>IF(OR(P203="",E203="",E203=0),"",P203/E203)</f>
        <v/>
      </c>
      <c r="U203" s="43">
        <f>IF(OR(Q203="",F203="",F203=0),"",Q203/F203)</f>
        <v/>
      </c>
      <c r="V203" s="44">
        <f>IF(OR(U203="",T203=""),"",(U203-T203)*100)</f>
        <v/>
      </c>
      <c r="W203" s="68" t="n">
        <v>81</v>
      </c>
      <c r="X203" s="68" t="n">
        <v>103</v>
      </c>
      <c r="Y203" s="69">
        <f>IF(OR(X203="",W203="",W203=0,X203=0),"",X203-W203)</f>
        <v/>
      </c>
      <c r="Z203" s="42">
        <f>IF(OR(X203="",W203="",W203=0,X203=0),"",X203/W203-1)</f>
        <v/>
      </c>
      <c r="AA203" s="43">
        <f>IF(OR(W203="",P203="",P203=0),"",W203/P203)</f>
        <v/>
      </c>
      <c r="AB203" s="43">
        <f>IF(OR(X203="",Q203="",Q203=0),"",X203/Q203)</f>
        <v/>
      </c>
      <c r="AC203" s="44">
        <f>IF(OR(AB203="",AA203=""),"",(AB203-AA203)*100)</f>
        <v/>
      </c>
      <c r="AD203" s="68" t="n">
        <v>64</v>
      </c>
      <c r="AE203" s="68" t="n">
        <v>91</v>
      </c>
      <c r="AF203" s="69">
        <f>IF(OR(AE203="",AD203="",AD203=0,AE203=0),"",AE203-AD203)</f>
        <v/>
      </c>
      <c r="AG203" s="42">
        <f>IF(OR(AE203="",AD203="",AD203=0,AE203=0),"",AE203/AD203-1)</f>
        <v/>
      </c>
      <c r="AH203" s="43">
        <f>IF(OR(AD203="",W203="",W203=0),"",AD203/W203)</f>
        <v/>
      </c>
      <c r="AI203" s="43">
        <f>IF(OR(AE203="",X203="",X203=0),"",AE203/X203)</f>
        <v/>
      </c>
      <c r="AJ203" s="44">
        <f>IF(OR(AI203="",AH203=""),"",(AI203-AH203)*100)</f>
        <v/>
      </c>
      <c r="AK203" s="68" t="n">
        <v>37</v>
      </c>
      <c r="AL203" s="68" t="n">
        <v>44</v>
      </c>
      <c r="AM203" s="69">
        <f>IF(OR(AL203="",AK203="",AK203=0,AL203=0),"",AL203-AK203)</f>
        <v/>
      </c>
      <c r="AN203" s="42">
        <f>IF(OR(AL203="",AK203="",AK203=0,AL203=0),"",AL203/AK203-1)</f>
        <v/>
      </c>
      <c r="AO203" s="43">
        <f>IF(OR(AK203="",AD203="",AD203=0),"",AK203/AD203)</f>
        <v/>
      </c>
      <c r="AP203" s="43">
        <f>IF(OR(AL203="",AE203="",AE203=0),"",AL203/AE203)</f>
        <v/>
      </c>
      <c r="AQ203" s="44">
        <f>IF(OR(AP203="",AO203=""),"",(AP203-AO203)*100)</f>
        <v/>
      </c>
      <c r="AR203" s="68" t="n">
        <v>27</v>
      </c>
      <c r="AS203" s="68" t="n">
        <v>39</v>
      </c>
      <c r="AT203" s="69">
        <f>IF(OR(AS203="",AR203="",AR203=0,AS203=0),"",AS203-AR203)</f>
        <v/>
      </c>
      <c r="AU203" s="42">
        <f>IF(OR(AS203="",AR203="",AR203=0,AS203=0),"",AS203/AR203-1)</f>
        <v/>
      </c>
      <c r="AV203" s="43">
        <f>IF(OR(AR203="",AK203="",AK203=0),"",AR203/AK203)</f>
        <v/>
      </c>
      <c r="AW203" s="43">
        <f>IF(OR(AS203="",AL203="",AL203=0),"",AS203/AL203)</f>
        <v/>
      </c>
      <c r="AX203" s="44">
        <f>IF(OR(AW203="",AV203=""),"",(AW203-AV203)*100)</f>
        <v/>
      </c>
      <c r="AY203" s="45">
        <f>IF(OR(AR203="",P203="",P203=0),"",AR203/P203)</f>
        <v/>
      </c>
      <c r="AZ203" s="45">
        <f>IF(OR(AS203="",Q203="",Q203=0),"",AS203/Q203)</f>
        <v/>
      </c>
      <c r="BA203" s="44">
        <f>IF(OR(AZ203="",AY203=""),"",(AZ203-AY203)*100)</f>
        <v/>
      </c>
      <c r="BB203" s="45">
        <f>IF(OR(AR203="",E203="",E203=0),"",AR203/E203)</f>
        <v/>
      </c>
      <c r="BC203" s="45">
        <f>IF(OR(AS203="",F203="",F203=0),"",AS203/F203)</f>
        <v/>
      </c>
      <c r="BD203" s="44">
        <f>IF(OR(BC203="",BB203=""),"",(BC203-BB203)*100)</f>
        <v/>
      </c>
      <c r="BE203" s="40">
        <f>IF(AND(F203&lt;&gt;"",E203&lt;&gt;""),"Both years",IF(F203&lt;&gt;"","1-23Aug26 rows only","1-23Aug25 rows only"))</f>
        <v/>
      </c>
    </row>
    <row r="204">
      <c r="A204" s="40" t="inlineStr">
        <is>
          <t>Home page</t>
        </is>
      </c>
      <c r="B204" s="40" t="inlineStr">
        <is>
          <t>Direct</t>
        </is>
      </c>
      <c r="C204" s="40" t="inlineStr">
        <is>
          <t>Desktop</t>
        </is>
      </c>
      <c r="D204" s="40" t="inlineStr">
        <is>
          <t>Germany</t>
        </is>
      </c>
      <c r="E204" s="68" t="n">
        <v>827</v>
      </c>
      <c r="F204" s="68" t="n">
        <v>987</v>
      </c>
      <c r="G204" s="69">
        <f>IF(OR(F204="",E204="",E204=0,F204=0),"",F204-E204)</f>
        <v/>
      </c>
      <c r="H204" s="42">
        <f>IF(OR(F204="",E204="",E204=0,F204=0),"",F204/E204-1)</f>
        <v/>
      </c>
      <c r="I204" s="68" t="n">
        <v>408</v>
      </c>
      <c r="J204" s="68" t="n">
        <v>444</v>
      </c>
      <c r="K204" s="69">
        <f>IF(OR(J204="",I204="",I204=0,J204=0),"",J204-I204)</f>
        <v/>
      </c>
      <c r="L204" s="42">
        <f>IF(OR(J204="",I204="",I204=0,J204=0),"",J204/I204-1)</f>
        <v/>
      </c>
      <c r="M204" s="43">
        <f>IF(OR(I204="",E204="",E204=0),"",I204/E204)</f>
        <v/>
      </c>
      <c r="N204" s="43">
        <f>IF(OR(J204="",F204="",F204=0),"",J204/F204)</f>
        <v/>
      </c>
      <c r="O204" s="44">
        <f>IF(OR(N204="",M204=""),"",(N204-M204)*100)</f>
        <v/>
      </c>
      <c r="P204" s="68" t="n">
        <v>372</v>
      </c>
      <c r="Q204" s="68" t="n">
        <v>474</v>
      </c>
      <c r="R204" s="69">
        <f>IF(OR(Q204="",P204="",P204=0,Q204=0),"",Q204-P204)</f>
        <v/>
      </c>
      <c r="S204" s="42">
        <f>IF(OR(Q204="",P204="",P204=0,Q204=0),"",Q204/P204-1)</f>
        <v/>
      </c>
      <c r="T204" s="43">
        <f>IF(OR(P204="",E204="",E204=0),"",P204/E204)</f>
        <v/>
      </c>
      <c r="U204" s="43">
        <f>IF(OR(Q204="",F204="",F204=0),"",Q204/F204)</f>
        <v/>
      </c>
      <c r="V204" s="44">
        <f>IF(OR(U204="",T204=""),"",(U204-T204)*100)</f>
        <v/>
      </c>
      <c r="W204" s="68" t="n">
        <v>158</v>
      </c>
      <c r="X204" s="68" t="n">
        <v>172</v>
      </c>
      <c r="Y204" s="69">
        <f>IF(OR(X204="",W204="",W204=0,X204=0),"",X204-W204)</f>
        <v/>
      </c>
      <c r="Z204" s="42">
        <f>IF(OR(X204="",W204="",W204=0,X204=0),"",X204/W204-1)</f>
        <v/>
      </c>
      <c r="AA204" s="43">
        <f>IF(OR(W204="",P204="",P204=0),"",W204/P204)</f>
        <v/>
      </c>
      <c r="AB204" s="43">
        <f>IF(OR(X204="",Q204="",Q204=0),"",X204/Q204)</f>
        <v/>
      </c>
      <c r="AC204" s="44">
        <f>IF(OR(AB204="",AA204=""),"",(AB204-AA204)*100)</f>
        <v/>
      </c>
      <c r="AD204" s="68" t="n">
        <v>142</v>
      </c>
      <c r="AE204" s="68" t="n">
        <v>151</v>
      </c>
      <c r="AF204" s="69">
        <f>IF(OR(AE204="",AD204="",AD204=0,AE204=0),"",AE204-AD204)</f>
        <v/>
      </c>
      <c r="AG204" s="42">
        <f>IF(OR(AE204="",AD204="",AD204=0,AE204=0),"",AE204/AD204-1)</f>
        <v/>
      </c>
      <c r="AH204" s="43">
        <f>IF(OR(AD204="",W204="",W204=0),"",AD204/W204)</f>
        <v/>
      </c>
      <c r="AI204" s="43">
        <f>IF(OR(AE204="",X204="",X204=0),"",AE204/X204)</f>
        <v/>
      </c>
      <c r="AJ204" s="44">
        <f>IF(OR(AI204="",AH204=""),"",(AI204-AH204)*100)</f>
        <v/>
      </c>
      <c r="AK204" s="68" t="n">
        <v>87</v>
      </c>
      <c r="AL204" s="68" t="n">
        <v>106</v>
      </c>
      <c r="AM204" s="69">
        <f>IF(OR(AL204="",AK204="",AK204=0,AL204=0),"",AL204-AK204)</f>
        <v/>
      </c>
      <c r="AN204" s="42">
        <f>IF(OR(AL204="",AK204="",AK204=0,AL204=0),"",AL204/AK204-1)</f>
        <v/>
      </c>
      <c r="AO204" s="43">
        <f>IF(OR(AK204="",AD204="",AD204=0),"",AK204/AD204)</f>
        <v/>
      </c>
      <c r="AP204" s="43">
        <f>IF(OR(AL204="",AE204="",AE204=0),"",AL204/AE204)</f>
        <v/>
      </c>
      <c r="AQ204" s="44">
        <f>IF(OR(AP204="",AO204=""),"",(AP204-AO204)*100)</f>
        <v/>
      </c>
      <c r="AR204" s="68" t="n">
        <v>82</v>
      </c>
      <c r="AS204" s="68" t="n">
        <v>104</v>
      </c>
      <c r="AT204" s="69">
        <f>IF(OR(AS204="",AR204="",AR204=0,AS204=0),"",AS204-AR204)</f>
        <v/>
      </c>
      <c r="AU204" s="42">
        <f>IF(OR(AS204="",AR204="",AR204=0,AS204=0),"",AS204/AR204-1)</f>
        <v/>
      </c>
      <c r="AV204" s="43">
        <f>IF(OR(AR204="",AK204="",AK204=0),"",AR204/AK204)</f>
        <v/>
      </c>
      <c r="AW204" s="43">
        <f>IF(OR(AS204="",AL204="",AL204=0),"",AS204/AL204)</f>
        <v/>
      </c>
      <c r="AX204" s="44">
        <f>IF(OR(AW204="",AV204=""),"",(AW204-AV204)*100)</f>
        <v/>
      </c>
      <c r="AY204" s="45">
        <f>IF(OR(AR204="",P204="",P204=0),"",AR204/P204)</f>
        <v/>
      </c>
      <c r="AZ204" s="45">
        <f>IF(OR(AS204="",Q204="",Q204=0),"",AS204/Q204)</f>
        <v/>
      </c>
      <c r="BA204" s="44">
        <f>IF(OR(AZ204="",AY204=""),"",(AZ204-AY204)*100)</f>
        <v/>
      </c>
      <c r="BB204" s="45">
        <f>IF(OR(AR204="",E204="",E204=0),"",AR204/E204)</f>
        <v/>
      </c>
      <c r="BC204" s="45">
        <f>IF(OR(AS204="",F204="",F204=0),"",AS204/F204)</f>
        <v/>
      </c>
      <c r="BD204" s="44">
        <f>IF(OR(BC204="",BB204=""),"",(BC204-BB204)*100)</f>
        <v/>
      </c>
      <c r="BE204" s="40">
        <f>IF(AND(F204&lt;&gt;"",E204&lt;&gt;""),"Both years",IF(F204&lt;&gt;"","1-23Aug26 rows only","1-23Aug25 rows only"))</f>
        <v/>
      </c>
    </row>
    <row r="205">
      <c r="A205" s="56" t="inlineStr">
        <is>
          <t>Home page</t>
        </is>
      </c>
      <c r="B205" s="56" t="inlineStr">
        <is>
          <t>Direct</t>
        </is>
      </c>
      <c r="C205" s="56" t="inlineStr">
        <is>
          <t>Desktop</t>
        </is>
      </c>
      <c r="D205" s="56" t="inlineStr">
        <is>
          <t>United States</t>
        </is>
      </c>
      <c r="E205" s="68" t="n">
        <v>2229</v>
      </c>
      <c r="F205" s="68" t="n">
        <v>677</v>
      </c>
      <c r="G205" s="69">
        <f>IF(OR(F205="",E205="",E205=0,F205=0),"",F205-E205)</f>
        <v/>
      </c>
      <c r="H205" s="42">
        <f>IF(OR(F205="",E205="",E205=0,F205=0),"",F205/E205-1)</f>
        <v/>
      </c>
      <c r="I205" s="68" t="n">
        <v>1325</v>
      </c>
      <c r="J205" s="68" t="n">
        <v>223</v>
      </c>
      <c r="K205" s="69">
        <f>IF(OR(J205="",I205="",I205=0,J205=0),"",J205-I205)</f>
        <v/>
      </c>
      <c r="L205" s="42">
        <f>IF(OR(J205="",I205="",I205=0,J205=0),"",J205/I205-1)</f>
        <v/>
      </c>
      <c r="M205" s="43">
        <f>IF(OR(I205="",E205="",E205=0),"",I205/E205)</f>
        <v/>
      </c>
      <c r="N205" s="43">
        <f>IF(OR(J205="",F205="",F205=0),"",J205/F205)</f>
        <v/>
      </c>
      <c r="O205" s="44">
        <f>IF(OR(N205="",M205=""),"",(N205-M205)*100)</f>
        <v/>
      </c>
      <c r="P205" s="68" t="n">
        <v>907</v>
      </c>
      <c r="Q205" s="68" t="n">
        <v>221</v>
      </c>
      <c r="R205" s="69">
        <f>IF(OR(Q205="",P205="",P205=0,Q205=0),"",Q205-P205)</f>
        <v/>
      </c>
      <c r="S205" s="42">
        <f>IF(OR(Q205="",P205="",P205=0,Q205=0),"",Q205/P205-1)</f>
        <v/>
      </c>
      <c r="T205" s="43">
        <f>IF(OR(P205="",E205="",E205=0),"",P205/E205)</f>
        <v/>
      </c>
      <c r="U205" s="43">
        <f>IF(OR(Q205="",F205="",F205=0),"",Q205/F205)</f>
        <v/>
      </c>
      <c r="V205" s="44">
        <f>IF(OR(U205="",T205=""),"",(U205-T205)*100)</f>
        <v/>
      </c>
      <c r="W205" s="68" t="n">
        <v>140</v>
      </c>
      <c r="X205" s="68" t="n">
        <v>91</v>
      </c>
      <c r="Y205" s="69">
        <f>IF(OR(X205="",W205="",W205=0,X205=0),"",X205-W205)</f>
        <v/>
      </c>
      <c r="Z205" s="42">
        <f>IF(OR(X205="",W205="",W205=0,X205=0),"",X205/W205-1)</f>
        <v/>
      </c>
      <c r="AA205" s="43">
        <f>IF(OR(W205="",P205="",P205=0),"",W205/P205)</f>
        <v/>
      </c>
      <c r="AB205" s="43">
        <f>IF(OR(X205="",Q205="",Q205=0),"",X205/Q205)</f>
        <v/>
      </c>
      <c r="AC205" s="44">
        <f>IF(OR(AB205="",AA205=""),"",(AB205-AA205)*100)</f>
        <v/>
      </c>
      <c r="AD205" s="68" t="n">
        <v>134</v>
      </c>
      <c r="AE205" s="68" t="n">
        <v>91</v>
      </c>
      <c r="AF205" s="69">
        <f>IF(OR(AE205="",AD205="",AD205=0,AE205=0),"",AE205-AD205)</f>
        <v/>
      </c>
      <c r="AG205" s="42">
        <f>IF(OR(AE205="",AD205="",AD205=0,AE205=0),"",AE205/AD205-1)</f>
        <v/>
      </c>
      <c r="AH205" s="43">
        <f>IF(OR(AD205="",W205="",W205=0),"",AD205/W205)</f>
        <v/>
      </c>
      <c r="AI205" s="43">
        <f>IF(OR(AE205="",X205="",X205=0),"",AE205/X205)</f>
        <v/>
      </c>
      <c r="AJ205" s="44">
        <f>IF(OR(AI205="",AH205=""),"",(AI205-AH205)*100)</f>
        <v/>
      </c>
      <c r="AK205" s="68" t="n">
        <v>92</v>
      </c>
      <c r="AL205" s="68" t="n">
        <v>64</v>
      </c>
      <c r="AM205" s="69">
        <f>IF(OR(AL205="",AK205="",AK205=0,AL205=0),"",AL205-AK205)</f>
        <v/>
      </c>
      <c r="AN205" s="42">
        <f>IF(OR(AL205="",AK205="",AK205=0,AL205=0),"",AL205/AK205-1)</f>
        <v/>
      </c>
      <c r="AO205" s="43">
        <f>IF(OR(AK205="",AD205="",AD205=0),"",AK205/AD205)</f>
        <v/>
      </c>
      <c r="AP205" s="43">
        <f>IF(OR(AL205="",AE205="",AE205=0),"",AL205/AE205)</f>
        <v/>
      </c>
      <c r="AQ205" s="44">
        <f>IF(OR(AP205="",AO205=""),"",(AP205-AO205)*100)</f>
        <v/>
      </c>
      <c r="AR205" s="68" t="n">
        <v>83</v>
      </c>
      <c r="AS205" s="68" t="n">
        <v>51</v>
      </c>
      <c r="AT205" s="69">
        <f>IF(OR(AS205="",AR205="",AR205=0,AS205=0),"",AS205-AR205)</f>
        <v/>
      </c>
      <c r="AU205" s="42">
        <f>IF(OR(AS205="",AR205="",AR205=0,AS205=0),"",AS205/AR205-1)</f>
        <v/>
      </c>
      <c r="AV205" s="43">
        <f>IF(OR(AR205="",AK205="",AK205=0),"",AR205/AK205)</f>
        <v/>
      </c>
      <c r="AW205" s="43">
        <f>IF(OR(AS205="",AL205="",AL205=0),"",AS205/AL205)</f>
        <v/>
      </c>
      <c r="AX205" s="44">
        <f>IF(OR(AW205="",AV205=""),"",(AW205-AV205)*100)</f>
        <v/>
      </c>
      <c r="AY205" s="45">
        <f>IF(OR(AR205="",P205="",P205=0),"",AR205/P205)</f>
        <v/>
      </c>
      <c r="AZ205" s="45">
        <f>IF(OR(AS205="",Q205="",Q205=0),"",AS205/Q205)</f>
        <v/>
      </c>
      <c r="BA205" s="44">
        <f>IF(OR(AZ205="",AY205=""),"",(AZ205-AY205)*100)</f>
        <v/>
      </c>
      <c r="BB205" s="45">
        <f>IF(OR(AR205="",E205="",E205=0),"",AR205/E205)</f>
        <v/>
      </c>
      <c r="BC205" s="45">
        <f>IF(OR(AS205="",F205="",F205=0),"",AS205/F205)</f>
        <v/>
      </c>
      <c r="BD205" s="44">
        <f>IF(OR(BC205="",BB205=""),"",(BC205-BB205)*100)</f>
        <v/>
      </c>
      <c r="BE205" s="40">
        <f>IF(AND(F205&lt;&gt;"",E205&lt;&gt;""),"Both years",IF(F205&lt;&gt;"","1-23Aug26 rows only","1-23Aug25 rows only"))</f>
        <v/>
      </c>
    </row>
    <row r="206">
      <c r="A206" s="40" t="inlineStr">
        <is>
          <t>Home page</t>
        </is>
      </c>
      <c r="B206" s="40" t="inlineStr">
        <is>
          <t>Direct</t>
        </is>
      </c>
      <c r="C206" s="40" t="inlineStr">
        <is>
          <t>Desktop</t>
        </is>
      </c>
      <c r="D206" s="40" t="inlineStr">
        <is>
          <t>Netherlands</t>
        </is>
      </c>
      <c r="E206" s="68" t="n">
        <v>450</v>
      </c>
      <c r="F206" s="68" t="n">
        <v>555</v>
      </c>
      <c r="G206" s="69">
        <f>IF(OR(F206="",E206="",E206=0,F206=0),"",F206-E206)</f>
        <v/>
      </c>
      <c r="H206" s="42">
        <f>IF(OR(F206="",E206="",E206=0,F206=0),"",F206/E206-1)</f>
        <v/>
      </c>
      <c r="I206" s="68" t="n">
        <v>197</v>
      </c>
      <c r="J206" s="68" t="n">
        <v>219</v>
      </c>
      <c r="K206" s="69">
        <f>IF(OR(J206="",I206="",I206=0,J206=0),"",J206-I206)</f>
        <v/>
      </c>
      <c r="L206" s="42">
        <f>IF(OR(J206="",I206="",I206=0,J206=0),"",J206/I206-1)</f>
        <v/>
      </c>
      <c r="M206" s="43">
        <f>IF(OR(I206="",E206="",E206=0),"",I206/E206)</f>
        <v/>
      </c>
      <c r="N206" s="43">
        <f>IF(OR(J206="",F206="",F206=0),"",J206/F206)</f>
        <v/>
      </c>
      <c r="O206" s="44">
        <f>IF(OR(N206="",M206=""),"",(N206-M206)*100)</f>
        <v/>
      </c>
      <c r="P206" s="68" t="n">
        <v>177</v>
      </c>
      <c r="Q206" s="68" t="n">
        <v>225</v>
      </c>
      <c r="R206" s="69">
        <f>IF(OR(Q206="",P206="",P206=0,Q206=0),"",Q206-P206)</f>
        <v/>
      </c>
      <c r="S206" s="42">
        <f>IF(OR(Q206="",P206="",P206=0,Q206=0),"",Q206/P206-1)</f>
        <v/>
      </c>
      <c r="T206" s="43">
        <f>IF(OR(P206="",E206="",E206=0),"",P206/E206)</f>
        <v/>
      </c>
      <c r="U206" s="43">
        <f>IF(OR(Q206="",F206="",F206=0),"",Q206/F206)</f>
        <v/>
      </c>
      <c r="V206" s="44">
        <f>IF(OR(U206="",T206=""),"",(U206-T206)*100)</f>
        <v/>
      </c>
      <c r="W206" s="68" t="n">
        <v>60</v>
      </c>
      <c r="X206" s="68" t="n">
        <v>81</v>
      </c>
      <c r="Y206" s="69">
        <f>IF(OR(X206="",W206="",W206=0,X206=0),"",X206-W206)</f>
        <v/>
      </c>
      <c r="Z206" s="42">
        <f>IF(OR(X206="",W206="",W206=0,X206=0),"",X206/W206-1)</f>
        <v/>
      </c>
      <c r="AA206" s="43">
        <f>IF(OR(W206="",P206="",P206=0),"",W206/P206)</f>
        <v/>
      </c>
      <c r="AB206" s="43">
        <f>IF(OR(X206="",Q206="",Q206=0),"",X206/Q206)</f>
        <v/>
      </c>
      <c r="AC206" s="44">
        <f>IF(OR(AB206="",AA206=""),"",(AB206-AA206)*100)</f>
        <v/>
      </c>
      <c r="AD206" s="68" t="n">
        <v>53</v>
      </c>
      <c r="AE206" s="68" t="n">
        <v>70</v>
      </c>
      <c r="AF206" s="69">
        <f>IF(OR(AE206="",AD206="",AD206=0,AE206=0),"",AE206-AD206)</f>
        <v/>
      </c>
      <c r="AG206" s="42">
        <f>IF(OR(AE206="",AD206="",AD206=0,AE206=0),"",AE206/AD206-1)</f>
        <v/>
      </c>
      <c r="AH206" s="43">
        <f>IF(OR(AD206="",W206="",W206=0),"",AD206/W206)</f>
        <v/>
      </c>
      <c r="AI206" s="43">
        <f>IF(OR(AE206="",X206="",X206=0),"",AE206/X206)</f>
        <v/>
      </c>
      <c r="AJ206" s="44">
        <f>IF(OR(AI206="",AH206=""),"",(AI206-AH206)*100)</f>
        <v/>
      </c>
      <c r="AK206" s="68" t="n">
        <v>34</v>
      </c>
      <c r="AL206" s="68" t="n">
        <v>48</v>
      </c>
      <c r="AM206" s="69">
        <f>IF(OR(AL206="",AK206="",AK206=0,AL206=0),"",AL206-AK206)</f>
        <v/>
      </c>
      <c r="AN206" s="42">
        <f>IF(OR(AL206="",AK206="",AK206=0,AL206=0),"",AL206/AK206-1)</f>
        <v/>
      </c>
      <c r="AO206" s="43">
        <f>IF(OR(AK206="",AD206="",AD206=0),"",AK206/AD206)</f>
        <v/>
      </c>
      <c r="AP206" s="43">
        <f>IF(OR(AL206="",AE206="",AE206=0),"",AL206/AE206)</f>
        <v/>
      </c>
      <c r="AQ206" s="44">
        <f>IF(OR(AP206="",AO206=""),"",(AP206-AO206)*100)</f>
        <v/>
      </c>
      <c r="AR206" s="68" t="n">
        <v>18</v>
      </c>
      <c r="AS206" s="68" t="n">
        <v>35</v>
      </c>
      <c r="AT206" s="69">
        <f>IF(OR(AS206="",AR206="",AR206=0,AS206=0),"",AS206-AR206)</f>
        <v/>
      </c>
      <c r="AU206" s="42">
        <f>IF(OR(AS206="",AR206="",AR206=0,AS206=0),"",AS206/AR206-1)</f>
        <v/>
      </c>
      <c r="AV206" s="43">
        <f>IF(OR(AR206="",AK206="",AK206=0),"",AR206/AK206)</f>
        <v/>
      </c>
      <c r="AW206" s="43">
        <f>IF(OR(AS206="",AL206="",AL206=0),"",AS206/AL206)</f>
        <v/>
      </c>
      <c r="AX206" s="44">
        <f>IF(OR(AW206="",AV206=""),"",(AW206-AV206)*100)</f>
        <v/>
      </c>
      <c r="AY206" s="45">
        <f>IF(OR(AR206="",P206="",P206=0),"",AR206/P206)</f>
        <v/>
      </c>
      <c r="AZ206" s="45">
        <f>IF(OR(AS206="",Q206="",Q206=0),"",AS206/Q206)</f>
        <v/>
      </c>
      <c r="BA206" s="44">
        <f>IF(OR(AZ206="",AY206=""),"",(AZ206-AY206)*100)</f>
        <v/>
      </c>
      <c r="BB206" s="45">
        <f>IF(OR(AR206="",E206="",E206=0),"",AR206/E206)</f>
        <v/>
      </c>
      <c r="BC206" s="45">
        <f>IF(OR(AS206="",F206="",F206=0),"",AS206/F206)</f>
        <v/>
      </c>
      <c r="BD206" s="44">
        <f>IF(OR(BC206="",BB206=""),"",(BC206-BB206)*100)</f>
        <v/>
      </c>
      <c r="BE206" s="40">
        <f>IF(AND(F206&lt;&gt;"",E206&lt;&gt;""),"Both years",IF(F206&lt;&gt;"","1-23Aug26 rows only","1-23Aug25 rows only"))</f>
        <v/>
      </c>
    </row>
    <row r="207">
      <c r="A207" s="56" t="inlineStr">
        <is>
          <t>Home page</t>
        </is>
      </c>
      <c r="B207" s="56" t="inlineStr">
        <is>
          <t>Direct</t>
        </is>
      </c>
      <c r="C207" s="56" t="inlineStr">
        <is>
          <t>Desktop</t>
        </is>
      </c>
      <c r="D207" s="56" t="inlineStr">
        <is>
          <t>Spain</t>
        </is>
      </c>
      <c r="E207" s="68" t="n">
        <v>713</v>
      </c>
      <c r="F207" s="68" t="n">
        <v>514</v>
      </c>
      <c r="G207" s="69">
        <f>IF(OR(F207="",E207="",E207=0,F207=0),"",F207-E207)</f>
        <v/>
      </c>
      <c r="H207" s="42">
        <f>IF(OR(F207="",E207="",E207=0,F207=0),"",F207/E207-1)</f>
        <v/>
      </c>
      <c r="I207" s="68" t="n">
        <v>344</v>
      </c>
      <c r="J207" s="68" t="n">
        <v>181</v>
      </c>
      <c r="K207" s="69">
        <f>IF(OR(J207="",I207="",I207=0,J207=0),"",J207-I207)</f>
        <v/>
      </c>
      <c r="L207" s="42">
        <f>IF(OR(J207="",I207="",I207=0,J207=0),"",J207/I207-1)</f>
        <v/>
      </c>
      <c r="M207" s="43">
        <f>IF(OR(I207="",E207="",E207=0),"",I207/E207)</f>
        <v/>
      </c>
      <c r="N207" s="43">
        <f>IF(OR(J207="",F207="",F207=0),"",J207/F207)</f>
        <v/>
      </c>
      <c r="O207" s="44">
        <f>IF(OR(N207="",M207=""),"",(N207-M207)*100)</f>
        <v/>
      </c>
      <c r="P207" s="68" t="n">
        <v>281</v>
      </c>
      <c r="Q207" s="68" t="n">
        <v>183</v>
      </c>
      <c r="R207" s="69">
        <f>IF(OR(Q207="",P207="",P207=0,Q207=0),"",Q207-P207)</f>
        <v/>
      </c>
      <c r="S207" s="42">
        <f>IF(OR(Q207="",P207="",P207=0,Q207=0),"",Q207/P207-1)</f>
        <v/>
      </c>
      <c r="T207" s="43">
        <f>IF(OR(P207="",E207="",E207=0),"",P207/E207)</f>
        <v/>
      </c>
      <c r="U207" s="43">
        <f>IF(OR(Q207="",F207="",F207=0),"",Q207/F207)</f>
        <v/>
      </c>
      <c r="V207" s="44">
        <f>IF(OR(U207="",T207=""),"",(U207-T207)*100)</f>
        <v/>
      </c>
      <c r="W207" s="68" t="n">
        <v>82</v>
      </c>
      <c r="X207" s="68" t="n">
        <v>59</v>
      </c>
      <c r="Y207" s="69">
        <f>IF(OR(X207="",W207="",W207=0,X207=0),"",X207-W207)</f>
        <v/>
      </c>
      <c r="Z207" s="42">
        <f>IF(OR(X207="",W207="",W207=0,X207=0),"",X207/W207-1)</f>
        <v/>
      </c>
      <c r="AA207" s="43">
        <f>IF(OR(W207="",P207="",P207=0),"",W207/P207)</f>
        <v/>
      </c>
      <c r="AB207" s="43">
        <f>IF(OR(X207="",Q207="",Q207=0),"",X207/Q207)</f>
        <v/>
      </c>
      <c r="AC207" s="44">
        <f>IF(OR(AB207="",AA207=""),"",(AB207-AA207)*100)</f>
        <v/>
      </c>
      <c r="AD207" s="68" t="n">
        <v>72</v>
      </c>
      <c r="AE207" s="68" t="n">
        <v>52</v>
      </c>
      <c r="AF207" s="69">
        <f>IF(OR(AE207="",AD207="",AD207=0,AE207=0),"",AE207-AD207)</f>
        <v/>
      </c>
      <c r="AG207" s="42">
        <f>IF(OR(AE207="",AD207="",AD207=0,AE207=0),"",AE207/AD207-1)</f>
        <v/>
      </c>
      <c r="AH207" s="43">
        <f>IF(OR(AD207="",W207="",W207=0),"",AD207/W207)</f>
        <v/>
      </c>
      <c r="AI207" s="43">
        <f>IF(OR(AE207="",X207="",X207=0),"",AE207/X207)</f>
        <v/>
      </c>
      <c r="AJ207" s="44">
        <f>IF(OR(AI207="",AH207=""),"",(AI207-AH207)*100)</f>
        <v/>
      </c>
      <c r="AK207" s="68" t="n">
        <v>43</v>
      </c>
      <c r="AL207" s="68" t="n">
        <v>25</v>
      </c>
      <c r="AM207" s="69">
        <f>IF(OR(AL207="",AK207="",AK207=0,AL207=0),"",AL207-AK207)</f>
        <v/>
      </c>
      <c r="AN207" s="42">
        <f>IF(OR(AL207="",AK207="",AK207=0,AL207=0),"",AL207/AK207-1)</f>
        <v/>
      </c>
      <c r="AO207" s="43">
        <f>IF(OR(AK207="",AD207="",AD207=0),"",AK207/AD207)</f>
        <v/>
      </c>
      <c r="AP207" s="43">
        <f>IF(OR(AL207="",AE207="",AE207=0),"",AL207/AE207)</f>
        <v/>
      </c>
      <c r="AQ207" s="44">
        <f>IF(OR(AP207="",AO207=""),"",(AP207-AO207)*100)</f>
        <v/>
      </c>
      <c r="AR207" s="68" t="n">
        <v>37</v>
      </c>
      <c r="AS207" s="68" t="n">
        <v>19</v>
      </c>
      <c r="AT207" s="69">
        <f>IF(OR(AS207="",AR207="",AR207=0,AS207=0),"",AS207-AR207)</f>
        <v/>
      </c>
      <c r="AU207" s="42">
        <f>IF(OR(AS207="",AR207="",AR207=0,AS207=0),"",AS207/AR207-1)</f>
        <v/>
      </c>
      <c r="AV207" s="43">
        <f>IF(OR(AR207="",AK207="",AK207=0),"",AR207/AK207)</f>
        <v/>
      </c>
      <c r="AW207" s="43">
        <f>IF(OR(AS207="",AL207="",AL207=0),"",AS207/AL207)</f>
        <v/>
      </c>
      <c r="AX207" s="44">
        <f>IF(OR(AW207="",AV207=""),"",(AW207-AV207)*100)</f>
        <v/>
      </c>
      <c r="AY207" s="45">
        <f>IF(OR(AR207="",P207="",P207=0),"",AR207/P207)</f>
        <v/>
      </c>
      <c r="AZ207" s="45">
        <f>IF(OR(AS207="",Q207="",Q207=0),"",AS207/Q207)</f>
        <v/>
      </c>
      <c r="BA207" s="44">
        <f>IF(OR(AZ207="",AY207=""),"",(AZ207-AY207)*100)</f>
        <v/>
      </c>
      <c r="BB207" s="45">
        <f>IF(OR(AR207="",E207="",E207=0),"",AR207/E207)</f>
        <v/>
      </c>
      <c r="BC207" s="45">
        <f>IF(OR(AS207="",F207="",F207=0),"",AS207/F207)</f>
        <v/>
      </c>
      <c r="BD207" s="44">
        <f>IF(OR(BC207="",BB207=""),"",(BC207-BB207)*100)</f>
        <v/>
      </c>
      <c r="BE207" s="40">
        <f>IF(AND(F207&lt;&gt;"",E207&lt;&gt;""),"Both years",IF(F207&lt;&gt;"","1-23Aug26 rows only","1-23Aug25 rows only"))</f>
        <v/>
      </c>
    </row>
    <row r="208">
      <c r="A208" s="40" t="inlineStr">
        <is>
          <t>Home page</t>
        </is>
      </c>
      <c r="B208" s="40" t="inlineStr">
        <is>
          <t>Direct</t>
        </is>
      </c>
      <c r="C208" s="40" t="inlineStr">
        <is>
          <t>Desktop</t>
        </is>
      </c>
      <c r="D208" s="40" t="inlineStr">
        <is>
          <t>Poland</t>
        </is>
      </c>
      <c r="E208" s="68" t="n">
        <v>275</v>
      </c>
      <c r="F208" s="68" t="n">
        <v>350</v>
      </c>
      <c r="G208" s="69">
        <f>IF(OR(F208="",E208="",E208=0,F208=0),"",F208-E208)</f>
        <v/>
      </c>
      <c r="H208" s="42">
        <f>IF(OR(F208="",E208="",E208=0,F208=0),"",F208/E208-1)</f>
        <v/>
      </c>
      <c r="I208" s="70" t="n"/>
      <c r="J208" s="70" t="n"/>
      <c r="K208" s="69">
        <f>IF(OR(J208="",I208="",I208=0,J208=0),"",J208-I208)</f>
        <v/>
      </c>
      <c r="L208" s="42">
        <f>IF(OR(J208="",I208="",I208=0,J208=0),"",J208/I208-1)</f>
        <v/>
      </c>
      <c r="M208" s="43">
        <f>IF(OR(I208="",E208="",E208=0),"",I208/E208)</f>
        <v/>
      </c>
      <c r="N208" s="43">
        <f>IF(OR(J208="",F208="",F208=0),"",J208/F208)</f>
        <v/>
      </c>
      <c r="O208" s="44">
        <f>IF(OR(N208="",M208=""),"",(N208-M208)*100)</f>
        <v/>
      </c>
      <c r="P208" s="68" t="n">
        <v>136</v>
      </c>
      <c r="Q208" s="68" t="n">
        <v>146</v>
      </c>
      <c r="R208" s="69">
        <f>IF(OR(Q208="",P208="",P208=0,Q208=0),"",Q208-P208)</f>
        <v/>
      </c>
      <c r="S208" s="42">
        <f>IF(OR(Q208="",P208="",P208=0,Q208=0),"",Q208/P208-1)</f>
        <v/>
      </c>
      <c r="T208" s="43">
        <f>IF(OR(P208="",E208="",E208=0),"",P208/E208)</f>
        <v/>
      </c>
      <c r="U208" s="43">
        <f>IF(OR(Q208="",F208="",F208=0),"",Q208/F208)</f>
        <v/>
      </c>
      <c r="V208" s="44">
        <f>IF(OR(U208="",T208=""),"",(U208-T208)*100)</f>
        <v/>
      </c>
      <c r="W208" s="70" t="n"/>
      <c r="X208" s="70" t="n"/>
      <c r="Y208" s="69">
        <f>IF(OR(X208="",W208="",W208=0,X208=0),"",X208-W208)</f>
        <v/>
      </c>
      <c r="Z208" s="42">
        <f>IF(OR(X208="",W208="",W208=0,X208=0),"",X208/W208-1)</f>
        <v/>
      </c>
      <c r="AA208" s="43">
        <f>IF(OR(W208="",P208="",P208=0),"",W208/P208)</f>
        <v/>
      </c>
      <c r="AB208" s="43">
        <f>IF(OR(X208="",Q208="",Q208=0),"",X208/Q208)</f>
        <v/>
      </c>
      <c r="AC208" s="44">
        <f>IF(OR(AB208="",AA208=""),"",(AB208-AA208)*100)</f>
        <v/>
      </c>
      <c r="AD208" s="70" t="n"/>
      <c r="AE208" s="70" t="n"/>
      <c r="AF208" s="69">
        <f>IF(OR(AE208="",AD208="",AD208=0,AE208=0),"",AE208-AD208)</f>
        <v/>
      </c>
      <c r="AG208" s="42">
        <f>IF(OR(AE208="",AD208="",AD208=0,AE208=0),"",AE208/AD208-1)</f>
        <v/>
      </c>
      <c r="AH208" s="43">
        <f>IF(OR(AD208="",W208="",W208=0),"",AD208/W208)</f>
        <v/>
      </c>
      <c r="AI208" s="43">
        <f>IF(OR(AE208="",X208="",X208=0),"",AE208/X208)</f>
        <v/>
      </c>
      <c r="AJ208" s="44">
        <f>IF(OR(AI208="",AH208=""),"",(AI208-AH208)*100)</f>
        <v/>
      </c>
      <c r="AK208" s="70" t="n"/>
      <c r="AL208" s="70" t="n"/>
      <c r="AM208" s="69">
        <f>IF(OR(AL208="",AK208="",AK208=0,AL208=0),"",AL208-AK208)</f>
        <v/>
      </c>
      <c r="AN208" s="42">
        <f>IF(OR(AL208="",AK208="",AK208=0,AL208=0),"",AL208/AK208-1)</f>
        <v/>
      </c>
      <c r="AO208" s="43">
        <f>IF(OR(AK208="",AD208="",AD208=0),"",AK208/AD208)</f>
        <v/>
      </c>
      <c r="AP208" s="43">
        <f>IF(OR(AL208="",AE208="",AE208=0),"",AL208/AE208)</f>
        <v/>
      </c>
      <c r="AQ208" s="44">
        <f>IF(OR(AP208="",AO208=""),"",(AP208-AO208)*100)</f>
        <v/>
      </c>
      <c r="AR208" s="70" t="n"/>
      <c r="AS208" s="70" t="n"/>
      <c r="AT208" s="69">
        <f>IF(OR(AS208="",AR208="",AR208=0,AS208=0),"",AS208-AR208)</f>
        <v/>
      </c>
      <c r="AU208" s="42">
        <f>IF(OR(AS208="",AR208="",AR208=0,AS208=0),"",AS208/AR208-1)</f>
        <v/>
      </c>
      <c r="AV208" s="43">
        <f>IF(OR(AR208="",AK208="",AK208=0),"",AR208/AK208)</f>
        <v/>
      </c>
      <c r="AW208" s="43">
        <f>IF(OR(AS208="",AL208="",AL208=0),"",AS208/AL208)</f>
        <v/>
      </c>
      <c r="AX208" s="44">
        <f>IF(OR(AW208="",AV208=""),"",(AW208-AV208)*100)</f>
        <v/>
      </c>
      <c r="AY208" s="45">
        <f>IF(OR(AR208="",P208="",P208=0),"",AR208/P208)</f>
        <v/>
      </c>
      <c r="AZ208" s="45">
        <f>IF(OR(AS208="",Q208="",Q208=0),"",AS208/Q208)</f>
        <v/>
      </c>
      <c r="BA208" s="44">
        <f>IF(OR(AZ208="",AY208=""),"",(AZ208-AY208)*100)</f>
        <v/>
      </c>
      <c r="BB208" s="45">
        <f>IF(OR(AR208="",E208="",E208=0),"",AR208/E208)</f>
        <v/>
      </c>
      <c r="BC208" s="45">
        <f>IF(OR(AS208="",F208="",F208=0),"",AS208/F208)</f>
        <v/>
      </c>
      <c r="BD208" s="44">
        <f>IF(OR(BC208="",BB208=""),"",(BC208-BB208)*100)</f>
        <v/>
      </c>
      <c r="BE208" s="40">
        <f>IF(AND(F208&lt;&gt;"",E208&lt;&gt;""),"Both years",IF(F208&lt;&gt;"","1-23Aug26 rows only","1-23Aug25 rows only"))</f>
        <v/>
      </c>
    </row>
    <row r="209">
      <c r="A209" s="56" t="inlineStr">
        <is>
          <t>Home page</t>
        </is>
      </c>
      <c r="B209" s="56" t="inlineStr">
        <is>
          <t>Direct</t>
        </is>
      </c>
      <c r="C209" s="56" t="inlineStr">
        <is>
          <t>Desktop</t>
        </is>
      </c>
      <c r="D209" s="56" t="inlineStr">
        <is>
          <t>France</t>
        </is>
      </c>
      <c r="E209" s="68" t="n">
        <v>217</v>
      </c>
      <c r="F209" s="68" t="n">
        <v>323</v>
      </c>
      <c r="G209" s="69">
        <f>IF(OR(F209="",E209="",E209=0,F209=0),"",F209-E209)</f>
        <v/>
      </c>
      <c r="H209" s="42">
        <f>IF(OR(F209="",E209="",E209=0,F209=0),"",F209/E209-1)</f>
        <v/>
      </c>
      <c r="I209" s="68" t="n">
        <v>120</v>
      </c>
      <c r="J209" s="68" t="n">
        <v>140</v>
      </c>
      <c r="K209" s="69">
        <f>IF(OR(J209="",I209="",I209=0,J209=0),"",J209-I209)</f>
        <v/>
      </c>
      <c r="L209" s="42">
        <f>IF(OR(J209="",I209="",I209=0,J209=0),"",J209/I209-1)</f>
        <v/>
      </c>
      <c r="M209" s="43">
        <f>IF(OR(I209="",E209="",E209=0),"",I209/E209)</f>
        <v/>
      </c>
      <c r="N209" s="43">
        <f>IF(OR(J209="",F209="",F209=0),"",J209/F209)</f>
        <v/>
      </c>
      <c r="O209" s="44">
        <f>IF(OR(N209="",M209=""),"",(N209-M209)*100)</f>
        <v/>
      </c>
      <c r="P209" s="68" t="n">
        <v>86</v>
      </c>
      <c r="Q209" s="68" t="n">
        <v>133</v>
      </c>
      <c r="R209" s="69">
        <f>IF(OR(Q209="",P209="",P209=0,Q209=0),"",Q209-P209)</f>
        <v/>
      </c>
      <c r="S209" s="42">
        <f>IF(OR(Q209="",P209="",P209=0,Q209=0),"",Q209/P209-1)</f>
        <v/>
      </c>
      <c r="T209" s="43">
        <f>IF(OR(P209="",E209="",E209=0),"",P209/E209)</f>
        <v/>
      </c>
      <c r="U209" s="43">
        <f>IF(OR(Q209="",F209="",F209=0),"",Q209/F209)</f>
        <v/>
      </c>
      <c r="V209" s="44">
        <f>IF(OR(U209="",T209=""),"",(U209-T209)*100)</f>
        <v/>
      </c>
      <c r="W209" s="68" t="n">
        <v>35</v>
      </c>
      <c r="X209" s="68" t="n">
        <v>36</v>
      </c>
      <c r="Y209" s="69">
        <f>IF(OR(X209="",W209="",W209=0,X209=0),"",X209-W209)</f>
        <v/>
      </c>
      <c r="Z209" s="42">
        <f>IF(OR(X209="",W209="",W209=0,X209=0),"",X209/W209-1)</f>
        <v/>
      </c>
      <c r="AA209" s="43">
        <f>IF(OR(W209="",P209="",P209=0),"",W209/P209)</f>
        <v/>
      </c>
      <c r="AB209" s="43">
        <f>IF(OR(X209="",Q209="",Q209=0),"",X209/Q209)</f>
        <v/>
      </c>
      <c r="AC209" s="44">
        <f>IF(OR(AB209="",AA209=""),"",(AB209-AA209)*100)</f>
        <v/>
      </c>
      <c r="AD209" s="68" t="n">
        <v>33</v>
      </c>
      <c r="AE209" s="68" t="n">
        <v>35</v>
      </c>
      <c r="AF209" s="69">
        <f>IF(OR(AE209="",AD209="",AD209=0,AE209=0),"",AE209-AD209)</f>
        <v/>
      </c>
      <c r="AG209" s="42">
        <f>IF(OR(AE209="",AD209="",AD209=0,AE209=0),"",AE209/AD209-1)</f>
        <v/>
      </c>
      <c r="AH209" s="43">
        <f>IF(OR(AD209="",W209="",W209=0),"",AD209/W209)</f>
        <v/>
      </c>
      <c r="AI209" s="43">
        <f>IF(OR(AE209="",X209="",X209=0),"",AE209/X209)</f>
        <v/>
      </c>
      <c r="AJ209" s="44">
        <f>IF(OR(AI209="",AH209=""),"",(AI209-AH209)*100)</f>
        <v/>
      </c>
      <c r="AK209" s="68" t="n">
        <v>17</v>
      </c>
      <c r="AL209" s="68" t="n">
        <v>13</v>
      </c>
      <c r="AM209" s="69">
        <f>IF(OR(AL209="",AK209="",AK209=0,AL209=0),"",AL209-AK209)</f>
        <v/>
      </c>
      <c r="AN209" s="42">
        <f>IF(OR(AL209="",AK209="",AK209=0,AL209=0),"",AL209/AK209-1)</f>
        <v/>
      </c>
      <c r="AO209" s="43">
        <f>IF(OR(AK209="",AD209="",AD209=0),"",AK209/AD209)</f>
        <v/>
      </c>
      <c r="AP209" s="43">
        <f>IF(OR(AL209="",AE209="",AE209=0),"",AL209/AE209)</f>
        <v/>
      </c>
      <c r="AQ209" s="44">
        <f>IF(OR(AP209="",AO209=""),"",(AP209-AO209)*100)</f>
        <v/>
      </c>
      <c r="AR209" s="68" t="n">
        <v>17</v>
      </c>
      <c r="AS209" s="68" t="n">
        <v>17</v>
      </c>
      <c r="AT209" s="69">
        <f>IF(OR(AS209="",AR209="",AR209=0,AS209=0),"",AS209-AR209)</f>
        <v/>
      </c>
      <c r="AU209" s="42">
        <f>IF(OR(AS209="",AR209="",AR209=0,AS209=0),"",AS209/AR209-1)</f>
        <v/>
      </c>
      <c r="AV209" s="43">
        <f>IF(OR(AR209="",AK209="",AK209=0),"",AR209/AK209)</f>
        <v/>
      </c>
      <c r="AW209" s="43">
        <f>IF(OR(AS209="",AL209="",AL209=0),"",AS209/AL209)</f>
        <v/>
      </c>
      <c r="AX209" s="44">
        <f>IF(OR(AW209="",AV209=""),"",(AW209-AV209)*100)</f>
        <v/>
      </c>
      <c r="AY209" s="45">
        <f>IF(OR(AR209="",P209="",P209=0),"",AR209/P209)</f>
        <v/>
      </c>
      <c r="AZ209" s="45">
        <f>IF(OR(AS209="",Q209="",Q209=0),"",AS209/Q209)</f>
        <v/>
      </c>
      <c r="BA209" s="44">
        <f>IF(OR(AZ209="",AY209=""),"",(AZ209-AY209)*100)</f>
        <v/>
      </c>
      <c r="BB209" s="45">
        <f>IF(OR(AR209="",E209="",E209=0),"",AR209/E209)</f>
        <v/>
      </c>
      <c r="BC209" s="45">
        <f>IF(OR(AS209="",F209="",F209=0),"",AS209/F209)</f>
        <v/>
      </c>
      <c r="BD209" s="44">
        <f>IF(OR(BC209="",BB209=""),"",(BC209-BB209)*100)</f>
        <v/>
      </c>
      <c r="BE209" s="40">
        <f>IF(AND(F209&lt;&gt;"",E209&lt;&gt;""),"Both years",IF(F209&lt;&gt;"","1-23Aug26 rows only","1-23Aug25 rows only"))</f>
        <v/>
      </c>
    </row>
    <row r="210">
      <c r="A210" s="40" t="inlineStr">
        <is>
          <t>Home page</t>
        </is>
      </c>
      <c r="B210" s="40" t="inlineStr">
        <is>
          <t>Direct</t>
        </is>
      </c>
      <c r="C210" s="40" t="inlineStr">
        <is>
          <t>Desktop</t>
        </is>
      </c>
      <c r="D210" s="40" t="inlineStr">
        <is>
          <t>Belgium</t>
        </is>
      </c>
      <c r="E210" s="68" t="n">
        <v>170</v>
      </c>
      <c r="F210" s="68" t="n">
        <v>309</v>
      </c>
      <c r="G210" s="69">
        <f>IF(OR(F210="",E210="",E210=0,F210=0),"",F210-E210)</f>
        <v/>
      </c>
      <c r="H210" s="42">
        <f>IF(OR(F210="",E210="",E210=0,F210=0),"",F210/E210-1)</f>
        <v/>
      </c>
      <c r="I210" s="68" t="n">
        <v>81</v>
      </c>
      <c r="J210" s="68" t="n">
        <v>105</v>
      </c>
      <c r="K210" s="69">
        <f>IF(OR(J210="",I210="",I210=0,J210=0),"",J210-I210)</f>
        <v/>
      </c>
      <c r="L210" s="42">
        <f>IF(OR(J210="",I210="",I210=0,J210=0),"",J210/I210-1)</f>
        <v/>
      </c>
      <c r="M210" s="43">
        <f>IF(OR(I210="",E210="",E210=0),"",I210/E210)</f>
        <v/>
      </c>
      <c r="N210" s="43">
        <f>IF(OR(J210="",F210="",F210=0),"",J210/F210)</f>
        <v/>
      </c>
      <c r="O210" s="44">
        <f>IF(OR(N210="",M210=""),"",(N210-M210)*100)</f>
        <v/>
      </c>
      <c r="P210" s="70" t="n"/>
      <c r="Q210" s="68" t="n">
        <v>110</v>
      </c>
      <c r="R210" s="69">
        <f>IF(OR(Q210="",P210="",P210=0,Q210=0),"",Q210-P210)</f>
        <v/>
      </c>
      <c r="S210" s="42">
        <f>IF(OR(Q210="",P210="",P210=0,Q210=0),"",Q210/P210-1)</f>
        <v/>
      </c>
      <c r="T210" s="43">
        <f>IF(OR(P210="",E210="",E210=0),"",P210/E210)</f>
        <v/>
      </c>
      <c r="U210" s="43">
        <f>IF(OR(Q210="",F210="",F210=0),"",Q210/F210)</f>
        <v/>
      </c>
      <c r="V210" s="44">
        <f>IF(OR(U210="",T210=""),"",(U210-T210)*100)</f>
        <v/>
      </c>
      <c r="W210" s="68" t="n">
        <v>22</v>
      </c>
      <c r="X210" s="68" t="n">
        <v>31</v>
      </c>
      <c r="Y210" s="69">
        <f>IF(OR(X210="",W210="",W210=0,X210=0),"",X210-W210)</f>
        <v/>
      </c>
      <c r="Z210" s="42">
        <f>IF(OR(X210="",W210="",W210=0,X210=0),"",X210/W210-1)</f>
        <v/>
      </c>
      <c r="AA210" s="43">
        <f>IF(OR(W210="",P210="",P210=0),"",W210/P210)</f>
        <v/>
      </c>
      <c r="AB210" s="43">
        <f>IF(OR(X210="",Q210="",Q210=0),"",X210/Q210)</f>
        <v/>
      </c>
      <c r="AC210" s="44">
        <f>IF(OR(AB210="",AA210=""),"",(AB210-AA210)*100)</f>
        <v/>
      </c>
      <c r="AD210" s="68" t="n">
        <v>20</v>
      </c>
      <c r="AE210" s="68" t="n">
        <v>25</v>
      </c>
      <c r="AF210" s="69">
        <f>IF(OR(AE210="",AD210="",AD210=0,AE210=0),"",AE210-AD210)</f>
        <v/>
      </c>
      <c r="AG210" s="42">
        <f>IF(OR(AE210="",AD210="",AD210=0,AE210=0),"",AE210/AD210-1)</f>
        <v/>
      </c>
      <c r="AH210" s="43">
        <f>IF(OR(AD210="",W210="",W210=0),"",AD210/W210)</f>
        <v/>
      </c>
      <c r="AI210" s="43">
        <f>IF(OR(AE210="",X210="",X210=0),"",AE210/X210)</f>
        <v/>
      </c>
      <c r="AJ210" s="44">
        <f>IF(OR(AI210="",AH210=""),"",(AI210-AH210)*100)</f>
        <v/>
      </c>
      <c r="AK210" s="68" t="n">
        <v>11</v>
      </c>
      <c r="AL210" s="68" t="n">
        <v>13</v>
      </c>
      <c r="AM210" s="69">
        <f>IF(OR(AL210="",AK210="",AK210=0,AL210=0),"",AL210-AK210)</f>
        <v/>
      </c>
      <c r="AN210" s="42">
        <f>IF(OR(AL210="",AK210="",AK210=0,AL210=0),"",AL210/AK210-1)</f>
        <v/>
      </c>
      <c r="AO210" s="43">
        <f>IF(OR(AK210="",AD210="",AD210=0),"",AK210/AD210)</f>
        <v/>
      </c>
      <c r="AP210" s="43">
        <f>IF(OR(AL210="",AE210="",AE210=0),"",AL210/AE210)</f>
        <v/>
      </c>
      <c r="AQ210" s="44">
        <f>IF(OR(AP210="",AO210=""),"",(AP210-AO210)*100)</f>
        <v/>
      </c>
      <c r="AR210" s="68" t="n">
        <v>10</v>
      </c>
      <c r="AS210" s="68" t="n">
        <v>12</v>
      </c>
      <c r="AT210" s="69">
        <f>IF(OR(AS210="",AR210="",AR210=0,AS210=0),"",AS210-AR210)</f>
        <v/>
      </c>
      <c r="AU210" s="42">
        <f>IF(OR(AS210="",AR210="",AR210=0,AS210=0),"",AS210/AR210-1)</f>
        <v/>
      </c>
      <c r="AV210" s="43">
        <f>IF(OR(AR210="",AK210="",AK210=0),"",AR210/AK210)</f>
        <v/>
      </c>
      <c r="AW210" s="43">
        <f>IF(OR(AS210="",AL210="",AL210=0),"",AS210/AL210)</f>
        <v/>
      </c>
      <c r="AX210" s="44">
        <f>IF(OR(AW210="",AV210=""),"",(AW210-AV210)*100)</f>
        <v/>
      </c>
      <c r="AY210" s="45">
        <f>IF(OR(AR210="",P210="",P210=0),"",AR210/P210)</f>
        <v/>
      </c>
      <c r="AZ210" s="45">
        <f>IF(OR(AS210="",Q210="",Q210=0),"",AS210/Q210)</f>
        <v/>
      </c>
      <c r="BA210" s="44">
        <f>IF(OR(AZ210="",AY210=""),"",(AZ210-AY210)*100)</f>
        <v/>
      </c>
      <c r="BB210" s="45">
        <f>IF(OR(AR210="",E210="",E210=0),"",AR210/E210)</f>
        <v/>
      </c>
      <c r="BC210" s="45">
        <f>IF(OR(AS210="",F210="",F210=0),"",AS210/F210)</f>
        <v/>
      </c>
      <c r="BD210" s="44">
        <f>IF(OR(BC210="",BB210=""),"",(BC210-BB210)*100)</f>
        <v/>
      </c>
      <c r="BE210" s="40">
        <f>IF(AND(F210&lt;&gt;"",E210&lt;&gt;""),"Both years",IF(F210&lt;&gt;"","1-23Aug26 rows only","1-23Aug25 rows only"))</f>
        <v/>
      </c>
    </row>
    <row r="211">
      <c r="A211" s="56" t="inlineStr">
        <is>
          <t>Home page</t>
        </is>
      </c>
      <c r="B211" s="56" t="inlineStr">
        <is>
          <t>Direct</t>
        </is>
      </c>
      <c r="C211" s="56" t="inlineStr">
        <is>
          <t>Desktop</t>
        </is>
      </c>
      <c r="D211" s="56" t="inlineStr">
        <is>
          <t>Ireland</t>
        </is>
      </c>
      <c r="E211" s="68" t="n">
        <v>572</v>
      </c>
      <c r="F211" s="68" t="n">
        <v>301</v>
      </c>
      <c r="G211" s="69">
        <f>IF(OR(F211="",E211="",E211=0,F211=0),"",F211-E211)</f>
        <v/>
      </c>
      <c r="H211" s="42">
        <f>IF(OR(F211="",E211="",E211=0,F211=0),"",F211/E211-1)</f>
        <v/>
      </c>
      <c r="I211" s="68" t="n">
        <v>116</v>
      </c>
      <c r="J211" s="68" t="n">
        <v>131</v>
      </c>
      <c r="K211" s="69">
        <f>IF(OR(J211="",I211="",I211=0,J211=0),"",J211-I211)</f>
        <v/>
      </c>
      <c r="L211" s="42">
        <f>IF(OR(J211="",I211="",I211=0,J211=0),"",J211/I211-1)</f>
        <v/>
      </c>
      <c r="M211" s="43">
        <f>IF(OR(I211="",E211="",E211=0),"",I211/E211)</f>
        <v/>
      </c>
      <c r="N211" s="43">
        <f>IF(OR(J211="",F211="",F211=0),"",J211/F211)</f>
        <v/>
      </c>
      <c r="O211" s="44">
        <f>IF(OR(N211="",M211=""),"",(N211-M211)*100)</f>
        <v/>
      </c>
      <c r="P211" s="68" t="n">
        <v>106</v>
      </c>
      <c r="Q211" s="68" t="n">
        <v>130</v>
      </c>
      <c r="R211" s="69">
        <f>IF(OR(Q211="",P211="",P211=0,Q211=0),"",Q211-P211)</f>
        <v/>
      </c>
      <c r="S211" s="42">
        <f>IF(OR(Q211="",P211="",P211=0,Q211=0),"",Q211/P211-1)</f>
        <v/>
      </c>
      <c r="T211" s="43">
        <f>IF(OR(P211="",E211="",E211=0),"",P211/E211)</f>
        <v/>
      </c>
      <c r="U211" s="43">
        <f>IF(OR(Q211="",F211="",F211=0),"",Q211/F211)</f>
        <v/>
      </c>
      <c r="V211" s="44">
        <f>IF(OR(U211="",T211=""),"",(U211-T211)*100)</f>
        <v/>
      </c>
      <c r="W211" s="68" t="n">
        <v>35</v>
      </c>
      <c r="X211" s="68" t="n">
        <v>39</v>
      </c>
      <c r="Y211" s="69">
        <f>IF(OR(X211="",W211="",W211=0,X211=0),"",X211-W211)</f>
        <v/>
      </c>
      <c r="Z211" s="42">
        <f>IF(OR(X211="",W211="",W211=0,X211=0),"",X211/W211-1)</f>
        <v/>
      </c>
      <c r="AA211" s="43">
        <f>IF(OR(W211="",P211="",P211=0),"",W211/P211)</f>
        <v/>
      </c>
      <c r="AB211" s="43">
        <f>IF(OR(X211="",Q211="",Q211=0),"",X211/Q211)</f>
        <v/>
      </c>
      <c r="AC211" s="44">
        <f>IF(OR(AB211="",AA211=""),"",(AB211-AA211)*100)</f>
        <v/>
      </c>
      <c r="AD211" s="68" t="n">
        <v>34</v>
      </c>
      <c r="AE211" s="68" t="n">
        <v>33</v>
      </c>
      <c r="AF211" s="69">
        <f>IF(OR(AE211="",AD211="",AD211=0,AE211=0),"",AE211-AD211)</f>
        <v/>
      </c>
      <c r="AG211" s="42">
        <f>IF(OR(AE211="",AD211="",AD211=0,AE211=0),"",AE211/AD211-1)</f>
        <v/>
      </c>
      <c r="AH211" s="43">
        <f>IF(OR(AD211="",W211="",W211=0),"",AD211/W211)</f>
        <v/>
      </c>
      <c r="AI211" s="43">
        <f>IF(OR(AE211="",X211="",X211=0),"",AE211/X211)</f>
        <v/>
      </c>
      <c r="AJ211" s="44">
        <f>IF(OR(AI211="",AH211=""),"",(AI211-AH211)*100)</f>
        <v/>
      </c>
      <c r="AK211" s="68" t="n">
        <v>22</v>
      </c>
      <c r="AL211" s="68" t="n">
        <v>24</v>
      </c>
      <c r="AM211" s="69">
        <f>IF(OR(AL211="",AK211="",AK211=0,AL211=0),"",AL211-AK211)</f>
        <v/>
      </c>
      <c r="AN211" s="42">
        <f>IF(OR(AL211="",AK211="",AK211=0,AL211=0),"",AL211/AK211-1)</f>
        <v/>
      </c>
      <c r="AO211" s="43">
        <f>IF(OR(AK211="",AD211="",AD211=0),"",AK211/AD211)</f>
        <v/>
      </c>
      <c r="AP211" s="43">
        <f>IF(OR(AL211="",AE211="",AE211=0),"",AL211/AE211)</f>
        <v/>
      </c>
      <c r="AQ211" s="44">
        <f>IF(OR(AP211="",AO211=""),"",(AP211-AO211)*100)</f>
        <v/>
      </c>
      <c r="AR211" s="68" t="n">
        <v>18</v>
      </c>
      <c r="AS211" s="68" t="n">
        <v>29</v>
      </c>
      <c r="AT211" s="69">
        <f>IF(OR(AS211="",AR211="",AR211=0,AS211=0),"",AS211-AR211)</f>
        <v/>
      </c>
      <c r="AU211" s="42">
        <f>IF(OR(AS211="",AR211="",AR211=0,AS211=0),"",AS211/AR211-1)</f>
        <v/>
      </c>
      <c r="AV211" s="43">
        <f>IF(OR(AR211="",AK211="",AK211=0),"",AR211/AK211)</f>
        <v/>
      </c>
      <c r="AW211" s="43">
        <f>IF(OR(AS211="",AL211="",AL211=0),"",AS211/AL211)</f>
        <v/>
      </c>
      <c r="AX211" s="44">
        <f>IF(OR(AW211="",AV211=""),"",(AW211-AV211)*100)</f>
        <v/>
      </c>
      <c r="AY211" s="45">
        <f>IF(OR(AR211="",P211="",P211=0),"",AR211/P211)</f>
        <v/>
      </c>
      <c r="AZ211" s="45">
        <f>IF(OR(AS211="",Q211="",Q211=0),"",AS211/Q211)</f>
        <v/>
      </c>
      <c r="BA211" s="44">
        <f>IF(OR(AZ211="",AY211=""),"",(AZ211-AY211)*100)</f>
        <v/>
      </c>
      <c r="BB211" s="45">
        <f>IF(OR(AR211="",E211="",E211=0),"",AR211/E211)</f>
        <v/>
      </c>
      <c r="BC211" s="45">
        <f>IF(OR(AS211="",F211="",F211=0),"",AS211/F211)</f>
        <v/>
      </c>
      <c r="BD211" s="44">
        <f>IF(OR(BC211="",BB211=""),"",(BC211-BB211)*100)</f>
        <v/>
      </c>
      <c r="BE211" s="40">
        <f>IF(AND(F211&lt;&gt;"",E211&lt;&gt;""),"Both years",IF(F211&lt;&gt;"","1-23Aug26 rows only","1-23Aug25 rows only"))</f>
        <v/>
      </c>
    </row>
    <row r="212">
      <c r="A212" s="40" t="inlineStr">
        <is>
          <t>Home page</t>
        </is>
      </c>
      <c r="B212" s="40" t="inlineStr">
        <is>
          <t>Direct</t>
        </is>
      </c>
      <c r="C212" s="40" t="inlineStr">
        <is>
          <t>Desktop</t>
        </is>
      </c>
      <c r="D212" s="40" t="inlineStr">
        <is>
          <t>Ukraine</t>
        </is>
      </c>
      <c r="E212" s="68" t="n">
        <v>250</v>
      </c>
      <c r="F212" s="68" t="n">
        <v>252</v>
      </c>
      <c r="G212" s="69">
        <f>IF(OR(F212="",E212="",E212=0,F212=0),"",F212-E212)</f>
        <v/>
      </c>
      <c r="H212" s="42">
        <f>IF(OR(F212="",E212="",E212=0,F212=0),"",F212/E212-1)</f>
        <v/>
      </c>
      <c r="I212" s="70" t="n"/>
      <c r="J212" s="70" t="n"/>
      <c r="K212" s="69">
        <f>IF(OR(J212="",I212="",I212=0,J212=0),"",J212-I212)</f>
        <v/>
      </c>
      <c r="L212" s="42">
        <f>IF(OR(J212="",I212="",I212=0,J212=0),"",J212/I212-1)</f>
        <v/>
      </c>
      <c r="M212" s="43">
        <f>IF(OR(I212="",E212="",E212=0),"",I212/E212)</f>
        <v/>
      </c>
      <c r="N212" s="43">
        <f>IF(OR(J212="",F212="",F212=0),"",J212/F212)</f>
        <v/>
      </c>
      <c r="O212" s="44">
        <f>IF(OR(N212="",M212=""),"",(N212-M212)*100)</f>
        <v/>
      </c>
      <c r="P212" s="68" t="n">
        <v>131</v>
      </c>
      <c r="Q212" s="68" t="n">
        <v>134</v>
      </c>
      <c r="R212" s="69">
        <f>IF(OR(Q212="",P212="",P212=0,Q212=0),"",Q212-P212)</f>
        <v/>
      </c>
      <c r="S212" s="42">
        <f>IF(OR(Q212="",P212="",P212=0,Q212=0),"",Q212/P212-1)</f>
        <v/>
      </c>
      <c r="T212" s="43">
        <f>IF(OR(P212="",E212="",E212=0),"",P212/E212)</f>
        <v/>
      </c>
      <c r="U212" s="43">
        <f>IF(OR(Q212="",F212="",F212=0),"",Q212/F212)</f>
        <v/>
      </c>
      <c r="V212" s="44">
        <f>IF(OR(U212="",T212=""),"",(U212-T212)*100)</f>
        <v/>
      </c>
      <c r="W212" s="70" t="n"/>
      <c r="X212" s="70" t="n"/>
      <c r="Y212" s="69">
        <f>IF(OR(X212="",W212="",W212=0,X212=0),"",X212-W212)</f>
        <v/>
      </c>
      <c r="Z212" s="42">
        <f>IF(OR(X212="",W212="",W212=0,X212=0),"",X212/W212-1)</f>
        <v/>
      </c>
      <c r="AA212" s="43">
        <f>IF(OR(W212="",P212="",P212=0),"",W212/P212)</f>
        <v/>
      </c>
      <c r="AB212" s="43">
        <f>IF(OR(X212="",Q212="",Q212=0),"",X212/Q212)</f>
        <v/>
      </c>
      <c r="AC212" s="44">
        <f>IF(OR(AB212="",AA212=""),"",(AB212-AA212)*100)</f>
        <v/>
      </c>
      <c r="AD212" s="70" t="n"/>
      <c r="AE212" s="70" t="n"/>
      <c r="AF212" s="69">
        <f>IF(OR(AE212="",AD212="",AD212=0,AE212=0),"",AE212-AD212)</f>
        <v/>
      </c>
      <c r="AG212" s="42">
        <f>IF(OR(AE212="",AD212="",AD212=0,AE212=0),"",AE212/AD212-1)</f>
        <v/>
      </c>
      <c r="AH212" s="43">
        <f>IF(OR(AD212="",W212="",W212=0),"",AD212/W212)</f>
        <v/>
      </c>
      <c r="AI212" s="43">
        <f>IF(OR(AE212="",X212="",X212=0),"",AE212/X212)</f>
        <v/>
      </c>
      <c r="AJ212" s="44">
        <f>IF(OR(AI212="",AH212=""),"",(AI212-AH212)*100)</f>
        <v/>
      </c>
      <c r="AK212" s="70" t="n"/>
      <c r="AL212" s="70" t="n"/>
      <c r="AM212" s="69">
        <f>IF(OR(AL212="",AK212="",AK212=0,AL212=0),"",AL212-AK212)</f>
        <v/>
      </c>
      <c r="AN212" s="42">
        <f>IF(OR(AL212="",AK212="",AK212=0,AL212=0),"",AL212/AK212-1)</f>
        <v/>
      </c>
      <c r="AO212" s="43">
        <f>IF(OR(AK212="",AD212="",AD212=0),"",AK212/AD212)</f>
        <v/>
      </c>
      <c r="AP212" s="43">
        <f>IF(OR(AL212="",AE212="",AE212=0),"",AL212/AE212)</f>
        <v/>
      </c>
      <c r="AQ212" s="44">
        <f>IF(OR(AP212="",AO212=""),"",(AP212-AO212)*100)</f>
        <v/>
      </c>
      <c r="AR212" s="70" t="n"/>
      <c r="AS212" s="70" t="n"/>
      <c r="AT212" s="69">
        <f>IF(OR(AS212="",AR212="",AR212=0,AS212=0),"",AS212-AR212)</f>
        <v/>
      </c>
      <c r="AU212" s="42">
        <f>IF(OR(AS212="",AR212="",AR212=0,AS212=0),"",AS212/AR212-1)</f>
        <v/>
      </c>
      <c r="AV212" s="43">
        <f>IF(OR(AR212="",AK212="",AK212=0),"",AR212/AK212)</f>
        <v/>
      </c>
      <c r="AW212" s="43">
        <f>IF(OR(AS212="",AL212="",AL212=0),"",AS212/AL212)</f>
        <v/>
      </c>
      <c r="AX212" s="44">
        <f>IF(OR(AW212="",AV212=""),"",(AW212-AV212)*100)</f>
        <v/>
      </c>
      <c r="AY212" s="45">
        <f>IF(OR(AR212="",P212="",P212=0),"",AR212/P212)</f>
        <v/>
      </c>
      <c r="AZ212" s="45">
        <f>IF(OR(AS212="",Q212="",Q212=0),"",AS212/Q212)</f>
        <v/>
      </c>
      <c r="BA212" s="44">
        <f>IF(OR(AZ212="",AY212=""),"",(AZ212-AY212)*100)</f>
        <v/>
      </c>
      <c r="BB212" s="45">
        <f>IF(OR(AR212="",E212="",E212=0),"",AR212/E212)</f>
        <v/>
      </c>
      <c r="BC212" s="45">
        <f>IF(OR(AS212="",F212="",F212=0),"",AS212/F212)</f>
        <v/>
      </c>
      <c r="BD212" s="44">
        <f>IF(OR(BC212="",BB212=""),"",(BC212-BB212)*100)</f>
        <v/>
      </c>
      <c r="BE212" s="40">
        <f>IF(AND(F212&lt;&gt;"",E212&lt;&gt;""),"Both years",IF(F212&lt;&gt;"","1-23Aug26 rows only","1-23Aug25 rows only"))</f>
        <v/>
      </c>
    </row>
    <row r="213">
      <c r="A213" s="56" t="inlineStr">
        <is>
          <t>Home page</t>
        </is>
      </c>
      <c r="B213" s="56" t="inlineStr">
        <is>
          <t>Direct</t>
        </is>
      </c>
      <c r="C213" s="56" t="inlineStr">
        <is>
          <t>Desktop</t>
        </is>
      </c>
      <c r="D213" s="56" t="inlineStr">
        <is>
          <t>Romania</t>
        </is>
      </c>
      <c r="E213" s="68" t="n">
        <v>189</v>
      </c>
      <c r="F213" s="68" t="n">
        <v>208</v>
      </c>
      <c r="G213" s="69">
        <f>IF(OR(F213="",E213="",E213=0,F213=0),"",F213-E213)</f>
        <v/>
      </c>
      <c r="H213" s="42">
        <f>IF(OR(F213="",E213="",E213=0,F213=0),"",F213/E213-1)</f>
        <v/>
      </c>
      <c r="I213" s="70" t="n"/>
      <c r="J213" s="70" t="n"/>
      <c r="K213" s="69">
        <f>IF(OR(J213="",I213="",I213=0,J213=0),"",J213-I213)</f>
        <v/>
      </c>
      <c r="L213" s="42">
        <f>IF(OR(J213="",I213="",I213=0,J213=0),"",J213/I213-1)</f>
        <v/>
      </c>
      <c r="M213" s="43">
        <f>IF(OR(I213="",E213="",E213=0),"",I213/E213)</f>
        <v/>
      </c>
      <c r="N213" s="43">
        <f>IF(OR(J213="",F213="",F213=0),"",J213/F213)</f>
        <v/>
      </c>
      <c r="O213" s="44">
        <f>IF(OR(N213="",M213=""),"",(N213-M213)*100)</f>
        <v/>
      </c>
      <c r="P213" s="68" t="n">
        <v>83</v>
      </c>
      <c r="Q213" s="68" t="n">
        <v>65</v>
      </c>
      <c r="R213" s="69">
        <f>IF(OR(Q213="",P213="",P213=0,Q213=0),"",Q213-P213)</f>
        <v/>
      </c>
      <c r="S213" s="42">
        <f>IF(OR(Q213="",P213="",P213=0,Q213=0),"",Q213/P213-1)</f>
        <v/>
      </c>
      <c r="T213" s="43">
        <f>IF(OR(P213="",E213="",E213=0),"",P213/E213)</f>
        <v/>
      </c>
      <c r="U213" s="43">
        <f>IF(OR(Q213="",F213="",F213=0),"",Q213/F213)</f>
        <v/>
      </c>
      <c r="V213" s="44">
        <f>IF(OR(U213="",T213=""),"",(U213-T213)*100)</f>
        <v/>
      </c>
      <c r="W213" s="70" t="n"/>
      <c r="X213" s="70" t="n"/>
      <c r="Y213" s="69">
        <f>IF(OR(X213="",W213="",W213=0,X213=0),"",X213-W213)</f>
        <v/>
      </c>
      <c r="Z213" s="42">
        <f>IF(OR(X213="",W213="",W213=0,X213=0),"",X213/W213-1)</f>
        <v/>
      </c>
      <c r="AA213" s="43">
        <f>IF(OR(W213="",P213="",P213=0),"",W213/P213)</f>
        <v/>
      </c>
      <c r="AB213" s="43">
        <f>IF(OR(X213="",Q213="",Q213=0),"",X213/Q213)</f>
        <v/>
      </c>
      <c r="AC213" s="44">
        <f>IF(OR(AB213="",AA213=""),"",(AB213-AA213)*100)</f>
        <v/>
      </c>
      <c r="AD213" s="70" t="n"/>
      <c r="AE213" s="70" t="n"/>
      <c r="AF213" s="69">
        <f>IF(OR(AE213="",AD213="",AD213=0,AE213=0),"",AE213-AD213)</f>
        <v/>
      </c>
      <c r="AG213" s="42">
        <f>IF(OR(AE213="",AD213="",AD213=0,AE213=0),"",AE213/AD213-1)</f>
        <v/>
      </c>
      <c r="AH213" s="43">
        <f>IF(OR(AD213="",W213="",W213=0),"",AD213/W213)</f>
        <v/>
      </c>
      <c r="AI213" s="43">
        <f>IF(OR(AE213="",X213="",X213=0),"",AE213/X213)</f>
        <v/>
      </c>
      <c r="AJ213" s="44">
        <f>IF(OR(AI213="",AH213=""),"",(AI213-AH213)*100)</f>
        <v/>
      </c>
      <c r="AK213" s="70" t="n"/>
      <c r="AL213" s="70" t="n"/>
      <c r="AM213" s="69">
        <f>IF(OR(AL213="",AK213="",AK213=0,AL213=0),"",AL213-AK213)</f>
        <v/>
      </c>
      <c r="AN213" s="42">
        <f>IF(OR(AL213="",AK213="",AK213=0,AL213=0),"",AL213/AK213-1)</f>
        <v/>
      </c>
      <c r="AO213" s="43">
        <f>IF(OR(AK213="",AD213="",AD213=0),"",AK213/AD213)</f>
        <v/>
      </c>
      <c r="AP213" s="43">
        <f>IF(OR(AL213="",AE213="",AE213=0),"",AL213/AE213)</f>
        <v/>
      </c>
      <c r="AQ213" s="44">
        <f>IF(OR(AP213="",AO213=""),"",(AP213-AO213)*100)</f>
        <v/>
      </c>
      <c r="AR213" s="70" t="n"/>
      <c r="AS213" s="70" t="n"/>
      <c r="AT213" s="69">
        <f>IF(OR(AS213="",AR213="",AR213=0,AS213=0),"",AS213-AR213)</f>
        <v/>
      </c>
      <c r="AU213" s="42">
        <f>IF(OR(AS213="",AR213="",AR213=0,AS213=0),"",AS213/AR213-1)</f>
        <v/>
      </c>
      <c r="AV213" s="43">
        <f>IF(OR(AR213="",AK213="",AK213=0),"",AR213/AK213)</f>
        <v/>
      </c>
      <c r="AW213" s="43">
        <f>IF(OR(AS213="",AL213="",AL213=0),"",AS213/AL213)</f>
        <v/>
      </c>
      <c r="AX213" s="44">
        <f>IF(OR(AW213="",AV213=""),"",(AW213-AV213)*100)</f>
        <v/>
      </c>
      <c r="AY213" s="45">
        <f>IF(OR(AR213="",P213="",P213=0),"",AR213/P213)</f>
        <v/>
      </c>
      <c r="AZ213" s="45">
        <f>IF(OR(AS213="",Q213="",Q213=0),"",AS213/Q213)</f>
        <v/>
      </c>
      <c r="BA213" s="44">
        <f>IF(OR(AZ213="",AY213=""),"",(AZ213-AY213)*100)</f>
        <v/>
      </c>
      <c r="BB213" s="45">
        <f>IF(OR(AR213="",E213="",E213=0),"",AR213/E213)</f>
        <v/>
      </c>
      <c r="BC213" s="45">
        <f>IF(OR(AS213="",F213="",F213=0),"",AS213/F213)</f>
        <v/>
      </c>
      <c r="BD213" s="44">
        <f>IF(OR(BC213="",BB213=""),"",(BC213-BB213)*100)</f>
        <v/>
      </c>
      <c r="BE213" s="40">
        <f>IF(AND(F213&lt;&gt;"",E213&lt;&gt;""),"Both years",IF(F213&lt;&gt;"","1-23Aug26 rows only","1-23Aug25 rows only"))</f>
        <v/>
      </c>
    </row>
    <row r="214">
      <c r="A214" s="40" t="inlineStr">
        <is>
          <t>Home page</t>
        </is>
      </c>
      <c r="B214" s="40" t="inlineStr">
        <is>
          <t>Direct</t>
        </is>
      </c>
      <c r="C214" s="40" t="inlineStr">
        <is>
          <t>Desktop</t>
        </is>
      </c>
      <c r="D214" s="40" t="inlineStr">
        <is>
          <t>Portugal</t>
        </is>
      </c>
      <c r="E214" s="70" t="n"/>
      <c r="F214" s="68" t="n">
        <v>202</v>
      </c>
      <c r="G214" s="69">
        <f>IF(OR(F214="",E214="",E214=0,F214=0),"",F214-E214)</f>
        <v/>
      </c>
      <c r="H214" s="42">
        <f>IF(OR(F214="",E214="",E214=0,F214=0),"",F214/E214-1)</f>
        <v/>
      </c>
      <c r="I214" s="70" t="n"/>
      <c r="J214" s="70" t="n"/>
      <c r="K214" s="69">
        <f>IF(OR(J214="",I214="",I214=0,J214=0),"",J214-I214)</f>
        <v/>
      </c>
      <c r="L214" s="42">
        <f>IF(OR(J214="",I214="",I214=0,J214=0),"",J214/I214-1)</f>
        <v/>
      </c>
      <c r="M214" s="43">
        <f>IF(OR(I214="",E214="",E214=0),"",I214/E214)</f>
        <v/>
      </c>
      <c r="N214" s="43">
        <f>IF(OR(J214="",F214="",F214=0),"",J214/F214)</f>
        <v/>
      </c>
      <c r="O214" s="44">
        <f>IF(OR(N214="",M214=""),"",(N214-M214)*100)</f>
        <v/>
      </c>
      <c r="P214" s="70" t="n"/>
      <c r="Q214" s="68" t="n">
        <v>87</v>
      </c>
      <c r="R214" s="69">
        <f>IF(OR(Q214="",P214="",P214=0,Q214=0),"",Q214-P214)</f>
        <v/>
      </c>
      <c r="S214" s="42">
        <f>IF(OR(Q214="",P214="",P214=0,Q214=0),"",Q214/P214-1)</f>
        <v/>
      </c>
      <c r="T214" s="43">
        <f>IF(OR(P214="",E214="",E214=0),"",P214/E214)</f>
        <v/>
      </c>
      <c r="U214" s="43">
        <f>IF(OR(Q214="",F214="",F214=0),"",Q214/F214)</f>
        <v/>
      </c>
      <c r="V214" s="44">
        <f>IF(OR(U214="",T214=""),"",(U214-T214)*100)</f>
        <v/>
      </c>
      <c r="W214" s="70" t="n"/>
      <c r="X214" s="70" t="n"/>
      <c r="Y214" s="69">
        <f>IF(OR(X214="",W214="",W214=0,X214=0),"",X214-W214)</f>
        <v/>
      </c>
      <c r="Z214" s="42">
        <f>IF(OR(X214="",W214="",W214=0,X214=0),"",X214/W214-1)</f>
        <v/>
      </c>
      <c r="AA214" s="43">
        <f>IF(OR(W214="",P214="",P214=0),"",W214/P214)</f>
        <v/>
      </c>
      <c r="AB214" s="43">
        <f>IF(OR(X214="",Q214="",Q214=0),"",X214/Q214)</f>
        <v/>
      </c>
      <c r="AC214" s="44">
        <f>IF(OR(AB214="",AA214=""),"",(AB214-AA214)*100)</f>
        <v/>
      </c>
      <c r="AD214" s="70" t="n"/>
      <c r="AE214" s="70" t="n"/>
      <c r="AF214" s="69">
        <f>IF(OR(AE214="",AD214="",AD214=0,AE214=0),"",AE214-AD214)</f>
        <v/>
      </c>
      <c r="AG214" s="42">
        <f>IF(OR(AE214="",AD214="",AD214=0,AE214=0),"",AE214/AD214-1)</f>
        <v/>
      </c>
      <c r="AH214" s="43">
        <f>IF(OR(AD214="",W214="",W214=0),"",AD214/W214)</f>
        <v/>
      </c>
      <c r="AI214" s="43">
        <f>IF(OR(AE214="",X214="",X214=0),"",AE214/X214)</f>
        <v/>
      </c>
      <c r="AJ214" s="44">
        <f>IF(OR(AI214="",AH214=""),"",(AI214-AH214)*100)</f>
        <v/>
      </c>
      <c r="AK214" s="70" t="n"/>
      <c r="AL214" s="70" t="n"/>
      <c r="AM214" s="69">
        <f>IF(OR(AL214="",AK214="",AK214=0,AL214=0),"",AL214-AK214)</f>
        <v/>
      </c>
      <c r="AN214" s="42">
        <f>IF(OR(AL214="",AK214="",AK214=0,AL214=0),"",AL214/AK214-1)</f>
        <v/>
      </c>
      <c r="AO214" s="43">
        <f>IF(OR(AK214="",AD214="",AD214=0),"",AK214/AD214)</f>
        <v/>
      </c>
      <c r="AP214" s="43">
        <f>IF(OR(AL214="",AE214="",AE214=0),"",AL214/AE214)</f>
        <v/>
      </c>
      <c r="AQ214" s="44">
        <f>IF(OR(AP214="",AO214=""),"",(AP214-AO214)*100)</f>
        <v/>
      </c>
      <c r="AR214" s="70" t="n"/>
      <c r="AS214" s="70" t="n"/>
      <c r="AT214" s="69">
        <f>IF(OR(AS214="",AR214="",AR214=0,AS214=0),"",AS214-AR214)</f>
        <v/>
      </c>
      <c r="AU214" s="42">
        <f>IF(OR(AS214="",AR214="",AR214=0,AS214=0),"",AS214/AR214-1)</f>
        <v/>
      </c>
      <c r="AV214" s="43">
        <f>IF(OR(AR214="",AK214="",AK214=0),"",AR214/AK214)</f>
        <v/>
      </c>
      <c r="AW214" s="43">
        <f>IF(OR(AS214="",AL214="",AL214=0),"",AS214/AL214)</f>
        <v/>
      </c>
      <c r="AX214" s="44">
        <f>IF(OR(AW214="",AV214=""),"",(AW214-AV214)*100)</f>
        <v/>
      </c>
      <c r="AY214" s="45">
        <f>IF(OR(AR214="",P214="",P214=0),"",AR214/P214)</f>
        <v/>
      </c>
      <c r="AZ214" s="45">
        <f>IF(OR(AS214="",Q214="",Q214=0),"",AS214/Q214)</f>
        <v/>
      </c>
      <c r="BA214" s="44">
        <f>IF(OR(AZ214="",AY214=""),"",(AZ214-AY214)*100)</f>
        <v/>
      </c>
      <c r="BB214" s="45">
        <f>IF(OR(AR214="",E214="",E214=0),"",AR214/E214)</f>
        <v/>
      </c>
      <c r="BC214" s="45">
        <f>IF(OR(AS214="",F214="",F214=0),"",AS214/F214)</f>
        <v/>
      </c>
      <c r="BD214" s="44">
        <f>IF(OR(BC214="",BB214=""),"",(BC214-BB214)*100)</f>
        <v/>
      </c>
      <c r="BE214" s="40">
        <f>IF(AND(F214&lt;&gt;"",E214&lt;&gt;""),"Both years",IF(F214&lt;&gt;"","1-23Aug26 rows only","1-23Aug25 rows only"))</f>
        <v/>
      </c>
    </row>
    <row r="215">
      <c r="A215" s="56" t="inlineStr">
        <is>
          <t>Home page</t>
        </is>
      </c>
      <c r="B215" s="56" t="inlineStr">
        <is>
          <t>Direct</t>
        </is>
      </c>
      <c r="C215" s="56" t="inlineStr">
        <is>
          <t>Desktop</t>
        </is>
      </c>
      <c r="D215" s="56" t="inlineStr">
        <is>
          <t>Sweden</t>
        </is>
      </c>
      <c r="E215" s="70" t="n"/>
      <c r="F215" s="68" t="n">
        <v>144</v>
      </c>
      <c r="G215" s="69">
        <f>IF(OR(F215="",E215="",E215=0,F215=0),"",F215-E215)</f>
        <v/>
      </c>
      <c r="H215" s="42">
        <f>IF(OR(F215="",E215="",E215=0,F215=0),"",F215/E215-1)</f>
        <v/>
      </c>
      <c r="I215" s="68" t="n">
        <v>64</v>
      </c>
      <c r="J215" s="68" t="n">
        <v>70</v>
      </c>
      <c r="K215" s="69">
        <f>IF(OR(J215="",I215="",I215=0,J215=0),"",J215-I215)</f>
        <v/>
      </c>
      <c r="L215" s="42">
        <f>IF(OR(J215="",I215="",I215=0,J215=0),"",J215/I215-1)</f>
        <v/>
      </c>
      <c r="M215" s="43">
        <f>IF(OR(I215="",E215="",E215=0),"",I215/E215)</f>
        <v/>
      </c>
      <c r="N215" s="43">
        <f>IF(OR(J215="",F215="",F215=0),"",J215/F215)</f>
        <v/>
      </c>
      <c r="O215" s="44">
        <f>IF(OR(N215="",M215=""),"",(N215-M215)*100)</f>
        <v/>
      </c>
      <c r="P215" s="70" t="n"/>
      <c r="Q215" s="70" t="n"/>
      <c r="R215" s="69">
        <f>IF(OR(Q215="",P215="",P215=0,Q215=0),"",Q215-P215)</f>
        <v/>
      </c>
      <c r="S215" s="42">
        <f>IF(OR(Q215="",P215="",P215=0,Q215=0),"",Q215/P215-1)</f>
        <v/>
      </c>
      <c r="T215" s="43">
        <f>IF(OR(P215="",E215="",E215=0),"",P215/E215)</f>
        <v/>
      </c>
      <c r="U215" s="43">
        <f>IF(OR(Q215="",F215="",F215=0),"",Q215/F215)</f>
        <v/>
      </c>
      <c r="V215" s="44">
        <f>IF(OR(U215="",T215=""),"",(U215-T215)*100)</f>
        <v/>
      </c>
      <c r="W215" s="68" t="n">
        <v>34</v>
      </c>
      <c r="X215" s="68" t="n">
        <v>21</v>
      </c>
      <c r="Y215" s="69">
        <f>IF(OR(X215="",W215="",W215=0,X215=0),"",X215-W215)</f>
        <v/>
      </c>
      <c r="Z215" s="42">
        <f>IF(OR(X215="",W215="",W215=0,X215=0),"",X215/W215-1)</f>
        <v/>
      </c>
      <c r="AA215" s="43">
        <f>IF(OR(W215="",P215="",P215=0),"",W215/P215)</f>
        <v/>
      </c>
      <c r="AB215" s="43">
        <f>IF(OR(X215="",Q215="",Q215=0),"",X215/Q215)</f>
        <v/>
      </c>
      <c r="AC215" s="44">
        <f>IF(OR(AB215="",AA215=""),"",(AB215-AA215)*100)</f>
        <v/>
      </c>
      <c r="AD215" s="68" t="n">
        <v>32</v>
      </c>
      <c r="AE215" s="68" t="n">
        <v>22</v>
      </c>
      <c r="AF215" s="69">
        <f>IF(OR(AE215="",AD215="",AD215=0,AE215=0),"",AE215-AD215)</f>
        <v/>
      </c>
      <c r="AG215" s="42">
        <f>IF(OR(AE215="",AD215="",AD215=0,AE215=0),"",AE215/AD215-1)</f>
        <v/>
      </c>
      <c r="AH215" s="43">
        <f>IF(OR(AD215="",W215="",W215=0),"",AD215/W215)</f>
        <v/>
      </c>
      <c r="AI215" s="43">
        <f>IF(OR(AE215="",X215="",X215=0),"",AE215/X215)</f>
        <v/>
      </c>
      <c r="AJ215" s="44">
        <f>IF(OR(AI215="",AH215=""),"",(AI215-AH215)*100)</f>
        <v/>
      </c>
      <c r="AK215" s="68" t="n">
        <v>22</v>
      </c>
      <c r="AL215" s="68" t="n">
        <v>14</v>
      </c>
      <c r="AM215" s="69">
        <f>IF(OR(AL215="",AK215="",AK215=0,AL215=0),"",AL215-AK215)</f>
        <v/>
      </c>
      <c r="AN215" s="42">
        <f>IF(OR(AL215="",AK215="",AK215=0,AL215=0),"",AL215/AK215-1)</f>
        <v/>
      </c>
      <c r="AO215" s="43">
        <f>IF(OR(AK215="",AD215="",AD215=0),"",AK215/AD215)</f>
        <v/>
      </c>
      <c r="AP215" s="43">
        <f>IF(OR(AL215="",AE215="",AE215=0),"",AL215/AE215)</f>
        <v/>
      </c>
      <c r="AQ215" s="44">
        <f>IF(OR(AP215="",AO215=""),"",(AP215-AO215)*100)</f>
        <v/>
      </c>
      <c r="AR215" s="68" t="n">
        <v>31</v>
      </c>
      <c r="AS215" s="68" t="n">
        <v>17</v>
      </c>
      <c r="AT215" s="69">
        <f>IF(OR(AS215="",AR215="",AR215=0,AS215=0),"",AS215-AR215)</f>
        <v/>
      </c>
      <c r="AU215" s="42">
        <f>IF(OR(AS215="",AR215="",AR215=0,AS215=0),"",AS215/AR215-1)</f>
        <v/>
      </c>
      <c r="AV215" s="43">
        <f>IF(OR(AR215="",AK215="",AK215=0),"",AR215/AK215)</f>
        <v/>
      </c>
      <c r="AW215" s="43">
        <f>IF(OR(AS215="",AL215="",AL215=0),"",AS215/AL215)</f>
        <v/>
      </c>
      <c r="AX215" s="44">
        <f>IF(OR(AW215="",AV215=""),"",(AW215-AV215)*100)</f>
        <v/>
      </c>
      <c r="AY215" s="45">
        <f>IF(OR(AR215="",P215="",P215=0),"",AR215/P215)</f>
        <v/>
      </c>
      <c r="AZ215" s="45">
        <f>IF(OR(AS215="",Q215="",Q215=0),"",AS215/Q215)</f>
        <v/>
      </c>
      <c r="BA215" s="44">
        <f>IF(OR(AZ215="",AY215=""),"",(AZ215-AY215)*100)</f>
        <v/>
      </c>
      <c r="BB215" s="45">
        <f>IF(OR(AR215="",E215="",E215=0),"",AR215/E215)</f>
        <v/>
      </c>
      <c r="BC215" s="45">
        <f>IF(OR(AS215="",F215="",F215=0),"",AS215/F215)</f>
        <v/>
      </c>
      <c r="BD215" s="44">
        <f>IF(OR(BC215="",BB215=""),"",(BC215-BB215)*100)</f>
        <v/>
      </c>
      <c r="BE215" s="40">
        <f>IF(AND(F215&lt;&gt;"",E215&lt;&gt;""),"Both years",IF(F215&lt;&gt;"","1-23Aug26 rows only","1-23Aug25 rows only"))</f>
        <v/>
      </c>
    </row>
    <row r="216">
      <c r="A216" s="40" t="inlineStr">
        <is>
          <t>Home page</t>
        </is>
      </c>
      <c r="B216" s="40" t="inlineStr">
        <is>
          <t>Direct</t>
        </is>
      </c>
      <c r="C216" s="40" t="inlineStr">
        <is>
          <t>Desktop</t>
        </is>
      </c>
      <c r="D216" s="40" t="inlineStr">
        <is>
          <t>Canada</t>
        </is>
      </c>
      <c r="E216" s="68" t="n">
        <v>268</v>
      </c>
      <c r="F216" s="70" t="n"/>
      <c r="G216" s="69">
        <f>IF(OR(F216="",E216="",E216=0,F216=0),"",F216-E216)</f>
        <v/>
      </c>
      <c r="H216" s="42">
        <f>IF(OR(F216="",E216="",E216=0,F216=0),"",F216/E216-1)</f>
        <v/>
      </c>
      <c r="I216" s="70" t="n"/>
      <c r="J216" s="70" t="n"/>
      <c r="K216" s="69">
        <f>IF(OR(J216="",I216="",I216=0,J216=0),"",J216-I216)</f>
        <v/>
      </c>
      <c r="L216" s="42">
        <f>IF(OR(J216="",I216="",I216=0,J216=0),"",J216/I216-1)</f>
        <v/>
      </c>
      <c r="M216" s="43">
        <f>IF(OR(I216="",E216="",E216=0),"",I216/E216)</f>
        <v/>
      </c>
      <c r="N216" s="43">
        <f>IF(OR(J216="",F216="",F216=0),"",J216/F216)</f>
        <v/>
      </c>
      <c r="O216" s="44">
        <f>IF(OR(N216="",M216=""),"",(N216-M216)*100)</f>
        <v/>
      </c>
      <c r="P216" s="68" t="n">
        <v>128</v>
      </c>
      <c r="Q216" s="70" t="n"/>
      <c r="R216" s="69">
        <f>IF(OR(Q216="",P216="",P216=0,Q216=0),"",Q216-P216)</f>
        <v/>
      </c>
      <c r="S216" s="42">
        <f>IF(OR(Q216="",P216="",P216=0,Q216=0),"",Q216/P216-1)</f>
        <v/>
      </c>
      <c r="T216" s="43">
        <f>IF(OR(P216="",E216="",E216=0),"",P216/E216)</f>
        <v/>
      </c>
      <c r="U216" s="43">
        <f>IF(OR(Q216="",F216="",F216=0),"",Q216/F216)</f>
        <v/>
      </c>
      <c r="V216" s="44">
        <f>IF(OR(U216="",T216=""),"",(U216-T216)*100)</f>
        <v/>
      </c>
      <c r="W216" s="70" t="n"/>
      <c r="X216" s="70" t="n"/>
      <c r="Y216" s="69">
        <f>IF(OR(X216="",W216="",W216=0,X216=0),"",X216-W216)</f>
        <v/>
      </c>
      <c r="Z216" s="42">
        <f>IF(OR(X216="",W216="",W216=0,X216=0),"",X216/W216-1)</f>
        <v/>
      </c>
      <c r="AA216" s="43">
        <f>IF(OR(W216="",P216="",P216=0),"",W216/P216)</f>
        <v/>
      </c>
      <c r="AB216" s="43">
        <f>IF(OR(X216="",Q216="",Q216=0),"",X216/Q216)</f>
        <v/>
      </c>
      <c r="AC216" s="44">
        <f>IF(OR(AB216="",AA216=""),"",(AB216-AA216)*100)</f>
        <v/>
      </c>
      <c r="AD216" s="70" t="n"/>
      <c r="AE216" s="70" t="n"/>
      <c r="AF216" s="69">
        <f>IF(OR(AE216="",AD216="",AD216=0,AE216=0),"",AE216-AD216)</f>
        <v/>
      </c>
      <c r="AG216" s="42">
        <f>IF(OR(AE216="",AD216="",AD216=0,AE216=0),"",AE216/AD216-1)</f>
        <v/>
      </c>
      <c r="AH216" s="43">
        <f>IF(OR(AD216="",W216="",W216=0),"",AD216/W216)</f>
        <v/>
      </c>
      <c r="AI216" s="43">
        <f>IF(OR(AE216="",X216="",X216=0),"",AE216/X216)</f>
        <v/>
      </c>
      <c r="AJ216" s="44">
        <f>IF(OR(AI216="",AH216=""),"",(AI216-AH216)*100)</f>
        <v/>
      </c>
      <c r="AK216" s="70" t="n"/>
      <c r="AL216" s="70" t="n"/>
      <c r="AM216" s="69">
        <f>IF(OR(AL216="",AK216="",AK216=0,AL216=0),"",AL216-AK216)</f>
        <v/>
      </c>
      <c r="AN216" s="42">
        <f>IF(OR(AL216="",AK216="",AK216=0,AL216=0),"",AL216/AK216-1)</f>
        <v/>
      </c>
      <c r="AO216" s="43">
        <f>IF(OR(AK216="",AD216="",AD216=0),"",AK216/AD216)</f>
        <v/>
      </c>
      <c r="AP216" s="43">
        <f>IF(OR(AL216="",AE216="",AE216=0),"",AL216/AE216)</f>
        <v/>
      </c>
      <c r="AQ216" s="44">
        <f>IF(OR(AP216="",AO216=""),"",(AP216-AO216)*100)</f>
        <v/>
      </c>
      <c r="AR216" s="70" t="n"/>
      <c r="AS216" s="70" t="n"/>
      <c r="AT216" s="69">
        <f>IF(OR(AS216="",AR216="",AR216=0,AS216=0),"",AS216-AR216)</f>
        <v/>
      </c>
      <c r="AU216" s="42">
        <f>IF(OR(AS216="",AR216="",AR216=0,AS216=0),"",AS216/AR216-1)</f>
        <v/>
      </c>
      <c r="AV216" s="43">
        <f>IF(OR(AR216="",AK216="",AK216=0),"",AR216/AK216)</f>
        <v/>
      </c>
      <c r="AW216" s="43">
        <f>IF(OR(AS216="",AL216="",AL216=0),"",AS216/AL216)</f>
        <v/>
      </c>
      <c r="AX216" s="44">
        <f>IF(OR(AW216="",AV216=""),"",(AW216-AV216)*100)</f>
        <v/>
      </c>
      <c r="AY216" s="45">
        <f>IF(OR(AR216="",P216="",P216=0),"",AR216/P216)</f>
        <v/>
      </c>
      <c r="AZ216" s="45">
        <f>IF(OR(AS216="",Q216="",Q216=0),"",AS216/Q216)</f>
        <v/>
      </c>
      <c r="BA216" s="44">
        <f>IF(OR(AZ216="",AY216=""),"",(AZ216-AY216)*100)</f>
        <v/>
      </c>
      <c r="BB216" s="45">
        <f>IF(OR(AR216="",E216="",E216=0),"",AR216/E216)</f>
        <v/>
      </c>
      <c r="BC216" s="45">
        <f>IF(OR(AS216="",F216="",F216=0),"",AS216/F216)</f>
        <v/>
      </c>
      <c r="BD216" s="44">
        <f>IF(OR(BC216="",BB216=""),"",(BC216-BB216)*100)</f>
        <v/>
      </c>
      <c r="BE216" s="40">
        <f>IF(AND(F216&lt;&gt;"",E216&lt;&gt;""),"Both years",IF(F216&lt;&gt;"","1-23Aug26 rows only","1-23Aug25 rows only"))</f>
        <v/>
      </c>
    </row>
    <row r="217">
      <c r="A217" s="56" t="inlineStr">
        <is>
          <t>Home page</t>
        </is>
      </c>
      <c r="B217" s="56" t="inlineStr">
        <is>
          <t>Direct</t>
        </is>
      </c>
      <c r="C217" s="56" t="inlineStr">
        <is>
          <t>Desktop</t>
        </is>
      </c>
      <c r="D217" s="56" t="inlineStr">
        <is>
          <t>Philippines</t>
        </is>
      </c>
      <c r="E217" s="68" t="n">
        <v>177</v>
      </c>
      <c r="F217" s="70" t="n"/>
      <c r="G217" s="69">
        <f>IF(OR(F217="",E217="",E217=0,F217=0),"",F217-E217)</f>
        <v/>
      </c>
      <c r="H217" s="42">
        <f>IF(OR(F217="",E217="",E217=0,F217=0),"",F217/E217-1)</f>
        <v/>
      </c>
      <c r="I217" s="70" t="n"/>
      <c r="J217" s="70" t="n"/>
      <c r="K217" s="69">
        <f>IF(OR(J217="",I217="",I217=0,J217=0),"",J217-I217)</f>
        <v/>
      </c>
      <c r="L217" s="42">
        <f>IF(OR(J217="",I217="",I217=0,J217=0),"",J217/I217-1)</f>
        <v/>
      </c>
      <c r="M217" s="43">
        <f>IF(OR(I217="",E217="",E217=0),"",I217/E217)</f>
        <v/>
      </c>
      <c r="N217" s="43">
        <f>IF(OR(J217="",F217="",F217=0),"",J217/F217)</f>
        <v/>
      </c>
      <c r="O217" s="44">
        <f>IF(OR(N217="",M217=""),"",(N217-M217)*100)</f>
        <v/>
      </c>
      <c r="P217" s="68" t="n">
        <v>149</v>
      </c>
      <c r="Q217" s="68" t="n">
        <v>103</v>
      </c>
      <c r="R217" s="69">
        <f>IF(OR(Q217="",P217="",P217=0,Q217=0),"",Q217-P217)</f>
        <v/>
      </c>
      <c r="S217" s="42">
        <f>IF(OR(Q217="",P217="",P217=0,Q217=0),"",Q217/P217-1)</f>
        <v/>
      </c>
      <c r="T217" s="43">
        <f>IF(OR(P217="",E217="",E217=0),"",P217/E217)</f>
        <v/>
      </c>
      <c r="U217" s="43">
        <f>IF(OR(Q217="",F217="",F217=0),"",Q217/F217)</f>
        <v/>
      </c>
      <c r="V217" s="44">
        <f>IF(OR(U217="",T217=""),"",(U217-T217)*100)</f>
        <v/>
      </c>
      <c r="W217" s="70" t="n"/>
      <c r="X217" s="70" t="n"/>
      <c r="Y217" s="69">
        <f>IF(OR(X217="",W217="",W217=0,X217=0),"",X217-W217)</f>
        <v/>
      </c>
      <c r="Z217" s="42">
        <f>IF(OR(X217="",W217="",W217=0,X217=0),"",X217/W217-1)</f>
        <v/>
      </c>
      <c r="AA217" s="43">
        <f>IF(OR(W217="",P217="",P217=0),"",W217/P217)</f>
        <v/>
      </c>
      <c r="AB217" s="43">
        <f>IF(OR(X217="",Q217="",Q217=0),"",X217/Q217)</f>
        <v/>
      </c>
      <c r="AC217" s="44">
        <f>IF(OR(AB217="",AA217=""),"",(AB217-AA217)*100)</f>
        <v/>
      </c>
      <c r="AD217" s="70" t="n"/>
      <c r="AE217" s="70" t="n"/>
      <c r="AF217" s="69">
        <f>IF(OR(AE217="",AD217="",AD217=0,AE217=0),"",AE217-AD217)</f>
        <v/>
      </c>
      <c r="AG217" s="42">
        <f>IF(OR(AE217="",AD217="",AD217=0,AE217=0),"",AE217/AD217-1)</f>
        <v/>
      </c>
      <c r="AH217" s="43">
        <f>IF(OR(AD217="",W217="",W217=0),"",AD217/W217)</f>
        <v/>
      </c>
      <c r="AI217" s="43">
        <f>IF(OR(AE217="",X217="",X217=0),"",AE217/X217)</f>
        <v/>
      </c>
      <c r="AJ217" s="44">
        <f>IF(OR(AI217="",AH217=""),"",(AI217-AH217)*100)</f>
        <v/>
      </c>
      <c r="AK217" s="70" t="n"/>
      <c r="AL217" s="70" t="n"/>
      <c r="AM217" s="69">
        <f>IF(OR(AL217="",AK217="",AK217=0,AL217=0),"",AL217-AK217)</f>
        <v/>
      </c>
      <c r="AN217" s="42">
        <f>IF(OR(AL217="",AK217="",AK217=0,AL217=0),"",AL217/AK217-1)</f>
        <v/>
      </c>
      <c r="AO217" s="43">
        <f>IF(OR(AK217="",AD217="",AD217=0),"",AK217/AD217)</f>
        <v/>
      </c>
      <c r="AP217" s="43">
        <f>IF(OR(AL217="",AE217="",AE217=0),"",AL217/AE217)</f>
        <v/>
      </c>
      <c r="AQ217" s="44">
        <f>IF(OR(AP217="",AO217=""),"",(AP217-AO217)*100)</f>
        <v/>
      </c>
      <c r="AR217" s="70" t="n"/>
      <c r="AS217" s="70" t="n"/>
      <c r="AT217" s="69">
        <f>IF(OR(AS217="",AR217="",AR217=0,AS217=0),"",AS217-AR217)</f>
        <v/>
      </c>
      <c r="AU217" s="42">
        <f>IF(OR(AS217="",AR217="",AR217=0,AS217=0),"",AS217/AR217-1)</f>
        <v/>
      </c>
      <c r="AV217" s="43">
        <f>IF(OR(AR217="",AK217="",AK217=0),"",AR217/AK217)</f>
        <v/>
      </c>
      <c r="AW217" s="43">
        <f>IF(OR(AS217="",AL217="",AL217=0),"",AS217/AL217)</f>
        <v/>
      </c>
      <c r="AX217" s="44">
        <f>IF(OR(AW217="",AV217=""),"",(AW217-AV217)*100)</f>
        <v/>
      </c>
      <c r="AY217" s="45">
        <f>IF(OR(AR217="",P217="",P217=0),"",AR217/P217)</f>
        <v/>
      </c>
      <c r="AZ217" s="45">
        <f>IF(OR(AS217="",Q217="",Q217=0),"",AS217/Q217)</f>
        <v/>
      </c>
      <c r="BA217" s="44">
        <f>IF(OR(AZ217="",AY217=""),"",(AZ217-AY217)*100)</f>
        <v/>
      </c>
      <c r="BB217" s="45">
        <f>IF(OR(AR217="",E217="",E217=0),"",AR217/E217)</f>
        <v/>
      </c>
      <c r="BC217" s="45">
        <f>IF(OR(AS217="",F217="",F217=0),"",AS217/F217)</f>
        <v/>
      </c>
      <c r="BD217" s="44">
        <f>IF(OR(BC217="",BB217=""),"",(BC217-BB217)*100)</f>
        <v/>
      </c>
      <c r="BE217" s="40">
        <f>IF(AND(F217&lt;&gt;"",E217&lt;&gt;""),"Both years",IF(F217&lt;&gt;"","1-23Aug26 rows only","1-23Aug25 rows only"))</f>
        <v/>
      </c>
    </row>
    <row r="218">
      <c r="A218" s="40" t="inlineStr">
        <is>
          <t>Home page</t>
        </is>
      </c>
      <c r="B218" s="40" t="inlineStr">
        <is>
          <t>Direct</t>
        </is>
      </c>
      <c r="C218" s="40" t="inlineStr">
        <is>
          <t>Desktop</t>
        </is>
      </c>
      <c r="D218" s="40" t="inlineStr">
        <is>
          <t>Norway</t>
        </is>
      </c>
      <c r="E218" s="70" t="n"/>
      <c r="F218" s="70" t="n"/>
      <c r="G218" s="69">
        <f>IF(OR(F218="",E218="",E218=0,F218=0),"",F218-E218)</f>
        <v/>
      </c>
      <c r="H218" s="42">
        <f>IF(OR(F218="",E218="",E218=0,F218=0),"",F218/E218-1)</f>
        <v/>
      </c>
      <c r="I218" s="68" t="n">
        <v>69</v>
      </c>
      <c r="J218" s="68" t="n">
        <v>48</v>
      </c>
      <c r="K218" s="69">
        <f>IF(OR(J218="",I218="",I218=0,J218=0),"",J218-I218)</f>
        <v/>
      </c>
      <c r="L218" s="42">
        <f>IF(OR(J218="",I218="",I218=0,J218=0),"",J218/I218-1)</f>
        <v/>
      </c>
      <c r="M218" s="43">
        <f>IF(OR(I218="",E218="",E218=0),"",I218/E218)</f>
        <v/>
      </c>
      <c r="N218" s="43">
        <f>IF(OR(J218="",F218="",F218=0),"",J218/F218)</f>
        <v/>
      </c>
      <c r="O218" s="44">
        <f>IF(OR(N218="",M218=""),"",(N218-M218)*100)</f>
        <v/>
      </c>
      <c r="P218" s="70" t="n"/>
      <c r="Q218" s="70" t="n"/>
      <c r="R218" s="69">
        <f>IF(OR(Q218="",P218="",P218=0,Q218=0),"",Q218-P218)</f>
        <v/>
      </c>
      <c r="S218" s="42">
        <f>IF(OR(Q218="",P218="",P218=0,Q218=0),"",Q218/P218-1)</f>
        <v/>
      </c>
      <c r="T218" s="43">
        <f>IF(OR(P218="",E218="",E218=0),"",P218/E218)</f>
        <v/>
      </c>
      <c r="U218" s="43">
        <f>IF(OR(Q218="",F218="",F218=0),"",Q218/F218)</f>
        <v/>
      </c>
      <c r="V218" s="44">
        <f>IF(OR(U218="",T218=""),"",(U218-T218)*100)</f>
        <v/>
      </c>
      <c r="W218" s="68" t="n">
        <v>30</v>
      </c>
      <c r="X218" s="68" t="n">
        <v>24</v>
      </c>
      <c r="Y218" s="69">
        <f>IF(OR(X218="",W218="",W218=0,X218=0),"",X218-W218)</f>
        <v/>
      </c>
      <c r="Z218" s="42">
        <f>IF(OR(X218="",W218="",W218=0,X218=0),"",X218/W218-1)</f>
        <v/>
      </c>
      <c r="AA218" s="43">
        <f>IF(OR(W218="",P218="",P218=0),"",W218/P218)</f>
        <v/>
      </c>
      <c r="AB218" s="43">
        <f>IF(OR(X218="",Q218="",Q218=0),"",X218/Q218)</f>
        <v/>
      </c>
      <c r="AC218" s="44">
        <f>IF(OR(AB218="",AA218=""),"",(AB218-AA218)*100)</f>
        <v/>
      </c>
      <c r="AD218" s="68" t="n">
        <v>25</v>
      </c>
      <c r="AE218" s="68" t="n">
        <v>21</v>
      </c>
      <c r="AF218" s="69">
        <f>IF(OR(AE218="",AD218="",AD218=0,AE218=0),"",AE218-AD218)</f>
        <v/>
      </c>
      <c r="AG218" s="42">
        <f>IF(OR(AE218="",AD218="",AD218=0,AE218=0),"",AE218/AD218-1)</f>
        <v/>
      </c>
      <c r="AH218" s="43">
        <f>IF(OR(AD218="",W218="",W218=0),"",AD218/W218)</f>
        <v/>
      </c>
      <c r="AI218" s="43">
        <f>IF(OR(AE218="",X218="",X218=0),"",AE218/X218)</f>
        <v/>
      </c>
      <c r="AJ218" s="44">
        <f>IF(OR(AI218="",AH218=""),"",(AI218-AH218)*100)</f>
        <v/>
      </c>
      <c r="AK218" s="68" t="n">
        <v>15</v>
      </c>
      <c r="AL218" s="68" t="n">
        <v>14</v>
      </c>
      <c r="AM218" s="69">
        <f>IF(OR(AL218="",AK218="",AK218=0,AL218=0),"",AL218-AK218)</f>
        <v/>
      </c>
      <c r="AN218" s="42">
        <f>IF(OR(AL218="",AK218="",AK218=0,AL218=0),"",AL218/AK218-1)</f>
        <v/>
      </c>
      <c r="AO218" s="43">
        <f>IF(OR(AK218="",AD218="",AD218=0),"",AK218/AD218)</f>
        <v/>
      </c>
      <c r="AP218" s="43">
        <f>IF(OR(AL218="",AE218="",AE218=0),"",AL218/AE218)</f>
        <v/>
      </c>
      <c r="AQ218" s="44">
        <f>IF(OR(AP218="",AO218=""),"",(AP218-AO218)*100)</f>
        <v/>
      </c>
      <c r="AR218" s="68" t="n">
        <v>11</v>
      </c>
      <c r="AS218" s="68" t="n">
        <v>13</v>
      </c>
      <c r="AT218" s="69">
        <f>IF(OR(AS218="",AR218="",AR218=0,AS218=0),"",AS218-AR218)</f>
        <v/>
      </c>
      <c r="AU218" s="42">
        <f>IF(OR(AS218="",AR218="",AR218=0,AS218=0),"",AS218/AR218-1)</f>
        <v/>
      </c>
      <c r="AV218" s="43">
        <f>IF(OR(AR218="",AK218="",AK218=0),"",AR218/AK218)</f>
        <v/>
      </c>
      <c r="AW218" s="43">
        <f>IF(OR(AS218="",AL218="",AL218=0),"",AS218/AL218)</f>
        <v/>
      </c>
      <c r="AX218" s="44">
        <f>IF(OR(AW218="",AV218=""),"",(AW218-AV218)*100)</f>
        <v/>
      </c>
      <c r="AY218" s="45">
        <f>IF(OR(AR218="",P218="",P218=0),"",AR218/P218)</f>
        <v/>
      </c>
      <c r="AZ218" s="45">
        <f>IF(OR(AS218="",Q218="",Q218=0),"",AS218/Q218)</f>
        <v/>
      </c>
      <c r="BA218" s="44">
        <f>IF(OR(AZ218="",AY218=""),"",(AZ218-AY218)*100)</f>
        <v/>
      </c>
      <c r="BB218" s="45">
        <f>IF(OR(AR218="",E218="",E218=0),"",AR218/E218)</f>
        <v/>
      </c>
      <c r="BC218" s="45">
        <f>IF(OR(AS218="",F218="",F218=0),"",AS218/F218)</f>
        <v/>
      </c>
      <c r="BD218" s="44">
        <f>IF(OR(BC218="",BB218=""),"",(BC218-BB218)*100)</f>
        <v/>
      </c>
      <c r="BE218" s="40">
        <f>IF(AND(F218&lt;&gt;"",E218&lt;&gt;""),"Both years",IF(F218&lt;&gt;"","1-23Aug26 rows only","1-23Aug25 rows only"))</f>
        <v/>
      </c>
    </row>
    <row r="219">
      <c r="A219" s="56" t="inlineStr">
        <is>
          <t>Home page</t>
        </is>
      </c>
      <c r="B219" s="56" t="inlineStr">
        <is>
          <t>Direct</t>
        </is>
      </c>
      <c r="C219" s="56" t="inlineStr">
        <is>
          <t>Desktop</t>
        </is>
      </c>
      <c r="D219" s="56" t="inlineStr">
        <is>
          <t>Finland</t>
        </is>
      </c>
      <c r="E219" s="70" t="n"/>
      <c r="F219" s="70" t="n"/>
      <c r="G219" s="69">
        <f>IF(OR(F219="",E219="",E219=0,F219=0),"",F219-E219)</f>
        <v/>
      </c>
      <c r="H219" s="42">
        <f>IF(OR(F219="",E219="",E219=0,F219=0),"",F219/E219-1)</f>
        <v/>
      </c>
      <c r="I219" s="68" t="n">
        <v>17</v>
      </c>
      <c r="J219" s="68" t="n">
        <v>27</v>
      </c>
      <c r="K219" s="69">
        <f>IF(OR(J219="",I219="",I219=0,J219=0),"",J219-I219)</f>
        <v/>
      </c>
      <c r="L219" s="42">
        <f>IF(OR(J219="",I219="",I219=0,J219=0),"",J219/I219-1)</f>
        <v/>
      </c>
      <c r="M219" s="43">
        <f>IF(OR(I219="",E219="",E219=0),"",I219/E219)</f>
        <v/>
      </c>
      <c r="N219" s="43">
        <f>IF(OR(J219="",F219="",F219=0),"",J219/F219)</f>
        <v/>
      </c>
      <c r="O219" s="44">
        <f>IF(OR(N219="",M219=""),"",(N219-M219)*100)</f>
        <v/>
      </c>
      <c r="P219" s="70" t="n"/>
      <c r="Q219" s="70" t="n"/>
      <c r="R219" s="69">
        <f>IF(OR(Q219="",P219="",P219=0,Q219=0),"",Q219-P219)</f>
        <v/>
      </c>
      <c r="S219" s="42">
        <f>IF(OR(Q219="",P219="",P219=0,Q219=0),"",Q219/P219-1)</f>
        <v/>
      </c>
      <c r="T219" s="43">
        <f>IF(OR(P219="",E219="",E219=0),"",P219/E219)</f>
        <v/>
      </c>
      <c r="U219" s="43">
        <f>IF(OR(Q219="",F219="",F219=0),"",Q219/F219)</f>
        <v/>
      </c>
      <c r="V219" s="44">
        <f>IF(OR(U219="",T219=""),"",(U219-T219)*100)</f>
        <v/>
      </c>
      <c r="W219" s="68" t="n">
        <v>6</v>
      </c>
      <c r="X219" s="68" t="n">
        <v>12</v>
      </c>
      <c r="Y219" s="69">
        <f>IF(OR(X219="",W219="",W219=0,X219=0),"",X219-W219)</f>
        <v/>
      </c>
      <c r="Z219" s="42">
        <f>IF(OR(X219="",W219="",W219=0,X219=0),"",X219/W219-1)</f>
        <v/>
      </c>
      <c r="AA219" s="43">
        <f>IF(OR(W219="",P219="",P219=0),"",W219/P219)</f>
        <v/>
      </c>
      <c r="AB219" s="43">
        <f>IF(OR(X219="",Q219="",Q219=0),"",X219/Q219)</f>
        <v/>
      </c>
      <c r="AC219" s="44">
        <f>IF(OR(AB219="",AA219=""),"",(AB219-AA219)*100)</f>
        <v/>
      </c>
      <c r="AD219" s="68" t="n">
        <v>6</v>
      </c>
      <c r="AE219" s="68" t="n">
        <v>12</v>
      </c>
      <c r="AF219" s="69">
        <f>IF(OR(AE219="",AD219="",AD219=0,AE219=0),"",AE219-AD219)</f>
        <v/>
      </c>
      <c r="AG219" s="42">
        <f>IF(OR(AE219="",AD219="",AD219=0,AE219=0),"",AE219/AD219-1)</f>
        <v/>
      </c>
      <c r="AH219" s="43">
        <f>IF(OR(AD219="",W219="",W219=0),"",AD219/W219)</f>
        <v/>
      </c>
      <c r="AI219" s="43">
        <f>IF(OR(AE219="",X219="",X219=0),"",AE219/X219)</f>
        <v/>
      </c>
      <c r="AJ219" s="44">
        <f>IF(OR(AI219="",AH219=""),"",(AI219-AH219)*100)</f>
        <v/>
      </c>
      <c r="AK219" s="68" t="n">
        <v>3</v>
      </c>
      <c r="AL219" s="68" t="n">
        <v>8</v>
      </c>
      <c r="AM219" s="69">
        <f>IF(OR(AL219="",AK219="",AK219=0,AL219=0),"",AL219-AK219)</f>
        <v/>
      </c>
      <c r="AN219" s="42">
        <f>IF(OR(AL219="",AK219="",AK219=0,AL219=0),"",AL219/AK219-1)</f>
        <v/>
      </c>
      <c r="AO219" s="43">
        <f>IF(OR(AK219="",AD219="",AD219=0),"",AK219/AD219)</f>
        <v/>
      </c>
      <c r="AP219" s="43">
        <f>IF(OR(AL219="",AE219="",AE219=0),"",AL219/AE219)</f>
        <v/>
      </c>
      <c r="AQ219" s="44">
        <f>IF(OR(AP219="",AO219=""),"",(AP219-AO219)*100)</f>
        <v/>
      </c>
      <c r="AR219" s="68" t="n">
        <v>4</v>
      </c>
      <c r="AS219" s="68" t="n">
        <v>9</v>
      </c>
      <c r="AT219" s="69">
        <f>IF(OR(AS219="",AR219="",AR219=0,AS219=0),"",AS219-AR219)</f>
        <v/>
      </c>
      <c r="AU219" s="42">
        <f>IF(OR(AS219="",AR219="",AR219=0,AS219=0),"",AS219/AR219-1)</f>
        <v/>
      </c>
      <c r="AV219" s="43">
        <f>IF(OR(AR219="",AK219="",AK219=0),"",AR219/AK219)</f>
        <v/>
      </c>
      <c r="AW219" s="43">
        <f>IF(OR(AS219="",AL219="",AL219=0),"",AS219/AL219)</f>
        <v/>
      </c>
      <c r="AX219" s="44">
        <f>IF(OR(AW219="",AV219=""),"",(AW219-AV219)*100)</f>
        <v/>
      </c>
      <c r="AY219" s="45">
        <f>IF(OR(AR219="",P219="",P219=0),"",AR219/P219)</f>
        <v/>
      </c>
      <c r="AZ219" s="45">
        <f>IF(OR(AS219="",Q219="",Q219=0),"",AS219/Q219)</f>
        <v/>
      </c>
      <c r="BA219" s="44">
        <f>IF(OR(AZ219="",AY219=""),"",(AZ219-AY219)*100)</f>
        <v/>
      </c>
      <c r="BB219" s="45">
        <f>IF(OR(AR219="",E219="",E219=0),"",AR219/E219)</f>
        <v/>
      </c>
      <c r="BC219" s="45">
        <f>IF(OR(AS219="",F219="",F219=0),"",AS219/F219)</f>
        <v/>
      </c>
      <c r="BD219" s="44">
        <f>IF(OR(BC219="",BB219=""),"",(BC219-BB219)*100)</f>
        <v/>
      </c>
      <c r="BE219" s="40">
        <f>IF(AND(F219&lt;&gt;"",E219&lt;&gt;""),"Both years",IF(F219&lt;&gt;"","1-23Aug26 rows only","1-23Aug25 rows only"))</f>
        <v/>
      </c>
    </row>
    <row r="220">
      <c r="A220" s="40" t="inlineStr">
        <is>
          <t>Home page</t>
        </is>
      </c>
      <c r="B220" s="40" t="inlineStr">
        <is>
          <t>Direct</t>
        </is>
      </c>
      <c r="C220" s="40" t="inlineStr">
        <is>
          <t>Desktop</t>
        </is>
      </c>
      <c r="D220" s="40" t="inlineStr">
        <is>
          <t>Switzerland</t>
        </is>
      </c>
      <c r="E220" s="70" t="n"/>
      <c r="F220" s="70" t="n"/>
      <c r="G220" s="69">
        <f>IF(OR(F220="",E220="",E220=0,F220=0),"",F220-E220)</f>
        <v/>
      </c>
      <c r="H220" s="42">
        <f>IF(OR(F220="",E220="",E220=0,F220=0),"",F220/E220-1)</f>
        <v/>
      </c>
      <c r="I220" s="70" t="n"/>
      <c r="J220" s="70" t="n"/>
      <c r="K220" s="69">
        <f>IF(OR(J220="",I220="",I220=0,J220=0),"",J220-I220)</f>
        <v/>
      </c>
      <c r="L220" s="42">
        <f>IF(OR(J220="",I220="",I220=0,J220=0),"",J220/I220-1)</f>
        <v/>
      </c>
      <c r="M220" s="43">
        <f>IF(OR(I220="",E220="",E220=0),"",I220/E220)</f>
        <v/>
      </c>
      <c r="N220" s="43">
        <f>IF(OR(J220="",F220="",F220=0),"",J220/F220)</f>
        <v/>
      </c>
      <c r="O220" s="44">
        <f>IF(OR(N220="",M220=""),"",(N220-M220)*100)</f>
        <v/>
      </c>
      <c r="P220" s="68" t="n">
        <v>75</v>
      </c>
      <c r="Q220" s="70" t="n"/>
      <c r="R220" s="69">
        <f>IF(OR(Q220="",P220="",P220=0,Q220=0),"",Q220-P220)</f>
        <v/>
      </c>
      <c r="S220" s="42">
        <f>IF(OR(Q220="",P220="",P220=0,Q220=0),"",Q220/P220-1)</f>
        <v/>
      </c>
      <c r="T220" s="43">
        <f>IF(OR(P220="",E220="",E220=0),"",P220/E220)</f>
        <v/>
      </c>
      <c r="U220" s="43">
        <f>IF(OR(Q220="",F220="",F220=0),"",Q220/F220)</f>
        <v/>
      </c>
      <c r="V220" s="44">
        <f>IF(OR(U220="",T220=""),"",(U220-T220)*100)</f>
        <v/>
      </c>
      <c r="W220" s="70" t="n"/>
      <c r="X220" s="70" t="n"/>
      <c r="Y220" s="69">
        <f>IF(OR(X220="",W220="",W220=0,X220=0),"",X220-W220)</f>
        <v/>
      </c>
      <c r="Z220" s="42">
        <f>IF(OR(X220="",W220="",W220=0,X220=0),"",X220/W220-1)</f>
        <v/>
      </c>
      <c r="AA220" s="43">
        <f>IF(OR(W220="",P220="",P220=0),"",W220/P220)</f>
        <v/>
      </c>
      <c r="AB220" s="43">
        <f>IF(OR(X220="",Q220="",Q220=0),"",X220/Q220)</f>
        <v/>
      </c>
      <c r="AC220" s="44">
        <f>IF(OR(AB220="",AA220=""),"",(AB220-AA220)*100)</f>
        <v/>
      </c>
      <c r="AD220" s="70" t="n"/>
      <c r="AE220" s="70" t="n"/>
      <c r="AF220" s="69">
        <f>IF(OR(AE220="",AD220="",AD220=0,AE220=0),"",AE220-AD220)</f>
        <v/>
      </c>
      <c r="AG220" s="42">
        <f>IF(OR(AE220="",AD220="",AD220=0,AE220=0),"",AE220/AD220-1)</f>
        <v/>
      </c>
      <c r="AH220" s="43">
        <f>IF(OR(AD220="",W220="",W220=0),"",AD220/W220)</f>
        <v/>
      </c>
      <c r="AI220" s="43">
        <f>IF(OR(AE220="",X220="",X220=0),"",AE220/X220)</f>
        <v/>
      </c>
      <c r="AJ220" s="44">
        <f>IF(OR(AI220="",AH220=""),"",(AI220-AH220)*100)</f>
        <v/>
      </c>
      <c r="AK220" s="70" t="n"/>
      <c r="AL220" s="70" t="n"/>
      <c r="AM220" s="69">
        <f>IF(OR(AL220="",AK220="",AK220=0,AL220=0),"",AL220-AK220)</f>
        <v/>
      </c>
      <c r="AN220" s="42">
        <f>IF(OR(AL220="",AK220="",AK220=0,AL220=0),"",AL220/AK220-1)</f>
        <v/>
      </c>
      <c r="AO220" s="43">
        <f>IF(OR(AK220="",AD220="",AD220=0),"",AK220/AD220)</f>
        <v/>
      </c>
      <c r="AP220" s="43">
        <f>IF(OR(AL220="",AE220="",AE220=0),"",AL220/AE220)</f>
        <v/>
      </c>
      <c r="AQ220" s="44">
        <f>IF(OR(AP220="",AO220=""),"",(AP220-AO220)*100)</f>
        <v/>
      </c>
      <c r="AR220" s="70" t="n"/>
      <c r="AS220" s="70" t="n"/>
      <c r="AT220" s="69">
        <f>IF(OR(AS220="",AR220="",AR220=0,AS220=0),"",AS220-AR220)</f>
        <v/>
      </c>
      <c r="AU220" s="42">
        <f>IF(OR(AS220="",AR220="",AR220=0,AS220=0),"",AS220/AR220-1)</f>
        <v/>
      </c>
      <c r="AV220" s="43">
        <f>IF(OR(AR220="",AK220="",AK220=0),"",AR220/AK220)</f>
        <v/>
      </c>
      <c r="AW220" s="43">
        <f>IF(OR(AS220="",AL220="",AL220=0),"",AS220/AL220)</f>
        <v/>
      </c>
      <c r="AX220" s="44">
        <f>IF(OR(AW220="",AV220=""),"",(AW220-AV220)*100)</f>
        <v/>
      </c>
      <c r="AY220" s="45">
        <f>IF(OR(AR220="",P220="",P220=0),"",AR220/P220)</f>
        <v/>
      </c>
      <c r="AZ220" s="45">
        <f>IF(OR(AS220="",Q220="",Q220=0),"",AS220/Q220)</f>
        <v/>
      </c>
      <c r="BA220" s="44">
        <f>IF(OR(AZ220="",AY220=""),"",(AZ220-AY220)*100)</f>
        <v/>
      </c>
      <c r="BB220" s="45">
        <f>IF(OR(AR220="",E220="",E220=0),"",AR220/E220)</f>
        <v/>
      </c>
      <c r="BC220" s="45">
        <f>IF(OR(AS220="",F220="",F220=0),"",AS220/F220)</f>
        <v/>
      </c>
      <c r="BD220" s="44">
        <f>IF(OR(BC220="",BB220=""),"",(BC220-BB220)*100)</f>
        <v/>
      </c>
      <c r="BE220" s="40">
        <f>IF(AND(F220&lt;&gt;"",E220&lt;&gt;""),"Both years",IF(F220&lt;&gt;"","1-23Aug26 rows only","1-23Aug25 rows only"))</f>
        <v/>
      </c>
    </row>
    <row r="221">
      <c r="A221" s="40" t="inlineStr">
        <is>
          <t>Airport page</t>
        </is>
      </c>
      <c r="B221" s="40" t="inlineStr">
        <is>
          <t>Paid Search</t>
        </is>
      </c>
      <c r="C221" s="40" t="inlineStr">
        <is>
          <t>Mobile</t>
        </is>
      </c>
      <c r="D221" s="40" t="inlineStr">
        <is>
          <t>United Kingdom</t>
        </is>
      </c>
      <c r="E221" s="68" t="n">
        <v>38587</v>
      </c>
      <c r="F221" s="68" t="n">
        <v>15341</v>
      </c>
      <c r="G221" s="69">
        <f>IF(OR(F221="",E221="",E221=0,F221=0),"",F221-E221)</f>
        <v/>
      </c>
      <c r="H221" s="42">
        <f>IF(OR(F221="",E221="",E221=0,F221=0),"",F221/E221-1)</f>
        <v/>
      </c>
      <c r="I221" s="68" t="n">
        <v>30385</v>
      </c>
      <c r="J221" s="68" t="n">
        <v>10984</v>
      </c>
      <c r="K221" s="69">
        <f>IF(OR(J221="",I221="",I221=0,J221=0),"",J221-I221)</f>
        <v/>
      </c>
      <c r="L221" s="42">
        <f>IF(OR(J221="",I221="",I221=0,J221=0),"",J221/I221-1)</f>
        <v/>
      </c>
      <c r="M221" s="43">
        <f>IF(OR(I221="",E221="",E221=0),"",I221/E221)</f>
        <v/>
      </c>
      <c r="N221" s="43">
        <f>IF(OR(J221="",F221="",F221=0),"",J221/F221)</f>
        <v/>
      </c>
      <c r="O221" s="44">
        <f>IF(OR(N221="",M221=""),"",(N221-M221)*100)</f>
        <v/>
      </c>
      <c r="P221" s="68" t="n">
        <v>26119</v>
      </c>
      <c r="Q221" s="68" t="n">
        <v>9923</v>
      </c>
      <c r="R221" s="69">
        <f>IF(OR(Q221="",P221="",P221=0,Q221=0),"",Q221-P221)</f>
        <v/>
      </c>
      <c r="S221" s="42">
        <f>IF(OR(Q221="",P221="",P221=0,Q221=0),"",Q221/P221-1)</f>
        <v/>
      </c>
      <c r="T221" s="43">
        <f>IF(OR(P221="",E221="",E221=0),"",P221/E221)</f>
        <v/>
      </c>
      <c r="U221" s="43">
        <f>IF(OR(Q221="",F221="",F221=0),"",Q221/F221)</f>
        <v/>
      </c>
      <c r="V221" s="44">
        <f>IF(OR(U221="",T221=""),"",(U221-T221)*100)</f>
        <v/>
      </c>
      <c r="W221" s="68" t="n">
        <v>5974</v>
      </c>
      <c r="X221" s="68" t="n">
        <v>2202</v>
      </c>
      <c r="Y221" s="69">
        <f>IF(OR(X221="",W221="",W221=0,X221=0),"",X221-W221)</f>
        <v/>
      </c>
      <c r="Z221" s="42">
        <f>IF(OR(X221="",W221="",W221=0,X221=0),"",X221/W221-1)</f>
        <v/>
      </c>
      <c r="AA221" s="43">
        <f>IF(OR(W221="",P221="",P221=0),"",W221/P221)</f>
        <v/>
      </c>
      <c r="AB221" s="43">
        <f>IF(OR(X221="",Q221="",Q221=0),"",X221/Q221)</f>
        <v/>
      </c>
      <c r="AC221" s="44">
        <f>IF(OR(AB221="",AA221=""),"",(AB221-AA221)*100)</f>
        <v/>
      </c>
      <c r="AD221" s="68" t="n">
        <v>4574</v>
      </c>
      <c r="AE221" s="68" t="n">
        <v>1544</v>
      </c>
      <c r="AF221" s="69">
        <f>IF(OR(AE221="",AD221="",AD221=0,AE221=0),"",AE221-AD221)</f>
        <v/>
      </c>
      <c r="AG221" s="42">
        <f>IF(OR(AE221="",AD221="",AD221=0,AE221=0),"",AE221/AD221-1)</f>
        <v/>
      </c>
      <c r="AH221" s="43">
        <f>IF(OR(AD221="",W221="",W221=0),"",AD221/W221)</f>
        <v/>
      </c>
      <c r="AI221" s="43">
        <f>IF(OR(AE221="",X221="",X221=0),"",AE221/X221)</f>
        <v/>
      </c>
      <c r="AJ221" s="44">
        <f>IF(OR(AI221="",AH221=""),"",(AI221-AH221)*100)</f>
        <v/>
      </c>
      <c r="AK221" s="68" t="n">
        <v>1763</v>
      </c>
      <c r="AL221" s="68" t="n">
        <v>593</v>
      </c>
      <c r="AM221" s="69">
        <f>IF(OR(AL221="",AK221="",AK221=0,AL221=0),"",AL221-AK221)</f>
        <v/>
      </c>
      <c r="AN221" s="42">
        <f>IF(OR(AL221="",AK221="",AK221=0,AL221=0),"",AL221/AK221-1)</f>
        <v/>
      </c>
      <c r="AO221" s="43">
        <f>IF(OR(AK221="",AD221="",AD221=0),"",AK221/AD221)</f>
        <v/>
      </c>
      <c r="AP221" s="43">
        <f>IF(OR(AL221="",AE221="",AE221=0),"",AL221/AE221)</f>
        <v/>
      </c>
      <c r="AQ221" s="44">
        <f>IF(OR(AP221="",AO221=""),"",(AP221-AO221)*100)</f>
        <v/>
      </c>
      <c r="AR221" s="68" t="n">
        <v>1320</v>
      </c>
      <c r="AS221" s="68" t="n">
        <v>476</v>
      </c>
      <c r="AT221" s="69">
        <f>IF(OR(AS221="",AR221="",AR221=0,AS221=0),"",AS221-AR221)</f>
        <v/>
      </c>
      <c r="AU221" s="42">
        <f>IF(OR(AS221="",AR221="",AR221=0,AS221=0),"",AS221/AR221-1)</f>
        <v/>
      </c>
      <c r="AV221" s="43">
        <f>IF(OR(AR221="",AK221="",AK221=0),"",AR221/AK221)</f>
        <v/>
      </c>
      <c r="AW221" s="43">
        <f>IF(OR(AS221="",AL221="",AL221=0),"",AS221/AL221)</f>
        <v/>
      </c>
      <c r="AX221" s="44">
        <f>IF(OR(AW221="",AV221=""),"",(AW221-AV221)*100)</f>
        <v/>
      </c>
      <c r="AY221" s="45">
        <f>IF(OR(AR221="",P221="",P221=0),"",AR221/P221)</f>
        <v/>
      </c>
      <c r="AZ221" s="45">
        <f>IF(OR(AS221="",Q221="",Q221=0),"",AS221/Q221)</f>
        <v/>
      </c>
      <c r="BA221" s="44">
        <f>IF(OR(AZ221="",AY221=""),"",(AZ221-AY221)*100)</f>
        <v/>
      </c>
      <c r="BB221" s="45">
        <f>IF(OR(AR221="",E221="",E221=0),"",AR221/E221)</f>
        <v/>
      </c>
      <c r="BC221" s="45">
        <f>IF(OR(AS221="",F221="",F221=0),"",AS221/F221)</f>
        <v/>
      </c>
      <c r="BD221" s="44">
        <f>IF(OR(BC221="",BB221=""),"",(BC221-BB221)*100)</f>
        <v/>
      </c>
      <c r="BE221" s="40">
        <f>IF(AND(F221&lt;&gt;"",E221&lt;&gt;""),"Both years",IF(F221&lt;&gt;"","1-23Aug26 rows only","1-23Aug25 rows only"))</f>
        <v/>
      </c>
    </row>
    <row r="222">
      <c r="A222" s="56" t="inlineStr">
        <is>
          <t>Airport page</t>
        </is>
      </c>
      <c r="B222" s="56" t="inlineStr">
        <is>
          <t>Paid Search</t>
        </is>
      </c>
      <c r="C222" s="56" t="inlineStr">
        <is>
          <t>Mobile</t>
        </is>
      </c>
      <c r="D222" s="56" t="inlineStr">
        <is>
          <t>Germany</t>
        </is>
      </c>
      <c r="E222" s="68" t="n">
        <v>26312</v>
      </c>
      <c r="F222" s="68" t="n">
        <v>11116</v>
      </c>
      <c r="G222" s="69">
        <f>IF(OR(F222="",E222="",E222=0,F222=0),"",F222-E222)</f>
        <v/>
      </c>
      <c r="H222" s="42">
        <f>IF(OR(F222="",E222="",E222=0,F222=0),"",F222/E222-1)</f>
        <v/>
      </c>
      <c r="I222" s="68" t="n">
        <v>19691</v>
      </c>
      <c r="J222" s="68" t="n">
        <v>8521</v>
      </c>
      <c r="K222" s="69">
        <f>IF(OR(J222="",I222="",I222=0,J222=0),"",J222-I222)</f>
        <v/>
      </c>
      <c r="L222" s="42">
        <f>IF(OR(J222="",I222="",I222=0,J222=0),"",J222/I222-1)</f>
        <v/>
      </c>
      <c r="M222" s="43">
        <f>IF(OR(I222="",E222="",E222=0),"",I222/E222)</f>
        <v/>
      </c>
      <c r="N222" s="43">
        <f>IF(OR(J222="",F222="",F222=0),"",J222/F222)</f>
        <v/>
      </c>
      <c r="O222" s="44">
        <f>IF(OR(N222="",M222=""),"",(N222-M222)*100)</f>
        <v/>
      </c>
      <c r="P222" s="68" t="n">
        <v>16907</v>
      </c>
      <c r="Q222" s="68" t="n">
        <v>7954</v>
      </c>
      <c r="R222" s="69">
        <f>IF(OR(Q222="",P222="",P222=0,Q222=0),"",Q222-P222)</f>
        <v/>
      </c>
      <c r="S222" s="42">
        <f>IF(OR(Q222="",P222="",P222=0,Q222=0),"",Q222/P222-1)</f>
        <v/>
      </c>
      <c r="T222" s="43">
        <f>IF(OR(P222="",E222="",E222=0),"",P222/E222)</f>
        <v/>
      </c>
      <c r="U222" s="43">
        <f>IF(OR(Q222="",F222="",F222=0),"",Q222/F222)</f>
        <v/>
      </c>
      <c r="V222" s="44">
        <f>IF(OR(U222="",T222=""),"",(U222-T222)*100)</f>
        <v/>
      </c>
      <c r="W222" s="68" t="n">
        <v>4742</v>
      </c>
      <c r="X222" s="68" t="n">
        <v>2206</v>
      </c>
      <c r="Y222" s="69">
        <f>IF(OR(X222="",W222="",W222=0,X222=0),"",X222-W222)</f>
        <v/>
      </c>
      <c r="Z222" s="42">
        <f>IF(OR(X222="",W222="",W222=0,X222=0),"",X222/W222-1)</f>
        <v/>
      </c>
      <c r="AA222" s="43">
        <f>IF(OR(W222="",P222="",P222=0),"",W222/P222)</f>
        <v/>
      </c>
      <c r="AB222" s="43">
        <f>IF(OR(X222="",Q222="",Q222=0),"",X222/Q222)</f>
        <v/>
      </c>
      <c r="AC222" s="44">
        <f>IF(OR(AB222="",AA222=""),"",(AB222-AA222)*100)</f>
        <v/>
      </c>
      <c r="AD222" s="68" t="n">
        <v>3301</v>
      </c>
      <c r="AE222" s="68" t="n">
        <v>1424</v>
      </c>
      <c r="AF222" s="69">
        <f>IF(OR(AE222="",AD222="",AD222=0,AE222=0),"",AE222-AD222)</f>
        <v/>
      </c>
      <c r="AG222" s="42">
        <f>IF(OR(AE222="",AD222="",AD222=0,AE222=0),"",AE222/AD222-1)</f>
        <v/>
      </c>
      <c r="AH222" s="43">
        <f>IF(OR(AD222="",W222="",W222=0),"",AD222/W222)</f>
        <v/>
      </c>
      <c r="AI222" s="43">
        <f>IF(OR(AE222="",X222="",X222=0),"",AE222/X222)</f>
        <v/>
      </c>
      <c r="AJ222" s="44">
        <f>IF(OR(AI222="",AH222=""),"",(AI222-AH222)*100)</f>
        <v/>
      </c>
      <c r="AK222" s="68" t="n">
        <v>844</v>
      </c>
      <c r="AL222" s="68" t="n">
        <v>375</v>
      </c>
      <c r="AM222" s="69">
        <f>IF(OR(AL222="",AK222="",AK222=0,AL222=0),"",AL222-AK222)</f>
        <v/>
      </c>
      <c r="AN222" s="42">
        <f>IF(OR(AL222="",AK222="",AK222=0,AL222=0),"",AL222/AK222-1)</f>
        <v/>
      </c>
      <c r="AO222" s="43">
        <f>IF(OR(AK222="",AD222="",AD222=0),"",AK222/AD222)</f>
        <v/>
      </c>
      <c r="AP222" s="43">
        <f>IF(OR(AL222="",AE222="",AE222=0),"",AL222/AE222)</f>
        <v/>
      </c>
      <c r="AQ222" s="44">
        <f>IF(OR(AP222="",AO222=""),"",(AP222-AO222)*100)</f>
        <v/>
      </c>
      <c r="AR222" s="68" t="n">
        <v>635</v>
      </c>
      <c r="AS222" s="68" t="n">
        <v>308</v>
      </c>
      <c r="AT222" s="69">
        <f>IF(OR(AS222="",AR222="",AR222=0,AS222=0),"",AS222-AR222)</f>
        <v/>
      </c>
      <c r="AU222" s="42">
        <f>IF(OR(AS222="",AR222="",AR222=0,AS222=0),"",AS222/AR222-1)</f>
        <v/>
      </c>
      <c r="AV222" s="43">
        <f>IF(OR(AR222="",AK222="",AK222=0),"",AR222/AK222)</f>
        <v/>
      </c>
      <c r="AW222" s="43">
        <f>IF(OR(AS222="",AL222="",AL222=0),"",AS222/AL222)</f>
        <v/>
      </c>
      <c r="AX222" s="44">
        <f>IF(OR(AW222="",AV222=""),"",(AW222-AV222)*100)</f>
        <v/>
      </c>
      <c r="AY222" s="45">
        <f>IF(OR(AR222="",P222="",P222=0),"",AR222/P222)</f>
        <v/>
      </c>
      <c r="AZ222" s="45">
        <f>IF(OR(AS222="",Q222="",Q222=0),"",AS222/Q222)</f>
        <v/>
      </c>
      <c r="BA222" s="44">
        <f>IF(OR(AZ222="",AY222=""),"",(AZ222-AY222)*100)</f>
        <v/>
      </c>
      <c r="BB222" s="45">
        <f>IF(OR(AR222="",E222="",E222=0),"",AR222/E222)</f>
        <v/>
      </c>
      <c r="BC222" s="45">
        <f>IF(OR(AS222="",F222="",F222=0),"",AS222/F222)</f>
        <v/>
      </c>
      <c r="BD222" s="44">
        <f>IF(OR(BC222="",BB222=""),"",(BC222-BB222)*100)</f>
        <v/>
      </c>
      <c r="BE222" s="40">
        <f>IF(AND(F222&lt;&gt;"",E222&lt;&gt;""),"Both years",IF(F222&lt;&gt;"","1-23Aug26 rows only","1-23Aug25 rows only"))</f>
        <v/>
      </c>
    </row>
    <row r="223">
      <c r="A223" s="40" t="inlineStr">
        <is>
          <t>Airport page</t>
        </is>
      </c>
      <c r="B223" s="40" t="inlineStr">
        <is>
          <t>Paid Search</t>
        </is>
      </c>
      <c r="C223" s="40" t="inlineStr">
        <is>
          <t>Mobile</t>
        </is>
      </c>
      <c r="D223" s="40" t="inlineStr">
        <is>
          <t>Italy</t>
        </is>
      </c>
      <c r="E223" s="68" t="n">
        <v>9736</v>
      </c>
      <c r="F223" s="68" t="n">
        <v>3676</v>
      </c>
      <c r="G223" s="69">
        <f>IF(OR(F223="",E223="",E223=0,F223=0),"",F223-E223)</f>
        <v/>
      </c>
      <c r="H223" s="42">
        <f>IF(OR(F223="",E223="",E223=0,F223=0),"",F223/E223-1)</f>
        <v/>
      </c>
      <c r="I223" s="68" t="n">
        <v>6524</v>
      </c>
      <c r="J223" s="68" t="n">
        <v>2702</v>
      </c>
      <c r="K223" s="69">
        <f>IF(OR(J223="",I223="",I223=0,J223=0),"",J223-I223)</f>
        <v/>
      </c>
      <c r="L223" s="42">
        <f>IF(OR(J223="",I223="",I223=0,J223=0),"",J223/I223-1)</f>
        <v/>
      </c>
      <c r="M223" s="43">
        <f>IF(OR(I223="",E223="",E223=0),"",I223/E223)</f>
        <v/>
      </c>
      <c r="N223" s="43">
        <f>IF(OR(J223="",F223="",F223=0),"",J223/F223)</f>
        <v/>
      </c>
      <c r="O223" s="44">
        <f>IF(OR(N223="",M223=""),"",(N223-M223)*100)</f>
        <v/>
      </c>
      <c r="P223" s="68" t="n">
        <v>5123</v>
      </c>
      <c r="Q223" s="68" t="n">
        <v>2383</v>
      </c>
      <c r="R223" s="69">
        <f>IF(OR(Q223="",P223="",P223=0,Q223=0),"",Q223-P223)</f>
        <v/>
      </c>
      <c r="S223" s="42">
        <f>IF(OR(Q223="",P223="",P223=0,Q223=0),"",Q223/P223-1)</f>
        <v/>
      </c>
      <c r="T223" s="43">
        <f>IF(OR(P223="",E223="",E223=0),"",P223/E223)</f>
        <v/>
      </c>
      <c r="U223" s="43">
        <f>IF(OR(Q223="",F223="",F223=0),"",Q223/F223)</f>
        <v/>
      </c>
      <c r="V223" s="44">
        <f>IF(OR(U223="",T223=""),"",(U223-T223)*100)</f>
        <v/>
      </c>
      <c r="W223" s="68" t="n">
        <v>1378</v>
      </c>
      <c r="X223" s="68" t="n">
        <v>590</v>
      </c>
      <c r="Y223" s="69">
        <f>IF(OR(X223="",W223="",W223=0,X223=0),"",X223-W223)</f>
        <v/>
      </c>
      <c r="Z223" s="42">
        <f>IF(OR(X223="",W223="",W223=0,X223=0),"",X223/W223-1)</f>
        <v/>
      </c>
      <c r="AA223" s="43">
        <f>IF(OR(W223="",P223="",P223=0),"",W223/P223)</f>
        <v/>
      </c>
      <c r="AB223" s="43">
        <f>IF(OR(X223="",Q223="",Q223=0),"",X223/Q223)</f>
        <v/>
      </c>
      <c r="AC223" s="44">
        <f>IF(OR(AB223="",AA223=""),"",(AB223-AA223)*100)</f>
        <v/>
      </c>
      <c r="AD223" s="68" t="n">
        <v>1044</v>
      </c>
      <c r="AE223" s="68" t="n">
        <v>432</v>
      </c>
      <c r="AF223" s="69">
        <f>IF(OR(AE223="",AD223="",AD223=0,AE223=0),"",AE223-AD223)</f>
        <v/>
      </c>
      <c r="AG223" s="42">
        <f>IF(OR(AE223="",AD223="",AD223=0,AE223=0),"",AE223/AD223-1)</f>
        <v/>
      </c>
      <c r="AH223" s="43">
        <f>IF(OR(AD223="",W223="",W223=0),"",AD223/W223)</f>
        <v/>
      </c>
      <c r="AI223" s="43">
        <f>IF(OR(AE223="",X223="",X223=0),"",AE223/X223)</f>
        <v/>
      </c>
      <c r="AJ223" s="44">
        <f>IF(OR(AI223="",AH223=""),"",(AI223-AH223)*100)</f>
        <v/>
      </c>
      <c r="AK223" s="68" t="n">
        <v>280</v>
      </c>
      <c r="AL223" s="68" t="n">
        <v>105</v>
      </c>
      <c r="AM223" s="69">
        <f>IF(OR(AL223="",AK223="",AK223=0,AL223=0),"",AL223-AK223)</f>
        <v/>
      </c>
      <c r="AN223" s="42">
        <f>IF(OR(AL223="",AK223="",AK223=0,AL223=0),"",AL223/AK223-1)</f>
        <v/>
      </c>
      <c r="AO223" s="43">
        <f>IF(OR(AK223="",AD223="",AD223=0),"",AK223/AD223)</f>
        <v/>
      </c>
      <c r="AP223" s="43">
        <f>IF(OR(AL223="",AE223="",AE223=0),"",AL223/AE223)</f>
        <v/>
      </c>
      <c r="AQ223" s="44">
        <f>IF(OR(AP223="",AO223=""),"",(AP223-AO223)*100)</f>
        <v/>
      </c>
      <c r="AR223" s="68" t="n">
        <v>166</v>
      </c>
      <c r="AS223" s="68" t="n">
        <v>77</v>
      </c>
      <c r="AT223" s="69">
        <f>IF(OR(AS223="",AR223="",AR223=0,AS223=0),"",AS223-AR223)</f>
        <v/>
      </c>
      <c r="AU223" s="42">
        <f>IF(OR(AS223="",AR223="",AR223=0,AS223=0),"",AS223/AR223-1)</f>
        <v/>
      </c>
      <c r="AV223" s="43">
        <f>IF(OR(AR223="",AK223="",AK223=0),"",AR223/AK223)</f>
        <v/>
      </c>
      <c r="AW223" s="43">
        <f>IF(OR(AS223="",AL223="",AL223=0),"",AS223/AL223)</f>
        <v/>
      </c>
      <c r="AX223" s="44">
        <f>IF(OR(AW223="",AV223=""),"",(AW223-AV223)*100)</f>
        <v/>
      </c>
      <c r="AY223" s="45">
        <f>IF(OR(AR223="",P223="",P223=0),"",AR223/P223)</f>
        <v/>
      </c>
      <c r="AZ223" s="45">
        <f>IF(OR(AS223="",Q223="",Q223=0),"",AS223/Q223)</f>
        <v/>
      </c>
      <c r="BA223" s="44">
        <f>IF(OR(AZ223="",AY223=""),"",(AZ223-AY223)*100)</f>
        <v/>
      </c>
      <c r="BB223" s="45">
        <f>IF(OR(AR223="",E223="",E223=0),"",AR223/E223)</f>
        <v/>
      </c>
      <c r="BC223" s="45">
        <f>IF(OR(AS223="",F223="",F223=0),"",AS223/F223)</f>
        <v/>
      </c>
      <c r="BD223" s="44">
        <f>IF(OR(BC223="",BB223=""),"",(BC223-BB223)*100)</f>
        <v/>
      </c>
      <c r="BE223" s="40">
        <f>IF(AND(F223&lt;&gt;"",E223&lt;&gt;""),"Both years",IF(F223&lt;&gt;"","1-23Aug26 rows only","1-23Aug25 rows only"))</f>
        <v/>
      </c>
    </row>
    <row r="224">
      <c r="A224" s="56" t="inlineStr">
        <is>
          <t>Airport page</t>
        </is>
      </c>
      <c r="B224" s="56" t="inlineStr">
        <is>
          <t>Paid Search</t>
        </is>
      </c>
      <c r="C224" s="56" t="inlineStr">
        <is>
          <t>Mobile</t>
        </is>
      </c>
      <c r="D224" s="56" t="inlineStr">
        <is>
          <t>Ireland</t>
        </is>
      </c>
      <c r="E224" s="68" t="n">
        <v>10251</v>
      </c>
      <c r="F224" s="68" t="n">
        <v>2930</v>
      </c>
      <c r="G224" s="69">
        <f>IF(OR(F224="",E224="",E224=0,F224=0),"",F224-E224)</f>
        <v/>
      </c>
      <c r="H224" s="42">
        <f>IF(OR(F224="",E224="",E224=0,F224=0),"",F224/E224-1)</f>
        <v/>
      </c>
      <c r="I224" s="68" t="n">
        <v>8189</v>
      </c>
      <c r="J224" s="68" t="n">
        <v>2278</v>
      </c>
      <c r="K224" s="69">
        <f>IF(OR(J224="",I224="",I224=0,J224=0),"",J224-I224)</f>
        <v/>
      </c>
      <c r="L224" s="42">
        <f>IF(OR(J224="",I224="",I224=0,J224=0),"",J224/I224-1)</f>
        <v/>
      </c>
      <c r="M224" s="43">
        <f>IF(OR(I224="",E224="",E224=0),"",I224/E224)</f>
        <v/>
      </c>
      <c r="N224" s="43">
        <f>IF(OR(J224="",F224="",F224=0),"",J224/F224)</f>
        <v/>
      </c>
      <c r="O224" s="44">
        <f>IF(OR(N224="",M224=""),"",(N224-M224)*100)</f>
        <v/>
      </c>
      <c r="P224" s="68" t="n">
        <v>7169</v>
      </c>
      <c r="Q224" s="68" t="n">
        <v>2113</v>
      </c>
      <c r="R224" s="69">
        <f>IF(OR(Q224="",P224="",P224=0,Q224=0),"",Q224-P224)</f>
        <v/>
      </c>
      <c r="S224" s="42">
        <f>IF(OR(Q224="",P224="",P224=0,Q224=0),"",Q224/P224-1)</f>
        <v/>
      </c>
      <c r="T224" s="43">
        <f>IF(OR(P224="",E224="",E224=0),"",P224/E224)</f>
        <v/>
      </c>
      <c r="U224" s="43">
        <f>IF(OR(Q224="",F224="",F224=0),"",Q224/F224)</f>
        <v/>
      </c>
      <c r="V224" s="44">
        <f>IF(OR(U224="",T224=""),"",(U224-T224)*100)</f>
        <v/>
      </c>
      <c r="W224" s="68" t="n">
        <v>1705</v>
      </c>
      <c r="X224" s="68" t="n">
        <v>465</v>
      </c>
      <c r="Y224" s="69">
        <f>IF(OR(X224="",W224="",W224=0,X224=0),"",X224-W224)</f>
        <v/>
      </c>
      <c r="Z224" s="42">
        <f>IF(OR(X224="",W224="",W224=0,X224=0),"",X224/W224-1)</f>
        <v/>
      </c>
      <c r="AA224" s="43">
        <f>IF(OR(W224="",P224="",P224=0),"",W224/P224)</f>
        <v/>
      </c>
      <c r="AB224" s="43">
        <f>IF(OR(X224="",Q224="",Q224=0),"",X224/Q224)</f>
        <v/>
      </c>
      <c r="AC224" s="44">
        <f>IF(OR(AB224="",AA224=""),"",(AB224-AA224)*100)</f>
        <v/>
      </c>
      <c r="AD224" s="68" t="n">
        <v>1257</v>
      </c>
      <c r="AE224" s="68" t="n">
        <v>328</v>
      </c>
      <c r="AF224" s="69">
        <f>IF(OR(AE224="",AD224="",AD224=0,AE224=0),"",AE224-AD224)</f>
        <v/>
      </c>
      <c r="AG224" s="42">
        <f>IF(OR(AE224="",AD224="",AD224=0,AE224=0),"",AE224/AD224-1)</f>
        <v/>
      </c>
      <c r="AH224" s="43">
        <f>IF(OR(AD224="",W224="",W224=0),"",AD224/W224)</f>
        <v/>
      </c>
      <c r="AI224" s="43">
        <f>IF(OR(AE224="",X224="",X224=0),"",AE224/X224)</f>
        <v/>
      </c>
      <c r="AJ224" s="44">
        <f>IF(OR(AI224="",AH224=""),"",(AI224-AH224)*100)</f>
        <v/>
      </c>
      <c r="AK224" s="68" t="n">
        <v>461</v>
      </c>
      <c r="AL224" s="68" t="n">
        <v>110</v>
      </c>
      <c r="AM224" s="69">
        <f>IF(OR(AL224="",AK224="",AK224=0,AL224=0),"",AL224-AK224)</f>
        <v/>
      </c>
      <c r="AN224" s="42">
        <f>IF(OR(AL224="",AK224="",AK224=0,AL224=0),"",AL224/AK224-1)</f>
        <v/>
      </c>
      <c r="AO224" s="43">
        <f>IF(OR(AK224="",AD224="",AD224=0),"",AK224/AD224)</f>
        <v/>
      </c>
      <c r="AP224" s="43">
        <f>IF(OR(AL224="",AE224="",AE224=0),"",AL224/AE224)</f>
        <v/>
      </c>
      <c r="AQ224" s="44">
        <f>IF(OR(AP224="",AO224=""),"",(AP224-AO224)*100)</f>
        <v/>
      </c>
      <c r="AR224" s="68" t="n">
        <v>343</v>
      </c>
      <c r="AS224" s="68" t="n">
        <v>82</v>
      </c>
      <c r="AT224" s="69">
        <f>IF(OR(AS224="",AR224="",AR224=0,AS224=0),"",AS224-AR224)</f>
        <v/>
      </c>
      <c r="AU224" s="42">
        <f>IF(OR(AS224="",AR224="",AR224=0,AS224=0),"",AS224/AR224-1)</f>
        <v/>
      </c>
      <c r="AV224" s="43">
        <f>IF(OR(AR224="",AK224="",AK224=0),"",AR224/AK224)</f>
        <v/>
      </c>
      <c r="AW224" s="43">
        <f>IF(OR(AS224="",AL224="",AL224=0),"",AS224/AL224)</f>
        <v/>
      </c>
      <c r="AX224" s="44">
        <f>IF(OR(AW224="",AV224=""),"",(AW224-AV224)*100)</f>
        <v/>
      </c>
      <c r="AY224" s="45">
        <f>IF(OR(AR224="",P224="",P224=0),"",AR224/P224)</f>
        <v/>
      </c>
      <c r="AZ224" s="45">
        <f>IF(OR(AS224="",Q224="",Q224=0),"",AS224/Q224)</f>
        <v/>
      </c>
      <c r="BA224" s="44">
        <f>IF(OR(AZ224="",AY224=""),"",(AZ224-AY224)*100)</f>
        <v/>
      </c>
      <c r="BB224" s="45">
        <f>IF(OR(AR224="",E224="",E224=0),"",AR224/E224)</f>
        <v/>
      </c>
      <c r="BC224" s="45">
        <f>IF(OR(AS224="",F224="",F224=0),"",AS224/F224)</f>
        <v/>
      </c>
      <c r="BD224" s="44">
        <f>IF(OR(BC224="",BB224=""),"",(BC224-BB224)*100)</f>
        <v/>
      </c>
      <c r="BE224" s="40">
        <f>IF(AND(F224&lt;&gt;"",E224&lt;&gt;""),"Both years",IF(F224&lt;&gt;"","1-23Aug26 rows only","1-23Aug25 rows only"))</f>
        <v/>
      </c>
    </row>
    <row r="225">
      <c r="A225" s="40" t="inlineStr">
        <is>
          <t>Airport page</t>
        </is>
      </c>
      <c r="B225" s="40" t="inlineStr">
        <is>
          <t>Paid Search</t>
        </is>
      </c>
      <c r="C225" s="40" t="inlineStr">
        <is>
          <t>Mobile</t>
        </is>
      </c>
      <c r="D225" s="40" t="inlineStr">
        <is>
          <t>Netherlands</t>
        </is>
      </c>
      <c r="E225" s="68" t="n">
        <v>5508</v>
      </c>
      <c r="F225" s="68" t="n">
        <v>2563</v>
      </c>
      <c r="G225" s="69">
        <f>IF(OR(F225="",E225="",E225=0,F225=0),"",F225-E225)</f>
        <v/>
      </c>
      <c r="H225" s="42">
        <f>IF(OR(F225="",E225="",E225=0,F225=0),"",F225/E225-1)</f>
        <v/>
      </c>
      <c r="I225" s="68" t="n">
        <v>4006</v>
      </c>
      <c r="J225" s="68" t="n">
        <v>1924</v>
      </c>
      <c r="K225" s="69">
        <f>IF(OR(J225="",I225="",I225=0,J225=0),"",J225-I225)</f>
        <v/>
      </c>
      <c r="L225" s="42">
        <f>IF(OR(J225="",I225="",I225=0,J225=0),"",J225/I225-1)</f>
        <v/>
      </c>
      <c r="M225" s="43">
        <f>IF(OR(I225="",E225="",E225=0),"",I225/E225)</f>
        <v/>
      </c>
      <c r="N225" s="43">
        <f>IF(OR(J225="",F225="",F225=0),"",J225/F225)</f>
        <v/>
      </c>
      <c r="O225" s="44">
        <f>IF(OR(N225="",M225=""),"",(N225-M225)*100)</f>
        <v/>
      </c>
      <c r="P225" s="68" t="n">
        <v>3351</v>
      </c>
      <c r="Q225" s="68" t="n">
        <v>1710</v>
      </c>
      <c r="R225" s="69">
        <f>IF(OR(Q225="",P225="",P225=0,Q225=0),"",Q225-P225)</f>
        <v/>
      </c>
      <c r="S225" s="42">
        <f>IF(OR(Q225="",P225="",P225=0,Q225=0),"",Q225/P225-1)</f>
        <v/>
      </c>
      <c r="T225" s="43">
        <f>IF(OR(P225="",E225="",E225=0),"",P225/E225)</f>
        <v/>
      </c>
      <c r="U225" s="43">
        <f>IF(OR(Q225="",F225="",F225=0),"",Q225/F225)</f>
        <v/>
      </c>
      <c r="V225" s="44">
        <f>IF(OR(U225="",T225=""),"",(U225-T225)*100)</f>
        <v/>
      </c>
      <c r="W225" s="68" t="n">
        <v>847</v>
      </c>
      <c r="X225" s="68" t="n">
        <v>430</v>
      </c>
      <c r="Y225" s="69">
        <f>IF(OR(X225="",W225="",W225=0,X225=0),"",X225-W225)</f>
        <v/>
      </c>
      <c r="Z225" s="42">
        <f>IF(OR(X225="",W225="",W225=0,X225=0),"",X225/W225-1)</f>
        <v/>
      </c>
      <c r="AA225" s="43">
        <f>IF(OR(W225="",P225="",P225=0),"",W225/P225)</f>
        <v/>
      </c>
      <c r="AB225" s="43">
        <f>IF(OR(X225="",Q225="",Q225=0),"",X225/Q225)</f>
        <v/>
      </c>
      <c r="AC225" s="44">
        <f>IF(OR(AB225="",AA225=""),"",(AB225-AA225)*100)</f>
        <v/>
      </c>
      <c r="AD225" s="68" t="n">
        <v>592</v>
      </c>
      <c r="AE225" s="68" t="n">
        <v>305</v>
      </c>
      <c r="AF225" s="69">
        <f>IF(OR(AE225="",AD225="",AD225=0,AE225=0),"",AE225-AD225)</f>
        <v/>
      </c>
      <c r="AG225" s="42">
        <f>IF(OR(AE225="",AD225="",AD225=0,AE225=0),"",AE225/AD225-1)</f>
        <v/>
      </c>
      <c r="AH225" s="43">
        <f>IF(OR(AD225="",W225="",W225=0),"",AD225/W225)</f>
        <v/>
      </c>
      <c r="AI225" s="43">
        <f>IF(OR(AE225="",X225="",X225=0),"",AE225/X225)</f>
        <v/>
      </c>
      <c r="AJ225" s="44">
        <f>IF(OR(AI225="",AH225=""),"",(AI225-AH225)*100)</f>
        <v/>
      </c>
      <c r="AK225" s="68" t="n">
        <v>161</v>
      </c>
      <c r="AL225" s="68" t="n">
        <v>109</v>
      </c>
      <c r="AM225" s="69">
        <f>IF(OR(AL225="",AK225="",AK225=0,AL225=0),"",AL225-AK225)</f>
        <v/>
      </c>
      <c r="AN225" s="42">
        <f>IF(OR(AL225="",AK225="",AK225=0,AL225=0),"",AL225/AK225-1)</f>
        <v/>
      </c>
      <c r="AO225" s="43">
        <f>IF(OR(AK225="",AD225="",AD225=0),"",AK225/AD225)</f>
        <v/>
      </c>
      <c r="AP225" s="43">
        <f>IF(OR(AL225="",AE225="",AE225=0),"",AL225/AE225)</f>
        <v/>
      </c>
      <c r="AQ225" s="44">
        <f>IF(OR(AP225="",AO225=""),"",(AP225-AO225)*100)</f>
        <v/>
      </c>
      <c r="AR225" s="68" t="n">
        <v>37</v>
      </c>
      <c r="AS225" s="68" t="n">
        <v>35</v>
      </c>
      <c r="AT225" s="69">
        <f>IF(OR(AS225="",AR225="",AR225=0,AS225=0),"",AS225-AR225)</f>
        <v/>
      </c>
      <c r="AU225" s="42">
        <f>IF(OR(AS225="",AR225="",AR225=0,AS225=0),"",AS225/AR225-1)</f>
        <v/>
      </c>
      <c r="AV225" s="43">
        <f>IF(OR(AR225="",AK225="",AK225=0),"",AR225/AK225)</f>
        <v/>
      </c>
      <c r="AW225" s="43">
        <f>IF(OR(AS225="",AL225="",AL225=0),"",AS225/AL225)</f>
        <v/>
      </c>
      <c r="AX225" s="44">
        <f>IF(OR(AW225="",AV225=""),"",(AW225-AV225)*100)</f>
        <v/>
      </c>
      <c r="AY225" s="45">
        <f>IF(OR(AR225="",P225="",P225=0),"",AR225/P225)</f>
        <v/>
      </c>
      <c r="AZ225" s="45">
        <f>IF(OR(AS225="",Q225="",Q225=0),"",AS225/Q225)</f>
        <v/>
      </c>
      <c r="BA225" s="44">
        <f>IF(OR(AZ225="",AY225=""),"",(AZ225-AY225)*100)</f>
        <v/>
      </c>
      <c r="BB225" s="45">
        <f>IF(OR(AR225="",E225="",E225=0),"",AR225/E225)</f>
        <v/>
      </c>
      <c r="BC225" s="45">
        <f>IF(OR(AS225="",F225="",F225=0),"",AS225/F225)</f>
        <v/>
      </c>
      <c r="BD225" s="44">
        <f>IF(OR(BC225="",BB225=""),"",(BC225-BB225)*100)</f>
        <v/>
      </c>
      <c r="BE225" s="40">
        <f>IF(AND(F225&lt;&gt;"",E225&lt;&gt;""),"Both years",IF(F225&lt;&gt;"","1-23Aug26 rows only","1-23Aug25 rows only"))</f>
        <v/>
      </c>
    </row>
    <row r="226">
      <c r="A226" s="56" t="inlineStr">
        <is>
          <t>Airport page</t>
        </is>
      </c>
      <c r="B226" s="56" t="inlineStr">
        <is>
          <t>Paid Search</t>
        </is>
      </c>
      <c r="C226" s="56" t="inlineStr">
        <is>
          <t>Mobile</t>
        </is>
      </c>
      <c r="D226" s="56" t="inlineStr">
        <is>
          <t>Spain</t>
        </is>
      </c>
      <c r="E226" s="68" t="n">
        <v>5239</v>
      </c>
      <c r="F226" s="68" t="n">
        <v>1921</v>
      </c>
      <c r="G226" s="69">
        <f>IF(OR(F226="",E226="",E226=0,F226=0),"",F226-E226)</f>
        <v/>
      </c>
      <c r="H226" s="42">
        <f>IF(OR(F226="",E226="",E226=0,F226=0),"",F226/E226-1)</f>
        <v/>
      </c>
      <c r="I226" s="68" t="n">
        <v>3834</v>
      </c>
      <c r="J226" s="68" t="n">
        <v>1126</v>
      </c>
      <c r="K226" s="69">
        <f>IF(OR(J226="",I226="",I226=0,J226=0),"",J226-I226)</f>
        <v/>
      </c>
      <c r="L226" s="42">
        <f>IF(OR(J226="",I226="",I226=0,J226=0),"",J226/I226-1)</f>
        <v/>
      </c>
      <c r="M226" s="43">
        <f>IF(OR(I226="",E226="",E226=0),"",I226/E226)</f>
        <v/>
      </c>
      <c r="N226" s="43">
        <f>IF(OR(J226="",F226="",F226=0),"",J226/F226)</f>
        <v/>
      </c>
      <c r="O226" s="44">
        <f>IF(OR(N226="",M226=""),"",(N226-M226)*100)</f>
        <v/>
      </c>
      <c r="P226" s="68" t="n">
        <v>2808</v>
      </c>
      <c r="Q226" s="68" t="n">
        <v>1035</v>
      </c>
      <c r="R226" s="69">
        <f>IF(OR(Q226="",P226="",P226=0,Q226=0),"",Q226-P226)</f>
        <v/>
      </c>
      <c r="S226" s="42">
        <f>IF(OR(Q226="",P226="",P226=0,Q226=0),"",Q226/P226-1)</f>
        <v/>
      </c>
      <c r="T226" s="43">
        <f>IF(OR(P226="",E226="",E226=0),"",P226/E226)</f>
        <v/>
      </c>
      <c r="U226" s="43">
        <f>IF(OR(Q226="",F226="",F226=0),"",Q226/F226)</f>
        <v/>
      </c>
      <c r="V226" s="44">
        <f>IF(OR(U226="",T226=""),"",(U226-T226)*100)</f>
        <v/>
      </c>
      <c r="W226" s="68" t="n">
        <v>778</v>
      </c>
      <c r="X226" s="68" t="n">
        <v>269</v>
      </c>
      <c r="Y226" s="69">
        <f>IF(OR(X226="",W226="",W226=0,X226=0),"",X226-W226)</f>
        <v/>
      </c>
      <c r="Z226" s="42">
        <f>IF(OR(X226="",W226="",W226=0,X226=0),"",X226/W226-1)</f>
        <v/>
      </c>
      <c r="AA226" s="43">
        <f>IF(OR(W226="",P226="",P226=0),"",W226/P226)</f>
        <v/>
      </c>
      <c r="AB226" s="43">
        <f>IF(OR(X226="",Q226="",Q226=0),"",X226/Q226)</f>
        <v/>
      </c>
      <c r="AC226" s="44">
        <f>IF(OR(AB226="",AA226=""),"",(AB226-AA226)*100)</f>
        <v/>
      </c>
      <c r="AD226" s="68" t="n">
        <v>596</v>
      </c>
      <c r="AE226" s="68" t="n">
        <v>190</v>
      </c>
      <c r="AF226" s="69">
        <f>IF(OR(AE226="",AD226="",AD226=0,AE226=0),"",AE226-AD226)</f>
        <v/>
      </c>
      <c r="AG226" s="42">
        <f>IF(OR(AE226="",AD226="",AD226=0,AE226=0),"",AE226/AD226-1)</f>
        <v/>
      </c>
      <c r="AH226" s="43">
        <f>IF(OR(AD226="",W226="",W226=0),"",AD226/W226)</f>
        <v/>
      </c>
      <c r="AI226" s="43">
        <f>IF(OR(AE226="",X226="",X226=0),"",AE226/X226)</f>
        <v/>
      </c>
      <c r="AJ226" s="44">
        <f>IF(OR(AI226="",AH226=""),"",(AI226-AH226)*100)</f>
        <v/>
      </c>
      <c r="AK226" s="68" t="n">
        <v>186</v>
      </c>
      <c r="AL226" s="68" t="n">
        <v>74</v>
      </c>
      <c r="AM226" s="69">
        <f>IF(OR(AL226="",AK226="",AK226=0,AL226=0),"",AL226-AK226)</f>
        <v/>
      </c>
      <c r="AN226" s="42">
        <f>IF(OR(AL226="",AK226="",AK226=0,AL226=0),"",AL226/AK226-1)</f>
        <v/>
      </c>
      <c r="AO226" s="43">
        <f>IF(OR(AK226="",AD226="",AD226=0),"",AK226/AD226)</f>
        <v/>
      </c>
      <c r="AP226" s="43">
        <f>IF(OR(AL226="",AE226="",AE226=0),"",AL226/AE226)</f>
        <v/>
      </c>
      <c r="AQ226" s="44">
        <f>IF(OR(AP226="",AO226=""),"",(AP226-AO226)*100)</f>
        <v/>
      </c>
      <c r="AR226" s="68" t="n">
        <v>140</v>
      </c>
      <c r="AS226" s="68" t="n">
        <v>53</v>
      </c>
      <c r="AT226" s="69">
        <f>IF(OR(AS226="",AR226="",AR226=0,AS226=0),"",AS226-AR226)</f>
        <v/>
      </c>
      <c r="AU226" s="42">
        <f>IF(OR(AS226="",AR226="",AR226=0,AS226=0),"",AS226/AR226-1)</f>
        <v/>
      </c>
      <c r="AV226" s="43">
        <f>IF(OR(AR226="",AK226="",AK226=0),"",AR226/AK226)</f>
        <v/>
      </c>
      <c r="AW226" s="43">
        <f>IF(OR(AS226="",AL226="",AL226=0),"",AS226/AL226)</f>
        <v/>
      </c>
      <c r="AX226" s="44">
        <f>IF(OR(AW226="",AV226=""),"",(AW226-AV226)*100)</f>
        <v/>
      </c>
      <c r="AY226" s="45">
        <f>IF(OR(AR226="",P226="",P226=0),"",AR226/P226)</f>
        <v/>
      </c>
      <c r="AZ226" s="45">
        <f>IF(OR(AS226="",Q226="",Q226=0),"",AS226/Q226)</f>
        <v/>
      </c>
      <c r="BA226" s="44">
        <f>IF(OR(AZ226="",AY226=""),"",(AZ226-AY226)*100)</f>
        <v/>
      </c>
      <c r="BB226" s="45">
        <f>IF(OR(AR226="",E226="",E226=0),"",AR226/E226)</f>
        <v/>
      </c>
      <c r="BC226" s="45">
        <f>IF(OR(AS226="",F226="",F226=0),"",AS226/F226)</f>
        <v/>
      </c>
      <c r="BD226" s="44">
        <f>IF(OR(BC226="",BB226=""),"",(BC226-BB226)*100)</f>
        <v/>
      </c>
      <c r="BE226" s="40">
        <f>IF(AND(F226&lt;&gt;"",E226&lt;&gt;""),"Both years",IF(F226&lt;&gt;"","1-23Aug26 rows only","1-23Aug25 rows only"))</f>
        <v/>
      </c>
    </row>
    <row r="227">
      <c r="A227" s="40" t="inlineStr">
        <is>
          <t>Airport page</t>
        </is>
      </c>
      <c r="B227" s="40" t="inlineStr">
        <is>
          <t>Paid Search</t>
        </is>
      </c>
      <c r="C227" s="40" t="inlineStr">
        <is>
          <t>Mobile</t>
        </is>
      </c>
      <c r="D227" s="40" t="inlineStr">
        <is>
          <t>Sweden</t>
        </is>
      </c>
      <c r="E227" s="68" t="n">
        <v>1776</v>
      </c>
      <c r="F227" s="68" t="n">
        <v>1770</v>
      </c>
      <c r="G227" s="69">
        <f>IF(OR(F227="",E227="",E227=0,F227=0),"",F227-E227)</f>
        <v/>
      </c>
      <c r="H227" s="42">
        <f>IF(OR(F227="",E227="",E227=0,F227=0),"",F227/E227-1)</f>
        <v/>
      </c>
      <c r="I227" s="68" t="n">
        <v>1278</v>
      </c>
      <c r="J227" s="68" t="n">
        <v>1320</v>
      </c>
      <c r="K227" s="69">
        <f>IF(OR(J227="",I227="",I227=0,J227=0),"",J227-I227)</f>
        <v/>
      </c>
      <c r="L227" s="42">
        <f>IF(OR(J227="",I227="",I227=0,J227=0),"",J227/I227-1)</f>
        <v/>
      </c>
      <c r="M227" s="43">
        <f>IF(OR(I227="",E227="",E227=0),"",I227/E227)</f>
        <v/>
      </c>
      <c r="N227" s="43">
        <f>IF(OR(J227="",F227="",F227=0),"",J227/F227)</f>
        <v/>
      </c>
      <c r="O227" s="44">
        <f>IF(OR(N227="",M227=""),"",(N227-M227)*100)</f>
        <v/>
      </c>
      <c r="P227" s="68" t="n">
        <v>1080</v>
      </c>
      <c r="Q227" s="68" t="n">
        <v>1233</v>
      </c>
      <c r="R227" s="69">
        <f>IF(OR(Q227="",P227="",P227=0,Q227=0),"",Q227-P227)</f>
        <v/>
      </c>
      <c r="S227" s="42">
        <f>IF(OR(Q227="",P227="",P227=0,Q227=0),"",Q227/P227-1)</f>
        <v/>
      </c>
      <c r="T227" s="43">
        <f>IF(OR(P227="",E227="",E227=0),"",P227/E227)</f>
        <v/>
      </c>
      <c r="U227" s="43">
        <f>IF(OR(Q227="",F227="",F227=0),"",Q227/F227)</f>
        <v/>
      </c>
      <c r="V227" s="44">
        <f>IF(OR(U227="",T227=""),"",(U227-T227)*100)</f>
        <v/>
      </c>
      <c r="W227" s="68" t="n">
        <v>269</v>
      </c>
      <c r="X227" s="68" t="n">
        <v>292</v>
      </c>
      <c r="Y227" s="69">
        <f>IF(OR(X227="",W227="",W227=0,X227=0),"",X227-W227)</f>
        <v/>
      </c>
      <c r="Z227" s="42">
        <f>IF(OR(X227="",W227="",W227=0,X227=0),"",X227/W227-1)</f>
        <v/>
      </c>
      <c r="AA227" s="43">
        <f>IF(OR(W227="",P227="",P227=0),"",W227/P227)</f>
        <v/>
      </c>
      <c r="AB227" s="43">
        <f>IF(OR(X227="",Q227="",Q227=0),"",X227/Q227)</f>
        <v/>
      </c>
      <c r="AC227" s="44">
        <f>IF(OR(AB227="",AA227=""),"",(AB227-AA227)*100)</f>
        <v/>
      </c>
      <c r="AD227" s="68" t="n">
        <v>184</v>
      </c>
      <c r="AE227" s="68" t="n">
        <v>187</v>
      </c>
      <c r="AF227" s="69">
        <f>IF(OR(AE227="",AD227="",AD227=0,AE227=0),"",AE227-AD227)</f>
        <v/>
      </c>
      <c r="AG227" s="42">
        <f>IF(OR(AE227="",AD227="",AD227=0,AE227=0),"",AE227/AD227-1)</f>
        <v/>
      </c>
      <c r="AH227" s="43">
        <f>IF(OR(AD227="",W227="",W227=0),"",AD227/W227)</f>
        <v/>
      </c>
      <c r="AI227" s="43">
        <f>IF(OR(AE227="",X227="",X227=0),"",AE227/X227)</f>
        <v/>
      </c>
      <c r="AJ227" s="44">
        <f>IF(OR(AI227="",AH227=""),"",(AI227-AH227)*100)</f>
        <v/>
      </c>
      <c r="AK227" s="68" t="n">
        <v>59</v>
      </c>
      <c r="AL227" s="68" t="n">
        <v>60</v>
      </c>
      <c r="AM227" s="69">
        <f>IF(OR(AL227="",AK227="",AK227=0,AL227=0),"",AL227-AK227)</f>
        <v/>
      </c>
      <c r="AN227" s="42">
        <f>IF(OR(AL227="",AK227="",AK227=0,AL227=0),"",AL227/AK227-1)</f>
        <v/>
      </c>
      <c r="AO227" s="43">
        <f>IF(OR(AK227="",AD227="",AD227=0),"",AK227/AD227)</f>
        <v/>
      </c>
      <c r="AP227" s="43">
        <f>IF(OR(AL227="",AE227="",AE227=0),"",AL227/AE227)</f>
        <v/>
      </c>
      <c r="AQ227" s="44">
        <f>IF(OR(AP227="",AO227=""),"",(AP227-AO227)*100)</f>
        <v/>
      </c>
      <c r="AR227" s="68" t="n">
        <v>36</v>
      </c>
      <c r="AS227" s="68" t="n">
        <v>43</v>
      </c>
      <c r="AT227" s="69">
        <f>IF(OR(AS227="",AR227="",AR227=0,AS227=0),"",AS227-AR227)</f>
        <v/>
      </c>
      <c r="AU227" s="42">
        <f>IF(OR(AS227="",AR227="",AR227=0,AS227=0),"",AS227/AR227-1)</f>
        <v/>
      </c>
      <c r="AV227" s="43">
        <f>IF(OR(AR227="",AK227="",AK227=0),"",AR227/AK227)</f>
        <v/>
      </c>
      <c r="AW227" s="43">
        <f>IF(OR(AS227="",AL227="",AL227=0),"",AS227/AL227)</f>
        <v/>
      </c>
      <c r="AX227" s="44">
        <f>IF(OR(AW227="",AV227=""),"",(AW227-AV227)*100)</f>
        <v/>
      </c>
      <c r="AY227" s="45">
        <f>IF(OR(AR227="",P227="",P227=0),"",AR227/P227)</f>
        <v/>
      </c>
      <c r="AZ227" s="45">
        <f>IF(OR(AS227="",Q227="",Q227=0),"",AS227/Q227)</f>
        <v/>
      </c>
      <c r="BA227" s="44">
        <f>IF(OR(AZ227="",AY227=""),"",(AZ227-AY227)*100)</f>
        <v/>
      </c>
      <c r="BB227" s="45">
        <f>IF(OR(AR227="",E227="",E227=0),"",AR227/E227)</f>
        <v/>
      </c>
      <c r="BC227" s="45">
        <f>IF(OR(AS227="",F227="",F227=0),"",AS227/F227)</f>
        <v/>
      </c>
      <c r="BD227" s="44">
        <f>IF(OR(BC227="",BB227=""),"",(BC227-BB227)*100)</f>
        <v/>
      </c>
      <c r="BE227" s="40">
        <f>IF(AND(F227&lt;&gt;"",E227&lt;&gt;""),"Both years",IF(F227&lt;&gt;"","1-23Aug26 rows only","1-23Aug25 rows only"))</f>
        <v/>
      </c>
    </row>
    <row r="228">
      <c r="A228" s="56" t="inlineStr">
        <is>
          <t>Airport page</t>
        </is>
      </c>
      <c r="B228" s="56" t="inlineStr">
        <is>
          <t>Paid Search</t>
        </is>
      </c>
      <c r="C228" s="56" t="inlineStr">
        <is>
          <t>Mobile</t>
        </is>
      </c>
      <c r="D228" s="56" t="inlineStr">
        <is>
          <t>Belgium</t>
        </is>
      </c>
      <c r="E228" s="70" t="n"/>
      <c r="F228" s="68" t="n">
        <v>1658</v>
      </c>
      <c r="G228" s="69">
        <f>IF(OR(F228="",E228="",E228=0,F228=0),"",F228-E228)</f>
        <v/>
      </c>
      <c r="H228" s="42">
        <f>IF(OR(F228="",E228="",E228=0,F228=0),"",F228/E228-1)</f>
        <v/>
      </c>
      <c r="I228" s="68" t="n">
        <v>296</v>
      </c>
      <c r="J228" s="68" t="n">
        <v>1174</v>
      </c>
      <c r="K228" s="69">
        <f>IF(OR(J228="",I228="",I228=0,J228=0),"",J228-I228)</f>
        <v/>
      </c>
      <c r="L228" s="42">
        <f>IF(OR(J228="",I228="",I228=0,J228=0),"",J228/I228-1)</f>
        <v/>
      </c>
      <c r="M228" s="43">
        <f>IF(OR(I228="",E228="",E228=0),"",I228/E228)</f>
        <v/>
      </c>
      <c r="N228" s="43">
        <f>IF(OR(J228="",F228="",F228=0),"",J228/F228)</f>
        <v/>
      </c>
      <c r="O228" s="44">
        <f>IF(OR(N228="",M228=""),"",(N228-M228)*100)</f>
        <v/>
      </c>
      <c r="P228" s="70" t="n"/>
      <c r="Q228" s="68" t="n">
        <v>1075</v>
      </c>
      <c r="R228" s="69">
        <f>IF(OR(Q228="",P228="",P228=0,Q228=0),"",Q228-P228)</f>
        <v/>
      </c>
      <c r="S228" s="42">
        <f>IF(OR(Q228="",P228="",P228=0,Q228=0),"",Q228/P228-1)</f>
        <v/>
      </c>
      <c r="T228" s="43">
        <f>IF(OR(P228="",E228="",E228=0),"",P228/E228)</f>
        <v/>
      </c>
      <c r="U228" s="43">
        <f>IF(OR(Q228="",F228="",F228=0),"",Q228/F228)</f>
        <v/>
      </c>
      <c r="V228" s="44">
        <f>IF(OR(U228="",T228=""),"",(U228-T228)*100)</f>
        <v/>
      </c>
      <c r="W228" s="68" t="n">
        <v>71</v>
      </c>
      <c r="X228" s="68" t="n">
        <v>296</v>
      </c>
      <c r="Y228" s="69">
        <f>IF(OR(X228="",W228="",W228=0,X228=0),"",X228-W228)</f>
        <v/>
      </c>
      <c r="Z228" s="42">
        <f>IF(OR(X228="",W228="",W228=0,X228=0),"",X228/W228-1)</f>
        <v/>
      </c>
      <c r="AA228" s="43">
        <f>IF(OR(W228="",P228="",P228=0),"",W228/P228)</f>
        <v/>
      </c>
      <c r="AB228" s="43">
        <f>IF(OR(X228="",Q228="",Q228=0),"",X228/Q228)</f>
        <v/>
      </c>
      <c r="AC228" s="44">
        <f>IF(OR(AB228="",AA228=""),"",(AB228-AA228)*100)</f>
        <v/>
      </c>
      <c r="AD228" s="68" t="n">
        <v>42</v>
      </c>
      <c r="AE228" s="68" t="n">
        <v>203</v>
      </c>
      <c r="AF228" s="69">
        <f>IF(OR(AE228="",AD228="",AD228=0,AE228=0),"",AE228-AD228)</f>
        <v/>
      </c>
      <c r="AG228" s="42">
        <f>IF(OR(AE228="",AD228="",AD228=0,AE228=0),"",AE228/AD228-1)</f>
        <v/>
      </c>
      <c r="AH228" s="43">
        <f>IF(OR(AD228="",W228="",W228=0),"",AD228/W228)</f>
        <v/>
      </c>
      <c r="AI228" s="43">
        <f>IF(OR(AE228="",X228="",X228=0),"",AE228/X228)</f>
        <v/>
      </c>
      <c r="AJ228" s="44">
        <f>IF(OR(AI228="",AH228=""),"",(AI228-AH228)*100)</f>
        <v/>
      </c>
      <c r="AK228" s="68" t="n">
        <v>10</v>
      </c>
      <c r="AL228" s="68" t="n">
        <v>61</v>
      </c>
      <c r="AM228" s="69">
        <f>IF(OR(AL228="",AK228="",AK228=0,AL228=0),"",AL228-AK228)</f>
        <v/>
      </c>
      <c r="AN228" s="42">
        <f>IF(OR(AL228="",AK228="",AK228=0,AL228=0),"",AL228/AK228-1)</f>
        <v/>
      </c>
      <c r="AO228" s="43">
        <f>IF(OR(AK228="",AD228="",AD228=0),"",AK228/AD228)</f>
        <v/>
      </c>
      <c r="AP228" s="43">
        <f>IF(OR(AL228="",AE228="",AE228=0),"",AL228/AE228)</f>
        <v/>
      </c>
      <c r="AQ228" s="44">
        <f>IF(OR(AP228="",AO228=""),"",(AP228-AO228)*100)</f>
        <v/>
      </c>
      <c r="AR228" s="68" t="n">
        <v>5</v>
      </c>
      <c r="AS228" s="68" t="n">
        <v>45</v>
      </c>
      <c r="AT228" s="69">
        <f>IF(OR(AS228="",AR228="",AR228=0,AS228=0),"",AS228-AR228)</f>
        <v/>
      </c>
      <c r="AU228" s="42">
        <f>IF(OR(AS228="",AR228="",AR228=0,AS228=0),"",AS228/AR228-1)</f>
        <v/>
      </c>
      <c r="AV228" s="43">
        <f>IF(OR(AR228="",AK228="",AK228=0),"",AR228/AK228)</f>
        <v/>
      </c>
      <c r="AW228" s="43">
        <f>IF(OR(AS228="",AL228="",AL228=0),"",AS228/AL228)</f>
        <v/>
      </c>
      <c r="AX228" s="44">
        <f>IF(OR(AW228="",AV228=""),"",(AW228-AV228)*100)</f>
        <v/>
      </c>
      <c r="AY228" s="45">
        <f>IF(OR(AR228="",P228="",P228=0),"",AR228/P228)</f>
        <v/>
      </c>
      <c r="AZ228" s="45">
        <f>IF(OR(AS228="",Q228="",Q228=0),"",AS228/Q228)</f>
        <v/>
      </c>
      <c r="BA228" s="44">
        <f>IF(OR(AZ228="",AY228=""),"",(AZ228-AY228)*100)</f>
        <v/>
      </c>
      <c r="BB228" s="45">
        <f>IF(OR(AR228="",E228="",E228=0),"",AR228/E228)</f>
        <v/>
      </c>
      <c r="BC228" s="45">
        <f>IF(OR(AS228="",F228="",F228=0),"",AS228/F228)</f>
        <v/>
      </c>
      <c r="BD228" s="44">
        <f>IF(OR(BC228="",BB228=""),"",(BC228-BB228)*100)</f>
        <v/>
      </c>
      <c r="BE228" s="40">
        <f>IF(AND(F228&lt;&gt;"",E228&lt;&gt;""),"Both years",IF(F228&lt;&gt;"","1-23Aug26 rows only","1-23Aug25 rows only"))</f>
        <v/>
      </c>
    </row>
    <row r="229">
      <c r="A229" s="40" t="inlineStr">
        <is>
          <t>Airport page</t>
        </is>
      </c>
      <c r="B229" s="40" t="inlineStr">
        <is>
          <t>Paid Search</t>
        </is>
      </c>
      <c r="C229" s="40" t="inlineStr">
        <is>
          <t>Mobile</t>
        </is>
      </c>
      <c r="D229" s="40" t="inlineStr">
        <is>
          <t>France</t>
        </is>
      </c>
      <c r="E229" s="68" t="n">
        <v>5896</v>
      </c>
      <c r="F229" s="68" t="n">
        <v>1597</v>
      </c>
      <c r="G229" s="69">
        <f>IF(OR(F229="",E229="",E229=0,F229=0),"",F229-E229)</f>
        <v/>
      </c>
      <c r="H229" s="42">
        <f>IF(OR(F229="",E229="",E229=0,F229=0),"",F229/E229-1)</f>
        <v/>
      </c>
      <c r="I229" s="68" t="n">
        <v>4293</v>
      </c>
      <c r="J229" s="68" t="n">
        <v>1190</v>
      </c>
      <c r="K229" s="69">
        <f>IF(OR(J229="",I229="",I229=0,J229=0),"",J229-I229)</f>
        <v/>
      </c>
      <c r="L229" s="42">
        <f>IF(OR(J229="",I229="",I229=0,J229=0),"",J229/I229-1)</f>
        <v/>
      </c>
      <c r="M229" s="43">
        <f>IF(OR(I229="",E229="",E229=0),"",I229/E229)</f>
        <v/>
      </c>
      <c r="N229" s="43">
        <f>IF(OR(J229="",F229="",F229=0),"",J229/F229)</f>
        <v/>
      </c>
      <c r="O229" s="44">
        <f>IF(OR(N229="",M229=""),"",(N229-M229)*100)</f>
        <v/>
      </c>
      <c r="P229" s="68" t="n">
        <v>3302</v>
      </c>
      <c r="Q229" s="68" t="n">
        <v>1026</v>
      </c>
      <c r="R229" s="69">
        <f>IF(OR(Q229="",P229="",P229=0,Q229=0),"",Q229-P229)</f>
        <v/>
      </c>
      <c r="S229" s="42">
        <f>IF(OR(Q229="",P229="",P229=0,Q229=0),"",Q229/P229-1)</f>
        <v/>
      </c>
      <c r="T229" s="43">
        <f>IF(OR(P229="",E229="",E229=0),"",P229/E229)</f>
        <v/>
      </c>
      <c r="U229" s="43">
        <f>IF(OR(Q229="",F229="",F229=0),"",Q229/F229)</f>
        <v/>
      </c>
      <c r="V229" s="44">
        <f>IF(OR(U229="",T229=""),"",(U229-T229)*100)</f>
        <v/>
      </c>
      <c r="W229" s="68" t="n">
        <v>988</v>
      </c>
      <c r="X229" s="68" t="n">
        <v>323</v>
      </c>
      <c r="Y229" s="69">
        <f>IF(OR(X229="",W229="",W229=0,X229=0),"",X229-W229)</f>
        <v/>
      </c>
      <c r="Z229" s="42">
        <f>IF(OR(X229="",W229="",W229=0,X229=0),"",X229/W229-1)</f>
        <v/>
      </c>
      <c r="AA229" s="43">
        <f>IF(OR(W229="",P229="",P229=0),"",W229/P229)</f>
        <v/>
      </c>
      <c r="AB229" s="43">
        <f>IF(OR(X229="",Q229="",Q229=0),"",X229/Q229)</f>
        <v/>
      </c>
      <c r="AC229" s="44">
        <f>IF(OR(AB229="",AA229=""),"",(AB229-AA229)*100)</f>
        <v/>
      </c>
      <c r="AD229" s="68" t="n">
        <v>687</v>
      </c>
      <c r="AE229" s="68" t="n">
        <v>226</v>
      </c>
      <c r="AF229" s="69">
        <f>IF(OR(AE229="",AD229="",AD229=0,AE229=0),"",AE229-AD229)</f>
        <v/>
      </c>
      <c r="AG229" s="42">
        <f>IF(OR(AE229="",AD229="",AD229=0,AE229=0),"",AE229/AD229-1)</f>
        <v/>
      </c>
      <c r="AH229" s="43">
        <f>IF(OR(AD229="",W229="",W229=0),"",AD229/W229)</f>
        <v/>
      </c>
      <c r="AI229" s="43">
        <f>IF(OR(AE229="",X229="",X229=0),"",AE229/X229)</f>
        <v/>
      </c>
      <c r="AJ229" s="44">
        <f>IF(OR(AI229="",AH229=""),"",(AI229-AH229)*100)</f>
        <v/>
      </c>
      <c r="AK229" s="68" t="n">
        <v>139</v>
      </c>
      <c r="AL229" s="68" t="n">
        <v>70</v>
      </c>
      <c r="AM229" s="69">
        <f>IF(OR(AL229="",AK229="",AK229=0,AL229=0),"",AL229-AK229)</f>
        <v/>
      </c>
      <c r="AN229" s="42">
        <f>IF(OR(AL229="",AK229="",AK229=0,AL229=0),"",AL229/AK229-1)</f>
        <v/>
      </c>
      <c r="AO229" s="43">
        <f>IF(OR(AK229="",AD229="",AD229=0),"",AK229/AD229)</f>
        <v/>
      </c>
      <c r="AP229" s="43">
        <f>IF(OR(AL229="",AE229="",AE229=0),"",AL229/AE229)</f>
        <v/>
      </c>
      <c r="AQ229" s="44">
        <f>IF(OR(AP229="",AO229=""),"",(AP229-AO229)*100)</f>
        <v/>
      </c>
      <c r="AR229" s="68" t="n">
        <v>86</v>
      </c>
      <c r="AS229" s="68" t="n">
        <v>58</v>
      </c>
      <c r="AT229" s="69">
        <f>IF(OR(AS229="",AR229="",AR229=0,AS229=0),"",AS229-AR229)</f>
        <v/>
      </c>
      <c r="AU229" s="42">
        <f>IF(OR(AS229="",AR229="",AR229=0,AS229=0),"",AS229/AR229-1)</f>
        <v/>
      </c>
      <c r="AV229" s="43">
        <f>IF(OR(AR229="",AK229="",AK229=0),"",AR229/AK229)</f>
        <v/>
      </c>
      <c r="AW229" s="43">
        <f>IF(OR(AS229="",AL229="",AL229=0),"",AS229/AL229)</f>
        <v/>
      </c>
      <c r="AX229" s="44">
        <f>IF(OR(AW229="",AV229=""),"",(AW229-AV229)*100)</f>
        <v/>
      </c>
      <c r="AY229" s="45">
        <f>IF(OR(AR229="",P229="",P229=0),"",AR229/P229)</f>
        <v/>
      </c>
      <c r="AZ229" s="45">
        <f>IF(OR(AS229="",Q229="",Q229=0),"",AS229/Q229)</f>
        <v/>
      </c>
      <c r="BA229" s="44">
        <f>IF(OR(AZ229="",AY229=""),"",(AZ229-AY229)*100)</f>
        <v/>
      </c>
      <c r="BB229" s="45">
        <f>IF(OR(AR229="",E229="",E229=0),"",AR229/E229)</f>
        <v/>
      </c>
      <c r="BC229" s="45">
        <f>IF(OR(AS229="",F229="",F229=0),"",AS229/F229)</f>
        <v/>
      </c>
      <c r="BD229" s="44">
        <f>IF(OR(BC229="",BB229=""),"",(BC229-BB229)*100)</f>
        <v/>
      </c>
      <c r="BE229" s="40">
        <f>IF(AND(F229&lt;&gt;"",E229&lt;&gt;""),"Both years",IF(F229&lt;&gt;"","1-23Aug26 rows only","1-23Aug25 rows only"))</f>
        <v/>
      </c>
    </row>
    <row r="230">
      <c r="A230" s="56" t="inlineStr">
        <is>
          <t>Airport page</t>
        </is>
      </c>
      <c r="B230" s="56" t="inlineStr">
        <is>
          <t>Paid Search</t>
        </is>
      </c>
      <c r="C230" s="56" t="inlineStr">
        <is>
          <t>Mobile</t>
        </is>
      </c>
      <c r="D230" s="56" t="inlineStr">
        <is>
          <t>Finland</t>
        </is>
      </c>
      <c r="E230" s="68" t="n">
        <v>971</v>
      </c>
      <c r="F230" s="68" t="n">
        <v>1151</v>
      </c>
      <c r="G230" s="69">
        <f>IF(OR(F230="",E230="",E230=0,F230=0),"",F230-E230)</f>
        <v/>
      </c>
      <c r="H230" s="42">
        <f>IF(OR(F230="",E230="",E230=0,F230=0),"",F230/E230-1)</f>
        <v/>
      </c>
      <c r="I230" s="68" t="n">
        <v>700</v>
      </c>
      <c r="J230" s="68" t="n">
        <v>835</v>
      </c>
      <c r="K230" s="69">
        <f>IF(OR(J230="",I230="",I230=0,J230=0),"",J230-I230)</f>
        <v/>
      </c>
      <c r="L230" s="42">
        <f>IF(OR(J230="",I230="",I230=0,J230=0),"",J230/I230-1)</f>
        <v/>
      </c>
      <c r="M230" s="43">
        <f>IF(OR(I230="",E230="",E230=0),"",I230/E230)</f>
        <v/>
      </c>
      <c r="N230" s="43">
        <f>IF(OR(J230="",F230="",F230=0),"",J230/F230)</f>
        <v/>
      </c>
      <c r="O230" s="44">
        <f>IF(OR(N230="",M230=""),"",(N230-M230)*100)</f>
        <v/>
      </c>
      <c r="P230" s="68" t="n">
        <v>655</v>
      </c>
      <c r="Q230" s="68" t="n">
        <v>816</v>
      </c>
      <c r="R230" s="69">
        <f>IF(OR(Q230="",P230="",P230=0,Q230=0),"",Q230-P230)</f>
        <v/>
      </c>
      <c r="S230" s="42">
        <f>IF(OR(Q230="",P230="",P230=0,Q230=0),"",Q230/P230-1)</f>
        <v/>
      </c>
      <c r="T230" s="43">
        <f>IF(OR(P230="",E230="",E230=0),"",P230/E230)</f>
        <v/>
      </c>
      <c r="U230" s="43">
        <f>IF(OR(Q230="",F230="",F230=0),"",Q230/F230)</f>
        <v/>
      </c>
      <c r="V230" s="44">
        <f>IF(OR(U230="",T230=""),"",(U230-T230)*100)</f>
        <v/>
      </c>
      <c r="W230" s="68" t="n">
        <v>156</v>
      </c>
      <c r="X230" s="68" t="n">
        <v>190</v>
      </c>
      <c r="Y230" s="69">
        <f>IF(OR(X230="",W230="",W230=0,X230=0),"",X230-W230)</f>
        <v/>
      </c>
      <c r="Z230" s="42">
        <f>IF(OR(X230="",W230="",W230=0,X230=0),"",X230/W230-1)</f>
        <v/>
      </c>
      <c r="AA230" s="43">
        <f>IF(OR(W230="",P230="",P230=0),"",W230/P230)</f>
        <v/>
      </c>
      <c r="AB230" s="43">
        <f>IF(OR(X230="",Q230="",Q230=0),"",X230/Q230)</f>
        <v/>
      </c>
      <c r="AC230" s="44">
        <f>IF(OR(AB230="",AA230=""),"",(AB230-AA230)*100)</f>
        <v/>
      </c>
      <c r="AD230" s="68" t="n">
        <v>107</v>
      </c>
      <c r="AE230" s="68" t="n">
        <v>119</v>
      </c>
      <c r="AF230" s="69">
        <f>IF(OR(AE230="",AD230="",AD230=0,AE230=0),"",AE230-AD230)</f>
        <v/>
      </c>
      <c r="AG230" s="42">
        <f>IF(OR(AE230="",AD230="",AD230=0,AE230=0),"",AE230/AD230-1)</f>
        <v/>
      </c>
      <c r="AH230" s="43">
        <f>IF(OR(AD230="",W230="",W230=0),"",AD230/W230)</f>
        <v/>
      </c>
      <c r="AI230" s="43">
        <f>IF(OR(AE230="",X230="",X230=0),"",AE230/X230)</f>
        <v/>
      </c>
      <c r="AJ230" s="44">
        <f>IF(OR(AI230="",AH230=""),"",(AI230-AH230)*100)</f>
        <v/>
      </c>
      <c r="AK230" s="68" t="n">
        <v>22</v>
      </c>
      <c r="AL230" s="68" t="n">
        <v>45</v>
      </c>
      <c r="AM230" s="69">
        <f>IF(OR(AL230="",AK230="",AK230=0,AL230=0),"",AL230-AK230)</f>
        <v/>
      </c>
      <c r="AN230" s="42">
        <f>IF(OR(AL230="",AK230="",AK230=0,AL230=0),"",AL230/AK230-1)</f>
        <v/>
      </c>
      <c r="AO230" s="43">
        <f>IF(OR(AK230="",AD230="",AD230=0),"",AK230/AD230)</f>
        <v/>
      </c>
      <c r="AP230" s="43">
        <f>IF(OR(AL230="",AE230="",AE230=0),"",AL230/AE230)</f>
        <v/>
      </c>
      <c r="AQ230" s="44">
        <f>IF(OR(AP230="",AO230=""),"",(AP230-AO230)*100)</f>
        <v/>
      </c>
      <c r="AR230" s="68" t="n">
        <v>16</v>
      </c>
      <c r="AS230" s="68" t="n">
        <v>32</v>
      </c>
      <c r="AT230" s="69">
        <f>IF(OR(AS230="",AR230="",AR230=0,AS230=0),"",AS230-AR230)</f>
        <v/>
      </c>
      <c r="AU230" s="42">
        <f>IF(OR(AS230="",AR230="",AR230=0,AS230=0),"",AS230/AR230-1)</f>
        <v/>
      </c>
      <c r="AV230" s="43">
        <f>IF(OR(AR230="",AK230="",AK230=0),"",AR230/AK230)</f>
        <v/>
      </c>
      <c r="AW230" s="43">
        <f>IF(OR(AS230="",AL230="",AL230=0),"",AS230/AL230)</f>
        <v/>
      </c>
      <c r="AX230" s="44">
        <f>IF(OR(AW230="",AV230=""),"",(AW230-AV230)*100)</f>
        <v/>
      </c>
      <c r="AY230" s="45">
        <f>IF(OR(AR230="",P230="",P230=0),"",AR230/P230)</f>
        <v/>
      </c>
      <c r="AZ230" s="45">
        <f>IF(OR(AS230="",Q230="",Q230=0),"",AS230/Q230)</f>
        <v/>
      </c>
      <c r="BA230" s="44">
        <f>IF(OR(AZ230="",AY230=""),"",(AZ230-AY230)*100)</f>
        <v/>
      </c>
      <c r="BB230" s="45">
        <f>IF(OR(AR230="",E230="",E230=0),"",AR230/E230)</f>
        <v/>
      </c>
      <c r="BC230" s="45">
        <f>IF(OR(AS230="",F230="",F230=0),"",AS230/F230)</f>
        <v/>
      </c>
      <c r="BD230" s="44">
        <f>IF(OR(BC230="",BB230=""),"",(BC230-BB230)*100)</f>
        <v/>
      </c>
      <c r="BE230" s="40">
        <f>IF(AND(F230&lt;&gt;"",E230&lt;&gt;""),"Both years",IF(F230&lt;&gt;"","1-23Aug26 rows only","1-23Aug25 rows only"))</f>
        <v/>
      </c>
    </row>
    <row r="231">
      <c r="A231" s="40" t="inlineStr">
        <is>
          <t>Airport page</t>
        </is>
      </c>
      <c r="B231" s="40" t="inlineStr">
        <is>
          <t>Paid Search</t>
        </is>
      </c>
      <c r="C231" s="40" t="inlineStr">
        <is>
          <t>Mobile</t>
        </is>
      </c>
      <c r="D231" s="40" t="inlineStr">
        <is>
          <t>Norway</t>
        </is>
      </c>
      <c r="E231" s="70" t="n"/>
      <c r="F231" s="68" t="n">
        <v>1061</v>
      </c>
      <c r="G231" s="69">
        <f>IF(OR(F231="",E231="",E231=0,F231=0),"",F231-E231)</f>
        <v/>
      </c>
      <c r="H231" s="42">
        <f>IF(OR(F231="",E231="",E231=0,F231=0),"",F231/E231-1)</f>
        <v/>
      </c>
      <c r="I231" s="68" t="n">
        <v>437</v>
      </c>
      <c r="J231" s="68" t="n">
        <v>763</v>
      </c>
      <c r="K231" s="69">
        <f>IF(OR(J231="",I231="",I231=0,J231=0),"",J231-I231)</f>
        <v/>
      </c>
      <c r="L231" s="42">
        <f>IF(OR(J231="",I231="",I231=0,J231=0),"",J231/I231-1)</f>
        <v/>
      </c>
      <c r="M231" s="43">
        <f>IF(OR(I231="",E231="",E231=0),"",I231/E231)</f>
        <v/>
      </c>
      <c r="N231" s="43">
        <f>IF(OR(J231="",F231="",F231=0),"",J231/F231)</f>
        <v/>
      </c>
      <c r="O231" s="44">
        <f>IF(OR(N231="",M231=""),"",(N231-M231)*100)</f>
        <v/>
      </c>
      <c r="P231" s="70" t="n"/>
      <c r="Q231" s="68" t="n">
        <v>730</v>
      </c>
      <c r="R231" s="69">
        <f>IF(OR(Q231="",P231="",P231=0,Q231=0),"",Q231-P231)</f>
        <v/>
      </c>
      <c r="S231" s="42">
        <f>IF(OR(Q231="",P231="",P231=0,Q231=0),"",Q231/P231-1)</f>
        <v/>
      </c>
      <c r="T231" s="43">
        <f>IF(OR(P231="",E231="",E231=0),"",P231/E231)</f>
        <v/>
      </c>
      <c r="U231" s="43">
        <f>IF(OR(Q231="",F231="",F231=0),"",Q231/F231)</f>
        <v/>
      </c>
      <c r="V231" s="44">
        <f>IF(OR(U231="",T231=""),"",(U231-T231)*100)</f>
        <v/>
      </c>
      <c r="W231" s="68" t="n">
        <v>109</v>
      </c>
      <c r="X231" s="68" t="n">
        <v>213</v>
      </c>
      <c r="Y231" s="69">
        <f>IF(OR(X231="",W231="",W231=0,X231=0),"",X231-W231)</f>
        <v/>
      </c>
      <c r="Z231" s="42">
        <f>IF(OR(X231="",W231="",W231=0,X231=0),"",X231/W231-1)</f>
        <v/>
      </c>
      <c r="AA231" s="43">
        <f>IF(OR(W231="",P231="",P231=0),"",W231/P231)</f>
        <v/>
      </c>
      <c r="AB231" s="43">
        <f>IF(OR(X231="",Q231="",Q231=0),"",X231/Q231)</f>
        <v/>
      </c>
      <c r="AC231" s="44">
        <f>IF(OR(AB231="",AA231=""),"",(AB231-AA231)*100)</f>
        <v/>
      </c>
      <c r="AD231" s="68" t="n">
        <v>80</v>
      </c>
      <c r="AE231" s="68" t="n">
        <v>117</v>
      </c>
      <c r="AF231" s="69">
        <f>IF(OR(AE231="",AD231="",AD231=0,AE231=0),"",AE231-AD231)</f>
        <v/>
      </c>
      <c r="AG231" s="42">
        <f>IF(OR(AE231="",AD231="",AD231=0,AE231=0),"",AE231/AD231-1)</f>
        <v/>
      </c>
      <c r="AH231" s="43">
        <f>IF(OR(AD231="",W231="",W231=0),"",AD231/W231)</f>
        <v/>
      </c>
      <c r="AI231" s="43">
        <f>IF(OR(AE231="",X231="",X231=0),"",AE231/X231)</f>
        <v/>
      </c>
      <c r="AJ231" s="44">
        <f>IF(OR(AI231="",AH231=""),"",(AI231-AH231)*100)</f>
        <v/>
      </c>
      <c r="AK231" s="68" t="n">
        <v>27</v>
      </c>
      <c r="AL231" s="68" t="n">
        <v>43</v>
      </c>
      <c r="AM231" s="69">
        <f>IF(OR(AL231="",AK231="",AK231=0,AL231=0),"",AL231-AK231)</f>
        <v/>
      </c>
      <c r="AN231" s="42">
        <f>IF(OR(AL231="",AK231="",AK231=0,AL231=0),"",AL231/AK231-1)</f>
        <v/>
      </c>
      <c r="AO231" s="43">
        <f>IF(OR(AK231="",AD231="",AD231=0),"",AK231/AD231)</f>
        <v/>
      </c>
      <c r="AP231" s="43">
        <f>IF(OR(AL231="",AE231="",AE231=0),"",AL231/AE231)</f>
        <v/>
      </c>
      <c r="AQ231" s="44">
        <f>IF(OR(AP231="",AO231=""),"",(AP231-AO231)*100)</f>
        <v/>
      </c>
      <c r="AR231" s="68" t="n">
        <v>22</v>
      </c>
      <c r="AS231" s="68" t="n">
        <v>35</v>
      </c>
      <c r="AT231" s="69">
        <f>IF(OR(AS231="",AR231="",AR231=0,AS231=0),"",AS231-AR231)</f>
        <v/>
      </c>
      <c r="AU231" s="42">
        <f>IF(OR(AS231="",AR231="",AR231=0,AS231=0),"",AS231/AR231-1)</f>
        <v/>
      </c>
      <c r="AV231" s="43">
        <f>IF(OR(AR231="",AK231="",AK231=0),"",AR231/AK231)</f>
        <v/>
      </c>
      <c r="AW231" s="43">
        <f>IF(OR(AS231="",AL231="",AL231=0),"",AS231/AL231)</f>
        <v/>
      </c>
      <c r="AX231" s="44">
        <f>IF(OR(AW231="",AV231=""),"",(AW231-AV231)*100)</f>
        <v/>
      </c>
      <c r="AY231" s="45">
        <f>IF(OR(AR231="",P231="",P231=0),"",AR231/P231)</f>
        <v/>
      </c>
      <c r="AZ231" s="45">
        <f>IF(OR(AS231="",Q231="",Q231=0),"",AS231/Q231)</f>
        <v/>
      </c>
      <c r="BA231" s="44">
        <f>IF(OR(AZ231="",AY231=""),"",(AZ231-AY231)*100)</f>
        <v/>
      </c>
      <c r="BB231" s="45">
        <f>IF(OR(AR231="",E231="",E231=0),"",AR231/E231)</f>
        <v/>
      </c>
      <c r="BC231" s="45">
        <f>IF(OR(AS231="",F231="",F231=0),"",AS231/F231)</f>
        <v/>
      </c>
      <c r="BD231" s="44">
        <f>IF(OR(BC231="",BB231=""),"",(BC231-BB231)*100)</f>
        <v/>
      </c>
      <c r="BE231" s="40">
        <f>IF(AND(F231&lt;&gt;"",E231&lt;&gt;""),"Both years",IF(F231&lt;&gt;"","1-23Aug26 rows only","1-23Aug25 rows only"))</f>
        <v/>
      </c>
    </row>
    <row r="232">
      <c r="A232" s="56" t="inlineStr">
        <is>
          <t>Airport page</t>
        </is>
      </c>
      <c r="B232" s="56" t="inlineStr">
        <is>
          <t>Paid Search</t>
        </is>
      </c>
      <c r="C232" s="56" t="inlineStr">
        <is>
          <t>Mobile</t>
        </is>
      </c>
      <c r="D232" s="56" t="inlineStr">
        <is>
          <t>Denmark</t>
        </is>
      </c>
      <c r="E232" s="70" t="n"/>
      <c r="F232" s="68" t="n">
        <v>1059</v>
      </c>
      <c r="G232" s="69">
        <f>IF(OR(F232="",E232="",E232=0,F232=0),"",F232-E232)</f>
        <v/>
      </c>
      <c r="H232" s="42">
        <f>IF(OR(F232="",E232="",E232=0,F232=0),"",F232/E232-1)</f>
        <v/>
      </c>
      <c r="I232" s="70" t="n"/>
      <c r="J232" s="70" t="n"/>
      <c r="K232" s="69">
        <f>IF(OR(J232="",I232="",I232=0,J232=0),"",J232-I232)</f>
        <v/>
      </c>
      <c r="L232" s="42">
        <f>IF(OR(J232="",I232="",I232=0,J232=0),"",J232/I232-1)</f>
        <v/>
      </c>
      <c r="M232" s="43">
        <f>IF(OR(I232="",E232="",E232=0),"",I232/E232)</f>
        <v/>
      </c>
      <c r="N232" s="43">
        <f>IF(OR(J232="",F232="",F232=0),"",J232/F232)</f>
        <v/>
      </c>
      <c r="O232" s="44">
        <f>IF(OR(N232="",M232=""),"",(N232-M232)*100)</f>
        <v/>
      </c>
      <c r="P232" s="68" t="n">
        <v>439</v>
      </c>
      <c r="Q232" s="68" t="n">
        <v>709</v>
      </c>
      <c r="R232" s="69">
        <f>IF(OR(Q232="",P232="",P232=0,Q232=0),"",Q232-P232)</f>
        <v/>
      </c>
      <c r="S232" s="42">
        <f>IF(OR(Q232="",P232="",P232=0,Q232=0),"",Q232/P232-1)</f>
        <v/>
      </c>
      <c r="T232" s="43">
        <f>IF(OR(P232="",E232="",E232=0),"",P232/E232)</f>
        <v/>
      </c>
      <c r="U232" s="43">
        <f>IF(OR(Q232="",F232="",F232=0),"",Q232/F232)</f>
        <v/>
      </c>
      <c r="V232" s="44">
        <f>IF(OR(U232="",T232=""),"",(U232-T232)*100)</f>
        <v/>
      </c>
      <c r="W232" s="70" t="n"/>
      <c r="X232" s="70" t="n"/>
      <c r="Y232" s="69">
        <f>IF(OR(X232="",W232="",W232=0,X232=0),"",X232-W232)</f>
        <v/>
      </c>
      <c r="Z232" s="42">
        <f>IF(OR(X232="",W232="",W232=0,X232=0),"",X232/W232-1)</f>
        <v/>
      </c>
      <c r="AA232" s="43">
        <f>IF(OR(W232="",P232="",P232=0),"",W232/P232)</f>
        <v/>
      </c>
      <c r="AB232" s="43">
        <f>IF(OR(X232="",Q232="",Q232=0),"",X232/Q232)</f>
        <v/>
      </c>
      <c r="AC232" s="44">
        <f>IF(OR(AB232="",AA232=""),"",(AB232-AA232)*100)</f>
        <v/>
      </c>
      <c r="AD232" s="70" t="n"/>
      <c r="AE232" s="70" t="n"/>
      <c r="AF232" s="69">
        <f>IF(OR(AE232="",AD232="",AD232=0,AE232=0),"",AE232-AD232)</f>
        <v/>
      </c>
      <c r="AG232" s="42">
        <f>IF(OR(AE232="",AD232="",AD232=0,AE232=0),"",AE232/AD232-1)</f>
        <v/>
      </c>
      <c r="AH232" s="43">
        <f>IF(OR(AD232="",W232="",W232=0),"",AD232/W232)</f>
        <v/>
      </c>
      <c r="AI232" s="43">
        <f>IF(OR(AE232="",X232="",X232=0),"",AE232/X232)</f>
        <v/>
      </c>
      <c r="AJ232" s="44">
        <f>IF(OR(AI232="",AH232=""),"",(AI232-AH232)*100)</f>
        <v/>
      </c>
      <c r="AK232" s="70" t="n"/>
      <c r="AL232" s="70" t="n"/>
      <c r="AM232" s="69">
        <f>IF(OR(AL232="",AK232="",AK232=0,AL232=0),"",AL232-AK232)</f>
        <v/>
      </c>
      <c r="AN232" s="42">
        <f>IF(OR(AL232="",AK232="",AK232=0,AL232=0),"",AL232/AK232-1)</f>
        <v/>
      </c>
      <c r="AO232" s="43">
        <f>IF(OR(AK232="",AD232="",AD232=0),"",AK232/AD232)</f>
        <v/>
      </c>
      <c r="AP232" s="43">
        <f>IF(OR(AL232="",AE232="",AE232=0),"",AL232/AE232)</f>
        <v/>
      </c>
      <c r="AQ232" s="44">
        <f>IF(OR(AP232="",AO232=""),"",(AP232-AO232)*100)</f>
        <v/>
      </c>
      <c r="AR232" s="70" t="n"/>
      <c r="AS232" s="70" t="n"/>
      <c r="AT232" s="69">
        <f>IF(OR(AS232="",AR232="",AR232=0,AS232=0),"",AS232-AR232)</f>
        <v/>
      </c>
      <c r="AU232" s="42">
        <f>IF(OR(AS232="",AR232="",AR232=0,AS232=0),"",AS232/AR232-1)</f>
        <v/>
      </c>
      <c r="AV232" s="43">
        <f>IF(OR(AR232="",AK232="",AK232=0),"",AR232/AK232)</f>
        <v/>
      </c>
      <c r="AW232" s="43">
        <f>IF(OR(AS232="",AL232="",AL232=0),"",AS232/AL232)</f>
        <v/>
      </c>
      <c r="AX232" s="44">
        <f>IF(OR(AW232="",AV232=""),"",(AW232-AV232)*100)</f>
        <v/>
      </c>
      <c r="AY232" s="45">
        <f>IF(OR(AR232="",P232="",P232=0),"",AR232/P232)</f>
        <v/>
      </c>
      <c r="AZ232" s="45">
        <f>IF(OR(AS232="",Q232="",Q232=0),"",AS232/Q232)</f>
        <v/>
      </c>
      <c r="BA232" s="44">
        <f>IF(OR(AZ232="",AY232=""),"",(AZ232-AY232)*100)</f>
        <v/>
      </c>
      <c r="BB232" s="45">
        <f>IF(OR(AR232="",E232="",E232=0),"",AR232/E232)</f>
        <v/>
      </c>
      <c r="BC232" s="45">
        <f>IF(OR(AS232="",F232="",F232=0),"",AS232/F232)</f>
        <v/>
      </c>
      <c r="BD232" s="44">
        <f>IF(OR(BC232="",BB232=""),"",(BC232-BB232)*100)</f>
        <v/>
      </c>
      <c r="BE232" s="40">
        <f>IF(AND(F232&lt;&gt;"",E232&lt;&gt;""),"Both years",IF(F232&lt;&gt;"","1-23Aug26 rows only","1-23Aug25 rows only"))</f>
        <v/>
      </c>
    </row>
    <row r="233">
      <c r="A233" s="40" t="inlineStr">
        <is>
          <t>Airport page</t>
        </is>
      </c>
      <c r="B233" s="40" t="inlineStr">
        <is>
          <t>Paid Search</t>
        </is>
      </c>
      <c r="C233" s="40" t="inlineStr">
        <is>
          <t>Mobile</t>
        </is>
      </c>
      <c r="D233" s="40" t="inlineStr">
        <is>
          <t>Austria</t>
        </is>
      </c>
      <c r="E233" s="68" t="n">
        <v>849</v>
      </c>
      <c r="F233" s="68" t="n">
        <v>763</v>
      </c>
      <c r="G233" s="69">
        <f>IF(OR(F233="",E233="",E233=0,F233=0),"",F233-E233)</f>
        <v/>
      </c>
      <c r="H233" s="42">
        <f>IF(OR(F233="",E233="",E233=0,F233=0),"",F233/E233-1)</f>
        <v/>
      </c>
      <c r="I233" s="70" t="n"/>
      <c r="J233" s="70" t="n"/>
      <c r="K233" s="69">
        <f>IF(OR(J233="",I233="",I233=0,J233=0),"",J233-I233)</f>
        <v/>
      </c>
      <c r="L233" s="42">
        <f>IF(OR(J233="",I233="",I233=0,J233=0),"",J233/I233-1)</f>
        <v/>
      </c>
      <c r="M233" s="43">
        <f>IF(OR(I233="",E233="",E233=0),"",I233/E233)</f>
        <v/>
      </c>
      <c r="N233" s="43">
        <f>IF(OR(J233="",F233="",F233=0),"",J233/F233)</f>
        <v/>
      </c>
      <c r="O233" s="44">
        <f>IF(OR(N233="",M233=""),"",(N233-M233)*100)</f>
        <v/>
      </c>
      <c r="P233" s="68" t="n">
        <v>592</v>
      </c>
      <c r="Q233" s="68" t="n">
        <v>533</v>
      </c>
      <c r="R233" s="69">
        <f>IF(OR(Q233="",P233="",P233=0,Q233=0),"",Q233-P233)</f>
        <v/>
      </c>
      <c r="S233" s="42">
        <f>IF(OR(Q233="",P233="",P233=0,Q233=0),"",Q233/P233-1)</f>
        <v/>
      </c>
      <c r="T233" s="43">
        <f>IF(OR(P233="",E233="",E233=0),"",P233/E233)</f>
        <v/>
      </c>
      <c r="U233" s="43">
        <f>IF(OR(Q233="",F233="",F233=0),"",Q233/F233)</f>
        <v/>
      </c>
      <c r="V233" s="44">
        <f>IF(OR(U233="",T233=""),"",(U233-T233)*100)</f>
        <v/>
      </c>
      <c r="W233" s="70" t="n"/>
      <c r="X233" s="70" t="n"/>
      <c r="Y233" s="69">
        <f>IF(OR(X233="",W233="",W233=0,X233=0),"",X233-W233)</f>
        <v/>
      </c>
      <c r="Z233" s="42">
        <f>IF(OR(X233="",W233="",W233=0,X233=0),"",X233/W233-1)</f>
        <v/>
      </c>
      <c r="AA233" s="43">
        <f>IF(OR(W233="",P233="",P233=0),"",W233/P233)</f>
        <v/>
      </c>
      <c r="AB233" s="43">
        <f>IF(OR(X233="",Q233="",Q233=0),"",X233/Q233)</f>
        <v/>
      </c>
      <c r="AC233" s="44">
        <f>IF(OR(AB233="",AA233=""),"",(AB233-AA233)*100)</f>
        <v/>
      </c>
      <c r="AD233" s="70" t="n"/>
      <c r="AE233" s="70" t="n"/>
      <c r="AF233" s="69">
        <f>IF(OR(AE233="",AD233="",AD233=0,AE233=0),"",AE233-AD233)</f>
        <v/>
      </c>
      <c r="AG233" s="42">
        <f>IF(OR(AE233="",AD233="",AD233=0,AE233=0),"",AE233/AD233-1)</f>
        <v/>
      </c>
      <c r="AH233" s="43">
        <f>IF(OR(AD233="",W233="",W233=0),"",AD233/W233)</f>
        <v/>
      </c>
      <c r="AI233" s="43">
        <f>IF(OR(AE233="",X233="",X233=0),"",AE233/X233)</f>
        <v/>
      </c>
      <c r="AJ233" s="44">
        <f>IF(OR(AI233="",AH233=""),"",(AI233-AH233)*100)</f>
        <v/>
      </c>
      <c r="AK233" s="70" t="n"/>
      <c r="AL233" s="70" t="n"/>
      <c r="AM233" s="69">
        <f>IF(OR(AL233="",AK233="",AK233=0,AL233=0),"",AL233-AK233)</f>
        <v/>
      </c>
      <c r="AN233" s="42">
        <f>IF(OR(AL233="",AK233="",AK233=0,AL233=0),"",AL233/AK233-1)</f>
        <v/>
      </c>
      <c r="AO233" s="43">
        <f>IF(OR(AK233="",AD233="",AD233=0),"",AK233/AD233)</f>
        <v/>
      </c>
      <c r="AP233" s="43">
        <f>IF(OR(AL233="",AE233="",AE233=0),"",AL233/AE233)</f>
        <v/>
      </c>
      <c r="AQ233" s="44">
        <f>IF(OR(AP233="",AO233=""),"",(AP233-AO233)*100)</f>
        <v/>
      </c>
      <c r="AR233" s="70" t="n"/>
      <c r="AS233" s="70" t="n"/>
      <c r="AT233" s="69">
        <f>IF(OR(AS233="",AR233="",AR233=0,AS233=0),"",AS233-AR233)</f>
        <v/>
      </c>
      <c r="AU233" s="42">
        <f>IF(OR(AS233="",AR233="",AR233=0,AS233=0),"",AS233/AR233-1)</f>
        <v/>
      </c>
      <c r="AV233" s="43">
        <f>IF(OR(AR233="",AK233="",AK233=0),"",AR233/AK233)</f>
        <v/>
      </c>
      <c r="AW233" s="43">
        <f>IF(OR(AS233="",AL233="",AL233=0),"",AS233/AL233)</f>
        <v/>
      </c>
      <c r="AX233" s="44">
        <f>IF(OR(AW233="",AV233=""),"",(AW233-AV233)*100)</f>
        <v/>
      </c>
      <c r="AY233" s="45">
        <f>IF(OR(AR233="",P233="",P233=0),"",AR233/P233)</f>
        <v/>
      </c>
      <c r="AZ233" s="45">
        <f>IF(OR(AS233="",Q233="",Q233=0),"",AS233/Q233)</f>
        <v/>
      </c>
      <c r="BA233" s="44">
        <f>IF(OR(AZ233="",AY233=""),"",(AZ233-AY233)*100)</f>
        <v/>
      </c>
      <c r="BB233" s="45">
        <f>IF(OR(AR233="",E233="",E233=0),"",AR233/E233)</f>
        <v/>
      </c>
      <c r="BC233" s="45">
        <f>IF(OR(AS233="",F233="",F233=0),"",AS233/F233)</f>
        <v/>
      </c>
      <c r="BD233" s="44">
        <f>IF(OR(BC233="",BB233=""),"",(BC233-BB233)*100)</f>
        <v/>
      </c>
      <c r="BE233" s="40">
        <f>IF(AND(F233&lt;&gt;"",E233&lt;&gt;""),"Both years",IF(F233&lt;&gt;"","1-23Aug26 rows only","1-23Aug25 rows only"))</f>
        <v/>
      </c>
    </row>
    <row r="234">
      <c r="A234" s="56" t="inlineStr">
        <is>
          <t>Airport page</t>
        </is>
      </c>
      <c r="B234" s="56" t="inlineStr">
        <is>
          <t>Paid Search</t>
        </is>
      </c>
      <c r="C234" s="56" t="inlineStr">
        <is>
          <t>Mobile</t>
        </is>
      </c>
      <c r="D234" s="56" t="inlineStr">
        <is>
          <t>Poland</t>
        </is>
      </c>
      <c r="E234" s="70" t="n"/>
      <c r="F234" s="68" t="n">
        <v>664</v>
      </c>
      <c r="G234" s="69">
        <f>IF(OR(F234="",E234="",E234=0,F234=0),"",F234-E234)</f>
        <v/>
      </c>
      <c r="H234" s="42">
        <f>IF(OR(F234="",E234="",E234=0,F234=0),"",F234/E234-1)</f>
        <v/>
      </c>
      <c r="I234" s="70" t="n"/>
      <c r="J234" s="70" t="n"/>
      <c r="K234" s="69">
        <f>IF(OR(J234="",I234="",I234=0,J234=0),"",J234-I234)</f>
        <v/>
      </c>
      <c r="L234" s="42">
        <f>IF(OR(J234="",I234="",I234=0,J234=0),"",J234/I234-1)</f>
        <v/>
      </c>
      <c r="M234" s="43">
        <f>IF(OR(I234="",E234="",E234=0),"",I234/E234)</f>
        <v/>
      </c>
      <c r="N234" s="43">
        <f>IF(OR(J234="",F234="",F234=0),"",J234/F234)</f>
        <v/>
      </c>
      <c r="O234" s="44">
        <f>IF(OR(N234="",M234=""),"",(N234-M234)*100)</f>
        <v/>
      </c>
      <c r="P234" s="70" t="n"/>
      <c r="Q234" s="68" t="n">
        <v>427</v>
      </c>
      <c r="R234" s="69">
        <f>IF(OR(Q234="",P234="",P234=0,Q234=0),"",Q234-P234)</f>
        <v/>
      </c>
      <c r="S234" s="42">
        <f>IF(OR(Q234="",P234="",P234=0,Q234=0),"",Q234/P234-1)</f>
        <v/>
      </c>
      <c r="T234" s="43">
        <f>IF(OR(P234="",E234="",E234=0),"",P234/E234)</f>
        <v/>
      </c>
      <c r="U234" s="43">
        <f>IF(OR(Q234="",F234="",F234=0),"",Q234/F234)</f>
        <v/>
      </c>
      <c r="V234" s="44">
        <f>IF(OR(U234="",T234=""),"",(U234-T234)*100)</f>
        <v/>
      </c>
      <c r="W234" s="70" t="n"/>
      <c r="X234" s="70" t="n"/>
      <c r="Y234" s="69">
        <f>IF(OR(X234="",W234="",W234=0,X234=0),"",X234-W234)</f>
        <v/>
      </c>
      <c r="Z234" s="42">
        <f>IF(OR(X234="",W234="",W234=0,X234=0),"",X234/W234-1)</f>
        <v/>
      </c>
      <c r="AA234" s="43">
        <f>IF(OR(W234="",P234="",P234=0),"",W234/P234)</f>
        <v/>
      </c>
      <c r="AB234" s="43">
        <f>IF(OR(X234="",Q234="",Q234=0),"",X234/Q234)</f>
        <v/>
      </c>
      <c r="AC234" s="44">
        <f>IF(OR(AB234="",AA234=""),"",(AB234-AA234)*100)</f>
        <v/>
      </c>
      <c r="AD234" s="70" t="n"/>
      <c r="AE234" s="70" t="n"/>
      <c r="AF234" s="69">
        <f>IF(OR(AE234="",AD234="",AD234=0,AE234=0),"",AE234-AD234)</f>
        <v/>
      </c>
      <c r="AG234" s="42">
        <f>IF(OR(AE234="",AD234="",AD234=0,AE234=0),"",AE234/AD234-1)</f>
        <v/>
      </c>
      <c r="AH234" s="43">
        <f>IF(OR(AD234="",W234="",W234=0),"",AD234/W234)</f>
        <v/>
      </c>
      <c r="AI234" s="43">
        <f>IF(OR(AE234="",X234="",X234=0),"",AE234/X234)</f>
        <v/>
      </c>
      <c r="AJ234" s="44">
        <f>IF(OR(AI234="",AH234=""),"",(AI234-AH234)*100)</f>
        <v/>
      </c>
      <c r="AK234" s="70" t="n"/>
      <c r="AL234" s="70" t="n"/>
      <c r="AM234" s="69">
        <f>IF(OR(AL234="",AK234="",AK234=0,AL234=0),"",AL234-AK234)</f>
        <v/>
      </c>
      <c r="AN234" s="42">
        <f>IF(OR(AL234="",AK234="",AK234=0,AL234=0),"",AL234/AK234-1)</f>
        <v/>
      </c>
      <c r="AO234" s="43">
        <f>IF(OR(AK234="",AD234="",AD234=0),"",AK234/AD234)</f>
        <v/>
      </c>
      <c r="AP234" s="43">
        <f>IF(OR(AL234="",AE234="",AE234=0),"",AL234/AE234)</f>
        <v/>
      </c>
      <c r="AQ234" s="44">
        <f>IF(OR(AP234="",AO234=""),"",(AP234-AO234)*100)</f>
        <v/>
      </c>
      <c r="AR234" s="70" t="n"/>
      <c r="AS234" s="70" t="n"/>
      <c r="AT234" s="69">
        <f>IF(OR(AS234="",AR234="",AR234=0,AS234=0),"",AS234-AR234)</f>
        <v/>
      </c>
      <c r="AU234" s="42">
        <f>IF(OR(AS234="",AR234="",AR234=0,AS234=0),"",AS234/AR234-1)</f>
        <v/>
      </c>
      <c r="AV234" s="43">
        <f>IF(OR(AR234="",AK234="",AK234=0),"",AR234/AK234)</f>
        <v/>
      </c>
      <c r="AW234" s="43">
        <f>IF(OR(AS234="",AL234="",AL234=0),"",AS234/AL234)</f>
        <v/>
      </c>
      <c r="AX234" s="44">
        <f>IF(OR(AW234="",AV234=""),"",(AW234-AV234)*100)</f>
        <v/>
      </c>
      <c r="AY234" s="45">
        <f>IF(OR(AR234="",P234="",P234=0),"",AR234/P234)</f>
        <v/>
      </c>
      <c r="AZ234" s="45">
        <f>IF(OR(AS234="",Q234="",Q234=0),"",AS234/Q234)</f>
        <v/>
      </c>
      <c r="BA234" s="44">
        <f>IF(OR(AZ234="",AY234=""),"",(AZ234-AY234)*100)</f>
        <v/>
      </c>
      <c r="BB234" s="45">
        <f>IF(OR(AR234="",E234="",E234=0),"",AR234/E234)</f>
        <v/>
      </c>
      <c r="BC234" s="45">
        <f>IF(OR(AS234="",F234="",F234=0),"",AS234/F234)</f>
        <v/>
      </c>
      <c r="BD234" s="44">
        <f>IF(OR(BC234="",BB234=""),"",(BC234-BB234)*100)</f>
        <v/>
      </c>
      <c r="BE234" s="40">
        <f>IF(AND(F234&lt;&gt;"",E234&lt;&gt;""),"Both years",IF(F234&lt;&gt;"","1-23Aug26 rows only","1-23Aug25 rows only"))</f>
        <v/>
      </c>
    </row>
    <row r="235">
      <c r="A235" s="40" t="inlineStr">
        <is>
          <t>Airport page</t>
        </is>
      </c>
      <c r="B235" s="40" t="inlineStr">
        <is>
          <t>Paid Search</t>
        </is>
      </c>
      <c r="C235" s="40" t="inlineStr">
        <is>
          <t>Mobile</t>
        </is>
      </c>
      <c r="D235" s="40" t="inlineStr">
        <is>
          <t>United States</t>
        </is>
      </c>
      <c r="E235" s="68" t="n">
        <v>1277</v>
      </c>
      <c r="F235" s="70" t="n"/>
      <c r="G235" s="69">
        <f>IF(OR(F235="",E235="",E235=0,F235=0),"",F235-E235)</f>
        <v/>
      </c>
      <c r="H235" s="42">
        <f>IF(OR(F235="",E235="",E235=0,F235=0),"",F235/E235-1)</f>
        <v/>
      </c>
      <c r="I235" s="68" t="n">
        <v>703</v>
      </c>
      <c r="J235" s="68" t="n">
        <v>272</v>
      </c>
      <c r="K235" s="69">
        <f>IF(OR(J235="",I235="",I235=0,J235=0),"",J235-I235)</f>
        <v/>
      </c>
      <c r="L235" s="42">
        <f>IF(OR(J235="",I235="",I235=0,J235=0),"",J235/I235-1)</f>
        <v/>
      </c>
      <c r="M235" s="43">
        <f>IF(OR(I235="",E235="",E235=0),"",I235/E235)</f>
        <v/>
      </c>
      <c r="N235" s="43">
        <f>IF(OR(J235="",F235="",F235=0),"",J235/F235)</f>
        <v/>
      </c>
      <c r="O235" s="44">
        <f>IF(OR(N235="",M235=""),"",(N235-M235)*100)</f>
        <v/>
      </c>
      <c r="P235" s="68" t="n">
        <v>506</v>
      </c>
      <c r="Q235" s="70" t="n"/>
      <c r="R235" s="69">
        <f>IF(OR(Q235="",P235="",P235=0,Q235=0),"",Q235-P235)</f>
        <v/>
      </c>
      <c r="S235" s="42">
        <f>IF(OR(Q235="",P235="",P235=0,Q235=0),"",Q235/P235-1)</f>
        <v/>
      </c>
      <c r="T235" s="43">
        <f>IF(OR(P235="",E235="",E235=0),"",P235/E235)</f>
        <v/>
      </c>
      <c r="U235" s="43">
        <f>IF(OR(Q235="",F235="",F235=0),"",Q235/F235)</f>
        <v/>
      </c>
      <c r="V235" s="44">
        <f>IF(OR(U235="",T235=""),"",(U235-T235)*100)</f>
        <v/>
      </c>
      <c r="W235" s="68" t="n">
        <v>162</v>
      </c>
      <c r="X235" s="68" t="n">
        <v>84</v>
      </c>
      <c r="Y235" s="69">
        <f>IF(OR(X235="",W235="",W235=0,X235=0),"",X235-W235)</f>
        <v/>
      </c>
      <c r="Z235" s="42">
        <f>IF(OR(X235="",W235="",W235=0,X235=0),"",X235/W235-1)</f>
        <v/>
      </c>
      <c r="AA235" s="43">
        <f>IF(OR(W235="",P235="",P235=0),"",W235/P235)</f>
        <v/>
      </c>
      <c r="AB235" s="43">
        <f>IF(OR(X235="",Q235="",Q235=0),"",X235/Q235)</f>
        <v/>
      </c>
      <c r="AC235" s="44">
        <f>IF(OR(AB235="",AA235=""),"",(AB235-AA235)*100)</f>
        <v/>
      </c>
      <c r="AD235" s="68" t="n">
        <v>131</v>
      </c>
      <c r="AE235" s="68" t="n">
        <v>74</v>
      </c>
      <c r="AF235" s="69">
        <f>IF(OR(AE235="",AD235="",AD235=0,AE235=0),"",AE235-AD235)</f>
        <v/>
      </c>
      <c r="AG235" s="42">
        <f>IF(OR(AE235="",AD235="",AD235=0,AE235=0),"",AE235/AD235-1)</f>
        <v/>
      </c>
      <c r="AH235" s="43">
        <f>IF(OR(AD235="",W235="",W235=0),"",AD235/W235)</f>
        <v/>
      </c>
      <c r="AI235" s="43">
        <f>IF(OR(AE235="",X235="",X235=0),"",AE235/X235)</f>
        <v/>
      </c>
      <c r="AJ235" s="44">
        <f>IF(OR(AI235="",AH235=""),"",(AI235-AH235)*100)</f>
        <v/>
      </c>
      <c r="AK235" s="68" t="n">
        <v>44</v>
      </c>
      <c r="AL235" s="68" t="n">
        <v>19</v>
      </c>
      <c r="AM235" s="69">
        <f>IF(OR(AL235="",AK235="",AK235=0,AL235=0),"",AL235-AK235)</f>
        <v/>
      </c>
      <c r="AN235" s="42">
        <f>IF(OR(AL235="",AK235="",AK235=0,AL235=0),"",AL235/AK235-1)</f>
        <v/>
      </c>
      <c r="AO235" s="43">
        <f>IF(OR(AK235="",AD235="",AD235=0),"",AK235/AD235)</f>
        <v/>
      </c>
      <c r="AP235" s="43">
        <f>IF(OR(AL235="",AE235="",AE235=0),"",AL235/AE235)</f>
        <v/>
      </c>
      <c r="AQ235" s="44">
        <f>IF(OR(AP235="",AO235=""),"",(AP235-AO235)*100)</f>
        <v/>
      </c>
      <c r="AR235" s="68" t="n">
        <v>28</v>
      </c>
      <c r="AS235" s="68" t="n">
        <v>16</v>
      </c>
      <c r="AT235" s="69">
        <f>IF(OR(AS235="",AR235="",AR235=0,AS235=0),"",AS235-AR235)</f>
        <v/>
      </c>
      <c r="AU235" s="42">
        <f>IF(OR(AS235="",AR235="",AR235=0,AS235=0),"",AS235/AR235-1)</f>
        <v/>
      </c>
      <c r="AV235" s="43">
        <f>IF(OR(AR235="",AK235="",AK235=0),"",AR235/AK235)</f>
        <v/>
      </c>
      <c r="AW235" s="43">
        <f>IF(OR(AS235="",AL235="",AL235=0),"",AS235/AL235)</f>
        <v/>
      </c>
      <c r="AX235" s="44">
        <f>IF(OR(AW235="",AV235=""),"",(AW235-AV235)*100)</f>
        <v/>
      </c>
      <c r="AY235" s="45">
        <f>IF(OR(AR235="",P235="",P235=0),"",AR235/P235)</f>
        <v/>
      </c>
      <c r="AZ235" s="45">
        <f>IF(OR(AS235="",Q235="",Q235=0),"",AS235/Q235)</f>
        <v/>
      </c>
      <c r="BA235" s="44">
        <f>IF(OR(AZ235="",AY235=""),"",(AZ235-AY235)*100)</f>
        <v/>
      </c>
      <c r="BB235" s="45">
        <f>IF(OR(AR235="",E235="",E235=0),"",AR235/E235)</f>
        <v/>
      </c>
      <c r="BC235" s="45">
        <f>IF(OR(AS235="",F235="",F235=0),"",AS235/F235)</f>
        <v/>
      </c>
      <c r="BD235" s="44">
        <f>IF(OR(BC235="",BB235=""),"",(BC235-BB235)*100)</f>
        <v/>
      </c>
      <c r="BE235" s="40">
        <f>IF(AND(F235&lt;&gt;"",E235&lt;&gt;""),"Both years",IF(F235&lt;&gt;"","1-23Aug26 rows only","1-23Aug25 rows only"))</f>
        <v/>
      </c>
    </row>
    <row r="236">
      <c r="A236" s="56" t="inlineStr">
        <is>
          <t>Airport page</t>
        </is>
      </c>
      <c r="B236" s="56" t="inlineStr">
        <is>
          <t>Paid Search</t>
        </is>
      </c>
      <c r="C236" s="56" t="inlineStr">
        <is>
          <t>Mobile</t>
        </is>
      </c>
      <c r="D236" s="56" t="inlineStr">
        <is>
          <t>Honduras</t>
        </is>
      </c>
      <c r="E236" s="68" t="n">
        <v>1257</v>
      </c>
      <c r="F236" s="70" t="n"/>
      <c r="G236" s="69">
        <f>IF(OR(F236="",E236="",E236=0,F236=0),"",F236-E236)</f>
        <v/>
      </c>
      <c r="H236" s="42">
        <f>IF(OR(F236="",E236="",E236=0,F236=0),"",F236/E236-1)</f>
        <v/>
      </c>
      <c r="I236" s="70" t="n"/>
      <c r="J236" s="70" t="n"/>
      <c r="K236" s="69">
        <f>IF(OR(J236="",I236="",I236=0,J236=0),"",J236-I236)</f>
        <v/>
      </c>
      <c r="L236" s="42">
        <f>IF(OR(J236="",I236="",I236=0,J236=0),"",J236/I236-1)</f>
        <v/>
      </c>
      <c r="M236" s="43">
        <f>IF(OR(I236="",E236="",E236=0),"",I236/E236)</f>
        <v/>
      </c>
      <c r="N236" s="43">
        <f>IF(OR(J236="",F236="",F236=0),"",J236/F236)</f>
        <v/>
      </c>
      <c r="O236" s="44">
        <f>IF(OR(N236="",M236=""),"",(N236-M236)*100)</f>
        <v/>
      </c>
      <c r="P236" s="70" t="n"/>
      <c r="Q236" s="70" t="n"/>
      <c r="R236" s="69">
        <f>IF(OR(Q236="",P236="",P236=0,Q236=0),"",Q236-P236)</f>
        <v/>
      </c>
      <c r="S236" s="42">
        <f>IF(OR(Q236="",P236="",P236=0,Q236=0),"",Q236/P236-1)</f>
        <v/>
      </c>
      <c r="T236" s="43">
        <f>IF(OR(P236="",E236="",E236=0),"",P236/E236)</f>
        <v/>
      </c>
      <c r="U236" s="43">
        <f>IF(OR(Q236="",F236="",F236=0),"",Q236/F236)</f>
        <v/>
      </c>
      <c r="V236" s="44">
        <f>IF(OR(U236="",T236=""),"",(U236-T236)*100)</f>
        <v/>
      </c>
      <c r="W236" s="70" t="n"/>
      <c r="X236" s="70" t="n"/>
      <c r="Y236" s="69">
        <f>IF(OR(X236="",W236="",W236=0,X236=0),"",X236-W236)</f>
        <v/>
      </c>
      <c r="Z236" s="42">
        <f>IF(OR(X236="",W236="",W236=0,X236=0),"",X236/W236-1)</f>
        <v/>
      </c>
      <c r="AA236" s="43">
        <f>IF(OR(W236="",P236="",P236=0),"",W236/P236)</f>
        <v/>
      </c>
      <c r="AB236" s="43">
        <f>IF(OR(X236="",Q236="",Q236=0),"",X236/Q236)</f>
        <v/>
      </c>
      <c r="AC236" s="44">
        <f>IF(OR(AB236="",AA236=""),"",(AB236-AA236)*100)</f>
        <v/>
      </c>
      <c r="AD236" s="70" t="n"/>
      <c r="AE236" s="70" t="n"/>
      <c r="AF236" s="69">
        <f>IF(OR(AE236="",AD236="",AD236=0,AE236=0),"",AE236-AD236)</f>
        <v/>
      </c>
      <c r="AG236" s="42">
        <f>IF(OR(AE236="",AD236="",AD236=0,AE236=0),"",AE236/AD236-1)</f>
        <v/>
      </c>
      <c r="AH236" s="43">
        <f>IF(OR(AD236="",W236="",W236=0),"",AD236/W236)</f>
        <v/>
      </c>
      <c r="AI236" s="43">
        <f>IF(OR(AE236="",X236="",X236=0),"",AE236/X236)</f>
        <v/>
      </c>
      <c r="AJ236" s="44">
        <f>IF(OR(AI236="",AH236=""),"",(AI236-AH236)*100)</f>
        <v/>
      </c>
      <c r="AK236" s="70" t="n"/>
      <c r="AL236" s="70" t="n"/>
      <c r="AM236" s="69">
        <f>IF(OR(AL236="",AK236="",AK236=0,AL236=0),"",AL236-AK236)</f>
        <v/>
      </c>
      <c r="AN236" s="42">
        <f>IF(OR(AL236="",AK236="",AK236=0,AL236=0),"",AL236/AK236-1)</f>
        <v/>
      </c>
      <c r="AO236" s="43">
        <f>IF(OR(AK236="",AD236="",AD236=0),"",AK236/AD236)</f>
        <v/>
      </c>
      <c r="AP236" s="43">
        <f>IF(OR(AL236="",AE236="",AE236=0),"",AL236/AE236)</f>
        <v/>
      </c>
      <c r="AQ236" s="44">
        <f>IF(OR(AP236="",AO236=""),"",(AP236-AO236)*100)</f>
        <v/>
      </c>
      <c r="AR236" s="70" t="n"/>
      <c r="AS236" s="70" t="n"/>
      <c r="AT236" s="69">
        <f>IF(OR(AS236="",AR236="",AR236=0,AS236=0),"",AS236-AR236)</f>
        <v/>
      </c>
      <c r="AU236" s="42">
        <f>IF(OR(AS236="",AR236="",AR236=0,AS236=0),"",AS236/AR236-1)</f>
        <v/>
      </c>
      <c r="AV236" s="43">
        <f>IF(OR(AR236="",AK236="",AK236=0),"",AR236/AK236)</f>
        <v/>
      </c>
      <c r="AW236" s="43">
        <f>IF(OR(AS236="",AL236="",AL236=0),"",AS236/AL236)</f>
        <v/>
      </c>
      <c r="AX236" s="44">
        <f>IF(OR(AW236="",AV236=""),"",(AW236-AV236)*100)</f>
        <v/>
      </c>
      <c r="AY236" s="45">
        <f>IF(OR(AR236="",P236="",P236=0),"",AR236/P236)</f>
        <v/>
      </c>
      <c r="AZ236" s="45">
        <f>IF(OR(AS236="",Q236="",Q236=0),"",AS236/Q236)</f>
        <v/>
      </c>
      <c r="BA236" s="44">
        <f>IF(OR(AZ236="",AY236=""),"",(AZ236-AY236)*100)</f>
        <v/>
      </c>
      <c r="BB236" s="45">
        <f>IF(OR(AR236="",E236="",E236=0),"",AR236/E236)</f>
        <v/>
      </c>
      <c r="BC236" s="45">
        <f>IF(OR(AS236="",F236="",F236=0),"",AS236/F236)</f>
        <v/>
      </c>
      <c r="BD236" s="44">
        <f>IF(OR(BC236="",BB236=""),"",(BC236-BB236)*100)</f>
        <v/>
      </c>
      <c r="BE236" s="40">
        <f>IF(AND(F236&lt;&gt;"",E236&lt;&gt;""),"Both years",IF(F236&lt;&gt;"","1-23Aug26 rows only","1-23Aug25 rows only"))</f>
        <v/>
      </c>
    </row>
    <row r="237">
      <c r="A237" s="40" t="inlineStr">
        <is>
          <t>Airport page</t>
        </is>
      </c>
      <c r="B237" s="40" t="inlineStr">
        <is>
          <t>Paid Search</t>
        </is>
      </c>
      <c r="C237" s="40" t="inlineStr">
        <is>
          <t>Mobile</t>
        </is>
      </c>
      <c r="D237" s="40" t="inlineStr">
        <is>
          <t>Bangladesh</t>
        </is>
      </c>
      <c r="E237" s="68" t="n">
        <v>1091</v>
      </c>
      <c r="F237" s="70" t="n"/>
      <c r="G237" s="69">
        <f>IF(OR(F237="",E237="",E237=0,F237=0),"",F237-E237)</f>
        <v/>
      </c>
      <c r="H237" s="42">
        <f>IF(OR(F237="",E237="",E237=0,F237=0),"",F237/E237-1)</f>
        <v/>
      </c>
      <c r="I237" s="70" t="n"/>
      <c r="J237" s="70" t="n"/>
      <c r="K237" s="69">
        <f>IF(OR(J237="",I237="",I237=0,J237=0),"",J237-I237)</f>
        <v/>
      </c>
      <c r="L237" s="42">
        <f>IF(OR(J237="",I237="",I237=0,J237=0),"",J237/I237-1)</f>
        <v/>
      </c>
      <c r="M237" s="43">
        <f>IF(OR(I237="",E237="",E237=0),"",I237/E237)</f>
        <v/>
      </c>
      <c r="N237" s="43">
        <f>IF(OR(J237="",F237="",F237=0),"",J237/F237)</f>
        <v/>
      </c>
      <c r="O237" s="44">
        <f>IF(OR(N237="",M237=""),"",(N237-M237)*100)</f>
        <v/>
      </c>
      <c r="P237" s="70" t="n"/>
      <c r="Q237" s="70" t="n"/>
      <c r="R237" s="69">
        <f>IF(OR(Q237="",P237="",P237=0,Q237=0),"",Q237-P237)</f>
        <v/>
      </c>
      <c r="S237" s="42">
        <f>IF(OR(Q237="",P237="",P237=0,Q237=0),"",Q237/P237-1)</f>
        <v/>
      </c>
      <c r="T237" s="43">
        <f>IF(OR(P237="",E237="",E237=0),"",P237/E237)</f>
        <v/>
      </c>
      <c r="U237" s="43">
        <f>IF(OR(Q237="",F237="",F237=0),"",Q237/F237)</f>
        <v/>
      </c>
      <c r="V237" s="44">
        <f>IF(OR(U237="",T237=""),"",(U237-T237)*100)</f>
        <v/>
      </c>
      <c r="W237" s="70" t="n"/>
      <c r="X237" s="70" t="n"/>
      <c r="Y237" s="69">
        <f>IF(OR(X237="",W237="",W237=0,X237=0),"",X237-W237)</f>
        <v/>
      </c>
      <c r="Z237" s="42">
        <f>IF(OR(X237="",W237="",W237=0,X237=0),"",X237/W237-1)</f>
        <v/>
      </c>
      <c r="AA237" s="43">
        <f>IF(OR(W237="",P237="",P237=0),"",W237/P237)</f>
        <v/>
      </c>
      <c r="AB237" s="43">
        <f>IF(OR(X237="",Q237="",Q237=0),"",X237/Q237)</f>
        <v/>
      </c>
      <c r="AC237" s="44">
        <f>IF(OR(AB237="",AA237=""),"",(AB237-AA237)*100)</f>
        <v/>
      </c>
      <c r="AD237" s="70" t="n"/>
      <c r="AE237" s="70" t="n"/>
      <c r="AF237" s="69">
        <f>IF(OR(AE237="",AD237="",AD237=0,AE237=0),"",AE237-AD237)</f>
        <v/>
      </c>
      <c r="AG237" s="42">
        <f>IF(OR(AE237="",AD237="",AD237=0,AE237=0),"",AE237/AD237-1)</f>
        <v/>
      </c>
      <c r="AH237" s="43">
        <f>IF(OR(AD237="",W237="",W237=0),"",AD237/W237)</f>
        <v/>
      </c>
      <c r="AI237" s="43">
        <f>IF(OR(AE237="",X237="",X237=0),"",AE237/X237)</f>
        <v/>
      </c>
      <c r="AJ237" s="44">
        <f>IF(OR(AI237="",AH237=""),"",(AI237-AH237)*100)</f>
        <v/>
      </c>
      <c r="AK237" s="70" t="n"/>
      <c r="AL237" s="70" t="n"/>
      <c r="AM237" s="69">
        <f>IF(OR(AL237="",AK237="",AK237=0,AL237=0),"",AL237-AK237)</f>
        <v/>
      </c>
      <c r="AN237" s="42">
        <f>IF(OR(AL237="",AK237="",AK237=0,AL237=0),"",AL237/AK237-1)</f>
        <v/>
      </c>
      <c r="AO237" s="43">
        <f>IF(OR(AK237="",AD237="",AD237=0),"",AK237/AD237)</f>
        <v/>
      </c>
      <c r="AP237" s="43">
        <f>IF(OR(AL237="",AE237="",AE237=0),"",AL237/AE237)</f>
        <v/>
      </c>
      <c r="AQ237" s="44">
        <f>IF(OR(AP237="",AO237=""),"",(AP237-AO237)*100)</f>
        <v/>
      </c>
      <c r="AR237" s="70" t="n"/>
      <c r="AS237" s="70" t="n"/>
      <c r="AT237" s="69">
        <f>IF(OR(AS237="",AR237="",AR237=0,AS237=0),"",AS237-AR237)</f>
        <v/>
      </c>
      <c r="AU237" s="42">
        <f>IF(OR(AS237="",AR237="",AR237=0,AS237=0),"",AS237/AR237-1)</f>
        <v/>
      </c>
      <c r="AV237" s="43">
        <f>IF(OR(AR237="",AK237="",AK237=0),"",AR237/AK237)</f>
        <v/>
      </c>
      <c r="AW237" s="43">
        <f>IF(OR(AS237="",AL237="",AL237=0),"",AS237/AL237)</f>
        <v/>
      </c>
      <c r="AX237" s="44">
        <f>IF(OR(AW237="",AV237=""),"",(AW237-AV237)*100)</f>
        <v/>
      </c>
      <c r="AY237" s="45">
        <f>IF(OR(AR237="",P237="",P237=0),"",AR237/P237)</f>
        <v/>
      </c>
      <c r="AZ237" s="45">
        <f>IF(OR(AS237="",Q237="",Q237=0),"",AS237/Q237)</f>
        <v/>
      </c>
      <c r="BA237" s="44">
        <f>IF(OR(AZ237="",AY237=""),"",(AZ237-AY237)*100)</f>
        <v/>
      </c>
      <c r="BB237" s="45">
        <f>IF(OR(AR237="",E237="",E237=0),"",AR237/E237)</f>
        <v/>
      </c>
      <c r="BC237" s="45">
        <f>IF(OR(AS237="",F237="",F237=0),"",AS237/F237)</f>
        <v/>
      </c>
      <c r="BD237" s="44">
        <f>IF(OR(BC237="",BB237=""),"",(BC237-BB237)*100)</f>
        <v/>
      </c>
      <c r="BE237" s="40">
        <f>IF(AND(F237&lt;&gt;"",E237&lt;&gt;""),"Both years",IF(F237&lt;&gt;"","1-23Aug26 rows only","1-23Aug25 rows only"))</f>
        <v/>
      </c>
    </row>
    <row r="238">
      <c r="A238" s="56" t="inlineStr">
        <is>
          <t>Airport page</t>
        </is>
      </c>
      <c r="B238" s="56" t="inlineStr">
        <is>
          <t>Paid Search</t>
        </is>
      </c>
      <c r="C238" s="56" t="inlineStr">
        <is>
          <t>Mobile</t>
        </is>
      </c>
      <c r="D238" s="56" t="inlineStr">
        <is>
          <t>Switzerland</t>
        </is>
      </c>
      <c r="E238" s="68" t="n">
        <v>757</v>
      </c>
      <c r="F238" s="70" t="n"/>
      <c r="G238" s="69">
        <f>IF(OR(F238="",E238="",E238=0,F238=0),"",F238-E238)</f>
        <v/>
      </c>
      <c r="H238" s="42">
        <f>IF(OR(F238="",E238="",E238=0,F238=0),"",F238/E238-1)</f>
        <v/>
      </c>
      <c r="I238" s="70" t="n"/>
      <c r="J238" s="70" t="n"/>
      <c r="K238" s="69">
        <f>IF(OR(J238="",I238="",I238=0,J238=0),"",J238-I238)</f>
        <v/>
      </c>
      <c r="L238" s="42">
        <f>IF(OR(J238="",I238="",I238=0,J238=0),"",J238/I238-1)</f>
        <v/>
      </c>
      <c r="M238" s="43">
        <f>IF(OR(I238="",E238="",E238=0),"",I238/E238)</f>
        <v/>
      </c>
      <c r="N238" s="43">
        <f>IF(OR(J238="",F238="",F238=0),"",J238/F238)</f>
        <v/>
      </c>
      <c r="O238" s="44">
        <f>IF(OR(N238="",M238=""),"",(N238-M238)*100)</f>
        <v/>
      </c>
      <c r="P238" s="68" t="n">
        <v>476</v>
      </c>
      <c r="Q238" s="70" t="n"/>
      <c r="R238" s="69">
        <f>IF(OR(Q238="",P238="",P238=0,Q238=0),"",Q238-P238)</f>
        <v/>
      </c>
      <c r="S238" s="42">
        <f>IF(OR(Q238="",P238="",P238=0,Q238=0),"",Q238/P238-1)</f>
        <v/>
      </c>
      <c r="T238" s="43">
        <f>IF(OR(P238="",E238="",E238=0),"",P238/E238)</f>
        <v/>
      </c>
      <c r="U238" s="43">
        <f>IF(OR(Q238="",F238="",F238=0),"",Q238/F238)</f>
        <v/>
      </c>
      <c r="V238" s="44">
        <f>IF(OR(U238="",T238=""),"",(U238-T238)*100)</f>
        <v/>
      </c>
      <c r="W238" s="70" t="n"/>
      <c r="X238" s="70" t="n"/>
      <c r="Y238" s="69">
        <f>IF(OR(X238="",W238="",W238=0,X238=0),"",X238-W238)</f>
        <v/>
      </c>
      <c r="Z238" s="42">
        <f>IF(OR(X238="",W238="",W238=0,X238=0),"",X238/W238-1)</f>
        <v/>
      </c>
      <c r="AA238" s="43">
        <f>IF(OR(W238="",P238="",P238=0),"",W238/P238)</f>
        <v/>
      </c>
      <c r="AB238" s="43">
        <f>IF(OR(X238="",Q238="",Q238=0),"",X238/Q238)</f>
        <v/>
      </c>
      <c r="AC238" s="44">
        <f>IF(OR(AB238="",AA238=""),"",(AB238-AA238)*100)</f>
        <v/>
      </c>
      <c r="AD238" s="70" t="n"/>
      <c r="AE238" s="70" t="n"/>
      <c r="AF238" s="69">
        <f>IF(OR(AE238="",AD238="",AD238=0,AE238=0),"",AE238-AD238)</f>
        <v/>
      </c>
      <c r="AG238" s="42">
        <f>IF(OR(AE238="",AD238="",AD238=0,AE238=0),"",AE238/AD238-1)</f>
        <v/>
      </c>
      <c r="AH238" s="43">
        <f>IF(OR(AD238="",W238="",W238=0),"",AD238/W238)</f>
        <v/>
      </c>
      <c r="AI238" s="43">
        <f>IF(OR(AE238="",X238="",X238=0),"",AE238/X238)</f>
        <v/>
      </c>
      <c r="AJ238" s="44">
        <f>IF(OR(AI238="",AH238=""),"",(AI238-AH238)*100)</f>
        <v/>
      </c>
      <c r="AK238" s="70" t="n"/>
      <c r="AL238" s="70" t="n"/>
      <c r="AM238" s="69">
        <f>IF(OR(AL238="",AK238="",AK238=0,AL238=0),"",AL238-AK238)</f>
        <v/>
      </c>
      <c r="AN238" s="42">
        <f>IF(OR(AL238="",AK238="",AK238=0,AL238=0),"",AL238/AK238-1)</f>
        <v/>
      </c>
      <c r="AO238" s="43">
        <f>IF(OR(AK238="",AD238="",AD238=0),"",AK238/AD238)</f>
        <v/>
      </c>
      <c r="AP238" s="43">
        <f>IF(OR(AL238="",AE238="",AE238=0),"",AL238/AE238)</f>
        <v/>
      </c>
      <c r="AQ238" s="44">
        <f>IF(OR(AP238="",AO238=""),"",(AP238-AO238)*100)</f>
        <v/>
      </c>
      <c r="AR238" s="70" t="n"/>
      <c r="AS238" s="70" t="n"/>
      <c r="AT238" s="69">
        <f>IF(OR(AS238="",AR238="",AR238=0,AS238=0),"",AS238-AR238)</f>
        <v/>
      </c>
      <c r="AU238" s="42">
        <f>IF(OR(AS238="",AR238="",AR238=0,AS238=0),"",AS238/AR238-1)</f>
        <v/>
      </c>
      <c r="AV238" s="43">
        <f>IF(OR(AR238="",AK238="",AK238=0),"",AR238/AK238)</f>
        <v/>
      </c>
      <c r="AW238" s="43">
        <f>IF(OR(AS238="",AL238="",AL238=0),"",AS238/AL238)</f>
        <v/>
      </c>
      <c r="AX238" s="44">
        <f>IF(OR(AW238="",AV238=""),"",(AW238-AV238)*100)</f>
        <v/>
      </c>
      <c r="AY238" s="45">
        <f>IF(OR(AR238="",P238="",P238=0),"",AR238/P238)</f>
        <v/>
      </c>
      <c r="AZ238" s="45">
        <f>IF(OR(AS238="",Q238="",Q238=0),"",AS238/Q238)</f>
        <v/>
      </c>
      <c r="BA238" s="44">
        <f>IF(OR(AZ238="",AY238=""),"",(AZ238-AY238)*100)</f>
        <v/>
      </c>
      <c r="BB238" s="45">
        <f>IF(OR(AR238="",E238="",E238=0),"",AR238/E238)</f>
        <v/>
      </c>
      <c r="BC238" s="45">
        <f>IF(OR(AS238="",F238="",F238=0),"",AS238/F238)</f>
        <v/>
      </c>
      <c r="BD238" s="44">
        <f>IF(OR(BC238="",BB238=""),"",(BC238-BB238)*100)</f>
        <v/>
      </c>
      <c r="BE238" s="40">
        <f>IF(AND(F238&lt;&gt;"",E238&lt;&gt;""),"Both years",IF(F238&lt;&gt;"","1-23Aug26 rows only","1-23Aug25 rows only"))</f>
        <v/>
      </c>
    </row>
    <row r="239">
      <c r="A239" s="40" t="inlineStr">
        <is>
          <t>Airport page</t>
        </is>
      </c>
      <c r="B239" s="40" t="inlineStr">
        <is>
          <t>Paid Search</t>
        </is>
      </c>
      <c r="C239" s="40" t="inlineStr">
        <is>
          <t>Mobile</t>
        </is>
      </c>
      <c r="D239" s="40" t="inlineStr">
        <is>
          <t>Portugal</t>
        </is>
      </c>
      <c r="E239" s="70" t="n"/>
      <c r="F239" s="70" t="n"/>
      <c r="G239" s="69">
        <f>IF(OR(F239="",E239="",E239=0,F239=0),"",F239-E239)</f>
        <v/>
      </c>
      <c r="H239" s="42">
        <f>IF(OR(F239="",E239="",E239=0,F239=0),"",F239/E239-1)</f>
        <v/>
      </c>
      <c r="I239" s="70" t="n"/>
      <c r="J239" s="70" t="n"/>
      <c r="K239" s="69">
        <f>IF(OR(J239="",I239="",I239=0,J239=0),"",J239-I239)</f>
        <v/>
      </c>
      <c r="L239" s="42">
        <f>IF(OR(J239="",I239="",I239=0,J239=0),"",J239/I239-1)</f>
        <v/>
      </c>
      <c r="M239" s="43">
        <f>IF(OR(I239="",E239="",E239=0),"",I239/E239)</f>
        <v/>
      </c>
      <c r="N239" s="43">
        <f>IF(OR(J239="",F239="",F239=0),"",J239/F239)</f>
        <v/>
      </c>
      <c r="O239" s="44">
        <f>IF(OR(N239="",M239=""),"",(N239-M239)*100)</f>
        <v/>
      </c>
      <c r="P239" s="68" t="n">
        <v>393</v>
      </c>
      <c r="Q239" s="70" t="n"/>
      <c r="R239" s="69">
        <f>IF(OR(Q239="",P239="",P239=0,Q239=0),"",Q239-P239)</f>
        <v/>
      </c>
      <c r="S239" s="42">
        <f>IF(OR(Q239="",P239="",P239=0,Q239=0),"",Q239/P239-1)</f>
        <v/>
      </c>
      <c r="T239" s="43">
        <f>IF(OR(P239="",E239="",E239=0),"",P239/E239)</f>
        <v/>
      </c>
      <c r="U239" s="43">
        <f>IF(OR(Q239="",F239="",F239=0),"",Q239/F239)</f>
        <v/>
      </c>
      <c r="V239" s="44">
        <f>IF(OR(U239="",T239=""),"",(U239-T239)*100)</f>
        <v/>
      </c>
      <c r="W239" s="70" t="n"/>
      <c r="X239" s="70" t="n"/>
      <c r="Y239" s="69">
        <f>IF(OR(X239="",W239="",W239=0,X239=0),"",X239-W239)</f>
        <v/>
      </c>
      <c r="Z239" s="42">
        <f>IF(OR(X239="",W239="",W239=0,X239=0),"",X239/W239-1)</f>
        <v/>
      </c>
      <c r="AA239" s="43">
        <f>IF(OR(W239="",P239="",P239=0),"",W239/P239)</f>
        <v/>
      </c>
      <c r="AB239" s="43">
        <f>IF(OR(X239="",Q239="",Q239=0),"",X239/Q239)</f>
        <v/>
      </c>
      <c r="AC239" s="44">
        <f>IF(OR(AB239="",AA239=""),"",(AB239-AA239)*100)</f>
        <v/>
      </c>
      <c r="AD239" s="70" t="n"/>
      <c r="AE239" s="70" t="n"/>
      <c r="AF239" s="69">
        <f>IF(OR(AE239="",AD239="",AD239=0,AE239=0),"",AE239-AD239)</f>
        <v/>
      </c>
      <c r="AG239" s="42">
        <f>IF(OR(AE239="",AD239="",AD239=0,AE239=0),"",AE239/AD239-1)</f>
        <v/>
      </c>
      <c r="AH239" s="43">
        <f>IF(OR(AD239="",W239="",W239=0),"",AD239/W239)</f>
        <v/>
      </c>
      <c r="AI239" s="43">
        <f>IF(OR(AE239="",X239="",X239=0),"",AE239/X239)</f>
        <v/>
      </c>
      <c r="AJ239" s="44">
        <f>IF(OR(AI239="",AH239=""),"",(AI239-AH239)*100)</f>
        <v/>
      </c>
      <c r="AK239" s="70" t="n"/>
      <c r="AL239" s="70" t="n"/>
      <c r="AM239" s="69">
        <f>IF(OR(AL239="",AK239="",AK239=0,AL239=0),"",AL239-AK239)</f>
        <v/>
      </c>
      <c r="AN239" s="42">
        <f>IF(OR(AL239="",AK239="",AK239=0,AL239=0),"",AL239/AK239-1)</f>
        <v/>
      </c>
      <c r="AO239" s="43">
        <f>IF(OR(AK239="",AD239="",AD239=0),"",AK239/AD239)</f>
        <v/>
      </c>
      <c r="AP239" s="43">
        <f>IF(OR(AL239="",AE239="",AE239=0),"",AL239/AE239)</f>
        <v/>
      </c>
      <c r="AQ239" s="44">
        <f>IF(OR(AP239="",AO239=""),"",(AP239-AO239)*100)</f>
        <v/>
      </c>
      <c r="AR239" s="70" t="n"/>
      <c r="AS239" s="70" t="n"/>
      <c r="AT239" s="69">
        <f>IF(OR(AS239="",AR239="",AR239=0,AS239=0),"",AS239-AR239)</f>
        <v/>
      </c>
      <c r="AU239" s="42">
        <f>IF(OR(AS239="",AR239="",AR239=0,AS239=0),"",AS239/AR239-1)</f>
        <v/>
      </c>
      <c r="AV239" s="43">
        <f>IF(OR(AR239="",AK239="",AK239=0),"",AR239/AK239)</f>
        <v/>
      </c>
      <c r="AW239" s="43">
        <f>IF(OR(AS239="",AL239="",AL239=0),"",AS239/AL239)</f>
        <v/>
      </c>
      <c r="AX239" s="44">
        <f>IF(OR(AW239="",AV239=""),"",(AW239-AV239)*100)</f>
        <v/>
      </c>
      <c r="AY239" s="45">
        <f>IF(OR(AR239="",P239="",P239=0),"",AR239/P239)</f>
        <v/>
      </c>
      <c r="AZ239" s="45">
        <f>IF(OR(AS239="",Q239="",Q239=0),"",AS239/Q239)</f>
        <v/>
      </c>
      <c r="BA239" s="44">
        <f>IF(OR(AZ239="",AY239=""),"",(AZ239-AY239)*100)</f>
        <v/>
      </c>
      <c r="BB239" s="45">
        <f>IF(OR(AR239="",E239="",E239=0),"",AR239/E239)</f>
        <v/>
      </c>
      <c r="BC239" s="45">
        <f>IF(OR(AS239="",F239="",F239=0),"",AS239/F239)</f>
        <v/>
      </c>
      <c r="BD239" s="44">
        <f>IF(OR(BC239="",BB239=""),"",(BC239-BB239)*100)</f>
        <v/>
      </c>
      <c r="BE239" s="40">
        <f>IF(AND(F239&lt;&gt;"",E239&lt;&gt;""),"Both years",IF(F239&lt;&gt;"","1-23Aug26 rows only","1-23Aug25 rows only"))</f>
        <v/>
      </c>
    </row>
    <row r="240">
      <c r="A240" s="40" t="inlineStr">
        <is>
          <t>Airport page</t>
        </is>
      </c>
      <c r="B240" s="40" t="inlineStr">
        <is>
          <t>Paid Search</t>
        </is>
      </c>
      <c r="C240" s="40" t="inlineStr">
        <is>
          <t>Desktop</t>
        </is>
      </c>
      <c r="D240" s="40" t="inlineStr">
        <is>
          <t>United Kingdom</t>
        </is>
      </c>
      <c r="E240" s="68" t="n">
        <v>19164</v>
      </c>
      <c r="F240" s="68" t="n">
        <v>9819</v>
      </c>
      <c r="G240" s="69">
        <f>IF(OR(F240="",E240="",E240=0,F240=0),"",F240-E240)</f>
        <v/>
      </c>
      <c r="H240" s="42">
        <f>IF(OR(F240="",E240="",E240=0,F240=0),"",F240/E240-1)</f>
        <v/>
      </c>
      <c r="I240" s="68" t="n">
        <v>13730</v>
      </c>
      <c r="J240" s="68" t="n">
        <v>6759</v>
      </c>
      <c r="K240" s="69">
        <f>IF(OR(J240="",I240="",I240=0,J240=0),"",J240-I240)</f>
        <v/>
      </c>
      <c r="L240" s="42">
        <f>IF(OR(J240="",I240="",I240=0,J240=0),"",J240/I240-1)</f>
        <v/>
      </c>
      <c r="M240" s="43">
        <f>IF(OR(I240="",E240="",E240=0),"",I240/E240)</f>
        <v/>
      </c>
      <c r="N240" s="43">
        <f>IF(OR(J240="",F240="",F240=0),"",J240/F240)</f>
        <v/>
      </c>
      <c r="O240" s="44">
        <f>IF(OR(N240="",M240=""),"",(N240-M240)*100)</f>
        <v/>
      </c>
      <c r="P240" s="68" t="n">
        <v>12956</v>
      </c>
      <c r="Q240" s="68" t="n">
        <v>6695</v>
      </c>
      <c r="R240" s="69">
        <f>IF(OR(Q240="",P240="",P240=0,Q240=0),"",Q240-P240)</f>
        <v/>
      </c>
      <c r="S240" s="42">
        <f>IF(OR(Q240="",P240="",P240=0,Q240=0),"",Q240/P240-1)</f>
        <v/>
      </c>
      <c r="T240" s="43">
        <f>IF(OR(P240="",E240="",E240=0),"",P240/E240)</f>
        <v/>
      </c>
      <c r="U240" s="43">
        <f>IF(OR(Q240="",F240="",F240=0),"",Q240/F240)</f>
        <v/>
      </c>
      <c r="V240" s="44">
        <f>IF(OR(U240="",T240=""),"",(U240-T240)*100)</f>
        <v/>
      </c>
      <c r="W240" s="68" t="n">
        <v>3230</v>
      </c>
      <c r="X240" s="68" t="n">
        <v>1505</v>
      </c>
      <c r="Y240" s="69">
        <f>IF(OR(X240="",W240="",W240=0,X240=0),"",X240-W240)</f>
        <v/>
      </c>
      <c r="Z240" s="42">
        <f>IF(OR(X240="",W240="",W240=0,X240=0),"",X240/W240-1)</f>
        <v/>
      </c>
      <c r="AA240" s="43">
        <f>IF(OR(W240="",P240="",P240=0),"",W240/P240)</f>
        <v/>
      </c>
      <c r="AB240" s="43">
        <f>IF(OR(X240="",Q240="",Q240=0),"",X240/Q240)</f>
        <v/>
      </c>
      <c r="AC240" s="44">
        <f>IF(OR(AB240="",AA240=""),"",(AB240-AA240)*100)</f>
        <v/>
      </c>
      <c r="AD240" s="68" t="n">
        <v>2653</v>
      </c>
      <c r="AE240" s="68" t="n">
        <v>1168</v>
      </c>
      <c r="AF240" s="69">
        <f>IF(OR(AE240="",AD240="",AD240=0,AE240=0),"",AE240-AD240)</f>
        <v/>
      </c>
      <c r="AG240" s="42">
        <f>IF(OR(AE240="",AD240="",AD240=0,AE240=0),"",AE240/AD240-1)</f>
        <v/>
      </c>
      <c r="AH240" s="43">
        <f>IF(OR(AD240="",W240="",W240=0),"",AD240/W240)</f>
        <v/>
      </c>
      <c r="AI240" s="43">
        <f>IF(OR(AE240="",X240="",X240=0),"",AE240/X240)</f>
        <v/>
      </c>
      <c r="AJ240" s="44">
        <f>IF(OR(AI240="",AH240=""),"",(AI240-AH240)*100)</f>
        <v/>
      </c>
      <c r="AK240" s="68" t="n">
        <v>1370</v>
      </c>
      <c r="AL240" s="68" t="n">
        <v>583</v>
      </c>
      <c r="AM240" s="69">
        <f>IF(OR(AL240="",AK240="",AK240=0,AL240=0),"",AL240-AK240)</f>
        <v/>
      </c>
      <c r="AN240" s="42">
        <f>IF(OR(AL240="",AK240="",AK240=0,AL240=0),"",AL240/AK240-1)</f>
        <v/>
      </c>
      <c r="AO240" s="43">
        <f>IF(OR(AK240="",AD240="",AD240=0),"",AK240/AD240)</f>
        <v/>
      </c>
      <c r="AP240" s="43">
        <f>IF(OR(AL240="",AE240="",AE240=0),"",AL240/AE240)</f>
        <v/>
      </c>
      <c r="AQ240" s="44">
        <f>IF(OR(AP240="",AO240=""),"",(AP240-AO240)*100)</f>
        <v/>
      </c>
      <c r="AR240" s="68" t="n">
        <v>1150</v>
      </c>
      <c r="AS240" s="68" t="n">
        <v>471</v>
      </c>
      <c r="AT240" s="69">
        <f>IF(OR(AS240="",AR240="",AR240=0,AS240=0),"",AS240-AR240)</f>
        <v/>
      </c>
      <c r="AU240" s="42">
        <f>IF(OR(AS240="",AR240="",AR240=0,AS240=0),"",AS240/AR240-1)</f>
        <v/>
      </c>
      <c r="AV240" s="43">
        <f>IF(OR(AR240="",AK240="",AK240=0),"",AR240/AK240)</f>
        <v/>
      </c>
      <c r="AW240" s="43">
        <f>IF(OR(AS240="",AL240="",AL240=0),"",AS240/AL240)</f>
        <v/>
      </c>
      <c r="AX240" s="44">
        <f>IF(OR(AW240="",AV240=""),"",(AW240-AV240)*100)</f>
        <v/>
      </c>
      <c r="AY240" s="45">
        <f>IF(OR(AR240="",P240="",P240=0),"",AR240/P240)</f>
        <v/>
      </c>
      <c r="AZ240" s="45">
        <f>IF(OR(AS240="",Q240="",Q240=0),"",AS240/Q240)</f>
        <v/>
      </c>
      <c r="BA240" s="44">
        <f>IF(OR(AZ240="",AY240=""),"",(AZ240-AY240)*100)</f>
        <v/>
      </c>
      <c r="BB240" s="45">
        <f>IF(OR(AR240="",E240="",E240=0),"",AR240/E240)</f>
        <v/>
      </c>
      <c r="BC240" s="45">
        <f>IF(OR(AS240="",F240="",F240=0),"",AS240/F240)</f>
        <v/>
      </c>
      <c r="BD240" s="44">
        <f>IF(OR(BC240="",BB240=""),"",(BC240-BB240)*100)</f>
        <v/>
      </c>
      <c r="BE240" s="40">
        <f>IF(AND(F240&lt;&gt;"",E240&lt;&gt;""),"Both years",IF(F240&lt;&gt;"","1-23Aug26 rows only","1-23Aug25 rows only"))</f>
        <v/>
      </c>
    </row>
    <row r="241">
      <c r="A241" s="56" t="inlineStr">
        <is>
          <t>Airport page</t>
        </is>
      </c>
      <c r="B241" s="56" t="inlineStr">
        <is>
          <t>Paid Search</t>
        </is>
      </c>
      <c r="C241" s="56" t="inlineStr">
        <is>
          <t>Desktop</t>
        </is>
      </c>
      <c r="D241" s="56" t="inlineStr">
        <is>
          <t>Germany</t>
        </is>
      </c>
      <c r="E241" s="68" t="n">
        <v>11450</v>
      </c>
      <c r="F241" s="68" t="n">
        <v>7960</v>
      </c>
      <c r="G241" s="69">
        <f>IF(OR(F241="",E241="",E241=0,F241=0),"",F241-E241)</f>
        <v/>
      </c>
      <c r="H241" s="42">
        <f>IF(OR(F241="",E241="",E241=0,F241=0),"",F241/E241-1)</f>
        <v/>
      </c>
      <c r="I241" s="68" t="n">
        <v>8376</v>
      </c>
      <c r="J241" s="68" t="n">
        <v>5192</v>
      </c>
      <c r="K241" s="69">
        <f>IF(OR(J241="",I241="",I241=0,J241=0),"",J241-I241)</f>
        <v/>
      </c>
      <c r="L241" s="42">
        <f>IF(OR(J241="",I241="",I241=0,J241=0),"",J241/I241-1)</f>
        <v/>
      </c>
      <c r="M241" s="43">
        <f>IF(OR(I241="",E241="",E241=0),"",I241/E241)</f>
        <v/>
      </c>
      <c r="N241" s="43">
        <f>IF(OR(J241="",F241="",F241=0),"",J241/F241)</f>
        <v/>
      </c>
      <c r="O241" s="44">
        <f>IF(OR(N241="",M241=""),"",(N241-M241)*100)</f>
        <v/>
      </c>
      <c r="P241" s="68" t="n">
        <v>7814</v>
      </c>
      <c r="Q241" s="68" t="n">
        <v>5085</v>
      </c>
      <c r="R241" s="69">
        <f>IF(OR(Q241="",P241="",P241=0,Q241=0),"",Q241-P241)</f>
        <v/>
      </c>
      <c r="S241" s="42">
        <f>IF(OR(Q241="",P241="",P241=0,Q241=0),"",Q241/P241-1)</f>
        <v/>
      </c>
      <c r="T241" s="43">
        <f>IF(OR(P241="",E241="",E241=0),"",P241/E241)</f>
        <v/>
      </c>
      <c r="U241" s="43">
        <f>IF(OR(Q241="",F241="",F241=0),"",Q241/F241)</f>
        <v/>
      </c>
      <c r="V241" s="44">
        <f>IF(OR(U241="",T241=""),"",(U241-T241)*100)</f>
        <v/>
      </c>
      <c r="W241" s="68" t="n">
        <v>2423</v>
      </c>
      <c r="X241" s="68" t="n">
        <v>1466</v>
      </c>
      <c r="Y241" s="69">
        <f>IF(OR(X241="",W241="",W241=0,X241=0),"",X241-W241)</f>
        <v/>
      </c>
      <c r="Z241" s="42">
        <f>IF(OR(X241="",W241="",W241=0,X241=0),"",X241/W241-1)</f>
        <v/>
      </c>
      <c r="AA241" s="43">
        <f>IF(OR(W241="",P241="",P241=0),"",W241/P241)</f>
        <v/>
      </c>
      <c r="AB241" s="43">
        <f>IF(OR(X241="",Q241="",Q241=0),"",X241/Q241)</f>
        <v/>
      </c>
      <c r="AC241" s="44">
        <f>IF(OR(AB241="",AA241=""),"",(AB241-AA241)*100)</f>
        <v/>
      </c>
      <c r="AD241" s="68" t="n">
        <v>1876</v>
      </c>
      <c r="AE241" s="68" t="n">
        <v>1116</v>
      </c>
      <c r="AF241" s="69">
        <f>IF(OR(AE241="",AD241="",AD241=0,AE241=0),"",AE241-AD241)</f>
        <v/>
      </c>
      <c r="AG241" s="42">
        <f>IF(OR(AE241="",AD241="",AD241=0,AE241=0),"",AE241/AD241-1)</f>
        <v/>
      </c>
      <c r="AH241" s="43">
        <f>IF(OR(AD241="",W241="",W241=0),"",AD241/W241)</f>
        <v/>
      </c>
      <c r="AI241" s="43">
        <f>IF(OR(AE241="",X241="",X241=0),"",AE241/X241)</f>
        <v/>
      </c>
      <c r="AJ241" s="44">
        <f>IF(OR(AI241="",AH241=""),"",(AI241-AH241)*100)</f>
        <v/>
      </c>
      <c r="AK241" s="68" t="n">
        <v>613</v>
      </c>
      <c r="AL241" s="68" t="n">
        <v>306</v>
      </c>
      <c r="AM241" s="69">
        <f>IF(OR(AL241="",AK241="",AK241=0,AL241=0),"",AL241-AK241)</f>
        <v/>
      </c>
      <c r="AN241" s="42">
        <f>IF(OR(AL241="",AK241="",AK241=0,AL241=0),"",AL241/AK241-1)</f>
        <v/>
      </c>
      <c r="AO241" s="43">
        <f>IF(OR(AK241="",AD241="",AD241=0),"",AK241/AD241)</f>
        <v/>
      </c>
      <c r="AP241" s="43">
        <f>IF(OR(AL241="",AE241="",AE241=0),"",AL241/AE241)</f>
        <v/>
      </c>
      <c r="AQ241" s="44">
        <f>IF(OR(AP241="",AO241=""),"",(AP241-AO241)*100)</f>
        <v/>
      </c>
      <c r="AR241" s="68" t="n">
        <v>514</v>
      </c>
      <c r="AS241" s="68" t="n">
        <v>244</v>
      </c>
      <c r="AT241" s="69">
        <f>IF(OR(AS241="",AR241="",AR241=0,AS241=0),"",AS241-AR241)</f>
        <v/>
      </c>
      <c r="AU241" s="42">
        <f>IF(OR(AS241="",AR241="",AR241=0,AS241=0),"",AS241/AR241-1)</f>
        <v/>
      </c>
      <c r="AV241" s="43">
        <f>IF(OR(AR241="",AK241="",AK241=0),"",AR241/AK241)</f>
        <v/>
      </c>
      <c r="AW241" s="43">
        <f>IF(OR(AS241="",AL241="",AL241=0),"",AS241/AL241)</f>
        <v/>
      </c>
      <c r="AX241" s="44">
        <f>IF(OR(AW241="",AV241=""),"",(AW241-AV241)*100)</f>
        <v/>
      </c>
      <c r="AY241" s="45">
        <f>IF(OR(AR241="",P241="",P241=0),"",AR241/P241)</f>
        <v/>
      </c>
      <c r="AZ241" s="45">
        <f>IF(OR(AS241="",Q241="",Q241=0),"",AS241/Q241)</f>
        <v/>
      </c>
      <c r="BA241" s="44">
        <f>IF(OR(AZ241="",AY241=""),"",(AZ241-AY241)*100)</f>
        <v/>
      </c>
      <c r="BB241" s="45">
        <f>IF(OR(AR241="",E241="",E241=0),"",AR241/E241)</f>
        <v/>
      </c>
      <c r="BC241" s="45">
        <f>IF(OR(AS241="",F241="",F241=0),"",AS241/F241)</f>
        <v/>
      </c>
      <c r="BD241" s="44">
        <f>IF(OR(BC241="",BB241=""),"",(BC241-BB241)*100)</f>
        <v/>
      </c>
      <c r="BE241" s="40">
        <f>IF(AND(F241&lt;&gt;"",E241&lt;&gt;""),"Both years",IF(F241&lt;&gt;"","1-23Aug26 rows only","1-23Aug25 rows only"))</f>
        <v/>
      </c>
    </row>
    <row r="242">
      <c r="A242" s="40" t="inlineStr">
        <is>
          <t>Airport page</t>
        </is>
      </c>
      <c r="B242" s="40" t="inlineStr">
        <is>
          <t>Paid Search</t>
        </is>
      </c>
      <c r="C242" s="40" t="inlineStr">
        <is>
          <t>Desktop</t>
        </is>
      </c>
      <c r="D242" s="40" t="inlineStr">
        <is>
          <t>Italy</t>
        </is>
      </c>
      <c r="E242" s="68" t="n">
        <v>3587</v>
      </c>
      <c r="F242" s="68" t="n">
        <v>2928</v>
      </c>
      <c r="G242" s="69">
        <f>IF(OR(F242="",E242="",E242=0,F242=0),"",F242-E242)</f>
        <v/>
      </c>
      <c r="H242" s="42">
        <f>IF(OR(F242="",E242="",E242=0,F242=0),"",F242/E242-1)</f>
        <v/>
      </c>
      <c r="I242" s="68" t="n">
        <v>2438</v>
      </c>
      <c r="J242" s="68" t="n">
        <v>1816</v>
      </c>
      <c r="K242" s="69">
        <f>IF(OR(J242="",I242="",I242=0,J242=0),"",J242-I242)</f>
        <v/>
      </c>
      <c r="L242" s="42">
        <f>IF(OR(J242="",I242="",I242=0,J242=0),"",J242/I242-1)</f>
        <v/>
      </c>
      <c r="M242" s="43">
        <f>IF(OR(I242="",E242="",E242=0),"",I242/E242)</f>
        <v/>
      </c>
      <c r="N242" s="43">
        <f>IF(OR(J242="",F242="",F242=0),"",J242/F242)</f>
        <v/>
      </c>
      <c r="O242" s="44">
        <f>IF(OR(N242="",M242=""),"",(N242-M242)*100)</f>
        <v/>
      </c>
      <c r="P242" s="68" t="n">
        <v>2112</v>
      </c>
      <c r="Q242" s="68" t="n">
        <v>1699</v>
      </c>
      <c r="R242" s="69">
        <f>IF(OR(Q242="",P242="",P242=0,Q242=0),"",Q242-P242)</f>
        <v/>
      </c>
      <c r="S242" s="42">
        <f>IF(OR(Q242="",P242="",P242=0,Q242=0),"",Q242/P242-1)</f>
        <v/>
      </c>
      <c r="T242" s="43">
        <f>IF(OR(P242="",E242="",E242=0),"",P242/E242)</f>
        <v/>
      </c>
      <c r="U242" s="43">
        <f>IF(OR(Q242="",F242="",F242=0),"",Q242/F242)</f>
        <v/>
      </c>
      <c r="V242" s="44">
        <f>IF(OR(U242="",T242=""),"",(U242-T242)*100)</f>
        <v/>
      </c>
      <c r="W242" s="68" t="n">
        <v>657</v>
      </c>
      <c r="X242" s="68" t="n">
        <v>493</v>
      </c>
      <c r="Y242" s="69">
        <f>IF(OR(X242="",W242="",W242=0,X242=0),"",X242-W242)</f>
        <v/>
      </c>
      <c r="Z242" s="42">
        <f>IF(OR(X242="",W242="",W242=0,X242=0),"",X242/W242-1)</f>
        <v/>
      </c>
      <c r="AA242" s="43">
        <f>IF(OR(W242="",P242="",P242=0),"",W242/P242)</f>
        <v/>
      </c>
      <c r="AB242" s="43">
        <f>IF(OR(X242="",Q242="",Q242=0),"",X242/Q242)</f>
        <v/>
      </c>
      <c r="AC242" s="44">
        <f>IF(OR(AB242="",AA242=""),"",(AB242-AA242)*100)</f>
        <v/>
      </c>
      <c r="AD242" s="68" t="n">
        <v>532</v>
      </c>
      <c r="AE242" s="68" t="n">
        <v>386</v>
      </c>
      <c r="AF242" s="69">
        <f>IF(OR(AE242="",AD242="",AD242=0,AE242=0),"",AE242-AD242)</f>
        <v/>
      </c>
      <c r="AG242" s="42">
        <f>IF(OR(AE242="",AD242="",AD242=0,AE242=0),"",AE242/AD242-1)</f>
        <v/>
      </c>
      <c r="AH242" s="43">
        <f>IF(OR(AD242="",W242="",W242=0),"",AD242/W242)</f>
        <v/>
      </c>
      <c r="AI242" s="43">
        <f>IF(OR(AE242="",X242="",X242=0),"",AE242/X242)</f>
        <v/>
      </c>
      <c r="AJ242" s="44">
        <f>IF(OR(AI242="",AH242=""),"",(AI242-AH242)*100)</f>
        <v/>
      </c>
      <c r="AK242" s="68" t="n">
        <v>201</v>
      </c>
      <c r="AL242" s="68" t="n">
        <v>136</v>
      </c>
      <c r="AM242" s="69">
        <f>IF(OR(AL242="",AK242="",AK242=0,AL242=0),"",AL242-AK242)</f>
        <v/>
      </c>
      <c r="AN242" s="42">
        <f>IF(OR(AL242="",AK242="",AK242=0,AL242=0),"",AL242/AK242-1)</f>
        <v/>
      </c>
      <c r="AO242" s="43">
        <f>IF(OR(AK242="",AD242="",AD242=0),"",AK242/AD242)</f>
        <v/>
      </c>
      <c r="AP242" s="43">
        <f>IF(OR(AL242="",AE242="",AE242=0),"",AL242/AE242)</f>
        <v/>
      </c>
      <c r="AQ242" s="44">
        <f>IF(OR(AP242="",AO242=""),"",(AP242-AO242)*100)</f>
        <v/>
      </c>
      <c r="AR242" s="68" t="n">
        <v>149</v>
      </c>
      <c r="AS242" s="68" t="n">
        <v>95</v>
      </c>
      <c r="AT242" s="69">
        <f>IF(OR(AS242="",AR242="",AR242=0,AS242=0),"",AS242-AR242)</f>
        <v/>
      </c>
      <c r="AU242" s="42">
        <f>IF(OR(AS242="",AR242="",AR242=0,AS242=0),"",AS242/AR242-1)</f>
        <v/>
      </c>
      <c r="AV242" s="43">
        <f>IF(OR(AR242="",AK242="",AK242=0),"",AR242/AK242)</f>
        <v/>
      </c>
      <c r="AW242" s="43">
        <f>IF(OR(AS242="",AL242="",AL242=0),"",AS242/AL242)</f>
        <v/>
      </c>
      <c r="AX242" s="44">
        <f>IF(OR(AW242="",AV242=""),"",(AW242-AV242)*100)</f>
        <v/>
      </c>
      <c r="AY242" s="45">
        <f>IF(OR(AR242="",P242="",P242=0),"",AR242/P242)</f>
        <v/>
      </c>
      <c r="AZ242" s="45">
        <f>IF(OR(AS242="",Q242="",Q242=0),"",AS242/Q242)</f>
        <v/>
      </c>
      <c r="BA242" s="44">
        <f>IF(OR(AZ242="",AY242=""),"",(AZ242-AY242)*100)</f>
        <v/>
      </c>
      <c r="BB242" s="45">
        <f>IF(OR(AR242="",E242="",E242=0),"",AR242/E242)</f>
        <v/>
      </c>
      <c r="BC242" s="45">
        <f>IF(OR(AS242="",F242="",F242=0),"",AS242/F242)</f>
        <v/>
      </c>
      <c r="BD242" s="44">
        <f>IF(OR(BC242="",BB242=""),"",(BC242-BB242)*100)</f>
        <v/>
      </c>
      <c r="BE242" s="40">
        <f>IF(AND(F242&lt;&gt;"",E242&lt;&gt;""),"Both years",IF(F242&lt;&gt;"","1-23Aug26 rows only","1-23Aug25 rows only"))</f>
        <v/>
      </c>
    </row>
    <row r="243">
      <c r="A243" s="56" t="inlineStr">
        <is>
          <t>Airport page</t>
        </is>
      </c>
      <c r="B243" s="56" t="inlineStr">
        <is>
          <t>Paid Search</t>
        </is>
      </c>
      <c r="C243" s="56" t="inlineStr">
        <is>
          <t>Desktop</t>
        </is>
      </c>
      <c r="D243" s="56" t="inlineStr">
        <is>
          <t>Netherlands</t>
        </is>
      </c>
      <c r="E243" s="68" t="n">
        <v>2388</v>
      </c>
      <c r="F243" s="68" t="n">
        <v>1709</v>
      </c>
      <c r="G243" s="69">
        <f>IF(OR(F243="",E243="",E243=0,F243=0),"",F243-E243)</f>
        <v/>
      </c>
      <c r="H243" s="42">
        <f>IF(OR(F243="",E243="",E243=0,F243=0),"",F243/E243-1)</f>
        <v/>
      </c>
      <c r="I243" s="68" t="n">
        <v>1686</v>
      </c>
      <c r="J243" s="68" t="n">
        <v>1069</v>
      </c>
      <c r="K243" s="69">
        <f>IF(OR(J243="",I243="",I243=0,J243=0),"",J243-I243)</f>
        <v/>
      </c>
      <c r="L243" s="42">
        <f>IF(OR(J243="",I243="",I243=0,J243=0),"",J243/I243-1)</f>
        <v/>
      </c>
      <c r="M243" s="43">
        <f>IF(OR(I243="",E243="",E243=0),"",I243/E243)</f>
        <v/>
      </c>
      <c r="N243" s="43">
        <f>IF(OR(J243="",F243="",F243=0),"",J243/F243)</f>
        <v/>
      </c>
      <c r="O243" s="44">
        <f>IF(OR(N243="",M243=""),"",(N243-M243)*100)</f>
        <v/>
      </c>
      <c r="P243" s="68" t="n">
        <v>1516</v>
      </c>
      <c r="Q243" s="68" t="n">
        <v>1044</v>
      </c>
      <c r="R243" s="69">
        <f>IF(OR(Q243="",P243="",P243=0,Q243=0),"",Q243-P243)</f>
        <v/>
      </c>
      <c r="S243" s="42">
        <f>IF(OR(Q243="",P243="",P243=0,Q243=0),"",Q243/P243-1)</f>
        <v/>
      </c>
      <c r="T243" s="43">
        <f>IF(OR(P243="",E243="",E243=0),"",P243/E243)</f>
        <v/>
      </c>
      <c r="U243" s="43">
        <f>IF(OR(Q243="",F243="",F243=0),"",Q243/F243)</f>
        <v/>
      </c>
      <c r="V243" s="44">
        <f>IF(OR(U243="",T243=""),"",(U243-T243)*100)</f>
        <v/>
      </c>
      <c r="W243" s="68" t="n">
        <v>405</v>
      </c>
      <c r="X243" s="68" t="n">
        <v>291</v>
      </c>
      <c r="Y243" s="69">
        <f>IF(OR(X243="",W243="",W243=0,X243=0),"",X243-W243)</f>
        <v/>
      </c>
      <c r="Z243" s="42">
        <f>IF(OR(X243="",W243="",W243=0,X243=0),"",X243/W243-1)</f>
        <v/>
      </c>
      <c r="AA243" s="43">
        <f>IF(OR(W243="",P243="",P243=0),"",W243/P243)</f>
        <v/>
      </c>
      <c r="AB243" s="43">
        <f>IF(OR(X243="",Q243="",Q243=0),"",X243/Q243)</f>
        <v/>
      </c>
      <c r="AC243" s="44">
        <f>IF(OR(AB243="",AA243=""),"",(AB243-AA243)*100)</f>
        <v/>
      </c>
      <c r="AD243" s="68" t="n">
        <v>309</v>
      </c>
      <c r="AE243" s="68" t="n">
        <v>208</v>
      </c>
      <c r="AF243" s="69">
        <f>IF(OR(AE243="",AD243="",AD243=0,AE243=0),"",AE243-AD243)</f>
        <v/>
      </c>
      <c r="AG243" s="42">
        <f>IF(OR(AE243="",AD243="",AD243=0,AE243=0),"",AE243/AD243-1)</f>
        <v/>
      </c>
      <c r="AH243" s="43">
        <f>IF(OR(AD243="",W243="",W243=0),"",AD243/W243)</f>
        <v/>
      </c>
      <c r="AI243" s="43">
        <f>IF(OR(AE243="",X243="",X243=0),"",AE243/X243)</f>
        <v/>
      </c>
      <c r="AJ243" s="44">
        <f>IF(OR(AI243="",AH243=""),"",(AI243-AH243)*100)</f>
        <v/>
      </c>
      <c r="AK243" s="68" t="n">
        <v>117</v>
      </c>
      <c r="AL243" s="68" t="n">
        <v>90</v>
      </c>
      <c r="AM243" s="69">
        <f>IF(OR(AL243="",AK243="",AK243=0,AL243=0),"",AL243-AK243)</f>
        <v/>
      </c>
      <c r="AN243" s="42">
        <f>IF(OR(AL243="",AK243="",AK243=0,AL243=0),"",AL243/AK243-1)</f>
        <v/>
      </c>
      <c r="AO243" s="43">
        <f>IF(OR(AK243="",AD243="",AD243=0),"",AK243/AD243)</f>
        <v/>
      </c>
      <c r="AP243" s="43">
        <f>IF(OR(AL243="",AE243="",AE243=0),"",AL243/AE243)</f>
        <v/>
      </c>
      <c r="AQ243" s="44">
        <f>IF(OR(AP243="",AO243=""),"",(AP243-AO243)*100)</f>
        <v/>
      </c>
      <c r="AR243" s="68" t="n">
        <v>44</v>
      </c>
      <c r="AS243" s="68" t="n">
        <v>32</v>
      </c>
      <c r="AT243" s="69">
        <f>IF(OR(AS243="",AR243="",AR243=0,AS243=0),"",AS243-AR243)</f>
        <v/>
      </c>
      <c r="AU243" s="42">
        <f>IF(OR(AS243="",AR243="",AR243=0,AS243=0),"",AS243/AR243-1)</f>
        <v/>
      </c>
      <c r="AV243" s="43">
        <f>IF(OR(AR243="",AK243="",AK243=0),"",AR243/AK243)</f>
        <v/>
      </c>
      <c r="AW243" s="43">
        <f>IF(OR(AS243="",AL243="",AL243=0),"",AS243/AL243)</f>
        <v/>
      </c>
      <c r="AX243" s="44">
        <f>IF(OR(AW243="",AV243=""),"",(AW243-AV243)*100)</f>
        <v/>
      </c>
      <c r="AY243" s="45">
        <f>IF(OR(AR243="",P243="",P243=0),"",AR243/P243)</f>
        <v/>
      </c>
      <c r="AZ243" s="45">
        <f>IF(OR(AS243="",Q243="",Q243=0),"",AS243/Q243)</f>
        <v/>
      </c>
      <c r="BA243" s="44">
        <f>IF(OR(AZ243="",AY243=""),"",(AZ243-AY243)*100)</f>
        <v/>
      </c>
      <c r="BB243" s="45">
        <f>IF(OR(AR243="",E243="",E243=0),"",AR243/E243)</f>
        <v/>
      </c>
      <c r="BC243" s="45">
        <f>IF(OR(AS243="",F243="",F243=0),"",AS243/F243)</f>
        <v/>
      </c>
      <c r="BD243" s="44">
        <f>IF(OR(BC243="",BB243=""),"",(BC243-BB243)*100)</f>
        <v/>
      </c>
      <c r="BE243" s="40">
        <f>IF(AND(F243&lt;&gt;"",E243&lt;&gt;""),"Both years",IF(F243&lt;&gt;"","1-23Aug26 rows only","1-23Aug25 rows only"))</f>
        <v/>
      </c>
    </row>
    <row r="244">
      <c r="A244" s="40" t="inlineStr">
        <is>
          <t>Airport page</t>
        </is>
      </c>
      <c r="B244" s="40" t="inlineStr">
        <is>
          <t>Paid Search</t>
        </is>
      </c>
      <c r="C244" s="40" t="inlineStr">
        <is>
          <t>Desktop</t>
        </is>
      </c>
      <c r="D244" s="40" t="inlineStr">
        <is>
          <t>Spain</t>
        </is>
      </c>
      <c r="E244" s="68" t="n">
        <v>1718</v>
      </c>
      <c r="F244" s="68" t="n">
        <v>1544</v>
      </c>
      <c r="G244" s="69">
        <f>IF(OR(F244="",E244="",E244=0,F244=0),"",F244-E244)</f>
        <v/>
      </c>
      <c r="H244" s="42">
        <f>IF(OR(F244="",E244="",E244=0,F244=0),"",F244/E244-1)</f>
        <v/>
      </c>
      <c r="I244" s="68" t="n">
        <v>1176</v>
      </c>
      <c r="J244" s="68" t="n">
        <v>834</v>
      </c>
      <c r="K244" s="69">
        <f>IF(OR(J244="",I244="",I244=0,J244=0),"",J244-I244)</f>
        <v/>
      </c>
      <c r="L244" s="42">
        <f>IF(OR(J244="",I244="",I244=0,J244=0),"",J244/I244-1)</f>
        <v/>
      </c>
      <c r="M244" s="43">
        <f>IF(OR(I244="",E244="",E244=0),"",I244/E244)</f>
        <v/>
      </c>
      <c r="N244" s="43">
        <f>IF(OR(J244="",F244="",F244=0),"",J244/F244)</f>
        <v/>
      </c>
      <c r="O244" s="44">
        <f>IF(OR(N244="",M244=""),"",(N244-M244)*100)</f>
        <v/>
      </c>
      <c r="P244" s="68" t="n">
        <v>992</v>
      </c>
      <c r="Q244" s="68" t="n">
        <v>786</v>
      </c>
      <c r="R244" s="69">
        <f>IF(OR(Q244="",P244="",P244=0,Q244=0),"",Q244-P244)</f>
        <v/>
      </c>
      <c r="S244" s="42">
        <f>IF(OR(Q244="",P244="",P244=0,Q244=0),"",Q244/P244-1)</f>
        <v/>
      </c>
      <c r="T244" s="43">
        <f>IF(OR(P244="",E244="",E244=0),"",P244/E244)</f>
        <v/>
      </c>
      <c r="U244" s="43">
        <f>IF(OR(Q244="",F244="",F244=0),"",Q244/F244)</f>
        <v/>
      </c>
      <c r="V244" s="44">
        <f>IF(OR(U244="",T244=""),"",(U244-T244)*100)</f>
        <v/>
      </c>
      <c r="W244" s="68" t="n">
        <v>256</v>
      </c>
      <c r="X244" s="68" t="n">
        <v>205</v>
      </c>
      <c r="Y244" s="69">
        <f>IF(OR(X244="",W244="",W244=0,X244=0),"",X244-W244)</f>
        <v/>
      </c>
      <c r="Z244" s="42">
        <f>IF(OR(X244="",W244="",W244=0,X244=0),"",X244/W244-1)</f>
        <v/>
      </c>
      <c r="AA244" s="43">
        <f>IF(OR(W244="",P244="",P244=0),"",W244/P244)</f>
        <v/>
      </c>
      <c r="AB244" s="43">
        <f>IF(OR(X244="",Q244="",Q244=0),"",X244/Q244)</f>
        <v/>
      </c>
      <c r="AC244" s="44">
        <f>IF(OR(AB244="",AA244=""),"",(AB244-AA244)*100)</f>
        <v/>
      </c>
      <c r="AD244" s="68" t="n">
        <v>208</v>
      </c>
      <c r="AE244" s="68" t="n">
        <v>166</v>
      </c>
      <c r="AF244" s="69">
        <f>IF(OR(AE244="",AD244="",AD244=0,AE244=0),"",AE244-AD244)</f>
        <v/>
      </c>
      <c r="AG244" s="42">
        <f>IF(OR(AE244="",AD244="",AD244=0,AE244=0),"",AE244/AD244-1)</f>
        <v/>
      </c>
      <c r="AH244" s="43">
        <f>IF(OR(AD244="",W244="",W244=0),"",AD244/W244)</f>
        <v/>
      </c>
      <c r="AI244" s="43">
        <f>IF(OR(AE244="",X244="",X244=0),"",AE244/X244)</f>
        <v/>
      </c>
      <c r="AJ244" s="44">
        <f>IF(OR(AI244="",AH244=""),"",(AI244-AH244)*100)</f>
        <v/>
      </c>
      <c r="AK244" s="68" t="n">
        <v>88</v>
      </c>
      <c r="AL244" s="68" t="n">
        <v>65</v>
      </c>
      <c r="AM244" s="69">
        <f>IF(OR(AL244="",AK244="",AK244=0,AL244=0),"",AL244-AK244)</f>
        <v/>
      </c>
      <c r="AN244" s="42">
        <f>IF(OR(AL244="",AK244="",AK244=0,AL244=0),"",AL244/AK244-1)</f>
        <v/>
      </c>
      <c r="AO244" s="43">
        <f>IF(OR(AK244="",AD244="",AD244=0),"",AK244/AD244)</f>
        <v/>
      </c>
      <c r="AP244" s="43">
        <f>IF(OR(AL244="",AE244="",AE244=0),"",AL244/AE244)</f>
        <v/>
      </c>
      <c r="AQ244" s="44">
        <f>IF(OR(AP244="",AO244=""),"",(AP244-AO244)*100)</f>
        <v/>
      </c>
      <c r="AR244" s="68" t="n">
        <v>66</v>
      </c>
      <c r="AS244" s="68" t="n">
        <v>53</v>
      </c>
      <c r="AT244" s="69">
        <f>IF(OR(AS244="",AR244="",AR244=0,AS244=0),"",AS244-AR244)</f>
        <v/>
      </c>
      <c r="AU244" s="42">
        <f>IF(OR(AS244="",AR244="",AR244=0,AS244=0),"",AS244/AR244-1)</f>
        <v/>
      </c>
      <c r="AV244" s="43">
        <f>IF(OR(AR244="",AK244="",AK244=0),"",AR244/AK244)</f>
        <v/>
      </c>
      <c r="AW244" s="43">
        <f>IF(OR(AS244="",AL244="",AL244=0),"",AS244/AL244)</f>
        <v/>
      </c>
      <c r="AX244" s="44">
        <f>IF(OR(AW244="",AV244=""),"",(AW244-AV244)*100)</f>
        <v/>
      </c>
      <c r="AY244" s="45">
        <f>IF(OR(AR244="",P244="",P244=0),"",AR244/P244)</f>
        <v/>
      </c>
      <c r="AZ244" s="45">
        <f>IF(OR(AS244="",Q244="",Q244=0),"",AS244/Q244)</f>
        <v/>
      </c>
      <c r="BA244" s="44">
        <f>IF(OR(AZ244="",AY244=""),"",(AZ244-AY244)*100)</f>
        <v/>
      </c>
      <c r="BB244" s="45">
        <f>IF(OR(AR244="",E244="",E244=0),"",AR244/E244)</f>
        <v/>
      </c>
      <c r="BC244" s="45">
        <f>IF(OR(AS244="",F244="",F244=0),"",AS244/F244)</f>
        <v/>
      </c>
      <c r="BD244" s="44">
        <f>IF(OR(BC244="",BB244=""),"",(BC244-BB244)*100)</f>
        <v/>
      </c>
      <c r="BE244" s="40">
        <f>IF(AND(F244&lt;&gt;"",E244&lt;&gt;""),"Both years",IF(F244&lt;&gt;"","1-23Aug26 rows only","1-23Aug25 rows only"))</f>
        <v/>
      </c>
    </row>
    <row r="245">
      <c r="A245" s="56" t="inlineStr">
        <is>
          <t>Airport page</t>
        </is>
      </c>
      <c r="B245" s="56" t="inlineStr">
        <is>
          <t>Paid Search</t>
        </is>
      </c>
      <c r="C245" s="56" t="inlineStr">
        <is>
          <t>Desktop</t>
        </is>
      </c>
      <c r="D245" s="56" t="inlineStr">
        <is>
          <t>France</t>
        </is>
      </c>
      <c r="E245" s="68" t="n">
        <v>2136</v>
      </c>
      <c r="F245" s="68" t="n">
        <v>1535</v>
      </c>
      <c r="G245" s="69">
        <f>IF(OR(F245="",E245="",E245=0,F245=0),"",F245-E245)</f>
        <v/>
      </c>
      <c r="H245" s="42">
        <f>IF(OR(F245="",E245="",E245=0,F245=0),"",F245/E245-1)</f>
        <v/>
      </c>
      <c r="I245" s="68" t="n">
        <v>1521</v>
      </c>
      <c r="J245" s="68" t="n">
        <v>957</v>
      </c>
      <c r="K245" s="69">
        <f>IF(OR(J245="",I245="",I245=0,J245=0),"",J245-I245)</f>
        <v/>
      </c>
      <c r="L245" s="42">
        <f>IF(OR(J245="",I245="",I245=0,J245=0),"",J245/I245-1)</f>
        <v/>
      </c>
      <c r="M245" s="43">
        <f>IF(OR(I245="",E245="",E245=0),"",I245/E245)</f>
        <v/>
      </c>
      <c r="N245" s="43">
        <f>IF(OR(J245="",F245="",F245=0),"",J245/F245)</f>
        <v/>
      </c>
      <c r="O245" s="44">
        <f>IF(OR(N245="",M245=""),"",(N245-M245)*100)</f>
        <v/>
      </c>
      <c r="P245" s="68" t="n">
        <v>1317</v>
      </c>
      <c r="Q245" s="68" t="n">
        <v>871</v>
      </c>
      <c r="R245" s="69">
        <f>IF(OR(Q245="",P245="",P245=0,Q245=0),"",Q245-P245)</f>
        <v/>
      </c>
      <c r="S245" s="42">
        <f>IF(OR(Q245="",P245="",P245=0,Q245=0),"",Q245/P245-1)</f>
        <v/>
      </c>
      <c r="T245" s="43">
        <f>IF(OR(P245="",E245="",E245=0),"",P245/E245)</f>
        <v/>
      </c>
      <c r="U245" s="43">
        <f>IF(OR(Q245="",F245="",F245=0),"",Q245/F245)</f>
        <v/>
      </c>
      <c r="V245" s="44">
        <f>IF(OR(U245="",T245=""),"",(U245-T245)*100)</f>
        <v/>
      </c>
      <c r="W245" s="68" t="n">
        <v>455</v>
      </c>
      <c r="X245" s="68" t="n">
        <v>311</v>
      </c>
      <c r="Y245" s="69">
        <f>IF(OR(X245="",W245="",W245=0,X245=0),"",X245-W245)</f>
        <v/>
      </c>
      <c r="Z245" s="42">
        <f>IF(OR(X245="",W245="",W245=0,X245=0),"",X245/W245-1)</f>
        <v/>
      </c>
      <c r="AA245" s="43">
        <f>IF(OR(W245="",P245="",P245=0),"",W245/P245)</f>
        <v/>
      </c>
      <c r="AB245" s="43">
        <f>IF(OR(X245="",Q245="",Q245=0),"",X245/Q245)</f>
        <v/>
      </c>
      <c r="AC245" s="44">
        <f>IF(OR(AB245="",AA245=""),"",(AB245-AA245)*100)</f>
        <v/>
      </c>
      <c r="AD245" s="68" t="n">
        <v>345</v>
      </c>
      <c r="AE245" s="68" t="n">
        <v>231</v>
      </c>
      <c r="AF245" s="69">
        <f>IF(OR(AE245="",AD245="",AD245=0,AE245=0),"",AE245-AD245)</f>
        <v/>
      </c>
      <c r="AG245" s="42">
        <f>IF(OR(AE245="",AD245="",AD245=0,AE245=0),"",AE245/AD245-1)</f>
        <v/>
      </c>
      <c r="AH245" s="43">
        <f>IF(OR(AD245="",W245="",W245=0),"",AD245/W245)</f>
        <v/>
      </c>
      <c r="AI245" s="43">
        <f>IF(OR(AE245="",X245="",X245=0),"",AE245/X245)</f>
        <v/>
      </c>
      <c r="AJ245" s="44">
        <f>IF(OR(AI245="",AH245=""),"",(AI245-AH245)*100)</f>
        <v/>
      </c>
      <c r="AK245" s="68" t="n">
        <v>112</v>
      </c>
      <c r="AL245" s="68" t="n">
        <v>89</v>
      </c>
      <c r="AM245" s="69">
        <f>IF(OR(AL245="",AK245="",AK245=0,AL245=0),"",AL245-AK245)</f>
        <v/>
      </c>
      <c r="AN245" s="42">
        <f>IF(OR(AL245="",AK245="",AK245=0,AL245=0),"",AL245/AK245-1)</f>
        <v/>
      </c>
      <c r="AO245" s="43">
        <f>IF(OR(AK245="",AD245="",AD245=0),"",AK245/AD245)</f>
        <v/>
      </c>
      <c r="AP245" s="43">
        <f>IF(OR(AL245="",AE245="",AE245=0),"",AL245/AE245)</f>
        <v/>
      </c>
      <c r="AQ245" s="44">
        <f>IF(OR(AP245="",AO245=""),"",(AP245-AO245)*100)</f>
        <v/>
      </c>
      <c r="AR245" s="68" t="n">
        <v>80</v>
      </c>
      <c r="AS245" s="68" t="n">
        <v>70</v>
      </c>
      <c r="AT245" s="69">
        <f>IF(OR(AS245="",AR245="",AR245=0,AS245=0),"",AS245-AR245)</f>
        <v/>
      </c>
      <c r="AU245" s="42">
        <f>IF(OR(AS245="",AR245="",AR245=0,AS245=0),"",AS245/AR245-1)</f>
        <v/>
      </c>
      <c r="AV245" s="43">
        <f>IF(OR(AR245="",AK245="",AK245=0),"",AR245/AK245)</f>
        <v/>
      </c>
      <c r="AW245" s="43">
        <f>IF(OR(AS245="",AL245="",AL245=0),"",AS245/AL245)</f>
        <v/>
      </c>
      <c r="AX245" s="44">
        <f>IF(OR(AW245="",AV245=""),"",(AW245-AV245)*100)</f>
        <v/>
      </c>
      <c r="AY245" s="45">
        <f>IF(OR(AR245="",P245="",P245=0),"",AR245/P245)</f>
        <v/>
      </c>
      <c r="AZ245" s="45">
        <f>IF(OR(AS245="",Q245="",Q245=0),"",AS245/Q245)</f>
        <v/>
      </c>
      <c r="BA245" s="44">
        <f>IF(OR(AZ245="",AY245=""),"",(AZ245-AY245)*100)</f>
        <v/>
      </c>
      <c r="BB245" s="45">
        <f>IF(OR(AR245="",E245="",E245=0),"",AR245/E245)</f>
        <v/>
      </c>
      <c r="BC245" s="45">
        <f>IF(OR(AS245="",F245="",F245=0),"",AS245/F245)</f>
        <v/>
      </c>
      <c r="BD245" s="44">
        <f>IF(OR(BC245="",BB245=""),"",(BC245-BB245)*100)</f>
        <v/>
      </c>
      <c r="BE245" s="40">
        <f>IF(AND(F245&lt;&gt;"",E245&lt;&gt;""),"Both years",IF(F245&lt;&gt;"","1-23Aug26 rows only","1-23Aug25 rows only"))</f>
        <v/>
      </c>
    </row>
    <row r="246">
      <c r="A246" s="40" t="inlineStr">
        <is>
          <t>Airport page</t>
        </is>
      </c>
      <c r="B246" s="40" t="inlineStr">
        <is>
          <t>Paid Search</t>
        </is>
      </c>
      <c r="C246" s="40" t="inlineStr">
        <is>
          <t>Desktop</t>
        </is>
      </c>
      <c r="D246" s="40" t="inlineStr">
        <is>
          <t>Ireland</t>
        </is>
      </c>
      <c r="E246" s="68" t="n">
        <v>2825</v>
      </c>
      <c r="F246" s="68" t="n">
        <v>1333</v>
      </c>
      <c r="G246" s="69">
        <f>IF(OR(F246="",E246="",E246=0,F246=0),"",F246-E246)</f>
        <v/>
      </c>
      <c r="H246" s="42">
        <f>IF(OR(F246="",E246="",E246=0,F246=0),"",F246/E246-1)</f>
        <v/>
      </c>
      <c r="I246" s="68" t="n">
        <v>1970</v>
      </c>
      <c r="J246" s="68" t="n">
        <v>860</v>
      </c>
      <c r="K246" s="69">
        <f>IF(OR(J246="",I246="",I246=0,J246=0),"",J246-I246)</f>
        <v/>
      </c>
      <c r="L246" s="42">
        <f>IF(OR(J246="",I246="",I246=0,J246=0),"",J246/I246-1)</f>
        <v/>
      </c>
      <c r="M246" s="43">
        <f>IF(OR(I246="",E246="",E246=0),"",I246/E246)</f>
        <v/>
      </c>
      <c r="N246" s="43">
        <f>IF(OR(J246="",F246="",F246=0),"",J246/F246)</f>
        <v/>
      </c>
      <c r="O246" s="44">
        <f>IF(OR(N246="",M246=""),"",(N246-M246)*100)</f>
        <v/>
      </c>
      <c r="P246" s="68" t="n">
        <v>1990</v>
      </c>
      <c r="Q246" s="68" t="n">
        <v>872</v>
      </c>
      <c r="R246" s="69">
        <f>IF(OR(Q246="",P246="",P246=0,Q246=0),"",Q246-P246)</f>
        <v/>
      </c>
      <c r="S246" s="42">
        <f>IF(OR(Q246="",P246="",P246=0,Q246=0),"",Q246/P246-1)</f>
        <v/>
      </c>
      <c r="T246" s="43">
        <f>IF(OR(P246="",E246="",E246=0),"",P246/E246)</f>
        <v/>
      </c>
      <c r="U246" s="43">
        <f>IF(OR(Q246="",F246="",F246=0),"",Q246/F246)</f>
        <v/>
      </c>
      <c r="V246" s="44">
        <f>IF(OR(U246="",T246=""),"",(U246-T246)*100)</f>
        <v/>
      </c>
      <c r="W246" s="68" t="n">
        <v>511</v>
      </c>
      <c r="X246" s="68" t="n">
        <v>192</v>
      </c>
      <c r="Y246" s="69">
        <f>IF(OR(X246="",W246="",W246=0,X246=0),"",X246-W246)</f>
        <v/>
      </c>
      <c r="Z246" s="42">
        <f>IF(OR(X246="",W246="",W246=0,X246=0),"",X246/W246-1)</f>
        <v/>
      </c>
      <c r="AA246" s="43">
        <f>IF(OR(W246="",P246="",P246=0),"",W246/P246)</f>
        <v/>
      </c>
      <c r="AB246" s="43">
        <f>IF(OR(X246="",Q246="",Q246=0),"",X246/Q246)</f>
        <v/>
      </c>
      <c r="AC246" s="44">
        <f>IF(OR(AB246="",AA246=""),"",(AB246-AA246)*100)</f>
        <v/>
      </c>
      <c r="AD246" s="68" t="n">
        <v>425</v>
      </c>
      <c r="AE246" s="68" t="n">
        <v>140</v>
      </c>
      <c r="AF246" s="69">
        <f>IF(OR(AE246="",AD246="",AD246=0,AE246=0),"",AE246-AD246)</f>
        <v/>
      </c>
      <c r="AG246" s="42">
        <f>IF(OR(AE246="",AD246="",AD246=0,AE246=0),"",AE246/AD246-1)</f>
        <v/>
      </c>
      <c r="AH246" s="43">
        <f>IF(OR(AD246="",W246="",W246=0),"",AD246/W246)</f>
        <v/>
      </c>
      <c r="AI246" s="43">
        <f>IF(OR(AE246="",X246="",X246=0),"",AE246/X246)</f>
        <v/>
      </c>
      <c r="AJ246" s="44">
        <f>IF(OR(AI246="",AH246=""),"",(AI246-AH246)*100)</f>
        <v/>
      </c>
      <c r="AK246" s="68" t="n">
        <v>211</v>
      </c>
      <c r="AL246" s="68" t="n">
        <v>80</v>
      </c>
      <c r="AM246" s="69">
        <f>IF(OR(AL246="",AK246="",AK246=0,AL246=0),"",AL246-AK246)</f>
        <v/>
      </c>
      <c r="AN246" s="42">
        <f>IF(OR(AL246="",AK246="",AK246=0,AL246=0),"",AL246/AK246-1)</f>
        <v/>
      </c>
      <c r="AO246" s="43">
        <f>IF(OR(AK246="",AD246="",AD246=0),"",AK246/AD246)</f>
        <v/>
      </c>
      <c r="AP246" s="43">
        <f>IF(OR(AL246="",AE246="",AE246=0),"",AL246/AE246)</f>
        <v/>
      </c>
      <c r="AQ246" s="44">
        <f>IF(OR(AP246="",AO246=""),"",(AP246-AO246)*100)</f>
        <v/>
      </c>
      <c r="AR246" s="68" t="n">
        <v>162</v>
      </c>
      <c r="AS246" s="68" t="n">
        <v>64</v>
      </c>
      <c r="AT246" s="69">
        <f>IF(OR(AS246="",AR246="",AR246=0,AS246=0),"",AS246-AR246)</f>
        <v/>
      </c>
      <c r="AU246" s="42">
        <f>IF(OR(AS246="",AR246="",AR246=0,AS246=0),"",AS246/AR246-1)</f>
        <v/>
      </c>
      <c r="AV246" s="43">
        <f>IF(OR(AR246="",AK246="",AK246=0),"",AR246/AK246)</f>
        <v/>
      </c>
      <c r="AW246" s="43">
        <f>IF(OR(AS246="",AL246="",AL246=0),"",AS246/AL246)</f>
        <v/>
      </c>
      <c r="AX246" s="44">
        <f>IF(OR(AW246="",AV246=""),"",(AW246-AV246)*100)</f>
        <v/>
      </c>
      <c r="AY246" s="45">
        <f>IF(OR(AR246="",P246="",P246=0),"",AR246/P246)</f>
        <v/>
      </c>
      <c r="AZ246" s="45">
        <f>IF(OR(AS246="",Q246="",Q246=0),"",AS246/Q246)</f>
        <v/>
      </c>
      <c r="BA246" s="44">
        <f>IF(OR(AZ246="",AY246=""),"",(AZ246-AY246)*100)</f>
        <v/>
      </c>
      <c r="BB246" s="45">
        <f>IF(OR(AR246="",E246="",E246=0),"",AR246/E246)</f>
        <v/>
      </c>
      <c r="BC246" s="45">
        <f>IF(OR(AS246="",F246="",F246=0),"",AS246/F246)</f>
        <v/>
      </c>
      <c r="BD246" s="44">
        <f>IF(OR(BC246="",BB246=""),"",(BC246-BB246)*100)</f>
        <v/>
      </c>
      <c r="BE246" s="40">
        <f>IF(AND(F246&lt;&gt;"",E246&lt;&gt;""),"Both years",IF(F246&lt;&gt;"","1-23Aug26 rows only","1-23Aug25 rows only"))</f>
        <v/>
      </c>
    </row>
    <row r="247">
      <c r="A247" s="56" t="inlineStr">
        <is>
          <t>Airport page</t>
        </is>
      </c>
      <c r="B247" s="56" t="inlineStr">
        <is>
          <t>Paid Search</t>
        </is>
      </c>
      <c r="C247" s="56" t="inlineStr">
        <is>
          <t>Desktop</t>
        </is>
      </c>
      <c r="D247" s="56" t="inlineStr">
        <is>
          <t>United States</t>
        </is>
      </c>
      <c r="E247" s="68" t="n">
        <v>2910</v>
      </c>
      <c r="F247" s="68" t="n">
        <v>1263</v>
      </c>
      <c r="G247" s="69">
        <f>IF(OR(F247="",E247="",E247=0,F247=0),"",F247-E247)</f>
        <v/>
      </c>
      <c r="H247" s="42">
        <f>IF(OR(F247="",E247="",E247=0,F247=0),"",F247/E247-1)</f>
        <v/>
      </c>
      <c r="I247" s="68" t="n">
        <v>1418</v>
      </c>
      <c r="J247" s="68" t="n">
        <v>651</v>
      </c>
      <c r="K247" s="69">
        <f>IF(OR(J247="",I247="",I247=0,J247=0),"",J247-I247)</f>
        <v/>
      </c>
      <c r="L247" s="42">
        <f>IF(OR(J247="",I247="",I247=0,J247=0),"",J247/I247-1)</f>
        <v/>
      </c>
      <c r="M247" s="43">
        <f>IF(OR(I247="",E247="",E247=0),"",I247/E247)</f>
        <v/>
      </c>
      <c r="N247" s="43">
        <f>IF(OR(J247="",F247="",F247=0),"",J247/F247)</f>
        <v/>
      </c>
      <c r="O247" s="44">
        <f>IF(OR(N247="",M247=""),"",(N247-M247)*100)</f>
        <v/>
      </c>
      <c r="P247" s="68" t="n">
        <v>1280</v>
      </c>
      <c r="Q247" s="68" t="n">
        <v>687</v>
      </c>
      <c r="R247" s="69">
        <f>IF(OR(Q247="",P247="",P247=0,Q247=0),"",Q247-P247)</f>
        <v/>
      </c>
      <c r="S247" s="42">
        <f>IF(OR(Q247="",P247="",P247=0,Q247=0),"",Q247/P247-1)</f>
        <v/>
      </c>
      <c r="T247" s="43">
        <f>IF(OR(P247="",E247="",E247=0),"",P247/E247)</f>
        <v/>
      </c>
      <c r="U247" s="43">
        <f>IF(OR(Q247="",F247="",F247=0),"",Q247/F247)</f>
        <v/>
      </c>
      <c r="V247" s="44">
        <f>IF(OR(U247="",T247=""),"",(U247-T247)*100)</f>
        <v/>
      </c>
      <c r="W247" s="68" t="n">
        <v>446</v>
      </c>
      <c r="X247" s="68" t="n">
        <v>237</v>
      </c>
      <c r="Y247" s="69">
        <f>IF(OR(X247="",W247="",W247=0,X247=0),"",X247-W247)</f>
        <v/>
      </c>
      <c r="Z247" s="42">
        <f>IF(OR(X247="",W247="",W247=0,X247=0),"",X247/W247-1)</f>
        <v/>
      </c>
      <c r="AA247" s="43">
        <f>IF(OR(W247="",P247="",P247=0),"",W247/P247)</f>
        <v/>
      </c>
      <c r="AB247" s="43">
        <f>IF(OR(X247="",Q247="",Q247=0),"",X247/Q247)</f>
        <v/>
      </c>
      <c r="AC247" s="44">
        <f>IF(OR(AB247="",AA247=""),"",(AB247-AA247)*100)</f>
        <v/>
      </c>
      <c r="AD247" s="68" t="n">
        <v>359</v>
      </c>
      <c r="AE247" s="68" t="n">
        <v>211</v>
      </c>
      <c r="AF247" s="69">
        <f>IF(OR(AE247="",AD247="",AD247=0,AE247=0),"",AE247-AD247)</f>
        <v/>
      </c>
      <c r="AG247" s="42">
        <f>IF(OR(AE247="",AD247="",AD247=0,AE247=0),"",AE247/AD247-1)</f>
        <v/>
      </c>
      <c r="AH247" s="43">
        <f>IF(OR(AD247="",W247="",W247=0),"",AD247/W247)</f>
        <v/>
      </c>
      <c r="AI247" s="43">
        <f>IF(OR(AE247="",X247="",X247=0),"",AE247/X247)</f>
        <v/>
      </c>
      <c r="AJ247" s="44">
        <f>IF(OR(AI247="",AH247=""),"",(AI247-AH247)*100)</f>
        <v/>
      </c>
      <c r="AK247" s="68" t="n">
        <v>154</v>
      </c>
      <c r="AL247" s="68" t="n">
        <v>78</v>
      </c>
      <c r="AM247" s="69">
        <f>IF(OR(AL247="",AK247="",AK247=0,AL247=0),"",AL247-AK247)</f>
        <v/>
      </c>
      <c r="AN247" s="42">
        <f>IF(OR(AL247="",AK247="",AK247=0,AL247=0),"",AL247/AK247-1)</f>
        <v/>
      </c>
      <c r="AO247" s="43">
        <f>IF(OR(AK247="",AD247="",AD247=0),"",AK247/AD247)</f>
        <v/>
      </c>
      <c r="AP247" s="43">
        <f>IF(OR(AL247="",AE247="",AE247=0),"",AL247/AE247)</f>
        <v/>
      </c>
      <c r="AQ247" s="44">
        <f>IF(OR(AP247="",AO247=""),"",(AP247-AO247)*100)</f>
        <v/>
      </c>
      <c r="AR247" s="68" t="n">
        <v>96</v>
      </c>
      <c r="AS247" s="68" t="n">
        <v>52</v>
      </c>
      <c r="AT247" s="69">
        <f>IF(OR(AS247="",AR247="",AR247=0,AS247=0),"",AS247-AR247)</f>
        <v/>
      </c>
      <c r="AU247" s="42">
        <f>IF(OR(AS247="",AR247="",AR247=0,AS247=0),"",AS247/AR247-1)</f>
        <v/>
      </c>
      <c r="AV247" s="43">
        <f>IF(OR(AR247="",AK247="",AK247=0),"",AR247/AK247)</f>
        <v/>
      </c>
      <c r="AW247" s="43">
        <f>IF(OR(AS247="",AL247="",AL247=0),"",AS247/AL247)</f>
        <v/>
      </c>
      <c r="AX247" s="44">
        <f>IF(OR(AW247="",AV247=""),"",(AW247-AV247)*100)</f>
        <v/>
      </c>
      <c r="AY247" s="45">
        <f>IF(OR(AR247="",P247="",P247=0),"",AR247/P247)</f>
        <v/>
      </c>
      <c r="AZ247" s="45">
        <f>IF(OR(AS247="",Q247="",Q247=0),"",AS247/Q247)</f>
        <v/>
      </c>
      <c r="BA247" s="44">
        <f>IF(OR(AZ247="",AY247=""),"",(AZ247-AY247)*100)</f>
        <v/>
      </c>
      <c r="BB247" s="45">
        <f>IF(OR(AR247="",E247="",E247=0),"",AR247/E247)</f>
        <v/>
      </c>
      <c r="BC247" s="45">
        <f>IF(OR(AS247="",F247="",F247=0),"",AS247/F247)</f>
        <v/>
      </c>
      <c r="BD247" s="44">
        <f>IF(OR(BC247="",BB247=""),"",(BC247-BB247)*100)</f>
        <v/>
      </c>
      <c r="BE247" s="40">
        <f>IF(AND(F247&lt;&gt;"",E247&lt;&gt;""),"Both years",IF(F247&lt;&gt;"","1-23Aug26 rows only","1-23Aug25 rows only"))</f>
        <v/>
      </c>
    </row>
    <row r="248">
      <c r="A248" s="40" t="inlineStr">
        <is>
          <t>Airport page</t>
        </is>
      </c>
      <c r="B248" s="40" t="inlineStr">
        <is>
          <t>Paid Search</t>
        </is>
      </c>
      <c r="C248" s="40" t="inlineStr">
        <is>
          <t>Desktop</t>
        </is>
      </c>
      <c r="D248" s="40" t="inlineStr">
        <is>
          <t>Denmark</t>
        </is>
      </c>
      <c r="E248" s="68" t="n">
        <v>650</v>
      </c>
      <c r="F248" s="68" t="n">
        <v>1123</v>
      </c>
      <c r="G248" s="69">
        <f>IF(OR(F248="",E248="",E248=0,F248=0),"",F248-E248)</f>
        <v/>
      </c>
      <c r="H248" s="42">
        <f>IF(OR(F248="",E248="",E248=0,F248=0),"",F248/E248-1)</f>
        <v/>
      </c>
      <c r="I248" s="70" t="n"/>
      <c r="J248" s="70" t="n"/>
      <c r="K248" s="69">
        <f>IF(OR(J248="",I248="",I248=0,J248=0),"",J248-I248)</f>
        <v/>
      </c>
      <c r="L248" s="42">
        <f>IF(OR(J248="",I248="",I248=0,J248=0),"",J248/I248-1)</f>
        <v/>
      </c>
      <c r="M248" s="43">
        <f>IF(OR(I248="",E248="",E248=0),"",I248/E248)</f>
        <v/>
      </c>
      <c r="N248" s="43">
        <f>IF(OR(J248="",F248="",F248=0),"",J248/F248)</f>
        <v/>
      </c>
      <c r="O248" s="44">
        <f>IF(OR(N248="",M248=""),"",(N248-M248)*100)</f>
        <v/>
      </c>
      <c r="P248" s="68" t="n">
        <v>422</v>
      </c>
      <c r="Q248" s="68" t="n">
        <v>651</v>
      </c>
      <c r="R248" s="69">
        <f>IF(OR(Q248="",P248="",P248=0,Q248=0),"",Q248-P248)</f>
        <v/>
      </c>
      <c r="S248" s="42">
        <f>IF(OR(Q248="",P248="",P248=0,Q248=0),"",Q248/P248-1)</f>
        <v/>
      </c>
      <c r="T248" s="43">
        <f>IF(OR(P248="",E248="",E248=0),"",P248/E248)</f>
        <v/>
      </c>
      <c r="U248" s="43">
        <f>IF(OR(Q248="",F248="",F248=0),"",Q248/F248)</f>
        <v/>
      </c>
      <c r="V248" s="44">
        <f>IF(OR(U248="",T248=""),"",(U248-T248)*100)</f>
        <v/>
      </c>
      <c r="W248" s="70" t="n"/>
      <c r="X248" s="70" t="n"/>
      <c r="Y248" s="69">
        <f>IF(OR(X248="",W248="",W248=0,X248=0),"",X248-W248)</f>
        <v/>
      </c>
      <c r="Z248" s="42">
        <f>IF(OR(X248="",W248="",W248=0,X248=0),"",X248/W248-1)</f>
        <v/>
      </c>
      <c r="AA248" s="43">
        <f>IF(OR(W248="",P248="",P248=0),"",W248/P248)</f>
        <v/>
      </c>
      <c r="AB248" s="43">
        <f>IF(OR(X248="",Q248="",Q248=0),"",X248/Q248)</f>
        <v/>
      </c>
      <c r="AC248" s="44">
        <f>IF(OR(AB248="",AA248=""),"",(AB248-AA248)*100)</f>
        <v/>
      </c>
      <c r="AD248" s="70" t="n"/>
      <c r="AE248" s="70" t="n"/>
      <c r="AF248" s="69">
        <f>IF(OR(AE248="",AD248="",AD248=0,AE248=0),"",AE248-AD248)</f>
        <v/>
      </c>
      <c r="AG248" s="42">
        <f>IF(OR(AE248="",AD248="",AD248=0,AE248=0),"",AE248/AD248-1)</f>
        <v/>
      </c>
      <c r="AH248" s="43">
        <f>IF(OR(AD248="",W248="",W248=0),"",AD248/W248)</f>
        <v/>
      </c>
      <c r="AI248" s="43">
        <f>IF(OR(AE248="",X248="",X248=0),"",AE248/X248)</f>
        <v/>
      </c>
      <c r="AJ248" s="44">
        <f>IF(OR(AI248="",AH248=""),"",(AI248-AH248)*100)</f>
        <v/>
      </c>
      <c r="AK248" s="70" t="n"/>
      <c r="AL248" s="70" t="n"/>
      <c r="AM248" s="69">
        <f>IF(OR(AL248="",AK248="",AK248=0,AL248=0),"",AL248-AK248)</f>
        <v/>
      </c>
      <c r="AN248" s="42">
        <f>IF(OR(AL248="",AK248="",AK248=0,AL248=0),"",AL248/AK248-1)</f>
        <v/>
      </c>
      <c r="AO248" s="43">
        <f>IF(OR(AK248="",AD248="",AD248=0),"",AK248/AD248)</f>
        <v/>
      </c>
      <c r="AP248" s="43">
        <f>IF(OR(AL248="",AE248="",AE248=0),"",AL248/AE248)</f>
        <v/>
      </c>
      <c r="AQ248" s="44">
        <f>IF(OR(AP248="",AO248=""),"",(AP248-AO248)*100)</f>
        <v/>
      </c>
      <c r="AR248" s="70" t="n"/>
      <c r="AS248" s="70" t="n"/>
      <c r="AT248" s="69">
        <f>IF(OR(AS248="",AR248="",AR248=0,AS248=0),"",AS248-AR248)</f>
        <v/>
      </c>
      <c r="AU248" s="42">
        <f>IF(OR(AS248="",AR248="",AR248=0,AS248=0),"",AS248/AR248-1)</f>
        <v/>
      </c>
      <c r="AV248" s="43">
        <f>IF(OR(AR248="",AK248="",AK248=0),"",AR248/AK248)</f>
        <v/>
      </c>
      <c r="AW248" s="43">
        <f>IF(OR(AS248="",AL248="",AL248=0),"",AS248/AL248)</f>
        <v/>
      </c>
      <c r="AX248" s="44">
        <f>IF(OR(AW248="",AV248=""),"",(AW248-AV248)*100)</f>
        <v/>
      </c>
      <c r="AY248" s="45">
        <f>IF(OR(AR248="",P248="",P248=0),"",AR248/P248)</f>
        <v/>
      </c>
      <c r="AZ248" s="45">
        <f>IF(OR(AS248="",Q248="",Q248=0),"",AS248/Q248)</f>
        <v/>
      </c>
      <c r="BA248" s="44">
        <f>IF(OR(AZ248="",AY248=""),"",(AZ248-AY248)*100)</f>
        <v/>
      </c>
      <c r="BB248" s="45">
        <f>IF(OR(AR248="",E248="",E248=0),"",AR248/E248)</f>
        <v/>
      </c>
      <c r="BC248" s="45">
        <f>IF(OR(AS248="",F248="",F248=0),"",AS248/F248)</f>
        <v/>
      </c>
      <c r="BD248" s="44">
        <f>IF(OR(BC248="",BB248=""),"",(BC248-BB248)*100)</f>
        <v/>
      </c>
      <c r="BE248" s="40">
        <f>IF(AND(F248&lt;&gt;"",E248&lt;&gt;""),"Both years",IF(F248&lt;&gt;"","1-23Aug26 rows only","1-23Aug25 rows only"))</f>
        <v/>
      </c>
    </row>
    <row r="249">
      <c r="A249" s="56" t="inlineStr">
        <is>
          <t>Airport page</t>
        </is>
      </c>
      <c r="B249" s="56" t="inlineStr">
        <is>
          <t>Paid Search</t>
        </is>
      </c>
      <c r="C249" s="56" t="inlineStr">
        <is>
          <t>Desktop</t>
        </is>
      </c>
      <c r="D249" s="56" t="inlineStr">
        <is>
          <t>Sweden</t>
        </is>
      </c>
      <c r="E249" s="68" t="n">
        <v>867</v>
      </c>
      <c r="F249" s="68" t="n">
        <v>1122</v>
      </c>
      <c r="G249" s="69">
        <f>IF(OR(F249="",E249="",E249=0,F249=0),"",F249-E249)</f>
        <v/>
      </c>
      <c r="H249" s="42">
        <f>IF(OR(F249="",E249="",E249=0,F249=0),"",F249/E249-1)</f>
        <v/>
      </c>
      <c r="I249" s="68" t="n">
        <v>579</v>
      </c>
      <c r="J249" s="68" t="n">
        <v>682</v>
      </c>
      <c r="K249" s="69">
        <f>IF(OR(J249="",I249="",I249=0,J249=0),"",J249-I249)</f>
        <v/>
      </c>
      <c r="L249" s="42">
        <f>IF(OR(J249="",I249="",I249=0,J249=0),"",J249/I249-1)</f>
        <v/>
      </c>
      <c r="M249" s="43">
        <f>IF(OR(I249="",E249="",E249=0),"",I249/E249)</f>
        <v/>
      </c>
      <c r="N249" s="43">
        <f>IF(OR(J249="",F249="",F249=0),"",J249/F249)</f>
        <v/>
      </c>
      <c r="O249" s="44">
        <f>IF(OR(N249="",M249=""),"",(N249-M249)*100)</f>
        <v/>
      </c>
      <c r="P249" s="68" t="n">
        <v>554</v>
      </c>
      <c r="Q249" s="68" t="n">
        <v>665</v>
      </c>
      <c r="R249" s="69">
        <f>IF(OR(Q249="",P249="",P249=0,Q249=0),"",Q249-P249)</f>
        <v/>
      </c>
      <c r="S249" s="42">
        <f>IF(OR(Q249="",P249="",P249=0,Q249=0),"",Q249/P249-1)</f>
        <v/>
      </c>
      <c r="T249" s="43">
        <f>IF(OR(P249="",E249="",E249=0),"",P249/E249)</f>
        <v/>
      </c>
      <c r="U249" s="43">
        <f>IF(OR(Q249="",F249="",F249=0),"",Q249/F249)</f>
        <v/>
      </c>
      <c r="V249" s="44">
        <f>IF(OR(U249="",T249=""),"",(U249-T249)*100)</f>
        <v/>
      </c>
      <c r="W249" s="68" t="n">
        <v>151</v>
      </c>
      <c r="X249" s="68" t="n">
        <v>172</v>
      </c>
      <c r="Y249" s="69">
        <f>IF(OR(X249="",W249="",W249=0,X249=0),"",X249-W249)</f>
        <v/>
      </c>
      <c r="Z249" s="42">
        <f>IF(OR(X249="",W249="",W249=0,X249=0),"",X249/W249-1)</f>
        <v/>
      </c>
      <c r="AA249" s="43">
        <f>IF(OR(W249="",P249="",P249=0),"",W249/P249)</f>
        <v/>
      </c>
      <c r="AB249" s="43">
        <f>IF(OR(X249="",Q249="",Q249=0),"",X249/Q249)</f>
        <v/>
      </c>
      <c r="AC249" s="44">
        <f>IF(OR(AB249="",AA249=""),"",(AB249-AA249)*100)</f>
        <v/>
      </c>
      <c r="AD249" s="68" t="n">
        <v>119</v>
      </c>
      <c r="AE249" s="68" t="n">
        <v>120</v>
      </c>
      <c r="AF249" s="69">
        <f>IF(OR(AE249="",AD249="",AD249=0,AE249=0),"",AE249-AD249)</f>
        <v/>
      </c>
      <c r="AG249" s="42">
        <f>IF(OR(AE249="",AD249="",AD249=0,AE249=0),"",AE249/AD249-1)</f>
        <v/>
      </c>
      <c r="AH249" s="43">
        <f>IF(OR(AD249="",W249="",W249=0),"",AD249/W249)</f>
        <v/>
      </c>
      <c r="AI249" s="43">
        <f>IF(OR(AE249="",X249="",X249=0),"",AE249/X249)</f>
        <v/>
      </c>
      <c r="AJ249" s="44">
        <f>IF(OR(AI249="",AH249=""),"",(AI249-AH249)*100)</f>
        <v/>
      </c>
      <c r="AK249" s="68" t="n">
        <v>61</v>
      </c>
      <c r="AL249" s="68" t="n">
        <v>55</v>
      </c>
      <c r="AM249" s="69">
        <f>IF(OR(AL249="",AK249="",AK249=0,AL249=0),"",AL249-AK249)</f>
        <v/>
      </c>
      <c r="AN249" s="42">
        <f>IF(OR(AL249="",AK249="",AK249=0,AL249=0),"",AL249/AK249-1)</f>
        <v/>
      </c>
      <c r="AO249" s="43">
        <f>IF(OR(AK249="",AD249="",AD249=0),"",AK249/AD249)</f>
        <v/>
      </c>
      <c r="AP249" s="43">
        <f>IF(OR(AL249="",AE249="",AE249=0),"",AL249/AE249)</f>
        <v/>
      </c>
      <c r="AQ249" s="44">
        <f>IF(OR(AP249="",AO249=""),"",(AP249-AO249)*100)</f>
        <v/>
      </c>
      <c r="AR249" s="68" t="n">
        <v>52</v>
      </c>
      <c r="AS249" s="68" t="n">
        <v>45</v>
      </c>
      <c r="AT249" s="69">
        <f>IF(OR(AS249="",AR249="",AR249=0,AS249=0),"",AS249-AR249)</f>
        <v/>
      </c>
      <c r="AU249" s="42">
        <f>IF(OR(AS249="",AR249="",AR249=0,AS249=0),"",AS249/AR249-1)</f>
        <v/>
      </c>
      <c r="AV249" s="43">
        <f>IF(OR(AR249="",AK249="",AK249=0),"",AR249/AK249)</f>
        <v/>
      </c>
      <c r="AW249" s="43">
        <f>IF(OR(AS249="",AL249="",AL249=0),"",AS249/AL249)</f>
        <v/>
      </c>
      <c r="AX249" s="44">
        <f>IF(OR(AW249="",AV249=""),"",(AW249-AV249)*100)</f>
        <v/>
      </c>
      <c r="AY249" s="45">
        <f>IF(OR(AR249="",P249="",P249=0),"",AR249/P249)</f>
        <v/>
      </c>
      <c r="AZ249" s="45">
        <f>IF(OR(AS249="",Q249="",Q249=0),"",AS249/Q249)</f>
        <v/>
      </c>
      <c r="BA249" s="44">
        <f>IF(OR(AZ249="",AY249=""),"",(AZ249-AY249)*100)</f>
        <v/>
      </c>
      <c r="BB249" s="45">
        <f>IF(OR(AR249="",E249="",E249=0),"",AR249/E249)</f>
        <v/>
      </c>
      <c r="BC249" s="45">
        <f>IF(OR(AS249="",F249="",F249=0),"",AS249/F249)</f>
        <v/>
      </c>
      <c r="BD249" s="44">
        <f>IF(OR(BC249="",BB249=""),"",(BC249-BB249)*100)</f>
        <v/>
      </c>
      <c r="BE249" s="40">
        <f>IF(AND(F249&lt;&gt;"",E249&lt;&gt;""),"Both years",IF(F249&lt;&gt;"","1-23Aug26 rows only","1-23Aug25 rows only"))</f>
        <v/>
      </c>
    </row>
    <row r="250">
      <c r="A250" s="40" t="inlineStr">
        <is>
          <t>Airport page</t>
        </is>
      </c>
      <c r="B250" s="40" t="inlineStr">
        <is>
          <t>Paid Search</t>
        </is>
      </c>
      <c r="C250" s="40" t="inlineStr">
        <is>
          <t>Desktop</t>
        </is>
      </c>
      <c r="D250" s="40" t="inlineStr">
        <is>
          <t>Norway</t>
        </is>
      </c>
      <c r="E250" s="68" t="n">
        <v>439</v>
      </c>
      <c r="F250" s="68" t="n">
        <v>839</v>
      </c>
      <c r="G250" s="69">
        <f>IF(OR(F250="",E250="",E250=0,F250=0),"",F250-E250)</f>
        <v/>
      </c>
      <c r="H250" s="42">
        <f>IF(OR(F250="",E250="",E250=0,F250=0),"",F250/E250-1)</f>
        <v/>
      </c>
      <c r="I250" s="68" t="n">
        <v>302</v>
      </c>
      <c r="J250" s="68" t="n">
        <v>491</v>
      </c>
      <c r="K250" s="69">
        <f>IF(OR(J250="",I250="",I250=0,J250=0),"",J250-I250)</f>
        <v/>
      </c>
      <c r="L250" s="42">
        <f>IF(OR(J250="",I250="",I250=0,J250=0),"",J250/I250-1)</f>
        <v/>
      </c>
      <c r="M250" s="43">
        <f>IF(OR(I250="",E250="",E250=0),"",I250/E250)</f>
        <v/>
      </c>
      <c r="N250" s="43">
        <f>IF(OR(J250="",F250="",F250=0),"",J250/F250)</f>
        <v/>
      </c>
      <c r="O250" s="44">
        <f>IF(OR(N250="",M250=""),"",(N250-M250)*100)</f>
        <v/>
      </c>
      <c r="P250" s="68" t="n">
        <v>282</v>
      </c>
      <c r="Q250" s="68" t="n">
        <v>501</v>
      </c>
      <c r="R250" s="69">
        <f>IF(OR(Q250="",P250="",P250=0,Q250=0),"",Q250-P250)</f>
        <v/>
      </c>
      <c r="S250" s="42">
        <f>IF(OR(Q250="",P250="",P250=0,Q250=0),"",Q250/P250-1)</f>
        <v/>
      </c>
      <c r="T250" s="43">
        <f>IF(OR(P250="",E250="",E250=0),"",P250/E250)</f>
        <v/>
      </c>
      <c r="U250" s="43">
        <f>IF(OR(Q250="",F250="",F250=0),"",Q250/F250)</f>
        <v/>
      </c>
      <c r="V250" s="44">
        <f>IF(OR(U250="",T250=""),"",(U250-T250)*100)</f>
        <v/>
      </c>
      <c r="W250" s="68" t="n">
        <v>91</v>
      </c>
      <c r="X250" s="68" t="n">
        <v>132</v>
      </c>
      <c r="Y250" s="69">
        <f>IF(OR(X250="",W250="",W250=0,X250=0),"",X250-W250)</f>
        <v/>
      </c>
      <c r="Z250" s="42">
        <f>IF(OR(X250="",W250="",W250=0,X250=0),"",X250/W250-1)</f>
        <v/>
      </c>
      <c r="AA250" s="43">
        <f>IF(OR(W250="",P250="",P250=0),"",W250/P250)</f>
        <v/>
      </c>
      <c r="AB250" s="43">
        <f>IF(OR(X250="",Q250="",Q250=0),"",X250/Q250)</f>
        <v/>
      </c>
      <c r="AC250" s="44">
        <f>IF(OR(AB250="",AA250=""),"",(AB250-AA250)*100)</f>
        <v/>
      </c>
      <c r="AD250" s="68" t="n">
        <v>66</v>
      </c>
      <c r="AE250" s="68" t="n">
        <v>90</v>
      </c>
      <c r="AF250" s="69">
        <f>IF(OR(AE250="",AD250="",AD250=0,AE250=0),"",AE250-AD250)</f>
        <v/>
      </c>
      <c r="AG250" s="42">
        <f>IF(OR(AE250="",AD250="",AD250=0,AE250=0),"",AE250/AD250-1)</f>
        <v/>
      </c>
      <c r="AH250" s="43">
        <f>IF(OR(AD250="",W250="",W250=0),"",AD250/W250)</f>
        <v/>
      </c>
      <c r="AI250" s="43">
        <f>IF(OR(AE250="",X250="",X250=0),"",AE250/X250)</f>
        <v/>
      </c>
      <c r="AJ250" s="44">
        <f>IF(OR(AI250="",AH250=""),"",(AI250-AH250)*100)</f>
        <v/>
      </c>
      <c r="AK250" s="68" t="n">
        <v>33</v>
      </c>
      <c r="AL250" s="68" t="n">
        <v>34</v>
      </c>
      <c r="AM250" s="69">
        <f>IF(OR(AL250="",AK250="",AK250=0,AL250=0),"",AL250-AK250)</f>
        <v/>
      </c>
      <c r="AN250" s="42">
        <f>IF(OR(AL250="",AK250="",AK250=0,AL250=0),"",AL250/AK250-1)</f>
        <v/>
      </c>
      <c r="AO250" s="43">
        <f>IF(OR(AK250="",AD250="",AD250=0),"",AK250/AD250)</f>
        <v/>
      </c>
      <c r="AP250" s="43">
        <f>IF(OR(AL250="",AE250="",AE250=0),"",AL250/AE250)</f>
        <v/>
      </c>
      <c r="AQ250" s="44">
        <f>IF(OR(AP250="",AO250=""),"",(AP250-AO250)*100)</f>
        <v/>
      </c>
      <c r="AR250" s="68" t="n">
        <v>24</v>
      </c>
      <c r="AS250" s="68" t="n">
        <v>28</v>
      </c>
      <c r="AT250" s="69">
        <f>IF(OR(AS250="",AR250="",AR250=0,AS250=0),"",AS250-AR250)</f>
        <v/>
      </c>
      <c r="AU250" s="42">
        <f>IF(OR(AS250="",AR250="",AR250=0,AS250=0),"",AS250/AR250-1)</f>
        <v/>
      </c>
      <c r="AV250" s="43">
        <f>IF(OR(AR250="",AK250="",AK250=0),"",AR250/AK250)</f>
        <v/>
      </c>
      <c r="AW250" s="43">
        <f>IF(OR(AS250="",AL250="",AL250=0),"",AS250/AL250)</f>
        <v/>
      </c>
      <c r="AX250" s="44">
        <f>IF(OR(AW250="",AV250=""),"",(AW250-AV250)*100)</f>
        <v/>
      </c>
      <c r="AY250" s="45">
        <f>IF(OR(AR250="",P250="",P250=0),"",AR250/P250)</f>
        <v/>
      </c>
      <c r="AZ250" s="45">
        <f>IF(OR(AS250="",Q250="",Q250=0),"",AS250/Q250)</f>
        <v/>
      </c>
      <c r="BA250" s="44">
        <f>IF(OR(AZ250="",AY250=""),"",(AZ250-AY250)*100)</f>
        <v/>
      </c>
      <c r="BB250" s="45">
        <f>IF(OR(AR250="",E250="",E250=0),"",AR250/E250)</f>
        <v/>
      </c>
      <c r="BC250" s="45">
        <f>IF(OR(AS250="",F250="",F250=0),"",AS250/F250)</f>
        <v/>
      </c>
      <c r="BD250" s="44">
        <f>IF(OR(BC250="",BB250=""),"",(BC250-BB250)*100)</f>
        <v/>
      </c>
      <c r="BE250" s="40">
        <f>IF(AND(F250&lt;&gt;"",E250&lt;&gt;""),"Both years",IF(F250&lt;&gt;"","1-23Aug26 rows only","1-23Aug25 rows only"))</f>
        <v/>
      </c>
    </row>
    <row r="251">
      <c r="A251" s="56" t="inlineStr">
        <is>
          <t>Airport page</t>
        </is>
      </c>
      <c r="B251" s="56" t="inlineStr">
        <is>
          <t>Paid Search</t>
        </is>
      </c>
      <c r="C251" s="56" t="inlineStr">
        <is>
          <t>Desktop</t>
        </is>
      </c>
      <c r="D251" s="56" t="inlineStr">
        <is>
          <t>Belgium</t>
        </is>
      </c>
      <c r="E251" s="70" t="n"/>
      <c r="F251" s="68" t="n">
        <v>729</v>
      </c>
      <c r="G251" s="69">
        <f>IF(OR(F251="",E251="",E251=0,F251=0),"",F251-E251)</f>
        <v/>
      </c>
      <c r="H251" s="42">
        <f>IF(OR(F251="",E251="",E251=0,F251=0),"",F251/E251-1)</f>
        <v/>
      </c>
      <c r="I251" s="68" t="n">
        <v>292</v>
      </c>
      <c r="J251" s="68" t="n">
        <v>461</v>
      </c>
      <c r="K251" s="69">
        <f>IF(OR(J251="",I251="",I251=0,J251=0),"",J251-I251)</f>
        <v/>
      </c>
      <c r="L251" s="42">
        <f>IF(OR(J251="",I251="",I251=0,J251=0),"",J251/I251-1)</f>
        <v/>
      </c>
      <c r="M251" s="43">
        <f>IF(OR(I251="",E251="",E251=0),"",I251/E251)</f>
        <v/>
      </c>
      <c r="N251" s="43">
        <f>IF(OR(J251="",F251="",F251=0),"",J251/F251)</f>
        <v/>
      </c>
      <c r="O251" s="44">
        <f>IF(OR(N251="",M251=""),"",(N251-M251)*100)</f>
        <v/>
      </c>
      <c r="P251" s="70" t="n"/>
      <c r="Q251" s="68" t="n">
        <v>459</v>
      </c>
      <c r="R251" s="69">
        <f>IF(OR(Q251="",P251="",P251=0,Q251=0),"",Q251-P251)</f>
        <v/>
      </c>
      <c r="S251" s="42">
        <f>IF(OR(Q251="",P251="",P251=0,Q251=0),"",Q251/P251-1)</f>
        <v/>
      </c>
      <c r="T251" s="43">
        <f>IF(OR(P251="",E251="",E251=0),"",P251/E251)</f>
        <v/>
      </c>
      <c r="U251" s="43">
        <f>IF(OR(Q251="",F251="",F251=0),"",Q251/F251)</f>
        <v/>
      </c>
      <c r="V251" s="44">
        <f>IF(OR(U251="",T251=""),"",(U251-T251)*100)</f>
        <v/>
      </c>
      <c r="W251" s="68" t="n">
        <v>65</v>
      </c>
      <c r="X251" s="68" t="n">
        <v>108</v>
      </c>
      <c r="Y251" s="69">
        <f>IF(OR(X251="",W251="",W251=0,X251=0),"",X251-W251)</f>
        <v/>
      </c>
      <c r="Z251" s="42">
        <f>IF(OR(X251="",W251="",W251=0,X251=0),"",X251/W251-1)</f>
        <v/>
      </c>
      <c r="AA251" s="43">
        <f>IF(OR(W251="",P251="",P251=0),"",W251/P251)</f>
        <v/>
      </c>
      <c r="AB251" s="43">
        <f>IF(OR(X251="",Q251="",Q251=0),"",X251/Q251)</f>
        <v/>
      </c>
      <c r="AC251" s="44">
        <f>IF(OR(AB251="",AA251=""),"",(AB251-AA251)*100)</f>
        <v/>
      </c>
      <c r="AD251" s="68" t="n">
        <v>49</v>
      </c>
      <c r="AE251" s="68" t="n">
        <v>84</v>
      </c>
      <c r="AF251" s="69">
        <f>IF(OR(AE251="",AD251="",AD251=0,AE251=0),"",AE251-AD251)</f>
        <v/>
      </c>
      <c r="AG251" s="42">
        <f>IF(OR(AE251="",AD251="",AD251=0,AE251=0),"",AE251/AD251-1)</f>
        <v/>
      </c>
      <c r="AH251" s="43">
        <f>IF(OR(AD251="",W251="",W251=0),"",AD251/W251)</f>
        <v/>
      </c>
      <c r="AI251" s="43">
        <f>IF(OR(AE251="",X251="",X251=0),"",AE251/X251)</f>
        <v/>
      </c>
      <c r="AJ251" s="44">
        <f>IF(OR(AI251="",AH251=""),"",(AI251-AH251)*100)</f>
        <v/>
      </c>
      <c r="AK251" s="68" t="n">
        <v>22</v>
      </c>
      <c r="AL251" s="68" t="n">
        <v>23</v>
      </c>
      <c r="AM251" s="69">
        <f>IF(OR(AL251="",AK251="",AK251=0,AL251=0),"",AL251-AK251)</f>
        <v/>
      </c>
      <c r="AN251" s="42">
        <f>IF(OR(AL251="",AK251="",AK251=0,AL251=0),"",AL251/AK251-1)</f>
        <v/>
      </c>
      <c r="AO251" s="43">
        <f>IF(OR(AK251="",AD251="",AD251=0),"",AK251/AD251)</f>
        <v/>
      </c>
      <c r="AP251" s="43">
        <f>IF(OR(AL251="",AE251="",AE251=0),"",AL251/AE251)</f>
        <v/>
      </c>
      <c r="AQ251" s="44">
        <f>IF(OR(AP251="",AO251=""),"",(AP251-AO251)*100)</f>
        <v/>
      </c>
      <c r="AR251" s="68" t="n">
        <v>17</v>
      </c>
      <c r="AS251" s="68" t="n">
        <v>17</v>
      </c>
      <c r="AT251" s="69">
        <f>IF(OR(AS251="",AR251="",AR251=0,AS251=0),"",AS251-AR251)</f>
        <v/>
      </c>
      <c r="AU251" s="42">
        <f>IF(OR(AS251="",AR251="",AR251=0,AS251=0),"",AS251/AR251-1)</f>
        <v/>
      </c>
      <c r="AV251" s="43">
        <f>IF(OR(AR251="",AK251="",AK251=0),"",AR251/AK251)</f>
        <v/>
      </c>
      <c r="AW251" s="43">
        <f>IF(OR(AS251="",AL251="",AL251=0),"",AS251/AL251)</f>
        <v/>
      </c>
      <c r="AX251" s="44">
        <f>IF(OR(AW251="",AV251=""),"",(AW251-AV251)*100)</f>
        <v/>
      </c>
      <c r="AY251" s="45">
        <f>IF(OR(AR251="",P251="",P251=0),"",AR251/P251)</f>
        <v/>
      </c>
      <c r="AZ251" s="45">
        <f>IF(OR(AS251="",Q251="",Q251=0),"",AS251/Q251)</f>
        <v/>
      </c>
      <c r="BA251" s="44">
        <f>IF(OR(AZ251="",AY251=""),"",(AZ251-AY251)*100)</f>
        <v/>
      </c>
      <c r="BB251" s="45">
        <f>IF(OR(AR251="",E251="",E251=0),"",AR251/E251)</f>
        <v/>
      </c>
      <c r="BC251" s="45">
        <f>IF(OR(AS251="",F251="",F251=0),"",AS251/F251)</f>
        <v/>
      </c>
      <c r="BD251" s="44">
        <f>IF(OR(BC251="",BB251=""),"",(BC251-BB251)*100)</f>
        <v/>
      </c>
      <c r="BE251" s="40">
        <f>IF(AND(F251&lt;&gt;"",E251&lt;&gt;""),"Both years",IF(F251&lt;&gt;"","1-23Aug26 rows only","1-23Aug25 rows only"))</f>
        <v/>
      </c>
    </row>
    <row r="252">
      <c r="A252" s="40" t="inlineStr">
        <is>
          <t>Airport page</t>
        </is>
      </c>
      <c r="B252" s="40" t="inlineStr">
        <is>
          <t>Paid Search</t>
        </is>
      </c>
      <c r="C252" s="40" t="inlineStr">
        <is>
          <t>Desktop</t>
        </is>
      </c>
      <c r="D252" s="40" t="inlineStr">
        <is>
          <t>Finland</t>
        </is>
      </c>
      <c r="E252" s="68" t="n">
        <v>498</v>
      </c>
      <c r="F252" s="68" t="n">
        <v>665</v>
      </c>
      <c r="G252" s="69">
        <f>IF(OR(F252="",E252="",E252=0,F252=0),"",F252-E252)</f>
        <v/>
      </c>
      <c r="H252" s="42">
        <f>IF(OR(F252="",E252="",E252=0,F252=0),"",F252/E252-1)</f>
        <v/>
      </c>
      <c r="I252" s="68" t="n">
        <v>297</v>
      </c>
      <c r="J252" s="68" t="n">
        <v>397</v>
      </c>
      <c r="K252" s="69">
        <f>IF(OR(J252="",I252="",I252=0,J252=0),"",J252-I252)</f>
        <v/>
      </c>
      <c r="L252" s="42">
        <f>IF(OR(J252="",I252="",I252=0,J252=0),"",J252/I252-1)</f>
        <v/>
      </c>
      <c r="M252" s="43">
        <f>IF(OR(I252="",E252="",E252=0),"",I252/E252)</f>
        <v/>
      </c>
      <c r="N252" s="43">
        <f>IF(OR(J252="",F252="",F252=0),"",J252/F252)</f>
        <v/>
      </c>
      <c r="O252" s="44">
        <f>IF(OR(N252="",M252=""),"",(N252-M252)*100)</f>
        <v/>
      </c>
      <c r="P252" s="68" t="n">
        <v>311</v>
      </c>
      <c r="Q252" s="68" t="n">
        <v>429</v>
      </c>
      <c r="R252" s="69">
        <f>IF(OR(Q252="",P252="",P252=0,Q252=0),"",Q252-P252)</f>
        <v/>
      </c>
      <c r="S252" s="42">
        <f>IF(OR(Q252="",P252="",P252=0,Q252=0),"",Q252/P252-1)</f>
        <v/>
      </c>
      <c r="T252" s="43">
        <f>IF(OR(P252="",E252="",E252=0),"",P252/E252)</f>
        <v/>
      </c>
      <c r="U252" s="43">
        <f>IF(OR(Q252="",F252="",F252=0),"",Q252/F252)</f>
        <v/>
      </c>
      <c r="V252" s="44">
        <f>IF(OR(U252="",T252=""),"",(U252-T252)*100)</f>
        <v/>
      </c>
      <c r="W252" s="68" t="n">
        <v>77</v>
      </c>
      <c r="X252" s="68" t="n">
        <v>109</v>
      </c>
      <c r="Y252" s="69">
        <f>IF(OR(X252="",W252="",W252=0,X252=0),"",X252-W252)</f>
        <v/>
      </c>
      <c r="Z252" s="42">
        <f>IF(OR(X252="",W252="",W252=0,X252=0),"",X252/W252-1)</f>
        <v/>
      </c>
      <c r="AA252" s="43">
        <f>IF(OR(W252="",P252="",P252=0),"",W252/P252)</f>
        <v/>
      </c>
      <c r="AB252" s="43">
        <f>IF(OR(X252="",Q252="",Q252=0),"",X252/Q252)</f>
        <v/>
      </c>
      <c r="AC252" s="44">
        <f>IF(OR(AB252="",AA252=""),"",(AB252-AA252)*100)</f>
        <v/>
      </c>
      <c r="AD252" s="68" t="n">
        <v>62</v>
      </c>
      <c r="AE252" s="68" t="n">
        <v>79</v>
      </c>
      <c r="AF252" s="69">
        <f>IF(OR(AE252="",AD252="",AD252=0,AE252=0),"",AE252-AD252)</f>
        <v/>
      </c>
      <c r="AG252" s="42">
        <f>IF(OR(AE252="",AD252="",AD252=0,AE252=0),"",AE252/AD252-1)</f>
        <v/>
      </c>
      <c r="AH252" s="43">
        <f>IF(OR(AD252="",W252="",W252=0),"",AD252/W252)</f>
        <v/>
      </c>
      <c r="AI252" s="43">
        <f>IF(OR(AE252="",X252="",X252=0),"",AE252/X252)</f>
        <v/>
      </c>
      <c r="AJ252" s="44">
        <f>IF(OR(AI252="",AH252=""),"",(AI252-AH252)*100)</f>
        <v/>
      </c>
      <c r="AK252" s="68" t="n">
        <v>21</v>
      </c>
      <c r="AL252" s="68" t="n">
        <v>31</v>
      </c>
      <c r="AM252" s="69">
        <f>IF(OR(AL252="",AK252="",AK252=0,AL252=0),"",AL252-AK252)</f>
        <v/>
      </c>
      <c r="AN252" s="42">
        <f>IF(OR(AL252="",AK252="",AK252=0,AL252=0),"",AL252/AK252-1)</f>
        <v/>
      </c>
      <c r="AO252" s="43">
        <f>IF(OR(AK252="",AD252="",AD252=0),"",AK252/AD252)</f>
        <v/>
      </c>
      <c r="AP252" s="43">
        <f>IF(OR(AL252="",AE252="",AE252=0),"",AL252/AE252)</f>
        <v/>
      </c>
      <c r="AQ252" s="44">
        <f>IF(OR(AP252="",AO252=""),"",(AP252-AO252)*100)</f>
        <v/>
      </c>
      <c r="AR252" s="68" t="n">
        <v>15</v>
      </c>
      <c r="AS252" s="68" t="n">
        <v>26</v>
      </c>
      <c r="AT252" s="69">
        <f>IF(OR(AS252="",AR252="",AR252=0,AS252=0),"",AS252-AR252)</f>
        <v/>
      </c>
      <c r="AU252" s="42">
        <f>IF(OR(AS252="",AR252="",AR252=0,AS252=0),"",AS252/AR252-1)</f>
        <v/>
      </c>
      <c r="AV252" s="43">
        <f>IF(OR(AR252="",AK252="",AK252=0),"",AR252/AK252)</f>
        <v/>
      </c>
      <c r="AW252" s="43">
        <f>IF(OR(AS252="",AL252="",AL252=0),"",AS252/AL252)</f>
        <v/>
      </c>
      <c r="AX252" s="44">
        <f>IF(OR(AW252="",AV252=""),"",(AW252-AV252)*100)</f>
        <v/>
      </c>
      <c r="AY252" s="45">
        <f>IF(OR(AR252="",P252="",P252=0),"",AR252/P252)</f>
        <v/>
      </c>
      <c r="AZ252" s="45">
        <f>IF(OR(AS252="",Q252="",Q252=0),"",AS252/Q252)</f>
        <v/>
      </c>
      <c r="BA252" s="44">
        <f>IF(OR(AZ252="",AY252=""),"",(AZ252-AY252)*100)</f>
        <v/>
      </c>
      <c r="BB252" s="45">
        <f>IF(OR(AR252="",E252="",E252=0),"",AR252/E252)</f>
        <v/>
      </c>
      <c r="BC252" s="45">
        <f>IF(OR(AS252="",F252="",F252=0),"",AS252/F252)</f>
        <v/>
      </c>
      <c r="BD252" s="44">
        <f>IF(OR(BC252="",BB252=""),"",(BC252-BB252)*100)</f>
        <v/>
      </c>
      <c r="BE252" s="40">
        <f>IF(AND(F252&lt;&gt;"",E252&lt;&gt;""),"Both years",IF(F252&lt;&gt;"","1-23Aug26 rows only","1-23Aug25 rows only"))</f>
        <v/>
      </c>
    </row>
    <row r="253">
      <c r="A253" s="56" t="inlineStr">
        <is>
          <t>Airport page</t>
        </is>
      </c>
      <c r="B253" s="56" t="inlineStr">
        <is>
          <t>Paid Search</t>
        </is>
      </c>
      <c r="C253" s="56" t="inlineStr">
        <is>
          <t>Desktop</t>
        </is>
      </c>
      <c r="D253" s="56" t="inlineStr">
        <is>
          <t>Austria</t>
        </is>
      </c>
      <c r="E253" s="68" t="n">
        <v>580</v>
      </c>
      <c r="F253" s="68" t="n">
        <v>588</v>
      </c>
      <c r="G253" s="69">
        <f>IF(OR(F253="",E253="",E253=0,F253=0),"",F253-E253)</f>
        <v/>
      </c>
      <c r="H253" s="42">
        <f>IF(OR(F253="",E253="",E253=0,F253=0),"",F253/E253-1)</f>
        <v/>
      </c>
      <c r="I253" s="70" t="n"/>
      <c r="J253" s="70" t="n"/>
      <c r="K253" s="69">
        <f>IF(OR(J253="",I253="",I253=0,J253=0),"",J253-I253)</f>
        <v/>
      </c>
      <c r="L253" s="42">
        <f>IF(OR(J253="",I253="",I253=0,J253=0),"",J253/I253-1)</f>
        <v/>
      </c>
      <c r="M253" s="43">
        <f>IF(OR(I253="",E253="",E253=0),"",I253/E253)</f>
        <v/>
      </c>
      <c r="N253" s="43">
        <f>IF(OR(J253="",F253="",F253=0),"",J253/F253)</f>
        <v/>
      </c>
      <c r="O253" s="44">
        <f>IF(OR(N253="",M253=""),"",(N253-M253)*100)</f>
        <v/>
      </c>
      <c r="P253" s="68" t="n">
        <v>385</v>
      </c>
      <c r="Q253" s="68" t="n">
        <v>356</v>
      </c>
      <c r="R253" s="69">
        <f>IF(OR(Q253="",P253="",P253=0,Q253=0),"",Q253-P253)</f>
        <v/>
      </c>
      <c r="S253" s="42">
        <f>IF(OR(Q253="",P253="",P253=0,Q253=0),"",Q253/P253-1)</f>
        <v/>
      </c>
      <c r="T253" s="43">
        <f>IF(OR(P253="",E253="",E253=0),"",P253/E253)</f>
        <v/>
      </c>
      <c r="U253" s="43">
        <f>IF(OR(Q253="",F253="",F253=0),"",Q253/F253)</f>
        <v/>
      </c>
      <c r="V253" s="44">
        <f>IF(OR(U253="",T253=""),"",(U253-T253)*100)</f>
        <v/>
      </c>
      <c r="W253" s="70" t="n"/>
      <c r="X253" s="70" t="n"/>
      <c r="Y253" s="69">
        <f>IF(OR(X253="",W253="",W253=0,X253=0),"",X253-W253)</f>
        <v/>
      </c>
      <c r="Z253" s="42">
        <f>IF(OR(X253="",W253="",W253=0,X253=0),"",X253/W253-1)</f>
        <v/>
      </c>
      <c r="AA253" s="43">
        <f>IF(OR(W253="",P253="",P253=0),"",W253/P253)</f>
        <v/>
      </c>
      <c r="AB253" s="43">
        <f>IF(OR(X253="",Q253="",Q253=0),"",X253/Q253)</f>
        <v/>
      </c>
      <c r="AC253" s="44">
        <f>IF(OR(AB253="",AA253=""),"",(AB253-AA253)*100)</f>
        <v/>
      </c>
      <c r="AD253" s="70" t="n"/>
      <c r="AE253" s="70" t="n"/>
      <c r="AF253" s="69">
        <f>IF(OR(AE253="",AD253="",AD253=0,AE253=0),"",AE253-AD253)</f>
        <v/>
      </c>
      <c r="AG253" s="42">
        <f>IF(OR(AE253="",AD253="",AD253=0,AE253=0),"",AE253/AD253-1)</f>
        <v/>
      </c>
      <c r="AH253" s="43">
        <f>IF(OR(AD253="",W253="",W253=0),"",AD253/W253)</f>
        <v/>
      </c>
      <c r="AI253" s="43">
        <f>IF(OR(AE253="",X253="",X253=0),"",AE253/X253)</f>
        <v/>
      </c>
      <c r="AJ253" s="44">
        <f>IF(OR(AI253="",AH253=""),"",(AI253-AH253)*100)</f>
        <v/>
      </c>
      <c r="AK253" s="70" t="n"/>
      <c r="AL253" s="70" t="n"/>
      <c r="AM253" s="69">
        <f>IF(OR(AL253="",AK253="",AK253=0,AL253=0),"",AL253-AK253)</f>
        <v/>
      </c>
      <c r="AN253" s="42">
        <f>IF(OR(AL253="",AK253="",AK253=0,AL253=0),"",AL253/AK253-1)</f>
        <v/>
      </c>
      <c r="AO253" s="43">
        <f>IF(OR(AK253="",AD253="",AD253=0),"",AK253/AD253)</f>
        <v/>
      </c>
      <c r="AP253" s="43">
        <f>IF(OR(AL253="",AE253="",AE253=0),"",AL253/AE253)</f>
        <v/>
      </c>
      <c r="AQ253" s="44">
        <f>IF(OR(AP253="",AO253=""),"",(AP253-AO253)*100)</f>
        <v/>
      </c>
      <c r="AR253" s="70" t="n"/>
      <c r="AS253" s="70" t="n"/>
      <c r="AT253" s="69">
        <f>IF(OR(AS253="",AR253="",AR253=0,AS253=0),"",AS253-AR253)</f>
        <v/>
      </c>
      <c r="AU253" s="42">
        <f>IF(OR(AS253="",AR253="",AR253=0,AS253=0),"",AS253/AR253-1)</f>
        <v/>
      </c>
      <c r="AV253" s="43">
        <f>IF(OR(AR253="",AK253="",AK253=0),"",AR253/AK253)</f>
        <v/>
      </c>
      <c r="AW253" s="43">
        <f>IF(OR(AS253="",AL253="",AL253=0),"",AS253/AL253)</f>
        <v/>
      </c>
      <c r="AX253" s="44">
        <f>IF(OR(AW253="",AV253=""),"",(AW253-AV253)*100)</f>
        <v/>
      </c>
      <c r="AY253" s="45">
        <f>IF(OR(AR253="",P253="",P253=0),"",AR253/P253)</f>
        <v/>
      </c>
      <c r="AZ253" s="45">
        <f>IF(OR(AS253="",Q253="",Q253=0),"",AS253/Q253)</f>
        <v/>
      </c>
      <c r="BA253" s="44">
        <f>IF(OR(AZ253="",AY253=""),"",(AZ253-AY253)*100)</f>
        <v/>
      </c>
      <c r="BB253" s="45">
        <f>IF(OR(AR253="",E253="",E253=0),"",AR253/E253)</f>
        <v/>
      </c>
      <c r="BC253" s="45">
        <f>IF(OR(AS253="",F253="",F253=0),"",AS253/F253)</f>
        <v/>
      </c>
      <c r="BD253" s="44">
        <f>IF(OR(BC253="",BB253=""),"",(BC253-BB253)*100)</f>
        <v/>
      </c>
      <c r="BE253" s="40">
        <f>IF(AND(F253&lt;&gt;"",E253&lt;&gt;""),"Both years",IF(F253&lt;&gt;"","1-23Aug26 rows only","1-23Aug25 rows only"))</f>
        <v/>
      </c>
    </row>
    <row r="254">
      <c r="A254" s="40" t="inlineStr">
        <is>
          <t>Airport page</t>
        </is>
      </c>
      <c r="B254" s="40" t="inlineStr">
        <is>
          <t>Paid Search</t>
        </is>
      </c>
      <c r="C254" s="40" t="inlineStr">
        <is>
          <t>Desktop</t>
        </is>
      </c>
      <c r="D254" s="40" t="inlineStr">
        <is>
          <t>Switzerland</t>
        </is>
      </c>
      <c r="E254" s="68" t="n">
        <v>632</v>
      </c>
      <c r="F254" s="70" t="n"/>
      <c r="G254" s="69">
        <f>IF(OR(F254="",E254="",E254=0,F254=0),"",F254-E254)</f>
        <v/>
      </c>
      <c r="H254" s="42">
        <f>IF(OR(F254="",E254="",E254=0,F254=0),"",F254/E254-1)</f>
        <v/>
      </c>
      <c r="I254" s="70" t="n"/>
      <c r="J254" s="70" t="n"/>
      <c r="K254" s="69">
        <f>IF(OR(J254="",I254="",I254=0,J254=0),"",J254-I254)</f>
        <v/>
      </c>
      <c r="L254" s="42">
        <f>IF(OR(J254="",I254="",I254=0,J254=0),"",J254/I254-1)</f>
        <v/>
      </c>
      <c r="M254" s="43">
        <f>IF(OR(I254="",E254="",E254=0),"",I254/E254)</f>
        <v/>
      </c>
      <c r="N254" s="43">
        <f>IF(OR(J254="",F254="",F254=0),"",J254/F254)</f>
        <v/>
      </c>
      <c r="O254" s="44">
        <f>IF(OR(N254="",M254=""),"",(N254-M254)*100)</f>
        <v/>
      </c>
      <c r="P254" s="68" t="n">
        <v>410</v>
      </c>
      <c r="Q254" s="70" t="n"/>
      <c r="R254" s="69">
        <f>IF(OR(Q254="",P254="",P254=0,Q254=0),"",Q254-P254)</f>
        <v/>
      </c>
      <c r="S254" s="42">
        <f>IF(OR(Q254="",P254="",P254=0,Q254=0),"",Q254/P254-1)</f>
        <v/>
      </c>
      <c r="T254" s="43">
        <f>IF(OR(P254="",E254="",E254=0),"",P254/E254)</f>
        <v/>
      </c>
      <c r="U254" s="43">
        <f>IF(OR(Q254="",F254="",F254=0),"",Q254/F254)</f>
        <v/>
      </c>
      <c r="V254" s="44">
        <f>IF(OR(U254="",T254=""),"",(U254-T254)*100)</f>
        <v/>
      </c>
      <c r="W254" s="70" t="n"/>
      <c r="X254" s="70" t="n"/>
      <c r="Y254" s="69">
        <f>IF(OR(X254="",W254="",W254=0,X254=0),"",X254-W254)</f>
        <v/>
      </c>
      <c r="Z254" s="42">
        <f>IF(OR(X254="",W254="",W254=0,X254=0),"",X254/W254-1)</f>
        <v/>
      </c>
      <c r="AA254" s="43">
        <f>IF(OR(W254="",P254="",P254=0),"",W254/P254)</f>
        <v/>
      </c>
      <c r="AB254" s="43">
        <f>IF(OR(X254="",Q254="",Q254=0),"",X254/Q254)</f>
        <v/>
      </c>
      <c r="AC254" s="44">
        <f>IF(OR(AB254="",AA254=""),"",(AB254-AA254)*100)</f>
        <v/>
      </c>
      <c r="AD254" s="70" t="n"/>
      <c r="AE254" s="70" t="n"/>
      <c r="AF254" s="69">
        <f>IF(OR(AE254="",AD254="",AD254=0,AE254=0),"",AE254-AD254)</f>
        <v/>
      </c>
      <c r="AG254" s="42">
        <f>IF(OR(AE254="",AD254="",AD254=0,AE254=0),"",AE254/AD254-1)</f>
        <v/>
      </c>
      <c r="AH254" s="43">
        <f>IF(OR(AD254="",W254="",W254=0),"",AD254/W254)</f>
        <v/>
      </c>
      <c r="AI254" s="43">
        <f>IF(OR(AE254="",X254="",X254=0),"",AE254/X254)</f>
        <v/>
      </c>
      <c r="AJ254" s="44">
        <f>IF(OR(AI254="",AH254=""),"",(AI254-AH254)*100)</f>
        <v/>
      </c>
      <c r="AK254" s="70" t="n"/>
      <c r="AL254" s="70" t="n"/>
      <c r="AM254" s="69">
        <f>IF(OR(AL254="",AK254="",AK254=0,AL254=0),"",AL254-AK254)</f>
        <v/>
      </c>
      <c r="AN254" s="42">
        <f>IF(OR(AL254="",AK254="",AK254=0,AL254=0),"",AL254/AK254-1)</f>
        <v/>
      </c>
      <c r="AO254" s="43">
        <f>IF(OR(AK254="",AD254="",AD254=0),"",AK254/AD254)</f>
        <v/>
      </c>
      <c r="AP254" s="43">
        <f>IF(OR(AL254="",AE254="",AE254=0),"",AL254/AE254)</f>
        <v/>
      </c>
      <c r="AQ254" s="44">
        <f>IF(OR(AP254="",AO254=""),"",(AP254-AO254)*100)</f>
        <v/>
      </c>
      <c r="AR254" s="70" t="n"/>
      <c r="AS254" s="70" t="n"/>
      <c r="AT254" s="69">
        <f>IF(OR(AS254="",AR254="",AR254=0,AS254=0),"",AS254-AR254)</f>
        <v/>
      </c>
      <c r="AU254" s="42">
        <f>IF(OR(AS254="",AR254="",AR254=0,AS254=0),"",AS254/AR254-1)</f>
        <v/>
      </c>
      <c r="AV254" s="43">
        <f>IF(OR(AR254="",AK254="",AK254=0),"",AR254/AK254)</f>
        <v/>
      </c>
      <c r="AW254" s="43">
        <f>IF(OR(AS254="",AL254="",AL254=0),"",AS254/AL254)</f>
        <v/>
      </c>
      <c r="AX254" s="44">
        <f>IF(OR(AW254="",AV254=""),"",(AW254-AV254)*100)</f>
        <v/>
      </c>
      <c r="AY254" s="45">
        <f>IF(OR(AR254="",P254="",P254=0),"",AR254/P254)</f>
        <v/>
      </c>
      <c r="AZ254" s="45">
        <f>IF(OR(AS254="",Q254="",Q254=0),"",AS254/Q254)</f>
        <v/>
      </c>
      <c r="BA254" s="44">
        <f>IF(OR(AZ254="",AY254=""),"",(AZ254-AY254)*100)</f>
        <v/>
      </c>
      <c r="BB254" s="45">
        <f>IF(OR(AR254="",E254="",E254=0),"",AR254/E254)</f>
        <v/>
      </c>
      <c r="BC254" s="45">
        <f>IF(OR(AS254="",F254="",F254=0),"",AS254/F254)</f>
        <v/>
      </c>
      <c r="BD254" s="44">
        <f>IF(OR(BC254="",BB254=""),"",(BC254-BB254)*100)</f>
        <v/>
      </c>
      <c r="BE254" s="40">
        <f>IF(AND(F254&lt;&gt;"",E254&lt;&gt;""),"Both years",IF(F254&lt;&gt;"","1-23Aug26 rows only","1-23Aug25 rows only"))</f>
        <v/>
      </c>
    </row>
    <row r="255">
      <c r="A255" s="40" t="inlineStr">
        <is>
          <t>Airport page</t>
        </is>
      </c>
      <c r="B255" s="40" t="inlineStr">
        <is>
          <t>Organic</t>
        </is>
      </c>
      <c r="C255" s="40" t="inlineStr">
        <is>
          <t>Mobile</t>
        </is>
      </c>
      <c r="D255" s="40" t="inlineStr">
        <is>
          <t>United Kingdom</t>
        </is>
      </c>
      <c r="E255" s="68" t="n">
        <v>3883</v>
      </c>
      <c r="F255" s="68" t="n">
        <v>4075</v>
      </c>
      <c r="G255" s="69">
        <f>IF(OR(F255="",E255="",E255=0,F255=0),"",F255-E255)</f>
        <v/>
      </c>
      <c r="H255" s="42">
        <f>IF(OR(F255="",E255="",E255=0,F255=0),"",F255/E255-1)</f>
        <v/>
      </c>
      <c r="I255" s="68" t="n">
        <v>2916</v>
      </c>
      <c r="J255" s="68" t="n">
        <v>3078</v>
      </c>
      <c r="K255" s="69">
        <f>IF(OR(J255="",I255="",I255=0,J255=0),"",J255-I255)</f>
        <v/>
      </c>
      <c r="L255" s="42">
        <f>IF(OR(J255="",I255="",I255=0,J255=0),"",J255/I255-1)</f>
        <v/>
      </c>
      <c r="M255" s="43">
        <f>IF(OR(I255="",E255="",E255=0),"",I255/E255)</f>
        <v/>
      </c>
      <c r="N255" s="43">
        <f>IF(OR(J255="",F255="",F255=0),"",J255/F255)</f>
        <v/>
      </c>
      <c r="O255" s="44">
        <f>IF(OR(N255="",M255=""),"",(N255-M255)*100)</f>
        <v/>
      </c>
      <c r="P255" s="68" t="n">
        <v>2437</v>
      </c>
      <c r="Q255" s="68" t="n">
        <v>2618</v>
      </c>
      <c r="R255" s="69">
        <f>IF(OR(Q255="",P255="",P255=0,Q255=0),"",Q255-P255)</f>
        <v/>
      </c>
      <c r="S255" s="42">
        <f>IF(OR(Q255="",P255="",P255=0,Q255=0),"",Q255/P255-1)</f>
        <v/>
      </c>
      <c r="T255" s="43">
        <f>IF(OR(P255="",E255="",E255=0),"",P255/E255)</f>
        <v/>
      </c>
      <c r="U255" s="43">
        <f>IF(OR(Q255="",F255="",F255=0),"",Q255/F255)</f>
        <v/>
      </c>
      <c r="V255" s="44">
        <f>IF(OR(U255="",T255=""),"",(U255-T255)*100)</f>
        <v/>
      </c>
      <c r="W255" s="68" t="n">
        <v>605</v>
      </c>
      <c r="X255" s="68" t="n">
        <v>580</v>
      </c>
      <c r="Y255" s="69">
        <f>IF(OR(X255="",W255="",W255=0,X255=0),"",X255-W255)</f>
        <v/>
      </c>
      <c r="Z255" s="42">
        <f>IF(OR(X255="",W255="",W255=0,X255=0),"",X255/W255-1)</f>
        <v/>
      </c>
      <c r="AA255" s="43">
        <f>IF(OR(W255="",P255="",P255=0),"",W255/P255)</f>
        <v/>
      </c>
      <c r="AB255" s="43">
        <f>IF(OR(X255="",Q255="",Q255=0),"",X255/Q255)</f>
        <v/>
      </c>
      <c r="AC255" s="44">
        <f>IF(OR(AB255="",AA255=""),"",(AB255-AA255)*100)</f>
        <v/>
      </c>
      <c r="AD255" s="68" t="n">
        <v>466</v>
      </c>
      <c r="AE255" s="68" t="n">
        <v>418</v>
      </c>
      <c r="AF255" s="69">
        <f>IF(OR(AE255="",AD255="",AD255=0,AE255=0),"",AE255-AD255)</f>
        <v/>
      </c>
      <c r="AG255" s="42">
        <f>IF(OR(AE255="",AD255="",AD255=0,AE255=0),"",AE255/AD255-1)</f>
        <v/>
      </c>
      <c r="AH255" s="43">
        <f>IF(OR(AD255="",W255="",W255=0),"",AD255/W255)</f>
        <v/>
      </c>
      <c r="AI255" s="43">
        <f>IF(OR(AE255="",X255="",X255=0),"",AE255/X255)</f>
        <v/>
      </c>
      <c r="AJ255" s="44">
        <f>IF(OR(AI255="",AH255=""),"",(AI255-AH255)*100)</f>
        <v/>
      </c>
      <c r="AK255" s="68" t="n">
        <v>186</v>
      </c>
      <c r="AL255" s="68" t="n">
        <v>145</v>
      </c>
      <c r="AM255" s="69">
        <f>IF(OR(AL255="",AK255="",AK255=0,AL255=0),"",AL255-AK255)</f>
        <v/>
      </c>
      <c r="AN255" s="42">
        <f>IF(OR(AL255="",AK255="",AK255=0,AL255=0),"",AL255/AK255-1)</f>
        <v/>
      </c>
      <c r="AO255" s="43">
        <f>IF(OR(AK255="",AD255="",AD255=0),"",AK255/AD255)</f>
        <v/>
      </c>
      <c r="AP255" s="43">
        <f>IF(OR(AL255="",AE255="",AE255=0),"",AL255/AE255)</f>
        <v/>
      </c>
      <c r="AQ255" s="44">
        <f>IF(OR(AP255="",AO255=""),"",(AP255-AO255)*100)</f>
        <v/>
      </c>
      <c r="AR255" s="68" t="n">
        <v>139</v>
      </c>
      <c r="AS255" s="68" t="n">
        <v>114</v>
      </c>
      <c r="AT255" s="69">
        <f>IF(OR(AS255="",AR255="",AR255=0,AS255=0),"",AS255-AR255)</f>
        <v/>
      </c>
      <c r="AU255" s="42">
        <f>IF(OR(AS255="",AR255="",AR255=0,AS255=0),"",AS255/AR255-1)</f>
        <v/>
      </c>
      <c r="AV255" s="43">
        <f>IF(OR(AR255="",AK255="",AK255=0),"",AR255/AK255)</f>
        <v/>
      </c>
      <c r="AW255" s="43">
        <f>IF(OR(AS255="",AL255="",AL255=0),"",AS255/AL255)</f>
        <v/>
      </c>
      <c r="AX255" s="44">
        <f>IF(OR(AW255="",AV255=""),"",(AW255-AV255)*100)</f>
        <v/>
      </c>
      <c r="AY255" s="45">
        <f>IF(OR(AR255="",P255="",P255=0),"",AR255/P255)</f>
        <v/>
      </c>
      <c r="AZ255" s="45">
        <f>IF(OR(AS255="",Q255="",Q255=0),"",AS255/Q255)</f>
        <v/>
      </c>
      <c r="BA255" s="44">
        <f>IF(OR(AZ255="",AY255=""),"",(AZ255-AY255)*100)</f>
        <v/>
      </c>
      <c r="BB255" s="45">
        <f>IF(OR(AR255="",E255="",E255=0),"",AR255/E255)</f>
        <v/>
      </c>
      <c r="BC255" s="45">
        <f>IF(OR(AS255="",F255="",F255=0),"",AS255/F255)</f>
        <v/>
      </c>
      <c r="BD255" s="44">
        <f>IF(OR(BC255="",BB255=""),"",(BC255-BB255)*100)</f>
        <v/>
      </c>
      <c r="BE255" s="40">
        <f>IF(AND(F255&lt;&gt;"",E255&lt;&gt;""),"Both years",IF(F255&lt;&gt;"","1-23Aug26 rows only","1-23Aug25 rows only"))</f>
        <v/>
      </c>
    </row>
    <row r="256">
      <c r="A256" s="56" t="inlineStr">
        <is>
          <t>Airport page</t>
        </is>
      </c>
      <c r="B256" s="56" t="inlineStr">
        <is>
          <t>Organic</t>
        </is>
      </c>
      <c r="C256" s="56" t="inlineStr">
        <is>
          <t>Mobile</t>
        </is>
      </c>
      <c r="D256" s="56" t="inlineStr">
        <is>
          <t>Germany</t>
        </is>
      </c>
      <c r="E256" s="68" t="n">
        <v>2408</v>
      </c>
      <c r="F256" s="68" t="n">
        <v>1993</v>
      </c>
      <c r="G256" s="69">
        <f>IF(OR(F256="",E256="",E256=0,F256=0),"",F256-E256)</f>
        <v/>
      </c>
      <c r="H256" s="42">
        <f>IF(OR(F256="",E256="",E256=0,F256=0),"",F256/E256-1)</f>
        <v/>
      </c>
      <c r="I256" s="68" t="n">
        <v>1768</v>
      </c>
      <c r="J256" s="68" t="n">
        <v>1456</v>
      </c>
      <c r="K256" s="69">
        <f>IF(OR(J256="",I256="",I256=0,J256=0),"",J256-I256)</f>
        <v/>
      </c>
      <c r="L256" s="42">
        <f>IF(OR(J256="",I256="",I256=0,J256=0),"",J256/I256-1)</f>
        <v/>
      </c>
      <c r="M256" s="43">
        <f>IF(OR(I256="",E256="",E256=0),"",I256/E256)</f>
        <v/>
      </c>
      <c r="N256" s="43">
        <f>IF(OR(J256="",F256="",F256=0),"",J256/F256)</f>
        <v/>
      </c>
      <c r="O256" s="44">
        <f>IF(OR(N256="",M256=""),"",(N256-M256)*100)</f>
        <v/>
      </c>
      <c r="P256" s="68" t="n">
        <v>1528</v>
      </c>
      <c r="Q256" s="68" t="n">
        <v>1250</v>
      </c>
      <c r="R256" s="69">
        <f>IF(OR(Q256="",P256="",P256=0,Q256=0),"",Q256-P256)</f>
        <v/>
      </c>
      <c r="S256" s="42">
        <f>IF(OR(Q256="",P256="",P256=0,Q256=0),"",Q256/P256-1)</f>
        <v/>
      </c>
      <c r="T256" s="43">
        <f>IF(OR(P256="",E256="",E256=0),"",P256/E256)</f>
        <v/>
      </c>
      <c r="U256" s="43">
        <f>IF(OR(Q256="",F256="",F256=0),"",Q256/F256)</f>
        <v/>
      </c>
      <c r="V256" s="44">
        <f>IF(OR(U256="",T256=""),"",(U256-T256)*100)</f>
        <v/>
      </c>
      <c r="W256" s="68" t="n">
        <v>432</v>
      </c>
      <c r="X256" s="68" t="n">
        <v>301</v>
      </c>
      <c r="Y256" s="69">
        <f>IF(OR(X256="",W256="",W256=0,X256=0),"",X256-W256)</f>
        <v/>
      </c>
      <c r="Z256" s="42">
        <f>IF(OR(X256="",W256="",W256=0,X256=0),"",X256/W256-1)</f>
        <v/>
      </c>
      <c r="AA256" s="43">
        <f>IF(OR(W256="",P256="",P256=0),"",W256/P256)</f>
        <v/>
      </c>
      <c r="AB256" s="43">
        <f>IF(OR(X256="",Q256="",Q256=0),"",X256/Q256)</f>
        <v/>
      </c>
      <c r="AC256" s="44">
        <f>IF(OR(AB256="",AA256=""),"",(AB256-AA256)*100)</f>
        <v/>
      </c>
      <c r="AD256" s="68" t="n">
        <v>301</v>
      </c>
      <c r="AE256" s="68" t="n">
        <v>208</v>
      </c>
      <c r="AF256" s="69">
        <f>IF(OR(AE256="",AD256="",AD256=0,AE256=0),"",AE256-AD256)</f>
        <v/>
      </c>
      <c r="AG256" s="42">
        <f>IF(OR(AE256="",AD256="",AD256=0,AE256=0),"",AE256/AD256-1)</f>
        <v/>
      </c>
      <c r="AH256" s="43">
        <f>IF(OR(AD256="",W256="",W256=0),"",AD256/W256)</f>
        <v/>
      </c>
      <c r="AI256" s="43">
        <f>IF(OR(AE256="",X256="",X256=0),"",AE256/X256)</f>
        <v/>
      </c>
      <c r="AJ256" s="44">
        <f>IF(OR(AI256="",AH256=""),"",(AI256-AH256)*100)</f>
        <v/>
      </c>
      <c r="AK256" s="68" t="n">
        <v>86</v>
      </c>
      <c r="AL256" s="68" t="n">
        <v>57</v>
      </c>
      <c r="AM256" s="69">
        <f>IF(OR(AL256="",AK256="",AK256=0,AL256=0),"",AL256-AK256)</f>
        <v/>
      </c>
      <c r="AN256" s="42">
        <f>IF(OR(AL256="",AK256="",AK256=0,AL256=0),"",AL256/AK256-1)</f>
        <v/>
      </c>
      <c r="AO256" s="43">
        <f>IF(OR(AK256="",AD256="",AD256=0),"",AK256/AD256)</f>
        <v/>
      </c>
      <c r="AP256" s="43">
        <f>IF(OR(AL256="",AE256="",AE256=0),"",AL256/AE256)</f>
        <v/>
      </c>
      <c r="AQ256" s="44">
        <f>IF(OR(AP256="",AO256=""),"",(AP256-AO256)*100)</f>
        <v/>
      </c>
      <c r="AR256" s="68" t="n">
        <v>65</v>
      </c>
      <c r="AS256" s="68" t="n">
        <v>47</v>
      </c>
      <c r="AT256" s="69">
        <f>IF(OR(AS256="",AR256="",AR256=0,AS256=0),"",AS256-AR256)</f>
        <v/>
      </c>
      <c r="AU256" s="42">
        <f>IF(OR(AS256="",AR256="",AR256=0,AS256=0),"",AS256/AR256-1)</f>
        <v/>
      </c>
      <c r="AV256" s="43">
        <f>IF(OR(AR256="",AK256="",AK256=0),"",AR256/AK256)</f>
        <v/>
      </c>
      <c r="AW256" s="43">
        <f>IF(OR(AS256="",AL256="",AL256=0),"",AS256/AL256)</f>
        <v/>
      </c>
      <c r="AX256" s="44">
        <f>IF(OR(AW256="",AV256=""),"",(AW256-AV256)*100)</f>
        <v/>
      </c>
      <c r="AY256" s="45">
        <f>IF(OR(AR256="",P256="",P256=0),"",AR256/P256)</f>
        <v/>
      </c>
      <c r="AZ256" s="45">
        <f>IF(OR(AS256="",Q256="",Q256=0),"",AS256/Q256)</f>
        <v/>
      </c>
      <c r="BA256" s="44">
        <f>IF(OR(AZ256="",AY256=""),"",(AZ256-AY256)*100)</f>
        <v/>
      </c>
      <c r="BB256" s="45">
        <f>IF(OR(AR256="",E256="",E256=0),"",AR256/E256)</f>
        <v/>
      </c>
      <c r="BC256" s="45">
        <f>IF(OR(AS256="",F256="",F256=0),"",AS256/F256)</f>
        <v/>
      </c>
      <c r="BD256" s="44">
        <f>IF(OR(BC256="",BB256=""),"",(BC256-BB256)*100)</f>
        <v/>
      </c>
      <c r="BE256" s="40">
        <f>IF(AND(F256&lt;&gt;"",E256&lt;&gt;""),"Both years",IF(F256&lt;&gt;"","1-23Aug26 rows only","1-23Aug25 rows only"))</f>
        <v/>
      </c>
    </row>
    <row r="257">
      <c r="A257" s="40" t="inlineStr">
        <is>
          <t>Airport page</t>
        </is>
      </c>
      <c r="B257" s="40" t="inlineStr">
        <is>
          <t>Organic</t>
        </is>
      </c>
      <c r="C257" s="40" t="inlineStr">
        <is>
          <t>Mobile</t>
        </is>
      </c>
      <c r="D257" s="40" t="inlineStr">
        <is>
          <t>Spain</t>
        </is>
      </c>
      <c r="E257" s="68" t="n">
        <v>814</v>
      </c>
      <c r="F257" s="68" t="n">
        <v>862</v>
      </c>
      <c r="G257" s="69">
        <f>IF(OR(F257="",E257="",E257=0,F257=0),"",F257-E257)</f>
        <v/>
      </c>
      <c r="H257" s="42">
        <f>IF(OR(F257="",E257="",E257=0,F257=0),"",F257/E257-1)</f>
        <v/>
      </c>
      <c r="I257" s="68" t="n">
        <v>614</v>
      </c>
      <c r="J257" s="68" t="n">
        <v>566</v>
      </c>
      <c r="K257" s="69">
        <f>IF(OR(J257="",I257="",I257=0,J257=0),"",J257-I257)</f>
        <v/>
      </c>
      <c r="L257" s="42">
        <f>IF(OR(J257="",I257="",I257=0,J257=0),"",J257/I257-1)</f>
        <v/>
      </c>
      <c r="M257" s="43">
        <f>IF(OR(I257="",E257="",E257=0),"",I257/E257)</f>
        <v/>
      </c>
      <c r="N257" s="43">
        <f>IF(OR(J257="",F257="",F257=0),"",J257/F257)</f>
        <v/>
      </c>
      <c r="O257" s="44">
        <f>IF(OR(N257="",M257=""),"",(N257-M257)*100)</f>
        <v/>
      </c>
      <c r="P257" s="68" t="n">
        <v>429</v>
      </c>
      <c r="Q257" s="68" t="n">
        <v>436</v>
      </c>
      <c r="R257" s="69">
        <f>IF(OR(Q257="",P257="",P257=0,Q257=0),"",Q257-P257)</f>
        <v/>
      </c>
      <c r="S257" s="42">
        <f>IF(OR(Q257="",P257="",P257=0,Q257=0),"",Q257/P257-1)</f>
        <v/>
      </c>
      <c r="T257" s="43">
        <f>IF(OR(P257="",E257="",E257=0),"",P257/E257)</f>
        <v/>
      </c>
      <c r="U257" s="43">
        <f>IF(OR(Q257="",F257="",F257=0),"",Q257/F257)</f>
        <v/>
      </c>
      <c r="V257" s="44">
        <f>IF(OR(U257="",T257=""),"",(U257-T257)*100)</f>
        <v/>
      </c>
      <c r="W257" s="68" t="n">
        <v>95</v>
      </c>
      <c r="X257" s="68" t="n">
        <v>98</v>
      </c>
      <c r="Y257" s="69">
        <f>IF(OR(X257="",W257="",W257=0,X257=0),"",X257-W257)</f>
        <v/>
      </c>
      <c r="Z257" s="42">
        <f>IF(OR(X257="",W257="",W257=0,X257=0),"",X257/W257-1)</f>
        <v/>
      </c>
      <c r="AA257" s="43">
        <f>IF(OR(W257="",P257="",P257=0),"",W257/P257)</f>
        <v/>
      </c>
      <c r="AB257" s="43">
        <f>IF(OR(X257="",Q257="",Q257=0),"",X257/Q257)</f>
        <v/>
      </c>
      <c r="AC257" s="44">
        <f>IF(OR(AB257="",AA257=""),"",(AB257-AA257)*100)</f>
        <v/>
      </c>
      <c r="AD257" s="68" t="n">
        <v>71</v>
      </c>
      <c r="AE257" s="68" t="n">
        <v>82</v>
      </c>
      <c r="AF257" s="69">
        <f>IF(OR(AE257="",AD257="",AD257=0,AE257=0),"",AE257-AD257)</f>
        <v/>
      </c>
      <c r="AG257" s="42">
        <f>IF(OR(AE257="",AD257="",AD257=0,AE257=0),"",AE257/AD257-1)</f>
        <v/>
      </c>
      <c r="AH257" s="43">
        <f>IF(OR(AD257="",W257="",W257=0),"",AD257/W257)</f>
        <v/>
      </c>
      <c r="AI257" s="43">
        <f>IF(OR(AE257="",X257="",X257=0),"",AE257/X257)</f>
        <v/>
      </c>
      <c r="AJ257" s="44">
        <f>IF(OR(AI257="",AH257=""),"",(AI257-AH257)*100)</f>
        <v/>
      </c>
      <c r="AK257" s="68" t="n">
        <v>22</v>
      </c>
      <c r="AL257" s="68" t="n">
        <v>23</v>
      </c>
      <c r="AM257" s="69">
        <f>IF(OR(AL257="",AK257="",AK257=0,AL257=0),"",AL257-AK257)</f>
        <v/>
      </c>
      <c r="AN257" s="42">
        <f>IF(OR(AL257="",AK257="",AK257=0,AL257=0),"",AL257/AK257-1)</f>
        <v/>
      </c>
      <c r="AO257" s="43">
        <f>IF(OR(AK257="",AD257="",AD257=0),"",AK257/AD257)</f>
        <v/>
      </c>
      <c r="AP257" s="43">
        <f>IF(OR(AL257="",AE257="",AE257=0),"",AL257/AE257)</f>
        <v/>
      </c>
      <c r="AQ257" s="44">
        <f>IF(OR(AP257="",AO257=""),"",(AP257-AO257)*100)</f>
        <v/>
      </c>
      <c r="AR257" s="68" t="n">
        <v>17</v>
      </c>
      <c r="AS257" s="68" t="n">
        <v>17</v>
      </c>
      <c r="AT257" s="69">
        <f>IF(OR(AS257="",AR257="",AR257=0,AS257=0),"",AS257-AR257)</f>
        <v/>
      </c>
      <c r="AU257" s="42">
        <f>IF(OR(AS257="",AR257="",AR257=0,AS257=0),"",AS257/AR257-1)</f>
        <v/>
      </c>
      <c r="AV257" s="43">
        <f>IF(OR(AR257="",AK257="",AK257=0),"",AR257/AK257)</f>
        <v/>
      </c>
      <c r="AW257" s="43">
        <f>IF(OR(AS257="",AL257="",AL257=0),"",AS257/AL257)</f>
        <v/>
      </c>
      <c r="AX257" s="44">
        <f>IF(OR(AW257="",AV257=""),"",(AW257-AV257)*100)</f>
        <v/>
      </c>
      <c r="AY257" s="45">
        <f>IF(OR(AR257="",P257="",P257=0),"",AR257/P257)</f>
        <v/>
      </c>
      <c r="AZ257" s="45">
        <f>IF(OR(AS257="",Q257="",Q257=0),"",AS257/Q257)</f>
        <v/>
      </c>
      <c r="BA257" s="44">
        <f>IF(OR(AZ257="",AY257=""),"",(AZ257-AY257)*100)</f>
        <v/>
      </c>
      <c r="BB257" s="45">
        <f>IF(OR(AR257="",E257="",E257=0),"",AR257/E257)</f>
        <v/>
      </c>
      <c r="BC257" s="45">
        <f>IF(OR(AS257="",F257="",F257=0),"",AS257/F257)</f>
        <v/>
      </c>
      <c r="BD257" s="44">
        <f>IF(OR(BC257="",BB257=""),"",(BC257-BB257)*100)</f>
        <v/>
      </c>
      <c r="BE257" s="40">
        <f>IF(AND(F257&lt;&gt;"",E257&lt;&gt;""),"Both years",IF(F257&lt;&gt;"","1-23Aug26 rows only","1-23Aug25 rows only"))</f>
        <v/>
      </c>
    </row>
    <row r="258">
      <c r="A258" s="56" t="inlineStr">
        <is>
          <t>Airport page</t>
        </is>
      </c>
      <c r="B258" s="56" t="inlineStr">
        <is>
          <t>Organic</t>
        </is>
      </c>
      <c r="C258" s="56" t="inlineStr">
        <is>
          <t>Mobile</t>
        </is>
      </c>
      <c r="D258" s="56" t="inlineStr">
        <is>
          <t>Poland</t>
        </is>
      </c>
      <c r="E258" s="68" t="n">
        <v>848</v>
      </c>
      <c r="F258" s="68" t="n">
        <v>681</v>
      </c>
      <c r="G258" s="69">
        <f>IF(OR(F258="",E258="",E258=0,F258=0),"",F258-E258)</f>
        <v/>
      </c>
      <c r="H258" s="42">
        <f>IF(OR(F258="",E258="",E258=0,F258=0),"",F258/E258-1)</f>
        <v/>
      </c>
      <c r="I258" s="70" t="n"/>
      <c r="J258" s="70" t="n"/>
      <c r="K258" s="69">
        <f>IF(OR(J258="",I258="",I258=0,J258=0),"",J258-I258)</f>
        <v/>
      </c>
      <c r="L258" s="42">
        <f>IF(OR(J258="",I258="",I258=0,J258=0),"",J258/I258-1)</f>
        <v/>
      </c>
      <c r="M258" s="43">
        <f>IF(OR(I258="",E258="",E258=0),"",I258/E258)</f>
        <v/>
      </c>
      <c r="N258" s="43">
        <f>IF(OR(J258="",F258="",F258=0),"",J258/F258)</f>
        <v/>
      </c>
      <c r="O258" s="44">
        <f>IF(OR(N258="",M258=""),"",(N258-M258)*100)</f>
        <v/>
      </c>
      <c r="P258" s="68" t="n">
        <v>503</v>
      </c>
      <c r="Q258" s="68" t="n">
        <v>415</v>
      </c>
      <c r="R258" s="69">
        <f>IF(OR(Q258="",P258="",P258=0,Q258=0),"",Q258-P258)</f>
        <v/>
      </c>
      <c r="S258" s="42">
        <f>IF(OR(Q258="",P258="",P258=0,Q258=0),"",Q258/P258-1)</f>
        <v/>
      </c>
      <c r="T258" s="43">
        <f>IF(OR(P258="",E258="",E258=0),"",P258/E258)</f>
        <v/>
      </c>
      <c r="U258" s="43">
        <f>IF(OR(Q258="",F258="",F258=0),"",Q258/F258)</f>
        <v/>
      </c>
      <c r="V258" s="44">
        <f>IF(OR(U258="",T258=""),"",(U258-T258)*100)</f>
        <v/>
      </c>
      <c r="W258" s="70" t="n"/>
      <c r="X258" s="70" t="n"/>
      <c r="Y258" s="69">
        <f>IF(OR(X258="",W258="",W258=0,X258=0),"",X258-W258)</f>
        <v/>
      </c>
      <c r="Z258" s="42">
        <f>IF(OR(X258="",W258="",W258=0,X258=0),"",X258/W258-1)</f>
        <v/>
      </c>
      <c r="AA258" s="43">
        <f>IF(OR(W258="",P258="",P258=0),"",W258/P258)</f>
        <v/>
      </c>
      <c r="AB258" s="43">
        <f>IF(OR(X258="",Q258="",Q258=0),"",X258/Q258)</f>
        <v/>
      </c>
      <c r="AC258" s="44">
        <f>IF(OR(AB258="",AA258=""),"",(AB258-AA258)*100)</f>
        <v/>
      </c>
      <c r="AD258" s="70" t="n"/>
      <c r="AE258" s="70" t="n"/>
      <c r="AF258" s="69">
        <f>IF(OR(AE258="",AD258="",AD258=0,AE258=0),"",AE258-AD258)</f>
        <v/>
      </c>
      <c r="AG258" s="42">
        <f>IF(OR(AE258="",AD258="",AD258=0,AE258=0),"",AE258/AD258-1)</f>
        <v/>
      </c>
      <c r="AH258" s="43">
        <f>IF(OR(AD258="",W258="",W258=0),"",AD258/W258)</f>
        <v/>
      </c>
      <c r="AI258" s="43">
        <f>IF(OR(AE258="",X258="",X258=0),"",AE258/X258)</f>
        <v/>
      </c>
      <c r="AJ258" s="44">
        <f>IF(OR(AI258="",AH258=""),"",(AI258-AH258)*100)</f>
        <v/>
      </c>
      <c r="AK258" s="70" t="n"/>
      <c r="AL258" s="70" t="n"/>
      <c r="AM258" s="69">
        <f>IF(OR(AL258="",AK258="",AK258=0,AL258=0),"",AL258-AK258)</f>
        <v/>
      </c>
      <c r="AN258" s="42">
        <f>IF(OR(AL258="",AK258="",AK258=0,AL258=0),"",AL258/AK258-1)</f>
        <v/>
      </c>
      <c r="AO258" s="43">
        <f>IF(OR(AK258="",AD258="",AD258=0),"",AK258/AD258)</f>
        <v/>
      </c>
      <c r="AP258" s="43">
        <f>IF(OR(AL258="",AE258="",AE258=0),"",AL258/AE258)</f>
        <v/>
      </c>
      <c r="AQ258" s="44">
        <f>IF(OR(AP258="",AO258=""),"",(AP258-AO258)*100)</f>
        <v/>
      </c>
      <c r="AR258" s="70" t="n"/>
      <c r="AS258" s="70" t="n"/>
      <c r="AT258" s="69">
        <f>IF(OR(AS258="",AR258="",AR258=0,AS258=0),"",AS258-AR258)</f>
        <v/>
      </c>
      <c r="AU258" s="42">
        <f>IF(OR(AS258="",AR258="",AR258=0,AS258=0),"",AS258/AR258-1)</f>
        <v/>
      </c>
      <c r="AV258" s="43">
        <f>IF(OR(AR258="",AK258="",AK258=0),"",AR258/AK258)</f>
        <v/>
      </c>
      <c r="AW258" s="43">
        <f>IF(OR(AS258="",AL258="",AL258=0),"",AS258/AL258)</f>
        <v/>
      </c>
      <c r="AX258" s="44">
        <f>IF(OR(AW258="",AV258=""),"",(AW258-AV258)*100)</f>
        <v/>
      </c>
      <c r="AY258" s="45">
        <f>IF(OR(AR258="",P258="",P258=0),"",AR258/P258)</f>
        <v/>
      </c>
      <c r="AZ258" s="45">
        <f>IF(OR(AS258="",Q258="",Q258=0),"",AS258/Q258)</f>
        <v/>
      </c>
      <c r="BA258" s="44">
        <f>IF(OR(AZ258="",AY258=""),"",(AZ258-AY258)*100)</f>
        <v/>
      </c>
      <c r="BB258" s="45">
        <f>IF(OR(AR258="",E258="",E258=0),"",AR258/E258)</f>
        <v/>
      </c>
      <c r="BC258" s="45">
        <f>IF(OR(AS258="",F258="",F258=0),"",AS258/F258)</f>
        <v/>
      </c>
      <c r="BD258" s="44">
        <f>IF(OR(BC258="",BB258=""),"",(BC258-BB258)*100)</f>
        <v/>
      </c>
      <c r="BE258" s="40">
        <f>IF(AND(F258&lt;&gt;"",E258&lt;&gt;""),"Both years",IF(F258&lt;&gt;"","1-23Aug26 rows only","1-23Aug25 rows only"))</f>
        <v/>
      </c>
    </row>
    <row r="259">
      <c r="A259" s="40" t="inlineStr">
        <is>
          <t>Airport page</t>
        </is>
      </c>
      <c r="B259" s="40" t="inlineStr">
        <is>
          <t>Organic</t>
        </is>
      </c>
      <c r="C259" s="40" t="inlineStr">
        <is>
          <t>Mobile</t>
        </is>
      </c>
      <c r="D259" s="40" t="inlineStr">
        <is>
          <t>Italy</t>
        </is>
      </c>
      <c r="E259" s="68" t="n">
        <v>511</v>
      </c>
      <c r="F259" s="68" t="n">
        <v>660</v>
      </c>
      <c r="G259" s="69">
        <f>IF(OR(F259="",E259="",E259=0,F259=0),"",F259-E259)</f>
        <v/>
      </c>
      <c r="H259" s="42">
        <f>IF(OR(F259="",E259="",E259=0,F259=0),"",F259/E259-1)</f>
        <v/>
      </c>
      <c r="I259" s="68" t="n">
        <v>373</v>
      </c>
      <c r="J259" s="68" t="n">
        <v>432</v>
      </c>
      <c r="K259" s="69">
        <f>IF(OR(J259="",I259="",I259=0,J259=0),"",J259-I259)</f>
        <v/>
      </c>
      <c r="L259" s="42">
        <f>IF(OR(J259="",I259="",I259=0,J259=0),"",J259/I259-1)</f>
        <v/>
      </c>
      <c r="M259" s="43">
        <f>IF(OR(I259="",E259="",E259=0),"",I259/E259)</f>
        <v/>
      </c>
      <c r="N259" s="43">
        <f>IF(OR(J259="",F259="",F259=0),"",J259/F259)</f>
        <v/>
      </c>
      <c r="O259" s="44">
        <f>IF(OR(N259="",M259=""),"",(N259-M259)*100)</f>
        <v/>
      </c>
      <c r="P259" s="68" t="n">
        <v>310</v>
      </c>
      <c r="Q259" s="68" t="n">
        <v>353</v>
      </c>
      <c r="R259" s="69">
        <f>IF(OR(Q259="",P259="",P259=0,Q259=0),"",Q259-P259)</f>
        <v/>
      </c>
      <c r="S259" s="42">
        <f>IF(OR(Q259="",P259="",P259=0,Q259=0),"",Q259/P259-1)</f>
        <v/>
      </c>
      <c r="T259" s="43">
        <f>IF(OR(P259="",E259="",E259=0),"",P259/E259)</f>
        <v/>
      </c>
      <c r="U259" s="43">
        <f>IF(OR(Q259="",F259="",F259=0),"",Q259/F259)</f>
        <v/>
      </c>
      <c r="V259" s="44">
        <f>IF(OR(U259="",T259=""),"",(U259-T259)*100)</f>
        <v/>
      </c>
      <c r="W259" s="68" t="n">
        <v>80</v>
      </c>
      <c r="X259" s="68" t="n">
        <v>84</v>
      </c>
      <c r="Y259" s="69">
        <f>IF(OR(X259="",W259="",W259=0,X259=0),"",X259-W259)</f>
        <v/>
      </c>
      <c r="Z259" s="42">
        <f>IF(OR(X259="",W259="",W259=0,X259=0),"",X259/W259-1)</f>
        <v/>
      </c>
      <c r="AA259" s="43">
        <f>IF(OR(W259="",P259="",P259=0),"",W259/P259)</f>
        <v/>
      </c>
      <c r="AB259" s="43">
        <f>IF(OR(X259="",Q259="",Q259=0),"",X259/Q259)</f>
        <v/>
      </c>
      <c r="AC259" s="44">
        <f>IF(OR(AB259="",AA259=""),"",(AB259-AA259)*100)</f>
        <v/>
      </c>
      <c r="AD259" s="68" t="n">
        <v>59</v>
      </c>
      <c r="AE259" s="68" t="n">
        <v>60</v>
      </c>
      <c r="AF259" s="69">
        <f>IF(OR(AE259="",AD259="",AD259=0,AE259=0),"",AE259-AD259)</f>
        <v/>
      </c>
      <c r="AG259" s="42">
        <f>IF(OR(AE259="",AD259="",AD259=0,AE259=0),"",AE259/AD259-1)</f>
        <v/>
      </c>
      <c r="AH259" s="43">
        <f>IF(OR(AD259="",W259="",W259=0),"",AD259/W259)</f>
        <v/>
      </c>
      <c r="AI259" s="43">
        <f>IF(OR(AE259="",X259="",X259=0),"",AE259/X259)</f>
        <v/>
      </c>
      <c r="AJ259" s="44">
        <f>IF(OR(AI259="",AH259=""),"",(AI259-AH259)*100)</f>
        <v/>
      </c>
      <c r="AK259" s="68" t="n">
        <v>13</v>
      </c>
      <c r="AL259" s="68" t="n">
        <v>15</v>
      </c>
      <c r="AM259" s="69">
        <f>IF(OR(AL259="",AK259="",AK259=0,AL259=0),"",AL259-AK259)</f>
        <v/>
      </c>
      <c r="AN259" s="42">
        <f>IF(OR(AL259="",AK259="",AK259=0,AL259=0),"",AL259/AK259-1)</f>
        <v/>
      </c>
      <c r="AO259" s="43">
        <f>IF(OR(AK259="",AD259="",AD259=0),"",AK259/AD259)</f>
        <v/>
      </c>
      <c r="AP259" s="43">
        <f>IF(OR(AL259="",AE259="",AE259=0),"",AL259/AE259)</f>
        <v/>
      </c>
      <c r="AQ259" s="44">
        <f>IF(OR(AP259="",AO259=""),"",(AP259-AO259)*100)</f>
        <v/>
      </c>
      <c r="AR259" s="68" t="n">
        <v>10</v>
      </c>
      <c r="AS259" s="68" t="n">
        <v>12</v>
      </c>
      <c r="AT259" s="69">
        <f>IF(OR(AS259="",AR259="",AR259=0,AS259=0),"",AS259-AR259)</f>
        <v/>
      </c>
      <c r="AU259" s="42">
        <f>IF(OR(AS259="",AR259="",AR259=0,AS259=0),"",AS259/AR259-1)</f>
        <v/>
      </c>
      <c r="AV259" s="43">
        <f>IF(OR(AR259="",AK259="",AK259=0),"",AR259/AK259)</f>
        <v/>
      </c>
      <c r="AW259" s="43">
        <f>IF(OR(AS259="",AL259="",AL259=0),"",AS259/AL259)</f>
        <v/>
      </c>
      <c r="AX259" s="44">
        <f>IF(OR(AW259="",AV259=""),"",(AW259-AV259)*100)</f>
        <v/>
      </c>
      <c r="AY259" s="45">
        <f>IF(OR(AR259="",P259="",P259=0),"",AR259/P259)</f>
        <v/>
      </c>
      <c r="AZ259" s="45">
        <f>IF(OR(AS259="",Q259="",Q259=0),"",AS259/Q259)</f>
        <v/>
      </c>
      <c r="BA259" s="44">
        <f>IF(OR(AZ259="",AY259=""),"",(AZ259-AY259)*100)</f>
        <v/>
      </c>
      <c r="BB259" s="45">
        <f>IF(OR(AR259="",E259="",E259=0),"",AR259/E259)</f>
        <v/>
      </c>
      <c r="BC259" s="45">
        <f>IF(OR(AS259="",F259="",F259=0),"",AS259/F259)</f>
        <v/>
      </c>
      <c r="BD259" s="44">
        <f>IF(OR(BC259="",BB259=""),"",(BC259-BB259)*100)</f>
        <v/>
      </c>
      <c r="BE259" s="40">
        <f>IF(AND(F259&lt;&gt;"",E259&lt;&gt;""),"Both years",IF(F259&lt;&gt;"","1-23Aug26 rows only","1-23Aug25 rows only"))</f>
        <v/>
      </c>
    </row>
    <row r="260">
      <c r="A260" s="56" t="inlineStr">
        <is>
          <t>Airport page</t>
        </is>
      </c>
      <c r="B260" s="56" t="inlineStr">
        <is>
          <t>Organic</t>
        </is>
      </c>
      <c r="C260" s="56" t="inlineStr">
        <is>
          <t>Mobile</t>
        </is>
      </c>
      <c r="D260" s="56" t="inlineStr">
        <is>
          <t>Ireland</t>
        </is>
      </c>
      <c r="E260" s="68" t="n">
        <v>510</v>
      </c>
      <c r="F260" s="68" t="n">
        <v>567</v>
      </c>
      <c r="G260" s="69">
        <f>IF(OR(F260="",E260="",E260=0,F260=0),"",F260-E260)</f>
        <v/>
      </c>
      <c r="H260" s="42">
        <f>IF(OR(F260="",E260="",E260=0,F260=0),"",F260/E260-1)</f>
        <v/>
      </c>
      <c r="I260" s="68" t="n">
        <v>407</v>
      </c>
      <c r="J260" s="68" t="n">
        <v>461</v>
      </c>
      <c r="K260" s="69">
        <f>IF(OR(J260="",I260="",I260=0,J260=0),"",J260-I260)</f>
        <v/>
      </c>
      <c r="L260" s="42">
        <f>IF(OR(J260="",I260="",I260=0,J260=0),"",J260/I260-1)</f>
        <v/>
      </c>
      <c r="M260" s="43">
        <f>IF(OR(I260="",E260="",E260=0),"",I260/E260)</f>
        <v/>
      </c>
      <c r="N260" s="43">
        <f>IF(OR(J260="",F260="",F260=0),"",J260/F260)</f>
        <v/>
      </c>
      <c r="O260" s="44">
        <f>IF(OR(N260="",M260=""),"",(N260-M260)*100)</f>
        <v/>
      </c>
      <c r="P260" s="68" t="n">
        <v>345</v>
      </c>
      <c r="Q260" s="68" t="n">
        <v>382</v>
      </c>
      <c r="R260" s="69">
        <f>IF(OR(Q260="",P260="",P260=0,Q260=0),"",Q260-P260)</f>
        <v/>
      </c>
      <c r="S260" s="42">
        <f>IF(OR(Q260="",P260="",P260=0,Q260=0),"",Q260/P260-1)</f>
        <v/>
      </c>
      <c r="T260" s="43">
        <f>IF(OR(P260="",E260="",E260=0),"",P260/E260)</f>
        <v/>
      </c>
      <c r="U260" s="43">
        <f>IF(OR(Q260="",F260="",F260=0),"",Q260/F260)</f>
        <v/>
      </c>
      <c r="V260" s="44">
        <f>IF(OR(U260="",T260=""),"",(U260-T260)*100)</f>
        <v/>
      </c>
      <c r="W260" s="68" t="n">
        <v>83</v>
      </c>
      <c r="X260" s="68" t="n">
        <v>93</v>
      </c>
      <c r="Y260" s="69">
        <f>IF(OR(X260="",W260="",W260=0,X260=0),"",X260-W260)</f>
        <v/>
      </c>
      <c r="Z260" s="42">
        <f>IF(OR(X260="",W260="",W260=0,X260=0),"",X260/W260-1)</f>
        <v/>
      </c>
      <c r="AA260" s="43">
        <f>IF(OR(W260="",P260="",P260=0),"",W260/P260)</f>
        <v/>
      </c>
      <c r="AB260" s="43">
        <f>IF(OR(X260="",Q260="",Q260=0),"",X260/Q260)</f>
        <v/>
      </c>
      <c r="AC260" s="44">
        <f>IF(OR(AB260="",AA260=""),"",(AB260-AA260)*100)</f>
        <v/>
      </c>
      <c r="AD260" s="68" t="n">
        <v>58</v>
      </c>
      <c r="AE260" s="68" t="n">
        <v>64</v>
      </c>
      <c r="AF260" s="69">
        <f>IF(OR(AE260="",AD260="",AD260=0,AE260=0),"",AE260-AD260)</f>
        <v/>
      </c>
      <c r="AG260" s="42">
        <f>IF(OR(AE260="",AD260="",AD260=0,AE260=0),"",AE260/AD260-1)</f>
        <v/>
      </c>
      <c r="AH260" s="43">
        <f>IF(OR(AD260="",W260="",W260=0),"",AD260/W260)</f>
        <v/>
      </c>
      <c r="AI260" s="43">
        <f>IF(OR(AE260="",X260="",X260=0),"",AE260/X260)</f>
        <v/>
      </c>
      <c r="AJ260" s="44">
        <f>IF(OR(AI260="",AH260=""),"",(AI260-AH260)*100)</f>
        <v/>
      </c>
      <c r="AK260" s="68" t="n">
        <v>24</v>
      </c>
      <c r="AL260" s="68" t="n">
        <v>20</v>
      </c>
      <c r="AM260" s="69">
        <f>IF(OR(AL260="",AK260="",AK260=0,AL260=0),"",AL260-AK260)</f>
        <v/>
      </c>
      <c r="AN260" s="42">
        <f>IF(OR(AL260="",AK260="",AK260=0,AL260=0),"",AL260/AK260-1)</f>
        <v/>
      </c>
      <c r="AO260" s="43">
        <f>IF(OR(AK260="",AD260="",AD260=0),"",AK260/AD260)</f>
        <v/>
      </c>
      <c r="AP260" s="43">
        <f>IF(OR(AL260="",AE260="",AE260=0),"",AL260/AE260)</f>
        <v/>
      </c>
      <c r="AQ260" s="44">
        <f>IF(OR(AP260="",AO260=""),"",(AP260-AO260)*100)</f>
        <v/>
      </c>
      <c r="AR260" s="68" t="n">
        <v>20</v>
      </c>
      <c r="AS260" s="68" t="n">
        <v>15</v>
      </c>
      <c r="AT260" s="69">
        <f>IF(OR(AS260="",AR260="",AR260=0,AS260=0),"",AS260-AR260)</f>
        <v/>
      </c>
      <c r="AU260" s="42">
        <f>IF(OR(AS260="",AR260="",AR260=0,AS260=0),"",AS260/AR260-1)</f>
        <v/>
      </c>
      <c r="AV260" s="43">
        <f>IF(OR(AR260="",AK260="",AK260=0),"",AR260/AK260)</f>
        <v/>
      </c>
      <c r="AW260" s="43">
        <f>IF(OR(AS260="",AL260="",AL260=0),"",AS260/AL260)</f>
        <v/>
      </c>
      <c r="AX260" s="44">
        <f>IF(OR(AW260="",AV260=""),"",(AW260-AV260)*100)</f>
        <v/>
      </c>
      <c r="AY260" s="45">
        <f>IF(OR(AR260="",P260="",P260=0),"",AR260/P260)</f>
        <v/>
      </c>
      <c r="AZ260" s="45">
        <f>IF(OR(AS260="",Q260="",Q260=0),"",AS260/Q260)</f>
        <v/>
      </c>
      <c r="BA260" s="44">
        <f>IF(OR(AZ260="",AY260=""),"",(AZ260-AY260)*100)</f>
        <v/>
      </c>
      <c r="BB260" s="45">
        <f>IF(OR(AR260="",E260="",E260=0),"",AR260/E260)</f>
        <v/>
      </c>
      <c r="BC260" s="45">
        <f>IF(OR(AS260="",F260="",F260=0),"",AS260/F260)</f>
        <v/>
      </c>
      <c r="BD260" s="44">
        <f>IF(OR(BC260="",BB260=""),"",(BC260-BB260)*100)</f>
        <v/>
      </c>
      <c r="BE260" s="40">
        <f>IF(AND(F260&lt;&gt;"",E260&lt;&gt;""),"Both years",IF(F260&lt;&gt;"","1-23Aug26 rows only","1-23Aug25 rows only"))</f>
        <v/>
      </c>
    </row>
    <row r="261">
      <c r="A261" s="40" t="inlineStr">
        <is>
          <t>Airport page</t>
        </is>
      </c>
      <c r="B261" s="40" t="inlineStr">
        <is>
          <t>Organic</t>
        </is>
      </c>
      <c r="C261" s="40" t="inlineStr">
        <is>
          <t>Mobile</t>
        </is>
      </c>
      <c r="D261" s="40" t="inlineStr">
        <is>
          <t>France</t>
        </is>
      </c>
      <c r="E261" s="68" t="n">
        <v>589</v>
      </c>
      <c r="F261" s="68" t="n">
        <v>395</v>
      </c>
      <c r="G261" s="69">
        <f>IF(OR(F261="",E261="",E261=0,F261=0),"",F261-E261)</f>
        <v/>
      </c>
      <c r="H261" s="42">
        <f>IF(OR(F261="",E261="",E261=0,F261=0),"",F261/E261-1)</f>
        <v/>
      </c>
      <c r="I261" s="68" t="n">
        <v>446</v>
      </c>
      <c r="J261" s="68" t="n">
        <v>285</v>
      </c>
      <c r="K261" s="69">
        <f>IF(OR(J261="",I261="",I261=0,J261=0),"",J261-I261)</f>
        <v/>
      </c>
      <c r="L261" s="42">
        <f>IF(OR(J261="",I261="",I261=0,J261=0),"",J261/I261-1)</f>
        <v/>
      </c>
      <c r="M261" s="43">
        <f>IF(OR(I261="",E261="",E261=0),"",I261/E261)</f>
        <v/>
      </c>
      <c r="N261" s="43">
        <f>IF(OR(J261="",F261="",F261=0),"",J261/F261)</f>
        <v/>
      </c>
      <c r="O261" s="44">
        <f>IF(OR(N261="",M261=""),"",(N261-M261)*100)</f>
        <v/>
      </c>
      <c r="P261" s="68" t="n">
        <v>355</v>
      </c>
      <c r="Q261" s="68" t="n">
        <v>221</v>
      </c>
      <c r="R261" s="69">
        <f>IF(OR(Q261="",P261="",P261=0,Q261=0),"",Q261-P261)</f>
        <v/>
      </c>
      <c r="S261" s="42">
        <f>IF(OR(Q261="",P261="",P261=0,Q261=0),"",Q261/P261-1)</f>
        <v/>
      </c>
      <c r="T261" s="43">
        <f>IF(OR(P261="",E261="",E261=0),"",P261/E261)</f>
        <v/>
      </c>
      <c r="U261" s="43">
        <f>IF(OR(Q261="",F261="",F261=0),"",Q261/F261)</f>
        <v/>
      </c>
      <c r="V261" s="44">
        <f>IF(OR(U261="",T261=""),"",(U261-T261)*100)</f>
        <v/>
      </c>
      <c r="W261" s="68" t="n">
        <v>119</v>
      </c>
      <c r="X261" s="68" t="n">
        <v>75</v>
      </c>
      <c r="Y261" s="69">
        <f>IF(OR(X261="",W261="",W261=0,X261=0),"",X261-W261)</f>
        <v/>
      </c>
      <c r="Z261" s="42">
        <f>IF(OR(X261="",W261="",W261=0,X261=0),"",X261/W261-1)</f>
        <v/>
      </c>
      <c r="AA261" s="43">
        <f>IF(OR(W261="",P261="",P261=0),"",W261/P261)</f>
        <v/>
      </c>
      <c r="AB261" s="43">
        <f>IF(OR(X261="",Q261="",Q261=0),"",X261/Q261)</f>
        <v/>
      </c>
      <c r="AC261" s="44">
        <f>IF(OR(AB261="",AA261=""),"",(AB261-AA261)*100)</f>
        <v/>
      </c>
      <c r="AD261" s="68" t="n">
        <v>87</v>
      </c>
      <c r="AE261" s="68" t="n">
        <v>59</v>
      </c>
      <c r="AF261" s="69">
        <f>IF(OR(AE261="",AD261="",AD261=0,AE261=0),"",AE261-AD261)</f>
        <v/>
      </c>
      <c r="AG261" s="42">
        <f>IF(OR(AE261="",AD261="",AD261=0,AE261=0),"",AE261/AD261-1)</f>
        <v/>
      </c>
      <c r="AH261" s="43">
        <f>IF(OR(AD261="",W261="",W261=0),"",AD261/W261)</f>
        <v/>
      </c>
      <c r="AI261" s="43">
        <f>IF(OR(AE261="",X261="",X261=0),"",AE261/X261)</f>
        <v/>
      </c>
      <c r="AJ261" s="44">
        <f>IF(OR(AI261="",AH261=""),"",(AI261-AH261)*100)</f>
        <v/>
      </c>
      <c r="AK261" s="68" t="n">
        <v>28</v>
      </c>
      <c r="AL261" s="68" t="n">
        <v>15</v>
      </c>
      <c r="AM261" s="69">
        <f>IF(OR(AL261="",AK261="",AK261=0,AL261=0),"",AL261-AK261)</f>
        <v/>
      </c>
      <c r="AN261" s="42">
        <f>IF(OR(AL261="",AK261="",AK261=0,AL261=0),"",AL261/AK261-1)</f>
        <v/>
      </c>
      <c r="AO261" s="43">
        <f>IF(OR(AK261="",AD261="",AD261=0),"",AK261/AD261)</f>
        <v/>
      </c>
      <c r="AP261" s="43">
        <f>IF(OR(AL261="",AE261="",AE261=0),"",AL261/AE261)</f>
        <v/>
      </c>
      <c r="AQ261" s="44">
        <f>IF(OR(AP261="",AO261=""),"",(AP261-AO261)*100)</f>
        <v/>
      </c>
      <c r="AR261" s="68" t="n">
        <v>24</v>
      </c>
      <c r="AS261" s="68" t="n">
        <v>12</v>
      </c>
      <c r="AT261" s="69">
        <f>IF(OR(AS261="",AR261="",AR261=0,AS261=0),"",AS261-AR261)</f>
        <v/>
      </c>
      <c r="AU261" s="42">
        <f>IF(OR(AS261="",AR261="",AR261=0,AS261=0),"",AS261/AR261-1)</f>
        <v/>
      </c>
      <c r="AV261" s="43">
        <f>IF(OR(AR261="",AK261="",AK261=0),"",AR261/AK261)</f>
        <v/>
      </c>
      <c r="AW261" s="43">
        <f>IF(OR(AS261="",AL261="",AL261=0),"",AS261/AL261)</f>
        <v/>
      </c>
      <c r="AX261" s="44">
        <f>IF(OR(AW261="",AV261=""),"",(AW261-AV261)*100)</f>
        <v/>
      </c>
      <c r="AY261" s="45">
        <f>IF(OR(AR261="",P261="",P261=0),"",AR261/P261)</f>
        <v/>
      </c>
      <c r="AZ261" s="45">
        <f>IF(OR(AS261="",Q261="",Q261=0),"",AS261/Q261)</f>
        <v/>
      </c>
      <c r="BA261" s="44">
        <f>IF(OR(AZ261="",AY261=""),"",(AZ261-AY261)*100)</f>
        <v/>
      </c>
      <c r="BB261" s="45">
        <f>IF(OR(AR261="",E261="",E261=0),"",AR261/E261)</f>
        <v/>
      </c>
      <c r="BC261" s="45">
        <f>IF(OR(AS261="",F261="",F261=0),"",AS261/F261)</f>
        <v/>
      </c>
      <c r="BD261" s="44">
        <f>IF(OR(BC261="",BB261=""),"",(BC261-BB261)*100)</f>
        <v/>
      </c>
      <c r="BE261" s="40">
        <f>IF(AND(F261&lt;&gt;"",E261&lt;&gt;""),"Both years",IF(F261&lt;&gt;"","1-23Aug26 rows only","1-23Aug25 rows only"))</f>
        <v/>
      </c>
    </row>
    <row r="262">
      <c r="A262" s="56" t="inlineStr">
        <is>
          <t>Airport page</t>
        </is>
      </c>
      <c r="B262" s="56" t="inlineStr">
        <is>
          <t>Organic</t>
        </is>
      </c>
      <c r="C262" s="56" t="inlineStr">
        <is>
          <t>Mobile</t>
        </is>
      </c>
      <c r="D262" s="56" t="inlineStr">
        <is>
          <t>Belgium</t>
        </is>
      </c>
      <c r="E262" s="70" t="n"/>
      <c r="F262" s="68" t="n">
        <v>357</v>
      </c>
      <c r="G262" s="69">
        <f>IF(OR(F262="",E262="",E262=0,F262=0),"",F262-E262)</f>
        <v/>
      </c>
      <c r="H262" s="42">
        <f>IF(OR(F262="",E262="",E262=0,F262=0),"",F262/E262-1)</f>
        <v/>
      </c>
      <c r="I262" s="68" t="n">
        <v>68</v>
      </c>
      <c r="J262" s="68" t="n">
        <v>241</v>
      </c>
      <c r="K262" s="69">
        <f>IF(OR(J262="",I262="",I262=0,J262=0),"",J262-I262)</f>
        <v/>
      </c>
      <c r="L262" s="42">
        <f>IF(OR(J262="",I262="",I262=0,J262=0),"",J262/I262-1)</f>
        <v/>
      </c>
      <c r="M262" s="43">
        <f>IF(OR(I262="",E262="",E262=0),"",I262/E262)</f>
        <v/>
      </c>
      <c r="N262" s="43">
        <f>IF(OR(J262="",F262="",F262=0),"",J262/F262)</f>
        <v/>
      </c>
      <c r="O262" s="44">
        <f>IF(OR(N262="",M262=""),"",(N262-M262)*100)</f>
        <v/>
      </c>
      <c r="P262" s="70" t="n"/>
      <c r="Q262" s="68" t="n">
        <v>202</v>
      </c>
      <c r="R262" s="69">
        <f>IF(OR(Q262="",P262="",P262=0,Q262=0),"",Q262-P262)</f>
        <v/>
      </c>
      <c r="S262" s="42">
        <f>IF(OR(Q262="",P262="",P262=0,Q262=0),"",Q262/P262-1)</f>
        <v/>
      </c>
      <c r="T262" s="43">
        <f>IF(OR(P262="",E262="",E262=0),"",P262/E262)</f>
        <v/>
      </c>
      <c r="U262" s="43">
        <f>IF(OR(Q262="",F262="",F262=0),"",Q262/F262)</f>
        <v/>
      </c>
      <c r="V262" s="44">
        <f>IF(OR(U262="",T262=""),"",(U262-T262)*100)</f>
        <v/>
      </c>
      <c r="W262" s="68" t="n">
        <v>8</v>
      </c>
      <c r="X262" s="68" t="n">
        <v>59</v>
      </c>
      <c r="Y262" s="69">
        <f>IF(OR(X262="",W262="",W262=0,X262=0),"",X262-W262)</f>
        <v/>
      </c>
      <c r="Z262" s="42">
        <f>IF(OR(X262="",W262="",W262=0,X262=0),"",X262/W262-1)</f>
        <v/>
      </c>
      <c r="AA262" s="43">
        <f>IF(OR(W262="",P262="",P262=0),"",W262/P262)</f>
        <v/>
      </c>
      <c r="AB262" s="43">
        <f>IF(OR(X262="",Q262="",Q262=0),"",X262/Q262)</f>
        <v/>
      </c>
      <c r="AC262" s="44">
        <f>IF(OR(AB262="",AA262=""),"",(AB262-AA262)*100)</f>
        <v/>
      </c>
      <c r="AD262" s="68" t="n">
        <v>5</v>
      </c>
      <c r="AE262" s="68" t="n">
        <v>46</v>
      </c>
      <c r="AF262" s="69">
        <f>IF(OR(AE262="",AD262="",AD262=0,AE262=0),"",AE262-AD262)</f>
        <v/>
      </c>
      <c r="AG262" s="42">
        <f>IF(OR(AE262="",AD262="",AD262=0,AE262=0),"",AE262/AD262-1)</f>
        <v/>
      </c>
      <c r="AH262" s="43">
        <f>IF(OR(AD262="",W262="",W262=0),"",AD262/W262)</f>
        <v/>
      </c>
      <c r="AI262" s="43">
        <f>IF(OR(AE262="",X262="",X262=0),"",AE262/X262)</f>
        <v/>
      </c>
      <c r="AJ262" s="44">
        <f>IF(OR(AI262="",AH262=""),"",(AI262-AH262)*100)</f>
        <v/>
      </c>
      <c r="AK262" s="68" t="n">
        <v>2</v>
      </c>
      <c r="AL262" s="68" t="n">
        <v>19</v>
      </c>
      <c r="AM262" s="69">
        <f>IF(OR(AL262="",AK262="",AK262=0,AL262=0),"",AL262-AK262)</f>
        <v/>
      </c>
      <c r="AN262" s="42">
        <f>IF(OR(AL262="",AK262="",AK262=0,AL262=0),"",AL262/AK262-1)</f>
        <v/>
      </c>
      <c r="AO262" s="43">
        <f>IF(OR(AK262="",AD262="",AD262=0),"",AK262/AD262)</f>
        <v/>
      </c>
      <c r="AP262" s="43">
        <f>IF(OR(AL262="",AE262="",AE262=0),"",AL262/AE262)</f>
        <v/>
      </c>
      <c r="AQ262" s="44">
        <f>IF(OR(AP262="",AO262=""),"",(AP262-AO262)*100)</f>
        <v/>
      </c>
      <c r="AR262" s="68" t="n">
        <v>2</v>
      </c>
      <c r="AS262" s="68" t="n">
        <v>13</v>
      </c>
      <c r="AT262" s="69">
        <f>IF(OR(AS262="",AR262="",AR262=0,AS262=0),"",AS262-AR262)</f>
        <v/>
      </c>
      <c r="AU262" s="42">
        <f>IF(OR(AS262="",AR262="",AR262=0,AS262=0),"",AS262/AR262-1)</f>
        <v/>
      </c>
      <c r="AV262" s="43">
        <f>IF(OR(AR262="",AK262="",AK262=0),"",AR262/AK262)</f>
        <v/>
      </c>
      <c r="AW262" s="43">
        <f>IF(OR(AS262="",AL262="",AL262=0),"",AS262/AL262)</f>
        <v/>
      </c>
      <c r="AX262" s="44">
        <f>IF(OR(AW262="",AV262=""),"",(AW262-AV262)*100)</f>
        <v/>
      </c>
      <c r="AY262" s="45">
        <f>IF(OR(AR262="",P262="",P262=0),"",AR262/P262)</f>
        <v/>
      </c>
      <c r="AZ262" s="45">
        <f>IF(OR(AS262="",Q262="",Q262=0),"",AS262/Q262)</f>
        <v/>
      </c>
      <c r="BA262" s="44">
        <f>IF(OR(AZ262="",AY262=""),"",(AZ262-AY262)*100)</f>
        <v/>
      </c>
      <c r="BB262" s="45">
        <f>IF(OR(AR262="",E262="",E262=0),"",AR262/E262)</f>
        <v/>
      </c>
      <c r="BC262" s="45">
        <f>IF(OR(AS262="",F262="",F262=0),"",AS262/F262)</f>
        <v/>
      </c>
      <c r="BD262" s="44">
        <f>IF(OR(BC262="",BB262=""),"",(BC262-BB262)*100)</f>
        <v/>
      </c>
      <c r="BE262" s="40">
        <f>IF(AND(F262&lt;&gt;"",E262&lt;&gt;""),"Both years",IF(F262&lt;&gt;"","1-23Aug26 rows only","1-23Aug25 rows only"))</f>
        <v/>
      </c>
    </row>
    <row r="263">
      <c r="A263" s="40" t="inlineStr">
        <is>
          <t>Airport page</t>
        </is>
      </c>
      <c r="B263" s="40" t="inlineStr">
        <is>
          <t>Organic</t>
        </is>
      </c>
      <c r="C263" s="40" t="inlineStr">
        <is>
          <t>Mobile</t>
        </is>
      </c>
      <c r="D263" s="40" t="inlineStr">
        <is>
          <t>Sweden</t>
        </is>
      </c>
      <c r="E263" s="68" t="n">
        <v>295</v>
      </c>
      <c r="F263" s="68" t="n">
        <v>346</v>
      </c>
      <c r="G263" s="69">
        <f>IF(OR(F263="",E263="",E263=0,F263=0),"",F263-E263)</f>
        <v/>
      </c>
      <c r="H263" s="42">
        <f>IF(OR(F263="",E263="",E263=0,F263=0),"",F263/E263-1)</f>
        <v/>
      </c>
      <c r="I263" s="68" t="n">
        <v>224</v>
      </c>
      <c r="J263" s="68" t="n">
        <v>246</v>
      </c>
      <c r="K263" s="69">
        <f>IF(OR(J263="",I263="",I263=0,J263=0),"",J263-I263)</f>
        <v/>
      </c>
      <c r="L263" s="42">
        <f>IF(OR(J263="",I263="",I263=0,J263=0),"",J263/I263-1)</f>
        <v/>
      </c>
      <c r="M263" s="43">
        <f>IF(OR(I263="",E263="",E263=0),"",I263/E263)</f>
        <v/>
      </c>
      <c r="N263" s="43">
        <f>IF(OR(J263="",F263="",F263=0),"",J263/F263)</f>
        <v/>
      </c>
      <c r="O263" s="44">
        <f>IF(OR(N263="",M263=""),"",(N263-M263)*100)</f>
        <v/>
      </c>
      <c r="P263" s="68" t="n">
        <v>189</v>
      </c>
      <c r="Q263" s="68" t="n">
        <v>216</v>
      </c>
      <c r="R263" s="69">
        <f>IF(OR(Q263="",P263="",P263=0,Q263=0),"",Q263-P263)</f>
        <v/>
      </c>
      <c r="S263" s="42">
        <f>IF(OR(Q263="",P263="",P263=0,Q263=0),"",Q263/P263-1)</f>
        <v/>
      </c>
      <c r="T263" s="43">
        <f>IF(OR(P263="",E263="",E263=0),"",P263/E263)</f>
        <v/>
      </c>
      <c r="U263" s="43">
        <f>IF(OR(Q263="",F263="",F263=0),"",Q263/F263)</f>
        <v/>
      </c>
      <c r="V263" s="44">
        <f>IF(OR(U263="",T263=""),"",(U263-T263)*100)</f>
        <v/>
      </c>
      <c r="W263" s="68" t="n">
        <v>44</v>
      </c>
      <c r="X263" s="68" t="n">
        <v>39</v>
      </c>
      <c r="Y263" s="69">
        <f>IF(OR(X263="",W263="",W263=0,X263=0),"",X263-W263)</f>
        <v/>
      </c>
      <c r="Z263" s="42">
        <f>IF(OR(X263="",W263="",W263=0,X263=0),"",X263/W263-1)</f>
        <v/>
      </c>
      <c r="AA263" s="43">
        <f>IF(OR(W263="",P263="",P263=0),"",W263/P263)</f>
        <v/>
      </c>
      <c r="AB263" s="43">
        <f>IF(OR(X263="",Q263="",Q263=0),"",X263/Q263)</f>
        <v/>
      </c>
      <c r="AC263" s="44">
        <f>IF(OR(AB263="",AA263=""),"",(AB263-AA263)*100)</f>
        <v/>
      </c>
      <c r="AD263" s="68" t="n">
        <v>31</v>
      </c>
      <c r="AE263" s="68" t="n">
        <v>24</v>
      </c>
      <c r="AF263" s="69">
        <f>IF(OR(AE263="",AD263="",AD263=0,AE263=0),"",AE263-AD263)</f>
        <v/>
      </c>
      <c r="AG263" s="42">
        <f>IF(OR(AE263="",AD263="",AD263=0,AE263=0),"",AE263/AD263-1)</f>
        <v/>
      </c>
      <c r="AH263" s="43">
        <f>IF(OR(AD263="",W263="",W263=0),"",AD263/W263)</f>
        <v/>
      </c>
      <c r="AI263" s="43">
        <f>IF(OR(AE263="",X263="",X263=0),"",AE263/X263)</f>
        <v/>
      </c>
      <c r="AJ263" s="44">
        <f>IF(OR(AI263="",AH263=""),"",(AI263-AH263)*100)</f>
        <v/>
      </c>
      <c r="AK263" s="68" t="n">
        <v>9</v>
      </c>
      <c r="AL263" s="68" t="n">
        <v>7</v>
      </c>
      <c r="AM263" s="69">
        <f>IF(OR(AL263="",AK263="",AK263=0,AL263=0),"",AL263-AK263)</f>
        <v/>
      </c>
      <c r="AN263" s="42">
        <f>IF(OR(AL263="",AK263="",AK263=0,AL263=0),"",AL263/AK263-1)</f>
        <v/>
      </c>
      <c r="AO263" s="43">
        <f>IF(OR(AK263="",AD263="",AD263=0),"",AK263/AD263)</f>
        <v/>
      </c>
      <c r="AP263" s="43">
        <f>IF(OR(AL263="",AE263="",AE263=0),"",AL263/AE263)</f>
        <v/>
      </c>
      <c r="AQ263" s="44">
        <f>IF(OR(AP263="",AO263=""),"",(AP263-AO263)*100)</f>
        <v/>
      </c>
      <c r="AR263" s="68" t="n">
        <v>8</v>
      </c>
      <c r="AS263" s="68" t="n">
        <v>5</v>
      </c>
      <c r="AT263" s="69">
        <f>IF(OR(AS263="",AR263="",AR263=0,AS263=0),"",AS263-AR263)</f>
        <v/>
      </c>
      <c r="AU263" s="42">
        <f>IF(OR(AS263="",AR263="",AR263=0,AS263=0),"",AS263/AR263-1)</f>
        <v/>
      </c>
      <c r="AV263" s="43">
        <f>IF(OR(AR263="",AK263="",AK263=0),"",AR263/AK263)</f>
        <v/>
      </c>
      <c r="AW263" s="43">
        <f>IF(OR(AS263="",AL263="",AL263=0),"",AS263/AL263)</f>
        <v/>
      </c>
      <c r="AX263" s="44">
        <f>IF(OR(AW263="",AV263=""),"",(AW263-AV263)*100)</f>
        <v/>
      </c>
      <c r="AY263" s="45">
        <f>IF(OR(AR263="",P263="",P263=0),"",AR263/P263)</f>
        <v/>
      </c>
      <c r="AZ263" s="45">
        <f>IF(OR(AS263="",Q263="",Q263=0),"",AS263/Q263)</f>
        <v/>
      </c>
      <c r="BA263" s="44">
        <f>IF(OR(AZ263="",AY263=""),"",(AZ263-AY263)*100)</f>
        <v/>
      </c>
      <c r="BB263" s="45">
        <f>IF(OR(AR263="",E263="",E263=0),"",AR263/E263)</f>
        <v/>
      </c>
      <c r="BC263" s="45">
        <f>IF(OR(AS263="",F263="",F263=0),"",AS263/F263)</f>
        <v/>
      </c>
      <c r="BD263" s="44">
        <f>IF(OR(BC263="",BB263=""),"",(BC263-BB263)*100)</f>
        <v/>
      </c>
      <c r="BE263" s="40">
        <f>IF(AND(F263&lt;&gt;"",E263&lt;&gt;""),"Both years",IF(F263&lt;&gt;"","1-23Aug26 rows only","1-23Aug25 rows only"))</f>
        <v/>
      </c>
    </row>
    <row r="264">
      <c r="A264" s="56" t="inlineStr">
        <is>
          <t>Airport page</t>
        </is>
      </c>
      <c r="B264" s="56" t="inlineStr">
        <is>
          <t>Organic</t>
        </is>
      </c>
      <c r="C264" s="56" t="inlineStr">
        <is>
          <t>Mobile</t>
        </is>
      </c>
      <c r="D264" s="56" t="inlineStr">
        <is>
          <t>Netherlands</t>
        </is>
      </c>
      <c r="E264" s="68" t="n">
        <v>346</v>
      </c>
      <c r="F264" s="68" t="n">
        <v>329</v>
      </c>
      <c r="G264" s="69">
        <f>IF(OR(F264="",E264="",E264=0,F264=0),"",F264-E264)</f>
        <v/>
      </c>
      <c r="H264" s="42">
        <f>IF(OR(F264="",E264="",E264=0,F264=0),"",F264/E264-1)</f>
        <v/>
      </c>
      <c r="I264" s="68" t="n">
        <v>222</v>
      </c>
      <c r="J264" s="68" t="n">
        <v>249</v>
      </c>
      <c r="K264" s="69">
        <f>IF(OR(J264="",I264="",I264=0,J264=0),"",J264-I264)</f>
        <v/>
      </c>
      <c r="L264" s="42">
        <f>IF(OR(J264="",I264="",I264=0,J264=0),"",J264/I264-1)</f>
        <v/>
      </c>
      <c r="M264" s="43">
        <f>IF(OR(I264="",E264="",E264=0),"",I264/E264)</f>
        <v/>
      </c>
      <c r="N264" s="43">
        <f>IF(OR(J264="",F264="",F264=0),"",J264/F264)</f>
        <v/>
      </c>
      <c r="O264" s="44">
        <f>IF(OR(N264="",M264=""),"",(N264-M264)*100)</f>
        <v/>
      </c>
      <c r="P264" s="68" t="n">
        <v>186</v>
      </c>
      <c r="Q264" s="68" t="n">
        <v>190</v>
      </c>
      <c r="R264" s="69">
        <f>IF(OR(Q264="",P264="",P264=0,Q264=0),"",Q264-P264)</f>
        <v/>
      </c>
      <c r="S264" s="42">
        <f>IF(OR(Q264="",P264="",P264=0,Q264=0),"",Q264/P264-1)</f>
        <v/>
      </c>
      <c r="T264" s="43">
        <f>IF(OR(P264="",E264="",E264=0),"",P264/E264)</f>
        <v/>
      </c>
      <c r="U264" s="43">
        <f>IF(OR(Q264="",F264="",F264=0),"",Q264/F264)</f>
        <v/>
      </c>
      <c r="V264" s="44">
        <f>IF(OR(U264="",T264=""),"",(U264-T264)*100)</f>
        <v/>
      </c>
      <c r="W264" s="68" t="n">
        <v>50</v>
      </c>
      <c r="X264" s="68" t="n">
        <v>49</v>
      </c>
      <c r="Y264" s="69">
        <f>IF(OR(X264="",W264="",W264=0,X264=0),"",X264-W264)</f>
        <v/>
      </c>
      <c r="Z264" s="42">
        <f>IF(OR(X264="",W264="",W264=0,X264=0),"",X264/W264-1)</f>
        <v/>
      </c>
      <c r="AA264" s="43">
        <f>IF(OR(W264="",P264="",P264=0),"",W264/P264)</f>
        <v/>
      </c>
      <c r="AB264" s="43">
        <f>IF(OR(X264="",Q264="",Q264=0),"",X264/Q264)</f>
        <v/>
      </c>
      <c r="AC264" s="44">
        <f>IF(OR(AB264="",AA264=""),"",(AB264-AA264)*100)</f>
        <v/>
      </c>
      <c r="AD264" s="68" t="n">
        <v>34</v>
      </c>
      <c r="AE264" s="68" t="n">
        <v>35</v>
      </c>
      <c r="AF264" s="69">
        <f>IF(OR(AE264="",AD264="",AD264=0,AE264=0),"",AE264-AD264)</f>
        <v/>
      </c>
      <c r="AG264" s="42">
        <f>IF(OR(AE264="",AD264="",AD264=0,AE264=0),"",AE264/AD264-1)</f>
        <v/>
      </c>
      <c r="AH264" s="43">
        <f>IF(OR(AD264="",W264="",W264=0),"",AD264/W264)</f>
        <v/>
      </c>
      <c r="AI264" s="43">
        <f>IF(OR(AE264="",X264="",X264=0),"",AE264/X264)</f>
        <v/>
      </c>
      <c r="AJ264" s="44">
        <f>IF(OR(AI264="",AH264=""),"",(AI264-AH264)*100)</f>
        <v/>
      </c>
      <c r="AK264" s="68" t="n">
        <v>9</v>
      </c>
      <c r="AL264" s="68" t="n">
        <v>9</v>
      </c>
      <c r="AM264" s="69">
        <f>IF(OR(AL264="",AK264="",AK264=0,AL264=0),"",AL264-AK264)</f>
        <v/>
      </c>
      <c r="AN264" s="42">
        <f>IF(OR(AL264="",AK264="",AK264=0,AL264=0),"",AL264/AK264-1)</f>
        <v/>
      </c>
      <c r="AO264" s="43">
        <f>IF(OR(AK264="",AD264="",AD264=0),"",AK264/AD264)</f>
        <v/>
      </c>
      <c r="AP264" s="43">
        <f>IF(OR(AL264="",AE264="",AE264=0),"",AL264/AE264)</f>
        <v/>
      </c>
      <c r="AQ264" s="44">
        <f>IF(OR(AP264="",AO264=""),"",(AP264-AO264)*100)</f>
        <v/>
      </c>
      <c r="AR264" s="68" t="n">
        <v>4</v>
      </c>
      <c r="AS264" s="70" t="n"/>
      <c r="AT264" s="69">
        <f>IF(OR(AS264="",AR264="",AR264=0,AS264=0),"",AS264-AR264)</f>
        <v/>
      </c>
      <c r="AU264" s="42">
        <f>IF(OR(AS264="",AR264="",AR264=0,AS264=0),"",AS264/AR264-1)</f>
        <v/>
      </c>
      <c r="AV264" s="43">
        <f>IF(OR(AR264="",AK264="",AK264=0),"",AR264/AK264)</f>
        <v/>
      </c>
      <c r="AW264" s="43">
        <f>IF(OR(AS264="",AL264="",AL264=0),"",AS264/AL264)</f>
        <v/>
      </c>
      <c r="AX264" s="44">
        <f>IF(OR(AW264="",AV264=""),"",(AW264-AV264)*100)</f>
        <v/>
      </c>
      <c r="AY264" s="45">
        <f>IF(OR(AR264="",P264="",P264=0),"",AR264/P264)</f>
        <v/>
      </c>
      <c r="AZ264" s="45">
        <f>IF(OR(AS264="",Q264="",Q264=0),"",AS264/Q264)</f>
        <v/>
      </c>
      <c r="BA264" s="44">
        <f>IF(OR(AZ264="",AY264=""),"",(AZ264-AY264)*100)</f>
        <v/>
      </c>
      <c r="BB264" s="45">
        <f>IF(OR(AR264="",E264="",E264=0),"",AR264/E264)</f>
        <v/>
      </c>
      <c r="BC264" s="45">
        <f>IF(OR(AS264="",F264="",F264=0),"",AS264/F264)</f>
        <v/>
      </c>
      <c r="BD264" s="44">
        <f>IF(OR(BC264="",BB264=""),"",(BC264-BB264)*100)</f>
        <v/>
      </c>
      <c r="BE264" s="40">
        <f>IF(AND(F264&lt;&gt;"",E264&lt;&gt;""),"Both years",IF(F264&lt;&gt;"","1-23Aug26 rows only","1-23Aug25 rows only"))</f>
        <v/>
      </c>
    </row>
    <row r="265">
      <c r="A265" s="40" t="inlineStr">
        <is>
          <t>Airport page</t>
        </is>
      </c>
      <c r="B265" s="40" t="inlineStr">
        <is>
          <t>Organic</t>
        </is>
      </c>
      <c r="C265" s="40" t="inlineStr">
        <is>
          <t>Mobile</t>
        </is>
      </c>
      <c r="D265" s="40" t="inlineStr">
        <is>
          <t>United States</t>
        </is>
      </c>
      <c r="E265" s="68" t="n">
        <v>297</v>
      </c>
      <c r="F265" s="68" t="n">
        <v>240</v>
      </c>
      <c r="G265" s="69">
        <f>IF(OR(F265="",E265="",E265=0,F265=0),"",F265-E265)</f>
        <v/>
      </c>
      <c r="H265" s="42">
        <f>IF(OR(F265="",E265="",E265=0,F265=0),"",F265/E265-1)</f>
        <v/>
      </c>
      <c r="I265" s="68" t="n">
        <v>131</v>
      </c>
      <c r="J265" s="68" t="n">
        <v>134</v>
      </c>
      <c r="K265" s="69">
        <f>IF(OR(J265="",I265="",I265=0,J265=0),"",J265-I265)</f>
        <v/>
      </c>
      <c r="L265" s="42">
        <f>IF(OR(J265="",I265="",I265=0,J265=0),"",J265/I265-1)</f>
        <v/>
      </c>
      <c r="M265" s="43">
        <f>IF(OR(I265="",E265="",E265=0),"",I265/E265)</f>
        <v/>
      </c>
      <c r="N265" s="43">
        <f>IF(OR(J265="",F265="",F265=0),"",J265/F265)</f>
        <v/>
      </c>
      <c r="O265" s="44">
        <f>IF(OR(N265="",M265=""),"",(N265-M265)*100)</f>
        <v/>
      </c>
      <c r="P265" s="70" t="n"/>
      <c r="Q265" s="70" t="n"/>
      <c r="R265" s="69">
        <f>IF(OR(Q265="",P265="",P265=0,Q265=0),"",Q265-P265)</f>
        <v/>
      </c>
      <c r="S265" s="42">
        <f>IF(OR(Q265="",P265="",P265=0,Q265=0),"",Q265/P265-1)</f>
        <v/>
      </c>
      <c r="T265" s="43">
        <f>IF(OR(P265="",E265="",E265=0),"",P265/E265)</f>
        <v/>
      </c>
      <c r="U265" s="43">
        <f>IF(OR(Q265="",F265="",F265=0),"",Q265/F265)</f>
        <v/>
      </c>
      <c r="V265" s="44">
        <f>IF(OR(U265="",T265=""),"",(U265-T265)*100)</f>
        <v/>
      </c>
      <c r="W265" s="68" t="n">
        <v>29</v>
      </c>
      <c r="X265" s="68" t="n">
        <v>34</v>
      </c>
      <c r="Y265" s="69">
        <f>IF(OR(X265="",W265="",W265=0,X265=0),"",X265-W265)</f>
        <v/>
      </c>
      <c r="Z265" s="42">
        <f>IF(OR(X265="",W265="",W265=0,X265=0),"",X265/W265-1)</f>
        <v/>
      </c>
      <c r="AA265" s="43">
        <f>IF(OR(W265="",P265="",P265=0),"",W265/P265)</f>
        <v/>
      </c>
      <c r="AB265" s="43">
        <f>IF(OR(X265="",Q265="",Q265=0),"",X265/Q265)</f>
        <v/>
      </c>
      <c r="AC265" s="44">
        <f>IF(OR(AB265="",AA265=""),"",(AB265-AA265)*100)</f>
        <v/>
      </c>
      <c r="AD265" s="68" t="n">
        <v>29</v>
      </c>
      <c r="AE265" s="68" t="n">
        <v>28</v>
      </c>
      <c r="AF265" s="69">
        <f>IF(OR(AE265="",AD265="",AD265=0,AE265=0),"",AE265-AD265)</f>
        <v/>
      </c>
      <c r="AG265" s="42">
        <f>IF(OR(AE265="",AD265="",AD265=0,AE265=0),"",AE265/AD265-1)</f>
        <v/>
      </c>
      <c r="AH265" s="43">
        <f>IF(OR(AD265="",W265="",W265=0),"",AD265/W265)</f>
        <v/>
      </c>
      <c r="AI265" s="43">
        <f>IF(OR(AE265="",X265="",X265=0),"",AE265/X265)</f>
        <v/>
      </c>
      <c r="AJ265" s="44">
        <f>IF(OR(AI265="",AH265=""),"",(AI265-AH265)*100)</f>
        <v/>
      </c>
      <c r="AK265" s="68" t="n">
        <v>6</v>
      </c>
      <c r="AL265" s="68" t="n">
        <v>9</v>
      </c>
      <c r="AM265" s="69">
        <f>IF(OR(AL265="",AK265="",AK265=0,AL265=0),"",AL265-AK265)</f>
        <v/>
      </c>
      <c r="AN265" s="42">
        <f>IF(OR(AL265="",AK265="",AK265=0,AL265=0),"",AL265/AK265-1)</f>
        <v/>
      </c>
      <c r="AO265" s="43">
        <f>IF(OR(AK265="",AD265="",AD265=0),"",AK265/AD265)</f>
        <v/>
      </c>
      <c r="AP265" s="43">
        <f>IF(OR(AL265="",AE265="",AE265=0),"",AL265/AE265)</f>
        <v/>
      </c>
      <c r="AQ265" s="44">
        <f>IF(OR(AP265="",AO265=""),"",(AP265-AO265)*100)</f>
        <v/>
      </c>
      <c r="AR265" s="68" t="n">
        <v>2</v>
      </c>
      <c r="AS265" s="68" t="n">
        <v>8</v>
      </c>
      <c r="AT265" s="69">
        <f>IF(OR(AS265="",AR265="",AR265=0,AS265=0),"",AS265-AR265)</f>
        <v/>
      </c>
      <c r="AU265" s="42">
        <f>IF(OR(AS265="",AR265="",AR265=0,AS265=0),"",AS265/AR265-1)</f>
        <v/>
      </c>
      <c r="AV265" s="43">
        <f>IF(OR(AR265="",AK265="",AK265=0),"",AR265/AK265)</f>
        <v/>
      </c>
      <c r="AW265" s="43">
        <f>IF(OR(AS265="",AL265="",AL265=0),"",AS265/AL265)</f>
        <v/>
      </c>
      <c r="AX265" s="44">
        <f>IF(OR(AW265="",AV265=""),"",(AW265-AV265)*100)</f>
        <v/>
      </c>
      <c r="AY265" s="45">
        <f>IF(OR(AR265="",P265="",P265=0),"",AR265/P265)</f>
        <v/>
      </c>
      <c r="AZ265" s="45">
        <f>IF(OR(AS265="",Q265="",Q265=0),"",AS265/Q265)</f>
        <v/>
      </c>
      <c r="BA265" s="44">
        <f>IF(OR(AZ265="",AY265=""),"",(AZ265-AY265)*100)</f>
        <v/>
      </c>
      <c r="BB265" s="45">
        <f>IF(OR(AR265="",E265="",E265=0),"",AR265/E265)</f>
        <v/>
      </c>
      <c r="BC265" s="45">
        <f>IF(OR(AS265="",F265="",F265=0),"",AS265/F265)</f>
        <v/>
      </c>
      <c r="BD265" s="44">
        <f>IF(OR(BC265="",BB265=""),"",(BC265-BB265)*100)</f>
        <v/>
      </c>
      <c r="BE265" s="40">
        <f>IF(AND(F265&lt;&gt;"",E265&lt;&gt;""),"Both years",IF(F265&lt;&gt;"","1-23Aug26 rows only","1-23Aug25 rows only"))</f>
        <v/>
      </c>
    </row>
    <row r="266">
      <c r="A266" s="56" t="inlineStr">
        <is>
          <t>Airport page</t>
        </is>
      </c>
      <c r="B266" s="56" t="inlineStr">
        <is>
          <t>Organic</t>
        </is>
      </c>
      <c r="C266" s="56" t="inlineStr">
        <is>
          <t>Mobile</t>
        </is>
      </c>
      <c r="D266" s="56" t="inlineStr">
        <is>
          <t>Türkiye</t>
        </is>
      </c>
      <c r="E266" s="68" t="n">
        <v>254</v>
      </c>
      <c r="F266" s="68" t="n">
        <v>238</v>
      </c>
      <c r="G266" s="69">
        <f>IF(OR(F266="",E266="",E266=0,F266=0),"",F266-E266)</f>
        <v/>
      </c>
      <c r="H266" s="42">
        <f>IF(OR(F266="",E266="",E266=0,F266=0),"",F266/E266-1)</f>
        <v/>
      </c>
      <c r="I266" s="70" t="n"/>
      <c r="J266" s="70" t="n"/>
      <c r="K266" s="69">
        <f>IF(OR(J266="",I266="",I266=0,J266=0),"",J266-I266)</f>
        <v/>
      </c>
      <c r="L266" s="42">
        <f>IF(OR(J266="",I266="",I266=0,J266=0),"",J266/I266-1)</f>
        <v/>
      </c>
      <c r="M266" s="43">
        <f>IF(OR(I266="",E266="",E266=0),"",I266/E266)</f>
        <v/>
      </c>
      <c r="N266" s="43">
        <f>IF(OR(J266="",F266="",F266=0),"",J266/F266)</f>
        <v/>
      </c>
      <c r="O266" s="44">
        <f>IF(OR(N266="",M266=""),"",(N266-M266)*100)</f>
        <v/>
      </c>
      <c r="P266" s="68" t="n">
        <v>141</v>
      </c>
      <c r="Q266" s="70" t="n"/>
      <c r="R266" s="69">
        <f>IF(OR(Q266="",P266="",P266=0,Q266=0),"",Q266-P266)</f>
        <v/>
      </c>
      <c r="S266" s="42">
        <f>IF(OR(Q266="",P266="",P266=0,Q266=0),"",Q266/P266-1)</f>
        <v/>
      </c>
      <c r="T266" s="43">
        <f>IF(OR(P266="",E266="",E266=0),"",P266/E266)</f>
        <v/>
      </c>
      <c r="U266" s="43">
        <f>IF(OR(Q266="",F266="",F266=0),"",Q266/F266)</f>
        <v/>
      </c>
      <c r="V266" s="44">
        <f>IF(OR(U266="",T266=""),"",(U266-T266)*100)</f>
        <v/>
      </c>
      <c r="W266" s="70" t="n"/>
      <c r="X266" s="70" t="n"/>
      <c r="Y266" s="69">
        <f>IF(OR(X266="",W266="",W266=0,X266=0),"",X266-W266)</f>
        <v/>
      </c>
      <c r="Z266" s="42">
        <f>IF(OR(X266="",W266="",W266=0,X266=0),"",X266/W266-1)</f>
        <v/>
      </c>
      <c r="AA266" s="43">
        <f>IF(OR(W266="",P266="",P266=0),"",W266/P266)</f>
        <v/>
      </c>
      <c r="AB266" s="43">
        <f>IF(OR(X266="",Q266="",Q266=0),"",X266/Q266)</f>
        <v/>
      </c>
      <c r="AC266" s="44">
        <f>IF(OR(AB266="",AA266=""),"",(AB266-AA266)*100)</f>
        <v/>
      </c>
      <c r="AD266" s="70" t="n"/>
      <c r="AE266" s="70" t="n"/>
      <c r="AF266" s="69">
        <f>IF(OR(AE266="",AD266="",AD266=0,AE266=0),"",AE266-AD266)</f>
        <v/>
      </c>
      <c r="AG266" s="42">
        <f>IF(OR(AE266="",AD266="",AD266=0,AE266=0),"",AE266/AD266-1)</f>
        <v/>
      </c>
      <c r="AH266" s="43">
        <f>IF(OR(AD266="",W266="",W266=0),"",AD266/W266)</f>
        <v/>
      </c>
      <c r="AI266" s="43">
        <f>IF(OR(AE266="",X266="",X266=0),"",AE266/X266)</f>
        <v/>
      </c>
      <c r="AJ266" s="44">
        <f>IF(OR(AI266="",AH266=""),"",(AI266-AH266)*100)</f>
        <v/>
      </c>
      <c r="AK266" s="70" t="n"/>
      <c r="AL266" s="70" t="n"/>
      <c r="AM266" s="69">
        <f>IF(OR(AL266="",AK266="",AK266=0,AL266=0),"",AL266-AK266)</f>
        <v/>
      </c>
      <c r="AN266" s="42">
        <f>IF(OR(AL266="",AK266="",AK266=0,AL266=0),"",AL266/AK266-1)</f>
        <v/>
      </c>
      <c r="AO266" s="43">
        <f>IF(OR(AK266="",AD266="",AD266=0),"",AK266/AD266)</f>
        <v/>
      </c>
      <c r="AP266" s="43">
        <f>IF(OR(AL266="",AE266="",AE266=0),"",AL266/AE266)</f>
        <v/>
      </c>
      <c r="AQ266" s="44">
        <f>IF(OR(AP266="",AO266=""),"",(AP266-AO266)*100)</f>
        <v/>
      </c>
      <c r="AR266" s="70" t="n"/>
      <c r="AS266" s="70" t="n"/>
      <c r="AT266" s="69">
        <f>IF(OR(AS266="",AR266="",AR266=0,AS266=0),"",AS266-AR266)</f>
        <v/>
      </c>
      <c r="AU266" s="42">
        <f>IF(OR(AS266="",AR266="",AR266=0,AS266=0),"",AS266/AR266-1)</f>
        <v/>
      </c>
      <c r="AV266" s="43">
        <f>IF(OR(AR266="",AK266="",AK266=0),"",AR266/AK266)</f>
        <v/>
      </c>
      <c r="AW266" s="43">
        <f>IF(OR(AS266="",AL266="",AL266=0),"",AS266/AL266)</f>
        <v/>
      </c>
      <c r="AX266" s="44">
        <f>IF(OR(AW266="",AV266=""),"",(AW266-AV266)*100)</f>
        <v/>
      </c>
      <c r="AY266" s="45">
        <f>IF(OR(AR266="",P266="",P266=0),"",AR266/P266)</f>
        <v/>
      </c>
      <c r="AZ266" s="45">
        <f>IF(OR(AS266="",Q266="",Q266=0),"",AS266/Q266)</f>
        <v/>
      </c>
      <c r="BA266" s="44">
        <f>IF(OR(AZ266="",AY266=""),"",(AZ266-AY266)*100)</f>
        <v/>
      </c>
      <c r="BB266" s="45">
        <f>IF(OR(AR266="",E266="",E266=0),"",AR266/E266)</f>
        <v/>
      </c>
      <c r="BC266" s="45">
        <f>IF(OR(AS266="",F266="",F266=0),"",AS266/F266)</f>
        <v/>
      </c>
      <c r="BD266" s="44">
        <f>IF(OR(BC266="",BB266=""),"",(BC266-BB266)*100)</f>
        <v/>
      </c>
      <c r="BE266" s="40">
        <f>IF(AND(F266&lt;&gt;"",E266&lt;&gt;""),"Both years",IF(F266&lt;&gt;"","1-23Aug26 rows only","1-23Aug25 rows only"))</f>
        <v/>
      </c>
    </row>
    <row r="267">
      <c r="A267" s="40" t="inlineStr">
        <is>
          <t>Airport page</t>
        </is>
      </c>
      <c r="B267" s="40" t="inlineStr">
        <is>
          <t>Organic</t>
        </is>
      </c>
      <c r="C267" s="40" t="inlineStr">
        <is>
          <t>Mobile</t>
        </is>
      </c>
      <c r="D267" s="40" t="inlineStr">
        <is>
          <t>Portugal</t>
        </is>
      </c>
      <c r="E267" s="68" t="n">
        <v>250</v>
      </c>
      <c r="F267" s="68" t="n">
        <v>235</v>
      </c>
      <c r="G267" s="69">
        <f>IF(OR(F267="",E267="",E267=0,F267=0),"",F267-E267)</f>
        <v/>
      </c>
      <c r="H267" s="42">
        <f>IF(OR(F267="",E267="",E267=0,F267=0),"",F267/E267-1)</f>
        <v/>
      </c>
      <c r="I267" s="70" t="n"/>
      <c r="J267" s="70" t="n"/>
      <c r="K267" s="69">
        <f>IF(OR(J267="",I267="",I267=0,J267=0),"",J267-I267)</f>
        <v/>
      </c>
      <c r="L267" s="42">
        <f>IF(OR(J267="",I267="",I267=0,J267=0),"",J267/I267-1)</f>
        <v/>
      </c>
      <c r="M267" s="43">
        <f>IF(OR(I267="",E267="",E267=0),"",I267/E267)</f>
        <v/>
      </c>
      <c r="N267" s="43">
        <f>IF(OR(J267="",F267="",F267=0),"",J267/F267)</f>
        <v/>
      </c>
      <c r="O267" s="44">
        <f>IF(OR(N267="",M267=""),"",(N267-M267)*100)</f>
        <v/>
      </c>
      <c r="P267" s="68" t="n">
        <v>150</v>
      </c>
      <c r="Q267" s="68" t="n">
        <v>147</v>
      </c>
      <c r="R267" s="69">
        <f>IF(OR(Q267="",P267="",P267=0,Q267=0),"",Q267-P267)</f>
        <v/>
      </c>
      <c r="S267" s="42">
        <f>IF(OR(Q267="",P267="",P267=0,Q267=0),"",Q267/P267-1)</f>
        <v/>
      </c>
      <c r="T267" s="43">
        <f>IF(OR(P267="",E267="",E267=0),"",P267/E267)</f>
        <v/>
      </c>
      <c r="U267" s="43">
        <f>IF(OR(Q267="",F267="",F267=0),"",Q267/F267)</f>
        <v/>
      </c>
      <c r="V267" s="44">
        <f>IF(OR(U267="",T267=""),"",(U267-T267)*100)</f>
        <v/>
      </c>
      <c r="W267" s="70" t="n"/>
      <c r="X267" s="70" t="n"/>
      <c r="Y267" s="69">
        <f>IF(OR(X267="",W267="",W267=0,X267=0),"",X267-W267)</f>
        <v/>
      </c>
      <c r="Z267" s="42">
        <f>IF(OR(X267="",W267="",W267=0,X267=0),"",X267/W267-1)</f>
        <v/>
      </c>
      <c r="AA267" s="43">
        <f>IF(OR(W267="",P267="",P267=0),"",W267/P267)</f>
        <v/>
      </c>
      <c r="AB267" s="43">
        <f>IF(OR(X267="",Q267="",Q267=0),"",X267/Q267)</f>
        <v/>
      </c>
      <c r="AC267" s="44">
        <f>IF(OR(AB267="",AA267=""),"",(AB267-AA267)*100)</f>
        <v/>
      </c>
      <c r="AD267" s="70" t="n"/>
      <c r="AE267" s="70" t="n"/>
      <c r="AF267" s="69">
        <f>IF(OR(AE267="",AD267="",AD267=0,AE267=0),"",AE267-AD267)</f>
        <v/>
      </c>
      <c r="AG267" s="42">
        <f>IF(OR(AE267="",AD267="",AD267=0,AE267=0),"",AE267/AD267-1)</f>
        <v/>
      </c>
      <c r="AH267" s="43">
        <f>IF(OR(AD267="",W267="",W267=0),"",AD267/W267)</f>
        <v/>
      </c>
      <c r="AI267" s="43">
        <f>IF(OR(AE267="",X267="",X267=0),"",AE267/X267)</f>
        <v/>
      </c>
      <c r="AJ267" s="44">
        <f>IF(OR(AI267="",AH267=""),"",(AI267-AH267)*100)</f>
        <v/>
      </c>
      <c r="AK267" s="70" t="n"/>
      <c r="AL267" s="70" t="n"/>
      <c r="AM267" s="69">
        <f>IF(OR(AL267="",AK267="",AK267=0,AL267=0),"",AL267-AK267)</f>
        <v/>
      </c>
      <c r="AN267" s="42">
        <f>IF(OR(AL267="",AK267="",AK267=0,AL267=0),"",AL267/AK267-1)</f>
        <v/>
      </c>
      <c r="AO267" s="43">
        <f>IF(OR(AK267="",AD267="",AD267=0),"",AK267/AD267)</f>
        <v/>
      </c>
      <c r="AP267" s="43">
        <f>IF(OR(AL267="",AE267="",AE267=0),"",AL267/AE267)</f>
        <v/>
      </c>
      <c r="AQ267" s="44">
        <f>IF(OR(AP267="",AO267=""),"",(AP267-AO267)*100)</f>
        <v/>
      </c>
      <c r="AR267" s="70" t="n"/>
      <c r="AS267" s="70" t="n"/>
      <c r="AT267" s="69">
        <f>IF(OR(AS267="",AR267="",AR267=0,AS267=0),"",AS267-AR267)</f>
        <v/>
      </c>
      <c r="AU267" s="42">
        <f>IF(OR(AS267="",AR267="",AR267=0,AS267=0),"",AS267/AR267-1)</f>
        <v/>
      </c>
      <c r="AV267" s="43">
        <f>IF(OR(AR267="",AK267="",AK267=0),"",AR267/AK267)</f>
        <v/>
      </c>
      <c r="AW267" s="43">
        <f>IF(OR(AS267="",AL267="",AL267=0),"",AS267/AL267)</f>
        <v/>
      </c>
      <c r="AX267" s="44">
        <f>IF(OR(AW267="",AV267=""),"",(AW267-AV267)*100)</f>
        <v/>
      </c>
      <c r="AY267" s="45">
        <f>IF(OR(AR267="",P267="",P267=0),"",AR267/P267)</f>
        <v/>
      </c>
      <c r="AZ267" s="45">
        <f>IF(OR(AS267="",Q267="",Q267=0),"",AS267/Q267)</f>
        <v/>
      </c>
      <c r="BA267" s="44">
        <f>IF(OR(AZ267="",AY267=""),"",(AZ267-AY267)*100)</f>
        <v/>
      </c>
      <c r="BB267" s="45">
        <f>IF(OR(AR267="",E267="",E267=0),"",AR267/E267)</f>
        <v/>
      </c>
      <c r="BC267" s="45">
        <f>IF(OR(AS267="",F267="",F267=0),"",AS267/F267)</f>
        <v/>
      </c>
      <c r="BD267" s="44">
        <f>IF(OR(BC267="",BB267=""),"",(BC267-BB267)*100)</f>
        <v/>
      </c>
      <c r="BE267" s="40">
        <f>IF(AND(F267&lt;&gt;"",E267&lt;&gt;""),"Both years",IF(F267&lt;&gt;"","1-23Aug26 rows only","1-23Aug25 rows only"))</f>
        <v/>
      </c>
    </row>
    <row r="268">
      <c r="A268" s="56" t="inlineStr">
        <is>
          <t>Airport page</t>
        </is>
      </c>
      <c r="B268" s="56" t="inlineStr">
        <is>
          <t>Organic</t>
        </is>
      </c>
      <c r="C268" s="56" t="inlineStr">
        <is>
          <t>Mobile</t>
        </is>
      </c>
      <c r="D268" s="56" t="inlineStr">
        <is>
          <t>Finland</t>
        </is>
      </c>
      <c r="E268" s="68" t="n">
        <v>376</v>
      </c>
      <c r="F268" s="68" t="n">
        <v>220</v>
      </c>
      <c r="G268" s="69">
        <f>IF(OR(F268="",E268="",E268=0,F268=0),"",F268-E268)</f>
        <v/>
      </c>
      <c r="H268" s="42">
        <f>IF(OR(F268="",E268="",E268=0,F268=0),"",F268/E268-1)</f>
        <v/>
      </c>
      <c r="I268" s="68" t="n">
        <v>238</v>
      </c>
      <c r="J268" s="68" t="n">
        <v>147</v>
      </c>
      <c r="K268" s="69">
        <f>IF(OR(J268="",I268="",I268=0,J268=0),"",J268-I268)</f>
        <v/>
      </c>
      <c r="L268" s="42">
        <f>IF(OR(J268="",I268="",I268=0,J268=0),"",J268/I268-1)</f>
        <v/>
      </c>
      <c r="M268" s="43">
        <f>IF(OR(I268="",E268="",E268=0),"",I268/E268)</f>
        <v/>
      </c>
      <c r="N268" s="43">
        <f>IF(OR(J268="",F268="",F268=0),"",J268/F268)</f>
        <v/>
      </c>
      <c r="O268" s="44">
        <f>IF(OR(N268="",M268=""),"",(N268-M268)*100)</f>
        <v/>
      </c>
      <c r="P268" s="68" t="n">
        <v>227</v>
      </c>
      <c r="Q268" s="68" t="n">
        <v>134</v>
      </c>
      <c r="R268" s="69">
        <f>IF(OR(Q268="",P268="",P268=0,Q268=0),"",Q268-P268)</f>
        <v/>
      </c>
      <c r="S268" s="42">
        <f>IF(OR(Q268="",P268="",P268=0,Q268=0),"",Q268/P268-1)</f>
        <v/>
      </c>
      <c r="T268" s="43">
        <f>IF(OR(P268="",E268="",E268=0),"",P268/E268)</f>
        <v/>
      </c>
      <c r="U268" s="43">
        <f>IF(OR(Q268="",F268="",F268=0),"",Q268/F268)</f>
        <v/>
      </c>
      <c r="V268" s="44">
        <f>IF(OR(U268="",T268=""),"",(U268-T268)*100)</f>
        <v/>
      </c>
      <c r="W268" s="68" t="n">
        <v>47</v>
      </c>
      <c r="X268" s="68" t="n">
        <v>38</v>
      </c>
      <c r="Y268" s="69">
        <f>IF(OR(X268="",W268="",W268=0,X268=0),"",X268-W268)</f>
        <v/>
      </c>
      <c r="Z268" s="42">
        <f>IF(OR(X268="",W268="",W268=0,X268=0),"",X268/W268-1)</f>
        <v/>
      </c>
      <c r="AA268" s="43">
        <f>IF(OR(W268="",P268="",P268=0),"",W268/P268)</f>
        <v/>
      </c>
      <c r="AB268" s="43">
        <f>IF(OR(X268="",Q268="",Q268=0),"",X268/Q268)</f>
        <v/>
      </c>
      <c r="AC268" s="44">
        <f>IF(OR(AB268="",AA268=""),"",(AB268-AA268)*100)</f>
        <v/>
      </c>
      <c r="AD268" s="68" t="n">
        <v>29</v>
      </c>
      <c r="AE268" s="68" t="n">
        <v>27</v>
      </c>
      <c r="AF268" s="69">
        <f>IF(OR(AE268="",AD268="",AD268=0,AE268=0),"",AE268-AD268)</f>
        <v/>
      </c>
      <c r="AG268" s="42">
        <f>IF(OR(AE268="",AD268="",AD268=0,AE268=0),"",AE268/AD268-1)</f>
        <v/>
      </c>
      <c r="AH268" s="43">
        <f>IF(OR(AD268="",W268="",W268=0),"",AD268/W268)</f>
        <v/>
      </c>
      <c r="AI268" s="43">
        <f>IF(OR(AE268="",X268="",X268=0),"",AE268/X268)</f>
        <v/>
      </c>
      <c r="AJ268" s="44">
        <f>IF(OR(AI268="",AH268=""),"",(AI268-AH268)*100)</f>
        <v/>
      </c>
      <c r="AK268" s="68" t="n">
        <v>10</v>
      </c>
      <c r="AL268" s="68" t="n">
        <v>9</v>
      </c>
      <c r="AM268" s="69">
        <f>IF(OR(AL268="",AK268="",AK268=0,AL268=0),"",AL268-AK268)</f>
        <v/>
      </c>
      <c r="AN268" s="42">
        <f>IF(OR(AL268="",AK268="",AK268=0,AL268=0),"",AL268/AK268-1)</f>
        <v/>
      </c>
      <c r="AO268" s="43">
        <f>IF(OR(AK268="",AD268="",AD268=0),"",AK268/AD268)</f>
        <v/>
      </c>
      <c r="AP268" s="43">
        <f>IF(OR(AL268="",AE268="",AE268=0),"",AL268/AE268)</f>
        <v/>
      </c>
      <c r="AQ268" s="44">
        <f>IF(OR(AP268="",AO268=""),"",(AP268-AO268)*100)</f>
        <v/>
      </c>
      <c r="AR268" s="68" t="n">
        <v>7</v>
      </c>
      <c r="AS268" s="68" t="n">
        <v>6</v>
      </c>
      <c r="AT268" s="69">
        <f>IF(OR(AS268="",AR268="",AR268=0,AS268=0),"",AS268-AR268)</f>
        <v/>
      </c>
      <c r="AU268" s="42">
        <f>IF(OR(AS268="",AR268="",AR268=0,AS268=0),"",AS268/AR268-1)</f>
        <v/>
      </c>
      <c r="AV268" s="43">
        <f>IF(OR(AR268="",AK268="",AK268=0),"",AR268/AK268)</f>
        <v/>
      </c>
      <c r="AW268" s="43">
        <f>IF(OR(AS268="",AL268="",AL268=0),"",AS268/AL268)</f>
        <v/>
      </c>
      <c r="AX268" s="44">
        <f>IF(OR(AW268="",AV268=""),"",(AW268-AV268)*100)</f>
        <v/>
      </c>
      <c r="AY268" s="45">
        <f>IF(OR(AR268="",P268="",P268=0),"",AR268/P268)</f>
        <v/>
      </c>
      <c r="AZ268" s="45">
        <f>IF(OR(AS268="",Q268="",Q268=0),"",AS268/Q268)</f>
        <v/>
      </c>
      <c r="BA268" s="44">
        <f>IF(OR(AZ268="",AY268=""),"",(AZ268-AY268)*100)</f>
        <v/>
      </c>
      <c r="BB268" s="45">
        <f>IF(OR(AR268="",E268="",E268=0),"",AR268/E268)</f>
        <v/>
      </c>
      <c r="BC268" s="45">
        <f>IF(OR(AS268="",F268="",F268=0),"",AS268/F268)</f>
        <v/>
      </c>
      <c r="BD268" s="44">
        <f>IF(OR(BC268="",BB268=""),"",(BC268-BB268)*100)</f>
        <v/>
      </c>
      <c r="BE268" s="40">
        <f>IF(AND(F268&lt;&gt;"",E268&lt;&gt;""),"Both years",IF(F268&lt;&gt;"","1-23Aug26 rows only","1-23Aug25 rows only"))</f>
        <v/>
      </c>
    </row>
    <row r="269">
      <c r="A269" s="40" t="inlineStr">
        <is>
          <t>Airport page</t>
        </is>
      </c>
      <c r="B269" s="40" t="inlineStr">
        <is>
          <t>Organic</t>
        </is>
      </c>
      <c r="C269" s="40" t="inlineStr">
        <is>
          <t>Mobile</t>
        </is>
      </c>
      <c r="D269" s="40" t="inlineStr">
        <is>
          <t>Austria</t>
        </is>
      </c>
      <c r="E269" s="68" t="n">
        <v>212</v>
      </c>
      <c r="F269" s="70" t="n"/>
      <c r="G269" s="69">
        <f>IF(OR(F269="",E269="",E269=0,F269=0),"",F269-E269)</f>
        <v/>
      </c>
      <c r="H269" s="42">
        <f>IF(OR(F269="",E269="",E269=0,F269=0),"",F269/E269-1)</f>
        <v/>
      </c>
      <c r="I269" s="70" t="n"/>
      <c r="J269" s="70" t="n"/>
      <c r="K269" s="69">
        <f>IF(OR(J269="",I269="",I269=0,J269=0),"",J269-I269)</f>
        <v/>
      </c>
      <c r="L269" s="42">
        <f>IF(OR(J269="",I269="",I269=0,J269=0),"",J269/I269-1)</f>
        <v/>
      </c>
      <c r="M269" s="43">
        <f>IF(OR(I269="",E269="",E269=0),"",I269/E269)</f>
        <v/>
      </c>
      <c r="N269" s="43">
        <f>IF(OR(J269="",F269="",F269=0),"",J269/F269)</f>
        <v/>
      </c>
      <c r="O269" s="44">
        <f>IF(OR(N269="",M269=""),"",(N269-M269)*100)</f>
        <v/>
      </c>
      <c r="P269" s="70" t="n"/>
      <c r="Q269" s="70" t="n"/>
      <c r="R269" s="69">
        <f>IF(OR(Q269="",P269="",P269=0,Q269=0),"",Q269-P269)</f>
        <v/>
      </c>
      <c r="S269" s="42">
        <f>IF(OR(Q269="",P269="",P269=0,Q269=0),"",Q269/P269-1)</f>
        <v/>
      </c>
      <c r="T269" s="43">
        <f>IF(OR(P269="",E269="",E269=0),"",P269/E269)</f>
        <v/>
      </c>
      <c r="U269" s="43">
        <f>IF(OR(Q269="",F269="",F269=0),"",Q269/F269)</f>
        <v/>
      </c>
      <c r="V269" s="44">
        <f>IF(OR(U269="",T269=""),"",(U269-T269)*100)</f>
        <v/>
      </c>
      <c r="W269" s="70" t="n"/>
      <c r="X269" s="70" t="n"/>
      <c r="Y269" s="69">
        <f>IF(OR(X269="",W269="",W269=0,X269=0),"",X269-W269)</f>
        <v/>
      </c>
      <c r="Z269" s="42">
        <f>IF(OR(X269="",W269="",W269=0,X269=0),"",X269/W269-1)</f>
        <v/>
      </c>
      <c r="AA269" s="43">
        <f>IF(OR(W269="",P269="",P269=0),"",W269/P269)</f>
        <v/>
      </c>
      <c r="AB269" s="43">
        <f>IF(OR(X269="",Q269="",Q269=0),"",X269/Q269)</f>
        <v/>
      </c>
      <c r="AC269" s="44">
        <f>IF(OR(AB269="",AA269=""),"",(AB269-AA269)*100)</f>
        <v/>
      </c>
      <c r="AD269" s="70" t="n"/>
      <c r="AE269" s="70" t="n"/>
      <c r="AF269" s="69">
        <f>IF(OR(AE269="",AD269="",AD269=0,AE269=0),"",AE269-AD269)</f>
        <v/>
      </c>
      <c r="AG269" s="42">
        <f>IF(OR(AE269="",AD269="",AD269=0,AE269=0),"",AE269/AD269-1)</f>
        <v/>
      </c>
      <c r="AH269" s="43">
        <f>IF(OR(AD269="",W269="",W269=0),"",AD269/W269)</f>
        <v/>
      </c>
      <c r="AI269" s="43">
        <f>IF(OR(AE269="",X269="",X269=0),"",AE269/X269)</f>
        <v/>
      </c>
      <c r="AJ269" s="44">
        <f>IF(OR(AI269="",AH269=""),"",(AI269-AH269)*100)</f>
        <v/>
      </c>
      <c r="AK269" s="70" t="n"/>
      <c r="AL269" s="70" t="n"/>
      <c r="AM269" s="69">
        <f>IF(OR(AL269="",AK269="",AK269=0,AL269=0),"",AL269-AK269)</f>
        <v/>
      </c>
      <c r="AN269" s="42">
        <f>IF(OR(AL269="",AK269="",AK269=0,AL269=0),"",AL269/AK269-1)</f>
        <v/>
      </c>
      <c r="AO269" s="43">
        <f>IF(OR(AK269="",AD269="",AD269=0),"",AK269/AD269)</f>
        <v/>
      </c>
      <c r="AP269" s="43">
        <f>IF(OR(AL269="",AE269="",AE269=0),"",AL269/AE269)</f>
        <v/>
      </c>
      <c r="AQ269" s="44">
        <f>IF(OR(AP269="",AO269=""),"",(AP269-AO269)*100)</f>
        <v/>
      </c>
      <c r="AR269" s="70" t="n"/>
      <c r="AS269" s="70" t="n"/>
      <c r="AT269" s="69">
        <f>IF(OR(AS269="",AR269="",AR269=0,AS269=0),"",AS269-AR269)</f>
        <v/>
      </c>
      <c r="AU269" s="42">
        <f>IF(OR(AS269="",AR269="",AR269=0,AS269=0),"",AS269/AR269-1)</f>
        <v/>
      </c>
      <c r="AV269" s="43">
        <f>IF(OR(AR269="",AK269="",AK269=0),"",AR269/AK269)</f>
        <v/>
      </c>
      <c r="AW269" s="43">
        <f>IF(OR(AS269="",AL269="",AL269=0),"",AS269/AL269)</f>
        <v/>
      </c>
      <c r="AX269" s="44">
        <f>IF(OR(AW269="",AV269=""),"",(AW269-AV269)*100)</f>
        <v/>
      </c>
      <c r="AY269" s="45">
        <f>IF(OR(AR269="",P269="",P269=0),"",AR269/P269)</f>
        <v/>
      </c>
      <c r="AZ269" s="45">
        <f>IF(OR(AS269="",Q269="",Q269=0),"",AS269/Q269)</f>
        <v/>
      </c>
      <c r="BA269" s="44">
        <f>IF(OR(AZ269="",AY269=""),"",(AZ269-AY269)*100)</f>
        <v/>
      </c>
      <c r="BB269" s="45">
        <f>IF(OR(AR269="",E269="",E269=0),"",AR269/E269)</f>
        <v/>
      </c>
      <c r="BC269" s="45">
        <f>IF(OR(AS269="",F269="",F269=0),"",AS269/F269)</f>
        <v/>
      </c>
      <c r="BD269" s="44">
        <f>IF(OR(BC269="",BB269=""),"",(BC269-BB269)*100)</f>
        <v/>
      </c>
      <c r="BE269" s="40">
        <f>IF(AND(F269&lt;&gt;"",E269&lt;&gt;""),"Both years",IF(F269&lt;&gt;"","1-23Aug26 rows only","1-23Aug25 rows only"))</f>
        <v/>
      </c>
    </row>
    <row r="270">
      <c r="A270" s="56" t="inlineStr">
        <is>
          <t>Airport page</t>
        </is>
      </c>
      <c r="B270" s="56" t="inlineStr">
        <is>
          <t>Organic</t>
        </is>
      </c>
      <c r="C270" s="56" t="inlineStr">
        <is>
          <t>Mobile</t>
        </is>
      </c>
      <c r="D270" s="56" t="inlineStr">
        <is>
          <t>Norway</t>
        </is>
      </c>
      <c r="E270" s="70" t="n"/>
      <c r="F270" s="70" t="n"/>
      <c r="G270" s="69">
        <f>IF(OR(F270="",E270="",E270=0,F270=0),"",F270-E270)</f>
        <v/>
      </c>
      <c r="H270" s="42">
        <f>IF(OR(F270="",E270="",E270=0,F270=0),"",F270/E270-1)</f>
        <v/>
      </c>
      <c r="I270" s="68" t="n">
        <v>58</v>
      </c>
      <c r="J270" s="68" t="n">
        <v>96</v>
      </c>
      <c r="K270" s="69">
        <f>IF(OR(J270="",I270="",I270=0,J270=0),"",J270-I270)</f>
        <v/>
      </c>
      <c r="L270" s="42">
        <f>IF(OR(J270="",I270="",I270=0,J270=0),"",J270/I270-1)</f>
        <v/>
      </c>
      <c r="M270" s="43">
        <f>IF(OR(I270="",E270="",E270=0),"",I270/E270)</f>
        <v/>
      </c>
      <c r="N270" s="43">
        <f>IF(OR(J270="",F270="",F270=0),"",J270/F270)</f>
        <v/>
      </c>
      <c r="O270" s="44">
        <f>IF(OR(N270="",M270=""),"",(N270-M270)*100)</f>
        <v/>
      </c>
      <c r="P270" s="70" t="n"/>
      <c r="Q270" s="70" t="n"/>
      <c r="R270" s="69">
        <f>IF(OR(Q270="",P270="",P270=0,Q270=0),"",Q270-P270)</f>
        <v/>
      </c>
      <c r="S270" s="42">
        <f>IF(OR(Q270="",P270="",P270=0,Q270=0),"",Q270/P270-1)</f>
        <v/>
      </c>
      <c r="T270" s="43">
        <f>IF(OR(P270="",E270="",E270=0),"",P270/E270)</f>
        <v/>
      </c>
      <c r="U270" s="43">
        <f>IF(OR(Q270="",F270="",F270=0),"",Q270/F270)</f>
        <v/>
      </c>
      <c r="V270" s="44">
        <f>IF(OR(U270="",T270=""),"",(U270-T270)*100)</f>
        <v/>
      </c>
      <c r="W270" s="68" t="n">
        <v>11</v>
      </c>
      <c r="X270" s="68" t="n">
        <v>19</v>
      </c>
      <c r="Y270" s="69">
        <f>IF(OR(X270="",W270="",W270=0,X270=0),"",X270-W270)</f>
        <v/>
      </c>
      <c r="Z270" s="42">
        <f>IF(OR(X270="",W270="",W270=0,X270=0),"",X270/W270-1)</f>
        <v/>
      </c>
      <c r="AA270" s="43">
        <f>IF(OR(W270="",P270="",P270=0),"",W270/P270)</f>
        <v/>
      </c>
      <c r="AB270" s="43">
        <f>IF(OR(X270="",Q270="",Q270=0),"",X270/Q270)</f>
        <v/>
      </c>
      <c r="AC270" s="44">
        <f>IF(OR(AB270="",AA270=""),"",(AB270-AA270)*100)</f>
        <v/>
      </c>
      <c r="AD270" s="68" t="n">
        <v>9</v>
      </c>
      <c r="AE270" s="68" t="n">
        <v>13</v>
      </c>
      <c r="AF270" s="69">
        <f>IF(OR(AE270="",AD270="",AD270=0,AE270=0),"",AE270-AD270)</f>
        <v/>
      </c>
      <c r="AG270" s="42">
        <f>IF(OR(AE270="",AD270="",AD270=0,AE270=0),"",AE270/AD270-1)</f>
        <v/>
      </c>
      <c r="AH270" s="43">
        <f>IF(OR(AD270="",W270="",W270=0),"",AD270/W270)</f>
        <v/>
      </c>
      <c r="AI270" s="43">
        <f>IF(OR(AE270="",X270="",X270=0),"",AE270/X270)</f>
        <v/>
      </c>
      <c r="AJ270" s="44">
        <f>IF(OR(AI270="",AH270=""),"",(AI270-AH270)*100)</f>
        <v/>
      </c>
      <c r="AK270" s="68" t="n">
        <v>2</v>
      </c>
      <c r="AL270" s="68" t="n">
        <v>5</v>
      </c>
      <c r="AM270" s="69">
        <f>IF(OR(AL270="",AK270="",AK270=0,AL270=0),"",AL270-AK270)</f>
        <v/>
      </c>
      <c r="AN270" s="42">
        <f>IF(OR(AL270="",AK270="",AK270=0,AL270=0),"",AL270/AK270-1)</f>
        <v/>
      </c>
      <c r="AO270" s="43">
        <f>IF(OR(AK270="",AD270="",AD270=0),"",AK270/AD270)</f>
        <v/>
      </c>
      <c r="AP270" s="43">
        <f>IF(OR(AL270="",AE270="",AE270=0),"",AL270/AE270)</f>
        <v/>
      </c>
      <c r="AQ270" s="44">
        <f>IF(OR(AP270="",AO270=""),"",(AP270-AO270)*100)</f>
        <v/>
      </c>
      <c r="AR270" s="68" t="n">
        <v>2</v>
      </c>
      <c r="AS270" s="68" t="n">
        <v>3</v>
      </c>
      <c r="AT270" s="69">
        <f>IF(OR(AS270="",AR270="",AR270=0,AS270=0),"",AS270-AR270)</f>
        <v/>
      </c>
      <c r="AU270" s="42">
        <f>IF(OR(AS270="",AR270="",AR270=0,AS270=0),"",AS270/AR270-1)</f>
        <v/>
      </c>
      <c r="AV270" s="43">
        <f>IF(OR(AR270="",AK270="",AK270=0),"",AR270/AK270)</f>
        <v/>
      </c>
      <c r="AW270" s="43">
        <f>IF(OR(AS270="",AL270="",AL270=0),"",AS270/AL270)</f>
        <v/>
      </c>
      <c r="AX270" s="44">
        <f>IF(OR(AW270="",AV270=""),"",(AW270-AV270)*100)</f>
        <v/>
      </c>
      <c r="AY270" s="45">
        <f>IF(OR(AR270="",P270="",P270=0),"",AR270/P270)</f>
        <v/>
      </c>
      <c r="AZ270" s="45">
        <f>IF(OR(AS270="",Q270="",Q270=0),"",AS270/Q270)</f>
        <v/>
      </c>
      <c r="BA270" s="44">
        <f>IF(OR(AZ270="",AY270=""),"",(AZ270-AY270)*100)</f>
        <v/>
      </c>
      <c r="BB270" s="45">
        <f>IF(OR(AR270="",E270="",E270=0),"",AR270/E270)</f>
        <v/>
      </c>
      <c r="BC270" s="45">
        <f>IF(OR(AS270="",F270="",F270=0),"",AS270/F270)</f>
        <v/>
      </c>
      <c r="BD270" s="44">
        <f>IF(OR(BC270="",BB270=""),"",(BC270-BB270)*100)</f>
        <v/>
      </c>
      <c r="BE270" s="40">
        <f>IF(AND(F270&lt;&gt;"",E270&lt;&gt;""),"Both years",IF(F270&lt;&gt;"","1-23Aug26 rows only","1-23Aug25 rows only"))</f>
        <v/>
      </c>
    </row>
    <row r="271">
      <c r="A271" s="40" t="inlineStr">
        <is>
          <t>Airport page</t>
        </is>
      </c>
      <c r="B271" s="40" t="inlineStr">
        <is>
          <t>Organic</t>
        </is>
      </c>
      <c r="C271" s="40" t="inlineStr">
        <is>
          <t>Desktop</t>
        </is>
      </c>
      <c r="D271" s="40" t="inlineStr">
        <is>
          <t>United Kingdom</t>
        </is>
      </c>
      <c r="E271" s="68" t="n">
        <v>1996</v>
      </c>
      <c r="F271" s="68" t="n">
        <v>1734</v>
      </c>
      <c r="G271" s="69">
        <f>IF(OR(F271="",E271="",E271=0,F271=0),"",F271-E271)</f>
        <v/>
      </c>
      <c r="H271" s="42">
        <f>IF(OR(F271="",E271="",E271=0,F271=0),"",F271/E271-1)</f>
        <v/>
      </c>
      <c r="I271" s="68" t="n">
        <v>1393</v>
      </c>
      <c r="J271" s="68" t="n">
        <v>1217</v>
      </c>
      <c r="K271" s="69">
        <f>IF(OR(J271="",I271="",I271=0,J271=0),"",J271-I271)</f>
        <v/>
      </c>
      <c r="L271" s="42">
        <f>IF(OR(J271="",I271="",I271=0,J271=0),"",J271/I271-1)</f>
        <v/>
      </c>
      <c r="M271" s="43">
        <f>IF(OR(I271="",E271="",E271=0),"",I271/E271)</f>
        <v/>
      </c>
      <c r="N271" s="43">
        <f>IF(OR(J271="",F271="",F271=0),"",J271/F271)</f>
        <v/>
      </c>
      <c r="O271" s="44">
        <f>IF(OR(N271="",M271=""),"",(N271-M271)*100)</f>
        <v/>
      </c>
      <c r="P271" s="68" t="n">
        <v>1285</v>
      </c>
      <c r="Q271" s="68" t="n">
        <v>1059</v>
      </c>
      <c r="R271" s="69">
        <f>IF(OR(Q271="",P271="",P271=0,Q271=0),"",Q271-P271)</f>
        <v/>
      </c>
      <c r="S271" s="42">
        <f>IF(OR(Q271="",P271="",P271=0,Q271=0),"",Q271/P271-1)</f>
        <v/>
      </c>
      <c r="T271" s="43">
        <f>IF(OR(P271="",E271="",E271=0),"",P271/E271)</f>
        <v/>
      </c>
      <c r="U271" s="43">
        <f>IF(OR(Q271="",F271="",F271=0),"",Q271/F271)</f>
        <v/>
      </c>
      <c r="V271" s="44">
        <f>IF(OR(U271="",T271=""),"",(U271-T271)*100)</f>
        <v/>
      </c>
      <c r="W271" s="68" t="n">
        <v>320</v>
      </c>
      <c r="X271" s="68" t="n">
        <v>232</v>
      </c>
      <c r="Y271" s="69">
        <f>IF(OR(X271="",W271="",W271=0,X271=0),"",X271-W271)</f>
        <v/>
      </c>
      <c r="Z271" s="42">
        <f>IF(OR(X271="",W271="",W271=0,X271=0),"",X271/W271-1)</f>
        <v/>
      </c>
      <c r="AA271" s="43">
        <f>IF(OR(W271="",P271="",P271=0),"",W271/P271)</f>
        <v/>
      </c>
      <c r="AB271" s="43">
        <f>IF(OR(X271="",Q271="",Q271=0),"",X271/Q271)</f>
        <v/>
      </c>
      <c r="AC271" s="44">
        <f>IF(OR(AB271="",AA271=""),"",(AB271-AA271)*100)</f>
        <v/>
      </c>
      <c r="AD271" s="68" t="n">
        <v>267</v>
      </c>
      <c r="AE271" s="68" t="n">
        <v>186</v>
      </c>
      <c r="AF271" s="69">
        <f>IF(OR(AE271="",AD271="",AD271=0,AE271=0),"",AE271-AD271)</f>
        <v/>
      </c>
      <c r="AG271" s="42">
        <f>IF(OR(AE271="",AD271="",AD271=0,AE271=0),"",AE271/AD271-1)</f>
        <v/>
      </c>
      <c r="AH271" s="43">
        <f>IF(OR(AD271="",W271="",W271=0),"",AD271/W271)</f>
        <v/>
      </c>
      <c r="AI271" s="43">
        <f>IF(OR(AE271="",X271="",X271=0),"",AE271/X271)</f>
        <v/>
      </c>
      <c r="AJ271" s="44">
        <f>IF(OR(AI271="",AH271=""),"",(AI271-AH271)*100)</f>
        <v/>
      </c>
      <c r="AK271" s="68" t="n">
        <v>138</v>
      </c>
      <c r="AL271" s="68" t="n">
        <v>98</v>
      </c>
      <c r="AM271" s="69">
        <f>IF(OR(AL271="",AK271="",AK271=0,AL271=0),"",AL271-AK271)</f>
        <v/>
      </c>
      <c r="AN271" s="42">
        <f>IF(OR(AL271="",AK271="",AK271=0,AL271=0),"",AL271/AK271-1)</f>
        <v/>
      </c>
      <c r="AO271" s="43">
        <f>IF(OR(AK271="",AD271="",AD271=0),"",AK271/AD271)</f>
        <v/>
      </c>
      <c r="AP271" s="43">
        <f>IF(OR(AL271="",AE271="",AE271=0),"",AL271/AE271)</f>
        <v/>
      </c>
      <c r="AQ271" s="44">
        <f>IF(OR(AP271="",AO271=""),"",(AP271-AO271)*100)</f>
        <v/>
      </c>
      <c r="AR271" s="68" t="n">
        <v>134</v>
      </c>
      <c r="AS271" s="68" t="n">
        <v>80</v>
      </c>
      <c r="AT271" s="69">
        <f>IF(OR(AS271="",AR271="",AR271=0,AS271=0),"",AS271-AR271)</f>
        <v/>
      </c>
      <c r="AU271" s="42">
        <f>IF(OR(AS271="",AR271="",AR271=0,AS271=0),"",AS271/AR271-1)</f>
        <v/>
      </c>
      <c r="AV271" s="43">
        <f>IF(OR(AR271="",AK271="",AK271=0),"",AR271/AK271)</f>
        <v/>
      </c>
      <c r="AW271" s="43">
        <f>IF(OR(AS271="",AL271="",AL271=0),"",AS271/AL271)</f>
        <v/>
      </c>
      <c r="AX271" s="44">
        <f>IF(OR(AW271="",AV271=""),"",(AW271-AV271)*100)</f>
        <v/>
      </c>
      <c r="AY271" s="45">
        <f>IF(OR(AR271="",P271="",P271=0),"",AR271/P271)</f>
        <v/>
      </c>
      <c r="AZ271" s="45">
        <f>IF(OR(AS271="",Q271="",Q271=0),"",AS271/Q271)</f>
        <v/>
      </c>
      <c r="BA271" s="44">
        <f>IF(OR(AZ271="",AY271=""),"",(AZ271-AY271)*100)</f>
        <v/>
      </c>
      <c r="BB271" s="45">
        <f>IF(OR(AR271="",E271="",E271=0),"",AR271/E271)</f>
        <v/>
      </c>
      <c r="BC271" s="45">
        <f>IF(OR(AS271="",F271="",F271=0),"",AS271/F271)</f>
        <v/>
      </c>
      <c r="BD271" s="44">
        <f>IF(OR(BC271="",BB271=""),"",(BC271-BB271)*100)</f>
        <v/>
      </c>
      <c r="BE271" s="40">
        <f>IF(AND(F271&lt;&gt;"",E271&lt;&gt;""),"Both years",IF(F271&lt;&gt;"","1-23Aug26 rows only","1-23Aug25 rows only"))</f>
        <v/>
      </c>
    </row>
    <row r="272">
      <c r="A272" s="56" t="inlineStr">
        <is>
          <t>Airport page</t>
        </is>
      </c>
      <c r="B272" s="56" t="inlineStr">
        <is>
          <t>Organic</t>
        </is>
      </c>
      <c r="C272" s="56" t="inlineStr">
        <is>
          <t>Desktop</t>
        </is>
      </c>
      <c r="D272" s="56" t="inlineStr">
        <is>
          <t>Germany</t>
        </is>
      </c>
      <c r="E272" s="68" t="n">
        <v>1323</v>
      </c>
      <c r="F272" s="68" t="n">
        <v>893</v>
      </c>
      <c r="G272" s="69">
        <f>IF(OR(F272="",E272="",E272=0,F272=0),"",F272-E272)</f>
        <v/>
      </c>
      <c r="H272" s="42">
        <f>IF(OR(F272="",E272="",E272=0,F272=0),"",F272/E272-1)</f>
        <v/>
      </c>
      <c r="I272" s="68" t="n">
        <v>922</v>
      </c>
      <c r="J272" s="68" t="n">
        <v>634</v>
      </c>
      <c r="K272" s="69">
        <f>IF(OR(J272="",I272="",I272=0,J272=0),"",J272-I272)</f>
        <v/>
      </c>
      <c r="L272" s="42">
        <f>IF(OR(J272="",I272="",I272=0,J272=0),"",J272/I272-1)</f>
        <v/>
      </c>
      <c r="M272" s="43">
        <f>IF(OR(I272="",E272="",E272=0),"",I272/E272)</f>
        <v/>
      </c>
      <c r="N272" s="43">
        <f>IF(OR(J272="",F272="",F272=0),"",J272/F272)</f>
        <v/>
      </c>
      <c r="O272" s="44">
        <f>IF(OR(N272="",M272=""),"",(N272-M272)*100)</f>
        <v/>
      </c>
      <c r="P272" s="68" t="n">
        <v>874</v>
      </c>
      <c r="Q272" s="68" t="n">
        <v>438</v>
      </c>
      <c r="R272" s="69">
        <f>IF(OR(Q272="",P272="",P272=0,Q272=0),"",Q272-P272)</f>
        <v/>
      </c>
      <c r="S272" s="42">
        <f>IF(OR(Q272="",P272="",P272=0,Q272=0),"",Q272/P272-1)</f>
        <v/>
      </c>
      <c r="T272" s="43">
        <f>IF(OR(P272="",E272="",E272=0),"",P272/E272)</f>
        <v/>
      </c>
      <c r="U272" s="43">
        <f>IF(OR(Q272="",F272="",F272=0),"",Q272/F272)</f>
        <v/>
      </c>
      <c r="V272" s="44">
        <f>IF(OR(U272="",T272=""),"",(U272-T272)*100)</f>
        <v/>
      </c>
      <c r="W272" s="68" t="n">
        <v>313</v>
      </c>
      <c r="X272" s="68" t="n">
        <v>122</v>
      </c>
      <c r="Y272" s="69">
        <f>IF(OR(X272="",W272="",W272=0,X272=0),"",X272-W272)</f>
        <v/>
      </c>
      <c r="Z272" s="42">
        <f>IF(OR(X272="",W272="",W272=0,X272=0),"",X272/W272-1)</f>
        <v/>
      </c>
      <c r="AA272" s="43">
        <f>IF(OR(W272="",P272="",P272=0),"",W272/P272)</f>
        <v/>
      </c>
      <c r="AB272" s="43">
        <f>IF(OR(X272="",Q272="",Q272=0),"",X272/Q272)</f>
        <v/>
      </c>
      <c r="AC272" s="44">
        <f>IF(OR(AB272="",AA272=""),"",(AB272-AA272)*100)</f>
        <v/>
      </c>
      <c r="AD272" s="68" t="n">
        <v>255</v>
      </c>
      <c r="AE272" s="68" t="n">
        <v>90</v>
      </c>
      <c r="AF272" s="69">
        <f>IF(OR(AE272="",AD272="",AD272=0,AE272=0),"",AE272-AD272)</f>
        <v/>
      </c>
      <c r="AG272" s="42">
        <f>IF(OR(AE272="",AD272="",AD272=0,AE272=0),"",AE272/AD272-1)</f>
        <v/>
      </c>
      <c r="AH272" s="43">
        <f>IF(OR(AD272="",W272="",W272=0),"",AD272/W272)</f>
        <v/>
      </c>
      <c r="AI272" s="43">
        <f>IF(OR(AE272="",X272="",X272=0),"",AE272/X272)</f>
        <v/>
      </c>
      <c r="AJ272" s="44">
        <f>IF(OR(AI272="",AH272=""),"",(AI272-AH272)*100)</f>
        <v/>
      </c>
      <c r="AK272" s="68" t="n">
        <v>88</v>
      </c>
      <c r="AL272" s="68" t="n">
        <v>25</v>
      </c>
      <c r="AM272" s="69">
        <f>IF(OR(AL272="",AK272="",AK272=0,AL272=0),"",AL272-AK272)</f>
        <v/>
      </c>
      <c r="AN272" s="42">
        <f>IF(OR(AL272="",AK272="",AK272=0,AL272=0),"",AL272/AK272-1)</f>
        <v/>
      </c>
      <c r="AO272" s="43">
        <f>IF(OR(AK272="",AD272="",AD272=0),"",AK272/AD272)</f>
        <v/>
      </c>
      <c r="AP272" s="43">
        <f>IF(OR(AL272="",AE272="",AE272=0),"",AL272/AE272)</f>
        <v/>
      </c>
      <c r="AQ272" s="44">
        <f>IF(OR(AP272="",AO272=""),"",(AP272-AO272)*100)</f>
        <v/>
      </c>
      <c r="AR272" s="68" t="n">
        <v>70</v>
      </c>
      <c r="AS272" s="68" t="n">
        <v>17</v>
      </c>
      <c r="AT272" s="69">
        <f>IF(OR(AS272="",AR272="",AR272=0,AS272=0),"",AS272-AR272)</f>
        <v/>
      </c>
      <c r="AU272" s="42">
        <f>IF(OR(AS272="",AR272="",AR272=0,AS272=0),"",AS272/AR272-1)</f>
        <v/>
      </c>
      <c r="AV272" s="43">
        <f>IF(OR(AR272="",AK272="",AK272=0),"",AR272/AK272)</f>
        <v/>
      </c>
      <c r="AW272" s="43">
        <f>IF(OR(AS272="",AL272="",AL272=0),"",AS272/AL272)</f>
        <v/>
      </c>
      <c r="AX272" s="44">
        <f>IF(OR(AW272="",AV272=""),"",(AW272-AV272)*100)</f>
        <v/>
      </c>
      <c r="AY272" s="45">
        <f>IF(OR(AR272="",P272="",P272=0),"",AR272/P272)</f>
        <v/>
      </c>
      <c r="AZ272" s="45">
        <f>IF(OR(AS272="",Q272="",Q272=0),"",AS272/Q272)</f>
        <v/>
      </c>
      <c r="BA272" s="44">
        <f>IF(OR(AZ272="",AY272=""),"",(AZ272-AY272)*100)</f>
        <v/>
      </c>
      <c r="BB272" s="45">
        <f>IF(OR(AR272="",E272="",E272=0),"",AR272/E272)</f>
        <v/>
      </c>
      <c r="BC272" s="45">
        <f>IF(OR(AS272="",F272="",F272=0),"",AS272/F272)</f>
        <v/>
      </c>
      <c r="BD272" s="44">
        <f>IF(OR(BC272="",BB272=""),"",(BC272-BB272)*100)</f>
        <v/>
      </c>
      <c r="BE272" s="40">
        <f>IF(AND(F272&lt;&gt;"",E272&lt;&gt;""),"Both years",IF(F272&lt;&gt;"","1-23Aug26 rows only","1-23Aug25 rows only"))</f>
        <v/>
      </c>
    </row>
    <row r="273">
      <c r="A273" s="40" t="inlineStr">
        <is>
          <t>Airport page</t>
        </is>
      </c>
      <c r="B273" s="40" t="inlineStr">
        <is>
          <t>Organic</t>
        </is>
      </c>
      <c r="C273" s="40" t="inlineStr">
        <is>
          <t>Desktop</t>
        </is>
      </c>
      <c r="D273" s="40" t="inlineStr">
        <is>
          <t>Spain</t>
        </is>
      </c>
      <c r="E273" s="68" t="n">
        <v>436</v>
      </c>
      <c r="F273" s="68" t="n">
        <v>333</v>
      </c>
      <c r="G273" s="69">
        <f>IF(OR(F273="",E273="",E273=0,F273=0),"",F273-E273)</f>
        <v/>
      </c>
      <c r="H273" s="42">
        <f>IF(OR(F273="",E273="",E273=0,F273=0),"",F273/E273-1)</f>
        <v/>
      </c>
      <c r="I273" s="68" t="n">
        <v>311</v>
      </c>
      <c r="J273" s="68" t="n">
        <v>216</v>
      </c>
      <c r="K273" s="69">
        <f>IF(OR(J273="",I273="",I273=0,J273=0),"",J273-I273)</f>
        <v/>
      </c>
      <c r="L273" s="42">
        <f>IF(OR(J273="",I273="",I273=0,J273=0),"",J273/I273-1)</f>
        <v/>
      </c>
      <c r="M273" s="43">
        <f>IF(OR(I273="",E273="",E273=0),"",I273/E273)</f>
        <v/>
      </c>
      <c r="N273" s="43">
        <f>IF(OR(J273="",F273="",F273=0),"",J273/F273)</f>
        <v/>
      </c>
      <c r="O273" s="44">
        <f>IF(OR(N273="",M273=""),"",(N273-M273)*100)</f>
        <v/>
      </c>
      <c r="P273" s="68" t="n">
        <v>271</v>
      </c>
      <c r="Q273" s="68" t="n">
        <v>152</v>
      </c>
      <c r="R273" s="69">
        <f>IF(OR(Q273="",P273="",P273=0,Q273=0),"",Q273-P273)</f>
        <v/>
      </c>
      <c r="S273" s="42">
        <f>IF(OR(Q273="",P273="",P273=0,Q273=0),"",Q273/P273-1)</f>
        <v/>
      </c>
      <c r="T273" s="43">
        <f>IF(OR(P273="",E273="",E273=0),"",P273/E273)</f>
        <v/>
      </c>
      <c r="U273" s="43">
        <f>IF(OR(Q273="",F273="",F273=0),"",Q273/F273)</f>
        <v/>
      </c>
      <c r="V273" s="44">
        <f>IF(OR(U273="",T273=""),"",(U273-T273)*100)</f>
        <v/>
      </c>
      <c r="W273" s="68" t="n">
        <v>59</v>
      </c>
      <c r="X273" s="68" t="n">
        <v>20</v>
      </c>
      <c r="Y273" s="69">
        <f>IF(OR(X273="",W273="",W273=0,X273=0),"",X273-W273)</f>
        <v/>
      </c>
      <c r="Z273" s="42">
        <f>IF(OR(X273="",W273="",W273=0,X273=0),"",X273/W273-1)</f>
        <v/>
      </c>
      <c r="AA273" s="43">
        <f>IF(OR(W273="",P273="",P273=0),"",W273/P273)</f>
        <v/>
      </c>
      <c r="AB273" s="43">
        <f>IF(OR(X273="",Q273="",Q273=0),"",X273/Q273)</f>
        <v/>
      </c>
      <c r="AC273" s="44">
        <f>IF(OR(AB273="",AA273=""),"",(AB273-AA273)*100)</f>
        <v/>
      </c>
      <c r="AD273" s="68" t="n">
        <v>48</v>
      </c>
      <c r="AE273" s="68" t="n">
        <v>16</v>
      </c>
      <c r="AF273" s="69">
        <f>IF(OR(AE273="",AD273="",AD273=0,AE273=0),"",AE273-AD273)</f>
        <v/>
      </c>
      <c r="AG273" s="42">
        <f>IF(OR(AE273="",AD273="",AD273=0,AE273=0),"",AE273/AD273-1)</f>
        <v/>
      </c>
      <c r="AH273" s="43">
        <f>IF(OR(AD273="",W273="",W273=0),"",AD273/W273)</f>
        <v/>
      </c>
      <c r="AI273" s="43">
        <f>IF(OR(AE273="",X273="",X273=0),"",AE273/X273)</f>
        <v/>
      </c>
      <c r="AJ273" s="44">
        <f>IF(OR(AI273="",AH273=""),"",(AI273-AH273)*100)</f>
        <v/>
      </c>
      <c r="AK273" s="68" t="n">
        <v>21</v>
      </c>
      <c r="AL273" s="68" t="n">
        <v>6</v>
      </c>
      <c r="AM273" s="69">
        <f>IF(OR(AL273="",AK273="",AK273=0,AL273=0),"",AL273-AK273)</f>
        <v/>
      </c>
      <c r="AN273" s="42">
        <f>IF(OR(AL273="",AK273="",AK273=0,AL273=0),"",AL273/AK273-1)</f>
        <v/>
      </c>
      <c r="AO273" s="43">
        <f>IF(OR(AK273="",AD273="",AD273=0),"",AK273/AD273)</f>
        <v/>
      </c>
      <c r="AP273" s="43">
        <f>IF(OR(AL273="",AE273="",AE273=0),"",AL273/AE273)</f>
        <v/>
      </c>
      <c r="AQ273" s="44">
        <f>IF(OR(AP273="",AO273=""),"",(AP273-AO273)*100)</f>
        <v/>
      </c>
      <c r="AR273" s="68" t="n">
        <v>16</v>
      </c>
      <c r="AS273" s="68" t="n">
        <v>5</v>
      </c>
      <c r="AT273" s="69">
        <f>IF(OR(AS273="",AR273="",AR273=0,AS273=0),"",AS273-AR273)</f>
        <v/>
      </c>
      <c r="AU273" s="42">
        <f>IF(OR(AS273="",AR273="",AR273=0,AS273=0),"",AS273/AR273-1)</f>
        <v/>
      </c>
      <c r="AV273" s="43">
        <f>IF(OR(AR273="",AK273="",AK273=0),"",AR273/AK273)</f>
        <v/>
      </c>
      <c r="AW273" s="43">
        <f>IF(OR(AS273="",AL273="",AL273=0),"",AS273/AL273)</f>
        <v/>
      </c>
      <c r="AX273" s="44">
        <f>IF(OR(AW273="",AV273=""),"",(AW273-AV273)*100)</f>
        <v/>
      </c>
      <c r="AY273" s="45">
        <f>IF(OR(AR273="",P273="",P273=0),"",AR273/P273)</f>
        <v/>
      </c>
      <c r="AZ273" s="45">
        <f>IF(OR(AS273="",Q273="",Q273=0),"",AS273/Q273)</f>
        <v/>
      </c>
      <c r="BA273" s="44">
        <f>IF(OR(AZ273="",AY273=""),"",(AZ273-AY273)*100)</f>
        <v/>
      </c>
      <c r="BB273" s="45">
        <f>IF(OR(AR273="",E273="",E273=0),"",AR273/E273)</f>
        <v/>
      </c>
      <c r="BC273" s="45">
        <f>IF(OR(AS273="",F273="",F273=0),"",AS273/F273)</f>
        <v/>
      </c>
      <c r="BD273" s="44">
        <f>IF(OR(BC273="",BB273=""),"",(BC273-BB273)*100)</f>
        <v/>
      </c>
      <c r="BE273" s="40">
        <f>IF(AND(F273&lt;&gt;"",E273&lt;&gt;""),"Both years",IF(F273&lt;&gt;"","1-23Aug26 rows only","1-23Aug25 rows only"))</f>
        <v/>
      </c>
    </row>
    <row r="274">
      <c r="A274" s="56" t="inlineStr">
        <is>
          <t>Airport page</t>
        </is>
      </c>
      <c r="B274" s="56" t="inlineStr">
        <is>
          <t>Organic</t>
        </is>
      </c>
      <c r="C274" s="56" t="inlineStr">
        <is>
          <t>Desktop</t>
        </is>
      </c>
      <c r="D274" s="56" t="inlineStr">
        <is>
          <t>Poland</t>
        </is>
      </c>
      <c r="E274" s="68" t="n">
        <v>480</v>
      </c>
      <c r="F274" s="68" t="n">
        <v>258</v>
      </c>
      <c r="G274" s="69">
        <f>IF(OR(F274="",E274="",E274=0,F274=0),"",F274-E274)</f>
        <v/>
      </c>
      <c r="H274" s="42">
        <f>IF(OR(F274="",E274="",E274=0,F274=0),"",F274/E274-1)</f>
        <v/>
      </c>
      <c r="I274" s="70" t="n"/>
      <c r="J274" s="70" t="n"/>
      <c r="K274" s="69">
        <f>IF(OR(J274="",I274="",I274=0,J274=0),"",J274-I274)</f>
        <v/>
      </c>
      <c r="L274" s="42">
        <f>IF(OR(J274="",I274="",I274=0,J274=0),"",J274/I274-1)</f>
        <v/>
      </c>
      <c r="M274" s="43">
        <f>IF(OR(I274="",E274="",E274=0),"",I274/E274)</f>
        <v/>
      </c>
      <c r="N274" s="43">
        <f>IF(OR(J274="",F274="",F274=0),"",J274/F274)</f>
        <v/>
      </c>
      <c r="O274" s="44">
        <f>IF(OR(N274="",M274=""),"",(N274-M274)*100)</f>
        <v/>
      </c>
      <c r="P274" s="68" t="n">
        <v>316</v>
      </c>
      <c r="Q274" s="68" t="n">
        <v>139</v>
      </c>
      <c r="R274" s="69">
        <f>IF(OR(Q274="",P274="",P274=0,Q274=0),"",Q274-P274)</f>
        <v/>
      </c>
      <c r="S274" s="42">
        <f>IF(OR(Q274="",P274="",P274=0,Q274=0),"",Q274/P274-1)</f>
        <v/>
      </c>
      <c r="T274" s="43">
        <f>IF(OR(P274="",E274="",E274=0),"",P274/E274)</f>
        <v/>
      </c>
      <c r="U274" s="43">
        <f>IF(OR(Q274="",F274="",F274=0),"",Q274/F274)</f>
        <v/>
      </c>
      <c r="V274" s="44">
        <f>IF(OR(U274="",T274=""),"",(U274-T274)*100)</f>
        <v/>
      </c>
      <c r="W274" s="70" t="n"/>
      <c r="X274" s="70" t="n"/>
      <c r="Y274" s="69">
        <f>IF(OR(X274="",W274="",W274=0,X274=0),"",X274-W274)</f>
        <v/>
      </c>
      <c r="Z274" s="42">
        <f>IF(OR(X274="",W274="",W274=0,X274=0),"",X274/W274-1)</f>
        <v/>
      </c>
      <c r="AA274" s="43">
        <f>IF(OR(W274="",P274="",P274=0),"",W274/P274)</f>
        <v/>
      </c>
      <c r="AB274" s="43">
        <f>IF(OR(X274="",Q274="",Q274=0),"",X274/Q274)</f>
        <v/>
      </c>
      <c r="AC274" s="44">
        <f>IF(OR(AB274="",AA274=""),"",(AB274-AA274)*100)</f>
        <v/>
      </c>
      <c r="AD274" s="70" t="n"/>
      <c r="AE274" s="70" t="n"/>
      <c r="AF274" s="69">
        <f>IF(OR(AE274="",AD274="",AD274=0,AE274=0),"",AE274-AD274)</f>
        <v/>
      </c>
      <c r="AG274" s="42">
        <f>IF(OR(AE274="",AD274="",AD274=0,AE274=0),"",AE274/AD274-1)</f>
        <v/>
      </c>
      <c r="AH274" s="43">
        <f>IF(OR(AD274="",W274="",W274=0),"",AD274/W274)</f>
        <v/>
      </c>
      <c r="AI274" s="43">
        <f>IF(OR(AE274="",X274="",X274=0),"",AE274/X274)</f>
        <v/>
      </c>
      <c r="AJ274" s="44">
        <f>IF(OR(AI274="",AH274=""),"",(AI274-AH274)*100)</f>
        <v/>
      </c>
      <c r="AK274" s="70" t="n"/>
      <c r="AL274" s="70" t="n"/>
      <c r="AM274" s="69">
        <f>IF(OR(AL274="",AK274="",AK274=0,AL274=0),"",AL274-AK274)</f>
        <v/>
      </c>
      <c r="AN274" s="42">
        <f>IF(OR(AL274="",AK274="",AK274=0,AL274=0),"",AL274/AK274-1)</f>
        <v/>
      </c>
      <c r="AO274" s="43">
        <f>IF(OR(AK274="",AD274="",AD274=0),"",AK274/AD274)</f>
        <v/>
      </c>
      <c r="AP274" s="43">
        <f>IF(OR(AL274="",AE274="",AE274=0),"",AL274/AE274)</f>
        <v/>
      </c>
      <c r="AQ274" s="44">
        <f>IF(OR(AP274="",AO274=""),"",(AP274-AO274)*100)</f>
        <v/>
      </c>
      <c r="AR274" s="70" t="n"/>
      <c r="AS274" s="70" t="n"/>
      <c r="AT274" s="69">
        <f>IF(OR(AS274="",AR274="",AR274=0,AS274=0),"",AS274-AR274)</f>
        <v/>
      </c>
      <c r="AU274" s="42">
        <f>IF(OR(AS274="",AR274="",AR274=0,AS274=0),"",AS274/AR274-1)</f>
        <v/>
      </c>
      <c r="AV274" s="43">
        <f>IF(OR(AR274="",AK274="",AK274=0),"",AR274/AK274)</f>
        <v/>
      </c>
      <c r="AW274" s="43">
        <f>IF(OR(AS274="",AL274="",AL274=0),"",AS274/AL274)</f>
        <v/>
      </c>
      <c r="AX274" s="44">
        <f>IF(OR(AW274="",AV274=""),"",(AW274-AV274)*100)</f>
        <v/>
      </c>
      <c r="AY274" s="45">
        <f>IF(OR(AR274="",P274="",P274=0),"",AR274/P274)</f>
        <v/>
      </c>
      <c r="AZ274" s="45">
        <f>IF(OR(AS274="",Q274="",Q274=0),"",AS274/Q274)</f>
        <v/>
      </c>
      <c r="BA274" s="44">
        <f>IF(OR(AZ274="",AY274=""),"",(AZ274-AY274)*100)</f>
        <v/>
      </c>
      <c r="BB274" s="45">
        <f>IF(OR(AR274="",E274="",E274=0),"",AR274/E274)</f>
        <v/>
      </c>
      <c r="BC274" s="45">
        <f>IF(OR(AS274="",F274="",F274=0),"",AS274/F274)</f>
        <v/>
      </c>
      <c r="BD274" s="44">
        <f>IF(OR(BC274="",BB274=""),"",(BC274-BB274)*100)</f>
        <v/>
      </c>
      <c r="BE274" s="40">
        <f>IF(AND(F274&lt;&gt;"",E274&lt;&gt;""),"Both years",IF(F274&lt;&gt;"","1-23Aug26 rows only","1-23Aug25 rows only"))</f>
        <v/>
      </c>
    </row>
    <row r="275">
      <c r="A275" s="40" t="inlineStr">
        <is>
          <t>Airport page</t>
        </is>
      </c>
      <c r="B275" s="40" t="inlineStr">
        <is>
          <t>Organic</t>
        </is>
      </c>
      <c r="C275" s="40" t="inlineStr">
        <is>
          <t>Desktop</t>
        </is>
      </c>
      <c r="D275" s="40" t="inlineStr">
        <is>
          <t>Italy</t>
        </is>
      </c>
      <c r="E275" s="68" t="n">
        <v>223</v>
      </c>
      <c r="F275" s="68" t="n">
        <v>248</v>
      </c>
      <c r="G275" s="69">
        <f>IF(OR(F275="",E275="",E275=0,F275=0),"",F275-E275)</f>
        <v/>
      </c>
      <c r="H275" s="42">
        <f>IF(OR(F275="",E275="",E275=0,F275=0),"",F275/E275-1)</f>
        <v/>
      </c>
      <c r="I275" s="68" t="n">
        <v>152</v>
      </c>
      <c r="J275" s="68" t="n">
        <v>166</v>
      </c>
      <c r="K275" s="69">
        <f>IF(OR(J275="",I275="",I275=0,J275=0),"",J275-I275)</f>
        <v/>
      </c>
      <c r="L275" s="42">
        <f>IF(OR(J275="",I275="",I275=0,J275=0),"",J275/I275-1)</f>
        <v/>
      </c>
      <c r="M275" s="43">
        <f>IF(OR(I275="",E275="",E275=0),"",I275/E275)</f>
        <v/>
      </c>
      <c r="N275" s="43">
        <f>IF(OR(J275="",F275="",F275=0),"",J275/F275)</f>
        <v/>
      </c>
      <c r="O275" s="44">
        <f>IF(OR(N275="",M275=""),"",(N275-M275)*100)</f>
        <v/>
      </c>
      <c r="P275" s="68" t="n">
        <v>144</v>
      </c>
      <c r="Q275" s="68" t="n">
        <v>108</v>
      </c>
      <c r="R275" s="69">
        <f>IF(OR(Q275="",P275="",P275=0,Q275=0),"",Q275-P275)</f>
        <v/>
      </c>
      <c r="S275" s="42">
        <f>IF(OR(Q275="",P275="",P275=0,Q275=0),"",Q275/P275-1)</f>
        <v/>
      </c>
      <c r="T275" s="43">
        <f>IF(OR(P275="",E275="",E275=0),"",P275/E275)</f>
        <v/>
      </c>
      <c r="U275" s="43">
        <f>IF(OR(Q275="",F275="",F275=0),"",Q275/F275)</f>
        <v/>
      </c>
      <c r="V275" s="44">
        <f>IF(OR(U275="",T275=""),"",(U275-T275)*100)</f>
        <v/>
      </c>
      <c r="W275" s="68" t="n">
        <v>39</v>
      </c>
      <c r="X275" s="68" t="n">
        <v>25</v>
      </c>
      <c r="Y275" s="69">
        <f>IF(OR(X275="",W275="",W275=0,X275=0),"",X275-W275)</f>
        <v/>
      </c>
      <c r="Z275" s="42">
        <f>IF(OR(X275="",W275="",W275=0,X275=0),"",X275/W275-1)</f>
        <v/>
      </c>
      <c r="AA275" s="43">
        <f>IF(OR(W275="",P275="",P275=0),"",W275/P275)</f>
        <v/>
      </c>
      <c r="AB275" s="43">
        <f>IF(OR(X275="",Q275="",Q275=0),"",X275/Q275)</f>
        <v/>
      </c>
      <c r="AC275" s="44">
        <f>IF(OR(AB275="",AA275=""),"",(AB275-AA275)*100)</f>
        <v/>
      </c>
      <c r="AD275" s="68" t="n">
        <v>38</v>
      </c>
      <c r="AE275" s="68" t="n">
        <v>19</v>
      </c>
      <c r="AF275" s="69">
        <f>IF(OR(AE275="",AD275="",AD275=0,AE275=0),"",AE275-AD275)</f>
        <v/>
      </c>
      <c r="AG275" s="42">
        <f>IF(OR(AE275="",AD275="",AD275=0,AE275=0),"",AE275/AD275-1)</f>
        <v/>
      </c>
      <c r="AH275" s="43">
        <f>IF(OR(AD275="",W275="",W275=0),"",AD275/W275)</f>
        <v/>
      </c>
      <c r="AI275" s="43">
        <f>IF(OR(AE275="",X275="",X275=0),"",AE275/X275)</f>
        <v/>
      </c>
      <c r="AJ275" s="44">
        <f>IF(OR(AI275="",AH275=""),"",(AI275-AH275)*100)</f>
        <v/>
      </c>
      <c r="AK275" s="68" t="n">
        <v>13</v>
      </c>
      <c r="AL275" s="68" t="n">
        <v>5</v>
      </c>
      <c r="AM275" s="69">
        <f>IF(OR(AL275="",AK275="",AK275=0,AL275=0),"",AL275-AK275)</f>
        <v/>
      </c>
      <c r="AN275" s="42">
        <f>IF(OR(AL275="",AK275="",AK275=0,AL275=0),"",AL275/AK275-1)</f>
        <v/>
      </c>
      <c r="AO275" s="43">
        <f>IF(OR(AK275="",AD275="",AD275=0),"",AK275/AD275)</f>
        <v/>
      </c>
      <c r="AP275" s="43">
        <f>IF(OR(AL275="",AE275="",AE275=0),"",AL275/AE275)</f>
        <v/>
      </c>
      <c r="AQ275" s="44">
        <f>IF(OR(AP275="",AO275=""),"",(AP275-AO275)*100)</f>
        <v/>
      </c>
      <c r="AR275" s="68" t="n">
        <v>14</v>
      </c>
      <c r="AS275" s="68" t="n">
        <v>5</v>
      </c>
      <c r="AT275" s="69">
        <f>IF(OR(AS275="",AR275="",AR275=0,AS275=0),"",AS275-AR275)</f>
        <v/>
      </c>
      <c r="AU275" s="42">
        <f>IF(OR(AS275="",AR275="",AR275=0,AS275=0),"",AS275/AR275-1)</f>
        <v/>
      </c>
      <c r="AV275" s="43">
        <f>IF(OR(AR275="",AK275="",AK275=0),"",AR275/AK275)</f>
        <v/>
      </c>
      <c r="AW275" s="43">
        <f>IF(OR(AS275="",AL275="",AL275=0),"",AS275/AL275)</f>
        <v/>
      </c>
      <c r="AX275" s="44">
        <f>IF(OR(AW275="",AV275=""),"",(AW275-AV275)*100)</f>
        <v/>
      </c>
      <c r="AY275" s="45">
        <f>IF(OR(AR275="",P275="",P275=0),"",AR275/P275)</f>
        <v/>
      </c>
      <c r="AZ275" s="45">
        <f>IF(OR(AS275="",Q275="",Q275=0),"",AS275/Q275)</f>
        <v/>
      </c>
      <c r="BA275" s="44">
        <f>IF(OR(AZ275="",AY275=""),"",(AZ275-AY275)*100)</f>
        <v/>
      </c>
      <c r="BB275" s="45">
        <f>IF(OR(AR275="",E275="",E275=0),"",AR275/E275)</f>
        <v/>
      </c>
      <c r="BC275" s="45">
        <f>IF(OR(AS275="",F275="",F275=0),"",AS275/F275)</f>
        <v/>
      </c>
      <c r="BD275" s="44">
        <f>IF(OR(BC275="",BB275=""),"",(BC275-BB275)*100)</f>
        <v/>
      </c>
      <c r="BE275" s="40">
        <f>IF(AND(F275&lt;&gt;"",E275&lt;&gt;""),"Both years",IF(F275&lt;&gt;"","1-23Aug26 rows only","1-23Aug25 rows only"))</f>
        <v/>
      </c>
    </row>
    <row r="276">
      <c r="A276" s="56" t="inlineStr">
        <is>
          <t>Airport page</t>
        </is>
      </c>
      <c r="B276" s="56" t="inlineStr">
        <is>
          <t>Organic</t>
        </is>
      </c>
      <c r="C276" s="56" t="inlineStr">
        <is>
          <t>Desktop</t>
        </is>
      </c>
      <c r="D276" s="56" t="inlineStr">
        <is>
          <t>United States</t>
        </is>
      </c>
      <c r="E276" s="68" t="n">
        <v>243</v>
      </c>
      <c r="F276" s="68" t="n">
        <v>203</v>
      </c>
      <c r="G276" s="69">
        <f>IF(OR(F276="",E276="",E276=0,F276=0),"",F276-E276)</f>
        <v/>
      </c>
      <c r="H276" s="42">
        <f>IF(OR(F276="",E276="",E276=0,F276=0),"",F276/E276-1)</f>
        <v/>
      </c>
      <c r="I276" s="68" t="n">
        <v>103</v>
      </c>
      <c r="J276" s="68" t="n">
        <v>104</v>
      </c>
      <c r="K276" s="69">
        <f>IF(OR(J276="",I276="",I276=0,J276=0),"",J276-I276)</f>
        <v/>
      </c>
      <c r="L276" s="42">
        <f>IF(OR(J276="",I276="",I276=0,J276=0),"",J276/I276-1)</f>
        <v/>
      </c>
      <c r="M276" s="43">
        <f>IF(OR(I276="",E276="",E276=0),"",I276/E276)</f>
        <v/>
      </c>
      <c r="N276" s="43">
        <f>IF(OR(J276="",F276="",F276=0),"",J276/F276)</f>
        <v/>
      </c>
      <c r="O276" s="44">
        <f>IF(OR(N276="",M276=""),"",(N276-M276)*100)</f>
        <v/>
      </c>
      <c r="P276" s="68" t="n">
        <v>94</v>
      </c>
      <c r="Q276" s="68" t="n">
        <v>105</v>
      </c>
      <c r="R276" s="69">
        <f>IF(OR(Q276="",P276="",P276=0,Q276=0),"",Q276-P276)</f>
        <v/>
      </c>
      <c r="S276" s="42">
        <f>IF(OR(Q276="",P276="",P276=0,Q276=0),"",Q276/P276-1)</f>
        <v/>
      </c>
      <c r="T276" s="43">
        <f>IF(OR(P276="",E276="",E276=0),"",P276/E276)</f>
        <v/>
      </c>
      <c r="U276" s="43">
        <f>IF(OR(Q276="",F276="",F276=0),"",Q276/F276)</f>
        <v/>
      </c>
      <c r="V276" s="44">
        <f>IF(OR(U276="",T276=""),"",(U276-T276)*100)</f>
        <v/>
      </c>
      <c r="W276" s="68" t="n">
        <v>39</v>
      </c>
      <c r="X276" s="68" t="n">
        <v>39</v>
      </c>
      <c r="Y276" s="69">
        <f>IF(OR(X276="",W276="",W276=0,X276=0),"",X276-W276)</f>
        <v/>
      </c>
      <c r="Z276" s="42">
        <f>IF(OR(X276="",W276="",W276=0,X276=0),"",X276/W276-1)</f>
        <v/>
      </c>
      <c r="AA276" s="43">
        <f>IF(OR(W276="",P276="",P276=0),"",W276/P276)</f>
        <v/>
      </c>
      <c r="AB276" s="43">
        <f>IF(OR(X276="",Q276="",Q276=0),"",X276/Q276)</f>
        <v/>
      </c>
      <c r="AC276" s="44">
        <f>IF(OR(AB276="",AA276=""),"",(AB276-AA276)*100)</f>
        <v/>
      </c>
      <c r="AD276" s="68" t="n">
        <v>32</v>
      </c>
      <c r="AE276" s="68" t="n">
        <v>33</v>
      </c>
      <c r="AF276" s="69">
        <f>IF(OR(AE276="",AD276="",AD276=0,AE276=0),"",AE276-AD276)</f>
        <v/>
      </c>
      <c r="AG276" s="42">
        <f>IF(OR(AE276="",AD276="",AD276=0,AE276=0),"",AE276/AD276-1)</f>
        <v/>
      </c>
      <c r="AH276" s="43">
        <f>IF(OR(AD276="",W276="",W276=0),"",AD276/W276)</f>
        <v/>
      </c>
      <c r="AI276" s="43">
        <f>IF(OR(AE276="",X276="",X276=0),"",AE276/X276)</f>
        <v/>
      </c>
      <c r="AJ276" s="44">
        <f>IF(OR(AI276="",AH276=""),"",(AI276-AH276)*100)</f>
        <v/>
      </c>
      <c r="AK276" s="68" t="n">
        <v>21</v>
      </c>
      <c r="AL276" s="68" t="n">
        <v>16</v>
      </c>
      <c r="AM276" s="69">
        <f>IF(OR(AL276="",AK276="",AK276=0,AL276=0),"",AL276-AK276)</f>
        <v/>
      </c>
      <c r="AN276" s="42">
        <f>IF(OR(AL276="",AK276="",AK276=0,AL276=0),"",AL276/AK276-1)</f>
        <v/>
      </c>
      <c r="AO276" s="43">
        <f>IF(OR(AK276="",AD276="",AD276=0),"",AK276/AD276)</f>
        <v/>
      </c>
      <c r="AP276" s="43">
        <f>IF(OR(AL276="",AE276="",AE276=0),"",AL276/AE276)</f>
        <v/>
      </c>
      <c r="AQ276" s="44">
        <f>IF(OR(AP276="",AO276=""),"",(AP276-AO276)*100)</f>
        <v/>
      </c>
      <c r="AR276" s="68" t="n">
        <v>19</v>
      </c>
      <c r="AS276" s="68" t="n">
        <v>12</v>
      </c>
      <c r="AT276" s="69">
        <f>IF(OR(AS276="",AR276="",AR276=0,AS276=0),"",AS276-AR276)</f>
        <v/>
      </c>
      <c r="AU276" s="42">
        <f>IF(OR(AS276="",AR276="",AR276=0,AS276=0),"",AS276/AR276-1)</f>
        <v/>
      </c>
      <c r="AV276" s="43">
        <f>IF(OR(AR276="",AK276="",AK276=0),"",AR276/AK276)</f>
        <v/>
      </c>
      <c r="AW276" s="43">
        <f>IF(OR(AS276="",AL276="",AL276=0),"",AS276/AL276)</f>
        <v/>
      </c>
      <c r="AX276" s="44">
        <f>IF(OR(AW276="",AV276=""),"",(AW276-AV276)*100)</f>
        <v/>
      </c>
      <c r="AY276" s="45">
        <f>IF(OR(AR276="",P276="",P276=0),"",AR276/P276)</f>
        <v/>
      </c>
      <c r="AZ276" s="45">
        <f>IF(OR(AS276="",Q276="",Q276=0),"",AS276/Q276)</f>
        <v/>
      </c>
      <c r="BA276" s="44">
        <f>IF(OR(AZ276="",AY276=""),"",(AZ276-AY276)*100)</f>
        <v/>
      </c>
      <c r="BB276" s="45">
        <f>IF(OR(AR276="",E276="",E276=0),"",AR276/E276)</f>
        <v/>
      </c>
      <c r="BC276" s="45">
        <f>IF(OR(AS276="",F276="",F276=0),"",AS276/F276)</f>
        <v/>
      </c>
      <c r="BD276" s="44">
        <f>IF(OR(BC276="",BB276=""),"",(BC276-BB276)*100)</f>
        <v/>
      </c>
      <c r="BE276" s="40">
        <f>IF(AND(F276&lt;&gt;"",E276&lt;&gt;""),"Both years",IF(F276&lt;&gt;"","1-23Aug26 rows only","1-23Aug25 rows only"))</f>
        <v/>
      </c>
    </row>
    <row r="277">
      <c r="A277" s="40" t="inlineStr">
        <is>
          <t>Airport page</t>
        </is>
      </c>
      <c r="B277" s="40" t="inlineStr">
        <is>
          <t>Organic</t>
        </is>
      </c>
      <c r="C277" s="40" t="inlineStr">
        <is>
          <t>Desktop</t>
        </is>
      </c>
      <c r="D277" s="40" t="inlineStr">
        <is>
          <t>Netherlands</t>
        </is>
      </c>
      <c r="E277" s="68" t="n">
        <v>185</v>
      </c>
      <c r="F277" s="68" t="n">
        <v>200</v>
      </c>
      <c r="G277" s="69">
        <f>IF(OR(F277="",E277="",E277=0,F277=0),"",F277-E277)</f>
        <v/>
      </c>
      <c r="H277" s="42">
        <f>IF(OR(F277="",E277="",E277=0,F277=0),"",F277/E277-1)</f>
        <v/>
      </c>
      <c r="I277" s="68" t="n">
        <v>117</v>
      </c>
      <c r="J277" s="68" t="n">
        <v>139</v>
      </c>
      <c r="K277" s="69">
        <f>IF(OR(J277="",I277="",I277=0,J277=0),"",J277-I277)</f>
        <v/>
      </c>
      <c r="L277" s="42">
        <f>IF(OR(J277="",I277="",I277=0,J277=0),"",J277/I277-1)</f>
        <v/>
      </c>
      <c r="M277" s="43">
        <f>IF(OR(I277="",E277="",E277=0),"",I277/E277)</f>
        <v/>
      </c>
      <c r="N277" s="43">
        <f>IF(OR(J277="",F277="",F277=0),"",J277/F277)</f>
        <v/>
      </c>
      <c r="O277" s="44">
        <f>IF(OR(N277="",M277=""),"",(N277-M277)*100)</f>
        <v/>
      </c>
      <c r="P277" s="68" t="n">
        <v>115</v>
      </c>
      <c r="Q277" s="68" t="n">
        <v>88</v>
      </c>
      <c r="R277" s="69">
        <f>IF(OR(Q277="",P277="",P277=0,Q277=0),"",Q277-P277)</f>
        <v/>
      </c>
      <c r="S277" s="42">
        <f>IF(OR(Q277="",P277="",P277=0,Q277=0),"",Q277/P277-1)</f>
        <v/>
      </c>
      <c r="T277" s="43">
        <f>IF(OR(P277="",E277="",E277=0),"",P277/E277)</f>
        <v/>
      </c>
      <c r="U277" s="43">
        <f>IF(OR(Q277="",F277="",F277=0),"",Q277/F277)</f>
        <v/>
      </c>
      <c r="V277" s="44">
        <f>IF(OR(U277="",T277=""),"",(U277-T277)*100)</f>
        <v/>
      </c>
      <c r="W277" s="68" t="n">
        <v>35</v>
      </c>
      <c r="X277" s="68" t="n">
        <v>22</v>
      </c>
      <c r="Y277" s="69">
        <f>IF(OR(X277="",W277="",W277=0,X277=0),"",X277-W277)</f>
        <v/>
      </c>
      <c r="Z277" s="42">
        <f>IF(OR(X277="",W277="",W277=0,X277=0),"",X277/W277-1)</f>
        <v/>
      </c>
      <c r="AA277" s="43">
        <f>IF(OR(W277="",P277="",P277=0),"",W277/P277)</f>
        <v/>
      </c>
      <c r="AB277" s="43">
        <f>IF(OR(X277="",Q277="",Q277=0),"",X277/Q277)</f>
        <v/>
      </c>
      <c r="AC277" s="44">
        <f>IF(OR(AB277="",AA277=""),"",(AB277-AA277)*100)</f>
        <v/>
      </c>
      <c r="AD277" s="68" t="n">
        <v>32</v>
      </c>
      <c r="AE277" s="68" t="n">
        <v>15</v>
      </c>
      <c r="AF277" s="69">
        <f>IF(OR(AE277="",AD277="",AD277=0,AE277=0),"",AE277-AD277)</f>
        <v/>
      </c>
      <c r="AG277" s="42">
        <f>IF(OR(AE277="",AD277="",AD277=0,AE277=0),"",AE277/AD277-1)</f>
        <v/>
      </c>
      <c r="AH277" s="43">
        <f>IF(OR(AD277="",W277="",W277=0),"",AD277/W277)</f>
        <v/>
      </c>
      <c r="AI277" s="43">
        <f>IF(OR(AE277="",X277="",X277=0),"",AE277/X277)</f>
        <v/>
      </c>
      <c r="AJ277" s="44">
        <f>IF(OR(AI277="",AH277=""),"",(AI277-AH277)*100)</f>
        <v/>
      </c>
      <c r="AK277" s="68" t="n">
        <v>16</v>
      </c>
      <c r="AL277" s="68" t="n">
        <v>6</v>
      </c>
      <c r="AM277" s="69">
        <f>IF(OR(AL277="",AK277="",AK277=0,AL277=0),"",AL277-AK277)</f>
        <v/>
      </c>
      <c r="AN277" s="42">
        <f>IF(OR(AL277="",AK277="",AK277=0,AL277=0),"",AL277/AK277-1)</f>
        <v/>
      </c>
      <c r="AO277" s="43">
        <f>IF(OR(AK277="",AD277="",AD277=0),"",AK277/AD277)</f>
        <v/>
      </c>
      <c r="AP277" s="43">
        <f>IF(OR(AL277="",AE277="",AE277=0),"",AL277/AE277)</f>
        <v/>
      </c>
      <c r="AQ277" s="44">
        <f>IF(OR(AP277="",AO277=""),"",(AP277-AO277)*100)</f>
        <v/>
      </c>
      <c r="AR277" s="68" t="n">
        <v>6</v>
      </c>
      <c r="AS277" s="68" t="n">
        <v>2</v>
      </c>
      <c r="AT277" s="69">
        <f>IF(OR(AS277="",AR277="",AR277=0,AS277=0),"",AS277-AR277)</f>
        <v/>
      </c>
      <c r="AU277" s="42">
        <f>IF(OR(AS277="",AR277="",AR277=0,AS277=0),"",AS277/AR277-1)</f>
        <v/>
      </c>
      <c r="AV277" s="43">
        <f>IF(OR(AR277="",AK277="",AK277=0),"",AR277/AK277)</f>
        <v/>
      </c>
      <c r="AW277" s="43">
        <f>IF(OR(AS277="",AL277="",AL277=0),"",AS277/AL277)</f>
        <v/>
      </c>
      <c r="AX277" s="44">
        <f>IF(OR(AW277="",AV277=""),"",(AW277-AV277)*100)</f>
        <v/>
      </c>
      <c r="AY277" s="45">
        <f>IF(OR(AR277="",P277="",P277=0),"",AR277/P277)</f>
        <v/>
      </c>
      <c r="AZ277" s="45">
        <f>IF(OR(AS277="",Q277="",Q277=0),"",AS277/Q277)</f>
        <v/>
      </c>
      <c r="BA277" s="44">
        <f>IF(OR(AZ277="",AY277=""),"",(AZ277-AY277)*100)</f>
        <v/>
      </c>
      <c r="BB277" s="45">
        <f>IF(OR(AR277="",E277="",E277=0),"",AR277/E277)</f>
        <v/>
      </c>
      <c r="BC277" s="45">
        <f>IF(OR(AS277="",F277="",F277=0),"",AS277/F277)</f>
        <v/>
      </c>
      <c r="BD277" s="44">
        <f>IF(OR(BC277="",BB277=""),"",(BC277-BB277)*100)</f>
        <v/>
      </c>
      <c r="BE277" s="40">
        <f>IF(AND(F277&lt;&gt;"",E277&lt;&gt;""),"Both years",IF(F277&lt;&gt;"","1-23Aug26 rows only","1-23Aug25 rows only"))</f>
        <v/>
      </c>
    </row>
    <row r="278">
      <c r="A278" s="56" t="inlineStr">
        <is>
          <t>Airport page</t>
        </is>
      </c>
      <c r="B278" s="56" t="inlineStr">
        <is>
          <t>Organic</t>
        </is>
      </c>
      <c r="C278" s="56" t="inlineStr">
        <is>
          <t>Desktop</t>
        </is>
      </c>
      <c r="D278" s="56" t="inlineStr">
        <is>
          <t>France</t>
        </is>
      </c>
      <c r="E278" s="68" t="n">
        <v>295</v>
      </c>
      <c r="F278" s="68" t="n">
        <v>188</v>
      </c>
      <c r="G278" s="69">
        <f>IF(OR(F278="",E278="",E278=0,F278=0),"",F278-E278)</f>
        <v/>
      </c>
      <c r="H278" s="42">
        <f>IF(OR(F278="",E278="",E278=0,F278=0),"",F278/E278-1)</f>
        <v/>
      </c>
      <c r="I278" s="68" t="n">
        <v>209</v>
      </c>
      <c r="J278" s="68" t="n">
        <v>138</v>
      </c>
      <c r="K278" s="69">
        <f>IF(OR(J278="",I278="",I278=0,J278=0),"",J278-I278)</f>
        <v/>
      </c>
      <c r="L278" s="42">
        <f>IF(OR(J278="",I278="",I278=0,J278=0),"",J278/I278-1)</f>
        <v/>
      </c>
      <c r="M278" s="43">
        <f>IF(OR(I278="",E278="",E278=0),"",I278/E278)</f>
        <v/>
      </c>
      <c r="N278" s="43">
        <f>IF(OR(J278="",F278="",F278=0),"",J278/F278)</f>
        <v/>
      </c>
      <c r="O278" s="44">
        <f>IF(OR(N278="",M278=""),"",(N278-M278)*100)</f>
        <v/>
      </c>
      <c r="P278" s="68" t="n">
        <v>184</v>
      </c>
      <c r="Q278" s="68" t="n">
        <v>76</v>
      </c>
      <c r="R278" s="69">
        <f>IF(OR(Q278="",P278="",P278=0,Q278=0),"",Q278-P278)</f>
        <v/>
      </c>
      <c r="S278" s="42">
        <f>IF(OR(Q278="",P278="",P278=0,Q278=0),"",Q278/P278-1)</f>
        <v/>
      </c>
      <c r="T278" s="43">
        <f>IF(OR(P278="",E278="",E278=0),"",P278/E278)</f>
        <v/>
      </c>
      <c r="U278" s="43">
        <f>IF(OR(Q278="",F278="",F278=0),"",Q278/F278)</f>
        <v/>
      </c>
      <c r="V278" s="44">
        <f>IF(OR(U278="",T278=""),"",(U278-T278)*100)</f>
        <v/>
      </c>
      <c r="W278" s="68" t="n">
        <v>67</v>
      </c>
      <c r="X278" s="68" t="n">
        <v>16</v>
      </c>
      <c r="Y278" s="69">
        <f>IF(OR(X278="",W278="",W278=0,X278=0),"",X278-W278)</f>
        <v/>
      </c>
      <c r="Z278" s="42">
        <f>IF(OR(X278="",W278="",W278=0,X278=0),"",X278/W278-1)</f>
        <v/>
      </c>
      <c r="AA278" s="43">
        <f>IF(OR(W278="",P278="",P278=0),"",W278/P278)</f>
        <v/>
      </c>
      <c r="AB278" s="43">
        <f>IF(OR(X278="",Q278="",Q278=0),"",X278/Q278)</f>
        <v/>
      </c>
      <c r="AC278" s="44">
        <f>IF(OR(AB278="",AA278=""),"",(AB278-AA278)*100)</f>
        <v/>
      </c>
      <c r="AD278" s="68" t="n">
        <v>60</v>
      </c>
      <c r="AE278" s="68" t="n">
        <v>13</v>
      </c>
      <c r="AF278" s="69">
        <f>IF(OR(AE278="",AD278="",AD278=0,AE278=0),"",AE278-AD278)</f>
        <v/>
      </c>
      <c r="AG278" s="42">
        <f>IF(OR(AE278="",AD278="",AD278=0,AE278=0),"",AE278/AD278-1)</f>
        <v/>
      </c>
      <c r="AH278" s="43">
        <f>IF(OR(AD278="",W278="",W278=0),"",AD278/W278)</f>
        <v/>
      </c>
      <c r="AI278" s="43">
        <f>IF(OR(AE278="",X278="",X278=0),"",AE278/X278)</f>
        <v/>
      </c>
      <c r="AJ278" s="44">
        <f>IF(OR(AI278="",AH278=""),"",(AI278-AH278)*100)</f>
        <v/>
      </c>
      <c r="AK278" s="68" t="n">
        <v>28</v>
      </c>
      <c r="AL278" s="68" t="n">
        <v>2</v>
      </c>
      <c r="AM278" s="69">
        <f>IF(OR(AL278="",AK278="",AK278=0,AL278=0),"",AL278-AK278)</f>
        <v/>
      </c>
      <c r="AN278" s="42">
        <f>IF(OR(AL278="",AK278="",AK278=0,AL278=0),"",AL278/AK278-1)</f>
        <v/>
      </c>
      <c r="AO278" s="43">
        <f>IF(OR(AK278="",AD278="",AD278=0),"",AK278/AD278)</f>
        <v/>
      </c>
      <c r="AP278" s="43">
        <f>IF(OR(AL278="",AE278="",AE278=0),"",AL278/AE278)</f>
        <v/>
      </c>
      <c r="AQ278" s="44">
        <f>IF(OR(AP278="",AO278=""),"",(AP278-AO278)*100)</f>
        <v/>
      </c>
      <c r="AR278" s="68" t="n">
        <v>22</v>
      </c>
      <c r="AS278" s="68" t="n">
        <v>2</v>
      </c>
      <c r="AT278" s="69">
        <f>IF(OR(AS278="",AR278="",AR278=0,AS278=0),"",AS278-AR278)</f>
        <v/>
      </c>
      <c r="AU278" s="42">
        <f>IF(OR(AS278="",AR278="",AR278=0,AS278=0),"",AS278/AR278-1)</f>
        <v/>
      </c>
      <c r="AV278" s="43">
        <f>IF(OR(AR278="",AK278="",AK278=0),"",AR278/AK278)</f>
        <v/>
      </c>
      <c r="AW278" s="43">
        <f>IF(OR(AS278="",AL278="",AL278=0),"",AS278/AL278)</f>
        <v/>
      </c>
      <c r="AX278" s="44">
        <f>IF(OR(AW278="",AV278=""),"",(AW278-AV278)*100)</f>
        <v/>
      </c>
      <c r="AY278" s="45">
        <f>IF(OR(AR278="",P278="",P278=0),"",AR278/P278)</f>
        <v/>
      </c>
      <c r="AZ278" s="45">
        <f>IF(OR(AS278="",Q278="",Q278=0),"",AS278/Q278)</f>
        <v/>
      </c>
      <c r="BA278" s="44">
        <f>IF(OR(AZ278="",AY278=""),"",(AZ278-AY278)*100)</f>
        <v/>
      </c>
      <c r="BB278" s="45">
        <f>IF(OR(AR278="",E278="",E278=0),"",AR278/E278)</f>
        <v/>
      </c>
      <c r="BC278" s="45">
        <f>IF(OR(AS278="",F278="",F278=0),"",AS278/F278)</f>
        <v/>
      </c>
      <c r="BD278" s="44">
        <f>IF(OR(BC278="",BB278=""),"",(BC278-BB278)*100)</f>
        <v/>
      </c>
      <c r="BE278" s="40">
        <f>IF(AND(F278&lt;&gt;"",E278&lt;&gt;""),"Both years",IF(F278&lt;&gt;"","1-23Aug26 rows only","1-23Aug25 rows only"))</f>
        <v/>
      </c>
    </row>
    <row r="279">
      <c r="A279" s="40" t="inlineStr">
        <is>
          <t>Airport page</t>
        </is>
      </c>
      <c r="B279" s="40" t="inlineStr">
        <is>
          <t>Organic</t>
        </is>
      </c>
      <c r="C279" s="40" t="inlineStr">
        <is>
          <t>Desktop</t>
        </is>
      </c>
      <c r="D279" s="40" t="inlineStr">
        <is>
          <t>Ireland</t>
        </is>
      </c>
      <c r="E279" s="68" t="n">
        <v>174</v>
      </c>
      <c r="F279" s="68" t="n">
        <v>176</v>
      </c>
      <c r="G279" s="69">
        <f>IF(OR(F279="",E279="",E279=0,F279=0),"",F279-E279)</f>
        <v/>
      </c>
      <c r="H279" s="42">
        <f>IF(OR(F279="",E279="",E279=0,F279=0),"",F279/E279-1)</f>
        <v/>
      </c>
      <c r="I279" s="68" t="n">
        <v>116</v>
      </c>
      <c r="J279" s="68" t="n">
        <v>124</v>
      </c>
      <c r="K279" s="69">
        <f>IF(OR(J279="",I279="",I279=0,J279=0),"",J279-I279)</f>
        <v/>
      </c>
      <c r="L279" s="42">
        <f>IF(OR(J279="",I279="",I279=0,J279=0),"",J279/I279-1)</f>
        <v/>
      </c>
      <c r="M279" s="43">
        <f>IF(OR(I279="",E279="",E279=0),"",I279/E279)</f>
        <v/>
      </c>
      <c r="N279" s="43">
        <f>IF(OR(J279="",F279="",F279=0),"",J279/F279)</f>
        <v/>
      </c>
      <c r="O279" s="44">
        <f>IF(OR(N279="",M279=""),"",(N279-M279)*100)</f>
        <v/>
      </c>
      <c r="P279" s="68" t="n">
        <v>119</v>
      </c>
      <c r="Q279" s="68" t="n">
        <v>96</v>
      </c>
      <c r="R279" s="69">
        <f>IF(OR(Q279="",P279="",P279=0,Q279=0),"",Q279-P279)</f>
        <v/>
      </c>
      <c r="S279" s="42">
        <f>IF(OR(Q279="",P279="",P279=0,Q279=0),"",Q279/P279-1)</f>
        <v/>
      </c>
      <c r="T279" s="43">
        <f>IF(OR(P279="",E279="",E279=0),"",P279/E279)</f>
        <v/>
      </c>
      <c r="U279" s="43">
        <f>IF(OR(Q279="",F279="",F279=0),"",Q279/F279)</f>
        <v/>
      </c>
      <c r="V279" s="44">
        <f>IF(OR(U279="",T279=""),"",(U279-T279)*100)</f>
        <v/>
      </c>
      <c r="W279" s="68" t="n">
        <v>36</v>
      </c>
      <c r="X279" s="68" t="n">
        <v>23</v>
      </c>
      <c r="Y279" s="69">
        <f>IF(OR(X279="",W279="",W279=0,X279=0),"",X279-W279)</f>
        <v/>
      </c>
      <c r="Z279" s="42">
        <f>IF(OR(X279="",W279="",W279=0,X279=0),"",X279/W279-1)</f>
        <v/>
      </c>
      <c r="AA279" s="43">
        <f>IF(OR(W279="",P279="",P279=0),"",W279/P279)</f>
        <v/>
      </c>
      <c r="AB279" s="43">
        <f>IF(OR(X279="",Q279="",Q279=0),"",X279/Q279)</f>
        <v/>
      </c>
      <c r="AC279" s="44">
        <f>IF(OR(AB279="",AA279=""),"",(AB279-AA279)*100)</f>
        <v/>
      </c>
      <c r="AD279" s="68" t="n">
        <v>33</v>
      </c>
      <c r="AE279" s="68" t="n">
        <v>15</v>
      </c>
      <c r="AF279" s="69">
        <f>IF(OR(AE279="",AD279="",AD279=0,AE279=0),"",AE279-AD279)</f>
        <v/>
      </c>
      <c r="AG279" s="42">
        <f>IF(OR(AE279="",AD279="",AD279=0,AE279=0),"",AE279/AD279-1)</f>
        <v/>
      </c>
      <c r="AH279" s="43">
        <f>IF(OR(AD279="",W279="",W279=0),"",AD279/W279)</f>
        <v/>
      </c>
      <c r="AI279" s="43">
        <f>IF(OR(AE279="",X279="",X279=0),"",AE279/X279)</f>
        <v/>
      </c>
      <c r="AJ279" s="44">
        <f>IF(OR(AI279="",AH279=""),"",(AI279-AH279)*100)</f>
        <v/>
      </c>
      <c r="AK279" s="68" t="n">
        <v>18</v>
      </c>
      <c r="AL279" s="68" t="n">
        <v>7</v>
      </c>
      <c r="AM279" s="69">
        <f>IF(OR(AL279="",AK279="",AK279=0,AL279=0),"",AL279-AK279)</f>
        <v/>
      </c>
      <c r="AN279" s="42">
        <f>IF(OR(AL279="",AK279="",AK279=0,AL279=0),"",AL279/AK279-1)</f>
        <v/>
      </c>
      <c r="AO279" s="43">
        <f>IF(OR(AK279="",AD279="",AD279=0),"",AK279/AD279)</f>
        <v/>
      </c>
      <c r="AP279" s="43">
        <f>IF(OR(AL279="",AE279="",AE279=0),"",AL279/AE279)</f>
        <v/>
      </c>
      <c r="AQ279" s="44">
        <f>IF(OR(AP279="",AO279=""),"",(AP279-AO279)*100)</f>
        <v/>
      </c>
      <c r="AR279" s="68" t="n">
        <v>16</v>
      </c>
      <c r="AS279" s="68" t="n">
        <v>4</v>
      </c>
      <c r="AT279" s="69">
        <f>IF(OR(AS279="",AR279="",AR279=0,AS279=0),"",AS279-AR279)</f>
        <v/>
      </c>
      <c r="AU279" s="42">
        <f>IF(OR(AS279="",AR279="",AR279=0,AS279=0),"",AS279/AR279-1)</f>
        <v/>
      </c>
      <c r="AV279" s="43">
        <f>IF(OR(AR279="",AK279="",AK279=0),"",AR279/AK279)</f>
        <v/>
      </c>
      <c r="AW279" s="43">
        <f>IF(OR(AS279="",AL279="",AL279=0),"",AS279/AL279)</f>
        <v/>
      </c>
      <c r="AX279" s="44">
        <f>IF(OR(AW279="",AV279=""),"",(AW279-AV279)*100)</f>
        <v/>
      </c>
      <c r="AY279" s="45">
        <f>IF(OR(AR279="",P279="",P279=0),"",AR279/P279)</f>
        <v/>
      </c>
      <c r="AZ279" s="45">
        <f>IF(OR(AS279="",Q279="",Q279=0),"",AS279/Q279)</f>
        <v/>
      </c>
      <c r="BA279" s="44">
        <f>IF(OR(AZ279="",AY279=""),"",(AZ279-AY279)*100)</f>
        <v/>
      </c>
      <c r="BB279" s="45">
        <f>IF(OR(AR279="",E279="",E279=0),"",AR279/E279)</f>
        <v/>
      </c>
      <c r="BC279" s="45">
        <f>IF(OR(AS279="",F279="",F279=0),"",AS279/F279)</f>
        <v/>
      </c>
      <c r="BD279" s="44">
        <f>IF(OR(BC279="",BB279=""),"",(BC279-BB279)*100)</f>
        <v/>
      </c>
      <c r="BE279" s="40">
        <f>IF(AND(F279&lt;&gt;"",E279&lt;&gt;""),"Both years",IF(F279&lt;&gt;"","1-23Aug26 rows only","1-23Aug25 rows only"))</f>
        <v/>
      </c>
    </row>
    <row r="280">
      <c r="A280" s="56" t="inlineStr">
        <is>
          <t>Airport page</t>
        </is>
      </c>
      <c r="B280" s="56" t="inlineStr">
        <is>
          <t>Organic</t>
        </is>
      </c>
      <c r="C280" s="56" t="inlineStr">
        <is>
          <t>Desktop</t>
        </is>
      </c>
      <c r="D280" s="56" t="inlineStr">
        <is>
          <t>Portugal</t>
        </is>
      </c>
      <c r="E280" s="68" t="n">
        <v>163</v>
      </c>
      <c r="F280" s="68" t="n">
        <v>151</v>
      </c>
      <c r="G280" s="69">
        <f>IF(OR(F280="",E280="",E280=0,F280=0),"",F280-E280)</f>
        <v/>
      </c>
      <c r="H280" s="42">
        <f>IF(OR(F280="",E280="",E280=0,F280=0),"",F280/E280-1)</f>
        <v/>
      </c>
      <c r="I280" s="70" t="n"/>
      <c r="J280" s="70" t="n"/>
      <c r="K280" s="69">
        <f>IF(OR(J280="",I280="",I280=0,J280=0),"",J280-I280)</f>
        <v/>
      </c>
      <c r="L280" s="42">
        <f>IF(OR(J280="",I280="",I280=0,J280=0),"",J280/I280-1)</f>
        <v/>
      </c>
      <c r="M280" s="43">
        <f>IF(OR(I280="",E280="",E280=0),"",I280/E280)</f>
        <v/>
      </c>
      <c r="N280" s="43">
        <f>IF(OR(J280="",F280="",F280=0),"",J280/F280)</f>
        <v/>
      </c>
      <c r="O280" s="44">
        <f>IF(OR(N280="",M280=""),"",(N280-M280)*100)</f>
        <v/>
      </c>
      <c r="P280" s="68" t="n">
        <v>101</v>
      </c>
      <c r="Q280" s="68" t="n">
        <v>70</v>
      </c>
      <c r="R280" s="69">
        <f>IF(OR(Q280="",P280="",P280=0,Q280=0),"",Q280-P280)</f>
        <v/>
      </c>
      <c r="S280" s="42">
        <f>IF(OR(Q280="",P280="",P280=0,Q280=0),"",Q280/P280-1)</f>
        <v/>
      </c>
      <c r="T280" s="43">
        <f>IF(OR(P280="",E280="",E280=0),"",P280/E280)</f>
        <v/>
      </c>
      <c r="U280" s="43">
        <f>IF(OR(Q280="",F280="",F280=0),"",Q280/F280)</f>
        <v/>
      </c>
      <c r="V280" s="44">
        <f>IF(OR(U280="",T280=""),"",(U280-T280)*100)</f>
        <v/>
      </c>
      <c r="W280" s="70" t="n"/>
      <c r="X280" s="70" t="n"/>
      <c r="Y280" s="69">
        <f>IF(OR(X280="",W280="",W280=0,X280=0),"",X280-W280)</f>
        <v/>
      </c>
      <c r="Z280" s="42">
        <f>IF(OR(X280="",W280="",W280=0,X280=0),"",X280/W280-1)</f>
        <v/>
      </c>
      <c r="AA280" s="43">
        <f>IF(OR(W280="",P280="",P280=0),"",W280/P280)</f>
        <v/>
      </c>
      <c r="AB280" s="43">
        <f>IF(OR(X280="",Q280="",Q280=0),"",X280/Q280)</f>
        <v/>
      </c>
      <c r="AC280" s="44">
        <f>IF(OR(AB280="",AA280=""),"",(AB280-AA280)*100)</f>
        <v/>
      </c>
      <c r="AD280" s="70" t="n"/>
      <c r="AE280" s="70" t="n"/>
      <c r="AF280" s="69">
        <f>IF(OR(AE280="",AD280="",AD280=0,AE280=0),"",AE280-AD280)</f>
        <v/>
      </c>
      <c r="AG280" s="42">
        <f>IF(OR(AE280="",AD280="",AD280=0,AE280=0),"",AE280/AD280-1)</f>
        <v/>
      </c>
      <c r="AH280" s="43">
        <f>IF(OR(AD280="",W280="",W280=0),"",AD280/W280)</f>
        <v/>
      </c>
      <c r="AI280" s="43">
        <f>IF(OR(AE280="",X280="",X280=0),"",AE280/X280)</f>
        <v/>
      </c>
      <c r="AJ280" s="44">
        <f>IF(OR(AI280="",AH280=""),"",(AI280-AH280)*100)</f>
        <v/>
      </c>
      <c r="AK280" s="70" t="n"/>
      <c r="AL280" s="70" t="n"/>
      <c r="AM280" s="69">
        <f>IF(OR(AL280="",AK280="",AK280=0,AL280=0),"",AL280-AK280)</f>
        <v/>
      </c>
      <c r="AN280" s="42">
        <f>IF(OR(AL280="",AK280="",AK280=0,AL280=0),"",AL280/AK280-1)</f>
        <v/>
      </c>
      <c r="AO280" s="43">
        <f>IF(OR(AK280="",AD280="",AD280=0),"",AK280/AD280)</f>
        <v/>
      </c>
      <c r="AP280" s="43">
        <f>IF(OR(AL280="",AE280="",AE280=0),"",AL280/AE280)</f>
        <v/>
      </c>
      <c r="AQ280" s="44">
        <f>IF(OR(AP280="",AO280=""),"",(AP280-AO280)*100)</f>
        <v/>
      </c>
      <c r="AR280" s="70" t="n"/>
      <c r="AS280" s="70" t="n"/>
      <c r="AT280" s="69">
        <f>IF(OR(AS280="",AR280="",AR280=0,AS280=0),"",AS280-AR280)</f>
        <v/>
      </c>
      <c r="AU280" s="42">
        <f>IF(OR(AS280="",AR280="",AR280=0,AS280=0),"",AS280/AR280-1)</f>
        <v/>
      </c>
      <c r="AV280" s="43">
        <f>IF(OR(AR280="",AK280="",AK280=0),"",AR280/AK280)</f>
        <v/>
      </c>
      <c r="AW280" s="43">
        <f>IF(OR(AS280="",AL280="",AL280=0),"",AS280/AL280)</f>
        <v/>
      </c>
      <c r="AX280" s="44">
        <f>IF(OR(AW280="",AV280=""),"",(AW280-AV280)*100)</f>
        <v/>
      </c>
      <c r="AY280" s="45">
        <f>IF(OR(AR280="",P280="",P280=0),"",AR280/P280)</f>
        <v/>
      </c>
      <c r="AZ280" s="45">
        <f>IF(OR(AS280="",Q280="",Q280=0),"",AS280/Q280)</f>
        <v/>
      </c>
      <c r="BA280" s="44">
        <f>IF(OR(AZ280="",AY280=""),"",(AZ280-AY280)*100)</f>
        <v/>
      </c>
      <c r="BB280" s="45">
        <f>IF(OR(AR280="",E280="",E280=0),"",AR280/E280)</f>
        <v/>
      </c>
      <c r="BC280" s="45">
        <f>IF(OR(AS280="",F280="",F280=0),"",AS280/F280)</f>
        <v/>
      </c>
      <c r="BD280" s="44">
        <f>IF(OR(BC280="",BB280=""),"",(BC280-BB280)*100)</f>
        <v/>
      </c>
      <c r="BE280" s="40">
        <f>IF(AND(F280&lt;&gt;"",E280&lt;&gt;""),"Both years",IF(F280&lt;&gt;"","1-23Aug26 rows only","1-23Aug25 rows only"))</f>
        <v/>
      </c>
    </row>
    <row r="281">
      <c r="A281" s="40" t="inlineStr">
        <is>
          <t>Airport page</t>
        </is>
      </c>
      <c r="B281" s="40" t="inlineStr">
        <is>
          <t>Organic</t>
        </is>
      </c>
      <c r="C281" s="40" t="inlineStr">
        <is>
          <t>Desktop</t>
        </is>
      </c>
      <c r="D281" s="40" t="inlineStr">
        <is>
          <t>Sweden</t>
        </is>
      </c>
      <c r="E281" s="68" t="n">
        <v>143</v>
      </c>
      <c r="F281" s="68" t="n">
        <v>151</v>
      </c>
      <c r="G281" s="69">
        <f>IF(OR(F281="",E281="",E281=0,F281=0),"",F281-E281)</f>
        <v/>
      </c>
      <c r="H281" s="42">
        <f>IF(OR(F281="",E281="",E281=0,F281=0),"",F281/E281-1)</f>
        <v/>
      </c>
      <c r="I281" s="68" t="n">
        <v>96</v>
      </c>
      <c r="J281" s="68" t="n">
        <v>99</v>
      </c>
      <c r="K281" s="69">
        <f>IF(OR(J281="",I281="",I281=0,J281=0),"",J281-I281)</f>
        <v/>
      </c>
      <c r="L281" s="42">
        <f>IF(OR(J281="",I281="",I281=0,J281=0),"",J281/I281-1)</f>
        <v/>
      </c>
      <c r="M281" s="43">
        <f>IF(OR(I281="",E281="",E281=0),"",I281/E281)</f>
        <v/>
      </c>
      <c r="N281" s="43">
        <f>IF(OR(J281="",F281="",F281=0),"",J281/F281)</f>
        <v/>
      </c>
      <c r="O281" s="44">
        <f>IF(OR(N281="",M281=""),"",(N281-M281)*100)</f>
        <v/>
      </c>
      <c r="P281" s="68" t="n">
        <v>94</v>
      </c>
      <c r="Q281" s="68" t="n">
        <v>67</v>
      </c>
      <c r="R281" s="69">
        <f>IF(OR(Q281="",P281="",P281=0,Q281=0),"",Q281-P281)</f>
        <v/>
      </c>
      <c r="S281" s="42">
        <f>IF(OR(Q281="",P281="",P281=0,Q281=0),"",Q281/P281-1)</f>
        <v/>
      </c>
      <c r="T281" s="43">
        <f>IF(OR(P281="",E281="",E281=0),"",P281/E281)</f>
        <v/>
      </c>
      <c r="U281" s="43">
        <f>IF(OR(Q281="",F281="",F281=0),"",Q281/F281)</f>
        <v/>
      </c>
      <c r="V281" s="44">
        <f>IF(OR(U281="",T281=""),"",(U281-T281)*100)</f>
        <v/>
      </c>
      <c r="W281" s="68" t="n">
        <v>18</v>
      </c>
      <c r="X281" s="68" t="n">
        <v>15</v>
      </c>
      <c r="Y281" s="69">
        <f>IF(OR(X281="",W281="",W281=0,X281=0),"",X281-W281)</f>
        <v/>
      </c>
      <c r="Z281" s="42">
        <f>IF(OR(X281="",W281="",W281=0,X281=0),"",X281/W281-1)</f>
        <v/>
      </c>
      <c r="AA281" s="43">
        <f>IF(OR(W281="",P281="",P281=0),"",W281/P281)</f>
        <v/>
      </c>
      <c r="AB281" s="43">
        <f>IF(OR(X281="",Q281="",Q281=0),"",X281/Q281)</f>
        <v/>
      </c>
      <c r="AC281" s="44">
        <f>IF(OR(AB281="",AA281=""),"",(AB281-AA281)*100)</f>
        <v/>
      </c>
      <c r="AD281" s="68" t="n">
        <v>17</v>
      </c>
      <c r="AE281" s="68" t="n">
        <v>10</v>
      </c>
      <c r="AF281" s="69">
        <f>IF(OR(AE281="",AD281="",AD281=0,AE281=0),"",AE281-AD281)</f>
        <v/>
      </c>
      <c r="AG281" s="42">
        <f>IF(OR(AE281="",AD281="",AD281=0,AE281=0),"",AE281/AD281-1)</f>
        <v/>
      </c>
      <c r="AH281" s="43">
        <f>IF(OR(AD281="",W281="",W281=0),"",AD281/W281)</f>
        <v/>
      </c>
      <c r="AI281" s="43">
        <f>IF(OR(AE281="",X281="",X281=0),"",AE281/X281)</f>
        <v/>
      </c>
      <c r="AJ281" s="44">
        <f>IF(OR(AI281="",AH281=""),"",(AI281-AH281)*100)</f>
        <v/>
      </c>
      <c r="AK281" s="68" t="n">
        <v>5</v>
      </c>
      <c r="AL281" s="68" t="n">
        <v>4</v>
      </c>
      <c r="AM281" s="69">
        <f>IF(OR(AL281="",AK281="",AK281=0,AL281=0),"",AL281-AK281)</f>
        <v/>
      </c>
      <c r="AN281" s="42">
        <f>IF(OR(AL281="",AK281="",AK281=0,AL281=0),"",AL281/AK281-1)</f>
        <v/>
      </c>
      <c r="AO281" s="43">
        <f>IF(OR(AK281="",AD281="",AD281=0),"",AK281/AD281)</f>
        <v/>
      </c>
      <c r="AP281" s="43">
        <f>IF(OR(AL281="",AE281="",AE281=0),"",AL281/AE281)</f>
        <v/>
      </c>
      <c r="AQ281" s="44">
        <f>IF(OR(AP281="",AO281=""),"",(AP281-AO281)*100)</f>
        <v/>
      </c>
      <c r="AR281" s="68" t="n">
        <v>4</v>
      </c>
      <c r="AS281" s="68" t="n">
        <v>3</v>
      </c>
      <c r="AT281" s="69">
        <f>IF(OR(AS281="",AR281="",AR281=0,AS281=0),"",AS281-AR281)</f>
        <v/>
      </c>
      <c r="AU281" s="42">
        <f>IF(OR(AS281="",AR281="",AR281=0,AS281=0),"",AS281/AR281-1)</f>
        <v/>
      </c>
      <c r="AV281" s="43">
        <f>IF(OR(AR281="",AK281="",AK281=0),"",AR281/AK281)</f>
        <v/>
      </c>
      <c r="AW281" s="43">
        <f>IF(OR(AS281="",AL281="",AL281=0),"",AS281/AL281)</f>
        <v/>
      </c>
      <c r="AX281" s="44">
        <f>IF(OR(AW281="",AV281=""),"",(AW281-AV281)*100)</f>
        <v/>
      </c>
      <c r="AY281" s="45">
        <f>IF(OR(AR281="",P281="",P281=0),"",AR281/P281)</f>
        <v/>
      </c>
      <c r="AZ281" s="45">
        <f>IF(OR(AS281="",Q281="",Q281=0),"",AS281/Q281)</f>
        <v/>
      </c>
      <c r="BA281" s="44">
        <f>IF(OR(AZ281="",AY281=""),"",(AZ281-AY281)*100)</f>
        <v/>
      </c>
      <c r="BB281" s="45">
        <f>IF(OR(AR281="",E281="",E281=0),"",AR281/E281)</f>
        <v/>
      </c>
      <c r="BC281" s="45">
        <f>IF(OR(AS281="",F281="",F281=0),"",AS281/F281)</f>
        <v/>
      </c>
      <c r="BD281" s="44">
        <f>IF(OR(BC281="",BB281=""),"",(BC281-BB281)*100)</f>
        <v/>
      </c>
      <c r="BE281" s="40">
        <f>IF(AND(F281&lt;&gt;"",E281&lt;&gt;""),"Both years",IF(F281&lt;&gt;"","1-23Aug26 rows only","1-23Aug25 rows only"))</f>
        <v/>
      </c>
    </row>
    <row r="282">
      <c r="A282" s="56" t="inlineStr">
        <is>
          <t>Airport page</t>
        </is>
      </c>
      <c r="B282" s="56" t="inlineStr">
        <is>
          <t>Organic</t>
        </is>
      </c>
      <c r="C282" s="56" t="inlineStr">
        <is>
          <t>Desktop</t>
        </is>
      </c>
      <c r="D282" s="56" t="inlineStr">
        <is>
          <t>Australia</t>
        </is>
      </c>
      <c r="E282" s="68" t="n">
        <v>208</v>
      </c>
      <c r="F282" s="68" t="n">
        <v>120</v>
      </c>
      <c r="G282" s="69">
        <f>IF(OR(F282="",E282="",E282=0,F282=0),"",F282-E282)</f>
        <v/>
      </c>
      <c r="H282" s="42">
        <f>IF(OR(F282="",E282="",E282=0,F282=0),"",F282/E282-1)</f>
        <v/>
      </c>
      <c r="I282" s="70" t="n"/>
      <c r="J282" s="70" t="n"/>
      <c r="K282" s="69">
        <f>IF(OR(J282="",I282="",I282=0,J282=0),"",J282-I282)</f>
        <v/>
      </c>
      <c r="L282" s="42">
        <f>IF(OR(J282="",I282="",I282=0,J282=0),"",J282/I282-1)</f>
        <v/>
      </c>
      <c r="M282" s="43">
        <f>IF(OR(I282="",E282="",E282=0),"",I282/E282)</f>
        <v/>
      </c>
      <c r="N282" s="43">
        <f>IF(OR(J282="",F282="",F282=0),"",J282/F282)</f>
        <v/>
      </c>
      <c r="O282" s="44">
        <f>IF(OR(N282="",M282=""),"",(N282-M282)*100)</f>
        <v/>
      </c>
      <c r="P282" s="68" t="n">
        <v>123</v>
      </c>
      <c r="Q282" s="68" t="n">
        <v>68</v>
      </c>
      <c r="R282" s="69">
        <f>IF(OR(Q282="",P282="",P282=0,Q282=0),"",Q282-P282)</f>
        <v/>
      </c>
      <c r="S282" s="42">
        <f>IF(OR(Q282="",P282="",P282=0,Q282=0),"",Q282/P282-1)</f>
        <v/>
      </c>
      <c r="T282" s="43">
        <f>IF(OR(P282="",E282="",E282=0),"",P282/E282)</f>
        <v/>
      </c>
      <c r="U282" s="43">
        <f>IF(OR(Q282="",F282="",F282=0),"",Q282/F282)</f>
        <v/>
      </c>
      <c r="V282" s="44">
        <f>IF(OR(U282="",T282=""),"",(U282-T282)*100)</f>
        <v/>
      </c>
      <c r="W282" s="70" t="n"/>
      <c r="X282" s="70" t="n"/>
      <c r="Y282" s="69">
        <f>IF(OR(X282="",W282="",W282=0,X282=0),"",X282-W282)</f>
        <v/>
      </c>
      <c r="Z282" s="42">
        <f>IF(OR(X282="",W282="",W282=0,X282=0),"",X282/W282-1)</f>
        <v/>
      </c>
      <c r="AA282" s="43">
        <f>IF(OR(W282="",P282="",P282=0),"",W282/P282)</f>
        <v/>
      </c>
      <c r="AB282" s="43">
        <f>IF(OR(X282="",Q282="",Q282=0),"",X282/Q282)</f>
        <v/>
      </c>
      <c r="AC282" s="44">
        <f>IF(OR(AB282="",AA282=""),"",(AB282-AA282)*100)</f>
        <v/>
      </c>
      <c r="AD282" s="70" t="n"/>
      <c r="AE282" s="70" t="n"/>
      <c r="AF282" s="69">
        <f>IF(OR(AE282="",AD282="",AD282=0,AE282=0),"",AE282-AD282)</f>
        <v/>
      </c>
      <c r="AG282" s="42">
        <f>IF(OR(AE282="",AD282="",AD282=0,AE282=0),"",AE282/AD282-1)</f>
        <v/>
      </c>
      <c r="AH282" s="43">
        <f>IF(OR(AD282="",W282="",W282=0),"",AD282/W282)</f>
        <v/>
      </c>
      <c r="AI282" s="43">
        <f>IF(OR(AE282="",X282="",X282=0),"",AE282/X282)</f>
        <v/>
      </c>
      <c r="AJ282" s="44">
        <f>IF(OR(AI282="",AH282=""),"",(AI282-AH282)*100)</f>
        <v/>
      </c>
      <c r="AK282" s="70" t="n"/>
      <c r="AL282" s="70" t="n"/>
      <c r="AM282" s="69">
        <f>IF(OR(AL282="",AK282="",AK282=0,AL282=0),"",AL282-AK282)</f>
        <v/>
      </c>
      <c r="AN282" s="42">
        <f>IF(OR(AL282="",AK282="",AK282=0,AL282=0),"",AL282/AK282-1)</f>
        <v/>
      </c>
      <c r="AO282" s="43">
        <f>IF(OR(AK282="",AD282="",AD282=0),"",AK282/AD282)</f>
        <v/>
      </c>
      <c r="AP282" s="43">
        <f>IF(OR(AL282="",AE282="",AE282=0),"",AL282/AE282)</f>
        <v/>
      </c>
      <c r="AQ282" s="44">
        <f>IF(OR(AP282="",AO282=""),"",(AP282-AO282)*100)</f>
        <v/>
      </c>
      <c r="AR282" s="70" t="n"/>
      <c r="AS282" s="70" t="n"/>
      <c r="AT282" s="69">
        <f>IF(OR(AS282="",AR282="",AR282=0,AS282=0),"",AS282-AR282)</f>
        <v/>
      </c>
      <c r="AU282" s="42">
        <f>IF(OR(AS282="",AR282="",AR282=0,AS282=0),"",AS282/AR282-1)</f>
        <v/>
      </c>
      <c r="AV282" s="43">
        <f>IF(OR(AR282="",AK282="",AK282=0),"",AR282/AK282)</f>
        <v/>
      </c>
      <c r="AW282" s="43">
        <f>IF(OR(AS282="",AL282="",AL282=0),"",AS282/AL282)</f>
        <v/>
      </c>
      <c r="AX282" s="44">
        <f>IF(OR(AW282="",AV282=""),"",(AW282-AV282)*100)</f>
        <v/>
      </c>
      <c r="AY282" s="45">
        <f>IF(OR(AR282="",P282="",P282=0),"",AR282/P282)</f>
        <v/>
      </c>
      <c r="AZ282" s="45">
        <f>IF(OR(AS282="",Q282="",Q282=0),"",AS282/Q282)</f>
        <v/>
      </c>
      <c r="BA282" s="44">
        <f>IF(OR(AZ282="",AY282=""),"",(AZ282-AY282)*100)</f>
        <v/>
      </c>
      <c r="BB282" s="45">
        <f>IF(OR(AR282="",E282="",E282=0),"",AR282/E282)</f>
        <v/>
      </c>
      <c r="BC282" s="45">
        <f>IF(OR(AS282="",F282="",F282=0),"",AS282/F282)</f>
        <v/>
      </c>
      <c r="BD282" s="44">
        <f>IF(OR(BC282="",BB282=""),"",(BC282-BB282)*100)</f>
        <v/>
      </c>
      <c r="BE282" s="40">
        <f>IF(AND(F282&lt;&gt;"",E282&lt;&gt;""),"Both years",IF(F282&lt;&gt;"","1-23Aug26 rows only","1-23Aug25 rows only"))</f>
        <v/>
      </c>
    </row>
    <row r="283">
      <c r="A283" s="40" t="inlineStr">
        <is>
          <t>Airport page</t>
        </is>
      </c>
      <c r="B283" s="40" t="inlineStr">
        <is>
          <t>Organic</t>
        </is>
      </c>
      <c r="C283" s="40" t="inlineStr">
        <is>
          <t>Desktop</t>
        </is>
      </c>
      <c r="D283" s="40" t="inlineStr">
        <is>
          <t>Belgium</t>
        </is>
      </c>
      <c r="E283" s="70" t="n"/>
      <c r="F283" s="68" t="n">
        <v>115</v>
      </c>
      <c r="G283" s="69">
        <f>IF(OR(F283="",E283="",E283=0,F283=0),"",F283-E283)</f>
        <v/>
      </c>
      <c r="H283" s="42">
        <f>IF(OR(F283="",E283="",E283=0,F283=0),"",F283/E283-1)</f>
        <v/>
      </c>
      <c r="I283" s="68" t="n">
        <v>51</v>
      </c>
      <c r="J283" s="68" t="n">
        <v>79</v>
      </c>
      <c r="K283" s="69">
        <f>IF(OR(J283="",I283="",I283=0,J283=0),"",J283-I283)</f>
        <v/>
      </c>
      <c r="L283" s="42">
        <f>IF(OR(J283="",I283="",I283=0,J283=0),"",J283/I283-1)</f>
        <v/>
      </c>
      <c r="M283" s="43">
        <f>IF(OR(I283="",E283="",E283=0),"",I283/E283)</f>
        <v/>
      </c>
      <c r="N283" s="43">
        <f>IF(OR(J283="",F283="",F283=0),"",J283/F283)</f>
        <v/>
      </c>
      <c r="O283" s="44">
        <f>IF(OR(N283="",M283=""),"",(N283-M283)*100)</f>
        <v/>
      </c>
      <c r="P283" s="70" t="n"/>
      <c r="Q283" s="68" t="n">
        <v>59</v>
      </c>
      <c r="R283" s="69">
        <f>IF(OR(Q283="",P283="",P283=0,Q283=0),"",Q283-P283)</f>
        <v/>
      </c>
      <c r="S283" s="42">
        <f>IF(OR(Q283="",P283="",P283=0,Q283=0),"",Q283/P283-1)</f>
        <v/>
      </c>
      <c r="T283" s="43">
        <f>IF(OR(P283="",E283="",E283=0),"",P283/E283)</f>
        <v/>
      </c>
      <c r="U283" s="43">
        <f>IF(OR(Q283="",F283="",F283=0),"",Q283/F283)</f>
        <v/>
      </c>
      <c r="V283" s="44">
        <f>IF(OR(U283="",T283=""),"",(U283-T283)*100)</f>
        <v/>
      </c>
      <c r="W283" s="68" t="n">
        <v>11</v>
      </c>
      <c r="X283" s="68" t="n">
        <v>12</v>
      </c>
      <c r="Y283" s="69">
        <f>IF(OR(X283="",W283="",W283=0,X283=0),"",X283-W283)</f>
        <v/>
      </c>
      <c r="Z283" s="42">
        <f>IF(OR(X283="",W283="",W283=0,X283=0),"",X283/W283-1)</f>
        <v/>
      </c>
      <c r="AA283" s="43">
        <f>IF(OR(W283="",P283="",P283=0),"",W283/P283)</f>
        <v/>
      </c>
      <c r="AB283" s="43">
        <f>IF(OR(X283="",Q283="",Q283=0),"",X283/Q283)</f>
        <v/>
      </c>
      <c r="AC283" s="44">
        <f>IF(OR(AB283="",AA283=""),"",(AB283-AA283)*100)</f>
        <v/>
      </c>
      <c r="AD283" s="68" t="n">
        <v>8</v>
      </c>
      <c r="AE283" s="68" t="n">
        <v>7</v>
      </c>
      <c r="AF283" s="69">
        <f>IF(OR(AE283="",AD283="",AD283=0,AE283=0),"",AE283-AD283)</f>
        <v/>
      </c>
      <c r="AG283" s="42">
        <f>IF(OR(AE283="",AD283="",AD283=0,AE283=0),"",AE283/AD283-1)</f>
        <v/>
      </c>
      <c r="AH283" s="43">
        <f>IF(OR(AD283="",W283="",W283=0),"",AD283/W283)</f>
        <v/>
      </c>
      <c r="AI283" s="43">
        <f>IF(OR(AE283="",X283="",X283=0),"",AE283/X283)</f>
        <v/>
      </c>
      <c r="AJ283" s="44">
        <f>IF(OR(AI283="",AH283=""),"",(AI283-AH283)*100)</f>
        <v/>
      </c>
      <c r="AK283" s="68" t="n">
        <v>4</v>
      </c>
      <c r="AL283" s="68" t="n">
        <v>4</v>
      </c>
      <c r="AM283" s="69">
        <f>IF(OR(AL283="",AK283="",AK283=0,AL283=0),"",AL283-AK283)</f>
        <v/>
      </c>
      <c r="AN283" s="42">
        <f>IF(OR(AL283="",AK283="",AK283=0,AL283=0),"",AL283/AK283-1)</f>
        <v/>
      </c>
      <c r="AO283" s="43">
        <f>IF(OR(AK283="",AD283="",AD283=0),"",AK283/AD283)</f>
        <v/>
      </c>
      <c r="AP283" s="43">
        <f>IF(OR(AL283="",AE283="",AE283=0),"",AL283/AE283)</f>
        <v/>
      </c>
      <c r="AQ283" s="44">
        <f>IF(OR(AP283="",AO283=""),"",(AP283-AO283)*100)</f>
        <v/>
      </c>
      <c r="AR283" s="68" t="n">
        <v>4</v>
      </c>
      <c r="AS283" s="68" t="n">
        <v>3</v>
      </c>
      <c r="AT283" s="69">
        <f>IF(OR(AS283="",AR283="",AR283=0,AS283=0),"",AS283-AR283)</f>
        <v/>
      </c>
      <c r="AU283" s="42">
        <f>IF(OR(AS283="",AR283="",AR283=0,AS283=0),"",AS283/AR283-1)</f>
        <v/>
      </c>
      <c r="AV283" s="43">
        <f>IF(OR(AR283="",AK283="",AK283=0),"",AR283/AK283)</f>
        <v/>
      </c>
      <c r="AW283" s="43">
        <f>IF(OR(AS283="",AL283="",AL283=0),"",AS283/AL283)</f>
        <v/>
      </c>
      <c r="AX283" s="44">
        <f>IF(OR(AW283="",AV283=""),"",(AW283-AV283)*100)</f>
        <v/>
      </c>
      <c r="AY283" s="45">
        <f>IF(OR(AR283="",P283="",P283=0),"",AR283/P283)</f>
        <v/>
      </c>
      <c r="AZ283" s="45">
        <f>IF(OR(AS283="",Q283="",Q283=0),"",AS283/Q283)</f>
        <v/>
      </c>
      <c r="BA283" s="44">
        <f>IF(OR(AZ283="",AY283=""),"",(AZ283-AY283)*100)</f>
        <v/>
      </c>
      <c r="BB283" s="45">
        <f>IF(OR(AR283="",E283="",E283=0),"",AR283/E283)</f>
        <v/>
      </c>
      <c r="BC283" s="45">
        <f>IF(OR(AS283="",F283="",F283=0),"",AS283/F283)</f>
        <v/>
      </c>
      <c r="BD283" s="44">
        <f>IF(OR(BC283="",BB283=""),"",(BC283-BB283)*100)</f>
        <v/>
      </c>
      <c r="BE283" s="40">
        <f>IF(AND(F283&lt;&gt;"",E283&lt;&gt;""),"Both years",IF(F283&lt;&gt;"","1-23Aug26 rows only","1-23Aug25 rows only"))</f>
        <v/>
      </c>
    </row>
    <row r="284">
      <c r="A284" s="56" t="inlineStr">
        <is>
          <t>Airport page</t>
        </is>
      </c>
      <c r="B284" s="56" t="inlineStr">
        <is>
          <t>Organic</t>
        </is>
      </c>
      <c r="C284" s="56" t="inlineStr">
        <is>
          <t>Desktop</t>
        </is>
      </c>
      <c r="D284" s="56" t="inlineStr">
        <is>
          <t>Finland</t>
        </is>
      </c>
      <c r="E284" s="68" t="n">
        <v>158</v>
      </c>
      <c r="F284" s="68" t="n">
        <v>107</v>
      </c>
      <c r="G284" s="69">
        <f>IF(OR(F284="",E284="",E284=0,F284=0),"",F284-E284)</f>
        <v/>
      </c>
      <c r="H284" s="42">
        <f>IF(OR(F284="",E284="",E284=0,F284=0),"",F284/E284-1)</f>
        <v/>
      </c>
      <c r="I284" s="68" t="n">
        <v>84</v>
      </c>
      <c r="J284" s="68" t="n">
        <v>68</v>
      </c>
      <c r="K284" s="69">
        <f>IF(OR(J284="",I284="",I284=0,J284=0),"",J284-I284)</f>
        <v/>
      </c>
      <c r="L284" s="42">
        <f>IF(OR(J284="",I284="",I284=0,J284=0),"",J284/I284-1)</f>
        <v/>
      </c>
      <c r="M284" s="43">
        <f>IF(OR(I284="",E284="",E284=0),"",I284/E284)</f>
        <v/>
      </c>
      <c r="N284" s="43">
        <f>IF(OR(J284="",F284="",F284=0),"",J284/F284)</f>
        <v/>
      </c>
      <c r="O284" s="44">
        <f>IF(OR(N284="",M284=""),"",(N284-M284)*100)</f>
        <v/>
      </c>
      <c r="P284" s="68" t="n">
        <v>95</v>
      </c>
      <c r="Q284" s="68" t="n">
        <v>52</v>
      </c>
      <c r="R284" s="69">
        <f>IF(OR(Q284="",P284="",P284=0,Q284=0),"",Q284-P284)</f>
        <v/>
      </c>
      <c r="S284" s="42">
        <f>IF(OR(Q284="",P284="",P284=0,Q284=0),"",Q284/P284-1)</f>
        <v/>
      </c>
      <c r="T284" s="43">
        <f>IF(OR(P284="",E284="",E284=0),"",P284/E284)</f>
        <v/>
      </c>
      <c r="U284" s="43">
        <f>IF(OR(Q284="",F284="",F284=0),"",Q284/F284)</f>
        <v/>
      </c>
      <c r="V284" s="44">
        <f>IF(OR(U284="",T284=""),"",(U284-T284)*100)</f>
        <v/>
      </c>
      <c r="W284" s="68" t="n">
        <v>28</v>
      </c>
      <c r="X284" s="68" t="n">
        <v>15</v>
      </c>
      <c r="Y284" s="69">
        <f>IF(OR(X284="",W284="",W284=0,X284=0),"",X284-W284)</f>
        <v/>
      </c>
      <c r="Z284" s="42">
        <f>IF(OR(X284="",W284="",W284=0,X284=0),"",X284/W284-1)</f>
        <v/>
      </c>
      <c r="AA284" s="43">
        <f>IF(OR(W284="",P284="",P284=0),"",W284/P284)</f>
        <v/>
      </c>
      <c r="AB284" s="43">
        <f>IF(OR(X284="",Q284="",Q284=0),"",X284/Q284)</f>
        <v/>
      </c>
      <c r="AC284" s="44">
        <f>IF(OR(AB284="",AA284=""),"",(AB284-AA284)*100)</f>
        <v/>
      </c>
      <c r="AD284" s="68" t="n">
        <v>19</v>
      </c>
      <c r="AE284" s="68" t="n">
        <v>12</v>
      </c>
      <c r="AF284" s="69">
        <f>IF(OR(AE284="",AD284="",AD284=0,AE284=0),"",AE284-AD284)</f>
        <v/>
      </c>
      <c r="AG284" s="42">
        <f>IF(OR(AE284="",AD284="",AD284=0,AE284=0),"",AE284/AD284-1)</f>
        <v/>
      </c>
      <c r="AH284" s="43">
        <f>IF(OR(AD284="",W284="",W284=0),"",AD284/W284)</f>
        <v/>
      </c>
      <c r="AI284" s="43">
        <f>IF(OR(AE284="",X284="",X284=0),"",AE284/X284)</f>
        <v/>
      </c>
      <c r="AJ284" s="44">
        <f>IF(OR(AI284="",AH284=""),"",(AI284-AH284)*100)</f>
        <v/>
      </c>
      <c r="AK284" s="68" t="n">
        <v>14</v>
      </c>
      <c r="AL284" s="68" t="n">
        <v>9</v>
      </c>
      <c r="AM284" s="69">
        <f>IF(OR(AL284="",AK284="",AK284=0,AL284=0),"",AL284-AK284)</f>
        <v/>
      </c>
      <c r="AN284" s="42">
        <f>IF(OR(AL284="",AK284="",AK284=0,AL284=0),"",AL284/AK284-1)</f>
        <v/>
      </c>
      <c r="AO284" s="43">
        <f>IF(OR(AK284="",AD284="",AD284=0),"",AK284/AD284)</f>
        <v/>
      </c>
      <c r="AP284" s="43">
        <f>IF(OR(AL284="",AE284="",AE284=0),"",AL284/AE284)</f>
        <v/>
      </c>
      <c r="AQ284" s="44">
        <f>IF(OR(AP284="",AO284=""),"",(AP284-AO284)*100)</f>
        <v/>
      </c>
      <c r="AR284" s="68" t="n">
        <v>9</v>
      </c>
      <c r="AS284" s="68" t="n">
        <v>5</v>
      </c>
      <c r="AT284" s="69">
        <f>IF(OR(AS284="",AR284="",AR284=0,AS284=0),"",AS284-AR284)</f>
        <v/>
      </c>
      <c r="AU284" s="42">
        <f>IF(OR(AS284="",AR284="",AR284=0,AS284=0),"",AS284/AR284-1)</f>
        <v/>
      </c>
      <c r="AV284" s="43">
        <f>IF(OR(AR284="",AK284="",AK284=0),"",AR284/AK284)</f>
        <v/>
      </c>
      <c r="AW284" s="43">
        <f>IF(OR(AS284="",AL284="",AL284=0),"",AS284/AL284)</f>
        <v/>
      </c>
      <c r="AX284" s="44">
        <f>IF(OR(AW284="",AV284=""),"",(AW284-AV284)*100)</f>
        <v/>
      </c>
      <c r="AY284" s="45">
        <f>IF(OR(AR284="",P284="",P284=0),"",AR284/P284)</f>
        <v/>
      </c>
      <c r="AZ284" s="45">
        <f>IF(OR(AS284="",Q284="",Q284=0),"",AS284/Q284)</f>
        <v/>
      </c>
      <c r="BA284" s="44">
        <f>IF(OR(AZ284="",AY284=""),"",(AZ284-AY284)*100)</f>
        <v/>
      </c>
      <c r="BB284" s="45">
        <f>IF(OR(AR284="",E284="",E284=0),"",AR284/E284)</f>
        <v/>
      </c>
      <c r="BC284" s="45">
        <f>IF(OR(AS284="",F284="",F284=0),"",AS284/F284)</f>
        <v/>
      </c>
      <c r="BD284" s="44">
        <f>IF(OR(BC284="",BB284=""),"",(BC284-BB284)*100)</f>
        <v/>
      </c>
      <c r="BE284" s="40">
        <f>IF(AND(F284&lt;&gt;"",E284&lt;&gt;""),"Both years",IF(F284&lt;&gt;"","1-23Aug26 rows only","1-23Aug25 rows only"))</f>
        <v/>
      </c>
    </row>
    <row r="285">
      <c r="A285" s="40" t="inlineStr">
        <is>
          <t>Airport page</t>
        </is>
      </c>
      <c r="B285" s="40" t="inlineStr">
        <is>
          <t>Organic</t>
        </is>
      </c>
      <c r="C285" s="40" t="inlineStr">
        <is>
          <t>Desktop</t>
        </is>
      </c>
      <c r="D285" s="40" t="inlineStr">
        <is>
          <t>Austria</t>
        </is>
      </c>
      <c r="E285" s="68" t="n">
        <v>147</v>
      </c>
      <c r="F285" s="70" t="n"/>
      <c r="G285" s="69">
        <f>IF(OR(F285="",E285="",E285=0,F285=0),"",F285-E285)</f>
        <v/>
      </c>
      <c r="H285" s="42">
        <f>IF(OR(F285="",E285="",E285=0,F285=0),"",F285/E285-1)</f>
        <v/>
      </c>
      <c r="I285" s="70" t="n"/>
      <c r="J285" s="70" t="n"/>
      <c r="K285" s="69">
        <f>IF(OR(J285="",I285="",I285=0,J285=0),"",J285-I285)</f>
        <v/>
      </c>
      <c r="L285" s="42">
        <f>IF(OR(J285="",I285="",I285=0,J285=0),"",J285/I285-1)</f>
        <v/>
      </c>
      <c r="M285" s="43">
        <f>IF(OR(I285="",E285="",E285=0),"",I285/E285)</f>
        <v/>
      </c>
      <c r="N285" s="43">
        <f>IF(OR(J285="",F285="",F285=0),"",J285/F285)</f>
        <v/>
      </c>
      <c r="O285" s="44">
        <f>IF(OR(N285="",M285=""),"",(N285-M285)*100)</f>
        <v/>
      </c>
      <c r="P285" s="68" t="n">
        <v>106</v>
      </c>
      <c r="Q285" s="70" t="n"/>
      <c r="R285" s="69">
        <f>IF(OR(Q285="",P285="",P285=0,Q285=0),"",Q285-P285)</f>
        <v/>
      </c>
      <c r="S285" s="42">
        <f>IF(OR(Q285="",P285="",P285=0,Q285=0),"",Q285/P285-1)</f>
        <v/>
      </c>
      <c r="T285" s="43">
        <f>IF(OR(P285="",E285="",E285=0),"",P285/E285)</f>
        <v/>
      </c>
      <c r="U285" s="43">
        <f>IF(OR(Q285="",F285="",F285=0),"",Q285/F285)</f>
        <v/>
      </c>
      <c r="V285" s="44">
        <f>IF(OR(U285="",T285=""),"",(U285-T285)*100)</f>
        <v/>
      </c>
      <c r="W285" s="70" t="n"/>
      <c r="X285" s="70" t="n"/>
      <c r="Y285" s="69">
        <f>IF(OR(X285="",W285="",W285=0,X285=0),"",X285-W285)</f>
        <v/>
      </c>
      <c r="Z285" s="42">
        <f>IF(OR(X285="",W285="",W285=0,X285=0),"",X285/W285-1)</f>
        <v/>
      </c>
      <c r="AA285" s="43">
        <f>IF(OR(W285="",P285="",P285=0),"",W285/P285)</f>
        <v/>
      </c>
      <c r="AB285" s="43">
        <f>IF(OR(X285="",Q285="",Q285=0),"",X285/Q285)</f>
        <v/>
      </c>
      <c r="AC285" s="44">
        <f>IF(OR(AB285="",AA285=""),"",(AB285-AA285)*100)</f>
        <v/>
      </c>
      <c r="AD285" s="70" t="n"/>
      <c r="AE285" s="70" t="n"/>
      <c r="AF285" s="69">
        <f>IF(OR(AE285="",AD285="",AD285=0,AE285=0),"",AE285-AD285)</f>
        <v/>
      </c>
      <c r="AG285" s="42">
        <f>IF(OR(AE285="",AD285="",AD285=0,AE285=0),"",AE285/AD285-1)</f>
        <v/>
      </c>
      <c r="AH285" s="43">
        <f>IF(OR(AD285="",W285="",W285=0),"",AD285/W285)</f>
        <v/>
      </c>
      <c r="AI285" s="43">
        <f>IF(OR(AE285="",X285="",X285=0),"",AE285/X285)</f>
        <v/>
      </c>
      <c r="AJ285" s="44">
        <f>IF(OR(AI285="",AH285=""),"",(AI285-AH285)*100)</f>
        <v/>
      </c>
      <c r="AK285" s="70" t="n"/>
      <c r="AL285" s="70" t="n"/>
      <c r="AM285" s="69">
        <f>IF(OR(AL285="",AK285="",AK285=0,AL285=0),"",AL285-AK285)</f>
        <v/>
      </c>
      <c r="AN285" s="42">
        <f>IF(OR(AL285="",AK285="",AK285=0,AL285=0),"",AL285/AK285-1)</f>
        <v/>
      </c>
      <c r="AO285" s="43">
        <f>IF(OR(AK285="",AD285="",AD285=0),"",AK285/AD285)</f>
        <v/>
      </c>
      <c r="AP285" s="43">
        <f>IF(OR(AL285="",AE285="",AE285=0),"",AL285/AE285)</f>
        <v/>
      </c>
      <c r="AQ285" s="44">
        <f>IF(OR(AP285="",AO285=""),"",(AP285-AO285)*100)</f>
        <v/>
      </c>
      <c r="AR285" s="70" t="n"/>
      <c r="AS285" s="70" t="n"/>
      <c r="AT285" s="69">
        <f>IF(OR(AS285="",AR285="",AR285=0,AS285=0),"",AS285-AR285)</f>
        <v/>
      </c>
      <c r="AU285" s="42">
        <f>IF(OR(AS285="",AR285="",AR285=0,AS285=0),"",AS285/AR285-1)</f>
        <v/>
      </c>
      <c r="AV285" s="43">
        <f>IF(OR(AR285="",AK285="",AK285=0),"",AR285/AK285)</f>
        <v/>
      </c>
      <c r="AW285" s="43">
        <f>IF(OR(AS285="",AL285="",AL285=0),"",AS285/AL285)</f>
        <v/>
      </c>
      <c r="AX285" s="44">
        <f>IF(OR(AW285="",AV285=""),"",(AW285-AV285)*100)</f>
        <v/>
      </c>
      <c r="AY285" s="45">
        <f>IF(OR(AR285="",P285="",P285=0),"",AR285/P285)</f>
        <v/>
      </c>
      <c r="AZ285" s="45">
        <f>IF(OR(AS285="",Q285="",Q285=0),"",AS285/Q285)</f>
        <v/>
      </c>
      <c r="BA285" s="44">
        <f>IF(OR(AZ285="",AY285=""),"",(AZ285-AY285)*100)</f>
        <v/>
      </c>
      <c r="BB285" s="45">
        <f>IF(OR(AR285="",E285="",E285=0),"",AR285/E285)</f>
        <v/>
      </c>
      <c r="BC285" s="45">
        <f>IF(OR(AS285="",F285="",F285=0),"",AS285/F285)</f>
        <v/>
      </c>
      <c r="BD285" s="44">
        <f>IF(OR(BC285="",BB285=""),"",(BC285-BB285)*100)</f>
        <v/>
      </c>
      <c r="BE285" s="40">
        <f>IF(AND(F285&lt;&gt;"",E285&lt;&gt;""),"Both years",IF(F285&lt;&gt;"","1-23Aug26 rows only","1-23Aug25 rows only"))</f>
        <v/>
      </c>
    </row>
    <row r="286">
      <c r="A286" s="56" t="inlineStr">
        <is>
          <t>Airport page</t>
        </is>
      </c>
      <c r="B286" s="56" t="inlineStr">
        <is>
          <t>Organic</t>
        </is>
      </c>
      <c r="C286" s="56" t="inlineStr">
        <is>
          <t>Desktop</t>
        </is>
      </c>
      <c r="D286" s="56" t="inlineStr">
        <is>
          <t>Norway</t>
        </is>
      </c>
      <c r="E286" s="70" t="n"/>
      <c r="F286" s="70" t="n"/>
      <c r="G286" s="69">
        <f>IF(OR(F286="",E286="",E286=0,F286=0),"",F286-E286)</f>
        <v/>
      </c>
      <c r="H286" s="42">
        <f>IF(OR(F286="",E286="",E286=0,F286=0),"",F286/E286-1)</f>
        <v/>
      </c>
      <c r="I286" s="68" t="n">
        <v>41</v>
      </c>
      <c r="J286" s="68" t="n">
        <v>58</v>
      </c>
      <c r="K286" s="69">
        <f>IF(OR(J286="",I286="",I286=0,J286=0),"",J286-I286)</f>
        <v/>
      </c>
      <c r="L286" s="42">
        <f>IF(OR(J286="",I286="",I286=0,J286=0),"",J286/I286-1)</f>
        <v/>
      </c>
      <c r="M286" s="43">
        <f>IF(OR(I286="",E286="",E286=0),"",I286/E286)</f>
        <v/>
      </c>
      <c r="N286" s="43">
        <f>IF(OR(J286="",F286="",F286=0),"",J286/F286)</f>
        <v/>
      </c>
      <c r="O286" s="44">
        <f>IF(OR(N286="",M286=""),"",(N286-M286)*100)</f>
        <v/>
      </c>
      <c r="P286" s="70" t="n"/>
      <c r="Q286" s="70" t="n"/>
      <c r="R286" s="69">
        <f>IF(OR(Q286="",P286="",P286=0,Q286=0),"",Q286-P286)</f>
        <v/>
      </c>
      <c r="S286" s="42">
        <f>IF(OR(Q286="",P286="",P286=0,Q286=0),"",Q286/P286-1)</f>
        <v/>
      </c>
      <c r="T286" s="43">
        <f>IF(OR(P286="",E286="",E286=0),"",P286/E286)</f>
        <v/>
      </c>
      <c r="U286" s="43">
        <f>IF(OR(Q286="",F286="",F286=0),"",Q286/F286)</f>
        <v/>
      </c>
      <c r="V286" s="44">
        <f>IF(OR(U286="",T286=""),"",(U286-T286)*100)</f>
        <v/>
      </c>
      <c r="W286" s="68" t="n">
        <v>6</v>
      </c>
      <c r="X286" s="68" t="n">
        <v>9</v>
      </c>
      <c r="Y286" s="69">
        <f>IF(OR(X286="",W286="",W286=0,X286=0),"",X286-W286)</f>
        <v/>
      </c>
      <c r="Z286" s="42">
        <f>IF(OR(X286="",W286="",W286=0,X286=0),"",X286/W286-1)</f>
        <v/>
      </c>
      <c r="AA286" s="43">
        <f>IF(OR(W286="",P286="",P286=0),"",W286/P286)</f>
        <v/>
      </c>
      <c r="AB286" s="43">
        <f>IF(OR(X286="",Q286="",Q286=0),"",X286/Q286)</f>
        <v/>
      </c>
      <c r="AC286" s="44">
        <f>IF(OR(AB286="",AA286=""),"",(AB286-AA286)*100)</f>
        <v/>
      </c>
      <c r="AD286" s="68" t="n">
        <v>4</v>
      </c>
      <c r="AE286" s="68" t="n">
        <v>8</v>
      </c>
      <c r="AF286" s="69">
        <f>IF(OR(AE286="",AD286="",AD286=0,AE286=0),"",AE286-AD286)</f>
        <v/>
      </c>
      <c r="AG286" s="42">
        <f>IF(OR(AE286="",AD286="",AD286=0,AE286=0),"",AE286/AD286-1)</f>
        <v/>
      </c>
      <c r="AH286" s="43">
        <f>IF(OR(AD286="",W286="",W286=0),"",AD286/W286)</f>
        <v/>
      </c>
      <c r="AI286" s="43">
        <f>IF(OR(AE286="",X286="",X286=0),"",AE286/X286)</f>
        <v/>
      </c>
      <c r="AJ286" s="44">
        <f>IF(OR(AI286="",AH286=""),"",(AI286-AH286)*100)</f>
        <v/>
      </c>
      <c r="AK286" s="68" t="n">
        <v>2</v>
      </c>
      <c r="AL286" s="68" t="n">
        <v>5</v>
      </c>
      <c r="AM286" s="69">
        <f>IF(OR(AL286="",AK286="",AK286=0,AL286=0),"",AL286-AK286)</f>
        <v/>
      </c>
      <c r="AN286" s="42">
        <f>IF(OR(AL286="",AK286="",AK286=0,AL286=0),"",AL286/AK286-1)</f>
        <v/>
      </c>
      <c r="AO286" s="43">
        <f>IF(OR(AK286="",AD286="",AD286=0),"",AK286/AD286)</f>
        <v/>
      </c>
      <c r="AP286" s="43">
        <f>IF(OR(AL286="",AE286="",AE286=0),"",AL286/AE286)</f>
        <v/>
      </c>
      <c r="AQ286" s="44">
        <f>IF(OR(AP286="",AO286=""),"",(AP286-AO286)*100)</f>
        <v/>
      </c>
      <c r="AR286" s="68" t="n">
        <v>2</v>
      </c>
      <c r="AS286" s="68" t="n">
        <v>5</v>
      </c>
      <c r="AT286" s="69">
        <f>IF(OR(AS286="",AR286="",AR286=0,AS286=0),"",AS286-AR286)</f>
        <v/>
      </c>
      <c r="AU286" s="42">
        <f>IF(OR(AS286="",AR286="",AR286=0,AS286=0),"",AS286/AR286-1)</f>
        <v/>
      </c>
      <c r="AV286" s="43">
        <f>IF(OR(AR286="",AK286="",AK286=0),"",AR286/AK286)</f>
        <v/>
      </c>
      <c r="AW286" s="43">
        <f>IF(OR(AS286="",AL286="",AL286=0),"",AS286/AL286)</f>
        <v/>
      </c>
      <c r="AX286" s="44">
        <f>IF(OR(AW286="",AV286=""),"",(AW286-AV286)*100)</f>
        <v/>
      </c>
      <c r="AY286" s="45">
        <f>IF(OR(AR286="",P286="",P286=0),"",AR286/P286)</f>
        <v/>
      </c>
      <c r="AZ286" s="45">
        <f>IF(OR(AS286="",Q286="",Q286=0),"",AS286/Q286)</f>
        <v/>
      </c>
      <c r="BA286" s="44">
        <f>IF(OR(AZ286="",AY286=""),"",(AZ286-AY286)*100)</f>
        <v/>
      </c>
      <c r="BB286" s="45">
        <f>IF(OR(AR286="",E286="",E286=0),"",AR286/E286)</f>
        <v/>
      </c>
      <c r="BC286" s="45">
        <f>IF(OR(AS286="",F286="",F286=0),"",AS286/F286)</f>
        <v/>
      </c>
      <c r="BD286" s="44">
        <f>IF(OR(BC286="",BB286=""),"",(BC286-BB286)*100)</f>
        <v/>
      </c>
      <c r="BE286" s="40">
        <f>IF(AND(F286&lt;&gt;"",E286&lt;&gt;""),"Both years",IF(F286&lt;&gt;"","1-23Aug26 rows only","1-23Aug25 rows only"))</f>
        <v/>
      </c>
    </row>
    <row r="287">
      <c r="A287" s="40" t="inlineStr">
        <is>
          <t>Airport page</t>
        </is>
      </c>
      <c r="B287" s="40" t="inlineStr">
        <is>
          <t>Direct</t>
        </is>
      </c>
      <c r="C287" s="40" t="inlineStr">
        <is>
          <t>Mobile</t>
        </is>
      </c>
      <c r="D287" s="40" t="inlineStr">
        <is>
          <t>United Kingdom</t>
        </is>
      </c>
      <c r="E287" s="68" t="n">
        <v>524</v>
      </c>
      <c r="F287" s="68" t="n">
        <v>581</v>
      </c>
      <c r="G287" s="69">
        <f>IF(OR(F287="",E287="",E287=0,F287=0),"",F287-E287)</f>
        <v/>
      </c>
      <c r="H287" s="42">
        <f>IF(OR(F287="",E287="",E287=0,F287=0),"",F287/E287-1)</f>
        <v/>
      </c>
      <c r="I287" s="68" t="n">
        <v>268</v>
      </c>
      <c r="J287" s="68" t="n">
        <v>354</v>
      </c>
      <c r="K287" s="69">
        <f>IF(OR(J287="",I287="",I287=0,J287=0),"",J287-I287)</f>
        <v/>
      </c>
      <c r="L287" s="42">
        <f>IF(OR(J287="",I287="",I287=0,J287=0),"",J287/I287-1)</f>
        <v/>
      </c>
      <c r="M287" s="43">
        <f>IF(OR(I287="",E287="",E287=0),"",I287/E287)</f>
        <v/>
      </c>
      <c r="N287" s="43">
        <f>IF(OR(J287="",F287="",F287=0),"",J287/F287)</f>
        <v/>
      </c>
      <c r="O287" s="44">
        <f>IF(OR(N287="",M287=""),"",(N287-M287)*100)</f>
        <v/>
      </c>
      <c r="P287" s="68" t="n">
        <v>263</v>
      </c>
      <c r="Q287" s="68" t="n">
        <v>265</v>
      </c>
      <c r="R287" s="69">
        <f>IF(OR(Q287="",P287="",P287=0,Q287=0),"",Q287-P287)</f>
        <v/>
      </c>
      <c r="S287" s="42">
        <f>IF(OR(Q287="",P287="",P287=0,Q287=0),"",Q287/P287-1)</f>
        <v/>
      </c>
      <c r="T287" s="43">
        <f>IF(OR(P287="",E287="",E287=0),"",P287/E287)</f>
        <v/>
      </c>
      <c r="U287" s="43">
        <f>IF(OR(Q287="",F287="",F287=0),"",Q287/F287)</f>
        <v/>
      </c>
      <c r="V287" s="44">
        <f>IF(OR(U287="",T287=""),"",(U287-T287)*100)</f>
        <v/>
      </c>
      <c r="W287" s="68" t="n">
        <v>85</v>
      </c>
      <c r="X287" s="68" t="n">
        <v>58</v>
      </c>
      <c r="Y287" s="69">
        <f>IF(OR(X287="",W287="",W287=0,X287=0),"",X287-W287)</f>
        <v/>
      </c>
      <c r="Z287" s="42">
        <f>IF(OR(X287="",W287="",W287=0,X287=0),"",X287/W287-1)</f>
        <v/>
      </c>
      <c r="AA287" s="43">
        <f>IF(OR(W287="",P287="",P287=0),"",W287/P287)</f>
        <v/>
      </c>
      <c r="AB287" s="43">
        <f>IF(OR(X287="",Q287="",Q287=0),"",X287/Q287)</f>
        <v/>
      </c>
      <c r="AC287" s="44">
        <f>IF(OR(AB287="",AA287=""),"",(AB287-AA287)*100)</f>
        <v/>
      </c>
      <c r="AD287" s="68" t="n">
        <v>74</v>
      </c>
      <c r="AE287" s="68" t="n">
        <v>47</v>
      </c>
      <c r="AF287" s="69">
        <f>IF(OR(AE287="",AD287="",AD287=0,AE287=0),"",AE287-AD287)</f>
        <v/>
      </c>
      <c r="AG287" s="42">
        <f>IF(OR(AE287="",AD287="",AD287=0,AE287=0),"",AE287/AD287-1)</f>
        <v/>
      </c>
      <c r="AH287" s="43">
        <f>IF(OR(AD287="",W287="",W287=0),"",AD287/W287)</f>
        <v/>
      </c>
      <c r="AI287" s="43">
        <f>IF(OR(AE287="",X287="",X287=0),"",AE287/X287)</f>
        <v/>
      </c>
      <c r="AJ287" s="44">
        <f>IF(OR(AI287="",AH287=""),"",(AI287-AH287)*100)</f>
        <v/>
      </c>
      <c r="AK287" s="68" t="n">
        <v>35</v>
      </c>
      <c r="AL287" s="68" t="n">
        <v>19</v>
      </c>
      <c r="AM287" s="69">
        <f>IF(OR(AL287="",AK287="",AK287=0,AL287=0),"",AL287-AK287)</f>
        <v/>
      </c>
      <c r="AN287" s="42">
        <f>IF(OR(AL287="",AK287="",AK287=0,AL287=0),"",AL287/AK287-1)</f>
        <v/>
      </c>
      <c r="AO287" s="43">
        <f>IF(OR(AK287="",AD287="",AD287=0),"",AK287/AD287)</f>
        <v/>
      </c>
      <c r="AP287" s="43">
        <f>IF(OR(AL287="",AE287="",AE287=0),"",AL287/AE287)</f>
        <v/>
      </c>
      <c r="AQ287" s="44">
        <f>IF(OR(AP287="",AO287=""),"",(AP287-AO287)*100)</f>
        <v/>
      </c>
      <c r="AR287" s="68" t="n">
        <v>26</v>
      </c>
      <c r="AS287" s="68" t="n">
        <v>14</v>
      </c>
      <c r="AT287" s="69">
        <f>IF(OR(AS287="",AR287="",AR287=0,AS287=0),"",AS287-AR287)</f>
        <v/>
      </c>
      <c r="AU287" s="42">
        <f>IF(OR(AS287="",AR287="",AR287=0,AS287=0),"",AS287/AR287-1)</f>
        <v/>
      </c>
      <c r="AV287" s="43">
        <f>IF(OR(AR287="",AK287="",AK287=0),"",AR287/AK287)</f>
        <v/>
      </c>
      <c r="AW287" s="43">
        <f>IF(OR(AS287="",AL287="",AL287=0),"",AS287/AL287)</f>
        <v/>
      </c>
      <c r="AX287" s="44">
        <f>IF(OR(AW287="",AV287=""),"",(AW287-AV287)*100)</f>
        <v/>
      </c>
      <c r="AY287" s="45">
        <f>IF(OR(AR287="",P287="",P287=0),"",AR287/P287)</f>
        <v/>
      </c>
      <c r="AZ287" s="45">
        <f>IF(OR(AS287="",Q287="",Q287=0),"",AS287/Q287)</f>
        <v/>
      </c>
      <c r="BA287" s="44">
        <f>IF(OR(AZ287="",AY287=""),"",(AZ287-AY287)*100)</f>
        <v/>
      </c>
      <c r="BB287" s="45">
        <f>IF(OR(AR287="",E287="",E287=0),"",AR287/E287)</f>
        <v/>
      </c>
      <c r="BC287" s="45">
        <f>IF(OR(AS287="",F287="",F287=0),"",AS287/F287)</f>
        <v/>
      </c>
      <c r="BD287" s="44">
        <f>IF(OR(BC287="",BB287=""),"",(BC287-BB287)*100)</f>
        <v/>
      </c>
      <c r="BE287" s="40">
        <f>IF(AND(F287&lt;&gt;"",E287&lt;&gt;""),"Both years",IF(F287&lt;&gt;"","1-23Aug26 rows only","1-23Aug25 rows only"))</f>
        <v/>
      </c>
    </row>
    <row r="288">
      <c r="A288" s="56" t="inlineStr">
        <is>
          <t>Airport page</t>
        </is>
      </c>
      <c r="B288" s="56" t="inlineStr">
        <is>
          <t>Direct</t>
        </is>
      </c>
      <c r="C288" s="56" t="inlineStr">
        <is>
          <t>Mobile</t>
        </is>
      </c>
      <c r="D288" s="56" t="inlineStr">
        <is>
          <t>Germany</t>
        </is>
      </c>
      <c r="E288" s="68" t="n">
        <v>375</v>
      </c>
      <c r="F288" s="68" t="n">
        <v>342</v>
      </c>
      <c r="G288" s="69">
        <f>IF(OR(F288="",E288="",E288=0,F288=0),"",F288-E288)</f>
        <v/>
      </c>
      <c r="H288" s="42">
        <f>IF(OR(F288="",E288="",E288=0,F288=0),"",F288/E288-1)</f>
        <v/>
      </c>
      <c r="I288" s="68" t="n">
        <v>207</v>
      </c>
      <c r="J288" s="68" t="n">
        <v>147</v>
      </c>
      <c r="K288" s="69">
        <f>IF(OR(J288="",I288="",I288=0,J288=0),"",J288-I288)</f>
        <v/>
      </c>
      <c r="L288" s="42">
        <f>IF(OR(J288="",I288="",I288=0,J288=0),"",J288/I288-1)</f>
        <v/>
      </c>
      <c r="M288" s="43">
        <f>IF(OR(I288="",E288="",E288=0),"",I288/E288)</f>
        <v/>
      </c>
      <c r="N288" s="43">
        <f>IF(OR(J288="",F288="",F288=0),"",J288/F288)</f>
        <v/>
      </c>
      <c r="O288" s="44">
        <f>IF(OR(N288="",M288=""),"",(N288-M288)*100)</f>
        <v/>
      </c>
      <c r="P288" s="68" t="n">
        <v>189</v>
      </c>
      <c r="Q288" s="68" t="n">
        <v>172</v>
      </c>
      <c r="R288" s="69">
        <f>IF(OR(Q288="",P288="",P288=0,Q288=0),"",Q288-P288)</f>
        <v/>
      </c>
      <c r="S288" s="42">
        <f>IF(OR(Q288="",P288="",P288=0,Q288=0),"",Q288/P288-1)</f>
        <v/>
      </c>
      <c r="T288" s="43">
        <f>IF(OR(P288="",E288="",E288=0),"",P288/E288)</f>
        <v/>
      </c>
      <c r="U288" s="43">
        <f>IF(OR(Q288="",F288="",F288=0),"",Q288/F288)</f>
        <v/>
      </c>
      <c r="V288" s="44">
        <f>IF(OR(U288="",T288=""),"",(U288-T288)*100)</f>
        <v/>
      </c>
      <c r="W288" s="68" t="n">
        <v>63</v>
      </c>
      <c r="X288" s="68" t="n">
        <v>54</v>
      </c>
      <c r="Y288" s="69">
        <f>IF(OR(X288="",W288="",W288=0,X288=0),"",X288-W288)</f>
        <v/>
      </c>
      <c r="Z288" s="42">
        <f>IF(OR(X288="",W288="",W288=0,X288=0),"",X288/W288-1)</f>
        <v/>
      </c>
      <c r="AA288" s="43">
        <f>IF(OR(W288="",P288="",P288=0),"",W288/P288)</f>
        <v/>
      </c>
      <c r="AB288" s="43">
        <f>IF(OR(X288="",Q288="",Q288=0),"",X288/Q288)</f>
        <v/>
      </c>
      <c r="AC288" s="44">
        <f>IF(OR(AB288="",AA288=""),"",(AB288-AA288)*100)</f>
        <v/>
      </c>
      <c r="AD288" s="68" t="n">
        <v>51</v>
      </c>
      <c r="AE288" s="68" t="n">
        <v>35</v>
      </c>
      <c r="AF288" s="69">
        <f>IF(OR(AE288="",AD288="",AD288=0,AE288=0),"",AE288-AD288)</f>
        <v/>
      </c>
      <c r="AG288" s="42">
        <f>IF(OR(AE288="",AD288="",AD288=0,AE288=0),"",AE288/AD288-1)</f>
        <v/>
      </c>
      <c r="AH288" s="43">
        <f>IF(OR(AD288="",W288="",W288=0),"",AD288/W288)</f>
        <v/>
      </c>
      <c r="AI288" s="43">
        <f>IF(OR(AE288="",X288="",X288=0),"",AE288/X288)</f>
        <v/>
      </c>
      <c r="AJ288" s="44">
        <f>IF(OR(AI288="",AH288=""),"",(AI288-AH288)*100)</f>
        <v/>
      </c>
      <c r="AK288" s="68" t="n">
        <v>21</v>
      </c>
      <c r="AL288" s="68" t="n">
        <v>15</v>
      </c>
      <c r="AM288" s="69">
        <f>IF(OR(AL288="",AK288="",AK288=0,AL288=0),"",AL288-AK288)</f>
        <v/>
      </c>
      <c r="AN288" s="42">
        <f>IF(OR(AL288="",AK288="",AK288=0,AL288=0),"",AL288/AK288-1)</f>
        <v/>
      </c>
      <c r="AO288" s="43">
        <f>IF(OR(AK288="",AD288="",AD288=0),"",AK288/AD288)</f>
        <v/>
      </c>
      <c r="AP288" s="43">
        <f>IF(OR(AL288="",AE288="",AE288=0),"",AL288/AE288)</f>
        <v/>
      </c>
      <c r="AQ288" s="44">
        <f>IF(OR(AP288="",AO288=""),"",(AP288-AO288)*100)</f>
        <v/>
      </c>
      <c r="AR288" s="68" t="n">
        <v>15</v>
      </c>
      <c r="AS288" s="68" t="n">
        <v>19</v>
      </c>
      <c r="AT288" s="69">
        <f>IF(OR(AS288="",AR288="",AR288=0,AS288=0),"",AS288-AR288)</f>
        <v/>
      </c>
      <c r="AU288" s="42">
        <f>IF(OR(AS288="",AR288="",AR288=0,AS288=0),"",AS288/AR288-1)</f>
        <v/>
      </c>
      <c r="AV288" s="43">
        <f>IF(OR(AR288="",AK288="",AK288=0),"",AR288/AK288)</f>
        <v/>
      </c>
      <c r="AW288" s="43">
        <f>IF(OR(AS288="",AL288="",AL288=0),"",AS288/AL288)</f>
        <v/>
      </c>
      <c r="AX288" s="44">
        <f>IF(OR(AW288="",AV288=""),"",(AW288-AV288)*100)</f>
        <v/>
      </c>
      <c r="AY288" s="45">
        <f>IF(OR(AR288="",P288="",P288=0),"",AR288/P288)</f>
        <v/>
      </c>
      <c r="AZ288" s="45">
        <f>IF(OR(AS288="",Q288="",Q288=0),"",AS288/Q288)</f>
        <v/>
      </c>
      <c r="BA288" s="44">
        <f>IF(OR(AZ288="",AY288=""),"",(AZ288-AY288)*100)</f>
        <v/>
      </c>
      <c r="BB288" s="45">
        <f>IF(OR(AR288="",E288="",E288=0),"",AR288/E288)</f>
        <v/>
      </c>
      <c r="BC288" s="45">
        <f>IF(OR(AS288="",F288="",F288=0),"",AS288/F288)</f>
        <v/>
      </c>
      <c r="BD288" s="44">
        <f>IF(OR(BC288="",BB288=""),"",(BC288-BB288)*100)</f>
        <v/>
      </c>
      <c r="BE288" s="40">
        <f>IF(AND(F288&lt;&gt;"",E288&lt;&gt;""),"Both years",IF(F288&lt;&gt;"","1-23Aug26 rows only","1-23Aug25 rows only"))</f>
        <v/>
      </c>
    </row>
    <row r="289">
      <c r="A289" s="40" t="inlineStr">
        <is>
          <t>Airport page</t>
        </is>
      </c>
      <c r="B289" s="40" t="inlineStr">
        <is>
          <t>Direct</t>
        </is>
      </c>
      <c r="C289" s="40" t="inlineStr">
        <is>
          <t>Mobile</t>
        </is>
      </c>
      <c r="D289" s="40" t="inlineStr">
        <is>
          <t>Spain</t>
        </is>
      </c>
      <c r="E289" s="68" t="n">
        <v>111</v>
      </c>
      <c r="F289" s="68" t="n">
        <v>154</v>
      </c>
      <c r="G289" s="69">
        <f>IF(OR(F289="",E289="",E289=0,F289=0),"",F289-E289)</f>
        <v/>
      </c>
      <c r="H289" s="42">
        <f>IF(OR(F289="",E289="",E289=0,F289=0),"",F289/E289-1)</f>
        <v/>
      </c>
      <c r="I289" s="68" t="n">
        <v>59</v>
      </c>
      <c r="J289" s="68" t="n">
        <v>38</v>
      </c>
      <c r="K289" s="69">
        <f>IF(OR(J289="",I289="",I289=0,J289=0),"",J289-I289)</f>
        <v/>
      </c>
      <c r="L289" s="42">
        <f>IF(OR(J289="",I289="",I289=0,J289=0),"",J289/I289-1)</f>
        <v/>
      </c>
      <c r="M289" s="43">
        <f>IF(OR(I289="",E289="",E289=0),"",I289/E289)</f>
        <v/>
      </c>
      <c r="N289" s="43">
        <f>IF(OR(J289="",F289="",F289=0),"",J289/F289)</f>
        <v/>
      </c>
      <c r="O289" s="44">
        <f>IF(OR(N289="",M289=""),"",(N289-M289)*100)</f>
        <v/>
      </c>
      <c r="P289" s="68" t="n">
        <v>57</v>
      </c>
      <c r="Q289" s="68" t="n">
        <v>64</v>
      </c>
      <c r="R289" s="69">
        <f>IF(OR(Q289="",P289="",P289=0,Q289=0),"",Q289-P289)</f>
        <v/>
      </c>
      <c r="S289" s="42">
        <f>IF(OR(Q289="",P289="",P289=0,Q289=0),"",Q289/P289-1)</f>
        <v/>
      </c>
      <c r="T289" s="43">
        <f>IF(OR(P289="",E289="",E289=0),"",P289/E289)</f>
        <v/>
      </c>
      <c r="U289" s="43">
        <f>IF(OR(Q289="",F289="",F289=0),"",Q289/F289)</f>
        <v/>
      </c>
      <c r="V289" s="44">
        <f>IF(OR(U289="",T289=""),"",(U289-T289)*100)</f>
        <v/>
      </c>
      <c r="W289" s="68" t="n">
        <v>21</v>
      </c>
      <c r="X289" s="68" t="n">
        <v>14</v>
      </c>
      <c r="Y289" s="69">
        <f>IF(OR(X289="",W289="",W289=0,X289=0),"",X289-W289)</f>
        <v/>
      </c>
      <c r="Z289" s="42">
        <f>IF(OR(X289="",W289="",W289=0,X289=0),"",X289/W289-1)</f>
        <v/>
      </c>
      <c r="AA289" s="43">
        <f>IF(OR(W289="",P289="",P289=0),"",W289/P289)</f>
        <v/>
      </c>
      <c r="AB289" s="43">
        <f>IF(OR(X289="",Q289="",Q289=0),"",X289/Q289)</f>
        <v/>
      </c>
      <c r="AC289" s="44">
        <f>IF(OR(AB289="",AA289=""),"",(AB289-AA289)*100)</f>
        <v/>
      </c>
      <c r="AD289" s="68" t="n">
        <v>14</v>
      </c>
      <c r="AE289" s="68" t="n">
        <v>13</v>
      </c>
      <c r="AF289" s="69">
        <f>IF(OR(AE289="",AD289="",AD289=0,AE289=0),"",AE289-AD289)</f>
        <v/>
      </c>
      <c r="AG289" s="42">
        <f>IF(OR(AE289="",AD289="",AD289=0,AE289=0),"",AE289/AD289-1)</f>
        <v/>
      </c>
      <c r="AH289" s="43">
        <f>IF(OR(AD289="",W289="",W289=0),"",AD289/W289)</f>
        <v/>
      </c>
      <c r="AI289" s="43">
        <f>IF(OR(AE289="",X289="",X289=0),"",AE289/X289)</f>
        <v/>
      </c>
      <c r="AJ289" s="44">
        <f>IF(OR(AI289="",AH289=""),"",(AI289-AH289)*100)</f>
        <v/>
      </c>
      <c r="AK289" s="68" t="n">
        <v>6</v>
      </c>
      <c r="AL289" s="68" t="n">
        <v>5</v>
      </c>
      <c r="AM289" s="69">
        <f>IF(OR(AL289="",AK289="",AK289=0,AL289=0),"",AL289-AK289)</f>
        <v/>
      </c>
      <c r="AN289" s="42">
        <f>IF(OR(AL289="",AK289="",AK289=0,AL289=0),"",AL289/AK289-1)</f>
        <v/>
      </c>
      <c r="AO289" s="43">
        <f>IF(OR(AK289="",AD289="",AD289=0),"",AK289/AD289)</f>
        <v/>
      </c>
      <c r="AP289" s="43">
        <f>IF(OR(AL289="",AE289="",AE289=0),"",AL289/AE289)</f>
        <v/>
      </c>
      <c r="AQ289" s="44">
        <f>IF(OR(AP289="",AO289=""),"",(AP289-AO289)*100)</f>
        <v/>
      </c>
      <c r="AR289" s="68" t="n">
        <v>4</v>
      </c>
      <c r="AS289" s="68" t="n">
        <v>6</v>
      </c>
      <c r="AT289" s="69">
        <f>IF(OR(AS289="",AR289="",AR289=0,AS289=0),"",AS289-AR289)</f>
        <v/>
      </c>
      <c r="AU289" s="42">
        <f>IF(OR(AS289="",AR289="",AR289=0,AS289=0),"",AS289/AR289-1)</f>
        <v/>
      </c>
      <c r="AV289" s="43">
        <f>IF(OR(AR289="",AK289="",AK289=0),"",AR289/AK289)</f>
        <v/>
      </c>
      <c r="AW289" s="43">
        <f>IF(OR(AS289="",AL289="",AL289=0),"",AS289/AL289)</f>
        <v/>
      </c>
      <c r="AX289" s="44">
        <f>IF(OR(AW289="",AV289=""),"",(AW289-AV289)*100)</f>
        <v/>
      </c>
      <c r="AY289" s="45">
        <f>IF(OR(AR289="",P289="",P289=0),"",AR289/P289)</f>
        <v/>
      </c>
      <c r="AZ289" s="45">
        <f>IF(OR(AS289="",Q289="",Q289=0),"",AS289/Q289)</f>
        <v/>
      </c>
      <c r="BA289" s="44">
        <f>IF(OR(AZ289="",AY289=""),"",(AZ289-AY289)*100)</f>
        <v/>
      </c>
      <c r="BB289" s="45">
        <f>IF(OR(AR289="",E289="",E289=0),"",AR289/E289)</f>
        <v/>
      </c>
      <c r="BC289" s="45">
        <f>IF(OR(AS289="",F289="",F289=0),"",AS289/F289)</f>
        <v/>
      </c>
      <c r="BD289" s="44">
        <f>IF(OR(BC289="",BB289=""),"",(BC289-BB289)*100)</f>
        <v/>
      </c>
      <c r="BE289" s="40">
        <f>IF(AND(F289&lt;&gt;"",E289&lt;&gt;""),"Both years",IF(F289&lt;&gt;"","1-23Aug26 rows only","1-23Aug25 rows only"))</f>
        <v/>
      </c>
    </row>
    <row r="290">
      <c r="A290" s="56" t="inlineStr">
        <is>
          <t>Airport page</t>
        </is>
      </c>
      <c r="B290" s="56" t="inlineStr">
        <is>
          <t>Direct</t>
        </is>
      </c>
      <c r="C290" s="56" t="inlineStr">
        <is>
          <t>Mobile</t>
        </is>
      </c>
      <c r="D290" s="56" t="inlineStr">
        <is>
          <t>Italy</t>
        </is>
      </c>
      <c r="E290" s="68" t="n">
        <v>114</v>
      </c>
      <c r="F290" s="68" t="n">
        <v>123</v>
      </c>
      <c r="G290" s="69">
        <f>IF(OR(F290="",E290="",E290=0,F290=0),"",F290-E290)</f>
        <v/>
      </c>
      <c r="H290" s="42">
        <f>IF(OR(F290="",E290="",E290=0,F290=0),"",F290/E290-1)</f>
        <v/>
      </c>
      <c r="I290" s="68" t="n">
        <v>75</v>
      </c>
      <c r="J290" s="68" t="n">
        <v>47</v>
      </c>
      <c r="K290" s="69">
        <f>IF(OR(J290="",I290="",I290=0,J290=0),"",J290-I290)</f>
        <v/>
      </c>
      <c r="L290" s="42">
        <f>IF(OR(J290="",I290="",I290=0,J290=0),"",J290/I290-1)</f>
        <v/>
      </c>
      <c r="M290" s="43">
        <f>IF(OR(I290="",E290="",E290=0),"",I290/E290)</f>
        <v/>
      </c>
      <c r="N290" s="43">
        <f>IF(OR(J290="",F290="",F290=0),"",J290/F290)</f>
        <v/>
      </c>
      <c r="O290" s="44">
        <f>IF(OR(N290="",M290=""),"",(N290-M290)*100)</f>
        <v/>
      </c>
      <c r="P290" s="68" t="n">
        <v>61</v>
      </c>
      <c r="Q290" s="68" t="n">
        <v>52</v>
      </c>
      <c r="R290" s="69">
        <f>IF(OR(Q290="",P290="",P290=0,Q290=0),"",Q290-P290)</f>
        <v/>
      </c>
      <c r="S290" s="42">
        <f>IF(OR(Q290="",P290="",P290=0,Q290=0),"",Q290/P290-1)</f>
        <v/>
      </c>
      <c r="T290" s="43">
        <f>IF(OR(P290="",E290="",E290=0),"",P290/E290)</f>
        <v/>
      </c>
      <c r="U290" s="43">
        <f>IF(OR(Q290="",F290="",F290=0),"",Q290/F290)</f>
        <v/>
      </c>
      <c r="V290" s="44">
        <f>IF(OR(U290="",T290=""),"",(U290-T290)*100)</f>
        <v/>
      </c>
      <c r="W290" s="68" t="n">
        <v>17</v>
      </c>
      <c r="X290" s="68" t="n">
        <v>16</v>
      </c>
      <c r="Y290" s="69">
        <f>IF(OR(X290="",W290="",W290=0,X290=0),"",X290-W290)</f>
        <v/>
      </c>
      <c r="Z290" s="42">
        <f>IF(OR(X290="",W290="",W290=0,X290=0),"",X290/W290-1)</f>
        <v/>
      </c>
      <c r="AA290" s="43">
        <f>IF(OR(W290="",P290="",P290=0),"",W290/P290)</f>
        <v/>
      </c>
      <c r="AB290" s="43">
        <f>IF(OR(X290="",Q290="",Q290=0),"",X290/Q290)</f>
        <v/>
      </c>
      <c r="AC290" s="44">
        <f>IF(OR(AB290="",AA290=""),"",(AB290-AA290)*100)</f>
        <v/>
      </c>
      <c r="AD290" s="68" t="n">
        <v>15</v>
      </c>
      <c r="AE290" s="68" t="n">
        <v>12</v>
      </c>
      <c r="AF290" s="69">
        <f>IF(OR(AE290="",AD290="",AD290=0,AE290=0),"",AE290-AD290)</f>
        <v/>
      </c>
      <c r="AG290" s="42">
        <f>IF(OR(AE290="",AD290="",AD290=0,AE290=0),"",AE290/AD290-1)</f>
        <v/>
      </c>
      <c r="AH290" s="43">
        <f>IF(OR(AD290="",W290="",W290=0),"",AD290/W290)</f>
        <v/>
      </c>
      <c r="AI290" s="43">
        <f>IF(OR(AE290="",X290="",X290=0),"",AE290/X290)</f>
        <v/>
      </c>
      <c r="AJ290" s="44">
        <f>IF(OR(AI290="",AH290=""),"",(AI290-AH290)*100)</f>
        <v/>
      </c>
      <c r="AK290" s="68" t="n">
        <v>9</v>
      </c>
      <c r="AL290" s="68" t="n">
        <v>3</v>
      </c>
      <c r="AM290" s="69">
        <f>IF(OR(AL290="",AK290="",AK290=0,AL290=0),"",AL290-AK290)</f>
        <v/>
      </c>
      <c r="AN290" s="42">
        <f>IF(OR(AL290="",AK290="",AK290=0,AL290=0),"",AL290/AK290-1)</f>
        <v/>
      </c>
      <c r="AO290" s="43">
        <f>IF(OR(AK290="",AD290="",AD290=0),"",AK290/AD290)</f>
        <v/>
      </c>
      <c r="AP290" s="43">
        <f>IF(OR(AL290="",AE290="",AE290=0),"",AL290/AE290)</f>
        <v/>
      </c>
      <c r="AQ290" s="44">
        <f>IF(OR(AP290="",AO290=""),"",(AP290-AO290)*100)</f>
        <v/>
      </c>
      <c r="AR290" s="68" t="n">
        <v>9</v>
      </c>
      <c r="AS290" s="68" t="n">
        <v>4</v>
      </c>
      <c r="AT290" s="69">
        <f>IF(OR(AS290="",AR290="",AR290=0,AS290=0),"",AS290-AR290)</f>
        <v/>
      </c>
      <c r="AU290" s="42">
        <f>IF(OR(AS290="",AR290="",AR290=0,AS290=0),"",AS290/AR290-1)</f>
        <v/>
      </c>
      <c r="AV290" s="43">
        <f>IF(OR(AR290="",AK290="",AK290=0),"",AR290/AK290)</f>
        <v/>
      </c>
      <c r="AW290" s="43">
        <f>IF(OR(AS290="",AL290="",AL290=0),"",AS290/AL290)</f>
        <v/>
      </c>
      <c r="AX290" s="44">
        <f>IF(OR(AW290="",AV290=""),"",(AW290-AV290)*100)</f>
        <v/>
      </c>
      <c r="AY290" s="45">
        <f>IF(OR(AR290="",P290="",P290=0),"",AR290/P290)</f>
        <v/>
      </c>
      <c r="AZ290" s="45">
        <f>IF(OR(AS290="",Q290="",Q290=0),"",AS290/Q290)</f>
        <v/>
      </c>
      <c r="BA290" s="44">
        <f>IF(OR(AZ290="",AY290=""),"",(AZ290-AY290)*100)</f>
        <v/>
      </c>
      <c r="BB290" s="45">
        <f>IF(OR(AR290="",E290="",E290=0),"",AR290/E290)</f>
        <v/>
      </c>
      <c r="BC290" s="45">
        <f>IF(OR(AS290="",F290="",F290=0),"",AS290/F290)</f>
        <v/>
      </c>
      <c r="BD290" s="44">
        <f>IF(OR(BC290="",BB290=""),"",(BC290-BB290)*100)</f>
        <v/>
      </c>
      <c r="BE290" s="40">
        <f>IF(AND(F290&lt;&gt;"",E290&lt;&gt;""),"Both years",IF(F290&lt;&gt;"","1-23Aug26 rows only","1-23Aug25 rows only"))</f>
        <v/>
      </c>
    </row>
    <row r="291">
      <c r="A291" s="40" t="inlineStr">
        <is>
          <t>Airport page</t>
        </is>
      </c>
      <c r="B291" s="40" t="inlineStr">
        <is>
          <t>Direct</t>
        </is>
      </c>
      <c r="C291" s="40" t="inlineStr">
        <is>
          <t>Mobile</t>
        </is>
      </c>
      <c r="D291" s="40" t="inlineStr">
        <is>
          <t>Netherlands</t>
        </is>
      </c>
      <c r="E291" s="68" t="n">
        <v>71</v>
      </c>
      <c r="F291" s="68" t="n">
        <v>88</v>
      </c>
      <c r="G291" s="69">
        <f>IF(OR(F291="",E291="",E291=0,F291=0),"",F291-E291)</f>
        <v/>
      </c>
      <c r="H291" s="42">
        <f>IF(OR(F291="",E291="",E291=0,F291=0),"",F291/E291-1)</f>
        <v/>
      </c>
      <c r="I291" s="68" t="n">
        <v>37</v>
      </c>
      <c r="J291" s="68" t="n">
        <v>31</v>
      </c>
      <c r="K291" s="69">
        <f>IF(OR(J291="",I291="",I291=0,J291=0),"",J291-I291)</f>
        <v/>
      </c>
      <c r="L291" s="42">
        <f>IF(OR(J291="",I291="",I291=0,J291=0),"",J291/I291-1)</f>
        <v/>
      </c>
      <c r="M291" s="43">
        <f>IF(OR(I291="",E291="",E291=0),"",I291/E291)</f>
        <v/>
      </c>
      <c r="N291" s="43">
        <f>IF(OR(J291="",F291="",F291=0),"",J291/F291)</f>
        <v/>
      </c>
      <c r="O291" s="44">
        <f>IF(OR(N291="",M291=""),"",(N291-M291)*100)</f>
        <v/>
      </c>
      <c r="P291" s="68" t="n">
        <v>38</v>
      </c>
      <c r="Q291" s="68" t="n">
        <v>37</v>
      </c>
      <c r="R291" s="69">
        <f>IF(OR(Q291="",P291="",P291=0,Q291=0),"",Q291-P291)</f>
        <v/>
      </c>
      <c r="S291" s="42">
        <f>IF(OR(Q291="",P291="",P291=0,Q291=0),"",Q291/P291-1)</f>
        <v/>
      </c>
      <c r="T291" s="43">
        <f>IF(OR(P291="",E291="",E291=0),"",P291/E291)</f>
        <v/>
      </c>
      <c r="U291" s="43">
        <f>IF(OR(Q291="",F291="",F291=0),"",Q291/F291)</f>
        <v/>
      </c>
      <c r="V291" s="44">
        <f>IF(OR(U291="",T291=""),"",(U291-T291)*100)</f>
        <v/>
      </c>
      <c r="W291" s="68" t="n">
        <v>10</v>
      </c>
      <c r="X291" s="68" t="n">
        <v>5</v>
      </c>
      <c r="Y291" s="69">
        <f>IF(OR(X291="",W291="",W291=0,X291=0),"",X291-W291)</f>
        <v/>
      </c>
      <c r="Z291" s="42">
        <f>IF(OR(X291="",W291="",W291=0,X291=0),"",X291/W291-1)</f>
        <v/>
      </c>
      <c r="AA291" s="43">
        <f>IF(OR(W291="",P291="",P291=0),"",W291/P291)</f>
        <v/>
      </c>
      <c r="AB291" s="43">
        <f>IF(OR(X291="",Q291="",Q291=0),"",X291/Q291)</f>
        <v/>
      </c>
      <c r="AC291" s="44">
        <f>IF(OR(AB291="",AA291=""),"",(AB291-AA291)*100)</f>
        <v/>
      </c>
      <c r="AD291" s="68" t="n">
        <v>9</v>
      </c>
      <c r="AE291" s="68" t="n">
        <v>7</v>
      </c>
      <c r="AF291" s="69">
        <f>IF(OR(AE291="",AD291="",AD291=0,AE291=0),"",AE291-AD291)</f>
        <v/>
      </c>
      <c r="AG291" s="42">
        <f>IF(OR(AE291="",AD291="",AD291=0,AE291=0),"",AE291/AD291-1)</f>
        <v/>
      </c>
      <c r="AH291" s="43">
        <f>IF(OR(AD291="",W291="",W291=0),"",AD291/W291)</f>
        <v/>
      </c>
      <c r="AI291" s="43">
        <f>IF(OR(AE291="",X291="",X291=0),"",AE291/X291)</f>
        <v/>
      </c>
      <c r="AJ291" s="44">
        <f>IF(OR(AI291="",AH291=""),"",(AI291-AH291)*100)</f>
        <v/>
      </c>
      <c r="AK291" s="68" t="n">
        <v>4</v>
      </c>
      <c r="AL291" s="68" t="n">
        <v>1</v>
      </c>
      <c r="AM291" s="69">
        <f>IF(OR(AL291="",AK291="",AK291=0,AL291=0),"",AL291-AK291)</f>
        <v/>
      </c>
      <c r="AN291" s="42">
        <f>IF(OR(AL291="",AK291="",AK291=0,AL291=0),"",AL291/AK291-1)</f>
        <v/>
      </c>
      <c r="AO291" s="43">
        <f>IF(OR(AK291="",AD291="",AD291=0),"",AK291/AD291)</f>
        <v/>
      </c>
      <c r="AP291" s="43">
        <f>IF(OR(AL291="",AE291="",AE291=0),"",AL291/AE291)</f>
        <v/>
      </c>
      <c r="AQ291" s="44">
        <f>IF(OR(AP291="",AO291=""),"",(AP291-AO291)*100)</f>
        <v/>
      </c>
      <c r="AR291" s="70" t="n"/>
      <c r="AS291" s="70" t="n"/>
      <c r="AT291" s="69">
        <f>IF(OR(AS291="",AR291="",AR291=0,AS291=0),"",AS291-AR291)</f>
        <v/>
      </c>
      <c r="AU291" s="42">
        <f>IF(OR(AS291="",AR291="",AR291=0,AS291=0),"",AS291/AR291-1)</f>
        <v/>
      </c>
      <c r="AV291" s="43">
        <f>IF(OR(AR291="",AK291="",AK291=0),"",AR291/AK291)</f>
        <v/>
      </c>
      <c r="AW291" s="43">
        <f>IF(OR(AS291="",AL291="",AL291=0),"",AS291/AL291)</f>
        <v/>
      </c>
      <c r="AX291" s="44">
        <f>IF(OR(AW291="",AV291=""),"",(AW291-AV291)*100)</f>
        <v/>
      </c>
      <c r="AY291" s="45">
        <f>IF(OR(AR291="",P291="",P291=0),"",AR291/P291)</f>
        <v/>
      </c>
      <c r="AZ291" s="45">
        <f>IF(OR(AS291="",Q291="",Q291=0),"",AS291/Q291)</f>
        <v/>
      </c>
      <c r="BA291" s="44">
        <f>IF(OR(AZ291="",AY291=""),"",(AZ291-AY291)*100)</f>
        <v/>
      </c>
      <c r="BB291" s="45">
        <f>IF(OR(AR291="",E291="",E291=0),"",AR291/E291)</f>
        <v/>
      </c>
      <c r="BC291" s="45">
        <f>IF(OR(AS291="",F291="",F291=0),"",AS291/F291)</f>
        <v/>
      </c>
      <c r="BD291" s="44">
        <f>IF(OR(BC291="",BB291=""),"",(BC291-BB291)*100)</f>
        <v/>
      </c>
      <c r="BE291" s="40">
        <f>IF(AND(F291&lt;&gt;"",E291&lt;&gt;""),"Both years",IF(F291&lt;&gt;"","1-23Aug26 rows only","1-23Aug25 rows only"))</f>
        <v/>
      </c>
    </row>
    <row r="292">
      <c r="A292" s="56" t="inlineStr">
        <is>
          <t>Airport page</t>
        </is>
      </c>
      <c r="B292" s="56" t="inlineStr">
        <is>
          <t>Direct</t>
        </is>
      </c>
      <c r="C292" s="56" t="inlineStr">
        <is>
          <t>Mobile</t>
        </is>
      </c>
      <c r="D292" s="56" t="inlineStr">
        <is>
          <t>France</t>
        </is>
      </c>
      <c r="E292" s="68" t="n">
        <v>60</v>
      </c>
      <c r="F292" s="68" t="n">
        <v>84</v>
      </c>
      <c r="G292" s="69">
        <f>IF(OR(F292="",E292="",E292=0,F292=0),"",F292-E292)</f>
        <v/>
      </c>
      <c r="H292" s="42">
        <f>IF(OR(F292="",E292="",E292=0,F292=0),"",F292/E292-1)</f>
        <v/>
      </c>
      <c r="I292" s="68" t="n">
        <v>40</v>
      </c>
      <c r="J292" s="68" t="n">
        <v>41</v>
      </c>
      <c r="K292" s="69">
        <f>IF(OR(J292="",I292="",I292=0,J292=0),"",J292-I292)</f>
        <v/>
      </c>
      <c r="L292" s="42">
        <f>IF(OR(J292="",I292="",I292=0,J292=0),"",J292/I292-1)</f>
        <v/>
      </c>
      <c r="M292" s="43">
        <f>IF(OR(I292="",E292="",E292=0),"",I292/E292)</f>
        <v/>
      </c>
      <c r="N292" s="43">
        <f>IF(OR(J292="",F292="",F292=0),"",J292/F292)</f>
        <v/>
      </c>
      <c r="O292" s="44">
        <f>IF(OR(N292="",M292=""),"",(N292-M292)*100)</f>
        <v/>
      </c>
      <c r="P292" s="68" t="n">
        <v>35</v>
      </c>
      <c r="Q292" s="68" t="n">
        <v>43</v>
      </c>
      <c r="R292" s="69">
        <f>IF(OR(Q292="",P292="",P292=0,Q292=0),"",Q292-P292)</f>
        <v/>
      </c>
      <c r="S292" s="42">
        <f>IF(OR(Q292="",P292="",P292=0,Q292=0),"",Q292/P292-1)</f>
        <v/>
      </c>
      <c r="T292" s="43">
        <f>IF(OR(P292="",E292="",E292=0),"",P292/E292)</f>
        <v/>
      </c>
      <c r="U292" s="43">
        <f>IF(OR(Q292="",F292="",F292=0),"",Q292/F292)</f>
        <v/>
      </c>
      <c r="V292" s="44">
        <f>IF(OR(U292="",T292=""),"",(U292-T292)*100)</f>
        <v/>
      </c>
      <c r="W292" s="68" t="n">
        <v>12</v>
      </c>
      <c r="X292" s="68" t="n">
        <v>14</v>
      </c>
      <c r="Y292" s="69">
        <f>IF(OR(X292="",W292="",W292=0,X292=0),"",X292-W292)</f>
        <v/>
      </c>
      <c r="Z292" s="42">
        <f>IF(OR(X292="",W292="",W292=0,X292=0),"",X292/W292-1)</f>
        <v/>
      </c>
      <c r="AA292" s="43">
        <f>IF(OR(W292="",P292="",P292=0),"",W292/P292)</f>
        <v/>
      </c>
      <c r="AB292" s="43">
        <f>IF(OR(X292="",Q292="",Q292=0),"",X292/Q292)</f>
        <v/>
      </c>
      <c r="AC292" s="44">
        <f>IF(OR(AB292="",AA292=""),"",(AB292-AA292)*100)</f>
        <v/>
      </c>
      <c r="AD292" s="68" t="n">
        <v>9</v>
      </c>
      <c r="AE292" s="68" t="n">
        <v>12</v>
      </c>
      <c r="AF292" s="69">
        <f>IF(OR(AE292="",AD292="",AD292=0,AE292=0),"",AE292-AD292)</f>
        <v/>
      </c>
      <c r="AG292" s="42">
        <f>IF(OR(AE292="",AD292="",AD292=0,AE292=0),"",AE292/AD292-1)</f>
        <v/>
      </c>
      <c r="AH292" s="43">
        <f>IF(OR(AD292="",W292="",W292=0),"",AD292/W292)</f>
        <v/>
      </c>
      <c r="AI292" s="43">
        <f>IF(OR(AE292="",X292="",X292=0),"",AE292/X292)</f>
        <v/>
      </c>
      <c r="AJ292" s="44">
        <f>IF(OR(AI292="",AH292=""),"",(AI292-AH292)*100)</f>
        <v/>
      </c>
      <c r="AK292" s="68" t="n">
        <v>5</v>
      </c>
      <c r="AL292" s="68" t="n">
        <v>5</v>
      </c>
      <c r="AM292" s="69">
        <f>IF(OR(AL292="",AK292="",AK292=0,AL292=0),"",AL292-AK292)</f>
        <v/>
      </c>
      <c r="AN292" s="42">
        <f>IF(OR(AL292="",AK292="",AK292=0,AL292=0),"",AL292/AK292-1)</f>
        <v/>
      </c>
      <c r="AO292" s="43">
        <f>IF(OR(AK292="",AD292="",AD292=0),"",AK292/AD292)</f>
        <v/>
      </c>
      <c r="AP292" s="43">
        <f>IF(OR(AL292="",AE292="",AE292=0),"",AL292/AE292)</f>
        <v/>
      </c>
      <c r="AQ292" s="44">
        <f>IF(OR(AP292="",AO292=""),"",(AP292-AO292)*100)</f>
        <v/>
      </c>
      <c r="AR292" s="68" t="n">
        <v>2</v>
      </c>
      <c r="AS292" s="68" t="n">
        <v>6</v>
      </c>
      <c r="AT292" s="69">
        <f>IF(OR(AS292="",AR292="",AR292=0,AS292=0),"",AS292-AR292)</f>
        <v/>
      </c>
      <c r="AU292" s="42">
        <f>IF(OR(AS292="",AR292="",AR292=0,AS292=0),"",AS292/AR292-1)</f>
        <v/>
      </c>
      <c r="AV292" s="43">
        <f>IF(OR(AR292="",AK292="",AK292=0),"",AR292/AK292)</f>
        <v/>
      </c>
      <c r="AW292" s="43">
        <f>IF(OR(AS292="",AL292="",AL292=0),"",AS292/AL292)</f>
        <v/>
      </c>
      <c r="AX292" s="44">
        <f>IF(OR(AW292="",AV292=""),"",(AW292-AV292)*100)</f>
        <v/>
      </c>
      <c r="AY292" s="45">
        <f>IF(OR(AR292="",P292="",P292=0),"",AR292/P292)</f>
        <v/>
      </c>
      <c r="AZ292" s="45">
        <f>IF(OR(AS292="",Q292="",Q292=0),"",AS292/Q292)</f>
        <v/>
      </c>
      <c r="BA292" s="44">
        <f>IF(OR(AZ292="",AY292=""),"",(AZ292-AY292)*100)</f>
        <v/>
      </c>
      <c r="BB292" s="45">
        <f>IF(OR(AR292="",E292="",E292=0),"",AR292/E292)</f>
        <v/>
      </c>
      <c r="BC292" s="45">
        <f>IF(OR(AS292="",F292="",F292=0),"",AS292/F292)</f>
        <v/>
      </c>
      <c r="BD292" s="44">
        <f>IF(OR(BC292="",BB292=""),"",(BC292-BB292)*100)</f>
        <v/>
      </c>
      <c r="BE292" s="40">
        <f>IF(AND(F292&lt;&gt;"",E292&lt;&gt;""),"Both years",IF(F292&lt;&gt;"","1-23Aug26 rows only","1-23Aug25 rows only"))</f>
        <v/>
      </c>
    </row>
    <row r="293">
      <c r="A293" s="40" t="inlineStr">
        <is>
          <t>Airport page</t>
        </is>
      </c>
      <c r="B293" s="40" t="inlineStr">
        <is>
          <t>Direct</t>
        </is>
      </c>
      <c r="C293" s="40" t="inlineStr">
        <is>
          <t>Mobile</t>
        </is>
      </c>
      <c r="D293" s="40" t="inlineStr">
        <is>
          <t>Belgium</t>
        </is>
      </c>
      <c r="E293" s="70" t="n"/>
      <c r="F293" s="68" t="n">
        <v>82</v>
      </c>
      <c r="G293" s="69">
        <f>IF(OR(F293="",E293="",E293=0,F293=0),"",F293-E293)</f>
        <v/>
      </c>
      <c r="H293" s="42">
        <f>IF(OR(F293="",E293="",E293=0,F293=0),"",F293/E293-1)</f>
        <v/>
      </c>
      <c r="I293" s="68" t="n">
        <v>11</v>
      </c>
      <c r="J293" s="68" t="n">
        <v>41</v>
      </c>
      <c r="K293" s="69">
        <f>IF(OR(J293="",I293="",I293=0,J293=0),"",J293-I293)</f>
        <v/>
      </c>
      <c r="L293" s="42">
        <f>IF(OR(J293="",I293="",I293=0,J293=0),"",J293/I293-1)</f>
        <v/>
      </c>
      <c r="M293" s="43">
        <f>IF(OR(I293="",E293="",E293=0),"",I293/E293)</f>
        <v/>
      </c>
      <c r="N293" s="43">
        <f>IF(OR(J293="",F293="",F293=0),"",J293/F293)</f>
        <v/>
      </c>
      <c r="O293" s="44">
        <f>IF(OR(N293="",M293=""),"",(N293-M293)*100)</f>
        <v/>
      </c>
      <c r="P293" s="70" t="n"/>
      <c r="Q293" s="68" t="n">
        <v>37</v>
      </c>
      <c r="R293" s="69">
        <f>IF(OR(Q293="",P293="",P293=0,Q293=0),"",Q293-P293)</f>
        <v/>
      </c>
      <c r="S293" s="42">
        <f>IF(OR(Q293="",P293="",P293=0,Q293=0),"",Q293/P293-1)</f>
        <v/>
      </c>
      <c r="T293" s="43">
        <f>IF(OR(P293="",E293="",E293=0),"",P293/E293)</f>
        <v/>
      </c>
      <c r="U293" s="43">
        <f>IF(OR(Q293="",F293="",F293=0),"",Q293/F293)</f>
        <v/>
      </c>
      <c r="V293" s="44">
        <f>IF(OR(U293="",T293=""),"",(U293-T293)*100)</f>
        <v/>
      </c>
      <c r="W293" s="68" t="n">
        <v>3</v>
      </c>
      <c r="X293" s="68" t="n">
        <v>3</v>
      </c>
      <c r="Y293" s="69">
        <f>IF(OR(X293="",W293="",W293=0,X293=0),"",X293-W293)</f>
        <v/>
      </c>
      <c r="Z293" s="42">
        <f>IF(OR(X293="",W293="",W293=0,X293=0),"",X293/W293-1)</f>
        <v/>
      </c>
      <c r="AA293" s="43">
        <f>IF(OR(W293="",P293="",P293=0),"",W293/P293)</f>
        <v/>
      </c>
      <c r="AB293" s="43">
        <f>IF(OR(X293="",Q293="",Q293=0),"",X293/Q293)</f>
        <v/>
      </c>
      <c r="AC293" s="44">
        <f>IF(OR(AB293="",AA293=""),"",(AB293-AA293)*100)</f>
        <v/>
      </c>
      <c r="AD293" s="68" t="n">
        <v>2</v>
      </c>
      <c r="AE293" s="68" t="n">
        <v>4</v>
      </c>
      <c r="AF293" s="69">
        <f>IF(OR(AE293="",AD293="",AD293=0,AE293=0),"",AE293-AD293)</f>
        <v/>
      </c>
      <c r="AG293" s="42">
        <f>IF(OR(AE293="",AD293="",AD293=0,AE293=0),"",AE293/AD293-1)</f>
        <v/>
      </c>
      <c r="AH293" s="43">
        <f>IF(OR(AD293="",W293="",W293=0),"",AD293/W293)</f>
        <v/>
      </c>
      <c r="AI293" s="43">
        <f>IF(OR(AE293="",X293="",X293=0),"",AE293/X293)</f>
        <v/>
      </c>
      <c r="AJ293" s="44">
        <f>IF(OR(AI293="",AH293=""),"",(AI293-AH293)*100)</f>
        <v/>
      </c>
      <c r="AK293" s="70" t="n"/>
      <c r="AL293" s="68" t="n">
        <v>2</v>
      </c>
      <c r="AM293" s="69">
        <f>IF(OR(AL293="",AK293="",AK293=0,AL293=0),"",AL293-AK293)</f>
        <v/>
      </c>
      <c r="AN293" s="42">
        <f>IF(OR(AL293="",AK293="",AK293=0,AL293=0),"",AL293/AK293-1)</f>
        <v/>
      </c>
      <c r="AO293" s="43">
        <f>IF(OR(AK293="",AD293="",AD293=0),"",AK293/AD293)</f>
        <v/>
      </c>
      <c r="AP293" s="43">
        <f>IF(OR(AL293="",AE293="",AE293=0),"",AL293/AE293)</f>
        <v/>
      </c>
      <c r="AQ293" s="44">
        <f>IF(OR(AP293="",AO293=""),"",(AP293-AO293)*100)</f>
        <v/>
      </c>
      <c r="AR293" s="70" t="n"/>
      <c r="AS293" s="68" t="n">
        <v>3</v>
      </c>
      <c r="AT293" s="69">
        <f>IF(OR(AS293="",AR293="",AR293=0,AS293=0),"",AS293-AR293)</f>
        <v/>
      </c>
      <c r="AU293" s="42">
        <f>IF(OR(AS293="",AR293="",AR293=0,AS293=0),"",AS293/AR293-1)</f>
        <v/>
      </c>
      <c r="AV293" s="43">
        <f>IF(OR(AR293="",AK293="",AK293=0),"",AR293/AK293)</f>
        <v/>
      </c>
      <c r="AW293" s="43">
        <f>IF(OR(AS293="",AL293="",AL293=0),"",AS293/AL293)</f>
        <v/>
      </c>
      <c r="AX293" s="44">
        <f>IF(OR(AW293="",AV293=""),"",(AW293-AV293)*100)</f>
        <v/>
      </c>
      <c r="AY293" s="45">
        <f>IF(OR(AR293="",P293="",P293=0),"",AR293/P293)</f>
        <v/>
      </c>
      <c r="AZ293" s="45">
        <f>IF(OR(AS293="",Q293="",Q293=0),"",AS293/Q293)</f>
        <v/>
      </c>
      <c r="BA293" s="44">
        <f>IF(OR(AZ293="",AY293=""),"",(AZ293-AY293)*100)</f>
        <v/>
      </c>
      <c r="BB293" s="45">
        <f>IF(OR(AR293="",E293="",E293=0),"",AR293/E293)</f>
        <v/>
      </c>
      <c r="BC293" s="45">
        <f>IF(OR(AS293="",F293="",F293=0),"",AS293/F293)</f>
        <v/>
      </c>
      <c r="BD293" s="44">
        <f>IF(OR(BC293="",BB293=""),"",(BC293-BB293)*100)</f>
        <v/>
      </c>
      <c r="BE293" s="40">
        <f>IF(AND(F293&lt;&gt;"",E293&lt;&gt;""),"Both years",IF(F293&lt;&gt;"","1-23Aug26 rows only","1-23Aug25 rows only"))</f>
        <v/>
      </c>
    </row>
    <row r="294">
      <c r="A294" s="56" t="inlineStr">
        <is>
          <t>Airport page</t>
        </is>
      </c>
      <c r="B294" s="56" t="inlineStr">
        <is>
          <t>Direct</t>
        </is>
      </c>
      <c r="C294" s="56" t="inlineStr">
        <is>
          <t>Mobile</t>
        </is>
      </c>
      <c r="D294" s="56" t="inlineStr">
        <is>
          <t>Ireland</t>
        </is>
      </c>
      <c r="E294" s="68" t="n">
        <v>70</v>
      </c>
      <c r="F294" s="68" t="n">
        <v>82</v>
      </c>
      <c r="G294" s="69">
        <f>IF(OR(F294="",E294="",E294=0,F294=0),"",F294-E294)</f>
        <v/>
      </c>
      <c r="H294" s="42">
        <f>IF(OR(F294="",E294="",E294=0,F294=0),"",F294/E294-1)</f>
        <v/>
      </c>
      <c r="I294" s="68" t="n">
        <v>37</v>
      </c>
      <c r="J294" s="68" t="n">
        <v>33</v>
      </c>
      <c r="K294" s="69">
        <f>IF(OR(J294="",I294="",I294=0,J294=0),"",J294-I294)</f>
        <v/>
      </c>
      <c r="L294" s="42">
        <f>IF(OR(J294="",I294="",I294=0,J294=0),"",J294/I294-1)</f>
        <v/>
      </c>
      <c r="M294" s="43">
        <f>IF(OR(I294="",E294="",E294=0),"",I294/E294)</f>
        <v/>
      </c>
      <c r="N294" s="43">
        <f>IF(OR(J294="",F294="",F294=0),"",J294/F294)</f>
        <v/>
      </c>
      <c r="O294" s="44">
        <f>IF(OR(N294="",M294=""),"",(N294-M294)*100)</f>
        <v/>
      </c>
      <c r="P294" s="68" t="n">
        <v>32</v>
      </c>
      <c r="Q294" s="68" t="n">
        <v>37</v>
      </c>
      <c r="R294" s="69">
        <f>IF(OR(Q294="",P294="",P294=0,Q294=0),"",Q294-P294)</f>
        <v/>
      </c>
      <c r="S294" s="42">
        <f>IF(OR(Q294="",P294="",P294=0,Q294=0),"",Q294/P294-1)</f>
        <v/>
      </c>
      <c r="T294" s="43">
        <f>IF(OR(P294="",E294="",E294=0),"",P294/E294)</f>
        <v/>
      </c>
      <c r="U294" s="43">
        <f>IF(OR(Q294="",F294="",F294=0),"",Q294/F294)</f>
        <v/>
      </c>
      <c r="V294" s="44">
        <f>IF(OR(U294="",T294=""),"",(U294-T294)*100)</f>
        <v/>
      </c>
      <c r="W294" s="68" t="n">
        <v>15</v>
      </c>
      <c r="X294" s="68" t="n">
        <v>11</v>
      </c>
      <c r="Y294" s="69">
        <f>IF(OR(X294="",W294="",W294=0,X294=0),"",X294-W294)</f>
        <v/>
      </c>
      <c r="Z294" s="42">
        <f>IF(OR(X294="",W294="",W294=0,X294=0),"",X294/W294-1)</f>
        <v/>
      </c>
      <c r="AA294" s="43">
        <f>IF(OR(W294="",P294="",P294=0),"",W294/P294)</f>
        <v/>
      </c>
      <c r="AB294" s="43">
        <f>IF(OR(X294="",Q294="",Q294=0),"",X294/Q294)</f>
        <v/>
      </c>
      <c r="AC294" s="44">
        <f>IF(OR(AB294="",AA294=""),"",(AB294-AA294)*100)</f>
        <v/>
      </c>
      <c r="AD294" s="68" t="n">
        <v>13</v>
      </c>
      <c r="AE294" s="68" t="n">
        <v>10</v>
      </c>
      <c r="AF294" s="69">
        <f>IF(OR(AE294="",AD294="",AD294=0,AE294=0),"",AE294-AD294)</f>
        <v/>
      </c>
      <c r="AG294" s="42">
        <f>IF(OR(AE294="",AD294="",AD294=0,AE294=0),"",AE294/AD294-1)</f>
        <v/>
      </c>
      <c r="AH294" s="43">
        <f>IF(OR(AD294="",W294="",W294=0),"",AD294/W294)</f>
        <v/>
      </c>
      <c r="AI294" s="43">
        <f>IF(OR(AE294="",X294="",X294=0),"",AE294/X294)</f>
        <v/>
      </c>
      <c r="AJ294" s="44">
        <f>IF(OR(AI294="",AH294=""),"",(AI294-AH294)*100)</f>
        <v/>
      </c>
      <c r="AK294" s="68" t="n">
        <v>10</v>
      </c>
      <c r="AL294" s="68" t="n">
        <v>5</v>
      </c>
      <c r="AM294" s="69">
        <f>IF(OR(AL294="",AK294="",AK294=0,AL294=0),"",AL294-AK294)</f>
        <v/>
      </c>
      <c r="AN294" s="42">
        <f>IF(OR(AL294="",AK294="",AK294=0,AL294=0),"",AL294/AK294-1)</f>
        <v/>
      </c>
      <c r="AO294" s="43">
        <f>IF(OR(AK294="",AD294="",AD294=0),"",AK294/AD294)</f>
        <v/>
      </c>
      <c r="AP294" s="43">
        <f>IF(OR(AL294="",AE294="",AE294=0),"",AL294/AE294)</f>
        <v/>
      </c>
      <c r="AQ294" s="44">
        <f>IF(OR(AP294="",AO294=""),"",(AP294-AO294)*100)</f>
        <v/>
      </c>
      <c r="AR294" s="68" t="n">
        <v>10</v>
      </c>
      <c r="AS294" s="68" t="n">
        <v>5</v>
      </c>
      <c r="AT294" s="69">
        <f>IF(OR(AS294="",AR294="",AR294=0,AS294=0),"",AS294-AR294)</f>
        <v/>
      </c>
      <c r="AU294" s="42">
        <f>IF(OR(AS294="",AR294="",AR294=0,AS294=0),"",AS294/AR294-1)</f>
        <v/>
      </c>
      <c r="AV294" s="43">
        <f>IF(OR(AR294="",AK294="",AK294=0),"",AR294/AK294)</f>
        <v/>
      </c>
      <c r="AW294" s="43">
        <f>IF(OR(AS294="",AL294="",AL294=0),"",AS294/AL294)</f>
        <v/>
      </c>
      <c r="AX294" s="44">
        <f>IF(OR(AW294="",AV294=""),"",(AW294-AV294)*100)</f>
        <v/>
      </c>
      <c r="AY294" s="45">
        <f>IF(OR(AR294="",P294="",P294=0),"",AR294/P294)</f>
        <v/>
      </c>
      <c r="AZ294" s="45">
        <f>IF(OR(AS294="",Q294="",Q294=0),"",AS294/Q294)</f>
        <v/>
      </c>
      <c r="BA294" s="44">
        <f>IF(OR(AZ294="",AY294=""),"",(AZ294-AY294)*100)</f>
        <v/>
      </c>
      <c r="BB294" s="45">
        <f>IF(OR(AR294="",E294="",E294=0),"",AR294/E294)</f>
        <v/>
      </c>
      <c r="BC294" s="45">
        <f>IF(OR(AS294="",F294="",F294=0),"",AS294/F294)</f>
        <v/>
      </c>
      <c r="BD294" s="44">
        <f>IF(OR(BC294="",BB294=""),"",(BC294-BB294)*100)</f>
        <v/>
      </c>
      <c r="BE294" s="40">
        <f>IF(AND(F294&lt;&gt;"",E294&lt;&gt;""),"Both years",IF(F294&lt;&gt;"","1-23Aug26 rows only","1-23Aug25 rows only"))</f>
        <v/>
      </c>
    </row>
    <row r="295">
      <c r="A295" s="40" t="inlineStr">
        <is>
          <t>Airport page</t>
        </is>
      </c>
      <c r="B295" s="40" t="inlineStr">
        <is>
          <t>Direct</t>
        </is>
      </c>
      <c r="C295" s="40" t="inlineStr">
        <is>
          <t>Mobile</t>
        </is>
      </c>
      <c r="D295" s="40" t="inlineStr">
        <is>
          <t>Sweden</t>
        </is>
      </c>
      <c r="E295" s="68" t="n">
        <v>38</v>
      </c>
      <c r="F295" s="68" t="n">
        <v>65</v>
      </c>
      <c r="G295" s="69">
        <f>IF(OR(F295="",E295="",E295=0,F295=0),"",F295-E295)</f>
        <v/>
      </c>
      <c r="H295" s="42">
        <f>IF(OR(F295="",E295="",E295=0,F295=0),"",F295/E295-1)</f>
        <v/>
      </c>
      <c r="I295" s="68" t="n">
        <v>15</v>
      </c>
      <c r="J295" s="68" t="n">
        <v>27</v>
      </c>
      <c r="K295" s="69">
        <f>IF(OR(J295="",I295="",I295=0,J295=0),"",J295-I295)</f>
        <v/>
      </c>
      <c r="L295" s="42">
        <f>IF(OR(J295="",I295="",I295=0,J295=0),"",J295/I295-1)</f>
        <v/>
      </c>
      <c r="M295" s="43">
        <f>IF(OR(I295="",E295="",E295=0),"",I295/E295)</f>
        <v/>
      </c>
      <c r="N295" s="43">
        <f>IF(OR(J295="",F295="",F295=0),"",J295/F295)</f>
        <v/>
      </c>
      <c r="O295" s="44">
        <f>IF(OR(N295="",M295=""),"",(N295-M295)*100)</f>
        <v/>
      </c>
      <c r="P295" s="68" t="n">
        <v>12</v>
      </c>
      <c r="Q295" s="68" t="n">
        <v>32</v>
      </c>
      <c r="R295" s="69">
        <f>IF(OR(Q295="",P295="",P295=0,Q295=0),"",Q295-P295)</f>
        <v/>
      </c>
      <c r="S295" s="42">
        <f>IF(OR(Q295="",P295="",P295=0,Q295=0),"",Q295/P295-1)</f>
        <v/>
      </c>
      <c r="T295" s="43">
        <f>IF(OR(P295="",E295="",E295=0),"",P295/E295)</f>
        <v/>
      </c>
      <c r="U295" s="43">
        <f>IF(OR(Q295="",F295="",F295=0),"",Q295/F295)</f>
        <v/>
      </c>
      <c r="V295" s="44">
        <f>IF(OR(U295="",T295=""),"",(U295-T295)*100)</f>
        <v/>
      </c>
      <c r="W295" s="68" t="n">
        <v>3</v>
      </c>
      <c r="X295" s="68" t="n">
        <v>9</v>
      </c>
      <c r="Y295" s="69">
        <f>IF(OR(X295="",W295="",W295=0,X295=0),"",X295-W295)</f>
        <v/>
      </c>
      <c r="Z295" s="42">
        <f>IF(OR(X295="",W295="",W295=0,X295=0),"",X295/W295-1)</f>
        <v/>
      </c>
      <c r="AA295" s="43">
        <f>IF(OR(W295="",P295="",P295=0),"",W295/P295)</f>
        <v/>
      </c>
      <c r="AB295" s="43">
        <f>IF(OR(X295="",Q295="",Q295=0),"",X295/Q295)</f>
        <v/>
      </c>
      <c r="AC295" s="44">
        <f>IF(OR(AB295="",AA295=""),"",(AB295-AA295)*100)</f>
        <v/>
      </c>
      <c r="AD295" s="68" t="n">
        <v>3</v>
      </c>
      <c r="AE295" s="68" t="n">
        <v>5</v>
      </c>
      <c r="AF295" s="69">
        <f>IF(OR(AE295="",AD295="",AD295=0,AE295=0),"",AE295-AD295)</f>
        <v/>
      </c>
      <c r="AG295" s="42">
        <f>IF(OR(AE295="",AD295="",AD295=0,AE295=0),"",AE295/AD295-1)</f>
        <v/>
      </c>
      <c r="AH295" s="43">
        <f>IF(OR(AD295="",W295="",W295=0),"",AD295/W295)</f>
        <v/>
      </c>
      <c r="AI295" s="43">
        <f>IF(OR(AE295="",X295="",X295=0),"",AE295/X295)</f>
        <v/>
      </c>
      <c r="AJ295" s="44">
        <f>IF(OR(AI295="",AH295=""),"",(AI295-AH295)*100)</f>
        <v/>
      </c>
      <c r="AK295" s="68" t="n">
        <v>1</v>
      </c>
      <c r="AL295" s="68" t="n">
        <v>1</v>
      </c>
      <c r="AM295" s="69">
        <f>IF(OR(AL295="",AK295="",AK295=0,AL295=0),"",AL295-AK295)</f>
        <v/>
      </c>
      <c r="AN295" s="42">
        <f>IF(OR(AL295="",AK295="",AK295=0,AL295=0),"",AL295/AK295-1)</f>
        <v/>
      </c>
      <c r="AO295" s="43">
        <f>IF(OR(AK295="",AD295="",AD295=0),"",AK295/AD295)</f>
        <v/>
      </c>
      <c r="AP295" s="43">
        <f>IF(OR(AL295="",AE295="",AE295=0),"",AL295/AE295)</f>
        <v/>
      </c>
      <c r="AQ295" s="44">
        <f>IF(OR(AP295="",AO295=""),"",(AP295-AO295)*100)</f>
        <v/>
      </c>
      <c r="AR295" s="68" t="n">
        <v>2</v>
      </c>
      <c r="AS295" s="68" t="n">
        <v>3</v>
      </c>
      <c r="AT295" s="69">
        <f>IF(OR(AS295="",AR295="",AR295=0,AS295=0),"",AS295-AR295)</f>
        <v/>
      </c>
      <c r="AU295" s="42">
        <f>IF(OR(AS295="",AR295="",AR295=0,AS295=0),"",AS295/AR295-1)</f>
        <v/>
      </c>
      <c r="AV295" s="43">
        <f>IF(OR(AR295="",AK295="",AK295=0),"",AR295/AK295)</f>
        <v/>
      </c>
      <c r="AW295" s="43">
        <f>IF(OR(AS295="",AL295="",AL295=0),"",AS295/AL295)</f>
        <v/>
      </c>
      <c r="AX295" s="44">
        <f>IF(OR(AW295="",AV295=""),"",(AW295-AV295)*100)</f>
        <v/>
      </c>
      <c r="AY295" s="45">
        <f>IF(OR(AR295="",P295="",P295=0),"",AR295/P295)</f>
        <v/>
      </c>
      <c r="AZ295" s="45">
        <f>IF(OR(AS295="",Q295="",Q295=0),"",AS295/Q295)</f>
        <v/>
      </c>
      <c r="BA295" s="44">
        <f>IF(OR(AZ295="",AY295=""),"",(AZ295-AY295)*100)</f>
        <v/>
      </c>
      <c r="BB295" s="45">
        <f>IF(OR(AR295="",E295="",E295=0),"",AR295/E295)</f>
        <v/>
      </c>
      <c r="BC295" s="45">
        <f>IF(OR(AS295="",F295="",F295=0),"",AS295/F295)</f>
        <v/>
      </c>
      <c r="BD295" s="44">
        <f>IF(OR(BC295="",BB295=""),"",(BC295-BB295)*100)</f>
        <v/>
      </c>
      <c r="BE295" s="40">
        <f>IF(AND(F295&lt;&gt;"",E295&lt;&gt;""),"Both years",IF(F295&lt;&gt;"","1-23Aug26 rows only","1-23Aug25 rows only"))</f>
        <v/>
      </c>
    </row>
    <row r="296">
      <c r="A296" s="56" t="inlineStr">
        <is>
          <t>Airport page</t>
        </is>
      </c>
      <c r="B296" s="56" t="inlineStr">
        <is>
          <t>Direct</t>
        </is>
      </c>
      <c r="C296" s="56" t="inlineStr">
        <is>
          <t>Mobile</t>
        </is>
      </c>
      <c r="D296" s="56" t="inlineStr">
        <is>
          <t>Denmark</t>
        </is>
      </c>
      <c r="E296" s="70" t="n"/>
      <c r="F296" s="68" t="n">
        <v>46</v>
      </c>
      <c r="G296" s="69">
        <f>IF(OR(F296="",E296="",E296=0,F296=0),"",F296-E296)</f>
        <v/>
      </c>
      <c r="H296" s="42">
        <f>IF(OR(F296="",E296="",E296=0,F296=0),"",F296/E296-1)</f>
        <v/>
      </c>
      <c r="I296" s="70" t="n"/>
      <c r="J296" s="70" t="n"/>
      <c r="K296" s="69">
        <f>IF(OR(J296="",I296="",I296=0,J296=0),"",J296-I296)</f>
        <v/>
      </c>
      <c r="L296" s="42">
        <f>IF(OR(J296="",I296="",I296=0,J296=0),"",J296/I296-1)</f>
        <v/>
      </c>
      <c r="M296" s="43">
        <f>IF(OR(I296="",E296="",E296=0),"",I296/E296)</f>
        <v/>
      </c>
      <c r="N296" s="43">
        <f>IF(OR(J296="",F296="",F296=0),"",J296/F296)</f>
        <v/>
      </c>
      <c r="O296" s="44">
        <f>IF(OR(N296="",M296=""),"",(N296-M296)*100)</f>
        <v/>
      </c>
      <c r="P296" s="70" t="n"/>
      <c r="Q296" s="68" t="n">
        <v>19</v>
      </c>
      <c r="R296" s="69">
        <f>IF(OR(Q296="",P296="",P296=0,Q296=0),"",Q296-P296)</f>
        <v/>
      </c>
      <c r="S296" s="42">
        <f>IF(OR(Q296="",P296="",P296=0,Q296=0),"",Q296/P296-1)</f>
        <v/>
      </c>
      <c r="T296" s="43">
        <f>IF(OR(P296="",E296="",E296=0),"",P296/E296)</f>
        <v/>
      </c>
      <c r="U296" s="43">
        <f>IF(OR(Q296="",F296="",F296=0),"",Q296/F296)</f>
        <v/>
      </c>
      <c r="V296" s="44">
        <f>IF(OR(U296="",T296=""),"",(U296-T296)*100)</f>
        <v/>
      </c>
      <c r="W296" s="70" t="n"/>
      <c r="X296" s="70" t="n"/>
      <c r="Y296" s="69">
        <f>IF(OR(X296="",W296="",W296=0,X296=0),"",X296-W296)</f>
        <v/>
      </c>
      <c r="Z296" s="42">
        <f>IF(OR(X296="",W296="",W296=0,X296=0),"",X296/W296-1)</f>
        <v/>
      </c>
      <c r="AA296" s="43">
        <f>IF(OR(W296="",P296="",P296=0),"",W296/P296)</f>
        <v/>
      </c>
      <c r="AB296" s="43">
        <f>IF(OR(X296="",Q296="",Q296=0),"",X296/Q296)</f>
        <v/>
      </c>
      <c r="AC296" s="44">
        <f>IF(OR(AB296="",AA296=""),"",(AB296-AA296)*100)</f>
        <v/>
      </c>
      <c r="AD296" s="70" t="n"/>
      <c r="AE296" s="70" t="n"/>
      <c r="AF296" s="69">
        <f>IF(OR(AE296="",AD296="",AD296=0,AE296=0),"",AE296-AD296)</f>
        <v/>
      </c>
      <c r="AG296" s="42">
        <f>IF(OR(AE296="",AD296="",AD296=0,AE296=0),"",AE296/AD296-1)</f>
        <v/>
      </c>
      <c r="AH296" s="43">
        <f>IF(OR(AD296="",W296="",W296=0),"",AD296/W296)</f>
        <v/>
      </c>
      <c r="AI296" s="43">
        <f>IF(OR(AE296="",X296="",X296=0),"",AE296/X296)</f>
        <v/>
      </c>
      <c r="AJ296" s="44">
        <f>IF(OR(AI296="",AH296=""),"",(AI296-AH296)*100)</f>
        <v/>
      </c>
      <c r="AK296" s="70" t="n"/>
      <c r="AL296" s="70" t="n"/>
      <c r="AM296" s="69">
        <f>IF(OR(AL296="",AK296="",AK296=0,AL296=0),"",AL296-AK296)</f>
        <v/>
      </c>
      <c r="AN296" s="42">
        <f>IF(OR(AL296="",AK296="",AK296=0,AL296=0),"",AL296/AK296-1)</f>
        <v/>
      </c>
      <c r="AO296" s="43">
        <f>IF(OR(AK296="",AD296="",AD296=0),"",AK296/AD296)</f>
        <v/>
      </c>
      <c r="AP296" s="43">
        <f>IF(OR(AL296="",AE296="",AE296=0),"",AL296/AE296)</f>
        <v/>
      </c>
      <c r="AQ296" s="44">
        <f>IF(OR(AP296="",AO296=""),"",(AP296-AO296)*100)</f>
        <v/>
      </c>
      <c r="AR296" s="70" t="n"/>
      <c r="AS296" s="70" t="n"/>
      <c r="AT296" s="69">
        <f>IF(OR(AS296="",AR296="",AR296=0,AS296=0),"",AS296-AR296)</f>
        <v/>
      </c>
      <c r="AU296" s="42">
        <f>IF(OR(AS296="",AR296="",AR296=0,AS296=0),"",AS296/AR296-1)</f>
        <v/>
      </c>
      <c r="AV296" s="43">
        <f>IF(OR(AR296="",AK296="",AK296=0),"",AR296/AK296)</f>
        <v/>
      </c>
      <c r="AW296" s="43">
        <f>IF(OR(AS296="",AL296="",AL296=0),"",AS296/AL296)</f>
        <v/>
      </c>
      <c r="AX296" s="44">
        <f>IF(OR(AW296="",AV296=""),"",(AW296-AV296)*100)</f>
        <v/>
      </c>
      <c r="AY296" s="45">
        <f>IF(OR(AR296="",P296="",P296=0),"",AR296/P296)</f>
        <v/>
      </c>
      <c r="AZ296" s="45">
        <f>IF(OR(AS296="",Q296="",Q296=0),"",AS296/Q296)</f>
        <v/>
      </c>
      <c r="BA296" s="44">
        <f>IF(OR(AZ296="",AY296=""),"",(AZ296-AY296)*100)</f>
        <v/>
      </c>
      <c r="BB296" s="45">
        <f>IF(OR(AR296="",E296="",E296=0),"",AR296/E296)</f>
        <v/>
      </c>
      <c r="BC296" s="45">
        <f>IF(OR(AS296="",F296="",F296=0),"",AS296/F296)</f>
        <v/>
      </c>
      <c r="BD296" s="44">
        <f>IF(OR(BC296="",BB296=""),"",(BC296-BB296)*100)</f>
        <v/>
      </c>
      <c r="BE296" s="40">
        <f>IF(AND(F296&lt;&gt;"",E296&lt;&gt;""),"Both years",IF(F296&lt;&gt;"","1-23Aug26 rows only","1-23Aug25 rows only"))</f>
        <v/>
      </c>
    </row>
    <row r="297">
      <c r="A297" s="40" t="inlineStr">
        <is>
          <t>Airport page</t>
        </is>
      </c>
      <c r="B297" s="40" t="inlineStr">
        <is>
          <t>Direct</t>
        </is>
      </c>
      <c r="C297" s="40" t="inlineStr">
        <is>
          <t>Mobile</t>
        </is>
      </c>
      <c r="D297" s="40" t="inlineStr">
        <is>
          <t>Greece</t>
        </is>
      </c>
      <c r="E297" s="68" t="n">
        <v>25</v>
      </c>
      <c r="F297" s="68" t="n">
        <v>41</v>
      </c>
      <c r="G297" s="69">
        <f>IF(OR(F297="",E297="",E297=0,F297=0),"",F297-E297)</f>
        <v/>
      </c>
      <c r="H297" s="42">
        <f>IF(OR(F297="",E297="",E297=0,F297=0),"",F297/E297-1)</f>
        <v/>
      </c>
      <c r="I297" s="70" t="n"/>
      <c r="J297" s="70" t="n"/>
      <c r="K297" s="69">
        <f>IF(OR(J297="",I297="",I297=0,J297=0),"",J297-I297)</f>
        <v/>
      </c>
      <c r="L297" s="42">
        <f>IF(OR(J297="",I297="",I297=0,J297=0),"",J297/I297-1)</f>
        <v/>
      </c>
      <c r="M297" s="43">
        <f>IF(OR(I297="",E297="",E297=0),"",I297/E297)</f>
        <v/>
      </c>
      <c r="N297" s="43">
        <f>IF(OR(J297="",F297="",F297=0),"",J297/F297)</f>
        <v/>
      </c>
      <c r="O297" s="44">
        <f>IF(OR(N297="",M297=""),"",(N297-M297)*100)</f>
        <v/>
      </c>
      <c r="P297" s="68" t="n">
        <v>12</v>
      </c>
      <c r="Q297" s="70" t="n"/>
      <c r="R297" s="69">
        <f>IF(OR(Q297="",P297="",P297=0,Q297=0),"",Q297-P297)</f>
        <v/>
      </c>
      <c r="S297" s="42">
        <f>IF(OR(Q297="",P297="",P297=0,Q297=0),"",Q297/P297-1)</f>
        <v/>
      </c>
      <c r="T297" s="43">
        <f>IF(OR(P297="",E297="",E297=0),"",P297/E297)</f>
        <v/>
      </c>
      <c r="U297" s="43">
        <f>IF(OR(Q297="",F297="",F297=0),"",Q297/F297)</f>
        <v/>
      </c>
      <c r="V297" s="44">
        <f>IF(OR(U297="",T297=""),"",(U297-T297)*100)</f>
        <v/>
      </c>
      <c r="W297" s="70" t="n"/>
      <c r="X297" s="70" t="n"/>
      <c r="Y297" s="69">
        <f>IF(OR(X297="",W297="",W297=0,X297=0),"",X297-W297)</f>
        <v/>
      </c>
      <c r="Z297" s="42">
        <f>IF(OR(X297="",W297="",W297=0,X297=0),"",X297/W297-1)</f>
        <v/>
      </c>
      <c r="AA297" s="43">
        <f>IF(OR(W297="",P297="",P297=0),"",W297/P297)</f>
        <v/>
      </c>
      <c r="AB297" s="43">
        <f>IF(OR(X297="",Q297="",Q297=0),"",X297/Q297)</f>
        <v/>
      </c>
      <c r="AC297" s="44">
        <f>IF(OR(AB297="",AA297=""),"",(AB297-AA297)*100)</f>
        <v/>
      </c>
      <c r="AD297" s="70" t="n"/>
      <c r="AE297" s="70" t="n"/>
      <c r="AF297" s="69">
        <f>IF(OR(AE297="",AD297="",AD297=0,AE297=0),"",AE297-AD297)</f>
        <v/>
      </c>
      <c r="AG297" s="42">
        <f>IF(OR(AE297="",AD297="",AD297=0,AE297=0),"",AE297/AD297-1)</f>
        <v/>
      </c>
      <c r="AH297" s="43">
        <f>IF(OR(AD297="",W297="",W297=0),"",AD297/W297)</f>
        <v/>
      </c>
      <c r="AI297" s="43">
        <f>IF(OR(AE297="",X297="",X297=0),"",AE297/X297)</f>
        <v/>
      </c>
      <c r="AJ297" s="44">
        <f>IF(OR(AI297="",AH297=""),"",(AI297-AH297)*100)</f>
        <v/>
      </c>
      <c r="AK297" s="70" t="n"/>
      <c r="AL297" s="70" t="n"/>
      <c r="AM297" s="69">
        <f>IF(OR(AL297="",AK297="",AK297=0,AL297=0),"",AL297-AK297)</f>
        <v/>
      </c>
      <c r="AN297" s="42">
        <f>IF(OR(AL297="",AK297="",AK297=0,AL297=0),"",AL297/AK297-1)</f>
        <v/>
      </c>
      <c r="AO297" s="43">
        <f>IF(OR(AK297="",AD297="",AD297=0),"",AK297/AD297)</f>
        <v/>
      </c>
      <c r="AP297" s="43">
        <f>IF(OR(AL297="",AE297="",AE297=0),"",AL297/AE297)</f>
        <v/>
      </c>
      <c r="AQ297" s="44">
        <f>IF(OR(AP297="",AO297=""),"",(AP297-AO297)*100)</f>
        <v/>
      </c>
      <c r="AR297" s="70" t="n"/>
      <c r="AS297" s="70" t="n"/>
      <c r="AT297" s="69">
        <f>IF(OR(AS297="",AR297="",AR297=0,AS297=0),"",AS297-AR297)</f>
        <v/>
      </c>
      <c r="AU297" s="42">
        <f>IF(OR(AS297="",AR297="",AR297=0,AS297=0),"",AS297/AR297-1)</f>
        <v/>
      </c>
      <c r="AV297" s="43">
        <f>IF(OR(AR297="",AK297="",AK297=0),"",AR297/AK297)</f>
        <v/>
      </c>
      <c r="AW297" s="43">
        <f>IF(OR(AS297="",AL297="",AL297=0),"",AS297/AL297)</f>
        <v/>
      </c>
      <c r="AX297" s="44">
        <f>IF(OR(AW297="",AV297=""),"",(AW297-AV297)*100)</f>
        <v/>
      </c>
      <c r="AY297" s="45">
        <f>IF(OR(AR297="",P297="",P297=0),"",AR297/P297)</f>
        <v/>
      </c>
      <c r="AZ297" s="45">
        <f>IF(OR(AS297="",Q297="",Q297=0),"",AS297/Q297)</f>
        <v/>
      </c>
      <c r="BA297" s="44">
        <f>IF(OR(AZ297="",AY297=""),"",(AZ297-AY297)*100)</f>
        <v/>
      </c>
      <c r="BB297" s="45">
        <f>IF(OR(AR297="",E297="",E297=0),"",AR297/E297)</f>
        <v/>
      </c>
      <c r="BC297" s="45">
        <f>IF(OR(AS297="",F297="",F297=0),"",AS297/F297)</f>
        <v/>
      </c>
      <c r="BD297" s="44">
        <f>IF(OR(BC297="",BB297=""),"",(BC297-BB297)*100)</f>
        <v/>
      </c>
      <c r="BE297" s="40">
        <f>IF(AND(F297&lt;&gt;"",E297&lt;&gt;""),"Both years",IF(F297&lt;&gt;"","1-23Aug26 rows only","1-23Aug25 rows only"))</f>
        <v/>
      </c>
    </row>
    <row r="298">
      <c r="A298" s="56" t="inlineStr">
        <is>
          <t>Airport page</t>
        </is>
      </c>
      <c r="B298" s="56" t="inlineStr">
        <is>
          <t>Direct</t>
        </is>
      </c>
      <c r="C298" s="56" t="inlineStr">
        <is>
          <t>Mobile</t>
        </is>
      </c>
      <c r="D298" s="56" t="inlineStr">
        <is>
          <t>Poland</t>
        </is>
      </c>
      <c r="E298" s="68" t="n">
        <v>45</v>
      </c>
      <c r="F298" s="68" t="n">
        <v>39</v>
      </c>
      <c r="G298" s="69">
        <f>IF(OR(F298="",E298="",E298=0,F298=0),"",F298-E298)</f>
        <v/>
      </c>
      <c r="H298" s="42">
        <f>IF(OR(F298="",E298="",E298=0,F298=0),"",F298/E298-1)</f>
        <v/>
      </c>
      <c r="I298" s="70" t="n"/>
      <c r="J298" s="70" t="n"/>
      <c r="K298" s="69">
        <f>IF(OR(J298="",I298="",I298=0,J298=0),"",J298-I298)</f>
        <v/>
      </c>
      <c r="L298" s="42">
        <f>IF(OR(J298="",I298="",I298=0,J298=0),"",J298/I298-1)</f>
        <v/>
      </c>
      <c r="M298" s="43">
        <f>IF(OR(I298="",E298="",E298=0),"",I298/E298)</f>
        <v/>
      </c>
      <c r="N298" s="43">
        <f>IF(OR(J298="",F298="",F298=0),"",J298/F298)</f>
        <v/>
      </c>
      <c r="O298" s="44">
        <f>IF(OR(N298="",M298=""),"",(N298-M298)*100)</f>
        <v/>
      </c>
      <c r="P298" s="68" t="n">
        <v>21</v>
      </c>
      <c r="Q298" s="68" t="n">
        <v>22</v>
      </c>
      <c r="R298" s="69">
        <f>IF(OR(Q298="",P298="",P298=0,Q298=0),"",Q298-P298)</f>
        <v/>
      </c>
      <c r="S298" s="42">
        <f>IF(OR(Q298="",P298="",P298=0,Q298=0),"",Q298/P298-1)</f>
        <v/>
      </c>
      <c r="T298" s="43">
        <f>IF(OR(P298="",E298="",E298=0),"",P298/E298)</f>
        <v/>
      </c>
      <c r="U298" s="43">
        <f>IF(OR(Q298="",F298="",F298=0),"",Q298/F298)</f>
        <v/>
      </c>
      <c r="V298" s="44">
        <f>IF(OR(U298="",T298=""),"",(U298-T298)*100)</f>
        <v/>
      </c>
      <c r="W298" s="70" t="n"/>
      <c r="X298" s="70" t="n"/>
      <c r="Y298" s="69">
        <f>IF(OR(X298="",W298="",W298=0,X298=0),"",X298-W298)</f>
        <v/>
      </c>
      <c r="Z298" s="42">
        <f>IF(OR(X298="",W298="",W298=0,X298=0),"",X298/W298-1)</f>
        <v/>
      </c>
      <c r="AA298" s="43">
        <f>IF(OR(W298="",P298="",P298=0),"",W298/P298)</f>
        <v/>
      </c>
      <c r="AB298" s="43">
        <f>IF(OR(X298="",Q298="",Q298=0),"",X298/Q298)</f>
        <v/>
      </c>
      <c r="AC298" s="44">
        <f>IF(OR(AB298="",AA298=""),"",(AB298-AA298)*100)</f>
        <v/>
      </c>
      <c r="AD298" s="70" t="n"/>
      <c r="AE298" s="70" t="n"/>
      <c r="AF298" s="69">
        <f>IF(OR(AE298="",AD298="",AD298=0,AE298=0),"",AE298-AD298)</f>
        <v/>
      </c>
      <c r="AG298" s="42">
        <f>IF(OR(AE298="",AD298="",AD298=0,AE298=0),"",AE298/AD298-1)</f>
        <v/>
      </c>
      <c r="AH298" s="43">
        <f>IF(OR(AD298="",W298="",W298=0),"",AD298/W298)</f>
        <v/>
      </c>
      <c r="AI298" s="43">
        <f>IF(OR(AE298="",X298="",X298=0),"",AE298/X298)</f>
        <v/>
      </c>
      <c r="AJ298" s="44">
        <f>IF(OR(AI298="",AH298=""),"",(AI298-AH298)*100)</f>
        <v/>
      </c>
      <c r="AK298" s="70" t="n"/>
      <c r="AL298" s="70" t="n"/>
      <c r="AM298" s="69">
        <f>IF(OR(AL298="",AK298="",AK298=0,AL298=0),"",AL298-AK298)</f>
        <v/>
      </c>
      <c r="AN298" s="42">
        <f>IF(OR(AL298="",AK298="",AK298=0,AL298=0),"",AL298/AK298-1)</f>
        <v/>
      </c>
      <c r="AO298" s="43">
        <f>IF(OR(AK298="",AD298="",AD298=0),"",AK298/AD298)</f>
        <v/>
      </c>
      <c r="AP298" s="43">
        <f>IF(OR(AL298="",AE298="",AE298=0),"",AL298/AE298)</f>
        <v/>
      </c>
      <c r="AQ298" s="44">
        <f>IF(OR(AP298="",AO298=""),"",(AP298-AO298)*100)</f>
        <v/>
      </c>
      <c r="AR298" s="70" t="n"/>
      <c r="AS298" s="70" t="n"/>
      <c r="AT298" s="69">
        <f>IF(OR(AS298="",AR298="",AR298=0,AS298=0),"",AS298-AR298)</f>
        <v/>
      </c>
      <c r="AU298" s="42">
        <f>IF(OR(AS298="",AR298="",AR298=0,AS298=0),"",AS298/AR298-1)</f>
        <v/>
      </c>
      <c r="AV298" s="43">
        <f>IF(OR(AR298="",AK298="",AK298=0),"",AR298/AK298)</f>
        <v/>
      </c>
      <c r="AW298" s="43">
        <f>IF(OR(AS298="",AL298="",AL298=0),"",AS298/AL298)</f>
        <v/>
      </c>
      <c r="AX298" s="44">
        <f>IF(OR(AW298="",AV298=""),"",(AW298-AV298)*100)</f>
        <v/>
      </c>
      <c r="AY298" s="45">
        <f>IF(OR(AR298="",P298="",P298=0),"",AR298/P298)</f>
        <v/>
      </c>
      <c r="AZ298" s="45">
        <f>IF(OR(AS298="",Q298="",Q298=0),"",AS298/Q298)</f>
        <v/>
      </c>
      <c r="BA298" s="44">
        <f>IF(OR(AZ298="",AY298=""),"",(AZ298-AY298)*100)</f>
        <v/>
      </c>
      <c r="BB298" s="45">
        <f>IF(OR(AR298="",E298="",E298=0),"",AR298/E298)</f>
        <v/>
      </c>
      <c r="BC298" s="45">
        <f>IF(OR(AS298="",F298="",F298=0),"",AS298/F298)</f>
        <v/>
      </c>
      <c r="BD298" s="44">
        <f>IF(OR(BC298="",BB298=""),"",(BC298-BB298)*100)</f>
        <v/>
      </c>
      <c r="BE298" s="40">
        <f>IF(AND(F298&lt;&gt;"",E298&lt;&gt;""),"Both years",IF(F298&lt;&gt;"","1-23Aug26 rows only","1-23Aug25 rows only"))</f>
        <v/>
      </c>
    </row>
    <row r="299">
      <c r="A299" s="40" t="inlineStr">
        <is>
          <t>Airport page</t>
        </is>
      </c>
      <c r="B299" s="40" t="inlineStr">
        <is>
          <t>Direct</t>
        </is>
      </c>
      <c r="C299" s="40" t="inlineStr">
        <is>
          <t>Mobile</t>
        </is>
      </c>
      <c r="D299" s="40" t="inlineStr">
        <is>
          <t>United States</t>
        </is>
      </c>
      <c r="E299" s="68" t="n">
        <v>49</v>
      </c>
      <c r="F299" s="68" t="n">
        <v>37</v>
      </c>
      <c r="G299" s="69">
        <f>IF(OR(F299="",E299="",E299=0,F299=0),"",F299-E299)</f>
        <v/>
      </c>
      <c r="H299" s="42">
        <f>IF(OR(F299="",E299="",E299=0,F299=0),"",F299/E299-1)</f>
        <v/>
      </c>
      <c r="I299" s="68" t="n">
        <v>17</v>
      </c>
      <c r="J299" s="68" t="n">
        <v>17</v>
      </c>
      <c r="K299" s="69">
        <f>IF(OR(J299="",I299="",I299=0,J299=0),"",J299-I299)</f>
        <v/>
      </c>
      <c r="L299" s="42">
        <f>IF(OR(J299="",I299="",I299=0,J299=0),"",J299/I299-1)</f>
        <v/>
      </c>
      <c r="M299" s="43">
        <f>IF(OR(I299="",E299="",E299=0),"",I299/E299)</f>
        <v/>
      </c>
      <c r="N299" s="43">
        <f>IF(OR(J299="",F299="",F299=0),"",J299/F299)</f>
        <v/>
      </c>
      <c r="O299" s="44">
        <f>IF(OR(N299="",M299=""),"",(N299-M299)*100)</f>
        <v/>
      </c>
      <c r="P299" s="68" t="n">
        <v>17</v>
      </c>
      <c r="Q299" s="70" t="n"/>
      <c r="R299" s="69">
        <f>IF(OR(Q299="",P299="",P299=0,Q299=0),"",Q299-P299)</f>
        <v/>
      </c>
      <c r="S299" s="42">
        <f>IF(OR(Q299="",P299="",P299=0,Q299=0),"",Q299/P299-1)</f>
        <v/>
      </c>
      <c r="T299" s="43">
        <f>IF(OR(P299="",E299="",E299=0),"",P299/E299)</f>
        <v/>
      </c>
      <c r="U299" s="43">
        <f>IF(OR(Q299="",F299="",F299=0),"",Q299/F299)</f>
        <v/>
      </c>
      <c r="V299" s="44">
        <f>IF(OR(U299="",T299=""),"",(U299-T299)*100)</f>
        <v/>
      </c>
      <c r="W299" s="68" t="n">
        <v>6</v>
      </c>
      <c r="X299" s="68" t="n">
        <v>5</v>
      </c>
      <c r="Y299" s="69">
        <f>IF(OR(X299="",W299="",W299=0,X299=0),"",X299-W299)</f>
        <v/>
      </c>
      <c r="Z299" s="42">
        <f>IF(OR(X299="",W299="",W299=0,X299=0),"",X299/W299-1)</f>
        <v/>
      </c>
      <c r="AA299" s="43">
        <f>IF(OR(W299="",P299="",P299=0),"",W299/P299)</f>
        <v/>
      </c>
      <c r="AB299" s="43">
        <f>IF(OR(X299="",Q299="",Q299=0),"",X299/Q299)</f>
        <v/>
      </c>
      <c r="AC299" s="44">
        <f>IF(OR(AB299="",AA299=""),"",(AB299-AA299)*100)</f>
        <v/>
      </c>
      <c r="AD299" s="68" t="n">
        <v>7</v>
      </c>
      <c r="AE299" s="68" t="n">
        <v>4</v>
      </c>
      <c r="AF299" s="69">
        <f>IF(OR(AE299="",AD299="",AD299=0,AE299=0),"",AE299-AD299)</f>
        <v/>
      </c>
      <c r="AG299" s="42">
        <f>IF(OR(AE299="",AD299="",AD299=0,AE299=0),"",AE299/AD299-1)</f>
        <v/>
      </c>
      <c r="AH299" s="43">
        <f>IF(OR(AD299="",W299="",W299=0),"",AD299/W299)</f>
        <v/>
      </c>
      <c r="AI299" s="43">
        <f>IF(OR(AE299="",X299="",X299=0),"",AE299/X299)</f>
        <v/>
      </c>
      <c r="AJ299" s="44">
        <f>IF(OR(AI299="",AH299=""),"",(AI299-AH299)*100)</f>
        <v/>
      </c>
      <c r="AK299" s="68" t="n">
        <v>5</v>
      </c>
      <c r="AL299" s="70" t="n"/>
      <c r="AM299" s="69">
        <f>IF(OR(AL299="",AK299="",AK299=0,AL299=0),"",AL299-AK299)</f>
        <v/>
      </c>
      <c r="AN299" s="42">
        <f>IF(OR(AL299="",AK299="",AK299=0,AL299=0),"",AL299/AK299-1)</f>
        <v/>
      </c>
      <c r="AO299" s="43">
        <f>IF(OR(AK299="",AD299="",AD299=0),"",AK299/AD299)</f>
        <v/>
      </c>
      <c r="AP299" s="43">
        <f>IF(OR(AL299="",AE299="",AE299=0),"",AL299/AE299)</f>
        <v/>
      </c>
      <c r="AQ299" s="44">
        <f>IF(OR(AP299="",AO299=""),"",(AP299-AO299)*100)</f>
        <v/>
      </c>
      <c r="AR299" s="68" t="n">
        <v>2</v>
      </c>
      <c r="AS299" s="70" t="n"/>
      <c r="AT299" s="69">
        <f>IF(OR(AS299="",AR299="",AR299=0,AS299=0),"",AS299-AR299)</f>
        <v/>
      </c>
      <c r="AU299" s="42">
        <f>IF(OR(AS299="",AR299="",AR299=0,AS299=0),"",AS299/AR299-1)</f>
        <v/>
      </c>
      <c r="AV299" s="43">
        <f>IF(OR(AR299="",AK299="",AK299=0),"",AR299/AK299)</f>
        <v/>
      </c>
      <c r="AW299" s="43">
        <f>IF(OR(AS299="",AL299="",AL299=0),"",AS299/AL299)</f>
        <v/>
      </c>
      <c r="AX299" s="44">
        <f>IF(OR(AW299="",AV299=""),"",(AW299-AV299)*100)</f>
        <v/>
      </c>
      <c r="AY299" s="45">
        <f>IF(OR(AR299="",P299="",P299=0),"",AR299/P299)</f>
        <v/>
      </c>
      <c r="AZ299" s="45">
        <f>IF(OR(AS299="",Q299="",Q299=0),"",AS299/Q299)</f>
        <v/>
      </c>
      <c r="BA299" s="44">
        <f>IF(OR(AZ299="",AY299=""),"",(AZ299-AY299)*100)</f>
        <v/>
      </c>
      <c r="BB299" s="45">
        <f>IF(OR(AR299="",E299="",E299=0),"",AR299/E299)</f>
        <v/>
      </c>
      <c r="BC299" s="45">
        <f>IF(OR(AS299="",F299="",F299=0),"",AS299/F299)</f>
        <v/>
      </c>
      <c r="BD299" s="44">
        <f>IF(OR(BC299="",BB299=""),"",(BC299-BB299)*100)</f>
        <v/>
      </c>
      <c r="BE299" s="40">
        <f>IF(AND(F299&lt;&gt;"",E299&lt;&gt;""),"Both years",IF(F299&lt;&gt;"","1-23Aug26 rows only","1-23Aug25 rows only"))</f>
        <v/>
      </c>
    </row>
    <row r="300">
      <c r="A300" s="56" t="inlineStr">
        <is>
          <t>Airport page</t>
        </is>
      </c>
      <c r="B300" s="56" t="inlineStr">
        <is>
          <t>Direct</t>
        </is>
      </c>
      <c r="C300" s="56" t="inlineStr">
        <is>
          <t>Mobile</t>
        </is>
      </c>
      <c r="D300" s="56" t="inlineStr">
        <is>
          <t>Norway</t>
        </is>
      </c>
      <c r="E300" s="68" t="n">
        <v>23</v>
      </c>
      <c r="F300" s="68" t="n">
        <v>36</v>
      </c>
      <c r="G300" s="69">
        <f>IF(OR(F300="",E300="",E300=0,F300=0),"",F300-E300)</f>
        <v/>
      </c>
      <c r="H300" s="42">
        <f>IF(OR(F300="",E300="",E300=0,F300=0),"",F300/E300-1)</f>
        <v/>
      </c>
      <c r="I300" s="68" t="n">
        <v>12</v>
      </c>
      <c r="J300" s="68" t="n">
        <v>17</v>
      </c>
      <c r="K300" s="69">
        <f>IF(OR(J300="",I300="",I300=0,J300=0),"",J300-I300)</f>
        <v/>
      </c>
      <c r="L300" s="42">
        <f>IF(OR(J300="",I300="",I300=0,J300=0),"",J300/I300-1)</f>
        <v/>
      </c>
      <c r="M300" s="43">
        <f>IF(OR(I300="",E300="",E300=0),"",I300/E300)</f>
        <v/>
      </c>
      <c r="N300" s="43">
        <f>IF(OR(J300="",F300="",F300=0),"",J300/F300)</f>
        <v/>
      </c>
      <c r="O300" s="44">
        <f>IF(OR(N300="",M300=""),"",(N300-M300)*100)</f>
        <v/>
      </c>
      <c r="P300" s="70" t="n"/>
      <c r="Q300" s="68" t="n">
        <v>16</v>
      </c>
      <c r="R300" s="69">
        <f>IF(OR(Q300="",P300="",P300=0,Q300=0),"",Q300-P300)</f>
        <v/>
      </c>
      <c r="S300" s="42">
        <f>IF(OR(Q300="",P300="",P300=0,Q300=0),"",Q300/P300-1)</f>
        <v/>
      </c>
      <c r="T300" s="43">
        <f>IF(OR(P300="",E300="",E300=0),"",P300/E300)</f>
        <v/>
      </c>
      <c r="U300" s="43">
        <f>IF(OR(Q300="",F300="",F300=0),"",Q300/F300)</f>
        <v/>
      </c>
      <c r="V300" s="44">
        <f>IF(OR(U300="",T300=""),"",(U300-T300)*100)</f>
        <v/>
      </c>
      <c r="W300" s="68" t="n">
        <v>4</v>
      </c>
      <c r="X300" s="68" t="n">
        <v>5</v>
      </c>
      <c r="Y300" s="69">
        <f>IF(OR(X300="",W300="",W300=0,X300=0),"",X300-W300)</f>
        <v/>
      </c>
      <c r="Z300" s="42">
        <f>IF(OR(X300="",W300="",W300=0,X300=0),"",X300/W300-1)</f>
        <v/>
      </c>
      <c r="AA300" s="43">
        <f>IF(OR(W300="",P300="",P300=0),"",W300/P300)</f>
        <v/>
      </c>
      <c r="AB300" s="43">
        <f>IF(OR(X300="",Q300="",Q300=0),"",X300/Q300)</f>
        <v/>
      </c>
      <c r="AC300" s="44">
        <f>IF(OR(AB300="",AA300=""),"",(AB300-AA300)*100)</f>
        <v/>
      </c>
      <c r="AD300" s="68" t="n">
        <v>3</v>
      </c>
      <c r="AE300" s="68" t="n">
        <v>4</v>
      </c>
      <c r="AF300" s="69">
        <f>IF(OR(AE300="",AD300="",AD300=0,AE300=0),"",AE300-AD300)</f>
        <v/>
      </c>
      <c r="AG300" s="42">
        <f>IF(OR(AE300="",AD300="",AD300=0,AE300=0),"",AE300/AD300-1)</f>
        <v/>
      </c>
      <c r="AH300" s="43">
        <f>IF(OR(AD300="",W300="",W300=0),"",AD300/W300)</f>
        <v/>
      </c>
      <c r="AI300" s="43">
        <f>IF(OR(AE300="",X300="",X300=0),"",AE300/X300)</f>
        <v/>
      </c>
      <c r="AJ300" s="44">
        <f>IF(OR(AI300="",AH300=""),"",(AI300-AH300)*100)</f>
        <v/>
      </c>
      <c r="AK300" s="68" t="n">
        <v>2</v>
      </c>
      <c r="AL300" s="68" t="n">
        <v>2</v>
      </c>
      <c r="AM300" s="69">
        <f>IF(OR(AL300="",AK300="",AK300=0,AL300=0),"",AL300-AK300)</f>
        <v/>
      </c>
      <c r="AN300" s="42">
        <f>IF(OR(AL300="",AK300="",AK300=0,AL300=0),"",AL300/AK300-1)</f>
        <v/>
      </c>
      <c r="AO300" s="43">
        <f>IF(OR(AK300="",AD300="",AD300=0),"",AK300/AD300)</f>
        <v/>
      </c>
      <c r="AP300" s="43">
        <f>IF(OR(AL300="",AE300="",AE300=0),"",AL300/AE300)</f>
        <v/>
      </c>
      <c r="AQ300" s="44">
        <f>IF(OR(AP300="",AO300=""),"",(AP300-AO300)*100)</f>
        <v/>
      </c>
      <c r="AR300" s="68" t="n">
        <v>1</v>
      </c>
      <c r="AS300" s="68" t="n">
        <v>2</v>
      </c>
      <c r="AT300" s="69">
        <f>IF(OR(AS300="",AR300="",AR300=0,AS300=0),"",AS300-AR300)</f>
        <v/>
      </c>
      <c r="AU300" s="42">
        <f>IF(OR(AS300="",AR300="",AR300=0,AS300=0),"",AS300/AR300-1)</f>
        <v/>
      </c>
      <c r="AV300" s="43">
        <f>IF(OR(AR300="",AK300="",AK300=0),"",AR300/AK300)</f>
        <v/>
      </c>
      <c r="AW300" s="43">
        <f>IF(OR(AS300="",AL300="",AL300=0),"",AS300/AL300)</f>
        <v/>
      </c>
      <c r="AX300" s="44">
        <f>IF(OR(AW300="",AV300=""),"",(AW300-AV300)*100)</f>
        <v/>
      </c>
      <c r="AY300" s="45">
        <f>IF(OR(AR300="",P300="",P300=0),"",AR300/P300)</f>
        <v/>
      </c>
      <c r="AZ300" s="45">
        <f>IF(OR(AS300="",Q300="",Q300=0),"",AS300/Q300)</f>
        <v/>
      </c>
      <c r="BA300" s="44">
        <f>IF(OR(AZ300="",AY300=""),"",(AZ300-AY300)*100)</f>
        <v/>
      </c>
      <c r="BB300" s="45">
        <f>IF(OR(AR300="",E300="",E300=0),"",AR300/E300)</f>
        <v/>
      </c>
      <c r="BC300" s="45">
        <f>IF(OR(AS300="",F300="",F300=0),"",AS300/F300)</f>
        <v/>
      </c>
      <c r="BD300" s="44">
        <f>IF(OR(BC300="",BB300=""),"",(BC300-BB300)*100)</f>
        <v/>
      </c>
      <c r="BE300" s="40">
        <f>IF(AND(F300&lt;&gt;"",E300&lt;&gt;""),"Both years",IF(F300&lt;&gt;"","1-23Aug26 rows only","1-23Aug25 rows only"))</f>
        <v/>
      </c>
    </row>
    <row r="301">
      <c r="A301" s="40" t="inlineStr">
        <is>
          <t>Airport page</t>
        </is>
      </c>
      <c r="B301" s="40" t="inlineStr">
        <is>
          <t>Direct</t>
        </is>
      </c>
      <c r="C301" s="40" t="inlineStr">
        <is>
          <t>Mobile</t>
        </is>
      </c>
      <c r="D301" s="40" t="inlineStr">
        <is>
          <t>(not set)</t>
        </is>
      </c>
      <c r="E301" s="68" t="n">
        <v>40</v>
      </c>
      <c r="F301" s="70" t="n"/>
      <c r="G301" s="69">
        <f>IF(OR(F301="",E301="",E301=0,F301=0),"",F301-E301)</f>
        <v/>
      </c>
      <c r="H301" s="42">
        <f>IF(OR(F301="",E301="",E301=0,F301=0),"",F301/E301-1)</f>
        <v/>
      </c>
      <c r="I301" s="70" t="n"/>
      <c r="J301" s="70" t="n"/>
      <c r="K301" s="69">
        <f>IF(OR(J301="",I301="",I301=0,J301=0),"",J301-I301)</f>
        <v/>
      </c>
      <c r="L301" s="42">
        <f>IF(OR(J301="",I301="",I301=0,J301=0),"",J301/I301-1)</f>
        <v/>
      </c>
      <c r="M301" s="43">
        <f>IF(OR(I301="",E301="",E301=0),"",I301/E301)</f>
        <v/>
      </c>
      <c r="N301" s="43">
        <f>IF(OR(J301="",F301="",F301=0),"",J301/F301)</f>
        <v/>
      </c>
      <c r="O301" s="44">
        <f>IF(OR(N301="",M301=""),"",(N301-M301)*100)</f>
        <v/>
      </c>
      <c r="P301" s="70" t="n"/>
      <c r="Q301" s="70" t="n"/>
      <c r="R301" s="69">
        <f>IF(OR(Q301="",P301="",P301=0,Q301=0),"",Q301-P301)</f>
        <v/>
      </c>
      <c r="S301" s="42">
        <f>IF(OR(Q301="",P301="",P301=0,Q301=0),"",Q301/P301-1)</f>
        <v/>
      </c>
      <c r="T301" s="43">
        <f>IF(OR(P301="",E301="",E301=0),"",P301/E301)</f>
        <v/>
      </c>
      <c r="U301" s="43">
        <f>IF(OR(Q301="",F301="",F301=0),"",Q301/F301)</f>
        <v/>
      </c>
      <c r="V301" s="44">
        <f>IF(OR(U301="",T301=""),"",(U301-T301)*100)</f>
        <v/>
      </c>
      <c r="W301" s="70" t="n"/>
      <c r="X301" s="70" t="n"/>
      <c r="Y301" s="69">
        <f>IF(OR(X301="",W301="",W301=0,X301=0),"",X301-W301)</f>
        <v/>
      </c>
      <c r="Z301" s="42">
        <f>IF(OR(X301="",W301="",W301=0,X301=0),"",X301/W301-1)</f>
        <v/>
      </c>
      <c r="AA301" s="43">
        <f>IF(OR(W301="",P301="",P301=0),"",W301/P301)</f>
        <v/>
      </c>
      <c r="AB301" s="43">
        <f>IF(OR(X301="",Q301="",Q301=0),"",X301/Q301)</f>
        <v/>
      </c>
      <c r="AC301" s="44">
        <f>IF(OR(AB301="",AA301=""),"",(AB301-AA301)*100)</f>
        <v/>
      </c>
      <c r="AD301" s="70" t="n"/>
      <c r="AE301" s="70" t="n"/>
      <c r="AF301" s="69">
        <f>IF(OR(AE301="",AD301="",AD301=0,AE301=0),"",AE301-AD301)</f>
        <v/>
      </c>
      <c r="AG301" s="42">
        <f>IF(OR(AE301="",AD301="",AD301=0,AE301=0),"",AE301/AD301-1)</f>
        <v/>
      </c>
      <c r="AH301" s="43">
        <f>IF(OR(AD301="",W301="",W301=0),"",AD301/W301)</f>
        <v/>
      </c>
      <c r="AI301" s="43">
        <f>IF(OR(AE301="",X301="",X301=0),"",AE301/X301)</f>
        <v/>
      </c>
      <c r="AJ301" s="44">
        <f>IF(OR(AI301="",AH301=""),"",(AI301-AH301)*100)</f>
        <v/>
      </c>
      <c r="AK301" s="70" t="n"/>
      <c r="AL301" s="70" t="n"/>
      <c r="AM301" s="69">
        <f>IF(OR(AL301="",AK301="",AK301=0,AL301=0),"",AL301-AK301)</f>
        <v/>
      </c>
      <c r="AN301" s="42">
        <f>IF(OR(AL301="",AK301="",AK301=0,AL301=0),"",AL301/AK301-1)</f>
        <v/>
      </c>
      <c r="AO301" s="43">
        <f>IF(OR(AK301="",AD301="",AD301=0),"",AK301/AD301)</f>
        <v/>
      </c>
      <c r="AP301" s="43">
        <f>IF(OR(AL301="",AE301="",AE301=0),"",AL301/AE301)</f>
        <v/>
      </c>
      <c r="AQ301" s="44">
        <f>IF(OR(AP301="",AO301=""),"",(AP301-AO301)*100)</f>
        <v/>
      </c>
      <c r="AR301" s="70" t="n"/>
      <c r="AS301" s="70" t="n"/>
      <c r="AT301" s="69">
        <f>IF(OR(AS301="",AR301="",AR301=0,AS301=0),"",AS301-AR301)</f>
        <v/>
      </c>
      <c r="AU301" s="42">
        <f>IF(OR(AS301="",AR301="",AR301=0,AS301=0),"",AS301/AR301-1)</f>
        <v/>
      </c>
      <c r="AV301" s="43">
        <f>IF(OR(AR301="",AK301="",AK301=0),"",AR301/AK301)</f>
        <v/>
      </c>
      <c r="AW301" s="43">
        <f>IF(OR(AS301="",AL301="",AL301=0),"",AS301/AL301)</f>
        <v/>
      </c>
      <c r="AX301" s="44">
        <f>IF(OR(AW301="",AV301=""),"",(AW301-AV301)*100)</f>
        <v/>
      </c>
      <c r="AY301" s="45">
        <f>IF(OR(AR301="",P301="",P301=0),"",AR301/P301)</f>
        <v/>
      </c>
      <c r="AZ301" s="45">
        <f>IF(OR(AS301="",Q301="",Q301=0),"",AS301/Q301)</f>
        <v/>
      </c>
      <c r="BA301" s="44">
        <f>IF(OR(AZ301="",AY301=""),"",(AZ301-AY301)*100)</f>
        <v/>
      </c>
      <c r="BB301" s="45">
        <f>IF(OR(AR301="",E301="",E301=0),"",AR301/E301)</f>
        <v/>
      </c>
      <c r="BC301" s="45">
        <f>IF(OR(AS301="",F301="",F301=0),"",AS301/F301)</f>
        <v/>
      </c>
      <c r="BD301" s="44">
        <f>IF(OR(BC301="",BB301=""),"",(BC301-BB301)*100)</f>
        <v/>
      </c>
      <c r="BE301" s="40">
        <f>IF(AND(F301&lt;&gt;"",E301&lt;&gt;""),"Both years",IF(F301&lt;&gt;"","1-23Aug26 rows only","1-23Aug25 rows only"))</f>
        <v/>
      </c>
    </row>
    <row r="302">
      <c r="A302" s="56" t="inlineStr">
        <is>
          <t>Airport page</t>
        </is>
      </c>
      <c r="B302" s="56" t="inlineStr">
        <is>
          <t>Direct</t>
        </is>
      </c>
      <c r="C302" s="56" t="inlineStr">
        <is>
          <t>Mobile</t>
        </is>
      </c>
      <c r="D302" s="56" t="inlineStr">
        <is>
          <t>Austria</t>
        </is>
      </c>
      <c r="E302" s="68" t="n">
        <v>25</v>
      </c>
      <c r="F302" s="70" t="n"/>
      <c r="G302" s="69">
        <f>IF(OR(F302="",E302="",E302=0,F302=0),"",F302-E302)</f>
        <v/>
      </c>
      <c r="H302" s="42">
        <f>IF(OR(F302="",E302="",E302=0,F302=0),"",F302/E302-1)</f>
        <v/>
      </c>
      <c r="I302" s="70" t="n"/>
      <c r="J302" s="70" t="n"/>
      <c r="K302" s="69">
        <f>IF(OR(J302="",I302="",I302=0,J302=0),"",J302-I302)</f>
        <v/>
      </c>
      <c r="L302" s="42">
        <f>IF(OR(J302="",I302="",I302=0,J302=0),"",J302/I302-1)</f>
        <v/>
      </c>
      <c r="M302" s="43">
        <f>IF(OR(I302="",E302="",E302=0),"",I302/E302)</f>
        <v/>
      </c>
      <c r="N302" s="43">
        <f>IF(OR(J302="",F302="",F302=0),"",J302/F302)</f>
        <v/>
      </c>
      <c r="O302" s="44">
        <f>IF(OR(N302="",M302=""),"",(N302-M302)*100)</f>
        <v/>
      </c>
      <c r="P302" s="68" t="n">
        <v>13</v>
      </c>
      <c r="Q302" s="70" t="n"/>
      <c r="R302" s="69">
        <f>IF(OR(Q302="",P302="",P302=0,Q302=0),"",Q302-P302)</f>
        <v/>
      </c>
      <c r="S302" s="42">
        <f>IF(OR(Q302="",P302="",P302=0,Q302=0),"",Q302/P302-1)</f>
        <v/>
      </c>
      <c r="T302" s="43">
        <f>IF(OR(P302="",E302="",E302=0),"",P302/E302)</f>
        <v/>
      </c>
      <c r="U302" s="43">
        <f>IF(OR(Q302="",F302="",F302=0),"",Q302/F302)</f>
        <v/>
      </c>
      <c r="V302" s="44">
        <f>IF(OR(U302="",T302=""),"",(U302-T302)*100)</f>
        <v/>
      </c>
      <c r="W302" s="70" t="n"/>
      <c r="X302" s="70" t="n"/>
      <c r="Y302" s="69">
        <f>IF(OR(X302="",W302="",W302=0,X302=0),"",X302-W302)</f>
        <v/>
      </c>
      <c r="Z302" s="42">
        <f>IF(OR(X302="",W302="",W302=0,X302=0),"",X302/W302-1)</f>
        <v/>
      </c>
      <c r="AA302" s="43">
        <f>IF(OR(W302="",P302="",P302=0),"",W302/P302)</f>
        <v/>
      </c>
      <c r="AB302" s="43">
        <f>IF(OR(X302="",Q302="",Q302=0),"",X302/Q302)</f>
        <v/>
      </c>
      <c r="AC302" s="44">
        <f>IF(OR(AB302="",AA302=""),"",(AB302-AA302)*100)</f>
        <v/>
      </c>
      <c r="AD302" s="70" t="n"/>
      <c r="AE302" s="70" t="n"/>
      <c r="AF302" s="69">
        <f>IF(OR(AE302="",AD302="",AD302=0,AE302=0),"",AE302-AD302)</f>
        <v/>
      </c>
      <c r="AG302" s="42">
        <f>IF(OR(AE302="",AD302="",AD302=0,AE302=0),"",AE302/AD302-1)</f>
        <v/>
      </c>
      <c r="AH302" s="43">
        <f>IF(OR(AD302="",W302="",W302=0),"",AD302/W302)</f>
        <v/>
      </c>
      <c r="AI302" s="43">
        <f>IF(OR(AE302="",X302="",X302=0),"",AE302/X302)</f>
        <v/>
      </c>
      <c r="AJ302" s="44">
        <f>IF(OR(AI302="",AH302=""),"",(AI302-AH302)*100)</f>
        <v/>
      </c>
      <c r="AK302" s="70" t="n"/>
      <c r="AL302" s="70" t="n"/>
      <c r="AM302" s="69">
        <f>IF(OR(AL302="",AK302="",AK302=0,AL302=0),"",AL302-AK302)</f>
        <v/>
      </c>
      <c r="AN302" s="42">
        <f>IF(OR(AL302="",AK302="",AK302=0,AL302=0),"",AL302/AK302-1)</f>
        <v/>
      </c>
      <c r="AO302" s="43">
        <f>IF(OR(AK302="",AD302="",AD302=0),"",AK302/AD302)</f>
        <v/>
      </c>
      <c r="AP302" s="43">
        <f>IF(OR(AL302="",AE302="",AE302=0),"",AL302/AE302)</f>
        <v/>
      </c>
      <c r="AQ302" s="44">
        <f>IF(OR(AP302="",AO302=""),"",(AP302-AO302)*100)</f>
        <v/>
      </c>
      <c r="AR302" s="70" t="n"/>
      <c r="AS302" s="70" t="n"/>
      <c r="AT302" s="69">
        <f>IF(OR(AS302="",AR302="",AR302=0,AS302=0),"",AS302-AR302)</f>
        <v/>
      </c>
      <c r="AU302" s="42">
        <f>IF(OR(AS302="",AR302="",AR302=0,AS302=0),"",AS302/AR302-1)</f>
        <v/>
      </c>
      <c r="AV302" s="43">
        <f>IF(OR(AR302="",AK302="",AK302=0),"",AR302/AK302)</f>
        <v/>
      </c>
      <c r="AW302" s="43">
        <f>IF(OR(AS302="",AL302="",AL302=0),"",AS302/AL302)</f>
        <v/>
      </c>
      <c r="AX302" s="44">
        <f>IF(OR(AW302="",AV302=""),"",(AW302-AV302)*100)</f>
        <v/>
      </c>
      <c r="AY302" s="45">
        <f>IF(OR(AR302="",P302="",P302=0),"",AR302/P302)</f>
        <v/>
      </c>
      <c r="AZ302" s="45">
        <f>IF(OR(AS302="",Q302="",Q302=0),"",AS302/Q302)</f>
        <v/>
      </c>
      <c r="BA302" s="44">
        <f>IF(OR(AZ302="",AY302=""),"",(AZ302-AY302)*100)</f>
        <v/>
      </c>
      <c r="BB302" s="45">
        <f>IF(OR(AR302="",E302="",E302=0),"",AR302/E302)</f>
        <v/>
      </c>
      <c r="BC302" s="45">
        <f>IF(OR(AS302="",F302="",F302=0),"",AS302/F302)</f>
        <v/>
      </c>
      <c r="BD302" s="44">
        <f>IF(OR(BC302="",BB302=""),"",(BC302-BB302)*100)</f>
        <v/>
      </c>
      <c r="BE302" s="40">
        <f>IF(AND(F302&lt;&gt;"",E302&lt;&gt;""),"Both years",IF(F302&lt;&gt;"","1-23Aug26 rows only","1-23Aug25 rows only"))</f>
        <v/>
      </c>
    </row>
    <row r="303">
      <c r="A303" s="40" t="inlineStr">
        <is>
          <t>Airport page</t>
        </is>
      </c>
      <c r="B303" s="40" t="inlineStr">
        <is>
          <t>Direct</t>
        </is>
      </c>
      <c r="C303" s="40" t="inlineStr">
        <is>
          <t>Mobile</t>
        </is>
      </c>
      <c r="D303" s="40" t="inlineStr">
        <is>
          <t>Finland</t>
        </is>
      </c>
      <c r="E303" s="70" t="n"/>
      <c r="F303" s="70" t="n"/>
      <c r="G303" s="69">
        <f>IF(OR(F303="",E303="",E303=0,F303=0),"",F303-E303)</f>
        <v/>
      </c>
      <c r="H303" s="42">
        <f>IF(OR(F303="",E303="",E303=0,F303=0),"",F303/E303-1)</f>
        <v/>
      </c>
      <c r="I303" s="68" t="n">
        <v>10</v>
      </c>
      <c r="J303" s="68" t="n">
        <v>13</v>
      </c>
      <c r="K303" s="69">
        <f>IF(OR(J303="",I303="",I303=0,J303=0),"",J303-I303)</f>
        <v/>
      </c>
      <c r="L303" s="42">
        <f>IF(OR(J303="",I303="",I303=0,J303=0),"",J303/I303-1)</f>
        <v/>
      </c>
      <c r="M303" s="43">
        <f>IF(OR(I303="",E303="",E303=0),"",I303/E303)</f>
        <v/>
      </c>
      <c r="N303" s="43">
        <f>IF(OR(J303="",F303="",F303=0),"",J303/F303)</f>
        <v/>
      </c>
      <c r="O303" s="44">
        <f>IF(OR(N303="",M303=""),"",(N303-M303)*100)</f>
        <v/>
      </c>
      <c r="P303" s="70" t="n"/>
      <c r="Q303" s="68" t="n">
        <v>16</v>
      </c>
      <c r="R303" s="69">
        <f>IF(OR(Q303="",P303="",P303=0,Q303=0),"",Q303-P303)</f>
        <v/>
      </c>
      <c r="S303" s="42">
        <f>IF(OR(Q303="",P303="",P303=0,Q303=0),"",Q303/P303-1)</f>
        <v/>
      </c>
      <c r="T303" s="43">
        <f>IF(OR(P303="",E303="",E303=0),"",P303/E303)</f>
        <v/>
      </c>
      <c r="U303" s="43">
        <f>IF(OR(Q303="",F303="",F303=0),"",Q303/F303)</f>
        <v/>
      </c>
      <c r="V303" s="44">
        <f>IF(OR(U303="",T303=""),"",(U303-T303)*100)</f>
        <v/>
      </c>
      <c r="W303" s="68" t="n">
        <v>3</v>
      </c>
      <c r="X303" s="68" t="n">
        <v>4</v>
      </c>
      <c r="Y303" s="69">
        <f>IF(OR(X303="",W303="",W303=0,X303=0),"",X303-W303)</f>
        <v/>
      </c>
      <c r="Z303" s="42">
        <f>IF(OR(X303="",W303="",W303=0,X303=0),"",X303/W303-1)</f>
        <v/>
      </c>
      <c r="AA303" s="43">
        <f>IF(OR(W303="",P303="",P303=0),"",W303/P303)</f>
        <v/>
      </c>
      <c r="AB303" s="43">
        <f>IF(OR(X303="",Q303="",Q303=0),"",X303/Q303)</f>
        <v/>
      </c>
      <c r="AC303" s="44">
        <f>IF(OR(AB303="",AA303=""),"",(AB303-AA303)*100)</f>
        <v/>
      </c>
      <c r="AD303" s="70" t="n"/>
      <c r="AE303" s="68" t="n">
        <v>2</v>
      </c>
      <c r="AF303" s="69">
        <f>IF(OR(AE303="",AD303="",AD303=0,AE303=0),"",AE303-AD303)</f>
        <v/>
      </c>
      <c r="AG303" s="42">
        <f>IF(OR(AE303="",AD303="",AD303=0,AE303=0),"",AE303/AD303-1)</f>
        <v/>
      </c>
      <c r="AH303" s="43">
        <f>IF(OR(AD303="",W303="",W303=0),"",AD303/W303)</f>
        <v/>
      </c>
      <c r="AI303" s="43">
        <f>IF(OR(AE303="",X303="",X303=0),"",AE303/X303)</f>
        <v/>
      </c>
      <c r="AJ303" s="44">
        <f>IF(OR(AI303="",AH303=""),"",(AI303-AH303)*100)</f>
        <v/>
      </c>
      <c r="AK303" s="70" t="n"/>
      <c r="AL303" s="68" t="n">
        <v>1</v>
      </c>
      <c r="AM303" s="69">
        <f>IF(OR(AL303="",AK303="",AK303=0,AL303=0),"",AL303-AK303)</f>
        <v/>
      </c>
      <c r="AN303" s="42">
        <f>IF(OR(AL303="",AK303="",AK303=0,AL303=0),"",AL303/AK303-1)</f>
        <v/>
      </c>
      <c r="AO303" s="43">
        <f>IF(OR(AK303="",AD303="",AD303=0),"",AK303/AD303)</f>
        <v/>
      </c>
      <c r="AP303" s="43">
        <f>IF(OR(AL303="",AE303="",AE303=0),"",AL303/AE303)</f>
        <v/>
      </c>
      <c r="AQ303" s="44">
        <f>IF(OR(AP303="",AO303=""),"",(AP303-AO303)*100)</f>
        <v/>
      </c>
      <c r="AR303" s="70" t="n"/>
      <c r="AS303" s="68" t="n">
        <v>3</v>
      </c>
      <c r="AT303" s="69">
        <f>IF(OR(AS303="",AR303="",AR303=0,AS303=0),"",AS303-AR303)</f>
        <v/>
      </c>
      <c r="AU303" s="42">
        <f>IF(OR(AS303="",AR303="",AR303=0,AS303=0),"",AS303/AR303-1)</f>
        <v/>
      </c>
      <c r="AV303" s="43">
        <f>IF(OR(AR303="",AK303="",AK303=0),"",AR303/AK303)</f>
        <v/>
      </c>
      <c r="AW303" s="43">
        <f>IF(OR(AS303="",AL303="",AL303=0),"",AS303/AL303)</f>
        <v/>
      </c>
      <c r="AX303" s="44">
        <f>IF(OR(AW303="",AV303=""),"",(AW303-AV303)*100)</f>
        <v/>
      </c>
      <c r="AY303" s="45">
        <f>IF(OR(AR303="",P303="",P303=0),"",AR303/P303)</f>
        <v/>
      </c>
      <c r="AZ303" s="45">
        <f>IF(OR(AS303="",Q303="",Q303=0),"",AS303/Q303)</f>
        <v/>
      </c>
      <c r="BA303" s="44">
        <f>IF(OR(AZ303="",AY303=""),"",(AZ303-AY303)*100)</f>
        <v/>
      </c>
      <c r="BB303" s="45">
        <f>IF(OR(AR303="",E303="",E303=0),"",AR303/E303)</f>
        <v/>
      </c>
      <c r="BC303" s="45">
        <f>IF(OR(AS303="",F303="",F303=0),"",AS303/F303)</f>
        <v/>
      </c>
      <c r="BD303" s="44">
        <f>IF(OR(BC303="",BB303=""),"",(BC303-BB303)*100)</f>
        <v/>
      </c>
      <c r="BE303" s="40">
        <f>IF(AND(F303&lt;&gt;"",E303&lt;&gt;""),"Both years",IF(F303&lt;&gt;"","1-23Aug26 rows only","1-23Aug25 rows only"))</f>
        <v/>
      </c>
    </row>
    <row r="304">
      <c r="A304" s="56" t="inlineStr">
        <is>
          <t>Airport page</t>
        </is>
      </c>
      <c r="B304" s="56" t="inlineStr">
        <is>
          <t>Direct</t>
        </is>
      </c>
      <c r="C304" s="56" t="inlineStr">
        <is>
          <t>Mobile</t>
        </is>
      </c>
      <c r="D304" s="56" t="inlineStr">
        <is>
          <t>Portugal</t>
        </is>
      </c>
      <c r="E304" s="70" t="n"/>
      <c r="F304" s="70" t="n"/>
      <c r="G304" s="69">
        <f>IF(OR(F304="",E304="",E304=0,F304=0),"",F304-E304)</f>
        <v/>
      </c>
      <c r="H304" s="42">
        <f>IF(OR(F304="",E304="",E304=0,F304=0),"",F304/E304-1)</f>
        <v/>
      </c>
      <c r="I304" s="70" t="n"/>
      <c r="J304" s="70" t="n"/>
      <c r="K304" s="69">
        <f>IF(OR(J304="",I304="",I304=0,J304=0),"",J304-I304)</f>
        <v/>
      </c>
      <c r="L304" s="42">
        <f>IF(OR(J304="",I304="",I304=0,J304=0),"",J304/I304-1)</f>
        <v/>
      </c>
      <c r="M304" s="43">
        <f>IF(OR(I304="",E304="",E304=0),"",I304/E304)</f>
        <v/>
      </c>
      <c r="N304" s="43">
        <f>IF(OR(J304="",F304="",F304=0),"",J304/F304)</f>
        <v/>
      </c>
      <c r="O304" s="44">
        <f>IF(OR(N304="",M304=""),"",(N304-M304)*100)</f>
        <v/>
      </c>
      <c r="P304" s="70" t="n"/>
      <c r="Q304" s="68" t="n">
        <v>19</v>
      </c>
      <c r="R304" s="69">
        <f>IF(OR(Q304="",P304="",P304=0,Q304=0),"",Q304-P304)</f>
        <v/>
      </c>
      <c r="S304" s="42">
        <f>IF(OR(Q304="",P304="",P304=0,Q304=0),"",Q304/P304-1)</f>
        <v/>
      </c>
      <c r="T304" s="43">
        <f>IF(OR(P304="",E304="",E304=0),"",P304/E304)</f>
        <v/>
      </c>
      <c r="U304" s="43">
        <f>IF(OR(Q304="",F304="",F304=0),"",Q304/F304)</f>
        <v/>
      </c>
      <c r="V304" s="44">
        <f>IF(OR(U304="",T304=""),"",(U304-T304)*100)</f>
        <v/>
      </c>
      <c r="W304" s="70" t="n"/>
      <c r="X304" s="70" t="n"/>
      <c r="Y304" s="69">
        <f>IF(OR(X304="",W304="",W304=0,X304=0),"",X304-W304)</f>
        <v/>
      </c>
      <c r="Z304" s="42">
        <f>IF(OR(X304="",W304="",W304=0,X304=0),"",X304/W304-1)</f>
        <v/>
      </c>
      <c r="AA304" s="43">
        <f>IF(OR(W304="",P304="",P304=0),"",W304/P304)</f>
        <v/>
      </c>
      <c r="AB304" s="43">
        <f>IF(OR(X304="",Q304="",Q304=0),"",X304/Q304)</f>
        <v/>
      </c>
      <c r="AC304" s="44">
        <f>IF(OR(AB304="",AA304=""),"",(AB304-AA304)*100)</f>
        <v/>
      </c>
      <c r="AD304" s="70" t="n"/>
      <c r="AE304" s="70" t="n"/>
      <c r="AF304" s="69">
        <f>IF(OR(AE304="",AD304="",AD304=0,AE304=0),"",AE304-AD304)</f>
        <v/>
      </c>
      <c r="AG304" s="42">
        <f>IF(OR(AE304="",AD304="",AD304=0,AE304=0),"",AE304/AD304-1)</f>
        <v/>
      </c>
      <c r="AH304" s="43">
        <f>IF(OR(AD304="",W304="",W304=0),"",AD304/W304)</f>
        <v/>
      </c>
      <c r="AI304" s="43">
        <f>IF(OR(AE304="",X304="",X304=0),"",AE304/X304)</f>
        <v/>
      </c>
      <c r="AJ304" s="44">
        <f>IF(OR(AI304="",AH304=""),"",(AI304-AH304)*100)</f>
        <v/>
      </c>
      <c r="AK304" s="70" t="n"/>
      <c r="AL304" s="70" t="n"/>
      <c r="AM304" s="69">
        <f>IF(OR(AL304="",AK304="",AK304=0,AL304=0),"",AL304-AK304)</f>
        <v/>
      </c>
      <c r="AN304" s="42">
        <f>IF(OR(AL304="",AK304="",AK304=0,AL304=0),"",AL304/AK304-1)</f>
        <v/>
      </c>
      <c r="AO304" s="43">
        <f>IF(OR(AK304="",AD304="",AD304=0),"",AK304/AD304)</f>
        <v/>
      </c>
      <c r="AP304" s="43">
        <f>IF(OR(AL304="",AE304="",AE304=0),"",AL304/AE304)</f>
        <v/>
      </c>
      <c r="AQ304" s="44">
        <f>IF(OR(AP304="",AO304=""),"",(AP304-AO304)*100)</f>
        <v/>
      </c>
      <c r="AR304" s="70" t="n"/>
      <c r="AS304" s="70" t="n"/>
      <c r="AT304" s="69">
        <f>IF(OR(AS304="",AR304="",AR304=0,AS304=0),"",AS304-AR304)</f>
        <v/>
      </c>
      <c r="AU304" s="42">
        <f>IF(OR(AS304="",AR304="",AR304=0,AS304=0),"",AS304/AR304-1)</f>
        <v/>
      </c>
      <c r="AV304" s="43">
        <f>IF(OR(AR304="",AK304="",AK304=0),"",AR304/AK304)</f>
        <v/>
      </c>
      <c r="AW304" s="43">
        <f>IF(OR(AS304="",AL304="",AL304=0),"",AS304/AL304)</f>
        <v/>
      </c>
      <c r="AX304" s="44">
        <f>IF(OR(AW304="",AV304=""),"",(AW304-AV304)*100)</f>
        <v/>
      </c>
      <c r="AY304" s="45">
        <f>IF(OR(AR304="",P304="",P304=0),"",AR304/P304)</f>
        <v/>
      </c>
      <c r="AZ304" s="45">
        <f>IF(OR(AS304="",Q304="",Q304=0),"",AS304/Q304)</f>
        <v/>
      </c>
      <c r="BA304" s="44">
        <f>IF(OR(AZ304="",AY304=""),"",(AZ304-AY304)*100)</f>
        <v/>
      </c>
      <c r="BB304" s="45">
        <f>IF(OR(AR304="",E304="",E304=0),"",AR304/E304)</f>
        <v/>
      </c>
      <c r="BC304" s="45">
        <f>IF(OR(AS304="",F304="",F304=0),"",AS304/F304)</f>
        <v/>
      </c>
      <c r="BD304" s="44">
        <f>IF(OR(BC304="",BB304=""),"",(BC304-BB304)*100)</f>
        <v/>
      </c>
      <c r="BE304" s="40">
        <f>IF(AND(F304&lt;&gt;"",E304&lt;&gt;""),"Both years",IF(F304&lt;&gt;"","1-23Aug26 rows only","1-23Aug25 rows only"))</f>
        <v/>
      </c>
    </row>
    <row r="305">
      <c r="A305" s="40" t="inlineStr">
        <is>
          <t>Airport page</t>
        </is>
      </c>
      <c r="B305" s="40" t="inlineStr">
        <is>
          <t>Direct</t>
        </is>
      </c>
      <c r="C305" s="40" t="inlineStr">
        <is>
          <t>Mobile</t>
        </is>
      </c>
      <c r="D305" s="40" t="inlineStr">
        <is>
          <t>Türkiye</t>
        </is>
      </c>
      <c r="E305" s="70" t="n"/>
      <c r="F305" s="70" t="n"/>
      <c r="G305" s="69">
        <f>IF(OR(F305="",E305="",E305=0,F305=0),"",F305-E305)</f>
        <v/>
      </c>
      <c r="H305" s="42">
        <f>IF(OR(F305="",E305="",E305=0,F305=0),"",F305/E305-1)</f>
        <v/>
      </c>
      <c r="I305" s="70" t="n"/>
      <c r="J305" s="70" t="n"/>
      <c r="K305" s="69">
        <f>IF(OR(J305="",I305="",I305=0,J305=0),"",J305-I305)</f>
        <v/>
      </c>
      <c r="L305" s="42">
        <f>IF(OR(J305="",I305="",I305=0,J305=0),"",J305/I305-1)</f>
        <v/>
      </c>
      <c r="M305" s="43">
        <f>IF(OR(I305="",E305="",E305=0),"",I305/E305)</f>
        <v/>
      </c>
      <c r="N305" s="43">
        <f>IF(OR(J305="",F305="",F305=0),"",J305/F305)</f>
        <v/>
      </c>
      <c r="O305" s="44">
        <f>IF(OR(N305="",M305=""),"",(N305-M305)*100)</f>
        <v/>
      </c>
      <c r="P305" s="68" t="n">
        <v>15</v>
      </c>
      <c r="Q305" s="70" t="n"/>
      <c r="R305" s="69">
        <f>IF(OR(Q305="",P305="",P305=0,Q305=0),"",Q305-P305)</f>
        <v/>
      </c>
      <c r="S305" s="42">
        <f>IF(OR(Q305="",P305="",P305=0,Q305=0),"",Q305/P305-1)</f>
        <v/>
      </c>
      <c r="T305" s="43">
        <f>IF(OR(P305="",E305="",E305=0),"",P305/E305)</f>
        <v/>
      </c>
      <c r="U305" s="43">
        <f>IF(OR(Q305="",F305="",F305=0),"",Q305/F305)</f>
        <v/>
      </c>
      <c r="V305" s="44">
        <f>IF(OR(U305="",T305=""),"",(U305-T305)*100)</f>
        <v/>
      </c>
      <c r="W305" s="70" t="n"/>
      <c r="X305" s="70" t="n"/>
      <c r="Y305" s="69">
        <f>IF(OR(X305="",W305="",W305=0,X305=0),"",X305-W305)</f>
        <v/>
      </c>
      <c r="Z305" s="42">
        <f>IF(OR(X305="",W305="",W305=0,X305=0),"",X305/W305-1)</f>
        <v/>
      </c>
      <c r="AA305" s="43">
        <f>IF(OR(W305="",P305="",P305=0),"",W305/P305)</f>
        <v/>
      </c>
      <c r="AB305" s="43">
        <f>IF(OR(X305="",Q305="",Q305=0),"",X305/Q305)</f>
        <v/>
      </c>
      <c r="AC305" s="44">
        <f>IF(OR(AB305="",AA305=""),"",(AB305-AA305)*100)</f>
        <v/>
      </c>
      <c r="AD305" s="70" t="n"/>
      <c r="AE305" s="70" t="n"/>
      <c r="AF305" s="69">
        <f>IF(OR(AE305="",AD305="",AD305=0,AE305=0),"",AE305-AD305)</f>
        <v/>
      </c>
      <c r="AG305" s="42">
        <f>IF(OR(AE305="",AD305="",AD305=0,AE305=0),"",AE305/AD305-1)</f>
        <v/>
      </c>
      <c r="AH305" s="43">
        <f>IF(OR(AD305="",W305="",W305=0),"",AD305/W305)</f>
        <v/>
      </c>
      <c r="AI305" s="43">
        <f>IF(OR(AE305="",X305="",X305=0),"",AE305/X305)</f>
        <v/>
      </c>
      <c r="AJ305" s="44">
        <f>IF(OR(AI305="",AH305=""),"",(AI305-AH305)*100)</f>
        <v/>
      </c>
      <c r="AK305" s="70" t="n"/>
      <c r="AL305" s="70" t="n"/>
      <c r="AM305" s="69">
        <f>IF(OR(AL305="",AK305="",AK305=0,AL305=0),"",AL305-AK305)</f>
        <v/>
      </c>
      <c r="AN305" s="42">
        <f>IF(OR(AL305="",AK305="",AK305=0,AL305=0),"",AL305/AK305-1)</f>
        <v/>
      </c>
      <c r="AO305" s="43">
        <f>IF(OR(AK305="",AD305="",AD305=0),"",AK305/AD305)</f>
        <v/>
      </c>
      <c r="AP305" s="43">
        <f>IF(OR(AL305="",AE305="",AE305=0),"",AL305/AE305)</f>
        <v/>
      </c>
      <c r="AQ305" s="44">
        <f>IF(OR(AP305="",AO305=""),"",(AP305-AO305)*100)</f>
        <v/>
      </c>
      <c r="AR305" s="70" t="n"/>
      <c r="AS305" s="70" t="n"/>
      <c r="AT305" s="69">
        <f>IF(OR(AS305="",AR305="",AR305=0,AS305=0),"",AS305-AR305)</f>
        <v/>
      </c>
      <c r="AU305" s="42">
        <f>IF(OR(AS305="",AR305="",AR305=0,AS305=0),"",AS305/AR305-1)</f>
        <v/>
      </c>
      <c r="AV305" s="43">
        <f>IF(OR(AR305="",AK305="",AK305=0),"",AR305/AK305)</f>
        <v/>
      </c>
      <c r="AW305" s="43">
        <f>IF(OR(AS305="",AL305="",AL305=0),"",AS305/AL305)</f>
        <v/>
      </c>
      <c r="AX305" s="44">
        <f>IF(OR(AW305="",AV305=""),"",(AW305-AV305)*100)</f>
        <v/>
      </c>
      <c r="AY305" s="45">
        <f>IF(OR(AR305="",P305="",P305=0),"",AR305/P305)</f>
        <v/>
      </c>
      <c r="AZ305" s="45">
        <f>IF(OR(AS305="",Q305="",Q305=0),"",AS305/Q305)</f>
        <v/>
      </c>
      <c r="BA305" s="44">
        <f>IF(OR(AZ305="",AY305=""),"",(AZ305-AY305)*100)</f>
        <v/>
      </c>
      <c r="BB305" s="45">
        <f>IF(OR(AR305="",E305="",E305=0),"",AR305/E305)</f>
        <v/>
      </c>
      <c r="BC305" s="45">
        <f>IF(OR(AS305="",F305="",F305=0),"",AS305/F305)</f>
        <v/>
      </c>
      <c r="BD305" s="44">
        <f>IF(OR(BC305="",BB305=""),"",(BC305-BB305)*100)</f>
        <v/>
      </c>
      <c r="BE305" s="40">
        <f>IF(AND(F305&lt;&gt;"",E305&lt;&gt;""),"Both years",IF(F305&lt;&gt;"","1-23Aug26 rows only","1-23Aug25 rows only"))</f>
        <v/>
      </c>
    </row>
    <row r="306">
      <c r="A306" s="56" t="inlineStr">
        <is>
          <t>Airport page</t>
        </is>
      </c>
      <c r="B306" s="56" t="inlineStr">
        <is>
          <t>Direct</t>
        </is>
      </c>
      <c r="C306" s="56" t="inlineStr">
        <is>
          <t>Mobile</t>
        </is>
      </c>
      <c r="D306" s="56" t="inlineStr">
        <is>
          <t>Israel</t>
        </is>
      </c>
      <c r="E306" s="70" t="n"/>
      <c r="F306" s="70" t="n"/>
      <c r="G306" s="69">
        <f>IF(OR(F306="",E306="",E306=0,F306=0),"",F306-E306)</f>
        <v/>
      </c>
      <c r="H306" s="42">
        <f>IF(OR(F306="",E306="",E306=0,F306=0),"",F306/E306-1)</f>
        <v/>
      </c>
      <c r="I306" s="70" t="n"/>
      <c r="J306" s="70" t="n"/>
      <c r="K306" s="69">
        <f>IF(OR(J306="",I306="",I306=0,J306=0),"",J306-I306)</f>
        <v/>
      </c>
      <c r="L306" s="42">
        <f>IF(OR(J306="",I306="",I306=0,J306=0),"",J306/I306-1)</f>
        <v/>
      </c>
      <c r="M306" s="43">
        <f>IF(OR(I306="",E306="",E306=0),"",I306/E306)</f>
        <v/>
      </c>
      <c r="N306" s="43">
        <f>IF(OR(J306="",F306="",F306=0),"",J306/F306)</f>
        <v/>
      </c>
      <c r="O306" s="44">
        <f>IF(OR(N306="",M306=""),"",(N306-M306)*100)</f>
        <v/>
      </c>
      <c r="P306" s="68" t="n">
        <v>14</v>
      </c>
      <c r="Q306" s="70" t="n"/>
      <c r="R306" s="69">
        <f>IF(OR(Q306="",P306="",P306=0,Q306=0),"",Q306-P306)</f>
        <v/>
      </c>
      <c r="S306" s="42">
        <f>IF(OR(Q306="",P306="",P306=0,Q306=0),"",Q306/P306-1)</f>
        <v/>
      </c>
      <c r="T306" s="43">
        <f>IF(OR(P306="",E306="",E306=0),"",P306/E306)</f>
        <v/>
      </c>
      <c r="U306" s="43">
        <f>IF(OR(Q306="",F306="",F306=0),"",Q306/F306)</f>
        <v/>
      </c>
      <c r="V306" s="44">
        <f>IF(OR(U306="",T306=""),"",(U306-T306)*100)</f>
        <v/>
      </c>
      <c r="W306" s="70" t="n"/>
      <c r="X306" s="70" t="n"/>
      <c r="Y306" s="69">
        <f>IF(OR(X306="",W306="",W306=0,X306=0),"",X306-W306)</f>
        <v/>
      </c>
      <c r="Z306" s="42">
        <f>IF(OR(X306="",W306="",W306=0,X306=0),"",X306/W306-1)</f>
        <v/>
      </c>
      <c r="AA306" s="43">
        <f>IF(OR(W306="",P306="",P306=0),"",W306/P306)</f>
        <v/>
      </c>
      <c r="AB306" s="43">
        <f>IF(OR(X306="",Q306="",Q306=0),"",X306/Q306)</f>
        <v/>
      </c>
      <c r="AC306" s="44">
        <f>IF(OR(AB306="",AA306=""),"",(AB306-AA306)*100)</f>
        <v/>
      </c>
      <c r="AD306" s="70" t="n"/>
      <c r="AE306" s="70" t="n"/>
      <c r="AF306" s="69">
        <f>IF(OR(AE306="",AD306="",AD306=0,AE306=0),"",AE306-AD306)</f>
        <v/>
      </c>
      <c r="AG306" s="42">
        <f>IF(OR(AE306="",AD306="",AD306=0,AE306=0),"",AE306/AD306-1)</f>
        <v/>
      </c>
      <c r="AH306" s="43">
        <f>IF(OR(AD306="",W306="",W306=0),"",AD306/W306)</f>
        <v/>
      </c>
      <c r="AI306" s="43">
        <f>IF(OR(AE306="",X306="",X306=0),"",AE306/X306)</f>
        <v/>
      </c>
      <c r="AJ306" s="44">
        <f>IF(OR(AI306="",AH306=""),"",(AI306-AH306)*100)</f>
        <v/>
      </c>
      <c r="AK306" s="70" t="n"/>
      <c r="AL306" s="70" t="n"/>
      <c r="AM306" s="69">
        <f>IF(OR(AL306="",AK306="",AK306=0,AL306=0),"",AL306-AK306)</f>
        <v/>
      </c>
      <c r="AN306" s="42">
        <f>IF(OR(AL306="",AK306="",AK306=0,AL306=0),"",AL306/AK306-1)</f>
        <v/>
      </c>
      <c r="AO306" s="43">
        <f>IF(OR(AK306="",AD306="",AD306=0),"",AK306/AD306)</f>
        <v/>
      </c>
      <c r="AP306" s="43">
        <f>IF(OR(AL306="",AE306="",AE306=0),"",AL306/AE306)</f>
        <v/>
      </c>
      <c r="AQ306" s="44">
        <f>IF(OR(AP306="",AO306=""),"",(AP306-AO306)*100)</f>
        <v/>
      </c>
      <c r="AR306" s="70" t="n"/>
      <c r="AS306" s="70" t="n"/>
      <c r="AT306" s="69">
        <f>IF(OR(AS306="",AR306="",AR306=0,AS306=0),"",AS306-AR306)</f>
        <v/>
      </c>
      <c r="AU306" s="42">
        <f>IF(OR(AS306="",AR306="",AR306=0,AS306=0),"",AS306/AR306-1)</f>
        <v/>
      </c>
      <c r="AV306" s="43">
        <f>IF(OR(AR306="",AK306="",AK306=0),"",AR306/AK306)</f>
        <v/>
      </c>
      <c r="AW306" s="43">
        <f>IF(OR(AS306="",AL306="",AL306=0),"",AS306/AL306)</f>
        <v/>
      </c>
      <c r="AX306" s="44">
        <f>IF(OR(AW306="",AV306=""),"",(AW306-AV306)*100)</f>
        <v/>
      </c>
      <c r="AY306" s="45">
        <f>IF(OR(AR306="",P306="",P306=0),"",AR306/P306)</f>
        <v/>
      </c>
      <c r="AZ306" s="45">
        <f>IF(OR(AS306="",Q306="",Q306=0),"",AS306/Q306)</f>
        <v/>
      </c>
      <c r="BA306" s="44">
        <f>IF(OR(AZ306="",AY306=""),"",(AZ306-AY306)*100)</f>
        <v/>
      </c>
      <c r="BB306" s="45">
        <f>IF(OR(AR306="",E306="",E306=0),"",AR306/E306)</f>
        <v/>
      </c>
      <c r="BC306" s="45">
        <f>IF(OR(AS306="",F306="",F306=0),"",AS306/F306)</f>
        <v/>
      </c>
      <c r="BD306" s="44">
        <f>IF(OR(BC306="",BB306=""),"",(BC306-BB306)*100)</f>
        <v/>
      </c>
      <c r="BE306" s="40">
        <f>IF(AND(F306&lt;&gt;"",E306&lt;&gt;""),"Both years",IF(F306&lt;&gt;"","1-23Aug26 rows only","1-23Aug25 rows only"))</f>
        <v/>
      </c>
    </row>
    <row r="307">
      <c r="A307" s="40" t="inlineStr">
        <is>
          <t>Airport page</t>
        </is>
      </c>
      <c r="B307" s="40" t="inlineStr">
        <is>
          <t>Direct</t>
        </is>
      </c>
      <c r="C307" s="40" t="inlineStr">
        <is>
          <t>Desktop</t>
        </is>
      </c>
      <c r="D307" s="40" t="inlineStr">
        <is>
          <t>Germany</t>
        </is>
      </c>
      <c r="E307" s="68" t="n">
        <v>142</v>
      </c>
      <c r="F307" s="68" t="n">
        <v>960</v>
      </c>
      <c r="G307" s="69">
        <f>IF(OR(F307="",E307="",E307=0,F307=0),"",F307-E307)</f>
        <v/>
      </c>
      <c r="H307" s="42">
        <f>IF(OR(F307="",E307="",E307=0,F307=0),"",F307/E307-1)</f>
        <v/>
      </c>
      <c r="I307" s="68" t="n">
        <v>53</v>
      </c>
      <c r="J307" s="68" t="n">
        <v>545</v>
      </c>
      <c r="K307" s="69">
        <f>IF(OR(J307="",I307="",I307=0,J307=0),"",J307-I307)</f>
        <v/>
      </c>
      <c r="L307" s="42">
        <f>IF(OR(J307="",I307="",I307=0,J307=0),"",J307/I307-1)</f>
        <v/>
      </c>
      <c r="M307" s="43">
        <f>IF(OR(I307="",E307="",E307=0),"",I307/E307)</f>
        <v/>
      </c>
      <c r="N307" s="43">
        <f>IF(OR(J307="",F307="",F307=0),"",J307/F307)</f>
        <v/>
      </c>
      <c r="O307" s="44">
        <f>IF(OR(N307="",M307=""),"",(N307-M307)*100)</f>
        <v/>
      </c>
      <c r="P307" s="68" t="n">
        <v>62</v>
      </c>
      <c r="Q307" s="68" t="n">
        <v>555</v>
      </c>
      <c r="R307" s="69">
        <f>IF(OR(Q307="",P307="",P307=0,Q307=0),"",Q307-P307)</f>
        <v/>
      </c>
      <c r="S307" s="42">
        <f>IF(OR(Q307="",P307="",P307=0,Q307=0),"",Q307/P307-1)</f>
        <v/>
      </c>
      <c r="T307" s="43">
        <f>IF(OR(P307="",E307="",E307=0),"",P307/E307)</f>
        <v/>
      </c>
      <c r="U307" s="43">
        <f>IF(OR(Q307="",F307="",F307=0),"",Q307/F307)</f>
        <v/>
      </c>
      <c r="V307" s="44">
        <f>IF(OR(U307="",T307=""),"",(U307-T307)*100)</f>
        <v/>
      </c>
      <c r="W307" s="68" t="n">
        <v>29</v>
      </c>
      <c r="X307" s="68" t="n">
        <v>168</v>
      </c>
      <c r="Y307" s="69">
        <f>IF(OR(X307="",W307="",W307=0,X307=0),"",X307-W307)</f>
        <v/>
      </c>
      <c r="Z307" s="42">
        <f>IF(OR(X307="",W307="",W307=0,X307=0),"",X307/W307-1)</f>
        <v/>
      </c>
      <c r="AA307" s="43">
        <f>IF(OR(W307="",P307="",P307=0),"",W307/P307)</f>
        <v/>
      </c>
      <c r="AB307" s="43">
        <f>IF(OR(X307="",Q307="",Q307=0),"",X307/Q307)</f>
        <v/>
      </c>
      <c r="AC307" s="44">
        <f>IF(OR(AB307="",AA307=""),"",(AB307-AA307)*100)</f>
        <v/>
      </c>
      <c r="AD307" s="68" t="n">
        <v>24</v>
      </c>
      <c r="AE307" s="68" t="n">
        <v>139</v>
      </c>
      <c r="AF307" s="69">
        <f>IF(OR(AE307="",AD307="",AD307=0,AE307=0),"",AE307-AD307)</f>
        <v/>
      </c>
      <c r="AG307" s="42">
        <f>IF(OR(AE307="",AD307="",AD307=0,AE307=0),"",AE307/AD307-1)</f>
        <v/>
      </c>
      <c r="AH307" s="43">
        <f>IF(OR(AD307="",W307="",W307=0),"",AD307/W307)</f>
        <v/>
      </c>
      <c r="AI307" s="43">
        <f>IF(OR(AE307="",X307="",X307=0),"",AE307/X307)</f>
        <v/>
      </c>
      <c r="AJ307" s="44">
        <f>IF(OR(AI307="",AH307=""),"",(AI307-AH307)*100)</f>
        <v/>
      </c>
      <c r="AK307" s="68" t="n">
        <v>8</v>
      </c>
      <c r="AL307" s="68" t="n">
        <v>33</v>
      </c>
      <c r="AM307" s="69">
        <f>IF(OR(AL307="",AK307="",AK307=0,AL307=0),"",AL307-AK307)</f>
        <v/>
      </c>
      <c r="AN307" s="42">
        <f>IF(OR(AL307="",AK307="",AK307=0,AL307=0),"",AL307/AK307-1)</f>
        <v/>
      </c>
      <c r="AO307" s="43">
        <f>IF(OR(AK307="",AD307="",AD307=0),"",AK307/AD307)</f>
        <v/>
      </c>
      <c r="AP307" s="43">
        <f>IF(OR(AL307="",AE307="",AE307=0),"",AL307/AE307)</f>
        <v/>
      </c>
      <c r="AQ307" s="44">
        <f>IF(OR(AP307="",AO307=""),"",(AP307-AO307)*100)</f>
        <v/>
      </c>
      <c r="AR307" s="68" t="n">
        <v>8</v>
      </c>
      <c r="AS307" s="68" t="n">
        <v>32</v>
      </c>
      <c r="AT307" s="69">
        <f>IF(OR(AS307="",AR307="",AR307=0,AS307=0),"",AS307-AR307)</f>
        <v/>
      </c>
      <c r="AU307" s="42">
        <f>IF(OR(AS307="",AR307="",AR307=0,AS307=0),"",AS307/AR307-1)</f>
        <v/>
      </c>
      <c r="AV307" s="43">
        <f>IF(OR(AR307="",AK307="",AK307=0),"",AR307/AK307)</f>
        <v/>
      </c>
      <c r="AW307" s="43">
        <f>IF(OR(AS307="",AL307="",AL307=0),"",AS307/AL307)</f>
        <v/>
      </c>
      <c r="AX307" s="44">
        <f>IF(OR(AW307="",AV307=""),"",(AW307-AV307)*100)</f>
        <v/>
      </c>
      <c r="AY307" s="45">
        <f>IF(OR(AR307="",P307="",P307=0),"",AR307/P307)</f>
        <v/>
      </c>
      <c r="AZ307" s="45">
        <f>IF(OR(AS307="",Q307="",Q307=0),"",AS307/Q307)</f>
        <v/>
      </c>
      <c r="BA307" s="44">
        <f>IF(OR(AZ307="",AY307=""),"",(AZ307-AY307)*100)</f>
        <v/>
      </c>
      <c r="BB307" s="45">
        <f>IF(OR(AR307="",E307="",E307=0),"",AR307/E307)</f>
        <v/>
      </c>
      <c r="BC307" s="45">
        <f>IF(OR(AS307="",F307="",F307=0),"",AS307/F307)</f>
        <v/>
      </c>
      <c r="BD307" s="44">
        <f>IF(OR(BC307="",BB307=""),"",(BC307-BB307)*100)</f>
        <v/>
      </c>
      <c r="BE307" s="40">
        <f>IF(AND(F307&lt;&gt;"",E307&lt;&gt;""),"Both years",IF(F307&lt;&gt;"","1-23Aug26 rows only","1-23Aug25 rows only"))</f>
        <v/>
      </c>
    </row>
    <row r="308">
      <c r="A308" s="56" t="inlineStr">
        <is>
          <t>Airport page</t>
        </is>
      </c>
      <c r="B308" s="56" t="inlineStr">
        <is>
          <t>Direct</t>
        </is>
      </c>
      <c r="C308" s="56" t="inlineStr">
        <is>
          <t>Desktop</t>
        </is>
      </c>
      <c r="D308" s="56" t="inlineStr">
        <is>
          <t>Italy</t>
        </is>
      </c>
      <c r="E308" s="68" t="n">
        <v>32</v>
      </c>
      <c r="F308" s="68" t="n">
        <v>391</v>
      </c>
      <c r="G308" s="69">
        <f>IF(OR(F308="",E308="",E308=0,F308=0),"",F308-E308)</f>
        <v/>
      </c>
      <c r="H308" s="42">
        <f>IF(OR(F308="",E308="",E308=0,F308=0),"",F308/E308-1)</f>
        <v/>
      </c>
      <c r="I308" s="68" t="n">
        <v>13</v>
      </c>
      <c r="J308" s="68" t="n">
        <v>194</v>
      </c>
      <c r="K308" s="69">
        <f>IF(OR(J308="",I308="",I308=0,J308=0),"",J308-I308)</f>
        <v/>
      </c>
      <c r="L308" s="42">
        <f>IF(OR(J308="",I308="",I308=0,J308=0),"",J308/I308-1)</f>
        <v/>
      </c>
      <c r="M308" s="43">
        <f>IF(OR(I308="",E308="",E308=0),"",I308/E308)</f>
        <v/>
      </c>
      <c r="N308" s="43">
        <f>IF(OR(J308="",F308="",F308=0),"",J308/F308)</f>
        <v/>
      </c>
      <c r="O308" s="44">
        <f>IF(OR(N308="",M308=""),"",(N308-M308)*100)</f>
        <v/>
      </c>
      <c r="P308" s="68" t="n">
        <v>12</v>
      </c>
      <c r="Q308" s="68" t="n">
        <v>168</v>
      </c>
      <c r="R308" s="69">
        <f>IF(OR(Q308="",P308="",P308=0,Q308=0),"",Q308-P308)</f>
        <v/>
      </c>
      <c r="S308" s="42">
        <f>IF(OR(Q308="",P308="",P308=0,Q308=0),"",Q308/P308-1)</f>
        <v/>
      </c>
      <c r="T308" s="43">
        <f>IF(OR(P308="",E308="",E308=0),"",P308/E308)</f>
        <v/>
      </c>
      <c r="U308" s="43">
        <f>IF(OR(Q308="",F308="",F308=0),"",Q308/F308)</f>
        <v/>
      </c>
      <c r="V308" s="44">
        <f>IF(OR(U308="",T308=""),"",(U308-T308)*100)</f>
        <v/>
      </c>
      <c r="W308" s="68" t="n">
        <v>4</v>
      </c>
      <c r="X308" s="68" t="n">
        <v>39</v>
      </c>
      <c r="Y308" s="69">
        <f>IF(OR(X308="",W308="",W308=0,X308=0),"",X308-W308)</f>
        <v/>
      </c>
      <c r="Z308" s="42">
        <f>IF(OR(X308="",W308="",W308=0,X308=0),"",X308/W308-1)</f>
        <v/>
      </c>
      <c r="AA308" s="43">
        <f>IF(OR(W308="",P308="",P308=0),"",W308/P308)</f>
        <v/>
      </c>
      <c r="AB308" s="43">
        <f>IF(OR(X308="",Q308="",Q308=0),"",X308/Q308)</f>
        <v/>
      </c>
      <c r="AC308" s="44">
        <f>IF(OR(AB308="",AA308=""),"",(AB308-AA308)*100)</f>
        <v/>
      </c>
      <c r="AD308" s="68" t="n">
        <v>2</v>
      </c>
      <c r="AE308" s="68" t="n">
        <v>32</v>
      </c>
      <c r="AF308" s="69">
        <f>IF(OR(AE308="",AD308="",AD308=0,AE308=0),"",AE308-AD308)</f>
        <v/>
      </c>
      <c r="AG308" s="42">
        <f>IF(OR(AE308="",AD308="",AD308=0,AE308=0),"",AE308/AD308-1)</f>
        <v/>
      </c>
      <c r="AH308" s="43">
        <f>IF(OR(AD308="",W308="",W308=0),"",AD308/W308)</f>
        <v/>
      </c>
      <c r="AI308" s="43">
        <f>IF(OR(AE308="",X308="",X308=0),"",AE308/X308)</f>
        <v/>
      </c>
      <c r="AJ308" s="44">
        <f>IF(OR(AI308="",AH308=""),"",(AI308-AH308)*100)</f>
        <v/>
      </c>
      <c r="AK308" s="68" t="n">
        <v>2</v>
      </c>
      <c r="AL308" s="68" t="n">
        <v>9</v>
      </c>
      <c r="AM308" s="69">
        <f>IF(OR(AL308="",AK308="",AK308=0,AL308=0),"",AL308-AK308)</f>
        <v/>
      </c>
      <c r="AN308" s="42">
        <f>IF(OR(AL308="",AK308="",AK308=0,AL308=0),"",AL308/AK308-1)</f>
        <v/>
      </c>
      <c r="AO308" s="43">
        <f>IF(OR(AK308="",AD308="",AD308=0),"",AK308/AD308)</f>
        <v/>
      </c>
      <c r="AP308" s="43">
        <f>IF(OR(AL308="",AE308="",AE308=0),"",AL308/AE308)</f>
        <v/>
      </c>
      <c r="AQ308" s="44">
        <f>IF(OR(AP308="",AO308=""),"",(AP308-AO308)*100)</f>
        <v/>
      </c>
      <c r="AR308" s="68" t="n">
        <v>1</v>
      </c>
      <c r="AS308" s="68" t="n">
        <v>11</v>
      </c>
      <c r="AT308" s="69">
        <f>IF(OR(AS308="",AR308="",AR308=0,AS308=0),"",AS308-AR308)</f>
        <v/>
      </c>
      <c r="AU308" s="42">
        <f>IF(OR(AS308="",AR308="",AR308=0,AS308=0),"",AS308/AR308-1)</f>
        <v/>
      </c>
      <c r="AV308" s="43">
        <f>IF(OR(AR308="",AK308="",AK308=0),"",AR308/AK308)</f>
        <v/>
      </c>
      <c r="AW308" s="43">
        <f>IF(OR(AS308="",AL308="",AL308=0),"",AS308/AL308)</f>
        <v/>
      </c>
      <c r="AX308" s="44">
        <f>IF(OR(AW308="",AV308=""),"",(AW308-AV308)*100)</f>
        <v/>
      </c>
      <c r="AY308" s="45">
        <f>IF(OR(AR308="",P308="",P308=0),"",AR308/P308)</f>
        <v/>
      </c>
      <c r="AZ308" s="45">
        <f>IF(OR(AS308="",Q308="",Q308=0),"",AS308/Q308)</f>
        <v/>
      </c>
      <c r="BA308" s="44">
        <f>IF(OR(AZ308="",AY308=""),"",(AZ308-AY308)*100)</f>
        <v/>
      </c>
      <c r="BB308" s="45">
        <f>IF(OR(AR308="",E308="",E308=0),"",AR308/E308)</f>
        <v/>
      </c>
      <c r="BC308" s="45">
        <f>IF(OR(AS308="",F308="",F308=0),"",AS308/F308)</f>
        <v/>
      </c>
      <c r="BD308" s="44">
        <f>IF(OR(BC308="",BB308=""),"",(BC308-BB308)*100)</f>
        <v/>
      </c>
      <c r="BE308" s="40">
        <f>IF(AND(F308&lt;&gt;"",E308&lt;&gt;""),"Both years",IF(F308&lt;&gt;"","1-23Aug26 rows only","1-23Aug25 rows only"))</f>
        <v/>
      </c>
    </row>
    <row r="309">
      <c r="A309" s="40" t="inlineStr">
        <is>
          <t>Airport page</t>
        </is>
      </c>
      <c r="B309" s="40" t="inlineStr">
        <is>
          <t>Direct</t>
        </is>
      </c>
      <c r="C309" s="40" t="inlineStr">
        <is>
          <t>Desktop</t>
        </is>
      </c>
      <c r="D309" s="40" t="inlineStr">
        <is>
          <t>United Kingdom</t>
        </is>
      </c>
      <c r="E309" s="68" t="n">
        <v>320</v>
      </c>
      <c r="F309" s="68" t="n">
        <v>350</v>
      </c>
      <c r="G309" s="69">
        <f>IF(OR(F309="",E309="",E309=0,F309=0),"",F309-E309)</f>
        <v/>
      </c>
      <c r="H309" s="42">
        <f>IF(OR(F309="",E309="",E309=0,F309=0),"",F309/E309-1)</f>
        <v/>
      </c>
      <c r="I309" s="68" t="n">
        <v>123</v>
      </c>
      <c r="J309" s="68" t="n">
        <v>132</v>
      </c>
      <c r="K309" s="69">
        <f>IF(OR(J309="",I309="",I309=0,J309=0),"",J309-I309)</f>
        <v/>
      </c>
      <c r="L309" s="42">
        <f>IF(OR(J309="",I309="",I309=0,J309=0),"",J309/I309-1)</f>
        <v/>
      </c>
      <c r="M309" s="43">
        <f>IF(OR(I309="",E309="",E309=0),"",I309/E309)</f>
        <v/>
      </c>
      <c r="N309" s="43">
        <f>IF(OR(J309="",F309="",F309=0),"",J309/F309)</f>
        <v/>
      </c>
      <c r="O309" s="44">
        <f>IF(OR(N309="",M309=""),"",(N309-M309)*100)</f>
        <v/>
      </c>
      <c r="P309" s="68" t="n">
        <v>149</v>
      </c>
      <c r="Q309" s="68" t="n">
        <v>131</v>
      </c>
      <c r="R309" s="69">
        <f>IF(OR(Q309="",P309="",P309=0,Q309=0),"",Q309-P309)</f>
        <v/>
      </c>
      <c r="S309" s="42">
        <f>IF(OR(Q309="",P309="",P309=0,Q309=0),"",Q309/P309-1)</f>
        <v/>
      </c>
      <c r="T309" s="43">
        <f>IF(OR(P309="",E309="",E309=0),"",P309/E309)</f>
        <v/>
      </c>
      <c r="U309" s="43">
        <f>IF(OR(Q309="",F309="",F309=0),"",Q309/F309)</f>
        <v/>
      </c>
      <c r="V309" s="44">
        <f>IF(OR(U309="",T309=""),"",(U309-T309)*100)</f>
        <v/>
      </c>
      <c r="W309" s="68" t="n">
        <v>66</v>
      </c>
      <c r="X309" s="68" t="n">
        <v>28</v>
      </c>
      <c r="Y309" s="69">
        <f>IF(OR(X309="",W309="",W309=0,X309=0),"",X309-W309)</f>
        <v/>
      </c>
      <c r="Z309" s="42">
        <f>IF(OR(X309="",W309="",W309=0,X309=0),"",X309/W309-1)</f>
        <v/>
      </c>
      <c r="AA309" s="43">
        <f>IF(OR(W309="",P309="",P309=0),"",W309/P309)</f>
        <v/>
      </c>
      <c r="AB309" s="43">
        <f>IF(OR(X309="",Q309="",Q309=0),"",X309/Q309)</f>
        <v/>
      </c>
      <c r="AC309" s="44">
        <f>IF(OR(AB309="",AA309=""),"",(AB309-AA309)*100)</f>
        <v/>
      </c>
      <c r="AD309" s="68" t="n">
        <v>55</v>
      </c>
      <c r="AE309" s="68" t="n">
        <v>27</v>
      </c>
      <c r="AF309" s="69">
        <f>IF(OR(AE309="",AD309="",AD309=0,AE309=0),"",AE309-AD309)</f>
        <v/>
      </c>
      <c r="AG309" s="42">
        <f>IF(OR(AE309="",AD309="",AD309=0,AE309=0),"",AE309/AD309-1)</f>
        <v/>
      </c>
      <c r="AH309" s="43">
        <f>IF(OR(AD309="",W309="",W309=0),"",AD309/W309)</f>
        <v/>
      </c>
      <c r="AI309" s="43">
        <f>IF(OR(AE309="",X309="",X309=0),"",AE309/X309)</f>
        <v/>
      </c>
      <c r="AJ309" s="44">
        <f>IF(OR(AI309="",AH309=""),"",(AI309-AH309)*100)</f>
        <v/>
      </c>
      <c r="AK309" s="68" t="n">
        <v>36</v>
      </c>
      <c r="AL309" s="68" t="n">
        <v>19</v>
      </c>
      <c r="AM309" s="69">
        <f>IF(OR(AL309="",AK309="",AK309=0,AL309=0),"",AL309-AK309)</f>
        <v/>
      </c>
      <c r="AN309" s="42">
        <f>IF(OR(AL309="",AK309="",AK309=0,AL309=0),"",AL309/AK309-1)</f>
        <v/>
      </c>
      <c r="AO309" s="43">
        <f>IF(OR(AK309="",AD309="",AD309=0),"",AK309/AD309)</f>
        <v/>
      </c>
      <c r="AP309" s="43">
        <f>IF(OR(AL309="",AE309="",AE309=0),"",AL309/AE309)</f>
        <v/>
      </c>
      <c r="AQ309" s="44">
        <f>IF(OR(AP309="",AO309=""),"",(AP309-AO309)*100)</f>
        <v/>
      </c>
      <c r="AR309" s="68" t="n">
        <v>33</v>
      </c>
      <c r="AS309" s="68" t="n">
        <v>17</v>
      </c>
      <c r="AT309" s="69">
        <f>IF(OR(AS309="",AR309="",AR309=0,AS309=0),"",AS309-AR309)</f>
        <v/>
      </c>
      <c r="AU309" s="42">
        <f>IF(OR(AS309="",AR309="",AR309=0,AS309=0),"",AS309/AR309-1)</f>
        <v/>
      </c>
      <c r="AV309" s="43">
        <f>IF(OR(AR309="",AK309="",AK309=0),"",AR309/AK309)</f>
        <v/>
      </c>
      <c r="AW309" s="43">
        <f>IF(OR(AS309="",AL309="",AL309=0),"",AS309/AL309)</f>
        <v/>
      </c>
      <c r="AX309" s="44">
        <f>IF(OR(AW309="",AV309=""),"",(AW309-AV309)*100)</f>
        <v/>
      </c>
      <c r="AY309" s="45">
        <f>IF(OR(AR309="",P309="",P309=0),"",AR309/P309)</f>
        <v/>
      </c>
      <c r="AZ309" s="45">
        <f>IF(OR(AS309="",Q309="",Q309=0),"",AS309/Q309)</f>
        <v/>
      </c>
      <c r="BA309" s="44">
        <f>IF(OR(AZ309="",AY309=""),"",(AZ309-AY309)*100)</f>
        <v/>
      </c>
      <c r="BB309" s="45">
        <f>IF(OR(AR309="",E309="",E309=0),"",AR309/E309)</f>
        <v/>
      </c>
      <c r="BC309" s="45">
        <f>IF(OR(AS309="",F309="",F309=0),"",AS309/F309)</f>
        <v/>
      </c>
      <c r="BD309" s="44">
        <f>IF(OR(BC309="",BB309=""),"",(BC309-BB309)*100)</f>
        <v/>
      </c>
      <c r="BE309" s="40">
        <f>IF(AND(F309&lt;&gt;"",E309&lt;&gt;""),"Both years",IF(F309&lt;&gt;"","1-23Aug26 rows only","1-23Aug25 rows only"))</f>
        <v/>
      </c>
    </row>
    <row r="310">
      <c r="A310" s="56" t="inlineStr">
        <is>
          <t>Airport page</t>
        </is>
      </c>
      <c r="B310" s="56" t="inlineStr">
        <is>
          <t>Direct</t>
        </is>
      </c>
      <c r="C310" s="56" t="inlineStr">
        <is>
          <t>Desktop</t>
        </is>
      </c>
      <c r="D310" s="56" t="inlineStr">
        <is>
          <t>Netherlands</t>
        </is>
      </c>
      <c r="E310" s="68" t="n">
        <v>64</v>
      </c>
      <c r="F310" s="68" t="n">
        <v>323</v>
      </c>
      <c r="G310" s="69">
        <f>IF(OR(F310="",E310="",E310=0,F310=0),"",F310-E310)</f>
        <v/>
      </c>
      <c r="H310" s="42">
        <f>IF(OR(F310="",E310="",E310=0,F310=0),"",F310/E310-1)</f>
        <v/>
      </c>
      <c r="I310" s="68" t="n">
        <v>36</v>
      </c>
      <c r="J310" s="68" t="n">
        <v>217</v>
      </c>
      <c r="K310" s="69">
        <f>IF(OR(J310="",I310="",I310=0,J310=0),"",J310-I310)</f>
        <v/>
      </c>
      <c r="L310" s="42">
        <f>IF(OR(J310="",I310="",I310=0,J310=0),"",J310/I310-1)</f>
        <v/>
      </c>
      <c r="M310" s="43">
        <f>IF(OR(I310="",E310="",E310=0),"",I310/E310)</f>
        <v/>
      </c>
      <c r="N310" s="43">
        <f>IF(OR(J310="",F310="",F310=0),"",J310/F310)</f>
        <v/>
      </c>
      <c r="O310" s="44">
        <f>IF(OR(N310="",M310=""),"",(N310-M310)*100)</f>
        <v/>
      </c>
      <c r="P310" s="68" t="n">
        <v>30</v>
      </c>
      <c r="Q310" s="68" t="n">
        <v>188</v>
      </c>
      <c r="R310" s="69">
        <f>IF(OR(Q310="",P310="",P310=0,Q310=0),"",Q310-P310)</f>
        <v/>
      </c>
      <c r="S310" s="42">
        <f>IF(OR(Q310="",P310="",P310=0,Q310=0),"",Q310/P310-1)</f>
        <v/>
      </c>
      <c r="T310" s="43">
        <f>IF(OR(P310="",E310="",E310=0),"",P310/E310)</f>
        <v/>
      </c>
      <c r="U310" s="43">
        <f>IF(OR(Q310="",F310="",F310=0),"",Q310/F310)</f>
        <v/>
      </c>
      <c r="V310" s="44">
        <f>IF(OR(U310="",T310=""),"",(U310-T310)*100)</f>
        <v/>
      </c>
      <c r="W310" s="68" t="n">
        <v>7</v>
      </c>
      <c r="X310" s="68" t="n">
        <v>42</v>
      </c>
      <c r="Y310" s="69">
        <f>IF(OR(X310="",W310="",W310=0,X310=0),"",X310-W310)</f>
        <v/>
      </c>
      <c r="Z310" s="42">
        <f>IF(OR(X310="",W310="",W310=0,X310=0),"",X310/W310-1)</f>
        <v/>
      </c>
      <c r="AA310" s="43">
        <f>IF(OR(W310="",P310="",P310=0),"",W310/P310)</f>
        <v/>
      </c>
      <c r="AB310" s="43">
        <f>IF(OR(X310="",Q310="",Q310=0),"",X310/Q310)</f>
        <v/>
      </c>
      <c r="AC310" s="44">
        <f>IF(OR(AB310="",AA310=""),"",(AB310-AA310)*100)</f>
        <v/>
      </c>
      <c r="AD310" s="68" t="n">
        <v>6</v>
      </c>
      <c r="AE310" s="68" t="n">
        <v>29</v>
      </c>
      <c r="AF310" s="69">
        <f>IF(OR(AE310="",AD310="",AD310=0,AE310=0),"",AE310-AD310)</f>
        <v/>
      </c>
      <c r="AG310" s="42">
        <f>IF(OR(AE310="",AD310="",AD310=0,AE310=0),"",AE310/AD310-1)</f>
        <v/>
      </c>
      <c r="AH310" s="43">
        <f>IF(OR(AD310="",W310="",W310=0),"",AD310/W310)</f>
        <v/>
      </c>
      <c r="AI310" s="43">
        <f>IF(OR(AE310="",X310="",X310=0),"",AE310/X310)</f>
        <v/>
      </c>
      <c r="AJ310" s="44">
        <f>IF(OR(AI310="",AH310=""),"",(AI310-AH310)*100)</f>
        <v/>
      </c>
      <c r="AK310" s="68" t="n">
        <v>1</v>
      </c>
      <c r="AL310" s="68" t="n">
        <v>10</v>
      </c>
      <c r="AM310" s="69">
        <f>IF(OR(AL310="",AK310="",AK310=0,AL310=0),"",AL310-AK310)</f>
        <v/>
      </c>
      <c r="AN310" s="42">
        <f>IF(OR(AL310="",AK310="",AK310=0,AL310=0),"",AL310/AK310-1)</f>
        <v/>
      </c>
      <c r="AO310" s="43">
        <f>IF(OR(AK310="",AD310="",AD310=0),"",AK310/AD310)</f>
        <v/>
      </c>
      <c r="AP310" s="43">
        <f>IF(OR(AL310="",AE310="",AE310=0),"",AL310/AE310)</f>
        <v/>
      </c>
      <c r="AQ310" s="44">
        <f>IF(OR(AP310="",AO310=""),"",(AP310-AO310)*100)</f>
        <v/>
      </c>
      <c r="AR310" s="70" t="n"/>
      <c r="AS310" s="68" t="n">
        <v>6</v>
      </c>
      <c r="AT310" s="69">
        <f>IF(OR(AS310="",AR310="",AR310=0,AS310=0),"",AS310-AR310)</f>
        <v/>
      </c>
      <c r="AU310" s="42">
        <f>IF(OR(AS310="",AR310="",AR310=0,AS310=0),"",AS310/AR310-1)</f>
        <v/>
      </c>
      <c r="AV310" s="43">
        <f>IF(OR(AR310="",AK310="",AK310=0),"",AR310/AK310)</f>
        <v/>
      </c>
      <c r="AW310" s="43">
        <f>IF(OR(AS310="",AL310="",AL310=0),"",AS310/AL310)</f>
        <v/>
      </c>
      <c r="AX310" s="44">
        <f>IF(OR(AW310="",AV310=""),"",(AW310-AV310)*100)</f>
        <v/>
      </c>
      <c r="AY310" s="45">
        <f>IF(OR(AR310="",P310="",P310=0),"",AR310/P310)</f>
        <v/>
      </c>
      <c r="AZ310" s="45">
        <f>IF(OR(AS310="",Q310="",Q310=0),"",AS310/Q310)</f>
        <v/>
      </c>
      <c r="BA310" s="44">
        <f>IF(OR(AZ310="",AY310=""),"",(AZ310-AY310)*100)</f>
        <v/>
      </c>
      <c r="BB310" s="45">
        <f>IF(OR(AR310="",E310="",E310=0),"",AR310/E310)</f>
        <v/>
      </c>
      <c r="BC310" s="45">
        <f>IF(OR(AS310="",F310="",F310=0),"",AS310/F310)</f>
        <v/>
      </c>
      <c r="BD310" s="44">
        <f>IF(OR(BC310="",BB310=""),"",(BC310-BB310)*100)</f>
        <v/>
      </c>
      <c r="BE310" s="40">
        <f>IF(AND(F310&lt;&gt;"",E310&lt;&gt;""),"Both years",IF(F310&lt;&gt;"","1-23Aug26 rows only","1-23Aug25 rows only"))</f>
        <v/>
      </c>
    </row>
    <row r="311">
      <c r="A311" s="40" t="inlineStr">
        <is>
          <t>Airport page</t>
        </is>
      </c>
      <c r="B311" s="40" t="inlineStr">
        <is>
          <t>Direct</t>
        </is>
      </c>
      <c r="C311" s="40" t="inlineStr">
        <is>
          <t>Desktop</t>
        </is>
      </c>
      <c r="D311" s="40" t="inlineStr">
        <is>
          <t>Spain</t>
        </is>
      </c>
      <c r="E311" s="68" t="n">
        <v>49</v>
      </c>
      <c r="F311" s="68" t="n">
        <v>295</v>
      </c>
      <c r="G311" s="69">
        <f>IF(OR(F311="",E311="",E311=0,F311=0),"",F311-E311)</f>
        <v/>
      </c>
      <c r="H311" s="42">
        <f>IF(OR(F311="",E311="",E311=0,F311=0),"",F311/E311-1)</f>
        <v/>
      </c>
      <c r="I311" s="68" t="n">
        <v>18</v>
      </c>
      <c r="J311" s="68" t="n">
        <v>83</v>
      </c>
      <c r="K311" s="69">
        <f>IF(OR(J311="",I311="",I311=0,J311=0),"",J311-I311)</f>
        <v/>
      </c>
      <c r="L311" s="42">
        <f>IF(OR(J311="",I311="",I311=0,J311=0),"",J311/I311-1)</f>
        <v/>
      </c>
      <c r="M311" s="43">
        <f>IF(OR(I311="",E311="",E311=0),"",I311/E311)</f>
        <v/>
      </c>
      <c r="N311" s="43">
        <f>IF(OR(J311="",F311="",F311=0),"",J311/F311)</f>
        <v/>
      </c>
      <c r="O311" s="44">
        <f>IF(OR(N311="",M311=""),"",(N311-M311)*100)</f>
        <v/>
      </c>
      <c r="P311" s="68" t="n">
        <v>16</v>
      </c>
      <c r="Q311" s="68" t="n">
        <v>129</v>
      </c>
      <c r="R311" s="69">
        <f>IF(OR(Q311="",P311="",P311=0,Q311=0),"",Q311-P311)</f>
        <v/>
      </c>
      <c r="S311" s="42">
        <f>IF(OR(Q311="",P311="",P311=0,Q311=0),"",Q311/P311-1)</f>
        <v/>
      </c>
      <c r="T311" s="43">
        <f>IF(OR(P311="",E311="",E311=0),"",P311/E311)</f>
        <v/>
      </c>
      <c r="U311" s="43">
        <f>IF(OR(Q311="",F311="",F311=0),"",Q311/F311)</f>
        <v/>
      </c>
      <c r="V311" s="44">
        <f>IF(OR(U311="",T311=""),"",(U311-T311)*100)</f>
        <v/>
      </c>
      <c r="W311" s="68" t="n">
        <v>8</v>
      </c>
      <c r="X311" s="68" t="n">
        <v>32</v>
      </c>
      <c r="Y311" s="69">
        <f>IF(OR(X311="",W311="",W311=0,X311=0),"",X311-W311)</f>
        <v/>
      </c>
      <c r="Z311" s="42">
        <f>IF(OR(X311="",W311="",W311=0,X311=0),"",X311/W311-1)</f>
        <v/>
      </c>
      <c r="AA311" s="43">
        <f>IF(OR(W311="",P311="",P311=0),"",W311/P311)</f>
        <v/>
      </c>
      <c r="AB311" s="43">
        <f>IF(OR(X311="",Q311="",Q311=0),"",X311/Q311)</f>
        <v/>
      </c>
      <c r="AC311" s="44">
        <f>IF(OR(AB311="",AA311=""),"",(AB311-AA311)*100)</f>
        <v/>
      </c>
      <c r="AD311" s="68" t="n">
        <v>5</v>
      </c>
      <c r="AE311" s="68" t="n">
        <v>26</v>
      </c>
      <c r="AF311" s="69">
        <f>IF(OR(AE311="",AD311="",AD311=0,AE311=0),"",AE311-AD311)</f>
        <v/>
      </c>
      <c r="AG311" s="42">
        <f>IF(OR(AE311="",AD311="",AD311=0,AE311=0),"",AE311/AD311-1)</f>
        <v/>
      </c>
      <c r="AH311" s="43">
        <f>IF(OR(AD311="",W311="",W311=0),"",AD311/W311)</f>
        <v/>
      </c>
      <c r="AI311" s="43">
        <f>IF(OR(AE311="",X311="",X311=0),"",AE311/X311)</f>
        <v/>
      </c>
      <c r="AJ311" s="44">
        <f>IF(OR(AI311="",AH311=""),"",(AI311-AH311)*100)</f>
        <v/>
      </c>
      <c r="AK311" s="68" t="n">
        <v>1</v>
      </c>
      <c r="AL311" s="68" t="n">
        <v>8</v>
      </c>
      <c r="AM311" s="69">
        <f>IF(OR(AL311="",AK311="",AK311=0,AL311=0),"",AL311-AK311)</f>
        <v/>
      </c>
      <c r="AN311" s="42">
        <f>IF(OR(AL311="",AK311="",AK311=0,AL311=0),"",AL311/AK311-1)</f>
        <v/>
      </c>
      <c r="AO311" s="43">
        <f>IF(OR(AK311="",AD311="",AD311=0),"",AK311/AD311)</f>
        <v/>
      </c>
      <c r="AP311" s="43">
        <f>IF(OR(AL311="",AE311="",AE311=0),"",AL311/AE311)</f>
        <v/>
      </c>
      <c r="AQ311" s="44">
        <f>IF(OR(AP311="",AO311=""),"",(AP311-AO311)*100)</f>
        <v/>
      </c>
      <c r="AR311" s="68" t="n">
        <v>1</v>
      </c>
      <c r="AS311" s="68" t="n">
        <v>8</v>
      </c>
      <c r="AT311" s="69">
        <f>IF(OR(AS311="",AR311="",AR311=0,AS311=0),"",AS311-AR311)</f>
        <v/>
      </c>
      <c r="AU311" s="42">
        <f>IF(OR(AS311="",AR311="",AR311=0,AS311=0),"",AS311/AR311-1)</f>
        <v/>
      </c>
      <c r="AV311" s="43">
        <f>IF(OR(AR311="",AK311="",AK311=0),"",AR311/AK311)</f>
        <v/>
      </c>
      <c r="AW311" s="43">
        <f>IF(OR(AS311="",AL311="",AL311=0),"",AS311/AL311)</f>
        <v/>
      </c>
      <c r="AX311" s="44">
        <f>IF(OR(AW311="",AV311=""),"",(AW311-AV311)*100)</f>
        <v/>
      </c>
      <c r="AY311" s="45">
        <f>IF(OR(AR311="",P311="",P311=0),"",AR311/P311)</f>
        <v/>
      </c>
      <c r="AZ311" s="45">
        <f>IF(OR(AS311="",Q311="",Q311=0),"",AS311/Q311)</f>
        <v/>
      </c>
      <c r="BA311" s="44">
        <f>IF(OR(AZ311="",AY311=""),"",(AZ311-AY311)*100)</f>
        <v/>
      </c>
      <c r="BB311" s="45">
        <f>IF(OR(AR311="",E311="",E311=0),"",AR311/E311)</f>
        <v/>
      </c>
      <c r="BC311" s="45">
        <f>IF(OR(AS311="",F311="",F311=0),"",AS311/F311)</f>
        <v/>
      </c>
      <c r="BD311" s="44">
        <f>IF(OR(BC311="",BB311=""),"",(BC311-BB311)*100)</f>
        <v/>
      </c>
      <c r="BE311" s="40">
        <f>IF(AND(F311&lt;&gt;"",E311&lt;&gt;""),"Both years",IF(F311&lt;&gt;"","1-23Aug26 rows only","1-23Aug25 rows only"))</f>
        <v/>
      </c>
    </row>
    <row r="312">
      <c r="A312" s="56" t="inlineStr">
        <is>
          <t>Airport page</t>
        </is>
      </c>
      <c r="B312" s="56" t="inlineStr">
        <is>
          <t>Direct</t>
        </is>
      </c>
      <c r="C312" s="56" t="inlineStr">
        <is>
          <t>Desktop</t>
        </is>
      </c>
      <c r="D312" s="56" t="inlineStr">
        <is>
          <t>Poland</t>
        </is>
      </c>
      <c r="E312" s="68" t="n">
        <v>29</v>
      </c>
      <c r="F312" s="68" t="n">
        <v>222</v>
      </c>
      <c r="G312" s="69">
        <f>IF(OR(F312="",E312="",E312=0,F312=0),"",F312-E312)</f>
        <v/>
      </c>
      <c r="H312" s="42">
        <f>IF(OR(F312="",E312="",E312=0,F312=0),"",F312/E312-1)</f>
        <v/>
      </c>
      <c r="I312" s="70" t="n"/>
      <c r="J312" s="70" t="n"/>
      <c r="K312" s="69">
        <f>IF(OR(J312="",I312="",I312=0,J312=0),"",J312-I312)</f>
        <v/>
      </c>
      <c r="L312" s="42">
        <f>IF(OR(J312="",I312="",I312=0,J312=0),"",J312/I312-1)</f>
        <v/>
      </c>
      <c r="M312" s="43">
        <f>IF(OR(I312="",E312="",E312=0),"",I312/E312)</f>
        <v/>
      </c>
      <c r="N312" s="43">
        <f>IF(OR(J312="",F312="",F312=0),"",J312/F312)</f>
        <v/>
      </c>
      <c r="O312" s="44">
        <f>IF(OR(N312="",M312=""),"",(N312-M312)*100)</f>
        <v/>
      </c>
      <c r="P312" s="68" t="n">
        <v>10</v>
      </c>
      <c r="Q312" s="68" t="n">
        <v>103</v>
      </c>
      <c r="R312" s="69">
        <f>IF(OR(Q312="",P312="",P312=0,Q312=0),"",Q312-P312)</f>
        <v/>
      </c>
      <c r="S312" s="42">
        <f>IF(OR(Q312="",P312="",P312=0,Q312=0),"",Q312/P312-1)</f>
        <v/>
      </c>
      <c r="T312" s="43">
        <f>IF(OR(P312="",E312="",E312=0),"",P312/E312)</f>
        <v/>
      </c>
      <c r="U312" s="43">
        <f>IF(OR(Q312="",F312="",F312=0),"",Q312/F312)</f>
        <v/>
      </c>
      <c r="V312" s="44">
        <f>IF(OR(U312="",T312=""),"",(U312-T312)*100)</f>
        <v/>
      </c>
      <c r="W312" s="70" t="n"/>
      <c r="X312" s="70" t="n"/>
      <c r="Y312" s="69">
        <f>IF(OR(X312="",W312="",W312=0,X312=0),"",X312-W312)</f>
        <v/>
      </c>
      <c r="Z312" s="42">
        <f>IF(OR(X312="",W312="",W312=0,X312=0),"",X312/W312-1)</f>
        <v/>
      </c>
      <c r="AA312" s="43">
        <f>IF(OR(W312="",P312="",P312=0),"",W312/P312)</f>
        <v/>
      </c>
      <c r="AB312" s="43">
        <f>IF(OR(X312="",Q312="",Q312=0),"",X312/Q312)</f>
        <v/>
      </c>
      <c r="AC312" s="44">
        <f>IF(OR(AB312="",AA312=""),"",(AB312-AA312)*100)</f>
        <v/>
      </c>
      <c r="AD312" s="70" t="n"/>
      <c r="AE312" s="70" t="n"/>
      <c r="AF312" s="69">
        <f>IF(OR(AE312="",AD312="",AD312=0,AE312=0),"",AE312-AD312)</f>
        <v/>
      </c>
      <c r="AG312" s="42">
        <f>IF(OR(AE312="",AD312="",AD312=0,AE312=0),"",AE312/AD312-1)</f>
        <v/>
      </c>
      <c r="AH312" s="43">
        <f>IF(OR(AD312="",W312="",W312=0),"",AD312/W312)</f>
        <v/>
      </c>
      <c r="AI312" s="43">
        <f>IF(OR(AE312="",X312="",X312=0),"",AE312/X312)</f>
        <v/>
      </c>
      <c r="AJ312" s="44">
        <f>IF(OR(AI312="",AH312=""),"",(AI312-AH312)*100)</f>
        <v/>
      </c>
      <c r="AK312" s="70" t="n"/>
      <c r="AL312" s="70" t="n"/>
      <c r="AM312" s="69">
        <f>IF(OR(AL312="",AK312="",AK312=0,AL312=0),"",AL312-AK312)</f>
        <v/>
      </c>
      <c r="AN312" s="42">
        <f>IF(OR(AL312="",AK312="",AK312=0,AL312=0),"",AL312/AK312-1)</f>
        <v/>
      </c>
      <c r="AO312" s="43">
        <f>IF(OR(AK312="",AD312="",AD312=0),"",AK312/AD312)</f>
        <v/>
      </c>
      <c r="AP312" s="43">
        <f>IF(OR(AL312="",AE312="",AE312=0),"",AL312/AE312)</f>
        <v/>
      </c>
      <c r="AQ312" s="44">
        <f>IF(OR(AP312="",AO312=""),"",(AP312-AO312)*100)</f>
        <v/>
      </c>
      <c r="AR312" s="70" t="n"/>
      <c r="AS312" s="70" t="n"/>
      <c r="AT312" s="69">
        <f>IF(OR(AS312="",AR312="",AR312=0,AS312=0),"",AS312-AR312)</f>
        <v/>
      </c>
      <c r="AU312" s="42">
        <f>IF(OR(AS312="",AR312="",AR312=0,AS312=0),"",AS312/AR312-1)</f>
        <v/>
      </c>
      <c r="AV312" s="43">
        <f>IF(OR(AR312="",AK312="",AK312=0),"",AR312/AK312)</f>
        <v/>
      </c>
      <c r="AW312" s="43">
        <f>IF(OR(AS312="",AL312="",AL312=0),"",AS312/AL312)</f>
        <v/>
      </c>
      <c r="AX312" s="44">
        <f>IF(OR(AW312="",AV312=""),"",(AW312-AV312)*100)</f>
        <v/>
      </c>
      <c r="AY312" s="45">
        <f>IF(OR(AR312="",P312="",P312=0),"",AR312/P312)</f>
        <v/>
      </c>
      <c r="AZ312" s="45">
        <f>IF(OR(AS312="",Q312="",Q312=0),"",AS312/Q312)</f>
        <v/>
      </c>
      <c r="BA312" s="44">
        <f>IF(OR(AZ312="",AY312=""),"",(AZ312-AY312)*100)</f>
        <v/>
      </c>
      <c r="BB312" s="45">
        <f>IF(OR(AR312="",E312="",E312=0),"",AR312/E312)</f>
        <v/>
      </c>
      <c r="BC312" s="45">
        <f>IF(OR(AS312="",F312="",F312=0),"",AS312/F312)</f>
        <v/>
      </c>
      <c r="BD312" s="44">
        <f>IF(OR(BC312="",BB312=""),"",(BC312-BB312)*100)</f>
        <v/>
      </c>
      <c r="BE312" s="40">
        <f>IF(AND(F312&lt;&gt;"",E312&lt;&gt;""),"Both years",IF(F312&lt;&gt;"","1-23Aug26 rows only","1-23Aug25 rows only"))</f>
        <v/>
      </c>
    </row>
    <row r="313">
      <c r="A313" s="40" t="inlineStr">
        <is>
          <t>Airport page</t>
        </is>
      </c>
      <c r="B313" s="40" t="inlineStr">
        <is>
          <t>Direct</t>
        </is>
      </c>
      <c r="C313" s="40" t="inlineStr">
        <is>
          <t>Desktop</t>
        </is>
      </c>
      <c r="D313" s="40" t="inlineStr">
        <is>
          <t>Ireland</t>
        </is>
      </c>
      <c r="E313" s="68" t="n">
        <v>57</v>
      </c>
      <c r="F313" s="68" t="n">
        <v>220</v>
      </c>
      <c r="G313" s="69">
        <f>IF(OR(F313="",E313="",E313=0,F313=0),"",F313-E313)</f>
        <v/>
      </c>
      <c r="H313" s="42">
        <f>IF(OR(F313="",E313="",E313=0,F313=0),"",F313/E313-1)</f>
        <v/>
      </c>
      <c r="I313" s="68" t="n">
        <v>23</v>
      </c>
      <c r="J313" s="68" t="n">
        <v>111</v>
      </c>
      <c r="K313" s="69">
        <f>IF(OR(J313="",I313="",I313=0,J313=0),"",J313-I313)</f>
        <v/>
      </c>
      <c r="L313" s="42">
        <f>IF(OR(J313="",I313="",I313=0,J313=0),"",J313/I313-1)</f>
        <v/>
      </c>
      <c r="M313" s="43">
        <f>IF(OR(I313="",E313="",E313=0),"",I313/E313)</f>
        <v/>
      </c>
      <c r="N313" s="43">
        <f>IF(OR(J313="",F313="",F313=0),"",J313/F313)</f>
        <v/>
      </c>
      <c r="O313" s="44">
        <f>IF(OR(N313="",M313=""),"",(N313-M313)*100)</f>
        <v/>
      </c>
      <c r="P313" s="68" t="n">
        <v>26</v>
      </c>
      <c r="Q313" s="68" t="n">
        <v>116</v>
      </c>
      <c r="R313" s="69">
        <f>IF(OR(Q313="",P313="",P313=0,Q313=0),"",Q313-P313)</f>
        <v/>
      </c>
      <c r="S313" s="42">
        <f>IF(OR(Q313="",P313="",P313=0,Q313=0),"",Q313/P313-1)</f>
        <v/>
      </c>
      <c r="T313" s="43">
        <f>IF(OR(P313="",E313="",E313=0),"",P313/E313)</f>
        <v/>
      </c>
      <c r="U313" s="43">
        <f>IF(OR(Q313="",F313="",F313=0),"",Q313/F313)</f>
        <v/>
      </c>
      <c r="V313" s="44">
        <f>IF(OR(U313="",T313=""),"",(U313-T313)*100)</f>
        <v/>
      </c>
      <c r="W313" s="68" t="n">
        <v>7</v>
      </c>
      <c r="X313" s="68" t="n">
        <v>33</v>
      </c>
      <c r="Y313" s="69">
        <f>IF(OR(X313="",W313="",W313=0,X313=0),"",X313-W313)</f>
        <v/>
      </c>
      <c r="Z313" s="42">
        <f>IF(OR(X313="",W313="",W313=0,X313=0),"",X313/W313-1)</f>
        <v/>
      </c>
      <c r="AA313" s="43">
        <f>IF(OR(W313="",P313="",P313=0),"",W313/P313)</f>
        <v/>
      </c>
      <c r="AB313" s="43">
        <f>IF(OR(X313="",Q313="",Q313=0),"",X313/Q313)</f>
        <v/>
      </c>
      <c r="AC313" s="44">
        <f>IF(OR(AB313="",AA313=""),"",(AB313-AA313)*100)</f>
        <v/>
      </c>
      <c r="AD313" s="68" t="n">
        <v>8</v>
      </c>
      <c r="AE313" s="68" t="n">
        <v>20</v>
      </c>
      <c r="AF313" s="69">
        <f>IF(OR(AE313="",AD313="",AD313=0,AE313=0),"",AE313-AD313)</f>
        <v/>
      </c>
      <c r="AG313" s="42">
        <f>IF(OR(AE313="",AD313="",AD313=0,AE313=0),"",AE313/AD313-1)</f>
        <v/>
      </c>
      <c r="AH313" s="43">
        <f>IF(OR(AD313="",W313="",W313=0),"",AD313/W313)</f>
        <v/>
      </c>
      <c r="AI313" s="43">
        <f>IF(OR(AE313="",X313="",X313=0),"",AE313/X313)</f>
        <v/>
      </c>
      <c r="AJ313" s="44">
        <f>IF(OR(AI313="",AH313=""),"",(AI313-AH313)*100)</f>
        <v/>
      </c>
      <c r="AK313" s="68" t="n">
        <v>4</v>
      </c>
      <c r="AL313" s="68" t="n">
        <v>8</v>
      </c>
      <c r="AM313" s="69">
        <f>IF(OR(AL313="",AK313="",AK313=0,AL313=0),"",AL313-AK313)</f>
        <v/>
      </c>
      <c r="AN313" s="42">
        <f>IF(OR(AL313="",AK313="",AK313=0,AL313=0),"",AL313/AK313-1)</f>
        <v/>
      </c>
      <c r="AO313" s="43">
        <f>IF(OR(AK313="",AD313="",AD313=0),"",AK313/AD313)</f>
        <v/>
      </c>
      <c r="AP313" s="43">
        <f>IF(OR(AL313="",AE313="",AE313=0),"",AL313/AE313)</f>
        <v/>
      </c>
      <c r="AQ313" s="44">
        <f>IF(OR(AP313="",AO313=""),"",(AP313-AO313)*100)</f>
        <v/>
      </c>
      <c r="AR313" s="68" t="n">
        <v>3</v>
      </c>
      <c r="AS313" s="68" t="n">
        <v>7</v>
      </c>
      <c r="AT313" s="69">
        <f>IF(OR(AS313="",AR313="",AR313=0,AS313=0),"",AS313-AR313)</f>
        <v/>
      </c>
      <c r="AU313" s="42">
        <f>IF(OR(AS313="",AR313="",AR313=0,AS313=0),"",AS313/AR313-1)</f>
        <v/>
      </c>
      <c r="AV313" s="43">
        <f>IF(OR(AR313="",AK313="",AK313=0),"",AR313/AK313)</f>
        <v/>
      </c>
      <c r="AW313" s="43">
        <f>IF(OR(AS313="",AL313="",AL313=0),"",AS313/AL313)</f>
        <v/>
      </c>
      <c r="AX313" s="44">
        <f>IF(OR(AW313="",AV313=""),"",(AW313-AV313)*100)</f>
        <v/>
      </c>
      <c r="AY313" s="45">
        <f>IF(OR(AR313="",P313="",P313=0),"",AR313/P313)</f>
        <v/>
      </c>
      <c r="AZ313" s="45">
        <f>IF(OR(AS313="",Q313="",Q313=0),"",AS313/Q313)</f>
        <v/>
      </c>
      <c r="BA313" s="44">
        <f>IF(OR(AZ313="",AY313=""),"",(AZ313-AY313)*100)</f>
        <v/>
      </c>
      <c r="BB313" s="45">
        <f>IF(OR(AR313="",E313="",E313=0),"",AR313/E313)</f>
        <v/>
      </c>
      <c r="BC313" s="45">
        <f>IF(OR(AS313="",F313="",F313=0),"",AS313/F313)</f>
        <v/>
      </c>
      <c r="BD313" s="44">
        <f>IF(OR(BC313="",BB313=""),"",(BC313-BB313)*100)</f>
        <v/>
      </c>
      <c r="BE313" s="40">
        <f>IF(AND(F313&lt;&gt;"",E313&lt;&gt;""),"Both years",IF(F313&lt;&gt;"","1-23Aug26 rows only","1-23Aug25 rows only"))</f>
        <v/>
      </c>
    </row>
    <row r="314">
      <c r="A314" s="56" t="inlineStr">
        <is>
          <t>Airport page</t>
        </is>
      </c>
      <c r="B314" s="56" t="inlineStr">
        <is>
          <t>Direct</t>
        </is>
      </c>
      <c r="C314" s="56" t="inlineStr">
        <is>
          <t>Desktop</t>
        </is>
      </c>
      <c r="D314" s="56" t="inlineStr">
        <is>
          <t>France</t>
        </is>
      </c>
      <c r="E314" s="68" t="n">
        <v>16</v>
      </c>
      <c r="F314" s="68" t="n">
        <v>195</v>
      </c>
      <c r="G314" s="69">
        <f>IF(OR(F314="",E314="",E314=0,F314=0),"",F314-E314)</f>
        <v/>
      </c>
      <c r="H314" s="42">
        <f>IF(OR(F314="",E314="",E314=0,F314=0),"",F314/E314-1)</f>
        <v/>
      </c>
      <c r="I314" s="68" t="n">
        <v>8</v>
      </c>
      <c r="J314" s="68" t="n">
        <v>105</v>
      </c>
      <c r="K314" s="69">
        <f>IF(OR(J314="",I314="",I314=0,J314=0),"",J314-I314)</f>
        <v/>
      </c>
      <c r="L314" s="42">
        <f>IF(OR(J314="",I314="",I314=0,J314=0),"",J314/I314-1)</f>
        <v/>
      </c>
      <c r="M314" s="43">
        <f>IF(OR(I314="",E314="",E314=0),"",I314/E314)</f>
        <v/>
      </c>
      <c r="N314" s="43">
        <f>IF(OR(J314="",F314="",F314=0),"",J314/F314)</f>
        <v/>
      </c>
      <c r="O314" s="44">
        <f>IF(OR(N314="",M314=""),"",(N314-M314)*100)</f>
        <v/>
      </c>
      <c r="P314" s="68" t="n">
        <v>7</v>
      </c>
      <c r="Q314" s="68" t="n">
        <v>98</v>
      </c>
      <c r="R314" s="69">
        <f>IF(OR(Q314="",P314="",P314=0,Q314=0),"",Q314-P314)</f>
        <v/>
      </c>
      <c r="S314" s="42">
        <f>IF(OR(Q314="",P314="",P314=0,Q314=0),"",Q314/P314-1)</f>
        <v/>
      </c>
      <c r="T314" s="43">
        <f>IF(OR(P314="",E314="",E314=0),"",P314/E314)</f>
        <v/>
      </c>
      <c r="U314" s="43">
        <f>IF(OR(Q314="",F314="",F314=0),"",Q314/F314)</f>
        <v/>
      </c>
      <c r="V314" s="44">
        <f>IF(OR(U314="",T314=""),"",(U314-T314)*100)</f>
        <v/>
      </c>
      <c r="W314" s="68" t="n">
        <v>3</v>
      </c>
      <c r="X314" s="68" t="n">
        <v>37</v>
      </c>
      <c r="Y314" s="69">
        <f>IF(OR(X314="",W314="",W314=0,X314=0),"",X314-W314)</f>
        <v/>
      </c>
      <c r="Z314" s="42">
        <f>IF(OR(X314="",W314="",W314=0,X314=0),"",X314/W314-1)</f>
        <v/>
      </c>
      <c r="AA314" s="43">
        <f>IF(OR(W314="",P314="",P314=0),"",W314/P314)</f>
        <v/>
      </c>
      <c r="AB314" s="43">
        <f>IF(OR(X314="",Q314="",Q314=0),"",X314/Q314)</f>
        <v/>
      </c>
      <c r="AC314" s="44">
        <f>IF(OR(AB314="",AA314=""),"",(AB314-AA314)*100)</f>
        <v/>
      </c>
      <c r="AD314" s="68" t="n">
        <v>3</v>
      </c>
      <c r="AE314" s="68" t="n">
        <v>24</v>
      </c>
      <c r="AF314" s="69">
        <f>IF(OR(AE314="",AD314="",AD314=0,AE314=0),"",AE314-AD314)</f>
        <v/>
      </c>
      <c r="AG314" s="42">
        <f>IF(OR(AE314="",AD314="",AD314=0,AE314=0),"",AE314/AD314-1)</f>
        <v/>
      </c>
      <c r="AH314" s="43">
        <f>IF(OR(AD314="",W314="",W314=0),"",AD314/W314)</f>
        <v/>
      </c>
      <c r="AI314" s="43">
        <f>IF(OR(AE314="",X314="",X314=0),"",AE314/X314)</f>
        <v/>
      </c>
      <c r="AJ314" s="44">
        <f>IF(OR(AI314="",AH314=""),"",(AI314-AH314)*100)</f>
        <v/>
      </c>
      <c r="AK314" s="68" t="n">
        <v>1</v>
      </c>
      <c r="AL314" s="68" t="n">
        <v>6</v>
      </c>
      <c r="AM314" s="69">
        <f>IF(OR(AL314="",AK314="",AK314=0,AL314=0),"",AL314-AK314)</f>
        <v/>
      </c>
      <c r="AN314" s="42">
        <f>IF(OR(AL314="",AK314="",AK314=0,AL314=0),"",AL314/AK314-1)</f>
        <v/>
      </c>
      <c r="AO314" s="43">
        <f>IF(OR(AK314="",AD314="",AD314=0),"",AK314/AD314)</f>
        <v/>
      </c>
      <c r="AP314" s="43">
        <f>IF(OR(AL314="",AE314="",AE314=0),"",AL314/AE314)</f>
        <v/>
      </c>
      <c r="AQ314" s="44">
        <f>IF(OR(AP314="",AO314=""),"",(AP314-AO314)*100)</f>
        <v/>
      </c>
      <c r="AR314" s="68" t="n">
        <v>1</v>
      </c>
      <c r="AS314" s="68" t="n">
        <v>7</v>
      </c>
      <c r="AT314" s="69">
        <f>IF(OR(AS314="",AR314="",AR314=0,AS314=0),"",AS314-AR314)</f>
        <v/>
      </c>
      <c r="AU314" s="42">
        <f>IF(OR(AS314="",AR314="",AR314=0,AS314=0),"",AS314/AR314-1)</f>
        <v/>
      </c>
      <c r="AV314" s="43">
        <f>IF(OR(AR314="",AK314="",AK314=0),"",AR314/AK314)</f>
        <v/>
      </c>
      <c r="AW314" s="43">
        <f>IF(OR(AS314="",AL314="",AL314=0),"",AS314/AL314)</f>
        <v/>
      </c>
      <c r="AX314" s="44">
        <f>IF(OR(AW314="",AV314=""),"",(AW314-AV314)*100)</f>
        <v/>
      </c>
      <c r="AY314" s="45">
        <f>IF(OR(AR314="",P314="",P314=0),"",AR314/P314)</f>
        <v/>
      </c>
      <c r="AZ314" s="45">
        <f>IF(OR(AS314="",Q314="",Q314=0),"",AS314/Q314)</f>
        <v/>
      </c>
      <c r="BA314" s="44">
        <f>IF(OR(AZ314="",AY314=""),"",(AZ314-AY314)*100)</f>
        <v/>
      </c>
      <c r="BB314" s="45">
        <f>IF(OR(AR314="",E314="",E314=0),"",AR314/E314)</f>
        <v/>
      </c>
      <c r="BC314" s="45">
        <f>IF(OR(AS314="",F314="",F314=0),"",AS314/F314)</f>
        <v/>
      </c>
      <c r="BD314" s="44">
        <f>IF(OR(BC314="",BB314=""),"",(BC314-BB314)*100)</f>
        <v/>
      </c>
      <c r="BE314" s="40">
        <f>IF(AND(F314&lt;&gt;"",E314&lt;&gt;""),"Both years",IF(F314&lt;&gt;"","1-23Aug26 rows only","1-23Aug25 rows only"))</f>
        <v/>
      </c>
    </row>
    <row r="315">
      <c r="A315" s="40" t="inlineStr">
        <is>
          <t>Airport page</t>
        </is>
      </c>
      <c r="B315" s="40" t="inlineStr">
        <is>
          <t>Direct</t>
        </is>
      </c>
      <c r="C315" s="40" t="inlineStr">
        <is>
          <t>Desktop</t>
        </is>
      </c>
      <c r="D315" s="40" t="inlineStr">
        <is>
          <t>Belgium</t>
        </is>
      </c>
      <c r="E315" s="70" t="n"/>
      <c r="F315" s="68" t="n">
        <v>177</v>
      </c>
      <c r="G315" s="69">
        <f>IF(OR(F315="",E315="",E315=0,F315=0),"",F315-E315)</f>
        <v/>
      </c>
      <c r="H315" s="42">
        <f>IF(OR(F315="",E315="",E315=0,F315=0),"",F315/E315-1)</f>
        <v/>
      </c>
      <c r="I315" s="68" t="n">
        <v>1</v>
      </c>
      <c r="J315" s="68" t="n">
        <v>107</v>
      </c>
      <c r="K315" s="69">
        <f>IF(OR(J315="",I315="",I315=0,J315=0),"",J315-I315)</f>
        <v/>
      </c>
      <c r="L315" s="42">
        <f>IF(OR(J315="",I315="",I315=0,J315=0),"",J315/I315-1)</f>
        <v/>
      </c>
      <c r="M315" s="43">
        <f>IF(OR(I315="",E315="",E315=0),"",I315/E315)</f>
        <v/>
      </c>
      <c r="N315" s="43">
        <f>IF(OR(J315="",F315="",F315=0),"",J315/F315)</f>
        <v/>
      </c>
      <c r="O315" s="44">
        <f>IF(OR(N315="",M315=""),"",(N315-M315)*100)</f>
        <v/>
      </c>
      <c r="P315" s="70" t="n"/>
      <c r="Q315" s="68" t="n">
        <v>92</v>
      </c>
      <c r="R315" s="69">
        <f>IF(OR(Q315="",P315="",P315=0,Q315=0),"",Q315-P315)</f>
        <v/>
      </c>
      <c r="S315" s="42">
        <f>IF(OR(Q315="",P315="",P315=0,Q315=0),"",Q315/P315-1)</f>
        <v/>
      </c>
      <c r="T315" s="43">
        <f>IF(OR(P315="",E315="",E315=0),"",P315/E315)</f>
        <v/>
      </c>
      <c r="U315" s="43">
        <f>IF(OR(Q315="",F315="",F315=0),"",Q315/F315)</f>
        <v/>
      </c>
      <c r="V315" s="44">
        <f>IF(OR(U315="",T315=""),"",(U315-T315)*100)</f>
        <v/>
      </c>
      <c r="W315" s="68" t="n">
        <v>1</v>
      </c>
      <c r="X315" s="68" t="n">
        <v>22</v>
      </c>
      <c r="Y315" s="69">
        <f>IF(OR(X315="",W315="",W315=0,X315=0),"",X315-W315)</f>
        <v/>
      </c>
      <c r="Z315" s="42">
        <f>IF(OR(X315="",W315="",W315=0,X315=0),"",X315/W315-1)</f>
        <v/>
      </c>
      <c r="AA315" s="43">
        <f>IF(OR(W315="",P315="",P315=0),"",W315/P315)</f>
        <v/>
      </c>
      <c r="AB315" s="43">
        <f>IF(OR(X315="",Q315="",Q315=0),"",X315/Q315)</f>
        <v/>
      </c>
      <c r="AC315" s="44">
        <f>IF(OR(AB315="",AA315=""),"",(AB315-AA315)*100)</f>
        <v/>
      </c>
      <c r="AD315" s="70" t="n"/>
      <c r="AE315" s="68" t="n">
        <v>14</v>
      </c>
      <c r="AF315" s="69">
        <f>IF(OR(AE315="",AD315="",AD315=0,AE315=0),"",AE315-AD315)</f>
        <v/>
      </c>
      <c r="AG315" s="42">
        <f>IF(OR(AE315="",AD315="",AD315=0,AE315=0),"",AE315/AD315-1)</f>
        <v/>
      </c>
      <c r="AH315" s="43">
        <f>IF(OR(AD315="",W315="",W315=0),"",AD315/W315)</f>
        <v/>
      </c>
      <c r="AI315" s="43">
        <f>IF(OR(AE315="",X315="",X315=0),"",AE315/X315)</f>
        <v/>
      </c>
      <c r="AJ315" s="44">
        <f>IF(OR(AI315="",AH315=""),"",(AI315-AH315)*100)</f>
        <v/>
      </c>
      <c r="AK315" s="70" t="n"/>
      <c r="AL315" s="68" t="n">
        <v>2</v>
      </c>
      <c r="AM315" s="69">
        <f>IF(OR(AL315="",AK315="",AK315=0,AL315=0),"",AL315-AK315)</f>
        <v/>
      </c>
      <c r="AN315" s="42">
        <f>IF(OR(AL315="",AK315="",AK315=0,AL315=0),"",AL315/AK315-1)</f>
        <v/>
      </c>
      <c r="AO315" s="43">
        <f>IF(OR(AK315="",AD315="",AD315=0),"",AK315/AD315)</f>
        <v/>
      </c>
      <c r="AP315" s="43">
        <f>IF(OR(AL315="",AE315="",AE315=0),"",AL315/AE315)</f>
        <v/>
      </c>
      <c r="AQ315" s="44">
        <f>IF(OR(AP315="",AO315=""),"",(AP315-AO315)*100)</f>
        <v/>
      </c>
      <c r="AR315" s="68" t="n">
        <v>1</v>
      </c>
      <c r="AS315" s="68" t="n">
        <v>1</v>
      </c>
      <c r="AT315" s="69">
        <f>IF(OR(AS315="",AR315="",AR315=0,AS315=0),"",AS315-AR315)</f>
        <v/>
      </c>
      <c r="AU315" s="42">
        <f>IF(OR(AS315="",AR315="",AR315=0,AS315=0),"",AS315/AR315-1)</f>
        <v/>
      </c>
      <c r="AV315" s="43">
        <f>IF(OR(AR315="",AK315="",AK315=0),"",AR315/AK315)</f>
        <v/>
      </c>
      <c r="AW315" s="43">
        <f>IF(OR(AS315="",AL315="",AL315=0),"",AS315/AL315)</f>
        <v/>
      </c>
      <c r="AX315" s="44">
        <f>IF(OR(AW315="",AV315=""),"",(AW315-AV315)*100)</f>
        <v/>
      </c>
      <c r="AY315" s="45">
        <f>IF(OR(AR315="",P315="",P315=0),"",AR315/P315)</f>
        <v/>
      </c>
      <c r="AZ315" s="45">
        <f>IF(OR(AS315="",Q315="",Q315=0),"",AS315/Q315)</f>
        <v/>
      </c>
      <c r="BA315" s="44">
        <f>IF(OR(AZ315="",AY315=""),"",(AZ315-AY315)*100)</f>
        <v/>
      </c>
      <c r="BB315" s="45">
        <f>IF(OR(AR315="",E315="",E315=0),"",AR315/E315)</f>
        <v/>
      </c>
      <c r="BC315" s="45">
        <f>IF(OR(AS315="",F315="",F315=0),"",AS315/F315)</f>
        <v/>
      </c>
      <c r="BD315" s="44">
        <f>IF(OR(BC315="",BB315=""),"",(BC315-BB315)*100)</f>
        <v/>
      </c>
      <c r="BE315" s="40">
        <f>IF(AND(F315&lt;&gt;"",E315&lt;&gt;""),"Both years",IF(F315&lt;&gt;"","1-23Aug26 rows only","1-23Aug25 rows only"))</f>
        <v/>
      </c>
    </row>
    <row r="316">
      <c r="A316" s="56" t="inlineStr">
        <is>
          <t>Airport page</t>
        </is>
      </c>
      <c r="B316" s="56" t="inlineStr">
        <is>
          <t>Direct</t>
        </is>
      </c>
      <c r="C316" s="56" t="inlineStr">
        <is>
          <t>Desktop</t>
        </is>
      </c>
      <c r="D316" s="56" t="inlineStr">
        <is>
          <t>United States</t>
        </is>
      </c>
      <c r="E316" s="68" t="n">
        <v>423</v>
      </c>
      <c r="F316" s="68" t="n">
        <v>172</v>
      </c>
      <c r="G316" s="69">
        <f>IF(OR(F316="",E316="",E316=0,F316=0),"",F316-E316)</f>
        <v/>
      </c>
      <c r="H316" s="42">
        <f>IF(OR(F316="",E316="",E316=0,F316=0),"",F316/E316-1)</f>
        <v/>
      </c>
      <c r="I316" s="68" t="n">
        <v>39</v>
      </c>
      <c r="J316" s="68" t="n">
        <v>35</v>
      </c>
      <c r="K316" s="69">
        <f>IF(OR(J316="",I316="",I316=0,J316=0),"",J316-I316)</f>
        <v/>
      </c>
      <c r="L316" s="42">
        <f>IF(OR(J316="",I316="",I316=0,J316=0),"",J316/I316-1)</f>
        <v/>
      </c>
      <c r="M316" s="43">
        <f>IF(OR(I316="",E316="",E316=0),"",I316/E316)</f>
        <v/>
      </c>
      <c r="N316" s="43">
        <f>IF(OR(J316="",F316="",F316=0),"",J316/F316)</f>
        <v/>
      </c>
      <c r="O316" s="44">
        <f>IF(OR(N316="",M316=""),"",(N316-M316)*100)</f>
        <v/>
      </c>
      <c r="P316" s="68" t="n">
        <v>34</v>
      </c>
      <c r="Q316" s="70" t="n"/>
      <c r="R316" s="69">
        <f>IF(OR(Q316="",P316="",P316=0,Q316=0),"",Q316-P316)</f>
        <v/>
      </c>
      <c r="S316" s="42">
        <f>IF(OR(Q316="",P316="",P316=0,Q316=0),"",Q316/P316-1)</f>
        <v/>
      </c>
      <c r="T316" s="43">
        <f>IF(OR(P316="",E316="",E316=0),"",P316/E316)</f>
        <v/>
      </c>
      <c r="U316" s="43">
        <f>IF(OR(Q316="",F316="",F316=0),"",Q316/F316)</f>
        <v/>
      </c>
      <c r="V316" s="44">
        <f>IF(OR(U316="",T316=""),"",(U316-T316)*100)</f>
        <v/>
      </c>
      <c r="W316" s="68" t="n">
        <v>16</v>
      </c>
      <c r="X316" s="68" t="n">
        <v>23</v>
      </c>
      <c r="Y316" s="69">
        <f>IF(OR(X316="",W316="",W316=0,X316=0),"",X316-W316)</f>
        <v/>
      </c>
      <c r="Z316" s="42">
        <f>IF(OR(X316="",W316="",W316=0,X316=0),"",X316/W316-1)</f>
        <v/>
      </c>
      <c r="AA316" s="43">
        <f>IF(OR(W316="",P316="",P316=0),"",W316/P316)</f>
        <v/>
      </c>
      <c r="AB316" s="43">
        <f>IF(OR(X316="",Q316="",Q316=0),"",X316/Q316)</f>
        <v/>
      </c>
      <c r="AC316" s="44">
        <f>IF(OR(AB316="",AA316=""),"",(AB316-AA316)*100)</f>
        <v/>
      </c>
      <c r="AD316" s="68" t="n">
        <v>13</v>
      </c>
      <c r="AE316" s="68" t="n">
        <v>22</v>
      </c>
      <c r="AF316" s="69">
        <f>IF(OR(AE316="",AD316="",AD316=0,AE316=0),"",AE316-AD316)</f>
        <v/>
      </c>
      <c r="AG316" s="42">
        <f>IF(OR(AE316="",AD316="",AD316=0,AE316=0),"",AE316/AD316-1)</f>
        <v/>
      </c>
      <c r="AH316" s="43">
        <f>IF(OR(AD316="",W316="",W316=0),"",AD316/W316)</f>
        <v/>
      </c>
      <c r="AI316" s="43">
        <f>IF(OR(AE316="",X316="",X316=0),"",AE316/X316)</f>
        <v/>
      </c>
      <c r="AJ316" s="44">
        <f>IF(OR(AI316="",AH316=""),"",(AI316-AH316)*100)</f>
        <v/>
      </c>
      <c r="AK316" s="68" t="n">
        <v>11</v>
      </c>
      <c r="AL316" s="68" t="n">
        <v>12</v>
      </c>
      <c r="AM316" s="69">
        <f>IF(OR(AL316="",AK316="",AK316=0,AL316=0),"",AL316-AK316)</f>
        <v/>
      </c>
      <c r="AN316" s="42">
        <f>IF(OR(AL316="",AK316="",AK316=0,AL316=0),"",AL316/AK316-1)</f>
        <v/>
      </c>
      <c r="AO316" s="43">
        <f>IF(OR(AK316="",AD316="",AD316=0),"",AK316/AD316)</f>
        <v/>
      </c>
      <c r="AP316" s="43">
        <f>IF(OR(AL316="",AE316="",AE316=0),"",AL316/AE316)</f>
        <v/>
      </c>
      <c r="AQ316" s="44">
        <f>IF(OR(AP316="",AO316=""),"",(AP316-AO316)*100)</f>
        <v/>
      </c>
      <c r="AR316" s="68" t="n">
        <v>6</v>
      </c>
      <c r="AS316" s="68" t="n">
        <v>8</v>
      </c>
      <c r="AT316" s="69">
        <f>IF(OR(AS316="",AR316="",AR316=0,AS316=0),"",AS316-AR316)</f>
        <v/>
      </c>
      <c r="AU316" s="42">
        <f>IF(OR(AS316="",AR316="",AR316=0,AS316=0),"",AS316/AR316-1)</f>
        <v/>
      </c>
      <c r="AV316" s="43">
        <f>IF(OR(AR316="",AK316="",AK316=0),"",AR316/AK316)</f>
        <v/>
      </c>
      <c r="AW316" s="43">
        <f>IF(OR(AS316="",AL316="",AL316=0),"",AS316/AL316)</f>
        <v/>
      </c>
      <c r="AX316" s="44">
        <f>IF(OR(AW316="",AV316=""),"",(AW316-AV316)*100)</f>
        <v/>
      </c>
      <c r="AY316" s="45">
        <f>IF(OR(AR316="",P316="",P316=0),"",AR316/P316)</f>
        <v/>
      </c>
      <c r="AZ316" s="45">
        <f>IF(OR(AS316="",Q316="",Q316=0),"",AS316/Q316)</f>
        <v/>
      </c>
      <c r="BA316" s="44">
        <f>IF(OR(AZ316="",AY316=""),"",(AZ316-AY316)*100)</f>
        <v/>
      </c>
      <c r="BB316" s="45">
        <f>IF(OR(AR316="",E316="",E316=0),"",AR316/E316)</f>
        <v/>
      </c>
      <c r="BC316" s="45">
        <f>IF(OR(AS316="",F316="",F316=0),"",AS316/F316)</f>
        <v/>
      </c>
      <c r="BD316" s="44">
        <f>IF(OR(BC316="",BB316=""),"",(BC316-BB316)*100)</f>
        <v/>
      </c>
      <c r="BE316" s="40">
        <f>IF(AND(F316&lt;&gt;"",E316&lt;&gt;""),"Both years",IF(F316&lt;&gt;"","1-23Aug26 rows only","1-23Aug25 rows only"))</f>
        <v/>
      </c>
    </row>
    <row r="317">
      <c r="A317" s="40" t="inlineStr">
        <is>
          <t>Airport page</t>
        </is>
      </c>
      <c r="B317" s="40" t="inlineStr">
        <is>
          <t>Direct</t>
        </is>
      </c>
      <c r="C317" s="40" t="inlineStr">
        <is>
          <t>Desktop</t>
        </is>
      </c>
      <c r="D317" s="40" t="inlineStr">
        <is>
          <t>Sweden</t>
        </is>
      </c>
      <c r="E317" s="68" t="n">
        <v>23</v>
      </c>
      <c r="F317" s="68" t="n">
        <v>127</v>
      </c>
      <c r="G317" s="69">
        <f>IF(OR(F317="",E317="",E317=0,F317=0),"",F317-E317)</f>
        <v/>
      </c>
      <c r="H317" s="42">
        <f>IF(OR(F317="",E317="",E317=0,F317=0),"",F317/E317-1)</f>
        <v/>
      </c>
      <c r="I317" s="68" t="n">
        <v>10</v>
      </c>
      <c r="J317" s="68" t="n">
        <v>47</v>
      </c>
      <c r="K317" s="69">
        <f>IF(OR(J317="",I317="",I317=0,J317=0),"",J317-I317)</f>
        <v/>
      </c>
      <c r="L317" s="42">
        <f>IF(OR(J317="",I317="",I317=0,J317=0),"",J317/I317-1)</f>
        <v/>
      </c>
      <c r="M317" s="43">
        <f>IF(OR(I317="",E317="",E317=0),"",I317/E317)</f>
        <v/>
      </c>
      <c r="N317" s="43">
        <f>IF(OR(J317="",F317="",F317=0),"",J317/F317)</f>
        <v/>
      </c>
      <c r="O317" s="44">
        <f>IF(OR(N317="",M317=""),"",(N317-M317)*100)</f>
        <v/>
      </c>
      <c r="P317" s="68" t="n">
        <v>10</v>
      </c>
      <c r="Q317" s="68" t="n">
        <v>67</v>
      </c>
      <c r="R317" s="69">
        <f>IF(OR(Q317="",P317="",P317=0,Q317=0),"",Q317-P317)</f>
        <v/>
      </c>
      <c r="S317" s="42">
        <f>IF(OR(Q317="",P317="",P317=0,Q317=0),"",Q317/P317-1)</f>
        <v/>
      </c>
      <c r="T317" s="43">
        <f>IF(OR(P317="",E317="",E317=0),"",P317/E317)</f>
        <v/>
      </c>
      <c r="U317" s="43">
        <f>IF(OR(Q317="",F317="",F317=0),"",Q317/F317)</f>
        <v/>
      </c>
      <c r="V317" s="44">
        <f>IF(OR(U317="",T317=""),"",(U317-T317)*100)</f>
        <v/>
      </c>
      <c r="W317" s="68" t="n">
        <v>5</v>
      </c>
      <c r="X317" s="68" t="n">
        <v>21</v>
      </c>
      <c r="Y317" s="69">
        <f>IF(OR(X317="",W317="",W317=0,X317=0),"",X317-W317)</f>
        <v/>
      </c>
      <c r="Z317" s="42">
        <f>IF(OR(X317="",W317="",W317=0,X317=0),"",X317/W317-1)</f>
        <v/>
      </c>
      <c r="AA317" s="43">
        <f>IF(OR(W317="",P317="",P317=0),"",W317/P317)</f>
        <v/>
      </c>
      <c r="AB317" s="43">
        <f>IF(OR(X317="",Q317="",Q317=0),"",X317/Q317)</f>
        <v/>
      </c>
      <c r="AC317" s="44">
        <f>IF(OR(AB317="",AA317=""),"",(AB317-AA317)*100)</f>
        <v/>
      </c>
      <c r="AD317" s="68" t="n">
        <v>5</v>
      </c>
      <c r="AE317" s="68" t="n">
        <v>12</v>
      </c>
      <c r="AF317" s="69">
        <f>IF(OR(AE317="",AD317="",AD317=0,AE317=0),"",AE317-AD317)</f>
        <v/>
      </c>
      <c r="AG317" s="42">
        <f>IF(OR(AE317="",AD317="",AD317=0,AE317=0),"",AE317/AD317-1)</f>
        <v/>
      </c>
      <c r="AH317" s="43">
        <f>IF(OR(AD317="",W317="",W317=0),"",AD317/W317)</f>
        <v/>
      </c>
      <c r="AI317" s="43">
        <f>IF(OR(AE317="",X317="",X317=0),"",AE317/X317)</f>
        <v/>
      </c>
      <c r="AJ317" s="44">
        <f>IF(OR(AI317="",AH317=""),"",(AI317-AH317)*100)</f>
        <v/>
      </c>
      <c r="AK317" s="68" t="n">
        <v>3</v>
      </c>
      <c r="AL317" s="68" t="n">
        <v>4</v>
      </c>
      <c r="AM317" s="69">
        <f>IF(OR(AL317="",AK317="",AK317=0,AL317=0),"",AL317-AK317)</f>
        <v/>
      </c>
      <c r="AN317" s="42">
        <f>IF(OR(AL317="",AK317="",AK317=0,AL317=0),"",AL317/AK317-1)</f>
        <v/>
      </c>
      <c r="AO317" s="43">
        <f>IF(OR(AK317="",AD317="",AD317=0),"",AK317/AD317)</f>
        <v/>
      </c>
      <c r="AP317" s="43">
        <f>IF(OR(AL317="",AE317="",AE317=0),"",AL317/AE317)</f>
        <v/>
      </c>
      <c r="AQ317" s="44">
        <f>IF(OR(AP317="",AO317=""),"",(AP317-AO317)*100)</f>
        <v/>
      </c>
      <c r="AR317" s="68" t="n">
        <v>2</v>
      </c>
      <c r="AS317" s="68" t="n">
        <v>6</v>
      </c>
      <c r="AT317" s="69">
        <f>IF(OR(AS317="",AR317="",AR317=0,AS317=0),"",AS317-AR317)</f>
        <v/>
      </c>
      <c r="AU317" s="42">
        <f>IF(OR(AS317="",AR317="",AR317=0,AS317=0),"",AS317/AR317-1)</f>
        <v/>
      </c>
      <c r="AV317" s="43">
        <f>IF(OR(AR317="",AK317="",AK317=0),"",AR317/AK317)</f>
        <v/>
      </c>
      <c r="AW317" s="43">
        <f>IF(OR(AS317="",AL317="",AL317=0),"",AS317/AL317)</f>
        <v/>
      </c>
      <c r="AX317" s="44">
        <f>IF(OR(AW317="",AV317=""),"",(AW317-AV317)*100)</f>
        <v/>
      </c>
      <c r="AY317" s="45">
        <f>IF(OR(AR317="",P317="",P317=0),"",AR317/P317)</f>
        <v/>
      </c>
      <c r="AZ317" s="45">
        <f>IF(OR(AS317="",Q317="",Q317=0),"",AS317/Q317)</f>
        <v/>
      </c>
      <c r="BA317" s="44">
        <f>IF(OR(AZ317="",AY317=""),"",(AZ317-AY317)*100)</f>
        <v/>
      </c>
      <c r="BB317" s="45">
        <f>IF(OR(AR317="",E317="",E317=0),"",AR317/E317)</f>
        <v/>
      </c>
      <c r="BC317" s="45">
        <f>IF(OR(AS317="",F317="",F317=0),"",AS317/F317)</f>
        <v/>
      </c>
      <c r="BD317" s="44">
        <f>IF(OR(BC317="",BB317=""),"",(BC317-BB317)*100)</f>
        <v/>
      </c>
      <c r="BE317" s="40">
        <f>IF(AND(F317&lt;&gt;"",E317&lt;&gt;""),"Both years",IF(F317&lt;&gt;"","1-23Aug26 rows only","1-23Aug25 rows only"))</f>
        <v/>
      </c>
    </row>
    <row r="318">
      <c r="A318" s="56" t="inlineStr">
        <is>
          <t>Airport page</t>
        </is>
      </c>
      <c r="B318" s="56" t="inlineStr">
        <is>
          <t>Direct</t>
        </is>
      </c>
      <c r="C318" s="56" t="inlineStr">
        <is>
          <t>Desktop</t>
        </is>
      </c>
      <c r="D318" s="56" t="inlineStr">
        <is>
          <t>Austria</t>
        </is>
      </c>
      <c r="E318" s="70" t="n"/>
      <c r="F318" s="68" t="n">
        <v>102</v>
      </c>
      <c r="G318" s="69">
        <f>IF(OR(F318="",E318="",E318=0,F318=0),"",F318-E318)</f>
        <v/>
      </c>
      <c r="H318" s="42">
        <f>IF(OR(F318="",E318="",E318=0,F318=0),"",F318/E318-1)</f>
        <v/>
      </c>
      <c r="I318" s="70" t="n"/>
      <c r="J318" s="70" t="n"/>
      <c r="K318" s="69">
        <f>IF(OR(J318="",I318="",I318=0,J318=0),"",J318-I318)</f>
        <v/>
      </c>
      <c r="L318" s="42">
        <f>IF(OR(J318="",I318="",I318=0,J318=0),"",J318/I318-1)</f>
        <v/>
      </c>
      <c r="M318" s="43">
        <f>IF(OR(I318="",E318="",E318=0),"",I318/E318)</f>
        <v/>
      </c>
      <c r="N318" s="43">
        <f>IF(OR(J318="",F318="",F318=0),"",J318/F318)</f>
        <v/>
      </c>
      <c r="O318" s="44">
        <f>IF(OR(N318="",M318=""),"",(N318-M318)*100)</f>
        <v/>
      </c>
      <c r="P318" s="70" t="n"/>
      <c r="Q318" s="68" t="n">
        <v>63</v>
      </c>
      <c r="R318" s="69">
        <f>IF(OR(Q318="",P318="",P318=0,Q318=0),"",Q318-P318)</f>
        <v/>
      </c>
      <c r="S318" s="42">
        <f>IF(OR(Q318="",P318="",P318=0,Q318=0),"",Q318/P318-1)</f>
        <v/>
      </c>
      <c r="T318" s="43">
        <f>IF(OR(P318="",E318="",E318=0),"",P318/E318)</f>
        <v/>
      </c>
      <c r="U318" s="43">
        <f>IF(OR(Q318="",F318="",F318=0),"",Q318/F318)</f>
        <v/>
      </c>
      <c r="V318" s="44">
        <f>IF(OR(U318="",T318=""),"",(U318-T318)*100)</f>
        <v/>
      </c>
      <c r="W318" s="70" t="n"/>
      <c r="X318" s="70" t="n"/>
      <c r="Y318" s="69">
        <f>IF(OR(X318="",W318="",W318=0,X318=0),"",X318-W318)</f>
        <v/>
      </c>
      <c r="Z318" s="42">
        <f>IF(OR(X318="",W318="",W318=0,X318=0),"",X318/W318-1)</f>
        <v/>
      </c>
      <c r="AA318" s="43">
        <f>IF(OR(W318="",P318="",P318=0),"",W318/P318)</f>
        <v/>
      </c>
      <c r="AB318" s="43">
        <f>IF(OR(X318="",Q318="",Q318=0),"",X318/Q318)</f>
        <v/>
      </c>
      <c r="AC318" s="44">
        <f>IF(OR(AB318="",AA318=""),"",(AB318-AA318)*100)</f>
        <v/>
      </c>
      <c r="AD318" s="70" t="n"/>
      <c r="AE318" s="70" t="n"/>
      <c r="AF318" s="69">
        <f>IF(OR(AE318="",AD318="",AD318=0,AE318=0),"",AE318-AD318)</f>
        <v/>
      </c>
      <c r="AG318" s="42">
        <f>IF(OR(AE318="",AD318="",AD318=0,AE318=0),"",AE318/AD318-1)</f>
        <v/>
      </c>
      <c r="AH318" s="43">
        <f>IF(OR(AD318="",W318="",W318=0),"",AD318/W318)</f>
        <v/>
      </c>
      <c r="AI318" s="43">
        <f>IF(OR(AE318="",X318="",X318=0),"",AE318/X318)</f>
        <v/>
      </c>
      <c r="AJ318" s="44">
        <f>IF(OR(AI318="",AH318=""),"",(AI318-AH318)*100)</f>
        <v/>
      </c>
      <c r="AK318" s="70" t="n"/>
      <c r="AL318" s="70" t="n"/>
      <c r="AM318" s="69">
        <f>IF(OR(AL318="",AK318="",AK318=0,AL318=0),"",AL318-AK318)</f>
        <v/>
      </c>
      <c r="AN318" s="42">
        <f>IF(OR(AL318="",AK318="",AK318=0,AL318=0),"",AL318/AK318-1)</f>
        <v/>
      </c>
      <c r="AO318" s="43">
        <f>IF(OR(AK318="",AD318="",AD318=0),"",AK318/AD318)</f>
        <v/>
      </c>
      <c r="AP318" s="43">
        <f>IF(OR(AL318="",AE318="",AE318=0),"",AL318/AE318)</f>
        <v/>
      </c>
      <c r="AQ318" s="44">
        <f>IF(OR(AP318="",AO318=""),"",(AP318-AO318)*100)</f>
        <v/>
      </c>
      <c r="AR318" s="70" t="n"/>
      <c r="AS318" s="70" t="n"/>
      <c r="AT318" s="69">
        <f>IF(OR(AS318="",AR318="",AR318=0,AS318=0),"",AS318-AR318)</f>
        <v/>
      </c>
      <c r="AU318" s="42">
        <f>IF(OR(AS318="",AR318="",AR318=0,AS318=0),"",AS318/AR318-1)</f>
        <v/>
      </c>
      <c r="AV318" s="43">
        <f>IF(OR(AR318="",AK318="",AK318=0),"",AR318/AK318)</f>
        <v/>
      </c>
      <c r="AW318" s="43">
        <f>IF(OR(AS318="",AL318="",AL318=0),"",AS318/AL318)</f>
        <v/>
      </c>
      <c r="AX318" s="44">
        <f>IF(OR(AW318="",AV318=""),"",(AW318-AV318)*100)</f>
        <v/>
      </c>
      <c r="AY318" s="45">
        <f>IF(OR(AR318="",P318="",P318=0),"",AR318/P318)</f>
        <v/>
      </c>
      <c r="AZ318" s="45">
        <f>IF(OR(AS318="",Q318="",Q318=0),"",AS318/Q318)</f>
        <v/>
      </c>
      <c r="BA318" s="44">
        <f>IF(OR(AZ318="",AY318=""),"",(AZ318-AY318)*100)</f>
        <v/>
      </c>
      <c r="BB318" s="45">
        <f>IF(OR(AR318="",E318="",E318=0),"",AR318/E318)</f>
        <v/>
      </c>
      <c r="BC318" s="45">
        <f>IF(OR(AS318="",F318="",F318=0),"",AS318/F318)</f>
        <v/>
      </c>
      <c r="BD318" s="44">
        <f>IF(OR(BC318="",BB318=""),"",(BC318-BB318)*100)</f>
        <v/>
      </c>
      <c r="BE318" s="40">
        <f>IF(AND(F318&lt;&gt;"",E318&lt;&gt;""),"Both years",IF(F318&lt;&gt;"","1-23Aug26 rows only","1-23Aug25 rows only"))</f>
        <v/>
      </c>
    </row>
    <row r="319">
      <c r="A319" s="40" t="inlineStr">
        <is>
          <t>Airport page</t>
        </is>
      </c>
      <c r="B319" s="40" t="inlineStr">
        <is>
          <t>Direct</t>
        </is>
      </c>
      <c r="C319" s="40" t="inlineStr">
        <is>
          <t>Desktop</t>
        </is>
      </c>
      <c r="D319" s="40" t="inlineStr">
        <is>
          <t>Norway</t>
        </is>
      </c>
      <c r="E319" s="70" t="n"/>
      <c r="F319" s="68" t="n">
        <v>99</v>
      </c>
      <c r="G319" s="69">
        <f>IF(OR(F319="",E319="",E319=0,F319=0),"",F319-E319)</f>
        <v/>
      </c>
      <c r="H319" s="42">
        <f>IF(OR(F319="",E319="",E319=0,F319=0),"",F319/E319-1)</f>
        <v/>
      </c>
      <c r="I319" s="68" t="n">
        <v>2</v>
      </c>
      <c r="J319" s="68" t="n">
        <v>41</v>
      </c>
      <c r="K319" s="69">
        <f>IF(OR(J319="",I319="",I319=0,J319=0),"",J319-I319)</f>
        <v/>
      </c>
      <c r="L319" s="42">
        <f>IF(OR(J319="",I319="",I319=0,J319=0),"",J319/I319-1)</f>
        <v/>
      </c>
      <c r="M319" s="43">
        <f>IF(OR(I319="",E319="",E319=0),"",I319/E319)</f>
        <v/>
      </c>
      <c r="N319" s="43">
        <f>IF(OR(J319="",F319="",F319=0),"",J319/F319)</f>
        <v/>
      </c>
      <c r="O319" s="44">
        <f>IF(OR(N319="",M319=""),"",(N319-M319)*100)</f>
        <v/>
      </c>
      <c r="P319" s="70" t="n"/>
      <c r="Q319" s="68" t="n">
        <v>54</v>
      </c>
      <c r="R319" s="69">
        <f>IF(OR(Q319="",P319="",P319=0,Q319=0),"",Q319-P319)</f>
        <v/>
      </c>
      <c r="S319" s="42">
        <f>IF(OR(Q319="",P319="",P319=0,Q319=0),"",Q319/P319-1)</f>
        <v/>
      </c>
      <c r="T319" s="43">
        <f>IF(OR(P319="",E319="",E319=0),"",P319/E319)</f>
        <v/>
      </c>
      <c r="U319" s="43">
        <f>IF(OR(Q319="",F319="",F319=0),"",Q319/F319)</f>
        <v/>
      </c>
      <c r="V319" s="44">
        <f>IF(OR(U319="",T319=""),"",(U319-T319)*100)</f>
        <v/>
      </c>
      <c r="W319" s="68" t="n">
        <v>2</v>
      </c>
      <c r="X319" s="68" t="n">
        <v>15</v>
      </c>
      <c r="Y319" s="69">
        <f>IF(OR(X319="",W319="",W319=0,X319=0),"",X319-W319)</f>
        <v/>
      </c>
      <c r="Z319" s="42">
        <f>IF(OR(X319="",W319="",W319=0,X319=0),"",X319/W319-1)</f>
        <v/>
      </c>
      <c r="AA319" s="43">
        <f>IF(OR(W319="",P319="",P319=0),"",W319/P319)</f>
        <v/>
      </c>
      <c r="AB319" s="43">
        <f>IF(OR(X319="",Q319="",Q319=0),"",X319/Q319)</f>
        <v/>
      </c>
      <c r="AC319" s="44">
        <f>IF(OR(AB319="",AA319=""),"",(AB319-AA319)*100)</f>
        <v/>
      </c>
      <c r="AD319" s="68" t="n">
        <v>1</v>
      </c>
      <c r="AE319" s="68" t="n">
        <v>11</v>
      </c>
      <c r="AF319" s="69">
        <f>IF(OR(AE319="",AD319="",AD319=0,AE319=0),"",AE319-AD319)</f>
        <v/>
      </c>
      <c r="AG319" s="42">
        <f>IF(OR(AE319="",AD319="",AD319=0,AE319=0),"",AE319/AD319-1)</f>
        <v/>
      </c>
      <c r="AH319" s="43">
        <f>IF(OR(AD319="",W319="",W319=0),"",AD319/W319)</f>
        <v/>
      </c>
      <c r="AI319" s="43">
        <f>IF(OR(AE319="",X319="",X319=0),"",AE319/X319)</f>
        <v/>
      </c>
      <c r="AJ319" s="44">
        <f>IF(OR(AI319="",AH319=""),"",(AI319-AH319)*100)</f>
        <v/>
      </c>
      <c r="AK319" s="68" t="n">
        <v>1</v>
      </c>
      <c r="AL319" s="68" t="n">
        <v>4</v>
      </c>
      <c r="AM319" s="69">
        <f>IF(OR(AL319="",AK319="",AK319=0,AL319=0),"",AL319-AK319)</f>
        <v/>
      </c>
      <c r="AN319" s="42">
        <f>IF(OR(AL319="",AK319="",AK319=0,AL319=0),"",AL319/AK319-1)</f>
        <v/>
      </c>
      <c r="AO319" s="43">
        <f>IF(OR(AK319="",AD319="",AD319=0),"",AK319/AD319)</f>
        <v/>
      </c>
      <c r="AP319" s="43">
        <f>IF(OR(AL319="",AE319="",AE319=0),"",AL319/AE319)</f>
        <v/>
      </c>
      <c r="AQ319" s="44">
        <f>IF(OR(AP319="",AO319=""),"",(AP319-AO319)*100)</f>
        <v/>
      </c>
      <c r="AR319" s="68" t="n">
        <v>1</v>
      </c>
      <c r="AS319" s="68" t="n">
        <v>4</v>
      </c>
      <c r="AT319" s="69">
        <f>IF(OR(AS319="",AR319="",AR319=0,AS319=0),"",AS319-AR319)</f>
        <v/>
      </c>
      <c r="AU319" s="42">
        <f>IF(OR(AS319="",AR319="",AR319=0,AS319=0),"",AS319/AR319-1)</f>
        <v/>
      </c>
      <c r="AV319" s="43">
        <f>IF(OR(AR319="",AK319="",AK319=0),"",AR319/AK319)</f>
        <v/>
      </c>
      <c r="AW319" s="43">
        <f>IF(OR(AS319="",AL319="",AL319=0),"",AS319/AL319)</f>
        <v/>
      </c>
      <c r="AX319" s="44">
        <f>IF(OR(AW319="",AV319=""),"",(AW319-AV319)*100)</f>
        <v/>
      </c>
      <c r="AY319" s="45">
        <f>IF(OR(AR319="",P319="",P319=0),"",AR319/P319)</f>
        <v/>
      </c>
      <c r="AZ319" s="45">
        <f>IF(OR(AS319="",Q319="",Q319=0),"",AS319/Q319)</f>
        <v/>
      </c>
      <c r="BA319" s="44">
        <f>IF(OR(AZ319="",AY319=""),"",(AZ319-AY319)*100)</f>
        <v/>
      </c>
      <c r="BB319" s="45">
        <f>IF(OR(AR319="",E319="",E319=0),"",AR319/E319)</f>
        <v/>
      </c>
      <c r="BC319" s="45">
        <f>IF(OR(AS319="",F319="",F319=0),"",AS319/F319)</f>
        <v/>
      </c>
      <c r="BD319" s="44">
        <f>IF(OR(BC319="",BB319=""),"",(BC319-BB319)*100)</f>
        <v/>
      </c>
      <c r="BE319" s="40">
        <f>IF(AND(F319&lt;&gt;"",E319&lt;&gt;""),"Both years",IF(F319&lt;&gt;"","1-23Aug26 rows only","1-23Aug25 rows only"))</f>
        <v/>
      </c>
    </row>
    <row r="320">
      <c r="A320" s="56" t="inlineStr">
        <is>
          <t>Airport page</t>
        </is>
      </c>
      <c r="B320" s="56" t="inlineStr">
        <is>
          <t>Direct</t>
        </is>
      </c>
      <c r="C320" s="56" t="inlineStr">
        <is>
          <t>Desktop</t>
        </is>
      </c>
      <c r="D320" s="56" t="inlineStr">
        <is>
          <t>Portugal</t>
        </is>
      </c>
      <c r="E320" s="68" t="n">
        <v>25</v>
      </c>
      <c r="F320" s="68" t="n">
        <v>96</v>
      </c>
      <c r="G320" s="69">
        <f>IF(OR(F320="",E320="",E320=0,F320=0),"",F320-E320)</f>
        <v/>
      </c>
      <c r="H320" s="42">
        <f>IF(OR(F320="",E320="",E320=0,F320=0),"",F320/E320-1)</f>
        <v/>
      </c>
      <c r="I320" s="70" t="n"/>
      <c r="J320" s="70" t="n"/>
      <c r="K320" s="69">
        <f>IF(OR(J320="",I320="",I320=0,J320=0),"",J320-I320)</f>
        <v/>
      </c>
      <c r="L320" s="42">
        <f>IF(OR(J320="",I320="",I320=0,J320=0),"",J320/I320-1)</f>
        <v/>
      </c>
      <c r="M320" s="43">
        <f>IF(OR(I320="",E320="",E320=0),"",I320/E320)</f>
        <v/>
      </c>
      <c r="N320" s="43">
        <f>IF(OR(J320="",F320="",F320=0),"",J320/F320)</f>
        <v/>
      </c>
      <c r="O320" s="44">
        <f>IF(OR(N320="",M320=""),"",(N320-M320)*100)</f>
        <v/>
      </c>
      <c r="P320" s="68" t="n">
        <v>11</v>
      </c>
      <c r="Q320" s="70" t="n"/>
      <c r="R320" s="69">
        <f>IF(OR(Q320="",P320="",P320=0,Q320=0),"",Q320-P320)</f>
        <v/>
      </c>
      <c r="S320" s="42">
        <f>IF(OR(Q320="",P320="",P320=0,Q320=0),"",Q320/P320-1)</f>
        <v/>
      </c>
      <c r="T320" s="43">
        <f>IF(OR(P320="",E320="",E320=0),"",P320/E320)</f>
        <v/>
      </c>
      <c r="U320" s="43">
        <f>IF(OR(Q320="",F320="",F320=0),"",Q320/F320)</f>
        <v/>
      </c>
      <c r="V320" s="44">
        <f>IF(OR(U320="",T320=""),"",(U320-T320)*100)</f>
        <v/>
      </c>
      <c r="W320" s="70" t="n"/>
      <c r="X320" s="70" t="n"/>
      <c r="Y320" s="69">
        <f>IF(OR(X320="",W320="",W320=0,X320=0),"",X320-W320)</f>
        <v/>
      </c>
      <c r="Z320" s="42">
        <f>IF(OR(X320="",W320="",W320=0,X320=0),"",X320/W320-1)</f>
        <v/>
      </c>
      <c r="AA320" s="43">
        <f>IF(OR(W320="",P320="",P320=0),"",W320/P320)</f>
        <v/>
      </c>
      <c r="AB320" s="43">
        <f>IF(OR(X320="",Q320="",Q320=0),"",X320/Q320)</f>
        <v/>
      </c>
      <c r="AC320" s="44">
        <f>IF(OR(AB320="",AA320=""),"",(AB320-AA320)*100)</f>
        <v/>
      </c>
      <c r="AD320" s="70" t="n"/>
      <c r="AE320" s="70" t="n"/>
      <c r="AF320" s="69">
        <f>IF(OR(AE320="",AD320="",AD320=0,AE320=0),"",AE320-AD320)</f>
        <v/>
      </c>
      <c r="AG320" s="42">
        <f>IF(OR(AE320="",AD320="",AD320=0,AE320=0),"",AE320/AD320-1)</f>
        <v/>
      </c>
      <c r="AH320" s="43">
        <f>IF(OR(AD320="",W320="",W320=0),"",AD320/W320)</f>
        <v/>
      </c>
      <c r="AI320" s="43">
        <f>IF(OR(AE320="",X320="",X320=0),"",AE320/X320)</f>
        <v/>
      </c>
      <c r="AJ320" s="44">
        <f>IF(OR(AI320="",AH320=""),"",(AI320-AH320)*100)</f>
        <v/>
      </c>
      <c r="AK320" s="70" t="n"/>
      <c r="AL320" s="70" t="n"/>
      <c r="AM320" s="69">
        <f>IF(OR(AL320="",AK320="",AK320=0,AL320=0),"",AL320-AK320)</f>
        <v/>
      </c>
      <c r="AN320" s="42">
        <f>IF(OR(AL320="",AK320="",AK320=0,AL320=0),"",AL320/AK320-1)</f>
        <v/>
      </c>
      <c r="AO320" s="43">
        <f>IF(OR(AK320="",AD320="",AD320=0),"",AK320/AD320)</f>
        <v/>
      </c>
      <c r="AP320" s="43">
        <f>IF(OR(AL320="",AE320="",AE320=0),"",AL320/AE320)</f>
        <v/>
      </c>
      <c r="AQ320" s="44">
        <f>IF(OR(AP320="",AO320=""),"",(AP320-AO320)*100)</f>
        <v/>
      </c>
      <c r="AR320" s="70" t="n"/>
      <c r="AS320" s="70" t="n"/>
      <c r="AT320" s="69">
        <f>IF(OR(AS320="",AR320="",AR320=0,AS320=0),"",AS320-AR320)</f>
        <v/>
      </c>
      <c r="AU320" s="42">
        <f>IF(OR(AS320="",AR320="",AR320=0,AS320=0),"",AS320/AR320-1)</f>
        <v/>
      </c>
      <c r="AV320" s="43">
        <f>IF(OR(AR320="",AK320="",AK320=0),"",AR320/AK320)</f>
        <v/>
      </c>
      <c r="AW320" s="43">
        <f>IF(OR(AS320="",AL320="",AL320=0),"",AS320/AL320)</f>
        <v/>
      </c>
      <c r="AX320" s="44">
        <f>IF(OR(AW320="",AV320=""),"",(AW320-AV320)*100)</f>
        <v/>
      </c>
      <c r="AY320" s="45">
        <f>IF(OR(AR320="",P320="",P320=0),"",AR320/P320)</f>
        <v/>
      </c>
      <c r="AZ320" s="45">
        <f>IF(OR(AS320="",Q320="",Q320=0),"",AS320/Q320)</f>
        <v/>
      </c>
      <c r="BA320" s="44">
        <f>IF(OR(AZ320="",AY320=""),"",(AZ320-AY320)*100)</f>
        <v/>
      </c>
      <c r="BB320" s="45">
        <f>IF(OR(AR320="",E320="",E320=0),"",AR320/E320)</f>
        <v/>
      </c>
      <c r="BC320" s="45">
        <f>IF(OR(AS320="",F320="",F320=0),"",AS320/F320)</f>
        <v/>
      </c>
      <c r="BD320" s="44">
        <f>IF(OR(BC320="",BB320=""),"",(BC320-BB320)*100)</f>
        <v/>
      </c>
      <c r="BE320" s="40">
        <f>IF(AND(F320&lt;&gt;"",E320&lt;&gt;""),"Both years",IF(F320&lt;&gt;"","1-23Aug26 rows only","1-23Aug25 rows only"))</f>
        <v/>
      </c>
    </row>
    <row r="321">
      <c r="A321" s="40" t="inlineStr">
        <is>
          <t>Airport page</t>
        </is>
      </c>
      <c r="B321" s="40" t="inlineStr">
        <is>
          <t>Direct</t>
        </is>
      </c>
      <c r="C321" s="40" t="inlineStr">
        <is>
          <t>Desktop</t>
        </is>
      </c>
      <c r="D321" s="40" t="inlineStr">
        <is>
          <t>Switzerland</t>
        </is>
      </c>
      <c r="E321" s="68" t="n">
        <v>16</v>
      </c>
      <c r="F321" s="70" t="n"/>
      <c r="G321" s="69">
        <f>IF(OR(F321="",E321="",E321=0,F321=0),"",F321-E321)</f>
        <v/>
      </c>
      <c r="H321" s="42">
        <f>IF(OR(F321="",E321="",E321=0,F321=0),"",F321/E321-1)</f>
        <v/>
      </c>
      <c r="I321" s="70" t="n"/>
      <c r="J321" s="70" t="n"/>
      <c r="K321" s="69">
        <f>IF(OR(J321="",I321="",I321=0,J321=0),"",J321-I321)</f>
        <v/>
      </c>
      <c r="L321" s="42">
        <f>IF(OR(J321="",I321="",I321=0,J321=0),"",J321/I321-1)</f>
        <v/>
      </c>
      <c r="M321" s="43">
        <f>IF(OR(I321="",E321="",E321=0),"",I321/E321)</f>
        <v/>
      </c>
      <c r="N321" s="43">
        <f>IF(OR(J321="",F321="",F321=0),"",J321/F321)</f>
        <v/>
      </c>
      <c r="O321" s="44">
        <f>IF(OR(N321="",M321=""),"",(N321-M321)*100)</f>
        <v/>
      </c>
      <c r="P321" s="68" t="n">
        <v>9</v>
      </c>
      <c r="Q321" s="70" t="n"/>
      <c r="R321" s="69">
        <f>IF(OR(Q321="",P321="",P321=0,Q321=0),"",Q321-P321)</f>
        <v/>
      </c>
      <c r="S321" s="42">
        <f>IF(OR(Q321="",P321="",P321=0,Q321=0),"",Q321/P321-1)</f>
        <v/>
      </c>
      <c r="T321" s="43">
        <f>IF(OR(P321="",E321="",E321=0),"",P321/E321)</f>
        <v/>
      </c>
      <c r="U321" s="43">
        <f>IF(OR(Q321="",F321="",F321=0),"",Q321/F321)</f>
        <v/>
      </c>
      <c r="V321" s="44">
        <f>IF(OR(U321="",T321=""),"",(U321-T321)*100)</f>
        <v/>
      </c>
      <c r="W321" s="70" t="n"/>
      <c r="X321" s="70" t="n"/>
      <c r="Y321" s="69">
        <f>IF(OR(X321="",W321="",W321=0,X321=0),"",X321-W321)</f>
        <v/>
      </c>
      <c r="Z321" s="42">
        <f>IF(OR(X321="",W321="",W321=0,X321=0),"",X321/W321-1)</f>
        <v/>
      </c>
      <c r="AA321" s="43">
        <f>IF(OR(W321="",P321="",P321=0),"",W321/P321)</f>
        <v/>
      </c>
      <c r="AB321" s="43">
        <f>IF(OR(X321="",Q321="",Q321=0),"",X321/Q321)</f>
        <v/>
      </c>
      <c r="AC321" s="44">
        <f>IF(OR(AB321="",AA321=""),"",(AB321-AA321)*100)</f>
        <v/>
      </c>
      <c r="AD321" s="70" t="n"/>
      <c r="AE321" s="70" t="n"/>
      <c r="AF321" s="69">
        <f>IF(OR(AE321="",AD321="",AD321=0,AE321=0),"",AE321-AD321)</f>
        <v/>
      </c>
      <c r="AG321" s="42">
        <f>IF(OR(AE321="",AD321="",AD321=0,AE321=0),"",AE321/AD321-1)</f>
        <v/>
      </c>
      <c r="AH321" s="43">
        <f>IF(OR(AD321="",W321="",W321=0),"",AD321/W321)</f>
        <v/>
      </c>
      <c r="AI321" s="43">
        <f>IF(OR(AE321="",X321="",X321=0),"",AE321/X321)</f>
        <v/>
      </c>
      <c r="AJ321" s="44">
        <f>IF(OR(AI321="",AH321=""),"",(AI321-AH321)*100)</f>
        <v/>
      </c>
      <c r="AK321" s="70" t="n"/>
      <c r="AL321" s="70" t="n"/>
      <c r="AM321" s="69">
        <f>IF(OR(AL321="",AK321="",AK321=0,AL321=0),"",AL321-AK321)</f>
        <v/>
      </c>
      <c r="AN321" s="42">
        <f>IF(OR(AL321="",AK321="",AK321=0,AL321=0),"",AL321/AK321-1)</f>
        <v/>
      </c>
      <c r="AO321" s="43">
        <f>IF(OR(AK321="",AD321="",AD321=0),"",AK321/AD321)</f>
        <v/>
      </c>
      <c r="AP321" s="43">
        <f>IF(OR(AL321="",AE321="",AE321=0),"",AL321/AE321)</f>
        <v/>
      </c>
      <c r="AQ321" s="44">
        <f>IF(OR(AP321="",AO321=""),"",(AP321-AO321)*100)</f>
        <v/>
      </c>
      <c r="AR321" s="70" t="n"/>
      <c r="AS321" s="70" t="n"/>
      <c r="AT321" s="69">
        <f>IF(OR(AS321="",AR321="",AR321=0,AS321=0),"",AS321-AR321)</f>
        <v/>
      </c>
      <c r="AU321" s="42">
        <f>IF(OR(AS321="",AR321="",AR321=0,AS321=0),"",AS321/AR321-1)</f>
        <v/>
      </c>
      <c r="AV321" s="43">
        <f>IF(OR(AR321="",AK321="",AK321=0),"",AR321/AK321)</f>
        <v/>
      </c>
      <c r="AW321" s="43">
        <f>IF(OR(AS321="",AL321="",AL321=0),"",AS321/AL321)</f>
        <v/>
      </c>
      <c r="AX321" s="44">
        <f>IF(OR(AW321="",AV321=""),"",(AW321-AV321)*100)</f>
        <v/>
      </c>
      <c r="AY321" s="45">
        <f>IF(OR(AR321="",P321="",P321=0),"",AR321/P321)</f>
        <v/>
      </c>
      <c r="AZ321" s="45">
        <f>IF(OR(AS321="",Q321="",Q321=0),"",AS321/Q321)</f>
        <v/>
      </c>
      <c r="BA321" s="44">
        <f>IF(OR(AZ321="",AY321=""),"",(AZ321-AY321)*100)</f>
        <v/>
      </c>
      <c r="BB321" s="45">
        <f>IF(OR(AR321="",E321="",E321=0),"",AR321/E321)</f>
        <v/>
      </c>
      <c r="BC321" s="45">
        <f>IF(OR(AS321="",F321="",F321=0),"",AS321/F321)</f>
        <v/>
      </c>
      <c r="BD321" s="44">
        <f>IF(OR(BC321="",BB321=""),"",(BC321-BB321)*100)</f>
        <v/>
      </c>
      <c r="BE321" s="40">
        <f>IF(AND(F321&lt;&gt;"",E321&lt;&gt;""),"Both years",IF(F321&lt;&gt;"","1-23Aug26 rows only","1-23Aug25 rows only"))</f>
        <v/>
      </c>
    </row>
    <row r="322">
      <c r="A322" s="56" t="inlineStr">
        <is>
          <t>Airport page</t>
        </is>
      </c>
      <c r="B322" s="56" t="inlineStr">
        <is>
          <t>Direct</t>
        </is>
      </c>
      <c r="C322" s="56" t="inlineStr">
        <is>
          <t>Desktop</t>
        </is>
      </c>
      <c r="D322" s="56" t="inlineStr">
        <is>
          <t>Denmark</t>
        </is>
      </c>
      <c r="E322" s="68" t="n">
        <v>13</v>
      </c>
      <c r="F322" s="70" t="n"/>
      <c r="G322" s="69">
        <f>IF(OR(F322="",E322="",E322=0,F322=0),"",F322-E322)</f>
        <v/>
      </c>
      <c r="H322" s="42">
        <f>IF(OR(F322="",E322="",E322=0,F322=0),"",F322/E322-1)</f>
        <v/>
      </c>
      <c r="I322" s="70" t="n"/>
      <c r="J322" s="70" t="n"/>
      <c r="K322" s="69">
        <f>IF(OR(J322="",I322="",I322=0,J322=0),"",J322-I322)</f>
        <v/>
      </c>
      <c r="L322" s="42">
        <f>IF(OR(J322="",I322="",I322=0,J322=0),"",J322/I322-1)</f>
        <v/>
      </c>
      <c r="M322" s="43">
        <f>IF(OR(I322="",E322="",E322=0),"",I322/E322)</f>
        <v/>
      </c>
      <c r="N322" s="43">
        <f>IF(OR(J322="",F322="",F322=0),"",J322/F322)</f>
        <v/>
      </c>
      <c r="O322" s="44">
        <f>IF(OR(N322="",M322=""),"",(N322-M322)*100)</f>
        <v/>
      </c>
      <c r="P322" s="70" t="n"/>
      <c r="Q322" s="68" t="n">
        <v>54</v>
      </c>
      <c r="R322" s="69">
        <f>IF(OR(Q322="",P322="",P322=0,Q322=0),"",Q322-P322)</f>
        <v/>
      </c>
      <c r="S322" s="42">
        <f>IF(OR(Q322="",P322="",P322=0,Q322=0),"",Q322/P322-1)</f>
        <v/>
      </c>
      <c r="T322" s="43">
        <f>IF(OR(P322="",E322="",E322=0),"",P322/E322)</f>
        <v/>
      </c>
      <c r="U322" s="43">
        <f>IF(OR(Q322="",F322="",F322=0),"",Q322/F322)</f>
        <v/>
      </c>
      <c r="V322" s="44">
        <f>IF(OR(U322="",T322=""),"",(U322-T322)*100)</f>
        <v/>
      </c>
      <c r="W322" s="70" t="n"/>
      <c r="X322" s="70" t="n"/>
      <c r="Y322" s="69">
        <f>IF(OR(X322="",W322="",W322=0,X322=0),"",X322-W322)</f>
        <v/>
      </c>
      <c r="Z322" s="42">
        <f>IF(OR(X322="",W322="",W322=0,X322=0),"",X322/W322-1)</f>
        <v/>
      </c>
      <c r="AA322" s="43">
        <f>IF(OR(W322="",P322="",P322=0),"",W322/P322)</f>
        <v/>
      </c>
      <c r="AB322" s="43">
        <f>IF(OR(X322="",Q322="",Q322=0),"",X322/Q322)</f>
        <v/>
      </c>
      <c r="AC322" s="44">
        <f>IF(OR(AB322="",AA322=""),"",(AB322-AA322)*100)</f>
        <v/>
      </c>
      <c r="AD322" s="70" t="n"/>
      <c r="AE322" s="70" t="n"/>
      <c r="AF322" s="69">
        <f>IF(OR(AE322="",AD322="",AD322=0,AE322=0),"",AE322-AD322)</f>
        <v/>
      </c>
      <c r="AG322" s="42">
        <f>IF(OR(AE322="",AD322="",AD322=0,AE322=0),"",AE322/AD322-1)</f>
        <v/>
      </c>
      <c r="AH322" s="43">
        <f>IF(OR(AD322="",W322="",W322=0),"",AD322/W322)</f>
        <v/>
      </c>
      <c r="AI322" s="43">
        <f>IF(OR(AE322="",X322="",X322=0),"",AE322/X322)</f>
        <v/>
      </c>
      <c r="AJ322" s="44">
        <f>IF(OR(AI322="",AH322=""),"",(AI322-AH322)*100)</f>
        <v/>
      </c>
      <c r="AK322" s="70" t="n"/>
      <c r="AL322" s="70" t="n"/>
      <c r="AM322" s="69">
        <f>IF(OR(AL322="",AK322="",AK322=0,AL322=0),"",AL322-AK322)</f>
        <v/>
      </c>
      <c r="AN322" s="42">
        <f>IF(OR(AL322="",AK322="",AK322=0,AL322=0),"",AL322/AK322-1)</f>
        <v/>
      </c>
      <c r="AO322" s="43">
        <f>IF(OR(AK322="",AD322="",AD322=0),"",AK322/AD322)</f>
        <v/>
      </c>
      <c r="AP322" s="43">
        <f>IF(OR(AL322="",AE322="",AE322=0),"",AL322/AE322)</f>
        <v/>
      </c>
      <c r="AQ322" s="44">
        <f>IF(OR(AP322="",AO322=""),"",(AP322-AO322)*100)</f>
        <v/>
      </c>
      <c r="AR322" s="70" t="n"/>
      <c r="AS322" s="70" t="n"/>
      <c r="AT322" s="69">
        <f>IF(OR(AS322="",AR322="",AR322=0,AS322=0),"",AS322-AR322)</f>
        <v/>
      </c>
      <c r="AU322" s="42">
        <f>IF(OR(AS322="",AR322="",AR322=0,AS322=0),"",AS322/AR322-1)</f>
        <v/>
      </c>
      <c r="AV322" s="43">
        <f>IF(OR(AR322="",AK322="",AK322=0),"",AR322/AK322)</f>
        <v/>
      </c>
      <c r="AW322" s="43">
        <f>IF(OR(AS322="",AL322="",AL322=0),"",AS322/AL322)</f>
        <v/>
      </c>
      <c r="AX322" s="44">
        <f>IF(OR(AW322="",AV322=""),"",(AW322-AV322)*100)</f>
        <v/>
      </c>
      <c r="AY322" s="45">
        <f>IF(OR(AR322="",P322="",P322=0),"",AR322/P322)</f>
        <v/>
      </c>
      <c r="AZ322" s="45">
        <f>IF(OR(AS322="",Q322="",Q322=0),"",AS322/Q322)</f>
        <v/>
      </c>
      <c r="BA322" s="44">
        <f>IF(OR(AZ322="",AY322=""),"",(AZ322-AY322)*100)</f>
        <v/>
      </c>
      <c r="BB322" s="45">
        <f>IF(OR(AR322="",E322="",E322=0),"",AR322/E322)</f>
        <v/>
      </c>
      <c r="BC322" s="45">
        <f>IF(OR(AS322="",F322="",F322=0),"",AS322/F322)</f>
        <v/>
      </c>
      <c r="BD322" s="44">
        <f>IF(OR(BC322="",BB322=""),"",(BC322-BB322)*100)</f>
        <v/>
      </c>
      <c r="BE322" s="40">
        <f>IF(AND(F322&lt;&gt;"",E322&lt;&gt;""),"Both years",IF(F322&lt;&gt;"","1-23Aug26 rows only","1-23Aug25 rows only"))</f>
        <v/>
      </c>
    </row>
    <row r="323">
      <c r="A323" s="40" t="inlineStr">
        <is>
          <t>Airport page</t>
        </is>
      </c>
      <c r="B323" s="40" t="inlineStr">
        <is>
          <t>Direct</t>
        </is>
      </c>
      <c r="C323" s="40" t="inlineStr">
        <is>
          <t>Desktop</t>
        </is>
      </c>
      <c r="D323" s="40" t="inlineStr">
        <is>
          <t>Finland</t>
        </is>
      </c>
      <c r="E323" s="68" t="n">
        <v>13</v>
      </c>
      <c r="F323" s="70" t="n"/>
      <c r="G323" s="69">
        <f>IF(OR(F323="",E323="",E323=0,F323=0),"",F323-E323)</f>
        <v/>
      </c>
      <c r="H323" s="42">
        <f>IF(OR(F323="",E323="",E323=0,F323=0),"",F323/E323-1)</f>
        <v/>
      </c>
      <c r="I323" s="68" t="n">
        <v>7</v>
      </c>
      <c r="J323" s="68" t="n">
        <v>41</v>
      </c>
      <c r="K323" s="69">
        <f>IF(OR(J323="",I323="",I323=0,J323=0),"",J323-I323)</f>
        <v/>
      </c>
      <c r="L323" s="42">
        <f>IF(OR(J323="",I323="",I323=0,J323=0),"",J323/I323-1)</f>
        <v/>
      </c>
      <c r="M323" s="43">
        <f>IF(OR(I323="",E323="",E323=0),"",I323/E323)</f>
        <v/>
      </c>
      <c r="N323" s="43">
        <f>IF(OR(J323="",F323="",F323=0),"",J323/F323)</f>
        <v/>
      </c>
      <c r="O323" s="44">
        <f>IF(OR(N323="",M323=""),"",(N323-M323)*100)</f>
        <v/>
      </c>
      <c r="P323" s="68" t="n">
        <v>8</v>
      </c>
      <c r="Q323" s="68" t="n">
        <v>52</v>
      </c>
      <c r="R323" s="69">
        <f>IF(OR(Q323="",P323="",P323=0,Q323=0),"",Q323-P323)</f>
        <v/>
      </c>
      <c r="S323" s="42">
        <f>IF(OR(Q323="",P323="",P323=0,Q323=0),"",Q323/P323-1)</f>
        <v/>
      </c>
      <c r="T323" s="43">
        <f>IF(OR(P323="",E323="",E323=0),"",P323/E323)</f>
        <v/>
      </c>
      <c r="U323" s="43">
        <f>IF(OR(Q323="",F323="",F323=0),"",Q323/F323)</f>
        <v/>
      </c>
      <c r="V323" s="44">
        <f>IF(OR(U323="",T323=""),"",(U323-T323)*100)</f>
        <v/>
      </c>
      <c r="W323" s="68" t="n">
        <v>2</v>
      </c>
      <c r="X323" s="68" t="n">
        <v>11</v>
      </c>
      <c r="Y323" s="69">
        <f>IF(OR(X323="",W323="",W323=0,X323=0),"",X323-W323)</f>
        <v/>
      </c>
      <c r="Z323" s="42">
        <f>IF(OR(X323="",W323="",W323=0,X323=0),"",X323/W323-1)</f>
        <v/>
      </c>
      <c r="AA323" s="43">
        <f>IF(OR(W323="",P323="",P323=0),"",W323/P323)</f>
        <v/>
      </c>
      <c r="AB323" s="43">
        <f>IF(OR(X323="",Q323="",Q323=0),"",X323/Q323)</f>
        <v/>
      </c>
      <c r="AC323" s="44">
        <f>IF(OR(AB323="",AA323=""),"",(AB323-AA323)*100)</f>
        <v/>
      </c>
      <c r="AD323" s="70" t="n"/>
      <c r="AE323" s="68" t="n">
        <v>8</v>
      </c>
      <c r="AF323" s="69">
        <f>IF(OR(AE323="",AD323="",AD323=0,AE323=0),"",AE323-AD323)</f>
        <v/>
      </c>
      <c r="AG323" s="42">
        <f>IF(OR(AE323="",AD323="",AD323=0,AE323=0),"",AE323/AD323-1)</f>
        <v/>
      </c>
      <c r="AH323" s="43">
        <f>IF(OR(AD323="",W323="",W323=0),"",AD323/W323)</f>
        <v/>
      </c>
      <c r="AI323" s="43">
        <f>IF(OR(AE323="",X323="",X323=0),"",AE323/X323)</f>
        <v/>
      </c>
      <c r="AJ323" s="44">
        <f>IF(OR(AI323="",AH323=""),"",(AI323-AH323)*100)</f>
        <v/>
      </c>
      <c r="AK323" s="68" t="n">
        <v>1</v>
      </c>
      <c r="AL323" s="68" t="n">
        <v>1</v>
      </c>
      <c r="AM323" s="69">
        <f>IF(OR(AL323="",AK323="",AK323=0,AL323=0),"",AL323-AK323)</f>
        <v/>
      </c>
      <c r="AN323" s="42">
        <f>IF(OR(AL323="",AK323="",AK323=0,AL323=0),"",AL323/AK323-1)</f>
        <v/>
      </c>
      <c r="AO323" s="43">
        <f>IF(OR(AK323="",AD323="",AD323=0),"",AK323/AD323)</f>
        <v/>
      </c>
      <c r="AP323" s="43">
        <f>IF(OR(AL323="",AE323="",AE323=0),"",AL323/AE323)</f>
        <v/>
      </c>
      <c r="AQ323" s="44">
        <f>IF(OR(AP323="",AO323=""),"",(AP323-AO323)*100)</f>
        <v/>
      </c>
      <c r="AR323" s="68" t="n">
        <v>1</v>
      </c>
      <c r="AS323" s="68" t="n">
        <v>3</v>
      </c>
      <c r="AT323" s="69">
        <f>IF(OR(AS323="",AR323="",AR323=0,AS323=0),"",AS323-AR323)</f>
        <v/>
      </c>
      <c r="AU323" s="42">
        <f>IF(OR(AS323="",AR323="",AR323=0,AS323=0),"",AS323/AR323-1)</f>
        <v/>
      </c>
      <c r="AV323" s="43">
        <f>IF(OR(AR323="",AK323="",AK323=0),"",AR323/AK323)</f>
        <v/>
      </c>
      <c r="AW323" s="43">
        <f>IF(OR(AS323="",AL323="",AL323=0),"",AS323/AL323)</f>
        <v/>
      </c>
      <c r="AX323" s="44">
        <f>IF(OR(AW323="",AV323=""),"",(AW323-AV323)*100)</f>
        <v/>
      </c>
      <c r="AY323" s="45">
        <f>IF(OR(AR323="",P323="",P323=0),"",AR323/P323)</f>
        <v/>
      </c>
      <c r="AZ323" s="45">
        <f>IF(OR(AS323="",Q323="",Q323=0),"",AS323/Q323)</f>
        <v/>
      </c>
      <c r="BA323" s="44">
        <f>IF(OR(AZ323="",AY323=""),"",(AZ323-AY323)*100)</f>
        <v/>
      </c>
      <c r="BB323" s="45">
        <f>IF(OR(AR323="",E323="",E323=0),"",AR323/E323)</f>
        <v/>
      </c>
      <c r="BC323" s="45">
        <f>IF(OR(AS323="",F323="",F323=0),"",AS323/F323)</f>
        <v/>
      </c>
      <c r="BD323" s="44">
        <f>IF(OR(BC323="",BB323=""),"",(BC323-BB323)*100)</f>
        <v/>
      </c>
      <c r="BE323" s="40">
        <f>IF(AND(F323&lt;&gt;"",E323&lt;&gt;""),"Both years",IF(F323&lt;&gt;"","1-23Aug26 rows only","1-23Aug25 rows only"))</f>
        <v/>
      </c>
    </row>
    <row r="324">
      <c r="A324" s="56" t="inlineStr">
        <is>
          <t>Airport page</t>
        </is>
      </c>
      <c r="B324" s="56" t="inlineStr">
        <is>
          <t>Direct</t>
        </is>
      </c>
      <c r="C324" s="56" t="inlineStr">
        <is>
          <t>Desktop</t>
        </is>
      </c>
      <c r="D324" s="56" t="inlineStr">
        <is>
          <t>Brazil</t>
        </is>
      </c>
      <c r="E324" s="70" t="n"/>
      <c r="F324" s="70" t="n"/>
      <c r="G324" s="69">
        <f>IF(OR(F324="",E324="",E324=0,F324=0),"",F324-E324)</f>
        <v/>
      </c>
      <c r="H324" s="42">
        <f>IF(OR(F324="",E324="",E324=0,F324=0),"",F324/E324-1)</f>
        <v/>
      </c>
      <c r="I324" s="70" t="n"/>
      <c r="J324" s="70" t="n"/>
      <c r="K324" s="69">
        <f>IF(OR(J324="",I324="",I324=0,J324=0),"",J324-I324)</f>
        <v/>
      </c>
      <c r="L324" s="42">
        <f>IF(OR(J324="",I324="",I324=0,J324=0),"",J324/I324-1)</f>
        <v/>
      </c>
      <c r="M324" s="43">
        <f>IF(OR(I324="",E324="",E324=0),"",I324/E324)</f>
        <v/>
      </c>
      <c r="N324" s="43">
        <f>IF(OR(J324="",F324="",F324=0),"",J324/F324)</f>
        <v/>
      </c>
      <c r="O324" s="44">
        <f>IF(OR(N324="",M324=""),"",(N324-M324)*100)</f>
        <v/>
      </c>
      <c r="P324" s="68" t="n">
        <v>4</v>
      </c>
      <c r="Q324" s="70" t="n"/>
      <c r="R324" s="69">
        <f>IF(OR(Q324="",P324="",P324=0,Q324=0),"",Q324-P324)</f>
        <v/>
      </c>
      <c r="S324" s="42">
        <f>IF(OR(Q324="",P324="",P324=0,Q324=0),"",Q324/P324-1)</f>
        <v/>
      </c>
      <c r="T324" s="43">
        <f>IF(OR(P324="",E324="",E324=0),"",P324/E324)</f>
        <v/>
      </c>
      <c r="U324" s="43">
        <f>IF(OR(Q324="",F324="",F324=0),"",Q324/F324)</f>
        <v/>
      </c>
      <c r="V324" s="44">
        <f>IF(OR(U324="",T324=""),"",(U324-T324)*100)</f>
        <v/>
      </c>
      <c r="W324" s="70" t="n"/>
      <c r="X324" s="70" t="n"/>
      <c r="Y324" s="69">
        <f>IF(OR(X324="",W324="",W324=0,X324=0),"",X324-W324)</f>
        <v/>
      </c>
      <c r="Z324" s="42">
        <f>IF(OR(X324="",W324="",W324=0,X324=0),"",X324/W324-1)</f>
        <v/>
      </c>
      <c r="AA324" s="43">
        <f>IF(OR(W324="",P324="",P324=0),"",W324/P324)</f>
        <v/>
      </c>
      <c r="AB324" s="43">
        <f>IF(OR(X324="",Q324="",Q324=0),"",X324/Q324)</f>
        <v/>
      </c>
      <c r="AC324" s="44">
        <f>IF(OR(AB324="",AA324=""),"",(AB324-AA324)*100)</f>
        <v/>
      </c>
      <c r="AD324" s="70" t="n"/>
      <c r="AE324" s="70" t="n"/>
      <c r="AF324" s="69">
        <f>IF(OR(AE324="",AD324="",AD324=0,AE324=0),"",AE324-AD324)</f>
        <v/>
      </c>
      <c r="AG324" s="42">
        <f>IF(OR(AE324="",AD324="",AD324=0,AE324=0),"",AE324/AD324-1)</f>
        <v/>
      </c>
      <c r="AH324" s="43">
        <f>IF(OR(AD324="",W324="",W324=0),"",AD324/W324)</f>
        <v/>
      </c>
      <c r="AI324" s="43">
        <f>IF(OR(AE324="",X324="",X324=0),"",AE324/X324)</f>
        <v/>
      </c>
      <c r="AJ324" s="44">
        <f>IF(OR(AI324="",AH324=""),"",(AI324-AH324)*100)</f>
        <v/>
      </c>
      <c r="AK324" s="70" t="n"/>
      <c r="AL324" s="70" t="n"/>
      <c r="AM324" s="69">
        <f>IF(OR(AL324="",AK324="",AK324=0,AL324=0),"",AL324-AK324)</f>
        <v/>
      </c>
      <c r="AN324" s="42">
        <f>IF(OR(AL324="",AK324="",AK324=0,AL324=0),"",AL324/AK324-1)</f>
        <v/>
      </c>
      <c r="AO324" s="43">
        <f>IF(OR(AK324="",AD324="",AD324=0),"",AK324/AD324)</f>
        <v/>
      </c>
      <c r="AP324" s="43">
        <f>IF(OR(AL324="",AE324="",AE324=0),"",AL324/AE324)</f>
        <v/>
      </c>
      <c r="AQ324" s="44">
        <f>IF(OR(AP324="",AO324=""),"",(AP324-AO324)*100)</f>
        <v/>
      </c>
      <c r="AR324" s="70" t="n"/>
      <c r="AS324" s="70" t="n"/>
      <c r="AT324" s="69">
        <f>IF(OR(AS324="",AR324="",AR324=0,AS324=0),"",AS324-AR324)</f>
        <v/>
      </c>
      <c r="AU324" s="42">
        <f>IF(OR(AS324="",AR324="",AR324=0,AS324=0),"",AS324/AR324-1)</f>
        <v/>
      </c>
      <c r="AV324" s="43">
        <f>IF(OR(AR324="",AK324="",AK324=0),"",AR324/AK324)</f>
        <v/>
      </c>
      <c r="AW324" s="43">
        <f>IF(OR(AS324="",AL324="",AL324=0),"",AS324/AL324)</f>
        <v/>
      </c>
      <c r="AX324" s="44">
        <f>IF(OR(AW324="",AV324=""),"",(AW324-AV324)*100)</f>
        <v/>
      </c>
      <c r="AY324" s="45">
        <f>IF(OR(AR324="",P324="",P324=0),"",AR324/P324)</f>
        <v/>
      </c>
      <c r="AZ324" s="45">
        <f>IF(OR(AS324="",Q324="",Q324=0),"",AS324/Q324)</f>
        <v/>
      </c>
      <c r="BA324" s="44">
        <f>IF(OR(AZ324="",AY324=""),"",(AZ324-AY324)*100)</f>
        <v/>
      </c>
      <c r="BB324" s="45">
        <f>IF(OR(AR324="",E324="",E324=0),"",AR324/E324)</f>
        <v/>
      </c>
      <c r="BC324" s="45">
        <f>IF(OR(AS324="",F324="",F324=0),"",AS324/F324)</f>
        <v/>
      </c>
      <c r="BD324" s="44">
        <f>IF(OR(BC324="",BB324=""),"",(BC324-BB324)*100)</f>
        <v/>
      </c>
      <c r="BE324" s="40">
        <f>IF(AND(F324&lt;&gt;"",E324&lt;&gt;""),"Both years",IF(F324&lt;&gt;"","1-23Aug26 rows only","1-23Aug25 rows only"))</f>
        <v/>
      </c>
    </row>
    <row r="325">
      <c r="A325" s="40" t="inlineStr">
        <is>
          <t>Route page</t>
        </is>
      </c>
      <c r="B325" s="40" t="inlineStr">
        <is>
          <t>Paid Search</t>
        </is>
      </c>
      <c r="C325" s="40" t="inlineStr">
        <is>
          <t>Mobile</t>
        </is>
      </c>
      <c r="D325" s="40" t="inlineStr">
        <is>
          <t>United Kingdom</t>
        </is>
      </c>
      <c r="E325" s="68" t="n">
        <v>10976</v>
      </c>
      <c r="F325" s="68" t="n">
        <v>3000</v>
      </c>
      <c r="G325" s="69">
        <f>IF(OR(F325="",E325="",E325=0,F325=0),"",F325-E325)</f>
        <v/>
      </c>
      <c r="H325" s="42">
        <f>IF(OR(F325="",E325="",E325=0,F325=0),"",F325/E325-1)</f>
        <v/>
      </c>
      <c r="I325" s="68" t="n">
        <v>8459</v>
      </c>
      <c r="J325" s="68" t="n">
        <v>2117</v>
      </c>
      <c r="K325" s="69">
        <f>IF(OR(J325="",I325="",I325=0,J325=0),"",J325-I325)</f>
        <v/>
      </c>
      <c r="L325" s="42">
        <f>IF(OR(J325="",I325="",I325=0,J325=0),"",J325/I325-1)</f>
        <v/>
      </c>
      <c r="M325" s="43">
        <f>IF(OR(I325="",E325="",E325=0),"",I325/E325)</f>
        <v/>
      </c>
      <c r="N325" s="43">
        <f>IF(OR(J325="",F325="",F325=0),"",J325/F325)</f>
        <v/>
      </c>
      <c r="O325" s="44">
        <f>IF(OR(N325="",M325=""),"",(N325-M325)*100)</f>
        <v/>
      </c>
      <c r="P325" s="68" t="n">
        <v>7783</v>
      </c>
      <c r="Q325" s="68" t="n">
        <v>2128</v>
      </c>
      <c r="R325" s="69">
        <f>IF(OR(Q325="",P325="",P325=0,Q325=0),"",Q325-P325)</f>
        <v/>
      </c>
      <c r="S325" s="42">
        <f>IF(OR(Q325="",P325="",P325=0,Q325=0),"",Q325/P325-1)</f>
        <v/>
      </c>
      <c r="T325" s="43">
        <f>IF(OR(P325="",E325="",E325=0),"",P325/E325)</f>
        <v/>
      </c>
      <c r="U325" s="43">
        <f>IF(OR(Q325="",F325="",F325=0),"",Q325/F325)</f>
        <v/>
      </c>
      <c r="V325" s="44">
        <f>IF(OR(U325="",T325=""),"",(U325-T325)*100)</f>
        <v/>
      </c>
      <c r="W325" s="68" t="n">
        <v>1420</v>
      </c>
      <c r="X325" s="68" t="n">
        <v>427</v>
      </c>
      <c r="Y325" s="69">
        <f>IF(OR(X325="",W325="",W325=0,X325=0),"",X325-W325)</f>
        <v/>
      </c>
      <c r="Z325" s="42">
        <f>IF(OR(X325="",W325="",W325=0,X325=0),"",X325/W325-1)</f>
        <v/>
      </c>
      <c r="AA325" s="43">
        <f>IF(OR(W325="",P325="",P325=0),"",W325/P325)</f>
        <v/>
      </c>
      <c r="AB325" s="43">
        <f>IF(OR(X325="",Q325="",Q325=0),"",X325/Q325)</f>
        <v/>
      </c>
      <c r="AC325" s="44">
        <f>IF(OR(AB325="",AA325=""),"",(AB325-AA325)*100)</f>
        <v/>
      </c>
      <c r="AD325" s="68" t="n">
        <v>1022</v>
      </c>
      <c r="AE325" s="68" t="n">
        <v>302</v>
      </c>
      <c r="AF325" s="69">
        <f>IF(OR(AE325="",AD325="",AD325=0,AE325=0),"",AE325-AD325)</f>
        <v/>
      </c>
      <c r="AG325" s="42">
        <f>IF(OR(AE325="",AD325="",AD325=0,AE325=0),"",AE325/AD325-1)</f>
        <v/>
      </c>
      <c r="AH325" s="43">
        <f>IF(OR(AD325="",W325="",W325=0),"",AD325/W325)</f>
        <v/>
      </c>
      <c r="AI325" s="43">
        <f>IF(OR(AE325="",X325="",X325=0),"",AE325/X325)</f>
        <v/>
      </c>
      <c r="AJ325" s="44">
        <f>IF(OR(AI325="",AH325=""),"",(AI325-AH325)*100)</f>
        <v/>
      </c>
      <c r="AK325" s="68" t="n">
        <v>318</v>
      </c>
      <c r="AL325" s="68" t="n">
        <v>112</v>
      </c>
      <c r="AM325" s="69">
        <f>IF(OR(AL325="",AK325="",AK325=0,AL325=0),"",AL325-AK325)</f>
        <v/>
      </c>
      <c r="AN325" s="42">
        <f>IF(OR(AL325="",AK325="",AK325=0,AL325=0),"",AL325/AK325-1)</f>
        <v/>
      </c>
      <c r="AO325" s="43">
        <f>IF(OR(AK325="",AD325="",AD325=0),"",AK325/AD325)</f>
        <v/>
      </c>
      <c r="AP325" s="43">
        <f>IF(OR(AL325="",AE325="",AE325=0),"",AL325/AE325)</f>
        <v/>
      </c>
      <c r="AQ325" s="44">
        <f>IF(OR(AP325="",AO325=""),"",(AP325-AO325)*100)</f>
        <v/>
      </c>
      <c r="AR325" s="68" t="n">
        <v>217</v>
      </c>
      <c r="AS325" s="68" t="n">
        <v>86</v>
      </c>
      <c r="AT325" s="69">
        <f>IF(OR(AS325="",AR325="",AR325=0,AS325=0),"",AS325-AR325)</f>
        <v/>
      </c>
      <c r="AU325" s="42">
        <f>IF(OR(AS325="",AR325="",AR325=0,AS325=0),"",AS325/AR325-1)</f>
        <v/>
      </c>
      <c r="AV325" s="43">
        <f>IF(OR(AR325="",AK325="",AK325=0),"",AR325/AK325)</f>
        <v/>
      </c>
      <c r="AW325" s="43">
        <f>IF(OR(AS325="",AL325="",AL325=0),"",AS325/AL325)</f>
        <v/>
      </c>
      <c r="AX325" s="44">
        <f>IF(OR(AW325="",AV325=""),"",(AW325-AV325)*100)</f>
        <v/>
      </c>
      <c r="AY325" s="45">
        <f>IF(OR(AR325="",P325="",P325=0),"",AR325/P325)</f>
        <v/>
      </c>
      <c r="AZ325" s="45">
        <f>IF(OR(AS325="",Q325="",Q325=0),"",AS325/Q325)</f>
        <v/>
      </c>
      <c r="BA325" s="44">
        <f>IF(OR(AZ325="",AY325=""),"",(AZ325-AY325)*100)</f>
        <v/>
      </c>
      <c r="BB325" s="45">
        <f>IF(OR(AR325="",E325="",E325=0),"",AR325/E325)</f>
        <v/>
      </c>
      <c r="BC325" s="45">
        <f>IF(OR(AS325="",F325="",F325=0),"",AS325/F325)</f>
        <v/>
      </c>
      <c r="BD325" s="44">
        <f>IF(OR(BC325="",BB325=""),"",(BC325-BB325)*100)</f>
        <v/>
      </c>
      <c r="BE325" s="40">
        <f>IF(AND(F325&lt;&gt;"",E325&lt;&gt;""),"Both years",IF(F325&lt;&gt;"","1-23Aug26 rows only","1-23Aug25 rows only"))</f>
        <v/>
      </c>
    </row>
    <row r="326">
      <c r="A326" s="56" t="inlineStr">
        <is>
          <t>Route page</t>
        </is>
      </c>
      <c r="B326" s="56" t="inlineStr">
        <is>
          <t>Paid Search</t>
        </is>
      </c>
      <c r="C326" s="56" t="inlineStr">
        <is>
          <t>Mobile</t>
        </is>
      </c>
      <c r="D326" s="56" t="inlineStr">
        <is>
          <t>Italy</t>
        </is>
      </c>
      <c r="E326" s="68" t="n">
        <v>2984</v>
      </c>
      <c r="F326" s="68" t="n">
        <v>2908</v>
      </c>
      <c r="G326" s="69">
        <f>IF(OR(F326="",E326="",E326=0,F326=0),"",F326-E326)</f>
        <v/>
      </c>
      <c r="H326" s="42">
        <f>IF(OR(F326="",E326="",E326=0,F326=0),"",F326/E326-1)</f>
        <v/>
      </c>
      <c r="I326" s="68" t="n">
        <v>2233</v>
      </c>
      <c r="J326" s="68" t="n">
        <v>1792</v>
      </c>
      <c r="K326" s="69">
        <f>IF(OR(J326="",I326="",I326=0,J326=0),"",J326-I326)</f>
        <v/>
      </c>
      <c r="L326" s="42">
        <f>IF(OR(J326="",I326="",I326=0,J326=0),"",J326/I326-1)</f>
        <v/>
      </c>
      <c r="M326" s="43">
        <f>IF(OR(I326="",E326="",E326=0),"",I326/E326)</f>
        <v/>
      </c>
      <c r="N326" s="43">
        <f>IF(OR(J326="",F326="",F326=0),"",J326/F326)</f>
        <v/>
      </c>
      <c r="O326" s="44">
        <f>IF(OR(N326="",M326=""),"",(N326-M326)*100)</f>
        <v/>
      </c>
      <c r="P326" s="68" t="n">
        <v>1898</v>
      </c>
      <c r="Q326" s="68" t="n">
        <v>1762</v>
      </c>
      <c r="R326" s="69">
        <f>IF(OR(Q326="",P326="",P326=0,Q326=0),"",Q326-P326)</f>
        <v/>
      </c>
      <c r="S326" s="42">
        <f>IF(OR(Q326="",P326="",P326=0,Q326=0),"",Q326/P326-1)</f>
        <v/>
      </c>
      <c r="T326" s="43">
        <f>IF(OR(P326="",E326="",E326=0),"",P326/E326)</f>
        <v/>
      </c>
      <c r="U326" s="43">
        <f>IF(OR(Q326="",F326="",F326=0),"",Q326/F326)</f>
        <v/>
      </c>
      <c r="V326" s="44">
        <f>IF(OR(U326="",T326=""),"",(U326-T326)*100)</f>
        <v/>
      </c>
      <c r="W326" s="68" t="n">
        <v>364</v>
      </c>
      <c r="X326" s="68" t="n">
        <v>335</v>
      </c>
      <c r="Y326" s="69">
        <f>IF(OR(X326="",W326="",W326=0,X326=0),"",X326-W326)</f>
        <v/>
      </c>
      <c r="Z326" s="42">
        <f>IF(OR(X326="",W326="",W326=0,X326=0),"",X326/W326-1)</f>
        <v/>
      </c>
      <c r="AA326" s="43">
        <f>IF(OR(W326="",P326="",P326=0),"",W326/P326)</f>
        <v/>
      </c>
      <c r="AB326" s="43">
        <f>IF(OR(X326="",Q326="",Q326=0),"",X326/Q326)</f>
        <v/>
      </c>
      <c r="AC326" s="44">
        <f>IF(OR(AB326="",AA326=""),"",(AB326-AA326)*100)</f>
        <v/>
      </c>
      <c r="AD326" s="68" t="n">
        <v>261</v>
      </c>
      <c r="AE326" s="68" t="n">
        <v>257</v>
      </c>
      <c r="AF326" s="69">
        <f>IF(OR(AE326="",AD326="",AD326=0,AE326=0),"",AE326-AD326)</f>
        <v/>
      </c>
      <c r="AG326" s="42">
        <f>IF(OR(AE326="",AD326="",AD326=0,AE326=0),"",AE326/AD326-1)</f>
        <v/>
      </c>
      <c r="AH326" s="43">
        <f>IF(OR(AD326="",W326="",W326=0),"",AD326/W326)</f>
        <v/>
      </c>
      <c r="AI326" s="43">
        <f>IF(OR(AE326="",X326="",X326=0),"",AE326/X326)</f>
        <v/>
      </c>
      <c r="AJ326" s="44">
        <f>IF(OR(AI326="",AH326=""),"",(AI326-AH326)*100)</f>
        <v/>
      </c>
      <c r="AK326" s="68" t="n">
        <v>48</v>
      </c>
      <c r="AL326" s="68" t="n">
        <v>49</v>
      </c>
      <c r="AM326" s="69">
        <f>IF(OR(AL326="",AK326="",AK326=0,AL326=0),"",AL326-AK326)</f>
        <v/>
      </c>
      <c r="AN326" s="42">
        <f>IF(OR(AL326="",AK326="",AK326=0,AL326=0),"",AL326/AK326-1)</f>
        <v/>
      </c>
      <c r="AO326" s="43">
        <f>IF(OR(AK326="",AD326="",AD326=0),"",AK326/AD326)</f>
        <v/>
      </c>
      <c r="AP326" s="43">
        <f>IF(OR(AL326="",AE326="",AE326=0),"",AL326/AE326)</f>
        <v/>
      </c>
      <c r="AQ326" s="44">
        <f>IF(OR(AP326="",AO326=""),"",(AP326-AO326)*100)</f>
        <v/>
      </c>
      <c r="AR326" s="68" t="n">
        <v>29</v>
      </c>
      <c r="AS326" s="68" t="n">
        <v>28</v>
      </c>
      <c r="AT326" s="69">
        <f>IF(OR(AS326="",AR326="",AR326=0,AS326=0),"",AS326-AR326)</f>
        <v/>
      </c>
      <c r="AU326" s="42">
        <f>IF(OR(AS326="",AR326="",AR326=0,AS326=0),"",AS326/AR326-1)</f>
        <v/>
      </c>
      <c r="AV326" s="43">
        <f>IF(OR(AR326="",AK326="",AK326=0),"",AR326/AK326)</f>
        <v/>
      </c>
      <c r="AW326" s="43">
        <f>IF(OR(AS326="",AL326="",AL326=0),"",AS326/AL326)</f>
        <v/>
      </c>
      <c r="AX326" s="44">
        <f>IF(OR(AW326="",AV326=""),"",(AW326-AV326)*100)</f>
        <v/>
      </c>
      <c r="AY326" s="45">
        <f>IF(OR(AR326="",P326="",P326=0),"",AR326/P326)</f>
        <v/>
      </c>
      <c r="AZ326" s="45">
        <f>IF(OR(AS326="",Q326="",Q326=0),"",AS326/Q326)</f>
        <v/>
      </c>
      <c r="BA326" s="44">
        <f>IF(OR(AZ326="",AY326=""),"",(AZ326-AY326)*100)</f>
        <v/>
      </c>
      <c r="BB326" s="45">
        <f>IF(OR(AR326="",E326="",E326=0),"",AR326/E326)</f>
        <v/>
      </c>
      <c r="BC326" s="45">
        <f>IF(OR(AS326="",F326="",F326=0),"",AS326/F326)</f>
        <v/>
      </c>
      <c r="BD326" s="44">
        <f>IF(OR(BC326="",BB326=""),"",(BC326-BB326)*100)</f>
        <v/>
      </c>
      <c r="BE326" s="40">
        <f>IF(AND(F326&lt;&gt;"",E326&lt;&gt;""),"Both years",IF(F326&lt;&gt;"","1-23Aug26 rows only","1-23Aug25 rows only"))</f>
        <v/>
      </c>
    </row>
    <row r="327">
      <c r="A327" s="40" t="inlineStr">
        <is>
          <t>Route page</t>
        </is>
      </c>
      <c r="B327" s="40" t="inlineStr">
        <is>
          <t>Paid Search</t>
        </is>
      </c>
      <c r="C327" s="40" t="inlineStr">
        <is>
          <t>Mobile</t>
        </is>
      </c>
      <c r="D327" s="40" t="inlineStr">
        <is>
          <t>Germany</t>
        </is>
      </c>
      <c r="E327" s="68" t="n">
        <v>4086</v>
      </c>
      <c r="F327" s="68" t="n">
        <v>2121</v>
      </c>
      <c r="G327" s="69">
        <f>IF(OR(F327="",E327="",E327=0,F327=0),"",F327-E327)</f>
        <v/>
      </c>
      <c r="H327" s="42">
        <f>IF(OR(F327="",E327="",E327=0,F327=0),"",F327/E327-1)</f>
        <v/>
      </c>
      <c r="I327" s="68" t="n">
        <v>3069</v>
      </c>
      <c r="J327" s="68" t="n">
        <v>1207</v>
      </c>
      <c r="K327" s="69">
        <f>IF(OR(J327="",I327="",I327=0,J327=0),"",J327-I327)</f>
        <v/>
      </c>
      <c r="L327" s="42">
        <f>IF(OR(J327="",I327="",I327=0,J327=0),"",J327/I327-1)</f>
        <v/>
      </c>
      <c r="M327" s="43">
        <f>IF(OR(I327="",E327="",E327=0),"",I327/E327)</f>
        <v/>
      </c>
      <c r="N327" s="43">
        <f>IF(OR(J327="",F327="",F327=0),"",J327/F327)</f>
        <v/>
      </c>
      <c r="O327" s="44">
        <f>IF(OR(N327="",M327=""),"",(N327-M327)*100)</f>
        <v/>
      </c>
      <c r="P327" s="68" t="n">
        <v>2689</v>
      </c>
      <c r="Q327" s="68" t="n">
        <v>1246</v>
      </c>
      <c r="R327" s="69">
        <f>IF(OR(Q327="",P327="",P327=0,Q327=0),"",Q327-P327)</f>
        <v/>
      </c>
      <c r="S327" s="42">
        <f>IF(OR(Q327="",P327="",P327=0,Q327=0),"",Q327/P327-1)</f>
        <v/>
      </c>
      <c r="T327" s="43">
        <f>IF(OR(P327="",E327="",E327=0),"",P327/E327)</f>
        <v/>
      </c>
      <c r="U327" s="43">
        <f>IF(OR(Q327="",F327="",F327=0),"",Q327/F327)</f>
        <v/>
      </c>
      <c r="V327" s="44">
        <f>IF(OR(U327="",T327=""),"",(U327-T327)*100)</f>
        <v/>
      </c>
      <c r="W327" s="68" t="n">
        <v>605</v>
      </c>
      <c r="X327" s="68" t="n">
        <v>272</v>
      </c>
      <c r="Y327" s="69">
        <f>IF(OR(X327="",W327="",W327=0,X327=0),"",X327-W327)</f>
        <v/>
      </c>
      <c r="Z327" s="42">
        <f>IF(OR(X327="",W327="",W327=0,X327=0),"",X327/W327-1)</f>
        <v/>
      </c>
      <c r="AA327" s="43">
        <f>IF(OR(W327="",P327="",P327=0),"",W327/P327)</f>
        <v/>
      </c>
      <c r="AB327" s="43">
        <f>IF(OR(X327="",Q327="",Q327=0),"",X327/Q327)</f>
        <v/>
      </c>
      <c r="AC327" s="44">
        <f>IF(OR(AB327="",AA327=""),"",(AB327-AA327)*100)</f>
        <v/>
      </c>
      <c r="AD327" s="68" t="n">
        <v>427</v>
      </c>
      <c r="AE327" s="68" t="n">
        <v>158</v>
      </c>
      <c r="AF327" s="69">
        <f>IF(OR(AE327="",AD327="",AD327=0,AE327=0),"",AE327-AD327)</f>
        <v/>
      </c>
      <c r="AG327" s="42">
        <f>IF(OR(AE327="",AD327="",AD327=0,AE327=0),"",AE327/AD327-1)</f>
        <v/>
      </c>
      <c r="AH327" s="43">
        <f>IF(OR(AD327="",W327="",W327=0),"",AD327/W327)</f>
        <v/>
      </c>
      <c r="AI327" s="43">
        <f>IF(OR(AE327="",X327="",X327=0),"",AE327/X327)</f>
        <v/>
      </c>
      <c r="AJ327" s="44">
        <f>IF(OR(AI327="",AH327=""),"",(AI327-AH327)*100)</f>
        <v/>
      </c>
      <c r="AK327" s="68" t="n">
        <v>70</v>
      </c>
      <c r="AL327" s="68" t="n">
        <v>31</v>
      </c>
      <c r="AM327" s="69">
        <f>IF(OR(AL327="",AK327="",AK327=0,AL327=0),"",AL327-AK327)</f>
        <v/>
      </c>
      <c r="AN327" s="42">
        <f>IF(OR(AL327="",AK327="",AK327=0,AL327=0),"",AL327/AK327-1)</f>
        <v/>
      </c>
      <c r="AO327" s="43">
        <f>IF(OR(AK327="",AD327="",AD327=0),"",AK327/AD327)</f>
        <v/>
      </c>
      <c r="AP327" s="43">
        <f>IF(OR(AL327="",AE327="",AE327=0),"",AL327/AE327)</f>
        <v/>
      </c>
      <c r="AQ327" s="44">
        <f>IF(OR(AP327="",AO327=""),"",(AP327-AO327)*100)</f>
        <v/>
      </c>
      <c r="AR327" s="68" t="n">
        <v>44</v>
      </c>
      <c r="AS327" s="68" t="n">
        <v>25</v>
      </c>
      <c r="AT327" s="69">
        <f>IF(OR(AS327="",AR327="",AR327=0,AS327=0),"",AS327-AR327)</f>
        <v/>
      </c>
      <c r="AU327" s="42">
        <f>IF(OR(AS327="",AR327="",AR327=0,AS327=0),"",AS327/AR327-1)</f>
        <v/>
      </c>
      <c r="AV327" s="43">
        <f>IF(OR(AR327="",AK327="",AK327=0),"",AR327/AK327)</f>
        <v/>
      </c>
      <c r="AW327" s="43">
        <f>IF(OR(AS327="",AL327="",AL327=0),"",AS327/AL327)</f>
        <v/>
      </c>
      <c r="AX327" s="44">
        <f>IF(OR(AW327="",AV327=""),"",(AW327-AV327)*100)</f>
        <v/>
      </c>
      <c r="AY327" s="45">
        <f>IF(OR(AR327="",P327="",P327=0),"",AR327/P327)</f>
        <v/>
      </c>
      <c r="AZ327" s="45">
        <f>IF(OR(AS327="",Q327="",Q327=0),"",AS327/Q327)</f>
        <v/>
      </c>
      <c r="BA327" s="44">
        <f>IF(OR(AZ327="",AY327=""),"",(AZ327-AY327)*100)</f>
        <v/>
      </c>
      <c r="BB327" s="45">
        <f>IF(OR(AR327="",E327="",E327=0),"",AR327/E327)</f>
        <v/>
      </c>
      <c r="BC327" s="45">
        <f>IF(OR(AS327="",F327="",F327=0),"",AS327/F327)</f>
        <v/>
      </c>
      <c r="BD327" s="44">
        <f>IF(OR(BC327="",BB327=""),"",(BC327-BB327)*100)</f>
        <v/>
      </c>
      <c r="BE327" s="40">
        <f>IF(AND(F327&lt;&gt;"",E327&lt;&gt;""),"Both years",IF(F327&lt;&gt;"","1-23Aug26 rows only","1-23Aug25 rows only"))</f>
        <v/>
      </c>
    </row>
    <row r="328">
      <c r="A328" s="56" t="inlineStr">
        <is>
          <t>Route page</t>
        </is>
      </c>
      <c r="B328" s="56" t="inlineStr">
        <is>
          <t>Paid Search</t>
        </is>
      </c>
      <c r="C328" s="56" t="inlineStr">
        <is>
          <t>Mobile</t>
        </is>
      </c>
      <c r="D328" s="56" t="inlineStr">
        <is>
          <t>Ireland</t>
        </is>
      </c>
      <c r="E328" s="68" t="n">
        <v>2717</v>
      </c>
      <c r="F328" s="68" t="n">
        <v>1081</v>
      </c>
      <c r="G328" s="69">
        <f>IF(OR(F328="",E328="",E328=0,F328=0),"",F328-E328)</f>
        <v/>
      </c>
      <c r="H328" s="42">
        <f>IF(OR(F328="",E328="",E328=0,F328=0),"",F328/E328-1)</f>
        <v/>
      </c>
      <c r="I328" s="68" t="n">
        <v>2109</v>
      </c>
      <c r="J328" s="68" t="n">
        <v>744</v>
      </c>
      <c r="K328" s="69">
        <f>IF(OR(J328="",I328="",I328=0,J328=0),"",J328-I328)</f>
        <v/>
      </c>
      <c r="L328" s="42">
        <f>IF(OR(J328="",I328="",I328=0,J328=0),"",J328/I328-1)</f>
        <v/>
      </c>
      <c r="M328" s="43">
        <f>IF(OR(I328="",E328="",E328=0),"",I328/E328)</f>
        <v/>
      </c>
      <c r="N328" s="43">
        <f>IF(OR(J328="",F328="",F328=0),"",J328/F328)</f>
        <v/>
      </c>
      <c r="O328" s="44">
        <f>IF(OR(N328="",M328=""),"",(N328-M328)*100)</f>
        <v/>
      </c>
      <c r="P328" s="68" t="n">
        <v>1956</v>
      </c>
      <c r="Q328" s="68" t="n">
        <v>778</v>
      </c>
      <c r="R328" s="69">
        <f>IF(OR(Q328="",P328="",P328=0,Q328=0),"",Q328-P328)</f>
        <v/>
      </c>
      <c r="S328" s="42">
        <f>IF(OR(Q328="",P328="",P328=0,Q328=0),"",Q328/P328-1)</f>
        <v/>
      </c>
      <c r="T328" s="43">
        <f>IF(OR(P328="",E328="",E328=0),"",P328/E328)</f>
        <v/>
      </c>
      <c r="U328" s="43">
        <f>IF(OR(Q328="",F328="",F328=0),"",Q328/F328)</f>
        <v/>
      </c>
      <c r="V328" s="44">
        <f>IF(OR(U328="",T328=""),"",(U328-T328)*100)</f>
        <v/>
      </c>
      <c r="W328" s="68" t="n">
        <v>406</v>
      </c>
      <c r="X328" s="68" t="n">
        <v>144</v>
      </c>
      <c r="Y328" s="69">
        <f>IF(OR(X328="",W328="",W328=0,X328=0),"",X328-W328)</f>
        <v/>
      </c>
      <c r="Z328" s="42">
        <f>IF(OR(X328="",W328="",W328=0,X328=0),"",X328/W328-1)</f>
        <v/>
      </c>
      <c r="AA328" s="43">
        <f>IF(OR(W328="",P328="",P328=0),"",W328/P328)</f>
        <v/>
      </c>
      <c r="AB328" s="43">
        <f>IF(OR(X328="",Q328="",Q328=0),"",X328/Q328)</f>
        <v/>
      </c>
      <c r="AC328" s="44">
        <f>IF(OR(AB328="",AA328=""),"",(AB328-AA328)*100)</f>
        <v/>
      </c>
      <c r="AD328" s="68" t="n">
        <v>287</v>
      </c>
      <c r="AE328" s="68" t="n">
        <v>91</v>
      </c>
      <c r="AF328" s="69">
        <f>IF(OR(AE328="",AD328="",AD328=0,AE328=0),"",AE328-AD328)</f>
        <v/>
      </c>
      <c r="AG328" s="42">
        <f>IF(OR(AE328="",AD328="",AD328=0,AE328=0),"",AE328/AD328-1)</f>
        <v/>
      </c>
      <c r="AH328" s="43">
        <f>IF(OR(AD328="",W328="",W328=0),"",AD328/W328)</f>
        <v/>
      </c>
      <c r="AI328" s="43">
        <f>IF(OR(AE328="",X328="",X328=0),"",AE328/X328)</f>
        <v/>
      </c>
      <c r="AJ328" s="44">
        <f>IF(OR(AI328="",AH328=""),"",(AI328-AH328)*100)</f>
        <v/>
      </c>
      <c r="AK328" s="68" t="n">
        <v>86</v>
      </c>
      <c r="AL328" s="68" t="n">
        <v>33</v>
      </c>
      <c r="AM328" s="69">
        <f>IF(OR(AL328="",AK328="",AK328=0,AL328=0),"",AL328-AK328)</f>
        <v/>
      </c>
      <c r="AN328" s="42">
        <f>IF(OR(AL328="",AK328="",AK328=0,AL328=0),"",AL328/AK328-1)</f>
        <v/>
      </c>
      <c r="AO328" s="43">
        <f>IF(OR(AK328="",AD328="",AD328=0),"",AK328/AD328)</f>
        <v/>
      </c>
      <c r="AP328" s="43">
        <f>IF(OR(AL328="",AE328="",AE328=0),"",AL328/AE328)</f>
        <v/>
      </c>
      <c r="AQ328" s="44">
        <f>IF(OR(AP328="",AO328=""),"",(AP328-AO328)*100)</f>
        <v/>
      </c>
      <c r="AR328" s="68" t="n">
        <v>51</v>
      </c>
      <c r="AS328" s="68" t="n">
        <v>21</v>
      </c>
      <c r="AT328" s="69">
        <f>IF(OR(AS328="",AR328="",AR328=0,AS328=0),"",AS328-AR328)</f>
        <v/>
      </c>
      <c r="AU328" s="42">
        <f>IF(OR(AS328="",AR328="",AR328=0,AS328=0),"",AS328/AR328-1)</f>
        <v/>
      </c>
      <c r="AV328" s="43">
        <f>IF(OR(AR328="",AK328="",AK328=0),"",AR328/AK328)</f>
        <v/>
      </c>
      <c r="AW328" s="43">
        <f>IF(OR(AS328="",AL328="",AL328=0),"",AS328/AL328)</f>
        <v/>
      </c>
      <c r="AX328" s="44">
        <f>IF(OR(AW328="",AV328=""),"",(AW328-AV328)*100)</f>
        <v/>
      </c>
      <c r="AY328" s="45">
        <f>IF(OR(AR328="",P328="",P328=0),"",AR328/P328)</f>
        <v/>
      </c>
      <c r="AZ328" s="45">
        <f>IF(OR(AS328="",Q328="",Q328=0),"",AS328/Q328)</f>
        <v/>
      </c>
      <c r="BA328" s="44">
        <f>IF(OR(AZ328="",AY328=""),"",(AZ328-AY328)*100)</f>
        <v/>
      </c>
      <c r="BB328" s="45">
        <f>IF(OR(AR328="",E328="",E328=0),"",AR328/E328)</f>
        <v/>
      </c>
      <c r="BC328" s="45">
        <f>IF(OR(AS328="",F328="",F328=0),"",AS328/F328)</f>
        <v/>
      </c>
      <c r="BD328" s="44">
        <f>IF(OR(BC328="",BB328=""),"",(BC328-BB328)*100)</f>
        <v/>
      </c>
      <c r="BE328" s="40">
        <f>IF(AND(F328&lt;&gt;"",E328&lt;&gt;""),"Both years",IF(F328&lt;&gt;"","1-23Aug26 rows only","1-23Aug25 rows only"))</f>
        <v/>
      </c>
    </row>
    <row r="329">
      <c r="A329" s="40" t="inlineStr">
        <is>
          <t>Route page</t>
        </is>
      </c>
      <c r="B329" s="40" t="inlineStr">
        <is>
          <t>Paid Search</t>
        </is>
      </c>
      <c r="C329" s="40" t="inlineStr">
        <is>
          <t>Mobile</t>
        </is>
      </c>
      <c r="D329" s="40" t="inlineStr">
        <is>
          <t>Spain</t>
        </is>
      </c>
      <c r="E329" s="68" t="n">
        <v>1823</v>
      </c>
      <c r="F329" s="68" t="n">
        <v>888</v>
      </c>
      <c r="G329" s="69">
        <f>IF(OR(F329="",E329="",E329=0,F329=0),"",F329-E329)</f>
        <v/>
      </c>
      <c r="H329" s="42">
        <f>IF(OR(F329="",E329="",E329=0,F329=0),"",F329/E329-1)</f>
        <v/>
      </c>
      <c r="I329" s="68" t="n">
        <v>1365</v>
      </c>
      <c r="J329" s="68" t="n">
        <v>484</v>
      </c>
      <c r="K329" s="69">
        <f>IF(OR(J329="",I329="",I329=0,J329=0),"",J329-I329)</f>
        <v/>
      </c>
      <c r="L329" s="42">
        <f>IF(OR(J329="",I329="",I329=0,J329=0),"",J329/I329-1)</f>
        <v/>
      </c>
      <c r="M329" s="43">
        <f>IF(OR(I329="",E329="",E329=0),"",I329/E329)</f>
        <v/>
      </c>
      <c r="N329" s="43">
        <f>IF(OR(J329="",F329="",F329=0),"",J329/F329)</f>
        <v/>
      </c>
      <c r="O329" s="44">
        <f>IF(OR(N329="",M329=""),"",(N329-M329)*100)</f>
        <v/>
      </c>
      <c r="P329" s="68" t="n">
        <v>1172</v>
      </c>
      <c r="Q329" s="68" t="n">
        <v>503</v>
      </c>
      <c r="R329" s="69">
        <f>IF(OR(Q329="",P329="",P329=0,Q329=0),"",Q329-P329)</f>
        <v/>
      </c>
      <c r="S329" s="42">
        <f>IF(OR(Q329="",P329="",P329=0,Q329=0),"",Q329/P329-1)</f>
        <v/>
      </c>
      <c r="T329" s="43">
        <f>IF(OR(P329="",E329="",E329=0),"",P329/E329)</f>
        <v/>
      </c>
      <c r="U329" s="43">
        <f>IF(OR(Q329="",F329="",F329=0),"",Q329/F329)</f>
        <v/>
      </c>
      <c r="V329" s="44">
        <f>IF(OR(U329="",T329=""),"",(U329-T329)*100)</f>
        <v/>
      </c>
      <c r="W329" s="68" t="n">
        <v>207</v>
      </c>
      <c r="X329" s="68" t="n">
        <v>112</v>
      </c>
      <c r="Y329" s="69">
        <f>IF(OR(X329="",W329="",W329=0,X329=0),"",X329-W329)</f>
        <v/>
      </c>
      <c r="Z329" s="42">
        <f>IF(OR(X329="",W329="",W329=0,X329=0),"",X329/W329-1)</f>
        <v/>
      </c>
      <c r="AA329" s="43">
        <f>IF(OR(W329="",P329="",P329=0),"",W329/P329)</f>
        <v/>
      </c>
      <c r="AB329" s="43">
        <f>IF(OR(X329="",Q329="",Q329=0),"",X329/Q329)</f>
        <v/>
      </c>
      <c r="AC329" s="44">
        <f>IF(OR(AB329="",AA329=""),"",(AB329-AA329)*100)</f>
        <v/>
      </c>
      <c r="AD329" s="68" t="n">
        <v>145</v>
      </c>
      <c r="AE329" s="68" t="n">
        <v>75</v>
      </c>
      <c r="AF329" s="69">
        <f>IF(OR(AE329="",AD329="",AD329=0,AE329=0),"",AE329-AD329)</f>
        <v/>
      </c>
      <c r="AG329" s="42">
        <f>IF(OR(AE329="",AD329="",AD329=0,AE329=0),"",AE329/AD329-1)</f>
        <v/>
      </c>
      <c r="AH329" s="43">
        <f>IF(OR(AD329="",W329="",W329=0),"",AD329/W329)</f>
        <v/>
      </c>
      <c r="AI329" s="43">
        <f>IF(OR(AE329="",X329="",X329=0),"",AE329/X329)</f>
        <v/>
      </c>
      <c r="AJ329" s="44">
        <f>IF(OR(AI329="",AH329=""),"",(AI329-AH329)*100)</f>
        <v/>
      </c>
      <c r="AK329" s="68" t="n">
        <v>34</v>
      </c>
      <c r="AL329" s="68" t="n">
        <v>24</v>
      </c>
      <c r="AM329" s="69">
        <f>IF(OR(AL329="",AK329="",AK329=0,AL329=0),"",AL329-AK329)</f>
        <v/>
      </c>
      <c r="AN329" s="42">
        <f>IF(OR(AL329="",AK329="",AK329=0,AL329=0),"",AL329/AK329-1)</f>
        <v/>
      </c>
      <c r="AO329" s="43">
        <f>IF(OR(AK329="",AD329="",AD329=0),"",AK329/AD329)</f>
        <v/>
      </c>
      <c r="AP329" s="43">
        <f>IF(OR(AL329="",AE329="",AE329=0),"",AL329/AE329)</f>
        <v/>
      </c>
      <c r="AQ329" s="44">
        <f>IF(OR(AP329="",AO329=""),"",(AP329-AO329)*100)</f>
        <v/>
      </c>
      <c r="AR329" s="68" t="n">
        <v>25</v>
      </c>
      <c r="AS329" s="68" t="n">
        <v>13</v>
      </c>
      <c r="AT329" s="69">
        <f>IF(OR(AS329="",AR329="",AR329=0,AS329=0),"",AS329-AR329)</f>
        <v/>
      </c>
      <c r="AU329" s="42">
        <f>IF(OR(AS329="",AR329="",AR329=0,AS329=0),"",AS329/AR329-1)</f>
        <v/>
      </c>
      <c r="AV329" s="43">
        <f>IF(OR(AR329="",AK329="",AK329=0),"",AR329/AK329)</f>
        <v/>
      </c>
      <c r="AW329" s="43">
        <f>IF(OR(AS329="",AL329="",AL329=0),"",AS329/AL329)</f>
        <v/>
      </c>
      <c r="AX329" s="44">
        <f>IF(OR(AW329="",AV329=""),"",(AW329-AV329)*100)</f>
        <v/>
      </c>
      <c r="AY329" s="45">
        <f>IF(OR(AR329="",P329="",P329=0),"",AR329/P329)</f>
        <v/>
      </c>
      <c r="AZ329" s="45">
        <f>IF(OR(AS329="",Q329="",Q329=0),"",AS329/Q329)</f>
        <v/>
      </c>
      <c r="BA329" s="44">
        <f>IF(OR(AZ329="",AY329=""),"",(AZ329-AY329)*100)</f>
        <v/>
      </c>
      <c r="BB329" s="45">
        <f>IF(OR(AR329="",E329="",E329=0),"",AR329/E329)</f>
        <v/>
      </c>
      <c r="BC329" s="45">
        <f>IF(OR(AS329="",F329="",F329=0),"",AS329/F329)</f>
        <v/>
      </c>
      <c r="BD329" s="44">
        <f>IF(OR(BC329="",BB329=""),"",(BC329-BB329)*100)</f>
        <v/>
      </c>
      <c r="BE329" s="40">
        <f>IF(AND(F329&lt;&gt;"",E329&lt;&gt;""),"Both years",IF(F329&lt;&gt;"","1-23Aug26 rows only","1-23Aug25 rows only"))</f>
        <v/>
      </c>
    </row>
    <row r="330">
      <c r="A330" s="56" t="inlineStr">
        <is>
          <t>Route page</t>
        </is>
      </c>
      <c r="B330" s="56" t="inlineStr">
        <is>
          <t>Paid Search</t>
        </is>
      </c>
      <c r="C330" s="56" t="inlineStr">
        <is>
          <t>Mobile</t>
        </is>
      </c>
      <c r="D330" s="56" t="inlineStr">
        <is>
          <t>Netherlands</t>
        </is>
      </c>
      <c r="E330" s="68" t="n">
        <v>815</v>
      </c>
      <c r="F330" s="68" t="n">
        <v>772</v>
      </c>
      <c r="G330" s="69">
        <f>IF(OR(F330="",E330="",E330=0,F330=0),"",F330-E330)</f>
        <v/>
      </c>
      <c r="H330" s="42">
        <f>IF(OR(F330="",E330="",E330=0,F330=0),"",F330/E330-1)</f>
        <v/>
      </c>
      <c r="I330" s="68" t="n">
        <v>600</v>
      </c>
      <c r="J330" s="68" t="n">
        <v>492</v>
      </c>
      <c r="K330" s="69">
        <f>IF(OR(J330="",I330="",I330=0,J330=0),"",J330-I330)</f>
        <v/>
      </c>
      <c r="L330" s="42">
        <f>IF(OR(J330="",I330="",I330=0,J330=0),"",J330/I330-1)</f>
        <v/>
      </c>
      <c r="M330" s="43">
        <f>IF(OR(I330="",E330="",E330=0),"",I330/E330)</f>
        <v/>
      </c>
      <c r="N330" s="43">
        <f>IF(OR(J330="",F330="",F330=0),"",J330/F330)</f>
        <v/>
      </c>
      <c r="O330" s="44">
        <f>IF(OR(N330="",M330=""),"",(N330-M330)*100)</f>
        <v/>
      </c>
      <c r="P330" s="68" t="n">
        <v>548</v>
      </c>
      <c r="Q330" s="68" t="n">
        <v>497</v>
      </c>
      <c r="R330" s="69">
        <f>IF(OR(Q330="",P330="",P330=0,Q330=0),"",Q330-P330)</f>
        <v/>
      </c>
      <c r="S330" s="42">
        <f>IF(OR(Q330="",P330="",P330=0,Q330=0),"",Q330/P330-1)</f>
        <v/>
      </c>
      <c r="T330" s="43">
        <f>IF(OR(P330="",E330="",E330=0),"",P330/E330)</f>
        <v/>
      </c>
      <c r="U330" s="43">
        <f>IF(OR(Q330="",F330="",F330=0),"",Q330/F330)</f>
        <v/>
      </c>
      <c r="V330" s="44">
        <f>IF(OR(U330="",T330=""),"",(U330-T330)*100)</f>
        <v/>
      </c>
      <c r="W330" s="68" t="n">
        <v>109</v>
      </c>
      <c r="X330" s="68" t="n">
        <v>100</v>
      </c>
      <c r="Y330" s="69">
        <f>IF(OR(X330="",W330="",W330=0,X330=0),"",X330-W330)</f>
        <v/>
      </c>
      <c r="Z330" s="42">
        <f>IF(OR(X330="",W330="",W330=0,X330=0),"",X330/W330-1)</f>
        <v/>
      </c>
      <c r="AA330" s="43">
        <f>IF(OR(W330="",P330="",P330=0),"",W330/P330)</f>
        <v/>
      </c>
      <c r="AB330" s="43">
        <f>IF(OR(X330="",Q330="",Q330=0),"",X330/Q330)</f>
        <v/>
      </c>
      <c r="AC330" s="44">
        <f>IF(OR(AB330="",AA330=""),"",(AB330-AA330)*100)</f>
        <v/>
      </c>
      <c r="AD330" s="68" t="n">
        <v>74</v>
      </c>
      <c r="AE330" s="68" t="n">
        <v>64</v>
      </c>
      <c r="AF330" s="69">
        <f>IF(OR(AE330="",AD330="",AD330=0,AE330=0),"",AE330-AD330)</f>
        <v/>
      </c>
      <c r="AG330" s="42">
        <f>IF(OR(AE330="",AD330="",AD330=0,AE330=0),"",AE330/AD330-1)</f>
        <v/>
      </c>
      <c r="AH330" s="43">
        <f>IF(OR(AD330="",W330="",W330=0),"",AD330/W330)</f>
        <v/>
      </c>
      <c r="AI330" s="43">
        <f>IF(OR(AE330="",X330="",X330=0),"",AE330/X330)</f>
        <v/>
      </c>
      <c r="AJ330" s="44">
        <f>IF(OR(AI330="",AH330=""),"",(AI330-AH330)*100)</f>
        <v/>
      </c>
      <c r="AK330" s="68" t="n">
        <v>16</v>
      </c>
      <c r="AL330" s="68" t="n">
        <v>19</v>
      </c>
      <c r="AM330" s="69">
        <f>IF(OR(AL330="",AK330="",AK330=0,AL330=0),"",AL330-AK330)</f>
        <v/>
      </c>
      <c r="AN330" s="42">
        <f>IF(OR(AL330="",AK330="",AK330=0,AL330=0),"",AL330/AK330-1)</f>
        <v/>
      </c>
      <c r="AO330" s="43">
        <f>IF(OR(AK330="",AD330="",AD330=0),"",AK330/AD330)</f>
        <v/>
      </c>
      <c r="AP330" s="43">
        <f>IF(OR(AL330="",AE330="",AE330=0),"",AL330/AE330)</f>
        <v/>
      </c>
      <c r="AQ330" s="44">
        <f>IF(OR(AP330="",AO330=""),"",(AP330-AO330)*100)</f>
        <v/>
      </c>
      <c r="AR330" s="68" t="n">
        <v>5</v>
      </c>
      <c r="AS330" s="68" t="n">
        <v>3</v>
      </c>
      <c r="AT330" s="69">
        <f>IF(OR(AS330="",AR330="",AR330=0,AS330=0),"",AS330-AR330)</f>
        <v/>
      </c>
      <c r="AU330" s="42">
        <f>IF(OR(AS330="",AR330="",AR330=0,AS330=0),"",AS330/AR330-1)</f>
        <v/>
      </c>
      <c r="AV330" s="43">
        <f>IF(OR(AR330="",AK330="",AK330=0),"",AR330/AK330)</f>
        <v/>
      </c>
      <c r="AW330" s="43">
        <f>IF(OR(AS330="",AL330="",AL330=0),"",AS330/AL330)</f>
        <v/>
      </c>
      <c r="AX330" s="44">
        <f>IF(OR(AW330="",AV330=""),"",(AW330-AV330)*100)</f>
        <v/>
      </c>
      <c r="AY330" s="45">
        <f>IF(OR(AR330="",P330="",P330=0),"",AR330/P330)</f>
        <v/>
      </c>
      <c r="AZ330" s="45">
        <f>IF(OR(AS330="",Q330="",Q330=0),"",AS330/Q330)</f>
        <v/>
      </c>
      <c r="BA330" s="44">
        <f>IF(OR(AZ330="",AY330=""),"",(AZ330-AY330)*100)</f>
        <v/>
      </c>
      <c r="BB330" s="45">
        <f>IF(OR(AR330="",E330="",E330=0),"",AR330/E330)</f>
        <v/>
      </c>
      <c r="BC330" s="45">
        <f>IF(OR(AS330="",F330="",F330=0),"",AS330/F330)</f>
        <v/>
      </c>
      <c r="BD330" s="44">
        <f>IF(OR(BC330="",BB330=""),"",(BC330-BB330)*100)</f>
        <v/>
      </c>
      <c r="BE330" s="40">
        <f>IF(AND(F330&lt;&gt;"",E330&lt;&gt;""),"Both years",IF(F330&lt;&gt;"","1-23Aug26 rows only","1-23Aug25 rows only"))</f>
        <v/>
      </c>
    </row>
    <row r="331">
      <c r="A331" s="40" t="inlineStr">
        <is>
          <t>Route page</t>
        </is>
      </c>
      <c r="B331" s="40" t="inlineStr">
        <is>
          <t>Paid Search</t>
        </is>
      </c>
      <c r="C331" s="40" t="inlineStr">
        <is>
          <t>Mobile</t>
        </is>
      </c>
      <c r="D331" s="40" t="inlineStr">
        <is>
          <t>Poland</t>
        </is>
      </c>
      <c r="E331" s="68" t="n">
        <v>767</v>
      </c>
      <c r="F331" s="68" t="n">
        <v>691</v>
      </c>
      <c r="G331" s="69">
        <f>IF(OR(F331="",E331="",E331=0,F331=0),"",F331-E331)</f>
        <v/>
      </c>
      <c r="H331" s="42">
        <f>IF(OR(F331="",E331="",E331=0,F331=0),"",F331/E331-1)</f>
        <v/>
      </c>
      <c r="I331" s="70" t="n"/>
      <c r="J331" s="70" t="n"/>
      <c r="K331" s="69">
        <f>IF(OR(J331="",I331="",I331=0,J331=0),"",J331-I331)</f>
        <v/>
      </c>
      <c r="L331" s="42">
        <f>IF(OR(J331="",I331="",I331=0,J331=0),"",J331/I331-1)</f>
        <v/>
      </c>
      <c r="M331" s="43">
        <f>IF(OR(I331="",E331="",E331=0),"",I331/E331)</f>
        <v/>
      </c>
      <c r="N331" s="43">
        <f>IF(OR(J331="",F331="",F331=0),"",J331/F331)</f>
        <v/>
      </c>
      <c r="O331" s="44">
        <f>IF(OR(N331="",M331=""),"",(N331-M331)*100)</f>
        <v/>
      </c>
      <c r="P331" s="68" t="n">
        <v>538</v>
      </c>
      <c r="Q331" s="68" t="n">
        <v>455</v>
      </c>
      <c r="R331" s="69">
        <f>IF(OR(Q331="",P331="",P331=0,Q331=0),"",Q331-P331)</f>
        <v/>
      </c>
      <c r="S331" s="42">
        <f>IF(OR(Q331="",P331="",P331=0,Q331=0),"",Q331/P331-1)</f>
        <v/>
      </c>
      <c r="T331" s="43">
        <f>IF(OR(P331="",E331="",E331=0),"",P331/E331)</f>
        <v/>
      </c>
      <c r="U331" s="43">
        <f>IF(OR(Q331="",F331="",F331=0),"",Q331/F331)</f>
        <v/>
      </c>
      <c r="V331" s="44">
        <f>IF(OR(U331="",T331=""),"",(U331-T331)*100)</f>
        <v/>
      </c>
      <c r="W331" s="70" t="n"/>
      <c r="X331" s="70" t="n"/>
      <c r="Y331" s="69">
        <f>IF(OR(X331="",W331="",W331=0,X331=0),"",X331-W331)</f>
        <v/>
      </c>
      <c r="Z331" s="42">
        <f>IF(OR(X331="",W331="",W331=0,X331=0),"",X331/W331-1)</f>
        <v/>
      </c>
      <c r="AA331" s="43">
        <f>IF(OR(W331="",P331="",P331=0),"",W331/P331)</f>
        <v/>
      </c>
      <c r="AB331" s="43">
        <f>IF(OR(X331="",Q331="",Q331=0),"",X331/Q331)</f>
        <v/>
      </c>
      <c r="AC331" s="44">
        <f>IF(OR(AB331="",AA331=""),"",(AB331-AA331)*100)</f>
        <v/>
      </c>
      <c r="AD331" s="70" t="n"/>
      <c r="AE331" s="70" t="n"/>
      <c r="AF331" s="69">
        <f>IF(OR(AE331="",AD331="",AD331=0,AE331=0),"",AE331-AD331)</f>
        <v/>
      </c>
      <c r="AG331" s="42">
        <f>IF(OR(AE331="",AD331="",AD331=0,AE331=0),"",AE331/AD331-1)</f>
        <v/>
      </c>
      <c r="AH331" s="43">
        <f>IF(OR(AD331="",W331="",W331=0),"",AD331/W331)</f>
        <v/>
      </c>
      <c r="AI331" s="43">
        <f>IF(OR(AE331="",X331="",X331=0),"",AE331/X331)</f>
        <v/>
      </c>
      <c r="AJ331" s="44">
        <f>IF(OR(AI331="",AH331=""),"",(AI331-AH331)*100)</f>
        <v/>
      </c>
      <c r="AK331" s="70" t="n"/>
      <c r="AL331" s="70" t="n"/>
      <c r="AM331" s="69">
        <f>IF(OR(AL331="",AK331="",AK331=0,AL331=0),"",AL331-AK331)</f>
        <v/>
      </c>
      <c r="AN331" s="42">
        <f>IF(OR(AL331="",AK331="",AK331=0,AL331=0),"",AL331/AK331-1)</f>
        <v/>
      </c>
      <c r="AO331" s="43">
        <f>IF(OR(AK331="",AD331="",AD331=0),"",AK331/AD331)</f>
        <v/>
      </c>
      <c r="AP331" s="43">
        <f>IF(OR(AL331="",AE331="",AE331=0),"",AL331/AE331)</f>
        <v/>
      </c>
      <c r="AQ331" s="44">
        <f>IF(OR(AP331="",AO331=""),"",(AP331-AO331)*100)</f>
        <v/>
      </c>
      <c r="AR331" s="70" t="n"/>
      <c r="AS331" s="70" t="n"/>
      <c r="AT331" s="69">
        <f>IF(OR(AS331="",AR331="",AR331=0,AS331=0),"",AS331-AR331)</f>
        <v/>
      </c>
      <c r="AU331" s="42">
        <f>IF(OR(AS331="",AR331="",AR331=0,AS331=0),"",AS331/AR331-1)</f>
        <v/>
      </c>
      <c r="AV331" s="43">
        <f>IF(OR(AR331="",AK331="",AK331=0),"",AR331/AK331)</f>
        <v/>
      </c>
      <c r="AW331" s="43">
        <f>IF(OR(AS331="",AL331="",AL331=0),"",AS331/AL331)</f>
        <v/>
      </c>
      <c r="AX331" s="44">
        <f>IF(OR(AW331="",AV331=""),"",(AW331-AV331)*100)</f>
        <v/>
      </c>
      <c r="AY331" s="45">
        <f>IF(OR(AR331="",P331="",P331=0),"",AR331/P331)</f>
        <v/>
      </c>
      <c r="AZ331" s="45">
        <f>IF(OR(AS331="",Q331="",Q331=0),"",AS331/Q331)</f>
        <v/>
      </c>
      <c r="BA331" s="44">
        <f>IF(OR(AZ331="",AY331=""),"",(AZ331-AY331)*100)</f>
        <v/>
      </c>
      <c r="BB331" s="45">
        <f>IF(OR(AR331="",E331="",E331=0),"",AR331/E331)</f>
        <v/>
      </c>
      <c r="BC331" s="45">
        <f>IF(OR(AS331="",F331="",F331=0),"",AS331/F331)</f>
        <v/>
      </c>
      <c r="BD331" s="44">
        <f>IF(OR(BC331="",BB331=""),"",(BC331-BB331)*100)</f>
        <v/>
      </c>
      <c r="BE331" s="40">
        <f>IF(AND(F331&lt;&gt;"",E331&lt;&gt;""),"Both years",IF(F331&lt;&gt;"","1-23Aug26 rows only","1-23Aug25 rows only"))</f>
        <v/>
      </c>
    </row>
    <row r="332">
      <c r="A332" s="56" t="inlineStr">
        <is>
          <t>Route page</t>
        </is>
      </c>
      <c r="B332" s="56" t="inlineStr">
        <is>
          <t>Paid Search</t>
        </is>
      </c>
      <c r="C332" s="56" t="inlineStr">
        <is>
          <t>Mobile</t>
        </is>
      </c>
      <c r="D332" s="56" t="inlineStr">
        <is>
          <t>France</t>
        </is>
      </c>
      <c r="E332" s="68" t="n">
        <v>770</v>
      </c>
      <c r="F332" s="68" t="n">
        <v>572</v>
      </c>
      <c r="G332" s="69">
        <f>IF(OR(F332="",E332="",E332=0,F332=0),"",F332-E332)</f>
        <v/>
      </c>
      <c r="H332" s="42">
        <f>IF(OR(F332="",E332="",E332=0,F332=0),"",F332/E332-1)</f>
        <v/>
      </c>
      <c r="I332" s="68" t="n">
        <v>555</v>
      </c>
      <c r="J332" s="68" t="n">
        <v>305</v>
      </c>
      <c r="K332" s="69">
        <f>IF(OR(J332="",I332="",I332=0,J332=0),"",J332-I332)</f>
        <v/>
      </c>
      <c r="L332" s="42">
        <f>IF(OR(J332="",I332="",I332=0,J332=0),"",J332/I332-1)</f>
        <v/>
      </c>
      <c r="M332" s="43">
        <f>IF(OR(I332="",E332="",E332=0),"",I332/E332)</f>
        <v/>
      </c>
      <c r="N332" s="43">
        <f>IF(OR(J332="",F332="",F332=0),"",J332/F332)</f>
        <v/>
      </c>
      <c r="O332" s="44">
        <f>IF(OR(N332="",M332=""),"",(N332-M332)*100)</f>
        <v/>
      </c>
      <c r="P332" s="68" t="n">
        <v>474</v>
      </c>
      <c r="Q332" s="68" t="n">
        <v>304</v>
      </c>
      <c r="R332" s="69">
        <f>IF(OR(Q332="",P332="",P332=0,Q332=0),"",Q332-P332)</f>
        <v/>
      </c>
      <c r="S332" s="42">
        <f>IF(OR(Q332="",P332="",P332=0,Q332=0),"",Q332/P332-1)</f>
        <v/>
      </c>
      <c r="T332" s="43">
        <f>IF(OR(P332="",E332="",E332=0),"",P332/E332)</f>
        <v/>
      </c>
      <c r="U332" s="43">
        <f>IF(OR(Q332="",F332="",F332=0),"",Q332/F332)</f>
        <v/>
      </c>
      <c r="V332" s="44">
        <f>IF(OR(U332="",T332=""),"",(U332-T332)*100)</f>
        <v/>
      </c>
      <c r="W332" s="68" t="n">
        <v>112</v>
      </c>
      <c r="X332" s="68" t="n">
        <v>92</v>
      </c>
      <c r="Y332" s="69">
        <f>IF(OR(X332="",W332="",W332=0,X332=0),"",X332-W332)</f>
        <v/>
      </c>
      <c r="Z332" s="42">
        <f>IF(OR(X332="",W332="",W332=0,X332=0),"",X332/W332-1)</f>
        <v/>
      </c>
      <c r="AA332" s="43">
        <f>IF(OR(W332="",P332="",P332=0),"",W332/P332)</f>
        <v/>
      </c>
      <c r="AB332" s="43">
        <f>IF(OR(X332="",Q332="",Q332=0),"",X332/Q332)</f>
        <v/>
      </c>
      <c r="AC332" s="44">
        <f>IF(OR(AB332="",AA332=""),"",(AB332-AA332)*100)</f>
        <v/>
      </c>
      <c r="AD332" s="68" t="n">
        <v>73</v>
      </c>
      <c r="AE332" s="68" t="n">
        <v>54</v>
      </c>
      <c r="AF332" s="69">
        <f>IF(OR(AE332="",AD332="",AD332=0,AE332=0),"",AE332-AD332)</f>
        <v/>
      </c>
      <c r="AG332" s="42">
        <f>IF(OR(AE332="",AD332="",AD332=0,AE332=0),"",AE332/AD332-1)</f>
        <v/>
      </c>
      <c r="AH332" s="43">
        <f>IF(OR(AD332="",W332="",W332=0),"",AD332/W332)</f>
        <v/>
      </c>
      <c r="AI332" s="43">
        <f>IF(OR(AE332="",X332="",X332=0),"",AE332/X332)</f>
        <v/>
      </c>
      <c r="AJ332" s="44">
        <f>IF(OR(AI332="",AH332=""),"",(AI332-AH332)*100)</f>
        <v/>
      </c>
      <c r="AK332" s="68" t="n">
        <v>20</v>
      </c>
      <c r="AL332" s="68" t="n">
        <v>10</v>
      </c>
      <c r="AM332" s="69">
        <f>IF(OR(AL332="",AK332="",AK332=0,AL332=0),"",AL332-AK332)</f>
        <v/>
      </c>
      <c r="AN332" s="42">
        <f>IF(OR(AL332="",AK332="",AK332=0,AL332=0),"",AL332/AK332-1)</f>
        <v/>
      </c>
      <c r="AO332" s="43">
        <f>IF(OR(AK332="",AD332="",AD332=0),"",AK332/AD332)</f>
        <v/>
      </c>
      <c r="AP332" s="43">
        <f>IF(OR(AL332="",AE332="",AE332=0),"",AL332/AE332)</f>
        <v/>
      </c>
      <c r="AQ332" s="44">
        <f>IF(OR(AP332="",AO332=""),"",(AP332-AO332)*100)</f>
        <v/>
      </c>
      <c r="AR332" s="68" t="n">
        <v>13</v>
      </c>
      <c r="AS332" s="68" t="n">
        <v>9</v>
      </c>
      <c r="AT332" s="69">
        <f>IF(OR(AS332="",AR332="",AR332=0,AS332=0),"",AS332-AR332)</f>
        <v/>
      </c>
      <c r="AU332" s="42">
        <f>IF(OR(AS332="",AR332="",AR332=0,AS332=0),"",AS332/AR332-1)</f>
        <v/>
      </c>
      <c r="AV332" s="43">
        <f>IF(OR(AR332="",AK332="",AK332=0),"",AR332/AK332)</f>
        <v/>
      </c>
      <c r="AW332" s="43">
        <f>IF(OR(AS332="",AL332="",AL332=0),"",AS332/AL332)</f>
        <v/>
      </c>
      <c r="AX332" s="44">
        <f>IF(OR(AW332="",AV332=""),"",(AW332-AV332)*100)</f>
        <v/>
      </c>
      <c r="AY332" s="45">
        <f>IF(OR(AR332="",P332="",P332=0),"",AR332/P332)</f>
        <v/>
      </c>
      <c r="AZ332" s="45">
        <f>IF(OR(AS332="",Q332="",Q332=0),"",AS332/Q332)</f>
        <v/>
      </c>
      <c r="BA332" s="44">
        <f>IF(OR(AZ332="",AY332=""),"",(AZ332-AY332)*100)</f>
        <v/>
      </c>
      <c r="BB332" s="45">
        <f>IF(OR(AR332="",E332="",E332=0),"",AR332/E332)</f>
        <v/>
      </c>
      <c r="BC332" s="45">
        <f>IF(OR(AS332="",F332="",F332=0),"",AS332/F332)</f>
        <v/>
      </c>
      <c r="BD332" s="44">
        <f>IF(OR(BC332="",BB332=""),"",(BC332-BB332)*100)</f>
        <v/>
      </c>
      <c r="BE332" s="40">
        <f>IF(AND(F332&lt;&gt;"",E332&lt;&gt;""),"Both years",IF(F332&lt;&gt;"","1-23Aug26 rows only","1-23Aug25 rows only"))</f>
        <v/>
      </c>
    </row>
    <row r="333">
      <c r="A333" s="40" t="inlineStr">
        <is>
          <t>Route page</t>
        </is>
      </c>
      <c r="B333" s="40" t="inlineStr">
        <is>
          <t>Paid Search</t>
        </is>
      </c>
      <c r="C333" s="40" t="inlineStr">
        <is>
          <t>Mobile</t>
        </is>
      </c>
      <c r="D333" s="40" t="inlineStr">
        <is>
          <t>Sweden</t>
        </is>
      </c>
      <c r="E333" s="68" t="n">
        <v>938</v>
      </c>
      <c r="F333" s="68" t="n">
        <v>570</v>
      </c>
      <c r="G333" s="69">
        <f>IF(OR(F333="",E333="",E333=0,F333=0),"",F333-E333)</f>
        <v/>
      </c>
      <c r="H333" s="42">
        <f>IF(OR(F333="",E333="",E333=0,F333=0),"",F333/E333-1)</f>
        <v/>
      </c>
      <c r="I333" s="68" t="n">
        <v>685</v>
      </c>
      <c r="J333" s="68" t="n">
        <v>330</v>
      </c>
      <c r="K333" s="69">
        <f>IF(OR(J333="",I333="",I333=0,J333=0),"",J333-I333)</f>
        <v/>
      </c>
      <c r="L333" s="42">
        <f>IF(OR(J333="",I333="",I333=0,J333=0),"",J333/I333-1)</f>
        <v/>
      </c>
      <c r="M333" s="43">
        <f>IF(OR(I333="",E333="",E333=0),"",I333/E333)</f>
        <v/>
      </c>
      <c r="N333" s="43">
        <f>IF(OR(J333="",F333="",F333=0),"",J333/F333)</f>
        <v/>
      </c>
      <c r="O333" s="44">
        <f>IF(OR(N333="",M333=""),"",(N333-M333)*100)</f>
        <v/>
      </c>
      <c r="P333" s="68" t="n">
        <v>641</v>
      </c>
      <c r="Q333" s="68" t="n">
        <v>345</v>
      </c>
      <c r="R333" s="69">
        <f>IF(OR(Q333="",P333="",P333=0,Q333=0),"",Q333-P333)</f>
        <v/>
      </c>
      <c r="S333" s="42">
        <f>IF(OR(Q333="",P333="",P333=0,Q333=0),"",Q333/P333-1)</f>
        <v/>
      </c>
      <c r="T333" s="43">
        <f>IF(OR(P333="",E333="",E333=0),"",P333/E333)</f>
        <v/>
      </c>
      <c r="U333" s="43">
        <f>IF(OR(Q333="",F333="",F333=0),"",Q333/F333)</f>
        <v/>
      </c>
      <c r="V333" s="44">
        <f>IF(OR(U333="",T333=""),"",(U333-T333)*100)</f>
        <v/>
      </c>
      <c r="W333" s="68" t="n">
        <v>135</v>
      </c>
      <c r="X333" s="68" t="n">
        <v>58</v>
      </c>
      <c r="Y333" s="69">
        <f>IF(OR(X333="",W333="",W333=0,X333=0),"",X333-W333)</f>
        <v/>
      </c>
      <c r="Z333" s="42">
        <f>IF(OR(X333="",W333="",W333=0,X333=0),"",X333/W333-1)</f>
        <v/>
      </c>
      <c r="AA333" s="43">
        <f>IF(OR(W333="",P333="",P333=0),"",W333/P333)</f>
        <v/>
      </c>
      <c r="AB333" s="43">
        <f>IF(OR(X333="",Q333="",Q333=0),"",X333/Q333)</f>
        <v/>
      </c>
      <c r="AC333" s="44">
        <f>IF(OR(AB333="",AA333=""),"",(AB333-AA333)*100)</f>
        <v/>
      </c>
      <c r="AD333" s="68" t="n">
        <v>88</v>
      </c>
      <c r="AE333" s="68" t="n">
        <v>41</v>
      </c>
      <c r="AF333" s="69">
        <f>IF(OR(AE333="",AD333="",AD333=0,AE333=0),"",AE333-AD333)</f>
        <v/>
      </c>
      <c r="AG333" s="42">
        <f>IF(OR(AE333="",AD333="",AD333=0,AE333=0),"",AE333/AD333-1)</f>
        <v/>
      </c>
      <c r="AH333" s="43">
        <f>IF(OR(AD333="",W333="",W333=0),"",AD333/W333)</f>
        <v/>
      </c>
      <c r="AI333" s="43">
        <f>IF(OR(AE333="",X333="",X333=0),"",AE333/X333)</f>
        <v/>
      </c>
      <c r="AJ333" s="44">
        <f>IF(OR(AI333="",AH333=""),"",(AI333-AH333)*100)</f>
        <v/>
      </c>
      <c r="AK333" s="68" t="n">
        <v>18</v>
      </c>
      <c r="AL333" s="68" t="n">
        <v>8</v>
      </c>
      <c r="AM333" s="69">
        <f>IF(OR(AL333="",AK333="",AK333=0,AL333=0),"",AL333-AK333)</f>
        <v/>
      </c>
      <c r="AN333" s="42">
        <f>IF(OR(AL333="",AK333="",AK333=0,AL333=0),"",AL333/AK333-1)</f>
        <v/>
      </c>
      <c r="AO333" s="43">
        <f>IF(OR(AK333="",AD333="",AD333=0),"",AK333/AD333)</f>
        <v/>
      </c>
      <c r="AP333" s="43">
        <f>IF(OR(AL333="",AE333="",AE333=0),"",AL333/AE333)</f>
        <v/>
      </c>
      <c r="AQ333" s="44">
        <f>IF(OR(AP333="",AO333=""),"",(AP333-AO333)*100)</f>
        <v/>
      </c>
      <c r="AR333" s="68" t="n">
        <v>14</v>
      </c>
      <c r="AS333" s="68" t="n">
        <v>6</v>
      </c>
      <c r="AT333" s="69">
        <f>IF(OR(AS333="",AR333="",AR333=0,AS333=0),"",AS333-AR333)</f>
        <v/>
      </c>
      <c r="AU333" s="42">
        <f>IF(OR(AS333="",AR333="",AR333=0,AS333=0),"",AS333/AR333-1)</f>
        <v/>
      </c>
      <c r="AV333" s="43">
        <f>IF(OR(AR333="",AK333="",AK333=0),"",AR333/AK333)</f>
        <v/>
      </c>
      <c r="AW333" s="43">
        <f>IF(OR(AS333="",AL333="",AL333=0),"",AS333/AL333)</f>
        <v/>
      </c>
      <c r="AX333" s="44">
        <f>IF(OR(AW333="",AV333=""),"",(AW333-AV333)*100)</f>
        <v/>
      </c>
      <c r="AY333" s="45">
        <f>IF(OR(AR333="",P333="",P333=0),"",AR333/P333)</f>
        <v/>
      </c>
      <c r="AZ333" s="45">
        <f>IF(OR(AS333="",Q333="",Q333=0),"",AS333/Q333)</f>
        <v/>
      </c>
      <c r="BA333" s="44">
        <f>IF(OR(AZ333="",AY333=""),"",(AZ333-AY333)*100)</f>
        <v/>
      </c>
      <c r="BB333" s="45">
        <f>IF(OR(AR333="",E333="",E333=0),"",AR333/E333)</f>
        <v/>
      </c>
      <c r="BC333" s="45">
        <f>IF(OR(AS333="",F333="",F333=0),"",AS333/F333)</f>
        <v/>
      </c>
      <c r="BD333" s="44">
        <f>IF(OR(BC333="",BB333=""),"",(BC333-BB333)*100)</f>
        <v/>
      </c>
      <c r="BE333" s="40">
        <f>IF(AND(F333&lt;&gt;"",E333&lt;&gt;""),"Both years",IF(F333&lt;&gt;"","1-23Aug26 rows only","1-23Aug25 rows only"))</f>
        <v/>
      </c>
    </row>
    <row r="334">
      <c r="A334" s="56" t="inlineStr">
        <is>
          <t>Route page</t>
        </is>
      </c>
      <c r="B334" s="56" t="inlineStr">
        <is>
          <t>Paid Search</t>
        </is>
      </c>
      <c r="C334" s="56" t="inlineStr">
        <is>
          <t>Mobile</t>
        </is>
      </c>
      <c r="D334" s="56" t="inlineStr">
        <is>
          <t>Belgium</t>
        </is>
      </c>
      <c r="E334" s="70" t="n"/>
      <c r="F334" s="68" t="n">
        <v>483</v>
      </c>
      <c r="G334" s="69">
        <f>IF(OR(F334="",E334="",E334=0,F334=0),"",F334-E334)</f>
        <v/>
      </c>
      <c r="H334" s="42">
        <f>IF(OR(F334="",E334="",E334=0,F334=0),"",F334/E334-1)</f>
        <v/>
      </c>
      <c r="I334" s="68" t="n">
        <v>299</v>
      </c>
      <c r="J334" s="68" t="n">
        <v>295</v>
      </c>
      <c r="K334" s="69">
        <f>IF(OR(J334="",I334="",I334=0,J334=0),"",J334-I334)</f>
        <v/>
      </c>
      <c r="L334" s="42">
        <f>IF(OR(J334="",I334="",I334=0,J334=0),"",J334/I334-1)</f>
        <v/>
      </c>
      <c r="M334" s="43">
        <f>IF(OR(I334="",E334="",E334=0),"",I334/E334)</f>
        <v/>
      </c>
      <c r="N334" s="43">
        <f>IF(OR(J334="",F334="",F334=0),"",J334/F334)</f>
        <v/>
      </c>
      <c r="O334" s="44">
        <f>IF(OR(N334="",M334=""),"",(N334-M334)*100)</f>
        <v/>
      </c>
      <c r="P334" s="70" t="n"/>
      <c r="Q334" s="68" t="n">
        <v>295</v>
      </c>
      <c r="R334" s="69">
        <f>IF(OR(Q334="",P334="",P334=0,Q334=0),"",Q334-P334)</f>
        <v/>
      </c>
      <c r="S334" s="42">
        <f>IF(OR(Q334="",P334="",P334=0,Q334=0),"",Q334/P334-1)</f>
        <v/>
      </c>
      <c r="T334" s="43">
        <f>IF(OR(P334="",E334="",E334=0),"",P334/E334)</f>
        <v/>
      </c>
      <c r="U334" s="43">
        <f>IF(OR(Q334="",F334="",F334=0),"",Q334/F334)</f>
        <v/>
      </c>
      <c r="V334" s="44">
        <f>IF(OR(U334="",T334=""),"",(U334-T334)*100)</f>
        <v/>
      </c>
      <c r="W334" s="68" t="n">
        <v>65</v>
      </c>
      <c r="X334" s="68" t="n">
        <v>63</v>
      </c>
      <c r="Y334" s="69">
        <f>IF(OR(X334="",W334="",W334=0,X334=0),"",X334-W334)</f>
        <v/>
      </c>
      <c r="Z334" s="42">
        <f>IF(OR(X334="",W334="",W334=0,X334=0),"",X334/W334-1)</f>
        <v/>
      </c>
      <c r="AA334" s="43">
        <f>IF(OR(W334="",P334="",P334=0),"",W334/P334)</f>
        <v/>
      </c>
      <c r="AB334" s="43">
        <f>IF(OR(X334="",Q334="",Q334=0),"",X334/Q334)</f>
        <v/>
      </c>
      <c r="AC334" s="44">
        <f>IF(OR(AB334="",AA334=""),"",(AB334-AA334)*100)</f>
        <v/>
      </c>
      <c r="AD334" s="68" t="n">
        <v>46</v>
      </c>
      <c r="AE334" s="68" t="n">
        <v>40</v>
      </c>
      <c r="AF334" s="69">
        <f>IF(OR(AE334="",AD334="",AD334=0,AE334=0),"",AE334-AD334)</f>
        <v/>
      </c>
      <c r="AG334" s="42">
        <f>IF(OR(AE334="",AD334="",AD334=0,AE334=0),"",AE334/AD334-1)</f>
        <v/>
      </c>
      <c r="AH334" s="43">
        <f>IF(OR(AD334="",W334="",W334=0),"",AD334/W334)</f>
        <v/>
      </c>
      <c r="AI334" s="43">
        <f>IF(OR(AE334="",X334="",X334=0),"",AE334/X334)</f>
        <v/>
      </c>
      <c r="AJ334" s="44">
        <f>IF(OR(AI334="",AH334=""),"",(AI334-AH334)*100)</f>
        <v/>
      </c>
      <c r="AK334" s="68" t="n">
        <v>11</v>
      </c>
      <c r="AL334" s="68" t="n">
        <v>16</v>
      </c>
      <c r="AM334" s="69">
        <f>IF(OR(AL334="",AK334="",AK334=0,AL334=0),"",AL334-AK334)</f>
        <v/>
      </c>
      <c r="AN334" s="42">
        <f>IF(OR(AL334="",AK334="",AK334=0,AL334=0),"",AL334/AK334-1)</f>
        <v/>
      </c>
      <c r="AO334" s="43">
        <f>IF(OR(AK334="",AD334="",AD334=0),"",AK334/AD334)</f>
        <v/>
      </c>
      <c r="AP334" s="43">
        <f>IF(OR(AL334="",AE334="",AE334=0),"",AL334/AE334)</f>
        <v/>
      </c>
      <c r="AQ334" s="44">
        <f>IF(OR(AP334="",AO334=""),"",(AP334-AO334)*100)</f>
        <v/>
      </c>
      <c r="AR334" s="68" t="n">
        <v>7</v>
      </c>
      <c r="AS334" s="68" t="n">
        <v>11</v>
      </c>
      <c r="AT334" s="69">
        <f>IF(OR(AS334="",AR334="",AR334=0,AS334=0),"",AS334-AR334)</f>
        <v/>
      </c>
      <c r="AU334" s="42">
        <f>IF(OR(AS334="",AR334="",AR334=0,AS334=0),"",AS334/AR334-1)</f>
        <v/>
      </c>
      <c r="AV334" s="43">
        <f>IF(OR(AR334="",AK334="",AK334=0),"",AR334/AK334)</f>
        <v/>
      </c>
      <c r="AW334" s="43">
        <f>IF(OR(AS334="",AL334="",AL334=0),"",AS334/AL334)</f>
        <v/>
      </c>
      <c r="AX334" s="44">
        <f>IF(OR(AW334="",AV334=""),"",(AW334-AV334)*100)</f>
        <v/>
      </c>
      <c r="AY334" s="45">
        <f>IF(OR(AR334="",P334="",P334=0),"",AR334/P334)</f>
        <v/>
      </c>
      <c r="AZ334" s="45">
        <f>IF(OR(AS334="",Q334="",Q334=0),"",AS334/Q334)</f>
        <v/>
      </c>
      <c r="BA334" s="44">
        <f>IF(OR(AZ334="",AY334=""),"",(AZ334-AY334)*100)</f>
        <v/>
      </c>
      <c r="BB334" s="45">
        <f>IF(OR(AR334="",E334="",E334=0),"",AR334/E334)</f>
        <v/>
      </c>
      <c r="BC334" s="45">
        <f>IF(OR(AS334="",F334="",F334=0),"",AS334/F334)</f>
        <v/>
      </c>
      <c r="BD334" s="44">
        <f>IF(OR(BC334="",BB334=""),"",(BC334-BB334)*100)</f>
        <v/>
      </c>
      <c r="BE334" s="40">
        <f>IF(AND(F334&lt;&gt;"",E334&lt;&gt;""),"Both years",IF(F334&lt;&gt;"","1-23Aug26 rows only","1-23Aug25 rows only"))</f>
        <v/>
      </c>
    </row>
    <row r="335">
      <c r="A335" s="40" t="inlineStr">
        <is>
          <t>Route page</t>
        </is>
      </c>
      <c r="B335" s="40" t="inlineStr">
        <is>
          <t>Paid Search</t>
        </is>
      </c>
      <c r="C335" s="40" t="inlineStr">
        <is>
          <t>Mobile</t>
        </is>
      </c>
      <c r="D335" s="40" t="inlineStr">
        <is>
          <t>Austria</t>
        </is>
      </c>
      <c r="E335" s="68" t="n">
        <v>453</v>
      </c>
      <c r="F335" s="68" t="n">
        <v>326</v>
      </c>
      <c r="G335" s="69">
        <f>IF(OR(F335="",E335="",E335=0,F335=0),"",F335-E335)</f>
        <v/>
      </c>
      <c r="H335" s="42">
        <f>IF(OR(F335="",E335="",E335=0,F335=0),"",F335/E335-1)</f>
        <v/>
      </c>
      <c r="I335" s="70" t="n"/>
      <c r="J335" s="70" t="n"/>
      <c r="K335" s="69">
        <f>IF(OR(J335="",I335="",I335=0,J335=0),"",J335-I335)</f>
        <v/>
      </c>
      <c r="L335" s="42">
        <f>IF(OR(J335="",I335="",I335=0,J335=0),"",J335/I335-1)</f>
        <v/>
      </c>
      <c r="M335" s="43">
        <f>IF(OR(I335="",E335="",E335=0),"",I335/E335)</f>
        <v/>
      </c>
      <c r="N335" s="43">
        <f>IF(OR(J335="",F335="",F335=0),"",J335/F335)</f>
        <v/>
      </c>
      <c r="O335" s="44">
        <f>IF(OR(N335="",M335=""),"",(N335-M335)*100)</f>
        <v/>
      </c>
      <c r="P335" s="68" t="n">
        <v>318</v>
      </c>
      <c r="Q335" s="68" t="n">
        <v>206</v>
      </c>
      <c r="R335" s="69">
        <f>IF(OR(Q335="",P335="",P335=0,Q335=0),"",Q335-P335)</f>
        <v/>
      </c>
      <c r="S335" s="42">
        <f>IF(OR(Q335="",P335="",P335=0,Q335=0),"",Q335/P335-1)</f>
        <v/>
      </c>
      <c r="T335" s="43">
        <f>IF(OR(P335="",E335="",E335=0),"",P335/E335)</f>
        <v/>
      </c>
      <c r="U335" s="43">
        <f>IF(OR(Q335="",F335="",F335=0),"",Q335/F335)</f>
        <v/>
      </c>
      <c r="V335" s="44">
        <f>IF(OR(U335="",T335=""),"",(U335-T335)*100)</f>
        <v/>
      </c>
      <c r="W335" s="70" t="n"/>
      <c r="X335" s="70" t="n"/>
      <c r="Y335" s="69">
        <f>IF(OR(X335="",W335="",W335=0,X335=0),"",X335-W335)</f>
        <v/>
      </c>
      <c r="Z335" s="42">
        <f>IF(OR(X335="",W335="",W335=0,X335=0),"",X335/W335-1)</f>
        <v/>
      </c>
      <c r="AA335" s="43">
        <f>IF(OR(W335="",P335="",P335=0),"",W335/P335)</f>
        <v/>
      </c>
      <c r="AB335" s="43">
        <f>IF(OR(X335="",Q335="",Q335=0),"",X335/Q335)</f>
        <v/>
      </c>
      <c r="AC335" s="44">
        <f>IF(OR(AB335="",AA335=""),"",(AB335-AA335)*100)</f>
        <v/>
      </c>
      <c r="AD335" s="70" t="n"/>
      <c r="AE335" s="70" t="n"/>
      <c r="AF335" s="69">
        <f>IF(OR(AE335="",AD335="",AD335=0,AE335=0),"",AE335-AD335)</f>
        <v/>
      </c>
      <c r="AG335" s="42">
        <f>IF(OR(AE335="",AD335="",AD335=0,AE335=0),"",AE335/AD335-1)</f>
        <v/>
      </c>
      <c r="AH335" s="43">
        <f>IF(OR(AD335="",W335="",W335=0),"",AD335/W335)</f>
        <v/>
      </c>
      <c r="AI335" s="43">
        <f>IF(OR(AE335="",X335="",X335=0),"",AE335/X335)</f>
        <v/>
      </c>
      <c r="AJ335" s="44">
        <f>IF(OR(AI335="",AH335=""),"",(AI335-AH335)*100)</f>
        <v/>
      </c>
      <c r="AK335" s="70" t="n"/>
      <c r="AL335" s="70" t="n"/>
      <c r="AM335" s="69">
        <f>IF(OR(AL335="",AK335="",AK335=0,AL335=0),"",AL335-AK335)</f>
        <v/>
      </c>
      <c r="AN335" s="42">
        <f>IF(OR(AL335="",AK335="",AK335=0,AL335=0),"",AL335/AK335-1)</f>
        <v/>
      </c>
      <c r="AO335" s="43">
        <f>IF(OR(AK335="",AD335="",AD335=0),"",AK335/AD335)</f>
        <v/>
      </c>
      <c r="AP335" s="43">
        <f>IF(OR(AL335="",AE335="",AE335=0),"",AL335/AE335)</f>
        <v/>
      </c>
      <c r="AQ335" s="44">
        <f>IF(OR(AP335="",AO335=""),"",(AP335-AO335)*100)</f>
        <v/>
      </c>
      <c r="AR335" s="70" t="n"/>
      <c r="AS335" s="70" t="n"/>
      <c r="AT335" s="69">
        <f>IF(OR(AS335="",AR335="",AR335=0,AS335=0),"",AS335-AR335)</f>
        <v/>
      </c>
      <c r="AU335" s="42">
        <f>IF(OR(AS335="",AR335="",AR335=0,AS335=0),"",AS335/AR335-1)</f>
        <v/>
      </c>
      <c r="AV335" s="43">
        <f>IF(OR(AR335="",AK335="",AK335=0),"",AR335/AK335)</f>
        <v/>
      </c>
      <c r="AW335" s="43">
        <f>IF(OR(AS335="",AL335="",AL335=0),"",AS335/AL335)</f>
        <v/>
      </c>
      <c r="AX335" s="44">
        <f>IF(OR(AW335="",AV335=""),"",(AW335-AV335)*100)</f>
        <v/>
      </c>
      <c r="AY335" s="45">
        <f>IF(OR(AR335="",P335="",P335=0),"",AR335/P335)</f>
        <v/>
      </c>
      <c r="AZ335" s="45">
        <f>IF(OR(AS335="",Q335="",Q335=0),"",AS335/Q335)</f>
        <v/>
      </c>
      <c r="BA335" s="44">
        <f>IF(OR(AZ335="",AY335=""),"",(AZ335-AY335)*100)</f>
        <v/>
      </c>
      <c r="BB335" s="45">
        <f>IF(OR(AR335="",E335="",E335=0),"",AR335/E335)</f>
        <v/>
      </c>
      <c r="BC335" s="45">
        <f>IF(OR(AS335="",F335="",F335=0),"",AS335/F335)</f>
        <v/>
      </c>
      <c r="BD335" s="44">
        <f>IF(OR(BC335="",BB335=""),"",(BC335-BB335)*100)</f>
        <v/>
      </c>
      <c r="BE335" s="40">
        <f>IF(AND(F335&lt;&gt;"",E335&lt;&gt;""),"Both years",IF(F335&lt;&gt;"","1-23Aug26 rows only","1-23Aug25 rows only"))</f>
        <v/>
      </c>
    </row>
    <row r="336">
      <c r="A336" s="56" t="inlineStr">
        <is>
          <t>Route page</t>
        </is>
      </c>
      <c r="B336" s="56" t="inlineStr">
        <is>
          <t>Paid Search</t>
        </is>
      </c>
      <c r="C336" s="56" t="inlineStr">
        <is>
          <t>Mobile</t>
        </is>
      </c>
      <c r="D336" s="56" t="inlineStr">
        <is>
          <t>Norway</t>
        </is>
      </c>
      <c r="E336" s="68" t="n">
        <v>761</v>
      </c>
      <c r="F336" s="68" t="n">
        <v>292</v>
      </c>
      <c r="G336" s="69">
        <f>IF(OR(F336="",E336="",E336=0,F336=0),"",F336-E336)</f>
        <v/>
      </c>
      <c r="H336" s="42">
        <f>IF(OR(F336="",E336="",E336=0,F336=0),"",F336/E336-1)</f>
        <v/>
      </c>
      <c r="I336" s="68" t="n">
        <v>566</v>
      </c>
      <c r="J336" s="68" t="n">
        <v>183</v>
      </c>
      <c r="K336" s="69">
        <f>IF(OR(J336="",I336="",I336=0,J336=0),"",J336-I336)</f>
        <v/>
      </c>
      <c r="L336" s="42">
        <f>IF(OR(J336="",I336="",I336=0,J336=0),"",J336/I336-1)</f>
        <v/>
      </c>
      <c r="M336" s="43">
        <f>IF(OR(I336="",E336="",E336=0),"",I336/E336)</f>
        <v/>
      </c>
      <c r="N336" s="43">
        <f>IF(OR(J336="",F336="",F336=0),"",J336/F336)</f>
        <v/>
      </c>
      <c r="O336" s="44">
        <f>IF(OR(N336="",M336=""),"",(N336-M336)*100)</f>
        <v/>
      </c>
      <c r="P336" s="68" t="n">
        <v>528</v>
      </c>
      <c r="Q336" s="68" t="n">
        <v>180</v>
      </c>
      <c r="R336" s="69">
        <f>IF(OR(Q336="",P336="",P336=0,Q336=0),"",Q336-P336)</f>
        <v/>
      </c>
      <c r="S336" s="42">
        <f>IF(OR(Q336="",P336="",P336=0,Q336=0),"",Q336/P336-1)</f>
        <v/>
      </c>
      <c r="T336" s="43">
        <f>IF(OR(P336="",E336="",E336=0),"",P336/E336)</f>
        <v/>
      </c>
      <c r="U336" s="43">
        <f>IF(OR(Q336="",F336="",F336=0),"",Q336/F336)</f>
        <v/>
      </c>
      <c r="V336" s="44">
        <f>IF(OR(U336="",T336=""),"",(U336-T336)*100)</f>
        <v/>
      </c>
      <c r="W336" s="68" t="n">
        <v>110</v>
      </c>
      <c r="X336" s="68" t="n">
        <v>34</v>
      </c>
      <c r="Y336" s="69">
        <f>IF(OR(X336="",W336="",W336=0,X336=0),"",X336-W336)</f>
        <v/>
      </c>
      <c r="Z336" s="42">
        <f>IF(OR(X336="",W336="",W336=0,X336=0),"",X336/W336-1)</f>
        <v/>
      </c>
      <c r="AA336" s="43">
        <f>IF(OR(W336="",P336="",P336=0),"",W336/P336)</f>
        <v/>
      </c>
      <c r="AB336" s="43">
        <f>IF(OR(X336="",Q336="",Q336=0),"",X336/Q336)</f>
        <v/>
      </c>
      <c r="AC336" s="44">
        <f>IF(OR(AB336="",AA336=""),"",(AB336-AA336)*100)</f>
        <v/>
      </c>
      <c r="AD336" s="68" t="n">
        <v>71</v>
      </c>
      <c r="AE336" s="68" t="n">
        <v>19</v>
      </c>
      <c r="AF336" s="69">
        <f>IF(OR(AE336="",AD336="",AD336=0,AE336=0),"",AE336-AD336)</f>
        <v/>
      </c>
      <c r="AG336" s="42">
        <f>IF(OR(AE336="",AD336="",AD336=0,AE336=0),"",AE336/AD336-1)</f>
        <v/>
      </c>
      <c r="AH336" s="43">
        <f>IF(OR(AD336="",W336="",W336=0),"",AD336/W336)</f>
        <v/>
      </c>
      <c r="AI336" s="43">
        <f>IF(OR(AE336="",X336="",X336=0),"",AE336/X336)</f>
        <v/>
      </c>
      <c r="AJ336" s="44">
        <f>IF(OR(AI336="",AH336=""),"",(AI336-AH336)*100)</f>
        <v/>
      </c>
      <c r="AK336" s="68" t="n">
        <v>20</v>
      </c>
      <c r="AL336" s="68" t="n">
        <v>6</v>
      </c>
      <c r="AM336" s="69">
        <f>IF(OR(AL336="",AK336="",AK336=0,AL336=0),"",AL336-AK336)</f>
        <v/>
      </c>
      <c r="AN336" s="42">
        <f>IF(OR(AL336="",AK336="",AK336=0,AL336=0),"",AL336/AK336-1)</f>
        <v/>
      </c>
      <c r="AO336" s="43">
        <f>IF(OR(AK336="",AD336="",AD336=0),"",AK336/AD336)</f>
        <v/>
      </c>
      <c r="AP336" s="43">
        <f>IF(OR(AL336="",AE336="",AE336=0),"",AL336/AE336)</f>
        <v/>
      </c>
      <c r="AQ336" s="44">
        <f>IF(OR(AP336="",AO336=""),"",(AP336-AO336)*100)</f>
        <v/>
      </c>
      <c r="AR336" s="68" t="n">
        <v>14</v>
      </c>
      <c r="AS336" s="68" t="n">
        <v>6</v>
      </c>
      <c r="AT336" s="69">
        <f>IF(OR(AS336="",AR336="",AR336=0,AS336=0),"",AS336-AR336)</f>
        <v/>
      </c>
      <c r="AU336" s="42">
        <f>IF(OR(AS336="",AR336="",AR336=0,AS336=0),"",AS336/AR336-1)</f>
        <v/>
      </c>
      <c r="AV336" s="43">
        <f>IF(OR(AR336="",AK336="",AK336=0),"",AR336/AK336)</f>
        <v/>
      </c>
      <c r="AW336" s="43">
        <f>IF(OR(AS336="",AL336="",AL336=0),"",AS336/AL336)</f>
        <v/>
      </c>
      <c r="AX336" s="44">
        <f>IF(OR(AW336="",AV336=""),"",(AW336-AV336)*100)</f>
        <v/>
      </c>
      <c r="AY336" s="45">
        <f>IF(OR(AR336="",P336="",P336=0),"",AR336/P336)</f>
        <v/>
      </c>
      <c r="AZ336" s="45">
        <f>IF(OR(AS336="",Q336="",Q336=0),"",AS336/Q336)</f>
        <v/>
      </c>
      <c r="BA336" s="44">
        <f>IF(OR(AZ336="",AY336=""),"",(AZ336-AY336)*100)</f>
        <v/>
      </c>
      <c r="BB336" s="45">
        <f>IF(OR(AR336="",E336="",E336=0),"",AR336/E336)</f>
        <v/>
      </c>
      <c r="BC336" s="45">
        <f>IF(OR(AS336="",F336="",F336=0),"",AS336/F336)</f>
        <v/>
      </c>
      <c r="BD336" s="44">
        <f>IF(OR(BC336="",BB336=""),"",(BC336-BB336)*100)</f>
        <v/>
      </c>
      <c r="BE336" s="40">
        <f>IF(AND(F336&lt;&gt;"",E336&lt;&gt;""),"Both years",IF(F336&lt;&gt;"","1-23Aug26 rows only","1-23Aug25 rows only"))</f>
        <v/>
      </c>
    </row>
    <row r="337">
      <c r="A337" s="40" t="inlineStr">
        <is>
          <t>Route page</t>
        </is>
      </c>
      <c r="B337" s="40" t="inlineStr">
        <is>
          <t>Paid Search</t>
        </is>
      </c>
      <c r="C337" s="40" t="inlineStr">
        <is>
          <t>Mobile</t>
        </is>
      </c>
      <c r="D337" s="40" t="inlineStr">
        <is>
          <t>Denmark</t>
        </is>
      </c>
      <c r="E337" s="70" t="n"/>
      <c r="F337" s="68" t="n">
        <v>214</v>
      </c>
      <c r="G337" s="69">
        <f>IF(OR(F337="",E337="",E337=0,F337=0),"",F337-E337)</f>
        <v/>
      </c>
      <c r="H337" s="42">
        <f>IF(OR(F337="",E337="",E337=0,F337=0),"",F337/E337-1)</f>
        <v/>
      </c>
      <c r="I337" s="70" t="n"/>
      <c r="J337" s="70" t="n"/>
      <c r="K337" s="69">
        <f>IF(OR(J337="",I337="",I337=0,J337=0),"",J337-I337)</f>
        <v/>
      </c>
      <c r="L337" s="42">
        <f>IF(OR(J337="",I337="",I337=0,J337=0),"",J337/I337-1)</f>
        <v/>
      </c>
      <c r="M337" s="43">
        <f>IF(OR(I337="",E337="",E337=0),"",I337/E337)</f>
        <v/>
      </c>
      <c r="N337" s="43">
        <f>IF(OR(J337="",F337="",F337=0),"",J337/F337)</f>
        <v/>
      </c>
      <c r="O337" s="44">
        <f>IF(OR(N337="",M337=""),"",(N337-M337)*100)</f>
        <v/>
      </c>
      <c r="P337" s="70" t="n"/>
      <c r="Q337" s="68" t="n">
        <v>131</v>
      </c>
      <c r="R337" s="69">
        <f>IF(OR(Q337="",P337="",P337=0,Q337=0),"",Q337-P337)</f>
        <v/>
      </c>
      <c r="S337" s="42">
        <f>IF(OR(Q337="",P337="",P337=0,Q337=0),"",Q337/P337-1)</f>
        <v/>
      </c>
      <c r="T337" s="43">
        <f>IF(OR(P337="",E337="",E337=0),"",P337/E337)</f>
        <v/>
      </c>
      <c r="U337" s="43">
        <f>IF(OR(Q337="",F337="",F337=0),"",Q337/F337)</f>
        <v/>
      </c>
      <c r="V337" s="44">
        <f>IF(OR(U337="",T337=""),"",(U337-T337)*100)</f>
        <v/>
      </c>
      <c r="W337" s="70" t="n"/>
      <c r="X337" s="70" t="n"/>
      <c r="Y337" s="69">
        <f>IF(OR(X337="",W337="",W337=0,X337=0),"",X337-W337)</f>
        <v/>
      </c>
      <c r="Z337" s="42">
        <f>IF(OR(X337="",W337="",W337=0,X337=0),"",X337/W337-1)</f>
        <v/>
      </c>
      <c r="AA337" s="43">
        <f>IF(OR(W337="",P337="",P337=0),"",W337/P337)</f>
        <v/>
      </c>
      <c r="AB337" s="43">
        <f>IF(OR(X337="",Q337="",Q337=0),"",X337/Q337)</f>
        <v/>
      </c>
      <c r="AC337" s="44">
        <f>IF(OR(AB337="",AA337=""),"",(AB337-AA337)*100)</f>
        <v/>
      </c>
      <c r="AD337" s="70" t="n"/>
      <c r="AE337" s="70" t="n"/>
      <c r="AF337" s="69">
        <f>IF(OR(AE337="",AD337="",AD337=0,AE337=0),"",AE337-AD337)</f>
        <v/>
      </c>
      <c r="AG337" s="42">
        <f>IF(OR(AE337="",AD337="",AD337=0,AE337=0),"",AE337/AD337-1)</f>
        <v/>
      </c>
      <c r="AH337" s="43">
        <f>IF(OR(AD337="",W337="",W337=0),"",AD337/W337)</f>
        <v/>
      </c>
      <c r="AI337" s="43">
        <f>IF(OR(AE337="",X337="",X337=0),"",AE337/X337)</f>
        <v/>
      </c>
      <c r="AJ337" s="44">
        <f>IF(OR(AI337="",AH337=""),"",(AI337-AH337)*100)</f>
        <v/>
      </c>
      <c r="AK337" s="70" t="n"/>
      <c r="AL337" s="70" t="n"/>
      <c r="AM337" s="69">
        <f>IF(OR(AL337="",AK337="",AK337=0,AL337=0),"",AL337-AK337)</f>
        <v/>
      </c>
      <c r="AN337" s="42">
        <f>IF(OR(AL337="",AK337="",AK337=0,AL337=0),"",AL337/AK337-1)</f>
        <v/>
      </c>
      <c r="AO337" s="43">
        <f>IF(OR(AK337="",AD337="",AD337=0),"",AK337/AD337)</f>
        <v/>
      </c>
      <c r="AP337" s="43">
        <f>IF(OR(AL337="",AE337="",AE337=0),"",AL337/AE337)</f>
        <v/>
      </c>
      <c r="AQ337" s="44">
        <f>IF(OR(AP337="",AO337=""),"",(AP337-AO337)*100)</f>
        <v/>
      </c>
      <c r="AR337" s="70" t="n"/>
      <c r="AS337" s="70" t="n"/>
      <c r="AT337" s="69">
        <f>IF(OR(AS337="",AR337="",AR337=0,AS337=0),"",AS337-AR337)</f>
        <v/>
      </c>
      <c r="AU337" s="42">
        <f>IF(OR(AS337="",AR337="",AR337=0,AS337=0),"",AS337/AR337-1)</f>
        <v/>
      </c>
      <c r="AV337" s="43">
        <f>IF(OR(AR337="",AK337="",AK337=0),"",AR337/AK337)</f>
        <v/>
      </c>
      <c r="AW337" s="43">
        <f>IF(OR(AS337="",AL337="",AL337=0),"",AS337/AL337)</f>
        <v/>
      </c>
      <c r="AX337" s="44">
        <f>IF(OR(AW337="",AV337=""),"",(AW337-AV337)*100)</f>
        <v/>
      </c>
      <c r="AY337" s="45">
        <f>IF(OR(AR337="",P337="",P337=0),"",AR337/P337)</f>
        <v/>
      </c>
      <c r="AZ337" s="45">
        <f>IF(OR(AS337="",Q337="",Q337=0),"",AS337/Q337)</f>
        <v/>
      </c>
      <c r="BA337" s="44">
        <f>IF(OR(AZ337="",AY337=""),"",(AZ337-AY337)*100)</f>
        <v/>
      </c>
      <c r="BB337" s="45">
        <f>IF(OR(AR337="",E337="",E337=0),"",AR337/E337)</f>
        <v/>
      </c>
      <c r="BC337" s="45">
        <f>IF(OR(AS337="",F337="",F337=0),"",AS337/F337)</f>
        <v/>
      </c>
      <c r="BD337" s="44">
        <f>IF(OR(BC337="",BB337=""),"",(BC337-BB337)*100)</f>
        <v/>
      </c>
      <c r="BE337" s="40">
        <f>IF(AND(F337&lt;&gt;"",E337&lt;&gt;""),"Both years",IF(F337&lt;&gt;"","1-23Aug26 rows only","1-23Aug25 rows only"))</f>
        <v/>
      </c>
    </row>
    <row r="338">
      <c r="A338" s="56" t="inlineStr">
        <is>
          <t>Route page</t>
        </is>
      </c>
      <c r="B338" s="56" t="inlineStr">
        <is>
          <t>Paid Search</t>
        </is>
      </c>
      <c r="C338" s="56" t="inlineStr">
        <is>
          <t>Mobile</t>
        </is>
      </c>
      <c r="D338" s="56" t="inlineStr">
        <is>
          <t>Finland</t>
        </is>
      </c>
      <c r="E338" s="70" t="n"/>
      <c r="F338" s="68" t="n">
        <v>214</v>
      </c>
      <c r="G338" s="69">
        <f>IF(OR(F338="",E338="",E338=0,F338=0),"",F338-E338)</f>
        <v/>
      </c>
      <c r="H338" s="42">
        <f>IF(OR(F338="",E338="",E338=0,F338=0),"",F338/E338-1)</f>
        <v/>
      </c>
      <c r="I338" s="68" t="n">
        <v>232</v>
      </c>
      <c r="J338" s="68" t="n">
        <v>138</v>
      </c>
      <c r="K338" s="69">
        <f>IF(OR(J338="",I338="",I338=0,J338=0),"",J338-I338)</f>
        <v/>
      </c>
      <c r="L338" s="42">
        <f>IF(OR(J338="",I338="",I338=0,J338=0),"",J338/I338-1)</f>
        <v/>
      </c>
      <c r="M338" s="43">
        <f>IF(OR(I338="",E338="",E338=0),"",I338/E338)</f>
        <v/>
      </c>
      <c r="N338" s="43">
        <f>IF(OR(J338="",F338="",F338=0),"",J338/F338)</f>
        <v/>
      </c>
      <c r="O338" s="44">
        <f>IF(OR(N338="",M338=""),"",(N338-M338)*100)</f>
        <v/>
      </c>
      <c r="P338" s="70" t="n"/>
      <c r="Q338" s="68" t="n">
        <v>146</v>
      </c>
      <c r="R338" s="69">
        <f>IF(OR(Q338="",P338="",P338=0,Q338=0),"",Q338-P338)</f>
        <v/>
      </c>
      <c r="S338" s="42">
        <f>IF(OR(Q338="",P338="",P338=0,Q338=0),"",Q338/P338-1)</f>
        <v/>
      </c>
      <c r="T338" s="43">
        <f>IF(OR(P338="",E338="",E338=0),"",P338/E338)</f>
        <v/>
      </c>
      <c r="U338" s="43">
        <f>IF(OR(Q338="",F338="",F338=0),"",Q338/F338)</f>
        <v/>
      </c>
      <c r="V338" s="44">
        <f>IF(OR(U338="",T338=""),"",(U338-T338)*100)</f>
        <v/>
      </c>
      <c r="W338" s="68" t="n">
        <v>46</v>
      </c>
      <c r="X338" s="68" t="n">
        <v>23</v>
      </c>
      <c r="Y338" s="69">
        <f>IF(OR(X338="",W338="",W338=0,X338=0),"",X338-W338)</f>
        <v/>
      </c>
      <c r="Z338" s="42">
        <f>IF(OR(X338="",W338="",W338=0,X338=0),"",X338/W338-1)</f>
        <v/>
      </c>
      <c r="AA338" s="43">
        <f>IF(OR(W338="",P338="",P338=0),"",W338/P338)</f>
        <v/>
      </c>
      <c r="AB338" s="43">
        <f>IF(OR(X338="",Q338="",Q338=0),"",X338/Q338)</f>
        <v/>
      </c>
      <c r="AC338" s="44">
        <f>IF(OR(AB338="",AA338=""),"",(AB338-AA338)*100)</f>
        <v/>
      </c>
      <c r="AD338" s="68" t="n">
        <v>29</v>
      </c>
      <c r="AE338" s="68" t="n">
        <v>11</v>
      </c>
      <c r="AF338" s="69">
        <f>IF(OR(AE338="",AD338="",AD338=0,AE338=0),"",AE338-AD338)</f>
        <v/>
      </c>
      <c r="AG338" s="42">
        <f>IF(OR(AE338="",AD338="",AD338=0,AE338=0),"",AE338/AD338-1)</f>
        <v/>
      </c>
      <c r="AH338" s="43">
        <f>IF(OR(AD338="",W338="",W338=0),"",AD338/W338)</f>
        <v/>
      </c>
      <c r="AI338" s="43">
        <f>IF(OR(AE338="",X338="",X338=0),"",AE338/X338)</f>
        <v/>
      </c>
      <c r="AJ338" s="44">
        <f>IF(OR(AI338="",AH338=""),"",(AI338-AH338)*100)</f>
        <v/>
      </c>
      <c r="AK338" s="68" t="n">
        <v>5</v>
      </c>
      <c r="AL338" s="68" t="n">
        <v>2</v>
      </c>
      <c r="AM338" s="69">
        <f>IF(OR(AL338="",AK338="",AK338=0,AL338=0),"",AL338-AK338)</f>
        <v/>
      </c>
      <c r="AN338" s="42">
        <f>IF(OR(AL338="",AK338="",AK338=0,AL338=0),"",AL338/AK338-1)</f>
        <v/>
      </c>
      <c r="AO338" s="43">
        <f>IF(OR(AK338="",AD338="",AD338=0),"",AK338/AD338)</f>
        <v/>
      </c>
      <c r="AP338" s="43">
        <f>IF(OR(AL338="",AE338="",AE338=0),"",AL338/AE338)</f>
        <v/>
      </c>
      <c r="AQ338" s="44">
        <f>IF(OR(AP338="",AO338=""),"",(AP338-AO338)*100)</f>
        <v/>
      </c>
      <c r="AR338" s="68" t="n">
        <v>5</v>
      </c>
      <c r="AS338" s="68" t="n">
        <v>2</v>
      </c>
      <c r="AT338" s="69">
        <f>IF(OR(AS338="",AR338="",AR338=0,AS338=0),"",AS338-AR338)</f>
        <v/>
      </c>
      <c r="AU338" s="42">
        <f>IF(OR(AS338="",AR338="",AR338=0,AS338=0),"",AS338/AR338-1)</f>
        <v/>
      </c>
      <c r="AV338" s="43">
        <f>IF(OR(AR338="",AK338="",AK338=0),"",AR338/AK338)</f>
        <v/>
      </c>
      <c r="AW338" s="43">
        <f>IF(OR(AS338="",AL338="",AL338=0),"",AS338/AL338)</f>
        <v/>
      </c>
      <c r="AX338" s="44">
        <f>IF(OR(AW338="",AV338=""),"",(AW338-AV338)*100)</f>
        <v/>
      </c>
      <c r="AY338" s="45">
        <f>IF(OR(AR338="",P338="",P338=0),"",AR338/P338)</f>
        <v/>
      </c>
      <c r="AZ338" s="45">
        <f>IF(OR(AS338="",Q338="",Q338=0),"",AS338/Q338)</f>
        <v/>
      </c>
      <c r="BA338" s="44">
        <f>IF(OR(AZ338="",AY338=""),"",(AZ338-AY338)*100)</f>
        <v/>
      </c>
      <c r="BB338" s="45">
        <f>IF(OR(AR338="",E338="",E338=0),"",AR338/E338)</f>
        <v/>
      </c>
      <c r="BC338" s="45">
        <f>IF(OR(AS338="",F338="",F338=0),"",AS338/F338)</f>
        <v/>
      </c>
      <c r="BD338" s="44">
        <f>IF(OR(BC338="",BB338=""),"",(BC338-BB338)*100)</f>
        <v/>
      </c>
      <c r="BE338" s="40">
        <f>IF(AND(F338&lt;&gt;"",E338&lt;&gt;""),"Both years",IF(F338&lt;&gt;"","1-23Aug26 rows only","1-23Aug25 rows only"))</f>
        <v/>
      </c>
    </row>
    <row r="339">
      <c r="A339" s="40" t="inlineStr">
        <is>
          <t>Route page</t>
        </is>
      </c>
      <c r="B339" s="40" t="inlineStr">
        <is>
          <t>Paid Search</t>
        </is>
      </c>
      <c r="C339" s="40" t="inlineStr">
        <is>
          <t>Mobile</t>
        </is>
      </c>
      <c r="D339" s="40" t="inlineStr">
        <is>
          <t>Romania</t>
        </is>
      </c>
      <c r="E339" s="68" t="n">
        <v>435</v>
      </c>
      <c r="F339" s="70" t="n"/>
      <c r="G339" s="69">
        <f>IF(OR(F339="",E339="",E339=0,F339=0),"",F339-E339)</f>
        <v/>
      </c>
      <c r="H339" s="42">
        <f>IF(OR(F339="",E339="",E339=0,F339=0),"",F339/E339-1)</f>
        <v/>
      </c>
      <c r="I339" s="70" t="n"/>
      <c r="J339" s="70" t="n"/>
      <c r="K339" s="69">
        <f>IF(OR(J339="",I339="",I339=0,J339=0),"",J339-I339)</f>
        <v/>
      </c>
      <c r="L339" s="42">
        <f>IF(OR(J339="",I339="",I339=0,J339=0),"",J339/I339-1)</f>
        <v/>
      </c>
      <c r="M339" s="43">
        <f>IF(OR(I339="",E339="",E339=0),"",I339/E339)</f>
        <v/>
      </c>
      <c r="N339" s="43">
        <f>IF(OR(J339="",F339="",F339=0),"",J339/F339)</f>
        <v/>
      </c>
      <c r="O339" s="44">
        <f>IF(OR(N339="",M339=""),"",(N339-M339)*100)</f>
        <v/>
      </c>
      <c r="P339" s="68" t="n">
        <v>276</v>
      </c>
      <c r="Q339" s="70" t="n"/>
      <c r="R339" s="69">
        <f>IF(OR(Q339="",P339="",P339=0,Q339=0),"",Q339-P339)</f>
        <v/>
      </c>
      <c r="S339" s="42">
        <f>IF(OR(Q339="",P339="",P339=0,Q339=0),"",Q339/P339-1)</f>
        <v/>
      </c>
      <c r="T339" s="43">
        <f>IF(OR(P339="",E339="",E339=0),"",P339/E339)</f>
        <v/>
      </c>
      <c r="U339" s="43">
        <f>IF(OR(Q339="",F339="",F339=0),"",Q339/F339)</f>
        <v/>
      </c>
      <c r="V339" s="44">
        <f>IF(OR(U339="",T339=""),"",(U339-T339)*100)</f>
        <v/>
      </c>
      <c r="W339" s="70" t="n"/>
      <c r="X339" s="70" t="n"/>
      <c r="Y339" s="69">
        <f>IF(OR(X339="",W339="",W339=0,X339=0),"",X339-W339)</f>
        <v/>
      </c>
      <c r="Z339" s="42">
        <f>IF(OR(X339="",W339="",W339=0,X339=0),"",X339/W339-1)</f>
        <v/>
      </c>
      <c r="AA339" s="43">
        <f>IF(OR(W339="",P339="",P339=0),"",W339/P339)</f>
        <v/>
      </c>
      <c r="AB339" s="43">
        <f>IF(OR(X339="",Q339="",Q339=0),"",X339/Q339)</f>
        <v/>
      </c>
      <c r="AC339" s="44">
        <f>IF(OR(AB339="",AA339=""),"",(AB339-AA339)*100)</f>
        <v/>
      </c>
      <c r="AD339" s="70" t="n"/>
      <c r="AE339" s="70" t="n"/>
      <c r="AF339" s="69">
        <f>IF(OR(AE339="",AD339="",AD339=0,AE339=0),"",AE339-AD339)</f>
        <v/>
      </c>
      <c r="AG339" s="42">
        <f>IF(OR(AE339="",AD339="",AD339=0,AE339=0),"",AE339/AD339-1)</f>
        <v/>
      </c>
      <c r="AH339" s="43">
        <f>IF(OR(AD339="",W339="",W339=0),"",AD339/W339)</f>
        <v/>
      </c>
      <c r="AI339" s="43">
        <f>IF(OR(AE339="",X339="",X339=0),"",AE339/X339)</f>
        <v/>
      </c>
      <c r="AJ339" s="44">
        <f>IF(OR(AI339="",AH339=""),"",(AI339-AH339)*100)</f>
        <v/>
      </c>
      <c r="AK339" s="70" t="n"/>
      <c r="AL339" s="70" t="n"/>
      <c r="AM339" s="69">
        <f>IF(OR(AL339="",AK339="",AK339=0,AL339=0),"",AL339-AK339)</f>
        <v/>
      </c>
      <c r="AN339" s="42">
        <f>IF(OR(AL339="",AK339="",AK339=0,AL339=0),"",AL339/AK339-1)</f>
        <v/>
      </c>
      <c r="AO339" s="43">
        <f>IF(OR(AK339="",AD339="",AD339=0),"",AK339/AD339)</f>
        <v/>
      </c>
      <c r="AP339" s="43">
        <f>IF(OR(AL339="",AE339="",AE339=0),"",AL339/AE339)</f>
        <v/>
      </c>
      <c r="AQ339" s="44">
        <f>IF(OR(AP339="",AO339=""),"",(AP339-AO339)*100)</f>
        <v/>
      </c>
      <c r="AR339" s="70" t="n"/>
      <c r="AS339" s="70" t="n"/>
      <c r="AT339" s="69">
        <f>IF(OR(AS339="",AR339="",AR339=0,AS339=0),"",AS339-AR339)</f>
        <v/>
      </c>
      <c r="AU339" s="42">
        <f>IF(OR(AS339="",AR339="",AR339=0,AS339=0),"",AS339/AR339-1)</f>
        <v/>
      </c>
      <c r="AV339" s="43">
        <f>IF(OR(AR339="",AK339="",AK339=0),"",AR339/AK339)</f>
        <v/>
      </c>
      <c r="AW339" s="43">
        <f>IF(OR(AS339="",AL339="",AL339=0),"",AS339/AL339)</f>
        <v/>
      </c>
      <c r="AX339" s="44">
        <f>IF(OR(AW339="",AV339=""),"",(AW339-AV339)*100)</f>
        <v/>
      </c>
      <c r="AY339" s="45">
        <f>IF(OR(AR339="",P339="",P339=0),"",AR339/P339)</f>
        <v/>
      </c>
      <c r="AZ339" s="45">
        <f>IF(OR(AS339="",Q339="",Q339=0),"",AS339/Q339)</f>
        <v/>
      </c>
      <c r="BA339" s="44">
        <f>IF(OR(AZ339="",AY339=""),"",(AZ339-AY339)*100)</f>
        <v/>
      </c>
      <c r="BB339" s="45">
        <f>IF(OR(AR339="",E339="",E339=0),"",AR339/E339)</f>
        <v/>
      </c>
      <c r="BC339" s="45">
        <f>IF(OR(AS339="",F339="",F339=0),"",AS339/F339)</f>
        <v/>
      </c>
      <c r="BD339" s="44">
        <f>IF(OR(BC339="",BB339=""),"",(BC339-BB339)*100)</f>
        <v/>
      </c>
      <c r="BE339" s="40">
        <f>IF(AND(F339&lt;&gt;"",E339&lt;&gt;""),"Both years",IF(F339&lt;&gt;"","1-23Aug26 rows only","1-23Aug25 rows only"))</f>
        <v/>
      </c>
    </row>
    <row r="340">
      <c r="A340" s="56" t="inlineStr">
        <is>
          <t>Route page</t>
        </is>
      </c>
      <c r="B340" s="56" t="inlineStr">
        <is>
          <t>Paid Search</t>
        </is>
      </c>
      <c r="C340" s="56" t="inlineStr">
        <is>
          <t>Mobile</t>
        </is>
      </c>
      <c r="D340" s="56" t="inlineStr">
        <is>
          <t>Portugal</t>
        </is>
      </c>
      <c r="E340" s="68" t="n">
        <v>414</v>
      </c>
      <c r="F340" s="70" t="n"/>
      <c r="G340" s="69">
        <f>IF(OR(F340="",E340="",E340=0,F340=0),"",F340-E340)</f>
        <v/>
      </c>
      <c r="H340" s="42">
        <f>IF(OR(F340="",E340="",E340=0,F340=0),"",F340/E340-1)</f>
        <v/>
      </c>
      <c r="I340" s="70" t="n"/>
      <c r="J340" s="70" t="n"/>
      <c r="K340" s="69">
        <f>IF(OR(J340="",I340="",I340=0,J340=0),"",J340-I340)</f>
        <v/>
      </c>
      <c r="L340" s="42">
        <f>IF(OR(J340="",I340="",I340=0,J340=0),"",J340/I340-1)</f>
        <v/>
      </c>
      <c r="M340" s="43">
        <f>IF(OR(I340="",E340="",E340=0),"",I340/E340)</f>
        <v/>
      </c>
      <c r="N340" s="43">
        <f>IF(OR(J340="",F340="",F340=0),"",J340/F340)</f>
        <v/>
      </c>
      <c r="O340" s="44">
        <f>IF(OR(N340="",M340=""),"",(N340-M340)*100)</f>
        <v/>
      </c>
      <c r="P340" s="68" t="n">
        <v>291</v>
      </c>
      <c r="Q340" s="70" t="n"/>
      <c r="R340" s="69">
        <f>IF(OR(Q340="",P340="",P340=0,Q340=0),"",Q340-P340)</f>
        <v/>
      </c>
      <c r="S340" s="42">
        <f>IF(OR(Q340="",P340="",P340=0,Q340=0),"",Q340/P340-1)</f>
        <v/>
      </c>
      <c r="T340" s="43">
        <f>IF(OR(P340="",E340="",E340=0),"",P340/E340)</f>
        <v/>
      </c>
      <c r="U340" s="43">
        <f>IF(OR(Q340="",F340="",F340=0),"",Q340/F340)</f>
        <v/>
      </c>
      <c r="V340" s="44">
        <f>IF(OR(U340="",T340=""),"",(U340-T340)*100)</f>
        <v/>
      </c>
      <c r="W340" s="70" t="n"/>
      <c r="X340" s="70" t="n"/>
      <c r="Y340" s="69">
        <f>IF(OR(X340="",W340="",W340=0,X340=0),"",X340-W340)</f>
        <v/>
      </c>
      <c r="Z340" s="42">
        <f>IF(OR(X340="",W340="",W340=0,X340=0),"",X340/W340-1)</f>
        <v/>
      </c>
      <c r="AA340" s="43">
        <f>IF(OR(W340="",P340="",P340=0),"",W340/P340)</f>
        <v/>
      </c>
      <c r="AB340" s="43">
        <f>IF(OR(X340="",Q340="",Q340=0),"",X340/Q340)</f>
        <v/>
      </c>
      <c r="AC340" s="44">
        <f>IF(OR(AB340="",AA340=""),"",(AB340-AA340)*100)</f>
        <v/>
      </c>
      <c r="AD340" s="70" t="n"/>
      <c r="AE340" s="70" t="n"/>
      <c r="AF340" s="69">
        <f>IF(OR(AE340="",AD340="",AD340=0,AE340=0),"",AE340-AD340)</f>
        <v/>
      </c>
      <c r="AG340" s="42">
        <f>IF(OR(AE340="",AD340="",AD340=0,AE340=0),"",AE340/AD340-1)</f>
        <v/>
      </c>
      <c r="AH340" s="43">
        <f>IF(OR(AD340="",W340="",W340=0),"",AD340/W340)</f>
        <v/>
      </c>
      <c r="AI340" s="43">
        <f>IF(OR(AE340="",X340="",X340=0),"",AE340/X340)</f>
        <v/>
      </c>
      <c r="AJ340" s="44">
        <f>IF(OR(AI340="",AH340=""),"",(AI340-AH340)*100)</f>
        <v/>
      </c>
      <c r="AK340" s="70" t="n"/>
      <c r="AL340" s="70" t="n"/>
      <c r="AM340" s="69">
        <f>IF(OR(AL340="",AK340="",AK340=0,AL340=0),"",AL340-AK340)</f>
        <v/>
      </c>
      <c r="AN340" s="42">
        <f>IF(OR(AL340="",AK340="",AK340=0,AL340=0),"",AL340/AK340-1)</f>
        <v/>
      </c>
      <c r="AO340" s="43">
        <f>IF(OR(AK340="",AD340="",AD340=0),"",AK340/AD340)</f>
        <v/>
      </c>
      <c r="AP340" s="43">
        <f>IF(OR(AL340="",AE340="",AE340=0),"",AL340/AE340)</f>
        <v/>
      </c>
      <c r="AQ340" s="44">
        <f>IF(OR(AP340="",AO340=""),"",(AP340-AO340)*100)</f>
        <v/>
      </c>
      <c r="AR340" s="70" t="n"/>
      <c r="AS340" s="70" t="n"/>
      <c r="AT340" s="69">
        <f>IF(OR(AS340="",AR340="",AR340=0,AS340=0),"",AS340-AR340)</f>
        <v/>
      </c>
      <c r="AU340" s="42">
        <f>IF(OR(AS340="",AR340="",AR340=0,AS340=0),"",AS340/AR340-1)</f>
        <v/>
      </c>
      <c r="AV340" s="43">
        <f>IF(OR(AR340="",AK340="",AK340=0),"",AR340/AK340)</f>
        <v/>
      </c>
      <c r="AW340" s="43">
        <f>IF(OR(AS340="",AL340="",AL340=0),"",AS340/AL340)</f>
        <v/>
      </c>
      <c r="AX340" s="44">
        <f>IF(OR(AW340="",AV340=""),"",(AW340-AV340)*100)</f>
        <v/>
      </c>
      <c r="AY340" s="45">
        <f>IF(OR(AR340="",P340="",P340=0),"",AR340/P340)</f>
        <v/>
      </c>
      <c r="AZ340" s="45">
        <f>IF(OR(AS340="",Q340="",Q340=0),"",AS340/Q340)</f>
        <v/>
      </c>
      <c r="BA340" s="44">
        <f>IF(OR(AZ340="",AY340=""),"",(AZ340-AY340)*100)</f>
        <v/>
      </c>
      <c r="BB340" s="45">
        <f>IF(OR(AR340="",E340="",E340=0),"",AR340/E340)</f>
        <v/>
      </c>
      <c r="BC340" s="45">
        <f>IF(OR(AS340="",F340="",F340=0),"",AS340/F340)</f>
        <v/>
      </c>
      <c r="BD340" s="44">
        <f>IF(OR(BC340="",BB340=""),"",(BC340-BB340)*100)</f>
        <v/>
      </c>
      <c r="BE340" s="40">
        <f>IF(AND(F340&lt;&gt;"",E340&lt;&gt;""),"Both years",IF(F340&lt;&gt;"","1-23Aug26 rows only","1-23Aug25 rows only"))</f>
        <v/>
      </c>
    </row>
    <row r="341">
      <c r="A341" s="40" t="inlineStr">
        <is>
          <t>Route page</t>
        </is>
      </c>
      <c r="B341" s="40" t="inlineStr">
        <is>
          <t>Paid Search</t>
        </is>
      </c>
      <c r="C341" s="40" t="inlineStr">
        <is>
          <t>Mobile</t>
        </is>
      </c>
      <c r="D341" s="40" t="inlineStr">
        <is>
          <t>Switzerland</t>
        </is>
      </c>
      <c r="E341" s="68" t="n">
        <v>396</v>
      </c>
      <c r="F341" s="70" t="n"/>
      <c r="G341" s="69">
        <f>IF(OR(F341="",E341="",E341=0,F341=0),"",F341-E341)</f>
        <v/>
      </c>
      <c r="H341" s="42">
        <f>IF(OR(F341="",E341="",E341=0,F341=0),"",F341/E341-1)</f>
        <v/>
      </c>
      <c r="I341" s="70" t="n"/>
      <c r="J341" s="70" t="n"/>
      <c r="K341" s="69">
        <f>IF(OR(J341="",I341="",I341=0,J341=0),"",J341-I341)</f>
        <v/>
      </c>
      <c r="L341" s="42">
        <f>IF(OR(J341="",I341="",I341=0,J341=0),"",J341/I341-1)</f>
        <v/>
      </c>
      <c r="M341" s="43">
        <f>IF(OR(I341="",E341="",E341=0),"",I341/E341)</f>
        <v/>
      </c>
      <c r="N341" s="43">
        <f>IF(OR(J341="",F341="",F341=0),"",J341/F341)</f>
        <v/>
      </c>
      <c r="O341" s="44">
        <f>IF(OR(N341="",M341=""),"",(N341-M341)*100)</f>
        <v/>
      </c>
      <c r="P341" s="68" t="n">
        <v>281</v>
      </c>
      <c r="Q341" s="70" t="n"/>
      <c r="R341" s="69">
        <f>IF(OR(Q341="",P341="",P341=0,Q341=0),"",Q341-P341)</f>
        <v/>
      </c>
      <c r="S341" s="42">
        <f>IF(OR(Q341="",P341="",P341=0,Q341=0),"",Q341/P341-1)</f>
        <v/>
      </c>
      <c r="T341" s="43">
        <f>IF(OR(P341="",E341="",E341=0),"",P341/E341)</f>
        <v/>
      </c>
      <c r="U341" s="43">
        <f>IF(OR(Q341="",F341="",F341=0),"",Q341/F341)</f>
        <v/>
      </c>
      <c r="V341" s="44">
        <f>IF(OR(U341="",T341=""),"",(U341-T341)*100)</f>
        <v/>
      </c>
      <c r="W341" s="70" t="n"/>
      <c r="X341" s="70" t="n"/>
      <c r="Y341" s="69">
        <f>IF(OR(X341="",W341="",W341=0,X341=0),"",X341-W341)</f>
        <v/>
      </c>
      <c r="Z341" s="42">
        <f>IF(OR(X341="",W341="",W341=0,X341=0),"",X341/W341-1)</f>
        <v/>
      </c>
      <c r="AA341" s="43">
        <f>IF(OR(W341="",P341="",P341=0),"",W341/P341)</f>
        <v/>
      </c>
      <c r="AB341" s="43">
        <f>IF(OR(X341="",Q341="",Q341=0),"",X341/Q341)</f>
        <v/>
      </c>
      <c r="AC341" s="44">
        <f>IF(OR(AB341="",AA341=""),"",(AB341-AA341)*100)</f>
        <v/>
      </c>
      <c r="AD341" s="70" t="n"/>
      <c r="AE341" s="70" t="n"/>
      <c r="AF341" s="69">
        <f>IF(OR(AE341="",AD341="",AD341=0,AE341=0),"",AE341-AD341)</f>
        <v/>
      </c>
      <c r="AG341" s="42">
        <f>IF(OR(AE341="",AD341="",AD341=0,AE341=0),"",AE341/AD341-1)</f>
        <v/>
      </c>
      <c r="AH341" s="43">
        <f>IF(OR(AD341="",W341="",W341=0),"",AD341/W341)</f>
        <v/>
      </c>
      <c r="AI341" s="43">
        <f>IF(OR(AE341="",X341="",X341=0),"",AE341/X341)</f>
        <v/>
      </c>
      <c r="AJ341" s="44">
        <f>IF(OR(AI341="",AH341=""),"",(AI341-AH341)*100)</f>
        <v/>
      </c>
      <c r="AK341" s="70" t="n"/>
      <c r="AL341" s="70" t="n"/>
      <c r="AM341" s="69">
        <f>IF(OR(AL341="",AK341="",AK341=0,AL341=0),"",AL341-AK341)</f>
        <v/>
      </c>
      <c r="AN341" s="42">
        <f>IF(OR(AL341="",AK341="",AK341=0,AL341=0),"",AL341/AK341-1)</f>
        <v/>
      </c>
      <c r="AO341" s="43">
        <f>IF(OR(AK341="",AD341="",AD341=0),"",AK341/AD341)</f>
        <v/>
      </c>
      <c r="AP341" s="43">
        <f>IF(OR(AL341="",AE341="",AE341=0),"",AL341/AE341)</f>
        <v/>
      </c>
      <c r="AQ341" s="44">
        <f>IF(OR(AP341="",AO341=""),"",(AP341-AO341)*100)</f>
        <v/>
      </c>
      <c r="AR341" s="70" t="n"/>
      <c r="AS341" s="70" t="n"/>
      <c r="AT341" s="69">
        <f>IF(OR(AS341="",AR341="",AR341=0,AS341=0),"",AS341-AR341)</f>
        <v/>
      </c>
      <c r="AU341" s="42">
        <f>IF(OR(AS341="",AR341="",AR341=0,AS341=0),"",AS341/AR341-1)</f>
        <v/>
      </c>
      <c r="AV341" s="43">
        <f>IF(OR(AR341="",AK341="",AK341=0),"",AR341/AK341)</f>
        <v/>
      </c>
      <c r="AW341" s="43">
        <f>IF(OR(AS341="",AL341="",AL341=0),"",AS341/AL341)</f>
        <v/>
      </c>
      <c r="AX341" s="44">
        <f>IF(OR(AW341="",AV341=""),"",(AW341-AV341)*100)</f>
        <v/>
      </c>
      <c r="AY341" s="45">
        <f>IF(OR(AR341="",P341="",P341=0),"",AR341/P341)</f>
        <v/>
      </c>
      <c r="AZ341" s="45">
        <f>IF(OR(AS341="",Q341="",Q341=0),"",AS341/Q341)</f>
        <v/>
      </c>
      <c r="BA341" s="44">
        <f>IF(OR(AZ341="",AY341=""),"",(AZ341-AY341)*100)</f>
        <v/>
      </c>
      <c r="BB341" s="45">
        <f>IF(OR(AR341="",E341="",E341=0),"",AR341/E341)</f>
        <v/>
      </c>
      <c r="BC341" s="45">
        <f>IF(OR(AS341="",F341="",F341=0),"",AS341/F341)</f>
        <v/>
      </c>
      <c r="BD341" s="44">
        <f>IF(OR(BC341="",BB341=""),"",(BC341-BB341)*100)</f>
        <v/>
      </c>
      <c r="BE341" s="40">
        <f>IF(AND(F341&lt;&gt;"",E341&lt;&gt;""),"Both years",IF(F341&lt;&gt;"","1-23Aug26 rows only","1-23Aug25 rows only"))</f>
        <v/>
      </c>
    </row>
    <row r="342">
      <c r="A342" s="56" t="inlineStr">
        <is>
          <t>Route page</t>
        </is>
      </c>
      <c r="B342" s="56" t="inlineStr">
        <is>
          <t>Paid Search</t>
        </is>
      </c>
      <c r="C342" s="56" t="inlineStr">
        <is>
          <t>Mobile</t>
        </is>
      </c>
      <c r="D342" s="56" t="inlineStr">
        <is>
          <t>United States</t>
        </is>
      </c>
      <c r="E342" s="70" t="n"/>
      <c r="F342" s="70" t="n"/>
      <c r="G342" s="69">
        <f>IF(OR(F342="",E342="",E342=0,F342=0),"",F342-E342)</f>
        <v/>
      </c>
      <c r="H342" s="42">
        <f>IF(OR(F342="",E342="",E342=0,F342=0),"",F342/E342-1)</f>
        <v/>
      </c>
      <c r="I342" s="68" t="n">
        <v>237</v>
      </c>
      <c r="J342" s="68" t="n">
        <v>94</v>
      </c>
      <c r="K342" s="69">
        <f>IF(OR(J342="",I342="",I342=0,J342=0),"",J342-I342)</f>
        <v/>
      </c>
      <c r="L342" s="42">
        <f>IF(OR(J342="",I342="",I342=0,J342=0),"",J342/I342-1)</f>
        <v/>
      </c>
      <c r="M342" s="43">
        <f>IF(OR(I342="",E342="",E342=0),"",I342/E342)</f>
        <v/>
      </c>
      <c r="N342" s="43">
        <f>IF(OR(J342="",F342="",F342=0),"",J342/F342)</f>
        <v/>
      </c>
      <c r="O342" s="44">
        <f>IF(OR(N342="",M342=""),"",(N342-M342)*100)</f>
        <v/>
      </c>
      <c r="P342" s="70" t="n"/>
      <c r="Q342" s="70" t="n"/>
      <c r="R342" s="69">
        <f>IF(OR(Q342="",P342="",P342=0,Q342=0),"",Q342-P342)</f>
        <v/>
      </c>
      <c r="S342" s="42">
        <f>IF(OR(Q342="",P342="",P342=0,Q342=0),"",Q342/P342-1)</f>
        <v/>
      </c>
      <c r="T342" s="43">
        <f>IF(OR(P342="",E342="",E342=0),"",P342/E342)</f>
        <v/>
      </c>
      <c r="U342" s="43">
        <f>IF(OR(Q342="",F342="",F342=0),"",Q342/F342)</f>
        <v/>
      </c>
      <c r="V342" s="44">
        <f>IF(OR(U342="",T342=""),"",(U342-T342)*100)</f>
        <v/>
      </c>
      <c r="W342" s="68" t="n">
        <v>42</v>
      </c>
      <c r="X342" s="68" t="n">
        <v>27</v>
      </c>
      <c r="Y342" s="69">
        <f>IF(OR(X342="",W342="",W342=0,X342=0),"",X342-W342)</f>
        <v/>
      </c>
      <c r="Z342" s="42">
        <f>IF(OR(X342="",W342="",W342=0,X342=0),"",X342/W342-1)</f>
        <v/>
      </c>
      <c r="AA342" s="43">
        <f>IF(OR(W342="",P342="",P342=0),"",W342/P342)</f>
        <v/>
      </c>
      <c r="AB342" s="43">
        <f>IF(OR(X342="",Q342="",Q342=0),"",X342/Q342)</f>
        <v/>
      </c>
      <c r="AC342" s="44">
        <f>IF(OR(AB342="",AA342=""),"",(AB342-AA342)*100)</f>
        <v/>
      </c>
      <c r="AD342" s="68" t="n">
        <v>36</v>
      </c>
      <c r="AE342" s="68" t="n">
        <v>21</v>
      </c>
      <c r="AF342" s="69">
        <f>IF(OR(AE342="",AD342="",AD342=0,AE342=0),"",AE342-AD342)</f>
        <v/>
      </c>
      <c r="AG342" s="42">
        <f>IF(OR(AE342="",AD342="",AD342=0,AE342=0),"",AE342/AD342-1)</f>
        <v/>
      </c>
      <c r="AH342" s="43">
        <f>IF(OR(AD342="",W342="",W342=0),"",AD342/W342)</f>
        <v/>
      </c>
      <c r="AI342" s="43">
        <f>IF(OR(AE342="",X342="",X342=0),"",AE342/X342)</f>
        <v/>
      </c>
      <c r="AJ342" s="44">
        <f>IF(OR(AI342="",AH342=""),"",(AI342-AH342)*100)</f>
        <v/>
      </c>
      <c r="AK342" s="68" t="n">
        <v>9</v>
      </c>
      <c r="AL342" s="68" t="n">
        <v>6</v>
      </c>
      <c r="AM342" s="69">
        <f>IF(OR(AL342="",AK342="",AK342=0,AL342=0),"",AL342-AK342)</f>
        <v/>
      </c>
      <c r="AN342" s="42">
        <f>IF(OR(AL342="",AK342="",AK342=0,AL342=0),"",AL342/AK342-1)</f>
        <v/>
      </c>
      <c r="AO342" s="43">
        <f>IF(OR(AK342="",AD342="",AD342=0),"",AK342/AD342)</f>
        <v/>
      </c>
      <c r="AP342" s="43">
        <f>IF(OR(AL342="",AE342="",AE342=0),"",AL342/AE342)</f>
        <v/>
      </c>
      <c r="AQ342" s="44">
        <f>IF(OR(AP342="",AO342=""),"",(AP342-AO342)*100)</f>
        <v/>
      </c>
      <c r="AR342" s="68" t="n">
        <v>5</v>
      </c>
      <c r="AS342" s="68" t="n">
        <v>4</v>
      </c>
      <c r="AT342" s="69">
        <f>IF(OR(AS342="",AR342="",AR342=0,AS342=0),"",AS342-AR342)</f>
        <v/>
      </c>
      <c r="AU342" s="42">
        <f>IF(OR(AS342="",AR342="",AR342=0,AS342=0),"",AS342/AR342-1)</f>
        <v/>
      </c>
      <c r="AV342" s="43">
        <f>IF(OR(AR342="",AK342="",AK342=0),"",AR342/AK342)</f>
        <v/>
      </c>
      <c r="AW342" s="43">
        <f>IF(OR(AS342="",AL342="",AL342=0),"",AS342/AL342)</f>
        <v/>
      </c>
      <c r="AX342" s="44">
        <f>IF(OR(AW342="",AV342=""),"",(AW342-AV342)*100)</f>
        <v/>
      </c>
      <c r="AY342" s="45">
        <f>IF(OR(AR342="",P342="",P342=0),"",AR342/P342)</f>
        <v/>
      </c>
      <c r="AZ342" s="45">
        <f>IF(OR(AS342="",Q342="",Q342=0),"",AS342/Q342)</f>
        <v/>
      </c>
      <c r="BA342" s="44">
        <f>IF(OR(AZ342="",AY342=""),"",(AZ342-AY342)*100)</f>
        <v/>
      </c>
      <c r="BB342" s="45">
        <f>IF(OR(AR342="",E342="",E342=0),"",AR342/E342)</f>
        <v/>
      </c>
      <c r="BC342" s="45">
        <f>IF(OR(AS342="",F342="",F342=0),"",AS342/F342)</f>
        <v/>
      </c>
      <c r="BD342" s="44">
        <f>IF(OR(BC342="",BB342=""),"",(BC342-BB342)*100)</f>
        <v/>
      </c>
      <c r="BE342" s="40">
        <f>IF(AND(F342&lt;&gt;"",E342&lt;&gt;""),"Both years",IF(F342&lt;&gt;"","1-23Aug26 rows only","1-23Aug25 rows only"))</f>
        <v/>
      </c>
    </row>
    <row r="343">
      <c r="A343" s="40" t="inlineStr">
        <is>
          <t>Route page</t>
        </is>
      </c>
      <c r="B343" s="40" t="inlineStr">
        <is>
          <t>Paid Search</t>
        </is>
      </c>
      <c r="C343" s="40" t="inlineStr">
        <is>
          <t>Desktop</t>
        </is>
      </c>
      <c r="D343" s="40" t="inlineStr">
        <is>
          <t>Germany</t>
        </is>
      </c>
      <c r="E343" s="68" t="n">
        <v>2054</v>
      </c>
      <c r="F343" s="68" t="n">
        <v>2605</v>
      </c>
      <c r="G343" s="69">
        <f>IF(OR(F343="",E343="",E343=0,F343=0),"",F343-E343)</f>
        <v/>
      </c>
      <c r="H343" s="42">
        <f>IF(OR(F343="",E343="",E343=0,F343=0),"",F343/E343-1)</f>
        <v/>
      </c>
      <c r="I343" s="68" t="n">
        <v>1428</v>
      </c>
      <c r="J343" s="68" t="n">
        <v>1553</v>
      </c>
      <c r="K343" s="69">
        <f>IF(OR(J343="",I343="",I343=0,J343=0),"",J343-I343)</f>
        <v/>
      </c>
      <c r="L343" s="42">
        <f>IF(OR(J343="",I343="",I343=0,J343=0),"",J343/I343-1)</f>
        <v/>
      </c>
      <c r="M343" s="43">
        <f>IF(OR(I343="",E343="",E343=0),"",I343/E343)</f>
        <v/>
      </c>
      <c r="N343" s="43">
        <f>IF(OR(J343="",F343="",F343=0),"",J343/F343)</f>
        <v/>
      </c>
      <c r="O343" s="44">
        <f>IF(OR(N343="",M343=""),"",(N343-M343)*100)</f>
        <v/>
      </c>
      <c r="P343" s="68" t="n">
        <v>1299</v>
      </c>
      <c r="Q343" s="68" t="n">
        <v>1510</v>
      </c>
      <c r="R343" s="69">
        <f>IF(OR(Q343="",P343="",P343=0,Q343=0),"",Q343-P343)</f>
        <v/>
      </c>
      <c r="S343" s="42">
        <f>IF(OR(Q343="",P343="",P343=0,Q343=0),"",Q343/P343-1)</f>
        <v/>
      </c>
      <c r="T343" s="43">
        <f>IF(OR(P343="",E343="",E343=0),"",P343/E343)</f>
        <v/>
      </c>
      <c r="U343" s="43">
        <f>IF(OR(Q343="",F343="",F343=0),"",Q343/F343)</f>
        <v/>
      </c>
      <c r="V343" s="44">
        <f>IF(OR(U343="",T343=""),"",(U343-T343)*100)</f>
        <v/>
      </c>
      <c r="W343" s="68" t="n">
        <v>283</v>
      </c>
      <c r="X343" s="68" t="n">
        <v>337</v>
      </c>
      <c r="Y343" s="69">
        <f>IF(OR(X343="",W343="",W343=0,X343=0),"",X343-W343)</f>
        <v/>
      </c>
      <c r="Z343" s="42">
        <f>IF(OR(X343="",W343="",W343=0,X343=0),"",X343/W343-1)</f>
        <v/>
      </c>
      <c r="AA343" s="43">
        <f>IF(OR(W343="",P343="",P343=0),"",W343/P343)</f>
        <v/>
      </c>
      <c r="AB343" s="43">
        <f>IF(OR(X343="",Q343="",Q343=0),"",X343/Q343)</f>
        <v/>
      </c>
      <c r="AC343" s="44">
        <f>IF(OR(AB343="",AA343=""),"",(AB343-AA343)*100)</f>
        <v/>
      </c>
      <c r="AD343" s="68" t="n">
        <v>217</v>
      </c>
      <c r="AE343" s="68" t="n">
        <v>245</v>
      </c>
      <c r="AF343" s="69">
        <f>IF(OR(AE343="",AD343="",AD343=0,AE343=0),"",AE343-AD343)</f>
        <v/>
      </c>
      <c r="AG343" s="42">
        <f>IF(OR(AE343="",AD343="",AD343=0,AE343=0),"",AE343/AD343-1)</f>
        <v/>
      </c>
      <c r="AH343" s="43">
        <f>IF(OR(AD343="",W343="",W343=0),"",AD343/W343)</f>
        <v/>
      </c>
      <c r="AI343" s="43">
        <f>IF(OR(AE343="",X343="",X343=0),"",AE343/X343)</f>
        <v/>
      </c>
      <c r="AJ343" s="44">
        <f>IF(OR(AI343="",AH343=""),"",(AI343-AH343)*100)</f>
        <v/>
      </c>
      <c r="AK343" s="68" t="n">
        <v>46</v>
      </c>
      <c r="AL343" s="68" t="n">
        <v>50</v>
      </c>
      <c r="AM343" s="69">
        <f>IF(OR(AL343="",AK343="",AK343=0,AL343=0),"",AL343-AK343)</f>
        <v/>
      </c>
      <c r="AN343" s="42">
        <f>IF(OR(AL343="",AK343="",AK343=0,AL343=0),"",AL343/AK343-1)</f>
        <v/>
      </c>
      <c r="AO343" s="43">
        <f>IF(OR(AK343="",AD343="",AD343=0),"",AK343/AD343)</f>
        <v/>
      </c>
      <c r="AP343" s="43">
        <f>IF(OR(AL343="",AE343="",AE343=0),"",AL343/AE343)</f>
        <v/>
      </c>
      <c r="AQ343" s="44">
        <f>IF(OR(AP343="",AO343=""),"",(AP343-AO343)*100)</f>
        <v/>
      </c>
      <c r="AR343" s="68" t="n">
        <v>38</v>
      </c>
      <c r="AS343" s="68" t="n">
        <v>35</v>
      </c>
      <c r="AT343" s="69">
        <f>IF(OR(AS343="",AR343="",AR343=0,AS343=0),"",AS343-AR343)</f>
        <v/>
      </c>
      <c r="AU343" s="42">
        <f>IF(OR(AS343="",AR343="",AR343=0,AS343=0),"",AS343/AR343-1)</f>
        <v/>
      </c>
      <c r="AV343" s="43">
        <f>IF(OR(AR343="",AK343="",AK343=0),"",AR343/AK343)</f>
        <v/>
      </c>
      <c r="AW343" s="43">
        <f>IF(OR(AS343="",AL343="",AL343=0),"",AS343/AL343)</f>
        <v/>
      </c>
      <c r="AX343" s="44">
        <f>IF(OR(AW343="",AV343=""),"",(AW343-AV343)*100)</f>
        <v/>
      </c>
      <c r="AY343" s="45">
        <f>IF(OR(AR343="",P343="",P343=0),"",AR343/P343)</f>
        <v/>
      </c>
      <c r="AZ343" s="45">
        <f>IF(OR(AS343="",Q343="",Q343=0),"",AS343/Q343)</f>
        <v/>
      </c>
      <c r="BA343" s="44">
        <f>IF(OR(AZ343="",AY343=""),"",(AZ343-AY343)*100)</f>
        <v/>
      </c>
      <c r="BB343" s="45">
        <f>IF(OR(AR343="",E343="",E343=0),"",AR343/E343)</f>
        <v/>
      </c>
      <c r="BC343" s="45">
        <f>IF(OR(AS343="",F343="",F343=0),"",AS343/F343)</f>
        <v/>
      </c>
      <c r="BD343" s="44">
        <f>IF(OR(BC343="",BB343=""),"",(BC343-BB343)*100)</f>
        <v/>
      </c>
      <c r="BE343" s="40">
        <f>IF(AND(F343&lt;&gt;"",E343&lt;&gt;""),"Both years",IF(F343&lt;&gt;"","1-23Aug26 rows only","1-23Aug25 rows only"))</f>
        <v/>
      </c>
    </row>
    <row r="344">
      <c r="A344" s="56" t="inlineStr">
        <is>
          <t>Route page</t>
        </is>
      </c>
      <c r="B344" s="56" t="inlineStr">
        <is>
          <t>Paid Search</t>
        </is>
      </c>
      <c r="C344" s="56" t="inlineStr">
        <is>
          <t>Desktop</t>
        </is>
      </c>
      <c r="D344" s="56" t="inlineStr">
        <is>
          <t>Italy</t>
        </is>
      </c>
      <c r="E344" s="68" t="n">
        <v>946</v>
      </c>
      <c r="F344" s="68" t="n">
        <v>2289</v>
      </c>
      <c r="G344" s="69">
        <f>IF(OR(F344="",E344="",E344=0,F344=0),"",F344-E344)</f>
        <v/>
      </c>
      <c r="H344" s="42">
        <f>IF(OR(F344="",E344="",E344=0,F344=0),"",F344/E344-1)</f>
        <v/>
      </c>
      <c r="I344" s="68" t="n">
        <v>713</v>
      </c>
      <c r="J344" s="68" t="n">
        <v>1321</v>
      </c>
      <c r="K344" s="69">
        <f>IF(OR(J344="",I344="",I344=0,J344=0),"",J344-I344)</f>
        <v/>
      </c>
      <c r="L344" s="42">
        <f>IF(OR(J344="",I344="",I344=0,J344=0),"",J344/I344-1)</f>
        <v/>
      </c>
      <c r="M344" s="43">
        <f>IF(OR(I344="",E344="",E344=0),"",I344/E344)</f>
        <v/>
      </c>
      <c r="N344" s="43">
        <f>IF(OR(J344="",F344="",F344=0),"",J344/F344)</f>
        <v/>
      </c>
      <c r="O344" s="44">
        <f>IF(OR(N344="",M344=""),"",(N344-M344)*100)</f>
        <v/>
      </c>
      <c r="P344" s="68" t="n">
        <v>639</v>
      </c>
      <c r="Q344" s="68" t="n">
        <v>1350</v>
      </c>
      <c r="R344" s="69">
        <f>IF(OR(Q344="",P344="",P344=0,Q344=0),"",Q344-P344)</f>
        <v/>
      </c>
      <c r="S344" s="42">
        <f>IF(OR(Q344="",P344="",P344=0,Q344=0),"",Q344/P344-1)</f>
        <v/>
      </c>
      <c r="T344" s="43">
        <f>IF(OR(P344="",E344="",E344=0),"",P344/E344)</f>
        <v/>
      </c>
      <c r="U344" s="43">
        <f>IF(OR(Q344="",F344="",F344=0),"",Q344/F344)</f>
        <v/>
      </c>
      <c r="V344" s="44">
        <f>IF(OR(U344="",T344=""),"",(U344-T344)*100)</f>
        <v/>
      </c>
      <c r="W344" s="68" t="n">
        <v>135</v>
      </c>
      <c r="X344" s="68" t="n">
        <v>198</v>
      </c>
      <c r="Y344" s="69">
        <f>IF(OR(X344="",W344="",W344=0,X344=0),"",X344-W344)</f>
        <v/>
      </c>
      <c r="Z344" s="42">
        <f>IF(OR(X344="",W344="",W344=0,X344=0),"",X344/W344-1)</f>
        <v/>
      </c>
      <c r="AA344" s="43">
        <f>IF(OR(W344="",P344="",P344=0),"",W344/P344)</f>
        <v/>
      </c>
      <c r="AB344" s="43">
        <f>IF(OR(X344="",Q344="",Q344=0),"",X344/Q344)</f>
        <v/>
      </c>
      <c r="AC344" s="44">
        <f>IF(OR(AB344="",AA344=""),"",(AB344-AA344)*100)</f>
        <v/>
      </c>
      <c r="AD344" s="68" t="n">
        <v>110</v>
      </c>
      <c r="AE344" s="68" t="n">
        <v>165</v>
      </c>
      <c r="AF344" s="69">
        <f>IF(OR(AE344="",AD344="",AD344=0,AE344=0),"",AE344-AD344)</f>
        <v/>
      </c>
      <c r="AG344" s="42">
        <f>IF(OR(AE344="",AD344="",AD344=0,AE344=0),"",AE344/AD344-1)</f>
        <v/>
      </c>
      <c r="AH344" s="43">
        <f>IF(OR(AD344="",W344="",W344=0),"",AD344/W344)</f>
        <v/>
      </c>
      <c r="AI344" s="43">
        <f>IF(OR(AE344="",X344="",X344=0),"",AE344/X344)</f>
        <v/>
      </c>
      <c r="AJ344" s="44">
        <f>IF(OR(AI344="",AH344=""),"",(AI344-AH344)*100)</f>
        <v/>
      </c>
      <c r="AK344" s="68" t="n">
        <v>39</v>
      </c>
      <c r="AL344" s="68" t="n">
        <v>45</v>
      </c>
      <c r="AM344" s="69">
        <f>IF(OR(AL344="",AK344="",AK344=0,AL344=0),"",AL344-AK344)</f>
        <v/>
      </c>
      <c r="AN344" s="42">
        <f>IF(OR(AL344="",AK344="",AK344=0,AL344=0),"",AL344/AK344-1)</f>
        <v/>
      </c>
      <c r="AO344" s="43">
        <f>IF(OR(AK344="",AD344="",AD344=0),"",AK344/AD344)</f>
        <v/>
      </c>
      <c r="AP344" s="43">
        <f>IF(OR(AL344="",AE344="",AE344=0),"",AL344/AE344)</f>
        <v/>
      </c>
      <c r="AQ344" s="44">
        <f>IF(OR(AP344="",AO344=""),"",(AP344-AO344)*100)</f>
        <v/>
      </c>
      <c r="AR344" s="68" t="n">
        <v>22</v>
      </c>
      <c r="AS344" s="68" t="n">
        <v>35</v>
      </c>
      <c r="AT344" s="69">
        <f>IF(OR(AS344="",AR344="",AR344=0,AS344=0),"",AS344-AR344)</f>
        <v/>
      </c>
      <c r="AU344" s="42">
        <f>IF(OR(AS344="",AR344="",AR344=0,AS344=0),"",AS344/AR344-1)</f>
        <v/>
      </c>
      <c r="AV344" s="43">
        <f>IF(OR(AR344="",AK344="",AK344=0),"",AR344/AK344)</f>
        <v/>
      </c>
      <c r="AW344" s="43">
        <f>IF(OR(AS344="",AL344="",AL344=0),"",AS344/AL344)</f>
        <v/>
      </c>
      <c r="AX344" s="44">
        <f>IF(OR(AW344="",AV344=""),"",(AW344-AV344)*100)</f>
        <v/>
      </c>
      <c r="AY344" s="45">
        <f>IF(OR(AR344="",P344="",P344=0),"",AR344/P344)</f>
        <v/>
      </c>
      <c r="AZ344" s="45">
        <f>IF(OR(AS344="",Q344="",Q344=0),"",AS344/Q344)</f>
        <v/>
      </c>
      <c r="BA344" s="44">
        <f>IF(OR(AZ344="",AY344=""),"",(AZ344-AY344)*100)</f>
        <v/>
      </c>
      <c r="BB344" s="45">
        <f>IF(OR(AR344="",E344="",E344=0),"",AR344/E344)</f>
        <v/>
      </c>
      <c r="BC344" s="45">
        <f>IF(OR(AS344="",F344="",F344=0),"",AS344/F344)</f>
        <v/>
      </c>
      <c r="BD344" s="44">
        <f>IF(OR(BC344="",BB344=""),"",(BC344-BB344)*100)</f>
        <v/>
      </c>
      <c r="BE344" s="40">
        <f>IF(AND(F344&lt;&gt;"",E344&lt;&gt;""),"Both years",IF(F344&lt;&gt;"","1-23Aug26 rows only","1-23Aug25 rows only"))</f>
        <v/>
      </c>
    </row>
    <row r="345">
      <c r="A345" s="40" t="inlineStr">
        <is>
          <t>Route page</t>
        </is>
      </c>
      <c r="B345" s="40" t="inlineStr">
        <is>
          <t>Paid Search</t>
        </is>
      </c>
      <c r="C345" s="40" t="inlineStr">
        <is>
          <t>Desktop</t>
        </is>
      </c>
      <c r="D345" s="40" t="inlineStr">
        <is>
          <t>United Kingdom</t>
        </is>
      </c>
      <c r="E345" s="68" t="n">
        <v>3970</v>
      </c>
      <c r="F345" s="68" t="n">
        <v>2119</v>
      </c>
      <c r="G345" s="69">
        <f>IF(OR(F345="",E345="",E345=0,F345=0),"",F345-E345)</f>
        <v/>
      </c>
      <c r="H345" s="42">
        <f>IF(OR(F345="",E345="",E345=0,F345=0),"",F345/E345-1)</f>
        <v/>
      </c>
      <c r="I345" s="68" t="n">
        <v>2825</v>
      </c>
      <c r="J345" s="68" t="n">
        <v>1340</v>
      </c>
      <c r="K345" s="69">
        <f>IF(OR(J345="",I345="",I345=0,J345=0),"",J345-I345)</f>
        <v/>
      </c>
      <c r="L345" s="42">
        <f>IF(OR(J345="",I345="",I345=0,J345=0),"",J345/I345-1)</f>
        <v/>
      </c>
      <c r="M345" s="43">
        <f>IF(OR(I345="",E345="",E345=0),"",I345/E345)</f>
        <v/>
      </c>
      <c r="N345" s="43">
        <f>IF(OR(J345="",F345="",F345=0),"",J345/F345)</f>
        <v/>
      </c>
      <c r="O345" s="44">
        <f>IF(OR(N345="",M345=""),"",(N345-M345)*100)</f>
        <v/>
      </c>
      <c r="P345" s="68" t="n">
        <v>2825</v>
      </c>
      <c r="Q345" s="68" t="n">
        <v>1441</v>
      </c>
      <c r="R345" s="69">
        <f>IF(OR(Q345="",P345="",P345=0,Q345=0),"",Q345-P345)</f>
        <v/>
      </c>
      <c r="S345" s="42">
        <f>IF(OR(Q345="",P345="",P345=0,Q345=0),"",Q345/P345-1)</f>
        <v/>
      </c>
      <c r="T345" s="43">
        <f>IF(OR(P345="",E345="",E345=0),"",P345/E345)</f>
        <v/>
      </c>
      <c r="U345" s="43">
        <f>IF(OR(Q345="",F345="",F345=0),"",Q345/F345)</f>
        <v/>
      </c>
      <c r="V345" s="44">
        <f>IF(OR(U345="",T345=""),"",(U345-T345)*100)</f>
        <v/>
      </c>
      <c r="W345" s="68" t="n">
        <v>581</v>
      </c>
      <c r="X345" s="68" t="n">
        <v>254</v>
      </c>
      <c r="Y345" s="69">
        <f>IF(OR(X345="",W345="",W345=0,X345=0),"",X345-W345)</f>
        <v/>
      </c>
      <c r="Z345" s="42">
        <f>IF(OR(X345="",W345="",W345=0,X345=0),"",X345/W345-1)</f>
        <v/>
      </c>
      <c r="AA345" s="43">
        <f>IF(OR(W345="",P345="",P345=0),"",W345/P345)</f>
        <v/>
      </c>
      <c r="AB345" s="43">
        <f>IF(OR(X345="",Q345="",Q345=0),"",X345/Q345)</f>
        <v/>
      </c>
      <c r="AC345" s="44">
        <f>IF(OR(AB345="",AA345=""),"",(AB345-AA345)*100)</f>
        <v/>
      </c>
      <c r="AD345" s="68" t="n">
        <v>462</v>
      </c>
      <c r="AE345" s="68" t="n">
        <v>203</v>
      </c>
      <c r="AF345" s="69">
        <f>IF(OR(AE345="",AD345="",AD345=0,AE345=0),"",AE345-AD345)</f>
        <v/>
      </c>
      <c r="AG345" s="42">
        <f>IF(OR(AE345="",AD345="",AD345=0,AE345=0),"",AE345/AD345-1)</f>
        <v/>
      </c>
      <c r="AH345" s="43">
        <f>IF(OR(AD345="",W345="",W345=0),"",AD345/W345)</f>
        <v/>
      </c>
      <c r="AI345" s="43">
        <f>IF(OR(AE345="",X345="",X345=0),"",AE345/X345)</f>
        <v/>
      </c>
      <c r="AJ345" s="44">
        <f>IF(OR(AI345="",AH345=""),"",(AI345-AH345)*100)</f>
        <v/>
      </c>
      <c r="AK345" s="68" t="n">
        <v>200</v>
      </c>
      <c r="AL345" s="68" t="n">
        <v>94</v>
      </c>
      <c r="AM345" s="69">
        <f>IF(OR(AL345="",AK345="",AK345=0,AL345=0),"",AL345-AK345)</f>
        <v/>
      </c>
      <c r="AN345" s="42">
        <f>IF(OR(AL345="",AK345="",AK345=0,AL345=0),"",AL345/AK345-1)</f>
        <v/>
      </c>
      <c r="AO345" s="43">
        <f>IF(OR(AK345="",AD345="",AD345=0),"",AK345/AD345)</f>
        <v/>
      </c>
      <c r="AP345" s="43">
        <f>IF(OR(AL345="",AE345="",AE345=0),"",AL345/AE345)</f>
        <v/>
      </c>
      <c r="AQ345" s="44">
        <f>IF(OR(AP345="",AO345=""),"",(AP345-AO345)*100)</f>
        <v/>
      </c>
      <c r="AR345" s="68" t="n">
        <v>154</v>
      </c>
      <c r="AS345" s="68" t="n">
        <v>81</v>
      </c>
      <c r="AT345" s="69">
        <f>IF(OR(AS345="",AR345="",AR345=0,AS345=0),"",AS345-AR345)</f>
        <v/>
      </c>
      <c r="AU345" s="42">
        <f>IF(OR(AS345="",AR345="",AR345=0,AS345=0),"",AS345/AR345-1)</f>
        <v/>
      </c>
      <c r="AV345" s="43">
        <f>IF(OR(AR345="",AK345="",AK345=0),"",AR345/AK345)</f>
        <v/>
      </c>
      <c r="AW345" s="43">
        <f>IF(OR(AS345="",AL345="",AL345=0),"",AS345/AL345)</f>
        <v/>
      </c>
      <c r="AX345" s="44">
        <f>IF(OR(AW345="",AV345=""),"",(AW345-AV345)*100)</f>
        <v/>
      </c>
      <c r="AY345" s="45">
        <f>IF(OR(AR345="",P345="",P345=0),"",AR345/P345)</f>
        <v/>
      </c>
      <c r="AZ345" s="45">
        <f>IF(OR(AS345="",Q345="",Q345=0),"",AS345/Q345)</f>
        <v/>
      </c>
      <c r="BA345" s="44">
        <f>IF(OR(AZ345="",AY345=""),"",(AZ345-AY345)*100)</f>
        <v/>
      </c>
      <c r="BB345" s="45">
        <f>IF(OR(AR345="",E345="",E345=0),"",AR345/E345)</f>
        <v/>
      </c>
      <c r="BC345" s="45">
        <f>IF(OR(AS345="",F345="",F345=0),"",AS345/F345)</f>
        <v/>
      </c>
      <c r="BD345" s="44">
        <f>IF(OR(BC345="",BB345=""),"",(BC345-BB345)*100)</f>
        <v/>
      </c>
      <c r="BE345" s="40">
        <f>IF(AND(F345&lt;&gt;"",E345&lt;&gt;""),"Both years",IF(F345&lt;&gt;"","1-23Aug26 rows only","1-23Aug25 rows only"))</f>
        <v/>
      </c>
    </row>
    <row r="346">
      <c r="A346" s="56" t="inlineStr">
        <is>
          <t>Route page</t>
        </is>
      </c>
      <c r="B346" s="56" t="inlineStr">
        <is>
          <t>Paid Search</t>
        </is>
      </c>
      <c r="C346" s="56" t="inlineStr">
        <is>
          <t>Desktop</t>
        </is>
      </c>
      <c r="D346" s="56" t="inlineStr">
        <is>
          <t>Spain</t>
        </is>
      </c>
      <c r="E346" s="68" t="n">
        <v>525</v>
      </c>
      <c r="F346" s="68" t="n">
        <v>689</v>
      </c>
      <c r="G346" s="69">
        <f>IF(OR(F346="",E346="",E346=0,F346=0),"",F346-E346)</f>
        <v/>
      </c>
      <c r="H346" s="42">
        <f>IF(OR(F346="",E346="",E346=0,F346=0),"",F346/E346-1)</f>
        <v/>
      </c>
      <c r="I346" s="68" t="n">
        <v>359</v>
      </c>
      <c r="J346" s="68" t="n">
        <v>394</v>
      </c>
      <c r="K346" s="69">
        <f>IF(OR(J346="",I346="",I346=0,J346=0),"",J346-I346)</f>
        <v/>
      </c>
      <c r="L346" s="42">
        <f>IF(OR(J346="",I346="",I346=0,J346=0),"",J346/I346-1)</f>
        <v/>
      </c>
      <c r="M346" s="43">
        <f>IF(OR(I346="",E346="",E346=0),"",I346/E346)</f>
        <v/>
      </c>
      <c r="N346" s="43">
        <f>IF(OR(J346="",F346="",F346=0),"",J346/F346)</f>
        <v/>
      </c>
      <c r="O346" s="44">
        <f>IF(OR(N346="",M346=""),"",(N346-M346)*100)</f>
        <v/>
      </c>
      <c r="P346" s="68" t="n">
        <v>343</v>
      </c>
      <c r="Q346" s="68" t="n">
        <v>364</v>
      </c>
      <c r="R346" s="69">
        <f>IF(OR(Q346="",P346="",P346=0,Q346=0),"",Q346-P346)</f>
        <v/>
      </c>
      <c r="S346" s="42">
        <f>IF(OR(Q346="",P346="",P346=0,Q346=0),"",Q346/P346-1)</f>
        <v/>
      </c>
      <c r="T346" s="43">
        <f>IF(OR(P346="",E346="",E346=0),"",P346/E346)</f>
        <v/>
      </c>
      <c r="U346" s="43">
        <f>IF(OR(Q346="",F346="",F346=0),"",Q346/F346)</f>
        <v/>
      </c>
      <c r="V346" s="44">
        <f>IF(OR(U346="",T346=""),"",(U346-T346)*100)</f>
        <v/>
      </c>
      <c r="W346" s="68" t="n">
        <v>75</v>
      </c>
      <c r="X346" s="68" t="n">
        <v>63</v>
      </c>
      <c r="Y346" s="69">
        <f>IF(OR(X346="",W346="",W346=0,X346=0),"",X346-W346)</f>
        <v/>
      </c>
      <c r="Z346" s="42">
        <f>IF(OR(X346="",W346="",W346=0,X346=0),"",X346/W346-1)</f>
        <v/>
      </c>
      <c r="AA346" s="43">
        <f>IF(OR(W346="",P346="",P346=0),"",W346/P346)</f>
        <v/>
      </c>
      <c r="AB346" s="43">
        <f>IF(OR(X346="",Q346="",Q346=0),"",X346/Q346)</f>
        <v/>
      </c>
      <c r="AC346" s="44">
        <f>IF(OR(AB346="",AA346=""),"",(AB346-AA346)*100)</f>
        <v/>
      </c>
      <c r="AD346" s="68" t="n">
        <v>58</v>
      </c>
      <c r="AE346" s="68" t="n">
        <v>42</v>
      </c>
      <c r="AF346" s="69">
        <f>IF(OR(AE346="",AD346="",AD346=0,AE346=0),"",AE346-AD346)</f>
        <v/>
      </c>
      <c r="AG346" s="42">
        <f>IF(OR(AE346="",AD346="",AD346=0,AE346=0),"",AE346/AD346-1)</f>
        <v/>
      </c>
      <c r="AH346" s="43">
        <f>IF(OR(AD346="",W346="",W346=0),"",AD346/W346)</f>
        <v/>
      </c>
      <c r="AI346" s="43">
        <f>IF(OR(AE346="",X346="",X346=0),"",AE346/X346)</f>
        <v/>
      </c>
      <c r="AJ346" s="44">
        <f>IF(OR(AI346="",AH346=""),"",(AI346-AH346)*100)</f>
        <v/>
      </c>
      <c r="AK346" s="68" t="n">
        <v>21</v>
      </c>
      <c r="AL346" s="68" t="n">
        <v>9</v>
      </c>
      <c r="AM346" s="69">
        <f>IF(OR(AL346="",AK346="",AK346=0,AL346=0),"",AL346-AK346)</f>
        <v/>
      </c>
      <c r="AN346" s="42">
        <f>IF(OR(AL346="",AK346="",AK346=0,AL346=0),"",AL346/AK346-1)</f>
        <v/>
      </c>
      <c r="AO346" s="43">
        <f>IF(OR(AK346="",AD346="",AD346=0),"",AK346/AD346)</f>
        <v/>
      </c>
      <c r="AP346" s="43">
        <f>IF(OR(AL346="",AE346="",AE346=0),"",AL346/AE346)</f>
        <v/>
      </c>
      <c r="AQ346" s="44">
        <f>IF(OR(AP346="",AO346=""),"",(AP346-AO346)*100)</f>
        <v/>
      </c>
      <c r="AR346" s="68" t="n">
        <v>16</v>
      </c>
      <c r="AS346" s="68" t="n">
        <v>9</v>
      </c>
      <c r="AT346" s="69">
        <f>IF(OR(AS346="",AR346="",AR346=0,AS346=0),"",AS346-AR346)</f>
        <v/>
      </c>
      <c r="AU346" s="42">
        <f>IF(OR(AS346="",AR346="",AR346=0,AS346=0),"",AS346/AR346-1)</f>
        <v/>
      </c>
      <c r="AV346" s="43">
        <f>IF(OR(AR346="",AK346="",AK346=0),"",AR346/AK346)</f>
        <v/>
      </c>
      <c r="AW346" s="43">
        <f>IF(OR(AS346="",AL346="",AL346=0),"",AS346/AL346)</f>
        <v/>
      </c>
      <c r="AX346" s="44">
        <f>IF(OR(AW346="",AV346=""),"",(AW346-AV346)*100)</f>
        <v/>
      </c>
      <c r="AY346" s="45">
        <f>IF(OR(AR346="",P346="",P346=0),"",AR346/P346)</f>
        <v/>
      </c>
      <c r="AZ346" s="45">
        <f>IF(OR(AS346="",Q346="",Q346=0),"",AS346/Q346)</f>
        <v/>
      </c>
      <c r="BA346" s="44">
        <f>IF(OR(AZ346="",AY346=""),"",(AZ346-AY346)*100)</f>
        <v/>
      </c>
      <c r="BB346" s="45">
        <f>IF(OR(AR346="",E346="",E346=0),"",AR346/E346)</f>
        <v/>
      </c>
      <c r="BC346" s="45">
        <f>IF(OR(AS346="",F346="",F346=0),"",AS346/F346)</f>
        <v/>
      </c>
      <c r="BD346" s="44">
        <f>IF(OR(BC346="",BB346=""),"",(BC346-BB346)*100)</f>
        <v/>
      </c>
      <c r="BE346" s="40">
        <f>IF(AND(F346&lt;&gt;"",E346&lt;&gt;""),"Both years",IF(F346&lt;&gt;"","1-23Aug26 rows only","1-23Aug25 rows only"))</f>
        <v/>
      </c>
    </row>
    <row r="347">
      <c r="A347" s="40" t="inlineStr">
        <is>
          <t>Route page</t>
        </is>
      </c>
      <c r="B347" s="40" t="inlineStr">
        <is>
          <t>Paid Search</t>
        </is>
      </c>
      <c r="C347" s="40" t="inlineStr">
        <is>
          <t>Desktop</t>
        </is>
      </c>
      <c r="D347" s="40" t="inlineStr">
        <is>
          <t>Netherlands</t>
        </is>
      </c>
      <c r="E347" s="68" t="n">
        <v>376</v>
      </c>
      <c r="F347" s="68" t="n">
        <v>602</v>
      </c>
      <c r="G347" s="69">
        <f>IF(OR(F347="",E347="",E347=0,F347=0),"",F347-E347)</f>
        <v/>
      </c>
      <c r="H347" s="42">
        <f>IF(OR(F347="",E347="",E347=0,F347=0),"",F347/E347-1)</f>
        <v/>
      </c>
      <c r="I347" s="68" t="n">
        <v>255</v>
      </c>
      <c r="J347" s="68" t="n">
        <v>351</v>
      </c>
      <c r="K347" s="69">
        <f>IF(OR(J347="",I347="",I347=0,J347=0),"",J347-I347)</f>
        <v/>
      </c>
      <c r="L347" s="42">
        <f>IF(OR(J347="",I347="",I347=0,J347=0),"",J347/I347-1)</f>
        <v/>
      </c>
      <c r="M347" s="43">
        <f>IF(OR(I347="",E347="",E347=0),"",I347/E347)</f>
        <v/>
      </c>
      <c r="N347" s="43">
        <f>IF(OR(J347="",F347="",F347=0),"",J347/F347)</f>
        <v/>
      </c>
      <c r="O347" s="44">
        <f>IF(OR(N347="",M347=""),"",(N347-M347)*100)</f>
        <v/>
      </c>
      <c r="P347" s="68" t="n">
        <v>240</v>
      </c>
      <c r="Q347" s="68" t="n">
        <v>369</v>
      </c>
      <c r="R347" s="69">
        <f>IF(OR(Q347="",P347="",P347=0,Q347=0),"",Q347-P347)</f>
        <v/>
      </c>
      <c r="S347" s="42">
        <f>IF(OR(Q347="",P347="",P347=0,Q347=0),"",Q347/P347-1)</f>
        <v/>
      </c>
      <c r="T347" s="43">
        <f>IF(OR(P347="",E347="",E347=0),"",P347/E347)</f>
        <v/>
      </c>
      <c r="U347" s="43">
        <f>IF(OR(Q347="",F347="",F347=0),"",Q347/F347)</f>
        <v/>
      </c>
      <c r="V347" s="44">
        <f>IF(OR(U347="",T347=""),"",(U347-T347)*100)</f>
        <v/>
      </c>
      <c r="W347" s="68" t="n">
        <v>51</v>
      </c>
      <c r="X347" s="68" t="n">
        <v>58</v>
      </c>
      <c r="Y347" s="69">
        <f>IF(OR(X347="",W347="",W347=0,X347=0),"",X347-W347)</f>
        <v/>
      </c>
      <c r="Z347" s="42">
        <f>IF(OR(X347="",W347="",W347=0,X347=0),"",X347/W347-1)</f>
        <v/>
      </c>
      <c r="AA347" s="43">
        <f>IF(OR(W347="",P347="",P347=0),"",W347/P347)</f>
        <v/>
      </c>
      <c r="AB347" s="43">
        <f>IF(OR(X347="",Q347="",Q347=0),"",X347/Q347)</f>
        <v/>
      </c>
      <c r="AC347" s="44">
        <f>IF(OR(AB347="",AA347=""),"",(AB347-AA347)*100)</f>
        <v/>
      </c>
      <c r="AD347" s="68" t="n">
        <v>43</v>
      </c>
      <c r="AE347" s="68" t="n">
        <v>35</v>
      </c>
      <c r="AF347" s="69">
        <f>IF(OR(AE347="",AD347="",AD347=0,AE347=0),"",AE347-AD347)</f>
        <v/>
      </c>
      <c r="AG347" s="42">
        <f>IF(OR(AE347="",AD347="",AD347=0,AE347=0),"",AE347/AD347-1)</f>
        <v/>
      </c>
      <c r="AH347" s="43">
        <f>IF(OR(AD347="",W347="",W347=0),"",AD347/W347)</f>
        <v/>
      </c>
      <c r="AI347" s="43">
        <f>IF(OR(AE347="",X347="",X347=0),"",AE347/X347)</f>
        <v/>
      </c>
      <c r="AJ347" s="44">
        <f>IF(OR(AI347="",AH347=""),"",(AI347-AH347)*100)</f>
        <v/>
      </c>
      <c r="AK347" s="68" t="n">
        <v>17</v>
      </c>
      <c r="AL347" s="68" t="n">
        <v>19</v>
      </c>
      <c r="AM347" s="69">
        <f>IF(OR(AL347="",AK347="",AK347=0,AL347=0),"",AL347-AK347)</f>
        <v/>
      </c>
      <c r="AN347" s="42">
        <f>IF(OR(AL347="",AK347="",AK347=0,AL347=0),"",AL347/AK347-1)</f>
        <v/>
      </c>
      <c r="AO347" s="43">
        <f>IF(OR(AK347="",AD347="",AD347=0),"",AK347/AD347)</f>
        <v/>
      </c>
      <c r="AP347" s="43">
        <f>IF(OR(AL347="",AE347="",AE347=0),"",AL347/AE347)</f>
        <v/>
      </c>
      <c r="AQ347" s="44">
        <f>IF(OR(AP347="",AO347=""),"",(AP347-AO347)*100)</f>
        <v/>
      </c>
      <c r="AR347" s="68" t="n">
        <v>8</v>
      </c>
      <c r="AS347" s="68" t="n">
        <v>6</v>
      </c>
      <c r="AT347" s="69">
        <f>IF(OR(AS347="",AR347="",AR347=0,AS347=0),"",AS347-AR347)</f>
        <v/>
      </c>
      <c r="AU347" s="42">
        <f>IF(OR(AS347="",AR347="",AR347=0,AS347=0),"",AS347/AR347-1)</f>
        <v/>
      </c>
      <c r="AV347" s="43">
        <f>IF(OR(AR347="",AK347="",AK347=0),"",AR347/AK347)</f>
        <v/>
      </c>
      <c r="AW347" s="43">
        <f>IF(OR(AS347="",AL347="",AL347=0),"",AS347/AL347)</f>
        <v/>
      </c>
      <c r="AX347" s="44">
        <f>IF(OR(AW347="",AV347=""),"",(AW347-AV347)*100)</f>
        <v/>
      </c>
      <c r="AY347" s="45">
        <f>IF(OR(AR347="",P347="",P347=0),"",AR347/P347)</f>
        <v/>
      </c>
      <c r="AZ347" s="45">
        <f>IF(OR(AS347="",Q347="",Q347=0),"",AS347/Q347)</f>
        <v/>
      </c>
      <c r="BA347" s="44">
        <f>IF(OR(AZ347="",AY347=""),"",(AZ347-AY347)*100)</f>
        <v/>
      </c>
      <c r="BB347" s="45">
        <f>IF(OR(AR347="",E347="",E347=0),"",AR347/E347)</f>
        <v/>
      </c>
      <c r="BC347" s="45">
        <f>IF(OR(AS347="",F347="",F347=0),"",AS347/F347)</f>
        <v/>
      </c>
      <c r="BD347" s="44">
        <f>IF(OR(BC347="",BB347=""),"",(BC347-BB347)*100)</f>
        <v/>
      </c>
      <c r="BE347" s="40">
        <f>IF(AND(F347&lt;&gt;"",E347&lt;&gt;""),"Both years",IF(F347&lt;&gt;"","1-23Aug26 rows only","1-23Aug25 rows only"))</f>
        <v/>
      </c>
    </row>
    <row r="348">
      <c r="A348" s="56" t="inlineStr">
        <is>
          <t>Route page</t>
        </is>
      </c>
      <c r="B348" s="56" t="inlineStr">
        <is>
          <t>Paid Search</t>
        </is>
      </c>
      <c r="C348" s="56" t="inlineStr">
        <is>
          <t>Desktop</t>
        </is>
      </c>
      <c r="D348" s="56" t="inlineStr">
        <is>
          <t>Sweden</t>
        </is>
      </c>
      <c r="E348" s="68" t="n">
        <v>468</v>
      </c>
      <c r="F348" s="68" t="n">
        <v>572</v>
      </c>
      <c r="G348" s="69">
        <f>IF(OR(F348="",E348="",E348=0,F348=0),"",F348-E348)</f>
        <v/>
      </c>
      <c r="H348" s="42">
        <f>IF(OR(F348="",E348="",E348=0,F348=0),"",F348/E348-1)</f>
        <v/>
      </c>
      <c r="I348" s="68" t="n">
        <v>318</v>
      </c>
      <c r="J348" s="68" t="n">
        <v>296</v>
      </c>
      <c r="K348" s="69">
        <f>IF(OR(J348="",I348="",I348=0,J348=0),"",J348-I348)</f>
        <v/>
      </c>
      <c r="L348" s="42">
        <f>IF(OR(J348="",I348="",I348=0,J348=0),"",J348/I348-1)</f>
        <v/>
      </c>
      <c r="M348" s="43">
        <f>IF(OR(I348="",E348="",E348=0),"",I348/E348)</f>
        <v/>
      </c>
      <c r="N348" s="43">
        <f>IF(OR(J348="",F348="",F348=0),"",J348/F348)</f>
        <v/>
      </c>
      <c r="O348" s="44">
        <f>IF(OR(N348="",M348=""),"",(N348-M348)*100)</f>
        <v/>
      </c>
      <c r="P348" s="68" t="n">
        <v>310</v>
      </c>
      <c r="Q348" s="68" t="n">
        <v>282</v>
      </c>
      <c r="R348" s="69">
        <f>IF(OR(Q348="",P348="",P348=0,Q348=0),"",Q348-P348)</f>
        <v/>
      </c>
      <c r="S348" s="42">
        <f>IF(OR(Q348="",P348="",P348=0,Q348=0),"",Q348/P348-1)</f>
        <v/>
      </c>
      <c r="T348" s="43">
        <f>IF(OR(P348="",E348="",E348=0),"",P348/E348)</f>
        <v/>
      </c>
      <c r="U348" s="43">
        <f>IF(OR(Q348="",F348="",F348=0),"",Q348/F348)</f>
        <v/>
      </c>
      <c r="V348" s="44">
        <f>IF(OR(U348="",T348=""),"",(U348-T348)*100)</f>
        <v/>
      </c>
      <c r="W348" s="68" t="n">
        <v>64</v>
      </c>
      <c r="X348" s="68" t="n">
        <v>45</v>
      </c>
      <c r="Y348" s="69">
        <f>IF(OR(X348="",W348="",W348=0,X348=0),"",X348-W348)</f>
        <v/>
      </c>
      <c r="Z348" s="42">
        <f>IF(OR(X348="",W348="",W348=0,X348=0),"",X348/W348-1)</f>
        <v/>
      </c>
      <c r="AA348" s="43">
        <f>IF(OR(W348="",P348="",P348=0),"",W348/P348)</f>
        <v/>
      </c>
      <c r="AB348" s="43">
        <f>IF(OR(X348="",Q348="",Q348=0),"",X348/Q348)</f>
        <v/>
      </c>
      <c r="AC348" s="44">
        <f>IF(OR(AB348="",AA348=""),"",(AB348-AA348)*100)</f>
        <v/>
      </c>
      <c r="AD348" s="68" t="n">
        <v>53</v>
      </c>
      <c r="AE348" s="68" t="n">
        <v>30</v>
      </c>
      <c r="AF348" s="69">
        <f>IF(OR(AE348="",AD348="",AD348=0,AE348=0),"",AE348-AD348)</f>
        <v/>
      </c>
      <c r="AG348" s="42">
        <f>IF(OR(AE348="",AD348="",AD348=0,AE348=0),"",AE348/AD348-1)</f>
        <v/>
      </c>
      <c r="AH348" s="43">
        <f>IF(OR(AD348="",W348="",W348=0),"",AD348/W348)</f>
        <v/>
      </c>
      <c r="AI348" s="43">
        <f>IF(OR(AE348="",X348="",X348=0),"",AE348/X348)</f>
        <v/>
      </c>
      <c r="AJ348" s="44">
        <f>IF(OR(AI348="",AH348=""),"",(AI348-AH348)*100)</f>
        <v/>
      </c>
      <c r="AK348" s="68" t="n">
        <v>15</v>
      </c>
      <c r="AL348" s="68" t="n">
        <v>10</v>
      </c>
      <c r="AM348" s="69">
        <f>IF(OR(AL348="",AK348="",AK348=0,AL348=0),"",AL348-AK348)</f>
        <v/>
      </c>
      <c r="AN348" s="42">
        <f>IF(OR(AL348="",AK348="",AK348=0,AL348=0),"",AL348/AK348-1)</f>
        <v/>
      </c>
      <c r="AO348" s="43">
        <f>IF(OR(AK348="",AD348="",AD348=0),"",AK348/AD348)</f>
        <v/>
      </c>
      <c r="AP348" s="43">
        <f>IF(OR(AL348="",AE348="",AE348=0),"",AL348/AE348)</f>
        <v/>
      </c>
      <c r="AQ348" s="44">
        <f>IF(OR(AP348="",AO348=""),"",(AP348-AO348)*100)</f>
        <v/>
      </c>
      <c r="AR348" s="68" t="n">
        <v>10</v>
      </c>
      <c r="AS348" s="68" t="n">
        <v>7</v>
      </c>
      <c r="AT348" s="69">
        <f>IF(OR(AS348="",AR348="",AR348=0,AS348=0),"",AS348-AR348)</f>
        <v/>
      </c>
      <c r="AU348" s="42">
        <f>IF(OR(AS348="",AR348="",AR348=0,AS348=0),"",AS348/AR348-1)</f>
        <v/>
      </c>
      <c r="AV348" s="43">
        <f>IF(OR(AR348="",AK348="",AK348=0),"",AR348/AK348)</f>
        <v/>
      </c>
      <c r="AW348" s="43">
        <f>IF(OR(AS348="",AL348="",AL348=0),"",AS348/AL348)</f>
        <v/>
      </c>
      <c r="AX348" s="44">
        <f>IF(OR(AW348="",AV348=""),"",(AW348-AV348)*100)</f>
        <v/>
      </c>
      <c r="AY348" s="45">
        <f>IF(OR(AR348="",P348="",P348=0),"",AR348/P348)</f>
        <v/>
      </c>
      <c r="AZ348" s="45">
        <f>IF(OR(AS348="",Q348="",Q348=0),"",AS348/Q348)</f>
        <v/>
      </c>
      <c r="BA348" s="44">
        <f>IF(OR(AZ348="",AY348=""),"",(AZ348-AY348)*100)</f>
        <v/>
      </c>
      <c r="BB348" s="45">
        <f>IF(OR(AR348="",E348="",E348=0),"",AR348/E348)</f>
        <v/>
      </c>
      <c r="BC348" s="45">
        <f>IF(OR(AS348="",F348="",F348=0),"",AS348/F348)</f>
        <v/>
      </c>
      <c r="BD348" s="44">
        <f>IF(OR(BC348="",BB348=""),"",(BC348-BB348)*100)</f>
        <v/>
      </c>
      <c r="BE348" s="40">
        <f>IF(AND(F348&lt;&gt;"",E348&lt;&gt;""),"Both years",IF(F348&lt;&gt;"","1-23Aug26 rows only","1-23Aug25 rows only"))</f>
        <v/>
      </c>
    </row>
    <row r="349">
      <c r="A349" s="40" t="inlineStr">
        <is>
          <t>Route page</t>
        </is>
      </c>
      <c r="B349" s="40" t="inlineStr">
        <is>
          <t>Paid Search</t>
        </is>
      </c>
      <c r="C349" s="40" t="inlineStr">
        <is>
          <t>Desktop</t>
        </is>
      </c>
      <c r="D349" s="40" t="inlineStr">
        <is>
          <t>Ireland</t>
        </is>
      </c>
      <c r="E349" s="68" t="n">
        <v>666</v>
      </c>
      <c r="F349" s="68" t="n">
        <v>537</v>
      </c>
      <c r="G349" s="69">
        <f>IF(OR(F349="",E349="",E349=0,F349=0),"",F349-E349)</f>
        <v/>
      </c>
      <c r="H349" s="42">
        <f>IF(OR(F349="",E349="",E349=0,F349=0),"",F349/E349-1)</f>
        <v/>
      </c>
      <c r="I349" s="68" t="n">
        <v>451</v>
      </c>
      <c r="J349" s="68" t="n">
        <v>336</v>
      </c>
      <c r="K349" s="69">
        <f>IF(OR(J349="",I349="",I349=0,J349=0),"",J349-I349)</f>
        <v/>
      </c>
      <c r="L349" s="42">
        <f>IF(OR(J349="",I349="",I349=0,J349=0),"",J349/I349-1)</f>
        <v/>
      </c>
      <c r="M349" s="43">
        <f>IF(OR(I349="",E349="",E349=0),"",I349/E349)</f>
        <v/>
      </c>
      <c r="N349" s="43">
        <f>IF(OR(J349="",F349="",F349=0),"",J349/F349)</f>
        <v/>
      </c>
      <c r="O349" s="44">
        <f>IF(OR(N349="",M349=""),"",(N349-M349)*100)</f>
        <v/>
      </c>
      <c r="P349" s="68" t="n">
        <v>469</v>
      </c>
      <c r="Q349" s="68" t="n">
        <v>337</v>
      </c>
      <c r="R349" s="69">
        <f>IF(OR(Q349="",P349="",P349=0,Q349=0),"",Q349-P349)</f>
        <v/>
      </c>
      <c r="S349" s="42">
        <f>IF(OR(Q349="",P349="",P349=0,Q349=0),"",Q349/P349-1)</f>
        <v/>
      </c>
      <c r="T349" s="43">
        <f>IF(OR(P349="",E349="",E349=0),"",P349/E349)</f>
        <v/>
      </c>
      <c r="U349" s="43">
        <f>IF(OR(Q349="",F349="",F349=0),"",Q349/F349)</f>
        <v/>
      </c>
      <c r="V349" s="44">
        <f>IF(OR(U349="",T349=""),"",(U349-T349)*100)</f>
        <v/>
      </c>
      <c r="W349" s="68" t="n">
        <v>85</v>
      </c>
      <c r="X349" s="68" t="n">
        <v>71</v>
      </c>
      <c r="Y349" s="69">
        <f>IF(OR(X349="",W349="",W349=0,X349=0),"",X349-W349)</f>
        <v/>
      </c>
      <c r="Z349" s="42">
        <f>IF(OR(X349="",W349="",W349=0,X349=0),"",X349/W349-1)</f>
        <v/>
      </c>
      <c r="AA349" s="43">
        <f>IF(OR(W349="",P349="",P349=0),"",W349/P349)</f>
        <v/>
      </c>
      <c r="AB349" s="43">
        <f>IF(OR(X349="",Q349="",Q349=0),"",X349/Q349)</f>
        <v/>
      </c>
      <c r="AC349" s="44">
        <f>IF(OR(AB349="",AA349=""),"",(AB349-AA349)*100)</f>
        <v/>
      </c>
      <c r="AD349" s="68" t="n">
        <v>70</v>
      </c>
      <c r="AE349" s="68" t="n">
        <v>56</v>
      </c>
      <c r="AF349" s="69">
        <f>IF(OR(AE349="",AD349="",AD349=0,AE349=0),"",AE349-AD349)</f>
        <v/>
      </c>
      <c r="AG349" s="42">
        <f>IF(OR(AE349="",AD349="",AD349=0,AE349=0),"",AE349/AD349-1)</f>
        <v/>
      </c>
      <c r="AH349" s="43">
        <f>IF(OR(AD349="",W349="",W349=0),"",AD349/W349)</f>
        <v/>
      </c>
      <c r="AI349" s="43">
        <f>IF(OR(AE349="",X349="",X349=0),"",AE349/X349)</f>
        <v/>
      </c>
      <c r="AJ349" s="44">
        <f>IF(OR(AI349="",AH349=""),"",(AI349-AH349)*100)</f>
        <v/>
      </c>
      <c r="AK349" s="68" t="n">
        <v>28</v>
      </c>
      <c r="AL349" s="68" t="n">
        <v>19</v>
      </c>
      <c r="AM349" s="69">
        <f>IF(OR(AL349="",AK349="",AK349=0,AL349=0),"",AL349-AK349)</f>
        <v/>
      </c>
      <c r="AN349" s="42">
        <f>IF(OR(AL349="",AK349="",AK349=0,AL349=0),"",AL349/AK349-1)</f>
        <v/>
      </c>
      <c r="AO349" s="43">
        <f>IF(OR(AK349="",AD349="",AD349=0),"",AK349/AD349)</f>
        <v/>
      </c>
      <c r="AP349" s="43">
        <f>IF(OR(AL349="",AE349="",AE349=0),"",AL349/AE349)</f>
        <v/>
      </c>
      <c r="AQ349" s="44">
        <f>IF(OR(AP349="",AO349=""),"",(AP349-AO349)*100)</f>
        <v/>
      </c>
      <c r="AR349" s="68" t="n">
        <v>24</v>
      </c>
      <c r="AS349" s="68" t="n">
        <v>13</v>
      </c>
      <c r="AT349" s="69">
        <f>IF(OR(AS349="",AR349="",AR349=0,AS349=0),"",AS349-AR349)</f>
        <v/>
      </c>
      <c r="AU349" s="42">
        <f>IF(OR(AS349="",AR349="",AR349=0,AS349=0),"",AS349/AR349-1)</f>
        <v/>
      </c>
      <c r="AV349" s="43">
        <f>IF(OR(AR349="",AK349="",AK349=0),"",AR349/AK349)</f>
        <v/>
      </c>
      <c r="AW349" s="43">
        <f>IF(OR(AS349="",AL349="",AL349=0),"",AS349/AL349)</f>
        <v/>
      </c>
      <c r="AX349" s="44">
        <f>IF(OR(AW349="",AV349=""),"",(AW349-AV349)*100)</f>
        <v/>
      </c>
      <c r="AY349" s="45">
        <f>IF(OR(AR349="",P349="",P349=0),"",AR349/P349)</f>
        <v/>
      </c>
      <c r="AZ349" s="45">
        <f>IF(OR(AS349="",Q349="",Q349=0),"",AS349/Q349)</f>
        <v/>
      </c>
      <c r="BA349" s="44">
        <f>IF(OR(AZ349="",AY349=""),"",(AZ349-AY349)*100)</f>
        <v/>
      </c>
      <c r="BB349" s="45">
        <f>IF(OR(AR349="",E349="",E349=0),"",AR349/E349)</f>
        <v/>
      </c>
      <c r="BC349" s="45">
        <f>IF(OR(AS349="",F349="",F349=0),"",AS349/F349)</f>
        <v/>
      </c>
      <c r="BD349" s="44">
        <f>IF(OR(BC349="",BB349=""),"",(BC349-BB349)*100)</f>
        <v/>
      </c>
      <c r="BE349" s="40">
        <f>IF(AND(F349&lt;&gt;"",E349&lt;&gt;""),"Both years",IF(F349&lt;&gt;"","1-23Aug26 rows only","1-23Aug25 rows only"))</f>
        <v/>
      </c>
    </row>
    <row r="350">
      <c r="A350" s="56" t="inlineStr">
        <is>
          <t>Route page</t>
        </is>
      </c>
      <c r="B350" s="56" t="inlineStr">
        <is>
          <t>Paid Search</t>
        </is>
      </c>
      <c r="C350" s="56" t="inlineStr">
        <is>
          <t>Desktop</t>
        </is>
      </c>
      <c r="D350" s="56" t="inlineStr">
        <is>
          <t>France</t>
        </is>
      </c>
      <c r="E350" s="70" t="n"/>
      <c r="F350" s="68" t="n">
        <v>534</v>
      </c>
      <c r="G350" s="69">
        <f>IF(OR(F350="",E350="",E350=0,F350=0),"",F350-E350)</f>
        <v/>
      </c>
      <c r="H350" s="42">
        <f>IF(OR(F350="",E350="",E350=0,F350=0),"",F350/E350-1)</f>
        <v/>
      </c>
      <c r="I350" s="68" t="n">
        <v>201</v>
      </c>
      <c r="J350" s="68" t="n">
        <v>285</v>
      </c>
      <c r="K350" s="69">
        <f>IF(OR(J350="",I350="",I350=0,J350=0),"",J350-I350)</f>
        <v/>
      </c>
      <c r="L350" s="42">
        <f>IF(OR(J350="",I350="",I350=0,J350=0),"",J350/I350-1)</f>
        <v/>
      </c>
      <c r="M350" s="43">
        <f>IF(OR(I350="",E350="",E350=0),"",I350/E350)</f>
        <v/>
      </c>
      <c r="N350" s="43">
        <f>IF(OR(J350="",F350="",F350=0),"",J350/F350)</f>
        <v/>
      </c>
      <c r="O350" s="44">
        <f>IF(OR(N350="",M350=""),"",(N350-M350)*100)</f>
        <v/>
      </c>
      <c r="P350" s="70" t="n"/>
      <c r="Q350" s="68" t="n">
        <v>256</v>
      </c>
      <c r="R350" s="69">
        <f>IF(OR(Q350="",P350="",P350=0,Q350=0),"",Q350-P350)</f>
        <v/>
      </c>
      <c r="S350" s="42">
        <f>IF(OR(Q350="",P350="",P350=0,Q350=0),"",Q350/P350-1)</f>
        <v/>
      </c>
      <c r="T350" s="43">
        <f>IF(OR(P350="",E350="",E350=0),"",P350/E350)</f>
        <v/>
      </c>
      <c r="U350" s="43">
        <f>IF(OR(Q350="",F350="",F350=0),"",Q350/F350)</f>
        <v/>
      </c>
      <c r="V350" s="44">
        <f>IF(OR(U350="",T350=""),"",(U350-T350)*100)</f>
        <v/>
      </c>
      <c r="W350" s="68" t="n">
        <v>50</v>
      </c>
      <c r="X350" s="68" t="n">
        <v>65</v>
      </c>
      <c r="Y350" s="69">
        <f>IF(OR(X350="",W350="",W350=0,X350=0),"",X350-W350)</f>
        <v/>
      </c>
      <c r="Z350" s="42">
        <f>IF(OR(X350="",W350="",W350=0,X350=0),"",X350/W350-1)</f>
        <v/>
      </c>
      <c r="AA350" s="43">
        <f>IF(OR(W350="",P350="",P350=0),"",W350/P350)</f>
        <v/>
      </c>
      <c r="AB350" s="43">
        <f>IF(OR(X350="",Q350="",Q350=0),"",X350/Q350)</f>
        <v/>
      </c>
      <c r="AC350" s="44">
        <f>IF(OR(AB350="",AA350=""),"",(AB350-AA350)*100)</f>
        <v/>
      </c>
      <c r="AD350" s="68" t="n">
        <v>34</v>
      </c>
      <c r="AE350" s="68" t="n">
        <v>43</v>
      </c>
      <c r="AF350" s="69">
        <f>IF(OR(AE350="",AD350="",AD350=0,AE350=0),"",AE350-AD350)</f>
        <v/>
      </c>
      <c r="AG350" s="42">
        <f>IF(OR(AE350="",AD350="",AD350=0,AE350=0),"",AE350/AD350-1)</f>
        <v/>
      </c>
      <c r="AH350" s="43">
        <f>IF(OR(AD350="",W350="",W350=0),"",AD350/W350)</f>
        <v/>
      </c>
      <c r="AI350" s="43">
        <f>IF(OR(AE350="",X350="",X350=0),"",AE350/X350)</f>
        <v/>
      </c>
      <c r="AJ350" s="44">
        <f>IF(OR(AI350="",AH350=""),"",(AI350-AH350)*100)</f>
        <v/>
      </c>
      <c r="AK350" s="68" t="n">
        <v>14</v>
      </c>
      <c r="AL350" s="68" t="n">
        <v>13</v>
      </c>
      <c r="AM350" s="69">
        <f>IF(OR(AL350="",AK350="",AK350=0,AL350=0),"",AL350-AK350)</f>
        <v/>
      </c>
      <c r="AN350" s="42">
        <f>IF(OR(AL350="",AK350="",AK350=0,AL350=0),"",AL350/AK350-1)</f>
        <v/>
      </c>
      <c r="AO350" s="43">
        <f>IF(OR(AK350="",AD350="",AD350=0),"",AK350/AD350)</f>
        <v/>
      </c>
      <c r="AP350" s="43">
        <f>IF(OR(AL350="",AE350="",AE350=0),"",AL350/AE350)</f>
        <v/>
      </c>
      <c r="AQ350" s="44">
        <f>IF(OR(AP350="",AO350=""),"",(AP350-AO350)*100)</f>
        <v/>
      </c>
      <c r="AR350" s="68" t="n">
        <v>8</v>
      </c>
      <c r="AS350" s="68" t="n">
        <v>8</v>
      </c>
      <c r="AT350" s="69">
        <f>IF(OR(AS350="",AR350="",AR350=0,AS350=0),"",AS350-AR350)</f>
        <v/>
      </c>
      <c r="AU350" s="42">
        <f>IF(OR(AS350="",AR350="",AR350=0,AS350=0),"",AS350/AR350-1)</f>
        <v/>
      </c>
      <c r="AV350" s="43">
        <f>IF(OR(AR350="",AK350="",AK350=0),"",AR350/AK350)</f>
        <v/>
      </c>
      <c r="AW350" s="43">
        <f>IF(OR(AS350="",AL350="",AL350=0),"",AS350/AL350)</f>
        <v/>
      </c>
      <c r="AX350" s="44">
        <f>IF(OR(AW350="",AV350=""),"",(AW350-AV350)*100)</f>
        <v/>
      </c>
      <c r="AY350" s="45">
        <f>IF(OR(AR350="",P350="",P350=0),"",AR350/P350)</f>
        <v/>
      </c>
      <c r="AZ350" s="45">
        <f>IF(OR(AS350="",Q350="",Q350=0),"",AS350/Q350)</f>
        <v/>
      </c>
      <c r="BA350" s="44">
        <f>IF(OR(AZ350="",AY350=""),"",(AZ350-AY350)*100)</f>
        <v/>
      </c>
      <c r="BB350" s="45">
        <f>IF(OR(AR350="",E350="",E350=0),"",AR350/E350)</f>
        <v/>
      </c>
      <c r="BC350" s="45">
        <f>IF(OR(AS350="",F350="",F350=0),"",AS350/F350)</f>
        <v/>
      </c>
      <c r="BD350" s="44">
        <f>IF(OR(BC350="",BB350=""),"",(BC350-BB350)*100)</f>
        <v/>
      </c>
      <c r="BE350" s="40">
        <f>IF(AND(F350&lt;&gt;"",E350&lt;&gt;""),"Both years",IF(F350&lt;&gt;"","1-23Aug26 rows only","1-23Aug25 rows only"))</f>
        <v/>
      </c>
    </row>
    <row r="351">
      <c r="A351" s="40" t="inlineStr">
        <is>
          <t>Route page</t>
        </is>
      </c>
      <c r="B351" s="40" t="inlineStr">
        <is>
          <t>Paid Search</t>
        </is>
      </c>
      <c r="C351" s="40" t="inlineStr">
        <is>
          <t>Desktop</t>
        </is>
      </c>
      <c r="D351" s="40" t="inlineStr">
        <is>
          <t>Poland</t>
        </is>
      </c>
      <c r="E351" s="68" t="n">
        <v>411</v>
      </c>
      <c r="F351" s="68" t="n">
        <v>467</v>
      </c>
      <c r="G351" s="69">
        <f>IF(OR(F351="",E351="",E351=0,F351=0),"",F351-E351)</f>
        <v/>
      </c>
      <c r="H351" s="42">
        <f>IF(OR(F351="",E351="",E351=0,F351=0),"",F351/E351-1)</f>
        <v/>
      </c>
      <c r="I351" s="70" t="n"/>
      <c r="J351" s="70" t="n"/>
      <c r="K351" s="69">
        <f>IF(OR(J351="",I351="",I351=0,J351=0),"",J351-I351)</f>
        <v/>
      </c>
      <c r="L351" s="42">
        <f>IF(OR(J351="",I351="",I351=0,J351=0),"",J351/I351-1)</f>
        <v/>
      </c>
      <c r="M351" s="43">
        <f>IF(OR(I351="",E351="",E351=0),"",I351/E351)</f>
        <v/>
      </c>
      <c r="N351" s="43">
        <f>IF(OR(J351="",F351="",F351=0),"",J351/F351)</f>
        <v/>
      </c>
      <c r="O351" s="44">
        <f>IF(OR(N351="",M351=""),"",(N351-M351)*100)</f>
        <v/>
      </c>
      <c r="P351" s="68" t="n">
        <v>276</v>
      </c>
      <c r="Q351" s="68" t="n">
        <v>290</v>
      </c>
      <c r="R351" s="69">
        <f>IF(OR(Q351="",P351="",P351=0,Q351=0),"",Q351-P351)</f>
        <v/>
      </c>
      <c r="S351" s="42">
        <f>IF(OR(Q351="",P351="",P351=0,Q351=0),"",Q351/P351-1)</f>
        <v/>
      </c>
      <c r="T351" s="43">
        <f>IF(OR(P351="",E351="",E351=0),"",P351/E351)</f>
        <v/>
      </c>
      <c r="U351" s="43">
        <f>IF(OR(Q351="",F351="",F351=0),"",Q351/F351)</f>
        <v/>
      </c>
      <c r="V351" s="44">
        <f>IF(OR(U351="",T351=""),"",(U351-T351)*100)</f>
        <v/>
      </c>
      <c r="W351" s="70" t="n"/>
      <c r="X351" s="70" t="n"/>
      <c r="Y351" s="69">
        <f>IF(OR(X351="",W351="",W351=0,X351=0),"",X351-W351)</f>
        <v/>
      </c>
      <c r="Z351" s="42">
        <f>IF(OR(X351="",W351="",W351=0,X351=0),"",X351/W351-1)</f>
        <v/>
      </c>
      <c r="AA351" s="43">
        <f>IF(OR(W351="",P351="",P351=0),"",W351/P351)</f>
        <v/>
      </c>
      <c r="AB351" s="43">
        <f>IF(OR(X351="",Q351="",Q351=0),"",X351/Q351)</f>
        <v/>
      </c>
      <c r="AC351" s="44">
        <f>IF(OR(AB351="",AA351=""),"",(AB351-AA351)*100)</f>
        <v/>
      </c>
      <c r="AD351" s="70" t="n"/>
      <c r="AE351" s="70" t="n"/>
      <c r="AF351" s="69">
        <f>IF(OR(AE351="",AD351="",AD351=0,AE351=0),"",AE351-AD351)</f>
        <v/>
      </c>
      <c r="AG351" s="42">
        <f>IF(OR(AE351="",AD351="",AD351=0,AE351=0),"",AE351/AD351-1)</f>
        <v/>
      </c>
      <c r="AH351" s="43">
        <f>IF(OR(AD351="",W351="",W351=0),"",AD351/W351)</f>
        <v/>
      </c>
      <c r="AI351" s="43">
        <f>IF(OR(AE351="",X351="",X351=0),"",AE351/X351)</f>
        <v/>
      </c>
      <c r="AJ351" s="44">
        <f>IF(OR(AI351="",AH351=""),"",(AI351-AH351)*100)</f>
        <v/>
      </c>
      <c r="AK351" s="70" t="n"/>
      <c r="AL351" s="70" t="n"/>
      <c r="AM351" s="69">
        <f>IF(OR(AL351="",AK351="",AK351=0,AL351=0),"",AL351-AK351)</f>
        <v/>
      </c>
      <c r="AN351" s="42">
        <f>IF(OR(AL351="",AK351="",AK351=0,AL351=0),"",AL351/AK351-1)</f>
        <v/>
      </c>
      <c r="AO351" s="43">
        <f>IF(OR(AK351="",AD351="",AD351=0),"",AK351/AD351)</f>
        <v/>
      </c>
      <c r="AP351" s="43">
        <f>IF(OR(AL351="",AE351="",AE351=0),"",AL351/AE351)</f>
        <v/>
      </c>
      <c r="AQ351" s="44">
        <f>IF(OR(AP351="",AO351=""),"",(AP351-AO351)*100)</f>
        <v/>
      </c>
      <c r="AR351" s="70" t="n"/>
      <c r="AS351" s="70" t="n"/>
      <c r="AT351" s="69">
        <f>IF(OR(AS351="",AR351="",AR351=0,AS351=0),"",AS351-AR351)</f>
        <v/>
      </c>
      <c r="AU351" s="42">
        <f>IF(OR(AS351="",AR351="",AR351=0,AS351=0),"",AS351/AR351-1)</f>
        <v/>
      </c>
      <c r="AV351" s="43">
        <f>IF(OR(AR351="",AK351="",AK351=0),"",AR351/AK351)</f>
        <v/>
      </c>
      <c r="AW351" s="43">
        <f>IF(OR(AS351="",AL351="",AL351=0),"",AS351/AL351)</f>
        <v/>
      </c>
      <c r="AX351" s="44">
        <f>IF(OR(AW351="",AV351=""),"",(AW351-AV351)*100)</f>
        <v/>
      </c>
      <c r="AY351" s="45">
        <f>IF(OR(AR351="",P351="",P351=0),"",AR351/P351)</f>
        <v/>
      </c>
      <c r="AZ351" s="45">
        <f>IF(OR(AS351="",Q351="",Q351=0),"",AS351/Q351)</f>
        <v/>
      </c>
      <c r="BA351" s="44">
        <f>IF(OR(AZ351="",AY351=""),"",(AZ351-AY351)*100)</f>
        <v/>
      </c>
      <c r="BB351" s="45">
        <f>IF(OR(AR351="",E351="",E351=0),"",AR351/E351)</f>
        <v/>
      </c>
      <c r="BC351" s="45">
        <f>IF(OR(AS351="",F351="",F351=0),"",AS351/F351)</f>
        <v/>
      </c>
      <c r="BD351" s="44">
        <f>IF(OR(BC351="",BB351=""),"",(BC351-BB351)*100)</f>
        <v/>
      </c>
      <c r="BE351" s="40">
        <f>IF(AND(F351&lt;&gt;"",E351&lt;&gt;""),"Both years",IF(F351&lt;&gt;"","1-23Aug26 rows only","1-23Aug25 rows only"))</f>
        <v/>
      </c>
    </row>
    <row r="352">
      <c r="A352" s="56" t="inlineStr">
        <is>
          <t>Route page</t>
        </is>
      </c>
      <c r="B352" s="56" t="inlineStr">
        <is>
          <t>Paid Search</t>
        </is>
      </c>
      <c r="C352" s="56" t="inlineStr">
        <is>
          <t>Desktop</t>
        </is>
      </c>
      <c r="D352" s="56" t="inlineStr">
        <is>
          <t>United States</t>
        </is>
      </c>
      <c r="E352" s="68" t="n">
        <v>619</v>
      </c>
      <c r="F352" s="68" t="n">
        <v>423</v>
      </c>
      <c r="G352" s="69">
        <f>IF(OR(F352="",E352="",E352=0,F352=0),"",F352-E352)</f>
        <v/>
      </c>
      <c r="H352" s="42">
        <f>IF(OR(F352="",E352="",E352=0,F352=0),"",F352/E352-1)</f>
        <v/>
      </c>
      <c r="I352" s="68" t="n">
        <v>382</v>
      </c>
      <c r="J352" s="68" t="n">
        <v>213</v>
      </c>
      <c r="K352" s="69">
        <f>IF(OR(J352="",I352="",I352=0,J352=0),"",J352-I352)</f>
        <v/>
      </c>
      <c r="L352" s="42">
        <f>IF(OR(J352="",I352="",I352=0,J352=0),"",J352/I352-1)</f>
        <v/>
      </c>
      <c r="M352" s="43">
        <f>IF(OR(I352="",E352="",E352=0),"",I352/E352)</f>
        <v/>
      </c>
      <c r="N352" s="43">
        <f>IF(OR(J352="",F352="",F352=0),"",J352/F352)</f>
        <v/>
      </c>
      <c r="O352" s="44">
        <f>IF(OR(N352="",M352=""),"",(N352-M352)*100)</f>
        <v/>
      </c>
      <c r="P352" s="68" t="n">
        <v>319</v>
      </c>
      <c r="Q352" s="68" t="n">
        <v>219</v>
      </c>
      <c r="R352" s="69">
        <f>IF(OR(Q352="",P352="",P352=0,Q352=0),"",Q352-P352)</f>
        <v/>
      </c>
      <c r="S352" s="42">
        <f>IF(OR(Q352="",P352="",P352=0,Q352=0),"",Q352/P352-1)</f>
        <v/>
      </c>
      <c r="T352" s="43">
        <f>IF(OR(P352="",E352="",E352=0),"",P352/E352)</f>
        <v/>
      </c>
      <c r="U352" s="43">
        <f>IF(OR(Q352="",F352="",F352=0),"",Q352/F352)</f>
        <v/>
      </c>
      <c r="V352" s="44">
        <f>IF(OR(U352="",T352=""),"",(U352-T352)*100)</f>
        <v/>
      </c>
      <c r="W352" s="68" t="n">
        <v>90</v>
      </c>
      <c r="X352" s="68" t="n">
        <v>63</v>
      </c>
      <c r="Y352" s="69">
        <f>IF(OR(X352="",W352="",W352=0,X352=0),"",X352-W352)</f>
        <v/>
      </c>
      <c r="Z352" s="42">
        <f>IF(OR(X352="",W352="",W352=0,X352=0),"",X352/W352-1)</f>
        <v/>
      </c>
      <c r="AA352" s="43">
        <f>IF(OR(W352="",P352="",P352=0),"",W352/P352)</f>
        <v/>
      </c>
      <c r="AB352" s="43">
        <f>IF(OR(X352="",Q352="",Q352=0),"",X352/Q352)</f>
        <v/>
      </c>
      <c r="AC352" s="44">
        <f>IF(OR(AB352="",AA352=""),"",(AB352-AA352)*100)</f>
        <v/>
      </c>
      <c r="AD352" s="68" t="n">
        <v>72</v>
      </c>
      <c r="AE352" s="68" t="n">
        <v>56</v>
      </c>
      <c r="AF352" s="69">
        <f>IF(OR(AE352="",AD352="",AD352=0,AE352=0),"",AE352-AD352)</f>
        <v/>
      </c>
      <c r="AG352" s="42">
        <f>IF(OR(AE352="",AD352="",AD352=0,AE352=0),"",AE352/AD352-1)</f>
        <v/>
      </c>
      <c r="AH352" s="43">
        <f>IF(OR(AD352="",W352="",W352=0),"",AD352/W352)</f>
        <v/>
      </c>
      <c r="AI352" s="43">
        <f>IF(OR(AE352="",X352="",X352=0),"",AE352/X352)</f>
        <v/>
      </c>
      <c r="AJ352" s="44">
        <f>IF(OR(AI352="",AH352=""),"",(AI352-AH352)*100)</f>
        <v/>
      </c>
      <c r="AK352" s="68" t="n">
        <v>28</v>
      </c>
      <c r="AL352" s="68" t="n">
        <v>20</v>
      </c>
      <c r="AM352" s="69">
        <f>IF(OR(AL352="",AK352="",AK352=0,AL352=0),"",AL352-AK352)</f>
        <v/>
      </c>
      <c r="AN352" s="42">
        <f>IF(OR(AL352="",AK352="",AK352=0,AL352=0),"",AL352/AK352-1)</f>
        <v/>
      </c>
      <c r="AO352" s="43">
        <f>IF(OR(AK352="",AD352="",AD352=0),"",AK352/AD352)</f>
        <v/>
      </c>
      <c r="AP352" s="43">
        <f>IF(OR(AL352="",AE352="",AE352=0),"",AL352/AE352)</f>
        <v/>
      </c>
      <c r="AQ352" s="44">
        <f>IF(OR(AP352="",AO352=""),"",(AP352-AO352)*100)</f>
        <v/>
      </c>
      <c r="AR352" s="68" t="n">
        <v>18</v>
      </c>
      <c r="AS352" s="68" t="n">
        <v>14</v>
      </c>
      <c r="AT352" s="69">
        <f>IF(OR(AS352="",AR352="",AR352=0,AS352=0),"",AS352-AR352)</f>
        <v/>
      </c>
      <c r="AU352" s="42">
        <f>IF(OR(AS352="",AR352="",AR352=0,AS352=0),"",AS352/AR352-1)</f>
        <v/>
      </c>
      <c r="AV352" s="43">
        <f>IF(OR(AR352="",AK352="",AK352=0),"",AR352/AK352)</f>
        <v/>
      </c>
      <c r="AW352" s="43">
        <f>IF(OR(AS352="",AL352="",AL352=0),"",AS352/AL352)</f>
        <v/>
      </c>
      <c r="AX352" s="44">
        <f>IF(OR(AW352="",AV352=""),"",(AW352-AV352)*100)</f>
        <v/>
      </c>
      <c r="AY352" s="45">
        <f>IF(OR(AR352="",P352="",P352=0),"",AR352/P352)</f>
        <v/>
      </c>
      <c r="AZ352" s="45">
        <f>IF(OR(AS352="",Q352="",Q352=0),"",AS352/Q352)</f>
        <v/>
      </c>
      <c r="BA352" s="44">
        <f>IF(OR(AZ352="",AY352=""),"",(AZ352-AY352)*100)</f>
        <v/>
      </c>
      <c r="BB352" s="45">
        <f>IF(OR(AR352="",E352="",E352=0),"",AR352/E352)</f>
        <v/>
      </c>
      <c r="BC352" s="45">
        <f>IF(OR(AS352="",F352="",F352=0),"",AS352/F352)</f>
        <v/>
      </c>
      <c r="BD352" s="44">
        <f>IF(OR(BC352="",BB352=""),"",(BC352-BB352)*100)</f>
        <v/>
      </c>
      <c r="BE352" s="40">
        <f>IF(AND(F352&lt;&gt;"",E352&lt;&gt;""),"Both years",IF(F352&lt;&gt;"","1-23Aug26 rows only","1-23Aug25 rows only"))</f>
        <v/>
      </c>
    </row>
    <row r="353">
      <c r="A353" s="40" t="inlineStr">
        <is>
          <t>Route page</t>
        </is>
      </c>
      <c r="B353" s="40" t="inlineStr">
        <is>
          <t>Paid Search</t>
        </is>
      </c>
      <c r="C353" s="40" t="inlineStr">
        <is>
          <t>Desktop</t>
        </is>
      </c>
      <c r="D353" s="40" t="inlineStr">
        <is>
          <t>Austria</t>
        </is>
      </c>
      <c r="E353" s="68" t="n">
        <v>302</v>
      </c>
      <c r="F353" s="68" t="n">
        <v>327</v>
      </c>
      <c r="G353" s="69">
        <f>IF(OR(F353="",E353="",E353=0,F353=0),"",F353-E353)</f>
        <v/>
      </c>
      <c r="H353" s="42">
        <f>IF(OR(F353="",E353="",E353=0,F353=0),"",F353/E353-1)</f>
        <v/>
      </c>
      <c r="I353" s="70" t="n"/>
      <c r="J353" s="70" t="n"/>
      <c r="K353" s="69">
        <f>IF(OR(J353="",I353="",I353=0,J353=0),"",J353-I353)</f>
        <v/>
      </c>
      <c r="L353" s="42">
        <f>IF(OR(J353="",I353="",I353=0,J353=0),"",J353/I353-1)</f>
        <v/>
      </c>
      <c r="M353" s="43">
        <f>IF(OR(I353="",E353="",E353=0),"",I353/E353)</f>
        <v/>
      </c>
      <c r="N353" s="43">
        <f>IF(OR(J353="",F353="",F353=0),"",J353/F353)</f>
        <v/>
      </c>
      <c r="O353" s="44">
        <f>IF(OR(N353="",M353=""),"",(N353-M353)*100)</f>
        <v/>
      </c>
      <c r="P353" s="68" t="n">
        <v>203</v>
      </c>
      <c r="Q353" s="68" t="n">
        <v>190</v>
      </c>
      <c r="R353" s="69">
        <f>IF(OR(Q353="",P353="",P353=0,Q353=0),"",Q353-P353)</f>
        <v/>
      </c>
      <c r="S353" s="42">
        <f>IF(OR(Q353="",P353="",P353=0,Q353=0),"",Q353/P353-1)</f>
        <v/>
      </c>
      <c r="T353" s="43">
        <f>IF(OR(P353="",E353="",E353=0),"",P353/E353)</f>
        <v/>
      </c>
      <c r="U353" s="43">
        <f>IF(OR(Q353="",F353="",F353=0),"",Q353/F353)</f>
        <v/>
      </c>
      <c r="V353" s="44">
        <f>IF(OR(U353="",T353=""),"",(U353-T353)*100)</f>
        <v/>
      </c>
      <c r="W353" s="70" t="n"/>
      <c r="X353" s="70" t="n"/>
      <c r="Y353" s="69">
        <f>IF(OR(X353="",W353="",W353=0,X353=0),"",X353-W353)</f>
        <v/>
      </c>
      <c r="Z353" s="42">
        <f>IF(OR(X353="",W353="",W353=0,X353=0),"",X353/W353-1)</f>
        <v/>
      </c>
      <c r="AA353" s="43">
        <f>IF(OR(W353="",P353="",P353=0),"",W353/P353)</f>
        <v/>
      </c>
      <c r="AB353" s="43">
        <f>IF(OR(X353="",Q353="",Q353=0),"",X353/Q353)</f>
        <v/>
      </c>
      <c r="AC353" s="44">
        <f>IF(OR(AB353="",AA353=""),"",(AB353-AA353)*100)</f>
        <v/>
      </c>
      <c r="AD353" s="70" t="n"/>
      <c r="AE353" s="70" t="n"/>
      <c r="AF353" s="69">
        <f>IF(OR(AE353="",AD353="",AD353=0,AE353=0),"",AE353-AD353)</f>
        <v/>
      </c>
      <c r="AG353" s="42">
        <f>IF(OR(AE353="",AD353="",AD353=0,AE353=0),"",AE353/AD353-1)</f>
        <v/>
      </c>
      <c r="AH353" s="43">
        <f>IF(OR(AD353="",W353="",W353=0),"",AD353/W353)</f>
        <v/>
      </c>
      <c r="AI353" s="43">
        <f>IF(OR(AE353="",X353="",X353=0),"",AE353/X353)</f>
        <v/>
      </c>
      <c r="AJ353" s="44">
        <f>IF(OR(AI353="",AH353=""),"",(AI353-AH353)*100)</f>
        <v/>
      </c>
      <c r="AK353" s="70" t="n"/>
      <c r="AL353" s="70" t="n"/>
      <c r="AM353" s="69">
        <f>IF(OR(AL353="",AK353="",AK353=0,AL353=0),"",AL353-AK353)</f>
        <v/>
      </c>
      <c r="AN353" s="42">
        <f>IF(OR(AL353="",AK353="",AK353=0,AL353=0),"",AL353/AK353-1)</f>
        <v/>
      </c>
      <c r="AO353" s="43">
        <f>IF(OR(AK353="",AD353="",AD353=0),"",AK353/AD353)</f>
        <v/>
      </c>
      <c r="AP353" s="43">
        <f>IF(OR(AL353="",AE353="",AE353=0),"",AL353/AE353)</f>
        <v/>
      </c>
      <c r="AQ353" s="44">
        <f>IF(OR(AP353="",AO353=""),"",(AP353-AO353)*100)</f>
        <v/>
      </c>
      <c r="AR353" s="70" t="n"/>
      <c r="AS353" s="70" t="n"/>
      <c r="AT353" s="69">
        <f>IF(OR(AS353="",AR353="",AR353=0,AS353=0),"",AS353-AR353)</f>
        <v/>
      </c>
      <c r="AU353" s="42">
        <f>IF(OR(AS353="",AR353="",AR353=0,AS353=0),"",AS353/AR353-1)</f>
        <v/>
      </c>
      <c r="AV353" s="43">
        <f>IF(OR(AR353="",AK353="",AK353=0),"",AR353/AK353)</f>
        <v/>
      </c>
      <c r="AW353" s="43">
        <f>IF(OR(AS353="",AL353="",AL353=0),"",AS353/AL353)</f>
        <v/>
      </c>
      <c r="AX353" s="44">
        <f>IF(OR(AW353="",AV353=""),"",(AW353-AV353)*100)</f>
        <v/>
      </c>
      <c r="AY353" s="45">
        <f>IF(OR(AR353="",P353="",P353=0),"",AR353/P353)</f>
        <v/>
      </c>
      <c r="AZ353" s="45">
        <f>IF(OR(AS353="",Q353="",Q353=0),"",AS353/Q353)</f>
        <v/>
      </c>
      <c r="BA353" s="44">
        <f>IF(OR(AZ353="",AY353=""),"",(AZ353-AY353)*100)</f>
        <v/>
      </c>
      <c r="BB353" s="45">
        <f>IF(OR(AR353="",E353="",E353=0),"",AR353/E353)</f>
        <v/>
      </c>
      <c r="BC353" s="45">
        <f>IF(OR(AS353="",F353="",F353=0),"",AS353/F353)</f>
        <v/>
      </c>
      <c r="BD353" s="44">
        <f>IF(OR(BC353="",BB353=""),"",(BC353-BB353)*100)</f>
        <v/>
      </c>
      <c r="BE353" s="40">
        <f>IF(AND(F353&lt;&gt;"",E353&lt;&gt;""),"Both years",IF(F353&lt;&gt;"","1-23Aug26 rows only","1-23Aug25 rows only"))</f>
        <v/>
      </c>
    </row>
    <row r="354">
      <c r="A354" s="56" t="inlineStr">
        <is>
          <t>Route page</t>
        </is>
      </c>
      <c r="B354" s="56" t="inlineStr">
        <is>
          <t>Paid Search</t>
        </is>
      </c>
      <c r="C354" s="56" t="inlineStr">
        <is>
          <t>Desktop</t>
        </is>
      </c>
      <c r="D354" s="56" t="inlineStr">
        <is>
          <t>Australia</t>
        </is>
      </c>
      <c r="E354" s="68" t="n">
        <v>376</v>
      </c>
      <c r="F354" s="68" t="n">
        <v>309</v>
      </c>
      <c r="G354" s="69">
        <f>IF(OR(F354="",E354="",E354=0,F354=0),"",F354-E354)</f>
        <v/>
      </c>
      <c r="H354" s="42">
        <f>IF(OR(F354="",E354="",E354=0,F354=0),"",F354/E354-1)</f>
        <v/>
      </c>
      <c r="I354" s="70" t="n"/>
      <c r="J354" s="70" t="n"/>
      <c r="K354" s="69">
        <f>IF(OR(J354="",I354="",I354=0,J354=0),"",J354-I354)</f>
        <v/>
      </c>
      <c r="L354" s="42">
        <f>IF(OR(J354="",I354="",I354=0,J354=0),"",J354/I354-1)</f>
        <v/>
      </c>
      <c r="M354" s="43">
        <f>IF(OR(I354="",E354="",E354=0),"",I354/E354)</f>
        <v/>
      </c>
      <c r="N354" s="43">
        <f>IF(OR(J354="",F354="",F354=0),"",J354/F354)</f>
        <v/>
      </c>
      <c r="O354" s="44">
        <f>IF(OR(N354="",M354=""),"",(N354-M354)*100)</f>
        <v/>
      </c>
      <c r="P354" s="70" t="n"/>
      <c r="Q354" s="68" t="n">
        <v>137</v>
      </c>
      <c r="R354" s="69">
        <f>IF(OR(Q354="",P354="",P354=0,Q354=0),"",Q354-P354)</f>
        <v/>
      </c>
      <c r="S354" s="42">
        <f>IF(OR(Q354="",P354="",P354=0,Q354=0),"",Q354/P354-1)</f>
        <v/>
      </c>
      <c r="T354" s="43">
        <f>IF(OR(P354="",E354="",E354=0),"",P354/E354)</f>
        <v/>
      </c>
      <c r="U354" s="43">
        <f>IF(OR(Q354="",F354="",F354=0),"",Q354/F354)</f>
        <v/>
      </c>
      <c r="V354" s="44">
        <f>IF(OR(U354="",T354=""),"",(U354-T354)*100)</f>
        <v/>
      </c>
      <c r="W354" s="70" t="n"/>
      <c r="X354" s="70" t="n"/>
      <c r="Y354" s="69">
        <f>IF(OR(X354="",W354="",W354=0,X354=0),"",X354-W354)</f>
        <v/>
      </c>
      <c r="Z354" s="42">
        <f>IF(OR(X354="",W354="",W354=0,X354=0),"",X354/W354-1)</f>
        <v/>
      </c>
      <c r="AA354" s="43">
        <f>IF(OR(W354="",P354="",P354=0),"",W354/P354)</f>
        <v/>
      </c>
      <c r="AB354" s="43">
        <f>IF(OR(X354="",Q354="",Q354=0),"",X354/Q354)</f>
        <v/>
      </c>
      <c r="AC354" s="44">
        <f>IF(OR(AB354="",AA354=""),"",(AB354-AA354)*100)</f>
        <v/>
      </c>
      <c r="AD354" s="70" t="n"/>
      <c r="AE354" s="70" t="n"/>
      <c r="AF354" s="69">
        <f>IF(OR(AE354="",AD354="",AD354=0,AE354=0),"",AE354-AD354)</f>
        <v/>
      </c>
      <c r="AG354" s="42">
        <f>IF(OR(AE354="",AD354="",AD354=0,AE354=0),"",AE354/AD354-1)</f>
        <v/>
      </c>
      <c r="AH354" s="43">
        <f>IF(OR(AD354="",W354="",W354=0),"",AD354/W354)</f>
        <v/>
      </c>
      <c r="AI354" s="43">
        <f>IF(OR(AE354="",X354="",X354=0),"",AE354/X354)</f>
        <v/>
      </c>
      <c r="AJ354" s="44">
        <f>IF(OR(AI354="",AH354=""),"",(AI354-AH354)*100)</f>
        <v/>
      </c>
      <c r="AK354" s="70" t="n"/>
      <c r="AL354" s="70" t="n"/>
      <c r="AM354" s="69">
        <f>IF(OR(AL354="",AK354="",AK354=0,AL354=0),"",AL354-AK354)</f>
        <v/>
      </c>
      <c r="AN354" s="42">
        <f>IF(OR(AL354="",AK354="",AK354=0,AL354=0),"",AL354/AK354-1)</f>
        <v/>
      </c>
      <c r="AO354" s="43">
        <f>IF(OR(AK354="",AD354="",AD354=0),"",AK354/AD354)</f>
        <v/>
      </c>
      <c r="AP354" s="43">
        <f>IF(OR(AL354="",AE354="",AE354=0),"",AL354/AE354)</f>
        <v/>
      </c>
      <c r="AQ354" s="44">
        <f>IF(OR(AP354="",AO354=""),"",(AP354-AO354)*100)</f>
        <v/>
      </c>
      <c r="AR354" s="70" t="n"/>
      <c r="AS354" s="70" t="n"/>
      <c r="AT354" s="69">
        <f>IF(OR(AS354="",AR354="",AR354=0,AS354=0),"",AS354-AR354)</f>
        <v/>
      </c>
      <c r="AU354" s="42">
        <f>IF(OR(AS354="",AR354="",AR354=0,AS354=0),"",AS354/AR354-1)</f>
        <v/>
      </c>
      <c r="AV354" s="43">
        <f>IF(OR(AR354="",AK354="",AK354=0),"",AR354/AK354)</f>
        <v/>
      </c>
      <c r="AW354" s="43">
        <f>IF(OR(AS354="",AL354="",AL354=0),"",AS354/AL354)</f>
        <v/>
      </c>
      <c r="AX354" s="44">
        <f>IF(OR(AW354="",AV354=""),"",(AW354-AV354)*100)</f>
        <v/>
      </c>
      <c r="AY354" s="45">
        <f>IF(OR(AR354="",P354="",P354=0),"",AR354/P354)</f>
        <v/>
      </c>
      <c r="AZ354" s="45">
        <f>IF(OR(AS354="",Q354="",Q354=0),"",AS354/Q354)</f>
        <v/>
      </c>
      <c r="BA354" s="44">
        <f>IF(OR(AZ354="",AY354=""),"",(AZ354-AY354)*100)</f>
        <v/>
      </c>
      <c r="BB354" s="45">
        <f>IF(OR(AR354="",E354="",E354=0),"",AR354/E354)</f>
        <v/>
      </c>
      <c r="BC354" s="45">
        <f>IF(OR(AS354="",F354="",F354=0),"",AS354/F354)</f>
        <v/>
      </c>
      <c r="BD354" s="44">
        <f>IF(OR(BC354="",BB354=""),"",(BC354-BB354)*100)</f>
        <v/>
      </c>
      <c r="BE354" s="40">
        <f>IF(AND(F354&lt;&gt;"",E354&lt;&gt;""),"Both years",IF(F354&lt;&gt;"","1-23Aug26 rows only","1-23Aug25 rows only"))</f>
        <v/>
      </c>
    </row>
    <row r="355">
      <c r="A355" s="40" t="inlineStr">
        <is>
          <t>Route page</t>
        </is>
      </c>
      <c r="B355" s="40" t="inlineStr">
        <is>
          <t>Paid Search</t>
        </is>
      </c>
      <c r="C355" s="40" t="inlineStr">
        <is>
          <t>Desktop</t>
        </is>
      </c>
      <c r="D355" s="40" t="inlineStr">
        <is>
          <t>Belgium</t>
        </is>
      </c>
      <c r="E355" s="68" t="n">
        <v>295</v>
      </c>
      <c r="F355" s="68" t="n">
        <v>300</v>
      </c>
      <c r="G355" s="69">
        <f>IF(OR(F355="",E355="",E355=0,F355=0),"",F355-E355)</f>
        <v/>
      </c>
      <c r="H355" s="42">
        <f>IF(OR(F355="",E355="",E355=0,F355=0),"",F355/E355-1)</f>
        <v/>
      </c>
      <c r="I355" s="68" t="n">
        <v>204</v>
      </c>
      <c r="J355" s="68" t="n">
        <v>186</v>
      </c>
      <c r="K355" s="69">
        <f>IF(OR(J355="",I355="",I355=0,J355=0),"",J355-I355)</f>
        <v/>
      </c>
      <c r="L355" s="42">
        <f>IF(OR(J355="",I355="",I355=0,J355=0),"",J355/I355-1)</f>
        <v/>
      </c>
      <c r="M355" s="43">
        <f>IF(OR(I355="",E355="",E355=0),"",I355/E355)</f>
        <v/>
      </c>
      <c r="N355" s="43">
        <f>IF(OR(J355="",F355="",F355=0),"",J355/F355)</f>
        <v/>
      </c>
      <c r="O355" s="44">
        <f>IF(OR(N355="",M355=""),"",(N355-M355)*100)</f>
        <v/>
      </c>
      <c r="P355" s="68" t="n">
        <v>205</v>
      </c>
      <c r="Q355" s="68" t="n">
        <v>180</v>
      </c>
      <c r="R355" s="69">
        <f>IF(OR(Q355="",P355="",P355=0,Q355=0),"",Q355-P355)</f>
        <v/>
      </c>
      <c r="S355" s="42">
        <f>IF(OR(Q355="",P355="",P355=0,Q355=0),"",Q355/P355-1)</f>
        <v/>
      </c>
      <c r="T355" s="43">
        <f>IF(OR(P355="",E355="",E355=0),"",P355/E355)</f>
        <v/>
      </c>
      <c r="U355" s="43">
        <f>IF(OR(Q355="",F355="",F355=0),"",Q355/F355)</f>
        <v/>
      </c>
      <c r="V355" s="44">
        <f>IF(OR(U355="",T355=""),"",(U355-T355)*100)</f>
        <v/>
      </c>
      <c r="W355" s="68" t="n">
        <v>52</v>
      </c>
      <c r="X355" s="68" t="n">
        <v>34</v>
      </c>
      <c r="Y355" s="69">
        <f>IF(OR(X355="",W355="",W355=0,X355=0),"",X355-W355)</f>
        <v/>
      </c>
      <c r="Z355" s="42">
        <f>IF(OR(X355="",W355="",W355=0,X355=0),"",X355/W355-1)</f>
        <v/>
      </c>
      <c r="AA355" s="43">
        <f>IF(OR(W355="",P355="",P355=0),"",W355/P355)</f>
        <v/>
      </c>
      <c r="AB355" s="43">
        <f>IF(OR(X355="",Q355="",Q355=0),"",X355/Q355)</f>
        <v/>
      </c>
      <c r="AC355" s="44">
        <f>IF(OR(AB355="",AA355=""),"",(AB355-AA355)*100)</f>
        <v/>
      </c>
      <c r="AD355" s="68" t="n">
        <v>39</v>
      </c>
      <c r="AE355" s="68" t="n">
        <v>25</v>
      </c>
      <c r="AF355" s="69">
        <f>IF(OR(AE355="",AD355="",AD355=0,AE355=0),"",AE355-AD355)</f>
        <v/>
      </c>
      <c r="AG355" s="42">
        <f>IF(OR(AE355="",AD355="",AD355=0,AE355=0),"",AE355/AD355-1)</f>
        <v/>
      </c>
      <c r="AH355" s="43">
        <f>IF(OR(AD355="",W355="",W355=0),"",AD355/W355)</f>
        <v/>
      </c>
      <c r="AI355" s="43">
        <f>IF(OR(AE355="",X355="",X355=0),"",AE355/X355)</f>
        <v/>
      </c>
      <c r="AJ355" s="44">
        <f>IF(OR(AI355="",AH355=""),"",(AI355-AH355)*100)</f>
        <v/>
      </c>
      <c r="AK355" s="68" t="n">
        <v>11</v>
      </c>
      <c r="AL355" s="68" t="n">
        <v>5</v>
      </c>
      <c r="AM355" s="69">
        <f>IF(OR(AL355="",AK355="",AK355=0,AL355=0),"",AL355-AK355)</f>
        <v/>
      </c>
      <c r="AN355" s="42">
        <f>IF(OR(AL355="",AK355="",AK355=0,AL355=0),"",AL355/AK355-1)</f>
        <v/>
      </c>
      <c r="AO355" s="43">
        <f>IF(OR(AK355="",AD355="",AD355=0),"",AK355/AD355)</f>
        <v/>
      </c>
      <c r="AP355" s="43">
        <f>IF(OR(AL355="",AE355="",AE355=0),"",AL355/AE355)</f>
        <v/>
      </c>
      <c r="AQ355" s="44">
        <f>IF(OR(AP355="",AO355=""),"",(AP355-AO355)*100)</f>
        <v/>
      </c>
      <c r="AR355" s="68" t="n">
        <v>9</v>
      </c>
      <c r="AS355" s="68" t="n">
        <v>4</v>
      </c>
      <c r="AT355" s="69">
        <f>IF(OR(AS355="",AR355="",AR355=0,AS355=0),"",AS355-AR355)</f>
        <v/>
      </c>
      <c r="AU355" s="42">
        <f>IF(OR(AS355="",AR355="",AR355=0,AS355=0),"",AS355/AR355-1)</f>
        <v/>
      </c>
      <c r="AV355" s="43">
        <f>IF(OR(AR355="",AK355="",AK355=0),"",AR355/AK355)</f>
        <v/>
      </c>
      <c r="AW355" s="43">
        <f>IF(OR(AS355="",AL355="",AL355=0),"",AS355/AL355)</f>
        <v/>
      </c>
      <c r="AX355" s="44">
        <f>IF(OR(AW355="",AV355=""),"",(AW355-AV355)*100)</f>
        <v/>
      </c>
      <c r="AY355" s="45">
        <f>IF(OR(AR355="",P355="",P355=0),"",AR355/P355)</f>
        <v/>
      </c>
      <c r="AZ355" s="45">
        <f>IF(OR(AS355="",Q355="",Q355=0),"",AS355/Q355)</f>
        <v/>
      </c>
      <c r="BA355" s="44">
        <f>IF(OR(AZ355="",AY355=""),"",(AZ355-AY355)*100)</f>
        <v/>
      </c>
      <c r="BB355" s="45">
        <f>IF(OR(AR355="",E355="",E355=0),"",AR355/E355)</f>
        <v/>
      </c>
      <c r="BC355" s="45">
        <f>IF(OR(AS355="",F355="",F355=0),"",AS355/F355)</f>
        <v/>
      </c>
      <c r="BD355" s="44">
        <f>IF(OR(BC355="",BB355=""),"",(BC355-BB355)*100)</f>
        <v/>
      </c>
      <c r="BE355" s="40">
        <f>IF(AND(F355&lt;&gt;"",E355&lt;&gt;""),"Both years",IF(F355&lt;&gt;"","1-23Aug26 rows only","1-23Aug25 rows only"))</f>
        <v/>
      </c>
    </row>
    <row r="356">
      <c r="A356" s="56" t="inlineStr">
        <is>
          <t>Route page</t>
        </is>
      </c>
      <c r="B356" s="56" t="inlineStr">
        <is>
          <t>Paid Search</t>
        </is>
      </c>
      <c r="C356" s="56" t="inlineStr">
        <is>
          <t>Desktop</t>
        </is>
      </c>
      <c r="D356" s="56" t="inlineStr">
        <is>
          <t>Norway</t>
        </is>
      </c>
      <c r="E356" s="68" t="n">
        <v>401</v>
      </c>
      <c r="F356" s="68" t="n">
        <v>288</v>
      </c>
      <c r="G356" s="69">
        <f>IF(OR(F356="",E356="",E356=0,F356=0),"",F356-E356)</f>
        <v/>
      </c>
      <c r="H356" s="42">
        <f>IF(OR(F356="",E356="",E356=0,F356=0),"",F356/E356-1)</f>
        <v/>
      </c>
      <c r="I356" s="68" t="n">
        <v>274</v>
      </c>
      <c r="J356" s="68" t="n">
        <v>160</v>
      </c>
      <c r="K356" s="69">
        <f>IF(OR(J356="",I356="",I356=0,J356=0),"",J356-I356)</f>
        <v/>
      </c>
      <c r="L356" s="42">
        <f>IF(OR(J356="",I356="",I356=0,J356=0),"",J356/I356-1)</f>
        <v/>
      </c>
      <c r="M356" s="43">
        <f>IF(OR(I356="",E356="",E356=0),"",I356/E356)</f>
        <v/>
      </c>
      <c r="N356" s="43">
        <f>IF(OR(J356="",F356="",F356=0),"",J356/F356)</f>
        <v/>
      </c>
      <c r="O356" s="44">
        <f>IF(OR(N356="",M356=""),"",(N356-M356)*100)</f>
        <v/>
      </c>
      <c r="P356" s="68" t="n">
        <v>262</v>
      </c>
      <c r="Q356" s="68" t="n">
        <v>172</v>
      </c>
      <c r="R356" s="69">
        <f>IF(OR(Q356="",P356="",P356=0,Q356=0),"",Q356-P356)</f>
        <v/>
      </c>
      <c r="S356" s="42">
        <f>IF(OR(Q356="",P356="",P356=0,Q356=0),"",Q356/P356-1)</f>
        <v/>
      </c>
      <c r="T356" s="43">
        <f>IF(OR(P356="",E356="",E356=0),"",P356/E356)</f>
        <v/>
      </c>
      <c r="U356" s="43">
        <f>IF(OR(Q356="",F356="",F356=0),"",Q356/F356)</f>
        <v/>
      </c>
      <c r="V356" s="44">
        <f>IF(OR(U356="",T356=""),"",(U356-T356)*100)</f>
        <v/>
      </c>
      <c r="W356" s="68" t="n">
        <v>51</v>
      </c>
      <c r="X356" s="68" t="n">
        <v>40</v>
      </c>
      <c r="Y356" s="69">
        <f>IF(OR(X356="",W356="",W356=0,X356=0),"",X356-W356)</f>
        <v/>
      </c>
      <c r="Z356" s="42">
        <f>IF(OR(X356="",W356="",W356=0,X356=0),"",X356/W356-1)</f>
        <v/>
      </c>
      <c r="AA356" s="43">
        <f>IF(OR(W356="",P356="",P356=0),"",W356/P356)</f>
        <v/>
      </c>
      <c r="AB356" s="43">
        <f>IF(OR(X356="",Q356="",Q356=0),"",X356/Q356)</f>
        <v/>
      </c>
      <c r="AC356" s="44">
        <f>IF(OR(AB356="",AA356=""),"",(AB356-AA356)*100)</f>
        <v/>
      </c>
      <c r="AD356" s="68" t="n">
        <v>38</v>
      </c>
      <c r="AE356" s="68" t="n">
        <v>30</v>
      </c>
      <c r="AF356" s="69">
        <f>IF(OR(AE356="",AD356="",AD356=0,AE356=0),"",AE356-AD356)</f>
        <v/>
      </c>
      <c r="AG356" s="42">
        <f>IF(OR(AE356="",AD356="",AD356=0,AE356=0),"",AE356/AD356-1)</f>
        <v/>
      </c>
      <c r="AH356" s="43">
        <f>IF(OR(AD356="",W356="",W356=0),"",AD356/W356)</f>
        <v/>
      </c>
      <c r="AI356" s="43">
        <f>IF(OR(AE356="",X356="",X356=0),"",AE356/X356)</f>
        <v/>
      </c>
      <c r="AJ356" s="44">
        <f>IF(OR(AI356="",AH356=""),"",(AI356-AH356)*100)</f>
        <v/>
      </c>
      <c r="AK356" s="68" t="n">
        <v>9</v>
      </c>
      <c r="AL356" s="68" t="n">
        <v>8</v>
      </c>
      <c r="AM356" s="69">
        <f>IF(OR(AL356="",AK356="",AK356=0,AL356=0),"",AL356-AK356)</f>
        <v/>
      </c>
      <c r="AN356" s="42">
        <f>IF(OR(AL356="",AK356="",AK356=0,AL356=0),"",AL356/AK356-1)</f>
        <v/>
      </c>
      <c r="AO356" s="43">
        <f>IF(OR(AK356="",AD356="",AD356=0),"",AK356/AD356)</f>
        <v/>
      </c>
      <c r="AP356" s="43">
        <f>IF(OR(AL356="",AE356="",AE356=0),"",AL356/AE356)</f>
        <v/>
      </c>
      <c r="AQ356" s="44">
        <f>IF(OR(AP356="",AO356=""),"",(AP356-AO356)*100)</f>
        <v/>
      </c>
      <c r="AR356" s="68" t="n">
        <v>7</v>
      </c>
      <c r="AS356" s="68" t="n">
        <v>4</v>
      </c>
      <c r="AT356" s="69">
        <f>IF(OR(AS356="",AR356="",AR356=0,AS356=0),"",AS356-AR356)</f>
        <v/>
      </c>
      <c r="AU356" s="42">
        <f>IF(OR(AS356="",AR356="",AR356=0,AS356=0),"",AS356/AR356-1)</f>
        <v/>
      </c>
      <c r="AV356" s="43">
        <f>IF(OR(AR356="",AK356="",AK356=0),"",AR356/AK356)</f>
        <v/>
      </c>
      <c r="AW356" s="43">
        <f>IF(OR(AS356="",AL356="",AL356=0),"",AS356/AL356)</f>
        <v/>
      </c>
      <c r="AX356" s="44">
        <f>IF(OR(AW356="",AV356=""),"",(AW356-AV356)*100)</f>
        <v/>
      </c>
      <c r="AY356" s="45">
        <f>IF(OR(AR356="",P356="",P356=0),"",AR356/P356)</f>
        <v/>
      </c>
      <c r="AZ356" s="45">
        <f>IF(OR(AS356="",Q356="",Q356=0),"",AS356/Q356)</f>
        <v/>
      </c>
      <c r="BA356" s="44">
        <f>IF(OR(AZ356="",AY356=""),"",(AZ356-AY356)*100)</f>
        <v/>
      </c>
      <c r="BB356" s="45">
        <f>IF(OR(AR356="",E356="",E356=0),"",AR356/E356)</f>
        <v/>
      </c>
      <c r="BC356" s="45">
        <f>IF(OR(AS356="",F356="",F356=0),"",AS356/F356)</f>
        <v/>
      </c>
      <c r="BD356" s="44">
        <f>IF(OR(BC356="",BB356=""),"",(BC356-BB356)*100)</f>
        <v/>
      </c>
      <c r="BE356" s="40">
        <f>IF(AND(F356&lt;&gt;"",E356&lt;&gt;""),"Both years",IF(F356&lt;&gt;"","1-23Aug26 rows only","1-23Aug25 rows only"))</f>
        <v/>
      </c>
    </row>
    <row r="357">
      <c r="A357" s="40" t="inlineStr">
        <is>
          <t>Route page</t>
        </is>
      </c>
      <c r="B357" s="40" t="inlineStr">
        <is>
          <t>Paid Search</t>
        </is>
      </c>
      <c r="C357" s="40" t="inlineStr">
        <is>
          <t>Desktop</t>
        </is>
      </c>
      <c r="D357" s="40" t="inlineStr">
        <is>
          <t>Switzerland</t>
        </is>
      </c>
      <c r="E357" s="68" t="n">
        <v>327</v>
      </c>
      <c r="F357" s="70" t="n"/>
      <c r="G357" s="69">
        <f>IF(OR(F357="",E357="",E357=0,F357=0),"",F357-E357)</f>
        <v/>
      </c>
      <c r="H357" s="42">
        <f>IF(OR(F357="",E357="",E357=0,F357=0),"",F357/E357-1)</f>
        <v/>
      </c>
      <c r="I357" s="70" t="n"/>
      <c r="J357" s="70" t="n"/>
      <c r="K357" s="69">
        <f>IF(OR(J357="",I357="",I357=0,J357=0),"",J357-I357)</f>
        <v/>
      </c>
      <c r="L357" s="42">
        <f>IF(OR(J357="",I357="",I357=0,J357=0),"",J357/I357-1)</f>
        <v/>
      </c>
      <c r="M357" s="43">
        <f>IF(OR(I357="",E357="",E357=0),"",I357/E357)</f>
        <v/>
      </c>
      <c r="N357" s="43">
        <f>IF(OR(J357="",F357="",F357=0),"",J357/F357)</f>
        <v/>
      </c>
      <c r="O357" s="44">
        <f>IF(OR(N357="",M357=""),"",(N357-M357)*100)</f>
        <v/>
      </c>
      <c r="P357" s="68" t="n">
        <v>217</v>
      </c>
      <c r="Q357" s="70" t="n"/>
      <c r="R357" s="69">
        <f>IF(OR(Q357="",P357="",P357=0,Q357=0),"",Q357-P357)</f>
        <v/>
      </c>
      <c r="S357" s="42">
        <f>IF(OR(Q357="",P357="",P357=0,Q357=0),"",Q357/P357-1)</f>
        <v/>
      </c>
      <c r="T357" s="43">
        <f>IF(OR(P357="",E357="",E357=0),"",P357/E357)</f>
        <v/>
      </c>
      <c r="U357" s="43">
        <f>IF(OR(Q357="",F357="",F357=0),"",Q357/F357)</f>
        <v/>
      </c>
      <c r="V357" s="44">
        <f>IF(OR(U357="",T357=""),"",(U357-T357)*100)</f>
        <v/>
      </c>
      <c r="W357" s="70" t="n"/>
      <c r="X357" s="70" t="n"/>
      <c r="Y357" s="69">
        <f>IF(OR(X357="",W357="",W357=0,X357=0),"",X357-W357)</f>
        <v/>
      </c>
      <c r="Z357" s="42">
        <f>IF(OR(X357="",W357="",W357=0,X357=0),"",X357/W357-1)</f>
        <v/>
      </c>
      <c r="AA357" s="43">
        <f>IF(OR(W357="",P357="",P357=0),"",W357/P357)</f>
        <v/>
      </c>
      <c r="AB357" s="43">
        <f>IF(OR(X357="",Q357="",Q357=0),"",X357/Q357)</f>
        <v/>
      </c>
      <c r="AC357" s="44">
        <f>IF(OR(AB357="",AA357=""),"",(AB357-AA357)*100)</f>
        <v/>
      </c>
      <c r="AD357" s="70" t="n"/>
      <c r="AE357" s="70" t="n"/>
      <c r="AF357" s="69">
        <f>IF(OR(AE357="",AD357="",AD357=0,AE357=0),"",AE357-AD357)</f>
        <v/>
      </c>
      <c r="AG357" s="42">
        <f>IF(OR(AE357="",AD357="",AD357=0,AE357=0),"",AE357/AD357-1)</f>
        <v/>
      </c>
      <c r="AH357" s="43">
        <f>IF(OR(AD357="",W357="",W357=0),"",AD357/W357)</f>
        <v/>
      </c>
      <c r="AI357" s="43">
        <f>IF(OR(AE357="",X357="",X357=0),"",AE357/X357)</f>
        <v/>
      </c>
      <c r="AJ357" s="44">
        <f>IF(OR(AI357="",AH357=""),"",(AI357-AH357)*100)</f>
        <v/>
      </c>
      <c r="AK357" s="70" t="n"/>
      <c r="AL357" s="70" t="n"/>
      <c r="AM357" s="69">
        <f>IF(OR(AL357="",AK357="",AK357=0,AL357=0),"",AL357-AK357)</f>
        <v/>
      </c>
      <c r="AN357" s="42">
        <f>IF(OR(AL357="",AK357="",AK357=0,AL357=0),"",AL357/AK357-1)</f>
        <v/>
      </c>
      <c r="AO357" s="43">
        <f>IF(OR(AK357="",AD357="",AD357=0),"",AK357/AD357)</f>
        <v/>
      </c>
      <c r="AP357" s="43">
        <f>IF(OR(AL357="",AE357="",AE357=0),"",AL357/AE357)</f>
        <v/>
      </c>
      <c r="AQ357" s="44">
        <f>IF(OR(AP357="",AO357=""),"",(AP357-AO357)*100)</f>
        <v/>
      </c>
      <c r="AR357" s="70" t="n"/>
      <c r="AS357" s="70" t="n"/>
      <c r="AT357" s="69">
        <f>IF(OR(AS357="",AR357="",AR357=0,AS357=0),"",AS357-AR357)</f>
        <v/>
      </c>
      <c r="AU357" s="42">
        <f>IF(OR(AS357="",AR357="",AR357=0,AS357=0),"",AS357/AR357-1)</f>
        <v/>
      </c>
      <c r="AV357" s="43">
        <f>IF(OR(AR357="",AK357="",AK357=0),"",AR357/AK357)</f>
        <v/>
      </c>
      <c r="AW357" s="43">
        <f>IF(OR(AS357="",AL357="",AL357=0),"",AS357/AL357)</f>
        <v/>
      </c>
      <c r="AX357" s="44">
        <f>IF(OR(AW357="",AV357=""),"",(AW357-AV357)*100)</f>
        <v/>
      </c>
      <c r="AY357" s="45">
        <f>IF(OR(AR357="",P357="",P357=0),"",AR357/P357)</f>
        <v/>
      </c>
      <c r="AZ357" s="45">
        <f>IF(OR(AS357="",Q357="",Q357=0),"",AS357/Q357)</f>
        <v/>
      </c>
      <c r="BA357" s="44">
        <f>IF(OR(AZ357="",AY357=""),"",(AZ357-AY357)*100)</f>
        <v/>
      </c>
      <c r="BB357" s="45">
        <f>IF(OR(AR357="",E357="",E357=0),"",AR357/E357)</f>
        <v/>
      </c>
      <c r="BC357" s="45">
        <f>IF(OR(AS357="",F357="",F357=0),"",AS357/F357)</f>
        <v/>
      </c>
      <c r="BD357" s="44">
        <f>IF(OR(BC357="",BB357=""),"",(BC357-BB357)*100)</f>
        <v/>
      </c>
      <c r="BE357" s="40">
        <f>IF(AND(F357&lt;&gt;"",E357&lt;&gt;""),"Both years",IF(F357&lt;&gt;"","1-23Aug26 rows only","1-23Aug25 rows only"))</f>
        <v/>
      </c>
    </row>
    <row r="358">
      <c r="A358" s="56" t="inlineStr">
        <is>
          <t>Route page</t>
        </is>
      </c>
      <c r="B358" s="56" t="inlineStr">
        <is>
          <t>Paid Search</t>
        </is>
      </c>
      <c r="C358" s="56" t="inlineStr">
        <is>
          <t>Desktop</t>
        </is>
      </c>
      <c r="D358" s="56" t="inlineStr">
        <is>
          <t>Finland</t>
        </is>
      </c>
      <c r="E358" s="70" t="n"/>
      <c r="F358" s="70" t="n"/>
      <c r="G358" s="69">
        <f>IF(OR(F358="",E358="",E358=0,F358=0),"",F358-E358)</f>
        <v/>
      </c>
      <c r="H358" s="42">
        <f>IF(OR(F358="",E358="",E358=0,F358=0),"",F358/E358-1)</f>
        <v/>
      </c>
      <c r="I358" s="68" t="n">
        <v>127</v>
      </c>
      <c r="J358" s="68" t="n">
        <v>105</v>
      </c>
      <c r="K358" s="69">
        <f>IF(OR(J358="",I358="",I358=0,J358=0),"",J358-I358)</f>
        <v/>
      </c>
      <c r="L358" s="42">
        <f>IF(OR(J358="",I358="",I358=0,J358=0),"",J358/I358-1)</f>
        <v/>
      </c>
      <c r="M358" s="43">
        <f>IF(OR(I358="",E358="",E358=0),"",I358/E358)</f>
        <v/>
      </c>
      <c r="N358" s="43">
        <f>IF(OR(J358="",F358="",F358=0),"",J358/F358)</f>
        <v/>
      </c>
      <c r="O358" s="44">
        <f>IF(OR(N358="",M358=""),"",(N358-M358)*100)</f>
        <v/>
      </c>
      <c r="P358" s="70" t="n"/>
      <c r="Q358" s="70" t="n"/>
      <c r="R358" s="69">
        <f>IF(OR(Q358="",P358="",P358=0,Q358=0),"",Q358-P358)</f>
        <v/>
      </c>
      <c r="S358" s="42">
        <f>IF(OR(Q358="",P358="",P358=0,Q358=0),"",Q358/P358-1)</f>
        <v/>
      </c>
      <c r="T358" s="43">
        <f>IF(OR(P358="",E358="",E358=0),"",P358/E358)</f>
        <v/>
      </c>
      <c r="U358" s="43">
        <f>IF(OR(Q358="",F358="",F358=0),"",Q358/F358)</f>
        <v/>
      </c>
      <c r="V358" s="44">
        <f>IF(OR(U358="",T358=""),"",(U358-T358)*100)</f>
        <v/>
      </c>
      <c r="W358" s="68" t="n">
        <v>38</v>
      </c>
      <c r="X358" s="68" t="n">
        <v>14</v>
      </c>
      <c r="Y358" s="69">
        <f>IF(OR(X358="",W358="",W358=0,X358=0),"",X358-W358)</f>
        <v/>
      </c>
      <c r="Z358" s="42">
        <f>IF(OR(X358="",W358="",W358=0,X358=0),"",X358/W358-1)</f>
        <v/>
      </c>
      <c r="AA358" s="43">
        <f>IF(OR(W358="",P358="",P358=0),"",W358/P358)</f>
        <v/>
      </c>
      <c r="AB358" s="43">
        <f>IF(OR(X358="",Q358="",Q358=0),"",X358/Q358)</f>
        <v/>
      </c>
      <c r="AC358" s="44">
        <f>IF(OR(AB358="",AA358=""),"",(AB358-AA358)*100)</f>
        <v/>
      </c>
      <c r="AD358" s="68" t="n">
        <v>30</v>
      </c>
      <c r="AE358" s="68" t="n">
        <v>10</v>
      </c>
      <c r="AF358" s="69">
        <f>IF(OR(AE358="",AD358="",AD358=0,AE358=0),"",AE358-AD358)</f>
        <v/>
      </c>
      <c r="AG358" s="42">
        <f>IF(OR(AE358="",AD358="",AD358=0,AE358=0),"",AE358/AD358-1)</f>
        <v/>
      </c>
      <c r="AH358" s="43">
        <f>IF(OR(AD358="",W358="",W358=0),"",AD358/W358)</f>
        <v/>
      </c>
      <c r="AI358" s="43">
        <f>IF(OR(AE358="",X358="",X358=0),"",AE358/X358)</f>
        <v/>
      </c>
      <c r="AJ358" s="44">
        <f>IF(OR(AI358="",AH358=""),"",(AI358-AH358)*100)</f>
        <v/>
      </c>
      <c r="AK358" s="68" t="n">
        <v>7</v>
      </c>
      <c r="AL358" s="68" t="n">
        <v>1</v>
      </c>
      <c r="AM358" s="69">
        <f>IF(OR(AL358="",AK358="",AK358=0,AL358=0),"",AL358-AK358)</f>
        <v/>
      </c>
      <c r="AN358" s="42">
        <f>IF(OR(AL358="",AK358="",AK358=0,AL358=0),"",AL358/AK358-1)</f>
        <v/>
      </c>
      <c r="AO358" s="43">
        <f>IF(OR(AK358="",AD358="",AD358=0),"",AK358/AD358)</f>
        <v/>
      </c>
      <c r="AP358" s="43">
        <f>IF(OR(AL358="",AE358="",AE358=0),"",AL358/AE358)</f>
        <v/>
      </c>
      <c r="AQ358" s="44">
        <f>IF(OR(AP358="",AO358=""),"",(AP358-AO358)*100)</f>
        <v/>
      </c>
      <c r="AR358" s="68" t="n">
        <v>7</v>
      </c>
      <c r="AS358" s="68" t="n">
        <v>1</v>
      </c>
      <c r="AT358" s="69">
        <f>IF(OR(AS358="",AR358="",AR358=0,AS358=0),"",AS358-AR358)</f>
        <v/>
      </c>
      <c r="AU358" s="42">
        <f>IF(OR(AS358="",AR358="",AR358=0,AS358=0),"",AS358/AR358-1)</f>
        <v/>
      </c>
      <c r="AV358" s="43">
        <f>IF(OR(AR358="",AK358="",AK358=0),"",AR358/AK358)</f>
        <v/>
      </c>
      <c r="AW358" s="43">
        <f>IF(OR(AS358="",AL358="",AL358=0),"",AS358/AL358)</f>
        <v/>
      </c>
      <c r="AX358" s="44">
        <f>IF(OR(AW358="",AV358=""),"",(AW358-AV358)*100)</f>
        <v/>
      </c>
      <c r="AY358" s="45">
        <f>IF(OR(AR358="",P358="",P358=0),"",AR358/P358)</f>
        <v/>
      </c>
      <c r="AZ358" s="45">
        <f>IF(OR(AS358="",Q358="",Q358=0),"",AS358/Q358)</f>
        <v/>
      </c>
      <c r="BA358" s="44">
        <f>IF(OR(AZ358="",AY358=""),"",(AZ358-AY358)*100)</f>
        <v/>
      </c>
      <c r="BB358" s="45">
        <f>IF(OR(AR358="",E358="",E358=0),"",AR358/E358)</f>
        <v/>
      </c>
      <c r="BC358" s="45">
        <f>IF(OR(AS358="",F358="",F358=0),"",AS358/F358)</f>
        <v/>
      </c>
      <c r="BD358" s="44">
        <f>IF(OR(BC358="",BB358=""),"",(BC358-BB358)*100)</f>
        <v/>
      </c>
      <c r="BE358" s="40">
        <f>IF(AND(F358&lt;&gt;"",E358&lt;&gt;""),"Both years",IF(F358&lt;&gt;"","1-23Aug26 rows only","1-23Aug25 rows only"))</f>
        <v/>
      </c>
    </row>
    <row r="359">
      <c r="A359" s="40" t="inlineStr">
        <is>
          <t>Route page</t>
        </is>
      </c>
      <c r="B359" s="40" t="inlineStr">
        <is>
          <t>Paid Search</t>
        </is>
      </c>
      <c r="C359" s="40" t="inlineStr">
        <is>
          <t>Desktop</t>
        </is>
      </c>
      <c r="D359" s="40" t="inlineStr">
        <is>
          <t>Portugal</t>
        </is>
      </c>
      <c r="E359" s="70" t="n"/>
      <c r="F359" s="70" t="n"/>
      <c r="G359" s="69">
        <f>IF(OR(F359="",E359="",E359=0,F359=0),"",F359-E359)</f>
        <v/>
      </c>
      <c r="H359" s="42">
        <f>IF(OR(F359="",E359="",E359=0,F359=0),"",F359/E359-1)</f>
        <v/>
      </c>
      <c r="I359" s="70" t="n"/>
      <c r="J359" s="70" t="n"/>
      <c r="K359" s="69">
        <f>IF(OR(J359="",I359="",I359=0,J359=0),"",J359-I359)</f>
        <v/>
      </c>
      <c r="L359" s="42">
        <f>IF(OR(J359="",I359="",I359=0,J359=0),"",J359/I359-1)</f>
        <v/>
      </c>
      <c r="M359" s="43">
        <f>IF(OR(I359="",E359="",E359=0),"",I359/E359)</f>
        <v/>
      </c>
      <c r="N359" s="43">
        <f>IF(OR(J359="",F359="",F359=0),"",J359/F359)</f>
        <v/>
      </c>
      <c r="O359" s="44">
        <f>IF(OR(N359="",M359=""),"",(N359-M359)*100)</f>
        <v/>
      </c>
      <c r="P359" s="68" t="n">
        <v>185</v>
      </c>
      <c r="Q359" s="70" t="n"/>
      <c r="R359" s="69">
        <f>IF(OR(Q359="",P359="",P359=0,Q359=0),"",Q359-P359)</f>
        <v/>
      </c>
      <c r="S359" s="42">
        <f>IF(OR(Q359="",P359="",P359=0,Q359=0),"",Q359/P359-1)</f>
        <v/>
      </c>
      <c r="T359" s="43">
        <f>IF(OR(P359="",E359="",E359=0),"",P359/E359)</f>
        <v/>
      </c>
      <c r="U359" s="43">
        <f>IF(OR(Q359="",F359="",F359=0),"",Q359/F359)</f>
        <v/>
      </c>
      <c r="V359" s="44">
        <f>IF(OR(U359="",T359=""),"",(U359-T359)*100)</f>
        <v/>
      </c>
      <c r="W359" s="70" t="n"/>
      <c r="X359" s="70" t="n"/>
      <c r="Y359" s="69">
        <f>IF(OR(X359="",W359="",W359=0,X359=0),"",X359-W359)</f>
        <v/>
      </c>
      <c r="Z359" s="42">
        <f>IF(OR(X359="",W359="",W359=0,X359=0),"",X359/W359-1)</f>
        <v/>
      </c>
      <c r="AA359" s="43">
        <f>IF(OR(W359="",P359="",P359=0),"",W359/P359)</f>
        <v/>
      </c>
      <c r="AB359" s="43">
        <f>IF(OR(X359="",Q359="",Q359=0),"",X359/Q359)</f>
        <v/>
      </c>
      <c r="AC359" s="44">
        <f>IF(OR(AB359="",AA359=""),"",(AB359-AA359)*100)</f>
        <v/>
      </c>
      <c r="AD359" s="70" t="n"/>
      <c r="AE359" s="70" t="n"/>
      <c r="AF359" s="69">
        <f>IF(OR(AE359="",AD359="",AD359=0,AE359=0),"",AE359-AD359)</f>
        <v/>
      </c>
      <c r="AG359" s="42">
        <f>IF(OR(AE359="",AD359="",AD359=0,AE359=0),"",AE359/AD359-1)</f>
        <v/>
      </c>
      <c r="AH359" s="43">
        <f>IF(OR(AD359="",W359="",W359=0),"",AD359/W359)</f>
        <v/>
      </c>
      <c r="AI359" s="43">
        <f>IF(OR(AE359="",X359="",X359=0),"",AE359/X359)</f>
        <v/>
      </c>
      <c r="AJ359" s="44">
        <f>IF(OR(AI359="",AH359=""),"",(AI359-AH359)*100)</f>
        <v/>
      </c>
      <c r="AK359" s="70" t="n"/>
      <c r="AL359" s="70" t="n"/>
      <c r="AM359" s="69">
        <f>IF(OR(AL359="",AK359="",AK359=0,AL359=0),"",AL359-AK359)</f>
        <v/>
      </c>
      <c r="AN359" s="42">
        <f>IF(OR(AL359="",AK359="",AK359=0,AL359=0),"",AL359/AK359-1)</f>
        <v/>
      </c>
      <c r="AO359" s="43">
        <f>IF(OR(AK359="",AD359="",AD359=0),"",AK359/AD359)</f>
        <v/>
      </c>
      <c r="AP359" s="43">
        <f>IF(OR(AL359="",AE359="",AE359=0),"",AL359/AE359)</f>
        <v/>
      </c>
      <c r="AQ359" s="44">
        <f>IF(OR(AP359="",AO359=""),"",(AP359-AO359)*100)</f>
        <v/>
      </c>
      <c r="AR359" s="70" t="n"/>
      <c r="AS359" s="70" t="n"/>
      <c r="AT359" s="69">
        <f>IF(OR(AS359="",AR359="",AR359=0,AS359=0),"",AS359-AR359)</f>
        <v/>
      </c>
      <c r="AU359" s="42">
        <f>IF(OR(AS359="",AR359="",AR359=0,AS359=0),"",AS359/AR359-1)</f>
        <v/>
      </c>
      <c r="AV359" s="43">
        <f>IF(OR(AR359="",AK359="",AK359=0),"",AR359/AK359)</f>
        <v/>
      </c>
      <c r="AW359" s="43">
        <f>IF(OR(AS359="",AL359="",AL359=0),"",AS359/AL359)</f>
        <v/>
      </c>
      <c r="AX359" s="44">
        <f>IF(OR(AW359="",AV359=""),"",(AW359-AV359)*100)</f>
        <v/>
      </c>
      <c r="AY359" s="45">
        <f>IF(OR(AR359="",P359="",P359=0),"",AR359/P359)</f>
        <v/>
      </c>
      <c r="AZ359" s="45">
        <f>IF(OR(AS359="",Q359="",Q359=0),"",AS359/Q359)</f>
        <v/>
      </c>
      <c r="BA359" s="44">
        <f>IF(OR(AZ359="",AY359=""),"",(AZ359-AY359)*100)</f>
        <v/>
      </c>
      <c r="BB359" s="45">
        <f>IF(OR(AR359="",E359="",E359=0),"",AR359/E359)</f>
        <v/>
      </c>
      <c r="BC359" s="45">
        <f>IF(OR(AS359="",F359="",F359=0),"",AS359/F359)</f>
        <v/>
      </c>
      <c r="BD359" s="44">
        <f>IF(OR(BC359="",BB359=""),"",(BC359-BB359)*100)</f>
        <v/>
      </c>
      <c r="BE359" s="40">
        <f>IF(AND(F359&lt;&gt;"",E359&lt;&gt;""),"Both years",IF(F359&lt;&gt;"","1-23Aug26 rows only","1-23Aug25 rows only"))</f>
        <v/>
      </c>
    </row>
    <row r="360">
      <c r="A360" s="40" t="inlineStr">
        <is>
          <t>Route page</t>
        </is>
      </c>
      <c r="B360" s="40" t="inlineStr">
        <is>
          <t>Organic</t>
        </is>
      </c>
      <c r="C360" s="40" t="inlineStr">
        <is>
          <t>Mobile</t>
        </is>
      </c>
      <c r="D360" s="40" t="inlineStr">
        <is>
          <t>United Kingdom</t>
        </is>
      </c>
      <c r="E360" s="68" t="n">
        <v>5427</v>
      </c>
      <c r="F360" s="68" t="n">
        <v>7524</v>
      </c>
      <c r="G360" s="69">
        <f>IF(OR(F360="",E360="",E360=0,F360=0),"",F360-E360)</f>
        <v/>
      </c>
      <c r="H360" s="42">
        <f>IF(OR(F360="",E360="",E360=0,F360=0),"",F360/E360-1)</f>
        <v/>
      </c>
      <c r="I360" s="68" t="n">
        <v>4086</v>
      </c>
      <c r="J360" s="68" t="n">
        <v>5382</v>
      </c>
      <c r="K360" s="69">
        <f>IF(OR(J360="",I360="",I360=0,J360=0),"",J360-I360)</f>
        <v/>
      </c>
      <c r="L360" s="42">
        <f>IF(OR(J360="",I360="",I360=0,J360=0),"",J360/I360-1)</f>
        <v/>
      </c>
      <c r="M360" s="43">
        <f>IF(OR(I360="",E360="",E360=0),"",I360/E360)</f>
        <v/>
      </c>
      <c r="N360" s="43">
        <f>IF(OR(J360="",F360="",F360=0),"",J360/F360)</f>
        <v/>
      </c>
      <c r="O360" s="44">
        <f>IF(OR(N360="",M360=""),"",(N360-M360)*100)</f>
        <v/>
      </c>
      <c r="P360" s="68" t="n">
        <v>3327</v>
      </c>
      <c r="Q360" s="68" t="n">
        <v>4816</v>
      </c>
      <c r="R360" s="69">
        <f>IF(OR(Q360="",P360="",P360=0,Q360=0),"",Q360-P360)</f>
        <v/>
      </c>
      <c r="S360" s="42">
        <f>IF(OR(Q360="",P360="",P360=0,Q360=0),"",Q360/P360-1)</f>
        <v/>
      </c>
      <c r="T360" s="43">
        <f>IF(OR(P360="",E360="",E360=0),"",P360/E360)</f>
        <v/>
      </c>
      <c r="U360" s="43">
        <f>IF(OR(Q360="",F360="",F360=0),"",Q360/F360)</f>
        <v/>
      </c>
      <c r="V360" s="44">
        <f>IF(OR(U360="",T360=""),"",(U360-T360)*100)</f>
        <v/>
      </c>
      <c r="W360" s="68" t="n">
        <v>491</v>
      </c>
      <c r="X360" s="68" t="n">
        <v>742</v>
      </c>
      <c r="Y360" s="69">
        <f>IF(OR(X360="",W360="",W360=0,X360=0),"",X360-W360)</f>
        <v/>
      </c>
      <c r="Z360" s="42">
        <f>IF(OR(X360="",W360="",W360=0,X360=0),"",X360/W360-1)</f>
        <v/>
      </c>
      <c r="AA360" s="43">
        <f>IF(OR(W360="",P360="",P360=0),"",W360/P360)</f>
        <v/>
      </c>
      <c r="AB360" s="43">
        <f>IF(OR(X360="",Q360="",Q360=0),"",X360/Q360)</f>
        <v/>
      </c>
      <c r="AC360" s="44">
        <f>IF(OR(AB360="",AA360=""),"",(AB360-AA360)*100)</f>
        <v/>
      </c>
      <c r="AD360" s="68" t="n">
        <v>355</v>
      </c>
      <c r="AE360" s="68" t="n">
        <v>495</v>
      </c>
      <c r="AF360" s="69">
        <f>IF(OR(AE360="",AD360="",AD360=0,AE360=0),"",AE360-AD360)</f>
        <v/>
      </c>
      <c r="AG360" s="42">
        <f>IF(OR(AE360="",AD360="",AD360=0,AE360=0),"",AE360/AD360-1)</f>
        <v/>
      </c>
      <c r="AH360" s="43">
        <f>IF(OR(AD360="",W360="",W360=0),"",AD360/W360)</f>
        <v/>
      </c>
      <c r="AI360" s="43">
        <f>IF(OR(AE360="",X360="",X360=0),"",AE360/X360)</f>
        <v/>
      </c>
      <c r="AJ360" s="44">
        <f>IF(OR(AI360="",AH360=""),"",(AI360-AH360)*100)</f>
        <v/>
      </c>
      <c r="AK360" s="68" t="n">
        <v>108</v>
      </c>
      <c r="AL360" s="68" t="n">
        <v>145</v>
      </c>
      <c r="AM360" s="69">
        <f>IF(OR(AL360="",AK360="",AK360=0,AL360=0),"",AL360-AK360)</f>
        <v/>
      </c>
      <c r="AN360" s="42">
        <f>IF(OR(AL360="",AK360="",AK360=0,AL360=0),"",AL360/AK360-1)</f>
        <v/>
      </c>
      <c r="AO360" s="43">
        <f>IF(OR(AK360="",AD360="",AD360=0),"",AK360/AD360)</f>
        <v/>
      </c>
      <c r="AP360" s="43">
        <f>IF(OR(AL360="",AE360="",AE360=0),"",AL360/AE360)</f>
        <v/>
      </c>
      <c r="AQ360" s="44">
        <f>IF(OR(AP360="",AO360=""),"",(AP360-AO360)*100)</f>
        <v/>
      </c>
      <c r="AR360" s="68" t="n">
        <v>77</v>
      </c>
      <c r="AS360" s="68" t="n">
        <v>96</v>
      </c>
      <c r="AT360" s="69">
        <f>IF(OR(AS360="",AR360="",AR360=0,AS360=0),"",AS360-AR360)</f>
        <v/>
      </c>
      <c r="AU360" s="42">
        <f>IF(OR(AS360="",AR360="",AR360=0,AS360=0),"",AS360/AR360-1)</f>
        <v/>
      </c>
      <c r="AV360" s="43">
        <f>IF(OR(AR360="",AK360="",AK360=0),"",AR360/AK360)</f>
        <v/>
      </c>
      <c r="AW360" s="43">
        <f>IF(OR(AS360="",AL360="",AL360=0),"",AS360/AL360)</f>
        <v/>
      </c>
      <c r="AX360" s="44">
        <f>IF(OR(AW360="",AV360=""),"",(AW360-AV360)*100)</f>
        <v/>
      </c>
      <c r="AY360" s="45">
        <f>IF(OR(AR360="",P360="",P360=0),"",AR360/P360)</f>
        <v/>
      </c>
      <c r="AZ360" s="45">
        <f>IF(OR(AS360="",Q360="",Q360=0),"",AS360/Q360)</f>
        <v/>
      </c>
      <c r="BA360" s="44">
        <f>IF(OR(AZ360="",AY360=""),"",(AZ360-AY360)*100)</f>
        <v/>
      </c>
      <c r="BB360" s="45">
        <f>IF(OR(AR360="",E360="",E360=0),"",AR360/E360)</f>
        <v/>
      </c>
      <c r="BC360" s="45">
        <f>IF(OR(AS360="",F360="",F360=0),"",AS360/F360)</f>
        <v/>
      </c>
      <c r="BD360" s="44">
        <f>IF(OR(BC360="",BB360=""),"",(BC360-BB360)*100)</f>
        <v/>
      </c>
      <c r="BE360" s="40">
        <f>IF(AND(F360&lt;&gt;"",E360&lt;&gt;""),"Both years",IF(F360&lt;&gt;"","1-23Aug26 rows only","1-23Aug25 rows only"))</f>
        <v/>
      </c>
    </row>
    <row r="361">
      <c r="A361" s="56" t="inlineStr">
        <is>
          <t>Route page</t>
        </is>
      </c>
      <c r="B361" s="56" t="inlineStr">
        <is>
          <t>Organic</t>
        </is>
      </c>
      <c r="C361" s="56" t="inlineStr">
        <is>
          <t>Mobile</t>
        </is>
      </c>
      <c r="D361" s="56" t="inlineStr">
        <is>
          <t>Germany</t>
        </is>
      </c>
      <c r="E361" s="68" t="n">
        <v>4179</v>
      </c>
      <c r="F361" s="68" t="n">
        <v>4509</v>
      </c>
      <c r="G361" s="69">
        <f>IF(OR(F361="",E361="",E361=0,F361=0),"",F361-E361)</f>
        <v/>
      </c>
      <c r="H361" s="42">
        <f>IF(OR(F361="",E361="",E361=0,F361=0),"",F361/E361-1)</f>
        <v/>
      </c>
      <c r="I361" s="68" t="n">
        <v>2998</v>
      </c>
      <c r="J361" s="68" t="n">
        <v>3180</v>
      </c>
      <c r="K361" s="69">
        <f>IF(OR(J361="",I361="",I361=0,J361=0),"",J361-I361)</f>
        <v/>
      </c>
      <c r="L361" s="42">
        <f>IF(OR(J361="",I361="",I361=0,J361=0),"",J361/I361-1)</f>
        <v/>
      </c>
      <c r="M361" s="43">
        <f>IF(OR(I361="",E361="",E361=0),"",I361/E361)</f>
        <v/>
      </c>
      <c r="N361" s="43">
        <f>IF(OR(J361="",F361="",F361=0),"",J361/F361)</f>
        <v/>
      </c>
      <c r="O361" s="44">
        <f>IF(OR(N361="",M361=""),"",(N361-M361)*100)</f>
        <v/>
      </c>
      <c r="P361" s="68" t="n">
        <v>2355</v>
      </c>
      <c r="Q361" s="68" t="n">
        <v>2809</v>
      </c>
      <c r="R361" s="69">
        <f>IF(OR(Q361="",P361="",P361=0,Q361=0),"",Q361-P361)</f>
        <v/>
      </c>
      <c r="S361" s="42">
        <f>IF(OR(Q361="",P361="",P361=0,Q361=0),"",Q361/P361-1)</f>
        <v/>
      </c>
      <c r="T361" s="43">
        <f>IF(OR(P361="",E361="",E361=0),"",P361/E361)</f>
        <v/>
      </c>
      <c r="U361" s="43">
        <f>IF(OR(Q361="",F361="",F361=0),"",Q361/F361)</f>
        <v/>
      </c>
      <c r="V361" s="44">
        <f>IF(OR(U361="",T361=""),"",(U361-T361)*100)</f>
        <v/>
      </c>
      <c r="W361" s="68" t="n">
        <v>488</v>
      </c>
      <c r="X361" s="68" t="n">
        <v>551</v>
      </c>
      <c r="Y361" s="69">
        <f>IF(OR(X361="",W361="",W361=0,X361=0),"",X361-W361)</f>
        <v/>
      </c>
      <c r="Z361" s="42">
        <f>IF(OR(X361="",W361="",W361=0,X361=0),"",X361/W361-1)</f>
        <v/>
      </c>
      <c r="AA361" s="43">
        <f>IF(OR(W361="",P361="",P361=0),"",W361/P361)</f>
        <v/>
      </c>
      <c r="AB361" s="43">
        <f>IF(OR(X361="",Q361="",Q361=0),"",X361/Q361)</f>
        <v/>
      </c>
      <c r="AC361" s="44">
        <f>IF(OR(AB361="",AA361=""),"",(AB361-AA361)*100)</f>
        <v/>
      </c>
      <c r="AD361" s="68" t="n">
        <v>324</v>
      </c>
      <c r="AE361" s="68" t="n">
        <v>334</v>
      </c>
      <c r="AF361" s="69">
        <f>IF(OR(AE361="",AD361="",AD361=0,AE361=0),"",AE361-AD361)</f>
        <v/>
      </c>
      <c r="AG361" s="42">
        <f>IF(OR(AE361="",AD361="",AD361=0,AE361=0),"",AE361/AD361-1)</f>
        <v/>
      </c>
      <c r="AH361" s="43">
        <f>IF(OR(AD361="",W361="",W361=0),"",AD361/W361)</f>
        <v/>
      </c>
      <c r="AI361" s="43">
        <f>IF(OR(AE361="",X361="",X361=0),"",AE361/X361)</f>
        <v/>
      </c>
      <c r="AJ361" s="44">
        <f>IF(OR(AI361="",AH361=""),"",(AI361-AH361)*100)</f>
        <v/>
      </c>
      <c r="AK361" s="68" t="n">
        <v>52</v>
      </c>
      <c r="AL361" s="68" t="n">
        <v>47</v>
      </c>
      <c r="AM361" s="69">
        <f>IF(OR(AL361="",AK361="",AK361=0,AL361=0),"",AL361-AK361)</f>
        <v/>
      </c>
      <c r="AN361" s="42">
        <f>IF(OR(AL361="",AK361="",AK361=0,AL361=0),"",AL361/AK361-1)</f>
        <v/>
      </c>
      <c r="AO361" s="43">
        <f>IF(OR(AK361="",AD361="",AD361=0),"",AK361/AD361)</f>
        <v/>
      </c>
      <c r="AP361" s="43">
        <f>IF(OR(AL361="",AE361="",AE361=0),"",AL361/AE361)</f>
        <v/>
      </c>
      <c r="AQ361" s="44">
        <f>IF(OR(AP361="",AO361=""),"",(AP361-AO361)*100)</f>
        <v/>
      </c>
      <c r="AR361" s="68" t="n">
        <v>39</v>
      </c>
      <c r="AS361" s="68" t="n">
        <v>37</v>
      </c>
      <c r="AT361" s="69">
        <f>IF(OR(AS361="",AR361="",AR361=0,AS361=0),"",AS361-AR361)</f>
        <v/>
      </c>
      <c r="AU361" s="42">
        <f>IF(OR(AS361="",AR361="",AR361=0,AS361=0),"",AS361/AR361-1)</f>
        <v/>
      </c>
      <c r="AV361" s="43">
        <f>IF(OR(AR361="",AK361="",AK361=0),"",AR361/AK361)</f>
        <v/>
      </c>
      <c r="AW361" s="43">
        <f>IF(OR(AS361="",AL361="",AL361=0),"",AS361/AL361)</f>
        <v/>
      </c>
      <c r="AX361" s="44">
        <f>IF(OR(AW361="",AV361=""),"",(AW361-AV361)*100)</f>
        <v/>
      </c>
      <c r="AY361" s="45">
        <f>IF(OR(AR361="",P361="",P361=0),"",AR361/P361)</f>
        <v/>
      </c>
      <c r="AZ361" s="45">
        <f>IF(OR(AS361="",Q361="",Q361=0),"",AS361/Q361)</f>
        <v/>
      </c>
      <c r="BA361" s="44">
        <f>IF(OR(AZ361="",AY361=""),"",(AZ361-AY361)*100)</f>
        <v/>
      </c>
      <c r="BB361" s="45">
        <f>IF(OR(AR361="",E361="",E361=0),"",AR361/E361)</f>
        <v/>
      </c>
      <c r="BC361" s="45">
        <f>IF(OR(AS361="",F361="",F361=0),"",AS361/F361)</f>
        <v/>
      </c>
      <c r="BD361" s="44">
        <f>IF(OR(BC361="",BB361=""),"",(BC361-BB361)*100)</f>
        <v/>
      </c>
      <c r="BE361" s="40">
        <f>IF(AND(F361&lt;&gt;"",E361&lt;&gt;""),"Both years",IF(F361&lt;&gt;"","1-23Aug26 rows only","1-23Aug25 rows only"))</f>
        <v/>
      </c>
    </row>
    <row r="362">
      <c r="A362" s="40" t="inlineStr">
        <is>
          <t>Route page</t>
        </is>
      </c>
      <c r="B362" s="40" t="inlineStr">
        <is>
          <t>Organic</t>
        </is>
      </c>
      <c r="C362" s="40" t="inlineStr">
        <is>
          <t>Mobile</t>
        </is>
      </c>
      <c r="D362" s="40" t="inlineStr">
        <is>
          <t>Italy</t>
        </is>
      </c>
      <c r="E362" s="68" t="n">
        <v>2342</v>
      </c>
      <c r="F362" s="68" t="n">
        <v>2817</v>
      </c>
      <c r="G362" s="69">
        <f>IF(OR(F362="",E362="",E362=0,F362=0),"",F362-E362)</f>
        <v/>
      </c>
      <c r="H362" s="42">
        <f>IF(OR(F362="",E362="",E362=0,F362=0),"",F362/E362-1)</f>
        <v/>
      </c>
      <c r="I362" s="68" t="n">
        <v>1653</v>
      </c>
      <c r="J362" s="68" t="n">
        <v>1783</v>
      </c>
      <c r="K362" s="69">
        <f>IF(OR(J362="",I362="",I362=0,J362=0),"",J362-I362)</f>
        <v/>
      </c>
      <c r="L362" s="42">
        <f>IF(OR(J362="",I362="",I362=0,J362=0),"",J362/I362-1)</f>
        <v/>
      </c>
      <c r="M362" s="43">
        <f>IF(OR(I362="",E362="",E362=0),"",I362/E362)</f>
        <v/>
      </c>
      <c r="N362" s="43">
        <f>IF(OR(J362="",F362="",F362=0),"",J362/F362)</f>
        <v/>
      </c>
      <c r="O362" s="44">
        <f>IF(OR(N362="",M362=""),"",(N362-M362)*100)</f>
        <v/>
      </c>
      <c r="P362" s="68" t="n">
        <v>1119</v>
      </c>
      <c r="Q362" s="68" t="n">
        <v>1470</v>
      </c>
      <c r="R362" s="69">
        <f>IF(OR(Q362="",P362="",P362=0,Q362=0),"",Q362-P362)</f>
        <v/>
      </c>
      <c r="S362" s="42">
        <f>IF(OR(Q362="",P362="",P362=0,Q362=0),"",Q362/P362-1)</f>
        <v/>
      </c>
      <c r="T362" s="43">
        <f>IF(OR(P362="",E362="",E362=0),"",P362/E362)</f>
        <v/>
      </c>
      <c r="U362" s="43">
        <f>IF(OR(Q362="",F362="",F362=0),"",Q362/F362)</f>
        <v/>
      </c>
      <c r="V362" s="44">
        <f>IF(OR(U362="",T362=""),"",(U362-T362)*100)</f>
        <v/>
      </c>
      <c r="W362" s="68" t="n">
        <v>149</v>
      </c>
      <c r="X362" s="68" t="n">
        <v>194</v>
      </c>
      <c r="Y362" s="69">
        <f>IF(OR(X362="",W362="",W362=0,X362=0),"",X362-W362)</f>
        <v/>
      </c>
      <c r="Z362" s="42">
        <f>IF(OR(X362="",W362="",W362=0,X362=0),"",X362/W362-1)</f>
        <v/>
      </c>
      <c r="AA362" s="43">
        <f>IF(OR(W362="",P362="",P362=0),"",W362/P362)</f>
        <v/>
      </c>
      <c r="AB362" s="43">
        <f>IF(OR(X362="",Q362="",Q362=0),"",X362/Q362)</f>
        <v/>
      </c>
      <c r="AC362" s="44">
        <f>IF(OR(AB362="",AA362=""),"",(AB362-AA362)*100)</f>
        <v/>
      </c>
      <c r="AD362" s="68" t="n">
        <v>112</v>
      </c>
      <c r="AE362" s="68" t="n">
        <v>149</v>
      </c>
      <c r="AF362" s="69">
        <f>IF(OR(AE362="",AD362="",AD362=0,AE362=0),"",AE362-AD362)</f>
        <v/>
      </c>
      <c r="AG362" s="42">
        <f>IF(OR(AE362="",AD362="",AD362=0,AE362=0),"",AE362/AD362-1)</f>
        <v/>
      </c>
      <c r="AH362" s="43">
        <f>IF(OR(AD362="",W362="",W362=0),"",AD362/W362)</f>
        <v/>
      </c>
      <c r="AI362" s="43">
        <f>IF(OR(AE362="",X362="",X362=0),"",AE362/X362)</f>
        <v/>
      </c>
      <c r="AJ362" s="44">
        <f>IF(OR(AI362="",AH362=""),"",(AI362-AH362)*100)</f>
        <v/>
      </c>
      <c r="AK362" s="68" t="n">
        <v>18</v>
      </c>
      <c r="AL362" s="68" t="n">
        <v>31</v>
      </c>
      <c r="AM362" s="69">
        <f>IF(OR(AL362="",AK362="",AK362=0,AL362=0),"",AL362-AK362)</f>
        <v/>
      </c>
      <c r="AN362" s="42">
        <f>IF(OR(AL362="",AK362="",AK362=0,AL362=0),"",AL362/AK362-1)</f>
        <v/>
      </c>
      <c r="AO362" s="43">
        <f>IF(OR(AK362="",AD362="",AD362=0),"",AK362/AD362)</f>
        <v/>
      </c>
      <c r="AP362" s="43">
        <f>IF(OR(AL362="",AE362="",AE362=0),"",AL362/AE362)</f>
        <v/>
      </c>
      <c r="AQ362" s="44">
        <f>IF(OR(AP362="",AO362=""),"",(AP362-AO362)*100)</f>
        <v/>
      </c>
      <c r="AR362" s="68" t="n">
        <v>10</v>
      </c>
      <c r="AS362" s="68" t="n">
        <v>23</v>
      </c>
      <c r="AT362" s="69">
        <f>IF(OR(AS362="",AR362="",AR362=0,AS362=0),"",AS362-AR362)</f>
        <v/>
      </c>
      <c r="AU362" s="42">
        <f>IF(OR(AS362="",AR362="",AR362=0,AS362=0),"",AS362/AR362-1)</f>
        <v/>
      </c>
      <c r="AV362" s="43">
        <f>IF(OR(AR362="",AK362="",AK362=0),"",AR362/AK362)</f>
        <v/>
      </c>
      <c r="AW362" s="43">
        <f>IF(OR(AS362="",AL362="",AL362=0),"",AS362/AL362)</f>
        <v/>
      </c>
      <c r="AX362" s="44">
        <f>IF(OR(AW362="",AV362=""),"",(AW362-AV362)*100)</f>
        <v/>
      </c>
      <c r="AY362" s="45">
        <f>IF(OR(AR362="",P362="",P362=0),"",AR362/P362)</f>
        <v/>
      </c>
      <c r="AZ362" s="45">
        <f>IF(OR(AS362="",Q362="",Q362=0),"",AS362/Q362)</f>
        <v/>
      </c>
      <c r="BA362" s="44">
        <f>IF(OR(AZ362="",AY362=""),"",(AZ362-AY362)*100)</f>
        <v/>
      </c>
      <c r="BB362" s="45">
        <f>IF(OR(AR362="",E362="",E362=0),"",AR362/E362)</f>
        <v/>
      </c>
      <c r="BC362" s="45">
        <f>IF(OR(AS362="",F362="",F362=0),"",AS362/F362)</f>
        <v/>
      </c>
      <c r="BD362" s="44">
        <f>IF(OR(BC362="",BB362=""),"",(BC362-BB362)*100)</f>
        <v/>
      </c>
      <c r="BE362" s="40">
        <f>IF(AND(F362&lt;&gt;"",E362&lt;&gt;""),"Both years",IF(F362&lt;&gt;"","1-23Aug26 rows only","1-23Aug25 rows only"))</f>
        <v/>
      </c>
    </row>
    <row r="363">
      <c r="A363" s="56" t="inlineStr">
        <is>
          <t>Route page</t>
        </is>
      </c>
      <c r="B363" s="56" t="inlineStr">
        <is>
          <t>Organic</t>
        </is>
      </c>
      <c r="C363" s="56" t="inlineStr">
        <is>
          <t>Mobile</t>
        </is>
      </c>
      <c r="D363" s="56" t="inlineStr">
        <is>
          <t>Poland</t>
        </is>
      </c>
      <c r="E363" s="68" t="n">
        <v>1225</v>
      </c>
      <c r="F363" s="68" t="n">
        <v>1335</v>
      </c>
      <c r="G363" s="69">
        <f>IF(OR(F363="",E363="",E363=0,F363=0),"",F363-E363)</f>
        <v/>
      </c>
      <c r="H363" s="42">
        <f>IF(OR(F363="",E363="",E363=0,F363=0),"",F363/E363-1)</f>
        <v/>
      </c>
      <c r="I363" s="70" t="n"/>
      <c r="J363" s="70" t="n"/>
      <c r="K363" s="69">
        <f>IF(OR(J363="",I363="",I363=0,J363=0),"",J363-I363)</f>
        <v/>
      </c>
      <c r="L363" s="42">
        <f>IF(OR(J363="",I363="",I363=0,J363=0),"",J363/I363-1)</f>
        <v/>
      </c>
      <c r="M363" s="43">
        <f>IF(OR(I363="",E363="",E363=0),"",I363/E363)</f>
        <v/>
      </c>
      <c r="N363" s="43">
        <f>IF(OR(J363="",F363="",F363=0),"",J363/F363)</f>
        <v/>
      </c>
      <c r="O363" s="44">
        <f>IF(OR(N363="",M363=""),"",(N363-M363)*100)</f>
        <v/>
      </c>
      <c r="P363" s="68" t="n">
        <v>714</v>
      </c>
      <c r="Q363" s="68" t="n">
        <v>849</v>
      </c>
      <c r="R363" s="69">
        <f>IF(OR(Q363="",P363="",P363=0,Q363=0),"",Q363-P363)</f>
        <v/>
      </c>
      <c r="S363" s="42">
        <f>IF(OR(Q363="",P363="",P363=0,Q363=0),"",Q363/P363-1)</f>
        <v/>
      </c>
      <c r="T363" s="43">
        <f>IF(OR(P363="",E363="",E363=0),"",P363/E363)</f>
        <v/>
      </c>
      <c r="U363" s="43">
        <f>IF(OR(Q363="",F363="",F363=0),"",Q363/F363)</f>
        <v/>
      </c>
      <c r="V363" s="44">
        <f>IF(OR(U363="",T363=""),"",(U363-T363)*100)</f>
        <v/>
      </c>
      <c r="W363" s="70" t="n"/>
      <c r="X363" s="70" t="n"/>
      <c r="Y363" s="69">
        <f>IF(OR(X363="",W363="",W363=0,X363=0),"",X363-W363)</f>
        <v/>
      </c>
      <c r="Z363" s="42">
        <f>IF(OR(X363="",W363="",W363=0,X363=0),"",X363/W363-1)</f>
        <v/>
      </c>
      <c r="AA363" s="43">
        <f>IF(OR(W363="",P363="",P363=0),"",W363/P363)</f>
        <v/>
      </c>
      <c r="AB363" s="43">
        <f>IF(OR(X363="",Q363="",Q363=0),"",X363/Q363)</f>
        <v/>
      </c>
      <c r="AC363" s="44">
        <f>IF(OR(AB363="",AA363=""),"",(AB363-AA363)*100)</f>
        <v/>
      </c>
      <c r="AD363" s="70" t="n"/>
      <c r="AE363" s="70" t="n"/>
      <c r="AF363" s="69">
        <f>IF(OR(AE363="",AD363="",AD363=0,AE363=0),"",AE363-AD363)</f>
        <v/>
      </c>
      <c r="AG363" s="42">
        <f>IF(OR(AE363="",AD363="",AD363=0,AE363=0),"",AE363/AD363-1)</f>
        <v/>
      </c>
      <c r="AH363" s="43">
        <f>IF(OR(AD363="",W363="",W363=0),"",AD363/W363)</f>
        <v/>
      </c>
      <c r="AI363" s="43">
        <f>IF(OR(AE363="",X363="",X363=0),"",AE363/X363)</f>
        <v/>
      </c>
      <c r="AJ363" s="44">
        <f>IF(OR(AI363="",AH363=""),"",(AI363-AH363)*100)</f>
        <v/>
      </c>
      <c r="AK363" s="70" t="n"/>
      <c r="AL363" s="70" t="n"/>
      <c r="AM363" s="69">
        <f>IF(OR(AL363="",AK363="",AK363=0,AL363=0),"",AL363-AK363)</f>
        <v/>
      </c>
      <c r="AN363" s="42">
        <f>IF(OR(AL363="",AK363="",AK363=0,AL363=0),"",AL363/AK363-1)</f>
        <v/>
      </c>
      <c r="AO363" s="43">
        <f>IF(OR(AK363="",AD363="",AD363=0),"",AK363/AD363)</f>
        <v/>
      </c>
      <c r="AP363" s="43">
        <f>IF(OR(AL363="",AE363="",AE363=0),"",AL363/AE363)</f>
        <v/>
      </c>
      <c r="AQ363" s="44">
        <f>IF(OR(AP363="",AO363=""),"",(AP363-AO363)*100)</f>
        <v/>
      </c>
      <c r="AR363" s="70" t="n"/>
      <c r="AS363" s="70" t="n"/>
      <c r="AT363" s="69">
        <f>IF(OR(AS363="",AR363="",AR363=0,AS363=0),"",AS363-AR363)</f>
        <v/>
      </c>
      <c r="AU363" s="42">
        <f>IF(OR(AS363="",AR363="",AR363=0,AS363=0),"",AS363/AR363-1)</f>
        <v/>
      </c>
      <c r="AV363" s="43">
        <f>IF(OR(AR363="",AK363="",AK363=0),"",AR363/AK363)</f>
        <v/>
      </c>
      <c r="AW363" s="43">
        <f>IF(OR(AS363="",AL363="",AL363=0),"",AS363/AL363)</f>
        <v/>
      </c>
      <c r="AX363" s="44">
        <f>IF(OR(AW363="",AV363=""),"",(AW363-AV363)*100)</f>
        <v/>
      </c>
      <c r="AY363" s="45">
        <f>IF(OR(AR363="",P363="",P363=0),"",AR363/P363)</f>
        <v/>
      </c>
      <c r="AZ363" s="45">
        <f>IF(OR(AS363="",Q363="",Q363=0),"",AS363/Q363)</f>
        <v/>
      </c>
      <c r="BA363" s="44">
        <f>IF(OR(AZ363="",AY363=""),"",(AZ363-AY363)*100)</f>
        <v/>
      </c>
      <c r="BB363" s="45">
        <f>IF(OR(AR363="",E363="",E363=0),"",AR363/E363)</f>
        <v/>
      </c>
      <c r="BC363" s="45">
        <f>IF(OR(AS363="",F363="",F363=0),"",AS363/F363)</f>
        <v/>
      </c>
      <c r="BD363" s="44">
        <f>IF(OR(BC363="",BB363=""),"",(BC363-BB363)*100)</f>
        <v/>
      </c>
      <c r="BE363" s="40">
        <f>IF(AND(F363&lt;&gt;"",E363&lt;&gt;""),"Both years",IF(F363&lt;&gt;"","1-23Aug26 rows only","1-23Aug25 rows only"))</f>
        <v/>
      </c>
    </row>
    <row r="364">
      <c r="A364" s="40" t="inlineStr">
        <is>
          <t>Route page</t>
        </is>
      </c>
      <c r="B364" s="40" t="inlineStr">
        <is>
          <t>Organic</t>
        </is>
      </c>
      <c r="C364" s="40" t="inlineStr">
        <is>
          <t>Mobile</t>
        </is>
      </c>
      <c r="D364" s="40" t="inlineStr">
        <is>
          <t>Spain</t>
        </is>
      </c>
      <c r="E364" s="68" t="n">
        <v>939</v>
      </c>
      <c r="F364" s="68" t="n">
        <v>1268</v>
      </c>
      <c r="G364" s="69">
        <f>IF(OR(F364="",E364="",E364=0,F364=0),"",F364-E364)</f>
        <v/>
      </c>
      <c r="H364" s="42">
        <f>IF(OR(F364="",E364="",E364=0,F364=0),"",F364/E364-1)</f>
        <v/>
      </c>
      <c r="I364" s="68" t="n">
        <v>699</v>
      </c>
      <c r="J364" s="68" t="n">
        <v>805</v>
      </c>
      <c r="K364" s="69">
        <f>IF(OR(J364="",I364="",I364=0,J364=0),"",J364-I364)</f>
        <v/>
      </c>
      <c r="L364" s="42">
        <f>IF(OR(J364="",I364="",I364=0,J364=0),"",J364/I364-1)</f>
        <v/>
      </c>
      <c r="M364" s="43">
        <f>IF(OR(I364="",E364="",E364=0),"",I364/E364)</f>
        <v/>
      </c>
      <c r="N364" s="43">
        <f>IF(OR(J364="",F364="",F364=0),"",J364/F364)</f>
        <v/>
      </c>
      <c r="O364" s="44">
        <f>IF(OR(N364="",M364=""),"",(N364-M364)*100)</f>
        <v/>
      </c>
      <c r="P364" s="68" t="n">
        <v>507</v>
      </c>
      <c r="Q364" s="68" t="n">
        <v>686</v>
      </c>
      <c r="R364" s="69">
        <f>IF(OR(Q364="",P364="",P364=0,Q364=0),"",Q364-P364)</f>
        <v/>
      </c>
      <c r="S364" s="42">
        <f>IF(OR(Q364="",P364="",P364=0,Q364=0),"",Q364/P364-1)</f>
        <v/>
      </c>
      <c r="T364" s="43">
        <f>IF(OR(P364="",E364="",E364=0),"",P364/E364)</f>
        <v/>
      </c>
      <c r="U364" s="43">
        <f>IF(OR(Q364="",F364="",F364=0),"",Q364/F364)</f>
        <v/>
      </c>
      <c r="V364" s="44">
        <f>IF(OR(U364="",T364=""),"",(U364-T364)*100)</f>
        <v/>
      </c>
      <c r="W364" s="68" t="n">
        <v>71</v>
      </c>
      <c r="X364" s="68" t="n">
        <v>87</v>
      </c>
      <c r="Y364" s="69">
        <f>IF(OR(X364="",W364="",W364=0,X364=0),"",X364-W364)</f>
        <v/>
      </c>
      <c r="Z364" s="42">
        <f>IF(OR(X364="",W364="",W364=0,X364=0),"",X364/W364-1)</f>
        <v/>
      </c>
      <c r="AA364" s="43">
        <f>IF(OR(W364="",P364="",P364=0),"",W364/P364)</f>
        <v/>
      </c>
      <c r="AB364" s="43">
        <f>IF(OR(X364="",Q364="",Q364=0),"",X364/Q364)</f>
        <v/>
      </c>
      <c r="AC364" s="44">
        <f>IF(OR(AB364="",AA364=""),"",(AB364-AA364)*100)</f>
        <v/>
      </c>
      <c r="AD364" s="68" t="n">
        <v>53</v>
      </c>
      <c r="AE364" s="68" t="n">
        <v>59</v>
      </c>
      <c r="AF364" s="69">
        <f>IF(OR(AE364="",AD364="",AD364=0,AE364=0),"",AE364-AD364)</f>
        <v/>
      </c>
      <c r="AG364" s="42">
        <f>IF(OR(AE364="",AD364="",AD364=0,AE364=0),"",AE364/AD364-1)</f>
        <v/>
      </c>
      <c r="AH364" s="43">
        <f>IF(OR(AD364="",W364="",W364=0),"",AD364/W364)</f>
        <v/>
      </c>
      <c r="AI364" s="43">
        <f>IF(OR(AE364="",X364="",X364=0),"",AE364/X364)</f>
        <v/>
      </c>
      <c r="AJ364" s="44">
        <f>IF(OR(AI364="",AH364=""),"",(AI364-AH364)*100)</f>
        <v/>
      </c>
      <c r="AK364" s="68" t="n">
        <v>13</v>
      </c>
      <c r="AL364" s="68" t="n">
        <v>14</v>
      </c>
      <c r="AM364" s="69">
        <f>IF(OR(AL364="",AK364="",AK364=0,AL364=0),"",AL364-AK364)</f>
        <v/>
      </c>
      <c r="AN364" s="42">
        <f>IF(OR(AL364="",AK364="",AK364=0,AL364=0),"",AL364/AK364-1)</f>
        <v/>
      </c>
      <c r="AO364" s="43">
        <f>IF(OR(AK364="",AD364="",AD364=0),"",AK364/AD364)</f>
        <v/>
      </c>
      <c r="AP364" s="43">
        <f>IF(OR(AL364="",AE364="",AE364=0),"",AL364/AE364)</f>
        <v/>
      </c>
      <c r="AQ364" s="44">
        <f>IF(OR(AP364="",AO364=""),"",(AP364-AO364)*100)</f>
        <v/>
      </c>
      <c r="AR364" s="68" t="n">
        <v>9</v>
      </c>
      <c r="AS364" s="68" t="n">
        <v>12</v>
      </c>
      <c r="AT364" s="69">
        <f>IF(OR(AS364="",AR364="",AR364=0,AS364=0),"",AS364-AR364)</f>
        <v/>
      </c>
      <c r="AU364" s="42">
        <f>IF(OR(AS364="",AR364="",AR364=0,AS364=0),"",AS364/AR364-1)</f>
        <v/>
      </c>
      <c r="AV364" s="43">
        <f>IF(OR(AR364="",AK364="",AK364=0),"",AR364/AK364)</f>
        <v/>
      </c>
      <c r="AW364" s="43">
        <f>IF(OR(AS364="",AL364="",AL364=0),"",AS364/AL364)</f>
        <v/>
      </c>
      <c r="AX364" s="44">
        <f>IF(OR(AW364="",AV364=""),"",(AW364-AV364)*100)</f>
        <v/>
      </c>
      <c r="AY364" s="45">
        <f>IF(OR(AR364="",P364="",P364=0),"",AR364/P364)</f>
        <v/>
      </c>
      <c r="AZ364" s="45">
        <f>IF(OR(AS364="",Q364="",Q364=0),"",AS364/Q364)</f>
        <v/>
      </c>
      <c r="BA364" s="44">
        <f>IF(OR(AZ364="",AY364=""),"",(AZ364-AY364)*100)</f>
        <v/>
      </c>
      <c r="BB364" s="45">
        <f>IF(OR(AR364="",E364="",E364=0),"",AR364/E364)</f>
        <v/>
      </c>
      <c r="BC364" s="45">
        <f>IF(OR(AS364="",F364="",F364=0),"",AS364/F364)</f>
        <v/>
      </c>
      <c r="BD364" s="44">
        <f>IF(OR(BC364="",BB364=""),"",(BC364-BB364)*100)</f>
        <v/>
      </c>
      <c r="BE364" s="40">
        <f>IF(AND(F364&lt;&gt;"",E364&lt;&gt;""),"Both years",IF(F364&lt;&gt;"","1-23Aug26 rows only","1-23Aug25 rows only"))</f>
        <v/>
      </c>
    </row>
    <row r="365">
      <c r="A365" s="56" t="inlineStr">
        <is>
          <t>Route page</t>
        </is>
      </c>
      <c r="B365" s="56" t="inlineStr">
        <is>
          <t>Organic</t>
        </is>
      </c>
      <c r="C365" s="56" t="inlineStr">
        <is>
          <t>Mobile</t>
        </is>
      </c>
      <c r="D365" s="56" t="inlineStr">
        <is>
          <t>United States</t>
        </is>
      </c>
      <c r="E365" s="68" t="n">
        <v>824</v>
      </c>
      <c r="F365" s="68" t="n">
        <v>1153</v>
      </c>
      <c r="G365" s="69">
        <f>IF(OR(F365="",E365="",E365=0,F365=0),"",F365-E365)</f>
        <v/>
      </c>
      <c r="H365" s="42">
        <f>IF(OR(F365="",E365="",E365=0,F365=0),"",F365/E365-1)</f>
        <v/>
      </c>
      <c r="I365" s="68" t="n">
        <v>500</v>
      </c>
      <c r="J365" s="68" t="n">
        <v>595</v>
      </c>
      <c r="K365" s="69">
        <f>IF(OR(J365="",I365="",I365=0,J365=0),"",J365-I365)</f>
        <v/>
      </c>
      <c r="L365" s="42">
        <f>IF(OR(J365="",I365="",I365=0,J365=0),"",J365/I365-1)</f>
        <v/>
      </c>
      <c r="M365" s="43">
        <f>IF(OR(I365="",E365="",E365=0),"",I365/E365)</f>
        <v/>
      </c>
      <c r="N365" s="43">
        <f>IF(OR(J365="",F365="",F365=0),"",J365/F365)</f>
        <v/>
      </c>
      <c r="O365" s="44">
        <f>IF(OR(N365="",M365=""),"",(N365-M365)*100)</f>
        <v/>
      </c>
      <c r="P365" s="68" t="n">
        <v>359</v>
      </c>
      <c r="Q365" s="68" t="n">
        <v>560</v>
      </c>
      <c r="R365" s="69">
        <f>IF(OR(Q365="",P365="",P365=0,Q365=0),"",Q365-P365)</f>
        <v/>
      </c>
      <c r="S365" s="42">
        <f>IF(OR(Q365="",P365="",P365=0,Q365=0),"",Q365/P365-1)</f>
        <v/>
      </c>
      <c r="T365" s="43">
        <f>IF(OR(P365="",E365="",E365=0),"",P365/E365)</f>
        <v/>
      </c>
      <c r="U365" s="43">
        <f>IF(OR(Q365="",F365="",F365=0),"",Q365/F365)</f>
        <v/>
      </c>
      <c r="V365" s="44">
        <f>IF(OR(U365="",T365=""),"",(U365-T365)*100)</f>
        <v/>
      </c>
      <c r="W365" s="68" t="n">
        <v>58</v>
      </c>
      <c r="X365" s="68" t="n">
        <v>108</v>
      </c>
      <c r="Y365" s="69">
        <f>IF(OR(X365="",W365="",W365=0,X365=0),"",X365-W365)</f>
        <v/>
      </c>
      <c r="Z365" s="42">
        <f>IF(OR(X365="",W365="",W365=0,X365=0),"",X365/W365-1)</f>
        <v/>
      </c>
      <c r="AA365" s="43">
        <f>IF(OR(W365="",P365="",P365=0),"",W365/P365)</f>
        <v/>
      </c>
      <c r="AB365" s="43">
        <f>IF(OR(X365="",Q365="",Q365=0),"",X365/Q365)</f>
        <v/>
      </c>
      <c r="AC365" s="44">
        <f>IF(OR(AB365="",AA365=""),"",(AB365-AA365)*100)</f>
        <v/>
      </c>
      <c r="AD365" s="68" t="n">
        <v>48</v>
      </c>
      <c r="AE365" s="68" t="n">
        <v>88</v>
      </c>
      <c r="AF365" s="69">
        <f>IF(OR(AE365="",AD365="",AD365=0,AE365=0),"",AE365-AD365)</f>
        <v/>
      </c>
      <c r="AG365" s="42">
        <f>IF(OR(AE365="",AD365="",AD365=0,AE365=0),"",AE365/AD365-1)</f>
        <v/>
      </c>
      <c r="AH365" s="43">
        <f>IF(OR(AD365="",W365="",W365=0),"",AD365/W365)</f>
        <v/>
      </c>
      <c r="AI365" s="43">
        <f>IF(OR(AE365="",X365="",X365=0),"",AE365/X365)</f>
        <v/>
      </c>
      <c r="AJ365" s="44">
        <f>IF(OR(AI365="",AH365=""),"",(AI365-AH365)*100)</f>
        <v/>
      </c>
      <c r="AK365" s="68" t="n">
        <v>13</v>
      </c>
      <c r="AL365" s="68" t="n">
        <v>17</v>
      </c>
      <c r="AM365" s="69">
        <f>IF(OR(AL365="",AK365="",AK365=0,AL365=0),"",AL365-AK365)</f>
        <v/>
      </c>
      <c r="AN365" s="42">
        <f>IF(OR(AL365="",AK365="",AK365=0,AL365=0),"",AL365/AK365-1)</f>
        <v/>
      </c>
      <c r="AO365" s="43">
        <f>IF(OR(AK365="",AD365="",AD365=0),"",AK365/AD365)</f>
        <v/>
      </c>
      <c r="AP365" s="43">
        <f>IF(OR(AL365="",AE365="",AE365=0),"",AL365/AE365)</f>
        <v/>
      </c>
      <c r="AQ365" s="44">
        <f>IF(OR(AP365="",AO365=""),"",(AP365-AO365)*100)</f>
        <v/>
      </c>
      <c r="AR365" s="68" t="n">
        <v>11</v>
      </c>
      <c r="AS365" s="68" t="n">
        <v>12</v>
      </c>
      <c r="AT365" s="69">
        <f>IF(OR(AS365="",AR365="",AR365=0,AS365=0),"",AS365-AR365)</f>
        <v/>
      </c>
      <c r="AU365" s="42">
        <f>IF(OR(AS365="",AR365="",AR365=0,AS365=0),"",AS365/AR365-1)</f>
        <v/>
      </c>
      <c r="AV365" s="43">
        <f>IF(OR(AR365="",AK365="",AK365=0),"",AR365/AK365)</f>
        <v/>
      </c>
      <c r="AW365" s="43">
        <f>IF(OR(AS365="",AL365="",AL365=0),"",AS365/AL365)</f>
        <v/>
      </c>
      <c r="AX365" s="44">
        <f>IF(OR(AW365="",AV365=""),"",(AW365-AV365)*100)</f>
        <v/>
      </c>
      <c r="AY365" s="45">
        <f>IF(OR(AR365="",P365="",P365=0),"",AR365/P365)</f>
        <v/>
      </c>
      <c r="AZ365" s="45">
        <f>IF(OR(AS365="",Q365="",Q365=0),"",AS365/Q365)</f>
        <v/>
      </c>
      <c r="BA365" s="44">
        <f>IF(OR(AZ365="",AY365=""),"",(AZ365-AY365)*100)</f>
        <v/>
      </c>
      <c r="BB365" s="45">
        <f>IF(OR(AR365="",E365="",E365=0),"",AR365/E365)</f>
        <v/>
      </c>
      <c r="BC365" s="45">
        <f>IF(OR(AS365="",F365="",F365=0),"",AS365/F365)</f>
        <v/>
      </c>
      <c r="BD365" s="44">
        <f>IF(OR(BC365="",BB365=""),"",(BC365-BB365)*100)</f>
        <v/>
      </c>
      <c r="BE365" s="40">
        <f>IF(AND(F365&lt;&gt;"",E365&lt;&gt;""),"Both years",IF(F365&lt;&gt;"","1-23Aug26 rows only","1-23Aug25 rows only"))</f>
        <v/>
      </c>
    </row>
    <row r="366">
      <c r="A366" s="40" t="inlineStr">
        <is>
          <t>Route page</t>
        </is>
      </c>
      <c r="B366" s="40" t="inlineStr">
        <is>
          <t>Organic</t>
        </is>
      </c>
      <c r="C366" s="40" t="inlineStr">
        <is>
          <t>Mobile</t>
        </is>
      </c>
      <c r="D366" s="40" t="inlineStr">
        <is>
          <t>Netherlands</t>
        </is>
      </c>
      <c r="E366" s="68" t="n">
        <v>1147</v>
      </c>
      <c r="F366" s="68" t="n">
        <v>948</v>
      </c>
      <c r="G366" s="69">
        <f>IF(OR(F366="",E366="",E366=0,F366=0),"",F366-E366)</f>
        <v/>
      </c>
      <c r="H366" s="42">
        <f>IF(OR(F366="",E366="",E366=0,F366=0),"",F366/E366-1)</f>
        <v/>
      </c>
      <c r="I366" s="68" t="n">
        <v>760</v>
      </c>
      <c r="J366" s="68" t="n">
        <v>620</v>
      </c>
      <c r="K366" s="69">
        <f>IF(OR(J366="",I366="",I366=0,J366=0),"",J366-I366)</f>
        <v/>
      </c>
      <c r="L366" s="42">
        <f>IF(OR(J366="",I366="",I366=0,J366=0),"",J366/I366-1)</f>
        <v/>
      </c>
      <c r="M366" s="43">
        <f>IF(OR(I366="",E366="",E366=0),"",I366/E366)</f>
        <v/>
      </c>
      <c r="N366" s="43">
        <f>IF(OR(J366="",F366="",F366=0),"",J366/F366)</f>
        <v/>
      </c>
      <c r="O366" s="44">
        <f>IF(OR(N366="",M366=""),"",(N366-M366)*100)</f>
        <v/>
      </c>
      <c r="P366" s="68" t="n">
        <v>625</v>
      </c>
      <c r="Q366" s="68" t="n">
        <v>584</v>
      </c>
      <c r="R366" s="69">
        <f>IF(OR(Q366="",P366="",P366=0,Q366=0),"",Q366-P366)</f>
        <v/>
      </c>
      <c r="S366" s="42">
        <f>IF(OR(Q366="",P366="",P366=0,Q366=0),"",Q366/P366-1)</f>
        <v/>
      </c>
      <c r="T366" s="43">
        <f>IF(OR(P366="",E366="",E366=0),"",P366/E366)</f>
        <v/>
      </c>
      <c r="U366" s="43">
        <f>IF(OR(Q366="",F366="",F366=0),"",Q366/F366)</f>
        <v/>
      </c>
      <c r="V366" s="44">
        <f>IF(OR(U366="",T366=""),"",(U366-T366)*100)</f>
        <v/>
      </c>
      <c r="W366" s="68" t="n">
        <v>80</v>
      </c>
      <c r="X366" s="68" t="n">
        <v>107</v>
      </c>
      <c r="Y366" s="69">
        <f>IF(OR(X366="",W366="",W366=0,X366=0),"",X366-W366)</f>
        <v/>
      </c>
      <c r="Z366" s="42">
        <f>IF(OR(X366="",W366="",W366=0,X366=0),"",X366/W366-1)</f>
        <v/>
      </c>
      <c r="AA366" s="43">
        <f>IF(OR(W366="",P366="",P366=0),"",W366/P366)</f>
        <v/>
      </c>
      <c r="AB366" s="43">
        <f>IF(OR(X366="",Q366="",Q366=0),"",X366/Q366)</f>
        <v/>
      </c>
      <c r="AC366" s="44">
        <f>IF(OR(AB366="",AA366=""),"",(AB366-AA366)*100)</f>
        <v/>
      </c>
      <c r="AD366" s="68" t="n">
        <v>44</v>
      </c>
      <c r="AE366" s="68" t="n">
        <v>77</v>
      </c>
      <c r="AF366" s="69">
        <f>IF(OR(AE366="",AD366="",AD366=0,AE366=0),"",AE366-AD366)</f>
        <v/>
      </c>
      <c r="AG366" s="42">
        <f>IF(OR(AE366="",AD366="",AD366=0,AE366=0),"",AE366/AD366-1)</f>
        <v/>
      </c>
      <c r="AH366" s="43">
        <f>IF(OR(AD366="",W366="",W366=0),"",AD366/W366)</f>
        <v/>
      </c>
      <c r="AI366" s="43">
        <f>IF(OR(AE366="",X366="",X366=0),"",AE366/X366)</f>
        <v/>
      </c>
      <c r="AJ366" s="44">
        <f>IF(OR(AI366="",AH366=""),"",(AI366-AH366)*100)</f>
        <v/>
      </c>
      <c r="AK366" s="68" t="n">
        <v>6</v>
      </c>
      <c r="AL366" s="68" t="n">
        <v>18</v>
      </c>
      <c r="AM366" s="69">
        <f>IF(OR(AL366="",AK366="",AK366=0,AL366=0),"",AL366-AK366)</f>
        <v/>
      </c>
      <c r="AN366" s="42">
        <f>IF(OR(AL366="",AK366="",AK366=0,AL366=0),"",AL366/AK366-1)</f>
        <v/>
      </c>
      <c r="AO366" s="43">
        <f>IF(OR(AK366="",AD366="",AD366=0),"",AK366/AD366)</f>
        <v/>
      </c>
      <c r="AP366" s="43">
        <f>IF(OR(AL366="",AE366="",AE366=0),"",AL366/AE366)</f>
        <v/>
      </c>
      <c r="AQ366" s="44">
        <f>IF(OR(AP366="",AO366=""),"",(AP366-AO366)*100)</f>
        <v/>
      </c>
      <c r="AR366" s="70" t="n"/>
      <c r="AS366" s="68" t="n">
        <v>3</v>
      </c>
      <c r="AT366" s="69">
        <f>IF(OR(AS366="",AR366="",AR366=0,AS366=0),"",AS366-AR366)</f>
        <v/>
      </c>
      <c r="AU366" s="42">
        <f>IF(OR(AS366="",AR366="",AR366=0,AS366=0),"",AS366/AR366-1)</f>
        <v/>
      </c>
      <c r="AV366" s="43">
        <f>IF(OR(AR366="",AK366="",AK366=0),"",AR366/AK366)</f>
        <v/>
      </c>
      <c r="AW366" s="43">
        <f>IF(OR(AS366="",AL366="",AL366=0),"",AS366/AL366)</f>
        <v/>
      </c>
      <c r="AX366" s="44">
        <f>IF(OR(AW366="",AV366=""),"",(AW366-AV366)*100)</f>
        <v/>
      </c>
      <c r="AY366" s="45">
        <f>IF(OR(AR366="",P366="",P366=0),"",AR366/P366)</f>
        <v/>
      </c>
      <c r="AZ366" s="45">
        <f>IF(OR(AS366="",Q366="",Q366=0),"",AS366/Q366)</f>
        <v/>
      </c>
      <c r="BA366" s="44">
        <f>IF(OR(AZ366="",AY366=""),"",(AZ366-AY366)*100)</f>
        <v/>
      </c>
      <c r="BB366" s="45">
        <f>IF(OR(AR366="",E366="",E366=0),"",AR366/E366)</f>
        <v/>
      </c>
      <c r="BC366" s="45">
        <f>IF(OR(AS366="",F366="",F366=0),"",AS366/F366)</f>
        <v/>
      </c>
      <c r="BD366" s="44">
        <f>IF(OR(BC366="",BB366=""),"",(BC366-BB366)*100)</f>
        <v/>
      </c>
      <c r="BE366" s="40">
        <f>IF(AND(F366&lt;&gt;"",E366&lt;&gt;""),"Both years",IF(F366&lt;&gt;"","1-23Aug26 rows only","1-23Aug25 rows only"))</f>
        <v/>
      </c>
    </row>
    <row r="367">
      <c r="A367" s="56" t="inlineStr">
        <is>
          <t>Route page</t>
        </is>
      </c>
      <c r="B367" s="56" t="inlineStr">
        <is>
          <t>Organic</t>
        </is>
      </c>
      <c r="C367" s="56" t="inlineStr">
        <is>
          <t>Mobile</t>
        </is>
      </c>
      <c r="D367" s="56" t="inlineStr">
        <is>
          <t>Ireland</t>
        </is>
      </c>
      <c r="E367" s="68" t="n">
        <v>715</v>
      </c>
      <c r="F367" s="68" t="n">
        <v>842</v>
      </c>
      <c r="G367" s="69">
        <f>IF(OR(F367="",E367="",E367=0,F367=0),"",F367-E367)</f>
        <v/>
      </c>
      <c r="H367" s="42">
        <f>IF(OR(F367="",E367="",E367=0,F367=0),"",F367/E367-1)</f>
        <v/>
      </c>
      <c r="I367" s="68" t="n">
        <v>555</v>
      </c>
      <c r="J367" s="68" t="n">
        <v>656</v>
      </c>
      <c r="K367" s="69">
        <f>IF(OR(J367="",I367="",I367=0,J367=0),"",J367-I367)</f>
        <v/>
      </c>
      <c r="L367" s="42">
        <f>IF(OR(J367="",I367="",I367=0,J367=0),"",J367/I367-1)</f>
        <v/>
      </c>
      <c r="M367" s="43">
        <f>IF(OR(I367="",E367="",E367=0),"",I367/E367)</f>
        <v/>
      </c>
      <c r="N367" s="43">
        <f>IF(OR(J367="",F367="",F367=0),"",J367/F367)</f>
        <v/>
      </c>
      <c r="O367" s="44">
        <f>IF(OR(N367="",M367=""),"",(N367-M367)*100)</f>
        <v/>
      </c>
      <c r="P367" s="68" t="n">
        <v>468</v>
      </c>
      <c r="Q367" s="68" t="n">
        <v>575</v>
      </c>
      <c r="R367" s="69">
        <f>IF(OR(Q367="",P367="",P367=0,Q367=0),"",Q367-P367)</f>
        <v/>
      </c>
      <c r="S367" s="42">
        <f>IF(OR(Q367="",P367="",P367=0,Q367=0),"",Q367/P367-1)</f>
        <v/>
      </c>
      <c r="T367" s="43">
        <f>IF(OR(P367="",E367="",E367=0),"",P367/E367)</f>
        <v/>
      </c>
      <c r="U367" s="43">
        <f>IF(OR(Q367="",F367="",F367=0),"",Q367/F367)</f>
        <v/>
      </c>
      <c r="V367" s="44">
        <f>IF(OR(U367="",T367=""),"",(U367-T367)*100)</f>
        <v/>
      </c>
      <c r="W367" s="68" t="n">
        <v>69</v>
      </c>
      <c r="X367" s="68" t="n">
        <v>77</v>
      </c>
      <c r="Y367" s="69">
        <f>IF(OR(X367="",W367="",W367=0,X367=0),"",X367-W367)</f>
        <v/>
      </c>
      <c r="Z367" s="42">
        <f>IF(OR(X367="",W367="",W367=0,X367=0),"",X367/W367-1)</f>
        <v/>
      </c>
      <c r="AA367" s="43">
        <f>IF(OR(W367="",P367="",P367=0),"",W367/P367)</f>
        <v/>
      </c>
      <c r="AB367" s="43">
        <f>IF(OR(X367="",Q367="",Q367=0),"",X367/Q367)</f>
        <v/>
      </c>
      <c r="AC367" s="44">
        <f>IF(OR(AB367="",AA367=""),"",(AB367-AA367)*100)</f>
        <v/>
      </c>
      <c r="AD367" s="68" t="n">
        <v>49</v>
      </c>
      <c r="AE367" s="68" t="n">
        <v>59</v>
      </c>
      <c r="AF367" s="69">
        <f>IF(OR(AE367="",AD367="",AD367=0,AE367=0),"",AE367-AD367)</f>
        <v/>
      </c>
      <c r="AG367" s="42">
        <f>IF(OR(AE367="",AD367="",AD367=0,AE367=0),"",AE367/AD367-1)</f>
        <v/>
      </c>
      <c r="AH367" s="43">
        <f>IF(OR(AD367="",W367="",W367=0),"",AD367/W367)</f>
        <v/>
      </c>
      <c r="AI367" s="43">
        <f>IF(OR(AE367="",X367="",X367=0),"",AE367/X367)</f>
        <v/>
      </c>
      <c r="AJ367" s="44">
        <f>IF(OR(AI367="",AH367=""),"",(AI367-AH367)*100)</f>
        <v/>
      </c>
      <c r="AK367" s="68" t="n">
        <v>16</v>
      </c>
      <c r="AL367" s="68" t="n">
        <v>16</v>
      </c>
      <c r="AM367" s="69">
        <f>IF(OR(AL367="",AK367="",AK367=0,AL367=0),"",AL367-AK367)</f>
        <v/>
      </c>
      <c r="AN367" s="42">
        <f>IF(OR(AL367="",AK367="",AK367=0,AL367=0),"",AL367/AK367-1)</f>
        <v/>
      </c>
      <c r="AO367" s="43">
        <f>IF(OR(AK367="",AD367="",AD367=0),"",AK367/AD367)</f>
        <v/>
      </c>
      <c r="AP367" s="43">
        <f>IF(OR(AL367="",AE367="",AE367=0),"",AL367/AE367)</f>
        <v/>
      </c>
      <c r="AQ367" s="44">
        <f>IF(OR(AP367="",AO367=""),"",(AP367-AO367)*100)</f>
        <v/>
      </c>
      <c r="AR367" s="68" t="n">
        <v>16</v>
      </c>
      <c r="AS367" s="68" t="n">
        <v>11</v>
      </c>
      <c r="AT367" s="69">
        <f>IF(OR(AS367="",AR367="",AR367=0,AS367=0),"",AS367-AR367)</f>
        <v/>
      </c>
      <c r="AU367" s="42">
        <f>IF(OR(AS367="",AR367="",AR367=0,AS367=0),"",AS367/AR367-1)</f>
        <v/>
      </c>
      <c r="AV367" s="43">
        <f>IF(OR(AR367="",AK367="",AK367=0),"",AR367/AK367)</f>
        <v/>
      </c>
      <c r="AW367" s="43">
        <f>IF(OR(AS367="",AL367="",AL367=0),"",AS367/AL367)</f>
        <v/>
      </c>
      <c r="AX367" s="44">
        <f>IF(OR(AW367="",AV367=""),"",(AW367-AV367)*100)</f>
        <v/>
      </c>
      <c r="AY367" s="45">
        <f>IF(OR(AR367="",P367="",P367=0),"",AR367/P367)</f>
        <v/>
      </c>
      <c r="AZ367" s="45">
        <f>IF(OR(AS367="",Q367="",Q367=0),"",AS367/Q367)</f>
        <v/>
      </c>
      <c r="BA367" s="44">
        <f>IF(OR(AZ367="",AY367=""),"",(AZ367-AY367)*100)</f>
        <v/>
      </c>
      <c r="BB367" s="45">
        <f>IF(OR(AR367="",E367="",E367=0),"",AR367/E367)</f>
        <v/>
      </c>
      <c r="BC367" s="45">
        <f>IF(OR(AS367="",F367="",F367=0),"",AS367/F367)</f>
        <v/>
      </c>
      <c r="BD367" s="44">
        <f>IF(OR(BC367="",BB367=""),"",(BC367-BB367)*100)</f>
        <v/>
      </c>
      <c r="BE367" s="40">
        <f>IF(AND(F367&lt;&gt;"",E367&lt;&gt;""),"Both years",IF(F367&lt;&gt;"","1-23Aug26 rows only","1-23Aug25 rows only"))</f>
        <v/>
      </c>
    </row>
    <row r="368">
      <c r="A368" s="40" t="inlineStr">
        <is>
          <t>Route page</t>
        </is>
      </c>
      <c r="B368" s="40" t="inlineStr">
        <is>
          <t>Organic</t>
        </is>
      </c>
      <c r="C368" s="40" t="inlineStr">
        <is>
          <t>Mobile</t>
        </is>
      </c>
      <c r="D368" s="40" t="inlineStr">
        <is>
          <t>France</t>
        </is>
      </c>
      <c r="E368" s="68" t="n">
        <v>1158</v>
      </c>
      <c r="F368" s="68" t="n">
        <v>806</v>
      </c>
      <c r="G368" s="69">
        <f>IF(OR(F368="",E368="",E368=0,F368=0),"",F368-E368)</f>
        <v/>
      </c>
      <c r="H368" s="42">
        <f>IF(OR(F368="",E368="",E368=0,F368=0),"",F368/E368-1)</f>
        <v/>
      </c>
      <c r="I368" s="68" t="n">
        <v>801</v>
      </c>
      <c r="J368" s="68" t="n">
        <v>515</v>
      </c>
      <c r="K368" s="69">
        <f>IF(OR(J368="",I368="",I368=0,J368=0),"",J368-I368)</f>
        <v/>
      </c>
      <c r="L368" s="42">
        <f>IF(OR(J368="",I368="",I368=0,J368=0),"",J368/I368-1)</f>
        <v/>
      </c>
      <c r="M368" s="43">
        <f>IF(OR(I368="",E368="",E368=0),"",I368/E368)</f>
        <v/>
      </c>
      <c r="N368" s="43">
        <f>IF(OR(J368="",F368="",F368=0),"",J368/F368)</f>
        <v/>
      </c>
      <c r="O368" s="44">
        <f>IF(OR(N368="",M368=""),"",(N368-M368)*100)</f>
        <v/>
      </c>
      <c r="P368" s="68" t="n">
        <v>549</v>
      </c>
      <c r="Q368" s="68" t="n">
        <v>408</v>
      </c>
      <c r="R368" s="69">
        <f>IF(OR(Q368="",P368="",P368=0,Q368=0),"",Q368-P368)</f>
        <v/>
      </c>
      <c r="S368" s="42">
        <f>IF(OR(Q368="",P368="",P368=0,Q368=0),"",Q368/P368-1)</f>
        <v/>
      </c>
      <c r="T368" s="43">
        <f>IF(OR(P368="",E368="",E368=0),"",P368/E368)</f>
        <v/>
      </c>
      <c r="U368" s="43">
        <f>IF(OR(Q368="",F368="",F368=0),"",Q368/F368)</f>
        <v/>
      </c>
      <c r="V368" s="44">
        <f>IF(OR(U368="",T368=""),"",(U368-T368)*100)</f>
        <v/>
      </c>
      <c r="W368" s="68" t="n">
        <v>93</v>
      </c>
      <c r="X368" s="68" t="n">
        <v>61</v>
      </c>
      <c r="Y368" s="69">
        <f>IF(OR(X368="",W368="",W368=0,X368=0),"",X368-W368)</f>
        <v/>
      </c>
      <c r="Z368" s="42">
        <f>IF(OR(X368="",W368="",W368=0,X368=0),"",X368/W368-1)</f>
        <v/>
      </c>
      <c r="AA368" s="43">
        <f>IF(OR(W368="",P368="",P368=0),"",W368/P368)</f>
        <v/>
      </c>
      <c r="AB368" s="43">
        <f>IF(OR(X368="",Q368="",Q368=0),"",X368/Q368)</f>
        <v/>
      </c>
      <c r="AC368" s="44">
        <f>IF(OR(AB368="",AA368=""),"",(AB368-AA368)*100)</f>
        <v/>
      </c>
      <c r="AD368" s="68" t="n">
        <v>61</v>
      </c>
      <c r="AE368" s="68" t="n">
        <v>49</v>
      </c>
      <c r="AF368" s="69">
        <f>IF(OR(AE368="",AD368="",AD368=0,AE368=0),"",AE368-AD368)</f>
        <v/>
      </c>
      <c r="AG368" s="42">
        <f>IF(OR(AE368="",AD368="",AD368=0,AE368=0),"",AE368/AD368-1)</f>
        <v/>
      </c>
      <c r="AH368" s="43">
        <f>IF(OR(AD368="",W368="",W368=0),"",AD368/W368)</f>
        <v/>
      </c>
      <c r="AI368" s="43">
        <f>IF(OR(AE368="",X368="",X368=0),"",AE368/X368)</f>
        <v/>
      </c>
      <c r="AJ368" s="44">
        <f>IF(OR(AI368="",AH368=""),"",(AI368-AH368)*100)</f>
        <v/>
      </c>
      <c r="AK368" s="68" t="n">
        <v>14</v>
      </c>
      <c r="AL368" s="68" t="n">
        <v>12</v>
      </c>
      <c r="AM368" s="69">
        <f>IF(OR(AL368="",AK368="",AK368=0,AL368=0),"",AL368-AK368)</f>
        <v/>
      </c>
      <c r="AN368" s="42">
        <f>IF(OR(AL368="",AK368="",AK368=0,AL368=0),"",AL368/AK368-1)</f>
        <v/>
      </c>
      <c r="AO368" s="43">
        <f>IF(OR(AK368="",AD368="",AD368=0),"",AK368/AD368)</f>
        <v/>
      </c>
      <c r="AP368" s="43">
        <f>IF(OR(AL368="",AE368="",AE368=0),"",AL368/AE368)</f>
        <v/>
      </c>
      <c r="AQ368" s="44">
        <f>IF(OR(AP368="",AO368=""),"",(AP368-AO368)*100)</f>
        <v/>
      </c>
      <c r="AR368" s="68" t="n">
        <v>9</v>
      </c>
      <c r="AS368" s="68" t="n">
        <v>10</v>
      </c>
      <c r="AT368" s="69">
        <f>IF(OR(AS368="",AR368="",AR368=0,AS368=0),"",AS368-AR368)</f>
        <v/>
      </c>
      <c r="AU368" s="42">
        <f>IF(OR(AS368="",AR368="",AR368=0,AS368=0),"",AS368/AR368-1)</f>
        <v/>
      </c>
      <c r="AV368" s="43">
        <f>IF(OR(AR368="",AK368="",AK368=0),"",AR368/AK368)</f>
        <v/>
      </c>
      <c r="AW368" s="43">
        <f>IF(OR(AS368="",AL368="",AL368=0),"",AS368/AL368)</f>
        <v/>
      </c>
      <c r="AX368" s="44">
        <f>IF(OR(AW368="",AV368=""),"",(AW368-AV368)*100)</f>
        <v/>
      </c>
      <c r="AY368" s="45">
        <f>IF(OR(AR368="",P368="",P368=0),"",AR368/P368)</f>
        <v/>
      </c>
      <c r="AZ368" s="45">
        <f>IF(OR(AS368="",Q368="",Q368=0),"",AS368/Q368)</f>
        <v/>
      </c>
      <c r="BA368" s="44">
        <f>IF(OR(AZ368="",AY368=""),"",(AZ368-AY368)*100)</f>
        <v/>
      </c>
      <c r="BB368" s="45">
        <f>IF(OR(AR368="",E368="",E368=0),"",AR368/E368)</f>
        <v/>
      </c>
      <c r="BC368" s="45">
        <f>IF(OR(AS368="",F368="",F368=0),"",AS368/F368)</f>
        <v/>
      </c>
      <c r="BD368" s="44">
        <f>IF(OR(BC368="",BB368=""),"",(BC368-BB368)*100)</f>
        <v/>
      </c>
      <c r="BE368" s="40">
        <f>IF(AND(F368&lt;&gt;"",E368&lt;&gt;""),"Both years",IF(F368&lt;&gt;"","1-23Aug26 rows only","1-23Aug25 rows only"))</f>
        <v/>
      </c>
    </row>
    <row r="369">
      <c r="A369" s="56" t="inlineStr">
        <is>
          <t>Route page</t>
        </is>
      </c>
      <c r="B369" s="56" t="inlineStr">
        <is>
          <t>Organic</t>
        </is>
      </c>
      <c r="C369" s="56" t="inlineStr">
        <is>
          <t>Mobile</t>
        </is>
      </c>
      <c r="D369" s="56" t="inlineStr">
        <is>
          <t>Belgium</t>
        </is>
      </c>
      <c r="E369" s="68" t="n">
        <v>400</v>
      </c>
      <c r="F369" s="68" t="n">
        <v>805</v>
      </c>
      <c r="G369" s="69">
        <f>IF(OR(F369="",E369="",E369=0,F369=0),"",F369-E369)</f>
        <v/>
      </c>
      <c r="H369" s="42">
        <f>IF(OR(F369="",E369="",E369=0,F369=0),"",F369/E369-1)</f>
        <v/>
      </c>
      <c r="I369" s="68" t="n">
        <v>288</v>
      </c>
      <c r="J369" s="68" t="n">
        <v>516</v>
      </c>
      <c r="K369" s="69">
        <f>IF(OR(J369="",I369="",I369=0,J369=0),"",J369-I369)</f>
        <v/>
      </c>
      <c r="L369" s="42">
        <f>IF(OR(J369="",I369="",I369=0,J369=0),"",J369/I369-1)</f>
        <v/>
      </c>
      <c r="M369" s="43">
        <f>IF(OR(I369="",E369="",E369=0),"",I369/E369)</f>
        <v/>
      </c>
      <c r="N369" s="43">
        <f>IF(OR(J369="",F369="",F369=0),"",J369/F369)</f>
        <v/>
      </c>
      <c r="O369" s="44">
        <f>IF(OR(N369="",M369=""),"",(N369-M369)*100)</f>
        <v/>
      </c>
      <c r="P369" s="70" t="n"/>
      <c r="Q369" s="68" t="n">
        <v>465</v>
      </c>
      <c r="R369" s="69">
        <f>IF(OR(Q369="",P369="",P369=0,Q369=0),"",Q369-P369)</f>
        <v/>
      </c>
      <c r="S369" s="42">
        <f>IF(OR(Q369="",P369="",P369=0,Q369=0),"",Q369/P369-1)</f>
        <v/>
      </c>
      <c r="T369" s="43">
        <f>IF(OR(P369="",E369="",E369=0),"",P369/E369)</f>
        <v/>
      </c>
      <c r="U369" s="43">
        <f>IF(OR(Q369="",F369="",F369=0),"",Q369/F369)</f>
        <v/>
      </c>
      <c r="V369" s="44">
        <f>IF(OR(U369="",T369=""),"",(U369-T369)*100)</f>
        <v/>
      </c>
      <c r="W369" s="68" t="n">
        <v>30</v>
      </c>
      <c r="X369" s="68" t="n">
        <v>74</v>
      </c>
      <c r="Y369" s="69">
        <f>IF(OR(X369="",W369="",W369=0,X369=0),"",X369-W369)</f>
        <v/>
      </c>
      <c r="Z369" s="42">
        <f>IF(OR(X369="",W369="",W369=0,X369=0),"",X369/W369-1)</f>
        <v/>
      </c>
      <c r="AA369" s="43">
        <f>IF(OR(W369="",P369="",P369=0),"",W369/P369)</f>
        <v/>
      </c>
      <c r="AB369" s="43">
        <f>IF(OR(X369="",Q369="",Q369=0),"",X369/Q369)</f>
        <v/>
      </c>
      <c r="AC369" s="44">
        <f>IF(OR(AB369="",AA369=""),"",(AB369-AA369)*100)</f>
        <v/>
      </c>
      <c r="AD369" s="68" t="n">
        <v>18</v>
      </c>
      <c r="AE369" s="68" t="n">
        <v>60</v>
      </c>
      <c r="AF369" s="69">
        <f>IF(OR(AE369="",AD369="",AD369=0,AE369=0),"",AE369-AD369)</f>
        <v/>
      </c>
      <c r="AG369" s="42">
        <f>IF(OR(AE369="",AD369="",AD369=0,AE369=0),"",AE369/AD369-1)</f>
        <v/>
      </c>
      <c r="AH369" s="43">
        <f>IF(OR(AD369="",W369="",W369=0),"",AD369/W369)</f>
        <v/>
      </c>
      <c r="AI369" s="43">
        <f>IF(OR(AE369="",X369="",X369=0),"",AE369/X369)</f>
        <v/>
      </c>
      <c r="AJ369" s="44">
        <f>IF(OR(AI369="",AH369=""),"",(AI369-AH369)*100)</f>
        <v/>
      </c>
      <c r="AK369" s="68" t="n">
        <v>5</v>
      </c>
      <c r="AL369" s="68" t="n">
        <v>11</v>
      </c>
      <c r="AM369" s="69">
        <f>IF(OR(AL369="",AK369="",AK369=0,AL369=0),"",AL369-AK369)</f>
        <v/>
      </c>
      <c r="AN369" s="42">
        <f>IF(OR(AL369="",AK369="",AK369=0,AL369=0),"",AL369/AK369-1)</f>
        <v/>
      </c>
      <c r="AO369" s="43">
        <f>IF(OR(AK369="",AD369="",AD369=0),"",AK369/AD369)</f>
        <v/>
      </c>
      <c r="AP369" s="43">
        <f>IF(OR(AL369="",AE369="",AE369=0),"",AL369/AE369)</f>
        <v/>
      </c>
      <c r="AQ369" s="44">
        <f>IF(OR(AP369="",AO369=""),"",(AP369-AO369)*100)</f>
        <v/>
      </c>
      <c r="AR369" s="68" t="n">
        <v>4</v>
      </c>
      <c r="AS369" s="68" t="n">
        <v>9</v>
      </c>
      <c r="AT369" s="69">
        <f>IF(OR(AS369="",AR369="",AR369=0,AS369=0),"",AS369-AR369)</f>
        <v/>
      </c>
      <c r="AU369" s="42">
        <f>IF(OR(AS369="",AR369="",AR369=0,AS369=0),"",AS369/AR369-1)</f>
        <v/>
      </c>
      <c r="AV369" s="43">
        <f>IF(OR(AR369="",AK369="",AK369=0),"",AR369/AK369)</f>
        <v/>
      </c>
      <c r="AW369" s="43">
        <f>IF(OR(AS369="",AL369="",AL369=0),"",AS369/AL369)</f>
        <v/>
      </c>
      <c r="AX369" s="44">
        <f>IF(OR(AW369="",AV369=""),"",(AW369-AV369)*100)</f>
        <v/>
      </c>
      <c r="AY369" s="45">
        <f>IF(OR(AR369="",P369="",P369=0),"",AR369/P369)</f>
        <v/>
      </c>
      <c r="AZ369" s="45">
        <f>IF(OR(AS369="",Q369="",Q369=0),"",AS369/Q369)</f>
        <v/>
      </c>
      <c r="BA369" s="44">
        <f>IF(OR(AZ369="",AY369=""),"",(AZ369-AY369)*100)</f>
        <v/>
      </c>
      <c r="BB369" s="45">
        <f>IF(OR(AR369="",E369="",E369=0),"",AR369/E369)</f>
        <v/>
      </c>
      <c r="BC369" s="45">
        <f>IF(OR(AS369="",F369="",F369=0),"",AS369/F369)</f>
        <v/>
      </c>
      <c r="BD369" s="44">
        <f>IF(OR(BC369="",BB369=""),"",(BC369-BB369)*100)</f>
        <v/>
      </c>
      <c r="BE369" s="40">
        <f>IF(AND(F369&lt;&gt;"",E369&lt;&gt;""),"Both years",IF(F369&lt;&gt;"","1-23Aug26 rows only","1-23Aug25 rows only"))</f>
        <v/>
      </c>
    </row>
    <row r="370">
      <c r="A370" s="40" t="inlineStr">
        <is>
          <t>Route page</t>
        </is>
      </c>
      <c r="B370" s="40" t="inlineStr">
        <is>
          <t>Organic</t>
        </is>
      </c>
      <c r="C370" s="40" t="inlineStr">
        <is>
          <t>Mobile</t>
        </is>
      </c>
      <c r="D370" s="40" t="inlineStr">
        <is>
          <t>Sweden</t>
        </is>
      </c>
      <c r="E370" s="68" t="n">
        <v>741</v>
      </c>
      <c r="F370" s="68" t="n">
        <v>796</v>
      </c>
      <c r="G370" s="69">
        <f>IF(OR(F370="",E370="",E370=0,F370=0),"",F370-E370)</f>
        <v/>
      </c>
      <c r="H370" s="42">
        <f>IF(OR(F370="",E370="",E370=0,F370=0),"",F370/E370-1)</f>
        <v/>
      </c>
      <c r="I370" s="68" t="n">
        <v>532</v>
      </c>
      <c r="J370" s="68" t="n">
        <v>543</v>
      </c>
      <c r="K370" s="69">
        <f>IF(OR(J370="",I370="",I370=0,J370=0),"",J370-I370)</f>
        <v/>
      </c>
      <c r="L370" s="42">
        <f>IF(OR(J370="",I370="",I370=0,J370=0),"",J370/I370-1)</f>
        <v/>
      </c>
      <c r="M370" s="43">
        <f>IF(OR(I370="",E370="",E370=0),"",I370/E370)</f>
        <v/>
      </c>
      <c r="N370" s="43">
        <f>IF(OR(J370="",F370="",F370=0),"",J370/F370)</f>
        <v/>
      </c>
      <c r="O370" s="44">
        <f>IF(OR(N370="",M370=""),"",(N370-M370)*100)</f>
        <v/>
      </c>
      <c r="P370" s="68" t="n">
        <v>452</v>
      </c>
      <c r="Q370" s="68" t="n">
        <v>514</v>
      </c>
      <c r="R370" s="69">
        <f>IF(OR(Q370="",P370="",P370=0,Q370=0),"",Q370-P370)</f>
        <v/>
      </c>
      <c r="S370" s="42">
        <f>IF(OR(Q370="",P370="",P370=0,Q370=0),"",Q370/P370-1)</f>
        <v/>
      </c>
      <c r="T370" s="43">
        <f>IF(OR(P370="",E370="",E370=0),"",P370/E370)</f>
        <v/>
      </c>
      <c r="U370" s="43">
        <f>IF(OR(Q370="",F370="",F370=0),"",Q370/F370)</f>
        <v/>
      </c>
      <c r="V370" s="44">
        <f>IF(OR(U370="",T370=""),"",(U370-T370)*100)</f>
        <v/>
      </c>
      <c r="W370" s="68" t="n">
        <v>70</v>
      </c>
      <c r="X370" s="68" t="n">
        <v>83</v>
      </c>
      <c r="Y370" s="69">
        <f>IF(OR(X370="",W370="",W370=0,X370=0),"",X370-W370)</f>
        <v/>
      </c>
      <c r="Z370" s="42">
        <f>IF(OR(X370="",W370="",W370=0,X370=0),"",X370/W370-1)</f>
        <v/>
      </c>
      <c r="AA370" s="43">
        <f>IF(OR(W370="",P370="",P370=0),"",W370/P370)</f>
        <v/>
      </c>
      <c r="AB370" s="43">
        <f>IF(OR(X370="",Q370="",Q370=0),"",X370/Q370)</f>
        <v/>
      </c>
      <c r="AC370" s="44">
        <f>IF(OR(AB370="",AA370=""),"",(AB370-AA370)*100)</f>
        <v/>
      </c>
      <c r="AD370" s="68" t="n">
        <v>46</v>
      </c>
      <c r="AE370" s="68" t="n">
        <v>52</v>
      </c>
      <c r="AF370" s="69">
        <f>IF(OR(AE370="",AD370="",AD370=0,AE370=0),"",AE370-AD370)</f>
        <v/>
      </c>
      <c r="AG370" s="42">
        <f>IF(OR(AE370="",AD370="",AD370=0,AE370=0),"",AE370/AD370-1)</f>
        <v/>
      </c>
      <c r="AH370" s="43">
        <f>IF(OR(AD370="",W370="",W370=0),"",AD370/W370)</f>
        <v/>
      </c>
      <c r="AI370" s="43">
        <f>IF(OR(AE370="",X370="",X370=0),"",AE370/X370)</f>
        <v/>
      </c>
      <c r="AJ370" s="44">
        <f>IF(OR(AI370="",AH370=""),"",(AI370-AH370)*100)</f>
        <v/>
      </c>
      <c r="AK370" s="68" t="n">
        <v>8</v>
      </c>
      <c r="AL370" s="68" t="n">
        <v>4</v>
      </c>
      <c r="AM370" s="69">
        <f>IF(OR(AL370="",AK370="",AK370=0,AL370=0),"",AL370-AK370)</f>
        <v/>
      </c>
      <c r="AN370" s="42">
        <f>IF(OR(AL370="",AK370="",AK370=0,AL370=0),"",AL370/AK370-1)</f>
        <v/>
      </c>
      <c r="AO370" s="43">
        <f>IF(OR(AK370="",AD370="",AD370=0),"",AK370/AD370)</f>
        <v/>
      </c>
      <c r="AP370" s="43">
        <f>IF(OR(AL370="",AE370="",AE370=0),"",AL370/AE370)</f>
        <v/>
      </c>
      <c r="AQ370" s="44">
        <f>IF(OR(AP370="",AO370=""),"",(AP370-AO370)*100)</f>
        <v/>
      </c>
      <c r="AR370" s="68" t="n">
        <v>6</v>
      </c>
      <c r="AS370" s="68" t="n">
        <v>4</v>
      </c>
      <c r="AT370" s="69">
        <f>IF(OR(AS370="",AR370="",AR370=0,AS370=0),"",AS370-AR370)</f>
        <v/>
      </c>
      <c r="AU370" s="42">
        <f>IF(OR(AS370="",AR370="",AR370=0,AS370=0),"",AS370/AR370-1)</f>
        <v/>
      </c>
      <c r="AV370" s="43">
        <f>IF(OR(AR370="",AK370="",AK370=0),"",AR370/AK370)</f>
        <v/>
      </c>
      <c r="AW370" s="43">
        <f>IF(OR(AS370="",AL370="",AL370=0),"",AS370/AL370)</f>
        <v/>
      </c>
      <c r="AX370" s="44">
        <f>IF(OR(AW370="",AV370=""),"",(AW370-AV370)*100)</f>
        <v/>
      </c>
      <c r="AY370" s="45">
        <f>IF(OR(AR370="",P370="",P370=0),"",AR370/P370)</f>
        <v/>
      </c>
      <c r="AZ370" s="45">
        <f>IF(OR(AS370="",Q370="",Q370=0),"",AS370/Q370)</f>
        <v/>
      </c>
      <c r="BA370" s="44">
        <f>IF(OR(AZ370="",AY370=""),"",(AZ370-AY370)*100)</f>
        <v/>
      </c>
      <c r="BB370" s="45">
        <f>IF(OR(AR370="",E370="",E370=0),"",AR370/E370)</f>
        <v/>
      </c>
      <c r="BC370" s="45">
        <f>IF(OR(AS370="",F370="",F370=0),"",AS370/F370)</f>
        <v/>
      </c>
      <c r="BD370" s="44">
        <f>IF(OR(BC370="",BB370=""),"",(BC370-BB370)*100)</f>
        <v/>
      </c>
      <c r="BE370" s="40">
        <f>IF(AND(F370&lt;&gt;"",E370&lt;&gt;""),"Both years",IF(F370&lt;&gt;"","1-23Aug26 rows only","1-23Aug25 rows only"))</f>
        <v/>
      </c>
    </row>
    <row r="371">
      <c r="A371" s="56" t="inlineStr">
        <is>
          <t>Route page</t>
        </is>
      </c>
      <c r="B371" s="56" t="inlineStr">
        <is>
          <t>Organic</t>
        </is>
      </c>
      <c r="C371" s="56" t="inlineStr">
        <is>
          <t>Mobile</t>
        </is>
      </c>
      <c r="D371" s="56" t="inlineStr">
        <is>
          <t>Türkiye</t>
        </is>
      </c>
      <c r="E371" s="68" t="n">
        <v>427</v>
      </c>
      <c r="F371" s="68" t="n">
        <v>468</v>
      </c>
      <c r="G371" s="69">
        <f>IF(OR(F371="",E371="",E371=0,F371=0),"",F371-E371)</f>
        <v/>
      </c>
      <c r="H371" s="42">
        <f>IF(OR(F371="",E371="",E371=0,F371=0),"",F371/E371-1)</f>
        <v/>
      </c>
      <c r="I371" s="70" t="n"/>
      <c r="J371" s="70" t="n"/>
      <c r="K371" s="69">
        <f>IF(OR(J371="",I371="",I371=0,J371=0),"",J371-I371)</f>
        <v/>
      </c>
      <c r="L371" s="42">
        <f>IF(OR(J371="",I371="",I371=0,J371=0),"",J371/I371-1)</f>
        <v/>
      </c>
      <c r="M371" s="43">
        <f>IF(OR(I371="",E371="",E371=0),"",I371/E371)</f>
        <v/>
      </c>
      <c r="N371" s="43">
        <f>IF(OR(J371="",F371="",F371=0),"",J371/F371)</f>
        <v/>
      </c>
      <c r="O371" s="44">
        <f>IF(OR(N371="",M371=""),"",(N371-M371)*100)</f>
        <v/>
      </c>
      <c r="P371" s="70" t="n"/>
      <c r="Q371" s="68" t="n">
        <v>279</v>
      </c>
      <c r="R371" s="69">
        <f>IF(OR(Q371="",P371="",P371=0,Q371=0),"",Q371-P371)</f>
        <v/>
      </c>
      <c r="S371" s="42">
        <f>IF(OR(Q371="",P371="",P371=0,Q371=0),"",Q371/P371-1)</f>
        <v/>
      </c>
      <c r="T371" s="43">
        <f>IF(OR(P371="",E371="",E371=0),"",P371/E371)</f>
        <v/>
      </c>
      <c r="U371" s="43">
        <f>IF(OR(Q371="",F371="",F371=0),"",Q371/F371)</f>
        <v/>
      </c>
      <c r="V371" s="44">
        <f>IF(OR(U371="",T371=""),"",(U371-T371)*100)</f>
        <v/>
      </c>
      <c r="W371" s="70" t="n"/>
      <c r="X371" s="70" t="n"/>
      <c r="Y371" s="69">
        <f>IF(OR(X371="",W371="",W371=0,X371=0),"",X371-W371)</f>
        <v/>
      </c>
      <c r="Z371" s="42">
        <f>IF(OR(X371="",W371="",W371=0,X371=0),"",X371/W371-1)</f>
        <v/>
      </c>
      <c r="AA371" s="43">
        <f>IF(OR(W371="",P371="",P371=0),"",W371/P371)</f>
        <v/>
      </c>
      <c r="AB371" s="43">
        <f>IF(OR(X371="",Q371="",Q371=0),"",X371/Q371)</f>
        <v/>
      </c>
      <c r="AC371" s="44">
        <f>IF(OR(AB371="",AA371=""),"",(AB371-AA371)*100)</f>
        <v/>
      </c>
      <c r="AD371" s="70" t="n"/>
      <c r="AE371" s="70" t="n"/>
      <c r="AF371" s="69">
        <f>IF(OR(AE371="",AD371="",AD371=0,AE371=0),"",AE371-AD371)</f>
        <v/>
      </c>
      <c r="AG371" s="42">
        <f>IF(OR(AE371="",AD371="",AD371=0,AE371=0),"",AE371/AD371-1)</f>
        <v/>
      </c>
      <c r="AH371" s="43">
        <f>IF(OR(AD371="",W371="",W371=0),"",AD371/W371)</f>
        <v/>
      </c>
      <c r="AI371" s="43">
        <f>IF(OR(AE371="",X371="",X371=0),"",AE371/X371)</f>
        <v/>
      </c>
      <c r="AJ371" s="44">
        <f>IF(OR(AI371="",AH371=""),"",(AI371-AH371)*100)</f>
        <v/>
      </c>
      <c r="AK371" s="70" t="n"/>
      <c r="AL371" s="70" t="n"/>
      <c r="AM371" s="69">
        <f>IF(OR(AL371="",AK371="",AK371=0,AL371=0),"",AL371-AK371)</f>
        <v/>
      </c>
      <c r="AN371" s="42">
        <f>IF(OR(AL371="",AK371="",AK371=0,AL371=0),"",AL371/AK371-1)</f>
        <v/>
      </c>
      <c r="AO371" s="43">
        <f>IF(OR(AK371="",AD371="",AD371=0),"",AK371/AD371)</f>
        <v/>
      </c>
      <c r="AP371" s="43">
        <f>IF(OR(AL371="",AE371="",AE371=0),"",AL371/AE371)</f>
        <v/>
      </c>
      <c r="AQ371" s="44">
        <f>IF(OR(AP371="",AO371=""),"",(AP371-AO371)*100)</f>
        <v/>
      </c>
      <c r="AR371" s="70" t="n"/>
      <c r="AS371" s="70" t="n"/>
      <c r="AT371" s="69">
        <f>IF(OR(AS371="",AR371="",AR371=0,AS371=0),"",AS371-AR371)</f>
        <v/>
      </c>
      <c r="AU371" s="42">
        <f>IF(OR(AS371="",AR371="",AR371=0,AS371=0),"",AS371/AR371-1)</f>
        <v/>
      </c>
      <c r="AV371" s="43">
        <f>IF(OR(AR371="",AK371="",AK371=0),"",AR371/AK371)</f>
        <v/>
      </c>
      <c r="AW371" s="43">
        <f>IF(OR(AS371="",AL371="",AL371=0),"",AS371/AL371)</f>
        <v/>
      </c>
      <c r="AX371" s="44">
        <f>IF(OR(AW371="",AV371=""),"",(AW371-AV371)*100)</f>
        <v/>
      </c>
      <c r="AY371" s="45">
        <f>IF(OR(AR371="",P371="",P371=0),"",AR371/P371)</f>
        <v/>
      </c>
      <c r="AZ371" s="45">
        <f>IF(OR(AS371="",Q371="",Q371=0),"",AS371/Q371)</f>
        <v/>
      </c>
      <c r="BA371" s="44">
        <f>IF(OR(AZ371="",AY371=""),"",(AZ371-AY371)*100)</f>
        <v/>
      </c>
      <c r="BB371" s="45">
        <f>IF(OR(AR371="",E371="",E371=0),"",AR371/E371)</f>
        <v/>
      </c>
      <c r="BC371" s="45">
        <f>IF(OR(AS371="",F371="",F371=0),"",AS371/F371)</f>
        <v/>
      </c>
      <c r="BD371" s="44">
        <f>IF(OR(BC371="",BB371=""),"",(BC371-BB371)*100)</f>
        <v/>
      </c>
      <c r="BE371" s="40">
        <f>IF(AND(F371&lt;&gt;"",E371&lt;&gt;""),"Both years",IF(F371&lt;&gt;"","1-23Aug26 rows only","1-23Aug25 rows only"))</f>
        <v/>
      </c>
    </row>
    <row r="372">
      <c r="A372" s="40" t="inlineStr">
        <is>
          <t>Route page</t>
        </is>
      </c>
      <c r="B372" s="40" t="inlineStr">
        <is>
          <t>Organic</t>
        </is>
      </c>
      <c r="C372" s="40" t="inlineStr">
        <is>
          <t>Mobile</t>
        </is>
      </c>
      <c r="D372" s="40" t="inlineStr">
        <is>
          <t>Australia</t>
        </is>
      </c>
      <c r="E372" s="68" t="n">
        <v>598</v>
      </c>
      <c r="F372" s="68" t="n">
        <v>451</v>
      </c>
      <c r="G372" s="69">
        <f>IF(OR(F372="",E372="",E372=0,F372=0),"",F372-E372)</f>
        <v/>
      </c>
      <c r="H372" s="42">
        <f>IF(OR(F372="",E372="",E372=0,F372=0),"",F372/E372-1)</f>
        <v/>
      </c>
      <c r="I372" s="70" t="n"/>
      <c r="J372" s="70" t="n"/>
      <c r="K372" s="69">
        <f>IF(OR(J372="",I372="",I372=0,J372=0),"",J372-I372)</f>
        <v/>
      </c>
      <c r="L372" s="42">
        <f>IF(OR(J372="",I372="",I372=0,J372=0),"",J372/I372-1)</f>
        <v/>
      </c>
      <c r="M372" s="43">
        <f>IF(OR(I372="",E372="",E372=0),"",I372/E372)</f>
        <v/>
      </c>
      <c r="N372" s="43">
        <f>IF(OR(J372="",F372="",F372=0),"",J372/F372)</f>
        <v/>
      </c>
      <c r="O372" s="44">
        <f>IF(OR(N372="",M372=""),"",(N372-M372)*100)</f>
        <v/>
      </c>
      <c r="P372" s="68" t="n">
        <v>275</v>
      </c>
      <c r="Q372" s="70" t="n"/>
      <c r="R372" s="69">
        <f>IF(OR(Q372="",P372="",P372=0,Q372=0),"",Q372-P372)</f>
        <v/>
      </c>
      <c r="S372" s="42">
        <f>IF(OR(Q372="",P372="",P372=0,Q372=0),"",Q372/P372-1)</f>
        <v/>
      </c>
      <c r="T372" s="43">
        <f>IF(OR(P372="",E372="",E372=0),"",P372/E372)</f>
        <v/>
      </c>
      <c r="U372" s="43">
        <f>IF(OR(Q372="",F372="",F372=0),"",Q372/F372)</f>
        <v/>
      </c>
      <c r="V372" s="44">
        <f>IF(OR(U372="",T372=""),"",(U372-T372)*100)</f>
        <v/>
      </c>
      <c r="W372" s="70" t="n"/>
      <c r="X372" s="70" t="n"/>
      <c r="Y372" s="69">
        <f>IF(OR(X372="",W372="",W372=0,X372=0),"",X372-W372)</f>
        <v/>
      </c>
      <c r="Z372" s="42">
        <f>IF(OR(X372="",W372="",W372=0,X372=0),"",X372/W372-1)</f>
        <v/>
      </c>
      <c r="AA372" s="43">
        <f>IF(OR(W372="",P372="",P372=0),"",W372/P372)</f>
        <v/>
      </c>
      <c r="AB372" s="43">
        <f>IF(OR(X372="",Q372="",Q372=0),"",X372/Q372)</f>
        <v/>
      </c>
      <c r="AC372" s="44">
        <f>IF(OR(AB372="",AA372=""),"",(AB372-AA372)*100)</f>
        <v/>
      </c>
      <c r="AD372" s="70" t="n"/>
      <c r="AE372" s="70" t="n"/>
      <c r="AF372" s="69">
        <f>IF(OR(AE372="",AD372="",AD372=0,AE372=0),"",AE372-AD372)</f>
        <v/>
      </c>
      <c r="AG372" s="42">
        <f>IF(OR(AE372="",AD372="",AD372=0,AE372=0),"",AE372/AD372-1)</f>
        <v/>
      </c>
      <c r="AH372" s="43">
        <f>IF(OR(AD372="",W372="",W372=0),"",AD372/W372)</f>
        <v/>
      </c>
      <c r="AI372" s="43">
        <f>IF(OR(AE372="",X372="",X372=0),"",AE372/X372)</f>
        <v/>
      </c>
      <c r="AJ372" s="44">
        <f>IF(OR(AI372="",AH372=""),"",(AI372-AH372)*100)</f>
        <v/>
      </c>
      <c r="AK372" s="70" t="n"/>
      <c r="AL372" s="70" t="n"/>
      <c r="AM372" s="69">
        <f>IF(OR(AL372="",AK372="",AK372=0,AL372=0),"",AL372-AK372)</f>
        <v/>
      </c>
      <c r="AN372" s="42">
        <f>IF(OR(AL372="",AK372="",AK372=0,AL372=0),"",AL372/AK372-1)</f>
        <v/>
      </c>
      <c r="AO372" s="43">
        <f>IF(OR(AK372="",AD372="",AD372=0),"",AK372/AD372)</f>
        <v/>
      </c>
      <c r="AP372" s="43">
        <f>IF(OR(AL372="",AE372="",AE372=0),"",AL372/AE372)</f>
        <v/>
      </c>
      <c r="AQ372" s="44">
        <f>IF(OR(AP372="",AO372=""),"",(AP372-AO372)*100)</f>
        <v/>
      </c>
      <c r="AR372" s="70" t="n"/>
      <c r="AS372" s="70" t="n"/>
      <c r="AT372" s="69">
        <f>IF(OR(AS372="",AR372="",AR372=0,AS372=0),"",AS372-AR372)</f>
        <v/>
      </c>
      <c r="AU372" s="42">
        <f>IF(OR(AS372="",AR372="",AR372=0,AS372=0),"",AS372/AR372-1)</f>
        <v/>
      </c>
      <c r="AV372" s="43">
        <f>IF(OR(AR372="",AK372="",AK372=0),"",AR372/AK372)</f>
        <v/>
      </c>
      <c r="AW372" s="43">
        <f>IF(OR(AS372="",AL372="",AL372=0),"",AS372/AL372)</f>
        <v/>
      </c>
      <c r="AX372" s="44">
        <f>IF(OR(AW372="",AV372=""),"",(AW372-AV372)*100)</f>
        <v/>
      </c>
      <c r="AY372" s="45">
        <f>IF(OR(AR372="",P372="",P372=0),"",AR372/P372)</f>
        <v/>
      </c>
      <c r="AZ372" s="45">
        <f>IF(OR(AS372="",Q372="",Q372=0),"",AS372/Q372)</f>
        <v/>
      </c>
      <c r="BA372" s="44">
        <f>IF(OR(AZ372="",AY372=""),"",(AZ372-AY372)*100)</f>
        <v/>
      </c>
      <c r="BB372" s="45">
        <f>IF(OR(AR372="",E372="",E372=0),"",AR372/E372)</f>
        <v/>
      </c>
      <c r="BC372" s="45">
        <f>IF(OR(AS372="",F372="",F372=0),"",AS372/F372)</f>
        <v/>
      </c>
      <c r="BD372" s="44">
        <f>IF(OR(BC372="",BB372=""),"",(BC372-BB372)*100)</f>
        <v/>
      </c>
      <c r="BE372" s="40">
        <f>IF(AND(F372&lt;&gt;"",E372&lt;&gt;""),"Both years",IF(F372&lt;&gt;"","1-23Aug26 rows only","1-23Aug25 rows only"))</f>
        <v/>
      </c>
    </row>
    <row r="373">
      <c r="A373" s="56" t="inlineStr">
        <is>
          <t>Route page</t>
        </is>
      </c>
      <c r="B373" s="56" t="inlineStr">
        <is>
          <t>Organic</t>
        </is>
      </c>
      <c r="C373" s="56" t="inlineStr">
        <is>
          <t>Mobile</t>
        </is>
      </c>
      <c r="D373" s="56" t="inlineStr">
        <is>
          <t>Austria</t>
        </is>
      </c>
      <c r="E373" s="70" t="n"/>
      <c r="F373" s="68" t="n">
        <v>407</v>
      </c>
      <c r="G373" s="69">
        <f>IF(OR(F373="",E373="",E373=0,F373=0),"",F373-E373)</f>
        <v/>
      </c>
      <c r="H373" s="42">
        <f>IF(OR(F373="",E373="",E373=0,F373=0),"",F373/E373-1)</f>
        <v/>
      </c>
      <c r="I373" s="70" t="n"/>
      <c r="J373" s="70" t="n"/>
      <c r="K373" s="69">
        <f>IF(OR(J373="",I373="",I373=0,J373=0),"",J373-I373)</f>
        <v/>
      </c>
      <c r="L373" s="42">
        <f>IF(OR(J373="",I373="",I373=0,J373=0),"",J373/I373-1)</f>
        <v/>
      </c>
      <c r="M373" s="43">
        <f>IF(OR(I373="",E373="",E373=0),"",I373/E373)</f>
        <v/>
      </c>
      <c r="N373" s="43">
        <f>IF(OR(J373="",F373="",F373=0),"",J373/F373)</f>
        <v/>
      </c>
      <c r="O373" s="44">
        <f>IF(OR(N373="",M373=""),"",(N373-M373)*100)</f>
        <v/>
      </c>
      <c r="P373" s="70" t="n"/>
      <c r="Q373" s="70" t="n"/>
      <c r="R373" s="69">
        <f>IF(OR(Q373="",P373="",P373=0,Q373=0),"",Q373-P373)</f>
        <v/>
      </c>
      <c r="S373" s="42">
        <f>IF(OR(Q373="",P373="",P373=0,Q373=0),"",Q373/P373-1)</f>
        <v/>
      </c>
      <c r="T373" s="43">
        <f>IF(OR(P373="",E373="",E373=0),"",P373/E373)</f>
        <v/>
      </c>
      <c r="U373" s="43">
        <f>IF(OR(Q373="",F373="",F373=0),"",Q373/F373)</f>
        <v/>
      </c>
      <c r="V373" s="44">
        <f>IF(OR(U373="",T373=""),"",(U373-T373)*100)</f>
        <v/>
      </c>
      <c r="W373" s="70" t="n"/>
      <c r="X373" s="70" t="n"/>
      <c r="Y373" s="69">
        <f>IF(OR(X373="",W373="",W373=0,X373=0),"",X373-W373)</f>
        <v/>
      </c>
      <c r="Z373" s="42">
        <f>IF(OR(X373="",W373="",W373=0,X373=0),"",X373/W373-1)</f>
        <v/>
      </c>
      <c r="AA373" s="43">
        <f>IF(OR(W373="",P373="",P373=0),"",W373/P373)</f>
        <v/>
      </c>
      <c r="AB373" s="43">
        <f>IF(OR(X373="",Q373="",Q373=0),"",X373/Q373)</f>
        <v/>
      </c>
      <c r="AC373" s="44">
        <f>IF(OR(AB373="",AA373=""),"",(AB373-AA373)*100)</f>
        <v/>
      </c>
      <c r="AD373" s="70" t="n"/>
      <c r="AE373" s="70" t="n"/>
      <c r="AF373" s="69">
        <f>IF(OR(AE373="",AD373="",AD373=0,AE373=0),"",AE373-AD373)</f>
        <v/>
      </c>
      <c r="AG373" s="42">
        <f>IF(OR(AE373="",AD373="",AD373=0,AE373=0),"",AE373/AD373-1)</f>
        <v/>
      </c>
      <c r="AH373" s="43">
        <f>IF(OR(AD373="",W373="",W373=0),"",AD373/W373)</f>
        <v/>
      </c>
      <c r="AI373" s="43">
        <f>IF(OR(AE373="",X373="",X373=0),"",AE373/X373)</f>
        <v/>
      </c>
      <c r="AJ373" s="44">
        <f>IF(OR(AI373="",AH373=""),"",(AI373-AH373)*100)</f>
        <v/>
      </c>
      <c r="AK373" s="70" t="n"/>
      <c r="AL373" s="70" t="n"/>
      <c r="AM373" s="69">
        <f>IF(OR(AL373="",AK373="",AK373=0,AL373=0),"",AL373-AK373)</f>
        <v/>
      </c>
      <c r="AN373" s="42">
        <f>IF(OR(AL373="",AK373="",AK373=0,AL373=0),"",AL373/AK373-1)</f>
        <v/>
      </c>
      <c r="AO373" s="43">
        <f>IF(OR(AK373="",AD373="",AD373=0),"",AK373/AD373)</f>
        <v/>
      </c>
      <c r="AP373" s="43">
        <f>IF(OR(AL373="",AE373="",AE373=0),"",AL373/AE373)</f>
        <v/>
      </c>
      <c r="AQ373" s="44">
        <f>IF(OR(AP373="",AO373=""),"",(AP373-AO373)*100)</f>
        <v/>
      </c>
      <c r="AR373" s="70" t="n"/>
      <c r="AS373" s="70" t="n"/>
      <c r="AT373" s="69">
        <f>IF(OR(AS373="",AR373="",AR373=0,AS373=0),"",AS373-AR373)</f>
        <v/>
      </c>
      <c r="AU373" s="42">
        <f>IF(OR(AS373="",AR373="",AR373=0,AS373=0),"",AS373/AR373-1)</f>
        <v/>
      </c>
      <c r="AV373" s="43">
        <f>IF(OR(AR373="",AK373="",AK373=0),"",AR373/AK373)</f>
        <v/>
      </c>
      <c r="AW373" s="43">
        <f>IF(OR(AS373="",AL373="",AL373=0),"",AS373/AL373)</f>
        <v/>
      </c>
      <c r="AX373" s="44">
        <f>IF(OR(AW373="",AV373=""),"",(AW373-AV373)*100)</f>
        <v/>
      </c>
      <c r="AY373" s="45">
        <f>IF(OR(AR373="",P373="",P373=0),"",AR373/P373)</f>
        <v/>
      </c>
      <c r="AZ373" s="45">
        <f>IF(OR(AS373="",Q373="",Q373=0),"",AS373/Q373)</f>
        <v/>
      </c>
      <c r="BA373" s="44">
        <f>IF(OR(AZ373="",AY373=""),"",(AZ373-AY373)*100)</f>
        <v/>
      </c>
      <c r="BB373" s="45">
        <f>IF(OR(AR373="",E373="",E373=0),"",AR373/E373)</f>
        <v/>
      </c>
      <c r="BC373" s="45">
        <f>IF(OR(AS373="",F373="",F373=0),"",AS373/F373)</f>
        <v/>
      </c>
      <c r="BD373" s="44">
        <f>IF(OR(BC373="",BB373=""),"",(BC373-BB373)*100)</f>
        <v/>
      </c>
      <c r="BE373" s="40">
        <f>IF(AND(F373&lt;&gt;"",E373&lt;&gt;""),"Both years",IF(F373&lt;&gt;"","1-23Aug26 rows only","1-23Aug25 rows only"))</f>
        <v/>
      </c>
    </row>
    <row r="374">
      <c r="A374" s="40" t="inlineStr">
        <is>
          <t>Route page</t>
        </is>
      </c>
      <c r="B374" s="40" t="inlineStr">
        <is>
          <t>Organic</t>
        </is>
      </c>
      <c r="C374" s="40" t="inlineStr">
        <is>
          <t>Mobile</t>
        </is>
      </c>
      <c r="D374" s="40" t="inlineStr">
        <is>
          <t>Finland</t>
        </is>
      </c>
      <c r="E374" s="68" t="n">
        <v>410</v>
      </c>
      <c r="F374" s="70" t="n"/>
      <c r="G374" s="69">
        <f>IF(OR(F374="",E374="",E374=0,F374=0),"",F374-E374)</f>
        <v/>
      </c>
      <c r="H374" s="42">
        <f>IF(OR(F374="",E374="",E374=0,F374=0),"",F374/E374-1)</f>
        <v/>
      </c>
      <c r="I374" s="68" t="n">
        <v>285</v>
      </c>
      <c r="J374" s="68" t="n">
        <v>214</v>
      </c>
      <c r="K374" s="69">
        <f>IF(OR(J374="",I374="",I374=0,J374=0),"",J374-I374)</f>
        <v/>
      </c>
      <c r="L374" s="42">
        <f>IF(OR(J374="",I374="",I374=0,J374=0),"",J374/I374-1)</f>
        <v/>
      </c>
      <c r="M374" s="43">
        <f>IF(OR(I374="",E374="",E374=0),"",I374/E374)</f>
        <v/>
      </c>
      <c r="N374" s="43">
        <f>IF(OR(J374="",F374="",F374=0),"",J374/F374)</f>
        <v/>
      </c>
      <c r="O374" s="44">
        <f>IF(OR(N374="",M374=""),"",(N374-M374)*100)</f>
        <v/>
      </c>
      <c r="P374" s="68" t="n">
        <v>255</v>
      </c>
      <c r="Q374" s="70" t="n"/>
      <c r="R374" s="69">
        <f>IF(OR(Q374="",P374="",P374=0,Q374=0),"",Q374-P374)</f>
        <v/>
      </c>
      <c r="S374" s="42">
        <f>IF(OR(Q374="",P374="",P374=0,Q374=0),"",Q374/P374-1)</f>
        <v/>
      </c>
      <c r="T374" s="43">
        <f>IF(OR(P374="",E374="",E374=0),"",P374/E374)</f>
        <v/>
      </c>
      <c r="U374" s="43">
        <f>IF(OR(Q374="",F374="",F374=0),"",Q374/F374)</f>
        <v/>
      </c>
      <c r="V374" s="44">
        <f>IF(OR(U374="",T374=""),"",(U374-T374)*100)</f>
        <v/>
      </c>
      <c r="W374" s="68" t="n">
        <v>48</v>
      </c>
      <c r="X374" s="68" t="n">
        <v>41</v>
      </c>
      <c r="Y374" s="69">
        <f>IF(OR(X374="",W374="",W374=0,X374=0),"",X374-W374)</f>
        <v/>
      </c>
      <c r="Z374" s="42">
        <f>IF(OR(X374="",W374="",W374=0,X374=0),"",X374/W374-1)</f>
        <v/>
      </c>
      <c r="AA374" s="43">
        <f>IF(OR(W374="",P374="",P374=0),"",W374/P374)</f>
        <v/>
      </c>
      <c r="AB374" s="43">
        <f>IF(OR(X374="",Q374="",Q374=0),"",X374/Q374)</f>
        <v/>
      </c>
      <c r="AC374" s="44">
        <f>IF(OR(AB374="",AA374=""),"",(AB374-AA374)*100)</f>
        <v/>
      </c>
      <c r="AD374" s="68" t="n">
        <v>38</v>
      </c>
      <c r="AE374" s="68" t="n">
        <v>28</v>
      </c>
      <c r="AF374" s="69">
        <f>IF(OR(AE374="",AD374="",AD374=0,AE374=0),"",AE374-AD374)</f>
        <v/>
      </c>
      <c r="AG374" s="42">
        <f>IF(OR(AE374="",AD374="",AD374=0,AE374=0),"",AE374/AD374-1)</f>
        <v/>
      </c>
      <c r="AH374" s="43">
        <f>IF(OR(AD374="",W374="",W374=0),"",AD374/W374)</f>
        <v/>
      </c>
      <c r="AI374" s="43">
        <f>IF(OR(AE374="",X374="",X374=0),"",AE374/X374)</f>
        <v/>
      </c>
      <c r="AJ374" s="44">
        <f>IF(OR(AI374="",AH374=""),"",(AI374-AH374)*100)</f>
        <v/>
      </c>
      <c r="AK374" s="68" t="n">
        <v>3</v>
      </c>
      <c r="AL374" s="68" t="n">
        <v>9</v>
      </c>
      <c r="AM374" s="69">
        <f>IF(OR(AL374="",AK374="",AK374=0,AL374=0),"",AL374-AK374)</f>
        <v/>
      </c>
      <c r="AN374" s="42">
        <f>IF(OR(AL374="",AK374="",AK374=0,AL374=0),"",AL374/AK374-1)</f>
        <v/>
      </c>
      <c r="AO374" s="43">
        <f>IF(OR(AK374="",AD374="",AD374=0),"",AK374/AD374)</f>
        <v/>
      </c>
      <c r="AP374" s="43">
        <f>IF(OR(AL374="",AE374="",AE374=0),"",AL374/AE374)</f>
        <v/>
      </c>
      <c r="AQ374" s="44">
        <f>IF(OR(AP374="",AO374=""),"",(AP374-AO374)*100)</f>
        <v/>
      </c>
      <c r="AR374" s="68" t="n">
        <v>2</v>
      </c>
      <c r="AS374" s="68" t="n">
        <v>7</v>
      </c>
      <c r="AT374" s="69">
        <f>IF(OR(AS374="",AR374="",AR374=0,AS374=0),"",AS374-AR374)</f>
        <v/>
      </c>
      <c r="AU374" s="42">
        <f>IF(OR(AS374="",AR374="",AR374=0,AS374=0),"",AS374/AR374-1)</f>
        <v/>
      </c>
      <c r="AV374" s="43">
        <f>IF(OR(AR374="",AK374="",AK374=0),"",AR374/AK374)</f>
        <v/>
      </c>
      <c r="AW374" s="43">
        <f>IF(OR(AS374="",AL374="",AL374=0),"",AS374/AL374)</f>
        <v/>
      </c>
      <c r="AX374" s="44">
        <f>IF(OR(AW374="",AV374=""),"",(AW374-AV374)*100)</f>
        <v/>
      </c>
      <c r="AY374" s="45">
        <f>IF(OR(AR374="",P374="",P374=0),"",AR374/P374)</f>
        <v/>
      </c>
      <c r="AZ374" s="45">
        <f>IF(OR(AS374="",Q374="",Q374=0),"",AS374/Q374)</f>
        <v/>
      </c>
      <c r="BA374" s="44">
        <f>IF(OR(AZ374="",AY374=""),"",(AZ374-AY374)*100)</f>
        <v/>
      </c>
      <c r="BB374" s="45">
        <f>IF(OR(AR374="",E374="",E374=0),"",AR374/E374)</f>
        <v/>
      </c>
      <c r="BC374" s="45">
        <f>IF(OR(AS374="",F374="",F374=0),"",AS374/F374)</f>
        <v/>
      </c>
      <c r="BD374" s="44">
        <f>IF(OR(BC374="",BB374=""),"",(BC374-BB374)*100)</f>
        <v/>
      </c>
      <c r="BE374" s="40">
        <f>IF(AND(F374&lt;&gt;"",E374&lt;&gt;""),"Both years",IF(F374&lt;&gt;"","1-23Aug26 rows only","1-23Aug25 rows only"))</f>
        <v/>
      </c>
    </row>
    <row r="375">
      <c r="A375" s="56" t="inlineStr">
        <is>
          <t>Route page</t>
        </is>
      </c>
      <c r="B375" s="56" t="inlineStr">
        <is>
          <t>Organic</t>
        </is>
      </c>
      <c r="C375" s="56" t="inlineStr">
        <is>
          <t>Mobile</t>
        </is>
      </c>
      <c r="D375" s="56" t="inlineStr">
        <is>
          <t>Norway</t>
        </is>
      </c>
      <c r="E375" s="70" t="n"/>
      <c r="F375" s="70" t="n"/>
      <c r="G375" s="69">
        <f>IF(OR(F375="",E375="",E375=0,F375=0),"",F375-E375)</f>
        <v/>
      </c>
      <c r="H375" s="42">
        <f>IF(OR(F375="",E375="",E375=0,F375=0),"",F375/E375-1)</f>
        <v/>
      </c>
      <c r="I375" s="68" t="n">
        <v>198</v>
      </c>
      <c r="J375" s="68" t="n">
        <v>222</v>
      </c>
      <c r="K375" s="69">
        <f>IF(OR(J375="",I375="",I375=0,J375=0),"",J375-I375)</f>
        <v/>
      </c>
      <c r="L375" s="42">
        <f>IF(OR(J375="",I375="",I375=0,J375=0),"",J375/I375-1)</f>
        <v/>
      </c>
      <c r="M375" s="43">
        <f>IF(OR(I375="",E375="",E375=0),"",I375/E375)</f>
        <v/>
      </c>
      <c r="N375" s="43">
        <f>IF(OR(J375="",F375="",F375=0),"",J375/F375)</f>
        <v/>
      </c>
      <c r="O375" s="44">
        <f>IF(OR(N375="",M375=""),"",(N375-M375)*100)</f>
        <v/>
      </c>
      <c r="P375" s="70" t="n"/>
      <c r="Q375" s="70" t="n"/>
      <c r="R375" s="69">
        <f>IF(OR(Q375="",P375="",P375=0,Q375=0),"",Q375-P375)</f>
        <v/>
      </c>
      <c r="S375" s="42">
        <f>IF(OR(Q375="",P375="",P375=0,Q375=0),"",Q375/P375-1)</f>
        <v/>
      </c>
      <c r="T375" s="43">
        <f>IF(OR(P375="",E375="",E375=0),"",P375/E375)</f>
        <v/>
      </c>
      <c r="U375" s="43">
        <f>IF(OR(Q375="",F375="",F375=0),"",Q375/F375)</f>
        <v/>
      </c>
      <c r="V375" s="44">
        <f>IF(OR(U375="",T375=""),"",(U375-T375)*100)</f>
        <v/>
      </c>
      <c r="W375" s="68" t="n">
        <v>42</v>
      </c>
      <c r="X375" s="68" t="n">
        <v>36</v>
      </c>
      <c r="Y375" s="69">
        <f>IF(OR(X375="",W375="",W375=0,X375=0),"",X375-W375)</f>
        <v/>
      </c>
      <c r="Z375" s="42">
        <f>IF(OR(X375="",W375="",W375=0,X375=0),"",X375/W375-1)</f>
        <v/>
      </c>
      <c r="AA375" s="43">
        <f>IF(OR(W375="",P375="",P375=0),"",W375/P375)</f>
        <v/>
      </c>
      <c r="AB375" s="43">
        <f>IF(OR(X375="",Q375="",Q375=0),"",X375/Q375)</f>
        <v/>
      </c>
      <c r="AC375" s="44">
        <f>IF(OR(AB375="",AA375=""),"",(AB375-AA375)*100)</f>
        <v/>
      </c>
      <c r="AD375" s="68" t="n">
        <v>27</v>
      </c>
      <c r="AE375" s="68" t="n">
        <v>26</v>
      </c>
      <c r="AF375" s="69">
        <f>IF(OR(AE375="",AD375="",AD375=0,AE375=0),"",AE375-AD375)</f>
        <v/>
      </c>
      <c r="AG375" s="42">
        <f>IF(OR(AE375="",AD375="",AD375=0,AE375=0),"",AE375/AD375-1)</f>
        <v/>
      </c>
      <c r="AH375" s="43">
        <f>IF(OR(AD375="",W375="",W375=0),"",AD375/W375)</f>
        <v/>
      </c>
      <c r="AI375" s="43">
        <f>IF(OR(AE375="",X375="",X375=0),"",AE375/X375)</f>
        <v/>
      </c>
      <c r="AJ375" s="44">
        <f>IF(OR(AI375="",AH375=""),"",(AI375-AH375)*100)</f>
        <v/>
      </c>
      <c r="AK375" s="68" t="n">
        <v>7</v>
      </c>
      <c r="AL375" s="68" t="n">
        <v>7</v>
      </c>
      <c r="AM375" s="69">
        <f>IF(OR(AL375="",AK375="",AK375=0,AL375=0),"",AL375-AK375)</f>
        <v/>
      </c>
      <c r="AN375" s="42">
        <f>IF(OR(AL375="",AK375="",AK375=0,AL375=0),"",AL375/AK375-1)</f>
        <v/>
      </c>
      <c r="AO375" s="43">
        <f>IF(OR(AK375="",AD375="",AD375=0),"",AK375/AD375)</f>
        <v/>
      </c>
      <c r="AP375" s="43">
        <f>IF(OR(AL375="",AE375="",AE375=0),"",AL375/AE375)</f>
        <v/>
      </c>
      <c r="AQ375" s="44">
        <f>IF(OR(AP375="",AO375=""),"",(AP375-AO375)*100)</f>
        <v/>
      </c>
      <c r="AR375" s="68" t="n">
        <v>7</v>
      </c>
      <c r="AS375" s="68" t="n">
        <v>4</v>
      </c>
      <c r="AT375" s="69">
        <f>IF(OR(AS375="",AR375="",AR375=0,AS375=0),"",AS375-AR375)</f>
        <v/>
      </c>
      <c r="AU375" s="42">
        <f>IF(OR(AS375="",AR375="",AR375=0,AS375=0),"",AS375/AR375-1)</f>
        <v/>
      </c>
      <c r="AV375" s="43">
        <f>IF(OR(AR375="",AK375="",AK375=0),"",AR375/AK375)</f>
        <v/>
      </c>
      <c r="AW375" s="43">
        <f>IF(OR(AS375="",AL375="",AL375=0),"",AS375/AL375)</f>
        <v/>
      </c>
      <c r="AX375" s="44">
        <f>IF(OR(AW375="",AV375=""),"",(AW375-AV375)*100)</f>
        <v/>
      </c>
      <c r="AY375" s="45">
        <f>IF(OR(AR375="",P375="",P375=0),"",AR375/P375)</f>
        <v/>
      </c>
      <c r="AZ375" s="45">
        <f>IF(OR(AS375="",Q375="",Q375=0),"",AS375/Q375)</f>
        <v/>
      </c>
      <c r="BA375" s="44">
        <f>IF(OR(AZ375="",AY375=""),"",(AZ375-AY375)*100)</f>
        <v/>
      </c>
      <c r="BB375" s="45">
        <f>IF(OR(AR375="",E375="",E375=0),"",AR375/E375)</f>
        <v/>
      </c>
      <c r="BC375" s="45">
        <f>IF(OR(AS375="",F375="",F375=0),"",AS375/F375)</f>
        <v/>
      </c>
      <c r="BD375" s="44">
        <f>IF(OR(BC375="",BB375=""),"",(BC375-BB375)*100)</f>
        <v/>
      </c>
      <c r="BE375" s="40">
        <f>IF(AND(F375&lt;&gt;"",E375&lt;&gt;""),"Both years",IF(F375&lt;&gt;"","1-23Aug26 rows only","1-23Aug25 rows only"))</f>
        <v/>
      </c>
    </row>
    <row r="376">
      <c r="A376" s="40" t="inlineStr">
        <is>
          <t>Route page</t>
        </is>
      </c>
      <c r="B376" s="40" t="inlineStr">
        <is>
          <t>Organic</t>
        </is>
      </c>
      <c r="C376" s="40" t="inlineStr">
        <is>
          <t>Desktop</t>
        </is>
      </c>
      <c r="D376" s="40" t="inlineStr">
        <is>
          <t>United Kingdom</t>
        </is>
      </c>
      <c r="E376" s="68" t="n">
        <v>2685</v>
      </c>
      <c r="F376" s="68" t="n">
        <v>2900</v>
      </c>
      <c r="G376" s="69">
        <f>IF(OR(F376="",E376="",E376=0,F376=0),"",F376-E376)</f>
        <v/>
      </c>
      <c r="H376" s="42">
        <f>IF(OR(F376="",E376="",E376=0,F376=0),"",F376/E376-1)</f>
        <v/>
      </c>
      <c r="I376" s="68" t="n">
        <v>1913</v>
      </c>
      <c r="J376" s="68" t="n">
        <v>1952</v>
      </c>
      <c r="K376" s="69">
        <f>IF(OR(J376="",I376="",I376=0,J376=0),"",J376-I376)</f>
        <v/>
      </c>
      <c r="L376" s="42">
        <f>IF(OR(J376="",I376="",I376=0,J376=0),"",J376/I376-1)</f>
        <v/>
      </c>
      <c r="M376" s="43">
        <f>IF(OR(I376="",E376="",E376=0),"",I376/E376)</f>
        <v/>
      </c>
      <c r="N376" s="43">
        <f>IF(OR(J376="",F376="",F376=0),"",J376/F376)</f>
        <v/>
      </c>
      <c r="O376" s="44">
        <f>IF(OR(N376="",M376=""),"",(N376-M376)*100)</f>
        <v/>
      </c>
      <c r="P376" s="68" t="n">
        <v>1736</v>
      </c>
      <c r="Q376" s="68" t="n">
        <v>1850</v>
      </c>
      <c r="R376" s="69">
        <f>IF(OR(Q376="",P376="",P376=0,Q376=0),"",Q376-P376)</f>
        <v/>
      </c>
      <c r="S376" s="42">
        <f>IF(OR(Q376="",P376="",P376=0,Q376=0),"",Q376/P376-1)</f>
        <v/>
      </c>
      <c r="T376" s="43">
        <f>IF(OR(P376="",E376="",E376=0),"",P376/E376)</f>
        <v/>
      </c>
      <c r="U376" s="43">
        <f>IF(OR(Q376="",F376="",F376=0),"",Q376/F376)</f>
        <v/>
      </c>
      <c r="V376" s="44">
        <f>IF(OR(U376="",T376=""),"",(U376-T376)*100)</f>
        <v/>
      </c>
      <c r="W376" s="68" t="n">
        <v>244</v>
      </c>
      <c r="X376" s="68" t="n">
        <v>292</v>
      </c>
      <c r="Y376" s="69">
        <f>IF(OR(X376="",W376="",W376=0,X376=0),"",X376-W376)</f>
        <v/>
      </c>
      <c r="Z376" s="42">
        <f>IF(OR(X376="",W376="",W376=0,X376=0),"",X376/W376-1)</f>
        <v/>
      </c>
      <c r="AA376" s="43">
        <f>IF(OR(W376="",P376="",P376=0),"",W376/P376)</f>
        <v/>
      </c>
      <c r="AB376" s="43">
        <f>IF(OR(X376="",Q376="",Q376=0),"",X376/Q376)</f>
        <v/>
      </c>
      <c r="AC376" s="44">
        <f>IF(OR(AB376="",AA376=""),"",(AB376-AA376)*100)</f>
        <v/>
      </c>
      <c r="AD376" s="68" t="n">
        <v>189</v>
      </c>
      <c r="AE376" s="68" t="n">
        <v>227</v>
      </c>
      <c r="AF376" s="69">
        <f>IF(OR(AE376="",AD376="",AD376=0,AE376=0),"",AE376-AD376)</f>
        <v/>
      </c>
      <c r="AG376" s="42">
        <f>IF(OR(AE376="",AD376="",AD376=0,AE376=0),"",AE376/AD376-1)</f>
        <v/>
      </c>
      <c r="AH376" s="43">
        <f>IF(OR(AD376="",W376="",W376=0),"",AD376/W376)</f>
        <v/>
      </c>
      <c r="AI376" s="43">
        <f>IF(OR(AE376="",X376="",X376=0),"",AE376/X376)</f>
        <v/>
      </c>
      <c r="AJ376" s="44">
        <f>IF(OR(AI376="",AH376=""),"",(AI376-AH376)*100)</f>
        <v/>
      </c>
      <c r="AK376" s="68" t="n">
        <v>73</v>
      </c>
      <c r="AL376" s="68" t="n">
        <v>76</v>
      </c>
      <c r="AM376" s="69">
        <f>IF(OR(AL376="",AK376="",AK376=0,AL376=0),"",AL376-AK376)</f>
        <v/>
      </c>
      <c r="AN376" s="42">
        <f>IF(OR(AL376="",AK376="",AK376=0,AL376=0),"",AL376/AK376-1)</f>
        <v/>
      </c>
      <c r="AO376" s="43">
        <f>IF(OR(AK376="",AD376="",AD376=0),"",AK376/AD376)</f>
        <v/>
      </c>
      <c r="AP376" s="43">
        <f>IF(OR(AL376="",AE376="",AE376=0),"",AL376/AE376)</f>
        <v/>
      </c>
      <c r="AQ376" s="44">
        <f>IF(OR(AP376="",AO376=""),"",(AP376-AO376)*100)</f>
        <v/>
      </c>
      <c r="AR376" s="68" t="n">
        <v>62</v>
      </c>
      <c r="AS376" s="68" t="n">
        <v>58</v>
      </c>
      <c r="AT376" s="69">
        <f>IF(OR(AS376="",AR376="",AR376=0,AS376=0),"",AS376-AR376)</f>
        <v/>
      </c>
      <c r="AU376" s="42">
        <f>IF(OR(AS376="",AR376="",AR376=0,AS376=0),"",AS376/AR376-1)</f>
        <v/>
      </c>
      <c r="AV376" s="43">
        <f>IF(OR(AR376="",AK376="",AK376=0),"",AR376/AK376)</f>
        <v/>
      </c>
      <c r="AW376" s="43">
        <f>IF(OR(AS376="",AL376="",AL376=0),"",AS376/AL376)</f>
        <v/>
      </c>
      <c r="AX376" s="44">
        <f>IF(OR(AW376="",AV376=""),"",(AW376-AV376)*100)</f>
        <v/>
      </c>
      <c r="AY376" s="45">
        <f>IF(OR(AR376="",P376="",P376=0),"",AR376/P376)</f>
        <v/>
      </c>
      <c r="AZ376" s="45">
        <f>IF(OR(AS376="",Q376="",Q376=0),"",AS376/Q376)</f>
        <v/>
      </c>
      <c r="BA376" s="44">
        <f>IF(OR(AZ376="",AY376=""),"",(AZ376-AY376)*100)</f>
        <v/>
      </c>
      <c r="BB376" s="45">
        <f>IF(OR(AR376="",E376="",E376=0),"",AR376/E376)</f>
        <v/>
      </c>
      <c r="BC376" s="45">
        <f>IF(OR(AS376="",F376="",F376=0),"",AS376/F376)</f>
        <v/>
      </c>
      <c r="BD376" s="44">
        <f>IF(OR(BC376="",BB376=""),"",(BC376-BB376)*100)</f>
        <v/>
      </c>
      <c r="BE376" s="40">
        <f>IF(AND(F376&lt;&gt;"",E376&lt;&gt;""),"Both years",IF(F376&lt;&gt;"","1-23Aug26 rows only","1-23Aug25 rows only"))</f>
        <v/>
      </c>
    </row>
    <row r="377">
      <c r="A377" s="56" t="inlineStr">
        <is>
          <t>Route page</t>
        </is>
      </c>
      <c r="B377" s="56" t="inlineStr">
        <is>
          <t>Organic</t>
        </is>
      </c>
      <c r="C377" s="56" t="inlineStr">
        <is>
          <t>Desktop</t>
        </is>
      </c>
      <c r="D377" s="56" t="inlineStr">
        <is>
          <t>Germany</t>
        </is>
      </c>
      <c r="E377" s="68" t="n">
        <v>1726</v>
      </c>
      <c r="F377" s="68" t="n">
        <v>1141</v>
      </c>
      <c r="G377" s="69">
        <f>IF(OR(F377="",E377="",E377=0,F377=0),"",F377-E377)</f>
        <v/>
      </c>
      <c r="H377" s="42">
        <f>IF(OR(F377="",E377="",E377=0,F377=0),"",F377/E377-1)</f>
        <v/>
      </c>
      <c r="I377" s="68" t="n">
        <v>1242</v>
      </c>
      <c r="J377" s="68" t="n">
        <v>799</v>
      </c>
      <c r="K377" s="69">
        <f>IF(OR(J377="",I377="",I377=0,J377=0),"",J377-I377)</f>
        <v/>
      </c>
      <c r="L377" s="42">
        <f>IF(OR(J377="",I377="",I377=0,J377=0),"",J377/I377-1)</f>
        <v/>
      </c>
      <c r="M377" s="43">
        <f>IF(OR(I377="",E377="",E377=0),"",I377/E377)</f>
        <v/>
      </c>
      <c r="N377" s="43">
        <f>IF(OR(J377="",F377="",F377=0),"",J377/F377)</f>
        <v/>
      </c>
      <c r="O377" s="44">
        <f>IF(OR(N377="",M377=""),"",(N377-M377)*100)</f>
        <v/>
      </c>
      <c r="P377" s="68" t="n">
        <v>1038</v>
      </c>
      <c r="Q377" s="68" t="n">
        <v>535</v>
      </c>
      <c r="R377" s="69">
        <f>IF(OR(Q377="",P377="",P377=0,Q377=0),"",Q377-P377)</f>
        <v/>
      </c>
      <c r="S377" s="42">
        <f>IF(OR(Q377="",P377="",P377=0,Q377=0),"",Q377/P377-1)</f>
        <v/>
      </c>
      <c r="T377" s="43">
        <f>IF(OR(P377="",E377="",E377=0),"",P377/E377)</f>
        <v/>
      </c>
      <c r="U377" s="43">
        <f>IF(OR(Q377="",F377="",F377=0),"",Q377/F377)</f>
        <v/>
      </c>
      <c r="V377" s="44">
        <f>IF(OR(U377="",T377=""),"",(U377-T377)*100)</f>
        <v/>
      </c>
      <c r="W377" s="68" t="n">
        <v>217</v>
      </c>
      <c r="X377" s="68" t="n">
        <v>128</v>
      </c>
      <c r="Y377" s="69">
        <f>IF(OR(X377="",W377="",W377=0,X377=0),"",X377-W377)</f>
        <v/>
      </c>
      <c r="Z377" s="42">
        <f>IF(OR(X377="",W377="",W377=0,X377=0),"",X377/W377-1)</f>
        <v/>
      </c>
      <c r="AA377" s="43">
        <f>IF(OR(W377="",P377="",P377=0),"",W377/P377)</f>
        <v/>
      </c>
      <c r="AB377" s="43">
        <f>IF(OR(X377="",Q377="",Q377=0),"",X377/Q377)</f>
        <v/>
      </c>
      <c r="AC377" s="44">
        <f>IF(OR(AB377="",AA377=""),"",(AB377-AA377)*100)</f>
        <v/>
      </c>
      <c r="AD377" s="68" t="n">
        <v>170</v>
      </c>
      <c r="AE377" s="68" t="n">
        <v>94</v>
      </c>
      <c r="AF377" s="69">
        <f>IF(OR(AE377="",AD377="",AD377=0,AE377=0),"",AE377-AD377)</f>
        <v/>
      </c>
      <c r="AG377" s="42">
        <f>IF(OR(AE377="",AD377="",AD377=0,AE377=0),"",AE377/AD377-1)</f>
        <v/>
      </c>
      <c r="AH377" s="43">
        <f>IF(OR(AD377="",W377="",W377=0),"",AD377/W377)</f>
        <v/>
      </c>
      <c r="AI377" s="43">
        <f>IF(OR(AE377="",X377="",X377=0),"",AE377/X377)</f>
        <v/>
      </c>
      <c r="AJ377" s="44">
        <f>IF(OR(AI377="",AH377=""),"",(AI377-AH377)*100)</f>
        <v/>
      </c>
      <c r="AK377" s="68" t="n">
        <v>40</v>
      </c>
      <c r="AL377" s="68" t="n">
        <v>18</v>
      </c>
      <c r="AM377" s="69">
        <f>IF(OR(AL377="",AK377="",AK377=0,AL377=0),"",AL377-AK377)</f>
        <v/>
      </c>
      <c r="AN377" s="42">
        <f>IF(OR(AL377="",AK377="",AK377=0,AL377=0),"",AL377/AK377-1)</f>
        <v/>
      </c>
      <c r="AO377" s="43">
        <f>IF(OR(AK377="",AD377="",AD377=0),"",AK377/AD377)</f>
        <v/>
      </c>
      <c r="AP377" s="43">
        <f>IF(OR(AL377="",AE377="",AE377=0),"",AL377/AE377)</f>
        <v/>
      </c>
      <c r="AQ377" s="44">
        <f>IF(OR(AP377="",AO377=""),"",(AP377-AO377)*100)</f>
        <v/>
      </c>
      <c r="AR377" s="68" t="n">
        <v>32</v>
      </c>
      <c r="AS377" s="68" t="n">
        <v>15</v>
      </c>
      <c r="AT377" s="69">
        <f>IF(OR(AS377="",AR377="",AR377=0,AS377=0),"",AS377-AR377)</f>
        <v/>
      </c>
      <c r="AU377" s="42">
        <f>IF(OR(AS377="",AR377="",AR377=0,AS377=0),"",AS377/AR377-1)</f>
        <v/>
      </c>
      <c r="AV377" s="43">
        <f>IF(OR(AR377="",AK377="",AK377=0),"",AR377/AK377)</f>
        <v/>
      </c>
      <c r="AW377" s="43">
        <f>IF(OR(AS377="",AL377="",AL377=0),"",AS377/AL377)</f>
        <v/>
      </c>
      <c r="AX377" s="44">
        <f>IF(OR(AW377="",AV377=""),"",(AW377-AV377)*100)</f>
        <v/>
      </c>
      <c r="AY377" s="45">
        <f>IF(OR(AR377="",P377="",P377=0),"",AR377/P377)</f>
        <v/>
      </c>
      <c r="AZ377" s="45">
        <f>IF(OR(AS377="",Q377="",Q377=0),"",AS377/Q377)</f>
        <v/>
      </c>
      <c r="BA377" s="44">
        <f>IF(OR(AZ377="",AY377=""),"",(AZ377-AY377)*100)</f>
        <v/>
      </c>
      <c r="BB377" s="45">
        <f>IF(OR(AR377="",E377="",E377=0),"",AR377/E377)</f>
        <v/>
      </c>
      <c r="BC377" s="45">
        <f>IF(OR(AS377="",F377="",F377=0),"",AS377/F377)</f>
        <v/>
      </c>
      <c r="BD377" s="44">
        <f>IF(OR(BC377="",BB377=""),"",(BC377-BB377)*100)</f>
        <v/>
      </c>
      <c r="BE377" s="40">
        <f>IF(AND(F377&lt;&gt;"",E377&lt;&gt;""),"Both years",IF(F377&lt;&gt;"","1-23Aug26 rows only","1-23Aug25 rows only"))</f>
        <v/>
      </c>
    </row>
    <row r="378">
      <c r="A378" s="40" t="inlineStr">
        <is>
          <t>Route page</t>
        </is>
      </c>
      <c r="B378" s="40" t="inlineStr">
        <is>
          <t>Organic</t>
        </is>
      </c>
      <c r="C378" s="40" t="inlineStr">
        <is>
          <t>Desktop</t>
        </is>
      </c>
      <c r="D378" s="40" t="inlineStr">
        <is>
          <t>United States</t>
        </is>
      </c>
      <c r="E378" s="68" t="n">
        <v>711</v>
      </c>
      <c r="F378" s="68" t="n">
        <v>943</v>
      </c>
      <c r="G378" s="69">
        <f>IF(OR(F378="",E378="",E378=0,F378=0),"",F378-E378)</f>
        <v/>
      </c>
      <c r="H378" s="42">
        <f>IF(OR(F378="",E378="",E378=0,F378=0),"",F378/E378-1)</f>
        <v/>
      </c>
      <c r="I378" s="68" t="n">
        <v>445</v>
      </c>
      <c r="J378" s="68" t="n">
        <v>508</v>
      </c>
      <c r="K378" s="69">
        <f>IF(OR(J378="",I378="",I378=0,J378=0),"",J378-I378)</f>
        <v/>
      </c>
      <c r="L378" s="42">
        <f>IF(OR(J378="",I378="",I378=0,J378=0),"",J378/I378-1)</f>
        <v/>
      </c>
      <c r="M378" s="43">
        <f>IF(OR(I378="",E378="",E378=0),"",I378/E378)</f>
        <v/>
      </c>
      <c r="N378" s="43">
        <f>IF(OR(J378="",F378="",F378=0),"",J378/F378)</f>
        <v/>
      </c>
      <c r="O378" s="44">
        <f>IF(OR(N378="",M378=""),"",(N378-M378)*100)</f>
        <v/>
      </c>
      <c r="P378" s="68" t="n">
        <v>345</v>
      </c>
      <c r="Q378" s="68" t="n">
        <v>453</v>
      </c>
      <c r="R378" s="69">
        <f>IF(OR(Q378="",P378="",P378=0,Q378=0),"",Q378-P378)</f>
        <v/>
      </c>
      <c r="S378" s="42">
        <f>IF(OR(Q378="",P378="",P378=0,Q378=0),"",Q378/P378-1)</f>
        <v/>
      </c>
      <c r="T378" s="43">
        <f>IF(OR(P378="",E378="",E378=0),"",P378/E378)</f>
        <v/>
      </c>
      <c r="U378" s="43">
        <f>IF(OR(Q378="",F378="",F378=0),"",Q378/F378)</f>
        <v/>
      </c>
      <c r="V378" s="44">
        <f>IF(OR(U378="",T378=""),"",(U378-T378)*100)</f>
        <v/>
      </c>
      <c r="W378" s="68" t="n">
        <v>62</v>
      </c>
      <c r="X378" s="68" t="n">
        <v>104</v>
      </c>
      <c r="Y378" s="69">
        <f>IF(OR(X378="",W378="",W378=0,X378=0),"",X378-W378)</f>
        <v/>
      </c>
      <c r="Z378" s="42">
        <f>IF(OR(X378="",W378="",W378=0,X378=0),"",X378/W378-1)</f>
        <v/>
      </c>
      <c r="AA378" s="43">
        <f>IF(OR(W378="",P378="",P378=0),"",W378/P378)</f>
        <v/>
      </c>
      <c r="AB378" s="43">
        <f>IF(OR(X378="",Q378="",Q378=0),"",X378/Q378)</f>
        <v/>
      </c>
      <c r="AC378" s="44">
        <f>IF(OR(AB378="",AA378=""),"",(AB378-AA378)*100)</f>
        <v/>
      </c>
      <c r="AD378" s="68" t="n">
        <v>48</v>
      </c>
      <c r="AE378" s="68" t="n">
        <v>89</v>
      </c>
      <c r="AF378" s="69">
        <f>IF(OR(AE378="",AD378="",AD378=0,AE378=0),"",AE378-AD378)</f>
        <v/>
      </c>
      <c r="AG378" s="42">
        <f>IF(OR(AE378="",AD378="",AD378=0,AE378=0),"",AE378/AD378-1)</f>
        <v/>
      </c>
      <c r="AH378" s="43">
        <f>IF(OR(AD378="",W378="",W378=0),"",AD378/W378)</f>
        <v/>
      </c>
      <c r="AI378" s="43">
        <f>IF(OR(AE378="",X378="",X378=0),"",AE378/X378)</f>
        <v/>
      </c>
      <c r="AJ378" s="44">
        <f>IF(OR(AI378="",AH378=""),"",(AI378-AH378)*100)</f>
        <v/>
      </c>
      <c r="AK378" s="68" t="n">
        <v>23</v>
      </c>
      <c r="AL378" s="68" t="n">
        <v>39</v>
      </c>
      <c r="AM378" s="69">
        <f>IF(OR(AL378="",AK378="",AK378=0,AL378=0),"",AL378-AK378)</f>
        <v/>
      </c>
      <c r="AN378" s="42">
        <f>IF(OR(AL378="",AK378="",AK378=0,AL378=0),"",AL378/AK378-1)</f>
        <v/>
      </c>
      <c r="AO378" s="43">
        <f>IF(OR(AK378="",AD378="",AD378=0),"",AK378/AD378)</f>
        <v/>
      </c>
      <c r="AP378" s="43">
        <f>IF(OR(AL378="",AE378="",AE378=0),"",AL378/AE378)</f>
        <v/>
      </c>
      <c r="AQ378" s="44">
        <f>IF(OR(AP378="",AO378=""),"",(AP378-AO378)*100)</f>
        <v/>
      </c>
      <c r="AR378" s="68" t="n">
        <v>17</v>
      </c>
      <c r="AS378" s="68" t="n">
        <v>24</v>
      </c>
      <c r="AT378" s="69">
        <f>IF(OR(AS378="",AR378="",AR378=0,AS378=0),"",AS378-AR378)</f>
        <v/>
      </c>
      <c r="AU378" s="42">
        <f>IF(OR(AS378="",AR378="",AR378=0,AS378=0),"",AS378/AR378-1)</f>
        <v/>
      </c>
      <c r="AV378" s="43">
        <f>IF(OR(AR378="",AK378="",AK378=0),"",AR378/AK378)</f>
        <v/>
      </c>
      <c r="AW378" s="43">
        <f>IF(OR(AS378="",AL378="",AL378=0),"",AS378/AL378)</f>
        <v/>
      </c>
      <c r="AX378" s="44">
        <f>IF(OR(AW378="",AV378=""),"",(AW378-AV378)*100)</f>
        <v/>
      </c>
      <c r="AY378" s="45">
        <f>IF(OR(AR378="",P378="",P378=0),"",AR378/P378)</f>
        <v/>
      </c>
      <c r="AZ378" s="45">
        <f>IF(OR(AS378="",Q378="",Q378=0),"",AS378/Q378)</f>
        <v/>
      </c>
      <c r="BA378" s="44">
        <f>IF(OR(AZ378="",AY378=""),"",(AZ378-AY378)*100)</f>
        <v/>
      </c>
      <c r="BB378" s="45">
        <f>IF(OR(AR378="",E378="",E378=0),"",AR378/E378)</f>
        <v/>
      </c>
      <c r="BC378" s="45">
        <f>IF(OR(AS378="",F378="",F378=0),"",AS378/F378)</f>
        <v/>
      </c>
      <c r="BD378" s="44">
        <f>IF(OR(BC378="",BB378=""),"",(BC378-BB378)*100)</f>
        <v/>
      </c>
      <c r="BE378" s="40">
        <f>IF(AND(F378&lt;&gt;"",E378&lt;&gt;""),"Both years",IF(F378&lt;&gt;"","1-23Aug26 rows only","1-23Aug25 rows only"))</f>
        <v/>
      </c>
    </row>
    <row r="379">
      <c r="A379" s="56" t="inlineStr">
        <is>
          <t>Route page</t>
        </is>
      </c>
      <c r="B379" s="56" t="inlineStr">
        <is>
          <t>Organic</t>
        </is>
      </c>
      <c r="C379" s="56" t="inlineStr">
        <is>
          <t>Desktop</t>
        </is>
      </c>
      <c r="D379" s="56" t="inlineStr">
        <is>
          <t>Italy</t>
        </is>
      </c>
      <c r="E379" s="68" t="n">
        <v>771</v>
      </c>
      <c r="F379" s="68" t="n">
        <v>589</v>
      </c>
      <c r="G379" s="69">
        <f>IF(OR(F379="",E379="",E379=0,F379=0),"",F379-E379)</f>
        <v/>
      </c>
      <c r="H379" s="42">
        <f>IF(OR(F379="",E379="",E379=0,F379=0),"",F379/E379-1)</f>
        <v/>
      </c>
      <c r="I379" s="68" t="n">
        <v>565</v>
      </c>
      <c r="J379" s="68" t="n">
        <v>374</v>
      </c>
      <c r="K379" s="69">
        <f>IF(OR(J379="",I379="",I379=0,J379=0),"",J379-I379)</f>
        <v/>
      </c>
      <c r="L379" s="42">
        <f>IF(OR(J379="",I379="",I379=0,J379=0),"",J379/I379-1)</f>
        <v/>
      </c>
      <c r="M379" s="43">
        <f>IF(OR(I379="",E379="",E379=0),"",I379/E379)</f>
        <v/>
      </c>
      <c r="N379" s="43">
        <f>IF(OR(J379="",F379="",F379=0),"",J379/F379)</f>
        <v/>
      </c>
      <c r="O379" s="44">
        <f>IF(OR(N379="",M379=""),"",(N379-M379)*100)</f>
        <v/>
      </c>
      <c r="P379" s="68" t="n">
        <v>462</v>
      </c>
      <c r="Q379" s="68" t="n">
        <v>256</v>
      </c>
      <c r="R379" s="69">
        <f>IF(OR(Q379="",P379="",P379=0,Q379=0),"",Q379-P379)</f>
        <v/>
      </c>
      <c r="S379" s="42">
        <f>IF(OR(Q379="",P379="",P379=0,Q379=0),"",Q379/P379-1)</f>
        <v/>
      </c>
      <c r="T379" s="43">
        <f>IF(OR(P379="",E379="",E379=0),"",P379/E379)</f>
        <v/>
      </c>
      <c r="U379" s="43">
        <f>IF(OR(Q379="",F379="",F379=0),"",Q379/F379)</f>
        <v/>
      </c>
      <c r="V379" s="44">
        <f>IF(OR(U379="",T379=""),"",(U379-T379)*100)</f>
        <v/>
      </c>
      <c r="W379" s="68" t="n">
        <v>98</v>
      </c>
      <c r="X379" s="68" t="n">
        <v>49</v>
      </c>
      <c r="Y379" s="69">
        <f>IF(OR(X379="",W379="",W379=0,X379=0),"",X379-W379)</f>
        <v/>
      </c>
      <c r="Z379" s="42">
        <f>IF(OR(X379="",W379="",W379=0,X379=0),"",X379/W379-1)</f>
        <v/>
      </c>
      <c r="AA379" s="43">
        <f>IF(OR(W379="",P379="",P379=0),"",W379/P379)</f>
        <v/>
      </c>
      <c r="AB379" s="43">
        <f>IF(OR(X379="",Q379="",Q379=0),"",X379/Q379)</f>
        <v/>
      </c>
      <c r="AC379" s="44">
        <f>IF(OR(AB379="",AA379=""),"",(AB379-AA379)*100)</f>
        <v/>
      </c>
      <c r="AD379" s="68" t="n">
        <v>77</v>
      </c>
      <c r="AE379" s="68" t="n">
        <v>39</v>
      </c>
      <c r="AF379" s="69">
        <f>IF(OR(AE379="",AD379="",AD379=0,AE379=0),"",AE379-AD379)</f>
        <v/>
      </c>
      <c r="AG379" s="42">
        <f>IF(OR(AE379="",AD379="",AD379=0,AE379=0),"",AE379/AD379-1)</f>
        <v/>
      </c>
      <c r="AH379" s="43">
        <f>IF(OR(AD379="",W379="",W379=0),"",AD379/W379)</f>
        <v/>
      </c>
      <c r="AI379" s="43">
        <f>IF(OR(AE379="",X379="",X379=0),"",AE379/X379)</f>
        <v/>
      </c>
      <c r="AJ379" s="44">
        <f>IF(OR(AI379="",AH379=""),"",(AI379-AH379)*100)</f>
        <v/>
      </c>
      <c r="AK379" s="68" t="n">
        <v>17</v>
      </c>
      <c r="AL379" s="68" t="n">
        <v>13</v>
      </c>
      <c r="AM379" s="69">
        <f>IF(OR(AL379="",AK379="",AK379=0,AL379=0),"",AL379-AK379)</f>
        <v/>
      </c>
      <c r="AN379" s="42">
        <f>IF(OR(AL379="",AK379="",AK379=0,AL379=0),"",AL379/AK379-1)</f>
        <v/>
      </c>
      <c r="AO379" s="43">
        <f>IF(OR(AK379="",AD379="",AD379=0),"",AK379/AD379)</f>
        <v/>
      </c>
      <c r="AP379" s="43">
        <f>IF(OR(AL379="",AE379="",AE379=0),"",AL379/AE379)</f>
        <v/>
      </c>
      <c r="AQ379" s="44">
        <f>IF(OR(AP379="",AO379=""),"",(AP379-AO379)*100)</f>
        <v/>
      </c>
      <c r="AR379" s="68" t="n">
        <v>13</v>
      </c>
      <c r="AS379" s="68" t="n">
        <v>10</v>
      </c>
      <c r="AT379" s="69">
        <f>IF(OR(AS379="",AR379="",AR379=0,AS379=0),"",AS379-AR379)</f>
        <v/>
      </c>
      <c r="AU379" s="42">
        <f>IF(OR(AS379="",AR379="",AR379=0,AS379=0),"",AS379/AR379-1)</f>
        <v/>
      </c>
      <c r="AV379" s="43">
        <f>IF(OR(AR379="",AK379="",AK379=0),"",AR379/AK379)</f>
        <v/>
      </c>
      <c r="AW379" s="43">
        <f>IF(OR(AS379="",AL379="",AL379=0),"",AS379/AL379)</f>
        <v/>
      </c>
      <c r="AX379" s="44">
        <f>IF(OR(AW379="",AV379=""),"",(AW379-AV379)*100)</f>
        <v/>
      </c>
      <c r="AY379" s="45">
        <f>IF(OR(AR379="",P379="",P379=0),"",AR379/P379)</f>
        <v/>
      </c>
      <c r="AZ379" s="45">
        <f>IF(OR(AS379="",Q379="",Q379=0),"",AS379/Q379)</f>
        <v/>
      </c>
      <c r="BA379" s="44">
        <f>IF(OR(AZ379="",AY379=""),"",(AZ379-AY379)*100)</f>
        <v/>
      </c>
      <c r="BB379" s="45">
        <f>IF(OR(AR379="",E379="",E379=0),"",AR379/E379)</f>
        <v/>
      </c>
      <c r="BC379" s="45">
        <f>IF(OR(AS379="",F379="",F379=0),"",AS379/F379)</f>
        <v/>
      </c>
      <c r="BD379" s="44">
        <f>IF(OR(BC379="",BB379=""),"",(BC379-BB379)*100)</f>
        <v/>
      </c>
      <c r="BE379" s="40">
        <f>IF(AND(F379&lt;&gt;"",E379&lt;&gt;""),"Both years",IF(F379&lt;&gt;"","1-23Aug26 rows only","1-23Aug25 rows only"))</f>
        <v/>
      </c>
    </row>
    <row r="380">
      <c r="A380" s="40" t="inlineStr">
        <is>
          <t>Route page</t>
        </is>
      </c>
      <c r="B380" s="40" t="inlineStr">
        <is>
          <t>Organic</t>
        </is>
      </c>
      <c r="C380" s="40" t="inlineStr">
        <is>
          <t>Desktop</t>
        </is>
      </c>
      <c r="D380" s="40" t="inlineStr">
        <is>
          <t>Australia</t>
        </is>
      </c>
      <c r="E380" s="68" t="n">
        <v>528</v>
      </c>
      <c r="F380" s="68" t="n">
        <v>407</v>
      </c>
      <c r="G380" s="69">
        <f>IF(OR(F380="",E380="",E380=0,F380=0),"",F380-E380)</f>
        <v/>
      </c>
      <c r="H380" s="42">
        <f>IF(OR(F380="",E380="",E380=0,F380=0),"",F380/E380-1)</f>
        <v/>
      </c>
      <c r="I380" s="70" t="n"/>
      <c r="J380" s="70" t="n"/>
      <c r="K380" s="69">
        <f>IF(OR(J380="",I380="",I380=0,J380=0),"",J380-I380)</f>
        <v/>
      </c>
      <c r="L380" s="42">
        <f>IF(OR(J380="",I380="",I380=0,J380=0),"",J380/I380-1)</f>
        <v/>
      </c>
      <c r="M380" s="43">
        <f>IF(OR(I380="",E380="",E380=0),"",I380/E380)</f>
        <v/>
      </c>
      <c r="N380" s="43">
        <f>IF(OR(J380="",F380="",F380=0),"",J380/F380)</f>
        <v/>
      </c>
      <c r="O380" s="44">
        <f>IF(OR(N380="",M380=""),"",(N380-M380)*100)</f>
        <v/>
      </c>
      <c r="P380" s="68" t="n">
        <v>244</v>
      </c>
      <c r="Q380" s="68" t="n">
        <v>197</v>
      </c>
      <c r="R380" s="69">
        <f>IF(OR(Q380="",P380="",P380=0,Q380=0),"",Q380-P380)</f>
        <v/>
      </c>
      <c r="S380" s="42">
        <f>IF(OR(Q380="",P380="",P380=0,Q380=0),"",Q380/P380-1)</f>
        <v/>
      </c>
      <c r="T380" s="43">
        <f>IF(OR(P380="",E380="",E380=0),"",P380/E380)</f>
        <v/>
      </c>
      <c r="U380" s="43">
        <f>IF(OR(Q380="",F380="",F380=0),"",Q380/F380)</f>
        <v/>
      </c>
      <c r="V380" s="44">
        <f>IF(OR(U380="",T380=""),"",(U380-T380)*100)</f>
        <v/>
      </c>
      <c r="W380" s="70" t="n"/>
      <c r="X380" s="70" t="n"/>
      <c r="Y380" s="69">
        <f>IF(OR(X380="",W380="",W380=0,X380=0),"",X380-W380)</f>
        <v/>
      </c>
      <c r="Z380" s="42">
        <f>IF(OR(X380="",W380="",W380=0,X380=0),"",X380/W380-1)</f>
        <v/>
      </c>
      <c r="AA380" s="43">
        <f>IF(OR(W380="",P380="",P380=0),"",W380/P380)</f>
        <v/>
      </c>
      <c r="AB380" s="43">
        <f>IF(OR(X380="",Q380="",Q380=0),"",X380/Q380)</f>
        <v/>
      </c>
      <c r="AC380" s="44">
        <f>IF(OR(AB380="",AA380=""),"",(AB380-AA380)*100)</f>
        <v/>
      </c>
      <c r="AD380" s="70" t="n"/>
      <c r="AE380" s="70" t="n"/>
      <c r="AF380" s="69">
        <f>IF(OR(AE380="",AD380="",AD380=0,AE380=0),"",AE380-AD380)</f>
        <v/>
      </c>
      <c r="AG380" s="42">
        <f>IF(OR(AE380="",AD380="",AD380=0,AE380=0),"",AE380/AD380-1)</f>
        <v/>
      </c>
      <c r="AH380" s="43">
        <f>IF(OR(AD380="",W380="",W380=0),"",AD380/W380)</f>
        <v/>
      </c>
      <c r="AI380" s="43">
        <f>IF(OR(AE380="",X380="",X380=0),"",AE380/X380)</f>
        <v/>
      </c>
      <c r="AJ380" s="44">
        <f>IF(OR(AI380="",AH380=""),"",(AI380-AH380)*100)</f>
        <v/>
      </c>
      <c r="AK380" s="70" t="n"/>
      <c r="AL380" s="70" t="n"/>
      <c r="AM380" s="69">
        <f>IF(OR(AL380="",AK380="",AK380=0,AL380=0),"",AL380-AK380)</f>
        <v/>
      </c>
      <c r="AN380" s="42">
        <f>IF(OR(AL380="",AK380="",AK380=0,AL380=0),"",AL380/AK380-1)</f>
        <v/>
      </c>
      <c r="AO380" s="43">
        <f>IF(OR(AK380="",AD380="",AD380=0),"",AK380/AD380)</f>
        <v/>
      </c>
      <c r="AP380" s="43">
        <f>IF(OR(AL380="",AE380="",AE380=0),"",AL380/AE380)</f>
        <v/>
      </c>
      <c r="AQ380" s="44">
        <f>IF(OR(AP380="",AO380=""),"",(AP380-AO380)*100)</f>
        <v/>
      </c>
      <c r="AR380" s="70" t="n"/>
      <c r="AS380" s="70" t="n"/>
      <c r="AT380" s="69">
        <f>IF(OR(AS380="",AR380="",AR380=0,AS380=0),"",AS380-AR380)</f>
        <v/>
      </c>
      <c r="AU380" s="42">
        <f>IF(OR(AS380="",AR380="",AR380=0,AS380=0),"",AS380/AR380-1)</f>
        <v/>
      </c>
      <c r="AV380" s="43">
        <f>IF(OR(AR380="",AK380="",AK380=0),"",AR380/AK380)</f>
        <v/>
      </c>
      <c r="AW380" s="43">
        <f>IF(OR(AS380="",AL380="",AL380=0),"",AS380/AL380)</f>
        <v/>
      </c>
      <c r="AX380" s="44">
        <f>IF(OR(AW380="",AV380=""),"",(AW380-AV380)*100)</f>
        <v/>
      </c>
      <c r="AY380" s="45">
        <f>IF(OR(AR380="",P380="",P380=0),"",AR380/P380)</f>
        <v/>
      </c>
      <c r="AZ380" s="45">
        <f>IF(OR(AS380="",Q380="",Q380=0),"",AS380/Q380)</f>
        <v/>
      </c>
      <c r="BA380" s="44">
        <f>IF(OR(AZ380="",AY380=""),"",(AZ380-AY380)*100)</f>
        <v/>
      </c>
      <c r="BB380" s="45">
        <f>IF(OR(AR380="",E380="",E380=0),"",AR380/E380)</f>
        <v/>
      </c>
      <c r="BC380" s="45">
        <f>IF(OR(AS380="",F380="",F380=0),"",AS380/F380)</f>
        <v/>
      </c>
      <c r="BD380" s="44">
        <f>IF(OR(BC380="",BB380=""),"",(BC380-BB380)*100)</f>
        <v/>
      </c>
      <c r="BE380" s="40">
        <f>IF(AND(F380&lt;&gt;"",E380&lt;&gt;""),"Both years",IF(F380&lt;&gt;"","1-23Aug26 rows only","1-23Aug25 rows only"))</f>
        <v/>
      </c>
    </row>
    <row r="381">
      <c r="A381" s="56" t="inlineStr">
        <is>
          <t>Route page</t>
        </is>
      </c>
      <c r="B381" s="56" t="inlineStr">
        <is>
          <t>Organic</t>
        </is>
      </c>
      <c r="C381" s="56" t="inlineStr">
        <is>
          <t>Desktop</t>
        </is>
      </c>
      <c r="D381" s="56" t="inlineStr">
        <is>
          <t>Poland</t>
        </is>
      </c>
      <c r="E381" s="68" t="n">
        <v>556</v>
      </c>
      <c r="F381" s="68" t="n">
        <v>364</v>
      </c>
      <c r="G381" s="69">
        <f>IF(OR(F381="",E381="",E381=0,F381=0),"",F381-E381)</f>
        <v/>
      </c>
      <c r="H381" s="42">
        <f>IF(OR(F381="",E381="",E381=0,F381=0),"",F381/E381-1)</f>
        <v/>
      </c>
      <c r="I381" s="70" t="n"/>
      <c r="J381" s="70" t="n"/>
      <c r="K381" s="69">
        <f>IF(OR(J381="",I381="",I381=0,J381=0),"",J381-I381)</f>
        <v/>
      </c>
      <c r="L381" s="42">
        <f>IF(OR(J381="",I381="",I381=0,J381=0),"",J381/I381-1)</f>
        <v/>
      </c>
      <c r="M381" s="43">
        <f>IF(OR(I381="",E381="",E381=0),"",I381/E381)</f>
        <v/>
      </c>
      <c r="N381" s="43">
        <f>IF(OR(J381="",F381="",F381=0),"",J381/F381)</f>
        <v/>
      </c>
      <c r="O381" s="44">
        <f>IF(OR(N381="",M381=""),"",(N381-M381)*100)</f>
        <v/>
      </c>
      <c r="P381" s="68" t="n">
        <v>326</v>
      </c>
      <c r="Q381" s="68" t="n">
        <v>175</v>
      </c>
      <c r="R381" s="69">
        <f>IF(OR(Q381="",P381="",P381=0,Q381=0),"",Q381-P381)</f>
        <v/>
      </c>
      <c r="S381" s="42">
        <f>IF(OR(Q381="",P381="",P381=0,Q381=0),"",Q381/P381-1)</f>
        <v/>
      </c>
      <c r="T381" s="43">
        <f>IF(OR(P381="",E381="",E381=0),"",P381/E381)</f>
        <v/>
      </c>
      <c r="U381" s="43">
        <f>IF(OR(Q381="",F381="",F381=0),"",Q381/F381)</f>
        <v/>
      </c>
      <c r="V381" s="44">
        <f>IF(OR(U381="",T381=""),"",(U381-T381)*100)</f>
        <v/>
      </c>
      <c r="W381" s="70" t="n"/>
      <c r="X381" s="70" t="n"/>
      <c r="Y381" s="69">
        <f>IF(OR(X381="",W381="",W381=0,X381=0),"",X381-W381)</f>
        <v/>
      </c>
      <c r="Z381" s="42">
        <f>IF(OR(X381="",W381="",W381=0,X381=0),"",X381/W381-1)</f>
        <v/>
      </c>
      <c r="AA381" s="43">
        <f>IF(OR(W381="",P381="",P381=0),"",W381/P381)</f>
        <v/>
      </c>
      <c r="AB381" s="43">
        <f>IF(OR(X381="",Q381="",Q381=0),"",X381/Q381)</f>
        <v/>
      </c>
      <c r="AC381" s="44">
        <f>IF(OR(AB381="",AA381=""),"",(AB381-AA381)*100)</f>
        <v/>
      </c>
      <c r="AD381" s="70" t="n"/>
      <c r="AE381" s="70" t="n"/>
      <c r="AF381" s="69">
        <f>IF(OR(AE381="",AD381="",AD381=0,AE381=0),"",AE381-AD381)</f>
        <v/>
      </c>
      <c r="AG381" s="42">
        <f>IF(OR(AE381="",AD381="",AD381=0,AE381=0),"",AE381/AD381-1)</f>
        <v/>
      </c>
      <c r="AH381" s="43">
        <f>IF(OR(AD381="",W381="",W381=0),"",AD381/W381)</f>
        <v/>
      </c>
      <c r="AI381" s="43">
        <f>IF(OR(AE381="",X381="",X381=0),"",AE381/X381)</f>
        <v/>
      </c>
      <c r="AJ381" s="44">
        <f>IF(OR(AI381="",AH381=""),"",(AI381-AH381)*100)</f>
        <v/>
      </c>
      <c r="AK381" s="70" t="n"/>
      <c r="AL381" s="70" t="n"/>
      <c r="AM381" s="69">
        <f>IF(OR(AL381="",AK381="",AK381=0,AL381=0),"",AL381-AK381)</f>
        <v/>
      </c>
      <c r="AN381" s="42">
        <f>IF(OR(AL381="",AK381="",AK381=0,AL381=0),"",AL381/AK381-1)</f>
        <v/>
      </c>
      <c r="AO381" s="43">
        <f>IF(OR(AK381="",AD381="",AD381=0),"",AK381/AD381)</f>
        <v/>
      </c>
      <c r="AP381" s="43">
        <f>IF(OR(AL381="",AE381="",AE381=0),"",AL381/AE381)</f>
        <v/>
      </c>
      <c r="AQ381" s="44">
        <f>IF(OR(AP381="",AO381=""),"",(AP381-AO381)*100)</f>
        <v/>
      </c>
      <c r="AR381" s="70" t="n"/>
      <c r="AS381" s="70" t="n"/>
      <c r="AT381" s="69">
        <f>IF(OR(AS381="",AR381="",AR381=0,AS381=0),"",AS381-AR381)</f>
        <v/>
      </c>
      <c r="AU381" s="42">
        <f>IF(OR(AS381="",AR381="",AR381=0,AS381=0),"",AS381/AR381-1)</f>
        <v/>
      </c>
      <c r="AV381" s="43">
        <f>IF(OR(AR381="",AK381="",AK381=0),"",AR381/AK381)</f>
        <v/>
      </c>
      <c r="AW381" s="43">
        <f>IF(OR(AS381="",AL381="",AL381=0),"",AS381/AL381)</f>
        <v/>
      </c>
      <c r="AX381" s="44">
        <f>IF(OR(AW381="",AV381=""),"",(AW381-AV381)*100)</f>
        <v/>
      </c>
      <c r="AY381" s="45">
        <f>IF(OR(AR381="",P381="",P381=0),"",AR381/P381)</f>
        <v/>
      </c>
      <c r="AZ381" s="45">
        <f>IF(OR(AS381="",Q381="",Q381=0),"",AS381/Q381)</f>
        <v/>
      </c>
      <c r="BA381" s="44">
        <f>IF(OR(AZ381="",AY381=""),"",(AZ381-AY381)*100)</f>
        <v/>
      </c>
      <c r="BB381" s="45">
        <f>IF(OR(AR381="",E381="",E381=0),"",AR381/E381)</f>
        <v/>
      </c>
      <c r="BC381" s="45">
        <f>IF(OR(AS381="",F381="",F381=0),"",AS381/F381)</f>
        <v/>
      </c>
      <c r="BD381" s="44">
        <f>IF(OR(BC381="",BB381=""),"",(BC381-BB381)*100)</f>
        <v/>
      </c>
      <c r="BE381" s="40">
        <f>IF(AND(F381&lt;&gt;"",E381&lt;&gt;""),"Both years",IF(F381&lt;&gt;"","1-23Aug26 rows only","1-23Aug25 rows only"))</f>
        <v/>
      </c>
    </row>
    <row r="382">
      <c r="A382" s="40" t="inlineStr">
        <is>
          <t>Route page</t>
        </is>
      </c>
      <c r="B382" s="40" t="inlineStr">
        <is>
          <t>Organic</t>
        </is>
      </c>
      <c r="C382" s="40" t="inlineStr">
        <is>
          <t>Desktop</t>
        </is>
      </c>
      <c r="D382" s="40" t="inlineStr">
        <is>
          <t>Spain</t>
        </is>
      </c>
      <c r="E382" s="68" t="n">
        <v>453</v>
      </c>
      <c r="F382" s="68" t="n">
        <v>356</v>
      </c>
      <c r="G382" s="69">
        <f>IF(OR(F382="",E382="",E382=0,F382=0),"",F382-E382)</f>
        <v/>
      </c>
      <c r="H382" s="42">
        <f>IF(OR(F382="",E382="",E382=0,F382=0),"",F382/E382-1)</f>
        <v/>
      </c>
      <c r="I382" s="68" t="n">
        <v>334</v>
      </c>
      <c r="J382" s="68" t="n">
        <v>239</v>
      </c>
      <c r="K382" s="69">
        <f>IF(OR(J382="",I382="",I382=0,J382=0),"",J382-I382)</f>
        <v/>
      </c>
      <c r="L382" s="42">
        <f>IF(OR(J382="",I382="",I382=0,J382=0),"",J382/I382-1)</f>
        <v/>
      </c>
      <c r="M382" s="43">
        <f>IF(OR(I382="",E382="",E382=0),"",I382/E382)</f>
        <v/>
      </c>
      <c r="N382" s="43">
        <f>IF(OR(J382="",F382="",F382=0),"",J382/F382)</f>
        <v/>
      </c>
      <c r="O382" s="44">
        <f>IF(OR(N382="",M382=""),"",(N382-M382)*100)</f>
        <v/>
      </c>
      <c r="P382" s="68" t="n">
        <v>242</v>
      </c>
      <c r="Q382" s="68" t="n">
        <v>148</v>
      </c>
      <c r="R382" s="69">
        <f>IF(OR(Q382="",P382="",P382=0,Q382=0),"",Q382-P382)</f>
        <v/>
      </c>
      <c r="S382" s="42">
        <f>IF(OR(Q382="",P382="",P382=0,Q382=0),"",Q382/P382-1)</f>
        <v/>
      </c>
      <c r="T382" s="43">
        <f>IF(OR(P382="",E382="",E382=0),"",P382/E382)</f>
        <v/>
      </c>
      <c r="U382" s="43">
        <f>IF(OR(Q382="",F382="",F382=0),"",Q382/F382)</f>
        <v/>
      </c>
      <c r="V382" s="44">
        <f>IF(OR(U382="",T382=""),"",(U382-T382)*100)</f>
        <v/>
      </c>
      <c r="W382" s="68" t="n">
        <v>29</v>
      </c>
      <c r="X382" s="68" t="n">
        <v>31</v>
      </c>
      <c r="Y382" s="69">
        <f>IF(OR(X382="",W382="",W382=0,X382=0),"",X382-W382)</f>
        <v/>
      </c>
      <c r="Z382" s="42">
        <f>IF(OR(X382="",W382="",W382=0,X382=0),"",X382/W382-1)</f>
        <v/>
      </c>
      <c r="AA382" s="43">
        <f>IF(OR(W382="",P382="",P382=0),"",W382/P382)</f>
        <v/>
      </c>
      <c r="AB382" s="43">
        <f>IF(OR(X382="",Q382="",Q382=0),"",X382/Q382)</f>
        <v/>
      </c>
      <c r="AC382" s="44">
        <f>IF(OR(AB382="",AA382=""),"",(AB382-AA382)*100)</f>
        <v/>
      </c>
      <c r="AD382" s="68" t="n">
        <v>24</v>
      </c>
      <c r="AE382" s="68" t="n">
        <v>23</v>
      </c>
      <c r="AF382" s="69">
        <f>IF(OR(AE382="",AD382="",AD382=0,AE382=0),"",AE382-AD382)</f>
        <v/>
      </c>
      <c r="AG382" s="42">
        <f>IF(OR(AE382="",AD382="",AD382=0,AE382=0),"",AE382/AD382-1)</f>
        <v/>
      </c>
      <c r="AH382" s="43">
        <f>IF(OR(AD382="",W382="",W382=0),"",AD382/W382)</f>
        <v/>
      </c>
      <c r="AI382" s="43">
        <f>IF(OR(AE382="",X382="",X382=0),"",AE382/X382)</f>
        <v/>
      </c>
      <c r="AJ382" s="44">
        <f>IF(OR(AI382="",AH382=""),"",(AI382-AH382)*100)</f>
        <v/>
      </c>
      <c r="AK382" s="68" t="n">
        <v>7</v>
      </c>
      <c r="AL382" s="68" t="n">
        <v>9</v>
      </c>
      <c r="AM382" s="69">
        <f>IF(OR(AL382="",AK382="",AK382=0,AL382=0),"",AL382-AK382)</f>
        <v/>
      </c>
      <c r="AN382" s="42">
        <f>IF(OR(AL382="",AK382="",AK382=0,AL382=0),"",AL382/AK382-1)</f>
        <v/>
      </c>
      <c r="AO382" s="43">
        <f>IF(OR(AK382="",AD382="",AD382=0),"",AK382/AD382)</f>
        <v/>
      </c>
      <c r="AP382" s="43">
        <f>IF(OR(AL382="",AE382="",AE382=0),"",AL382/AE382)</f>
        <v/>
      </c>
      <c r="AQ382" s="44">
        <f>IF(OR(AP382="",AO382=""),"",(AP382-AO382)*100)</f>
        <v/>
      </c>
      <c r="AR382" s="68" t="n">
        <v>7</v>
      </c>
      <c r="AS382" s="68" t="n">
        <v>8</v>
      </c>
      <c r="AT382" s="69">
        <f>IF(OR(AS382="",AR382="",AR382=0,AS382=0),"",AS382-AR382)</f>
        <v/>
      </c>
      <c r="AU382" s="42">
        <f>IF(OR(AS382="",AR382="",AR382=0,AS382=0),"",AS382/AR382-1)</f>
        <v/>
      </c>
      <c r="AV382" s="43">
        <f>IF(OR(AR382="",AK382="",AK382=0),"",AR382/AK382)</f>
        <v/>
      </c>
      <c r="AW382" s="43">
        <f>IF(OR(AS382="",AL382="",AL382=0),"",AS382/AL382)</f>
        <v/>
      </c>
      <c r="AX382" s="44">
        <f>IF(OR(AW382="",AV382=""),"",(AW382-AV382)*100)</f>
        <v/>
      </c>
      <c r="AY382" s="45">
        <f>IF(OR(AR382="",P382="",P382=0),"",AR382/P382)</f>
        <v/>
      </c>
      <c r="AZ382" s="45">
        <f>IF(OR(AS382="",Q382="",Q382=0),"",AS382/Q382)</f>
        <v/>
      </c>
      <c r="BA382" s="44">
        <f>IF(OR(AZ382="",AY382=""),"",(AZ382-AY382)*100)</f>
        <v/>
      </c>
      <c r="BB382" s="45">
        <f>IF(OR(AR382="",E382="",E382=0),"",AR382/E382)</f>
        <v/>
      </c>
      <c r="BC382" s="45">
        <f>IF(OR(AS382="",F382="",F382=0),"",AS382/F382)</f>
        <v/>
      </c>
      <c r="BD382" s="44">
        <f>IF(OR(BC382="",BB382=""),"",(BC382-BB382)*100)</f>
        <v/>
      </c>
      <c r="BE382" s="40">
        <f>IF(AND(F382&lt;&gt;"",E382&lt;&gt;""),"Both years",IF(F382&lt;&gt;"","1-23Aug26 rows only","1-23Aug25 rows only"))</f>
        <v/>
      </c>
    </row>
    <row r="383">
      <c r="A383" s="56" t="inlineStr">
        <is>
          <t>Route page</t>
        </is>
      </c>
      <c r="B383" s="56" t="inlineStr">
        <is>
          <t>Organic</t>
        </is>
      </c>
      <c r="C383" s="56" t="inlineStr">
        <is>
          <t>Desktop</t>
        </is>
      </c>
      <c r="D383" s="56" t="inlineStr">
        <is>
          <t>Netherlands</t>
        </is>
      </c>
      <c r="E383" s="68" t="n">
        <v>496</v>
      </c>
      <c r="F383" s="68" t="n">
        <v>284</v>
      </c>
      <c r="G383" s="69">
        <f>IF(OR(F383="",E383="",E383=0,F383=0),"",F383-E383)</f>
        <v/>
      </c>
      <c r="H383" s="42">
        <f>IF(OR(F383="",E383="",E383=0,F383=0),"",F383/E383-1)</f>
        <v/>
      </c>
      <c r="I383" s="68" t="n">
        <v>310</v>
      </c>
      <c r="J383" s="68" t="n">
        <v>201</v>
      </c>
      <c r="K383" s="69">
        <f>IF(OR(J383="",I383="",I383=0,J383=0),"",J383-I383)</f>
        <v/>
      </c>
      <c r="L383" s="42">
        <f>IF(OR(J383="",I383="",I383=0,J383=0),"",J383/I383-1)</f>
        <v/>
      </c>
      <c r="M383" s="43">
        <f>IF(OR(I383="",E383="",E383=0),"",I383/E383)</f>
        <v/>
      </c>
      <c r="N383" s="43">
        <f>IF(OR(J383="",F383="",F383=0),"",J383/F383)</f>
        <v/>
      </c>
      <c r="O383" s="44">
        <f>IF(OR(N383="",M383=""),"",(N383-M383)*100)</f>
        <v/>
      </c>
      <c r="P383" s="68" t="n">
        <v>274</v>
      </c>
      <c r="Q383" s="68" t="n">
        <v>142</v>
      </c>
      <c r="R383" s="69">
        <f>IF(OR(Q383="",P383="",P383=0,Q383=0),"",Q383-P383)</f>
        <v/>
      </c>
      <c r="S383" s="42">
        <f>IF(OR(Q383="",P383="",P383=0,Q383=0),"",Q383/P383-1)</f>
        <v/>
      </c>
      <c r="T383" s="43">
        <f>IF(OR(P383="",E383="",E383=0),"",P383/E383)</f>
        <v/>
      </c>
      <c r="U383" s="43">
        <f>IF(OR(Q383="",F383="",F383=0),"",Q383/F383)</f>
        <v/>
      </c>
      <c r="V383" s="44">
        <f>IF(OR(U383="",T383=""),"",(U383-T383)*100)</f>
        <v/>
      </c>
      <c r="W383" s="68" t="n">
        <v>51</v>
      </c>
      <c r="X383" s="68" t="n">
        <v>26</v>
      </c>
      <c r="Y383" s="69">
        <f>IF(OR(X383="",W383="",W383=0,X383=0),"",X383-W383)</f>
        <v/>
      </c>
      <c r="Z383" s="42">
        <f>IF(OR(X383="",W383="",W383=0,X383=0),"",X383/W383-1)</f>
        <v/>
      </c>
      <c r="AA383" s="43">
        <f>IF(OR(W383="",P383="",P383=0),"",W383/P383)</f>
        <v/>
      </c>
      <c r="AB383" s="43">
        <f>IF(OR(X383="",Q383="",Q383=0),"",X383/Q383)</f>
        <v/>
      </c>
      <c r="AC383" s="44">
        <f>IF(OR(AB383="",AA383=""),"",(AB383-AA383)*100)</f>
        <v/>
      </c>
      <c r="AD383" s="68" t="n">
        <v>36</v>
      </c>
      <c r="AE383" s="68" t="n">
        <v>22</v>
      </c>
      <c r="AF383" s="69">
        <f>IF(OR(AE383="",AD383="",AD383=0,AE383=0),"",AE383-AD383)</f>
        <v/>
      </c>
      <c r="AG383" s="42">
        <f>IF(OR(AE383="",AD383="",AD383=0,AE383=0),"",AE383/AD383-1)</f>
        <v/>
      </c>
      <c r="AH383" s="43">
        <f>IF(OR(AD383="",W383="",W383=0),"",AD383/W383)</f>
        <v/>
      </c>
      <c r="AI383" s="43">
        <f>IF(OR(AE383="",X383="",X383=0),"",AE383/X383)</f>
        <v/>
      </c>
      <c r="AJ383" s="44">
        <f>IF(OR(AI383="",AH383=""),"",(AI383-AH383)*100)</f>
        <v/>
      </c>
      <c r="AK383" s="68" t="n">
        <v>9</v>
      </c>
      <c r="AL383" s="68" t="n">
        <v>8</v>
      </c>
      <c r="AM383" s="69">
        <f>IF(OR(AL383="",AK383="",AK383=0,AL383=0),"",AL383-AK383)</f>
        <v/>
      </c>
      <c r="AN383" s="42">
        <f>IF(OR(AL383="",AK383="",AK383=0,AL383=0),"",AL383/AK383-1)</f>
        <v/>
      </c>
      <c r="AO383" s="43">
        <f>IF(OR(AK383="",AD383="",AD383=0),"",AK383/AD383)</f>
        <v/>
      </c>
      <c r="AP383" s="43">
        <f>IF(OR(AL383="",AE383="",AE383=0),"",AL383/AE383)</f>
        <v/>
      </c>
      <c r="AQ383" s="44">
        <f>IF(OR(AP383="",AO383=""),"",(AP383-AO383)*100)</f>
        <v/>
      </c>
      <c r="AR383" s="68" t="n">
        <v>3</v>
      </c>
      <c r="AS383" s="68" t="n">
        <v>2</v>
      </c>
      <c r="AT383" s="69">
        <f>IF(OR(AS383="",AR383="",AR383=0,AS383=0),"",AS383-AR383)</f>
        <v/>
      </c>
      <c r="AU383" s="42">
        <f>IF(OR(AS383="",AR383="",AR383=0,AS383=0),"",AS383/AR383-1)</f>
        <v/>
      </c>
      <c r="AV383" s="43">
        <f>IF(OR(AR383="",AK383="",AK383=0),"",AR383/AK383)</f>
        <v/>
      </c>
      <c r="AW383" s="43">
        <f>IF(OR(AS383="",AL383="",AL383=0),"",AS383/AL383)</f>
        <v/>
      </c>
      <c r="AX383" s="44">
        <f>IF(OR(AW383="",AV383=""),"",(AW383-AV383)*100)</f>
        <v/>
      </c>
      <c r="AY383" s="45">
        <f>IF(OR(AR383="",P383="",P383=0),"",AR383/P383)</f>
        <v/>
      </c>
      <c r="AZ383" s="45">
        <f>IF(OR(AS383="",Q383="",Q383=0),"",AS383/Q383)</f>
        <v/>
      </c>
      <c r="BA383" s="44">
        <f>IF(OR(AZ383="",AY383=""),"",(AZ383-AY383)*100)</f>
        <v/>
      </c>
      <c r="BB383" s="45">
        <f>IF(OR(AR383="",E383="",E383=0),"",AR383/E383)</f>
        <v/>
      </c>
      <c r="BC383" s="45">
        <f>IF(OR(AS383="",F383="",F383=0),"",AS383/F383)</f>
        <v/>
      </c>
      <c r="BD383" s="44">
        <f>IF(OR(BC383="",BB383=""),"",(BC383-BB383)*100)</f>
        <v/>
      </c>
      <c r="BE383" s="40">
        <f>IF(AND(F383&lt;&gt;"",E383&lt;&gt;""),"Both years",IF(F383&lt;&gt;"","1-23Aug26 rows only","1-23Aug25 rows only"))</f>
        <v/>
      </c>
    </row>
    <row r="384">
      <c r="A384" s="40" t="inlineStr">
        <is>
          <t>Route page</t>
        </is>
      </c>
      <c r="B384" s="40" t="inlineStr">
        <is>
          <t>Organic</t>
        </is>
      </c>
      <c r="C384" s="40" t="inlineStr">
        <is>
          <t>Desktop</t>
        </is>
      </c>
      <c r="D384" s="40" t="inlineStr">
        <is>
          <t>France</t>
        </is>
      </c>
      <c r="E384" s="68" t="n">
        <v>511</v>
      </c>
      <c r="F384" s="68" t="n">
        <v>259</v>
      </c>
      <c r="G384" s="69">
        <f>IF(OR(F384="",E384="",E384=0,F384=0),"",F384-E384)</f>
        <v/>
      </c>
      <c r="H384" s="42">
        <f>IF(OR(F384="",E384="",E384=0,F384=0),"",F384/E384-1)</f>
        <v/>
      </c>
      <c r="I384" s="68" t="n">
        <v>367</v>
      </c>
      <c r="J384" s="68" t="n">
        <v>159</v>
      </c>
      <c r="K384" s="69">
        <f>IF(OR(J384="",I384="",I384=0,J384=0),"",J384-I384)</f>
        <v/>
      </c>
      <c r="L384" s="42">
        <f>IF(OR(J384="",I384="",I384=0,J384=0),"",J384/I384-1)</f>
        <v/>
      </c>
      <c r="M384" s="43">
        <f>IF(OR(I384="",E384="",E384=0),"",I384/E384)</f>
        <v/>
      </c>
      <c r="N384" s="43">
        <f>IF(OR(J384="",F384="",F384=0),"",J384/F384)</f>
        <v/>
      </c>
      <c r="O384" s="44">
        <f>IF(OR(N384="",M384=""),"",(N384-M384)*100)</f>
        <v/>
      </c>
      <c r="P384" s="68" t="n">
        <v>266</v>
      </c>
      <c r="Q384" s="68" t="n">
        <v>110</v>
      </c>
      <c r="R384" s="69">
        <f>IF(OR(Q384="",P384="",P384=0,Q384=0),"",Q384-P384)</f>
        <v/>
      </c>
      <c r="S384" s="42">
        <f>IF(OR(Q384="",P384="",P384=0,Q384=0),"",Q384/P384-1)</f>
        <v/>
      </c>
      <c r="T384" s="43">
        <f>IF(OR(P384="",E384="",E384=0),"",P384/E384)</f>
        <v/>
      </c>
      <c r="U384" s="43">
        <f>IF(OR(Q384="",F384="",F384=0),"",Q384/F384)</f>
        <v/>
      </c>
      <c r="V384" s="44">
        <f>IF(OR(U384="",T384=""),"",(U384-T384)*100)</f>
        <v/>
      </c>
      <c r="W384" s="68" t="n">
        <v>55</v>
      </c>
      <c r="X384" s="68" t="n">
        <v>22</v>
      </c>
      <c r="Y384" s="69">
        <f>IF(OR(X384="",W384="",W384=0,X384=0),"",X384-W384)</f>
        <v/>
      </c>
      <c r="Z384" s="42">
        <f>IF(OR(X384="",W384="",W384=0,X384=0),"",X384/W384-1)</f>
        <v/>
      </c>
      <c r="AA384" s="43">
        <f>IF(OR(W384="",P384="",P384=0),"",W384/P384)</f>
        <v/>
      </c>
      <c r="AB384" s="43">
        <f>IF(OR(X384="",Q384="",Q384=0),"",X384/Q384)</f>
        <v/>
      </c>
      <c r="AC384" s="44">
        <f>IF(OR(AB384="",AA384=""),"",(AB384-AA384)*100)</f>
        <v/>
      </c>
      <c r="AD384" s="68" t="n">
        <v>42</v>
      </c>
      <c r="AE384" s="68" t="n">
        <v>22</v>
      </c>
      <c r="AF384" s="69">
        <f>IF(OR(AE384="",AD384="",AD384=0,AE384=0),"",AE384-AD384)</f>
        <v/>
      </c>
      <c r="AG384" s="42">
        <f>IF(OR(AE384="",AD384="",AD384=0,AE384=0),"",AE384/AD384-1)</f>
        <v/>
      </c>
      <c r="AH384" s="43">
        <f>IF(OR(AD384="",W384="",W384=0),"",AD384/W384)</f>
        <v/>
      </c>
      <c r="AI384" s="43">
        <f>IF(OR(AE384="",X384="",X384=0),"",AE384/X384)</f>
        <v/>
      </c>
      <c r="AJ384" s="44">
        <f>IF(OR(AI384="",AH384=""),"",(AI384-AH384)*100)</f>
        <v/>
      </c>
      <c r="AK384" s="68" t="n">
        <v>10</v>
      </c>
      <c r="AL384" s="68" t="n">
        <v>3</v>
      </c>
      <c r="AM384" s="69">
        <f>IF(OR(AL384="",AK384="",AK384=0,AL384=0),"",AL384-AK384)</f>
        <v/>
      </c>
      <c r="AN384" s="42">
        <f>IF(OR(AL384="",AK384="",AK384=0,AL384=0),"",AL384/AK384-1)</f>
        <v/>
      </c>
      <c r="AO384" s="43">
        <f>IF(OR(AK384="",AD384="",AD384=0),"",AK384/AD384)</f>
        <v/>
      </c>
      <c r="AP384" s="43">
        <f>IF(OR(AL384="",AE384="",AE384=0),"",AL384/AE384)</f>
        <v/>
      </c>
      <c r="AQ384" s="44">
        <f>IF(OR(AP384="",AO384=""),"",(AP384-AO384)*100)</f>
        <v/>
      </c>
      <c r="AR384" s="68" t="n">
        <v>8</v>
      </c>
      <c r="AS384" s="68" t="n">
        <v>2</v>
      </c>
      <c r="AT384" s="69">
        <f>IF(OR(AS384="",AR384="",AR384=0,AS384=0),"",AS384-AR384)</f>
        <v/>
      </c>
      <c r="AU384" s="42">
        <f>IF(OR(AS384="",AR384="",AR384=0,AS384=0),"",AS384/AR384-1)</f>
        <v/>
      </c>
      <c r="AV384" s="43">
        <f>IF(OR(AR384="",AK384="",AK384=0),"",AR384/AK384)</f>
        <v/>
      </c>
      <c r="AW384" s="43">
        <f>IF(OR(AS384="",AL384="",AL384=0),"",AS384/AL384)</f>
        <v/>
      </c>
      <c r="AX384" s="44">
        <f>IF(OR(AW384="",AV384=""),"",(AW384-AV384)*100)</f>
        <v/>
      </c>
      <c r="AY384" s="45">
        <f>IF(OR(AR384="",P384="",P384=0),"",AR384/P384)</f>
        <v/>
      </c>
      <c r="AZ384" s="45">
        <f>IF(OR(AS384="",Q384="",Q384=0),"",AS384/Q384)</f>
        <v/>
      </c>
      <c r="BA384" s="44">
        <f>IF(OR(AZ384="",AY384=""),"",(AZ384-AY384)*100)</f>
        <v/>
      </c>
      <c r="BB384" s="45">
        <f>IF(OR(AR384="",E384="",E384=0),"",AR384/E384)</f>
        <v/>
      </c>
      <c r="BC384" s="45">
        <f>IF(OR(AS384="",F384="",F384=0),"",AS384/F384)</f>
        <v/>
      </c>
      <c r="BD384" s="44">
        <f>IF(OR(BC384="",BB384=""),"",(BC384-BB384)*100)</f>
        <v/>
      </c>
      <c r="BE384" s="40">
        <f>IF(AND(F384&lt;&gt;"",E384&lt;&gt;""),"Both years",IF(F384&lt;&gt;"","1-23Aug26 rows only","1-23Aug25 rows only"))</f>
        <v/>
      </c>
    </row>
    <row r="385">
      <c r="A385" s="56" t="inlineStr">
        <is>
          <t>Route page</t>
        </is>
      </c>
      <c r="B385" s="56" t="inlineStr">
        <is>
          <t>Organic</t>
        </is>
      </c>
      <c r="C385" s="56" t="inlineStr">
        <is>
          <t>Desktop</t>
        </is>
      </c>
      <c r="D385" s="56" t="inlineStr">
        <is>
          <t>Canada</t>
        </is>
      </c>
      <c r="E385" s="68" t="n">
        <v>221</v>
      </c>
      <c r="F385" s="68" t="n">
        <v>244</v>
      </c>
      <c r="G385" s="69">
        <f>IF(OR(F385="",E385="",E385=0,F385=0),"",F385-E385)</f>
        <v/>
      </c>
      <c r="H385" s="42">
        <f>IF(OR(F385="",E385="",E385=0,F385=0),"",F385/E385-1)</f>
        <v/>
      </c>
      <c r="I385" s="70" t="n"/>
      <c r="J385" s="70" t="n"/>
      <c r="K385" s="69">
        <f>IF(OR(J385="",I385="",I385=0,J385=0),"",J385-I385)</f>
        <v/>
      </c>
      <c r="L385" s="42">
        <f>IF(OR(J385="",I385="",I385=0,J385=0),"",J385/I385-1)</f>
        <v/>
      </c>
      <c r="M385" s="43">
        <f>IF(OR(I385="",E385="",E385=0),"",I385/E385)</f>
        <v/>
      </c>
      <c r="N385" s="43">
        <f>IF(OR(J385="",F385="",F385=0),"",J385/F385)</f>
        <v/>
      </c>
      <c r="O385" s="44">
        <f>IF(OR(N385="",M385=""),"",(N385-M385)*100)</f>
        <v/>
      </c>
      <c r="P385" s="70" t="n"/>
      <c r="Q385" s="68" t="n">
        <v>140</v>
      </c>
      <c r="R385" s="69">
        <f>IF(OR(Q385="",P385="",P385=0,Q385=0),"",Q385-P385)</f>
        <v/>
      </c>
      <c r="S385" s="42">
        <f>IF(OR(Q385="",P385="",P385=0,Q385=0),"",Q385/P385-1)</f>
        <v/>
      </c>
      <c r="T385" s="43">
        <f>IF(OR(P385="",E385="",E385=0),"",P385/E385)</f>
        <v/>
      </c>
      <c r="U385" s="43">
        <f>IF(OR(Q385="",F385="",F385=0),"",Q385/F385)</f>
        <v/>
      </c>
      <c r="V385" s="44">
        <f>IF(OR(U385="",T385=""),"",(U385-T385)*100)</f>
        <v/>
      </c>
      <c r="W385" s="70" t="n"/>
      <c r="X385" s="70" t="n"/>
      <c r="Y385" s="69">
        <f>IF(OR(X385="",W385="",W385=0,X385=0),"",X385-W385)</f>
        <v/>
      </c>
      <c r="Z385" s="42">
        <f>IF(OR(X385="",W385="",W385=0,X385=0),"",X385/W385-1)</f>
        <v/>
      </c>
      <c r="AA385" s="43">
        <f>IF(OR(W385="",P385="",P385=0),"",W385/P385)</f>
        <v/>
      </c>
      <c r="AB385" s="43">
        <f>IF(OR(X385="",Q385="",Q385=0),"",X385/Q385)</f>
        <v/>
      </c>
      <c r="AC385" s="44">
        <f>IF(OR(AB385="",AA385=""),"",(AB385-AA385)*100)</f>
        <v/>
      </c>
      <c r="AD385" s="70" t="n"/>
      <c r="AE385" s="70" t="n"/>
      <c r="AF385" s="69">
        <f>IF(OR(AE385="",AD385="",AD385=0,AE385=0),"",AE385-AD385)</f>
        <v/>
      </c>
      <c r="AG385" s="42">
        <f>IF(OR(AE385="",AD385="",AD385=0,AE385=0),"",AE385/AD385-1)</f>
        <v/>
      </c>
      <c r="AH385" s="43">
        <f>IF(OR(AD385="",W385="",W385=0),"",AD385/W385)</f>
        <v/>
      </c>
      <c r="AI385" s="43">
        <f>IF(OR(AE385="",X385="",X385=0),"",AE385/X385)</f>
        <v/>
      </c>
      <c r="AJ385" s="44">
        <f>IF(OR(AI385="",AH385=""),"",(AI385-AH385)*100)</f>
        <v/>
      </c>
      <c r="AK385" s="70" t="n"/>
      <c r="AL385" s="70" t="n"/>
      <c r="AM385" s="69">
        <f>IF(OR(AL385="",AK385="",AK385=0,AL385=0),"",AL385-AK385)</f>
        <v/>
      </c>
      <c r="AN385" s="42">
        <f>IF(OR(AL385="",AK385="",AK385=0,AL385=0),"",AL385/AK385-1)</f>
        <v/>
      </c>
      <c r="AO385" s="43">
        <f>IF(OR(AK385="",AD385="",AD385=0),"",AK385/AD385)</f>
        <v/>
      </c>
      <c r="AP385" s="43">
        <f>IF(OR(AL385="",AE385="",AE385=0),"",AL385/AE385)</f>
        <v/>
      </c>
      <c r="AQ385" s="44">
        <f>IF(OR(AP385="",AO385=""),"",(AP385-AO385)*100)</f>
        <v/>
      </c>
      <c r="AR385" s="70" t="n"/>
      <c r="AS385" s="70" t="n"/>
      <c r="AT385" s="69">
        <f>IF(OR(AS385="",AR385="",AR385=0,AS385=0),"",AS385-AR385)</f>
        <v/>
      </c>
      <c r="AU385" s="42">
        <f>IF(OR(AS385="",AR385="",AR385=0,AS385=0),"",AS385/AR385-1)</f>
        <v/>
      </c>
      <c r="AV385" s="43">
        <f>IF(OR(AR385="",AK385="",AK385=0),"",AR385/AK385)</f>
        <v/>
      </c>
      <c r="AW385" s="43">
        <f>IF(OR(AS385="",AL385="",AL385=0),"",AS385/AL385)</f>
        <v/>
      </c>
      <c r="AX385" s="44">
        <f>IF(OR(AW385="",AV385=""),"",(AW385-AV385)*100)</f>
        <v/>
      </c>
      <c r="AY385" s="45">
        <f>IF(OR(AR385="",P385="",P385=0),"",AR385/P385)</f>
        <v/>
      </c>
      <c r="AZ385" s="45">
        <f>IF(OR(AS385="",Q385="",Q385=0),"",AS385/Q385)</f>
        <v/>
      </c>
      <c r="BA385" s="44">
        <f>IF(OR(AZ385="",AY385=""),"",(AZ385-AY385)*100)</f>
        <v/>
      </c>
      <c r="BB385" s="45">
        <f>IF(OR(AR385="",E385="",E385=0),"",AR385/E385)</f>
        <v/>
      </c>
      <c r="BC385" s="45">
        <f>IF(OR(AS385="",F385="",F385=0),"",AS385/F385)</f>
        <v/>
      </c>
      <c r="BD385" s="44">
        <f>IF(OR(BC385="",BB385=""),"",(BC385-BB385)*100)</f>
        <v/>
      </c>
      <c r="BE385" s="40">
        <f>IF(AND(F385&lt;&gt;"",E385&lt;&gt;""),"Both years",IF(F385&lt;&gt;"","1-23Aug26 rows only","1-23Aug25 rows only"))</f>
        <v/>
      </c>
    </row>
    <row r="386">
      <c r="A386" s="40" t="inlineStr">
        <is>
          <t>Route page</t>
        </is>
      </c>
      <c r="B386" s="40" t="inlineStr">
        <is>
          <t>Organic</t>
        </is>
      </c>
      <c r="C386" s="40" t="inlineStr">
        <is>
          <t>Desktop</t>
        </is>
      </c>
      <c r="D386" s="40" t="inlineStr">
        <is>
          <t>Brazil</t>
        </is>
      </c>
      <c r="E386" s="68" t="n">
        <v>271</v>
      </c>
      <c r="F386" s="68" t="n">
        <v>239</v>
      </c>
      <c r="G386" s="69">
        <f>IF(OR(F386="",E386="",E386=0,F386=0),"",F386-E386)</f>
        <v/>
      </c>
      <c r="H386" s="42">
        <f>IF(OR(F386="",E386="",E386=0,F386=0),"",F386/E386-1)</f>
        <v/>
      </c>
      <c r="I386" s="70" t="n"/>
      <c r="J386" s="70" t="n"/>
      <c r="K386" s="69">
        <f>IF(OR(J386="",I386="",I386=0,J386=0),"",J386-I386)</f>
        <v/>
      </c>
      <c r="L386" s="42">
        <f>IF(OR(J386="",I386="",I386=0,J386=0),"",J386/I386-1)</f>
        <v/>
      </c>
      <c r="M386" s="43">
        <f>IF(OR(I386="",E386="",E386=0),"",I386/E386)</f>
        <v/>
      </c>
      <c r="N386" s="43">
        <f>IF(OR(J386="",F386="",F386=0),"",J386/F386)</f>
        <v/>
      </c>
      <c r="O386" s="44">
        <f>IF(OR(N386="",M386=""),"",(N386-M386)*100)</f>
        <v/>
      </c>
      <c r="P386" s="68" t="n">
        <v>150</v>
      </c>
      <c r="Q386" s="68" t="n">
        <v>131</v>
      </c>
      <c r="R386" s="69">
        <f>IF(OR(Q386="",P386="",P386=0,Q386=0),"",Q386-P386)</f>
        <v/>
      </c>
      <c r="S386" s="42">
        <f>IF(OR(Q386="",P386="",P386=0,Q386=0),"",Q386/P386-1)</f>
        <v/>
      </c>
      <c r="T386" s="43">
        <f>IF(OR(P386="",E386="",E386=0),"",P386/E386)</f>
        <v/>
      </c>
      <c r="U386" s="43">
        <f>IF(OR(Q386="",F386="",F386=0),"",Q386/F386)</f>
        <v/>
      </c>
      <c r="V386" s="44">
        <f>IF(OR(U386="",T386=""),"",(U386-T386)*100)</f>
        <v/>
      </c>
      <c r="W386" s="70" t="n"/>
      <c r="X386" s="70" t="n"/>
      <c r="Y386" s="69">
        <f>IF(OR(X386="",W386="",W386=0,X386=0),"",X386-W386)</f>
        <v/>
      </c>
      <c r="Z386" s="42">
        <f>IF(OR(X386="",W386="",W386=0,X386=0),"",X386/W386-1)</f>
        <v/>
      </c>
      <c r="AA386" s="43">
        <f>IF(OR(W386="",P386="",P386=0),"",W386/P386)</f>
        <v/>
      </c>
      <c r="AB386" s="43">
        <f>IF(OR(X386="",Q386="",Q386=0),"",X386/Q386)</f>
        <v/>
      </c>
      <c r="AC386" s="44">
        <f>IF(OR(AB386="",AA386=""),"",(AB386-AA386)*100)</f>
        <v/>
      </c>
      <c r="AD386" s="70" t="n"/>
      <c r="AE386" s="70" t="n"/>
      <c r="AF386" s="69">
        <f>IF(OR(AE386="",AD386="",AD386=0,AE386=0),"",AE386-AD386)</f>
        <v/>
      </c>
      <c r="AG386" s="42">
        <f>IF(OR(AE386="",AD386="",AD386=0,AE386=0),"",AE386/AD386-1)</f>
        <v/>
      </c>
      <c r="AH386" s="43">
        <f>IF(OR(AD386="",W386="",W386=0),"",AD386/W386)</f>
        <v/>
      </c>
      <c r="AI386" s="43">
        <f>IF(OR(AE386="",X386="",X386=0),"",AE386/X386)</f>
        <v/>
      </c>
      <c r="AJ386" s="44">
        <f>IF(OR(AI386="",AH386=""),"",(AI386-AH386)*100)</f>
        <v/>
      </c>
      <c r="AK386" s="70" t="n"/>
      <c r="AL386" s="70" t="n"/>
      <c r="AM386" s="69">
        <f>IF(OR(AL386="",AK386="",AK386=0,AL386=0),"",AL386-AK386)</f>
        <v/>
      </c>
      <c r="AN386" s="42">
        <f>IF(OR(AL386="",AK386="",AK386=0,AL386=0),"",AL386/AK386-1)</f>
        <v/>
      </c>
      <c r="AO386" s="43">
        <f>IF(OR(AK386="",AD386="",AD386=0),"",AK386/AD386)</f>
        <v/>
      </c>
      <c r="AP386" s="43">
        <f>IF(OR(AL386="",AE386="",AE386=0),"",AL386/AE386)</f>
        <v/>
      </c>
      <c r="AQ386" s="44">
        <f>IF(OR(AP386="",AO386=""),"",(AP386-AO386)*100)</f>
        <v/>
      </c>
      <c r="AR386" s="70" t="n"/>
      <c r="AS386" s="70" t="n"/>
      <c r="AT386" s="69">
        <f>IF(OR(AS386="",AR386="",AR386=0,AS386=0),"",AS386-AR386)</f>
        <v/>
      </c>
      <c r="AU386" s="42">
        <f>IF(OR(AS386="",AR386="",AR386=0,AS386=0),"",AS386/AR386-1)</f>
        <v/>
      </c>
      <c r="AV386" s="43">
        <f>IF(OR(AR386="",AK386="",AK386=0),"",AR386/AK386)</f>
        <v/>
      </c>
      <c r="AW386" s="43">
        <f>IF(OR(AS386="",AL386="",AL386=0),"",AS386/AL386)</f>
        <v/>
      </c>
      <c r="AX386" s="44">
        <f>IF(OR(AW386="",AV386=""),"",(AW386-AV386)*100)</f>
        <v/>
      </c>
      <c r="AY386" s="45">
        <f>IF(OR(AR386="",P386="",P386=0),"",AR386/P386)</f>
        <v/>
      </c>
      <c r="AZ386" s="45">
        <f>IF(OR(AS386="",Q386="",Q386=0),"",AS386/Q386)</f>
        <v/>
      </c>
      <c r="BA386" s="44">
        <f>IF(OR(AZ386="",AY386=""),"",(AZ386-AY386)*100)</f>
        <v/>
      </c>
      <c r="BB386" s="45">
        <f>IF(OR(AR386="",E386="",E386=0),"",AR386/E386)</f>
        <v/>
      </c>
      <c r="BC386" s="45">
        <f>IF(OR(AS386="",F386="",F386=0),"",AS386/F386)</f>
        <v/>
      </c>
      <c r="BD386" s="44">
        <f>IF(OR(BC386="",BB386=""),"",(BC386-BB386)*100)</f>
        <v/>
      </c>
      <c r="BE386" s="40">
        <f>IF(AND(F386&lt;&gt;"",E386&lt;&gt;""),"Both years",IF(F386&lt;&gt;"","1-23Aug26 rows only","1-23Aug25 rows only"))</f>
        <v/>
      </c>
    </row>
    <row r="387">
      <c r="A387" s="56" t="inlineStr">
        <is>
          <t>Route page</t>
        </is>
      </c>
      <c r="B387" s="56" t="inlineStr">
        <is>
          <t>Organic</t>
        </is>
      </c>
      <c r="C387" s="56" t="inlineStr">
        <is>
          <t>Desktop</t>
        </is>
      </c>
      <c r="D387" s="56" t="inlineStr">
        <is>
          <t>Switzerland</t>
        </is>
      </c>
      <c r="E387" s="70" t="n"/>
      <c r="F387" s="68" t="n">
        <v>218</v>
      </c>
      <c r="G387" s="69">
        <f>IF(OR(F387="",E387="",E387=0,F387=0),"",F387-E387)</f>
        <v/>
      </c>
      <c r="H387" s="42">
        <f>IF(OR(F387="",E387="",E387=0,F387=0),"",F387/E387-1)</f>
        <v/>
      </c>
      <c r="I387" s="70" t="n"/>
      <c r="J387" s="70" t="n"/>
      <c r="K387" s="69">
        <f>IF(OR(J387="",I387="",I387=0,J387=0),"",J387-I387)</f>
        <v/>
      </c>
      <c r="L387" s="42">
        <f>IF(OR(J387="",I387="",I387=0,J387=0),"",J387/I387-1)</f>
        <v/>
      </c>
      <c r="M387" s="43">
        <f>IF(OR(I387="",E387="",E387=0),"",I387/E387)</f>
        <v/>
      </c>
      <c r="N387" s="43">
        <f>IF(OR(J387="",F387="",F387=0),"",J387/F387)</f>
        <v/>
      </c>
      <c r="O387" s="44">
        <f>IF(OR(N387="",M387=""),"",(N387-M387)*100)</f>
        <v/>
      </c>
      <c r="P387" s="70" t="n"/>
      <c r="Q387" s="68" t="n">
        <v>125</v>
      </c>
      <c r="R387" s="69">
        <f>IF(OR(Q387="",P387="",P387=0,Q387=0),"",Q387-P387)</f>
        <v/>
      </c>
      <c r="S387" s="42">
        <f>IF(OR(Q387="",P387="",P387=0,Q387=0),"",Q387/P387-1)</f>
        <v/>
      </c>
      <c r="T387" s="43">
        <f>IF(OR(P387="",E387="",E387=0),"",P387/E387)</f>
        <v/>
      </c>
      <c r="U387" s="43">
        <f>IF(OR(Q387="",F387="",F387=0),"",Q387/F387)</f>
        <v/>
      </c>
      <c r="V387" s="44">
        <f>IF(OR(U387="",T387=""),"",(U387-T387)*100)</f>
        <v/>
      </c>
      <c r="W387" s="70" t="n"/>
      <c r="X387" s="70" t="n"/>
      <c r="Y387" s="69">
        <f>IF(OR(X387="",W387="",W387=0,X387=0),"",X387-W387)</f>
        <v/>
      </c>
      <c r="Z387" s="42">
        <f>IF(OR(X387="",W387="",W387=0,X387=0),"",X387/W387-1)</f>
        <v/>
      </c>
      <c r="AA387" s="43">
        <f>IF(OR(W387="",P387="",P387=0),"",W387/P387)</f>
        <v/>
      </c>
      <c r="AB387" s="43">
        <f>IF(OR(X387="",Q387="",Q387=0),"",X387/Q387)</f>
        <v/>
      </c>
      <c r="AC387" s="44">
        <f>IF(OR(AB387="",AA387=""),"",(AB387-AA387)*100)</f>
        <v/>
      </c>
      <c r="AD387" s="70" t="n"/>
      <c r="AE387" s="70" t="n"/>
      <c r="AF387" s="69">
        <f>IF(OR(AE387="",AD387="",AD387=0,AE387=0),"",AE387-AD387)</f>
        <v/>
      </c>
      <c r="AG387" s="42">
        <f>IF(OR(AE387="",AD387="",AD387=0,AE387=0),"",AE387/AD387-1)</f>
        <v/>
      </c>
      <c r="AH387" s="43">
        <f>IF(OR(AD387="",W387="",W387=0),"",AD387/W387)</f>
        <v/>
      </c>
      <c r="AI387" s="43">
        <f>IF(OR(AE387="",X387="",X387=0),"",AE387/X387)</f>
        <v/>
      </c>
      <c r="AJ387" s="44">
        <f>IF(OR(AI387="",AH387=""),"",(AI387-AH387)*100)</f>
        <v/>
      </c>
      <c r="AK387" s="70" t="n"/>
      <c r="AL387" s="70" t="n"/>
      <c r="AM387" s="69">
        <f>IF(OR(AL387="",AK387="",AK387=0,AL387=0),"",AL387-AK387)</f>
        <v/>
      </c>
      <c r="AN387" s="42">
        <f>IF(OR(AL387="",AK387="",AK387=0,AL387=0),"",AL387/AK387-1)</f>
        <v/>
      </c>
      <c r="AO387" s="43">
        <f>IF(OR(AK387="",AD387="",AD387=0),"",AK387/AD387)</f>
        <v/>
      </c>
      <c r="AP387" s="43">
        <f>IF(OR(AL387="",AE387="",AE387=0),"",AL387/AE387)</f>
        <v/>
      </c>
      <c r="AQ387" s="44">
        <f>IF(OR(AP387="",AO387=""),"",(AP387-AO387)*100)</f>
        <v/>
      </c>
      <c r="AR387" s="70" t="n"/>
      <c r="AS387" s="70" t="n"/>
      <c r="AT387" s="69">
        <f>IF(OR(AS387="",AR387="",AR387=0,AS387=0),"",AS387-AR387)</f>
        <v/>
      </c>
      <c r="AU387" s="42">
        <f>IF(OR(AS387="",AR387="",AR387=0,AS387=0),"",AS387/AR387-1)</f>
        <v/>
      </c>
      <c r="AV387" s="43">
        <f>IF(OR(AR387="",AK387="",AK387=0),"",AR387/AK387)</f>
        <v/>
      </c>
      <c r="AW387" s="43">
        <f>IF(OR(AS387="",AL387="",AL387=0),"",AS387/AL387)</f>
        <v/>
      </c>
      <c r="AX387" s="44">
        <f>IF(OR(AW387="",AV387=""),"",(AW387-AV387)*100)</f>
        <v/>
      </c>
      <c r="AY387" s="45">
        <f>IF(OR(AR387="",P387="",P387=0),"",AR387/P387)</f>
        <v/>
      </c>
      <c r="AZ387" s="45">
        <f>IF(OR(AS387="",Q387="",Q387=0),"",AS387/Q387)</f>
        <v/>
      </c>
      <c r="BA387" s="44">
        <f>IF(OR(AZ387="",AY387=""),"",(AZ387-AY387)*100)</f>
        <v/>
      </c>
      <c r="BB387" s="45">
        <f>IF(OR(AR387="",E387="",E387=0),"",AR387/E387)</f>
        <v/>
      </c>
      <c r="BC387" s="45">
        <f>IF(OR(AS387="",F387="",F387=0),"",AS387/F387)</f>
        <v/>
      </c>
      <c r="BD387" s="44">
        <f>IF(OR(BC387="",BB387=""),"",(BC387-BB387)*100)</f>
        <v/>
      </c>
      <c r="BE387" s="40">
        <f>IF(AND(F387&lt;&gt;"",E387&lt;&gt;""),"Both years",IF(F387&lt;&gt;"","1-23Aug26 rows only","1-23Aug25 rows only"))</f>
        <v/>
      </c>
    </row>
    <row r="388">
      <c r="A388" s="40" t="inlineStr">
        <is>
          <t>Route page</t>
        </is>
      </c>
      <c r="B388" s="40" t="inlineStr">
        <is>
          <t>Organic</t>
        </is>
      </c>
      <c r="C388" s="40" t="inlineStr">
        <is>
          <t>Desktop</t>
        </is>
      </c>
      <c r="D388" s="40" t="inlineStr">
        <is>
          <t>Sweden</t>
        </is>
      </c>
      <c r="E388" s="68" t="n">
        <v>321</v>
      </c>
      <c r="F388" s="68" t="n">
        <v>212</v>
      </c>
      <c r="G388" s="69">
        <f>IF(OR(F388="",E388="",E388=0,F388=0),"",F388-E388)</f>
        <v/>
      </c>
      <c r="H388" s="42">
        <f>IF(OR(F388="",E388="",E388=0,F388=0),"",F388/E388-1)</f>
        <v/>
      </c>
      <c r="I388" s="68" t="n">
        <v>216</v>
      </c>
      <c r="J388" s="68" t="n">
        <v>129</v>
      </c>
      <c r="K388" s="69">
        <f>IF(OR(J388="",I388="",I388=0,J388=0),"",J388-I388)</f>
        <v/>
      </c>
      <c r="L388" s="42">
        <f>IF(OR(J388="",I388="",I388=0,J388=0),"",J388/I388-1)</f>
        <v/>
      </c>
      <c r="M388" s="43">
        <f>IF(OR(I388="",E388="",E388=0),"",I388/E388)</f>
        <v/>
      </c>
      <c r="N388" s="43">
        <f>IF(OR(J388="",F388="",F388=0),"",J388/F388)</f>
        <v/>
      </c>
      <c r="O388" s="44">
        <f>IF(OR(N388="",M388=""),"",(N388-M388)*100)</f>
        <v/>
      </c>
      <c r="P388" s="68" t="n">
        <v>188</v>
      </c>
      <c r="Q388" s="68" t="n">
        <v>100</v>
      </c>
      <c r="R388" s="69">
        <f>IF(OR(Q388="",P388="",P388=0,Q388=0),"",Q388-P388)</f>
        <v/>
      </c>
      <c r="S388" s="42">
        <f>IF(OR(Q388="",P388="",P388=0,Q388=0),"",Q388/P388-1)</f>
        <v/>
      </c>
      <c r="T388" s="43">
        <f>IF(OR(P388="",E388="",E388=0),"",P388/E388)</f>
        <v/>
      </c>
      <c r="U388" s="43">
        <f>IF(OR(Q388="",F388="",F388=0),"",Q388/F388)</f>
        <v/>
      </c>
      <c r="V388" s="44">
        <f>IF(OR(U388="",T388=""),"",(U388-T388)*100)</f>
        <v/>
      </c>
      <c r="W388" s="68" t="n">
        <v>41</v>
      </c>
      <c r="X388" s="68" t="n">
        <v>14</v>
      </c>
      <c r="Y388" s="69">
        <f>IF(OR(X388="",W388="",W388=0,X388=0),"",X388-W388)</f>
        <v/>
      </c>
      <c r="Z388" s="42">
        <f>IF(OR(X388="",W388="",W388=0,X388=0),"",X388/W388-1)</f>
        <v/>
      </c>
      <c r="AA388" s="43">
        <f>IF(OR(W388="",P388="",P388=0),"",W388/P388)</f>
        <v/>
      </c>
      <c r="AB388" s="43">
        <f>IF(OR(X388="",Q388="",Q388=0),"",X388/Q388)</f>
        <v/>
      </c>
      <c r="AC388" s="44">
        <f>IF(OR(AB388="",AA388=""),"",(AB388-AA388)*100)</f>
        <v/>
      </c>
      <c r="AD388" s="68" t="n">
        <v>34</v>
      </c>
      <c r="AE388" s="68" t="n">
        <v>10</v>
      </c>
      <c r="AF388" s="69">
        <f>IF(OR(AE388="",AD388="",AD388=0,AE388=0),"",AE388-AD388)</f>
        <v/>
      </c>
      <c r="AG388" s="42">
        <f>IF(OR(AE388="",AD388="",AD388=0,AE388=0),"",AE388/AD388-1)</f>
        <v/>
      </c>
      <c r="AH388" s="43">
        <f>IF(OR(AD388="",W388="",W388=0),"",AD388/W388)</f>
        <v/>
      </c>
      <c r="AI388" s="43">
        <f>IF(OR(AE388="",X388="",X388=0),"",AE388/X388)</f>
        <v/>
      </c>
      <c r="AJ388" s="44">
        <f>IF(OR(AI388="",AH388=""),"",(AI388-AH388)*100)</f>
        <v/>
      </c>
      <c r="AK388" s="68" t="n">
        <v>7</v>
      </c>
      <c r="AL388" s="70" t="n"/>
      <c r="AM388" s="69">
        <f>IF(OR(AL388="",AK388="",AK388=0,AL388=0),"",AL388-AK388)</f>
        <v/>
      </c>
      <c r="AN388" s="42">
        <f>IF(OR(AL388="",AK388="",AK388=0,AL388=0),"",AL388/AK388-1)</f>
        <v/>
      </c>
      <c r="AO388" s="43">
        <f>IF(OR(AK388="",AD388="",AD388=0),"",AK388/AD388)</f>
        <v/>
      </c>
      <c r="AP388" s="43">
        <f>IF(OR(AL388="",AE388="",AE388=0),"",AL388/AE388)</f>
        <v/>
      </c>
      <c r="AQ388" s="44">
        <f>IF(OR(AP388="",AO388=""),"",(AP388-AO388)*100)</f>
        <v/>
      </c>
      <c r="AR388" s="68" t="n">
        <v>4</v>
      </c>
      <c r="AS388" s="70" t="n"/>
      <c r="AT388" s="69">
        <f>IF(OR(AS388="",AR388="",AR388=0,AS388=0),"",AS388-AR388)</f>
        <v/>
      </c>
      <c r="AU388" s="42">
        <f>IF(OR(AS388="",AR388="",AR388=0,AS388=0),"",AS388/AR388-1)</f>
        <v/>
      </c>
      <c r="AV388" s="43">
        <f>IF(OR(AR388="",AK388="",AK388=0),"",AR388/AK388)</f>
        <v/>
      </c>
      <c r="AW388" s="43">
        <f>IF(OR(AS388="",AL388="",AL388=0),"",AS388/AL388)</f>
        <v/>
      </c>
      <c r="AX388" s="44">
        <f>IF(OR(AW388="",AV388=""),"",(AW388-AV388)*100)</f>
        <v/>
      </c>
      <c r="AY388" s="45">
        <f>IF(OR(AR388="",P388="",P388=0),"",AR388/P388)</f>
        <v/>
      </c>
      <c r="AZ388" s="45">
        <f>IF(OR(AS388="",Q388="",Q388=0),"",AS388/Q388)</f>
        <v/>
      </c>
      <c r="BA388" s="44">
        <f>IF(OR(AZ388="",AY388=""),"",(AZ388-AY388)*100)</f>
        <v/>
      </c>
      <c r="BB388" s="45">
        <f>IF(OR(AR388="",E388="",E388=0),"",AR388/E388)</f>
        <v/>
      </c>
      <c r="BC388" s="45">
        <f>IF(OR(AS388="",F388="",F388=0),"",AS388/F388)</f>
        <v/>
      </c>
      <c r="BD388" s="44">
        <f>IF(OR(BC388="",BB388=""),"",(BC388-BB388)*100)</f>
        <v/>
      </c>
      <c r="BE388" s="40">
        <f>IF(AND(F388&lt;&gt;"",E388&lt;&gt;""),"Both years",IF(F388&lt;&gt;"","1-23Aug26 rows only","1-23Aug25 rows only"))</f>
        <v/>
      </c>
    </row>
    <row r="389">
      <c r="A389" s="56" t="inlineStr">
        <is>
          <t>Route page</t>
        </is>
      </c>
      <c r="B389" s="56" t="inlineStr">
        <is>
          <t>Organic</t>
        </is>
      </c>
      <c r="C389" s="56" t="inlineStr">
        <is>
          <t>Desktop</t>
        </is>
      </c>
      <c r="D389" s="56" t="inlineStr">
        <is>
          <t>Belgium</t>
        </is>
      </c>
      <c r="E389" s="68" t="n">
        <v>248</v>
      </c>
      <c r="F389" s="68" t="n">
        <v>181</v>
      </c>
      <c r="G389" s="69">
        <f>IF(OR(F389="",E389="",E389=0,F389=0),"",F389-E389)</f>
        <v/>
      </c>
      <c r="H389" s="42">
        <f>IF(OR(F389="",E389="",E389=0,F389=0),"",F389/E389-1)</f>
        <v/>
      </c>
      <c r="I389" s="68" t="n">
        <v>179</v>
      </c>
      <c r="J389" s="68" t="n">
        <v>111</v>
      </c>
      <c r="K389" s="69">
        <f>IF(OR(J389="",I389="",I389=0,J389=0),"",J389-I389)</f>
        <v/>
      </c>
      <c r="L389" s="42">
        <f>IF(OR(J389="",I389="",I389=0,J389=0),"",J389/I389-1)</f>
        <v/>
      </c>
      <c r="M389" s="43">
        <f>IF(OR(I389="",E389="",E389=0),"",I389/E389)</f>
        <v/>
      </c>
      <c r="N389" s="43">
        <f>IF(OR(J389="",F389="",F389=0),"",J389/F389)</f>
        <v/>
      </c>
      <c r="O389" s="44">
        <f>IF(OR(N389="",M389=""),"",(N389-M389)*100)</f>
        <v/>
      </c>
      <c r="P389" s="68" t="n">
        <v>166</v>
      </c>
      <c r="Q389" s="70" t="n"/>
      <c r="R389" s="69">
        <f>IF(OR(Q389="",P389="",P389=0,Q389=0),"",Q389-P389)</f>
        <v/>
      </c>
      <c r="S389" s="42">
        <f>IF(OR(Q389="",P389="",P389=0,Q389=0),"",Q389/P389-1)</f>
        <v/>
      </c>
      <c r="T389" s="43">
        <f>IF(OR(P389="",E389="",E389=0),"",P389/E389)</f>
        <v/>
      </c>
      <c r="U389" s="43">
        <f>IF(OR(Q389="",F389="",F389=0),"",Q389/F389)</f>
        <v/>
      </c>
      <c r="V389" s="44">
        <f>IF(OR(U389="",T389=""),"",(U389-T389)*100)</f>
        <v/>
      </c>
      <c r="W389" s="68" t="n">
        <v>28</v>
      </c>
      <c r="X389" s="68" t="n">
        <v>14</v>
      </c>
      <c r="Y389" s="69">
        <f>IF(OR(X389="",W389="",W389=0,X389=0),"",X389-W389)</f>
        <v/>
      </c>
      <c r="Z389" s="42">
        <f>IF(OR(X389="",W389="",W389=0,X389=0),"",X389/W389-1)</f>
        <v/>
      </c>
      <c r="AA389" s="43">
        <f>IF(OR(W389="",P389="",P389=0),"",W389/P389)</f>
        <v/>
      </c>
      <c r="AB389" s="43">
        <f>IF(OR(X389="",Q389="",Q389=0),"",X389/Q389)</f>
        <v/>
      </c>
      <c r="AC389" s="44">
        <f>IF(OR(AB389="",AA389=""),"",(AB389-AA389)*100)</f>
        <v/>
      </c>
      <c r="AD389" s="68" t="n">
        <v>17</v>
      </c>
      <c r="AE389" s="68" t="n">
        <v>9</v>
      </c>
      <c r="AF389" s="69">
        <f>IF(OR(AE389="",AD389="",AD389=0,AE389=0),"",AE389-AD389)</f>
        <v/>
      </c>
      <c r="AG389" s="42">
        <f>IF(OR(AE389="",AD389="",AD389=0,AE389=0),"",AE389/AD389-1)</f>
        <v/>
      </c>
      <c r="AH389" s="43">
        <f>IF(OR(AD389="",W389="",W389=0),"",AD389/W389)</f>
        <v/>
      </c>
      <c r="AI389" s="43">
        <f>IF(OR(AE389="",X389="",X389=0),"",AE389/X389)</f>
        <v/>
      </c>
      <c r="AJ389" s="44">
        <f>IF(OR(AI389="",AH389=""),"",(AI389-AH389)*100)</f>
        <v/>
      </c>
      <c r="AK389" s="68" t="n">
        <v>4</v>
      </c>
      <c r="AL389" s="68" t="n">
        <v>3</v>
      </c>
      <c r="AM389" s="69">
        <f>IF(OR(AL389="",AK389="",AK389=0,AL389=0),"",AL389-AK389)</f>
        <v/>
      </c>
      <c r="AN389" s="42">
        <f>IF(OR(AL389="",AK389="",AK389=0,AL389=0),"",AL389/AK389-1)</f>
        <v/>
      </c>
      <c r="AO389" s="43">
        <f>IF(OR(AK389="",AD389="",AD389=0),"",AK389/AD389)</f>
        <v/>
      </c>
      <c r="AP389" s="43">
        <f>IF(OR(AL389="",AE389="",AE389=0),"",AL389/AE389)</f>
        <v/>
      </c>
      <c r="AQ389" s="44">
        <f>IF(OR(AP389="",AO389=""),"",(AP389-AO389)*100)</f>
        <v/>
      </c>
      <c r="AR389" s="68" t="n">
        <v>4</v>
      </c>
      <c r="AS389" s="68" t="n">
        <v>4</v>
      </c>
      <c r="AT389" s="69">
        <f>IF(OR(AS389="",AR389="",AR389=0,AS389=0),"",AS389-AR389)</f>
        <v/>
      </c>
      <c r="AU389" s="42">
        <f>IF(OR(AS389="",AR389="",AR389=0,AS389=0),"",AS389/AR389-1)</f>
        <v/>
      </c>
      <c r="AV389" s="43">
        <f>IF(OR(AR389="",AK389="",AK389=0),"",AR389/AK389)</f>
        <v/>
      </c>
      <c r="AW389" s="43">
        <f>IF(OR(AS389="",AL389="",AL389=0),"",AS389/AL389)</f>
        <v/>
      </c>
      <c r="AX389" s="44">
        <f>IF(OR(AW389="",AV389=""),"",(AW389-AV389)*100)</f>
        <v/>
      </c>
      <c r="AY389" s="45">
        <f>IF(OR(AR389="",P389="",P389=0),"",AR389/P389)</f>
        <v/>
      </c>
      <c r="AZ389" s="45">
        <f>IF(OR(AS389="",Q389="",Q389=0),"",AS389/Q389)</f>
        <v/>
      </c>
      <c r="BA389" s="44">
        <f>IF(OR(AZ389="",AY389=""),"",(AZ389-AY389)*100)</f>
        <v/>
      </c>
      <c r="BB389" s="45">
        <f>IF(OR(AR389="",E389="",E389=0),"",AR389/E389)</f>
        <v/>
      </c>
      <c r="BC389" s="45">
        <f>IF(OR(AS389="",F389="",F389=0),"",AS389/F389)</f>
        <v/>
      </c>
      <c r="BD389" s="44">
        <f>IF(OR(BC389="",BB389=""),"",(BC389-BB389)*100)</f>
        <v/>
      </c>
      <c r="BE389" s="40">
        <f>IF(AND(F389&lt;&gt;"",E389&lt;&gt;""),"Both years",IF(F389&lt;&gt;"","1-23Aug26 rows only","1-23Aug25 rows only"))</f>
        <v/>
      </c>
    </row>
    <row r="390">
      <c r="A390" s="40" t="inlineStr">
        <is>
          <t>Route page</t>
        </is>
      </c>
      <c r="B390" s="40" t="inlineStr">
        <is>
          <t>Organic</t>
        </is>
      </c>
      <c r="C390" s="40" t="inlineStr">
        <is>
          <t>Desktop</t>
        </is>
      </c>
      <c r="D390" s="40" t="inlineStr">
        <is>
          <t>Ireland</t>
        </is>
      </c>
      <c r="E390" s="68" t="n">
        <v>256</v>
      </c>
      <c r="F390" s="70" t="n"/>
      <c r="G390" s="69">
        <f>IF(OR(F390="",E390="",E390=0,F390=0),"",F390-E390)</f>
        <v/>
      </c>
      <c r="H390" s="42">
        <f>IF(OR(F390="",E390="",E390=0,F390=0),"",F390/E390-1)</f>
        <v/>
      </c>
      <c r="I390" s="68" t="n">
        <v>181</v>
      </c>
      <c r="J390" s="68" t="n">
        <v>127</v>
      </c>
      <c r="K390" s="69">
        <f>IF(OR(J390="",I390="",I390=0,J390=0),"",J390-I390)</f>
        <v/>
      </c>
      <c r="L390" s="42">
        <f>IF(OR(J390="",I390="",I390=0,J390=0),"",J390/I390-1)</f>
        <v/>
      </c>
      <c r="M390" s="43">
        <f>IF(OR(I390="",E390="",E390=0),"",I390/E390)</f>
        <v/>
      </c>
      <c r="N390" s="43">
        <f>IF(OR(J390="",F390="",F390=0),"",J390/F390)</f>
        <v/>
      </c>
      <c r="O390" s="44">
        <f>IF(OR(N390="",M390=""),"",(N390-M390)*100)</f>
        <v/>
      </c>
      <c r="P390" s="68" t="n">
        <v>183</v>
      </c>
      <c r="Q390" s="70" t="n"/>
      <c r="R390" s="69">
        <f>IF(OR(Q390="",P390="",P390=0,Q390=0),"",Q390-P390)</f>
        <v/>
      </c>
      <c r="S390" s="42">
        <f>IF(OR(Q390="",P390="",P390=0,Q390=0),"",Q390/P390-1)</f>
        <v/>
      </c>
      <c r="T390" s="43">
        <f>IF(OR(P390="",E390="",E390=0),"",P390/E390)</f>
        <v/>
      </c>
      <c r="U390" s="43">
        <f>IF(OR(Q390="",F390="",F390=0),"",Q390/F390)</f>
        <v/>
      </c>
      <c r="V390" s="44">
        <f>IF(OR(U390="",T390=""),"",(U390-T390)*100)</f>
        <v/>
      </c>
      <c r="W390" s="68" t="n">
        <v>34</v>
      </c>
      <c r="X390" s="68" t="n">
        <v>15</v>
      </c>
      <c r="Y390" s="69">
        <f>IF(OR(X390="",W390="",W390=0,X390=0),"",X390-W390)</f>
        <v/>
      </c>
      <c r="Z390" s="42">
        <f>IF(OR(X390="",W390="",W390=0,X390=0),"",X390/W390-1)</f>
        <v/>
      </c>
      <c r="AA390" s="43">
        <f>IF(OR(W390="",P390="",P390=0),"",W390/P390)</f>
        <v/>
      </c>
      <c r="AB390" s="43">
        <f>IF(OR(X390="",Q390="",Q390=0),"",X390/Q390)</f>
        <v/>
      </c>
      <c r="AC390" s="44">
        <f>IF(OR(AB390="",AA390=""),"",(AB390-AA390)*100)</f>
        <v/>
      </c>
      <c r="AD390" s="68" t="n">
        <v>30</v>
      </c>
      <c r="AE390" s="68" t="n">
        <v>12</v>
      </c>
      <c r="AF390" s="69">
        <f>IF(OR(AE390="",AD390="",AD390=0,AE390=0),"",AE390-AD390)</f>
        <v/>
      </c>
      <c r="AG390" s="42">
        <f>IF(OR(AE390="",AD390="",AD390=0,AE390=0),"",AE390/AD390-1)</f>
        <v/>
      </c>
      <c r="AH390" s="43">
        <f>IF(OR(AD390="",W390="",W390=0),"",AD390/W390)</f>
        <v/>
      </c>
      <c r="AI390" s="43">
        <f>IF(OR(AE390="",X390="",X390=0),"",AE390/X390)</f>
        <v/>
      </c>
      <c r="AJ390" s="44">
        <f>IF(OR(AI390="",AH390=""),"",(AI390-AH390)*100)</f>
        <v/>
      </c>
      <c r="AK390" s="68" t="n">
        <v>14</v>
      </c>
      <c r="AL390" s="68" t="n">
        <v>3</v>
      </c>
      <c r="AM390" s="69">
        <f>IF(OR(AL390="",AK390="",AK390=0,AL390=0),"",AL390-AK390)</f>
        <v/>
      </c>
      <c r="AN390" s="42">
        <f>IF(OR(AL390="",AK390="",AK390=0,AL390=0),"",AL390/AK390-1)</f>
        <v/>
      </c>
      <c r="AO390" s="43">
        <f>IF(OR(AK390="",AD390="",AD390=0),"",AK390/AD390)</f>
        <v/>
      </c>
      <c r="AP390" s="43">
        <f>IF(OR(AL390="",AE390="",AE390=0),"",AL390/AE390)</f>
        <v/>
      </c>
      <c r="AQ390" s="44">
        <f>IF(OR(AP390="",AO390=""),"",(AP390-AO390)*100)</f>
        <v/>
      </c>
      <c r="AR390" s="68" t="n">
        <v>13</v>
      </c>
      <c r="AS390" s="68" t="n">
        <v>3</v>
      </c>
      <c r="AT390" s="69">
        <f>IF(OR(AS390="",AR390="",AR390=0,AS390=0),"",AS390-AR390)</f>
        <v/>
      </c>
      <c r="AU390" s="42">
        <f>IF(OR(AS390="",AR390="",AR390=0,AS390=0),"",AS390/AR390-1)</f>
        <v/>
      </c>
      <c r="AV390" s="43">
        <f>IF(OR(AR390="",AK390="",AK390=0),"",AR390/AK390)</f>
        <v/>
      </c>
      <c r="AW390" s="43">
        <f>IF(OR(AS390="",AL390="",AL390=0),"",AS390/AL390)</f>
        <v/>
      </c>
      <c r="AX390" s="44">
        <f>IF(OR(AW390="",AV390=""),"",(AW390-AV390)*100)</f>
        <v/>
      </c>
      <c r="AY390" s="45">
        <f>IF(OR(AR390="",P390="",P390=0),"",AR390/P390)</f>
        <v/>
      </c>
      <c r="AZ390" s="45">
        <f>IF(OR(AS390="",Q390="",Q390=0),"",AS390/Q390)</f>
        <v/>
      </c>
      <c r="BA390" s="44">
        <f>IF(OR(AZ390="",AY390=""),"",(AZ390-AY390)*100)</f>
        <v/>
      </c>
      <c r="BB390" s="45">
        <f>IF(OR(AR390="",E390="",E390=0),"",AR390/E390)</f>
        <v/>
      </c>
      <c r="BC390" s="45">
        <f>IF(OR(AS390="",F390="",F390=0),"",AS390/F390)</f>
        <v/>
      </c>
      <c r="BD390" s="44">
        <f>IF(OR(BC390="",BB390=""),"",(BC390-BB390)*100)</f>
        <v/>
      </c>
      <c r="BE390" s="40">
        <f>IF(AND(F390&lt;&gt;"",E390&lt;&gt;""),"Both years",IF(F390&lt;&gt;"","1-23Aug26 rows only","1-23Aug25 rows only"))</f>
        <v/>
      </c>
    </row>
    <row r="391">
      <c r="A391" s="56" t="inlineStr">
        <is>
          <t>Route page</t>
        </is>
      </c>
      <c r="B391" s="56" t="inlineStr">
        <is>
          <t>Organic</t>
        </is>
      </c>
      <c r="C391" s="56" t="inlineStr">
        <is>
          <t>Desktop</t>
        </is>
      </c>
      <c r="D391" s="56" t="inlineStr">
        <is>
          <t>Norway</t>
        </is>
      </c>
      <c r="E391" s="70" t="n"/>
      <c r="F391" s="70" t="n"/>
      <c r="G391" s="69">
        <f>IF(OR(F391="",E391="",E391=0,F391=0),"",F391-E391)</f>
        <v/>
      </c>
      <c r="H391" s="42">
        <f>IF(OR(F391="",E391="",E391=0,F391=0),"",F391/E391-1)</f>
        <v/>
      </c>
      <c r="I391" s="68" t="n">
        <v>108</v>
      </c>
      <c r="J391" s="68" t="n">
        <v>88</v>
      </c>
      <c r="K391" s="69">
        <f>IF(OR(J391="",I391="",I391=0,J391=0),"",J391-I391)</f>
        <v/>
      </c>
      <c r="L391" s="42">
        <f>IF(OR(J391="",I391="",I391=0,J391=0),"",J391/I391-1)</f>
        <v/>
      </c>
      <c r="M391" s="43">
        <f>IF(OR(I391="",E391="",E391=0),"",I391/E391)</f>
        <v/>
      </c>
      <c r="N391" s="43">
        <f>IF(OR(J391="",F391="",F391=0),"",J391/F391)</f>
        <v/>
      </c>
      <c r="O391" s="44">
        <f>IF(OR(N391="",M391=""),"",(N391-M391)*100)</f>
        <v/>
      </c>
      <c r="P391" s="70" t="n"/>
      <c r="Q391" s="70" t="n"/>
      <c r="R391" s="69">
        <f>IF(OR(Q391="",P391="",P391=0,Q391=0),"",Q391-P391)</f>
        <v/>
      </c>
      <c r="S391" s="42">
        <f>IF(OR(Q391="",P391="",P391=0,Q391=0),"",Q391/P391-1)</f>
        <v/>
      </c>
      <c r="T391" s="43">
        <f>IF(OR(P391="",E391="",E391=0),"",P391/E391)</f>
        <v/>
      </c>
      <c r="U391" s="43">
        <f>IF(OR(Q391="",F391="",F391=0),"",Q391/F391)</f>
        <v/>
      </c>
      <c r="V391" s="44">
        <f>IF(OR(U391="",T391=""),"",(U391-T391)*100)</f>
        <v/>
      </c>
      <c r="W391" s="68" t="n">
        <v>20</v>
      </c>
      <c r="X391" s="68" t="n">
        <v>8</v>
      </c>
      <c r="Y391" s="69">
        <f>IF(OR(X391="",W391="",W391=0,X391=0),"",X391-W391)</f>
        <v/>
      </c>
      <c r="Z391" s="42">
        <f>IF(OR(X391="",W391="",W391=0,X391=0),"",X391/W391-1)</f>
        <v/>
      </c>
      <c r="AA391" s="43">
        <f>IF(OR(W391="",P391="",P391=0),"",W391/P391)</f>
        <v/>
      </c>
      <c r="AB391" s="43">
        <f>IF(OR(X391="",Q391="",Q391=0),"",X391/Q391)</f>
        <v/>
      </c>
      <c r="AC391" s="44">
        <f>IF(OR(AB391="",AA391=""),"",(AB391-AA391)*100)</f>
        <v/>
      </c>
      <c r="AD391" s="68" t="n">
        <v>14</v>
      </c>
      <c r="AE391" s="68" t="n">
        <v>5</v>
      </c>
      <c r="AF391" s="69">
        <f>IF(OR(AE391="",AD391="",AD391=0,AE391=0),"",AE391-AD391)</f>
        <v/>
      </c>
      <c r="AG391" s="42">
        <f>IF(OR(AE391="",AD391="",AD391=0,AE391=0),"",AE391/AD391-1)</f>
        <v/>
      </c>
      <c r="AH391" s="43">
        <f>IF(OR(AD391="",W391="",W391=0),"",AD391/W391)</f>
        <v/>
      </c>
      <c r="AI391" s="43">
        <f>IF(OR(AE391="",X391="",X391=0),"",AE391/X391)</f>
        <v/>
      </c>
      <c r="AJ391" s="44">
        <f>IF(OR(AI391="",AH391=""),"",(AI391-AH391)*100)</f>
        <v/>
      </c>
      <c r="AK391" s="68" t="n">
        <v>3</v>
      </c>
      <c r="AL391" s="68" t="n">
        <v>1</v>
      </c>
      <c r="AM391" s="69">
        <f>IF(OR(AL391="",AK391="",AK391=0,AL391=0),"",AL391-AK391)</f>
        <v/>
      </c>
      <c r="AN391" s="42">
        <f>IF(OR(AL391="",AK391="",AK391=0,AL391=0),"",AL391/AK391-1)</f>
        <v/>
      </c>
      <c r="AO391" s="43">
        <f>IF(OR(AK391="",AD391="",AD391=0),"",AK391/AD391)</f>
        <v/>
      </c>
      <c r="AP391" s="43">
        <f>IF(OR(AL391="",AE391="",AE391=0),"",AL391/AE391)</f>
        <v/>
      </c>
      <c r="AQ391" s="44">
        <f>IF(OR(AP391="",AO391=""),"",(AP391-AO391)*100)</f>
        <v/>
      </c>
      <c r="AR391" s="68" t="n">
        <v>1</v>
      </c>
      <c r="AS391" s="68" t="n">
        <v>1</v>
      </c>
      <c r="AT391" s="69">
        <f>IF(OR(AS391="",AR391="",AR391=0,AS391=0),"",AS391-AR391)</f>
        <v/>
      </c>
      <c r="AU391" s="42">
        <f>IF(OR(AS391="",AR391="",AR391=0,AS391=0),"",AS391/AR391-1)</f>
        <v/>
      </c>
      <c r="AV391" s="43">
        <f>IF(OR(AR391="",AK391="",AK391=0),"",AR391/AK391)</f>
        <v/>
      </c>
      <c r="AW391" s="43">
        <f>IF(OR(AS391="",AL391="",AL391=0),"",AS391/AL391)</f>
        <v/>
      </c>
      <c r="AX391" s="44">
        <f>IF(OR(AW391="",AV391=""),"",(AW391-AV391)*100)</f>
        <v/>
      </c>
      <c r="AY391" s="45">
        <f>IF(OR(AR391="",P391="",P391=0),"",AR391/P391)</f>
        <v/>
      </c>
      <c r="AZ391" s="45">
        <f>IF(OR(AS391="",Q391="",Q391=0),"",AS391/Q391)</f>
        <v/>
      </c>
      <c r="BA391" s="44">
        <f>IF(OR(AZ391="",AY391=""),"",(AZ391-AY391)*100)</f>
        <v/>
      </c>
      <c r="BB391" s="45">
        <f>IF(OR(AR391="",E391="",E391=0),"",AR391/E391)</f>
        <v/>
      </c>
      <c r="BC391" s="45">
        <f>IF(OR(AS391="",F391="",F391=0),"",AS391/F391)</f>
        <v/>
      </c>
      <c r="BD391" s="44">
        <f>IF(OR(BC391="",BB391=""),"",(BC391-BB391)*100)</f>
        <v/>
      </c>
      <c r="BE391" s="40">
        <f>IF(AND(F391&lt;&gt;"",E391&lt;&gt;""),"Both years",IF(F391&lt;&gt;"","1-23Aug26 rows only","1-23Aug25 rows only"))</f>
        <v/>
      </c>
    </row>
    <row r="392">
      <c r="A392" s="40" t="inlineStr">
        <is>
          <t>Route page</t>
        </is>
      </c>
      <c r="B392" s="40" t="inlineStr">
        <is>
          <t>Organic</t>
        </is>
      </c>
      <c r="C392" s="40" t="inlineStr">
        <is>
          <t>Desktop</t>
        </is>
      </c>
      <c r="D392" s="40" t="inlineStr">
        <is>
          <t>Finland</t>
        </is>
      </c>
      <c r="E392" s="70" t="n"/>
      <c r="F392" s="70" t="n"/>
      <c r="G392" s="69">
        <f>IF(OR(F392="",E392="",E392=0,F392=0),"",F392-E392)</f>
        <v/>
      </c>
      <c r="H392" s="42">
        <f>IF(OR(F392="",E392="",E392=0,F392=0),"",F392/E392-1)</f>
        <v/>
      </c>
      <c r="I392" s="68" t="n">
        <v>101</v>
      </c>
      <c r="J392" s="68" t="n">
        <v>67</v>
      </c>
      <c r="K392" s="69">
        <f>IF(OR(J392="",I392="",I392=0,J392=0),"",J392-I392)</f>
        <v/>
      </c>
      <c r="L392" s="42">
        <f>IF(OR(J392="",I392="",I392=0,J392=0),"",J392/I392-1)</f>
        <v/>
      </c>
      <c r="M392" s="43">
        <f>IF(OR(I392="",E392="",E392=0),"",I392/E392)</f>
        <v/>
      </c>
      <c r="N392" s="43">
        <f>IF(OR(J392="",F392="",F392=0),"",J392/F392)</f>
        <v/>
      </c>
      <c r="O392" s="44">
        <f>IF(OR(N392="",M392=""),"",(N392-M392)*100)</f>
        <v/>
      </c>
      <c r="P392" s="70" t="n"/>
      <c r="Q392" s="70" t="n"/>
      <c r="R392" s="69">
        <f>IF(OR(Q392="",P392="",P392=0,Q392=0),"",Q392-P392)</f>
        <v/>
      </c>
      <c r="S392" s="42">
        <f>IF(OR(Q392="",P392="",P392=0,Q392=0),"",Q392/P392-1)</f>
        <v/>
      </c>
      <c r="T392" s="43">
        <f>IF(OR(P392="",E392="",E392=0),"",P392/E392)</f>
        <v/>
      </c>
      <c r="U392" s="43">
        <f>IF(OR(Q392="",F392="",F392=0),"",Q392/F392)</f>
        <v/>
      </c>
      <c r="V392" s="44">
        <f>IF(OR(U392="",T392=""),"",(U392-T392)*100)</f>
        <v/>
      </c>
      <c r="W392" s="68" t="n">
        <v>16</v>
      </c>
      <c r="X392" s="68" t="n">
        <v>12</v>
      </c>
      <c r="Y392" s="69">
        <f>IF(OR(X392="",W392="",W392=0,X392=0),"",X392-W392)</f>
        <v/>
      </c>
      <c r="Z392" s="42">
        <f>IF(OR(X392="",W392="",W392=0,X392=0),"",X392/W392-1)</f>
        <v/>
      </c>
      <c r="AA392" s="43">
        <f>IF(OR(W392="",P392="",P392=0),"",W392/P392)</f>
        <v/>
      </c>
      <c r="AB392" s="43">
        <f>IF(OR(X392="",Q392="",Q392=0),"",X392/Q392)</f>
        <v/>
      </c>
      <c r="AC392" s="44">
        <f>IF(OR(AB392="",AA392=""),"",(AB392-AA392)*100)</f>
        <v/>
      </c>
      <c r="AD392" s="68" t="n">
        <v>12</v>
      </c>
      <c r="AE392" s="68" t="n">
        <v>8</v>
      </c>
      <c r="AF392" s="69">
        <f>IF(OR(AE392="",AD392="",AD392=0,AE392=0),"",AE392-AD392)</f>
        <v/>
      </c>
      <c r="AG392" s="42">
        <f>IF(OR(AE392="",AD392="",AD392=0,AE392=0),"",AE392/AD392-1)</f>
        <v/>
      </c>
      <c r="AH392" s="43">
        <f>IF(OR(AD392="",W392="",W392=0),"",AD392/W392)</f>
        <v/>
      </c>
      <c r="AI392" s="43">
        <f>IF(OR(AE392="",X392="",X392=0),"",AE392/X392)</f>
        <v/>
      </c>
      <c r="AJ392" s="44">
        <f>IF(OR(AI392="",AH392=""),"",(AI392-AH392)*100)</f>
        <v/>
      </c>
      <c r="AK392" s="68" t="n">
        <v>2</v>
      </c>
      <c r="AL392" s="68" t="n">
        <v>2</v>
      </c>
      <c r="AM392" s="69">
        <f>IF(OR(AL392="",AK392="",AK392=0,AL392=0),"",AL392-AK392)</f>
        <v/>
      </c>
      <c r="AN392" s="42">
        <f>IF(OR(AL392="",AK392="",AK392=0,AL392=0),"",AL392/AK392-1)</f>
        <v/>
      </c>
      <c r="AO392" s="43">
        <f>IF(OR(AK392="",AD392="",AD392=0),"",AK392/AD392)</f>
        <v/>
      </c>
      <c r="AP392" s="43">
        <f>IF(OR(AL392="",AE392="",AE392=0),"",AL392/AE392)</f>
        <v/>
      </c>
      <c r="AQ392" s="44">
        <f>IF(OR(AP392="",AO392=""),"",(AP392-AO392)*100)</f>
        <v/>
      </c>
      <c r="AR392" s="68" t="n">
        <v>2</v>
      </c>
      <c r="AS392" s="68" t="n">
        <v>2</v>
      </c>
      <c r="AT392" s="69">
        <f>IF(OR(AS392="",AR392="",AR392=0,AS392=0),"",AS392-AR392)</f>
        <v/>
      </c>
      <c r="AU392" s="42">
        <f>IF(OR(AS392="",AR392="",AR392=0,AS392=0),"",AS392/AR392-1)</f>
        <v/>
      </c>
      <c r="AV392" s="43">
        <f>IF(OR(AR392="",AK392="",AK392=0),"",AR392/AK392)</f>
        <v/>
      </c>
      <c r="AW392" s="43">
        <f>IF(OR(AS392="",AL392="",AL392=0),"",AS392/AL392)</f>
        <v/>
      </c>
      <c r="AX392" s="44">
        <f>IF(OR(AW392="",AV392=""),"",(AW392-AV392)*100)</f>
        <v/>
      </c>
      <c r="AY392" s="45">
        <f>IF(OR(AR392="",P392="",P392=0),"",AR392/P392)</f>
        <v/>
      </c>
      <c r="AZ392" s="45">
        <f>IF(OR(AS392="",Q392="",Q392=0),"",AS392/Q392)</f>
        <v/>
      </c>
      <c r="BA392" s="44">
        <f>IF(OR(AZ392="",AY392=""),"",(AZ392-AY392)*100)</f>
        <v/>
      </c>
      <c r="BB392" s="45">
        <f>IF(OR(AR392="",E392="",E392=0),"",AR392/E392)</f>
        <v/>
      </c>
      <c r="BC392" s="45">
        <f>IF(OR(AS392="",F392="",F392=0),"",AS392/F392)</f>
        <v/>
      </c>
      <c r="BD392" s="44">
        <f>IF(OR(BC392="",BB392=""),"",(BC392-BB392)*100)</f>
        <v/>
      </c>
      <c r="BE392" s="40">
        <f>IF(AND(F392&lt;&gt;"",E392&lt;&gt;""),"Both years",IF(F392&lt;&gt;"","1-23Aug26 rows only","1-23Aug25 rows only"))</f>
        <v/>
      </c>
    </row>
    <row r="393">
      <c r="A393" s="56" t="inlineStr">
        <is>
          <t>Route page</t>
        </is>
      </c>
      <c r="B393" s="56" t="inlineStr">
        <is>
          <t>Organic</t>
        </is>
      </c>
      <c r="C393" s="56" t="inlineStr">
        <is>
          <t>Desktop</t>
        </is>
      </c>
      <c r="D393" s="56" t="inlineStr">
        <is>
          <t>Argentina</t>
        </is>
      </c>
      <c r="E393" s="70" t="n"/>
      <c r="F393" s="70" t="n"/>
      <c r="G393" s="69">
        <f>IF(OR(F393="",E393="",E393=0,F393=0),"",F393-E393)</f>
        <v/>
      </c>
      <c r="H393" s="42">
        <f>IF(OR(F393="",E393="",E393=0,F393=0),"",F393/E393-1)</f>
        <v/>
      </c>
      <c r="I393" s="70" t="n"/>
      <c r="J393" s="70" t="n"/>
      <c r="K393" s="69">
        <f>IF(OR(J393="",I393="",I393=0,J393=0),"",J393-I393)</f>
        <v/>
      </c>
      <c r="L393" s="42">
        <f>IF(OR(J393="",I393="",I393=0,J393=0),"",J393/I393-1)</f>
        <v/>
      </c>
      <c r="M393" s="43">
        <f>IF(OR(I393="",E393="",E393=0),"",I393/E393)</f>
        <v/>
      </c>
      <c r="N393" s="43">
        <f>IF(OR(J393="",F393="",F393=0),"",J393/F393)</f>
        <v/>
      </c>
      <c r="O393" s="44">
        <f>IF(OR(N393="",M393=""),"",(N393-M393)*100)</f>
        <v/>
      </c>
      <c r="P393" s="70" t="n"/>
      <c r="Q393" s="68" t="n">
        <v>105</v>
      </c>
      <c r="R393" s="69">
        <f>IF(OR(Q393="",P393="",P393=0,Q393=0),"",Q393-P393)</f>
        <v/>
      </c>
      <c r="S393" s="42">
        <f>IF(OR(Q393="",P393="",P393=0,Q393=0),"",Q393/P393-1)</f>
        <v/>
      </c>
      <c r="T393" s="43">
        <f>IF(OR(P393="",E393="",E393=0),"",P393/E393)</f>
        <v/>
      </c>
      <c r="U393" s="43">
        <f>IF(OR(Q393="",F393="",F393=0),"",Q393/F393)</f>
        <v/>
      </c>
      <c r="V393" s="44">
        <f>IF(OR(U393="",T393=""),"",(U393-T393)*100)</f>
        <v/>
      </c>
      <c r="W393" s="70" t="n"/>
      <c r="X393" s="70" t="n"/>
      <c r="Y393" s="69">
        <f>IF(OR(X393="",W393="",W393=0,X393=0),"",X393-W393)</f>
        <v/>
      </c>
      <c r="Z393" s="42">
        <f>IF(OR(X393="",W393="",W393=0,X393=0),"",X393/W393-1)</f>
        <v/>
      </c>
      <c r="AA393" s="43">
        <f>IF(OR(W393="",P393="",P393=0),"",W393/P393)</f>
        <v/>
      </c>
      <c r="AB393" s="43">
        <f>IF(OR(X393="",Q393="",Q393=0),"",X393/Q393)</f>
        <v/>
      </c>
      <c r="AC393" s="44">
        <f>IF(OR(AB393="",AA393=""),"",(AB393-AA393)*100)</f>
        <v/>
      </c>
      <c r="AD393" s="70" t="n"/>
      <c r="AE393" s="70" t="n"/>
      <c r="AF393" s="69">
        <f>IF(OR(AE393="",AD393="",AD393=0,AE393=0),"",AE393-AD393)</f>
        <v/>
      </c>
      <c r="AG393" s="42">
        <f>IF(OR(AE393="",AD393="",AD393=0,AE393=0),"",AE393/AD393-1)</f>
        <v/>
      </c>
      <c r="AH393" s="43">
        <f>IF(OR(AD393="",W393="",W393=0),"",AD393/W393)</f>
        <v/>
      </c>
      <c r="AI393" s="43">
        <f>IF(OR(AE393="",X393="",X393=0),"",AE393/X393)</f>
        <v/>
      </c>
      <c r="AJ393" s="44">
        <f>IF(OR(AI393="",AH393=""),"",(AI393-AH393)*100)</f>
        <v/>
      </c>
      <c r="AK393" s="70" t="n"/>
      <c r="AL393" s="70" t="n"/>
      <c r="AM393" s="69">
        <f>IF(OR(AL393="",AK393="",AK393=0,AL393=0),"",AL393-AK393)</f>
        <v/>
      </c>
      <c r="AN393" s="42">
        <f>IF(OR(AL393="",AK393="",AK393=0,AL393=0),"",AL393/AK393-1)</f>
        <v/>
      </c>
      <c r="AO393" s="43">
        <f>IF(OR(AK393="",AD393="",AD393=0),"",AK393/AD393)</f>
        <v/>
      </c>
      <c r="AP393" s="43">
        <f>IF(OR(AL393="",AE393="",AE393=0),"",AL393/AE393)</f>
        <v/>
      </c>
      <c r="AQ393" s="44">
        <f>IF(OR(AP393="",AO393=""),"",(AP393-AO393)*100)</f>
        <v/>
      </c>
      <c r="AR393" s="70" t="n"/>
      <c r="AS393" s="70" t="n"/>
      <c r="AT393" s="69">
        <f>IF(OR(AS393="",AR393="",AR393=0,AS393=0),"",AS393-AR393)</f>
        <v/>
      </c>
      <c r="AU393" s="42">
        <f>IF(OR(AS393="",AR393="",AR393=0,AS393=0),"",AS393/AR393-1)</f>
        <v/>
      </c>
      <c r="AV393" s="43">
        <f>IF(OR(AR393="",AK393="",AK393=0),"",AR393/AK393)</f>
        <v/>
      </c>
      <c r="AW393" s="43">
        <f>IF(OR(AS393="",AL393="",AL393=0),"",AS393/AL393)</f>
        <v/>
      </c>
      <c r="AX393" s="44">
        <f>IF(OR(AW393="",AV393=""),"",(AW393-AV393)*100)</f>
        <v/>
      </c>
      <c r="AY393" s="45">
        <f>IF(OR(AR393="",P393="",P393=0),"",AR393/P393)</f>
        <v/>
      </c>
      <c r="AZ393" s="45">
        <f>IF(OR(AS393="",Q393="",Q393=0),"",AS393/Q393)</f>
        <v/>
      </c>
      <c r="BA393" s="44">
        <f>IF(OR(AZ393="",AY393=""),"",(AZ393-AY393)*100)</f>
        <v/>
      </c>
      <c r="BB393" s="45">
        <f>IF(OR(AR393="",E393="",E393=0),"",AR393/E393)</f>
        <v/>
      </c>
      <c r="BC393" s="45">
        <f>IF(OR(AS393="",F393="",F393=0),"",AS393/F393)</f>
        <v/>
      </c>
      <c r="BD393" s="44">
        <f>IF(OR(BC393="",BB393=""),"",(BC393-BB393)*100)</f>
        <v/>
      </c>
      <c r="BE393" s="40">
        <f>IF(AND(F393&lt;&gt;"",E393&lt;&gt;""),"Both years",IF(F393&lt;&gt;"","1-23Aug26 rows only","1-23Aug25 rows only"))</f>
        <v/>
      </c>
    </row>
    <row r="394">
      <c r="A394" s="40" t="inlineStr">
        <is>
          <t>Route page</t>
        </is>
      </c>
      <c r="B394" s="40" t="inlineStr">
        <is>
          <t>Organic</t>
        </is>
      </c>
      <c r="C394" s="40" t="inlineStr">
        <is>
          <t>Desktop</t>
        </is>
      </c>
      <c r="D394" s="40" t="inlineStr">
        <is>
          <t>Austria</t>
        </is>
      </c>
      <c r="E394" s="70" t="n"/>
      <c r="F394" s="70" t="n"/>
      <c r="G394" s="69">
        <f>IF(OR(F394="",E394="",E394=0,F394=0),"",F394-E394)</f>
        <v/>
      </c>
      <c r="H394" s="42">
        <f>IF(OR(F394="",E394="",E394=0,F394=0),"",F394/E394-1)</f>
        <v/>
      </c>
      <c r="I394" s="70" t="n"/>
      <c r="J394" s="70" t="n"/>
      <c r="K394" s="69">
        <f>IF(OR(J394="",I394="",I394=0,J394=0),"",J394-I394)</f>
        <v/>
      </c>
      <c r="L394" s="42">
        <f>IF(OR(J394="",I394="",I394=0,J394=0),"",J394/I394-1)</f>
        <v/>
      </c>
      <c r="M394" s="43">
        <f>IF(OR(I394="",E394="",E394=0),"",I394/E394)</f>
        <v/>
      </c>
      <c r="N394" s="43">
        <f>IF(OR(J394="",F394="",F394=0),"",J394/F394)</f>
        <v/>
      </c>
      <c r="O394" s="44">
        <f>IF(OR(N394="",M394=""),"",(N394-M394)*100)</f>
        <v/>
      </c>
      <c r="P394" s="68" t="n">
        <v>122</v>
      </c>
      <c r="Q394" s="70" t="n"/>
      <c r="R394" s="69">
        <f>IF(OR(Q394="",P394="",P394=0,Q394=0),"",Q394-P394)</f>
        <v/>
      </c>
      <c r="S394" s="42">
        <f>IF(OR(Q394="",P394="",P394=0,Q394=0),"",Q394/P394-1)</f>
        <v/>
      </c>
      <c r="T394" s="43">
        <f>IF(OR(P394="",E394="",E394=0),"",P394/E394)</f>
        <v/>
      </c>
      <c r="U394" s="43">
        <f>IF(OR(Q394="",F394="",F394=0),"",Q394/F394)</f>
        <v/>
      </c>
      <c r="V394" s="44">
        <f>IF(OR(U394="",T394=""),"",(U394-T394)*100)</f>
        <v/>
      </c>
      <c r="W394" s="70" t="n"/>
      <c r="X394" s="70" t="n"/>
      <c r="Y394" s="69">
        <f>IF(OR(X394="",W394="",W394=0,X394=0),"",X394-W394)</f>
        <v/>
      </c>
      <c r="Z394" s="42">
        <f>IF(OR(X394="",W394="",W394=0,X394=0),"",X394/W394-1)</f>
        <v/>
      </c>
      <c r="AA394" s="43">
        <f>IF(OR(W394="",P394="",P394=0),"",W394/P394)</f>
        <v/>
      </c>
      <c r="AB394" s="43">
        <f>IF(OR(X394="",Q394="",Q394=0),"",X394/Q394)</f>
        <v/>
      </c>
      <c r="AC394" s="44">
        <f>IF(OR(AB394="",AA394=""),"",(AB394-AA394)*100)</f>
        <v/>
      </c>
      <c r="AD394" s="70" t="n"/>
      <c r="AE394" s="70" t="n"/>
      <c r="AF394" s="69">
        <f>IF(OR(AE394="",AD394="",AD394=0,AE394=0),"",AE394-AD394)</f>
        <v/>
      </c>
      <c r="AG394" s="42">
        <f>IF(OR(AE394="",AD394="",AD394=0,AE394=0),"",AE394/AD394-1)</f>
        <v/>
      </c>
      <c r="AH394" s="43">
        <f>IF(OR(AD394="",W394="",W394=0),"",AD394/W394)</f>
        <v/>
      </c>
      <c r="AI394" s="43">
        <f>IF(OR(AE394="",X394="",X394=0),"",AE394/X394)</f>
        <v/>
      </c>
      <c r="AJ394" s="44">
        <f>IF(OR(AI394="",AH394=""),"",(AI394-AH394)*100)</f>
        <v/>
      </c>
      <c r="AK394" s="70" t="n"/>
      <c r="AL394" s="70" t="n"/>
      <c r="AM394" s="69">
        <f>IF(OR(AL394="",AK394="",AK394=0,AL394=0),"",AL394-AK394)</f>
        <v/>
      </c>
      <c r="AN394" s="42">
        <f>IF(OR(AL394="",AK394="",AK394=0,AL394=0),"",AL394/AK394-1)</f>
        <v/>
      </c>
      <c r="AO394" s="43">
        <f>IF(OR(AK394="",AD394="",AD394=0),"",AK394/AD394)</f>
        <v/>
      </c>
      <c r="AP394" s="43">
        <f>IF(OR(AL394="",AE394="",AE394=0),"",AL394/AE394)</f>
        <v/>
      </c>
      <c r="AQ394" s="44">
        <f>IF(OR(AP394="",AO394=""),"",(AP394-AO394)*100)</f>
        <v/>
      </c>
      <c r="AR394" s="70" t="n"/>
      <c r="AS394" s="70" t="n"/>
      <c r="AT394" s="69">
        <f>IF(OR(AS394="",AR394="",AR394=0,AS394=0),"",AS394-AR394)</f>
        <v/>
      </c>
      <c r="AU394" s="42">
        <f>IF(OR(AS394="",AR394="",AR394=0,AS394=0),"",AS394/AR394-1)</f>
        <v/>
      </c>
      <c r="AV394" s="43">
        <f>IF(OR(AR394="",AK394="",AK394=0),"",AR394/AK394)</f>
        <v/>
      </c>
      <c r="AW394" s="43">
        <f>IF(OR(AS394="",AL394="",AL394=0),"",AS394/AL394)</f>
        <v/>
      </c>
      <c r="AX394" s="44">
        <f>IF(OR(AW394="",AV394=""),"",(AW394-AV394)*100)</f>
        <v/>
      </c>
      <c r="AY394" s="45">
        <f>IF(OR(AR394="",P394="",P394=0),"",AR394/P394)</f>
        <v/>
      </c>
      <c r="AZ394" s="45">
        <f>IF(OR(AS394="",Q394="",Q394=0),"",AS394/Q394)</f>
        <v/>
      </c>
      <c r="BA394" s="44">
        <f>IF(OR(AZ394="",AY394=""),"",(AZ394-AY394)*100)</f>
        <v/>
      </c>
      <c r="BB394" s="45">
        <f>IF(OR(AR394="",E394="",E394=0),"",AR394/E394)</f>
        <v/>
      </c>
      <c r="BC394" s="45">
        <f>IF(OR(AS394="",F394="",F394=0),"",AS394/F394)</f>
        <v/>
      </c>
      <c r="BD394" s="44">
        <f>IF(OR(BC394="",BB394=""),"",(BC394-BB394)*100)</f>
        <v/>
      </c>
      <c r="BE394" s="40">
        <f>IF(AND(F394&lt;&gt;"",E394&lt;&gt;""),"Both years",IF(F394&lt;&gt;"","1-23Aug26 rows only","1-23Aug25 rows only"))</f>
        <v/>
      </c>
    </row>
    <row r="395">
      <c r="A395" s="40" t="inlineStr">
        <is>
          <t>Route page</t>
        </is>
      </c>
      <c r="B395" s="40" t="inlineStr">
        <is>
          <t>Direct</t>
        </is>
      </c>
      <c r="C395" s="40" t="inlineStr">
        <is>
          <t>Mobile</t>
        </is>
      </c>
      <c r="D395" s="40" t="inlineStr">
        <is>
          <t>Germany</t>
        </is>
      </c>
      <c r="E395" s="68" t="n">
        <v>290</v>
      </c>
      <c r="F395" s="68" t="n">
        <v>698</v>
      </c>
      <c r="G395" s="69">
        <f>IF(OR(F395="",E395="",E395=0,F395=0),"",F395-E395)</f>
        <v/>
      </c>
      <c r="H395" s="42">
        <f>IF(OR(F395="",E395="",E395=0,F395=0),"",F395/E395-1)</f>
        <v/>
      </c>
      <c r="I395" s="68" t="n">
        <v>188</v>
      </c>
      <c r="J395" s="68" t="n">
        <v>205</v>
      </c>
      <c r="K395" s="69">
        <f>IF(OR(J395="",I395="",I395=0,J395=0),"",J395-I395)</f>
        <v/>
      </c>
      <c r="L395" s="42">
        <f>IF(OR(J395="",I395="",I395=0,J395=0),"",J395/I395-1)</f>
        <v/>
      </c>
      <c r="M395" s="43">
        <f>IF(OR(I395="",E395="",E395=0),"",I395/E395)</f>
        <v/>
      </c>
      <c r="N395" s="43">
        <f>IF(OR(J395="",F395="",F395=0),"",J395/F395)</f>
        <v/>
      </c>
      <c r="O395" s="44">
        <f>IF(OR(N395="",M395=""),"",(N395-M395)*100)</f>
        <v/>
      </c>
      <c r="P395" s="68" t="n">
        <v>143</v>
      </c>
      <c r="Q395" s="68" t="n">
        <v>351</v>
      </c>
      <c r="R395" s="69">
        <f>IF(OR(Q395="",P395="",P395=0,Q395=0),"",Q395-P395)</f>
        <v/>
      </c>
      <c r="S395" s="42">
        <f>IF(OR(Q395="",P395="",P395=0,Q395=0),"",Q395/P395-1)</f>
        <v/>
      </c>
      <c r="T395" s="43">
        <f>IF(OR(P395="",E395="",E395=0),"",P395/E395)</f>
        <v/>
      </c>
      <c r="U395" s="43">
        <f>IF(OR(Q395="",F395="",F395=0),"",Q395/F395)</f>
        <v/>
      </c>
      <c r="V395" s="44">
        <f>IF(OR(U395="",T395=""),"",(U395-T395)*100)</f>
        <v/>
      </c>
      <c r="W395" s="68" t="n">
        <v>33</v>
      </c>
      <c r="X395" s="68" t="n">
        <v>64</v>
      </c>
      <c r="Y395" s="69">
        <f>IF(OR(X395="",W395="",W395=0,X395=0),"",X395-W395)</f>
        <v/>
      </c>
      <c r="Z395" s="42">
        <f>IF(OR(X395="",W395="",W395=0,X395=0),"",X395/W395-1)</f>
        <v/>
      </c>
      <c r="AA395" s="43">
        <f>IF(OR(W395="",P395="",P395=0),"",W395/P395)</f>
        <v/>
      </c>
      <c r="AB395" s="43">
        <f>IF(OR(X395="",Q395="",Q395=0),"",X395/Q395)</f>
        <v/>
      </c>
      <c r="AC395" s="44">
        <f>IF(OR(AB395="",AA395=""),"",(AB395-AA395)*100)</f>
        <v/>
      </c>
      <c r="AD395" s="68" t="n">
        <v>20</v>
      </c>
      <c r="AE395" s="68" t="n">
        <v>42</v>
      </c>
      <c r="AF395" s="69">
        <f>IF(OR(AE395="",AD395="",AD395=0,AE395=0),"",AE395-AD395)</f>
        <v/>
      </c>
      <c r="AG395" s="42">
        <f>IF(OR(AE395="",AD395="",AD395=0,AE395=0),"",AE395/AD395-1)</f>
        <v/>
      </c>
      <c r="AH395" s="43">
        <f>IF(OR(AD395="",W395="",W395=0),"",AD395/W395)</f>
        <v/>
      </c>
      <c r="AI395" s="43">
        <f>IF(OR(AE395="",X395="",X395=0),"",AE395/X395)</f>
        <v/>
      </c>
      <c r="AJ395" s="44">
        <f>IF(OR(AI395="",AH395=""),"",(AI395-AH395)*100)</f>
        <v/>
      </c>
      <c r="AK395" s="68" t="n">
        <v>2</v>
      </c>
      <c r="AL395" s="68" t="n">
        <v>8</v>
      </c>
      <c r="AM395" s="69">
        <f>IF(OR(AL395="",AK395="",AK395=0,AL395=0),"",AL395-AK395)</f>
        <v/>
      </c>
      <c r="AN395" s="42">
        <f>IF(OR(AL395="",AK395="",AK395=0,AL395=0),"",AL395/AK395-1)</f>
        <v/>
      </c>
      <c r="AO395" s="43">
        <f>IF(OR(AK395="",AD395="",AD395=0),"",AK395/AD395)</f>
        <v/>
      </c>
      <c r="AP395" s="43">
        <f>IF(OR(AL395="",AE395="",AE395=0),"",AL395/AE395)</f>
        <v/>
      </c>
      <c r="AQ395" s="44">
        <f>IF(OR(AP395="",AO395=""),"",(AP395-AO395)*100)</f>
        <v/>
      </c>
      <c r="AR395" s="68" t="n">
        <v>2</v>
      </c>
      <c r="AS395" s="68" t="n">
        <v>9</v>
      </c>
      <c r="AT395" s="69">
        <f>IF(OR(AS395="",AR395="",AR395=0,AS395=0),"",AS395-AR395)</f>
        <v/>
      </c>
      <c r="AU395" s="42">
        <f>IF(OR(AS395="",AR395="",AR395=0,AS395=0),"",AS395/AR395-1)</f>
        <v/>
      </c>
      <c r="AV395" s="43">
        <f>IF(OR(AR395="",AK395="",AK395=0),"",AR395/AK395)</f>
        <v/>
      </c>
      <c r="AW395" s="43">
        <f>IF(OR(AS395="",AL395="",AL395=0),"",AS395/AL395)</f>
        <v/>
      </c>
      <c r="AX395" s="44">
        <f>IF(OR(AW395="",AV395=""),"",(AW395-AV395)*100)</f>
        <v/>
      </c>
      <c r="AY395" s="45">
        <f>IF(OR(AR395="",P395="",P395=0),"",AR395/P395)</f>
        <v/>
      </c>
      <c r="AZ395" s="45">
        <f>IF(OR(AS395="",Q395="",Q395=0),"",AS395/Q395)</f>
        <v/>
      </c>
      <c r="BA395" s="44">
        <f>IF(OR(AZ395="",AY395=""),"",(AZ395-AY395)*100)</f>
        <v/>
      </c>
      <c r="BB395" s="45">
        <f>IF(OR(AR395="",E395="",E395=0),"",AR395/E395)</f>
        <v/>
      </c>
      <c r="BC395" s="45">
        <f>IF(OR(AS395="",F395="",F395=0),"",AS395/F395)</f>
        <v/>
      </c>
      <c r="BD395" s="44">
        <f>IF(OR(BC395="",BB395=""),"",(BC395-BB395)*100)</f>
        <v/>
      </c>
      <c r="BE395" s="40">
        <f>IF(AND(F395&lt;&gt;"",E395&lt;&gt;""),"Both years",IF(F395&lt;&gt;"","1-23Aug26 rows only","1-23Aug25 rows only"))</f>
        <v/>
      </c>
    </row>
    <row r="396">
      <c r="A396" s="56" t="inlineStr">
        <is>
          <t>Route page</t>
        </is>
      </c>
      <c r="B396" s="56" t="inlineStr">
        <is>
          <t>Direct</t>
        </is>
      </c>
      <c r="C396" s="56" t="inlineStr">
        <is>
          <t>Mobile</t>
        </is>
      </c>
      <c r="D396" s="56" t="inlineStr">
        <is>
          <t>United Kingdom</t>
        </is>
      </c>
      <c r="E396" s="68" t="n">
        <v>339</v>
      </c>
      <c r="F396" s="68" t="n">
        <v>535</v>
      </c>
      <c r="G396" s="69">
        <f>IF(OR(F396="",E396="",E396=0,F396=0),"",F396-E396)</f>
        <v/>
      </c>
      <c r="H396" s="42">
        <f>IF(OR(F396="",E396="",E396=0,F396=0),"",F396/E396-1)</f>
        <v/>
      </c>
      <c r="I396" s="68" t="n">
        <v>202</v>
      </c>
      <c r="J396" s="68" t="n">
        <v>344</v>
      </c>
      <c r="K396" s="69">
        <f>IF(OR(J396="",I396="",I396=0,J396=0),"",J396-I396)</f>
        <v/>
      </c>
      <c r="L396" s="42">
        <f>IF(OR(J396="",I396="",I396=0,J396=0),"",J396/I396-1)</f>
        <v/>
      </c>
      <c r="M396" s="43">
        <f>IF(OR(I396="",E396="",E396=0),"",I396/E396)</f>
        <v/>
      </c>
      <c r="N396" s="43">
        <f>IF(OR(J396="",F396="",F396=0),"",J396/F396)</f>
        <v/>
      </c>
      <c r="O396" s="44">
        <f>IF(OR(N396="",M396=""),"",(N396-M396)*100)</f>
        <v/>
      </c>
      <c r="P396" s="68" t="n">
        <v>187</v>
      </c>
      <c r="Q396" s="68" t="n">
        <v>326</v>
      </c>
      <c r="R396" s="69">
        <f>IF(OR(Q396="",P396="",P396=0,Q396=0),"",Q396-P396)</f>
        <v/>
      </c>
      <c r="S396" s="42">
        <f>IF(OR(Q396="",P396="",P396=0,Q396=0),"",Q396/P396-1)</f>
        <v/>
      </c>
      <c r="T396" s="43">
        <f>IF(OR(P396="",E396="",E396=0),"",P396/E396)</f>
        <v/>
      </c>
      <c r="U396" s="43">
        <f>IF(OR(Q396="",F396="",F396=0),"",Q396/F396)</f>
        <v/>
      </c>
      <c r="V396" s="44">
        <f>IF(OR(U396="",T396=""),"",(U396-T396)*100)</f>
        <v/>
      </c>
      <c r="W396" s="68" t="n">
        <v>53</v>
      </c>
      <c r="X396" s="68" t="n">
        <v>59</v>
      </c>
      <c r="Y396" s="69">
        <f>IF(OR(X396="",W396="",W396=0,X396=0),"",X396-W396)</f>
        <v/>
      </c>
      <c r="Z396" s="42">
        <f>IF(OR(X396="",W396="",W396=0,X396=0),"",X396/W396-1)</f>
        <v/>
      </c>
      <c r="AA396" s="43">
        <f>IF(OR(W396="",P396="",P396=0),"",W396/P396)</f>
        <v/>
      </c>
      <c r="AB396" s="43">
        <f>IF(OR(X396="",Q396="",Q396=0),"",X396/Q396)</f>
        <v/>
      </c>
      <c r="AC396" s="44">
        <f>IF(OR(AB396="",AA396=""),"",(AB396-AA396)*100)</f>
        <v/>
      </c>
      <c r="AD396" s="68" t="n">
        <v>44</v>
      </c>
      <c r="AE396" s="68" t="n">
        <v>42</v>
      </c>
      <c r="AF396" s="69">
        <f>IF(OR(AE396="",AD396="",AD396=0,AE396=0),"",AE396-AD396)</f>
        <v/>
      </c>
      <c r="AG396" s="42">
        <f>IF(OR(AE396="",AD396="",AD396=0,AE396=0),"",AE396/AD396-1)</f>
        <v/>
      </c>
      <c r="AH396" s="43">
        <f>IF(OR(AD396="",W396="",W396=0),"",AD396/W396)</f>
        <v/>
      </c>
      <c r="AI396" s="43">
        <f>IF(OR(AE396="",X396="",X396=0),"",AE396/X396)</f>
        <v/>
      </c>
      <c r="AJ396" s="44">
        <f>IF(OR(AI396="",AH396=""),"",(AI396-AH396)*100)</f>
        <v/>
      </c>
      <c r="AK396" s="68" t="n">
        <v>18</v>
      </c>
      <c r="AL396" s="68" t="n">
        <v>15</v>
      </c>
      <c r="AM396" s="69">
        <f>IF(OR(AL396="",AK396="",AK396=0,AL396=0),"",AL396-AK396)</f>
        <v/>
      </c>
      <c r="AN396" s="42">
        <f>IF(OR(AL396="",AK396="",AK396=0,AL396=0),"",AL396/AK396-1)</f>
        <v/>
      </c>
      <c r="AO396" s="43">
        <f>IF(OR(AK396="",AD396="",AD396=0),"",AK396/AD396)</f>
        <v/>
      </c>
      <c r="AP396" s="43">
        <f>IF(OR(AL396="",AE396="",AE396=0),"",AL396/AE396)</f>
        <v/>
      </c>
      <c r="AQ396" s="44">
        <f>IF(OR(AP396="",AO396=""),"",(AP396-AO396)*100)</f>
        <v/>
      </c>
      <c r="AR396" s="68" t="n">
        <v>16</v>
      </c>
      <c r="AS396" s="68" t="n">
        <v>10</v>
      </c>
      <c r="AT396" s="69">
        <f>IF(OR(AS396="",AR396="",AR396=0,AS396=0),"",AS396-AR396)</f>
        <v/>
      </c>
      <c r="AU396" s="42">
        <f>IF(OR(AS396="",AR396="",AR396=0,AS396=0),"",AS396/AR396-1)</f>
        <v/>
      </c>
      <c r="AV396" s="43">
        <f>IF(OR(AR396="",AK396="",AK396=0),"",AR396/AK396)</f>
        <v/>
      </c>
      <c r="AW396" s="43">
        <f>IF(OR(AS396="",AL396="",AL396=0),"",AS396/AL396)</f>
        <v/>
      </c>
      <c r="AX396" s="44">
        <f>IF(OR(AW396="",AV396=""),"",(AW396-AV396)*100)</f>
        <v/>
      </c>
      <c r="AY396" s="45">
        <f>IF(OR(AR396="",P396="",P396=0),"",AR396/P396)</f>
        <v/>
      </c>
      <c r="AZ396" s="45">
        <f>IF(OR(AS396="",Q396="",Q396=0),"",AS396/Q396)</f>
        <v/>
      </c>
      <c r="BA396" s="44">
        <f>IF(OR(AZ396="",AY396=""),"",(AZ396-AY396)*100)</f>
        <v/>
      </c>
      <c r="BB396" s="45">
        <f>IF(OR(AR396="",E396="",E396=0),"",AR396/E396)</f>
        <v/>
      </c>
      <c r="BC396" s="45">
        <f>IF(OR(AS396="",F396="",F396=0),"",AS396/F396)</f>
        <v/>
      </c>
      <c r="BD396" s="44">
        <f>IF(OR(BC396="",BB396=""),"",(BC396-BB396)*100)</f>
        <v/>
      </c>
      <c r="BE396" s="40">
        <f>IF(AND(F396&lt;&gt;"",E396&lt;&gt;""),"Both years",IF(F396&lt;&gt;"","1-23Aug26 rows only","1-23Aug25 rows only"))</f>
        <v/>
      </c>
    </row>
    <row r="397">
      <c r="A397" s="40" t="inlineStr">
        <is>
          <t>Route page</t>
        </is>
      </c>
      <c r="B397" s="40" t="inlineStr">
        <is>
          <t>Direct</t>
        </is>
      </c>
      <c r="C397" s="40" t="inlineStr">
        <is>
          <t>Mobile</t>
        </is>
      </c>
      <c r="D397" s="40" t="inlineStr">
        <is>
          <t>Italy</t>
        </is>
      </c>
      <c r="E397" s="68" t="n">
        <v>148</v>
      </c>
      <c r="F397" s="68" t="n">
        <v>491</v>
      </c>
      <c r="G397" s="69">
        <f>IF(OR(F397="",E397="",E397=0,F397=0),"",F397-E397)</f>
        <v/>
      </c>
      <c r="H397" s="42">
        <f>IF(OR(F397="",E397="",E397=0,F397=0),"",F397/E397-1)</f>
        <v/>
      </c>
      <c r="I397" s="68" t="n">
        <v>87</v>
      </c>
      <c r="J397" s="68" t="n">
        <v>109</v>
      </c>
      <c r="K397" s="69">
        <f>IF(OR(J397="",I397="",I397=0,J397=0),"",J397-I397)</f>
        <v/>
      </c>
      <c r="L397" s="42">
        <f>IF(OR(J397="",I397="",I397=0,J397=0),"",J397/I397-1)</f>
        <v/>
      </c>
      <c r="M397" s="43">
        <f>IF(OR(I397="",E397="",E397=0),"",I397/E397)</f>
        <v/>
      </c>
      <c r="N397" s="43">
        <f>IF(OR(J397="",F397="",F397=0),"",J397/F397)</f>
        <v/>
      </c>
      <c r="O397" s="44">
        <f>IF(OR(N397="",M397=""),"",(N397-M397)*100)</f>
        <v/>
      </c>
      <c r="P397" s="68" t="n">
        <v>68</v>
      </c>
      <c r="Q397" s="68" t="n">
        <v>206</v>
      </c>
      <c r="R397" s="69">
        <f>IF(OR(Q397="",P397="",P397=0,Q397=0),"",Q397-P397)</f>
        <v/>
      </c>
      <c r="S397" s="42">
        <f>IF(OR(Q397="",P397="",P397=0,Q397=0),"",Q397/P397-1)</f>
        <v/>
      </c>
      <c r="T397" s="43">
        <f>IF(OR(P397="",E397="",E397=0),"",P397/E397)</f>
        <v/>
      </c>
      <c r="U397" s="43">
        <f>IF(OR(Q397="",F397="",F397=0),"",Q397/F397)</f>
        <v/>
      </c>
      <c r="V397" s="44">
        <f>IF(OR(U397="",T397=""),"",(U397-T397)*100)</f>
        <v/>
      </c>
      <c r="W397" s="68" t="n">
        <v>14</v>
      </c>
      <c r="X397" s="68" t="n">
        <v>26</v>
      </c>
      <c r="Y397" s="69">
        <f>IF(OR(X397="",W397="",W397=0,X397=0),"",X397-W397)</f>
        <v/>
      </c>
      <c r="Z397" s="42">
        <f>IF(OR(X397="",W397="",W397=0,X397=0),"",X397/W397-1)</f>
        <v/>
      </c>
      <c r="AA397" s="43">
        <f>IF(OR(W397="",P397="",P397=0),"",W397/P397)</f>
        <v/>
      </c>
      <c r="AB397" s="43">
        <f>IF(OR(X397="",Q397="",Q397=0),"",X397/Q397)</f>
        <v/>
      </c>
      <c r="AC397" s="44">
        <f>IF(OR(AB397="",AA397=""),"",(AB397-AA397)*100)</f>
        <v/>
      </c>
      <c r="AD397" s="68" t="n">
        <v>6</v>
      </c>
      <c r="AE397" s="68" t="n">
        <v>17</v>
      </c>
      <c r="AF397" s="69">
        <f>IF(OR(AE397="",AD397="",AD397=0,AE397=0),"",AE397-AD397)</f>
        <v/>
      </c>
      <c r="AG397" s="42">
        <f>IF(OR(AE397="",AD397="",AD397=0,AE397=0),"",AE397/AD397-1)</f>
        <v/>
      </c>
      <c r="AH397" s="43">
        <f>IF(OR(AD397="",W397="",W397=0),"",AD397/W397)</f>
        <v/>
      </c>
      <c r="AI397" s="43">
        <f>IF(OR(AE397="",X397="",X397=0),"",AE397/X397)</f>
        <v/>
      </c>
      <c r="AJ397" s="44">
        <f>IF(OR(AI397="",AH397=""),"",(AI397-AH397)*100)</f>
        <v/>
      </c>
      <c r="AK397" s="70" t="n"/>
      <c r="AL397" s="68" t="n">
        <v>3</v>
      </c>
      <c r="AM397" s="69">
        <f>IF(OR(AL397="",AK397="",AK397=0,AL397=0),"",AL397-AK397)</f>
        <v/>
      </c>
      <c r="AN397" s="42">
        <f>IF(OR(AL397="",AK397="",AK397=0,AL397=0),"",AL397/AK397-1)</f>
        <v/>
      </c>
      <c r="AO397" s="43">
        <f>IF(OR(AK397="",AD397="",AD397=0),"",AK397/AD397)</f>
        <v/>
      </c>
      <c r="AP397" s="43">
        <f>IF(OR(AL397="",AE397="",AE397=0),"",AL397/AE397)</f>
        <v/>
      </c>
      <c r="AQ397" s="44">
        <f>IF(OR(AP397="",AO397=""),"",(AP397-AO397)*100)</f>
        <v/>
      </c>
      <c r="AR397" s="70" t="n"/>
      <c r="AS397" s="68" t="n">
        <v>3</v>
      </c>
      <c r="AT397" s="69">
        <f>IF(OR(AS397="",AR397="",AR397=0,AS397=0),"",AS397-AR397)</f>
        <v/>
      </c>
      <c r="AU397" s="42">
        <f>IF(OR(AS397="",AR397="",AR397=0,AS397=0),"",AS397/AR397-1)</f>
        <v/>
      </c>
      <c r="AV397" s="43">
        <f>IF(OR(AR397="",AK397="",AK397=0),"",AR397/AK397)</f>
        <v/>
      </c>
      <c r="AW397" s="43">
        <f>IF(OR(AS397="",AL397="",AL397=0),"",AS397/AL397)</f>
        <v/>
      </c>
      <c r="AX397" s="44">
        <f>IF(OR(AW397="",AV397=""),"",(AW397-AV397)*100)</f>
        <v/>
      </c>
      <c r="AY397" s="45">
        <f>IF(OR(AR397="",P397="",P397=0),"",AR397/P397)</f>
        <v/>
      </c>
      <c r="AZ397" s="45">
        <f>IF(OR(AS397="",Q397="",Q397=0),"",AS397/Q397)</f>
        <v/>
      </c>
      <c r="BA397" s="44">
        <f>IF(OR(AZ397="",AY397=""),"",(AZ397-AY397)*100)</f>
        <v/>
      </c>
      <c r="BB397" s="45">
        <f>IF(OR(AR397="",E397="",E397=0),"",AR397/E397)</f>
        <v/>
      </c>
      <c r="BC397" s="45">
        <f>IF(OR(AS397="",F397="",F397=0),"",AS397/F397)</f>
        <v/>
      </c>
      <c r="BD397" s="44">
        <f>IF(OR(BC397="",BB397=""),"",(BC397-BB397)*100)</f>
        <v/>
      </c>
      <c r="BE397" s="40">
        <f>IF(AND(F397&lt;&gt;"",E397&lt;&gt;""),"Both years",IF(F397&lt;&gt;"","1-23Aug26 rows only","1-23Aug25 rows only"))</f>
        <v/>
      </c>
    </row>
    <row r="398">
      <c r="A398" s="56" t="inlineStr">
        <is>
          <t>Route page</t>
        </is>
      </c>
      <c r="B398" s="56" t="inlineStr">
        <is>
          <t>Direct</t>
        </is>
      </c>
      <c r="C398" s="56" t="inlineStr">
        <is>
          <t>Mobile</t>
        </is>
      </c>
      <c r="D398" s="56" t="inlineStr">
        <is>
          <t>Spain</t>
        </is>
      </c>
      <c r="E398" s="68" t="n">
        <v>78</v>
      </c>
      <c r="F398" s="68" t="n">
        <v>233</v>
      </c>
      <c r="G398" s="69">
        <f>IF(OR(F398="",E398="",E398=0,F398=0),"",F398-E398)</f>
        <v/>
      </c>
      <c r="H398" s="42">
        <f>IF(OR(F398="",E398="",E398=0,F398=0),"",F398/E398-1)</f>
        <v/>
      </c>
      <c r="I398" s="68" t="n">
        <v>47</v>
      </c>
      <c r="J398" s="68" t="n">
        <v>73</v>
      </c>
      <c r="K398" s="69">
        <f>IF(OR(J398="",I398="",I398=0,J398=0),"",J398-I398)</f>
        <v/>
      </c>
      <c r="L398" s="42">
        <f>IF(OR(J398="",I398="",I398=0,J398=0),"",J398/I398-1)</f>
        <v/>
      </c>
      <c r="M398" s="43">
        <f>IF(OR(I398="",E398="",E398=0),"",I398/E398)</f>
        <v/>
      </c>
      <c r="N398" s="43">
        <f>IF(OR(J398="",F398="",F398=0),"",J398/F398)</f>
        <v/>
      </c>
      <c r="O398" s="44">
        <f>IF(OR(N398="",M398=""),"",(N398-M398)*100)</f>
        <v/>
      </c>
      <c r="P398" s="68" t="n">
        <v>41</v>
      </c>
      <c r="Q398" s="68" t="n">
        <v>105</v>
      </c>
      <c r="R398" s="69">
        <f>IF(OR(Q398="",P398="",P398=0,Q398=0),"",Q398-P398)</f>
        <v/>
      </c>
      <c r="S398" s="42">
        <f>IF(OR(Q398="",P398="",P398=0,Q398=0),"",Q398/P398-1)</f>
        <v/>
      </c>
      <c r="T398" s="43">
        <f>IF(OR(P398="",E398="",E398=0),"",P398/E398)</f>
        <v/>
      </c>
      <c r="U398" s="43">
        <f>IF(OR(Q398="",F398="",F398=0),"",Q398/F398)</f>
        <v/>
      </c>
      <c r="V398" s="44">
        <f>IF(OR(U398="",T398=""),"",(U398-T398)*100)</f>
        <v/>
      </c>
      <c r="W398" s="68" t="n">
        <v>15</v>
      </c>
      <c r="X398" s="68" t="n">
        <v>32</v>
      </c>
      <c r="Y398" s="69">
        <f>IF(OR(X398="",W398="",W398=0,X398=0),"",X398-W398)</f>
        <v/>
      </c>
      <c r="Z398" s="42">
        <f>IF(OR(X398="",W398="",W398=0,X398=0),"",X398/W398-1)</f>
        <v/>
      </c>
      <c r="AA398" s="43">
        <f>IF(OR(W398="",P398="",P398=0),"",W398/P398)</f>
        <v/>
      </c>
      <c r="AB398" s="43">
        <f>IF(OR(X398="",Q398="",Q398=0),"",X398/Q398)</f>
        <v/>
      </c>
      <c r="AC398" s="44">
        <f>IF(OR(AB398="",AA398=""),"",(AB398-AA398)*100)</f>
        <v/>
      </c>
      <c r="AD398" s="68" t="n">
        <v>12</v>
      </c>
      <c r="AE398" s="68" t="n">
        <v>24</v>
      </c>
      <c r="AF398" s="69">
        <f>IF(OR(AE398="",AD398="",AD398=0,AE398=0),"",AE398-AD398)</f>
        <v/>
      </c>
      <c r="AG398" s="42">
        <f>IF(OR(AE398="",AD398="",AD398=0,AE398=0),"",AE398/AD398-1)</f>
        <v/>
      </c>
      <c r="AH398" s="43">
        <f>IF(OR(AD398="",W398="",W398=0),"",AD398/W398)</f>
        <v/>
      </c>
      <c r="AI398" s="43">
        <f>IF(OR(AE398="",X398="",X398=0),"",AE398/X398)</f>
        <v/>
      </c>
      <c r="AJ398" s="44">
        <f>IF(OR(AI398="",AH398=""),"",(AI398-AH398)*100)</f>
        <v/>
      </c>
      <c r="AK398" s="68" t="n">
        <v>6</v>
      </c>
      <c r="AL398" s="68" t="n">
        <v>10</v>
      </c>
      <c r="AM398" s="69">
        <f>IF(OR(AL398="",AK398="",AK398=0,AL398=0),"",AL398-AK398)</f>
        <v/>
      </c>
      <c r="AN398" s="42">
        <f>IF(OR(AL398="",AK398="",AK398=0,AL398=0),"",AL398/AK398-1)</f>
        <v/>
      </c>
      <c r="AO398" s="43">
        <f>IF(OR(AK398="",AD398="",AD398=0),"",AK398/AD398)</f>
        <v/>
      </c>
      <c r="AP398" s="43">
        <f>IF(OR(AL398="",AE398="",AE398=0),"",AL398/AE398)</f>
        <v/>
      </c>
      <c r="AQ398" s="44">
        <f>IF(OR(AP398="",AO398=""),"",(AP398-AO398)*100)</f>
        <v/>
      </c>
      <c r="AR398" s="68" t="n">
        <v>4</v>
      </c>
      <c r="AS398" s="68" t="n">
        <v>8</v>
      </c>
      <c r="AT398" s="69">
        <f>IF(OR(AS398="",AR398="",AR398=0,AS398=0),"",AS398-AR398)</f>
        <v/>
      </c>
      <c r="AU398" s="42">
        <f>IF(OR(AS398="",AR398="",AR398=0,AS398=0),"",AS398/AR398-1)</f>
        <v/>
      </c>
      <c r="AV398" s="43">
        <f>IF(OR(AR398="",AK398="",AK398=0),"",AR398/AK398)</f>
        <v/>
      </c>
      <c r="AW398" s="43">
        <f>IF(OR(AS398="",AL398="",AL398=0),"",AS398/AL398)</f>
        <v/>
      </c>
      <c r="AX398" s="44">
        <f>IF(OR(AW398="",AV398=""),"",(AW398-AV398)*100)</f>
        <v/>
      </c>
      <c r="AY398" s="45">
        <f>IF(OR(AR398="",P398="",P398=0),"",AR398/P398)</f>
        <v/>
      </c>
      <c r="AZ398" s="45">
        <f>IF(OR(AS398="",Q398="",Q398=0),"",AS398/Q398)</f>
        <v/>
      </c>
      <c r="BA398" s="44">
        <f>IF(OR(AZ398="",AY398=""),"",(AZ398-AY398)*100)</f>
        <v/>
      </c>
      <c r="BB398" s="45">
        <f>IF(OR(AR398="",E398="",E398=0),"",AR398/E398)</f>
        <v/>
      </c>
      <c r="BC398" s="45">
        <f>IF(OR(AS398="",F398="",F398=0),"",AS398/F398)</f>
        <v/>
      </c>
      <c r="BD398" s="44">
        <f>IF(OR(BC398="",BB398=""),"",(BC398-BB398)*100)</f>
        <v/>
      </c>
      <c r="BE398" s="40">
        <f>IF(AND(F398&lt;&gt;"",E398&lt;&gt;""),"Both years",IF(F398&lt;&gt;"","1-23Aug26 rows only","1-23Aug25 rows only"))</f>
        <v/>
      </c>
    </row>
    <row r="399">
      <c r="A399" s="40" t="inlineStr">
        <is>
          <t>Route page</t>
        </is>
      </c>
      <c r="B399" s="40" t="inlineStr">
        <is>
          <t>Direct</t>
        </is>
      </c>
      <c r="C399" s="40" t="inlineStr">
        <is>
          <t>Mobile</t>
        </is>
      </c>
      <c r="D399" s="40" t="inlineStr">
        <is>
          <t>France</t>
        </is>
      </c>
      <c r="E399" s="68" t="n">
        <v>64</v>
      </c>
      <c r="F399" s="68" t="n">
        <v>173</v>
      </c>
      <c r="G399" s="69">
        <f>IF(OR(F399="",E399="",E399=0,F399=0),"",F399-E399)</f>
        <v/>
      </c>
      <c r="H399" s="42">
        <f>IF(OR(F399="",E399="",E399=0,F399=0),"",F399/E399-1)</f>
        <v/>
      </c>
      <c r="I399" s="68" t="n">
        <v>37</v>
      </c>
      <c r="J399" s="68" t="n">
        <v>47</v>
      </c>
      <c r="K399" s="69">
        <f>IF(OR(J399="",I399="",I399=0,J399=0),"",J399-I399)</f>
        <v/>
      </c>
      <c r="L399" s="42">
        <f>IF(OR(J399="",I399="",I399=0,J399=0),"",J399/I399-1)</f>
        <v/>
      </c>
      <c r="M399" s="43">
        <f>IF(OR(I399="",E399="",E399=0),"",I399/E399)</f>
        <v/>
      </c>
      <c r="N399" s="43">
        <f>IF(OR(J399="",F399="",F399=0),"",J399/F399)</f>
        <v/>
      </c>
      <c r="O399" s="44">
        <f>IF(OR(N399="",M399=""),"",(N399-M399)*100)</f>
        <v/>
      </c>
      <c r="P399" s="68" t="n">
        <v>29</v>
      </c>
      <c r="Q399" s="68" t="n">
        <v>70</v>
      </c>
      <c r="R399" s="69">
        <f>IF(OR(Q399="",P399="",P399=0,Q399=0),"",Q399-P399)</f>
        <v/>
      </c>
      <c r="S399" s="42">
        <f>IF(OR(Q399="",P399="",P399=0,Q399=0),"",Q399/P399-1)</f>
        <v/>
      </c>
      <c r="T399" s="43">
        <f>IF(OR(P399="",E399="",E399=0),"",P399/E399)</f>
        <v/>
      </c>
      <c r="U399" s="43">
        <f>IF(OR(Q399="",F399="",F399=0),"",Q399/F399)</f>
        <v/>
      </c>
      <c r="V399" s="44">
        <f>IF(OR(U399="",T399=""),"",(U399-T399)*100)</f>
        <v/>
      </c>
      <c r="W399" s="68" t="n">
        <v>9</v>
      </c>
      <c r="X399" s="68" t="n">
        <v>15</v>
      </c>
      <c r="Y399" s="69">
        <f>IF(OR(X399="",W399="",W399=0,X399=0),"",X399-W399)</f>
        <v/>
      </c>
      <c r="Z399" s="42">
        <f>IF(OR(X399="",W399="",W399=0,X399=0),"",X399/W399-1)</f>
        <v/>
      </c>
      <c r="AA399" s="43">
        <f>IF(OR(W399="",P399="",P399=0),"",W399/P399)</f>
        <v/>
      </c>
      <c r="AB399" s="43">
        <f>IF(OR(X399="",Q399="",Q399=0),"",X399/Q399)</f>
        <v/>
      </c>
      <c r="AC399" s="44">
        <f>IF(OR(AB399="",AA399=""),"",(AB399-AA399)*100)</f>
        <v/>
      </c>
      <c r="AD399" s="68" t="n">
        <v>9</v>
      </c>
      <c r="AE399" s="68" t="n">
        <v>13</v>
      </c>
      <c r="AF399" s="69">
        <f>IF(OR(AE399="",AD399="",AD399=0,AE399=0),"",AE399-AD399)</f>
        <v/>
      </c>
      <c r="AG399" s="42">
        <f>IF(OR(AE399="",AD399="",AD399=0,AE399=0),"",AE399/AD399-1)</f>
        <v/>
      </c>
      <c r="AH399" s="43">
        <f>IF(OR(AD399="",W399="",W399=0),"",AD399/W399)</f>
        <v/>
      </c>
      <c r="AI399" s="43">
        <f>IF(OR(AE399="",X399="",X399=0),"",AE399/X399)</f>
        <v/>
      </c>
      <c r="AJ399" s="44">
        <f>IF(OR(AI399="",AH399=""),"",(AI399-AH399)*100)</f>
        <v/>
      </c>
      <c r="AK399" s="68" t="n">
        <v>1</v>
      </c>
      <c r="AL399" s="68" t="n">
        <v>1</v>
      </c>
      <c r="AM399" s="69">
        <f>IF(OR(AL399="",AK399="",AK399=0,AL399=0),"",AL399-AK399)</f>
        <v/>
      </c>
      <c r="AN399" s="42">
        <f>IF(OR(AL399="",AK399="",AK399=0,AL399=0),"",AL399/AK399-1)</f>
        <v/>
      </c>
      <c r="AO399" s="43">
        <f>IF(OR(AK399="",AD399="",AD399=0),"",AK399/AD399)</f>
        <v/>
      </c>
      <c r="AP399" s="43">
        <f>IF(OR(AL399="",AE399="",AE399=0),"",AL399/AE399)</f>
        <v/>
      </c>
      <c r="AQ399" s="44">
        <f>IF(OR(AP399="",AO399=""),"",(AP399-AO399)*100)</f>
        <v/>
      </c>
      <c r="AR399" s="70" t="n"/>
      <c r="AS399" s="68" t="n">
        <v>1</v>
      </c>
      <c r="AT399" s="69">
        <f>IF(OR(AS399="",AR399="",AR399=0,AS399=0),"",AS399-AR399)</f>
        <v/>
      </c>
      <c r="AU399" s="42">
        <f>IF(OR(AS399="",AR399="",AR399=0,AS399=0),"",AS399/AR399-1)</f>
        <v/>
      </c>
      <c r="AV399" s="43">
        <f>IF(OR(AR399="",AK399="",AK399=0),"",AR399/AK399)</f>
        <v/>
      </c>
      <c r="AW399" s="43">
        <f>IF(OR(AS399="",AL399="",AL399=0),"",AS399/AL399)</f>
        <v/>
      </c>
      <c r="AX399" s="44">
        <f>IF(OR(AW399="",AV399=""),"",(AW399-AV399)*100)</f>
        <v/>
      </c>
      <c r="AY399" s="45">
        <f>IF(OR(AR399="",P399="",P399=0),"",AR399/P399)</f>
        <v/>
      </c>
      <c r="AZ399" s="45">
        <f>IF(OR(AS399="",Q399="",Q399=0),"",AS399/Q399)</f>
        <v/>
      </c>
      <c r="BA399" s="44">
        <f>IF(OR(AZ399="",AY399=""),"",(AZ399-AY399)*100)</f>
        <v/>
      </c>
      <c r="BB399" s="45">
        <f>IF(OR(AR399="",E399="",E399=0),"",AR399/E399)</f>
        <v/>
      </c>
      <c r="BC399" s="45">
        <f>IF(OR(AS399="",F399="",F399=0),"",AS399/F399)</f>
        <v/>
      </c>
      <c r="BD399" s="44">
        <f>IF(OR(BC399="",BB399=""),"",(BC399-BB399)*100)</f>
        <v/>
      </c>
      <c r="BE399" s="40">
        <f>IF(AND(F399&lt;&gt;"",E399&lt;&gt;""),"Both years",IF(F399&lt;&gt;"","1-23Aug26 rows only","1-23Aug25 rows only"))</f>
        <v/>
      </c>
    </row>
    <row r="400">
      <c r="A400" s="56" t="inlineStr">
        <is>
          <t>Route page</t>
        </is>
      </c>
      <c r="B400" s="56" t="inlineStr">
        <is>
          <t>Direct</t>
        </is>
      </c>
      <c r="C400" s="56" t="inlineStr">
        <is>
          <t>Mobile</t>
        </is>
      </c>
      <c r="D400" s="56" t="inlineStr">
        <is>
          <t>Netherlands</t>
        </is>
      </c>
      <c r="E400" s="68" t="n">
        <v>63</v>
      </c>
      <c r="F400" s="68" t="n">
        <v>165</v>
      </c>
      <c r="G400" s="69">
        <f>IF(OR(F400="",E400="",E400=0,F400=0),"",F400-E400)</f>
        <v/>
      </c>
      <c r="H400" s="42">
        <f>IF(OR(F400="",E400="",E400=0,F400=0),"",F400/E400-1)</f>
        <v/>
      </c>
      <c r="I400" s="68" t="n">
        <v>37</v>
      </c>
      <c r="J400" s="68" t="n">
        <v>56</v>
      </c>
      <c r="K400" s="69">
        <f>IF(OR(J400="",I400="",I400=0,J400=0),"",J400-I400)</f>
        <v/>
      </c>
      <c r="L400" s="42">
        <f>IF(OR(J400="",I400="",I400=0,J400=0),"",J400/I400-1)</f>
        <v/>
      </c>
      <c r="M400" s="43">
        <f>IF(OR(I400="",E400="",E400=0),"",I400/E400)</f>
        <v/>
      </c>
      <c r="N400" s="43">
        <f>IF(OR(J400="",F400="",F400=0),"",J400/F400)</f>
        <v/>
      </c>
      <c r="O400" s="44">
        <f>IF(OR(N400="",M400=""),"",(N400-M400)*100)</f>
        <v/>
      </c>
      <c r="P400" s="68" t="n">
        <v>26</v>
      </c>
      <c r="Q400" s="68" t="n">
        <v>82</v>
      </c>
      <c r="R400" s="69">
        <f>IF(OR(Q400="",P400="",P400=0,Q400=0),"",Q400-P400)</f>
        <v/>
      </c>
      <c r="S400" s="42">
        <f>IF(OR(Q400="",P400="",P400=0,Q400=0),"",Q400/P400-1)</f>
        <v/>
      </c>
      <c r="T400" s="43">
        <f>IF(OR(P400="",E400="",E400=0),"",P400/E400)</f>
        <v/>
      </c>
      <c r="U400" s="43">
        <f>IF(OR(Q400="",F400="",F400=0),"",Q400/F400)</f>
        <v/>
      </c>
      <c r="V400" s="44">
        <f>IF(OR(U400="",T400=""),"",(U400-T400)*100)</f>
        <v/>
      </c>
      <c r="W400" s="68" t="n">
        <v>7</v>
      </c>
      <c r="X400" s="68" t="n">
        <v>15</v>
      </c>
      <c r="Y400" s="69">
        <f>IF(OR(X400="",W400="",W400=0,X400=0),"",X400-W400)</f>
        <v/>
      </c>
      <c r="Z400" s="42">
        <f>IF(OR(X400="",W400="",W400=0,X400=0),"",X400/W400-1)</f>
        <v/>
      </c>
      <c r="AA400" s="43">
        <f>IF(OR(W400="",P400="",P400=0),"",W400/P400)</f>
        <v/>
      </c>
      <c r="AB400" s="43">
        <f>IF(OR(X400="",Q400="",Q400=0),"",X400/Q400)</f>
        <v/>
      </c>
      <c r="AC400" s="44">
        <f>IF(OR(AB400="",AA400=""),"",(AB400-AA400)*100)</f>
        <v/>
      </c>
      <c r="AD400" s="68" t="n">
        <v>6</v>
      </c>
      <c r="AE400" s="68" t="n">
        <v>9</v>
      </c>
      <c r="AF400" s="69">
        <f>IF(OR(AE400="",AD400="",AD400=0,AE400=0),"",AE400-AD400)</f>
        <v/>
      </c>
      <c r="AG400" s="42">
        <f>IF(OR(AE400="",AD400="",AD400=0,AE400=0),"",AE400/AD400-1)</f>
        <v/>
      </c>
      <c r="AH400" s="43">
        <f>IF(OR(AD400="",W400="",W400=0),"",AD400/W400)</f>
        <v/>
      </c>
      <c r="AI400" s="43">
        <f>IF(OR(AE400="",X400="",X400=0),"",AE400/X400)</f>
        <v/>
      </c>
      <c r="AJ400" s="44">
        <f>IF(OR(AI400="",AH400=""),"",(AI400-AH400)*100)</f>
        <v/>
      </c>
      <c r="AK400" s="68" t="n">
        <v>2</v>
      </c>
      <c r="AL400" s="70" t="n"/>
      <c r="AM400" s="69">
        <f>IF(OR(AL400="",AK400="",AK400=0,AL400=0),"",AL400-AK400)</f>
        <v/>
      </c>
      <c r="AN400" s="42">
        <f>IF(OR(AL400="",AK400="",AK400=0,AL400=0),"",AL400/AK400-1)</f>
        <v/>
      </c>
      <c r="AO400" s="43">
        <f>IF(OR(AK400="",AD400="",AD400=0),"",AK400/AD400)</f>
        <v/>
      </c>
      <c r="AP400" s="43">
        <f>IF(OR(AL400="",AE400="",AE400=0),"",AL400/AE400)</f>
        <v/>
      </c>
      <c r="AQ400" s="44">
        <f>IF(OR(AP400="",AO400=""),"",(AP400-AO400)*100)</f>
        <v/>
      </c>
      <c r="AR400" s="70" t="n"/>
      <c r="AS400" s="70" t="n"/>
      <c r="AT400" s="69">
        <f>IF(OR(AS400="",AR400="",AR400=0,AS400=0),"",AS400-AR400)</f>
        <v/>
      </c>
      <c r="AU400" s="42">
        <f>IF(OR(AS400="",AR400="",AR400=0,AS400=0),"",AS400/AR400-1)</f>
        <v/>
      </c>
      <c r="AV400" s="43">
        <f>IF(OR(AR400="",AK400="",AK400=0),"",AR400/AK400)</f>
        <v/>
      </c>
      <c r="AW400" s="43">
        <f>IF(OR(AS400="",AL400="",AL400=0),"",AS400/AL400)</f>
        <v/>
      </c>
      <c r="AX400" s="44">
        <f>IF(OR(AW400="",AV400=""),"",(AW400-AV400)*100)</f>
        <v/>
      </c>
      <c r="AY400" s="45">
        <f>IF(OR(AR400="",P400="",P400=0),"",AR400/P400)</f>
        <v/>
      </c>
      <c r="AZ400" s="45">
        <f>IF(OR(AS400="",Q400="",Q400=0),"",AS400/Q400)</f>
        <v/>
      </c>
      <c r="BA400" s="44">
        <f>IF(OR(AZ400="",AY400=""),"",(AZ400-AY400)*100)</f>
        <v/>
      </c>
      <c r="BB400" s="45">
        <f>IF(OR(AR400="",E400="",E400=0),"",AR400/E400)</f>
        <v/>
      </c>
      <c r="BC400" s="45">
        <f>IF(OR(AS400="",F400="",F400=0),"",AS400/F400)</f>
        <v/>
      </c>
      <c r="BD400" s="44">
        <f>IF(OR(BC400="",BB400=""),"",(BC400-BB400)*100)</f>
        <v/>
      </c>
      <c r="BE400" s="40">
        <f>IF(AND(F400&lt;&gt;"",E400&lt;&gt;""),"Both years",IF(F400&lt;&gt;"","1-23Aug26 rows only","1-23Aug25 rows only"))</f>
        <v/>
      </c>
    </row>
    <row r="401">
      <c r="A401" s="40" t="inlineStr">
        <is>
          <t>Route page</t>
        </is>
      </c>
      <c r="B401" s="40" t="inlineStr">
        <is>
          <t>Direct</t>
        </is>
      </c>
      <c r="C401" s="40" t="inlineStr">
        <is>
          <t>Mobile</t>
        </is>
      </c>
      <c r="D401" s="40" t="inlineStr">
        <is>
          <t>United States</t>
        </is>
      </c>
      <c r="E401" s="68" t="n">
        <v>93</v>
      </c>
      <c r="F401" s="68" t="n">
        <v>142</v>
      </c>
      <c r="G401" s="69">
        <f>IF(OR(F401="",E401="",E401=0,F401=0),"",F401-E401)</f>
        <v/>
      </c>
      <c r="H401" s="42">
        <f>IF(OR(F401="",E401="",E401=0,F401=0),"",F401/E401-1)</f>
        <v/>
      </c>
      <c r="I401" s="68" t="n">
        <v>54</v>
      </c>
      <c r="J401" s="68" t="n">
        <v>72</v>
      </c>
      <c r="K401" s="69">
        <f>IF(OR(J401="",I401="",I401=0,J401=0),"",J401-I401)</f>
        <v/>
      </c>
      <c r="L401" s="42">
        <f>IF(OR(J401="",I401="",I401=0,J401=0),"",J401/I401-1)</f>
        <v/>
      </c>
      <c r="M401" s="43">
        <f>IF(OR(I401="",E401="",E401=0),"",I401/E401)</f>
        <v/>
      </c>
      <c r="N401" s="43">
        <f>IF(OR(J401="",F401="",F401=0),"",J401/F401)</f>
        <v/>
      </c>
      <c r="O401" s="44">
        <f>IF(OR(N401="",M401=""),"",(N401-M401)*100)</f>
        <v/>
      </c>
      <c r="P401" s="68" t="n">
        <v>36</v>
      </c>
      <c r="Q401" s="68" t="n">
        <v>72</v>
      </c>
      <c r="R401" s="69">
        <f>IF(OR(Q401="",P401="",P401=0,Q401=0),"",Q401-P401)</f>
        <v/>
      </c>
      <c r="S401" s="42">
        <f>IF(OR(Q401="",P401="",P401=0,Q401=0),"",Q401/P401-1)</f>
        <v/>
      </c>
      <c r="T401" s="43">
        <f>IF(OR(P401="",E401="",E401=0),"",P401/E401)</f>
        <v/>
      </c>
      <c r="U401" s="43">
        <f>IF(OR(Q401="",F401="",F401=0),"",Q401/F401)</f>
        <v/>
      </c>
      <c r="V401" s="44">
        <f>IF(OR(U401="",T401=""),"",(U401-T401)*100)</f>
        <v/>
      </c>
      <c r="W401" s="68" t="n">
        <v>12</v>
      </c>
      <c r="X401" s="68" t="n">
        <v>17</v>
      </c>
      <c r="Y401" s="69">
        <f>IF(OR(X401="",W401="",W401=0,X401=0),"",X401-W401)</f>
        <v/>
      </c>
      <c r="Z401" s="42">
        <f>IF(OR(X401="",W401="",W401=0,X401=0),"",X401/W401-1)</f>
        <v/>
      </c>
      <c r="AA401" s="43">
        <f>IF(OR(W401="",P401="",P401=0),"",W401/P401)</f>
        <v/>
      </c>
      <c r="AB401" s="43">
        <f>IF(OR(X401="",Q401="",Q401=0),"",X401/Q401)</f>
        <v/>
      </c>
      <c r="AC401" s="44">
        <f>IF(OR(AB401="",AA401=""),"",(AB401-AA401)*100)</f>
        <v/>
      </c>
      <c r="AD401" s="68" t="n">
        <v>8</v>
      </c>
      <c r="AE401" s="68" t="n">
        <v>13</v>
      </c>
      <c r="AF401" s="69">
        <f>IF(OR(AE401="",AD401="",AD401=0,AE401=0),"",AE401-AD401)</f>
        <v/>
      </c>
      <c r="AG401" s="42">
        <f>IF(OR(AE401="",AD401="",AD401=0,AE401=0),"",AE401/AD401-1)</f>
        <v/>
      </c>
      <c r="AH401" s="43">
        <f>IF(OR(AD401="",W401="",W401=0),"",AD401/W401)</f>
        <v/>
      </c>
      <c r="AI401" s="43">
        <f>IF(OR(AE401="",X401="",X401=0),"",AE401/X401)</f>
        <v/>
      </c>
      <c r="AJ401" s="44">
        <f>IF(OR(AI401="",AH401=""),"",(AI401-AH401)*100)</f>
        <v/>
      </c>
      <c r="AK401" s="68" t="n">
        <v>3</v>
      </c>
      <c r="AL401" s="68" t="n">
        <v>3</v>
      </c>
      <c r="AM401" s="69">
        <f>IF(OR(AL401="",AK401="",AK401=0,AL401=0),"",AL401-AK401)</f>
        <v/>
      </c>
      <c r="AN401" s="42">
        <f>IF(OR(AL401="",AK401="",AK401=0,AL401=0),"",AL401/AK401-1)</f>
        <v/>
      </c>
      <c r="AO401" s="43">
        <f>IF(OR(AK401="",AD401="",AD401=0),"",AK401/AD401)</f>
        <v/>
      </c>
      <c r="AP401" s="43">
        <f>IF(OR(AL401="",AE401="",AE401=0),"",AL401/AE401)</f>
        <v/>
      </c>
      <c r="AQ401" s="44">
        <f>IF(OR(AP401="",AO401=""),"",(AP401-AO401)*100)</f>
        <v/>
      </c>
      <c r="AR401" s="68" t="n">
        <v>2</v>
      </c>
      <c r="AS401" s="68" t="n">
        <v>2</v>
      </c>
      <c r="AT401" s="69">
        <f>IF(OR(AS401="",AR401="",AR401=0,AS401=0),"",AS401-AR401)</f>
        <v/>
      </c>
      <c r="AU401" s="42">
        <f>IF(OR(AS401="",AR401="",AR401=0,AS401=0),"",AS401/AR401-1)</f>
        <v/>
      </c>
      <c r="AV401" s="43">
        <f>IF(OR(AR401="",AK401="",AK401=0),"",AR401/AK401)</f>
        <v/>
      </c>
      <c r="AW401" s="43">
        <f>IF(OR(AS401="",AL401="",AL401=0),"",AS401/AL401)</f>
        <v/>
      </c>
      <c r="AX401" s="44">
        <f>IF(OR(AW401="",AV401=""),"",(AW401-AV401)*100)</f>
        <v/>
      </c>
      <c r="AY401" s="45">
        <f>IF(OR(AR401="",P401="",P401=0),"",AR401/P401)</f>
        <v/>
      </c>
      <c r="AZ401" s="45">
        <f>IF(OR(AS401="",Q401="",Q401=0),"",AS401/Q401)</f>
        <v/>
      </c>
      <c r="BA401" s="44">
        <f>IF(OR(AZ401="",AY401=""),"",(AZ401-AY401)*100)</f>
        <v/>
      </c>
      <c r="BB401" s="45">
        <f>IF(OR(AR401="",E401="",E401=0),"",AR401/E401)</f>
        <v/>
      </c>
      <c r="BC401" s="45">
        <f>IF(OR(AS401="",F401="",F401=0),"",AS401/F401)</f>
        <v/>
      </c>
      <c r="BD401" s="44">
        <f>IF(OR(BC401="",BB401=""),"",(BC401-BB401)*100)</f>
        <v/>
      </c>
      <c r="BE401" s="40">
        <f>IF(AND(F401&lt;&gt;"",E401&lt;&gt;""),"Both years",IF(F401&lt;&gt;"","1-23Aug26 rows only","1-23Aug25 rows only"))</f>
        <v/>
      </c>
    </row>
    <row r="402">
      <c r="A402" s="56" t="inlineStr">
        <is>
          <t>Route page</t>
        </is>
      </c>
      <c r="B402" s="56" t="inlineStr">
        <is>
          <t>Direct</t>
        </is>
      </c>
      <c r="C402" s="56" t="inlineStr">
        <is>
          <t>Mobile</t>
        </is>
      </c>
      <c r="D402" s="56" t="inlineStr">
        <is>
          <t>Poland</t>
        </is>
      </c>
      <c r="E402" s="68" t="n">
        <v>61</v>
      </c>
      <c r="F402" s="68" t="n">
        <v>132</v>
      </c>
      <c r="G402" s="69">
        <f>IF(OR(F402="",E402="",E402=0,F402=0),"",F402-E402)</f>
        <v/>
      </c>
      <c r="H402" s="42">
        <f>IF(OR(F402="",E402="",E402=0,F402=0),"",F402/E402-1)</f>
        <v/>
      </c>
      <c r="I402" s="70" t="n"/>
      <c r="J402" s="70" t="n"/>
      <c r="K402" s="69">
        <f>IF(OR(J402="",I402="",I402=0,J402=0),"",J402-I402)</f>
        <v/>
      </c>
      <c r="L402" s="42">
        <f>IF(OR(J402="",I402="",I402=0,J402=0),"",J402/I402-1)</f>
        <v/>
      </c>
      <c r="M402" s="43">
        <f>IF(OR(I402="",E402="",E402=0),"",I402/E402)</f>
        <v/>
      </c>
      <c r="N402" s="43">
        <f>IF(OR(J402="",F402="",F402=0),"",J402/F402)</f>
        <v/>
      </c>
      <c r="O402" s="44">
        <f>IF(OR(N402="",M402=""),"",(N402-M402)*100)</f>
        <v/>
      </c>
      <c r="P402" s="68" t="n">
        <v>33</v>
      </c>
      <c r="Q402" s="68" t="n">
        <v>68</v>
      </c>
      <c r="R402" s="69">
        <f>IF(OR(Q402="",P402="",P402=0,Q402=0),"",Q402-P402)</f>
        <v/>
      </c>
      <c r="S402" s="42">
        <f>IF(OR(Q402="",P402="",P402=0,Q402=0),"",Q402/P402-1)</f>
        <v/>
      </c>
      <c r="T402" s="43">
        <f>IF(OR(P402="",E402="",E402=0),"",P402/E402)</f>
        <v/>
      </c>
      <c r="U402" s="43">
        <f>IF(OR(Q402="",F402="",F402=0),"",Q402/F402)</f>
        <v/>
      </c>
      <c r="V402" s="44">
        <f>IF(OR(U402="",T402=""),"",(U402-T402)*100)</f>
        <v/>
      </c>
      <c r="W402" s="70" t="n"/>
      <c r="X402" s="70" t="n"/>
      <c r="Y402" s="69">
        <f>IF(OR(X402="",W402="",W402=0,X402=0),"",X402-W402)</f>
        <v/>
      </c>
      <c r="Z402" s="42">
        <f>IF(OR(X402="",W402="",W402=0,X402=0),"",X402/W402-1)</f>
        <v/>
      </c>
      <c r="AA402" s="43">
        <f>IF(OR(W402="",P402="",P402=0),"",W402/P402)</f>
        <v/>
      </c>
      <c r="AB402" s="43">
        <f>IF(OR(X402="",Q402="",Q402=0),"",X402/Q402)</f>
        <v/>
      </c>
      <c r="AC402" s="44">
        <f>IF(OR(AB402="",AA402=""),"",(AB402-AA402)*100)</f>
        <v/>
      </c>
      <c r="AD402" s="70" t="n"/>
      <c r="AE402" s="70" t="n"/>
      <c r="AF402" s="69">
        <f>IF(OR(AE402="",AD402="",AD402=0,AE402=0),"",AE402-AD402)</f>
        <v/>
      </c>
      <c r="AG402" s="42">
        <f>IF(OR(AE402="",AD402="",AD402=0,AE402=0),"",AE402/AD402-1)</f>
        <v/>
      </c>
      <c r="AH402" s="43">
        <f>IF(OR(AD402="",W402="",W402=0),"",AD402/W402)</f>
        <v/>
      </c>
      <c r="AI402" s="43">
        <f>IF(OR(AE402="",X402="",X402=0),"",AE402/X402)</f>
        <v/>
      </c>
      <c r="AJ402" s="44">
        <f>IF(OR(AI402="",AH402=""),"",(AI402-AH402)*100)</f>
        <v/>
      </c>
      <c r="AK402" s="70" t="n"/>
      <c r="AL402" s="70" t="n"/>
      <c r="AM402" s="69">
        <f>IF(OR(AL402="",AK402="",AK402=0,AL402=0),"",AL402-AK402)</f>
        <v/>
      </c>
      <c r="AN402" s="42">
        <f>IF(OR(AL402="",AK402="",AK402=0,AL402=0),"",AL402/AK402-1)</f>
        <v/>
      </c>
      <c r="AO402" s="43">
        <f>IF(OR(AK402="",AD402="",AD402=0),"",AK402/AD402)</f>
        <v/>
      </c>
      <c r="AP402" s="43">
        <f>IF(OR(AL402="",AE402="",AE402=0),"",AL402/AE402)</f>
        <v/>
      </c>
      <c r="AQ402" s="44">
        <f>IF(OR(AP402="",AO402=""),"",(AP402-AO402)*100)</f>
        <v/>
      </c>
      <c r="AR402" s="70" t="n"/>
      <c r="AS402" s="70" t="n"/>
      <c r="AT402" s="69">
        <f>IF(OR(AS402="",AR402="",AR402=0,AS402=0),"",AS402-AR402)</f>
        <v/>
      </c>
      <c r="AU402" s="42">
        <f>IF(OR(AS402="",AR402="",AR402=0,AS402=0),"",AS402/AR402-1)</f>
        <v/>
      </c>
      <c r="AV402" s="43">
        <f>IF(OR(AR402="",AK402="",AK402=0),"",AR402/AK402)</f>
        <v/>
      </c>
      <c r="AW402" s="43">
        <f>IF(OR(AS402="",AL402="",AL402=0),"",AS402/AL402)</f>
        <v/>
      </c>
      <c r="AX402" s="44">
        <f>IF(OR(AW402="",AV402=""),"",(AW402-AV402)*100)</f>
        <v/>
      </c>
      <c r="AY402" s="45">
        <f>IF(OR(AR402="",P402="",P402=0),"",AR402/P402)</f>
        <v/>
      </c>
      <c r="AZ402" s="45">
        <f>IF(OR(AS402="",Q402="",Q402=0),"",AS402/Q402)</f>
        <v/>
      </c>
      <c r="BA402" s="44">
        <f>IF(OR(AZ402="",AY402=""),"",(AZ402-AY402)*100)</f>
        <v/>
      </c>
      <c r="BB402" s="45">
        <f>IF(OR(AR402="",E402="",E402=0),"",AR402/E402)</f>
        <v/>
      </c>
      <c r="BC402" s="45">
        <f>IF(OR(AS402="",F402="",F402=0),"",AS402/F402)</f>
        <v/>
      </c>
      <c r="BD402" s="44">
        <f>IF(OR(BC402="",BB402=""),"",(BC402-BB402)*100)</f>
        <v/>
      </c>
      <c r="BE402" s="40">
        <f>IF(AND(F402&lt;&gt;"",E402&lt;&gt;""),"Both years",IF(F402&lt;&gt;"","1-23Aug26 rows only","1-23Aug25 rows only"))</f>
        <v/>
      </c>
    </row>
    <row r="403">
      <c r="A403" s="40" t="inlineStr">
        <is>
          <t>Route page</t>
        </is>
      </c>
      <c r="B403" s="40" t="inlineStr">
        <is>
          <t>Direct</t>
        </is>
      </c>
      <c r="C403" s="40" t="inlineStr">
        <is>
          <t>Mobile</t>
        </is>
      </c>
      <c r="D403" s="40" t="inlineStr">
        <is>
          <t>Ireland</t>
        </is>
      </c>
      <c r="E403" s="68" t="n">
        <v>45</v>
      </c>
      <c r="F403" s="68" t="n">
        <v>120</v>
      </c>
      <c r="G403" s="69">
        <f>IF(OR(F403="",E403="",E403=0,F403=0),"",F403-E403)</f>
        <v/>
      </c>
      <c r="H403" s="42">
        <f>IF(OR(F403="",E403="",E403=0,F403=0),"",F403/E403-1)</f>
        <v/>
      </c>
      <c r="I403" s="68" t="n">
        <v>27</v>
      </c>
      <c r="J403" s="68" t="n">
        <v>45</v>
      </c>
      <c r="K403" s="69">
        <f>IF(OR(J403="",I403="",I403=0,J403=0),"",J403-I403)</f>
        <v/>
      </c>
      <c r="L403" s="42">
        <f>IF(OR(J403="",I403="",I403=0,J403=0),"",J403/I403-1)</f>
        <v/>
      </c>
      <c r="M403" s="43">
        <f>IF(OR(I403="",E403="",E403=0),"",I403/E403)</f>
        <v/>
      </c>
      <c r="N403" s="43">
        <f>IF(OR(J403="",F403="",F403=0),"",J403/F403)</f>
        <v/>
      </c>
      <c r="O403" s="44">
        <f>IF(OR(N403="",M403=""),"",(N403-M403)*100)</f>
        <v/>
      </c>
      <c r="P403" s="68" t="n">
        <v>20</v>
      </c>
      <c r="Q403" s="68" t="n">
        <v>60</v>
      </c>
      <c r="R403" s="69">
        <f>IF(OR(Q403="",P403="",P403=0,Q403=0),"",Q403-P403)</f>
        <v/>
      </c>
      <c r="S403" s="42">
        <f>IF(OR(Q403="",P403="",P403=0,Q403=0),"",Q403/P403-1)</f>
        <v/>
      </c>
      <c r="T403" s="43">
        <f>IF(OR(P403="",E403="",E403=0),"",P403/E403)</f>
        <v/>
      </c>
      <c r="U403" s="43">
        <f>IF(OR(Q403="",F403="",F403=0),"",Q403/F403)</f>
        <v/>
      </c>
      <c r="V403" s="44">
        <f>IF(OR(U403="",T403=""),"",(U403-T403)*100)</f>
        <v/>
      </c>
      <c r="W403" s="68" t="n">
        <v>3</v>
      </c>
      <c r="X403" s="68" t="n">
        <v>15</v>
      </c>
      <c r="Y403" s="69">
        <f>IF(OR(X403="",W403="",W403=0,X403=0),"",X403-W403)</f>
        <v/>
      </c>
      <c r="Z403" s="42">
        <f>IF(OR(X403="",W403="",W403=0,X403=0),"",X403/W403-1)</f>
        <v/>
      </c>
      <c r="AA403" s="43">
        <f>IF(OR(W403="",P403="",P403=0),"",W403/P403)</f>
        <v/>
      </c>
      <c r="AB403" s="43">
        <f>IF(OR(X403="",Q403="",Q403=0),"",X403/Q403)</f>
        <v/>
      </c>
      <c r="AC403" s="44">
        <f>IF(OR(AB403="",AA403=""),"",(AB403-AA403)*100)</f>
        <v/>
      </c>
      <c r="AD403" s="68" t="n">
        <v>3</v>
      </c>
      <c r="AE403" s="68" t="n">
        <v>12</v>
      </c>
      <c r="AF403" s="69">
        <f>IF(OR(AE403="",AD403="",AD403=0,AE403=0),"",AE403-AD403)</f>
        <v/>
      </c>
      <c r="AG403" s="42">
        <f>IF(OR(AE403="",AD403="",AD403=0,AE403=0),"",AE403/AD403-1)</f>
        <v/>
      </c>
      <c r="AH403" s="43">
        <f>IF(OR(AD403="",W403="",W403=0),"",AD403/W403)</f>
        <v/>
      </c>
      <c r="AI403" s="43">
        <f>IF(OR(AE403="",X403="",X403=0),"",AE403/X403)</f>
        <v/>
      </c>
      <c r="AJ403" s="44">
        <f>IF(OR(AI403="",AH403=""),"",(AI403-AH403)*100)</f>
        <v/>
      </c>
      <c r="AK403" s="68" t="n">
        <v>1</v>
      </c>
      <c r="AL403" s="68" t="n">
        <v>3</v>
      </c>
      <c r="AM403" s="69">
        <f>IF(OR(AL403="",AK403="",AK403=0,AL403=0),"",AL403-AK403)</f>
        <v/>
      </c>
      <c r="AN403" s="42">
        <f>IF(OR(AL403="",AK403="",AK403=0,AL403=0),"",AL403/AK403-1)</f>
        <v/>
      </c>
      <c r="AO403" s="43">
        <f>IF(OR(AK403="",AD403="",AD403=0),"",AK403/AD403)</f>
        <v/>
      </c>
      <c r="AP403" s="43">
        <f>IF(OR(AL403="",AE403="",AE403=0),"",AL403/AE403)</f>
        <v/>
      </c>
      <c r="AQ403" s="44">
        <f>IF(OR(AP403="",AO403=""),"",(AP403-AO403)*100)</f>
        <v/>
      </c>
      <c r="AR403" s="70" t="n"/>
      <c r="AS403" s="68" t="n">
        <v>5</v>
      </c>
      <c r="AT403" s="69">
        <f>IF(OR(AS403="",AR403="",AR403=0,AS403=0),"",AS403-AR403)</f>
        <v/>
      </c>
      <c r="AU403" s="42">
        <f>IF(OR(AS403="",AR403="",AR403=0,AS403=0),"",AS403/AR403-1)</f>
        <v/>
      </c>
      <c r="AV403" s="43">
        <f>IF(OR(AR403="",AK403="",AK403=0),"",AR403/AK403)</f>
        <v/>
      </c>
      <c r="AW403" s="43">
        <f>IF(OR(AS403="",AL403="",AL403=0),"",AS403/AL403)</f>
        <v/>
      </c>
      <c r="AX403" s="44">
        <f>IF(OR(AW403="",AV403=""),"",(AW403-AV403)*100)</f>
        <v/>
      </c>
      <c r="AY403" s="45">
        <f>IF(OR(AR403="",P403="",P403=0),"",AR403/P403)</f>
        <v/>
      </c>
      <c r="AZ403" s="45">
        <f>IF(OR(AS403="",Q403="",Q403=0),"",AS403/Q403)</f>
        <v/>
      </c>
      <c r="BA403" s="44">
        <f>IF(OR(AZ403="",AY403=""),"",(AZ403-AY403)*100)</f>
        <v/>
      </c>
      <c r="BB403" s="45">
        <f>IF(OR(AR403="",E403="",E403=0),"",AR403/E403)</f>
        <v/>
      </c>
      <c r="BC403" s="45">
        <f>IF(OR(AS403="",F403="",F403=0),"",AS403/F403)</f>
        <v/>
      </c>
      <c r="BD403" s="44">
        <f>IF(OR(BC403="",BB403=""),"",(BC403-BB403)*100)</f>
        <v/>
      </c>
      <c r="BE403" s="40">
        <f>IF(AND(F403&lt;&gt;"",E403&lt;&gt;""),"Both years",IF(F403&lt;&gt;"","1-23Aug26 rows only","1-23Aug25 rows only"))</f>
        <v/>
      </c>
    </row>
    <row r="404">
      <c r="A404" s="56" t="inlineStr">
        <is>
          <t>Route page</t>
        </is>
      </c>
      <c r="B404" s="56" t="inlineStr">
        <is>
          <t>Direct</t>
        </is>
      </c>
      <c r="C404" s="56" t="inlineStr">
        <is>
          <t>Mobile</t>
        </is>
      </c>
      <c r="D404" s="56" t="inlineStr">
        <is>
          <t>Belgium</t>
        </is>
      </c>
      <c r="E404" s="70" t="n"/>
      <c r="F404" s="68" t="n">
        <v>116</v>
      </c>
      <c r="G404" s="69">
        <f>IF(OR(F404="",E404="",E404=0,F404=0),"",F404-E404)</f>
        <v/>
      </c>
      <c r="H404" s="42">
        <f>IF(OR(F404="",E404="",E404=0,F404=0),"",F404/E404-1)</f>
        <v/>
      </c>
      <c r="I404" s="68" t="n">
        <v>14</v>
      </c>
      <c r="J404" s="68" t="n">
        <v>44</v>
      </c>
      <c r="K404" s="69">
        <f>IF(OR(J404="",I404="",I404=0,J404=0),"",J404-I404)</f>
        <v/>
      </c>
      <c r="L404" s="42">
        <f>IF(OR(J404="",I404="",I404=0,J404=0),"",J404/I404-1)</f>
        <v/>
      </c>
      <c r="M404" s="43">
        <f>IF(OR(I404="",E404="",E404=0),"",I404/E404)</f>
        <v/>
      </c>
      <c r="N404" s="43">
        <f>IF(OR(J404="",F404="",F404=0),"",J404/F404)</f>
        <v/>
      </c>
      <c r="O404" s="44">
        <f>IF(OR(N404="",M404=""),"",(N404-M404)*100)</f>
        <v/>
      </c>
      <c r="P404" s="70" t="n"/>
      <c r="Q404" s="68" t="n">
        <v>49</v>
      </c>
      <c r="R404" s="69">
        <f>IF(OR(Q404="",P404="",P404=0,Q404=0),"",Q404-P404)</f>
        <v/>
      </c>
      <c r="S404" s="42">
        <f>IF(OR(Q404="",P404="",P404=0,Q404=0),"",Q404/P404-1)</f>
        <v/>
      </c>
      <c r="T404" s="43">
        <f>IF(OR(P404="",E404="",E404=0),"",P404/E404)</f>
        <v/>
      </c>
      <c r="U404" s="43">
        <f>IF(OR(Q404="",F404="",F404=0),"",Q404/F404)</f>
        <v/>
      </c>
      <c r="V404" s="44">
        <f>IF(OR(U404="",T404=""),"",(U404-T404)*100)</f>
        <v/>
      </c>
      <c r="W404" s="68" t="n">
        <v>3</v>
      </c>
      <c r="X404" s="68" t="n">
        <v>13</v>
      </c>
      <c r="Y404" s="69">
        <f>IF(OR(X404="",W404="",W404=0,X404=0),"",X404-W404)</f>
        <v/>
      </c>
      <c r="Z404" s="42">
        <f>IF(OR(X404="",W404="",W404=0,X404=0),"",X404/W404-1)</f>
        <v/>
      </c>
      <c r="AA404" s="43">
        <f>IF(OR(W404="",P404="",P404=0),"",W404/P404)</f>
        <v/>
      </c>
      <c r="AB404" s="43">
        <f>IF(OR(X404="",Q404="",Q404=0),"",X404/Q404)</f>
        <v/>
      </c>
      <c r="AC404" s="44">
        <f>IF(OR(AB404="",AA404=""),"",(AB404-AA404)*100)</f>
        <v/>
      </c>
      <c r="AD404" s="68" t="n">
        <v>2</v>
      </c>
      <c r="AE404" s="68" t="n">
        <v>9</v>
      </c>
      <c r="AF404" s="69">
        <f>IF(OR(AE404="",AD404="",AD404=0,AE404=0),"",AE404-AD404)</f>
        <v/>
      </c>
      <c r="AG404" s="42">
        <f>IF(OR(AE404="",AD404="",AD404=0,AE404=0),"",AE404/AD404-1)</f>
        <v/>
      </c>
      <c r="AH404" s="43">
        <f>IF(OR(AD404="",W404="",W404=0),"",AD404/W404)</f>
        <v/>
      </c>
      <c r="AI404" s="43">
        <f>IF(OR(AE404="",X404="",X404=0),"",AE404/X404)</f>
        <v/>
      </c>
      <c r="AJ404" s="44">
        <f>IF(OR(AI404="",AH404=""),"",(AI404-AH404)*100)</f>
        <v/>
      </c>
      <c r="AK404" s="70" t="n"/>
      <c r="AL404" s="68" t="n">
        <v>1</v>
      </c>
      <c r="AM404" s="69">
        <f>IF(OR(AL404="",AK404="",AK404=0,AL404=0),"",AL404-AK404)</f>
        <v/>
      </c>
      <c r="AN404" s="42">
        <f>IF(OR(AL404="",AK404="",AK404=0,AL404=0),"",AL404/AK404-1)</f>
        <v/>
      </c>
      <c r="AO404" s="43">
        <f>IF(OR(AK404="",AD404="",AD404=0),"",AK404/AD404)</f>
        <v/>
      </c>
      <c r="AP404" s="43">
        <f>IF(OR(AL404="",AE404="",AE404=0),"",AL404/AE404)</f>
        <v/>
      </c>
      <c r="AQ404" s="44">
        <f>IF(OR(AP404="",AO404=""),"",(AP404-AO404)*100)</f>
        <v/>
      </c>
      <c r="AR404" s="70" t="n"/>
      <c r="AS404" s="68" t="n">
        <v>2</v>
      </c>
      <c r="AT404" s="69">
        <f>IF(OR(AS404="",AR404="",AR404=0,AS404=0),"",AS404-AR404)</f>
        <v/>
      </c>
      <c r="AU404" s="42">
        <f>IF(OR(AS404="",AR404="",AR404=0,AS404=0),"",AS404/AR404-1)</f>
        <v/>
      </c>
      <c r="AV404" s="43">
        <f>IF(OR(AR404="",AK404="",AK404=0),"",AR404/AK404)</f>
        <v/>
      </c>
      <c r="AW404" s="43">
        <f>IF(OR(AS404="",AL404="",AL404=0),"",AS404/AL404)</f>
        <v/>
      </c>
      <c r="AX404" s="44">
        <f>IF(OR(AW404="",AV404=""),"",(AW404-AV404)*100)</f>
        <v/>
      </c>
      <c r="AY404" s="45">
        <f>IF(OR(AR404="",P404="",P404=0),"",AR404/P404)</f>
        <v/>
      </c>
      <c r="AZ404" s="45">
        <f>IF(OR(AS404="",Q404="",Q404=0),"",AS404/Q404)</f>
        <v/>
      </c>
      <c r="BA404" s="44">
        <f>IF(OR(AZ404="",AY404=""),"",(AZ404-AY404)*100)</f>
        <v/>
      </c>
      <c r="BB404" s="45">
        <f>IF(OR(AR404="",E404="",E404=0),"",AR404/E404)</f>
        <v/>
      </c>
      <c r="BC404" s="45">
        <f>IF(OR(AS404="",F404="",F404=0),"",AS404/F404)</f>
        <v/>
      </c>
      <c r="BD404" s="44">
        <f>IF(OR(BC404="",BB404=""),"",(BC404-BB404)*100)</f>
        <v/>
      </c>
      <c r="BE404" s="40">
        <f>IF(AND(F404&lt;&gt;"",E404&lt;&gt;""),"Both years",IF(F404&lt;&gt;"","1-23Aug26 rows only","1-23Aug25 rows only"))</f>
        <v/>
      </c>
    </row>
    <row r="405">
      <c r="A405" s="40" t="inlineStr">
        <is>
          <t>Route page</t>
        </is>
      </c>
      <c r="B405" s="40" t="inlineStr">
        <is>
          <t>Direct</t>
        </is>
      </c>
      <c r="C405" s="40" t="inlineStr">
        <is>
          <t>Mobile</t>
        </is>
      </c>
      <c r="D405" s="40" t="inlineStr">
        <is>
          <t>Sweden</t>
        </is>
      </c>
      <c r="E405" s="68" t="n">
        <v>51</v>
      </c>
      <c r="F405" s="68" t="n">
        <v>94</v>
      </c>
      <c r="G405" s="69">
        <f>IF(OR(F405="",E405="",E405=0,F405=0),"",F405-E405)</f>
        <v/>
      </c>
      <c r="H405" s="42">
        <f>IF(OR(F405="",E405="",E405=0,F405=0),"",F405/E405-1)</f>
        <v/>
      </c>
      <c r="I405" s="68" t="n">
        <v>25</v>
      </c>
      <c r="J405" s="68" t="n">
        <v>28</v>
      </c>
      <c r="K405" s="69">
        <f>IF(OR(J405="",I405="",I405=0,J405=0),"",J405-I405)</f>
        <v/>
      </c>
      <c r="L405" s="42">
        <f>IF(OR(J405="",I405="",I405=0,J405=0),"",J405/I405-1)</f>
        <v/>
      </c>
      <c r="M405" s="43">
        <f>IF(OR(I405="",E405="",E405=0),"",I405/E405)</f>
        <v/>
      </c>
      <c r="N405" s="43">
        <f>IF(OR(J405="",F405="",F405=0),"",J405/F405)</f>
        <v/>
      </c>
      <c r="O405" s="44">
        <f>IF(OR(N405="",M405=""),"",(N405-M405)*100)</f>
        <v/>
      </c>
      <c r="P405" s="68" t="n">
        <v>25</v>
      </c>
      <c r="Q405" s="68" t="n">
        <v>42</v>
      </c>
      <c r="R405" s="69">
        <f>IF(OR(Q405="",P405="",P405=0,Q405=0),"",Q405-P405)</f>
        <v/>
      </c>
      <c r="S405" s="42">
        <f>IF(OR(Q405="",P405="",P405=0,Q405=0),"",Q405/P405-1)</f>
        <v/>
      </c>
      <c r="T405" s="43">
        <f>IF(OR(P405="",E405="",E405=0),"",P405/E405)</f>
        <v/>
      </c>
      <c r="U405" s="43">
        <f>IF(OR(Q405="",F405="",F405=0),"",Q405/F405)</f>
        <v/>
      </c>
      <c r="V405" s="44">
        <f>IF(OR(U405="",T405=""),"",(U405-T405)*100)</f>
        <v/>
      </c>
      <c r="W405" s="68" t="n">
        <v>6</v>
      </c>
      <c r="X405" s="68" t="n">
        <v>3</v>
      </c>
      <c r="Y405" s="69">
        <f>IF(OR(X405="",W405="",W405=0,X405=0),"",X405-W405)</f>
        <v/>
      </c>
      <c r="Z405" s="42">
        <f>IF(OR(X405="",W405="",W405=0,X405=0),"",X405/W405-1)</f>
        <v/>
      </c>
      <c r="AA405" s="43">
        <f>IF(OR(W405="",P405="",P405=0),"",W405/P405)</f>
        <v/>
      </c>
      <c r="AB405" s="43">
        <f>IF(OR(X405="",Q405="",Q405=0),"",X405/Q405)</f>
        <v/>
      </c>
      <c r="AC405" s="44">
        <f>IF(OR(AB405="",AA405=""),"",(AB405-AA405)*100)</f>
        <v/>
      </c>
      <c r="AD405" s="68" t="n">
        <v>4</v>
      </c>
      <c r="AE405" s="68" t="n">
        <v>1</v>
      </c>
      <c r="AF405" s="69">
        <f>IF(OR(AE405="",AD405="",AD405=0,AE405=0),"",AE405-AD405)</f>
        <v/>
      </c>
      <c r="AG405" s="42">
        <f>IF(OR(AE405="",AD405="",AD405=0,AE405=0),"",AE405/AD405-1)</f>
        <v/>
      </c>
      <c r="AH405" s="43">
        <f>IF(OR(AD405="",W405="",W405=0),"",AD405/W405)</f>
        <v/>
      </c>
      <c r="AI405" s="43">
        <f>IF(OR(AE405="",X405="",X405=0),"",AE405/X405)</f>
        <v/>
      </c>
      <c r="AJ405" s="44">
        <f>IF(OR(AI405="",AH405=""),"",(AI405-AH405)*100)</f>
        <v/>
      </c>
      <c r="AK405" s="68" t="n">
        <v>2</v>
      </c>
      <c r="AL405" s="70" t="n"/>
      <c r="AM405" s="69">
        <f>IF(OR(AL405="",AK405="",AK405=0,AL405=0),"",AL405-AK405)</f>
        <v/>
      </c>
      <c r="AN405" s="42">
        <f>IF(OR(AL405="",AK405="",AK405=0,AL405=0),"",AL405/AK405-1)</f>
        <v/>
      </c>
      <c r="AO405" s="43">
        <f>IF(OR(AK405="",AD405="",AD405=0),"",AK405/AD405)</f>
        <v/>
      </c>
      <c r="AP405" s="43">
        <f>IF(OR(AL405="",AE405="",AE405=0),"",AL405/AE405)</f>
        <v/>
      </c>
      <c r="AQ405" s="44">
        <f>IF(OR(AP405="",AO405=""),"",(AP405-AO405)*100)</f>
        <v/>
      </c>
      <c r="AR405" s="68" t="n">
        <v>1</v>
      </c>
      <c r="AS405" s="70" t="n"/>
      <c r="AT405" s="69">
        <f>IF(OR(AS405="",AR405="",AR405=0,AS405=0),"",AS405-AR405)</f>
        <v/>
      </c>
      <c r="AU405" s="42">
        <f>IF(OR(AS405="",AR405="",AR405=0,AS405=0),"",AS405/AR405-1)</f>
        <v/>
      </c>
      <c r="AV405" s="43">
        <f>IF(OR(AR405="",AK405="",AK405=0),"",AR405/AK405)</f>
        <v/>
      </c>
      <c r="AW405" s="43">
        <f>IF(OR(AS405="",AL405="",AL405=0),"",AS405/AL405)</f>
        <v/>
      </c>
      <c r="AX405" s="44">
        <f>IF(OR(AW405="",AV405=""),"",(AW405-AV405)*100)</f>
        <v/>
      </c>
      <c r="AY405" s="45">
        <f>IF(OR(AR405="",P405="",P405=0),"",AR405/P405)</f>
        <v/>
      </c>
      <c r="AZ405" s="45">
        <f>IF(OR(AS405="",Q405="",Q405=0),"",AS405/Q405)</f>
        <v/>
      </c>
      <c r="BA405" s="44">
        <f>IF(OR(AZ405="",AY405=""),"",(AZ405-AY405)*100)</f>
        <v/>
      </c>
      <c r="BB405" s="45">
        <f>IF(OR(AR405="",E405="",E405=0),"",AR405/E405)</f>
        <v/>
      </c>
      <c r="BC405" s="45">
        <f>IF(OR(AS405="",F405="",F405=0),"",AS405/F405)</f>
        <v/>
      </c>
      <c r="BD405" s="44">
        <f>IF(OR(BC405="",BB405=""),"",(BC405-BB405)*100)</f>
        <v/>
      </c>
      <c r="BE405" s="40">
        <f>IF(AND(F405&lt;&gt;"",E405&lt;&gt;""),"Both years",IF(F405&lt;&gt;"","1-23Aug26 rows only","1-23Aug25 rows only"))</f>
        <v/>
      </c>
    </row>
    <row r="406">
      <c r="A406" s="56" t="inlineStr">
        <is>
          <t>Route page</t>
        </is>
      </c>
      <c r="B406" s="56" t="inlineStr">
        <is>
          <t>Direct</t>
        </is>
      </c>
      <c r="C406" s="56" t="inlineStr">
        <is>
          <t>Mobile</t>
        </is>
      </c>
      <c r="D406" s="56" t="inlineStr">
        <is>
          <t>Türkiye</t>
        </is>
      </c>
      <c r="E406" s="68" t="n">
        <v>27</v>
      </c>
      <c r="F406" s="68" t="n">
        <v>61</v>
      </c>
      <c r="G406" s="69">
        <f>IF(OR(F406="",E406="",E406=0,F406=0),"",F406-E406)</f>
        <v/>
      </c>
      <c r="H406" s="42">
        <f>IF(OR(F406="",E406="",E406=0,F406=0),"",F406/E406-1)</f>
        <v/>
      </c>
      <c r="I406" s="70" t="n"/>
      <c r="J406" s="70" t="n"/>
      <c r="K406" s="69">
        <f>IF(OR(J406="",I406="",I406=0,J406=0),"",J406-I406)</f>
        <v/>
      </c>
      <c r="L406" s="42">
        <f>IF(OR(J406="",I406="",I406=0,J406=0),"",J406/I406-1)</f>
        <v/>
      </c>
      <c r="M406" s="43">
        <f>IF(OR(I406="",E406="",E406=0),"",I406/E406)</f>
        <v/>
      </c>
      <c r="N406" s="43">
        <f>IF(OR(J406="",F406="",F406=0),"",J406/F406)</f>
        <v/>
      </c>
      <c r="O406" s="44">
        <f>IF(OR(N406="",M406=""),"",(N406-M406)*100)</f>
        <v/>
      </c>
      <c r="P406" s="68" t="n">
        <v>15</v>
      </c>
      <c r="Q406" s="68" t="n">
        <v>36</v>
      </c>
      <c r="R406" s="69">
        <f>IF(OR(Q406="",P406="",P406=0,Q406=0),"",Q406-P406)</f>
        <v/>
      </c>
      <c r="S406" s="42">
        <f>IF(OR(Q406="",P406="",P406=0,Q406=0),"",Q406/P406-1)</f>
        <v/>
      </c>
      <c r="T406" s="43">
        <f>IF(OR(P406="",E406="",E406=0),"",P406/E406)</f>
        <v/>
      </c>
      <c r="U406" s="43">
        <f>IF(OR(Q406="",F406="",F406=0),"",Q406/F406)</f>
        <v/>
      </c>
      <c r="V406" s="44">
        <f>IF(OR(U406="",T406=""),"",(U406-T406)*100)</f>
        <v/>
      </c>
      <c r="W406" s="70" t="n"/>
      <c r="X406" s="70" t="n"/>
      <c r="Y406" s="69">
        <f>IF(OR(X406="",W406="",W406=0,X406=0),"",X406-W406)</f>
        <v/>
      </c>
      <c r="Z406" s="42">
        <f>IF(OR(X406="",W406="",W406=0,X406=0),"",X406/W406-1)</f>
        <v/>
      </c>
      <c r="AA406" s="43">
        <f>IF(OR(W406="",P406="",P406=0),"",W406/P406)</f>
        <v/>
      </c>
      <c r="AB406" s="43">
        <f>IF(OR(X406="",Q406="",Q406=0),"",X406/Q406)</f>
        <v/>
      </c>
      <c r="AC406" s="44">
        <f>IF(OR(AB406="",AA406=""),"",(AB406-AA406)*100)</f>
        <v/>
      </c>
      <c r="AD406" s="70" t="n"/>
      <c r="AE406" s="70" t="n"/>
      <c r="AF406" s="69">
        <f>IF(OR(AE406="",AD406="",AD406=0,AE406=0),"",AE406-AD406)</f>
        <v/>
      </c>
      <c r="AG406" s="42">
        <f>IF(OR(AE406="",AD406="",AD406=0,AE406=0),"",AE406/AD406-1)</f>
        <v/>
      </c>
      <c r="AH406" s="43">
        <f>IF(OR(AD406="",W406="",W406=0),"",AD406/W406)</f>
        <v/>
      </c>
      <c r="AI406" s="43">
        <f>IF(OR(AE406="",X406="",X406=0),"",AE406/X406)</f>
        <v/>
      </c>
      <c r="AJ406" s="44">
        <f>IF(OR(AI406="",AH406=""),"",(AI406-AH406)*100)</f>
        <v/>
      </c>
      <c r="AK406" s="70" t="n"/>
      <c r="AL406" s="70" t="n"/>
      <c r="AM406" s="69">
        <f>IF(OR(AL406="",AK406="",AK406=0,AL406=0),"",AL406-AK406)</f>
        <v/>
      </c>
      <c r="AN406" s="42">
        <f>IF(OR(AL406="",AK406="",AK406=0,AL406=0),"",AL406/AK406-1)</f>
        <v/>
      </c>
      <c r="AO406" s="43">
        <f>IF(OR(AK406="",AD406="",AD406=0),"",AK406/AD406)</f>
        <v/>
      </c>
      <c r="AP406" s="43">
        <f>IF(OR(AL406="",AE406="",AE406=0),"",AL406/AE406)</f>
        <v/>
      </c>
      <c r="AQ406" s="44">
        <f>IF(OR(AP406="",AO406=""),"",(AP406-AO406)*100)</f>
        <v/>
      </c>
      <c r="AR406" s="70" t="n"/>
      <c r="AS406" s="70" t="n"/>
      <c r="AT406" s="69">
        <f>IF(OR(AS406="",AR406="",AR406=0,AS406=0),"",AS406-AR406)</f>
        <v/>
      </c>
      <c r="AU406" s="42">
        <f>IF(OR(AS406="",AR406="",AR406=0,AS406=0),"",AS406/AR406-1)</f>
        <v/>
      </c>
      <c r="AV406" s="43">
        <f>IF(OR(AR406="",AK406="",AK406=0),"",AR406/AK406)</f>
        <v/>
      </c>
      <c r="AW406" s="43">
        <f>IF(OR(AS406="",AL406="",AL406=0),"",AS406/AL406)</f>
        <v/>
      </c>
      <c r="AX406" s="44">
        <f>IF(OR(AW406="",AV406=""),"",(AW406-AV406)*100)</f>
        <v/>
      </c>
      <c r="AY406" s="45">
        <f>IF(OR(AR406="",P406="",P406=0),"",AR406/P406)</f>
        <v/>
      </c>
      <c r="AZ406" s="45">
        <f>IF(OR(AS406="",Q406="",Q406=0),"",AS406/Q406)</f>
        <v/>
      </c>
      <c r="BA406" s="44">
        <f>IF(OR(AZ406="",AY406=""),"",(AZ406-AY406)*100)</f>
        <v/>
      </c>
      <c r="BB406" s="45">
        <f>IF(OR(AR406="",E406="",E406=0),"",AR406/E406)</f>
        <v/>
      </c>
      <c r="BC406" s="45">
        <f>IF(OR(AS406="",F406="",F406=0),"",AS406/F406)</f>
        <v/>
      </c>
      <c r="BD406" s="44">
        <f>IF(OR(BC406="",BB406=""),"",(BC406-BB406)*100)</f>
        <v/>
      </c>
      <c r="BE406" s="40">
        <f>IF(AND(F406&lt;&gt;"",E406&lt;&gt;""),"Both years",IF(F406&lt;&gt;"","1-23Aug26 rows only","1-23Aug25 rows only"))</f>
        <v/>
      </c>
    </row>
    <row r="407">
      <c r="A407" s="40" t="inlineStr">
        <is>
          <t>Route page</t>
        </is>
      </c>
      <c r="B407" s="40" t="inlineStr">
        <is>
          <t>Direct</t>
        </is>
      </c>
      <c r="C407" s="40" t="inlineStr">
        <is>
          <t>Mobile</t>
        </is>
      </c>
      <c r="D407" s="40" t="inlineStr">
        <is>
          <t>Austria</t>
        </is>
      </c>
      <c r="E407" s="70" t="n"/>
      <c r="F407" s="68" t="n">
        <v>58</v>
      </c>
      <c r="G407" s="69">
        <f>IF(OR(F407="",E407="",E407=0,F407=0),"",F407-E407)</f>
        <v/>
      </c>
      <c r="H407" s="42">
        <f>IF(OR(F407="",E407="",E407=0,F407=0),"",F407/E407-1)</f>
        <v/>
      </c>
      <c r="I407" s="70" t="n"/>
      <c r="J407" s="70" t="n"/>
      <c r="K407" s="69">
        <f>IF(OR(J407="",I407="",I407=0,J407=0),"",J407-I407)</f>
        <v/>
      </c>
      <c r="L407" s="42">
        <f>IF(OR(J407="",I407="",I407=0,J407=0),"",J407/I407-1)</f>
        <v/>
      </c>
      <c r="M407" s="43">
        <f>IF(OR(I407="",E407="",E407=0),"",I407/E407)</f>
        <v/>
      </c>
      <c r="N407" s="43">
        <f>IF(OR(J407="",F407="",F407=0),"",J407/F407)</f>
        <v/>
      </c>
      <c r="O407" s="44">
        <f>IF(OR(N407="",M407=""),"",(N407-M407)*100)</f>
        <v/>
      </c>
      <c r="P407" s="70" t="n"/>
      <c r="Q407" s="68" t="n">
        <v>34</v>
      </c>
      <c r="R407" s="69">
        <f>IF(OR(Q407="",P407="",P407=0,Q407=0),"",Q407-P407)</f>
        <v/>
      </c>
      <c r="S407" s="42">
        <f>IF(OR(Q407="",P407="",P407=0,Q407=0),"",Q407/P407-1)</f>
        <v/>
      </c>
      <c r="T407" s="43">
        <f>IF(OR(P407="",E407="",E407=0),"",P407/E407)</f>
        <v/>
      </c>
      <c r="U407" s="43">
        <f>IF(OR(Q407="",F407="",F407=0),"",Q407/F407)</f>
        <v/>
      </c>
      <c r="V407" s="44">
        <f>IF(OR(U407="",T407=""),"",(U407-T407)*100)</f>
        <v/>
      </c>
      <c r="W407" s="70" t="n"/>
      <c r="X407" s="70" t="n"/>
      <c r="Y407" s="69">
        <f>IF(OR(X407="",W407="",W407=0,X407=0),"",X407-W407)</f>
        <v/>
      </c>
      <c r="Z407" s="42">
        <f>IF(OR(X407="",W407="",W407=0,X407=0),"",X407/W407-1)</f>
        <v/>
      </c>
      <c r="AA407" s="43">
        <f>IF(OR(W407="",P407="",P407=0),"",W407/P407)</f>
        <v/>
      </c>
      <c r="AB407" s="43">
        <f>IF(OR(X407="",Q407="",Q407=0),"",X407/Q407)</f>
        <v/>
      </c>
      <c r="AC407" s="44">
        <f>IF(OR(AB407="",AA407=""),"",(AB407-AA407)*100)</f>
        <v/>
      </c>
      <c r="AD407" s="70" t="n"/>
      <c r="AE407" s="70" t="n"/>
      <c r="AF407" s="69">
        <f>IF(OR(AE407="",AD407="",AD407=0,AE407=0),"",AE407-AD407)</f>
        <v/>
      </c>
      <c r="AG407" s="42">
        <f>IF(OR(AE407="",AD407="",AD407=0,AE407=0),"",AE407/AD407-1)</f>
        <v/>
      </c>
      <c r="AH407" s="43">
        <f>IF(OR(AD407="",W407="",W407=0),"",AD407/W407)</f>
        <v/>
      </c>
      <c r="AI407" s="43">
        <f>IF(OR(AE407="",X407="",X407=0),"",AE407/X407)</f>
        <v/>
      </c>
      <c r="AJ407" s="44">
        <f>IF(OR(AI407="",AH407=""),"",(AI407-AH407)*100)</f>
        <v/>
      </c>
      <c r="AK407" s="70" t="n"/>
      <c r="AL407" s="70" t="n"/>
      <c r="AM407" s="69">
        <f>IF(OR(AL407="",AK407="",AK407=0,AL407=0),"",AL407-AK407)</f>
        <v/>
      </c>
      <c r="AN407" s="42">
        <f>IF(OR(AL407="",AK407="",AK407=0,AL407=0),"",AL407/AK407-1)</f>
        <v/>
      </c>
      <c r="AO407" s="43">
        <f>IF(OR(AK407="",AD407="",AD407=0),"",AK407/AD407)</f>
        <v/>
      </c>
      <c r="AP407" s="43">
        <f>IF(OR(AL407="",AE407="",AE407=0),"",AL407/AE407)</f>
        <v/>
      </c>
      <c r="AQ407" s="44">
        <f>IF(OR(AP407="",AO407=""),"",(AP407-AO407)*100)</f>
        <v/>
      </c>
      <c r="AR407" s="70" t="n"/>
      <c r="AS407" s="70" t="n"/>
      <c r="AT407" s="69">
        <f>IF(OR(AS407="",AR407="",AR407=0,AS407=0),"",AS407-AR407)</f>
        <v/>
      </c>
      <c r="AU407" s="42">
        <f>IF(OR(AS407="",AR407="",AR407=0,AS407=0),"",AS407/AR407-1)</f>
        <v/>
      </c>
      <c r="AV407" s="43">
        <f>IF(OR(AR407="",AK407="",AK407=0),"",AR407/AK407)</f>
        <v/>
      </c>
      <c r="AW407" s="43">
        <f>IF(OR(AS407="",AL407="",AL407=0),"",AS407/AL407)</f>
        <v/>
      </c>
      <c r="AX407" s="44">
        <f>IF(OR(AW407="",AV407=""),"",(AW407-AV407)*100)</f>
        <v/>
      </c>
      <c r="AY407" s="45">
        <f>IF(OR(AR407="",P407="",P407=0),"",AR407/P407)</f>
        <v/>
      </c>
      <c r="AZ407" s="45">
        <f>IF(OR(AS407="",Q407="",Q407=0),"",AS407/Q407)</f>
        <v/>
      </c>
      <c r="BA407" s="44">
        <f>IF(OR(AZ407="",AY407=""),"",(AZ407-AY407)*100)</f>
        <v/>
      </c>
      <c r="BB407" s="45">
        <f>IF(OR(AR407="",E407="",E407=0),"",AR407/E407)</f>
        <v/>
      </c>
      <c r="BC407" s="45">
        <f>IF(OR(AS407="",F407="",F407=0),"",AS407/F407)</f>
        <v/>
      </c>
      <c r="BD407" s="44">
        <f>IF(OR(BC407="",BB407=""),"",(BC407-BB407)*100)</f>
        <v/>
      </c>
      <c r="BE407" s="40">
        <f>IF(AND(F407&lt;&gt;"",E407&lt;&gt;""),"Both years",IF(F407&lt;&gt;"","1-23Aug26 rows only","1-23Aug25 rows only"))</f>
        <v/>
      </c>
    </row>
    <row r="408">
      <c r="A408" s="56" t="inlineStr">
        <is>
          <t>Route page</t>
        </is>
      </c>
      <c r="B408" s="56" t="inlineStr">
        <is>
          <t>Direct</t>
        </is>
      </c>
      <c r="C408" s="56" t="inlineStr">
        <is>
          <t>Mobile</t>
        </is>
      </c>
      <c r="D408" s="56" t="inlineStr">
        <is>
          <t>Denmark</t>
        </is>
      </c>
      <c r="E408" s="68" t="n">
        <v>27</v>
      </c>
      <c r="F408" s="68" t="n">
        <v>47</v>
      </c>
      <c r="G408" s="69">
        <f>IF(OR(F408="",E408="",E408=0,F408=0),"",F408-E408)</f>
        <v/>
      </c>
      <c r="H408" s="42">
        <f>IF(OR(F408="",E408="",E408=0,F408=0),"",F408/E408-1)</f>
        <v/>
      </c>
      <c r="I408" s="70" t="n"/>
      <c r="J408" s="70" t="n"/>
      <c r="K408" s="69">
        <f>IF(OR(J408="",I408="",I408=0,J408=0),"",J408-I408)</f>
        <v/>
      </c>
      <c r="L408" s="42">
        <f>IF(OR(J408="",I408="",I408=0,J408=0),"",J408/I408-1)</f>
        <v/>
      </c>
      <c r="M408" s="43">
        <f>IF(OR(I408="",E408="",E408=0),"",I408/E408)</f>
        <v/>
      </c>
      <c r="N408" s="43">
        <f>IF(OR(J408="",F408="",F408=0),"",J408/F408)</f>
        <v/>
      </c>
      <c r="O408" s="44">
        <f>IF(OR(N408="",M408=""),"",(N408-M408)*100)</f>
        <v/>
      </c>
      <c r="P408" s="68" t="n">
        <v>16</v>
      </c>
      <c r="Q408" s="70" t="n"/>
      <c r="R408" s="69">
        <f>IF(OR(Q408="",P408="",P408=0,Q408=0),"",Q408-P408)</f>
        <v/>
      </c>
      <c r="S408" s="42">
        <f>IF(OR(Q408="",P408="",P408=0,Q408=0),"",Q408/P408-1)</f>
        <v/>
      </c>
      <c r="T408" s="43">
        <f>IF(OR(P408="",E408="",E408=0),"",P408/E408)</f>
        <v/>
      </c>
      <c r="U408" s="43">
        <f>IF(OR(Q408="",F408="",F408=0),"",Q408/F408)</f>
        <v/>
      </c>
      <c r="V408" s="44">
        <f>IF(OR(U408="",T408=""),"",(U408-T408)*100)</f>
        <v/>
      </c>
      <c r="W408" s="70" t="n"/>
      <c r="X408" s="70" t="n"/>
      <c r="Y408" s="69">
        <f>IF(OR(X408="",W408="",W408=0,X408=0),"",X408-W408)</f>
        <v/>
      </c>
      <c r="Z408" s="42">
        <f>IF(OR(X408="",W408="",W408=0,X408=0),"",X408/W408-1)</f>
        <v/>
      </c>
      <c r="AA408" s="43">
        <f>IF(OR(W408="",P408="",P408=0),"",W408/P408)</f>
        <v/>
      </c>
      <c r="AB408" s="43">
        <f>IF(OR(X408="",Q408="",Q408=0),"",X408/Q408)</f>
        <v/>
      </c>
      <c r="AC408" s="44">
        <f>IF(OR(AB408="",AA408=""),"",(AB408-AA408)*100)</f>
        <v/>
      </c>
      <c r="AD408" s="70" t="n"/>
      <c r="AE408" s="70" t="n"/>
      <c r="AF408" s="69">
        <f>IF(OR(AE408="",AD408="",AD408=0,AE408=0),"",AE408-AD408)</f>
        <v/>
      </c>
      <c r="AG408" s="42">
        <f>IF(OR(AE408="",AD408="",AD408=0,AE408=0),"",AE408/AD408-1)</f>
        <v/>
      </c>
      <c r="AH408" s="43">
        <f>IF(OR(AD408="",W408="",W408=0),"",AD408/W408)</f>
        <v/>
      </c>
      <c r="AI408" s="43">
        <f>IF(OR(AE408="",X408="",X408=0),"",AE408/X408)</f>
        <v/>
      </c>
      <c r="AJ408" s="44">
        <f>IF(OR(AI408="",AH408=""),"",(AI408-AH408)*100)</f>
        <v/>
      </c>
      <c r="AK408" s="70" t="n"/>
      <c r="AL408" s="70" t="n"/>
      <c r="AM408" s="69">
        <f>IF(OR(AL408="",AK408="",AK408=0,AL408=0),"",AL408-AK408)</f>
        <v/>
      </c>
      <c r="AN408" s="42">
        <f>IF(OR(AL408="",AK408="",AK408=0,AL408=0),"",AL408/AK408-1)</f>
        <v/>
      </c>
      <c r="AO408" s="43">
        <f>IF(OR(AK408="",AD408="",AD408=0),"",AK408/AD408)</f>
        <v/>
      </c>
      <c r="AP408" s="43">
        <f>IF(OR(AL408="",AE408="",AE408=0),"",AL408/AE408)</f>
        <v/>
      </c>
      <c r="AQ408" s="44">
        <f>IF(OR(AP408="",AO408=""),"",(AP408-AO408)*100)</f>
        <v/>
      </c>
      <c r="AR408" s="70" t="n"/>
      <c r="AS408" s="70" t="n"/>
      <c r="AT408" s="69">
        <f>IF(OR(AS408="",AR408="",AR408=0,AS408=0),"",AS408-AR408)</f>
        <v/>
      </c>
      <c r="AU408" s="42">
        <f>IF(OR(AS408="",AR408="",AR408=0,AS408=0),"",AS408/AR408-1)</f>
        <v/>
      </c>
      <c r="AV408" s="43">
        <f>IF(OR(AR408="",AK408="",AK408=0),"",AR408/AK408)</f>
        <v/>
      </c>
      <c r="AW408" s="43">
        <f>IF(OR(AS408="",AL408="",AL408=0),"",AS408/AL408)</f>
        <v/>
      </c>
      <c r="AX408" s="44">
        <f>IF(OR(AW408="",AV408=""),"",(AW408-AV408)*100)</f>
        <v/>
      </c>
      <c r="AY408" s="45">
        <f>IF(OR(AR408="",P408="",P408=0),"",AR408/P408)</f>
        <v/>
      </c>
      <c r="AZ408" s="45">
        <f>IF(OR(AS408="",Q408="",Q408=0),"",AS408/Q408)</f>
        <v/>
      </c>
      <c r="BA408" s="44">
        <f>IF(OR(AZ408="",AY408=""),"",(AZ408-AY408)*100)</f>
        <v/>
      </c>
      <c r="BB408" s="45">
        <f>IF(OR(AR408="",E408="",E408=0),"",AR408/E408)</f>
        <v/>
      </c>
      <c r="BC408" s="45">
        <f>IF(OR(AS408="",F408="",F408=0),"",AS408/F408)</f>
        <v/>
      </c>
      <c r="BD408" s="44">
        <f>IF(OR(BC408="",BB408=""),"",(BC408-BB408)*100)</f>
        <v/>
      </c>
      <c r="BE408" s="40">
        <f>IF(AND(F408&lt;&gt;"",E408&lt;&gt;""),"Both years",IF(F408&lt;&gt;"","1-23Aug26 rows only","1-23Aug25 rows only"))</f>
        <v/>
      </c>
    </row>
    <row r="409">
      <c r="A409" s="40" t="inlineStr">
        <is>
          <t>Route page</t>
        </is>
      </c>
      <c r="B409" s="40" t="inlineStr">
        <is>
          <t>Direct</t>
        </is>
      </c>
      <c r="C409" s="40" t="inlineStr">
        <is>
          <t>Mobile</t>
        </is>
      </c>
      <c r="D409" s="40" t="inlineStr">
        <is>
          <t>(not set)</t>
        </is>
      </c>
      <c r="E409" s="68" t="n">
        <v>62</v>
      </c>
      <c r="F409" s="70" t="n"/>
      <c r="G409" s="69">
        <f>IF(OR(F409="",E409="",E409=0,F409=0),"",F409-E409)</f>
        <v/>
      </c>
      <c r="H409" s="42">
        <f>IF(OR(F409="",E409="",E409=0,F409=0),"",F409/E409-1)</f>
        <v/>
      </c>
      <c r="I409" s="70" t="n"/>
      <c r="J409" s="70" t="n"/>
      <c r="K409" s="69">
        <f>IF(OR(J409="",I409="",I409=0,J409=0),"",J409-I409)</f>
        <v/>
      </c>
      <c r="L409" s="42">
        <f>IF(OR(J409="",I409="",I409=0,J409=0),"",J409/I409-1)</f>
        <v/>
      </c>
      <c r="M409" s="43">
        <f>IF(OR(I409="",E409="",E409=0),"",I409/E409)</f>
        <v/>
      </c>
      <c r="N409" s="43">
        <f>IF(OR(J409="",F409="",F409=0),"",J409/F409)</f>
        <v/>
      </c>
      <c r="O409" s="44">
        <f>IF(OR(N409="",M409=""),"",(N409-M409)*100)</f>
        <v/>
      </c>
      <c r="P409" s="70" t="n"/>
      <c r="Q409" s="70" t="n"/>
      <c r="R409" s="69">
        <f>IF(OR(Q409="",P409="",P409=0,Q409=0),"",Q409-P409)</f>
        <v/>
      </c>
      <c r="S409" s="42">
        <f>IF(OR(Q409="",P409="",P409=0,Q409=0),"",Q409/P409-1)</f>
        <v/>
      </c>
      <c r="T409" s="43">
        <f>IF(OR(P409="",E409="",E409=0),"",P409/E409)</f>
        <v/>
      </c>
      <c r="U409" s="43">
        <f>IF(OR(Q409="",F409="",F409=0),"",Q409/F409)</f>
        <v/>
      </c>
      <c r="V409" s="44">
        <f>IF(OR(U409="",T409=""),"",(U409-T409)*100)</f>
        <v/>
      </c>
      <c r="W409" s="70" t="n"/>
      <c r="X409" s="70" t="n"/>
      <c r="Y409" s="69">
        <f>IF(OR(X409="",W409="",W409=0,X409=0),"",X409-W409)</f>
        <v/>
      </c>
      <c r="Z409" s="42">
        <f>IF(OR(X409="",W409="",W409=0,X409=0),"",X409/W409-1)</f>
        <v/>
      </c>
      <c r="AA409" s="43">
        <f>IF(OR(W409="",P409="",P409=0),"",W409/P409)</f>
        <v/>
      </c>
      <c r="AB409" s="43">
        <f>IF(OR(X409="",Q409="",Q409=0),"",X409/Q409)</f>
        <v/>
      </c>
      <c r="AC409" s="44">
        <f>IF(OR(AB409="",AA409=""),"",(AB409-AA409)*100)</f>
        <v/>
      </c>
      <c r="AD409" s="70" t="n"/>
      <c r="AE409" s="70" t="n"/>
      <c r="AF409" s="69">
        <f>IF(OR(AE409="",AD409="",AD409=0,AE409=0),"",AE409-AD409)</f>
        <v/>
      </c>
      <c r="AG409" s="42">
        <f>IF(OR(AE409="",AD409="",AD409=0,AE409=0),"",AE409/AD409-1)</f>
        <v/>
      </c>
      <c r="AH409" s="43">
        <f>IF(OR(AD409="",W409="",W409=0),"",AD409/W409)</f>
        <v/>
      </c>
      <c r="AI409" s="43">
        <f>IF(OR(AE409="",X409="",X409=0),"",AE409/X409)</f>
        <v/>
      </c>
      <c r="AJ409" s="44">
        <f>IF(OR(AI409="",AH409=""),"",(AI409-AH409)*100)</f>
        <v/>
      </c>
      <c r="AK409" s="70" t="n"/>
      <c r="AL409" s="70" t="n"/>
      <c r="AM409" s="69">
        <f>IF(OR(AL409="",AK409="",AK409=0,AL409=0),"",AL409-AK409)</f>
        <v/>
      </c>
      <c r="AN409" s="42">
        <f>IF(OR(AL409="",AK409="",AK409=0,AL409=0),"",AL409/AK409-1)</f>
        <v/>
      </c>
      <c r="AO409" s="43">
        <f>IF(OR(AK409="",AD409="",AD409=0),"",AK409/AD409)</f>
        <v/>
      </c>
      <c r="AP409" s="43">
        <f>IF(OR(AL409="",AE409="",AE409=0),"",AL409/AE409)</f>
        <v/>
      </c>
      <c r="AQ409" s="44">
        <f>IF(OR(AP409="",AO409=""),"",(AP409-AO409)*100)</f>
        <v/>
      </c>
      <c r="AR409" s="70" t="n"/>
      <c r="AS409" s="70" t="n"/>
      <c r="AT409" s="69">
        <f>IF(OR(AS409="",AR409="",AR409=0,AS409=0),"",AS409-AR409)</f>
        <v/>
      </c>
      <c r="AU409" s="42">
        <f>IF(OR(AS409="",AR409="",AR409=0,AS409=0),"",AS409/AR409-1)</f>
        <v/>
      </c>
      <c r="AV409" s="43">
        <f>IF(OR(AR409="",AK409="",AK409=0),"",AR409/AK409)</f>
        <v/>
      </c>
      <c r="AW409" s="43">
        <f>IF(OR(AS409="",AL409="",AL409=0),"",AS409/AL409)</f>
        <v/>
      </c>
      <c r="AX409" s="44">
        <f>IF(OR(AW409="",AV409=""),"",(AW409-AV409)*100)</f>
        <v/>
      </c>
      <c r="AY409" s="45">
        <f>IF(OR(AR409="",P409="",P409=0),"",AR409/P409)</f>
        <v/>
      </c>
      <c r="AZ409" s="45">
        <f>IF(OR(AS409="",Q409="",Q409=0),"",AS409/Q409)</f>
        <v/>
      </c>
      <c r="BA409" s="44">
        <f>IF(OR(AZ409="",AY409=""),"",(AZ409-AY409)*100)</f>
        <v/>
      </c>
      <c r="BB409" s="45">
        <f>IF(OR(AR409="",E409="",E409=0),"",AR409/E409)</f>
        <v/>
      </c>
      <c r="BC409" s="45">
        <f>IF(OR(AS409="",F409="",F409=0),"",AS409/F409)</f>
        <v/>
      </c>
      <c r="BD409" s="44">
        <f>IF(OR(BC409="",BB409=""),"",(BC409-BB409)*100)</f>
        <v/>
      </c>
      <c r="BE409" s="40">
        <f>IF(AND(F409&lt;&gt;"",E409&lt;&gt;""),"Both years",IF(F409&lt;&gt;"","1-23Aug26 rows only","1-23Aug25 rows only"))</f>
        <v/>
      </c>
    </row>
    <row r="410">
      <c r="A410" s="56" t="inlineStr">
        <is>
          <t>Route page</t>
        </is>
      </c>
      <c r="B410" s="56" t="inlineStr">
        <is>
          <t>Direct</t>
        </is>
      </c>
      <c r="C410" s="56" t="inlineStr">
        <is>
          <t>Mobile</t>
        </is>
      </c>
      <c r="D410" s="56" t="inlineStr">
        <is>
          <t>Norway</t>
        </is>
      </c>
      <c r="E410" s="68" t="n">
        <v>29</v>
      </c>
      <c r="F410" s="70" t="n"/>
      <c r="G410" s="69">
        <f>IF(OR(F410="",E410="",E410=0,F410=0),"",F410-E410)</f>
        <v/>
      </c>
      <c r="H410" s="42">
        <f>IF(OR(F410="",E410="",E410=0,F410=0),"",F410/E410-1)</f>
        <v/>
      </c>
      <c r="I410" s="68" t="n">
        <v>17</v>
      </c>
      <c r="J410" s="68" t="n">
        <v>12</v>
      </c>
      <c r="K410" s="69">
        <f>IF(OR(J410="",I410="",I410=0,J410=0),"",J410-I410)</f>
        <v/>
      </c>
      <c r="L410" s="42">
        <f>IF(OR(J410="",I410="",I410=0,J410=0),"",J410/I410-1)</f>
        <v/>
      </c>
      <c r="M410" s="43">
        <f>IF(OR(I410="",E410="",E410=0),"",I410/E410)</f>
        <v/>
      </c>
      <c r="N410" s="43">
        <f>IF(OR(J410="",F410="",F410=0),"",J410/F410)</f>
        <v/>
      </c>
      <c r="O410" s="44">
        <f>IF(OR(N410="",M410=""),"",(N410-M410)*100)</f>
        <v/>
      </c>
      <c r="P410" s="68" t="n">
        <v>14</v>
      </c>
      <c r="Q410" s="70" t="n"/>
      <c r="R410" s="69">
        <f>IF(OR(Q410="",P410="",P410=0,Q410=0),"",Q410-P410)</f>
        <v/>
      </c>
      <c r="S410" s="42">
        <f>IF(OR(Q410="",P410="",P410=0,Q410=0),"",Q410/P410-1)</f>
        <v/>
      </c>
      <c r="T410" s="43">
        <f>IF(OR(P410="",E410="",E410=0),"",P410/E410)</f>
        <v/>
      </c>
      <c r="U410" s="43">
        <f>IF(OR(Q410="",F410="",F410=0),"",Q410/F410)</f>
        <v/>
      </c>
      <c r="V410" s="44">
        <f>IF(OR(U410="",T410=""),"",(U410-T410)*100)</f>
        <v/>
      </c>
      <c r="W410" s="68" t="n">
        <v>2</v>
      </c>
      <c r="X410" s="68" t="n">
        <v>1</v>
      </c>
      <c r="Y410" s="69">
        <f>IF(OR(X410="",W410="",W410=0,X410=0),"",X410-W410)</f>
        <v/>
      </c>
      <c r="Z410" s="42">
        <f>IF(OR(X410="",W410="",W410=0,X410=0),"",X410/W410-1)</f>
        <v/>
      </c>
      <c r="AA410" s="43">
        <f>IF(OR(W410="",P410="",P410=0),"",W410/P410)</f>
        <v/>
      </c>
      <c r="AB410" s="43">
        <f>IF(OR(X410="",Q410="",Q410=0),"",X410/Q410)</f>
        <v/>
      </c>
      <c r="AC410" s="44">
        <f>IF(OR(AB410="",AA410=""),"",(AB410-AA410)*100)</f>
        <v/>
      </c>
      <c r="AD410" s="68" t="n">
        <v>1</v>
      </c>
      <c r="AE410" s="68" t="n">
        <v>2</v>
      </c>
      <c r="AF410" s="69">
        <f>IF(OR(AE410="",AD410="",AD410=0,AE410=0),"",AE410-AD410)</f>
        <v/>
      </c>
      <c r="AG410" s="42">
        <f>IF(OR(AE410="",AD410="",AD410=0,AE410=0),"",AE410/AD410-1)</f>
        <v/>
      </c>
      <c r="AH410" s="43">
        <f>IF(OR(AD410="",W410="",W410=0),"",AD410/W410)</f>
        <v/>
      </c>
      <c r="AI410" s="43">
        <f>IF(OR(AE410="",X410="",X410=0),"",AE410/X410)</f>
        <v/>
      </c>
      <c r="AJ410" s="44">
        <f>IF(OR(AI410="",AH410=""),"",(AI410-AH410)*100)</f>
        <v/>
      </c>
      <c r="AK410" s="68" t="n">
        <v>1</v>
      </c>
      <c r="AL410" s="68" t="n">
        <v>1</v>
      </c>
      <c r="AM410" s="69">
        <f>IF(OR(AL410="",AK410="",AK410=0,AL410=0),"",AL410-AK410)</f>
        <v/>
      </c>
      <c r="AN410" s="42">
        <f>IF(OR(AL410="",AK410="",AK410=0,AL410=0),"",AL410/AK410-1)</f>
        <v/>
      </c>
      <c r="AO410" s="43">
        <f>IF(OR(AK410="",AD410="",AD410=0),"",AK410/AD410)</f>
        <v/>
      </c>
      <c r="AP410" s="43">
        <f>IF(OR(AL410="",AE410="",AE410=0),"",AL410/AE410)</f>
        <v/>
      </c>
      <c r="AQ410" s="44">
        <f>IF(OR(AP410="",AO410=""),"",(AP410-AO410)*100)</f>
        <v/>
      </c>
      <c r="AR410" s="70" t="n"/>
      <c r="AS410" s="70" t="n"/>
      <c r="AT410" s="69">
        <f>IF(OR(AS410="",AR410="",AR410=0,AS410=0),"",AS410-AR410)</f>
        <v/>
      </c>
      <c r="AU410" s="42">
        <f>IF(OR(AS410="",AR410="",AR410=0,AS410=0),"",AS410/AR410-1)</f>
        <v/>
      </c>
      <c r="AV410" s="43">
        <f>IF(OR(AR410="",AK410="",AK410=0),"",AR410/AK410)</f>
        <v/>
      </c>
      <c r="AW410" s="43">
        <f>IF(OR(AS410="",AL410="",AL410=0),"",AS410/AL410)</f>
        <v/>
      </c>
      <c r="AX410" s="44">
        <f>IF(OR(AW410="",AV410=""),"",(AW410-AV410)*100)</f>
        <v/>
      </c>
      <c r="AY410" s="45">
        <f>IF(OR(AR410="",P410="",P410=0),"",AR410/P410)</f>
        <v/>
      </c>
      <c r="AZ410" s="45">
        <f>IF(OR(AS410="",Q410="",Q410=0),"",AS410/Q410)</f>
        <v/>
      </c>
      <c r="BA410" s="44">
        <f>IF(OR(AZ410="",AY410=""),"",(AZ410-AY410)*100)</f>
        <v/>
      </c>
      <c r="BB410" s="45">
        <f>IF(OR(AR410="",E410="",E410=0),"",AR410/E410)</f>
        <v/>
      </c>
      <c r="BC410" s="45">
        <f>IF(OR(AS410="",F410="",F410=0),"",AS410/F410)</f>
        <v/>
      </c>
      <c r="BD410" s="44">
        <f>IF(OR(BC410="",BB410=""),"",(BC410-BB410)*100)</f>
        <v/>
      </c>
      <c r="BE410" s="40">
        <f>IF(AND(F410&lt;&gt;"",E410&lt;&gt;""),"Both years",IF(F410&lt;&gt;"","1-23Aug26 rows only","1-23Aug25 rows only"))</f>
        <v/>
      </c>
    </row>
    <row r="411">
      <c r="A411" s="40" t="inlineStr">
        <is>
          <t>Route page</t>
        </is>
      </c>
      <c r="B411" s="40" t="inlineStr">
        <is>
          <t>Direct</t>
        </is>
      </c>
      <c r="C411" s="40" t="inlineStr">
        <is>
          <t>Mobile</t>
        </is>
      </c>
      <c r="D411" s="40" t="inlineStr">
        <is>
          <t>Finland</t>
        </is>
      </c>
      <c r="E411" s="70" t="n"/>
      <c r="F411" s="70" t="n"/>
      <c r="G411" s="69">
        <f>IF(OR(F411="",E411="",E411=0,F411=0),"",F411-E411)</f>
        <v/>
      </c>
      <c r="H411" s="42">
        <f>IF(OR(F411="",E411="",E411=0,F411=0),"",F411/E411-1)</f>
        <v/>
      </c>
      <c r="I411" s="68" t="n">
        <v>10</v>
      </c>
      <c r="J411" s="68" t="n">
        <v>15</v>
      </c>
      <c r="K411" s="69">
        <f>IF(OR(J411="",I411="",I411=0,J411=0),"",J411-I411)</f>
        <v/>
      </c>
      <c r="L411" s="42">
        <f>IF(OR(J411="",I411="",I411=0,J411=0),"",J411/I411-1)</f>
        <v/>
      </c>
      <c r="M411" s="43">
        <f>IF(OR(I411="",E411="",E411=0),"",I411/E411)</f>
        <v/>
      </c>
      <c r="N411" s="43">
        <f>IF(OR(J411="",F411="",F411=0),"",J411/F411)</f>
        <v/>
      </c>
      <c r="O411" s="44">
        <f>IF(OR(N411="",M411=""),"",(N411-M411)*100)</f>
        <v/>
      </c>
      <c r="P411" s="70" t="n"/>
      <c r="Q411" s="70" t="n"/>
      <c r="R411" s="69">
        <f>IF(OR(Q411="",P411="",P411=0,Q411=0),"",Q411-P411)</f>
        <v/>
      </c>
      <c r="S411" s="42">
        <f>IF(OR(Q411="",P411="",P411=0,Q411=0),"",Q411/P411-1)</f>
        <v/>
      </c>
      <c r="T411" s="43">
        <f>IF(OR(P411="",E411="",E411=0),"",P411/E411)</f>
        <v/>
      </c>
      <c r="U411" s="43">
        <f>IF(OR(Q411="",F411="",F411=0),"",Q411/F411)</f>
        <v/>
      </c>
      <c r="V411" s="44">
        <f>IF(OR(U411="",T411=""),"",(U411-T411)*100)</f>
        <v/>
      </c>
      <c r="W411" s="68" t="n">
        <v>3</v>
      </c>
      <c r="X411" s="68" t="n">
        <v>4</v>
      </c>
      <c r="Y411" s="69">
        <f>IF(OR(X411="",W411="",W411=0,X411=0),"",X411-W411)</f>
        <v/>
      </c>
      <c r="Z411" s="42">
        <f>IF(OR(X411="",W411="",W411=0,X411=0),"",X411/W411-1)</f>
        <v/>
      </c>
      <c r="AA411" s="43">
        <f>IF(OR(W411="",P411="",P411=0),"",W411/P411)</f>
        <v/>
      </c>
      <c r="AB411" s="43">
        <f>IF(OR(X411="",Q411="",Q411=0),"",X411/Q411)</f>
        <v/>
      </c>
      <c r="AC411" s="44">
        <f>IF(OR(AB411="",AA411=""),"",(AB411-AA411)*100)</f>
        <v/>
      </c>
      <c r="AD411" s="68" t="n">
        <v>2</v>
      </c>
      <c r="AE411" s="68" t="n">
        <v>3</v>
      </c>
      <c r="AF411" s="69">
        <f>IF(OR(AE411="",AD411="",AD411=0,AE411=0),"",AE411-AD411)</f>
        <v/>
      </c>
      <c r="AG411" s="42">
        <f>IF(OR(AE411="",AD411="",AD411=0,AE411=0),"",AE411/AD411-1)</f>
        <v/>
      </c>
      <c r="AH411" s="43">
        <f>IF(OR(AD411="",W411="",W411=0),"",AD411/W411)</f>
        <v/>
      </c>
      <c r="AI411" s="43">
        <f>IF(OR(AE411="",X411="",X411=0),"",AE411/X411)</f>
        <v/>
      </c>
      <c r="AJ411" s="44">
        <f>IF(OR(AI411="",AH411=""),"",(AI411-AH411)*100)</f>
        <v/>
      </c>
      <c r="AK411" s="70" t="n"/>
      <c r="AL411" s="70" t="n"/>
      <c r="AM411" s="69">
        <f>IF(OR(AL411="",AK411="",AK411=0,AL411=0),"",AL411-AK411)</f>
        <v/>
      </c>
      <c r="AN411" s="42">
        <f>IF(OR(AL411="",AK411="",AK411=0,AL411=0),"",AL411/AK411-1)</f>
        <v/>
      </c>
      <c r="AO411" s="43">
        <f>IF(OR(AK411="",AD411="",AD411=0),"",AK411/AD411)</f>
        <v/>
      </c>
      <c r="AP411" s="43">
        <f>IF(OR(AL411="",AE411="",AE411=0),"",AL411/AE411)</f>
        <v/>
      </c>
      <c r="AQ411" s="44">
        <f>IF(OR(AP411="",AO411=""),"",(AP411-AO411)*100)</f>
        <v/>
      </c>
      <c r="AR411" s="70" t="n"/>
      <c r="AS411" s="70" t="n"/>
      <c r="AT411" s="69">
        <f>IF(OR(AS411="",AR411="",AR411=0,AS411=0),"",AS411-AR411)</f>
        <v/>
      </c>
      <c r="AU411" s="42">
        <f>IF(OR(AS411="",AR411="",AR411=0,AS411=0),"",AS411/AR411-1)</f>
        <v/>
      </c>
      <c r="AV411" s="43">
        <f>IF(OR(AR411="",AK411="",AK411=0),"",AR411/AK411)</f>
        <v/>
      </c>
      <c r="AW411" s="43">
        <f>IF(OR(AS411="",AL411="",AL411=0),"",AS411/AL411)</f>
        <v/>
      </c>
      <c r="AX411" s="44">
        <f>IF(OR(AW411="",AV411=""),"",(AW411-AV411)*100)</f>
        <v/>
      </c>
      <c r="AY411" s="45">
        <f>IF(OR(AR411="",P411="",P411=0),"",AR411/P411)</f>
        <v/>
      </c>
      <c r="AZ411" s="45">
        <f>IF(OR(AS411="",Q411="",Q411=0),"",AS411/Q411)</f>
        <v/>
      </c>
      <c r="BA411" s="44">
        <f>IF(OR(AZ411="",AY411=""),"",(AZ411-AY411)*100)</f>
        <v/>
      </c>
      <c r="BB411" s="45">
        <f>IF(OR(AR411="",E411="",E411=0),"",AR411/E411)</f>
        <v/>
      </c>
      <c r="BC411" s="45">
        <f>IF(OR(AS411="",F411="",F411=0),"",AS411/F411)</f>
        <v/>
      </c>
      <c r="BD411" s="44">
        <f>IF(OR(BC411="",BB411=""),"",(BC411-BB411)*100)</f>
        <v/>
      </c>
      <c r="BE411" s="40">
        <f>IF(AND(F411&lt;&gt;"",E411&lt;&gt;""),"Both years",IF(F411&lt;&gt;"","1-23Aug26 rows only","1-23Aug25 rows only"))</f>
        <v/>
      </c>
    </row>
    <row r="412">
      <c r="A412" s="56" t="inlineStr">
        <is>
          <t>Route page</t>
        </is>
      </c>
      <c r="B412" s="56" t="inlineStr">
        <is>
          <t>Direct</t>
        </is>
      </c>
      <c r="C412" s="56" t="inlineStr">
        <is>
          <t>Mobile</t>
        </is>
      </c>
      <c r="D412" s="56" t="inlineStr">
        <is>
          <t>Portugal</t>
        </is>
      </c>
      <c r="E412" s="70" t="n"/>
      <c r="F412" s="70" t="n"/>
      <c r="G412" s="69">
        <f>IF(OR(F412="",E412="",E412=0,F412=0),"",F412-E412)</f>
        <v/>
      </c>
      <c r="H412" s="42">
        <f>IF(OR(F412="",E412="",E412=0,F412=0),"",F412/E412-1)</f>
        <v/>
      </c>
      <c r="I412" s="70" t="n"/>
      <c r="J412" s="70" t="n"/>
      <c r="K412" s="69">
        <f>IF(OR(J412="",I412="",I412=0,J412=0),"",J412-I412)</f>
        <v/>
      </c>
      <c r="L412" s="42">
        <f>IF(OR(J412="",I412="",I412=0,J412=0),"",J412/I412-1)</f>
        <v/>
      </c>
      <c r="M412" s="43">
        <f>IF(OR(I412="",E412="",E412=0),"",I412/E412)</f>
        <v/>
      </c>
      <c r="N412" s="43">
        <f>IF(OR(J412="",F412="",F412=0),"",J412/F412)</f>
        <v/>
      </c>
      <c r="O412" s="44">
        <f>IF(OR(N412="",M412=""),"",(N412-M412)*100)</f>
        <v/>
      </c>
      <c r="P412" s="70" t="n"/>
      <c r="Q412" s="68" t="n">
        <v>27</v>
      </c>
      <c r="R412" s="69">
        <f>IF(OR(Q412="",P412="",P412=0,Q412=0),"",Q412-P412)</f>
        <v/>
      </c>
      <c r="S412" s="42">
        <f>IF(OR(Q412="",P412="",P412=0,Q412=0),"",Q412/P412-1)</f>
        <v/>
      </c>
      <c r="T412" s="43">
        <f>IF(OR(P412="",E412="",E412=0),"",P412/E412)</f>
        <v/>
      </c>
      <c r="U412" s="43">
        <f>IF(OR(Q412="",F412="",F412=0),"",Q412/F412)</f>
        <v/>
      </c>
      <c r="V412" s="44">
        <f>IF(OR(U412="",T412=""),"",(U412-T412)*100)</f>
        <v/>
      </c>
      <c r="W412" s="70" t="n"/>
      <c r="X412" s="70" t="n"/>
      <c r="Y412" s="69">
        <f>IF(OR(X412="",W412="",W412=0,X412=0),"",X412-W412)</f>
        <v/>
      </c>
      <c r="Z412" s="42">
        <f>IF(OR(X412="",W412="",W412=0,X412=0),"",X412/W412-1)</f>
        <v/>
      </c>
      <c r="AA412" s="43">
        <f>IF(OR(W412="",P412="",P412=0),"",W412/P412)</f>
        <v/>
      </c>
      <c r="AB412" s="43">
        <f>IF(OR(X412="",Q412="",Q412=0),"",X412/Q412)</f>
        <v/>
      </c>
      <c r="AC412" s="44">
        <f>IF(OR(AB412="",AA412=""),"",(AB412-AA412)*100)</f>
        <v/>
      </c>
      <c r="AD412" s="70" t="n"/>
      <c r="AE412" s="70" t="n"/>
      <c r="AF412" s="69">
        <f>IF(OR(AE412="",AD412="",AD412=0,AE412=0),"",AE412-AD412)</f>
        <v/>
      </c>
      <c r="AG412" s="42">
        <f>IF(OR(AE412="",AD412="",AD412=0,AE412=0),"",AE412/AD412-1)</f>
        <v/>
      </c>
      <c r="AH412" s="43">
        <f>IF(OR(AD412="",W412="",W412=0),"",AD412/W412)</f>
        <v/>
      </c>
      <c r="AI412" s="43">
        <f>IF(OR(AE412="",X412="",X412=0),"",AE412/X412)</f>
        <v/>
      </c>
      <c r="AJ412" s="44">
        <f>IF(OR(AI412="",AH412=""),"",(AI412-AH412)*100)</f>
        <v/>
      </c>
      <c r="AK412" s="70" t="n"/>
      <c r="AL412" s="70" t="n"/>
      <c r="AM412" s="69">
        <f>IF(OR(AL412="",AK412="",AK412=0,AL412=0),"",AL412-AK412)</f>
        <v/>
      </c>
      <c r="AN412" s="42">
        <f>IF(OR(AL412="",AK412="",AK412=0,AL412=0),"",AL412/AK412-1)</f>
        <v/>
      </c>
      <c r="AO412" s="43">
        <f>IF(OR(AK412="",AD412="",AD412=0),"",AK412/AD412)</f>
        <v/>
      </c>
      <c r="AP412" s="43">
        <f>IF(OR(AL412="",AE412="",AE412=0),"",AL412/AE412)</f>
        <v/>
      </c>
      <c r="AQ412" s="44">
        <f>IF(OR(AP412="",AO412=""),"",(AP412-AO412)*100)</f>
        <v/>
      </c>
      <c r="AR412" s="70" t="n"/>
      <c r="AS412" s="70" t="n"/>
      <c r="AT412" s="69">
        <f>IF(OR(AS412="",AR412="",AR412=0,AS412=0),"",AS412-AR412)</f>
        <v/>
      </c>
      <c r="AU412" s="42">
        <f>IF(OR(AS412="",AR412="",AR412=0,AS412=0),"",AS412/AR412-1)</f>
        <v/>
      </c>
      <c r="AV412" s="43">
        <f>IF(OR(AR412="",AK412="",AK412=0),"",AR412/AK412)</f>
        <v/>
      </c>
      <c r="AW412" s="43">
        <f>IF(OR(AS412="",AL412="",AL412=0),"",AS412/AL412)</f>
        <v/>
      </c>
      <c r="AX412" s="44">
        <f>IF(OR(AW412="",AV412=""),"",(AW412-AV412)*100)</f>
        <v/>
      </c>
      <c r="AY412" s="45">
        <f>IF(OR(AR412="",P412="",P412=0),"",AR412/P412)</f>
        <v/>
      </c>
      <c r="AZ412" s="45">
        <f>IF(OR(AS412="",Q412="",Q412=0),"",AS412/Q412)</f>
        <v/>
      </c>
      <c r="BA412" s="44">
        <f>IF(OR(AZ412="",AY412=""),"",(AZ412-AY412)*100)</f>
        <v/>
      </c>
      <c r="BB412" s="45">
        <f>IF(OR(AR412="",E412="",E412=0),"",AR412/E412)</f>
        <v/>
      </c>
      <c r="BC412" s="45">
        <f>IF(OR(AS412="",F412="",F412=0),"",AS412/F412)</f>
        <v/>
      </c>
      <c r="BD412" s="44">
        <f>IF(OR(BC412="",BB412=""),"",(BC412-BB412)*100)</f>
        <v/>
      </c>
      <c r="BE412" s="40">
        <f>IF(AND(F412&lt;&gt;"",E412&lt;&gt;""),"Both years",IF(F412&lt;&gt;"","1-23Aug26 rows only","1-23Aug25 rows only"))</f>
        <v/>
      </c>
    </row>
    <row r="413">
      <c r="A413" s="40" t="inlineStr">
        <is>
          <t>Route page</t>
        </is>
      </c>
      <c r="B413" s="40" t="inlineStr">
        <is>
          <t>Direct</t>
        </is>
      </c>
      <c r="C413" s="40" t="inlineStr">
        <is>
          <t>Mobile</t>
        </is>
      </c>
      <c r="D413" s="40" t="inlineStr">
        <is>
          <t>Brazil</t>
        </is>
      </c>
      <c r="E413" s="70" t="n"/>
      <c r="F413" s="70" t="n"/>
      <c r="G413" s="69">
        <f>IF(OR(F413="",E413="",E413=0,F413=0),"",F413-E413)</f>
        <v/>
      </c>
      <c r="H413" s="42">
        <f>IF(OR(F413="",E413="",E413=0,F413=0),"",F413/E413-1)</f>
        <v/>
      </c>
      <c r="I413" s="70" t="n"/>
      <c r="J413" s="70" t="n"/>
      <c r="K413" s="69">
        <f>IF(OR(J413="",I413="",I413=0,J413=0),"",J413-I413)</f>
        <v/>
      </c>
      <c r="L413" s="42">
        <f>IF(OR(J413="",I413="",I413=0,J413=0),"",J413/I413-1)</f>
        <v/>
      </c>
      <c r="M413" s="43">
        <f>IF(OR(I413="",E413="",E413=0),"",I413/E413)</f>
        <v/>
      </c>
      <c r="N413" s="43">
        <f>IF(OR(J413="",F413="",F413=0),"",J413/F413)</f>
        <v/>
      </c>
      <c r="O413" s="44">
        <f>IF(OR(N413="",M413=""),"",(N413-M413)*100)</f>
        <v/>
      </c>
      <c r="P413" s="68" t="n">
        <v>16</v>
      </c>
      <c r="Q413" s="70" t="n"/>
      <c r="R413" s="69">
        <f>IF(OR(Q413="",P413="",P413=0,Q413=0),"",Q413-P413)</f>
        <v/>
      </c>
      <c r="S413" s="42">
        <f>IF(OR(Q413="",P413="",P413=0,Q413=0),"",Q413/P413-1)</f>
        <v/>
      </c>
      <c r="T413" s="43">
        <f>IF(OR(P413="",E413="",E413=0),"",P413/E413)</f>
        <v/>
      </c>
      <c r="U413" s="43">
        <f>IF(OR(Q413="",F413="",F413=0),"",Q413/F413)</f>
        <v/>
      </c>
      <c r="V413" s="44">
        <f>IF(OR(U413="",T413=""),"",(U413-T413)*100)</f>
        <v/>
      </c>
      <c r="W413" s="70" t="n"/>
      <c r="X413" s="70" t="n"/>
      <c r="Y413" s="69">
        <f>IF(OR(X413="",W413="",W413=0,X413=0),"",X413-W413)</f>
        <v/>
      </c>
      <c r="Z413" s="42">
        <f>IF(OR(X413="",W413="",W413=0,X413=0),"",X413/W413-1)</f>
        <v/>
      </c>
      <c r="AA413" s="43">
        <f>IF(OR(W413="",P413="",P413=0),"",W413/P413)</f>
        <v/>
      </c>
      <c r="AB413" s="43">
        <f>IF(OR(X413="",Q413="",Q413=0),"",X413/Q413)</f>
        <v/>
      </c>
      <c r="AC413" s="44">
        <f>IF(OR(AB413="",AA413=""),"",(AB413-AA413)*100)</f>
        <v/>
      </c>
      <c r="AD413" s="70" t="n"/>
      <c r="AE413" s="70" t="n"/>
      <c r="AF413" s="69">
        <f>IF(OR(AE413="",AD413="",AD413=0,AE413=0),"",AE413-AD413)</f>
        <v/>
      </c>
      <c r="AG413" s="42">
        <f>IF(OR(AE413="",AD413="",AD413=0,AE413=0),"",AE413/AD413-1)</f>
        <v/>
      </c>
      <c r="AH413" s="43">
        <f>IF(OR(AD413="",W413="",W413=0),"",AD413/W413)</f>
        <v/>
      </c>
      <c r="AI413" s="43">
        <f>IF(OR(AE413="",X413="",X413=0),"",AE413/X413)</f>
        <v/>
      </c>
      <c r="AJ413" s="44">
        <f>IF(OR(AI413="",AH413=""),"",(AI413-AH413)*100)</f>
        <v/>
      </c>
      <c r="AK413" s="70" t="n"/>
      <c r="AL413" s="70" t="n"/>
      <c r="AM413" s="69">
        <f>IF(OR(AL413="",AK413="",AK413=0,AL413=0),"",AL413-AK413)</f>
        <v/>
      </c>
      <c r="AN413" s="42">
        <f>IF(OR(AL413="",AK413="",AK413=0,AL413=0),"",AL413/AK413-1)</f>
        <v/>
      </c>
      <c r="AO413" s="43">
        <f>IF(OR(AK413="",AD413="",AD413=0),"",AK413/AD413)</f>
        <v/>
      </c>
      <c r="AP413" s="43">
        <f>IF(OR(AL413="",AE413="",AE413=0),"",AL413/AE413)</f>
        <v/>
      </c>
      <c r="AQ413" s="44">
        <f>IF(OR(AP413="",AO413=""),"",(AP413-AO413)*100)</f>
        <v/>
      </c>
      <c r="AR413" s="70" t="n"/>
      <c r="AS413" s="70" t="n"/>
      <c r="AT413" s="69">
        <f>IF(OR(AS413="",AR413="",AR413=0,AS413=0),"",AS413-AR413)</f>
        <v/>
      </c>
      <c r="AU413" s="42">
        <f>IF(OR(AS413="",AR413="",AR413=0,AS413=0),"",AS413/AR413-1)</f>
        <v/>
      </c>
      <c r="AV413" s="43">
        <f>IF(OR(AR413="",AK413="",AK413=0),"",AR413/AK413)</f>
        <v/>
      </c>
      <c r="AW413" s="43">
        <f>IF(OR(AS413="",AL413="",AL413=0),"",AS413/AL413)</f>
        <v/>
      </c>
      <c r="AX413" s="44">
        <f>IF(OR(AW413="",AV413=""),"",(AW413-AV413)*100)</f>
        <v/>
      </c>
      <c r="AY413" s="45">
        <f>IF(OR(AR413="",P413="",P413=0),"",AR413/P413)</f>
        <v/>
      </c>
      <c r="AZ413" s="45">
        <f>IF(OR(AS413="",Q413="",Q413=0),"",AS413/Q413)</f>
        <v/>
      </c>
      <c r="BA413" s="44">
        <f>IF(OR(AZ413="",AY413=""),"",(AZ413-AY413)*100)</f>
        <v/>
      </c>
      <c r="BB413" s="45">
        <f>IF(OR(AR413="",E413="",E413=0),"",AR413/E413)</f>
        <v/>
      </c>
      <c r="BC413" s="45">
        <f>IF(OR(AS413="",F413="",F413=0),"",AS413/F413)</f>
        <v/>
      </c>
      <c r="BD413" s="44">
        <f>IF(OR(BC413="",BB413=""),"",(BC413-BB413)*100)</f>
        <v/>
      </c>
      <c r="BE413" s="40">
        <f>IF(AND(F413&lt;&gt;"",E413&lt;&gt;""),"Both years",IF(F413&lt;&gt;"","1-23Aug26 rows only","1-23Aug25 rows only"))</f>
        <v/>
      </c>
    </row>
    <row r="414">
      <c r="A414" s="40" t="inlineStr">
        <is>
          <t>Route page</t>
        </is>
      </c>
      <c r="B414" s="40" t="inlineStr">
        <is>
          <t>Direct</t>
        </is>
      </c>
      <c r="C414" s="40" t="inlineStr">
        <is>
          <t>Desktop</t>
        </is>
      </c>
      <c r="D414" s="40" t="inlineStr">
        <is>
          <t>Germany</t>
        </is>
      </c>
      <c r="E414" s="68" t="n">
        <v>110</v>
      </c>
      <c r="F414" s="68" t="n">
        <v>932</v>
      </c>
      <c r="G414" s="69">
        <f>IF(OR(F414="",E414="",E414=0,F414=0),"",F414-E414)</f>
        <v/>
      </c>
      <c r="H414" s="42">
        <f>IF(OR(F414="",E414="",E414=0,F414=0),"",F414/E414-1)</f>
        <v/>
      </c>
      <c r="I414" s="68" t="n">
        <v>54</v>
      </c>
      <c r="J414" s="68" t="n">
        <v>314</v>
      </c>
      <c r="K414" s="69">
        <f>IF(OR(J414="",I414="",I414=0,J414=0),"",J414-I414)</f>
        <v/>
      </c>
      <c r="L414" s="42">
        <f>IF(OR(J414="",I414="",I414=0,J414=0),"",J414/I414-1)</f>
        <v/>
      </c>
      <c r="M414" s="43">
        <f>IF(OR(I414="",E414="",E414=0),"",I414/E414)</f>
        <v/>
      </c>
      <c r="N414" s="43">
        <f>IF(OR(J414="",F414="",F414=0),"",J414/F414)</f>
        <v/>
      </c>
      <c r="O414" s="44">
        <f>IF(OR(N414="",M414=""),"",(N414-M414)*100)</f>
        <v/>
      </c>
      <c r="P414" s="68" t="n">
        <v>44</v>
      </c>
      <c r="Q414" s="68" t="n">
        <v>591</v>
      </c>
      <c r="R414" s="69">
        <f>IF(OR(Q414="",P414="",P414=0,Q414=0),"",Q414-P414)</f>
        <v/>
      </c>
      <c r="S414" s="42">
        <f>IF(OR(Q414="",P414="",P414=0,Q414=0),"",Q414/P414-1)</f>
        <v/>
      </c>
      <c r="T414" s="43">
        <f>IF(OR(P414="",E414="",E414=0),"",P414/E414)</f>
        <v/>
      </c>
      <c r="U414" s="43">
        <f>IF(OR(Q414="",F414="",F414=0),"",Q414/F414)</f>
        <v/>
      </c>
      <c r="V414" s="44">
        <f>IF(OR(U414="",T414=""),"",(U414-T414)*100)</f>
        <v/>
      </c>
      <c r="W414" s="68" t="n">
        <v>18</v>
      </c>
      <c r="X414" s="68" t="n">
        <v>166</v>
      </c>
      <c r="Y414" s="69">
        <f>IF(OR(X414="",W414="",W414=0,X414=0),"",X414-W414)</f>
        <v/>
      </c>
      <c r="Z414" s="42">
        <f>IF(OR(X414="",W414="",W414=0,X414=0),"",X414/W414-1)</f>
        <v/>
      </c>
      <c r="AA414" s="43">
        <f>IF(OR(W414="",P414="",P414=0),"",W414/P414)</f>
        <v/>
      </c>
      <c r="AB414" s="43">
        <f>IF(OR(X414="",Q414="",Q414=0),"",X414/Q414)</f>
        <v/>
      </c>
      <c r="AC414" s="44">
        <f>IF(OR(AB414="",AA414=""),"",(AB414-AA414)*100)</f>
        <v/>
      </c>
      <c r="AD414" s="68" t="n">
        <v>16</v>
      </c>
      <c r="AE414" s="68" t="n">
        <v>139</v>
      </c>
      <c r="AF414" s="69">
        <f>IF(OR(AE414="",AD414="",AD414=0,AE414=0),"",AE414-AD414)</f>
        <v/>
      </c>
      <c r="AG414" s="42">
        <f>IF(OR(AE414="",AD414="",AD414=0,AE414=0),"",AE414/AD414-1)</f>
        <v/>
      </c>
      <c r="AH414" s="43">
        <f>IF(OR(AD414="",W414="",W414=0),"",AD414/W414)</f>
        <v/>
      </c>
      <c r="AI414" s="43">
        <f>IF(OR(AE414="",X414="",X414=0),"",AE414/X414)</f>
        <v/>
      </c>
      <c r="AJ414" s="44">
        <f>IF(OR(AI414="",AH414=""),"",(AI414-AH414)*100)</f>
        <v/>
      </c>
      <c r="AK414" s="68" t="n">
        <v>6</v>
      </c>
      <c r="AL414" s="68" t="n">
        <v>36</v>
      </c>
      <c r="AM414" s="69">
        <f>IF(OR(AL414="",AK414="",AK414=0,AL414=0),"",AL414-AK414)</f>
        <v/>
      </c>
      <c r="AN414" s="42">
        <f>IF(OR(AL414="",AK414="",AK414=0,AL414=0),"",AL414/AK414-1)</f>
        <v/>
      </c>
      <c r="AO414" s="43">
        <f>IF(OR(AK414="",AD414="",AD414=0),"",AK414/AD414)</f>
        <v/>
      </c>
      <c r="AP414" s="43">
        <f>IF(OR(AL414="",AE414="",AE414=0),"",AL414/AE414)</f>
        <v/>
      </c>
      <c r="AQ414" s="44">
        <f>IF(OR(AP414="",AO414=""),"",(AP414-AO414)*100)</f>
        <v/>
      </c>
      <c r="AR414" s="68" t="n">
        <v>5</v>
      </c>
      <c r="AS414" s="68" t="n">
        <v>32</v>
      </c>
      <c r="AT414" s="69">
        <f>IF(OR(AS414="",AR414="",AR414=0,AS414=0),"",AS414-AR414)</f>
        <v/>
      </c>
      <c r="AU414" s="42">
        <f>IF(OR(AS414="",AR414="",AR414=0,AS414=0),"",AS414/AR414-1)</f>
        <v/>
      </c>
      <c r="AV414" s="43">
        <f>IF(OR(AR414="",AK414="",AK414=0),"",AR414/AK414)</f>
        <v/>
      </c>
      <c r="AW414" s="43">
        <f>IF(OR(AS414="",AL414="",AL414=0),"",AS414/AL414)</f>
        <v/>
      </c>
      <c r="AX414" s="44">
        <f>IF(OR(AW414="",AV414=""),"",(AW414-AV414)*100)</f>
        <v/>
      </c>
      <c r="AY414" s="45">
        <f>IF(OR(AR414="",P414="",P414=0),"",AR414/P414)</f>
        <v/>
      </c>
      <c r="AZ414" s="45">
        <f>IF(OR(AS414="",Q414="",Q414=0),"",AS414/Q414)</f>
        <v/>
      </c>
      <c r="BA414" s="44">
        <f>IF(OR(AZ414="",AY414=""),"",(AZ414-AY414)*100)</f>
        <v/>
      </c>
      <c r="BB414" s="45">
        <f>IF(OR(AR414="",E414="",E414=0),"",AR414/E414)</f>
        <v/>
      </c>
      <c r="BC414" s="45">
        <f>IF(OR(AS414="",F414="",F414=0),"",AS414/F414)</f>
        <v/>
      </c>
      <c r="BD414" s="44">
        <f>IF(OR(BC414="",BB414=""),"",(BC414-BB414)*100)</f>
        <v/>
      </c>
      <c r="BE414" s="40">
        <f>IF(AND(F414&lt;&gt;"",E414&lt;&gt;""),"Both years",IF(F414&lt;&gt;"","1-23Aug26 rows only","1-23Aug25 rows only"))</f>
        <v/>
      </c>
    </row>
    <row r="415">
      <c r="A415" s="56" t="inlineStr">
        <is>
          <t>Route page</t>
        </is>
      </c>
      <c r="B415" s="56" t="inlineStr">
        <is>
          <t>Direct</t>
        </is>
      </c>
      <c r="C415" s="56" t="inlineStr">
        <is>
          <t>Desktop</t>
        </is>
      </c>
      <c r="D415" s="56" t="inlineStr">
        <is>
          <t>Italy</t>
        </is>
      </c>
      <c r="E415" s="68" t="n">
        <v>35</v>
      </c>
      <c r="F415" s="68" t="n">
        <v>593</v>
      </c>
      <c r="G415" s="69">
        <f>IF(OR(F415="",E415="",E415=0,F415=0),"",F415-E415)</f>
        <v/>
      </c>
      <c r="H415" s="42">
        <f>IF(OR(F415="",E415="",E415=0,F415=0),"",F415/E415-1)</f>
        <v/>
      </c>
      <c r="I415" s="68" t="n">
        <v>13</v>
      </c>
      <c r="J415" s="68" t="n">
        <v>203</v>
      </c>
      <c r="K415" s="69">
        <f>IF(OR(J415="",I415="",I415=0,J415=0),"",J415-I415)</f>
        <v/>
      </c>
      <c r="L415" s="42">
        <f>IF(OR(J415="",I415="",I415=0,J415=0),"",J415/I415-1)</f>
        <v/>
      </c>
      <c r="M415" s="43">
        <f>IF(OR(I415="",E415="",E415=0),"",I415/E415)</f>
        <v/>
      </c>
      <c r="N415" s="43">
        <f>IF(OR(J415="",F415="",F415=0),"",J415/F415)</f>
        <v/>
      </c>
      <c r="O415" s="44">
        <f>IF(OR(N415="",M415=""),"",(N415-M415)*100)</f>
        <v/>
      </c>
      <c r="P415" s="68" t="n">
        <v>13</v>
      </c>
      <c r="Q415" s="68" t="n">
        <v>301</v>
      </c>
      <c r="R415" s="69">
        <f>IF(OR(Q415="",P415="",P415=0,Q415=0),"",Q415-P415)</f>
        <v/>
      </c>
      <c r="S415" s="42">
        <f>IF(OR(Q415="",P415="",P415=0,Q415=0),"",Q415/P415-1)</f>
        <v/>
      </c>
      <c r="T415" s="43">
        <f>IF(OR(P415="",E415="",E415=0),"",P415/E415)</f>
        <v/>
      </c>
      <c r="U415" s="43">
        <f>IF(OR(Q415="",F415="",F415=0),"",Q415/F415)</f>
        <v/>
      </c>
      <c r="V415" s="44">
        <f>IF(OR(U415="",T415=""),"",(U415-T415)*100)</f>
        <v/>
      </c>
      <c r="W415" s="68" t="n">
        <v>6</v>
      </c>
      <c r="X415" s="68" t="n">
        <v>53</v>
      </c>
      <c r="Y415" s="69">
        <f>IF(OR(X415="",W415="",W415=0,X415=0),"",X415-W415)</f>
        <v/>
      </c>
      <c r="Z415" s="42">
        <f>IF(OR(X415="",W415="",W415=0,X415=0),"",X415/W415-1)</f>
        <v/>
      </c>
      <c r="AA415" s="43">
        <f>IF(OR(W415="",P415="",P415=0),"",W415/P415)</f>
        <v/>
      </c>
      <c r="AB415" s="43">
        <f>IF(OR(X415="",Q415="",Q415=0),"",X415/Q415)</f>
        <v/>
      </c>
      <c r="AC415" s="44">
        <f>IF(OR(AB415="",AA415=""),"",(AB415-AA415)*100)</f>
        <v/>
      </c>
      <c r="AD415" s="68" t="n">
        <v>7</v>
      </c>
      <c r="AE415" s="68" t="n">
        <v>38</v>
      </c>
      <c r="AF415" s="69">
        <f>IF(OR(AE415="",AD415="",AD415=0,AE415=0),"",AE415-AD415)</f>
        <v/>
      </c>
      <c r="AG415" s="42">
        <f>IF(OR(AE415="",AD415="",AD415=0,AE415=0),"",AE415/AD415-1)</f>
        <v/>
      </c>
      <c r="AH415" s="43">
        <f>IF(OR(AD415="",W415="",W415=0),"",AD415/W415)</f>
        <v/>
      </c>
      <c r="AI415" s="43">
        <f>IF(OR(AE415="",X415="",X415=0),"",AE415/X415)</f>
        <v/>
      </c>
      <c r="AJ415" s="44">
        <f>IF(OR(AI415="",AH415=""),"",(AI415-AH415)*100)</f>
        <v/>
      </c>
      <c r="AK415" s="68" t="n">
        <v>5</v>
      </c>
      <c r="AL415" s="68" t="n">
        <v>12</v>
      </c>
      <c r="AM415" s="69">
        <f>IF(OR(AL415="",AK415="",AK415=0,AL415=0),"",AL415-AK415)</f>
        <v/>
      </c>
      <c r="AN415" s="42">
        <f>IF(OR(AL415="",AK415="",AK415=0,AL415=0),"",AL415/AK415-1)</f>
        <v/>
      </c>
      <c r="AO415" s="43">
        <f>IF(OR(AK415="",AD415="",AD415=0),"",AK415/AD415)</f>
        <v/>
      </c>
      <c r="AP415" s="43">
        <f>IF(OR(AL415="",AE415="",AE415=0),"",AL415/AE415)</f>
        <v/>
      </c>
      <c r="AQ415" s="44">
        <f>IF(OR(AP415="",AO415=""),"",(AP415-AO415)*100)</f>
        <v/>
      </c>
      <c r="AR415" s="68" t="n">
        <v>2</v>
      </c>
      <c r="AS415" s="68" t="n">
        <v>8</v>
      </c>
      <c r="AT415" s="69">
        <f>IF(OR(AS415="",AR415="",AR415=0,AS415=0),"",AS415-AR415)</f>
        <v/>
      </c>
      <c r="AU415" s="42">
        <f>IF(OR(AS415="",AR415="",AR415=0,AS415=0),"",AS415/AR415-1)</f>
        <v/>
      </c>
      <c r="AV415" s="43">
        <f>IF(OR(AR415="",AK415="",AK415=0),"",AR415/AK415)</f>
        <v/>
      </c>
      <c r="AW415" s="43">
        <f>IF(OR(AS415="",AL415="",AL415=0),"",AS415/AL415)</f>
        <v/>
      </c>
      <c r="AX415" s="44">
        <f>IF(OR(AW415="",AV415=""),"",(AW415-AV415)*100)</f>
        <v/>
      </c>
      <c r="AY415" s="45">
        <f>IF(OR(AR415="",P415="",P415=0),"",AR415/P415)</f>
        <v/>
      </c>
      <c r="AZ415" s="45">
        <f>IF(OR(AS415="",Q415="",Q415=0),"",AS415/Q415)</f>
        <v/>
      </c>
      <c r="BA415" s="44">
        <f>IF(OR(AZ415="",AY415=""),"",(AZ415-AY415)*100)</f>
        <v/>
      </c>
      <c r="BB415" s="45">
        <f>IF(OR(AR415="",E415="",E415=0),"",AR415/E415)</f>
        <v/>
      </c>
      <c r="BC415" s="45">
        <f>IF(OR(AS415="",F415="",F415=0),"",AS415/F415)</f>
        <v/>
      </c>
      <c r="BD415" s="44">
        <f>IF(OR(BC415="",BB415=""),"",(BC415-BB415)*100)</f>
        <v/>
      </c>
      <c r="BE415" s="40">
        <f>IF(AND(F415&lt;&gt;"",E415&lt;&gt;""),"Both years",IF(F415&lt;&gt;"","1-23Aug26 rows only","1-23Aug25 rows only"))</f>
        <v/>
      </c>
    </row>
    <row r="416">
      <c r="A416" s="40" t="inlineStr">
        <is>
          <t>Route page</t>
        </is>
      </c>
      <c r="B416" s="40" t="inlineStr">
        <is>
          <t>Direct</t>
        </is>
      </c>
      <c r="C416" s="40" t="inlineStr">
        <is>
          <t>Desktop</t>
        </is>
      </c>
      <c r="D416" s="40" t="inlineStr">
        <is>
          <t>Netherlands</t>
        </is>
      </c>
      <c r="E416" s="68" t="n">
        <v>36</v>
      </c>
      <c r="F416" s="68" t="n">
        <v>294</v>
      </c>
      <c r="G416" s="69">
        <f>IF(OR(F416="",E416="",E416=0,F416=0),"",F416-E416)</f>
        <v/>
      </c>
      <c r="H416" s="42">
        <f>IF(OR(F416="",E416="",E416=0,F416=0),"",F416/E416-1)</f>
        <v/>
      </c>
      <c r="I416" s="68" t="n">
        <v>18</v>
      </c>
      <c r="J416" s="68" t="n">
        <v>128</v>
      </c>
      <c r="K416" s="69">
        <f>IF(OR(J416="",I416="",I416=0,J416=0),"",J416-I416)</f>
        <v/>
      </c>
      <c r="L416" s="42">
        <f>IF(OR(J416="",I416="",I416=0,J416=0),"",J416/I416-1)</f>
        <v/>
      </c>
      <c r="M416" s="43">
        <f>IF(OR(I416="",E416="",E416=0),"",I416/E416)</f>
        <v/>
      </c>
      <c r="N416" s="43">
        <f>IF(OR(J416="",F416="",F416=0),"",J416/F416)</f>
        <v/>
      </c>
      <c r="O416" s="44">
        <f>IF(OR(N416="",M416=""),"",(N416-M416)*100)</f>
        <v/>
      </c>
      <c r="P416" s="68" t="n">
        <v>21</v>
      </c>
      <c r="Q416" s="68" t="n">
        <v>179</v>
      </c>
      <c r="R416" s="69">
        <f>IF(OR(Q416="",P416="",P416=0,Q416=0),"",Q416-P416)</f>
        <v/>
      </c>
      <c r="S416" s="42">
        <f>IF(OR(Q416="",P416="",P416=0,Q416=0),"",Q416/P416-1)</f>
        <v/>
      </c>
      <c r="T416" s="43">
        <f>IF(OR(P416="",E416="",E416=0),"",P416/E416)</f>
        <v/>
      </c>
      <c r="U416" s="43">
        <f>IF(OR(Q416="",F416="",F416=0),"",Q416/F416)</f>
        <v/>
      </c>
      <c r="V416" s="44">
        <f>IF(OR(U416="",T416=""),"",(U416-T416)*100)</f>
        <v/>
      </c>
      <c r="W416" s="68" t="n">
        <v>4</v>
      </c>
      <c r="X416" s="68" t="n">
        <v>31</v>
      </c>
      <c r="Y416" s="69">
        <f>IF(OR(X416="",W416="",W416=0,X416=0),"",X416-W416)</f>
        <v/>
      </c>
      <c r="Z416" s="42">
        <f>IF(OR(X416="",W416="",W416=0,X416=0),"",X416/W416-1)</f>
        <v/>
      </c>
      <c r="AA416" s="43">
        <f>IF(OR(W416="",P416="",P416=0),"",W416/P416)</f>
        <v/>
      </c>
      <c r="AB416" s="43">
        <f>IF(OR(X416="",Q416="",Q416=0),"",X416/Q416)</f>
        <v/>
      </c>
      <c r="AC416" s="44">
        <f>IF(OR(AB416="",AA416=""),"",(AB416-AA416)*100)</f>
        <v/>
      </c>
      <c r="AD416" s="68" t="n">
        <v>4</v>
      </c>
      <c r="AE416" s="68" t="n">
        <v>23</v>
      </c>
      <c r="AF416" s="69">
        <f>IF(OR(AE416="",AD416="",AD416=0,AE416=0),"",AE416-AD416)</f>
        <v/>
      </c>
      <c r="AG416" s="42">
        <f>IF(OR(AE416="",AD416="",AD416=0,AE416=0),"",AE416/AD416-1)</f>
        <v/>
      </c>
      <c r="AH416" s="43">
        <f>IF(OR(AD416="",W416="",W416=0),"",AD416/W416)</f>
        <v/>
      </c>
      <c r="AI416" s="43">
        <f>IF(OR(AE416="",X416="",X416=0),"",AE416/X416)</f>
        <v/>
      </c>
      <c r="AJ416" s="44">
        <f>IF(OR(AI416="",AH416=""),"",(AI416-AH416)*100)</f>
        <v/>
      </c>
      <c r="AK416" s="68" t="n">
        <v>1</v>
      </c>
      <c r="AL416" s="68" t="n">
        <v>8</v>
      </c>
      <c r="AM416" s="69">
        <f>IF(OR(AL416="",AK416="",AK416=0,AL416=0),"",AL416-AK416)</f>
        <v/>
      </c>
      <c r="AN416" s="42">
        <f>IF(OR(AL416="",AK416="",AK416=0,AL416=0),"",AL416/AK416-1)</f>
        <v/>
      </c>
      <c r="AO416" s="43">
        <f>IF(OR(AK416="",AD416="",AD416=0),"",AK416/AD416)</f>
        <v/>
      </c>
      <c r="AP416" s="43">
        <f>IF(OR(AL416="",AE416="",AE416=0),"",AL416/AE416)</f>
        <v/>
      </c>
      <c r="AQ416" s="44">
        <f>IF(OR(AP416="",AO416=""),"",(AP416-AO416)*100)</f>
        <v/>
      </c>
      <c r="AR416" s="68" t="n">
        <v>1</v>
      </c>
      <c r="AS416" s="68" t="n">
        <v>6</v>
      </c>
      <c r="AT416" s="69">
        <f>IF(OR(AS416="",AR416="",AR416=0,AS416=0),"",AS416-AR416)</f>
        <v/>
      </c>
      <c r="AU416" s="42">
        <f>IF(OR(AS416="",AR416="",AR416=0,AS416=0),"",AS416/AR416-1)</f>
        <v/>
      </c>
      <c r="AV416" s="43">
        <f>IF(OR(AR416="",AK416="",AK416=0),"",AR416/AK416)</f>
        <v/>
      </c>
      <c r="AW416" s="43">
        <f>IF(OR(AS416="",AL416="",AL416=0),"",AS416/AL416)</f>
        <v/>
      </c>
      <c r="AX416" s="44">
        <f>IF(OR(AW416="",AV416=""),"",(AW416-AV416)*100)</f>
        <v/>
      </c>
      <c r="AY416" s="45">
        <f>IF(OR(AR416="",P416="",P416=0),"",AR416/P416)</f>
        <v/>
      </c>
      <c r="AZ416" s="45">
        <f>IF(OR(AS416="",Q416="",Q416=0),"",AS416/Q416)</f>
        <v/>
      </c>
      <c r="BA416" s="44">
        <f>IF(OR(AZ416="",AY416=""),"",(AZ416-AY416)*100)</f>
        <v/>
      </c>
      <c r="BB416" s="45">
        <f>IF(OR(AR416="",E416="",E416=0),"",AR416/E416)</f>
        <v/>
      </c>
      <c r="BC416" s="45">
        <f>IF(OR(AS416="",F416="",F416=0),"",AS416/F416)</f>
        <v/>
      </c>
      <c r="BD416" s="44">
        <f>IF(OR(BC416="",BB416=""),"",(BC416-BB416)*100)</f>
        <v/>
      </c>
      <c r="BE416" s="40">
        <f>IF(AND(F416&lt;&gt;"",E416&lt;&gt;""),"Both years",IF(F416&lt;&gt;"","1-23Aug26 rows only","1-23Aug25 rows only"))</f>
        <v/>
      </c>
    </row>
    <row r="417">
      <c r="A417" s="56" t="inlineStr">
        <is>
          <t>Route page</t>
        </is>
      </c>
      <c r="B417" s="56" t="inlineStr">
        <is>
          <t>Direct</t>
        </is>
      </c>
      <c r="C417" s="56" t="inlineStr">
        <is>
          <t>Desktop</t>
        </is>
      </c>
      <c r="D417" s="56" t="inlineStr">
        <is>
          <t>Poland</t>
        </is>
      </c>
      <c r="E417" s="70" t="n"/>
      <c r="F417" s="68" t="n">
        <v>279</v>
      </c>
      <c r="G417" s="69">
        <f>IF(OR(F417="",E417="",E417=0,F417=0),"",F417-E417)</f>
        <v/>
      </c>
      <c r="H417" s="42">
        <f>IF(OR(F417="",E417="",E417=0,F417=0),"",F417/E417-1)</f>
        <v/>
      </c>
      <c r="I417" s="70" t="n"/>
      <c r="J417" s="70" t="n"/>
      <c r="K417" s="69">
        <f>IF(OR(J417="",I417="",I417=0,J417=0),"",J417-I417)</f>
        <v/>
      </c>
      <c r="L417" s="42">
        <f>IF(OR(J417="",I417="",I417=0,J417=0),"",J417/I417-1)</f>
        <v/>
      </c>
      <c r="M417" s="43">
        <f>IF(OR(I417="",E417="",E417=0),"",I417/E417)</f>
        <v/>
      </c>
      <c r="N417" s="43">
        <f>IF(OR(J417="",F417="",F417=0),"",J417/F417)</f>
        <v/>
      </c>
      <c r="O417" s="44">
        <f>IF(OR(N417="",M417=""),"",(N417-M417)*100)</f>
        <v/>
      </c>
      <c r="P417" s="70" t="n"/>
      <c r="Q417" s="68" t="n">
        <v>177</v>
      </c>
      <c r="R417" s="69">
        <f>IF(OR(Q417="",P417="",P417=0,Q417=0),"",Q417-P417)</f>
        <v/>
      </c>
      <c r="S417" s="42">
        <f>IF(OR(Q417="",P417="",P417=0,Q417=0),"",Q417/P417-1)</f>
        <v/>
      </c>
      <c r="T417" s="43">
        <f>IF(OR(P417="",E417="",E417=0),"",P417/E417)</f>
        <v/>
      </c>
      <c r="U417" s="43">
        <f>IF(OR(Q417="",F417="",F417=0),"",Q417/F417)</f>
        <v/>
      </c>
      <c r="V417" s="44">
        <f>IF(OR(U417="",T417=""),"",(U417-T417)*100)</f>
        <v/>
      </c>
      <c r="W417" s="70" t="n"/>
      <c r="X417" s="70" t="n"/>
      <c r="Y417" s="69">
        <f>IF(OR(X417="",W417="",W417=0,X417=0),"",X417-W417)</f>
        <v/>
      </c>
      <c r="Z417" s="42">
        <f>IF(OR(X417="",W417="",W417=0,X417=0),"",X417/W417-1)</f>
        <v/>
      </c>
      <c r="AA417" s="43">
        <f>IF(OR(W417="",P417="",P417=0),"",W417/P417)</f>
        <v/>
      </c>
      <c r="AB417" s="43">
        <f>IF(OR(X417="",Q417="",Q417=0),"",X417/Q417)</f>
        <v/>
      </c>
      <c r="AC417" s="44">
        <f>IF(OR(AB417="",AA417=""),"",(AB417-AA417)*100)</f>
        <v/>
      </c>
      <c r="AD417" s="70" t="n"/>
      <c r="AE417" s="70" t="n"/>
      <c r="AF417" s="69">
        <f>IF(OR(AE417="",AD417="",AD417=0,AE417=0),"",AE417-AD417)</f>
        <v/>
      </c>
      <c r="AG417" s="42">
        <f>IF(OR(AE417="",AD417="",AD417=0,AE417=0),"",AE417/AD417-1)</f>
        <v/>
      </c>
      <c r="AH417" s="43">
        <f>IF(OR(AD417="",W417="",W417=0),"",AD417/W417)</f>
        <v/>
      </c>
      <c r="AI417" s="43">
        <f>IF(OR(AE417="",X417="",X417=0),"",AE417/X417)</f>
        <v/>
      </c>
      <c r="AJ417" s="44">
        <f>IF(OR(AI417="",AH417=""),"",(AI417-AH417)*100)</f>
        <v/>
      </c>
      <c r="AK417" s="70" t="n"/>
      <c r="AL417" s="70" t="n"/>
      <c r="AM417" s="69">
        <f>IF(OR(AL417="",AK417="",AK417=0,AL417=0),"",AL417-AK417)</f>
        <v/>
      </c>
      <c r="AN417" s="42">
        <f>IF(OR(AL417="",AK417="",AK417=0,AL417=0),"",AL417/AK417-1)</f>
        <v/>
      </c>
      <c r="AO417" s="43">
        <f>IF(OR(AK417="",AD417="",AD417=0),"",AK417/AD417)</f>
        <v/>
      </c>
      <c r="AP417" s="43">
        <f>IF(OR(AL417="",AE417="",AE417=0),"",AL417/AE417)</f>
        <v/>
      </c>
      <c r="AQ417" s="44">
        <f>IF(OR(AP417="",AO417=""),"",(AP417-AO417)*100)</f>
        <v/>
      </c>
      <c r="AR417" s="70" t="n"/>
      <c r="AS417" s="70" t="n"/>
      <c r="AT417" s="69">
        <f>IF(OR(AS417="",AR417="",AR417=0,AS417=0),"",AS417-AR417)</f>
        <v/>
      </c>
      <c r="AU417" s="42">
        <f>IF(OR(AS417="",AR417="",AR417=0,AS417=0),"",AS417/AR417-1)</f>
        <v/>
      </c>
      <c r="AV417" s="43">
        <f>IF(OR(AR417="",AK417="",AK417=0),"",AR417/AK417)</f>
        <v/>
      </c>
      <c r="AW417" s="43">
        <f>IF(OR(AS417="",AL417="",AL417=0),"",AS417/AL417)</f>
        <v/>
      </c>
      <c r="AX417" s="44">
        <f>IF(OR(AW417="",AV417=""),"",(AW417-AV417)*100)</f>
        <v/>
      </c>
      <c r="AY417" s="45">
        <f>IF(OR(AR417="",P417="",P417=0),"",AR417/P417)</f>
        <v/>
      </c>
      <c r="AZ417" s="45">
        <f>IF(OR(AS417="",Q417="",Q417=0),"",AS417/Q417)</f>
        <v/>
      </c>
      <c r="BA417" s="44">
        <f>IF(OR(AZ417="",AY417=""),"",(AZ417-AY417)*100)</f>
        <v/>
      </c>
      <c r="BB417" s="45">
        <f>IF(OR(AR417="",E417="",E417=0),"",AR417/E417)</f>
        <v/>
      </c>
      <c r="BC417" s="45">
        <f>IF(OR(AS417="",F417="",F417=0),"",AS417/F417)</f>
        <v/>
      </c>
      <c r="BD417" s="44">
        <f>IF(OR(BC417="",BB417=""),"",(BC417-BB417)*100)</f>
        <v/>
      </c>
      <c r="BE417" s="40">
        <f>IF(AND(F417&lt;&gt;"",E417&lt;&gt;""),"Both years",IF(F417&lt;&gt;"","1-23Aug26 rows only","1-23Aug25 rows only"))</f>
        <v/>
      </c>
    </row>
    <row r="418">
      <c r="A418" s="40" t="inlineStr">
        <is>
          <t>Route page</t>
        </is>
      </c>
      <c r="B418" s="40" t="inlineStr">
        <is>
          <t>Direct</t>
        </is>
      </c>
      <c r="C418" s="40" t="inlineStr">
        <is>
          <t>Desktop</t>
        </is>
      </c>
      <c r="D418" s="40" t="inlineStr">
        <is>
          <t>United Kingdom</t>
        </is>
      </c>
      <c r="E418" s="68" t="n">
        <v>156</v>
      </c>
      <c r="F418" s="68" t="n">
        <v>251</v>
      </c>
      <c r="G418" s="69">
        <f>IF(OR(F418="",E418="",E418=0,F418=0),"",F418-E418)</f>
        <v/>
      </c>
      <c r="H418" s="42">
        <f>IF(OR(F418="",E418="",E418=0,F418=0),"",F418/E418-1)</f>
        <v/>
      </c>
      <c r="I418" s="68" t="n">
        <v>63</v>
      </c>
      <c r="J418" s="68" t="n">
        <v>113</v>
      </c>
      <c r="K418" s="69">
        <f>IF(OR(J418="",I418="",I418=0,J418=0),"",J418-I418)</f>
        <v/>
      </c>
      <c r="L418" s="42">
        <f>IF(OR(J418="",I418="",I418=0,J418=0),"",J418/I418-1)</f>
        <v/>
      </c>
      <c r="M418" s="43">
        <f>IF(OR(I418="",E418="",E418=0),"",I418/E418)</f>
        <v/>
      </c>
      <c r="N418" s="43">
        <f>IF(OR(J418="",F418="",F418=0),"",J418/F418)</f>
        <v/>
      </c>
      <c r="O418" s="44">
        <f>IF(OR(N418="",M418=""),"",(N418-M418)*100)</f>
        <v/>
      </c>
      <c r="P418" s="68" t="n">
        <v>66</v>
      </c>
      <c r="Q418" s="68" t="n">
        <v>136</v>
      </c>
      <c r="R418" s="69">
        <f>IF(OR(Q418="",P418="",P418=0,Q418=0),"",Q418-P418)</f>
        <v/>
      </c>
      <c r="S418" s="42">
        <f>IF(OR(Q418="",P418="",P418=0,Q418=0),"",Q418/P418-1)</f>
        <v/>
      </c>
      <c r="T418" s="43">
        <f>IF(OR(P418="",E418="",E418=0),"",P418/E418)</f>
        <v/>
      </c>
      <c r="U418" s="43">
        <f>IF(OR(Q418="",F418="",F418=0),"",Q418/F418)</f>
        <v/>
      </c>
      <c r="V418" s="44">
        <f>IF(OR(U418="",T418=""),"",(U418-T418)*100)</f>
        <v/>
      </c>
      <c r="W418" s="68" t="n">
        <v>21</v>
      </c>
      <c r="X418" s="68" t="n">
        <v>33</v>
      </c>
      <c r="Y418" s="69">
        <f>IF(OR(X418="",W418="",W418=0,X418=0),"",X418-W418)</f>
        <v/>
      </c>
      <c r="Z418" s="42">
        <f>IF(OR(X418="",W418="",W418=0,X418=0),"",X418/W418-1)</f>
        <v/>
      </c>
      <c r="AA418" s="43">
        <f>IF(OR(W418="",P418="",P418=0),"",W418/P418)</f>
        <v/>
      </c>
      <c r="AB418" s="43">
        <f>IF(OR(X418="",Q418="",Q418=0),"",X418/Q418)</f>
        <v/>
      </c>
      <c r="AC418" s="44">
        <f>IF(OR(AB418="",AA418=""),"",(AB418-AA418)*100)</f>
        <v/>
      </c>
      <c r="AD418" s="68" t="n">
        <v>15</v>
      </c>
      <c r="AE418" s="68" t="n">
        <v>24</v>
      </c>
      <c r="AF418" s="69">
        <f>IF(OR(AE418="",AD418="",AD418=0,AE418=0),"",AE418-AD418)</f>
        <v/>
      </c>
      <c r="AG418" s="42">
        <f>IF(OR(AE418="",AD418="",AD418=0,AE418=0),"",AE418/AD418-1)</f>
        <v/>
      </c>
      <c r="AH418" s="43">
        <f>IF(OR(AD418="",W418="",W418=0),"",AD418/W418)</f>
        <v/>
      </c>
      <c r="AI418" s="43">
        <f>IF(OR(AE418="",X418="",X418=0),"",AE418/X418)</f>
        <v/>
      </c>
      <c r="AJ418" s="44">
        <f>IF(OR(AI418="",AH418=""),"",(AI418-AH418)*100)</f>
        <v/>
      </c>
      <c r="AK418" s="68" t="n">
        <v>8</v>
      </c>
      <c r="AL418" s="68" t="n">
        <v>13</v>
      </c>
      <c r="AM418" s="69">
        <f>IF(OR(AL418="",AK418="",AK418=0,AL418=0),"",AL418-AK418)</f>
        <v/>
      </c>
      <c r="AN418" s="42">
        <f>IF(OR(AL418="",AK418="",AK418=0,AL418=0),"",AL418/AK418-1)</f>
        <v/>
      </c>
      <c r="AO418" s="43">
        <f>IF(OR(AK418="",AD418="",AD418=0),"",AK418/AD418)</f>
        <v/>
      </c>
      <c r="AP418" s="43">
        <f>IF(OR(AL418="",AE418="",AE418=0),"",AL418/AE418)</f>
        <v/>
      </c>
      <c r="AQ418" s="44">
        <f>IF(OR(AP418="",AO418=""),"",(AP418-AO418)*100)</f>
        <v/>
      </c>
      <c r="AR418" s="68" t="n">
        <v>9</v>
      </c>
      <c r="AS418" s="68" t="n">
        <v>13</v>
      </c>
      <c r="AT418" s="69">
        <f>IF(OR(AS418="",AR418="",AR418=0,AS418=0),"",AS418-AR418)</f>
        <v/>
      </c>
      <c r="AU418" s="42">
        <f>IF(OR(AS418="",AR418="",AR418=0,AS418=0),"",AS418/AR418-1)</f>
        <v/>
      </c>
      <c r="AV418" s="43">
        <f>IF(OR(AR418="",AK418="",AK418=0),"",AR418/AK418)</f>
        <v/>
      </c>
      <c r="AW418" s="43">
        <f>IF(OR(AS418="",AL418="",AL418=0),"",AS418/AL418)</f>
        <v/>
      </c>
      <c r="AX418" s="44">
        <f>IF(OR(AW418="",AV418=""),"",(AW418-AV418)*100)</f>
        <v/>
      </c>
      <c r="AY418" s="45">
        <f>IF(OR(AR418="",P418="",P418=0),"",AR418/P418)</f>
        <v/>
      </c>
      <c r="AZ418" s="45">
        <f>IF(OR(AS418="",Q418="",Q418=0),"",AS418/Q418)</f>
        <v/>
      </c>
      <c r="BA418" s="44">
        <f>IF(OR(AZ418="",AY418=""),"",(AZ418-AY418)*100)</f>
        <v/>
      </c>
      <c r="BB418" s="45">
        <f>IF(OR(AR418="",E418="",E418=0),"",AR418/E418)</f>
        <v/>
      </c>
      <c r="BC418" s="45">
        <f>IF(OR(AS418="",F418="",F418=0),"",AS418/F418)</f>
        <v/>
      </c>
      <c r="BD418" s="44">
        <f>IF(OR(BC418="",BB418=""),"",(BC418-BB418)*100)</f>
        <v/>
      </c>
      <c r="BE418" s="40">
        <f>IF(AND(F418&lt;&gt;"",E418&lt;&gt;""),"Both years",IF(F418&lt;&gt;"","1-23Aug26 rows only","1-23Aug25 rows only"))</f>
        <v/>
      </c>
    </row>
    <row r="419">
      <c r="A419" s="56" t="inlineStr">
        <is>
          <t>Route page</t>
        </is>
      </c>
      <c r="B419" s="56" t="inlineStr">
        <is>
          <t>Direct</t>
        </is>
      </c>
      <c r="C419" s="56" t="inlineStr">
        <is>
          <t>Desktop</t>
        </is>
      </c>
      <c r="D419" s="56" t="inlineStr">
        <is>
          <t>Spain</t>
        </is>
      </c>
      <c r="E419" s="68" t="n">
        <v>46</v>
      </c>
      <c r="F419" s="68" t="n">
        <v>239</v>
      </c>
      <c r="G419" s="69">
        <f>IF(OR(F419="",E419="",E419=0,F419=0),"",F419-E419)</f>
        <v/>
      </c>
      <c r="H419" s="42">
        <f>IF(OR(F419="",E419="",E419=0,F419=0),"",F419/E419-1)</f>
        <v/>
      </c>
      <c r="I419" s="68" t="n">
        <v>18</v>
      </c>
      <c r="J419" s="68" t="n">
        <v>65</v>
      </c>
      <c r="K419" s="69">
        <f>IF(OR(J419="",I419="",I419=0,J419=0),"",J419-I419)</f>
        <v/>
      </c>
      <c r="L419" s="42">
        <f>IF(OR(J419="",I419="",I419=0,J419=0),"",J419/I419-1)</f>
        <v/>
      </c>
      <c r="M419" s="43">
        <f>IF(OR(I419="",E419="",E419=0),"",I419/E419)</f>
        <v/>
      </c>
      <c r="N419" s="43">
        <f>IF(OR(J419="",F419="",F419=0),"",J419/F419)</f>
        <v/>
      </c>
      <c r="O419" s="44">
        <f>IF(OR(N419="",M419=""),"",(N419-M419)*100)</f>
        <v/>
      </c>
      <c r="P419" s="68" t="n">
        <v>12</v>
      </c>
      <c r="Q419" s="68" t="n">
        <v>128</v>
      </c>
      <c r="R419" s="69">
        <f>IF(OR(Q419="",P419="",P419=0,Q419=0),"",Q419-P419)</f>
        <v/>
      </c>
      <c r="S419" s="42">
        <f>IF(OR(Q419="",P419="",P419=0,Q419=0),"",Q419/P419-1)</f>
        <v/>
      </c>
      <c r="T419" s="43">
        <f>IF(OR(P419="",E419="",E419=0),"",P419/E419)</f>
        <v/>
      </c>
      <c r="U419" s="43">
        <f>IF(OR(Q419="",F419="",F419=0),"",Q419/F419)</f>
        <v/>
      </c>
      <c r="V419" s="44">
        <f>IF(OR(U419="",T419=""),"",(U419-T419)*100)</f>
        <v/>
      </c>
      <c r="W419" s="68" t="n">
        <v>2</v>
      </c>
      <c r="X419" s="68" t="n">
        <v>17</v>
      </c>
      <c r="Y419" s="69">
        <f>IF(OR(X419="",W419="",W419=0,X419=0),"",X419-W419)</f>
        <v/>
      </c>
      <c r="Z419" s="42">
        <f>IF(OR(X419="",W419="",W419=0,X419=0),"",X419/W419-1)</f>
        <v/>
      </c>
      <c r="AA419" s="43">
        <f>IF(OR(W419="",P419="",P419=0),"",W419/P419)</f>
        <v/>
      </c>
      <c r="AB419" s="43">
        <f>IF(OR(X419="",Q419="",Q419=0),"",X419/Q419)</f>
        <v/>
      </c>
      <c r="AC419" s="44">
        <f>IF(OR(AB419="",AA419=""),"",(AB419-AA419)*100)</f>
        <v/>
      </c>
      <c r="AD419" s="68" t="n">
        <v>1</v>
      </c>
      <c r="AE419" s="68" t="n">
        <v>18</v>
      </c>
      <c r="AF419" s="69">
        <f>IF(OR(AE419="",AD419="",AD419=0,AE419=0),"",AE419-AD419)</f>
        <v/>
      </c>
      <c r="AG419" s="42">
        <f>IF(OR(AE419="",AD419="",AD419=0,AE419=0),"",AE419/AD419-1)</f>
        <v/>
      </c>
      <c r="AH419" s="43">
        <f>IF(OR(AD419="",W419="",W419=0),"",AD419/W419)</f>
        <v/>
      </c>
      <c r="AI419" s="43">
        <f>IF(OR(AE419="",X419="",X419=0),"",AE419/X419)</f>
        <v/>
      </c>
      <c r="AJ419" s="44">
        <f>IF(OR(AI419="",AH419=""),"",(AI419-AH419)*100)</f>
        <v/>
      </c>
      <c r="AK419" s="70" t="n"/>
      <c r="AL419" s="68" t="n">
        <v>4</v>
      </c>
      <c r="AM419" s="69">
        <f>IF(OR(AL419="",AK419="",AK419=0,AL419=0),"",AL419-AK419)</f>
        <v/>
      </c>
      <c r="AN419" s="42">
        <f>IF(OR(AL419="",AK419="",AK419=0,AL419=0),"",AL419/AK419-1)</f>
        <v/>
      </c>
      <c r="AO419" s="43">
        <f>IF(OR(AK419="",AD419="",AD419=0),"",AK419/AD419)</f>
        <v/>
      </c>
      <c r="AP419" s="43">
        <f>IF(OR(AL419="",AE419="",AE419=0),"",AL419/AE419)</f>
        <v/>
      </c>
      <c r="AQ419" s="44">
        <f>IF(OR(AP419="",AO419=""),"",(AP419-AO419)*100)</f>
        <v/>
      </c>
      <c r="AR419" s="70" t="n"/>
      <c r="AS419" s="68" t="n">
        <v>4</v>
      </c>
      <c r="AT419" s="69">
        <f>IF(OR(AS419="",AR419="",AR419=0,AS419=0),"",AS419-AR419)</f>
        <v/>
      </c>
      <c r="AU419" s="42">
        <f>IF(OR(AS419="",AR419="",AR419=0,AS419=0),"",AS419/AR419-1)</f>
        <v/>
      </c>
      <c r="AV419" s="43">
        <f>IF(OR(AR419="",AK419="",AK419=0),"",AR419/AK419)</f>
        <v/>
      </c>
      <c r="AW419" s="43">
        <f>IF(OR(AS419="",AL419="",AL419=0),"",AS419/AL419)</f>
        <v/>
      </c>
      <c r="AX419" s="44">
        <f>IF(OR(AW419="",AV419=""),"",(AW419-AV419)*100)</f>
        <v/>
      </c>
      <c r="AY419" s="45">
        <f>IF(OR(AR419="",P419="",P419=0),"",AR419/P419)</f>
        <v/>
      </c>
      <c r="AZ419" s="45">
        <f>IF(OR(AS419="",Q419="",Q419=0),"",AS419/Q419)</f>
        <v/>
      </c>
      <c r="BA419" s="44">
        <f>IF(OR(AZ419="",AY419=""),"",(AZ419-AY419)*100)</f>
        <v/>
      </c>
      <c r="BB419" s="45">
        <f>IF(OR(AR419="",E419="",E419=0),"",AR419/E419)</f>
        <v/>
      </c>
      <c r="BC419" s="45">
        <f>IF(OR(AS419="",F419="",F419=0),"",AS419/F419)</f>
        <v/>
      </c>
      <c r="BD419" s="44">
        <f>IF(OR(BC419="",BB419=""),"",(BC419-BB419)*100)</f>
        <v/>
      </c>
      <c r="BE419" s="40">
        <f>IF(AND(F419&lt;&gt;"",E419&lt;&gt;""),"Both years",IF(F419&lt;&gt;"","1-23Aug26 rows only","1-23Aug25 rows only"))</f>
        <v/>
      </c>
    </row>
    <row r="420">
      <c r="A420" s="40" t="inlineStr">
        <is>
          <t>Route page</t>
        </is>
      </c>
      <c r="B420" s="40" t="inlineStr">
        <is>
          <t>Direct</t>
        </is>
      </c>
      <c r="C420" s="40" t="inlineStr">
        <is>
          <t>Desktop</t>
        </is>
      </c>
      <c r="D420" s="40" t="inlineStr">
        <is>
          <t>France</t>
        </is>
      </c>
      <c r="E420" s="68" t="n">
        <v>26</v>
      </c>
      <c r="F420" s="68" t="n">
        <v>184</v>
      </c>
      <c r="G420" s="69">
        <f>IF(OR(F420="",E420="",E420=0,F420=0),"",F420-E420)</f>
        <v/>
      </c>
      <c r="H420" s="42">
        <f>IF(OR(F420="",E420="",E420=0,F420=0),"",F420/E420-1)</f>
        <v/>
      </c>
      <c r="I420" s="68" t="n">
        <v>10</v>
      </c>
      <c r="J420" s="68" t="n">
        <v>54</v>
      </c>
      <c r="K420" s="69">
        <f>IF(OR(J420="",I420="",I420=0,J420=0),"",J420-I420)</f>
        <v/>
      </c>
      <c r="L420" s="42">
        <f>IF(OR(J420="",I420="",I420=0,J420=0),"",J420/I420-1)</f>
        <v/>
      </c>
      <c r="M420" s="43">
        <f>IF(OR(I420="",E420="",E420=0),"",I420/E420)</f>
        <v/>
      </c>
      <c r="N420" s="43">
        <f>IF(OR(J420="",F420="",F420=0),"",J420/F420)</f>
        <v/>
      </c>
      <c r="O420" s="44">
        <f>IF(OR(N420="",M420=""),"",(N420-M420)*100)</f>
        <v/>
      </c>
      <c r="P420" s="68" t="n">
        <v>9</v>
      </c>
      <c r="Q420" s="68" t="n">
        <v>101</v>
      </c>
      <c r="R420" s="69">
        <f>IF(OR(Q420="",P420="",P420=0,Q420=0),"",Q420-P420)</f>
        <v/>
      </c>
      <c r="S420" s="42">
        <f>IF(OR(Q420="",P420="",P420=0,Q420=0),"",Q420/P420-1)</f>
        <v/>
      </c>
      <c r="T420" s="43">
        <f>IF(OR(P420="",E420="",E420=0),"",P420/E420)</f>
        <v/>
      </c>
      <c r="U420" s="43">
        <f>IF(OR(Q420="",F420="",F420=0),"",Q420/F420)</f>
        <v/>
      </c>
      <c r="V420" s="44">
        <f>IF(OR(U420="",T420=""),"",(U420-T420)*100)</f>
        <v/>
      </c>
      <c r="W420" s="68" t="n">
        <v>2</v>
      </c>
      <c r="X420" s="68" t="n">
        <v>22</v>
      </c>
      <c r="Y420" s="69">
        <f>IF(OR(X420="",W420="",W420=0,X420=0),"",X420-W420)</f>
        <v/>
      </c>
      <c r="Z420" s="42">
        <f>IF(OR(X420="",W420="",W420=0,X420=0),"",X420/W420-1)</f>
        <v/>
      </c>
      <c r="AA420" s="43">
        <f>IF(OR(W420="",P420="",P420=0),"",W420/P420)</f>
        <v/>
      </c>
      <c r="AB420" s="43">
        <f>IF(OR(X420="",Q420="",Q420=0),"",X420/Q420)</f>
        <v/>
      </c>
      <c r="AC420" s="44">
        <f>IF(OR(AB420="",AA420=""),"",(AB420-AA420)*100)</f>
        <v/>
      </c>
      <c r="AD420" s="68" t="n">
        <v>2</v>
      </c>
      <c r="AE420" s="68" t="n">
        <v>19</v>
      </c>
      <c r="AF420" s="69">
        <f>IF(OR(AE420="",AD420="",AD420=0,AE420=0),"",AE420-AD420)</f>
        <v/>
      </c>
      <c r="AG420" s="42">
        <f>IF(OR(AE420="",AD420="",AD420=0,AE420=0),"",AE420/AD420-1)</f>
        <v/>
      </c>
      <c r="AH420" s="43">
        <f>IF(OR(AD420="",W420="",W420=0),"",AD420/W420)</f>
        <v/>
      </c>
      <c r="AI420" s="43">
        <f>IF(OR(AE420="",X420="",X420=0),"",AE420/X420)</f>
        <v/>
      </c>
      <c r="AJ420" s="44">
        <f>IF(OR(AI420="",AH420=""),"",(AI420-AH420)*100)</f>
        <v/>
      </c>
      <c r="AK420" s="68" t="n">
        <v>1</v>
      </c>
      <c r="AL420" s="68" t="n">
        <v>4</v>
      </c>
      <c r="AM420" s="69">
        <f>IF(OR(AL420="",AK420="",AK420=0,AL420=0),"",AL420-AK420)</f>
        <v/>
      </c>
      <c r="AN420" s="42">
        <f>IF(OR(AL420="",AK420="",AK420=0,AL420=0),"",AL420/AK420-1)</f>
        <v/>
      </c>
      <c r="AO420" s="43">
        <f>IF(OR(AK420="",AD420="",AD420=0),"",AK420/AD420)</f>
        <v/>
      </c>
      <c r="AP420" s="43">
        <f>IF(OR(AL420="",AE420="",AE420=0),"",AL420/AE420)</f>
        <v/>
      </c>
      <c r="AQ420" s="44">
        <f>IF(OR(AP420="",AO420=""),"",(AP420-AO420)*100)</f>
        <v/>
      </c>
      <c r="AR420" s="68" t="n">
        <v>1</v>
      </c>
      <c r="AS420" s="68" t="n">
        <v>5</v>
      </c>
      <c r="AT420" s="69">
        <f>IF(OR(AS420="",AR420="",AR420=0,AS420=0),"",AS420-AR420)</f>
        <v/>
      </c>
      <c r="AU420" s="42">
        <f>IF(OR(AS420="",AR420="",AR420=0,AS420=0),"",AS420/AR420-1)</f>
        <v/>
      </c>
      <c r="AV420" s="43">
        <f>IF(OR(AR420="",AK420="",AK420=0),"",AR420/AK420)</f>
        <v/>
      </c>
      <c r="AW420" s="43">
        <f>IF(OR(AS420="",AL420="",AL420=0),"",AS420/AL420)</f>
        <v/>
      </c>
      <c r="AX420" s="44">
        <f>IF(OR(AW420="",AV420=""),"",(AW420-AV420)*100)</f>
        <v/>
      </c>
      <c r="AY420" s="45">
        <f>IF(OR(AR420="",P420="",P420=0),"",AR420/P420)</f>
        <v/>
      </c>
      <c r="AZ420" s="45">
        <f>IF(OR(AS420="",Q420="",Q420=0),"",AS420/Q420)</f>
        <v/>
      </c>
      <c r="BA420" s="44">
        <f>IF(OR(AZ420="",AY420=""),"",(AZ420-AY420)*100)</f>
        <v/>
      </c>
      <c r="BB420" s="45">
        <f>IF(OR(AR420="",E420="",E420=0),"",AR420/E420)</f>
        <v/>
      </c>
      <c r="BC420" s="45">
        <f>IF(OR(AS420="",F420="",F420=0),"",AS420/F420)</f>
        <v/>
      </c>
      <c r="BD420" s="44">
        <f>IF(OR(BC420="",BB420=""),"",(BC420-BB420)*100)</f>
        <v/>
      </c>
      <c r="BE420" s="40">
        <f>IF(AND(F420&lt;&gt;"",E420&lt;&gt;""),"Both years",IF(F420&lt;&gt;"","1-23Aug26 rows only","1-23Aug25 rows only"))</f>
        <v/>
      </c>
    </row>
    <row r="421">
      <c r="A421" s="56" t="inlineStr">
        <is>
          <t>Route page</t>
        </is>
      </c>
      <c r="B421" s="56" t="inlineStr">
        <is>
          <t>Direct</t>
        </is>
      </c>
      <c r="C421" s="56" t="inlineStr">
        <is>
          <t>Desktop</t>
        </is>
      </c>
      <c r="D421" s="56" t="inlineStr">
        <is>
          <t>United States</t>
        </is>
      </c>
      <c r="E421" s="68" t="n">
        <v>119</v>
      </c>
      <c r="F421" s="68" t="n">
        <v>176</v>
      </c>
      <c r="G421" s="69">
        <f>IF(OR(F421="",E421="",E421=0,F421=0),"",F421-E421)</f>
        <v/>
      </c>
      <c r="H421" s="42">
        <f>IF(OR(F421="",E421="",E421=0,F421=0),"",F421/E421-1)</f>
        <v/>
      </c>
      <c r="I421" s="68" t="n">
        <v>32</v>
      </c>
      <c r="J421" s="68" t="n">
        <v>59</v>
      </c>
      <c r="K421" s="69">
        <f>IF(OR(J421="",I421="",I421=0,J421=0),"",J421-I421)</f>
        <v/>
      </c>
      <c r="L421" s="42">
        <f>IF(OR(J421="",I421="",I421=0,J421=0),"",J421/I421-1)</f>
        <v/>
      </c>
      <c r="M421" s="43">
        <f>IF(OR(I421="",E421="",E421=0),"",I421/E421)</f>
        <v/>
      </c>
      <c r="N421" s="43">
        <f>IF(OR(J421="",F421="",F421=0),"",J421/F421)</f>
        <v/>
      </c>
      <c r="O421" s="44">
        <f>IF(OR(N421="",M421=""),"",(N421-M421)*100)</f>
        <v/>
      </c>
      <c r="P421" s="68" t="n">
        <v>22</v>
      </c>
      <c r="Q421" s="68" t="n">
        <v>82</v>
      </c>
      <c r="R421" s="69">
        <f>IF(OR(Q421="",P421="",P421=0,Q421=0),"",Q421-P421)</f>
        <v/>
      </c>
      <c r="S421" s="42">
        <f>IF(OR(Q421="",P421="",P421=0,Q421=0),"",Q421/P421-1)</f>
        <v/>
      </c>
      <c r="T421" s="43">
        <f>IF(OR(P421="",E421="",E421=0),"",P421/E421)</f>
        <v/>
      </c>
      <c r="U421" s="43">
        <f>IF(OR(Q421="",F421="",F421=0),"",Q421/F421)</f>
        <v/>
      </c>
      <c r="V421" s="44">
        <f>IF(OR(U421="",T421=""),"",(U421-T421)*100)</f>
        <v/>
      </c>
      <c r="W421" s="68" t="n">
        <v>9</v>
      </c>
      <c r="X421" s="68" t="n">
        <v>28</v>
      </c>
      <c r="Y421" s="69">
        <f>IF(OR(X421="",W421="",W421=0,X421=0),"",X421-W421)</f>
        <v/>
      </c>
      <c r="Z421" s="42">
        <f>IF(OR(X421="",W421="",W421=0,X421=0),"",X421/W421-1)</f>
        <v/>
      </c>
      <c r="AA421" s="43">
        <f>IF(OR(W421="",P421="",P421=0),"",W421/P421)</f>
        <v/>
      </c>
      <c r="AB421" s="43">
        <f>IF(OR(X421="",Q421="",Q421=0),"",X421/Q421)</f>
        <v/>
      </c>
      <c r="AC421" s="44">
        <f>IF(OR(AB421="",AA421=""),"",(AB421-AA421)*100)</f>
        <v/>
      </c>
      <c r="AD421" s="68" t="n">
        <v>10</v>
      </c>
      <c r="AE421" s="68" t="n">
        <v>20</v>
      </c>
      <c r="AF421" s="69">
        <f>IF(OR(AE421="",AD421="",AD421=0,AE421=0),"",AE421-AD421)</f>
        <v/>
      </c>
      <c r="AG421" s="42">
        <f>IF(OR(AE421="",AD421="",AD421=0,AE421=0),"",AE421/AD421-1)</f>
        <v/>
      </c>
      <c r="AH421" s="43">
        <f>IF(OR(AD421="",W421="",W421=0),"",AD421/W421)</f>
        <v/>
      </c>
      <c r="AI421" s="43">
        <f>IF(OR(AE421="",X421="",X421=0),"",AE421/X421)</f>
        <v/>
      </c>
      <c r="AJ421" s="44">
        <f>IF(OR(AI421="",AH421=""),"",(AI421-AH421)*100)</f>
        <v/>
      </c>
      <c r="AK421" s="68" t="n">
        <v>5</v>
      </c>
      <c r="AL421" s="68" t="n">
        <v>9</v>
      </c>
      <c r="AM421" s="69">
        <f>IF(OR(AL421="",AK421="",AK421=0,AL421=0),"",AL421-AK421)</f>
        <v/>
      </c>
      <c r="AN421" s="42">
        <f>IF(OR(AL421="",AK421="",AK421=0,AL421=0),"",AL421/AK421-1)</f>
        <v/>
      </c>
      <c r="AO421" s="43">
        <f>IF(OR(AK421="",AD421="",AD421=0),"",AK421/AD421)</f>
        <v/>
      </c>
      <c r="AP421" s="43">
        <f>IF(OR(AL421="",AE421="",AE421=0),"",AL421/AE421)</f>
        <v/>
      </c>
      <c r="AQ421" s="44">
        <f>IF(OR(AP421="",AO421=""),"",(AP421-AO421)*100)</f>
        <v/>
      </c>
      <c r="AR421" s="68" t="n">
        <v>6</v>
      </c>
      <c r="AS421" s="68" t="n">
        <v>9</v>
      </c>
      <c r="AT421" s="69">
        <f>IF(OR(AS421="",AR421="",AR421=0,AS421=0),"",AS421-AR421)</f>
        <v/>
      </c>
      <c r="AU421" s="42">
        <f>IF(OR(AS421="",AR421="",AR421=0,AS421=0),"",AS421/AR421-1)</f>
        <v/>
      </c>
      <c r="AV421" s="43">
        <f>IF(OR(AR421="",AK421="",AK421=0),"",AR421/AK421)</f>
        <v/>
      </c>
      <c r="AW421" s="43">
        <f>IF(OR(AS421="",AL421="",AL421=0),"",AS421/AL421)</f>
        <v/>
      </c>
      <c r="AX421" s="44">
        <f>IF(OR(AW421="",AV421=""),"",(AW421-AV421)*100)</f>
        <v/>
      </c>
      <c r="AY421" s="45">
        <f>IF(OR(AR421="",P421="",P421=0),"",AR421/P421)</f>
        <v/>
      </c>
      <c r="AZ421" s="45">
        <f>IF(OR(AS421="",Q421="",Q421=0),"",AS421/Q421)</f>
        <v/>
      </c>
      <c r="BA421" s="44">
        <f>IF(OR(AZ421="",AY421=""),"",(AZ421-AY421)*100)</f>
        <v/>
      </c>
      <c r="BB421" s="45">
        <f>IF(OR(AR421="",E421="",E421=0),"",AR421/E421)</f>
        <v/>
      </c>
      <c r="BC421" s="45">
        <f>IF(OR(AS421="",F421="",F421=0),"",AS421/F421)</f>
        <v/>
      </c>
      <c r="BD421" s="44">
        <f>IF(OR(BC421="",BB421=""),"",(BC421-BB421)*100)</f>
        <v/>
      </c>
      <c r="BE421" s="40">
        <f>IF(AND(F421&lt;&gt;"",E421&lt;&gt;""),"Both years",IF(F421&lt;&gt;"","1-23Aug26 rows only","1-23Aug25 rows only"))</f>
        <v/>
      </c>
    </row>
    <row r="422">
      <c r="A422" s="40" t="inlineStr">
        <is>
          <t>Route page</t>
        </is>
      </c>
      <c r="B422" s="40" t="inlineStr">
        <is>
          <t>Direct</t>
        </is>
      </c>
      <c r="C422" s="40" t="inlineStr">
        <is>
          <t>Desktop</t>
        </is>
      </c>
      <c r="D422" s="40" t="inlineStr">
        <is>
          <t>Belgium</t>
        </is>
      </c>
      <c r="E422" s="70" t="n"/>
      <c r="F422" s="68" t="n">
        <v>164</v>
      </c>
      <c r="G422" s="69">
        <f>IF(OR(F422="",E422="",E422=0,F422=0),"",F422-E422)</f>
        <v/>
      </c>
      <c r="H422" s="42">
        <f>IF(OR(F422="",E422="",E422=0,F422=0),"",F422/E422-1)</f>
        <v/>
      </c>
      <c r="I422" s="68" t="n">
        <v>3</v>
      </c>
      <c r="J422" s="68" t="n">
        <v>61</v>
      </c>
      <c r="K422" s="69">
        <f>IF(OR(J422="",I422="",I422=0,J422=0),"",J422-I422)</f>
        <v/>
      </c>
      <c r="L422" s="42">
        <f>IF(OR(J422="",I422="",I422=0,J422=0),"",J422/I422-1)</f>
        <v/>
      </c>
      <c r="M422" s="43">
        <f>IF(OR(I422="",E422="",E422=0),"",I422/E422)</f>
        <v/>
      </c>
      <c r="N422" s="43">
        <f>IF(OR(J422="",F422="",F422=0),"",J422/F422)</f>
        <v/>
      </c>
      <c r="O422" s="44">
        <f>IF(OR(N422="",M422=""),"",(N422-M422)*100)</f>
        <v/>
      </c>
      <c r="P422" s="70" t="n"/>
      <c r="Q422" s="68" t="n">
        <v>93</v>
      </c>
      <c r="R422" s="69">
        <f>IF(OR(Q422="",P422="",P422=0,Q422=0),"",Q422-P422)</f>
        <v/>
      </c>
      <c r="S422" s="42">
        <f>IF(OR(Q422="",P422="",P422=0,Q422=0),"",Q422/P422-1)</f>
        <v/>
      </c>
      <c r="T422" s="43">
        <f>IF(OR(P422="",E422="",E422=0),"",P422/E422)</f>
        <v/>
      </c>
      <c r="U422" s="43">
        <f>IF(OR(Q422="",F422="",F422=0),"",Q422/F422)</f>
        <v/>
      </c>
      <c r="V422" s="44">
        <f>IF(OR(U422="",T422=""),"",(U422-T422)*100)</f>
        <v/>
      </c>
      <c r="W422" s="70" t="n"/>
      <c r="X422" s="68" t="n">
        <v>15</v>
      </c>
      <c r="Y422" s="69">
        <f>IF(OR(X422="",W422="",W422=0,X422=0),"",X422-W422)</f>
        <v/>
      </c>
      <c r="Z422" s="42">
        <f>IF(OR(X422="",W422="",W422=0,X422=0),"",X422/W422-1)</f>
        <v/>
      </c>
      <c r="AA422" s="43">
        <f>IF(OR(W422="",P422="",P422=0),"",W422/P422)</f>
        <v/>
      </c>
      <c r="AB422" s="43">
        <f>IF(OR(X422="",Q422="",Q422=0),"",X422/Q422)</f>
        <v/>
      </c>
      <c r="AC422" s="44">
        <f>IF(OR(AB422="",AA422=""),"",(AB422-AA422)*100)</f>
        <v/>
      </c>
      <c r="AD422" s="70" t="n"/>
      <c r="AE422" s="68" t="n">
        <v>14</v>
      </c>
      <c r="AF422" s="69">
        <f>IF(OR(AE422="",AD422="",AD422=0,AE422=0),"",AE422-AD422)</f>
        <v/>
      </c>
      <c r="AG422" s="42">
        <f>IF(OR(AE422="",AD422="",AD422=0,AE422=0),"",AE422/AD422-1)</f>
        <v/>
      </c>
      <c r="AH422" s="43">
        <f>IF(OR(AD422="",W422="",W422=0),"",AD422/W422)</f>
        <v/>
      </c>
      <c r="AI422" s="43">
        <f>IF(OR(AE422="",X422="",X422=0),"",AE422/X422)</f>
        <v/>
      </c>
      <c r="AJ422" s="44">
        <f>IF(OR(AI422="",AH422=""),"",(AI422-AH422)*100)</f>
        <v/>
      </c>
      <c r="AK422" s="70" t="n"/>
      <c r="AL422" s="68" t="n">
        <v>5</v>
      </c>
      <c r="AM422" s="69">
        <f>IF(OR(AL422="",AK422="",AK422=0,AL422=0),"",AL422-AK422)</f>
        <v/>
      </c>
      <c r="AN422" s="42">
        <f>IF(OR(AL422="",AK422="",AK422=0,AL422=0),"",AL422/AK422-1)</f>
        <v/>
      </c>
      <c r="AO422" s="43">
        <f>IF(OR(AK422="",AD422="",AD422=0),"",AK422/AD422)</f>
        <v/>
      </c>
      <c r="AP422" s="43">
        <f>IF(OR(AL422="",AE422="",AE422=0),"",AL422/AE422)</f>
        <v/>
      </c>
      <c r="AQ422" s="44">
        <f>IF(OR(AP422="",AO422=""),"",(AP422-AO422)*100)</f>
        <v/>
      </c>
      <c r="AR422" s="70" t="n"/>
      <c r="AS422" s="68" t="n">
        <v>5</v>
      </c>
      <c r="AT422" s="69">
        <f>IF(OR(AS422="",AR422="",AR422=0,AS422=0),"",AS422-AR422)</f>
        <v/>
      </c>
      <c r="AU422" s="42">
        <f>IF(OR(AS422="",AR422="",AR422=0,AS422=0),"",AS422/AR422-1)</f>
        <v/>
      </c>
      <c r="AV422" s="43">
        <f>IF(OR(AR422="",AK422="",AK422=0),"",AR422/AK422)</f>
        <v/>
      </c>
      <c r="AW422" s="43">
        <f>IF(OR(AS422="",AL422="",AL422=0),"",AS422/AL422)</f>
        <v/>
      </c>
      <c r="AX422" s="44">
        <f>IF(OR(AW422="",AV422=""),"",(AW422-AV422)*100)</f>
        <v/>
      </c>
      <c r="AY422" s="45">
        <f>IF(OR(AR422="",P422="",P422=0),"",AR422/P422)</f>
        <v/>
      </c>
      <c r="AZ422" s="45">
        <f>IF(OR(AS422="",Q422="",Q422=0),"",AS422/Q422)</f>
        <v/>
      </c>
      <c r="BA422" s="44">
        <f>IF(OR(AZ422="",AY422=""),"",(AZ422-AY422)*100)</f>
        <v/>
      </c>
      <c r="BB422" s="45">
        <f>IF(OR(AR422="",E422="",E422=0),"",AR422/E422)</f>
        <v/>
      </c>
      <c r="BC422" s="45">
        <f>IF(OR(AS422="",F422="",F422=0),"",AS422/F422)</f>
        <v/>
      </c>
      <c r="BD422" s="44">
        <f>IF(OR(BC422="",BB422=""),"",(BC422-BB422)*100)</f>
        <v/>
      </c>
      <c r="BE422" s="40">
        <f>IF(AND(F422&lt;&gt;"",E422&lt;&gt;""),"Both years",IF(F422&lt;&gt;"","1-23Aug26 rows only","1-23Aug25 rows only"))</f>
        <v/>
      </c>
    </row>
    <row r="423">
      <c r="A423" s="56" t="inlineStr">
        <is>
          <t>Route page</t>
        </is>
      </c>
      <c r="B423" s="56" t="inlineStr">
        <is>
          <t>Direct</t>
        </is>
      </c>
      <c r="C423" s="56" t="inlineStr">
        <is>
          <t>Desktop</t>
        </is>
      </c>
      <c r="D423" s="56" t="inlineStr">
        <is>
          <t>Ireland</t>
        </is>
      </c>
      <c r="E423" s="68" t="n">
        <v>16</v>
      </c>
      <c r="F423" s="68" t="n">
        <v>153</v>
      </c>
      <c r="G423" s="69">
        <f>IF(OR(F423="",E423="",E423=0,F423=0),"",F423-E423)</f>
        <v/>
      </c>
      <c r="H423" s="42">
        <f>IF(OR(F423="",E423="",E423=0,F423=0),"",F423/E423-1)</f>
        <v/>
      </c>
      <c r="I423" s="68" t="n">
        <v>7</v>
      </c>
      <c r="J423" s="68" t="n">
        <v>60</v>
      </c>
      <c r="K423" s="69">
        <f>IF(OR(J423="",I423="",I423=0,J423=0),"",J423-I423)</f>
        <v/>
      </c>
      <c r="L423" s="42">
        <f>IF(OR(J423="",I423="",I423=0,J423=0),"",J423/I423-1)</f>
        <v/>
      </c>
      <c r="M423" s="43">
        <f>IF(OR(I423="",E423="",E423=0),"",I423/E423)</f>
        <v/>
      </c>
      <c r="N423" s="43">
        <f>IF(OR(J423="",F423="",F423=0),"",J423/F423)</f>
        <v/>
      </c>
      <c r="O423" s="44">
        <f>IF(OR(N423="",M423=""),"",(N423-M423)*100)</f>
        <v/>
      </c>
      <c r="P423" s="68" t="n">
        <v>7</v>
      </c>
      <c r="Q423" s="68" t="n">
        <v>90</v>
      </c>
      <c r="R423" s="69">
        <f>IF(OR(Q423="",P423="",P423=0,Q423=0),"",Q423-P423)</f>
        <v/>
      </c>
      <c r="S423" s="42">
        <f>IF(OR(Q423="",P423="",P423=0,Q423=0),"",Q423/P423-1)</f>
        <v/>
      </c>
      <c r="T423" s="43">
        <f>IF(OR(P423="",E423="",E423=0),"",P423/E423)</f>
        <v/>
      </c>
      <c r="U423" s="43">
        <f>IF(OR(Q423="",F423="",F423=0),"",Q423/F423)</f>
        <v/>
      </c>
      <c r="V423" s="44">
        <f>IF(OR(U423="",T423=""),"",(U423-T423)*100)</f>
        <v/>
      </c>
      <c r="W423" s="68" t="n">
        <v>1</v>
      </c>
      <c r="X423" s="68" t="n">
        <v>14</v>
      </c>
      <c r="Y423" s="69">
        <f>IF(OR(X423="",W423="",W423=0,X423=0),"",X423-W423)</f>
        <v/>
      </c>
      <c r="Z423" s="42">
        <f>IF(OR(X423="",W423="",W423=0,X423=0),"",X423/W423-1)</f>
        <v/>
      </c>
      <c r="AA423" s="43">
        <f>IF(OR(W423="",P423="",P423=0),"",W423/P423)</f>
        <v/>
      </c>
      <c r="AB423" s="43">
        <f>IF(OR(X423="",Q423="",Q423=0),"",X423/Q423)</f>
        <v/>
      </c>
      <c r="AC423" s="44">
        <f>IF(OR(AB423="",AA423=""),"",(AB423-AA423)*100)</f>
        <v/>
      </c>
      <c r="AD423" s="70" t="n"/>
      <c r="AE423" s="68" t="n">
        <v>12</v>
      </c>
      <c r="AF423" s="69">
        <f>IF(OR(AE423="",AD423="",AD423=0,AE423=0),"",AE423-AD423)</f>
        <v/>
      </c>
      <c r="AG423" s="42">
        <f>IF(OR(AE423="",AD423="",AD423=0,AE423=0),"",AE423/AD423-1)</f>
        <v/>
      </c>
      <c r="AH423" s="43">
        <f>IF(OR(AD423="",W423="",W423=0),"",AD423/W423)</f>
        <v/>
      </c>
      <c r="AI423" s="43">
        <f>IF(OR(AE423="",X423="",X423=0),"",AE423/X423)</f>
        <v/>
      </c>
      <c r="AJ423" s="44">
        <f>IF(OR(AI423="",AH423=""),"",(AI423-AH423)*100)</f>
        <v/>
      </c>
      <c r="AK423" s="70" t="n"/>
      <c r="AL423" s="68" t="n">
        <v>7</v>
      </c>
      <c r="AM423" s="69">
        <f>IF(OR(AL423="",AK423="",AK423=0,AL423=0),"",AL423-AK423)</f>
        <v/>
      </c>
      <c r="AN423" s="42">
        <f>IF(OR(AL423="",AK423="",AK423=0,AL423=0),"",AL423/AK423-1)</f>
        <v/>
      </c>
      <c r="AO423" s="43">
        <f>IF(OR(AK423="",AD423="",AD423=0),"",AK423/AD423)</f>
        <v/>
      </c>
      <c r="AP423" s="43">
        <f>IF(OR(AL423="",AE423="",AE423=0),"",AL423/AE423)</f>
        <v/>
      </c>
      <c r="AQ423" s="44">
        <f>IF(OR(AP423="",AO423=""),"",(AP423-AO423)*100)</f>
        <v/>
      </c>
      <c r="AR423" s="70" t="n"/>
      <c r="AS423" s="68" t="n">
        <v>7</v>
      </c>
      <c r="AT423" s="69">
        <f>IF(OR(AS423="",AR423="",AR423=0,AS423=0),"",AS423-AR423)</f>
        <v/>
      </c>
      <c r="AU423" s="42">
        <f>IF(OR(AS423="",AR423="",AR423=0,AS423=0),"",AS423/AR423-1)</f>
        <v/>
      </c>
      <c r="AV423" s="43">
        <f>IF(OR(AR423="",AK423="",AK423=0),"",AR423/AK423)</f>
        <v/>
      </c>
      <c r="AW423" s="43">
        <f>IF(OR(AS423="",AL423="",AL423=0),"",AS423/AL423)</f>
        <v/>
      </c>
      <c r="AX423" s="44">
        <f>IF(OR(AW423="",AV423=""),"",(AW423-AV423)*100)</f>
        <v/>
      </c>
      <c r="AY423" s="45">
        <f>IF(OR(AR423="",P423="",P423=0),"",AR423/P423)</f>
        <v/>
      </c>
      <c r="AZ423" s="45">
        <f>IF(OR(AS423="",Q423="",Q423=0),"",AS423/Q423)</f>
        <v/>
      </c>
      <c r="BA423" s="44">
        <f>IF(OR(AZ423="",AY423=""),"",(AZ423-AY423)*100)</f>
        <v/>
      </c>
      <c r="BB423" s="45">
        <f>IF(OR(AR423="",E423="",E423=0),"",AR423/E423)</f>
        <v/>
      </c>
      <c r="BC423" s="45">
        <f>IF(OR(AS423="",F423="",F423=0),"",AS423/F423)</f>
        <v/>
      </c>
      <c r="BD423" s="44">
        <f>IF(OR(BC423="",BB423=""),"",(BC423-BB423)*100)</f>
        <v/>
      </c>
      <c r="BE423" s="40">
        <f>IF(AND(F423&lt;&gt;"",E423&lt;&gt;""),"Both years",IF(F423&lt;&gt;"","1-23Aug26 rows only","1-23Aug25 rows only"))</f>
        <v/>
      </c>
    </row>
    <row r="424">
      <c r="A424" s="40" t="inlineStr">
        <is>
          <t>Route page</t>
        </is>
      </c>
      <c r="B424" s="40" t="inlineStr">
        <is>
          <t>Direct</t>
        </is>
      </c>
      <c r="C424" s="40" t="inlineStr">
        <is>
          <t>Desktop</t>
        </is>
      </c>
      <c r="D424" s="40" t="inlineStr">
        <is>
          <t>Sweden</t>
        </is>
      </c>
      <c r="E424" s="68" t="n">
        <v>32</v>
      </c>
      <c r="F424" s="68" t="n">
        <v>153</v>
      </c>
      <c r="G424" s="69">
        <f>IF(OR(F424="",E424="",E424=0,F424=0),"",F424-E424)</f>
        <v/>
      </c>
      <c r="H424" s="42">
        <f>IF(OR(F424="",E424="",E424=0,F424=0),"",F424/E424-1)</f>
        <v/>
      </c>
      <c r="I424" s="68" t="n">
        <v>9</v>
      </c>
      <c r="J424" s="68" t="n">
        <v>49</v>
      </c>
      <c r="K424" s="69">
        <f>IF(OR(J424="",I424="",I424=0,J424=0),"",J424-I424)</f>
        <v/>
      </c>
      <c r="L424" s="42">
        <f>IF(OR(J424="",I424="",I424=0,J424=0),"",J424/I424-1)</f>
        <v/>
      </c>
      <c r="M424" s="43">
        <f>IF(OR(I424="",E424="",E424=0),"",I424/E424)</f>
        <v/>
      </c>
      <c r="N424" s="43">
        <f>IF(OR(J424="",F424="",F424=0),"",J424/F424)</f>
        <v/>
      </c>
      <c r="O424" s="44">
        <f>IF(OR(N424="",M424=""),"",(N424-M424)*100)</f>
        <v/>
      </c>
      <c r="P424" s="68" t="n">
        <v>12</v>
      </c>
      <c r="Q424" s="68" t="n">
        <v>91</v>
      </c>
      <c r="R424" s="69">
        <f>IF(OR(Q424="",P424="",P424=0,Q424=0),"",Q424-P424)</f>
        <v/>
      </c>
      <c r="S424" s="42">
        <f>IF(OR(Q424="",P424="",P424=0,Q424=0),"",Q424/P424-1)</f>
        <v/>
      </c>
      <c r="T424" s="43">
        <f>IF(OR(P424="",E424="",E424=0),"",P424/E424)</f>
        <v/>
      </c>
      <c r="U424" s="43">
        <f>IF(OR(Q424="",F424="",F424=0),"",Q424/F424)</f>
        <v/>
      </c>
      <c r="V424" s="44">
        <f>IF(OR(U424="",T424=""),"",(U424-T424)*100)</f>
        <v/>
      </c>
      <c r="W424" s="68" t="n">
        <v>1</v>
      </c>
      <c r="X424" s="68" t="n">
        <v>22</v>
      </c>
      <c r="Y424" s="69">
        <f>IF(OR(X424="",W424="",W424=0,X424=0),"",X424-W424)</f>
        <v/>
      </c>
      <c r="Z424" s="42">
        <f>IF(OR(X424="",W424="",W424=0,X424=0),"",X424/W424-1)</f>
        <v/>
      </c>
      <c r="AA424" s="43">
        <f>IF(OR(W424="",P424="",P424=0),"",W424/P424)</f>
        <v/>
      </c>
      <c r="AB424" s="43">
        <f>IF(OR(X424="",Q424="",Q424=0),"",X424/Q424)</f>
        <v/>
      </c>
      <c r="AC424" s="44">
        <f>IF(OR(AB424="",AA424=""),"",(AB424-AA424)*100)</f>
        <v/>
      </c>
      <c r="AD424" s="68" t="n">
        <v>1</v>
      </c>
      <c r="AE424" s="68" t="n">
        <v>18</v>
      </c>
      <c r="AF424" s="69">
        <f>IF(OR(AE424="",AD424="",AD424=0,AE424=0),"",AE424-AD424)</f>
        <v/>
      </c>
      <c r="AG424" s="42">
        <f>IF(OR(AE424="",AD424="",AD424=0,AE424=0),"",AE424/AD424-1)</f>
        <v/>
      </c>
      <c r="AH424" s="43">
        <f>IF(OR(AD424="",W424="",W424=0),"",AD424/W424)</f>
        <v/>
      </c>
      <c r="AI424" s="43">
        <f>IF(OR(AE424="",X424="",X424=0),"",AE424/X424)</f>
        <v/>
      </c>
      <c r="AJ424" s="44">
        <f>IF(OR(AI424="",AH424=""),"",(AI424-AH424)*100)</f>
        <v/>
      </c>
      <c r="AK424" s="70" t="n"/>
      <c r="AL424" s="68" t="n">
        <v>3</v>
      </c>
      <c r="AM424" s="69">
        <f>IF(OR(AL424="",AK424="",AK424=0,AL424=0),"",AL424-AK424)</f>
        <v/>
      </c>
      <c r="AN424" s="42">
        <f>IF(OR(AL424="",AK424="",AK424=0,AL424=0),"",AL424/AK424-1)</f>
        <v/>
      </c>
      <c r="AO424" s="43">
        <f>IF(OR(AK424="",AD424="",AD424=0),"",AK424/AD424)</f>
        <v/>
      </c>
      <c r="AP424" s="43">
        <f>IF(OR(AL424="",AE424="",AE424=0),"",AL424/AE424)</f>
        <v/>
      </c>
      <c r="AQ424" s="44">
        <f>IF(OR(AP424="",AO424=""),"",(AP424-AO424)*100)</f>
        <v/>
      </c>
      <c r="AR424" s="70" t="n"/>
      <c r="AS424" s="68" t="n">
        <v>4</v>
      </c>
      <c r="AT424" s="69">
        <f>IF(OR(AS424="",AR424="",AR424=0,AS424=0),"",AS424-AR424)</f>
        <v/>
      </c>
      <c r="AU424" s="42">
        <f>IF(OR(AS424="",AR424="",AR424=0,AS424=0),"",AS424/AR424-1)</f>
        <v/>
      </c>
      <c r="AV424" s="43">
        <f>IF(OR(AR424="",AK424="",AK424=0),"",AR424/AK424)</f>
        <v/>
      </c>
      <c r="AW424" s="43">
        <f>IF(OR(AS424="",AL424="",AL424=0),"",AS424/AL424)</f>
        <v/>
      </c>
      <c r="AX424" s="44">
        <f>IF(OR(AW424="",AV424=""),"",(AW424-AV424)*100)</f>
        <v/>
      </c>
      <c r="AY424" s="45">
        <f>IF(OR(AR424="",P424="",P424=0),"",AR424/P424)</f>
        <v/>
      </c>
      <c r="AZ424" s="45">
        <f>IF(OR(AS424="",Q424="",Q424=0),"",AS424/Q424)</f>
        <v/>
      </c>
      <c r="BA424" s="44">
        <f>IF(OR(AZ424="",AY424=""),"",(AZ424-AY424)*100)</f>
        <v/>
      </c>
      <c r="BB424" s="45">
        <f>IF(OR(AR424="",E424="",E424=0),"",AR424/E424)</f>
        <v/>
      </c>
      <c r="BC424" s="45">
        <f>IF(OR(AS424="",F424="",F424=0),"",AS424/F424)</f>
        <v/>
      </c>
      <c r="BD424" s="44">
        <f>IF(OR(BC424="",BB424=""),"",(BC424-BB424)*100)</f>
        <v/>
      </c>
      <c r="BE424" s="40">
        <f>IF(AND(F424&lt;&gt;"",E424&lt;&gt;""),"Both years",IF(F424&lt;&gt;"","1-23Aug26 rows only","1-23Aug25 rows only"))</f>
        <v/>
      </c>
    </row>
    <row r="425">
      <c r="A425" s="56" t="inlineStr">
        <is>
          <t>Route page</t>
        </is>
      </c>
      <c r="B425" s="56" t="inlineStr">
        <is>
          <t>Direct</t>
        </is>
      </c>
      <c r="C425" s="56" t="inlineStr">
        <is>
          <t>Desktop</t>
        </is>
      </c>
      <c r="D425" s="56" t="inlineStr">
        <is>
          <t>Romania</t>
        </is>
      </c>
      <c r="E425" s="70" t="n"/>
      <c r="F425" s="68" t="n">
        <v>123</v>
      </c>
      <c r="G425" s="69">
        <f>IF(OR(F425="",E425="",E425=0,F425=0),"",F425-E425)</f>
        <v/>
      </c>
      <c r="H425" s="42">
        <f>IF(OR(F425="",E425="",E425=0,F425=0),"",F425/E425-1)</f>
        <v/>
      </c>
      <c r="I425" s="70" t="n"/>
      <c r="J425" s="70" t="n"/>
      <c r="K425" s="69">
        <f>IF(OR(J425="",I425="",I425=0,J425=0),"",J425-I425)</f>
        <v/>
      </c>
      <c r="L425" s="42">
        <f>IF(OR(J425="",I425="",I425=0,J425=0),"",J425/I425-1)</f>
        <v/>
      </c>
      <c r="M425" s="43">
        <f>IF(OR(I425="",E425="",E425=0),"",I425/E425)</f>
        <v/>
      </c>
      <c r="N425" s="43">
        <f>IF(OR(J425="",F425="",F425=0),"",J425/F425)</f>
        <v/>
      </c>
      <c r="O425" s="44">
        <f>IF(OR(N425="",M425=""),"",(N425-M425)*100)</f>
        <v/>
      </c>
      <c r="P425" s="70" t="n"/>
      <c r="Q425" s="68" t="n">
        <v>59</v>
      </c>
      <c r="R425" s="69">
        <f>IF(OR(Q425="",P425="",P425=0,Q425=0),"",Q425-P425)</f>
        <v/>
      </c>
      <c r="S425" s="42">
        <f>IF(OR(Q425="",P425="",P425=0,Q425=0),"",Q425/P425-1)</f>
        <v/>
      </c>
      <c r="T425" s="43">
        <f>IF(OR(P425="",E425="",E425=0),"",P425/E425)</f>
        <v/>
      </c>
      <c r="U425" s="43">
        <f>IF(OR(Q425="",F425="",F425=0),"",Q425/F425)</f>
        <v/>
      </c>
      <c r="V425" s="44">
        <f>IF(OR(U425="",T425=""),"",(U425-T425)*100)</f>
        <v/>
      </c>
      <c r="W425" s="70" t="n"/>
      <c r="X425" s="70" t="n"/>
      <c r="Y425" s="69">
        <f>IF(OR(X425="",W425="",W425=0,X425=0),"",X425-W425)</f>
        <v/>
      </c>
      <c r="Z425" s="42">
        <f>IF(OR(X425="",W425="",W425=0,X425=0),"",X425/W425-1)</f>
        <v/>
      </c>
      <c r="AA425" s="43">
        <f>IF(OR(W425="",P425="",P425=0),"",W425/P425)</f>
        <v/>
      </c>
      <c r="AB425" s="43">
        <f>IF(OR(X425="",Q425="",Q425=0),"",X425/Q425)</f>
        <v/>
      </c>
      <c r="AC425" s="44">
        <f>IF(OR(AB425="",AA425=""),"",(AB425-AA425)*100)</f>
        <v/>
      </c>
      <c r="AD425" s="70" t="n"/>
      <c r="AE425" s="70" t="n"/>
      <c r="AF425" s="69">
        <f>IF(OR(AE425="",AD425="",AD425=0,AE425=0),"",AE425-AD425)</f>
        <v/>
      </c>
      <c r="AG425" s="42">
        <f>IF(OR(AE425="",AD425="",AD425=0,AE425=0),"",AE425/AD425-1)</f>
        <v/>
      </c>
      <c r="AH425" s="43">
        <f>IF(OR(AD425="",W425="",W425=0),"",AD425/W425)</f>
        <v/>
      </c>
      <c r="AI425" s="43">
        <f>IF(OR(AE425="",X425="",X425=0),"",AE425/X425)</f>
        <v/>
      </c>
      <c r="AJ425" s="44">
        <f>IF(OR(AI425="",AH425=""),"",(AI425-AH425)*100)</f>
        <v/>
      </c>
      <c r="AK425" s="70" t="n"/>
      <c r="AL425" s="70" t="n"/>
      <c r="AM425" s="69">
        <f>IF(OR(AL425="",AK425="",AK425=0,AL425=0),"",AL425-AK425)</f>
        <v/>
      </c>
      <c r="AN425" s="42">
        <f>IF(OR(AL425="",AK425="",AK425=0,AL425=0),"",AL425/AK425-1)</f>
        <v/>
      </c>
      <c r="AO425" s="43">
        <f>IF(OR(AK425="",AD425="",AD425=0),"",AK425/AD425)</f>
        <v/>
      </c>
      <c r="AP425" s="43">
        <f>IF(OR(AL425="",AE425="",AE425=0),"",AL425/AE425)</f>
        <v/>
      </c>
      <c r="AQ425" s="44">
        <f>IF(OR(AP425="",AO425=""),"",(AP425-AO425)*100)</f>
        <v/>
      </c>
      <c r="AR425" s="70" t="n"/>
      <c r="AS425" s="70" t="n"/>
      <c r="AT425" s="69">
        <f>IF(OR(AS425="",AR425="",AR425=0,AS425=0),"",AS425-AR425)</f>
        <v/>
      </c>
      <c r="AU425" s="42">
        <f>IF(OR(AS425="",AR425="",AR425=0,AS425=0),"",AS425/AR425-1)</f>
        <v/>
      </c>
      <c r="AV425" s="43">
        <f>IF(OR(AR425="",AK425="",AK425=0),"",AR425/AK425)</f>
        <v/>
      </c>
      <c r="AW425" s="43">
        <f>IF(OR(AS425="",AL425="",AL425=0),"",AS425/AL425)</f>
        <v/>
      </c>
      <c r="AX425" s="44">
        <f>IF(OR(AW425="",AV425=""),"",(AW425-AV425)*100)</f>
        <v/>
      </c>
      <c r="AY425" s="45">
        <f>IF(OR(AR425="",P425="",P425=0),"",AR425/P425)</f>
        <v/>
      </c>
      <c r="AZ425" s="45">
        <f>IF(OR(AS425="",Q425="",Q425=0),"",AS425/Q425)</f>
        <v/>
      </c>
      <c r="BA425" s="44">
        <f>IF(OR(AZ425="",AY425=""),"",(AZ425-AY425)*100)</f>
        <v/>
      </c>
      <c r="BB425" s="45">
        <f>IF(OR(AR425="",E425="",E425=0),"",AR425/E425)</f>
        <v/>
      </c>
      <c r="BC425" s="45">
        <f>IF(OR(AS425="",F425="",F425=0),"",AS425/F425)</f>
        <v/>
      </c>
      <c r="BD425" s="44">
        <f>IF(OR(BC425="",BB425=""),"",(BC425-BB425)*100)</f>
        <v/>
      </c>
      <c r="BE425" s="40">
        <f>IF(AND(F425&lt;&gt;"",E425&lt;&gt;""),"Both years",IF(F425&lt;&gt;"","1-23Aug26 rows only","1-23Aug25 rows only"))</f>
        <v/>
      </c>
    </row>
    <row r="426">
      <c r="A426" s="40" t="inlineStr">
        <is>
          <t>Route page</t>
        </is>
      </c>
      <c r="B426" s="40" t="inlineStr">
        <is>
          <t>Direct</t>
        </is>
      </c>
      <c r="C426" s="40" t="inlineStr">
        <is>
          <t>Desktop</t>
        </is>
      </c>
      <c r="D426" s="40" t="inlineStr">
        <is>
          <t>Portugal</t>
        </is>
      </c>
      <c r="E426" s="68" t="n">
        <v>19</v>
      </c>
      <c r="F426" s="68" t="n">
        <v>116</v>
      </c>
      <c r="G426" s="69">
        <f>IF(OR(F426="",E426="",E426=0,F426=0),"",F426-E426)</f>
        <v/>
      </c>
      <c r="H426" s="42">
        <f>IF(OR(F426="",E426="",E426=0,F426=0),"",F426/E426-1)</f>
        <v/>
      </c>
      <c r="I426" s="70" t="n"/>
      <c r="J426" s="70" t="n"/>
      <c r="K426" s="69">
        <f>IF(OR(J426="",I426="",I426=0,J426=0),"",J426-I426)</f>
        <v/>
      </c>
      <c r="L426" s="42">
        <f>IF(OR(J426="",I426="",I426=0,J426=0),"",J426/I426-1)</f>
        <v/>
      </c>
      <c r="M426" s="43">
        <f>IF(OR(I426="",E426="",E426=0),"",I426/E426)</f>
        <v/>
      </c>
      <c r="N426" s="43">
        <f>IF(OR(J426="",F426="",F426=0),"",J426/F426)</f>
        <v/>
      </c>
      <c r="O426" s="44">
        <f>IF(OR(N426="",M426=""),"",(N426-M426)*100)</f>
        <v/>
      </c>
      <c r="P426" s="68" t="n">
        <v>8</v>
      </c>
      <c r="Q426" s="68" t="n">
        <v>83</v>
      </c>
      <c r="R426" s="69">
        <f>IF(OR(Q426="",P426="",P426=0,Q426=0),"",Q426-P426)</f>
        <v/>
      </c>
      <c r="S426" s="42">
        <f>IF(OR(Q426="",P426="",P426=0,Q426=0),"",Q426/P426-1)</f>
        <v/>
      </c>
      <c r="T426" s="43">
        <f>IF(OR(P426="",E426="",E426=0),"",P426/E426)</f>
        <v/>
      </c>
      <c r="U426" s="43">
        <f>IF(OR(Q426="",F426="",F426=0),"",Q426/F426)</f>
        <v/>
      </c>
      <c r="V426" s="44">
        <f>IF(OR(U426="",T426=""),"",(U426-T426)*100)</f>
        <v/>
      </c>
      <c r="W426" s="70" t="n"/>
      <c r="X426" s="70" t="n"/>
      <c r="Y426" s="69">
        <f>IF(OR(X426="",W426="",W426=0,X426=0),"",X426-W426)</f>
        <v/>
      </c>
      <c r="Z426" s="42">
        <f>IF(OR(X426="",W426="",W426=0,X426=0),"",X426/W426-1)</f>
        <v/>
      </c>
      <c r="AA426" s="43">
        <f>IF(OR(W426="",P426="",P426=0),"",W426/P426)</f>
        <v/>
      </c>
      <c r="AB426" s="43">
        <f>IF(OR(X426="",Q426="",Q426=0),"",X426/Q426)</f>
        <v/>
      </c>
      <c r="AC426" s="44">
        <f>IF(OR(AB426="",AA426=""),"",(AB426-AA426)*100)</f>
        <v/>
      </c>
      <c r="AD426" s="70" t="n"/>
      <c r="AE426" s="70" t="n"/>
      <c r="AF426" s="69">
        <f>IF(OR(AE426="",AD426="",AD426=0,AE426=0),"",AE426-AD426)</f>
        <v/>
      </c>
      <c r="AG426" s="42">
        <f>IF(OR(AE426="",AD426="",AD426=0,AE426=0),"",AE426/AD426-1)</f>
        <v/>
      </c>
      <c r="AH426" s="43">
        <f>IF(OR(AD426="",W426="",W426=0),"",AD426/W426)</f>
        <v/>
      </c>
      <c r="AI426" s="43">
        <f>IF(OR(AE426="",X426="",X426=0),"",AE426/X426)</f>
        <v/>
      </c>
      <c r="AJ426" s="44">
        <f>IF(OR(AI426="",AH426=""),"",(AI426-AH426)*100)</f>
        <v/>
      </c>
      <c r="AK426" s="70" t="n"/>
      <c r="AL426" s="70" t="n"/>
      <c r="AM426" s="69">
        <f>IF(OR(AL426="",AK426="",AK426=0,AL426=0),"",AL426-AK426)</f>
        <v/>
      </c>
      <c r="AN426" s="42">
        <f>IF(OR(AL426="",AK426="",AK426=0,AL426=0),"",AL426/AK426-1)</f>
        <v/>
      </c>
      <c r="AO426" s="43">
        <f>IF(OR(AK426="",AD426="",AD426=0),"",AK426/AD426)</f>
        <v/>
      </c>
      <c r="AP426" s="43">
        <f>IF(OR(AL426="",AE426="",AE426=0),"",AL426/AE426)</f>
        <v/>
      </c>
      <c r="AQ426" s="44">
        <f>IF(OR(AP426="",AO426=""),"",(AP426-AO426)*100)</f>
        <v/>
      </c>
      <c r="AR426" s="70" t="n"/>
      <c r="AS426" s="70" t="n"/>
      <c r="AT426" s="69">
        <f>IF(OR(AS426="",AR426="",AR426=0,AS426=0),"",AS426-AR426)</f>
        <v/>
      </c>
      <c r="AU426" s="42">
        <f>IF(OR(AS426="",AR426="",AR426=0,AS426=0),"",AS426/AR426-1)</f>
        <v/>
      </c>
      <c r="AV426" s="43">
        <f>IF(OR(AR426="",AK426="",AK426=0),"",AR426/AK426)</f>
        <v/>
      </c>
      <c r="AW426" s="43">
        <f>IF(OR(AS426="",AL426="",AL426=0),"",AS426/AL426)</f>
        <v/>
      </c>
      <c r="AX426" s="44">
        <f>IF(OR(AW426="",AV426=""),"",(AW426-AV426)*100)</f>
        <v/>
      </c>
      <c r="AY426" s="45">
        <f>IF(OR(AR426="",P426="",P426=0),"",AR426/P426)</f>
        <v/>
      </c>
      <c r="AZ426" s="45">
        <f>IF(OR(AS426="",Q426="",Q426=0),"",AS426/Q426)</f>
        <v/>
      </c>
      <c r="BA426" s="44">
        <f>IF(OR(AZ426="",AY426=""),"",(AZ426-AY426)*100)</f>
        <v/>
      </c>
      <c r="BB426" s="45">
        <f>IF(OR(AR426="",E426="",E426=0),"",AR426/E426)</f>
        <v/>
      </c>
      <c r="BC426" s="45">
        <f>IF(OR(AS426="",F426="",F426=0),"",AS426/F426)</f>
        <v/>
      </c>
      <c r="BD426" s="44">
        <f>IF(OR(BC426="",BB426=""),"",(BC426-BB426)*100)</f>
        <v/>
      </c>
      <c r="BE426" s="40">
        <f>IF(AND(F426&lt;&gt;"",E426&lt;&gt;""),"Both years",IF(F426&lt;&gt;"","1-23Aug26 rows only","1-23Aug25 rows only"))</f>
        <v/>
      </c>
    </row>
    <row r="427">
      <c r="A427" s="56" t="inlineStr">
        <is>
          <t>Route page</t>
        </is>
      </c>
      <c r="B427" s="56" t="inlineStr">
        <is>
          <t>Direct</t>
        </is>
      </c>
      <c r="C427" s="56" t="inlineStr">
        <is>
          <t>Desktop</t>
        </is>
      </c>
      <c r="D427" s="56" t="inlineStr">
        <is>
          <t>Austria</t>
        </is>
      </c>
      <c r="E427" s="70" t="n"/>
      <c r="F427" s="68" t="n">
        <v>114</v>
      </c>
      <c r="G427" s="69">
        <f>IF(OR(F427="",E427="",E427=0,F427=0),"",F427-E427)</f>
        <v/>
      </c>
      <c r="H427" s="42">
        <f>IF(OR(F427="",E427="",E427=0,F427=0),"",F427/E427-1)</f>
        <v/>
      </c>
      <c r="I427" s="70" t="n"/>
      <c r="J427" s="70" t="n"/>
      <c r="K427" s="69">
        <f>IF(OR(J427="",I427="",I427=0,J427=0),"",J427-I427)</f>
        <v/>
      </c>
      <c r="L427" s="42">
        <f>IF(OR(J427="",I427="",I427=0,J427=0),"",J427/I427-1)</f>
        <v/>
      </c>
      <c r="M427" s="43">
        <f>IF(OR(I427="",E427="",E427=0),"",I427/E427)</f>
        <v/>
      </c>
      <c r="N427" s="43">
        <f>IF(OR(J427="",F427="",F427=0),"",J427/F427)</f>
        <v/>
      </c>
      <c r="O427" s="44">
        <f>IF(OR(N427="",M427=""),"",(N427-M427)*100)</f>
        <v/>
      </c>
      <c r="P427" s="68" t="n">
        <v>8</v>
      </c>
      <c r="Q427" s="68" t="n">
        <v>60</v>
      </c>
      <c r="R427" s="69">
        <f>IF(OR(Q427="",P427="",P427=0,Q427=0),"",Q427-P427)</f>
        <v/>
      </c>
      <c r="S427" s="42">
        <f>IF(OR(Q427="",P427="",P427=0,Q427=0),"",Q427/P427-1)</f>
        <v/>
      </c>
      <c r="T427" s="43">
        <f>IF(OR(P427="",E427="",E427=0),"",P427/E427)</f>
        <v/>
      </c>
      <c r="U427" s="43">
        <f>IF(OR(Q427="",F427="",F427=0),"",Q427/F427)</f>
        <v/>
      </c>
      <c r="V427" s="44">
        <f>IF(OR(U427="",T427=""),"",(U427-T427)*100)</f>
        <v/>
      </c>
      <c r="W427" s="70" t="n"/>
      <c r="X427" s="70" t="n"/>
      <c r="Y427" s="69">
        <f>IF(OR(X427="",W427="",W427=0,X427=0),"",X427-W427)</f>
        <v/>
      </c>
      <c r="Z427" s="42">
        <f>IF(OR(X427="",W427="",W427=0,X427=0),"",X427/W427-1)</f>
        <v/>
      </c>
      <c r="AA427" s="43">
        <f>IF(OR(W427="",P427="",P427=0),"",W427/P427)</f>
        <v/>
      </c>
      <c r="AB427" s="43">
        <f>IF(OR(X427="",Q427="",Q427=0),"",X427/Q427)</f>
        <v/>
      </c>
      <c r="AC427" s="44">
        <f>IF(OR(AB427="",AA427=""),"",(AB427-AA427)*100)</f>
        <v/>
      </c>
      <c r="AD427" s="70" t="n"/>
      <c r="AE427" s="70" t="n"/>
      <c r="AF427" s="69">
        <f>IF(OR(AE427="",AD427="",AD427=0,AE427=0),"",AE427-AD427)</f>
        <v/>
      </c>
      <c r="AG427" s="42">
        <f>IF(OR(AE427="",AD427="",AD427=0,AE427=0),"",AE427/AD427-1)</f>
        <v/>
      </c>
      <c r="AH427" s="43">
        <f>IF(OR(AD427="",W427="",W427=0),"",AD427/W427)</f>
        <v/>
      </c>
      <c r="AI427" s="43">
        <f>IF(OR(AE427="",X427="",X427=0),"",AE427/X427)</f>
        <v/>
      </c>
      <c r="AJ427" s="44">
        <f>IF(OR(AI427="",AH427=""),"",(AI427-AH427)*100)</f>
        <v/>
      </c>
      <c r="AK427" s="70" t="n"/>
      <c r="AL427" s="70" t="n"/>
      <c r="AM427" s="69">
        <f>IF(OR(AL427="",AK427="",AK427=0,AL427=0),"",AL427-AK427)</f>
        <v/>
      </c>
      <c r="AN427" s="42">
        <f>IF(OR(AL427="",AK427="",AK427=0,AL427=0),"",AL427/AK427-1)</f>
        <v/>
      </c>
      <c r="AO427" s="43">
        <f>IF(OR(AK427="",AD427="",AD427=0),"",AK427/AD427)</f>
        <v/>
      </c>
      <c r="AP427" s="43">
        <f>IF(OR(AL427="",AE427="",AE427=0),"",AL427/AE427)</f>
        <v/>
      </c>
      <c r="AQ427" s="44">
        <f>IF(OR(AP427="",AO427=""),"",(AP427-AO427)*100)</f>
        <v/>
      </c>
      <c r="AR427" s="70" t="n"/>
      <c r="AS427" s="70" t="n"/>
      <c r="AT427" s="69">
        <f>IF(OR(AS427="",AR427="",AR427=0,AS427=0),"",AS427-AR427)</f>
        <v/>
      </c>
      <c r="AU427" s="42">
        <f>IF(OR(AS427="",AR427="",AR427=0,AS427=0),"",AS427/AR427-1)</f>
        <v/>
      </c>
      <c r="AV427" s="43">
        <f>IF(OR(AR427="",AK427="",AK427=0),"",AR427/AK427)</f>
        <v/>
      </c>
      <c r="AW427" s="43">
        <f>IF(OR(AS427="",AL427="",AL427=0),"",AS427/AL427)</f>
        <v/>
      </c>
      <c r="AX427" s="44">
        <f>IF(OR(AW427="",AV427=""),"",(AW427-AV427)*100)</f>
        <v/>
      </c>
      <c r="AY427" s="45">
        <f>IF(OR(AR427="",P427="",P427=0),"",AR427/P427)</f>
        <v/>
      </c>
      <c r="AZ427" s="45">
        <f>IF(OR(AS427="",Q427="",Q427=0),"",AS427/Q427)</f>
        <v/>
      </c>
      <c r="BA427" s="44">
        <f>IF(OR(AZ427="",AY427=""),"",(AZ427-AY427)*100)</f>
        <v/>
      </c>
      <c r="BB427" s="45">
        <f>IF(OR(AR427="",E427="",E427=0),"",AR427/E427)</f>
        <v/>
      </c>
      <c r="BC427" s="45">
        <f>IF(OR(AS427="",F427="",F427=0),"",AS427/F427)</f>
        <v/>
      </c>
      <c r="BD427" s="44">
        <f>IF(OR(BC427="",BB427=""),"",(BC427-BB427)*100)</f>
        <v/>
      </c>
      <c r="BE427" s="40">
        <f>IF(AND(F427&lt;&gt;"",E427&lt;&gt;""),"Both years",IF(F427&lt;&gt;"","1-23Aug26 rows only","1-23Aug25 rows only"))</f>
        <v/>
      </c>
    </row>
    <row r="428">
      <c r="A428" s="40" t="inlineStr">
        <is>
          <t>Route page</t>
        </is>
      </c>
      <c r="B428" s="40" t="inlineStr">
        <is>
          <t>Direct</t>
        </is>
      </c>
      <c r="C428" s="40" t="inlineStr">
        <is>
          <t>Desktop</t>
        </is>
      </c>
      <c r="D428" s="40" t="inlineStr">
        <is>
          <t>China</t>
        </is>
      </c>
      <c r="E428" s="68" t="n">
        <v>59</v>
      </c>
      <c r="F428" s="70" t="n"/>
      <c r="G428" s="69">
        <f>IF(OR(F428="",E428="",E428=0,F428=0),"",F428-E428)</f>
        <v/>
      </c>
      <c r="H428" s="42">
        <f>IF(OR(F428="",E428="",E428=0,F428=0),"",F428/E428-1)</f>
        <v/>
      </c>
      <c r="I428" s="70" t="n"/>
      <c r="J428" s="70" t="n"/>
      <c r="K428" s="69">
        <f>IF(OR(J428="",I428="",I428=0,J428=0),"",J428-I428)</f>
        <v/>
      </c>
      <c r="L428" s="42">
        <f>IF(OR(J428="",I428="",I428=0,J428=0),"",J428/I428-1)</f>
        <v/>
      </c>
      <c r="M428" s="43">
        <f>IF(OR(I428="",E428="",E428=0),"",I428/E428)</f>
        <v/>
      </c>
      <c r="N428" s="43">
        <f>IF(OR(J428="",F428="",F428=0),"",J428/F428)</f>
        <v/>
      </c>
      <c r="O428" s="44">
        <f>IF(OR(N428="",M428=""),"",(N428-M428)*100)</f>
        <v/>
      </c>
      <c r="P428" s="70" t="n"/>
      <c r="Q428" s="70" t="n"/>
      <c r="R428" s="69">
        <f>IF(OR(Q428="",P428="",P428=0,Q428=0),"",Q428-P428)</f>
        <v/>
      </c>
      <c r="S428" s="42">
        <f>IF(OR(Q428="",P428="",P428=0,Q428=0),"",Q428/P428-1)</f>
        <v/>
      </c>
      <c r="T428" s="43">
        <f>IF(OR(P428="",E428="",E428=0),"",P428/E428)</f>
        <v/>
      </c>
      <c r="U428" s="43">
        <f>IF(OR(Q428="",F428="",F428=0),"",Q428/F428)</f>
        <v/>
      </c>
      <c r="V428" s="44">
        <f>IF(OR(U428="",T428=""),"",(U428-T428)*100)</f>
        <v/>
      </c>
      <c r="W428" s="70" t="n"/>
      <c r="X428" s="70" t="n"/>
      <c r="Y428" s="69">
        <f>IF(OR(X428="",W428="",W428=0,X428=0),"",X428-W428)</f>
        <v/>
      </c>
      <c r="Z428" s="42">
        <f>IF(OR(X428="",W428="",W428=0,X428=0),"",X428/W428-1)</f>
        <v/>
      </c>
      <c r="AA428" s="43">
        <f>IF(OR(W428="",P428="",P428=0),"",W428/P428)</f>
        <v/>
      </c>
      <c r="AB428" s="43">
        <f>IF(OR(X428="",Q428="",Q428=0),"",X428/Q428)</f>
        <v/>
      </c>
      <c r="AC428" s="44">
        <f>IF(OR(AB428="",AA428=""),"",(AB428-AA428)*100)</f>
        <v/>
      </c>
      <c r="AD428" s="70" t="n"/>
      <c r="AE428" s="70" t="n"/>
      <c r="AF428" s="69">
        <f>IF(OR(AE428="",AD428="",AD428=0,AE428=0),"",AE428-AD428)</f>
        <v/>
      </c>
      <c r="AG428" s="42">
        <f>IF(OR(AE428="",AD428="",AD428=0,AE428=0),"",AE428/AD428-1)</f>
        <v/>
      </c>
      <c r="AH428" s="43">
        <f>IF(OR(AD428="",W428="",W428=0),"",AD428/W428)</f>
        <v/>
      </c>
      <c r="AI428" s="43">
        <f>IF(OR(AE428="",X428="",X428=0),"",AE428/X428)</f>
        <v/>
      </c>
      <c r="AJ428" s="44">
        <f>IF(OR(AI428="",AH428=""),"",(AI428-AH428)*100)</f>
        <v/>
      </c>
      <c r="AK428" s="70" t="n"/>
      <c r="AL428" s="70" t="n"/>
      <c r="AM428" s="69">
        <f>IF(OR(AL428="",AK428="",AK428=0,AL428=0),"",AL428-AK428)</f>
        <v/>
      </c>
      <c r="AN428" s="42">
        <f>IF(OR(AL428="",AK428="",AK428=0,AL428=0),"",AL428/AK428-1)</f>
        <v/>
      </c>
      <c r="AO428" s="43">
        <f>IF(OR(AK428="",AD428="",AD428=0),"",AK428/AD428)</f>
        <v/>
      </c>
      <c r="AP428" s="43">
        <f>IF(OR(AL428="",AE428="",AE428=0),"",AL428/AE428)</f>
        <v/>
      </c>
      <c r="AQ428" s="44">
        <f>IF(OR(AP428="",AO428=""),"",(AP428-AO428)*100)</f>
        <v/>
      </c>
      <c r="AR428" s="70" t="n"/>
      <c r="AS428" s="70" t="n"/>
      <c r="AT428" s="69">
        <f>IF(OR(AS428="",AR428="",AR428=0,AS428=0),"",AS428-AR428)</f>
        <v/>
      </c>
      <c r="AU428" s="42">
        <f>IF(OR(AS428="",AR428="",AR428=0,AS428=0),"",AS428/AR428-1)</f>
        <v/>
      </c>
      <c r="AV428" s="43">
        <f>IF(OR(AR428="",AK428="",AK428=0),"",AR428/AK428)</f>
        <v/>
      </c>
      <c r="AW428" s="43">
        <f>IF(OR(AS428="",AL428="",AL428=0),"",AS428/AL428)</f>
        <v/>
      </c>
      <c r="AX428" s="44">
        <f>IF(OR(AW428="",AV428=""),"",(AW428-AV428)*100)</f>
        <v/>
      </c>
      <c r="AY428" s="45">
        <f>IF(OR(AR428="",P428="",P428=0),"",AR428/P428)</f>
        <v/>
      </c>
      <c r="AZ428" s="45">
        <f>IF(OR(AS428="",Q428="",Q428=0),"",AS428/Q428)</f>
        <v/>
      </c>
      <c r="BA428" s="44">
        <f>IF(OR(AZ428="",AY428=""),"",(AZ428-AY428)*100)</f>
        <v/>
      </c>
      <c r="BB428" s="45">
        <f>IF(OR(AR428="",E428="",E428=0),"",AR428/E428)</f>
        <v/>
      </c>
      <c r="BC428" s="45">
        <f>IF(OR(AS428="",F428="",F428=0),"",AS428/F428)</f>
        <v/>
      </c>
      <c r="BD428" s="44">
        <f>IF(OR(BC428="",BB428=""),"",(BC428-BB428)*100)</f>
        <v/>
      </c>
      <c r="BE428" s="40">
        <f>IF(AND(F428&lt;&gt;"",E428&lt;&gt;""),"Both years",IF(F428&lt;&gt;"","1-23Aug26 rows only","1-23Aug25 rows only"))</f>
        <v/>
      </c>
    </row>
    <row r="429">
      <c r="A429" s="56" t="inlineStr">
        <is>
          <t>Route page</t>
        </is>
      </c>
      <c r="B429" s="56" t="inlineStr">
        <is>
          <t>Direct</t>
        </is>
      </c>
      <c r="C429" s="56" t="inlineStr">
        <is>
          <t>Desktop</t>
        </is>
      </c>
      <c r="D429" s="56" t="inlineStr">
        <is>
          <t>Switzerland</t>
        </is>
      </c>
      <c r="E429" s="68" t="n">
        <v>26</v>
      </c>
      <c r="F429" s="70" t="n"/>
      <c r="G429" s="69">
        <f>IF(OR(F429="",E429="",E429=0,F429=0),"",F429-E429)</f>
        <v/>
      </c>
      <c r="H429" s="42">
        <f>IF(OR(F429="",E429="",E429=0,F429=0),"",F429/E429-1)</f>
        <v/>
      </c>
      <c r="I429" s="70" t="n"/>
      <c r="J429" s="70" t="n"/>
      <c r="K429" s="69">
        <f>IF(OR(J429="",I429="",I429=0,J429=0),"",J429-I429)</f>
        <v/>
      </c>
      <c r="L429" s="42">
        <f>IF(OR(J429="",I429="",I429=0,J429=0),"",J429/I429-1)</f>
        <v/>
      </c>
      <c r="M429" s="43">
        <f>IF(OR(I429="",E429="",E429=0),"",I429/E429)</f>
        <v/>
      </c>
      <c r="N429" s="43">
        <f>IF(OR(J429="",F429="",F429=0),"",J429/F429)</f>
        <v/>
      </c>
      <c r="O429" s="44">
        <f>IF(OR(N429="",M429=""),"",(N429-M429)*100)</f>
        <v/>
      </c>
      <c r="P429" s="68" t="n">
        <v>6</v>
      </c>
      <c r="Q429" s="70" t="n"/>
      <c r="R429" s="69">
        <f>IF(OR(Q429="",P429="",P429=0,Q429=0),"",Q429-P429)</f>
        <v/>
      </c>
      <c r="S429" s="42">
        <f>IF(OR(Q429="",P429="",P429=0,Q429=0),"",Q429/P429-1)</f>
        <v/>
      </c>
      <c r="T429" s="43">
        <f>IF(OR(P429="",E429="",E429=0),"",P429/E429)</f>
        <v/>
      </c>
      <c r="U429" s="43">
        <f>IF(OR(Q429="",F429="",F429=0),"",Q429/F429)</f>
        <v/>
      </c>
      <c r="V429" s="44">
        <f>IF(OR(U429="",T429=""),"",(U429-T429)*100)</f>
        <v/>
      </c>
      <c r="W429" s="70" t="n"/>
      <c r="X429" s="70" t="n"/>
      <c r="Y429" s="69">
        <f>IF(OR(X429="",W429="",W429=0,X429=0),"",X429-W429)</f>
        <v/>
      </c>
      <c r="Z429" s="42">
        <f>IF(OR(X429="",W429="",W429=0,X429=0),"",X429/W429-1)</f>
        <v/>
      </c>
      <c r="AA429" s="43">
        <f>IF(OR(W429="",P429="",P429=0),"",W429/P429)</f>
        <v/>
      </c>
      <c r="AB429" s="43">
        <f>IF(OR(X429="",Q429="",Q429=0),"",X429/Q429)</f>
        <v/>
      </c>
      <c r="AC429" s="44">
        <f>IF(OR(AB429="",AA429=""),"",(AB429-AA429)*100)</f>
        <v/>
      </c>
      <c r="AD429" s="70" t="n"/>
      <c r="AE429" s="70" t="n"/>
      <c r="AF429" s="69">
        <f>IF(OR(AE429="",AD429="",AD429=0,AE429=0),"",AE429-AD429)</f>
        <v/>
      </c>
      <c r="AG429" s="42">
        <f>IF(OR(AE429="",AD429="",AD429=0,AE429=0),"",AE429/AD429-1)</f>
        <v/>
      </c>
      <c r="AH429" s="43">
        <f>IF(OR(AD429="",W429="",W429=0),"",AD429/W429)</f>
        <v/>
      </c>
      <c r="AI429" s="43">
        <f>IF(OR(AE429="",X429="",X429=0),"",AE429/X429)</f>
        <v/>
      </c>
      <c r="AJ429" s="44">
        <f>IF(OR(AI429="",AH429=""),"",(AI429-AH429)*100)</f>
        <v/>
      </c>
      <c r="AK429" s="70" t="n"/>
      <c r="AL429" s="70" t="n"/>
      <c r="AM429" s="69">
        <f>IF(OR(AL429="",AK429="",AK429=0,AL429=0),"",AL429-AK429)</f>
        <v/>
      </c>
      <c r="AN429" s="42">
        <f>IF(OR(AL429="",AK429="",AK429=0,AL429=0),"",AL429/AK429-1)</f>
        <v/>
      </c>
      <c r="AO429" s="43">
        <f>IF(OR(AK429="",AD429="",AD429=0),"",AK429/AD429)</f>
        <v/>
      </c>
      <c r="AP429" s="43">
        <f>IF(OR(AL429="",AE429="",AE429=0),"",AL429/AE429)</f>
        <v/>
      </c>
      <c r="AQ429" s="44">
        <f>IF(OR(AP429="",AO429=""),"",(AP429-AO429)*100)</f>
        <v/>
      </c>
      <c r="AR429" s="70" t="n"/>
      <c r="AS429" s="70" t="n"/>
      <c r="AT429" s="69">
        <f>IF(OR(AS429="",AR429="",AR429=0,AS429=0),"",AS429-AR429)</f>
        <v/>
      </c>
      <c r="AU429" s="42">
        <f>IF(OR(AS429="",AR429="",AR429=0,AS429=0),"",AS429/AR429-1)</f>
        <v/>
      </c>
      <c r="AV429" s="43">
        <f>IF(OR(AR429="",AK429="",AK429=0),"",AR429/AK429)</f>
        <v/>
      </c>
      <c r="AW429" s="43">
        <f>IF(OR(AS429="",AL429="",AL429=0),"",AS429/AL429)</f>
        <v/>
      </c>
      <c r="AX429" s="44">
        <f>IF(OR(AW429="",AV429=""),"",(AW429-AV429)*100)</f>
        <v/>
      </c>
      <c r="AY429" s="45">
        <f>IF(OR(AR429="",P429="",P429=0),"",AR429/P429)</f>
        <v/>
      </c>
      <c r="AZ429" s="45">
        <f>IF(OR(AS429="",Q429="",Q429=0),"",AS429/Q429)</f>
        <v/>
      </c>
      <c r="BA429" s="44">
        <f>IF(OR(AZ429="",AY429=""),"",(AZ429-AY429)*100)</f>
        <v/>
      </c>
      <c r="BB429" s="45">
        <f>IF(OR(AR429="",E429="",E429=0),"",AR429/E429)</f>
        <v/>
      </c>
      <c r="BC429" s="45">
        <f>IF(OR(AS429="",F429="",F429=0),"",AS429/F429)</f>
        <v/>
      </c>
      <c r="BD429" s="44">
        <f>IF(OR(BC429="",BB429=""),"",(BC429-BB429)*100)</f>
        <v/>
      </c>
      <c r="BE429" s="40">
        <f>IF(AND(F429&lt;&gt;"",E429&lt;&gt;""),"Both years",IF(F429&lt;&gt;"","1-23Aug26 rows only","1-23Aug25 rows only"))</f>
        <v/>
      </c>
    </row>
    <row r="430">
      <c r="A430" s="40" t="inlineStr">
        <is>
          <t>Route page</t>
        </is>
      </c>
      <c r="B430" s="40" t="inlineStr">
        <is>
          <t>Direct</t>
        </is>
      </c>
      <c r="C430" s="40" t="inlineStr">
        <is>
          <t>Desktop</t>
        </is>
      </c>
      <c r="D430" s="40" t="inlineStr">
        <is>
          <t>Canada</t>
        </is>
      </c>
      <c r="E430" s="68" t="n">
        <v>24</v>
      </c>
      <c r="F430" s="70" t="n"/>
      <c r="G430" s="69">
        <f>IF(OR(F430="",E430="",E430=0,F430=0),"",F430-E430)</f>
        <v/>
      </c>
      <c r="H430" s="42">
        <f>IF(OR(F430="",E430="",E430=0,F430=0),"",F430/E430-1)</f>
        <v/>
      </c>
      <c r="I430" s="70" t="n"/>
      <c r="J430" s="70" t="n"/>
      <c r="K430" s="69">
        <f>IF(OR(J430="",I430="",I430=0,J430=0),"",J430-I430)</f>
        <v/>
      </c>
      <c r="L430" s="42">
        <f>IF(OR(J430="",I430="",I430=0,J430=0),"",J430/I430-1)</f>
        <v/>
      </c>
      <c r="M430" s="43">
        <f>IF(OR(I430="",E430="",E430=0),"",I430/E430)</f>
        <v/>
      </c>
      <c r="N430" s="43">
        <f>IF(OR(J430="",F430="",F430=0),"",J430/F430)</f>
        <v/>
      </c>
      <c r="O430" s="44">
        <f>IF(OR(N430="",M430=""),"",(N430-M430)*100)</f>
        <v/>
      </c>
      <c r="P430" s="68" t="n">
        <v>5</v>
      </c>
      <c r="Q430" s="70" t="n"/>
      <c r="R430" s="69">
        <f>IF(OR(Q430="",P430="",P430=0,Q430=0),"",Q430-P430)</f>
        <v/>
      </c>
      <c r="S430" s="42">
        <f>IF(OR(Q430="",P430="",P430=0,Q430=0),"",Q430/P430-1)</f>
        <v/>
      </c>
      <c r="T430" s="43">
        <f>IF(OR(P430="",E430="",E430=0),"",P430/E430)</f>
        <v/>
      </c>
      <c r="U430" s="43">
        <f>IF(OR(Q430="",F430="",F430=0),"",Q430/F430)</f>
        <v/>
      </c>
      <c r="V430" s="44">
        <f>IF(OR(U430="",T430=""),"",(U430-T430)*100)</f>
        <v/>
      </c>
      <c r="W430" s="70" t="n"/>
      <c r="X430" s="70" t="n"/>
      <c r="Y430" s="69">
        <f>IF(OR(X430="",W430="",W430=0,X430=0),"",X430-W430)</f>
        <v/>
      </c>
      <c r="Z430" s="42">
        <f>IF(OR(X430="",W430="",W430=0,X430=0),"",X430/W430-1)</f>
        <v/>
      </c>
      <c r="AA430" s="43">
        <f>IF(OR(W430="",P430="",P430=0),"",W430/P430)</f>
        <v/>
      </c>
      <c r="AB430" s="43">
        <f>IF(OR(X430="",Q430="",Q430=0),"",X430/Q430)</f>
        <v/>
      </c>
      <c r="AC430" s="44">
        <f>IF(OR(AB430="",AA430=""),"",(AB430-AA430)*100)</f>
        <v/>
      </c>
      <c r="AD430" s="70" t="n"/>
      <c r="AE430" s="70" t="n"/>
      <c r="AF430" s="69">
        <f>IF(OR(AE430="",AD430="",AD430=0,AE430=0),"",AE430-AD430)</f>
        <v/>
      </c>
      <c r="AG430" s="42">
        <f>IF(OR(AE430="",AD430="",AD430=0,AE430=0),"",AE430/AD430-1)</f>
        <v/>
      </c>
      <c r="AH430" s="43">
        <f>IF(OR(AD430="",W430="",W430=0),"",AD430/W430)</f>
        <v/>
      </c>
      <c r="AI430" s="43">
        <f>IF(OR(AE430="",X430="",X430=0),"",AE430/X430)</f>
        <v/>
      </c>
      <c r="AJ430" s="44">
        <f>IF(OR(AI430="",AH430=""),"",(AI430-AH430)*100)</f>
        <v/>
      </c>
      <c r="AK430" s="70" t="n"/>
      <c r="AL430" s="70" t="n"/>
      <c r="AM430" s="69">
        <f>IF(OR(AL430="",AK430="",AK430=0,AL430=0),"",AL430-AK430)</f>
        <v/>
      </c>
      <c r="AN430" s="42">
        <f>IF(OR(AL430="",AK430="",AK430=0,AL430=0),"",AL430/AK430-1)</f>
        <v/>
      </c>
      <c r="AO430" s="43">
        <f>IF(OR(AK430="",AD430="",AD430=0),"",AK430/AD430)</f>
        <v/>
      </c>
      <c r="AP430" s="43">
        <f>IF(OR(AL430="",AE430="",AE430=0),"",AL430/AE430)</f>
        <v/>
      </c>
      <c r="AQ430" s="44">
        <f>IF(OR(AP430="",AO430=""),"",(AP430-AO430)*100)</f>
        <v/>
      </c>
      <c r="AR430" s="70" t="n"/>
      <c r="AS430" s="70" t="n"/>
      <c r="AT430" s="69">
        <f>IF(OR(AS430="",AR430="",AR430=0,AS430=0),"",AS430-AR430)</f>
        <v/>
      </c>
      <c r="AU430" s="42">
        <f>IF(OR(AS430="",AR430="",AR430=0,AS430=0),"",AS430/AR430-1)</f>
        <v/>
      </c>
      <c r="AV430" s="43">
        <f>IF(OR(AR430="",AK430="",AK430=0),"",AR430/AK430)</f>
        <v/>
      </c>
      <c r="AW430" s="43">
        <f>IF(OR(AS430="",AL430="",AL430=0),"",AS430/AL430)</f>
        <v/>
      </c>
      <c r="AX430" s="44">
        <f>IF(OR(AW430="",AV430=""),"",(AW430-AV430)*100)</f>
        <v/>
      </c>
      <c r="AY430" s="45">
        <f>IF(OR(AR430="",P430="",P430=0),"",AR430/P430)</f>
        <v/>
      </c>
      <c r="AZ430" s="45">
        <f>IF(OR(AS430="",Q430="",Q430=0),"",AS430/Q430)</f>
        <v/>
      </c>
      <c r="BA430" s="44">
        <f>IF(OR(AZ430="",AY430=""),"",(AZ430-AY430)*100)</f>
        <v/>
      </c>
      <c r="BB430" s="45">
        <f>IF(OR(AR430="",E430="",E430=0),"",AR430/E430)</f>
        <v/>
      </c>
      <c r="BC430" s="45">
        <f>IF(OR(AS430="",F430="",F430=0),"",AS430/F430)</f>
        <v/>
      </c>
      <c r="BD430" s="44">
        <f>IF(OR(BC430="",BB430=""),"",(BC430-BB430)*100)</f>
        <v/>
      </c>
      <c r="BE430" s="40">
        <f>IF(AND(F430&lt;&gt;"",E430&lt;&gt;""),"Both years",IF(F430&lt;&gt;"","1-23Aug26 rows only","1-23Aug25 rows only"))</f>
        <v/>
      </c>
    </row>
    <row r="431">
      <c r="A431" s="56" t="inlineStr">
        <is>
          <t>Route page</t>
        </is>
      </c>
      <c r="B431" s="56" t="inlineStr">
        <is>
          <t>Direct</t>
        </is>
      </c>
      <c r="C431" s="56" t="inlineStr">
        <is>
          <t>Desktop</t>
        </is>
      </c>
      <c r="D431" s="56" t="inlineStr">
        <is>
          <t>Australia</t>
        </is>
      </c>
      <c r="E431" s="68" t="n">
        <v>17</v>
      </c>
      <c r="F431" s="70" t="n"/>
      <c r="G431" s="69">
        <f>IF(OR(F431="",E431="",E431=0,F431=0),"",F431-E431)</f>
        <v/>
      </c>
      <c r="H431" s="42">
        <f>IF(OR(F431="",E431="",E431=0,F431=0),"",F431/E431-1)</f>
        <v/>
      </c>
      <c r="I431" s="70" t="n"/>
      <c r="J431" s="70" t="n"/>
      <c r="K431" s="69">
        <f>IF(OR(J431="",I431="",I431=0,J431=0),"",J431-I431)</f>
        <v/>
      </c>
      <c r="L431" s="42">
        <f>IF(OR(J431="",I431="",I431=0,J431=0),"",J431/I431-1)</f>
        <v/>
      </c>
      <c r="M431" s="43">
        <f>IF(OR(I431="",E431="",E431=0),"",I431/E431)</f>
        <v/>
      </c>
      <c r="N431" s="43">
        <f>IF(OR(J431="",F431="",F431=0),"",J431/F431)</f>
        <v/>
      </c>
      <c r="O431" s="44">
        <f>IF(OR(N431="",M431=""),"",(N431-M431)*100)</f>
        <v/>
      </c>
      <c r="P431" s="70" t="n"/>
      <c r="Q431" s="70" t="n"/>
      <c r="R431" s="69">
        <f>IF(OR(Q431="",P431="",P431=0,Q431=0),"",Q431-P431)</f>
        <v/>
      </c>
      <c r="S431" s="42">
        <f>IF(OR(Q431="",P431="",P431=0,Q431=0),"",Q431/P431-1)</f>
        <v/>
      </c>
      <c r="T431" s="43">
        <f>IF(OR(P431="",E431="",E431=0),"",P431/E431)</f>
        <v/>
      </c>
      <c r="U431" s="43">
        <f>IF(OR(Q431="",F431="",F431=0),"",Q431/F431)</f>
        <v/>
      </c>
      <c r="V431" s="44">
        <f>IF(OR(U431="",T431=""),"",(U431-T431)*100)</f>
        <v/>
      </c>
      <c r="W431" s="70" t="n"/>
      <c r="X431" s="70" t="n"/>
      <c r="Y431" s="69">
        <f>IF(OR(X431="",W431="",W431=0,X431=0),"",X431-W431)</f>
        <v/>
      </c>
      <c r="Z431" s="42">
        <f>IF(OR(X431="",W431="",W431=0,X431=0),"",X431/W431-1)</f>
        <v/>
      </c>
      <c r="AA431" s="43">
        <f>IF(OR(W431="",P431="",P431=0),"",W431/P431)</f>
        <v/>
      </c>
      <c r="AB431" s="43">
        <f>IF(OR(X431="",Q431="",Q431=0),"",X431/Q431)</f>
        <v/>
      </c>
      <c r="AC431" s="44">
        <f>IF(OR(AB431="",AA431=""),"",(AB431-AA431)*100)</f>
        <v/>
      </c>
      <c r="AD431" s="70" t="n"/>
      <c r="AE431" s="70" t="n"/>
      <c r="AF431" s="69">
        <f>IF(OR(AE431="",AD431="",AD431=0,AE431=0),"",AE431-AD431)</f>
        <v/>
      </c>
      <c r="AG431" s="42">
        <f>IF(OR(AE431="",AD431="",AD431=0,AE431=0),"",AE431/AD431-1)</f>
        <v/>
      </c>
      <c r="AH431" s="43">
        <f>IF(OR(AD431="",W431="",W431=0),"",AD431/W431)</f>
        <v/>
      </c>
      <c r="AI431" s="43">
        <f>IF(OR(AE431="",X431="",X431=0),"",AE431/X431)</f>
        <v/>
      </c>
      <c r="AJ431" s="44">
        <f>IF(OR(AI431="",AH431=""),"",(AI431-AH431)*100)</f>
        <v/>
      </c>
      <c r="AK431" s="70" t="n"/>
      <c r="AL431" s="70" t="n"/>
      <c r="AM431" s="69">
        <f>IF(OR(AL431="",AK431="",AK431=0,AL431=0),"",AL431-AK431)</f>
        <v/>
      </c>
      <c r="AN431" s="42">
        <f>IF(OR(AL431="",AK431="",AK431=0,AL431=0),"",AL431/AK431-1)</f>
        <v/>
      </c>
      <c r="AO431" s="43">
        <f>IF(OR(AK431="",AD431="",AD431=0),"",AK431/AD431)</f>
        <v/>
      </c>
      <c r="AP431" s="43">
        <f>IF(OR(AL431="",AE431="",AE431=0),"",AL431/AE431)</f>
        <v/>
      </c>
      <c r="AQ431" s="44">
        <f>IF(OR(AP431="",AO431=""),"",(AP431-AO431)*100)</f>
        <v/>
      </c>
      <c r="AR431" s="70" t="n"/>
      <c r="AS431" s="70" t="n"/>
      <c r="AT431" s="69">
        <f>IF(OR(AS431="",AR431="",AR431=0,AS431=0),"",AS431-AR431)</f>
        <v/>
      </c>
      <c r="AU431" s="42">
        <f>IF(OR(AS431="",AR431="",AR431=0,AS431=0),"",AS431/AR431-1)</f>
        <v/>
      </c>
      <c r="AV431" s="43">
        <f>IF(OR(AR431="",AK431="",AK431=0),"",AR431/AK431)</f>
        <v/>
      </c>
      <c r="AW431" s="43">
        <f>IF(OR(AS431="",AL431="",AL431=0),"",AS431/AL431)</f>
        <v/>
      </c>
      <c r="AX431" s="44">
        <f>IF(OR(AW431="",AV431=""),"",(AW431-AV431)*100)</f>
        <v/>
      </c>
      <c r="AY431" s="45">
        <f>IF(OR(AR431="",P431="",P431=0),"",AR431/P431)</f>
        <v/>
      </c>
      <c r="AZ431" s="45">
        <f>IF(OR(AS431="",Q431="",Q431=0),"",AS431/Q431)</f>
        <v/>
      </c>
      <c r="BA431" s="44">
        <f>IF(OR(AZ431="",AY431=""),"",(AZ431-AY431)*100)</f>
        <v/>
      </c>
      <c r="BB431" s="45">
        <f>IF(OR(AR431="",E431="",E431=0),"",AR431/E431)</f>
        <v/>
      </c>
      <c r="BC431" s="45">
        <f>IF(OR(AS431="",F431="",F431=0),"",AS431/F431)</f>
        <v/>
      </c>
      <c r="BD431" s="44">
        <f>IF(OR(BC431="",BB431=""),"",(BC431-BB431)*100)</f>
        <v/>
      </c>
      <c r="BE431" s="40">
        <f>IF(AND(F431&lt;&gt;"",E431&lt;&gt;""),"Both years",IF(F431&lt;&gt;"","1-23Aug26 rows only","1-23Aug25 rows only"))</f>
        <v/>
      </c>
    </row>
    <row r="432">
      <c r="A432" s="40" t="inlineStr">
        <is>
          <t>Route page</t>
        </is>
      </c>
      <c r="B432" s="40" t="inlineStr">
        <is>
          <t>Direct</t>
        </is>
      </c>
      <c r="C432" s="40" t="inlineStr">
        <is>
          <t>Desktop</t>
        </is>
      </c>
      <c r="D432" s="40" t="inlineStr">
        <is>
          <t>Norway</t>
        </is>
      </c>
      <c r="E432" s="70" t="n"/>
      <c r="F432" s="70" t="n"/>
      <c r="G432" s="69">
        <f>IF(OR(F432="",E432="",E432=0,F432=0),"",F432-E432)</f>
        <v/>
      </c>
      <c r="H432" s="42">
        <f>IF(OR(F432="",E432="",E432=0,F432=0),"",F432/E432-1)</f>
        <v/>
      </c>
      <c r="I432" s="68" t="n">
        <v>4</v>
      </c>
      <c r="J432" s="68" t="n">
        <v>25</v>
      </c>
      <c r="K432" s="69">
        <f>IF(OR(J432="",I432="",I432=0,J432=0),"",J432-I432)</f>
        <v/>
      </c>
      <c r="L432" s="42">
        <f>IF(OR(J432="",I432="",I432=0,J432=0),"",J432/I432-1)</f>
        <v/>
      </c>
      <c r="M432" s="43">
        <f>IF(OR(I432="",E432="",E432=0),"",I432/E432)</f>
        <v/>
      </c>
      <c r="N432" s="43">
        <f>IF(OR(J432="",F432="",F432=0),"",J432/F432)</f>
        <v/>
      </c>
      <c r="O432" s="44">
        <f>IF(OR(N432="",M432=""),"",(N432-M432)*100)</f>
        <v/>
      </c>
      <c r="P432" s="70" t="n"/>
      <c r="Q432" s="70" t="n"/>
      <c r="R432" s="69">
        <f>IF(OR(Q432="",P432="",P432=0,Q432=0),"",Q432-P432)</f>
        <v/>
      </c>
      <c r="S432" s="42">
        <f>IF(OR(Q432="",P432="",P432=0,Q432=0),"",Q432/P432-1)</f>
        <v/>
      </c>
      <c r="T432" s="43">
        <f>IF(OR(P432="",E432="",E432=0),"",P432/E432)</f>
        <v/>
      </c>
      <c r="U432" s="43">
        <f>IF(OR(Q432="",F432="",F432=0),"",Q432/F432)</f>
        <v/>
      </c>
      <c r="V432" s="44">
        <f>IF(OR(U432="",T432=""),"",(U432-T432)*100)</f>
        <v/>
      </c>
      <c r="W432" s="70" t="n"/>
      <c r="X432" s="68" t="n">
        <v>10</v>
      </c>
      <c r="Y432" s="69">
        <f>IF(OR(X432="",W432="",W432=0,X432=0),"",X432-W432)</f>
        <v/>
      </c>
      <c r="Z432" s="42">
        <f>IF(OR(X432="",W432="",W432=0,X432=0),"",X432/W432-1)</f>
        <v/>
      </c>
      <c r="AA432" s="43">
        <f>IF(OR(W432="",P432="",P432=0),"",W432/P432)</f>
        <v/>
      </c>
      <c r="AB432" s="43">
        <f>IF(OR(X432="",Q432="",Q432=0),"",X432/Q432)</f>
        <v/>
      </c>
      <c r="AC432" s="44">
        <f>IF(OR(AB432="",AA432=""),"",(AB432-AA432)*100)</f>
        <v/>
      </c>
      <c r="AD432" s="70" t="n"/>
      <c r="AE432" s="68" t="n">
        <v>10</v>
      </c>
      <c r="AF432" s="69">
        <f>IF(OR(AE432="",AD432="",AD432=0,AE432=0),"",AE432-AD432)</f>
        <v/>
      </c>
      <c r="AG432" s="42">
        <f>IF(OR(AE432="",AD432="",AD432=0,AE432=0),"",AE432/AD432-1)</f>
        <v/>
      </c>
      <c r="AH432" s="43">
        <f>IF(OR(AD432="",W432="",W432=0),"",AD432/W432)</f>
        <v/>
      </c>
      <c r="AI432" s="43">
        <f>IF(OR(AE432="",X432="",X432=0),"",AE432/X432)</f>
        <v/>
      </c>
      <c r="AJ432" s="44">
        <f>IF(OR(AI432="",AH432=""),"",(AI432-AH432)*100)</f>
        <v/>
      </c>
      <c r="AK432" s="70" t="n"/>
      <c r="AL432" s="68" t="n">
        <v>5</v>
      </c>
      <c r="AM432" s="69">
        <f>IF(OR(AL432="",AK432="",AK432=0,AL432=0),"",AL432-AK432)</f>
        <v/>
      </c>
      <c r="AN432" s="42">
        <f>IF(OR(AL432="",AK432="",AK432=0,AL432=0),"",AL432/AK432-1)</f>
        <v/>
      </c>
      <c r="AO432" s="43">
        <f>IF(OR(AK432="",AD432="",AD432=0),"",AK432/AD432)</f>
        <v/>
      </c>
      <c r="AP432" s="43">
        <f>IF(OR(AL432="",AE432="",AE432=0),"",AL432/AE432)</f>
        <v/>
      </c>
      <c r="AQ432" s="44">
        <f>IF(OR(AP432="",AO432=""),"",(AP432-AO432)*100)</f>
        <v/>
      </c>
      <c r="AR432" s="70" t="n"/>
      <c r="AS432" s="68" t="n">
        <v>5</v>
      </c>
      <c r="AT432" s="69">
        <f>IF(OR(AS432="",AR432="",AR432=0,AS432=0),"",AS432-AR432)</f>
        <v/>
      </c>
      <c r="AU432" s="42">
        <f>IF(OR(AS432="",AR432="",AR432=0,AS432=0),"",AS432/AR432-1)</f>
        <v/>
      </c>
      <c r="AV432" s="43">
        <f>IF(OR(AR432="",AK432="",AK432=0),"",AR432/AK432)</f>
        <v/>
      </c>
      <c r="AW432" s="43">
        <f>IF(OR(AS432="",AL432="",AL432=0),"",AS432/AL432)</f>
        <v/>
      </c>
      <c r="AX432" s="44">
        <f>IF(OR(AW432="",AV432=""),"",(AW432-AV432)*100)</f>
        <v/>
      </c>
      <c r="AY432" s="45">
        <f>IF(OR(AR432="",P432="",P432=0),"",AR432/P432)</f>
        <v/>
      </c>
      <c r="AZ432" s="45">
        <f>IF(OR(AS432="",Q432="",Q432=0),"",AS432/Q432)</f>
        <v/>
      </c>
      <c r="BA432" s="44">
        <f>IF(OR(AZ432="",AY432=""),"",(AZ432-AY432)*100)</f>
        <v/>
      </c>
      <c r="BB432" s="45">
        <f>IF(OR(AR432="",E432="",E432=0),"",AR432/E432)</f>
        <v/>
      </c>
      <c r="BC432" s="45">
        <f>IF(OR(AS432="",F432="",F432=0),"",AS432/F432)</f>
        <v/>
      </c>
      <c r="BD432" s="44">
        <f>IF(OR(BC432="",BB432=""),"",(BC432-BB432)*100)</f>
        <v/>
      </c>
      <c r="BE432" s="40">
        <f>IF(AND(F432&lt;&gt;"",E432&lt;&gt;""),"Both years",IF(F432&lt;&gt;"","1-23Aug26 rows only","1-23Aug25 rows only"))</f>
        <v/>
      </c>
    </row>
    <row r="433">
      <c r="A433" s="56" t="inlineStr">
        <is>
          <t>Route page</t>
        </is>
      </c>
      <c r="B433" s="56" t="inlineStr">
        <is>
          <t>Direct</t>
        </is>
      </c>
      <c r="C433" s="56" t="inlineStr">
        <is>
          <t>Desktop</t>
        </is>
      </c>
      <c r="D433" s="56" t="inlineStr">
        <is>
          <t>Finland</t>
        </is>
      </c>
      <c r="E433" s="70" t="n"/>
      <c r="F433" s="70" t="n"/>
      <c r="G433" s="69">
        <f>IF(OR(F433="",E433="",E433=0,F433=0),"",F433-E433)</f>
        <v/>
      </c>
      <c r="H433" s="42">
        <f>IF(OR(F433="",E433="",E433=0,F433=0),"",F433/E433-1)</f>
        <v/>
      </c>
      <c r="I433" s="68" t="n">
        <v>3</v>
      </c>
      <c r="J433" s="68" t="n">
        <v>15</v>
      </c>
      <c r="K433" s="69">
        <f>IF(OR(J433="",I433="",I433=0,J433=0),"",J433-I433)</f>
        <v/>
      </c>
      <c r="L433" s="42">
        <f>IF(OR(J433="",I433="",I433=0,J433=0),"",J433/I433-1)</f>
        <v/>
      </c>
      <c r="M433" s="43">
        <f>IF(OR(I433="",E433="",E433=0),"",I433/E433)</f>
        <v/>
      </c>
      <c r="N433" s="43">
        <f>IF(OR(J433="",F433="",F433=0),"",J433/F433)</f>
        <v/>
      </c>
      <c r="O433" s="44">
        <f>IF(OR(N433="",M433=""),"",(N433-M433)*100)</f>
        <v/>
      </c>
      <c r="P433" s="70" t="n"/>
      <c r="Q433" s="70" t="n"/>
      <c r="R433" s="69">
        <f>IF(OR(Q433="",P433="",P433=0,Q433=0),"",Q433-P433)</f>
        <v/>
      </c>
      <c r="S433" s="42">
        <f>IF(OR(Q433="",P433="",P433=0,Q433=0),"",Q433/P433-1)</f>
        <v/>
      </c>
      <c r="T433" s="43">
        <f>IF(OR(P433="",E433="",E433=0),"",P433/E433)</f>
        <v/>
      </c>
      <c r="U433" s="43">
        <f>IF(OR(Q433="",F433="",F433=0),"",Q433/F433)</f>
        <v/>
      </c>
      <c r="V433" s="44">
        <f>IF(OR(U433="",T433=""),"",(U433-T433)*100)</f>
        <v/>
      </c>
      <c r="W433" s="68" t="n">
        <v>1</v>
      </c>
      <c r="X433" s="68" t="n">
        <v>6</v>
      </c>
      <c r="Y433" s="69">
        <f>IF(OR(X433="",W433="",W433=0,X433=0),"",X433-W433)</f>
        <v/>
      </c>
      <c r="Z433" s="42">
        <f>IF(OR(X433="",W433="",W433=0,X433=0),"",X433/W433-1)</f>
        <v/>
      </c>
      <c r="AA433" s="43">
        <f>IF(OR(W433="",P433="",P433=0),"",W433/P433)</f>
        <v/>
      </c>
      <c r="AB433" s="43">
        <f>IF(OR(X433="",Q433="",Q433=0),"",X433/Q433)</f>
        <v/>
      </c>
      <c r="AC433" s="44">
        <f>IF(OR(AB433="",AA433=""),"",(AB433-AA433)*100)</f>
        <v/>
      </c>
      <c r="AD433" s="68" t="n">
        <v>1</v>
      </c>
      <c r="AE433" s="68" t="n">
        <v>5</v>
      </c>
      <c r="AF433" s="69">
        <f>IF(OR(AE433="",AD433="",AD433=0,AE433=0),"",AE433-AD433)</f>
        <v/>
      </c>
      <c r="AG433" s="42">
        <f>IF(OR(AE433="",AD433="",AD433=0,AE433=0),"",AE433/AD433-1)</f>
        <v/>
      </c>
      <c r="AH433" s="43">
        <f>IF(OR(AD433="",W433="",W433=0),"",AD433/W433)</f>
        <v/>
      </c>
      <c r="AI433" s="43">
        <f>IF(OR(AE433="",X433="",X433=0),"",AE433/X433)</f>
        <v/>
      </c>
      <c r="AJ433" s="44">
        <f>IF(OR(AI433="",AH433=""),"",(AI433-AH433)*100)</f>
        <v/>
      </c>
      <c r="AK433" s="70" t="n"/>
      <c r="AL433" s="68" t="n">
        <v>1</v>
      </c>
      <c r="AM433" s="69">
        <f>IF(OR(AL433="",AK433="",AK433=0,AL433=0),"",AL433-AK433)</f>
        <v/>
      </c>
      <c r="AN433" s="42">
        <f>IF(OR(AL433="",AK433="",AK433=0,AL433=0),"",AL433/AK433-1)</f>
        <v/>
      </c>
      <c r="AO433" s="43">
        <f>IF(OR(AK433="",AD433="",AD433=0),"",AK433/AD433)</f>
        <v/>
      </c>
      <c r="AP433" s="43">
        <f>IF(OR(AL433="",AE433="",AE433=0),"",AL433/AE433)</f>
        <v/>
      </c>
      <c r="AQ433" s="44">
        <f>IF(OR(AP433="",AO433=""),"",(AP433-AO433)*100)</f>
        <v/>
      </c>
      <c r="AR433" s="70" t="n"/>
      <c r="AS433" s="68" t="n">
        <v>1</v>
      </c>
      <c r="AT433" s="69">
        <f>IF(OR(AS433="",AR433="",AR433=0,AS433=0),"",AS433-AR433)</f>
        <v/>
      </c>
      <c r="AU433" s="42">
        <f>IF(OR(AS433="",AR433="",AR433=0,AS433=0),"",AS433/AR433-1)</f>
        <v/>
      </c>
      <c r="AV433" s="43">
        <f>IF(OR(AR433="",AK433="",AK433=0),"",AR433/AK433)</f>
        <v/>
      </c>
      <c r="AW433" s="43">
        <f>IF(OR(AS433="",AL433="",AL433=0),"",AS433/AL433)</f>
        <v/>
      </c>
      <c r="AX433" s="44">
        <f>IF(OR(AW433="",AV433=""),"",(AW433-AV433)*100)</f>
        <v/>
      </c>
      <c r="AY433" s="45">
        <f>IF(OR(AR433="",P433="",P433=0),"",AR433/P433)</f>
        <v/>
      </c>
      <c r="AZ433" s="45">
        <f>IF(OR(AS433="",Q433="",Q433=0),"",AS433/Q433)</f>
        <v/>
      </c>
      <c r="BA433" s="44">
        <f>IF(OR(AZ433="",AY433=""),"",(AZ433-AY433)*100)</f>
        <v/>
      </c>
      <c r="BB433" s="45">
        <f>IF(OR(AR433="",E433="",E433=0),"",AR433/E433)</f>
        <v/>
      </c>
      <c r="BC433" s="45">
        <f>IF(OR(AS433="",F433="",F433=0),"",AS433/F433)</f>
        <v/>
      </c>
      <c r="BD433" s="44">
        <f>IF(OR(BC433="",BB433=""),"",(BC433-BB433)*100)</f>
        <v/>
      </c>
      <c r="BE433" s="40">
        <f>IF(AND(F433&lt;&gt;"",E433&lt;&gt;""),"Both years",IF(F433&lt;&gt;"","1-23Aug26 rows only","1-23Aug25 rows only"))</f>
        <v/>
      </c>
    </row>
    <row r="434">
      <c r="A434" s="40" t="inlineStr">
        <is>
          <t>Route page</t>
        </is>
      </c>
      <c r="B434" s="40" t="inlineStr">
        <is>
          <t>Direct</t>
        </is>
      </c>
      <c r="C434" s="40" t="inlineStr">
        <is>
          <t>Desktop</t>
        </is>
      </c>
      <c r="D434" s="40" t="inlineStr">
        <is>
          <t>Brazil</t>
        </is>
      </c>
      <c r="E434" s="70" t="n"/>
      <c r="F434" s="70" t="n"/>
      <c r="G434" s="69">
        <f>IF(OR(F434="",E434="",E434=0,F434=0),"",F434-E434)</f>
        <v/>
      </c>
      <c r="H434" s="42">
        <f>IF(OR(F434="",E434="",E434=0,F434=0),"",F434/E434-1)</f>
        <v/>
      </c>
      <c r="I434" s="70" t="n"/>
      <c r="J434" s="70" t="n"/>
      <c r="K434" s="69">
        <f>IF(OR(J434="",I434="",I434=0,J434=0),"",J434-I434)</f>
        <v/>
      </c>
      <c r="L434" s="42">
        <f>IF(OR(J434="",I434="",I434=0,J434=0),"",J434/I434-1)</f>
        <v/>
      </c>
      <c r="M434" s="43">
        <f>IF(OR(I434="",E434="",E434=0),"",I434/E434)</f>
        <v/>
      </c>
      <c r="N434" s="43">
        <f>IF(OR(J434="",F434="",F434=0),"",J434/F434)</f>
        <v/>
      </c>
      <c r="O434" s="44">
        <f>IF(OR(N434="",M434=""),"",(N434-M434)*100)</f>
        <v/>
      </c>
      <c r="P434" s="68" t="n">
        <v>5</v>
      </c>
      <c r="Q434" s="70" t="n"/>
      <c r="R434" s="69">
        <f>IF(OR(Q434="",P434="",P434=0,Q434=0),"",Q434-P434)</f>
        <v/>
      </c>
      <c r="S434" s="42">
        <f>IF(OR(Q434="",P434="",P434=0,Q434=0),"",Q434/P434-1)</f>
        <v/>
      </c>
      <c r="T434" s="43">
        <f>IF(OR(P434="",E434="",E434=0),"",P434/E434)</f>
        <v/>
      </c>
      <c r="U434" s="43">
        <f>IF(OR(Q434="",F434="",F434=0),"",Q434/F434)</f>
        <v/>
      </c>
      <c r="V434" s="44">
        <f>IF(OR(U434="",T434=""),"",(U434-T434)*100)</f>
        <v/>
      </c>
      <c r="W434" s="70" t="n"/>
      <c r="X434" s="70" t="n"/>
      <c r="Y434" s="69">
        <f>IF(OR(X434="",W434="",W434=0,X434=0),"",X434-W434)</f>
        <v/>
      </c>
      <c r="Z434" s="42">
        <f>IF(OR(X434="",W434="",W434=0,X434=0),"",X434/W434-1)</f>
        <v/>
      </c>
      <c r="AA434" s="43">
        <f>IF(OR(W434="",P434="",P434=0),"",W434/P434)</f>
        <v/>
      </c>
      <c r="AB434" s="43">
        <f>IF(OR(X434="",Q434="",Q434=0),"",X434/Q434)</f>
        <v/>
      </c>
      <c r="AC434" s="44">
        <f>IF(OR(AB434="",AA434=""),"",(AB434-AA434)*100)</f>
        <v/>
      </c>
      <c r="AD434" s="70" t="n"/>
      <c r="AE434" s="70" t="n"/>
      <c r="AF434" s="69">
        <f>IF(OR(AE434="",AD434="",AD434=0,AE434=0),"",AE434-AD434)</f>
        <v/>
      </c>
      <c r="AG434" s="42">
        <f>IF(OR(AE434="",AD434="",AD434=0,AE434=0),"",AE434/AD434-1)</f>
        <v/>
      </c>
      <c r="AH434" s="43">
        <f>IF(OR(AD434="",W434="",W434=0),"",AD434/W434)</f>
        <v/>
      </c>
      <c r="AI434" s="43">
        <f>IF(OR(AE434="",X434="",X434=0),"",AE434/X434)</f>
        <v/>
      </c>
      <c r="AJ434" s="44">
        <f>IF(OR(AI434="",AH434=""),"",(AI434-AH434)*100)</f>
        <v/>
      </c>
      <c r="AK434" s="70" t="n"/>
      <c r="AL434" s="70" t="n"/>
      <c r="AM434" s="69">
        <f>IF(OR(AL434="",AK434="",AK434=0,AL434=0),"",AL434-AK434)</f>
        <v/>
      </c>
      <c r="AN434" s="42">
        <f>IF(OR(AL434="",AK434="",AK434=0,AL434=0),"",AL434/AK434-1)</f>
        <v/>
      </c>
      <c r="AO434" s="43">
        <f>IF(OR(AK434="",AD434="",AD434=0),"",AK434/AD434)</f>
        <v/>
      </c>
      <c r="AP434" s="43">
        <f>IF(OR(AL434="",AE434="",AE434=0),"",AL434/AE434)</f>
        <v/>
      </c>
      <c r="AQ434" s="44">
        <f>IF(OR(AP434="",AO434=""),"",(AP434-AO434)*100)</f>
        <v/>
      </c>
      <c r="AR434" s="70" t="n"/>
      <c r="AS434" s="70" t="n"/>
      <c r="AT434" s="69">
        <f>IF(OR(AS434="",AR434="",AR434=0,AS434=0),"",AS434-AR434)</f>
        <v/>
      </c>
      <c r="AU434" s="42">
        <f>IF(OR(AS434="",AR434="",AR434=0,AS434=0),"",AS434/AR434-1)</f>
        <v/>
      </c>
      <c r="AV434" s="43">
        <f>IF(OR(AR434="",AK434="",AK434=0),"",AR434/AK434)</f>
        <v/>
      </c>
      <c r="AW434" s="43">
        <f>IF(OR(AS434="",AL434="",AL434=0),"",AS434/AL434)</f>
        <v/>
      </c>
      <c r="AX434" s="44">
        <f>IF(OR(AW434="",AV434=""),"",(AW434-AV434)*100)</f>
        <v/>
      </c>
      <c r="AY434" s="45">
        <f>IF(OR(AR434="",P434="",P434=0),"",AR434/P434)</f>
        <v/>
      </c>
      <c r="AZ434" s="45">
        <f>IF(OR(AS434="",Q434="",Q434=0),"",AS434/Q434)</f>
        <v/>
      </c>
      <c r="BA434" s="44">
        <f>IF(OR(AZ434="",AY434=""),"",(AZ434-AY434)*100)</f>
        <v/>
      </c>
      <c r="BB434" s="45">
        <f>IF(OR(AR434="",E434="",E434=0),"",AR434/E434)</f>
        <v/>
      </c>
      <c r="BC434" s="45">
        <f>IF(OR(AS434="",F434="",F434=0),"",AS434/F434)</f>
        <v/>
      </c>
      <c r="BD434" s="44">
        <f>IF(OR(BC434="",BB434=""),"",(BC434-BB434)*100)</f>
        <v/>
      </c>
      <c r="BE434" s="40">
        <f>IF(AND(F434&lt;&gt;"",E434&lt;&gt;""),"Both years",IF(F434&lt;&gt;"","1-23Aug26 rows only","1-23Aug25 rows only"))</f>
        <v/>
      </c>
    </row>
    <row r="436">
      <c r="A436" s="12" t="inlineStr">
        <is>
          <t>Source: Looker Studio country tables. Only the visible top rows are captured, so these do not sum to the scorecard totals.</t>
        </is>
      </c>
    </row>
    <row r="437">
      <c r="A437" s="39" t="inlineStr">
        <is>
          <t>Countries in the full Looker table, per cut (context for coverage)</t>
        </is>
      </c>
    </row>
    <row r="438" ht="30" customHeight="1">
      <c r="A438" s="71" t="inlineStr">
        <is>
          <t>Landing Page Group</t>
        </is>
      </c>
      <c r="B438" s="71" t="inlineStr">
        <is>
          <t>Channel</t>
        </is>
      </c>
      <c r="C438" s="71" t="inlineStr">
        <is>
          <t>Device</t>
        </is>
      </c>
      <c r="D438" s="71" t="inlineStr">
        <is>
          <t>Sessions 1-23Aug25</t>
        </is>
      </c>
      <c r="E438" s="71" t="inlineStr">
        <is>
          <t>Sessions 1-23Aug26</t>
        </is>
      </c>
      <c r="F438" s="71" t="inlineStr">
        <is>
          <t>Start Search 1-23Aug25</t>
        </is>
      </c>
      <c r="G438" s="71" t="inlineStr">
        <is>
          <t>Start Search 1-23Aug26</t>
        </is>
      </c>
      <c r="H438" s="71" t="inlineStr">
        <is>
          <t>Searches 1-23Aug25</t>
        </is>
      </c>
      <c r="I438" s="71" t="inlineStr">
        <is>
          <t>Searches 1-23Aug26</t>
        </is>
      </c>
      <c r="J438" s="71" t="inlineStr">
        <is>
          <t>Select item 1-23Aug25</t>
        </is>
      </c>
      <c r="K438" s="71" t="inlineStr">
        <is>
          <t>Select item 1-23Aug26</t>
        </is>
      </c>
      <c r="L438" s="71" t="inlineStr">
        <is>
          <t>Add to cart 1-23Aug25</t>
        </is>
      </c>
      <c r="M438" s="71" t="inlineStr">
        <is>
          <t>Add to cart 1-23Aug26</t>
        </is>
      </c>
      <c r="N438" s="71" t="inlineStr">
        <is>
          <t>Begin checkout 1-23Aug25</t>
        </is>
      </c>
      <c r="O438" s="71" t="inlineStr">
        <is>
          <t>Begin checkout 1-23Aug26</t>
        </is>
      </c>
      <c r="P438" s="71" t="inlineStr">
        <is>
          <t>Purchases 1-23Aug25</t>
        </is>
      </c>
      <c r="Q438" s="71" t="inlineStr">
        <is>
          <t>Purchases 1-23Aug26</t>
        </is>
      </c>
    </row>
    <row r="439">
      <c r="A439" s="40" t="inlineStr">
        <is>
          <t>All landing pages</t>
        </is>
      </c>
      <c r="B439" s="40" t="inlineStr">
        <is>
          <t>Paid Search</t>
        </is>
      </c>
      <c r="C439" s="40" t="inlineStr">
        <is>
          <t>Mobile</t>
        </is>
      </c>
      <c r="D439" s="72" t="n">
        <v>205</v>
      </c>
      <c r="E439" s="72" t="n">
        <v>212</v>
      </c>
      <c r="F439" s="72" t="n">
        <v>12</v>
      </c>
      <c r="G439" s="72" t="n">
        <v>12</v>
      </c>
      <c r="H439" s="72" t="n">
        <v>172</v>
      </c>
      <c r="I439" s="72" t="n">
        <v>165</v>
      </c>
      <c r="J439" s="72" t="n">
        <v>12</v>
      </c>
      <c r="K439" s="72" t="n">
        <v>12</v>
      </c>
      <c r="L439" s="72" t="n">
        <v>12</v>
      </c>
      <c r="M439" s="72" t="n">
        <v>12</v>
      </c>
      <c r="N439" s="72" t="n">
        <v>12</v>
      </c>
      <c r="O439" s="72" t="n">
        <v>12</v>
      </c>
      <c r="P439" s="72" t="n">
        <v>12</v>
      </c>
      <c r="Q439" s="72" t="n">
        <v>12</v>
      </c>
    </row>
    <row r="440">
      <c r="A440" s="40" t="inlineStr">
        <is>
          <t>All landing pages</t>
        </is>
      </c>
      <c r="B440" s="40" t="inlineStr">
        <is>
          <t>Paid Search</t>
        </is>
      </c>
      <c r="C440" s="40" t="inlineStr">
        <is>
          <t>Desktop</t>
        </is>
      </c>
      <c r="D440" s="72" t="n">
        <v>187</v>
      </c>
      <c r="E440" s="72" t="n">
        <v>192</v>
      </c>
      <c r="F440" s="72" t="n">
        <v>12</v>
      </c>
      <c r="G440" s="72" t="n">
        <v>12</v>
      </c>
      <c r="H440" s="72" t="n">
        <v>151</v>
      </c>
      <c r="I440" s="72" t="n">
        <v>160</v>
      </c>
      <c r="J440" s="72" t="n">
        <v>12</v>
      </c>
      <c r="K440" s="72" t="n">
        <v>12</v>
      </c>
      <c r="L440" s="72" t="n">
        <v>12</v>
      </c>
      <c r="M440" s="72" t="n">
        <v>12</v>
      </c>
      <c r="N440" s="72" t="n">
        <v>12</v>
      </c>
      <c r="O440" s="72" t="n">
        <v>12</v>
      </c>
      <c r="P440" s="72" t="n">
        <v>12</v>
      </c>
      <c r="Q440" s="72" t="n">
        <v>12</v>
      </c>
    </row>
    <row r="441">
      <c r="A441" s="40" t="inlineStr">
        <is>
          <t>All landing pages</t>
        </is>
      </c>
      <c r="B441" s="40" t="inlineStr">
        <is>
          <t>Organic</t>
        </is>
      </c>
      <c r="C441" s="40" t="inlineStr">
        <is>
          <t>Mobile</t>
        </is>
      </c>
      <c r="D441" s="72" t="n">
        <v>172</v>
      </c>
      <c r="E441" s="72" t="n">
        <v>175</v>
      </c>
      <c r="F441" s="72" t="n">
        <v>12</v>
      </c>
      <c r="G441" s="72" t="n">
        <v>12</v>
      </c>
      <c r="H441" s="72" t="n">
        <v>144</v>
      </c>
      <c r="I441" s="72" t="n">
        <v>152</v>
      </c>
      <c r="J441" s="72" t="n">
        <v>12</v>
      </c>
      <c r="K441" s="72" t="n">
        <v>12</v>
      </c>
      <c r="L441" s="72" t="n">
        <v>12</v>
      </c>
      <c r="M441" s="72" t="n">
        <v>12</v>
      </c>
      <c r="N441" s="72" t="n">
        <v>12</v>
      </c>
      <c r="O441" s="72" t="n">
        <v>12</v>
      </c>
      <c r="P441" s="72" t="n">
        <v>12</v>
      </c>
      <c r="Q441" s="72" t="n">
        <v>12</v>
      </c>
    </row>
    <row r="442">
      <c r="A442" s="40" t="inlineStr">
        <is>
          <t>All landing pages</t>
        </is>
      </c>
      <c r="B442" s="40" t="inlineStr">
        <is>
          <t>Organic</t>
        </is>
      </c>
      <c r="C442" s="40" t="inlineStr">
        <is>
          <t>Desktop</t>
        </is>
      </c>
      <c r="D442" s="72" t="n">
        <v>149</v>
      </c>
      <c r="E442" s="72" t="n">
        <v>162</v>
      </c>
      <c r="F442" s="72" t="n">
        <v>12</v>
      </c>
      <c r="G442" s="72" t="n">
        <v>12</v>
      </c>
      <c r="H442" s="72" t="n">
        <v>128</v>
      </c>
      <c r="I442" s="72" t="n">
        <v>135</v>
      </c>
      <c r="J442" s="72" t="n">
        <v>12</v>
      </c>
      <c r="K442" s="72" t="n">
        <v>12</v>
      </c>
      <c r="L442" s="72" t="n">
        <v>12</v>
      </c>
      <c r="M442" s="72" t="n">
        <v>12</v>
      </c>
      <c r="N442" s="72" t="n">
        <v>12</v>
      </c>
      <c r="O442" s="72" t="n">
        <v>12</v>
      </c>
      <c r="P442" s="72" t="n">
        <v>12</v>
      </c>
      <c r="Q442" s="72" t="n">
        <v>12</v>
      </c>
    </row>
    <row r="443">
      <c r="A443" s="40" t="inlineStr">
        <is>
          <t>All landing pages</t>
        </is>
      </c>
      <c r="B443" s="40" t="inlineStr">
        <is>
          <t>Direct</t>
        </is>
      </c>
      <c r="C443" s="40" t="inlineStr">
        <is>
          <t>Mobile</t>
        </is>
      </c>
      <c r="D443" s="72" t="n">
        <v>139</v>
      </c>
      <c r="E443" s="72" t="n">
        <v>144</v>
      </c>
      <c r="F443" s="72" t="n">
        <v>12</v>
      </c>
      <c r="G443" s="72" t="n">
        <v>12</v>
      </c>
      <c r="H443" s="72" t="n">
        <v>104</v>
      </c>
      <c r="I443" s="72" t="n">
        <v>116</v>
      </c>
      <c r="J443" s="72" t="n">
        <v>12</v>
      </c>
      <c r="K443" s="72" t="n">
        <v>12</v>
      </c>
      <c r="L443" s="72" t="n">
        <v>12</v>
      </c>
      <c r="M443" s="72" t="n">
        <v>12</v>
      </c>
      <c r="N443" s="72" t="n">
        <v>12</v>
      </c>
      <c r="O443" s="72" t="n">
        <v>12</v>
      </c>
      <c r="P443" s="72" t="n">
        <v>12</v>
      </c>
      <c r="Q443" s="72" t="n">
        <v>12</v>
      </c>
    </row>
    <row r="444">
      <c r="A444" s="40" t="inlineStr">
        <is>
          <t>All landing pages</t>
        </is>
      </c>
      <c r="B444" s="40" t="inlineStr">
        <is>
          <t>Direct</t>
        </is>
      </c>
      <c r="C444" s="40" t="inlineStr">
        <is>
          <t>Desktop</t>
        </is>
      </c>
      <c r="D444" s="72" t="n">
        <v>118</v>
      </c>
      <c r="E444" s="72" t="n">
        <v>130</v>
      </c>
      <c r="F444" s="72" t="n">
        <v>12</v>
      </c>
      <c r="G444" s="72" t="n">
        <v>12</v>
      </c>
      <c r="H444" s="72" t="n">
        <v>97</v>
      </c>
      <c r="I444" s="72" t="n">
        <v>105</v>
      </c>
      <c r="J444" s="72" t="n">
        <v>12</v>
      </c>
      <c r="K444" s="72" t="n">
        <v>12</v>
      </c>
      <c r="L444" s="72" t="n">
        <v>12</v>
      </c>
      <c r="M444" s="72" t="n">
        <v>12</v>
      </c>
      <c r="N444" s="72" t="n">
        <v>12</v>
      </c>
      <c r="O444" s="72" t="n">
        <v>12</v>
      </c>
      <c r="P444" s="72" t="n">
        <v>12</v>
      </c>
      <c r="Q444" s="72" t="n">
        <v>12</v>
      </c>
    </row>
    <row r="445">
      <c r="A445" s="40" t="inlineStr">
        <is>
          <t>Home page</t>
        </is>
      </c>
      <c r="B445" s="40" t="inlineStr">
        <is>
          <t>Paid Search</t>
        </is>
      </c>
      <c r="C445" s="40" t="inlineStr">
        <is>
          <t>Mobile</t>
        </is>
      </c>
      <c r="D445" s="72" t="n">
        <v>153</v>
      </c>
      <c r="E445" s="72" t="n">
        <v>190</v>
      </c>
      <c r="F445" s="72" t="n">
        <v>12</v>
      </c>
      <c r="G445" s="72" t="n">
        <v>12</v>
      </c>
      <c r="H445" s="72" t="n">
        <v>120</v>
      </c>
      <c r="I445" s="72" t="n">
        <v>131</v>
      </c>
      <c r="J445" s="72" t="n">
        <v>12</v>
      </c>
      <c r="K445" s="72" t="n">
        <v>12</v>
      </c>
      <c r="L445" s="72" t="n">
        <v>12</v>
      </c>
      <c r="M445" s="72" t="n">
        <v>12</v>
      </c>
      <c r="N445" s="72" t="n">
        <v>12</v>
      </c>
      <c r="O445" s="72" t="n">
        <v>12</v>
      </c>
      <c r="P445" s="72" t="n">
        <v>12</v>
      </c>
      <c r="Q445" s="72" t="n">
        <v>12</v>
      </c>
    </row>
    <row r="446">
      <c r="A446" s="40" t="inlineStr">
        <is>
          <t>Home page</t>
        </is>
      </c>
      <c r="B446" s="40" t="inlineStr">
        <is>
          <t>Paid Search</t>
        </is>
      </c>
      <c r="C446" s="40" t="inlineStr">
        <is>
          <t>Desktop</t>
        </is>
      </c>
      <c r="D446" s="72" t="n">
        <v>137</v>
      </c>
      <c r="E446" s="72" t="n">
        <v>151</v>
      </c>
      <c r="F446" s="72" t="n">
        <v>12</v>
      </c>
      <c r="G446" s="72" t="n">
        <v>12</v>
      </c>
      <c r="H446" s="72" t="n">
        <v>110</v>
      </c>
      <c r="I446" s="72" t="n">
        <v>122</v>
      </c>
      <c r="J446" s="72" t="n">
        <v>12</v>
      </c>
      <c r="K446" s="72" t="n">
        <v>12</v>
      </c>
      <c r="L446" s="72" t="n">
        <v>12</v>
      </c>
      <c r="M446" s="72" t="n">
        <v>12</v>
      </c>
      <c r="N446" s="72" t="n">
        <v>12</v>
      </c>
      <c r="O446" s="72" t="n">
        <v>12</v>
      </c>
      <c r="P446" s="72" t="n">
        <v>12</v>
      </c>
      <c r="Q446" s="72" t="n">
        <v>12</v>
      </c>
    </row>
    <row r="447">
      <c r="A447" s="40" t="inlineStr">
        <is>
          <t>Home page</t>
        </is>
      </c>
      <c r="B447" s="40" t="inlineStr">
        <is>
          <t>Organic</t>
        </is>
      </c>
      <c r="C447" s="40" t="inlineStr">
        <is>
          <t>Mobile</t>
        </is>
      </c>
      <c r="D447" s="72" t="n">
        <v>104</v>
      </c>
      <c r="E447" s="72" t="n">
        <v>107</v>
      </c>
      <c r="F447" s="72" t="n">
        <v>12</v>
      </c>
      <c r="G447" s="72" t="n">
        <v>12</v>
      </c>
      <c r="H447" s="72" t="n">
        <v>87</v>
      </c>
      <c r="I447" s="72" t="n">
        <v>86</v>
      </c>
      <c r="J447" s="72" t="n">
        <v>12</v>
      </c>
      <c r="K447" s="72" t="n">
        <v>12</v>
      </c>
      <c r="L447" s="72" t="n">
        <v>12</v>
      </c>
      <c r="M447" s="72" t="n">
        <v>12</v>
      </c>
      <c r="N447" s="72" t="n">
        <v>12</v>
      </c>
      <c r="O447" s="72" t="n">
        <v>12</v>
      </c>
      <c r="P447" s="72" t="n">
        <v>12</v>
      </c>
      <c r="Q447" s="72" t="n">
        <v>12</v>
      </c>
    </row>
    <row r="448">
      <c r="A448" s="40" t="inlineStr">
        <is>
          <t>Home page</t>
        </is>
      </c>
      <c r="B448" s="40" t="inlineStr">
        <is>
          <t>Organic</t>
        </is>
      </c>
      <c r="C448" s="40" t="inlineStr">
        <is>
          <t>Desktop</t>
        </is>
      </c>
      <c r="D448" s="72" t="n">
        <v>103</v>
      </c>
      <c r="E448" s="72" t="n">
        <v>108</v>
      </c>
      <c r="F448" s="72" t="n">
        <v>12</v>
      </c>
      <c r="G448" s="72" t="n">
        <v>12</v>
      </c>
      <c r="H448" s="72" t="n">
        <v>84</v>
      </c>
      <c r="I448" s="72" t="n">
        <v>90</v>
      </c>
      <c r="J448" s="72" t="n">
        <v>12</v>
      </c>
      <c r="K448" s="72" t="n">
        <v>12</v>
      </c>
      <c r="L448" s="72" t="n">
        <v>12</v>
      </c>
      <c r="M448" s="72" t="n">
        <v>12</v>
      </c>
      <c r="N448" s="72" t="n">
        <v>12</v>
      </c>
      <c r="O448" s="72" t="n">
        <v>12</v>
      </c>
      <c r="P448" s="72" t="n">
        <v>12</v>
      </c>
      <c r="Q448" s="72" t="n">
        <v>12</v>
      </c>
    </row>
    <row r="449">
      <c r="A449" s="40" t="inlineStr">
        <is>
          <t>Home page</t>
        </is>
      </c>
      <c r="B449" s="40" t="inlineStr">
        <is>
          <t>Direct</t>
        </is>
      </c>
      <c r="C449" s="40" t="inlineStr">
        <is>
          <t>Mobile</t>
        </is>
      </c>
      <c r="D449" s="72" t="n">
        <v>121</v>
      </c>
      <c r="E449" s="72" t="n">
        <v>127</v>
      </c>
      <c r="F449" s="72" t="n">
        <v>12</v>
      </c>
      <c r="G449" s="72" t="n">
        <v>12</v>
      </c>
      <c r="H449" s="72" t="n">
        <v>97</v>
      </c>
      <c r="I449" s="72" t="n">
        <v>99</v>
      </c>
      <c r="J449" s="72" t="n">
        <v>12</v>
      </c>
      <c r="K449" s="72" t="n">
        <v>12</v>
      </c>
      <c r="L449" s="72" t="n">
        <v>12</v>
      </c>
      <c r="M449" s="72" t="n">
        <v>12</v>
      </c>
      <c r="N449" s="72" t="n">
        <v>12</v>
      </c>
      <c r="O449" s="72" t="n">
        <v>12</v>
      </c>
      <c r="P449" s="72" t="n">
        <v>12</v>
      </c>
      <c r="Q449" s="72" t="n">
        <v>12</v>
      </c>
    </row>
    <row r="450">
      <c r="A450" s="40" t="inlineStr">
        <is>
          <t>Home page</t>
        </is>
      </c>
      <c r="B450" s="40" t="inlineStr">
        <is>
          <t>Direct</t>
        </is>
      </c>
      <c r="C450" s="40" t="inlineStr">
        <is>
          <t>Desktop</t>
        </is>
      </c>
      <c r="D450" s="72" t="n">
        <v>110</v>
      </c>
      <c r="E450" s="72" t="n">
        <v>112</v>
      </c>
      <c r="F450" s="72" t="n">
        <v>12</v>
      </c>
      <c r="G450" s="72" t="n">
        <v>12</v>
      </c>
      <c r="H450" s="72" t="n">
        <v>95</v>
      </c>
      <c r="I450" s="72" t="n">
        <v>95</v>
      </c>
      <c r="J450" s="72" t="n">
        <v>12</v>
      </c>
      <c r="K450" s="72" t="n">
        <v>12</v>
      </c>
      <c r="L450" s="72" t="n">
        <v>12</v>
      </c>
      <c r="M450" s="72" t="n">
        <v>12</v>
      </c>
      <c r="N450" s="72" t="n">
        <v>12</v>
      </c>
      <c r="O450" s="72" t="n">
        <v>12</v>
      </c>
      <c r="P450" s="72" t="n">
        <v>12</v>
      </c>
      <c r="Q450" s="72" t="n">
        <v>12</v>
      </c>
    </row>
    <row r="451">
      <c r="A451" s="40" t="inlineStr">
        <is>
          <t>Airport page</t>
        </is>
      </c>
      <c r="B451" s="40" t="inlineStr">
        <is>
          <t>Paid Search</t>
        </is>
      </c>
      <c r="C451" s="40" t="inlineStr">
        <is>
          <t>Mobile</t>
        </is>
      </c>
      <c r="D451" s="72" t="n">
        <v>182</v>
      </c>
      <c r="E451" s="72" t="n">
        <v>197</v>
      </c>
      <c r="F451" s="72" t="n">
        <v>12</v>
      </c>
      <c r="G451" s="72" t="n">
        <v>12</v>
      </c>
      <c r="H451" s="72" t="n">
        <v>140</v>
      </c>
      <c r="I451" s="72" t="n">
        <v>144</v>
      </c>
      <c r="J451" s="72" t="n">
        <v>12</v>
      </c>
      <c r="K451" s="72" t="n">
        <v>12</v>
      </c>
      <c r="L451" s="72" t="n">
        <v>12</v>
      </c>
      <c r="M451" s="72" t="n">
        <v>12</v>
      </c>
      <c r="N451" s="72" t="n">
        <v>12</v>
      </c>
      <c r="O451" s="72" t="n">
        <v>12</v>
      </c>
      <c r="P451" s="72" t="n">
        <v>12</v>
      </c>
      <c r="Q451" s="72" t="n">
        <v>12</v>
      </c>
    </row>
    <row r="452">
      <c r="A452" s="40" t="inlineStr">
        <is>
          <t>Airport page</t>
        </is>
      </c>
      <c r="B452" s="40" t="inlineStr">
        <is>
          <t>Paid Search</t>
        </is>
      </c>
      <c r="C452" s="40" t="inlineStr">
        <is>
          <t>Desktop</t>
        </is>
      </c>
      <c r="D452" s="72" t="n">
        <v>154</v>
      </c>
      <c r="E452" s="72" t="n">
        <v>169</v>
      </c>
      <c r="F452" s="72" t="n">
        <v>12</v>
      </c>
      <c r="G452" s="72" t="n">
        <v>12</v>
      </c>
      <c r="H452" s="72" t="n">
        <v>125</v>
      </c>
      <c r="I452" s="72" t="n">
        <v>138</v>
      </c>
      <c r="J452" s="72" t="n">
        <v>12</v>
      </c>
      <c r="K452" s="72" t="n">
        <v>12</v>
      </c>
      <c r="L452" s="72" t="n">
        <v>12</v>
      </c>
      <c r="M452" s="72" t="n">
        <v>12</v>
      </c>
      <c r="N452" s="72" t="n">
        <v>12</v>
      </c>
      <c r="O452" s="72" t="n">
        <v>12</v>
      </c>
      <c r="P452" s="72" t="n">
        <v>12</v>
      </c>
      <c r="Q452" s="72" t="n">
        <v>12</v>
      </c>
    </row>
    <row r="453">
      <c r="A453" s="40" t="inlineStr">
        <is>
          <t>Airport page</t>
        </is>
      </c>
      <c r="B453" s="40" t="inlineStr">
        <is>
          <t>Organic</t>
        </is>
      </c>
      <c r="C453" s="40" t="inlineStr">
        <is>
          <t>Mobile</t>
        </is>
      </c>
      <c r="D453" s="72" t="n">
        <v>124</v>
      </c>
      <c r="E453" s="72" t="n">
        <v>132</v>
      </c>
      <c r="F453" s="72" t="n">
        <v>12</v>
      </c>
      <c r="G453" s="72" t="n">
        <v>12</v>
      </c>
      <c r="H453" s="72" t="n">
        <v>105</v>
      </c>
      <c r="I453" s="72" t="n">
        <v>106</v>
      </c>
      <c r="J453" s="72" t="n">
        <v>12</v>
      </c>
      <c r="K453" s="72" t="n">
        <v>12</v>
      </c>
      <c r="L453" s="72" t="n">
        <v>12</v>
      </c>
      <c r="M453" s="72" t="n">
        <v>12</v>
      </c>
      <c r="N453" s="72" t="n">
        <v>12</v>
      </c>
      <c r="O453" s="72" t="n">
        <v>12</v>
      </c>
      <c r="P453" s="72" t="n">
        <v>12</v>
      </c>
      <c r="Q453" s="72" t="n">
        <v>11</v>
      </c>
    </row>
    <row r="454">
      <c r="A454" s="40" t="inlineStr">
        <is>
          <t>Airport page</t>
        </is>
      </c>
      <c r="B454" s="40" t="inlineStr">
        <is>
          <t>Organic</t>
        </is>
      </c>
      <c r="C454" s="40" t="inlineStr">
        <is>
          <t>Desktop</t>
        </is>
      </c>
      <c r="D454" s="72" t="n">
        <v>108</v>
      </c>
      <c r="E454" s="72" t="n">
        <v>113</v>
      </c>
      <c r="F454" s="72" t="n">
        <v>12</v>
      </c>
      <c r="G454" s="72" t="n">
        <v>12</v>
      </c>
      <c r="H454" s="72" t="n">
        <v>91</v>
      </c>
      <c r="I454" s="72" t="n">
        <v>87</v>
      </c>
      <c r="J454" s="72" t="n">
        <v>12</v>
      </c>
      <c r="K454" s="72" t="n">
        <v>12</v>
      </c>
      <c r="L454" s="72" t="n">
        <v>12</v>
      </c>
      <c r="M454" s="72" t="n">
        <v>12</v>
      </c>
      <c r="N454" s="72" t="n">
        <v>12</v>
      </c>
      <c r="O454" s="72" t="n">
        <v>12</v>
      </c>
      <c r="P454" s="72" t="n">
        <v>12</v>
      </c>
      <c r="Q454" s="72" t="n">
        <v>12</v>
      </c>
    </row>
    <row r="455">
      <c r="A455" s="40" t="inlineStr">
        <is>
          <t>Airport page</t>
        </is>
      </c>
      <c r="B455" s="40" t="inlineStr">
        <is>
          <t>Direct</t>
        </is>
      </c>
      <c r="C455" s="40" t="inlineStr">
        <is>
          <t>Mobile</t>
        </is>
      </c>
      <c r="D455" s="72" t="n">
        <v>73</v>
      </c>
      <c r="E455" s="72" t="n">
        <v>88</v>
      </c>
      <c r="F455" s="72" t="n">
        <v>12</v>
      </c>
      <c r="G455" s="72" t="n">
        <v>12</v>
      </c>
      <c r="H455" s="72" t="n">
        <v>45</v>
      </c>
      <c r="I455" s="72" t="n">
        <v>60</v>
      </c>
      <c r="J455" s="72" t="n">
        <v>12</v>
      </c>
      <c r="K455" s="72" t="n">
        <v>12</v>
      </c>
      <c r="L455" s="72" t="n">
        <v>11</v>
      </c>
      <c r="M455" s="72" t="n">
        <v>12</v>
      </c>
      <c r="N455" s="72" t="n">
        <v>10</v>
      </c>
      <c r="O455" s="72" t="n">
        <v>11</v>
      </c>
      <c r="P455" s="72" t="n">
        <v>9</v>
      </c>
      <c r="Q455" s="72" t="n">
        <v>10</v>
      </c>
    </row>
    <row r="456">
      <c r="A456" s="40" t="inlineStr">
        <is>
          <t>Airport page</t>
        </is>
      </c>
      <c r="B456" s="40" t="inlineStr">
        <is>
          <t>Direct</t>
        </is>
      </c>
      <c r="C456" s="40" t="inlineStr">
        <is>
          <t>Desktop</t>
        </is>
      </c>
      <c r="D456" s="72" t="n">
        <v>56</v>
      </c>
      <c r="E456" s="72" t="n">
        <v>73</v>
      </c>
      <c r="F456" s="72" t="n">
        <v>12</v>
      </c>
      <c r="G456" s="72" t="n">
        <v>12</v>
      </c>
      <c r="H456" s="72" t="n">
        <v>37</v>
      </c>
      <c r="I456" s="72" t="n">
        <v>57</v>
      </c>
      <c r="J456" s="72" t="n">
        <v>12</v>
      </c>
      <c r="K456" s="72" t="n">
        <v>12</v>
      </c>
      <c r="L456" s="72" t="n">
        <v>10</v>
      </c>
      <c r="M456" s="72" t="n">
        <v>12</v>
      </c>
      <c r="N456" s="72" t="n">
        <v>11</v>
      </c>
      <c r="O456" s="72" t="n">
        <v>12</v>
      </c>
      <c r="P456" s="72" t="n">
        <v>11</v>
      </c>
      <c r="Q456" s="72" t="n">
        <v>12</v>
      </c>
    </row>
    <row r="457">
      <c r="A457" s="40" t="inlineStr">
        <is>
          <t>Route page</t>
        </is>
      </c>
      <c r="B457" s="40" t="inlineStr">
        <is>
          <t>Paid Search</t>
        </is>
      </c>
      <c r="C457" s="40" t="inlineStr">
        <is>
          <t>Mobile</t>
        </is>
      </c>
      <c r="D457" s="72" t="n">
        <v>170</v>
      </c>
      <c r="E457" s="72" t="n">
        <v>137</v>
      </c>
      <c r="F457" s="72" t="n">
        <v>12</v>
      </c>
      <c r="G457" s="72" t="n">
        <v>12</v>
      </c>
      <c r="H457" s="72" t="n">
        <v>140</v>
      </c>
      <c r="I457" s="72" t="n">
        <v>127</v>
      </c>
      <c r="J457" s="72" t="n">
        <v>12</v>
      </c>
      <c r="K457" s="72" t="n">
        <v>12</v>
      </c>
      <c r="L457" s="72" t="n">
        <v>12</v>
      </c>
      <c r="M457" s="72" t="n">
        <v>12</v>
      </c>
      <c r="N457" s="72" t="n">
        <v>12</v>
      </c>
      <c r="O457" s="72" t="n">
        <v>12</v>
      </c>
      <c r="P457" s="72" t="n">
        <v>12</v>
      </c>
      <c r="Q457" s="72" t="n">
        <v>12</v>
      </c>
    </row>
    <row r="458">
      <c r="A458" s="40" t="inlineStr">
        <is>
          <t>Route page</t>
        </is>
      </c>
      <c r="B458" s="40" t="inlineStr">
        <is>
          <t>Paid Search</t>
        </is>
      </c>
      <c r="C458" s="40" t="inlineStr">
        <is>
          <t>Desktop</t>
        </is>
      </c>
      <c r="D458" s="72" t="n">
        <v>141</v>
      </c>
      <c r="E458" s="72" t="n">
        <v>149</v>
      </c>
      <c r="F458" s="72" t="n">
        <v>12</v>
      </c>
      <c r="G458" s="72" t="n">
        <v>12</v>
      </c>
      <c r="H458" s="72" t="n">
        <v>121</v>
      </c>
      <c r="I458" s="72" t="n">
        <v>127</v>
      </c>
      <c r="J458" s="72" t="n">
        <v>12</v>
      </c>
      <c r="K458" s="72" t="n">
        <v>12</v>
      </c>
      <c r="L458" s="72" t="n">
        <v>12</v>
      </c>
      <c r="M458" s="72" t="n">
        <v>12</v>
      </c>
      <c r="N458" s="72" t="n">
        <v>12</v>
      </c>
      <c r="O458" s="72" t="n">
        <v>12</v>
      </c>
      <c r="P458" s="72" t="n">
        <v>12</v>
      </c>
      <c r="Q458" s="72" t="n">
        <v>12</v>
      </c>
    </row>
    <row r="459">
      <c r="A459" s="40" t="inlineStr">
        <is>
          <t>Route page</t>
        </is>
      </c>
      <c r="B459" s="40" t="inlineStr">
        <is>
          <t>Organic</t>
        </is>
      </c>
      <c r="C459" s="40" t="inlineStr">
        <is>
          <t>Mobile</t>
        </is>
      </c>
      <c r="D459" s="72" t="n">
        <v>152</v>
      </c>
      <c r="E459" s="72" t="n">
        <v>168</v>
      </c>
      <c r="F459" s="72" t="n">
        <v>12</v>
      </c>
      <c r="G459" s="72" t="n">
        <v>12</v>
      </c>
      <c r="H459" s="72" t="n">
        <v>128</v>
      </c>
      <c r="I459" s="72" t="n">
        <v>146</v>
      </c>
      <c r="J459" s="72" t="n">
        <v>12</v>
      </c>
      <c r="K459" s="72" t="n">
        <v>12</v>
      </c>
      <c r="L459" s="72" t="n">
        <v>12</v>
      </c>
      <c r="M459" s="72" t="n">
        <v>12</v>
      </c>
      <c r="N459" s="72" t="n">
        <v>12</v>
      </c>
      <c r="O459" s="72" t="n">
        <v>12</v>
      </c>
      <c r="P459" s="72" t="n">
        <v>11</v>
      </c>
      <c r="Q459" s="72" t="n">
        <v>12</v>
      </c>
    </row>
    <row r="460">
      <c r="A460" s="40" t="inlineStr">
        <is>
          <t>Route page</t>
        </is>
      </c>
      <c r="B460" s="40" t="inlineStr">
        <is>
          <t>Organic</t>
        </is>
      </c>
      <c r="C460" s="40" t="inlineStr">
        <is>
          <t>Desktop</t>
        </is>
      </c>
      <c r="D460" s="72" t="n">
        <v>125</v>
      </c>
      <c r="E460" s="72" t="n">
        <v>142</v>
      </c>
      <c r="F460" s="72" t="n">
        <v>12</v>
      </c>
      <c r="G460" s="72" t="n">
        <v>12</v>
      </c>
      <c r="H460" s="72" t="n">
        <v>109</v>
      </c>
      <c r="I460" s="72" t="n">
        <v>121</v>
      </c>
      <c r="J460" s="72" t="n">
        <v>12</v>
      </c>
      <c r="K460" s="72" t="n">
        <v>12</v>
      </c>
      <c r="L460" s="72" t="n">
        <v>12</v>
      </c>
      <c r="M460" s="72" t="n">
        <v>12</v>
      </c>
      <c r="N460" s="72" t="n">
        <v>12</v>
      </c>
      <c r="O460" s="72" t="n">
        <v>11</v>
      </c>
      <c r="P460" s="72" t="n">
        <v>12</v>
      </c>
      <c r="Q460" s="72" t="n">
        <v>11</v>
      </c>
    </row>
    <row r="461">
      <c r="A461" s="40" t="inlineStr">
        <is>
          <t>Route page</t>
        </is>
      </c>
      <c r="B461" s="40" t="inlineStr">
        <is>
          <t>Direct</t>
        </is>
      </c>
      <c r="C461" s="40" t="inlineStr">
        <is>
          <t>Mobile</t>
        </is>
      </c>
      <c r="D461" s="72" t="n">
        <v>81</v>
      </c>
      <c r="E461" s="72" t="n">
        <v>98</v>
      </c>
      <c r="F461" s="72" t="n">
        <v>12</v>
      </c>
      <c r="G461" s="72" t="n">
        <v>12</v>
      </c>
      <c r="H461" s="72" t="n">
        <v>60</v>
      </c>
      <c r="I461" s="72" t="n">
        <v>84</v>
      </c>
      <c r="J461" s="72" t="n">
        <v>12</v>
      </c>
      <c r="K461" s="72" t="n">
        <v>12</v>
      </c>
      <c r="L461" s="72" t="n">
        <v>12</v>
      </c>
      <c r="M461" s="72" t="n">
        <v>12</v>
      </c>
      <c r="N461" s="72" t="n">
        <v>9</v>
      </c>
      <c r="O461" s="72" t="n">
        <v>9</v>
      </c>
      <c r="P461" s="72" t="n">
        <v>5</v>
      </c>
      <c r="Q461" s="72" t="n">
        <v>8</v>
      </c>
    </row>
    <row r="462">
      <c r="A462" s="40" t="inlineStr">
        <is>
          <t>Route page</t>
        </is>
      </c>
      <c r="B462" s="40" t="inlineStr">
        <is>
          <t>Direct</t>
        </is>
      </c>
      <c r="C462" s="40" t="inlineStr">
        <is>
          <t>Desktop</t>
        </is>
      </c>
      <c r="D462" s="72" t="n">
        <v>69</v>
      </c>
      <c r="E462" s="72" t="n">
        <v>83</v>
      </c>
      <c r="F462" s="72" t="n">
        <v>12</v>
      </c>
      <c r="G462" s="72" t="n">
        <v>12</v>
      </c>
      <c r="H462" s="72" t="n">
        <v>43</v>
      </c>
      <c r="I462" s="72" t="n">
        <v>71</v>
      </c>
      <c r="J462" s="72" t="n">
        <v>10</v>
      </c>
      <c r="K462" s="72" t="n">
        <v>12</v>
      </c>
      <c r="L462" s="72" t="n">
        <v>9</v>
      </c>
      <c r="M462" s="72" t="n">
        <v>12</v>
      </c>
      <c r="N462" s="72" t="n">
        <v>6</v>
      </c>
      <c r="O462" s="72" t="n">
        <v>12</v>
      </c>
      <c r="P462" s="72" t="n">
        <v>6</v>
      </c>
      <c r="Q462" s="72" t="n">
        <v>12</v>
      </c>
    </row>
  </sheetData>
  <autoFilter ref="A4:BE434"/>
  <mergeCells count="20">
    <mergeCell ref="B3:B4"/>
    <mergeCell ref="P3:S3"/>
    <mergeCell ref="AR3:AU3"/>
    <mergeCell ref="E3:H3"/>
    <mergeCell ref="AD3:AG3"/>
    <mergeCell ref="A3:A4"/>
    <mergeCell ref="M3:O3"/>
    <mergeCell ref="D3:D4"/>
    <mergeCell ref="AA3:AC3"/>
    <mergeCell ref="AK3:AN3"/>
    <mergeCell ref="T3:V3"/>
    <mergeCell ref="AY3:BA3"/>
    <mergeCell ref="AH3:AJ3"/>
    <mergeCell ref="BE3:BE4"/>
    <mergeCell ref="W3:Z3"/>
    <mergeCell ref="BB3:BD3"/>
    <mergeCell ref="I3:L3"/>
    <mergeCell ref="C3:C4"/>
    <mergeCell ref="AV3:AX3"/>
    <mergeCell ref="AO3:AQ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2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s>
  <sheetData>
    <row r="1">
      <c r="A1" s="11" t="inlineStr">
        <is>
          <t>Level 1 — Channel YoY</t>
        </is>
      </c>
    </row>
    <row r="2">
      <c r="A2" s="12" t="inlineStr">
        <is>
          <t>All landing pages. Visit→Search × Search→Booking = CR. Source: Totals tab.</t>
        </is>
      </c>
    </row>
    <row r="4" ht="18" customHeight="1">
      <c r="A4" s="59" t="inlineStr">
        <is>
          <t>Channel</t>
        </is>
      </c>
      <c r="B4" s="59" t="inlineStr">
        <is>
          <t>Device</t>
        </is>
      </c>
      <c r="C4" s="14" t="inlineStr">
        <is>
          <t>Sessions</t>
        </is>
      </c>
      <c r="D4" s="15" t="n"/>
      <c r="E4" s="15" t="n"/>
      <c r="F4" s="15" t="n"/>
      <c r="G4" s="60" t="inlineStr">
        <is>
          <t>Start Search</t>
        </is>
      </c>
      <c r="H4" s="61" t="n"/>
      <c r="I4" s="61" t="n"/>
      <c r="J4" s="61" t="n"/>
      <c r="K4" s="62" t="inlineStr">
        <is>
          <t>Visit→Engagement</t>
        </is>
      </c>
      <c r="L4" s="63" t="n"/>
      <c r="M4" s="63" t="n"/>
      <c r="N4" s="16" t="inlineStr">
        <is>
          <t>Searches</t>
        </is>
      </c>
      <c r="O4" s="17" t="n"/>
      <c r="P4" s="17" t="n"/>
      <c r="Q4" s="17" t="n"/>
      <c r="R4" s="20" t="inlineStr">
        <is>
          <t>Visit→Search</t>
        </is>
      </c>
      <c r="S4" s="21" t="n"/>
      <c r="T4" s="21" t="n"/>
      <c r="U4" s="20" t="inlineStr">
        <is>
          <t>Select item</t>
        </is>
      </c>
      <c r="V4" s="21" t="n"/>
      <c r="W4" s="21" t="n"/>
      <c r="X4" s="21" t="n"/>
      <c r="Y4" s="20" t="inlineStr">
        <is>
          <t>Search→Select</t>
        </is>
      </c>
      <c r="Z4" s="21" t="n"/>
      <c r="AA4" s="21" t="n"/>
      <c r="AB4" s="22" t="inlineStr">
        <is>
          <t>Add to cart</t>
        </is>
      </c>
      <c r="AC4" s="23" t="n"/>
      <c r="AD4" s="23" t="n"/>
      <c r="AE4" s="23" t="n"/>
      <c r="AF4" s="22" t="inlineStr">
        <is>
          <t>Select→Cart</t>
        </is>
      </c>
      <c r="AG4" s="23" t="n"/>
      <c r="AH4" s="23" t="n"/>
      <c r="AI4" s="24" t="inlineStr">
        <is>
          <t>Begin checkout</t>
        </is>
      </c>
      <c r="AJ4" s="25" t="n"/>
      <c r="AK4" s="25" t="n"/>
      <c r="AL4" s="25" t="n"/>
      <c r="AM4" s="24" t="inlineStr">
        <is>
          <t>Cart→Checkout</t>
        </is>
      </c>
      <c r="AN4" s="25" t="n"/>
      <c r="AO4" s="25" t="n"/>
      <c r="AP4" s="18" t="inlineStr">
        <is>
          <t>Purchases</t>
        </is>
      </c>
      <c r="AQ4" s="19" t="n"/>
      <c r="AR4" s="19" t="n"/>
      <c r="AS4" s="19" t="n"/>
      <c r="AT4" s="18" t="inlineStr">
        <is>
          <t>Checkout→Purchase</t>
        </is>
      </c>
      <c r="AU4" s="19" t="n"/>
      <c r="AV4" s="19" t="n"/>
      <c r="AW4" s="22" t="inlineStr">
        <is>
          <t>Search→Booking</t>
        </is>
      </c>
      <c r="AX4" s="23" t="n"/>
      <c r="AY4" s="23" t="n"/>
      <c r="AZ4" s="24" t="inlineStr">
        <is>
          <t>CR</t>
        </is>
      </c>
      <c r="BA4" s="25" t="n"/>
      <c r="BB4" s="25" t="n"/>
    </row>
    <row r="5">
      <c r="A5" s="15" t="n"/>
      <c r="B5" s="15" t="n"/>
      <c r="C5" s="26" t="inlineStr">
        <is>
          <t>1-23Aug25</t>
        </is>
      </c>
      <c r="D5" s="26" t="inlineStr">
        <is>
          <t>1-23Aug26</t>
        </is>
      </c>
      <c r="E5" s="26" t="inlineStr">
        <is>
          <t>Δ</t>
        </is>
      </c>
      <c r="F5" s="26" t="inlineStr">
        <is>
          <t>% Δ</t>
        </is>
      </c>
      <c r="G5" s="64" t="inlineStr">
        <is>
          <t>1-23Aug25</t>
        </is>
      </c>
      <c r="H5" s="64" t="inlineStr">
        <is>
          <t>1-23Aug26</t>
        </is>
      </c>
      <c r="I5" s="64" t="inlineStr">
        <is>
          <t>Δ</t>
        </is>
      </c>
      <c r="J5" s="64" t="inlineStr">
        <is>
          <t>% Δ</t>
        </is>
      </c>
      <c r="K5" s="65" t="inlineStr">
        <is>
          <t>1-23Aug25</t>
        </is>
      </c>
      <c r="L5" s="65" t="inlineStr">
        <is>
          <t>1-23Aug26</t>
        </is>
      </c>
      <c r="M5" s="65" t="inlineStr">
        <is>
          <t>Δ pp</t>
        </is>
      </c>
      <c r="N5" s="27" t="inlineStr">
        <is>
          <t>1-23Aug25</t>
        </is>
      </c>
      <c r="O5" s="27" t="inlineStr">
        <is>
          <t>1-23Aug26</t>
        </is>
      </c>
      <c r="P5" s="27" t="inlineStr">
        <is>
          <t>Δ</t>
        </is>
      </c>
      <c r="Q5" s="27" t="inlineStr">
        <is>
          <t>% Δ</t>
        </is>
      </c>
      <c r="R5" s="29" t="inlineStr">
        <is>
          <t>1-23Aug25</t>
        </is>
      </c>
      <c r="S5" s="29" t="inlineStr">
        <is>
          <t>1-23Aug26</t>
        </is>
      </c>
      <c r="T5" s="29" t="inlineStr">
        <is>
          <t>Δ pp</t>
        </is>
      </c>
      <c r="U5" s="29" t="inlineStr">
        <is>
          <t>1-23Aug25</t>
        </is>
      </c>
      <c r="V5" s="29" t="inlineStr">
        <is>
          <t>1-23Aug26</t>
        </is>
      </c>
      <c r="W5" s="29" t="inlineStr">
        <is>
          <t>Δ</t>
        </is>
      </c>
      <c r="X5" s="29" t="inlineStr">
        <is>
          <t>% Δ</t>
        </is>
      </c>
      <c r="Y5" s="29" t="inlineStr">
        <is>
          <t>1-23Aug25</t>
        </is>
      </c>
      <c r="Z5" s="29" t="inlineStr">
        <is>
          <t>1-23Aug26</t>
        </is>
      </c>
      <c r="AA5" s="29" t="inlineStr">
        <is>
          <t>Δ pp</t>
        </is>
      </c>
      <c r="AB5" s="30" t="inlineStr">
        <is>
          <t>1-23Aug25</t>
        </is>
      </c>
      <c r="AC5" s="30" t="inlineStr">
        <is>
          <t>1-23Aug26</t>
        </is>
      </c>
      <c r="AD5" s="30" t="inlineStr">
        <is>
          <t>Δ</t>
        </is>
      </c>
      <c r="AE5" s="30" t="inlineStr">
        <is>
          <t>% Δ</t>
        </is>
      </c>
      <c r="AF5" s="30" t="inlineStr">
        <is>
          <t>1-23Aug25</t>
        </is>
      </c>
      <c r="AG5" s="30" t="inlineStr">
        <is>
          <t>1-23Aug26</t>
        </is>
      </c>
      <c r="AH5" s="30" t="inlineStr">
        <is>
          <t>Δ pp</t>
        </is>
      </c>
      <c r="AI5" s="31" t="inlineStr">
        <is>
          <t>1-23Aug25</t>
        </is>
      </c>
      <c r="AJ5" s="31" t="inlineStr">
        <is>
          <t>1-23Aug26</t>
        </is>
      </c>
      <c r="AK5" s="31" t="inlineStr">
        <is>
          <t>Δ</t>
        </is>
      </c>
      <c r="AL5" s="31" t="inlineStr">
        <is>
          <t>% Δ</t>
        </is>
      </c>
      <c r="AM5" s="31" t="inlineStr">
        <is>
          <t>1-23Aug25</t>
        </is>
      </c>
      <c r="AN5" s="31" t="inlineStr">
        <is>
          <t>1-23Aug26</t>
        </is>
      </c>
      <c r="AO5" s="31" t="inlineStr">
        <is>
          <t>Δ pp</t>
        </is>
      </c>
      <c r="AP5" s="28" t="inlineStr">
        <is>
          <t>1-23Aug25</t>
        </is>
      </c>
      <c r="AQ5" s="28" t="inlineStr">
        <is>
          <t>1-23Aug26</t>
        </is>
      </c>
      <c r="AR5" s="28" t="inlineStr">
        <is>
          <t>Δ</t>
        </is>
      </c>
      <c r="AS5" s="28" t="inlineStr">
        <is>
          <t>% Δ</t>
        </is>
      </c>
      <c r="AT5" s="28" t="inlineStr">
        <is>
          <t>1-23Aug25</t>
        </is>
      </c>
      <c r="AU5" s="28" t="inlineStr">
        <is>
          <t>1-23Aug26</t>
        </is>
      </c>
      <c r="AV5" s="28" t="inlineStr">
        <is>
          <t>Δ pp</t>
        </is>
      </c>
      <c r="AW5" s="30" t="inlineStr">
        <is>
          <t>1-23Aug25</t>
        </is>
      </c>
      <c r="AX5" s="30" t="inlineStr">
        <is>
          <t>1-23Aug26</t>
        </is>
      </c>
      <c r="AY5" s="30" t="inlineStr">
        <is>
          <t>Δ pp</t>
        </is>
      </c>
      <c r="AZ5" s="31" t="inlineStr">
        <is>
          <t>1-23Aug25</t>
        </is>
      </c>
      <c r="BA5" s="31" t="inlineStr">
        <is>
          <t>1-23Aug26</t>
        </is>
      </c>
      <c r="BB5" s="31" t="inlineStr">
        <is>
          <t>Δ pp</t>
        </is>
      </c>
    </row>
    <row r="6">
      <c r="A6" s="32" t="inlineStr">
        <is>
          <t>Paid Search</t>
        </is>
      </c>
      <c r="B6" s="32" t="inlineStr">
        <is>
          <t>Total</t>
        </is>
      </c>
      <c r="C6" s="33">
        <f>SUMIFS(Totals!$D$5:$D$49,Totals!$A$5:$A$49,"All landing pages",Totals!$B$5:$B$49,"Paid Search",Totals!$C$5:$C$49,"Total")</f>
        <v/>
      </c>
      <c r="D6" s="33">
        <f>SUMIFS(Totals!$E$5:$E$49,Totals!$A$5:$A$49,"All landing pages",Totals!$B$5:$B$49,"Paid Search",Totals!$C$5:$C$49,"Total")</f>
        <v/>
      </c>
      <c r="E6" s="67">
        <f>IF(OR(D6="",C6="",C6=0,D6=0),"",D6-C6)</f>
        <v/>
      </c>
      <c r="F6" s="34">
        <f>IF(OR(D6="",C6="",C6=0,D6=0),"",D6/C6-1)</f>
        <v/>
      </c>
      <c r="G6" s="33">
        <f>SUMIFS(Totals!$H$5:$H$49,Totals!$A$5:$A$49,"All landing pages",Totals!$B$5:$B$49,"Paid Search",Totals!$C$5:$C$49,"Total")</f>
        <v/>
      </c>
      <c r="H6" s="33">
        <f>SUMIFS(Totals!$I$5:$I$49,Totals!$A$5:$A$49,"All landing pages",Totals!$B$5:$B$49,"Paid Search",Totals!$C$5:$C$49,"Total")</f>
        <v/>
      </c>
      <c r="I6" s="67">
        <f>IF(OR(H6="",G6="",G6=0,H6=0),"",H6-G6)</f>
        <v/>
      </c>
      <c r="J6" s="34">
        <f>IF(OR(H6="",G6="",G6=0,H6=0),"",H6/G6-1)</f>
        <v/>
      </c>
      <c r="K6" s="35">
        <f>IF(OR(G6="",C6="",C6=0),"",G6/C6)</f>
        <v/>
      </c>
      <c r="L6" s="35">
        <f>IF(OR(H6="",D6="",D6=0),"",H6/D6)</f>
        <v/>
      </c>
      <c r="M6" s="36">
        <f>IF(OR(L6="",K6=""),"",(L6-K6)*100)</f>
        <v/>
      </c>
      <c r="N6" s="33">
        <f>SUMIFS(Totals!$O$5:$O$49,Totals!$A$5:$A$49,"All landing pages",Totals!$B$5:$B$49,"Paid Search",Totals!$C$5:$C$49,"Total")</f>
        <v/>
      </c>
      <c r="O6" s="33">
        <f>SUMIFS(Totals!$P$5:$P$49,Totals!$A$5:$A$49,"All landing pages",Totals!$B$5:$B$49,"Paid Search",Totals!$C$5:$C$49,"Total")</f>
        <v/>
      </c>
      <c r="P6" s="67">
        <f>IF(OR(O6="",N6="",N6=0,O6=0),"",O6-N6)</f>
        <v/>
      </c>
      <c r="Q6" s="34">
        <f>IF(OR(O6="",N6="",N6=0,O6=0),"",O6/N6-1)</f>
        <v/>
      </c>
      <c r="R6" s="35">
        <f>IF(OR(N6="",C6="",C6=0),"",N6/C6)</f>
        <v/>
      </c>
      <c r="S6" s="35">
        <f>IF(OR(O6="",D6="",D6=0),"",O6/D6)</f>
        <v/>
      </c>
      <c r="T6" s="36">
        <f>IF(OR(S6="",R6=""),"",(S6-R6)*100)</f>
        <v/>
      </c>
      <c r="U6" s="33">
        <f>SUMIFS(Totals!$V$5:$V$49,Totals!$A$5:$A$49,"All landing pages",Totals!$B$5:$B$49,"Paid Search",Totals!$C$5:$C$49,"Total")</f>
        <v/>
      </c>
      <c r="V6" s="33">
        <f>SUMIFS(Totals!$W$5:$W$49,Totals!$A$5:$A$49,"All landing pages",Totals!$B$5:$B$49,"Paid Search",Totals!$C$5:$C$49,"Total")</f>
        <v/>
      </c>
      <c r="W6" s="67">
        <f>IF(OR(V6="",U6="",U6=0,V6=0),"",V6-U6)</f>
        <v/>
      </c>
      <c r="X6" s="34">
        <f>IF(OR(V6="",U6="",U6=0,V6=0),"",V6/U6-1)</f>
        <v/>
      </c>
      <c r="Y6" s="35">
        <f>IF(OR(U6="",N6="",N6=0),"",U6/N6)</f>
        <v/>
      </c>
      <c r="Z6" s="35">
        <f>IF(OR(V6="",O6="",O6=0),"",V6/O6)</f>
        <v/>
      </c>
      <c r="AA6" s="36">
        <f>IF(OR(Z6="",Y6=""),"",(Z6-Y6)*100)</f>
        <v/>
      </c>
      <c r="AB6" s="33">
        <f>SUMIFS(Totals!$AC$5:$AC$49,Totals!$A$5:$A$49,"All landing pages",Totals!$B$5:$B$49,"Paid Search",Totals!$C$5:$C$49,"Total")</f>
        <v/>
      </c>
      <c r="AC6" s="33">
        <f>SUMIFS(Totals!$AD$5:$AD$49,Totals!$A$5:$A$49,"All landing pages",Totals!$B$5:$B$49,"Paid Search",Totals!$C$5:$C$49,"Total")</f>
        <v/>
      </c>
      <c r="AD6" s="67">
        <f>IF(OR(AC6="",AB6="",AB6=0,AC6=0),"",AC6-AB6)</f>
        <v/>
      </c>
      <c r="AE6" s="34">
        <f>IF(OR(AC6="",AB6="",AB6=0,AC6=0),"",AC6/AB6-1)</f>
        <v/>
      </c>
      <c r="AF6" s="35">
        <f>IF(OR(AB6="",U6="",U6=0),"",AB6/U6)</f>
        <v/>
      </c>
      <c r="AG6" s="35">
        <f>IF(OR(AC6="",V6="",V6=0),"",AC6/V6)</f>
        <v/>
      </c>
      <c r="AH6" s="36">
        <f>IF(OR(AG6="",AF6=""),"",(AG6-AF6)*100)</f>
        <v/>
      </c>
      <c r="AI6" s="33">
        <f>SUMIFS(Totals!$AJ$5:$AJ$49,Totals!$A$5:$A$49,"All landing pages",Totals!$B$5:$B$49,"Paid Search",Totals!$C$5:$C$49,"Total")</f>
        <v/>
      </c>
      <c r="AJ6" s="33">
        <f>SUMIFS(Totals!$AK$5:$AK$49,Totals!$A$5:$A$49,"All landing pages",Totals!$B$5:$B$49,"Paid Search",Totals!$C$5:$C$49,"Total")</f>
        <v/>
      </c>
      <c r="AK6" s="67">
        <f>IF(OR(AJ6="",AI6="",AI6=0,AJ6=0),"",AJ6-AI6)</f>
        <v/>
      </c>
      <c r="AL6" s="34">
        <f>IF(OR(AJ6="",AI6="",AI6=0,AJ6=0),"",AJ6/AI6-1)</f>
        <v/>
      </c>
      <c r="AM6" s="35">
        <f>IF(OR(AI6="",AB6="",AB6=0),"",AI6/AB6)</f>
        <v/>
      </c>
      <c r="AN6" s="35">
        <f>IF(OR(AJ6="",AC6="",AC6=0),"",AJ6/AC6)</f>
        <v/>
      </c>
      <c r="AO6" s="36">
        <f>IF(OR(AN6="",AM6=""),"",(AN6-AM6)*100)</f>
        <v/>
      </c>
      <c r="AP6" s="33">
        <f>SUMIFS(Totals!$AQ$5:$AQ$49,Totals!$A$5:$A$49,"All landing pages",Totals!$B$5:$B$49,"Paid Search",Totals!$C$5:$C$49,"Total")</f>
        <v/>
      </c>
      <c r="AQ6" s="33">
        <f>SUMIFS(Totals!$AR$5:$AR$49,Totals!$A$5:$A$49,"All landing pages",Totals!$B$5:$B$49,"Paid Search",Totals!$C$5:$C$49,"Total")</f>
        <v/>
      </c>
      <c r="AR6" s="67">
        <f>IF(OR(AQ6="",AP6="",AP6=0,AQ6=0),"",AQ6-AP6)</f>
        <v/>
      </c>
      <c r="AS6" s="34">
        <f>IF(OR(AQ6="",AP6="",AP6=0,AQ6=0),"",AQ6/AP6-1)</f>
        <v/>
      </c>
      <c r="AT6" s="35">
        <f>IF(OR(AP6="",AI6="",AI6=0),"",AP6/AI6)</f>
        <v/>
      </c>
      <c r="AU6" s="35">
        <f>IF(OR(AQ6="",AJ6="",AJ6=0),"",AQ6/AJ6)</f>
        <v/>
      </c>
      <c r="AV6" s="36">
        <f>IF(OR(AU6="",AT6=""),"",(AU6-AT6)*100)</f>
        <v/>
      </c>
      <c r="AW6" s="37">
        <f>IF(OR(AP6="",N6="",N6=0),"",AP6/N6)</f>
        <v/>
      </c>
      <c r="AX6" s="37">
        <f>IF(OR(AQ6="",O6="",O6=0),"",AQ6/O6)</f>
        <v/>
      </c>
      <c r="AY6" s="36">
        <f>IF(OR(AX6="",AW6=""),"",(AX6-AW6)*100)</f>
        <v/>
      </c>
      <c r="AZ6" s="37">
        <f>IF(OR(AP6="",C6="",C6=0),"",AP6/C6)</f>
        <v/>
      </c>
      <c r="BA6" s="37">
        <f>IF(OR(AQ6="",D6="",D6=0),"",AQ6/D6)</f>
        <v/>
      </c>
      <c r="BB6" s="36">
        <f>IF(OR(BA6="",AZ6=""),"",(BA6-AZ6)*100)</f>
        <v/>
      </c>
    </row>
    <row r="7">
      <c r="A7" s="40" t="inlineStr">
        <is>
          <t>Paid Search</t>
        </is>
      </c>
      <c r="B7" s="40" t="inlineStr">
        <is>
          <t>Mobile</t>
        </is>
      </c>
      <c r="C7" s="41">
        <f>SUMIFS(Totals!$D$5:$D$49,Totals!$A$5:$A$49,"All landing pages",Totals!$B$5:$B$49,"Paid Search",Totals!$C$5:$C$49,"Mobile")</f>
        <v/>
      </c>
      <c r="D7" s="41">
        <f>SUMIFS(Totals!$E$5:$E$49,Totals!$A$5:$A$49,"All landing pages",Totals!$B$5:$B$49,"Paid Search",Totals!$C$5:$C$49,"Mobile")</f>
        <v/>
      </c>
      <c r="E7" s="69">
        <f>IF(OR(D7="",C7="",C7=0,D7=0),"",D7-C7)</f>
        <v/>
      </c>
      <c r="F7" s="42">
        <f>IF(OR(D7="",C7="",C7=0,D7=0),"",D7/C7-1)</f>
        <v/>
      </c>
      <c r="G7" s="41">
        <f>SUMIFS(Totals!$H$5:$H$49,Totals!$A$5:$A$49,"All landing pages",Totals!$B$5:$B$49,"Paid Search",Totals!$C$5:$C$49,"Mobile")</f>
        <v/>
      </c>
      <c r="H7" s="41">
        <f>SUMIFS(Totals!$I$5:$I$49,Totals!$A$5:$A$49,"All landing pages",Totals!$B$5:$B$49,"Paid Search",Totals!$C$5:$C$49,"Mobile")</f>
        <v/>
      </c>
      <c r="I7" s="69">
        <f>IF(OR(H7="",G7="",G7=0,H7=0),"",H7-G7)</f>
        <v/>
      </c>
      <c r="J7" s="42">
        <f>IF(OR(H7="",G7="",G7=0,H7=0),"",H7/G7-1)</f>
        <v/>
      </c>
      <c r="K7" s="43">
        <f>IF(OR(G7="",C7="",C7=0),"",G7/C7)</f>
        <v/>
      </c>
      <c r="L7" s="43">
        <f>IF(OR(H7="",D7="",D7=0),"",H7/D7)</f>
        <v/>
      </c>
      <c r="M7" s="44">
        <f>IF(OR(L7="",K7=""),"",(L7-K7)*100)</f>
        <v/>
      </c>
      <c r="N7" s="41">
        <f>SUMIFS(Totals!$O$5:$O$49,Totals!$A$5:$A$49,"All landing pages",Totals!$B$5:$B$49,"Paid Search",Totals!$C$5:$C$49,"Mobile")</f>
        <v/>
      </c>
      <c r="O7" s="41">
        <f>SUMIFS(Totals!$P$5:$P$49,Totals!$A$5:$A$49,"All landing pages",Totals!$B$5:$B$49,"Paid Search",Totals!$C$5:$C$49,"Mobile")</f>
        <v/>
      </c>
      <c r="P7" s="69">
        <f>IF(OR(O7="",N7="",N7=0,O7=0),"",O7-N7)</f>
        <v/>
      </c>
      <c r="Q7" s="42">
        <f>IF(OR(O7="",N7="",N7=0,O7=0),"",O7/N7-1)</f>
        <v/>
      </c>
      <c r="R7" s="43">
        <f>IF(OR(N7="",C7="",C7=0),"",N7/C7)</f>
        <v/>
      </c>
      <c r="S7" s="43">
        <f>IF(OR(O7="",D7="",D7=0),"",O7/D7)</f>
        <v/>
      </c>
      <c r="T7" s="44">
        <f>IF(OR(S7="",R7=""),"",(S7-R7)*100)</f>
        <v/>
      </c>
      <c r="U7" s="41">
        <f>SUMIFS(Totals!$V$5:$V$49,Totals!$A$5:$A$49,"All landing pages",Totals!$B$5:$B$49,"Paid Search",Totals!$C$5:$C$49,"Mobile")</f>
        <v/>
      </c>
      <c r="V7" s="41">
        <f>SUMIFS(Totals!$W$5:$W$49,Totals!$A$5:$A$49,"All landing pages",Totals!$B$5:$B$49,"Paid Search",Totals!$C$5:$C$49,"Mobile")</f>
        <v/>
      </c>
      <c r="W7" s="69">
        <f>IF(OR(V7="",U7="",U7=0,V7=0),"",V7-U7)</f>
        <v/>
      </c>
      <c r="X7" s="42">
        <f>IF(OR(V7="",U7="",U7=0,V7=0),"",V7/U7-1)</f>
        <v/>
      </c>
      <c r="Y7" s="43">
        <f>IF(OR(U7="",N7="",N7=0),"",U7/N7)</f>
        <v/>
      </c>
      <c r="Z7" s="43">
        <f>IF(OR(V7="",O7="",O7=0),"",V7/O7)</f>
        <v/>
      </c>
      <c r="AA7" s="44">
        <f>IF(OR(Z7="",Y7=""),"",(Z7-Y7)*100)</f>
        <v/>
      </c>
      <c r="AB7" s="41">
        <f>SUMIFS(Totals!$AC$5:$AC$49,Totals!$A$5:$A$49,"All landing pages",Totals!$B$5:$B$49,"Paid Search",Totals!$C$5:$C$49,"Mobile")</f>
        <v/>
      </c>
      <c r="AC7" s="41">
        <f>SUMIFS(Totals!$AD$5:$AD$49,Totals!$A$5:$A$49,"All landing pages",Totals!$B$5:$B$49,"Paid Search",Totals!$C$5:$C$49,"Mobile")</f>
        <v/>
      </c>
      <c r="AD7" s="69">
        <f>IF(OR(AC7="",AB7="",AB7=0,AC7=0),"",AC7-AB7)</f>
        <v/>
      </c>
      <c r="AE7" s="42">
        <f>IF(OR(AC7="",AB7="",AB7=0,AC7=0),"",AC7/AB7-1)</f>
        <v/>
      </c>
      <c r="AF7" s="43">
        <f>IF(OR(AB7="",U7="",U7=0),"",AB7/U7)</f>
        <v/>
      </c>
      <c r="AG7" s="43">
        <f>IF(OR(AC7="",V7="",V7=0),"",AC7/V7)</f>
        <v/>
      </c>
      <c r="AH7" s="44">
        <f>IF(OR(AG7="",AF7=""),"",(AG7-AF7)*100)</f>
        <v/>
      </c>
      <c r="AI7" s="41">
        <f>SUMIFS(Totals!$AJ$5:$AJ$49,Totals!$A$5:$A$49,"All landing pages",Totals!$B$5:$B$49,"Paid Search",Totals!$C$5:$C$49,"Mobile")</f>
        <v/>
      </c>
      <c r="AJ7" s="41">
        <f>SUMIFS(Totals!$AK$5:$AK$49,Totals!$A$5:$A$49,"All landing pages",Totals!$B$5:$B$49,"Paid Search",Totals!$C$5:$C$49,"Mobile")</f>
        <v/>
      </c>
      <c r="AK7" s="69">
        <f>IF(OR(AJ7="",AI7="",AI7=0,AJ7=0),"",AJ7-AI7)</f>
        <v/>
      </c>
      <c r="AL7" s="42">
        <f>IF(OR(AJ7="",AI7="",AI7=0,AJ7=0),"",AJ7/AI7-1)</f>
        <v/>
      </c>
      <c r="AM7" s="43">
        <f>IF(OR(AI7="",AB7="",AB7=0),"",AI7/AB7)</f>
        <v/>
      </c>
      <c r="AN7" s="43">
        <f>IF(OR(AJ7="",AC7="",AC7=0),"",AJ7/AC7)</f>
        <v/>
      </c>
      <c r="AO7" s="44">
        <f>IF(OR(AN7="",AM7=""),"",(AN7-AM7)*100)</f>
        <v/>
      </c>
      <c r="AP7" s="41">
        <f>SUMIFS(Totals!$AQ$5:$AQ$49,Totals!$A$5:$A$49,"All landing pages",Totals!$B$5:$B$49,"Paid Search",Totals!$C$5:$C$49,"Mobile")</f>
        <v/>
      </c>
      <c r="AQ7" s="41">
        <f>SUMIFS(Totals!$AR$5:$AR$49,Totals!$A$5:$A$49,"All landing pages",Totals!$B$5:$B$49,"Paid Search",Totals!$C$5:$C$49,"Mobile")</f>
        <v/>
      </c>
      <c r="AR7" s="69">
        <f>IF(OR(AQ7="",AP7="",AP7=0,AQ7=0),"",AQ7-AP7)</f>
        <v/>
      </c>
      <c r="AS7" s="42">
        <f>IF(OR(AQ7="",AP7="",AP7=0,AQ7=0),"",AQ7/AP7-1)</f>
        <v/>
      </c>
      <c r="AT7" s="43">
        <f>IF(OR(AP7="",AI7="",AI7=0),"",AP7/AI7)</f>
        <v/>
      </c>
      <c r="AU7" s="43">
        <f>IF(OR(AQ7="",AJ7="",AJ7=0),"",AQ7/AJ7)</f>
        <v/>
      </c>
      <c r="AV7" s="44">
        <f>IF(OR(AU7="",AT7=""),"",(AU7-AT7)*100)</f>
        <v/>
      </c>
      <c r="AW7" s="45">
        <f>IF(OR(AP7="",N7="",N7=0),"",AP7/N7)</f>
        <v/>
      </c>
      <c r="AX7" s="45">
        <f>IF(OR(AQ7="",O7="",O7=0),"",AQ7/O7)</f>
        <v/>
      </c>
      <c r="AY7" s="44">
        <f>IF(OR(AX7="",AW7=""),"",(AX7-AW7)*100)</f>
        <v/>
      </c>
      <c r="AZ7" s="45">
        <f>IF(OR(AP7="",C7="",C7=0),"",AP7/C7)</f>
        <v/>
      </c>
      <c r="BA7" s="45">
        <f>IF(OR(AQ7="",D7="",D7=0),"",AQ7/D7)</f>
        <v/>
      </c>
      <c r="BB7" s="44">
        <f>IF(OR(BA7="",AZ7=""),"",(BA7-AZ7)*100)</f>
        <v/>
      </c>
    </row>
    <row r="8">
      <c r="A8" s="40" t="inlineStr">
        <is>
          <t>Paid Search</t>
        </is>
      </c>
      <c r="B8" s="40" t="inlineStr">
        <is>
          <t>Desktop</t>
        </is>
      </c>
      <c r="C8" s="41">
        <f>SUMIFS(Totals!$D$5:$D$49,Totals!$A$5:$A$49,"All landing pages",Totals!$B$5:$B$49,"Paid Search",Totals!$C$5:$C$49,"Desktop")</f>
        <v/>
      </c>
      <c r="D8" s="41">
        <f>SUMIFS(Totals!$E$5:$E$49,Totals!$A$5:$A$49,"All landing pages",Totals!$B$5:$B$49,"Paid Search",Totals!$C$5:$C$49,"Desktop")</f>
        <v/>
      </c>
      <c r="E8" s="69">
        <f>IF(OR(D8="",C8="",C8=0,D8=0),"",D8-C8)</f>
        <v/>
      </c>
      <c r="F8" s="42">
        <f>IF(OR(D8="",C8="",C8=0,D8=0),"",D8/C8-1)</f>
        <v/>
      </c>
      <c r="G8" s="41">
        <f>SUMIFS(Totals!$H$5:$H$49,Totals!$A$5:$A$49,"All landing pages",Totals!$B$5:$B$49,"Paid Search",Totals!$C$5:$C$49,"Desktop")</f>
        <v/>
      </c>
      <c r="H8" s="41">
        <f>SUMIFS(Totals!$I$5:$I$49,Totals!$A$5:$A$49,"All landing pages",Totals!$B$5:$B$49,"Paid Search",Totals!$C$5:$C$49,"Desktop")</f>
        <v/>
      </c>
      <c r="I8" s="69">
        <f>IF(OR(H8="",G8="",G8=0,H8=0),"",H8-G8)</f>
        <v/>
      </c>
      <c r="J8" s="42">
        <f>IF(OR(H8="",G8="",G8=0,H8=0),"",H8/G8-1)</f>
        <v/>
      </c>
      <c r="K8" s="43">
        <f>IF(OR(G8="",C8="",C8=0),"",G8/C8)</f>
        <v/>
      </c>
      <c r="L8" s="43">
        <f>IF(OR(H8="",D8="",D8=0),"",H8/D8)</f>
        <v/>
      </c>
      <c r="M8" s="44">
        <f>IF(OR(L8="",K8=""),"",(L8-K8)*100)</f>
        <v/>
      </c>
      <c r="N8" s="41">
        <f>SUMIFS(Totals!$O$5:$O$49,Totals!$A$5:$A$49,"All landing pages",Totals!$B$5:$B$49,"Paid Search",Totals!$C$5:$C$49,"Desktop")</f>
        <v/>
      </c>
      <c r="O8" s="41">
        <f>SUMIFS(Totals!$P$5:$P$49,Totals!$A$5:$A$49,"All landing pages",Totals!$B$5:$B$49,"Paid Search",Totals!$C$5:$C$49,"Desktop")</f>
        <v/>
      </c>
      <c r="P8" s="69">
        <f>IF(OR(O8="",N8="",N8=0,O8=0),"",O8-N8)</f>
        <v/>
      </c>
      <c r="Q8" s="42">
        <f>IF(OR(O8="",N8="",N8=0,O8=0),"",O8/N8-1)</f>
        <v/>
      </c>
      <c r="R8" s="43">
        <f>IF(OR(N8="",C8="",C8=0),"",N8/C8)</f>
        <v/>
      </c>
      <c r="S8" s="43">
        <f>IF(OR(O8="",D8="",D8=0),"",O8/D8)</f>
        <v/>
      </c>
      <c r="T8" s="44">
        <f>IF(OR(S8="",R8=""),"",(S8-R8)*100)</f>
        <v/>
      </c>
      <c r="U8" s="41">
        <f>SUMIFS(Totals!$V$5:$V$49,Totals!$A$5:$A$49,"All landing pages",Totals!$B$5:$B$49,"Paid Search",Totals!$C$5:$C$49,"Desktop")</f>
        <v/>
      </c>
      <c r="V8" s="41">
        <f>SUMIFS(Totals!$W$5:$W$49,Totals!$A$5:$A$49,"All landing pages",Totals!$B$5:$B$49,"Paid Search",Totals!$C$5:$C$49,"Desktop")</f>
        <v/>
      </c>
      <c r="W8" s="69">
        <f>IF(OR(V8="",U8="",U8=0,V8=0),"",V8-U8)</f>
        <v/>
      </c>
      <c r="X8" s="42">
        <f>IF(OR(V8="",U8="",U8=0,V8=0),"",V8/U8-1)</f>
        <v/>
      </c>
      <c r="Y8" s="43">
        <f>IF(OR(U8="",N8="",N8=0),"",U8/N8)</f>
        <v/>
      </c>
      <c r="Z8" s="43">
        <f>IF(OR(V8="",O8="",O8=0),"",V8/O8)</f>
        <v/>
      </c>
      <c r="AA8" s="44">
        <f>IF(OR(Z8="",Y8=""),"",(Z8-Y8)*100)</f>
        <v/>
      </c>
      <c r="AB8" s="41">
        <f>SUMIFS(Totals!$AC$5:$AC$49,Totals!$A$5:$A$49,"All landing pages",Totals!$B$5:$B$49,"Paid Search",Totals!$C$5:$C$49,"Desktop")</f>
        <v/>
      </c>
      <c r="AC8" s="41">
        <f>SUMIFS(Totals!$AD$5:$AD$49,Totals!$A$5:$A$49,"All landing pages",Totals!$B$5:$B$49,"Paid Search",Totals!$C$5:$C$49,"Desktop")</f>
        <v/>
      </c>
      <c r="AD8" s="69">
        <f>IF(OR(AC8="",AB8="",AB8=0,AC8=0),"",AC8-AB8)</f>
        <v/>
      </c>
      <c r="AE8" s="42">
        <f>IF(OR(AC8="",AB8="",AB8=0,AC8=0),"",AC8/AB8-1)</f>
        <v/>
      </c>
      <c r="AF8" s="43">
        <f>IF(OR(AB8="",U8="",U8=0),"",AB8/U8)</f>
        <v/>
      </c>
      <c r="AG8" s="43">
        <f>IF(OR(AC8="",V8="",V8=0),"",AC8/V8)</f>
        <v/>
      </c>
      <c r="AH8" s="44">
        <f>IF(OR(AG8="",AF8=""),"",(AG8-AF8)*100)</f>
        <v/>
      </c>
      <c r="AI8" s="41">
        <f>SUMIFS(Totals!$AJ$5:$AJ$49,Totals!$A$5:$A$49,"All landing pages",Totals!$B$5:$B$49,"Paid Search",Totals!$C$5:$C$49,"Desktop")</f>
        <v/>
      </c>
      <c r="AJ8" s="41">
        <f>SUMIFS(Totals!$AK$5:$AK$49,Totals!$A$5:$A$49,"All landing pages",Totals!$B$5:$B$49,"Paid Search",Totals!$C$5:$C$49,"Desktop")</f>
        <v/>
      </c>
      <c r="AK8" s="69">
        <f>IF(OR(AJ8="",AI8="",AI8=0,AJ8=0),"",AJ8-AI8)</f>
        <v/>
      </c>
      <c r="AL8" s="42">
        <f>IF(OR(AJ8="",AI8="",AI8=0,AJ8=0),"",AJ8/AI8-1)</f>
        <v/>
      </c>
      <c r="AM8" s="43">
        <f>IF(OR(AI8="",AB8="",AB8=0),"",AI8/AB8)</f>
        <v/>
      </c>
      <c r="AN8" s="43">
        <f>IF(OR(AJ8="",AC8="",AC8=0),"",AJ8/AC8)</f>
        <v/>
      </c>
      <c r="AO8" s="44">
        <f>IF(OR(AN8="",AM8=""),"",(AN8-AM8)*100)</f>
        <v/>
      </c>
      <c r="AP8" s="41">
        <f>SUMIFS(Totals!$AQ$5:$AQ$49,Totals!$A$5:$A$49,"All landing pages",Totals!$B$5:$B$49,"Paid Search",Totals!$C$5:$C$49,"Desktop")</f>
        <v/>
      </c>
      <c r="AQ8" s="41">
        <f>SUMIFS(Totals!$AR$5:$AR$49,Totals!$A$5:$A$49,"All landing pages",Totals!$B$5:$B$49,"Paid Search",Totals!$C$5:$C$49,"Desktop")</f>
        <v/>
      </c>
      <c r="AR8" s="69">
        <f>IF(OR(AQ8="",AP8="",AP8=0,AQ8=0),"",AQ8-AP8)</f>
        <v/>
      </c>
      <c r="AS8" s="42">
        <f>IF(OR(AQ8="",AP8="",AP8=0,AQ8=0),"",AQ8/AP8-1)</f>
        <v/>
      </c>
      <c r="AT8" s="43">
        <f>IF(OR(AP8="",AI8="",AI8=0),"",AP8/AI8)</f>
        <v/>
      </c>
      <c r="AU8" s="43">
        <f>IF(OR(AQ8="",AJ8="",AJ8=0),"",AQ8/AJ8)</f>
        <v/>
      </c>
      <c r="AV8" s="44">
        <f>IF(OR(AU8="",AT8=""),"",(AU8-AT8)*100)</f>
        <v/>
      </c>
      <c r="AW8" s="45">
        <f>IF(OR(AP8="",N8="",N8=0),"",AP8/N8)</f>
        <v/>
      </c>
      <c r="AX8" s="45">
        <f>IF(OR(AQ8="",O8="",O8=0),"",AQ8/O8)</f>
        <v/>
      </c>
      <c r="AY8" s="44">
        <f>IF(OR(AX8="",AW8=""),"",(AX8-AW8)*100)</f>
        <v/>
      </c>
      <c r="AZ8" s="45">
        <f>IF(OR(AP8="",C8="",C8=0),"",AP8/C8)</f>
        <v/>
      </c>
      <c r="BA8" s="45">
        <f>IF(OR(AQ8="",D8="",D8=0),"",AQ8/D8)</f>
        <v/>
      </c>
      <c r="BB8" s="44">
        <f>IF(OR(BA8="",AZ8=""),"",(BA8-AZ8)*100)</f>
        <v/>
      </c>
    </row>
    <row r="9">
      <c r="A9" s="32" t="inlineStr">
        <is>
          <t>Organic</t>
        </is>
      </c>
      <c r="B9" s="32" t="inlineStr">
        <is>
          <t>Total</t>
        </is>
      </c>
      <c r="C9" s="33">
        <f>SUMIFS(Totals!$D$5:$D$49,Totals!$A$5:$A$49,"All landing pages",Totals!$B$5:$B$49,"Organic",Totals!$C$5:$C$49,"Total")</f>
        <v/>
      </c>
      <c r="D9" s="33">
        <f>SUMIFS(Totals!$E$5:$E$49,Totals!$A$5:$A$49,"All landing pages",Totals!$B$5:$B$49,"Organic",Totals!$C$5:$C$49,"Total")</f>
        <v/>
      </c>
      <c r="E9" s="67">
        <f>IF(OR(D9="",C9="",C9=0,D9=0),"",D9-C9)</f>
        <v/>
      </c>
      <c r="F9" s="34">
        <f>IF(OR(D9="",C9="",C9=0,D9=0),"",D9/C9-1)</f>
        <v/>
      </c>
      <c r="G9" s="33">
        <f>SUMIFS(Totals!$H$5:$H$49,Totals!$A$5:$A$49,"All landing pages",Totals!$B$5:$B$49,"Organic",Totals!$C$5:$C$49,"Total")</f>
        <v/>
      </c>
      <c r="H9" s="33">
        <f>SUMIFS(Totals!$I$5:$I$49,Totals!$A$5:$A$49,"All landing pages",Totals!$B$5:$B$49,"Organic",Totals!$C$5:$C$49,"Total")</f>
        <v/>
      </c>
      <c r="I9" s="67">
        <f>IF(OR(H9="",G9="",G9=0,H9=0),"",H9-G9)</f>
        <v/>
      </c>
      <c r="J9" s="34">
        <f>IF(OR(H9="",G9="",G9=0,H9=0),"",H9/G9-1)</f>
        <v/>
      </c>
      <c r="K9" s="35">
        <f>IF(OR(G9="",C9="",C9=0),"",G9/C9)</f>
        <v/>
      </c>
      <c r="L9" s="35">
        <f>IF(OR(H9="",D9="",D9=0),"",H9/D9)</f>
        <v/>
      </c>
      <c r="M9" s="36">
        <f>IF(OR(L9="",K9=""),"",(L9-K9)*100)</f>
        <v/>
      </c>
      <c r="N9" s="33">
        <f>SUMIFS(Totals!$O$5:$O$49,Totals!$A$5:$A$49,"All landing pages",Totals!$B$5:$B$49,"Organic",Totals!$C$5:$C$49,"Total")</f>
        <v/>
      </c>
      <c r="O9" s="33">
        <f>SUMIFS(Totals!$P$5:$P$49,Totals!$A$5:$A$49,"All landing pages",Totals!$B$5:$B$49,"Organic",Totals!$C$5:$C$49,"Total")</f>
        <v/>
      </c>
      <c r="P9" s="67">
        <f>IF(OR(O9="",N9="",N9=0,O9=0),"",O9-N9)</f>
        <v/>
      </c>
      <c r="Q9" s="34">
        <f>IF(OR(O9="",N9="",N9=0,O9=0),"",O9/N9-1)</f>
        <v/>
      </c>
      <c r="R9" s="35">
        <f>IF(OR(N9="",C9="",C9=0),"",N9/C9)</f>
        <v/>
      </c>
      <c r="S9" s="35">
        <f>IF(OR(O9="",D9="",D9=0),"",O9/D9)</f>
        <v/>
      </c>
      <c r="T9" s="36">
        <f>IF(OR(S9="",R9=""),"",(S9-R9)*100)</f>
        <v/>
      </c>
      <c r="U9" s="33">
        <f>SUMIFS(Totals!$V$5:$V$49,Totals!$A$5:$A$49,"All landing pages",Totals!$B$5:$B$49,"Organic",Totals!$C$5:$C$49,"Total")</f>
        <v/>
      </c>
      <c r="V9" s="33">
        <f>SUMIFS(Totals!$W$5:$W$49,Totals!$A$5:$A$49,"All landing pages",Totals!$B$5:$B$49,"Organic",Totals!$C$5:$C$49,"Total")</f>
        <v/>
      </c>
      <c r="W9" s="67">
        <f>IF(OR(V9="",U9="",U9=0,V9=0),"",V9-U9)</f>
        <v/>
      </c>
      <c r="X9" s="34">
        <f>IF(OR(V9="",U9="",U9=0,V9=0),"",V9/U9-1)</f>
        <v/>
      </c>
      <c r="Y9" s="35">
        <f>IF(OR(U9="",N9="",N9=0),"",U9/N9)</f>
        <v/>
      </c>
      <c r="Z9" s="35">
        <f>IF(OR(V9="",O9="",O9=0),"",V9/O9)</f>
        <v/>
      </c>
      <c r="AA9" s="36">
        <f>IF(OR(Z9="",Y9=""),"",(Z9-Y9)*100)</f>
        <v/>
      </c>
      <c r="AB9" s="33">
        <f>SUMIFS(Totals!$AC$5:$AC$49,Totals!$A$5:$A$49,"All landing pages",Totals!$B$5:$B$49,"Organic",Totals!$C$5:$C$49,"Total")</f>
        <v/>
      </c>
      <c r="AC9" s="33">
        <f>SUMIFS(Totals!$AD$5:$AD$49,Totals!$A$5:$A$49,"All landing pages",Totals!$B$5:$B$49,"Organic",Totals!$C$5:$C$49,"Total")</f>
        <v/>
      </c>
      <c r="AD9" s="67">
        <f>IF(OR(AC9="",AB9="",AB9=0,AC9=0),"",AC9-AB9)</f>
        <v/>
      </c>
      <c r="AE9" s="34">
        <f>IF(OR(AC9="",AB9="",AB9=0,AC9=0),"",AC9/AB9-1)</f>
        <v/>
      </c>
      <c r="AF9" s="35">
        <f>IF(OR(AB9="",U9="",U9=0),"",AB9/U9)</f>
        <v/>
      </c>
      <c r="AG9" s="35">
        <f>IF(OR(AC9="",V9="",V9=0),"",AC9/V9)</f>
        <v/>
      </c>
      <c r="AH9" s="36">
        <f>IF(OR(AG9="",AF9=""),"",(AG9-AF9)*100)</f>
        <v/>
      </c>
      <c r="AI9" s="33">
        <f>SUMIFS(Totals!$AJ$5:$AJ$49,Totals!$A$5:$A$49,"All landing pages",Totals!$B$5:$B$49,"Organic",Totals!$C$5:$C$49,"Total")</f>
        <v/>
      </c>
      <c r="AJ9" s="33">
        <f>SUMIFS(Totals!$AK$5:$AK$49,Totals!$A$5:$A$49,"All landing pages",Totals!$B$5:$B$49,"Organic",Totals!$C$5:$C$49,"Total")</f>
        <v/>
      </c>
      <c r="AK9" s="67">
        <f>IF(OR(AJ9="",AI9="",AI9=0,AJ9=0),"",AJ9-AI9)</f>
        <v/>
      </c>
      <c r="AL9" s="34">
        <f>IF(OR(AJ9="",AI9="",AI9=0,AJ9=0),"",AJ9/AI9-1)</f>
        <v/>
      </c>
      <c r="AM9" s="35">
        <f>IF(OR(AI9="",AB9="",AB9=0),"",AI9/AB9)</f>
        <v/>
      </c>
      <c r="AN9" s="35">
        <f>IF(OR(AJ9="",AC9="",AC9=0),"",AJ9/AC9)</f>
        <v/>
      </c>
      <c r="AO9" s="36">
        <f>IF(OR(AN9="",AM9=""),"",(AN9-AM9)*100)</f>
        <v/>
      </c>
      <c r="AP9" s="33">
        <f>SUMIFS(Totals!$AQ$5:$AQ$49,Totals!$A$5:$A$49,"All landing pages",Totals!$B$5:$B$49,"Organic",Totals!$C$5:$C$49,"Total")</f>
        <v/>
      </c>
      <c r="AQ9" s="33">
        <f>SUMIFS(Totals!$AR$5:$AR$49,Totals!$A$5:$A$49,"All landing pages",Totals!$B$5:$B$49,"Organic",Totals!$C$5:$C$49,"Total")</f>
        <v/>
      </c>
      <c r="AR9" s="67">
        <f>IF(OR(AQ9="",AP9="",AP9=0,AQ9=0),"",AQ9-AP9)</f>
        <v/>
      </c>
      <c r="AS9" s="34">
        <f>IF(OR(AQ9="",AP9="",AP9=0,AQ9=0),"",AQ9/AP9-1)</f>
        <v/>
      </c>
      <c r="AT9" s="35">
        <f>IF(OR(AP9="",AI9="",AI9=0),"",AP9/AI9)</f>
        <v/>
      </c>
      <c r="AU9" s="35">
        <f>IF(OR(AQ9="",AJ9="",AJ9=0),"",AQ9/AJ9)</f>
        <v/>
      </c>
      <c r="AV9" s="36">
        <f>IF(OR(AU9="",AT9=""),"",(AU9-AT9)*100)</f>
        <v/>
      </c>
      <c r="AW9" s="37">
        <f>IF(OR(AP9="",N9="",N9=0),"",AP9/N9)</f>
        <v/>
      </c>
      <c r="AX9" s="37">
        <f>IF(OR(AQ9="",O9="",O9=0),"",AQ9/O9)</f>
        <v/>
      </c>
      <c r="AY9" s="36">
        <f>IF(OR(AX9="",AW9=""),"",(AX9-AW9)*100)</f>
        <v/>
      </c>
      <c r="AZ9" s="37">
        <f>IF(OR(AP9="",C9="",C9=0),"",AP9/C9)</f>
        <v/>
      </c>
      <c r="BA9" s="37">
        <f>IF(OR(AQ9="",D9="",D9=0),"",AQ9/D9)</f>
        <v/>
      </c>
      <c r="BB9" s="36">
        <f>IF(OR(BA9="",AZ9=""),"",(BA9-AZ9)*100)</f>
        <v/>
      </c>
    </row>
    <row r="10">
      <c r="A10" s="40" t="inlineStr">
        <is>
          <t>Organic</t>
        </is>
      </c>
      <c r="B10" s="40" t="inlineStr">
        <is>
          <t>Mobile</t>
        </is>
      </c>
      <c r="C10" s="41">
        <f>SUMIFS(Totals!$D$5:$D$49,Totals!$A$5:$A$49,"All landing pages",Totals!$B$5:$B$49,"Organic",Totals!$C$5:$C$49,"Mobile")</f>
        <v/>
      </c>
      <c r="D10" s="41">
        <f>SUMIFS(Totals!$E$5:$E$49,Totals!$A$5:$A$49,"All landing pages",Totals!$B$5:$B$49,"Organic",Totals!$C$5:$C$49,"Mobile")</f>
        <v/>
      </c>
      <c r="E10" s="69">
        <f>IF(OR(D10="",C10="",C10=0,D10=0),"",D10-C10)</f>
        <v/>
      </c>
      <c r="F10" s="42">
        <f>IF(OR(D10="",C10="",C10=0,D10=0),"",D10/C10-1)</f>
        <v/>
      </c>
      <c r="G10" s="41">
        <f>SUMIFS(Totals!$H$5:$H$49,Totals!$A$5:$A$49,"All landing pages",Totals!$B$5:$B$49,"Organic",Totals!$C$5:$C$49,"Mobile")</f>
        <v/>
      </c>
      <c r="H10" s="41">
        <f>SUMIFS(Totals!$I$5:$I$49,Totals!$A$5:$A$49,"All landing pages",Totals!$B$5:$B$49,"Organic",Totals!$C$5:$C$49,"Mobile")</f>
        <v/>
      </c>
      <c r="I10" s="69">
        <f>IF(OR(H10="",G10="",G10=0,H10=0),"",H10-G10)</f>
        <v/>
      </c>
      <c r="J10" s="42">
        <f>IF(OR(H10="",G10="",G10=0,H10=0),"",H10/G10-1)</f>
        <v/>
      </c>
      <c r="K10" s="43">
        <f>IF(OR(G10="",C10="",C10=0),"",G10/C10)</f>
        <v/>
      </c>
      <c r="L10" s="43">
        <f>IF(OR(H10="",D10="",D10=0),"",H10/D10)</f>
        <v/>
      </c>
      <c r="M10" s="44">
        <f>IF(OR(L10="",K10=""),"",(L10-K10)*100)</f>
        <v/>
      </c>
      <c r="N10" s="41">
        <f>SUMIFS(Totals!$O$5:$O$49,Totals!$A$5:$A$49,"All landing pages",Totals!$B$5:$B$49,"Organic",Totals!$C$5:$C$49,"Mobile")</f>
        <v/>
      </c>
      <c r="O10" s="41">
        <f>SUMIFS(Totals!$P$5:$P$49,Totals!$A$5:$A$49,"All landing pages",Totals!$B$5:$B$49,"Organic",Totals!$C$5:$C$49,"Mobile")</f>
        <v/>
      </c>
      <c r="P10" s="69">
        <f>IF(OR(O10="",N10="",N10=0,O10=0),"",O10-N10)</f>
        <v/>
      </c>
      <c r="Q10" s="42">
        <f>IF(OR(O10="",N10="",N10=0,O10=0),"",O10/N10-1)</f>
        <v/>
      </c>
      <c r="R10" s="43">
        <f>IF(OR(N10="",C10="",C10=0),"",N10/C10)</f>
        <v/>
      </c>
      <c r="S10" s="43">
        <f>IF(OR(O10="",D10="",D10=0),"",O10/D10)</f>
        <v/>
      </c>
      <c r="T10" s="44">
        <f>IF(OR(S10="",R10=""),"",(S10-R10)*100)</f>
        <v/>
      </c>
      <c r="U10" s="41">
        <f>SUMIFS(Totals!$V$5:$V$49,Totals!$A$5:$A$49,"All landing pages",Totals!$B$5:$B$49,"Organic",Totals!$C$5:$C$49,"Mobile")</f>
        <v/>
      </c>
      <c r="V10" s="41">
        <f>SUMIFS(Totals!$W$5:$W$49,Totals!$A$5:$A$49,"All landing pages",Totals!$B$5:$B$49,"Organic",Totals!$C$5:$C$49,"Mobile")</f>
        <v/>
      </c>
      <c r="W10" s="69">
        <f>IF(OR(V10="",U10="",U10=0,V10=0),"",V10-U10)</f>
        <v/>
      </c>
      <c r="X10" s="42">
        <f>IF(OR(V10="",U10="",U10=0,V10=0),"",V10/U10-1)</f>
        <v/>
      </c>
      <c r="Y10" s="43">
        <f>IF(OR(U10="",N10="",N10=0),"",U10/N10)</f>
        <v/>
      </c>
      <c r="Z10" s="43">
        <f>IF(OR(V10="",O10="",O10=0),"",V10/O10)</f>
        <v/>
      </c>
      <c r="AA10" s="44">
        <f>IF(OR(Z10="",Y10=""),"",(Z10-Y10)*100)</f>
        <v/>
      </c>
      <c r="AB10" s="41">
        <f>SUMIFS(Totals!$AC$5:$AC$49,Totals!$A$5:$A$49,"All landing pages",Totals!$B$5:$B$49,"Organic",Totals!$C$5:$C$49,"Mobile")</f>
        <v/>
      </c>
      <c r="AC10" s="41">
        <f>SUMIFS(Totals!$AD$5:$AD$49,Totals!$A$5:$A$49,"All landing pages",Totals!$B$5:$B$49,"Organic",Totals!$C$5:$C$49,"Mobile")</f>
        <v/>
      </c>
      <c r="AD10" s="69">
        <f>IF(OR(AC10="",AB10="",AB10=0,AC10=0),"",AC10-AB10)</f>
        <v/>
      </c>
      <c r="AE10" s="42">
        <f>IF(OR(AC10="",AB10="",AB10=0,AC10=0),"",AC10/AB10-1)</f>
        <v/>
      </c>
      <c r="AF10" s="43">
        <f>IF(OR(AB10="",U10="",U10=0),"",AB10/U10)</f>
        <v/>
      </c>
      <c r="AG10" s="43">
        <f>IF(OR(AC10="",V10="",V10=0),"",AC10/V10)</f>
        <v/>
      </c>
      <c r="AH10" s="44">
        <f>IF(OR(AG10="",AF10=""),"",(AG10-AF10)*100)</f>
        <v/>
      </c>
      <c r="AI10" s="41">
        <f>SUMIFS(Totals!$AJ$5:$AJ$49,Totals!$A$5:$A$49,"All landing pages",Totals!$B$5:$B$49,"Organic",Totals!$C$5:$C$49,"Mobile")</f>
        <v/>
      </c>
      <c r="AJ10" s="41">
        <f>SUMIFS(Totals!$AK$5:$AK$49,Totals!$A$5:$A$49,"All landing pages",Totals!$B$5:$B$49,"Organic",Totals!$C$5:$C$49,"Mobile")</f>
        <v/>
      </c>
      <c r="AK10" s="69">
        <f>IF(OR(AJ10="",AI10="",AI10=0,AJ10=0),"",AJ10-AI10)</f>
        <v/>
      </c>
      <c r="AL10" s="42">
        <f>IF(OR(AJ10="",AI10="",AI10=0,AJ10=0),"",AJ10/AI10-1)</f>
        <v/>
      </c>
      <c r="AM10" s="43">
        <f>IF(OR(AI10="",AB10="",AB10=0),"",AI10/AB10)</f>
        <v/>
      </c>
      <c r="AN10" s="43">
        <f>IF(OR(AJ10="",AC10="",AC10=0),"",AJ10/AC10)</f>
        <v/>
      </c>
      <c r="AO10" s="44">
        <f>IF(OR(AN10="",AM10=""),"",(AN10-AM10)*100)</f>
        <v/>
      </c>
      <c r="AP10" s="41">
        <f>SUMIFS(Totals!$AQ$5:$AQ$49,Totals!$A$5:$A$49,"All landing pages",Totals!$B$5:$B$49,"Organic",Totals!$C$5:$C$49,"Mobile")</f>
        <v/>
      </c>
      <c r="AQ10" s="41">
        <f>SUMIFS(Totals!$AR$5:$AR$49,Totals!$A$5:$A$49,"All landing pages",Totals!$B$5:$B$49,"Organic",Totals!$C$5:$C$49,"Mobile")</f>
        <v/>
      </c>
      <c r="AR10" s="69">
        <f>IF(OR(AQ10="",AP10="",AP10=0,AQ10=0),"",AQ10-AP10)</f>
        <v/>
      </c>
      <c r="AS10" s="42">
        <f>IF(OR(AQ10="",AP10="",AP10=0,AQ10=0),"",AQ10/AP10-1)</f>
        <v/>
      </c>
      <c r="AT10" s="43">
        <f>IF(OR(AP10="",AI10="",AI10=0),"",AP10/AI10)</f>
        <v/>
      </c>
      <c r="AU10" s="43">
        <f>IF(OR(AQ10="",AJ10="",AJ10=0),"",AQ10/AJ10)</f>
        <v/>
      </c>
      <c r="AV10" s="44">
        <f>IF(OR(AU10="",AT10=""),"",(AU10-AT10)*100)</f>
        <v/>
      </c>
      <c r="AW10" s="45">
        <f>IF(OR(AP10="",N10="",N10=0),"",AP10/N10)</f>
        <v/>
      </c>
      <c r="AX10" s="45">
        <f>IF(OR(AQ10="",O10="",O10=0),"",AQ10/O10)</f>
        <v/>
      </c>
      <c r="AY10" s="44">
        <f>IF(OR(AX10="",AW10=""),"",(AX10-AW10)*100)</f>
        <v/>
      </c>
      <c r="AZ10" s="45">
        <f>IF(OR(AP10="",C10="",C10=0),"",AP10/C10)</f>
        <v/>
      </c>
      <c r="BA10" s="45">
        <f>IF(OR(AQ10="",D10="",D10=0),"",AQ10/D10)</f>
        <v/>
      </c>
      <c r="BB10" s="44">
        <f>IF(OR(BA10="",AZ10=""),"",(BA10-AZ10)*100)</f>
        <v/>
      </c>
    </row>
    <row r="11">
      <c r="A11" s="40" t="inlineStr">
        <is>
          <t>Organic</t>
        </is>
      </c>
      <c r="B11" s="40" t="inlineStr">
        <is>
          <t>Desktop</t>
        </is>
      </c>
      <c r="C11" s="41">
        <f>SUMIFS(Totals!$D$5:$D$49,Totals!$A$5:$A$49,"All landing pages",Totals!$B$5:$B$49,"Organic",Totals!$C$5:$C$49,"Desktop")</f>
        <v/>
      </c>
      <c r="D11" s="41">
        <f>SUMIFS(Totals!$E$5:$E$49,Totals!$A$5:$A$49,"All landing pages",Totals!$B$5:$B$49,"Organic",Totals!$C$5:$C$49,"Desktop")</f>
        <v/>
      </c>
      <c r="E11" s="69">
        <f>IF(OR(D11="",C11="",C11=0,D11=0),"",D11-C11)</f>
        <v/>
      </c>
      <c r="F11" s="42">
        <f>IF(OR(D11="",C11="",C11=0,D11=0),"",D11/C11-1)</f>
        <v/>
      </c>
      <c r="G11" s="41">
        <f>SUMIFS(Totals!$H$5:$H$49,Totals!$A$5:$A$49,"All landing pages",Totals!$B$5:$B$49,"Organic",Totals!$C$5:$C$49,"Desktop")</f>
        <v/>
      </c>
      <c r="H11" s="41">
        <f>SUMIFS(Totals!$I$5:$I$49,Totals!$A$5:$A$49,"All landing pages",Totals!$B$5:$B$49,"Organic",Totals!$C$5:$C$49,"Desktop")</f>
        <v/>
      </c>
      <c r="I11" s="69">
        <f>IF(OR(H11="",G11="",G11=0,H11=0),"",H11-G11)</f>
        <v/>
      </c>
      <c r="J11" s="42">
        <f>IF(OR(H11="",G11="",G11=0,H11=0),"",H11/G11-1)</f>
        <v/>
      </c>
      <c r="K11" s="43">
        <f>IF(OR(G11="",C11="",C11=0),"",G11/C11)</f>
        <v/>
      </c>
      <c r="L11" s="43">
        <f>IF(OR(H11="",D11="",D11=0),"",H11/D11)</f>
        <v/>
      </c>
      <c r="M11" s="44">
        <f>IF(OR(L11="",K11=""),"",(L11-K11)*100)</f>
        <v/>
      </c>
      <c r="N11" s="41">
        <f>SUMIFS(Totals!$O$5:$O$49,Totals!$A$5:$A$49,"All landing pages",Totals!$B$5:$B$49,"Organic",Totals!$C$5:$C$49,"Desktop")</f>
        <v/>
      </c>
      <c r="O11" s="41">
        <f>SUMIFS(Totals!$P$5:$P$49,Totals!$A$5:$A$49,"All landing pages",Totals!$B$5:$B$49,"Organic",Totals!$C$5:$C$49,"Desktop")</f>
        <v/>
      </c>
      <c r="P11" s="69">
        <f>IF(OR(O11="",N11="",N11=0,O11=0),"",O11-N11)</f>
        <v/>
      </c>
      <c r="Q11" s="42">
        <f>IF(OR(O11="",N11="",N11=0,O11=0),"",O11/N11-1)</f>
        <v/>
      </c>
      <c r="R11" s="43">
        <f>IF(OR(N11="",C11="",C11=0),"",N11/C11)</f>
        <v/>
      </c>
      <c r="S11" s="43">
        <f>IF(OR(O11="",D11="",D11=0),"",O11/D11)</f>
        <v/>
      </c>
      <c r="T11" s="44">
        <f>IF(OR(S11="",R11=""),"",(S11-R11)*100)</f>
        <v/>
      </c>
      <c r="U11" s="41">
        <f>SUMIFS(Totals!$V$5:$V$49,Totals!$A$5:$A$49,"All landing pages",Totals!$B$5:$B$49,"Organic",Totals!$C$5:$C$49,"Desktop")</f>
        <v/>
      </c>
      <c r="V11" s="41">
        <f>SUMIFS(Totals!$W$5:$W$49,Totals!$A$5:$A$49,"All landing pages",Totals!$B$5:$B$49,"Organic",Totals!$C$5:$C$49,"Desktop")</f>
        <v/>
      </c>
      <c r="W11" s="69">
        <f>IF(OR(V11="",U11="",U11=0,V11=0),"",V11-U11)</f>
        <v/>
      </c>
      <c r="X11" s="42">
        <f>IF(OR(V11="",U11="",U11=0,V11=0),"",V11/U11-1)</f>
        <v/>
      </c>
      <c r="Y11" s="43">
        <f>IF(OR(U11="",N11="",N11=0),"",U11/N11)</f>
        <v/>
      </c>
      <c r="Z11" s="43">
        <f>IF(OR(V11="",O11="",O11=0),"",V11/O11)</f>
        <v/>
      </c>
      <c r="AA11" s="44">
        <f>IF(OR(Z11="",Y11=""),"",(Z11-Y11)*100)</f>
        <v/>
      </c>
      <c r="AB11" s="41">
        <f>SUMIFS(Totals!$AC$5:$AC$49,Totals!$A$5:$A$49,"All landing pages",Totals!$B$5:$B$49,"Organic",Totals!$C$5:$C$49,"Desktop")</f>
        <v/>
      </c>
      <c r="AC11" s="41">
        <f>SUMIFS(Totals!$AD$5:$AD$49,Totals!$A$5:$A$49,"All landing pages",Totals!$B$5:$B$49,"Organic",Totals!$C$5:$C$49,"Desktop")</f>
        <v/>
      </c>
      <c r="AD11" s="69">
        <f>IF(OR(AC11="",AB11="",AB11=0,AC11=0),"",AC11-AB11)</f>
        <v/>
      </c>
      <c r="AE11" s="42">
        <f>IF(OR(AC11="",AB11="",AB11=0,AC11=0),"",AC11/AB11-1)</f>
        <v/>
      </c>
      <c r="AF11" s="43">
        <f>IF(OR(AB11="",U11="",U11=0),"",AB11/U11)</f>
        <v/>
      </c>
      <c r="AG11" s="43">
        <f>IF(OR(AC11="",V11="",V11=0),"",AC11/V11)</f>
        <v/>
      </c>
      <c r="AH11" s="44">
        <f>IF(OR(AG11="",AF11=""),"",(AG11-AF11)*100)</f>
        <v/>
      </c>
      <c r="AI11" s="41">
        <f>SUMIFS(Totals!$AJ$5:$AJ$49,Totals!$A$5:$A$49,"All landing pages",Totals!$B$5:$B$49,"Organic",Totals!$C$5:$C$49,"Desktop")</f>
        <v/>
      </c>
      <c r="AJ11" s="41">
        <f>SUMIFS(Totals!$AK$5:$AK$49,Totals!$A$5:$A$49,"All landing pages",Totals!$B$5:$B$49,"Organic",Totals!$C$5:$C$49,"Desktop")</f>
        <v/>
      </c>
      <c r="AK11" s="69">
        <f>IF(OR(AJ11="",AI11="",AI11=0,AJ11=0),"",AJ11-AI11)</f>
        <v/>
      </c>
      <c r="AL11" s="42">
        <f>IF(OR(AJ11="",AI11="",AI11=0,AJ11=0),"",AJ11/AI11-1)</f>
        <v/>
      </c>
      <c r="AM11" s="43">
        <f>IF(OR(AI11="",AB11="",AB11=0),"",AI11/AB11)</f>
        <v/>
      </c>
      <c r="AN11" s="43">
        <f>IF(OR(AJ11="",AC11="",AC11=0),"",AJ11/AC11)</f>
        <v/>
      </c>
      <c r="AO11" s="44">
        <f>IF(OR(AN11="",AM11=""),"",(AN11-AM11)*100)</f>
        <v/>
      </c>
      <c r="AP11" s="41">
        <f>SUMIFS(Totals!$AQ$5:$AQ$49,Totals!$A$5:$A$49,"All landing pages",Totals!$B$5:$B$49,"Organic",Totals!$C$5:$C$49,"Desktop")</f>
        <v/>
      </c>
      <c r="AQ11" s="41">
        <f>SUMIFS(Totals!$AR$5:$AR$49,Totals!$A$5:$A$49,"All landing pages",Totals!$B$5:$B$49,"Organic",Totals!$C$5:$C$49,"Desktop")</f>
        <v/>
      </c>
      <c r="AR11" s="69">
        <f>IF(OR(AQ11="",AP11="",AP11=0,AQ11=0),"",AQ11-AP11)</f>
        <v/>
      </c>
      <c r="AS11" s="42">
        <f>IF(OR(AQ11="",AP11="",AP11=0,AQ11=0),"",AQ11/AP11-1)</f>
        <v/>
      </c>
      <c r="AT11" s="43">
        <f>IF(OR(AP11="",AI11="",AI11=0),"",AP11/AI11)</f>
        <v/>
      </c>
      <c r="AU11" s="43">
        <f>IF(OR(AQ11="",AJ11="",AJ11=0),"",AQ11/AJ11)</f>
        <v/>
      </c>
      <c r="AV11" s="44">
        <f>IF(OR(AU11="",AT11=""),"",(AU11-AT11)*100)</f>
        <v/>
      </c>
      <c r="AW11" s="45">
        <f>IF(OR(AP11="",N11="",N11=0),"",AP11/N11)</f>
        <v/>
      </c>
      <c r="AX11" s="45">
        <f>IF(OR(AQ11="",O11="",O11=0),"",AQ11/O11)</f>
        <v/>
      </c>
      <c r="AY11" s="44">
        <f>IF(OR(AX11="",AW11=""),"",(AX11-AW11)*100)</f>
        <v/>
      </c>
      <c r="AZ11" s="45">
        <f>IF(OR(AP11="",C11="",C11=0),"",AP11/C11)</f>
        <v/>
      </c>
      <c r="BA11" s="45">
        <f>IF(OR(AQ11="",D11="",D11=0),"",AQ11/D11)</f>
        <v/>
      </c>
      <c r="BB11" s="44">
        <f>IF(OR(BA11="",AZ11=""),"",(BA11-AZ11)*100)</f>
        <v/>
      </c>
    </row>
    <row r="12">
      <c r="A12" s="32" t="inlineStr">
        <is>
          <t>Direct</t>
        </is>
      </c>
      <c r="B12" s="32" t="inlineStr">
        <is>
          <t>Total</t>
        </is>
      </c>
      <c r="C12" s="33">
        <f>SUMIFS(Totals!$D$5:$D$49,Totals!$A$5:$A$49,"All landing pages",Totals!$B$5:$B$49,"Direct",Totals!$C$5:$C$49,"Total")</f>
        <v/>
      </c>
      <c r="D12" s="33">
        <f>SUMIFS(Totals!$E$5:$E$49,Totals!$A$5:$A$49,"All landing pages",Totals!$B$5:$B$49,"Direct",Totals!$C$5:$C$49,"Total")</f>
        <v/>
      </c>
      <c r="E12" s="67">
        <f>IF(OR(D12="",C12="",C12=0,D12=0),"",D12-C12)</f>
        <v/>
      </c>
      <c r="F12" s="34">
        <f>IF(OR(D12="",C12="",C12=0,D12=0),"",D12/C12-1)</f>
        <v/>
      </c>
      <c r="G12" s="33">
        <f>SUMIFS(Totals!$H$5:$H$49,Totals!$A$5:$A$49,"All landing pages",Totals!$B$5:$B$49,"Direct",Totals!$C$5:$C$49,"Total")</f>
        <v/>
      </c>
      <c r="H12" s="33">
        <f>SUMIFS(Totals!$I$5:$I$49,Totals!$A$5:$A$49,"All landing pages",Totals!$B$5:$B$49,"Direct",Totals!$C$5:$C$49,"Total")</f>
        <v/>
      </c>
      <c r="I12" s="67">
        <f>IF(OR(H12="",G12="",G12=0,H12=0),"",H12-G12)</f>
        <v/>
      </c>
      <c r="J12" s="34">
        <f>IF(OR(H12="",G12="",G12=0,H12=0),"",H12/G12-1)</f>
        <v/>
      </c>
      <c r="K12" s="35">
        <f>IF(OR(G12="",C12="",C12=0),"",G12/C12)</f>
        <v/>
      </c>
      <c r="L12" s="35">
        <f>IF(OR(H12="",D12="",D12=0),"",H12/D12)</f>
        <v/>
      </c>
      <c r="M12" s="36">
        <f>IF(OR(L12="",K12=""),"",(L12-K12)*100)</f>
        <v/>
      </c>
      <c r="N12" s="33">
        <f>SUMIFS(Totals!$O$5:$O$49,Totals!$A$5:$A$49,"All landing pages",Totals!$B$5:$B$49,"Direct",Totals!$C$5:$C$49,"Total")</f>
        <v/>
      </c>
      <c r="O12" s="33">
        <f>SUMIFS(Totals!$P$5:$P$49,Totals!$A$5:$A$49,"All landing pages",Totals!$B$5:$B$49,"Direct",Totals!$C$5:$C$49,"Total")</f>
        <v/>
      </c>
      <c r="P12" s="67">
        <f>IF(OR(O12="",N12="",N12=0,O12=0),"",O12-N12)</f>
        <v/>
      </c>
      <c r="Q12" s="34">
        <f>IF(OR(O12="",N12="",N12=0,O12=0),"",O12/N12-1)</f>
        <v/>
      </c>
      <c r="R12" s="35">
        <f>IF(OR(N12="",C12="",C12=0),"",N12/C12)</f>
        <v/>
      </c>
      <c r="S12" s="35">
        <f>IF(OR(O12="",D12="",D12=0),"",O12/D12)</f>
        <v/>
      </c>
      <c r="T12" s="36">
        <f>IF(OR(S12="",R12=""),"",(S12-R12)*100)</f>
        <v/>
      </c>
      <c r="U12" s="33">
        <f>SUMIFS(Totals!$V$5:$V$49,Totals!$A$5:$A$49,"All landing pages",Totals!$B$5:$B$49,"Direct",Totals!$C$5:$C$49,"Total")</f>
        <v/>
      </c>
      <c r="V12" s="33">
        <f>SUMIFS(Totals!$W$5:$W$49,Totals!$A$5:$A$49,"All landing pages",Totals!$B$5:$B$49,"Direct",Totals!$C$5:$C$49,"Total")</f>
        <v/>
      </c>
      <c r="W12" s="67">
        <f>IF(OR(V12="",U12="",U12=0,V12=0),"",V12-U12)</f>
        <v/>
      </c>
      <c r="X12" s="34">
        <f>IF(OR(V12="",U12="",U12=0,V12=0),"",V12/U12-1)</f>
        <v/>
      </c>
      <c r="Y12" s="35">
        <f>IF(OR(U12="",N12="",N12=0),"",U12/N12)</f>
        <v/>
      </c>
      <c r="Z12" s="35">
        <f>IF(OR(V12="",O12="",O12=0),"",V12/O12)</f>
        <v/>
      </c>
      <c r="AA12" s="36">
        <f>IF(OR(Z12="",Y12=""),"",(Z12-Y12)*100)</f>
        <v/>
      </c>
      <c r="AB12" s="33">
        <f>SUMIFS(Totals!$AC$5:$AC$49,Totals!$A$5:$A$49,"All landing pages",Totals!$B$5:$B$49,"Direct",Totals!$C$5:$C$49,"Total")</f>
        <v/>
      </c>
      <c r="AC12" s="33">
        <f>SUMIFS(Totals!$AD$5:$AD$49,Totals!$A$5:$A$49,"All landing pages",Totals!$B$5:$B$49,"Direct",Totals!$C$5:$C$49,"Total")</f>
        <v/>
      </c>
      <c r="AD12" s="67">
        <f>IF(OR(AC12="",AB12="",AB12=0,AC12=0),"",AC12-AB12)</f>
        <v/>
      </c>
      <c r="AE12" s="34">
        <f>IF(OR(AC12="",AB12="",AB12=0,AC12=0),"",AC12/AB12-1)</f>
        <v/>
      </c>
      <c r="AF12" s="35">
        <f>IF(OR(AB12="",U12="",U12=0),"",AB12/U12)</f>
        <v/>
      </c>
      <c r="AG12" s="35">
        <f>IF(OR(AC12="",V12="",V12=0),"",AC12/V12)</f>
        <v/>
      </c>
      <c r="AH12" s="36">
        <f>IF(OR(AG12="",AF12=""),"",(AG12-AF12)*100)</f>
        <v/>
      </c>
      <c r="AI12" s="33">
        <f>SUMIFS(Totals!$AJ$5:$AJ$49,Totals!$A$5:$A$49,"All landing pages",Totals!$B$5:$B$49,"Direct",Totals!$C$5:$C$49,"Total")</f>
        <v/>
      </c>
      <c r="AJ12" s="33">
        <f>SUMIFS(Totals!$AK$5:$AK$49,Totals!$A$5:$A$49,"All landing pages",Totals!$B$5:$B$49,"Direct",Totals!$C$5:$C$49,"Total")</f>
        <v/>
      </c>
      <c r="AK12" s="67">
        <f>IF(OR(AJ12="",AI12="",AI12=0,AJ12=0),"",AJ12-AI12)</f>
        <v/>
      </c>
      <c r="AL12" s="34">
        <f>IF(OR(AJ12="",AI12="",AI12=0,AJ12=0),"",AJ12/AI12-1)</f>
        <v/>
      </c>
      <c r="AM12" s="35">
        <f>IF(OR(AI12="",AB12="",AB12=0),"",AI12/AB12)</f>
        <v/>
      </c>
      <c r="AN12" s="35">
        <f>IF(OR(AJ12="",AC12="",AC12=0),"",AJ12/AC12)</f>
        <v/>
      </c>
      <c r="AO12" s="36">
        <f>IF(OR(AN12="",AM12=""),"",(AN12-AM12)*100)</f>
        <v/>
      </c>
      <c r="AP12" s="33">
        <f>SUMIFS(Totals!$AQ$5:$AQ$49,Totals!$A$5:$A$49,"All landing pages",Totals!$B$5:$B$49,"Direct",Totals!$C$5:$C$49,"Total")</f>
        <v/>
      </c>
      <c r="AQ12" s="33">
        <f>SUMIFS(Totals!$AR$5:$AR$49,Totals!$A$5:$A$49,"All landing pages",Totals!$B$5:$B$49,"Direct",Totals!$C$5:$C$49,"Total")</f>
        <v/>
      </c>
      <c r="AR12" s="67">
        <f>IF(OR(AQ12="",AP12="",AP12=0,AQ12=0),"",AQ12-AP12)</f>
        <v/>
      </c>
      <c r="AS12" s="34">
        <f>IF(OR(AQ12="",AP12="",AP12=0,AQ12=0),"",AQ12/AP12-1)</f>
        <v/>
      </c>
      <c r="AT12" s="35">
        <f>IF(OR(AP12="",AI12="",AI12=0),"",AP12/AI12)</f>
        <v/>
      </c>
      <c r="AU12" s="35">
        <f>IF(OR(AQ12="",AJ12="",AJ12=0),"",AQ12/AJ12)</f>
        <v/>
      </c>
      <c r="AV12" s="36">
        <f>IF(OR(AU12="",AT12=""),"",(AU12-AT12)*100)</f>
        <v/>
      </c>
      <c r="AW12" s="37">
        <f>IF(OR(AP12="",N12="",N12=0),"",AP12/N12)</f>
        <v/>
      </c>
      <c r="AX12" s="37">
        <f>IF(OR(AQ12="",O12="",O12=0),"",AQ12/O12)</f>
        <v/>
      </c>
      <c r="AY12" s="36">
        <f>IF(OR(AX12="",AW12=""),"",(AX12-AW12)*100)</f>
        <v/>
      </c>
      <c r="AZ12" s="37">
        <f>IF(OR(AP12="",C12="",C12=0),"",AP12/C12)</f>
        <v/>
      </c>
      <c r="BA12" s="37">
        <f>IF(OR(AQ12="",D12="",D12=0),"",AQ12/D12)</f>
        <v/>
      </c>
      <c r="BB12" s="36">
        <f>IF(OR(BA12="",AZ12=""),"",(BA12-AZ12)*100)</f>
        <v/>
      </c>
    </row>
    <row r="13">
      <c r="A13" s="40" t="inlineStr">
        <is>
          <t>Direct</t>
        </is>
      </c>
      <c r="B13" s="40" t="inlineStr">
        <is>
          <t>Mobile</t>
        </is>
      </c>
      <c r="C13" s="41">
        <f>SUMIFS(Totals!$D$5:$D$49,Totals!$A$5:$A$49,"All landing pages",Totals!$B$5:$B$49,"Direct",Totals!$C$5:$C$49,"Mobile")</f>
        <v/>
      </c>
      <c r="D13" s="41">
        <f>SUMIFS(Totals!$E$5:$E$49,Totals!$A$5:$A$49,"All landing pages",Totals!$B$5:$B$49,"Direct",Totals!$C$5:$C$49,"Mobile")</f>
        <v/>
      </c>
      <c r="E13" s="69">
        <f>IF(OR(D13="",C13="",C13=0,D13=0),"",D13-C13)</f>
        <v/>
      </c>
      <c r="F13" s="42">
        <f>IF(OR(D13="",C13="",C13=0,D13=0),"",D13/C13-1)</f>
        <v/>
      </c>
      <c r="G13" s="41">
        <f>SUMIFS(Totals!$H$5:$H$49,Totals!$A$5:$A$49,"All landing pages",Totals!$B$5:$B$49,"Direct",Totals!$C$5:$C$49,"Mobile")</f>
        <v/>
      </c>
      <c r="H13" s="41">
        <f>SUMIFS(Totals!$I$5:$I$49,Totals!$A$5:$A$49,"All landing pages",Totals!$B$5:$B$49,"Direct",Totals!$C$5:$C$49,"Mobile")</f>
        <v/>
      </c>
      <c r="I13" s="69">
        <f>IF(OR(H13="",G13="",G13=0,H13=0),"",H13-G13)</f>
        <v/>
      </c>
      <c r="J13" s="42">
        <f>IF(OR(H13="",G13="",G13=0,H13=0),"",H13/G13-1)</f>
        <v/>
      </c>
      <c r="K13" s="43">
        <f>IF(OR(G13="",C13="",C13=0),"",G13/C13)</f>
        <v/>
      </c>
      <c r="L13" s="43">
        <f>IF(OR(H13="",D13="",D13=0),"",H13/D13)</f>
        <v/>
      </c>
      <c r="M13" s="44">
        <f>IF(OR(L13="",K13=""),"",(L13-K13)*100)</f>
        <v/>
      </c>
      <c r="N13" s="41">
        <f>SUMIFS(Totals!$O$5:$O$49,Totals!$A$5:$A$49,"All landing pages",Totals!$B$5:$B$49,"Direct",Totals!$C$5:$C$49,"Mobile")</f>
        <v/>
      </c>
      <c r="O13" s="41">
        <f>SUMIFS(Totals!$P$5:$P$49,Totals!$A$5:$A$49,"All landing pages",Totals!$B$5:$B$49,"Direct",Totals!$C$5:$C$49,"Mobile")</f>
        <v/>
      </c>
      <c r="P13" s="69">
        <f>IF(OR(O13="",N13="",N13=0,O13=0),"",O13-N13)</f>
        <v/>
      </c>
      <c r="Q13" s="42">
        <f>IF(OR(O13="",N13="",N13=0,O13=0),"",O13/N13-1)</f>
        <v/>
      </c>
      <c r="R13" s="43">
        <f>IF(OR(N13="",C13="",C13=0),"",N13/C13)</f>
        <v/>
      </c>
      <c r="S13" s="43">
        <f>IF(OR(O13="",D13="",D13=0),"",O13/D13)</f>
        <v/>
      </c>
      <c r="T13" s="44">
        <f>IF(OR(S13="",R13=""),"",(S13-R13)*100)</f>
        <v/>
      </c>
      <c r="U13" s="41">
        <f>SUMIFS(Totals!$V$5:$V$49,Totals!$A$5:$A$49,"All landing pages",Totals!$B$5:$B$49,"Direct",Totals!$C$5:$C$49,"Mobile")</f>
        <v/>
      </c>
      <c r="V13" s="41">
        <f>SUMIFS(Totals!$W$5:$W$49,Totals!$A$5:$A$49,"All landing pages",Totals!$B$5:$B$49,"Direct",Totals!$C$5:$C$49,"Mobile")</f>
        <v/>
      </c>
      <c r="W13" s="69">
        <f>IF(OR(V13="",U13="",U13=0,V13=0),"",V13-U13)</f>
        <v/>
      </c>
      <c r="X13" s="42">
        <f>IF(OR(V13="",U13="",U13=0,V13=0),"",V13/U13-1)</f>
        <v/>
      </c>
      <c r="Y13" s="43">
        <f>IF(OR(U13="",N13="",N13=0),"",U13/N13)</f>
        <v/>
      </c>
      <c r="Z13" s="43">
        <f>IF(OR(V13="",O13="",O13=0),"",V13/O13)</f>
        <v/>
      </c>
      <c r="AA13" s="44">
        <f>IF(OR(Z13="",Y13=""),"",(Z13-Y13)*100)</f>
        <v/>
      </c>
      <c r="AB13" s="41">
        <f>SUMIFS(Totals!$AC$5:$AC$49,Totals!$A$5:$A$49,"All landing pages",Totals!$B$5:$B$49,"Direct",Totals!$C$5:$C$49,"Mobile")</f>
        <v/>
      </c>
      <c r="AC13" s="41">
        <f>SUMIFS(Totals!$AD$5:$AD$49,Totals!$A$5:$A$49,"All landing pages",Totals!$B$5:$B$49,"Direct",Totals!$C$5:$C$49,"Mobile")</f>
        <v/>
      </c>
      <c r="AD13" s="69">
        <f>IF(OR(AC13="",AB13="",AB13=0,AC13=0),"",AC13-AB13)</f>
        <v/>
      </c>
      <c r="AE13" s="42">
        <f>IF(OR(AC13="",AB13="",AB13=0,AC13=0),"",AC13/AB13-1)</f>
        <v/>
      </c>
      <c r="AF13" s="43">
        <f>IF(OR(AB13="",U13="",U13=0),"",AB13/U13)</f>
        <v/>
      </c>
      <c r="AG13" s="43">
        <f>IF(OR(AC13="",V13="",V13=0),"",AC13/V13)</f>
        <v/>
      </c>
      <c r="AH13" s="44">
        <f>IF(OR(AG13="",AF13=""),"",(AG13-AF13)*100)</f>
        <v/>
      </c>
      <c r="AI13" s="41">
        <f>SUMIFS(Totals!$AJ$5:$AJ$49,Totals!$A$5:$A$49,"All landing pages",Totals!$B$5:$B$49,"Direct",Totals!$C$5:$C$49,"Mobile")</f>
        <v/>
      </c>
      <c r="AJ13" s="41">
        <f>SUMIFS(Totals!$AK$5:$AK$49,Totals!$A$5:$A$49,"All landing pages",Totals!$B$5:$B$49,"Direct",Totals!$C$5:$C$49,"Mobile")</f>
        <v/>
      </c>
      <c r="AK13" s="69">
        <f>IF(OR(AJ13="",AI13="",AI13=0,AJ13=0),"",AJ13-AI13)</f>
        <v/>
      </c>
      <c r="AL13" s="42">
        <f>IF(OR(AJ13="",AI13="",AI13=0,AJ13=0),"",AJ13/AI13-1)</f>
        <v/>
      </c>
      <c r="AM13" s="43">
        <f>IF(OR(AI13="",AB13="",AB13=0),"",AI13/AB13)</f>
        <v/>
      </c>
      <c r="AN13" s="43">
        <f>IF(OR(AJ13="",AC13="",AC13=0),"",AJ13/AC13)</f>
        <v/>
      </c>
      <c r="AO13" s="44">
        <f>IF(OR(AN13="",AM13=""),"",(AN13-AM13)*100)</f>
        <v/>
      </c>
      <c r="AP13" s="41">
        <f>SUMIFS(Totals!$AQ$5:$AQ$49,Totals!$A$5:$A$49,"All landing pages",Totals!$B$5:$B$49,"Direct",Totals!$C$5:$C$49,"Mobile")</f>
        <v/>
      </c>
      <c r="AQ13" s="41">
        <f>SUMIFS(Totals!$AR$5:$AR$49,Totals!$A$5:$A$49,"All landing pages",Totals!$B$5:$B$49,"Direct",Totals!$C$5:$C$49,"Mobile")</f>
        <v/>
      </c>
      <c r="AR13" s="69">
        <f>IF(OR(AQ13="",AP13="",AP13=0,AQ13=0),"",AQ13-AP13)</f>
        <v/>
      </c>
      <c r="AS13" s="42">
        <f>IF(OR(AQ13="",AP13="",AP13=0,AQ13=0),"",AQ13/AP13-1)</f>
        <v/>
      </c>
      <c r="AT13" s="43">
        <f>IF(OR(AP13="",AI13="",AI13=0),"",AP13/AI13)</f>
        <v/>
      </c>
      <c r="AU13" s="43">
        <f>IF(OR(AQ13="",AJ13="",AJ13=0),"",AQ13/AJ13)</f>
        <v/>
      </c>
      <c r="AV13" s="44">
        <f>IF(OR(AU13="",AT13=""),"",(AU13-AT13)*100)</f>
        <v/>
      </c>
      <c r="AW13" s="45">
        <f>IF(OR(AP13="",N13="",N13=0),"",AP13/N13)</f>
        <v/>
      </c>
      <c r="AX13" s="45">
        <f>IF(OR(AQ13="",O13="",O13=0),"",AQ13/O13)</f>
        <v/>
      </c>
      <c r="AY13" s="44">
        <f>IF(OR(AX13="",AW13=""),"",(AX13-AW13)*100)</f>
        <v/>
      </c>
      <c r="AZ13" s="45">
        <f>IF(OR(AP13="",C13="",C13=0),"",AP13/C13)</f>
        <v/>
      </c>
      <c r="BA13" s="45">
        <f>IF(OR(AQ13="",D13="",D13=0),"",AQ13/D13)</f>
        <v/>
      </c>
      <c r="BB13" s="44">
        <f>IF(OR(BA13="",AZ13=""),"",(BA13-AZ13)*100)</f>
        <v/>
      </c>
    </row>
    <row r="14">
      <c r="A14" s="40" t="inlineStr">
        <is>
          <t>Direct</t>
        </is>
      </c>
      <c r="B14" s="40" t="inlineStr">
        <is>
          <t>Desktop</t>
        </is>
      </c>
      <c r="C14" s="41">
        <f>SUMIFS(Totals!$D$5:$D$49,Totals!$A$5:$A$49,"All landing pages",Totals!$B$5:$B$49,"Direct",Totals!$C$5:$C$49,"Desktop")</f>
        <v/>
      </c>
      <c r="D14" s="41">
        <f>SUMIFS(Totals!$E$5:$E$49,Totals!$A$5:$A$49,"All landing pages",Totals!$B$5:$B$49,"Direct",Totals!$C$5:$C$49,"Desktop")</f>
        <v/>
      </c>
      <c r="E14" s="69">
        <f>IF(OR(D14="",C14="",C14=0,D14=0),"",D14-C14)</f>
        <v/>
      </c>
      <c r="F14" s="42">
        <f>IF(OR(D14="",C14="",C14=0,D14=0),"",D14/C14-1)</f>
        <v/>
      </c>
      <c r="G14" s="41">
        <f>SUMIFS(Totals!$H$5:$H$49,Totals!$A$5:$A$49,"All landing pages",Totals!$B$5:$B$49,"Direct",Totals!$C$5:$C$49,"Desktop")</f>
        <v/>
      </c>
      <c r="H14" s="41">
        <f>SUMIFS(Totals!$I$5:$I$49,Totals!$A$5:$A$49,"All landing pages",Totals!$B$5:$B$49,"Direct",Totals!$C$5:$C$49,"Desktop")</f>
        <v/>
      </c>
      <c r="I14" s="69">
        <f>IF(OR(H14="",G14="",G14=0,H14=0),"",H14-G14)</f>
        <v/>
      </c>
      <c r="J14" s="42">
        <f>IF(OR(H14="",G14="",G14=0,H14=0),"",H14/G14-1)</f>
        <v/>
      </c>
      <c r="K14" s="43">
        <f>IF(OR(G14="",C14="",C14=0),"",G14/C14)</f>
        <v/>
      </c>
      <c r="L14" s="43">
        <f>IF(OR(H14="",D14="",D14=0),"",H14/D14)</f>
        <v/>
      </c>
      <c r="M14" s="44">
        <f>IF(OR(L14="",K14=""),"",(L14-K14)*100)</f>
        <v/>
      </c>
      <c r="N14" s="41">
        <f>SUMIFS(Totals!$O$5:$O$49,Totals!$A$5:$A$49,"All landing pages",Totals!$B$5:$B$49,"Direct",Totals!$C$5:$C$49,"Desktop")</f>
        <v/>
      </c>
      <c r="O14" s="41">
        <f>SUMIFS(Totals!$P$5:$P$49,Totals!$A$5:$A$49,"All landing pages",Totals!$B$5:$B$49,"Direct",Totals!$C$5:$C$49,"Desktop")</f>
        <v/>
      </c>
      <c r="P14" s="69">
        <f>IF(OR(O14="",N14="",N14=0,O14=0),"",O14-N14)</f>
        <v/>
      </c>
      <c r="Q14" s="42">
        <f>IF(OR(O14="",N14="",N14=0,O14=0),"",O14/N14-1)</f>
        <v/>
      </c>
      <c r="R14" s="43">
        <f>IF(OR(N14="",C14="",C14=0),"",N14/C14)</f>
        <v/>
      </c>
      <c r="S14" s="43">
        <f>IF(OR(O14="",D14="",D14=0),"",O14/D14)</f>
        <v/>
      </c>
      <c r="T14" s="44">
        <f>IF(OR(S14="",R14=""),"",(S14-R14)*100)</f>
        <v/>
      </c>
      <c r="U14" s="41">
        <f>SUMIFS(Totals!$V$5:$V$49,Totals!$A$5:$A$49,"All landing pages",Totals!$B$5:$B$49,"Direct",Totals!$C$5:$C$49,"Desktop")</f>
        <v/>
      </c>
      <c r="V14" s="41">
        <f>SUMIFS(Totals!$W$5:$W$49,Totals!$A$5:$A$49,"All landing pages",Totals!$B$5:$B$49,"Direct",Totals!$C$5:$C$49,"Desktop")</f>
        <v/>
      </c>
      <c r="W14" s="69">
        <f>IF(OR(V14="",U14="",U14=0,V14=0),"",V14-U14)</f>
        <v/>
      </c>
      <c r="X14" s="42">
        <f>IF(OR(V14="",U14="",U14=0,V14=0),"",V14/U14-1)</f>
        <v/>
      </c>
      <c r="Y14" s="43">
        <f>IF(OR(U14="",N14="",N14=0),"",U14/N14)</f>
        <v/>
      </c>
      <c r="Z14" s="43">
        <f>IF(OR(V14="",O14="",O14=0),"",V14/O14)</f>
        <v/>
      </c>
      <c r="AA14" s="44">
        <f>IF(OR(Z14="",Y14=""),"",(Z14-Y14)*100)</f>
        <v/>
      </c>
      <c r="AB14" s="41">
        <f>SUMIFS(Totals!$AC$5:$AC$49,Totals!$A$5:$A$49,"All landing pages",Totals!$B$5:$B$49,"Direct",Totals!$C$5:$C$49,"Desktop")</f>
        <v/>
      </c>
      <c r="AC14" s="41">
        <f>SUMIFS(Totals!$AD$5:$AD$49,Totals!$A$5:$A$49,"All landing pages",Totals!$B$5:$B$49,"Direct",Totals!$C$5:$C$49,"Desktop")</f>
        <v/>
      </c>
      <c r="AD14" s="69">
        <f>IF(OR(AC14="",AB14="",AB14=0,AC14=0),"",AC14-AB14)</f>
        <v/>
      </c>
      <c r="AE14" s="42">
        <f>IF(OR(AC14="",AB14="",AB14=0,AC14=0),"",AC14/AB14-1)</f>
        <v/>
      </c>
      <c r="AF14" s="43">
        <f>IF(OR(AB14="",U14="",U14=0),"",AB14/U14)</f>
        <v/>
      </c>
      <c r="AG14" s="43">
        <f>IF(OR(AC14="",V14="",V14=0),"",AC14/V14)</f>
        <v/>
      </c>
      <c r="AH14" s="44">
        <f>IF(OR(AG14="",AF14=""),"",(AG14-AF14)*100)</f>
        <v/>
      </c>
      <c r="AI14" s="41">
        <f>SUMIFS(Totals!$AJ$5:$AJ$49,Totals!$A$5:$A$49,"All landing pages",Totals!$B$5:$B$49,"Direct",Totals!$C$5:$C$49,"Desktop")</f>
        <v/>
      </c>
      <c r="AJ14" s="41">
        <f>SUMIFS(Totals!$AK$5:$AK$49,Totals!$A$5:$A$49,"All landing pages",Totals!$B$5:$B$49,"Direct",Totals!$C$5:$C$49,"Desktop")</f>
        <v/>
      </c>
      <c r="AK14" s="69">
        <f>IF(OR(AJ14="",AI14="",AI14=0,AJ14=0),"",AJ14-AI14)</f>
        <v/>
      </c>
      <c r="AL14" s="42">
        <f>IF(OR(AJ14="",AI14="",AI14=0,AJ14=0),"",AJ14/AI14-1)</f>
        <v/>
      </c>
      <c r="AM14" s="43">
        <f>IF(OR(AI14="",AB14="",AB14=0),"",AI14/AB14)</f>
        <v/>
      </c>
      <c r="AN14" s="43">
        <f>IF(OR(AJ14="",AC14="",AC14=0),"",AJ14/AC14)</f>
        <v/>
      </c>
      <c r="AO14" s="44">
        <f>IF(OR(AN14="",AM14=""),"",(AN14-AM14)*100)</f>
        <v/>
      </c>
      <c r="AP14" s="41">
        <f>SUMIFS(Totals!$AQ$5:$AQ$49,Totals!$A$5:$A$49,"All landing pages",Totals!$B$5:$B$49,"Direct",Totals!$C$5:$C$49,"Desktop")</f>
        <v/>
      </c>
      <c r="AQ14" s="41">
        <f>SUMIFS(Totals!$AR$5:$AR$49,Totals!$A$5:$A$49,"All landing pages",Totals!$B$5:$B$49,"Direct",Totals!$C$5:$C$49,"Desktop")</f>
        <v/>
      </c>
      <c r="AR14" s="69">
        <f>IF(OR(AQ14="",AP14="",AP14=0,AQ14=0),"",AQ14-AP14)</f>
        <v/>
      </c>
      <c r="AS14" s="42">
        <f>IF(OR(AQ14="",AP14="",AP14=0,AQ14=0),"",AQ14/AP14-1)</f>
        <v/>
      </c>
      <c r="AT14" s="43">
        <f>IF(OR(AP14="",AI14="",AI14=0),"",AP14/AI14)</f>
        <v/>
      </c>
      <c r="AU14" s="43">
        <f>IF(OR(AQ14="",AJ14="",AJ14=0),"",AQ14/AJ14)</f>
        <v/>
      </c>
      <c r="AV14" s="44">
        <f>IF(OR(AU14="",AT14=""),"",(AU14-AT14)*100)</f>
        <v/>
      </c>
      <c r="AW14" s="45">
        <f>IF(OR(AP14="",N14="",N14=0),"",AP14/N14)</f>
        <v/>
      </c>
      <c r="AX14" s="45">
        <f>IF(OR(AQ14="",O14="",O14=0),"",AQ14/O14)</f>
        <v/>
      </c>
      <c r="AY14" s="44">
        <f>IF(OR(AX14="",AW14=""),"",(AX14-AW14)*100)</f>
        <v/>
      </c>
      <c r="AZ14" s="45">
        <f>IF(OR(AP14="",C14="",C14=0),"",AP14/C14)</f>
        <v/>
      </c>
      <c r="BA14" s="45">
        <f>IF(OR(AQ14="",D14="",D14=0),"",AQ14/D14)</f>
        <v/>
      </c>
      <c r="BB14" s="44">
        <f>IF(OR(BA14="",AZ14=""),"",(BA14-AZ14)*100)</f>
        <v/>
      </c>
    </row>
    <row r="15">
      <c r="A15" s="32" t="inlineStr">
        <is>
          <t>Total (3 channels)</t>
        </is>
      </c>
      <c r="B15" s="32" t="inlineStr">
        <is>
          <t>Total</t>
        </is>
      </c>
      <c r="C15" s="33">
        <f>SUM(C6,C9,C12)</f>
        <v/>
      </c>
      <c r="D15" s="33">
        <f>SUM(D6,D9,D12)</f>
        <v/>
      </c>
      <c r="E15" s="67">
        <f>IF(OR(D15="",C15="",C15=0,D15=0),"",D15-C15)</f>
        <v/>
      </c>
      <c r="F15" s="34">
        <f>IF(OR(D15="",C15="",C15=0,D15=0),"",D15/C15-1)</f>
        <v/>
      </c>
      <c r="G15" s="33">
        <f>SUM(G6,G9,G12)</f>
        <v/>
      </c>
      <c r="H15" s="33">
        <f>SUM(H6,H9,H12)</f>
        <v/>
      </c>
      <c r="I15" s="67">
        <f>IF(OR(H15="",G15="",G15=0,H15=0),"",H15-G15)</f>
        <v/>
      </c>
      <c r="J15" s="34">
        <f>IF(OR(H15="",G15="",G15=0,H15=0),"",H15/G15-1)</f>
        <v/>
      </c>
      <c r="K15" s="35">
        <f>IF(OR(G15="",C15="",C15=0),"",G15/C15)</f>
        <v/>
      </c>
      <c r="L15" s="35">
        <f>IF(OR(H15="",D15="",D15=0),"",H15/D15)</f>
        <v/>
      </c>
      <c r="M15" s="36">
        <f>IF(OR(L15="",K15=""),"",(L15-K15)*100)</f>
        <v/>
      </c>
      <c r="N15" s="33">
        <f>SUM(N6,N9,N12)</f>
        <v/>
      </c>
      <c r="O15" s="33">
        <f>SUM(O6,O9,O12)</f>
        <v/>
      </c>
      <c r="P15" s="67">
        <f>IF(OR(O15="",N15="",N15=0,O15=0),"",O15-N15)</f>
        <v/>
      </c>
      <c r="Q15" s="34">
        <f>IF(OR(O15="",N15="",N15=0,O15=0),"",O15/N15-1)</f>
        <v/>
      </c>
      <c r="R15" s="35">
        <f>IF(OR(N15="",C15="",C15=0),"",N15/C15)</f>
        <v/>
      </c>
      <c r="S15" s="35">
        <f>IF(OR(O15="",D15="",D15=0),"",O15/D15)</f>
        <v/>
      </c>
      <c r="T15" s="36">
        <f>IF(OR(S15="",R15=""),"",(S15-R15)*100)</f>
        <v/>
      </c>
      <c r="U15" s="33">
        <f>SUM(U6,U9,U12)</f>
        <v/>
      </c>
      <c r="V15" s="33">
        <f>SUM(V6,V9,V12)</f>
        <v/>
      </c>
      <c r="W15" s="67">
        <f>IF(OR(V15="",U15="",U15=0,V15=0),"",V15-U15)</f>
        <v/>
      </c>
      <c r="X15" s="34">
        <f>IF(OR(V15="",U15="",U15=0,V15=0),"",V15/U15-1)</f>
        <v/>
      </c>
      <c r="Y15" s="35">
        <f>IF(OR(U15="",N15="",N15=0),"",U15/N15)</f>
        <v/>
      </c>
      <c r="Z15" s="35">
        <f>IF(OR(V15="",O15="",O15=0),"",V15/O15)</f>
        <v/>
      </c>
      <c r="AA15" s="36">
        <f>IF(OR(Z15="",Y15=""),"",(Z15-Y15)*100)</f>
        <v/>
      </c>
      <c r="AB15" s="33">
        <f>SUM(AB6,AB9,AB12)</f>
        <v/>
      </c>
      <c r="AC15" s="33">
        <f>SUM(AC6,AC9,AC12)</f>
        <v/>
      </c>
      <c r="AD15" s="67">
        <f>IF(OR(AC15="",AB15="",AB15=0,AC15=0),"",AC15-AB15)</f>
        <v/>
      </c>
      <c r="AE15" s="34">
        <f>IF(OR(AC15="",AB15="",AB15=0,AC15=0),"",AC15/AB15-1)</f>
        <v/>
      </c>
      <c r="AF15" s="35">
        <f>IF(OR(AB15="",U15="",U15=0),"",AB15/U15)</f>
        <v/>
      </c>
      <c r="AG15" s="35">
        <f>IF(OR(AC15="",V15="",V15=0),"",AC15/V15)</f>
        <v/>
      </c>
      <c r="AH15" s="36">
        <f>IF(OR(AG15="",AF15=""),"",(AG15-AF15)*100)</f>
        <v/>
      </c>
      <c r="AI15" s="33">
        <f>SUM(AI6,AI9,AI12)</f>
        <v/>
      </c>
      <c r="AJ15" s="33">
        <f>SUM(AJ6,AJ9,AJ12)</f>
        <v/>
      </c>
      <c r="AK15" s="67">
        <f>IF(OR(AJ15="",AI15="",AI15=0,AJ15=0),"",AJ15-AI15)</f>
        <v/>
      </c>
      <c r="AL15" s="34">
        <f>IF(OR(AJ15="",AI15="",AI15=0,AJ15=0),"",AJ15/AI15-1)</f>
        <v/>
      </c>
      <c r="AM15" s="35">
        <f>IF(OR(AI15="",AB15="",AB15=0),"",AI15/AB15)</f>
        <v/>
      </c>
      <c r="AN15" s="35">
        <f>IF(OR(AJ15="",AC15="",AC15=0),"",AJ15/AC15)</f>
        <v/>
      </c>
      <c r="AO15" s="36">
        <f>IF(OR(AN15="",AM15=""),"",(AN15-AM15)*100)</f>
        <v/>
      </c>
      <c r="AP15" s="33">
        <f>SUM(AP6,AP9,AP12)</f>
        <v/>
      </c>
      <c r="AQ15" s="33">
        <f>SUM(AQ6,AQ9,AQ12)</f>
        <v/>
      </c>
      <c r="AR15" s="67">
        <f>IF(OR(AQ15="",AP15="",AP15=0,AQ15=0),"",AQ15-AP15)</f>
        <v/>
      </c>
      <c r="AS15" s="34">
        <f>IF(OR(AQ15="",AP15="",AP15=0,AQ15=0),"",AQ15/AP15-1)</f>
        <v/>
      </c>
      <c r="AT15" s="35">
        <f>IF(OR(AP15="",AI15="",AI15=0),"",AP15/AI15)</f>
        <v/>
      </c>
      <c r="AU15" s="35">
        <f>IF(OR(AQ15="",AJ15="",AJ15=0),"",AQ15/AJ15)</f>
        <v/>
      </c>
      <c r="AV15" s="36">
        <f>IF(OR(AU15="",AT15=""),"",(AU15-AT15)*100)</f>
        <v/>
      </c>
      <c r="AW15" s="37">
        <f>IF(OR(AP15="",N15="",N15=0),"",AP15/N15)</f>
        <v/>
      </c>
      <c r="AX15" s="37">
        <f>IF(OR(AQ15="",O15="",O15=0),"",AQ15/O15)</f>
        <v/>
      </c>
      <c r="AY15" s="36">
        <f>IF(OR(AX15="",AW15=""),"",(AX15-AW15)*100)</f>
        <v/>
      </c>
      <c r="AZ15" s="37">
        <f>IF(OR(AP15="",C15="",C15=0),"",AP15/C15)</f>
        <v/>
      </c>
      <c r="BA15" s="37">
        <f>IF(OR(AQ15="",D15="",D15=0),"",AQ15/D15)</f>
        <v/>
      </c>
      <c r="BB15" s="36">
        <f>IF(OR(BA15="",AZ15=""),"",(BA15-AZ15)*100)</f>
        <v/>
      </c>
    </row>
    <row r="16">
      <c r="A16" s="32" t="inlineStr">
        <is>
          <t>Total (3 channels)</t>
        </is>
      </c>
      <c r="B16" s="32" t="inlineStr">
        <is>
          <t>Mobile</t>
        </is>
      </c>
      <c r="C16" s="33">
        <f>SUM(C7,C10,C13)</f>
        <v/>
      </c>
      <c r="D16" s="33">
        <f>SUM(D7,D10,D13)</f>
        <v/>
      </c>
      <c r="E16" s="67">
        <f>IF(OR(D16="",C16="",C16=0,D16=0),"",D16-C16)</f>
        <v/>
      </c>
      <c r="F16" s="34">
        <f>IF(OR(D16="",C16="",C16=0,D16=0),"",D16/C16-1)</f>
        <v/>
      </c>
      <c r="G16" s="33">
        <f>SUM(G7,G10,G13)</f>
        <v/>
      </c>
      <c r="H16" s="33">
        <f>SUM(H7,H10,H13)</f>
        <v/>
      </c>
      <c r="I16" s="67">
        <f>IF(OR(H16="",G16="",G16=0,H16=0),"",H16-G16)</f>
        <v/>
      </c>
      <c r="J16" s="34">
        <f>IF(OR(H16="",G16="",G16=0,H16=0),"",H16/G16-1)</f>
        <v/>
      </c>
      <c r="K16" s="35">
        <f>IF(OR(G16="",C16="",C16=0),"",G16/C16)</f>
        <v/>
      </c>
      <c r="L16" s="35">
        <f>IF(OR(H16="",D16="",D16=0),"",H16/D16)</f>
        <v/>
      </c>
      <c r="M16" s="36">
        <f>IF(OR(L16="",K16=""),"",(L16-K16)*100)</f>
        <v/>
      </c>
      <c r="N16" s="33">
        <f>SUM(N7,N10,N13)</f>
        <v/>
      </c>
      <c r="O16" s="33">
        <f>SUM(O7,O10,O13)</f>
        <v/>
      </c>
      <c r="P16" s="67">
        <f>IF(OR(O16="",N16="",N16=0,O16=0),"",O16-N16)</f>
        <v/>
      </c>
      <c r="Q16" s="34">
        <f>IF(OR(O16="",N16="",N16=0,O16=0),"",O16/N16-1)</f>
        <v/>
      </c>
      <c r="R16" s="35">
        <f>IF(OR(N16="",C16="",C16=0),"",N16/C16)</f>
        <v/>
      </c>
      <c r="S16" s="35">
        <f>IF(OR(O16="",D16="",D16=0),"",O16/D16)</f>
        <v/>
      </c>
      <c r="T16" s="36">
        <f>IF(OR(S16="",R16=""),"",(S16-R16)*100)</f>
        <v/>
      </c>
      <c r="U16" s="33">
        <f>SUM(U7,U10,U13)</f>
        <v/>
      </c>
      <c r="V16" s="33">
        <f>SUM(V7,V10,V13)</f>
        <v/>
      </c>
      <c r="W16" s="67">
        <f>IF(OR(V16="",U16="",U16=0,V16=0),"",V16-U16)</f>
        <v/>
      </c>
      <c r="X16" s="34">
        <f>IF(OR(V16="",U16="",U16=0,V16=0),"",V16/U16-1)</f>
        <v/>
      </c>
      <c r="Y16" s="35">
        <f>IF(OR(U16="",N16="",N16=0),"",U16/N16)</f>
        <v/>
      </c>
      <c r="Z16" s="35">
        <f>IF(OR(V16="",O16="",O16=0),"",V16/O16)</f>
        <v/>
      </c>
      <c r="AA16" s="36">
        <f>IF(OR(Z16="",Y16=""),"",(Z16-Y16)*100)</f>
        <v/>
      </c>
      <c r="AB16" s="33">
        <f>SUM(AB7,AB10,AB13)</f>
        <v/>
      </c>
      <c r="AC16" s="33">
        <f>SUM(AC7,AC10,AC13)</f>
        <v/>
      </c>
      <c r="AD16" s="67">
        <f>IF(OR(AC16="",AB16="",AB16=0,AC16=0),"",AC16-AB16)</f>
        <v/>
      </c>
      <c r="AE16" s="34">
        <f>IF(OR(AC16="",AB16="",AB16=0,AC16=0),"",AC16/AB16-1)</f>
        <v/>
      </c>
      <c r="AF16" s="35">
        <f>IF(OR(AB16="",U16="",U16=0),"",AB16/U16)</f>
        <v/>
      </c>
      <c r="AG16" s="35">
        <f>IF(OR(AC16="",V16="",V16=0),"",AC16/V16)</f>
        <v/>
      </c>
      <c r="AH16" s="36">
        <f>IF(OR(AG16="",AF16=""),"",(AG16-AF16)*100)</f>
        <v/>
      </c>
      <c r="AI16" s="33">
        <f>SUM(AI7,AI10,AI13)</f>
        <v/>
      </c>
      <c r="AJ16" s="33">
        <f>SUM(AJ7,AJ10,AJ13)</f>
        <v/>
      </c>
      <c r="AK16" s="67">
        <f>IF(OR(AJ16="",AI16="",AI16=0,AJ16=0),"",AJ16-AI16)</f>
        <v/>
      </c>
      <c r="AL16" s="34">
        <f>IF(OR(AJ16="",AI16="",AI16=0,AJ16=0),"",AJ16/AI16-1)</f>
        <v/>
      </c>
      <c r="AM16" s="35">
        <f>IF(OR(AI16="",AB16="",AB16=0),"",AI16/AB16)</f>
        <v/>
      </c>
      <c r="AN16" s="35">
        <f>IF(OR(AJ16="",AC16="",AC16=0),"",AJ16/AC16)</f>
        <v/>
      </c>
      <c r="AO16" s="36">
        <f>IF(OR(AN16="",AM16=""),"",(AN16-AM16)*100)</f>
        <v/>
      </c>
      <c r="AP16" s="33">
        <f>SUM(AP7,AP10,AP13)</f>
        <v/>
      </c>
      <c r="AQ16" s="33">
        <f>SUM(AQ7,AQ10,AQ13)</f>
        <v/>
      </c>
      <c r="AR16" s="67">
        <f>IF(OR(AQ16="",AP16="",AP16=0,AQ16=0),"",AQ16-AP16)</f>
        <v/>
      </c>
      <c r="AS16" s="34">
        <f>IF(OR(AQ16="",AP16="",AP16=0,AQ16=0),"",AQ16/AP16-1)</f>
        <v/>
      </c>
      <c r="AT16" s="35">
        <f>IF(OR(AP16="",AI16="",AI16=0),"",AP16/AI16)</f>
        <v/>
      </c>
      <c r="AU16" s="35">
        <f>IF(OR(AQ16="",AJ16="",AJ16=0),"",AQ16/AJ16)</f>
        <v/>
      </c>
      <c r="AV16" s="36">
        <f>IF(OR(AU16="",AT16=""),"",(AU16-AT16)*100)</f>
        <v/>
      </c>
      <c r="AW16" s="37">
        <f>IF(OR(AP16="",N16="",N16=0),"",AP16/N16)</f>
        <v/>
      </c>
      <c r="AX16" s="37">
        <f>IF(OR(AQ16="",O16="",O16=0),"",AQ16/O16)</f>
        <v/>
      </c>
      <c r="AY16" s="36">
        <f>IF(OR(AX16="",AW16=""),"",(AX16-AW16)*100)</f>
        <v/>
      </c>
      <c r="AZ16" s="37">
        <f>IF(OR(AP16="",C16="",C16=0),"",AP16/C16)</f>
        <v/>
      </c>
      <c r="BA16" s="37">
        <f>IF(OR(AQ16="",D16="",D16=0),"",AQ16/D16)</f>
        <v/>
      </c>
      <c r="BB16" s="36">
        <f>IF(OR(BA16="",AZ16=""),"",(BA16-AZ16)*100)</f>
        <v/>
      </c>
    </row>
    <row r="17">
      <c r="A17" s="32" t="inlineStr">
        <is>
          <t>Total (3 channels)</t>
        </is>
      </c>
      <c r="B17" s="32" t="inlineStr">
        <is>
          <t>Desktop</t>
        </is>
      </c>
      <c r="C17" s="33">
        <f>SUM(C8,C11,C14)</f>
        <v/>
      </c>
      <c r="D17" s="33">
        <f>SUM(D8,D11,D14)</f>
        <v/>
      </c>
      <c r="E17" s="67">
        <f>IF(OR(D17="",C17="",C17=0,D17=0),"",D17-C17)</f>
        <v/>
      </c>
      <c r="F17" s="34">
        <f>IF(OR(D17="",C17="",C17=0,D17=0),"",D17/C17-1)</f>
        <v/>
      </c>
      <c r="G17" s="33">
        <f>SUM(G8,G11,G14)</f>
        <v/>
      </c>
      <c r="H17" s="33">
        <f>SUM(H8,H11,H14)</f>
        <v/>
      </c>
      <c r="I17" s="67">
        <f>IF(OR(H17="",G17="",G17=0,H17=0),"",H17-G17)</f>
        <v/>
      </c>
      <c r="J17" s="34">
        <f>IF(OR(H17="",G17="",G17=0,H17=0),"",H17/G17-1)</f>
        <v/>
      </c>
      <c r="K17" s="35">
        <f>IF(OR(G17="",C17="",C17=0),"",G17/C17)</f>
        <v/>
      </c>
      <c r="L17" s="35">
        <f>IF(OR(H17="",D17="",D17=0),"",H17/D17)</f>
        <v/>
      </c>
      <c r="M17" s="36">
        <f>IF(OR(L17="",K17=""),"",(L17-K17)*100)</f>
        <v/>
      </c>
      <c r="N17" s="33">
        <f>SUM(N8,N11,N14)</f>
        <v/>
      </c>
      <c r="O17" s="33">
        <f>SUM(O8,O11,O14)</f>
        <v/>
      </c>
      <c r="P17" s="67">
        <f>IF(OR(O17="",N17="",N17=0,O17=0),"",O17-N17)</f>
        <v/>
      </c>
      <c r="Q17" s="34">
        <f>IF(OR(O17="",N17="",N17=0,O17=0),"",O17/N17-1)</f>
        <v/>
      </c>
      <c r="R17" s="35">
        <f>IF(OR(N17="",C17="",C17=0),"",N17/C17)</f>
        <v/>
      </c>
      <c r="S17" s="35">
        <f>IF(OR(O17="",D17="",D17=0),"",O17/D17)</f>
        <v/>
      </c>
      <c r="T17" s="36">
        <f>IF(OR(S17="",R17=""),"",(S17-R17)*100)</f>
        <v/>
      </c>
      <c r="U17" s="33">
        <f>SUM(U8,U11,U14)</f>
        <v/>
      </c>
      <c r="V17" s="33">
        <f>SUM(V8,V11,V14)</f>
        <v/>
      </c>
      <c r="W17" s="67">
        <f>IF(OR(V17="",U17="",U17=0,V17=0),"",V17-U17)</f>
        <v/>
      </c>
      <c r="X17" s="34">
        <f>IF(OR(V17="",U17="",U17=0,V17=0),"",V17/U17-1)</f>
        <v/>
      </c>
      <c r="Y17" s="35">
        <f>IF(OR(U17="",N17="",N17=0),"",U17/N17)</f>
        <v/>
      </c>
      <c r="Z17" s="35">
        <f>IF(OR(V17="",O17="",O17=0),"",V17/O17)</f>
        <v/>
      </c>
      <c r="AA17" s="36">
        <f>IF(OR(Z17="",Y17=""),"",(Z17-Y17)*100)</f>
        <v/>
      </c>
      <c r="AB17" s="33">
        <f>SUM(AB8,AB11,AB14)</f>
        <v/>
      </c>
      <c r="AC17" s="33">
        <f>SUM(AC8,AC11,AC14)</f>
        <v/>
      </c>
      <c r="AD17" s="67">
        <f>IF(OR(AC17="",AB17="",AB17=0,AC17=0),"",AC17-AB17)</f>
        <v/>
      </c>
      <c r="AE17" s="34">
        <f>IF(OR(AC17="",AB17="",AB17=0,AC17=0),"",AC17/AB17-1)</f>
        <v/>
      </c>
      <c r="AF17" s="35">
        <f>IF(OR(AB17="",U17="",U17=0),"",AB17/U17)</f>
        <v/>
      </c>
      <c r="AG17" s="35">
        <f>IF(OR(AC17="",V17="",V17=0),"",AC17/V17)</f>
        <v/>
      </c>
      <c r="AH17" s="36">
        <f>IF(OR(AG17="",AF17=""),"",(AG17-AF17)*100)</f>
        <v/>
      </c>
      <c r="AI17" s="33">
        <f>SUM(AI8,AI11,AI14)</f>
        <v/>
      </c>
      <c r="AJ17" s="33">
        <f>SUM(AJ8,AJ11,AJ14)</f>
        <v/>
      </c>
      <c r="AK17" s="67">
        <f>IF(OR(AJ17="",AI17="",AI17=0,AJ17=0),"",AJ17-AI17)</f>
        <v/>
      </c>
      <c r="AL17" s="34">
        <f>IF(OR(AJ17="",AI17="",AI17=0,AJ17=0),"",AJ17/AI17-1)</f>
        <v/>
      </c>
      <c r="AM17" s="35">
        <f>IF(OR(AI17="",AB17="",AB17=0),"",AI17/AB17)</f>
        <v/>
      </c>
      <c r="AN17" s="35">
        <f>IF(OR(AJ17="",AC17="",AC17=0),"",AJ17/AC17)</f>
        <v/>
      </c>
      <c r="AO17" s="36">
        <f>IF(OR(AN17="",AM17=""),"",(AN17-AM17)*100)</f>
        <v/>
      </c>
      <c r="AP17" s="33">
        <f>SUM(AP8,AP11,AP14)</f>
        <v/>
      </c>
      <c r="AQ17" s="33">
        <f>SUM(AQ8,AQ11,AQ14)</f>
        <v/>
      </c>
      <c r="AR17" s="67">
        <f>IF(OR(AQ17="",AP17="",AP17=0,AQ17=0),"",AQ17-AP17)</f>
        <v/>
      </c>
      <c r="AS17" s="34">
        <f>IF(OR(AQ17="",AP17="",AP17=0,AQ17=0),"",AQ17/AP17-1)</f>
        <v/>
      </c>
      <c r="AT17" s="35">
        <f>IF(OR(AP17="",AI17="",AI17=0),"",AP17/AI17)</f>
        <v/>
      </c>
      <c r="AU17" s="35">
        <f>IF(OR(AQ17="",AJ17="",AJ17=0),"",AQ17/AJ17)</f>
        <v/>
      </c>
      <c r="AV17" s="36">
        <f>IF(OR(AU17="",AT17=""),"",(AU17-AT17)*100)</f>
        <v/>
      </c>
      <c r="AW17" s="37">
        <f>IF(OR(AP17="",N17="",N17=0),"",AP17/N17)</f>
        <v/>
      </c>
      <c r="AX17" s="37">
        <f>IF(OR(AQ17="",O17="",O17=0),"",AQ17/O17)</f>
        <v/>
      </c>
      <c r="AY17" s="36">
        <f>IF(OR(AX17="",AW17=""),"",(AX17-AW17)*100)</f>
        <v/>
      </c>
      <c r="AZ17" s="37">
        <f>IF(OR(AP17="",C17="",C17=0),"",AP17/C17)</f>
        <v/>
      </c>
      <c r="BA17" s="37">
        <f>IF(OR(AQ17="",D17="",D17=0),"",AQ17/D17)</f>
        <v/>
      </c>
      <c r="BB17" s="36">
        <f>IF(OR(BA17="",AZ17=""),"",(BA17-AZ17)*100)</f>
        <v/>
      </c>
    </row>
    <row r="19">
      <c r="A19" s="39" t="inlineStr">
        <is>
          <t>Channel mix (share of the three channels, device = Total)</t>
        </is>
      </c>
    </row>
    <row r="20" ht="30" customHeight="1">
      <c r="A20" s="71" t="inlineStr">
        <is>
          <t>Channel</t>
        </is>
      </c>
      <c r="B20" s="71" t="inlineStr"/>
      <c r="C20" s="71" t="inlineStr">
        <is>
          <t>Sessions 1-23Aug25</t>
        </is>
      </c>
      <c r="D20" s="71" t="inlineStr">
        <is>
          <t>Sessions 1-23Aug26</t>
        </is>
      </c>
      <c r="E20" s="71" t="inlineStr">
        <is>
          <t>Δ pp</t>
        </is>
      </c>
      <c r="F20" s="71" t="inlineStr">
        <is>
          <t>Purchases 1-23Aug25</t>
        </is>
      </c>
      <c r="G20" s="71" t="inlineStr">
        <is>
          <t>Purchases 1-23Aug26</t>
        </is>
      </c>
      <c r="H20" s="71" t="inlineStr">
        <is>
          <t>Δ pp</t>
        </is>
      </c>
    </row>
    <row r="21">
      <c r="A21" s="40" t="inlineStr">
        <is>
          <t>Paid Search</t>
        </is>
      </c>
      <c r="B21" s="73" t="n"/>
      <c r="C21" s="43">
        <f>IFERROR(C6/C15,"")</f>
        <v/>
      </c>
      <c r="D21" s="43">
        <f>IFERROR(D6/D15,"")</f>
        <v/>
      </c>
      <c r="E21" s="44">
        <f>IF(OR(C21="",D21=""),"",(D21-C21)*100)</f>
        <v/>
      </c>
      <c r="F21" s="43">
        <f>IFERROR(AP6/AP15,"")</f>
        <v/>
      </c>
      <c r="G21" s="43">
        <f>IFERROR(AQ6/AQ15,"")</f>
        <v/>
      </c>
      <c r="H21" s="44">
        <f>IF(OR(F21="",G21=""),"",(G21-F21)*100)</f>
        <v/>
      </c>
    </row>
    <row r="22">
      <c r="A22" s="40" t="inlineStr">
        <is>
          <t>Organic</t>
        </is>
      </c>
      <c r="B22" s="73" t="n"/>
      <c r="C22" s="43">
        <f>IFERROR(C9/C15,"")</f>
        <v/>
      </c>
      <c r="D22" s="43">
        <f>IFERROR(D9/D15,"")</f>
        <v/>
      </c>
      <c r="E22" s="44">
        <f>IF(OR(C22="",D22=""),"",(D22-C22)*100)</f>
        <v/>
      </c>
      <c r="F22" s="43">
        <f>IFERROR(AP9/AP15,"")</f>
        <v/>
      </c>
      <c r="G22" s="43">
        <f>IFERROR(AQ9/AQ15,"")</f>
        <v/>
      </c>
      <c r="H22" s="44">
        <f>IF(OR(F22="",G22=""),"",(G22-F22)*100)</f>
        <v/>
      </c>
    </row>
    <row r="23">
      <c r="A23" s="40" t="inlineStr">
        <is>
          <t>Direct</t>
        </is>
      </c>
      <c r="B23" s="73" t="n"/>
      <c r="C23" s="43">
        <f>IFERROR(C12/C15,"")</f>
        <v/>
      </c>
      <c r="D23" s="43">
        <f>IFERROR(D12/D15,"")</f>
        <v/>
      </c>
      <c r="E23" s="44">
        <f>IF(OR(C23="",D23=""),"",(D23-C23)*100)</f>
        <v/>
      </c>
      <c r="F23" s="43">
        <f>IFERROR(AP12/AP15,"")</f>
        <v/>
      </c>
      <c r="G23" s="43">
        <f>IFERROR(AQ12/AQ15,"")</f>
        <v/>
      </c>
      <c r="H23" s="44">
        <f>IF(OR(F23="",G23=""),"",(G23-F23)*100)</f>
        <v/>
      </c>
    </row>
  </sheetData>
  <mergeCells count="20">
    <mergeCell ref="G4:J4"/>
    <mergeCell ref="AT4:AV4"/>
    <mergeCell ref="AZ4:BB4"/>
    <mergeCell ref="U4:X4"/>
    <mergeCell ref="AP4:AS4"/>
    <mergeCell ref="N4:Q4"/>
    <mergeCell ref="AM4:AO4"/>
    <mergeCell ref="A21:B21"/>
    <mergeCell ref="K4:M4"/>
    <mergeCell ref="C4:F4"/>
    <mergeCell ref="A4:A5"/>
    <mergeCell ref="AB4:AE4"/>
    <mergeCell ref="Y4:AA4"/>
    <mergeCell ref="A23:B23"/>
    <mergeCell ref="A22:B22"/>
    <mergeCell ref="AW4:AY4"/>
    <mergeCell ref="B4:B5"/>
    <mergeCell ref="AI4:AL4"/>
    <mergeCell ref="R4:T4"/>
    <mergeCell ref="AF4:AH4"/>
  </mergeCells>
  <conditionalFormatting sqref="F6:F17">
    <cfRule type="cellIs" priority="1" operator="greaterThan" dxfId="0">
      <formula>0</formula>
    </cfRule>
    <cfRule type="cellIs" priority="2" operator="lessThan" dxfId="1">
      <formula>0</formula>
    </cfRule>
  </conditionalFormatting>
  <conditionalFormatting sqref="J6:J17">
    <cfRule type="cellIs" priority="3" operator="greaterThan" dxfId="0">
      <formula>0</formula>
    </cfRule>
    <cfRule type="cellIs" priority="4" operator="lessThan" dxfId="1">
      <formula>0</formula>
    </cfRule>
  </conditionalFormatting>
  <conditionalFormatting sqref="M6:M17">
    <cfRule type="cellIs" priority="5" operator="greaterThan" dxfId="0">
      <formula>0</formula>
    </cfRule>
    <cfRule type="cellIs" priority="6" operator="lessThan" dxfId="1">
      <formula>0</formula>
    </cfRule>
  </conditionalFormatting>
  <conditionalFormatting sqref="K6:K17">
    <cfRule type="cellIs" priority="7" operator="greaterThan" dxfId="2">
      <formula>1</formula>
    </cfRule>
  </conditionalFormatting>
  <conditionalFormatting sqref="L6:L17">
    <cfRule type="cellIs" priority="8" operator="greaterThan" dxfId="2">
      <formula>1</formula>
    </cfRule>
  </conditionalFormatting>
  <conditionalFormatting sqref="Q6:Q17">
    <cfRule type="cellIs" priority="9" operator="greaterThan" dxfId="0">
      <formula>0</formula>
    </cfRule>
    <cfRule type="cellIs" priority="10" operator="lessThan" dxfId="1">
      <formula>0</formula>
    </cfRule>
  </conditionalFormatting>
  <conditionalFormatting sqref="T6:T17">
    <cfRule type="cellIs" priority="11" operator="greaterThan" dxfId="0">
      <formula>0</formula>
    </cfRule>
    <cfRule type="cellIs" priority="12" operator="lessThan" dxfId="1">
      <formula>0</formula>
    </cfRule>
  </conditionalFormatting>
  <conditionalFormatting sqref="R6:R17">
    <cfRule type="cellIs" priority="13" operator="greaterThan" dxfId="2">
      <formula>1</formula>
    </cfRule>
  </conditionalFormatting>
  <conditionalFormatting sqref="S6:S17">
    <cfRule type="cellIs" priority="14" operator="greaterThan" dxfId="2">
      <formula>1</formula>
    </cfRule>
  </conditionalFormatting>
  <conditionalFormatting sqref="X6:X17">
    <cfRule type="cellIs" priority="15" operator="greaterThan" dxfId="0">
      <formula>0</formula>
    </cfRule>
    <cfRule type="cellIs" priority="16" operator="lessThan" dxfId="1">
      <formula>0</formula>
    </cfRule>
  </conditionalFormatting>
  <conditionalFormatting sqref="AA6:AA17">
    <cfRule type="cellIs" priority="17" operator="greaterThan" dxfId="0">
      <formula>0</formula>
    </cfRule>
    <cfRule type="cellIs" priority="18" operator="lessThan" dxfId="1">
      <formula>0</formula>
    </cfRule>
  </conditionalFormatting>
  <conditionalFormatting sqref="Y6:Y17">
    <cfRule type="cellIs" priority="19" operator="greaterThan" dxfId="2">
      <formula>1</formula>
    </cfRule>
  </conditionalFormatting>
  <conditionalFormatting sqref="Z6:Z17">
    <cfRule type="cellIs" priority="20" operator="greaterThan" dxfId="2">
      <formula>1</formula>
    </cfRule>
  </conditionalFormatting>
  <conditionalFormatting sqref="AE6:AE17">
    <cfRule type="cellIs" priority="21" operator="greaterThan" dxfId="0">
      <formula>0</formula>
    </cfRule>
    <cfRule type="cellIs" priority="22" operator="lessThan" dxfId="1">
      <formula>0</formula>
    </cfRule>
  </conditionalFormatting>
  <conditionalFormatting sqref="AH6:AH17">
    <cfRule type="cellIs" priority="23" operator="greaterThan" dxfId="0">
      <formula>0</formula>
    </cfRule>
    <cfRule type="cellIs" priority="24" operator="lessThan" dxfId="1">
      <formula>0</formula>
    </cfRule>
  </conditionalFormatting>
  <conditionalFormatting sqref="AF6:AF17">
    <cfRule type="cellIs" priority="25" operator="greaterThan" dxfId="2">
      <formula>1</formula>
    </cfRule>
  </conditionalFormatting>
  <conditionalFormatting sqref="AG6:AG17">
    <cfRule type="cellIs" priority="26" operator="greaterThan" dxfId="2">
      <formula>1</formula>
    </cfRule>
  </conditionalFormatting>
  <conditionalFormatting sqref="AL6:AL17">
    <cfRule type="cellIs" priority="27" operator="greaterThan" dxfId="0">
      <formula>0</formula>
    </cfRule>
    <cfRule type="cellIs" priority="28" operator="lessThan" dxfId="1">
      <formula>0</formula>
    </cfRule>
  </conditionalFormatting>
  <conditionalFormatting sqref="AO6:AO17">
    <cfRule type="cellIs" priority="29" operator="greaterThan" dxfId="0">
      <formula>0</formula>
    </cfRule>
    <cfRule type="cellIs" priority="30" operator="lessThan" dxfId="1">
      <formula>0</formula>
    </cfRule>
  </conditionalFormatting>
  <conditionalFormatting sqref="AM6:AM17">
    <cfRule type="cellIs" priority="31" operator="greaterThan" dxfId="2">
      <formula>1</formula>
    </cfRule>
  </conditionalFormatting>
  <conditionalFormatting sqref="AN6:AN17">
    <cfRule type="cellIs" priority="32" operator="greaterThan" dxfId="2">
      <formula>1</formula>
    </cfRule>
  </conditionalFormatting>
  <conditionalFormatting sqref="AS6:AS17">
    <cfRule type="cellIs" priority="33" operator="greaterThan" dxfId="0">
      <formula>0</formula>
    </cfRule>
    <cfRule type="cellIs" priority="34" operator="lessThan" dxfId="1">
      <formula>0</formula>
    </cfRule>
  </conditionalFormatting>
  <conditionalFormatting sqref="AV6:AV17">
    <cfRule type="cellIs" priority="35" operator="greaterThan" dxfId="0">
      <formula>0</formula>
    </cfRule>
    <cfRule type="cellIs" priority="36" operator="lessThan" dxfId="1">
      <formula>0</formula>
    </cfRule>
  </conditionalFormatting>
  <conditionalFormatting sqref="AT6:AT17">
    <cfRule type="cellIs" priority="37" operator="greaterThan" dxfId="2">
      <formula>1</formula>
    </cfRule>
  </conditionalFormatting>
  <conditionalFormatting sqref="AU6:AU17">
    <cfRule type="cellIs" priority="38" operator="greaterThan" dxfId="2">
      <formula>1</formula>
    </cfRule>
  </conditionalFormatting>
  <conditionalFormatting sqref="AY6:AY17">
    <cfRule type="cellIs" priority="39" operator="greaterThan" dxfId="0">
      <formula>0</formula>
    </cfRule>
    <cfRule type="cellIs" priority="40" operator="lessThan" dxfId="1">
      <formula>0</formula>
    </cfRule>
  </conditionalFormatting>
  <conditionalFormatting sqref="AW6:AW17">
    <cfRule type="cellIs" priority="41" operator="greaterThan" dxfId="2">
      <formula>1</formula>
    </cfRule>
  </conditionalFormatting>
  <conditionalFormatting sqref="AX6:AX17">
    <cfRule type="cellIs" priority="42" operator="greaterThan" dxfId="2">
      <formula>1</formula>
    </cfRule>
  </conditionalFormatting>
  <conditionalFormatting sqref="BB6:BB17">
    <cfRule type="cellIs" priority="43" operator="greaterThan" dxfId="0">
      <formula>0</formula>
    </cfRule>
    <cfRule type="cellIs" priority="44" operator="lessThan" dxfId="1">
      <formula>0</formula>
    </cfRule>
  </conditionalFormatting>
  <conditionalFormatting sqref="AZ6:AZ17">
    <cfRule type="cellIs" priority="45" operator="greaterThan" dxfId="2">
      <formula>1</formula>
    </cfRule>
  </conditionalFormatting>
  <conditionalFormatting sqref="BA6:BA17">
    <cfRule type="cellIs" priority="46" operator="greaterThan" dxfId="2">
      <formula>1</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2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3" customWidth="1" min="1" max="1"/>
    <col width="13"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s>
  <sheetData>
    <row r="1">
      <c r="A1" s="11" t="inlineStr">
        <is>
          <t>Level 2 — Channel × landing page group</t>
        </is>
      </c>
    </row>
    <row r="2">
      <c r="A2" s="12" t="inlineStr">
        <is>
          <t>Device = Total. 'Other pages' is the derived remainder (All − Home − Airport − Route). Source: Totals tab.</t>
        </is>
      </c>
    </row>
    <row r="4" ht="18" customHeight="1">
      <c r="A4" s="59" t="inlineStr">
        <is>
          <t>Landing Page Group</t>
        </is>
      </c>
      <c r="B4" s="59" t="inlineStr">
        <is>
          <t>Channel</t>
        </is>
      </c>
      <c r="C4" s="14" t="inlineStr">
        <is>
          <t>Sessions</t>
        </is>
      </c>
      <c r="D4" s="15" t="n"/>
      <c r="E4" s="15" t="n"/>
      <c r="F4" s="15" t="n"/>
      <c r="G4" s="60" t="inlineStr">
        <is>
          <t>Start Search</t>
        </is>
      </c>
      <c r="H4" s="61" t="n"/>
      <c r="I4" s="61" t="n"/>
      <c r="J4" s="61" t="n"/>
      <c r="K4" s="62" t="inlineStr">
        <is>
          <t>Visit→Engagement</t>
        </is>
      </c>
      <c r="L4" s="63" t="n"/>
      <c r="M4" s="63" t="n"/>
      <c r="N4" s="16" t="inlineStr">
        <is>
          <t>Searches</t>
        </is>
      </c>
      <c r="O4" s="17" t="n"/>
      <c r="P4" s="17" t="n"/>
      <c r="Q4" s="17" t="n"/>
      <c r="R4" s="20" t="inlineStr">
        <is>
          <t>Visit→Search</t>
        </is>
      </c>
      <c r="S4" s="21" t="n"/>
      <c r="T4" s="21" t="n"/>
      <c r="U4" s="20" t="inlineStr">
        <is>
          <t>Select item</t>
        </is>
      </c>
      <c r="V4" s="21" t="n"/>
      <c r="W4" s="21" t="n"/>
      <c r="X4" s="21" t="n"/>
      <c r="Y4" s="20" t="inlineStr">
        <is>
          <t>Search→Select</t>
        </is>
      </c>
      <c r="Z4" s="21" t="n"/>
      <c r="AA4" s="21" t="n"/>
      <c r="AB4" s="22" t="inlineStr">
        <is>
          <t>Add to cart</t>
        </is>
      </c>
      <c r="AC4" s="23" t="n"/>
      <c r="AD4" s="23" t="n"/>
      <c r="AE4" s="23" t="n"/>
      <c r="AF4" s="22" t="inlineStr">
        <is>
          <t>Select→Cart</t>
        </is>
      </c>
      <c r="AG4" s="23" t="n"/>
      <c r="AH4" s="23" t="n"/>
      <c r="AI4" s="24" t="inlineStr">
        <is>
          <t>Begin checkout</t>
        </is>
      </c>
      <c r="AJ4" s="25" t="n"/>
      <c r="AK4" s="25" t="n"/>
      <c r="AL4" s="25" t="n"/>
      <c r="AM4" s="24" t="inlineStr">
        <is>
          <t>Cart→Checkout</t>
        </is>
      </c>
      <c r="AN4" s="25" t="n"/>
      <c r="AO4" s="25" t="n"/>
      <c r="AP4" s="18" t="inlineStr">
        <is>
          <t>Purchases</t>
        </is>
      </c>
      <c r="AQ4" s="19" t="n"/>
      <c r="AR4" s="19" t="n"/>
      <c r="AS4" s="19" t="n"/>
      <c r="AT4" s="18" t="inlineStr">
        <is>
          <t>Checkout→Purchase</t>
        </is>
      </c>
      <c r="AU4" s="19" t="n"/>
      <c r="AV4" s="19" t="n"/>
      <c r="AW4" s="22" t="inlineStr">
        <is>
          <t>Search→Booking</t>
        </is>
      </c>
      <c r="AX4" s="23" t="n"/>
      <c r="AY4" s="23" t="n"/>
      <c r="AZ4" s="24" t="inlineStr">
        <is>
          <t>CR</t>
        </is>
      </c>
      <c r="BA4" s="25" t="n"/>
      <c r="BB4" s="25" t="n"/>
    </row>
    <row r="5">
      <c r="A5" s="15" t="n"/>
      <c r="B5" s="15" t="n"/>
      <c r="C5" s="26" t="inlineStr">
        <is>
          <t>1-23Aug25</t>
        </is>
      </c>
      <c r="D5" s="26" t="inlineStr">
        <is>
          <t>1-23Aug26</t>
        </is>
      </c>
      <c r="E5" s="26" t="inlineStr">
        <is>
          <t>Δ</t>
        </is>
      </c>
      <c r="F5" s="26" t="inlineStr">
        <is>
          <t>% Δ</t>
        </is>
      </c>
      <c r="G5" s="64" t="inlineStr">
        <is>
          <t>1-23Aug25</t>
        </is>
      </c>
      <c r="H5" s="64" t="inlineStr">
        <is>
          <t>1-23Aug26</t>
        </is>
      </c>
      <c r="I5" s="64" t="inlineStr">
        <is>
          <t>Δ</t>
        </is>
      </c>
      <c r="J5" s="64" t="inlineStr">
        <is>
          <t>% Δ</t>
        </is>
      </c>
      <c r="K5" s="65" t="inlineStr">
        <is>
          <t>1-23Aug25</t>
        </is>
      </c>
      <c r="L5" s="65" t="inlineStr">
        <is>
          <t>1-23Aug26</t>
        </is>
      </c>
      <c r="M5" s="65" t="inlineStr">
        <is>
          <t>Δ pp</t>
        </is>
      </c>
      <c r="N5" s="27" t="inlineStr">
        <is>
          <t>1-23Aug25</t>
        </is>
      </c>
      <c r="O5" s="27" t="inlineStr">
        <is>
          <t>1-23Aug26</t>
        </is>
      </c>
      <c r="P5" s="27" t="inlineStr">
        <is>
          <t>Δ</t>
        </is>
      </c>
      <c r="Q5" s="27" t="inlineStr">
        <is>
          <t>% Δ</t>
        </is>
      </c>
      <c r="R5" s="29" t="inlineStr">
        <is>
          <t>1-23Aug25</t>
        </is>
      </c>
      <c r="S5" s="29" t="inlineStr">
        <is>
          <t>1-23Aug26</t>
        </is>
      </c>
      <c r="T5" s="29" t="inlineStr">
        <is>
          <t>Δ pp</t>
        </is>
      </c>
      <c r="U5" s="29" t="inlineStr">
        <is>
          <t>1-23Aug25</t>
        </is>
      </c>
      <c r="V5" s="29" t="inlineStr">
        <is>
          <t>1-23Aug26</t>
        </is>
      </c>
      <c r="W5" s="29" t="inlineStr">
        <is>
          <t>Δ</t>
        </is>
      </c>
      <c r="X5" s="29" t="inlineStr">
        <is>
          <t>% Δ</t>
        </is>
      </c>
      <c r="Y5" s="29" t="inlineStr">
        <is>
          <t>1-23Aug25</t>
        </is>
      </c>
      <c r="Z5" s="29" t="inlineStr">
        <is>
          <t>1-23Aug26</t>
        </is>
      </c>
      <c r="AA5" s="29" t="inlineStr">
        <is>
          <t>Δ pp</t>
        </is>
      </c>
      <c r="AB5" s="30" t="inlineStr">
        <is>
          <t>1-23Aug25</t>
        </is>
      </c>
      <c r="AC5" s="30" t="inlineStr">
        <is>
          <t>1-23Aug26</t>
        </is>
      </c>
      <c r="AD5" s="30" t="inlineStr">
        <is>
          <t>Δ</t>
        </is>
      </c>
      <c r="AE5" s="30" t="inlineStr">
        <is>
          <t>% Δ</t>
        </is>
      </c>
      <c r="AF5" s="30" t="inlineStr">
        <is>
          <t>1-23Aug25</t>
        </is>
      </c>
      <c r="AG5" s="30" t="inlineStr">
        <is>
          <t>1-23Aug26</t>
        </is>
      </c>
      <c r="AH5" s="30" t="inlineStr">
        <is>
          <t>Δ pp</t>
        </is>
      </c>
      <c r="AI5" s="31" t="inlineStr">
        <is>
          <t>1-23Aug25</t>
        </is>
      </c>
      <c r="AJ5" s="31" t="inlineStr">
        <is>
          <t>1-23Aug26</t>
        </is>
      </c>
      <c r="AK5" s="31" t="inlineStr">
        <is>
          <t>Δ</t>
        </is>
      </c>
      <c r="AL5" s="31" t="inlineStr">
        <is>
          <t>% Δ</t>
        </is>
      </c>
      <c r="AM5" s="31" t="inlineStr">
        <is>
          <t>1-23Aug25</t>
        </is>
      </c>
      <c r="AN5" s="31" t="inlineStr">
        <is>
          <t>1-23Aug26</t>
        </is>
      </c>
      <c r="AO5" s="31" t="inlineStr">
        <is>
          <t>Δ pp</t>
        </is>
      </c>
      <c r="AP5" s="28" t="inlineStr">
        <is>
          <t>1-23Aug25</t>
        </is>
      </c>
      <c r="AQ5" s="28" t="inlineStr">
        <is>
          <t>1-23Aug26</t>
        </is>
      </c>
      <c r="AR5" s="28" t="inlineStr">
        <is>
          <t>Δ</t>
        </is>
      </c>
      <c r="AS5" s="28" t="inlineStr">
        <is>
          <t>% Δ</t>
        </is>
      </c>
      <c r="AT5" s="28" t="inlineStr">
        <is>
          <t>1-23Aug25</t>
        </is>
      </c>
      <c r="AU5" s="28" t="inlineStr">
        <is>
          <t>1-23Aug26</t>
        </is>
      </c>
      <c r="AV5" s="28" t="inlineStr">
        <is>
          <t>Δ pp</t>
        </is>
      </c>
      <c r="AW5" s="30" t="inlineStr">
        <is>
          <t>1-23Aug25</t>
        </is>
      </c>
      <c r="AX5" s="30" t="inlineStr">
        <is>
          <t>1-23Aug26</t>
        </is>
      </c>
      <c r="AY5" s="30" t="inlineStr">
        <is>
          <t>Δ pp</t>
        </is>
      </c>
      <c r="AZ5" s="31" t="inlineStr">
        <is>
          <t>1-23Aug25</t>
        </is>
      </c>
      <c r="BA5" s="31" t="inlineStr">
        <is>
          <t>1-23Aug26</t>
        </is>
      </c>
      <c r="BB5" s="31" t="inlineStr">
        <is>
          <t>Δ pp</t>
        </is>
      </c>
    </row>
    <row r="6">
      <c r="A6" s="32" t="inlineStr">
        <is>
          <t>All landing pages</t>
        </is>
      </c>
      <c r="B6" s="32" t="inlineStr">
        <is>
          <t>Paid Search</t>
        </is>
      </c>
      <c r="C6" s="33">
        <f>SUMIFS(Totals!$D$5:$D$49,Totals!$A$5:$A$49,"All landing pages",Totals!$B$5:$B$49,"Paid Search",Totals!$C$5:$C$49,"Total")</f>
        <v/>
      </c>
      <c r="D6" s="33">
        <f>SUMIFS(Totals!$E$5:$E$49,Totals!$A$5:$A$49,"All landing pages",Totals!$B$5:$B$49,"Paid Search",Totals!$C$5:$C$49,"Total")</f>
        <v/>
      </c>
      <c r="E6" s="67">
        <f>IF(OR(D6="",C6="",C6=0,D6=0),"",D6-C6)</f>
        <v/>
      </c>
      <c r="F6" s="34">
        <f>IF(OR(D6="",C6="",C6=0,D6=0),"",D6/C6-1)</f>
        <v/>
      </c>
      <c r="G6" s="33">
        <f>SUMIFS(Totals!$H$5:$H$49,Totals!$A$5:$A$49,"All landing pages",Totals!$B$5:$B$49,"Paid Search",Totals!$C$5:$C$49,"Total")</f>
        <v/>
      </c>
      <c r="H6" s="33">
        <f>SUMIFS(Totals!$I$5:$I$49,Totals!$A$5:$A$49,"All landing pages",Totals!$B$5:$B$49,"Paid Search",Totals!$C$5:$C$49,"Total")</f>
        <v/>
      </c>
      <c r="I6" s="67">
        <f>IF(OR(H6="",G6="",G6=0,H6=0),"",H6-G6)</f>
        <v/>
      </c>
      <c r="J6" s="34">
        <f>IF(OR(H6="",G6="",G6=0,H6=0),"",H6/G6-1)</f>
        <v/>
      </c>
      <c r="K6" s="35">
        <f>IF(OR(G6="",C6="",C6=0),"",G6/C6)</f>
        <v/>
      </c>
      <c r="L6" s="35">
        <f>IF(OR(H6="",D6="",D6=0),"",H6/D6)</f>
        <v/>
      </c>
      <c r="M6" s="36">
        <f>IF(OR(L6="",K6=""),"",(L6-K6)*100)</f>
        <v/>
      </c>
      <c r="N6" s="33">
        <f>SUMIFS(Totals!$O$5:$O$49,Totals!$A$5:$A$49,"All landing pages",Totals!$B$5:$B$49,"Paid Search",Totals!$C$5:$C$49,"Total")</f>
        <v/>
      </c>
      <c r="O6" s="33">
        <f>SUMIFS(Totals!$P$5:$P$49,Totals!$A$5:$A$49,"All landing pages",Totals!$B$5:$B$49,"Paid Search",Totals!$C$5:$C$49,"Total")</f>
        <v/>
      </c>
      <c r="P6" s="67">
        <f>IF(OR(O6="",N6="",N6=0,O6=0),"",O6-N6)</f>
        <v/>
      </c>
      <c r="Q6" s="34">
        <f>IF(OR(O6="",N6="",N6=0,O6=0),"",O6/N6-1)</f>
        <v/>
      </c>
      <c r="R6" s="35">
        <f>IF(OR(N6="",C6="",C6=0),"",N6/C6)</f>
        <v/>
      </c>
      <c r="S6" s="35">
        <f>IF(OR(O6="",D6="",D6=0),"",O6/D6)</f>
        <v/>
      </c>
      <c r="T6" s="36">
        <f>IF(OR(S6="",R6=""),"",(S6-R6)*100)</f>
        <v/>
      </c>
      <c r="U6" s="33">
        <f>SUMIFS(Totals!$V$5:$V$49,Totals!$A$5:$A$49,"All landing pages",Totals!$B$5:$B$49,"Paid Search",Totals!$C$5:$C$49,"Total")</f>
        <v/>
      </c>
      <c r="V6" s="33">
        <f>SUMIFS(Totals!$W$5:$W$49,Totals!$A$5:$A$49,"All landing pages",Totals!$B$5:$B$49,"Paid Search",Totals!$C$5:$C$49,"Total")</f>
        <v/>
      </c>
      <c r="W6" s="67">
        <f>IF(OR(V6="",U6="",U6=0,V6=0),"",V6-U6)</f>
        <v/>
      </c>
      <c r="X6" s="34">
        <f>IF(OR(V6="",U6="",U6=0,V6=0),"",V6/U6-1)</f>
        <v/>
      </c>
      <c r="Y6" s="35">
        <f>IF(OR(U6="",N6="",N6=0),"",U6/N6)</f>
        <v/>
      </c>
      <c r="Z6" s="35">
        <f>IF(OR(V6="",O6="",O6=0),"",V6/O6)</f>
        <v/>
      </c>
      <c r="AA6" s="36">
        <f>IF(OR(Z6="",Y6=""),"",(Z6-Y6)*100)</f>
        <v/>
      </c>
      <c r="AB6" s="33">
        <f>SUMIFS(Totals!$AC$5:$AC$49,Totals!$A$5:$A$49,"All landing pages",Totals!$B$5:$B$49,"Paid Search",Totals!$C$5:$C$49,"Total")</f>
        <v/>
      </c>
      <c r="AC6" s="33">
        <f>SUMIFS(Totals!$AD$5:$AD$49,Totals!$A$5:$A$49,"All landing pages",Totals!$B$5:$B$49,"Paid Search",Totals!$C$5:$C$49,"Total")</f>
        <v/>
      </c>
      <c r="AD6" s="67">
        <f>IF(OR(AC6="",AB6="",AB6=0,AC6=0),"",AC6-AB6)</f>
        <v/>
      </c>
      <c r="AE6" s="34">
        <f>IF(OR(AC6="",AB6="",AB6=0,AC6=0),"",AC6/AB6-1)</f>
        <v/>
      </c>
      <c r="AF6" s="35">
        <f>IF(OR(AB6="",U6="",U6=0),"",AB6/U6)</f>
        <v/>
      </c>
      <c r="AG6" s="35">
        <f>IF(OR(AC6="",V6="",V6=0),"",AC6/V6)</f>
        <v/>
      </c>
      <c r="AH6" s="36">
        <f>IF(OR(AG6="",AF6=""),"",(AG6-AF6)*100)</f>
        <v/>
      </c>
      <c r="AI6" s="33">
        <f>SUMIFS(Totals!$AJ$5:$AJ$49,Totals!$A$5:$A$49,"All landing pages",Totals!$B$5:$B$49,"Paid Search",Totals!$C$5:$C$49,"Total")</f>
        <v/>
      </c>
      <c r="AJ6" s="33">
        <f>SUMIFS(Totals!$AK$5:$AK$49,Totals!$A$5:$A$49,"All landing pages",Totals!$B$5:$B$49,"Paid Search",Totals!$C$5:$C$49,"Total")</f>
        <v/>
      </c>
      <c r="AK6" s="67">
        <f>IF(OR(AJ6="",AI6="",AI6=0,AJ6=0),"",AJ6-AI6)</f>
        <v/>
      </c>
      <c r="AL6" s="34">
        <f>IF(OR(AJ6="",AI6="",AI6=0,AJ6=0),"",AJ6/AI6-1)</f>
        <v/>
      </c>
      <c r="AM6" s="35">
        <f>IF(OR(AI6="",AB6="",AB6=0),"",AI6/AB6)</f>
        <v/>
      </c>
      <c r="AN6" s="35">
        <f>IF(OR(AJ6="",AC6="",AC6=0),"",AJ6/AC6)</f>
        <v/>
      </c>
      <c r="AO6" s="36">
        <f>IF(OR(AN6="",AM6=""),"",(AN6-AM6)*100)</f>
        <v/>
      </c>
      <c r="AP6" s="33">
        <f>SUMIFS(Totals!$AQ$5:$AQ$49,Totals!$A$5:$A$49,"All landing pages",Totals!$B$5:$B$49,"Paid Search",Totals!$C$5:$C$49,"Total")</f>
        <v/>
      </c>
      <c r="AQ6" s="33">
        <f>SUMIFS(Totals!$AR$5:$AR$49,Totals!$A$5:$A$49,"All landing pages",Totals!$B$5:$B$49,"Paid Search",Totals!$C$5:$C$49,"Total")</f>
        <v/>
      </c>
      <c r="AR6" s="67">
        <f>IF(OR(AQ6="",AP6="",AP6=0,AQ6=0),"",AQ6-AP6)</f>
        <v/>
      </c>
      <c r="AS6" s="34">
        <f>IF(OR(AQ6="",AP6="",AP6=0,AQ6=0),"",AQ6/AP6-1)</f>
        <v/>
      </c>
      <c r="AT6" s="35">
        <f>IF(OR(AP6="",AI6="",AI6=0),"",AP6/AI6)</f>
        <v/>
      </c>
      <c r="AU6" s="35">
        <f>IF(OR(AQ6="",AJ6="",AJ6=0),"",AQ6/AJ6)</f>
        <v/>
      </c>
      <c r="AV6" s="36">
        <f>IF(OR(AU6="",AT6=""),"",(AU6-AT6)*100)</f>
        <v/>
      </c>
      <c r="AW6" s="37">
        <f>IF(OR(AP6="",N6="",N6=0),"",AP6/N6)</f>
        <v/>
      </c>
      <c r="AX6" s="37">
        <f>IF(OR(AQ6="",O6="",O6=0),"",AQ6/O6)</f>
        <v/>
      </c>
      <c r="AY6" s="36">
        <f>IF(OR(AX6="",AW6=""),"",(AX6-AW6)*100)</f>
        <v/>
      </c>
      <c r="AZ6" s="37">
        <f>IF(OR(AP6="",C6="",C6=0),"",AP6/C6)</f>
        <v/>
      </c>
      <c r="BA6" s="37">
        <f>IF(OR(AQ6="",D6="",D6=0),"",AQ6/D6)</f>
        <v/>
      </c>
      <c r="BB6" s="36">
        <f>IF(OR(BA6="",AZ6=""),"",(BA6-AZ6)*100)</f>
        <v/>
      </c>
    </row>
    <row r="7">
      <c r="A7" s="32" t="inlineStr">
        <is>
          <t>All landing pages</t>
        </is>
      </c>
      <c r="B7" s="32" t="inlineStr">
        <is>
          <t>Organic</t>
        </is>
      </c>
      <c r="C7" s="33">
        <f>SUMIFS(Totals!$D$5:$D$49,Totals!$A$5:$A$49,"All landing pages",Totals!$B$5:$B$49,"Organic",Totals!$C$5:$C$49,"Total")</f>
        <v/>
      </c>
      <c r="D7" s="33">
        <f>SUMIFS(Totals!$E$5:$E$49,Totals!$A$5:$A$49,"All landing pages",Totals!$B$5:$B$49,"Organic",Totals!$C$5:$C$49,"Total")</f>
        <v/>
      </c>
      <c r="E7" s="67">
        <f>IF(OR(D7="",C7="",C7=0,D7=0),"",D7-C7)</f>
        <v/>
      </c>
      <c r="F7" s="34">
        <f>IF(OR(D7="",C7="",C7=0,D7=0),"",D7/C7-1)</f>
        <v/>
      </c>
      <c r="G7" s="33">
        <f>SUMIFS(Totals!$H$5:$H$49,Totals!$A$5:$A$49,"All landing pages",Totals!$B$5:$B$49,"Organic",Totals!$C$5:$C$49,"Total")</f>
        <v/>
      </c>
      <c r="H7" s="33">
        <f>SUMIFS(Totals!$I$5:$I$49,Totals!$A$5:$A$49,"All landing pages",Totals!$B$5:$B$49,"Organic",Totals!$C$5:$C$49,"Total")</f>
        <v/>
      </c>
      <c r="I7" s="67">
        <f>IF(OR(H7="",G7="",G7=0,H7=0),"",H7-G7)</f>
        <v/>
      </c>
      <c r="J7" s="34">
        <f>IF(OR(H7="",G7="",G7=0,H7=0),"",H7/G7-1)</f>
        <v/>
      </c>
      <c r="K7" s="35">
        <f>IF(OR(G7="",C7="",C7=0),"",G7/C7)</f>
        <v/>
      </c>
      <c r="L7" s="35">
        <f>IF(OR(H7="",D7="",D7=0),"",H7/D7)</f>
        <v/>
      </c>
      <c r="M7" s="36">
        <f>IF(OR(L7="",K7=""),"",(L7-K7)*100)</f>
        <v/>
      </c>
      <c r="N7" s="33">
        <f>SUMIFS(Totals!$O$5:$O$49,Totals!$A$5:$A$49,"All landing pages",Totals!$B$5:$B$49,"Organic",Totals!$C$5:$C$49,"Total")</f>
        <v/>
      </c>
      <c r="O7" s="33">
        <f>SUMIFS(Totals!$P$5:$P$49,Totals!$A$5:$A$49,"All landing pages",Totals!$B$5:$B$49,"Organic",Totals!$C$5:$C$49,"Total")</f>
        <v/>
      </c>
      <c r="P7" s="67">
        <f>IF(OR(O7="",N7="",N7=0,O7=0),"",O7-N7)</f>
        <v/>
      </c>
      <c r="Q7" s="34">
        <f>IF(OR(O7="",N7="",N7=0,O7=0),"",O7/N7-1)</f>
        <v/>
      </c>
      <c r="R7" s="35">
        <f>IF(OR(N7="",C7="",C7=0),"",N7/C7)</f>
        <v/>
      </c>
      <c r="S7" s="35">
        <f>IF(OR(O7="",D7="",D7=0),"",O7/D7)</f>
        <v/>
      </c>
      <c r="T7" s="36">
        <f>IF(OR(S7="",R7=""),"",(S7-R7)*100)</f>
        <v/>
      </c>
      <c r="U7" s="33">
        <f>SUMIFS(Totals!$V$5:$V$49,Totals!$A$5:$A$49,"All landing pages",Totals!$B$5:$B$49,"Organic",Totals!$C$5:$C$49,"Total")</f>
        <v/>
      </c>
      <c r="V7" s="33">
        <f>SUMIFS(Totals!$W$5:$W$49,Totals!$A$5:$A$49,"All landing pages",Totals!$B$5:$B$49,"Organic",Totals!$C$5:$C$49,"Total")</f>
        <v/>
      </c>
      <c r="W7" s="67">
        <f>IF(OR(V7="",U7="",U7=0,V7=0),"",V7-U7)</f>
        <v/>
      </c>
      <c r="X7" s="34">
        <f>IF(OR(V7="",U7="",U7=0,V7=0),"",V7/U7-1)</f>
        <v/>
      </c>
      <c r="Y7" s="35">
        <f>IF(OR(U7="",N7="",N7=0),"",U7/N7)</f>
        <v/>
      </c>
      <c r="Z7" s="35">
        <f>IF(OR(V7="",O7="",O7=0),"",V7/O7)</f>
        <v/>
      </c>
      <c r="AA7" s="36">
        <f>IF(OR(Z7="",Y7=""),"",(Z7-Y7)*100)</f>
        <v/>
      </c>
      <c r="AB7" s="33">
        <f>SUMIFS(Totals!$AC$5:$AC$49,Totals!$A$5:$A$49,"All landing pages",Totals!$B$5:$B$49,"Organic",Totals!$C$5:$C$49,"Total")</f>
        <v/>
      </c>
      <c r="AC7" s="33">
        <f>SUMIFS(Totals!$AD$5:$AD$49,Totals!$A$5:$A$49,"All landing pages",Totals!$B$5:$B$49,"Organic",Totals!$C$5:$C$49,"Total")</f>
        <v/>
      </c>
      <c r="AD7" s="67">
        <f>IF(OR(AC7="",AB7="",AB7=0,AC7=0),"",AC7-AB7)</f>
        <v/>
      </c>
      <c r="AE7" s="34">
        <f>IF(OR(AC7="",AB7="",AB7=0,AC7=0),"",AC7/AB7-1)</f>
        <v/>
      </c>
      <c r="AF7" s="35">
        <f>IF(OR(AB7="",U7="",U7=0),"",AB7/U7)</f>
        <v/>
      </c>
      <c r="AG7" s="35">
        <f>IF(OR(AC7="",V7="",V7=0),"",AC7/V7)</f>
        <v/>
      </c>
      <c r="AH7" s="36">
        <f>IF(OR(AG7="",AF7=""),"",(AG7-AF7)*100)</f>
        <v/>
      </c>
      <c r="AI7" s="33">
        <f>SUMIFS(Totals!$AJ$5:$AJ$49,Totals!$A$5:$A$49,"All landing pages",Totals!$B$5:$B$49,"Organic",Totals!$C$5:$C$49,"Total")</f>
        <v/>
      </c>
      <c r="AJ7" s="33">
        <f>SUMIFS(Totals!$AK$5:$AK$49,Totals!$A$5:$A$49,"All landing pages",Totals!$B$5:$B$49,"Organic",Totals!$C$5:$C$49,"Total")</f>
        <v/>
      </c>
      <c r="AK7" s="67">
        <f>IF(OR(AJ7="",AI7="",AI7=0,AJ7=0),"",AJ7-AI7)</f>
        <v/>
      </c>
      <c r="AL7" s="34">
        <f>IF(OR(AJ7="",AI7="",AI7=0,AJ7=0),"",AJ7/AI7-1)</f>
        <v/>
      </c>
      <c r="AM7" s="35">
        <f>IF(OR(AI7="",AB7="",AB7=0),"",AI7/AB7)</f>
        <v/>
      </c>
      <c r="AN7" s="35">
        <f>IF(OR(AJ7="",AC7="",AC7=0),"",AJ7/AC7)</f>
        <v/>
      </c>
      <c r="AO7" s="36">
        <f>IF(OR(AN7="",AM7=""),"",(AN7-AM7)*100)</f>
        <v/>
      </c>
      <c r="AP7" s="33">
        <f>SUMIFS(Totals!$AQ$5:$AQ$49,Totals!$A$5:$A$49,"All landing pages",Totals!$B$5:$B$49,"Organic",Totals!$C$5:$C$49,"Total")</f>
        <v/>
      </c>
      <c r="AQ7" s="33">
        <f>SUMIFS(Totals!$AR$5:$AR$49,Totals!$A$5:$A$49,"All landing pages",Totals!$B$5:$B$49,"Organic",Totals!$C$5:$C$49,"Total")</f>
        <v/>
      </c>
      <c r="AR7" s="67">
        <f>IF(OR(AQ7="",AP7="",AP7=0,AQ7=0),"",AQ7-AP7)</f>
        <v/>
      </c>
      <c r="AS7" s="34">
        <f>IF(OR(AQ7="",AP7="",AP7=0,AQ7=0),"",AQ7/AP7-1)</f>
        <v/>
      </c>
      <c r="AT7" s="35">
        <f>IF(OR(AP7="",AI7="",AI7=0),"",AP7/AI7)</f>
        <v/>
      </c>
      <c r="AU7" s="35">
        <f>IF(OR(AQ7="",AJ7="",AJ7=0),"",AQ7/AJ7)</f>
        <v/>
      </c>
      <c r="AV7" s="36">
        <f>IF(OR(AU7="",AT7=""),"",(AU7-AT7)*100)</f>
        <v/>
      </c>
      <c r="AW7" s="37">
        <f>IF(OR(AP7="",N7="",N7=0),"",AP7/N7)</f>
        <v/>
      </c>
      <c r="AX7" s="37">
        <f>IF(OR(AQ7="",O7="",O7=0),"",AQ7/O7)</f>
        <v/>
      </c>
      <c r="AY7" s="36">
        <f>IF(OR(AX7="",AW7=""),"",(AX7-AW7)*100)</f>
        <v/>
      </c>
      <c r="AZ7" s="37">
        <f>IF(OR(AP7="",C7="",C7=0),"",AP7/C7)</f>
        <v/>
      </c>
      <c r="BA7" s="37">
        <f>IF(OR(AQ7="",D7="",D7=0),"",AQ7/D7)</f>
        <v/>
      </c>
      <c r="BB7" s="36">
        <f>IF(OR(BA7="",AZ7=""),"",(BA7-AZ7)*100)</f>
        <v/>
      </c>
    </row>
    <row r="8">
      <c r="A8" s="32" t="inlineStr">
        <is>
          <t>All landing pages</t>
        </is>
      </c>
      <c r="B8" s="32" t="inlineStr">
        <is>
          <t>Direct</t>
        </is>
      </c>
      <c r="C8" s="33">
        <f>SUMIFS(Totals!$D$5:$D$49,Totals!$A$5:$A$49,"All landing pages",Totals!$B$5:$B$49,"Direct",Totals!$C$5:$C$49,"Total")</f>
        <v/>
      </c>
      <c r="D8" s="33">
        <f>SUMIFS(Totals!$E$5:$E$49,Totals!$A$5:$A$49,"All landing pages",Totals!$B$5:$B$49,"Direct",Totals!$C$5:$C$49,"Total")</f>
        <v/>
      </c>
      <c r="E8" s="67">
        <f>IF(OR(D8="",C8="",C8=0,D8=0),"",D8-C8)</f>
        <v/>
      </c>
      <c r="F8" s="34">
        <f>IF(OR(D8="",C8="",C8=0,D8=0),"",D8/C8-1)</f>
        <v/>
      </c>
      <c r="G8" s="33">
        <f>SUMIFS(Totals!$H$5:$H$49,Totals!$A$5:$A$49,"All landing pages",Totals!$B$5:$B$49,"Direct",Totals!$C$5:$C$49,"Total")</f>
        <v/>
      </c>
      <c r="H8" s="33">
        <f>SUMIFS(Totals!$I$5:$I$49,Totals!$A$5:$A$49,"All landing pages",Totals!$B$5:$B$49,"Direct",Totals!$C$5:$C$49,"Total")</f>
        <v/>
      </c>
      <c r="I8" s="67">
        <f>IF(OR(H8="",G8="",G8=0,H8=0),"",H8-G8)</f>
        <v/>
      </c>
      <c r="J8" s="34">
        <f>IF(OR(H8="",G8="",G8=0,H8=0),"",H8/G8-1)</f>
        <v/>
      </c>
      <c r="K8" s="35">
        <f>IF(OR(G8="",C8="",C8=0),"",G8/C8)</f>
        <v/>
      </c>
      <c r="L8" s="35">
        <f>IF(OR(H8="",D8="",D8=0),"",H8/D8)</f>
        <v/>
      </c>
      <c r="M8" s="36">
        <f>IF(OR(L8="",K8=""),"",(L8-K8)*100)</f>
        <v/>
      </c>
      <c r="N8" s="33">
        <f>SUMIFS(Totals!$O$5:$O$49,Totals!$A$5:$A$49,"All landing pages",Totals!$B$5:$B$49,"Direct",Totals!$C$5:$C$49,"Total")</f>
        <v/>
      </c>
      <c r="O8" s="33">
        <f>SUMIFS(Totals!$P$5:$P$49,Totals!$A$5:$A$49,"All landing pages",Totals!$B$5:$B$49,"Direct",Totals!$C$5:$C$49,"Total")</f>
        <v/>
      </c>
      <c r="P8" s="67">
        <f>IF(OR(O8="",N8="",N8=0,O8=0),"",O8-N8)</f>
        <v/>
      </c>
      <c r="Q8" s="34">
        <f>IF(OR(O8="",N8="",N8=0,O8=0),"",O8/N8-1)</f>
        <v/>
      </c>
      <c r="R8" s="35">
        <f>IF(OR(N8="",C8="",C8=0),"",N8/C8)</f>
        <v/>
      </c>
      <c r="S8" s="35">
        <f>IF(OR(O8="",D8="",D8=0),"",O8/D8)</f>
        <v/>
      </c>
      <c r="T8" s="36">
        <f>IF(OR(S8="",R8=""),"",(S8-R8)*100)</f>
        <v/>
      </c>
      <c r="U8" s="33">
        <f>SUMIFS(Totals!$V$5:$V$49,Totals!$A$5:$A$49,"All landing pages",Totals!$B$5:$B$49,"Direct",Totals!$C$5:$C$49,"Total")</f>
        <v/>
      </c>
      <c r="V8" s="33">
        <f>SUMIFS(Totals!$W$5:$W$49,Totals!$A$5:$A$49,"All landing pages",Totals!$B$5:$B$49,"Direct",Totals!$C$5:$C$49,"Total")</f>
        <v/>
      </c>
      <c r="W8" s="67">
        <f>IF(OR(V8="",U8="",U8=0,V8=0),"",V8-U8)</f>
        <v/>
      </c>
      <c r="X8" s="34">
        <f>IF(OR(V8="",U8="",U8=0,V8=0),"",V8/U8-1)</f>
        <v/>
      </c>
      <c r="Y8" s="35">
        <f>IF(OR(U8="",N8="",N8=0),"",U8/N8)</f>
        <v/>
      </c>
      <c r="Z8" s="35">
        <f>IF(OR(V8="",O8="",O8=0),"",V8/O8)</f>
        <v/>
      </c>
      <c r="AA8" s="36">
        <f>IF(OR(Z8="",Y8=""),"",(Z8-Y8)*100)</f>
        <v/>
      </c>
      <c r="AB8" s="33">
        <f>SUMIFS(Totals!$AC$5:$AC$49,Totals!$A$5:$A$49,"All landing pages",Totals!$B$5:$B$49,"Direct",Totals!$C$5:$C$49,"Total")</f>
        <v/>
      </c>
      <c r="AC8" s="33">
        <f>SUMIFS(Totals!$AD$5:$AD$49,Totals!$A$5:$A$49,"All landing pages",Totals!$B$5:$B$49,"Direct",Totals!$C$5:$C$49,"Total")</f>
        <v/>
      </c>
      <c r="AD8" s="67">
        <f>IF(OR(AC8="",AB8="",AB8=0,AC8=0),"",AC8-AB8)</f>
        <v/>
      </c>
      <c r="AE8" s="34">
        <f>IF(OR(AC8="",AB8="",AB8=0,AC8=0),"",AC8/AB8-1)</f>
        <v/>
      </c>
      <c r="AF8" s="35">
        <f>IF(OR(AB8="",U8="",U8=0),"",AB8/U8)</f>
        <v/>
      </c>
      <c r="AG8" s="35">
        <f>IF(OR(AC8="",V8="",V8=0),"",AC8/V8)</f>
        <v/>
      </c>
      <c r="AH8" s="36">
        <f>IF(OR(AG8="",AF8=""),"",(AG8-AF8)*100)</f>
        <v/>
      </c>
      <c r="AI8" s="33">
        <f>SUMIFS(Totals!$AJ$5:$AJ$49,Totals!$A$5:$A$49,"All landing pages",Totals!$B$5:$B$49,"Direct",Totals!$C$5:$C$49,"Total")</f>
        <v/>
      </c>
      <c r="AJ8" s="33">
        <f>SUMIFS(Totals!$AK$5:$AK$49,Totals!$A$5:$A$49,"All landing pages",Totals!$B$5:$B$49,"Direct",Totals!$C$5:$C$49,"Total")</f>
        <v/>
      </c>
      <c r="AK8" s="67">
        <f>IF(OR(AJ8="",AI8="",AI8=0,AJ8=0),"",AJ8-AI8)</f>
        <v/>
      </c>
      <c r="AL8" s="34">
        <f>IF(OR(AJ8="",AI8="",AI8=0,AJ8=0),"",AJ8/AI8-1)</f>
        <v/>
      </c>
      <c r="AM8" s="35">
        <f>IF(OR(AI8="",AB8="",AB8=0),"",AI8/AB8)</f>
        <v/>
      </c>
      <c r="AN8" s="35">
        <f>IF(OR(AJ8="",AC8="",AC8=0),"",AJ8/AC8)</f>
        <v/>
      </c>
      <c r="AO8" s="36">
        <f>IF(OR(AN8="",AM8=""),"",(AN8-AM8)*100)</f>
        <v/>
      </c>
      <c r="AP8" s="33">
        <f>SUMIFS(Totals!$AQ$5:$AQ$49,Totals!$A$5:$A$49,"All landing pages",Totals!$B$5:$B$49,"Direct",Totals!$C$5:$C$49,"Total")</f>
        <v/>
      </c>
      <c r="AQ8" s="33">
        <f>SUMIFS(Totals!$AR$5:$AR$49,Totals!$A$5:$A$49,"All landing pages",Totals!$B$5:$B$49,"Direct",Totals!$C$5:$C$49,"Total")</f>
        <v/>
      </c>
      <c r="AR8" s="67">
        <f>IF(OR(AQ8="",AP8="",AP8=0,AQ8=0),"",AQ8-AP8)</f>
        <v/>
      </c>
      <c r="AS8" s="34">
        <f>IF(OR(AQ8="",AP8="",AP8=0,AQ8=0),"",AQ8/AP8-1)</f>
        <v/>
      </c>
      <c r="AT8" s="35">
        <f>IF(OR(AP8="",AI8="",AI8=0),"",AP8/AI8)</f>
        <v/>
      </c>
      <c r="AU8" s="35">
        <f>IF(OR(AQ8="",AJ8="",AJ8=0),"",AQ8/AJ8)</f>
        <v/>
      </c>
      <c r="AV8" s="36">
        <f>IF(OR(AU8="",AT8=""),"",(AU8-AT8)*100)</f>
        <v/>
      </c>
      <c r="AW8" s="37">
        <f>IF(OR(AP8="",N8="",N8=0),"",AP8/N8)</f>
        <v/>
      </c>
      <c r="AX8" s="37">
        <f>IF(OR(AQ8="",O8="",O8=0),"",AQ8/O8)</f>
        <v/>
      </c>
      <c r="AY8" s="36">
        <f>IF(OR(AX8="",AW8=""),"",(AX8-AW8)*100)</f>
        <v/>
      </c>
      <c r="AZ8" s="37">
        <f>IF(OR(AP8="",C8="",C8=0),"",AP8/C8)</f>
        <v/>
      </c>
      <c r="BA8" s="37">
        <f>IF(OR(AQ8="",D8="",D8=0),"",AQ8/D8)</f>
        <v/>
      </c>
      <c r="BB8" s="36">
        <f>IF(OR(BA8="",AZ8=""),"",(BA8-AZ8)*100)</f>
        <v/>
      </c>
    </row>
    <row r="9">
      <c r="A9" s="40" t="inlineStr">
        <is>
          <t>Home page</t>
        </is>
      </c>
      <c r="B9" s="40" t="inlineStr">
        <is>
          <t>Paid Search</t>
        </is>
      </c>
      <c r="C9" s="41">
        <f>SUMIFS(Totals!$D$5:$D$49,Totals!$A$5:$A$49,"Home page",Totals!$B$5:$B$49,"Paid Search",Totals!$C$5:$C$49,"Total")</f>
        <v/>
      </c>
      <c r="D9" s="41">
        <f>SUMIFS(Totals!$E$5:$E$49,Totals!$A$5:$A$49,"Home page",Totals!$B$5:$B$49,"Paid Search",Totals!$C$5:$C$49,"Total")</f>
        <v/>
      </c>
      <c r="E9" s="69">
        <f>IF(OR(D9="",C9="",C9=0,D9=0),"",D9-C9)</f>
        <v/>
      </c>
      <c r="F9" s="42">
        <f>IF(OR(D9="",C9="",C9=0,D9=0),"",D9/C9-1)</f>
        <v/>
      </c>
      <c r="G9" s="41">
        <f>SUMIFS(Totals!$H$5:$H$49,Totals!$A$5:$A$49,"Home page",Totals!$B$5:$B$49,"Paid Search",Totals!$C$5:$C$49,"Total")</f>
        <v/>
      </c>
      <c r="H9" s="41">
        <f>SUMIFS(Totals!$I$5:$I$49,Totals!$A$5:$A$49,"Home page",Totals!$B$5:$B$49,"Paid Search",Totals!$C$5:$C$49,"Total")</f>
        <v/>
      </c>
      <c r="I9" s="69">
        <f>IF(OR(H9="",G9="",G9=0,H9=0),"",H9-G9)</f>
        <v/>
      </c>
      <c r="J9" s="42">
        <f>IF(OR(H9="",G9="",G9=0,H9=0),"",H9/G9-1)</f>
        <v/>
      </c>
      <c r="K9" s="43">
        <f>IF(OR(G9="",C9="",C9=0),"",G9/C9)</f>
        <v/>
      </c>
      <c r="L9" s="43">
        <f>IF(OR(H9="",D9="",D9=0),"",H9/D9)</f>
        <v/>
      </c>
      <c r="M9" s="44">
        <f>IF(OR(L9="",K9=""),"",(L9-K9)*100)</f>
        <v/>
      </c>
      <c r="N9" s="41">
        <f>SUMIFS(Totals!$O$5:$O$49,Totals!$A$5:$A$49,"Home page",Totals!$B$5:$B$49,"Paid Search",Totals!$C$5:$C$49,"Total")</f>
        <v/>
      </c>
      <c r="O9" s="41">
        <f>SUMIFS(Totals!$P$5:$P$49,Totals!$A$5:$A$49,"Home page",Totals!$B$5:$B$49,"Paid Search",Totals!$C$5:$C$49,"Total")</f>
        <v/>
      </c>
      <c r="P9" s="69">
        <f>IF(OR(O9="",N9="",N9=0,O9=0),"",O9-N9)</f>
        <v/>
      </c>
      <c r="Q9" s="42">
        <f>IF(OR(O9="",N9="",N9=0,O9=0),"",O9/N9-1)</f>
        <v/>
      </c>
      <c r="R9" s="43">
        <f>IF(OR(N9="",C9="",C9=0),"",N9/C9)</f>
        <v/>
      </c>
      <c r="S9" s="43">
        <f>IF(OR(O9="",D9="",D9=0),"",O9/D9)</f>
        <v/>
      </c>
      <c r="T9" s="44">
        <f>IF(OR(S9="",R9=""),"",(S9-R9)*100)</f>
        <v/>
      </c>
      <c r="U9" s="41">
        <f>SUMIFS(Totals!$V$5:$V$49,Totals!$A$5:$A$49,"Home page",Totals!$B$5:$B$49,"Paid Search",Totals!$C$5:$C$49,"Total")</f>
        <v/>
      </c>
      <c r="V9" s="41">
        <f>SUMIFS(Totals!$W$5:$W$49,Totals!$A$5:$A$49,"Home page",Totals!$B$5:$B$49,"Paid Search",Totals!$C$5:$C$49,"Total")</f>
        <v/>
      </c>
      <c r="W9" s="69">
        <f>IF(OR(V9="",U9="",U9=0,V9=0),"",V9-U9)</f>
        <v/>
      </c>
      <c r="X9" s="42">
        <f>IF(OR(V9="",U9="",U9=0,V9=0),"",V9/U9-1)</f>
        <v/>
      </c>
      <c r="Y9" s="43">
        <f>IF(OR(U9="",N9="",N9=0),"",U9/N9)</f>
        <v/>
      </c>
      <c r="Z9" s="43">
        <f>IF(OR(V9="",O9="",O9=0),"",V9/O9)</f>
        <v/>
      </c>
      <c r="AA9" s="44">
        <f>IF(OR(Z9="",Y9=""),"",(Z9-Y9)*100)</f>
        <v/>
      </c>
      <c r="AB9" s="41">
        <f>SUMIFS(Totals!$AC$5:$AC$49,Totals!$A$5:$A$49,"Home page",Totals!$B$5:$B$49,"Paid Search",Totals!$C$5:$C$49,"Total")</f>
        <v/>
      </c>
      <c r="AC9" s="41">
        <f>SUMIFS(Totals!$AD$5:$AD$49,Totals!$A$5:$A$49,"Home page",Totals!$B$5:$B$49,"Paid Search",Totals!$C$5:$C$49,"Total")</f>
        <v/>
      </c>
      <c r="AD9" s="69">
        <f>IF(OR(AC9="",AB9="",AB9=0,AC9=0),"",AC9-AB9)</f>
        <v/>
      </c>
      <c r="AE9" s="42">
        <f>IF(OR(AC9="",AB9="",AB9=0,AC9=0),"",AC9/AB9-1)</f>
        <v/>
      </c>
      <c r="AF9" s="43">
        <f>IF(OR(AB9="",U9="",U9=0),"",AB9/U9)</f>
        <v/>
      </c>
      <c r="AG9" s="43">
        <f>IF(OR(AC9="",V9="",V9=0),"",AC9/V9)</f>
        <v/>
      </c>
      <c r="AH9" s="44">
        <f>IF(OR(AG9="",AF9=""),"",(AG9-AF9)*100)</f>
        <v/>
      </c>
      <c r="AI9" s="41">
        <f>SUMIFS(Totals!$AJ$5:$AJ$49,Totals!$A$5:$A$49,"Home page",Totals!$B$5:$B$49,"Paid Search",Totals!$C$5:$C$49,"Total")</f>
        <v/>
      </c>
      <c r="AJ9" s="41">
        <f>SUMIFS(Totals!$AK$5:$AK$49,Totals!$A$5:$A$49,"Home page",Totals!$B$5:$B$49,"Paid Search",Totals!$C$5:$C$49,"Total")</f>
        <v/>
      </c>
      <c r="AK9" s="69">
        <f>IF(OR(AJ9="",AI9="",AI9=0,AJ9=0),"",AJ9-AI9)</f>
        <v/>
      </c>
      <c r="AL9" s="42">
        <f>IF(OR(AJ9="",AI9="",AI9=0,AJ9=0),"",AJ9/AI9-1)</f>
        <v/>
      </c>
      <c r="AM9" s="43">
        <f>IF(OR(AI9="",AB9="",AB9=0),"",AI9/AB9)</f>
        <v/>
      </c>
      <c r="AN9" s="43">
        <f>IF(OR(AJ9="",AC9="",AC9=0),"",AJ9/AC9)</f>
        <v/>
      </c>
      <c r="AO9" s="44">
        <f>IF(OR(AN9="",AM9=""),"",(AN9-AM9)*100)</f>
        <v/>
      </c>
      <c r="AP9" s="41">
        <f>SUMIFS(Totals!$AQ$5:$AQ$49,Totals!$A$5:$A$49,"Home page",Totals!$B$5:$B$49,"Paid Search",Totals!$C$5:$C$49,"Total")</f>
        <v/>
      </c>
      <c r="AQ9" s="41">
        <f>SUMIFS(Totals!$AR$5:$AR$49,Totals!$A$5:$A$49,"Home page",Totals!$B$5:$B$49,"Paid Search",Totals!$C$5:$C$49,"Total")</f>
        <v/>
      </c>
      <c r="AR9" s="69">
        <f>IF(OR(AQ9="",AP9="",AP9=0,AQ9=0),"",AQ9-AP9)</f>
        <v/>
      </c>
      <c r="AS9" s="42">
        <f>IF(OR(AQ9="",AP9="",AP9=0,AQ9=0),"",AQ9/AP9-1)</f>
        <v/>
      </c>
      <c r="AT9" s="43">
        <f>IF(OR(AP9="",AI9="",AI9=0),"",AP9/AI9)</f>
        <v/>
      </c>
      <c r="AU9" s="43">
        <f>IF(OR(AQ9="",AJ9="",AJ9=0),"",AQ9/AJ9)</f>
        <v/>
      </c>
      <c r="AV9" s="44">
        <f>IF(OR(AU9="",AT9=""),"",(AU9-AT9)*100)</f>
        <v/>
      </c>
      <c r="AW9" s="45">
        <f>IF(OR(AP9="",N9="",N9=0),"",AP9/N9)</f>
        <v/>
      </c>
      <c r="AX9" s="45">
        <f>IF(OR(AQ9="",O9="",O9=0),"",AQ9/O9)</f>
        <v/>
      </c>
      <c r="AY9" s="44">
        <f>IF(OR(AX9="",AW9=""),"",(AX9-AW9)*100)</f>
        <v/>
      </c>
      <c r="AZ9" s="45">
        <f>IF(OR(AP9="",C9="",C9=0),"",AP9/C9)</f>
        <v/>
      </c>
      <c r="BA9" s="45">
        <f>IF(OR(AQ9="",D9="",D9=0),"",AQ9/D9)</f>
        <v/>
      </c>
      <c r="BB9" s="44">
        <f>IF(OR(BA9="",AZ9=""),"",(BA9-AZ9)*100)</f>
        <v/>
      </c>
    </row>
    <row r="10">
      <c r="A10" s="40" t="inlineStr">
        <is>
          <t>Home page</t>
        </is>
      </c>
      <c r="B10" s="40" t="inlineStr">
        <is>
          <t>Organic</t>
        </is>
      </c>
      <c r="C10" s="41">
        <f>SUMIFS(Totals!$D$5:$D$49,Totals!$A$5:$A$49,"Home page",Totals!$B$5:$B$49,"Organic",Totals!$C$5:$C$49,"Total")</f>
        <v/>
      </c>
      <c r="D10" s="41">
        <f>SUMIFS(Totals!$E$5:$E$49,Totals!$A$5:$A$49,"Home page",Totals!$B$5:$B$49,"Organic",Totals!$C$5:$C$49,"Total")</f>
        <v/>
      </c>
      <c r="E10" s="69">
        <f>IF(OR(D10="",C10="",C10=0,D10=0),"",D10-C10)</f>
        <v/>
      </c>
      <c r="F10" s="42">
        <f>IF(OR(D10="",C10="",C10=0,D10=0),"",D10/C10-1)</f>
        <v/>
      </c>
      <c r="G10" s="41">
        <f>SUMIFS(Totals!$H$5:$H$49,Totals!$A$5:$A$49,"Home page",Totals!$B$5:$B$49,"Organic",Totals!$C$5:$C$49,"Total")</f>
        <v/>
      </c>
      <c r="H10" s="41">
        <f>SUMIFS(Totals!$I$5:$I$49,Totals!$A$5:$A$49,"Home page",Totals!$B$5:$B$49,"Organic",Totals!$C$5:$C$49,"Total")</f>
        <v/>
      </c>
      <c r="I10" s="69">
        <f>IF(OR(H10="",G10="",G10=0,H10=0),"",H10-G10)</f>
        <v/>
      </c>
      <c r="J10" s="42">
        <f>IF(OR(H10="",G10="",G10=0,H10=0),"",H10/G10-1)</f>
        <v/>
      </c>
      <c r="K10" s="43">
        <f>IF(OR(G10="",C10="",C10=0),"",G10/C10)</f>
        <v/>
      </c>
      <c r="L10" s="43">
        <f>IF(OR(H10="",D10="",D10=0),"",H10/D10)</f>
        <v/>
      </c>
      <c r="M10" s="44">
        <f>IF(OR(L10="",K10=""),"",(L10-K10)*100)</f>
        <v/>
      </c>
      <c r="N10" s="41">
        <f>SUMIFS(Totals!$O$5:$O$49,Totals!$A$5:$A$49,"Home page",Totals!$B$5:$B$49,"Organic",Totals!$C$5:$C$49,"Total")</f>
        <v/>
      </c>
      <c r="O10" s="41">
        <f>SUMIFS(Totals!$P$5:$P$49,Totals!$A$5:$A$49,"Home page",Totals!$B$5:$B$49,"Organic",Totals!$C$5:$C$49,"Total")</f>
        <v/>
      </c>
      <c r="P10" s="69">
        <f>IF(OR(O10="",N10="",N10=0,O10=0),"",O10-N10)</f>
        <v/>
      </c>
      <c r="Q10" s="42">
        <f>IF(OR(O10="",N10="",N10=0,O10=0),"",O10/N10-1)</f>
        <v/>
      </c>
      <c r="R10" s="43">
        <f>IF(OR(N10="",C10="",C10=0),"",N10/C10)</f>
        <v/>
      </c>
      <c r="S10" s="43">
        <f>IF(OR(O10="",D10="",D10=0),"",O10/D10)</f>
        <v/>
      </c>
      <c r="T10" s="44">
        <f>IF(OR(S10="",R10=""),"",(S10-R10)*100)</f>
        <v/>
      </c>
      <c r="U10" s="41">
        <f>SUMIFS(Totals!$V$5:$V$49,Totals!$A$5:$A$49,"Home page",Totals!$B$5:$B$49,"Organic",Totals!$C$5:$C$49,"Total")</f>
        <v/>
      </c>
      <c r="V10" s="41">
        <f>SUMIFS(Totals!$W$5:$W$49,Totals!$A$5:$A$49,"Home page",Totals!$B$5:$B$49,"Organic",Totals!$C$5:$C$49,"Total")</f>
        <v/>
      </c>
      <c r="W10" s="69">
        <f>IF(OR(V10="",U10="",U10=0,V10=0),"",V10-U10)</f>
        <v/>
      </c>
      <c r="X10" s="42">
        <f>IF(OR(V10="",U10="",U10=0,V10=0),"",V10/U10-1)</f>
        <v/>
      </c>
      <c r="Y10" s="43">
        <f>IF(OR(U10="",N10="",N10=0),"",U10/N10)</f>
        <v/>
      </c>
      <c r="Z10" s="43">
        <f>IF(OR(V10="",O10="",O10=0),"",V10/O10)</f>
        <v/>
      </c>
      <c r="AA10" s="44">
        <f>IF(OR(Z10="",Y10=""),"",(Z10-Y10)*100)</f>
        <v/>
      </c>
      <c r="AB10" s="41">
        <f>SUMIFS(Totals!$AC$5:$AC$49,Totals!$A$5:$A$49,"Home page",Totals!$B$5:$B$49,"Organic",Totals!$C$5:$C$49,"Total")</f>
        <v/>
      </c>
      <c r="AC10" s="41">
        <f>SUMIFS(Totals!$AD$5:$AD$49,Totals!$A$5:$A$49,"Home page",Totals!$B$5:$B$49,"Organic",Totals!$C$5:$C$49,"Total")</f>
        <v/>
      </c>
      <c r="AD10" s="69">
        <f>IF(OR(AC10="",AB10="",AB10=0,AC10=0),"",AC10-AB10)</f>
        <v/>
      </c>
      <c r="AE10" s="42">
        <f>IF(OR(AC10="",AB10="",AB10=0,AC10=0),"",AC10/AB10-1)</f>
        <v/>
      </c>
      <c r="AF10" s="43">
        <f>IF(OR(AB10="",U10="",U10=0),"",AB10/U10)</f>
        <v/>
      </c>
      <c r="AG10" s="43">
        <f>IF(OR(AC10="",V10="",V10=0),"",AC10/V10)</f>
        <v/>
      </c>
      <c r="AH10" s="44">
        <f>IF(OR(AG10="",AF10=""),"",(AG10-AF10)*100)</f>
        <v/>
      </c>
      <c r="AI10" s="41">
        <f>SUMIFS(Totals!$AJ$5:$AJ$49,Totals!$A$5:$A$49,"Home page",Totals!$B$5:$B$49,"Organic",Totals!$C$5:$C$49,"Total")</f>
        <v/>
      </c>
      <c r="AJ10" s="41">
        <f>SUMIFS(Totals!$AK$5:$AK$49,Totals!$A$5:$A$49,"Home page",Totals!$B$5:$B$49,"Organic",Totals!$C$5:$C$49,"Total")</f>
        <v/>
      </c>
      <c r="AK10" s="69">
        <f>IF(OR(AJ10="",AI10="",AI10=0,AJ10=0),"",AJ10-AI10)</f>
        <v/>
      </c>
      <c r="AL10" s="42">
        <f>IF(OR(AJ10="",AI10="",AI10=0,AJ10=0),"",AJ10/AI10-1)</f>
        <v/>
      </c>
      <c r="AM10" s="43">
        <f>IF(OR(AI10="",AB10="",AB10=0),"",AI10/AB10)</f>
        <v/>
      </c>
      <c r="AN10" s="43">
        <f>IF(OR(AJ10="",AC10="",AC10=0),"",AJ10/AC10)</f>
        <v/>
      </c>
      <c r="AO10" s="44">
        <f>IF(OR(AN10="",AM10=""),"",(AN10-AM10)*100)</f>
        <v/>
      </c>
      <c r="AP10" s="41">
        <f>SUMIFS(Totals!$AQ$5:$AQ$49,Totals!$A$5:$A$49,"Home page",Totals!$B$5:$B$49,"Organic",Totals!$C$5:$C$49,"Total")</f>
        <v/>
      </c>
      <c r="AQ10" s="41">
        <f>SUMIFS(Totals!$AR$5:$AR$49,Totals!$A$5:$A$49,"Home page",Totals!$B$5:$B$49,"Organic",Totals!$C$5:$C$49,"Total")</f>
        <v/>
      </c>
      <c r="AR10" s="69">
        <f>IF(OR(AQ10="",AP10="",AP10=0,AQ10=0),"",AQ10-AP10)</f>
        <v/>
      </c>
      <c r="AS10" s="42">
        <f>IF(OR(AQ10="",AP10="",AP10=0,AQ10=0),"",AQ10/AP10-1)</f>
        <v/>
      </c>
      <c r="AT10" s="43">
        <f>IF(OR(AP10="",AI10="",AI10=0),"",AP10/AI10)</f>
        <v/>
      </c>
      <c r="AU10" s="43">
        <f>IF(OR(AQ10="",AJ10="",AJ10=0),"",AQ10/AJ10)</f>
        <v/>
      </c>
      <c r="AV10" s="44">
        <f>IF(OR(AU10="",AT10=""),"",(AU10-AT10)*100)</f>
        <v/>
      </c>
      <c r="AW10" s="45">
        <f>IF(OR(AP10="",N10="",N10=0),"",AP10/N10)</f>
        <v/>
      </c>
      <c r="AX10" s="45">
        <f>IF(OR(AQ10="",O10="",O10=0),"",AQ10/O10)</f>
        <v/>
      </c>
      <c r="AY10" s="44">
        <f>IF(OR(AX10="",AW10=""),"",(AX10-AW10)*100)</f>
        <v/>
      </c>
      <c r="AZ10" s="45">
        <f>IF(OR(AP10="",C10="",C10=0),"",AP10/C10)</f>
        <v/>
      </c>
      <c r="BA10" s="45">
        <f>IF(OR(AQ10="",D10="",D10=0),"",AQ10/D10)</f>
        <v/>
      </c>
      <c r="BB10" s="44">
        <f>IF(OR(BA10="",AZ10=""),"",(BA10-AZ10)*100)</f>
        <v/>
      </c>
    </row>
    <row r="11">
      <c r="A11" s="40" t="inlineStr">
        <is>
          <t>Home page</t>
        </is>
      </c>
      <c r="B11" s="40" t="inlineStr">
        <is>
          <t>Direct</t>
        </is>
      </c>
      <c r="C11" s="41">
        <f>SUMIFS(Totals!$D$5:$D$49,Totals!$A$5:$A$49,"Home page",Totals!$B$5:$B$49,"Direct",Totals!$C$5:$C$49,"Total")</f>
        <v/>
      </c>
      <c r="D11" s="41">
        <f>SUMIFS(Totals!$E$5:$E$49,Totals!$A$5:$A$49,"Home page",Totals!$B$5:$B$49,"Direct",Totals!$C$5:$C$49,"Total")</f>
        <v/>
      </c>
      <c r="E11" s="69">
        <f>IF(OR(D11="",C11="",C11=0,D11=0),"",D11-C11)</f>
        <v/>
      </c>
      <c r="F11" s="42">
        <f>IF(OR(D11="",C11="",C11=0,D11=0),"",D11/C11-1)</f>
        <v/>
      </c>
      <c r="G11" s="41">
        <f>SUMIFS(Totals!$H$5:$H$49,Totals!$A$5:$A$49,"Home page",Totals!$B$5:$B$49,"Direct",Totals!$C$5:$C$49,"Total")</f>
        <v/>
      </c>
      <c r="H11" s="41">
        <f>SUMIFS(Totals!$I$5:$I$49,Totals!$A$5:$A$49,"Home page",Totals!$B$5:$B$49,"Direct",Totals!$C$5:$C$49,"Total")</f>
        <v/>
      </c>
      <c r="I11" s="69">
        <f>IF(OR(H11="",G11="",G11=0,H11=0),"",H11-G11)</f>
        <v/>
      </c>
      <c r="J11" s="42">
        <f>IF(OR(H11="",G11="",G11=0,H11=0),"",H11/G11-1)</f>
        <v/>
      </c>
      <c r="K11" s="43">
        <f>IF(OR(G11="",C11="",C11=0),"",G11/C11)</f>
        <v/>
      </c>
      <c r="L11" s="43">
        <f>IF(OR(H11="",D11="",D11=0),"",H11/D11)</f>
        <v/>
      </c>
      <c r="M11" s="44">
        <f>IF(OR(L11="",K11=""),"",(L11-K11)*100)</f>
        <v/>
      </c>
      <c r="N11" s="41">
        <f>SUMIFS(Totals!$O$5:$O$49,Totals!$A$5:$A$49,"Home page",Totals!$B$5:$B$49,"Direct",Totals!$C$5:$C$49,"Total")</f>
        <v/>
      </c>
      <c r="O11" s="41">
        <f>SUMIFS(Totals!$P$5:$P$49,Totals!$A$5:$A$49,"Home page",Totals!$B$5:$B$49,"Direct",Totals!$C$5:$C$49,"Total")</f>
        <v/>
      </c>
      <c r="P11" s="69">
        <f>IF(OR(O11="",N11="",N11=0,O11=0),"",O11-N11)</f>
        <v/>
      </c>
      <c r="Q11" s="42">
        <f>IF(OR(O11="",N11="",N11=0,O11=0),"",O11/N11-1)</f>
        <v/>
      </c>
      <c r="R11" s="43">
        <f>IF(OR(N11="",C11="",C11=0),"",N11/C11)</f>
        <v/>
      </c>
      <c r="S11" s="43">
        <f>IF(OR(O11="",D11="",D11=0),"",O11/D11)</f>
        <v/>
      </c>
      <c r="T11" s="44">
        <f>IF(OR(S11="",R11=""),"",(S11-R11)*100)</f>
        <v/>
      </c>
      <c r="U11" s="41">
        <f>SUMIFS(Totals!$V$5:$V$49,Totals!$A$5:$A$49,"Home page",Totals!$B$5:$B$49,"Direct",Totals!$C$5:$C$49,"Total")</f>
        <v/>
      </c>
      <c r="V11" s="41">
        <f>SUMIFS(Totals!$W$5:$W$49,Totals!$A$5:$A$49,"Home page",Totals!$B$5:$B$49,"Direct",Totals!$C$5:$C$49,"Total")</f>
        <v/>
      </c>
      <c r="W11" s="69">
        <f>IF(OR(V11="",U11="",U11=0,V11=0),"",V11-U11)</f>
        <v/>
      </c>
      <c r="X11" s="42">
        <f>IF(OR(V11="",U11="",U11=0,V11=0),"",V11/U11-1)</f>
        <v/>
      </c>
      <c r="Y11" s="43">
        <f>IF(OR(U11="",N11="",N11=0),"",U11/N11)</f>
        <v/>
      </c>
      <c r="Z11" s="43">
        <f>IF(OR(V11="",O11="",O11=0),"",V11/O11)</f>
        <v/>
      </c>
      <c r="AA11" s="44">
        <f>IF(OR(Z11="",Y11=""),"",(Z11-Y11)*100)</f>
        <v/>
      </c>
      <c r="AB11" s="41">
        <f>SUMIFS(Totals!$AC$5:$AC$49,Totals!$A$5:$A$49,"Home page",Totals!$B$5:$B$49,"Direct",Totals!$C$5:$C$49,"Total")</f>
        <v/>
      </c>
      <c r="AC11" s="41">
        <f>SUMIFS(Totals!$AD$5:$AD$49,Totals!$A$5:$A$49,"Home page",Totals!$B$5:$B$49,"Direct",Totals!$C$5:$C$49,"Total")</f>
        <v/>
      </c>
      <c r="AD11" s="69">
        <f>IF(OR(AC11="",AB11="",AB11=0,AC11=0),"",AC11-AB11)</f>
        <v/>
      </c>
      <c r="AE11" s="42">
        <f>IF(OR(AC11="",AB11="",AB11=0,AC11=0),"",AC11/AB11-1)</f>
        <v/>
      </c>
      <c r="AF11" s="43">
        <f>IF(OR(AB11="",U11="",U11=0),"",AB11/U11)</f>
        <v/>
      </c>
      <c r="AG11" s="43">
        <f>IF(OR(AC11="",V11="",V11=0),"",AC11/V11)</f>
        <v/>
      </c>
      <c r="AH11" s="44">
        <f>IF(OR(AG11="",AF11=""),"",(AG11-AF11)*100)</f>
        <v/>
      </c>
      <c r="AI11" s="41">
        <f>SUMIFS(Totals!$AJ$5:$AJ$49,Totals!$A$5:$A$49,"Home page",Totals!$B$5:$B$49,"Direct",Totals!$C$5:$C$49,"Total")</f>
        <v/>
      </c>
      <c r="AJ11" s="41">
        <f>SUMIFS(Totals!$AK$5:$AK$49,Totals!$A$5:$A$49,"Home page",Totals!$B$5:$B$49,"Direct",Totals!$C$5:$C$49,"Total")</f>
        <v/>
      </c>
      <c r="AK11" s="69">
        <f>IF(OR(AJ11="",AI11="",AI11=0,AJ11=0),"",AJ11-AI11)</f>
        <v/>
      </c>
      <c r="AL11" s="42">
        <f>IF(OR(AJ11="",AI11="",AI11=0,AJ11=0),"",AJ11/AI11-1)</f>
        <v/>
      </c>
      <c r="AM11" s="43">
        <f>IF(OR(AI11="",AB11="",AB11=0),"",AI11/AB11)</f>
        <v/>
      </c>
      <c r="AN11" s="43">
        <f>IF(OR(AJ11="",AC11="",AC11=0),"",AJ11/AC11)</f>
        <v/>
      </c>
      <c r="AO11" s="44">
        <f>IF(OR(AN11="",AM11=""),"",(AN11-AM11)*100)</f>
        <v/>
      </c>
      <c r="AP11" s="41">
        <f>SUMIFS(Totals!$AQ$5:$AQ$49,Totals!$A$5:$A$49,"Home page",Totals!$B$5:$B$49,"Direct",Totals!$C$5:$C$49,"Total")</f>
        <v/>
      </c>
      <c r="AQ11" s="41">
        <f>SUMIFS(Totals!$AR$5:$AR$49,Totals!$A$5:$A$49,"Home page",Totals!$B$5:$B$49,"Direct",Totals!$C$5:$C$49,"Total")</f>
        <v/>
      </c>
      <c r="AR11" s="69">
        <f>IF(OR(AQ11="",AP11="",AP11=0,AQ11=0),"",AQ11-AP11)</f>
        <v/>
      </c>
      <c r="AS11" s="42">
        <f>IF(OR(AQ11="",AP11="",AP11=0,AQ11=0),"",AQ11/AP11-1)</f>
        <v/>
      </c>
      <c r="AT11" s="43">
        <f>IF(OR(AP11="",AI11="",AI11=0),"",AP11/AI11)</f>
        <v/>
      </c>
      <c r="AU11" s="43">
        <f>IF(OR(AQ11="",AJ11="",AJ11=0),"",AQ11/AJ11)</f>
        <v/>
      </c>
      <c r="AV11" s="44">
        <f>IF(OR(AU11="",AT11=""),"",(AU11-AT11)*100)</f>
        <v/>
      </c>
      <c r="AW11" s="45">
        <f>IF(OR(AP11="",N11="",N11=0),"",AP11/N11)</f>
        <v/>
      </c>
      <c r="AX11" s="45">
        <f>IF(OR(AQ11="",O11="",O11=0),"",AQ11/O11)</f>
        <v/>
      </c>
      <c r="AY11" s="44">
        <f>IF(OR(AX11="",AW11=""),"",(AX11-AW11)*100)</f>
        <v/>
      </c>
      <c r="AZ11" s="45">
        <f>IF(OR(AP11="",C11="",C11=0),"",AP11/C11)</f>
        <v/>
      </c>
      <c r="BA11" s="45">
        <f>IF(OR(AQ11="",D11="",D11=0),"",AQ11/D11)</f>
        <v/>
      </c>
      <c r="BB11" s="44">
        <f>IF(OR(BA11="",AZ11=""),"",(BA11-AZ11)*100)</f>
        <v/>
      </c>
    </row>
    <row r="12">
      <c r="A12" s="40" t="inlineStr">
        <is>
          <t>Airport page</t>
        </is>
      </c>
      <c r="B12" s="40" t="inlineStr">
        <is>
          <t>Paid Search</t>
        </is>
      </c>
      <c r="C12" s="41">
        <f>SUMIFS(Totals!$D$5:$D$49,Totals!$A$5:$A$49,"Airport page",Totals!$B$5:$B$49,"Paid Search",Totals!$C$5:$C$49,"Total")</f>
        <v/>
      </c>
      <c r="D12" s="41">
        <f>SUMIFS(Totals!$E$5:$E$49,Totals!$A$5:$A$49,"Airport page",Totals!$B$5:$B$49,"Paid Search",Totals!$C$5:$C$49,"Total")</f>
        <v/>
      </c>
      <c r="E12" s="69">
        <f>IF(OR(D12="",C12="",C12=0,D12=0),"",D12-C12)</f>
        <v/>
      </c>
      <c r="F12" s="42">
        <f>IF(OR(D12="",C12="",C12=0,D12=0),"",D12/C12-1)</f>
        <v/>
      </c>
      <c r="G12" s="41">
        <f>SUMIFS(Totals!$H$5:$H$49,Totals!$A$5:$A$49,"Airport page",Totals!$B$5:$B$49,"Paid Search",Totals!$C$5:$C$49,"Total")</f>
        <v/>
      </c>
      <c r="H12" s="41">
        <f>SUMIFS(Totals!$I$5:$I$49,Totals!$A$5:$A$49,"Airport page",Totals!$B$5:$B$49,"Paid Search",Totals!$C$5:$C$49,"Total")</f>
        <v/>
      </c>
      <c r="I12" s="69">
        <f>IF(OR(H12="",G12="",G12=0,H12=0),"",H12-G12)</f>
        <v/>
      </c>
      <c r="J12" s="42">
        <f>IF(OR(H12="",G12="",G12=0,H12=0),"",H12/G12-1)</f>
        <v/>
      </c>
      <c r="K12" s="43">
        <f>IF(OR(G12="",C12="",C12=0),"",G12/C12)</f>
        <v/>
      </c>
      <c r="L12" s="43">
        <f>IF(OR(H12="",D12="",D12=0),"",H12/D12)</f>
        <v/>
      </c>
      <c r="M12" s="44">
        <f>IF(OR(L12="",K12=""),"",(L12-K12)*100)</f>
        <v/>
      </c>
      <c r="N12" s="41">
        <f>SUMIFS(Totals!$O$5:$O$49,Totals!$A$5:$A$49,"Airport page",Totals!$B$5:$B$49,"Paid Search",Totals!$C$5:$C$49,"Total")</f>
        <v/>
      </c>
      <c r="O12" s="41">
        <f>SUMIFS(Totals!$P$5:$P$49,Totals!$A$5:$A$49,"Airport page",Totals!$B$5:$B$49,"Paid Search",Totals!$C$5:$C$49,"Total")</f>
        <v/>
      </c>
      <c r="P12" s="69">
        <f>IF(OR(O12="",N12="",N12=0,O12=0),"",O12-N12)</f>
        <v/>
      </c>
      <c r="Q12" s="42">
        <f>IF(OR(O12="",N12="",N12=0,O12=0),"",O12/N12-1)</f>
        <v/>
      </c>
      <c r="R12" s="43">
        <f>IF(OR(N12="",C12="",C12=0),"",N12/C12)</f>
        <v/>
      </c>
      <c r="S12" s="43">
        <f>IF(OR(O12="",D12="",D12=0),"",O12/D12)</f>
        <v/>
      </c>
      <c r="T12" s="44">
        <f>IF(OR(S12="",R12=""),"",(S12-R12)*100)</f>
        <v/>
      </c>
      <c r="U12" s="41">
        <f>SUMIFS(Totals!$V$5:$V$49,Totals!$A$5:$A$49,"Airport page",Totals!$B$5:$B$49,"Paid Search",Totals!$C$5:$C$49,"Total")</f>
        <v/>
      </c>
      <c r="V12" s="41">
        <f>SUMIFS(Totals!$W$5:$W$49,Totals!$A$5:$A$49,"Airport page",Totals!$B$5:$B$49,"Paid Search",Totals!$C$5:$C$49,"Total")</f>
        <v/>
      </c>
      <c r="W12" s="69">
        <f>IF(OR(V12="",U12="",U12=0,V12=0),"",V12-U12)</f>
        <v/>
      </c>
      <c r="X12" s="42">
        <f>IF(OR(V12="",U12="",U12=0,V12=0),"",V12/U12-1)</f>
        <v/>
      </c>
      <c r="Y12" s="43">
        <f>IF(OR(U12="",N12="",N12=0),"",U12/N12)</f>
        <v/>
      </c>
      <c r="Z12" s="43">
        <f>IF(OR(V12="",O12="",O12=0),"",V12/O12)</f>
        <v/>
      </c>
      <c r="AA12" s="44">
        <f>IF(OR(Z12="",Y12=""),"",(Z12-Y12)*100)</f>
        <v/>
      </c>
      <c r="AB12" s="41">
        <f>SUMIFS(Totals!$AC$5:$AC$49,Totals!$A$5:$A$49,"Airport page",Totals!$B$5:$B$49,"Paid Search",Totals!$C$5:$C$49,"Total")</f>
        <v/>
      </c>
      <c r="AC12" s="41">
        <f>SUMIFS(Totals!$AD$5:$AD$49,Totals!$A$5:$A$49,"Airport page",Totals!$B$5:$B$49,"Paid Search",Totals!$C$5:$C$49,"Total")</f>
        <v/>
      </c>
      <c r="AD12" s="69">
        <f>IF(OR(AC12="",AB12="",AB12=0,AC12=0),"",AC12-AB12)</f>
        <v/>
      </c>
      <c r="AE12" s="42">
        <f>IF(OR(AC12="",AB12="",AB12=0,AC12=0),"",AC12/AB12-1)</f>
        <v/>
      </c>
      <c r="AF12" s="43">
        <f>IF(OR(AB12="",U12="",U12=0),"",AB12/U12)</f>
        <v/>
      </c>
      <c r="AG12" s="43">
        <f>IF(OR(AC12="",V12="",V12=0),"",AC12/V12)</f>
        <v/>
      </c>
      <c r="AH12" s="44">
        <f>IF(OR(AG12="",AF12=""),"",(AG12-AF12)*100)</f>
        <v/>
      </c>
      <c r="AI12" s="41">
        <f>SUMIFS(Totals!$AJ$5:$AJ$49,Totals!$A$5:$A$49,"Airport page",Totals!$B$5:$B$49,"Paid Search",Totals!$C$5:$C$49,"Total")</f>
        <v/>
      </c>
      <c r="AJ12" s="41">
        <f>SUMIFS(Totals!$AK$5:$AK$49,Totals!$A$5:$A$49,"Airport page",Totals!$B$5:$B$49,"Paid Search",Totals!$C$5:$C$49,"Total")</f>
        <v/>
      </c>
      <c r="AK12" s="69">
        <f>IF(OR(AJ12="",AI12="",AI12=0,AJ12=0),"",AJ12-AI12)</f>
        <v/>
      </c>
      <c r="AL12" s="42">
        <f>IF(OR(AJ12="",AI12="",AI12=0,AJ12=0),"",AJ12/AI12-1)</f>
        <v/>
      </c>
      <c r="AM12" s="43">
        <f>IF(OR(AI12="",AB12="",AB12=0),"",AI12/AB12)</f>
        <v/>
      </c>
      <c r="AN12" s="43">
        <f>IF(OR(AJ12="",AC12="",AC12=0),"",AJ12/AC12)</f>
        <v/>
      </c>
      <c r="AO12" s="44">
        <f>IF(OR(AN12="",AM12=""),"",(AN12-AM12)*100)</f>
        <v/>
      </c>
      <c r="AP12" s="41">
        <f>SUMIFS(Totals!$AQ$5:$AQ$49,Totals!$A$5:$A$49,"Airport page",Totals!$B$5:$B$49,"Paid Search",Totals!$C$5:$C$49,"Total")</f>
        <v/>
      </c>
      <c r="AQ12" s="41">
        <f>SUMIFS(Totals!$AR$5:$AR$49,Totals!$A$5:$A$49,"Airport page",Totals!$B$5:$B$49,"Paid Search",Totals!$C$5:$C$49,"Total")</f>
        <v/>
      </c>
      <c r="AR12" s="69">
        <f>IF(OR(AQ12="",AP12="",AP12=0,AQ12=0),"",AQ12-AP12)</f>
        <v/>
      </c>
      <c r="AS12" s="42">
        <f>IF(OR(AQ12="",AP12="",AP12=0,AQ12=0),"",AQ12/AP12-1)</f>
        <v/>
      </c>
      <c r="AT12" s="43">
        <f>IF(OR(AP12="",AI12="",AI12=0),"",AP12/AI12)</f>
        <v/>
      </c>
      <c r="AU12" s="43">
        <f>IF(OR(AQ12="",AJ12="",AJ12=0),"",AQ12/AJ12)</f>
        <v/>
      </c>
      <c r="AV12" s="44">
        <f>IF(OR(AU12="",AT12=""),"",(AU12-AT12)*100)</f>
        <v/>
      </c>
      <c r="AW12" s="45">
        <f>IF(OR(AP12="",N12="",N12=0),"",AP12/N12)</f>
        <v/>
      </c>
      <c r="AX12" s="45">
        <f>IF(OR(AQ12="",O12="",O12=0),"",AQ12/O12)</f>
        <v/>
      </c>
      <c r="AY12" s="44">
        <f>IF(OR(AX12="",AW12=""),"",(AX12-AW12)*100)</f>
        <v/>
      </c>
      <c r="AZ12" s="45">
        <f>IF(OR(AP12="",C12="",C12=0),"",AP12/C12)</f>
        <v/>
      </c>
      <c r="BA12" s="45">
        <f>IF(OR(AQ12="",D12="",D12=0),"",AQ12/D12)</f>
        <v/>
      </c>
      <c r="BB12" s="44">
        <f>IF(OR(BA12="",AZ12=""),"",(BA12-AZ12)*100)</f>
        <v/>
      </c>
    </row>
    <row r="13">
      <c r="A13" s="40" t="inlineStr">
        <is>
          <t>Airport page</t>
        </is>
      </c>
      <c r="B13" s="40" t="inlineStr">
        <is>
          <t>Organic</t>
        </is>
      </c>
      <c r="C13" s="41">
        <f>SUMIFS(Totals!$D$5:$D$49,Totals!$A$5:$A$49,"Airport page",Totals!$B$5:$B$49,"Organic",Totals!$C$5:$C$49,"Total")</f>
        <v/>
      </c>
      <c r="D13" s="41">
        <f>SUMIFS(Totals!$E$5:$E$49,Totals!$A$5:$A$49,"Airport page",Totals!$B$5:$B$49,"Organic",Totals!$C$5:$C$49,"Total")</f>
        <v/>
      </c>
      <c r="E13" s="69">
        <f>IF(OR(D13="",C13="",C13=0,D13=0),"",D13-C13)</f>
        <v/>
      </c>
      <c r="F13" s="42">
        <f>IF(OR(D13="",C13="",C13=0,D13=0),"",D13/C13-1)</f>
        <v/>
      </c>
      <c r="G13" s="41">
        <f>SUMIFS(Totals!$H$5:$H$49,Totals!$A$5:$A$49,"Airport page",Totals!$B$5:$B$49,"Organic",Totals!$C$5:$C$49,"Total")</f>
        <v/>
      </c>
      <c r="H13" s="41">
        <f>SUMIFS(Totals!$I$5:$I$49,Totals!$A$5:$A$49,"Airport page",Totals!$B$5:$B$49,"Organic",Totals!$C$5:$C$49,"Total")</f>
        <v/>
      </c>
      <c r="I13" s="69">
        <f>IF(OR(H13="",G13="",G13=0,H13=0),"",H13-G13)</f>
        <v/>
      </c>
      <c r="J13" s="42">
        <f>IF(OR(H13="",G13="",G13=0,H13=0),"",H13/G13-1)</f>
        <v/>
      </c>
      <c r="K13" s="43">
        <f>IF(OR(G13="",C13="",C13=0),"",G13/C13)</f>
        <v/>
      </c>
      <c r="L13" s="43">
        <f>IF(OR(H13="",D13="",D13=0),"",H13/D13)</f>
        <v/>
      </c>
      <c r="M13" s="44">
        <f>IF(OR(L13="",K13=""),"",(L13-K13)*100)</f>
        <v/>
      </c>
      <c r="N13" s="41">
        <f>SUMIFS(Totals!$O$5:$O$49,Totals!$A$5:$A$49,"Airport page",Totals!$B$5:$B$49,"Organic",Totals!$C$5:$C$49,"Total")</f>
        <v/>
      </c>
      <c r="O13" s="41">
        <f>SUMIFS(Totals!$P$5:$P$49,Totals!$A$5:$A$49,"Airport page",Totals!$B$5:$B$49,"Organic",Totals!$C$5:$C$49,"Total")</f>
        <v/>
      </c>
      <c r="P13" s="69">
        <f>IF(OR(O13="",N13="",N13=0,O13=0),"",O13-N13)</f>
        <v/>
      </c>
      <c r="Q13" s="42">
        <f>IF(OR(O13="",N13="",N13=0,O13=0),"",O13/N13-1)</f>
        <v/>
      </c>
      <c r="R13" s="43">
        <f>IF(OR(N13="",C13="",C13=0),"",N13/C13)</f>
        <v/>
      </c>
      <c r="S13" s="43">
        <f>IF(OR(O13="",D13="",D13=0),"",O13/D13)</f>
        <v/>
      </c>
      <c r="T13" s="44">
        <f>IF(OR(S13="",R13=""),"",(S13-R13)*100)</f>
        <v/>
      </c>
      <c r="U13" s="41">
        <f>SUMIFS(Totals!$V$5:$V$49,Totals!$A$5:$A$49,"Airport page",Totals!$B$5:$B$49,"Organic",Totals!$C$5:$C$49,"Total")</f>
        <v/>
      </c>
      <c r="V13" s="41">
        <f>SUMIFS(Totals!$W$5:$W$49,Totals!$A$5:$A$49,"Airport page",Totals!$B$5:$B$49,"Organic",Totals!$C$5:$C$49,"Total")</f>
        <v/>
      </c>
      <c r="W13" s="69">
        <f>IF(OR(V13="",U13="",U13=0,V13=0),"",V13-U13)</f>
        <v/>
      </c>
      <c r="X13" s="42">
        <f>IF(OR(V13="",U13="",U13=0,V13=0),"",V13/U13-1)</f>
        <v/>
      </c>
      <c r="Y13" s="43">
        <f>IF(OR(U13="",N13="",N13=0),"",U13/N13)</f>
        <v/>
      </c>
      <c r="Z13" s="43">
        <f>IF(OR(V13="",O13="",O13=0),"",V13/O13)</f>
        <v/>
      </c>
      <c r="AA13" s="44">
        <f>IF(OR(Z13="",Y13=""),"",(Z13-Y13)*100)</f>
        <v/>
      </c>
      <c r="AB13" s="41">
        <f>SUMIFS(Totals!$AC$5:$AC$49,Totals!$A$5:$A$49,"Airport page",Totals!$B$5:$B$49,"Organic",Totals!$C$5:$C$49,"Total")</f>
        <v/>
      </c>
      <c r="AC13" s="41">
        <f>SUMIFS(Totals!$AD$5:$AD$49,Totals!$A$5:$A$49,"Airport page",Totals!$B$5:$B$49,"Organic",Totals!$C$5:$C$49,"Total")</f>
        <v/>
      </c>
      <c r="AD13" s="69">
        <f>IF(OR(AC13="",AB13="",AB13=0,AC13=0),"",AC13-AB13)</f>
        <v/>
      </c>
      <c r="AE13" s="42">
        <f>IF(OR(AC13="",AB13="",AB13=0,AC13=0),"",AC13/AB13-1)</f>
        <v/>
      </c>
      <c r="AF13" s="43">
        <f>IF(OR(AB13="",U13="",U13=0),"",AB13/U13)</f>
        <v/>
      </c>
      <c r="AG13" s="43">
        <f>IF(OR(AC13="",V13="",V13=0),"",AC13/V13)</f>
        <v/>
      </c>
      <c r="AH13" s="44">
        <f>IF(OR(AG13="",AF13=""),"",(AG13-AF13)*100)</f>
        <v/>
      </c>
      <c r="AI13" s="41">
        <f>SUMIFS(Totals!$AJ$5:$AJ$49,Totals!$A$5:$A$49,"Airport page",Totals!$B$5:$B$49,"Organic",Totals!$C$5:$C$49,"Total")</f>
        <v/>
      </c>
      <c r="AJ13" s="41">
        <f>SUMIFS(Totals!$AK$5:$AK$49,Totals!$A$5:$A$49,"Airport page",Totals!$B$5:$B$49,"Organic",Totals!$C$5:$C$49,"Total")</f>
        <v/>
      </c>
      <c r="AK13" s="69">
        <f>IF(OR(AJ13="",AI13="",AI13=0,AJ13=0),"",AJ13-AI13)</f>
        <v/>
      </c>
      <c r="AL13" s="42">
        <f>IF(OR(AJ13="",AI13="",AI13=0,AJ13=0),"",AJ13/AI13-1)</f>
        <v/>
      </c>
      <c r="AM13" s="43">
        <f>IF(OR(AI13="",AB13="",AB13=0),"",AI13/AB13)</f>
        <v/>
      </c>
      <c r="AN13" s="43">
        <f>IF(OR(AJ13="",AC13="",AC13=0),"",AJ13/AC13)</f>
        <v/>
      </c>
      <c r="AO13" s="44">
        <f>IF(OR(AN13="",AM13=""),"",(AN13-AM13)*100)</f>
        <v/>
      </c>
      <c r="AP13" s="41">
        <f>SUMIFS(Totals!$AQ$5:$AQ$49,Totals!$A$5:$A$49,"Airport page",Totals!$B$5:$B$49,"Organic",Totals!$C$5:$C$49,"Total")</f>
        <v/>
      </c>
      <c r="AQ13" s="41">
        <f>SUMIFS(Totals!$AR$5:$AR$49,Totals!$A$5:$A$49,"Airport page",Totals!$B$5:$B$49,"Organic",Totals!$C$5:$C$49,"Total")</f>
        <v/>
      </c>
      <c r="AR13" s="69">
        <f>IF(OR(AQ13="",AP13="",AP13=0,AQ13=0),"",AQ13-AP13)</f>
        <v/>
      </c>
      <c r="AS13" s="42">
        <f>IF(OR(AQ13="",AP13="",AP13=0,AQ13=0),"",AQ13/AP13-1)</f>
        <v/>
      </c>
      <c r="AT13" s="43">
        <f>IF(OR(AP13="",AI13="",AI13=0),"",AP13/AI13)</f>
        <v/>
      </c>
      <c r="AU13" s="43">
        <f>IF(OR(AQ13="",AJ13="",AJ13=0),"",AQ13/AJ13)</f>
        <v/>
      </c>
      <c r="AV13" s="44">
        <f>IF(OR(AU13="",AT13=""),"",(AU13-AT13)*100)</f>
        <v/>
      </c>
      <c r="AW13" s="45">
        <f>IF(OR(AP13="",N13="",N13=0),"",AP13/N13)</f>
        <v/>
      </c>
      <c r="AX13" s="45">
        <f>IF(OR(AQ13="",O13="",O13=0),"",AQ13/O13)</f>
        <v/>
      </c>
      <c r="AY13" s="44">
        <f>IF(OR(AX13="",AW13=""),"",(AX13-AW13)*100)</f>
        <v/>
      </c>
      <c r="AZ13" s="45">
        <f>IF(OR(AP13="",C13="",C13=0),"",AP13/C13)</f>
        <v/>
      </c>
      <c r="BA13" s="45">
        <f>IF(OR(AQ13="",D13="",D13=0),"",AQ13/D13)</f>
        <v/>
      </c>
      <c r="BB13" s="44">
        <f>IF(OR(BA13="",AZ13=""),"",(BA13-AZ13)*100)</f>
        <v/>
      </c>
    </row>
    <row r="14">
      <c r="A14" s="40" t="inlineStr">
        <is>
          <t>Airport page</t>
        </is>
      </c>
      <c r="B14" s="40" t="inlineStr">
        <is>
          <t>Direct</t>
        </is>
      </c>
      <c r="C14" s="41">
        <f>SUMIFS(Totals!$D$5:$D$49,Totals!$A$5:$A$49,"Airport page",Totals!$B$5:$B$49,"Direct",Totals!$C$5:$C$49,"Total")</f>
        <v/>
      </c>
      <c r="D14" s="41">
        <f>SUMIFS(Totals!$E$5:$E$49,Totals!$A$5:$A$49,"Airport page",Totals!$B$5:$B$49,"Direct",Totals!$C$5:$C$49,"Total")</f>
        <v/>
      </c>
      <c r="E14" s="69">
        <f>IF(OR(D14="",C14="",C14=0,D14=0),"",D14-C14)</f>
        <v/>
      </c>
      <c r="F14" s="42">
        <f>IF(OR(D14="",C14="",C14=0,D14=0),"",D14/C14-1)</f>
        <v/>
      </c>
      <c r="G14" s="41">
        <f>SUMIFS(Totals!$H$5:$H$49,Totals!$A$5:$A$49,"Airport page",Totals!$B$5:$B$49,"Direct",Totals!$C$5:$C$49,"Total")</f>
        <v/>
      </c>
      <c r="H14" s="41">
        <f>SUMIFS(Totals!$I$5:$I$49,Totals!$A$5:$A$49,"Airport page",Totals!$B$5:$B$49,"Direct",Totals!$C$5:$C$49,"Total")</f>
        <v/>
      </c>
      <c r="I14" s="69">
        <f>IF(OR(H14="",G14="",G14=0,H14=0),"",H14-G14)</f>
        <v/>
      </c>
      <c r="J14" s="42">
        <f>IF(OR(H14="",G14="",G14=0,H14=0),"",H14/G14-1)</f>
        <v/>
      </c>
      <c r="K14" s="43">
        <f>IF(OR(G14="",C14="",C14=0),"",G14/C14)</f>
        <v/>
      </c>
      <c r="L14" s="43">
        <f>IF(OR(H14="",D14="",D14=0),"",H14/D14)</f>
        <v/>
      </c>
      <c r="M14" s="44">
        <f>IF(OR(L14="",K14=""),"",(L14-K14)*100)</f>
        <v/>
      </c>
      <c r="N14" s="41">
        <f>SUMIFS(Totals!$O$5:$O$49,Totals!$A$5:$A$49,"Airport page",Totals!$B$5:$B$49,"Direct",Totals!$C$5:$C$49,"Total")</f>
        <v/>
      </c>
      <c r="O14" s="41">
        <f>SUMIFS(Totals!$P$5:$P$49,Totals!$A$5:$A$49,"Airport page",Totals!$B$5:$B$49,"Direct",Totals!$C$5:$C$49,"Total")</f>
        <v/>
      </c>
      <c r="P14" s="69">
        <f>IF(OR(O14="",N14="",N14=0,O14=0),"",O14-N14)</f>
        <v/>
      </c>
      <c r="Q14" s="42">
        <f>IF(OR(O14="",N14="",N14=0,O14=0),"",O14/N14-1)</f>
        <v/>
      </c>
      <c r="R14" s="43">
        <f>IF(OR(N14="",C14="",C14=0),"",N14/C14)</f>
        <v/>
      </c>
      <c r="S14" s="43">
        <f>IF(OR(O14="",D14="",D14=0),"",O14/D14)</f>
        <v/>
      </c>
      <c r="T14" s="44">
        <f>IF(OR(S14="",R14=""),"",(S14-R14)*100)</f>
        <v/>
      </c>
      <c r="U14" s="41">
        <f>SUMIFS(Totals!$V$5:$V$49,Totals!$A$5:$A$49,"Airport page",Totals!$B$5:$B$49,"Direct",Totals!$C$5:$C$49,"Total")</f>
        <v/>
      </c>
      <c r="V14" s="41">
        <f>SUMIFS(Totals!$W$5:$W$49,Totals!$A$5:$A$49,"Airport page",Totals!$B$5:$B$49,"Direct",Totals!$C$5:$C$49,"Total")</f>
        <v/>
      </c>
      <c r="W14" s="69">
        <f>IF(OR(V14="",U14="",U14=0,V14=0),"",V14-U14)</f>
        <v/>
      </c>
      <c r="X14" s="42">
        <f>IF(OR(V14="",U14="",U14=0,V14=0),"",V14/U14-1)</f>
        <v/>
      </c>
      <c r="Y14" s="43">
        <f>IF(OR(U14="",N14="",N14=0),"",U14/N14)</f>
        <v/>
      </c>
      <c r="Z14" s="43">
        <f>IF(OR(V14="",O14="",O14=0),"",V14/O14)</f>
        <v/>
      </c>
      <c r="AA14" s="44">
        <f>IF(OR(Z14="",Y14=""),"",(Z14-Y14)*100)</f>
        <v/>
      </c>
      <c r="AB14" s="41">
        <f>SUMIFS(Totals!$AC$5:$AC$49,Totals!$A$5:$A$49,"Airport page",Totals!$B$5:$B$49,"Direct",Totals!$C$5:$C$49,"Total")</f>
        <v/>
      </c>
      <c r="AC14" s="41">
        <f>SUMIFS(Totals!$AD$5:$AD$49,Totals!$A$5:$A$49,"Airport page",Totals!$B$5:$B$49,"Direct",Totals!$C$5:$C$49,"Total")</f>
        <v/>
      </c>
      <c r="AD14" s="69">
        <f>IF(OR(AC14="",AB14="",AB14=0,AC14=0),"",AC14-AB14)</f>
        <v/>
      </c>
      <c r="AE14" s="42">
        <f>IF(OR(AC14="",AB14="",AB14=0,AC14=0),"",AC14/AB14-1)</f>
        <v/>
      </c>
      <c r="AF14" s="43">
        <f>IF(OR(AB14="",U14="",U14=0),"",AB14/U14)</f>
        <v/>
      </c>
      <c r="AG14" s="43">
        <f>IF(OR(AC14="",V14="",V14=0),"",AC14/V14)</f>
        <v/>
      </c>
      <c r="AH14" s="44">
        <f>IF(OR(AG14="",AF14=""),"",(AG14-AF14)*100)</f>
        <v/>
      </c>
      <c r="AI14" s="41">
        <f>SUMIFS(Totals!$AJ$5:$AJ$49,Totals!$A$5:$A$49,"Airport page",Totals!$B$5:$B$49,"Direct",Totals!$C$5:$C$49,"Total")</f>
        <v/>
      </c>
      <c r="AJ14" s="41">
        <f>SUMIFS(Totals!$AK$5:$AK$49,Totals!$A$5:$A$49,"Airport page",Totals!$B$5:$B$49,"Direct",Totals!$C$5:$C$49,"Total")</f>
        <v/>
      </c>
      <c r="AK14" s="69">
        <f>IF(OR(AJ14="",AI14="",AI14=0,AJ14=0),"",AJ14-AI14)</f>
        <v/>
      </c>
      <c r="AL14" s="42">
        <f>IF(OR(AJ14="",AI14="",AI14=0,AJ14=0),"",AJ14/AI14-1)</f>
        <v/>
      </c>
      <c r="AM14" s="43">
        <f>IF(OR(AI14="",AB14="",AB14=0),"",AI14/AB14)</f>
        <v/>
      </c>
      <c r="AN14" s="43">
        <f>IF(OR(AJ14="",AC14="",AC14=0),"",AJ14/AC14)</f>
        <v/>
      </c>
      <c r="AO14" s="44">
        <f>IF(OR(AN14="",AM14=""),"",(AN14-AM14)*100)</f>
        <v/>
      </c>
      <c r="AP14" s="41">
        <f>SUMIFS(Totals!$AQ$5:$AQ$49,Totals!$A$5:$A$49,"Airport page",Totals!$B$5:$B$49,"Direct",Totals!$C$5:$C$49,"Total")</f>
        <v/>
      </c>
      <c r="AQ14" s="41">
        <f>SUMIFS(Totals!$AR$5:$AR$49,Totals!$A$5:$A$49,"Airport page",Totals!$B$5:$B$49,"Direct",Totals!$C$5:$C$49,"Total")</f>
        <v/>
      </c>
      <c r="AR14" s="69">
        <f>IF(OR(AQ14="",AP14="",AP14=0,AQ14=0),"",AQ14-AP14)</f>
        <v/>
      </c>
      <c r="AS14" s="42">
        <f>IF(OR(AQ14="",AP14="",AP14=0,AQ14=0),"",AQ14/AP14-1)</f>
        <v/>
      </c>
      <c r="AT14" s="43">
        <f>IF(OR(AP14="",AI14="",AI14=0),"",AP14/AI14)</f>
        <v/>
      </c>
      <c r="AU14" s="43">
        <f>IF(OR(AQ14="",AJ14="",AJ14=0),"",AQ14/AJ14)</f>
        <v/>
      </c>
      <c r="AV14" s="44">
        <f>IF(OR(AU14="",AT14=""),"",(AU14-AT14)*100)</f>
        <v/>
      </c>
      <c r="AW14" s="45">
        <f>IF(OR(AP14="",N14="",N14=0),"",AP14/N14)</f>
        <v/>
      </c>
      <c r="AX14" s="45">
        <f>IF(OR(AQ14="",O14="",O14=0),"",AQ14/O14)</f>
        <v/>
      </c>
      <c r="AY14" s="44">
        <f>IF(OR(AX14="",AW14=""),"",(AX14-AW14)*100)</f>
        <v/>
      </c>
      <c r="AZ14" s="45">
        <f>IF(OR(AP14="",C14="",C14=0),"",AP14/C14)</f>
        <v/>
      </c>
      <c r="BA14" s="45">
        <f>IF(OR(AQ14="",D14="",D14=0),"",AQ14/D14)</f>
        <v/>
      </c>
      <c r="BB14" s="44">
        <f>IF(OR(BA14="",AZ14=""),"",(BA14-AZ14)*100)</f>
        <v/>
      </c>
    </row>
    <row r="15">
      <c r="A15" s="40" t="inlineStr">
        <is>
          <t>Route page</t>
        </is>
      </c>
      <c r="B15" s="40" t="inlineStr">
        <is>
          <t>Paid Search</t>
        </is>
      </c>
      <c r="C15" s="41">
        <f>SUMIFS(Totals!$D$5:$D$49,Totals!$A$5:$A$49,"Route page",Totals!$B$5:$B$49,"Paid Search",Totals!$C$5:$C$49,"Total")</f>
        <v/>
      </c>
      <c r="D15" s="41">
        <f>SUMIFS(Totals!$E$5:$E$49,Totals!$A$5:$A$49,"Route page",Totals!$B$5:$B$49,"Paid Search",Totals!$C$5:$C$49,"Total")</f>
        <v/>
      </c>
      <c r="E15" s="69">
        <f>IF(OR(D15="",C15="",C15=0,D15=0),"",D15-C15)</f>
        <v/>
      </c>
      <c r="F15" s="42">
        <f>IF(OR(D15="",C15="",C15=0,D15=0),"",D15/C15-1)</f>
        <v/>
      </c>
      <c r="G15" s="41">
        <f>SUMIFS(Totals!$H$5:$H$49,Totals!$A$5:$A$49,"Route page",Totals!$B$5:$B$49,"Paid Search",Totals!$C$5:$C$49,"Total")</f>
        <v/>
      </c>
      <c r="H15" s="41">
        <f>SUMIFS(Totals!$I$5:$I$49,Totals!$A$5:$A$49,"Route page",Totals!$B$5:$B$49,"Paid Search",Totals!$C$5:$C$49,"Total")</f>
        <v/>
      </c>
      <c r="I15" s="69">
        <f>IF(OR(H15="",G15="",G15=0,H15=0),"",H15-G15)</f>
        <v/>
      </c>
      <c r="J15" s="42">
        <f>IF(OR(H15="",G15="",G15=0,H15=0),"",H15/G15-1)</f>
        <v/>
      </c>
      <c r="K15" s="43">
        <f>IF(OR(G15="",C15="",C15=0),"",G15/C15)</f>
        <v/>
      </c>
      <c r="L15" s="43">
        <f>IF(OR(H15="",D15="",D15=0),"",H15/D15)</f>
        <v/>
      </c>
      <c r="M15" s="44">
        <f>IF(OR(L15="",K15=""),"",(L15-K15)*100)</f>
        <v/>
      </c>
      <c r="N15" s="41">
        <f>SUMIFS(Totals!$O$5:$O$49,Totals!$A$5:$A$49,"Route page",Totals!$B$5:$B$49,"Paid Search",Totals!$C$5:$C$49,"Total")</f>
        <v/>
      </c>
      <c r="O15" s="41">
        <f>SUMIFS(Totals!$P$5:$P$49,Totals!$A$5:$A$49,"Route page",Totals!$B$5:$B$49,"Paid Search",Totals!$C$5:$C$49,"Total")</f>
        <v/>
      </c>
      <c r="P15" s="69">
        <f>IF(OR(O15="",N15="",N15=0,O15=0),"",O15-N15)</f>
        <v/>
      </c>
      <c r="Q15" s="42">
        <f>IF(OR(O15="",N15="",N15=0,O15=0),"",O15/N15-1)</f>
        <v/>
      </c>
      <c r="R15" s="43">
        <f>IF(OR(N15="",C15="",C15=0),"",N15/C15)</f>
        <v/>
      </c>
      <c r="S15" s="43">
        <f>IF(OR(O15="",D15="",D15=0),"",O15/D15)</f>
        <v/>
      </c>
      <c r="T15" s="44">
        <f>IF(OR(S15="",R15=""),"",(S15-R15)*100)</f>
        <v/>
      </c>
      <c r="U15" s="41">
        <f>SUMIFS(Totals!$V$5:$V$49,Totals!$A$5:$A$49,"Route page",Totals!$B$5:$B$49,"Paid Search",Totals!$C$5:$C$49,"Total")</f>
        <v/>
      </c>
      <c r="V15" s="41">
        <f>SUMIFS(Totals!$W$5:$W$49,Totals!$A$5:$A$49,"Route page",Totals!$B$5:$B$49,"Paid Search",Totals!$C$5:$C$49,"Total")</f>
        <v/>
      </c>
      <c r="W15" s="69">
        <f>IF(OR(V15="",U15="",U15=0,V15=0),"",V15-U15)</f>
        <v/>
      </c>
      <c r="X15" s="42">
        <f>IF(OR(V15="",U15="",U15=0,V15=0),"",V15/U15-1)</f>
        <v/>
      </c>
      <c r="Y15" s="43">
        <f>IF(OR(U15="",N15="",N15=0),"",U15/N15)</f>
        <v/>
      </c>
      <c r="Z15" s="43">
        <f>IF(OR(V15="",O15="",O15=0),"",V15/O15)</f>
        <v/>
      </c>
      <c r="AA15" s="44">
        <f>IF(OR(Z15="",Y15=""),"",(Z15-Y15)*100)</f>
        <v/>
      </c>
      <c r="AB15" s="41">
        <f>SUMIFS(Totals!$AC$5:$AC$49,Totals!$A$5:$A$49,"Route page",Totals!$B$5:$B$49,"Paid Search",Totals!$C$5:$C$49,"Total")</f>
        <v/>
      </c>
      <c r="AC15" s="41">
        <f>SUMIFS(Totals!$AD$5:$AD$49,Totals!$A$5:$A$49,"Route page",Totals!$B$5:$B$49,"Paid Search",Totals!$C$5:$C$49,"Total")</f>
        <v/>
      </c>
      <c r="AD15" s="69">
        <f>IF(OR(AC15="",AB15="",AB15=0,AC15=0),"",AC15-AB15)</f>
        <v/>
      </c>
      <c r="AE15" s="42">
        <f>IF(OR(AC15="",AB15="",AB15=0,AC15=0),"",AC15/AB15-1)</f>
        <v/>
      </c>
      <c r="AF15" s="43">
        <f>IF(OR(AB15="",U15="",U15=0),"",AB15/U15)</f>
        <v/>
      </c>
      <c r="AG15" s="43">
        <f>IF(OR(AC15="",V15="",V15=0),"",AC15/V15)</f>
        <v/>
      </c>
      <c r="AH15" s="44">
        <f>IF(OR(AG15="",AF15=""),"",(AG15-AF15)*100)</f>
        <v/>
      </c>
      <c r="AI15" s="41">
        <f>SUMIFS(Totals!$AJ$5:$AJ$49,Totals!$A$5:$A$49,"Route page",Totals!$B$5:$B$49,"Paid Search",Totals!$C$5:$C$49,"Total")</f>
        <v/>
      </c>
      <c r="AJ15" s="41">
        <f>SUMIFS(Totals!$AK$5:$AK$49,Totals!$A$5:$A$49,"Route page",Totals!$B$5:$B$49,"Paid Search",Totals!$C$5:$C$49,"Total")</f>
        <v/>
      </c>
      <c r="AK15" s="69">
        <f>IF(OR(AJ15="",AI15="",AI15=0,AJ15=0),"",AJ15-AI15)</f>
        <v/>
      </c>
      <c r="AL15" s="42">
        <f>IF(OR(AJ15="",AI15="",AI15=0,AJ15=0),"",AJ15/AI15-1)</f>
        <v/>
      </c>
      <c r="AM15" s="43">
        <f>IF(OR(AI15="",AB15="",AB15=0),"",AI15/AB15)</f>
        <v/>
      </c>
      <c r="AN15" s="43">
        <f>IF(OR(AJ15="",AC15="",AC15=0),"",AJ15/AC15)</f>
        <v/>
      </c>
      <c r="AO15" s="44">
        <f>IF(OR(AN15="",AM15=""),"",(AN15-AM15)*100)</f>
        <v/>
      </c>
      <c r="AP15" s="41">
        <f>SUMIFS(Totals!$AQ$5:$AQ$49,Totals!$A$5:$A$49,"Route page",Totals!$B$5:$B$49,"Paid Search",Totals!$C$5:$C$49,"Total")</f>
        <v/>
      </c>
      <c r="AQ15" s="41">
        <f>SUMIFS(Totals!$AR$5:$AR$49,Totals!$A$5:$A$49,"Route page",Totals!$B$5:$B$49,"Paid Search",Totals!$C$5:$C$49,"Total")</f>
        <v/>
      </c>
      <c r="AR15" s="69">
        <f>IF(OR(AQ15="",AP15="",AP15=0,AQ15=0),"",AQ15-AP15)</f>
        <v/>
      </c>
      <c r="AS15" s="42">
        <f>IF(OR(AQ15="",AP15="",AP15=0,AQ15=0),"",AQ15/AP15-1)</f>
        <v/>
      </c>
      <c r="AT15" s="43">
        <f>IF(OR(AP15="",AI15="",AI15=0),"",AP15/AI15)</f>
        <v/>
      </c>
      <c r="AU15" s="43">
        <f>IF(OR(AQ15="",AJ15="",AJ15=0),"",AQ15/AJ15)</f>
        <v/>
      </c>
      <c r="AV15" s="44">
        <f>IF(OR(AU15="",AT15=""),"",(AU15-AT15)*100)</f>
        <v/>
      </c>
      <c r="AW15" s="45">
        <f>IF(OR(AP15="",N15="",N15=0),"",AP15/N15)</f>
        <v/>
      </c>
      <c r="AX15" s="45">
        <f>IF(OR(AQ15="",O15="",O15=0),"",AQ15/O15)</f>
        <v/>
      </c>
      <c r="AY15" s="44">
        <f>IF(OR(AX15="",AW15=""),"",(AX15-AW15)*100)</f>
        <v/>
      </c>
      <c r="AZ15" s="45">
        <f>IF(OR(AP15="",C15="",C15=0),"",AP15/C15)</f>
        <v/>
      </c>
      <c r="BA15" s="45">
        <f>IF(OR(AQ15="",D15="",D15=0),"",AQ15/D15)</f>
        <v/>
      </c>
      <c r="BB15" s="44">
        <f>IF(OR(BA15="",AZ15=""),"",(BA15-AZ15)*100)</f>
        <v/>
      </c>
    </row>
    <row r="16">
      <c r="A16" s="40" t="inlineStr">
        <is>
          <t>Route page</t>
        </is>
      </c>
      <c r="B16" s="40" t="inlineStr">
        <is>
          <t>Organic</t>
        </is>
      </c>
      <c r="C16" s="41">
        <f>SUMIFS(Totals!$D$5:$D$49,Totals!$A$5:$A$49,"Route page",Totals!$B$5:$B$49,"Organic",Totals!$C$5:$C$49,"Total")</f>
        <v/>
      </c>
      <c r="D16" s="41">
        <f>SUMIFS(Totals!$E$5:$E$49,Totals!$A$5:$A$49,"Route page",Totals!$B$5:$B$49,"Organic",Totals!$C$5:$C$49,"Total")</f>
        <v/>
      </c>
      <c r="E16" s="69">
        <f>IF(OR(D16="",C16="",C16=0,D16=0),"",D16-C16)</f>
        <v/>
      </c>
      <c r="F16" s="42">
        <f>IF(OR(D16="",C16="",C16=0,D16=0),"",D16/C16-1)</f>
        <v/>
      </c>
      <c r="G16" s="41">
        <f>SUMIFS(Totals!$H$5:$H$49,Totals!$A$5:$A$49,"Route page",Totals!$B$5:$B$49,"Organic",Totals!$C$5:$C$49,"Total")</f>
        <v/>
      </c>
      <c r="H16" s="41">
        <f>SUMIFS(Totals!$I$5:$I$49,Totals!$A$5:$A$49,"Route page",Totals!$B$5:$B$49,"Organic",Totals!$C$5:$C$49,"Total")</f>
        <v/>
      </c>
      <c r="I16" s="69">
        <f>IF(OR(H16="",G16="",G16=0,H16=0),"",H16-G16)</f>
        <v/>
      </c>
      <c r="J16" s="42">
        <f>IF(OR(H16="",G16="",G16=0,H16=0),"",H16/G16-1)</f>
        <v/>
      </c>
      <c r="K16" s="43">
        <f>IF(OR(G16="",C16="",C16=0),"",G16/C16)</f>
        <v/>
      </c>
      <c r="L16" s="43">
        <f>IF(OR(H16="",D16="",D16=0),"",H16/D16)</f>
        <v/>
      </c>
      <c r="M16" s="44">
        <f>IF(OR(L16="",K16=""),"",(L16-K16)*100)</f>
        <v/>
      </c>
      <c r="N16" s="41">
        <f>SUMIFS(Totals!$O$5:$O$49,Totals!$A$5:$A$49,"Route page",Totals!$B$5:$B$49,"Organic",Totals!$C$5:$C$49,"Total")</f>
        <v/>
      </c>
      <c r="O16" s="41">
        <f>SUMIFS(Totals!$P$5:$P$49,Totals!$A$5:$A$49,"Route page",Totals!$B$5:$B$49,"Organic",Totals!$C$5:$C$49,"Total")</f>
        <v/>
      </c>
      <c r="P16" s="69">
        <f>IF(OR(O16="",N16="",N16=0,O16=0),"",O16-N16)</f>
        <v/>
      </c>
      <c r="Q16" s="42">
        <f>IF(OR(O16="",N16="",N16=0,O16=0),"",O16/N16-1)</f>
        <v/>
      </c>
      <c r="R16" s="43">
        <f>IF(OR(N16="",C16="",C16=0),"",N16/C16)</f>
        <v/>
      </c>
      <c r="S16" s="43">
        <f>IF(OR(O16="",D16="",D16=0),"",O16/D16)</f>
        <v/>
      </c>
      <c r="T16" s="44">
        <f>IF(OR(S16="",R16=""),"",(S16-R16)*100)</f>
        <v/>
      </c>
      <c r="U16" s="41">
        <f>SUMIFS(Totals!$V$5:$V$49,Totals!$A$5:$A$49,"Route page",Totals!$B$5:$B$49,"Organic",Totals!$C$5:$C$49,"Total")</f>
        <v/>
      </c>
      <c r="V16" s="41">
        <f>SUMIFS(Totals!$W$5:$W$49,Totals!$A$5:$A$49,"Route page",Totals!$B$5:$B$49,"Organic",Totals!$C$5:$C$49,"Total")</f>
        <v/>
      </c>
      <c r="W16" s="69">
        <f>IF(OR(V16="",U16="",U16=0,V16=0),"",V16-U16)</f>
        <v/>
      </c>
      <c r="X16" s="42">
        <f>IF(OR(V16="",U16="",U16=0,V16=0),"",V16/U16-1)</f>
        <v/>
      </c>
      <c r="Y16" s="43">
        <f>IF(OR(U16="",N16="",N16=0),"",U16/N16)</f>
        <v/>
      </c>
      <c r="Z16" s="43">
        <f>IF(OR(V16="",O16="",O16=0),"",V16/O16)</f>
        <v/>
      </c>
      <c r="AA16" s="44">
        <f>IF(OR(Z16="",Y16=""),"",(Z16-Y16)*100)</f>
        <v/>
      </c>
      <c r="AB16" s="41">
        <f>SUMIFS(Totals!$AC$5:$AC$49,Totals!$A$5:$A$49,"Route page",Totals!$B$5:$B$49,"Organic",Totals!$C$5:$C$49,"Total")</f>
        <v/>
      </c>
      <c r="AC16" s="41">
        <f>SUMIFS(Totals!$AD$5:$AD$49,Totals!$A$5:$A$49,"Route page",Totals!$B$5:$B$49,"Organic",Totals!$C$5:$C$49,"Total")</f>
        <v/>
      </c>
      <c r="AD16" s="69">
        <f>IF(OR(AC16="",AB16="",AB16=0,AC16=0),"",AC16-AB16)</f>
        <v/>
      </c>
      <c r="AE16" s="42">
        <f>IF(OR(AC16="",AB16="",AB16=0,AC16=0),"",AC16/AB16-1)</f>
        <v/>
      </c>
      <c r="AF16" s="43">
        <f>IF(OR(AB16="",U16="",U16=0),"",AB16/U16)</f>
        <v/>
      </c>
      <c r="AG16" s="43">
        <f>IF(OR(AC16="",V16="",V16=0),"",AC16/V16)</f>
        <v/>
      </c>
      <c r="AH16" s="44">
        <f>IF(OR(AG16="",AF16=""),"",(AG16-AF16)*100)</f>
        <v/>
      </c>
      <c r="AI16" s="41">
        <f>SUMIFS(Totals!$AJ$5:$AJ$49,Totals!$A$5:$A$49,"Route page",Totals!$B$5:$B$49,"Organic",Totals!$C$5:$C$49,"Total")</f>
        <v/>
      </c>
      <c r="AJ16" s="41">
        <f>SUMIFS(Totals!$AK$5:$AK$49,Totals!$A$5:$A$49,"Route page",Totals!$B$5:$B$49,"Organic",Totals!$C$5:$C$49,"Total")</f>
        <v/>
      </c>
      <c r="AK16" s="69">
        <f>IF(OR(AJ16="",AI16="",AI16=0,AJ16=0),"",AJ16-AI16)</f>
        <v/>
      </c>
      <c r="AL16" s="42">
        <f>IF(OR(AJ16="",AI16="",AI16=0,AJ16=0),"",AJ16/AI16-1)</f>
        <v/>
      </c>
      <c r="AM16" s="43">
        <f>IF(OR(AI16="",AB16="",AB16=0),"",AI16/AB16)</f>
        <v/>
      </c>
      <c r="AN16" s="43">
        <f>IF(OR(AJ16="",AC16="",AC16=0),"",AJ16/AC16)</f>
        <v/>
      </c>
      <c r="AO16" s="44">
        <f>IF(OR(AN16="",AM16=""),"",(AN16-AM16)*100)</f>
        <v/>
      </c>
      <c r="AP16" s="41">
        <f>SUMIFS(Totals!$AQ$5:$AQ$49,Totals!$A$5:$A$49,"Route page",Totals!$B$5:$B$49,"Organic",Totals!$C$5:$C$49,"Total")</f>
        <v/>
      </c>
      <c r="AQ16" s="41">
        <f>SUMIFS(Totals!$AR$5:$AR$49,Totals!$A$5:$A$49,"Route page",Totals!$B$5:$B$49,"Organic",Totals!$C$5:$C$49,"Total")</f>
        <v/>
      </c>
      <c r="AR16" s="69">
        <f>IF(OR(AQ16="",AP16="",AP16=0,AQ16=0),"",AQ16-AP16)</f>
        <v/>
      </c>
      <c r="AS16" s="42">
        <f>IF(OR(AQ16="",AP16="",AP16=0,AQ16=0),"",AQ16/AP16-1)</f>
        <v/>
      </c>
      <c r="AT16" s="43">
        <f>IF(OR(AP16="",AI16="",AI16=0),"",AP16/AI16)</f>
        <v/>
      </c>
      <c r="AU16" s="43">
        <f>IF(OR(AQ16="",AJ16="",AJ16=0),"",AQ16/AJ16)</f>
        <v/>
      </c>
      <c r="AV16" s="44">
        <f>IF(OR(AU16="",AT16=""),"",(AU16-AT16)*100)</f>
        <v/>
      </c>
      <c r="AW16" s="45">
        <f>IF(OR(AP16="",N16="",N16=0),"",AP16/N16)</f>
        <v/>
      </c>
      <c r="AX16" s="45">
        <f>IF(OR(AQ16="",O16="",O16=0),"",AQ16/O16)</f>
        <v/>
      </c>
      <c r="AY16" s="44">
        <f>IF(OR(AX16="",AW16=""),"",(AX16-AW16)*100)</f>
        <v/>
      </c>
      <c r="AZ16" s="45">
        <f>IF(OR(AP16="",C16="",C16=0),"",AP16/C16)</f>
        <v/>
      </c>
      <c r="BA16" s="45">
        <f>IF(OR(AQ16="",D16="",D16=0),"",AQ16/D16)</f>
        <v/>
      </c>
      <c r="BB16" s="44">
        <f>IF(OR(BA16="",AZ16=""),"",(BA16-AZ16)*100)</f>
        <v/>
      </c>
    </row>
    <row r="17">
      <c r="A17" s="40" t="inlineStr">
        <is>
          <t>Route page</t>
        </is>
      </c>
      <c r="B17" s="40" t="inlineStr">
        <is>
          <t>Direct</t>
        </is>
      </c>
      <c r="C17" s="41">
        <f>SUMIFS(Totals!$D$5:$D$49,Totals!$A$5:$A$49,"Route page",Totals!$B$5:$B$49,"Direct",Totals!$C$5:$C$49,"Total")</f>
        <v/>
      </c>
      <c r="D17" s="41">
        <f>SUMIFS(Totals!$E$5:$E$49,Totals!$A$5:$A$49,"Route page",Totals!$B$5:$B$49,"Direct",Totals!$C$5:$C$49,"Total")</f>
        <v/>
      </c>
      <c r="E17" s="69">
        <f>IF(OR(D17="",C17="",C17=0,D17=0),"",D17-C17)</f>
        <v/>
      </c>
      <c r="F17" s="42">
        <f>IF(OR(D17="",C17="",C17=0,D17=0),"",D17/C17-1)</f>
        <v/>
      </c>
      <c r="G17" s="41">
        <f>SUMIFS(Totals!$H$5:$H$49,Totals!$A$5:$A$49,"Route page",Totals!$B$5:$B$49,"Direct",Totals!$C$5:$C$49,"Total")</f>
        <v/>
      </c>
      <c r="H17" s="41">
        <f>SUMIFS(Totals!$I$5:$I$49,Totals!$A$5:$A$49,"Route page",Totals!$B$5:$B$49,"Direct",Totals!$C$5:$C$49,"Total")</f>
        <v/>
      </c>
      <c r="I17" s="69">
        <f>IF(OR(H17="",G17="",G17=0,H17=0),"",H17-G17)</f>
        <v/>
      </c>
      <c r="J17" s="42">
        <f>IF(OR(H17="",G17="",G17=0,H17=0),"",H17/G17-1)</f>
        <v/>
      </c>
      <c r="K17" s="43">
        <f>IF(OR(G17="",C17="",C17=0),"",G17/C17)</f>
        <v/>
      </c>
      <c r="L17" s="43">
        <f>IF(OR(H17="",D17="",D17=0),"",H17/D17)</f>
        <v/>
      </c>
      <c r="M17" s="44">
        <f>IF(OR(L17="",K17=""),"",(L17-K17)*100)</f>
        <v/>
      </c>
      <c r="N17" s="41">
        <f>SUMIFS(Totals!$O$5:$O$49,Totals!$A$5:$A$49,"Route page",Totals!$B$5:$B$49,"Direct",Totals!$C$5:$C$49,"Total")</f>
        <v/>
      </c>
      <c r="O17" s="41">
        <f>SUMIFS(Totals!$P$5:$P$49,Totals!$A$5:$A$49,"Route page",Totals!$B$5:$B$49,"Direct",Totals!$C$5:$C$49,"Total")</f>
        <v/>
      </c>
      <c r="P17" s="69">
        <f>IF(OR(O17="",N17="",N17=0,O17=0),"",O17-N17)</f>
        <v/>
      </c>
      <c r="Q17" s="42">
        <f>IF(OR(O17="",N17="",N17=0,O17=0),"",O17/N17-1)</f>
        <v/>
      </c>
      <c r="R17" s="43">
        <f>IF(OR(N17="",C17="",C17=0),"",N17/C17)</f>
        <v/>
      </c>
      <c r="S17" s="43">
        <f>IF(OR(O17="",D17="",D17=0),"",O17/D17)</f>
        <v/>
      </c>
      <c r="T17" s="44">
        <f>IF(OR(S17="",R17=""),"",(S17-R17)*100)</f>
        <v/>
      </c>
      <c r="U17" s="41">
        <f>SUMIFS(Totals!$V$5:$V$49,Totals!$A$5:$A$49,"Route page",Totals!$B$5:$B$49,"Direct",Totals!$C$5:$C$49,"Total")</f>
        <v/>
      </c>
      <c r="V17" s="41">
        <f>SUMIFS(Totals!$W$5:$W$49,Totals!$A$5:$A$49,"Route page",Totals!$B$5:$B$49,"Direct",Totals!$C$5:$C$49,"Total")</f>
        <v/>
      </c>
      <c r="W17" s="69">
        <f>IF(OR(V17="",U17="",U17=0,V17=0),"",V17-U17)</f>
        <v/>
      </c>
      <c r="X17" s="42">
        <f>IF(OR(V17="",U17="",U17=0,V17=0),"",V17/U17-1)</f>
        <v/>
      </c>
      <c r="Y17" s="43">
        <f>IF(OR(U17="",N17="",N17=0),"",U17/N17)</f>
        <v/>
      </c>
      <c r="Z17" s="43">
        <f>IF(OR(V17="",O17="",O17=0),"",V17/O17)</f>
        <v/>
      </c>
      <c r="AA17" s="44">
        <f>IF(OR(Z17="",Y17=""),"",(Z17-Y17)*100)</f>
        <v/>
      </c>
      <c r="AB17" s="41">
        <f>SUMIFS(Totals!$AC$5:$AC$49,Totals!$A$5:$A$49,"Route page",Totals!$B$5:$B$49,"Direct",Totals!$C$5:$C$49,"Total")</f>
        <v/>
      </c>
      <c r="AC17" s="41">
        <f>SUMIFS(Totals!$AD$5:$AD$49,Totals!$A$5:$A$49,"Route page",Totals!$B$5:$B$49,"Direct",Totals!$C$5:$C$49,"Total")</f>
        <v/>
      </c>
      <c r="AD17" s="69">
        <f>IF(OR(AC17="",AB17="",AB17=0,AC17=0),"",AC17-AB17)</f>
        <v/>
      </c>
      <c r="AE17" s="42">
        <f>IF(OR(AC17="",AB17="",AB17=0,AC17=0),"",AC17/AB17-1)</f>
        <v/>
      </c>
      <c r="AF17" s="43">
        <f>IF(OR(AB17="",U17="",U17=0),"",AB17/U17)</f>
        <v/>
      </c>
      <c r="AG17" s="43">
        <f>IF(OR(AC17="",V17="",V17=0),"",AC17/V17)</f>
        <v/>
      </c>
      <c r="AH17" s="44">
        <f>IF(OR(AG17="",AF17=""),"",(AG17-AF17)*100)</f>
        <v/>
      </c>
      <c r="AI17" s="41">
        <f>SUMIFS(Totals!$AJ$5:$AJ$49,Totals!$A$5:$A$49,"Route page",Totals!$B$5:$B$49,"Direct",Totals!$C$5:$C$49,"Total")</f>
        <v/>
      </c>
      <c r="AJ17" s="41">
        <f>SUMIFS(Totals!$AK$5:$AK$49,Totals!$A$5:$A$49,"Route page",Totals!$B$5:$B$49,"Direct",Totals!$C$5:$C$49,"Total")</f>
        <v/>
      </c>
      <c r="AK17" s="69">
        <f>IF(OR(AJ17="",AI17="",AI17=0,AJ17=0),"",AJ17-AI17)</f>
        <v/>
      </c>
      <c r="AL17" s="42">
        <f>IF(OR(AJ17="",AI17="",AI17=0,AJ17=0),"",AJ17/AI17-1)</f>
        <v/>
      </c>
      <c r="AM17" s="43">
        <f>IF(OR(AI17="",AB17="",AB17=0),"",AI17/AB17)</f>
        <v/>
      </c>
      <c r="AN17" s="43">
        <f>IF(OR(AJ17="",AC17="",AC17=0),"",AJ17/AC17)</f>
        <v/>
      </c>
      <c r="AO17" s="44">
        <f>IF(OR(AN17="",AM17=""),"",(AN17-AM17)*100)</f>
        <v/>
      </c>
      <c r="AP17" s="41">
        <f>SUMIFS(Totals!$AQ$5:$AQ$49,Totals!$A$5:$A$49,"Route page",Totals!$B$5:$B$49,"Direct",Totals!$C$5:$C$49,"Total")</f>
        <v/>
      </c>
      <c r="AQ17" s="41">
        <f>SUMIFS(Totals!$AR$5:$AR$49,Totals!$A$5:$A$49,"Route page",Totals!$B$5:$B$49,"Direct",Totals!$C$5:$C$49,"Total")</f>
        <v/>
      </c>
      <c r="AR17" s="69">
        <f>IF(OR(AQ17="",AP17="",AP17=0,AQ17=0),"",AQ17-AP17)</f>
        <v/>
      </c>
      <c r="AS17" s="42">
        <f>IF(OR(AQ17="",AP17="",AP17=0,AQ17=0),"",AQ17/AP17-1)</f>
        <v/>
      </c>
      <c r="AT17" s="43">
        <f>IF(OR(AP17="",AI17="",AI17=0),"",AP17/AI17)</f>
        <v/>
      </c>
      <c r="AU17" s="43">
        <f>IF(OR(AQ17="",AJ17="",AJ17=0),"",AQ17/AJ17)</f>
        <v/>
      </c>
      <c r="AV17" s="44">
        <f>IF(OR(AU17="",AT17=""),"",(AU17-AT17)*100)</f>
        <v/>
      </c>
      <c r="AW17" s="45">
        <f>IF(OR(AP17="",N17="",N17=0),"",AP17/N17)</f>
        <v/>
      </c>
      <c r="AX17" s="45">
        <f>IF(OR(AQ17="",O17="",O17=0),"",AQ17/O17)</f>
        <v/>
      </c>
      <c r="AY17" s="44">
        <f>IF(OR(AX17="",AW17=""),"",(AX17-AW17)*100)</f>
        <v/>
      </c>
      <c r="AZ17" s="45">
        <f>IF(OR(AP17="",C17="",C17=0),"",AP17/C17)</f>
        <v/>
      </c>
      <c r="BA17" s="45">
        <f>IF(OR(AQ17="",D17="",D17=0),"",AQ17/D17)</f>
        <v/>
      </c>
      <c r="BB17" s="44">
        <f>IF(OR(BA17="",AZ17=""),"",(BA17-AZ17)*100)</f>
        <v/>
      </c>
    </row>
    <row r="18">
      <c r="A18" s="40" t="inlineStr">
        <is>
          <t>Other pages (derived)</t>
        </is>
      </c>
      <c r="B18" s="40" t="inlineStr">
        <is>
          <t>Paid Search</t>
        </is>
      </c>
      <c r="C18" s="41">
        <f>SUMIFS(Totals!$D$5:$D$49,Totals!$A$5:$A$49,"Other pages (derived)",Totals!$B$5:$B$49,"Paid Search",Totals!$C$5:$C$49,"Total")</f>
        <v/>
      </c>
      <c r="D18" s="41">
        <f>SUMIFS(Totals!$E$5:$E$49,Totals!$A$5:$A$49,"Other pages (derived)",Totals!$B$5:$B$49,"Paid Search",Totals!$C$5:$C$49,"Total")</f>
        <v/>
      </c>
      <c r="E18" s="69">
        <f>IF(OR(D18="",C18="",C18=0,D18=0),"",D18-C18)</f>
        <v/>
      </c>
      <c r="F18" s="42">
        <f>IF(OR(D18="",C18="",C18=0,D18=0),"",D18/C18-1)</f>
        <v/>
      </c>
      <c r="G18" s="41">
        <f>SUMIFS(Totals!$H$5:$H$49,Totals!$A$5:$A$49,"Other pages (derived)",Totals!$B$5:$B$49,"Paid Search",Totals!$C$5:$C$49,"Total")</f>
        <v/>
      </c>
      <c r="H18" s="41">
        <f>SUMIFS(Totals!$I$5:$I$49,Totals!$A$5:$A$49,"Other pages (derived)",Totals!$B$5:$B$49,"Paid Search",Totals!$C$5:$C$49,"Total")</f>
        <v/>
      </c>
      <c r="I18" s="69">
        <f>IF(OR(H18="",G18="",G18=0,H18=0),"",H18-G18)</f>
        <v/>
      </c>
      <c r="J18" s="42">
        <f>IF(OR(H18="",G18="",G18=0,H18=0),"",H18/G18-1)</f>
        <v/>
      </c>
      <c r="K18" s="43">
        <f>IF(OR(G18="",C18="",C18=0),"",G18/C18)</f>
        <v/>
      </c>
      <c r="L18" s="43">
        <f>IF(OR(H18="",D18="",D18=0),"",H18/D18)</f>
        <v/>
      </c>
      <c r="M18" s="44">
        <f>IF(OR(L18="",K18=""),"",(L18-K18)*100)</f>
        <v/>
      </c>
      <c r="N18" s="41">
        <f>SUMIFS(Totals!$O$5:$O$49,Totals!$A$5:$A$49,"Other pages (derived)",Totals!$B$5:$B$49,"Paid Search",Totals!$C$5:$C$49,"Total")</f>
        <v/>
      </c>
      <c r="O18" s="41">
        <f>SUMIFS(Totals!$P$5:$P$49,Totals!$A$5:$A$49,"Other pages (derived)",Totals!$B$5:$B$49,"Paid Search",Totals!$C$5:$C$49,"Total")</f>
        <v/>
      </c>
      <c r="P18" s="69">
        <f>IF(OR(O18="",N18="",N18=0,O18=0),"",O18-N18)</f>
        <v/>
      </c>
      <c r="Q18" s="42">
        <f>IF(OR(O18="",N18="",N18=0,O18=0),"",O18/N18-1)</f>
        <v/>
      </c>
      <c r="R18" s="43">
        <f>IF(OR(N18="",C18="",C18=0),"",N18/C18)</f>
        <v/>
      </c>
      <c r="S18" s="43">
        <f>IF(OR(O18="",D18="",D18=0),"",O18/D18)</f>
        <v/>
      </c>
      <c r="T18" s="44">
        <f>IF(OR(S18="",R18=""),"",(S18-R18)*100)</f>
        <v/>
      </c>
      <c r="U18" s="41">
        <f>SUMIFS(Totals!$V$5:$V$49,Totals!$A$5:$A$49,"Other pages (derived)",Totals!$B$5:$B$49,"Paid Search",Totals!$C$5:$C$49,"Total")</f>
        <v/>
      </c>
      <c r="V18" s="41">
        <f>SUMIFS(Totals!$W$5:$W$49,Totals!$A$5:$A$49,"Other pages (derived)",Totals!$B$5:$B$49,"Paid Search",Totals!$C$5:$C$49,"Total")</f>
        <v/>
      </c>
      <c r="W18" s="69">
        <f>IF(OR(V18="",U18="",U18=0,V18=0),"",V18-U18)</f>
        <v/>
      </c>
      <c r="X18" s="42">
        <f>IF(OR(V18="",U18="",U18=0,V18=0),"",V18/U18-1)</f>
        <v/>
      </c>
      <c r="Y18" s="43">
        <f>IF(OR(U18="",N18="",N18=0),"",U18/N18)</f>
        <v/>
      </c>
      <c r="Z18" s="43">
        <f>IF(OR(V18="",O18="",O18=0),"",V18/O18)</f>
        <v/>
      </c>
      <c r="AA18" s="44">
        <f>IF(OR(Z18="",Y18=""),"",(Z18-Y18)*100)</f>
        <v/>
      </c>
      <c r="AB18" s="41">
        <f>SUMIFS(Totals!$AC$5:$AC$49,Totals!$A$5:$A$49,"Other pages (derived)",Totals!$B$5:$B$49,"Paid Search",Totals!$C$5:$C$49,"Total")</f>
        <v/>
      </c>
      <c r="AC18" s="41">
        <f>SUMIFS(Totals!$AD$5:$AD$49,Totals!$A$5:$A$49,"Other pages (derived)",Totals!$B$5:$B$49,"Paid Search",Totals!$C$5:$C$49,"Total")</f>
        <v/>
      </c>
      <c r="AD18" s="69">
        <f>IF(OR(AC18="",AB18="",AB18=0,AC18=0),"",AC18-AB18)</f>
        <v/>
      </c>
      <c r="AE18" s="42">
        <f>IF(OR(AC18="",AB18="",AB18=0,AC18=0),"",AC18/AB18-1)</f>
        <v/>
      </c>
      <c r="AF18" s="43">
        <f>IF(OR(AB18="",U18="",U18=0),"",AB18/U18)</f>
        <v/>
      </c>
      <c r="AG18" s="43">
        <f>IF(OR(AC18="",V18="",V18=0),"",AC18/V18)</f>
        <v/>
      </c>
      <c r="AH18" s="44">
        <f>IF(OR(AG18="",AF18=""),"",(AG18-AF18)*100)</f>
        <v/>
      </c>
      <c r="AI18" s="41">
        <f>SUMIFS(Totals!$AJ$5:$AJ$49,Totals!$A$5:$A$49,"Other pages (derived)",Totals!$B$5:$B$49,"Paid Search",Totals!$C$5:$C$49,"Total")</f>
        <v/>
      </c>
      <c r="AJ18" s="41">
        <f>SUMIFS(Totals!$AK$5:$AK$49,Totals!$A$5:$A$49,"Other pages (derived)",Totals!$B$5:$B$49,"Paid Search",Totals!$C$5:$C$49,"Total")</f>
        <v/>
      </c>
      <c r="AK18" s="69">
        <f>IF(OR(AJ18="",AI18="",AI18=0,AJ18=0),"",AJ18-AI18)</f>
        <v/>
      </c>
      <c r="AL18" s="42">
        <f>IF(OR(AJ18="",AI18="",AI18=0,AJ18=0),"",AJ18/AI18-1)</f>
        <v/>
      </c>
      <c r="AM18" s="43">
        <f>IF(OR(AI18="",AB18="",AB18=0),"",AI18/AB18)</f>
        <v/>
      </c>
      <c r="AN18" s="43">
        <f>IF(OR(AJ18="",AC18="",AC18=0),"",AJ18/AC18)</f>
        <v/>
      </c>
      <c r="AO18" s="44">
        <f>IF(OR(AN18="",AM18=""),"",(AN18-AM18)*100)</f>
        <v/>
      </c>
      <c r="AP18" s="41">
        <f>SUMIFS(Totals!$AQ$5:$AQ$49,Totals!$A$5:$A$49,"Other pages (derived)",Totals!$B$5:$B$49,"Paid Search",Totals!$C$5:$C$49,"Total")</f>
        <v/>
      </c>
      <c r="AQ18" s="41">
        <f>SUMIFS(Totals!$AR$5:$AR$49,Totals!$A$5:$A$49,"Other pages (derived)",Totals!$B$5:$B$49,"Paid Search",Totals!$C$5:$C$49,"Total")</f>
        <v/>
      </c>
      <c r="AR18" s="69">
        <f>IF(OR(AQ18="",AP18="",AP18=0,AQ18=0),"",AQ18-AP18)</f>
        <v/>
      </c>
      <c r="AS18" s="42">
        <f>IF(OR(AQ18="",AP18="",AP18=0,AQ18=0),"",AQ18/AP18-1)</f>
        <v/>
      </c>
      <c r="AT18" s="43">
        <f>IF(OR(AP18="",AI18="",AI18=0),"",AP18/AI18)</f>
        <v/>
      </c>
      <c r="AU18" s="43">
        <f>IF(OR(AQ18="",AJ18="",AJ18=0),"",AQ18/AJ18)</f>
        <v/>
      </c>
      <c r="AV18" s="44">
        <f>IF(OR(AU18="",AT18=""),"",(AU18-AT18)*100)</f>
        <v/>
      </c>
      <c r="AW18" s="45">
        <f>IF(OR(AP18="",N18="",N18=0),"",AP18/N18)</f>
        <v/>
      </c>
      <c r="AX18" s="45">
        <f>IF(OR(AQ18="",O18="",O18=0),"",AQ18/O18)</f>
        <v/>
      </c>
      <c r="AY18" s="44">
        <f>IF(OR(AX18="",AW18=""),"",(AX18-AW18)*100)</f>
        <v/>
      </c>
      <c r="AZ18" s="45">
        <f>IF(OR(AP18="",C18="",C18=0),"",AP18/C18)</f>
        <v/>
      </c>
      <c r="BA18" s="45">
        <f>IF(OR(AQ18="",D18="",D18=0),"",AQ18/D18)</f>
        <v/>
      </c>
      <c r="BB18" s="44">
        <f>IF(OR(BA18="",AZ18=""),"",(BA18-AZ18)*100)</f>
        <v/>
      </c>
    </row>
    <row r="19">
      <c r="A19" s="40" t="inlineStr">
        <is>
          <t>Other pages (derived)</t>
        </is>
      </c>
      <c r="B19" s="40" t="inlineStr">
        <is>
          <t>Organic</t>
        </is>
      </c>
      <c r="C19" s="41">
        <f>SUMIFS(Totals!$D$5:$D$49,Totals!$A$5:$A$49,"Other pages (derived)",Totals!$B$5:$B$49,"Organic",Totals!$C$5:$C$49,"Total")</f>
        <v/>
      </c>
      <c r="D19" s="41">
        <f>SUMIFS(Totals!$E$5:$E$49,Totals!$A$5:$A$49,"Other pages (derived)",Totals!$B$5:$B$49,"Organic",Totals!$C$5:$C$49,"Total")</f>
        <v/>
      </c>
      <c r="E19" s="69">
        <f>IF(OR(D19="",C19="",C19=0,D19=0),"",D19-C19)</f>
        <v/>
      </c>
      <c r="F19" s="42">
        <f>IF(OR(D19="",C19="",C19=0,D19=0),"",D19/C19-1)</f>
        <v/>
      </c>
      <c r="G19" s="41">
        <f>SUMIFS(Totals!$H$5:$H$49,Totals!$A$5:$A$49,"Other pages (derived)",Totals!$B$5:$B$49,"Organic",Totals!$C$5:$C$49,"Total")</f>
        <v/>
      </c>
      <c r="H19" s="41">
        <f>SUMIFS(Totals!$I$5:$I$49,Totals!$A$5:$A$49,"Other pages (derived)",Totals!$B$5:$B$49,"Organic",Totals!$C$5:$C$49,"Total")</f>
        <v/>
      </c>
      <c r="I19" s="69">
        <f>IF(OR(H19="",G19="",G19=0,H19=0),"",H19-G19)</f>
        <v/>
      </c>
      <c r="J19" s="42">
        <f>IF(OR(H19="",G19="",G19=0,H19=0),"",H19/G19-1)</f>
        <v/>
      </c>
      <c r="K19" s="43">
        <f>IF(OR(G19="",C19="",C19=0),"",G19/C19)</f>
        <v/>
      </c>
      <c r="L19" s="43">
        <f>IF(OR(H19="",D19="",D19=0),"",H19/D19)</f>
        <v/>
      </c>
      <c r="M19" s="44">
        <f>IF(OR(L19="",K19=""),"",(L19-K19)*100)</f>
        <v/>
      </c>
      <c r="N19" s="41">
        <f>SUMIFS(Totals!$O$5:$O$49,Totals!$A$5:$A$49,"Other pages (derived)",Totals!$B$5:$B$49,"Organic",Totals!$C$5:$C$49,"Total")</f>
        <v/>
      </c>
      <c r="O19" s="41">
        <f>SUMIFS(Totals!$P$5:$P$49,Totals!$A$5:$A$49,"Other pages (derived)",Totals!$B$5:$B$49,"Organic",Totals!$C$5:$C$49,"Total")</f>
        <v/>
      </c>
      <c r="P19" s="69">
        <f>IF(OR(O19="",N19="",N19=0,O19=0),"",O19-N19)</f>
        <v/>
      </c>
      <c r="Q19" s="42">
        <f>IF(OR(O19="",N19="",N19=0,O19=0),"",O19/N19-1)</f>
        <v/>
      </c>
      <c r="R19" s="43">
        <f>IF(OR(N19="",C19="",C19=0),"",N19/C19)</f>
        <v/>
      </c>
      <c r="S19" s="43">
        <f>IF(OR(O19="",D19="",D19=0),"",O19/D19)</f>
        <v/>
      </c>
      <c r="T19" s="44">
        <f>IF(OR(S19="",R19=""),"",(S19-R19)*100)</f>
        <v/>
      </c>
      <c r="U19" s="41">
        <f>SUMIFS(Totals!$V$5:$V$49,Totals!$A$5:$A$49,"Other pages (derived)",Totals!$B$5:$B$49,"Organic",Totals!$C$5:$C$49,"Total")</f>
        <v/>
      </c>
      <c r="V19" s="41">
        <f>SUMIFS(Totals!$W$5:$W$49,Totals!$A$5:$A$49,"Other pages (derived)",Totals!$B$5:$B$49,"Organic",Totals!$C$5:$C$49,"Total")</f>
        <v/>
      </c>
      <c r="W19" s="69">
        <f>IF(OR(V19="",U19="",U19=0,V19=0),"",V19-U19)</f>
        <v/>
      </c>
      <c r="X19" s="42">
        <f>IF(OR(V19="",U19="",U19=0,V19=0),"",V19/U19-1)</f>
        <v/>
      </c>
      <c r="Y19" s="43">
        <f>IF(OR(U19="",N19="",N19=0),"",U19/N19)</f>
        <v/>
      </c>
      <c r="Z19" s="43">
        <f>IF(OR(V19="",O19="",O19=0),"",V19/O19)</f>
        <v/>
      </c>
      <c r="AA19" s="44">
        <f>IF(OR(Z19="",Y19=""),"",(Z19-Y19)*100)</f>
        <v/>
      </c>
      <c r="AB19" s="41">
        <f>SUMIFS(Totals!$AC$5:$AC$49,Totals!$A$5:$A$49,"Other pages (derived)",Totals!$B$5:$B$49,"Organic",Totals!$C$5:$C$49,"Total")</f>
        <v/>
      </c>
      <c r="AC19" s="41">
        <f>SUMIFS(Totals!$AD$5:$AD$49,Totals!$A$5:$A$49,"Other pages (derived)",Totals!$B$5:$B$49,"Organic",Totals!$C$5:$C$49,"Total")</f>
        <v/>
      </c>
      <c r="AD19" s="69">
        <f>IF(OR(AC19="",AB19="",AB19=0,AC19=0),"",AC19-AB19)</f>
        <v/>
      </c>
      <c r="AE19" s="42">
        <f>IF(OR(AC19="",AB19="",AB19=0,AC19=0),"",AC19/AB19-1)</f>
        <v/>
      </c>
      <c r="AF19" s="43">
        <f>IF(OR(AB19="",U19="",U19=0),"",AB19/U19)</f>
        <v/>
      </c>
      <c r="AG19" s="43">
        <f>IF(OR(AC19="",V19="",V19=0),"",AC19/V19)</f>
        <v/>
      </c>
      <c r="AH19" s="44">
        <f>IF(OR(AG19="",AF19=""),"",(AG19-AF19)*100)</f>
        <v/>
      </c>
      <c r="AI19" s="41">
        <f>SUMIFS(Totals!$AJ$5:$AJ$49,Totals!$A$5:$A$49,"Other pages (derived)",Totals!$B$5:$B$49,"Organic",Totals!$C$5:$C$49,"Total")</f>
        <v/>
      </c>
      <c r="AJ19" s="41">
        <f>SUMIFS(Totals!$AK$5:$AK$49,Totals!$A$5:$A$49,"Other pages (derived)",Totals!$B$5:$B$49,"Organic",Totals!$C$5:$C$49,"Total")</f>
        <v/>
      </c>
      <c r="AK19" s="69">
        <f>IF(OR(AJ19="",AI19="",AI19=0,AJ19=0),"",AJ19-AI19)</f>
        <v/>
      </c>
      <c r="AL19" s="42">
        <f>IF(OR(AJ19="",AI19="",AI19=0,AJ19=0),"",AJ19/AI19-1)</f>
        <v/>
      </c>
      <c r="AM19" s="43">
        <f>IF(OR(AI19="",AB19="",AB19=0),"",AI19/AB19)</f>
        <v/>
      </c>
      <c r="AN19" s="43">
        <f>IF(OR(AJ19="",AC19="",AC19=0),"",AJ19/AC19)</f>
        <v/>
      </c>
      <c r="AO19" s="44">
        <f>IF(OR(AN19="",AM19=""),"",(AN19-AM19)*100)</f>
        <v/>
      </c>
      <c r="AP19" s="41">
        <f>SUMIFS(Totals!$AQ$5:$AQ$49,Totals!$A$5:$A$49,"Other pages (derived)",Totals!$B$5:$B$49,"Organic",Totals!$C$5:$C$49,"Total")</f>
        <v/>
      </c>
      <c r="AQ19" s="41">
        <f>SUMIFS(Totals!$AR$5:$AR$49,Totals!$A$5:$A$49,"Other pages (derived)",Totals!$B$5:$B$49,"Organic",Totals!$C$5:$C$49,"Total")</f>
        <v/>
      </c>
      <c r="AR19" s="69">
        <f>IF(OR(AQ19="",AP19="",AP19=0,AQ19=0),"",AQ19-AP19)</f>
        <v/>
      </c>
      <c r="AS19" s="42">
        <f>IF(OR(AQ19="",AP19="",AP19=0,AQ19=0),"",AQ19/AP19-1)</f>
        <v/>
      </c>
      <c r="AT19" s="43">
        <f>IF(OR(AP19="",AI19="",AI19=0),"",AP19/AI19)</f>
        <v/>
      </c>
      <c r="AU19" s="43">
        <f>IF(OR(AQ19="",AJ19="",AJ19=0),"",AQ19/AJ19)</f>
        <v/>
      </c>
      <c r="AV19" s="44">
        <f>IF(OR(AU19="",AT19=""),"",(AU19-AT19)*100)</f>
        <v/>
      </c>
      <c r="AW19" s="45">
        <f>IF(OR(AP19="",N19="",N19=0),"",AP19/N19)</f>
        <v/>
      </c>
      <c r="AX19" s="45">
        <f>IF(OR(AQ19="",O19="",O19=0),"",AQ19/O19)</f>
        <v/>
      </c>
      <c r="AY19" s="44">
        <f>IF(OR(AX19="",AW19=""),"",(AX19-AW19)*100)</f>
        <v/>
      </c>
      <c r="AZ19" s="45">
        <f>IF(OR(AP19="",C19="",C19=0),"",AP19/C19)</f>
        <v/>
      </c>
      <c r="BA19" s="45">
        <f>IF(OR(AQ19="",D19="",D19=0),"",AQ19/D19)</f>
        <v/>
      </c>
      <c r="BB19" s="44">
        <f>IF(OR(BA19="",AZ19=""),"",(BA19-AZ19)*100)</f>
        <v/>
      </c>
    </row>
    <row r="20">
      <c r="A20" s="40" t="inlineStr">
        <is>
          <t>Other pages (derived)</t>
        </is>
      </c>
      <c r="B20" s="40" t="inlineStr">
        <is>
          <t>Direct</t>
        </is>
      </c>
      <c r="C20" s="41">
        <f>SUMIFS(Totals!$D$5:$D$49,Totals!$A$5:$A$49,"Other pages (derived)",Totals!$B$5:$B$49,"Direct",Totals!$C$5:$C$49,"Total")</f>
        <v/>
      </c>
      <c r="D20" s="41">
        <f>SUMIFS(Totals!$E$5:$E$49,Totals!$A$5:$A$49,"Other pages (derived)",Totals!$B$5:$B$49,"Direct",Totals!$C$5:$C$49,"Total")</f>
        <v/>
      </c>
      <c r="E20" s="69">
        <f>IF(OR(D20="",C20="",C20=0,D20=0),"",D20-C20)</f>
        <v/>
      </c>
      <c r="F20" s="42">
        <f>IF(OR(D20="",C20="",C20=0,D20=0),"",D20/C20-1)</f>
        <v/>
      </c>
      <c r="G20" s="41">
        <f>SUMIFS(Totals!$H$5:$H$49,Totals!$A$5:$A$49,"Other pages (derived)",Totals!$B$5:$B$49,"Direct",Totals!$C$5:$C$49,"Total")</f>
        <v/>
      </c>
      <c r="H20" s="41">
        <f>SUMIFS(Totals!$I$5:$I$49,Totals!$A$5:$A$49,"Other pages (derived)",Totals!$B$5:$B$49,"Direct",Totals!$C$5:$C$49,"Total")</f>
        <v/>
      </c>
      <c r="I20" s="69">
        <f>IF(OR(H20="",G20="",G20=0,H20=0),"",H20-G20)</f>
        <v/>
      </c>
      <c r="J20" s="42">
        <f>IF(OR(H20="",G20="",G20=0,H20=0),"",H20/G20-1)</f>
        <v/>
      </c>
      <c r="K20" s="43">
        <f>IF(OR(G20="",C20="",C20=0),"",G20/C20)</f>
        <v/>
      </c>
      <c r="L20" s="43">
        <f>IF(OR(H20="",D20="",D20=0),"",H20/D20)</f>
        <v/>
      </c>
      <c r="M20" s="44">
        <f>IF(OR(L20="",K20=""),"",(L20-K20)*100)</f>
        <v/>
      </c>
      <c r="N20" s="41">
        <f>SUMIFS(Totals!$O$5:$O$49,Totals!$A$5:$A$49,"Other pages (derived)",Totals!$B$5:$B$49,"Direct",Totals!$C$5:$C$49,"Total")</f>
        <v/>
      </c>
      <c r="O20" s="41">
        <f>SUMIFS(Totals!$P$5:$P$49,Totals!$A$5:$A$49,"Other pages (derived)",Totals!$B$5:$B$49,"Direct",Totals!$C$5:$C$49,"Total")</f>
        <v/>
      </c>
      <c r="P20" s="69">
        <f>IF(OR(O20="",N20="",N20=0,O20=0),"",O20-N20)</f>
        <v/>
      </c>
      <c r="Q20" s="42">
        <f>IF(OR(O20="",N20="",N20=0,O20=0),"",O20/N20-1)</f>
        <v/>
      </c>
      <c r="R20" s="43">
        <f>IF(OR(N20="",C20="",C20=0),"",N20/C20)</f>
        <v/>
      </c>
      <c r="S20" s="43">
        <f>IF(OR(O20="",D20="",D20=0),"",O20/D20)</f>
        <v/>
      </c>
      <c r="T20" s="44">
        <f>IF(OR(S20="",R20=""),"",(S20-R20)*100)</f>
        <v/>
      </c>
      <c r="U20" s="41">
        <f>SUMIFS(Totals!$V$5:$V$49,Totals!$A$5:$A$49,"Other pages (derived)",Totals!$B$5:$B$49,"Direct",Totals!$C$5:$C$49,"Total")</f>
        <v/>
      </c>
      <c r="V20" s="41">
        <f>SUMIFS(Totals!$W$5:$W$49,Totals!$A$5:$A$49,"Other pages (derived)",Totals!$B$5:$B$49,"Direct",Totals!$C$5:$C$49,"Total")</f>
        <v/>
      </c>
      <c r="W20" s="69">
        <f>IF(OR(V20="",U20="",U20=0,V20=0),"",V20-U20)</f>
        <v/>
      </c>
      <c r="X20" s="42">
        <f>IF(OR(V20="",U20="",U20=0,V20=0),"",V20/U20-1)</f>
        <v/>
      </c>
      <c r="Y20" s="43">
        <f>IF(OR(U20="",N20="",N20=0),"",U20/N20)</f>
        <v/>
      </c>
      <c r="Z20" s="43">
        <f>IF(OR(V20="",O20="",O20=0),"",V20/O20)</f>
        <v/>
      </c>
      <c r="AA20" s="44">
        <f>IF(OR(Z20="",Y20=""),"",(Z20-Y20)*100)</f>
        <v/>
      </c>
      <c r="AB20" s="41">
        <f>SUMIFS(Totals!$AC$5:$AC$49,Totals!$A$5:$A$49,"Other pages (derived)",Totals!$B$5:$B$49,"Direct",Totals!$C$5:$C$49,"Total")</f>
        <v/>
      </c>
      <c r="AC20" s="41">
        <f>SUMIFS(Totals!$AD$5:$AD$49,Totals!$A$5:$A$49,"Other pages (derived)",Totals!$B$5:$B$49,"Direct",Totals!$C$5:$C$49,"Total")</f>
        <v/>
      </c>
      <c r="AD20" s="69">
        <f>IF(OR(AC20="",AB20="",AB20=0,AC20=0),"",AC20-AB20)</f>
        <v/>
      </c>
      <c r="AE20" s="42">
        <f>IF(OR(AC20="",AB20="",AB20=0,AC20=0),"",AC20/AB20-1)</f>
        <v/>
      </c>
      <c r="AF20" s="43">
        <f>IF(OR(AB20="",U20="",U20=0),"",AB20/U20)</f>
        <v/>
      </c>
      <c r="AG20" s="43">
        <f>IF(OR(AC20="",V20="",V20=0),"",AC20/V20)</f>
        <v/>
      </c>
      <c r="AH20" s="44">
        <f>IF(OR(AG20="",AF20=""),"",(AG20-AF20)*100)</f>
        <v/>
      </c>
      <c r="AI20" s="41">
        <f>SUMIFS(Totals!$AJ$5:$AJ$49,Totals!$A$5:$A$49,"Other pages (derived)",Totals!$B$5:$B$49,"Direct",Totals!$C$5:$C$49,"Total")</f>
        <v/>
      </c>
      <c r="AJ20" s="41">
        <f>SUMIFS(Totals!$AK$5:$AK$49,Totals!$A$5:$A$49,"Other pages (derived)",Totals!$B$5:$B$49,"Direct",Totals!$C$5:$C$49,"Total")</f>
        <v/>
      </c>
      <c r="AK20" s="69">
        <f>IF(OR(AJ20="",AI20="",AI20=0,AJ20=0),"",AJ20-AI20)</f>
        <v/>
      </c>
      <c r="AL20" s="42">
        <f>IF(OR(AJ20="",AI20="",AI20=0,AJ20=0),"",AJ20/AI20-1)</f>
        <v/>
      </c>
      <c r="AM20" s="43">
        <f>IF(OR(AI20="",AB20="",AB20=0),"",AI20/AB20)</f>
        <v/>
      </c>
      <c r="AN20" s="43">
        <f>IF(OR(AJ20="",AC20="",AC20=0),"",AJ20/AC20)</f>
        <v/>
      </c>
      <c r="AO20" s="44">
        <f>IF(OR(AN20="",AM20=""),"",(AN20-AM20)*100)</f>
        <v/>
      </c>
      <c r="AP20" s="41">
        <f>SUMIFS(Totals!$AQ$5:$AQ$49,Totals!$A$5:$A$49,"Other pages (derived)",Totals!$B$5:$B$49,"Direct",Totals!$C$5:$C$49,"Total")</f>
        <v/>
      </c>
      <c r="AQ20" s="41">
        <f>SUMIFS(Totals!$AR$5:$AR$49,Totals!$A$5:$A$49,"Other pages (derived)",Totals!$B$5:$B$49,"Direct",Totals!$C$5:$C$49,"Total")</f>
        <v/>
      </c>
      <c r="AR20" s="69">
        <f>IF(OR(AQ20="",AP20="",AP20=0,AQ20=0),"",AQ20-AP20)</f>
        <v/>
      </c>
      <c r="AS20" s="42">
        <f>IF(OR(AQ20="",AP20="",AP20=0,AQ20=0),"",AQ20/AP20-1)</f>
        <v/>
      </c>
      <c r="AT20" s="43">
        <f>IF(OR(AP20="",AI20="",AI20=0),"",AP20/AI20)</f>
        <v/>
      </c>
      <c r="AU20" s="43">
        <f>IF(OR(AQ20="",AJ20="",AJ20=0),"",AQ20/AJ20)</f>
        <v/>
      </c>
      <c r="AV20" s="44">
        <f>IF(OR(AU20="",AT20=""),"",(AU20-AT20)*100)</f>
        <v/>
      </c>
      <c r="AW20" s="45">
        <f>IF(OR(AP20="",N20="",N20=0),"",AP20/N20)</f>
        <v/>
      </c>
      <c r="AX20" s="45">
        <f>IF(OR(AQ20="",O20="",O20=0),"",AQ20/O20)</f>
        <v/>
      </c>
      <c r="AY20" s="44">
        <f>IF(OR(AX20="",AW20=""),"",(AX20-AW20)*100)</f>
        <v/>
      </c>
      <c r="AZ20" s="45">
        <f>IF(OR(AP20="",C20="",C20=0),"",AP20/C20)</f>
        <v/>
      </c>
      <c r="BA20" s="45">
        <f>IF(OR(AQ20="",D20="",D20=0),"",AQ20/D20)</f>
        <v/>
      </c>
      <c r="BB20" s="44">
        <f>IF(OR(BA20="",AZ20=""),"",(BA20-AZ20)*100)</f>
        <v/>
      </c>
    </row>
    <row r="22">
      <c r="A22" s="12" t="inlineStr">
        <is>
          <t>Watch the 'Other pages (derived)' rows: the three named landing groups do not attribute identically across the three metric views, so the residual can produce a rate above 100% (Direct reads 211 bookings from 83 searches). Any rate cell shaded red is implausible and should not be quoted.</t>
        </is>
      </c>
    </row>
  </sheetData>
  <mergeCells count="17">
    <mergeCell ref="B4:B5"/>
    <mergeCell ref="K4:M4"/>
    <mergeCell ref="C4:F4"/>
    <mergeCell ref="G4:J4"/>
    <mergeCell ref="U4:X4"/>
    <mergeCell ref="R4:T4"/>
    <mergeCell ref="AB4:AE4"/>
    <mergeCell ref="N4:Q4"/>
    <mergeCell ref="AI4:AL4"/>
    <mergeCell ref="AM4:AO4"/>
    <mergeCell ref="AP4:AS4"/>
    <mergeCell ref="Y4:AA4"/>
    <mergeCell ref="AT4:AV4"/>
    <mergeCell ref="AZ4:BB4"/>
    <mergeCell ref="AF4:AH4"/>
    <mergeCell ref="A4:A5"/>
    <mergeCell ref="AW4:AY4"/>
  </mergeCells>
  <conditionalFormatting sqref="F6:F20">
    <cfRule type="cellIs" priority="1" operator="greaterThan" dxfId="0">
      <formula>0</formula>
    </cfRule>
    <cfRule type="cellIs" priority="2" operator="lessThan" dxfId="1">
      <formula>0</formula>
    </cfRule>
  </conditionalFormatting>
  <conditionalFormatting sqref="J6:J20">
    <cfRule type="cellIs" priority="3" operator="greaterThan" dxfId="0">
      <formula>0</formula>
    </cfRule>
    <cfRule type="cellIs" priority="4" operator="lessThan" dxfId="1">
      <formula>0</formula>
    </cfRule>
  </conditionalFormatting>
  <conditionalFormatting sqref="M6:M20">
    <cfRule type="cellIs" priority="5" operator="greaterThan" dxfId="0">
      <formula>0</formula>
    </cfRule>
    <cfRule type="cellIs" priority="6" operator="lessThan" dxfId="1">
      <formula>0</formula>
    </cfRule>
  </conditionalFormatting>
  <conditionalFormatting sqref="K6:K20">
    <cfRule type="cellIs" priority="7" operator="greaterThan" dxfId="2">
      <formula>1</formula>
    </cfRule>
  </conditionalFormatting>
  <conditionalFormatting sqref="L6:L20">
    <cfRule type="cellIs" priority="8" operator="greaterThan" dxfId="2">
      <formula>1</formula>
    </cfRule>
  </conditionalFormatting>
  <conditionalFormatting sqref="Q6:Q20">
    <cfRule type="cellIs" priority="9" operator="greaterThan" dxfId="0">
      <formula>0</formula>
    </cfRule>
    <cfRule type="cellIs" priority="10" operator="lessThan" dxfId="1">
      <formula>0</formula>
    </cfRule>
  </conditionalFormatting>
  <conditionalFormatting sqref="T6:T20">
    <cfRule type="cellIs" priority="11" operator="greaterThan" dxfId="0">
      <formula>0</formula>
    </cfRule>
    <cfRule type="cellIs" priority="12" operator="lessThan" dxfId="1">
      <formula>0</formula>
    </cfRule>
  </conditionalFormatting>
  <conditionalFormatting sqref="R6:R20">
    <cfRule type="cellIs" priority="13" operator="greaterThan" dxfId="2">
      <formula>1</formula>
    </cfRule>
  </conditionalFormatting>
  <conditionalFormatting sqref="S6:S20">
    <cfRule type="cellIs" priority="14" operator="greaterThan" dxfId="2">
      <formula>1</formula>
    </cfRule>
  </conditionalFormatting>
  <conditionalFormatting sqref="X6:X20">
    <cfRule type="cellIs" priority="15" operator="greaterThan" dxfId="0">
      <formula>0</formula>
    </cfRule>
    <cfRule type="cellIs" priority="16" operator="lessThan" dxfId="1">
      <formula>0</formula>
    </cfRule>
  </conditionalFormatting>
  <conditionalFormatting sqref="AA6:AA20">
    <cfRule type="cellIs" priority="17" operator="greaterThan" dxfId="0">
      <formula>0</formula>
    </cfRule>
    <cfRule type="cellIs" priority="18" operator="lessThan" dxfId="1">
      <formula>0</formula>
    </cfRule>
  </conditionalFormatting>
  <conditionalFormatting sqref="Y6:Y20">
    <cfRule type="cellIs" priority="19" operator="greaterThan" dxfId="2">
      <formula>1</formula>
    </cfRule>
  </conditionalFormatting>
  <conditionalFormatting sqref="Z6:Z20">
    <cfRule type="cellIs" priority="20" operator="greaterThan" dxfId="2">
      <formula>1</formula>
    </cfRule>
  </conditionalFormatting>
  <conditionalFormatting sqref="AE6:AE20">
    <cfRule type="cellIs" priority="21" operator="greaterThan" dxfId="0">
      <formula>0</formula>
    </cfRule>
    <cfRule type="cellIs" priority="22" operator="lessThan" dxfId="1">
      <formula>0</formula>
    </cfRule>
  </conditionalFormatting>
  <conditionalFormatting sqref="AH6:AH20">
    <cfRule type="cellIs" priority="23" operator="greaterThan" dxfId="0">
      <formula>0</formula>
    </cfRule>
    <cfRule type="cellIs" priority="24" operator="lessThan" dxfId="1">
      <formula>0</formula>
    </cfRule>
  </conditionalFormatting>
  <conditionalFormatting sqref="AF6:AF20">
    <cfRule type="cellIs" priority="25" operator="greaterThan" dxfId="2">
      <formula>1</formula>
    </cfRule>
  </conditionalFormatting>
  <conditionalFormatting sqref="AG6:AG20">
    <cfRule type="cellIs" priority="26" operator="greaterThan" dxfId="2">
      <formula>1</formula>
    </cfRule>
  </conditionalFormatting>
  <conditionalFormatting sqref="AL6:AL20">
    <cfRule type="cellIs" priority="27" operator="greaterThan" dxfId="0">
      <formula>0</formula>
    </cfRule>
    <cfRule type="cellIs" priority="28" operator="lessThan" dxfId="1">
      <formula>0</formula>
    </cfRule>
  </conditionalFormatting>
  <conditionalFormatting sqref="AO6:AO20">
    <cfRule type="cellIs" priority="29" operator="greaterThan" dxfId="0">
      <formula>0</formula>
    </cfRule>
    <cfRule type="cellIs" priority="30" operator="lessThan" dxfId="1">
      <formula>0</formula>
    </cfRule>
  </conditionalFormatting>
  <conditionalFormatting sqref="AM6:AM20">
    <cfRule type="cellIs" priority="31" operator="greaterThan" dxfId="2">
      <formula>1</formula>
    </cfRule>
  </conditionalFormatting>
  <conditionalFormatting sqref="AN6:AN20">
    <cfRule type="cellIs" priority="32" operator="greaterThan" dxfId="2">
      <formula>1</formula>
    </cfRule>
  </conditionalFormatting>
  <conditionalFormatting sqref="AS6:AS20">
    <cfRule type="cellIs" priority="33" operator="greaterThan" dxfId="0">
      <formula>0</formula>
    </cfRule>
    <cfRule type="cellIs" priority="34" operator="lessThan" dxfId="1">
      <formula>0</formula>
    </cfRule>
  </conditionalFormatting>
  <conditionalFormatting sqref="AV6:AV20">
    <cfRule type="cellIs" priority="35" operator="greaterThan" dxfId="0">
      <formula>0</formula>
    </cfRule>
    <cfRule type="cellIs" priority="36" operator="lessThan" dxfId="1">
      <formula>0</formula>
    </cfRule>
  </conditionalFormatting>
  <conditionalFormatting sqref="AT6:AT20">
    <cfRule type="cellIs" priority="37" operator="greaterThan" dxfId="2">
      <formula>1</formula>
    </cfRule>
  </conditionalFormatting>
  <conditionalFormatting sqref="AU6:AU20">
    <cfRule type="cellIs" priority="38" operator="greaterThan" dxfId="2">
      <formula>1</formula>
    </cfRule>
  </conditionalFormatting>
  <conditionalFormatting sqref="AY6:AY20">
    <cfRule type="cellIs" priority="39" operator="greaterThan" dxfId="0">
      <formula>0</formula>
    </cfRule>
    <cfRule type="cellIs" priority="40" operator="lessThan" dxfId="1">
      <formula>0</formula>
    </cfRule>
  </conditionalFormatting>
  <conditionalFormatting sqref="AW6:AW20">
    <cfRule type="cellIs" priority="41" operator="greaterThan" dxfId="2">
      <formula>1</formula>
    </cfRule>
  </conditionalFormatting>
  <conditionalFormatting sqref="AX6:AX20">
    <cfRule type="cellIs" priority="42" operator="greaterThan" dxfId="2">
      <formula>1</formula>
    </cfRule>
  </conditionalFormatting>
  <conditionalFormatting sqref="BB6:BB20">
    <cfRule type="cellIs" priority="43" operator="greaterThan" dxfId="0">
      <formula>0</formula>
    </cfRule>
    <cfRule type="cellIs" priority="44" operator="lessThan" dxfId="1">
      <formula>0</formula>
    </cfRule>
  </conditionalFormatting>
  <conditionalFormatting sqref="AZ6:AZ20">
    <cfRule type="cellIs" priority="45" operator="greaterThan" dxfId="2">
      <formula>1</formula>
    </cfRule>
  </conditionalFormatting>
  <conditionalFormatting sqref="BA6:BA20">
    <cfRule type="cellIs" priority="46" operator="greaterThan" dxfId="2">
      <formula>1</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50"/>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3" customWidth="1" min="1" max="1"/>
    <col width="13"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s>
  <sheetData>
    <row r="1">
      <c r="A1" s="11" t="inlineStr">
        <is>
          <t>Level 3 — Channel × landing page group × device</t>
        </is>
      </c>
    </row>
    <row r="2">
      <c r="A2" s="12" t="inlineStr">
        <is>
          <t>Mobile + Desktop &lt; Total by the tablet / unassigned residual. Source: Totals tab.</t>
        </is>
      </c>
    </row>
    <row r="4" ht="18" customHeight="1">
      <c r="A4" s="59" t="inlineStr">
        <is>
          <t>Landing Page Group</t>
        </is>
      </c>
      <c r="B4" s="59" t="inlineStr">
        <is>
          <t>Channel</t>
        </is>
      </c>
      <c r="C4" s="59" t="inlineStr">
        <is>
          <t>Device</t>
        </is>
      </c>
      <c r="D4" s="14" t="inlineStr">
        <is>
          <t>Sessions</t>
        </is>
      </c>
      <c r="E4" s="15" t="n"/>
      <c r="F4" s="15" t="n"/>
      <c r="G4" s="15" t="n"/>
      <c r="H4" s="60" t="inlineStr">
        <is>
          <t>Start Search</t>
        </is>
      </c>
      <c r="I4" s="61" t="n"/>
      <c r="J4" s="61" t="n"/>
      <c r="K4" s="61" t="n"/>
      <c r="L4" s="62" t="inlineStr">
        <is>
          <t>Visit→Engagement</t>
        </is>
      </c>
      <c r="M4" s="63" t="n"/>
      <c r="N4" s="63" t="n"/>
      <c r="O4" s="16" t="inlineStr">
        <is>
          <t>Searches</t>
        </is>
      </c>
      <c r="P4" s="17" t="n"/>
      <c r="Q4" s="17" t="n"/>
      <c r="R4" s="17" t="n"/>
      <c r="S4" s="20" t="inlineStr">
        <is>
          <t>Visit→Search</t>
        </is>
      </c>
      <c r="T4" s="21" t="n"/>
      <c r="U4" s="21" t="n"/>
      <c r="V4" s="20" t="inlineStr">
        <is>
          <t>Select item</t>
        </is>
      </c>
      <c r="W4" s="21" t="n"/>
      <c r="X4" s="21" t="n"/>
      <c r="Y4" s="21" t="n"/>
      <c r="Z4" s="20" t="inlineStr">
        <is>
          <t>Search→Select</t>
        </is>
      </c>
      <c r="AA4" s="21" t="n"/>
      <c r="AB4" s="21" t="n"/>
      <c r="AC4" s="22" t="inlineStr">
        <is>
          <t>Add to cart</t>
        </is>
      </c>
      <c r="AD4" s="23" t="n"/>
      <c r="AE4" s="23" t="n"/>
      <c r="AF4" s="23" t="n"/>
      <c r="AG4" s="22" t="inlineStr">
        <is>
          <t>Select→Cart</t>
        </is>
      </c>
      <c r="AH4" s="23" t="n"/>
      <c r="AI4" s="23" t="n"/>
      <c r="AJ4" s="24" t="inlineStr">
        <is>
          <t>Begin checkout</t>
        </is>
      </c>
      <c r="AK4" s="25" t="n"/>
      <c r="AL4" s="25" t="n"/>
      <c r="AM4" s="25" t="n"/>
      <c r="AN4" s="24" t="inlineStr">
        <is>
          <t>Cart→Checkout</t>
        </is>
      </c>
      <c r="AO4" s="25" t="n"/>
      <c r="AP4" s="25" t="n"/>
      <c r="AQ4" s="18" t="inlineStr">
        <is>
          <t>Purchases</t>
        </is>
      </c>
      <c r="AR4" s="19" t="n"/>
      <c r="AS4" s="19" t="n"/>
      <c r="AT4" s="19" t="n"/>
      <c r="AU4" s="18" t="inlineStr">
        <is>
          <t>Checkout→Purchase</t>
        </is>
      </c>
      <c r="AV4" s="19" t="n"/>
      <c r="AW4" s="19" t="n"/>
      <c r="AX4" s="22" t="inlineStr">
        <is>
          <t>Search→Booking</t>
        </is>
      </c>
      <c r="AY4" s="23" t="n"/>
      <c r="AZ4" s="23" t="n"/>
      <c r="BA4" s="24" t="inlineStr">
        <is>
          <t>CR</t>
        </is>
      </c>
      <c r="BB4" s="25" t="n"/>
      <c r="BC4" s="25" t="n"/>
    </row>
    <row r="5">
      <c r="A5" s="15" t="n"/>
      <c r="B5" s="15" t="n"/>
      <c r="C5" s="15" t="n"/>
      <c r="D5" s="26" t="inlineStr">
        <is>
          <t>1-23Aug25</t>
        </is>
      </c>
      <c r="E5" s="26" t="inlineStr">
        <is>
          <t>1-23Aug26</t>
        </is>
      </c>
      <c r="F5" s="26" t="inlineStr">
        <is>
          <t>Δ</t>
        </is>
      </c>
      <c r="G5" s="26" t="inlineStr">
        <is>
          <t>% Δ</t>
        </is>
      </c>
      <c r="H5" s="64" t="inlineStr">
        <is>
          <t>1-23Aug25</t>
        </is>
      </c>
      <c r="I5" s="64" t="inlineStr">
        <is>
          <t>1-23Aug26</t>
        </is>
      </c>
      <c r="J5" s="64" t="inlineStr">
        <is>
          <t>Δ</t>
        </is>
      </c>
      <c r="K5" s="64" t="inlineStr">
        <is>
          <t>% Δ</t>
        </is>
      </c>
      <c r="L5" s="65" t="inlineStr">
        <is>
          <t>1-23Aug25</t>
        </is>
      </c>
      <c r="M5" s="65" t="inlineStr">
        <is>
          <t>1-23Aug26</t>
        </is>
      </c>
      <c r="N5" s="65" t="inlineStr">
        <is>
          <t>Δ pp</t>
        </is>
      </c>
      <c r="O5" s="27" t="inlineStr">
        <is>
          <t>1-23Aug25</t>
        </is>
      </c>
      <c r="P5" s="27" t="inlineStr">
        <is>
          <t>1-23Aug26</t>
        </is>
      </c>
      <c r="Q5" s="27" t="inlineStr">
        <is>
          <t>Δ</t>
        </is>
      </c>
      <c r="R5" s="27" t="inlineStr">
        <is>
          <t>% Δ</t>
        </is>
      </c>
      <c r="S5" s="29" t="inlineStr">
        <is>
          <t>1-23Aug25</t>
        </is>
      </c>
      <c r="T5" s="29" t="inlineStr">
        <is>
          <t>1-23Aug26</t>
        </is>
      </c>
      <c r="U5" s="29" t="inlineStr">
        <is>
          <t>Δ pp</t>
        </is>
      </c>
      <c r="V5" s="29" t="inlineStr">
        <is>
          <t>1-23Aug25</t>
        </is>
      </c>
      <c r="W5" s="29" t="inlineStr">
        <is>
          <t>1-23Aug26</t>
        </is>
      </c>
      <c r="X5" s="29" t="inlineStr">
        <is>
          <t>Δ</t>
        </is>
      </c>
      <c r="Y5" s="29" t="inlineStr">
        <is>
          <t>% Δ</t>
        </is>
      </c>
      <c r="Z5" s="29" t="inlineStr">
        <is>
          <t>1-23Aug25</t>
        </is>
      </c>
      <c r="AA5" s="29" t="inlineStr">
        <is>
          <t>1-23Aug26</t>
        </is>
      </c>
      <c r="AB5" s="29" t="inlineStr">
        <is>
          <t>Δ pp</t>
        </is>
      </c>
      <c r="AC5" s="30" t="inlineStr">
        <is>
          <t>1-23Aug25</t>
        </is>
      </c>
      <c r="AD5" s="30" t="inlineStr">
        <is>
          <t>1-23Aug26</t>
        </is>
      </c>
      <c r="AE5" s="30" t="inlineStr">
        <is>
          <t>Δ</t>
        </is>
      </c>
      <c r="AF5" s="30" t="inlineStr">
        <is>
          <t>% Δ</t>
        </is>
      </c>
      <c r="AG5" s="30" t="inlineStr">
        <is>
          <t>1-23Aug25</t>
        </is>
      </c>
      <c r="AH5" s="30" t="inlineStr">
        <is>
          <t>1-23Aug26</t>
        </is>
      </c>
      <c r="AI5" s="30" t="inlineStr">
        <is>
          <t>Δ pp</t>
        </is>
      </c>
      <c r="AJ5" s="31" t="inlineStr">
        <is>
          <t>1-23Aug25</t>
        </is>
      </c>
      <c r="AK5" s="31" t="inlineStr">
        <is>
          <t>1-23Aug26</t>
        </is>
      </c>
      <c r="AL5" s="31" t="inlineStr">
        <is>
          <t>Δ</t>
        </is>
      </c>
      <c r="AM5" s="31" t="inlineStr">
        <is>
          <t>% Δ</t>
        </is>
      </c>
      <c r="AN5" s="31" t="inlineStr">
        <is>
          <t>1-23Aug25</t>
        </is>
      </c>
      <c r="AO5" s="31" t="inlineStr">
        <is>
          <t>1-23Aug26</t>
        </is>
      </c>
      <c r="AP5" s="31" t="inlineStr">
        <is>
          <t>Δ pp</t>
        </is>
      </c>
      <c r="AQ5" s="28" t="inlineStr">
        <is>
          <t>1-23Aug25</t>
        </is>
      </c>
      <c r="AR5" s="28" t="inlineStr">
        <is>
          <t>1-23Aug26</t>
        </is>
      </c>
      <c r="AS5" s="28" t="inlineStr">
        <is>
          <t>Δ</t>
        </is>
      </c>
      <c r="AT5" s="28" t="inlineStr">
        <is>
          <t>% Δ</t>
        </is>
      </c>
      <c r="AU5" s="28" t="inlineStr">
        <is>
          <t>1-23Aug25</t>
        </is>
      </c>
      <c r="AV5" s="28" t="inlineStr">
        <is>
          <t>1-23Aug26</t>
        </is>
      </c>
      <c r="AW5" s="28" t="inlineStr">
        <is>
          <t>Δ pp</t>
        </is>
      </c>
      <c r="AX5" s="30" t="inlineStr">
        <is>
          <t>1-23Aug25</t>
        </is>
      </c>
      <c r="AY5" s="30" t="inlineStr">
        <is>
          <t>1-23Aug26</t>
        </is>
      </c>
      <c r="AZ5" s="30" t="inlineStr">
        <is>
          <t>Δ pp</t>
        </is>
      </c>
      <c r="BA5" s="31" t="inlineStr">
        <is>
          <t>1-23Aug25</t>
        </is>
      </c>
      <c r="BB5" s="31" t="inlineStr">
        <is>
          <t>1-23Aug26</t>
        </is>
      </c>
      <c r="BC5" s="31" t="inlineStr">
        <is>
          <t>Δ pp</t>
        </is>
      </c>
    </row>
    <row r="6">
      <c r="A6" s="32" t="inlineStr">
        <is>
          <t>All landing pages</t>
        </is>
      </c>
      <c r="B6" s="32" t="inlineStr">
        <is>
          <t>Paid Search</t>
        </is>
      </c>
      <c r="C6" s="32" t="inlineStr">
        <is>
          <t>Total</t>
        </is>
      </c>
      <c r="D6" s="33">
        <f>SUMIFS(Totals!$D$5:$D$49,Totals!$A$5:$A$49,"All landing pages",Totals!$B$5:$B$49,"Paid Search",Totals!$C$5:$C$49,"Total")</f>
        <v/>
      </c>
      <c r="E6" s="33">
        <f>SUMIFS(Totals!$E$5:$E$49,Totals!$A$5:$A$49,"All landing pages",Totals!$B$5:$B$49,"Paid Search",Totals!$C$5:$C$49,"Total")</f>
        <v/>
      </c>
      <c r="F6" s="67">
        <f>IF(OR(E6="",D6="",D6=0,E6=0),"",E6-D6)</f>
        <v/>
      </c>
      <c r="G6" s="34">
        <f>IF(OR(E6="",D6="",D6=0,E6=0),"",E6/D6-1)</f>
        <v/>
      </c>
      <c r="H6" s="33">
        <f>SUMIFS(Totals!$H$5:$H$49,Totals!$A$5:$A$49,"All landing pages",Totals!$B$5:$B$49,"Paid Search",Totals!$C$5:$C$49,"Total")</f>
        <v/>
      </c>
      <c r="I6" s="33">
        <f>SUMIFS(Totals!$I$5:$I$49,Totals!$A$5:$A$49,"All landing pages",Totals!$B$5:$B$49,"Paid Search",Totals!$C$5:$C$49,"Total")</f>
        <v/>
      </c>
      <c r="J6" s="67">
        <f>IF(OR(I6="",H6="",H6=0,I6=0),"",I6-H6)</f>
        <v/>
      </c>
      <c r="K6" s="34">
        <f>IF(OR(I6="",H6="",H6=0,I6=0),"",I6/H6-1)</f>
        <v/>
      </c>
      <c r="L6" s="35">
        <f>IF(OR(H6="",D6="",D6=0),"",H6/D6)</f>
        <v/>
      </c>
      <c r="M6" s="35">
        <f>IF(OR(I6="",E6="",E6=0),"",I6/E6)</f>
        <v/>
      </c>
      <c r="N6" s="36">
        <f>IF(OR(M6="",L6=""),"",(M6-L6)*100)</f>
        <v/>
      </c>
      <c r="O6" s="33">
        <f>SUMIFS(Totals!$O$5:$O$49,Totals!$A$5:$A$49,"All landing pages",Totals!$B$5:$B$49,"Paid Search",Totals!$C$5:$C$49,"Total")</f>
        <v/>
      </c>
      <c r="P6" s="33">
        <f>SUMIFS(Totals!$P$5:$P$49,Totals!$A$5:$A$49,"All landing pages",Totals!$B$5:$B$49,"Paid Search",Totals!$C$5:$C$49,"Total")</f>
        <v/>
      </c>
      <c r="Q6" s="67">
        <f>IF(OR(P6="",O6="",O6=0,P6=0),"",P6-O6)</f>
        <v/>
      </c>
      <c r="R6" s="34">
        <f>IF(OR(P6="",O6="",O6=0,P6=0),"",P6/O6-1)</f>
        <v/>
      </c>
      <c r="S6" s="35">
        <f>IF(OR(O6="",D6="",D6=0),"",O6/D6)</f>
        <v/>
      </c>
      <c r="T6" s="35">
        <f>IF(OR(P6="",E6="",E6=0),"",P6/E6)</f>
        <v/>
      </c>
      <c r="U6" s="36">
        <f>IF(OR(T6="",S6=""),"",(T6-S6)*100)</f>
        <v/>
      </c>
      <c r="V6" s="33">
        <f>SUMIFS(Totals!$V$5:$V$49,Totals!$A$5:$A$49,"All landing pages",Totals!$B$5:$B$49,"Paid Search",Totals!$C$5:$C$49,"Total")</f>
        <v/>
      </c>
      <c r="W6" s="33">
        <f>SUMIFS(Totals!$W$5:$W$49,Totals!$A$5:$A$49,"All landing pages",Totals!$B$5:$B$49,"Paid Search",Totals!$C$5:$C$49,"Total")</f>
        <v/>
      </c>
      <c r="X6" s="67">
        <f>IF(OR(W6="",V6="",V6=0,W6=0),"",W6-V6)</f>
        <v/>
      </c>
      <c r="Y6" s="34">
        <f>IF(OR(W6="",V6="",V6=0,W6=0),"",W6/V6-1)</f>
        <v/>
      </c>
      <c r="Z6" s="35">
        <f>IF(OR(V6="",O6="",O6=0),"",V6/O6)</f>
        <v/>
      </c>
      <c r="AA6" s="35">
        <f>IF(OR(W6="",P6="",P6=0),"",W6/P6)</f>
        <v/>
      </c>
      <c r="AB6" s="36">
        <f>IF(OR(AA6="",Z6=""),"",(AA6-Z6)*100)</f>
        <v/>
      </c>
      <c r="AC6" s="33">
        <f>SUMIFS(Totals!$AC$5:$AC$49,Totals!$A$5:$A$49,"All landing pages",Totals!$B$5:$B$49,"Paid Search",Totals!$C$5:$C$49,"Total")</f>
        <v/>
      </c>
      <c r="AD6" s="33">
        <f>SUMIFS(Totals!$AD$5:$AD$49,Totals!$A$5:$A$49,"All landing pages",Totals!$B$5:$B$49,"Paid Search",Totals!$C$5:$C$49,"Total")</f>
        <v/>
      </c>
      <c r="AE6" s="67">
        <f>IF(OR(AD6="",AC6="",AC6=0,AD6=0),"",AD6-AC6)</f>
        <v/>
      </c>
      <c r="AF6" s="34">
        <f>IF(OR(AD6="",AC6="",AC6=0,AD6=0),"",AD6/AC6-1)</f>
        <v/>
      </c>
      <c r="AG6" s="35">
        <f>IF(OR(AC6="",V6="",V6=0),"",AC6/V6)</f>
        <v/>
      </c>
      <c r="AH6" s="35">
        <f>IF(OR(AD6="",W6="",W6=0),"",AD6/W6)</f>
        <v/>
      </c>
      <c r="AI6" s="36">
        <f>IF(OR(AH6="",AG6=""),"",(AH6-AG6)*100)</f>
        <v/>
      </c>
      <c r="AJ6" s="33">
        <f>SUMIFS(Totals!$AJ$5:$AJ$49,Totals!$A$5:$A$49,"All landing pages",Totals!$B$5:$B$49,"Paid Search",Totals!$C$5:$C$49,"Total")</f>
        <v/>
      </c>
      <c r="AK6" s="33">
        <f>SUMIFS(Totals!$AK$5:$AK$49,Totals!$A$5:$A$49,"All landing pages",Totals!$B$5:$B$49,"Paid Search",Totals!$C$5:$C$49,"Total")</f>
        <v/>
      </c>
      <c r="AL6" s="67">
        <f>IF(OR(AK6="",AJ6="",AJ6=0,AK6=0),"",AK6-AJ6)</f>
        <v/>
      </c>
      <c r="AM6" s="34">
        <f>IF(OR(AK6="",AJ6="",AJ6=0,AK6=0),"",AK6/AJ6-1)</f>
        <v/>
      </c>
      <c r="AN6" s="35">
        <f>IF(OR(AJ6="",AC6="",AC6=0),"",AJ6/AC6)</f>
        <v/>
      </c>
      <c r="AO6" s="35">
        <f>IF(OR(AK6="",AD6="",AD6=0),"",AK6/AD6)</f>
        <v/>
      </c>
      <c r="AP6" s="36">
        <f>IF(OR(AO6="",AN6=""),"",(AO6-AN6)*100)</f>
        <v/>
      </c>
      <c r="AQ6" s="33">
        <f>SUMIFS(Totals!$AQ$5:$AQ$49,Totals!$A$5:$A$49,"All landing pages",Totals!$B$5:$B$49,"Paid Search",Totals!$C$5:$C$49,"Total")</f>
        <v/>
      </c>
      <c r="AR6" s="33">
        <f>SUMIFS(Totals!$AR$5:$AR$49,Totals!$A$5:$A$49,"All landing pages",Totals!$B$5:$B$49,"Paid Search",Totals!$C$5:$C$49,"Total")</f>
        <v/>
      </c>
      <c r="AS6" s="67">
        <f>IF(OR(AR6="",AQ6="",AQ6=0,AR6=0),"",AR6-AQ6)</f>
        <v/>
      </c>
      <c r="AT6" s="34">
        <f>IF(OR(AR6="",AQ6="",AQ6=0,AR6=0),"",AR6/AQ6-1)</f>
        <v/>
      </c>
      <c r="AU6" s="35">
        <f>IF(OR(AQ6="",AJ6="",AJ6=0),"",AQ6/AJ6)</f>
        <v/>
      </c>
      <c r="AV6" s="35">
        <f>IF(OR(AR6="",AK6="",AK6=0),"",AR6/AK6)</f>
        <v/>
      </c>
      <c r="AW6" s="36">
        <f>IF(OR(AV6="",AU6=""),"",(AV6-AU6)*100)</f>
        <v/>
      </c>
      <c r="AX6" s="37">
        <f>IF(OR(AQ6="",O6="",O6=0),"",AQ6/O6)</f>
        <v/>
      </c>
      <c r="AY6" s="37">
        <f>IF(OR(AR6="",P6="",P6=0),"",AR6/P6)</f>
        <v/>
      </c>
      <c r="AZ6" s="36">
        <f>IF(OR(AY6="",AX6=""),"",(AY6-AX6)*100)</f>
        <v/>
      </c>
      <c r="BA6" s="37">
        <f>IF(OR(AQ6="",D6="",D6=0),"",AQ6/D6)</f>
        <v/>
      </c>
      <c r="BB6" s="37">
        <f>IF(OR(AR6="",E6="",E6=0),"",AR6/E6)</f>
        <v/>
      </c>
      <c r="BC6" s="36">
        <f>IF(OR(BB6="",BA6=""),"",(BB6-BA6)*100)</f>
        <v/>
      </c>
    </row>
    <row r="7">
      <c r="A7" s="40" t="inlineStr">
        <is>
          <t>All landing pages</t>
        </is>
      </c>
      <c r="B7" s="40" t="inlineStr">
        <is>
          <t>Paid Search</t>
        </is>
      </c>
      <c r="C7" s="40" t="inlineStr">
        <is>
          <t>Mobile</t>
        </is>
      </c>
      <c r="D7" s="41">
        <f>SUMIFS(Totals!$D$5:$D$49,Totals!$A$5:$A$49,"All landing pages",Totals!$B$5:$B$49,"Paid Search",Totals!$C$5:$C$49,"Mobile")</f>
        <v/>
      </c>
      <c r="E7" s="41">
        <f>SUMIFS(Totals!$E$5:$E$49,Totals!$A$5:$A$49,"All landing pages",Totals!$B$5:$B$49,"Paid Search",Totals!$C$5:$C$49,"Mobile")</f>
        <v/>
      </c>
      <c r="F7" s="69">
        <f>IF(OR(E7="",D7="",D7=0,E7=0),"",E7-D7)</f>
        <v/>
      </c>
      <c r="G7" s="42">
        <f>IF(OR(E7="",D7="",D7=0,E7=0),"",E7/D7-1)</f>
        <v/>
      </c>
      <c r="H7" s="41">
        <f>SUMIFS(Totals!$H$5:$H$49,Totals!$A$5:$A$49,"All landing pages",Totals!$B$5:$B$49,"Paid Search",Totals!$C$5:$C$49,"Mobile")</f>
        <v/>
      </c>
      <c r="I7" s="41">
        <f>SUMIFS(Totals!$I$5:$I$49,Totals!$A$5:$A$49,"All landing pages",Totals!$B$5:$B$49,"Paid Search",Totals!$C$5:$C$49,"Mobile")</f>
        <v/>
      </c>
      <c r="J7" s="69">
        <f>IF(OR(I7="",H7="",H7=0,I7=0),"",I7-H7)</f>
        <v/>
      </c>
      <c r="K7" s="42">
        <f>IF(OR(I7="",H7="",H7=0,I7=0),"",I7/H7-1)</f>
        <v/>
      </c>
      <c r="L7" s="43">
        <f>IF(OR(H7="",D7="",D7=0),"",H7/D7)</f>
        <v/>
      </c>
      <c r="M7" s="43">
        <f>IF(OR(I7="",E7="",E7=0),"",I7/E7)</f>
        <v/>
      </c>
      <c r="N7" s="44">
        <f>IF(OR(M7="",L7=""),"",(M7-L7)*100)</f>
        <v/>
      </c>
      <c r="O7" s="41">
        <f>SUMIFS(Totals!$O$5:$O$49,Totals!$A$5:$A$49,"All landing pages",Totals!$B$5:$B$49,"Paid Search",Totals!$C$5:$C$49,"Mobile")</f>
        <v/>
      </c>
      <c r="P7" s="41">
        <f>SUMIFS(Totals!$P$5:$P$49,Totals!$A$5:$A$49,"All landing pages",Totals!$B$5:$B$49,"Paid Search",Totals!$C$5:$C$49,"Mobile")</f>
        <v/>
      </c>
      <c r="Q7" s="69">
        <f>IF(OR(P7="",O7="",O7=0,P7=0),"",P7-O7)</f>
        <v/>
      </c>
      <c r="R7" s="42">
        <f>IF(OR(P7="",O7="",O7=0,P7=0),"",P7/O7-1)</f>
        <v/>
      </c>
      <c r="S7" s="43">
        <f>IF(OR(O7="",D7="",D7=0),"",O7/D7)</f>
        <v/>
      </c>
      <c r="T7" s="43">
        <f>IF(OR(P7="",E7="",E7=0),"",P7/E7)</f>
        <v/>
      </c>
      <c r="U7" s="44">
        <f>IF(OR(T7="",S7=""),"",(T7-S7)*100)</f>
        <v/>
      </c>
      <c r="V7" s="41">
        <f>SUMIFS(Totals!$V$5:$V$49,Totals!$A$5:$A$49,"All landing pages",Totals!$B$5:$B$49,"Paid Search",Totals!$C$5:$C$49,"Mobile")</f>
        <v/>
      </c>
      <c r="W7" s="41">
        <f>SUMIFS(Totals!$W$5:$W$49,Totals!$A$5:$A$49,"All landing pages",Totals!$B$5:$B$49,"Paid Search",Totals!$C$5:$C$49,"Mobile")</f>
        <v/>
      </c>
      <c r="X7" s="69">
        <f>IF(OR(W7="",V7="",V7=0,W7=0),"",W7-V7)</f>
        <v/>
      </c>
      <c r="Y7" s="42">
        <f>IF(OR(W7="",V7="",V7=0,W7=0),"",W7/V7-1)</f>
        <v/>
      </c>
      <c r="Z7" s="43">
        <f>IF(OR(V7="",O7="",O7=0),"",V7/O7)</f>
        <v/>
      </c>
      <c r="AA7" s="43">
        <f>IF(OR(W7="",P7="",P7=0),"",W7/P7)</f>
        <v/>
      </c>
      <c r="AB7" s="44">
        <f>IF(OR(AA7="",Z7=""),"",(AA7-Z7)*100)</f>
        <v/>
      </c>
      <c r="AC7" s="41">
        <f>SUMIFS(Totals!$AC$5:$AC$49,Totals!$A$5:$A$49,"All landing pages",Totals!$B$5:$B$49,"Paid Search",Totals!$C$5:$C$49,"Mobile")</f>
        <v/>
      </c>
      <c r="AD7" s="41">
        <f>SUMIFS(Totals!$AD$5:$AD$49,Totals!$A$5:$A$49,"All landing pages",Totals!$B$5:$B$49,"Paid Search",Totals!$C$5:$C$49,"Mobile")</f>
        <v/>
      </c>
      <c r="AE7" s="69">
        <f>IF(OR(AD7="",AC7="",AC7=0,AD7=0),"",AD7-AC7)</f>
        <v/>
      </c>
      <c r="AF7" s="42">
        <f>IF(OR(AD7="",AC7="",AC7=0,AD7=0),"",AD7/AC7-1)</f>
        <v/>
      </c>
      <c r="AG7" s="43">
        <f>IF(OR(AC7="",V7="",V7=0),"",AC7/V7)</f>
        <v/>
      </c>
      <c r="AH7" s="43">
        <f>IF(OR(AD7="",W7="",W7=0),"",AD7/W7)</f>
        <v/>
      </c>
      <c r="AI7" s="44">
        <f>IF(OR(AH7="",AG7=""),"",(AH7-AG7)*100)</f>
        <v/>
      </c>
      <c r="AJ7" s="41">
        <f>SUMIFS(Totals!$AJ$5:$AJ$49,Totals!$A$5:$A$49,"All landing pages",Totals!$B$5:$B$49,"Paid Search",Totals!$C$5:$C$49,"Mobile")</f>
        <v/>
      </c>
      <c r="AK7" s="41">
        <f>SUMIFS(Totals!$AK$5:$AK$49,Totals!$A$5:$A$49,"All landing pages",Totals!$B$5:$B$49,"Paid Search",Totals!$C$5:$C$49,"Mobile")</f>
        <v/>
      </c>
      <c r="AL7" s="69">
        <f>IF(OR(AK7="",AJ7="",AJ7=0,AK7=0),"",AK7-AJ7)</f>
        <v/>
      </c>
      <c r="AM7" s="42">
        <f>IF(OR(AK7="",AJ7="",AJ7=0,AK7=0),"",AK7/AJ7-1)</f>
        <v/>
      </c>
      <c r="AN7" s="43">
        <f>IF(OR(AJ7="",AC7="",AC7=0),"",AJ7/AC7)</f>
        <v/>
      </c>
      <c r="AO7" s="43">
        <f>IF(OR(AK7="",AD7="",AD7=0),"",AK7/AD7)</f>
        <v/>
      </c>
      <c r="AP7" s="44">
        <f>IF(OR(AO7="",AN7=""),"",(AO7-AN7)*100)</f>
        <v/>
      </c>
      <c r="AQ7" s="41">
        <f>SUMIFS(Totals!$AQ$5:$AQ$49,Totals!$A$5:$A$49,"All landing pages",Totals!$B$5:$B$49,"Paid Search",Totals!$C$5:$C$49,"Mobile")</f>
        <v/>
      </c>
      <c r="AR7" s="41">
        <f>SUMIFS(Totals!$AR$5:$AR$49,Totals!$A$5:$A$49,"All landing pages",Totals!$B$5:$B$49,"Paid Search",Totals!$C$5:$C$49,"Mobile")</f>
        <v/>
      </c>
      <c r="AS7" s="69">
        <f>IF(OR(AR7="",AQ7="",AQ7=0,AR7=0),"",AR7-AQ7)</f>
        <v/>
      </c>
      <c r="AT7" s="42">
        <f>IF(OR(AR7="",AQ7="",AQ7=0,AR7=0),"",AR7/AQ7-1)</f>
        <v/>
      </c>
      <c r="AU7" s="43">
        <f>IF(OR(AQ7="",AJ7="",AJ7=0),"",AQ7/AJ7)</f>
        <v/>
      </c>
      <c r="AV7" s="43">
        <f>IF(OR(AR7="",AK7="",AK7=0),"",AR7/AK7)</f>
        <v/>
      </c>
      <c r="AW7" s="44">
        <f>IF(OR(AV7="",AU7=""),"",(AV7-AU7)*100)</f>
        <v/>
      </c>
      <c r="AX7" s="45">
        <f>IF(OR(AQ7="",O7="",O7=0),"",AQ7/O7)</f>
        <v/>
      </c>
      <c r="AY7" s="45">
        <f>IF(OR(AR7="",P7="",P7=0),"",AR7/P7)</f>
        <v/>
      </c>
      <c r="AZ7" s="44">
        <f>IF(OR(AY7="",AX7=""),"",(AY7-AX7)*100)</f>
        <v/>
      </c>
      <c r="BA7" s="45">
        <f>IF(OR(AQ7="",D7="",D7=0),"",AQ7/D7)</f>
        <v/>
      </c>
      <c r="BB7" s="45">
        <f>IF(OR(AR7="",E7="",E7=0),"",AR7/E7)</f>
        <v/>
      </c>
      <c r="BC7" s="44">
        <f>IF(OR(BB7="",BA7=""),"",(BB7-BA7)*100)</f>
        <v/>
      </c>
    </row>
    <row r="8">
      <c r="A8" s="40" t="inlineStr">
        <is>
          <t>All landing pages</t>
        </is>
      </c>
      <c r="B8" s="40" t="inlineStr">
        <is>
          <t>Paid Search</t>
        </is>
      </c>
      <c r="C8" s="40" t="inlineStr">
        <is>
          <t>Desktop</t>
        </is>
      </c>
      <c r="D8" s="41">
        <f>SUMIFS(Totals!$D$5:$D$49,Totals!$A$5:$A$49,"All landing pages",Totals!$B$5:$B$49,"Paid Search",Totals!$C$5:$C$49,"Desktop")</f>
        <v/>
      </c>
      <c r="E8" s="41">
        <f>SUMIFS(Totals!$E$5:$E$49,Totals!$A$5:$A$49,"All landing pages",Totals!$B$5:$B$49,"Paid Search",Totals!$C$5:$C$49,"Desktop")</f>
        <v/>
      </c>
      <c r="F8" s="69">
        <f>IF(OR(E8="",D8="",D8=0,E8=0),"",E8-D8)</f>
        <v/>
      </c>
      <c r="G8" s="42">
        <f>IF(OR(E8="",D8="",D8=0,E8=0),"",E8/D8-1)</f>
        <v/>
      </c>
      <c r="H8" s="41">
        <f>SUMIFS(Totals!$H$5:$H$49,Totals!$A$5:$A$49,"All landing pages",Totals!$B$5:$B$49,"Paid Search",Totals!$C$5:$C$49,"Desktop")</f>
        <v/>
      </c>
      <c r="I8" s="41">
        <f>SUMIFS(Totals!$I$5:$I$49,Totals!$A$5:$A$49,"All landing pages",Totals!$B$5:$B$49,"Paid Search",Totals!$C$5:$C$49,"Desktop")</f>
        <v/>
      </c>
      <c r="J8" s="69">
        <f>IF(OR(I8="",H8="",H8=0,I8=0),"",I8-H8)</f>
        <v/>
      </c>
      <c r="K8" s="42">
        <f>IF(OR(I8="",H8="",H8=0,I8=0),"",I8/H8-1)</f>
        <v/>
      </c>
      <c r="L8" s="43">
        <f>IF(OR(H8="",D8="",D8=0),"",H8/D8)</f>
        <v/>
      </c>
      <c r="M8" s="43">
        <f>IF(OR(I8="",E8="",E8=0),"",I8/E8)</f>
        <v/>
      </c>
      <c r="N8" s="44">
        <f>IF(OR(M8="",L8=""),"",(M8-L8)*100)</f>
        <v/>
      </c>
      <c r="O8" s="41">
        <f>SUMIFS(Totals!$O$5:$O$49,Totals!$A$5:$A$49,"All landing pages",Totals!$B$5:$B$49,"Paid Search",Totals!$C$5:$C$49,"Desktop")</f>
        <v/>
      </c>
      <c r="P8" s="41">
        <f>SUMIFS(Totals!$P$5:$P$49,Totals!$A$5:$A$49,"All landing pages",Totals!$B$5:$B$49,"Paid Search",Totals!$C$5:$C$49,"Desktop")</f>
        <v/>
      </c>
      <c r="Q8" s="69">
        <f>IF(OR(P8="",O8="",O8=0,P8=0),"",P8-O8)</f>
        <v/>
      </c>
      <c r="R8" s="42">
        <f>IF(OR(P8="",O8="",O8=0,P8=0),"",P8/O8-1)</f>
        <v/>
      </c>
      <c r="S8" s="43">
        <f>IF(OR(O8="",D8="",D8=0),"",O8/D8)</f>
        <v/>
      </c>
      <c r="T8" s="43">
        <f>IF(OR(P8="",E8="",E8=0),"",P8/E8)</f>
        <v/>
      </c>
      <c r="U8" s="44">
        <f>IF(OR(T8="",S8=""),"",(T8-S8)*100)</f>
        <v/>
      </c>
      <c r="V8" s="41">
        <f>SUMIFS(Totals!$V$5:$V$49,Totals!$A$5:$A$49,"All landing pages",Totals!$B$5:$B$49,"Paid Search",Totals!$C$5:$C$49,"Desktop")</f>
        <v/>
      </c>
      <c r="W8" s="41">
        <f>SUMIFS(Totals!$W$5:$W$49,Totals!$A$5:$A$49,"All landing pages",Totals!$B$5:$B$49,"Paid Search",Totals!$C$5:$C$49,"Desktop")</f>
        <v/>
      </c>
      <c r="X8" s="69">
        <f>IF(OR(W8="",V8="",V8=0,W8=0),"",W8-V8)</f>
        <v/>
      </c>
      <c r="Y8" s="42">
        <f>IF(OR(W8="",V8="",V8=0,W8=0),"",W8/V8-1)</f>
        <v/>
      </c>
      <c r="Z8" s="43">
        <f>IF(OR(V8="",O8="",O8=0),"",V8/O8)</f>
        <v/>
      </c>
      <c r="AA8" s="43">
        <f>IF(OR(W8="",P8="",P8=0),"",W8/P8)</f>
        <v/>
      </c>
      <c r="AB8" s="44">
        <f>IF(OR(AA8="",Z8=""),"",(AA8-Z8)*100)</f>
        <v/>
      </c>
      <c r="AC8" s="41">
        <f>SUMIFS(Totals!$AC$5:$AC$49,Totals!$A$5:$A$49,"All landing pages",Totals!$B$5:$B$49,"Paid Search",Totals!$C$5:$C$49,"Desktop")</f>
        <v/>
      </c>
      <c r="AD8" s="41">
        <f>SUMIFS(Totals!$AD$5:$AD$49,Totals!$A$5:$A$49,"All landing pages",Totals!$B$5:$B$49,"Paid Search",Totals!$C$5:$C$49,"Desktop")</f>
        <v/>
      </c>
      <c r="AE8" s="69">
        <f>IF(OR(AD8="",AC8="",AC8=0,AD8=0),"",AD8-AC8)</f>
        <v/>
      </c>
      <c r="AF8" s="42">
        <f>IF(OR(AD8="",AC8="",AC8=0,AD8=0),"",AD8/AC8-1)</f>
        <v/>
      </c>
      <c r="AG8" s="43">
        <f>IF(OR(AC8="",V8="",V8=0),"",AC8/V8)</f>
        <v/>
      </c>
      <c r="AH8" s="43">
        <f>IF(OR(AD8="",W8="",W8=0),"",AD8/W8)</f>
        <v/>
      </c>
      <c r="AI8" s="44">
        <f>IF(OR(AH8="",AG8=""),"",(AH8-AG8)*100)</f>
        <v/>
      </c>
      <c r="AJ8" s="41">
        <f>SUMIFS(Totals!$AJ$5:$AJ$49,Totals!$A$5:$A$49,"All landing pages",Totals!$B$5:$B$49,"Paid Search",Totals!$C$5:$C$49,"Desktop")</f>
        <v/>
      </c>
      <c r="AK8" s="41">
        <f>SUMIFS(Totals!$AK$5:$AK$49,Totals!$A$5:$A$49,"All landing pages",Totals!$B$5:$B$49,"Paid Search",Totals!$C$5:$C$49,"Desktop")</f>
        <v/>
      </c>
      <c r="AL8" s="69">
        <f>IF(OR(AK8="",AJ8="",AJ8=0,AK8=0),"",AK8-AJ8)</f>
        <v/>
      </c>
      <c r="AM8" s="42">
        <f>IF(OR(AK8="",AJ8="",AJ8=0,AK8=0),"",AK8/AJ8-1)</f>
        <v/>
      </c>
      <c r="AN8" s="43">
        <f>IF(OR(AJ8="",AC8="",AC8=0),"",AJ8/AC8)</f>
        <v/>
      </c>
      <c r="AO8" s="43">
        <f>IF(OR(AK8="",AD8="",AD8=0),"",AK8/AD8)</f>
        <v/>
      </c>
      <c r="AP8" s="44">
        <f>IF(OR(AO8="",AN8=""),"",(AO8-AN8)*100)</f>
        <v/>
      </c>
      <c r="AQ8" s="41">
        <f>SUMIFS(Totals!$AQ$5:$AQ$49,Totals!$A$5:$A$49,"All landing pages",Totals!$B$5:$B$49,"Paid Search",Totals!$C$5:$C$49,"Desktop")</f>
        <v/>
      </c>
      <c r="AR8" s="41">
        <f>SUMIFS(Totals!$AR$5:$AR$49,Totals!$A$5:$A$49,"All landing pages",Totals!$B$5:$B$49,"Paid Search",Totals!$C$5:$C$49,"Desktop")</f>
        <v/>
      </c>
      <c r="AS8" s="69">
        <f>IF(OR(AR8="",AQ8="",AQ8=0,AR8=0),"",AR8-AQ8)</f>
        <v/>
      </c>
      <c r="AT8" s="42">
        <f>IF(OR(AR8="",AQ8="",AQ8=0,AR8=0),"",AR8/AQ8-1)</f>
        <v/>
      </c>
      <c r="AU8" s="43">
        <f>IF(OR(AQ8="",AJ8="",AJ8=0),"",AQ8/AJ8)</f>
        <v/>
      </c>
      <c r="AV8" s="43">
        <f>IF(OR(AR8="",AK8="",AK8=0),"",AR8/AK8)</f>
        <v/>
      </c>
      <c r="AW8" s="44">
        <f>IF(OR(AV8="",AU8=""),"",(AV8-AU8)*100)</f>
        <v/>
      </c>
      <c r="AX8" s="45">
        <f>IF(OR(AQ8="",O8="",O8=0),"",AQ8/O8)</f>
        <v/>
      </c>
      <c r="AY8" s="45">
        <f>IF(OR(AR8="",P8="",P8=0),"",AR8/P8)</f>
        <v/>
      </c>
      <c r="AZ8" s="44">
        <f>IF(OR(AY8="",AX8=""),"",(AY8-AX8)*100)</f>
        <v/>
      </c>
      <c r="BA8" s="45">
        <f>IF(OR(AQ8="",D8="",D8=0),"",AQ8/D8)</f>
        <v/>
      </c>
      <c r="BB8" s="45">
        <f>IF(OR(AR8="",E8="",E8=0),"",AR8/E8)</f>
        <v/>
      </c>
      <c r="BC8" s="44">
        <f>IF(OR(BB8="",BA8=""),"",(BB8-BA8)*100)</f>
        <v/>
      </c>
    </row>
    <row r="9">
      <c r="A9" s="32" t="inlineStr">
        <is>
          <t>All landing pages</t>
        </is>
      </c>
      <c r="B9" s="32" t="inlineStr">
        <is>
          <t>Organic</t>
        </is>
      </c>
      <c r="C9" s="32" t="inlineStr">
        <is>
          <t>Total</t>
        </is>
      </c>
      <c r="D9" s="33">
        <f>SUMIFS(Totals!$D$5:$D$49,Totals!$A$5:$A$49,"All landing pages",Totals!$B$5:$B$49,"Organic",Totals!$C$5:$C$49,"Total")</f>
        <v/>
      </c>
      <c r="E9" s="33">
        <f>SUMIFS(Totals!$E$5:$E$49,Totals!$A$5:$A$49,"All landing pages",Totals!$B$5:$B$49,"Organic",Totals!$C$5:$C$49,"Total")</f>
        <v/>
      </c>
      <c r="F9" s="67">
        <f>IF(OR(E9="",D9="",D9=0,E9=0),"",E9-D9)</f>
        <v/>
      </c>
      <c r="G9" s="34">
        <f>IF(OR(E9="",D9="",D9=0,E9=0),"",E9/D9-1)</f>
        <v/>
      </c>
      <c r="H9" s="33">
        <f>SUMIFS(Totals!$H$5:$H$49,Totals!$A$5:$A$49,"All landing pages",Totals!$B$5:$B$49,"Organic",Totals!$C$5:$C$49,"Total")</f>
        <v/>
      </c>
      <c r="I9" s="33">
        <f>SUMIFS(Totals!$I$5:$I$49,Totals!$A$5:$A$49,"All landing pages",Totals!$B$5:$B$49,"Organic",Totals!$C$5:$C$49,"Total")</f>
        <v/>
      </c>
      <c r="J9" s="67">
        <f>IF(OR(I9="",H9="",H9=0,I9=0),"",I9-H9)</f>
        <v/>
      </c>
      <c r="K9" s="34">
        <f>IF(OR(I9="",H9="",H9=0,I9=0),"",I9/H9-1)</f>
        <v/>
      </c>
      <c r="L9" s="35">
        <f>IF(OR(H9="",D9="",D9=0),"",H9/D9)</f>
        <v/>
      </c>
      <c r="M9" s="35">
        <f>IF(OR(I9="",E9="",E9=0),"",I9/E9)</f>
        <v/>
      </c>
      <c r="N9" s="36">
        <f>IF(OR(M9="",L9=""),"",(M9-L9)*100)</f>
        <v/>
      </c>
      <c r="O9" s="33">
        <f>SUMIFS(Totals!$O$5:$O$49,Totals!$A$5:$A$49,"All landing pages",Totals!$B$5:$B$49,"Organic",Totals!$C$5:$C$49,"Total")</f>
        <v/>
      </c>
      <c r="P9" s="33">
        <f>SUMIFS(Totals!$P$5:$P$49,Totals!$A$5:$A$49,"All landing pages",Totals!$B$5:$B$49,"Organic",Totals!$C$5:$C$49,"Total")</f>
        <v/>
      </c>
      <c r="Q9" s="67">
        <f>IF(OR(P9="",O9="",O9=0,P9=0),"",P9-O9)</f>
        <v/>
      </c>
      <c r="R9" s="34">
        <f>IF(OR(P9="",O9="",O9=0,P9=0),"",P9/O9-1)</f>
        <v/>
      </c>
      <c r="S9" s="35">
        <f>IF(OR(O9="",D9="",D9=0),"",O9/D9)</f>
        <v/>
      </c>
      <c r="T9" s="35">
        <f>IF(OR(P9="",E9="",E9=0),"",P9/E9)</f>
        <v/>
      </c>
      <c r="U9" s="36">
        <f>IF(OR(T9="",S9=""),"",(T9-S9)*100)</f>
        <v/>
      </c>
      <c r="V9" s="33">
        <f>SUMIFS(Totals!$V$5:$V$49,Totals!$A$5:$A$49,"All landing pages",Totals!$B$5:$B$49,"Organic",Totals!$C$5:$C$49,"Total")</f>
        <v/>
      </c>
      <c r="W9" s="33">
        <f>SUMIFS(Totals!$W$5:$W$49,Totals!$A$5:$A$49,"All landing pages",Totals!$B$5:$B$49,"Organic",Totals!$C$5:$C$49,"Total")</f>
        <v/>
      </c>
      <c r="X9" s="67">
        <f>IF(OR(W9="",V9="",V9=0,W9=0),"",W9-V9)</f>
        <v/>
      </c>
      <c r="Y9" s="34">
        <f>IF(OR(W9="",V9="",V9=0,W9=0),"",W9/V9-1)</f>
        <v/>
      </c>
      <c r="Z9" s="35">
        <f>IF(OR(V9="",O9="",O9=0),"",V9/O9)</f>
        <v/>
      </c>
      <c r="AA9" s="35">
        <f>IF(OR(W9="",P9="",P9=0),"",W9/P9)</f>
        <v/>
      </c>
      <c r="AB9" s="36">
        <f>IF(OR(AA9="",Z9=""),"",(AA9-Z9)*100)</f>
        <v/>
      </c>
      <c r="AC9" s="33">
        <f>SUMIFS(Totals!$AC$5:$AC$49,Totals!$A$5:$A$49,"All landing pages",Totals!$B$5:$B$49,"Organic",Totals!$C$5:$C$49,"Total")</f>
        <v/>
      </c>
      <c r="AD9" s="33">
        <f>SUMIFS(Totals!$AD$5:$AD$49,Totals!$A$5:$A$49,"All landing pages",Totals!$B$5:$B$49,"Organic",Totals!$C$5:$C$49,"Total")</f>
        <v/>
      </c>
      <c r="AE9" s="67">
        <f>IF(OR(AD9="",AC9="",AC9=0,AD9=0),"",AD9-AC9)</f>
        <v/>
      </c>
      <c r="AF9" s="34">
        <f>IF(OR(AD9="",AC9="",AC9=0,AD9=0),"",AD9/AC9-1)</f>
        <v/>
      </c>
      <c r="AG9" s="35">
        <f>IF(OR(AC9="",V9="",V9=0),"",AC9/V9)</f>
        <v/>
      </c>
      <c r="AH9" s="35">
        <f>IF(OR(AD9="",W9="",W9=0),"",AD9/W9)</f>
        <v/>
      </c>
      <c r="AI9" s="36">
        <f>IF(OR(AH9="",AG9=""),"",(AH9-AG9)*100)</f>
        <v/>
      </c>
      <c r="AJ9" s="33">
        <f>SUMIFS(Totals!$AJ$5:$AJ$49,Totals!$A$5:$A$49,"All landing pages",Totals!$B$5:$B$49,"Organic",Totals!$C$5:$C$49,"Total")</f>
        <v/>
      </c>
      <c r="AK9" s="33">
        <f>SUMIFS(Totals!$AK$5:$AK$49,Totals!$A$5:$A$49,"All landing pages",Totals!$B$5:$B$49,"Organic",Totals!$C$5:$C$49,"Total")</f>
        <v/>
      </c>
      <c r="AL9" s="67">
        <f>IF(OR(AK9="",AJ9="",AJ9=0,AK9=0),"",AK9-AJ9)</f>
        <v/>
      </c>
      <c r="AM9" s="34">
        <f>IF(OR(AK9="",AJ9="",AJ9=0,AK9=0),"",AK9/AJ9-1)</f>
        <v/>
      </c>
      <c r="AN9" s="35">
        <f>IF(OR(AJ9="",AC9="",AC9=0),"",AJ9/AC9)</f>
        <v/>
      </c>
      <c r="AO9" s="35">
        <f>IF(OR(AK9="",AD9="",AD9=0),"",AK9/AD9)</f>
        <v/>
      </c>
      <c r="AP9" s="36">
        <f>IF(OR(AO9="",AN9=""),"",(AO9-AN9)*100)</f>
        <v/>
      </c>
      <c r="AQ9" s="33">
        <f>SUMIFS(Totals!$AQ$5:$AQ$49,Totals!$A$5:$A$49,"All landing pages",Totals!$B$5:$B$49,"Organic",Totals!$C$5:$C$49,"Total")</f>
        <v/>
      </c>
      <c r="AR9" s="33">
        <f>SUMIFS(Totals!$AR$5:$AR$49,Totals!$A$5:$A$49,"All landing pages",Totals!$B$5:$B$49,"Organic",Totals!$C$5:$C$49,"Total")</f>
        <v/>
      </c>
      <c r="AS9" s="67">
        <f>IF(OR(AR9="",AQ9="",AQ9=0,AR9=0),"",AR9-AQ9)</f>
        <v/>
      </c>
      <c r="AT9" s="34">
        <f>IF(OR(AR9="",AQ9="",AQ9=0,AR9=0),"",AR9/AQ9-1)</f>
        <v/>
      </c>
      <c r="AU9" s="35">
        <f>IF(OR(AQ9="",AJ9="",AJ9=0),"",AQ9/AJ9)</f>
        <v/>
      </c>
      <c r="AV9" s="35">
        <f>IF(OR(AR9="",AK9="",AK9=0),"",AR9/AK9)</f>
        <v/>
      </c>
      <c r="AW9" s="36">
        <f>IF(OR(AV9="",AU9=""),"",(AV9-AU9)*100)</f>
        <v/>
      </c>
      <c r="AX9" s="37">
        <f>IF(OR(AQ9="",O9="",O9=0),"",AQ9/O9)</f>
        <v/>
      </c>
      <c r="AY9" s="37">
        <f>IF(OR(AR9="",P9="",P9=0),"",AR9/P9)</f>
        <v/>
      </c>
      <c r="AZ9" s="36">
        <f>IF(OR(AY9="",AX9=""),"",(AY9-AX9)*100)</f>
        <v/>
      </c>
      <c r="BA9" s="37">
        <f>IF(OR(AQ9="",D9="",D9=0),"",AQ9/D9)</f>
        <v/>
      </c>
      <c r="BB9" s="37">
        <f>IF(OR(AR9="",E9="",E9=0),"",AR9/E9)</f>
        <v/>
      </c>
      <c r="BC9" s="36">
        <f>IF(OR(BB9="",BA9=""),"",(BB9-BA9)*100)</f>
        <v/>
      </c>
    </row>
    <row r="10">
      <c r="A10" s="40" t="inlineStr">
        <is>
          <t>All landing pages</t>
        </is>
      </c>
      <c r="B10" s="40" t="inlineStr">
        <is>
          <t>Organic</t>
        </is>
      </c>
      <c r="C10" s="40" t="inlineStr">
        <is>
          <t>Mobile</t>
        </is>
      </c>
      <c r="D10" s="41">
        <f>SUMIFS(Totals!$D$5:$D$49,Totals!$A$5:$A$49,"All landing pages",Totals!$B$5:$B$49,"Organic",Totals!$C$5:$C$49,"Mobile")</f>
        <v/>
      </c>
      <c r="E10" s="41">
        <f>SUMIFS(Totals!$E$5:$E$49,Totals!$A$5:$A$49,"All landing pages",Totals!$B$5:$B$49,"Organic",Totals!$C$5:$C$49,"Mobile")</f>
        <v/>
      </c>
      <c r="F10" s="69">
        <f>IF(OR(E10="",D10="",D10=0,E10=0),"",E10-D10)</f>
        <v/>
      </c>
      <c r="G10" s="42">
        <f>IF(OR(E10="",D10="",D10=0,E10=0),"",E10/D10-1)</f>
        <v/>
      </c>
      <c r="H10" s="41">
        <f>SUMIFS(Totals!$H$5:$H$49,Totals!$A$5:$A$49,"All landing pages",Totals!$B$5:$B$49,"Organic",Totals!$C$5:$C$49,"Mobile")</f>
        <v/>
      </c>
      <c r="I10" s="41">
        <f>SUMIFS(Totals!$I$5:$I$49,Totals!$A$5:$A$49,"All landing pages",Totals!$B$5:$B$49,"Organic",Totals!$C$5:$C$49,"Mobile")</f>
        <v/>
      </c>
      <c r="J10" s="69">
        <f>IF(OR(I10="",H10="",H10=0,I10=0),"",I10-H10)</f>
        <v/>
      </c>
      <c r="K10" s="42">
        <f>IF(OR(I10="",H10="",H10=0,I10=0),"",I10/H10-1)</f>
        <v/>
      </c>
      <c r="L10" s="43">
        <f>IF(OR(H10="",D10="",D10=0),"",H10/D10)</f>
        <v/>
      </c>
      <c r="M10" s="43">
        <f>IF(OR(I10="",E10="",E10=0),"",I10/E10)</f>
        <v/>
      </c>
      <c r="N10" s="44">
        <f>IF(OR(M10="",L10=""),"",(M10-L10)*100)</f>
        <v/>
      </c>
      <c r="O10" s="41">
        <f>SUMIFS(Totals!$O$5:$O$49,Totals!$A$5:$A$49,"All landing pages",Totals!$B$5:$B$49,"Organic",Totals!$C$5:$C$49,"Mobile")</f>
        <v/>
      </c>
      <c r="P10" s="41">
        <f>SUMIFS(Totals!$P$5:$P$49,Totals!$A$5:$A$49,"All landing pages",Totals!$B$5:$B$49,"Organic",Totals!$C$5:$C$49,"Mobile")</f>
        <v/>
      </c>
      <c r="Q10" s="69">
        <f>IF(OR(P10="",O10="",O10=0,P10=0),"",P10-O10)</f>
        <v/>
      </c>
      <c r="R10" s="42">
        <f>IF(OR(P10="",O10="",O10=0,P10=0),"",P10/O10-1)</f>
        <v/>
      </c>
      <c r="S10" s="43">
        <f>IF(OR(O10="",D10="",D10=0),"",O10/D10)</f>
        <v/>
      </c>
      <c r="T10" s="43">
        <f>IF(OR(P10="",E10="",E10=0),"",P10/E10)</f>
        <v/>
      </c>
      <c r="U10" s="44">
        <f>IF(OR(T10="",S10=""),"",(T10-S10)*100)</f>
        <v/>
      </c>
      <c r="V10" s="41">
        <f>SUMIFS(Totals!$V$5:$V$49,Totals!$A$5:$A$49,"All landing pages",Totals!$B$5:$B$49,"Organic",Totals!$C$5:$C$49,"Mobile")</f>
        <v/>
      </c>
      <c r="W10" s="41">
        <f>SUMIFS(Totals!$W$5:$W$49,Totals!$A$5:$A$49,"All landing pages",Totals!$B$5:$B$49,"Organic",Totals!$C$5:$C$49,"Mobile")</f>
        <v/>
      </c>
      <c r="X10" s="69">
        <f>IF(OR(W10="",V10="",V10=0,W10=0),"",W10-V10)</f>
        <v/>
      </c>
      <c r="Y10" s="42">
        <f>IF(OR(W10="",V10="",V10=0,W10=0),"",W10/V10-1)</f>
        <v/>
      </c>
      <c r="Z10" s="43">
        <f>IF(OR(V10="",O10="",O10=0),"",V10/O10)</f>
        <v/>
      </c>
      <c r="AA10" s="43">
        <f>IF(OR(W10="",P10="",P10=0),"",W10/P10)</f>
        <v/>
      </c>
      <c r="AB10" s="44">
        <f>IF(OR(AA10="",Z10=""),"",(AA10-Z10)*100)</f>
        <v/>
      </c>
      <c r="AC10" s="41">
        <f>SUMIFS(Totals!$AC$5:$AC$49,Totals!$A$5:$A$49,"All landing pages",Totals!$B$5:$B$49,"Organic",Totals!$C$5:$C$49,"Mobile")</f>
        <v/>
      </c>
      <c r="AD10" s="41">
        <f>SUMIFS(Totals!$AD$5:$AD$49,Totals!$A$5:$A$49,"All landing pages",Totals!$B$5:$B$49,"Organic",Totals!$C$5:$C$49,"Mobile")</f>
        <v/>
      </c>
      <c r="AE10" s="69">
        <f>IF(OR(AD10="",AC10="",AC10=0,AD10=0),"",AD10-AC10)</f>
        <v/>
      </c>
      <c r="AF10" s="42">
        <f>IF(OR(AD10="",AC10="",AC10=0,AD10=0),"",AD10/AC10-1)</f>
        <v/>
      </c>
      <c r="AG10" s="43">
        <f>IF(OR(AC10="",V10="",V10=0),"",AC10/V10)</f>
        <v/>
      </c>
      <c r="AH10" s="43">
        <f>IF(OR(AD10="",W10="",W10=0),"",AD10/W10)</f>
        <v/>
      </c>
      <c r="AI10" s="44">
        <f>IF(OR(AH10="",AG10=""),"",(AH10-AG10)*100)</f>
        <v/>
      </c>
      <c r="AJ10" s="41">
        <f>SUMIFS(Totals!$AJ$5:$AJ$49,Totals!$A$5:$A$49,"All landing pages",Totals!$B$5:$B$49,"Organic",Totals!$C$5:$C$49,"Mobile")</f>
        <v/>
      </c>
      <c r="AK10" s="41">
        <f>SUMIFS(Totals!$AK$5:$AK$49,Totals!$A$5:$A$49,"All landing pages",Totals!$B$5:$B$49,"Organic",Totals!$C$5:$C$49,"Mobile")</f>
        <v/>
      </c>
      <c r="AL10" s="69">
        <f>IF(OR(AK10="",AJ10="",AJ10=0,AK10=0),"",AK10-AJ10)</f>
        <v/>
      </c>
      <c r="AM10" s="42">
        <f>IF(OR(AK10="",AJ10="",AJ10=0,AK10=0),"",AK10/AJ10-1)</f>
        <v/>
      </c>
      <c r="AN10" s="43">
        <f>IF(OR(AJ10="",AC10="",AC10=0),"",AJ10/AC10)</f>
        <v/>
      </c>
      <c r="AO10" s="43">
        <f>IF(OR(AK10="",AD10="",AD10=0),"",AK10/AD10)</f>
        <v/>
      </c>
      <c r="AP10" s="44">
        <f>IF(OR(AO10="",AN10=""),"",(AO10-AN10)*100)</f>
        <v/>
      </c>
      <c r="AQ10" s="41">
        <f>SUMIFS(Totals!$AQ$5:$AQ$49,Totals!$A$5:$A$49,"All landing pages",Totals!$B$5:$B$49,"Organic",Totals!$C$5:$C$49,"Mobile")</f>
        <v/>
      </c>
      <c r="AR10" s="41">
        <f>SUMIFS(Totals!$AR$5:$AR$49,Totals!$A$5:$A$49,"All landing pages",Totals!$B$5:$B$49,"Organic",Totals!$C$5:$C$49,"Mobile")</f>
        <v/>
      </c>
      <c r="AS10" s="69">
        <f>IF(OR(AR10="",AQ10="",AQ10=0,AR10=0),"",AR10-AQ10)</f>
        <v/>
      </c>
      <c r="AT10" s="42">
        <f>IF(OR(AR10="",AQ10="",AQ10=0,AR10=0),"",AR10/AQ10-1)</f>
        <v/>
      </c>
      <c r="AU10" s="43">
        <f>IF(OR(AQ10="",AJ10="",AJ10=0),"",AQ10/AJ10)</f>
        <v/>
      </c>
      <c r="AV10" s="43">
        <f>IF(OR(AR10="",AK10="",AK10=0),"",AR10/AK10)</f>
        <v/>
      </c>
      <c r="AW10" s="44">
        <f>IF(OR(AV10="",AU10=""),"",(AV10-AU10)*100)</f>
        <v/>
      </c>
      <c r="AX10" s="45">
        <f>IF(OR(AQ10="",O10="",O10=0),"",AQ10/O10)</f>
        <v/>
      </c>
      <c r="AY10" s="45">
        <f>IF(OR(AR10="",P10="",P10=0),"",AR10/P10)</f>
        <v/>
      </c>
      <c r="AZ10" s="44">
        <f>IF(OR(AY10="",AX10=""),"",(AY10-AX10)*100)</f>
        <v/>
      </c>
      <c r="BA10" s="45">
        <f>IF(OR(AQ10="",D10="",D10=0),"",AQ10/D10)</f>
        <v/>
      </c>
      <c r="BB10" s="45">
        <f>IF(OR(AR10="",E10="",E10=0),"",AR10/E10)</f>
        <v/>
      </c>
      <c r="BC10" s="44">
        <f>IF(OR(BB10="",BA10=""),"",(BB10-BA10)*100)</f>
        <v/>
      </c>
    </row>
    <row r="11">
      <c r="A11" s="40" t="inlineStr">
        <is>
          <t>All landing pages</t>
        </is>
      </c>
      <c r="B11" s="40" t="inlineStr">
        <is>
          <t>Organic</t>
        </is>
      </c>
      <c r="C11" s="40" t="inlineStr">
        <is>
          <t>Desktop</t>
        </is>
      </c>
      <c r="D11" s="41">
        <f>SUMIFS(Totals!$D$5:$D$49,Totals!$A$5:$A$49,"All landing pages",Totals!$B$5:$B$49,"Organic",Totals!$C$5:$C$49,"Desktop")</f>
        <v/>
      </c>
      <c r="E11" s="41">
        <f>SUMIFS(Totals!$E$5:$E$49,Totals!$A$5:$A$49,"All landing pages",Totals!$B$5:$B$49,"Organic",Totals!$C$5:$C$49,"Desktop")</f>
        <v/>
      </c>
      <c r="F11" s="69">
        <f>IF(OR(E11="",D11="",D11=0,E11=0),"",E11-D11)</f>
        <v/>
      </c>
      <c r="G11" s="42">
        <f>IF(OR(E11="",D11="",D11=0,E11=0),"",E11/D11-1)</f>
        <v/>
      </c>
      <c r="H11" s="41">
        <f>SUMIFS(Totals!$H$5:$H$49,Totals!$A$5:$A$49,"All landing pages",Totals!$B$5:$B$49,"Organic",Totals!$C$5:$C$49,"Desktop")</f>
        <v/>
      </c>
      <c r="I11" s="41">
        <f>SUMIFS(Totals!$I$5:$I$49,Totals!$A$5:$A$49,"All landing pages",Totals!$B$5:$B$49,"Organic",Totals!$C$5:$C$49,"Desktop")</f>
        <v/>
      </c>
      <c r="J11" s="69">
        <f>IF(OR(I11="",H11="",H11=0,I11=0),"",I11-H11)</f>
        <v/>
      </c>
      <c r="K11" s="42">
        <f>IF(OR(I11="",H11="",H11=0,I11=0),"",I11/H11-1)</f>
        <v/>
      </c>
      <c r="L11" s="43">
        <f>IF(OR(H11="",D11="",D11=0),"",H11/D11)</f>
        <v/>
      </c>
      <c r="M11" s="43">
        <f>IF(OR(I11="",E11="",E11=0),"",I11/E11)</f>
        <v/>
      </c>
      <c r="N11" s="44">
        <f>IF(OR(M11="",L11=""),"",(M11-L11)*100)</f>
        <v/>
      </c>
      <c r="O11" s="41">
        <f>SUMIFS(Totals!$O$5:$O$49,Totals!$A$5:$A$49,"All landing pages",Totals!$B$5:$B$49,"Organic",Totals!$C$5:$C$49,"Desktop")</f>
        <v/>
      </c>
      <c r="P11" s="41">
        <f>SUMIFS(Totals!$P$5:$P$49,Totals!$A$5:$A$49,"All landing pages",Totals!$B$5:$B$49,"Organic",Totals!$C$5:$C$49,"Desktop")</f>
        <v/>
      </c>
      <c r="Q11" s="69">
        <f>IF(OR(P11="",O11="",O11=0,P11=0),"",P11-O11)</f>
        <v/>
      </c>
      <c r="R11" s="42">
        <f>IF(OR(P11="",O11="",O11=0,P11=0),"",P11/O11-1)</f>
        <v/>
      </c>
      <c r="S11" s="43">
        <f>IF(OR(O11="",D11="",D11=0),"",O11/D11)</f>
        <v/>
      </c>
      <c r="T11" s="43">
        <f>IF(OR(P11="",E11="",E11=0),"",P11/E11)</f>
        <v/>
      </c>
      <c r="U11" s="44">
        <f>IF(OR(T11="",S11=""),"",(T11-S11)*100)</f>
        <v/>
      </c>
      <c r="V11" s="41">
        <f>SUMIFS(Totals!$V$5:$V$49,Totals!$A$5:$A$49,"All landing pages",Totals!$B$5:$B$49,"Organic",Totals!$C$5:$C$49,"Desktop")</f>
        <v/>
      </c>
      <c r="W11" s="41">
        <f>SUMIFS(Totals!$W$5:$W$49,Totals!$A$5:$A$49,"All landing pages",Totals!$B$5:$B$49,"Organic",Totals!$C$5:$C$49,"Desktop")</f>
        <v/>
      </c>
      <c r="X11" s="69">
        <f>IF(OR(W11="",V11="",V11=0,W11=0),"",W11-V11)</f>
        <v/>
      </c>
      <c r="Y11" s="42">
        <f>IF(OR(W11="",V11="",V11=0,W11=0),"",W11/V11-1)</f>
        <v/>
      </c>
      <c r="Z11" s="43">
        <f>IF(OR(V11="",O11="",O11=0),"",V11/O11)</f>
        <v/>
      </c>
      <c r="AA11" s="43">
        <f>IF(OR(W11="",P11="",P11=0),"",W11/P11)</f>
        <v/>
      </c>
      <c r="AB11" s="44">
        <f>IF(OR(AA11="",Z11=""),"",(AA11-Z11)*100)</f>
        <v/>
      </c>
      <c r="AC11" s="41">
        <f>SUMIFS(Totals!$AC$5:$AC$49,Totals!$A$5:$A$49,"All landing pages",Totals!$B$5:$B$49,"Organic",Totals!$C$5:$C$49,"Desktop")</f>
        <v/>
      </c>
      <c r="AD11" s="41">
        <f>SUMIFS(Totals!$AD$5:$AD$49,Totals!$A$5:$A$49,"All landing pages",Totals!$B$5:$B$49,"Organic",Totals!$C$5:$C$49,"Desktop")</f>
        <v/>
      </c>
      <c r="AE11" s="69">
        <f>IF(OR(AD11="",AC11="",AC11=0,AD11=0),"",AD11-AC11)</f>
        <v/>
      </c>
      <c r="AF11" s="42">
        <f>IF(OR(AD11="",AC11="",AC11=0,AD11=0),"",AD11/AC11-1)</f>
        <v/>
      </c>
      <c r="AG11" s="43">
        <f>IF(OR(AC11="",V11="",V11=0),"",AC11/V11)</f>
        <v/>
      </c>
      <c r="AH11" s="43">
        <f>IF(OR(AD11="",W11="",W11=0),"",AD11/W11)</f>
        <v/>
      </c>
      <c r="AI11" s="44">
        <f>IF(OR(AH11="",AG11=""),"",(AH11-AG11)*100)</f>
        <v/>
      </c>
      <c r="AJ11" s="41">
        <f>SUMIFS(Totals!$AJ$5:$AJ$49,Totals!$A$5:$A$49,"All landing pages",Totals!$B$5:$B$49,"Organic",Totals!$C$5:$C$49,"Desktop")</f>
        <v/>
      </c>
      <c r="AK11" s="41">
        <f>SUMIFS(Totals!$AK$5:$AK$49,Totals!$A$5:$A$49,"All landing pages",Totals!$B$5:$B$49,"Organic",Totals!$C$5:$C$49,"Desktop")</f>
        <v/>
      </c>
      <c r="AL11" s="69">
        <f>IF(OR(AK11="",AJ11="",AJ11=0,AK11=0),"",AK11-AJ11)</f>
        <v/>
      </c>
      <c r="AM11" s="42">
        <f>IF(OR(AK11="",AJ11="",AJ11=0,AK11=0),"",AK11/AJ11-1)</f>
        <v/>
      </c>
      <c r="AN11" s="43">
        <f>IF(OR(AJ11="",AC11="",AC11=0),"",AJ11/AC11)</f>
        <v/>
      </c>
      <c r="AO11" s="43">
        <f>IF(OR(AK11="",AD11="",AD11=0),"",AK11/AD11)</f>
        <v/>
      </c>
      <c r="AP11" s="44">
        <f>IF(OR(AO11="",AN11=""),"",(AO11-AN11)*100)</f>
        <v/>
      </c>
      <c r="AQ11" s="41">
        <f>SUMIFS(Totals!$AQ$5:$AQ$49,Totals!$A$5:$A$49,"All landing pages",Totals!$B$5:$B$49,"Organic",Totals!$C$5:$C$49,"Desktop")</f>
        <v/>
      </c>
      <c r="AR11" s="41">
        <f>SUMIFS(Totals!$AR$5:$AR$49,Totals!$A$5:$A$49,"All landing pages",Totals!$B$5:$B$49,"Organic",Totals!$C$5:$C$49,"Desktop")</f>
        <v/>
      </c>
      <c r="AS11" s="69">
        <f>IF(OR(AR11="",AQ11="",AQ11=0,AR11=0),"",AR11-AQ11)</f>
        <v/>
      </c>
      <c r="AT11" s="42">
        <f>IF(OR(AR11="",AQ11="",AQ11=0,AR11=0),"",AR11/AQ11-1)</f>
        <v/>
      </c>
      <c r="AU11" s="43">
        <f>IF(OR(AQ11="",AJ11="",AJ11=0),"",AQ11/AJ11)</f>
        <v/>
      </c>
      <c r="AV11" s="43">
        <f>IF(OR(AR11="",AK11="",AK11=0),"",AR11/AK11)</f>
        <v/>
      </c>
      <c r="AW11" s="44">
        <f>IF(OR(AV11="",AU11=""),"",(AV11-AU11)*100)</f>
        <v/>
      </c>
      <c r="AX11" s="45">
        <f>IF(OR(AQ11="",O11="",O11=0),"",AQ11/O11)</f>
        <v/>
      </c>
      <c r="AY11" s="45">
        <f>IF(OR(AR11="",P11="",P11=0),"",AR11/P11)</f>
        <v/>
      </c>
      <c r="AZ11" s="44">
        <f>IF(OR(AY11="",AX11=""),"",(AY11-AX11)*100)</f>
        <v/>
      </c>
      <c r="BA11" s="45">
        <f>IF(OR(AQ11="",D11="",D11=0),"",AQ11/D11)</f>
        <v/>
      </c>
      <c r="BB11" s="45">
        <f>IF(OR(AR11="",E11="",E11=0),"",AR11/E11)</f>
        <v/>
      </c>
      <c r="BC11" s="44">
        <f>IF(OR(BB11="",BA11=""),"",(BB11-BA11)*100)</f>
        <v/>
      </c>
    </row>
    <row r="12">
      <c r="A12" s="32" t="inlineStr">
        <is>
          <t>All landing pages</t>
        </is>
      </c>
      <c r="B12" s="32" t="inlineStr">
        <is>
          <t>Direct</t>
        </is>
      </c>
      <c r="C12" s="32" t="inlineStr">
        <is>
          <t>Total</t>
        </is>
      </c>
      <c r="D12" s="33">
        <f>SUMIFS(Totals!$D$5:$D$49,Totals!$A$5:$A$49,"All landing pages",Totals!$B$5:$B$49,"Direct",Totals!$C$5:$C$49,"Total")</f>
        <v/>
      </c>
      <c r="E12" s="33">
        <f>SUMIFS(Totals!$E$5:$E$49,Totals!$A$5:$A$49,"All landing pages",Totals!$B$5:$B$49,"Direct",Totals!$C$5:$C$49,"Total")</f>
        <v/>
      </c>
      <c r="F12" s="67">
        <f>IF(OR(E12="",D12="",D12=0,E12=0),"",E12-D12)</f>
        <v/>
      </c>
      <c r="G12" s="34">
        <f>IF(OR(E12="",D12="",D12=0,E12=0),"",E12/D12-1)</f>
        <v/>
      </c>
      <c r="H12" s="33">
        <f>SUMIFS(Totals!$H$5:$H$49,Totals!$A$5:$A$49,"All landing pages",Totals!$B$5:$B$49,"Direct",Totals!$C$5:$C$49,"Total")</f>
        <v/>
      </c>
      <c r="I12" s="33">
        <f>SUMIFS(Totals!$I$5:$I$49,Totals!$A$5:$A$49,"All landing pages",Totals!$B$5:$B$49,"Direct",Totals!$C$5:$C$49,"Total")</f>
        <v/>
      </c>
      <c r="J12" s="67">
        <f>IF(OR(I12="",H12="",H12=0,I12=0),"",I12-H12)</f>
        <v/>
      </c>
      <c r="K12" s="34">
        <f>IF(OR(I12="",H12="",H12=0,I12=0),"",I12/H12-1)</f>
        <v/>
      </c>
      <c r="L12" s="35">
        <f>IF(OR(H12="",D12="",D12=0),"",H12/D12)</f>
        <v/>
      </c>
      <c r="M12" s="35">
        <f>IF(OR(I12="",E12="",E12=0),"",I12/E12)</f>
        <v/>
      </c>
      <c r="N12" s="36">
        <f>IF(OR(M12="",L12=""),"",(M12-L12)*100)</f>
        <v/>
      </c>
      <c r="O12" s="33">
        <f>SUMIFS(Totals!$O$5:$O$49,Totals!$A$5:$A$49,"All landing pages",Totals!$B$5:$B$49,"Direct",Totals!$C$5:$C$49,"Total")</f>
        <v/>
      </c>
      <c r="P12" s="33">
        <f>SUMIFS(Totals!$P$5:$P$49,Totals!$A$5:$A$49,"All landing pages",Totals!$B$5:$B$49,"Direct",Totals!$C$5:$C$49,"Total")</f>
        <v/>
      </c>
      <c r="Q12" s="67">
        <f>IF(OR(P12="",O12="",O12=0,P12=0),"",P12-O12)</f>
        <v/>
      </c>
      <c r="R12" s="34">
        <f>IF(OR(P12="",O12="",O12=0,P12=0),"",P12/O12-1)</f>
        <v/>
      </c>
      <c r="S12" s="35">
        <f>IF(OR(O12="",D12="",D12=0),"",O12/D12)</f>
        <v/>
      </c>
      <c r="T12" s="35">
        <f>IF(OR(P12="",E12="",E12=0),"",P12/E12)</f>
        <v/>
      </c>
      <c r="U12" s="36">
        <f>IF(OR(T12="",S12=""),"",(T12-S12)*100)</f>
        <v/>
      </c>
      <c r="V12" s="33">
        <f>SUMIFS(Totals!$V$5:$V$49,Totals!$A$5:$A$49,"All landing pages",Totals!$B$5:$B$49,"Direct",Totals!$C$5:$C$49,"Total")</f>
        <v/>
      </c>
      <c r="W12" s="33">
        <f>SUMIFS(Totals!$W$5:$W$49,Totals!$A$5:$A$49,"All landing pages",Totals!$B$5:$B$49,"Direct",Totals!$C$5:$C$49,"Total")</f>
        <v/>
      </c>
      <c r="X12" s="67">
        <f>IF(OR(W12="",V12="",V12=0,W12=0),"",W12-V12)</f>
        <v/>
      </c>
      <c r="Y12" s="34">
        <f>IF(OR(W12="",V12="",V12=0,W12=0),"",W12/V12-1)</f>
        <v/>
      </c>
      <c r="Z12" s="35">
        <f>IF(OR(V12="",O12="",O12=0),"",V12/O12)</f>
        <v/>
      </c>
      <c r="AA12" s="35">
        <f>IF(OR(W12="",P12="",P12=0),"",W12/P12)</f>
        <v/>
      </c>
      <c r="AB12" s="36">
        <f>IF(OR(AA12="",Z12=""),"",(AA12-Z12)*100)</f>
        <v/>
      </c>
      <c r="AC12" s="33">
        <f>SUMIFS(Totals!$AC$5:$AC$49,Totals!$A$5:$A$49,"All landing pages",Totals!$B$5:$B$49,"Direct",Totals!$C$5:$C$49,"Total")</f>
        <v/>
      </c>
      <c r="AD12" s="33">
        <f>SUMIFS(Totals!$AD$5:$AD$49,Totals!$A$5:$A$49,"All landing pages",Totals!$B$5:$B$49,"Direct",Totals!$C$5:$C$49,"Total")</f>
        <v/>
      </c>
      <c r="AE12" s="67">
        <f>IF(OR(AD12="",AC12="",AC12=0,AD12=0),"",AD12-AC12)</f>
        <v/>
      </c>
      <c r="AF12" s="34">
        <f>IF(OR(AD12="",AC12="",AC12=0,AD12=0),"",AD12/AC12-1)</f>
        <v/>
      </c>
      <c r="AG12" s="35">
        <f>IF(OR(AC12="",V12="",V12=0),"",AC12/V12)</f>
        <v/>
      </c>
      <c r="AH12" s="35">
        <f>IF(OR(AD12="",W12="",W12=0),"",AD12/W12)</f>
        <v/>
      </c>
      <c r="AI12" s="36">
        <f>IF(OR(AH12="",AG12=""),"",(AH12-AG12)*100)</f>
        <v/>
      </c>
      <c r="AJ12" s="33">
        <f>SUMIFS(Totals!$AJ$5:$AJ$49,Totals!$A$5:$A$49,"All landing pages",Totals!$B$5:$B$49,"Direct",Totals!$C$5:$C$49,"Total")</f>
        <v/>
      </c>
      <c r="AK12" s="33">
        <f>SUMIFS(Totals!$AK$5:$AK$49,Totals!$A$5:$A$49,"All landing pages",Totals!$B$5:$B$49,"Direct",Totals!$C$5:$C$49,"Total")</f>
        <v/>
      </c>
      <c r="AL12" s="67">
        <f>IF(OR(AK12="",AJ12="",AJ12=0,AK12=0),"",AK12-AJ12)</f>
        <v/>
      </c>
      <c r="AM12" s="34">
        <f>IF(OR(AK12="",AJ12="",AJ12=0,AK12=0),"",AK12/AJ12-1)</f>
        <v/>
      </c>
      <c r="AN12" s="35">
        <f>IF(OR(AJ12="",AC12="",AC12=0),"",AJ12/AC12)</f>
        <v/>
      </c>
      <c r="AO12" s="35">
        <f>IF(OR(AK12="",AD12="",AD12=0),"",AK12/AD12)</f>
        <v/>
      </c>
      <c r="AP12" s="36">
        <f>IF(OR(AO12="",AN12=""),"",(AO12-AN12)*100)</f>
        <v/>
      </c>
      <c r="AQ12" s="33">
        <f>SUMIFS(Totals!$AQ$5:$AQ$49,Totals!$A$5:$A$49,"All landing pages",Totals!$B$5:$B$49,"Direct",Totals!$C$5:$C$49,"Total")</f>
        <v/>
      </c>
      <c r="AR12" s="33">
        <f>SUMIFS(Totals!$AR$5:$AR$49,Totals!$A$5:$A$49,"All landing pages",Totals!$B$5:$B$49,"Direct",Totals!$C$5:$C$49,"Total")</f>
        <v/>
      </c>
      <c r="AS12" s="67">
        <f>IF(OR(AR12="",AQ12="",AQ12=0,AR12=0),"",AR12-AQ12)</f>
        <v/>
      </c>
      <c r="AT12" s="34">
        <f>IF(OR(AR12="",AQ12="",AQ12=0,AR12=0),"",AR12/AQ12-1)</f>
        <v/>
      </c>
      <c r="AU12" s="35">
        <f>IF(OR(AQ12="",AJ12="",AJ12=0),"",AQ12/AJ12)</f>
        <v/>
      </c>
      <c r="AV12" s="35">
        <f>IF(OR(AR12="",AK12="",AK12=0),"",AR12/AK12)</f>
        <v/>
      </c>
      <c r="AW12" s="36">
        <f>IF(OR(AV12="",AU12=""),"",(AV12-AU12)*100)</f>
        <v/>
      </c>
      <c r="AX12" s="37">
        <f>IF(OR(AQ12="",O12="",O12=0),"",AQ12/O12)</f>
        <v/>
      </c>
      <c r="AY12" s="37">
        <f>IF(OR(AR12="",P12="",P12=0),"",AR12/P12)</f>
        <v/>
      </c>
      <c r="AZ12" s="36">
        <f>IF(OR(AY12="",AX12=""),"",(AY12-AX12)*100)</f>
        <v/>
      </c>
      <c r="BA12" s="37">
        <f>IF(OR(AQ12="",D12="",D12=0),"",AQ12/D12)</f>
        <v/>
      </c>
      <c r="BB12" s="37">
        <f>IF(OR(AR12="",E12="",E12=0),"",AR12/E12)</f>
        <v/>
      </c>
      <c r="BC12" s="36">
        <f>IF(OR(BB12="",BA12=""),"",(BB12-BA12)*100)</f>
        <v/>
      </c>
    </row>
    <row r="13">
      <c r="A13" s="40" t="inlineStr">
        <is>
          <t>All landing pages</t>
        </is>
      </c>
      <c r="B13" s="40" t="inlineStr">
        <is>
          <t>Direct</t>
        </is>
      </c>
      <c r="C13" s="40" t="inlineStr">
        <is>
          <t>Mobile</t>
        </is>
      </c>
      <c r="D13" s="41">
        <f>SUMIFS(Totals!$D$5:$D$49,Totals!$A$5:$A$49,"All landing pages",Totals!$B$5:$B$49,"Direct",Totals!$C$5:$C$49,"Mobile")</f>
        <v/>
      </c>
      <c r="E13" s="41">
        <f>SUMIFS(Totals!$E$5:$E$49,Totals!$A$5:$A$49,"All landing pages",Totals!$B$5:$B$49,"Direct",Totals!$C$5:$C$49,"Mobile")</f>
        <v/>
      </c>
      <c r="F13" s="69">
        <f>IF(OR(E13="",D13="",D13=0,E13=0),"",E13-D13)</f>
        <v/>
      </c>
      <c r="G13" s="42">
        <f>IF(OR(E13="",D13="",D13=0,E13=0),"",E13/D13-1)</f>
        <v/>
      </c>
      <c r="H13" s="41">
        <f>SUMIFS(Totals!$H$5:$H$49,Totals!$A$5:$A$49,"All landing pages",Totals!$B$5:$B$49,"Direct",Totals!$C$5:$C$49,"Mobile")</f>
        <v/>
      </c>
      <c r="I13" s="41">
        <f>SUMIFS(Totals!$I$5:$I$49,Totals!$A$5:$A$49,"All landing pages",Totals!$B$5:$B$49,"Direct",Totals!$C$5:$C$49,"Mobile")</f>
        <v/>
      </c>
      <c r="J13" s="69">
        <f>IF(OR(I13="",H13="",H13=0,I13=0),"",I13-H13)</f>
        <v/>
      </c>
      <c r="K13" s="42">
        <f>IF(OR(I13="",H13="",H13=0,I13=0),"",I13/H13-1)</f>
        <v/>
      </c>
      <c r="L13" s="43">
        <f>IF(OR(H13="",D13="",D13=0),"",H13/D13)</f>
        <v/>
      </c>
      <c r="M13" s="43">
        <f>IF(OR(I13="",E13="",E13=0),"",I13/E13)</f>
        <v/>
      </c>
      <c r="N13" s="44">
        <f>IF(OR(M13="",L13=""),"",(M13-L13)*100)</f>
        <v/>
      </c>
      <c r="O13" s="41">
        <f>SUMIFS(Totals!$O$5:$O$49,Totals!$A$5:$A$49,"All landing pages",Totals!$B$5:$B$49,"Direct",Totals!$C$5:$C$49,"Mobile")</f>
        <v/>
      </c>
      <c r="P13" s="41">
        <f>SUMIFS(Totals!$P$5:$P$49,Totals!$A$5:$A$49,"All landing pages",Totals!$B$5:$B$49,"Direct",Totals!$C$5:$C$49,"Mobile")</f>
        <v/>
      </c>
      <c r="Q13" s="69">
        <f>IF(OR(P13="",O13="",O13=0,P13=0),"",P13-O13)</f>
        <v/>
      </c>
      <c r="R13" s="42">
        <f>IF(OR(P13="",O13="",O13=0,P13=0),"",P13/O13-1)</f>
        <v/>
      </c>
      <c r="S13" s="43">
        <f>IF(OR(O13="",D13="",D13=0),"",O13/D13)</f>
        <v/>
      </c>
      <c r="T13" s="43">
        <f>IF(OR(P13="",E13="",E13=0),"",P13/E13)</f>
        <v/>
      </c>
      <c r="U13" s="44">
        <f>IF(OR(T13="",S13=""),"",(T13-S13)*100)</f>
        <v/>
      </c>
      <c r="V13" s="41">
        <f>SUMIFS(Totals!$V$5:$V$49,Totals!$A$5:$A$49,"All landing pages",Totals!$B$5:$B$49,"Direct",Totals!$C$5:$C$49,"Mobile")</f>
        <v/>
      </c>
      <c r="W13" s="41">
        <f>SUMIFS(Totals!$W$5:$W$49,Totals!$A$5:$A$49,"All landing pages",Totals!$B$5:$B$49,"Direct",Totals!$C$5:$C$49,"Mobile")</f>
        <v/>
      </c>
      <c r="X13" s="69">
        <f>IF(OR(W13="",V13="",V13=0,W13=0),"",W13-V13)</f>
        <v/>
      </c>
      <c r="Y13" s="42">
        <f>IF(OR(W13="",V13="",V13=0,W13=0),"",W13/V13-1)</f>
        <v/>
      </c>
      <c r="Z13" s="43">
        <f>IF(OR(V13="",O13="",O13=0),"",V13/O13)</f>
        <v/>
      </c>
      <c r="AA13" s="43">
        <f>IF(OR(W13="",P13="",P13=0),"",W13/P13)</f>
        <v/>
      </c>
      <c r="AB13" s="44">
        <f>IF(OR(AA13="",Z13=""),"",(AA13-Z13)*100)</f>
        <v/>
      </c>
      <c r="AC13" s="41">
        <f>SUMIFS(Totals!$AC$5:$AC$49,Totals!$A$5:$A$49,"All landing pages",Totals!$B$5:$B$49,"Direct",Totals!$C$5:$C$49,"Mobile")</f>
        <v/>
      </c>
      <c r="AD13" s="41">
        <f>SUMIFS(Totals!$AD$5:$AD$49,Totals!$A$5:$A$49,"All landing pages",Totals!$B$5:$B$49,"Direct",Totals!$C$5:$C$49,"Mobile")</f>
        <v/>
      </c>
      <c r="AE13" s="69">
        <f>IF(OR(AD13="",AC13="",AC13=0,AD13=0),"",AD13-AC13)</f>
        <v/>
      </c>
      <c r="AF13" s="42">
        <f>IF(OR(AD13="",AC13="",AC13=0,AD13=0),"",AD13/AC13-1)</f>
        <v/>
      </c>
      <c r="AG13" s="43">
        <f>IF(OR(AC13="",V13="",V13=0),"",AC13/V13)</f>
        <v/>
      </c>
      <c r="AH13" s="43">
        <f>IF(OR(AD13="",W13="",W13=0),"",AD13/W13)</f>
        <v/>
      </c>
      <c r="AI13" s="44">
        <f>IF(OR(AH13="",AG13=""),"",(AH13-AG13)*100)</f>
        <v/>
      </c>
      <c r="AJ13" s="41">
        <f>SUMIFS(Totals!$AJ$5:$AJ$49,Totals!$A$5:$A$49,"All landing pages",Totals!$B$5:$B$49,"Direct",Totals!$C$5:$C$49,"Mobile")</f>
        <v/>
      </c>
      <c r="AK13" s="41">
        <f>SUMIFS(Totals!$AK$5:$AK$49,Totals!$A$5:$A$49,"All landing pages",Totals!$B$5:$B$49,"Direct",Totals!$C$5:$C$49,"Mobile")</f>
        <v/>
      </c>
      <c r="AL13" s="69">
        <f>IF(OR(AK13="",AJ13="",AJ13=0,AK13=0),"",AK13-AJ13)</f>
        <v/>
      </c>
      <c r="AM13" s="42">
        <f>IF(OR(AK13="",AJ13="",AJ13=0,AK13=0),"",AK13/AJ13-1)</f>
        <v/>
      </c>
      <c r="AN13" s="43">
        <f>IF(OR(AJ13="",AC13="",AC13=0),"",AJ13/AC13)</f>
        <v/>
      </c>
      <c r="AO13" s="43">
        <f>IF(OR(AK13="",AD13="",AD13=0),"",AK13/AD13)</f>
        <v/>
      </c>
      <c r="AP13" s="44">
        <f>IF(OR(AO13="",AN13=""),"",(AO13-AN13)*100)</f>
        <v/>
      </c>
      <c r="AQ13" s="41">
        <f>SUMIFS(Totals!$AQ$5:$AQ$49,Totals!$A$5:$A$49,"All landing pages",Totals!$B$5:$B$49,"Direct",Totals!$C$5:$C$49,"Mobile")</f>
        <v/>
      </c>
      <c r="AR13" s="41">
        <f>SUMIFS(Totals!$AR$5:$AR$49,Totals!$A$5:$A$49,"All landing pages",Totals!$B$5:$B$49,"Direct",Totals!$C$5:$C$49,"Mobile")</f>
        <v/>
      </c>
      <c r="AS13" s="69">
        <f>IF(OR(AR13="",AQ13="",AQ13=0,AR13=0),"",AR13-AQ13)</f>
        <v/>
      </c>
      <c r="AT13" s="42">
        <f>IF(OR(AR13="",AQ13="",AQ13=0,AR13=0),"",AR13/AQ13-1)</f>
        <v/>
      </c>
      <c r="AU13" s="43">
        <f>IF(OR(AQ13="",AJ13="",AJ13=0),"",AQ13/AJ13)</f>
        <v/>
      </c>
      <c r="AV13" s="43">
        <f>IF(OR(AR13="",AK13="",AK13=0),"",AR13/AK13)</f>
        <v/>
      </c>
      <c r="AW13" s="44">
        <f>IF(OR(AV13="",AU13=""),"",(AV13-AU13)*100)</f>
        <v/>
      </c>
      <c r="AX13" s="45">
        <f>IF(OR(AQ13="",O13="",O13=0),"",AQ13/O13)</f>
        <v/>
      </c>
      <c r="AY13" s="45">
        <f>IF(OR(AR13="",P13="",P13=0),"",AR13/P13)</f>
        <v/>
      </c>
      <c r="AZ13" s="44">
        <f>IF(OR(AY13="",AX13=""),"",(AY13-AX13)*100)</f>
        <v/>
      </c>
      <c r="BA13" s="45">
        <f>IF(OR(AQ13="",D13="",D13=0),"",AQ13/D13)</f>
        <v/>
      </c>
      <c r="BB13" s="45">
        <f>IF(OR(AR13="",E13="",E13=0),"",AR13/E13)</f>
        <v/>
      </c>
      <c r="BC13" s="44">
        <f>IF(OR(BB13="",BA13=""),"",(BB13-BA13)*100)</f>
        <v/>
      </c>
    </row>
    <row r="14">
      <c r="A14" s="40" t="inlineStr">
        <is>
          <t>All landing pages</t>
        </is>
      </c>
      <c r="B14" s="40" t="inlineStr">
        <is>
          <t>Direct</t>
        </is>
      </c>
      <c r="C14" s="40" t="inlineStr">
        <is>
          <t>Desktop</t>
        </is>
      </c>
      <c r="D14" s="41">
        <f>SUMIFS(Totals!$D$5:$D$49,Totals!$A$5:$A$49,"All landing pages",Totals!$B$5:$B$49,"Direct",Totals!$C$5:$C$49,"Desktop")</f>
        <v/>
      </c>
      <c r="E14" s="41">
        <f>SUMIFS(Totals!$E$5:$E$49,Totals!$A$5:$A$49,"All landing pages",Totals!$B$5:$B$49,"Direct",Totals!$C$5:$C$49,"Desktop")</f>
        <v/>
      </c>
      <c r="F14" s="69">
        <f>IF(OR(E14="",D14="",D14=0,E14=0),"",E14-D14)</f>
        <v/>
      </c>
      <c r="G14" s="42">
        <f>IF(OR(E14="",D14="",D14=0,E14=0),"",E14/D14-1)</f>
        <v/>
      </c>
      <c r="H14" s="41">
        <f>SUMIFS(Totals!$H$5:$H$49,Totals!$A$5:$A$49,"All landing pages",Totals!$B$5:$B$49,"Direct",Totals!$C$5:$C$49,"Desktop")</f>
        <v/>
      </c>
      <c r="I14" s="41">
        <f>SUMIFS(Totals!$I$5:$I$49,Totals!$A$5:$A$49,"All landing pages",Totals!$B$5:$B$49,"Direct",Totals!$C$5:$C$49,"Desktop")</f>
        <v/>
      </c>
      <c r="J14" s="69">
        <f>IF(OR(I14="",H14="",H14=0,I14=0),"",I14-H14)</f>
        <v/>
      </c>
      <c r="K14" s="42">
        <f>IF(OR(I14="",H14="",H14=0,I14=0),"",I14/H14-1)</f>
        <v/>
      </c>
      <c r="L14" s="43">
        <f>IF(OR(H14="",D14="",D14=0),"",H14/D14)</f>
        <v/>
      </c>
      <c r="M14" s="43">
        <f>IF(OR(I14="",E14="",E14=0),"",I14/E14)</f>
        <v/>
      </c>
      <c r="N14" s="44">
        <f>IF(OR(M14="",L14=""),"",(M14-L14)*100)</f>
        <v/>
      </c>
      <c r="O14" s="41">
        <f>SUMIFS(Totals!$O$5:$O$49,Totals!$A$5:$A$49,"All landing pages",Totals!$B$5:$B$49,"Direct",Totals!$C$5:$C$49,"Desktop")</f>
        <v/>
      </c>
      <c r="P14" s="41">
        <f>SUMIFS(Totals!$P$5:$P$49,Totals!$A$5:$A$49,"All landing pages",Totals!$B$5:$B$49,"Direct",Totals!$C$5:$C$49,"Desktop")</f>
        <v/>
      </c>
      <c r="Q14" s="69">
        <f>IF(OR(P14="",O14="",O14=0,P14=0),"",P14-O14)</f>
        <v/>
      </c>
      <c r="R14" s="42">
        <f>IF(OR(P14="",O14="",O14=0,P14=0),"",P14/O14-1)</f>
        <v/>
      </c>
      <c r="S14" s="43">
        <f>IF(OR(O14="",D14="",D14=0),"",O14/D14)</f>
        <v/>
      </c>
      <c r="T14" s="43">
        <f>IF(OR(P14="",E14="",E14=0),"",P14/E14)</f>
        <v/>
      </c>
      <c r="U14" s="44">
        <f>IF(OR(T14="",S14=""),"",(T14-S14)*100)</f>
        <v/>
      </c>
      <c r="V14" s="41">
        <f>SUMIFS(Totals!$V$5:$V$49,Totals!$A$5:$A$49,"All landing pages",Totals!$B$5:$B$49,"Direct",Totals!$C$5:$C$49,"Desktop")</f>
        <v/>
      </c>
      <c r="W14" s="41">
        <f>SUMIFS(Totals!$W$5:$W$49,Totals!$A$5:$A$49,"All landing pages",Totals!$B$5:$B$49,"Direct",Totals!$C$5:$C$49,"Desktop")</f>
        <v/>
      </c>
      <c r="X14" s="69">
        <f>IF(OR(W14="",V14="",V14=0,W14=0),"",W14-V14)</f>
        <v/>
      </c>
      <c r="Y14" s="42">
        <f>IF(OR(W14="",V14="",V14=0,W14=0),"",W14/V14-1)</f>
        <v/>
      </c>
      <c r="Z14" s="43">
        <f>IF(OR(V14="",O14="",O14=0),"",V14/O14)</f>
        <v/>
      </c>
      <c r="AA14" s="43">
        <f>IF(OR(W14="",P14="",P14=0),"",W14/P14)</f>
        <v/>
      </c>
      <c r="AB14" s="44">
        <f>IF(OR(AA14="",Z14=""),"",(AA14-Z14)*100)</f>
        <v/>
      </c>
      <c r="AC14" s="41">
        <f>SUMIFS(Totals!$AC$5:$AC$49,Totals!$A$5:$A$49,"All landing pages",Totals!$B$5:$B$49,"Direct",Totals!$C$5:$C$49,"Desktop")</f>
        <v/>
      </c>
      <c r="AD14" s="41">
        <f>SUMIFS(Totals!$AD$5:$AD$49,Totals!$A$5:$A$49,"All landing pages",Totals!$B$5:$B$49,"Direct",Totals!$C$5:$C$49,"Desktop")</f>
        <v/>
      </c>
      <c r="AE14" s="69">
        <f>IF(OR(AD14="",AC14="",AC14=0,AD14=0),"",AD14-AC14)</f>
        <v/>
      </c>
      <c r="AF14" s="42">
        <f>IF(OR(AD14="",AC14="",AC14=0,AD14=0),"",AD14/AC14-1)</f>
        <v/>
      </c>
      <c r="AG14" s="43">
        <f>IF(OR(AC14="",V14="",V14=0),"",AC14/V14)</f>
        <v/>
      </c>
      <c r="AH14" s="43">
        <f>IF(OR(AD14="",W14="",W14=0),"",AD14/W14)</f>
        <v/>
      </c>
      <c r="AI14" s="44">
        <f>IF(OR(AH14="",AG14=""),"",(AH14-AG14)*100)</f>
        <v/>
      </c>
      <c r="AJ14" s="41">
        <f>SUMIFS(Totals!$AJ$5:$AJ$49,Totals!$A$5:$A$49,"All landing pages",Totals!$B$5:$B$49,"Direct",Totals!$C$5:$C$49,"Desktop")</f>
        <v/>
      </c>
      <c r="AK14" s="41">
        <f>SUMIFS(Totals!$AK$5:$AK$49,Totals!$A$5:$A$49,"All landing pages",Totals!$B$5:$B$49,"Direct",Totals!$C$5:$C$49,"Desktop")</f>
        <v/>
      </c>
      <c r="AL14" s="69">
        <f>IF(OR(AK14="",AJ14="",AJ14=0,AK14=0),"",AK14-AJ14)</f>
        <v/>
      </c>
      <c r="AM14" s="42">
        <f>IF(OR(AK14="",AJ14="",AJ14=0,AK14=0),"",AK14/AJ14-1)</f>
        <v/>
      </c>
      <c r="AN14" s="43">
        <f>IF(OR(AJ14="",AC14="",AC14=0),"",AJ14/AC14)</f>
        <v/>
      </c>
      <c r="AO14" s="43">
        <f>IF(OR(AK14="",AD14="",AD14=0),"",AK14/AD14)</f>
        <v/>
      </c>
      <c r="AP14" s="44">
        <f>IF(OR(AO14="",AN14=""),"",(AO14-AN14)*100)</f>
        <v/>
      </c>
      <c r="AQ14" s="41">
        <f>SUMIFS(Totals!$AQ$5:$AQ$49,Totals!$A$5:$A$49,"All landing pages",Totals!$B$5:$B$49,"Direct",Totals!$C$5:$C$49,"Desktop")</f>
        <v/>
      </c>
      <c r="AR14" s="41">
        <f>SUMIFS(Totals!$AR$5:$AR$49,Totals!$A$5:$A$49,"All landing pages",Totals!$B$5:$B$49,"Direct",Totals!$C$5:$C$49,"Desktop")</f>
        <v/>
      </c>
      <c r="AS14" s="69">
        <f>IF(OR(AR14="",AQ14="",AQ14=0,AR14=0),"",AR14-AQ14)</f>
        <v/>
      </c>
      <c r="AT14" s="42">
        <f>IF(OR(AR14="",AQ14="",AQ14=0,AR14=0),"",AR14/AQ14-1)</f>
        <v/>
      </c>
      <c r="AU14" s="43">
        <f>IF(OR(AQ14="",AJ14="",AJ14=0),"",AQ14/AJ14)</f>
        <v/>
      </c>
      <c r="AV14" s="43">
        <f>IF(OR(AR14="",AK14="",AK14=0),"",AR14/AK14)</f>
        <v/>
      </c>
      <c r="AW14" s="44">
        <f>IF(OR(AV14="",AU14=""),"",(AV14-AU14)*100)</f>
        <v/>
      </c>
      <c r="AX14" s="45">
        <f>IF(OR(AQ14="",O14="",O14=0),"",AQ14/O14)</f>
        <v/>
      </c>
      <c r="AY14" s="45">
        <f>IF(OR(AR14="",P14="",P14=0),"",AR14/P14)</f>
        <v/>
      </c>
      <c r="AZ14" s="44">
        <f>IF(OR(AY14="",AX14=""),"",(AY14-AX14)*100)</f>
        <v/>
      </c>
      <c r="BA14" s="45">
        <f>IF(OR(AQ14="",D14="",D14=0),"",AQ14/D14)</f>
        <v/>
      </c>
      <c r="BB14" s="45">
        <f>IF(OR(AR14="",E14="",E14=0),"",AR14/E14)</f>
        <v/>
      </c>
      <c r="BC14" s="44">
        <f>IF(OR(BB14="",BA14=""),"",(BB14-BA14)*100)</f>
        <v/>
      </c>
    </row>
    <row r="15">
      <c r="A15" s="32" t="inlineStr">
        <is>
          <t>Home page</t>
        </is>
      </c>
      <c r="B15" s="32" t="inlineStr">
        <is>
          <t>Paid Search</t>
        </is>
      </c>
      <c r="C15" s="32" t="inlineStr">
        <is>
          <t>Total</t>
        </is>
      </c>
      <c r="D15" s="33">
        <f>SUMIFS(Totals!$D$5:$D$49,Totals!$A$5:$A$49,"Home page",Totals!$B$5:$B$49,"Paid Search",Totals!$C$5:$C$49,"Total")</f>
        <v/>
      </c>
      <c r="E15" s="33">
        <f>SUMIFS(Totals!$E$5:$E$49,Totals!$A$5:$A$49,"Home page",Totals!$B$5:$B$49,"Paid Search",Totals!$C$5:$C$49,"Total")</f>
        <v/>
      </c>
      <c r="F15" s="67">
        <f>IF(OR(E15="",D15="",D15=0,E15=0),"",E15-D15)</f>
        <v/>
      </c>
      <c r="G15" s="34">
        <f>IF(OR(E15="",D15="",D15=0,E15=0),"",E15/D15-1)</f>
        <v/>
      </c>
      <c r="H15" s="33">
        <f>SUMIFS(Totals!$H$5:$H$49,Totals!$A$5:$A$49,"Home page",Totals!$B$5:$B$49,"Paid Search",Totals!$C$5:$C$49,"Total")</f>
        <v/>
      </c>
      <c r="I15" s="33">
        <f>SUMIFS(Totals!$I$5:$I$49,Totals!$A$5:$A$49,"Home page",Totals!$B$5:$B$49,"Paid Search",Totals!$C$5:$C$49,"Total")</f>
        <v/>
      </c>
      <c r="J15" s="67">
        <f>IF(OR(I15="",H15="",H15=0,I15=0),"",I15-H15)</f>
        <v/>
      </c>
      <c r="K15" s="34">
        <f>IF(OR(I15="",H15="",H15=0,I15=0),"",I15/H15-1)</f>
        <v/>
      </c>
      <c r="L15" s="35">
        <f>IF(OR(H15="",D15="",D15=0),"",H15/D15)</f>
        <v/>
      </c>
      <c r="M15" s="35">
        <f>IF(OR(I15="",E15="",E15=0),"",I15/E15)</f>
        <v/>
      </c>
      <c r="N15" s="36">
        <f>IF(OR(M15="",L15=""),"",(M15-L15)*100)</f>
        <v/>
      </c>
      <c r="O15" s="33">
        <f>SUMIFS(Totals!$O$5:$O$49,Totals!$A$5:$A$49,"Home page",Totals!$B$5:$B$49,"Paid Search",Totals!$C$5:$C$49,"Total")</f>
        <v/>
      </c>
      <c r="P15" s="33">
        <f>SUMIFS(Totals!$P$5:$P$49,Totals!$A$5:$A$49,"Home page",Totals!$B$5:$B$49,"Paid Search",Totals!$C$5:$C$49,"Total")</f>
        <v/>
      </c>
      <c r="Q15" s="67">
        <f>IF(OR(P15="",O15="",O15=0,P15=0),"",P15-O15)</f>
        <v/>
      </c>
      <c r="R15" s="34">
        <f>IF(OR(P15="",O15="",O15=0,P15=0),"",P15/O15-1)</f>
        <v/>
      </c>
      <c r="S15" s="35">
        <f>IF(OR(O15="",D15="",D15=0),"",O15/D15)</f>
        <v/>
      </c>
      <c r="T15" s="35">
        <f>IF(OR(P15="",E15="",E15=0),"",P15/E15)</f>
        <v/>
      </c>
      <c r="U15" s="36">
        <f>IF(OR(T15="",S15=""),"",(T15-S15)*100)</f>
        <v/>
      </c>
      <c r="V15" s="33">
        <f>SUMIFS(Totals!$V$5:$V$49,Totals!$A$5:$A$49,"Home page",Totals!$B$5:$B$49,"Paid Search",Totals!$C$5:$C$49,"Total")</f>
        <v/>
      </c>
      <c r="W15" s="33">
        <f>SUMIFS(Totals!$W$5:$W$49,Totals!$A$5:$A$49,"Home page",Totals!$B$5:$B$49,"Paid Search",Totals!$C$5:$C$49,"Total")</f>
        <v/>
      </c>
      <c r="X15" s="67">
        <f>IF(OR(W15="",V15="",V15=0,W15=0),"",W15-V15)</f>
        <v/>
      </c>
      <c r="Y15" s="34">
        <f>IF(OR(W15="",V15="",V15=0,W15=0),"",W15/V15-1)</f>
        <v/>
      </c>
      <c r="Z15" s="35">
        <f>IF(OR(V15="",O15="",O15=0),"",V15/O15)</f>
        <v/>
      </c>
      <c r="AA15" s="35">
        <f>IF(OR(W15="",P15="",P15=0),"",W15/P15)</f>
        <v/>
      </c>
      <c r="AB15" s="36">
        <f>IF(OR(AA15="",Z15=""),"",(AA15-Z15)*100)</f>
        <v/>
      </c>
      <c r="AC15" s="33">
        <f>SUMIFS(Totals!$AC$5:$AC$49,Totals!$A$5:$A$49,"Home page",Totals!$B$5:$B$49,"Paid Search",Totals!$C$5:$C$49,"Total")</f>
        <v/>
      </c>
      <c r="AD15" s="33">
        <f>SUMIFS(Totals!$AD$5:$AD$49,Totals!$A$5:$A$49,"Home page",Totals!$B$5:$B$49,"Paid Search",Totals!$C$5:$C$49,"Total")</f>
        <v/>
      </c>
      <c r="AE15" s="67">
        <f>IF(OR(AD15="",AC15="",AC15=0,AD15=0),"",AD15-AC15)</f>
        <v/>
      </c>
      <c r="AF15" s="34">
        <f>IF(OR(AD15="",AC15="",AC15=0,AD15=0),"",AD15/AC15-1)</f>
        <v/>
      </c>
      <c r="AG15" s="35">
        <f>IF(OR(AC15="",V15="",V15=0),"",AC15/V15)</f>
        <v/>
      </c>
      <c r="AH15" s="35">
        <f>IF(OR(AD15="",W15="",W15=0),"",AD15/W15)</f>
        <v/>
      </c>
      <c r="AI15" s="36">
        <f>IF(OR(AH15="",AG15=""),"",(AH15-AG15)*100)</f>
        <v/>
      </c>
      <c r="AJ15" s="33">
        <f>SUMIFS(Totals!$AJ$5:$AJ$49,Totals!$A$5:$A$49,"Home page",Totals!$B$5:$B$49,"Paid Search",Totals!$C$5:$C$49,"Total")</f>
        <v/>
      </c>
      <c r="AK15" s="33">
        <f>SUMIFS(Totals!$AK$5:$AK$49,Totals!$A$5:$A$49,"Home page",Totals!$B$5:$B$49,"Paid Search",Totals!$C$5:$C$49,"Total")</f>
        <v/>
      </c>
      <c r="AL15" s="67">
        <f>IF(OR(AK15="",AJ15="",AJ15=0,AK15=0),"",AK15-AJ15)</f>
        <v/>
      </c>
      <c r="AM15" s="34">
        <f>IF(OR(AK15="",AJ15="",AJ15=0,AK15=0),"",AK15/AJ15-1)</f>
        <v/>
      </c>
      <c r="AN15" s="35">
        <f>IF(OR(AJ15="",AC15="",AC15=0),"",AJ15/AC15)</f>
        <v/>
      </c>
      <c r="AO15" s="35">
        <f>IF(OR(AK15="",AD15="",AD15=0),"",AK15/AD15)</f>
        <v/>
      </c>
      <c r="AP15" s="36">
        <f>IF(OR(AO15="",AN15=""),"",(AO15-AN15)*100)</f>
        <v/>
      </c>
      <c r="AQ15" s="33">
        <f>SUMIFS(Totals!$AQ$5:$AQ$49,Totals!$A$5:$A$49,"Home page",Totals!$B$5:$B$49,"Paid Search",Totals!$C$5:$C$49,"Total")</f>
        <v/>
      </c>
      <c r="AR15" s="33">
        <f>SUMIFS(Totals!$AR$5:$AR$49,Totals!$A$5:$A$49,"Home page",Totals!$B$5:$B$49,"Paid Search",Totals!$C$5:$C$49,"Total")</f>
        <v/>
      </c>
      <c r="AS15" s="67">
        <f>IF(OR(AR15="",AQ15="",AQ15=0,AR15=0),"",AR15-AQ15)</f>
        <v/>
      </c>
      <c r="AT15" s="34">
        <f>IF(OR(AR15="",AQ15="",AQ15=0,AR15=0),"",AR15/AQ15-1)</f>
        <v/>
      </c>
      <c r="AU15" s="35">
        <f>IF(OR(AQ15="",AJ15="",AJ15=0),"",AQ15/AJ15)</f>
        <v/>
      </c>
      <c r="AV15" s="35">
        <f>IF(OR(AR15="",AK15="",AK15=0),"",AR15/AK15)</f>
        <v/>
      </c>
      <c r="AW15" s="36">
        <f>IF(OR(AV15="",AU15=""),"",(AV15-AU15)*100)</f>
        <v/>
      </c>
      <c r="AX15" s="37">
        <f>IF(OR(AQ15="",O15="",O15=0),"",AQ15/O15)</f>
        <v/>
      </c>
      <c r="AY15" s="37">
        <f>IF(OR(AR15="",P15="",P15=0),"",AR15/P15)</f>
        <v/>
      </c>
      <c r="AZ15" s="36">
        <f>IF(OR(AY15="",AX15=""),"",(AY15-AX15)*100)</f>
        <v/>
      </c>
      <c r="BA15" s="37">
        <f>IF(OR(AQ15="",D15="",D15=0),"",AQ15/D15)</f>
        <v/>
      </c>
      <c r="BB15" s="37">
        <f>IF(OR(AR15="",E15="",E15=0),"",AR15/E15)</f>
        <v/>
      </c>
      <c r="BC15" s="36">
        <f>IF(OR(BB15="",BA15=""),"",(BB15-BA15)*100)</f>
        <v/>
      </c>
    </row>
    <row r="16">
      <c r="A16" s="40" t="inlineStr">
        <is>
          <t>Home page</t>
        </is>
      </c>
      <c r="B16" s="40" t="inlineStr">
        <is>
          <t>Paid Search</t>
        </is>
      </c>
      <c r="C16" s="40" t="inlineStr">
        <is>
          <t>Mobile</t>
        </is>
      </c>
      <c r="D16" s="41">
        <f>SUMIFS(Totals!$D$5:$D$49,Totals!$A$5:$A$49,"Home page",Totals!$B$5:$B$49,"Paid Search",Totals!$C$5:$C$49,"Mobile")</f>
        <v/>
      </c>
      <c r="E16" s="41">
        <f>SUMIFS(Totals!$E$5:$E$49,Totals!$A$5:$A$49,"Home page",Totals!$B$5:$B$49,"Paid Search",Totals!$C$5:$C$49,"Mobile")</f>
        <v/>
      </c>
      <c r="F16" s="69">
        <f>IF(OR(E16="",D16="",D16=0,E16=0),"",E16-D16)</f>
        <v/>
      </c>
      <c r="G16" s="42">
        <f>IF(OR(E16="",D16="",D16=0,E16=0),"",E16/D16-1)</f>
        <v/>
      </c>
      <c r="H16" s="41">
        <f>SUMIFS(Totals!$H$5:$H$49,Totals!$A$5:$A$49,"Home page",Totals!$B$5:$B$49,"Paid Search",Totals!$C$5:$C$49,"Mobile")</f>
        <v/>
      </c>
      <c r="I16" s="41">
        <f>SUMIFS(Totals!$I$5:$I$49,Totals!$A$5:$A$49,"Home page",Totals!$B$5:$B$49,"Paid Search",Totals!$C$5:$C$49,"Mobile")</f>
        <v/>
      </c>
      <c r="J16" s="69">
        <f>IF(OR(I16="",H16="",H16=0,I16=0),"",I16-H16)</f>
        <v/>
      </c>
      <c r="K16" s="42">
        <f>IF(OR(I16="",H16="",H16=0,I16=0),"",I16/H16-1)</f>
        <v/>
      </c>
      <c r="L16" s="43">
        <f>IF(OR(H16="",D16="",D16=0),"",H16/D16)</f>
        <v/>
      </c>
      <c r="M16" s="43">
        <f>IF(OR(I16="",E16="",E16=0),"",I16/E16)</f>
        <v/>
      </c>
      <c r="N16" s="44">
        <f>IF(OR(M16="",L16=""),"",(M16-L16)*100)</f>
        <v/>
      </c>
      <c r="O16" s="41">
        <f>SUMIFS(Totals!$O$5:$O$49,Totals!$A$5:$A$49,"Home page",Totals!$B$5:$B$49,"Paid Search",Totals!$C$5:$C$49,"Mobile")</f>
        <v/>
      </c>
      <c r="P16" s="41">
        <f>SUMIFS(Totals!$P$5:$P$49,Totals!$A$5:$A$49,"Home page",Totals!$B$5:$B$49,"Paid Search",Totals!$C$5:$C$49,"Mobile")</f>
        <v/>
      </c>
      <c r="Q16" s="69">
        <f>IF(OR(P16="",O16="",O16=0,P16=0),"",P16-O16)</f>
        <v/>
      </c>
      <c r="R16" s="42">
        <f>IF(OR(P16="",O16="",O16=0,P16=0),"",P16/O16-1)</f>
        <v/>
      </c>
      <c r="S16" s="43">
        <f>IF(OR(O16="",D16="",D16=0),"",O16/D16)</f>
        <v/>
      </c>
      <c r="T16" s="43">
        <f>IF(OR(P16="",E16="",E16=0),"",P16/E16)</f>
        <v/>
      </c>
      <c r="U16" s="44">
        <f>IF(OR(T16="",S16=""),"",(T16-S16)*100)</f>
        <v/>
      </c>
      <c r="V16" s="41">
        <f>SUMIFS(Totals!$V$5:$V$49,Totals!$A$5:$A$49,"Home page",Totals!$B$5:$B$49,"Paid Search",Totals!$C$5:$C$49,"Mobile")</f>
        <v/>
      </c>
      <c r="W16" s="41">
        <f>SUMIFS(Totals!$W$5:$W$49,Totals!$A$5:$A$49,"Home page",Totals!$B$5:$B$49,"Paid Search",Totals!$C$5:$C$49,"Mobile")</f>
        <v/>
      </c>
      <c r="X16" s="69">
        <f>IF(OR(W16="",V16="",V16=0,W16=0),"",W16-V16)</f>
        <v/>
      </c>
      <c r="Y16" s="42">
        <f>IF(OR(W16="",V16="",V16=0,W16=0),"",W16/V16-1)</f>
        <v/>
      </c>
      <c r="Z16" s="43">
        <f>IF(OR(V16="",O16="",O16=0),"",V16/O16)</f>
        <v/>
      </c>
      <c r="AA16" s="43">
        <f>IF(OR(W16="",P16="",P16=0),"",W16/P16)</f>
        <v/>
      </c>
      <c r="AB16" s="44">
        <f>IF(OR(AA16="",Z16=""),"",(AA16-Z16)*100)</f>
        <v/>
      </c>
      <c r="AC16" s="41">
        <f>SUMIFS(Totals!$AC$5:$AC$49,Totals!$A$5:$A$49,"Home page",Totals!$B$5:$B$49,"Paid Search",Totals!$C$5:$C$49,"Mobile")</f>
        <v/>
      </c>
      <c r="AD16" s="41">
        <f>SUMIFS(Totals!$AD$5:$AD$49,Totals!$A$5:$A$49,"Home page",Totals!$B$5:$B$49,"Paid Search",Totals!$C$5:$C$49,"Mobile")</f>
        <v/>
      </c>
      <c r="AE16" s="69">
        <f>IF(OR(AD16="",AC16="",AC16=0,AD16=0),"",AD16-AC16)</f>
        <v/>
      </c>
      <c r="AF16" s="42">
        <f>IF(OR(AD16="",AC16="",AC16=0,AD16=0),"",AD16/AC16-1)</f>
        <v/>
      </c>
      <c r="AG16" s="43">
        <f>IF(OR(AC16="",V16="",V16=0),"",AC16/V16)</f>
        <v/>
      </c>
      <c r="AH16" s="43">
        <f>IF(OR(AD16="",W16="",W16=0),"",AD16/W16)</f>
        <v/>
      </c>
      <c r="AI16" s="44">
        <f>IF(OR(AH16="",AG16=""),"",(AH16-AG16)*100)</f>
        <v/>
      </c>
      <c r="AJ16" s="41">
        <f>SUMIFS(Totals!$AJ$5:$AJ$49,Totals!$A$5:$A$49,"Home page",Totals!$B$5:$B$49,"Paid Search",Totals!$C$5:$C$49,"Mobile")</f>
        <v/>
      </c>
      <c r="AK16" s="41">
        <f>SUMIFS(Totals!$AK$5:$AK$49,Totals!$A$5:$A$49,"Home page",Totals!$B$5:$B$49,"Paid Search",Totals!$C$5:$C$49,"Mobile")</f>
        <v/>
      </c>
      <c r="AL16" s="69">
        <f>IF(OR(AK16="",AJ16="",AJ16=0,AK16=0),"",AK16-AJ16)</f>
        <v/>
      </c>
      <c r="AM16" s="42">
        <f>IF(OR(AK16="",AJ16="",AJ16=0,AK16=0),"",AK16/AJ16-1)</f>
        <v/>
      </c>
      <c r="AN16" s="43">
        <f>IF(OR(AJ16="",AC16="",AC16=0),"",AJ16/AC16)</f>
        <v/>
      </c>
      <c r="AO16" s="43">
        <f>IF(OR(AK16="",AD16="",AD16=0),"",AK16/AD16)</f>
        <v/>
      </c>
      <c r="AP16" s="44">
        <f>IF(OR(AO16="",AN16=""),"",(AO16-AN16)*100)</f>
        <v/>
      </c>
      <c r="AQ16" s="41">
        <f>SUMIFS(Totals!$AQ$5:$AQ$49,Totals!$A$5:$A$49,"Home page",Totals!$B$5:$B$49,"Paid Search",Totals!$C$5:$C$49,"Mobile")</f>
        <v/>
      </c>
      <c r="AR16" s="41">
        <f>SUMIFS(Totals!$AR$5:$AR$49,Totals!$A$5:$A$49,"Home page",Totals!$B$5:$B$49,"Paid Search",Totals!$C$5:$C$49,"Mobile")</f>
        <v/>
      </c>
      <c r="AS16" s="69">
        <f>IF(OR(AR16="",AQ16="",AQ16=0,AR16=0),"",AR16-AQ16)</f>
        <v/>
      </c>
      <c r="AT16" s="42">
        <f>IF(OR(AR16="",AQ16="",AQ16=0,AR16=0),"",AR16/AQ16-1)</f>
        <v/>
      </c>
      <c r="AU16" s="43">
        <f>IF(OR(AQ16="",AJ16="",AJ16=0),"",AQ16/AJ16)</f>
        <v/>
      </c>
      <c r="AV16" s="43">
        <f>IF(OR(AR16="",AK16="",AK16=0),"",AR16/AK16)</f>
        <v/>
      </c>
      <c r="AW16" s="44">
        <f>IF(OR(AV16="",AU16=""),"",(AV16-AU16)*100)</f>
        <v/>
      </c>
      <c r="AX16" s="45">
        <f>IF(OR(AQ16="",O16="",O16=0),"",AQ16/O16)</f>
        <v/>
      </c>
      <c r="AY16" s="45">
        <f>IF(OR(AR16="",P16="",P16=0),"",AR16/P16)</f>
        <v/>
      </c>
      <c r="AZ16" s="44">
        <f>IF(OR(AY16="",AX16=""),"",(AY16-AX16)*100)</f>
        <v/>
      </c>
      <c r="BA16" s="45">
        <f>IF(OR(AQ16="",D16="",D16=0),"",AQ16/D16)</f>
        <v/>
      </c>
      <c r="BB16" s="45">
        <f>IF(OR(AR16="",E16="",E16=0),"",AR16/E16)</f>
        <v/>
      </c>
      <c r="BC16" s="44">
        <f>IF(OR(BB16="",BA16=""),"",(BB16-BA16)*100)</f>
        <v/>
      </c>
    </row>
    <row r="17">
      <c r="A17" s="40" t="inlineStr">
        <is>
          <t>Home page</t>
        </is>
      </c>
      <c r="B17" s="40" t="inlineStr">
        <is>
          <t>Paid Search</t>
        </is>
      </c>
      <c r="C17" s="40" t="inlineStr">
        <is>
          <t>Desktop</t>
        </is>
      </c>
      <c r="D17" s="41">
        <f>SUMIFS(Totals!$D$5:$D$49,Totals!$A$5:$A$49,"Home page",Totals!$B$5:$B$49,"Paid Search",Totals!$C$5:$C$49,"Desktop")</f>
        <v/>
      </c>
      <c r="E17" s="41">
        <f>SUMIFS(Totals!$E$5:$E$49,Totals!$A$5:$A$49,"Home page",Totals!$B$5:$B$49,"Paid Search",Totals!$C$5:$C$49,"Desktop")</f>
        <v/>
      </c>
      <c r="F17" s="69">
        <f>IF(OR(E17="",D17="",D17=0,E17=0),"",E17-D17)</f>
        <v/>
      </c>
      <c r="G17" s="42">
        <f>IF(OR(E17="",D17="",D17=0,E17=0),"",E17/D17-1)</f>
        <v/>
      </c>
      <c r="H17" s="41">
        <f>SUMIFS(Totals!$H$5:$H$49,Totals!$A$5:$A$49,"Home page",Totals!$B$5:$B$49,"Paid Search",Totals!$C$5:$C$49,"Desktop")</f>
        <v/>
      </c>
      <c r="I17" s="41">
        <f>SUMIFS(Totals!$I$5:$I$49,Totals!$A$5:$A$49,"Home page",Totals!$B$5:$B$49,"Paid Search",Totals!$C$5:$C$49,"Desktop")</f>
        <v/>
      </c>
      <c r="J17" s="69">
        <f>IF(OR(I17="",H17="",H17=0,I17=0),"",I17-H17)</f>
        <v/>
      </c>
      <c r="K17" s="42">
        <f>IF(OR(I17="",H17="",H17=0,I17=0),"",I17/H17-1)</f>
        <v/>
      </c>
      <c r="L17" s="43">
        <f>IF(OR(H17="",D17="",D17=0),"",H17/D17)</f>
        <v/>
      </c>
      <c r="M17" s="43">
        <f>IF(OR(I17="",E17="",E17=0),"",I17/E17)</f>
        <v/>
      </c>
      <c r="N17" s="44">
        <f>IF(OR(M17="",L17=""),"",(M17-L17)*100)</f>
        <v/>
      </c>
      <c r="O17" s="41">
        <f>SUMIFS(Totals!$O$5:$O$49,Totals!$A$5:$A$49,"Home page",Totals!$B$5:$B$49,"Paid Search",Totals!$C$5:$C$49,"Desktop")</f>
        <v/>
      </c>
      <c r="P17" s="41">
        <f>SUMIFS(Totals!$P$5:$P$49,Totals!$A$5:$A$49,"Home page",Totals!$B$5:$B$49,"Paid Search",Totals!$C$5:$C$49,"Desktop")</f>
        <v/>
      </c>
      <c r="Q17" s="69">
        <f>IF(OR(P17="",O17="",O17=0,P17=0),"",P17-O17)</f>
        <v/>
      </c>
      <c r="R17" s="42">
        <f>IF(OR(P17="",O17="",O17=0,P17=0),"",P17/O17-1)</f>
        <v/>
      </c>
      <c r="S17" s="43">
        <f>IF(OR(O17="",D17="",D17=0),"",O17/D17)</f>
        <v/>
      </c>
      <c r="T17" s="43">
        <f>IF(OR(P17="",E17="",E17=0),"",P17/E17)</f>
        <v/>
      </c>
      <c r="U17" s="44">
        <f>IF(OR(T17="",S17=""),"",(T17-S17)*100)</f>
        <v/>
      </c>
      <c r="V17" s="41">
        <f>SUMIFS(Totals!$V$5:$V$49,Totals!$A$5:$A$49,"Home page",Totals!$B$5:$B$49,"Paid Search",Totals!$C$5:$C$49,"Desktop")</f>
        <v/>
      </c>
      <c r="W17" s="41">
        <f>SUMIFS(Totals!$W$5:$W$49,Totals!$A$5:$A$49,"Home page",Totals!$B$5:$B$49,"Paid Search",Totals!$C$5:$C$49,"Desktop")</f>
        <v/>
      </c>
      <c r="X17" s="69">
        <f>IF(OR(W17="",V17="",V17=0,W17=0),"",W17-V17)</f>
        <v/>
      </c>
      <c r="Y17" s="42">
        <f>IF(OR(W17="",V17="",V17=0,W17=0),"",W17/V17-1)</f>
        <v/>
      </c>
      <c r="Z17" s="43">
        <f>IF(OR(V17="",O17="",O17=0),"",V17/O17)</f>
        <v/>
      </c>
      <c r="AA17" s="43">
        <f>IF(OR(W17="",P17="",P17=0),"",W17/P17)</f>
        <v/>
      </c>
      <c r="AB17" s="44">
        <f>IF(OR(AA17="",Z17=""),"",(AA17-Z17)*100)</f>
        <v/>
      </c>
      <c r="AC17" s="41">
        <f>SUMIFS(Totals!$AC$5:$AC$49,Totals!$A$5:$A$49,"Home page",Totals!$B$5:$B$49,"Paid Search",Totals!$C$5:$C$49,"Desktop")</f>
        <v/>
      </c>
      <c r="AD17" s="41">
        <f>SUMIFS(Totals!$AD$5:$AD$49,Totals!$A$5:$A$49,"Home page",Totals!$B$5:$B$49,"Paid Search",Totals!$C$5:$C$49,"Desktop")</f>
        <v/>
      </c>
      <c r="AE17" s="69">
        <f>IF(OR(AD17="",AC17="",AC17=0,AD17=0),"",AD17-AC17)</f>
        <v/>
      </c>
      <c r="AF17" s="42">
        <f>IF(OR(AD17="",AC17="",AC17=0,AD17=0),"",AD17/AC17-1)</f>
        <v/>
      </c>
      <c r="AG17" s="43">
        <f>IF(OR(AC17="",V17="",V17=0),"",AC17/V17)</f>
        <v/>
      </c>
      <c r="AH17" s="43">
        <f>IF(OR(AD17="",W17="",W17=0),"",AD17/W17)</f>
        <v/>
      </c>
      <c r="AI17" s="44">
        <f>IF(OR(AH17="",AG17=""),"",(AH17-AG17)*100)</f>
        <v/>
      </c>
      <c r="AJ17" s="41">
        <f>SUMIFS(Totals!$AJ$5:$AJ$49,Totals!$A$5:$A$49,"Home page",Totals!$B$5:$B$49,"Paid Search",Totals!$C$5:$C$49,"Desktop")</f>
        <v/>
      </c>
      <c r="AK17" s="41">
        <f>SUMIFS(Totals!$AK$5:$AK$49,Totals!$A$5:$A$49,"Home page",Totals!$B$5:$B$49,"Paid Search",Totals!$C$5:$C$49,"Desktop")</f>
        <v/>
      </c>
      <c r="AL17" s="69">
        <f>IF(OR(AK17="",AJ17="",AJ17=0,AK17=0),"",AK17-AJ17)</f>
        <v/>
      </c>
      <c r="AM17" s="42">
        <f>IF(OR(AK17="",AJ17="",AJ17=0,AK17=0),"",AK17/AJ17-1)</f>
        <v/>
      </c>
      <c r="AN17" s="43">
        <f>IF(OR(AJ17="",AC17="",AC17=0),"",AJ17/AC17)</f>
        <v/>
      </c>
      <c r="AO17" s="43">
        <f>IF(OR(AK17="",AD17="",AD17=0),"",AK17/AD17)</f>
        <v/>
      </c>
      <c r="AP17" s="44">
        <f>IF(OR(AO17="",AN17=""),"",(AO17-AN17)*100)</f>
        <v/>
      </c>
      <c r="AQ17" s="41">
        <f>SUMIFS(Totals!$AQ$5:$AQ$49,Totals!$A$5:$A$49,"Home page",Totals!$B$5:$B$49,"Paid Search",Totals!$C$5:$C$49,"Desktop")</f>
        <v/>
      </c>
      <c r="AR17" s="41">
        <f>SUMIFS(Totals!$AR$5:$AR$49,Totals!$A$5:$A$49,"Home page",Totals!$B$5:$B$49,"Paid Search",Totals!$C$5:$C$49,"Desktop")</f>
        <v/>
      </c>
      <c r="AS17" s="69">
        <f>IF(OR(AR17="",AQ17="",AQ17=0,AR17=0),"",AR17-AQ17)</f>
        <v/>
      </c>
      <c r="AT17" s="42">
        <f>IF(OR(AR17="",AQ17="",AQ17=0,AR17=0),"",AR17/AQ17-1)</f>
        <v/>
      </c>
      <c r="AU17" s="43">
        <f>IF(OR(AQ17="",AJ17="",AJ17=0),"",AQ17/AJ17)</f>
        <v/>
      </c>
      <c r="AV17" s="43">
        <f>IF(OR(AR17="",AK17="",AK17=0),"",AR17/AK17)</f>
        <v/>
      </c>
      <c r="AW17" s="44">
        <f>IF(OR(AV17="",AU17=""),"",(AV17-AU17)*100)</f>
        <v/>
      </c>
      <c r="AX17" s="45">
        <f>IF(OR(AQ17="",O17="",O17=0),"",AQ17/O17)</f>
        <v/>
      </c>
      <c r="AY17" s="45">
        <f>IF(OR(AR17="",P17="",P17=0),"",AR17/P17)</f>
        <v/>
      </c>
      <c r="AZ17" s="44">
        <f>IF(OR(AY17="",AX17=""),"",(AY17-AX17)*100)</f>
        <v/>
      </c>
      <c r="BA17" s="45">
        <f>IF(OR(AQ17="",D17="",D17=0),"",AQ17/D17)</f>
        <v/>
      </c>
      <c r="BB17" s="45">
        <f>IF(OR(AR17="",E17="",E17=0),"",AR17/E17)</f>
        <v/>
      </c>
      <c r="BC17" s="44">
        <f>IF(OR(BB17="",BA17=""),"",(BB17-BA17)*100)</f>
        <v/>
      </c>
    </row>
    <row r="18">
      <c r="A18" s="32" t="inlineStr">
        <is>
          <t>Home page</t>
        </is>
      </c>
      <c r="B18" s="32" t="inlineStr">
        <is>
          <t>Organic</t>
        </is>
      </c>
      <c r="C18" s="32" t="inlineStr">
        <is>
          <t>Total</t>
        </is>
      </c>
      <c r="D18" s="33">
        <f>SUMIFS(Totals!$D$5:$D$49,Totals!$A$5:$A$49,"Home page",Totals!$B$5:$B$49,"Organic",Totals!$C$5:$C$49,"Total")</f>
        <v/>
      </c>
      <c r="E18" s="33">
        <f>SUMIFS(Totals!$E$5:$E$49,Totals!$A$5:$A$49,"Home page",Totals!$B$5:$B$49,"Organic",Totals!$C$5:$C$49,"Total")</f>
        <v/>
      </c>
      <c r="F18" s="67">
        <f>IF(OR(E18="",D18="",D18=0,E18=0),"",E18-D18)</f>
        <v/>
      </c>
      <c r="G18" s="34">
        <f>IF(OR(E18="",D18="",D18=0,E18=0),"",E18/D18-1)</f>
        <v/>
      </c>
      <c r="H18" s="33">
        <f>SUMIFS(Totals!$H$5:$H$49,Totals!$A$5:$A$49,"Home page",Totals!$B$5:$B$49,"Organic",Totals!$C$5:$C$49,"Total")</f>
        <v/>
      </c>
      <c r="I18" s="33">
        <f>SUMIFS(Totals!$I$5:$I$49,Totals!$A$5:$A$49,"Home page",Totals!$B$5:$B$49,"Organic",Totals!$C$5:$C$49,"Total")</f>
        <v/>
      </c>
      <c r="J18" s="67">
        <f>IF(OR(I18="",H18="",H18=0,I18=0),"",I18-H18)</f>
        <v/>
      </c>
      <c r="K18" s="34">
        <f>IF(OR(I18="",H18="",H18=0,I18=0),"",I18/H18-1)</f>
        <v/>
      </c>
      <c r="L18" s="35">
        <f>IF(OR(H18="",D18="",D18=0),"",H18/D18)</f>
        <v/>
      </c>
      <c r="M18" s="35">
        <f>IF(OR(I18="",E18="",E18=0),"",I18/E18)</f>
        <v/>
      </c>
      <c r="N18" s="36">
        <f>IF(OR(M18="",L18=""),"",(M18-L18)*100)</f>
        <v/>
      </c>
      <c r="O18" s="33">
        <f>SUMIFS(Totals!$O$5:$O$49,Totals!$A$5:$A$49,"Home page",Totals!$B$5:$B$49,"Organic",Totals!$C$5:$C$49,"Total")</f>
        <v/>
      </c>
      <c r="P18" s="33">
        <f>SUMIFS(Totals!$P$5:$P$49,Totals!$A$5:$A$49,"Home page",Totals!$B$5:$B$49,"Organic",Totals!$C$5:$C$49,"Total")</f>
        <v/>
      </c>
      <c r="Q18" s="67">
        <f>IF(OR(P18="",O18="",O18=0,P18=0),"",P18-O18)</f>
        <v/>
      </c>
      <c r="R18" s="34">
        <f>IF(OR(P18="",O18="",O18=0,P18=0),"",P18/O18-1)</f>
        <v/>
      </c>
      <c r="S18" s="35">
        <f>IF(OR(O18="",D18="",D18=0),"",O18/D18)</f>
        <v/>
      </c>
      <c r="T18" s="35">
        <f>IF(OR(P18="",E18="",E18=0),"",P18/E18)</f>
        <v/>
      </c>
      <c r="U18" s="36">
        <f>IF(OR(T18="",S18=""),"",(T18-S18)*100)</f>
        <v/>
      </c>
      <c r="V18" s="33">
        <f>SUMIFS(Totals!$V$5:$V$49,Totals!$A$5:$A$49,"Home page",Totals!$B$5:$B$49,"Organic",Totals!$C$5:$C$49,"Total")</f>
        <v/>
      </c>
      <c r="W18" s="33">
        <f>SUMIFS(Totals!$W$5:$W$49,Totals!$A$5:$A$49,"Home page",Totals!$B$5:$B$49,"Organic",Totals!$C$5:$C$49,"Total")</f>
        <v/>
      </c>
      <c r="X18" s="67">
        <f>IF(OR(W18="",V18="",V18=0,W18=0),"",W18-V18)</f>
        <v/>
      </c>
      <c r="Y18" s="34">
        <f>IF(OR(W18="",V18="",V18=0,W18=0),"",W18/V18-1)</f>
        <v/>
      </c>
      <c r="Z18" s="35">
        <f>IF(OR(V18="",O18="",O18=0),"",V18/O18)</f>
        <v/>
      </c>
      <c r="AA18" s="35">
        <f>IF(OR(W18="",P18="",P18=0),"",W18/P18)</f>
        <v/>
      </c>
      <c r="AB18" s="36">
        <f>IF(OR(AA18="",Z18=""),"",(AA18-Z18)*100)</f>
        <v/>
      </c>
      <c r="AC18" s="33">
        <f>SUMIFS(Totals!$AC$5:$AC$49,Totals!$A$5:$A$49,"Home page",Totals!$B$5:$B$49,"Organic",Totals!$C$5:$C$49,"Total")</f>
        <v/>
      </c>
      <c r="AD18" s="33">
        <f>SUMIFS(Totals!$AD$5:$AD$49,Totals!$A$5:$A$49,"Home page",Totals!$B$5:$B$49,"Organic",Totals!$C$5:$C$49,"Total")</f>
        <v/>
      </c>
      <c r="AE18" s="67">
        <f>IF(OR(AD18="",AC18="",AC18=0,AD18=0),"",AD18-AC18)</f>
        <v/>
      </c>
      <c r="AF18" s="34">
        <f>IF(OR(AD18="",AC18="",AC18=0,AD18=0),"",AD18/AC18-1)</f>
        <v/>
      </c>
      <c r="AG18" s="35">
        <f>IF(OR(AC18="",V18="",V18=0),"",AC18/V18)</f>
        <v/>
      </c>
      <c r="AH18" s="35">
        <f>IF(OR(AD18="",W18="",W18=0),"",AD18/W18)</f>
        <v/>
      </c>
      <c r="AI18" s="36">
        <f>IF(OR(AH18="",AG18=""),"",(AH18-AG18)*100)</f>
        <v/>
      </c>
      <c r="AJ18" s="33">
        <f>SUMIFS(Totals!$AJ$5:$AJ$49,Totals!$A$5:$A$49,"Home page",Totals!$B$5:$B$49,"Organic",Totals!$C$5:$C$49,"Total")</f>
        <v/>
      </c>
      <c r="AK18" s="33">
        <f>SUMIFS(Totals!$AK$5:$AK$49,Totals!$A$5:$A$49,"Home page",Totals!$B$5:$B$49,"Organic",Totals!$C$5:$C$49,"Total")</f>
        <v/>
      </c>
      <c r="AL18" s="67">
        <f>IF(OR(AK18="",AJ18="",AJ18=0,AK18=0),"",AK18-AJ18)</f>
        <v/>
      </c>
      <c r="AM18" s="34">
        <f>IF(OR(AK18="",AJ18="",AJ18=0,AK18=0),"",AK18/AJ18-1)</f>
        <v/>
      </c>
      <c r="AN18" s="35">
        <f>IF(OR(AJ18="",AC18="",AC18=0),"",AJ18/AC18)</f>
        <v/>
      </c>
      <c r="AO18" s="35">
        <f>IF(OR(AK18="",AD18="",AD18=0),"",AK18/AD18)</f>
        <v/>
      </c>
      <c r="AP18" s="36">
        <f>IF(OR(AO18="",AN18=""),"",(AO18-AN18)*100)</f>
        <v/>
      </c>
      <c r="AQ18" s="33">
        <f>SUMIFS(Totals!$AQ$5:$AQ$49,Totals!$A$5:$A$49,"Home page",Totals!$B$5:$B$49,"Organic",Totals!$C$5:$C$49,"Total")</f>
        <v/>
      </c>
      <c r="AR18" s="33">
        <f>SUMIFS(Totals!$AR$5:$AR$49,Totals!$A$5:$A$49,"Home page",Totals!$B$5:$B$49,"Organic",Totals!$C$5:$C$49,"Total")</f>
        <v/>
      </c>
      <c r="AS18" s="67">
        <f>IF(OR(AR18="",AQ18="",AQ18=0,AR18=0),"",AR18-AQ18)</f>
        <v/>
      </c>
      <c r="AT18" s="34">
        <f>IF(OR(AR18="",AQ18="",AQ18=0,AR18=0),"",AR18/AQ18-1)</f>
        <v/>
      </c>
      <c r="AU18" s="35">
        <f>IF(OR(AQ18="",AJ18="",AJ18=0),"",AQ18/AJ18)</f>
        <v/>
      </c>
      <c r="AV18" s="35">
        <f>IF(OR(AR18="",AK18="",AK18=0),"",AR18/AK18)</f>
        <v/>
      </c>
      <c r="AW18" s="36">
        <f>IF(OR(AV18="",AU18=""),"",(AV18-AU18)*100)</f>
        <v/>
      </c>
      <c r="AX18" s="37">
        <f>IF(OR(AQ18="",O18="",O18=0),"",AQ18/O18)</f>
        <v/>
      </c>
      <c r="AY18" s="37">
        <f>IF(OR(AR18="",P18="",P18=0),"",AR18/P18)</f>
        <v/>
      </c>
      <c r="AZ18" s="36">
        <f>IF(OR(AY18="",AX18=""),"",(AY18-AX18)*100)</f>
        <v/>
      </c>
      <c r="BA18" s="37">
        <f>IF(OR(AQ18="",D18="",D18=0),"",AQ18/D18)</f>
        <v/>
      </c>
      <c r="BB18" s="37">
        <f>IF(OR(AR18="",E18="",E18=0),"",AR18/E18)</f>
        <v/>
      </c>
      <c r="BC18" s="36">
        <f>IF(OR(BB18="",BA18=""),"",(BB18-BA18)*100)</f>
        <v/>
      </c>
    </row>
    <row r="19">
      <c r="A19" s="40" t="inlineStr">
        <is>
          <t>Home page</t>
        </is>
      </c>
      <c r="B19" s="40" t="inlineStr">
        <is>
          <t>Organic</t>
        </is>
      </c>
      <c r="C19" s="40" t="inlineStr">
        <is>
          <t>Mobile</t>
        </is>
      </c>
      <c r="D19" s="41">
        <f>SUMIFS(Totals!$D$5:$D$49,Totals!$A$5:$A$49,"Home page",Totals!$B$5:$B$49,"Organic",Totals!$C$5:$C$49,"Mobile")</f>
        <v/>
      </c>
      <c r="E19" s="41">
        <f>SUMIFS(Totals!$E$5:$E$49,Totals!$A$5:$A$49,"Home page",Totals!$B$5:$B$49,"Organic",Totals!$C$5:$C$49,"Mobile")</f>
        <v/>
      </c>
      <c r="F19" s="69">
        <f>IF(OR(E19="",D19="",D19=0,E19=0),"",E19-D19)</f>
        <v/>
      </c>
      <c r="G19" s="42">
        <f>IF(OR(E19="",D19="",D19=0,E19=0),"",E19/D19-1)</f>
        <v/>
      </c>
      <c r="H19" s="41">
        <f>SUMIFS(Totals!$H$5:$H$49,Totals!$A$5:$A$49,"Home page",Totals!$B$5:$B$49,"Organic",Totals!$C$5:$C$49,"Mobile")</f>
        <v/>
      </c>
      <c r="I19" s="41">
        <f>SUMIFS(Totals!$I$5:$I$49,Totals!$A$5:$A$49,"Home page",Totals!$B$5:$B$49,"Organic",Totals!$C$5:$C$49,"Mobile")</f>
        <v/>
      </c>
      <c r="J19" s="69">
        <f>IF(OR(I19="",H19="",H19=0,I19=0),"",I19-H19)</f>
        <v/>
      </c>
      <c r="K19" s="42">
        <f>IF(OR(I19="",H19="",H19=0,I19=0),"",I19/H19-1)</f>
        <v/>
      </c>
      <c r="L19" s="43">
        <f>IF(OR(H19="",D19="",D19=0),"",H19/D19)</f>
        <v/>
      </c>
      <c r="M19" s="43">
        <f>IF(OR(I19="",E19="",E19=0),"",I19/E19)</f>
        <v/>
      </c>
      <c r="N19" s="44">
        <f>IF(OR(M19="",L19=""),"",(M19-L19)*100)</f>
        <v/>
      </c>
      <c r="O19" s="41">
        <f>SUMIFS(Totals!$O$5:$O$49,Totals!$A$5:$A$49,"Home page",Totals!$B$5:$B$49,"Organic",Totals!$C$5:$C$49,"Mobile")</f>
        <v/>
      </c>
      <c r="P19" s="41">
        <f>SUMIFS(Totals!$P$5:$P$49,Totals!$A$5:$A$49,"Home page",Totals!$B$5:$B$49,"Organic",Totals!$C$5:$C$49,"Mobile")</f>
        <v/>
      </c>
      <c r="Q19" s="69">
        <f>IF(OR(P19="",O19="",O19=0,P19=0),"",P19-O19)</f>
        <v/>
      </c>
      <c r="R19" s="42">
        <f>IF(OR(P19="",O19="",O19=0,P19=0),"",P19/O19-1)</f>
        <v/>
      </c>
      <c r="S19" s="43">
        <f>IF(OR(O19="",D19="",D19=0),"",O19/D19)</f>
        <v/>
      </c>
      <c r="T19" s="43">
        <f>IF(OR(P19="",E19="",E19=0),"",P19/E19)</f>
        <v/>
      </c>
      <c r="U19" s="44">
        <f>IF(OR(T19="",S19=""),"",(T19-S19)*100)</f>
        <v/>
      </c>
      <c r="V19" s="41">
        <f>SUMIFS(Totals!$V$5:$V$49,Totals!$A$5:$A$49,"Home page",Totals!$B$5:$B$49,"Organic",Totals!$C$5:$C$49,"Mobile")</f>
        <v/>
      </c>
      <c r="W19" s="41">
        <f>SUMIFS(Totals!$W$5:$W$49,Totals!$A$5:$A$49,"Home page",Totals!$B$5:$B$49,"Organic",Totals!$C$5:$C$49,"Mobile")</f>
        <v/>
      </c>
      <c r="X19" s="69">
        <f>IF(OR(W19="",V19="",V19=0,W19=0),"",W19-V19)</f>
        <v/>
      </c>
      <c r="Y19" s="42">
        <f>IF(OR(W19="",V19="",V19=0,W19=0),"",W19/V19-1)</f>
        <v/>
      </c>
      <c r="Z19" s="43">
        <f>IF(OR(V19="",O19="",O19=0),"",V19/O19)</f>
        <v/>
      </c>
      <c r="AA19" s="43">
        <f>IF(OR(W19="",P19="",P19=0),"",W19/P19)</f>
        <v/>
      </c>
      <c r="AB19" s="44">
        <f>IF(OR(AA19="",Z19=""),"",(AA19-Z19)*100)</f>
        <v/>
      </c>
      <c r="AC19" s="41">
        <f>SUMIFS(Totals!$AC$5:$AC$49,Totals!$A$5:$A$49,"Home page",Totals!$B$5:$B$49,"Organic",Totals!$C$5:$C$49,"Mobile")</f>
        <v/>
      </c>
      <c r="AD19" s="41">
        <f>SUMIFS(Totals!$AD$5:$AD$49,Totals!$A$5:$A$49,"Home page",Totals!$B$5:$B$49,"Organic",Totals!$C$5:$C$49,"Mobile")</f>
        <v/>
      </c>
      <c r="AE19" s="69">
        <f>IF(OR(AD19="",AC19="",AC19=0,AD19=0),"",AD19-AC19)</f>
        <v/>
      </c>
      <c r="AF19" s="42">
        <f>IF(OR(AD19="",AC19="",AC19=0,AD19=0),"",AD19/AC19-1)</f>
        <v/>
      </c>
      <c r="AG19" s="43">
        <f>IF(OR(AC19="",V19="",V19=0),"",AC19/V19)</f>
        <v/>
      </c>
      <c r="AH19" s="43">
        <f>IF(OR(AD19="",W19="",W19=0),"",AD19/W19)</f>
        <v/>
      </c>
      <c r="AI19" s="44">
        <f>IF(OR(AH19="",AG19=""),"",(AH19-AG19)*100)</f>
        <v/>
      </c>
      <c r="AJ19" s="41">
        <f>SUMIFS(Totals!$AJ$5:$AJ$49,Totals!$A$5:$A$49,"Home page",Totals!$B$5:$B$49,"Organic",Totals!$C$5:$C$49,"Mobile")</f>
        <v/>
      </c>
      <c r="AK19" s="41">
        <f>SUMIFS(Totals!$AK$5:$AK$49,Totals!$A$5:$A$49,"Home page",Totals!$B$5:$B$49,"Organic",Totals!$C$5:$C$49,"Mobile")</f>
        <v/>
      </c>
      <c r="AL19" s="69">
        <f>IF(OR(AK19="",AJ19="",AJ19=0,AK19=0),"",AK19-AJ19)</f>
        <v/>
      </c>
      <c r="AM19" s="42">
        <f>IF(OR(AK19="",AJ19="",AJ19=0,AK19=0),"",AK19/AJ19-1)</f>
        <v/>
      </c>
      <c r="AN19" s="43">
        <f>IF(OR(AJ19="",AC19="",AC19=0),"",AJ19/AC19)</f>
        <v/>
      </c>
      <c r="AO19" s="43">
        <f>IF(OR(AK19="",AD19="",AD19=0),"",AK19/AD19)</f>
        <v/>
      </c>
      <c r="AP19" s="44">
        <f>IF(OR(AO19="",AN19=""),"",(AO19-AN19)*100)</f>
        <v/>
      </c>
      <c r="AQ19" s="41">
        <f>SUMIFS(Totals!$AQ$5:$AQ$49,Totals!$A$5:$A$49,"Home page",Totals!$B$5:$B$49,"Organic",Totals!$C$5:$C$49,"Mobile")</f>
        <v/>
      </c>
      <c r="AR19" s="41">
        <f>SUMIFS(Totals!$AR$5:$AR$49,Totals!$A$5:$A$49,"Home page",Totals!$B$5:$B$49,"Organic",Totals!$C$5:$C$49,"Mobile")</f>
        <v/>
      </c>
      <c r="AS19" s="69">
        <f>IF(OR(AR19="",AQ19="",AQ19=0,AR19=0),"",AR19-AQ19)</f>
        <v/>
      </c>
      <c r="AT19" s="42">
        <f>IF(OR(AR19="",AQ19="",AQ19=0,AR19=0),"",AR19/AQ19-1)</f>
        <v/>
      </c>
      <c r="AU19" s="43">
        <f>IF(OR(AQ19="",AJ19="",AJ19=0),"",AQ19/AJ19)</f>
        <v/>
      </c>
      <c r="AV19" s="43">
        <f>IF(OR(AR19="",AK19="",AK19=0),"",AR19/AK19)</f>
        <v/>
      </c>
      <c r="AW19" s="44">
        <f>IF(OR(AV19="",AU19=""),"",(AV19-AU19)*100)</f>
        <v/>
      </c>
      <c r="AX19" s="45">
        <f>IF(OR(AQ19="",O19="",O19=0),"",AQ19/O19)</f>
        <v/>
      </c>
      <c r="AY19" s="45">
        <f>IF(OR(AR19="",P19="",P19=0),"",AR19/P19)</f>
        <v/>
      </c>
      <c r="AZ19" s="44">
        <f>IF(OR(AY19="",AX19=""),"",(AY19-AX19)*100)</f>
        <v/>
      </c>
      <c r="BA19" s="45">
        <f>IF(OR(AQ19="",D19="",D19=0),"",AQ19/D19)</f>
        <v/>
      </c>
      <c r="BB19" s="45">
        <f>IF(OR(AR19="",E19="",E19=0),"",AR19/E19)</f>
        <v/>
      </c>
      <c r="BC19" s="44">
        <f>IF(OR(BB19="",BA19=""),"",(BB19-BA19)*100)</f>
        <v/>
      </c>
    </row>
    <row r="20">
      <c r="A20" s="40" t="inlineStr">
        <is>
          <t>Home page</t>
        </is>
      </c>
      <c r="B20" s="40" t="inlineStr">
        <is>
          <t>Organic</t>
        </is>
      </c>
      <c r="C20" s="40" t="inlineStr">
        <is>
          <t>Desktop</t>
        </is>
      </c>
      <c r="D20" s="41">
        <f>SUMIFS(Totals!$D$5:$D$49,Totals!$A$5:$A$49,"Home page",Totals!$B$5:$B$49,"Organic",Totals!$C$5:$C$49,"Desktop")</f>
        <v/>
      </c>
      <c r="E20" s="41">
        <f>SUMIFS(Totals!$E$5:$E$49,Totals!$A$5:$A$49,"Home page",Totals!$B$5:$B$49,"Organic",Totals!$C$5:$C$49,"Desktop")</f>
        <v/>
      </c>
      <c r="F20" s="69">
        <f>IF(OR(E20="",D20="",D20=0,E20=0),"",E20-D20)</f>
        <v/>
      </c>
      <c r="G20" s="42">
        <f>IF(OR(E20="",D20="",D20=0,E20=0),"",E20/D20-1)</f>
        <v/>
      </c>
      <c r="H20" s="41">
        <f>SUMIFS(Totals!$H$5:$H$49,Totals!$A$5:$A$49,"Home page",Totals!$B$5:$B$49,"Organic",Totals!$C$5:$C$49,"Desktop")</f>
        <v/>
      </c>
      <c r="I20" s="41">
        <f>SUMIFS(Totals!$I$5:$I$49,Totals!$A$5:$A$49,"Home page",Totals!$B$5:$B$49,"Organic",Totals!$C$5:$C$49,"Desktop")</f>
        <v/>
      </c>
      <c r="J20" s="69">
        <f>IF(OR(I20="",H20="",H20=0,I20=0),"",I20-H20)</f>
        <v/>
      </c>
      <c r="K20" s="42">
        <f>IF(OR(I20="",H20="",H20=0,I20=0),"",I20/H20-1)</f>
        <v/>
      </c>
      <c r="L20" s="43">
        <f>IF(OR(H20="",D20="",D20=0),"",H20/D20)</f>
        <v/>
      </c>
      <c r="M20" s="43">
        <f>IF(OR(I20="",E20="",E20=0),"",I20/E20)</f>
        <v/>
      </c>
      <c r="N20" s="44">
        <f>IF(OR(M20="",L20=""),"",(M20-L20)*100)</f>
        <v/>
      </c>
      <c r="O20" s="41">
        <f>SUMIFS(Totals!$O$5:$O$49,Totals!$A$5:$A$49,"Home page",Totals!$B$5:$B$49,"Organic",Totals!$C$5:$C$49,"Desktop")</f>
        <v/>
      </c>
      <c r="P20" s="41">
        <f>SUMIFS(Totals!$P$5:$P$49,Totals!$A$5:$A$49,"Home page",Totals!$B$5:$B$49,"Organic",Totals!$C$5:$C$49,"Desktop")</f>
        <v/>
      </c>
      <c r="Q20" s="69">
        <f>IF(OR(P20="",O20="",O20=0,P20=0),"",P20-O20)</f>
        <v/>
      </c>
      <c r="R20" s="42">
        <f>IF(OR(P20="",O20="",O20=0,P20=0),"",P20/O20-1)</f>
        <v/>
      </c>
      <c r="S20" s="43">
        <f>IF(OR(O20="",D20="",D20=0),"",O20/D20)</f>
        <v/>
      </c>
      <c r="T20" s="43">
        <f>IF(OR(P20="",E20="",E20=0),"",P20/E20)</f>
        <v/>
      </c>
      <c r="U20" s="44">
        <f>IF(OR(T20="",S20=""),"",(T20-S20)*100)</f>
        <v/>
      </c>
      <c r="V20" s="41">
        <f>SUMIFS(Totals!$V$5:$V$49,Totals!$A$5:$A$49,"Home page",Totals!$B$5:$B$49,"Organic",Totals!$C$5:$C$49,"Desktop")</f>
        <v/>
      </c>
      <c r="W20" s="41">
        <f>SUMIFS(Totals!$W$5:$W$49,Totals!$A$5:$A$49,"Home page",Totals!$B$5:$B$49,"Organic",Totals!$C$5:$C$49,"Desktop")</f>
        <v/>
      </c>
      <c r="X20" s="69">
        <f>IF(OR(W20="",V20="",V20=0,W20=0),"",W20-V20)</f>
        <v/>
      </c>
      <c r="Y20" s="42">
        <f>IF(OR(W20="",V20="",V20=0,W20=0),"",W20/V20-1)</f>
        <v/>
      </c>
      <c r="Z20" s="43">
        <f>IF(OR(V20="",O20="",O20=0),"",V20/O20)</f>
        <v/>
      </c>
      <c r="AA20" s="43">
        <f>IF(OR(W20="",P20="",P20=0),"",W20/P20)</f>
        <v/>
      </c>
      <c r="AB20" s="44">
        <f>IF(OR(AA20="",Z20=""),"",(AA20-Z20)*100)</f>
        <v/>
      </c>
      <c r="AC20" s="41">
        <f>SUMIFS(Totals!$AC$5:$AC$49,Totals!$A$5:$A$49,"Home page",Totals!$B$5:$B$49,"Organic",Totals!$C$5:$C$49,"Desktop")</f>
        <v/>
      </c>
      <c r="AD20" s="41">
        <f>SUMIFS(Totals!$AD$5:$AD$49,Totals!$A$5:$A$49,"Home page",Totals!$B$5:$B$49,"Organic",Totals!$C$5:$C$49,"Desktop")</f>
        <v/>
      </c>
      <c r="AE20" s="69">
        <f>IF(OR(AD20="",AC20="",AC20=0,AD20=0),"",AD20-AC20)</f>
        <v/>
      </c>
      <c r="AF20" s="42">
        <f>IF(OR(AD20="",AC20="",AC20=0,AD20=0),"",AD20/AC20-1)</f>
        <v/>
      </c>
      <c r="AG20" s="43">
        <f>IF(OR(AC20="",V20="",V20=0),"",AC20/V20)</f>
        <v/>
      </c>
      <c r="AH20" s="43">
        <f>IF(OR(AD20="",W20="",W20=0),"",AD20/W20)</f>
        <v/>
      </c>
      <c r="AI20" s="44">
        <f>IF(OR(AH20="",AG20=""),"",(AH20-AG20)*100)</f>
        <v/>
      </c>
      <c r="AJ20" s="41">
        <f>SUMIFS(Totals!$AJ$5:$AJ$49,Totals!$A$5:$A$49,"Home page",Totals!$B$5:$B$49,"Organic",Totals!$C$5:$C$49,"Desktop")</f>
        <v/>
      </c>
      <c r="AK20" s="41">
        <f>SUMIFS(Totals!$AK$5:$AK$49,Totals!$A$5:$A$49,"Home page",Totals!$B$5:$B$49,"Organic",Totals!$C$5:$C$49,"Desktop")</f>
        <v/>
      </c>
      <c r="AL20" s="69">
        <f>IF(OR(AK20="",AJ20="",AJ20=0,AK20=0),"",AK20-AJ20)</f>
        <v/>
      </c>
      <c r="AM20" s="42">
        <f>IF(OR(AK20="",AJ20="",AJ20=0,AK20=0),"",AK20/AJ20-1)</f>
        <v/>
      </c>
      <c r="AN20" s="43">
        <f>IF(OR(AJ20="",AC20="",AC20=0),"",AJ20/AC20)</f>
        <v/>
      </c>
      <c r="AO20" s="43">
        <f>IF(OR(AK20="",AD20="",AD20=0),"",AK20/AD20)</f>
        <v/>
      </c>
      <c r="AP20" s="44">
        <f>IF(OR(AO20="",AN20=""),"",(AO20-AN20)*100)</f>
        <v/>
      </c>
      <c r="AQ20" s="41">
        <f>SUMIFS(Totals!$AQ$5:$AQ$49,Totals!$A$5:$A$49,"Home page",Totals!$B$5:$B$49,"Organic",Totals!$C$5:$C$49,"Desktop")</f>
        <v/>
      </c>
      <c r="AR20" s="41">
        <f>SUMIFS(Totals!$AR$5:$AR$49,Totals!$A$5:$A$49,"Home page",Totals!$B$5:$B$49,"Organic",Totals!$C$5:$C$49,"Desktop")</f>
        <v/>
      </c>
      <c r="AS20" s="69">
        <f>IF(OR(AR20="",AQ20="",AQ20=0,AR20=0),"",AR20-AQ20)</f>
        <v/>
      </c>
      <c r="AT20" s="42">
        <f>IF(OR(AR20="",AQ20="",AQ20=0,AR20=0),"",AR20/AQ20-1)</f>
        <v/>
      </c>
      <c r="AU20" s="43">
        <f>IF(OR(AQ20="",AJ20="",AJ20=0),"",AQ20/AJ20)</f>
        <v/>
      </c>
      <c r="AV20" s="43">
        <f>IF(OR(AR20="",AK20="",AK20=0),"",AR20/AK20)</f>
        <v/>
      </c>
      <c r="AW20" s="44">
        <f>IF(OR(AV20="",AU20=""),"",(AV20-AU20)*100)</f>
        <v/>
      </c>
      <c r="AX20" s="45">
        <f>IF(OR(AQ20="",O20="",O20=0),"",AQ20/O20)</f>
        <v/>
      </c>
      <c r="AY20" s="45">
        <f>IF(OR(AR20="",P20="",P20=0),"",AR20/P20)</f>
        <v/>
      </c>
      <c r="AZ20" s="44">
        <f>IF(OR(AY20="",AX20=""),"",(AY20-AX20)*100)</f>
        <v/>
      </c>
      <c r="BA20" s="45">
        <f>IF(OR(AQ20="",D20="",D20=0),"",AQ20/D20)</f>
        <v/>
      </c>
      <c r="BB20" s="45">
        <f>IF(OR(AR20="",E20="",E20=0),"",AR20/E20)</f>
        <v/>
      </c>
      <c r="BC20" s="44">
        <f>IF(OR(BB20="",BA20=""),"",(BB20-BA20)*100)</f>
        <v/>
      </c>
    </row>
    <row r="21">
      <c r="A21" s="32" t="inlineStr">
        <is>
          <t>Home page</t>
        </is>
      </c>
      <c r="B21" s="32" t="inlineStr">
        <is>
          <t>Direct</t>
        </is>
      </c>
      <c r="C21" s="32" t="inlineStr">
        <is>
          <t>Total</t>
        </is>
      </c>
      <c r="D21" s="33">
        <f>SUMIFS(Totals!$D$5:$D$49,Totals!$A$5:$A$49,"Home page",Totals!$B$5:$B$49,"Direct",Totals!$C$5:$C$49,"Total")</f>
        <v/>
      </c>
      <c r="E21" s="33">
        <f>SUMIFS(Totals!$E$5:$E$49,Totals!$A$5:$A$49,"Home page",Totals!$B$5:$B$49,"Direct",Totals!$C$5:$C$49,"Total")</f>
        <v/>
      </c>
      <c r="F21" s="67">
        <f>IF(OR(E21="",D21="",D21=0,E21=0),"",E21-D21)</f>
        <v/>
      </c>
      <c r="G21" s="34">
        <f>IF(OR(E21="",D21="",D21=0,E21=0),"",E21/D21-1)</f>
        <v/>
      </c>
      <c r="H21" s="33">
        <f>SUMIFS(Totals!$H$5:$H$49,Totals!$A$5:$A$49,"Home page",Totals!$B$5:$B$49,"Direct",Totals!$C$5:$C$49,"Total")</f>
        <v/>
      </c>
      <c r="I21" s="33">
        <f>SUMIFS(Totals!$I$5:$I$49,Totals!$A$5:$A$49,"Home page",Totals!$B$5:$B$49,"Direct",Totals!$C$5:$C$49,"Total")</f>
        <v/>
      </c>
      <c r="J21" s="67">
        <f>IF(OR(I21="",H21="",H21=0,I21=0),"",I21-H21)</f>
        <v/>
      </c>
      <c r="K21" s="34">
        <f>IF(OR(I21="",H21="",H21=0,I21=0),"",I21/H21-1)</f>
        <v/>
      </c>
      <c r="L21" s="35">
        <f>IF(OR(H21="",D21="",D21=0),"",H21/D21)</f>
        <v/>
      </c>
      <c r="M21" s="35">
        <f>IF(OR(I21="",E21="",E21=0),"",I21/E21)</f>
        <v/>
      </c>
      <c r="N21" s="36">
        <f>IF(OR(M21="",L21=""),"",(M21-L21)*100)</f>
        <v/>
      </c>
      <c r="O21" s="33">
        <f>SUMIFS(Totals!$O$5:$O$49,Totals!$A$5:$A$49,"Home page",Totals!$B$5:$B$49,"Direct",Totals!$C$5:$C$49,"Total")</f>
        <v/>
      </c>
      <c r="P21" s="33">
        <f>SUMIFS(Totals!$P$5:$P$49,Totals!$A$5:$A$49,"Home page",Totals!$B$5:$B$49,"Direct",Totals!$C$5:$C$49,"Total")</f>
        <v/>
      </c>
      <c r="Q21" s="67">
        <f>IF(OR(P21="",O21="",O21=0,P21=0),"",P21-O21)</f>
        <v/>
      </c>
      <c r="R21" s="34">
        <f>IF(OR(P21="",O21="",O21=0,P21=0),"",P21/O21-1)</f>
        <v/>
      </c>
      <c r="S21" s="35">
        <f>IF(OR(O21="",D21="",D21=0),"",O21/D21)</f>
        <v/>
      </c>
      <c r="T21" s="35">
        <f>IF(OR(P21="",E21="",E21=0),"",P21/E21)</f>
        <v/>
      </c>
      <c r="U21" s="36">
        <f>IF(OR(T21="",S21=""),"",(T21-S21)*100)</f>
        <v/>
      </c>
      <c r="V21" s="33">
        <f>SUMIFS(Totals!$V$5:$V$49,Totals!$A$5:$A$49,"Home page",Totals!$B$5:$B$49,"Direct",Totals!$C$5:$C$49,"Total")</f>
        <v/>
      </c>
      <c r="W21" s="33">
        <f>SUMIFS(Totals!$W$5:$W$49,Totals!$A$5:$A$49,"Home page",Totals!$B$5:$B$49,"Direct",Totals!$C$5:$C$49,"Total")</f>
        <v/>
      </c>
      <c r="X21" s="67">
        <f>IF(OR(W21="",V21="",V21=0,W21=0),"",W21-V21)</f>
        <v/>
      </c>
      <c r="Y21" s="34">
        <f>IF(OR(W21="",V21="",V21=0,W21=0),"",W21/V21-1)</f>
        <v/>
      </c>
      <c r="Z21" s="35">
        <f>IF(OR(V21="",O21="",O21=0),"",V21/O21)</f>
        <v/>
      </c>
      <c r="AA21" s="35">
        <f>IF(OR(W21="",P21="",P21=0),"",W21/P21)</f>
        <v/>
      </c>
      <c r="AB21" s="36">
        <f>IF(OR(AA21="",Z21=""),"",(AA21-Z21)*100)</f>
        <v/>
      </c>
      <c r="AC21" s="33">
        <f>SUMIFS(Totals!$AC$5:$AC$49,Totals!$A$5:$A$49,"Home page",Totals!$B$5:$B$49,"Direct",Totals!$C$5:$C$49,"Total")</f>
        <v/>
      </c>
      <c r="AD21" s="33">
        <f>SUMIFS(Totals!$AD$5:$AD$49,Totals!$A$5:$A$49,"Home page",Totals!$B$5:$B$49,"Direct",Totals!$C$5:$C$49,"Total")</f>
        <v/>
      </c>
      <c r="AE21" s="67">
        <f>IF(OR(AD21="",AC21="",AC21=0,AD21=0),"",AD21-AC21)</f>
        <v/>
      </c>
      <c r="AF21" s="34">
        <f>IF(OR(AD21="",AC21="",AC21=0,AD21=0),"",AD21/AC21-1)</f>
        <v/>
      </c>
      <c r="AG21" s="35">
        <f>IF(OR(AC21="",V21="",V21=0),"",AC21/V21)</f>
        <v/>
      </c>
      <c r="AH21" s="35">
        <f>IF(OR(AD21="",W21="",W21=0),"",AD21/W21)</f>
        <v/>
      </c>
      <c r="AI21" s="36">
        <f>IF(OR(AH21="",AG21=""),"",(AH21-AG21)*100)</f>
        <v/>
      </c>
      <c r="AJ21" s="33">
        <f>SUMIFS(Totals!$AJ$5:$AJ$49,Totals!$A$5:$A$49,"Home page",Totals!$B$5:$B$49,"Direct",Totals!$C$5:$C$49,"Total")</f>
        <v/>
      </c>
      <c r="AK21" s="33">
        <f>SUMIFS(Totals!$AK$5:$AK$49,Totals!$A$5:$A$49,"Home page",Totals!$B$5:$B$49,"Direct",Totals!$C$5:$C$49,"Total")</f>
        <v/>
      </c>
      <c r="AL21" s="67">
        <f>IF(OR(AK21="",AJ21="",AJ21=0,AK21=0),"",AK21-AJ21)</f>
        <v/>
      </c>
      <c r="AM21" s="34">
        <f>IF(OR(AK21="",AJ21="",AJ21=0,AK21=0),"",AK21/AJ21-1)</f>
        <v/>
      </c>
      <c r="AN21" s="35">
        <f>IF(OR(AJ21="",AC21="",AC21=0),"",AJ21/AC21)</f>
        <v/>
      </c>
      <c r="AO21" s="35">
        <f>IF(OR(AK21="",AD21="",AD21=0),"",AK21/AD21)</f>
        <v/>
      </c>
      <c r="AP21" s="36">
        <f>IF(OR(AO21="",AN21=""),"",(AO21-AN21)*100)</f>
        <v/>
      </c>
      <c r="AQ21" s="33">
        <f>SUMIFS(Totals!$AQ$5:$AQ$49,Totals!$A$5:$A$49,"Home page",Totals!$B$5:$B$49,"Direct",Totals!$C$5:$C$49,"Total")</f>
        <v/>
      </c>
      <c r="AR21" s="33">
        <f>SUMIFS(Totals!$AR$5:$AR$49,Totals!$A$5:$A$49,"Home page",Totals!$B$5:$B$49,"Direct",Totals!$C$5:$C$49,"Total")</f>
        <v/>
      </c>
      <c r="AS21" s="67">
        <f>IF(OR(AR21="",AQ21="",AQ21=0,AR21=0),"",AR21-AQ21)</f>
        <v/>
      </c>
      <c r="AT21" s="34">
        <f>IF(OR(AR21="",AQ21="",AQ21=0,AR21=0),"",AR21/AQ21-1)</f>
        <v/>
      </c>
      <c r="AU21" s="35">
        <f>IF(OR(AQ21="",AJ21="",AJ21=0),"",AQ21/AJ21)</f>
        <v/>
      </c>
      <c r="AV21" s="35">
        <f>IF(OR(AR21="",AK21="",AK21=0),"",AR21/AK21)</f>
        <v/>
      </c>
      <c r="AW21" s="36">
        <f>IF(OR(AV21="",AU21=""),"",(AV21-AU21)*100)</f>
        <v/>
      </c>
      <c r="AX21" s="37">
        <f>IF(OR(AQ21="",O21="",O21=0),"",AQ21/O21)</f>
        <v/>
      </c>
      <c r="AY21" s="37">
        <f>IF(OR(AR21="",P21="",P21=0),"",AR21/P21)</f>
        <v/>
      </c>
      <c r="AZ21" s="36">
        <f>IF(OR(AY21="",AX21=""),"",(AY21-AX21)*100)</f>
        <v/>
      </c>
      <c r="BA21" s="37">
        <f>IF(OR(AQ21="",D21="",D21=0),"",AQ21/D21)</f>
        <v/>
      </c>
      <c r="BB21" s="37">
        <f>IF(OR(AR21="",E21="",E21=0),"",AR21/E21)</f>
        <v/>
      </c>
      <c r="BC21" s="36">
        <f>IF(OR(BB21="",BA21=""),"",(BB21-BA21)*100)</f>
        <v/>
      </c>
    </row>
    <row r="22">
      <c r="A22" s="40" t="inlineStr">
        <is>
          <t>Home page</t>
        </is>
      </c>
      <c r="B22" s="40" t="inlineStr">
        <is>
          <t>Direct</t>
        </is>
      </c>
      <c r="C22" s="40" t="inlineStr">
        <is>
          <t>Mobile</t>
        </is>
      </c>
      <c r="D22" s="41">
        <f>SUMIFS(Totals!$D$5:$D$49,Totals!$A$5:$A$49,"Home page",Totals!$B$5:$B$49,"Direct",Totals!$C$5:$C$49,"Mobile")</f>
        <v/>
      </c>
      <c r="E22" s="41">
        <f>SUMIFS(Totals!$E$5:$E$49,Totals!$A$5:$A$49,"Home page",Totals!$B$5:$B$49,"Direct",Totals!$C$5:$C$49,"Mobile")</f>
        <v/>
      </c>
      <c r="F22" s="69">
        <f>IF(OR(E22="",D22="",D22=0,E22=0),"",E22-D22)</f>
        <v/>
      </c>
      <c r="G22" s="42">
        <f>IF(OR(E22="",D22="",D22=0,E22=0),"",E22/D22-1)</f>
        <v/>
      </c>
      <c r="H22" s="41">
        <f>SUMIFS(Totals!$H$5:$H$49,Totals!$A$5:$A$49,"Home page",Totals!$B$5:$B$49,"Direct",Totals!$C$5:$C$49,"Mobile")</f>
        <v/>
      </c>
      <c r="I22" s="41">
        <f>SUMIFS(Totals!$I$5:$I$49,Totals!$A$5:$A$49,"Home page",Totals!$B$5:$B$49,"Direct",Totals!$C$5:$C$49,"Mobile")</f>
        <v/>
      </c>
      <c r="J22" s="69">
        <f>IF(OR(I22="",H22="",H22=0,I22=0),"",I22-H22)</f>
        <v/>
      </c>
      <c r="K22" s="42">
        <f>IF(OR(I22="",H22="",H22=0,I22=0),"",I22/H22-1)</f>
        <v/>
      </c>
      <c r="L22" s="43">
        <f>IF(OR(H22="",D22="",D22=0),"",H22/D22)</f>
        <v/>
      </c>
      <c r="M22" s="43">
        <f>IF(OR(I22="",E22="",E22=0),"",I22/E22)</f>
        <v/>
      </c>
      <c r="N22" s="44">
        <f>IF(OR(M22="",L22=""),"",(M22-L22)*100)</f>
        <v/>
      </c>
      <c r="O22" s="41">
        <f>SUMIFS(Totals!$O$5:$O$49,Totals!$A$5:$A$49,"Home page",Totals!$B$5:$B$49,"Direct",Totals!$C$5:$C$49,"Mobile")</f>
        <v/>
      </c>
      <c r="P22" s="41">
        <f>SUMIFS(Totals!$P$5:$P$49,Totals!$A$5:$A$49,"Home page",Totals!$B$5:$B$49,"Direct",Totals!$C$5:$C$49,"Mobile")</f>
        <v/>
      </c>
      <c r="Q22" s="69">
        <f>IF(OR(P22="",O22="",O22=0,P22=0),"",P22-O22)</f>
        <v/>
      </c>
      <c r="R22" s="42">
        <f>IF(OR(P22="",O22="",O22=0,P22=0),"",P22/O22-1)</f>
        <v/>
      </c>
      <c r="S22" s="43">
        <f>IF(OR(O22="",D22="",D22=0),"",O22/D22)</f>
        <v/>
      </c>
      <c r="T22" s="43">
        <f>IF(OR(P22="",E22="",E22=0),"",P22/E22)</f>
        <v/>
      </c>
      <c r="U22" s="44">
        <f>IF(OR(T22="",S22=""),"",(T22-S22)*100)</f>
        <v/>
      </c>
      <c r="V22" s="41">
        <f>SUMIFS(Totals!$V$5:$V$49,Totals!$A$5:$A$49,"Home page",Totals!$B$5:$B$49,"Direct",Totals!$C$5:$C$49,"Mobile")</f>
        <v/>
      </c>
      <c r="W22" s="41">
        <f>SUMIFS(Totals!$W$5:$W$49,Totals!$A$5:$A$49,"Home page",Totals!$B$5:$B$49,"Direct",Totals!$C$5:$C$49,"Mobile")</f>
        <v/>
      </c>
      <c r="X22" s="69">
        <f>IF(OR(W22="",V22="",V22=0,W22=0),"",W22-V22)</f>
        <v/>
      </c>
      <c r="Y22" s="42">
        <f>IF(OR(W22="",V22="",V22=0,W22=0),"",W22/V22-1)</f>
        <v/>
      </c>
      <c r="Z22" s="43">
        <f>IF(OR(V22="",O22="",O22=0),"",V22/O22)</f>
        <v/>
      </c>
      <c r="AA22" s="43">
        <f>IF(OR(W22="",P22="",P22=0),"",W22/P22)</f>
        <v/>
      </c>
      <c r="AB22" s="44">
        <f>IF(OR(AA22="",Z22=""),"",(AA22-Z22)*100)</f>
        <v/>
      </c>
      <c r="AC22" s="41">
        <f>SUMIFS(Totals!$AC$5:$AC$49,Totals!$A$5:$A$49,"Home page",Totals!$B$5:$B$49,"Direct",Totals!$C$5:$C$49,"Mobile")</f>
        <v/>
      </c>
      <c r="AD22" s="41">
        <f>SUMIFS(Totals!$AD$5:$AD$49,Totals!$A$5:$A$49,"Home page",Totals!$B$5:$B$49,"Direct",Totals!$C$5:$C$49,"Mobile")</f>
        <v/>
      </c>
      <c r="AE22" s="69">
        <f>IF(OR(AD22="",AC22="",AC22=0,AD22=0),"",AD22-AC22)</f>
        <v/>
      </c>
      <c r="AF22" s="42">
        <f>IF(OR(AD22="",AC22="",AC22=0,AD22=0),"",AD22/AC22-1)</f>
        <v/>
      </c>
      <c r="AG22" s="43">
        <f>IF(OR(AC22="",V22="",V22=0),"",AC22/V22)</f>
        <v/>
      </c>
      <c r="AH22" s="43">
        <f>IF(OR(AD22="",W22="",W22=0),"",AD22/W22)</f>
        <v/>
      </c>
      <c r="AI22" s="44">
        <f>IF(OR(AH22="",AG22=""),"",(AH22-AG22)*100)</f>
        <v/>
      </c>
      <c r="AJ22" s="41">
        <f>SUMIFS(Totals!$AJ$5:$AJ$49,Totals!$A$5:$A$49,"Home page",Totals!$B$5:$B$49,"Direct",Totals!$C$5:$C$49,"Mobile")</f>
        <v/>
      </c>
      <c r="AK22" s="41">
        <f>SUMIFS(Totals!$AK$5:$AK$49,Totals!$A$5:$A$49,"Home page",Totals!$B$5:$B$49,"Direct",Totals!$C$5:$C$49,"Mobile")</f>
        <v/>
      </c>
      <c r="AL22" s="69">
        <f>IF(OR(AK22="",AJ22="",AJ22=0,AK22=0),"",AK22-AJ22)</f>
        <v/>
      </c>
      <c r="AM22" s="42">
        <f>IF(OR(AK22="",AJ22="",AJ22=0,AK22=0),"",AK22/AJ22-1)</f>
        <v/>
      </c>
      <c r="AN22" s="43">
        <f>IF(OR(AJ22="",AC22="",AC22=0),"",AJ22/AC22)</f>
        <v/>
      </c>
      <c r="AO22" s="43">
        <f>IF(OR(AK22="",AD22="",AD22=0),"",AK22/AD22)</f>
        <v/>
      </c>
      <c r="AP22" s="44">
        <f>IF(OR(AO22="",AN22=""),"",(AO22-AN22)*100)</f>
        <v/>
      </c>
      <c r="AQ22" s="41">
        <f>SUMIFS(Totals!$AQ$5:$AQ$49,Totals!$A$5:$A$49,"Home page",Totals!$B$5:$B$49,"Direct",Totals!$C$5:$C$49,"Mobile")</f>
        <v/>
      </c>
      <c r="AR22" s="41">
        <f>SUMIFS(Totals!$AR$5:$AR$49,Totals!$A$5:$A$49,"Home page",Totals!$B$5:$B$49,"Direct",Totals!$C$5:$C$49,"Mobile")</f>
        <v/>
      </c>
      <c r="AS22" s="69">
        <f>IF(OR(AR22="",AQ22="",AQ22=0,AR22=0),"",AR22-AQ22)</f>
        <v/>
      </c>
      <c r="AT22" s="42">
        <f>IF(OR(AR22="",AQ22="",AQ22=0,AR22=0),"",AR22/AQ22-1)</f>
        <v/>
      </c>
      <c r="AU22" s="43">
        <f>IF(OR(AQ22="",AJ22="",AJ22=0),"",AQ22/AJ22)</f>
        <v/>
      </c>
      <c r="AV22" s="43">
        <f>IF(OR(AR22="",AK22="",AK22=0),"",AR22/AK22)</f>
        <v/>
      </c>
      <c r="AW22" s="44">
        <f>IF(OR(AV22="",AU22=""),"",(AV22-AU22)*100)</f>
        <v/>
      </c>
      <c r="AX22" s="45">
        <f>IF(OR(AQ22="",O22="",O22=0),"",AQ22/O22)</f>
        <v/>
      </c>
      <c r="AY22" s="45">
        <f>IF(OR(AR22="",P22="",P22=0),"",AR22/P22)</f>
        <v/>
      </c>
      <c r="AZ22" s="44">
        <f>IF(OR(AY22="",AX22=""),"",(AY22-AX22)*100)</f>
        <v/>
      </c>
      <c r="BA22" s="45">
        <f>IF(OR(AQ22="",D22="",D22=0),"",AQ22/D22)</f>
        <v/>
      </c>
      <c r="BB22" s="45">
        <f>IF(OR(AR22="",E22="",E22=0),"",AR22/E22)</f>
        <v/>
      </c>
      <c r="BC22" s="44">
        <f>IF(OR(BB22="",BA22=""),"",(BB22-BA22)*100)</f>
        <v/>
      </c>
    </row>
    <row r="23">
      <c r="A23" s="40" t="inlineStr">
        <is>
          <t>Home page</t>
        </is>
      </c>
      <c r="B23" s="40" t="inlineStr">
        <is>
          <t>Direct</t>
        </is>
      </c>
      <c r="C23" s="40" t="inlineStr">
        <is>
          <t>Desktop</t>
        </is>
      </c>
      <c r="D23" s="41">
        <f>SUMIFS(Totals!$D$5:$D$49,Totals!$A$5:$A$49,"Home page",Totals!$B$5:$B$49,"Direct",Totals!$C$5:$C$49,"Desktop")</f>
        <v/>
      </c>
      <c r="E23" s="41">
        <f>SUMIFS(Totals!$E$5:$E$49,Totals!$A$5:$A$49,"Home page",Totals!$B$5:$B$49,"Direct",Totals!$C$5:$C$49,"Desktop")</f>
        <v/>
      </c>
      <c r="F23" s="69">
        <f>IF(OR(E23="",D23="",D23=0,E23=0),"",E23-D23)</f>
        <v/>
      </c>
      <c r="G23" s="42">
        <f>IF(OR(E23="",D23="",D23=0,E23=0),"",E23/D23-1)</f>
        <v/>
      </c>
      <c r="H23" s="41">
        <f>SUMIFS(Totals!$H$5:$H$49,Totals!$A$5:$A$49,"Home page",Totals!$B$5:$B$49,"Direct",Totals!$C$5:$C$49,"Desktop")</f>
        <v/>
      </c>
      <c r="I23" s="41">
        <f>SUMIFS(Totals!$I$5:$I$49,Totals!$A$5:$A$49,"Home page",Totals!$B$5:$B$49,"Direct",Totals!$C$5:$C$49,"Desktop")</f>
        <v/>
      </c>
      <c r="J23" s="69">
        <f>IF(OR(I23="",H23="",H23=0,I23=0),"",I23-H23)</f>
        <v/>
      </c>
      <c r="K23" s="42">
        <f>IF(OR(I23="",H23="",H23=0,I23=0),"",I23/H23-1)</f>
        <v/>
      </c>
      <c r="L23" s="43">
        <f>IF(OR(H23="",D23="",D23=0),"",H23/D23)</f>
        <v/>
      </c>
      <c r="M23" s="43">
        <f>IF(OR(I23="",E23="",E23=0),"",I23/E23)</f>
        <v/>
      </c>
      <c r="N23" s="44">
        <f>IF(OR(M23="",L23=""),"",(M23-L23)*100)</f>
        <v/>
      </c>
      <c r="O23" s="41">
        <f>SUMIFS(Totals!$O$5:$O$49,Totals!$A$5:$A$49,"Home page",Totals!$B$5:$B$49,"Direct",Totals!$C$5:$C$49,"Desktop")</f>
        <v/>
      </c>
      <c r="P23" s="41">
        <f>SUMIFS(Totals!$P$5:$P$49,Totals!$A$5:$A$49,"Home page",Totals!$B$5:$B$49,"Direct",Totals!$C$5:$C$49,"Desktop")</f>
        <v/>
      </c>
      <c r="Q23" s="69">
        <f>IF(OR(P23="",O23="",O23=0,P23=0),"",P23-O23)</f>
        <v/>
      </c>
      <c r="R23" s="42">
        <f>IF(OR(P23="",O23="",O23=0,P23=0),"",P23/O23-1)</f>
        <v/>
      </c>
      <c r="S23" s="43">
        <f>IF(OR(O23="",D23="",D23=0),"",O23/D23)</f>
        <v/>
      </c>
      <c r="T23" s="43">
        <f>IF(OR(P23="",E23="",E23=0),"",P23/E23)</f>
        <v/>
      </c>
      <c r="U23" s="44">
        <f>IF(OR(T23="",S23=""),"",(T23-S23)*100)</f>
        <v/>
      </c>
      <c r="V23" s="41">
        <f>SUMIFS(Totals!$V$5:$V$49,Totals!$A$5:$A$49,"Home page",Totals!$B$5:$B$49,"Direct",Totals!$C$5:$C$49,"Desktop")</f>
        <v/>
      </c>
      <c r="W23" s="41">
        <f>SUMIFS(Totals!$W$5:$W$49,Totals!$A$5:$A$49,"Home page",Totals!$B$5:$B$49,"Direct",Totals!$C$5:$C$49,"Desktop")</f>
        <v/>
      </c>
      <c r="X23" s="69">
        <f>IF(OR(W23="",V23="",V23=0,W23=0),"",W23-V23)</f>
        <v/>
      </c>
      <c r="Y23" s="42">
        <f>IF(OR(W23="",V23="",V23=0,W23=0),"",W23/V23-1)</f>
        <v/>
      </c>
      <c r="Z23" s="43">
        <f>IF(OR(V23="",O23="",O23=0),"",V23/O23)</f>
        <v/>
      </c>
      <c r="AA23" s="43">
        <f>IF(OR(W23="",P23="",P23=0),"",W23/P23)</f>
        <v/>
      </c>
      <c r="AB23" s="44">
        <f>IF(OR(AA23="",Z23=""),"",(AA23-Z23)*100)</f>
        <v/>
      </c>
      <c r="AC23" s="41">
        <f>SUMIFS(Totals!$AC$5:$AC$49,Totals!$A$5:$A$49,"Home page",Totals!$B$5:$B$49,"Direct",Totals!$C$5:$C$49,"Desktop")</f>
        <v/>
      </c>
      <c r="AD23" s="41">
        <f>SUMIFS(Totals!$AD$5:$AD$49,Totals!$A$5:$A$49,"Home page",Totals!$B$5:$B$49,"Direct",Totals!$C$5:$C$49,"Desktop")</f>
        <v/>
      </c>
      <c r="AE23" s="69">
        <f>IF(OR(AD23="",AC23="",AC23=0,AD23=0),"",AD23-AC23)</f>
        <v/>
      </c>
      <c r="AF23" s="42">
        <f>IF(OR(AD23="",AC23="",AC23=0,AD23=0),"",AD23/AC23-1)</f>
        <v/>
      </c>
      <c r="AG23" s="43">
        <f>IF(OR(AC23="",V23="",V23=0),"",AC23/V23)</f>
        <v/>
      </c>
      <c r="AH23" s="43">
        <f>IF(OR(AD23="",W23="",W23=0),"",AD23/W23)</f>
        <v/>
      </c>
      <c r="AI23" s="44">
        <f>IF(OR(AH23="",AG23=""),"",(AH23-AG23)*100)</f>
        <v/>
      </c>
      <c r="AJ23" s="41">
        <f>SUMIFS(Totals!$AJ$5:$AJ$49,Totals!$A$5:$A$49,"Home page",Totals!$B$5:$B$49,"Direct",Totals!$C$5:$C$49,"Desktop")</f>
        <v/>
      </c>
      <c r="AK23" s="41">
        <f>SUMIFS(Totals!$AK$5:$AK$49,Totals!$A$5:$A$49,"Home page",Totals!$B$5:$B$49,"Direct",Totals!$C$5:$C$49,"Desktop")</f>
        <v/>
      </c>
      <c r="AL23" s="69">
        <f>IF(OR(AK23="",AJ23="",AJ23=0,AK23=0),"",AK23-AJ23)</f>
        <v/>
      </c>
      <c r="AM23" s="42">
        <f>IF(OR(AK23="",AJ23="",AJ23=0,AK23=0),"",AK23/AJ23-1)</f>
        <v/>
      </c>
      <c r="AN23" s="43">
        <f>IF(OR(AJ23="",AC23="",AC23=0),"",AJ23/AC23)</f>
        <v/>
      </c>
      <c r="AO23" s="43">
        <f>IF(OR(AK23="",AD23="",AD23=0),"",AK23/AD23)</f>
        <v/>
      </c>
      <c r="AP23" s="44">
        <f>IF(OR(AO23="",AN23=""),"",(AO23-AN23)*100)</f>
        <v/>
      </c>
      <c r="AQ23" s="41">
        <f>SUMIFS(Totals!$AQ$5:$AQ$49,Totals!$A$5:$A$49,"Home page",Totals!$B$5:$B$49,"Direct",Totals!$C$5:$C$49,"Desktop")</f>
        <v/>
      </c>
      <c r="AR23" s="41">
        <f>SUMIFS(Totals!$AR$5:$AR$49,Totals!$A$5:$A$49,"Home page",Totals!$B$5:$B$49,"Direct",Totals!$C$5:$C$49,"Desktop")</f>
        <v/>
      </c>
      <c r="AS23" s="69">
        <f>IF(OR(AR23="",AQ23="",AQ23=0,AR23=0),"",AR23-AQ23)</f>
        <v/>
      </c>
      <c r="AT23" s="42">
        <f>IF(OR(AR23="",AQ23="",AQ23=0,AR23=0),"",AR23/AQ23-1)</f>
        <v/>
      </c>
      <c r="AU23" s="43">
        <f>IF(OR(AQ23="",AJ23="",AJ23=0),"",AQ23/AJ23)</f>
        <v/>
      </c>
      <c r="AV23" s="43">
        <f>IF(OR(AR23="",AK23="",AK23=0),"",AR23/AK23)</f>
        <v/>
      </c>
      <c r="AW23" s="44">
        <f>IF(OR(AV23="",AU23=""),"",(AV23-AU23)*100)</f>
        <v/>
      </c>
      <c r="AX23" s="45">
        <f>IF(OR(AQ23="",O23="",O23=0),"",AQ23/O23)</f>
        <v/>
      </c>
      <c r="AY23" s="45">
        <f>IF(OR(AR23="",P23="",P23=0),"",AR23/P23)</f>
        <v/>
      </c>
      <c r="AZ23" s="44">
        <f>IF(OR(AY23="",AX23=""),"",(AY23-AX23)*100)</f>
        <v/>
      </c>
      <c r="BA23" s="45">
        <f>IF(OR(AQ23="",D23="",D23=0),"",AQ23/D23)</f>
        <v/>
      </c>
      <c r="BB23" s="45">
        <f>IF(OR(AR23="",E23="",E23=0),"",AR23/E23)</f>
        <v/>
      </c>
      <c r="BC23" s="44">
        <f>IF(OR(BB23="",BA23=""),"",(BB23-BA23)*100)</f>
        <v/>
      </c>
    </row>
    <row r="24">
      <c r="A24" s="32" t="inlineStr">
        <is>
          <t>Airport page</t>
        </is>
      </c>
      <c r="B24" s="32" t="inlineStr">
        <is>
          <t>Paid Search</t>
        </is>
      </c>
      <c r="C24" s="32" t="inlineStr">
        <is>
          <t>Total</t>
        </is>
      </c>
      <c r="D24" s="33">
        <f>SUMIFS(Totals!$D$5:$D$49,Totals!$A$5:$A$49,"Airport page",Totals!$B$5:$B$49,"Paid Search",Totals!$C$5:$C$49,"Total")</f>
        <v/>
      </c>
      <c r="E24" s="33">
        <f>SUMIFS(Totals!$E$5:$E$49,Totals!$A$5:$A$49,"Airport page",Totals!$B$5:$B$49,"Paid Search",Totals!$C$5:$C$49,"Total")</f>
        <v/>
      </c>
      <c r="F24" s="67">
        <f>IF(OR(E24="",D24="",D24=0,E24=0),"",E24-D24)</f>
        <v/>
      </c>
      <c r="G24" s="34">
        <f>IF(OR(E24="",D24="",D24=0,E24=0),"",E24/D24-1)</f>
        <v/>
      </c>
      <c r="H24" s="33">
        <f>SUMIFS(Totals!$H$5:$H$49,Totals!$A$5:$A$49,"Airport page",Totals!$B$5:$B$49,"Paid Search",Totals!$C$5:$C$49,"Total")</f>
        <v/>
      </c>
      <c r="I24" s="33">
        <f>SUMIFS(Totals!$I$5:$I$49,Totals!$A$5:$A$49,"Airport page",Totals!$B$5:$B$49,"Paid Search",Totals!$C$5:$C$49,"Total")</f>
        <v/>
      </c>
      <c r="J24" s="67">
        <f>IF(OR(I24="",H24="",H24=0,I24=0),"",I24-H24)</f>
        <v/>
      </c>
      <c r="K24" s="34">
        <f>IF(OR(I24="",H24="",H24=0,I24=0),"",I24/H24-1)</f>
        <v/>
      </c>
      <c r="L24" s="35">
        <f>IF(OR(H24="",D24="",D24=0),"",H24/D24)</f>
        <v/>
      </c>
      <c r="M24" s="35">
        <f>IF(OR(I24="",E24="",E24=0),"",I24/E24)</f>
        <v/>
      </c>
      <c r="N24" s="36">
        <f>IF(OR(M24="",L24=""),"",(M24-L24)*100)</f>
        <v/>
      </c>
      <c r="O24" s="33">
        <f>SUMIFS(Totals!$O$5:$O$49,Totals!$A$5:$A$49,"Airport page",Totals!$B$5:$B$49,"Paid Search",Totals!$C$5:$C$49,"Total")</f>
        <v/>
      </c>
      <c r="P24" s="33">
        <f>SUMIFS(Totals!$P$5:$P$49,Totals!$A$5:$A$49,"Airport page",Totals!$B$5:$B$49,"Paid Search",Totals!$C$5:$C$49,"Total")</f>
        <v/>
      </c>
      <c r="Q24" s="67">
        <f>IF(OR(P24="",O24="",O24=0,P24=0),"",P24-O24)</f>
        <v/>
      </c>
      <c r="R24" s="34">
        <f>IF(OR(P24="",O24="",O24=0,P24=0),"",P24/O24-1)</f>
        <v/>
      </c>
      <c r="S24" s="35">
        <f>IF(OR(O24="",D24="",D24=0),"",O24/D24)</f>
        <v/>
      </c>
      <c r="T24" s="35">
        <f>IF(OR(P24="",E24="",E24=0),"",P24/E24)</f>
        <v/>
      </c>
      <c r="U24" s="36">
        <f>IF(OR(T24="",S24=""),"",(T24-S24)*100)</f>
        <v/>
      </c>
      <c r="V24" s="33">
        <f>SUMIFS(Totals!$V$5:$V$49,Totals!$A$5:$A$49,"Airport page",Totals!$B$5:$B$49,"Paid Search",Totals!$C$5:$C$49,"Total")</f>
        <v/>
      </c>
      <c r="W24" s="33">
        <f>SUMIFS(Totals!$W$5:$W$49,Totals!$A$5:$A$49,"Airport page",Totals!$B$5:$B$49,"Paid Search",Totals!$C$5:$C$49,"Total")</f>
        <v/>
      </c>
      <c r="X24" s="67">
        <f>IF(OR(W24="",V24="",V24=0,W24=0),"",W24-V24)</f>
        <v/>
      </c>
      <c r="Y24" s="34">
        <f>IF(OR(W24="",V24="",V24=0,W24=0),"",W24/V24-1)</f>
        <v/>
      </c>
      <c r="Z24" s="35">
        <f>IF(OR(V24="",O24="",O24=0),"",V24/O24)</f>
        <v/>
      </c>
      <c r="AA24" s="35">
        <f>IF(OR(W24="",P24="",P24=0),"",W24/P24)</f>
        <v/>
      </c>
      <c r="AB24" s="36">
        <f>IF(OR(AA24="",Z24=""),"",(AA24-Z24)*100)</f>
        <v/>
      </c>
      <c r="AC24" s="33">
        <f>SUMIFS(Totals!$AC$5:$AC$49,Totals!$A$5:$A$49,"Airport page",Totals!$B$5:$B$49,"Paid Search",Totals!$C$5:$C$49,"Total")</f>
        <v/>
      </c>
      <c r="AD24" s="33">
        <f>SUMIFS(Totals!$AD$5:$AD$49,Totals!$A$5:$A$49,"Airport page",Totals!$B$5:$B$49,"Paid Search",Totals!$C$5:$C$49,"Total")</f>
        <v/>
      </c>
      <c r="AE24" s="67">
        <f>IF(OR(AD24="",AC24="",AC24=0,AD24=0),"",AD24-AC24)</f>
        <v/>
      </c>
      <c r="AF24" s="34">
        <f>IF(OR(AD24="",AC24="",AC24=0,AD24=0),"",AD24/AC24-1)</f>
        <v/>
      </c>
      <c r="AG24" s="35">
        <f>IF(OR(AC24="",V24="",V24=0),"",AC24/V24)</f>
        <v/>
      </c>
      <c r="AH24" s="35">
        <f>IF(OR(AD24="",W24="",W24=0),"",AD24/W24)</f>
        <v/>
      </c>
      <c r="AI24" s="36">
        <f>IF(OR(AH24="",AG24=""),"",(AH24-AG24)*100)</f>
        <v/>
      </c>
      <c r="AJ24" s="33">
        <f>SUMIFS(Totals!$AJ$5:$AJ$49,Totals!$A$5:$A$49,"Airport page",Totals!$B$5:$B$49,"Paid Search",Totals!$C$5:$C$49,"Total")</f>
        <v/>
      </c>
      <c r="AK24" s="33">
        <f>SUMIFS(Totals!$AK$5:$AK$49,Totals!$A$5:$A$49,"Airport page",Totals!$B$5:$B$49,"Paid Search",Totals!$C$5:$C$49,"Total")</f>
        <v/>
      </c>
      <c r="AL24" s="67">
        <f>IF(OR(AK24="",AJ24="",AJ24=0,AK24=0),"",AK24-AJ24)</f>
        <v/>
      </c>
      <c r="AM24" s="34">
        <f>IF(OR(AK24="",AJ24="",AJ24=0,AK24=0),"",AK24/AJ24-1)</f>
        <v/>
      </c>
      <c r="AN24" s="35">
        <f>IF(OR(AJ24="",AC24="",AC24=0),"",AJ24/AC24)</f>
        <v/>
      </c>
      <c r="AO24" s="35">
        <f>IF(OR(AK24="",AD24="",AD24=0),"",AK24/AD24)</f>
        <v/>
      </c>
      <c r="AP24" s="36">
        <f>IF(OR(AO24="",AN24=""),"",(AO24-AN24)*100)</f>
        <v/>
      </c>
      <c r="AQ24" s="33">
        <f>SUMIFS(Totals!$AQ$5:$AQ$49,Totals!$A$5:$A$49,"Airport page",Totals!$B$5:$B$49,"Paid Search",Totals!$C$5:$C$49,"Total")</f>
        <v/>
      </c>
      <c r="AR24" s="33">
        <f>SUMIFS(Totals!$AR$5:$AR$49,Totals!$A$5:$A$49,"Airport page",Totals!$B$5:$B$49,"Paid Search",Totals!$C$5:$C$49,"Total")</f>
        <v/>
      </c>
      <c r="AS24" s="67">
        <f>IF(OR(AR24="",AQ24="",AQ24=0,AR24=0),"",AR24-AQ24)</f>
        <v/>
      </c>
      <c r="AT24" s="34">
        <f>IF(OR(AR24="",AQ24="",AQ24=0,AR24=0),"",AR24/AQ24-1)</f>
        <v/>
      </c>
      <c r="AU24" s="35">
        <f>IF(OR(AQ24="",AJ24="",AJ24=0),"",AQ24/AJ24)</f>
        <v/>
      </c>
      <c r="AV24" s="35">
        <f>IF(OR(AR24="",AK24="",AK24=0),"",AR24/AK24)</f>
        <v/>
      </c>
      <c r="AW24" s="36">
        <f>IF(OR(AV24="",AU24=""),"",(AV24-AU24)*100)</f>
        <v/>
      </c>
      <c r="AX24" s="37">
        <f>IF(OR(AQ24="",O24="",O24=0),"",AQ24/O24)</f>
        <v/>
      </c>
      <c r="AY24" s="37">
        <f>IF(OR(AR24="",P24="",P24=0),"",AR24/P24)</f>
        <v/>
      </c>
      <c r="AZ24" s="36">
        <f>IF(OR(AY24="",AX24=""),"",(AY24-AX24)*100)</f>
        <v/>
      </c>
      <c r="BA24" s="37">
        <f>IF(OR(AQ24="",D24="",D24=0),"",AQ24/D24)</f>
        <v/>
      </c>
      <c r="BB24" s="37">
        <f>IF(OR(AR24="",E24="",E24=0),"",AR24/E24)</f>
        <v/>
      </c>
      <c r="BC24" s="36">
        <f>IF(OR(BB24="",BA24=""),"",(BB24-BA24)*100)</f>
        <v/>
      </c>
    </row>
    <row r="25">
      <c r="A25" s="40" t="inlineStr">
        <is>
          <t>Airport page</t>
        </is>
      </c>
      <c r="B25" s="40" t="inlineStr">
        <is>
          <t>Paid Search</t>
        </is>
      </c>
      <c r="C25" s="40" t="inlineStr">
        <is>
          <t>Mobile</t>
        </is>
      </c>
      <c r="D25" s="41">
        <f>SUMIFS(Totals!$D$5:$D$49,Totals!$A$5:$A$49,"Airport page",Totals!$B$5:$B$49,"Paid Search",Totals!$C$5:$C$49,"Mobile")</f>
        <v/>
      </c>
      <c r="E25" s="41">
        <f>SUMIFS(Totals!$E$5:$E$49,Totals!$A$5:$A$49,"Airport page",Totals!$B$5:$B$49,"Paid Search",Totals!$C$5:$C$49,"Mobile")</f>
        <v/>
      </c>
      <c r="F25" s="69">
        <f>IF(OR(E25="",D25="",D25=0,E25=0),"",E25-D25)</f>
        <v/>
      </c>
      <c r="G25" s="42">
        <f>IF(OR(E25="",D25="",D25=0,E25=0),"",E25/D25-1)</f>
        <v/>
      </c>
      <c r="H25" s="41">
        <f>SUMIFS(Totals!$H$5:$H$49,Totals!$A$5:$A$49,"Airport page",Totals!$B$5:$B$49,"Paid Search",Totals!$C$5:$C$49,"Mobile")</f>
        <v/>
      </c>
      <c r="I25" s="41">
        <f>SUMIFS(Totals!$I$5:$I$49,Totals!$A$5:$A$49,"Airport page",Totals!$B$5:$B$49,"Paid Search",Totals!$C$5:$C$49,"Mobile")</f>
        <v/>
      </c>
      <c r="J25" s="69">
        <f>IF(OR(I25="",H25="",H25=0,I25=0),"",I25-H25)</f>
        <v/>
      </c>
      <c r="K25" s="42">
        <f>IF(OR(I25="",H25="",H25=0,I25=0),"",I25/H25-1)</f>
        <v/>
      </c>
      <c r="L25" s="43">
        <f>IF(OR(H25="",D25="",D25=0),"",H25/D25)</f>
        <v/>
      </c>
      <c r="M25" s="43">
        <f>IF(OR(I25="",E25="",E25=0),"",I25/E25)</f>
        <v/>
      </c>
      <c r="N25" s="44">
        <f>IF(OR(M25="",L25=""),"",(M25-L25)*100)</f>
        <v/>
      </c>
      <c r="O25" s="41">
        <f>SUMIFS(Totals!$O$5:$O$49,Totals!$A$5:$A$49,"Airport page",Totals!$B$5:$B$49,"Paid Search",Totals!$C$5:$C$49,"Mobile")</f>
        <v/>
      </c>
      <c r="P25" s="41">
        <f>SUMIFS(Totals!$P$5:$P$49,Totals!$A$5:$A$49,"Airport page",Totals!$B$5:$B$49,"Paid Search",Totals!$C$5:$C$49,"Mobile")</f>
        <v/>
      </c>
      <c r="Q25" s="69">
        <f>IF(OR(P25="",O25="",O25=0,P25=0),"",P25-O25)</f>
        <v/>
      </c>
      <c r="R25" s="42">
        <f>IF(OR(P25="",O25="",O25=0,P25=0),"",P25/O25-1)</f>
        <v/>
      </c>
      <c r="S25" s="43">
        <f>IF(OR(O25="",D25="",D25=0),"",O25/D25)</f>
        <v/>
      </c>
      <c r="T25" s="43">
        <f>IF(OR(P25="",E25="",E25=0),"",P25/E25)</f>
        <v/>
      </c>
      <c r="U25" s="44">
        <f>IF(OR(T25="",S25=""),"",(T25-S25)*100)</f>
        <v/>
      </c>
      <c r="V25" s="41">
        <f>SUMIFS(Totals!$V$5:$V$49,Totals!$A$5:$A$49,"Airport page",Totals!$B$5:$B$49,"Paid Search",Totals!$C$5:$C$49,"Mobile")</f>
        <v/>
      </c>
      <c r="W25" s="41">
        <f>SUMIFS(Totals!$W$5:$W$49,Totals!$A$5:$A$49,"Airport page",Totals!$B$5:$B$49,"Paid Search",Totals!$C$5:$C$49,"Mobile")</f>
        <v/>
      </c>
      <c r="X25" s="69">
        <f>IF(OR(W25="",V25="",V25=0,W25=0),"",W25-V25)</f>
        <v/>
      </c>
      <c r="Y25" s="42">
        <f>IF(OR(W25="",V25="",V25=0,W25=0),"",W25/V25-1)</f>
        <v/>
      </c>
      <c r="Z25" s="43">
        <f>IF(OR(V25="",O25="",O25=0),"",V25/O25)</f>
        <v/>
      </c>
      <c r="AA25" s="43">
        <f>IF(OR(W25="",P25="",P25=0),"",W25/P25)</f>
        <v/>
      </c>
      <c r="AB25" s="44">
        <f>IF(OR(AA25="",Z25=""),"",(AA25-Z25)*100)</f>
        <v/>
      </c>
      <c r="AC25" s="41">
        <f>SUMIFS(Totals!$AC$5:$AC$49,Totals!$A$5:$A$49,"Airport page",Totals!$B$5:$B$49,"Paid Search",Totals!$C$5:$C$49,"Mobile")</f>
        <v/>
      </c>
      <c r="AD25" s="41">
        <f>SUMIFS(Totals!$AD$5:$AD$49,Totals!$A$5:$A$49,"Airport page",Totals!$B$5:$B$49,"Paid Search",Totals!$C$5:$C$49,"Mobile")</f>
        <v/>
      </c>
      <c r="AE25" s="69">
        <f>IF(OR(AD25="",AC25="",AC25=0,AD25=0),"",AD25-AC25)</f>
        <v/>
      </c>
      <c r="AF25" s="42">
        <f>IF(OR(AD25="",AC25="",AC25=0,AD25=0),"",AD25/AC25-1)</f>
        <v/>
      </c>
      <c r="AG25" s="43">
        <f>IF(OR(AC25="",V25="",V25=0),"",AC25/V25)</f>
        <v/>
      </c>
      <c r="AH25" s="43">
        <f>IF(OR(AD25="",W25="",W25=0),"",AD25/W25)</f>
        <v/>
      </c>
      <c r="AI25" s="44">
        <f>IF(OR(AH25="",AG25=""),"",(AH25-AG25)*100)</f>
        <v/>
      </c>
      <c r="AJ25" s="41">
        <f>SUMIFS(Totals!$AJ$5:$AJ$49,Totals!$A$5:$A$49,"Airport page",Totals!$B$5:$B$49,"Paid Search",Totals!$C$5:$C$49,"Mobile")</f>
        <v/>
      </c>
      <c r="AK25" s="41">
        <f>SUMIFS(Totals!$AK$5:$AK$49,Totals!$A$5:$A$49,"Airport page",Totals!$B$5:$B$49,"Paid Search",Totals!$C$5:$C$49,"Mobile")</f>
        <v/>
      </c>
      <c r="AL25" s="69">
        <f>IF(OR(AK25="",AJ25="",AJ25=0,AK25=0),"",AK25-AJ25)</f>
        <v/>
      </c>
      <c r="AM25" s="42">
        <f>IF(OR(AK25="",AJ25="",AJ25=0,AK25=0),"",AK25/AJ25-1)</f>
        <v/>
      </c>
      <c r="AN25" s="43">
        <f>IF(OR(AJ25="",AC25="",AC25=0),"",AJ25/AC25)</f>
        <v/>
      </c>
      <c r="AO25" s="43">
        <f>IF(OR(AK25="",AD25="",AD25=0),"",AK25/AD25)</f>
        <v/>
      </c>
      <c r="AP25" s="44">
        <f>IF(OR(AO25="",AN25=""),"",(AO25-AN25)*100)</f>
        <v/>
      </c>
      <c r="AQ25" s="41">
        <f>SUMIFS(Totals!$AQ$5:$AQ$49,Totals!$A$5:$A$49,"Airport page",Totals!$B$5:$B$49,"Paid Search",Totals!$C$5:$C$49,"Mobile")</f>
        <v/>
      </c>
      <c r="AR25" s="41">
        <f>SUMIFS(Totals!$AR$5:$AR$49,Totals!$A$5:$A$49,"Airport page",Totals!$B$5:$B$49,"Paid Search",Totals!$C$5:$C$49,"Mobile")</f>
        <v/>
      </c>
      <c r="AS25" s="69">
        <f>IF(OR(AR25="",AQ25="",AQ25=0,AR25=0),"",AR25-AQ25)</f>
        <v/>
      </c>
      <c r="AT25" s="42">
        <f>IF(OR(AR25="",AQ25="",AQ25=0,AR25=0),"",AR25/AQ25-1)</f>
        <v/>
      </c>
      <c r="AU25" s="43">
        <f>IF(OR(AQ25="",AJ25="",AJ25=0),"",AQ25/AJ25)</f>
        <v/>
      </c>
      <c r="AV25" s="43">
        <f>IF(OR(AR25="",AK25="",AK25=0),"",AR25/AK25)</f>
        <v/>
      </c>
      <c r="AW25" s="44">
        <f>IF(OR(AV25="",AU25=""),"",(AV25-AU25)*100)</f>
        <v/>
      </c>
      <c r="AX25" s="45">
        <f>IF(OR(AQ25="",O25="",O25=0),"",AQ25/O25)</f>
        <v/>
      </c>
      <c r="AY25" s="45">
        <f>IF(OR(AR25="",P25="",P25=0),"",AR25/P25)</f>
        <v/>
      </c>
      <c r="AZ25" s="44">
        <f>IF(OR(AY25="",AX25=""),"",(AY25-AX25)*100)</f>
        <v/>
      </c>
      <c r="BA25" s="45">
        <f>IF(OR(AQ25="",D25="",D25=0),"",AQ25/D25)</f>
        <v/>
      </c>
      <c r="BB25" s="45">
        <f>IF(OR(AR25="",E25="",E25=0),"",AR25/E25)</f>
        <v/>
      </c>
      <c r="BC25" s="44">
        <f>IF(OR(BB25="",BA25=""),"",(BB25-BA25)*100)</f>
        <v/>
      </c>
    </row>
    <row r="26">
      <c r="A26" s="40" t="inlineStr">
        <is>
          <t>Airport page</t>
        </is>
      </c>
      <c r="B26" s="40" t="inlineStr">
        <is>
          <t>Paid Search</t>
        </is>
      </c>
      <c r="C26" s="40" t="inlineStr">
        <is>
          <t>Desktop</t>
        </is>
      </c>
      <c r="D26" s="41">
        <f>SUMIFS(Totals!$D$5:$D$49,Totals!$A$5:$A$49,"Airport page",Totals!$B$5:$B$49,"Paid Search",Totals!$C$5:$C$49,"Desktop")</f>
        <v/>
      </c>
      <c r="E26" s="41">
        <f>SUMIFS(Totals!$E$5:$E$49,Totals!$A$5:$A$49,"Airport page",Totals!$B$5:$B$49,"Paid Search",Totals!$C$5:$C$49,"Desktop")</f>
        <v/>
      </c>
      <c r="F26" s="69">
        <f>IF(OR(E26="",D26="",D26=0,E26=0),"",E26-D26)</f>
        <v/>
      </c>
      <c r="G26" s="42">
        <f>IF(OR(E26="",D26="",D26=0,E26=0),"",E26/D26-1)</f>
        <v/>
      </c>
      <c r="H26" s="41">
        <f>SUMIFS(Totals!$H$5:$H$49,Totals!$A$5:$A$49,"Airport page",Totals!$B$5:$B$49,"Paid Search",Totals!$C$5:$C$49,"Desktop")</f>
        <v/>
      </c>
      <c r="I26" s="41">
        <f>SUMIFS(Totals!$I$5:$I$49,Totals!$A$5:$A$49,"Airport page",Totals!$B$5:$B$49,"Paid Search",Totals!$C$5:$C$49,"Desktop")</f>
        <v/>
      </c>
      <c r="J26" s="69">
        <f>IF(OR(I26="",H26="",H26=0,I26=0),"",I26-H26)</f>
        <v/>
      </c>
      <c r="K26" s="42">
        <f>IF(OR(I26="",H26="",H26=0,I26=0),"",I26/H26-1)</f>
        <v/>
      </c>
      <c r="L26" s="43">
        <f>IF(OR(H26="",D26="",D26=0),"",H26/D26)</f>
        <v/>
      </c>
      <c r="M26" s="43">
        <f>IF(OR(I26="",E26="",E26=0),"",I26/E26)</f>
        <v/>
      </c>
      <c r="N26" s="44">
        <f>IF(OR(M26="",L26=""),"",(M26-L26)*100)</f>
        <v/>
      </c>
      <c r="O26" s="41">
        <f>SUMIFS(Totals!$O$5:$O$49,Totals!$A$5:$A$49,"Airport page",Totals!$B$5:$B$49,"Paid Search",Totals!$C$5:$C$49,"Desktop")</f>
        <v/>
      </c>
      <c r="P26" s="41">
        <f>SUMIFS(Totals!$P$5:$P$49,Totals!$A$5:$A$49,"Airport page",Totals!$B$5:$B$49,"Paid Search",Totals!$C$5:$C$49,"Desktop")</f>
        <v/>
      </c>
      <c r="Q26" s="69">
        <f>IF(OR(P26="",O26="",O26=0,P26=0),"",P26-O26)</f>
        <v/>
      </c>
      <c r="R26" s="42">
        <f>IF(OR(P26="",O26="",O26=0,P26=0),"",P26/O26-1)</f>
        <v/>
      </c>
      <c r="S26" s="43">
        <f>IF(OR(O26="",D26="",D26=0),"",O26/D26)</f>
        <v/>
      </c>
      <c r="T26" s="43">
        <f>IF(OR(P26="",E26="",E26=0),"",P26/E26)</f>
        <v/>
      </c>
      <c r="U26" s="44">
        <f>IF(OR(T26="",S26=""),"",(T26-S26)*100)</f>
        <v/>
      </c>
      <c r="V26" s="41">
        <f>SUMIFS(Totals!$V$5:$V$49,Totals!$A$5:$A$49,"Airport page",Totals!$B$5:$B$49,"Paid Search",Totals!$C$5:$C$49,"Desktop")</f>
        <v/>
      </c>
      <c r="W26" s="41">
        <f>SUMIFS(Totals!$W$5:$W$49,Totals!$A$5:$A$49,"Airport page",Totals!$B$5:$B$49,"Paid Search",Totals!$C$5:$C$49,"Desktop")</f>
        <v/>
      </c>
      <c r="X26" s="69">
        <f>IF(OR(W26="",V26="",V26=0,W26=0),"",W26-V26)</f>
        <v/>
      </c>
      <c r="Y26" s="42">
        <f>IF(OR(W26="",V26="",V26=0,W26=0),"",W26/V26-1)</f>
        <v/>
      </c>
      <c r="Z26" s="43">
        <f>IF(OR(V26="",O26="",O26=0),"",V26/O26)</f>
        <v/>
      </c>
      <c r="AA26" s="43">
        <f>IF(OR(W26="",P26="",P26=0),"",W26/P26)</f>
        <v/>
      </c>
      <c r="AB26" s="44">
        <f>IF(OR(AA26="",Z26=""),"",(AA26-Z26)*100)</f>
        <v/>
      </c>
      <c r="AC26" s="41">
        <f>SUMIFS(Totals!$AC$5:$AC$49,Totals!$A$5:$A$49,"Airport page",Totals!$B$5:$B$49,"Paid Search",Totals!$C$5:$C$49,"Desktop")</f>
        <v/>
      </c>
      <c r="AD26" s="41">
        <f>SUMIFS(Totals!$AD$5:$AD$49,Totals!$A$5:$A$49,"Airport page",Totals!$B$5:$B$49,"Paid Search",Totals!$C$5:$C$49,"Desktop")</f>
        <v/>
      </c>
      <c r="AE26" s="69">
        <f>IF(OR(AD26="",AC26="",AC26=0,AD26=0),"",AD26-AC26)</f>
        <v/>
      </c>
      <c r="AF26" s="42">
        <f>IF(OR(AD26="",AC26="",AC26=0,AD26=0),"",AD26/AC26-1)</f>
        <v/>
      </c>
      <c r="AG26" s="43">
        <f>IF(OR(AC26="",V26="",V26=0),"",AC26/V26)</f>
        <v/>
      </c>
      <c r="AH26" s="43">
        <f>IF(OR(AD26="",W26="",W26=0),"",AD26/W26)</f>
        <v/>
      </c>
      <c r="AI26" s="44">
        <f>IF(OR(AH26="",AG26=""),"",(AH26-AG26)*100)</f>
        <v/>
      </c>
      <c r="AJ26" s="41">
        <f>SUMIFS(Totals!$AJ$5:$AJ$49,Totals!$A$5:$A$49,"Airport page",Totals!$B$5:$B$49,"Paid Search",Totals!$C$5:$C$49,"Desktop")</f>
        <v/>
      </c>
      <c r="AK26" s="41">
        <f>SUMIFS(Totals!$AK$5:$AK$49,Totals!$A$5:$A$49,"Airport page",Totals!$B$5:$B$49,"Paid Search",Totals!$C$5:$C$49,"Desktop")</f>
        <v/>
      </c>
      <c r="AL26" s="69">
        <f>IF(OR(AK26="",AJ26="",AJ26=0,AK26=0),"",AK26-AJ26)</f>
        <v/>
      </c>
      <c r="AM26" s="42">
        <f>IF(OR(AK26="",AJ26="",AJ26=0,AK26=0),"",AK26/AJ26-1)</f>
        <v/>
      </c>
      <c r="AN26" s="43">
        <f>IF(OR(AJ26="",AC26="",AC26=0),"",AJ26/AC26)</f>
        <v/>
      </c>
      <c r="AO26" s="43">
        <f>IF(OR(AK26="",AD26="",AD26=0),"",AK26/AD26)</f>
        <v/>
      </c>
      <c r="AP26" s="44">
        <f>IF(OR(AO26="",AN26=""),"",(AO26-AN26)*100)</f>
        <v/>
      </c>
      <c r="AQ26" s="41">
        <f>SUMIFS(Totals!$AQ$5:$AQ$49,Totals!$A$5:$A$49,"Airport page",Totals!$B$5:$B$49,"Paid Search",Totals!$C$5:$C$49,"Desktop")</f>
        <v/>
      </c>
      <c r="AR26" s="41">
        <f>SUMIFS(Totals!$AR$5:$AR$49,Totals!$A$5:$A$49,"Airport page",Totals!$B$5:$B$49,"Paid Search",Totals!$C$5:$C$49,"Desktop")</f>
        <v/>
      </c>
      <c r="AS26" s="69">
        <f>IF(OR(AR26="",AQ26="",AQ26=0,AR26=0),"",AR26-AQ26)</f>
        <v/>
      </c>
      <c r="AT26" s="42">
        <f>IF(OR(AR26="",AQ26="",AQ26=0,AR26=0),"",AR26/AQ26-1)</f>
        <v/>
      </c>
      <c r="AU26" s="43">
        <f>IF(OR(AQ26="",AJ26="",AJ26=0),"",AQ26/AJ26)</f>
        <v/>
      </c>
      <c r="AV26" s="43">
        <f>IF(OR(AR26="",AK26="",AK26=0),"",AR26/AK26)</f>
        <v/>
      </c>
      <c r="AW26" s="44">
        <f>IF(OR(AV26="",AU26=""),"",(AV26-AU26)*100)</f>
        <v/>
      </c>
      <c r="AX26" s="45">
        <f>IF(OR(AQ26="",O26="",O26=0),"",AQ26/O26)</f>
        <v/>
      </c>
      <c r="AY26" s="45">
        <f>IF(OR(AR26="",P26="",P26=0),"",AR26/P26)</f>
        <v/>
      </c>
      <c r="AZ26" s="44">
        <f>IF(OR(AY26="",AX26=""),"",(AY26-AX26)*100)</f>
        <v/>
      </c>
      <c r="BA26" s="45">
        <f>IF(OR(AQ26="",D26="",D26=0),"",AQ26/D26)</f>
        <v/>
      </c>
      <c r="BB26" s="45">
        <f>IF(OR(AR26="",E26="",E26=0),"",AR26/E26)</f>
        <v/>
      </c>
      <c r="BC26" s="44">
        <f>IF(OR(BB26="",BA26=""),"",(BB26-BA26)*100)</f>
        <v/>
      </c>
    </row>
    <row r="27">
      <c r="A27" s="32" t="inlineStr">
        <is>
          <t>Airport page</t>
        </is>
      </c>
      <c r="B27" s="32" t="inlineStr">
        <is>
          <t>Organic</t>
        </is>
      </c>
      <c r="C27" s="32" t="inlineStr">
        <is>
          <t>Total</t>
        </is>
      </c>
      <c r="D27" s="33">
        <f>SUMIFS(Totals!$D$5:$D$49,Totals!$A$5:$A$49,"Airport page",Totals!$B$5:$B$49,"Organic",Totals!$C$5:$C$49,"Total")</f>
        <v/>
      </c>
      <c r="E27" s="33">
        <f>SUMIFS(Totals!$E$5:$E$49,Totals!$A$5:$A$49,"Airport page",Totals!$B$5:$B$49,"Organic",Totals!$C$5:$C$49,"Total")</f>
        <v/>
      </c>
      <c r="F27" s="67">
        <f>IF(OR(E27="",D27="",D27=0,E27=0),"",E27-D27)</f>
        <v/>
      </c>
      <c r="G27" s="34">
        <f>IF(OR(E27="",D27="",D27=0,E27=0),"",E27/D27-1)</f>
        <v/>
      </c>
      <c r="H27" s="33">
        <f>SUMIFS(Totals!$H$5:$H$49,Totals!$A$5:$A$49,"Airport page",Totals!$B$5:$B$49,"Organic",Totals!$C$5:$C$49,"Total")</f>
        <v/>
      </c>
      <c r="I27" s="33">
        <f>SUMIFS(Totals!$I$5:$I$49,Totals!$A$5:$A$49,"Airport page",Totals!$B$5:$B$49,"Organic",Totals!$C$5:$C$49,"Total")</f>
        <v/>
      </c>
      <c r="J27" s="67">
        <f>IF(OR(I27="",H27="",H27=0,I27=0),"",I27-H27)</f>
        <v/>
      </c>
      <c r="K27" s="34">
        <f>IF(OR(I27="",H27="",H27=0,I27=0),"",I27/H27-1)</f>
        <v/>
      </c>
      <c r="L27" s="35">
        <f>IF(OR(H27="",D27="",D27=0),"",H27/D27)</f>
        <v/>
      </c>
      <c r="M27" s="35">
        <f>IF(OR(I27="",E27="",E27=0),"",I27/E27)</f>
        <v/>
      </c>
      <c r="N27" s="36">
        <f>IF(OR(M27="",L27=""),"",(M27-L27)*100)</f>
        <v/>
      </c>
      <c r="O27" s="33">
        <f>SUMIFS(Totals!$O$5:$O$49,Totals!$A$5:$A$49,"Airport page",Totals!$B$5:$B$49,"Organic",Totals!$C$5:$C$49,"Total")</f>
        <v/>
      </c>
      <c r="P27" s="33">
        <f>SUMIFS(Totals!$P$5:$P$49,Totals!$A$5:$A$49,"Airport page",Totals!$B$5:$B$49,"Organic",Totals!$C$5:$C$49,"Total")</f>
        <v/>
      </c>
      <c r="Q27" s="67">
        <f>IF(OR(P27="",O27="",O27=0,P27=0),"",P27-O27)</f>
        <v/>
      </c>
      <c r="R27" s="34">
        <f>IF(OR(P27="",O27="",O27=0,P27=0),"",P27/O27-1)</f>
        <v/>
      </c>
      <c r="S27" s="35">
        <f>IF(OR(O27="",D27="",D27=0),"",O27/D27)</f>
        <v/>
      </c>
      <c r="T27" s="35">
        <f>IF(OR(P27="",E27="",E27=0),"",P27/E27)</f>
        <v/>
      </c>
      <c r="U27" s="36">
        <f>IF(OR(T27="",S27=""),"",(T27-S27)*100)</f>
        <v/>
      </c>
      <c r="V27" s="33">
        <f>SUMIFS(Totals!$V$5:$V$49,Totals!$A$5:$A$49,"Airport page",Totals!$B$5:$B$49,"Organic",Totals!$C$5:$C$49,"Total")</f>
        <v/>
      </c>
      <c r="W27" s="33">
        <f>SUMIFS(Totals!$W$5:$W$49,Totals!$A$5:$A$49,"Airport page",Totals!$B$5:$B$49,"Organic",Totals!$C$5:$C$49,"Total")</f>
        <v/>
      </c>
      <c r="X27" s="67">
        <f>IF(OR(W27="",V27="",V27=0,W27=0),"",W27-V27)</f>
        <v/>
      </c>
      <c r="Y27" s="34">
        <f>IF(OR(W27="",V27="",V27=0,W27=0),"",W27/V27-1)</f>
        <v/>
      </c>
      <c r="Z27" s="35">
        <f>IF(OR(V27="",O27="",O27=0),"",V27/O27)</f>
        <v/>
      </c>
      <c r="AA27" s="35">
        <f>IF(OR(W27="",P27="",P27=0),"",W27/P27)</f>
        <v/>
      </c>
      <c r="AB27" s="36">
        <f>IF(OR(AA27="",Z27=""),"",(AA27-Z27)*100)</f>
        <v/>
      </c>
      <c r="AC27" s="33">
        <f>SUMIFS(Totals!$AC$5:$AC$49,Totals!$A$5:$A$49,"Airport page",Totals!$B$5:$B$49,"Organic",Totals!$C$5:$C$49,"Total")</f>
        <v/>
      </c>
      <c r="AD27" s="33">
        <f>SUMIFS(Totals!$AD$5:$AD$49,Totals!$A$5:$A$49,"Airport page",Totals!$B$5:$B$49,"Organic",Totals!$C$5:$C$49,"Total")</f>
        <v/>
      </c>
      <c r="AE27" s="67">
        <f>IF(OR(AD27="",AC27="",AC27=0,AD27=0),"",AD27-AC27)</f>
        <v/>
      </c>
      <c r="AF27" s="34">
        <f>IF(OR(AD27="",AC27="",AC27=0,AD27=0),"",AD27/AC27-1)</f>
        <v/>
      </c>
      <c r="AG27" s="35">
        <f>IF(OR(AC27="",V27="",V27=0),"",AC27/V27)</f>
        <v/>
      </c>
      <c r="AH27" s="35">
        <f>IF(OR(AD27="",W27="",W27=0),"",AD27/W27)</f>
        <v/>
      </c>
      <c r="AI27" s="36">
        <f>IF(OR(AH27="",AG27=""),"",(AH27-AG27)*100)</f>
        <v/>
      </c>
      <c r="AJ27" s="33">
        <f>SUMIFS(Totals!$AJ$5:$AJ$49,Totals!$A$5:$A$49,"Airport page",Totals!$B$5:$B$49,"Organic",Totals!$C$5:$C$49,"Total")</f>
        <v/>
      </c>
      <c r="AK27" s="33">
        <f>SUMIFS(Totals!$AK$5:$AK$49,Totals!$A$5:$A$49,"Airport page",Totals!$B$5:$B$49,"Organic",Totals!$C$5:$C$49,"Total")</f>
        <v/>
      </c>
      <c r="AL27" s="67">
        <f>IF(OR(AK27="",AJ27="",AJ27=0,AK27=0),"",AK27-AJ27)</f>
        <v/>
      </c>
      <c r="AM27" s="34">
        <f>IF(OR(AK27="",AJ27="",AJ27=0,AK27=0),"",AK27/AJ27-1)</f>
        <v/>
      </c>
      <c r="AN27" s="35">
        <f>IF(OR(AJ27="",AC27="",AC27=0),"",AJ27/AC27)</f>
        <v/>
      </c>
      <c r="AO27" s="35">
        <f>IF(OR(AK27="",AD27="",AD27=0),"",AK27/AD27)</f>
        <v/>
      </c>
      <c r="AP27" s="36">
        <f>IF(OR(AO27="",AN27=""),"",(AO27-AN27)*100)</f>
        <v/>
      </c>
      <c r="AQ27" s="33">
        <f>SUMIFS(Totals!$AQ$5:$AQ$49,Totals!$A$5:$A$49,"Airport page",Totals!$B$5:$B$49,"Organic",Totals!$C$5:$C$49,"Total")</f>
        <v/>
      </c>
      <c r="AR27" s="33">
        <f>SUMIFS(Totals!$AR$5:$AR$49,Totals!$A$5:$A$49,"Airport page",Totals!$B$5:$B$49,"Organic",Totals!$C$5:$C$49,"Total")</f>
        <v/>
      </c>
      <c r="AS27" s="67">
        <f>IF(OR(AR27="",AQ27="",AQ27=0,AR27=0),"",AR27-AQ27)</f>
        <v/>
      </c>
      <c r="AT27" s="34">
        <f>IF(OR(AR27="",AQ27="",AQ27=0,AR27=0),"",AR27/AQ27-1)</f>
        <v/>
      </c>
      <c r="AU27" s="35">
        <f>IF(OR(AQ27="",AJ27="",AJ27=0),"",AQ27/AJ27)</f>
        <v/>
      </c>
      <c r="AV27" s="35">
        <f>IF(OR(AR27="",AK27="",AK27=0),"",AR27/AK27)</f>
        <v/>
      </c>
      <c r="AW27" s="36">
        <f>IF(OR(AV27="",AU27=""),"",(AV27-AU27)*100)</f>
        <v/>
      </c>
      <c r="AX27" s="37">
        <f>IF(OR(AQ27="",O27="",O27=0),"",AQ27/O27)</f>
        <v/>
      </c>
      <c r="AY27" s="37">
        <f>IF(OR(AR27="",P27="",P27=0),"",AR27/P27)</f>
        <v/>
      </c>
      <c r="AZ27" s="36">
        <f>IF(OR(AY27="",AX27=""),"",(AY27-AX27)*100)</f>
        <v/>
      </c>
      <c r="BA27" s="37">
        <f>IF(OR(AQ27="",D27="",D27=0),"",AQ27/D27)</f>
        <v/>
      </c>
      <c r="BB27" s="37">
        <f>IF(OR(AR27="",E27="",E27=0),"",AR27/E27)</f>
        <v/>
      </c>
      <c r="BC27" s="36">
        <f>IF(OR(BB27="",BA27=""),"",(BB27-BA27)*100)</f>
        <v/>
      </c>
    </row>
    <row r="28">
      <c r="A28" s="40" t="inlineStr">
        <is>
          <t>Airport page</t>
        </is>
      </c>
      <c r="B28" s="40" t="inlineStr">
        <is>
          <t>Organic</t>
        </is>
      </c>
      <c r="C28" s="40" t="inlineStr">
        <is>
          <t>Mobile</t>
        </is>
      </c>
      <c r="D28" s="41">
        <f>SUMIFS(Totals!$D$5:$D$49,Totals!$A$5:$A$49,"Airport page",Totals!$B$5:$B$49,"Organic",Totals!$C$5:$C$49,"Mobile")</f>
        <v/>
      </c>
      <c r="E28" s="41">
        <f>SUMIFS(Totals!$E$5:$E$49,Totals!$A$5:$A$49,"Airport page",Totals!$B$5:$B$49,"Organic",Totals!$C$5:$C$49,"Mobile")</f>
        <v/>
      </c>
      <c r="F28" s="69">
        <f>IF(OR(E28="",D28="",D28=0,E28=0),"",E28-D28)</f>
        <v/>
      </c>
      <c r="G28" s="42">
        <f>IF(OR(E28="",D28="",D28=0,E28=0),"",E28/D28-1)</f>
        <v/>
      </c>
      <c r="H28" s="41">
        <f>SUMIFS(Totals!$H$5:$H$49,Totals!$A$5:$A$49,"Airport page",Totals!$B$5:$B$49,"Organic",Totals!$C$5:$C$49,"Mobile")</f>
        <v/>
      </c>
      <c r="I28" s="41">
        <f>SUMIFS(Totals!$I$5:$I$49,Totals!$A$5:$A$49,"Airport page",Totals!$B$5:$B$49,"Organic",Totals!$C$5:$C$49,"Mobile")</f>
        <v/>
      </c>
      <c r="J28" s="69">
        <f>IF(OR(I28="",H28="",H28=0,I28=0),"",I28-H28)</f>
        <v/>
      </c>
      <c r="K28" s="42">
        <f>IF(OR(I28="",H28="",H28=0,I28=0),"",I28/H28-1)</f>
        <v/>
      </c>
      <c r="L28" s="43">
        <f>IF(OR(H28="",D28="",D28=0),"",H28/D28)</f>
        <v/>
      </c>
      <c r="M28" s="43">
        <f>IF(OR(I28="",E28="",E28=0),"",I28/E28)</f>
        <v/>
      </c>
      <c r="N28" s="44">
        <f>IF(OR(M28="",L28=""),"",(M28-L28)*100)</f>
        <v/>
      </c>
      <c r="O28" s="41">
        <f>SUMIFS(Totals!$O$5:$O$49,Totals!$A$5:$A$49,"Airport page",Totals!$B$5:$B$49,"Organic",Totals!$C$5:$C$49,"Mobile")</f>
        <v/>
      </c>
      <c r="P28" s="41">
        <f>SUMIFS(Totals!$P$5:$P$49,Totals!$A$5:$A$49,"Airport page",Totals!$B$5:$B$49,"Organic",Totals!$C$5:$C$49,"Mobile")</f>
        <v/>
      </c>
      <c r="Q28" s="69">
        <f>IF(OR(P28="",O28="",O28=0,P28=0),"",P28-O28)</f>
        <v/>
      </c>
      <c r="R28" s="42">
        <f>IF(OR(P28="",O28="",O28=0,P28=0),"",P28/O28-1)</f>
        <v/>
      </c>
      <c r="S28" s="43">
        <f>IF(OR(O28="",D28="",D28=0),"",O28/D28)</f>
        <v/>
      </c>
      <c r="T28" s="43">
        <f>IF(OR(P28="",E28="",E28=0),"",P28/E28)</f>
        <v/>
      </c>
      <c r="U28" s="44">
        <f>IF(OR(T28="",S28=""),"",(T28-S28)*100)</f>
        <v/>
      </c>
      <c r="V28" s="41">
        <f>SUMIFS(Totals!$V$5:$V$49,Totals!$A$5:$A$49,"Airport page",Totals!$B$5:$B$49,"Organic",Totals!$C$5:$C$49,"Mobile")</f>
        <v/>
      </c>
      <c r="W28" s="41">
        <f>SUMIFS(Totals!$W$5:$W$49,Totals!$A$5:$A$49,"Airport page",Totals!$B$5:$B$49,"Organic",Totals!$C$5:$C$49,"Mobile")</f>
        <v/>
      </c>
      <c r="X28" s="69">
        <f>IF(OR(W28="",V28="",V28=0,W28=0),"",W28-V28)</f>
        <v/>
      </c>
      <c r="Y28" s="42">
        <f>IF(OR(W28="",V28="",V28=0,W28=0),"",W28/V28-1)</f>
        <v/>
      </c>
      <c r="Z28" s="43">
        <f>IF(OR(V28="",O28="",O28=0),"",V28/O28)</f>
        <v/>
      </c>
      <c r="AA28" s="43">
        <f>IF(OR(W28="",P28="",P28=0),"",W28/P28)</f>
        <v/>
      </c>
      <c r="AB28" s="44">
        <f>IF(OR(AA28="",Z28=""),"",(AA28-Z28)*100)</f>
        <v/>
      </c>
      <c r="AC28" s="41">
        <f>SUMIFS(Totals!$AC$5:$AC$49,Totals!$A$5:$A$49,"Airport page",Totals!$B$5:$B$49,"Organic",Totals!$C$5:$C$49,"Mobile")</f>
        <v/>
      </c>
      <c r="AD28" s="41">
        <f>SUMIFS(Totals!$AD$5:$AD$49,Totals!$A$5:$A$49,"Airport page",Totals!$B$5:$B$49,"Organic",Totals!$C$5:$C$49,"Mobile")</f>
        <v/>
      </c>
      <c r="AE28" s="69">
        <f>IF(OR(AD28="",AC28="",AC28=0,AD28=0),"",AD28-AC28)</f>
        <v/>
      </c>
      <c r="AF28" s="42">
        <f>IF(OR(AD28="",AC28="",AC28=0,AD28=0),"",AD28/AC28-1)</f>
        <v/>
      </c>
      <c r="AG28" s="43">
        <f>IF(OR(AC28="",V28="",V28=0),"",AC28/V28)</f>
        <v/>
      </c>
      <c r="AH28" s="43">
        <f>IF(OR(AD28="",W28="",W28=0),"",AD28/W28)</f>
        <v/>
      </c>
      <c r="AI28" s="44">
        <f>IF(OR(AH28="",AG28=""),"",(AH28-AG28)*100)</f>
        <v/>
      </c>
      <c r="AJ28" s="41">
        <f>SUMIFS(Totals!$AJ$5:$AJ$49,Totals!$A$5:$A$49,"Airport page",Totals!$B$5:$B$49,"Organic",Totals!$C$5:$C$49,"Mobile")</f>
        <v/>
      </c>
      <c r="AK28" s="41">
        <f>SUMIFS(Totals!$AK$5:$AK$49,Totals!$A$5:$A$49,"Airport page",Totals!$B$5:$B$49,"Organic",Totals!$C$5:$C$49,"Mobile")</f>
        <v/>
      </c>
      <c r="AL28" s="69">
        <f>IF(OR(AK28="",AJ28="",AJ28=0,AK28=0),"",AK28-AJ28)</f>
        <v/>
      </c>
      <c r="AM28" s="42">
        <f>IF(OR(AK28="",AJ28="",AJ28=0,AK28=0),"",AK28/AJ28-1)</f>
        <v/>
      </c>
      <c r="AN28" s="43">
        <f>IF(OR(AJ28="",AC28="",AC28=0),"",AJ28/AC28)</f>
        <v/>
      </c>
      <c r="AO28" s="43">
        <f>IF(OR(AK28="",AD28="",AD28=0),"",AK28/AD28)</f>
        <v/>
      </c>
      <c r="AP28" s="44">
        <f>IF(OR(AO28="",AN28=""),"",(AO28-AN28)*100)</f>
        <v/>
      </c>
      <c r="AQ28" s="41">
        <f>SUMIFS(Totals!$AQ$5:$AQ$49,Totals!$A$5:$A$49,"Airport page",Totals!$B$5:$B$49,"Organic",Totals!$C$5:$C$49,"Mobile")</f>
        <v/>
      </c>
      <c r="AR28" s="41">
        <f>SUMIFS(Totals!$AR$5:$AR$49,Totals!$A$5:$A$49,"Airport page",Totals!$B$5:$B$49,"Organic",Totals!$C$5:$C$49,"Mobile")</f>
        <v/>
      </c>
      <c r="AS28" s="69">
        <f>IF(OR(AR28="",AQ28="",AQ28=0,AR28=0),"",AR28-AQ28)</f>
        <v/>
      </c>
      <c r="AT28" s="42">
        <f>IF(OR(AR28="",AQ28="",AQ28=0,AR28=0),"",AR28/AQ28-1)</f>
        <v/>
      </c>
      <c r="AU28" s="43">
        <f>IF(OR(AQ28="",AJ28="",AJ28=0),"",AQ28/AJ28)</f>
        <v/>
      </c>
      <c r="AV28" s="43">
        <f>IF(OR(AR28="",AK28="",AK28=0),"",AR28/AK28)</f>
        <v/>
      </c>
      <c r="AW28" s="44">
        <f>IF(OR(AV28="",AU28=""),"",(AV28-AU28)*100)</f>
        <v/>
      </c>
      <c r="AX28" s="45">
        <f>IF(OR(AQ28="",O28="",O28=0),"",AQ28/O28)</f>
        <v/>
      </c>
      <c r="AY28" s="45">
        <f>IF(OR(AR28="",P28="",P28=0),"",AR28/P28)</f>
        <v/>
      </c>
      <c r="AZ28" s="44">
        <f>IF(OR(AY28="",AX28=""),"",(AY28-AX28)*100)</f>
        <v/>
      </c>
      <c r="BA28" s="45">
        <f>IF(OR(AQ28="",D28="",D28=0),"",AQ28/D28)</f>
        <v/>
      </c>
      <c r="BB28" s="45">
        <f>IF(OR(AR28="",E28="",E28=0),"",AR28/E28)</f>
        <v/>
      </c>
      <c r="BC28" s="44">
        <f>IF(OR(BB28="",BA28=""),"",(BB28-BA28)*100)</f>
        <v/>
      </c>
    </row>
    <row r="29">
      <c r="A29" s="40" t="inlineStr">
        <is>
          <t>Airport page</t>
        </is>
      </c>
      <c r="B29" s="40" t="inlineStr">
        <is>
          <t>Organic</t>
        </is>
      </c>
      <c r="C29" s="40" t="inlineStr">
        <is>
          <t>Desktop</t>
        </is>
      </c>
      <c r="D29" s="41">
        <f>SUMIFS(Totals!$D$5:$D$49,Totals!$A$5:$A$49,"Airport page",Totals!$B$5:$B$49,"Organic",Totals!$C$5:$C$49,"Desktop")</f>
        <v/>
      </c>
      <c r="E29" s="41">
        <f>SUMIFS(Totals!$E$5:$E$49,Totals!$A$5:$A$49,"Airport page",Totals!$B$5:$B$49,"Organic",Totals!$C$5:$C$49,"Desktop")</f>
        <v/>
      </c>
      <c r="F29" s="69">
        <f>IF(OR(E29="",D29="",D29=0,E29=0),"",E29-D29)</f>
        <v/>
      </c>
      <c r="G29" s="42">
        <f>IF(OR(E29="",D29="",D29=0,E29=0),"",E29/D29-1)</f>
        <v/>
      </c>
      <c r="H29" s="41">
        <f>SUMIFS(Totals!$H$5:$H$49,Totals!$A$5:$A$49,"Airport page",Totals!$B$5:$B$49,"Organic",Totals!$C$5:$C$49,"Desktop")</f>
        <v/>
      </c>
      <c r="I29" s="41">
        <f>SUMIFS(Totals!$I$5:$I$49,Totals!$A$5:$A$49,"Airport page",Totals!$B$5:$B$49,"Organic",Totals!$C$5:$C$49,"Desktop")</f>
        <v/>
      </c>
      <c r="J29" s="69">
        <f>IF(OR(I29="",H29="",H29=0,I29=0),"",I29-H29)</f>
        <v/>
      </c>
      <c r="K29" s="42">
        <f>IF(OR(I29="",H29="",H29=0,I29=0),"",I29/H29-1)</f>
        <v/>
      </c>
      <c r="L29" s="43">
        <f>IF(OR(H29="",D29="",D29=0),"",H29/D29)</f>
        <v/>
      </c>
      <c r="M29" s="43">
        <f>IF(OR(I29="",E29="",E29=0),"",I29/E29)</f>
        <v/>
      </c>
      <c r="N29" s="44">
        <f>IF(OR(M29="",L29=""),"",(M29-L29)*100)</f>
        <v/>
      </c>
      <c r="O29" s="41">
        <f>SUMIFS(Totals!$O$5:$O$49,Totals!$A$5:$A$49,"Airport page",Totals!$B$5:$B$49,"Organic",Totals!$C$5:$C$49,"Desktop")</f>
        <v/>
      </c>
      <c r="P29" s="41">
        <f>SUMIFS(Totals!$P$5:$P$49,Totals!$A$5:$A$49,"Airport page",Totals!$B$5:$B$49,"Organic",Totals!$C$5:$C$49,"Desktop")</f>
        <v/>
      </c>
      <c r="Q29" s="69">
        <f>IF(OR(P29="",O29="",O29=0,P29=0),"",P29-O29)</f>
        <v/>
      </c>
      <c r="R29" s="42">
        <f>IF(OR(P29="",O29="",O29=0,P29=0),"",P29/O29-1)</f>
        <v/>
      </c>
      <c r="S29" s="43">
        <f>IF(OR(O29="",D29="",D29=0),"",O29/D29)</f>
        <v/>
      </c>
      <c r="T29" s="43">
        <f>IF(OR(P29="",E29="",E29=0),"",P29/E29)</f>
        <v/>
      </c>
      <c r="U29" s="44">
        <f>IF(OR(T29="",S29=""),"",(T29-S29)*100)</f>
        <v/>
      </c>
      <c r="V29" s="41">
        <f>SUMIFS(Totals!$V$5:$V$49,Totals!$A$5:$A$49,"Airport page",Totals!$B$5:$B$49,"Organic",Totals!$C$5:$C$49,"Desktop")</f>
        <v/>
      </c>
      <c r="W29" s="41">
        <f>SUMIFS(Totals!$W$5:$W$49,Totals!$A$5:$A$49,"Airport page",Totals!$B$5:$B$49,"Organic",Totals!$C$5:$C$49,"Desktop")</f>
        <v/>
      </c>
      <c r="X29" s="69">
        <f>IF(OR(W29="",V29="",V29=0,W29=0),"",W29-V29)</f>
        <v/>
      </c>
      <c r="Y29" s="42">
        <f>IF(OR(W29="",V29="",V29=0,W29=0),"",W29/V29-1)</f>
        <v/>
      </c>
      <c r="Z29" s="43">
        <f>IF(OR(V29="",O29="",O29=0),"",V29/O29)</f>
        <v/>
      </c>
      <c r="AA29" s="43">
        <f>IF(OR(W29="",P29="",P29=0),"",W29/P29)</f>
        <v/>
      </c>
      <c r="AB29" s="44">
        <f>IF(OR(AA29="",Z29=""),"",(AA29-Z29)*100)</f>
        <v/>
      </c>
      <c r="AC29" s="41">
        <f>SUMIFS(Totals!$AC$5:$AC$49,Totals!$A$5:$A$49,"Airport page",Totals!$B$5:$B$49,"Organic",Totals!$C$5:$C$49,"Desktop")</f>
        <v/>
      </c>
      <c r="AD29" s="41">
        <f>SUMIFS(Totals!$AD$5:$AD$49,Totals!$A$5:$A$49,"Airport page",Totals!$B$5:$B$49,"Organic",Totals!$C$5:$C$49,"Desktop")</f>
        <v/>
      </c>
      <c r="AE29" s="69">
        <f>IF(OR(AD29="",AC29="",AC29=0,AD29=0),"",AD29-AC29)</f>
        <v/>
      </c>
      <c r="AF29" s="42">
        <f>IF(OR(AD29="",AC29="",AC29=0,AD29=0),"",AD29/AC29-1)</f>
        <v/>
      </c>
      <c r="AG29" s="43">
        <f>IF(OR(AC29="",V29="",V29=0),"",AC29/V29)</f>
        <v/>
      </c>
      <c r="AH29" s="43">
        <f>IF(OR(AD29="",W29="",W29=0),"",AD29/W29)</f>
        <v/>
      </c>
      <c r="AI29" s="44">
        <f>IF(OR(AH29="",AG29=""),"",(AH29-AG29)*100)</f>
        <v/>
      </c>
      <c r="AJ29" s="41">
        <f>SUMIFS(Totals!$AJ$5:$AJ$49,Totals!$A$5:$A$49,"Airport page",Totals!$B$5:$B$49,"Organic",Totals!$C$5:$C$49,"Desktop")</f>
        <v/>
      </c>
      <c r="AK29" s="41">
        <f>SUMIFS(Totals!$AK$5:$AK$49,Totals!$A$5:$A$49,"Airport page",Totals!$B$5:$B$49,"Organic",Totals!$C$5:$C$49,"Desktop")</f>
        <v/>
      </c>
      <c r="AL29" s="69">
        <f>IF(OR(AK29="",AJ29="",AJ29=0,AK29=0),"",AK29-AJ29)</f>
        <v/>
      </c>
      <c r="AM29" s="42">
        <f>IF(OR(AK29="",AJ29="",AJ29=0,AK29=0),"",AK29/AJ29-1)</f>
        <v/>
      </c>
      <c r="AN29" s="43">
        <f>IF(OR(AJ29="",AC29="",AC29=0),"",AJ29/AC29)</f>
        <v/>
      </c>
      <c r="AO29" s="43">
        <f>IF(OR(AK29="",AD29="",AD29=0),"",AK29/AD29)</f>
        <v/>
      </c>
      <c r="AP29" s="44">
        <f>IF(OR(AO29="",AN29=""),"",(AO29-AN29)*100)</f>
        <v/>
      </c>
      <c r="AQ29" s="41">
        <f>SUMIFS(Totals!$AQ$5:$AQ$49,Totals!$A$5:$A$49,"Airport page",Totals!$B$5:$B$49,"Organic",Totals!$C$5:$C$49,"Desktop")</f>
        <v/>
      </c>
      <c r="AR29" s="41">
        <f>SUMIFS(Totals!$AR$5:$AR$49,Totals!$A$5:$A$49,"Airport page",Totals!$B$5:$B$49,"Organic",Totals!$C$5:$C$49,"Desktop")</f>
        <v/>
      </c>
      <c r="AS29" s="69">
        <f>IF(OR(AR29="",AQ29="",AQ29=0,AR29=0),"",AR29-AQ29)</f>
        <v/>
      </c>
      <c r="AT29" s="42">
        <f>IF(OR(AR29="",AQ29="",AQ29=0,AR29=0),"",AR29/AQ29-1)</f>
        <v/>
      </c>
      <c r="AU29" s="43">
        <f>IF(OR(AQ29="",AJ29="",AJ29=0),"",AQ29/AJ29)</f>
        <v/>
      </c>
      <c r="AV29" s="43">
        <f>IF(OR(AR29="",AK29="",AK29=0),"",AR29/AK29)</f>
        <v/>
      </c>
      <c r="AW29" s="44">
        <f>IF(OR(AV29="",AU29=""),"",(AV29-AU29)*100)</f>
        <v/>
      </c>
      <c r="AX29" s="45">
        <f>IF(OR(AQ29="",O29="",O29=0),"",AQ29/O29)</f>
        <v/>
      </c>
      <c r="AY29" s="45">
        <f>IF(OR(AR29="",P29="",P29=0),"",AR29/P29)</f>
        <v/>
      </c>
      <c r="AZ29" s="44">
        <f>IF(OR(AY29="",AX29=""),"",(AY29-AX29)*100)</f>
        <v/>
      </c>
      <c r="BA29" s="45">
        <f>IF(OR(AQ29="",D29="",D29=0),"",AQ29/D29)</f>
        <v/>
      </c>
      <c r="BB29" s="45">
        <f>IF(OR(AR29="",E29="",E29=0),"",AR29/E29)</f>
        <v/>
      </c>
      <c r="BC29" s="44">
        <f>IF(OR(BB29="",BA29=""),"",(BB29-BA29)*100)</f>
        <v/>
      </c>
    </row>
    <row r="30">
      <c r="A30" s="32" t="inlineStr">
        <is>
          <t>Airport page</t>
        </is>
      </c>
      <c r="B30" s="32" t="inlineStr">
        <is>
          <t>Direct</t>
        </is>
      </c>
      <c r="C30" s="32" t="inlineStr">
        <is>
          <t>Total</t>
        </is>
      </c>
      <c r="D30" s="33">
        <f>SUMIFS(Totals!$D$5:$D$49,Totals!$A$5:$A$49,"Airport page",Totals!$B$5:$B$49,"Direct",Totals!$C$5:$C$49,"Total")</f>
        <v/>
      </c>
      <c r="E30" s="33">
        <f>SUMIFS(Totals!$E$5:$E$49,Totals!$A$5:$A$49,"Airport page",Totals!$B$5:$B$49,"Direct",Totals!$C$5:$C$49,"Total")</f>
        <v/>
      </c>
      <c r="F30" s="67">
        <f>IF(OR(E30="",D30="",D30=0,E30=0),"",E30-D30)</f>
        <v/>
      </c>
      <c r="G30" s="34">
        <f>IF(OR(E30="",D30="",D30=0,E30=0),"",E30/D30-1)</f>
        <v/>
      </c>
      <c r="H30" s="33">
        <f>SUMIFS(Totals!$H$5:$H$49,Totals!$A$5:$A$49,"Airport page",Totals!$B$5:$B$49,"Direct",Totals!$C$5:$C$49,"Total")</f>
        <v/>
      </c>
      <c r="I30" s="33">
        <f>SUMIFS(Totals!$I$5:$I$49,Totals!$A$5:$A$49,"Airport page",Totals!$B$5:$B$49,"Direct",Totals!$C$5:$C$49,"Total")</f>
        <v/>
      </c>
      <c r="J30" s="67">
        <f>IF(OR(I30="",H30="",H30=0,I30=0),"",I30-H30)</f>
        <v/>
      </c>
      <c r="K30" s="34">
        <f>IF(OR(I30="",H30="",H30=0,I30=0),"",I30/H30-1)</f>
        <v/>
      </c>
      <c r="L30" s="35">
        <f>IF(OR(H30="",D30="",D30=0),"",H30/D30)</f>
        <v/>
      </c>
      <c r="M30" s="35">
        <f>IF(OR(I30="",E30="",E30=0),"",I30/E30)</f>
        <v/>
      </c>
      <c r="N30" s="36">
        <f>IF(OR(M30="",L30=""),"",(M30-L30)*100)</f>
        <v/>
      </c>
      <c r="O30" s="33">
        <f>SUMIFS(Totals!$O$5:$O$49,Totals!$A$5:$A$49,"Airport page",Totals!$B$5:$B$49,"Direct",Totals!$C$5:$C$49,"Total")</f>
        <v/>
      </c>
      <c r="P30" s="33">
        <f>SUMIFS(Totals!$P$5:$P$49,Totals!$A$5:$A$49,"Airport page",Totals!$B$5:$B$49,"Direct",Totals!$C$5:$C$49,"Total")</f>
        <v/>
      </c>
      <c r="Q30" s="67">
        <f>IF(OR(P30="",O30="",O30=0,P30=0),"",P30-O30)</f>
        <v/>
      </c>
      <c r="R30" s="34">
        <f>IF(OR(P30="",O30="",O30=0,P30=0),"",P30/O30-1)</f>
        <v/>
      </c>
      <c r="S30" s="35">
        <f>IF(OR(O30="",D30="",D30=0),"",O30/D30)</f>
        <v/>
      </c>
      <c r="T30" s="35">
        <f>IF(OR(P30="",E30="",E30=0),"",P30/E30)</f>
        <v/>
      </c>
      <c r="U30" s="36">
        <f>IF(OR(T30="",S30=""),"",(T30-S30)*100)</f>
        <v/>
      </c>
      <c r="V30" s="33">
        <f>SUMIFS(Totals!$V$5:$V$49,Totals!$A$5:$A$49,"Airport page",Totals!$B$5:$B$49,"Direct",Totals!$C$5:$C$49,"Total")</f>
        <v/>
      </c>
      <c r="W30" s="33">
        <f>SUMIFS(Totals!$W$5:$W$49,Totals!$A$5:$A$49,"Airport page",Totals!$B$5:$B$49,"Direct",Totals!$C$5:$C$49,"Total")</f>
        <v/>
      </c>
      <c r="X30" s="67">
        <f>IF(OR(W30="",V30="",V30=0,W30=0),"",W30-V30)</f>
        <v/>
      </c>
      <c r="Y30" s="34">
        <f>IF(OR(W30="",V30="",V30=0,W30=0),"",W30/V30-1)</f>
        <v/>
      </c>
      <c r="Z30" s="35">
        <f>IF(OR(V30="",O30="",O30=0),"",V30/O30)</f>
        <v/>
      </c>
      <c r="AA30" s="35">
        <f>IF(OR(W30="",P30="",P30=0),"",W30/P30)</f>
        <v/>
      </c>
      <c r="AB30" s="36">
        <f>IF(OR(AA30="",Z30=""),"",(AA30-Z30)*100)</f>
        <v/>
      </c>
      <c r="AC30" s="33">
        <f>SUMIFS(Totals!$AC$5:$AC$49,Totals!$A$5:$A$49,"Airport page",Totals!$B$5:$B$49,"Direct",Totals!$C$5:$C$49,"Total")</f>
        <v/>
      </c>
      <c r="AD30" s="33">
        <f>SUMIFS(Totals!$AD$5:$AD$49,Totals!$A$5:$A$49,"Airport page",Totals!$B$5:$B$49,"Direct",Totals!$C$5:$C$49,"Total")</f>
        <v/>
      </c>
      <c r="AE30" s="67">
        <f>IF(OR(AD30="",AC30="",AC30=0,AD30=0),"",AD30-AC30)</f>
        <v/>
      </c>
      <c r="AF30" s="34">
        <f>IF(OR(AD30="",AC30="",AC30=0,AD30=0),"",AD30/AC30-1)</f>
        <v/>
      </c>
      <c r="AG30" s="35">
        <f>IF(OR(AC30="",V30="",V30=0),"",AC30/V30)</f>
        <v/>
      </c>
      <c r="AH30" s="35">
        <f>IF(OR(AD30="",W30="",W30=0),"",AD30/W30)</f>
        <v/>
      </c>
      <c r="AI30" s="36">
        <f>IF(OR(AH30="",AG30=""),"",(AH30-AG30)*100)</f>
        <v/>
      </c>
      <c r="AJ30" s="33">
        <f>SUMIFS(Totals!$AJ$5:$AJ$49,Totals!$A$5:$A$49,"Airport page",Totals!$B$5:$B$49,"Direct",Totals!$C$5:$C$49,"Total")</f>
        <v/>
      </c>
      <c r="AK30" s="33">
        <f>SUMIFS(Totals!$AK$5:$AK$49,Totals!$A$5:$A$49,"Airport page",Totals!$B$5:$B$49,"Direct",Totals!$C$5:$C$49,"Total")</f>
        <v/>
      </c>
      <c r="AL30" s="67">
        <f>IF(OR(AK30="",AJ30="",AJ30=0,AK30=0),"",AK30-AJ30)</f>
        <v/>
      </c>
      <c r="AM30" s="34">
        <f>IF(OR(AK30="",AJ30="",AJ30=0,AK30=0),"",AK30/AJ30-1)</f>
        <v/>
      </c>
      <c r="AN30" s="35">
        <f>IF(OR(AJ30="",AC30="",AC30=0),"",AJ30/AC30)</f>
        <v/>
      </c>
      <c r="AO30" s="35">
        <f>IF(OR(AK30="",AD30="",AD30=0),"",AK30/AD30)</f>
        <v/>
      </c>
      <c r="AP30" s="36">
        <f>IF(OR(AO30="",AN30=""),"",(AO30-AN30)*100)</f>
        <v/>
      </c>
      <c r="AQ30" s="33">
        <f>SUMIFS(Totals!$AQ$5:$AQ$49,Totals!$A$5:$A$49,"Airport page",Totals!$B$5:$B$49,"Direct",Totals!$C$5:$C$49,"Total")</f>
        <v/>
      </c>
      <c r="AR30" s="33">
        <f>SUMIFS(Totals!$AR$5:$AR$49,Totals!$A$5:$A$49,"Airport page",Totals!$B$5:$B$49,"Direct",Totals!$C$5:$C$49,"Total")</f>
        <v/>
      </c>
      <c r="AS30" s="67">
        <f>IF(OR(AR30="",AQ30="",AQ30=0,AR30=0),"",AR30-AQ30)</f>
        <v/>
      </c>
      <c r="AT30" s="34">
        <f>IF(OR(AR30="",AQ30="",AQ30=0,AR30=0),"",AR30/AQ30-1)</f>
        <v/>
      </c>
      <c r="AU30" s="35">
        <f>IF(OR(AQ30="",AJ30="",AJ30=0),"",AQ30/AJ30)</f>
        <v/>
      </c>
      <c r="AV30" s="35">
        <f>IF(OR(AR30="",AK30="",AK30=0),"",AR30/AK30)</f>
        <v/>
      </c>
      <c r="AW30" s="36">
        <f>IF(OR(AV30="",AU30=""),"",(AV30-AU30)*100)</f>
        <v/>
      </c>
      <c r="AX30" s="37">
        <f>IF(OR(AQ30="",O30="",O30=0),"",AQ30/O30)</f>
        <v/>
      </c>
      <c r="AY30" s="37">
        <f>IF(OR(AR30="",P30="",P30=0),"",AR30/P30)</f>
        <v/>
      </c>
      <c r="AZ30" s="36">
        <f>IF(OR(AY30="",AX30=""),"",(AY30-AX30)*100)</f>
        <v/>
      </c>
      <c r="BA30" s="37">
        <f>IF(OR(AQ30="",D30="",D30=0),"",AQ30/D30)</f>
        <v/>
      </c>
      <c r="BB30" s="37">
        <f>IF(OR(AR30="",E30="",E30=0),"",AR30/E30)</f>
        <v/>
      </c>
      <c r="BC30" s="36">
        <f>IF(OR(BB30="",BA30=""),"",(BB30-BA30)*100)</f>
        <v/>
      </c>
    </row>
    <row r="31">
      <c r="A31" s="40" t="inlineStr">
        <is>
          <t>Airport page</t>
        </is>
      </c>
      <c r="B31" s="40" t="inlineStr">
        <is>
          <t>Direct</t>
        </is>
      </c>
      <c r="C31" s="40" t="inlineStr">
        <is>
          <t>Mobile</t>
        </is>
      </c>
      <c r="D31" s="41">
        <f>SUMIFS(Totals!$D$5:$D$49,Totals!$A$5:$A$49,"Airport page",Totals!$B$5:$B$49,"Direct",Totals!$C$5:$C$49,"Mobile")</f>
        <v/>
      </c>
      <c r="E31" s="41">
        <f>SUMIFS(Totals!$E$5:$E$49,Totals!$A$5:$A$49,"Airport page",Totals!$B$5:$B$49,"Direct",Totals!$C$5:$C$49,"Mobile")</f>
        <v/>
      </c>
      <c r="F31" s="69">
        <f>IF(OR(E31="",D31="",D31=0,E31=0),"",E31-D31)</f>
        <v/>
      </c>
      <c r="G31" s="42">
        <f>IF(OR(E31="",D31="",D31=0,E31=0),"",E31/D31-1)</f>
        <v/>
      </c>
      <c r="H31" s="41">
        <f>SUMIFS(Totals!$H$5:$H$49,Totals!$A$5:$A$49,"Airport page",Totals!$B$5:$B$49,"Direct",Totals!$C$5:$C$49,"Mobile")</f>
        <v/>
      </c>
      <c r="I31" s="41">
        <f>SUMIFS(Totals!$I$5:$I$49,Totals!$A$5:$A$49,"Airport page",Totals!$B$5:$B$49,"Direct",Totals!$C$5:$C$49,"Mobile")</f>
        <v/>
      </c>
      <c r="J31" s="69">
        <f>IF(OR(I31="",H31="",H31=0,I31=0),"",I31-H31)</f>
        <v/>
      </c>
      <c r="K31" s="42">
        <f>IF(OR(I31="",H31="",H31=0,I31=0),"",I31/H31-1)</f>
        <v/>
      </c>
      <c r="L31" s="43">
        <f>IF(OR(H31="",D31="",D31=0),"",H31/D31)</f>
        <v/>
      </c>
      <c r="M31" s="43">
        <f>IF(OR(I31="",E31="",E31=0),"",I31/E31)</f>
        <v/>
      </c>
      <c r="N31" s="44">
        <f>IF(OR(M31="",L31=""),"",(M31-L31)*100)</f>
        <v/>
      </c>
      <c r="O31" s="41">
        <f>SUMIFS(Totals!$O$5:$O$49,Totals!$A$5:$A$49,"Airport page",Totals!$B$5:$B$49,"Direct",Totals!$C$5:$C$49,"Mobile")</f>
        <v/>
      </c>
      <c r="P31" s="41">
        <f>SUMIFS(Totals!$P$5:$P$49,Totals!$A$5:$A$49,"Airport page",Totals!$B$5:$B$49,"Direct",Totals!$C$5:$C$49,"Mobile")</f>
        <v/>
      </c>
      <c r="Q31" s="69">
        <f>IF(OR(P31="",O31="",O31=0,P31=0),"",P31-O31)</f>
        <v/>
      </c>
      <c r="R31" s="42">
        <f>IF(OR(P31="",O31="",O31=0,P31=0),"",P31/O31-1)</f>
        <v/>
      </c>
      <c r="S31" s="43">
        <f>IF(OR(O31="",D31="",D31=0),"",O31/D31)</f>
        <v/>
      </c>
      <c r="T31" s="43">
        <f>IF(OR(P31="",E31="",E31=0),"",P31/E31)</f>
        <v/>
      </c>
      <c r="U31" s="44">
        <f>IF(OR(T31="",S31=""),"",(T31-S31)*100)</f>
        <v/>
      </c>
      <c r="V31" s="41">
        <f>SUMIFS(Totals!$V$5:$V$49,Totals!$A$5:$A$49,"Airport page",Totals!$B$5:$B$49,"Direct",Totals!$C$5:$C$49,"Mobile")</f>
        <v/>
      </c>
      <c r="W31" s="41">
        <f>SUMIFS(Totals!$W$5:$W$49,Totals!$A$5:$A$49,"Airport page",Totals!$B$5:$B$49,"Direct",Totals!$C$5:$C$49,"Mobile")</f>
        <v/>
      </c>
      <c r="X31" s="69">
        <f>IF(OR(W31="",V31="",V31=0,W31=0),"",W31-V31)</f>
        <v/>
      </c>
      <c r="Y31" s="42">
        <f>IF(OR(W31="",V31="",V31=0,W31=0),"",W31/V31-1)</f>
        <v/>
      </c>
      <c r="Z31" s="43">
        <f>IF(OR(V31="",O31="",O31=0),"",V31/O31)</f>
        <v/>
      </c>
      <c r="AA31" s="43">
        <f>IF(OR(W31="",P31="",P31=0),"",W31/P31)</f>
        <v/>
      </c>
      <c r="AB31" s="44">
        <f>IF(OR(AA31="",Z31=""),"",(AA31-Z31)*100)</f>
        <v/>
      </c>
      <c r="AC31" s="41">
        <f>SUMIFS(Totals!$AC$5:$AC$49,Totals!$A$5:$A$49,"Airport page",Totals!$B$5:$B$49,"Direct",Totals!$C$5:$C$49,"Mobile")</f>
        <v/>
      </c>
      <c r="AD31" s="41">
        <f>SUMIFS(Totals!$AD$5:$AD$49,Totals!$A$5:$A$49,"Airport page",Totals!$B$5:$B$49,"Direct",Totals!$C$5:$C$49,"Mobile")</f>
        <v/>
      </c>
      <c r="AE31" s="69">
        <f>IF(OR(AD31="",AC31="",AC31=0,AD31=0),"",AD31-AC31)</f>
        <v/>
      </c>
      <c r="AF31" s="42">
        <f>IF(OR(AD31="",AC31="",AC31=0,AD31=0),"",AD31/AC31-1)</f>
        <v/>
      </c>
      <c r="AG31" s="43">
        <f>IF(OR(AC31="",V31="",V31=0),"",AC31/V31)</f>
        <v/>
      </c>
      <c r="AH31" s="43">
        <f>IF(OR(AD31="",W31="",W31=0),"",AD31/W31)</f>
        <v/>
      </c>
      <c r="AI31" s="44">
        <f>IF(OR(AH31="",AG31=""),"",(AH31-AG31)*100)</f>
        <v/>
      </c>
      <c r="AJ31" s="41">
        <f>SUMIFS(Totals!$AJ$5:$AJ$49,Totals!$A$5:$A$49,"Airport page",Totals!$B$5:$B$49,"Direct",Totals!$C$5:$C$49,"Mobile")</f>
        <v/>
      </c>
      <c r="AK31" s="41">
        <f>SUMIFS(Totals!$AK$5:$AK$49,Totals!$A$5:$A$49,"Airport page",Totals!$B$5:$B$49,"Direct",Totals!$C$5:$C$49,"Mobile")</f>
        <v/>
      </c>
      <c r="AL31" s="69">
        <f>IF(OR(AK31="",AJ31="",AJ31=0,AK31=0),"",AK31-AJ31)</f>
        <v/>
      </c>
      <c r="AM31" s="42">
        <f>IF(OR(AK31="",AJ31="",AJ31=0,AK31=0),"",AK31/AJ31-1)</f>
        <v/>
      </c>
      <c r="AN31" s="43">
        <f>IF(OR(AJ31="",AC31="",AC31=0),"",AJ31/AC31)</f>
        <v/>
      </c>
      <c r="AO31" s="43">
        <f>IF(OR(AK31="",AD31="",AD31=0),"",AK31/AD31)</f>
        <v/>
      </c>
      <c r="AP31" s="44">
        <f>IF(OR(AO31="",AN31=""),"",(AO31-AN31)*100)</f>
        <v/>
      </c>
      <c r="AQ31" s="41">
        <f>SUMIFS(Totals!$AQ$5:$AQ$49,Totals!$A$5:$A$49,"Airport page",Totals!$B$5:$B$49,"Direct",Totals!$C$5:$C$49,"Mobile")</f>
        <v/>
      </c>
      <c r="AR31" s="41">
        <f>SUMIFS(Totals!$AR$5:$AR$49,Totals!$A$5:$A$49,"Airport page",Totals!$B$5:$B$49,"Direct",Totals!$C$5:$C$49,"Mobile")</f>
        <v/>
      </c>
      <c r="AS31" s="69">
        <f>IF(OR(AR31="",AQ31="",AQ31=0,AR31=0),"",AR31-AQ31)</f>
        <v/>
      </c>
      <c r="AT31" s="42">
        <f>IF(OR(AR31="",AQ31="",AQ31=0,AR31=0),"",AR31/AQ31-1)</f>
        <v/>
      </c>
      <c r="AU31" s="43">
        <f>IF(OR(AQ31="",AJ31="",AJ31=0),"",AQ31/AJ31)</f>
        <v/>
      </c>
      <c r="AV31" s="43">
        <f>IF(OR(AR31="",AK31="",AK31=0),"",AR31/AK31)</f>
        <v/>
      </c>
      <c r="AW31" s="44">
        <f>IF(OR(AV31="",AU31=""),"",(AV31-AU31)*100)</f>
        <v/>
      </c>
      <c r="AX31" s="45">
        <f>IF(OR(AQ31="",O31="",O31=0),"",AQ31/O31)</f>
        <v/>
      </c>
      <c r="AY31" s="45">
        <f>IF(OR(AR31="",P31="",P31=0),"",AR31/P31)</f>
        <v/>
      </c>
      <c r="AZ31" s="44">
        <f>IF(OR(AY31="",AX31=""),"",(AY31-AX31)*100)</f>
        <v/>
      </c>
      <c r="BA31" s="45">
        <f>IF(OR(AQ31="",D31="",D31=0),"",AQ31/D31)</f>
        <v/>
      </c>
      <c r="BB31" s="45">
        <f>IF(OR(AR31="",E31="",E31=0),"",AR31/E31)</f>
        <v/>
      </c>
      <c r="BC31" s="44">
        <f>IF(OR(BB31="",BA31=""),"",(BB31-BA31)*100)</f>
        <v/>
      </c>
    </row>
    <row r="32">
      <c r="A32" s="40" t="inlineStr">
        <is>
          <t>Airport page</t>
        </is>
      </c>
      <c r="B32" s="40" t="inlineStr">
        <is>
          <t>Direct</t>
        </is>
      </c>
      <c r="C32" s="40" t="inlineStr">
        <is>
          <t>Desktop</t>
        </is>
      </c>
      <c r="D32" s="41">
        <f>SUMIFS(Totals!$D$5:$D$49,Totals!$A$5:$A$49,"Airport page",Totals!$B$5:$B$49,"Direct",Totals!$C$5:$C$49,"Desktop")</f>
        <v/>
      </c>
      <c r="E32" s="41">
        <f>SUMIFS(Totals!$E$5:$E$49,Totals!$A$5:$A$49,"Airport page",Totals!$B$5:$B$49,"Direct",Totals!$C$5:$C$49,"Desktop")</f>
        <v/>
      </c>
      <c r="F32" s="69">
        <f>IF(OR(E32="",D32="",D32=0,E32=0),"",E32-D32)</f>
        <v/>
      </c>
      <c r="G32" s="42">
        <f>IF(OR(E32="",D32="",D32=0,E32=0),"",E32/D32-1)</f>
        <v/>
      </c>
      <c r="H32" s="41">
        <f>SUMIFS(Totals!$H$5:$H$49,Totals!$A$5:$A$49,"Airport page",Totals!$B$5:$B$49,"Direct",Totals!$C$5:$C$49,"Desktop")</f>
        <v/>
      </c>
      <c r="I32" s="41">
        <f>SUMIFS(Totals!$I$5:$I$49,Totals!$A$5:$A$49,"Airport page",Totals!$B$5:$B$49,"Direct",Totals!$C$5:$C$49,"Desktop")</f>
        <v/>
      </c>
      <c r="J32" s="69">
        <f>IF(OR(I32="",H32="",H32=0,I32=0),"",I32-H32)</f>
        <v/>
      </c>
      <c r="K32" s="42">
        <f>IF(OR(I32="",H32="",H32=0,I32=0),"",I32/H32-1)</f>
        <v/>
      </c>
      <c r="L32" s="43">
        <f>IF(OR(H32="",D32="",D32=0),"",H32/D32)</f>
        <v/>
      </c>
      <c r="M32" s="43">
        <f>IF(OR(I32="",E32="",E32=0),"",I32/E32)</f>
        <v/>
      </c>
      <c r="N32" s="44">
        <f>IF(OR(M32="",L32=""),"",(M32-L32)*100)</f>
        <v/>
      </c>
      <c r="O32" s="41">
        <f>SUMIFS(Totals!$O$5:$O$49,Totals!$A$5:$A$49,"Airport page",Totals!$B$5:$B$49,"Direct",Totals!$C$5:$C$49,"Desktop")</f>
        <v/>
      </c>
      <c r="P32" s="41">
        <f>SUMIFS(Totals!$P$5:$P$49,Totals!$A$5:$A$49,"Airport page",Totals!$B$5:$B$49,"Direct",Totals!$C$5:$C$49,"Desktop")</f>
        <v/>
      </c>
      <c r="Q32" s="69">
        <f>IF(OR(P32="",O32="",O32=0,P32=0),"",P32-O32)</f>
        <v/>
      </c>
      <c r="R32" s="42">
        <f>IF(OR(P32="",O32="",O32=0,P32=0),"",P32/O32-1)</f>
        <v/>
      </c>
      <c r="S32" s="43">
        <f>IF(OR(O32="",D32="",D32=0),"",O32/D32)</f>
        <v/>
      </c>
      <c r="T32" s="43">
        <f>IF(OR(P32="",E32="",E32=0),"",P32/E32)</f>
        <v/>
      </c>
      <c r="U32" s="44">
        <f>IF(OR(T32="",S32=""),"",(T32-S32)*100)</f>
        <v/>
      </c>
      <c r="V32" s="41">
        <f>SUMIFS(Totals!$V$5:$V$49,Totals!$A$5:$A$49,"Airport page",Totals!$B$5:$B$49,"Direct",Totals!$C$5:$C$49,"Desktop")</f>
        <v/>
      </c>
      <c r="W32" s="41">
        <f>SUMIFS(Totals!$W$5:$W$49,Totals!$A$5:$A$49,"Airport page",Totals!$B$5:$B$49,"Direct",Totals!$C$5:$C$49,"Desktop")</f>
        <v/>
      </c>
      <c r="X32" s="69">
        <f>IF(OR(W32="",V32="",V32=0,W32=0),"",W32-V32)</f>
        <v/>
      </c>
      <c r="Y32" s="42">
        <f>IF(OR(W32="",V32="",V32=0,W32=0),"",W32/V32-1)</f>
        <v/>
      </c>
      <c r="Z32" s="43">
        <f>IF(OR(V32="",O32="",O32=0),"",V32/O32)</f>
        <v/>
      </c>
      <c r="AA32" s="43">
        <f>IF(OR(W32="",P32="",P32=0),"",W32/P32)</f>
        <v/>
      </c>
      <c r="AB32" s="44">
        <f>IF(OR(AA32="",Z32=""),"",(AA32-Z32)*100)</f>
        <v/>
      </c>
      <c r="AC32" s="41">
        <f>SUMIFS(Totals!$AC$5:$AC$49,Totals!$A$5:$A$49,"Airport page",Totals!$B$5:$B$49,"Direct",Totals!$C$5:$C$49,"Desktop")</f>
        <v/>
      </c>
      <c r="AD32" s="41">
        <f>SUMIFS(Totals!$AD$5:$AD$49,Totals!$A$5:$A$49,"Airport page",Totals!$B$5:$B$49,"Direct",Totals!$C$5:$C$49,"Desktop")</f>
        <v/>
      </c>
      <c r="AE32" s="69">
        <f>IF(OR(AD32="",AC32="",AC32=0,AD32=0),"",AD32-AC32)</f>
        <v/>
      </c>
      <c r="AF32" s="42">
        <f>IF(OR(AD32="",AC32="",AC32=0,AD32=0),"",AD32/AC32-1)</f>
        <v/>
      </c>
      <c r="AG32" s="43">
        <f>IF(OR(AC32="",V32="",V32=0),"",AC32/V32)</f>
        <v/>
      </c>
      <c r="AH32" s="43">
        <f>IF(OR(AD32="",W32="",W32=0),"",AD32/W32)</f>
        <v/>
      </c>
      <c r="AI32" s="44">
        <f>IF(OR(AH32="",AG32=""),"",(AH32-AG32)*100)</f>
        <v/>
      </c>
      <c r="AJ32" s="41">
        <f>SUMIFS(Totals!$AJ$5:$AJ$49,Totals!$A$5:$A$49,"Airport page",Totals!$B$5:$B$49,"Direct",Totals!$C$5:$C$49,"Desktop")</f>
        <v/>
      </c>
      <c r="AK32" s="41">
        <f>SUMIFS(Totals!$AK$5:$AK$49,Totals!$A$5:$A$49,"Airport page",Totals!$B$5:$B$49,"Direct",Totals!$C$5:$C$49,"Desktop")</f>
        <v/>
      </c>
      <c r="AL32" s="69">
        <f>IF(OR(AK32="",AJ32="",AJ32=0,AK32=0),"",AK32-AJ32)</f>
        <v/>
      </c>
      <c r="AM32" s="42">
        <f>IF(OR(AK32="",AJ32="",AJ32=0,AK32=0),"",AK32/AJ32-1)</f>
        <v/>
      </c>
      <c r="AN32" s="43">
        <f>IF(OR(AJ32="",AC32="",AC32=0),"",AJ32/AC32)</f>
        <v/>
      </c>
      <c r="AO32" s="43">
        <f>IF(OR(AK32="",AD32="",AD32=0),"",AK32/AD32)</f>
        <v/>
      </c>
      <c r="AP32" s="44">
        <f>IF(OR(AO32="",AN32=""),"",(AO32-AN32)*100)</f>
        <v/>
      </c>
      <c r="AQ32" s="41">
        <f>SUMIFS(Totals!$AQ$5:$AQ$49,Totals!$A$5:$A$49,"Airport page",Totals!$B$5:$B$49,"Direct",Totals!$C$5:$C$49,"Desktop")</f>
        <v/>
      </c>
      <c r="AR32" s="41">
        <f>SUMIFS(Totals!$AR$5:$AR$49,Totals!$A$5:$A$49,"Airport page",Totals!$B$5:$B$49,"Direct",Totals!$C$5:$C$49,"Desktop")</f>
        <v/>
      </c>
      <c r="AS32" s="69">
        <f>IF(OR(AR32="",AQ32="",AQ32=0,AR32=0),"",AR32-AQ32)</f>
        <v/>
      </c>
      <c r="AT32" s="42">
        <f>IF(OR(AR32="",AQ32="",AQ32=0,AR32=0),"",AR32/AQ32-1)</f>
        <v/>
      </c>
      <c r="AU32" s="43">
        <f>IF(OR(AQ32="",AJ32="",AJ32=0),"",AQ32/AJ32)</f>
        <v/>
      </c>
      <c r="AV32" s="43">
        <f>IF(OR(AR32="",AK32="",AK32=0),"",AR32/AK32)</f>
        <v/>
      </c>
      <c r="AW32" s="44">
        <f>IF(OR(AV32="",AU32=""),"",(AV32-AU32)*100)</f>
        <v/>
      </c>
      <c r="AX32" s="45">
        <f>IF(OR(AQ32="",O32="",O32=0),"",AQ32/O32)</f>
        <v/>
      </c>
      <c r="AY32" s="45">
        <f>IF(OR(AR32="",P32="",P32=0),"",AR32/P32)</f>
        <v/>
      </c>
      <c r="AZ32" s="44">
        <f>IF(OR(AY32="",AX32=""),"",(AY32-AX32)*100)</f>
        <v/>
      </c>
      <c r="BA32" s="45">
        <f>IF(OR(AQ32="",D32="",D32=0),"",AQ32/D32)</f>
        <v/>
      </c>
      <c r="BB32" s="45">
        <f>IF(OR(AR32="",E32="",E32=0),"",AR32/E32)</f>
        <v/>
      </c>
      <c r="BC32" s="44">
        <f>IF(OR(BB32="",BA32=""),"",(BB32-BA32)*100)</f>
        <v/>
      </c>
    </row>
    <row r="33">
      <c r="A33" s="32" t="inlineStr">
        <is>
          <t>Route page</t>
        </is>
      </c>
      <c r="B33" s="32" t="inlineStr">
        <is>
          <t>Paid Search</t>
        </is>
      </c>
      <c r="C33" s="32" t="inlineStr">
        <is>
          <t>Total</t>
        </is>
      </c>
      <c r="D33" s="33">
        <f>SUMIFS(Totals!$D$5:$D$49,Totals!$A$5:$A$49,"Route page",Totals!$B$5:$B$49,"Paid Search",Totals!$C$5:$C$49,"Total")</f>
        <v/>
      </c>
      <c r="E33" s="33">
        <f>SUMIFS(Totals!$E$5:$E$49,Totals!$A$5:$A$49,"Route page",Totals!$B$5:$B$49,"Paid Search",Totals!$C$5:$C$49,"Total")</f>
        <v/>
      </c>
      <c r="F33" s="67">
        <f>IF(OR(E33="",D33="",D33=0,E33=0),"",E33-D33)</f>
        <v/>
      </c>
      <c r="G33" s="34">
        <f>IF(OR(E33="",D33="",D33=0,E33=0),"",E33/D33-1)</f>
        <v/>
      </c>
      <c r="H33" s="33">
        <f>SUMIFS(Totals!$H$5:$H$49,Totals!$A$5:$A$49,"Route page",Totals!$B$5:$B$49,"Paid Search",Totals!$C$5:$C$49,"Total")</f>
        <v/>
      </c>
      <c r="I33" s="33">
        <f>SUMIFS(Totals!$I$5:$I$49,Totals!$A$5:$A$49,"Route page",Totals!$B$5:$B$49,"Paid Search",Totals!$C$5:$C$49,"Total")</f>
        <v/>
      </c>
      <c r="J33" s="67">
        <f>IF(OR(I33="",H33="",H33=0,I33=0),"",I33-H33)</f>
        <v/>
      </c>
      <c r="K33" s="34">
        <f>IF(OR(I33="",H33="",H33=0,I33=0),"",I33/H33-1)</f>
        <v/>
      </c>
      <c r="L33" s="35">
        <f>IF(OR(H33="",D33="",D33=0),"",H33/D33)</f>
        <v/>
      </c>
      <c r="M33" s="35">
        <f>IF(OR(I33="",E33="",E33=0),"",I33/E33)</f>
        <v/>
      </c>
      <c r="N33" s="36">
        <f>IF(OR(M33="",L33=""),"",(M33-L33)*100)</f>
        <v/>
      </c>
      <c r="O33" s="33">
        <f>SUMIFS(Totals!$O$5:$O$49,Totals!$A$5:$A$49,"Route page",Totals!$B$5:$B$49,"Paid Search",Totals!$C$5:$C$49,"Total")</f>
        <v/>
      </c>
      <c r="P33" s="33">
        <f>SUMIFS(Totals!$P$5:$P$49,Totals!$A$5:$A$49,"Route page",Totals!$B$5:$B$49,"Paid Search",Totals!$C$5:$C$49,"Total")</f>
        <v/>
      </c>
      <c r="Q33" s="67">
        <f>IF(OR(P33="",O33="",O33=0,P33=0),"",P33-O33)</f>
        <v/>
      </c>
      <c r="R33" s="34">
        <f>IF(OR(P33="",O33="",O33=0,P33=0),"",P33/O33-1)</f>
        <v/>
      </c>
      <c r="S33" s="35">
        <f>IF(OR(O33="",D33="",D33=0),"",O33/D33)</f>
        <v/>
      </c>
      <c r="T33" s="35">
        <f>IF(OR(P33="",E33="",E33=0),"",P33/E33)</f>
        <v/>
      </c>
      <c r="U33" s="36">
        <f>IF(OR(T33="",S33=""),"",(T33-S33)*100)</f>
        <v/>
      </c>
      <c r="V33" s="33">
        <f>SUMIFS(Totals!$V$5:$V$49,Totals!$A$5:$A$49,"Route page",Totals!$B$5:$B$49,"Paid Search",Totals!$C$5:$C$49,"Total")</f>
        <v/>
      </c>
      <c r="W33" s="33">
        <f>SUMIFS(Totals!$W$5:$W$49,Totals!$A$5:$A$49,"Route page",Totals!$B$5:$B$49,"Paid Search",Totals!$C$5:$C$49,"Total")</f>
        <v/>
      </c>
      <c r="X33" s="67">
        <f>IF(OR(W33="",V33="",V33=0,W33=0),"",W33-V33)</f>
        <v/>
      </c>
      <c r="Y33" s="34">
        <f>IF(OR(W33="",V33="",V33=0,W33=0),"",W33/V33-1)</f>
        <v/>
      </c>
      <c r="Z33" s="35">
        <f>IF(OR(V33="",O33="",O33=0),"",V33/O33)</f>
        <v/>
      </c>
      <c r="AA33" s="35">
        <f>IF(OR(W33="",P33="",P33=0),"",W33/P33)</f>
        <v/>
      </c>
      <c r="AB33" s="36">
        <f>IF(OR(AA33="",Z33=""),"",(AA33-Z33)*100)</f>
        <v/>
      </c>
      <c r="AC33" s="33">
        <f>SUMIFS(Totals!$AC$5:$AC$49,Totals!$A$5:$A$49,"Route page",Totals!$B$5:$B$49,"Paid Search",Totals!$C$5:$C$49,"Total")</f>
        <v/>
      </c>
      <c r="AD33" s="33">
        <f>SUMIFS(Totals!$AD$5:$AD$49,Totals!$A$5:$A$49,"Route page",Totals!$B$5:$B$49,"Paid Search",Totals!$C$5:$C$49,"Total")</f>
        <v/>
      </c>
      <c r="AE33" s="67">
        <f>IF(OR(AD33="",AC33="",AC33=0,AD33=0),"",AD33-AC33)</f>
        <v/>
      </c>
      <c r="AF33" s="34">
        <f>IF(OR(AD33="",AC33="",AC33=0,AD33=0),"",AD33/AC33-1)</f>
        <v/>
      </c>
      <c r="AG33" s="35">
        <f>IF(OR(AC33="",V33="",V33=0),"",AC33/V33)</f>
        <v/>
      </c>
      <c r="AH33" s="35">
        <f>IF(OR(AD33="",W33="",W33=0),"",AD33/W33)</f>
        <v/>
      </c>
      <c r="AI33" s="36">
        <f>IF(OR(AH33="",AG33=""),"",(AH33-AG33)*100)</f>
        <v/>
      </c>
      <c r="AJ33" s="33">
        <f>SUMIFS(Totals!$AJ$5:$AJ$49,Totals!$A$5:$A$49,"Route page",Totals!$B$5:$B$49,"Paid Search",Totals!$C$5:$C$49,"Total")</f>
        <v/>
      </c>
      <c r="AK33" s="33">
        <f>SUMIFS(Totals!$AK$5:$AK$49,Totals!$A$5:$A$49,"Route page",Totals!$B$5:$B$49,"Paid Search",Totals!$C$5:$C$49,"Total")</f>
        <v/>
      </c>
      <c r="AL33" s="67">
        <f>IF(OR(AK33="",AJ33="",AJ33=0,AK33=0),"",AK33-AJ33)</f>
        <v/>
      </c>
      <c r="AM33" s="34">
        <f>IF(OR(AK33="",AJ33="",AJ33=0,AK33=0),"",AK33/AJ33-1)</f>
        <v/>
      </c>
      <c r="AN33" s="35">
        <f>IF(OR(AJ33="",AC33="",AC33=0),"",AJ33/AC33)</f>
        <v/>
      </c>
      <c r="AO33" s="35">
        <f>IF(OR(AK33="",AD33="",AD33=0),"",AK33/AD33)</f>
        <v/>
      </c>
      <c r="AP33" s="36">
        <f>IF(OR(AO33="",AN33=""),"",(AO33-AN33)*100)</f>
        <v/>
      </c>
      <c r="AQ33" s="33">
        <f>SUMIFS(Totals!$AQ$5:$AQ$49,Totals!$A$5:$A$49,"Route page",Totals!$B$5:$B$49,"Paid Search",Totals!$C$5:$C$49,"Total")</f>
        <v/>
      </c>
      <c r="AR33" s="33">
        <f>SUMIFS(Totals!$AR$5:$AR$49,Totals!$A$5:$A$49,"Route page",Totals!$B$5:$B$49,"Paid Search",Totals!$C$5:$C$49,"Total")</f>
        <v/>
      </c>
      <c r="AS33" s="67">
        <f>IF(OR(AR33="",AQ33="",AQ33=0,AR33=0),"",AR33-AQ33)</f>
        <v/>
      </c>
      <c r="AT33" s="34">
        <f>IF(OR(AR33="",AQ33="",AQ33=0,AR33=0),"",AR33/AQ33-1)</f>
        <v/>
      </c>
      <c r="AU33" s="35">
        <f>IF(OR(AQ33="",AJ33="",AJ33=0),"",AQ33/AJ33)</f>
        <v/>
      </c>
      <c r="AV33" s="35">
        <f>IF(OR(AR33="",AK33="",AK33=0),"",AR33/AK33)</f>
        <v/>
      </c>
      <c r="AW33" s="36">
        <f>IF(OR(AV33="",AU33=""),"",(AV33-AU33)*100)</f>
        <v/>
      </c>
      <c r="AX33" s="37">
        <f>IF(OR(AQ33="",O33="",O33=0),"",AQ33/O33)</f>
        <v/>
      </c>
      <c r="AY33" s="37">
        <f>IF(OR(AR33="",P33="",P33=0),"",AR33/P33)</f>
        <v/>
      </c>
      <c r="AZ33" s="36">
        <f>IF(OR(AY33="",AX33=""),"",(AY33-AX33)*100)</f>
        <v/>
      </c>
      <c r="BA33" s="37">
        <f>IF(OR(AQ33="",D33="",D33=0),"",AQ33/D33)</f>
        <v/>
      </c>
      <c r="BB33" s="37">
        <f>IF(OR(AR33="",E33="",E33=0),"",AR33/E33)</f>
        <v/>
      </c>
      <c r="BC33" s="36">
        <f>IF(OR(BB33="",BA33=""),"",(BB33-BA33)*100)</f>
        <v/>
      </c>
    </row>
    <row r="34">
      <c r="A34" s="40" t="inlineStr">
        <is>
          <t>Route page</t>
        </is>
      </c>
      <c r="B34" s="40" t="inlineStr">
        <is>
          <t>Paid Search</t>
        </is>
      </c>
      <c r="C34" s="40" t="inlineStr">
        <is>
          <t>Mobile</t>
        </is>
      </c>
      <c r="D34" s="41">
        <f>SUMIFS(Totals!$D$5:$D$49,Totals!$A$5:$A$49,"Route page",Totals!$B$5:$B$49,"Paid Search",Totals!$C$5:$C$49,"Mobile")</f>
        <v/>
      </c>
      <c r="E34" s="41">
        <f>SUMIFS(Totals!$E$5:$E$49,Totals!$A$5:$A$49,"Route page",Totals!$B$5:$B$49,"Paid Search",Totals!$C$5:$C$49,"Mobile")</f>
        <v/>
      </c>
      <c r="F34" s="69">
        <f>IF(OR(E34="",D34="",D34=0,E34=0),"",E34-D34)</f>
        <v/>
      </c>
      <c r="G34" s="42">
        <f>IF(OR(E34="",D34="",D34=0,E34=0),"",E34/D34-1)</f>
        <v/>
      </c>
      <c r="H34" s="41">
        <f>SUMIFS(Totals!$H$5:$H$49,Totals!$A$5:$A$49,"Route page",Totals!$B$5:$B$49,"Paid Search",Totals!$C$5:$C$49,"Mobile")</f>
        <v/>
      </c>
      <c r="I34" s="41">
        <f>SUMIFS(Totals!$I$5:$I$49,Totals!$A$5:$A$49,"Route page",Totals!$B$5:$B$49,"Paid Search",Totals!$C$5:$C$49,"Mobile")</f>
        <v/>
      </c>
      <c r="J34" s="69">
        <f>IF(OR(I34="",H34="",H34=0,I34=0),"",I34-H34)</f>
        <v/>
      </c>
      <c r="K34" s="42">
        <f>IF(OR(I34="",H34="",H34=0,I34=0),"",I34/H34-1)</f>
        <v/>
      </c>
      <c r="L34" s="43">
        <f>IF(OR(H34="",D34="",D34=0),"",H34/D34)</f>
        <v/>
      </c>
      <c r="M34" s="43">
        <f>IF(OR(I34="",E34="",E34=0),"",I34/E34)</f>
        <v/>
      </c>
      <c r="N34" s="44">
        <f>IF(OR(M34="",L34=""),"",(M34-L34)*100)</f>
        <v/>
      </c>
      <c r="O34" s="41">
        <f>SUMIFS(Totals!$O$5:$O$49,Totals!$A$5:$A$49,"Route page",Totals!$B$5:$B$49,"Paid Search",Totals!$C$5:$C$49,"Mobile")</f>
        <v/>
      </c>
      <c r="P34" s="41">
        <f>SUMIFS(Totals!$P$5:$P$49,Totals!$A$5:$A$49,"Route page",Totals!$B$5:$B$49,"Paid Search",Totals!$C$5:$C$49,"Mobile")</f>
        <v/>
      </c>
      <c r="Q34" s="69">
        <f>IF(OR(P34="",O34="",O34=0,P34=0),"",P34-O34)</f>
        <v/>
      </c>
      <c r="R34" s="42">
        <f>IF(OR(P34="",O34="",O34=0,P34=0),"",P34/O34-1)</f>
        <v/>
      </c>
      <c r="S34" s="43">
        <f>IF(OR(O34="",D34="",D34=0),"",O34/D34)</f>
        <v/>
      </c>
      <c r="T34" s="43">
        <f>IF(OR(P34="",E34="",E34=0),"",P34/E34)</f>
        <v/>
      </c>
      <c r="U34" s="44">
        <f>IF(OR(T34="",S34=""),"",(T34-S34)*100)</f>
        <v/>
      </c>
      <c r="V34" s="41">
        <f>SUMIFS(Totals!$V$5:$V$49,Totals!$A$5:$A$49,"Route page",Totals!$B$5:$B$49,"Paid Search",Totals!$C$5:$C$49,"Mobile")</f>
        <v/>
      </c>
      <c r="W34" s="41">
        <f>SUMIFS(Totals!$W$5:$W$49,Totals!$A$5:$A$49,"Route page",Totals!$B$5:$B$49,"Paid Search",Totals!$C$5:$C$49,"Mobile")</f>
        <v/>
      </c>
      <c r="X34" s="69">
        <f>IF(OR(W34="",V34="",V34=0,W34=0),"",W34-V34)</f>
        <v/>
      </c>
      <c r="Y34" s="42">
        <f>IF(OR(W34="",V34="",V34=0,W34=0),"",W34/V34-1)</f>
        <v/>
      </c>
      <c r="Z34" s="43">
        <f>IF(OR(V34="",O34="",O34=0),"",V34/O34)</f>
        <v/>
      </c>
      <c r="AA34" s="43">
        <f>IF(OR(W34="",P34="",P34=0),"",W34/P34)</f>
        <v/>
      </c>
      <c r="AB34" s="44">
        <f>IF(OR(AA34="",Z34=""),"",(AA34-Z34)*100)</f>
        <v/>
      </c>
      <c r="AC34" s="41">
        <f>SUMIFS(Totals!$AC$5:$AC$49,Totals!$A$5:$A$49,"Route page",Totals!$B$5:$B$49,"Paid Search",Totals!$C$5:$C$49,"Mobile")</f>
        <v/>
      </c>
      <c r="AD34" s="41">
        <f>SUMIFS(Totals!$AD$5:$AD$49,Totals!$A$5:$A$49,"Route page",Totals!$B$5:$B$49,"Paid Search",Totals!$C$5:$C$49,"Mobile")</f>
        <v/>
      </c>
      <c r="AE34" s="69">
        <f>IF(OR(AD34="",AC34="",AC34=0,AD34=0),"",AD34-AC34)</f>
        <v/>
      </c>
      <c r="AF34" s="42">
        <f>IF(OR(AD34="",AC34="",AC34=0,AD34=0),"",AD34/AC34-1)</f>
        <v/>
      </c>
      <c r="AG34" s="43">
        <f>IF(OR(AC34="",V34="",V34=0),"",AC34/V34)</f>
        <v/>
      </c>
      <c r="AH34" s="43">
        <f>IF(OR(AD34="",W34="",W34=0),"",AD34/W34)</f>
        <v/>
      </c>
      <c r="AI34" s="44">
        <f>IF(OR(AH34="",AG34=""),"",(AH34-AG34)*100)</f>
        <v/>
      </c>
      <c r="AJ34" s="41">
        <f>SUMIFS(Totals!$AJ$5:$AJ$49,Totals!$A$5:$A$49,"Route page",Totals!$B$5:$B$49,"Paid Search",Totals!$C$5:$C$49,"Mobile")</f>
        <v/>
      </c>
      <c r="AK34" s="41">
        <f>SUMIFS(Totals!$AK$5:$AK$49,Totals!$A$5:$A$49,"Route page",Totals!$B$5:$B$49,"Paid Search",Totals!$C$5:$C$49,"Mobile")</f>
        <v/>
      </c>
      <c r="AL34" s="69">
        <f>IF(OR(AK34="",AJ34="",AJ34=0,AK34=0),"",AK34-AJ34)</f>
        <v/>
      </c>
      <c r="AM34" s="42">
        <f>IF(OR(AK34="",AJ34="",AJ34=0,AK34=0),"",AK34/AJ34-1)</f>
        <v/>
      </c>
      <c r="AN34" s="43">
        <f>IF(OR(AJ34="",AC34="",AC34=0),"",AJ34/AC34)</f>
        <v/>
      </c>
      <c r="AO34" s="43">
        <f>IF(OR(AK34="",AD34="",AD34=0),"",AK34/AD34)</f>
        <v/>
      </c>
      <c r="AP34" s="44">
        <f>IF(OR(AO34="",AN34=""),"",(AO34-AN34)*100)</f>
        <v/>
      </c>
      <c r="AQ34" s="41">
        <f>SUMIFS(Totals!$AQ$5:$AQ$49,Totals!$A$5:$A$49,"Route page",Totals!$B$5:$B$49,"Paid Search",Totals!$C$5:$C$49,"Mobile")</f>
        <v/>
      </c>
      <c r="AR34" s="41">
        <f>SUMIFS(Totals!$AR$5:$AR$49,Totals!$A$5:$A$49,"Route page",Totals!$B$5:$B$49,"Paid Search",Totals!$C$5:$C$49,"Mobile")</f>
        <v/>
      </c>
      <c r="AS34" s="69">
        <f>IF(OR(AR34="",AQ34="",AQ34=0,AR34=0),"",AR34-AQ34)</f>
        <v/>
      </c>
      <c r="AT34" s="42">
        <f>IF(OR(AR34="",AQ34="",AQ34=0,AR34=0),"",AR34/AQ34-1)</f>
        <v/>
      </c>
      <c r="AU34" s="43">
        <f>IF(OR(AQ34="",AJ34="",AJ34=0),"",AQ34/AJ34)</f>
        <v/>
      </c>
      <c r="AV34" s="43">
        <f>IF(OR(AR34="",AK34="",AK34=0),"",AR34/AK34)</f>
        <v/>
      </c>
      <c r="AW34" s="44">
        <f>IF(OR(AV34="",AU34=""),"",(AV34-AU34)*100)</f>
        <v/>
      </c>
      <c r="AX34" s="45">
        <f>IF(OR(AQ34="",O34="",O34=0),"",AQ34/O34)</f>
        <v/>
      </c>
      <c r="AY34" s="45">
        <f>IF(OR(AR34="",P34="",P34=0),"",AR34/P34)</f>
        <v/>
      </c>
      <c r="AZ34" s="44">
        <f>IF(OR(AY34="",AX34=""),"",(AY34-AX34)*100)</f>
        <v/>
      </c>
      <c r="BA34" s="45">
        <f>IF(OR(AQ34="",D34="",D34=0),"",AQ34/D34)</f>
        <v/>
      </c>
      <c r="BB34" s="45">
        <f>IF(OR(AR34="",E34="",E34=0),"",AR34/E34)</f>
        <v/>
      </c>
      <c r="BC34" s="44">
        <f>IF(OR(BB34="",BA34=""),"",(BB34-BA34)*100)</f>
        <v/>
      </c>
    </row>
    <row r="35">
      <c r="A35" s="40" t="inlineStr">
        <is>
          <t>Route page</t>
        </is>
      </c>
      <c r="B35" s="40" t="inlineStr">
        <is>
          <t>Paid Search</t>
        </is>
      </c>
      <c r="C35" s="40" t="inlineStr">
        <is>
          <t>Desktop</t>
        </is>
      </c>
      <c r="D35" s="41">
        <f>SUMIFS(Totals!$D$5:$D$49,Totals!$A$5:$A$49,"Route page",Totals!$B$5:$B$49,"Paid Search",Totals!$C$5:$C$49,"Desktop")</f>
        <v/>
      </c>
      <c r="E35" s="41">
        <f>SUMIFS(Totals!$E$5:$E$49,Totals!$A$5:$A$49,"Route page",Totals!$B$5:$B$49,"Paid Search",Totals!$C$5:$C$49,"Desktop")</f>
        <v/>
      </c>
      <c r="F35" s="69">
        <f>IF(OR(E35="",D35="",D35=0,E35=0),"",E35-D35)</f>
        <v/>
      </c>
      <c r="G35" s="42">
        <f>IF(OR(E35="",D35="",D35=0,E35=0),"",E35/D35-1)</f>
        <v/>
      </c>
      <c r="H35" s="41">
        <f>SUMIFS(Totals!$H$5:$H$49,Totals!$A$5:$A$49,"Route page",Totals!$B$5:$B$49,"Paid Search",Totals!$C$5:$C$49,"Desktop")</f>
        <v/>
      </c>
      <c r="I35" s="41">
        <f>SUMIFS(Totals!$I$5:$I$49,Totals!$A$5:$A$49,"Route page",Totals!$B$5:$B$49,"Paid Search",Totals!$C$5:$C$49,"Desktop")</f>
        <v/>
      </c>
      <c r="J35" s="69">
        <f>IF(OR(I35="",H35="",H35=0,I35=0),"",I35-H35)</f>
        <v/>
      </c>
      <c r="K35" s="42">
        <f>IF(OR(I35="",H35="",H35=0,I35=0),"",I35/H35-1)</f>
        <v/>
      </c>
      <c r="L35" s="43">
        <f>IF(OR(H35="",D35="",D35=0),"",H35/D35)</f>
        <v/>
      </c>
      <c r="M35" s="43">
        <f>IF(OR(I35="",E35="",E35=0),"",I35/E35)</f>
        <v/>
      </c>
      <c r="N35" s="44">
        <f>IF(OR(M35="",L35=""),"",(M35-L35)*100)</f>
        <v/>
      </c>
      <c r="O35" s="41">
        <f>SUMIFS(Totals!$O$5:$O$49,Totals!$A$5:$A$49,"Route page",Totals!$B$5:$B$49,"Paid Search",Totals!$C$5:$C$49,"Desktop")</f>
        <v/>
      </c>
      <c r="P35" s="41">
        <f>SUMIFS(Totals!$P$5:$P$49,Totals!$A$5:$A$49,"Route page",Totals!$B$5:$B$49,"Paid Search",Totals!$C$5:$C$49,"Desktop")</f>
        <v/>
      </c>
      <c r="Q35" s="69">
        <f>IF(OR(P35="",O35="",O35=0,P35=0),"",P35-O35)</f>
        <v/>
      </c>
      <c r="R35" s="42">
        <f>IF(OR(P35="",O35="",O35=0,P35=0),"",P35/O35-1)</f>
        <v/>
      </c>
      <c r="S35" s="43">
        <f>IF(OR(O35="",D35="",D35=0),"",O35/D35)</f>
        <v/>
      </c>
      <c r="T35" s="43">
        <f>IF(OR(P35="",E35="",E35=0),"",P35/E35)</f>
        <v/>
      </c>
      <c r="U35" s="44">
        <f>IF(OR(T35="",S35=""),"",(T35-S35)*100)</f>
        <v/>
      </c>
      <c r="V35" s="41">
        <f>SUMIFS(Totals!$V$5:$V$49,Totals!$A$5:$A$49,"Route page",Totals!$B$5:$B$49,"Paid Search",Totals!$C$5:$C$49,"Desktop")</f>
        <v/>
      </c>
      <c r="W35" s="41">
        <f>SUMIFS(Totals!$W$5:$W$49,Totals!$A$5:$A$49,"Route page",Totals!$B$5:$B$49,"Paid Search",Totals!$C$5:$C$49,"Desktop")</f>
        <v/>
      </c>
      <c r="X35" s="69">
        <f>IF(OR(W35="",V35="",V35=0,W35=0),"",W35-V35)</f>
        <v/>
      </c>
      <c r="Y35" s="42">
        <f>IF(OR(W35="",V35="",V35=0,W35=0),"",W35/V35-1)</f>
        <v/>
      </c>
      <c r="Z35" s="43">
        <f>IF(OR(V35="",O35="",O35=0),"",V35/O35)</f>
        <v/>
      </c>
      <c r="AA35" s="43">
        <f>IF(OR(W35="",P35="",P35=0),"",W35/P35)</f>
        <v/>
      </c>
      <c r="AB35" s="44">
        <f>IF(OR(AA35="",Z35=""),"",(AA35-Z35)*100)</f>
        <v/>
      </c>
      <c r="AC35" s="41">
        <f>SUMIFS(Totals!$AC$5:$AC$49,Totals!$A$5:$A$49,"Route page",Totals!$B$5:$B$49,"Paid Search",Totals!$C$5:$C$49,"Desktop")</f>
        <v/>
      </c>
      <c r="AD35" s="41">
        <f>SUMIFS(Totals!$AD$5:$AD$49,Totals!$A$5:$A$49,"Route page",Totals!$B$5:$B$49,"Paid Search",Totals!$C$5:$C$49,"Desktop")</f>
        <v/>
      </c>
      <c r="AE35" s="69">
        <f>IF(OR(AD35="",AC35="",AC35=0,AD35=0),"",AD35-AC35)</f>
        <v/>
      </c>
      <c r="AF35" s="42">
        <f>IF(OR(AD35="",AC35="",AC35=0,AD35=0),"",AD35/AC35-1)</f>
        <v/>
      </c>
      <c r="AG35" s="43">
        <f>IF(OR(AC35="",V35="",V35=0),"",AC35/V35)</f>
        <v/>
      </c>
      <c r="AH35" s="43">
        <f>IF(OR(AD35="",W35="",W35=0),"",AD35/W35)</f>
        <v/>
      </c>
      <c r="AI35" s="44">
        <f>IF(OR(AH35="",AG35=""),"",(AH35-AG35)*100)</f>
        <v/>
      </c>
      <c r="AJ35" s="41">
        <f>SUMIFS(Totals!$AJ$5:$AJ$49,Totals!$A$5:$A$49,"Route page",Totals!$B$5:$B$49,"Paid Search",Totals!$C$5:$C$49,"Desktop")</f>
        <v/>
      </c>
      <c r="AK35" s="41">
        <f>SUMIFS(Totals!$AK$5:$AK$49,Totals!$A$5:$A$49,"Route page",Totals!$B$5:$B$49,"Paid Search",Totals!$C$5:$C$49,"Desktop")</f>
        <v/>
      </c>
      <c r="AL35" s="69">
        <f>IF(OR(AK35="",AJ35="",AJ35=0,AK35=0),"",AK35-AJ35)</f>
        <v/>
      </c>
      <c r="AM35" s="42">
        <f>IF(OR(AK35="",AJ35="",AJ35=0,AK35=0),"",AK35/AJ35-1)</f>
        <v/>
      </c>
      <c r="AN35" s="43">
        <f>IF(OR(AJ35="",AC35="",AC35=0),"",AJ35/AC35)</f>
        <v/>
      </c>
      <c r="AO35" s="43">
        <f>IF(OR(AK35="",AD35="",AD35=0),"",AK35/AD35)</f>
        <v/>
      </c>
      <c r="AP35" s="44">
        <f>IF(OR(AO35="",AN35=""),"",(AO35-AN35)*100)</f>
        <v/>
      </c>
      <c r="AQ35" s="41">
        <f>SUMIFS(Totals!$AQ$5:$AQ$49,Totals!$A$5:$A$49,"Route page",Totals!$B$5:$B$49,"Paid Search",Totals!$C$5:$C$49,"Desktop")</f>
        <v/>
      </c>
      <c r="AR35" s="41">
        <f>SUMIFS(Totals!$AR$5:$AR$49,Totals!$A$5:$A$49,"Route page",Totals!$B$5:$B$49,"Paid Search",Totals!$C$5:$C$49,"Desktop")</f>
        <v/>
      </c>
      <c r="AS35" s="69">
        <f>IF(OR(AR35="",AQ35="",AQ35=0,AR35=0),"",AR35-AQ35)</f>
        <v/>
      </c>
      <c r="AT35" s="42">
        <f>IF(OR(AR35="",AQ35="",AQ35=0,AR35=0),"",AR35/AQ35-1)</f>
        <v/>
      </c>
      <c r="AU35" s="43">
        <f>IF(OR(AQ35="",AJ35="",AJ35=0),"",AQ35/AJ35)</f>
        <v/>
      </c>
      <c r="AV35" s="43">
        <f>IF(OR(AR35="",AK35="",AK35=0),"",AR35/AK35)</f>
        <v/>
      </c>
      <c r="AW35" s="44">
        <f>IF(OR(AV35="",AU35=""),"",(AV35-AU35)*100)</f>
        <v/>
      </c>
      <c r="AX35" s="45">
        <f>IF(OR(AQ35="",O35="",O35=0),"",AQ35/O35)</f>
        <v/>
      </c>
      <c r="AY35" s="45">
        <f>IF(OR(AR35="",P35="",P35=0),"",AR35/P35)</f>
        <v/>
      </c>
      <c r="AZ35" s="44">
        <f>IF(OR(AY35="",AX35=""),"",(AY35-AX35)*100)</f>
        <v/>
      </c>
      <c r="BA35" s="45">
        <f>IF(OR(AQ35="",D35="",D35=0),"",AQ35/D35)</f>
        <v/>
      </c>
      <c r="BB35" s="45">
        <f>IF(OR(AR35="",E35="",E35=0),"",AR35/E35)</f>
        <v/>
      </c>
      <c r="BC35" s="44">
        <f>IF(OR(BB35="",BA35=""),"",(BB35-BA35)*100)</f>
        <v/>
      </c>
    </row>
    <row r="36">
      <c r="A36" s="32" t="inlineStr">
        <is>
          <t>Route page</t>
        </is>
      </c>
      <c r="B36" s="32" t="inlineStr">
        <is>
          <t>Organic</t>
        </is>
      </c>
      <c r="C36" s="32" t="inlineStr">
        <is>
          <t>Total</t>
        </is>
      </c>
      <c r="D36" s="33">
        <f>SUMIFS(Totals!$D$5:$D$49,Totals!$A$5:$A$49,"Route page",Totals!$B$5:$B$49,"Organic",Totals!$C$5:$C$49,"Total")</f>
        <v/>
      </c>
      <c r="E36" s="33">
        <f>SUMIFS(Totals!$E$5:$E$49,Totals!$A$5:$A$49,"Route page",Totals!$B$5:$B$49,"Organic",Totals!$C$5:$C$49,"Total")</f>
        <v/>
      </c>
      <c r="F36" s="67">
        <f>IF(OR(E36="",D36="",D36=0,E36=0),"",E36-D36)</f>
        <v/>
      </c>
      <c r="G36" s="34">
        <f>IF(OR(E36="",D36="",D36=0,E36=0),"",E36/D36-1)</f>
        <v/>
      </c>
      <c r="H36" s="33">
        <f>SUMIFS(Totals!$H$5:$H$49,Totals!$A$5:$A$49,"Route page",Totals!$B$5:$B$49,"Organic",Totals!$C$5:$C$49,"Total")</f>
        <v/>
      </c>
      <c r="I36" s="33">
        <f>SUMIFS(Totals!$I$5:$I$49,Totals!$A$5:$A$49,"Route page",Totals!$B$5:$B$49,"Organic",Totals!$C$5:$C$49,"Total")</f>
        <v/>
      </c>
      <c r="J36" s="67">
        <f>IF(OR(I36="",H36="",H36=0,I36=0),"",I36-H36)</f>
        <v/>
      </c>
      <c r="K36" s="34">
        <f>IF(OR(I36="",H36="",H36=0,I36=0),"",I36/H36-1)</f>
        <v/>
      </c>
      <c r="L36" s="35">
        <f>IF(OR(H36="",D36="",D36=0),"",H36/D36)</f>
        <v/>
      </c>
      <c r="M36" s="35">
        <f>IF(OR(I36="",E36="",E36=0),"",I36/E36)</f>
        <v/>
      </c>
      <c r="N36" s="36">
        <f>IF(OR(M36="",L36=""),"",(M36-L36)*100)</f>
        <v/>
      </c>
      <c r="O36" s="33">
        <f>SUMIFS(Totals!$O$5:$O$49,Totals!$A$5:$A$49,"Route page",Totals!$B$5:$B$49,"Organic",Totals!$C$5:$C$49,"Total")</f>
        <v/>
      </c>
      <c r="P36" s="33">
        <f>SUMIFS(Totals!$P$5:$P$49,Totals!$A$5:$A$49,"Route page",Totals!$B$5:$B$49,"Organic",Totals!$C$5:$C$49,"Total")</f>
        <v/>
      </c>
      <c r="Q36" s="67">
        <f>IF(OR(P36="",O36="",O36=0,P36=0),"",P36-O36)</f>
        <v/>
      </c>
      <c r="R36" s="34">
        <f>IF(OR(P36="",O36="",O36=0,P36=0),"",P36/O36-1)</f>
        <v/>
      </c>
      <c r="S36" s="35">
        <f>IF(OR(O36="",D36="",D36=0),"",O36/D36)</f>
        <v/>
      </c>
      <c r="T36" s="35">
        <f>IF(OR(P36="",E36="",E36=0),"",P36/E36)</f>
        <v/>
      </c>
      <c r="U36" s="36">
        <f>IF(OR(T36="",S36=""),"",(T36-S36)*100)</f>
        <v/>
      </c>
      <c r="V36" s="33">
        <f>SUMIFS(Totals!$V$5:$V$49,Totals!$A$5:$A$49,"Route page",Totals!$B$5:$B$49,"Organic",Totals!$C$5:$C$49,"Total")</f>
        <v/>
      </c>
      <c r="W36" s="33">
        <f>SUMIFS(Totals!$W$5:$W$49,Totals!$A$5:$A$49,"Route page",Totals!$B$5:$B$49,"Organic",Totals!$C$5:$C$49,"Total")</f>
        <v/>
      </c>
      <c r="X36" s="67">
        <f>IF(OR(W36="",V36="",V36=0,W36=0),"",W36-V36)</f>
        <v/>
      </c>
      <c r="Y36" s="34">
        <f>IF(OR(W36="",V36="",V36=0,W36=0),"",W36/V36-1)</f>
        <v/>
      </c>
      <c r="Z36" s="35">
        <f>IF(OR(V36="",O36="",O36=0),"",V36/O36)</f>
        <v/>
      </c>
      <c r="AA36" s="35">
        <f>IF(OR(W36="",P36="",P36=0),"",W36/P36)</f>
        <v/>
      </c>
      <c r="AB36" s="36">
        <f>IF(OR(AA36="",Z36=""),"",(AA36-Z36)*100)</f>
        <v/>
      </c>
      <c r="AC36" s="33">
        <f>SUMIFS(Totals!$AC$5:$AC$49,Totals!$A$5:$A$49,"Route page",Totals!$B$5:$B$49,"Organic",Totals!$C$5:$C$49,"Total")</f>
        <v/>
      </c>
      <c r="AD36" s="33">
        <f>SUMIFS(Totals!$AD$5:$AD$49,Totals!$A$5:$A$49,"Route page",Totals!$B$5:$B$49,"Organic",Totals!$C$5:$C$49,"Total")</f>
        <v/>
      </c>
      <c r="AE36" s="67">
        <f>IF(OR(AD36="",AC36="",AC36=0,AD36=0),"",AD36-AC36)</f>
        <v/>
      </c>
      <c r="AF36" s="34">
        <f>IF(OR(AD36="",AC36="",AC36=0,AD36=0),"",AD36/AC36-1)</f>
        <v/>
      </c>
      <c r="AG36" s="35">
        <f>IF(OR(AC36="",V36="",V36=0),"",AC36/V36)</f>
        <v/>
      </c>
      <c r="AH36" s="35">
        <f>IF(OR(AD36="",W36="",W36=0),"",AD36/W36)</f>
        <v/>
      </c>
      <c r="AI36" s="36">
        <f>IF(OR(AH36="",AG36=""),"",(AH36-AG36)*100)</f>
        <v/>
      </c>
      <c r="AJ36" s="33">
        <f>SUMIFS(Totals!$AJ$5:$AJ$49,Totals!$A$5:$A$49,"Route page",Totals!$B$5:$B$49,"Organic",Totals!$C$5:$C$49,"Total")</f>
        <v/>
      </c>
      <c r="AK36" s="33">
        <f>SUMIFS(Totals!$AK$5:$AK$49,Totals!$A$5:$A$49,"Route page",Totals!$B$5:$B$49,"Organic",Totals!$C$5:$C$49,"Total")</f>
        <v/>
      </c>
      <c r="AL36" s="67">
        <f>IF(OR(AK36="",AJ36="",AJ36=0,AK36=0),"",AK36-AJ36)</f>
        <v/>
      </c>
      <c r="AM36" s="34">
        <f>IF(OR(AK36="",AJ36="",AJ36=0,AK36=0),"",AK36/AJ36-1)</f>
        <v/>
      </c>
      <c r="AN36" s="35">
        <f>IF(OR(AJ36="",AC36="",AC36=0),"",AJ36/AC36)</f>
        <v/>
      </c>
      <c r="AO36" s="35">
        <f>IF(OR(AK36="",AD36="",AD36=0),"",AK36/AD36)</f>
        <v/>
      </c>
      <c r="AP36" s="36">
        <f>IF(OR(AO36="",AN36=""),"",(AO36-AN36)*100)</f>
        <v/>
      </c>
      <c r="AQ36" s="33">
        <f>SUMIFS(Totals!$AQ$5:$AQ$49,Totals!$A$5:$A$49,"Route page",Totals!$B$5:$B$49,"Organic",Totals!$C$5:$C$49,"Total")</f>
        <v/>
      </c>
      <c r="AR36" s="33">
        <f>SUMIFS(Totals!$AR$5:$AR$49,Totals!$A$5:$A$49,"Route page",Totals!$B$5:$B$49,"Organic",Totals!$C$5:$C$49,"Total")</f>
        <v/>
      </c>
      <c r="AS36" s="67">
        <f>IF(OR(AR36="",AQ36="",AQ36=0,AR36=0),"",AR36-AQ36)</f>
        <v/>
      </c>
      <c r="AT36" s="34">
        <f>IF(OR(AR36="",AQ36="",AQ36=0,AR36=0),"",AR36/AQ36-1)</f>
        <v/>
      </c>
      <c r="AU36" s="35">
        <f>IF(OR(AQ36="",AJ36="",AJ36=0),"",AQ36/AJ36)</f>
        <v/>
      </c>
      <c r="AV36" s="35">
        <f>IF(OR(AR36="",AK36="",AK36=0),"",AR36/AK36)</f>
        <v/>
      </c>
      <c r="AW36" s="36">
        <f>IF(OR(AV36="",AU36=""),"",(AV36-AU36)*100)</f>
        <v/>
      </c>
      <c r="AX36" s="37">
        <f>IF(OR(AQ36="",O36="",O36=0),"",AQ36/O36)</f>
        <v/>
      </c>
      <c r="AY36" s="37">
        <f>IF(OR(AR36="",P36="",P36=0),"",AR36/P36)</f>
        <v/>
      </c>
      <c r="AZ36" s="36">
        <f>IF(OR(AY36="",AX36=""),"",(AY36-AX36)*100)</f>
        <v/>
      </c>
      <c r="BA36" s="37">
        <f>IF(OR(AQ36="",D36="",D36=0),"",AQ36/D36)</f>
        <v/>
      </c>
      <c r="BB36" s="37">
        <f>IF(OR(AR36="",E36="",E36=0),"",AR36/E36)</f>
        <v/>
      </c>
      <c r="BC36" s="36">
        <f>IF(OR(BB36="",BA36=""),"",(BB36-BA36)*100)</f>
        <v/>
      </c>
    </row>
    <row r="37">
      <c r="A37" s="40" t="inlineStr">
        <is>
          <t>Route page</t>
        </is>
      </c>
      <c r="B37" s="40" t="inlineStr">
        <is>
          <t>Organic</t>
        </is>
      </c>
      <c r="C37" s="40" t="inlineStr">
        <is>
          <t>Mobile</t>
        </is>
      </c>
      <c r="D37" s="41">
        <f>SUMIFS(Totals!$D$5:$D$49,Totals!$A$5:$A$49,"Route page",Totals!$B$5:$B$49,"Organic",Totals!$C$5:$C$49,"Mobile")</f>
        <v/>
      </c>
      <c r="E37" s="41">
        <f>SUMIFS(Totals!$E$5:$E$49,Totals!$A$5:$A$49,"Route page",Totals!$B$5:$B$49,"Organic",Totals!$C$5:$C$49,"Mobile")</f>
        <v/>
      </c>
      <c r="F37" s="69">
        <f>IF(OR(E37="",D37="",D37=0,E37=0),"",E37-D37)</f>
        <v/>
      </c>
      <c r="G37" s="42">
        <f>IF(OR(E37="",D37="",D37=0,E37=0),"",E37/D37-1)</f>
        <v/>
      </c>
      <c r="H37" s="41">
        <f>SUMIFS(Totals!$H$5:$H$49,Totals!$A$5:$A$49,"Route page",Totals!$B$5:$B$49,"Organic",Totals!$C$5:$C$49,"Mobile")</f>
        <v/>
      </c>
      <c r="I37" s="41">
        <f>SUMIFS(Totals!$I$5:$I$49,Totals!$A$5:$A$49,"Route page",Totals!$B$5:$B$49,"Organic",Totals!$C$5:$C$49,"Mobile")</f>
        <v/>
      </c>
      <c r="J37" s="69">
        <f>IF(OR(I37="",H37="",H37=0,I37=0),"",I37-H37)</f>
        <v/>
      </c>
      <c r="K37" s="42">
        <f>IF(OR(I37="",H37="",H37=0,I37=0),"",I37/H37-1)</f>
        <v/>
      </c>
      <c r="L37" s="43">
        <f>IF(OR(H37="",D37="",D37=0),"",H37/D37)</f>
        <v/>
      </c>
      <c r="M37" s="43">
        <f>IF(OR(I37="",E37="",E37=0),"",I37/E37)</f>
        <v/>
      </c>
      <c r="N37" s="44">
        <f>IF(OR(M37="",L37=""),"",(M37-L37)*100)</f>
        <v/>
      </c>
      <c r="O37" s="41">
        <f>SUMIFS(Totals!$O$5:$O$49,Totals!$A$5:$A$49,"Route page",Totals!$B$5:$B$49,"Organic",Totals!$C$5:$C$49,"Mobile")</f>
        <v/>
      </c>
      <c r="P37" s="41">
        <f>SUMIFS(Totals!$P$5:$P$49,Totals!$A$5:$A$49,"Route page",Totals!$B$5:$B$49,"Organic",Totals!$C$5:$C$49,"Mobile")</f>
        <v/>
      </c>
      <c r="Q37" s="69">
        <f>IF(OR(P37="",O37="",O37=0,P37=0),"",P37-O37)</f>
        <v/>
      </c>
      <c r="R37" s="42">
        <f>IF(OR(P37="",O37="",O37=0,P37=0),"",P37/O37-1)</f>
        <v/>
      </c>
      <c r="S37" s="43">
        <f>IF(OR(O37="",D37="",D37=0),"",O37/D37)</f>
        <v/>
      </c>
      <c r="T37" s="43">
        <f>IF(OR(P37="",E37="",E37=0),"",P37/E37)</f>
        <v/>
      </c>
      <c r="U37" s="44">
        <f>IF(OR(T37="",S37=""),"",(T37-S37)*100)</f>
        <v/>
      </c>
      <c r="V37" s="41">
        <f>SUMIFS(Totals!$V$5:$V$49,Totals!$A$5:$A$49,"Route page",Totals!$B$5:$B$49,"Organic",Totals!$C$5:$C$49,"Mobile")</f>
        <v/>
      </c>
      <c r="W37" s="41">
        <f>SUMIFS(Totals!$W$5:$W$49,Totals!$A$5:$A$49,"Route page",Totals!$B$5:$B$49,"Organic",Totals!$C$5:$C$49,"Mobile")</f>
        <v/>
      </c>
      <c r="X37" s="69">
        <f>IF(OR(W37="",V37="",V37=0,W37=0),"",W37-V37)</f>
        <v/>
      </c>
      <c r="Y37" s="42">
        <f>IF(OR(W37="",V37="",V37=0,W37=0),"",W37/V37-1)</f>
        <v/>
      </c>
      <c r="Z37" s="43">
        <f>IF(OR(V37="",O37="",O37=0),"",V37/O37)</f>
        <v/>
      </c>
      <c r="AA37" s="43">
        <f>IF(OR(W37="",P37="",P37=0),"",W37/P37)</f>
        <v/>
      </c>
      <c r="AB37" s="44">
        <f>IF(OR(AA37="",Z37=""),"",(AA37-Z37)*100)</f>
        <v/>
      </c>
      <c r="AC37" s="41">
        <f>SUMIFS(Totals!$AC$5:$AC$49,Totals!$A$5:$A$49,"Route page",Totals!$B$5:$B$49,"Organic",Totals!$C$5:$C$49,"Mobile")</f>
        <v/>
      </c>
      <c r="AD37" s="41">
        <f>SUMIFS(Totals!$AD$5:$AD$49,Totals!$A$5:$A$49,"Route page",Totals!$B$5:$B$49,"Organic",Totals!$C$5:$C$49,"Mobile")</f>
        <v/>
      </c>
      <c r="AE37" s="69">
        <f>IF(OR(AD37="",AC37="",AC37=0,AD37=0),"",AD37-AC37)</f>
        <v/>
      </c>
      <c r="AF37" s="42">
        <f>IF(OR(AD37="",AC37="",AC37=0,AD37=0),"",AD37/AC37-1)</f>
        <v/>
      </c>
      <c r="AG37" s="43">
        <f>IF(OR(AC37="",V37="",V37=0),"",AC37/V37)</f>
        <v/>
      </c>
      <c r="AH37" s="43">
        <f>IF(OR(AD37="",W37="",W37=0),"",AD37/W37)</f>
        <v/>
      </c>
      <c r="AI37" s="44">
        <f>IF(OR(AH37="",AG37=""),"",(AH37-AG37)*100)</f>
        <v/>
      </c>
      <c r="AJ37" s="41">
        <f>SUMIFS(Totals!$AJ$5:$AJ$49,Totals!$A$5:$A$49,"Route page",Totals!$B$5:$B$49,"Organic",Totals!$C$5:$C$49,"Mobile")</f>
        <v/>
      </c>
      <c r="AK37" s="41">
        <f>SUMIFS(Totals!$AK$5:$AK$49,Totals!$A$5:$A$49,"Route page",Totals!$B$5:$B$49,"Organic",Totals!$C$5:$C$49,"Mobile")</f>
        <v/>
      </c>
      <c r="AL37" s="69">
        <f>IF(OR(AK37="",AJ37="",AJ37=0,AK37=0),"",AK37-AJ37)</f>
        <v/>
      </c>
      <c r="AM37" s="42">
        <f>IF(OR(AK37="",AJ37="",AJ37=0,AK37=0),"",AK37/AJ37-1)</f>
        <v/>
      </c>
      <c r="AN37" s="43">
        <f>IF(OR(AJ37="",AC37="",AC37=0),"",AJ37/AC37)</f>
        <v/>
      </c>
      <c r="AO37" s="43">
        <f>IF(OR(AK37="",AD37="",AD37=0),"",AK37/AD37)</f>
        <v/>
      </c>
      <c r="AP37" s="44">
        <f>IF(OR(AO37="",AN37=""),"",(AO37-AN37)*100)</f>
        <v/>
      </c>
      <c r="AQ37" s="41">
        <f>SUMIFS(Totals!$AQ$5:$AQ$49,Totals!$A$5:$A$49,"Route page",Totals!$B$5:$B$49,"Organic",Totals!$C$5:$C$49,"Mobile")</f>
        <v/>
      </c>
      <c r="AR37" s="41">
        <f>SUMIFS(Totals!$AR$5:$AR$49,Totals!$A$5:$A$49,"Route page",Totals!$B$5:$B$49,"Organic",Totals!$C$5:$C$49,"Mobile")</f>
        <v/>
      </c>
      <c r="AS37" s="69">
        <f>IF(OR(AR37="",AQ37="",AQ37=0,AR37=0),"",AR37-AQ37)</f>
        <v/>
      </c>
      <c r="AT37" s="42">
        <f>IF(OR(AR37="",AQ37="",AQ37=0,AR37=0),"",AR37/AQ37-1)</f>
        <v/>
      </c>
      <c r="AU37" s="43">
        <f>IF(OR(AQ37="",AJ37="",AJ37=0),"",AQ37/AJ37)</f>
        <v/>
      </c>
      <c r="AV37" s="43">
        <f>IF(OR(AR37="",AK37="",AK37=0),"",AR37/AK37)</f>
        <v/>
      </c>
      <c r="AW37" s="44">
        <f>IF(OR(AV37="",AU37=""),"",(AV37-AU37)*100)</f>
        <v/>
      </c>
      <c r="AX37" s="45">
        <f>IF(OR(AQ37="",O37="",O37=0),"",AQ37/O37)</f>
        <v/>
      </c>
      <c r="AY37" s="45">
        <f>IF(OR(AR37="",P37="",P37=0),"",AR37/P37)</f>
        <v/>
      </c>
      <c r="AZ37" s="44">
        <f>IF(OR(AY37="",AX37=""),"",(AY37-AX37)*100)</f>
        <v/>
      </c>
      <c r="BA37" s="45">
        <f>IF(OR(AQ37="",D37="",D37=0),"",AQ37/D37)</f>
        <v/>
      </c>
      <c r="BB37" s="45">
        <f>IF(OR(AR37="",E37="",E37=0),"",AR37/E37)</f>
        <v/>
      </c>
      <c r="BC37" s="44">
        <f>IF(OR(BB37="",BA37=""),"",(BB37-BA37)*100)</f>
        <v/>
      </c>
    </row>
    <row r="38">
      <c r="A38" s="40" t="inlineStr">
        <is>
          <t>Route page</t>
        </is>
      </c>
      <c r="B38" s="40" t="inlineStr">
        <is>
          <t>Organic</t>
        </is>
      </c>
      <c r="C38" s="40" t="inlineStr">
        <is>
          <t>Desktop</t>
        </is>
      </c>
      <c r="D38" s="41">
        <f>SUMIFS(Totals!$D$5:$D$49,Totals!$A$5:$A$49,"Route page",Totals!$B$5:$B$49,"Organic",Totals!$C$5:$C$49,"Desktop")</f>
        <v/>
      </c>
      <c r="E38" s="41">
        <f>SUMIFS(Totals!$E$5:$E$49,Totals!$A$5:$A$49,"Route page",Totals!$B$5:$B$49,"Organic",Totals!$C$5:$C$49,"Desktop")</f>
        <v/>
      </c>
      <c r="F38" s="69">
        <f>IF(OR(E38="",D38="",D38=0,E38=0),"",E38-D38)</f>
        <v/>
      </c>
      <c r="G38" s="42">
        <f>IF(OR(E38="",D38="",D38=0,E38=0),"",E38/D38-1)</f>
        <v/>
      </c>
      <c r="H38" s="41">
        <f>SUMIFS(Totals!$H$5:$H$49,Totals!$A$5:$A$49,"Route page",Totals!$B$5:$B$49,"Organic",Totals!$C$5:$C$49,"Desktop")</f>
        <v/>
      </c>
      <c r="I38" s="41">
        <f>SUMIFS(Totals!$I$5:$I$49,Totals!$A$5:$A$49,"Route page",Totals!$B$5:$B$49,"Organic",Totals!$C$5:$C$49,"Desktop")</f>
        <v/>
      </c>
      <c r="J38" s="69">
        <f>IF(OR(I38="",H38="",H38=0,I38=0),"",I38-H38)</f>
        <v/>
      </c>
      <c r="K38" s="42">
        <f>IF(OR(I38="",H38="",H38=0,I38=0),"",I38/H38-1)</f>
        <v/>
      </c>
      <c r="L38" s="43">
        <f>IF(OR(H38="",D38="",D38=0),"",H38/D38)</f>
        <v/>
      </c>
      <c r="M38" s="43">
        <f>IF(OR(I38="",E38="",E38=0),"",I38/E38)</f>
        <v/>
      </c>
      <c r="N38" s="44">
        <f>IF(OR(M38="",L38=""),"",(M38-L38)*100)</f>
        <v/>
      </c>
      <c r="O38" s="41">
        <f>SUMIFS(Totals!$O$5:$O$49,Totals!$A$5:$A$49,"Route page",Totals!$B$5:$B$49,"Organic",Totals!$C$5:$C$49,"Desktop")</f>
        <v/>
      </c>
      <c r="P38" s="41">
        <f>SUMIFS(Totals!$P$5:$P$49,Totals!$A$5:$A$49,"Route page",Totals!$B$5:$B$49,"Organic",Totals!$C$5:$C$49,"Desktop")</f>
        <v/>
      </c>
      <c r="Q38" s="69">
        <f>IF(OR(P38="",O38="",O38=0,P38=0),"",P38-O38)</f>
        <v/>
      </c>
      <c r="R38" s="42">
        <f>IF(OR(P38="",O38="",O38=0,P38=0),"",P38/O38-1)</f>
        <v/>
      </c>
      <c r="S38" s="43">
        <f>IF(OR(O38="",D38="",D38=0),"",O38/D38)</f>
        <v/>
      </c>
      <c r="T38" s="43">
        <f>IF(OR(P38="",E38="",E38=0),"",P38/E38)</f>
        <v/>
      </c>
      <c r="U38" s="44">
        <f>IF(OR(T38="",S38=""),"",(T38-S38)*100)</f>
        <v/>
      </c>
      <c r="V38" s="41">
        <f>SUMIFS(Totals!$V$5:$V$49,Totals!$A$5:$A$49,"Route page",Totals!$B$5:$B$49,"Organic",Totals!$C$5:$C$49,"Desktop")</f>
        <v/>
      </c>
      <c r="W38" s="41">
        <f>SUMIFS(Totals!$W$5:$W$49,Totals!$A$5:$A$49,"Route page",Totals!$B$5:$B$49,"Organic",Totals!$C$5:$C$49,"Desktop")</f>
        <v/>
      </c>
      <c r="X38" s="69">
        <f>IF(OR(W38="",V38="",V38=0,W38=0),"",W38-V38)</f>
        <v/>
      </c>
      <c r="Y38" s="42">
        <f>IF(OR(W38="",V38="",V38=0,W38=0),"",W38/V38-1)</f>
        <v/>
      </c>
      <c r="Z38" s="43">
        <f>IF(OR(V38="",O38="",O38=0),"",V38/O38)</f>
        <v/>
      </c>
      <c r="AA38" s="43">
        <f>IF(OR(W38="",P38="",P38=0),"",W38/P38)</f>
        <v/>
      </c>
      <c r="AB38" s="44">
        <f>IF(OR(AA38="",Z38=""),"",(AA38-Z38)*100)</f>
        <v/>
      </c>
      <c r="AC38" s="41">
        <f>SUMIFS(Totals!$AC$5:$AC$49,Totals!$A$5:$A$49,"Route page",Totals!$B$5:$B$49,"Organic",Totals!$C$5:$C$49,"Desktop")</f>
        <v/>
      </c>
      <c r="AD38" s="41">
        <f>SUMIFS(Totals!$AD$5:$AD$49,Totals!$A$5:$A$49,"Route page",Totals!$B$5:$B$49,"Organic",Totals!$C$5:$C$49,"Desktop")</f>
        <v/>
      </c>
      <c r="AE38" s="69">
        <f>IF(OR(AD38="",AC38="",AC38=0,AD38=0),"",AD38-AC38)</f>
        <v/>
      </c>
      <c r="AF38" s="42">
        <f>IF(OR(AD38="",AC38="",AC38=0,AD38=0),"",AD38/AC38-1)</f>
        <v/>
      </c>
      <c r="AG38" s="43">
        <f>IF(OR(AC38="",V38="",V38=0),"",AC38/V38)</f>
        <v/>
      </c>
      <c r="AH38" s="43">
        <f>IF(OR(AD38="",W38="",W38=0),"",AD38/W38)</f>
        <v/>
      </c>
      <c r="AI38" s="44">
        <f>IF(OR(AH38="",AG38=""),"",(AH38-AG38)*100)</f>
        <v/>
      </c>
      <c r="AJ38" s="41">
        <f>SUMIFS(Totals!$AJ$5:$AJ$49,Totals!$A$5:$A$49,"Route page",Totals!$B$5:$B$49,"Organic",Totals!$C$5:$C$49,"Desktop")</f>
        <v/>
      </c>
      <c r="AK38" s="41">
        <f>SUMIFS(Totals!$AK$5:$AK$49,Totals!$A$5:$A$49,"Route page",Totals!$B$5:$B$49,"Organic",Totals!$C$5:$C$49,"Desktop")</f>
        <v/>
      </c>
      <c r="AL38" s="69">
        <f>IF(OR(AK38="",AJ38="",AJ38=0,AK38=0),"",AK38-AJ38)</f>
        <v/>
      </c>
      <c r="AM38" s="42">
        <f>IF(OR(AK38="",AJ38="",AJ38=0,AK38=0),"",AK38/AJ38-1)</f>
        <v/>
      </c>
      <c r="AN38" s="43">
        <f>IF(OR(AJ38="",AC38="",AC38=0),"",AJ38/AC38)</f>
        <v/>
      </c>
      <c r="AO38" s="43">
        <f>IF(OR(AK38="",AD38="",AD38=0),"",AK38/AD38)</f>
        <v/>
      </c>
      <c r="AP38" s="44">
        <f>IF(OR(AO38="",AN38=""),"",(AO38-AN38)*100)</f>
        <v/>
      </c>
      <c r="AQ38" s="41">
        <f>SUMIFS(Totals!$AQ$5:$AQ$49,Totals!$A$5:$A$49,"Route page",Totals!$B$5:$B$49,"Organic",Totals!$C$5:$C$49,"Desktop")</f>
        <v/>
      </c>
      <c r="AR38" s="41">
        <f>SUMIFS(Totals!$AR$5:$AR$49,Totals!$A$5:$A$49,"Route page",Totals!$B$5:$B$49,"Organic",Totals!$C$5:$C$49,"Desktop")</f>
        <v/>
      </c>
      <c r="AS38" s="69">
        <f>IF(OR(AR38="",AQ38="",AQ38=0,AR38=0),"",AR38-AQ38)</f>
        <v/>
      </c>
      <c r="AT38" s="42">
        <f>IF(OR(AR38="",AQ38="",AQ38=0,AR38=0),"",AR38/AQ38-1)</f>
        <v/>
      </c>
      <c r="AU38" s="43">
        <f>IF(OR(AQ38="",AJ38="",AJ38=0),"",AQ38/AJ38)</f>
        <v/>
      </c>
      <c r="AV38" s="43">
        <f>IF(OR(AR38="",AK38="",AK38=0),"",AR38/AK38)</f>
        <v/>
      </c>
      <c r="AW38" s="44">
        <f>IF(OR(AV38="",AU38=""),"",(AV38-AU38)*100)</f>
        <v/>
      </c>
      <c r="AX38" s="45">
        <f>IF(OR(AQ38="",O38="",O38=0),"",AQ38/O38)</f>
        <v/>
      </c>
      <c r="AY38" s="45">
        <f>IF(OR(AR38="",P38="",P38=0),"",AR38/P38)</f>
        <v/>
      </c>
      <c r="AZ38" s="44">
        <f>IF(OR(AY38="",AX38=""),"",(AY38-AX38)*100)</f>
        <v/>
      </c>
      <c r="BA38" s="45">
        <f>IF(OR(AQ38="",D38="",D38=0),"",AQ38/D38)</f>
        <v/>
      </c>
      <c r="BB38" s="45">
        <f>IF(OR(AR38="",E38="",E38=0),"",AR38/E38)</f>
        <v/>
      </c>
      <c r="BC38" s="44">
        <f>IF(OR(BB38="",BA38=""),"",(BB38-BA38)*100)</f>
        <v/>
      </c>
    </row>
    <row r="39">
      <c r="A39" s="32" t="inlineStr">
        <is>
          <t>Route page</t>
        </is>
      </c>
      <c r="B39" s="32" t="inlineStr">
        <is>
          <t>Direct</t>
        </is>
      </c>
      <c r="C39" s="32" t="inlineStr">
        <is>
          <t>Total</t>
        </is>
      </c>
      <c r="D39" s="33">
        <f>SUMIFS(Totals!$D$5:$D$49,Totals!$A$5:$A$49,"Route page",Totals!$B$5:$B$49,"Direct",Totals!$C$5:$C$49,"Total")</f>
        <v/>
      </c>
      <c r="E39" s="33">
        <f>SUMIFS(Totals!$E$5:$E$49,Totals!$A$5:$A$49,"Route page",Totals!$B$5:$B$49,"Direct",Totals!$C$5:$C$49,"Total")</f>
        <v/>
      </c>
      <c r="F39" s="67">
        <f>IF(OR(E39="",D39="",D39=0,E39=0),"",E39-D39)</f>
        <v/>
      </c>
      <c r="G39" s="34">
        <f>IF(OR(E39="",D39="",D39=0,E39=0),"",E39/D39-1)</f>
        <v/>
      </c>
      <c r="H39" s="33">
        <f>SUMIFS(Totals!$H$5:$H$49,Totals!$A$5:$A$49,"Route page",Totals!$B$5:$B$49,"Direct",Totals!$C$5:$C$49,"Total")</f>
        <v/>
      </c>
      <c r="I39" s="33">
        <f>SUMIFS(Totals!$I$5:$I$49,Totals!$A$5:$A$49,"Route page",Totals!$B$5:$B$49,"Direct",Totals!$C$5:$C$49,"Total")</f>
        <v/>
      </c>
      <c r="J39" s="67">
        <f>IF(OR(I39="",H39="",H39=0,I39=0),"",I39-H39)</f>
        <v/>
      </c>
      <c r="K39" s="34">
        <f>IF(OR(I39="",H39="",H39=0,I39=0),"",I39/H39-1)</f>
        <v/>
      </c>
      <c r="L39" s="35">
        <f>IF(OR(H39="",D39="",D39=0),"",H39/D39)</f>
        <v/>
      </c>
      <c r="M39" s="35">
        <f>IF(OR(I39="",E39="",E39=0),"",I39/E39)</f>
        <v/>
      </c>
      <c r="N39" s="36">
        <f>IF(OR(M39="",L39=""),"",(M39-L39)*100)</f>
        <v/>
      </c>
      <c r="O39" s="33">
        <f>SUMIFS(Totals!$O$5:$O$49,Totals!$A$5:$A$49,"Route page",Totals!$B$5:$B$49,"Direct",Totals!$C$5:$C$49,"Total")</f>
        <v/>
      </c>
      <c r="P39" s="33">
        <f>SUMIFS(Totals!$P$5:$P$49,Totals!$A$5:$A$49,"Route page",Totals!$B$5:$B$49,"Direct",Totals!$C$5:$C$49,"Total")</f>
        <v/>
      </c>
      <c r="Q39" s="67">
        <f>IF(OR(P39="",O39="",O39=0,P39=0),"",P39-O39)</f>
        <v/>
      </c>
      <c r="R39" s="34">
        <f>IF(OR(P39="",O39="",O39=0,P39=0),"",P39/O39-1)</f>
        <v/>
      </c>
      <c r="S39" s="35">
        <f>IF(OR(O39="",D39="",D39=0),"",O39/D39)</f>
        <v/>
      </c>
      <c r="T39" s="35">
        <f>IF(OR(P39="",E39="",E39=0),"",P39/E39)</f>
        <v/>
      </c>
      <c r="U39" s="36">
        <f>IF(OR(T39="",S39=""),"",(T39-S39)*100)</f>
        <v/>
      </c>
      <c r="V39" s="33">
        <f>SUMIFS(Totals!$V$5:$V$49,Totals!$A$5:$A$49,"Route page",Totals!$B$5:$B$49,"Direct",Totals!$C$5:$C$49,"Total")</f>
        <v/>
      </c>
      <c r="W39" s="33">
        <f>SUMIFS(Totals!$W$5:$W$49,Totals!$A$5:$A$49,"Route page",Totals!$B$5:$B$49,"Direct",Totals!$C$5:$C$49,"Total")</f>
        <v/>
      </c>
      <c r="X39" s="67">
        <f>IF(OR(W39="",V39="",V39=0,W39=0),"",W39-V39)</f>
        <v/>
      </c>
      <c r="Y39" s="34">
        <f>IF(OR(W39="",V39="",V39=0,W39=0),"",W39/V39-1)</f>
        <v/>
      </c>
      <c r="Z39" s="35">
        <f>IF(OR(V39="",O39="",O39=0),"",V39/O39)</f>
        <v/>
      </c>
      <c r="AA39" s="35">
        <f>IF(OR(W39="",P39="",P39=0),"",W39/P39)</f>
        <v/>
      </c>
      <c r="AB39" s="36">
        <f>IF(OR(AA39="",Z39=""),"",(AA39-Z39)*100)</f>
        <v/>
      </c>
      <c r="AC39" s="33">
        <f>SUMIFS(Totals!$AC$5:$AC$49,Totals!$A$5:$A$49,"Route page",Totals!$B$5:$B$49,"Direct",Totals!$C$5:$C$49,"Total")</f>
        <v/>
      </c>
      <c r="AD39" s="33">
        <f>SUMIFS(Totals!$AD$5:$AD$49,Totals!$A$5:$A$49,"Route page",Totals!$B$5:$B$49,"Direct",Totals!$C$5:$C$49,"Total")</f>
        <v/>
      </c>
      <c r="AE39" s="67">
        <f>IF(OR(AD39="",AC39="",AC39=0,AD39=0),"",AD39-AC39)</f>
        <v/>
      </c>
      <c r="AF39" s="34">
        <f>IF(OR(AD39="",AC39="",AC39=0,AD39=0),"",AD39/AC39-1)</f>
        <v/>
      </c>
      <c r="AG39" s="35">
        <f>IF(OR(AC39="",V39="",V39=0),"",AC39/V39)</f>
        <v/>
      </c>
      <c r="AH39" s="35">
        <f>IF(OR(AD39="",W39="",W39=0),"",AD39/W39)</f>
        <v/>
      </c>
      <c r="AI39" s="36">
        <f>IF(OR(AH39="",AG39=""),"",(AH39-AG39)*100)</f>
        <v/>
      </c>
      <c r="AJ39" s="33">
        <f>SUMIFS(Totals!$AJ$5:$AJ$49,Totals!$A$5:$A$49,"Route page",Totals!$B$5:$B$49,"Direct",Totals!$C$5:$C$49,"Total")</f>
        <v/>
      </c>
      <c r="AK39" s="33">
        <f>SUMIFS(Totals!$AK$5:$AK$49,Totals!$A$5:$A$49,"Route page",Totals!$B$5:$B$49,"Direct",Totals!$C$5:$C$49,"Total")</f>
        <v/>
      </c>
      <c r="AL39" s="67">
        <f>IF(OR(AK39="",AJ39="",AJ39=0,AK39=0),"",AK39-AJ39)</f>
        <v/>
      </c>
      <c r="AM39" s="34">
        <f>IF(OR(AK39="",AJ39="",AJ39=0,AK39=0),"",AK39/AJ39-1)</f>
        <v/>
      </c>
      <c r="AN39" s="35">
        <f>IF(OR(AJ39="",AC39="",AC39=0),"",AJ39/AC39)</f>
        <v/>
      </c>
      <c r="AO39" s="35">
        <f>IF(OR(AK39="",AD39="",AD39=0),"",AK39/AD39)</f>
        <v/>
      </c>
      <c r="AP39" s="36">
        <f>IF(OR(AO39="",AN39=""),"",(AO39-AN39)*100)</f>
        <v/>
      </c>
      <c r="AQ39" s="33">
        <f>SUMIFS(Totals!$AQ$5:$AQ$49,Totals!$A$5:$A$49,"Route page",Totals!$B$5:$B$49,"Direct",Totals!$C$5:$C$49,"Total")</f>
        <v/>
      </c>
      <c r="AR39" s="33">
        <f>SUMIFS(Totals!$AR$5:$AR$49,Totals!$A$5:$A$49,"Route page",Totals!$B$5:$B$49,"Direct",Totals!$C$5:$C$49,"Total")</f>
        <v/>
      </c>
      <c r="AS39" s="67">
        <f>IF(OR(AR39="",AQ39="",AQ39=0,AR39=0),"",AR39-AQ39)</f>
        <v/>
      </c>
      <c r="AT39" s="34">
        <f>IF(OR(AR39="",AQ39="",AQ39=0,AR39=0),"",AR39/AQ39-1)</f>
        <v/>
      </c>
      <c r="AU39" s="35">
        <f>IF(OR(AQ39="",AJ39="",AJ39=0),"",AQ39/AJ39)</f>
        <v/>
      </c>
      <c r="AV39" s="35">
        <f>IF(OR(AR39="",AK39="",AK39=0),"",AR39/AK39)</f>
        <v/>
      </c>
      <c r="AW39" s="36">
        <f>IF(OR(AV39="",AU39=""),"",(AV39-AU39)*100)</f>
        <v/>
      </c>
      <c r="AX39" s="37">
        <f>IF(OR(AQ39="",O39="",O39=0),"",AQ39/O39)</f>
        <v/>
      </c>
      <c r="AY39" s="37">
        <f>IF(OR(AR39="",P39="",P39=0),"",AR39/P39)</f>
        <v/>
      </c>
      <c r="AZ39" s="36">
        <f>IF(OR(AY39="",AX39=""),"",(AY39-AX39)*100)</f>
        <v/>
      </c>
      <c r="BA39" s="37">
        <f>IF(OR(AQ39="",D39="",D39=0),"",AQ39/D39)</f>
        <v/>
      </c>
      <c r="BB39" s="37">
        <f>IF(OR(AR39="",E39="",E39=0),"",AR39/E39)</f>
        <v/>
      </c>
      <c r="BC39" s="36">
        <f>IF(OR(BB39="",BA39=""),"",(BB39-BA39)*100)</f>
        <v/>
      </c>
    </row>
    <row r="40">
      <c r="A40" s="40" t="inlineStr">
        <is>
          <t>Route page</t>
        </is>
      </c>
      <c r="B40" s="40" t="inlineStr">
        <is>
          <t>Direct</t>
        </is>
      </c>
      <c r="C40" s="40" t="inlineStr">
        <is>
          <t>Mobile</t>
        </is>
      </c>
      <c r="D40" s="41">
        <f>SUMIFS(Totals!$D$5:$D$49,Totals!$A$5:$A$49,"Route page",Totals!$B$5:$B$49,"Direct",Totals!$C$5:$C$49,"Mobile")</f>
        <v/>
      </c>
      <c r="E40" s="41">
        <f>SUMIFS(Totals!$E$5:$E$49,Totals!$A$5:$A$49,"Route page",Totals!$B$5:$B$49,"Direct",Totals!$C$5:$C$49,"Mobile")</f>
        <v/>
      </c>
      <c r="F40" s="69">
        <f>IF(OR(E40="",D40="",D40=0,E40=0),"",E40-D40)</f>
        <v/>
      </c>
      <c r="G40" s="42">
        <f>IF(OR(E40="",D40="",D40=0,E40=0),"",E40/D40-1)</f>
        <v/>
      </c>
      <c r="H40" s="41">
        <f>SUMIFS(Totals!$H$5:$H$49,Totals!$A$5:$A$49,"Route page",Totals!$B$5:$B$49,"Direct",Totals!$C$5:$C$49,"Mobile")</f>
        <v/>
      </c>
      <c r="I40" s="41">
        <f>SUMIFS(Totals!$I$5:$I$49,Totals!$A$5:$A$49,"Route page",Totals!$B$5:$B$49,"Direct",Totals!$C$5:$C$49,"Mobile")</f>
        <v/>
      </c>
      <c r="J40" s="69">
        <f>IF(OR(I40="",H40="",H40=0,I40=0),"",I40-H40)</f>
        <v/>
      </c>
      <c r="K40" s="42">
        <f>IF(OR(I40="",H40="",H40=0,I40=0),"",I40/H40-1)</f>
        <v/>
      </c>
      <c r="L40" s="43">
        <f>IF(OR(H40="",D40="",D40=0),"",H40/D40)</f>
        <v/>
      </c>
      <c r="M40" s="43">
        <f>IF(OR(I40="",E40="",E40=0),"",I40/E40)</f>
        <v/>
      </c>
      <c r="N40" s="44">
        <f>IF(OR(M40="",L40=""),"",(M40-L40)*100)</f>
        <v/>
      </c>
      <c r="O40" s="41">
        <f>SUMIFS(Totals!$O$5:$O$49,Totals!$A$5:$A$49,"Route page",Totals!$B$5:$B$49,"Direct",Totals!$C$5:$C$49,"Mobile")</f>
        <v/>
      </c>
      <c r="P40" s="41">
        <f>SUMIFS(Totals!$P$5:$P$49,Totals!$A$5:$A$49,"Route page",Totals!$B$5:$B$49,"Direct",Totals!$C$5:$C$49,"Mobile")</f>
        <v/>
      </c>
      <c r="Q40" s="69">
        <f>IF(OR(P40="",O40="",O40=0,P40=0),"",P40-O40)</f>
        <v/>
      </c>
      <c r="R40" s="42">
        <f>IF(OR(P40="",O40="",O40=0,P40=0),"",P40/O40-1)</f>
        <v/>
      </c>
      <c r="S40" s="43">
        <f>IF(OR(O40="",D40="",D40=0),"",O40/D40)</f>
        <v/>
      </c>
      <c r="T40" s="43">
        <f>IF(OR(P40="",E40="",E40=0),"",P40/E40)</f>
        <v/>
      </c>
      <c r="U40" s="44">
        <f>IF(OR(T40="",S40=""),"",(T40-S40)*100)</f>
        <v/>
      </c>
      <c r="V40" s="41">
        <f>SUMIFS(Totals!$V$5:$V$49,Totals!$A$5:$A$49,"Route page",Totals!$B$5:$B$49,"Direct",Totals!$C$5:$C$49,"Mobile")</f>
        <v/>
      </c>
      <c r="W40" s="41">
        <f>SUMIFS(Totals!$W$5:$W$49,Totals!$A$5:$A$49,"Route page",Totals!$B$5:$B$49,"Direct",Totals!$C$5:$C$49,"Mobile")</f>
        <v/>
      </c>
      <c r="X40" s="69">
        <f>IF(OR(W40="",V40="",V40=0,W40=0),"",W40-V40)</f>
        <v/>
      </c>
      <c r="Y40" s="42">
        <f>IF(OR(W40="",V40="",V40=0,W40=0),"",W40/V40-1)</f>
        <v/>
      </c>
      <c r="Z40" s="43">
        <f>IF(OR(V40="",O40="",O40=0),"",V40/O40)</f>
        <v/>
      </c>
      <c r="AA40" s="43">
        <f>IF(OR(W40="",P40="",P40=0),"",W40/P40)</f>
        <v/>
      </c>
      <c r="AB40" s="44">
        <f>IF(OR(AA40="",Z40=""),"",(AA40-Z40)*100)</f>
        <v/>
      </c>
      <c r="AC40" s="41">
        <f>SUMIFS(Totals!$AC$5:$AC$49,Totals!$A$5:$A$49,"Route page",Totals!$B$5:$B$49,"Direct",Totals!$C$5:$C$49,"Mobile")</f>
        <v/>
      </c>
      <c r="AD40" s="41">
        <f>SUMIFS(Totals!$AD$5:$AD$49,Totals!$A$5:$A$49,"Route page",Totals!$B$5:$B$49,"Direct",Totals!$C$5:$C$49,"Mobile")</f>
        <v/>
      </c>
      <c r="AE40" s="69">
        <f>IF(OR(AD40="",AC40="",AC40=0,AD40=0),"",AD40-AC40)</f>
        <v/>
      </c>
      <c r="AF40" s="42">
        <f>IF(OR(AD40="",AC40="",AC40=0,AD40=0),"",AD40/AC40-1)</f>
        <v/>
      </c>
      <c r="AG40" s="43">
        <f>IF(OR(AC40="",V40="",V40=0),"",AC40/V40)</f>
        <v/>
      </c>
      <c r="AH40" s="43">
        <f>IF(OR(AD40="",W40="",W40=0),"",AD40/W40)</f>
        <v/>
      </c>
      <c r="AI40" s="44">
        <f>IF(OR(AH40="",AG40=""),"",(AH40-AG40)*100)</f>
        <v/>
      </c>
      <c r="AJ40" s="41">
        <f>SUMIFS(Totals!$AJ$5:$AJ$49,Totals!$A$5:$A$49,"Route page",Totals!$B$5:$B$49,"Direct",Totals!$C$5:$C$49,"Mobile")</f>
        <v/>
      </c>
      <c r="AK40" s="41">
        <f>SUMIFS(Totals!$AK$5:$AK$49,Totals!$A$5:$A$49,"Route page",Totals!$B$5:$B$49,"Direct",Totals!$C$5:$C$49,"Mobile")</f>
        <v/>
      </c>
      <c r="AL40" s="69">
        <f>IF(OR(AK40="",AJ40="",AJ40=0,AK40=0),"",AK40-AJ40)</f>
        <v/>
      </c>
      <c r="AM40" s="42">
        <f>IF(OR(AK40="",AJ40="",AJ40=0,AK40=0),"",AK40/AJ40-1)</f>
        <v/>
      </c>
      <c r="AN40" s="43">
        <f>IF(OR(AJ40="",AC40="",AC40=0),"",AJ40/AC40)</f>
        <v/>
      </c>
      <c r="AO40" s="43">
        <f>IF(OR(AK40="",AD40="",AD40=0),"",AK40/AD40)</f>
        <v/>
      </c>
      <c r="AP40" s="44">
        <f>IF(OR(AO40="",AN40=""),"",(AO40-AN40)*100)</f>
        <v/>
      </c>
      <c r="AQ40" s="41">
        <f>SUMIFS(Totals!$AQ$5:$AQ$49,Totals!$A$5:$A$49,"Route page",Totals!$B$5:$B$49,"Direct",Totals!$C$5:$C$49,"Mobile")</f>
        <v/>
      </c>
      <c r="AR40" s="41">
        <f>SUMIFS(Totals!$AR$5:$AR$49,Totals!$A$5:$A$49,"Route page",Totals!$B$5:$B$49,"Direct",Totals!$C$5:$C$49,"Mobile")</f>
        <v/>
      </c>
      <c r="AS40" s="69">
        <f>IF(OR(AR40="",AQ40="",AQ40=0,AR40=0),"",AR40-AQ40)</f>
        <v/>
      </c>
      <c r="AT40" s="42">
        <f>IF(OR(AR40="",AQ40="",AQ40=0,AR40=0),"",AR40/AQ40-1)</f>
        <v/>
      </c>
      <c r="AU40" s="43">
        <f>IF(OR(AQ40="",AJ40="",AJ40=0),"",AQ40/AJ40)</f>
        <v/>
      </c>
      <c r="AV40" s="43">
        <f>IF(OR(AR40="",AK40="",AK40=0),"",AR40/AK40)</f>
        <v/>
      </c>
      <c r="AW40" s="44">
        <f>IF(OR(AV40="",AU40=""),"",(AV40-AU40)*100)</f>
        <v/>
      </c>
      <c r="AX40" s="45">
        <f>IF(OR(AQ40="",O40="",O40=0),"",AQ40/O40)</f>
        <v/>
      </c>
      <c r="AY40" s="45">
        <f>IF(OR(AR40="",P40="",P40=0),"",AR40/P40)</f>
        <v/>
      </c>
      <c r="AZ40" s="44">
        <f>IF(OR(AY40="",AX40=""),"",(AY40-AX40)*100)</f>
        <v/>
      </c>
      <c r="BA40" s="45">
        <f>IF(OR(AQ40="",D40="",D40=0),"",AQ40/D40)</f>
        <v/>
      </c>
      <c r="BB40" s="45">
        <f>IF(OR(AR40="",E40="",E40=0),"",AR40/E40)</f>
        <v/>
      </c>
      <c r="BC40" s="44">
        <f>IF(OR(BB40="",BA40=""),"",(BB40-BA40)*100)</f>
        <v/>
      </c>
    </row>
    <row r="41">
      <c r="A41" s="40" t="inlineStr">
        <is>
          <t>Route page</t>
        </is>
      </c>
      <c r="B41" s="40" t="inlineStr">
        <is>
          <t>Direct</t>
        </is>
      </c>
      <c r="C41" s="40" t="inlineStr">
        <is>
          <t>Desktop</t>
        </is>
      </c>
      <c r="D41" s="41">
        <f>SUMIFS(Totals!$D$5:$D$49,Totals!$A$5:$A$49,"Route page",Totals!$B$5:$B$49,"Direct",Totals!$C$5:$C$49,"Desktop")</f>
        <v/>
      </c>
      <c r="E41" s="41">
        <f>SUMIFS(Totals!$E$5:$E$49,Totals!$A$5:$A$49,"Route page",Totals!$B$5:$B$49,"Direct",Totals!$C$5:$C$49,"Desktop")</f>
        <v/>
      </c>
      <c r="F41" s="69">
        <f>IF(OR(E41="",D41="",D41=0,E41=0),"",E41-D41)</f>
        <v/>
      </c>
      <c r="G41" s="42">
        <f>IF(OR(E41="",D41="",D41=0,E41=0),"",E41/D41-1)</f>
        <v/>
      </c>
      <c r="H41" s="41">
        <f>SUMIFS(Totals!$H$5:$H$49,Totals!$A$5:$A$49,"Route page",Totals!$B$5:$B$49,"Direct",Totals!$C$5:$C$49,"Desktop")</f>
        <v/>
      </c>
      <c r="I41" s="41">
        <f>SUMIFS(Totals!$I$5:$I$49,Totals!$A$5:$A$49,"Route page",Totals!$B$5:$B$49,"Direct",Totals!$C$5:$C$49,"Desktop")</f>
        <v/>
      </c>
      <c r="J41" s="69">
        <f>IF(OR(I41="",H41="",H41=0,I41=0),"",I41-H41)</f>
        <v/>
      </c>
      <c r="K41" s="42">
        <f>IF(OR(I41="",H41="",H41=0,I41=0),"",I41/H41-1)</f>
        <v/>
      </c>
      <c r="L41" s="43">
        <f>IF(OR(H41="",D41="",D41=0),"",H41/D41)</f>
        <v/>
      </c>
      <c r="M41" s="43">
        <f>IF(OR(I41="",E41="",E41=0),"",I41/E41)</f>
        <v/>
      </c>
      <c r="N41" s="44">
        <f>IF(OR(M41="",L41=""),"",(M41-L41)*100)</f>
        <v/>
      </c>
      <c r="O41" s="41">
        <f>SUMIFS(Totals!$O$5:$O$49,Totals!$A$5:$A$49,"Route page",Totals!$B$5:$B$49,"Direct",Totals!$C$5:$C$49,"Desktop")</f>
        <v/>
      </c>
      <c r="P41" s="41">
        <f>SUMIFS(Totals!$P$5:$P$49,Totals!$A$5:$A$49,"Route page",Totals!$B$5:$B$49,"Direct",Totals!$C$5:$C$49,"Desktop")</f>
        <v/>
      </c>
      <c r="Q41" s="69">
        <f>IF(OR(P41="",O41="",O41=0,P41=0),"",P41-O41)</f>
        <v/>
      </c>
      <c r="R41" s="42">
        <f>IF(OR(P41="",O41="",O41=0,P41=0),"",P41/O41-1)</f>
        <v/>
      </c>
      <c r="S41" s="43">
        <f>IF(OR(O41="",D41="",D41=0),"",O41/D41)</f>
        <v/>
      </c>
      <c r="T41" s="43">
        <f>IF(OR(P41="",E41="",E41=0),"",P41/E41)</f>
        <v/>
      </c>
      <c r="U41" s="44">
        <f>IF(OR(T41="",S41=""),"",(T41-S41)*100)</f>
        <v/>
      </c>
      <c r="V41" s="41">
        <f>SUMIFS(Totals!$V$5:$V$49,Totals!$A$5:$A$49,"Route page",Totals!$B$5:$B$49,"Direct",Totals!$C$5:$C$49,"Desktop")</f>
        <v/>
      </c>
      <c r="W41" s="41">
        <f>SUMIFS(Totals!$W$5:$W$49,Totals!$A$5:$A$49,"Route page",Totals!$B$5:$B$49,"Direct",Totals!$C$5:$C$49,"Desktop")</f>
        <v/>
      </c>
      <c r="X41" s="69">
        <f>IF(OR(W41="",V41="",V41=0,W41=0),"",W41-V41)</f>
        <v/>
      </c>
      <c r="Y41" s="42">
        <f>IF(OR(W41="",V41="",V41=0,W41=0),"",W41/V41-1)</f>
        <v/>
      </c>
      <c r="Z41" s="43">
        <f>IF(OR(V41="",O41="",O41=0),"",V41/O41)</f>
        <v/>
      </c>
      <c r="AA41" s="43">
        <f>IF(OR(W41="",P41="",P41=0),"",W41/P41)</f>
        <v/>
      </c>
      <c r="AB41" s="44">
        <f>IF(OR(AA41="",Z41=""),"",(AA41-Z41)*100)</f>
        <v/>
      </c>
      <c r="AC41" s="41">
        <f>SUMIFS(Totals!$AC$5:$AC$49,Totals!$A$5:$A$49,"Route page",Totals!$B$5:$B$49,"Direct",Totals!$C$5:$C$49,"Desktop")</f>
        <v/>
      </c>
      <c r="AD41" s="41">
        <f>SUMIFS(Totals!$AD$5:$AD$49,Totals!$A$5:$A$49,"Route page",Totals!$B$5:$B$49,"Direct",Totals!$C$5:$C$49,"Desktop")</f>
        <v/>
      </c>
      <c r="AE41" s="69">
        <f>IF(OR(AD41="",AC41="",AC41=0,AD41=0),"",AD41-AC41)</f>
        <v/>
      </c>
      <c r="AF41" s="42">
        <f>IF(OR(AD41="",AC41="",AC41=0,AD41=0),"",AD41/AC41-1)</f>
        <v/>
      </c>
      <c r="AG41" s="43">
        <f>IF(OR(AC41="",V41="",V41=0),"",AC41/V41)</f>
        <v/>
      </c>
      <c r="AH41" s="43">
        <f>IF(OR(AD41="",W41="",W41=0),"",AD41/W41)</f>
        <v/>
      </c>
      <c r="AI41" s="44">
        <f>IF(OR(AH41="",AG41=""),"",(AH41-AG41)*100)</f>
        <v/>
      </c>
      <c r="AJ41" s="41">
        <f>SUMIFS(Totals!$AJ$5:$AJ$49,Totals!$A$5:$A$49,"Route page",Totals!$B$5:$B$49,"Direct",Totals!$C$5:$C$49,"Desktop")</f>
        <v/>
      </c>
      <c r="AK41" s="41">
        <f>SUMIFS(Totals!$AK$5:$AK$49,Totals!$A$5:$A$49,"Route page",Totals!$B$5:$B$49,"Direct",Totals!$C$5:$C$49,"Desktop")</f>
        <v/>
      </c>
      <c r="AL41" s="69">
        <f>IF(OR(AK41="",AJ41="",AJ41=0,AK41=0),"",AK41-AJ41)</f>
        <v/>
      </c>
      <c r="AM41" s="42">
        <f>IF(OR(AK41="",AJ41="",AJ41=0,AK41=0),"",AK41/AJ41-1)</f>
        <v/>
      </c>
      <c r="AN41" s="43">
        <f>IF(OR(AJ41="",AC41="",AC41=0),"",AJ41/AC41)</f>
        <v/>
      </c>
      <c r="AO41" s="43">
        <f>IF(OR(AK41="",AD41="",AD41=0),"",AK41/AD41)</f>
        <v/>
      </c>
      <c r="AP41" s="44">
        <f>IF(OR(AO41="",AN41=""),"",(AO41-AN41)*100)</f>
        <v/>
      </c>
      <c r="AQ41" s="41">
        <f>SUMIFS(Totals!$AQ$5:$AQ$49,Totals!$A$5:$A$49,"Route page",Totals!$B$5:$B$49,"Direct",Totals!$C$5:$C$49,"Desktop")</f>
        <v/>
      </c>
      <c r="AR41" s="41">
        <f>SUMIFS(Totals!$AR$5:$AR$49,Totals!$A$5:$A$49,"Route page",Totals!$B$5:$B$49,"Direct",Totals!$C$5:$C$49,"Desktop")</f>
        <v/>
      </c>
      <c r="AS41" s="69">
        <f>IF(OR(AR41="",AQ41="",AQ41=0,AR41=0),"",AR41-AQ41)</f>
        <v/>
      </c>
      <c r="AT41" s="42">
        <f>IF(OR(AR41="",AQ41="",AQ41=0,AR41=0),"",AR41/AQ41-1)</f>
        <v/>
      </c>
      <c r="AU41" s="43">
        <f>IF(OR(AQ41="",AJ41="",AJ41=0),"",AQ41/AJ41)</f>
        <v/>
      </c>
      <c r="AV41" s="43">
        <f>IF(OR(AR41="",AK41="",AK41=0),"",AR41/AK41)</f>
        <v/>
      </c>
      <c r="AW41" s="44">
        <f>IF(OR(AV41="",AU41=""),"",(AV41-AU41)*100)</f>
        <v/>
      </c>
      <c r="AX41" s="45">
        <f>IF(OR(AQ41="",O41="",O41=0),"",AQ41/O41)</f>
        <v/>
      </c>
      <c r="AY41" s="45">
        <f>IF(OR(AR41="",P41="",P41=0),"",AR41/P41)</f>
        <v/>
      </c>
      <c r="AZ41" s="44">
        <f>IF(OR(AY41="",AX41=""),"",(AY41-AX41)*100)</f>
        <v/>
      </c>
      <c r="BA41" s="45">
        <f>IF(OR(AQ41="",D41="",D41=0),"",AQ41/D41)</f>
        <v/>
      </c>
      <c r="BB41" s="45">
        <f>IF(OR(AR41="",E41="",E41=0),"",AR41/E41)</f>
        <v/>
      </c>
      <c r="BC41" s="44">
        <f>IF(OR(BB41="",BA41=""),"",(BB41-BA41)*100)</f>
        <v/>
      </c>
    </row>
    <row r="42">
      <c r="A42" s="32" t="inlineStr">
        <is>
          <t>Other pages (derived)</t>
        </is>
      </c>
      <c r="B42" s="32" t="inlineStr">
        <is>
          <t>Paid Search</t>
        </is>
      </c>
      <c r="C42" s="32" t="inlineStr">
        <is>
          <t>Total</t>
        </is>
      </c>
      <c r="D42" s="33">
        <f>SUMIFS(Totals!$D$5:$D$49,Totals!$A$5:$A$49,"Other pages (derived)",Totals!$B$5:$B$49,"Paid Search",Totals!$C$5:$C$49,"Total")</f>
        <v/>
      </c>
      <c r="E42" s="33">
        <f>SUMIFS(Totals!$E$5:$E$49,Totals!$A$5:$A$49,"Other pages (derived)",Totals!$B$5:$B$49,"Paid Search",Totals!$C$5:$C$49,"Total")</f>
        <v/>
      </c>
      <c r="F42" s="67">
        <f>IF(OR(E42="",D42="",D42=0,E42=0),"",E42-D42)</f>
        <v/>
      </c>
      <c r="G42" s="34">
        <f>IF(OR(E42="",D42="",D42=0,E42=0),"",E42/D42-1)</f>
        <v/>
      </c>
      <c r="H42" s="33">
        <f>SUMIFS(Totals!$H$5:$H$49,Totals!$A$5:$A$49,"Other pages (derived)",Totals!$B$5:$B$49,"Paid Search",Totals!$C$5:$C$49,"Total")</f>
        <v/>
      </c>
      <c r="I42" s="33">
        <f>SUMIFS(Totals!$I$5:$I$49,Totals!$A$5:$A$49,"Other pages (derived)",Totals!$B$5:$B$49,"Paid Search",Totals!$C$5:$C$49,"Total")</f>
        <v/>
      </c>
      <c r="J42" s="67">
        <f>IF(OR(I42="",H42="",H42=0,I42=0),"",I42-H42)</f>
        <v/>
      </c>
      <c r="K42" s="34">
        <f>IF(OR(I42="",H42="",H42=0,I42=0),"",I42/H42-1)</f>
        <v/>
      </c>
      <c r="L42" s="35">
        <f>IF(OR(H42="",D42="",D42=0),"",H42/D42)</f>
        <v/>
      </c>
      <c r="M42" s="35">
        <f>IF(OR(I42="",E42="",E42=0),"",I42/E42)</f>
        <v/>
      </c>
      <c r="N42" s="36">
        <f>IF(OR(M42="",L42=""),"",(M42-L42)*100)</f>
        <v/>
      </c>
      <c r="O42" s="33">
        <f>SUMIFS(Totals!$O$5:$O$49,Totals!$A$5:$A$49,"Other pages (derived)",Totals!$B$5:$B$49,"Paid Search",Totals!$C$5:$C$49,"Total")</f>
        <v/>
      </c>
      <c r="P42" s="33">
        <f>SUMIFS(Totals!$P$5:$P$49,Totals!$A$5:$A$49,"Other pages (derived)",Totals!$B$5:$B$49,"Paid Search",Totals!$C$5:$C$49,"Total")</f>
        <v/>
      </c>
      <c r="Q42" s="67">
        <f>IF(OR(P42="",O42="",O42=0,P42=0),"",P42-O42)</f>
        <v/>
      </c>
      <c r="R42" s="34">
        <f>IF(OR(P42="",O42="",O42=0,P42=0),"",P42/O42-1)</f>
        <v/>
      </c>
      <c r="S42" s="35">
        <f>IF(OR(O42="",D42="",D42=0),"",O42/D42)</f>
        <v/>
      </c>
      <c r="T42" s="35">
        <f>IF(OR(P42="",E42="",E42=0),"",P42/E42)</f>
        <v/>
      </c>
      <c r="U42" s="36">
        <f>IF(OR(T42="",S42=""),"",(T42-S42)*100)</f>
        <v/>
      </c>
      <c r="V42" s="33">
        <f>SUMIFS(Totals!$V$5:$V$49,Totals!$A$5:$A$49,"Other pages (derived)",Totals!$B$5:$B$49,"Paid Search",Totals!$C$5:$C$49,"Total")</f>
        <v/>
      </c>
      <c r="W42" s="33">
        <f>SUMIFS(Totals!$W$5:$W$49,Totals!$A$5:$A$49,"Other pages (derived)",Totals!$B$5:$B$49,"Paid Search",Totals!$C$5:$C$49,"Total")</f>
        <v/>
      </c>
      <c r="X42" s="67">
        <f>IF(OR(W42="",V42="",V42=0,W42=0),"",W42-V42)</f>
        <v/>
      </c>
      <c r="Y42" s="34">
        <f>IF(OR(W42="",V42="",V42=0,W42=0),"",W42/V42-1)</f>
        <v/>
      </c>
      <c r="Z42" s="35">
        <f>IF(OR(V42="",O42="",O42=0),"",V42/O42)</f>
        <v/>
      </c>
      <c r="AA42" s="35">
        <f>IF(OR(W42="",P42="",P42=0),"",W42/P42)</f>
        <v/>
      </c>
      <c r="AB42" s="36">
        <f>IF(OR(AA42="",Z42=""),"",(AA42-Z42)*100)</f>
        <v/>
      </c>
      <c r="AC42" s="33">
        <f>SUMIFS(Totals!$AC$5:$AC$49,Totals!$A$5:$A$49,"Other pages (derived)",Totals!$B$5:$B$49,"Paid Search",Totals!$C$5:$C$49,"Total")</f>
        <v/>
      </c>
      <c r="AD42" s="33">
        <f>SUMIFS(Totals!$AD$5:$AD$49,Totals!$A$5:$A$49,"Other pages (derived)",Totals!$B$5:$B$49,"Paid Search",Totals!$C$5:$C$49,"Total")</f>
        <v/>
      </c>
      <c r="AE42" s="67">
        <f>IF(OR(AD42="",AC42="",AC42=0,AD42=0),"",AD42-AC42)</f>
        <v/>
      </c>
      <c r="AF42" s="34">
        <f>IF(OR(AD42="",AC42="",AC42=0,AD42=0),"",AD42/AC42-1)</f>
        <v/>
      </c>
      <c r="AG42" s="35">
        <f>IF(OR(AC42="",V42="",V42=0),"",AC42/V42)</f>
        <v/>
      </c>
      <c r="AH42" s="35">
        <f>IF(OR(AD42="",W42="",W42=0),"",AD42/W42)</f>
        <v/>
      </c>
      <c r="AI42" s="36">
        <f>IF(OR(AH42="",AG42=""),"",(AH42-AG42)*100)</f>
        <v/>
      </c>
      <c r="AJ42" s="33">
        <f>SUMIFS(Totals!$AJ$5:$AJ$49,Totals!$A$5:$A$49,"Other pages (derived)",Totals!$B$5:$B$49,"Paid Search",Totals!$C$5:$C$49,"Total")</f>
        <v/>
      </c>
      <c r="AK42" s="33">
        <f>SUMIFS(Totals!$AK$5:$AK$49,Totals!$A$5:$A$49,"Other pages (derived)",Totals!$B$5:$B$49,"Paid Search",Totals!$C$5:$C$49,"Total")</f>
        <v/>
      </c>
      <c r="AL42" s="67">
        <f>IF(OR(AK42="",AJ42="",AJ42=0,AK42=0),"",AK42-AJ42)</f>
        <v/>
      </c>
      <c r="AM42" s="34">
        <f>IF(OR(AK42="",AJ42="",AJ42=0,AK42=0),"",AK42/AJ42-1)</f>
        <v/>
      </c>
      <c r="AN42" s="35">
        <f>IF(OR(AJ42="",AC42="",AC42=0),"",AJ42/AC42)</f>
        <v/>
      </c>
      <c r="AO42" s="35">
        <f>IF(OR(AK42="",AD42="",AD42=0),"",AK42/AD42)</f>
        <v/>
      </c>
      <c r="AP42" s="36">
        <f>IF(OR(AO42="",AN42=""),"",(AO42-AN42)*100)</f>
        <v/>
      </c>
      <c r="AQ42" s="33">
        <f>SUMIFS(Totals!$AQ$5:$AQ$49,Totals!$A$5:$A$49,"Other pages (derived)",Totals!$B$5:$B$49,"Paid Search",Totals!$C$5:$C$49,"Total")</f>
        <v/>
      </c>
      <c r="AR42" s="33">
        <f>SUMIFS(Totals!$AR$5:$AR$49,Totals!$A$5:$A$49,"Other pages (derived)",Totals!$B$5:$B$49,"Paid Search",Totals!$C$5:$C$49,"Total")</f>
        <v/>
      </c>
      <c r="AS42" s="67">
        <f>IF(OR(AR42="",AQ42="",AQ42=0,AR42=0),"",AR42-AQ42)</f>
        <v/>
      </c>
      <c r="AT42" s="34">
        <f>IF(OR(AR42="",AQ42="",AQ42=0,AR42=0),"",AR42/AQ42-1)</f>
        <v/>
      </c>
      <c r="AU42" s="35">
        <f>IF(OR(AQ42="",AJ42="",AJ42=0),"",AQ42/AJ42)</f>
        <v/>
      </c>
      <c r="AV42" s="35">
        <f>IF(OR(AR42="",AK42="",AK42=0),"",AR42/AK42)</f>
        <v/>
      </c>
      <c r="AW42" s="36">
        <f>IF(OR(AV42="",AU42=""),"",(AV42-AU42)*100)</f>
        <v/>
      </c>
      <c r="AX42" s="37">
        <f>IF(OR(AQ42="",O42="",O42=0),"",AQ42/O42)</f>
        <v/>
      </c>
      <c r="AY42" s="37">
        <f>IF(OR(AR42="",P42="",P42=0),"",AR42/P42)</f>
        <v/>
      </c>
      <c r="AZ42" s="36">
        <f>IF(OR(AY42="",AX42=""),"",(AY42-AX42)*100)</f>
        <v/>
      </c>
      <c r="BA42" s="37">
        <f>IF(OR(AQ42="",D42="",D42=0),"",AQ42/D42)</f>
        <v/>
      </c>
      <c r="BB42" s="37">
        <f>IF(OR(AR42="",E42="",E42=0),"",AR42/E42)</f>
        <v/>
      </c>
      <c r="BC42" s="36">
        <f>IF(OR(BB42="",BA42=""),"",(BB42-BA42)*100)</f>
        <v/>
      </c>
    </row>
    <row r="43">
      <c r="A43" s="40" t="inlineStr">
        <is>
          <t>Other pages (derived)</t>
        </is>
      </c>
      <c r="B43" s="40" t="inlineStr">
        <is>
          <t>Paid Search</t>
        </is>
      </c>
      <c r="C43" s="40" t="inlineStr">
        <is>
          <t>Mobile</t>
        </is>
      </c>
      <c r="D43" s="41">
        <f>SUMIFS(Totals!$D$5:$D$49,Totals!$A$5:$A$49,"Other pages (derived)",Totals!$B$5:$B$49,"Paid Search",Totals!$C$5:$C$49,"Mobile")</f>
        <v/>
      </c>
      <c r="E43" s="41">
        <f>SUMIFS(Totals!$E$5:$E$49,Totals!$A$5:$A$49,"Other pages (derived)",Totals!$B$5:$B$49,"Paid Search",Totals!$C$5:$C$49,"Mobile")</f>
        <v/>
      </c>
      <c r="F43" s="69">
        <f>IF(OR(E43="",D43="",D43=0,E43=0),"",E43-D43)</f>
        <v/>
      </c>
      <c r="G43" s="42">
        <f>IF(OR(E43="",D43="",D43=0,E43=0),"",E43/D43-1)</f>
        <v/>
      </c>
      <c r="H43" s="41">
        <f>SUMIFS(Totals!$H$5:$H$49,Totals!$A$5:$A$49,"Other pages (derived)",Totals!$B$5:$B$49,"Paid Search",Totals!$C$5:$C$49,"Mobile")</f>
        <v/>
      </c>
      <c r="I43" s="41">
        <f>SUMIFS(Totals!$I$5:$I$49,Totals!$A$5:$A$49,"Other pages (derived)",Totals!$B$5:$B$49,"Paid Search",Totals!$C$5:$C$49,"Mobile")</f>
        <v/>
      </c>
      <c r="J43" s="69">
        <f>IF(OR(I43="",H43="",H43=0,I43=0),"",I43-H43)</f>
        <v/>
      </c>
      <c r="K43" s="42">
        <f>IF(OR(I43="",H43="",H43=0,I43=0),"",I43/H43-1)</f>
        <v/>
      </c>
      <c r="L43" s="43">
        <f>IF(OR(H43="",D43="",D43=0),"",H43/D43)</f>
        <v/>
      </c>
      <c r="M43" s="43">
        <f>IF(OR(I43="",E43="",E43=0),"",I43/E43)</f>
        <v/>
      </c>
      <c r="N43" s="44">
        <f>IF(OR(M43="",L43=""),"",(M43-L43)*100)</f>
        <v/>
      </c>
      <c r="O43" s="41">
        <f>SUMIFS(Totals!$O$5:$O$49,Totals!$A$5:$A$49,"Other pages (derived)",Totals!$B$5:$B$49,"Paid Search",Totals!$C$5:$C$49,"Mobile")</f>
        <v/>
      </c>
      <c r="P43" s="41">
        <f>SUMIFS(Totals!$P$5:$P$49,Totals!$A$5:$A$49,"Other pages (derived)",Totals!$B$5:$B$49,"Paid Search",Totals!$C$5:$C$49,"Mobile")</f>
        <v/>
      </c>
      <c r="Q43" s="69">
        <f>IF(OR(P43="",O43="",O43=0,P43=0),"",P43-O43)</f>
        <v/>
      </c>
      <c r="R43" s="42">
        <f>IF(OR(P43="",O43="",O43=0,P43=0),"",P43/O43-1)</f>
        <v/>
      </c>
      <c r="S43" s="43">
        <f>IF(OR(O43="",D43="",D43=0),"",O43/D43)</f>
        <v/>
      </c>
      <c r="T43" s="43">
        <f>IF(OR(P43="",E43="",E43=0),"",P43/E43)</f>
        <v/>
      </c>
      <c r="U43" s="44">
        <f>IF(OR(T43="",S43=""),"",(T43-S43)*100)</f>
        <v/>
      </c>
      <c r="V43" s="41">
        <f>SUMIFS(Totals!$V$5:$V$49,Totals!$A$5:$A$49,"Other pages (derived)",Totals!$B$5:$B$49,"Paid Search",Totals!$C$5:$C$49,"Mobile")</f>
        <v/>
      </c>
      <c r="W43" s="41">
        <f>SUMIFS(Totals!$W$5:$W$49,Totals!$A$5:$A$49,"Other pages (derived)",Totals!$B$5:$B$49,"Paid Search",Totals!$C$5:$C$49,"Mobile")</f>
        <v/>
      </c>
      <c r="X43" s="69">
        <f>IF(OR(W43="",V43="",V43=0,W43=0),"",W43-V43)</f>
        <v/>
      </c>
      <c r="Y43" s="42">
        <f>IF(OR(W43="",V43="",V43=0,W43=0),"",W43/V43-1)</f>
        <v/>
      </c>
      <c r="Z43" s="43">
        <f>IF(OR(V43="",O43="",O43=0),"",V43/O43)</f>
        <v/>
      </c>
      <c r="AA43" s="43">
        <f>IF(OR(W43="",P43="",P43=0),"",W43/P43)</f>
        <v/>
      </c>
      <c r="AB43" s="44">
        <f>IF(OR(AA43="",Z43=""),"",(AA43-Z43)*100)</f>
        <v/>
      </c>
      <c r="AC43" s="41">
        <f>SUMIFS(Totals!$AC$5:$AC$49,Totals!$A$5:$A$49,"Other pages (derived)",Totals!$B$5:$B$49,"Paid Search",Totals!$C$5:$C$49,"Mobile")</f>
        <v/>
      </c>
      <c r="AD43" s="41">
        <f>SUMIFS(Totals!$AD$5:$AD$49,Totals!$A$5:$A$49,"Other pages (derived)",Totals!$B$5:$B$49,"Paid Search",Totals!$C$5:$C$49,"Mobile")</f>
        <v/>
      </c>
      <c r="AE43" s="69">
        <f>IF(OR(AD43="",AC43="",AC43=0,AD43=0),"",AD43-AC43)</f>
        <v/>
      </c>
      <c r="AF43" s="42">
        <f>IF(OR(AD43="",AC43="",AC43=0,AD43=0),"",AD43/AC43-1)</f>
        <v/>
      </c>
      <c r="AG43" s="43">
        <f>IF(OR(AC43="",V43="",V43=0),"",AC43/V43)</f>
        <v/>
      </c>
      <c r="AH43" s="43">
        <f>IF(OR(AD43="",W43="",W43=0),"",AD43/W43)</f>
        <v/>
      </c>
      <c r="AI43" s="44">
        <f>IF(OR(AH43="",AG43=""),"",(AH43-AG43)*100)</f>
        <v/>
      </c>
      <c r="AJ43" s="41">
        <f>SUMIFS(Totals!$AJ$5:$AJ$49,Totals!$A$5:$A$49,"Other pages (derived)",Totals!$B$5:$B$49,"Paid Search",Totals!$C$5:$C$49,"Mobile")</f>
        <v/>
      </c>
      <c r="AK43" s="41">
        <f>SUMIFS(Totals!$AK$5:$AK$49,Totals!$A$5:$A$49,"Other pages (derived)",Totals!$B$5:$B$49,"Paid Search",Totals!$C$5:$C$49,"Mobile")</f>
        <v/>
      </c>
      <c r="AL43" s="69">
        <f>IF(OR(AK43="",AJ43="",AJ43=0,AK43=0),"",AK43-AJ43)</f>
        <v/>
      </c>
      <c r="AM43" s="42">
        <f>IF(OR(AK43="",AJ43="",AJ43=0,AK43=0),"",AK43/AJ43-1)</f>
        <v/>
      </c>
      <c r="AN43" s="43">
        <f>IF(OR(AJ43="",AC43="",AC43=0),"",AJ43/AC43)</f>
        <v/>
      </c>
      <c r="AO43" s="43">
        <f>IF(OR(AK43="",AD43="",AD43=0),"",AK43/AD43)</f>
        <v/>
      </c>
      <c r="AP43" s="44">
        <f>IF(OR(AO43="",AN43=""),"",(AO43-AN43)*100)</f>
        <v/>
      </c>
      <c r="AQ43" s="41">
        <f>SUMIFS(Totals!$AQ$5:$AQ$49,Totals!$A$5:$A$49,"Other pages (derived)",Totals!$B$5:$B$49,"Paid Search",Totals!$C$5:$C$49,"Mobile")</f>
        <v/>
      </c>
      <c r="AR43" s="41">
        <f>SUMIFS(Totals!$AR$5:$AR$49,Totals!$A$5:$A$49,"Other pages (derived)",Totals!$B$5:$B$49,"Paid Search",Totals!$C$5:$C$49,"Mobile")</f>
        <v/>
      </c>
      <c r="AS43" s="69">
        <f>IF(OR(AR43="",AQ43="",AQ43=0,AR43=0),"",AR43-AQ43)</f>
        <v/>
      </c>
      <c r="AT43" s="42">
        <f>IF(OR(AR43="",AQ43="",AQ43=0,AR43=0),"",AR43/AQ43-1)</f>
        <v/>
      </c>
      <c r="AU43" s="43">
        <f>IF(OR(AQ43="",AJ43="",AJ43=0),"",AQ43/AJ43)</f>
        <v/>
      </c>
      <c r="AV43" s="43">
        <f>IF(OR(AR43="",AK43="",AK43=0),"",AR43/AK43)</f>
        <v/>
      </c>
      <c r="AW43" s="44">
        <f>IF(OR(AV43="",AU43=""),"",(AV43-AU43)*100)</f>
        <v/>
      </c>
      <c r="AX43" s="45">
        <f>IF(OR(AQ43="",O43="",O43=0),"",AQ43/O43)</f>
        <v/>
      </c>
      <c r="AY43" s="45">
        <f>IF(OR(AR43="",P43="",P43=0),"",AR43/P43)</f>
        <v/>
      </c>
      <c r="AZ43" s="44">
        <f>IF(OR(AY43="",AX43=""),"",(AY43-AX43)*100)</f>
        <v/>
      </c>
      <c r="BA43" s="45">
        <f>IF(OR(AQ43="",D43="",D43=0),"",AQ43/D43)</f>
        <v/>
      </c>
      <c r="BB43" s="45">
        <f>IF(OR(AR43="",E43="",E43=0),"",AR43/E43)</f>
        <v/>
      </c>
      <c r="BC43" s="44">
        <f>IF(OR(BB43="",BA43=""),"",(BB43-BA43)*100)</f>
        <v/>
      </c>
    </row>
    <row r="44">
      <c r="A44" s="40" t="inlineStr">
        <is>
          <t>Other pages (derived)</t>
        </is>
      </c>
      <c r="B44" s="40" t="inlineStr">
        <is>
          <t>Paid Search</t>
        </is>
      </c>
      <c r="C44" s="40" t="inlineStr">
        <is>
          <t>Desktop</t>
        </is>
      </c>
      <c r="D44" s="41">
        <f>SUMIFS(Totals!$D$5:$D$49,Totals!$A$5:$A$49,"Other pages (derived)",Totals!$B$5:$B$49,"Paid Search",Totals!$C$5:$C$49,"Desktop")</f>
        <v/>
      </c>
      <c r="E44" s="41">
        <f>SUMIFS(Totals!$E$5:$E$49,Totals!$A$5:$A$49,"Other pages (derived)",Totals!$B$5:$B$49,"Paid Search",Totals!$C$5:$C$49,"Desktop")</f>
        <v/>
      </c>
      <c r="F44" s="69">
        <f>IF(OR(E44="",D44="",D44=0,E44=0),"",E44-D44)</f>
        <v/>
      </c>
      <c r="G44" s="42">
        <f>IF(OR(E44="",D44="",D44=0,E44=0),"",E44/D44-1)</f>
        <v/>
      </c>
      <c r="H44" s="41">
        <f>SUMIFS(Totals!$H$5:$H$49,Totals!$A$5:$A$49,"Other pages (derived)",Totals!$B$5:$B$49,"Paid Search",Totals!$C$5:$C$49,"Desktop")</f>
        <v/>
      </c>
      <c r="I44" s="41">
        <f>SUMIFS(Totals!$I$5:$I$49,Totals!$A$5:$A$49,"Other pages (derived)",Totals!$B$5:$B$49,"Paid Search",Totals!$C$5:$C$49,"Desktop")</f>
        <v/>
      </c>
      <c r="J44" s="69">
        <f>IF(OR(I44="",H44="",H44=0,I44=0),"",I44-H44)</f>
        <v/>
      </c>
      <c r="K44" s="42">
        <f>IF(OR(I44="",H44="",H44=0,I44=0),"",I44/H44-1)</f>
        <v/>
      </c>
      <c r="L44" s="43">
        <f>IF(OR(H44="",D44="",D44=0),"",H44/D44)</f>
        <v/>
      </c>
      <c r="M44" s="43">
        <f>IF(OR(I44="",E44="",E44=0),"",I44/E44)</f>
        <v/>
      </c>
      <c r="N44" s="44">
        <f>IF(OR(M44="",L44=""),"",(M44-L44)*100)</f>
        <v/>
      </c>
      <c r="O44" s="41">
        <f>SUMIFS(Totals!$O$5:$O$49,Totals!$A$5:$A$49,"Other pages (derived)",Totals!$B$5:$B$49,"Paid Search",Totals!$C$5:$C$49,"Desktop")</f>
        <v/>
      </c>
      <c r="P44" s="41">
        <f>SUMIFS(Totals!$P$5:$P$49,Totals!$A$5:$A$49,"Other pages (derived)",Totals!$B$5:$B$49,"Paid Search",Totals!$C$5:$C$49,"Desktop")</f>
        <v/>
      </c>
      <c r="Q44" s="69">
        <f>IF(OR(P44="",O44="",O44=0,P44=0),"",P44-O44)</f>
        <v/>
      </c>
      <c r="R44" s="42">
        <f>IF(OR(P44="",O44="",O44=0,P44=0),"",P44/O44-1)</f>
        <v/>
      </c>
      <c r="S44" s="43">
        <f>IF(OR(O44="",D44="",D44=0),"",O44/D44)</f>
        <v/>
      </c>
      <c r="T44" s="43">
        <f>IF(OR(P44="",E44="",E44=0),"",P44/E44)</f>
        <v/>
      </c>
      <c r="U44" s="44">
        <f>IF(OR(T44="",S44=""),"",(T44-S44)*100)</f>
        <v/>
      </c>
      <c r="V44" s="41">
        <f>SUMIFS(Totals!$V$5:$V$49,Totals!$A$5:$A$49,"Other pages (derived)",Totals!$B$5:$B$49,"Paid Search",Totals!$C$5:$C$49,"Desktop")</f>
        <v/>
      </c>
      <c r="W44" s="41">
        <f>SUMIFS(Totals!$W$5:$W$49,Totals!$A$5:$A$49,"Other pages (derived)",Totals!$B$5:$B$49,"Paid Search",Totals!$C$5:$C$49,"Desktop")</f>
        <v/>
      </c>
      <c r="X44" s="69">
        <f>IF(OR(W44="",V44="",V44=0,W44=0),"",W44-V44)</f>
        <v/>
      </c>
      <c r="Y44" s="42">
        <f>IF(OR(W44="",V44="",V44=0,W44=0),"",W44/V44-1)</f>
        <v/>
      </c>
      <c r="Z44" s="43">
        <f>IF(OR(V44="",O44="",O44=0),"",V44/O44)</f>
        <v/>
      </c>
      <c r="AA44" s="43">
        <f>IF(OR(W44="",P44="",P44=0),"",W44/P44)</f>
        <v/>
      </c>
      <c r="AB44" s="44">
        <f>IF(OR(AA44="",Z44=""),"",(AA44-Z44)*100)</f>
        <v/>
      </c>
      <c r="AC44" s="41">
        <f>SUMIFS(Totals!$AC$5:$AC$49,Totals!$A$5:$A$49,"Other pages (derived)",Totals!$B$5:$B$49,"Paid Search",Totals!$C$5:$C$49,"Desktop")</f>
        <v/>
      </c>
      <c r="AD44" s="41">
        <f>SUMIFS(Totals!$AD$5:$AD$49,Totals!$A$5:$A$49,"Other pages (derived)",Totals!$B$5:$B$49,"Paid Search",Totals!$C$5:$C$49,"Desktop")</f>
        <v/>
      </c>
      <c r="AE44" s="69">
        <f>IF(OR(AD44="",AC44="",AC44=0,AD44=0),"",AD44-AC44)</f>
        <v/>
      </c>
      <c r="AF44" s="42">
        <f>IF(OR(AD44="",AC44="",AC44=0,AD44=0),"",AD44/AC44-1)</f>
        <v/>
      </c>
      <c r="AG44" s="43">
        <f>IF(OR(AC44="",V44="",V44=0),"",AC44/V44)</f>
        <v/>
      </c>
      <c r="AH44" s="43">
        <f>IF(OR(AD44="",W44="",W44=0),"",AD44/W44)</f>
        <v/>
      </c>
      <c r="AI44" s="44">
        <f>IF(OR(AH44="",AG44=""),"",(AH44-AG44)*100)</f>
        <v/>
      </c>
      <c r="AJ44" s="41">
        <f>SUMIFS(Totals!$AJ$5:$AJ$49,Totals!$A$5:$A$49,"Other pages (derived)",Totals!$B$5:$B$49,"Paid Search",Totals!$C$5:$C$49,"Desktop")</f>
        <v/>
      </c>
      <c r="AK44" s="41">
        <f>SUMIFS(Totals!$AK$5:$AK$49,Totals!$A$5:$A$49,"Other pages (derived)",Totals!$B$5:$B$49,"Paid Search",Totals!$C$5:$C$49,"Desktop")</f>
        <v/>
      </c>
      <c r="AL44" s="69">
        <f>IF(OR(AK44="",AJ44="",AJ44=0,AK44=0),"",AK44-AJ44)</f>
        <v/>
      </c>
      <c r="AM44" s="42">
        <f>IF(OR(AK44="",AJ44="",AJ44=0,AK44=0),"",AK44/AJ44-1)</f>
        <v/>
      </c>
      <c r="AN44" s="43">
        <f>IF(OR(AJ44="",AC44="",AC44=0),"",AJ44/AC44)</f>
        <v/>
      </c>
      <c r="AO44" s="43">
        <f>IF(OR(AK44="",AD44="",AD44=0),"",AK44/AD44)</f>
        <v/>
      </c>
      <c r="AP44" s="44">
        <f>IF(OR(AO44="",AN44=""),"",(AO44-AN44)*100)</f>
        <v/>
      </c>
      <c r="AQ44" s="41">
        <f>SUMIFS(Totals!$AQ$5:$AQ$49,Totals!$A$5:$A$49,"Other pages (derived)",Totals!$B$5:$B$49,"Paid Search",Totals!$C$5:$C$49,"Desktop")</f>
        <v/>
      </c>
      <c r="AR44" s="41">
        <f>SUMIFS(Totals!$AR$5:$AR$49,Totals!$A$5:$A$49,"Other pages (derived)",Totals!$B$5:$B$49,"Paid Search",Totals!$C$5:$C$49,"Desktop")</f>
        <v/>
      </c>
      <c r="AS44" s="69">
        <f>IF(OR(AR44="",AQ44="",AQ44=0,AR44=0),"",AR44-AQ44)</f>
        <v/>
      </c>
      <c r="AT44" s="42">
        <f>IF(OR(AR44="",AQ44="",AQ44=0,AR44=0),"",AR44/AQ44-1)</f>
        <v/>
      </c>
      <c r="AU44" s="43">
        <f>IF(OR(AQ44="",AJ44="",AJ44=0),"",AQ44/AJ44)</f>
        <v/>
      </c>
      <c r="AV44" s="43">
        <f>IF(OR(AR44="",AK44="",AK44=0),"",AR44/AK44)</f>
        <v/>
      </c>
      <c r="AW44" s="44">
        <f>IF(OR(AV44="",AU44=""),"",(AV44-AU44)*100)</f>
        <v/>
      </c>
      <c r="AX44" s="45">
        <f>IF(OR(AQ44="",O44="",O44=0),"",AQ44/O44)</f>
        <v/>
      </c>
      <c r="AY44" s="45">
        <f>IF(OR(AR44="",P44="",P44=0),"",AR44/P44)</f>
        <v/>
      </c>
      <c r="AZ44" s="44">
        <f>IF(OR(AY44="",AX44=""),"",(AY44-AX44)*100)</f>
        <v/>
      </c>
      <c r="BA44" s="45">
        <f>IF(OR(AQ44="",D44="",D44=0),"",AQ44/D44)</f>
        <v/>
      </c>
      <c r="BB44" s="45">
        <f>IF(OR(AR44="",E44="",E44=0),"",AR44/E44)</f>
        <v/>
      </c>
      <c r="BC44" s="44">
        <f>IF(OR(BB44="",BA44=""),"",(BB44-BA44)*100)</f>
        <v/>
      </c>
    </row>
    <row r="45">
      <c r="A45" s="32" t="inlineStr">
        <is>
          <t>Other pages (derived)</t>
        </is>
      </c>
      <c r="B45" s="32" t="inlineStr">
        <is>
          <t>Organic</t>
        </is>
      </c>
      <c r="C45" s="32" t="inlineStr">
        <is>
          <t>Total</t>
        </is>
      </c>
      <c r="D45" s="33">
        <f>SUMIFS(Totals!$D$5:$D$49,Totals!$A$5:$A$49,"Other pages (derived)",Totals!$B$5:$B$49,"Organic",Totals!$C$5:$C$49,"Total")</f>
        <v/>
      </c>
      <c r="E45" s="33">
        <f>SUMIFS(Totals!$E$5:$E$49,Totals!$A$5:$A$49,"Other pages (derived)",Totals!$B$5:$B$49,"Organic",Totals!$C$5:$C$49,"Total")</f>
        <v/>
      </c>
      <c r="F45" s="67">
        <f>IF(OR(E45="",D45="",D45=0,E45=0),"",E45-D45)</f>
        <v/>
      </c>
      <c r="G45" s="34">
        <f>IF(OR(E45="",D45="",D45=0,E45=0),"",E45/D45-1)</f>
        <v/>
      </c>
      <c r="H45" s="33">
        <f>SUMIFS(Totals!$H$5:$H$49,Totals!$A$5:$A$49,"Other pages (derived)",Totals!$B$5:$B$49,"Organic",Totals!$C$5:$C$49,"Total")</f>
        <v/>
      </c>
      <c r="I45" s="33">
        <f>SUMIFS(Totals!$I$5:$I$49,Totals!$A$5:$A$49,"Other pages (derived)",Totals!$B$5:$B$49,"Organic",Totals!$C$5:$C$49,"Total")</f>
        <v/>
      </c>
      <c r="J45" s="67">
        <f>IF(OR(I45="",H45="",H45=0,I45=0),"",I45-H45)</f>
        <v/>
      </c>
      <c r="K45" s="34">
        <f>IF(OR(I45="",H45="",H45=0,I45=0),"",I45/H45-1)</f>
        <v/>
      </c>
      <c r="L45" s="35">
        <f>IF(OR(H45="",D45="",D45=0),"",H45/D45)</f>
        <v/>
      </c>
      <c r="M45" s="35">
        <f>IF(OR(I45="",E45="",E45=0),"",I45/E45)</f>
        <v/>
      </c>
      <c r="N45" s="36">
        <f>IF(OR(M45="",L45=""),"",(M45-L45)*100)</f>
        <v/>
      </c>
      <c r="O45" s="33">
        <f>SUMIFS(Totals!$O$5:$O$49,Totals!$A$5:$A$49,"Other pages (derived)",Totals!$B$5:$B$49,"Organic",Totals!$C$5:$C$49,"Total")</f>
        <v/>
      </c>
      <c r="P45" s="33">
        <f>SUMIFS(Totals!$P$5:$P$49,Totals!$A$5:$A$49,"Other pages (derived)",Totals!$B$5:$B$49,"Organic",Totals!$C$5:$C$49,"Total")</f>
        <v/>
      </c>
      <c r="Q45" s="67">
        <f>IF(OR(P45="",O45="",O45=0,P45=0),"",P45-O45)</f>
        <v/>
      </c>
      <c r="R45" s="34">
        <f>IF(OR(P45="",O45="",O45=0,P45=0),"",P45/O45-1)</f>
        <v/>
      </c>
      <c r="S45" s="35">
        <f>IF(OR(O45="",D45="",D45=0),"",O45/D45)</f>
        <v/>
      </c>
      <c r="T45" s="35">
        <f>IF(OR(P45="",E45="",E45=0),"",P45/E45)</f>
        <v/>
      </c>
      <c r="U45" s="36">
        <f>IF(OR(T45="",S45=""),"",(T45-S45)*100)</f>
        <v/>
      </c>
      <c r="V45" s="33">
        <f>SUMIFS(Totals!$V$5:$V$49,Totals!$A$5:$A$49,"Other pages (derived)",Totals!$B$5:$B$49,"Organic",Totals!$C$5:$C$49,"Total")</f>
        <v/>
      </c>
      <c r="W45" s="33">
        <f>SUMIFS(Totals!$W$5:$W$49,Totals!$A$5:$A$49,"Other pages (derived)",Totals!$B$5:$B$49,"Organic",Totals!$C$5:$C$49,"Total")</f>
        <v/>
      </c>
      <c r="X45" s="67">
        <f>IF(OR(W45="",V45="",V45=0,W45=0),"",W45-V45)</f>
        <v/>
      </c>
      <c r="Y45" s="34">
        <f>IF(OR(W45="",V45="",V45=0,W45=0),"",W45/V45-1)</f>
        <v/>
      </c>
      <c r="Z45" s="35">
        <f>IF(OR(V45="",O45="",O45=0),"",V45/O45)</f>
        <v/>
      </c>
      <c r="AA45" s="35">
        <f>IF(OR(W45="",P45="",P45=0),"",W45/P45)</f>
        <v/>
      </c>
      <c r="AB45" s="36">
        <f>IF(OR(AA45="",Z45=""),"",(AA45-Z45)*100)</f>
        <v/>
      </c>
      <c r="AC45" s="33">
        <f>SUMIFS(Totals!$AC$5:$AC$49,Totals!$A$5:$A$49,"Other pages (derived)",Totals!$B$5:$B$49,"Organic",Totals!$C$5:$C$49,"Total")</f>
        <v/>
      </c>
      <c r="AD45" s="33">
        <f>SUMIFS(Totals!$AD$5:$AD$49,Totals!$A$5:$A$49,"Other pages (derived)",Totals!$B$5:$B$49,"Organic",Totals!$C$5:$C$49,"Total")</f>
        <v/>
      </c>
      <c r="AE45" s="67">
        <f>IF(OR(AD45="",AC45="",AC45=0,AD45=0),"",AD45-AC45)</f>
        <v/>
      </c>
      <c r="AF45" s="34">
        <f>IF(OR(AD45="",AC45="",AC45=0,AD45=0),"",AD45/AC45-1)</f>
        <v/>
      </c>
      <c r="AG45" s="35">
        <f>IF(OR(AC45="",V45="",V45=0),"",AC45/V45)</f>
        <v/>
      </c>
      <c r="AH45" s="35">
        <f>IF(OR(AD45="",W45="",W45=0),"",AD45/W45)</f>
        <v/>
      </c>
      <c r="AI45" s="36">
        <f>IF(OR(AH45="",AG45=""),"",(AH45-AG45)*100)</f>
        <v/>
      </c>
      <c r="AJ45" s="33">
        <f>SUMIFS(Totals!$AJ$5:$AJ$49,Totals!$A$5:$A$49,"Other pages (derived)",Totals!$B$5:$B$49,"Organic",Totals!$C$5:$C$49,"Total")</f>
        <v/>
      </c>
      <c r="AK45" s="33">
        <f>SUMIFS(Totals!$AK$5:$AK$49,Totals!$A$5:$A$49,"Other pages (derived)",Totals!$B$5:$B$49,"Organic",Totals!$C$5:$C$49,"Total")</f>
        <v/>
      </c>
      <c r="AL45" s="67">
        <f>IF(OR(AK45="",AJ45="",AJ45=0,AK45=0),"",AK45-AJ45)</f>
        <v/>
      </c>
      <c r="AM45" s="34">
        <f>IF(OR(AK45="",AJ45="",AJ45=0,AK45=0),"",AK45/AJ45-1)</f>
        <v/>
      </c>
      <c r="AN45" s="35">
        <f>IF(OR(AJ45="",AC45="",AC45=0),"",AJ45/AC45)</f>
        <v/>
      </c>
      <c r="AO45" s="35">
        <f>IF(OR(AK45="",AD45="",AD45=0),"",AK45/AD45)</f>
        <v/>
      </c>
      <c r="AP45" s="36">
        <f>IF(OR(AO45="",AN45=""),"",(AO45-AN45)*100)</f>
        <v/>
      </c>
      <c r="AQ45" s="33">
        <f>SUMIFS(Totals!$AQ$5:$AQ$49,Totals!$A$5:$A$49,"Other pages (derived)",Totals!$B$5:$B$49,"Organic",Totals!$C$5:$C$49,"Total")</f>
        <v/>
      </c>
      <c r="AR45" s="33">
        <f>SUMIFS(Totals!$AR$5:$AR$49,Totals!$A$5:$A$49,"Other pages (derived)",Totals!$B$5:$B$49,"Organic",Totals!$C$5:$C$49,"Total")</f>
        <v/>
      </c>
      <c r="AS45" s="67">
        <f>IF(OR(AR45="",AQ45="",AQ45=0,AR45=0),"",AR45-AQ45)</f>
        <v/>
      </c>
      <c r="AT45" s="34">
        <f>IF(OR(AR45="",AQ45="",AQ45=0,AR45=0),"",AR45/AQ45-1)</f>
        <v/>
      </c>
      <c r="AU45" s="35">
        <f>IF(OR(AQ45="",AJ45="",AJ45=0),"",AQ45/AJ45)</f>
        <v/>
      </c>
      <c r="AV45" s="35">
        <f>IF(OR(AR45="",AK45="",AK45=0),"",AR45/AK45)</f>
        <v/>
      </c>
      <c r="AW45" s="36">
        <f>IF(OR(AV45="",AU45=""),"",(AV45-AU45)*100)</f>
        <v/>
      </c>
      <c r="AX45" s="37">
        <f>IF(OR(AQ45="",O45="",O45=0),"",AQ45/O45)</f>
        <v/>
      </c>
      <c r="AY45" s="37">
        <f>IF(OR(AR45="",P45="",P45=0),"",AR45/P45)</f>
        <v/>
      </c>
      <c r="AZ45" s="36">
        <f>IF(OR(AY45="",AX45=""),"",(AY45-AX45)*100)</f>
        <v/>
      </c>
      <c r="BA45" s="37">
        <f>IF(OR(AQ45="",D45="",D45=0),"",AQ45/D45)</f>
        <v/>
      </c>
      <c r="BB45" s="37">
        <f>IF(OR(AR45="",E45="",E45=0),"",AR45/E45)</f>
        <v/>
      </c>
      <c r="BC45" s="36">
        <f>IF(OR(BB45="",BA45=""),"",(BB45-BA45)*100)</f>
        <v/>
      </c>
    </row>
    <row r="46">
      <c r="A46" s="40" t="inlineStr">
        <is>
          <t>Other pages (derived)</t>
        </is>
      </c>
      <c r="B46" s="40" t="inlineStr">
        <is>
          <t>Organic</t>
        </is>
      </c>
      <c r="C46" s="40" t="inlineStr">
        <is>
          <t>Mobile</t>
        </is>
      </c>
      <c r="D46" s="41">
        <f>SUMIFS(Totals!$D$5:$D$49,Totals!$A$5:$A$49,"Other pages (derived)",Totals!$B$5:$B$49,"Organic",Totals!$C$5:$C$49,"Mobile")</f>
        <v/>
      </c>
      <c r="E46" s="41">
        <f>SUMIFS(Totals!$E$5:$E$49,Totals!$A$5:$A$49,"Other pages (derived)",Totals!$B$5:$B$49,"Organic",Totals!$C$5:$C$49,"Mobile")</f>
        <v/>
      </c>
      <c r="F46" s="69">
        <f>IF(OR(E46="",D46="",D46=0,E46=0),"",E46-D46)</f>
        <v/>
      </c>
      <c r="G46" s="42">
        <f>IF(OR(E46="",D46="",D46=0,E46=0),"",E46/D46-1)</f>
        <v/>
      </c>
      <c r="H46" s="41">
        <f>SUMIFS(Totals!$H$5:$H$49,Totals!$A$5:$A$49,"Other pages (derived)",Totals!$B$5:$B$49,"Organic",Totals!$C$5:$C$49,"Mobile")</f>
        <v/>
      </c>
      <c r="I46" s="41">
        <f>SUMIFS(Totals!$I$5:$I$49,Totals!$A$5:$A$49,"Other pages (derived)",Totals!$B$5:$B$49,"Organic",Totals!$C$5:$C$49,"Mobile")</f>
        <v/>
      </c>
      <c r="J46" s="69">
        <f>IF(OR(I46="",H46="",H46=0,I46=0),"",I46-H46)</f>
        <v/>
      </c>
      <c r="K46" s="42">
        <f>IF(OR(I46="",H46="",H46=0,I46=0),"",I46/H46-1)</f>
        <v/>
      </c>
      <c r="L46" s="43">
        <f>IF(OR(H46="",D46="",D46=0),"",H46/D46)</f>
        <v/>
      </c>
      <c r="M46" s="43">
        <f>IF(OR(I46="",E46="",E46=0),"",I46/E46)</f>
        <v/>
      </c>
      <c r="N46" s="44">
        <f>IF(OR(M46="",L46=""),"",(M46-L46)*100)</f>
        <v/>
      </c>
      <c r="O46" s="41">
        <f>SUMIFS(Totals!$O$5:$O$49,Totals!$A$5:$A$49,"Other pages (derived)",Totals!$B$5:$B$49,"Organic",Totals!$C$5:$C$49,"Mobile")</f>
        <v/>
      </c>
      <c r="P46" s="41">
        <f>SUMIFS(Totals!$P$5:$P$49,Totals!$A$5:$A$49,"Other pages (derived)",Totals!$B$5:$B$49,"Organic",Totals!$C$5:$C$49,"Mobile")</f>
        <v/>
      </c>
      <c r="Q46" s="69">
        <f>IF(OR(P46="",O46="",O46=0,P46=0),"",P46-O46)</f>
        <v/>
      </c>
      <c r="R46" s="42">
        <f>IF(OR(P46="",O46="",O46=0,P46=0),"",P46/O46-1)</f>
        <v/>
      </c>
      <c r="S46" s="43">
        <f>IF(OR(O46="",D46="",D46=0),"",O46/D46)</f>
        <v/>
      </c>
      <c r="T46" s="43">
        <f>IF(OR(P46="",E46="",E46=0),"",P46/E46)</f>
        <v/>
      </c>
      <c r="U46" s="44">
        <f>IF(OR(T46="",S46=""),"",(T46-S46)*100)</f>
        <v/>
      </c>
      <c r="V46" s="41">
        <f>SUMIFS(Totals!$V$5:$V$49,Totals!$A$5:$A$49,"Other pages (derived)",Totals!$B$5:$B$49,"Organic",Totals!$C$5:$C$49,"Mobile")</f>
        <v/>
      </c>
      <c r="W46" s="41">
        <f>SUMIFS(Totals!$W$5:$W$49,Totals!$A$5:$A$49,"Other pages (derived)",Totals!$B$5:$B$49,"Organic",Totals!$C$5:$C$49,"Mobile")</f>
        <v/>
      </c>
      <c r="X46" s="69">
        <f>IF(OR(W46="",V46="",V46=0,W46=0),"",W46-V46)</f>
        <v/>
      </c>
      <c r="Y46" s="42">
        <f>IF(OR(W46="",V46="",V46=0,W46=0),"",W46/V46-1)</f>
        <v/>
      </c>
      <c r="Z46" s="43">
        <f>IF(OR(V46="",O46="",O46=0),"",V46/O46)</f>
        <v/>
      </c>
      <c r="AA46" s="43">
        <f>IF(OR(W46="",P46="",P46=0),"",W46/P46)</f>
        <v/>
      </c>
      <c r="AB46" s="44">
        <f>IF(OR(AA46="",Z46=""),"",(AA46-Z46)*100)</f>
        <v/>
      </c>
      <c r="AC46" s="41">
        <f>SUMIFS(Totals!$AC$5:$AC$49,Totals!$A$5:$A$49,"Other pages (derived)",Totals!$B$5:$B$49,"Organic",Totals!$C$5:$C$49,"Mobile")</f>
        <v/>
      </c>
      <c r="AD46" s="41">
        <f>SUMIFS(Totals!$AD$5:$AD$49,Totals!$A$5:$A$49,"Other pages (derived)",Totals!$B$5:$B$49,"Organic",Totals!$C$5:$C$49,"Mobile")</f>
        <v/>
      </c>
      <c r="AE46" s="69">
        <f>IF(OR(AD46="",AC46="",AC46=0,AD46=0),"",AD46-AC46)</f>
        <v/>
      </c>
      <c r="AF46" s="42">
        <f>IF(OR(AD46="",AC46="",AC46=0,AD46=0),"",AD46/AC46-1)</f>
        <v/>
      </c>
      <c r="AG46" s="43">
        <f>IF(OR(AC46="",V46="",V46=0),"",AC46/V46)</f>
        <v/>
      </c>
      <c r="AH46" s="43">
        <f>IF(OR(AD46="",W46="",W46=0),"",AD46/W46)</f>
        <v/>
      </c>
      <c r="AI46" s="44">
        <f>IF(OR(AH46="",AG46=""),"",(AH46-AG46)*100)</f>
        <v/>
      </c>
      <c r="AJ46" s="41">
        <f>SUMIFS(Totals!$AJ$5:$AJ$49,Totals!$A$5:$A$49,"Other pages (derived)",Totals!$B$5:$B$49,"Organic",Totals!$C$5:$C$49,"Mobile")</f>
        <v/>
      </c>
      <c r="AK46" s="41">
        <f>SUMIFS(Totals!$AK$5:$AK$49,Totals!$A$5:$A$49,"Other pages (derived)",Totals!$B$5:$B$49,"Organic",Totals!$C$5:$C$49,"Mobile")</f>
        <v/>
      </c>
      <c r="AL46" s="69">
        <f>IF(OR(AK46="",AJ46="",AJ46=0,AK46=0),"",AK46-AJ46)</f>
        <v/>
      </c>
      <c r="AM46" s="42">
        <f>IF(OR(AK46="",AJ46="",AJ46=0,AK46=0),"",AK46/AJ46-1)</f>
        <v/>
      </c>
      <c r="AN46" s="43">
        <f>IF(OR(AJ46="",AC46="",AC46=0),"",AJ46/AC46)</f>
        <v/>
      </c>
      <c r="AO46" s="43">
        <f>IF(OR(AK46="",AD46="",AD46=0),"",AK46/AD46)</f>
        <v/>
      </c>
      <c r="AP46" s="44">
        <f>IF(OR(AO46="",AN46=""),"",(AO46-AN46)*100)</f>
        <v/>
      </c>
      <c r="AQ46" s="41">
        <f>SUMIFS(Totals!$AQ$5:$AQ$49,Totals!$A$5:$A$49,"Other pages (derived)",Totals!$B$5:$B$49,"Organic",Totals!$C$5:$C$49,"Mobile")</f>
        <v/>
      </c>
      <c r="AR46" s="41">
        <f>SUMIFS(Totals!$AR$5:$AR$49,Totals!$A$5:$A$49,"Other pages (derived)",Totals!$B$5:$B$49,"Organic",Totals!$C$5:$C$49,"Mobile")</f>
        <v/>
      </c>
      <c r="AS46" s="69">
        <f>IF(OR(AR46="",AQ46="",AQ46=0,AR46=0),"",AR46-AQ46)</f>
        <v/>
      </c>
      <c r="AT46" s="42">
        <f>IF(OR(AR46="",AQ46="",AQ46=0,AR46=0),"",AR46/AQ46-1)</f>
        <v/>
      </c>
      <c r="AU46" s="43">
        <f>IF(OR(AQ46="",AJ46="",AJ46=0),"",AQ46/AJ46)</f>
        <v/>
      </c>
      <c r="AV46" s="43">
        <f>IF(OR(AR46="",AK46="",AK46=0),"",AR46/AK46)</f>
        <v/>
      </c>
      <c r="AW46" s="44">
        <f>IF(OR(AV46="",AU46=""),"",(AV46-AU46)*100)</f>
        <v/>
      </c>
      <c r="AX46" s="45">
        <f>IF(OR(AQ46="",O46="",O46=0),"",AQ46/O46)</f>
        <v/>
      </c>
      <c r="AY46" s="45">
        <f>IF(OR(AR46="",P46="",P46=0),"",AR46/P46)</f>
        <v/>
      </c>
      <c r="AZ46" s="44">
        <f>IF(OR(AY46="",AX46=""),"",(AY46-AX46)*100)</f>
        <v/>
      </c>
      <c r="BA46" s="45">
        <f>IF(OR(AQ46="",D46="",D46=0),"",AQ46/D46)</f>
        <v/>
      </c>
      <c r="BB46" s="45">
        <f>IF(OR(AR46="",E46="",E46=0),"",AR46/E46)</f>
        <v/>
      </c>
      <c r="BC46" s="44">
        <f>IF(OR(BB46="",BA46=""),"",(BB46-BA46)*100)</f>
        <v/>
      </c>
    </row>
    <row r="47">
      <c r="A47" s="40" t="inlineStr">
        <is>
          <t>Other pages (derived)</t>
        </is>
      </c>
      <c r="B47" s="40" t="inlineStr">
        <is>
          <t>Organic</t>
        </is>
      </c>
      <c r="C47" s="40" t="inlineStr">
        <is>
          <t>Desktop</t>
        </is>
      </c>
      <c r="D47" s="41">
        <f>SUMIFS(Totals!$D$5:$D$49,Totals!$A$5:$A$49,"Other pages (derived)",Totals!$B$5:$B$49,"Organic",Totals!$C$5:$C$49,"Desktop")</f>
        <v/>
      </c>
      <c r="E47" s="41">
        <f>SUMIFS(Totals!$E$5:$E$49,Totals!$A$5:$A$49,"Other pages (derived)",Totals!$B$5:$B$49,"Organic",Totals!$C$5:$C$49,"Desktop")</f>
        <v/>
      </c>
      <c r="F47" s="69">
        <f>IF(OR(E47="",D47="",D47=0,E47=0),"",E47-D47)</f>
        <v/>
      </c>
      <c r="G47" s="42">
        <f>IF(OR(E47="",D47="",D47=0,E47=0),"",E47/D47-1)</f>
        <v/>
      </c>
      <c r="H47" s="41">
        <f>SUMIFS(Totals!$H$5:$H$49,Totals!$A$5:$A$49,"Other pages (derived)",Totals!$B$5:$B$49,"Organic",Totals!$C$5:$C$49,"Desktop")</f>
        <v/>
      </c>
      <c r="I47" s="41">
        <f>SUMIFS(Totals!$I$5:$I$49,Totals!$A$5:$A$49,"Other pages (derived)",Totals!$B$5:$B$49,"Organic",Totals!$C$5:$C$49,"Desktop")</f>
        <v/>
      </c>
      <c r="J47" s="69">
        <f>IF(OR(I47="",H47="",H47=0,I47=0),"",I47-H47)</f>
        <v/>
      </c>
      <c r="K47" s="42">
        <f>IF(OR(I47="",H47="",H47=0,I47=0),"",I47/H47-1)</f>
        <v/>
      </c>
      <c r="L47" s="43">
        <f>IF(OR(H47="",D47="",D47=0),"",H47/D47)</f>
        <v/>
      </c>
      <c r="M47" s="43">
        <f>IF(OR(I47="",E47="",E47=0),"",I47/E47)</f>
        <v/>
      </c>
      <c r="N47" s="44">
        <f>IF(OR(M47="",L47=""),"",(M47-L47)*100)</f>
        <v/>
      </c>
      <c r="O47" s="41">
        <f>SUMIFS(Totals!$O$5:$O$49,Totals!$A$5:$A$49,"Other pages (derived)",Totals!$B$5:$B$49,"Organic",Totals!$C$5:$C$49,"Desktop")</f>
        <v/>
      </c>
      <c r="P47" s="41">
        <f>SUMIFS(Totals!$P$5:$P$49,Totals!$A$5:$A$49,"Other pages (derived)",Totals!$B$5:$B$49,"Organic",Totals!$C$5:$C$49,"Desktop")</f>
        <v/>
      </c>
      <c r="Q47" s="69">
        <f>IF(OR(P47="",O47="",O47=0,P47=0),"",P47-O47)</f>
        <v/>
      </c>
      <c r="R47" s="42">
        <f>IF(OR(P47="",O47="",O47=0,P47=0),"",P47/O47-1)</f>
        <v/>
      </c>
      <c r="S47" s="43">
        <f>IF(OR(O47="",D47="",D47=0),"",O47/D47)</f>
        <v/>
      </c>
      <c r="T47" s="43">
        <f>IF(OR(P47="",E47="",E47=0),"",P47/E47)</f>
        <v/>
      </c>
      <c r="U47" s="44">
        <f>IF(OR(T47="",S47=""),"",(T47-S47)*100)</f>
        <v/>
      </c>
      <c r="V47" s="41">
        <f>SUMIFS(Totals!$V$5:$V$49,Totals!$A$5:$A$49,"Other pages (derived)",Totals!$B$5:$B$49,"Organic",Totals!$C$5:$C$49,"Desktop")</f>
        <v/>
      </c>
      <c r="W47" s="41">
        <f>SUMIFS(Totals!$W$5:$W$49,Totals!$A$5:$A$49,"Other pages (derived)",Totals!$B$5:$B$49,"Organic",Totals!$C$5:$C$49,"Desktop")</f>
        <v/>
      </c>
      <c r="X47" s="69">
        <f>IF(OR(W47="",V47="",V47=0,W47=0),"",W47-V47)</f>
        <v/>
      </c>
      <c r="Y47" s="42">
        <f>IF(OR(W47="",V47="",V47=0,W47=0),"",W47/V47-1)</f>
        <v/>
      </c>
      <c r="Z47" s="43">
        <f>IF(OR(V47="",O47="",O47=0),"",V47/O47)</f>
        <v/>
      </c>
      <c r="AA47" s="43">
        <f>IF(OR(W47="",P47="",P47=0),"",W47/P47)</f>
        <v/>
      </c>
      <c r="AB47" s="44">
        <f>IF(OR(AA47="",Z47=""),"",(AA47-Z47)*100)</f>
        <v/>
      </c>
      <c r="AC47" s="41">
        <f>SUMIFS(Totals!$AC$5:$AC$49,Totals!$A$5:$A$49,"Other pages (derived)",Totals!$B$5:$B$49,"Organic",Totals!$C$5:$C$49,"Desktop")</f>
        <v/>
      </c>
      <c r="AD47" s="41">
        <f>SUMIFS(Totals!$AD$5:$AD$49,Totals!$A$5:$A$49,"Other pages (derived)",Totals!$B$5:$B$49,"Organic",Totals!$C$5:$C$49,"Desktop")</f>
        <v/>
      </c>
      <c r="AE47" s="69">
        <f>IF(OR(AD47="",AC47="",AC47=0,AD47=0),"",AD47-AC47)</f>
        <v/>
      </c>
      <c r="AF47" s="42">
        <f>IF(OR(AD47="",AC47="",AC47=0,AD47=0),"",AD47/AC47-1)</f>
        <v/>
      </c>
      <c r="AG47" s="43">
        <f>IF(OR(AC47="",V47="",V47=0),"",AC47/V47)</f>
        <v/>
      </c>
      <c r="AH47" s="43">
        <f>IF(OR(AD47="",W47="",W47=0),"",AD47/W47)</f>
        <v/>
      </c>
      <c r="AI47" s="44">
        <f>IF(OR(AH47="",AG47=""),"",(AH47-AG47)*100)</f>
        <v/>
      </c>
      <c r="AJ47" s="41">
        <f>SUMIFS(Totals!$AJ$5:$AJ$49,Totals!$A$5:$A$49,"Other pages (derived)",Totals!$B$5:$B$49,"Organic",Totals!$C$5:$C$49,"Desktop")</f>
        <v/>
      </c>
      <c r="AK47" s="41">
        <f>SUMIFS(Totals!$AK$5:$AK$49,Totals!$A$5:$A$49,"Other pages (derived)",Totals!$B$5:$B$49,"Organic",Totals!$C$5:$C$49,"Desktop")</f>
        <v/>
      </c>
      <c r="AL47" s="69">
        <f>IF(OR(AK47="",AJ47="",AJ47=0,AK47=0),"",AK47-AJ47)</f>
        <v/>
      </c>
      <c r="AM47" s="42">
        <f>IF(OR(AK47="",AJ47="",AJ47=0,AK47=0),"",AK47/AJ47-1)</f>
        <v/>
      </c>
      <c r="AN47" s="43">
        <f>IF(OR(AJ47="",AC47="",AC47=0),"",AJ47/AC47)</f>
        <v/>
      </c>
      <c r="AO47" s="43">
        <f>IF(OR(AK47="",AD47="",AD47=0),"",AK47/AD47)</f>
        <v/>
      </c>
      <c r="AP47" s="44">
        <f>IF(OR(AO47="",AN47=""),"",(AO47-AN47)*100)</f>
        <v/>
      </c>
      <c r="AQ47" s="41">
        <f>SUMIFS(Totals!$AQ$5:$AQ$49,Totals!$A$5:$A$49,"Other pages (derived)",Totals!$B$5:$B$49,"Organic",Totals!$C$5:$C$49,"Desktop")</f>
        <v/>
      </c>
      <c r="AR47" s="41">
        <f>SUMIFS(Totals!$AR$5:$AR$49,Totals!$A$5:$A$49,"Other pages (derived)",Totals!$B$5:$B$49,"Organic",Totals!$C$5:$C$49,"Desktop")</f>
        <v/>
      </c>
      <c r="AS47" s="69">
        <f>IF(OR(AR47="",AQ47="",AQ47=0,AR47=0),"",AR47-AQ47)</f>
        <v/>
      </c>
      <c r="AT47" s="42">
        <f>IF(OR(AR47="",AQ47="",AQ47=0,AR47=0),"",AR47/AQ47-1)</f>
        <v/>
      </c>
      <c r="AU47" s="43">
        <f>IF(OR(AQ47="",AJ47="",AJ47=0),"",AQ47/AJ47)</f>
        <v/>
      </c>
      <c r="AV47" s="43">
        <f>IF(OR(AR47="",AK47="",AK47=0),"",AR47/AK47)</f>
        <v/>
      </c>
      <c r="AW47" s="44">
        <f>IF(OR(AV47="",AU47=""),"",(AV47-AU47)*100)</f>
        <v/>
      </c>
      <c r="AX47" s="45">
        <f>IF(OR(AQ47="",O47="",O47=0),"",AQ47/O47)</f>
        <v/>
      </c>
      <c r="AY47" s="45">
        <f>IF(OR(AR47="",P47="",P47=0),"",AR47/P47)</f>
        <v/>
      </c>
      <c r="AZ47" s="44">
        <f>IF(OR(AY47="",AX47=""),"",(AY47-AX47)*100)</f>
        <v/>
      </c>
      <c r="BA47" s="45">
        <f>IF(OR(AQ47="",D47="",D47=0),"",AQ47/D47)</f>
        <v/>
      </c>
      <c r="BB47" s="45">
        <f>IF(OR(AR47="",E47="",E47=0),"",AR47/E47)</f>
        <v/>
      </c>
      <c r="BC47" s="44">
        <f>IF(OR(BB47="",BA47=""),"",(BB47-BA47)*100)</f>
        <v/>
      </c>
    </row>
    <row r="48">
      <c r="A48" s="32" t="inlineStr">
        <is>
          <t>Other pages (derived)</t>
        </is>
      </c>
      <c r="B48" s="32" t="inlineStr">
        <is>
          <t>Direct</t>
        </is>
      </c>
      <c r="C48" s="32" t="inlineStr">
        <is>
          <t>Total</t>
        </is>
      </c>
      <c r="D48" s="33">
        <f>SUMIFS(Totals!$D$5:$D$49,Totals!$A$5:$A$49,"Other pages (derived)",Totals!$B$5:$B$49,"Direct",Totals!$C$5:$C$49,"Total")</f>
        <v/>
      </c>
      <c r="E48" s="33">
        <f>SUMIFS(Totals!$E$5:$E$49,Totals!$A$5:$A$49,"Other pages (derived)",Totals!$B$5:$B$49,"Direct",Totals!$C$5:$C$49,"Total")</f>
        <v/>
      </c>
      <c r="F48" s="67">
        <f>IF(OR(E48="",D48="",D48=0,E48=0),"",E48-D48)</f>
        <v/>
      </c>
      <c r="G48" s="34">
        <f>IF(OR(E48="",D48="",D48=0,E48=0),"",E48/D48-1)</f>
        <v/>
      </c>
      <c r="H48" s="33">
        <f>SUMIFS(Totals!$H$5:$H$49,Totals!$A$5:$A$49,"Other pages (derived)",Totals!$B$5:$B$49,"Direct",Totals!$C$5:$C$49,"Total")</f>
        <v/>
      </c>
      <c r="I48" s="33">
        <f>SUMIFS(Totals!$I$5:$I$49,Totals!$A$5:$A$49,"Other pages (derived)",Totals!$B$5:$B$49,"Direct",Totals!$C$5:$C$49,"Total")</f>
        <v/>
      </c>
      <c r="J48" s="67">
        <f>IF(OR(I48="",H48="",H48=0,I48=0),"",I48-H48)</f>
        <v/>
      </c>
      <c r="K48" s="34">
        <f>IF(OR(I48="",H48="",H48=0,I48=0),"",I48/H48-1)</f>
        <v/>
      </c>
      <c r="L48" s="35">
        <f>IF(OR(H48="",D48="",D48=0),"",H48/D48)</f>
        <v/>
      </c>
      <c r="M48" s="35">
        <f>IF(OR(I48="",E48="",E48=0),"",I48/E48)</f>
        <v/>
      </c>
      <c r="N48" s="36">
        <f>IF(OR(M48="",L48=""),"",(M48-L48)*100)</f>
        <v/>
      </c>
      <c r="O48" s="33">
        <f>SUMIFS(Totals!$O$5:$O$49,Totals!$A$5:$A$49,"Other pages (derived)",Totals!$B$5:$B$49,"Direct",Totals!$C$5:$C$49,"Total")</f>
        <v/>
      </c>
      <c r="P48" s="33">
        <f>SUMIFS(Totals!$P$5:$P$49,Totals!$A$5:$A$49,"Other pages (derived)",Totals!$B$5:$B$49,"Direct",Totals!$C$5:$C$49,"Total")</f>
        <v/>
      </c>
      <c r="Q48" s="67">
        <f>IF(OR(P48="",O48="",O48=0,P48=0),"",P48-O48)</f>
        <v/>
      </c>
      <c r="R48" s="34">
        <f>IF(OR(P48="",O48="",O48=0,P48=0),"",P48/O48-1)</f>
        <v/>
      </c>
      <c r="S48" s="35">
        <f>IF(OR(O48="",D48="",D48=0),"",O48/D48)</f>
        <v/>
      </c>
      <c r="T48" s="35">
        <f>IF(OR(P48="",E48="",E48=0),"",P48/E48)</f>
        <v/>
      </c>
      <c r="U48" s="36">
        <f>IF(OR(T48="",S48=""),"",(T48-S48)*100)</f>
        <v/>
      </c>
      <c r="V48" s="33">
        <f>SUMIFS(Totals!$V$5:$V$49,Totals!$A$5:$A$49,"Other pages (derived)",Totals!$B$5:$B$49,"Direct",Totals!$C$5:$C$49,"Total")</f>
        <v/>
      </c>
      <c r="W48" s="33">
        <f>SUMIFS(Totals!$W$5:$W$49,Totals!$A$5:$A$49,"Other pages (derived)",Totals!$B$5:$B$49,"Direct",Totals!$C$5:$C$49,"Total")</f>
        <v/>
      </c>
      <c r="X48" s="67">
        <f>IF(OR(W48="",V48="",V48=0,W48=0),"",W48-V48)</f>
        <v/>
      </c>
      <c r="Y48" s="34">
        <f>IF(OR(W48="",V48="",V48=0,W48=0),"",W48/V48-1)</f>
        <v/>
      </c>
      <c r="Z48" s="35">
        <f>IF(OR(V48="",O48="",O48=0),"",V48/O48)</f>
        <v/>
      </c>
      <c r="AA48" s="35">
        <f>IF(OR(W48="",P48="",P48=0),"",W48/P48)</f>
        <v/>
      </c>
      <c r="AB48" s="36">
        <f>IF(OR(AA48="",Z48=""),"",(AA48-Z48)*100)</f>
        <v/>
      </c>
      <c r="AC48" s="33">
        <f>SUMIFS(Totals!$AC$5:$AC$49,Totals!$A$5:$A$49,"Other pages (derived)",Totals!$B$5:$B$49,"Direct",Totals!$C$5:$C$49,"Total")</f>
        <v/>
      </c>
      <c r="AD48" s="33">
        <f>SUMIFS(Totals!$AD$5:$AD$49,Totals!$A$5:$A$49,"Other pages (derived)",Totals!$B$5:$B$49,"Direct",Totals!$C$5:$C$49,"Total")</f>
        <v/>
      </c>
      <c r="AE48" s="67">
        <f>IF(OR(AD48="",AC48="",AC48=0,AD48=0),"",AD48-AC48)</f>
        <v/>
      </c>
      <c r="AF48" s="34">
        <f>IF(OR(AD48="",AC48="",AC48=0,AD48=0),"",AD48/AC48-1)</f>
        <v/>
      </c>
      <c r="AG48" s="35">
        <f>IF(OR(AC48="",V48="",V48=0),"",AC48/V48)</f>
        <v/>
      </c>
      <c r="AH48" s="35">
        <f>IF(OR(AD48="",W48="",W48=0),"",AD48/W48)</f>
        <v/>
      </c>
      <c r="AI48" s="36">
        <f>IF(OR(AH48="",AG48=""),"",(AH48-AG48)*100)</f>
        <v/>
      </c>
      <c r="AJ48" s="33">
        <f>SUMIFS(Totals!$AJ$5:$AJ$49,Totals!$A$5:$A$49,"Other pages (derived)",Totals!$B$5:$B$49,"Direct",Totals!$C$5:$C$49,"Total")</f>
        <v/>
      </c>
      <c r="AK48" s="33">
        <f>SUMIFS(Totals!$AK$5:$AK$49,Totals!$A$5:$A$49,"Other pages (derived)",Totals!$B$5:$B$49,"Direct",Totals!$C$5:$C$49,"Total")</f>
        <v/>
      </c>
      <c r="AL48" s="67">
        <f>IF(OR(AK48="",AJ48="",AJ48=0,AK48=0),"",AK48-AJ48)</f>
        <v/>
      </c>
      <c r="AM48" s="34">
        <f>IF(OR(AK48="",AJ48="",AJ48=0,AK48=0),"",AK48/AJ48-1)</f>
        <v/>
      </c>
      <c r="AN48" s="35">
        <f>IF(OR(AJ48="",AC48="",AC48=0),"",AJ48/AC48)</f>
        <v/>
      </c>
      <c r="AO48" s="35">
        <f>IF(OR(AK48="",AD48="",AD48=0),"",AK48/AD48)</f>
        <v/>
      </c>
      <c r="AP48" s="36">
        <f>IF(OR(AO48="",AN48=""),"",(AO48-AN48)*100)</f>
        <v/>
      </c>
      <c r="AQ48" s="33">
        <f>SUMIFS(Totals!$AQ$5:$AQ$49,Totals!$A$5:$A$49,"Other pages (derived)",Totals!$B$5:$B$49,"Direct",Totals!$C$5:$C$49,"Total")</f>
        <v/>
      </c>
      <c r="AR48" s="33">
        <f>SUMIFS(Totals!$AR$5:$AR$49,Totals!$A$5:$A$49,"Other pages (derived)",Totals!$B$5:$B$49,"Direct",Totals!$C$5:$C$49,"Total")</f>
        <v/>
      </c>
      <c r="AS48" s="67">
        <f>IF(OR(AR48="",AQ48="",AQ48=0,AR48=0),"",AR48-AQ48)</f>
        <v/>
      </c>
      <c r="AT48" s="34">
        <f>IF(OR(AR48="",AQ48="",AQ48=0,AR48=0),"",AR48/AQ48-1)</f>
        <v/>
      </c>
      <c r="AU48" s="35">
        <f>IF(OR(AQ48="",AJ48="",AJ48=0),"",AQ48/AJ48)</f>
        <v/>
      </c>
      <c r="AV48" s="35">
        <f>IF(OR(AR48="",AK48="",AK48=0),"",AR48/AK48)</f>
        <v/>
      </c>
      <c r="AW48" s="36">
        <f>IF(OR(AV48="",AU48=""),"",(AV48-AU48)*100)</f>
        <v/>
      </c>
      <c r="AX48" s="37">
        <f>IF(OR(AQ48="",O48="",O48=0),"",AQ48/O48)</f>
        <v/>
      </c>
      <c r="AY48" s="37">
        <f>IF(OR(AR48="",P48="",P48=0),"",AR48/P48)</f>
        <v/>
      </c>
      <c r="AZ48" s="36">
        <f>IF(OR(AY48="",AX48=""),"",(AY48-AX48)*100)</f>
        <v/>
      </c>
      <c r="BA48" s="37">
        <f>IF(OR(AQ48="",D48="",D48=0),"",AQ48/D48)</f>
        <v/>
      </c>
      <c r="BB48" s="37">
        <f>IF(OR(AR48="",E48="",E48=0),"",AR48/E48)</f>
        <v/>
      </c>
      <c r="BC48" s="36">
        <f>IF(OR(BB48="",BA48=""),"",(BB48-BA48)*100)</f>
        <v/>
      </c>
    </row>
    <row r="49">
      <c r="A49" s="40" t="inlineStr">
        <is>
          <t>Other pages (derived)</t>
        </is>
      </c>
      <c r="B49" s="40" t="inlineStr">
        <is>
          <t>Direct</t>
        </is>
      </c>
      <c r="C49" s="40" t="inlineStr">
        <is>
          <t>Mobile</t>
        </is>
      </c>
      <c r="D49" s="41">
        <f>SUMIFS(Totals!$D$5:$D$49,Totals!$A$5:$A$49,"Other pages (derived)",Totals!$B$5:$B$49,"Direct",Totals!$C$5:$C$49,"Mobile")</f>
        <v/>
      </c>
      <c r="E49" s="41">
        <f>SUMIFS(Totals!$E$5:$E$49,Totals!$A$5:$A$49,"Other pages (derived)",Totals!$B$5:$B$49,"Direct",Totals!$C$5:$C$49,"Mobile")</f>
        <v/>
      </c>
      <c r="F49" s="69">
        <f>IF(OR(E49="",D49="",D49=0,E49=0),"",E49-D49)</f>
        <v/>
      </c>
      <c r="G49" s="42">
        <f>IF(OR(E49="",D49="",D49=0,E49=0),"",E49/D49-1)</f>
        <v/>
      </c>
      <c r="H49" s="41">
        <f>SUMIFS(Totals!$H$5:$H$49,Totals!$A$5:$A$49,"Other pages (derived)",Totals!$B$5:$B$49,"Direct",Totals!$C$5:$C$49,"Mobile")</f>
        <v/>
      </c>
      <c r="I49" s="41">
        <f>SUMIFS(Totals!$I$5:$I$49,Totals!$A$5:$A$49,"Other pages (derived)",Totals!$B$5:$B$49,"Direct",Totals!$C$5:$C$49,"Mobile")</f>
        <v/>
      </c>
      <c r="J49" s="69">
        <f>IF(OR(I49="",H49="",H49=0,I49=0),"",I49-H49)</f>
        <v/>
      </c>
      <c r="K49" s="42">
        <f>IF(OR(I49="",H49="",H49=0,I49=0),"",I49/H49-1)</f>
        <v/>
      </c>
      <c r="L49" s="43">
        <f>IF(OR(H49="",D49="",D49=0),"",H49/D49)</f>
        <v/>
      </c>
      <c r="M49" s="43">
        <f>IF(OR(I49="",E49="",E49=0),"",I49/E49)</f>
        <v/>
      </c>
      <c r="N49" s="44">
        <f>IF(OR(M49="",L49=""),"",(M49-L49)*100)</f>
        <v/>
      </c>
      <c r="O49" s="41">
        <f>SUMIFS(Totals!$O$5:$O$49,Totals!$A$5:$A$49,"Other pages (derived)",Totals!$B$5:$B$49,"Direct",Totals!$C$5:$C$49,"Mobile")</f>
        <v/>
      </c>
      <c r="P49" s="41">
        <f>SUMIFS(Totals!$P$5:$P$49,Totals!$A$5:$A$49,"Other pages (derived)",Totals!$B$5:$B$49,"Direct",Totals!$C$5:$C$49,"Mobile")</f>
        <v/>
      </c>
      <c r="Q49" s="69">
        <f>IF(OR(P49="",O49="",O49=0,P49=0),"",P49-O49)</f>
        <v/>
      </c>
      <c r="R49" s="42">
        <f>IF(OR(P49="",O49="",O49=0,P49=0),"",P49/O49-1)</f>
        <v/>
      </c>
      <c r="S49" s="43">
        <f>IF(OR(O49="",D49="",D49=0),"",O49/D49)</f>
        <v/>
      </c>
      <c r="T49" s="43">
        <f>IF(OR(P49="",E49="",E49=0),"",P49/E49)</f>
        <v/>
      </c>
      <c r="U49" s="44">
        <f>IF(OR(T49="",S49=""),"",(T49-S49)*100)</f>
        <v/>
      </c>
      <c r="V49" s="41">
        <f>SUMIFS(Totals!$V$5:$V$49,Totals!$A$5:$A$49,"Other pages (derived)",Totals!$B$5:$B$49,"Direct",Totals!$C$5:$C$49,"Mobile")</f>
        <v/>
      </c>
      <c r="W49" s="41">
        <f>SUMIFS(Totals!$W$5:$W$49,Totals!$A$5:$A$49,"Other pages (derived)",Totals!$B$5:$B$49,"Direct",Totals!$C$5:$C$49,"Mobile")</f>
        <v/>
      </c>
      <c r="X49" s="69">
        <f>IF(OR(W49="",V49="",V49=0,W49=0),"",W49-V49)</f>
        <v/>
      </c>
      <c r="Y49" s="42">
        <f>IF(OR(W49="",V49="",V49=0,W49=0),"",W49/V49-1)</f>
        <v/>
      </c>
      <c r="Z49" s="43">
        <f>IF(OR(V49="",O49="",O49=0),"",V49/O49)</f>
        <v/>
      </c>
      <c r="AA49" s="43">
        <f>IF(OR(W49="",P49="",P49=0),"",W49/P49)</f>
        <v/>
      </c>
      <c r="AB49" s="44">
        <f>IF(OR(AA49="",Z49=""),"",(AA49-Z49)*100)</f>
        <v/>
      </c>
      <c r="AC49" s="41">
        <f>SUMIFS(Totals!$AC$5:$AC$49,Totals!$A$5:$A$49,"Other pages (derived)",Totals!$B$5:$B$49,"Direct",Totals!$C$5:$C$49,"Mobile")</f>
        <v/>
      </c>
      <c r="AD49" s="41">
        <f>SUMIFS(Totals!$AD$5:$AD$49,Totals!$A$5:$A$49,"Other pages (derived)",Totals!$B$5:$B$49,"Direct",Totals!$C$5:$C$49,"Mobile")</f>
        <v/>
      </c>
      <c r="AE49" s="69">
        <f>IF(OR(AD49="",AC49="",AC49=0,AD49=0),"",AD49-AC49)</f>
        <v/>
      </c>
      <c r="AF49" s="42">
        <f>IF(OR(AD49="",AC49="",AC49=0,AD49=0),"",AD49/AC49-1)</f>
        <v/>
      </c>
      <c r="AG49" s="43">
        <f>IF(OR(AC49="",V49="",V49=0),"",AC49/V49)</f>
        <v/>
      </c>
      <c r="AH49" s="43">
        <f>IF(OR(AD49="",W49="",W49=0),"",AD49/W49)</f>
        <v/>
      </c>
      <c r="AI49" s="44">
        <f>IF(OR(AH49="",AG49=""),"",(AH49-AG49)*100)</f>
        <v/>
      </c>
      <c r="AJ49" s="41">
        <f>SUMIFS(Totals!$AJ$5:$AJ$49,Totals!$A$5:$A$49,"Other pages (derived)",Totals!$B$5:$B$49,"Direct",Totals!$C$5:$C$49,"Mobile")</f>
        <v/>
      </c>
      <c r="AK49" s="41">
        <f>SUMIFS(Totals!$AK$5:$AK$49,Totals!$A$5:$A$49,"Other pages (derived)",Totals!$B$5:$B$49,"Direct",Totals!$C$5:$C$49,"Mobile")</f>
        <v/>
      </c>
      <c r="AL49" s="69">
        <f>IF(OR(AK49="",AJ49="",AJ49=0,AK49=0),"",AK49-AJ49)</f>
        <v/>
      </c>
      <c r="AM49" s="42">
        <f>IF(OR(AK49="",AJ49="",AJ49=0,AK49=0),"",AK49/AJ49-1)</f>
        <v/>
      </c>
      <c r="AN49" s="43">
        <f>IF(OR(AJ49="",AC49="",AC49=0),"",AJ49/AC49)</f>
        <v/>
      </c>
      <c r="AO49" s="43">
        <f>IF(OR(AK49="",AD49="",AD49=0),"",AK49/AD49)</f>
        <v/>
      </c>
      <c r="AP49" s="44">
        <f>IF(OR(AO49="",AN49=""),"",(AO49-AN49)*100)</f>
        <v/>
      </c>
      <c r="AQ49" s="41">
        <f>SUMIFS(Totals!$AQ$5:$AQ$49,Totals!$A$5:$A$49,"Other pages (derived)",Totals!$B$5:$B$49,"Direct",Totals!$C$5:$C$49,"Mobile")</f>
        <v/>
      </c>
      <c r="AR49" s="41">
        <f>SUMIFS(Totals!$AR$5:$AR$49,Totals!$A$5:$A$49,"Other pages (derived)",Totals!$B$5:$B$49,"Direct",Totals!$C$5:$C$49,"Mobile")</f>
        <v/>
      </c>
      <c r="AS49" s="69">
        <f>IF(OR(AR49="",AQ49="",AQ49=0,AR49=0),"",AR49-AQ49)</f>
        <v/>
      </c>
      <c r="AT49" s="42">
        <f>IF(OR(AR49="",AQ49="",AQ49=0,AR49=0),"",AR49/AQ49-1)</f>
        <v/>
      </c>
      <c r="AU49" s="43">
        <f>IF(OR(AQ49="",AJ49="",AJ49=0),"",AQ49/AJ49)</f>
        <v/>
      </c>
      <c r="AV49" s="43">
        <f>IF(OR(AR49="",AK49="",AK49=0),"",AR49/AK49)</f>
        <v/>
      </c>
      <c r="AW49" s="44">
        <f>IF(OR(AV49="",AU49=""),"",(AV49-AU49)*100)</f>
        <v/>
      </c>
      <c r="AX49" s="45">
        <f>IF(OR(AQ49="",O49="",O49=0),"",AQ49/O49)</f>
        <v/>
      </c>
      <c r="AY49" s="45">
        <f>IF(OR(AR49="",P49="",P49=0),"",AR49/P49)</f>
        <v/>
      </c>
      <c r="AZ49" s="44">
        <f>IF(OR(AY49="",AX49=""),"",(AY49-AX49)*100)</f>
        <v/>
      </c>
      <c r="BA49" s="45">
        <f>IF(OR(AQ49="",D49="",D49=0),"",AQ49/D49)</f>
        <v/>
      </c>
      <c r="BB49" s="45">
        <f>IF(OR(AR49="",E49="",E49=0),"",AR49/E49)</f>
        <v/>
      </c>
      <c r="BC49" s="44">
        <f>IF(OR(BB49="",BA49=""),"",(BB49-BA49)*100)</f>
        <v/>
      </c>
    </row>
    <row r="50">
      <c r="A50" s="40" t="inlineStr">
        <is>
          <t>Other pages (derived)</t>
        </is>
      </c>
      <c r="B50" s="40" t="inlineStr">
        <is>
          <t>Direct</t>
        </is>
      </c>
      <c r="C50" s="40" t="inlineStr">
        <is>
          <t>Desktop</t>
        </is>
      </c>
      <c r="D50" s="41">
        <f>SUMIFS(Totals!$D$5:$D$49,Totals!$A$5:$A$49,"Other pages (derived)",Totals!$B$5:$B$49,"Direct",Totals!$C$5:$C$49,"Desktop")</f>
        <v/>
      </c>
      <c r="E50" s="41">
        <f>SUMIFS(Totals!$E$5:$E$49,Totals!$A$5:$A$49,"Other pages (derived)",Totals!$B$5:$B$49,"Direct",Totals!$C$5:$C$49,"Desktop")</f>
        <v/>
      </c>
      <c r="F50" s="69">
        <f>IF(OR(E50="",D50="",D50=0,E50=0),"",E50-D50)</f>
        <v/>
      </c>
      <c r="G50" s="42">
        <f>IF(OR(E50="",D50="",D50=0,E50=0),"",E50/D50-1)</f>
        <v/>
      </c>
      <c r="H50" s="41">
        <f>SUMIFS(Totals!$H$5:$H$49,Totals!$A$5:$A$49,"Other pages (derived)",Totals!$B$5:$B$49,"Direct",Totals!$C$5:$C$49,"Desktop")</f>
        <v/>
      </c>
      <c r="I50" s="41">
        <f>SUMIFS(Totals!$I$5:$I$49,Totals!$A$5:$A$49,"Other pages (derived)",Totals!$B$5:$B$49,"Direct",Totals!$C$5:$C$49,"Desktop")</f>
        <v/>
      </c>
      <c r="J50" s="69">
        <f>IF(OR(I50="",H50="",H50=0,I50=0),"",I50-H50)</f>
        <v/>
      </c>
      <c r="K50" s="42">
        <f>IF(OR(I50="",H50="",H50=0,I50=0),"",I50/H50-1)</f>
        <v/>
      </c>
      <c r="L50" s="43">
        <f>IF(OR(H50="",D50="",D50=0),"",H50/D50)</f>
        <v/>
      </c>
      <c r="M50" s="43">
        <f>IF(OR(I50="",E50="",E50=0),"",I50/E50)</f>
        <v/>
      </c>
      <c r="N50" s="44">
        <f>IF(OR(M50="",L50=""),"",(M50-L50)*100)</f>
        <v/>
      </c>
      <c r="O50" s="41">
        <f>SUMIFS(Totals!$O$5:$O$49,Totals!$A$5:$A$49,"Other pages (derived)",Totals!$B$5:$B$49,"Direct",Totals!$C$5:$C$49,"Desktop")</f>
        <v/>
      </c>
      <c r="P50" s="41">
        <f>SUMIFS(Totals!$P$5:$P$49,Totals!$A$5:$A$49,"Other pages (derived)",Totals!$B$5:$B$49,"Direct",Totals!$C$5:$C$49,"Desktop")</f>
        <v/>
      </c>
      <c r="Q50" s="69">
        <f>IF(OR(P50="",O50="",O50=0,P50=0),"",P50-O50)</f>
        <v/>
      </c>
      <c r="R50" s="42">
        <f>IF(OR(P50="",O50="",O50=0,P50=0),"",P50/O50-1)</f>
        <v/>
      </c>
      <c r="S50" s="43">
        <f>IF(OR(O50="",D50="",D50=0),"",O50/D50)</f>
        <v/>
      </c>
      <c r="T50" s="43">
        <f>IF(OR(P50="",E50="",E50=0),"",P50/E50)</f>
        <v/>
      </c>
      <c r="U50" s="44">
        <f>IF(OR(T50="",S50=""),"",(T50-S50)*100)</f>
        <v/>
      </c>
      <c r="V50" s="41">
        <f>SUMIFS(Totals!$V$5:$V$49,Totals!$A$5:$A$49,"Other pages (derived)",Totals!$B$5:$B$49,"Direct",Totals!$C$5:$C$49,"Desktop")</f>
        <v/>
      </c>
      <c r="W50" s="41">
        <f>SUMIFS(Totals!$W$5:$W$49,Totals!$A$5:$A$49,"Other pages (derived)",Totals!$B$5:$B$49,"Direct",Totals!$C$5:$C$49,"Desktop")</f>
        <v/>
      </c>
      <c r="X50" s="69">
        <f>IF(OR(W50="",V50="",V50=0,W50=0),"",W50-V50)</f>
        <v/>
      </c>
      <c r="Y50" s="42">
        <f>IF(OR(W50="",V50="",V50=0,W50=0),"",W50/V50-1)</f>
        <v/>
      </c>
      <c r="Z50" s="43">
        <f>IF(OR(V50="",O50="",O50=0),"",V50/O50)</f>
        <v/>
      </c>
      <c r="AA50" s="43">
        <f>IF(OR(W50="",P50="",P50=0),"",W50/P50)</f>
        <v/>
      </c>
      <c r="AB50" s="44">
        <f>IF(OR(AA50="",Z50=""),"",(AA50-Z50)*100)</f>
        <v/>
      </c>
      <c r="AC50" s="41">
        <f>SUMIFS(Totals!$AC$5:$AC$49,Totals!$A$5:$A$49,"Other pages (derived)",Totals!$B$5:$B$49,"Direct",Totals!$C$5:$C$49,"Desktop")</f>
        <v/>
      </c>
      <c r="AD50" s="41">
        <f>SUMIFS(Totals!$AD$5:$AD$49,Totals!$A$5:$A$49,"Other pages (derived)",Totals!$B$5:$B$49,"Direct",Totals!$C$5:$C$49,"Desktop")</f>
        <v/>
      </c>
      <c r="AE50" s="69">
        <f>IF(OR(AD50="",AC50="",AC50=0,AD50=0),"",AD50-AC50)</f>
        <v/>
      </c>
      <c r="AF50" s="42">
        <f>IF(OR(AD50="",AC50="",AC50=0,AD50=0),"",AD50/AC50-1)</f>
        <v/>
      </c>
      <c r="AG50" s="43">
        <f>IF(OR(AC50="",V50="",V50=0),"",AC50/V50)</f>
        <v/>
      </c>
      <c r="AH50" s="43">
        <f>IF(OR(AD50="",W50="",W50=0),"",AD50/W50)</f>
        <v/>
      </c>
      <c r="AI50" s="44">
        <f>IF(OR(AH50="",AG50=""),"",(AH50-AG50)*100)</f>
        <v/>
      </c>
      <c r="AJ50" s="41">
        <f>SUMIFS(Totals!$AJ$5:$AJ$49,Totals!$A$5:$A$49,"Other pages (derived)",Totals!$B$5:$B$49,"Direct",Totals!$C$5:$C$49,"Desktop")</f>
        <v/>
      </c>
      <c r="AK50" s="41">
        <f>SUMIFS(Totals!$AK$5:$AK$49,Totals!$A$5:$A$49,"Other pages (derived)",Totals!$B$5:$B$49,"Direct",Totals!$C$5:$C$49,"Desktop")</f>
        <v/>
      </c>
      <c r="AL50" s="69">
        <f>IF(OR(AK50="",AJ50="",AJ50=0,AK50=0),"",AK50-AJ50)</f>
        <v/>
      </c>
      <c r="AM50" s="42">
        <f>IF(OR(AK50="",AJ50="",AJ50=0,AK50=0),"",AK50/AJ50-1)</f>
        <v/>
      </c>
      <c r="AN50" s="43">
        <f>IF(OR(AJ50="",AC50="",AC50=0),"",AJ50/AC50)</f>
        <v/>
      </c>
      <c r="AO50" s="43">
        <f>IF(OR(AK50="",AD50="",AD50=0),"",AK50/AD50)</f>
        <v/>
      </c>
      <c r="AP50" s="44">
        <f>IF(OR(AO50="",AN50=""),"",(AO50-AN50)*100)</f>
        <v/>
      </c>
      <c r="AQ50" s="41">
        <f>SUMIFS(Totals!$AQ$5:$AQ$49,Totals!$A$5:$A$49,"Other pages (derived)",Totals!$B$5:$B$49,"Direct",Totals!$C$5:$C$49,"Desktop")</f>
        <v/>
      </c>
      <c r="AR50" s="41">
        <f>SUMIFS(Totals!$AR$5:$AR$49,Totals!$A$5:$A$49,"Other pages (derived)",Totals!$B$5:$B$49,"Direct",Totals!$C$5:$C$49,"Desktop")</f>
        <v/>
      </c>
      <c r="AS50" s="69">
        <f>IF(OR(AR50="",AQ50="",AQ50=0,AR50=0),"",AR50-AQ50)</f>
        <v/>
      </c>
      <c r="AT50" s="42">
        <f>IF(OR(AR50="",AQ50="",AQ50=0,AR50=0),"",AR50/AQ50-1)</f>
        <v/>
      </c>
      <c r="AU50" s="43">
        <f>IF(OR(AQ50="",AJ50="",AJ50=0),"",AQ50/AJ50)</f>
        <v/>
      </c>
      <c r="AV50" s="43">
        <f>IF(OR(AR50="",AK50="",AK50=0),"",AR50/AK50)</f>
        <v/>
      </c>
      <c r="AW50" s="44">
        <f>IF(OR(AV50="",AU50=""),"",(AV50-AU50)*100)</f>
        <v/>
      </c>
      <c r="AX50" s="45">
        <f>IF(OR(AQ50="",O50="",O50=0),"",AQ50/O50)</f>
        <v/>
      </c>
      <c r="AY50" s="45">
        <f>IF(OR(AR50="",P50="",P50=0),"",AR50/P50)</f>
        <v/>
      </c>
      <c r="AZ50" s="44">
        <f>IF(OR(AY50="",AX50=""),"",(AY50-AX50)*100)</f>
        <v/>
      </c>
      <c r="BA50" s="45">
        <f>IF(OR(AQ50="",D50="",D50=0),"",AQ50/D50)</f>
        <v/>
      </c>
      <c r="BB50" s="45">
        <f>IF(OR(AR50="",E50="",E50=0),"",AR50/E50)</f>
        <v/>
      </c>
      <c r="BC50" s="44">
        <f>IF(OR(BB50="",BA50=""),"",(BB50-BA50)*100)</f>
        <v/>
      </c>
    </row>
  </sheetData>
  <mergeCells count="18">
    <mergeCell ref="H4:K4"/>
    <mergeCell ref="O4:R4"/>
    <mergeCell ref="AX4:AZ4"/>
    <mergeCell ref="B4:B5"/>
    <mergeCell ref="C4:C5"/>
    <mergeCell ref="A4:A5"/>
    <mergeCell ref="V4:Y4"/>
    <mergeCell ref="S4:U4"/>
    <mergeCell ref="AJ4:AM4"/>
    <mergeCell ref="AQ4:AT4"/>
    <mergeCell ref="AC4:AF4"/>
    <mergeCell ref="Z4:AB4"/>
    <mergeCell ref="L4:N4"/>
    <mergeCell ref="AU4:AW4"/>
    <mergeCell ref="AG4:AI4"/>
    <mergeCell ref="BA4:BC4"/>
    <mergeCell ref="AN4:AP4"/>
    <mergeCell ref="D4:G4"/>
  </mergeCells>
  <conditionalFormatting sqref="G6:G50">
    <cfRule type="cellIs" priority="1" operator="greaterThan" dxfId="0">
      <formula>0</formula>
    </cfRule>
    <cfRule type="cellIs" priority="2" operator="lessThan" dxfId="1">
      <formula>0</formula>
    </cfRule>
  </conditionalFormatting>
  <conditionalFormatting sqref="K6:K50">
    <cfRule type="cellIs" priority="3" operator="greaterThan" dxfId="0">
      <formula>0</formula>
    </cfRule>
    <cfRule type="cellIs" priority="4" operator="lessThan" dxfId="1">
      <formula>0</formula>
    </cfRule>
  </conditionalFormatting>
  <conditionalFormatting sqref="N6:N50">
    <cfRule type="cellIs" priority="5" operator="greaterThan" dxfId="0">
      <formula>0</formula>
    </cfRule>
    <cfRule type="cellIs" priority="6" operator="lessThan" dxfId="1">
      <formula>0</formula>
    </cfRule>
  </conditionalFormatting>
  <conditionalFormatting sqref="L6:L50">
    <cfRule type="cellIs" priority="7" operator="greaterThan" dxfId="2">
      <formula>1</formula>
    </cfRule>
  </conditionalFormatting>
  <conditionalFormatting sqref="M6:M50">
    <cfRule type="cellIs" priority="8" operator="greaterThan" dxfId="2">
      <formula>1</formula>
    </cfRule>
  </conditionalFormatting>
  <conditionalFormatting sqref="R6:R50">
    <cfRule type="cellIs" priority="9" operator="greaterThan" dxfId="0">
      <formula>0</formula>
    </cfRule>
    <cfRule type="cellIs" priority="10" operator="lessThan" dxfId="1">
      <formula>0</formula>
    </cfRule>
  </conditionalFormatting>
  <conditionalFormatting sqref="U6:U50">
    <cfRule type="cellIs" priority="11" operator="greaterThan" dxfId="0">
      <formula>0</formula>
    </cfRule>
    <cfRule type="cellIs" priority="12" operator="lessThan" dxfId="1">
      <formula>0</formula>
    </cfRule>
  </conditionalFormatting>
  <conditionalFormatting sqref="S6:S50">
    <cfRule type="cellIs" priority="13" operator="greaterThan" dxfId="2">
      <formula>1</formula>
    </cfRule>
  </conditionalFormatting>
  <conditionalFormatting sqref="T6:T50">
    <cfRule type="cellIs" priority="14" operator="greaterThan" dxfId="2">
      <formula>1</formula>
    </cfRule>
  </conditionalFormatting>
  <conditionalFormatting sqref="Y6:Y50">
    <cfRule type="cellIs" priority="15" operator="greaterThan" dxfId="0">
      <formula>0</formula>
    </cfRule>
    <cfRule type="cellIs" priority="16" operator="lessThan" dxfId="1">
      <formula>0</formula>
    </cfRule>
  </conditionalFormatting>
  <conditionalFormatting sqref="AB6:AB50">
    <cfRule type="cellIs" priority="17" operator="greaterThan" dxfId="0">
      <formula>0</formula>
    </cfRule>
    <cfRule type="cellIs" priority="18" operator="lessThan" dxfId="1">
      <formula>0</formula>
    </cfRule>
  </conditionalFormatting>
  <conditionalFormatting sqref="Z6:Z50">
    <cfRule type="cellIs" priority="19" operator="greaterThan" dxfId="2">
      <formula>1</formula>
    </cfRule>
  </conditionalFormatting>
  <conditionalFormatting sqref="AA6:AA50">
    <cfRule type="cellIs" priority="20" operator="greaterThan" dxfId="2">
      <formula>1</formula>
    </cfRule>
  </conditionalFormatting>
  <conditionalFormatting sqref="AF6:AF50">
    <cfRule type="cellIs" priority="21" operator="greaterThan" dxfId="0">
      <formula>0</formula>
    </cfRule>
    <cfRule type="cellIs" priority="22" operator="lessThan" dxfId="1">
      <formula>0</formula>
    </cfRule>
  </conditionalFormatting>
  <conditionalFormatting sqref="AI6:AI50">
    <cfRule type="cellIs" priority="23" operator="greaterThan" dxfId="0">
      <formula>0</formula>
    </cfRule>
    <cfRule type="cellIs" priority="24" operator="lessThan" dxfId="1">
      <formula>0</formula>
    </cfRule>
  </conditionalFormatting>
  <conditionalFormatting sqref="AG6:AG50">
    <cfRule type="cellIs" priority="25" operator="greaterThan" dxfId="2">
      <formula>1</formula>
    </cfRule>
  </conditionalFormatting>
  <conditionalFormatting sqref="AH6:AH50">
    <cfRule type="cellIs" priority="26" operator="greaterThan" dxfId="2">
      <formula>1</formula>
    </cfRule>
  </conditionalFormatting>
  <conditionalFormatting sqref="AM6:AM50">
    <cfRule type="cellIs" priority="27" operator="greaterThan" dxfId="0">
      <formula>0</formula>
    </cfRule>
    <cfRule type="cellIs" priority="28" operator="lessThan" dxfId="1">
      <formula>0</formula>
    </cfRule>
  </conditionalFormatting>
  <conditionalFormatting sqref="AP6:AP50">
    <cfRule type="cellIs" priority="29" operator="greaterThan" dxfId="0">
      <formula>0</formula>
    </cfRule>
    <cfRule type="cellIs" priority="30" operator="lessThan" dxfId="1">
      <formula>0</formula>
    </cfRule>
  </conditionalFormatting>
  <conditionalFormatting sqref="AN6:AN50">
    <cfRule type="cellIs" priority="31" operator="greaterThan" dxfId="2">
      <formula>1</formula>
    </cfRule>
  </conditionalFormatting>
  <conditionalFormatting sqref="AO6:AO50">
    <cfRule type="cellIs" priority="32" operator="greaterThan" dxfId="2">
      <formula>1</formula>
    </cfRule>
  </conditionalFormatting>
  <conditionalFormatting sqref="AT6:AT50">
    <cfRule type="cellIs" priority="33" operator="greaterThan" dxfId="0">
      <formula>0</formula>
    </cfRule>
    <cfRule type="cellIs" priority="34" operator="lessThan" dxfId="1">
      <formula>0</formula>
    </cfRule>
  </conditionalFormatting>
  <conditionalFormatting sqref="AW6:AW50">
    <cfRule type="cellIs" priority="35" operator="greaterThan" dxfId="0">
      <formula>0</formula>
    </cfRule>
    <cfRule type="cellIs" priority="36" operator="lessThan" dxfId="1">
      <formula>0</formula>
    </cfRule>
  </conditionalFormatting>
  <conditionalFormatting sqref="AU6:AU50">
    <cfRule type="cellIs" priority="37" operator="greaterThan" dxfId="2">
      <formula>1</formula>
    </cfRule>
  </conditionalFormatting>
  <conditionalFormatting sqref="AV6:AV50">
    <cfRule type="cellIs" priority="38" operator="greaterThan" dxfId="2">
      <formula>1</formula>
    </cfRule>
  </conditionalFormatting>
  <conditionalFormatting sqref="AZ6:AZ50">
    <cfRule type="cellIs" priority="39" operator="greaterThan" dxfId="0">
      <formula>0</formula>
    </cfRule>
    <cfRule type="cellIs" priority="40" operator="lessThan" dxfId="1">
      <formula>0</formula>
    </cfRule>
  </conditionalFormatting>
  <conditionalFormatting sqref="AX6:AX50">
    <cfRule type="cellIs" priority="41" operator="greaterThan" dxfId="2">
      <formula>1</formula>
    </cfRule>
  </conditionalFormatting>
  <conditionalFormatting sqref="AY6:AY50">
    <cfRule type="cellIs" priority="42" operator="greaterThan" dxfId="2">
      <formula>1</formula>
    </cfRule>
  </conditionalFormatting>
  <conditionalFormatting sqref="BC6:BC50">
    <cfRule type="cellIs" priority="43" operator="greaterThan" dxfId="0">
      <formula>0</formula>
    </cfRule>
    <cfRule type="cellIs" priority="44" operator="lessThan" dxfId="1">
      <formula>0</formula>
    </cfRule>
  </conditionalFormatting>
  <conditionalFormatting sqref="BA6:BA50">
    <cfRule type="cellIs" priority="45" operator="greaterThan" dxfId="2">
      <formula>1</formula>
    </cfRule>
  </conditionalFormatting>
  <conditionalFormatting sqref="BB6:BB50">
    <cfRule type="cellIs" priority="46" operator="greaterThan" dxfId="2">
      <formula>1</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47"/>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28" customWidth="1" min="54" max="54"/>
  </cols>
  <sheetData>
    <row r="1">
      <c r="A1" s="11" t="inlineStr">
        <is>
          <t>Level 4 — Market YoY by channel, landing page group and device</t>
        </is>
      </c>
    </row>
    <row r="2">
      <c r="A2" s="12" t="inlineStr">
        <is>
          <t>Pick the three dropdowns. Country rows are the Looker visible rows only — see the coverage line at the bottom.</t>
        </is>
      </c>
    </row>
    <row r="4">
      <c r="A4" s="5" t="inlineStr">
        <is>
          <t>Landing page group:</t>
        </is>
      </c>
      <c r="B4" s="74" t="inlineStr">
        <is>
          <t>All landing pages</t>
        </is>
      </c>
    </row>
    <row r="5">
      <c r="A5" s="5" t="inlineStr">
        <is>
          <t>Channel:</t>
        </is>
      </c>
      <c r="B5" s="74" t="inlineStr">
        <is>
          <t>Paid Search</t>
        </is>
      </c>
    </row>
    <row r="6">
      <c r="A6" s="5" t="inlineStr">
        <is>
          <t>Device:</t>
        </is>
      </c>
      <c r="B6" s="74" t="inlineStr">
        <is>
          <t>Total</t>
        </is>
      </c>
    </row>
    <row r="7" ht="18" customHeight="1">
      <c r="A7" s="59" t="inlineStr">
        <is>
          <t>Country</t>
        </is>
      </c>
      <c r="B7" s="14" t="inlineStr">
        <is>
          <t>Sessions</t>
        </is>
      </c>
      <c r="C7" s="15" t="n"/>
      <c r="D7" s="15" t="n"/>
      <c r="E7" s="15" t="n"/>
      <c r="F7" s="60" t="inlineStr">
        <is>
          <t>Start Search</t>
        </is>
      </c>
      <c r="G7" s="61" t="n"/>
      <c r="H7" s="61" t="n"/>
      <c r="I7" s="61" t="n"/>
      <c r="J7" s="62" t="inlineStr">
        <is>
          <t>Visit→Engagement</t>
        </is>
      </c>
      <c r="K7" s="63" t="n"/>
      <c r="L7" s="63" t="n"/>
      <c r="M7" s="16" t="inlineStr">
        <is>
          <t>Searches</t>
        </is>
      </c>
      <c r="N7" s="17" t="n"/>
      <c r="O7" s="17" t="n"/>
      <c r="P7" s="17" t="n"/>
      <c r="Q7" s="20" t="inlineStr">
        <is>
          <t>Visit→Search</t>
        </is>
      </c>
      <c r="R7" s="21" t="n"/>
      <c r="S7" s="21" t="n"/>
      <c r="T7" s="20" t="inlineStr">
        <is>
          <t>Select item</t>
        </is>
      </c>
      <c r="U7" s="21" t="n"/>
      <c r="V7" s="21" t="n"/>
      <c r="W7" s="21" t="n"/>
      <c r="X7" s="20" t="inlineStr">
        <is>
          <t>Search→Select</t>
        </is>
      </c>
      <c r="Y7" s="21" t="n"/>
      <c r="Z7" s="21" t="n"/>
      <c r="AA7" s="22" t="inlineStr">
        <is>
          <t>Add to cart</t>
        </is>
      </c>
      <c r="AB7" s="23" t="n"/>
      <c r="AC7" s="23" t="n"/>
      <c r="AD7" s="23" t="n"/>
      <c r="AE7" s="22" t="inlineStr">
        <is>
          <t>Select→Cart</t>
        </is>
      </c>
      <c r="AF7" s="23" t="n"/>
      <c r="AG7" s="23" t="n"/>
      <c r="AH7" s="24" t="inlineStr">
        <is>
          <t>Begin checkout</t>
        </is>
      </c>
      <c r="AI7" s="25" t="n"/>
      <c r="AJ7" s="25" t="n"/>
      <c r="AK7" s="25" t="n"/>
      <c r="AL7" s="24" t="inlineStr">
        <is>
          <t>Cart→Checkout</t>
        </is>
      </c>
      <c r="AM7" s="25" t="n"/>
      <c r="AN7" s="25" t="n"/>
      <c r="AO7" s="18" t="inlineStr">
        <is>
          <t>Purchases</t>
        </is>
      </c>
      <c r="AP7" s="19" t="n"/>
      <c r="AQ7" s="19" t="n"/>
      <c r="AR7" s="19" t="n"/>
      <c r="AS7" s="18" t="inlineStr">
        <is>
          <t>Checkout→Purchase</t>
        </is>
      </c>
      <c r="AT7" s="19" t="n"/>
      <c r="AU7" s="19" t="n"/>
      <c r="AV7" s="22" t="inlineStr">
        <is>
          <t>Search→Booking</t>
        </is>
      </c>
      <c r="AW7" s="23" t="n"/>
      <c r="AX7" s="23" t="n"/>
      <c r="AY7" s="24" t="inlineStr">
        <is>
          <t>CR</t>
        </is>
      </c>
      <c r="AZ7" s="25" t="n"/>
      <c r="BA7" s="25" t="n"/>
      <c r="BB7" s="71" t="inlineStr">
        <is>
          <t>Comparability (sessions)</t>
        </is>
      </c>
    </row>
    <row r="8">
      <c r="A8" s="15" t="n"/>
      <c r="B8" s="26" t="inlineStr">
        <is>
          <t>1-23Aug25</t>
        </is>
      </c>
      <c r="C8" s="26" t="inlineStr">
        <is>
          <t>1-23Aug26</t>
        </is>
      </c>
      <c r="D8" s="26" t="inlineStr">
        <is>
          <t>Δ</t>
        </is>
      </c>
      <c r="E8" s="26" t="inlineStr">
        <is>
          <t>% Δ</t>
        </is>
      </c>
      <c r="F8" s="64" t="inlineStr">
        <is>
          <t>1-23Aug25</t>
        </is>
      </c>
      <c r="G8" s="64" t="inlineStr">
        <is>
          <t>1-23Aug26</t>
        </is>
      </c>
      <c r="H8" s="64" t="inlineStr">
        <is>
          <t>Δ</t>
        </is>
      </c>
      <c r="I8" s="64" t="inlineStr">
        <is>
          <t>% Δ</t>
        </is>
      </c>
      <c r="J8" s="65" t="inlineStr">
        <is>
          <t>1-23Aug25</t>
        </is>
      </c>
      <c r="K8" s="65" t="inlineStr">
        <is>
          <t>1-23Aug26</t>
        </is>
      </c>
      <c r="L8" s="65" t="inlineStr">
        <is>
          <t>Δ pp</t>
        </is>
      </c>
      <c r="M8" s="27" t="inlineStr">
        <is>
          <t>1-23Aug25</t>
        </is>
      </c>
      <c r="N8" s="27" t="inlineStr">
        <is>
          <t>1-23Aug26</t>
        </is>
      </c>
      <c r="O8" s="27" t="inlineStr">
        <is>
          <t>Δ</t>
        </is>
      </c>
      <c r="P8" s="27" t="inlineStr">
        <is>
          <t>% Δ</t>
        </is>
      </c>
      <c r="Q8" s="29" t="inlineStr">
        <is>
          <t>1-23Aug25</t>
        </is>
      </c>
      <c r="R8" s="29" t="inlineStr">
        <is>
          <t>1-23Aug26</t>
        </is>
      </c>
      <c r="S8" s="29" t="inlineStr">
        <is>
          <t>Δ pp</t>
        </is>
      </c>
      <c r="T8" s="29" t="inlineStr">
        <is>
          <t>1-23Aug25</t>
        </is>
      </c>
      <c r="U8" s="29" t="inlineStr">
        <is>
          <t>1-23Aug26</t>
        </is>
      </c>
      <c r="V8" s="29" t="inlineStr">
        <is>
          <t>Δ</t>
        </is>
      </c>
      <c r="W8" s="29" t="inlineStr">
        <is>
          <t>% Δ</t>
        </is>
      </c>
      <c r="X8" s="29" t="inlineStr">
        <is>
          <t>1-23Aug25</t>
        </is>
      </c>
      <c r="Y8" s="29" t="inlineStr">
        <is>
          <t>1-23Aug26</t>
        </is>
      </c>
      <c r="Z8" s="29" t="inlineStr">
        <is>
          <t>Δ pp</t>
        </is>
      </c>
      <c r="AA8" s="30" t="inlineStr">
        <is>
          <t>1-23Aug25</t>
        </is>
      </c>
      <c r="AB8" s="30" t="inlineStr">
        <is>
          <t>1-23Aug26</t>
        </is>
      </c>
      <c r="AC8" s="30" t="inlineStr">
        <is>
          <t>Δ</t>
        </is>
      </c>
      <c r="AD8" s="30" t="inlineStr">
        <is>
          <t>% Δ</t>
        </is>
      </c>
      <c r="AE8" s="30" t="inlineStr">
        <is>
          <t>1-23Aug25</t>
        </is>
      </c>
      <c r="AF8" s="30" t="inlineStr">
        <is>
          <t>1-23Aug26</t>
        </is>
      </c>
      <c r="AG8" s="30" t="inlineStr">
        <is>
          <t>Δ pp</t>
        </is>
      </c>
      <c r="AH8" s="31" t="inlineStr">
        <is>
          <t>1-23Aug25</t>
        </is>
      </c>
      <c r="AI8" s="31" t="inlineStr">
        <is>
          <t>1-23Aug26</t>
        </is>
      </c>
      <c r="AJ8" s="31" t="inlineStr">
        <is>
          <t>Δ</t>
        </is>
      </c>
      <c r="AK8" s="31" t="inlineStr">
        <is>
          <t>% Δ</t>
        </is>
      </c>
      <c r="AL8" s="31" t="inlineStr">
        <is>
          <t>1-23Aug25</t>
        </is>
      </c>
      <c r="AM8" s="31" t="inlineStr">
        <is>
          <t>1-23Aug26</t>
        </is>
      </c>
      <c r="AN8" s="31" t="inlineStr">
        <is>
          <t>Δ pp</t>
        </is>
      </c>
      <c r="AO8" s="28" t="inlineStr">
        <is>
          <t>1-23Aug25</t>
        </is>
      </c>
      <c r="AP8" s="28" t="inlineStr">
        <is>
          <t>1-23Aug26</t>
        </is>
      </c>
      <c r="AQ8" s="28" t="inlineStr">
        <is>
          <t>Δ</t>
        </is>
      </c>
      <c r="AR8" s="28" t="inlineStr">
        <is>
          <t>% Δ</t>
        </is>
      </c>
      <c r="AS8" s="28" t="inlineStr">
        <is>
          <t>1-23Aug25</t>
        </is>
      </c>
      <c r="AT8" s="28" t="inlineStr">
        <is>
          <t>1-23Aug26</t>
        </is>
      </c>
      <c r="AU8" s="28" t="inlineStr">
        <is>
          <t>Δ pp</t>
        </is>
      </c>
      <c r="AV8" s="30" t="inlineStr">
        <is>
          <t>1-23Aug25</t>
        </is>
      </c>
      <c r="AW8" s="30" t="inlineStr">
        <is>
          <t>1-23Aug26</t>
        </is>
      </c>
      <c r="AX8" s="30" t="inlineStr">
        <is>
          <t>Δ pp</t>
        </is>
      </c>
      <c r="AY8" s="31" t="inlineStr">
        <is>
          <t>1-23Aug25</t>
        </is>
      </c>
      <c r="AZ8" s="31" t="inlineStr">
        <is>
          <t>1-23Aug26</t>
        </is>
      </c>
      <c r="BA8" s="31" t="inlineStr">
        <is>
          <t>Δ pp</t>
        </is>
      </c>
      <c r="BB8" s="17" t="n"/>
    </row>
    <row r="9">
      <c r="A9" s="40" t="inlineStr">
        <is>
          <t>United Kingdom</t>
        </is>
      </c>
      <c r="B9" s="41">
        <f>IF(IF($B$6="Total",SUMIFS(Countries!$E$5:$E$434,Countries!$A$5:$A$434,$B$4,Countries!$B$5:$B$434,$B$5,Countries!$D$5:$D$434,$A9),SUMIFS(Countries!$E$5:$E$434,Countries!$A$5:$A$434,$B$4,Countries!$B$5:$B$434,$B$5,Countries!$C$5:$C$434,$B$6,Countries!$D$5:$D$434,$A9))=0,"",IF($B$6="Total",SUMIFS(Countries!$E$5:$E$434,Countries!$A$5:$A$434,$B$4,Countries!$B$5:$B$434,$B$5,Countries!$D$5:$D$434,$A9),SUMIFS(Countries!$E$5:$E$434,Countries!$A$5:$A$434,$B$4,Countries!$B$5:$B$434,$B$5,Countries!$C$5:$C$434,$B$6,Countries!$D$5:$D$434,$A9)))</f>
        <v/>
      </c>
      <c r="C9" s="41">
        <f>IF(IF($B$6="Total",SUMIFS(Countries!$F$5:$F$434,Countries!$A$5:$A$434,$B$4,Countries!$B$5:$B$434,$B$5,Countries!$D$5:$D$434,$A9),SUMIFS(Countries!$F$5:$F$434,Countries!$A$5:$A$434,$B$4,Countries!$B$5:$B$434,$B$5,Countries!$C$5:$C$434,$B$6,Countries!$D$5:$D$434,$A9))=0,"",IF($B$6="Total",SUMIFS(Countries!$F$5:$F$434,Countries!$A$5:$A$434,$B$4,Countries!$B$5:$B$434,$B$5,Countries!$D$5:$D$434,$A9),SUMIFS(Countries!$F$5:$F$434,Countries!$A$5:$A$434,$B$4,Countries!$B$5:$B$434,$B$5,Countries!$C$5:$C$434,$B$6,Countries!$D$5:$D$434,$A9)))</f>
        <v/>
      </c>
      <c r="D9" s="69">
        <f>IF(OR(C9="",B9="",B9=0,C9=0),"",C9-B9)</f>
        <v/>
      </c>
      <c r="E9" s="42">
        <f>IF(OR(C9="",B9="",B9=0,C9=0),"",C9/B9-1)</f>
        <v/>
      </c>
      <c r="F9" s="41">
        <f>IF(IF($B$6="Total",SUMIFS(Countries!$I$5:$I$434,Countries!$A$5:$A$434,$B$4,Countries!$B$5:$B$434,$B$5,Countries!$D$5:$D$434,$A9),SUMIFS(Countries!$I$5:$I$434,Countries!$A$5:$A$434,$B$4,Countries!$B$5:$B$434,$B$5,Countries!$C$5:$C$434,$B$6,Countries!$D$5:$D$434,$A9))=0,"",IF($B$6="Total",SUMIFS(Countries!$I$5:$I$434,Countries!$A$5:$A$434,$B$4,Countries!$B$5:$B$434,$B$5,Countries!$D$5:$D$434,$A9),SUMIFS(Countries!$I$5:$I$434,Countries!$A$5:$A$434,$B$4,Countries!$B$5:$B$434,$B$5,Countries!$C$5:$C$434,$B$6,Countries!$D$5:$D$434,$A9)))</f>
        <v/>
      </c>
      <c r="G9" s="41">
        <f>IF(IF($B$6="Total",SUMIFS(Countries!$J$5:$J$434,Countries!$A$5:$A$434,$B$4,Countries!$B$5:$B$434,$B$5,Countries!$D$5:$D$434,$A9),SUMIFS(Countries!$J$5:$J$434,Countries!$A$5:$A$434,$B$4,Countries!$B$5:$B$434,$B$5,Countries!$C$5:$C$434,$B$6,Countries!$D$5:$D$434,$A9))=0,"",IF($B$6="Total",SUMIFS(Countries!$J$5:$J$434,Countries!$A$5:$A$434,$B$4,Countries!$B$5:$B$434,$B$5,Countries!$D$5:$D$434,$A9),SUMIFS(Countries!$J$5:$J$434,Countries!$A$5:$A$434,$B$4,Countries!$B$5:$B$434,$B$5,Countries!$C$5:$C$434,$B$6,Countries!$D$5:$D$434,$A9)))</f>
        <v/>
      </c>
      <c r="H9" s="69">
        <f>IF(OR(G9="",F9="",F9=0,G9=0),"",G9-F9)</f>
        <v/>
      </c>
      <c r="I9" s="42">
        <f>IF(OR(G9="",F9="",F9=0,G9=0),"",G9/F9-1)</f>
        <v/>
      </c>
      <c r="J9" s="43">
        <f>IF(IF($B$6="Total",SUMIFS(Countries!$E$5:$E$434,Countries!$A$5:$A$434,$B$4,Countries!$B$5:$B$434,$B$5,Countries!$D$5:$D$434,$A9,Countries!$I$5:$I$434,"&gt;0"),SUMIFS(Countries!$E$5:$E$434,Countries!$A$5:$A$434,$B$4,Countries!$B$5:$B$434,$B$5,Countries!$C$5:$C$434,$B$6,Countries!$D$5:$D$434,$A9,Countries!$I$5:$I$434,"&gt;0"))=0,"",IF($B$6="Total",SUMIFS(Countries!$I$5:$I$434,Countries!$A$5:$A$434,$B$4,Countries!$B$5:$B$434,$B$5,Countries!$D$5:$D$434,$A9,Countries!$E$5:$E$434,"&gt;0"),SUMIFS(Countries!$I$5:$I$434,Countries!$A$5:$A$434,$B$4,Countries!$B$5:$B$434,$B$5,Countries!$C$5:$C$434,$B$6,Countries!$D$5:$D$434,$A9,Countries!$E$5:$E$434,"&gt;0"))/IF($B$6="Total",SUMIFS(Countries!$E$5:$E$434,Countries!$A$5:$A$434,$B$4,Countries!$B$5:$B$434,$B$5,Countries!$D$5:$D$434,$A9,Countries!$I$5:$I$434,"&gt;0"),SUMIFS(Countries!$E$5:$E$434,Countries!$A$5:$A$434,$B$4,Countries!$B$5:$B$434,$B$5,Countries!$C$5:$C$434,$B$6,Countries!$D$5:$D$434,$A9,Countries!$I$5:$I$434,"&gt;0")))</f>
        <v/>
      </c>
      <c r="K9" s="43">
        <f>IF(IF($B$6="Total",SUMIFS(Countries!$F$5:$F$434,Countries!$A$5:$A$434,$B$4,Countries!$B$5:$B$434,$B$5,Countries!$D$5:$D$434,$A9,Countries!$J$5:$J$434,"&gt;0"),SUMIFS(Countries!$F$5:$F$434,Countries!$A$5:$A$434,$B$4,Countries!$B$5:$B$434,$B$5,Countries!$C$5:$C$434,$B$6,Countries!$D$5:$D$434,$A9,Countries!$J$5:$J$434,"&gt;0"))=0,"",IF($B$6="Total",SUMIFS(Countries!$J$5:$J$434,Countries!$A$5:$A$434,$B$4,Countries!$B$5:$B$434,$B$5,Countries!$D$5:$D$434,$A9,Countries!$F$5:$F$434,"&gt;0"),SUMIFS(Countries!$J$5:$J$434,Countries!$A$5:$A$434,$B$4,Countries!$B$5:$B$434,$B$5,Countries!$C$5:$C$434,$B$6,Countries!$D$5:$D$434,$A9,Countries!$F$5:$F$434,"&gt;0"))/IF($B$6="Total",SUMIFS(Countries!$F$5:$F$434,Countries!$A$5:$A$434,$B$4,Countries!$B$5:$B$434,$B$5,Countries!$D$5:$D$434,$A9,Countries!$J$5:$J$434,"&gt;0"),SUMIFS(Countries!$F$5:$F$434,Countries!$A$5:$A$434,$B$4,Countries!$B$5:$B$434,$B$5,Countries!$C$5:$C$434,$B$6,Countries!$D$5:$D$434,$A9,Countries!$J$5:$J$434,"&gt;0")))</f>
        <v/>
      </c>
      <c r="L9" s="44">
        <f>IF(OR(K9="",J9=""),"",(K9-J9)*100)</f>
        <v/>
      </c>
      <c r="M9" s="41">
        <f>IF(IF($B$6="Total",SUMIFS(Countries!$P$5:$P$434,Countries!$A$5:$A$434,$B$4,Countries!$B$5:$B$434,$B$5,Countries!$D$5:$D$434,$A9),SUMIFS(Countries!$P$5:$P$434,Countries!$A$5:$A$434,$B$4,Countries!$B$5:$B$434,$B$5,Countries!$C$5:$C$434,$B$6,Countries!$D$5:$D$434,$A9))=0,"",IF($B$6="Total",SUMIFS(Countries!$P$5:$P$434,Countries!$A$5:$A$434,$B$4,Countries!$B$5:$B$434,$B$5,Countries!$D$5:$D$434,$A9),SUMIFS(Countries!$P$5:$P$434,Countries!$A$5:$A$434,$B$4,Countries!$B$5:$B$434,$B$5,Countries!$C$5:$C$434,$B$6,Countries!$D$5:$D$434,$A9)))</f>
        <v/>
      </c>
      <c r="N9" s="41">
        <f>IF(IF($B$6="Total",SUMIFS(Countries!$Q$5:$Q$434,Countries!$A$5:$A$434,$B$4,Countries!$B$5:$B$434,$B$5,Countries!$D$5:$D$434,$A9),SUMIFS(Countries!$Q$5:$Q$434,Countries!$A$5:$A$434,$B$4,Countries!$B$5:$B$434,$B$5,Countries!$C$5:$C$434,$B$6,Countries!$D$5:$D$434,$A9))=0,"",IF($B$6="Total",SUMIFS(Countries!$Q$5:$Q$434,Countries!$A$5:$A$434,$B$4,Countries!$B$5:$B$434,$B$5,Countries!$D$5:$D$434,$A9),SUMIFS(Countries!$Q$5:$Q$434,Countries!$A$5:$A$434,$B$4,Countries!$B$5:$B$434,$B$5,Countries!$C$5:$C$434,$B$6,Countries!$D$5:$D$434,$A9)))</f>
        <v/>
      </c>
      <c r="O9" s="69">
        <f>IF(OR(N9="",M9="",M9=0,N9=0),"",N9-M9)</f>
        <v/>
      </c>
      <c r="P9" s="42">
        <f>IF(OR(N9="",M9="",M9=0,N9=0),"",N9/M9-1)</f>
        <v/>
      </c>
      <c r="Q9" s="43">
        <f>IF(IF($B$6="Total",SUMIFS(Countries!$E$5:$E$434,Countries!$A$5:$A$434,$B$4,Countries!$B$5:$B$434,$B$5,Countries!$D$5:$D$434,$A9,Countries!$P$5:$P$434,"&gt;0"),SUMIFS(Countries!$E$5:$E$434,Countries!$A$5:$A$434,$B$4,Countries!$B$5:$B$434,$B$5,Countries!$C$5:$C$434,$B$6,Countries!$D$5:$D$434,$A9,Countries!$P$5:$P$434,"&gt;0"))=0,"",IF($B$6="Total",SUMIFS(Countries!$P$5:$P$434,Countries!$A$5:$A$434,$B$4,Countries!$B$5:$B$434,$B$5,Countries!$D$5:$D$434,$A9,Countries!$E$5:$E$434,"&gt;0"),SUMIFS(Countries!$P$5:$P$434,Countries!$A$5:$A$434,$B$4,Countries!$B$5:$B$434,$B$5,Countries!$C$5:$C$434,$B$6,Countries!$D$5:$D$434,$A9,Countries!$E$5:$E$434,"&gt;0"))/IF($B$6="Total",SUMIFS(Countries!$E$5:$E$434,Countries!$A$5:$A$434,$B$4,Countries!$B$5:$B$434,$B$5,Countries!$D$5:$D$434,$A9,Countries!$P$5:$P$434,"&gt;0"),SUMIFS(Countries!$E$5:$E$434,Countries!$A$5:$A$434,$B$4,Countries!$B$5:$B$434,$B$5,Countries!$C$5:$C$434,$B$6,Countries!$D$5:$D$434,$A9,Countries!$P$5:$P$434,"&gt;0")))</f>
        <v/>
      </c>
      <c r="R9" s="43">
        <f>IF(IF($B$6="Total",SUMIFS(Countries!$F$5:$F$434,Countries!$A$5:$A$434,$B$4,Countries!$B$5:$B$434,$B$5,Countries!$D$5:$D$434,$A9,Countries!$Q$5:$Q$434,"&gt;0"),SUMIFS(Countries!$F$5:$F$434,Countries!$A$5:$A$434,$B$4,Countries!$B$5:$B$434,$B$5,Countries!$C$5:$C$434,$B$6,Countries!$D$5:$D$434,$A9,Countries!$Q$5:$Q$434,"&gt;0"))=0,"",IF($B$6="Total",SUMIFS(Countries!$Q$5:$Q$434,Countries!$A$5:$A$434,$B$4,Countries!$B$5:$B$434,$B$5,Countries!$D$5:$D$434,$A9,Countries!$F$5:$F$434,"&gt;0"),SUMIFS(Countries!$Q$5:$Q$434,Countries!$A$5:$A$434,$B$4,Countries!$B$5:$B$434,$B$5,Countries!$C$5:$C$434,$B$6,Countries!$D$5:$D$434,$A9,Countries!$F$5:$F$434,"&gt;0"))/IF($B$6="Total",SUMIFS(Countries!$F$5:$F$434,Countries!$A$5:$A$434,$B$4,Countries!$B$5:$B$434,$B$5,Countries!$D$5:$D$434,$A9,Countries!$Q$5:$Q$434,"&gt;0"),SUMIFS(Countries!$F$5:$F$434,Countries!$A$5:$A$434,$B$4,Countries!$B$5:$B$434,$B$5,Countries!$C$5:$C$434,$B$6,Countries!$D$5:$D$434,$A9,Countries!$Q$5:$Q$434,"&gt;0")))</f>
        <v/>
      </c>
      <c r="S9" s="44">
        <f>IF(OR(R9="",Q9=""),"",(R9-Q9)*100)</f>
        <v/>
      </c>
      <c r="T9" s="41">
        <f>IF(IF($B$6="Total",SUMIFS(Countries!$W$5:$W$434,Countries!$A$5:$A$434,$B$4,Countries!$B$5:$B$434,$B$5,Countries!$D$5:$D$434,$A9),SUMIFS(Countries!$W$5:$W$434,Countries!$A$5:$A$434,$B$4,Countries!$B$5:$B$434,$B$5,Countries!$C$5:$C$434,$B$6,Countries!$D$5:$D$434,$A9))=0,"",IF($B$6="Total",SUMIFS(Countries!$W$5:$W$434,Countries!$A$5:$A$434,$B$4,Countries!$B$5:$B$434,$B$5,Countries!$D$5:$D$434,$A9),SUMIFS(Countries!$W$5:$W$434,Countries!$A$5:$A$434,$B$4,Countries!$B$5:$B$434,$B$5,Countries!$C$5:$C$434,$B$6,Countries!$D$5:$D$434,$A9)))</f>
        <v/>
      </c>
      <c r="U9" s="41">
        <f>IF(IF($B$6="Total",SUMIFS(Countries!$X$5:$X$434,Countries!$A$5:$A$434,$B$4,Countries!$B$5:$B$434,$B$5,Countries!$D$5:$D$434,$A9),SUMIFS(Countries!$X$5:$X$434,Countries!$A$5:$A$434,$B$4,Countries!$B$5:$B$434,$B$5,Countries!$C$5:$C$434,$B$6,Countries!$D$5:$D$434,$A9))=0,"",IF($B$6="Total",SUMIFS(Countries!$X$5:$X$434,Countries!$A$5:$A$434,$B$4,Countries!$B$5:$B$434,$B$5,Countries!$D$5:$D$434,$A9),SUMIFS(Countries!$X$5:$X$434,Countries!$A$5:$A$434,$B$4,Countries!$B$5:$B$434,$B$5,Countries!$C$5:$C$434,$B$6,Countries!$D$5:$D$434,$A9)))</f>
        <v/>
      </c>
      <c r="V9" s="69">
        <f>IF(OR(U9="",T9="",T9=0,U9=0),"",U9-T9)</f>
        <v/>
      </c>
      <c r="W9" s="42">
        <f>IF(OR(U9="",T9="",T9=0,U9=0),"",U9/T9-1)</f>
        <v/>
      </c>
      <c r="X9" s="43">
        <f>IF(IF($B$6="Total",SUMIFS(Countries!$P$5:$P$434,Countries!$A$5:$A$434,$B$4,Countries!$B$5:$B$434,$B$5,Countries!$D$5:$D$434,$A9,Countries!$W$5:$W$434,"&gt;0"),SUMIFS(Countries!$P$5:$P$434,Countries!$A$5:$A$434,$B$4,Countries!$B$5:$B$434,$B$5,Countries!$C$5:$C$434,$B$6,Countries!$D$5:$D$434,$A9,Countries!$W$5:$W$434,"&gt;0"))=0,"",IF($B$6="Total",SUMIFS(Countries!$W$5:$W$434,Countries!$A$5:$A$434,$B$4,Countries!$B$5:$B$434,$B$5,Countries!$D$5:$D$434,$A9,Countries!$P$5:$P$434,"&gt;0"),SUMIFS(Countries!$W$5:$W$434,Countries!$A$5:$A$434,$B$4,Countries!$B$5:$B$434,$B$5,Countries!$C$5:$C$434,$B$6,Countries!$D$5:$D$434,$A9,Countries!$P$5:$P$434,"&gt;0"))/IF($B$6="Total",SUMIFS(Countries!$P$5:$P$434,Countries!$A$5:$A$434,$B$4,Countries!$B$5:$B$434,$B$5,Countries!$D$5:$D$434,$A9,Countries!$W$5:$W$434,"&gt;0"),SUMIFS(Countries!$P$5:$P$434,Countries!$A$5:$A$434,$B$4,Countries!$B$5:$B$434,$B$5,Countries!$C$5:$C$434,$B$6,Countries!$D$5:$D$434,$A9,Countries!$W$5:$W$434,"&gt;0")))</f>
        <v/>
      </c>
      <c r="Y9" s="43">
        <f>IF(IF($B$6="Total",SUMIFS(Countries!$Q$5:$Q$434,Countries!$A$5:$A$434,$B$4,Countries!$B$5:$B$434,$B$5,Countries!$D$5:$D$434,$A9,Countries!$X$5:$X$434,"&gt;0"),SUMIFS(Countries!$Q$5:$Q$434,Countries!$A$5:$A$434,$B$4,Countries!$B$5:$B$434,$B$5,Countries!$C$5:$C$434,$B$6,Countries!$D$5:$D$434,$A9,Countries!$X$5:$X$434,"&gt;0"))=0,"",IF($B$6="Total",SUMIFS(Countries!$X$5:$X$434,Countries!$A$5:$A$434,$B$4,Countries!$B$5:$B$434,$B$5,Countries!$D$5:$D$434,$A9,Countries!$Q$5:$Q$434,"&gt;0"),SUMIFS(Countries!$X$5:$X$434,Countries!$A$5:$A$434,$B$4,Countries!$B$5:$B$434,$B$5,Countries!$C$5:$C$434,$B$6,Countries!$D$5:$D$434,$A9,Countries!$Q$5:$Q$434,"&gt;0"))/IF($B$6="Total",SUMIFS(Countries!$Q$5:$Q$434,Countries!$A$5:$A$434,$B$4,Countries!$B$5:$B$434,$B$5,Countries!$D$5:$D$434,$A9,Countries!$X$5:$X$434,"&gt;0"),SUMIFS(Countries!$Q$5:$Q$434,Countries!$A$5:$A$434,$B$4,Countries!$B$5:$B$434,$B$5,Countries!$C$5:$C$434,$B$6,Countries!$D$5:$D$434,$A9,Countries!$X$5:$X$434,"&gt;0")))</f>
        <v/>
      </c>
      <c r="Z9" s="44">
        <f>IF(OR(Y9="",X9=""),"",(Y9-X9)*100)</f>
        <v/>
      </c>
      <c r="AA9" s="41">
        <f>IF(IF($B$6="Total",SUMIFS(Countries!$AD$5:$AD$434,Countries!$A$5:$A$434,$B$4,Countries!$B$5:$B$434,$B$5,Countries!$D$5:$D$434,$A9),SUMIFS(Countries!$AD$5:$AD$434,Countries!$A$5:$A$434,$B$4,Countries!$B$5:$B$434,$B$5,Countries!$C$5:$C$434,$B$6,Countries!$D$5:$D$434,$A9))=0,"",IF($B$6="Total",SUMIFS(Countries!$AD$5:$AD$434,Countries!$A$5:$A$434,$B$4,Countries!$B$5:$B$434,$B$5,Countries!$D$5:$D$434,$A9),SUMIFS(Countries!$AD$5:$AD$434,Countries!$A$5:$A$434,$B$4,Countries!$B$5:$B$434,$B$5,Countries!$C$5:$C$434,$B$6,Countries!$D$5:$D$434,$A9)))</f>
        <v/>
      </c>
      <c r="AB9" s="41">
        <f>IF(IF($B$6="Total",SUMIFS(Countries!$AE$5:$AE$434,Countries!$A$5:$A$434,$B$4,Countries!$B$5:$B$434,$B$5,Countries!$D$5:$D$434,$A9),SUMIFS(Countries!$AE$5:$AE$434,Countries!$A$5:$A$434,$B$4,Countries!$B$5:$B$434,$B$5,Countries!$C$5:$C$434,$B$6,Countries!$D$5:$D$434,$A9))=0,"",IF($B$6="Total",SUMIFS(Countries!$AE$5:$AE$434,Countries!$A$5:$A$434,$B$4,Countries!$B$5:$B$434,$B$5,Countries!$D$5:$D$434,$A9),SUMIFS(Countries!$AE$5:$AE$434,Countries!$A$5:$A$434,$B$4,Countries!$B$5:$B$434,$B$5,Countries!$C$5:$C$434,$B$6,Countries!$D$5:$D$434,$A9)))</f>
        <v/>
      </c>
      <c r="AC9" s="69">
        <f>IF(OR(AB9="",AA9="",AA9=0,AB9=0),"",AB9-AA9)</f>
        <v/>
      </c>
      <c r="AD9" s="42">
        <f>IF(OR(AB9="",AA9="",AA9=0,AB9=0),"",AB9/AA9-1)</f>
        <v/>
      </c>
      <c r="AE9" s="43">
        <f>IF(IF($B$6="Total",SUMIFS(Countries!$W$5:$W$434,Countries!$A$5:$A$434,$B$4,Countries!$B$5:$B$434,$B$5,Countries!$D$5:$D$434,$A9,Countries!$AD$5:$AD$434,"&gt;0"),SUMIFS(Countries!$W$5:$W$434,Countries!$A$5:$A$434,$B$4,Countries!$B$5:$B$434,$B$5,Countries!$C$5:$C$434,$B$6,Countries!$D$5:$D$434,$A9,Countries!$AD$5:$AD$434,"&gt;0"))=0,"",IF($B$6="Total",SUMIFS(Countries!$AD$5:$AD$434,Countries!$A$5:$A$434,$B$4,Countries!$B$5:$B$434,$B$5,Countries!$D$5:$D$434,$A9,Countries!$W$5:$W$434,"&gt;0"),SUMIFS(Countries!$AD$5:$AD$434,Countries!$A$5:$A$434,$B$4,Countries!$B$5:$B$434,$B$5,Countries!$C$5:$C$434,$B$6,Countries!$D$5:$D$434,$A9,Countries!$W$5:$W$434,"&gt;0"))/IF($B$6="Total",SUMIFS(Countries!$W$5:$W$434,Countries!$A$5:$A$434,$B$4,Countries!$B$5:$B$434,$B$5,Countries!$D$5:$D$434,$A9,Countries!$AD$5:$AD$434,"&gt;0"),SUMIFS(Countries!$W$5:$W$434,Countries!$A$5:$A$434,$B$4,Countries!$B$5:$B$434,$B$5,Countries!$C$5:$C$434,$B$6,Countries!$D$5:$D$434,$A9,Countries!$AD$5:$AD$434,"&gt;0")))</f>
        <v/>
      </c>
      <c r="AF9" s="43">
        <f>IF(IF($B$6="Total",SUMIFS(Countries!$X$5:$X$434,Countries!$A$5:$A$434,$B$4,Countries!$B$5:$B$434,$B$5,Countries!$D$5:$D$434,$A9,Countries!$AE$5:$AE$434,"&gt;0"),SUMIFS(Countries!$X$5:$X$434,Countries!$A$5:$A$434,$B$4,Countries!$B$5:$B$434,$B$5,Countries!$C$5:$C$434,$B$6,Countries!$D$5:$D$434,$A9,Countries!$AE$5:$AE$434,"&gt;0"))=0,"",IF($B$6="Total",SUMIFS(Countries!$AE$5:$AE$434,Countries!$A$5:$A$434,$B$4,Countries!$B$5:$B$434,$B$5,Countries!$D$5:$D$434,$A9,Countries!$X$5:$X$434,"&gt;0"),SUMIFS(Countries!$AE$5:$AE$434,Countries!$A$5:$A$434,$B$4,Countries!$B$5:$B$434,$B$5,Countries!$C$5:$C$434,$B$6,Countries!$D$5:$D$434,$A9,Countries!$X$5:$X$434,"&gt;0"))/IF($B$6="Total",SUMIFS(Countries!$X$5:$X$434,Countries!$A$5:$A$434,$B$4,Countries!$B$5:$B$434,$B$5,Countries!$D$5:$D$434,$A9,Countries!$AE$5:$AE$434,"&gt;0"),SUMIFS(Countries!$X$5:$X$434,Countries!$A$5:$A$434,$B$4,Countries!$B$5:$B$434,$B$5,Countries!$C$5:$C$434,$B$6,Countries!$D$5:$D$434,$A9,Countries!$AE$5:$AE$434,"&gt;0")))</f>
        <v/>
      </c>
      <c r="AG9" s="44">
        <f>IF(OR(AF9="",AE9=""),"",(AF9-AE9)*100)</f>
        <v/>
      </c>
      <c r="AH9" s="41">
        <f>IF(IF($B$6="Total",SUMIFS(Countries!$AK$5:$AK$434,Countries!$A$5:$A$434,$B$4,Countries!$B$5:$B$434,$B$5,Countries!$D$5:$D$434,$A9),SUMIFS(Countries!$AK$5:$AK$434,Countries!$A$5:$A$434,$B$4,Countries!$B$5:$B$434,$B$5,Countries!$C$5:$C$434,$B$6,Countries!$D$5:$D$434,$A9))=0,"",IF($B$6="Total",SUMIFS(Countries!$AK$5:$AK$434,Countries!$A$5:$A$434,$B$4,Countries!$B$5:$B$434,$B$5,Countries!$D$5:$D$434,$A9),SUMIFS(Countries!$AK$5:$AK$434,Countries!$A$5:$A$434,$B$4,Countries!$B$5:$B$434,$B$5,Countries!$C$5:$C$434,$B$6,Countries!$D$5:$D$434,$A9)))</f>
        <v/>
      </c>
      <c r="AI9" s="41">
        <f>IF(IF($B$6="Total",SUMIFS(Countries!$AL$5:$AL$434,Countries!$A$5:$A$434,$B$4,Countries!$B$5:$B$434,$B$5,Countries!$D$5:$D$434,$A9),SUMIFS(Countries!$AL$5:$AL$434,Countries!$A$5:$A$434,$B$4,Countries!$B$5:$B$434,$B$5,Countries!$C$5:$C$434,$B$6,Countries!$D$5:$D$434,$A9))=0,"",IF($B$6="Total",SUMIFS(Countries!$AL$5:$AL$434,Countries!$A$5:$A$434,$B$4,Countries!$B$5:$B$434,$B$5,Countries!$D$5:$D$434,$A9),SUMIFS(Countries!$AL$5:$AL$434,Countries!$A$5:$A$434,$B$4,Countries!$B$5:$B$434,$B$5,Countries!$C$5:$C$434,$B$6,Countries!$D$5:$D$434,$A9)))</f>
        <v/>
      </c>
      <c r="AJ9" s="69">
        <f>IF(OR(AI9="",AH9="",AH9=0,AI9=0),"",AI9-AH9)</f>
        <v/>
      </c>
      <c r="AK9" s="42">
        <f>IF(OR(AI9="",AH9="",AH9=0,AI9=0),"",AI9/AH9-1)</f>
        <v/>
      </c>
      <c r="AL9" s="43">
        <f>IF(IF($B$6="Total",SUMIFS(Countries!$AD$5:$AD$434,Countries!$A$5:$A$434,$B$4,Countries!$B$5:$B$434,$B$5,Countries!$D$5:$D$434,$A9,Countries!$AK$5:$AK$434,"&gt;0"),SUMIFS(Countries!$AD$5:$AD$434,Countries!$A$5:$A$434,$B$4,Countries!$B$5:$B$434,$B$5,Countries!$C$5:$C$434,$B$6,Countries!$D$5:$D$434,$A9,Countries!$AK$5:$AK$434,"&gt;0"))=0,"",IF($B$6="Total",SUMIFS(Countries!$AK$5:$AK$434,Countries!$A$5:$A$434,$B$4,Countries!$B$5:$B$434,$B$5,Countries!$D$5:$D$434,$A9,Countries!$AD$5:$AD$434,"&gt;0"),SUMIFS(Countries!$AK$5:$AK$434,Countries!$A$5:$A$434,$B$4,Countries!$B$5:$B$434,$B$5,Countries!$C$5:$C$434,$B$6,Countries!$D$5:$D$434,$A9,Countries!$AD$5:$AD$434,"&gt;0"))/IF($B$6="Total",SUMIFS(Countries!$AD$5:$AD$434,Countries!$A$5:$A$434,$B$4,Countries!$B$5:$B$434,$B$5,Countries!$D$5:$D$434,$A9,Countries!$AK$5:$AK$434,"&gt;0"),SUMIFS(Countries!$AD$5:$AD$434,Countries!$A$5:$A$434,$B$4,Countries!$B$5:$B$434,$B$5,Countries!$C$5:$C$434,$B$6,Countries!$D$5:$D$434,$A9,Countries!$AK$5:$AK$434,"&gt;0")))</f>
        <v/>
      </c>
      <c r="AM9" s="43">
        <f>IF(IF($B$6="Total",SUMIFS(Countries!$AE$5:$AE$434,Countries!$A$5:$A$434,$B$4,Countries!$B$5:$B$434,$B$5,Countries!$D$5:$D$434,$A9,Countries!$AL$5:$AL$434,"&gt;0"),SUMIFS(Countries!$AE$5:$AE$434,Countries!$A$5:$A$434,$B$4,Countries!$B$5:$B$434,$B$5,Countries!$C$5:$C$434,$B$6,Countries!$D$5:$D$434,$A9,Countries!$AL$5:$AL$434,"&gt;0"))=0,"",IF($B$6="Total",SUMIFS(Countries!$AL$5:$AL$434,Countries!$A$5:$A$434,$B$4,Countries!$B$5:$B$434,$B$5,Countries!$D$5:$D$434,$A9,Countries!$AE$5:$AE$434,"&gt;0"),SUMIFS(Countries!$AL$5:$AL$434,Countries!$A$5:$A$434,$B$4,Countries!$B$5:$B$434,$B$5,Countries!$C$5:$C$434,$B$6,Countries!$D$5:$D$434,$A9,Countries!$AE$5:$AE$434,"&gt;0"))/IF($B$6="Total",SUMIFS(Countries!$AE$5:$AE$434,Countries!$A$5:$A$434,$B$4,Countries!$B$5:$B$434,$B$5,Countries!$D$5:$D$434,$A9,Countries!$AL$5:$AL$434,"&gt;0"),SUMIFS(Countries!$AE$5:$AE$434,Countries!$A$5:$A$434,$B$4,Countries!$B$5:$B$434,$B$5,Countries!$C$5:$C$434,$B$6,Countries!$D$5:$D$434,$A9,Countries!$AL$5:$AL$434,"&gt;0")))</f>
        <v/>
      </c>
      <c r="AN9" s="44">
        <f>IF(OR(AM9="",AL9=""),"",(AM9-AL9)*100)</f>
        <v/>
      </c>
      <c r="AO9" s="41">
        <f>IF(IF($B$6="Total",SUMIFS(Countries!$AR$5:$AR$434,Countries!$A$5:$A$434,$B$4,Countries!$B$5:$B$434,$B$5,Countries!$D$5:$D$434,$A9),SUMIFS(Countries!$AR$5:$AR$434,Countries!$A$5:$A$434,$B$4,Countries!$B$5:$B$434,$B$5,Countries!$C$5:$C$434,$B$6,Countries!$D$5:$D$434,$A9))=0,"",IF($B$6="Total",SUMIFS(Countries!$AR$5:$AR$434,Countries!$A$5:$A$434,$B$4,Countries!$B$5:$B$434,$B$5,Countries!$D$5:$D$434,$A9),SUMIFS(Countries!$AR$5:$AR$434,Countries!$A$5:$A$434,$B$4,Countries!$B$5:$B$434,$B$5,Countries!$C$5:$C$434,$B$6,Countries!$D$5:$D$434,$A9)))</f>
        <v/>
      </c>
      <c r="AP9" s="41">
        <f>IF(IF($B$6="Total",SUMIFS(Countries!$AS$5:$AS$434,Countries!$A$5:$A$434,$B$4,Countries!$B$5:$B$434,$B$5,Countries!$D$5:$D$434,$A9),SUMIFS(Countries!$AS$5:$AS$434,Countries!$A$5:$A$434,$B$4,Countries!$B$5:$B$434,$B$5,Countries!$C$5:$C$434,$B$6,Countries!$D$5:$D$434,$A9))=0,"",IF($B$6="Total",SUMIFS(Countries!$AS$5:$AS$434,Countries!$A$5:$A$434,$B$4,Countries!$B$5:$B$434,$B$5,Countries!$D$5:$D$434,$A9),SUMIFS(Countries!$AS$5:$AS$434,Countries!$A$5:$A$434,$B$4,Countries!$B$5:$B$434,$B$5,Countries!$C$5:$C$434,$B$6,Countries!$D$5:$D$434,$A9)))</f>
        <v/>
      </c>
      <c r="AQ9" s="69">
        <f>IF(OR(AP9="",AO9="",AO9=0,AP9=0),"",AP9-AO9)</f>
        <v/>
      </c>
      <c r="AR9" s="42">
        <f>IF(OR(AP9="",AO9="",AO9=0,AP9=0),"",AP9/AO9-1)</f>
        <v/>
      </c>
      <c r="AS9" s="43">
        <f>IF(IF($B$6="Total",SUMIFS(Countries!$AK$5:$AK$434,Countries!$A$5:$A$434,$B$4,Countries!$B$5:$B$434,$B$5,Countries!$D$5:$D$434,$A9,Countries!$AR$5:$AR$434,"&gt;0"),SUMIFS(Countries!$AK$5:$AK$434,Countries!$A$5:$A$434,$B$4,Countries!$B$5:$B$434,$B$5,Countries!$C$5:$C$434,$B$6,Countries!$D$5:$D$434,$A9,Countries!$AR$5:$AR$434,"&gt;0"))=0,"",IF($B$6="Total",SUMIFS(Countries!$AR$5:$AR$434,Countries!$A$5:$A$434,$B$4,Countries!$B$5:$B$434,$B$5,Countries!$D$5:$D$434,$A9,Countries!$AK$5:$AK$434,"&gt;0"),SUMIFS(Countries!$AR$5:$AR$434,Countries!$A$5:$A$434,$B$4,Countries!$B$5:$B$434,$B$5,Countries!$C$5:$C$434,$B$6,Countries!$D$5:$D$434,$A9,Countries!$AK$5:$AK$434,"&gt;0"))/IF($B$6="Total",SUMIFS(Countries!$AK$5:$AK$434,Countries!$A$5:$A$434,$B$4,Countries!$B$5:$B$434,$B$5,Countries!$D$5:$D$434,$A9,Countries!$AR$5:$AR$434,"&gt;0"),SUMIFS(Countries!$AK$5:$AK$434,Countries!$A$5:$A$434,$B$4,Countries!$B$5:$B$434,$B$5,Countries!$C$5:$C$434,$B$6,Countries!$D$5:$D$434,$A9,Countries!$AR$5:$AR$434,"&gt;0")))</f>
        <v/>
      </c>
      <c r="AT9" s="43">
        <f>IF(IF($B$6="Total",SUMIFS(Countries!$AL$5:$AL$434,Countries!$A$5:$A$434,$B$4,Countries!$B$5:$B$434,$B$5,Countries!$D$5:$D$434,$A9,Countries!$AS$5:$AS$434,"&gt;0"),SUMIFS(Countries!$AL$5:$AL$434,Countries!$A$5:$A$434,$B$4,Countries!$B$5:$B$434,$B$5,Countries!$C$5:$C$434,$B$6,Countries!$D$5:$D$434,$A9,Countries!$AS$5:$AS$434,"&gt;0"))=0,"",IF($B$6="Total",SUMIFS(Countries!$AS$5:$AS$434,Countries!$A$5:$A$434,$B$4,Countries!$B$5:$B$434,$B$5,Countries!$D$5:$D$434,$A9,Countries!$AL$5:$AL$434,"&gt;0"),SUMIFS(Countries!$AS$5:$AS$434,Countries!$A$5:$A$434,$B$4,Countries!$B$5:$B$434,$B$5,Countries!$C$5:$C$434,$B$6,Countries!$D$5:$D$434,$A9,Countries!$AL$5:$AL$434,"&gt;0"))/IF($B$6="Total",SUMIFS(Countries!$AL$5:$AL$434,Countries!$A$5:$A$434,$B$4,Countries!$B$5:$B$434,$B$5,Countries!$D$5:$D$434,$A9,Countries!$AS$5:$AS$434,"&gt;0"),SUMIFS(Countries!$AL$5:$AL$434,Countries!$A$5:$A$434,$B$4,Countries!$B$5:$B$434,$B$5,Countries!$C$5:$C$434,$B$6,Countries!$D$5:$D$434,$A9,Countries!$AS$5:$AS$434,"&gt;0")))</f>
        <v/>
      </c>
      <c r="AU9" s="44">
        <f>IF(OR(AT9="",AS9=""),"",(AT9-AS9)*100)</f>
        <v/>
      </c>
      <c r="AV9" s="45">
        <f>IF(IF($B$6="Total",SUMIFS(Countries!$P$5:$P$434,Countries!$A$5:$A$434,$B$4,Countries!$B$5:$B$434,$B$5,Countries!$D$5:$D$434,$A9,Countries!$AR$5:$AR$434,"&gt;0"),SUMIFS(Countries!$P$5:$P$434,Countries!$A$5:$A$434,$B$4,Countries!$B$5:$B$434,$B$5,Countries!$C$5:$C$434,$B$6,Countries!$D$5:$D$434,$A9,Countries!$AR$5:$AR$434,"&gt;0"))=0,"",IF($B$6="Total",SUMIFS(Countries!$AR$5:$AR$434,Countries!$A$5:$A$434,$B$4,Countries!$B$5:$B$434,$B$5,Countries!$D$5:$D$434,$A9,Countries!$P$5:$P$434,"&gt;0"),SUMIFS(Countries!$AR$5:$AR$434,Countries!$A$5:$A$434,$B$4,Countries!$B$5:$B$434,$B$5,Countries!$C$5:$C$434,$B$6,Countries!$D$5:$D$434,$A9,Countries!$P$5:$P$434,"&gt;0"))/IF($B$6="Total",SUMIFS(Countries!$P$5:$P$434,Countries!$A$5:$A$434,$B$4,Countries!$B$5:$B$434,$B$5,Countries!$D$5:$D$434,$A9,Countries!$AR$5:$AR$434,"&gt;0"),SUMIFS(Countries!$P$5:$P$434,Countries!$A$5:$A$434,$B$4,Countries!$B$5:$B$434,$B$5,Countries!$C$5:$C$434,$B$6,Countries!$D$5:$D$434,$A9,Countries!$AR$5:$AR$434,"&gt;0")))</f>
        <v/>
      </c>
      <c r="AW9" s="45">
        <f>IF(IF($B$6="Total",SUMIFS(Countries!$Q$5:$Q$434,Countries!$A$5:$A$434,$B$4,Countries!$B$5:$B$434,$B$5,Countries!$D$5:$D$434,$A9,Countries!$AS$5:$AS$434,"&gt;0"),SUMIFS(Countries!$Q$5:$Q$434,Countries!$A$5:$A$434,$B$4,Countries!$B$5:$B$434,$B$5,Countries!$C$5:$C$434,$B$6,Countries!$D$5:$D$434,$A9,Countries!$AS$5:$AS$434,"&gt;0"))=0,"",IF($B$6="Total",SUMIFS(Countries!$AS$5:$AS$434,Countries!$A$5:$A$434,$B$4,Countries!$B$5:$B$434,$B$5,Countries!$D$5:$D$434,$A9,Countries!$Q$5:$Q$434,"&gt;0"),SUMIFS(Countries!$AS$5:$AS$434,Countries!$A$5:$A$434,$B$4,Countries!$B$5:$B$434,$B$5,Countries!$C$5:$C$434,$B$6,Countries!$D$5:$D$434,$A9,Countries!$Q$5:$Q$434,"&gt;0"))/IF($B$6="Total",SUMIFS(Countries!$Q$5:$Q$434,Countries!$A$5:$A$434,$B$4,Countries!$B$5:$B$434,$B$5,Countries!$D$5:$D$434,$A9,Countries!$AS$5:$AS$434,"&gt;0"),SUMIFS(Countries!$Q$5:$Q$434,Countries!$A$5:$A$434,$B$4,Countries!$B$5:$B$434,$B$5,Countries!$C$5:$C$434,$B$6,Countries!$D$5:$D$434,$A9,Countries!$AS$5:$AS$434,"&gt;0")))</f>
        <v/>
      </c>
      <c r="AX9" s="44">
        <f>IF(OR(AW9="",AV9=""),"",(AW9-AV9)*100)</f>
        <v/>
      </c>
      <c r="AY9" s="45">
        <f>IF(IF($B$6="Total",SUMIFS(Countries!$E$5:$E$434,Countries!$A$5:$A$434,$B$4,Countries!$B$5:$B$434,$B$5,Countries!$D$5:$D$434,$A9,Countries!$AR$5:$AR$434,"&gt;0"),SUMIFS(Countries!$E$5:$E$434,Countries!$A$5:$A$434,$B$4,Countries!$B$5:$B$434,$B$5,Countries!$C$5:$C$434,$B$6,Countries!$D$5:$D$434,$A9,Countries!$AR$5:$AR$434,"&gt;0"))=0,"",IF($B$6="Total",SUMIFS(Countries!$AR$5:$AR$434,Countries!$A$5:$A$434,$B$4,Countries!$B$5:$B$434,$B$5,Countries!$D$5:$D$434,$A9,Countries!$E$5:$E$434,"&gt;0"),SUMIFS(Countries!$AR$5:$AR$434,Countries!$A$5:$A$434,$B$4,Countries!$B$5:$B$434,$B$5,Countries!$C$5:$C$434,$B$6,Countries!$D$5:$D$434,$A9,Countries!$E$5:$E$434,"&gt;0"))/IF($B$6="Total",SUMIFS(Countries!$E$5:$E$434,Countries!$A$5:$A$434,$B$4,Countries!$B$5:$B$434,$B$5,Countries!$D$5:$D$434,$A9,Countries!$AR$5:$AR$434,"&gt;0"),SUMIFS(Countries!$E$5:$E$434,Countries!$A$5:$A$434,$B$4,Countries!$B$5:$B$434,$B$5,Countries!$C$5:$C$434,$B$6,Countries!$D$5:$D$434,$A9,Countries!$AR$5:$AR$434,"&gt;0")))</f>
        <v/>
      </c>
      <c r="AZ9" s="45">
        <f>IF(IF($B$6="Total",SUMIFS(Countries!$F$5:$F$434,Countries!$A$5:$A$434,$B$4,Countries!$B$5:$B$434,$B$5,Countries!$D$5:$D$434,$A9,Countries!$AS$5:$AS$434,"&gt;0"),SUMIFS(Countries!$F$5:$F$434,Countries!$A$5:$A$434,$B$4,Countries!$B$5:$B$434,$B$5,Countries!$C$5:$C$434,$B$6,Countries!$D$5:$D$434,$A9,Countries!$AS$5:$AS$434,"&gt;0"))=0,"",IF($B$6="Total",SUMIFS(Countries!$AS$5:$AS$434,Countries!$A$5:$A$434,$B$4,Countries!$B$5:$B$434,$B$5,Countries!$D$5:$D$434,$A9,Countries!$F$5:$F$434,"&gt;0"),SUMIFS(Countries!$AS$5:$AS$434,Countries!$A$5:$A$434,$B$4,Countries!$B$5:$B$434,$B$5,Countries!$C$5:$C$434,$B$6,Countries!$D$5:$D$434,$A9,Countries!$F$5:$F$434,"&gt;0"))/IF($B$6="Total",SUMIFS(Countries!$F$5:$F$434,Countries!$A$5:$A$434,$B$4,Countries!$B$5:$B$434,$B$5,Countries!$D$5:$D$434,$A9,Countries!$AS$5:$AS$434,"&gt;0"),SUMIFS(Countries!$F$5:$F$434,Countries!$A$5:$A$434,$B$4,Countries!$B$5:$B$434,$B$5,Countries!$C$5:$C$434,$B$6,Countries!$D$5:$D$434,$A9,Countries!$AS$5:$AS$434,"&gt;0")))</f>
        <v/>
      </c>
      <c r="BA9" s="44">
        <f>IF(OR(AZ9="",AY9=""),"",(AZ9-AY9)*100)</f>
        <v/>
      </c>
      <c r="BB9" s="40">
        <f>IF(AND(IF($B$6="Total",COUNTIFS(Countries!$A$5:$A$434,$B$4,Countries!$B$5:$B$434,$B$5,Countries!$D$5:$D$434,$A9,Countries!$F$5:$F$434,"&gt;0"),COUNTIFS(Countries!$A$5:$A$434,$B$4,Countries!$B$5:$B$434,$B$5,Countries!$C$5:$C$434,$B$6,Countries!$D$5:$D$434,$A9,Countries!$F$5:$F$434,"&gt;0"))=0,IF($B$6="Total",COUNTIFS(Countries!$A$5:$A$434,$B$4,Countries!$B$5:$B$434,$B$5,Countries!$D$5:$D$434,$A9,Countries!$E$5:$E$434,"&gt;0"),COUNTIFS(Countries!$A$5:$A$434,$B$4,Countries!$B$5:$B$434,$B$5,Countries!$C$5:$C$434,$B$6,Countries!$D$5:$D$434,$A9,Countries!$E$5:$E$434,"&gt;0"))=0),"",IF(IF($B$6="Total",COUNTIFS(Countries!$A$5:$A$434,$B$4,Countries!$B$5:$B$434,$B$5,Countries!$D$5:$D$434,$A9,Countries!$F$5:$F$434,"&gt;0"),COUNTIFS(Countries!$A$5:$A$434,$B$4,Countries!$B$5:$B$434,$B$5,Countries!$C$5:$C$434,$B$6,Countries!$D$5:$D$434,$A9,Countries!$F$5:$F$434,"&gt;0"))=0,"1-23Aug25 rows only",IF(IF($B$6="Total",COUNTIFS(Countries!$A$5:$A$434,$B$4,Countries!$B$5:$B$434,$B$5,Countries!$D$5:$D$434,$A9,Countries!$E$5:$E$434,"&gt;0"),COUNTIFS(Countries!$A$5:$A$434,$B$4,Countries!$B$5:$B$434,$B$5,Countries!$C$5:$C$434,$B$6,Countries!$D$5:$D$434,$A9,Countries!$E$5:$E$434,"&gt;0"))=0,"1-23Aug26 rows only",IF(IF($B$6="Total",COUNTIFS(Countries!$A$5:$A$434,$B$4,Countries!$B$5:$B$434,$B$5,Countries!$D$5:$D$434,$A9,Countries!$F$5:$F$434,"&gt;0"),COUNTIFS(Countries!$A$5:$A$434,$B$4,Countries!$B$5:$B$434,$B$5,Countries!$C$5:$C$434,$B$6,Countries!$D$5:$D$434,$A9,Countries!$F$5:$F$434,"&gt;0"))=IF($B$6="Total",COUNTIFS(Countries!$A$5:$A$434,$B$4,Countries!$B$5:$B$434,$B$5,Countries!$D$5:$D$434,$A9,Countries!$E$5:$E$434,"&gt;0"),COUNTIFS(Countries!$A$5:$A$434,$B$4,Countries!$B$5:$B$434,$B$5,Countries!$C$5:$C$434,$B$6,Countries!$D$5:$D$434,$A9,Countries!$E$5:$E$434,"&gt;0")),"Like-for-like","Partial — coverage differs"))))</f>
        <v/>
      </c>
    </row>
    <row r="10">
      <c r="A10" s="56" t="inlineStr">
        <is>
          <t>Germany</t>
        </is>
      </c>
      <c r="B10" s="41">
        <f>IF(IF($B$6="Total",SUMIFS(Countries!$E$5:$E$434,Countries!$A$5:$A$434,$B$4,Countries!$B$5:$B$434,$B$5,Countries!$D$5:$D$434,$A10),SUMIFS(Countries!$E$5:$E$434,Countries!$A$5:$A$434,$B$4,Countries!$B$5:$B$434,$B$5,Countries!$C$5:$C$434,$B$6,Countries!$D$5:$D$434,$A10))=0,"",IF($B$6="Total",SUMIFS(Countries!$E$5:$E$434,Countries!$A$5:$A$434,$B$4,Countries!$B$5:$B$434,$B$5,Countries!$D$5:$D$434,$A10),SUMIFS(Countries!$E$5:$E$434,Countries!$A$5:$A$434,$B$4,Countries!$B$5:$B$434,$B$5,Countries!$C$5:$C$434,$B$6,Countries!$D$5:$D$434,$A10)))</f>
        <v/>
      </c>
      <c r="C10" s="41">
        <f>IF(IF($B$6="Total",SUMIFS(Countries!$F$5:$F$434,Countries!$A$5:$A$434,$B$4,Countries!$B$5:$B$434,$B$5,Countries!$D$5:$D$434,$A10),SUMIFS(Countries!$F$5:$F$434,Countries!$A$5:$A$434,$B$4,Countries!$B$5:$B$434,$B$5,Countries!$C$5:$C$434,$B$6,Countries!$D$5:$D$434,$A10))=0,"",IF($B$6="Total",SUMIFS(Countries!$F$5:$F$434,Countries!$A$5:$A$434,$B$4,Countries!$B$5:$B$434,$B$5,Countries!$D$5:$D$434,$A10),SUMIFS(Countries!$F$5:$F$434,Countries!$A$5:$A$434,$B$4,Countries!$B$5:$B$434,$B$5,Countries!$C$5:$C$434,$B$6,Countries!$D$5:$D$434,$A10)))</f>
        <v/>
      </c>
      <c r="D10" s="69">
        <f>IF(OR(C10="",B10="",B10=0,C10=0),"",C10-B10)</f>
        <v/>
      </c>
      <c r="E10" s="42">
        <f>IF(OR(C10="",B10="",B10=0,C10=0),"",C10/B10-1)</f>
        <v/>
      </c>
      <c r="F10" s="41">
        <f>IF(IF($B$6="Total",SUMIFS(Countries!$I$5:$I$434,Countries!$A$5:$A$434,$B$4,Countries!$B$5:$B$434,$B$5,Countries!$D$5:$D$434,$A10),SUMIFS(Countries!$I$5:$I$434,Countries!$A$5:$A$434,$B$4,Countries!$B$5:$B$434,$B$5,Countries!$C$5:$C$434,$B$6,Countries!$D$5:$D$434,$A10))=0,"",IF($B$6="Total",SUMIFS(Countries!$I$5:$I$434,Countries!$A$5:$A$434,$B$4,Countries!$B$5:$B$434,$B$5,Countries!$D$5:$D$434,$A10),SUMIFS(Countries!$I$5:$I$434,Countries!$A$5:$A$434,$B$4,Countries!$B$5:$B$434,$B$5,Countries!$C$5:$C$434,$B$6,Countries!$D$5:$D$434,$A10)))</f>
        <v/>
      </c>
      <c r="G10" s="41">
        <f>IF(IF($B$6="Total",SUMIFS(Countries!$J$5:$J$434,Countries!$A$5:$A$434,$B$4,Countries!$B$5:$B$434,$B$5,Countries!$D$5:$D$434,$A10),SUMIFS(Countries!$J$5:$J$434,Countries!$A$5:$A$434,$B$4,Countries!$B$5:$B$434,$B$5,Countries!$C$5:$C$434,$B$6,Countries!$D$5:$D$434,$A10))=0,"",IF($B$6="Total",SUMIFS(Countries!$J$5:$J$434,Countries!$A$5:$A$434,$B$4,Countries!$B$5:$B$434,$B$5,Countries!$D$5:$D$434,$A10),SUMIFS(Countries!$J$5:$J$434,Countries!$A$5:$A$434,$B$4,Countries!$B$5:$B$434,$B$5,Countries!$C$5:$C$434,$B$6,Countries!$D$5:$D$434,$A10)))</f>
        <v/>
      </c>
      <c r="H10" s="69">
        <f>IF(OR(G10="",F10="",F10=0,G10=0),"",G10-F10)</f>
        <v/>
      </c>
      <c r="I10" s="42">
        <f>IF(OR(G10="",F10="",F10=0,G10=0),"",G10/F10-1)</f>
        <v/>
      </c>
      <c r="J10" s="43">
        <f>IF(IF($B$6="Total",SUMIFS(Countries!$E$5:$E$434,Countries!$A$5:$A$434,$B$4,Countries!$B$5:$B$434,$B$5,Countries!$D$5:$D$434,$A10,Countries!$I$5:$I$434,"&gt;0"),SUMIFS(Countries!$E$5:$E$434,Countries!$A$5:$A$434,$B$4,Countries!$B$5:$B$434,$B$5,Countries!$C$5:$C$434,$B$6,Countries!$D$5:$D$434,$A10,Countries!$I$5:$I$434,"&gt;0"))=0,"",IF($B$6="Total",SUMIFS(Countries!$I$5:$I$434,Countries!$A$5:$A$434,$B$4,Countries!$B$5:$B$434,$B$5,Countries!$D$5:$D$434,$A10,Countries!$E$5:$E$434,"&gt;0"),SUMIFS(Countries!$I$5:$I$434,Countries!$A$5:$A$434,$B$4,Countries!$B$5:$B$434,$B$5,Countries!$C$5:$C$434,$B$6,Countries!$D$5:$D$434,$A10,Countries!$E$5:$E$434,"&gt;0"))/IF($B$6="Total",SUMIFS(Countries!$E$5:$E$434,Countries!$A$5:$A$434,$B$4,Countries!$B$5:$B$434,$B$5,Countries!$D$5:$D$434,$A10,Countries!$I$5:$I$434,"&gt;0"),SUMIFS(Countries!$E$5:$E$434,Countries!$A$5:$A$434,$B$4,Countries!$B$5:$B$434,$B$5,Countries!$C$5:$C$434,$B$6,Countries!$D$5:$D$434,$A10,Countries!$I$5:$I$434,"&gt;0")))</f>
        <v/>
      </c>
      <c r="K10" s="43">
        <f>IF(IF($B$6="Total",SUMIFS(Countries!$F$5:$F$434,Countries!$A$5:$A$434,$B$4,Countries!$B$5:$B$434,$B$5,Countries!$D$5:$D$434,$A10,Countries!$J$5:$J$434,"&gt;0"),SUMIFS(Countries!$F$5:$F$434,Countries!$A$5:$A$434,$B$4,Countries!$B$5:$B$434,$B$5,Countries!$C$5:$C$434,$B$6,Countries!$D$5:$D$434,$A10,Countries!$J$5:$J$434,"&gt;0"))=0,"",IF($B$6="Total",SUMIFS(Countries!$J$5:$J$434,Countries!$A$5:$A$434,$B$4,Countries!$B$5:$B$434,$B$5,Countries!$D$5:$D$434,$A10,Countries!$F$5:$F$434,"&gt;0"),SUMIFS(Countries!$J$5:$J$434,Countries!$A$5:$A$434,$B$4,Countries!$B$5:$B$434,$B$5,Countries!$C$5:$C$434,$B$6,Countries!$D$5:$D$434,$A10,Countries!$F$5:$F$434,"&gt;0"))/IF($B$6="Total",SUMIFS(Countries!$F$5:$F$434,Countries!$A$5:$A$434,$B$4,Countries!$B$5:$B$434,$B$5,Countries!$D$5:$D$434,$A10,Countries!$J$5:$J$434,"&gt;0"),SUMIFS(Countries!$F$5:$F$434,Countries!$A$5:$A$434,$B$4,Countries!$B$5:$B$434,$B$5,Countries!$C$5:$C$434,$B$6,Countries!$D$5:$D$434,$A10,Countries!$J$5:$J$434,"&gt;0")))</f>
        <v/>
      </c>
      <c r="L10" s="44">
        <f>IF(OR(K10="",J10=""),"",(K10-J10)*100)</f>
        <v/>
      </c>
      <c r="M10" s="41">
        <f>IF(IF($B$6="Total",SUMIFS(Countries!$P$5:$P$434,Countries!$A$5:$A$434,$B$4,Countries!$B$5:$B$434,$B$5,Countries!$D$5:$D$434,$A10),SUMIFS(Countries!$P$5:$P$434,Countries!$A$5:$A$434,$B$4,Countries!$B$5:$B$434,$B$5,Countries!$C$5:$C$434,$B$6,Countries!$D$5:$D$434,$A10))=0,"",IF($B$6="Total",SUMIFS(Countries!$P$5:$P$434,Countries!$A$5:$A$434,$B$4,Countries!$B$5:$B$434,$B$5,Countries!$D$5:$D$434,$A10),SUMIFS(Countries!$P$5:$P$434,Countries!$A$5:$A$434,$B$4,Countries!$B$5:$B$434,$B$5,Countries!$C$5:$C$434,$B$6,Countries!$D$5:$D$434,$A10)))</f>
        <v/>
      </c>
      <c r="N10" s="41">
        <f>IF(IF($B$6="Total",SUMIFS(Countries!$Q$5:$Q$434,Countries!$A$5:$A$434,$B$4,Countries!$B$5:$B$434,$B$5,Countries!$D$5:$D$434,$A10),SUMIFS(Countries!$Q$5:$Q$434,Countries!$A$5:$A$434,$B$4,Countries!$B$5:$B$434,$B$5,Countries!$C$5:$C$434,$B$6,Countries!$D$5:$D$434,$A10))=0,"",IF($B$6="Total",SUMIFS(Countries!$Q$5:$Q$434,Countries!$A$5:$A$434,$B$4,Countries!$B$5:$B$434,$B$5,Countries!$D$5:$D$434,$A10),SUMIFS(Countries!$Q$5:$Q$434,Countries!$A$5:$A$434,$B$4,Countries!$B$5:$B$434,$B$5,Countries!$C$5:$C$434,$B$6,Countries!$D$5:$D$434,$A10)))</f>
        <v/>
      </c>
      <c r="O10" s="69">
        <f>IF(OR(N10="",M10="",M10=0,N10=0),"",N10-M10)</f>
        <v/>
      </c>
      <c r="P10" s="42">
        <f>IF(OR(N10="",M10="",M10=0,N10=0),"",N10/M10-1)</f>
        <v/>
      </c>
      <c r="Q10" s="43">
        <f>IF(IF($B$6="Total",SUMIFS(Countries!$E$5:$E$434,Countries!$A$5:$A$434,$B$4,Countries!$B$5:$B$434,$B$5,Countries!$D$5:$D$434,$A10,Countries!$P$5:$P$434,"&gt;0"),SUMIFS(Countries!$E$5:$E$434,Countries!$A$5:$A$434,$B$4,Countries!$B$5:$B$434,$B$5,Countries!$C$5:$C$434,$B$6,Countries!$D$5:$D$434,$A10,Countries!$P$5:$P$434,"&gt;0"))=0,"",IF($B$6="Total",SUMIFS(Countries!$P$5:$P$434,Countries!$A$5:$A$434,$B$4,Countries!$B$5:$B$434,$B$5,Countries!$D$5:$D$434,$A10,Countries!$E$5:$E$434,"&gt;0"),SUMIFS(Countries!$P$5:$P$434,Countries!$A$5:$A$434,$B$4,Countries!$B$5:$B$434,$B$5,Countries!$C$5:$C$434,$B$6,Countries!$D$5:$D$434,$A10,Countries!$E$5:$E$434,"&gt;0"))/IF($B$6="Total",SUMIFS(Countries!$E$5:$E$434,Countries!$A$5:$A$434,$B$4,Countries!$B$5:$B$434,$B$5,Countries!$D$5:$D$434,$A10,Countries!$P$5:$P$434,"&gt;0"),SUMIFS(Countries!$E$5:$E$434,Countries!$A$5:$A$434,$B$4,Countries!$B$5:$B$434,$B$5,Countries!$C$5:$C$434,$B$6,Countries!$D$5:$D$434,$A10,Countries!$P$5:$P$434,"&gt;0")))</f>
        <v/>
      </c>
      <c r="R10" s="43">
        <f>IF(IF($B$6="Total",SUMIFS(Countries!$F$5:$F$434,Countries!$A$5:$A$434,$B$4,Countries!$B$5:$B$434,$B$5,Countries!$D$5:$D$434,$A10,Countries!$Q$5:$Q$434,"&gt;0"),SUMIFS(Countries!$F$5:$F$434,Countries!$A$5:$A$434,$B$4,Countries!$B$5:$B$434,$B$5,Countries!$C$5:$C$434,$B$6,Countries!$D$5:$D$434,$A10,Countries!$Q$5:$Q$434,"&gt;0"))=0,"",IF($B$6="Total",SUMIFS(Countries!$Q$5:$Q$434,Countries!$A$5:$A$434,$B$4,Countries!$B$5:$B$434,$B$5,Countries!$D$5:$D$434,$A10,Countries!$F$5:$F$434,"&gt;0"),SUMIFS(Countries!$Q$5:$Q$434,Countries!$A$5:$A$434,$B$4,Countries!$B$5:$B$434,$B$5,Countries!$C$5:$C$434,$B$6,Countries!$D$5:$D$434,$A10,Countries!$F$5:$F$434,"&gt;0"))/IF($B$6="Total",SUMIFS(Countries!$F$5:$F$434,Countries!$A$5:$A$434,$B$4,Countries!$B$5:$B$434,$B$5,Countries!$D$5:$D$434,$A10,Countries!$Q$5:$Q$434,"&gt;0"),SUMIFS(Countries!$F$5:$F$434,Countries!$A$5:$A$434,$B$4,Countries!$B$5:$B$434,$B$5,Countries!$C$5:$C$434,$B$6,Countries!$D$5:$D$434,$A10,Countries!$Q$5:$Q$434,"&gt;0")))</f>
        <v/>
      </c>
      <c r="S10" s="44">
        <f>IF(OR(R10="",Q10=""),"",(R10-Q10)*100)</f>
        <v/>
      </c>
      <c r="T10" s="41">
        <f>IF(IF($B$6="Total",SUMIFS(Countries!$W$5:$W$434,Countries!$A$5:$A$434,$B$4,Countries!$B$5:$B$434,$B$5,Countries!$D$5:$D$434,$A10),SUMIFS(Countries!$W$5:$W$434,Countries!$A$5:$A$434,$B$4,Countries!$B$5:$B$434,$B$5,Countries!$C$5:$C$434,$B$6,Countries!$D$5:$D$434,$A10))=0,"",IF($B$6="Total",SUMIFS(Countries!$W$5:$W$434,Countries!$A$5:$A$434,$B$4,Countries!$B$5:$B$434,$B$5,Countries!$D$5:$D$434,$A10),SUMIFS(Countries!$W$5:$W$434,Countries!$A$5:$A$434,$B$4,Countries!$B$5:$B$434,$B$5,Countries!$C$5:$C$434,$B$6,Countries!$D$5:$D$434,$A10)))</f>
        <v/>
      </c>
      <c r="U10" s="41">
        <f>IF(IF($B$6="Total",SUMIFS(Countries!$X$5:$X$434,Countries!$A$5:$A$434,$B$4,Countries!$B$5:$B$434,$B$5,Countries!$D$5:$D$434,$A10),SUMIFS(Countries!$X$5:$X$434,Countries!$A$5:$A$434,$B$4,Countries!$B$5:$B$434,$B$5,Countries!$C$5:$C$434,$B$6,Countries!$D$5:$D$434,$A10))=0,"",IF($B$6="Total",SUMIFS(Countries!$X$5:$X$434,Countries!$A$5:$A$434,$B$4,Countries!$B$5:$B$434,$B$5,Countries!$D$5:$D$434,$A10),SUMIFS(Countries!$X$5:$X$434,Countries!$A$5:$A$434,$B$4,Countries!$B$5:$B$434,$B$5,Countries!$C$5:$C$434,$B$6,Countries!$D$5:$D$434,$A10)))</f>
        <v/>
      </c>
      <c r="V10" s="69">
        <f>IF(OR(U10="",T10="",T10=0,U10=0),"",U10-T10)</f>
        <v/>
      </c>
      <c r="W10" s="42">
        <f>IF(OR(U10="",T10="",T10=0,U10=0),"",U10/T10-1)</f>
        <v/>
      </c>
      <c r="X10" s="43">
        <f>IF(IF($B$6="Total",SUMIFS(Countries!$P$5:$P$434,Countries!$A$5:$A$434,$B$4,Countries!$B$5:$B$434,$B$5,Countries!$D$5:$D$434,$A10,Countries!$W$5:$W$434,"&gt;0"),SUMIFS(Countries!$P$5:$P$434,Countries!$A$5:$A$434,$B$4,Countries!$B$5:$B$434,$B$5,Countries!$C$5:$C$434,$B$6,Countries!$D$5:$D$434,$A10,Countries!$W$5:$W$434,"&gt;0"))=0,"",IF($B$6="Total",SUMIFS(Countries!$W$5:$W$434,Countries!$A$5:$A$434,$B$4,Countries!$B$5:$B$434,$B$5,Countries!$D$5:$D$434,$A10,Countries!$P$5:$P$434,"&gt;0"),SUMIFS(Countries!$W$5:$W$434,Countries!$A$5:$A$434,$B$4,Countries!$B$5:$B$434,$B$5,Countries!$C$5:$C$434,$B$6,Countries!$D$5:$D$434,$A10,Countries!$P$5:$P$434,"&gt;0"))/IF($B$6="Total",SUMIFS(Countries!$P$5:$P$434,Countries!$A$5:$A$434,$B$4,Countries!$B$5:$B$434,$B$5,Countries!$D$5:$D$434,$A10,Countries!$W$5:$W$434,"&gt;0"),SUMIFS(Countries!$P$5:$P$434,Countries!$A$5:$A$434,$B$4,Countries!$B$5:$B$434,$B$5,Countries!$C$5:$C$434,$B$6,Countries!$D$5:$D$434,$A10,Countries!$W$5:$W$434,"&gt;0")))</f>
        <v/>
      </c>
      <c r="Y10" s="43">
        <f>IF(IF($B$6="Total",SUMIFS(Countries!$Q$5:$Q$434,Countries!$A$5:$A$434,$B$4,Countries!$B$5:$B$434,$B$5,Countries!$D$5:$D$434,$A10,Countries!$X$5:$X$434,"&gt;0"),SUMIFS(Countries!$Q$5:$Q$434,Countries!$A$5:$A$434,$B$4,Countries!$B$5:$B$434,$B$5,Countries!$C$5:$C$434,$B$6,Countries!$D$5:$D$434,$A10,Countries!$X$5:$X$434,"&gt;0"))=0,"",IF($B$6="Total",SUMIFS(Countries!$X$5:$X$434,Countries!$A$5:$A$434,$B$4,Countries!$B$5:$B$434,$B$5,Countries!$D$5:$D$434,$A10,Countries!$Q$5:$Q$434,"&gt;0"),SUMIFS(Countries!$X$5:$X$434,Countries!$A$5:$A$434,$B$4,Countries!$B$5:$B$434,$B$5,Countries!$C$5:$C$434,$B$6,Countries!$D$5:$D$434,$A10,Countries!$Q$5:$Q$434,"&gt;0"))/IF($B$6="Total",SUMIFS(Countries!$Q$5:$Q$434,Countries!$A$5:$A$434,$B$4,Countries!$B$5:$B$434,$B$5,Countries!$D$5:$D$434,$A10,Countries!$X$5:$X$434,"&gt;0"),SUMIFS(Countries!$Q$5:$Q$434,Countries!$A$5:$A$434,$B$4,Countries!$B$5:$B$434,$B$5,Countries!$C$5:$C$434,$B$6,Countries!$D$5:$D$434,$A10,Countries!$X$5:$X$434,"&gt;0")))</f>
        <v/>
      </c>
      <c r="Z10" s="44">
        <f>IF(OR(Y10="",X10=""),"",(Y10-X10)*100)</f>
        <v/>
      </c>
      <c r="AA10" s="41">
        <f>IF(IF($B$6="Total",SUMIFS(Countries!$AD$5:$AD$434,Countries!$A$5:$A$434,$B$4,Countries!$B$5:$B$434,$B$5,Countries!$D$5:$D$434,$A10),SUMIFS(Countries!$AD$5:$AD$434,Countries!$A$5:$A$434,$B$4,Countries!$B$5:$B$434,$B$5,Countries!$C$5:$C$434,$B$6,Countries!$D$5:$D$434,$A10))=0,"",IF($B$6="Total",SUMIFS(Countries!$AD$5:$AD$434,Countries!$A$5:$A$434,$B$4,Countries!$B$5:$B$434,$B$5,Countries!$D$5:$D$434,$A10),SUMIFS(Countries!$AD$5:$AD$434,Countries!$A$5:$A$434,$B$4,Countries!$B$5:$B$434,$B$5,Countries!$C$5:$C$434,$B$6,Countries!$D$5:$D$434,$A10)))</f>
        <v/>
      </c>
      <c r="AB10" s="41">
        <f>IF(IF($B$6="Total",SUMIFS(Countries!$AE$5:$AE$434,Countries!$A$5:$A$434,$B$4,Countries!$B$5:$B$434,$B$5,Countries!$D$5:$D$434,$A10),SUMIFS(Countries!$AE$5:$AE$434,Countries!$A$5:$A$434,$B$4,Countries!$B$5:$B$434,$B$5,Countries!$C$5:$C$434,$B$6,Countries!$D$5:$D$434,$A10))=0,"",IF($B$6="Total",SUMIFS(Countries!$AE$5:$AE$434,Countries!$A$5:$A$434,$B$4,Countries!$B$5:$B$434,$B$5,Countries!$D$5:$D$434,$A10),SUMIFS(Countries!$AE$5:$AE$434,Countries!$A$5:$A$434,$B$4,Countries!$B$5:$B$434,$B$5,Countries!$C$5:$C$434,$B$6,Countries!$D$5:$D$434,$A10)))</f>
        <v/>
      </c>
      <c r="AC10" s="69">
        <f>IF(OR(AB10="",AA10="",AA10=0,AB10=0),"",AB10-AA10)</f>
        <v/>
      </c>
      <c r="AD10" s="42">
        <f>IF(OR(AB10="",AA10="",AA10=0,AB10=0),"",AB10/AA10-1)</f>
        <v/>
      </c>
      <c r="AE10" s="43">
        <f>IF(IF($B$6="Total",SUMIFS(Countries!$W$5:$W$434,Countries!$A$5:$A$434,$B$4,Countries!$B$5:$B$434,$B$5,Countries!$D$5:$D$434,$A10,Countries!$AD$5:$AD$434,"&gt;0"),SUMIFS(Countries!$W$5:$W$434,Countries!$A$5:$A$434,$B$4,Countries!$B$5:$B$434,$B$5,Countries!$C$5:$C$434,$B$6,Countries!$D$5:$D$434,$A10,Countries!$AD$5:$AD$434,"&gt;0"))=0,"",IF($B$6="Total",SUMIFS(Countries!$AD$5:$AD$434,Countries!$A$5:$A$434,$B$4,Countries!$B$5:$B$434,$B$5,Countries!$D$5:$D$434,$A10,Countries!$W$5:$W$434,"&gt;0"),SUMIFS(Countries!$AD$5:$AD$434,Countries!$A$5:$A$434,$B$4,Countries!$B$5:$B$434,$B$5,Countries!$C$5:$C$434,$B$6,Countries!$D$5:$D$434,$A10,Countries!$W$5:$W$434,"&gt;0"))/IF($B$6="Total",SUMIFS(Countries!$W$5:$W$434,Countries!$A$5:$A$434,$B$4,Countries!$B$5:$B$434,$B$5,Countries!$D$5:$D$434,$A10,Countries!$AD$5:$AD$434,"&gt;0"),SUMIFS(Countries!$W$5:$W$434,Countries!$A$5:$A$434,$B$4,Countries!$B$5:$B$434,$B$5,Countries!$C$5:$C$434,$B$6,Countries!$D$5:$D$434,$A10,Countries!$AD$5:$AD$434,"&gt;0")))</f>
        <v/>
      </c>
      <c r="AF10" s="43">
        <f>IF(IF($B$6="Total",SUMIFS(Countries!$X$5:$X$434,Countries!$A$5:$A$434,$B$4,Countries!$B$5:$B$434,$B$5,Countries!$D$5:$D$434,$A10,Countries!$AE$5:$AE$434,"&gt;0"),SUMIFS(Countries!$X$5:$X$434,Countries!$A$5:$A$434,$B$4,Countries!$B$5:$B$434,$B$5,Countries!$C$5:$C$434,$B$6,Countries!$D$5:$D$434,$A10,Countries!$AE$5:$AE$434,"&gt;0"))=0,"",IF($B$6="Total",SUMIFS(Countries!$AE$5:$AE$434,Countries!$A$5:$A$434,$B$4,Countries!$B$5:$B$434,$B$5,Countries!$D$5:$D$434,$A10,Countries!$X$5:$X$434,"&gt;0"),SUMIFS(Countries!$AE$5:$AE$434,Countries!$A$5:$A$434,$B$4,Countries!$B$5:$B$434,$B$5,Countries!$C$5:$C$434,$B$6,Countries!$D$5:$D$434,$A10,Countries!$X$5:$X$434,"&gt;0"))/IF($B$6="Total",SUMIFS(Countries!$X$5:$X$434,Countries!$A$5:$A$434,$B$4,Countries!$B$5:$B$434,$B$5,Countries!$D$5:$D$434,$A10,Countries!$AE$5:$AE$434,"&gt;0"),SUMIFS(Countries!$X$5:$X$434,Countries!$A$5:$A$434,$B$4,Countries!$B$5:$B$434,$B$5,Countries!$C$5:$C$434,$B$6,Countries!$D$5:$D$434,$A10,Countries!$AE$5:$AE$434,"&gt;0")))</f>
        <v/>
      </c>
      <c r="AG10" s="44">
        <f>IF(OR(AF10="",AE10=""),"",(AF10-AE10)*100)</f>
        <v/>
      </c>
      <c r="AH10" s="41">
        <f>IF(IF($B$6="Total",SUMIFS(Countries!$AK$5:$AK$434,Countries!$A$5:$A$434,$B$4,Countries!$B$5:$B$434,$B$5,Countries!$D$5:$D$434,$A10),SUMIFS(Countries!$AK$5:$AK$434,Countries!$A$5:$A$434,$B$4,Countries!$B$5:$B$434,$B$5,Countries!$C$5:$C$434,$B$6,Countries!$D$5:$D$434,$A10))=0,"",IF($B$6="Total",SUMIFS(Countries!$AK$5:$AK$434,Countries!$A$5:$A$434,$B$4,Countries!$B$5:$B$434,$B$5,Countries!$D$5:$D$434,$A10),SUMIFS(Countries!$AK$5:$AK$434,Countries!$A$5:$A$434,$B$4,Countries!$B$5:$B$434,$B$5,Countries!$C$5:$C$434,$B$6,Countries!$D$5:$D$434,$A10)))</f>
        <v/>
      </c>
      <c r="AI10" s="41">
        <f>IF(IF($B$6="Total",SUMIFS(Countries!$AL$5:$AL$434,Countries!$A$5:$A$434,$B$4,Countries!$B$5:$B$434,$B$5,Countries!$D$5:$D$434,$A10),SUMIFS(Countries!$AL$5:$AL$434,Countries!$A$5:$A$434,$B$4,Countries!$B$5:$B$434,$B$5,Countries!$C$5:$C$434,$B$6,Countries!$D$5:$D$434,$A10))=0,"",IF($B$6="Total",SUMIFS(Countries!$AL$5:$AL$434,Countries!$A$5:$A$434,$B$4,Countries!$B$5:$B$434,$B$5,Countries!$D$5:$D$434,$A10),SUMIFS(Countries!$AL$5:$AL$434,Countries!$A$5:$A$434,$B$4,Countries!$B$5:$B$434,$B$5,Countries!$C$5:$C$434,$B$6,Countries!$D$5:$D$434,$A10)))</f>
        <v/>
      </c>
      <c r="AJ10" s="69">
        <f>IF(OR(AI10="",AH10="",AH10=0,AI10=0),"",AI10-AH10)</f>
        <v/>
      </c>
      <c r="AK10" s="42">
        <f>IF(OR(AI10="",AH10="",AH10=0,AI10=0),"",AI10/AH10-1)</f>
        <v/>
      </c>
      <c r="AL10" s="43">
        <f>IF(IF($B$6="Total",SUMIFS(Countries!$AD$5:$AD$434,Countries!$A$5:$A$434,$B$4,Countries!$B$5:$B$434,$B$5,Countries!$D$5:$D$434,$A10,Countries!$AK$5:$AK$434,"&gt;0"),SUMIFS(Countries!$AD$5:$AD$434,Countries!$A$5:$A$434,$B$4,Countries!$B$5:$B$434,$B$5,Countries!$C$5:$C$434,$B$6,Countries!$D$5:$D$434,$A10,Countries!$AK$5:$AK$434,"&gt;0"))=0,"",IF($B$6="Total",SUMIFS(Countries!$AK$5:$AK$434,Countries!$A$5:$A$434,$B$4,Countries!$B$5:$B$434,$B$5,Countries!$D$5:$D$434,$A10,Countries!$AD$5:$AD$434,"&gt;0"),SUMIFS(Countries!$AK$5:$AK$434,Countries!$A$5:$A$434,$B$4,Countries!$B$5:$B$434,$B$5,Countries!$C$5:$C$434,$B$6,Countries!$D$5:$D$434,$A10,Countries!$AD$5:$AD$434,"&gt;0"))/IF($B$6="Total",SUMIFS(Countries!$AD$5:$AD$434,Countries!$A$5:$A$434,$B$4,Countries!$B$5:$B$434,$B$5,Countries!$D$5:$D$434,$A10,Countries!$AK$5:$AK$434,"&gt;0"),SUMIFS(Countries!$AD$5:$AD$434,Countries!$A$5:$A$434,$B$4,Countries!$B$5:$B$434,$B$5,Countries!$C$5:$C$434,$B$6,Countries!$D$5:$D$434,$A10,Countries!$AK$5:$AK$434,"&gt;0")))</f>
        <v/>
      </c>
      <c r="AM10" s="43">
        <f>IF(IF($B$6="Total",SUMIFS(Countries!$AE$5:$AE$434,Countries!$A$5:$A$434,$B$4,Countries!$B$5:$B$434,$B$5,Countries!$D$5:$D$434,$A10,Countries!$AL$5:$AL$434,"&gt;0"),SUMIFS(Countries!$AE$5:$AE$434,Countries!$A$5:$A$434,$B$4,Countries!$B$5:$B$434,$B$5,Countries!$C$5:$C$434,$B$6,Countries!$D$5:$D$434,$A10,Countries!$AL$5:$AL$434,"&gt;0"))=0,"",IF($B$6="Total",SUMIFS(Countries!$AL$5:$AL$434,Countries!$A$5:$A$434,$B$4,Countries!$B$5:$B$434,$B$5,Countries!$D$5:$D$434,$A10,Countries!$AE$5:$AE$434,"&gt;0"),SUMIFS(Countries!$AL$5:$AL$434,Countries!$A$5:$A$434,$B$4,Countries!$B$5:$B$434,$B$5,Countries!$C$5:$C$434,$B$6,Countries!$D$5:$D$434,$A10,Countries!$AE$5:$AE$434,"&gt;0"))/IF($B$6="Total",SUMIFS(Countries!$AE$5:$AE$434,Countries!$A$5:$A$434,$B$4,Countries!$B$5:$B$434,$B$5,Countries!$D$5:$D$434,$A10,Countries!$AL$5:$AL$434,"&gt;0"),SUMIFS(Countries!$AE$5:$AE$434,Countries!$A$5:$A$434,$B$4,Countries!$B$5:$B$434,$B$5,Countries!$C$5:$C$434,$B$6,Countries!$D$5:$D$434,$A10,Countries!$AL$5:$AL$434,"&gt;0")))</f>
        <v/>
      </c>
      <c r="AN10" s="44">
        <f>IF(OR(AM10="",AL10=""),"",(AM10-AL10)*100)</f>
        <v/>
      </c>
      <c r="AO10" s="41">
        <f>IF(IF($B$6="Total",SUMIFS(Countries!$AR$5:$AR$434,Countries!$A$5:$A$434,$B$4,Countries!$B$5:$B$434,$B$5,Countries!$D$5:$D$434,$A10),SUMIFS(Countries!$AR$5:$AR$434,Countries!$A$5:$A$434,$B$4,Countries!$B$5:$B$434,$B$5,Countries!$C$5:$C$434,$B$6,Countries!$D$5:$D$434,$A10))=0,"",IF($B$6="Total",SUMIFS(Countries!$AR$5:$AR$434,Countries!$A$5:$A$434,$B$4,Countries!$B$5:$B$434,$B$5,Countries!$D$5:$D$434,$A10),SUMIFS(Countries!$AR$5:$AR$434,Countries!$A$5:$A$434,$B$4,Countries!$B$5:$B$434,$B$5,Countries!$C$5:$C$434,$B$6,Countries!$D$5:$D$434,$A10)))</f>
        <v/>
      </c>
      <c r="AP10" s="41">
        <f>IF(IF($B$6="Total",SUMIFS(Countries!$AS$5:$AS$434,Countries!$A$5:$A$434,$B$4,Countries!$B$5:$B$434,$B$5,Countries!$D$5:$D$434,$A10),SUMIFS(Countries!$AS$5:$AS$434,Countries!$A$5:$A$434,$B$4,Countries!$B$5:$B$434,$B$5,Countries!$C$5:$C$434,$B$6,Countries!$D$5:$D$434,$A10))=0,"",IF($B$6="Total",SUMIFS(Countries!$AS$5:$AS$434,Countries!$A$5:$A$434,$B$4,Countries!$B$5:$B$434,$B$5,Countries!$D$5:$D$434,$A10),SUMIFS(Countries!$AS$5:$AS$434,Countries!$A$5:$A$434,$B$4,Countries!$B$5:$B$434,$B$5,Countries!$C$5:$C$434,$B$6,Countries!$D$5:$D$434,$A10)))</f>
        <v/>
      </c>
      <c r="AQ10" s="69">
        <f>IF(OR(AP10="",AO10="",AO10=0,AP10=0),"",AP10-AO10)</f>
        <v/>
      </c>
      <c r="AR10" s="42">
        <f>IF(OR(AP10="",AO10="",AO10=0,AP10=0),"",AP10/AO10-1)</f>
        <v/>
      </c>
      <c r="AS10" s="43">
        <f>IF(IF($B$6="Total",SUMIFS(Countries!$AK$5:$AK$434,Countries!$A$5:$A$434,$B$4,Countries!$B$5:$B$434,$B$5,Countries!$D$5:$D$434,$A10,Countries!$AR$5:$AR$434,"&gt;0"),SUMIFS(Countries!$AK$5:$AK$434,Countries!$A$5:$A$434,$B$4,Countries!$B$5:$B$434,$B$5,Countries!$C$5:$C$434,$B$6,Countries!$D$5:$D$434,$A10,Countries!$AR$5:$AR$434,"&gt;0"))=0,"",IF($B$6="Total",SUMIFS(Countries!$AR$5:$AR$434,Countries!$A$5:$A$434,$B$4,Countries!$B$5:$B$434,$B$5,Countries!$D$5:$D$434,$A10,Countries!$AK$5:$AK$434,"&gt;0"),SUMIFS(Countries!$AR$5:$AR$434,Countries!$A$5:$A$434,$B$4,Countries!$B$5:$B$434,$B$5,Countries!$C$5:$C$434,$B$6,Countries!$D$5:$D$434,$A10,Countries!$AK$5:$AK$434,"&gt;0"))/IF($B$6="Total",SUMIFS(Countries!$AK$5:$AK$434,Countries!$A$5:$A$434,$B$4,Countries!$B$5:$B$434,$B$5,Countries!$D$5:$D$434,$A10,Countries!$AR$5:$AR$434,"&gt;0"),SUMIFS(Countries!$AK$5:$AK$434,Countries!$A$5:$A$434,$B$4,Countries!$B$5:$B$434,$B$5,Countries!$C$5:$C$434,$B$6,Countries!$D$5:$D$434,$A10,Countries!$AR$5:$AR$434,"&gt;0")))</f>
        <v/>
      </c>
      <c r="AT10" s="43">
        <f>IF(IF($B$6="Total",SUMIFS(Countries!$AL$5:$AL$434,Countries!$A$5:$A$434,$B$4,Countries!$B$5:$B$434,$B$5,Countries!$D$5:$D$434,$A10,Countries!$AS$5:$AS$434,"&gt;0"),SUMIFS(Countries!$AL$5:$AL$434,Countries!$A$5:$A$434,$B$4,Countries!$B$5:$B$434,$B$5,Countries!$C$5:$C$434,$B$6,Countries!$D$5:$D$434,$A10,Countries!$AS$5:$AS$434,"&gt;0"))=0,"",IF($B$6="Total",SUMIFS(Countries!$AS$5:$AS$434,Countries!$A$5:$A$434,$B$4,Countries!$B$5:$B$434,$B$5,Countries!$D$5:$D$434,$A10,Countries!$AL$5:$AL$434,"&gt;0"),SUMIFS(Countries!$AS$5:$AS$434,Countries!$A$5:$A$434,$B$4,Countries!$B$5:$B$434,$B$5,Countries!$C$5:$C$434,$B$6,Countries!$D$5:$D$434,$A10,Countries!$AL$5:$AL$434,"&gt;0"))/IF($B$6="Total",SUMIFS(Countries!$AL$5:$AL$434,Countries!$A$5:$A$434,$B$4,Countries!$B$5:$B$434,$B$5,Countries!$D$5:$D$434,$A10,Countries!$AS$5:$AS$434,"&gt;0"),SUMIFS(Countries!$AL$5:$AL$434,Countries!$A$5:$A$434,$B$4,Countries!$B$5:$B$434,$B$5,Countries!$C$5:$C$434,$B$6,Countries!$D$5:$D$434,$A10,Countries!$AS$5:$AS$434,"&gt;0")))</f>
        <v/>
      </c>
      <c r="AU10" s="44">
        <f>IF(OR(AT10="",AS10=""),"",(AT10-AS10)*100)</f>
        <v/>
      </c>
      <c r="AV10" s="45">
        <f>IF(IF($B$6="Total",SUMIFS(Countries!$P$5:$P$434,Countries!$A$5:$A$434,$B$4,Countries!$B$5:$B$434,$B$5,Countries!$D$5:$D$434,$A10,Countries!$AR$5:$AR$434,"&gt;0"),SUMIFS(Countries!$P$5:$P$434,Countries!$A$5:$A$434,$B$4,Countries!$B$5:$B$434,$B$5,Countries!$C$5:$C$434,$B$6,Countries!$D$5:$D$434,$A10,Countries!$AR$5:$AR$434,"&gt;0"))=0,"",IF($B$6="Total",SUMIFS(Countries!$AR$5:$AR$434,Countries!$A$5:$A$434,$B$4,Countries!$B$5:$B$434,$B$5,Countries!$D$5:$D$434,$A10,Countries!$P$5:$P$434,"&gt;0"),SUMIFS(Countries!$AR$5:$AR$434,Countries!$A$5:$A$434,$B$4,Countries!$B$5:$B$434,$B$5,Countries!$C$5:$C$434,$B$6,Countries!$D$5:$D$434,$A10,Countries!$P$5:$P$434,"&gt;0"))/IF($B$6="Total",SUMIFS(Countries!$P$5:$P$434,Countries!$A$5:$A$434,$B$4,Countries!$B$5:$B$434,$B$5,Countries!$D$5:$D$434,$A10,Countries!$AR$5:$AR$434,"&gt;0"),SUMIFS(Countries!$P$5:$P$434,Countries!$A$5:$A$434,$B$4,Countries!$B$5:$B$434,$B$5,Countries!$C$5:$C$434,$B$6,Countries!$D$5:$D$434,$A10,Countries!$AR$5:$AR$434,"&gt;0")))</f>
        <v/>
      </c>
      <c r="AW10" s="45">
        <f>IF(IF($B$6="Total",SUMIFS(Countries!$Q$5:$Q$434,Countries!$A$5:$A$434,$B$4,Countries!$B$5:$B$434,$B$5,Countries!$D$5:$D$434,$A10,Countries!$AS$5:$AS$434,"&gt;0"),SUMIFS(Countries!$Q$5:$Q$434,Countries!$A$5:$A$434,$B$4,Countries!$B$5:$B$434,$B$5,Countries!$C$5:$C$434,$B$6,Countries!$D$5:$D$434,$A10,Countries!$AS$5:$AS$434,"&gt;0"))=0,"",IF($B$6="Total",SUMIFS(Countries!$AS$5:$AS$434,Countries!$A$5:$A$434,$B$4,Countries!$B$5:$B$434,$B$5,Countries!$D$5:$D$434,$A10,Countries!$Q$5:$Q$434,"&gt;0"),SUMIFS(Countries!$AS$5:$AS$434,Countries!$A$5:$A$434,$B$4,Countries!$B$5:$B$434,$B$5,Countries!$C$5:$C$434,$B$6,Countries!$D$5:$D$434,$A10,Countries!$Q$5:$Q$434,"&gt;0"))/IF($B$6="Total",SUMIFS(Countries!$Q$5:$Q$434,Countries!$A$5:$A$434,$B$4,Countries!$B$5:$B$434,$B$5,Countries!$D$5:$D$434,$A10,Countries!$AS$5:$AS$434,"&gt;0"),SUMIFS(Countries!$Q$5:$Q$434,Countries!$A$5:$A$434,$B$4,Countries!$B$5:$B$434,$B$5,Countries!$C$5:$C$434,$B$6,Countries!$D$5:$D$434,$A10,Countries!$AS$5:$AS$434,"&gt;0")))</f>
        <v/>
      </c>
      <c r="AX10" s="44">
        <f>IF(OR(AW10="",AV10=""),"",(AW10-AV10)*100)</f>
        <v/>
      </c>
      <c r="AY10" s="45">
        <f>IF(IF($B$6="Total",SUMIFS(Countries!$E$5:$E$434,Countries!$A$5:$A$434,$B$4,Countries!$B$5:$B$434,$B$5,Countries!$D$5:$D$434,$A10,Countries!$AR$5:$AR$434,"&gt;0"),SUMIFS(Countries!$E$5:$E$434,Countries!$A$5:$A$434,$B$4,Countries!$B$5:$B$434,$B$5,Countries!$C$5:$C$434,$B$6,Countries!$D$5:$D$434,$A10,Countries!$AR$5:$AR$434,"&gt;0"))=0,"",IF($B$6="Total",SUMIFS(Countries!$AR$5:$AR$434,Countries!$A$5:$A$434,$B$4,Countries!$B$5:$B$434,$B$5,Countries!$D$5:$D$434,$A10,Countries!$E$5:$E$434,"&gt;0"),SUMIFS(Countries!$AR$5:$AR$434,Countries!$A$5:$A$434,$B$4,Countries!$B$5:$B$434,$B$5,Countries!$C$5:$C$434,$B$6,Countries!$D$5:$D$434,$A10,Countries!$E$5:$E$434,"&gt;0"))/IF($B$6="Total",SUMIFS(Countries!$E$5:$E$434,Countries!$A$5:$A$434,$B$4,Countries!$B$5:$B$434,$B$5,Countries!$D$5:$D$434,$A10,Countries!$AR$5:$AR$434,"&gt;0"),SUMIFS(Countries!$E$5:$E$434,Countries!$A$5:$A$434,$B$4,Countries!$B$5:$B$434,$B$5,Countries!$C$5:$C$434,$B$6,Countries!$D$5:$D$434,$A10,Countries!$AR$5:$AR$434,"&gt;0")))</f>
        <v/>
      </c>
      <c r="AZ10" s="45">
        <f>IF(IF($B$6="Total",SUMIFS(Countries!$F$5:$F$434,Countries!$A$5:$A$434,$B$4,Countries!$B$5:$B$434,$B$5,Countries!$D$5:$D$434,$A10,Countries!$AS$5:$AS$434,"&gt;0"),SUMIFS(Countries!$F$5:$F$434,Countries!$A$5:$A$434,$B$4,Countries!$B$5:$B$434,$B$5,Countries!$C$5:$C$434,$B$6,Countries!$D$5:$D$434,$A10,Countries!$AS$5:$AS$434,"&gt;0"))=0,"",IF($B$6="Total",SUMIFS(Countries!$AS$5:$AS$434,Countries!$A$5:$A$434,$B$4,Countries!$B$5:$B$434,$B$5,Countries!$D$5:$D$434,$A10,Countries!$F$5:$F$434,"&gt;0"),SUMIFS(Countries!$AS$5:$AS$434,Countries!$A$5:$A$434,$B$4,Countries!$B$5:$B$434,$B$5,Countries!$C$5:$C$434,$B$6,Countries!$D$5:$D$434,$A10,Countries!$F$5:$F$434,"&gt;0"))/IF($B$6="Total",SUMIFS(Countries!$F$5:$F$434,Countries!$A$5:$A$434,$B$4,Countries!$B$5:$B$434,$B$5,Countries!$D$5:$D$434,$A10,Countries!$AS$5:$AS$434,"&gt;0"),SUMIFS(Countries!$F$5:$F$434,Countries!$A$5:$A$434,$B$4,Countries!$B$5:$B$434,$B$5,Countries!$C$5:$C$434,$B$6,Countries!$D$5:$D$434,$A10,Countries!$AS$5:$AS$434,"&gt;0")))</f>
        <v/>
      </c>
      <c r="BA10" s="44">
        <f>IF(OR(AZ10="",AY10=""),"",(AZ10-AY10)*100)</f>
        <v/>
      </c>
      <c r="BB10" s="40">
        <f>IF(AND(IF($B$6="Total",COUNTIFS(Countries!$A$5:$A$434,$B$4,Countries!$B$5:$B$434,$B$5,Countries!$D$5:$D$434,$A10,Countries!$F$5:$F$434,"&gt;0"),COUNTIFS(Countries!$A$5:$A$434,$B$4,Countries!$B$5:$B$434,$B$5,Countries!$C$5:$C$434,$B$6,Countries!$D$5:$D$434,$A10,Countries!$F$5:$F$434,"&gt;0"))=0,IF($B$6="Total",COUNTIFS(Countries!$A$5:$A$434,$B$4,Countries!$B$5:$B$434,$B$5,Countries!$D$5:$D$434,$A10,Countries!$E$5:$E$434,"&gt;0"),COUNTIFS(Countries!$A$5:$A$434,$B$4,Countries!$B$5:$B$434,$B$5,Countries!$C$5:$C$434,$B$6,Countries!$D$5:$D$434,$A10,Countries!$E$5:$E$434,"&gt;0"))=0),"",IF(IF($B$6="Total",COUNTIFS(Countries!$A$5:$A$434,$B$4,Countries!$B$5:$B$434,$B$5,Countries!$D$5:$D$434,$A10,Countries!$F$5:$F$434,"&gt;0"),COUNTIFS(Countries!$A$5:$A$434,$B$4,Countries!$B$5:$B$434,$B$5,Countries!$C$5:$C$434,$B$6,Countries!$D$5:$D$434,$A10,Countries!$F$5:$F$434,"&gt;0"))=0,"1-23Aug25 rows only",IF(IF($B$6="Total",COUNTIFS(Countries!$A$5:$A$434,$B$4,Countries!$B$5:$B$434,$B$5,Countries!$D$5:$D$434,$A10,Countries!$E$5:$E$434,"&gt;0"),COUNTIFS(Countries!$A$5:$A$434,$B$4,Countries!$B$5:$B$434,$B$5,Countries!$C$5:$C$434,$B$6,Countries!$D$5:$D$434,$A10,Countries!$E$5:$E$434,"&gt;0"))=0,"1-23Aug26 rows only",IF(IF($B$6="Total",COUNTIFS(Countries!$A$5:$A$434,$B$4,Countries!$B$5:$B$434,$B$5,Countries!$D$5:$D$434,$A10,Countries!$F$5:$F$434,"&gt;0"),COUNTIFS(Countries!$A$5:$A$434,$B$4,Countries!$B$5:$B$434,$B$5,Countries!$C$5:$C$434,$B$6,Countries!$D$5:$D$434,$A10,Countries!$F$5:$F$434,"&gt;0"))=IF($B$6="Total",COUNTIFS(Countries!$A$5:$A$434,$B$4,Countries!$B$5:$B$434,$B$5,Countries!$D$5:$D$434,$A10,Countries!$E$5:$E$434,"&gt;0"),COUNTIFS(Countries!$A$5:$A$434,$B$4,Countries!$B$5:$B$434,$B$5,Countries!$C$5:$C$434,$B$6,Countries!$D$5:$D$434,$A10,Countries!$E$5:$E$434,"&gt;0")),"Like-for-like","Partial — coverage differs"))))</f>
        <v/>
      </c>
    </row>
    <row r="11">
      <c r="A11" s="40" t="inlineStr">
        <is>
          <t>Italy</t>
        </is>
      </c>
      <c r="B11" s="41">
        <f>IF(IF($B$6="Total",SUMIFS(Countries!$E$5:$E$434,Countries!$A$5:$A$434,$B$4,Countries!$B$5:$B$434,$B$5,Countries!$D$5:$D$434,$A11),SUMIFS(Countries!$E$5:$E$434,Countries!$A$5:$A$434,$B$4,Countries!$B$5:$B$434,$B$5,Countries!$C$5:$C$434,$B$6,Countries!$D$5:$D$434,$A11))=0,"",IF($B$6="Total",SUMIFS(Countries!$E$5:$E$434,Countries!$A$5:$A$434,$B$4,Countries!$B$5:$B$434,$B$5,Countries!$D$5:$D$434,$A11),SUMIFS(Countries!$E$5:$E$434,Countries!$A$5:$A$434,$B$4,Countries!$B$5:$B$434,$B$5,Countries!$C$5:$C$434,$B$6,Countries!$D$5:$D$434,$A11)))</f>
        <v/>
      </c>
      <c r="C11" s="41">
        <f>IF(IF($B$6="Total",SUMIFS(Countries!$F$5:$F$434,Countries!$A$5:$A$434,$B$4,Countries!$B$5:$B$434,$B$5,Countries!$D$5:$D$434,$A11),SUMIFS(Countries!$F$5:$F$434,Countries!$A$5:$A$434,$B$4,Countries!$B$5:$B$434,$B$5,Countries!$C$5:$C$434,$B$6,Countries!$D$5:$D$434,$A11))=0,"",IF($B$6="Total",SUMIFS(Countries!$F$5:$F$434,Countries!$A$5:$A$434,$B$4,Countries!$B$5:$B$434,$B$5,Countries!$D$5:$D$434,$A11),SUMIFS(Countries!$F$5:$F$434,Countries!$A$5:$A$434,$B$4,Countries!$B$5:$B$434,$B$5,Countries!$C$5:$C$434,$B$6,Countries!$D$5:$D$434,$A11)))</f>
        <v/>
      </c>
      <c r="D11" s="69">
        <f>IF(OR(C11="",B11="",B11=0,C11=0),"",C11-B11)</f>
        <v/>
      </c>
      <c r="E11" s="42">
        <f>IF(OR(C11="",B11="",B11=0,C11=0),"",C11/B11-1)</f>
        <v/>
      </c>
      <c r="F11" s="41">
        <f>IF(IF($B$6="Total",SUMIFS(Countries!$I$5:$I$434,Countries!$A$5:$A$434,$B$4,Countries!$B$5:$B$434,$B$5,Countries!$D$5:$D$434,$A11),SUMIFS(Countries!$I$5:$I$434,Countries!$A$5:$A$434,$B$4,Countries!$B$5:$B$434,$B$5,Countries!$C$5:$C$434,$B$6,Countries!$D$5:$D$434,$A11))=0,"",IF($B$6="Total",SUMIFS(Countries!$I$5:$I$434,Countries!$A$5:$A$434,$B$4,Countries!$B$5:$B$434,$B$5,Countries!$D$5:$D$434,$A11),SUMIFS(Countries!$I$5:$I$434,Countries!$A$5:$A$434,$B$4,Countries!$B$5:$B$434,$B$5,Countries!$C$5:$C$434,$B$6,Countries!$D$5:$D$434,$A11)))</f>
        <v/>
      </c>
      <c r="G11" s="41">
        <f>IF(IF($B$6="Total",SUMIFS(Countries!$J$5:$J$434,Countries!$A$5:$A$434,$B$4,Countries!$B$5:$B$434,$B$5,Countries!$D$5:$D$434,$A11),SUMIFS(Countries!$J$5:$J$434,Countries!$A$5:$A$434,$B$4,Countries!$B$5:$B$434,$B$5,Countries!$C$5:$C$434,$B$6,Countries!$D$5:$D$434,$A11))=0,"",IF($B$6="Total",SUMIFS(Countries!$J$5:$J$434,Countries!$A$5:$A$434,$B$4,Countries!$B$5:$B$434,$B$5,Countries!$D$5:$D$434,$A11),SUMIFS(Countries!$J$5:$J$434,Countries!$A$5:$A$434,$B$4,Countries!$B$5:$B$434,$B$5,Countries!$C$5:$C$434,$B$6,Countries!$D$5:$D$434,$A11)))</f>
        <v/>
      </c>
      <c r="H11" s="69">
        <f>IF(OR(G11="",F11="",F11=0,G11=0),"",G11-F11)</f>
        <v/>
      </c>
      <c r="I11" s="42">
        <f>IF(OR(G11="",F11="",F11=0,G11=0),"",G11/F11-1)</f>
        <v/>
      </c>
      <c r="J11" s="43">
        <f>IF(IF($B$6="Total",SUMIFS(Countries!$E$5:$E$434,Countries!$A$5:$A$434,$B$4,Countries!$B$5:$B$434,$B$5,Countries!$D$5:$D$434,$A11,Countries!$I$5:$I$434,"&gt;0"),SUMIFS(Countries!$E$5:$E$434,Countries!$A$5:$A$434,$B$4,Countries!$B$5:$B$434,$B$5,Countries!$C$5:$C$434,$B$6,Countries!$D$5:$D$434,$A11,Countries!$I$5:$I$434,"&gt;0"))=0,"",IF($B$6="Total",SUMIFS(Countries!$I$5:$I$434,Countries!$A$5:$A$434,$B$4,Countries!$B$5:$B$434,$B$5,Countries!$D$5:$D$434,$A11,Countries!$E$5:$E$434,"&gt;0"),SUMIFS(Countries!$I$5:$I$434,Countries!$A$5:$A$434,$B$4,Countries!$B$5:$B$434,$B$5,Countries!$C$5:$C$434,$B$6,Countries!$D$5:$D$434,$A11,Countries!$E$5:$E$434,"&gt;0"))/IF($B$6="Total",SUMIFS(Countries!$E$5:$E$434,Countries!$A$5:$A$434,$B$4,Countries!$B$5:$B$434,$B$5,Countries!$D$5:$D$434,$A11,Countries!$I$5:$I$434,"&gt;0"),SUMIFS(Countries!$E$5:$E$434,Countries!$A$5:$A$434,$B$4,Countries!$B$5:$B$434,$B$5,Countries!$C$5:$C$434,$B$6,Countries!$D$5:$D$434,$A11,Countries!$I$5:$I$434,"&gt;0")))</f>
        <v/>
      </c>
      <c r="K11" s="43">
        <f>IF(IF($B$6="Total",SUMIFS(Countries!$F$5:$F$434,Countries!$A$5:$A$434,$B$4,Countries!$B$5:$B$434,$B$5,Countries!$D$5:$D$434,$A11,Countries!$J$5:$J$434,"&gt;0"),SUMIFS(Countries!$F$5:$F$434,Countries!$A$5:$A$434,$B$4,Countries!$B$5:$B$434,$B$5,Countries!$C$5:$C$434,$B$6,Countries!$D$5:$D$434,$A11,Countries!$J$5:$J$434,"&gt;0"))=0,"",IF($B$6="Total",SUMIFS(Countries!$J$5:$J$434,Countries!$A$5:$A$434,$B$4,Countries!$B$5:$B$434,$B$5,Countries!$D$5:$D$434,$A11,Countries!$F$5:$F$434,"&gt;0"),SUMIFS(Countries!$J$5:$J$434,Countries!$A$5:$A$434,$B$4,Countries!$B$5:$B$434,$B$5,Countries!$C$5:$C$434,$B$6,Countries!$D$5:$D$434,$A11,Countries!$F$5:$F$434,"&gt;0"))/IF($B$6="Total",SUMIFS(Countries!$F$5:$F$434,Countries!$A$5:$A$434,$B$4,Countries!$B$5:$B$434,$B$5,Countries!$D$5:$D$434,$A11,Countries!$J$5:$J$434,"&gt;0"),SUMIFS(Countries!$F$5:$F$434,Countries!$A$5:$A$434,$B$4,Countries!$B$5:$B$434,$B$5,Countries!$C$5:$C$434,$B$6,Countries!$D$5:$D$434,$A11,Countries!$J$5:$J$434,"&gt;0")))</f>
        <v/>
      </c>
      <c r="L11" s="44">
        <f>IF(OR(K11="",J11=""),"",(K11-J11)*100)</f>
        <v/>
      </c>
      <c r="M11" s="41">
        <f>IF(IF($B$6="Total",SUMIFS(Countries!$P$5:$P$434,Countries!$A$5:$A$434,$B$4,Countries!$B$5:$B$434,$B$5,Countries!$D$5:$D$434,$A11),SUMIFS(Countries!$P$5:$P$434,Countries!$A$5:$A$434,$B$4,Countries!$B$5:$B$434,$B$5,Countries!$C$5:$C$434,$B$6,Countries!$D$5:$D$434,$A11))=0,"",IF($B$6="Total",SUMIFS(Countries!$P$5:$P$434,Countries!$A$5:$A$434,$B$4,Countries!$B$5:$B$434,$B$5,Countries!$D$5:$D$434,$A11),SUMIFS(Countries!$P$5:$P$434,Countries!$A$5:$A$434,$B$4,Countries!$B$5:$B$434,$B$5,Countries!$C$5:$C$434,$B$6,Countries!$D$5:$D$434,$A11)))</f>
        <v/>
      </c>
      <c r="N11" s="41">
        <f>IF(IF($B$6="Total",SUMIFS(Countries!$Q$5:$Q$434,Countries!$A$5:$A$434,$B$4,Countries!$B$5:$B$434,$B$5,Countries!$D$5:$D$434,$A11),SUMIFS(Countries!$Q$5:$Q$434,Countries!$A$5:$A$434,$B$4,Countries!$B$5:$B$434,$B$5,Countries!$C$5:$C$434,$B$6,Countries!$D$5:$D$434,$A11))=0,"",IF($B$6="Total",SUMIFS(Countries!$Q$5:$Q$434,Countries!$A$5:$A$434,$B$4,Countries!$B$5:$B$434,$B$5,Countries!$D$5:$D$434,$A11),SUMIFS(Countries!$Q$5:$Q$434,Countries!$A$5:$A$434,$B$4,Countries!$B$5:$B$434,$B$5,Countries!$C$5:$C$434,$B$6,Countries!$D$5:$D$434,$A11)))</f>
        <v/>
      </c>
      <c r="O11" s="69">
        <f>IF(OR(N11="",M11="",M11=0,N11=0),"",N11-M11)</f>
        <v/>
      </c>
      <c r="P11" s="42">
        <f>IF(OR(N11="",M11="",M11=0,N11=0),"",N11/M11-1)</f>
        <v/>
      </c>
      <c r="Q11" s="43">
        <f>IF(IF($B$6="Total",SUMIFS(Countries!$E$5:$E$434,Countries!$A$5:$A$434,$B$4,Countries!$B$5:$B$434,$B$5,Countries!$D$5:$D$434,$A11,Countries!$P$5:$P$434,"&gt;0"),SUMIFS(Countries!$E$5:$E$434,Countries!$A$5:$A$434,$B$4,Countries!$B$5:$B$434,$B$5,Countries!$C$5:$C$434,$B$6,Countries!$D$5:$D$434,$A11,Countries!$P$5:$P$434,"&gt;0"))=0,"",IF($B$6="Total",SUMIFS(Countries!$P$5:$P$434,Countries!$A$5:$A$434,$B$4,Countries!$B$5:$B$434,$B$5,Countries!$D$5:$D$434,$A11,Countries!$E$5:$E$434,"&gt;0"),SUMIFS(Countries!$P$5:$P$434,Countries!$A$5:$A$434,$B$4,Countries!$B$5:$B$434,$B$5,Countries!$C$5:$C$434,$B$6,Countries!$D$5:$D$434,$A11,Countries!$E$5:$E$434,"&gt;0"))/IF($B$6="Total",SUMIFS(Countries!$E$5:$E$434,Countries!$A$5:$A$434,$B$4,Countries!$B$5:$B$434,$B$5,Countries!$D$5:$D$434,$A11,Countries!$P$5:$P$434,"&gt;0"),SUMIFS(Countries!$E$5:$E$434,Countries!$A$5:$A$434,$B$4,Countries!$B$5:$B$434,$B$5,Countries!$C$5:$C$434,$B$6,Countries!$D$5:$D$434,$A11,Countries!$P$5:$P$434,"&gt;0")))</f>
        <v/>
      </c>
      <c r="R11" s="43">
        <f>IF(IF($B$6="Total",SUMIFS(Countries!$F$5:$F$434,Countries!$A$5:$A$434,$B$4,Countries!$B$5:$B$434,$B$5,Countries!$D$5:$D$434,$A11,Countries!$Q$5:$Q$434,"&gt;0"),SUMIFS(Countries!$F$5:$F$434,Countries!$A$5:$A$434,$B$4,Countries!$B$5:$B$434,$B$5,Countries!$C$5:$C$434,$B$6,Countries!$D$5:$D$434,$A11,Countries!$Q$5:$Q$434,"&gt;0"))=0,"",IF($B$6="Total",SUMIFS(Countries!$Q$5:$Q$434,Countries!$A$5:$A$434,$B$4,Countries!$B$5:$B$434,$B$5,Countries!$D$5:$D$434,$A11,Countries!$F$5:$F$434,"&gt;0"),SUMIFS(Countries!$Q$5:$Q$434,Countries!$A$5:$A$434,$B$4,Countries!$B$5:$B$434,$B$5,Countries!$C$5:$C$434,$B$6,Countries!$D$5:$D$434,$A11,Countries!$F$5:$F$434,"&gt;0"))/IF($B$6="Total",SUMIFS(Countries!$F$5:$F$434,Countries!$A$5:$A$434,$B$4,Countries!$B$5:$B$434,$B$5,Countries!$D$5:$D$434,$A11,Countries!$Q$5:$Q$434,"&gt;0"),SUMIFS(Countries!$F$5:$F$434,Countries!$A$5:$A$434,$B$4,Countries!$B$5:$B$434,$B$5,Countries!$C$5:$C$434,$B$6,Countries!$D$5:$D$434,$A11,Countries!$Q$5:$Q$434,"&gt;0")))</f>
        <v/>
      </c>
      <c r="S11" s="44">
        <f>IF(OR(R11="",Q11=""),"",(R11-Q11)*100)</f>
        <v/>
      </c>
      <c r="T11" s="41">
        <f>IF(IF($B$6="Total",SUMIFS(Countries!$W$5:$W$434,Countries!$A$5:$A$434,$B$4,Countries!$B$5:$B$434,$B$5,Countries!$D$5:$D$434,$A11),SUMIFS(Countries!$W$5:$W$434,Countries!$A$5:$A$434,$B$4,Countries!$B$5:$B$434,$B$5,Countries!$C$5:$C$434,$B$6,Countries!$D$5:$D$434,$A11))=0,"",IF($B$6="Total",SUMIFS(Countries!$W$5:$W$434,Countries!$A$5:$A$434,$B$4,Countries!$B$5:$B$434,$B$5,Countries!$D$5:$D$434,$A11),SUMIFS(Countries!$W$5:$W$434,Countries!$A$5:$A$434,$B$4,Countries!$B$5:$B$434,$B$5,Countries!$C$5:$C$434,$B$6,Countries!$D$5:$D$434,$A11)))</f>
        <v/>
      </c>
      <c r="U11" s="41">
        <f>IF(IF($B$6="Total",SUMIFS(Countries!$X$5:$X$434,Countries!$A$5:$A$434,$B$4,Countries!$B$5:$B$434,$B$5,Countries!$D$5:$D$434,$A11),SUMIFS(Countries!$X$5:$X$434,Countries!$A$5:$A$434,$B$4,Countries!$B$5:$B$434,$B$5,Countries!$C$5:$C$434,$B$6,Countries!$D$5:$D$434,$A11))=0,"",IF($B$6="Total",SUMIFS(Countries!$X$5:$X$434,Countries!$A$5:$A$434,$B$4,Countries!$B$5:$B$434,$B$5,Countries!$D$5:$D$434,$A11),SUMIFS(Countries!$X$5:$X$434,Countries!$A$5:$A$434,$B$4,Countries!$B$5:$B$434,$B$5,Countries!$C$5:$C$434,$B$6,Countries!$D$5:$D$434,$A11)))</f>
        <v/>
      </c>
      <c r="V11" s="69">
        <f>IF(OR(U11="",T11="",T11=0,U11=0),"",U11-T11)</f>
        <v/>
      </c>
      <c r="W11" s="42">
        <f>IF(OR(U11="",T11="",T11=0,U11=0),"",U11/T11-1)</f>
        <v/>
      </c>
      <c r="X11" s="43">
        <f>IF(IF($B$6="Total",SUMIFS(Countries!$P$5:$P$434,Countries!$A$5:$A$434,$B$4,Countries!$B$5:$B$434,$B$5,Countries!$D$5:$D$434,$A11,Countries!$W$5:$W$434,"&gt;0"),SUMIFS(Countries!$P$5:$P$434,Countries!$A$5:$A$434,$B$4,Countries!$B$5:$B$434,$B$5,Countries!$C$5:$C$434,$B$6,Countries!$D$5:$D$434,$A11,Countries!$W$5:$W$434,"&gt;0"))=0,"",IF($B$6="Total",SUMIFS(Countries!$W$5:$W$434,Countries!$A$5:$A$434,$B$4,Countries!$B$5:$B$434,$B$5,Countries!$D$5:$D$434,$A11,Countries!$P$5:$P$434,"&gt;0"),SUMIFS(Countries!$W$5:$W$434,Countries!$A$5:$A$434,$B$4,Countries!$B$5:$B$434,$B$5,Countries!$C$5:$C$434,$B$6,Countries!$D$5:$D$434,$A11,Countries!$P$5:$P$434,"&gt;0"))/IF($B$6="Total",SUMIFS(Countries!$P$5:$P$434,Countries!$A$5:$A$434,$B$4,Countries!$B$5:$B$434,$B$5,Countries!$D$5:$D$434,$A11,Countries!$W$5:$W$434,"&gt;0"),SUMIFS(Countries!$P$5:$P$434,Countries!$A$5:$A$434,$B$4,Countries!$B$5:$B$434,$B$5,Countries!$C$5:$C$434,$B$6,Countries!$D$5:$D$434,$A11,Countries!$W$5:$W$434,"&gt;0")))</f>
        <v/>
      </c>
      <c r="Y11" s="43">
        <f>IF(IF($B$6="Total",SUMIFS(Countries!$Q$5:$Q$434,Countries!$A$5:$A$434,$B$4,Countries!$B$5:$B$434,$B$5,Countries!$D$5:$D$434,$A11,Countries!$X$5:$X$434,"&gt;0"),SUMIFS(Countries!$Q$5:$Q$434,Countries!$A$5:$A$434,$B$4,Countries!$B$5:$B$434,$B$5,Countries!$C$5:$C$434,$B$6,Countries!$D$5:$D$434,$A11,Countries!$X$5:$X$434,"&gt;0"))=0,"",IF($B$6="Total",SUMIFS(Countries!$X$5:$X$434,Countries!$A$5:$A$434,$B$4,Countries!$B$5:$B$434,$B$5,Countries!$D$5:$D$434,$A11,Countries!$Q$5:$Q$434,"&gt;0"),SUMIFS(Countries!$X$5:$X$434,Countries!$A$5:$A$434,$B$4,Countries!$B$5:$B$434,$B$5,Countries!$C$5:$C$434,$B$6,Countries!$D$5:$D$434,$A11,Countries!$Q$5:$Q$434,"&gt;0"))/IF($B$6="Total",SUMIFS(Countries!$Q$5:$Q$434,Countries!$A$5:$A$434,$B$4,Countries!$B$5:$B$434,$B$5,Countries!$D$5:$D$434,$A11,Countries!$X$5:$X$434,"&gt;0"),SUMIFS(Countries!$Q$5:$Q$434,Countries!$A$5:$A$434,$B$4,Countries!$B$5:$B$434,$B$5,Countries!$C$5:$C$434,$B$6,Countries!$D$5:$D$434,$A11,Countries!$X$5:$X$434,"&gt;0")))</f>
        <v/>
      </c>
      <c r="Z11" s="44">
        <f>IF(OR(Y11="",X11=""),"",(Y11-X11)*100)</f>
        <v/>
      </c>
      <c r="AA11" s="41">
        <f>IF(IF($B$6="Total",SUMIFS(Countries!$AD$5:$AD$434,Countries!$A$5:$A$434,$B$4,Countries!$B$5:$B$434,$B$5,Countries!$D$5:$D$434,$A11),SUMIFS(Countries!$AD$5:$AD$434,Countries!$A$5:$A$434,$B$4,Countries!$B$5:$B$434,$B$5,Countries!$C$5:$C$434,$B$6,Countries!$D$5:$D$434,$A11))=0,"",IF($B$6="Total",SUMIFS(Countries!$AD$5:$AD$434,Countries!$A$5:$A$434,$B$4,Countries!$B$5:$B$434,$B$5,Countries!$D$5:$D$434,$A11),SUMIFS(Countries!$AD$5:$AD$434,Countries!$A$5:$A$434,$B$4,Countries!$B$5:$B$434,$B$5,Countries!$C$5:$C$434,$B$6,Countries!$D$5:$D$434,$A11)))</f>
        <v/>
      </c>
      <c r="AB11" s="41">
        <f>IF(IF($B$6="Total",SUMIFS(Countries!$AE$5:$AE$434,Countries!$A$5:$A$434,$B$4,Countries!$B$5:$B$434,$B$5,Countries!$D$5:$D$434,$A11),SUMIFS(Countries!$AE$5:$AE$434,Countries!$A$5:$A$434,$B$4,Countries!$B$5:$B$434,$B$5,Countries!$C$5:$C$434,$B$6,Countries!$D$5:$D$434,$A11))=0,"",IF($B$6="Total",SUMIFS(Countries!$AE$5:$AE$434,Countries!$A$5:$A$434,$B$4,Countries!$B$5:$B$434,$B$5,Countries!$D$5:$D$434,$A11),SUMIFS(Countries!$AE$5:$AE$434,Countries!$A$5:$A$434,$B$4,Countries!$B$5:$B$434,$B$5,Countries!$C$5:$C$434,$B$6,Countries!$D$5:$D$434,$A11)))</f>
        <v/>
      </c>
      <c r="AC11" s="69">
        <f>IF(OR(AB11="",AA11="",AA11=0,AB11=0),"",AB11-AA11)</f>
        <v/>
      </c>
      <c r="AD11" s="42">
        <f>IF(OR(AB11="",AA11="",AA11=0,AB11=0),"",AB11/AA11-1)</f>
        <v/>
      </c>
      <c r="AE11" s="43">
        <f>IF(IF($B$6="Total",SUMIFS(Countries!$W$5:$W$434,Countries!$A$5:$A$434,$B$4,Countries!$B$5:$B$434,$B$5,Countries!$D$5:$D$434,$A11,Countries!$AD$5:$AD$434,"&gt;0"),SUMIFS(Countries!$W$5:$W$434,Countries!$A$5:$A$434,$B$4,Countries!$B$5:$B$434,$B$5,Countries!$C$5:$C$434,$B$6,Countries!$D$5:$D$434,$A11,Countries!$AD$5:$AD$434,"&gt;0"))=0,"",IF($B$6="Total",SUMIFS(Countries!$AD$5:$AD$434,Countries!$A$5:$A$434,$B$4,Countries!$B$5:$B$434,$B$5,Countries!$D$5:$D$434,$A11,Countries!$W$5:$W$434,"&gt;0"),SUMIFS(Countries!$AD$5:$AD$434,Countries!$A$5:$A$434,$B$4,Countries!$B$5:$B$434,$B$5,Countries!$C$5:$C$434,$B$6,Countries!$D$5:$D$434,$A11,Countries!$W$5:$W$434,"&gt;0"))/IF($B$6="Total",SUMIFS(Countries!$W$5:$W$434,Countries!$A$5:$A$434,$B$4,Countries!$B$5:$B$434,$B$5,Countries!$D$5:$D$434,$A11,Countries!$AD$5:$AD$434,"&gt;0"),SUMIFS(Countries!$W$5:$W$434,Countries!$A$5:$A$434,$B$4,Countries!$B$5:$B$434,$B$5,Countries!$C$5:$C$434,$B$6,Countries!$D$5:$D$434,$A11,Countries!$AD$5:$AD$434,"&gt;0")))</f>
        <v/>
      </c>
      <c r="AF11" s="43">
        <f>IF(IF($B$6="Total",SUMIFS(Countries!$X$5:$X$434,Countries!$A$5:$A$434,$B$4,Countries!$B$5:$B$434,$B$5,Countries!$D$5:$D$434,$A11,Countries!$AE$5:$AE$434,"&gt;0"),SUMIFS(Countries!$X$5:$X$434,Countries!$A$5:$A$434,$B$4,Countries!$B$5:$B$434,$B$5,Countries!$C$5:$C$434,$B$6,Countries!$D$5:$D$434,$A11,Countries!$AE$5:$AE$434,"&gt;0"))=0,"",IF($B$6="Total",SUMIFS(Countries!$AE$5:$AE$434,Countries!$A$5:$A$434,$B$4,Countries!$B$5:$B$434,$B$5,Countries!$D$5:$D$434,$A11,Countries!$X$5:$X$434,"&gt;0"),SUMIFS(Countries!$AE$5:$AE$434,Countries!$A$5:$A$434,$B$4,Countries!$B$5:$B$434,$B$5,Countries!$C$5:$C$434,$B$6,Countries!$D$5:$D$434,$A11,Countries!$X$5:$X$434,"&gt;0"))/IF($B$6="Total",SUMIFS(Countries!$X$5:$X$434,Countries!$A$5:$A$434,$B$4,Countries!$B$5:$B$434,$B$5,Countries!$D$5:$D$434,$A11,Countries!$AE$5:$AE$434,"&gt;0"),SUMIFS(Countries!$X$5:$X$434,Countries!$A$5:$A$434,$B$4,Countries!$B$5:$B$434,$B$5,Countries!$C$5:$C$434,$B$6,Countries!$D$5:$D$434,$A11,Countries!$AE$5:$AE$434,"&gt;0")))</f>
        <v/>
      </c>
      <c r="AG11" s="44">
        <f>IF(OR(AF11="",AE11=""),"",(AF11-AE11)*100)</f>
        <v/>
      </c>
      <c r="AH11" s="41">
        <f>IF(IF($B$6="Total",SUMIFS(Countries!$AK$5:$AK$434,Countries!$A$5:$A$434,$B$4,Countries!$B$5:$B$434,$B$5,Countries!$D$5:$D$434,$A11),SUMIFS(Countries!$AK$5:$AK$434,Countries!$A$5:$A$434,$B$4,Countries!$B$5:$B$434,$B$5,Countries!$C$5:$C$434,$B$6,Countries!$D$5:$D$434,$A11))=0,"",IF($B$6="Total",SUMIFS(Countries!$AK$5:$AK$434,Countries!$A$5:$A$434,$B$4,Countries!$B$5:$B$434,$B$5,Countries!$D$5:$D$434,$A11),SUMIFS(Countries!$AK$5:$AK$434,Countries!$A$5:$A$434,$B$4,Countries!$B$5:$B$434,$B$5,Countries!$C$5:$C$434,$B$6,Countries!$D$5:$D$434,$A11)))</f>
        <v/>
      </c>
      <c r="AI11" s="41">
        <f>IF(IF($B$6="Total",SUMIFS(Countries!$AL$5:$AL$434,Countries!$A$5:$A$434,$B$4,Countries!$B$5:$B$434,$B$5,Countries!$D$5:$D$434,$A11),SUMIFS(Countries!$AL$5:$AL$434,Countries!$A$5:$A$434,$B$4,Countries!$B$5:$B$434,$B$5,Countries!$C$5:$C$434,$B$6,Countries!$D$5:$D$434,$A11))=0,"",IF($B$6="Total",SUMIFS(Countries!$AL$5:$AL$434,Countries!$A$5:$A$434,$B$4,Countries!$B$5:$B$434,$B$5,Countries!$D$5:$D$434,$A11),SUMIFS(Countries!$AL$5:$AL$434,Countries!$A$5:$A$434,$B$4,Countries!$B$5:$B$434,$B$5,Countries!$C$5:$C$434,$B$6,Countries!$D$5:$D$434,$A11)))</f>
        <v/>
      </c>
      <c r="AJ11" s="69">
        <f>IF(OR(AI11="",AH11="",AH11=0,AI11=0),"",AI11-AH11)</f>
        <v/>
      </c>
      <c r="AK11" s="42">
        <f>IF(OR(AI11="",AH11="",AH11=0,AI11=0),"",AI11/AH11-1)</f>
        <v/>
      </c>
      <c r="AL11" s="43">
        <f>IF(IF($B$6="Total",SUMIFS(Countries!$AD$5:$AD$434,Countries!$A$5:$A$434,$B$4,Countries!$B$5:$B$434,$B$5,Countries!$D$5:$D$434,$A11,Countries!$AK$5:$AK$434,"&gt;0"),SUMIFS(Countries!$AD$5:$AD$434,Countries!$A$5:$A$434,$B$4,Countries!$B$5:$B$434,$B$5,Countries!$C$5:$C$434,$B$6,Countries!$D$5:$D$434,$A11,Countries!$AK$5:$AK$434,"&gt;0"))=0,"",IF($B$6="Total",SUMIFS(Countries!$AK$5:$AK$434,Countries!$A$5:$A$434,$B$4,Countries!$B$5:$B$434,$B$5,Countries!$D$5:$D$434,$A11,Countries!$AD$5:$AD$434,"&gt;0"),SUMIFS(Countries!$AK$5:$AK$434,Countries!$A$5:$A$434,$B$4,Countries!$B$5:$B$434,$B$5,Countries!$C$5:$C$434,$B$6,Countries!$D$5:$D$434,$A11,Countries!$AD$5:$AD$434,"&gt;0"))/IF($B$6="Total",SUMIFS(Countries!$AD$5:$AD$434,Countries!$A$5:$A$434,$B$4,Countries!$B$5:$B$434,$B$5,Countries!$D$5:$D$434,$A11,Countries!$AK$5:$AK$434,"&gt;0"),SUMIFS(Countries!$AD$5:$AD$434,Countries!$A$5:$A$434,$B$4,Countries!$B$5:$B$434,$B$5,Countries!$C$5:$C$434,$B$6,Countries!$D$5:$D$434,$A11,Countries!$AK$5:$AK$434,"&gt;0")))</f>
        <v/>
      </c>
      <c r="AM11" s="43">
        <f>IF(IF($B$6="Total",SUMIFS(Countries!$AE$5:$AE$434,Countries!$A$5:$A$434,$B$4,Countries!$B$5:$B$434,$B$5,Countries!$D$5:$D$434,$A11,Countries!$AL$5:$AL$434,"&gt;0"),SUMIFS(Countries!$AE$5:$AE$434,Countries!$A$5:$A$434,$B$4,Countries!$B$5:$B$434,$B$5,Countries!$C$5:$C$434,$B$6,Countries!$D$5:$D$434,$A11,Countries!$AL$5:$AL$434,"&gt;0"))=0,"",IF($B$6="Total",SUMIFS(Countries!$AL$5:$AL$434,Countries!$A$5:$A$434,$B$4,Countries!$B$5:$B$434,$B$5,Countries!$D$5:$D$434,$A11,Countries!$AE$5:$AE$434,"&gt;0"),SUMIFS(Countries!$AL$5:$AL$434,Countries!$A$5:$A$434,$B$4,Countries!$B$5:$B$434,$B$5,Countries!$C$5:$C$434,$B$6,Countries!$D$5:$D$434,$A11,Countries!$AE$5:$AE$434,"&gt;0"))/IF($B$6="Total",SUMIFS(Countries!$AE$5:$AE$434,Countries!$A$5:$A$434,$B$4,Countries!$B$5:$B$434,$B$5,Countries!$D$5:$D$434,$A11,Countries!$AL$5:$AL$434,"&gt;0"),SUMIFS(Countries!$AE$5:$AE$434,Countries!$A$5:$A$434,$B$4,Countries!$B$5:$B$434,$B$5,Countries!$C$5:$C$434,$B$6,Countries!$D$5:$D$434,$A11,Countries!$AL$5:$AL$434,"&gt;0")))</f>
        <v/>
      </c>
      <c r="AN11" s="44">
        <f>IF(OR(AM11="",AL11=""),"",(AM11-AL11)*100)</f>
        <v/>
      </c>
      <c r="AO11" s="41">
        <f>IF(IF($B$6="Total",SUMIFS(Countries!$AR$5:$AR$434,Countries!$A$5:$A$434,$B$4,Countries!$B$5:$B$434,$B$5,Countries!$D$5:$D$434,$A11),SUMIFS(Countries!$AR$5:$AR$434,Countries!$A$5:$A$434,$B$4,Countries!$B$5:$B$434,$B$5,Countries!$C$5:$C$434,$B$6,Countries!$D$5:$D$434,$A11))=0,"",IF($B$6="Total",SUMIFS(Countries!$AR$5:$AR$434,Countries!$A$5:$A$434,$B$4,Countries!$B$5:$B$434,$B$5,Countries!$D$5:$D$434,$A11),SUMIFS(Countries!$AR$5:$AR$434,Countries!$A$5:$A$434,$B$4,Countries!$B$5:$B$434,$B$5,Countries!$C$5:$C$434,$B$6,Countries!$D$5:$D$434,$A11)))</f>
        <v/>
      </c>
      <c r="AP11" s="41">
        <f>IF(IF($B$6="Total",SUMIFS(Countries!$AS$5:$AS$434,Countries!$A$5:$A$434,$B$4,Countries!$B$5:$B$434,$B$5,Countries!$D$5:$D$434,$A11),SUMIFS(Countries!$AS$5:$AS$434,Countries!$A$5:$A$434,$B$4,Countries!$B$5:$B$434,$B$5,Countries!$C$5:$C$434,$B$6,Countries!$D$5:$D$434,$A11))=0,"",IF($B$6="Total",SUMIFS(Countries!$AS$5:$AS$434,Countries!$A$5:$A$434,$B$4,Countries!$B$5:$B$434,$B$5,Countries!$D$5:$D$434,$A11),SUMIFS(Countries!$AS$5:$AS$434,Countries!$A$5:$A$434,$B$4,Countries!$B$5:$B$434,$B$5,Countries!$C$5:$C$434,$B$6,Countries!$D$5:$D$434,$A11)))</f>
        <v/>
      </c>
      <c r="AQ11" s="69">
        <f>IF(OR(AP11="",AO11="",AO11=0,AP11=0),"",AP11-AO11)</f>
        <v/>
      </c>
      <c r="AR11" s="42">
        <f>IF(OR(AP11="",AO11="",AO11=0,AP11=0),"",AP11/AO11-1)</f>
        <v/>
      </c>
      <c r="AS11" s="43">
        <f>IF(IF($B$6="Total",SUMIFS(Countries!$AK$5:$AK$434,Countries!$A$5:$A$434,$B$4,Countries!$B$5:$B$434,$B$5,Countries!$D$5:$D$434,$A11,Countries!$AR$5:$AR$434,"&gt;0"),SUMIFS(Countries!$AK$5:$AK$434,Countries!$A$5:$A$434,$B$4,Countries!$B$5:$B$434,$B$5,Countries!$C$5:$C$434,$B$6,Countries!$D$5:$D$434,$A11,Countries!$AR$5:$AR$434,"&gt;0"))=0,"",IF($B$6="Total",SUMIFS(Countries!$AR$5:$AR$434,Countries!$A$5:$A$434,$B$4,Countries!$B$5:$B$434,$B$5,Countries!$D$5:$D$434,$A11,Countries!$AK$5:$AK$434,"&gt;0"),SUMIFS(Countries!$AR$5:$AR$434,Countries!$A$5:$A$434,$B$4,Countries!$B$5:$B$434,$B$5,Countries!$C$5:$C$434,$B$6,Countries!$D$5:$D$434,$A11,Countries!$AK$5:$AK$434,"&gt;0"))/IF($B$6="Total",SUMIFS(Countries!$AK$5:$AK$434,Countries!$A$5:$A$434,$B$4,Countries!$B$5:$B$434,$B$5,Countries!$D$5:$D$434,$A11,Countries!$AR$5:$AR$434,"&gt;0"),SUMIFS(Countries!$AK$5:$AK$434,Countries!$A$5:$A$434,$B$4,Countries!$B$5:$B$434,$B$5,Countries!$C$5:$C$434,$B$6,Countries!$D$5:$D$434,$A11,Countries!$AR$5:$AR$434,"&gt;0")))</f>
        <v/>
      </c>
      <c r="AT11" s="43">
        <f>IF(IF($B$6="Total",SUMIFS(Countries!$AL$5:$AL$434,Countries!$A$5:$A$434,$B$4,Countries!$B$5:$B$434,$B$5,Countries!$D$5:$D$434,$A11,Countries!$AS$5:$AS$434,"&gt;0"),SUMIFS(Countries!$AL$5:$AL$434,Countries!$A$5:$A$434,$B$4,Countries!$B$5:$B$434,$B$5,Countries!$C$5:$C$434,$B$6,Countries!$D$5:$D$434,$A11,Countries!$AS$5:$AS$434,"&gt;0"))=0,"",IF($B$6="Total",SUMIFS(Countries!$AS$5:$AS$434,Countries!$A$5:$A$434,$B$4,Countries!$B$5:$B$434,$B$5,Countries!$D$5:$D$434,$A11,Countries!$AL$5:$AL$434,"&gt;0"),SUMIFS(Countries!$AS$5:$AS$434,Countries!$A$5:$A$434,$B$4,Countries!$B$5:$B$434,$B$5,Countries!$C$5:$C$434,$B$6,Countries!$D$5:$D$434,$A11,Countries!$AL$5:$AL$434,"&gt;0"))/IF($B$6="Total",SUMIFS(Countries!$AL$5:$AL$434,Countries!$A$5:$A$434,$B$4,Countries!$B$5:$B$434,$B$5,Countries!$D$5:$D$434,$A11,Countries!$AS$5:$AS$434,"&gt;0"),SUMIFS(Countries!$AL$5:$AL$434,Countries!$A$5:$A$434,$B$4,Countries!$B$5:$B$434,$B$5,Countries!$C$5:$C$434,$B$6,Countries!$D$5:$D$434,$A11,Countries!$AS$5:$AS$434,"&gt;0")))</f>
        <v/>
      </c>
      <c r="AU11" s="44">
        <f>IF(OR(AT11="",AS11=""),"",(AT11-AS11)*100)</f>
        <v/>
      </c>
      <c r="AV11" s="45">
        <f>IF(IF($B$6="Total",SUMIFS(Countries!$P$5:$P$434,Countries!$A$5:$A$434,$B$4,Countries!$B$5:$B$434,$B$5,Countries!$D$5:$D$434,$A11,Countries!$AR$5:$AR$434,"&gt;0"),SUMIFS(Countries!$P$5:$P$434,Countries!$A$5:$A$434,$B$4,Countries!$B$5:$B$434,$B$5,Countries!$C$5:$C$434,$B$6,Countries!$D$5:$D$434,$A11,Countries!$AR$5:$AR$434,"&gt;0"))=0,"",IF($B$6="Total",SUMIFS(Countries!$AR$5:$AR$434,Countries!$A$5:$A$434,$B$4,Countries!$B$5:$B$434,$B$5,Countries!$D$5:$D$434,$A11,Countries!$P$5:$P$434,"&gt;0"),SUMIFS(Countries!$AR$5:$AR$434,Countries!$A$5:$A$434,$B$4,Countries!$B$5:$B$434,$B$5,Countries!$C$5:$C$434,$B$6,Countries!$D$5:$D$434,$A11,Countries!$P$5:$P$434,"&gt;0"))/IF($B$6="Total",SUMIFS(Countries!$P$5:$P$434,Countries!$A$5:$A$434,$B$4,Countries!$B$5:$B$434,$B$5,Countries!$D$5:$D$434,$A11,Countries!$AR$5:$AR$434,"&gt;0"),SUMIFS(Countries!$P$5:$P$434,Countries!$A$5:$A$434,$B$4,Countries!$B$5:$B$434,$B$5,Countries!$C$5:$C$434,$B$6,Countries!$D$5:$D$434,$A11,Countries!$AR$5:$AR$434,"&gt;0")))</f>
        <v/>
      </c>
      <c r="AW11" s="45">
        <f>IF(IF($B$6="Total",SUMIFS(Countries!$Q$5:$Q$434,Countries!$A$5:$A$434,$B$4,Countries!$B$5:$B$434,$B$5,Countries!$D$5:$D$434,$A11,Countries!$AS$5:$AS$434,"&gt;0"),SUMIFS(Countries!$Q$5:$Q$434,Countries!$A$5:$A$434,$B$4,Countries!$B$5:$B$434,$B$5,Countries!$C$5:$C$434,$B$6,Countries!$D$5:$D$434,$A11,Countries!$AS$5:$AS$434,"&gt;0"))=0,"",IF($B$6="Total",SUMIFS(Countries!$AS$5:$AS$434,Countries!$A$5:$A$434,$B$4,Countries!$B$5:$B$434,$B$5,Countries!$D$5:$D$434,$A11,Countries!$Q$5:$Q$434,"&gt;0"),SUMIFS(Countries!$AS$5:$AS$434,Countries!$A$5:$A$434,$B$4,Countries!$B$5:$B$434,$B$5,Countries!$C$5:$C$434,$B$6,Countries!$D$5:$D$434,$A11,Countries!$Q$5:$Q$434,"&gt;0"))/IF($B$6="Total",SUMIFS(Countries!$Q$5:$Q$434,Countries!$A$5:$A$434,$B$4,Countries!$B$5:$B$434,$B$5,Countries!$D$5:$D$434,$A11,Countries!$AS$5:$AS$434,"&gt;0"),SUMIFS(Countries!$Q$5:$Q$434,Countries!$A$5:$A$434,$B$4,Countries!$B$5:$B$434,$B$5,Countries!$C$5:$C$434,$B$6,Countries!$D$5:$D$434,$A11,Countries!$AS$5:$AS$434,"&gt;0")))</f>
        <v/>
      </c>
      <c r="AX11" s="44">
        <f>IF(OR(AW11="",AV11=""),"",(AW11-AV11)*100)</f>
        <v/>
      </c>
      <c r="AY11" s="45">
        <f>IF(IF($B$6="Total",SUMIFS(Countries!$E$5:$E$434,Countries!$A$5:$A$434,$B$4,Countries!$B$5:$B$434,$B$5,Countries!$D$5:$D$434,$A11,Countries!$AR$5:$AR$434,"&gt;0"),SUMIFS(Countries!$E$5:$E$434,Countries!$A$5:$A$434,$B$4,Countries!$B$5:$B$434,$B$5,Countries!$C$5:$C$434,$B$6,Countries!$D$5:$D$434,$A11,Countries!$AR$5:$AR$434,"&gt;0"))=0,"",IF($B$6="Total",SUMIFS(Countries!$AR$5:$AR$434,Countries!$A$5:$A$434,$B$4,Countries!$B$5:$B$434,$B$5,Countries!$D$5:$D$434,$A11,Countries!$E$5:$E$434,"&gt;0"),SUMIFS(Countries!$AR$5:$AR$434,Countries!$A$5:$A$434,$B$4,Countries!$B$5:$B$434,$B$5,Countries!$C$5:$C$434,$B$6,Countries!$D$5:$D$434,$A11,Countries!$E$5:$E$434,"&gt;0"))/IF($B$6="Total",SUMIFS(Countries!$E$5:$E$434,Countries!$A$5:$A$434,$B$4,Countries!$B$5:$B$434,$B$5,Countries!$D$5:$D$434,$A11,Countries!$AR$5:$AR$434,"&gt;0"),SUMIFS(Countries!$E$5:$E$434,Countries!$A$5:$A$434,$B$4,Countries!$B$5:$B$434,$B$5,Countries!$C$5:$C$434,$B$6,Countries!$D$5:$D$434,$A11,Countries!$AR$5:$AR$434,"&gt;0")))</f>
        <v/>
      </c>
      <c r="AZ11" s="45">
        <f>IF(IF($B$6="Total",SUMIFS(Countries!$F$5:$F$434,Countries!$A$5:$A$434,$B$4,Countries!$B$5:$B$434,$B$5,Countries!$D$5:$D$434,$A11,Countries!$AS$5:$AS$434,"&gt;0"),SUMIFS(Countries!$F$5:$F$434,Countries!$A$5:$A$434,$B$4,Countries!$B$5:$B$434,$B$5,Countries!$C$5:$C$434,$B$6,Countries!$D$5:$D$434,$A11,Countries!$AS$5:$AS$434,"&gt;0"))=0,"",IF($B$6="Total",SUMIFS(Countries!$AS$5:$AS$434,Countries!$A$5:$A$434,$B$4,Countries!$B$5:$B$434,$B$5,Countries!$D$5:$D$434,$A11,Countries!$F$5:$F$434,"&gt;0"),SUMIFS(Countries!$AS$5:$AS$434,Countries!$A$5:$A$434,$B$4,Countries!$B$5:$B$434,$B$5,Countries!$C$5:$C$434,$B$6,Countries!$D$5:$D$434,$A11,Countries!$F$5:$F$434,"&gt;0"))/IF($B$6="Total",SUMIFS(Countries!$F$5:$F$434,Countries!$A$5:$A$434,$B$4,Countries!$B$5:$B$434,$B$5,Countries!$D$5:$D$434,$A11,Countries!$AS$5:$AS$434,"&gt;0"),SUMIFS(Countries!$F$5:$F$434,Countries!$A$5:$A$434,$B$4,Countries!$B$5:$B$434,$B$5,Countries!$C$5:$C$434,$B$6,Countries!$D$5:$D$434,$A11,Countries!$AS$5:$AS$434,"&gt;0")))</f>
        <v/>
      </c>
      <c r="BA11" s="44">
        <f>IF(OR(AZ11="",AY11=""),"",(AZ11-AY11)*100)</f>
        <v/>
      </c>
      <c r="BB11" s="40">
        <f>IF(AND(IF($B$6="Total",COUNTIFS(Countries!$A$5:$A$434,$B$4,Countries!$B$5:$B$434,$B$5,Countries!$D$5:$D$434,$A11,Countries!$F$5:$F$434,"&gt;0"),COUNTIFS(Countries!$A$5:$A$434,$B$4,Countries!$B$5:$B$434,$B$5,Countries!$C$5:$C$434,$B$6,Countries!$D$5:$D$434,$A11,Countries!$F$5:$F$434,"&gt;0"))=0,IF($B$6="Total",COUNTIFS(Countries!$A$5:$A$434,$B$4,Countries!$B$5:$B$434,$B$5,Countries!$D$5:$D$434,$A11,Countries!$E$5:$E$434,"&gt;0"),COUNTIFS(Countries!$A$5:$A$434,$B$4,Countries!$B$5:$B$434,$B$5,Countries!$C$5:$C$434,$B$6,Countries!$D$5:$D$434,$A11,Countries!$E$5:$E$434,"&gt;0"))=0),"",IF(IF($B$6="Total",COUNTIFS(Countries!$A$5:$A$434,$B$4,Countries!$B$5:$B$434,$B$5,Countries!$D$5:$D$434,$A11,Countries!$F$5:$F$434,"&gt;0"),COUNTIFS(Countries!$A$5:$A$434,$B$4,Countries!$B$5:$B$434,$B$5,Countries!$C$5:$C$434,$B$6,Countries!$D$5:$D$434,$A11,Countries!$F$5:$F$434,"&gt;0"))=0,"1-23Aug25 rows only",IF(IF($B$6="Total",COUNTIFS(Countries!$A$5:$A$434,$B$4,Countries!$B$5:$B$434,$B$5,Countries!$D$5:$D$434,$A11,Countries!$E$5:$E$434,"&gt;0"),COUNTIFS(Countries!$A$5:$A$434,$B$4,Countries!$B$5:$B$434,$B$5,Countries!$C$5:$C$434,$B$6,Countries!$D$5:$D$434,$A11,Countries!$E$5:$E$434,"&gt;0"))=0,"1-23Aug26 rows only",IF(IF($B$6="Total",COUNTIFS(Countries!$A$5:$A$434,$B$4,Countries!$B$5:$B$434,$B$5,Countries!$D$5:$D$434,$A11,Countries!$F$5:$F$434,"&gt;0"),COUNTIFS(Countries!$A$5:$A$434,$B$4,Countries!$B$5:$B$434,$B$5,Countries!$C$5:$C$434,$B$6,Countries!$D$5:$D$434,$A11,Countries!$F$5:$F$434,"&gt;0"))=IF($B$6="Total",COUNTIFS(Countries!$A$5:$A$434,$B$4,Countries!$B$5:$B$434,$B$5,Countries!$D$5:$D$434,$A11,Countries!$E$5:$E$434,"&gt;0"),COUNTIFS(Countries!$A$5:$A$434,$B$4,Countries!$B$5:$B$434,$B$5,Countries!$C$5:$C$434,$B$6,Countries!$D$5:$D$434,$A11,Countries!$E$5:$E$434,"&gt;0")),"Like-for-like","Partial — coverage differs"))))</f>
        <v/>
      </c>
    </row>
    <row r="12">
      <c r="A12" s="56" t="inlineStr">
        <is>
          <t>Spain</t>
        </is>
      </c>
      <c r="B12" s="41">
        <f>IF(IF($B$6="Total",SUMIFS(Countries!$E$5:$E$434,Countries!$A$5:$A$434,$B$4,Countries!$B$5:$B$434,$B$5,Countries!$D$5:$D$434,$A12),SUMIFS(Countries!$E$5:$E$434,Countries!$A$5:$A$434,$B$4,Countries!$B$5:$B$434,$B$5,Countries!$C$5:$C$434,$B$6,Countries!$D$5:$D$434,$A12))=0,"",IF($B$6="Total",SUMIFS(Countries!$E$5:$E$434,Countries!$A$5:$A$434,$B$4,Countries!$B$5:$B$434,$B$5,Countries!$D$5:$D$434,$A12),SUMIFS(Countries!$E$5:$E$434,Countries!$A$5:$A$434,$B$4,Countries!$B$5:$B$434,$B$5,Countries!$C$5:$C$434,$B$6,Countries!$D$5:$D$434,$A12)))</f>
        <v/>
      </c>
      <c r="C12" s="41">
        <f>IF(IF($B$6="Total",SUMIFS(Countries!$F$5:$F$434,Countries!$A$5:$A$434,$B$4,Countries!$B$5:$B$434,$B$5,Countries!$D$5:$D$434,$A12),SUMIFS(Countries!$F$5:$F$434,Countries!$A$5:$A$434,$B$4,Countries!$B$5:$B$434,$B$5,Countries!$C$5:$C$434,$B$6,Countries!$D$5:$D$434,$A12))=0,"",IF($B$6="Total",SUMIFS(Countries!$F$5:$F$434,Countries!$A$5:$A$434,$B$4,Countries!$B$5:$B$434,$B$5,Countries!$D$5:$D$434,$A12),SUMIFS(Countries!$F$5:$F$434,Countries!$A$5:$A$434,$B$4,Countries!$B$5:$B$434,$B$5,Countries!$C$5:$C$434,$B$6,Countries!$D$5:$D$434,$A12)))</f>
        <v/>
      </c>
      <c r="D12" s="69">
        <f>IF(OR(C12="",B12="",B12=0,C12=0),"",C12-B12)</f>
        <v/>
      </c>
      <c r="E12" s="42">
        <f>IF(OR(C12="",B12="",B12=0,C12=0),"",C12/B12-1)</f>
        <v/>
      </c>
      <c r="F12" s="41">
        <f>IF(IF($B$6="Total",SUMIFS(Countries!$I$5:$I$434,Countries!$A$5:$A$434,$B$4,Countries!$B$5:$B$434,$B$5,Countries!$D$5:$D$434,$A12),SUMIFS(Countries!$I$5:$I$434,Countries!$A$5:$A$434,$B$4,Countries!$B$5:$B$434,$B$5,Countries!$C$5:$C$434,$B$6,Countries!$D$5:$D$434,$A12))=0,"",IF($B$6="Total",SUMIFS(Countries!$I$5:$I$434,Countries!$A$5:$A$434,$B$4,Countries!$B$5:$B$434,$B$5,Countries!$D$5:$D$434,$A12),SUMIFS(Countries!$I$5:$I$434,Countries!$A$5:$A$434,$B$4,Countries!$B$5:$B$434,$B$5,Countries!$C$5:$C$434,$B$6,Countries!$D$5:$D$434,$A12)))</f>
        <v/>
      </c>
      <c r="G12" s="41">
        <f>IF(IF($B$6="Total",SUMIFS(Countries!$J$5:$J$434,Countries!$A$5:$A$434,$B$4,Countries!$B$5:$B$434,$B$5,Countries!$D$5:$D$434,$A12),SUMIFS(Countries!$J$5:$J$434,Countries!$A$5:$A$434,$B$4,Countries!$B$5:$B$434,$B$5,Countries!$C$5:$C$434,$B$6,Countries!$D$5:$D$434,$A12))=0,"",IF($B$6="Total",SUMIFS(Countries!$J$5:$J$434,Countries!$A$5:$A$434,$B$4,Countries!$B$5:$B$434,$B$5,Countries!$D$5:$D$434,$A12),SUMIFS(Countries!$J$5:$J$434,Countries!$A$5:$A$434,$B$4,Countries!$B$5:$B$434,$B$5,Countries!$C$5:$C$434,$B$6,Countries!$D$5:$D$434,$A12)))</f>
        <v/>
      </c>
      <c r="H12" s="69">
        <f>IF(OR(G12="",F12="",F12=0,G12=0),"",G12-F12)</f>
        <v/>
      </c>
      <c r="I12" s="42">
        <f>IF(OR(G12="",F12="",F12=0,G12=0),"",G12/F12-1)</f>
        <v/>
      </c>
      <c r="J12" s="43">
        <f>IF(IF($B$6="Total",SUMIFS(Countries!$E$5:$E$434,Countries!$A$5:$A$434,$B$4,Countries!$B$5:$B$434,$B$5,Countries!$D$5:$D$434,$A12,Countries!$I$5:$I$434,"&gt;0"),SUMIFS(Countries!$E$5:$E$434,Countries!$A$5:$A$434,$B$4,Countries!$B$5:$B$434,$B$5,Countries!$C$5:$C$434,$B$6,Countries!$D$5:$D$434,$A12,Countries!$I$5:$I$434,"&gt;0"))=0,"",IF($B$6="Total",SUMIFS(Countries!$I$5:$I$434,Countries!$A$5:$A$434,$B$4,Countries!$B$5:$B$434,$B$5,Countries!$D$5:$D$434,$A12,Countries!$E$5:$E$434,"&gt;0"),SUMIFS(Countries!$I$5:$I$434,Countries!$A$5:$A$434,$B$4,Countries!$B$5:$B$434,$B$5,Countries!$C$5:$C$434,$B$6,Countries!$D$5:$D$434,$A12,Countries!$E$5:$E$434,"&gt;0"))/IF($B$6="Total",SUMIFS(Countries!$E$5:$E$434,Countries!$A$5:$A$434,$B$4,Countries!$B$5:$B$434,$B$5,Countries!$D$5:$D$434,$A12,Countries!$I$5:$I$434,"&gt;0"),SUMIFS(Countries!$E$5:$E$434,Countries!$A$5:$A$434,$B$4,Countries!$B$5:$B$434,$B$5,Countries!$C$5:$C$434,$B$6,Countries!$D$5:$D$434,$A12,Countries!$I$5:$I$434,"&gt;0")))</f>
        <v/>
      </c>
      <c r="K12" s="43">
        <f>IF(IF($B$6="Total",SUMIFS(Countries!$F$5:$F$434,Countries!$A$5:$A$434,$B$4,Countries!$B$5:$B$434,$B$5,Countries!$D$5:$D$434,$A12,Countries!$J$5:$J$434,"&gt;0"),SUMIFS(Countries!$F$5:$F$434,Countries!$A$5:$A$434,$B$4,Countries!$B$5:$B$434,$B$5,Countries!$C$5:$C$434,$B$6,Countries!$D$5:$D$434,$A12,Countries!$J$5:$J$434,"&gt;0"))=0,"",IF($B$6="Total",SUMIFS(Countries!$J$5:$J$434,Countries!$A$5:$A$434,$B$4,Countries!$B$5:$B$434,$B$5,Countries!$D$5:$D$434,$A12,Countries!$F$5:$F$434,"&gt;0"),SUMIFS(Countries!$J$5:$J$434,Countries!$A$5:$A$434,$B$4,Countries!$B$5:$B$434,$B$5,Countries!$C$5:$C$434,$B$6,Countries!$D$5:$D$434,$A12,Countries!$F$5:$F$434,"&gt;0"))/IF($B$6="Total",SUMIFS(Countries!$F$5:$F$434,Countries!$A$5:$A$434,$B$4,Countries!$B$5:$B$434,$B$5,Countries!$D$5:$D$434,$A12,Countries!$J$5:$J$434,"&gt;0"),SUMIFS(Countries!$F$5:$F$434,Countries!$A$5:$A$434,$B$4,Countries!$B$5:$B$434,$B$5,Countries!$C$5:$C$434,$B$6,Countries!$D$5:$D$434,$A12,Countries!$J$5:$J$434,"&gt;0")))</f>
        <v/>
      </c>
      <c r="L12" s="44">
        <f>IF(OR(K12="",J12=""),"",(K12-J12)*100)</f>
        <v/>
      </c>
      <c r="M12" s="41">
        <f>IF(IF($B$6="Total",SUMIFS(Countries!$P$5:$P$434,Countries!$A$5:$A$434,$B$4,Countries!$B$5:$B$434,$B$5,Countries!$D$5:$D$434,$A12),SUMIFS(Countries!$P$5:$P$434,Countries!$A$5:$A$434,$B$4,Countries!$B$5:$B$434,$B$5,Countries!$C$5:$C$434,$B$6,Countries!$D$5:$D$434,$A12))=0,"",IF($B$6="Total",SUMIFS(Countries!$P$5:$P$434,Countries!$A$5:$A$434,$B$4,Countries!$B$5:$B$434,$B$5,Countries!$D$5:$D$434,$A12),SUMIFS(Countries!$P$5:$P$434,Countries!$A$5:$A$434,$B$4,Countries!$B$5:$B$434,$B$5,Countries!$C$5:$C$434,$B$6,Countries!$D$5:$D$434,$A12)))</f>
        <v/>
      </c>
      <c r="N12" s="41">
        <f>IF(IF($B$6="Total",SUMIFS(Countries!$Q$5:$Q$434,Countries!$A$5:$A$434,$B$4,Countries!$B$5:$B$434,$B$5,Countries!$D$5:$D$434,$A12),SUMIFS(Countries!$Q$5:$Q$434,Countries!$A$5:$A$434,$B$4,Countries!$B$5:$B$434,$B$5,Countries!$C$5:$C$434,$B$6,Countries!$D$5:$D$434,$A12))=0,"",IF($B$6="Total",SUMIFS(Countries!$Q$5:$Q$434,Countries!$A$5:$A$434,$B$4,Countries!$B$5:$B$434,$B$5,Countries!$D$5:$D$434,$A12),SUMIFS(Countries!$Q$5:$Q$434,Countries!$A$5:$A$434,$B$4,Countries!$B$5:$B$434,$B$5,Countries!$C$5:$C$434,$B$6,Countries!$D$5:$D$434,$A12)))</f>
        <v/>
      </c>
      <c r="O12" s="69">
        <f>IF(OR(N12="",M12="",M12=0,N12=0),"",N12-M12)</f>
        <v/>
      </c>
      <c r="P12" s="42">
        <f>IF(OR(N12="",M12="",M12=0,N12=0),"",N12/M12-1)</f>
        <v/>
      </c>
      <c r="Q12" s="43">
        <f>IF(IF($B$6="Total",SUMIFS(Countries!$E$5:$E$434,Countries!$A$5:$A$434,$B$4,Countries!$B$5:$B$434,$B$5,Countries!$D$5:$D$434,$A12,Countries!$P$5:$P$434,"&gt;0"),SUMIFS(Countries!$E$5:$E$434,Countries!$A$5:$A$434,$B$4,Countries!$B$5:$B$434,$B$5,Countries!$C$5:$C$434,$B$6,Countries!$D$5:$D$434,$A12,Countries!$P$5:$P$434,"&gt;0"))=0,"",IF($B$6="Total",SUMIFS(Countries!$P$5:$P$434,Countries!$A$5:$A$434,$B$4,Countries!$B$5:$B$434,$B$5,Countries!$D$5:$D$434,$A12,Countries!$E$5:$E$434,"&gt;0"),SUMIFS(Countries!$P$5:$P$434,Countries!$A$5:$A$434,$B$4,Countries!$B$5:$B$434,$B$5,Countries!$C$5:$C$434,$B$6,Countries!$D$5:$D$434,$A12,Countries!$E$5:$E$434,"&gt;0"))/IF($B$6="Total",SUMIFS(Countries!$E$5:$E$434,Countries!$A$5:$A$434,$B$4,Countries!$B$5:$B$434,$B$5,Countries!$D$5:$D$434,$A12,Countries!$P$5:$P$434,"&gt;0"),SUMIFS(Countries!$E$5:$E$434,Countries!$A$5:$A$434,$B$4,Countries!$B$5:$B$434,$B$5,Countries!$C$5:$C$434,$B$6,Countries!$D$5:$D$434,$A12,Countries!$P$5:$P$434,"&gt;0")))</f>
        <v/>
      </c>
      <c r="R12" s="43">
        <f>IF(IF($B$6="Total",SUMIFS(Countries!$F$5:$F$434,Countries!$A$5:$A$434,$B$4,Countries!$B$5:$B$434,$B$5,Countries!$D$5:$D$434,$A12,Countries!$Q$5:$Q$434,"&gt;0"),SUMIFS(Countries!$F$5:$F$434,Countries!$A$5:$A$434,$B$4,Countries!$B$5:$B$434,$B$5,Countries!$C$5:$C$434,$B$6,Countries!$D$5:$D$434,$A12,Countries!$Q$5:$Q$434,"&gt;0"))=0,"",IF($B$6="Total",SUMIFS(Countries!$Q$5:$Q$434,Countries!$A$5:$A$434,$B$4,Countries!$B$5:$B$434,$B$5,Countries!$D$5:$D$434,$A12,Countries!$F$5:$F$434,"&gt;0"),SUMIFS(Countries!$Q$5:$Q$434,Countries!$A$5:$A$434,$B$4,Countries!$B$5:$B$434,$B$5,Countries!$C$5:$C$434,$B$6,Countries!$D$5:$D$434,$A12,Countries!$F$5:$F$434,"&gt;0"))/IF($B$6="Total",SUMIFS(Countries!$F$5:$F$434,Countries!$A$5:$A$434,$B$4,Countries!$B$5:$B$434,$B$5,Countries!$D$5:$D$434,$A12,Countries!$Q$5:$Q$434,"&gt;0"),SUMIFS(Countries!$F$5:$F$434,Countries!$A$5:$A$434,$B$4,Countries!$B$5:$B$434,$B$5,Countries!$C$5:$C$434,$B$6,Countries!$D$5:$D$434,$A12,Countries!$Q$5:$Q$434,"&gt;0")))</f>
        <v/>
      </c>
      <c r="S12" s="44">
        <f>IF(OR(R12="",Q12=""),"",(R12-Q12)*100)</f>
        <v/>
      </c>
      <c r="T12" s="41">
        <f>IF(IF($B$6="Total",SUMIFS(Countries!$W$5:$W$434,Countries!$A$5:$A$434,$B$4,Countries!$B$5:$B$434,$B$5,Countries!$D$5:$D$434,$A12),SUMIFS(Countries!$W$5:$W$434,Countries!$A$5:$A$434,$B$4,Countries!$B$5:$B$434,$B$5,Countries!$C$5:$C$434,$B$6,Countries!$D$5:$D$434,$A12))=0,"",IF($B$6="Total",SUMIFS(Countries!$W$5:$W$434,Countries!$A$5:$A$434,$B$4,Countries!$B$5:$B$434,$B$5,Countries!$D$5:$D$434,$A12),SUMIFS(Countries!$W$5:$W$434,Countries!$A$5:$A$434,$B$4,Countries!$B$5:$B$434,$B$5,Countries!$C$5:$C$434,$B$6,Countries!$D$5:$D$434,$A12)))</f>
        <v/>
      </c>
      <c r="U12" s="41">
        <f>IF(IF($B$6="Total",SUMIFS(Countries!$X$5:$X$434,Countries!$A$5:$A$434,$B$4,Countries!$B$5:$B$434,$B$5,Countries!$D$5:$D$434,$A12),SUMIFS(Countries!$X$5:$X$434,Countries!$A$5:$A$434,$B$4,Countries!$B$5:$B$434,$B$5,Countries!$C$5:$C$434,$B$6,Countries!$D$5:$D$434,$A12))=0,"",IF($B$6="Total",SUMIFS(Countries!$X$5:$X$434,Countries!$A$5:$A$434,$B$4,Countries!$B$5:$B$434,$B$5,Countries!$D$5:$D$434,$A12),SUMIFS(Countries!$X$5:$X$434,Countries!$A$5:$A$434,$B$4,Countries!$B$5:$B$434,$B$5,Countries!$C$5:$C$434,$B$6,Countries!$D$5:$D$434,$A12)))</f>
        <v/>
      </c>
      <c r="V12" s="69">
        <f>IF(OR(U12="",T12="",T12=0,U12=0),"",U12-T12)</f>
        <v/>
      </c>
      <c r="W12" s="42">
        <f>IF(OR(U12="",T12="",T12=0,U12=0),"",U12/T12-1)</f>
        <v/>
      </c>
      <c r="X12" s="43">
        <f>IF(IF($B$6="Total",SUMIFS(Countries!$P$5:$P$434,Countries!$A$5:$A$434,$B$4,Countries!$B$5:$B$434,$B$5,Countries!$D$5:$D$434,$A12,Countries!$W$5:$W$434,"&gt;0"),SUMIFS(Countries!$P$5:$P$434,Countries!$A$5:$A$434,$B$4,Countries!$B$5:$B$434,$B$5,Countries!$C$5:$C$434,$B$6,Countries!$D$5:$D$434,$A12,Countries!$W$5:$W$434,"&gt;0"))=0,"",IF($B$6="Total",SUMIFS(Countries!$W$5:$W$434,Countries!$A$5:$A$434,$B$4,Countries!$B$5:$B$434,$B$5,Countries!$D$5:$D$434,$A12,Countries!$P$5:$P$434,"&gt;0"),SUMIFS(Countries!$W$5:$W$434,Countries!$A$5:$A$434,$B$4,Countries!$B$5:$B$434,$B$5,Countries!$C$5:$C$434,$B$6,Countries!$D$5:$D$434,$A12,Countries!$P$5:$P$434,"&gt;0"))/IF($B$6="Total",SUMIFS(Countries!$P$5:$P$434,Countries!$A$5:$A$434,$B$4,Countries!$B$5:$B$434,$B$5,Countries!$D$5:$D$434,$A12,Countries!$W$5:$W$434,"&gt;0"),SUMIFS(Countries!$P$5:$P$434,Countries!$A$5:$A$434,$B$4,Countries!$B$5:$B$434,$B$5,Countries!$C$5:$C$434,$B$6,Countries!$D$5:$D$434,$A12,Countries!$W$5:$W$434,"&gt;0")))</f>
        <v/>
      </c>
      <c r="Y12" s="43">
        <f>IF(IF($B$6="Total",SUMIFS(Countries!$Q$5:$Q$434,Countries!$A$5:$A$434,$B$4,Countries!$B$5:$B$434,$B$5,Countries!$D$5:$D$434,$A12,Countries!$X$5:$X$434,"&gt;0"),SUMIFS(Countries!$Q$5:$Q$434,Countries!$A$5:$A$434,$B$4,Countries!$B$5:$B$434,$B$5,Countries!$C$5:$C$434,$B$6,Countries!$D$5:$D$434,$A12,Countries!$X$5:$X$434,"&gt;0"))=0,"",IF($B$6="Total",SUMIFS(Countries!$X$5:$X$434,Countries!$A$5:$A$434,$B$4,Countries!$B$5:$B$434,$B$5,Countries!$D$5:$D$434,$A12,Countries!$Q$5:$Q$434,"&gt;0"),SUMIFS(Countries!$X$5:$X$434,Countries!$A$5:$A$434,$B$4,Countries!$B$5:$B$434,$B$5,Countries!$C$5:$C$434,$B$6,Countries!$D$5:$D$434,$A12,Countries!$Q$5:$Q$434,"&gt;0"))/IF($B$6="Total",SUMIFS(Countries!$Q$5:$Q$434,Countries!$A$5:$A$434,$B$4,Countries!$B$5:$B$434,$B$5,Countries!$D$5:$D$434,$A12,Countries!$X$5:$X$434,"&gt;0"),SUMIFS(Countries!$Q$5:$Q$434,Countries!$A$5:$A$434,$B$4,Countries!$B$5:$B$434,$B$5,Countries!$C$5:$C$434,$B$6,Countries!$D$5:$D$434,$A12,Countries!$X$5:$X$434,"&gt;0")))</f>
        <v/>
      </c>
      <c r="Z12" s="44">
        <f>IF(OR(Y12="",X12=""),"",(Y12-X12)*100)</f>
        <v/>
      </c>
      <c r="AA12" s="41">
        <f>IF(IF($B$6="Total",SUMIFS(Countries!$AD$5:$AD$434,Countries!$A$5:$A$434,$B$4,Countries!$B$5:$B$434,$B$5,Countries!$D$5:$D$434,$A12),SUMIFS(Countries!$AD$5:$AD$434,Countries!$A$5:$A$434,$B$4,Countries!$B$5:$B$434,$B$5,Countries!$C$5:$C$434,$B$6,Countries!$D$5:$D$434,$A12))=0,"",IF($B$6="Total",SUMIFS(Countries!$AD$5:$AD$434,Countries!$A$5:$A$434,$B$4,Countries!$B$5:$B$434,$B$5,Countries!$D$5:$D$434,$A12),SUMIFS(Countries!$AD$5:$AD$434,Countries!$A$5:$A$434,$B$4,Countries!$B$5:$B$434,$B$5,Countries!$C$5:$C$434,$B$6,Countries!$D$5:$D$434,$A12)))</f>
        <v/>
      </c>
      <c r="AB12" s="41">
        <f>IF(IF($B$6="Total",SUMIFS(Countries!$AE$5:$AE$434,Countries!$A$5:$A$434,$B$4,Countries!$B$5:$B$434,$B$5,Countries!$D$5:$D$434,$A12),SUMIFS(Countries!$AE$5:$AE$434,Countries!$A$5:$A$434,$B$4,Countries!$B$5:$B$434,$B$5,Countries!$C$5:$C$434,$B$6,Countries!$D$5:$D$434,$A12))=0,"",IF($B$6="Total",SUMIFS(Countries!$AE$5:$AE$434,Countries!$A$5:$A$434,$B$4,Countries!$B$5:$B$434,$B$5,Countries!$D$5:$D$434,$A12),SUMIFS(Countries!$AE$5:$AE$434,Countries!$A$5:$A$434,$B$4,Countries!$B$5:$B$434,$B$5,Countries!$C$5:$C$434,$B$6,Countries!$D$5:$D$434,$A12)))</f>
        <v/>
      </c>
      <c r="AC12" s="69">
        <f>IF(OR(AB12="",AA12="",AA12=0,AB12=0),"",AB12-AA12)</f>
        <v/>
      </c>
      <c r="AD12" s="42">
        <f>IF(OR(AB12="",AA12="",AA12=0,AB12=0),"",AB12/AA12-1)</f>
        <v/>
      </c>
      <c r="AE12" s="43">
        <f>IF(IF($B$6="Total",SUMIFS(Countries!$W$5:$W$434,Countries!$A$5:$A$434,$B$4,Countries!$B$5:$B$434,$B$5,Countries!$D$5:$D$434,$A12,Countries!$AD$5:$AD$434,"&gt;0"),SUMIFS(Countries!$W$5:$W$434,Countries!$A$5:$A$434,$B$4,Countries!$B$5:$B$434,$B$5,Countries!$C$5:$C$434,$B$6,Countries!$D$5:$D$434,$A12,Countries!$AD$5:$AD$434,"&gt;0"))=0,"",IF($B$6="Total",SUMIFS(Countries!$AD$5:$AD$434,Countries!$A$5:$A$434,$B$4,Countries!$B$5:$B$434,$B$5,Countries!$D$5:$D$434,$A12,Countries!$W$5:$W$434,"&gt;0"),SUMIFS(Countries!$AD$5:$AD$434,Countries!$A$5:$A$434,$B$4,Countries!$B$5:$B$434,$B$5,Countries!$C$5:$C$434,$B$6,Countries!$D$5:$D$434,$A12,Countries!$W$5:$W$434,"&gt;0"))/IF($B$6="Total",SUMIFS(Countries!$W$5:$W$434,Countries!$A$5:$A$434,$B$4,Countries!$B$5:$B$434,$B$5,Countries!$D$5:$D$434,$A12,Countries!$AD$5:$AD$434,"&gt;0"),SUMIFS(Countries!$W$5:$W$434,Countries!$A$5:$A$434,$B$4,Countries!$B$5:$B$434,$B$5,Countries!$C$5:$C$434,$B$6,Countries!$D$5:$D$434,$A12,Countries!$AD$5:$AD$434,"&gt;0")))</f>
        <v/>
      </c>
      <c r="AF12" s="43">
        <f>IF(IF($B$6="Total",SUMIFS(Countries!$X$5:$X$434,Countries!$A$5:$A$434,$B$4,Countries!$B$5:$B$434,$B$5,Countries!$D$5:$D$434,$A12,Countries!$AE$5:$AE$434,"&gt;0"),SUMIFS(Countries!$X$5:$X$434,Countries!$A$5:$A$434,$B$4,Countries!$B$5:$B$434,$B$5,Countries!$C$5:$C$434,$B$6,Countries!$D$5:$D$434,$A12,Countries!$AE$5:$AE$434,"&gt;0"))=0,"",IF($B$6="Total",SUMIFS(Countries!$AE$5:$AE$434,Countries!$A$5:$A$434,$B$4,Countries!$B$5:$B$434,$B$5,Countries!$D$5:$D$434,$A12,Countries!$X$5:$X$434,"&gt;0"),SUMIFS(Countries!$AE$5:$AE$434,Countries!$A$5:$A$434,$B$4,Countries!$B$5:$B$434,$B$5,Countries!$C$5:$C$434,$B$6,Countries!$D$5:$D$434,$A12,Countries!$X$5:$X$434,"&gt;0"))/IF($B$6="Total",SUMIFS(Countries!$X$5:$X$434,Countries!$A$5:$A$434,$B$4,Countries!$B$5:$B$434,$B$5,Countries!$D$5:$D$434,$A12,Countries!$AE$5:$AE$434,"&gt;0"),SUMIFS(Countries!$X$5:$X$434,Countries!$A$5:$A$434,$B$4,Countries!$B$5:$B$434,$B$5,Countries!$C$5:$C$434,$B$6,Countries!$D$5:$D$434,$A12,Countries!$AE$5:$AE$434,"&gt;0")))</f>
        <v/>
      </c>
      <c r="AG12" s="44">
        <f>IF(OR(AF12="",AE12=""),"",(AF12-AE12)*100)</f>
        <v/>
      </c>
      <c r="AH12" s="41">
        <f>IF(IF($B$6="Total",SUMIFS(Countries!$AK$5:$AK$434,Countries!$A$5:$A$434,$B$4,Countries!$B$5:$B$434,$B$5,Countries!$D$5:$D$434,$A12),SUMIFS(Countries!$AK$5:$AK$434,Countries!$A$5:$A$434,$B$4,Countries!$B$5:$B$434,$B$5,Countries!$C$5:$C$434,$B$6,Countries!$D$5:$D$434,$A12))=0,"",IF($B$6="Total",SUMIFS(Countries!$AK$5:$AK$434,Countries!$A$5:$A$434,$B$4,Countries!$B$5:$B$434,$B$5,Countries!$D$5:$D$434,$A12),SUMIFS(Countries!$AK$5:$AK$434,Countries!$A$5:$A$434,$B$4,Countries!$B$5:$B$434,$B$5,Countries!$C$5:$C$434,$B$6,Countries!$D$5:$D$434,$A12)))</f>
        <v/>
      </c>
      <c r="AI12" s="41">
        <f>IF(IF($B$6="Total",SUMIFS(Countries!$AL$5:$AL$434,Countries!$A$5:$A$434,$B$4,Countries!$B$5:$B$434,$B$5,Countries!$D$5:$D$434,$A12),SUMIFS(Countries!$AL$5:$AL$434,Countries!$A$5:$A$434,$B$4,Countries!$B$5:$B$434,$B$5,Countries!$C$5:$C$434,$B$6,Countries!$D$5:$D$434,$A12))=0,"",IF($B$6="Total",SUMIFS(Countries!$AL$5:$AL$434,Countries!$A$5:$A$434,$B$4,Countries!$B$5:$B$434,$B$5,Countries!$D$5:$D$434,$A12),SUMIFS(Countries!$AL$5:$AL$434,Countries!$A$5:$A$434,$B$4,Countries!$B$5:$B$434,$B$5,Countries!$C$5:$C$434,$B$6,Countries!$D$5:$D$434,$A12)))</f>
        <v/>
      </c>
      <c r="AJ12" s="69">
        <f>IF(OR(AI12="",AH12="",AH12=0,AI12=0),"",AI12-AH12)</f>
        <v/>
      </c>
      <c r="AK12" s="42">
        <f>IF(OR(AI12="",AH12="",AH12=0,AI12=0),"",AI12/AH12-1)</f>
        <v/>
      </c>
      <c r="AL12" s="43">
        <f>IF(IF($B$6="Total",SUMIFS(Countries!$AD$5:$AD$434,Countries!$A$5:$A$434,$B$4,Countries!$B$5:$B$434,$B$5,Countries!$D$5:$D$434,$A12,Countries!$AK$5:$AK$434,"&gt;0"),SUMIFS(Countries!$AD$5:$AD$434,Countries!$A$5:$A$434,$B$4,Countries!$B$5:$B$434,$B$5,Countries!$C$5:$C$434,$B$6,Countries!$D$5:$D$434,$A12,Countries!$AK$5:$AK$434,"&gt;0"))=0,"",IF($B$6="Total",SUMIFS(Countries!$AK$5:$AK$434,Countries!$A$5:$A$434,$B$4,Countries!$B$5:$B$434,$B$5,Countries!$D$5:$D$434,$A12,Countries!$AD$5:$AD$434,"&gt;0"),SUMIFS(Countries!$AK$5:$AK$434,Countries!$A$5:$A$434,$B$4,Countries!$B$5:$B$434,$B$5,Countries!$C$5:$C$434,$B$6,Countries!$D$5:$D$434,$A12,Countries!$AD$5:$AD$434,"&gt;0"))/IF($B$6="Total",SUMIFS(Countries!$AD$5:$AD$434,Countries!$A$5:$A$434,$B$4,Countries!$B$5:$B$434,$B$5,Countries!$D$5:$D$434,$A12,Countries!$AK$5:$AK$434,"&gt;0"),SUMIFS(Countries!$AD$5:$AD$434,Countries!$A$5:$A$434,$B$4,Countries!$B$5:$B$434,$B$5,Countries!$C$5:$C$434,$B$6,Countries!$D$5:$D$434,$A12,Countries!$AK$5:$AK$434,"&gt;0")))</f>
        <v/>
      </c>
      <c r="AM12" s="43">
        <f>IF(IF($B$6="Total",SUMIFS(Countries!$AE$5:$AE$434,Countries!$A$5:$A$434,$B$4,Countries!$B$5:$B$434,$B$5,Countries!$D$5:$D$434,$A12,Countries!$AL$5:$AL$434,"&gt;0"),SUMIFS(Countries!$AE$5:$AE$434,Countries!$A$5:$A$434,$B$4,Countries!$B$5:$B$434,$B$5,Countries!$C$5:$C$434,$B$6,Countries!$D$5:$D$434,$A12,Countries!$AL$5:$AL$434,"&gt;0"))=0,"",IF($B$6="Total",SUMIFS(Countries!$AL$5:$AL$434,Countries!$A$5:$A$434,$B$4,Countries!$B$5:$B$434,$B$5,Countries!$D$5:$D$434,$A12,Countries!$AE$5:$AE$434,"&gt;0"),SUMIFS(Countries!$AL$5:$AL$434,Countries!$A$5:$A$434,$B$4,Countries!$B$5:$B$434,$B$5,Countries!$C$5:$C$434,$B$6,Countries!$D$5:$D$434,$A12,Countries!$AE$5:$AE$434,"&gt;0"))/IF($B$6="Total",SUMIFS(Countries!$AE$5:$AE$434,Countries!$A$5:$A$434,$B$4,Countries!$B$5:$B$434,$B$5,Countries!$D$5:$D$434,$A12,Countries!$AL$5:$AL$434,"&gt;0"),SUMIFS(Countries!$AE$5:$AE$434,Countries!$A$5:$A$434,$B$4,Countries!$B$5:$B$434,$B$5,Countries!$C$5:$C$434,$B$6,Countries!$D$5:$D$434,$A12,Countries!$AL$5:$AL$434,"&gt;0")))</f>
        <v/>
      </c>
      <c r="AN12" s="44">
        <f>IF(OR(AM12="",AL12=""),"",(AM12-AL12)*100)</f>
        <v/>
      </c>
      <c r="AO12" s="41">
        <f>IF(IF($B$6="Total",SUMIFS(Countries!$AR$5:$AR$434,Countries!$A$5:$A$434,$B$4,Countries!$B$5:$B$434,$B$5,Countries!$D$5:$D$434,$A12),SUMIFS(Countries!$AR$5:$AR$434,Countries!$A$5:$A$434,$B$4,Countries!$B$5:$B$434,$B$5,Countries!$C$5:$C$434,$B$6,Countries!$D$5:$D$434,$A12))=0,"",IF($B$6="Total",SUMIFS(Countries!$AR$5:$AR$434,Countries!$A$5:$A$434,$B$4,Countries!$B$5:$B$434,$B$5,Countries!$D$5:$D$434,$A12),SUMIFS(Countries!$AR$5:$AR$434,Countries!$A$5:$A$434,$B$4,Countries!$B$5:$B$434,$B$5,Countries!$C$5:$C$434,$B$6,Countries!$D$5:$D$434,$A12)))</f>
        <v/>
      </c>
      <c r="AP12" s="41">
        <f>IF(IF($B$6="Total",SUMIFS(Countries!$AS$5:$AS$434,Countries!$A$5:$A$434,$B$4,Countries!$B$5:$B$434,$B$5,Countries!$D$5:$D$434,$A12),SUMIFS(Countries!$AS$5:$AS$434,Countries!$A$5:$A$434,$B$4,Countries!$B$5:$B$434,$B$5,Countries!$C$5:$C$434,$B$6,Countries!$D$5:$D$434,$A12))=0,"",IF($B$6="Total",SUMIFS(Countries!$AS$5:$AS$434,Countries!$A$5:$A$434,$B$4,Countries!$B$5:$B$434,$B$5,Countries!$D$5:$D$434,$A12),SUMIFS(Countries!$AS$5:$AS$434,Countries!$A$5:$A$434,$B$4,Countries!$B$5:$B$434,$B$5,Countries!$C$5:$C$434,$B$6,Countries!$D$5:$D$434,$A12)))</f>
        <v/>
      </c>
      <c r="AQ12" s="69">
        <f>IF(OR(AP12="",AO12="",AO12=0,AP12=0),"",AP12-AO12)</f>
        <v/>
      </c>
      <c r="AR12" s="42">
        <f>IF(OR(AP12="",AO12="",AO12=0,AP12=0),"",AP12/AO12-1)</f>
        <v/>
      </c>
      <c r="AS12" s="43">
        <f>IF(IF($B$6="Total",SUMIFS(Countries!$AK$5:$AK$434,Countries!$A$5:$A$434,$B$4,Countries!$B$5:$B$434,$B$5,Countries!$D$5:$D$434,$A12,Countries!$AR$5:$AR$434,"&gt;0"),SUMIFS(Countries!$AK$5:$AK$434,Countries!$A$5:$A$434,$B$4,Countries!$B$5:$B$434,$B$5,Countries!$C$5:$C$434,$B$6,Countries!$D$5:$D$434,$A12,Countries!$AR$5:$AR$434,"&gt;0"))=0,"",IF($B$6="Total",SUMIFS(Countries!$AR$5:$AR$434,Countries!$A$5:$A$434,$B$4,Countries!$B$5:$B$434,$B$5,Countries!$D$5:$D$434,$A12,Countries!$AK$5:$AK$434,"&gt;0"),SUMIFS(Countries!$AR$5:$AR$434,Countries!$A$5:$A$434,$B$4,Countries!$B$5:$B$434,$B$5,Countries!$C$5:$C$434,$B$6,Countries!$D$5:$D$434,$A12,Countries!$AK$5:$AK$434,"&gt;0"))/IF($B$6="Total",SUMIFS(Countries!$AK$5:$AK$434,Countries!$A$5:$A$434,$B$4,Countries!$B$5:$B$434,$B$5,Countries!$D$5:$D$434,$A12,Countries!$AR$5:$AR$434,"&gt;0"),SUMIFS(Countries!$AK$5:$AK$434,Countries!$A$5:$A$434,$B$4,Countries!$B$5:$B$434,$B$5,Countries!$C$5:$C$434,$B$6,Countries!$D$5:$D$434,$A12,Countries!$AR$5:$AR$434,"&gt;0")))</f>
        <v/>
      </c>
      <c r="AT12" s="43">
        <f>IF(IF($B$6="Total",SUMIFS(Countries!$AL$5:$AL$434,Countries!$A$5:$A$434,$B$4,Countries!$B$5:$B$434,$B$5,Countries!$D$5:$D$434,$A12,Countries!$AS$5:$AS$434,"&gt;0"),SUMIFS(Countries!$AL$5:$AL$434,Countries!$A$5:$A$434,$B$4,Countries!$B$5:$B$434,$B$5,Countries!$C$5:$C$434,$B$6,Countries!$D$5:$D$434,$A12,Countries!$AS$5:$AS$434,"&gt;0"))=0,"",IF($B$6="Total",SUMIFS(Countries!$AS$5:$AS$434,Countries!$A$5:$A$434,$B$4,Countries!$B$5:$B$434,$B$5,Countries!$D$5:$D$434,$A12,Countries!$AL$5:$AL$434,"&gt;0"),SUMIFS(Countries!$AS$5:$AS$434,Countries!$A$5:$A$434,$B$4,Countries!$B$5:$B$434,$B$5,Countries!$C$5:$C$434,$B$6,Countries!$D$5:$D$434,$A12,Countries!$AL$5:$AL$434,"&gt;0"))/IF($B$6="Total",SUMIFS(Countries!$AL$5:$AL$434,Countries!$A$5:$A$434,$B$4,Countries!$B$5:$B$434,$B$5,Countries!$D$5:$D$434,$A12,Countries!$AS$5:$AS$434,"&gt;0"),SUMIFS(Countries!$AL$5:$AL$434,Countries!$A$5:$A$434,$B$4,Countries!$B$5:$B$434,$B$5,Countries!$C$5:$C$434,$B$6,Countries!$D$5:$D$434,$A12,Countries!$AS$5:$AS$434,"&gt;0")))</f>
        <v/>
      </c>
      <c r="AU12" s="44">
        <f>IF(OR(AT12="",AS12=""),"",(AT12-AS12)*100)</f>
        <v/>
      </c>
      <c r="AV12" s="45">
        <f>IF(IF($B$6="Total",SUMIFS(Countries!$P$5:$P$434,Countries!$A$5:$A$434,$B$4,Countries!$B$5:$B$434,$B$5,Countries!$D$5:$D$434,$A12,Countries!$AR$5:$AR$434,"&gt;0"),SUMIFS(Countries!$P$5:$P$434,Countries!$A$5:$A$434,$B$4,Countries!$B$5:$B$434,$B$5,Countries!$C$5:$C$434,$B$6,Countries!$D$5:$D$434,$A12,Countries!$AR$5:$AR$434,"&gt;0"))=0,"",IF($B$6="Total",SUMIFS(Countries!$AR$5:$AR$434,Countries!$A$5:$A$434,$B$4,Countries!$B$5:$B$434,$B$5,Countries!$D$5:$D$434,$A12,Countries!$P$5:$P$434,"&gt;0"),SUMIFS(Countries!$AR$5:$AR$434,Countries!$A$5:$A$434,$B$4,Countries!$B$5:$B$434,$B$5,Countries!$C$5:$C$434,$B$6,Countries!$D$5:$D$434,$A12,Countries!$P$5:$P$434,"&gt;0"))/IF($B$6="Total",SUMIFS(Countries!$P$5:$P$434,Countries!$A$5:$A$434,$B$4,Countries!$B$5:$B$434,$B$5,Countries!$D$5:$D$434,$A12,Countries!$AR$5:$AR$434,"&gt;0"),SUMIFS(Countries!$P$5:$P$434,Countries!$A$5:$A$434,$B$4,Countries!$B$5:$B$434,$B$5,Countries!$C$5:$C$434,$B$6,Countries!$D$5:$D$434,$A12,Countries!$AR$5:$AR$434,"&gt;0")))</f>
        <v/>
      </c>
      <c r="AW12" s="45">
        <f>IF(IF($B$6="Total",SUMIFS(Countries!$Q$5:$Q$434,Countries!$A$5:$A$434,$B$4,Countries!$B$5:$B$434,$B$5,Countries!$D$5:$D$434,$A12,Countries!$AS$5:$AS$434,"&gt;0"),SUMIFS(Countries!$Q$5:$Q$434,Countries!$A$5:$A$434,$B$4,Countries!$B$5:$B$434,$B$5,Countries!$C$5:$C$434,$B$6,Countries!$D$5:$D$434,$A12,Countries!$AS$5:$AS$434,"&gt;0"))=0,"",IF($B$6="Total",SUMIFS(Countries!$AS$5:$AS$434,Countries!$A$5:$A$434,$B$4,Countries!$B$5:$B$434,$B$5,Countries!$D$5:$D$434,$A12,Countries!$Q$5:$Q$434,"&gt;0"),SUMIFS(Countries!$AS$5:$AS$434,Countries!$A$5:$A$434,$B$4,Countries!$B$5:$B$434,$B$5,Countries!$C$5:$C$434,$B$6,Countries!$D$5:$D$434,$A12,Countries!$Q$5:$Q$434,"&gt;0"))/IF($B$6="Total",SUMIFS(Countries!$Q$5:$Q$434,Countries!$A$5:$A$434,$B$4,Countries!$B$5:$B$434,$B$5,Countries!$D$5:$D$434,$A12,Countries!$AS$5:$AS$434,"&gt;0"),SUMIFS(Countries!$Q$5:$Q$434,Countries!$A$5:$A$434,$B$4,Countries!$B$5:$B$434,$B$5,Countries!$C$5:$C$434,$B$6,Countries!$D$5:$D$434,$A12,Countries!$AS$5:$AS$434,"&gt;0")))</f>
        <v/>
      </c>
      <c r="AX12" s="44">
        <f>IF(OR(AW12="",AV12=""),"",(AW12-AV12)*100)</f>
        <v/>
      </c>
      <c r="AY12" s="45">
        <f>IF(IF($B$6="Total",SUMIFS(Countries!$E$5:$E$434,Countries!$A$5:$A$434,$B$4,Countries!$B$5:$B$434,$B$5,Countries!$D$5:$D$434,$A12,Countries!$AR$5:$AR$434,"&gt;0"),SUMIFS(Countries!$E$5:$E$434,Countries!$A$5:$A$434,$B$4,Countries!$B$5:$B$434,$B$5,Countries!$C$5:$C$434,$B$6,Countries!$D$5:$D$434,$A12,Countries!$AR$5:$AR$434,"&gt;0"))=0,"",IF($B$6="Total",SUMIFS(Countries!$AR$5:$AR$434,Countries!$A$5:$A$434,$B$4,Countries!$B$5:$B$434,$B$5,Countries!$D$5:$D$434,$A12,Countries!$E$5:$E$434,"&gt;0"),SUMIFS(Countries!$AR$5:$AR$434,Countries!$A$5:$A$434,$B$4,Countries!$B$5:$B$434,$B$5,Countries!$C$5:$C$434,$B$6,Countries!$D$5:$D$434,$A12,Countries!$E$5:$E$434,"&gt;0"))/IF($B$6="Total",SUMIFS(Countries!$E$5:$E$434,Countries!$A$5:$A$434,$B$4,Countries!$B$5:$B$434,$B$5,Countries!$D$5:$D$434,$A12,Countries!$AR$5:$AR$434,"&gt;0"),SUMIFS(Countries!$E$5:$E$434,Countries!$A$5:$A$434,$B$4,Countries!$B$5:$B$434,$B$5,Countries!$C$5:$C$434,$B$6,Countries!$D$5:$D$434,$A12,Countries!$AR$5:$AR$434,"&gt;0")))</f>
        <v/>
      </c>
      <c r="AZ12" s="45">
        <f>IF(IF($B$6="Total",SUMIFS(Countries!$F$5:$F$434,Countries!$A$5:$A$434,$B$4,Countries!$B$5:$B$434,$B$5,Countries!$D$5:$D$434,$A12,Countries!$AS$5:$AS$434,"&gt;0"),SUMIFS(Countries!$F$5:$F$434,Countries!$A$5:$A$434,$B$4,Countries!$B$5:$B$434,$B$5,Countries!$C$5:$C$434,$B$6,Countries!$D$5:$D$434,$A12,Countries!$AS$5:$AS$434,"&gt;0"))=0,"",IF($B$6="Total",SUMIFS(Countries!$AS$5:$AS$434,Countries!$A$5:$A$434,$B$4,Countries!$B$5:$B$434,$B$5,Countries!$D$5:$D$434,$A12,Countries!$F$5:$F$434,"&gt;0"),SUMIFS(Countries!$AS$5:$AS$434,Countries!$A$5:$A$434,$B$4,Countries!$B$5:$B$434,$B$5,Countries!$C$5:$C$434,$B$6,Countries!$D$5:$D$434,$A12,Countries!$F$5:$F$434,"&gt;0"))/IF($B$6="Total",SUMIFS(Countries!$F$5:$F$434,Countries!$A$5:$A$434,$B$4,Countries!$B$5:$B$434,$B$5,Countries!$D$5:$D$434,$A12,Countries!$AS$5:$AS$434,"&gt;0"),SUMIFS(Countries!$F$5:$F$434,Countries!$A$5:$A$434,$B$4,Countries!$B$5:$B$434,$B$5,Countries!$C$5:$C$434,$B$6,Countries!$D$5:$D$434,$A12,Countries!$AS$5:$AS$434,"&gt;0")))</f>
        <v/>
      </c>
      <c r="BA12" s="44">
        <f>IF(OR(AZ12="",AY12=""),"",(AZ12-AY12)*100)</f>
        <v/>
      </c>
      <c r="BB12" s="40">
        <f>IF(AND(IF($B$6="Total",COUNTIFS(Countries!$A$5:$A$434,$B$4,Countries!$B$5:$B$434,$B$5,Countries!$D$5:$D$434,$A12,Countries!$F$5:$F$434,"&gt;0"),COUNTIFS(Countries!$A$5:$A$434,$B$4,Countries!$B$5:$B$434,$B$5,Countries!$C$5:$C$434,$B$6,Countries!$D$5:$D$434,$A12,Countries!$F$5:$F$434,"&gt;0"))=0,IF($B$6="Total",COUNTIFS(Countries!$A$5:$A$434,$B$4,Countries!$B$5:$B$434,$B$5,Countries!$D$5:$D$434,$A12,Countries!$E$5:$E$434,"&gt;0"),COUNTIFS(Countries!$A$5:$A$434,$B$4,Countries!$B$5:$B$434,$B$5,Countries!$C$5:$C$434,$B$6,Countries!$D$5:$D$434,$A12,Countries!$E$5:$E$434,"&gt;0"))=0),"",IF(IF($B$6="Total",COUNTIFS(Countries!$A$5:$A$434,$B$4,Countries!$B$5:$B$434,$B$5,Countries!$D$5:$D$434,$A12,Countries!$F$5:$F$434,"&gt;0"),COUNTIFS(Countries!$A$5:$A$434,$B$4,Countries!$B$5:$B$434,$B$5,Countries!$C$5:$C$434,$B$6,Countries!$D$5:$D$434,$A12,Countries!$F$5:$F$434,"&gt;0"))=0,"1-23Aug25 rows only",IF(IF($B$6="Total",COUNTIFS(Countries!$A$5:$A$434,$B$4,Countries!$B$5:$B$434,$B$5,Countries!$D$5:$D$434,$A12,Countries!$E$5:$E$434,"&gt;0"),COUNTIFS(Countries!$A$5:$A$434,$B$4,Countries!$B$5:$B$434,$B$5,Countries!$C$5:$C$434,$B$6,Countries!$D$5:$D$434,$A12,Countries!$E$5:$E$434,"&gt;0"))=0,"1-23Aug26 rows only",IF(IF($B$6="Total",COUNTIFS(Countries!$A$5:$A$434,$B$4,Countries!$B$5:$B$434,$B$5,Countries!$D$5:$D$434,$A12,Countries!$F$5:$F$434,"&gt;0"),COUNTIFS(Countries!$A$5:$A$434,$B$4,Countries!$B$5:$B$434,$B$5,Countries!$C$5:$C$434,$B$6,Countries!$D$5:$D$434,$A12,Countries!$F$5:$F$434,"&gt;0"))=IF($B$6="Total",COUNTIFS(Countries!$A$5:$A$434,$B$4,Countries!$B$5:$B$434,$B$5,Countries!$D$5:$D$434,$A12,Countries!$E$5:$E$434,"&gt;0"),COUNTIFS(Countries!$A$5:$A$434,$B$4,Countries!$B$5:$B$434,$B$5,Countries!$C$5:$C$434,$B$6,Countries!$D$5:$D$434,$A12,Countries!$E$5:$E$434,"&gt;0")),"Like-for-like","Partial — coverage differs"))))</f>
        <v/>
      </c>
    </row>
    <row r="13">
      <c r="A13" s="40" t="inlineStr">
        <is>
          <t>Ireland</t>
        </is>
      </c>
      <c r="B13" s="41">
        <f>IF(IF($B$6="Total",SUMIFS(Countries!$E$5:$E$434,Countries!$A$5:$A$434,$B$4,Countries!$B$5:$B$434,$B$5,Countries!$D$5:$D$434,$A13),SUMIFS(Countries!$E$5:$E$434,Countries!$A$5:$A$434,$B$4,Countries!$B$5:$B$434,$B$5,Countries!$C$5:$C$434,$B$6,Countries!$D$5:$D$434,$A13))=0,"",IF($B$6="Total",SUMIFS(Countries!$E$5:$E$434,Countries!$A$5:$A$434,$B$4,Countries!$B$5:$B$434,$B$5,Countries!$D$5:$D$434,$A13),SUMIFS(Countries!$E$5:$E$434,Countries!$A$5:$A$434,$B$4,Countries!$B$5:$B$434,$B$5,Countries!$C$5:$C$434,$B$6,Countries!$D$5:$D$434,$A13)))</f>
        <v/>
      </c>
      <c r="C13" s="41">
        <f>IF(IF($B$6="Total",SUMIFS(Countries!$F$5:$F$434,Countries!$A$5:$A$434,$B$4,Countries!$B$5:$B$434,$B$5,Countries!$D$5:$D$434,$A13),SUMIFS(Countries!$F$5:$F$434,Countries!$A$5:$A$434,$B$4,Countries!$B$5:$B$434,$B$5,Countries!$C$5:$C$434,$B$6,Countries!$D$5:$D$434,$A13))=0,"",IF($B$6="Total",SUMIFS(Countries!$F$5:$F$434,Countries!$A$5:$A$434,$B$4,Countries!$B$5:$B$434,$B$5,Countries!$D$5:$D$434,$A13),SUMIFS(Countries!$F$5:$F$434,Countries!$A$5:$A$434,$B$4,Countries!$B$5:$B$434,$B$5,Countries!$C$5:$C$434,$B$6,Countries!$D$5:$D$434,$A13)))</f>
        <v/>
      </c>
      <c r="D13" s="69">
        <f>IF(OR(C13="",B13="",B13=0,C13=0),"",C13-B13)</f>
        <v/>
      </c>
      <c r="E13" s="42">
        <f>IF(OR(C13="",B13="",B13=0,C13=0),"",C13/B13-1)</f>
        <v/>
      </c>
      <c r="F13" s="41">
        <f>IF(IF($B$6="Total",SUMIFS(Countries!$I$5:$I$434,Countries!$A$5:$A$434,$B$4,Countries!$B$5:$B$434,$B$5,Countries!$D$5:$D$434,$A13),SUMIFS(Countries!$I$5:$I$434,Countries!$A$5:$A$434,$B$4,Countries!$B$5:$B$434,$B$5,Countries!$C$5:$C$434,$B$6,Countries!$D$5:$D$434,$A13))=0,"",IF($B$6="Total",SUMIFS(Countries!$I$5:$I$434,Countries!$A$5:$A$434,$B$4,Countries!$B$5:$B$434,$B$5,Countries!$D$5:$D$434,$A13),SUMIFS(Countries!$I$5:$I$434,Countries!$A$5:$A$434,$B$4,Countries!$B$5:$B$434,$B$5,Countries!$C$5:$C$434,$B$6,Countries!$D$5:$D$434,$A13)))</f>
        <v/>
      </c>
      <c r="G13" s="41">
        <f>IF(IF($B$6="Total",SUMIFS(Countries!$J$5:$J$434,Countries!$A$5:$A$434,$B$4,Countries!$B$5:$B$434,$B$5,Countries!$D$5:$D$434,$A13),SUMIFS(Countries!$J$5:$J$434,Countries!$A$5:$A$434,$B$4,Countries!$B$5:$B$434,$B$5,Countries!$C$5:$C$434,$B$6,Countries!$D$5:$D$434,$A13))=0,"",IF($B$6="Total",SUMIFS(Countries!$J$5:$J$434,Countries!$A$5:$A$434,$B$4,Countries!$B$5:$B$434,$B$5,Countries!$D$5:$D$434,$A13),SUMIFS(Countries!$J$5:$J$434,Countries!$A$5:$A$434,$B$4,Countries!$B$5:$B$434,$B$5,Countries!$C$5:$C$434,$B$6,Countries!$D$5:$D$434,$A13)))</f>
        <v/>
      </c>
      <c r="H13" s="69">
        <f>IF(OR(G13="",F13="",F13=0,G13=0),"",G13-F13)</f>
        <v/>
      </c>
      <c r="I13" s="42">
        <f>IF(OR(G13="",F13="",F13=0,G13=0),"",G13/F13-1)</f>
        <v/>
      </c>
      <c r="J13" s="43">
        <f>IF(IF($B$6="Total",SUMIFS(Countries!$E$5:$E$434,Countries!$A$5:$A$434,$B$4,Countries!$B$5:$B$434,$B$5,Countries!$D$5:$D$434,$A13,Countries!$I$5:$I$434,"&gt;0"),SUMIFS(Countries!$E$5:$E$434,Countries!$A$5:$A$434,$B$4,Countries!$B$5:$B$434,$B$5,Countries!$C$5:$C$434,$B$6,Countries!$D$5:$D$434,$A13,Countries!$I$5:$I$434,"&gt;0"))=0,"",IF($B$6="Total",SUMIFS(Countries!$I$5:$I$434,Countries!$A$5:$A$434,$B$4,Countries!$B$5:$B$434,$B$5,Countries!$D$5:$D$434,$A13,Countries!$E$5:$E$434,"&gt;0"),SUMIFS(Countries!$I$5:$I$434,Countries!$A$5:$A$434,$B$4,Countries!$B$5:$B$434,$B$5,Countries!$C$5:$C$434,$B$6,Countries!$D$5:$D$434,$A13,Countries!$E$5:$E$434,"&gt;0"))/IF($B$6="Total",SUMIFS(Countries!$E$5:$E$434,Countries!$A$5:$A$434,$B$4,Countries!$B$5:$B$434,$B$5,Countries!$D$5:$D$434,$A13,Countries!$I$5:$I$434,"&gt;0"),SUMIFS(Countries!$E$5:$E$434,Countries!$A$5:$A$434,$B$4,Countries!$B$5:$B$434,$B$5,Countries!$C$5:$C$434,$B$6,Countries!$D$5:$D$434,$A13,Countries!$I$5:$I$434,"&gt;0")))</f>
        <v/>
      </c>
      <c r="K13" s="43">
        <f>IF(IF($B$6="Total",SUMIFS(Countries!$F$5:$F$434,Countries!$A$5:$A$434,$B$4,Countries!$B$5:$B$434,$B$5,Countries!$D$5:$D$434,$A13,Countries!$J$5:$J$434,"&gt;0"),SUMIFS(Countries!$F$5:$F$434,Countries!$A$5:$A$434,$B$4,Countries!$B$5:$B$434,$B$5,Countries!$C$5:$C$434,$B$6,Countries!$D$5:$D$434,$A13,Countries!$J$5:$J$434,"&gt;0"))=0,"",IF($B$6="Total",SUMIFS(Countries!$J$5:$J$434,Countries!$A$5:$A$434,$B$4,Countries!$B$5:$B$434,$B$5,Countries!$D$5:$D$434,$A13,Countries!$F$5:$F$434,"&gt;0"),SUMIFS(Countries!$J$5:$J$434,Countries!$A$5:$A$434,$B$4,Countries!$B$5:$B$434,$B$5,Countries!$C$5:$C$434,$B$6,Countries!$D$5:$D$434,$A13,Countries!$F$5:$F$434,"&gt;0"))/IF($B$6="Total",SUMIFS(Countries!$F$5:$F$434,Countries!$A$5:$A$434,$B$4,Countries!$B$5:$B$434,$B$5,Countries!$D$5:$D$434,$A13,Countries!$J$5:$J$434,"&gt;0"),SUMIFS(Countries!$F$5:$F$434,Countries!$A$5:$A$434,$B$4,Countries!$B$5:$B$434,$B$5,Countries!$C$5:$C$434,$B$6,Countries!$D$5:$D$434,$A13,Countries!$J$5:$J$434,"&gt;0")))</f>
        <v/>
      </c>
      <c r="L13" s="44">
        <f>IF(OR(K13="",J13=""),"",(K13-J13)*100)</f>
        <v/>
      </c>
      <c r="M13" s="41">
        <f>IF(IF($B$6="Total",SUMIFS(Countries!$P$5:$P$434,Countries!$A$5:$A$434,$B$4,Countries!$B$5:$B$434,$B$5,Countries!$D$5:$D$434,$A13),SUMIFS(Countries!$P$5:$P$434,Countries!$A$5:$A$434,$B$4,Countries!$B$5:$B$434,$B$5,Countries!$C$5:$C$434,$B$6,Countries!$D$5:$D$434,$A13))=0,"",IF($B$6="Total",SUMIFS(Countries!$P$5:$P$434,Countries!$A$5:$A$434,$B$4,Countries!$B$5:$B$434,$B$5,Countries!$D$5:$D$434,$A13),SUMIFS(Countries!$P$5:$P$434,Countries!$A$5:$A$434,$B$4,Countries!$B$5:$B$434,$B$5,Countries!$C$5:$C$434,$B$6,Countries!$D$5:$D$434,$A13)))</f>
        <v/>
      </c>
      <c r="N13" s="41">
        <f>IF(IF($B$6="Total",SUMIFS(Countries!$Q$5:$Q$434,Countries!$A$5:$A$434,$B$4,Countries!$B$5:$B$434,$B$5,Countries!$D$5:$D$434,$A13),SUMIFS(Countries!$Q$5:$Q$434,Countries!$A$5:$A$434,$B$4,Countries!$B$5:$B$434,$B$5,Countries!$C$5:$C$434,$B$6,Countries!$D$5:$D$434,$A13))=0,"",IF($B$6="Total",SUMIFS(Countries!$Q$5:$Q$434,Countries!$A$5:$A$434,$B$4,Countries!$B$5:$B$434,$B$5,Countries!$D$5:$D$434,$A13),SUMIFS(Countries!$Q$5:$Q$434,Countries!$A$5:$A$434,$B$4,Countries!$B$5:$B$434,$B$5,Countries!$C$5:$C$434,$B$6,Countries!$D$5:$D$434,$A13)))</f>
        <v/>
      </c>
      <c r="O13" s="69">
        <f>IF(OR(N13="",M13="",M13=0,N13=0),"",N13-M13)</f>
        <v/>
      </c>
      <c r="P13" s="42">
        <f>IF(OR(N13="",M13="",M13=0,N13=0),"",N13/M13-1)</f>
        <v/>
      </c>
      <c r="Q13" s="43">
        <f>IF(IF($B$6="Total",SUMIFS(Countries!$E$5:$E$434,Countries!$A$5:$A$434,$B$4,Countries!$B$5:$B$434,$B$5,Countries!$D$5:$D$434,$A13,Countries!$P$5:$P$434,"&gt;0"),SUMIFS(Countries!$E$5:$E$434,Countries!$A$5:$A$434,$B$4,Countries!$B$5:$B$434,$B$5,Countries!$C$5:$C$434,$B$6,Countries!$D$5:$D$434,$A13,Countries!$P$5:$P$434,"&gt;0"))=0,"",IF($B$6="Total",SUMIFS(Countries!$P$5:$P$434,Countries!$A$5:$A$434,$B$4,Countries!$B$5:$B$434,$B$5,Countries!$D$5:$D$434,$A13,Countries!$E$5:$E$434,"&gt;0"),SUMIFS(Countries!$P$5:$P$434,Countries!$A$5:$A$434,$B$4,Countries!$B$5:$B$434,$B$5,Countries!$C$5:$C$434,$B$6,Countries!$D$5:$D$434,$A13,Countries!$E$5:$E$434,"&gt;0"))/IF($B$6="Total",SUMIFS(Countries!$E$5:$E$434,Countries!$A$5:$A$434,$B$4,Countries!$B$5:$B$434,$B$5,Countries!$D$5:$D$434,$A13,Countries!$P$5:$P$434,"&gt;0"),SUMIFS(Countries!$E$5:$E$434,Countries!$A$5:$A$434,$B$4,Countries!$B$5:$B$434,$B$5,Countries!$C$5:$C$434,$B$6,Countries!$D$5:$D$434,$A13,Countries!$P$5:$P$434,"&gt;0")))</f>
        <v/>
      </c>
      <c r="R13" s="43">
        <f>IF(IF($B$6="Total",SUMIFS(Countries!$F$5:$F$434,Countries!$A$5:$A$434,$B$4,Countries!$B$5:$B$434,$B$5,Countries!$D$5:$D$434,$A13,Countries!$Q$5:$Q$434,"&gt;0"),SUMIFS(Countries!$F$5:$F$434,Countries!$A$5:$A$434,$B$4,Countries!$B$5:$B$434,$B$5,Countries!$C$5:$C$434,$B$6,Countries!$D$5:$D$434,$A13,Countries!$Q$5:$Q$434,"&gt;0"))=0,"",IF($B$6="Total",SUMIFS(Countries!$Q$5:$Q$434,Countries!$A$5:$A$434,$B$4,Countries!$B$5:$B$434,$B$5,Countries!$D$5:$D$434,$A13,Countries!$F$5:$F$434,"&gt;0"),SUMIFS(Countries!$Q$5:$Q$434,Countries!$A$5:$A$434,$B$4,Countries!$B$5:$B$434,$B$5,Countries!$C$5:$C$434,$B$6,Countries!$D$5:$D$434,$A13,Countries!$F$5:$F$434,"&gt;0"))/IF($B$6="Total",SUMIFS(Countries!$F$5:$F$434,Countries!$A$5:$A$434,$B$4,Countries!$B$5:$B$434,$B$5,Countries!$D$5:$D$434,$A13,Countries!$Q$5:$Q$434,"&gt;0"),SUMIFS(Countries!$F$5:$F$434,Countries!$A$5:$A$434,$B$4,Countries!$B$5:$B$434,$B$5,Countries!$C$5:$C$434,$B$6,Countries!$D$5:$D$434,$A13,Countries!$Q$5:$Q$434,"&gt;0")))</f>
        <v/>
      </c>
      <c r="S13" s="44">
        <f>IF(OR(R13="",Q13=""),"",(R13-Q13)*100)</f>
        <v/>
      </c>
      <c r="T13" s="41">
        <f>IF(IF($B$6="Total",SUMIFS(Countries!$W$5:$W$434,Countries!$A$5:$A$434,$B$4,Countries!$B$5:$B$434,$B$5,Countries!$D$5:$D$434,$A13),SUMIFS(Countries!$W$5:$W$434,Countries!$A$5:$A$434,$B$4,Countries!$B$5:$B$434,$B$5,Countries!$C$5:$C$434,$B$6,Countries!$D$5:$D$434,$A13))=0,"",IF($B$6="Total",SUMIFS(Countries!$W$5:$W$434,Countries!$A$5:$A$434,$B$4,Countries!$B$5:$B$434,$B$5,Countries!$D$5:$D$434,$A13),SUMIFS(Countries!$W$5:$W$434,Countries!$A$5:$A$434,$B$4,Countries!$B$5:$B$434,$B$5,Countries!$C$5:$C$434,$B$6,Countries!$D$5:$D$434,$A13)))</f>
        <v/>
      </c>
      <c r="U13" s="41">
        <f>IF(IF($B$6="Total",SUMIFS(Countries!$X$5:$X$434,Countries!$A$5:$A$434,$B$4,Countries!$B$5:$B$434,$B$5,Countries!$D$5:$D$434,$A13),SUMIFS(Countries!$X$5:$X$434,Countries!$A$5:$A$434,$B$4,Countries!$B$5:$B$434,$B$5,Countries!$C$5:$C$434,$B$6,Countries!$D$5:$D$434,$A13))=0,"",IF($B$6="Total",SUMIFS(Countries!$X$5:$X$434,Countries!$A$5:$A$434,$B$4,Countries!$B$5:$B$434,$B$5,Countries!$D$5:$D$434,$A13),SUMIFS(Countries!$X$5:$X$434,Countries!$A$5:$A$434,$B$4,Countries!$B$5:$B$434,$B$5,Countries!$C$5:$C$434,$B$6,Countries!$D$5:$D$434,$A13)))</f>
        <v/>
      </c>
      <c r="V13" s="69">
        <f>IF(OR(U13="",T13="",T13=0,U13=0),"",U13-T13)</f>
        <v/>
      </c>
      <c r="W13" s="42">
        <f>IF(OR(U13="",T13="",T13=0,U13=0),"",U13/T13-1)</f>
        <v/>
      </c>
      <c r="X13" s="43">
        <f>IF(IF($B$6="Total",SUMIFS(Countries!$P$5:$P$434,Countries!$A$5:$A$434,$B$4,Countries!$B$5:$B$434,$B$5,Countries!$D$5:$D$434,$A13,Countries!$W$5:$W$434,"&gt;0"),SUMIFS(Countries!$P$5:$P$434,Countries!$A$5:$A$434,$B$4,Countries!$B$5:$B$434,$B$5,Countries!$C$5:$C$434,$B$6,Countries!$D$5:$D$434,$A13,Countries!$W$5:$W$434,"&gt;0"))=0,"",IF($B$6="Total",SUMIFS(Countries!$W$5:$W$434,Countries!$A$5:$A$434,$B$4,Countries!$B$5:$B$434,$B$5,Countries!$D$5:$D$434,$A13,Countries!$P$5:$P$434,"&gt;0"),SUMIFS(Countries!$W$5:$W$434,Countries!$A$5:$A$434,$B$4,Countries!$B$5:$B$434,$B$5,Countries!$C$5:$C$434,$B$6,Countries!$D$5:$D$434,$A13,Countries!$P$5:$P$434,"&gt;0"))/IF($B$6="Total",SUMIFS(Countries!$P$5:$P$434,Countries!$A$5:$A$434,$B$4,Countries!$B$5:$B$434,$B$5,Countries!$D$5:$D$434,$A13,Countries!$W$5:$W$434,"&gt;0"),SUMIFS(Countries!$P$5:$P$434,Countries!$A$5:$A$434,$B$4,Countries!$B$5:$B$434,$B$5,Countries!$C$5:$C$434,$B$6,Countries!$D$5:$D$434,$A13,Countries!$W$5:$W$434,"&gt;0")))</f>
        <v/>
      </c>
      <c r="Y13" s="43">
        <f>IF(IF($B$6="Total",SUMIFS(Countries!$Q$5:$Q$434,Countries!$A$5:$A$434,$B$4,Countries!$B$5:$B$434,$B$5,Countries!$D$5:$D$434,$A13,Countries!$X$5:$X$434,"&gt;0"),SUMIFS(Countries!$Q$5:$Q$434,Countries!$A$5:$A$434,$B$4,Countries!$B$5:$B$434,$B$5,Countries!$C$5:$C$434,$B$6,Countries!$D$5:$D$434,$A13,Countries!$X$5:$X$434,"&gt;0"))=0,"",IF($B$6="Total",SUMIFS(Countries!$X$5:$X$434,Countries!$A$5:$A$434,$B$4,Countries!$B$5:$B$434,$B$5,Countries!$D$5:$D$434,$A13,Countries!$Q$5:$Q$434,"&gt;0"),SUMIFS(Countries!$X$5:$X$434,Countries!$A$5:$A$434,$B$4,Countries!$B$5:$B$434,$B$5,Countries!$C$5:$C$434,$B$6,Countries!$D$5:$D$434,$A13,Countries!$Q$5:$Q$434,"&gt;0"))/IF($B$6="Total",SUMIFS(Countries!$Q$5:$Q$434,Countries!$A$5:$A$434,$B$4,Countries!$B$5:$B$434,$B$5,Countries!$D$5:$D$434,$A13,Countries!$X$5:$X$434,"&gt;0"),SUMIFS(Countries!$Q$5:$Q$434,Countries!$A$5:$A$434,$B$4,Countries!$B$5:$B$434,$B$5,Countries!$C$5:$C$434,$B$6,Countries!$D$5:$D$434,$A13,Countries!$X$5:$X$434,"&gt;0")))</f>
        <v/>
      </c>
      <c r="Z13" s="44">
        <f>IF(OR(Y13="",X13=""),"",(Y13-X13)*100)</f>
        <v/>
      </c>
      <c r="AA13" s="41">
        <f>IF(IF($B$6="Total",SUMIFS(Countries!$AD$5:$AD$434,Countries!$A$5:$A$434,$B$4,Countries!$B$5:$B$434,$B$5,Countries!$D$5:$D$434,$A13),SUMIFS(Countries!$AD$5:$AD$434,Countries!$A$5:$A$434,$B$4,Countries!$B$5:$B$434,$B$5,Countries!$C$5:$C$434,$B$6,Countries!$D$5:$D$434,$A13))=0,"",IF($B$6="Total",SUMIFS(Countries!$AD$5:$AD$434,Countries!$A$5:$A$434,$B$4,Countries!$B$5:$B$434,$B$5,Countries!$D$5:$D$434,$A13),SUMIFS(Countries!$AD$5:$AD$434,Countries!$A$5:$A$434,$B$4,Countries!$B$5:$B$434,$B$5,Countries!$C$5:$C$434,$B$6,Countries!$D$5:$D$434,$A13)))</f>
        <v/>
      </c>
      <c r="AB13" s="41">
        <f>IF(IF($B$6="Total",SUMIFS(Countries!$AE$5:$AE$434,Countries!$A$5:$A$434,$B$4,Countries!$B$5:$B$434,$B$5,Countries!$D$5:$D$434,$A13),SUMIFS(Countries!$AE$5:$AE$434,Countries!$A$5:$A$434,$B$4,Countries!$B$5:$B$434,$B$5,Countries!$C$5:$C$434,$B$6,Countries!$D$5:$D$434,$A13))=0,"",IF($B$6="Total",SUMIFS(Countries!$AE$5:$AE$434,Countries!$A$5:$A$434,$B$4,Countries!$B$5:$B$434,$B$5,Countries!$D$5:$D$434,$A13),SUMIFS(Countries!$AE$5:$AE$434,Countries!$A$5:$A$434,$B$4,Countries!$B$5:$B$434,$B$5,Countries!$C$5:$C$434,$B$6,Countries!$D$5:$D$434,$A13)))</f>
        <v/>
      </c>
      <c r="AC13" s="69">
        <f>IF(OR(AB13="",AA13="",AA13=0,AB13=0),"",AB13-AA13)</f>
        <v/>
      </c>
      <c r="AD13" s="42">
        <f>IF(OR(AB13="",AA13="",AA13=0,AB13=0),"",AB13/AA13-1)</f>
        <v/>
      </c>
      <c r="AE13" s="43">
        <f>IF(IF($B$6="Total",SUMIFS(Countries!$W$5:$W$434,Countries!$A$5:$A$434,$B$4,Countries!$B$5:$B$434,$B$5,Countries!$D$5:$D$434,$A13,Countries!$AD$5:$AD$434,"&gt;0"),SUMIFS(Countries!$W$5:$W$434,Countries!$A$5:$A$434,$B$4,Countries!$B$5:$B$434,$B$5,Countries!$C$5:$C$434,$B$6,Countries!$D$5:$D$434,$A13,Countries!$AD$5:$AD$434,"&gt;0"))=0,"",IF($B$6="Total",SUMIFS(Countries!$AD$5:$AD$434,Countries!$A$5:$A$434,$B$4,Countries!$B$5:$B$434,$B$5,Countries!$D$5:$D$434,$A13,Countries!$W$5:$W$434,"&gt;0"),SUMIFS(Countries!$AD$5:$AD$434,Countries!$A$5:$A$434,$B$4,Countries!$B$5:$B$434,$B$5,Countries!$C$5:$C$434,$B$6,Countries!$D$5:$D$434,$A13,Countries!$W$5:$W$434,"&gt;0"))/IF($B$6="Total",SUMIFS(Countries!$W$5:$W$434,Countries!$A$5:$A$434,$B$4,Countries!$B$5:$B$434,$B$5,Countries!$D$5:$D$434,$A13,Countries!$AD$5:$AD$434,"&gt;0"),SUMIFS(Countries!$W$5:$W$434,Countries!$A$5:$A$434,$B$4,Countries!$B$5:$B$434,$B$5,Countries!$C$5:$C$434,$B$6,Countries!$D$5:$D$434,$A13,Countries!$AD$5:$AD$434,"&gt;0")))</f>
        <v/>
      </c>
      <c r="AF13" s="43">
        <f>IF(IF($B$6="Total",SUMIFS(Countries!$X$5:$X$434,Countries!$A$5:$A$434,$B$4,Countries!$B$5:$B$434,$B$5,Countries!$D$5:$D$434,$A13,Countries!$AE$5:$AE$434,"&gt;0"),SUMIFS(Countries!$X$5:$X$434,Countries!$A$5:$A$434,$B$4,Countries!$B$5:$B$434,$B$5,Countries!$C$5:$C$434,$B$6,Countries!$D$5:$D$434,$A13,Countries!$AE$5:$AE$434,"&gt;0"))=0,"",IF($B$6="Total",SUMIFS(Countries!$AE$5:$AE$434,Countries!$A$5:$A$434,$B$4,Countries!$B$5:$B$434,$B$5,Countries!$D$5:$D$434,$A13,Countries!$X$5:$X$434,"&gt;0"),SUMIFS(Countries!$AE$5:$AE$434,Countries!$A$5:$A$434,$B$4,Countries!$B$5:$B$434,$B$5,Countries!$C$5:$C$434,$B$6,Countries!$D$5:$D$434,$A13,Countries!$X$5:$X$434,"&gt;0"))/IF($B$6="Total",SUMIFS(Countries!$X$5:$X$434,Countries!$A$5:$A$434,$B$4,Countries!$B$5:$B$434,$B$5,Countries!$D$5:$D$434,$A13,Countries!$AE$5:$AE$434,"&gt;0"),SUMIFS(Countries!$X$5:$X$434,Countries!$A$5:$A$434,$B$4,Countries!$B$5:$B$434,$B$5,Countries!$C$5:$C$434,$B$6,Countries!$D$5:$D$434,$A13,Countries!$AE$5:$AE$434,"&gt;0")))</f>
        <v/>
      </c>
      <c r="AG13" s="44">
        <f>IF(OR(AF13="",AE13=""),"",(AF13-AE13)*100)</f>
        <v/>
      </c>
      <c r="AH13" s="41">
        <f>IF(IF($B$6="Total",SUMIFS(Countries!$AK$5:$AK$434,Countries!$A$5:$A$434,$B$4,Countries!$B$5:$B$434,$B$5,Countries!$D$5:$D$434,$A13),SUMIFS(Countries!$AK$5:$AK$434,Countries!$A$5:$A$434,$B$4,Countries!$B$5:$B$434,$B$5,Countries!$C$5:$C$434,$B$6,Countries!$D$5:$D$434,$A13))=0,"",IF($B$6="Total",SUMIFS(Countries!$AK$5:$AK$434,Countries!$A$5:$A$434,$B$4,Countries!$B$5:$B$434,$B$5,Countries!$D$5:$D$434,$A13),SUMIFS(Countries!$AK$5:$AK$434,Countries!$A$5:$A$434,$B$4,Countries!$B$5:$B$434,$B$5,Countries!$C$5:$C$434,$B$6,Countries!$D$5:$D$434,$A13)))</f>
        <v/>
      </c>
      <c r="AI13" s="41">
        <f>IF(IF($B$6="Total",SUMIFS(Countries!$AL$5:$AL$434,Countries!$A$5:$A$434,$B$4,Countries!$B$5:$B$434,$B$5,Countries!$D$5:$D$434,$A13),SUMIFS(Countries!$AL$5:$AL$434,Countries!$A$5:$A$434,$B$4,Countries!$B$5:$B$434,$B$5,Countries!$C$5:$C$434,$B$6,Countries!$D$5:$D$434,$A13))=0,"",IF($B$6="Total",SUMIFS(Countries!$AL$5:$AL$434,Countries!$A$5:$A$434,$B$4,Countries!$B$5:$B$434,$B$5,Countries!$D$5:$D$434,$A13),SUMIFS(Countries!$AL$5:$AL$434,Countries!$A$5:$A$434,$B$4,Countries!$B$5:$B$434,$B$5,Countries!$C$5:$C$434,$B$6,Countries!$D$5:$D$434,$A13)))</f>
        <v/>
      </c>
      <c r="AJ13" s="69">
        <f>IF(OR(AI13="",AH13="",AH13=0,AI13=0),"",AI13-AH13)</f>
        <v/>
      </c>
      <c r="AK13" s="42">
        <f>IF(OR(AI13="",AH13="",AH13=0,AI13=0),"",AI13/AH13-1)</f>
        <v/>
      </c>
      <c r="AL13" s="43">
        <f>IF(IF($B$6="Total",SUMIFS(Countries!$AD$5:$AD$434,Countries!$A$5:$A$434,$B$4,Countries!$B$5:$B$434,$B$5,Countries!$D$5:$D$434,$A13,Countries!$AK$5:$AK$434,"&gt;0"),SUMIFS(Countries!$AD$5:$AD$434,Countries!$A$5:$A$434,$B$4,Countries!$B$5:$B$434,$B$5,Countries!$C$5:$C$434,$B$6,Countries!$D$5:$D$434,$A13,Countries!$AK$5:$AK$434,"&gt;0"))=0,"",IF($B$6="Total",SUMIFS(Countries!$AK$5:$AK$434,Countries!$A$5:$A$434,$B$4,Countries!$B$5:$B$434,$B$5,Countries!$D$5:$D$434,$A13,Countries!$AD$5:$AD$434,"&gt;0"),SUMIFS(Countries!$AK$5:$AK$434,Countries!$A$5:$A$434,$B$4,Countries!$B$5:$B$434,$B$5,Countries!$C$5:$C$434,$B$6,Countries!$D$5:$D$434,$A13,Countries!$AD$5:$AD$434,"&gt;0"))/IF($B$6="Total",SUMIFS(Countries!$AD$5:$AD$434,Countries!$A$5:$A$434,$B$4,Countries!$B$5:$B$434,$B$5,Countries!$D$5:$D$434,$A13,Countries!$AK$5:$AK$434,"&gt;0"),SUMIFS(Countries!$AD$5:$AD$434,Countries!$A$5:$A$434,$B$4,Countries!$B$5:$B$434,$B$5,Countries!$C$5:$C$434,$B$6,Countries!$D$5:$D$434,$A13,Countries!$AK$5:$AK$434,"&gt;0")))</f>
        <v/>
      </c>
      <c r="AM13" s="43">
        <f>IF(IF($B$6="Total",SUMIFS(Countries!$AE$5:$AE$434,Countries!$A$5:$A$434,$B$4,Countries!$B$5:$B$434,$B$5,Countries!$D$5:$D$434,$A13,Countries!$AL$5:$AL$434,"&gt;0"),SUMIFS(Countries!$AE$5:$AE$434,Countries!$A$5:$A$434,$B$4,Countries!$B$5:$B$434,$B$5,Countries!$C$5:$C$434,$B$6,Countries!$D$5:$D$434,$A13,Countries!$AL$5:$AL$434,"&gt;0"))=0,"",IF($B$6="Total",SUMIFS(Countries!$AL$5:$AL$434,Countries!$A$5:$A$434,$B$4,Countries!$B$5:$B$434,$B$5,Countries!$D$5:$D$434,$A13,Countries!$AE$5:$AE$434,"&gt;0"),SUMIFS(Countries!$AL$5:$AL$434,Countries!$A$5:$A$434,$B$4,Countries!$B$5:$B$434,$B$5,Countries!$C$5:$C$434,$B$6,Countries!$D$5:$D$434,$A13,Countries!$AE$5:$AE$434,"&gt;0"))/IF($B$6="Total",SUMIFS(Countries!$AE$5:$AE$434,Countries!$A$5:$A$434,$B$4,Countries!$B$5:$B$434,$B$5,Countries!$D$5:$D$434,$A13,Countries!$AL$5:$AL$434,"&gt;0"),SUMIFS(Countries!$AE$5:$AE$434,Countries!$A$5:$A$434,$B$4,Countries!$B$5:$B$434,$B$5,Countries!$C$5:$C$434,$B$6,Countries!$D$5:$D$434,$A13,Countries!$AL$5:$AL$434,"&gt;0")))</f>
        <v/>
      </c>
      <c r="AN13" s="44">
        <f>IF(OR(AM13="",AL13=""),"",(AM13-AL13)*100)</f>
        <v/>
      </c>
      <c r="AO13" s="41">
        <f>IF(IF($B$6="Total",SUMIFS(Countries!$AR$5:$AR$434,Countries!$A$5:$A$434,$B$4,Countries!$B$5:$B$434,$B$5,Countries!$D$5:$D$434,$A13),SUMIFS(Countries!$AR$5:$AR$434,Countries!$A$5:$A$434,$B$4,Countries!$B$5:$B$434,$B$5,Countries!$C$5:$C$434,$B$6,Countries!$D$5:$D$434,$A13))=0,"",IF($B$6="Total",SUMIFS(Countries!$AR$5:$AR$434,Countries!$A$5:$A$434,$B$4,Countries!$B$5:$B$434,$B$5,Countries!$D$5:$D$434,$A13),SUMIFS(Countries!$AR$5:$AR$434,Countries!$A$5:$A$434,$B$4,Countries!$B$5:$B$434,$B$5,Countries!$C$5:$C$434,$B$6,Countries!$D$5:$D$434,$A13)))</f>
        <v/>
      </c>
      <c r="AP13" s="41">
        <f>IF(IF($B$6="Total",SUMIFS(Countries!$AS$5:$AS$434,Countries!$A$5:$A$434,$B$4,Countries!$B$5:$B$434,$B$5,Countries!$D$5:$D$434,$A13),SUMIFS(Countries!$AS$5:$AS$434,Countries!$A$5:$A$434,$B$4,Countries!$B$5:$B$434,$B$5,Countries!$C$5:$C$434,$B$6,Countries!$D$5:$D$434,$A13))=0,"",IF($B$6="Total",SUMIFS(Countries!$AS$5:$AS$434,Countries!$A$5:$A$434,$B$4,Countries!$B$5:$B$434,$B$5,Countries!$D$5:$D$434,$A13),SUMIFS(Countries!$AS$5:$AS$434,Countries!$A$5:$A$434,$B$4,Countries!$B$5:$B$434,$B$5,Countries!$C$5:$C$434,$B$6,Countries!$D$5:$D$434,$A13)))</f>
        <v/>
      </c>
      <c r="AQ13" s="69">
        <f>IF(OR(AP13="",AO13="",AO13=0,AP13=0),"",AP13-AO13)</f>
        <v/>
      </c>
      <c r="AR13" s="42">
        <f>IF(OR(AP13="",AO13="",AO13=0,AP13=0),"",AP13/AO13-1)</f>
        <v/>
      </c>
      <c r="AS13" s="43">
        <f>IF(IF($B$6="Total",SUMIFS(Countries!$AK$5:$AK$434,Countries!$A$5:$A$434,$B$4,Countries!$B$5:$B$434,$B$5,Countries!$D$5:$D$434,$A13,Countries!$AR$5:$AR$434,"&gt;0"),SUMIFS(Countries!$AK$5:$AK$434,Countries!$A$5:$A$434,$B$4,Countries!$B$5:$B$434,$B$5,Countries!$C$5:$C$434,$B$6,Countries!$D$5:$D$434,$A13,Countries!$AR$5:$AR$434,"&gt;0"))=0,"",IF($B$6="Total",SUMIFS(Countries!$AR$5:$AR$434,Countries!$A$5:$A$434,$B$4,Countries!$B$5:$B$434,$B$5,Countries!$D$5:$D$434,$A13,Countries!$AK$5:$AK$434,"&gt;0"),SUMIFS(Countries!$AR$5:$AR$434,Countries!$A$5:$A$434,$B$4,Countries!$B$5:$B$434,$B$5,Countries!$C$5:$C$434,$B$6,Countries!$D$5:$D$434,$A13,Countries!$AK$5:$AK$434,"&gt;0"))/IF($B$6="Total",SUMIFS(Countries!$AK$5:$AK$434,Countries!$A$5:$A$434,$B$4,Countries!$B$5:$B$434,$B$5,Countries!$D$5:$D$434,$A13,Countries!$AR$5:$AR$434,"&gt;0"),SUMIFS(Countries!$AK$5:$AK$434,Countries!$A$5:$A$434,$B$4,Countries!$B$5:$B$434,$B$5,Countries!$C$5:$C$434,$B$6,Countries!$D$5:$D$434,$A13,Countries!$AR$5:$AR$434,"&gt;0")))</f>
        <v/>
      </c>
      <c r="AT13" s="43">
        <f>IF(IF($B$6="Total",SUMIFS(Countries!$AL$5:$AL$434,Countries!$A$5:$A$434,$B$4,Countries!$B$5:$B$434,$B$5,Countries!$D$5:$D$434,$A13,Countries!$AS$5:$AS$434,"&gt;0"),SUMIFS(Countries!$AL$5:$AL$434,Countries!$A$5:$A$434,$B$4,Countries!$B$5:$B$434,$B$5,Countries!$C$5:$C$434,$B$6,Countries!$D$5:$D$434,$A13,Countries!$AS$5:$AS$434,"&gt;0"))=0,"",IF($B$6="Total",SUMIFS(Countries!$AS$5:$AS$434,Countries!$A$5:$A$434,$B$4,Countries!$B$5:$B$434,$B$5,Countries!$D$5:$D$434,$A13,Countries!$AL$5:$AL$434,"&gt;0"),SUMIFS(Countries!$AS$5:$AS$434,Countries!$A$5:$A$434,$B$4,Countries!$B$5:$B$434,$B$5,Countries!$C$5:$C$434,$B$6,Countries!$D$5:$D$434,$A13,Countries!$AL$5:$AL$434,"&gt;0"))/IF($B$6="Total",SUMIFS(Countries!$AL$5:$AL$434,Countries!$A$5:$A$434,$B$4,Countries!$B$5:$B$434,$B$5,Countries!$D$5:$D$434,$A13,Countries!$AS$5:$AS$434,"&gt;0"),SUMIFS(Countries!$AL$5:$AL$434,Countries!$A$5:$A$434,$B$4,Countries!$B$5:$B$434,$B$5,Countries!$C$5:$C$434,$B$6,Countries!$D$5:$D$434,$A13,Countries!$AS$5:$AS$434,"&gt;0")))</f>
        <v/>
      </c>
      <c r="AU13" s="44">
        <f>IF(OR(AT13="",AS13=""),"",(AT13-AS13)*100)</f>
        <v/>
      </c>
      <c r="AV13" s="45">
        <f>IF(IF($B$6="Total",SUMIFS(Countries!$P$5:$P$434,Countries!$A$5:$A$434,$B$4,Countries!$B$5:$B$434,$B$5,Countries!$D$5:$D$434,$A13,Countries!$AR$5:$AR$434,"&gt;0"),SUMIFS(Countries!$P$5:$P$434,Countries!$A$5:$A$434,$B$4,Countries!$B$5:$B$434,$B$5,Countries!$C$5:$C$434,$B$6,Countries!$D$5:$D$434,$A13,Countries!$AR$5:$AR$434,"&gt;0"))=0,"",IF($B$6="Total",SUMIFS(Countries!$AR$5:$AR$434,Countries!$A$5:$A$434,$B$4,Countries!$B$5:$B$434,$B$5,Countries!$D$5:$D$434,$A13,Countries!$P$5:$P$434,"&gt;0"),SUMIFS(Countries!$AR$5:$AR$434,Countries!$A$5:$A$434,$B$4,Countries!$B$5:$B$434,$B$5,Countries!$C$5:$C$434,$B$6,Countries!$D$5:$D$434,$A13,Countries!$P$5:$P$434,"&gt;0"))/IF($B$6="Total",SUMIFS(Countries!$P$5:$P$434,Countries!$A$5:$A$434,$B$4,Countries!$B$5:$B$434,$B$5,Countries!$D$5:$D$434,$A13,Countries!$AR$5:$AR$434,"&gt;0"),SUMIFS(Countries!$P$5:$P$434,Countries!$A$5:$A$434,$B$4,Countries!$B$5:$B$434,$B$5,Countries!$C$5:$C$434,$B$6,Countries!$D$5:$D$434,$A13,Countries!$AR$5:$AR$434,"&gt;0")))</f>
        <v/>
      </c>
      <c r="AW13" s="45">
        <f>IF(IF($B$6="Total",SUMIFS(Countries!$Q$5:$Q$434,Countries!$A$5:$A$434,$B$4,Countries!$B$5:$B$434,$B$5,Countries!$D$5:$D$434,$A13,Countries!$AS$5:$AS$434,"&gt;0"),SUMIFS(Countries!$Q$5:$Q$434,Countries!$A$5:$A$434,$B$4,Countries!$B$5:$B$434,$B$5,Countries!$C$5:$C$434,$B$6,Countries!$D$5:$D$434,$A13,Countries!$AS$5:$AS$434,"&gt;0"))=0,"",IF($B$6="Total",SUMIFS(Countries!$AS$5:$AS$434,Countries!$A$5:$A$434,$B$4,Countries!$B$5:$B$434,$B$5,Countries!$D$5:$D$434,$A13,Countries!$Q$5:$Q$434,"&gt;0"),SUMIFS(Countries!$AS$5:$AS$434,Countries!$A$5:$A$434,$B$4,Countries!$B$5:$B$434,$B$5,Countries!$C$5:$C$434,$B$6,Countries!$D$5:$D$434,$A13,Countries!$Q$5:$Q$434,"&gt;0"))/IF($B$6="Total",SUMIFS(Countries!$Q$5:$Q$434,Countries!$A$5:$A$434,$B$4,Countries!$B$5:$B$434,$B$5,Countries!$D$5:$D$434,$A13,Countries!$AS$5:$AS$434,"&gt;0"),SUMIFS(Countries!$Q$5:$Q$434,Countries!$A$5:$A$434,$B$4,Countries!$B$5:$B$434,$B$5,Countries!$C$5:$C$434,$B$6,Countries!$D$5:$D$434,$A13,Countries!$AS$5:$AS$434,"&gt;0")))</f>
        <v/>
      </c>
      <c r="AX13" s="44">
        <f>IF(OR(AW13="",AV13=""),"",(AW13-AV13)*100)</f>
        <v/>
      </c>
      <c r="AY13" s="45">
        <f>IF(IF($B$6="Total",SUMIFS(Countries!$E$5:$E$434,Countries!$A$5:$A$434,$B$4,Countries!$B$5:$B$434,$B$5,Countries!$D$5:$D$434,$A13,Countries!$AR$5:$AR$434,"&gt;0"),SUMIFS(Countries!$E$5:$E$434,Countries!$A$5:$A$434,$B$4,Countries!$B$5:$B$434,$B$5,Countries!$C$5:$C$434,$B$6,Countries!$D$5:$D$434,$A13,Countries!$AR$5:$AR$434,"&gt;0"))=0,"",IF($B$6="Total",SUMIFS(Countries!$AR$5:$AR$434,Countries!$A$5:$A$434,$B$4,Countries!$B$5:$B$434,$B$5,Countries!$D$5:$D$434,$A13,Countries!$E$5:$E$434,"&gt;0"),SUMIFS(Countries!$AR$5:$AR$434,Countries!$A$5:$A$434,$B$4,Countries!$B$5:$B$434,$B$5,Countries!$C$5:$C$434,$B$6,Countries!$D$5:$D$434,$A13,Countries!$E$5:$E$434,"&gt;0"))/IF($B$6="Total",SUMIFS(Countries!$E$5:$E$434,Countries!$A$5:$A$434,$B$4,Countries!$B$5:$B$434,$B$5,Countries!$D$5:$D$434,$A13,Countries!$AR$5:$AR$434,"&gt;0"),SUMIFS(Countries!$E$5:$E$434,Countries!$A$5:$A$434,$B$4,Countries!$B$5:$B$434,$B$5,Countries!$C$5:$C$434,$B$6,Countries!$D$5:$D$434,$A13,Countries!$AR$5:$AR$434,"&gt;0")))</f>
        <v/>
      </c>
      <c r="AZ13" s="45">
        <f>IF(IF($B$6="Total",SUMIFS(Countries!$F$5:$F$434,Countries!$A$5:$A$434,$B$4,Countries!$B$5:$B$434,$B$5,Countries!$D$5:$D$434,$A13,Countries!$AS$5:$AS$434,"&gt;0"),SUMIFS(Countries!$F$5:$F$434,Countries!$A$5:$A$434,$B$4,Countries!$B$5:$B$434,$B$5,Countries!$C$5:$C$434,$B$6,Countries!$D$5:$D$434,$A13,Countries!$AS$5:$AS$434,"&gt;0"))=0,"",IF($B$6="Total",SUMIFS(Countries!$AS$5:$AS$434,Countries!$A$5:$A$434,$B$4,Countries!$B$5:$B$434,$B$5,Countries!$D$5:$D$434,$A13,Countries!$F$5:$F$434,"&gt;0"),SUMIFS(Countries!$AS$5:$AS$434,Countries!$A$5:$A$434,$B$4,Countries!$B$5:$B$434,$B$5,Countries!$C$5:$C$434,$B$6,Countries!$D$5:$D$434,$A13,Countries!$F$5:$F$434,"&gt;0"))/IF($B$6="Total",SUMIFS(Countries!$F$5:$F$434,Countries!$A$5:$A$434,$B$4,Countries!$B$5:$B$434,$B$5,Countries!$D$5:$D$434,$A13,Countries!$AS$5:$AS$434,"&gt;0"),SUMIFS(Countries!$F$5:$F$434,Countries!$A$5:$A$434,$B$4,Countries!$B$5:$B$434,$B$5,Countries!$C$5:$C$434,$B$6,Countries!$D$5:$D$434,$A13,Countries!$AS$5:$AS$434,"&gt;0")))</f>
        <v/>
      </c>
      <c r="BA13" s="44">
        <f>IF(OR(AZ13="",AY13=""),"",(AZ13-AY13)*100)</f>
        <v/>
      </c>
      <c r="BB13" s="40">
        <f>IF(AND(IF($B$6="Total",COUNTIFS(Countries!$A$5:$A$434,$B$4,Countries!$B$5:$B$434,$B$5,Countries!$D$5:$D$434,$A13,Countries!$F$5:$F$434,"&gt;0"),COUNTIFS(Countries!$A$5:$A$434,$B$4,Countries!$B$5:$B$434,$B$5,Countries!$C$5:$C$434,$B$6,Countries!$D$5:$D$434,$A13,Countries!$F$5:$F$434,"&gt;0"))=0,IF($B$6="Total",COUNTIFS(Countries!$A$5:$A$434,$B$4,Countries!$B$5:$B$434,$B$5,Countries!$D$5:$D$434,$A13,Countries!$E$5:$E$434,"&gt;0"),COUNTIFS(Countries!$A$5:$A$434,$B$4,Countries!$B$5:$B$434,$B$5,Countries!$C$5:$C$434,$B$6,Countries!$D$5:$D$434,$A13,Countries!$E$5:$E$434,"&gt;0"))=0),"",IF(IF($B$6="Total",COUNTIFS(Countries!$A$5:$A$434,$B$4,Countries!$B$5:$B$434,$B$5,Countries!$D$5:$D$434,$A13,Countries!$F$5:$F$434,"&gt;0"),COUNTIFS(Countries!$A$5:$A$434,$B$4,Countries!$B$5:$B$434,$B$5,Countries!$C$5:$C$434,$B$6,Countries!$D$5:$D$434,$A13,Countries!$F$5:$F$434,"&gt;0"))=0,"1-23Aug25 rows only",IF(IF($B$6="Total",COUNTIFS(Countries!$A$5:$A$434,$B$4,Countries!$B$5:$B$434,$B$5,Countries!$D$5:$D$434,$A13,Countries!$E$5:$E$434,"&gt;0"),COUNTIFS(Countries!$A$5:$A$434,$B$4,Countries!$B$5:$B$434,$B$5,Countries!$C$5:$C$434,$B$6,Countries!$D$5:$D$434,$A13,Countries!$E$5:$E$434,"&gt;0"))=0,"1-23Aug26 rows only",IF(IF($B$6="Total",COUNTIFS(Countries!$A$5:$A$434,$B$4,Countries!$B$5:$B$434,$B$5,Countries!$D$5:$D$434,$A13,Countries!$F$5:$F$434,"&gt;0"),COUNTIFS(Countries!$A$5:$A$434,$B$4,Countries!$B$5:$B$434,$B$5,Countries!$C$5:$C$434,$B$6,Countries!$D$5:$D$434,$A13,Countries!$F$5:$F$434,"&gt;0"))=IF($B$6="Total",COUNTIFS(Countries!$A$5:$A$434,$B$4,Countries!$B$5:$B$434,$B$5,Countries!$D$5:$D$434,$A13,Countries!$E$5:$E$434,"&gt;0"),COUNTIFS(Countries!$A$5:$A$434,$B$4,Countries!$B$5:$B$434,$B$5,Countries!$C$5:$C$434,$B$6,Countries!$D$5:$D$434,$A13,Countries!$E$5:$E$434,"&gt;0")),"Like-for-like","Partial — coverage differs"))))</f>
        <v/>
      </c>
    </row>
    <row r="14">
      <c r="A14" s="56" t="inlineStr">
        <is>
          <t>Netherlands</t>
        </is>
      </c>
      <c r="B14" s="41">
        <f>IF(IF($B$6="Total",SUMIFS(Countries!$E$5:$E$434,Countries!$A$5:$A$434,$B$4,Countries!$B$5:$B$434,$B$5,Countries!$D$5:$D$434,$A14),SUMIFS(Countries!$E$5:$E$434,Countries!$A$5:$A$434,$B$4,Countries!$B$5:$B$434,$B$5,Countries!$C$5:$C$434,$B$6,Countries!$D$5:$D$434,$A14))=0,"",IF($B$6="Total",SUMIFS(Countries!$E$5:$E$434,Countries!$A$5:$A$434,$B$4,Countries!$B$5:$B$434,$B$5,Countries!$D$5:$D$434,$A14),SUMIFS(Countries!$E$5:$E$434,Countries!$A$5:$A$434,$B$4,Countries!$B$5:$B$434,$B$5,Countries!$C$5:$C$434,$B$6,Countries!$D$5:$D$434,$A14)))</f>
        <v/>
      </c>
      <c r="C14" s="41">
        <f>IF(IF($B$6="Total",SUMIFS(Countries!$F$5:$F$434,Countries!$A$5:$A$434,$B$4,Countries!$B$5:$B$434,$B$5,Countries!$D$5:$D$434,$A14),SUMIFS(Countries!$F$5:$F$434,Countries!$A$5:$A$434,$B$4,Countries!$B$5:$B$434,$B$5,Countries!$C$5:$C$434,$B$6,Countries!$D$5:$D$434,$A14))=0,"",IF($B$6="Total",SUMIFS(Countries!$F$5:$F$434,Countries!$A$5:$A$434,$B$4,Countries!$B$5:$B$434,$B$5,Countries!$D$5:$D$434,$A14),SUMIFS(Countries!$F$5:$F$434,Countries!$A$5:$A$434,$B$4,Countries!$B$5:$B$434,$B$5,Countries!$C$5:$C$434,$B$6,Countries!$D$5:$D$434,$A14)))</f>
        <v/>
      </c>
      <c r="D14" s="69">
        <f>IF(OR(C14="",B14="",B14=0,C14=0),"",C14-B14)</f>
        <v/>
      </c>
      <c r="E14" s="42">
        <f>IF(OR(C14="",B14="",B14=0,C14=0),"",C14/B14-1)</f>
        <v/>
      </c>
      <c r="F14" s="41">
        <f>IF(IF($B$6="Total",SUMIFS(Countries!$I$5:$I$434,Countries!$A$5:$A$434,$B$4,Countries!$B$5:$B$434,$B$5,Countries!$D$5:$D$434,$A14),SUMIFS(Countries!$I$5:$I$434,Countries!$A$5:$A$434,$B$4,Countries!$B$5:$B$434,$B$5,Countries!$C$5:$C$434,$B$6,Countries!$D$5:$D$434,$A14))=0,"",IF($B$6="Total",SUMIFS(Countries!$I$5:$I$434,Countries!$A$5:$A$434,$B$4,Countries!$B$5:$B$434,$B$5,Countries!$D$5:$D$434,$A14),SUMIFS(Countries!$I$5:$I$434,Countries!$A$5:$A$434,$B$4,Countries!$B$5:$B$434,$B$5,Countries!$C$5:$C$434,$B$6,Countries!$D$5:$D$434,$A14)))</f>
        <v/>
      </c>
      <c r="G14" s="41">
        <f>IF(IF($B$6="Total",SUMIFS(Countries!$J$5:$J$434,Countries!$A$5:$A$434,$B$4,Countries!$B$5:$B$434,$B$5,Countries!$D$5:$D$434,$A14),SUMIFS(Countries!$J$5:$J$434,Countries!$A$5:$A$434,$B$4,Countries!$B$5:$B$434,$B$5,Countries!$C$5:$C$434,$B$6,Countries!$D$5:$D$434,$A14))=0,"",IF($B$6="Total",SUMIFS(Countries!$J$5:$J$434,Countries!$A$5:$A$434,$B$4,Countries!$B$5:$B$434,$B$5,Countries!$D$5:$D$434,$A14),SUMIFS(Countries!$J$5:$J$434,Countries!$A$5:$A$434,$B$4,Countries!$B$5:$B$434,$B$5,Countries!$C$5:$C$434,$B$6,Countries!$D$5:$D$434,$A14)))</f>
        <v/>
      </c>
      <c r="H14" s="69">
        <f>IF(OR(G14="",F14="",F14=0,G14=0),"",G14-F14)</f>
        <v/>
      </c>
      <c r="I14" s="42">
        <f>IF(OR(G14="",F14="",F14=0,G14=0),"",G14/F14-1)</f>
        <v/>
      </c>
      <c r="J14" s="43">
        <f>IF(IF($B$6="Total",SUMIFS(Countries!$E$5:$E$434,Countries!$A$5:$A$434,$B$4,Countries!$B$5:$B$434,$B$5,Countries!$D$5:$D$434,$A14,Countries!$I$5:$I$434,"&gt;0"),SUMIFS(Countries!$E$5:$E$434,Countries!$A$5:$A$434,$B$4,Countries!$B$5:$B$434,$B$5,Countries!$C$5:$C$434,$B$6,Countries!$D$5:$D$434,$A14,Countries!$I$5:$I$434,"&gt;0"))=0,"",IF($B$6="Total",SUMIFS(Countries!$I$5:$I$434,Countries!$A$5:$A$434,$B$4,Countries!$B$5:$B$434,$B$5,Countries!$D$5:$D$434,$A14,Countries!$E$5:$E$434,"&gt;0"),SUMIFS(Countries!$I$5:$I$434,Countries!$A$5:$A$434,$B$4,Countries!$B$5:$B$434,$B$5,Countries!$C$5:$C$434,$B$6,Countries!$D$5:$D$434,$A14,Countries!$E$5:$E$434,"&gt;0"))/IF($B$6="Total",SUMIFS(Countries!$E$5:$E$434,Countries!$A$5:$A$434,$B$4,Countries!$B$5:$B$434,$B$5,Countries!$D$5:$D$434,$A14,Countries!$I$5:$I$434,"&gt;0"),SUMIFS(Countries!$E$5:$E$434,Countries!$A$5:$A$434,$B$4,Countries!$B$5:$B$434,$B$5,Countries!$C$5:$C$434,$B$6,Countries!$D$5:$D$434,$A14,Countries!$I$5:$I$434,"&gt;0")))</f>
        <v/>
      </c>
      <c r="K14" s="43">
        <f>IF(IF($B$6="Total",SUMIFS(Countries!$F$5:$F$434,Countries!$A$5:$A$434,$B$4,Countries!$B$5:$B$434,$B$5,Countries!$D$5:$D$434,$A14,Countries!$J$5:$J$434,"&gt;0"),SUMIFS(Countries!$F$5:$F$434,Countries!$A$5:$A$434,$B$4,Countries!$B$5:$B$434,$B$5,Countries!$C$5:$C$434,$B$6,Countries!$D$5:$D$434,$A14,Countries!$J$5:$J$434,"&gt;0"))=0,"",IF($B$6="Total",SUMIFS(Countries!$J$5:$J$434,Countries!$A$5:$A$434,$B$4,Countries!$B$5:$B$434,$B$5,Countries!$D$5:$D$434,$A14,Countries!$F$5:$F$434,"&gt;0"),SUMIFS(Countries!$J$5:$J$434,Countries!$A$5:$A$434,$B$4,Countries!$B$5:$B$434,$B$5,Countries!$C$5:$C$434,$B$6,Countries!$D$5:$D$434,$A14,Countries!$F$5:$F$434,"&gt;0"))/IF($B$6="Total",SUMIFS(Countries!$F$5:$F$434,Countries!$A$5:$A$434,$B$4,Countries!$B$5:$B$434,$B$5,Countries!$D$5:$D$434,$A14,Countries!$J$5:$J$434,"&gt;0"),SUMIFS(Countries!$F$5:$F$434,Countries!$A$5:$A$434,$B$4,Countries!$B$5:$B$434,$B$5,Countries!$C$5:$C$434,$B$6,Countries!$D$5:$D$434,$A14,Countries!$J$5:$J$434,"&gt;0")))</f>
        <v/>
      </c>
      <c r="L14" s="44">
        <f>IF(OR(K14="",J14=""),"",(K14-J14)*100)</f>
        <v/>
      </c>
      <c r="M14" s="41">
        <f>IF(IF($B$6="Total",SUMIFS(Countries!$P$5:$P$434,Countries!$A$5:$A$434,$B$4,Countries!$B$5:$B$434,$B$5,Countries!$D$5:$D$434,$A14),SUMIFS(Countries!$P$5:$P$434,Countries!$A$5:$A$434,$B$4,Countries!$B$5:$B$434,$B$5,Countries!$C$5:$C$434,$B$6,Countries!$D$5:$D$434,$A14))=0,"",IF($B$6="Total",SUMIFS(Countries!$P$5:$P$434,Countries!$A$5:$A$434,$B$4,Countries!$B$5:$B$434,$B$5,Countries!$D$5:$D$434,$A14),SUMIFS(Countries!$P$5:$P$434,Countries!$A$5:$A$434,$B$4,Countries!$B$5:$B$434,$B$5,Countries!$C$5:$C$434,$B$6,Countries!$D$5:$D$434,$A14)))</f>
        <v/>
      </c>
      <c r="N14" s="41">
        <f>IF(IF($B$6="Total",SUMIFS(Countries!$Q$5:$Q$434,Countries!$A$5:$A$434,$B$4,Countries!$B$5:$B$434,$B$5,Countries!$D$5:$D$434,$A14),SUMIFS(Countries!$Q$5:$Q$434,Countries!$A$5:$A$434,$B$4,Countries!$B$5:$B$434,$B$5,Countries!$C$5:$C$434,$B$6,Countries!$D$5:$D$434,$A14))=0,"",IF($B$6="Total",SUMIFS(Countries!$Q$5:$Q$434,Countries!$A$5:$A$434,$B$4,Countries!$B$5:$B$434,$B$5,Countries!$D$5:$D$434,$A14),SUMIFS(Countries!$Q$5:$Q$434,Countries!$A$5:$A$434,$B$4,Countries!$B$5:$B$434,$B$5,Countries!$C$5:$C$434,$B$6,Countries!$D$5:$D$434,$A14)))</f>
        <v/>
      </c>
      <c r="O14" s="69">
        <f>IF(OR(N14="",M14="",M14=0,N14=0),"",N14-M14)</f>
        <v/>
      </c>
      <c r="P14" s="42">
        <f>IF(OR(N14="",M14="",M14=0,N14=0),"",N14/M14-1)</f>
        <v/>
      </c>
      <c r="Q14" s="43">
        <f>IF(IF($B$6="Total",SUMIFS(Countries!$E$5:$E$434,Countries!$A$5:$A$434,$B$4,Countries!$B$5:$B$434,$B$5,Countries!$D$5:$D$434,$A14,Countries!$P$5:$P$434,"&gt;0"),SUMIFS(Countries!$E$5:$E$434,Countries!$A$5:$A$434,$B$4,Countries!$B$5:$B$434,$B$5,Countries!$C$5:$C$434,$B$6,Countries!$D$5:$D$434,$A14,Countries!$P$5:$P$434,"&gt;0"))=0,"",IF($B$6="Total",SUMIFS(Countries!$P$5:$P$434,Countries!$A$5:$A$434,$B$4,Countries!$B$5:$B$434,$B$5,Countries!$D$5:$D$434,$A14,Countries!$E$5:$E$434,"&gt;0"),SUMIFS(Countries!$P$5:$P$434,Countries!$A$5:$A$434,$B$4,Countries!$B$5:$B$434,$B$5,Countries!$C$5:$C$434,$B$6,Countries!$D$5:$D$434,$A14,Countries!$E$5:$E$434,"&gt;0"))/IF($B$6="Total",SUMIFS(Countries!$E$5:$E$434,Countries!$A$5:$A$434,$B$4,Countries!$B$5:$B$434,$B$5,Countries!$D$5:$D$434,$A14,Countries!$P$5:$P$434,"&gt;0"),SUMIFS(Countries!$E$5:$E$434,Countries!$A$5:$A$434,$B$4,Countries!$B$5:$B$434,$B$5,Countries!$C$5:$C$434,$B$6,Countries!$D$5:$D$434,$A14,Countries!$P$5:$P$434,"&gt;0")))</f>
        <v/>
      </c>
      <c r="R14" s="43">
        <f>IF(IF($B$6="Total",SUMIFS(Countries!$F$5:$F$434,Countries!$A$5:$A$434,$B$4,Countries!$B$5:$B$434,$B$5,Countries!$D$5:$D$434,$A14,Countries!$Q$5:$Q$434,"&gt;0"),SUMIFS(Countries!$F$5:$F$434,Countries!$A$5:$A$434,$B$4,Countries!$B$5:$B$434,$B$5,Countries!$C$5:$C$434,$B$6,Countries!$D$5:$D$434,$A14,Countries!$Q$5:$Q$434,"&gt;0"))=0,"",IF($B$6="Total",SUMIFS(Countries!$Q$5:$Q$434,Countries!$A$5:$A$434,$B$4,Countries!$B$5:$B$434,$B$5,Countries!$D$5:$D$434,$A14,Countries!$F$5:$F$434,"&gt;0"),SUMIFS(Countries!$Q$5:$Q$434,Countries!$A$5:$A$434,$B$4,Countries!$B$5:$B$434,$B$5,Countries!$C$5:$C$434,$B$6,Countries!$D$5:$D$434,$A14,Countries!$F$5:$F$434,"&gt;0"))/IF($B$6="Total",SUMIFS(Countries!$F$5:$F$434,Countries!$A$5:$A$434,$B$4,Countries!$B$5:$B$434,$B$5,Countries!$D$5:$D$434,$A14,Countries!$Q$5:$Q$434,"&gt;0"),SUMIFS(Countries!$F$5:$F$434,Countries!$A$5:$A$434,$B$4,Countries!$B$5:$B$434,$B$5,Countries!$C$5:$C$434,$B$6,Countries!$D$5:$D$434,$A14,Countries!$Q$5:$Q$434,"&gt;0")))</f>
        <v/>
      </c>
      <c r="S14" s="44">
        <f>IF(OR(R14="",Q14=""),"",(R14-Q14)*100)</f>
        <v/>
      </c>
      <c r="T14" s="41">
        <f>IF(IF($B$6="Total",SUMIFS(Countries!$W$5:$W$434,Countries!$A$5:$A$434,$B$4,Countries!$B$5:$B$434,$B$5,Countries!$D$5:$D$434,$A14),SUMIFS(Countries!$W$5:$W$434,Countries!$A$5:$A$434,$B$4,Countries!$B$5:$B$434,$B$5,Countries!$C$5:$C$434,$B$6,Countries!$D$5:$D$434,$A14))=0,"",IF($B$6="Total",SUMIFS(Countries!$W$5:$W$434,Countries!$A$5:$A$434,$B$4,Countries!$B$5:$B$434,$B$5,Countries!$D$5:$D$434,$A14),SUMIFS(Countries!$W$5:$W$434,Countries!$A$5:$A$434,$B$4,Countries!$B$5:$B$434,$B$5,Countries!$C$5:$C$434,$B$6,Countries!$D$5:$D$434,$A14)))</f>
        <v/>
      </c>
      <c r="U14" s="41">
        <f>IF(IF($B$6="Total",SUMIFS(Countries!$X$5:$X$434,Countries!$A$5:$A$434,$B$4,Countries!$B$5:$B$434,$B$5,Countries!$D$5:$D$434,$A14),SUMIFS(Countries!$X$5:$X$434,Countries!$A$5:$A$434,$B$4,Countries!$B$5:$B$434,$B$5,Countries!$C$5:$C$434,$B$6,Countries!$D$5:$D$434,$A14))=0,"",IF($B$6="Total",SUMIFS(Countries!$X$5:$X$434,Countries!$A$5:$A$434,$B$4,Countries!$B$5:$B$434,$B$5,Countries!$D$5:$D$434,$A14),SUMIFS(Countries!$X$5:$X$434,Countries!$A$5:$A$434,$B$4,Countries!$B$5:$B$434,$B$5,Countries!$C$5:$C$434,$B$6,Countries!$D$5:$D$434,$A14)))</f>
        <v/>
      </c>
      <c r="V14" s="69">
        <f>IF(OR(U14="",T14="",T14=0,U14=0),"",U14-T14)</f>
        <v/>
      </c>
      <c r="W14" s="42">
        <f>IF(OR(U14="",T14="",T14=0,U14=0),"",U14/T14-1)</f>
        <v/>
      </c>
      <c r="X14" s="43">
        <f>IF(IF($B$6="Total",SUMIFS(Countries!$P$5:$P$434,Countries!$A$5:$A$434,$B$4,Countries!$B$5:$B$434,$B$5,Countries!$D$5:$D$434,$A14,Countries!$W$5:$W$434,"&gt;0"),SUMIFS(Countries!$P$5:$P$434,Countries!$A$5:$A$434,$B$4,Countries!$B$5:$B$434,$B$5,Countries!$C$5:$C$434,$B$6,Countries!$D$5:$D$434,$A14,Countries!$W$5:$W$434,"&gt;0"))=0,"",IF($B$6="Total",SUMIFS(Countries!$W$5:$W$434,Countries!$A$5:$A$434,$B$4,Countries!$B$5:$B$434,$B$5,Countries!$D$5:$D$434,$A14,Countries!$P$5:$P$434,"&gt;0"),SUMIFS(Countries!$W$5:$W$434,Countries!$A$5:$A$434,$B$4,Countries!$B$5:$B$434,$B$5,Countries!$C$5:$C$434,$B$6,Countries!$D$5:$D$434,$A14,Countries!$P$5:$P$434,"&gt;0"))/IF($B$6="Total",SUMIFS(Countries!$P$5:$P$434,Countries!$A$5:$A$434,$B$4,Countries!$B$5:$B$434,$B$5,Countries!$D$5:$D$434,$A14,Countries!$W$5:$W$434,"&gt;0"),SUMIFS(Countries!$P$5:$P$434,Countries!$A$5:$A$434,$B$4,Countries!$B$5:$B$434,$B$5,Countries!$C$5:$C$434,$B$6,Countries!$D$5:$D$434,$A14,Countries!$W$5:$W$434,"&gt;0")))</f>
        <v/>
      </c>
      <c r="Y14" s="43">
        <f>IF(IF($B$6="Total",SUMIFS(Countries!$Q$5:$Q$434,Countries!$A$5:$A$434,$B$4,Countries!$B$5:$B$434,$B$5,Countries!$D$5:$D$434,$A14,Countries!$X$5:$X$434,"&gt;0"),SUMIFS(Countries!$Q$5:$Q$434,Countries!$A$5:$A$434,$B$4,Countries!$B$5:$B$434,$B$5,Countries!$C$5:$C$434,$B$6,Countries!$D$5:$D$434,$A14,Countries!$X$5:$X$434,"&gt;0"))=0,"",IF($B$6="Total",SUMIFS(Countries!$X$5:$X$434,Countries!$A$5:$A$434,$B$4,Countries!$B$5:$B$434,$B$5,Countries!$D$5:$D$434,$A14,Countries!$Q$5:$Q$434,"&gt;0"),SUMIFS(Countries!$X$5:$X$434,Countries!$A$5:$A$434,$B$4,Countries!$B$5:$B$434,$B$5,Countries!$C$5:$C$434,$B$6,Countries!$D$5:$D$434,$A14,Countries!$Q$5:$Q$434,"&gt;0"))/IF($B$6="Total",SUMIFS(Countries!$Q$5:$Q$434,Countries!$A$5:$A$434,$B$4,Countries!$B$5:$B$434,$B$5,Countries!$D$5:$D$434,$A14,Countries!$X$5:$X$434,"&gt;0"),SUMIFS(Countries!$Q$5:$Q$434,Countries!$A$5:$A$434,$B$4,Countries!$B$5:$B$434,$B$5,Countries!$C$5:$C$434,$B$6,Countries!$D$5:$D$434,$A14,Countries!$X$5:$X$434,"&gt;0")))</f>
        <v/>
      </c>
      <c r="Z14" s="44">
        <f>IF(OR(Y14="",X14=""),"",(Y14-X14)*100)</f>
        <v/>
      </c>
      <c r="AA14" s="41">
        <f>IF(IF($B$6="Total",SUMIFS(Countries!$AD$5:$AD$434,Countries!$A$5:$A$434,$B$4,Countries!$B$5:$B$434,$B$5,Countries!$D$5:$D$434,$A14),SUMIFS(Countries!$AD$5:$AD$434,Countries!$A$5:$A$434,$B$4,Countries!$B$5:$B$434,$B$5,Countries!$C$5:$C$434,$B$6,Countries!$D$5:$D$434,$A14))=0,"",IF($B$6="Total",SUMIFS(Countries!$AD$5:$AD$434,Countries!$A$5:$A$434,$B$4,Countries!$B$5:$B$434,$B$5,Countries!$D$5:$D$434,$A14),SUMIFS(Countries!$AD$5:$AD$434,Countries!$A$5:$A$434,$B$4,Countries!$B$5:$B$434,$B$5,Countries!$C$5:$C$434,$B$6,Countries!$D$5:$D$434,$A14)))</f>
        <v/>
      </c>
      <c r="AB14" s="41">
        <f>IF(IF($B$6="Total",SUMIFS(Countries!$AE$5:$AE$434,Countries!$A$5:$A$434,$B$4,Countries!$B$5:$B$434,$B$5,Countries!$D$5:$D$434,$A14),SUMIFS(Countries!$AE$5:$AE$434,Countries!$A$5:$A$434,$B$4,Countries!$B$5:$B$434,$B$5,Countries!$C$5:$C$434,$B$6,Countries!$D$5:$D$434,$A14))=0,"",IF($B$6="Total",SUMIFS(Countries!$AE$5:$AE$434,Countries!$A$5:$A$434,$B$4,Countries!$B$5:$B$434,$B$5,Countries!$D$5:$D$434,$A14),SUMIFS(Countries!$AE$5:$AE$434,Countries!$A$5:$A$434,$B$4,Countries!$B$5:$B$434,$B$5,Countries!$C$5:$C$434,$B$6,Countries!$D$5:$D$434,$A14)))</f>
        <v/>
      </c>
      <c r="AC14" s="69">
        <f>IF(OR(AB14="",AA14="",AA14=0,AB14=0),"",AB14-AA14)</f>
        <v/>
      </c>
      <c r="AD14" s="42">
        <f>IF(OR(AB14="",AA14="",AA14=0,AB14=0),"",AB14/AA14-1)</f>
        <v/>
      </c>
      <c r="AE14" s="43">
        <f>IF(IF($B$6="Total",SUMIFS(Countries!$W$5:$W$434,Countries!$A$5:$A$434,$B$4,Countries!$B$5:$B$434,$B$5,Countries!$D$5:$D$434,$A14,Countries!$AD$5:$AD$434,"&gt;0"),SUMIFS(Countries!$W$5:$W$434,Countries!$A$5:$A$434,$B$4,Countries!$B$5:$B$434,$B$5,Countries!$C$5:$C$434,$B$6,Countries!$D$5:$D$434,$A14,Countries!$AD$5:$AD$434,"&gt;0"))=0,"",IF($B$6="Total",SUMIFS(Countries!$AD$5:$AD$434,Countries!$A$5:$A$434,$B$4,Countries!$B$5:$B$434,$B$5,Countries!$D$5:$D$434,$A14,Countries!$W$5:$W$434,"&gt;0"),SUMIFS(Countries!$AD$5:$AD$434,Countries!$A$5:$A$434,$B$4,Countries!$B$5:$B$434,$B$5,Countries!$C$5:$C$434,$B$6,Countries!$D$5:$D$434,$A14,Countries!$W$5:$W$434,"&gt;0"))/IF($B$6="Total",SUMIFS(Countries!$W$5:$W$434,Countries!$A$5:$A$434,$B$4,Countries!$B$5:$B$434,$B$5,Countries!$D$5:$D$434,$A14,Countries!$AD$5:$AD$434,"&gt;0"),SUMIFS(Countries!$W$5:$W$434,Countries!$A$5:$A$434,$B$4,Countries!$B$5:$B$434,$B$5,Countries!$C$5:$C$434,$B$6,Countries!$D$5:$D$434,$A14,Countries!$AD$5:$AD$434,"&gt;0")))</f>
        <v/>
      </c>
      <c r="AF14" s="43">
        <f>IF(IF($B$6="Total",SUMIFS(Countries!$X$5:$X$434,Countries!$A$5:$A$434,$B$4,Countries!$B$5:$B$434,$B$5,Countries!$D$5:$D$434,$A14,Countries!$AE$5:$AE$434,"&gt;0"),SUMIFS(Countries!$X$5:$X$434,Countries!$A$5:$A$434,$B$4,Countries!$B$5:$B$434,$B$5,Countries!$C$5:$C$434,$B$6,Countries!$D$5:$D$434,$A14,Countries!$AE$5:$AE$434,"&gt;0"))=0,"",IF($B$6="Total",SUMIFS(Countries!$AE$5:$AE$434,Countries!$A$5:$A$434,$B$4,Countries!$B$5:$B$434,$B$5,Countries!$D$5:$D$434,$A14,Countries!$X$5:$X$434,"&gt;0"),SUMIFS(Countries!$AE$5:$AE$434,Countries!$A$5:$A$434,$B$4,Countries!$B$5:$B$434,$B$5,Countries!$C$5:$C$434,$B$6,Countries!$D$5:$D$434,$A14,Countries!$X$5:$X$434,"&gt;0"))/IF($B$6="Total",SUMIFS(Countries!$X$5:$X$434,Countries!$A$5:$A$434,$B$4,Countries!$B$5:$B$434,$B$5,Countries!$D$5:$D$434,$A14,Countries!$AE$5:$AE$434,"&gt;0"),SUMIFS(Countries!$X$5:$X$434,Countries!$A$5:$A$434,$B$4,Countries!$B$5:$B$434,$B$5,Countries!$C$5:$C$434,$B$6,Countries!$D$5:$D$434,$A14,Countries!$AE$5:$AE$434,"&gt;0")))</f>
        <v/>
      </c>
      <c r="AG14" s="44">
        <f>IF(OR(AF14="",AE14=""),"",(AF14-AE14)*100)</f>
        <v/>
      </c>
      <c r="AH14" s="41">
        <f>IF(IF($B$6="Total",SUMIFS(Countries!$AK$5:$AK$434,Countries!$A$5:$A$434,$B$4,Countries!$B$5:$B$434,$B$5,Countries!$D$5:$D$434,$A14),SUMIFS(Countries!$AK$5:$AK$434,Countries!$A$5:$A$434,$B$4,Countries!$B$5:$B$434,$B$5,Countries!$C$5:$C$434,$B$6,Countries!$D$5:$D$434,$A14))=0,"",IF($B$6="Total",SUMIFS(Countries!$AK$5:$AK$434,Countries!$A$5:$A$434,$B$4,Countries!$B$5:$B$434,$B$5,Countries!$D$5:$D$434,$A14),SUMIFS(Countries!$AK$5:$AK$434,Countries!$A$5:$A$434,$B$4,Countries!$B$5:$B$434,$B$5,Countries!$C$5:$C$434,$B$6,Countries!$D$5:$D$434,$A14)))</f>
        <v/>
      </c>
      <c r="AI14" s="41">
        <f>IF(IF($B$6="Total",SUMIFS(Countries!$AL$5:$AL$434,Countries!$A$5:$A$434,$B$4,Countries!$B$5:$B$434,$B$5,Countries!$D$5:$D$434,$A14),SUMIFS(Countries!$AL$5:$AL$434,Countries!$A$5:$A$434,$B$4,Countries!$B$5:$B$434,$B$5,Countries!$C$5:$C$434,$B$6,Countries!$D$5:$D$434,$A14))=0,"",IF($B$6="Total",SUMIFS(Countries!$AL$5:$AL$434,Countries!$A$5:$A$434,$B$4,Countries!$B$5:$B$434,$B$5,Countries!$D$5:$D$434,$A14),SUMIFS(Countries!$AL$5:$AL$434,Countries!$A$5:$A$434,$B$4,Countries!$B$5:$B$434,$B$5,Countries!$C$5:$C$434,$B$6,Countries!$D$5:$D$434,$A14)))</f>
        <v/>
      </c>
      <c r="AJ14" s="69">
        <f>IF(OR(AI14="",AH14="",AH14=0,AI14=0),"",AI14-AH14)</f>
        <v/>
      </c>
      <c r="AK14" s="42">
        <f>IF(OR(AI14="",AH14="",AH14=0,AI14=0),"",AI14/AH14-1)</f>
        <v/>
      </c>
      <c r="AL14" s="43">
        <f>IF(IF($B$6="Total",SUMIFS(Countries!$AD$5:$AD$434,Countries!$A$5:$A$434,$B$4,Countries!$B$5:$B$434,$B$5,Countries!$D$5:$D$434,$A14,Countries!$AK$5:$AK$434,"&gt;0"),SUMIFS(Countries!$AD$5:$AD$434,Countries!$A$5:$A$434,$B$4,Countries!$B$5:$B$434,$B$5,Countries!$C$5:$C$434,$B$6,Countries!$D$5:$D$434,$A14,Countries!$AK$5:$AK$434,"&gt;0"))=0,"",IF($B$6="Total",SUMIFS(Countries!$AK$5:$AK$434,Countries!$A$5:$A$434,$B$4,Countries!$B$5:$B$434,$B$5,Countries!$D$5:$D$434,$A14,Countries!$AD$5:$AD$434,"&gt;0"),SUMIFS(Countries!$AK$5:$AK$434,Countries!$A$5:$A$434,$B$4,Countries!$B$5:$B$434,$B$5,Countries!$C$5:$C$434,$B$6,Countries!$D$5:$D$434,$A14,Countries!$AD$5:$AD$434,"&gt;0"))/IF($B$6="Total",SUMIFS(Countries!$AD$5:$AD$434,Countries!$A$5:$A$434,$B$4,Countries!$B$5:$B$434,$B$5,Countries!$D$5:$D$434,$A14,Countries!$AK$5:$AK$434,"&gt;0"),SUMIFS(Countries!$AD$5:$AD$434,Countries!$A$5:$A$434,$B$4,Countries!$B$5:$B$434,$B$5,Countries!$C$5:$C$434,$B$6,Countries!$D$5:$D$434,$A14,Countries!$AK$5:$AK$434,"&gt;0")))</f>
        <v/>
      </c>
      <c r="AM14" s="43">
        <f>IF(IF($B$6="Total",SUMIFS(Countries!$AE$5:$AE$434,Countries!$A$5:$A$434,$B$4,Countries!$B$5:$B$434,$B$5,Countries!$D$5:$D$434,$A14,Countries!$AL$5:$AL$434,"&gt;0"),SUMIFS(Countries!$AE$5:$AE$434,Countries!$A$5:$A$434,$B$4,Countries!$B$5:$B$434,$B$5,Countries!$C$5:$C$434,$B$6,Countries!$D$5:$D$434,$A14,Countries!$AL$5:$AL$434,"&gt;0"))=0,"",IF($B$6="Total",SUMIFS(Countries!$AL$5:$AL$434,Countries!$A$5:$A$434,$B$4,Countries!$B$5:$B$434,$B$5,Countries!$D$5:$D$434,$A14,Countries!$AE$5:$AE$434,"&gt;0"),SUMIFS(Countries!$AL$5:$AL$434,Countries!$A$5:$A$434,$B$4,Countries!$B$5:$B$434,$B$5,Countries!$C$5:$C$434,$B$6,Countries!$D$5:$D$434,$A14,Countries!$AE$5:$AE$434,"&gt;0"))/IF($B$6="Total",SUMIFS(Countries!$AE$5:$AE$434,Countries!$A$5:$A$434,$B$4,Countries!$B$5:$B$434,$B$5,Countries!$D$5:$D$434,$A14,Countries!$AL$5:$AL$434,"&gt;0"),SUMIFS(Countries!$AE$5:$AE$434,Countries!$A$5:$A$434,$B$4,Countries!$B$5:$B$434,$B$5,Countries!$C$5:$C$434,$B$6,Countries!$D$5:$D$434,$A14,Countries!$AL$5:$AL$434,"&gt;0")))</f>
        <v/>
      </c>
      <c r="AN14" s="44">
        <f>IF(OR(AM14="",AL14=""),"",(AM14-AL14)*100)</f>
        <v/>
      </c>
      <c r="AO14" s="41">
        <f>IF(IF($B$6="Total",SUMIFS(Countries!$AR$5:$AR$434,Countries!$A$5:$A$434,$B$4,Countries!$B$5:$B$434,$B$5,Countries!$D$5:$D$434,$A14),SUMIFS(Countries!$AR$5:$AR$434,Countries!$A$5:$A$434,$B$4,Countries!$B$5:$B$434,$B$5,Countries!$C$5:$C$434,$B$6,Countries!$D$5:$D$434,$A14))=0,"",IF($B$6="Total",SUMIFS(Countries!$AR$5:$AR$434,Countries!$A$5:$A$434,$B$4,Countries!$B$5:$B$434,$B$5,Countries!$D$5:$D$434,$A14),SUMIFS(Countries!$AR$5:$AR$434,Countries!$A$5:$A$434,$B$4,Countries!$B$5:$B$434,$B$5,Countries!$C$5:$C$434,$B$6,Countries!$D$5:$D$434,$A14)))</f>
        <v/>
      </c>
      <c r="AP14" s="41">
        <f>IF(IF($B$6="Total",SUMIFS(Countries!$AS$5:$AS$434,Countries!$A$5:$A$434,$B$4,Countries!$B$5:$B$434,$B$5,Countries!$D$5:$D$434,$A14),SUMIFS(Countries!$AS$5:$AS$434,Countries!$A$5:$A$434,$B$4,Countries!$B$5:$B$434,$B$5,Countries!$C$5:$C$434,$B$6,Countries!$D$5:$D$434,$A14))=0,"",IF($B$6="Total",SUMIFS(Countries!$AS$5:$AS$434,Countries!$A$5:$A$434,$B$4,Countries!$B$5:$B$434,$B$5,Countries!$D$5:$D$434,$A14),SUMIFS(Countries!$AS$5:$AS$434,Countries!$A$5:$A$434,$B$4,Countries!$B$5:$B$434,$B$5,Countries!$C$5:$C$434,$B$6,Countries!$D$5:$D$434,$A14)))</f>
        <v/>
      </c>
      <c r="AQ14" s="69">
        <f>IF(OR(AP14="",AO14="",AO14=0,AP14=0),"",AP14-AO14)</f>
        <v/>
      </c>
      <c r="AR14" s="42">
        <f>IF(OR(AP14="",AO14="",AO14=0,AP14=0),"",AP14/AO14-1)</f>
        <v/>
      </c>
      <c r="AS14" s="43">
        <f>IF(IF($B$6="Total",SUMIFS(Countries!$AK$5:$AK$434,Countries!$A$5:$A$434,$B$4,Countries!$B$5:$B$434,$B$5,Countries!$D$5:$D$434,$A14,Countries!$AR$5:$AR$434,"&gt;0"),SUMIFS(Countries!$AK$5:$AK$434,Countries!$A$5:$A$434,$B$4,Countries!$B$5:$B$434,$B$5,Countries!$C$5:$C$434,$B$6,Countries!$D$5:$D$434,$A14,Countries!$AR$5:$AR$434,"&gt;0"))=0,"",IF($B$6="Total",SUMIFS(Countries!$AR$5:$AR$434,Countries!$A$5:$A$434,$B$4,Countries!$B$5:$B$434,$B$5,Countries!$D$5:$D$434,$A14,Countries!$AK$5:$AK$434,"&gt;0"),SUMIFS(Countries!$AR$5:$AR$434,Countries!$A$5:$A$434,$B$4,Countries!$B$5:$B$434,$B$5,Countries!$C$5:$C$434,$B$6,Countries!$D$5:$D$434,$A14,Countries!$AK$5:$AK$434,"&gt;0"))/IF($B$6="Total",SUMIFS(Countries!$AK$5:$AK$434,Countries!$A$5:$A$434,$B$4,Countries!$B$5:$B$434,$B$5,Countries!$D$5:$D$434,$A14,Countries!$AR$5:$AR$434,"&gt;0"),SUMIFS(Countries!$AK$5:$AK$434,Countries!$A$5:$A$434,$B$4,Countries!$B$5:$B$434,$B$5,Countries!$C$5:$C$434,$B$6,Countries!$D$5:$D$434,$A14,Countries!$AR$5:$AR$434,"&gt;0")))</f>
        <v/>
      </c>
      <c r="AT14" s="43">
        <f>IF(IF($B$6="Total",SUMIFS(Countries!$AL$5:$AL$434,Countries!$A$5:$A$434,$B$4,Countries!$B$5:$B$434,$B$5,Countries!$D$5:$D$434,$A14,Countries!$AS$5:$AS$434,"&gt;0"),SUMIFS(Countries!$AL$5:$AL$434,Countries!$A$5:$A$434,$B$4,Countries!$B$5:$B$434,$B$5,Countries!$C$5:$C$434,$B$6,Countries!$D$5:$D$434,$A14,Countries!$AS$5:$AS$434,"&gt;0"))=0,"",IF($B$6="Total",SUMIFS(Countries!$AS$5:$AS$434,Countries!$A$5:$A$434,$B$4,Countries!$B$5:$B$434,$B$5,Countries!$D$5:$D$434,$A14,Countries!$AL$5:$AL$434,"&gt;0"),SUMIFS(Countries!$AS$5:$AS$434,Countries!$A$5:$A$434,$B$4,Countries!$B$5:$B$434,$B$5,Countries!$C$5:$C$434,$B$6,Countries!$D$5:$D$434,$A14,Countries!$AL$5:$AL$434,"&gt;0"))/IF($B$6="Total",SUMIFS(Countries!$AL$5:$AL$434,Countries!$A$5:$A$434,$B$4,Countries!$B$5:$B$434,$B$5,Countries!$D$5:$D$434,$A14,Countries!$AS$5:$AS$434,"&gt;0"),SUMIFS(Countries!$AL$5:$AL$434,Countries!$A$5:$A$434,$B$4,Countries!$B$5:$B$434,$B$5,Countries!$C$5:$C$434,$B$6,Countries!$D$5:$D$434,$A14,Countries!$AS$5:$AS$434,"&gt;0")))</f>
        <v/>
      </c>
      <c r="AU14" s="44">
        <f>IF(OR(AT14="",AS14=""),"",(AT14-AS14)*100)</f>
        <v/>
      </c>
      <c r="AV14" s="45">
        <f>IF(IF($B$6="Total",SUMIFS(Countries!$P$5:$P$434,Countries!$A$5:$A$434,$B$4,Countries!$B$5:$B$434,$B$5,Countries!$D$5:$D$434,$A14,Countries!$AR$5:$AR$434,"&gt;0"),SUMIFS(Countries!$P$5:$P$434,Countries!$A$5:$A$434,$B$4,Countries!$B$5:$B$434,$B$5,Countries!$C$5:$C$434,$B$6,Countries!$D$5:$D$434,$A14,Countries!$AR$5:$AR$434,"&gt;0"))=0,"",IF($B$6="Total",SUMIFS(Countries!$AR$5:$AR$434,Countries!$A$5:$A$434,$B$4,Countries!$B$5:$B$434,$B$5,Countries!$D$5:$D$434,$A14,Countries!$P$5:$P$434,"&gt;0"),SUMIFS(Countries!$AR$5:$AR$434,Countries!$A$5:$A$434,$B$4,Countries!$B$5:$B$434,$B$5,Countries!$C$5:$C$434,$B$6,Countries!$D$5:$D$434,$A14,Countries!$P$5:$P$434,"&gt;0"))/IF($B$6="Total",SUMIFS(Countries!$P$5:$P$434,Countries!$A$5:$A$434,$B$4,Countries!$B$5:$B$434,$B$5,Countries!$D$5:$D$434,$A14,Countries!$AR$5:$AR$434,"&gt;0"),SUMIFS(Countries!$P$5:$P$434,Countries!$A$5:$A$434,$B$4,Countries!$B$5:$B$434,$B$5,Countries!$C$5:$C$434,$B$6,Countries!$D$5:$D$434,$A14,Countries!$AR$5:$AR$434,"&gt;0")))</f>
        <v/>
      </c>
      <c r="AW14" s="45">
        <f>IF(IF($B$6="Total",SUMIFS(Countries!$Q$5:$Q$434,Countries!$A$5:$A$434,$B$4,Countries!$B$5:$B$434,$B$5,Countries!$D$5:$D$434,$A14,Countries!$AS$5:$AS$434,"&gt;0"),SUMIFS(Countries!$Q$5:$Q$434,Countries!$A$5:$A$434,$B$4,Countries!$B$5:$B$434,$B$5,Countries!$C$5:$C$434,$B$6,Countries!$D$5:$D$434,$A14,Countries!$AS$5:$AS$434,"&gt;0"))=0,"",IF($B$6="Total",SUMIFS(Countries!$AS$5:$AS$434,Countries!$A$5:$A$434,$B$4,Countries!$B$5:$B$434,$B$5,Countries!$D$5:$D$434,$A14,Countries!$Q$5:$Q$434,"&gt;0"),SUMIFS(Countries!$AS$5:$AS$434,Countries!$A$5:$A$434,$B$4,Countries!$B$5:$B$434,$B$5,Countries!$C$5:$C$434,$B$6,Countries!$D$5:$D$434,$A14,Countries!$Q$5:$Q$434,"&gt;0"))/IF($B$6="Total",SUMIFS(Countries!$Q$5:$Q$434,Countries!$A$5:$A$434,$B$4,Countries!$B$5:$B$434,$B$5,Countries!$D$5:$D$434,$A14,Countries!$AS$5:$AS$434,"&gt;0"),SUMIFS(Countries!$Q$5:$Q$434,Countries!$A$5:$A$434,$B$4,Countries!$B$5:$B$434,$B$5,Countries!$C$5:$C$434,$B$6,Countries!$D$5:$D$434,$A14,Countries!$AS$5:$AS$434,"&gt;0")))</f>
        <v/>
      </c>
      <c r="AX14" s="44">
        <f>IF(OR(AW14="",AV14=""),"",(AW14-AV14)*100)</f>
        <v/>
      </c>
      <c r="AY14" s="45">
        <f>IF(IF($B$6="Total",SUMIFS(Countries!$E$5:$E$434,Countries!$A$5:$A$434,$B$4,Countries!$B$5:$B$434,$B$5,Countries!$D$5:$D$434,$A14,Countries!$AR$5:$AR$434,"&gt;0"),SUMIFS(Countries!$E$5:$E$434,Countries!$A$5:$A$434,$B$4,Countries!$B$5:$B$434,$B$5,Countries!$C$5:$C$434,$B$6,Countries!$D$5:$D$434,$A14,Countries!$AR$5:$AR$434,"&gt;0"))=0,"",IF($B$6="Total",SUMIFS(Countries!$AR$5:$AR$434,Countries!$A$5:$A$434,$B$4,Countries!$B$5:$B$434,$B$5,Countries!$D$5:$D$434,$A14,Countries!$E$5:$E$434,"&gt;0"),SUMIFS(Countries!$AR$5:$AR$434,Countries!$A$5:$A$434,$B$4,Countries!$B$5:$B$434,$B$5,Countries!$C$5:$C$434,$B$6,Countries!$D$5:$D$434,$A14,Countries!$E$5:$E$434,"&gt;0"))/IF($B$6="Total",SUMIFS(Countries!$E$5:$E$434,Countries!$A$5:$A$434,$B$4,Countries!$B$5:$B$434,$B$5,Countries!$D$5:$D$434,$A14,Countries!$AR$5:$AR$434,"&gt;0"),SUMIFS(Countries!$E$5:$E$434,Countries!$A$5:$A$434,$B$4,Countries!$B$5:$B$434,$B$5,Countries!$C$5:$C$434,$B$6,Countries!$D$5:$D$434,$A14,Countries!$AR$5:$AR$434,"&gt;0")))</f>
        <v/>
      </c>
      <c r="AZ14" s="45">
        <f>IF(IF($B$6="Total",SUMIFS(Countries!$F$5:$F$434,Countries!$A$5:$A$434,$B$4,Countries!$B$5:$B$434,$B$5,Countries!$D$5:$D$434,$A14,Countries!$AS$5:$AS$434,"&gt;0"),SUMIFS(Countries!$F$5:$F$434,Countries!$A$5:$A$434,$B$4,Countries!$B$5:$B$434,$B$5,Countries!$C$5:$C$434,$B$6,Countries!$D$5:$D$434,$A14,Countries!$AS$5:$AS$434,"&gt;0"))=0,"",IF($B$6="Total",SUMIFS(Countries!$AS$5:$AS$434,Countries!$A$5:$A$434,$B$4,Countries!$B$5:$B$434,$B$5,Countries!$D$5:$D$434,$A14,Countries!$F$5:$F$434,"&gt;0"),SUMIFS(Countries!$AS$5:$AS$434,Countries!$A$5:$A$434,$B$4,Countries!$B$5:$B$434,$B$5,Countries!$C$5:$C$434,$B$6,Countries!$D$5:$D$434,$A14,Countries!$F$5:$F$434,"&gt;0"))/IF($B$6="Total",SUMIFS(Countries!$F$5:$F$434,Countries!$A$5:$A$434,$B$4,Countries!$B$5:$B$434,$B$5,Countries!$D$5:$D$434,$A14,Countries!$AS$5:$AS$434,"&gt;0"),SUMIFS(Countries!$F$5:$F$434,Countries!$A$5:$A$434,$B$4,Countries!$B$5:$B$434,$B$5,Countries!$C$5:$C$434,$B$6,Countries!$D$5:$D$434,$A14,Countries!$AS$5:$AS$434,"&gt;0")))</f>
        <v/>
      </c>
      <c r="BA14" s="44">
        <f>IF(OR(AZ14="",AY14=""),"",(AZ14-AY14)*100)</f>
        <v/>
      </c>
      <c r="BB14" s="40">
        <f>IF(AND(IF($B$6="Total",COUNTIFS(Countries!$A$5:$A$434,$B$4,Countries!$B$5:$B$434,$B$5,Countries!$D$5:$D$434,$A14,Countries!$F$5:$F$434,"&gt;0"),COUNTIFS(Countries!$A$5:$A$434,$B$4,Countries!$B$5:$B$434,$B$5,Countries!$C$5:$C$434,$B$6,Countries!$D$5:$D$434,$A14,Countries!$F$5:$F$434,"&gt;0"))=0,IF($B$6="Total",COUNTIFS(Countries!$A$5:$A$434,$B$4,Countries!$B$5:$B$434,$B$5,Countries!$D$5:$D$434,$A14,Countries!$E$5:$E$434,"&gt;0"),COUNTIFS(Countries!$A$5:$A$434,$B$4,Countries!$B$5:$B$434,$B$5,Countries!$C$5:$C$434,$B$6,Countries!$D$5:$D$434,$A14,Countries!$E$5:$E$434,"&gt;0"))=0),"",IF(IF($B$6="Total",COUNTIFS(Countries!$A$5:$A$434,$B$4,Countries!$B$5:$B$434,$B$5,Countries!$D$5:$D$434,$A14,Countries!$F$5:$F$434,"&gt;0"),COUNTIFS(Countries!$A$5:$A$434,$B$4,Countries!$B$5:$B$434,$B$5,Countries!$C$5:$C$434,$B$6,Countries!$D$5:$D$434,$A14,Countries!$F$5:$F$434,"&gt;0"))=0,"1-23Aug25 rows only",IF(IF($B$6="Total",COUNTIFS(Countries!$A$5:$A$434,$B$4,Countries!$B$5:$B$434,$B$5,Countries!$D$5:$D$434,$A14,Countries!$E$5:$E$434,"&gt;0"),COUNTIFS(Countries!$A$5:$A$434,$B$4,Countries!$B$5:$B$434,$B$5,Countries!$C$5:$C$434,$B$6,Countries!$D$5:$D$434,$A14,Countries!$E$5:$E$434,"&gt;0"))=0,"1-23Aug26 rows only",IF(IF($B$6="Total",COUNTIFS(Countries!$A$5:$A$434,$B$4,Countries!$B$5:$B$434,$B$5,Countries!$D$5:$D$434,$A14,Countries!$F$5:$F$434,"&gt;0"),COUNTIFS(Countries!$A$5:$A$434,$B$4,Countries!$B$5:$B$434,$B$5,Countries!$C$5:$C$434,$B$6,Countries!$D$5:$D$434,$A14,Countries!$F$5:$F$434,"&gt;0"))=IF($B$6="Total",COUNTIFS(Countries!$A$5:$A$434,$B$4,Countries!$B$5:$B$434,$B$5,Countries!$D$5:$D$434,$A14,Countries!$E$5:$E$434,"&gt;0"),COUNTIFS(Countries!$A$5:$A$434,$B$4,Countries!$B$5:$B$434,$B$5,Countries!$C$5:$C$434,$B$6,Countries!$D$5:$D$434,$A14,Countries!$E$5:$E$434,"&gt;0")),"Like-for-like","Partial — coverage differs"))))</f>
        <v/>
      </c>
    </row>
    <row r="15">
      <c r="A15" s="40" t="inlineStr">
        <is>
          <t>France</t>
        </is>
      </c>
      <c r="B15" s="41">
        <f>IF(IF($B$6="Total",SUMIFS(Countries!$E$5:$E$434,Countries!$A$5:$A$434,$B$4,Countries!$B$5:$B$434,$B$5,Countries!$D$5:$D$434,$A15),SUMIFS(Countries!$E$5:$E$434,Countries!$A$5:$A$434,$B$4,Countries!$B$5:$B$434,$B$5,Countries!$C$5:$C$434,$B$6,Countries!$D$5:$D$434,$A15))=0,"",IF($B$6="Total",SUMIFS(Countries!$E$5:$E$434,Countries!$A$5:$A$434,$B$4,Countries!$B$5:$B$434,$B$5,Countries!$D$5:$D$434,$A15),SUMIFS(Countries!$E$5:$E$434,Countries!$A$5:$A$434,$B$4,Countries!$B$5:$B$434,$B$5,Countries!$C$5:$C$434,$B$6,Countries!$D$5:$D$434,$A15)))</f>
        <v/>
      </c>
      <c r="C15" s="41">
        <f>IF(IF($B$6="Total",SUMIFS(Countries!$F$5:$F$434,Countries!$A$5:$A$434,$B$4,Countries!$B$5:$B$434,$B$5,Countries!$D$5:$D$434,$A15),SUMIFS(Countries!$F$5:$F$434,Countries!$A$5:$A$434,$B$4,Countries!$B$5:$B$434,$B$5,Countries!$C$5:$C$434,$B$6,Countries!$D$5:$D$434,$A15))=0,"",IF($B$6="Total",SUMIFS(Countries!$F$5:$F$434,Countries!$A$5:$A$434,$B$4,Countries!$B$5:$B$434,$B$5,Countries!$D$5:$D$434,$A15),SUMIFS(Countries!$F$5:$F$434,Countries!$A$5:$A$434,$B$4,Countries!$B$5:$B$434,$B$5,Countries!$C$5:$C$434,$B$6,Countries!$D$5:$D$434,$A15)))</f>
        <v/>
      </c>
      <c r="D15" s="69">
        <f>IF(OR(C15="",B15="",B15=0,C15=0),"",C15-B15)</f>
        <v/>
      </c>
      <c r="E15" s="42">
        <f>IF(OR(C15="",B15="",B15=0,C15=0),"",C15/B15-1)</f>
        <v/>
      </c>
      <c r="F15" s="41">
        <f>IF(IF($B$6="Total",SUMIFS(Countries!$I$5:$I$434,Countries!$A$5:$A$434,$B$4,Countries!$B$5:$B$434,$B$5,Countries!$D$5:$D$434,$A15),SUMIFS(Countries!$I$5:$I$434,Countries!$A$5:$A$434,$B$4,Countries!$B$5:$B$434,$B$5,Countries!$C$5:$C$434,$B$6,Countries!$D$5:$D$434,$A15))=0,"",IF($B$6="Total",SUMIFS(Countries!$I$5:$I$434,Countries!$A$5:$A$434,$B$4,Countries!$B$5:$B$434,$B$5,Countries!$D$5:$D$434,$A15),SUMIFS(Countries!$I$5:$I$434,Countries!$A$5:$A$434,$B$4,Countries!$B$5:$B$434,$B$5,Countries!$C$5:$C$434,$B$6,Countries!$D$5:$D$434,$A15)))</f>
        <v/>
      </c>
      <c r="G15" s="41">
        <f>IF(IF($B$6="Total",SUMIFS(Countries!$J$5:$J$434,Countries!$A$5:$A$434,$B$4,Countries!$B$5:$B$434,$B$5,Countries!$D$5:$D$434,$A15),SUMIFS(Countries!$J$5:$J$434,Countries!$A$5:$A$434,$B$4,Countries!$B$5:$B$434,$B$5,Countries!$C$5:$C$434,$B$6,Countries!$D$5:$D$434,$A15))=0,"",IF($B$6="Total",SUMIFS(Countries!$J$5:$J$434,Countries!$A$5:$A$434,$B$4,Countries!$B$5:$B$434,$B$5,Countries!$D$5:$D$434,$A15),SUMIFS(Countries!$J$5:$J$434,Countries!$A$5:$A$434,$B$4,Countries!$B$5:$B$434,$B$5,Countries!$C$5:$C$434,$B$6,Countries!$D$5:$D$434,$A15)))</f>
        <v/>
      </c>
      <c r="H15" s="69">
        <f>IF(OR(G15="",F15="",F15=0,G15=0),"",G15-F15)</f>
        <v/>
      </c>
      <c r="I15" s="42">
        <f>IF(OR(G15="",F15="",F15=0,G15=0),"",G15/F15-1)</f>
        <v/>
      </c>
      <c r="J15" s="43">
        <f>IF(IF($B$6="Total",SUMIFS(Countries!$E$5:$E$434,Countries!$A$5:$A$434,$B$4,Countries!$B$5:$B$434,$B$5,Countries!$D$5:$D$434,$A15,Countries!$I$5:$I$434,"&gt;0"),SUMIFS(Countries!$E$5:$E$434,Countries!$A$5:$A$434,$B$4,Countries!$B$5:$B$434,$B$5,Countries!$C$5:$C$434,$B$6,Countries!$D$5:$D$434,$A15,Countries!$I$5:$I$434,"&gt;0"))=0,"",IF($B$6="Total",SUMIFS(Countries!$I$5:$I$434,Countries!$A$5:$A$434,$B$4,Countries!$B$5:$B$434,$B$5,Countries!$D$5:$D$434,$A15,Countries!$E$5:$E$434,"&gt;0"),SUMIFS(Countries!$I$5:$I$434,Countries!$A$5:$A$434,$B$4,Countries!$B$5:$B$434,$B$5,Countries!$C$5:$C$434,$B$6,Countries!$D$5:$D$434,$A15,Countries!$E$5:$E$434,"&gt;0"))/IF($B$6="Total",SUMIFS(Countries!$E$5:$E$434,Countries!$A$5:$A$434,$B$4,Countries!$B$5:$B$434,$B$5,Countries!$D$5:$D$434,$A15,Countries!$I$5:$I$434,"&gt;0"),SUMIFS(Countries!$E$5:$E$434,Countries!$A$5:$A$434,$B$4,Countries!$B$5:$B$434,$B$5,Countries!$C$5:$C$434,$B$6,Countries!$D$5:$D$434,$A15,Countries!$I$5:$I$434,"&gt;0")))</f>
        <v/>
      </c>
      <c r="K15" s="43">
        <f>IF(IF($B$6="Total",SUMIFS(Countries!$F$5:$F$434,Countries!$A$5:$A$434,$B$4,Countries!$B$5:$B$434,$B$5,Countries!$D$5:$D$434,$A15,Countries!$J$5:$J$434,"&gt;0"),SUMIFS(Countries!$F$5:$F$434,Countries!$A$5:$A$434,$B$4,Countries!$B$5:$B$434,$B$5,Countries!$C$5:$C$434,$B$6,Countries!$D$5:$D$434,$A15,Countries!$J$5:$J$434,"&gt;0"))=0,"",IF($B$6="Total",SUMIFS(Countries!$J$5:$J$434,Countries!$A$5:$A$434,$B$4,Countries!$B$5:$B$434,$B$5,Countries!$D$5:$D$434,$A15,Countries!$F$5:$F$434,"&gt;0"),SUMIFS(Countries!$J$5:$J$434,Countries!$A$5:$A$434,$B$4,Countries!$B$5:$B$434,$B$5,Countries!$C$5:$C$434,$B$6,Countries!$D$5:$D$434,$A15,Countries!$F$5:$F$434,"&gt;0"))/IF($B$6="Total",SUMIFS(Countries!$F$5:$F$434,Countries!$A$5:$A$434,$B$4,Countries!$B$5:$B$434,$B$5,Countries!$D$5:$D$434,$A15,Countries!$J$5:$J$434,"&gt;0"),SUMIFS(Countries!$F$5:$F$434,Countries!$A$5:$A$434,$B$4,Countries!$B$5:$B$434,$B$5,Countries!$C$5:$C$434,$B$6,Countries!$D$5:$D$434,$A15,Countries!$J$5:$J$434,"&gt;0")))</f>
        <v/>
      </c>
      <c r="L15" s="44">
        <f>IF(OR(K15="",J15=""),"",(K15-J15)*100)</f>
        <v/>
      </c>
      <c r="M15" s="41">
        <f>IF(IF($B$6="Total",SUMIFS(Countries!$P$5:$P$434,Countries!$A$5:$A$434,$B$4,Countries!$B$5:$B$434,$B$5,Countries!$D$5:$D$434,$A15),SUMIFS(Countries!$P$5:$P$434,Countries!$A$5:$A$434,$B$4,Countries!$B$5:$B$434,$B$5,Countries!$C$5:$C$434,$B$6,Countries!$D$5:$D$434,$A15))=0,"",IF($B$6="Total",SUMIFS(Countries!$P$5:$P$434,Countries!$A$5:$A$434,$B$4,Countries!$B$5:$B$434,$B$5,Countries!$D$5:$D$434,$A15),SUMIFS(Countries!$P$5:$P$434,Countries!$A$5:$A$434,$B$4,Countries!$B$5:$B$434,$B$5,Countries!$C$5:$C$434,$B$6,Countries!$D$5:$D$434,$A15)))</f>
        <v/>
      </c>
      <c r="N15" s="41">
        <f>IF(IF($B$6="Total",SUMIFS(Countries!$Q$5:$Q$434,Countries!$A$5:$A$434,$B$4,Countries!$B$5:$B$434,$B$5,Countries!$D$5:$D$434,$A15),SUMIFS(Countries!$Q$5:$Q$434,Countries!$A$5:$A$434,$B$4,Countries!$B$5:$B$434,$B$5,Countries!$C$5:$C$434,$B$6,Countries!$D$5:$D$434,$A15))=0,"",IF($B$6="Total",SUMIFS(Countries!$Q$5:$Q$434,Countries!$A$5:$A$434,$B$4,Countries!$B$5:$B$434,$B$5,Countries!$D$5:$D$434,$A15),SUMIFS(Countries!$Q$5:$Q$434,Countries!$A$5:$A$434,$B$4,Countries!$B$5:$B$434,$B$5,Countries!$C$5:$C$434,$B$6,Countries!$D$5:$D$434,$A15)))</f>
        <v/>
      </c>
      <c r="O15" s="69">
        <f>IF(OR(N15="",M15="",M15=0,N15=0),"",N15-M15)</f>
        <v/>
      </c>
      <c r="P15" s="42">
        <f>IF(OR(N15="",M15="",M15=0,N15=0),"",N15/M15-1)</f>
        <v/>
      </c>
      <c r="Q15" s="43">
        <f>IF(IF($B$6="Total",SUMIFS(Countries!$E$5:$E$434,Countries!$A$5:$A$434,$B$4,Countries!$B$5:$B$434,$B$5,Countries!$D$5:$D$434,$A15,Countries!$P$5:$P$434,"&gt;0"),SUMIFS(Countries!$E$5:$E$434,Countries!$A$5:$A$434,$B$4,Countries!$B$5:$B$434,$B$5,Countries!$C$5:$C$434,$B$6,Countries!$D$5:$D$434,$A15,Countries!$P$5:$P$434,"&gt;0"))=0,"",IF($B$6="Total",SUMIFS(Countries!$P$5:$P$434,Countries!$A$5:$A$434,$B$4,Countries!$B$5:$B$434,$B$5,Countries!$D$5:$D$434,$A15,Countries!$E$5:$E$434,"&gt;0"),SUMIFS(Countries!$P$5:$P$434,Countries!$A$5:$A$434,$B$4,Countries!$B$5:$B$434,$B$5,Countries!$C$5:$C$434,$B$6,Countries!$D$5:$D$434,$A15,Countries!$E$5:$E$434,"&gt;0"))/IF($B$6="Total",SUMIFS(Countries!$E$5:$E$434,Countries!$A$5:$A$434,$B$4,Countries!$B$5:$B$434,$B$5,Countries!$D$5:$D$434,$A15,Countries!$P$5:$P$434,"&gt;0"),SUMIFS(Countries!$E$5:$E$434,Countries!$A$5:$A$434,$B$4,Countries!$B$5:$B$434,$B$5,Countries!$C$5:$C$434,$B$6,Countries!$D$5:$D$434,$A15,Countries!$P$5:$P$434,"&gt;0")))</f>
        <v/>
      </c>
      <c r="R15" s="43">
        <f>IF(IF($B$6="Total",SUMIFS(Countries!$F$5:$F$434,Countries!$A$5:$A$434,$B$4,Countries!$B$5:$B$434,$B$5,Countries!$D$5:$D$434,$A15,Countries!$Q$5:$Q$434,"&gt;0"),SUMIFS(Countries!$F$5:$F$434,Countries!$A$5:$A$434,$B$4,Countries!$B$5:$B$434,$B$5,Countries!$C$5:$C$434,$B$6,Countries!$D$5:$D$434,$A15,Countries!$Q$5:$Q$434,"&gt;0"))=0,"",IF($B$6="Total",SUMIFS(Countries!$Q$5:$Q$434,Countries!$A$5:$A$434,$B$4,Countries!$B$5:$B$434,$B$5,Countries!$D$5:$D$434,$A15,Countries!$F$5:$F$434,"&gt;0"),SUMIFS(Countries!$Q$5:$Q$434,Countries!$A$5:$A$434,$B$4,Countries!$B$5:$B$434,$B$5,Countries!$C$5:$C$434,$B$6,Countries!$D$5:$D$434,$A15,Countries!$F$5:$F$434,"&gt;0"))/IF($B$6="Total",SUMIFS(Countries!$F$5:$F$434,Countries!$A$5:$A$434,$B$4,Countries!$B$5:$B$434,$B$5,Countries!$D$5:$D$434,$A15,Countries!$Q$5:$Q$434,"&gt;0"),SUMIFS(Countries!$F$5:$F$434,Countries!$A$5:$A$434,$B$4,Countries!$B$5:$B$434,$B$5,Countries!$C$5:$C$434,$B$6,Countries!$D$5:$D$434,$A15,Countries!$Q$5:$Q$434,"&gt;0")))</f>
        <v/>
      </c>
      <c r="S15" s="44">
        <f>IF(OR(R15="",Q15=""),"",(R15-Q15)*100)</f>
        <v/>
      </c>
      <c r="T15" s="41">
        <f>IF(IF($B$6="Total",SUMIFS(Countries!$W$5:$W$434,Countries!$A$5:$A$434,$B$4,Countries!$B$5:$B$434,$B$5,Countries!$D$5:$D$434,$A15),SUMIFS(Countries!$W$5:$W$434,Countries!$A$5:$A$434,$B$4,Countries!$B$5:$B$434,$B$5,Countries!$C$5:$C$434,$B$6,Countries!$D$5:$D$434,$A15))=0,"",IF($B$6="Total",SUMIFS(Countries!$W$5:$W$434,Countries!$A$5:$A$434,$B$4,Countries!$B$5:$B$434,$B$5,Countries!$D$5:$D$434,$A15),SUMIFS(Countries!$W$5:$W$434,Countries!$A$5:$A$434,$B$4,Countries!$B$5:$B$434,$B$5,Countries!$C$5:$C$434,$B$6,Countries!$D$5:$D$434,$A15)))</f>
        <v/>
      </c>
      <c r="U15" s="41">
        <f>IF(IF($B$6="Total",SUMIFS(Countries!$X$5:$X$434,Countries!$A$5:$A$434,$B$4,Countries!$B$5:$B$434,$B$5,Countries!$D$5:$D$434,$A15),SUMIFS(Countries!$X$5:$X$434,Countries!$A$5:$A$434,$B$4,Countries!$B$5:$B$434,$B$5,Countries!$C$5:$C$434,$B$6,Countries!$D$5:$D$434,$A15))=0,"",IF($B$6="Total",SUMIFS(Countries!$X$5:$X$434,Countries!$A$5:$A$434,$B$4,Countries!$B$5:$B$434,$B$5,Countries!$D$5:$D$434,$A15),SUMIFS(Countries!$X$5:$X$434,Countries!$A$5:$A$434,$B$4,Countries!$B$5:$B$434,$B$5,Countries!$C$5:$C$434,$B$6,Countries!$D$5:$D$434,$A15)))</f>
        <v/>
      </c>
      <c r="V15" s="69">
        <f>IF(OR(U15="",T15="",T15=0,U15=0),"",U15-T15)</f>
        <v/>
      </c>
      <c r="W15" s="42">
        <f>IF(OR(U15="",T15="",T15=0,U15=0),"",U15/T15-1)</f>
        <v/>
      </c>
      <c r="X15" s="43">
        <f>IF(IF($B$6="Total",SUMIFS(Countries!$P$5:$P$434,Countries!$A$5:$A$434,$B$4,Countries!$B$5:$B$434,$B$5,Countries!$D$5:$D$434,$A15,Countries!$W$5:$W$434,"&gt;0"),SUMIFS(Countries!$P$5:$P$434,Countries!$A$5:$A$434,$B$4,Countries!$B$5:$B$434,$B$5,Countries!$C$5:$C$434,$B$6,Countries!$D$5:$D$434,$A15,Countries!$W$5:$W$434,"&gt;0"))=0,"",IF($B$6="Total",SUMIFS(Countries!$W$5:$W$434,Countries!$A$5:$A$434,$B$4,Countries!$B$5:$B$434,$B$5,Countries!$D$5:$D$434,$A15,Countries!$P$5:$P$434,"&gt;0"),SUMIFS(Countries!$W$5:$W$434,Countries!$A$5:$A$434,$B$4,Countries!$B$5:$B$434,$B$5,Countries!$C$5:$C$434,$B$6,Countries!$D$5:$D$434,$A15,Countries!$P$5:$P$434,"&gt;0"))/IF($B$6="Total",SUMIFS(Countries!$P$5:$P$434,Countries!$A$5:$A$434,$B$4,Countries!$B$5:$B$434,$B$5,Countries!$D$5:$D$434,$A15,Countries!$W$5:$W$434,"&gt;0"),SUMIFS(Countries!$P$5:$P$434,Countries!$A$5:$A$434,$B$4,Countries!$B$5:$B$434,$B$5,Countries!$C$5:$C$434,$B$6,Countries!$D$5:$D$434,$A15,Countries!$W$5:$W$434,"&gt;0")))</f>
        <v/>
      </c>
      <c r="Y15" s="43">
        <f>IF(IF($B$6="Total",SUMIFS(Countries!$Q$5:$Q$434,Countries!$A$5:$A$434,$B$4,Countries!$B$5:$B$434,$B$5,Countries!$D$5:$D$434,$A15,Countries!$X$5:$X$434,"&gt;0"),SUMIFS(Countries!$Q$5:$Q$434,Countries!$A$5:$A$434,$B$4,Countries!$B$5:$B$434,$B$5,Countries!$C$5:$C$434,$B$6,Countries!$D$5:$D$434,$A15,Countries!$X$5:$X$434,"&gt;0"))=0,"",IF($B$6="Total",SUMIFS(Countries!$X$5:$X$434,Countries!$A$5:$A$434,$B$4,Countries!$B$5:$B$434,$B$5,Countries!$D$5:$D$434,$A15,Countries!$Q$5:$Q$434,"&gt;0"),SUMIFS(Countries!$X$5:$X$434,Countries!$A$5:$A$434,$B$4,Countries!$B$5:$B$434,$B$5,Countries!$C$5:$C$434,$B$6,Countries!$D$5:$D$434,$A15,Countries!$Q$5:$Q$434,"&gt;0"))/IF($B$6="Total",SUMIFS(Countries!$Q$5:$Q$434,Countries!$A$5:$A$434,$B$4,Countries!$B$5:$B$434,$B$5,Countries!$D$5:$D$434,$A15,Countries!$X$5:$X$434,"&gt;0"),SUMIFS(Countries!$Q$5:$Q$434,Countries!$A$5:$A$434,$B$4,Countries!$B$5:$B$434,$B$5,Countries!$C$5:$C$434,$B$6,Countries!$D$5:$D$434,$A15,Countries!$X$5:$X$434,"&gt;0")))</f>
        <v/>
      </c>
      <c r="Z15" s="44">
        <f>IF(OR(Y15="",X15=""),"",(Y15-X15)*100)</f>
        <v/>
      </c>
      <c r="AA15" s="41">
        <f>IF(IF($B$6="Total",SUMIFS(Countries!$AD$5:$AD$434,Countries!$A$5:$A$434,$B$4,Countries!$B$5:$B$434,$B$5,Countries!$D$5:$D$434,$A15),SUMIFS(Countries!$AD$5:$AD$434,Countries!$A$5:$A$434,$B$4,Countries!$B$5:$B$434,$B$5,Countries!$C$5:$C$434,$B$6,Countries!$D$5:$D$434,$A15))=0,"",IF($B$6="Total",SUMIFS(Countries!$AD$5:$AD$434,Countries!$A$5:$A$434,$B$4,Countries!$B$5:$B$434,$B$5,Countries!$D$5:$D$434,$A15),SUMIFS(Countries!$AD$5:$AD$434,Countries!$A$5:$A$434,$B$4,Countries!$B$5:$B$434,$B$5,Countries!$C$5:$C$434,$B$6,Countries!$D$5:$D$434,$A15)))</f>
        <v/>
      </c>
      <c r="AB15" s="41">
        <f>IF(IF($B$6="Total",SUMIFS(Countries!$AE$5:$AE$434,Countries!$A$5:$A$434,$B$4,Countries!$B$5:$B$434,$B$5,Countries!$D$5:$D$434,$A15),SUMIFS(Countries!$AE$5:$AE$434,Countries!$A$5:$A$434,$B$4,Countries!$B$5:$B$434,$B$5,Countries!$C$5:$C$434,$B$6,Countries!$D$5:$D$434,$A15))=0,"",IF($B$6="Total",SUMIFS(Countries!$AE$5:$AE$434,Countries!$A$5:$A$434,$B$4,Countries!$B$5:$B$434,$B$5,Countries!$D$5:$D$434,$A15),SUMIFS(Countries!$AE$5:$AE$434,Countries!$A$5:$A$434,$B$4,Countries!$B$5:$B$434,$B$5,Countries!$C$5:$C$434,$B$6,Countries!$D$5:$D$434,$A15)))</f>
        <v/>
      </c>
      <c r="AC15" s="69">
        <f>IF(OR(AB15="",AA15="",AA15=0,AB15=0),"",AB15-AA15)</f>
        <v/>
      </c>
      <c r="AD15" s="42">
        <f>IF(OR(AB15="",AA15="",AA15=0,AB15=0),"",AB15/AA15-1)</f>
        <v/>
      </c>
      <c r="AE15" s="43">
        <f>IF(IF($B$6="Total",SUMIFS(Countries!$W$5:$W$434,Countries!$A$5:$A$434,$B$4,Countries!$B$5:$B$434,$B$5,Countries!$D$5:$D$434,$A15,Countries!$AD$5:$AD$434,"&gt;0"),SUMIFS(Countries!$W$5:$W$434,Countries!$A$5:$A$434,$B$4,Countries!$B$5:$B$434,$B$5,Countries!$C$5:$C$434,$B$6,Countries!$D$5:$D$434,$A15,Countries!$AD$5:$AD$434,"&gt;0"))=0,"",IF($B$6="Total",SUMIFS(Countries!$AD$5:$AD$434,Countries!$A$5:$A$434,$B$4,Countries!$B$5:$B$434,$B$5,Countries!$D$5:$D$434,$A15,Countries!$W$5:$W$434,"&gt;0"),SUMIFS(Countries!$AD$5:$AD$434,Countries!$A$5:$A$434,$B$4,Countries!$B$5:$B$434,$B$5,Countries!$C$5:$C$434,$B$6,Countries!$D$5:$D$434,$A15,Countries!$W$5:$W$434,"&gt;0"))/IF($B$6="Total",SUMIFS(Countries!$W$5:$W$434,Countries!$A$5:$A$434,$B$4,Countries!$B$5:$B$434,$B$5,Countries!$D$5:$D$434,$A15,Countries!$AD$5:$AD$434,"&gt;0"),SUMIFS(Countries!$W$5:$W$434,Countries!$A$5:$A$434,$B$4,Countries!$B$5:$B$434,$B$5,Countries!$C$5:$C$434,$B$6,Countries!$D$5:$D$434,$A15,Countries!$AD$5:$AD$434,"&gt;0")))</f>
        <v/>
      </c>
      <c r="AF15" s="43">
        <f>IF(IF($B$6="Total",SUMIFS(Countries!$X$5:$X$434,Countries!$A$5:$A$434,$B$4,Countries!$B$5:$B$434,$B$5,Countries!$D$5:$D$434,$A15,Countries!$AE$5:$AE$434,"&gt;0"),SUMIFS(Countries!$X$5:$X$434,Countries!$A$5:$A$434,$B$4,Countries!$B$5:$B$434,$B$5,Countries!$C$5:$C$434,$B$6,Countries!$D$5:$D$434,$A15,Countries!$AE$5:$AE$434,"&gt;0"))=0,"",IF($B$6="Total",SUMIFS(Countries!$AE$5:$AE$434,Countries!$A$5:$A$434,$B$4,Countries!$B$5:$B$434,$B$5,Countries!$D$5:$D$434,$A15,Countries!$X$5:$X$434,"&gt;0"),SUMIFS(Countries!$AE$5:$AE$434,Countries!$A$5:$A$434,$B$4,Countries!$B$5:$B$434,$B$5,Countries!$C$5:$C$434,$B$6,Countries!$D$5:$D$434,$A15,Countries!$X$5:$X$434,"&gt;0"))/IF($B$6="Total",SUMIFS(Countries!$X$5:$X$434,Countries!$A$5:$A$434,$B$4,Countries!$B$5:$B$434,$B$5,Countries!$D$5:$D$434,$A15,Countries!$AE$5:$AE$434,"&gt;0"),SUMIFS(Countries!$X$5:$X$434,Countries!$A$5:$A$434,$B$4,Countries!$B$5:$B$434,$B$5,Countries!$C$5:$C$434,$B$6,Countries!$D$5:$D$434,$A15,Countries!$AE$5:$AE$434,"&gt;0")))</f>
        <v/>
      </c>
      <c r="AG15" s="44">
        <f>IF(OR(AF15="",AE15=""),"",(AF15-AE15)*100)</f>
        <v/>
      </c>
      <c r="AH15" s="41">
        <f>IF(IF($B$6="Total",SUMIFS(Countries!$AK$5:$AK$434,Countries!$A$5:$A$434,$B$4,Countries!$B$5:$B$434,$B$5,Countries!$D$5:$D$434,$A15),SUMIFS(Countries!$AK$5:$AK$434,Countries!$A$5:$A$434,$B$4,Countries!$B$5:$B$434,$B$5,Countries!$C$5:$C$434,$B$6,Countries!$D$5:$D$434,$A15))=0,"",IF($B$6="Total",SUMIFS(Countries!$AK$5:$AK$434,Countries!$A$5:$A$434,$B$4,Countries!$B$5:$B$434,$B$5,Countries!$D$5:$D$434,$A15),SUMIFS(Countries!$AK$5:$AK$434,Countries!$A$5:$A$434,$B$4,Countries!$B$5:$B$434,$B$5,Countries!$C$5:$C$434,$B$6,Countries!$D$5:$D$434,$A15)))</f>
        <v/>
      </c>
      <c r="AI15" s="41">
        <f>IF(IF($B$6="Total",SUMIFS(Countries!$AL$5:$AL$434,Countries!$A$5:$A$434,$B$4,Countries!$B$5:$B$434,$B$5,Countries!$D$5:$D$434,$A15),SUMIFS(Countries!$AL$5:$AL$434,Countries!$A$5:$A$434,$B$4,Countries!$B$5:$B$434,$B$5,Countries!$C$5:$C$434,$B$6,Countries!$D$5:$D$434,$A15))=0,"",IF($B$6="Total",SUMIFS(Countries!$AL$5:$AL$434,Countries!$A$5:$A$434,$B$4,Countries!$B$5:$B$434,$B$5,Countries!$D$5:$D$434,$A15),SUMIFS(Countries!$AL$5:$AL$434,Countries!$A$5:$A$434,$B$4,Countries!$B$5:$B$434,$B$5,Countries!$C$5:$C$434,$B$6,Countries!$D$5:$D$434,$A15)))</f>
        <v/>
      </c>
      <c r="AJ15" s="69">
        <f>IF(OR(AI15="",AH15="",AH15=0,AI15=0),"",AI15-AH15)</f>
        <v/>
      </c>
      <c r="AK15" s="42">
        <f>IF(OR(AI15="",AH15="",AH15=0,AI15=0),"",AI15/AH15-1)</f>
        <v/>
      </c>
      <c r="AL15" s="43">
        <f>IF(IF($B$6="Total",SUMIFS(Countries!$AD$5:$AD$434,Countries!$A$5:$A$434,$B$4,Countries!$B$5:$B$434,$B$5,Countries!$D$5:$D$434,$A15,Countries!$AK$5:$AK$434,"&gt;0"),SUMIFS(Countries!$AD$5:$AD$434,Countries!$A$5:$A$434,$B$4,Countries!$B$5:$B$434,$B$5,Countries!$C$5:$C$434,$B$6,Countries!$D$5:$D$434,$A15,Countries!$AK$5:$AK$434,"&gt;0"))=0,"",IF($B$6="Total",SUMIFS(Countries!$AK$5:$AK$434,Countries!$A$5:$A$434,$B$4,Countries!$B$5:$B$434,$B$5,Countries!$D$5:$D$434,$A15,Countries!$AD$5:$AD$434,"&gt;0"),SUMIFS(Countries!$AK$5:$AK$434,Countries!$A$5:$A$434,$B$4,Countries!$B$5:$B$434,$B$5,Countries!$C$5:$C$434,$B$6,Countries!$D$5:$D$434,$A15,Countries!$AD$5:$AD$434,"&gt;0"))/IF($B$6="Total",SUMIFS(Countries!$AD$5:$AD$434,Countries!$A$5:$A$434,$B$4,Countries!$B$5:$B$434,$B$5,Countries!$D$5:$D$434,$A15,Countries!$AK$5:$AK$434,"&gt;0"),SUMIFS(Countries!$AD$5:$AD$434,Countries!$A$5:$A$434,$B$4,Countries!$B$5:$B$434,$B$5,Countries!$C$5:$C$434,$B$6,Countries!$D$5:$D$434,$A15,Countries!$AK$5:$AK$434,"&gt;0")))</f>
        <v/>
      </c>
      <c r="AM15" s="43">
        <f>IF(IF($B$6="Total",SUMIFS(Countries!$AE$5:$AE$434,Countries!$A$5:$A$434,$B$4,Countries!$B$5:$B$434,$B$5,Countries!$D$5:$D$434,$A15,Countries!$AL$5:$AL$434,"&gt;0"),SUMIFS(Countries!$AE$5:$AE$434,Countries!$A$5:$A$434,$B$4,Countries!$B$5:$B$434,$B$5,Countries!$C$5:$C$434,$B$6,Countries!$D$5:$D$434,$A15,Countries!$AL$5:$AL$434,"&gt;0"))=0,"",IF($B$6="Total",SUMIFS(Countries!$AL$5:$AL$434,Countries!$A$5:$A$434,$B$4,Countries!$B$5:$B$434,$B$5,Countries!$D$5:$D$434,$A15,Countries!$AE$5:$AE$434,"&gt;0"),SUMIFS(Countries!$AL$5:$AL$434,Countries!$A$5:$A$434,$B$4,Countries!$B$5:$B$434,$B$5,Countries!$C$5:$C$434,$B$6,Countries!$D$5:$D$434,$A15,Countries!$AE$5:$AE$434,"&gt;0"))/IF($B$6="Total",SUMIFS(Countries!$AE$5:$AE$434,Countries!$A$5:$A$434,$B$4,Countries!$B$5:$B$434,$B$5,Countries!$D$5:$D$434,$A15,Countries!$AL$5:$AL$434,"&gt;0"),SUMIFS(Countries!$AE$5:$AE$434,Countries!$A$5:$A$434,$B$4,Countries!$B$5:$B$434,$B$5,Countries!$C$5:$C$434,$B$6,Countries!$D$5:$D$434,$A15,Countries!$AL$5:$AL$434,"&gt;0")))</f>
        <v/>
      </c>
      <c r="AN15" s="44">
        <f>IF(OR(AM15="",AL15=""),"",(AM15-AL15)*100)</f>
        <v/>
      </c>
      <c r="AO15" s="41">
        <f>IF(IF($B$6="Total",SUMIFS(Countries!$AR$5:$AR$434,Countries!$A$5:$A$434,$B$4,Countries!$B$5:$B$434,$B$5,Countries!$D$5:$D$434,$A15),SUMIFS(Countries!$AR$5:$AR$434,Countries!$A$5:$A$434,$B$4,Countries!$B$5:$B$434,$B$5,Countries!$C$5:$C$434,$B$6,Countries!$D$5:$D$434,$A15))=0,"",IF($B$6="Total",SUMIFS(Countries!$AR$5:$AR$434,Countries!$A$5:$A$434,$B$4,Countries!$B$5:$B$434,$B$5,Countries!$D$5:$D$434,$A15),SUMIFS(Countries!$AR$5:$AR$434,Countries!$A$5:$A$434,$B$4,Countries!$B$5:$B$434,$B$5,Countries!$C$5:$C$434,$B$6,Countries!$D$5:$D$434,$A15)))</f>
        <v/>
      </c>
      <c r="AP15" s="41">
        <f>IF(IF($B$6="Total",SUMIFS(Countries!$AS$5:$AS$434,Countries!$A$5:$A$434,$B$4,Countries!$B$5:$B$434,$B$5,Countries!$D$5:$D$434,$A15),SUMIFS(Countries!$AS$5:$AS$434,Countries!$A$5:$A$434,$B$4,Countries!$B$5:$B$434,$B$5,Countries!$C$5:$C$434,$B$6,Countries!$D$5:$D$434,$A15))=0,"",IF($B$6="Total",SUMIFS(Countries!$AS$5:$AS$434,Countries!$A$5:$A$434,$B$4,Countries!$B$5:$B$434,$B$5,Countries!$D$5:$D$434,$A15),SUMIFS(Countries!$AS$5:$AS$434,Countries!$A$5:$A$434,$B$4,Countries!$B$5:$B$434,$B$5,Countries!$C$5:$C$434,$B$6,Countries!$D$5:$D$434,$A15)))</f>
        <v/>
      </c>
      <c r="AQ15" s="69">
        <f>IF(OR(AP15="",AO15="",AO15=0,AP15=0),"",AP15-AO15)</f>
        <v/>
      </c>
      <c r="AR15" s="42">
        <f>IF(OR(AP15="",AO15="",AO15=0,AP15=0),"",AP15/AO15-1)</f>
        <v/>
      </c>
      <c r="AS15" s="43">
        <f>IF(IF($B$6="Total",SUMIFS(Countries!$AK$5:$AK$434,Countries!$A$5:$A$434,$B$4,Countries!$B$5:$B$434,$B$5,Countries!$D$5:$D$434,$A15,Countries!$AR$5:$AR$434,"&gt;0"),SUMIFS(Countries!$AK$5:$AK$434,Countries!$A$5:$A$434,$B$4,Countries!$B$5:$B$434,$B$5,Countries!$C$5:$C$434,$B$6,Countries!$D$5:$D$434,$A15,Countries!$AR$5:$AR$434,"&gt;0"))=0,"",IF($B$6="Total",SUMIFS(Countries!$AR$5:$AR$434,Countries!$A$5:$A$434,$B$4,Countries!$B$5:$B$434,$B$5,Countries!$D$5:$D$434,$A15,Countries!$AK$5:$AK$434,"&gt;0"),SUMIFS(Countries!$AR$5:$AR$434,Countries!$A$5:$A$434,$B$4,Countries!$B$5:$B$434,$B$5,Countries!$C$5:$C$434,$B$6,Countries!$D$5:$D$434,$A15,Countries!$AK$5:$AK$434,"&gt;0"))/IF($B$6="Total",SUMIFS(Countries!$AK$5:$AK$434,Countries!$A$5:$A$434,$B$4,Countries!$B$5:$B$434,$B$5,Countries!$D$5:$D$434,$A15,Countries!$AR$5:$AR$434,"&gt;0"),SUMIFS(Countries!$AK$5:$AK$434,Countries!$A$5:$A$434,$B$4,Countries!$B$5:$B$434,$B$5,Countries!$C$5:$C$434,$B$6,Countries!$D$5:$D$434,$A15,Countries!$AR$5:$AR$434,"&gt;0")))</f>
        <v/>
      </c>
      <c r="AT15" s="43">
        <f>IF(IF($B$6="Total",SUMIFS(Countries!$AL$5:$AL$434,Countries!$A$5:$A$434,$B$4,Countries!$B$5:$B$434,$B$5,Countries!$D$5:$D$434,$A15,Countries!$AS$5:$AS$434,"&gt;0"),SUMIFS(Countries!$AL$5:$AL$434,Countries!$A$5:$A$434,$B$4,Countries!$B$5:$B$434,$B$5,Countries!$C$5:$C$434,$B$6,Countries!$D$5:$D$434,$A15,Countries!$AS$5:$AS$434,"&gt;0"))=0,"",IF($B$6="Total",SUMIFS(Countries!$AS$5:$AS$434,Countries!$A$5:$A$434,$B$4,Countries!$B$5:$B$434,$B$5,Countries!$D$5:$D$434,$A15,Countries!$AL$5:$AL$434,"&gt;0"),SUMIFS(Countries!$AS$5:$AS$434,Countries!$A$5:$A$434,$B$4,Countries!$B$5:$B$434,$B$5,Countries!$C$5:$C$434,$B$6,Countries!$D$5:$D$434,$A15,Countries!$AL$5:$AL$434,"&gt;0"))/IF($B$6="Total",SUMIFS(Countries!$AL$5:$AL$434,Countries!$A$5:$A$434,$B$4,Countries!$B$5:$B$434,$B$5,Countries!$D$5:$D$434,$A15,Countries!$AS$5:$AS$434,"&gt;0"),SUMIFS(Countries!$AL$5:$AL$434,Countries!$A$5:$A$434,$B$4,Countries!$B$5:$B$434,$B$5,Countries!$C$5:$C$434,$B$6,Countries!$D$5:$D$434,$A15,Countries!$AS$5:$AS$434,"&gt;0")))</f>
        <v/>
      </c>
      <c r="AU15" s="44">
        <f>IF(OR(AT15="",AS15=""),"",(AT15-AS15)*100)</f>
        <v/>
      </c>
      <c r="AV15" s="45">
        <f>IF(IF($B$6="Total",SUMIFS(Countries!$P$5:$P$434,Countries!$A$5:$A$434,$B$4,Countries!$B$5:$B$434,$B$5,Countries!$D$5:$D$434,$A15,Countries!$AR$5:$AR$434,"&gt;0"),SUMIFS(Countries!$P$5:$P$434,Countries!$A$5:$A$434,$B$4,Countries!$B$5:$B$434,$B$5,Countries!$C$5:$C$434,$B$6,Countries!$D$5:$D$434,$A15,Countries!$AR$5:$AR$434,"&gt;0"))=0,"",IF($B$6="Total",SUMIFS(Countries!$AR$5:$AR$434,Countries!$A$5:$A$434,$B$4,Countries!$B$5:$B$434,$B$5,Countries!$D$5:$D$434,$A15,Countries!$P$5:$P$434,"&gt;0"),SUMIFS(Countries!$AR$5:$AR$434,Countries!$A$5:$A$434,$B$4,Countries!$B$5:$B$434,$B$5,Countries!$C$5:$C$434,$B$6,Countries!$D$5:$D$434,$A15,Countries!$P$5:$P$434,"&gt;0"))/IF($B$6="Total",SUMIFS(Countries!$P$5:$P$434,Countries!$A$5:$A$434,$B$4,Countries!$B$5:$B$434,$B$5,Countries!$D$5:$D$434,$A15,Countries!$AR$5:$AR$434,"&gt;0"),SUMIFS(Countries!$P$5:$P$434,Countries!$A$5:$A$434,$B$4,Countries!$B$5:$B$434,$B$5,Countries!$C$5:$C$434,$B$6,Countries!$D$5:$D$434,$A15,Countries!$AR$5:$AR$434,"&gt;0")))</f>
        <v/>
      </c>
      <c r="AW15" s="45">
        <f>IF(IF($B$6="Total",SUMIFS(Countries!$Q$5:$Q$434,Countries!$A$5:$A$434,$B$4,Countries!$B$5:$B$434,$B$5,Countries!$D$5:$D$434,$A15,Countries!$AS$5:$AS$434,"&gt;0"),SUMIFS(Countries!$Q$5:$Q$434,Countries!$A$5:$A$434,$B$4,Countries!$B$5:$B$434,$B$5,Countries!$C$5:$C$434,$B$6,Countries!$D$5:$D$434,$A15,Countries!$AS$5:$AS$434,"&gt;0"))=0,"",IF($B$6="Total",SUMIFS(Countries!$AS$5:$AS$434,Countries!$A$5:$A$434,$B$4,Countries!$B$5:$B$434,$B$5,Countries!$D$5:$D$434,$A15,Countries!$Q$5:$Q$434,"&gt;0"),SUMIFS(Countries!$AS$5:$AS$434,Countries!$A$5:$A$434,$B$4,Countries!$B$5:$B$434,$B$5,Countries!$C$5:$C$434,$B$6,Countries!$D$5:$D$434,$A15,Countries!$Q$5:$Q$434,"&gt;0"))/IF($B$6="Total",SUMIFS(Countries!$Q$5:$Q$434,Countries!$A$5:$A$434,$B$4,Countries!$B$5:$B$434,$B$5,Countries!$D$5:$D$434,$A15,Countries!$AS$5:$AS$434,"&gt;0"),SUMIFS(Countries!$Q$5:$Q$434,Countries!$A$5:$A$434,$B$4,Countries!$B$5:$B$434,$B$5,Countries!$C$5:$C$434,$B$6,Countries!$D$5:$D$434,$A15,Countries!$AS$5:$AS$434,"&gt;0")))</f>
        <v/>
      </c>
      <c r="AX15" s="44">
        <f>IF(OR(AW15="",AV15=""),"",(AW15-AV15)*100)</f>
        <v/>
      </c>
      <c r="AY15" s="45">
        <f>IF(IF($B$6="Total",SUMIFS(Countries!$E$5:$E$434,Countries!$A$5:$A$434,$B$4,Countries!$B$5:$B$434,$B$5,Countries!$D$5:$D$434,$A15,Countries!$AR$5:$AR$434,"&gt;0"),SUMIFS(Countries!$E$5:$E$434,Countries!$A$5:$A$434,$B$4,Countries!$B$5:$B$434,$B$5,Countries!$C$5:$C$434,$B$6,Countries!$D$5:$D$434,$A15,Countries!$AR$5:$AR$434,"&gt;0"))=0,"",IF($B$6="Total",SUMIFS(Countries!$AR$5:$AR$434,Countries!$A$5:$A$434,$B$4,Countries!$B$5:$B$434,$B$5,Countries!$D$5:$D$434,$A15,Countries!$E$5:$E$434,"&gt;0"),SUMIFS(Countries!$AR$5:$AR$434,Countries!$A$5:$A$434,$B$4,Countries!$B$5:$B$434,$B$5,Countries!$C$5:$C$434,$B$6,Countries!$D$5:$D$434,$A15,Countries!$E$5:$E$434,"&gt;0"))/IF($B$6="Total",SUMIFS(Countries!$E$5:$E$434,Countries!$A$5:$A$434,$B$4,Countries!$B$5:$B$434,$B$5,Countries!$D$5:$D$434,$A15,Countries!$AR$5:$AR$434,"&gt;0"),SUMIFS(Countries!$E$5:$E$434,Countries!$A$5:$A$434,$B$4,Countries!$B$5:$B$434,$B$5,Countries!$C$5:$C$434,$B$6,Countries!$D$5:$D$434,$A15,Countries!$AR$5:$AR$434,"&gt;0")))</f>
        <v/>
      </c>
      <c r="AZ15" s="45">
        <f>IF(IF($B$6="Total",SUMIFS(Countries!$F$5:$F$434,Countries!$A$5:$A$434,$B$4,Countries!$B$5:$B$434,$B$5,Countries!$D$5:$D$434,$A15,Countries!$AS$5:$AS$434,"&gt;0"),SUMIFS(Countries!$F$5:$F$434,Countries!$A$5:$A$434,$B$4,Countries!$B$5:$B$434,$B$5,Countries!$C$5:$C$434,$B$6,Countries!$D$5:$D$434,$A15,Countries!$AS$5:$AS$434,"&gt;0"))=0,"",IF($B$6="Total",SUMIFS(Countries!$AS$5:$AS$434,Countries!$A$5:$A$434,$B$4,Countries!$B$5:$B$434,$B$5,Countries!$D$5:$D$434,$A15,Countries!$F$5:$F$434,"&gt;0"),SUMIFS(Countries!$AS$5:$AS$434,Countries!$A$5:$A$434,$B$4,Countries!$B$5:$B$434,$B$5,Countries!$C$5:$C$434,$B$6,Countries!$D$5:$D$434,$A15,Countries!$F$5:$F$434,"&gt;0"))/IF($B$6="Total",SUMIFS(Countries!$F$5:$F$434,Countries!$A$5:$A$434,$B$4,Countries!$B$5:$B$434,$B$5,Countries!$D$5:$D$434,$A15,Countries!$AS$5:$AS$434,"&gt;0"),SUMIFS(Countries!$F$5:$F$434,Countries!$A$5:$A$434,$B$4,Countries!$B$5:$B$434,$B$5,Countries!$C$5:$C$434,$B$6,Countries!$D$5:$D$434,$A15,Countries!$AS$5:$AS$434,"&gt;0")))</f>
        <v/>
      </c>
      <c r="BA15" s="44">
        <f>IF(OR(AZ15="",AY15=""),"",(AZ15-AY15)*100)</f>
        <v/>
      </c>
      <c r="BB15" s="40">
        <f>IF(AND(IF($B$6="Total",COUNTIFS(Countries!$A$5:$A$434,$B$4,Countries!$B$5:$B$434,$B$5,Countries!$D$5:$D$434,$A15,Countries!$F$5:$F$434,"&gt;0"),COUNTIFS(Countries!$A$5:$A$434,$B$4,Countries!$B$5:$B$434,$B$5,Countries!$C$5:$C$434,$B$6,Countries!$D$5:$D$434,$A15,Countries!$F$5:$F$434,"&gt;0"))=0,IF($B$6="Total",COUNTIFS(Countries!$A$5:$A$434,$B$4,Countries!$B$5:$B$434,$B$5,Countries!$D$5:$D$434,$A15,Countries!$E$5:$E$434,"&gt;0"),COUNTIFS(Countries!$A$5:$A$434,$B$4,Countries!$B$5:$B$434,$B$5,Countries!$C$5:$C$434,$B$6,Countries!$D$5:$D$434,$A15,Countries!$E$5:$E$434,"&gt;0"))=0),"",IF(IF($B$6="Total",COUNTIFS(Countries!$A$5:$A$434,$B$4,Countries!$B$5:$B$434,$B$5,Countries!$D$5:$D$434,$A15,Countries!$F$5:$F$434,"&gt;0"),COUNTIFS(Countries!$A$5:$A$434,$B$4,Countries!$B$5:$B$434,$B$5,Countries!$C$5:$C$434,$B$6,Countries!$D$5:$D$434,$A15,Countries!$F$5:$F$434,"&gt;0"))=0,"1-23Aug25 rows only",IF(IF($B$6="Total",COUNTIFS(Countries!$A$5:$A$434,$B$4,Countries!$B$5:$B$434,$B$5,Countries!$D$5:$D$434,$A15,Countries!$E$5:$E$434,"&gt;0"),COUNTIFS(Countries!$A$5:$A$434,$B$4,Countries!$B$5:$B$434,$B$5,Countries!$C$5:$C$434,$B$6,Countries!$D$5:$D$434,$A15,Countries!$E$5:$E$434,"&gt;0"))=0,"1-23Aug26 rows only",IF(IF($B$6="Total",COUNTIFS(Countries!$A$5:$A$434,$B$4,Countries!$B$5:$B$434,$B$5,Countries!$D$5:$D$434,$A15,Countries!$F$5:$F$434,"&gt;0"),COUNTIFS(Countries!$A$5:$A$434,$B$4,Countries!$B$5:$B$434,$B$5,Countries!$C$5:$C$434,$B$6,Countries!$D$5:$D$434,$A15,Countries!$F$5:$F$434,"&gt;0"))=IF($B$6="Total",COUNTIFS(Countries!$A$5:$A$434,$B$4,Countries!$B$5:$B$434,$B$5,Countries!$D$5:$D$434,$A15,Countries!$E$5:$E$434,"&gt;0"),COUNTIFS(Countries!$A$5:$A$434,$B$4,Countries!$B$5:$B$434,$B$5,Countries!$C$5:$C$434,$B$6,Countries!$D$5:$D$434,$A15,Countries!$E$5:$E$434,"&gt;0")),"Like-for-like","Partial — coverage differs"))))</f>
        <v/>
      </c>
    </row>
    <row r="16">
      <c r="A16" s="56" t="inlineStr">
        <is>
          <t>Poland</t>
        </is>
      </c>
      <c r="B16" s="41">
        <f>IF(IF($B$6="Total",SUMIFS(Countries!$E$5:$E$434,Countries!$A$5:$A$434,$B$4,Countries!$B$5:$B$434,$B$5,Countries!$D$5:$D$434,$A16),SUMIFS(Countries!$E$5:$E$434,Countries!$A$5:$A$434,$B$4,Countries!$B$5:$B$434,$B$5,Countries!$C$5:$C$434,$B$6,Countries!$D$5:$D$434,$A16))=0,"",IF($B$6="Total",SUMIFS(Countries!$E$5:$E$434,Countries!$A$5:$A$434,$B$4,Countries!$B$5:$B$434,$B$5,Countries!$D$5:$D$434,$A16),SUMIFS(Countries!$E$5:$E$434,Countries!$A$5:$A$434,$B$4,Countries!$B$5:$B$434,$B$5,Countries!$C$5:$C$434,$B$6,Countries!$D$5:$D$434,$A16)))</f>
        <v/>
      </c>
      <c r="C16" s="41">
        <f>IF(IF($B$6="Total",SUMIFS(Countries!$F$5:$F$434,Countries!$A$5:$A$434,$B$4,Countries!$B$5:$B$434,$B$5,Countries!$D$5:$D$434,$A16),SUMIFS(Countries!$F$5:$F$434,Countries!$A$5:$A$434,$B$4,Countries!$B$5:$B$434,$B$5,Countries!$C$5:$C$434,$B$6,Countries!$D$5:$D$434,$A16))=0,"",IF($B$6="Total",SUMIFS(Countries!$F$5:$F$434,Countries!$A$5:$A$434,$B$4,Countries!$B$5:$B$434,$B$5,Countries!$D$5:$D$434,$A16),SUMIFS(Countries!$F$5:$F$434,Countries!$A$5:$A$434,$B$4,Countries!$B$5:$B$434,$B$5,Countries!$C$5:$C$434,$B$6,Countries!$D$5:$D$434,$A16)))</f>
        <v/>
      </c>
      <c r="D16" s="69">
        <f>IF(OR(C16="",B16="",B16=0,C16=0),"",C16-B16)</f>
        <v/>
      </c>
      <c r="E16" s="42">
        <f>IF(OR(C16="",B16="",B16=0,C16=0),"",C16/B16-1)</f>
        <v/>
      </c>
      <c r="F16" s="41">
        <f>IF(IF($B$6="Total",SUMIFS(Countries!$I$5:$I$434,Countries!$A$5:$A$434,$B$4,Countries!$B$5:$B$434,$B$5,Countries!$D$5:$D$434,$A16),SUMIFS(Countries!$I$5:$I$434,Countries!$A$5:$A$434,$B$4,Countries!$B$5:$B$434,$B$5,Countries!$C$5:$C$434,$B$6,Countries!$D$5:$D$434,$A16))=0,"",IF($B$6="Total",SUMIFS(Countries!$I$5:$I$434,Countries!$A$5:$A$434,$B$4,Countries!$B$5:$B$434,$B$5,Countries!$D$5:$D$434,$A16),SUMIFS(Countries!$I$5:$I$434,Countries!$A$5:$A$434,$B$4,Countries!$B$5:$B$434,$B$5,Countries!$C$5:$C$434,$B$6,Countries!$D$5:$D$434,$A16)))</f>
        <v/>
      </c>
      <c r="G16" s="41">
        <f>IF(IF($B$6="Total",SUMIFS(Countries!$J$5:$J$434,Countries!$A$5:$A$434,$B$4,Countries!$B$5:$B$434,$B$5,Countries!$D$5:$D$434,$A16),SUMIFS(Countries!$J$5:$J$434,Countries!$A$5:$A$434,$B$4,Countries!$B$5:$B$434,$B$5,Countries!$C$5:$C$434,$B$6,Countries!$D$5:$D$434,$A16))=0,"",IF($B$6="Total",SUMIFS(Countries!$J$5:$J$434,Countries!$A$5:$A$434,$B$4,Countries!$B$5:$B$434,$B$5,Countries!$D$5:$D$434,$A16),SUMIFS(Countries!$J$5:$J$434,Countries!$A$5:$A$434,$B$4,Countries!$B$5:$B$434,$B$5,Countries!$C$5:$C$434,$B$6,Countries!$D$5:$D$434,$A16)))</f>
        <v/>
      </c>
      <c r="H16" s="69">
        <f>IF(OR(G16="",F16="",F16=0,G16=0),"",G16-F16)</f>
        <v/>
      </c>
      <c r="I16" s="42">
        <f>IF(OR(G16="",F16="",F16=0,G16=0),"",G16/F16-1)</f>
        <v/>
      </c>
      <c r="J16" s="43">
        <f>IF(IF($B$6="Total",SUMIFS(Countries!$E$5:$E$434,Countries!$A$5:$A$434,$B$4,Countries!$B$5:$B$434,$B$5,Countries!$D$5:$D$434,$A16,Countries!$I$5:$I$434,"&gt;0"),SUMIFS(Countries!$E$5:$E$434,Countries!$A$5:$A$434,$B$4,Countries!$B$5:$B$434,$B$5,Countries!$C$5:$C$434,$B$6,Countries!$D$5:$D$434,$A16,Countries!$I$5:$I$434,"&gt;0"))=0,"",IF($B$6="Total",SUMIFS(Countries!$I$5:$I$434,Countries!$A$5:$A$434,$B$4,Countries!$B$5:$B$434,$B$5,Countries!$D$5:$D$434,$A16,Countries!$E$5:$E$434,"&gt;0"),SUMIFS(Countries!$I$5:$I$434,Countries!$A$5:$A$434,$B$4,Countries!$B$5:$B$434,$B$5,Countries!$C$5:$C$434,$B$6,Countries!$D$5:$D$434,$A16,Countries!$E$5:$E$434,"&gt;0"))/IF($B$6="Total",SUMIFS(Countries!$E$5:$E$434,Countries!$A$5:$A$434,$B$4,Countries!$B$5:$B$434,$B$5,Countries!$D$5:$D$434,$A16,Countries!$I$5:$I$434,"&gt;0"),SUMIFS(Countries!$E$5:$E$434,Countries!$A$5:$A$434,$B$4,Countries!$B$5:$B$434,$B$5,Countries!$C$5:$C$434,$B$6,Countries!$D$5:$D$434,$A16,Countries!$I$5:$I$434,"&gt;0")))</f>
        <v/>
      </c>
      <c r="K16" s="43">
        <f>IF(IF($B$6="Total",SUMIFS(Countries!$F$5:$F$434,Countries!$A$5:$A$434,$B$4,Countries!$B$5:$B$434,$B$5,Countries!$D$5:$D$434,$A16,Countries!$J$5:$J$434,"&gt;0"),SUMIFS(Countries!$F$5:$F$434,Countries!$A$5:$A$434,$B$4,Countries!$B$5:$B$434,$B$5,Countries!$C$5:$C$434,$B$6,Countries!$D$5:$D$434,$A16,Countries!$J$5:$J$434,"&gt;0"))=0,"",IF($B$6="Total",SUMIFS(Countries!$J$5:$J$434,Countries!$A$5:$A$434,$B$4,Countries!$B$5:$B$434,$B$5,Countries!$D$5:$D$434,$A16,Countries!$F$5:$F$434,"&gt;0"),SUMIFS(Countries!$J$5:$J$434,Countries!$A$5:$A$434,$B$4,Countries!$B$5:$B$434,$B$5,Countries!$C$5:$C$434,$B$6,Countries!$D$5:$D$434,$A16,Countries!$F$5:$F$434,"&gt;0"))/IF($B$6="Total",SUMIFS(Countries!$F$5:$F$434,Countries!$A$5:$A$434,$B$4,Countries!$B$5:$B$434,$B$5,Countries!$D$5:$D$434,$A16,Countries!$J$5:$J$434,"&gt;0"),SUMIFS(Countries!$F$5:$F$434,Countries!$A$5:$A$434,$B$4,Countries!$B$5:$B$434,$B$5,Countries!$C$5:$C$434,$B$6,Countries!$D$5:$D$434,$A16,Countries!$J$5:$J$434,"&gt;0")))</f>
        <v/>
      </c>
      <c r="L16" s="44">
        <f>IF(OR(K16="",J16=""),"",(K16-J16)*100)</f>
        <v/>
      </c>
      <c r="M16" s="41">
        <f>IF(IF($B$6="Total",SUMIFS(Countries!$P$5:$P$434,Countries!$A$5:$A$434,$B$4,Countries!$B$5:$B$434,$B$5,Countries!$D$5:$D$434,$A16),SUMIFS(Countries!$P$5:$P$434,Countries!$A$5:$A$434,$B$4,Countries!$B$5:$B$434,$B$5,Countries!$C$5:$C$434,$B$6,Countries!$D$5:$D$434,$A16))=0,"",IF($B$6="Total",SUMIFS(Countries!$P$5:$P$434,Countries!$A$5:$A$434,$B$4,Countries!$B$5:$B$434,$B$5,Countries!$D$5:$D$434,$A16),SUMIFS(Countries!$P$5:$P$434,Countries!$A$5:$A$434,$B$4,Countries!$B$5:$B$434,$B$5,Countries!$C$5:$C$434,$B$6,Countries!$D$5:$D$434,$A16)))</f>
        <v/>
      </c>
      <c r="N16" s="41">
        <f>IF(IF($B$6="Total",SUMIFS(Countries!$Q$5:$Q$434,Countries!$A$5:$A$434,$B$4,Countries!$B$5:$B$434,$B$5,Countries!$D$5:$D$434,$A16),SUMIFS(Countries!$Q$5:$Q$434,Countries!$A$5:$A$434,$B$4,Countries!$B$5:$B$434,$B$5,Countries!$C$5:$C$434,$B$6,Countries!$D$5:$D$434,$A16))=0,"",IF($B$6="Total",SUMIFS(Countries!$Q$5:$Q$434,Countries!$A$5:$A$434,$B$4,Countries!$B$5:$B$434,$B$5,Countries!$D$5:$D$434,$A16),SUMIFS(Countries!$Q$5:$Q$434,Countries!$A$5:$A$434,$B$4,Countries!$B$5:$B$434,$B$5,Countries!$C$5:$C$434,$B$6,Countries!$D$5:$D$434,$A16)))</f>
        <v/>
      </c>
      <c r="O16" s="69">
        <f>IF(OR(N16="",M16="",M16=0,N16=0),"",N16-M16)</f>
        <v/>
      </c>
      <c r="P16" s="42">
        <f>IF(OR(N16="",M16="",M16=0,N16=0),"",N16/M16-1)</f>
        <v/>
      </c>
      <c r="Q16" s="43">
        <f>IF(IF($B$6="Total",SUMIFS(Countries!$E$5:$E$434,Countries!$A$5:$A$434,$B$4,Countries!$B$5:$B$434,$B$5,Countries!$D$5:$D$434,$A16,Countries!$P$5:$P$434,"&gt;0"),SUMIFS(Countries!$E$5:$E$434,Countries!$A$5:$A$434,$B$4,Countries!$B$5:$B$434,$B$5,Countries!$C$5:$C$434,$B$6,Countries!$D$5:$D$434,$A16,Countries!$P$5:$P$434,"&gt;0"))=0,"",IF($B$6="Total",SUMIFS(Countries!$P$5:$P$434,Countries!$A$5:$A$434,$B$4,Countries!$B$5:$B$434,$B$5,Countries!$D$5:$D$434,$A16,Countries!$E$5:$E$434,"&gt;0"),SUMIFS(Countries!$P$5:$P$434,Countries!$A$5:$A$434,$B$4,Countries!$B$5:$B$434,$B$5,Countries!$C$5:$C$434,$B$6,Countries!$D$5:$D$434,$A16,Countries!$E$5:$E$434,"&gt;0"))/IF($B$6="Total",SUMIFS(Countries!$E$5:$E$434,Countries!$A$5:$A$434,$B$4,Countries!$B$5:$B$434,$B$5,Countries!$D$5:$D$434,$A16,Countries!$P$5:$P$434,"&gt;0"),SUMIFS(Countries!$E$5:$E$434,Countries!$A$5:$A$434,$B$4,Countries!$B$5:$B$434,$B$5,Countries!$C$5:$C$434,$B$6,Countries!$D$5:$D$434,$A16,Countries!$P$5:$P$434,"&gt;0")))</f>
        <v/>
      </c>
      <c r="R16" s="43">
        <f>IF(IF($B$6="Total",SUMIFS(Countries!$F$5:$F$434,Countries!$A$5:$A$434,$B$4,Countries!$B$5:$B$434,$B$5,Countries!$D$5:$D$434,$A16,Countries!$Q$5:$Q$434,"&gt;0"),SUMIFS(Countries!$F$5:$F$434,Countries!$A$5:$A$434,$B$4,Countries!$B$5:$B$434,$B$5,Countries!$C$5:$C$434,$B$6,Countries!$D$5:$D$434,$A16,Countries!$Q$5:$Q$434,"&gt;0"))=0,"",IF($B$6="Total",SUMIFS(Countries!$Q$5:$Q$434,Countries!$A$5:$A$434,$B$4,Countries!$B$5:$B$434,$B$5,Countries!$D$5:$D$434,$A16,Countries!$F$5:$F$434,"&gt;0"),SUMIFS(Countries!$Q$5:$Q$434,Countries!$A$5:$A$434,$B$4,Countries!$B$5:$B$434,$B$5,Countries!$C$5:$C$434,$B$6,Countries!$D$5:$D$434,$A16,Countries!$F$5:$F$434,"&gt;0"))/IF($B$6="Total",SUMIFS(Countries!$F$5:$F$434,Countries!$A$5:$A$434,$B$4,Countries!$B$5:$B$434,$B$5,Countries!$D$5:$D$434,$A16,Countries!$Q$5:$Q$434,"&gt;0"),SUMIFS(Countries!$F$5:$F$434,Countries!$A$5:$A$434,$B$4,Countries!$B$5:$B$434,$B$5,Countries!$C$5:$C$434,$B$6,Countries!$D$5:$D$434,$A16,Countries!$Q$5:$Q$434,"&gt;0")))</f>
        <v/>
      </c>
      <c r="S16" s="44">
        <f>IF(OR(R16="",Q16=""),"",(R16-Q16)*100)</f>
        <v/>
      </c>
      <c r="T16" s="41">
        <f>IF(IF($B$6="Total",SUMIFS(Countries!$W$5:$W$434,Countries!$A$5:$A$434,$B$4,Countries!$B$5:$B$434,$B$5,Countries!$D$5:$D$434,$A16),SUMIFS(Countries!$W$5:$W$434,Countries!$A$5:$A$434,$B$4,Countries!$B$5:$B$434,$B$5,Countries!$C$5:$C$434,$B$6,Countries!$D$5:$D$434,$A16))=0,"",IF($B$6="Total",SUMIFS(Countries!$W$5:$W$434,Countries!$A$5:$A$434,$B$4,Countries!$B$5:$B$434,$B$5,Countries!$D$5:$D$434,$A16),SUMIFS(Countries!$W$5:$W$434,Countries!$A$5:$A$434,$B$4,Countries!$B$5:$B$434,$B$5,Countries!$C$5:$C$434,$B$6,Countries!$D$5:$D$434,$A16)))</f>
        <v/>
      </c>
      <c r="U16" s="41">
        <f>IF(IF($B$6="Total",SUMIFS(Countries!$X$5:$X$434,Countries!$A$5:$A$434,$B$4,Countries!$B$5:$B$434,$B$5,Countries!$D$5:$D$434,$A16),SUMIFS(Countries!$X$5:$X$434,Countries!$A$5:$A$434,$B$4,Countries!$B$5:$B$434,$B$5,Countries!$C$5:$C$434,$B$6,Countries!$D$5:$D$434,$A16))=0,"",IF($B$6="Total",SUMIFS(Countries!$X$5:$X$434,Countries!$A$5:$A$434,$B$4,Countries!$B$5:$B$434,$B$5,Countries!$D$5:$D$434,$A16),SUMIFS(Countries!$X$5:$X$434,Countries!$A$5:$A$434,$B$4,Countries!$B$5:$B$434,$B$5,Countries!$C$5:$C$434,$B$6,Countries!$D$5:$D$434,$A16)))</f>
        <v/>
      </c>
      <c r="V16" s="69">
        <f>IF(OR(U16="",T16="",T16=0,U16=0),"",U16-T16)</f>
        <v/>
      </c>
      <c r="W16" s="42">
        <f>IF(OR(U16="",T16="",T16=0,U16=0),"",U16/T16-1)</f>
        <v/>
      </c>
      <c r="X16" s="43">
        <f>IF(IF($B$6="Total",SUMIFS(Countries!$P$5:$P$434,Countries!$A$5:$A$434,$B$4,Countries!$B$5:$B$434,$B$5,Countries!$D$5:$D$434,$A16,Countries!$W$5:$W$434,"&gt;0"),SUMIFS(Countries!$P$5:$P$434,Countries!$A$5:$A$434,$B$4,Countries!$B$5:$B$434,$B$5,Countries!$C$5:$C$434,$B$6,Countries!$D$5:$D$434,$A16,Countries!$W$5:$W$434,"&gt;0"))=0,"",IF($B$6="Total",SUMIFS(Countries!$W$5:$W$434,Countries!$A$5:$A$434,$B$4,Countries!$B$5:$B$434,$B$5,Countries!$D$5:$D$434,$A16,Countries!$P$5:$P$434,"&gt;0"),SUMIFS(Countries!$W$5:$W$434,Countries!$A$5:$A$434,$B$4,Countries!$B$5:$B$434,$B$5,Countries!$C$5:$C$434,$B$6,Countries!$D$5:$D$434,$A16,Countries!$P$5:$P$434,"&gt;0"))/IF($B$6="Total",SUMIFS(Countries!$P$5:$P$434,Countries!$A$5:$A$434,$B$4,Countries!$B$5:$B$434,$B$5,Countries!$D$5:$D$434,$A16,Countries!$W$5:$W$434,"&gt;0"),SUMIFS(Countries!$P$5:$P$434,Countries!$A$5:$A$434,$B$4,Countries!$B$5:$B$434,$B$5,Countries!$C$5:$C$434,$B$6,Countries!$D$5:$D$434,$A16,Countries!$W$5:$W$434,"&gt;0")))</f>
        <v/>
      </c>
      <c r="Y16" s="43">
        <f>IF(IF($B$6="Total",SUMIFS(Countries!$Q$5:$Q$434,Countries!$A$5:$A$434,$B$4,Countries!$B$5:$B$434,$B$5,Countries!$D$5:$D$434,$A16,Countries!$X$5:$X$434,"&gt;0"),SUMIFS(Countries!$Q$5:$Q$434,Countries!$A$5:$A$434,$B$4,Countries!$B$5:$B$434,$B$5,Countries!$C$5:$C$434,$B$6,Countries!$D$5:$D$434,$A16,Countries!$X$5:$X$434,"&gt;0"))=0,"",IF($B$6="Total",SUMIFS(Countries!$X$5:$X$434,Countries!$A$5:$A$434,$B$4,Countries!$B$5:$B$434,$B$5,Countries!$D$5:$D$434,$A16,Countries!$Q$5:$Q$434,"&gt;0"),SUMIFS(Countries!$X$5:$X$434,Countries!$A$5:$A$434,$B$4,Countries!$B$5:$B$434,$B$5,Countries!$C$5:$C$434,$B$6,Countries!$D$5:$D$434,$A16,Countries!$Q$5:$Q$434,"&gt;0"))/IF($B$6="Total",SUMIFS(Countries!$Q$5:$Q$434,Countries!$A$5:$A$434,$B$4,Countries!$B$5:$B$434,$B$5,Countries!$D$5:$D$434,$A16,Countries!$X$5:$X$434,"&gt;0"),SUMIFS(Countries!$Q$5:$Q$434,Countries!$A$5:$A$434,$B$4,Countries!$B$5:$B$434,$B$5,Countries!$C$5:$C$434,$B$6,Countries!$D$5:$D$434,$A16,Countries!$X$5:$X$434,"&gt;0")))</f>
        <v/>
      </c>
      <c r="Z16" s="44">
        <f>IF(OR(Y16="",X16=""),"",(Y16-X16)*100)</f>
        <v/>
      </c>
      <c r="AA16" s="41">
        <f>IF(IF($B$6="Total",SUMIFS(Countries!$AD$5:$AD$434,Countries!$A$5:$A$434,$B$4,Countries!$B$5:$B$434,$B$5,Countries!$D$5:$D$434,$A16),SUMIFS(Countries!$AD$5:$AD$434,Countries!$A$5:$A$434,$B$4,Countries!$B$5:$B$434,$B$5,Countries!$C$5:$C$434,$B$6,Countries!$D$5:$D$434,$A16))=0,"",IF($B$6="Total",SUMIFS(Countries!$AD$5:$AD$434,Countries!$A$5:$A$434,$B$4,Countries!$B$5:$B$434,$B$5,Countries!$D$5:$D$434,$A16),SUMIFS(Countries!$AD$5:$AD$434,Countries!$A$5:$A$434,$B$4,Countries!$B$5:$B$434,$B$5,Countries!$C$5:$C$434,$B$6,Countries!$D$5:$D$434,$A16)))</f>
        <v/>
      </c>
      <c r="AB16" s="41">
        <f>IF(IF($B$6="Total",SUMIFS(Countries!$AE$5:$AE$434,Countries!$A$5:$A$434,$B$4,Countries!$B$5:$B$434,$B$5,Countries!$D$5:$D$434,$A16),SUMIFS(Countries!$AE$5:$AE$434,Countries!$A$5:$A$434,$B$4,Countries!$B$5:$B$434,$B$5,Countries!$C$5:$C$434,$B$6,Countries!$D$5:$D$434,$A16))=0,"",IF($B$6="Total",SUMIFS(Countries!$AE$5:$AE$434,Countries!$A$5:$A$434,$B$4,Countries!$B$5:$B$434,$B$5,Countries!$D$5:$D$434,$A16),SUMIFS(Countries!$AE$5:$AE$434,Countries!$A$5:$A$434,$B$4,Countries!$B$5:$B$434,$B$5,Countries!$C$5:$C$434,$B$6,Countries!$D$5:$D$434,$A16)))</f>
        <v/>
      </c>
      <c r="AC16" s="69">
        <f>IF(OR(AB16="",AA16="",AA16=0,AB16=0),"",AB16-AA16)</f>
        <v/>
      </c>
      <c r="AD16" s="42">
        <f>IF(OR(AB16="",AA16="",AA16=0,AB16=0),"",AB16/AA16-1)</f>
        <v/>
      </c>
      <c r="AE16" s="43">
        <f>IF(IF($B$6="Total",SUMIFS(Countries!$W$5:$W$434,Countries!$A$5:$A$434,$B$4,Countries!$B$5:$B$434,$B$5,Countries!$D$5:$D$434,$A16,Countries!$AD$5:$AD$434,"&gt;0"),SUMIFS(Countries!$W$5:$W$434,Countries!$A$5:$A$434,$B$4,Countries!$B$5:$B$434,$B$5,Countries!$C$5:$C$434,$B$6,Countries!$D$5:$D$434,$A16,Countries!$AD$5:$AD$434,"&gt;0"))=0,"",IF($B$6="Total",SUMIFS(Countries!$AD$5:$AD$434,Countries!$A$5:$A$434,$B$4,Countries!$B$5:$B$434,$B$5,Countries!$D$5:$D$434,$A16,Countries!$W$5:$W$434,"&gt;0"),SUMIFS(Countries!$AD$5:$AD$434,Countries!$A$5:$A$434,$B$4,Countries!$B$5:$B$434,$B$5,Countries!$C$5:$C$434,$B$6,Countries!$D$5:$D$434,$A16,Countries!$W$5:$W$434,"&gt;0"))/IF($B$6="Total",SUMIFS(Countries!$W$5:$W$434,Countries!$A$5:$A$434,$B$4,Countries!$B$5:$B$434,$B$5,Countries!$D$5:$D$434,$A16,Countries!$AD$5:$AD$434,"&gt;0"),SUMIFS(Countries!$W$5:$W$434,Countries!$A$5:$A$434,$B$4,Countries!$B$5:$B$434,$B$5,Countries!$C$5:$C$434,$B$6,Countries!$D$5:$D$434,$A16,Countries!$AD$5:$AD$434,"&gt;0")))</f>
        <v/>
      </c>
      <c r="AF16" s="43">
        <f>IF(IF($B$6="Total",SUMIFS(Countries!$X$5:$X$434,Countries!$A$5:$A$434,$B$4,Countries!$B$5:$B$434,$B$5,Countries!$D$5:$D$434,$A16,Countries!$AE$5:$AE$434,"&gt;0"),SUMIFS(Countries!$X$5:$X$434,Countries!$A$5:$A$434,$B$4,Countries!$B$5:$B$434,$B$5,Countries!$C$5:$C$434,$B$6,Countries!$D$5:$D$434,$A16,Countries!$AE$5:$AE$434,"&gt;0"))=0,"",IF($B$6="Total",SUMIFS(Countries!$AE$5:$AE$434,Countries!$A$5:$A$434,$B$4,Countries!$B$5:$B$434,$B$5,Countries!$D$5:$D$434,$A16,Countries!$X$5:$X$434,"&gt;0"),SUMIFS(Countries!$AE$5:$AE$434,Countries!$A$5:$A$434,$B$4,Countries!$B$5:$B$434,$B$5,Countries!$C$5:$C$434,$B$6,Countries!$D$5:$D$434,$A16,Countries!$X$5:$X$434,"&gt;0"))/IF($B$6="Total",SUMIFS(Countries!$X$5:$X$434,Countries!$A$5:$A$434,$B$4,Countries!$B$5:$B$434,$B$5,Countries!$D$5:$D$434,$A16,Countries!$AE$5:$AE$434,"&gt;0"),SUMIFS(Countries!$X$5:$X$434,Countries!$A$5:$A$434,$B$4,Countries!$B$5:$B$434,$B$5,Countries!$C$5:$C$434,$B$6,Countries!$D$5:$D$434,$A16,Countries!$AE$5:$AE$434,"&gt;0")))</f>
        <v/>
      </c>
      <c r="AG16" s="44">
        <f>IF(OR(AF16="",AE16=""),"",(AF16-AE16)*100)</f>
        <v/>
      </c>
      <c r="AH16" s="41">
        <f>IF(IF($B$6="Total",SUMIFS(Countries!$AK$5:$AK$434,Countries!$A$5:$A$434,$B$4,Countries!$B$5:$B$434,$B$5,Countries!$D$5:$D$434,$A16),SUMIFS(Countries!$AK$5:$AK$434,Countries!$A$5:$A$434,$B$4,Countries!$B$5:$B$434,$B$5,Countries!$C$5:$C$434,$B$6,Countries!$D$5:$D$434,$A16))=0,"",IF($B$6="Total",SUMIFS(Countries!$AK$5:$AK$434,Countries!$A$5:$A$434,$B$4,Countries!$B$5:$B$434,$B$5,Countries!$D$5:$D$434,$A16),SUMIFS(Countries!$AK$5:$AK$434,Countries!$A$5:$A$434,$B$4,Countries!$B$5:$B$434,$B$5,Countries!$C$5:$C$434,$B$6,Countries!$D$5:$D$434,$A16)))</f>
        <v/>
      </c>
      <c r="AI16" s="41">
        <f>IF(IF($B$6="Total",SUMIFS(Countries!$AL$5:$AL$434,Countries!$A$5:$A$434,$B$4,Countries!$B$5:$B$434,$B$5,Countries!$D$5:$D$434,$A16),SUMIFS(Countries!$AL$5:$AL$434,Countries!$A$5:$A$434,$B$4,Countries!$B$5:$B$434,$B$5,Countries!$C$5:$C$434,$B$6,Countries!$D$5:$D$434,$A16))=0,"",IF($B$6="Total",SUMIFS(Countries!$AL$5:$AL$434,Countries!$A$5:$A$434,$B$4,Countries!$B$5:$B$434,$B$5,Countries!$D$5:$D$434,$A16),SUMIFS(Countries!$AL$5:$AL$434,Countries!$A$5:$A$434,$B$4,Countries!$B$5:$B$434,$B$5,Countries!$C$5:$C$434,$B$6,Countries!$D$5:$D$434,$A16)))</f>
        <v/>
      </c>
      <c r="AJ16" s="69">
        <f>IF(OR(AI16="",AH16="",AH16=0,AI16=0),"",AI16-AH16)</f>
        <v/>
      </c>
      <c r="AK16" s="42">
        <f>IF(OR(AI16="",AH16="",AH16=0,AI16=0),"",AI16/AH16-1)</f>
        <v/>
      </c>
      <c r="AL16" s="43">
        <f>IF(IF($B$6="Total",SUMIFS(Countries!$AD$5:$AD$434,Countries!$A$5:$A$434,$B$4,Countries!$B$5:$B$434,$B$5,Countries!$D$5:$D$434,$A16,Countries!$AK$5:$AK$434,"&gt;0"),SUMIFS(Countries!$AD$5:$AD$434,Countries!$A$5:$A$434,$B$4,Countries!$B$5:$B$434,$B$5,Countries!$C$5:$C$434,$B$6,Countries!$D$5:$D$434,$A16,Countries!$AK$5:$AK$434,"&gt;0"))=0,"",IF($B$6="Total",SUMIFS(Countries!$AK$5:$AK$434,Countries!$A$5:$A$434,$B$4,Countries!$B$5:$B$434,$B$5,Countries!$D$5:$D$434,$A16,Countries!$AD$5:$AD$434,"&gt;0"),SUMIFS(Countries!$AK$5:$AK$434,Countries!$A$5:$A$434,$B$4,Countries!$B$5:$B$434,$B$5,Countries!$C$5:$C$434,$B$6,Countries!$D$5:$D$434,$A16,Countries!$AD$5:$AD$434,"&gt;0"))/IF($B$6="Total",SUMIFS(Countries!$AD$5:$AD$434,Countries!$A$5:$A$434,$B$4,Countries!$B$5:$B$434,$B$5,Countries!$D$5:$D$434,$A16,Countries!$AK$5:$AK$434,"&gt;0"),SUMIFS(Countries!$AD$5:$AD$434,Countries!$A$5:$A$434,$B$4,Countries!$B$5:$B$434,$B$5,Countries!$C$5:$C$434,$B$6,Countries!$D$5:$D$434,$A16,Countries!$AK$5:$AK$434,"&gt;0")))</f>
        <v/>
      </c>
      <c r="AM16" s="43">
        <f>IF(IF($B$6="Total",SUMIFS(Countries!$AE$5:$AE$434,Countries!$A$5:$A$434,$B$4,Countries!$B$5:$B$434,$B$5,Countries!$D$5:$D$434,$A16,Countries!$AL$5:$AL$434,"&gt;0"),SUMIFS(Countries!$AE$5:$AE$434,Countries!$A$5:$A$434,$B$4,Countries!$B$5:$B$434,$B$5,Countries!$C$5:$C$434,$B$6,Countries!$D$5:$D$434,$A16,Countries!$AL$5:$AL$434,"&gt;0"))=0,"",IF($B$6="Total",SUMIFS(Countries!$AL$5:$AL$434,Countries!$A$5:$A$434,$B$4,Countries!$B$5:$B$434,$B$5,Countries!$D$5:$D$434,$A16,Countries!$AE$5:$AE$434,"&gt;0"),SUMIFS(Countries!$AL$5:$AL$434,Countries!$A$5:$A$434,$B$4,Countries!$B$5:$B$434,$B$5,Countries!$C$5:$C$434,$B$6,Countries!$D$5:$D$434,$A16,Countries!$AE$5:$AE$434,"&gt;0"))/IF($B$6="Total",SUMIFS(Countries!$AE$5:$AE$434,Countries!$A$5:$A$434,$B$4,Countries!$B$5:$B$434,$B$5,Countries!$D$5:$D$434,$A16,Countries!$AL$5:$AL$434,"&gt;0"),SUMIFS(Countries!$AE$5:$AE$434,Countries!$A$5:$A$434,$B$4,Countries!$B$5:$B$434,$B$5,Countries!$C$5:$C$434,$B$6,Countries!$D$5:$D$434,$A16,Countries!$AL$5:$AL$434,"&gt;0")))</f>
        <v/>
      </c>
      <c r="AN16" s="44">
        <f>IF(OR(AM16="",AL16=""),"",(AM16-AL16)*100)</f>
        <v/>
      </c>
      <c r="AO16" s="41">
        <f>IF(IF($B$6="Total",SUMIFS(Countries!$AR$5:$AR$434,Countries!$A$5:$A$434,$B$4,Countries!$B$5:$B$434,$B$5,Countries!$D$5:$D$434,$A16),SUMIFS(Countries!$AR$5:$AR$434,Countries!$A$5:$A$434,$B$4,Countries!$B$5:$B$434,$B$5,Countries!$C$5:$C$434,$B$6,Countries!$D$5:$D$434,$A16))=0,"",IF($B$6="Total",SUMIFS(Countries!$AR$5:$AR$434,Countries!$A$5:$A$434,$B$4,Countries!$B$5:$B$434,$B$5,Countries!$D$5:$D$434,$A16),SUMIFS(Countries!$AR$5:$AR$434,Countries!$A$5:$A$434,$B$4,Countries!$B$5:$B$434,$B$5,Countries!$C$5:$C$434,$B$6,Countries!$D$5:$D$434,$A16)))</f>
        <v/>
      </c>
      <c r="AP16" s="41">
        <f>IF(IF($B$6="Total",SUMIFS(Countries!$AS$5:$AS$434,Countries!$A$5:$A$434,$B$4,Countries!$B$5:$B$434,$B$5,Countries!$D$5:$D$434,$A16),SUMIFS(Countries!$AS$5:$AS$434,Countries!$A$5:$A$434,$B$4,Countries!$B$5:$B$434,$B$5,Countries!$C$5:$C$434,$B$6,Countries!$D$5:$D$434,$A16))=0,"",IF($B$6="Total",SUMIFS(Countries!$AS$5:$AS$434,Countries!$A$5:$A$434,$B$4,Countries!$B$5:$B$434,$B$5,Countries!$D$5:$D$434,$A16),SUMIFS(Countries!$AS$5:$AS$434,Countries!$A$5:$A$434,$B$4,Countries!$B$5:$B$434,$B$5,Countries!$C$5:$C$434,$B$6,Countries!$D$5:$D$434,$A16)))</f>
        <v/>
      </c>
      <c r="AQ16" s="69">
        <f>IF(OR(AP16="",AO16="",AO16=0,AP16=0),"",AP16-AO16)</f>
        <v/>
      </c>
      <c r="AR16" s="42">
        <f>IF(OR(AP16="",AO16="",AO16=0,AP16=0),"",AP16/AO16-1)</f>
        <v/>
      </c>
      <c r="AS16" s="43">
        <f>IF(IF($B$6="Total",SUMIFS(Countries!$AK$5:$AK$434,Countries!$A$5:$A$434,$B$4,Countries!$B$5:$B$434,$B$5,Countries!$D$5:$D$434,$A16,Countries!$AR$5:$AR$434,"&gt;0"),SUMIFS(Countries!$AK$5:$AK$434,Countries!$A$5:$A$434,$B$4,Countries!$B$5:$B$434,$B$5,Countries!$C$5:$C$434,$B$6,Countries!$D$5:$D$434,$A16,Countries!$AR$5:$AR$434,"&gt;0"))=0,"",IF($B$6="Total",SUMIFS(Countries!$AR$5:$AR$434,Countries!$A$5:$A$434,$B$4,Countries!$B$5:$B$434,$B$5,Countries!$D$5:$D$434,$A16,Countries!$AK$5:$AK$434,"&gt;0"),SUMIFS(Countries!$AR$5:$AR$434,Countries!$A$5:$A$434,$B$4,Countries!$B$5:$B$434,$B$5,Countries!$C$5:$C$434,$B$6,Countries!$D$5:$D$434,$A16,Countries!$AK$5:$AK$434,"&gt;0"))/IF($B$6="Total",SUMIFS(Countries!$AK$5:$AK$434,Countries!$A$5:$A$434,$B$4,Countries!$B$5:$B$434,$B$5,Countries!$D$5:$D$434,$A16,Countries!$AR$5:$AR$434,"&gt;0"),SUMIFS(Countries!$AK$5:$AK$434,Countries!$A$5:$A$434,$B$4,Countries!$B$5:$B$434,$B$5,Countries!$C$5:$C$434,$B$6,Countries!$D$5:$D$434,$A16,Countries!$AR$5:$AR$434,"&gt;0")))</f>
        <v/>
      </c>
      <c r="AT16" s="43">
        <f>IF(IF($B$6="Total",SUMIFS(Countries!$AL$5:$AL$434,Countries!$A$5:$A$434,$B$4,Countries!$B$5:$B$434,$B$5,Countries!$D$5:$D$434,$A16,Countries!$AS$5:$AS$434,"&gt;0"),SUMIFS(Countries!$AL$5:$AL$434,Countries!$A$5:$A$434,$B$4,Countries!$B$5:$B$434,$B$5,Countries!$C$5:$C$434,$B$6,Countries!$D$5:$D$434,$A16,Countries!$AS$5:$AS$434,"&gt;0"))=0,"",IF($B$6="Total",SUMIFS(Countries!$AS$5:$AS$434,Countries!$A$5:$A$434,$B$4,Countries!$B$5:$B$434,$B$5,Countries!$D$5:$D$434,$A16,Countries!$AL$5:$AL$434,"&gt;0"),SUMIFS(Countries!$AS$5:$AS$434,Countries!$A$5:$A$434,$B$4,Countries!$B$5:$B$434,$B$5,Countries!$C$5:$C$434,$B$6,Countries!$D$5:$D$434,$A16,Countries!$AL$5:$AL$434,"&gt;0"))/IF($B$6="Total",SUMIFS(Countries!$AL$5:$AL$434,Countries!$A$5:$A$434,$B$4,Countries!$B$5:$B$434,$B$5,Countries!$D$5:$D$434,$A16,Countries!$AS$5:$AS$434,"&gt;0"),SUMIFS(Countries!$AL$5:$AL$434,Countries!$A$5:$A$434,$B$4,Countries!$B$5:$B$434,$B$5,Countries!$C$5:$C$434,$B$6,Countries!$D$5:$D$434,$A16,Countries!$AS$5:$AS$434,"&gt;0")))</f>
        <v/>
      </c>
      <c r="AU16" s="44">
        <f>IF(OR(AT16="",AS16=""),"",(AT16-AS16)*100)</f>
        <v/>
      </c>
      <c r="AV16" s="45">
        <f>IF(IF($B$6="Total",SUMIFS(Countries!$P$5:$P$434,Countries!$A$5:$A$434,$B$4,Countries!$B$5:$B$434,$B$5,Countries!$D$5:$D$434,$A16,Countries!$AR$5:$AR$434,"&gt;0"),SUMIFS(Countries!$P$5:$P$434,Countries!$A$5:$A$434,$B$4,Countries!$B$5:$B$434,$B$5,Countries!$C$5:$C$434,$B$6,Countries!$D$5:$D$434,$A16,Countries!$AR$5:$AR$434,"&gt;0"))=0,"",IF($B$6="Total",SUMIFS(Countries!$AR$5:$AR$434,Countries!$A$5:$A$434,$B$4,Countries!$B$5:$B$434,$B$5,Countries!$D$5:$D$434,$A16,Countries!$P$5:$P$434,"&gt;0"),SUMIFS(Countries!$AR$5:$AR$434,Countries!$A$5:$A$434,$B$4,Countries!$B$5:$B$434,$B$5,Countries!$C$5:$C$434,$B$6,Countries!$D$5:$D$434,$A16,Countries!$P$5:$P$434,"&gt;0"))/IF($B$6="Total",SUMIFS(Countries!$P$5:$P$434,Countries!$A$5:$A$434,$B$4,Countries!$B$5:$B$434,$B$5,Countries!$D$5:$D$434,$A16,Countries!$AR$5:$AR$434,"&gt;0"),SUMIFS(Countries!$P$5:$P$434,Countries!$A$5:$A$434,$B$4,Countries!$B$5:$B$434,$B$5,Countries!$C$5:$C$434,$B$6,Countries!$D$5:$D$434,$A16,Countries!$AR$5:$AR$434,"&gt;0")))</f>
        <v/>
      </c>
      <c r="AW16" s="45">
        <f>IF(IF($B$6="Total",SUMIFS(Countries!$Q$5:$Q$434,Countries!$A$5:$A$434,$B$4,Countries!$B$5:$B$434,$B$5,Countries!$D$5:$D$434,$A16,Countries!$AS$5:$AS$434,"&gt;0"),SUMIFS(Countries!$Q$5:$Q$434,Countries!$A$5:$A$434,$B$4,Countries!$B$5:$B$434,$B$5,Countries!$C$5:$C$434,$B$6,Countries!$D$5:$D$434,$A16,Countries!$AS$5:$AS$434,"&gt;0"))=0,"",IF($B$6="Total",SUMIFS(Countries!$AS$5:$AS$434,Countries!$A$5:$A$434,$B$4,Countries!$B$5:$B$434,$B$5,Countries!$D$5:$D$434,$A16,Countries!$Q$5:$Q$434,"&gt;0"),SUMIFS(Countries!$AS$5:$AS$434,Countries!$A$5:$A$434,$B$4,Countries!$B$5:$B$434,$B$5,Countries!$C$5:$C$434,$B$6,Countries!$D$5:$D$434,$A16,Countries!$Q$5:$Q$434,"&gt;0"))/IF($B$6="Total",SUMIFS(Countries!$Q$5:$Q$434,Countries!$A$5:$A$434,$B$4,Countries!$B$5:$B$434,$B$5,Countries!$D$5:$D$434,$A16,Countries!$AS$5:$AS$434,"&gt;0"),SUMIFS(Countries!$Q$5:$Q$434,Countries!$A$5:$A$434,$B$4,Countries!$B$5:$B$434,$B$5,Countries!$C$5:$C$434,$B$6,Countries!$D$5:$D$434,$A16,Countries!$AS$5:$AS$434,"&gt;0")))</f>
        <v/>
      </c>
      <c r="AX16" s="44">
        <f>IF(OR(AW16="",AV16=""),"",(AW16-AV16)*100)</f>
        <v/>
      </c>
      <c r="AY16" s="45">
        <f>IF(IF($B$6="Total",SUMIFS(Countries!$E$5:$E$434,Countries!$A$5:$A$434,$B$4,Countries!$B$5:$B$434,$B$5,Countries!$D$5:$D$434,$A16,Countries!$AR$5:$AR$434,"&gt;0"),SUMIFS(Countries!$E$5:$E$434,Countries!$A$5:$A$434,$B$4,Countries!$B$5:$B$434,$B$5,Countries!$C$5:$C$434,$B$6,Countries!$D$5:$D$434,$A16,Countries!$AR$5:$AR$434,"&gt;0"))=0,"",IF($B$6="Total",SUMIFS(Countries!$AR$5:$AR$434,Countries!$A$5:$A$434,$B$4,Countries!$B$5:$B$434,$B$5,Countries!$D$5:$D$434,$A16,Countries!$E$5:$E$434,"&gt;0"),SUMIFS(Countries!$AR$5:$AR$434,Countries!$A$5:$A$434,$B$4,Countries!$B$5:$B$434,$B$5,Countries!$C$5:$C$434,$B$6,Countries!$D$5:$D$434,$A16,Countries!$E$5:$E$434,"&gt;0"))/IF($B$6="Total",SUMIFS(Countries!$E$5:$E$434,Countries!$A$5:$A$434,$B$4,Countries!$B$5:$B$434,$B$5,Countries!$D$5:$D$434,$A16,Countries!$AR$5:$AR$434,"&gt;0"),SUMIFS(Countries!$E$5:$E$434,Countries!$A$5:$A$434,$B$4,Countries!$B$5:$B$434,$B$5,Countries!$C$5:$C$434,$B$6,Countries!$D$5:$D$434,$A16,Countries!$AR$5:$AR$434,"&gt;0")))</f>
        <v/>
      </c>
      <c r="AZ16" s="45">
        <f>IF(IF($B$6="Total",SUMIFS(Countries!$F$5:$F$434,Countries!$A$5:$A$434,$B$4,Countries!$B$5:$B$434,$B$5,Countries!$D$5:$D$434,$A16,Countries!$AS$5:$AS$434,"&gt;0"),SUMIFS(Countries!$F$5:$F$434,Countries!$A$5:$A$434,$B$4,Countries!$B$5:$B$434,$B$5,Countries!$C$5:$C$434,$B$6,Countries!$D$5:$D$434,$A16,Countries!$AS$5:$AS$434,"&gt;0"))=0,"",IF($B$6="Total",SUMIFS(Countries!$AS$5:$AS$434,Countries!$A$5:$A$434,$B$4,Countries!$B$5:$B$434,$B$5,Countries!$D$5:$D$434,$A16,Countries!$F$5:$F$434,"&gt;0"),SUMIFS(Countries!$AS$5:$AS$434,Countries!$A$5:$A$434,$B$4,Countries!$B$5:$B$434,$B$5,Countries!$C$5:$C$434,$B$6,Countries!$D$5:$D$434,$A16,Countries!$F$5:$F$434,"&gt;0"))/IF($B$6="Total",SUMIFS(Countries!$F$5:$F$434,Countries!$A$5:$A$434,$B$4,Countries!$B$5:$B$434,$B$5,Countries!$D$5:$D$434,$A16,Countries!$AS$5:$AS$434,"&gt;0"),SUMIFS(Countries!$F$5:$F$434,Countries!$A$5:$A$434,$B$4,Countries!$B$5:$B$434,$B$5,Countries!$C$5:$C$434,$B$6,Countries!$D$5:$D$434,$A16,Countries!$AS$5:$AS$434,"&gt;0")))</f>
        <v/>
      </c>
      <c r="BA16" s="44">
        <f>IF(OR(AZ16="",AY16=""),"",(AZ16-AY16)*100)</f>
        <v/>
      </c>
      <c r="BB16" s="40">
        <f>IF(AND(IF($B$6="Total",COUNTIFS(Countries!$A$5:$A$434,$B$4,Countries!$B$5:$B$434,$B$5,Countries!$D$5:$D$434,$A16,Countries!$F$5:$F$434,"&gt;0"),COUNTIFS(Countries!$A$5:$A$434,$B$4,Countries!$B$5:$B$434,$B$5,Countries!$C$5:$C$434,$B$6,Countries!$D$5:$D$434,$A16,Countries!$F$5:$F$434,"&gt;0"))=0,IF($B$6="Total",COUNTIFS(Countries!$A$5:$A$434,$B$4,Countries!$B$5:$B$434,$B$5,Countries!$D$5:$D$434,$A16,Countries!$E$5:$E$434,"&gt;0"),COUNTIFS(Countries!$A$5:$A$434,$B$4,Countries!$B$5:$B$434,$B$5,Countries!$C$5:$C$434,$B$6,Countries!$D$5:$D$434,$A16,Countries!$E$5:$E$434,"&gt;0"))=0),"",IF(IF($B$6="Total",COUNTIFS(Countries!$A$5:$A$434,$B$4,Countries!$B$5:$B$434,$B$5,Countries!$D$5:$D$434,$A16,Countries!$F$5:$F$434,"&gt;0"),COUNTIFS(Countries!$A$5:$A$434,$B$4,Countries!$B$5:$B$434,$B$5,Countries!$C$5:$C$434,$B$6,Countries!$D$5:$D$434,$A16,Countries!$F$5:$F$434,"&gt;0"))=0,"1-23Aug25 rows only",IF(IF($B$6="Total",COUNTIFS(Countries!$A$5:$A$434,$B$4,Countries!$B$5:$B$434,$B$5,Countries!$D$5:$D$434,$A16,Countries!$E$5:$E$434,"&gt;0"),COUNTIFS(Countries!$A$5:$A$434,$B$4,Countries!$B$5:$B$434,$B$5,Countries!$C$5:$C$434,$B$6,Countries!$D$5:$D$434,$A16,Countries!$E$5:$E$434,"&gt;0"))=0,"1-23Aug26 rows only",IF(IF($B$6="Total",COUNTIFS(Countries!$A$5:$A$434,$B$4,Countries!$B$5:$B$434,$B$5,Countries!$D$5:$D$434,$A16,Countries!$F$5:$F$434,"&gt;0"),COUNTIFS(Countries!$A$5:$A$434,$B$4,Countries!$B$5:$B$434,$B$5,Countries!$C$5:$C$434,$B$6,Countries!$D$5:$D$434,$A16,Countries!$F$5:$F$434,"&gt;0"))=IF($B$6="Total",COUNTIFS(Countries!$A$5:$A$434,$B$4,Countries!$B$5:$B$434,$B$5,Countries!$D$5:$D$434,$A16,Countries!$E$5:$E$434,"&gt;0"),COUNTIFS(Countries!$A$5:$A$434,$B$4,Countries!$B$5:$B$434,$B$5,Countries!$C$5:$C$434,$B$6,Countries!$D$5:$D$434,$A16,Countries!$E$5:$E$434,"&gt;0")),"Like-for-like","Partial — coverage differs"))))</f>
        <v/>
      </c>
    </row>
    <row r="17">
      <c r="A17" s="40" t="inlineStr">
        <is>
          <t>United States</t>
        </is>
      </c>
      <c r="B17" s="41">
        <f>IF(IF($B$6="Total",SUMIFS(Countries!$E$5:$E$434,Countries!$A$5:$A$434,$B$4,Countries!$B$5:$B$434,$B$5,Countries!$D$5:$D$434,$A17),SUMIFS(Countries!$E$5:$E$434,Countries!$A$5:$A$434,$B$4,Countries!$B$5:$B$434,$B$5,Countries!$C$5:$C$434,$B$6,Countries!$D$5:$D$434,$A17))=0,"",IF($B$6="Total",SUMIFS(Countries!$E$5:$E$434,Countries!$A$5:$A$434,$B$4,Countries!$B$5:$B$434,$B$5,Countries!$D$5:$D$434,$A17),SUMIFS(Countries!$E$5:$E$434,Countries!$A$5:$A$434,$B$4,Countries!$B$5:$B$434,$B$5,Countries!$C$5:$C$434,$B$6,Countries!$D$5:$D$434,$A17)))</f>
        <v/>
      </c>
      <c r="C17" s="41">
        <f>IF(IF($B$6="Total",SUMIFS(Countries!$F$5:$F$434,Countries!$A$5:$A$434,$B$4,Countries!$B$5:$B$434,$B$5,Countries!$D$5:$D$434,$A17),SUMIFS(Countries!$F$5:$F$434,Countries!$A$5:$A$434,$B$4,Countries!$B$5:$B$434,$B$5,Countries!$C$5:$C$434,$B$6,Countries!$D$5:$D$434,$A17))=0,"",IF($B$6="Total",SUMIFS(Countries!$F$5:$F$434,Countries!$A$5:$A$434,$B$4,Countries!$B$5:$B$434,$B$5,Countries!$D$5:$D$434,$A17),SUMIFS(Countries!$F$5:$F$434,Countries!$A$5:$A$434,$B$4,Countries!$B$5:$B$434,$B$5,Countries!$C$5:$C$434,$B$6,Countries!$D$5:$D$434,$A17)))</f>
        <v/>
      </c>
      <c r="D17" s="69">
        <f>IF(OR(C17="",B17="",B17=0,C17=0),"",C17-B17)</f>
        <v/>
      </c>
      <c r="E17" s="42">
        <f>IF(OR(C17="",B17="",B17=0,C17=0),"",C17/B17-1)</f>
        <v/>
      </c>
      <c r="F17" s="41">
        <f>IF(IF($B$6="Total",SUMIFS(Countries!$I$5:$I$434,Countries!$A$5:$A$434,$B$4,Countries!$B$5:$B$434,$B$5,Countries!$D$5:$D$434,$A17),SUMIFS(Countries!$I$5:$I$434,Countries!$A$5:$A$434,$B$4,Countries!$B$5:$B$434,$B$5,Countries!$C$5:$C$434,$B$6,Countries!$D$5:$D$434,$A17))=0,"",IF($B$6="Total",SUMIFS(Countries!$I$5:$I$434,Countries!$A$5:$A$434,$B$4,Countries!$B$5:$B$434,$B$5,Countries!$D$5:$D$434,$A17),SUMIFS(Countries!$I$5:$I$434,Countries!$A$5:$A$434,$B$4,Countries!$B$5:$B$434,$B$5,Countries!$C$5:$C$434,$B$6,Countries!$D$5:$D$434,$A17)))</f>
        <v/>
      </c>
      <c r="G17" s="41">
        <f>IF(IF($B$6="Total",SUMIFS(Countries!$J$5:$J$434,Countries!$A$5:$A$434,$B$4,Countries!$B$5:$B$434,$B$5,Countries!$D$5:$D$434,$A17),SUMIFS(Countries!$J$5:$J$434,Countries!$A$5:$A$434,$B$4,Countries!$B$5:$B$434,$B$5,Countries!$C$5:$C$434,$B$6,Countries!$D$5:$D$434,$A17))=0,"",IF($B$6="Total",SUMIFS(Countries!$J$5:$J$434,Countries!$A$5:$A$434,$B$4,Countries!$B$5:$B$434,$B$5,Countries!$D$5:$D$434,$A17),SUMIFS(Countries!$J$5:$J$434,Countries!$A$5:$A$434,$B$4,Countries!$B$5:$B$434,$B$5,Countries!$C$5:$C$434,$B$6,Countries!$D$5:$D$434,$A17)))</f>
        <v/>
      </c>
      <c r="H17" s="69">
        <f>IF(OR(G17="",F17="",F17=0,G17=0),"",G17-F17)</f>
        <v/>
      </c>
      <c r="I17" s="42">
        <f>IF(OR(G17="",F17="",F17=0,G17=0),"",G17/F17-1)</f>
        <v/>
      </c>
      <c r="J17" s="43">
        <f>IF(IF($B$6="Total",SUMIFS(Countries!$E$5:$E$434,Countries!$A$5:$A$434,$B$4,Countries!$B$5:$B$434,$B$5,Countries!$D$5:$D$434,$A17,Countries!$I$5:$I$434,"&gt;0"),SUMIFS(Countries!$E$5:$E$434,Countries!$A$5:$A$434,$B$4,Countries!$B$5:$B$434,$B$5,Countries!$C$5:$C$434,$B$6,Countries!$D$5:$D$434,$A17,Countries!$I$5:$I$434,"&gt;0"))=0,"",IF($B$6="Total",SUMIFS(Countries!$I$5:$I$434,Countries!$A$5:$A$434,$B$4,Countries!$B$5:$B$434,$B$5,Countries!$D$5:$D$434,$A17,Countries!$E$5:$E$434,"&gt;0"),SUMIFS(Countries!$I$5:$I$434,Countries!$A$5:$A$434,$B$4,Countries!$B$5:$B$434,$B$5,Countries!$C$5:$C$434,$B$6,Countries!$D$5:$D$434,$A17,Countries!$E$5:$E$434,"&gt;0"))/IF($B$6="Total",SUMIFS(Countries!$E$5:$E$434,Countries!$A$5:$A$434,$B$4,Countries!$B$5:$B$434,$B$5,Countries!$D$5:$D$434,$A17,Countries!$I$5:$I$434,"&gt;0"),SUMIFS(Countries!$E$5:$E$434,Countries!$A$5:$A$434,$B$4,Countries!$B$5:$B$434,$B$5,Countries!$C$5:$C$434,$B$6,Countries!$D$5:$D$434,$A17,Countries!$I$5:$I$434,"&gt;0")))</f>
        <v/>
      </c>
      <c r="K17" s="43">
        <f>IF(IF($B$6="Total",SUMIFS(Countries!$F$5:$F$434,Countries!$A$5:$A$434,$B$4,Countries!$B$5:$B$434,$B$5,Countries!$D$5:$D$434,$A17,Countries!$J$5:$J$434,"&gt;0"),SUMIFS(Countries!$F$5:$F$434,Countries!$A$5:$A$434,$B$4,Countries!$B$5:$B$434,$B$5,Countries!$C$5:$C$434,$B$6,Countries!$D$5:$D$434,$A17,Countries!$J$5:$J$434,"&gt;0"))=0,"",IF($B$6="Total",SUMIFS(Countries!$J$5:$J$434,Countries!$A$5:$A$434,$B$4,Countries!$B$5:$B$434,$B$5,Countries!$D$5:$D$434,$A17,Countries!$F$5:$F$434,"&gt;0"),SUMIFS(Countries!$J$5:$J$434,Countries!$A$5:$A$434,$B$4,Countries!$B$5:$B$434,$B$5,Countries!$C$5:$C$434,$B$6,Countries!$D$5:$D$434,$A17,Countries!$F$5:$F$434,"&gt;0"))/IF($B$6="Total",SUMIFS(Countries!$F$5:$F$434,Countries!$A$5:$A$434,$B$4,Countries!$B$5:$B$434,$B$5,Countries!$D$5:$D$434,$A17,Countries!$J$5:$J$434,"&gt;0"),SUMIFS(Countries!$F$5:$F$434,Countries!$A$5:$A$434,$B$4,Countries!$B$5:$B$434,$B$5,Countries!$C$5:$C$434,$B$6,Countries!$D$5:$D$434,$A17,Countries!$J$5:$J$434,"&gt;0")))</f>
        <v/>
      </c>
      <c r="L17" s="44">
        <f>IF(OR(K17="",J17=""),"",(K17-J17)*100)</f>
        <v/>
      </c>
      <c r="M17" s="41">
        <f>IF(IF($B$6="Total",SUMIFS(Countries!$P$5:$P$434,Countries!$A$5:$A$434,$B$4,Countries!$B$5:$B$434,$B$5,Countries!$D$5:$D$434,$A17),SUMIFS(Countries!$P$5:$P$434,Countries!$A$5:$A$434,$B$4,Countries!$B$5:$B$434,$B$5,Countries!$C$5:$C$434,$B$6,Countries!$D$5:$D$434,$A17))=0,"",IF($B$6="Total",SUMIFS(Countries!$P$5:$P$434,Countries!$A$5:$A$434,$B$4,Countries!$B$5:$B$434,$B$5,Countries!$D$5:$D$434,$A17),SUMIFS(Countries!$P$5:$P$434,Countries!$A$5:$A$434,$B$4,Countries!$B$5:$B$434,$B$5,Countries!$C$5:$C$434,$B$6,Countries!$D$5:$D$434,$A17)))</f>
        <v/>
      </c>
      <c r="N17" s="41">
        <f>IF(IF($B$6="Total",SUMIFS(Countries!$Q$5:$Q$434,Countries!$A$5:$A$434,$B$4,Countries!$B$5:$B$434,$B$5,Countries!$D$5:$D$434,$A17),SUMIFS(Countries!$Q$5:$Q$434,Countries!$A$5:$A$434,$B$4,Countries!$B$5:$B$434,$B$5,Countries!$C$5:$C$434,$B$6,Countries!$D$5:$D$434,$A17))=0,"",IF($B$6="Total",SUMIFS(Countries!$Q$5:$Q$434,Countries!$A$5:$A$434,$B$4,Countries!$B$5:$B$434,$B$5,Countries!$D$5:$D$434,$A17),SUMIFS(Countries!$Q$5:$Q$434,Countries!$A$5:$A$434,$B$4,Countries!$B$5:$B$434,$B$5,Countries!$C$5:$C$434,$B$6,Countries!$D$5:$D$434,$A17)))</f>
        <v/>
      </c>
      <c r="O17" s="69">
        <f>IF(OR(N17="",M17="",M17=0,N17=0),"",N17-M17)</f>
        <v/>
      </c>
      <c r="P17" s="42">
        <f>IF(OR(N17="",M17="",M17=0,N17=0),"",N17/M17-1)</f>
        <v/>
      </c>
      <c r="Q17" s="43">
        <f>IF(IF($B$6="Total",SUMIFS(Countries!$E$5:$E$434,Countries!$A$5:$A$434,$B$4,Countries!$B$5:$B$434,$B$5,Countries!$D$5:$D$434,$A17,Countries!$P$5:$P$434,"&gt;0"),SUMIFS(Countries!$E$5:$E$434,Countries!$A$5:$A$434,$B$4,Countries!$B$5:$B$434,$B$5,Countries!$C$5:$C$434,$B$6,Countries!$D$5:$D$434,$A17,Countries!$P$5:$P$434,"&gt;0"))=0,"",IF($B$6="Total",SUMIFS(Countries!$P$5:$P$434,Countries!$A$5:$A$434,$B$4,Countries!$B$5:$B$434,$B$5,Countries!$D$5:$D$434,$A17,Countries!$E$5:$E$434,"&gt;0"),SUMIFS(Countries!$P$5:$P$434,Countries!$A$5:$A$434,$B$4,Countries!$B$5:$B$434,$B$5,Countries!$C$5:$C$434,$B$6,Countries!$D$5:$D$434,$A17,Countries!$E$5:$E$434,"&gt;0"))/IF($B$6="Total",SUMIFS(Countries!$E$5:$E$434,Countries!$A$5:$A$434,$B$4,Countries!$B$5:$B$434,$B$5,Countries!$D$5:$D$434,$A17,Countries!$P$5:$P$434,"&gt;0"),SUMIFS(Countries!$E$5:$E$434,Countries!$A$5:$A$434,$B$4,Countries!$B$5:$B$434,$B$5,Countries!$C$5:$C$434,$B$6,Countries!$D$5:$D$434,$A17,Countries!$P$5:$P$434,"&gt;0")))</f>
        <v/>
      </c>
      <c r="R17" s="43">
        <f>IF(IF($B$6="Total",SUMIFS(Countries!$F$5:$F$434,Countries!$A$5:$A$434,$B$4,Countries!$B$5:$B$434,$B$5,Countries!$D$5:$D$434,$A17,Countries!$Q$5:$Q$434,"&gt;0"),SUMIFS(Countries!$F$5:$F$434,Countries!$A$5:$A$434,$B$4,Countries!$B$5:$B$434,$B$5,Countries!$C$5:$C$434,$B$6,Countries!$D$5:$D$434,$A17,Countries!$Q$5:$Q$434,"&gt;0"))=0,"",IF($B$6="Total",SUMIFS(Countries!$Q$5:$Q$434,Countries!$A$5:$A$434,$B$4,Countries!$B$5:$B$434,$B$5,Countries!$D$5:$D$434,$A17,Countries!$F$5:$F$434,"&gt;0"),SUMIFS(Countries!$Q$5:$Q$434,Countries!$A$5:$A$434,$B$4,Countries!$B$5:$B$434,$B$5,Countries!$C$5:$C$434,$B$6,Countries!$D$5:$D$434,$A17,Countries!$F$5:$F$434,"&gt;0"))/IF($B$6="Total",SUMIFS(Countries!$F$5:$F$434,Countries!$A$5:$A$434,$B$4,Countries!$B$5:$B$434,$B$5,Countries!$D$5:$D$434,$A17,Countries!$Q$5:$Q$434,"&gt;0"),SUMIFS(Countries!$F$5:$F$434,Countries!$A$5:$A$434,$B$4,Countries!$B$5:$B$434,$B$5,Countries!$C$5:$C$434,$B$6,Countries!$D$5:$D$434,$A17,Countries!$Q$5:$Q$434,"&gt;0")))</f>
        <v/>
      </c>
      <c r="S17" s="44">
        <f>IF(OR(R17="",Q17=""),"",(R17-Q17)*100)</f>
        <v/>
      </c>
      <c r="T17" s="41">
        <f>IF(IF($B$6="Total",SUMIFS(Countries!$W$5:$W$434,Countries!$A$5:$A$434,$B$4,Countries!$B$5:$B$434,$B$5,Countries!$D$5:$D$434,$A17),SUMIFS(Countries!$W$5:$W$434,Countries!$A$5:$A$434,$B$4,Countries!$B$5:$B$434,$B$5,Countries!$C$5:$C$434,$B$6,Countries!$D$5:$D$434,$A17))=0,"",IF($B$6="Total",SUMIFS(Countries!$W$5:$W$434,Countries!$A$5:$A$434,$B$4,Countries!$B$5:$B$434,$B$5,Countries!$D$5:$D$434,$A17),SUMIFS(Countries!$W$5:$W$434,Countries!$A$5:$A$434,$B$4,Countries!$B$5:$B$434,$B$5,Countries!$C$5:$C$434,$B$6,Countries!$D$5:$D$434,$A17)))</f>
        <v/>
      </c>
      <c r="U17" s="41">
        <f>IF(IF($B$6="Total",SUMIFS(Countries!$X$5:$X$434,Countries!$A$5:$A$434,$B$4,Countries!$B$5:$B$434,$B$5,Countries!$D$5:$D$434,$A17),SUMIFS(Countries!$X$5:$X$434,Countries!$A$5:$A$434,$B$4,Countries!$B$5:$B$434,$B$5,Countries!$C$5:$C$434,$B$6,Countries!$D$5:$D$434,$A17))=0,"",IF($B$6="Total",SUMIFS(Countries!$X$5:$X$434,Countries!$A$5:$A$434,$B$4,Countries!$B$5:$B$434,$B$5,Countries!$D$5:$D$434,$A17),SUMIFS(Countries!$X$5:$X$434,Countries!$A$5:$A$434,$B$4,Countries!$B$5:$B$434,$B$5,Countries!$C$5:$C$434,$B$6,Countries!$D$5:$D$434,$A17)))</f>
        <v/>
      </c>
      <c r="V17" s="69">
        <f>IF(OR(U17="",T17="",T17=0,U17=0),"",U17-T17)</f>
        <v/>
      </c>
      <c r="W17" s="42">
        <f>IF(OR(U17="",T17="",T17=0,U17=0),"",U17/T17-1)</f>
        <v/>
      </c>
      <c r="X17" s="43">
        <f>IF(IF($B$6="Total",SUMIFS(Countries!$P$5:$P$434,Countries!$A$5:$A$434,$B$4,Countries!$B$5:$B$434,$B$5,Countries!$D$5:$D$434,$A17,Countries!$W$5:$W$434,"&gt;0"),SUMIFS(Countries!$P$5:$P$434,Countries!$A$5:$A$434,$B$4,Countries!$B$5:$B$434,$B$5,Countries!$C$5:$C$434,$B$6,Countries!$D$5:$D$434,$A17,Countries!$W$5:$W$434,"&gt;0"))=0,"",IF($B$6="Total",SUMIFS(Countries!$W$5:$W$434,Countries!$A$5:$A$434,$B$4,Countries!$B$5:$B$434,$B$5,Countries!$D$5:$D$434,$A17,Countries!$P$5:$P$434,"&gt;0"),SUMIFS(Countries!$W$5:$W$434,Countries!$A$5:$A$434,$B$4,Countries!$B$5:$B$434,$B$5,Countries!$C$5:$C$434,$B$6,Countries!$D$5:$D$434,$A17,Countries!$P$5:$P$434,"&gt;0"))/IF($B$6="Total",SUMIFS(Countries!$P$5:$P$434,Countries!$A$5:$A$434,$B$4,Countries!$B$5:$B$434,$B$5,Countries!$D$5:$D$434,$A17,Countries!$W$5:$W$434,"&gt;0"),SUMIFS(Countries!$P$5:$P$434,Countries!$A$5:$A$434,$B$4,Countries!$B$5:$B$434,$B$5,Countries!$C$5:$C$434,$B$6,Countries!$D$5:$D$434,$A17,Countries!$W$5:$W$434,"&gt;0")))</f>
        <v/>
      </c>
      <c r="Y17" s="43">
        <f>IF(IF($B$6="Total",SUMIFS(Countries!$Q$5:$Q$434,Countries!$A$5:$A$434,$B$4,Countries!$B$5:$B$434,$B$5,Countries!$D$5:$D$434,$A17,Countries!$X$5:$X$434,"&gt;0"),SUMIFS(Countries!$Q$5:$Q$434,Countries!$A$5:$A$434,$B$4,Countries!$B$5:$B$434,$B$5,Countries!$C$5:$C$434,$B$6,Countries!$D$5:$D$434,$A17,Countries!$X$5:$X$434,"&gt;0"))=0,"",IF($B$6="Total",SUMIFS(Countries!$X$5:$X$434,Countries!$A$5:$A$434,$B$4,Countries!$B$5:$B$434,$B$5,Countries!$D$5:$D$434,$A17,Countries!$Q$5:$Q$434,"&gt;0"),SUMIFS(Countries!$X$5:$X$434,Countries!$A$5:$A$434,$B$4,Countries!$B$5:$B$434,$B$5,Countries!$C$5:$C$434,$B$6,Countries!$D$5:$D$434,$A17,Countries!$Q$5:$Q$434,"&gt;0"))/IF($B$6="Total",SUMIFS(Countries!$Q$5:$Q$434,Countries!$A$5:$A$434,$B$4,Countries!$B$5:$B$434,$B$5,Countries!$D$5:$D$434,$A17,Countries!$X$5:$X$434,"&gt;0"),SUMIFS(Countries!$Q$5:$Q$434,Countries!$A$5:$A$434,$B$4,Countries!$B$5:$B$434,$B$5,Countries!$C$5:$C$434,$B$6,Countries!$D$5:$D$434,$A17,Countries!$X$5:$X$434,"&gt;0")))</f>
        <v/>
      </c>
      <c r="Z17" s="44">
        <f>IF(OR(Y17="",X17=""),"",(Y17-X17)*100)</f>
        <v/>
      </c>
      <c r="AA17" s="41">
        <f>IF(IF($B$6="Total",SUMIFS(Countries!$AD$5:$AD$434,Countries!$A$5:$A$434,$B$4,Countries!$B$5:$B$434,$B$5,Countries!$D$5:$D$434,$A17),SUMIFS(Countries!$AD$5:$AD$434,Countries!$A$5:$A$434,$B$4,Countries!$B$5:$B$434,$B$5,Countries!$C$5:$C$434,$B$6,Countries!$D$5:$D$434,$A17))=0,"",IF($B$6="Total",SUMIFS(Countries!$AD$5:$AD$434,Countries!$A$5:$A$434,$B$4,Countries!$B$5:$B$434,$B$5,Countries!$D$5:$D$434,$A17),SUMIFS(Countries!$AD$5:$AD$434,Countries!$A$5:$A$434,$B$4,Countries!$B$5:$B$434,$B$5,Countries!$C$5:$C$434,$B$6,Countries!$D$5:$D$434,$A17)))</f>
        <v/>
      </c>
      <c r="AB17" s="41">
        <f>IF(IF($B$6="Total",SUMIFS(Countries!$AE$5:$AE$434,Countries!$A$5:$A$434,$B$4,Countries!$B$5:$B$434,$B$5,Countries!$D$5:$D$434,$A17),SUMIFS(Countries!$AE$5:$AE$434,Countries!$A$5:$A$434,$B$4,Countries!$B$5:$B$434,$B$5,Countries!$C$5:$C$434,$B$6,Countries!$D$5:$D$434,$A17))=0,"",IF($B$6="Total",SUMIFS(Countries!$AE$5:$AE$434,Countries!$A$5:$A$434,$B$4,Countries!$B$5:$B$434,$B$5,Countries!$D$5:$D$434,$A17),SUMIFS(Countries!$AE$5:$AE$434,Countries!$A$5:$A$434,$B$4,Countries!$B$5:$B$434,$B$5,Countries!$C$5:$C$434,$B$6,Countries!$D$5:$D$434,$A17)))</f>
        <v/>
      </c>
      <c r="AC17" s="69">
        <f>IF(OR(AB17="",AA17="",AA17=0,AB17=0),"",AB17-AA17)</f>
        <v/>
      </c>
      <c r="AD17" s="42">
        <f>IF(OR(AB17="",AA17="",AA17=0,AB17=0),"",AB17/AA17-1)</f>
        <v/>
      </c>
      <c r="AE17" s="43">
        <f>IF(IF($B$6="Total",SUMIFS(Countries!$W$5:$W$434,Countries!$A$5:$A$434,$B$4,Countries!$B$5:$B$434,$B$5,Countries!$D$5:$D$434,$A17,Countries!$AD$5:$AD$434,"&gt;0"),SUMIFS(Countries!$W$5:$W$434,Countries!$A$5:$A$434,$B$4,Countries!$B$5:$B$434,$B$5,Countries!$C$5:$C$434,$B$6,Countries!$D$5:$D$434,$A17,Countries!$AD$5:$AD$434,"&gt;0"))=0,"",IF($B$6="Total",SUMIFS(Countries!$AD$5:$AD$434,Countries!$A$5:$A$434,$B$4,Countries!$B$5:$B$434,$B$5,Countries!$D$5:$D$434,$A17,Countries!$W$5:$W$434,"&gt;0"),SUMIFS(Countries!$AD$5:$AD$434,Countries!$A$5:$A$434,$B$4,Countries!$B$5:$B$434,$B$5,Countries!$C$5:$C$434,$B$6,Countries!$D$5:$D$434,$A17,Countries!$W$5:$W$434,"&gt;0"))/IF($B$6="Total",SUMIFS(Countries!$W$5:$W$434,Countries!$A$5:$A$434,$B$4,Countries!$B$5:$B$434,$B$5,Countries!$D$5:$D$434,$A17,Countries!$AD$5:$AD$434,"&gt;0"),SUMIFS(Countries!$W$5:$W$434,Countries!$A$5:$A$434,$B$4,Countries!$B$5:$B$434,$B$5,Countries!$C$5:$C$434,$B$6,Countries!$D$5:$D$434,$A17,Countries!$AD$5:$AD$434,"&gt;0")))</f>
        <v/>
      </c>
      <c r="AF17" s="43">
        <f>IF(IF($B$6="Total",SUMIFS(Countries!$X$5:$X$434,Countries!$A$5:$A$434,$B$4,Countries!$B$5:$B$434,$B$5,Countries!$D$5:$D$434,$A17,Countries!$AE$5:$AE$434,"&gt;0"),SUMIFS(Countries!$X$5:$X$434,Countries!$A$5:$A$434,$B$4,Countries!$B$5:$B$434,$B$5,Countries!$C$5:$C$434,$B$6,Countries!$D$5:$D$434,$A17,Countries!$AE$5:$AE$434,"&gt;0"))=0,"",IF($B$6="Total",SUMIFS(Countries!$AE$5:$AE$434,Countries!$A$5:$A$434,$B$4,Countries!$B$5:$B$434,$B$5,Countries!$D$5:$D$434,$A17,Countries!$X$5:$X$434,"&gt;0"),SUMIFS(Countries!$AE$5:$AE$434,Countries!$A$5:$A$434,$B$4,Countries!$B$5:$B$434,$B$5,Countries!$C$5:$C$434,$B$6,Countries!$D$5:$D$434,$A17,Countries!$X$5:$X$434,"&gt;0"))/IF($B$6="Total",SUMIFS(Countries!$X$5:$X$434,Countries!$A$5:$A$434,$B$4,Countries!$B$5:$B$434,$B$5,Countries!$D$5:$D$434,$A17,Countries!$AE$5:$AE$434,"&gt;0"),SUMIFS(Countries!$X$5:$X$434,Countries!$A$5:$A$434,$B$4,Countries!$B$5:$B$434,$B$5,Countries!$C$5:$C$434,$B$6,Countries!$D$5:$D$434,$A17,Countries!$AE$5:$AE$434,"&gt;0")))</f>
        <v/>
      </c>
      <c r="AG17" s="44">
        <f>IF(OR(AF17="",AE17=""),"",(AF17-AE17)*100)</f>
        <v/>
      </c>
      <c r="AH17" s="41">
        <f>IF(IF($B$6="Total",SUMIFS(Countries!$AK$5:$AK$434,Countries!$A$5:$A$434,$B$4,Countries!$B$5:$B$434,$B$5,Countries!$D$5:$D$434,$A17),SUMIFS(Countries!$AK$5:$AK$434,Countries!$A$5:$A$434,$B$4,Countries!$B$5:$B$434,$B$5,Countries!$C$5:$C$434,$B$6,Countries!$D$5:$D$434,$A17))=0,"",IF($B$6="Total",SUMIFS(Countries!$AK$5:$AK$434,Countries!$A$5:$A$434,$B$4,Countries!$B$5:$B$434,$B$5,Countries!$D$5:$D$434,$A17),SUMIFS(Countries!$AK$5:$AK$434,Countries!$A$5:$A$434,$B$4,Countries!$B$5:$B$434,$B$5,Countries!$C$5:$C$434,$B$6,Countries!$D$5:$D$434,$A17)))</f>
        <v/>
      </c>
      <c r="AI17" s="41">
        <f>IF(IF($B$6="Total",SUMIFS(Countries!$AL$5:$AL$434,Countries!$A$5:$A$434,$B$4,Countries!$B$5:$B$434,$B$5,Countries!$D$5:$D$434,$A17),SUMIFS(Countries!$AL$5:$AL$434,Countries!$A$5:$A$434,$B$4,Countries!$B$5:$B$434,$B$5,Countries!$C$5:$C$434,$B$6,Countries!$D$5:$D$434,$A17))=0,"",IF($B$6="Total",SUMIFS(Countries!$AL$5:$AL$434,Countries!$A$5:$A$434,$B$4,Countries!$B$5:$B$434,$B$5,Countries!$D$5:$D$434,$A17),SUMIFS(Countries!$AL$5:$AL$434,Countries!$A$5:$A$434,$B$4,Countries!$B$5:$B$434,$B$5,Countries!$C$5:$C$434,$B$6,Countries!$D$5:$D$434,$A17)))</f>
        <v/>
      </c>
      <c r="AJ17" s="69">
        <f>IF(OR(AI17="",AH17="",AH17=0,AI17=0),"",AI17-AH17)</f>
        <v/>
      </c>
      <c r="AK17" s="42">
        <f>IF(OR(AI17="",AH17="",AH17=0,AI17=0),"",AI17/AH17-1)</f>
        <v/>
      </c>
      <c r="AL17" s="43">
        <f>IF(IF($B$6="Total",SUMIFS(Countries!$AD$5:$AD$434,Countries!$A$5:$A$434,$B$4,Countries!$B$5:$B$434,$B$5,Countries!$D$5:$D$434,$A17,Countries!$AK$5:$AK$434,"&gt;0"),SUMIFS(Countries!$AD$5:$AD$434,Countries!$A$5:$A$434,$B$4,Countries!$B$5:$B$434,$B$5,Countries!$C$5:$C$434,$B$6,Countries!$D$5:$D$434,$A17,Countries!$AK$5:$AK$434,"&gt;0"))=0,"",IF($B$6="Total",SUMIFS(Countries!$AK$5:$AK$434,Countries!$A$5:$A$434,$B$4,Countries!$B$5:$B$434,$B$5,Countries!$D$5:$D$434,$A17,Countries!$AD$5:$AD$434,"&gt;0"),SUMIFS(Countries!$AK$5:$AK$434,Countries!$A$5:$A$434,$B$4,Countries!$B$5:$B$434,$B$5,Countries!$C$5:$C$434,$B$6,Countries!$D$5:$D$434,$A17,Countries!$AD$5:$AD$434,"&gt;0"))/IF($B$6="Total",SUMIFS(Countries!$AD$5:$AD$434,Countries!$A$5:$A$434,$B$4,Countries!$B$5:$B$434,$B$5,Countries!$D$5:$D$434,$A17,Countries!$AK$5:$AK$434,"&gt;0"),SUMIFS(Countries!$AD$5:$AD$434,Countries!$A$5:$A$434,$B$4,Countries!$B$5:$B$434,$B$5,Countries!$C$5:$C$434,$B$6,Countries!$D$5:$D$434,$A17,Countries!$AK$5:$AK$434,"&gt;0")))</f>
        <v/>
      </c>
      <c r="AM17" s="43">
        <f>IF(IF($B$6="Total",SUMIFS(Countries!$AE$5:$AE$434,Countries!$A$5:$A$434,$B$4,Countries!$B$5:$B$434,$B$5,Countries!$D$5:$D$434,$A17,Countries!$AL$5:$AL$434,"&gt;0"),SUMIFS(Countries!$AE$5:$AE$434,Countries!$A$5:$A$434,$B$4,Countries!$B$5:$B$434,$B$5,Countries!$C$5:$C$434,$B$6,Countries!$D$5:$D$434,$A17,Countries!$AL$5:$AL$434,"&gt;0"))=0,"",IF($B$6="Total",SUMIFS(Countries!$AL$5:$AL$434,Countries!$A$5:$A$434,$B$4,Countries!$B$5:$B$434,$B$5,Countries!$D$5:$D$434,$A17,Countries!$AE$5:$AE$434,"&gt;0"),SUMIFS(Countries!$AL$5:$AL$434,Countries!$A$5:$A$434,$B$4,Countries!$B$5:$B$434,$B$5,Countries!$C$5:$C$434,$B$6,Countries!$D$5:$D$434,$A17,Countries!$AE$5:$AE$434,"&gt;0"))/IF($B$6="Total",SUMIFS(Countries!$AE$5:$AE$434,Countries!$A$5:$A$434,$B$4,Countries!$B$5:$B$434,$B$5,Countries!$D$5:$D$434,$A17,Countries!$AL$5:$AL$434,"&gt;0"),SUMIFS(Countries!$AE$5:$AE$434,Countries!$A$5:$A$434,$B$4,Countries!$B$5:$B$434,$B$5,Countries!$C$5:$C$434,$B$6,Countries!$D$5:$D$434,$A17,Countries!$AL$5:$AL$434,"&gt;0")))</f>
        <v/>
      </c>
      <c r="AN17" s="44">
        <f>IF(OR(AM17="",AL17=""),"",(AM17-AL17)*100)</f>
        <v/>
      </c>
      <c r="AO17" s="41">
        <f>IF(IF($B$6="Total",SUMIFS(Countries!$AR$5:$AR$434,Countries!$A$5:$A$434,$B$4,Countries!$B$5:$B$434,$B$5,Countries!$D$5:$D$434,$A17),SUMIFS(Countries!$AR$5:$AR$434,Countries!$A$5:$A$434,$B$4,Countries!$B$5:$B$434,$B$5,Countries!$C$5:$C$434,$B$6,Countries!$D$5:$D$434,$A17))=0,"",IF($B$6="Total",SUMIFS(Countries!$AR$5:$AR$434,Countries!$A$5:$A$434,$B$4,Countries!$B$5:$B$434,$B$5,Countries!$D$5:$D$434,$A17),SUMIFS(Countries!$AR$5:$AR$434,Countries!$A$5:$A$434,$B$4,Countries!$B$5:$B$434,$B$5,Countries!$C$5:$C$434,$B$6,Countries!$D$5:$D$434,$A17)))</f>
        <v/>
      </c>
      <c r="AP17" s="41">
        <f>IF(IF($B$6="Total",SUMIFS(Countries!$AS$5:$AS$434,Countries!$A$5:$A$434,$B$4,Countries!$B$5:$B$434,$B$5,Countries!$D$5:$D$434,$A17),SUMIFS(Countries!$AS$5:$AS$434,Countries!$A$5:$A$434,$B$4,Countries!$B$5:$B$434,$B$5,Countries!$C$5:$C$434,$B$6,Countries!$D$5:$D$434,$A17))=0,"",IF($B$6="Total",SUMIFS(Countries!$AS$5:$AS$434,Countries!$A$5:$A$434,$B$4,Countries!$B$5:$B$434,$B$5,Countries!$D$5:$D$434,$A17),SUMIFS(Countries!$AS$5:$AS$434,Countries!$A$5:$A$434,$B$4,Countries!$B$5:$B$434,$B$5,Countries!$C$5:$C$434,$B$6,Countries!$D$5:$D$434,$A17)))</f>
        <v/>
      </c>
      <c r="AQ17" s="69">
        <f>IF(OR(AP17="",AO17="",AO17=0,AP17=0),"",AP17-AO17)</f>
        <v/>
      </c>
      <c r="AR17" s="42">
        <f>IF(OR(AP17="",AO17="",AO17=0,AP17=0),"",AP17/AO17-1)</f>
        <v/>
      </c>
      <c r="AS17" s="43">
        <f>IF(IF($B$6="Total",SUMIFS(Countries!$AK$5:$AK$434,Countries!$A$5:$A$434,$B$4,Countries!$B$5:$B$434,$B$5,Countries!$D$5:$D$434,$A17,Countries!$AR$5:$AR$434,"&gt;0"),SUMIFS(Countries!$AK$5:$AK$434,Countries!$A$5:$A$434,$B$4,Countries!$B$5:$B$434,$B$5,Countries!$C$5:$C$434,$B$6,Countries!$D$5:$D$434,$A17,Countries!$AR$5:$AR$434,"&gt;0"))=0,"",IF($B$6="Total",SUMIFS(Countries!$AR$5:$AR$434,Countries!$A$5:$A$434,$B$4,Countries!$B$5:$B$434,$B$5,Countries!$D$5:$D$434,$A17,Countries!$AK$5:$AK$434,"&gt;0"),SUMIFS(Countries!$AR$5:$AR$434,Countries!$A$5:$A$434,$B$4,Countries!$B$5:$B$434,$B$5,Countries!$C$5:$C$434,$B$6,Countries!$D$5:$D$434,$A17,Countries!$AK$5:$AK$434,"&gt;0"))/IF($B$6="Total",SUMIFS(Countries!$AK$5:$AK$434,Countries!$A$5:$A$434,$B$4,Countries!$B$5:$B$434,$B$5,Countries!$D$5:$D$434,$A17,Countries!$AR$5:$AR$434,"&gt;0"),SUMIFS(Countries!$AK$5:$AK$434,Countries!$A$5:$A$434,$B$4,Countries!$B$5:$B$434,$B$5,Countries!$C$5:$C$434,$B$6,Countries!$D$5:$D$434,$A17,Countries!$AR$5:$AR$434,"&gt;0")))</f>
        <v/>
      </c>
      <c r="AT17" s="43">
        <f>IF(IF($B$6="Total",SUMIFS(Countries!$AL$5:$AL$434,Countries!$A$5:$A$434,$B$4,Countries!$B$5:$B$434,$B$5,Countries!$D$5:$D$434,$A17,Countries!$AS$5:$AS$434,"&gt;0"),SUMIFS(Countries!$AL$5:$AL$434,Countries!$A$5:$A$434,$B$4,Countries!$B$5:$B$434,$B$5,Countries!$C$5:$C$434,$B$6,Countries!$D$5:$D$434,$A17,Countries!$AS$5:$AS$434,"&gt;0"))=0,"",IF($B$6="Total",SUMIFS(Countries!$AS$5:$AS$434,Countries!$A$5:$A$434,$B$4,Countries!$B$5:$B$434,$B$5,Countries!$D$5:$D$434,$A17,Countries!$AL$5:$AL$434,"&gt;0"),SUMIFS(Countries!$AS$5:$AS$434,Countries!$A$5:$A$434,$B$4,Countries!$B$5:$B$434,$B$5,Countries!$C$5:$C$434,$B$6,Countries!$D$5:$D$434,$A17,Countries!$AL$5:$AL$434,"&gt;0"))/IF($B$6="Total",SUMIFS(Countries!$AL$5:$AL$434,Countries!$A$5:$A$434,$B$4,Countries!$B$5:$B$434,$B$5,Countries!$D$5:$D$434,$A17,Countries!$AS$5:$AS$434,"&gt;0"),SUMIFS(Countries!$AL$5:$AL$434,Countries!$A$5:$A$434,$B$4,Countries!$B$5:$B$434,$B$5,Countries!$C$5:$C$434,$B$6,Countries!$D$5:$D$434,$A17,Countries!$AS$5:$AS$434,"&gt;0")))</f>
        <v/>
      </c>
      <c r="AU17" s="44">
        <f>IF(OR(AT17="",AS17=""),"",(AT17-AS17)*100)</f>
        <v/>
      </c>
      <c r="AV17" s="45">
        <f>IF(IF($B$6="Total",SUMIFS(Countries!$P$5:$P$434,Countries!$A$5:$A$434,$B$4,Countries!$B$5:$B$434,$B$5,Countries!$D$5:$D$434,$A17,Countries!$AR$5:$AR$434,"&gt;0"),SUMIFS(Countries!$P$5:$P$434,Countries!$A$5:$A$434,$B$4,Countries!$B$5:$B$434,$B$5,Countries!$C$5:$C$434,$B$6,Countries!$D$5:$D$434,$A17,Countries!$AR$5:$AR$434,"&gt;0"))=0,"",IF($B$6="Total",SUMIFS(Countries!$AR$5:$AR$434,Countries!$A$5:$A$434,$B$4,Countries!$B$5:$B$434,$B$5,Countries!$D$5:$D$434,$A17,Countries!$P$5:$P$434,"&gt;0"),SUMIFS(Countries!$AR$5:$AR$434,Countries!$A$5:$A$434,$B$4,Countries!$B$5:$B$434,$B$5,Countries!$C$5:$C$434,$B$6,Countries!$D$5:$D$434,$A17,Countries!$P$5:$P$434,"&gt;0"))/IF($B$6="Total",SUMIFS(Countries!$P$5:$P$434,Countries!$A$5:$A$434,$B$4,Countries!$B$5:$B$434,$B$5,Countries!$D$5:$D$434,$A17,Countries!$AR$5:$AR$434,"&gt;0"),SUMIFS(Countries!$P$5:$P$434,Countries!$A$5:$A$434,$B$4,Countries!$B$5:$B$434,$B$5,Countries!$C$5:$C$434,$B$6,Countries!$D$5:$D$434,$A17,Countries!$AR$5:$AR$434,"&gt;0")))</f>
        <v/>
      </c>
      <c r="AW17" s="45">
        <f>IF(IF($B$6="Total",SUMIFS(Countries!$Q$5:$Q$434,Countries!$A$5:$A$434,$B$4,Countries!$B$5:$B$434,$B$5,Countries!$D$5:$D$434,$A17,Countries!$AS$5:$AS$434,"&gt;0"),SUMIFS(Countries!$Q$5:$Q$434,Countries!$A$5:$A$434,$B$4,Countries!$B$5:$B$434,$B$5,Countries!$C$5:$C$434,$B$6,Countries!$D$5:$D$434,$A17,Countries!$AS$5:$AS$434,"&gt;0"))=0,"",IF($B$6="Total",SUMIFS(Countries!$AS$5:$AS$434,Countries!$A$5:$A$434,$B$4,Countries!$B$5:$B$434,$B$5,Countries!$D$5:$D$434,$A17,Countries!$Q$5:$Q$434,"&gt;0"),SUMIFS(Countries!$AS$5:$AS$434,Countries!$A$5:$A$434,$B$4,Countries!$B$5:$B$434,$B$5,Countries!$C$5:$C$434,$B$6,Countries!$D$5:$D$434,$A17,Countries!$Q$5:$Q$434,"&gt;0"))/IF($B$6="Total",SUMIFS(Countries!$Q$5:$Q$434,Countries!$A$5:$A$434,$B$4,Countries!$B$5:$B$434,$B$5,Countries!$D$5:$D$434,$A17,Countries!$AS$5:$AS$434,"&gt;0"),SUMIFS(Countries!$Q$5:$Q$434,Countries!$A$5:$A$434,$B$4,Countries!$B$5:$B$434,$B$5,Countries!$C$5:$C$434,$B$6,Countries!$D$5:$D$434,$A17,Countries!$AS$5:$AS$434,"&gt;0")))</f>
        <v/>
      </c>
      <c r="AX17" s="44">
        <f>IF(OR(AW17="",AV17=""),"",(AW17-AV17)*100)</f>
        <v/>
      </c>
      <c r="AY17" s="45">
        <f>IF(IF($B$6="Total",SUMIFS(Countries!$E$5:$E$434,Countries!$A$5:$A$434,$B$4,Countries!$B$5:$B$434,$B$5,Countries!$D$5:$D$434,$A17,Countries!$AR$5:$AR$434,"&gt;0"),SUMIFS(Countries!$E$5:$E$434,Countries!$A$5:$A$434,$B$4,Countries!$B$5:$B$434,$B$5,Countries!$C$5:$C$434,$B$6,Countries!$D$5:$D$434,$A17,Countries!$AR$5:$AR$434,"&gt;0"))=0,"",IF($B$6="Total",SUMIFS(Countries!$AR$5:$AR$434,Countries!$A$5:$A$434,$B$4,Countries!$B$5:$B$434,$B$5,Countries!$D$5:$D$434,$A17,Countries!$E$5:$E$434,"&gt;0"),SUMIFS(Countries!$AR$5:$AR$434,Countries!$A$5:$A$434,$B$4,Countries!$B$5:$B$434,$B$5,Countries!$C$5:$C$434,$B$6,Countries!$D$5:$D$434,$A17,Countries!$E$5:$E$434,"&gt;0"))/IF($B$6="Total",SUMIFS(Countries!$E$5:$E$434,Countries!$A$5:$A$434,$B$4,Countries!$B$5:$B$434,$B$5,Countries!$D$5:$D$434,$A17,Countries!$AR$5:$AR$434,"&gt;0"),SUMIFS(Countries!$E$5:$E$434,Countries!$A$5:$A$434,$B$4,Countries!$B$5:$B$434,$B$5,Countries!$C$5:$C$434,$B$6,Countries!$D$5:$D$434,$A17,Countries!$AR$5:$AR$434,"&gt;0")))</f>
        <v/>
      </c>
      <c r="AZ17" s="45">
        <f>IF(IF($B$6="Total",SUMIFS(Countries!$F$5:$F$434,Countries!$A$5:$A$434,$B$4,Countries!$B$5:$B$434,$B$5,Countries!$D$5:$D$434,$A17,Countries!$AS$5:$AS$434,"&gt;0"),SUMIFS(Countries!$F$5:$F$434,Countries!$A$5:$A$434,$B$4,Countries!$B$5:$B$434,$B$5,Countries!$C$5:$C$434,$B$6,Countries!$D$5:$D$434,$A17,Countries!$AS$5:$AS$434,"&gt;0"))=0,"",IF($B$6="Total",SUMIFS(Countries!$AS$5:$AS$434,Countries!$A$5:$A$434,$B$4,Countries!$B$5:$B$434,$B$5,Countries!$D$5:$D$434,$A17,Countries!$F$5:$F$434,"&gt;0"),SUMIFS(Countries!$AS$5:$AS$434,Countries!$A$5:$A$434,$B$4,Countries!$B$5:$B$434,$B$5,Countries!$C$5:$C$434,$B$6,Countries!$D$5:$D$434,$A17,Countries!$F$5:$F$434,"&gt;0"))/IF($B$6="Total",SUMIFS(Countries!$F$5:$F$434,Countries!$A$5:$A$434,$B$4,Countries!$B$5:$B$434,$B$5,Countries!$D$5:$D$434,$A17,Countries!$AS$5:$AS$434,"&gt;0"),SUMIFS(Countries!$F$5:$F$434,Countries!$A$5:$A$434,$B$4,Countries!$B$5:$B$434,$B$5,Countries!$C$5:$C$434,$B$6,Countries!$D$5:$D$434,$A17,Countries!$AS$5:$AS$434,"&gt;0")))</f>
        <v/>
      </c>
      <c r="BA17" s="44">
        <f>IF(OR(AZ17="",AY17=""),"",(AZ17-AY17)*100)</f>
        <v/>
      </c>
      <c r="BB17" s="40">
        <f>IF(AND(IF($B$6="Total",COUNTIFS(Countries!$A$5:$A$434,$B$4,Countries!$B$5:$B$434,$B$5,Countries!$D$5:$D$434,$A17,Countries!$F$5:$F$434,"&gt;0"),COUNTIFS(Countries!$A$5:$A$434,$B$4,Countries!$B$5:$B$434,$B$5,Countries!$C$5:$C$434,$B$6,Countries!$D$5:$D$434,$A17,Countries!$F$5:$F$434,"&gt;0"))=0,IF($B$6="Total",COUNTIFS(Countries!$A$5:$A$434,$B$4,Countries!$B$5:$B$434,$B$5,Countries!$D$5:$D$434,$A17,Countries!$E$5:$E$434,"&gt;0"),COUNTIFS(Countries!$A$5:$A$434,$B$4,Countries!$B$5:$B$434,$B$5,Countries!$C$5:$C$434,$B$6,Countries!$D$5:$D$434,$A17,Countries!$E$5:$E$434,"&gt;0"))=0),"",IF(IF($B$6="Total",COUNTIFS(Countries!$A$5:$A$434,$B$4,Countries!$B$5:$B$434,$B$5,Countries!$D$5:$D$434,$A17,Countries!$F$5:$F$434,"&gt;0"),COUNTIFS(Countries!$A$5:$A$434,$B$4,Countries!$B$5:$B$434,$B$5,Countries!$C$5:$C$434,$B$6,Countries!$D$5:$D$434,$A17,Countries!$F$5:$F$434,"&gt;0"))=0,"1-23Aug25 rows only",IF(IF($B$6="Total",COUNTIFS(Countries!$A$5:$A$434,$B$4,Countries!$B$5:$B$434,$B$5,Countries!$D$5:$D$434,$A17,Countries!$E$5:$E$434,"&gt;0"),COUNTIFS(Countries!$A$5:$A$434,$B$4,Countries!$B$5:$B$434,$B$5,Countries!$C$5:$C$434,$B$6,Countries!$D$5:$D$434,$A17,Countries!$E$5:$E$434,"&gt;0"))=0,"1-23Aug26 rows only",IF(IF($B$6="Total",COUNTIFS(Countries!$A$5:$A$434,$B$4,Countries!$B$5:$B$434,$B$5,Countries!$D$5:$D$434,$A17,Countries!$F$5:$F$434,"&gt;0"),COUNTIFS(Countries!$A$5:$A$434,$B$4,Countries!$B$5:$B$434,$B$5,Countries!$C$5:$C$434,$B$6,Countries!$D$5:$D$434,$A17,Countries!$F$5:$F$434,"&gt;0"))=IF($B$6="Total",COUNTIFS(Countries!$A$5:$A$434,$B$4,Countries!$B$5:$B$434,$B$5,Countries!$D$5:$D$434,$A17,Countries!$E$5:$E$434,"&gt;0"),COUNTIFS(Countries!$A$5:$A$434,$B$4,Countries!$B$5:$B$434,$B$5,Countries!$C$5:$C$434,$B$6,Countries!$D$5:$D$434,$A17,Countries!$E$5:$E$434,"&gt;0")),"Like-for-like","Partial — coverage differs"))))</f>
        <v/>
      </c>
    </row>
    <row r="18">
      <c r="A18" s="56" t="inlineStr">
        <is>
          <t>Sweden</t>
        </is>
      </c>
      <c r="B18" s="41">
        <f>IF(IF($B$6="Total",SUMIFS(Countries!$E$5:$E$434,Countries!$A$5:$A$434,$B$4,Countries!$B$5:$B$434,$B$5,Countries!$D$5:$D$434,$A18),SUMIFS(Countries!$E$5:$E$434,Countries!$A$5:$A$434,$B$4,Countries!$B$5:$B$434,$B$5,Countries!$C$5:$C$434,$B$6,Countries!$D$5:$D$434,$A18))=0,"",IF($B$6="Total",SUMIFS(Countries!$E$5:$E$434,Countries!$A$5:$A$434,$B$4,Countries!$B$5:$B$434,$B$5,Countries!$D$5:$D$434,$A18),SUMIFS(Countries!$E$5:$E$434,Countries!$A$5:$A$434,$B$4,Countries!$B$5:$B$434,$B$5,Countries!$C$5:$C$434,$B$6,Countries!$D$5:$D$434,$A18)))</f>
        <v/>
      </c>
      <c r="C18" s="41">
        <f>IF(IF($B$6="Total",SUMIFS(Countries!$F$5:$F$434,Countries!$A$5:$A$434,$B$4,Countries!$B$5:$B$434,$B$5,Countries!$D$5:$D$434,$A18),SUMIFS(Countries!$F$5:$F$434,Countries!$A$5:$A$434,$B$4,Countries!$B$5:$B$434,$B$5,Countries!$C$5:$C$434,$B$6,Countries!$D$5:$D$434,$A18))=0,"",IF($B$6="Total",SUMIFS(Countries!$F$5:$F$434,Countries!$A$5:$A$434,$B$4,Countries!$B$5:$B$434,$B$5,Countries!$D$5:$D$434,$A18),SUMIFS(Countries!$F$5:$F$434,Countries!$A$5:$A$434,$B$4,Countries!$B$5:$B$434,$B$5,Countries!$C$5:$C$434,$B$6,Countries!$D$5:$D$434,$A18)))</f>
        <v/>
      </c>
      <c r="D18" s="69">
        <f>IF(OR(C18="",B18="",B18=0,C18=0),"",C18-B18)</f>
        <v/>
      </c>
      <c r="E18" s="42">
        <f>IF(OR(C18="",B18="",B18=0,C18=0),"",C18/B18-1)</f>
        <v/>
      </c>
      <c r="F18" s="41">
        <f>IF(IF($B$6="Total",SUMIFS(Countries!$I$5:$I$434,Countries!$A$5:$A$434,$B$4,Countries!$B$5:$B$434,$B$5,Countries!$D$5:$D$434,$A18),SUMIFS(Countries!$I$5:$I$434,Countries!$A$5:$A$434,$B$4,Countries!$B$5:$B$434,$B$5,Countries!$C$5:$C$434,$B$6,Countries!$D$5:$D$434,$A18))=0,"",IF($B$6="Total",SUMIFS(Countries!$I$5:$I$434,Countries!$A$5:$A$434,$B$4,Countries!$B$5:$B$434,$B$5,Countries!$D$5:$D$434,$A18),SUMIFS(Countries!$I$5:$I$434,Countries!$A$5:$A$434,$B$4,Countries!$B$5:$B$434,$B$5,Countries!$C$5:$C$434,$B$6,Countries!$D$5:$D$434,$A18)))</f>
        <v/>
      </c>
      <c r="G18" s="41">
        <f>IF(IF($B$6="Total",SUMIFS(Countries!$J$5:$J$434,Countries!$A$5:$A$434,$B$4,Countries!$B$5:$B$434,$B$5,Countries!$D$5:$D$434,$A18),SUMIFS(Countries!$J$5:$J$434,Countries!$A$5:$A$434,$B$4,Countries!$B$5:$B$434,$B$5,Countries!$C$5:$C$434,$B$6,Countries!$D$5:$D$434,$A18))=0,"",IF($B$6="Total",SUMIFS(Countries!$J$5:$J$434,Countries!$A$5:$A$434,$B$4,Countries!$B$5:$B$434,$B$5,Countries!$D$5:$D$434,$A18),SUMIFS(Countries!$J$5:$J$434,Countries!$A$5:$A$434,$B$4,Countries!$B$5:$B$434,$B$5,Countries!$C$5:$C$434,$B$6,Countries!$D$5:$D$434,$A18)))</f>
        <v/>
      </c>
      <c r="H18" s="69">
        <f>IF(OR(G18="",F18="",F18=0,G18=0),"",G18-F18)</f>
        <v/>
      </c>
      <c r="I18" s="42">
        <f>IF(OR(G18="",F18="",F18=0,G18=0),"",G18/F18-1)</f>
        <v/>
      </c>
      <c r="J18" s="43">
        <f>IF(IF($B$6="Total",SUMIFS(Countries!$E$5:$E$434,Countries!$A$5:$A$434,$B$4,Countries!$B$5:$B$434,$B$5,Countries!$D$5:$D$434,$A18,Countries!$I$5:$I$434,"&gt;0"),SUMIFS(Countries!$E$5:$E$434,Countries!$A$5:$A$434,$B$4,Countries!$B$5:$B$434,$B$5,Countries!$C$5:$C$434,$B$6,Countries!$D$5:$D$434,$A18,Countries!$I$5:$I$434,"&gt;0"))=0,"",IF($B$6="Total",SUMIFS(Countries!$I$5:$I$434,Countries!$A$5:$A$434,$B$4,Countries!$B$5:$B$434,$B$5,Countries!$D$5:$D$434,$A18,Countries!$E$5:$E$434,"&gt;0"),SUMIFS(Countries!$I$5:$I$434,Countries!$A$5:$A$434,$B$4,Countries!$B$5:$B$434,$B$5,Countries!$C$5:$C$434,$B$6,Countries!$D$5:$D$434,$A18,Countries!$E$5:$E$434,"&gt;0"))/IF($B$6="Total",SUMIFS(Countries!$E$5:$E$434,Countries!$A$5:$A$434,$B$4,Countries!$B$5:$B$434,$B$5,Countries!$D$5:$D$434,$A18,Countries!$I$5:$I$434,"&gt;0"),SUMIFS(Countries!$E$5:$E$434,Countries!$A$5:$A$434,$B$4,Countries!$B$5:$B$434,$B$5,Countries!$C$5:$C$434,$B$6,Countries!$D$5:$D$434,$A18,Countries!$I$5:$I$434,"&gt;0")))</f>
        <v/>
      </c>
      <c r="K18" s="43">
        <f>IF(IF($B$6="Total",SUMIFS(Countries!$F$5:$F$434,Countries!$A$5:$A$434,$B$4,Countries!$B$5:$B$434,$B$5,Countries!$D$5:$D$434,$A18,Countries!$J$5:$J$434,"&gt;0"),SUMIFS(Countries!$F$5:$F$434,Countries!$A$5:$A$434,$B$4,Countries!$B$5:$B$434,$B$5,Countries!$C$5:$C$434,$B$6,Countries!$D$5:$D$434,$A18,Countries!$J$5:$J$434,"&gt;0"))=0,"",IF($B$6="Total",SUMIFS(Countries!$J$5:$J$434,Countries!$A$5:$A$434,$B$4,Countries!$B$5:$B$434,$B$5,Countries!$D$5:$D$434,$A18,Countries!$F$5:$F$434,"&gt;0"),SUMIFS(Countries!$J$5:$J$434,Countries!$A$5:$A$434,$B$4,Countries!$B$5:$B$434,$B$5,Countries!$C$5:$C$434,$B$6,Countries!$D$5:$D$434,$A18,Countries!$F$5:$F$434,"&gt;0"))/IF($B$6="Total",SUMIFS(Countries!$F$5:$F$434,Countries!$A$5:$A$434,$B$4,Countries!$B$5:$B$434,$B$5,Countries!$D$5:$D$434,$A18,Countries!$J$5:$J$434,"&gt;0"),SUMIFS(Countries!$F$5:$F$434,Countries!$A$5:$A$434,$B$4,Countries!$B$5:$B$434,$B$5,Countries!$C$5:$C$434,$B$6,Countries!$D$5:$D$434,$A18,Countries!$J$5:$J$434,"&gt;0")))</f>
        <v/>
      </c>
      <c r="L18" s="44">
        <f>IF(OR(K18="",J18=""),"",(K18-J18)*100)</f>
        <v/>
      </c>
      <c r="M18" s="41">
        <f>IF(IF($B$6="Total",SUMIFS(Countries!$P$5:$P$434,Countries!$A$5:$A$434,$B$4,Countries!$B$5:$B$434,$B$5,Countries!$D$5:$D$434,$A18),SUMIFS(Countries!$P$5:$P$434,Countries!$A$5:$A$434,$B$4,Countries!$B$5:$B$434,$B$5,Countries!$C$5:$C$434,$B$6,Countries!$D$5:$D$434,$A18))=0,"",IF($B$6="Total",SUMIFS(Countries!$P$5:$P$434,Countries!$A$5:$A$434,$B$4,Countries!$B$5:$B$434,$B$5,Countries!$D$5:$D$434,$A18),SUMIFS(Countries!$P$5:$P$434,Countries!$A$5:$A$434,$B$4,Countries!$B$5:$B$434,$B$5,Countries!$C$5:$C$434,$B$6,Countries!$D$5:$D$434,$A18)))</f>
        <v/>
      </c>
      <c r="N18" s="41">
        <f>IF(IF($B$6="Total",SUMIFS(Countries!$Q$5:$Q$434,Countries!$A$5:$A$434,$B$4,Countries!$B$5:$B$434,$B$5,Countries!$D$5:$D$434,$A18),SUMIFS(Countries!$Q$5:$Q$434,Countries!$A$5:$A$434,$B$4,Countries!$B$5:$B$434,$B$5,Countries!$C$5:$C$434,$B$6,Countries!$D$5:$D$434,$A18))=0,"",IF($B$6="Total",SUMIFS(Countries!$Q$5:$Q$434,Countries!$A$5:$A$434,$B$4,Countries!$B$5:$B$434,$B$5,Countries!$D$5:$D$434,$A18),SUMIFS(Countries!$Q$5:$Q$434,Countries!$A$5:$A$434,$B$4,Countries!$B$5:$B$434,$B$5,Countries!$C$5:$C$434,$B$6,Countries!$D$5:$D$434,$A18)))</f>
        <v/>
      </c>
      <c r="O18" s="69">
        <f>IF(OR(N18="",M18="",M18=0,N18=0),"",N18-M18)</f>
        <v/>
      </c>
      <c r="P18" s="42">
        <f>IF(OR(N18="",M18="",M18=0,N18=0),"",N18/M18-1)</f>
        <v/>
      </c>
      <c r="Q18" s="43">
        <f>IF(IF($B$6="Total",SUMIFS(Countries!$E$5:$E$434,Countries!$A$5:$A$434,$B$4,Countries!$B$5:$B$434,$B$5,Countries!$D$5:$D$434,$A18,Countries!$P$5:$P$434,"&gt;0"),SUMIFS(Countries!$E$5:$E$434,Countries!$A$5:$A$434,$B$4,Countries!$B$5:$B$434,$B$5,Countries!$C$5:$C$434,$B$6,Countries!$D$5:$D$434,$A18,Countries!$P$5:$P$434,"&gt;0"))=0,"",IF($B$6="Total",SUMIFS(Countries!$P$5:$P$434,Countries!$A$5:$A$434,$B$4,Countries!$B$5:$B$434,$B$5,Countries!$D$5:$D$434,$A18,Countries!$E$5:$E$434,"&gt;0"),SUMIFS(Countries!$P$5:$P$434,Countries!$A$5:$A$434,$B$4,Countries!$B$5:$B$434,$B$5,Countries!$C$5:$C$434,$B$6,Countries!$D$5:$D$434,$A18,Countries!$E$5:$E$434,"&gt;0"))/IF($B$6="Total",SUMIFS(Countries!$E$5:$E$434,Countries!$A$5:$A$434,$B$4,Countries!$B$5:$B$434,$B$5,Countries!$D$5:$D$434,$A18,Countries!$P$5:$P$434,"&gt;0"),SUMIFS(Countries!$E$5:$E$434,Countries!$A$5:$A$434,$B$4,Countries!$B$5:$B$434,$B$5,Countries!$C$5:$C$434,$B$6,Countries!$D$5:$D$434,$A18,Countries!$P$5:$P$434,"&gt;0")))</f>
        <v/>
      </c>
      <c r="R18" s="43">
        <f>IF(IF($B$6="Total",SUMIFS(Countries!$F$5:$F$434,Countries!$A$5:$A$434,$B$4,Countries!$B$5:$B$434,$B$5,Countries!$D$5:$D$434,$A18,Countries!$Q$5:$Q$434,"&gt;0"),SUMIFS(Countries!$F$5:$F$434,Countries!$A$5:$A$434,$B$4,Countries!$B$5:$B$434,$B$5,Countries!$C$5:$C$434,$B$6,Countries!$D$5:$D$434,$A18,Countries!$Q$5:$Q$434,"&gt;0"))=0,"",IF($B$6="Total",SUMIFS(Countries!$Q$5:$Q$434,Countries!$A$5:$A$434,$B$4,Countries!$B$5:$B$434,$B$5,Countries!$D$5:$D$434,$A18,Countries!$F$5:$F$434,"&gt;0"),SUMIFS(Countries!$Q$5:$Q$434,Countries!$A$5:$A$434,$B$4,Countries!$B$5:$B$434,$B$5,Countries!$C$5:$C$434,$B$6,Countries!$D$5:$D$434,$A18,Countries!$F$5:$F$434,"&gt;0"))/IF($B$6="Total",SUMIFS(Countries!$F$5:$F$434,Countries!$A$5:$A$434,$B$4,Countries!$B$5:$B$434,$B$5,Countries!$D$5:$D$434,$A18,Countries!$Q$5:$Q$434,"&gt;0"),SUMIFS(Countries!$F$5:$F$434,Countries!$A$5:$A$434,$B$4,Countries!$B$5:$B$434,$B$5,Countries!$C$5:$C$434,$B$6,Countries!$D$5:$D$434,$A18,Countries!$Q$5:$Q$434,"&gt;0")))</f>
        <v/>
      </c>
      <c r="S18" s="44">
        <f>IF(OR(R18="",Q18=""),"",(R18-Q18)*100)</f>
        <v/>
      </c>
      <c r="T18" s="41">
        <f>IF(IF($B$6="Total",SUMIFS(Countries!$W$5:$W$434,Countries!$A$5:$A$434,$B$4,Countries!$B$5:$B$434,$B$5,Countries!$D$5:$D$434,$A18),SUMIFS(Countries!$W$5:$W$434,Countries!$A$5:$A$434,$B$4,Countries!$B$5:$B$434,$B$5,Countries!$C$5:$C$434,$B$6,Countries!$D$5:$D$434,$A18))=0,"",IF($B$6="Total",SUMIFS(Countries!$W$5:$W$434,Countries!$A$5:$A$434,$B$4,Countries!$B$5:$B$434,$B$5,Countries!$D$5:$D$434,$A18),SUMIFS(Countries!$W$5:$W$434,Countries!$A$5:$A$434,$B$4,Countries!$B$5:$B$434,$B$5,Countries!$C$5:$C$434,$B$6,Countries!$D$5:$D$434,$A18)))</f>
        <v/>
      </c>
      <c r="U18" s="41">
        <f>IF(IF($B$6="Total",SUMIFS(Countries!$X$5:$X$434,Countries!$A$5:$A$434,$B$4,Countries!$B$5:$B$434,$B$5,Countries!$D$5:$D$434,$A18),SUMIFS(Countries!$X$5:$X$434,Countries!$A$5:$A$434,$B$4,Countries!$B$5:$B$434,$B$5,Countries!$C$5:$C$434,$B$6,Countries!$D$5:$D$434,$A18))=0,"",IF($B$6="Total",SUMIFS(Countries!$X$5:$X$434,Countries!$A$5:$A$434,$B$4,Countries!$B$5:$B$434,$B$5,Countries!$D$5:$D$434,$A18),SUMIFS(Countries!$X$5:$X$434,Countries!$A$5:$A$434,$B$4,Countries!$B$5:$B$434,$B$5,Countries!$C$5:$C$434,$B$6,Countries!$D$5:$D$434,$A18)))</f>
        <v/>
      </c>
      <c r="V18" s="69">
        <f>IF(OR(U18="",T18="",T18=0,U18=0),"",U18-T18)</f>
        <v/>
      </c>
      <c r="W18" s="42">
        <f>IF(OR(U18="",T18="",T18=0,U18=0),"",U18/T18-1)</f>
        <v/>
      </c>
      <c r="X18" s="43">
        <f>IF(IF($B$6="Total",SUMIFS(Countries!$P$5:$P$434,Countries!$A$5:$A$434,$B$4,Countries!$B$5:$B$434,$B$5,Countries!$D$5:$D$434,$A18,Countries!$W$5:$W$434,"&gt;0"),SUMIFS(Countries!$P$5:$P$434,Countries!$A$5:$A$434,$B$4,Countries!$B$5:$B$434,$B$5,Countries!$C$5:$C$434,$B$6,Countries!$D$5:$D$434,$A18,Countries!$W$5:$W$434,"&gt;0"))=0,"",IF($B$6="Total",SUMIFS(Countries!$W$5:$W$434,Countries!$A$5:$A$434,$B$4,Countries!$B$5:$B$434,$B$5,Countries!$D$5:$D$434,$A18,Countries!$P$5:$P$434,"&gt;0"),SUMIFS(Countries!$W$5:$W$434,Countries!$A$5:$A$434,$B$4,Countries!$B$5:$B$434,$B$5,Countries!$C$5:$C$434,$B$6,Countries!$D$5:$D$434,$A18,Countries!$P$5:$P$434,"&gt;0"))/IF($B$6="Total",SUMIFS(Countries!$P$5:$P$434,Countries!$A$5:$A$434,$B$4,Countries!$B$5:$B$434,$B$5,Countries!$D$5:$D$434,$A18,Countries!$W$5:$W$434,"&gt;0"),SUMIFS(Countries!$P$5:$P$434,Countries!$A$5:$A$434,$B$4,Countries!$B$5:$B$434,$B$5,Countries!$C$5:$C$434,$B$6,Countries!$D$5:$D$434,$A18,Countries!$W$5:$W$434,"&gt;0")))</f>
        <v/>
      </c>
      <c r="Y18" s="43">
        <f>IF(IF($B$6="Total",SUMIFS(Countries!$Q$5:$Q$434,Countries!$A$5:$A$434,$B$4,Countries!$B$5:$B$434,$B$5,Countries!$D$5:$D$434,$A18,Countries!$X$5:$X$434,"&gt;0"),SUMIFS(Countries!$Q$5:$Q$434,Countries!$A$5:$A$434,$B$4,Countries!$B$5:$B$434,$B$5,Countries!$C$5:$C$434,$B$6,Countries!$D$5:$D$434,$A18,Countries!$X$5:$X$434,"&gt;0"))=0,"",IF($B$6="Total",SUMIFS(Countries!$X$5:$X$434,Countries!$A$5:$A$434,$B$4,Countries!$B$5:$B$434,$B$5,Countries!$D$5:$D$434,$A18,Countries!$Q$5:$Q$434,"&gt;0"),SUMIFS(Countries!$X$5:$X$434,Countries!$A$5:$A$434,$B$4,Countries!$B$5:$B$434,$B$5,Countries!$C$5:$C$434,$B$6,Countries!$D$5:$D$434,$A18,Countries!$Q$5:$Q$434,"&gt;0"))/IF($B$6="Total",SUMIFS(Countries!$Q$5:$Q$434,Countries!$A$5:$A$434,$B$4,Countries!$B$5:$B$434,$B$5,Countries!$D$5:$D$434,$A18,Countries!$X$5:$X$434,"&gt;0"),SUMIFS(Countries!$Q$5:$Q$434,Countries!$A$5:$A$434,$B$4,Countries!$B$5:$B$434,$B$5,Countries!$C$5:$C$434,$B$6,Countries!$D$5:$D$434,$A18,Countries!$X$5:$X$434,"&gt;0")))</f>
        <v/>
      </c>
      <c r="Z18" s="44">
        <f>IF(OR(Y18="",X18=""),"",(Y18-X18)*100)</f>
        <v/>
      </c>
      <c r="AA18" s="41">
        <f>IF(IF($B$6="Total",SUMIFS(Countries!$AD$5:$AD$434,Countries!$A$5:$A$434,$B$4,Countries!$B$5:$B$434,$B$5,Countries!$D$5:$D$434,$A18),SUMIFS(Countries!$AD$5:$AD$434,Countries!$A$5:$A$434,$B$4,Countries!$B$5:$B$434,$B$5,Countries!$C$5:$C$434,$B$6,Countries!$D$5:$D$434,$A18))=0,"",IF($B$6="Total",SUMIFS(Countries!$AD$5:$AD$434,Countries!$A$5:$A$434,$B$4,Countries!$B$5:$B$434,$B$5,Countries!$D$5:$D$434,$A18),SUMIFS(Countries!$AD$5:$AD$434,Countries!$A$5:$A$434,$B$4,Countries!$B$5:$B$434,$B$5,Countries!$C$5:$C$434,$B$6,Countries!$D$5:$D$434,$A18)))</f>
        <v/>
      </c>
      <c r="AB18" s="41">
        <f>IF(IF($B$6="Total",SUMIFS(Countries!$AE$5:$AE$434,Countries!$A$5:$A$434,$B$4,Countries!$B$5:$B$434,$B$5,Countries!$D$5:$D$434,$A18),SUMIFS(Countries!$AE$5:$AE$434,Countries!$A$5:$A$434,$B$4,Countries!$B$5:$B$434,$B$5,Countries!$C$5:$C$434,$B$6,Countries!$D$5:$D$434,$A18))=0,"",IF($B$6="Total",SUMIFS(Countries!$AE$5:$AE$434,Countries!$A$5:$A$434,$B$4,Countries!$B$5:$B$434,$B$5,Countries!$D$5:$D$434,$A18),SUMIFS(Countries!$AE$5:$AE$434,Countries!$A$5:$A$434,$B$4,Countries!$B$5:$B$434,$B$5,Countries!$C$5:$C$434,$B$6,Countries!$D$5:$D$434,$A18)))</f>
        <v/>
      </c>
      <c r="AC18" s="69">
        <f>IF(OR(AB18="",AA18="",AA18=0,AB18=0),"",AB18-AA18)</f>
        <v/>
      </c>
      <c r="AD18" s="42">
        <f>IF(OR(AB18="",AA18="",AA18=0,AB18=0),"",AB18/AA18-1)</f>
        <v/>
      </c>
      <c r="AE18" s="43">
        <f>IF(IF($B$6="Total",SUMIFS(Countries!$W$5:$W$434,Countries!$A$5:$A$434,$B$4,Countries!$B$5:$B$434,$B$5,Countries!$D$5:$D$434,$A18,Countries!$AD$5:$AD$434,"&gt;0"),SUMIFS(Countries!$W$5:$W$434,Countries!$A$5:$A$434,$B$4,Countries!$B$5:$B$434,$B$5,Countries!$C$5:$C$434,$B$6,Countries!$D$5:$D$434,$A18,Countries!$AD$5:$AD$434,"&gt;0"))=0,"",IF($B$6="Total",SUMIFS(Countries!$AD$5:$AD$434,Countries!$A$5:$A$434,$B$4,Countries!$B$5:$B$434,$B$5,Countries!$D$5:$D$434,$A18,Countries!$W$5:$W$434,"&gt;0"),SUMIFS(Countries!$AD$5:$AD$434,Countries!$A$5:$A$434,$B$4,Countries!$B$5:$B$434,$B$5,Countries!$C$5:$C$434,$B$6,Countries!$D$5:$D$434,$A18,Countries!$W$5:$W$434,"&gt;0"))/IF($B$6="Total",SUMIFS(Countries!$W$5:$W$434,Countries!$A$5:$A$434,$B$4,Countries!$B$5:$B$434,$B$5,Countries!$D$5:$D$434,$A18,Countries!$AD$5:$AD$434,"&gt;0"),SUMIFS(Countries!$W$5:$W$434,Countries!$A$5:$A$434,$B$4,Countries!$B$5:$B$434,$B$5,Countries!$C$5:$C$434,$B$6,Countries!$D$5:$D$434,$A18,Countries!$AD$5:$AD$434,"&gt;0")))</f>
        <v/>
      </c>
      <c r="AF18" s="43">
        <f>IF(IF($B$6="Total",SUMIFS(Countries!$X$5:$X$434,Countries!$A$5:$A$434,$B$4,Countries!$B$5:$B$434,$B$5,Countries!$D$5:$D$434,$A18,Countries!$AE$5:$AE$434,"&gt;0"),SUMIFS(Countries!$X$5:$X$434,Countries!$A$5:$A$434,$B$4,Countries!$B$5:$B$434,$B$5,Countries!$C$5:$C$434,$B$6,Countries!$D$5:$D$434,$A18,Countries!$AE$5:$AE$434,"&gt;0"))=0,"",IF($B$6="Total",SUMIFS(Countries!$AE$5:$AE$434,Countries!$A$5:$A$434,$B$4,Countries!$B$5:$B$434,$B$5,Countries!$D$5:$D$434,$A18,Countries!$X$5:$X$434,"&gt;0"),SUMIFS(Countries!$AE$5:$AE$434,Countries!$A$5:$A$434,$B$4,Countries!$B$5:$B$434,$B$5,Countries!$C$5:$C$434,$B$6,Countries!$D$5:$D$434,$A18,Countries!$X$5:$X$434,"&gt;0"))/IF($B$6="Total",SUMIFS(Countries!$X$5:$X$434,Countries!$A$5:$A$434,$B$4,Countries!$B$5:$B$434,$B$5,Countries!$D$5:$D$434,$A18,Countries!$AE$5:$AE$434,"&gt;0"),SUMIFS(Countries!$X$5:$X$434,Countries!$A$5:$A$434,$B$4,Countries!$B$5:$B$434,$B$5,Countries!$C$5:$C$434,$B$6,Countries!$D$5:$D$434,$A18,Countries!$AE$5:$AE$434,"&gt;0")))</f>
        <v/>
      </c>
      <c r="AG18" s="44">
        <f>IF(OR(AF18="",AE18=""),"",(AF18-AE18)*100)</f>
        <v/>
      </c>
      <c r="AH18" s="41">
        <f>IF(IF($B$6="Total",SUMIFS(Countries!$AK$5:$AK$434,Countries!$A$5:$A$434,$B$4,Countries!$B$5:$B$434,$B$5,Countries!$D$5:$D$434,$A18),SUMIFS(Countries!$AK$5:$AK$434,Countries!$A$5:$A$434,$B$4,Countries!$B$5:$B$434,$B$5,Countries!$C$5:$C$434,$B$6,Countries!$D$5:$D$434,$A18))=0,"",IF($B$6="Total",SUMIFS(Countries!$AK$5:$AK$434,Countries!$A$5:$A$434,$B$4,Countries!$B$5:$B$434,$B$5,Countries!$D$5:$D$434,$A18),SUMIFS(Countries!$AK$5:$AK$434,Countries!$A$5:$A$434,$B$4,Countries!$B$5:$B$434,$B$5,Countries!$C$5:$C$434,$B$6,Countries!$D$5:$D$434,$A18)))</f>
        <v/>
      </c>
      <c r="AI18" s="41">
        <f>IF(IF($B$6="Total",SUMIFS(Countries!$AL$5:$AL$434,Countries!$A$5:$A$434,$B$4,Countries!$B$5:$B$434,$B$5,Countries!$D$5:$D$434,$A18),SUMIFS(Countries!$AL$5:$AL$434,Countries!$A$5:$A$434,$B$4,Countries!$B$5:$B$434,$B$5,Countries!$C$5:$C$434,$B$6,Countries!$D$5:$D$434,$A18))=0,"",IF($B$6="Total",SUMIFS(Countries!$AL$5:$AL$434,Countries!$A$5:$A$434,$B$4,Countries!$B$5:$B$434,$B$5,Countries!$D$5:$D$434,$A18),SUMIFS(Countries!$AL$5:$AL$434,Countries!$A$5:$A$434,$B$4,Countries!$B$5:$B$434,$B$5,Countries!$C$5:$C$434,$B$6,Countries!$D$5:$D$434,$A18)))</f>
        <v/>
      </c>
      <c r="AJ18" s="69">
        <f>IF(OR(AI18="",AH18="",AH18=0,AI18=0),"",AI18-AH18)</f>
        <v/>
      </c>
      <c r="AK18" s="42">
        <f>IF(OR(AI18="",AH18="",AH18=0,AI18=0),"",AI18/AH18-1)</f>
        <v/>
      </c>
      <c r="AL18" s="43">
        <f>IF(IF($B$6="Total",SUMIFS(Countries!$AD$5:$AD$434,Countries!$A$5:$A$434,$B$4,Countries!$B$5:$B$434,$B$5,Countries!$D$5:$D$434,$A18,Countries!$AK$5:$AK$434,"&gt;0"),SUMIFS(Countries!$AD$5:$AD$434,Countries!$A$5:$A$434,$B$4,Countries!$B$5:$B$434,$B$5,Countries!$C$5:$C$434,$B$6,Countries!$D$5:$D$434,$A18,Countries!$AK$5:$AK$434,"&gt;0"))=0,"",IF($B$6="Total",SUMIFS(Countries!$AK$5:$AK$434,Countries!$A$5:$A$434,$B$4,Countries!$B$5:$B$434,$B$5,Countries!$D$5:$D$434,$A18,Countries!$AD$5:$AD$434,"&gt;0"),SUMIFS(Countries!$AK$5:$AK$434,Countries!$A$5:$A$434,$B$4,Countries!$B$5:$B$434,$B$5,Countries!$C$5:$C$434,$B$6,Countries!$D$5:$D$434,$A18,Countries!$AD$5:$AD$434,"&gt;0"))/IF($B$6="Total",SUMIFS(Countries!$AD$5:$AD$434,Countries!$A$5:$A$434,$B$4,Countries!$B$5:$B$434,$B$5,Countries!$D$5:$D$434,$A18,Countries!$AK$5:$AK$434,"&gt;0"),SUMIFS(Countries!$AD$5:$AD$434,Countries!$A$5:$A$434,$B$4,Countries!$B$5:$B$434,$B$5,Countries!$C$5:$C$434,$B$6,Countries!$D$5:$D$434,$A18,Countries!$AK$5:$AK$434,"&gt;0")))</f>
        <v/>
      </c>
      <c r="AM18" s="43">
        <f>IF(IF($B$6="Total",SUMIFS(Countries!$AE$5:$AE$434,Countries!$A$5:$A$434,$B$4,Countries!$B$5:$B$434,$B$5,Countries!$D$5:$D$434,$A18,Countries!$AL$5:$AL$434,"&gt;0"),SUMIFS(Countries!$AE$5:$AE$434,Countries!$A$5:$A$434,$B$4,Countries!$B$5:$B$434,$B$5,Countries!$C$5:$C$434,$B$6,Countries!$D$5:$D$434,$A18,Countries!$AL$5:$AL$434,"&gt;0"))=0,"",IF($B$6="Total",SUMIFS(Countries!$AL$5:$AL$434,Countries!$A$5:$A$434,$B$4,Countries!$B$5:$B$434,$B$5,Countries!$D$5:$D$434,$A18,Countries!$AE$5:$AE$434,"&gt;0"),SUMIFS(Countries!$AL$5:$AL$434,Countries!$A$5:$A$434,$B$4,Countries!$B$5:$B$434,$B$5,Countries!$C$5:$C$434,$B$6,Countries!$D$5:$D$434,$A18,Countries!$AE$5:$AE$434,"&gt;0"))/IF($B$6="Total",SUMIFS(Countries!$AE$5:$AE$434,Countries!$A$5:$A$434,$B$4,Countries!$B$5:$B$434,$B$5,Countries!$D$5:$D$434,$A18,Countries!$AL$5:$AL$434,"&gt;0"),SUMIFS(Countries!$AE$5:$AE$434,Countries!$A$5:$A$434,$B$4,Countries!$B$5:$B$434,$B$5,Countries!$C$5:$C$434,$B$6,Countries!$D$5:$D$434,$A18,Countries!$AL$5:$AL$434,"&gt;0")))</f>
        <v/>
      </c>
      <c r="AN18" s="44">
        <f>IF(OR(AM18="",AL18=""),"",(AM18-AL18)*100)</f>
        <v/>
      </c>
      <c r="AO18" s="41">
        <f>IF(IF($B$6="Total",SUMIFS(Countries!$AR$5:$AR$434,Countries!$A$5:$A$434,$B$4,Countries!$B$5:$B$434,$B$5,Countries!$D$5:$D$434,$A18),SUMIFS(Countries!$AR$5:$AR$434,Countries!$A$5:$A$434,$B$4,Countries!$B$5:$B$434,$B$5,Countries!$C$5:$C$434,$B$6,Countries!$D$5:$D$434,$A18))=0,"",IF($B$6="Total",SUMIFS(Countries!$AR$5:$AR$434,Countries!$A$5:$A$434,$B$4,Countries!$B$5:$B$434,$B$5,Countries!$D$5:$D$434,$A18),SUMIFS(Countries!$AR$5:$AR$434,Countries!$A$5:$A$434,$B$4,Countries!$B$5:$B$434,$B$5,Countries!$C$5:$C$434,$B$6,Countries!$D$5:$D$434,$A18)))</f>
        <v/>
      </c>
      <c r="AP18" s="41">
        <f>IF(IF($B$6="Total",SUMIFS(Countries!$AS$5:$AS$434,Countries!$A$5:$A$434,$B$4,Countries!$B$5:$B$434,$B$5,Countries!$D$5:$D$434,$A18),SUMIFS(Countries!$AS$5:$AS$434,Countries!$A$5:$A$434,$B$4,Countries!$B$5:$B$434,$B$5,Countries!$C$5:$C$434,$B$6,Countries!$D$5:$D$434,$A18))=0,"",IF($B$6="Total",SUMIFS(Countries!$AS$5:$AS$434,Countries!$A$5:$A$434,$B$4,Countries!$B$5:$B$434,$B$5,Countries!$D$5:$D$434,$A18),SUMIFS(Countries!$AS$5:$AS$434,Countries!$A$5:$A$434,$B$4,Countries!$B$5:$B$434,$B$5,Countries!$C$5:$C$434,$B$6,Countries!$D$5:$D$434,$A18)))</f>
        <v/>
      </c>
      <c r="AQ18" s="69">
        <f>IF(OR(AP18="",AO18="",AO18=0,AP18=0),"",AP18-AO18)</f>
        <v/>
      </c>
      <c r="AR18" s="42">
        <f>IF(OR(AP18="",AO18="",AO18=0,AP18=0),"",AP18/AO18-1)</f>
        <v/>
      </c>
      <c r="AS18" s="43">
        <f>IF(IF($B$6="Total",SUMIFS(Countries!$AK$5:$AK$434,Countries!$A$5:$A$434,$B$4,Countries!$B$5:$B$434,$B$5,Countries!$D$5:$D$434,$A18,Countries!$AR$5:$AR$434,"&gt;0"),SUMIFS(Countries!$AK$5:$AK$434,Countries!$A$5:$A$434,$B$4,Countries!$B$5:$B$434,$B$5,Countries!$C$5:$C$434,$B$6,Countries!$D$5:$D$434,$A18,Countries!$AR$5:$AR$434,"&gt;0"))=0,"",IF($B$6="Total",SUMIFS(Countries!$AR$5:$AR$434,Countries!$A$5:$A$434,$B$4,Countries!$B$5:$B$434,$B$5,Countries!$D$5:$D$434,$A18,Countries!$AK$5:$AK$434,"&gt;0"),SUMIFS(Countries!$AR$5:$AR$434,Countries!$A$5:$A$434,$B$4,Countries!$B$5:$B$434,$B$5,Countries!$C$5:$C$434,$B$6,Countries!$D$5:$D$434,$A18,Countries!$AK$5:$AK$434,"&gt;0"))/IF($B$6="Total",SUMIFS(Countries!$AK$5:$AK$434,Countries!$A$5:$A$434,$B$4,Countries!$B$5:$B$434,$B$5,Countries!$D$5:$D$434,$A18,Countries!$AR$5:$AR$434,"&gt;0"),SUMIFS(Countries!$AK$5:$AK$434,Countries!$A$5:$A$434,$B$4,Countries!$B$5:$B$434,$B$5,Countries!$C$5:$C$434,$B$6,Countries!$D$5:$D$434,$A18,Countries!$AR$5:$AR$434,"&gt;0")))</f>
        <v/>
      </c>
      <c r="AT18" s="43">
        <f>IF(IF($B$6="Total",SUMIFS(Countries!$AL$5:$AL$434,Countries!$A$5:$A$434,$B$4,Countries!$B$5:$B$434,$B$5,Countries!$D$5:$D$434,$A18,Countries!$AS$5:$AS$434,"&gt;0"),SUMIFS(Countries!$AL$5:$AL$434,Countries!$A$5:$A$434,$B$4,Countries!$B$5:$B$434,$B$5,Countries!$C$5:$C$434,$B$6,Countries!$D$5:$D$434,$A18,Countries!$AS$5:$AS$434,"&gt;0"))=0,"",IF($B$6="Total",SUMIFS(Countries!$AS$5:$AS$434,Countries!$A$5:$A$434,$B$4,Countries!$B$5:$B$434,$B$5,Countries!$D$5:$D$434,$A18,Countries!$AL$5:$AL$434,"&gt;0"),SUMIFS(Countries!$AS$5:$AS$434,Countries!$A$5:$A$434,$B$4,Countries!$B$5:$B$434,$B$5,Countries!$C$5:$C$434,$B$6,Countries!$D$5:$D$434,$A18,Countries!$AL$5:$AL$434,"&gt;0"))/IF($B$6="Total",SUMIFS(Countries!$AL$5:$AL$434,Countries!$A$5:$A$434,$B$4,Countries!$B$5:$B$434,$B$5,Countries!$D$5:$D$434,$A18,Countries!$AS$5:$AS$434,"&gt;0"),SUMIFS(Countries!$AL$5:$AL$434,Countries!$A$5:$A$434,$B$4,Countries!$B$5:$B$434,$B$5,Countries!$C$5:$C$434,$B$6,Countries!$D$5:$D$434,$A18,Countries!$AS$5:$AS$434,"&gt;0")))</f>
        <v/>
      </c>
      <c r="AU18" s="44">
        <f>IF(OR(AT18="",AS18=""),"",(AT18-AS18)*100)</f>
        <v/>
      </c>
      <c r="AV18" s="45">
        <f>IF(IF($B$6="Total",SUMIFS(Countries!$P$5:$P$434,Countries!$A$5:$A$434,$B$4,Countries!$B$5:$B$434,$B$5,Countries!$D$5:$D$434,$A18,Countries!$AR$5:$AR$434,"&gt;0"),SUMIFS(Countries!$P$5:$P$434,Countries!$A$5:$A$434,$B$4,Countries!$B$5:$B$434,$B$5,Countries!$C$5:$C$434,$B$6,Countries!$D$5:$D$434,$A18,Countries!$AR$5:$AR$434,"&gt;0"))=0,"",IF($B$6="Total",SUMIFS(Countries!$AR$5:$AR$434,Countries!$A$5:$A$434,$B$4,Countries!$B$5:$B$434,$B$5,Countries!$D$5:$D$434,$A18,Countries!$P$5:$P$434,"&gt;0"),SUMIFS(Countries!$AR$5:$AR$434,Countries!$A$5:$A$434,$B$4,Countries!$B$5:$B$434,$B$5,Countries!$C$5:$C$434,$B$6,Countries!$D$5:$D$434,$A18,Countries!$P$5:$P$434,"&gt;0"))/IF($B$6="Total",SUMIFS(Countries!$P$5:$P$434,Countries!$A$5:$A$434,$B$4,Countries!$B$5:$B$434,$B$5,Countries!$D$5:$D$434,$A18,Countries!$AR$5:$AR$434,"&gt;0"),SUMIFS(Countries!$P$5:$P$434,Countries!$A$5:$A$434,$B$4,Countries!$B$5:$B$434,$B$5,Countries!$C$5:$C$434,$B$6,Countries!$D$5:$D$434,$A18,Countries!$AR$5:$AR$434,"&gt;0")))</f>
        <v/>
      </c>
      <c r="AW18" s="45">
        <f>IF(IF($B$6="Total",SUMIFS(Countries!$Q$5:$Q$434,Countries!$A$5:$A$434,$B$4,Countries!$B$5:$B$434,$B$5,Countries!$D$5:$D$434,$A18,Countries!$AS$5:$AS$434,"&gt;0"),SUMIFS(Countries!$Q$5:$Q$434,Countries!$A$5:$A$434,$B$4,Countries!$B$5:$B$434,$B$5,Countries!$C$5:$C$434,$B$6,Countries!$D$5:$D$434,$A18,Countries!$AS$5:$AS$434,"&gt;0"))=0,"",IF($B$6="Total",SUMIFS(Countries!$AS$5:$AS$434,Countries!$A$5:$A$434,$B$4,Countries!$B$5:$B$434,$B$5,Countries!$D$5:$D$434,$A18,Countries!$Q$5:$Q$434,"&gt;0"),SUMIFS(Countries!$AS$5:$AS$434,Countries!$A$5:$A$434,$B$4,Countries!$B$5:$B$434,$B$5,Countries!$C$5:$C$434,$B$6,Countries!$D$5:$D$434,$A18,Countries!$Q$5:$Q$434,"&gt;0"))/IF($B$6="Total",SUMIFS(Countries!$Q$5:$Q$434,Countries!$A$5:$A$434,$B$4,Countries!$B$5:$B$434,$B$5,Countries!$D$5:$D$434,$A18,Countries!$AS$5:$AS$434,"&gt;0"),SUMIFS(Countries!$Q$5:$Q$434,Countries!$A$5:$A$434,$B$4,Countries!$B$5:$B$434,$B$5,Countries!$C$5:$C$434,$B$6,Countries!$D$5:$D$434,$A18,Countries!$AS$5:$AS$434,"&gt;0")))</f>
        <v/>
      </c>
      <c r="AX18" s="44">
        <f>IF(OR(AW18="",AV18=""),"",(AW18-AV18)*100)</f>
        <v/>
      </c>
      <c r="AY18" s="45">
        <f>IF(IF($B$6="Total",SUMIFS(Countries!$E$5:$E$434,Countries!$A$5:$A$434,$B$4,Countries!$B$5:$B$434,$B$5,Countries!$D$5:$D$434,$A18,Countries!$AR$5:$AR$434,"&gt;0"),SUMIFS(Countries!$E$5:$E$434,Countries!$A$5:$A$434,$B$4,Countries!$B$5:$B$434,$B$5,Countries!$C$5:$C$434,$B$6,Countries!$D$5:$D$434,$A18,Countries!$AR$5:$AR$434,"&gt;0"))=0,"",IF($B$6="Total",SUMIFS(Countries!$AR$5:$AR$434,Countries!$A$5:$A$434,$B$4,Countries!$B$5:$B$434,$B$5,Countries!$D$5:$D$434,$A18,Countries!$E$5:$E$434,"&gt;0"),SUMIFS(Countries!$AR$5:$AR$434,Countries!$A$5:$A$434,$B$4,Countries!$B$5:$B$434,$B$5,Countries!$C$5:$C$434,$B$6,Countries!$D$5:$D$434,$A18,Countries!$E$5:$E$434,"&gt;0"))/IF($B$6="Total",SUMIFS(Countries!$E$5:$E$434,Countries!$A$5:$A$434,$B$4,Countries!$B$5:$B$434,$B$5,Countries!$D$5:$D$434,$A18,Countries!$AR$5:$AR$434,"&gt;0"),SUMIFS(Countries!$E$5:$E$434,Countries!$A$5:$A$434,$B$4,Countries!$B$5:$B$434,$B$5,Countries!$C$5:$C$434,$B$6,Countries!$D$5:$D$434,$A18,Countries!$AR$5:$AR$434,"&gt;0")))</f>
        <v/>
      </c>
      <c r="AZ18" s="45">
        <f>IF(IF($B$6="Total",SUMIFS(Countries!$F$5:$F$434,Countries!$A$5:$A$434,$B$4,Countries!$B$5:$B$434,$B$5,Countries!$D$5:$D$434,$A18,Countries!$AS$5:$AS$434,"&gt;0"),SUMIFS(Countries!$F$5:$F$434,Countries!$A$5:$A$434,$B$4,Countries!$B$5:$B$434,$B$5,Countries!$C$5:$C$434,$B$6,Countries!$D$5:$D$434,$A18,Countries!$AS$5:$AS$434,"&gt;0"))=0,"",IF($B$6="Total",SUMIFS(Countries!$AS$5:$AS$434,Countries!$A$5:$A$434,$B$4,Countries!$B$5:$B$434,$B$5,Countries!$D$5:$D$434,$A18,Countries!$F$5:$F$434,"&gt;0"),SUMIFS(Countries!$AS$5:$AS$434,Countries!$A$5:$A$434,$B$4,Countries!$B$5:$B$434,$B$5,Countries!$C$5:$C$434,$B$6,Countries!$D$5:$D$434,$A18,Countries!$F$5:$F$434,"&gt;0"))/IF($B$6="Total",SUMIFS(Countries!$F$5:$F$434,Countries!$A$5:$A$434,$B$4,Countries!$B$5:$B$434,$B$5,Countries!$D$5:$D$434,$A18,Countries!$AS$5:$AS$434,"&gt;0"),SUMIFS(Countries!$F$5:$F$434,Countries!$A$5:$A$434,$B$4,Countries!$B$5:$B$434,$B$5,Countries!$C$5:$C$434,$B$6,Countries!$D$5:$D$434,$A18,Countries!$AS$5:$AS$434,"&gt;0")))</f>
        <v/>
      </c>
      <c r="BA18" s="44">
        <f>IF(OR(AZ18="",AY18=""),"",(AZ18-AY18)*100)</f>
        <v/>
      </c>
      <c r="BB18" s="40">
        <f>IF(AND(IF($B$6="Total",COUNTIFS(Countries!$A$5:$A$434,$B$4,Countries!$B$5:$B$434,$B$5,Countries!$D$5:$D$434,$A18,Countries!$F$5:$F$434,"&gt;0"),COUNTIFS(Countries!$A$5:$A$434,$B$4,Countries!$B$5:$B$434,$B$5,Countries!$C$5:$C$434,$B$6,Countries!$D$5:$D$434,$A18,Countries!$F$5:$F$434,"&gt;0"))=0,IF($B$6="Total",COUNTIFS(Countries!$A$5:$A$434,$B$4,Countries!$B$5:$B$434,$B$5,Countries!$D$5:$D$434,$A18,Countries!$E$5:$E$434,"&gt;0"),COUNTIFS(Countries!$A$5:$A$434,$B$4,Countries!$B$5:$B$434,$B$5,Countries!$C$5:$C$434,$B$6,Countries!$D$5:$D$434,$A18,Countries!$E$5:$E$434,"&gt;0"))=0),"",IF(IF($B$6="Total",COUNTIFS(Countries!$A$5:$A$434,$B$4,Countries!$B$5:$B$434,$B$5,Countries!$D$5:$D$434,$A18,Countries!$F$5:$F$434,"&gt;0"),COUNTIFS(Countries!$A$5:$A$434,$B$4,Countries!$B$5:$B$434,$B$5,Countries!$C$5:$C$434,$B$6,Countries!$D$5:$D$434,$A18,Countries!$F$5:$F$434,"&gt;0"))=0,"1-23Aug25 rows only",IF(IF($B$6="Total",COUNTIFS(Countries!$A$5:$A$434,$B$4,Countries!$B$5:$B$434,$B$5,Countries!$D$5:$D$434,$A18,Countries!$E$5:$E$434,"&gt;0"),COUNTIFS(Countries!$A$5:$A$434,$B$4,Countries!$B$5:$B$434,$B$5,Countries!$C$5:$C$434,$B$6,Countries!$D$5:$D$434,$A18,Countries!$E$5:$E$434,"&gt;0"))=0,"1-23Aug26 rows only",IF(IF($B$6="Total",COUNTIFS(Countries!$A$5:$A$434,$B$4,Countries!$B$5:$B$434,$B$5,Countries!$D$5:$D$434,$A18,Countries!$F$5:$F$434,"&gt;0"),COUNTIFS(Countries!$A$5:$A$434,$B$4,Countries!$B$5:$B$434,$B$5,Countries!$C$5:$C$434,$B$6,Countries!$D$5:$D$434,$A18,Countries!$F$5:$F$434,"&gt;0"))=IF($B$6="Total",COUNTIFS(Countries!$A$5:$A$434,$B$4,Countries!$B$5:$B$434,$B$5,Countries!$D$5:$D$434,$A18,Countries!$E$5:$E$434,"&gt;0"),COUNTIFS(Countries!$A$5:$A$434,$B$4,Countries!$B$5:$B$434,$B$5,Countries!$C$5:$C$434,$B$6,Countries!$D$5:$D$434,$A18,Countries!$E$5:$E$434,"&gt;0")),"Like-for-like","Partial — coverage differs"))))</f>
        <v/>
      </c>
    </row>
    <row r="19">
      <c r="A19" s="40" t="inlineStr">
        <is>
          <t>Belgium</t>
        </is>
      </c>
      <c r="B19" s="41">
        <f>IF(IF($B$6="Total",SUMIFS(Countries!$E$5:$E$434,Countries!$A$5:$A$434,$B$4,Countries!$B$5:$B$434,$B$5,Countries!$D$5:$D$434,$A19),SUMIFS(Countries!$E$5:$E$434,Countries!$A$5:$A$434,$B$4,Countries!$B$5:$B$434,$B$5,Countries!$C$5:$C$434,$B$6,Countries!$D$5:$D$434,$A19))=0,"",IF($B$6="Total",SUMIFS(Countries!$E$5:$E$434,Countries!$A$5:$A$434,$B$4,Countries!$B$5:$B$434,$B$5,Countries!$D$5:$D$434,$A19),SUMIFS(Countries!$E$5:$E$434,Countries!$A$5:$A$434,$B$4,Countries!$B$5:$B$434,$B$5,Countries!$C$5:$C$434,$B$6,Countries!$D$5:$D$434,$A19)))</f>
        <v/>
      </c>
      <c r="C19" s="41">
        <f>IF(IF($B$6="Total",SUMIFS(Countries!$F$5:$F$434,Countries!$A$5:$A$434,$B$4,Countries!$B$5:$B$434,$B$5,Countries!$D$5:$D$434,$A19),SUMIFS(Countries!$F$5:$F$434,Countries!$A$5:$A$434,$B$4,Countries!$B$5:$B$434,$B$5,Countries!$C$5:$C$434,$B$6,Countries!$D$5:$D$434,$A19))=0,"",IF($B$6="Total",SUMIFS(Countries!$F$5:$F$434,Countries!$A$5:$A$434,$B$4,Countries!$B$5:$B$434,$B$5,Countries!$D$5:$D$434,$A19),SUMIFS(Countries!$F$5:$F$434,Countries!$A$5:$A$434,$B$4,Countries!$B$5:$B$434,$B$5,Countries!$C$5:$C$434,$B$6,Countries!$D$5:$D$434,$A19)))</f>
        <v/>
      </c>
      <c r="D19" s="69">
        <f>IF(OR(C19="",B19="",B19=0,C19=0),"",C19-B19)</f>
        <v/>
      </c>
      <c r="E19" s="42">
        <f>IF(OR(C19="",B19="",B19=0,C19=0),"",C19/B19-1)</f>
        <v/>
      </c>
      <c r="F19" s="41">
        <f>IF(IF($B$6="Total",SUMIFS(Countries!$I$5:$I$434,Countries!$A$5:$A$434,$B$4,Countries!$B$5:$B$434,$B$5,Countries!$D$5:$D$434,$A19),SUMIFS(Countries!$I$5:$I$434,Countries!$A$5:$A$434,$B$4,Countries!$B$5:$B$434,$B$5,Countries!$C$5:$C$434,$B$6,Countries!$D$5:$D$434,$A19))=0,"",IF($B$6="Total",SUMIFS(Countries!$I$5:$I$434,Countries!$A$5:$A$434,$B$4,Countries!$B$5:$B$434,$B$5,Countries!$D$5:$D$434,$A19),SUMIFS(Countries!$I$5:$I$434,Countries!$A$5:$A$434,$B$4,Countries!$B$5:$B$434,$B$5,Countries!$C$5:$C$434,$B$6,Countries!$D$5:$D$434,$A19)))</f>
        <v/>
      </c>
      <c r="G19" s="41">
        <f>IF(IF($B$6="Total",SUMIFS(Countries!$J$5:$J$434,Countries!$A$5:$A$434,$B$4,Countries!$B$5:$B$434,$B$5,Countries!$D$5:$D$434,$A19),SUMIFS(Countries!$J$5:$J$434,Countries!$A$5:$A$434,$B$4,Countries!$B$5:$B$434,$B$5,Countries!$C$5:$C$434,$B$6,Countries!$D$5:$D$434,$A19))=0,"",IF($B$6="Total",SUMIFS(Countries!$J$5:$J$434,Countries!$A$5:$A$434,$B$4,Countries!$B$5:$B$434,$B$5,Countries!$D$5:$D$434,$A19),SUMIFS(Countries!$J$5:$J$434,Countries!$A$5:$A$434,$B$4,Countries!$B$5:$B$434,$B$5,Countries!$C$5:$C$434,$B$6,Countries!$D$5:$D$434,$A19)))</f>
        <v/>
      </c>
      <c r="H19" s="69">
        <f>IF(OR(G19="",F19="",F19=0,G19=0),"",G19-F19)</f>
        <v/>
      </c>
      <c r="I19" s="42">
        <f>IF(OR(G19="",F19="",F19=0,G19=0),"",G19/F19-1)</f>
        <v/>
      </c>
      <c r="J19" s="43">
        <f>IF(IF($B$6="Total",SUMIFS(Countries!$E$5:$E$434,Countries!$A$5:$A$434,$B$4,Countries!$B$5:$B$434,$B$5,Countries!$D$5:$D$434,$A19,Countries!$I$5:$I$434,"&gt;0"),SUMIFS(Countries!$E$5:$E$434,Countries!$A$5:$A$434,$B$4,Countries!$B$5:$B$434,$B$5,Countries!$C$5:$C$434,$B$6,Countries!$D$5:$D$434,$A19,Countries!$I$5:$I$434,"&gt;0"))=0,"",IF($B$6="Total",SUMIFS(Countries!$I$5:$I$434,Countries!$A$5:$A$434,$B$4,Countries!$B$5:$B$434,$B$5,Countries!$D$5:$D$434,$A19,Countries!$E$5:$E$434,"&gt;0"),SUMIFS(Countries!$I$5:$I$434,Countries!$A$5:$A$434,$B$4,Countries!$B$5:$B$434,$B$5,Countries!$C$5:$C$434,$B$6,Countries!$D$5:$D$434,$A19,Countries!$E$5:$E$434,"&gt;0"))/IF($B$6="Total",SUMIFS(Countries!$E$5:$E$434,Countries!$A$5:$A$434,$B$4,Countries!$B$5:$B$434,$B$5,Countries!$D$5:$D$434,$A19,Countries!$I$5:$I$434,"&gt;0"),SUMIFS(Countries!$E$5:$E$434,Countries!$A$5:$A$434,$B$4,Countries!$B$5:$B$434,$B$5,Countries!$C$5:$C$434,$B$6,Countries!$D$5:$D$434,$A19,Countries!$I$5:$I$434,"&gt;0")))</f>
        <v/>
      </c>
      <c r="K19" s="43">
        <f>IF(IF($B$6="Total",SUMIFS(Countries!$F$5:$F$434,Countries!$A$5:$A$434,$B$4,Countries!$B$5:$B$434,$B$5,Countries!$D$5:$D$434,$A19,Countries!$J$5:$J$434,"&gt;0"),SUMIFS(Countries!$F$5:$F$434,Countries!$A$5:$A$434,$B$4,Countries!$B$5:$B$434,$B$5,Countries!$C$5:$C$434,$B$6,Countries!$D$5:$D$434,$A19,Countries!$J$5:$J$434,"&gt;0"))=0,"",IF($B$6="Total",SUMIFS(Countries!$J$5:$J$434,Countries!$A$5:$A$434,$B$4,Countries!$B$5:$B$434,$B$5,Countries!$D$5:$D$434,$A19,Countries!$F$5:$F$434,"&gt;0"),SUMIFS(Countries!$J$5:$J$434,Countries!$A$5:$A$434,$B$4,Countries!$B$5:$B$434,$B$5,Countries!$C$5:$C$434,$B$6,Countries!$D$5:$D$434,$A19,Countries!$F$5:$F$434,"&gt;0"))/IF($B$6="Total",SUMIFS(Countries!$F$5:$F$434,Countries!$A$5:$A$434,$B$4,Countries!$B$5:$B$434,$B$5,Countries!$D$5:$D$434,$A19,Countries!$J$5:$J$434,"&gt;0"),SUMIFS(Countries!$F$5:$F$434,Countries!$A$5:$A$434,$B$4,Countries!$B$5:$B$434,$B$5,Countries!$C$5:$C$434,$B$6,Countries!$D$5:$D$434,$A19,Countries!$J$5:$J$434,"&gt;0")))</f>
        <v/>
      </c>
      <c r="L19" s="44">
        <f>IF(OR(K19="",J19=""),"",(K19-J19)*100)</f>
        <v/>
      </c>
      <c r="M19" s="41">
        <f>IF(IF($B$6="Total",SUMIFS(Countries!$P$5:$P$434,Countries!$A$5:$A$434,$B$4,Countries!$B$5:$B$434,$B$5,Countries!$D$5:$D$434,$A19),SUMIFS(Countries!$P$5:$P$434,Countries!$A$5:$A$434,$B$4,Countries!$B$5:$B$434,$B$5,Countries!$C$5:$C$434,$B$6,Countries!$D$5:$D$434,$A19))=0,"",IF($B$6="Total",SUMIFS(Countries!$P$5:$P$434,Countries!$A$5:$A$434,$B$4,Countries!$B$5:$B$434,$B$5,Countries!$D$5:$D$434,$A19),SUMIFS(Countries!$P$5:$P$434,Countries!$A$5:$A$434,$B$4,Countries!$B$5:$B$434,$B$5,Countries!$C$5:$C$434,$B$6,Countries!$D$5:$D$434,$A19)))</f>
        <v/>
      </c>
      <c r="N19" s="41">
        <f>IF(IF($B$6="Total",SUMIFS(Countries!$Q$5:$Q$434,Countries!$A$5:$A$434,$B$4,Countries!$B$5:$B$434,$B$5,Countries!$D$5:$D$434,$A19),SUMIFS(Countries!$Q$5:$Q$434,Countries!$A$5:$A$434,$B$4,Countries!$B$5:$B$434,$B$5,Countries!$C$5:$C$434,$B$6,Countries!$D$5:$D$434,$A19))=0,"",IF($B$6="Total",SUMIFS(Countries!$Q$5:$Q$434,Countries!$A$5:$A$434,$B$4,Countries!$B$5:$B$434,$B$5,Countries!$D$5:$D$434,$A19),SUMIFS(Countries!$Q$5:$Q$434,Countries!$A$5:$A$434,$B$4,Countries!$B$5:$B$434,$B$5,Countries!$C$5:$C$434,$B$6,Countries!$D$5:$D$434,$A19)))</f>
        <v/>
      </c>
      <c r="O19" s="69">
        <f>IF(OR(N19="",M19="",M19=0,N19=0),"",N19-M19)</f>
        <v/>
      </c>
      <c r="P19" s="42">
        <f>IF(OR(N19="",M19="",M19=0,N19=0),"",N19/M19-1)</f>
        <v/>
      </c>
      <c r="Q19" s="43">
        <f>IF(IF($B$6="Total",SUMIFS(Countries!$E$5:$E$434,Countries!$A$5:$A$434,$B$4,Countries!$B$5:$B$434,$B$5,Countries!$D$5:$D$434,$A19,Countries!$P$5:$P$434,"&gt;0"),SUMIFS(Countries!$E$5:$E$434,Countries!$A$5:$A$434,$B$4,Countries!$B$5:$B$434,$B$5,Countries!$C$5:$C$434,$B$6,Countries!$D$5:$D$434,$A19,Countries!$P$5:$P$434,"&gt;0"))=0,"",IF($B$6="Total",SUMIFS(Countries!$P$5:$P$434,Countries!$A$5:$A$434,$B$4,Countries!$B$5:$B$434,$B$5,Countries!$D$5:$D$434,$A19,Countries!$E$5:$E$434,"&gt;0"),SUMIFS(Countries!$P$5:$P$434,Countries!$A$5:$A$434,$B$4,Countries!$B$5:$B$434,$B$5,Countries!$C$5:$C$434,$B$6,Countries!$D$5:$D$434,$A19,Countries!$E$5:$E$434,"&gt;0"))/IF($B$6="Total",SUMIFS(Countries!$E$5:$E$434,Countries!$A$5:$A$434,$B$4,Countries!$B$5:$B$434,$B$5,Countries!$D$5:$D$434,$A19,Countries!$P$5:$P$434,"&gt;0"),SUMIFS(Countries!$E$5:$E$434,Countries!$A$5:$A$434,$B$4,Countries!$B$5:$B$434,$B$5,Countries!$C$5:$C$434,$B$6,Countries!$D$5:$D$434,$A19,Countries!$P$5:$P$434,"&gt;0")))</f>
        <v/>
      </c>
      <c r="R19" s="43">
        <f>IF(IF($B$6="Total",SUMIFS(Countries!$F$5:$F$434,Countries!$A$5:$A$434,$B$4,Countries!$B$5:$B$434,$B$5,Countries!$D$5:$D$434,$A19,Countries!$Q$5:$Q$434,"&gt;0"),SUMIFS(Countries!$F$5:$F$434,Countries!$A$5:$A$434,$B$4,Countries!$B$5:$B$434,$B$5,Countries!$C$5:$C$434,$B$6,Countries!$D$5:$D$434,$A19,Countries!$Q$5:$Q$434,"&gt;0"))=0,"",IF($B$6="Total",SUMIFS(Countries!$Q$5:$Q$434,Countries!$A$5:$A$434,$B$4,Countries!$B$5:$B$434,$B$5,Countries!$D$5:$D$434,$A19,Countries!$F$5:$F$434,"&gt;0"),SUMIFS(Countries!$Q$5:$Q$434,Countries!$A$5:$A$434,$B$4,Countries!$B$5:$B$434,$B$5,Countries!$C$5:$C$434,$B$6,Countries!$D$5:$D$434,$A19,Countries!$F$5:$F$434,"&gt;0"))/IF($B$6="Total",SUMIFS(Countries!$F$5:$F$434,Countries!$A$5:$A$434,$B$4,Countries!$B$5:$B$434,$B$5,Countries!$D$5:$D$434,$A19,Countries!$Q$5:$Q$434,"&gt;0"),SUMIFS(Countries!$F$5:$F$434,Countries!$A$5:$A$434,$B$4,Countries!$B$5:$B$434,$B$5,Countries!$C$5:$C$434,$B$6,Countries!$D$5:$D$434,$A19,Countries!$Q$5:$Q$434,"&gt;0")))</f>
        <v/>
      </c>
      <c r="S19" s="44">
        <f>IF(OR(R19="",Q19=""),"",(R19-Q19)*100)</f>
        <v/>
      </c>
      <c r="T19" s="41">
        <f>IF(IF($B$6="Total",SUMIFS(Countries!$W$5:$W$434,Countries!$A$5:$A$434,$B$4,Countries!$B$5:$B$434,$B$5,Countries!$D$5:$D$434,$A19),SUMIFS(Countries!$W$5:$W$434,Countries!$A$5:$A$434,$B$4,Countries!$B$5:$B$434,$B$5,Countries!$C$5:$C$434,$B$6,Countries!$D$5:$D$434,$A19))=0,"",IF($B$6="Total",SUMIFS(Countries!$W$5:$W$434,Countries!$A$5:$A$434,$B$4,Countries!$B$5:$B$434,$B$5,Countries!$D$5:$D$434,$A19),SUMIFS(Countries!$W$5:$W$434,Countries!$A$5:$A$434,$B$4,Countries!$B$5:$B$434,$B$5,Countries!$C$5:$C$434,$B$6,Countries!$D$5:$D$434,$A19)))</f>
        <v/>
      </c>
      <c r="U19" s="41">
        <f>IF(IF($B$6="Total",SUMIFS(Countries!$X$5:$X$434,Countries!$A$5:$A$434,$B$4,Countries!$B$5:$B$434,$B$5,Countries!$D$5:$D$434,$A19),SUMIFS(Countries!$X$5:$X$434,Countries!$A$5:$A$434,$B$4,Countries!$B$5:$B$434,$B$5,Countries!$C$5:$C$434,$B$6,Countries!$D$5:$D$434,$A19))=0,"",IF($B$6="Total",SUMIFS(Countries!$X$5:$X$434,Countries!$A$5:$A$434,$B$4,Countries!$B$5:$B$434,$B$5,Countries!$D$5:$D$434,$A19),SUMIFS(Countries!$X$5:$X$434,Countries!$A$5:$A$434,$B$4,Countries!$B$5:$B$434,$B$5,Countries!$C$5:$C$434,$B$6,Countries!$D$5:$D$434,$A19)))</f>
        <v/>
      </c>
      <c r="V19" s="69">
        <f>IF(OR(U19="",T19="",T19=0,U19=0),"",U19-T19)</f>
        <v/>
      </c>
      <c r="W19" s="42">
        <f>IF(OR(U19="",T19="",T19=0,U19=0),"",U19/T19-1)</f>
        <v/>
      </c>
      <c r="X19" s="43">
        <f>IF(IF($B$6="Total",SUMIFS(Countries!$P$5:$P$434,Countries!$A$5:$A$434,$B$4,Countries!$B$5:$B$434,$B$5,Countries!$D$5:$D$434,$A19,Countries!$W$5:$W$434,"&gt;0"),SUMIFS(Countries!$P$5:$P$434,Countries!$A$5:$A$434,$B$4,Countries!$B$5:$B$434,$B$5,Countries!$C$5:$C$434,$B$6,Countries!$D$5:$D$434,$A19,Countries!$W$5:$W$434,"&gt;0"))=0,"",IF($B$6="Total",SUMIFS(Countries!$W$5:$W$434,Countries!$A$5:$A$434,$B$4,Countries!$B$5:$B$434,$B$5,Countries!$D$5:$D$434,$A19,Countries!$P$5:$P$434,"&gt;0"),SUMIFS(Countries!$W$5:$W$434,Countries!$A$5:$A$434,$B$4,Countries!$B$5:$B$434,$B$5,Countries!$C$5:$C$434,$B$6,Countries!$D$5:$D$434,$A19,Countries!$P$5:$P$434,"&gt;0"))/IF($B$6="Total",SUMIFS(Countries!$P$5:$P$434,Countries!$A$5:$A$434,$B$4,Countries!$B$5:$B$434,$B$5,Countries!$D$5:$D$434,$A19,Countries!$W$5:$W$434,"&gt;0"),SUMIFS(Countries!$P$5:$P$434,Countries!$A$5:$A$434,$B$4,Countries!$B$5:$B$434,$B$5,Countries!$C$5:$C$434,$B$6,Countries!$D$5:$D$434,$A19,Countries!$W$5:$W$434,"&gt;0")))</f>
        <v/>
      </c>
      <c r="Y19" s="43">
        <f>IF(IF($B$6="Total",SUMIFS(Countries!$Q$5:$Q$434,Countries!$A$5:$A$434,$B$4,Countries!$B$5:$B$434,$B$5,Countries!$D$5:$D$434,$A19,Countries!$X$5:$X$434,"&gt;0"),SUMIFS(Countries!$Q$5:$Q$434,Countries!$A$5:$A$434,$B$4,Countries!$B$5:$B$434,$B$5,Countries!$C$5:$C$434,$B$6,Countries!$D$5:$D$434,$A19,Countries!$X$5:$X$434,"&gt;0"))=0,"",IF($B$6="Total",SUMIFS(Countries!$X$5:$X$434,Countries!$A$5:$A$434,$B$4,Countries!$B$5:$B$434,$B$5,Countries!$D$5:$D$434,$A19,Countries!$Q$5:$Q$434,"&gt;0"),SUMIFS(Countries!$X$5:$X$434,Countries!$A$5:$A$434,$B$4,Countries!$B$5:$B$434,$B$5,Countries!$C$5:$C$434,$B$6,Countries!$D$5:$D$434,$A19,Countries!$Q$5:$Q$434,"&gt;0"))/IF($B$6="Total",SUMIFS(Countries!$Q$5:$Q$434,Countries!$A$5:$A$434,$B$4,Countries!$B$5:$B$434,$B$5,Countries!$D$5:$D$434,$A19,Countries!$X$5:$X$434,"&gt;0"),SUMIFS(Countries!$Q$5:$Q$434,Countries!$A$5:$A$434,$B$4,Countries!$B$5:$B$434,$B$5,Countries!$C$5:$C$434,$B$6,Countries!$D$5:$D$434,$A19,Countries!$X$5:$X$434,"&gt;0")))</f>
        <v/>
      </c>
      <c r="Z19" s="44">
        <f>IF(OR(Y19="",X19=""),"",(Y19-X19)*100)</f>
        <v/>
      </c>
      <c r="AA19" s="41">
        <f>IF(IF($B$6="Total",SUMIFS(Countries!$AD$5:$AD$434,Countries!$A$5:$A$434,$B$4,Countries!$B$5:$B$434,$B$5,Countries!$D$5:$D$434,$A19),SUMIFS(Countries!$AD$5:$AD$434,Countries!$A$5:$A$434,$B$4,Countries!$B$5:$B$434,$B$5,Countries!$C$5:$C$434,$B$6,Countries!$D$5:$D$434,$A19))=0,"",IF($B$6="Total",SUMIFS(Countries!$AD$5:$AD$434,Countries!$A$5:$A$434,$B$4,Countries!$B$5:$B$434,$B$5,Countries!$D$5:$D$434,$A19),SUMIFS(Countries!$AD$5:$AD$434,Countries!$A$5:$A$434,$B$4,Countries!$B$5:$B$434,$B$5,Countries!$C$5:$C$434,$B$6,Countries!$D$5:$D$434,$A19)))</f>
        <v/>
      </c>
      <c r="AB19" s="41">
        <f>IF(IF($B$6="Total",SUMIFS(Countries!$AE$5:$AE$434,Countries!$A$5:$A$434,$B$4,Countries!$B$5:$B$434,$B$5,Countries!$D$5:$D$434,$A19),SUMIFS(Countries!$AE$5:$AE$434,Countries!$A$5:$A$434,$B$4,Countries!$B$5:$B$434,$B$5,Countries!$C$5:$C$434,$B$6,Countries!$D$5:$D$434,$A19))=0,"",IF($B$6="Total",SUMIFS(Countries!$AE$5:$AE$434,Countries!$A$5:$A$434,$B$4,Countries!$B$5:$B$434,$B$5,Countries!$D$5:$D$434,$A19),SUMIFS(Countries!$AE$5:$AE$434,Countries!$A$5:$A$434,$B$4,Countries!$B$5:$B$434,$B$5,Countries!$C$5:$C$434,$B$6,Countries!$D$5:$D$434,$A19)))</f>
        <v/>
      </c>
      <c r="AC19" s="69">
        <f>IF(OR(AB19="",AA19="",AA19=0,AB19=0),"",AB19-AA19)</f>
        <v/>
      </c>
      <c r="AD19" s="42">
        <f>IF(OR(AB19="",AA19="",AA19=0,AB19=0),"",AB19/AA19-1)</f>
        <v/>
      </c>
      <c r="AE19" s="43">
        <f>IF(IF($B$6="Total",SUMIFS(Countries!$W$5:$W$434,Countries!$A$5:$A$434,$B$4,Countries!$B$5:$B$434,$B$5,Countries!$D$5:$D$434,$A19,Countries!$AD$5:$AD$434,"&gt;0"),SUMIFS(Countries!$W$5:$W$434,Countries!$A$5:$A$434,$B$4,Countries!$B$5:$B$434,$B$5,Countries!$C$5:$C$434,$B$6,Countries!$D$5:$D$434,$A19,Countries!$AD$5:$AD$434,"&gt;0"))=0,"",IF($B$6="Total",SUMIFS(Countries!$AD$5:$AD$434,Countries!$A$5:$A$434,$B$4,Countries!$B$5:$B$434,$B$5,Countries!$D$5:$D$434,$A19,Countries!$W$5:$W$434,"&gt;0"),SUMIFS(Countries!$AD$5:$AD$434,Countries!$A$5:$A$434,$B$4,Countries!$B$5:$B$434,$B$5,Countries!$C$5:$C$434,$B$6,Countries!$D$5:$D$434,$A19,Countries!$W$5:$W$434,"&gt;0"))/IF($B$6="Total",SUMIFS(Countries!$W$5:$W$434,Countries!$A$5:$A$434,$B$4,Countries!$B$5:$B$434,$B$5,Countries!$D$5:$D$434,$A19,Countries!$AD$5:$AD$434,"&gt;0"),SUMIFS(Countries!$W$5:$W$434,Countries!$A$5:$A$434,$B$4,Countries!$B$5:$B$434,$B$5,Countries!$C$5:$C$434,$B$6,Countries!$D$5:$D$434,$A19,Countries!$AD$5:$AD$434,"&gt;0")))</f>
        <v/>
      </c>
      <c r="AF19" s="43">
        <f>IF(IF($B$6="Total",SUMIFS(Countries!$X$5:$X$434,Countries!$A$5:$A$434,$B$4,Countries!$B$5:$B$434,$B$5,Countries!$D$5:$D$434,$A19,Countries!$AE$5:$AE$434,"&gt;0"),SUMIFS(Countries!$X$5:$X$434,Countries!$A$5:$A$434,$B$4,Countries!$B$5:$B$434,$B$5,Countries!$C$5:$C$434,$B$6,Countries!$D$5:$D$434,$A19,Countries!$AE$5:$AE$434,"&gt;0"))=0,"",IF($B$6="Total",SUMIFS(Countries!$AE$5:$AE$434,Countries!$A$5:$A$434,$B$4,Countries!$B$5:$B$434,$B$5,Countries!$D$5:$D$434,$A19,Countries!$X$5:$X$434,"&gt;0"),SUMIFS(Countries!$AE$5:$AE$434,Countries!$A$5:$A$434,$B$4,Countries!$B$5:$B$434,$B$5,Countries!$C$5:$C$434,$B$6,Countries!$D$5:$D$434,$A19,Countries!$X$5:$X$434,"&gt;0"))/IF($B$6="Total",SUMIFS(Countries!$X$5:$X$434,Countries!$A$5:$A$434,$B$4,Countries!$B$5:$B$434,$B$5,Countries!$D$5:$D$434,$A19,Countries!$AE$5:$AE$434,"&gt;0"),SUMIFS(Countries!$X$5:$X$434,Countries!$A$5:$A$434,$B$4,Countries!$B$5:$B$434,$B$5,Countries!$C$5:$C$434,$B$6,Countries!$D$5:$D$434,$A19,Countries!$AE$5:$AE$434,"&gt;0")))</f>
        <v/>
      </c>
      <c r="AG19" s="44">
        <f>IF(OR(AF19="",AE19=""),"",(AF19-AE19)*100)</f>
        <v/>
      </c>
      <c r="AH19" s="41">
        <f>IF(IF($B$6="Total",SUMIFS(Countries!$AK$5:$AK$434,Countries!$A$5:$A$434,$B$4,Countries!$B$5:$B$434,$B$5,Countries!$D$5:$D$434,$A19),SUMIFS(Countries!$AK$5:$AK$434,Countries!$A$5:$A$434,$B$4,Countries!$B$5:$B$434,$B$5,Countries!$C$5:$C$434,$B$6,Countries!$D$5:$D$434,$A19))=0,"",IF($B$6="Total",SUMIFS(Countries!$AK$5:$AK$434,Countries!$A$5:$A$434,$B$4,Countries!$B$5:$B$434,$B$5,Countries!$D$5:$D$434,$A19),SUMIFS(Countries!$AK$5:$AK$434,Countries!$A$5:$A$434,$B$4,Countries!$B$5:$B$434,$B$5,Countries!$C$5:$C$434,$B$6,Countries!$D$5:$D$434,$A19)))</f>
        <v/>
      </c>
      <c r="AI19" s="41">
        <f>IF(IF($B$6="Total",SUMIFS(Countries!$AL$5:$AL$434,Countries!$A$5:$A$434,$B$4,Countries!$B$5:$B$434,$B$5,Countries!$D$5:$D$434,$A19),SUMIFS(Countries!$AL$5:$AL$434,Countries!$A$5:$A$434,$B$4,Countries!$B$5:$B$434,$B$5,Countries!$C$5:$C$434,$B$6,Countries!$D$5:$D$434,$A19))=0,"",IF($B$6="Total",SUMIFS(Countries!$AL$5:$AL$434,Countries!$A$5:$A$434,$B$4,Countries!$B$5:$B$434,$B$5,Countries!$D$5:$D$434,$A19),SUMIFS(Countries!$AL$5:$AL$434,Countries!$A$5:$A$434,$B$4,Countries!$B$5:$B$434,$B$5,Countries!$C$5:$C$434,$B$6,Countries!$D$5:$D$434,$A19)))</f>
        <v/>
      </c>
      <c r="AJ19" s="69">
        <f>IF(OR(AI19="",AH19="",AH19=0,AI19=0),"",AI19-AH19)</f>
        <v/>
      </c>
      <c r="AK19" s="42">
        <f>IF(OR(AI19="",AH19="",AH19=0,AI19=0),"",AI19/AH19-1)</f>
        <v/>
      </c>
      <c r="AL19" s="43">
        <f>IF(IF($B$6="Total",SUMIFS(Countries!$AD$5:$AD$434,Countries!$A$5:$A$434,$B$4,Countries!$B$5:$B$434,$B$5,Countries!$D$5:$D$434,$A19,Countries!$AK$5:$AK$434,"&gt;0"),SUMIFS(Countries!$AD$5:$AD$434,Countries!$A$5:$A$434,$B$4,Countries!$B$5:$B$434,$B$5,Countries!$C$5:$C$434,$B$6,Countries!$D$5:$D$434,$A19,Countries!$AK$5:$AK$434,"&gt;0"))=0,"",IF($B$6="Total",SUMIFS(Countries!$AK$5:$AK$434,Countries!$A$5:$A$434,$B$4,Countries!$B$5:$B$434,$B$5,Countries!$D$5:$D$434,$A19,Countries!$AD$5:$AD$434,"&gt;0"),SUMIFS(Countries!$AK$5:$AK$434,Countries!$A$5:$A$434,$B$4,Countries!$B$5:$B$434,$B$5,Countries!$C$5:$C$434,$B$6,Countries!$D$5:$D$434,$A19,Countries!$AD$5:$AD$434,"&gt;0"))/IF($B$6="Total",SUMIFS(Countries!$AD$5:$AD$434,Countries!$A$5:$A$434,$B$4,Countries!$B$5:$B$434,$B$5,Countries!$D$5:$D$434,$A19,Countries!$AK$5:$AK$434,"&gt;0"),SUMIFS(Countries!$AD$5:$AD$434,Countries!$A$5:$A$434,$B$4,Countries!$B$5:$B$434,$B$5,Countries!$C$5:$C$434,$B$6,Countries!$D$5:$D$434,$A19,Countries!$AK$5:$AK$434,"&gt;0")))</f>
        <v/>
      </c>
      <c r="AM19" s="43">
        <f>IF(IF($B$6="Total",SUMIFS(Countries!$AE$5:$AE$434,Countries!$A$5:$A$434,$B$4,Countries!$B$5:$B$434,$B$5,Countries!$D$5:$D$434,$A19,Countries!$AL$5:$AL$434,"&gt;0"),SUMIFS(Countries!$AE$5:$AE$434,Countries!$A$5:$A$434,$B$4,Countries!$B$5:$B$434,$B$5,Countries!$C$5:$C$434,$B$6,Countries!$D$5:$D$434,$A19,Countries!$AL$5:$AL$434,"&gt;0"))=0,"",IF($B$6="Total",SUMIFS(Countries!$AL$5:$AL$434,Countries!$A$5:$A$434,$B$4,Countries!$B$5:$B$434,$B$5,Countries!$D$5:$D$434,$A19,Countries!$AE$5:$AE$434,"&gt;0"),SUMIFS(Countries!$AL$5:$AL$434,Countries!$A$5:$A$434,$B$4,Countries!$B$5:$B$434,$B$5,Countries!$C$5:$C$434,$B$6,Countries!$D$5:$D$434,$A19,Countries!$AE$5:$AE$434,"&gt;0"))/IF($B$6="Total",SUMIFS(Countries!$AE$5:$AE$434,Countries!$A$5:$A$434,$B$4,Countries!$B$5:$B$434,$B$5,Countries!$D$5:$D$434,$A19,Countries!$AL$5:$AL$434,"&gt;0"),SUMIFS(Countries!$AE$5:$AE$434,Countries!$A$5:$A$434,$B$4,Countries!$B$5:$B$434,$B$5,Countries!$C$5:$C$434,$B$6,Countries!$D$5:$D$434,$A19,Countries!$AL$5:$AL$434,"&gt;0")))</f>
        <v/>
      </c>
      <c r="AN19" s="44">
        <f>IF(OR(AM19="",AL19=""),"",(AM19-AL19)*100)</f>
        <v/>
      </c>
      <c r="AO19" s="41">
        <f>IF(IF($B$6="Total",SUMIFS(Countries!$AR$5:$AR$434,Countries!$A$5:$A$434,$B$4,Countries!$B$5:$B$434,$B$5,Countries!$D$5:$D$434,$A19),SUMIFS(Countries!$AR$5:$AR$434,Countries!$A$5:$A$434,$B$4,Countries!$B$5:$B$434,$B$5,Countries!$C$5:$C$434,$B$6,Countries!$D$5:$D$434,$A19))=0,"",IF($B$6="Total",SUMIFS(Countries!$AR$5:$AR$434,Countries!$A$5:$A$434,$B$4,Countries!$B$5:$B$434,$B$5,Countries!$D$5:$D$434,$A19),SUMIFS(Countries!$AR$5:$AR$434,Countries!$A$5:$A$434,$B$4,Countries!$B$5:$B$434,$B$5,Countries!$C$5:$C$434,$B$6,Countries!$D$5:$D$434,$A19)))</f>
        <v/>
      </c>
      <c r="AP19" s="41">
        <f>IF(IF($B$6="Total",SUMIFS(Countries!$AS$5:$AS$434,Countries!$A$5:$A$434,$B$4,Countries!$B$5:$B$434,$B$5,Countries!$D$5:$D$434,$A19),SUMIFS(Countries!$AS$5:$AS$434,Countries!$A$5:$A$434,$B$4,Countries!$B$5:$B$434,$B$5,Countries!$C$5:$C$434,$B$6,Countries!$D$5:$D$434,$A19))=0,"",IF($B$6="Total",SUMIFS(Countries!$AS$5:$AS$434,Countries!$A$5:$A$434,$B$4,Countries!$B$5:$B$434,$B$5,Countries!$D$5:$D$434,$A19),SUMIFS(Countries!$AS$5:$AS$434,Countries!$A$5:$A$434,$B$4,Countries!$B$5:$B$434,$B$5,Countries!$C$5:$C$434,$B$6,Countries!$D$5:$D$434,$A19)))</f>
        <v/>
      </c>
      <c r="AQ19" s="69">
        <f>IF(OR(AP19="",AO19="",AO19=0,AP19=0),"",AP19-AO19)</f>
        <v/>
      </c>
      <c r="AR19" s="42">
        <f>IF(OR(AP19="",AO19="",AO19=0,AP19=0),"",AP19/AO19-1)</f>
        <v/>
      </c>
      <c r="AS19" s="43">
        <f>IF(IF($B$6="Total",SUMIFS(Countries!$AK$5:$AK$434,Countries!$A$5:$A$434,$B$4,Countries!$B$5:$B$434,$B$5,Countries!$D$5:$D$434,$A19,Countries!$AR$5:$AR$434,"&gt;0"),SUMIFS(Countries!$AK$5:$AK$434,Countries!$A$5:$A$434,$B$4,Countries!$B$5:$B$434,$B$5,Countries!$C$5:$C$434,$B$6,Countries!$D$5:$D$434,$A19,Countries!$AR$5:$AR$434,"&gt;0"))=0,"",IF($B$6="Total",SUMIFS(Countries!$AR$5:$AR$434,Countries!$A$5:$A$434,$B$4,Countries!$B$5:$B$434,$B$5,Countries!$D$5:$D$434,$A19,Countries!$AK$5:$AK$434,"&gt;0"),SUMIFS(Countries!$AR$5:$AR$434,Countries!$A$5:$A$434,$B$4,Countries!$B$5:$B$434,$B$5,Countries!$C$5:$C$434,$B$6,Countries!$D$5:$D$434,$A19,Countries!$AK$5:$AK$434,"&gt;0"))/IF($B$6="Total",SUMIFS(Countries!$AK$5:$AK$434,Countries!$A$5:$A$434,$B$4,Countries!$B$5:$B$434,$B$5,Countries!$D$5:$D$434,$A19,Countries!$AR$5:$AR$434,"&gt;0"),SUMIFS(Countries!$AK$5:$AK$434,Countries!$A$5:$A$434,$B$4,Countries!$B$5:$B$434,$B$5,Countries!$C$5:$C$434,$B$6,Countries!$D$5:$D$434,$A19,Countries!$AR$5:$AR$434,"&gt;0")))</f>
        <v/>
      </c>
      <c r="AT19" s="43">
        <f>IF(IF($B$6="Total",SUMIFS(Countries!$AL$5:$AL$434,Countries!$A$5:$A$434,$B$4,Countries!$B$5:$B$434,$B$5,Countries!$D$5:$D$434,$A19,Countries!$AS$5:$AS$434,"&gt;0"),SUMIFS(Countries!$AL$5:$AL$434,Countries!$A$5:$A$434,$B$4,Countries!$B$5:$B$434,$B$5,Countries!$C$5:$C$434,$B$6,Countries!$D$5:$D$434,$A19,Countries!$AS$5:$AS$434,"&gt;0"))=0,"",IF($B$6="Total",SUMIFS(Countries!$AS$5:$AS$434,Countries!$A$5:$A$434,$B$4,Countries!$B$5:$B$434,$B$5,Countries!$D$5:$D$434,$A19,Countries!$AL$5:$AL$434,"&gt;0"),SUMIFS(Countries!$AS$5:$AS$434,Countries!$A$5:$A$434,$B$4,Countries!$B$5:$B$434,$B$5,Countries!$C$5:$C$434,$B$6,Countries!$D$5:$D$434,$A19,Countries!$AL$5:$AL$434,"&gt;0"))/IF($B$6="Total",SUMIFS(Countries!$AL$5:$AL$434,Countries!$A$5:$A$434,$B$4,Countries!$B$5:$B$434,$B$5,Countries!$D$5:$D$434,$A19,Countries!$AS$5:$AS$434,"&gt;0"),SUMIFS(Countries!$AL$5:$AL$434,Countries!$A$5:$A$434,$B$4,Countries!$B$5:$B$434,$B$5,Countries!$C$5:$C$434,$B$6,Countries!$D$5:$D$434,$A19,Countries!$AS$5:$AS$434,"&gt;0")))</f>
        <v/>
      </c>
      <c r="AU19" s="44">
        <f>IF(OR(AT19="",AS19=""),"",(AT19-AS19)*100)</f>
        <v/>
      </c>
      <c r="AV19" s="45">
        <f>IF(IF($B$6="Total",SUMIFS(Countries!$P$5:$P$434,Countries!$A$5:$A$434,$B$4,Countries!$B$5:$B$434,$B$5,Countries!$D$5:$D$434,$A19,Countries!$AR$5:$AR$434,"&gt;0"),SUMIFS(Countries!$P$5:$P$434,Countries!$A$5:$A$434,$B$4,Countries!$B$5:$B$434,$B$5,Countries!$C$5:$C$434,$B$6,Countries!$D$5:$D$434,$A19,Countries!$AR$5:$AR$434,"&gt;0"))=0,"",IF($B$6="Total",SUMIFS(Countries!$AR$5:$AR$434,Countries!$A$5:$A$434,$B$4,Countries!$B$5:$B$434,$B$5,Countries!$D$5:$D$434,$A19,Countries!$P$5:$P$434,"&gt;0"),SUMIFS(Countries!$AR$5:$AR$434,Countries!$A$5:$A$434,$B$4,Countries!$B$5:$B$434,$B$5,Countries!$C$5:$C$434,$B$6,Countries!$D$5:$D$434,$A19,Countries!$P$5:$P$434,"&gt;0"))/IF($B$6="Total",SUMIFS(Countries!$P$5:$P$434,Countries!$A$5:$A$434,$B$4,Countries!$B$5:$B$434,$B$5,Countries!$D$5:$D$434,$A19,Countries!$AR$5:$AR$434,"&gt;0"),SUMIFS(Countries!$P$5:$P$434,Countries!$A$5:$A$434,$B$4,Countries!$B$5:$B$434,$B$5,Countries!$C$5:$C$434,$B$6,Countries!$D$5:$D$434,$A19,Countries!$AR$5:$AR$434,"&gt;0")))</f>
        <v/>
      </c>
      <c r="AW19" s="45">
        <f>IF(IF($B$6="Total",SUMIFS(Countries!$Q$5:$Q$434,Countries!$A$5:$A$434,$B$4,Countries!$B$5:$B$434,$B$5,Countries!$D$5:$D$434,$A19,Countries!$AS$5:$AS$434,"&gt;0"),SUMIFS(Countries!$Q$5:$Q$434,Countries!$A$5:$A$434,$B$4,Countries!$B$5:$B$434,$B$5,Countries!$C$5:$C$434,$B$6,Countries!$D$5:$D$434,$A19,Countries!$AS$5:$AS$434,"&gt;0"))=0,"",IF($B$6="Total",SUMIFS(Countries!$AS$5:$AS$434,Countries!$A$5:$A$434,$B$4,Countries!$B$5:$B$434,$B$5,Countries!$D$5:$D$434,$A19,Countries!$Q$5:$Q$434,"&gt;0"),SUMIFS(Countries!$AS$5:$AS$434,Countries!$A$5:$A$434,$B$4,Countries!$B$5:$B$434,$B$5,Countries!$C$5:$C$434,$B$6,Countries!$D$5:$D$434,$A19,Countries!$Q$5:$Q$434,"&gt;0"))/IF($B$6="Total",SUMIFS(Countries!$Q$5:$Q$434,Countries!$A$5:$A$434,$B$4,Countries!$B$5:$B$434,$B$5,Countries!$D$5:$D$434,$A19,Countries!$AS$5:$AS$434,"&gt;0"),SUMIFS(Countries!$Q$5:$Q$434,Countries!$A$5:$A$434,$B$4,Countries!$B$5:$B$434,$B$5,Countries!$C$5:$C$434,$B$6,Countries!$D$5:$D$434,$A19,Countries!$AS$5:$AS$434,"&gt;0")))</f>
        <v/>
      </c>
      <c r="AX19" s="44">
        <f>IF(OR(AW19="",AV19=""),"",(AW19-AV19)*100)</f>
        <v/>
      </c>
      <c r="AY19" s="45">
        <f>IF(IF($B$6="Total",SUMIFS(Countries!$E$5:$E$434,Countries!$A$5:$A$434,$B$4,Countries!$B$5:$B$434,$B$5,Countries!$D$5:$D$434,$A19,Countries!$AR$5:$AR$434,"&gt;0"),SUMIFS(Countries!$E$5:$E$434,Countries!$A$5:$A$434,$B$4,Countries!$B$5:$B$434,$B$5,Countries!$C$5:$C$434,$B$6,Countries!$D$5:$D$434,$A19,Countries!$AR$5:$AR$434,"&gt;0"))=0,"",IF($B$6="Total",SUMIFS(Countries!$AR$5:$AR$434,Countries!$A$5:$A$434,$B$4,Countries!$B$5:$B$434,$B$5,Countries!$D$5:$D$434,$A19,Countries!$E$5:$E$434,"&gt;0"),SUMIFS(Countries!$AR$5:$AR$434,Countries!$A$5:$A$434,$B$4,Countries!$B$5:$B$434,$B$5,Countries!$C$5:$C$434,$B$6,Countries!$D$5:$D$434,$A19,Countries!$E$5:$E$434,"&gt;0"))/IF($B$6="Total",SUMIFS(Countries!$E$5:$E$434,Countries!$A$5:$A$434,$B$4,Countries!$B$5:$B$434,$B$5,Countries!$D$5:$D$434,$A19,Countries!$AR$5:$AR$434,"&gt;0"),SUMIFS(Countries!$E$5:$E$434,Countries!$A$5:$A$434,$B$4,Countries!$B$5:$B$434,$B$5,Countries!$C$5:$C$434,$B$6,Countries!$D$5:$D$434,$A19,Countries!$AR$5:$AR$434,"&gt;0")))</f>
        <v/>
      </c>
      <c r="AZ19" s="45">
        <f>IF(IF($B$6="Total",SUMIFS(Countries!$F$5:$F$434,Countries!$A$5:$A$434,$B$4,Countries!$B$5:$B$434,$B$5,Countries!$D$5:$D$434,$A19,Countries!$AS$5:$AS$434,"&gt;0"),SUMIFS(Countries!$F$5:$F$434,Countries!$A$5:$A$434,$B$4,Countries!$B$5:$B$434,$B$5,Countries!$C$5:$C$434,$B$6,Countries!$D$5:$D$434,$A19,Countries!$AS$5:$AS$434,"&gt;0"))=0,"",IF($B$6="Total",SUMIFS(Countries!$AS$5:$AS$434,Countries!$A$5:$A$434,$B$4,Countries!$B$5:$B$434,$B$5,Countries!$D$5:$D$434,$A19,Countries!$F$5:$F$434,"&gt;0"),SUMIFS(Countries!$AS$5:$AS$434,Countries!$A$5:$A$434,$B$4,Countries!$B$5:$B$434,$B$5,Countries!$C$5:$C$434,$B$6,Countries!$D$5:$D$434,$A19,Countries!$F$5:$F$434,"&gt;0"))/IF($B$6="Total",SUMIFS(Countries!$F$5:$F$434,Countries!$A$5:$A$434,$B$4,Countries!$B$5:$B$434,$B$5,Countries!$D$5:$D$434,$A19,Countries!$AS$5:$AS$434,"&gt;0"),SUMIFS(Countries!$F$5:$F$434,Countries!$A$5:$A$434,$B$4,Countries!$B$5:$B$434,$B$5,Countries!$C$5:$C$434,$B$6,Countries!$D$5:$D$434,$A19,Countries!$AS$5:$AS$434,"&gt;0")))</f>
        <v/>
      </c>
      <c r="BA19" s="44">
        <f>IF(OR(AZ19="",AY19=""),"",(AZ19-AY19)*100)</f>
        <v/>
      </c>
      <c r="BB19" s="40">
        <f>IF(AND(IF($B$6="Total",COUNTIFS(Countries!$A$5:$A$434,$B$4,Countries!$B$5:$B$434,$B$5,Countries!$D$5:$D$434,$A19,Countries!$F$5:$F$434,"&gt;0"),COUNTIFS(Countries!$A$5:$A$434,$B$4,Countries!$B$5:$B$434,$B$5,Countries!$C$5:$C$434,$B$6,Countries!$D$5:$D$434,$A19,Countries!$F$5:$F$434,"&gt;0"))=0,IF($B$6="Total",COUNTIFS(Countries!$A$5:$A$434,$B$4,Countries!$B$5:$B$434,$B$5,Countries!$D$5:$D$434,$A19,Countries!$E$5:$E$434,"&gt;0"),COUNTIFS(Countries!$A$5:$A$434,$B$4,Countries!$B$5:$B$434,$B$5,Countries!$C$5:$C$434,$B$6,Countries!$D$5:$D$434,$A19,Countries!$E$5:$E$434,"&gt;0"))=0),"",IF(IF($B$6="Total",COUNTIFS(Countries!$A$5:$A$434,$B$4,Countries!$B$5:$B$434,$B$5,Countries!$D$5:$D$434,$A19,Countries!$F$5:$F$434,"&gt;0"),COUNTIFS(Countries!$A$5:$A$434,$B$4,Countries!$B$5:$B$434,$B$5,Countries!$C$5:$C$434,$B$6,Countries!$D$5:$D$434,$A19,Countries!$F$5:$F$434,"&gt;0"))=0,"1-23Aug25 rows only",IF(IF($B$6="Total",COUNTIFS(Countries!$A$5:$A$434,$B$4,Countries!$B$5:$B$434,$B$5,Countries!$D$5:$D$434,$A19,Countries!$E$5:$E$434,"&gt;0"),COUNTIFS(Countries!$A$5:$A$434,$B$4,Countries!$B$5:$B$434,$B$5,Countries!$C$5:$C$434,$B$6,Countries!$D$5:$D$434,$A19,Countries!$E$5:$E$434,"&gt;0"))=0,"1-23Aug26 rows only",IF(IF($B$6="Total",COUNTIFS(Countries!$A$5:$A$434,$B$4,Countries!$B$5:$B$434,$B$5,Countries!$D$5:$D$434,$A19,Countries!$F$5:$F$434,"&gt;0"),COUNTIFS(Countries!$A$5:$A$434,$B$4,Countries!$B$5:$B$434,$B$5,Countries!$C$5:$C$434,$B$6,Countries!$D$5:$D$434,$A19,Countries!$F$5:$F$434,"&gt;0"))=IF($B$6="Total",COUNTIFS(Countries!$A$5:$A$434,$B$4,Countries!$B$5:$B$434,$B$5,Countries!$D$5:$D$434,$A19,Countries!$E$5:$E$434,"&gt;0"),COUNTIFS(Countries!$A$5:$A$434,$B$4,Countries!$B$5:$B$434,$B$5,Countries!$C$5:$C$434,$B$6,Countries!$D$5:$D$434,$A19,Countries!$E$5:$E$434,"&gt;0")),"Like-for-like","Partial — coverage differs"))))</f>
        <v/>
      </c>
    </row>
    <row r="20">
      <c r="A20" s="56" t="inlineStr">
        <is>
          <t>Austria</t>
        </is>
      </c>
      <c r="B20" s="41">
        <f>IF(IF($B$6="Total",SUMIFS(Countries!$E$5:$E$434,Countries!$A$5:$A$434,$B$4,Countries!$B$5:$B$434,$B$5,Countries!$D$5:$D$434,$A20),SUMIFS(Countries!$E$5:$E$434,Countries!$A$5:$A$434,$B$4,Countries!$B$5:$B$434,$B$5,Countries!$C$5:$C$434,$B$6,Countries!$D$5:$D$434,$A20))=0,"",IF($B$6="Total",SUMIFS(Countries!$E$5:$E$434,Countries!$A$5:$A$434,$B$4,Countries!$B$5:$B$434,$B$5,Countries!$D$5:$D$434,$A20),SUMIFS(Countries!$E$5:$E$434,Countries!$A$5:$A$434,$B$4,Countries!$B$5:$B$434,$B$5,Countries!$C$5:$C$434,$B$6,Countries!$D$5:$D$434,$A20)))</f>
        <v/>
      </c>
      <c r="C20" s="41">
        <f>IF(IF($B$6="Total",SUMIFS(Countries!$F$5:$F$434,Countries!$A$5:$A$434,$B$4,Countries!$B$5:$B$434,$B$5,Countries!$D$5:$D$434,$A20),SUMIFS(Countries!$F$5:$F$434,Countries!$A$5:$A$434,$B$4,Countries!$B$5:$B$434,$B$5,Countries!$C$5:$C$434,$B$6,Countries!$D$5:$D$434,$A20))=0,"",IF($B$6="Total",SUMIFS(Countries!$F$5:$F$434,Countries!$A$5:$A$434,$B$4,Countries!$B$5:$B$434,$B$5,Countries!$D$5:$D$434,$A20),SUMIFS(Countries!$F$5:$F$434,Countries!$A$5:$A$434,$B$4,Countries!$B$5:$B$434,$B$5,Countries!$C$5:$C$434,$B$6,Countries!$D$5:$D$434,$A20)))</f>
        <v/>
      </c>
      <c r="D20" s="69">
        <f>IF(OR(C20="",B20="",B20=0,C20=0),"",C20-B20)</f>
        <v/>
      </c>
      <c r="E20" s="42">
        <f>IF(OR(C20="",B20="",B20=0,C20=0),"",C20/B20-1)</f>
        <v/>
      </c>
      <c r="F20" s="41">
        <f>IF(IF($B$6="Total",SUMIFS(Countries!$I$5:$I$434,Countries!$A$5:$A$434,$B$4,Countries!$B$5:$B$434,$B$5,Countries!$D$5:$D$434,$A20),SUMIFS(Countries!$I$5:$I$434,Countries!$A$5:$A$434,$B$4,Countries!$B$5:$B$434,$B$5,Countries!$C$5:$C$434,$B$6,Countries!$D$5:$D$434,$A20))=0,"",IF($B$6="Total",SUMIFS(Countries!$I$5:$I$434,Countries!$A$5:$A$434,$B$4,Countries!$B$5:$B$434,$B$5,Countries!$D$5:$D$434,$A20),SUMIFS(Countries!$I$5:$I$434,Countries!$A$5:$A$434,$B$4,Countries!$B$5:$B$434,$B$5,Countries!$C$5:$C$434,$B$6,Countries!$D$5:$D$434,$A20)))</f>
        <v/>
      </c>
      <c r="G20" s="41">
        <f>IF(IF($B$6="Total",SUMIFS(Countries!$J$5:$J$434,Countries!$A$5:$A$434,$B$4,Countries!$B$5:$B$434,$B$5,Countries!$D$5:$D$434,$A20),SUMIFS(Countries!$J$5:$J$434,Countries!$A$5:$A$434,$B$4,Countries!$B$5:$B$434,$B$5,Countries!$C$5:$C$434,$B$6,Countries!$D$5:$D$434,$A20))=0,"",IF($B$6="Total",SUMIFS(Countries!$J$5:$J$434,Countries!$A$5:$A$434,$B$4,Countries!$B$5:$B$434,$B$5,Countries!$D$5:$D$434,$A20),SUMIFS(Countries!$J$5:$J$434,Countries!$A$5:$A$434,$B$4,Countries!$B$5:$B$434,$B$5,Countries!$C$5:$C$434,$B$6,Countries!$D$5:$D$434,$A20)))</f>
        <v/>
      </c>
      <c r="H20" s="69">
        <f>IF(OR(G20="",F20="",F20=0,G20=0),"",G20-F20)</f>
        <v/>
      </c>
      <c r="I20" s="42">
        <f>IF(OR(G20="",F20="",F20=0,G20=0),"",G20/F20-1)</f>
        <v/>
      </c>
      <c r="J20" s="43">
        <f>IF(IF($B$6="Total",SUMIFS(Countries!$E$5:$E$434,Countries!$A$5:$A$434,$B$4,Countries!$B$5:$B$434,$B$5,Countries!$D$5:$D$434,$A20,Countries!$I$5:$I$434,"&gt;0"),SUMIFS(Countries!$E$5:$E$434,Countries!$A$5:$A$434,$B$4,Countries!$B$5:$B$434,$B$5,Countries!$C$5:$C$434,$B$6,Countries!$D$5:$D$434,$A20,Countries!$I$5:$I$434,"&gt;0"))=0,"",IF($B$6="Total",SUMIFS(Countries!$I$5:$I$434,Countries!$A$5:$A$434,$B$4,Countries!$B$5:$B$434,$B$5,Countries!$D$5:$D$434,$A20,Countries!$E$5:$E$434,"&gt;0"),SUMIFS(Countries!$I$5:$I$434,Countries!$A$5:$A$434,$B$4,Countries!$B$5:$B$434,$B$5,Countries!$C$5:$C$434,$B$6,Countries!$D$5:$D$434,$A20,Countries!$E$5:$E$434,"&gt;0"))/IF($B$6="Total",SUMIFS(Countries!$E$5:$E$434,Countries!$A$5:$A$434,$B$4,Countries!$B$5:$B$434,$B$5,Countries!$D$5:$D$434,$A20,Countries!$I$5:$I$434,"&gt;0"),SUMIFS(Countries!$E$5:$E$434,Countries!$A$5:$A$434,$B$4,Countries!$B$5:$B$434,$B$5,Countries!$C$5:$C$434,$B$6,Countries!$D$5:$D$434,$A20,Countries!$I$5:$I$434,"&gt;0")))</f>
        <v/>
      </c>
      <c r="K20" s="43">
        <f>IF(IF($B$6="Total",SUMIFS(Countries!$F$5:$F$434,Countries!$A$5:$A$434,$B$4,Countries!$B$5:$B$434,$B$5,Countries!$D$5:$D$434,$A20,Countries!$J$5:$J$434,"&gt;0"),SUMIFS(Countries!$F$5:$F$434,Countries!$A$5:$A$434,$B$4,Countries!$B$5:$B$434,$B$5,Countries!$C$5:$C$434,$B$6,Countries!$D$5:$D$434,$A20,Countries!$J$5:$J$434,"&gt;0"))=0,"",IF($B$6="Total",SUMIFS(Countries!$J$5:$J$434,Countries!$A$5:$A$434,$B$4,Countries!$B$5:$B$434,$B$5,Countries!$D$5:$D$434,$A20,Countries!$F$5:$F$434,"&gt;0"),SUMIFS(Countries!$J$5:$J$434,Countries!$A$5:$A$434,$B$4,Countries!$B$5:$B$434,$B$5,Countries!$C$5:$C$434,$B$6,Countries!$D$5:$D$434,$A20,Countries!$F$5:$F$434,"&gt;0"))/IF($B$6="Total",SUMIFS(Countries!$F$5:$F$434,Countries!$A$5:$A$434,$B$4,Countries!$B$5:$B$434,$B$5,Countries!$D$5:$D$434,$A20,Countries!$J$5:$J$434,"&gt;0"),SUMIFS(Countries!$F$5:$F$434,Countries!$A$5:$A$434,$B$4,Countries!$B$5:$B$434,$B$5,Countries!$C$5:$C$434,$B$6,Countries!$D$5:$D$434,$A20,Countries!$J$5:$J$434,"&gt;0")))</f>
        <v/>
      </c>
      <c r="L20" s="44">
        <f>IF(OR(K20="",J20=""),"",(K20-J20)*100)</f>
        <v/>
      </c>
      <c r="M20" s="41">
        <f>IF(IF($B$6="Total",SUMIFS(Countries!$P$5:$P$434,Countries!$A$5:$A$434,$B$4,Countries!$B$5:$B$434,$B$5,Countries!$D$5:$D$434,$A20),SUMIFS(Countries!$P$5:$P$434,Countries!$A$5:$A$434,$B$4,Countries!$B$5:$B$434,$B$5,Countries!$C$5:$C$434,$B$6,Countries!$D$5:$D$434,$A20))=0,"",IF($B$6="Total",SUMIFS(Countries!$P$5:$P$434,Countries!$A$5:$A$434,$B$4,Countries!$B$5:$B$434,$B$5,Countries!$D$5:$D$434,$A20),SUMIFS(Countries!$P$5:$P$434,Countries!$A$5:$A$434,$B$4,Countries!$B$5:$B$434,$B$5,Countries!$C$5:$C$434,$B$6,Countries!$D$5:$D$434,$A20)))</f>
        <v/>
      </c>
      <c r="N20" s="41">
        <f>IF(IF($B$6="Total",SUMIFS(Countries!$Q$5:$Q$434,Countries!$A$5:$A$434,$B$4,Countries!$B$5:$B$434,$B$5,Countries!$D$5:$D$434,$A20),SUMIFS(Countries!$Q$5:$Q$434,Countries!$A$5:$A$434,$B$4,Countries!$B$5:$B$434,$B$5,Countries!$C$5:$C$434,$B$6,Countries!$D$5:$D$434,$A20))=0,"",IF($B$6="Total",SUMIFS(Countries!$Q$5:$Q$434,Countries!$A$5:$A$434,$B$4,Countries!$B$5:$B$434,$B$5,Countries!$D$5:$D$434,$A20),SUMIFS(Countries!$Q$5:$Q$434,Countries!$A$5:$A$434,$B$4,Countries!$B$5:$B$434,$B$5,Countries!$C$5:$C$434,$B$6,Countries!$D$5:$D$434,$A20)))</f>
        <v/>
      </c>
      <c r="O20" s="69">
        <f>IF(OR(N20="",M20="",M20=0,N20=0),"",N20-M20)</f>
        <v/>
      </c>
      <c r="P20" s="42">
        <f>IF(OR(N20="",M20="",M20=0,N20=0),"",N20/M20-1)</f>
        <v/>
      </c>
      <c r="Q20" s="43">
        <f>IF(IF($B$6="Total",SUMIFS(Countries!$E$5:$E$434,Countries!$A$5:$A$434,$B$4,Countries!$B$5:$B$434,$B$5,Countries!$D$5:$D$434,$A20,Countries!$P$5:$P$434,"&gt;0"),SUMIFS(Countries!$E$5:$E$434,Countries!$A$5:$A$434,$B$4,Countries!$B$5:$B$434,$B$5,Countries!$C$5:$C$434,$B$6,Countries!$D$5:$D$434,$A20,Countries!$P$5:$P$434,"&gt;0"))=0,"",IF($B$6="Total",SUMIFS(Countries!$P$5:$P$434,Countries!$A$5:$A$434,$B$4,Countries!$B$5:$B$434,$B$5,Countries!$D$5:$D$434,$A20,Countries!$E$5:$E$434,"&gt;0"),SUMIFS(Countries!$P$5:$P$434,Countries!$A$5:$A$434,$B$4,Countries!$B$5:$B$434,$B$5,Countries!$C$5:$C$434,$B$6,Countries!$D$5:$D$434,$A20,Countries!$E$5:$E$434,"&gt;0"))/IF($B$6="Total",SUMIFS(Countries!$E$5:$E$434,Countries!$A$5:$A$434,$B$4,Countries!$B$5:$B$434,$B$5,Countries!$D$5:$D$434,$A20,Countries!$P$5:$P$434,"&gt;0"),SUMIFS(Countries!$E$5:$E$434,Countries!$A$5:$A$434,$B$4,Countries!$B$5:$B$434,$B$5,Countries!$C$5:$C$434,$B$6,Countries!$D$5:$D$434,$A20,Countries!$P$5:$P$434,"&gt;0")))</f>
        <v/>
      </c>
      <c r="R20" s="43">
        <f>IF(IF($B$6="Total",SUMIFS(Countries!$F$5:$F$434,Countries!$A$5:$A$434,$B$4,Countries!$B$5:$B$434,$B$5,Countries!$D$5:$D$434,$A20,Countries!$Q$5:$Q$434,"&gt;0"),SUMIFS(Countries!$F$5:$F$434,Countries!$A$5:$A$434,$B$4,Countries!$B$5:$B$434,$B$5,Countries!$C$5:$C$434,$B$6,Countries!$D$5:$D$434,$A20,Countries!$Q$5:$Q$434,"&gt;0"))=0,"",IF($B$6="Total",SUMIFS(Countries!$Q$5:$Q$434,Countries!$A$5:$A$434,$B$4,Countries!$B$5:$B$434,$B$5,Countries!$D$5:$D$434,$A20,Countries!$F$5:$F$434,"&gt;0"),SUMIFS(Countries!$Q$5:$Q$434,Countries!$A$5:$A$434,$B$4,Countries!$B$5:$B$434,$B$5,Countries!$C$5:$C$434,$B$6,Countries!$D$5:$D$434,$A20,Countries!$F$5:$F$434,"&gt;0"))/IF($B$6="Total",SUMIFS(Countries!$F$5:$F$434,Countries!$A$5:$A$434,$B$4,Countries!$B$5:$B$434,$B$5,Countries!$D$5:$D$434,$A20,Countries!$Q$5:$Q$434,"&gt;0"),SUMIFS(Countries!$F$5:$F$434,Countries!$A$5:$A$434,$B$4,Countries!$B$5:$B$434,$B$5,Countries!$C$5:$C$434,$B$6,Countries!$D$5:$D$434,$A20,Countries!$Q$5:$Q$434,"&gt;0")))</f>
        <v/>
      </c>
      <c r="S20" s="44">
        <f>IF(OR(R20="",Q20=""),"",(R20-Q20)*100)</f>
        <v/>
      </c>
      <c r="T20" s="41">
        <f>IF(IF($B$6="Total",SUMIFS(Countries!$W$5:$W$434,Countries!$A$5:$A$434,$B$4,Countries!$B$5:$B$434,$B$5,Countries!$D$5:$D$434,$A20),SUMIFS(Countries!$W$5:$W$434,Countries!$A$5:$A$434,$B$4,Countries!$B$5:$B$434,$B$5,Countries!$C$5:$C$434,$B$6,Countries!$D$5:$D$434,$A20))=0,"",IF($B$6="Total",SUMIFS(Countries!$W$5:$W$434,Countries!$A$5:$A$434,$B$4,Countries!$B$5:$B$434,$B$5,Countries!$D$5:$D$434,$A20),SUMIFS(Countries!$W$5:$W$434,Countries!$A$5:$A$434,$B$4,Countries!$B$5:$B$434,$B$5,Countries!$C$5:$C$434,$B$6,Countries!$D$5:$D$434,$A20)))</f>
        <v/>
      </c>
      <c r="U20" s="41">
        <f>IF(IF($B$6="Total",SUMIFS(Countries!$X$5:$X$434,Countries!$A$5:$A$434,$B$4,Countries!$B$5:$B$434,$B$5,Countries!$D$5:$D$434,$A20),SUMIFS(Countries!$X$5:$X$434,Countries!$A$5:$A$434,$B$4,Countries!$B$5:$B$434,$B$5,Countries!$C$5:$C$434,$B$6,Countries!$D$5:$D$434,$A20))=0,"",IF($B$6="Total",SUMIFS(Countries!$X$5:$X$434,Countries!$A$5:$A$434,$B$4,Countries!$B$5:$B$434,$B$5,Countries!$D$5:$D$434,$A20),SUMIFS(Countries!$X$5:$X$434,Countries!$A$5:$A$434,$B$4,Countries!$B$5:$B$434,$B$5,Countries!$C$5:$C$434,$B$6,Countries!$D$5:$D$434,$A20)))</f>
        <v/>
      </c>
      <c r="V20" s="69">
        <f>IF(OR(U20="",T20="",T20=0,U20=0),"",U20-T20)</f>
        <v/>
      </c>
      <c r="W20" s="42">
        <f>IF(OR(U20="",T20="",T20=0,U20=0),"",U20/T20-1)</f>
        <v/>
      </c>
      <c r="X20" s="43">
        <f>IF(IF($B$6="Total",SUMIFS(Countries!$P$5:$P$434,Countries!$A$5:$A$434,$B$4,Countries!$B$5:$B$434,$B$5,Countries!$D$5:$D$434,$A20,Countries!$W$5:$W$434,"&gt;0"),SUMIFS(Countries!$P$5:$P$434,Countries!$A$5:$A$434,$B$4,Countries!$B$5:$B$434,$B$5,Countries!$C$5:$C$434,$B$6,Countries!$D$5:$D$434,$A20,Countries!$W$5:$W$434,"&gt;0"))=0,"",IF($B$6="Total",SUMIFS(Countries!$W$5:$W$434,Countries!$A$5:$A$434,$B$4,Countries!$B$5:$B$434,$B$5,Countries!$D$5:$D$434,$A20,Countries!$P$5:$P$434,"&gt;0"),SUMIFS(Countries!$W$5:$W$434,Countries!$A$5:$A$434,$B$4,Countries!$B$5:$B$434,$B$5,Countries!$C$5:$C$434,$B$6,Countries!$D$5:$D$434,$A20,Countries!$P$5:$P$434,"&gt;0"))/IF($B$6="Total",SUMIFS(Countries!$P$5:$P$434,Countries!$A$5:$A$434,$B$4,Countries!$B$5:$B$434,$B$5,Countries!$D$5:$D$434,$A20,Countries!$W$5:$W$434,"&gt;0"),SUMIFS(Countries!$P$5:$P$434,Countries!$A$5:$A$434,$B$4,Countries!$B$5:$B$434,$B$5,Countries!$C$5:$C$434,$B$6,Countries!$D$5:$D$434,$A20,Countries!$W$5:$W$434,"&gt;0")))</f>
        <v/>
      </c>
      <c r="Y20" s="43">
        <f>IF(IF($B$6="Total",SUMIFS(Countries!$Q$5:$Q$434,Countries!$A$5:$A$434,$B$4,Countries!$B$5:$B$434,$B$5,Countries!$D$5:$D$434,$A20,Countries!$X$5:$X$434,"&gt;0"),SUMIFS(Countries!$Q$5:$Q$434,Countries!$A$5:$A$434,$B$4,Countries!$B$5:$B$434,$B$5,Countries!$C$5:$C$434,$B$6,Countries!$D$5:$D$434,$A20,Countries!$X$5:$X$434,"&gt;0"))=0,"",IF($B$6="Total",SUMIFS(Countries!$X$5:$X$434,Countries!$A$5:$A$434,$B$4,Countries!$B$5:$B$434,$B$5,Countries!$D$5:$D$434,$A20,Countries!$Q$5:$Q$434,"&gt;0"),SUMIFS(Countries!$X$5:$X$434,Countries!$A$5:$A$434,$B$4,Countries!$B$5:$B$434,$B$5,Countries!$C$5:$C$434,$B$6,Countries!$D$5:$D$434,$A20,Countries!$Q$5:$Q$434,"&gt;0"))/IF($B$6="Total",SUMIFS(Countries!$Q$5:$Q$434,Countries!$A$5:$A$434,$B$4,Countries!$B$5:$B$434,$B$5,Countries!$D$5:$D$434,$A20,Countries!$X$5:$X$434,"&gt;0"),SUMIFS(Countries!$Q$5:$Q$434,Countries!$A$5:$A$434,$B$4,Countries!$B$5:$B$434,$B$5,Countries!$C$5:$C$434,$B$6,Countries!$D$5:$D$434,$A20,Countries!$X$5:$X$434,"&gt;0")))</f>
        <v/>
      </c>
      <c r="Z20" s="44">
        <f>IF(OR(Y20="",X20=""),"",(Y20-X20)*100)</f>
        <v/>
      </c>
      <c r="AA20" s="41">
        <f>IF(IF($B$6="Total",SUMIFS(Countries!$AD$5:$AD$434,Countries!$A$5:$A$434,$B$4,Countries!$B$5:$B$434,$B$5,Countries!$D$5:$D$434,$A20),SUMIFS(Countries!$AD$5:$AD$434,Countries!$A$5:$A$434,$B$4,Countries!$B$5:$B$434,$B$5,Countries!$C$5:$C$434,$B$6,Countries!$D$5:$D$434,$A20))=0,"",IF($B$6="Total",SUMIFS(Countries!$AD$5:$AD$434,Countries!$A$5:$A$434,$B$4,Countries!$B$5:$B$434,$B$5,Countries!$D$5:$D$434,$A20),SUMIFS(Countries!$AD$5:$AD$434,Countries!$A$5:$A$434,$B$4,Countries!$B$5:$B$434,$B$5,Countries!$C$5:$C$434,$B$6,Countries!$D$5:$D$434,$A20)))</f>
        <v/>
      </c>
      <c r="AB20" s="41">
        <f>IF(IF($B$6="Total",SUMIFS(Countries!$AE$5:$AE$434,Countries!$A$5:$A$434,$B$4,Countries!$B$5:$B$434,$B$5,Countries!$D$5:$D$434,$A20),SUMIFS(Countries!$AE$5:$AE$434,Countries!$A$5:$A$434,$B$4,Countries!$B$5:$B$434,$B$5,Countries!$C$5:$C$434,$B$6,Countries!$D$5:$D$434,$A20))=0,"",IF($B$6="Total",SUMIFS(Countries!$AE$5:$AE$434,Countries!$A$5:$A$434,$B$4,Countries!$B$5:$B$434,$B$5,Countries!$D$5:$D$434,$A20),SUMIFS(Countries!$AE$5:$AE$434,Countries!$A$5:$A$434,$B$4,Countries!$B$5:$B$434,$B$5,Countries!$C$5:$C$434,$B$6,Countries!$D$5:$D$434,$A20)))</f>
        <v/>
      </c>
      <c r="AC20" s="69">
        <f>IF(OR(AB20="",AA20="",AA20=0,AB20=0),"",AB20-AA20)</f>
        <v/>
      </c>
      <c r="AD20" s="42">
        <f>IF(OR(AB20="",AA20="",AA20=0,AB20=0),"",AB20/AA20-1)</f>
        <v/>
      </c>
      <c r="AE20" s="43">
        <f>IF(IF($B$6="Total",SUMIFS(Countries!$W$5:$W$434,Countries!$A$5:$A$434,$B$4,Countries!$B$5:$B$434,$B$5,Countries!$D$5:$D$434,$A20,Countries!$AD$5:$AD$434,"&gt;0"),SUMIFS(Countries!$W$5:$W$434,Countries!$A$5:$A$434,$B$4,Countries!$B$5:$B$434,$B$5,Countries!$C$5:$C$434,$B$6,Countries!$D$5:$D$434,$A20,Countries!$AD$5:$AD$434,"&gt;0"))=0,"",IF($B$6="Total",SUMIFS(Countries!$AD$5:$AD$434,Countries!$A$5:$A$434,$B$4,Countries!$B$5:$B$434,$B$5,Countries!$D$5:$D$434,$A20,Countries!$W$5:$W$434,"&gt;0"),SUMIFS(Countries!$AD$5:$AD$434,Countries!$A$5:$A$434,$B$4,Countries!$B$5:$B$434,$B$5,Countries!$C$5:$C$434,$B$6,Countries!$D$5:$D$434,$A20,Countries!$W$5:$W$434,"&gt;0"))/IF($B$6="Total",SUMIFS(Countries!$W$5:$W$434,Countries!$A$5:$A$434,$B$4,Countries!$B$5:$B$434,$B$5,Countries!$D$5:$D$434,$A20,Countries!$AD$5:$AD$434,"&gt;0"),SUMIFS(Countries!$W$5:$W$434,Countries!$A$5:$A$434,$B$4,Countries!$B$5:$B$434,$B$5,Countries!$C$5:$C$434,$B$6,Countries!$D$5:$D$434,$A20,Countries!$AD$5:$AD$434,"&gt;0")))</f>
        <v/>
      </c>
      <c r="AF20" s="43">
        <f>IF(IF($B$6="Total",SUMIFS(Countries!$X$5:$X$434,Countries!$A$5:$A$434,$B$4,Countries!$B$5:$B$434,$B$5,Countries!$D$5:$D$434,$A20,Countries!$AE$5:$AE$434,"&gt;0"),SUMIFS(Countries!$X$5:$X$434,Countries!$A$5:$A$434,$B$4,Countries!$B$5:$B$434,$B$5,Countries!$C$5:$C$434,$B$6,Countries!$D$5:$D$434,$A20,Countries!$AE$5:$AE$434,"&gt;0"))=0,"",IF($B$6="Total",SUMIFS(Countries!$AE$5:$AE$434,Countries!$A$5:$A$434,$B$4,Countries!$B$5:$B$434,$B$5,Countries!$D$5:$D$434,$A20,Countries!$X$5:$X$434,"&gt;0"),SUMIFS(Countries!$AE$5:$AE$434,Countries!$A$5:$A$434,$B$4,Countries!$B$5:$B$434,$B$5,Countries!$C$5:$C$434,$B$6,Countries!$D$5:$D$434,$A20,Countries!$X$5:$X$434,"&gt;0"))/IF($B$6="Total",SUMIFS(Countries!$X$5:$X$434,Countries!$A$5:$A$434,$B$4,Countries!$B$5:$B$434,$B$5,Countries!$D$5:$D$434,$A20,Countries!$AE$5:$AE$434,"&gt;0"),SUMIFS(Countries!$X$5:$X$434,Countries!$A$5:$A$434,$B$4,Countries!$B$5:$B$434,$B$5,Countries!$C$5:$C$434,$B$6,Countries!$D$5:$D$434,$A20,Countries!$AE$5:$AE$434,"&gt;0")))</f>
        <v/>
      </c>
      <c r="AG20" s="44">
        <f>IF(OR(AF20="",AE20=""),"",(AF20-AE20)*100)</f>
        <v/>
      </c>
      <c r="AH20" s="41">
        <f>IF(IF($B$6="Total",SUMIFS(Countries!$AK$5:$AK$434,Countries!$A$5:$A$434,$B$4,Countries!$B$5:$B$434,$B$5,Countries!$D$5:$D$434,$A20),SUMIFS(Countries!$AK$5:$AK$434,Countries!$A$5:$A$434,$B$4,Countries!$B$5:$B$434,$B$5,Countries!$C$5:$C$434,$B$6,Countries!$D$5:$D$434,$A20))=0,"",IF($B$6="Total",SUMIFS(Countries!$AK$5:$AK$434,Countries!$A$5:$A$434,$B$4,Countries!$B$5:$B$434,$B$5,Countries!$D$5:$D$434,$A20),SUMIFS(Countries!$AK$5:$AK$434,Countries!$A$5:$A$434,$B$4,Countries!$B$5:$B$434,$B$5,Countries!$C$5:$C$434,$B$6,Countries!$D$5:$D$434,$A20)))</f>
        <v/>
      </c>
      <c r="AI20" s="41">
        <f>IF(IF($B$6="Total",SUMIFS(Countries!$AL$5:$AL$434,Countries!$A$5:$A$434,$B$4,Countries!$B$5:$B$434,$B$5,Countries!$D$5:$D$434,$A20),SUMIFS(Countries!$AL$5:$AL$434,Countries!$A$5:$A$434,$B$4,Countries!$B$5:$B$434,$B$5,Countries!$C$5:$C$434,$B$6,Countries!$D$5:$D$434,$A20))=0,"",IF($B$6="Total",SUMIFS(Countries!$AL$5:$AL$434,Countries!$A$5:$A$434,$B$4,Countries!$B$5:$B$434,$B$5,Countries!$D$5:$D$434,$A20),SUMIFS(Countries!$AL$5:$AL$434,Countries!$A$5:$A$434,$B$4,Countries!$B$5:$B$434,$B$5,Countries!$C$5:$C$434,$B$6,Countries!$D$5:$D$434,$A20)))</f>
        <v/>
      </c>
      <c r="AJ20" s="69">
        <f>IF(OR(AI20="",AH20="",AH20=0,AI20=0),"",AI20-AH20)</f>
        <v/>
      </c>
      <c r="AK20" s="42">
        <f>IF(OR(AI20="",AH20="",AH20=0,AI20=0),"",AI20/AH20-1)</f>
        <v/>
      </c>
      <c r="AL20" s="43">
        <f>IF(IF($B$6="Total",SUMIFS(Countries!$AD$5:$AD$434,Countries!$A$5:$A$434,$B$4,Countries!$B$5:$B$434,$B$5,Countries!$D$5:$D$434,$A20,Countries!$AK$5:$AK$434,"&gt;0"),SUMIFS(Countries!$AD$5:$AD$434,Countries!$A$5:$A$434,$B$4,Countries!$B$5:$B$434,$B$5,Countries!$C$5:$C$434,$B$6,Countries!$D$5:$D$434,$A20,Countries!$AK$5:$AK$434,"&gt;0"))=0,"",IF($B$6="Total",SUMIFS(Countries!$AK$5:$AK$434,Countries!$A$5:$A$434,$B$4,Countries!$B$5:$B$434,$B$5,Countries!$D$5:$D$434,$A20,Countries!$AD$5:$AD$434,"&gt;0"),SUMIFS(Countries!$AK$5:$AK$434,Countries!$A$5:$A$434,$B$4,Countries!$B$5:$B$434,$B$5,Countries!$C$5:$C$434,$B$6,Countries!$D$5:$D$434,$A20,Countries!$AD$5:$AD$434,"&gt;0"))/IF($B$6="Total",SUMIFS(Countries!$AD$5:$AD$434,Countries!$A$5:$A$434,$B$4,Countries!$B$5:$B$434,$B$5,Countries!$D$5:$D$434,$A20,Countries!$AK$5:$AK$434,"&gt;0"),SUMIFS(Countries!$AD$5:$AD$434,Countries!$A$5:$A$434,$B$4,Countries!$B$5:$B$434,$B$5,Countries!$C$5:$C$434,$B$6,Countries!$D$5:$D$434,$A20,Countries!$AK$5:$AK$434,"&gt;0")))</f>
        <v/>
      </c>
      <c r="AM20" s="43">
        <f>IF(IF($B$6="Total",SUMIFS(Countries!$AE$5:$AE$434,Countries!$A$5:$A$434,$B$4,Countries!$B$5:$B$434,$B$5,Countries!$D$5:$D$434,$A20,Countries!$AL$5:$AL$434,"&gt;0"),SUMIFS(Countries!$AE$5:$AE$434,Countries!$A$5:$A$434,$B$4,Countries!$B$5:$B$434,$B$5,Countries!$C$5:$C$434,$B$6,Countries!$D$5:$D$434,$A20,Countries!$AL$5:$AL$434,"&gt;0"))=0,"",IF($B$6="Total",SUMIFS(Countries!$AL$5:$AL$434,Countries!$A$5:$A$434,$B$4,Countries!$B$5:$B$434,$B$5,Countries!$D$5:$D$434,$A20,Countries!$AE$5:$AE$434,"&gt;0"),SUMIFS(Countries!$AL$5:$AL$434,Countries!$A$5:$A$434,$B$4,Countries!$B$5:$B$434,$B$5,Countries!$C$5:$C$434,$B$6,Countries!$D$5:$D$434,$A20,Countries!$AE$5:$AE$434,"&gt;0"))/IF($B$6="Total",SUMIFS(Countries!$AE$5:$AE$434,Countries!$A$5:$A$434,$B$4,Countries!$B$5:$B$434,$B$5,Countries!$D$5:$D$434,$A20,Countries!$AL$5:$AL$434,"&gt;0"),SUMIFS(Countries!$AE$5:$AE$434,Countries!$A$5:$A$434,$B$4,Countries!$B$5:$B$434,$B$5,Countries!$C$5:$C$434,$B$6,Countries!$D$5:$D$434,$A20,Countries!$AL$5:$AL$434,"&gt;0")))</f>
        <v/>
      </c>
      <c r="AN20" s="44">
        <f>IF(OR(AM20="",AL20=""),"",(AM20-AL20)*100)</f>
        <v/>
      </c>
      <c r="AO20" s="41">
        <f>IF(IF($B$6="Total",SUMIFS(Countries!$AR$5:$AR$434,Countries!$A$5:$A$434,$B$4,Countries!$B$5:$B$434,$B$5,Countries!$D$5:$D$434,$A20),SUMIFS(Countries!$AR$5:$AR$434,Countries!$A$5:$A$434,$B$4,Countries!$B$5:$B$434,$B$5,Countries!$C$5:$C$434,$B$6,Countries!$D$5:$D$434,$A20))=0,"",IF($B$6="Total",SUMIFS(Countries!$AR$5:$AR$434,Countries!$A$5:$A$434,$B$4,Countries!$B$5:$B$434,$B$5,Countries!$D$5:$D$434,$A20),SUMIFS(Countries!$AR$5:$AR$434,Countries!$A$5:$A$434,$B$4,Countries!$B$5:$B$434,$B$5,Countries!$C$5:$C$434,$B$6,Countries!$D$5:$D$434,$A20)))</f>
        <v/>
      </c>
      <c r="AP20" s="41">
        <f>IF(IF($B$6="Total",SUMIFS(Countries!$AS$5:$AS$434,Countries!$A$5:$A$434,$B$4,Countries!$B$5:$B$434,$B$5,Countries!$D$5:$D$434,$A20),SUMIFS(Countries!$AS$5:$AS$434,Countries!$A$5:$A$434,$B$4,Countries!$B$5:$B$434,$B$5,Countries!$C$5:$C$434,$B$6,Countries!$D$5:$D$434,$A20))=0,"",IF($B$6="Total",SUMIFS(Countries!$AS$5:$AS$434,Countries!$A$5:$A$434,$B$4,Countries!$B$5:$B$434,$B$5,Countries!$D$5:$D$434,$A20),SUMIFS(Countries!$AS$5:$AS$434,Countries!$A$5:$A$434,$B$4,Countries!$B$5:$B$434,$B$5,Countries!$C$5:$C$434,$B$6,Countries!$D$5:$D$434,$A20)))</f>
        <v/>
      </c>
      <c r="AQ20" s="69">
        <f>IF(OR(AP20="",AO20="",AO20=0,AP20=0),"",AP20-AO20)</f>
        <v/>
      </c>
      <c r="AR20" s="42">
        <f>IF(OR(AP20="",AO20="",AO20=0,AP20=0),"",AP20/AO20-1)</f>
        <v/>
      </c>
      <c r="AS20" s="43">
        <f>IF(IF($B$6="Total",SUMIFS(Countries!$AK$5:$AK$434,Countries!$A$5:$A$434,$B$4,Countries!$B$5:$B$434,$B$5,Countries!$D$5:$D$434,$A20,Countries!$AR$5:$AR$434,"&gt;0"),SUMIFS(Countries!$AK$5:$AK$434,Countries!$A$5:$A$434,$B$4,Countries!$B$5:$B$434,$B$5,Countries!$C$5:$C$434,$B$6,Countries!$D$5:$D$434,$A20,Countries!$AR$5:$AR$434,"&gt;0"))=0,"",IF($B$6="Total",SUMIFS(Countries!$AR$5:$AR$434,Countries!$A$5:$A$434,$B$4,Countries!$B$5:$B$434,$B$5,Countries!$D$5:$D$434,$A20,Countries!$AK$5:$AK$434,"&gt;0"),SUMIFS(Countries!$AR$5:$AR$434,Countries!$A$5:$A$434,$B$4,Countries!$B$5:$B$434,$B$5,Countries!$C$5:$C$434,$B$6,Countries!$D$5:$D$434,$A20,Countries!$AK$5:$AK$434,"&gt;0"))/IF($B$6="Total",SUMIFS(Countries!$AK$5:$AK$434,Countries!$A$5:$A$434,$B$4,Countries!$B$5:$B$434,$B$5,Countries!$D$5:$D$434,$A20,Countries!$AR$5:$AR$434,"&gt;0"),SUMIFS(Countries!$AK$5:$AK$434,Countries!$A$5:$A$434,$B$4,Countries!$B$5:$B$434,$B$5,Countries!$C$5:$C$434,$B$6,Countries!$D$5:$D$434,$A20,Countries!$AR$5:$AR$434,"&gt;0")))</f>
        <v/>
      </c>
      <c r="AT20" s="43">
        <f>IF(IF($B$6="Total",SUMIFS(Countries!$AL$5:$AL$434,Countries!$A$5:$A$434,$B$4,Countries!$B$5:$B$434,$B$5,Countries!$D$5:$D$434,$A20,Countries!$AS$5:$AS$434,"&gt;0"),SUMIFS(Countries!$AL$5:$AL$434,Countries!$A$5:$A$434,$B$4,Countries!$B$5:$B$434,$B$5,Countries!$C$5:$C$434,$B$6,Countries!$D$5:$D$434,$A20,Countries!$AS$5:$AS$434,"&gt;0"))=0,"",IF($B$6="Total",SUMIFS(Countries!$AS$5:$AS$434,Countries!$A$5:$A$434,$B$4,Countries!$B$5:$B$434,$B$5,Countries!$D$5:$D$434,$A20,Countries!$AL$5:$AL$434,"&gt;0"),SUMIFS(Countries!$AS$5:$AS$434,Countries!$A$5:$A$434,$B$4,Countries!$B$5:$B$434,$B$5,Countries!$C$5:$C$434,$B$6,Countries!$D$5:$D$434,$A20,Countries!$AL$5:$AL$434,"&gt;0"))/IF($B$6="Total",SUMIFS(Countries!$AL$5:$AL$434,Countries!$A$5:$A$434,$B$4,Countries!$B$5:$B$434,$B$5,Countries!$D$5:$D$434,$A20,Countries!$AS$5:$AS$434,"&gt;0"),SUMIFS(Countries!$AL$5:$AL$434,Countries!$A$5:$A$434,$B$4,Countries!$B$5:$B$434,$B$5,Countries!$C$5:$C$434,$B$6,Countries!$D$5:$D$434,$A20,Countries!$AS$5:$AS$434,"&gt;0")))</f>
        <v/>
      </c>
      <c r="AU20" s="44">
        <f>IF(OR(AT20="",AS20=""),"",(AT20-AS20)*100)</f>
        <v/>
      </c>
      <c r="AV20" s="45">
        <f>IF(IF($B$6="Total",SUMIFS(Countries!$P$5:$P$434,Countries!$A$5:$A$434,$B$4,Countries!$B$5:$B$434,$B$5,Countries!$D$5:$D$434,$A20,Countries!$AR$5:$AR$434,"&gt;0"),SUMIFS(Countries!$P$5:$P$434,Countries!$A$5:$A$434,$B$4,Countries!$B$5:$B$434,$B$5,Countries!$C$5:$C$434,$B$6,Countries!$D$5:$D$434,$A20,Countries!$AR$5:$AR$434,"&gt;0"))=0,"",IF($B$6="Total",SUMIFS(Countries!$AR$5:$AR$434,Countries!$A$5:$A$434,$B$4,Countries!$B$5:$B$434,$B$5,Countries!$D$5:$D$434,$A20,Countries!$P$5:$P$434,"&gt;0"),SUMIFS(Countries!$AR$5:$AR$434,Countries!$A$5:$A$434,$B$4,Countries!$B$5:$B$434,$B$5,Countries!$C$5:$C$434,$B$6,Countries!$D$5:$D$434,$A20,Countries!$P$5:$P$434,"&gt;0"))/IF($B$6="Total",SUMIFS(Countries!$P$5:$P$434,Countries!$A$5:$A$434,$B$4,Countries!$B$5:$B$434,$B$5,Countries!$D$5:$D$434,$A20,Countries!$AR$5:$AR$434,"&gt;0"),SUMIFS(Countries!$P$5:$P$434,Countries!$A$5:$A$434,$B$4,Countries!$B$5:$B$434,$B$5,Countries!$C$5:$C$434,$B$6,Countries!$D$5:$D$434,$A20,Countries!$AR$5:$AR$434,"&gt;0")))</f>
        <v/>
      </c>
      <c r="AW20" s="45">
        <f>IF(IF($B$6="Total",SUMIFS(Countries!$Q$5:$Q$434,Countries!$A$5:$A$434,$B$4,Countries!$B$5:$B$434,$B$5,Countries!$D$5:$D$434,$A20,Countries!$AS$5:$AS$434,"&gt;0"),SUMIFS(Countries!$Q$5:$Q$434,Countries!$A$5:$A$434,$B$4,Countries!$B$5:$B$434,$B$5,Countries!$C$5:$C$434,$B$6,Countries!$D$5:$D$434,$A20,Countries!$AS$5:$AS$434,"&gt;0"))=0,"",IF($B$6="Total",SUMIFS(Countries!$AS$5:$AS$434,Countries!$A$5:$A$434,$B$4,Countries!$B$5:$B$434,$B$5,Countries!$D$5:$D$434,$A20,Countries!$Q$5:$Q$434,"&gt;0"),SUMIFS(Countries!$AS$5:$AS$434,Countries!$A$5:$A$434,$B$4,Countries!$B$5:$B$434,$B$5,Countries!$C$5:$C$434,$B$6,Countries!$D$5:$D$434,$A20,Countries!$Q$5:$Q$434,"&gt;0"))/IF($B$6="Total",SUMIFS(Countries!$Q$5:$Q$434,Countries!$A$5:$A$434,$B$4,Countries!$B$5:$B$434,$B$5,Countries!$D$5:$D$434,$A20,Countries!$AS$5:$AS$434,"&gt;0"),SUMIFS(Countries!$Q$5:$Q$434,Countries!$A$5:$A$434,$B$4,Countries!$B$5:$B$434,$B$5,Countries!$C$5:$C$434,$B$6,Countries!$D$5:$D$434,$A20,Countries!$AS$5:$AS$434,"&gt;0")))</f>
        <v/>
      </c>
      <c r="AX20" s="44">
        <f>IF(OR(AW20="",AV20=""),"",(AW20-AV20)*100)</f>
        <v/>
      </c>
      <c r="AY20" s="45">
        <f>IF(IF($B$6="Total",SUMIFS(Countries!$E$5:$E$434,Countries!$A$5:$A$434,$B$4,Countries!$B$5:$B$434,$B$5,Countries!$D$5:$D$434,$A20,Countries!$AR$5:$AR$434,"&gt;0"),SUMIFS(Countries!$E$5:$E$434,Countries!$A$5:$A$434,$B$4,Countries!$B$5:$B$434,$B$5,Countries!$C$5:$C$434,$B$6,Countries!$D$5:$D$434,$A20,Countries!$AR$5:$AR$434,"&gt;0"))=0,"",IF($B$6="Total",SUMIFS(Countries!$AR$5:$AR$434,Countries!$A$5:$A$434,$B$4,Countries!$B$5:$B$434,$B$5,Countries!$D$5:$D$434,$A20,Countries!$E$5:$E$434,"&gt;0"),SUMIFS(Countries!$AR$5:$AR$434,Countries!$A$5:$A$434,$B$4,Countries!$B$5:$B$434,$B$5,Countries!$C$5:$C$434,$B$6,Countries!$D$5:$D$434,$A20,Countries!$E$5:$E$434,"&gt;0"))/IF($B$6="Total",SUMIFS(Countries!$E$5:$E$434,Countries!$A$5:$A$434,$B$4,Countries!$B$5:$B$434,$B$5,Countries!$D$5:$D$434,$A20,Countries!$AR$5:$AR$434,"&gt;0"),SUMIFS(Countries!$E$5:$E$434,Countries!$A$5:$A$434,$B$4,Countries!$B$5:$B$434,$B$5,Countries!$C$5:$C$434,$B$6,Countries!$D$5:$D$434,$A20,Countries!$AR$5:$AR$434,"&gt;0")))</f>
        <v/>
      </c>
      <c r="AZ20" s="45">
        <f>IF(IF($B$6="Total",SUMIFS(Countries!$F$5:$F$434,Countries!$A$5:$A$434,$B$4,Countries!$B$5:$B$434,$B$5,Countries!$D$5:$D$434,$A20,Countries!$AS$5:$AS$434,"&gt;0"),SUMIFS(Countries!$F$5:$F$434,Countries!$A$5:$A$434,$B$4,Countries!$B$5:$B$434,$B$5,Countries!$C$5:$C$434,$B$6,Countries!$D$5:$D$434,$A20,Countries!$AS$5:$AS$434,"&gt;0"))=0,"",IF($B$6="Total",SUMIFS(Countries!$AS$5:$AS$434,Countries!$A$5:$A$434,$B$4,Countries!$B$5:$B$434,$B$5,Countries!$D$5:$D$434,$A20,Countries!$F$5:$F$434,"&gt;0"),SUMIFS(Countries!$AS$5:$AS$434,Countries!$A$5:$A$434,$B$4,Countries!$B$5:$B$434,$B$5,Countries!$C$5:$C$434,$B$6,Countries!$D$5:$D$434,$A20,Countries!$F$5:$F$434,"&gt;0"))/IF($B$6="Total",SUMIFS(Countries!$F$5:$F$434,Countries!$A$5:$A$434,$B$4,Countries!$B$5:$B$434,$B$5,Countries!$D$5:$D$434,$A20,Countries!$AS$5:$AS$434,"&gt;0"),SUMIFS(Countries!$F$5:$F$434,Countries!$A$5:$A$434,$B$4,Countries!$B$5:$B$434,$B$5,Countries!$C$5:$C$434,$B$6,Countries!$D$5:$D$434,$A20,Countries!$AS$5:$AS$434,"&gt;0")))</f>
        <v/>
      </c>
      <c r="BA20" s="44">
        <f>IF(OR(AZ20="",AY20=""),"",(AZ20-AY20)*100)</f>
        <v/>
      </c>
      <c r="BB20" s="40">
        <f>IF(AND(IF($B$6="Total",COUNTIFS(Countries!$A$5:$A$434,$B$4,Countries!$B$5:$B$434,$B$5,Countries!$D$5:$D$434,$A20,Countries!$F$5:$F$434,"&gt;0"),COUNTIFS(Countries!$A$5:$A$434,$B$4,Countries!$B$5:$B$434,$B$5,Countries!$C$5:$C$434,$B$6,Countries!$D$5:$D$434,$A20,Countries!$F$5:$F$434,"&gt;0"))=0,IF($B$6="Total",COUNTIFS(Countries!$A$5:$A$434,$B$4,Countries!$B$5:$B$434,$B$5,Countries!$D$5:$D$434,$A20,Countries!$E$5:$E$434,"&gt;0"),COUNTIFS(Countries!$A$5:$A$434,$B$4,Countries!$B$5:$B$434,$B$5,Countries!$C$5:$C$434,$B$6,Countries!$D$5:$D$434,$A20,Countries!$E$5:$E$434,"&gt;0"))=0),"",IF(IF($B$6="Total",COUNTIFS(Countries!$A$5:$A$434,$B$4,Countries!$B$5:$B$434,$B$5,Countries!$D$5:$D$434,$A20,Countries!$F$5:$F$434,"&gt;0"),COUNTIFS(Countries!$A$5:$A$434,$B$4,Countries!$B$5:$B$434,$B$5,Countries!$C$5:$C$434,$B$6,Countries!$D$5:$D$434,$A20,Countries!$F$5:$F$434,"&gt;0"))=0,"1-23Aug25 rows only",IF(IF($B$6="Total",COUNTIFS(Countries!$A$5:$A$434,$B$4,Countries!$B$5:$B$434,$B$5,Countries!$D$5:$D$434,$A20,Countries!$E$5:$E$434,"&gt;0"),COUNTIFS(Countries!$A$5:$A$434,$B$4,Countries!$B$5:$B$434,$B$5,Countries!$C$5:$C$434,$B$6,Countries!$D$5:$D$434,$A20,Countries!$E$5:$E$434,"&gt;0"))=0,"1-23Aug26 rows only",IF(IF($B$6="Total",COUNTIFS(Countries!$A$5:$A$434,$B$4,Countries!$B$5:$B$434,$B$5,Countries!$D$5:$D$434,$A20,Countries!$F$5:$F$434,"&gt;0"),COUNTIFS(Countries!$A$5:$A$434,$B$4,Countries!$B$5:$B$434,$B$5,Countries!$C$5:$C$434,$B$6,Countries!$D$5:$D$434,$A20,Countries!$F$5:$F$434,"&gt;0"))=IF($B$6="Total",COUNTIFS(Countries!$A$5:$A$434,$B$4,Countries!$B$5:$B$434,$B$5,Countries!$D$5:$D$434,$A20,Countries!$E$5:$E$434,"&gt;0"),COUNTIFS(Countries!$A$5:$A$434,$B$4,Countries!$B$5:$B$434,$B$5,Countries!$C$5:$C$434,$B$6,Countries!$D$5:$D$434,$A20,Countries!$E$5:$E$434,"&gt;0")),"Like-for-like","Partial — coverage differs"))))</f>
        <v/>
      </c>
    </row>
    <row r="21">
      <c r="A21" s="40" t="inlineStr">
        <is>
          <t>Denmark</t>
        </is>
      </c>
      <c r="B21" s="41">
        <f>IF(IF($B$6="Total",SUMIFS(Countries!$E$5:$E$434,Countries!$A$5:$A$434,$B$4,Countries!$B$5:$B$434,$B$5,Countries!$D$5:$D$434,$A21),SUMIFS(Countries!$E$5:$E$434,Countries!$A$5:$A$434,$B$4,Countries!$B$5:$B$434,$B$5,Countries!$C$5:$C$434,$B$6,Countries!$D$5:$D$434,$A21))=0,"",IF($B$6="Total",SUMIFS(Countries!$E$5:$E$434,Countries!$A$5:$A$434,$B$4,Countries!$B$5:$B$434,$B$5,Countries!$D$5:$D$434,$A21),SUMIFS(Countries!$E$5:$E$434,Countries!$A$5:$A$434,$B$4,Countries!$B$5:$B$434,$B$5,Countries!$C$5:$C$434,$B$6,Countries!$D$5:$D$434,$A21)))</f>
        <v/>
      </c>
      <c r="C21" s="41">
        <f>IF(IF($B$6="Total",SUMIFS(Countries!$F$5:$F$434,Countries!$A$5:$A$434,$B$4,Countries!$B$5:$B$434,$B$5,Countries!$D$5:$D$434,$A21),SUMIFS(Countries!$F$5:$F$434,Countries!$A$5:$A$434,$B$4,Countries!$B$5:$B$434,$B$5,Countries!$C$5:$C$434,$B$6,Countries!$D$5:$D$434,$A21))=0,"",IF($B$6="Total",SUMIFS(Countries!$F$5:$F$434,Countries!$A$5:$A$434,$B$4,Countries!$B$5:$B$434,$B$5,Countries!$D$5:$D$434,$A21),SUMIFS(Countries!$F$5:$F$434,Countries!$A$5:$A$434,$B$4,Countries!$B$5:$B$434,$B$5,Countries!$C$5:$C$434,$B$6,Countries!$D$5:$D$434,$A21)))</f>
        <v/>
      </c>
      <c r="D21" s="69">
        <f>IF(OR(C21="",B21="",B21=0,C21=0),"",C21-B21)</f>
        <v/>
      </c>
      <c r="E21" s="42">
        <f>IF(OR(C21="",B21="",B21=0,C21=0),"",C21/B21-1)</f>
        <v/>
      </c>
      <c r="F21" s="41">
        <f>IF(IF($B$6="Total",SUMIFS(Countries!$I$5:$I$434,Countries!$A$5:$A$434,$B$4,Countries!$B$5:$B$434,$B$5,Countries!$D$5:$D$434,$A21),SUMIFS(Countries!$I$5:$I$434,Countries!$A$5:$A$434,$B$4,Countries!$B$5:$B$434,$B$5,Countries!$C$5:$C$434,$B$6,Countries!$D$5:$D$434,$A21))=0,"",IF($B$6="Total",SUMIFS(Countries!$I$5:$I$434,Countries!$A$5:$A$434,$B$4,Countries!$B$5:$B$434,$B$5,Countries!$D$5:$D$434,$A21),SUMIFS(Countries!$I$5:$I$434,Countries!$A$5:$A$434,$B$4,Countries!$B$5:$B$434,$B$5,Countries!$C$5:$C$434,$B$6,Countries!$D$5:$D$434,$A21)))</f>
        <v/>
      </c>
      <c r="G21" s="41">
        <f>IF(IF($B$6="Total",SUMIFS(Countries!$J$5:$J$434,Countries!$A$5:$A$434,$B$4,Countries!$B$5:$B$434,$B$5,Countries!$D$5:$D$434,$A21),SUMIFS(Countries!$J$5:$J$434,Countries!$A$5:$A$434,$B$4,Countries!$B$5:$B$434,$B$5,Countries!$C$5:$C$434,$B$6,Countries!$D$5:$D$434,$A21))=0,"",IF($B$6="Total",SUMIFS(Countries!$J$5:$J$434,Countries!$A$5:$A$434,$B$4,Countries!$B$5:$B$434,$B$5,Countries!$D$5:$D$434,$A21),SUMIFS(Countries!$J$5:$J$434,Countries!$A$5:$A$434,$B$4,Countries!$B$5:$B$434,$B$5,Countries!$C$5:$C$434,$B$6,Countries!$D$5:$D$434,$A21)))</f>
        <v/>
      </c>
      <c r="H21" s="69">
        <f>IF(OR(G21="",F21="",F21=0,G21=0),"",G21-F21)</f>
        <v/>
      </c>
      <c r="I21" s="42">
        <f>IF(OR(G21="",F21="",F21=0,G21=0),"",G21/F21-1)</f>
        <v/>
      </c>
      <c r="J21" s="43">
        <f>IF(IF($B$6="Total",SUMIFS(Countries!$E$5:$E$434,Countries!$A$5:$A$434,$B$4,Countries!$B$5:$B$434,$B$5,Countries!$D$5:$D$434,$A21,Countries!$I$5:$I$434,"&gt;0"),SUMIFS(Countries!$E$5:$E$434,Countries!$A$5:$A$434,$B$4,Countries!$B$5:$B$434,$B$5,Countries!$C$5:$C$434,$B$6,Countries!$D$5:$D$434,$A21,Countries!$I$5:$I$434,"&gt;0"))=0,"",IF($B$6="Total",SUMIFS(Countries!$I$5:$I$434,Countries!$A$5:$A$434,$B$4,Countries!$B$5:$B$434,$B$5,Countries!$D$5:$D$434,$A21,Countries!$E$5:$E$434,"&gt;0"),SUMIFS(Countries!$I$5:$I$434,Countries!$A$5:$A$434,$B$4,Countries!$B$5:$B$434,$B$5,Countries!$C$5:$C$434,$B$6,Countries!$D$5:$D$434,$A21,Countries!$E$5:$E$434,"&gt;0"))/IF($B$6="Total",SUMIFS(Countries!$E$5:$E$434,Countries!$A$5:$A$434,$B$4,Countries!$B$5:$B$434,$B$5,Countries!$D$5:$D$434,$A21,Countries!$I$5:$I$434,"&gt;0"),SUMIFS(Countries!$E$5:$E$434,Countries!$A$5:$A$434,$B$4,Countries!$B$5:$B$434,$B$5,Countries!$C$5:$C$434,$B$6,Countries!$D$5:$D$434,$A21,Countries!$I$5:$I$434,"&gt;0")))</f>
        <v/>
      </c>
      <c r="K21" s="43">
        <f>IF(IF($B$6="Total",SUMIFS(Countries!$F$5:$F$434,Countries!$A$5:$A$434,$B$4,Countries!$B$5:$B$434,$B$5,Countries!$D$5:$D$434,$A21,Countries!$J$5:$J$434,"&gt;0"),SUMIFS(Countries!$F$5:$F$434,Countries!$A$5:$A$434,$B$4,Countries!$B$5:$B$434,$B$5,Countries!$C$5:$C$434,$B$6,Countries!$D$5:$D$434,$A21,Countries!$J$5:$J$434,"&gt;0"))=0,"",IF($B$6="Total",SUMIFS(Countries!$J$5:$J$434,Countries!$A$5:$A$434,$B$4,Countries!$B$5:$B$434,$B$5,Countries!$D$5:$D$434,$A21,Countries!$F$5:$F$434,"&gt;0"),SUMIFS(Countries!$J$5:$J$434,Countries!$A$5:$A$434,$B$4,Countries!$B$5:$B$434,$B$5,Countries!$C$5:$C$434,$B$6,Countries!$D$5:$D$434,$A21,Countries!$F$5:$F$434,"&gt;0"))/IF($B$6="Total",SUMIFS(Countries!$F$5:$F$434,Countries!$A$5:$A$434,$B$4,Countries!$B$5:$B$434,$B$5,Countries!$D$5:$D$434,$A21,Countries!$J$5:$J$434,"&gt;0"),SUMIFS(Countries!$F$5:$F$434,Countries!$A$5:$A$434,$B$4,Countries!$B$5:$B$434,$B$5,Countries!$C$5:$C$434,$B$6,Countries!$D$5:$D$434,$A21,Countries!$J$5:$J$434,"&gt;0")))</f>
        <v/>
      </c>
      <c r="L21" s="44">
        <f>IF(OR(K21="",J21=""),"",(K21-J21)*100)</f>
        <v/>
      </c>
      <c r="M21" s="41">
        <f>IF(IF($B$6="Total",SUMIFS(Countries!$P$5:$P$434,Countries!$A$5:$A$434,$B$4,Countries!$B$5:$B$434,$B$5,Countries!$D$5:$D$434,$A21),SUMIFS(Countries!$P$5:$P$434,Countries!$A$5:$A$434,$B$4,Countries!$B$5:$B$434,$B$5,Countries!$C$5:$C$434,$B$6,Countries!$D$5:$D$434,$A21))=0,"",IF($B$6="Total",SUMIFS(Countries!$P$5:$P$434,Countries!$A$5:$A$434,$B$4,Countries!$B$5:$B$434,$B$5,Countries!$D$5:$D$434,$A21),SUMIFS(Countries!$P$5:$P$434,Countries!$A$5:$A$434,$B$4,Countries!$B$5:$B$434,$B$5,Countries!$C$5:$C$434,$B$6,Countries!$D$5:$D$434,$A21)))</f>
        <v/>
      </c>
      <c r="N21" s="41">
        <f>IF(IF($B$6="Total",SUMIFS(Countries!$Q$5:$Q$434,Countries!$A$5:$A$434,$B$4,Countries!$B$5:$B$434,$B$5,Countries!$D$5:$D$434,$A21),SUMIFS(Countries!$Q$5:$Q$434,Countries!$A$5:$A$434,$B$4,Countries!$B$5:$B$434,$B$5,Countries!$C$5:$C$434,$B$6,Countries!$D$5:$D$434,$A21))=0,"",IF($B$6="Total",SUMIFS(Countries!$Q$5:$Q$434,Countries!$A$5:$A$434,$B$4,Countries!$B$5:$B$434,$B$5,Countries!$D$5:$D$434,$A21),SUMIFS(Countries!$Q$5:$Q$434,Countries!$A$5:$A$434,$B$4,Countries!$B$5:$B$434,$B$5,Countries!$C$5:$C$434,$B$6,Countries!$D$5:$D$434,$A21)))</f>
        <v/>
      </c>
      <c r="O21" s="69">
        <f>IF(OR(N21="",M21="",M21=0,N21=0),"",N21-M21)</f>
        <v/>
      </c>
      <c r="P21" s="42">
        <f>IF(OR(N21="",M21="",M21=0,N21=0),"",N21/M21-1)</f>
        <v/>
      </c>
      <c r="Q21" s="43">
        <f>IF(IF($B$6="Total",SUMIFS(Countries!$E$5:$E$434,Countries!$A$5:$A$434,$B$4,Countries!$B$5:$B$434,$B$5,Countries!$D$5:$D$434,$A21,Countries!$P$5:$P$434,"&gt;0"),SUMIFS(Countries!$E$5:$E$434,Countries!$A$5:$A$434,$B$4,Countries!$B$5:$B$434,$B$5,Countries!$C$5:$C$434,$B$6,Countries!$D$5:$D$434,$A21,Countries!$P$5:$P$434,"&gt;0"))=0,"",IF($B$6="Total",SUMIFS(Countries!$P$5:$P$434,Countries!$A$5:$A$434,$B$4,Countries!$B$5:$B$434,$B$5,Countries!$D$5:$D$434,$A21,Countries!$E$5:$E$434,"&gt;0"),SUMIFS(Countries!$P$5:$P$434,Countries!$A$5:$A$434,$B$4,Countries!$B$5:$B$434,$B$5,Countries!$C$5:$C$434,$B$6,Countries!$D$5:$D$434,$A21,Countries!$E$5:$E$434,"&gt;0"))/IF($B$6="Total",SUMIFS(Countries!$E$5:$E$434,Countries!$A$5:$A$434,$B$4,Countries!$B$5:$B$434,$B$5,Countries!$D$5:$D$434,$A21,Countries!$P$5:$P$434,"&gt;0"),SUMIFS(Countries!$E$5:$E$434,Countries!$A$5:$A$434,$B$4,Countries!$B$5:$B$434,$B$5,Countries!$C$5:$C$434,$B$6,Countries!$D$5:$D$434,$A21,Countries!$P$5:$P$434,"&gt;0")))</f>
        <v/>
      </c>
      <c r="R21" s="43">
        <f>IF(IF($B$6="Total",SUMIFS(Countries!$F$5:$F$434,Countries!$A$5:$A$434,$B$4,Countries!$B$5:$B$434,$B$5,Countries!$D$5:$D$434,$A21,Countries!$Q$5:$Q$434,"&gt;0"),SUMIFS(Countries!$F$5:$F$434,Countries!$A$5:$A$434,$B$4,Countries!$B$5:$B$434,$B$5,Countries!$C$5:$C$434,$B$6,Countries!$D$5:$D$434,$A21,Countries!$Q$5:$Q$434,"&gt;0"))=0,"",IF($B$6="Total",SUMIFS(Countries!$Q$5:$Q$434,Countries!$A$5:$A$434,$B$4,Countries!$B$5:$B$434,$B$5,Countries!$D$5:$D$434,$A21,Countries!$F$5:$F$434,"&gt;0"),SUMIFS(Countries!$Q$5:$Q$434,Countries!$A$5:$A$434,$B$4,Countries!$B$5:$B$434,$B$5,Countries!$C$5:$C$434,$B$6,Countries!$D$5:$D$434,$A21,Countries!$F$5:$F$434,"&gt;0"))/IF($B$6="Total",SUMIFS(Countries!$F$5:$F$434,Countries!$A$5:$A$434,$B$4,Countries!$B$5:$B$434,$B$5,Countries!$D$5:$D$434,$A21,Countries!$Q$5:$Q$434,"&gt;0"),SUMIFS(Countries!$F$5:$F$434,Countries!$A$5:$A$434,$B$4,Countries!$B$5:$B$434,$B$5,Countries!$C$5:$C$434,$B$6,Countries!$D$5:$D$434,$A21,Countries!$Q$5:$Q$434,"&gt;0")))</f>
        <v/>
      </c>
      <c r="S21" s="44">
        <f>IF(OR(R21="",Q21=""),"",(R21-Q21)*100)</f>
        <v/>
      </c>
      <c r="T21" s="41">
        <f>IF(IF($B$6="Total",SUMIFS(Countries!$W$5:$W$434,Countries!$A$5:$A$434,$B$4,Countries!$B$5:$B$434,$B$5,Countries!$D$5:$D$434,$A21),SUMIFS(Countries!$W$5:$W$434,Countries!$A$5:$A$434,$B$4,Countries!$B$5:$B$434,$B$5,Countries!$C$5:$C$434,$B$6,Countries!$D$5:$D$434,$A21))=0,"",IF($B$6="Total",SUMIFS(Countries!$W$5:$W$434,Countries!$A$5:$A$434,$B$4,Countries!$B$5:$B$434,$B$5,Countries!$D$5:$D$434,$A21),SUMIFS(Countries!$W$5:$W$434,Countries!$A$5:$A$434,$B$4,Countries!$B$5:$B$434,$B$5,Countries!$C$5:$C$434,$B$6,Countries!$D$5:$D$434,$A21)))</f>
        <v/>
      </c>
      <c r="U21" s="41">
        <f>IF(IF($B$6="Total",SUMIFS(Countries!$X$5:$X$434,Countries!$A$5:$A$434,$B$4,Countries!$B$5:$B$434,$B$5,Countries!$D$5:$D$434,$A21),SUMIFS(Countries!$X$5:$X$434,Countries!$A$5:$A$434,$B$4,Countries!$B$5:$B$434,$B$5,Countries!$C$5:$C$434,$B$6,Countries!$D$5:$D$434,$A21))=0,"",IF($B$6="Total",SUMIFS(Countries!$X$5:$X$434,Countries!$A$5:$A$434,$B$4,Countries!$B$5:$B$434,$B$5,Countries!$D$5:$D$434,$A21),SUMIFS(Countries!$X$5:$X$434,Countries!$A$5:$A$434,$B$4,Countries!$B$5:$B$434,$B$5,Countries!$C$5:$C$434,$B$6,Countries!$D$5:$D$434,$A21)))</f>
        <v/>
      </c>
      <c r="V21" s="69">
        <f>IF(OR(U21="",T21="",T21=0,U21=0),"",U21-T21)</f>
        <v/>
      </c>
      <c r="W21" s="42">
        <f>IF(OR(U21="",T21="",T21=0,U21=0),"",U21/T21-1)</f>
        <v/>
      </c>
      <c r="X21" s="43">
        <f>IF(IF($B$6="Total",SUMIFS(Countries!$P$5:$P$434,Countries!$A$5:$A$434,$B$4,Countries!$B$5:$B$434,$B$5,Countries!$D$5:$D$434,$A21,Countries!$W$5:$W$434,"&gt;0"),SUMIFS(Countries!$P$5:$P$434,Countries!$A$5:$A$434,$B$4,Countries!$B$5:$B$434,$B$5,Countries!$C$5:$C$434,$B$6,Countries!$D$5:$D$434,$A21,Countries!$W$5:$W$434,"&gt;0"))=0,"",IF($B$6="Total",SUMIFS(Countries!$W$5:$W$434,Countries!$A$5:$A$434,$B$4,Countries!$B$5:$B$434,$B$5,Countries!$D$5:$D$434,$A21,Countries!$P$5:$P$434,"&gt;0"),SUMIFS(Countries!$W$5:$W$434,Countries!$A$5:$A$434,$B$4,Countries!$B$5:$B$434,$B$5,Countries!$C$5:$C$434,$B$6,Countries!$D$5:$D$434,$A21,Countries!$P$5:$P$434,"&gt;0"))/IF($B$6="Total",SUMIFS(Countries!$P$5:$P$434,Countries!$A$5:$A$434,$B$4,Countries!$B$5:$B$434,$B$5,Countries!$D$5:$D$434,$A21,Countries!$W$5:$W$434,"&gt;0"),SUMIFS(Countries!$P$5:$P$434,Countries!$A$5:$A$434,$B$4,Countries!$B$5:$B$434,$B$5,Countries!$C$5:$C$434,$B$6,Countries!$D$5:$D$434,$A21,Countries!$W$5:$W$434,"&gt;0")))</f>
        <v/>
      </c>
      <c r="Y21" s="43">
        <f>IF(IF($B$6="Total",SUMIFS(Countries!$Q$5:$Q$434,Countries!$A$5:$A$434,$B$4,Countries!$B$5:$B$434,$B$5,Countries!$D$5:$D$434,$A21,Countries!$X$5:$X$434,"&gt;0"),SUMIFS(Countries!$Q$5:$Q$434,Countries!$A$5:$A$434,$B$4,Countries!$B$5:$B$434,$B$5,Countries!$C$5:$C$434,$B$6,Countries!$D$5:$D$434,$A21,Countries!$X$5:$X$434,"&gt;0"))=0,"",IF($B$6="Total",SUMIFS(Countries!$X$5:$X$434,Countries!$A$5:$A$434,$B$4,Countries!$B$5:$B$434,$B$5,Countries!$D$5:$D$434,$A21,Countries!$Q$5:$Q$434,"&gt;0"),SUMIFS(Countries!$X$5:$X$434,Countries!$A$5:$A$434,$B$4,Countries!$B$5:$B$434,$B$5,Countries!$C$5:$C$434,$B$6,Countries!$D$5:$D$434,$A21,Countries!$Q$5:$Q$434,"&gt;0"))/IF($B$6="Total",SUMIFS(Countries!$Q$5:$Q$434,Countries!$A$5:$A$434,$B$4,Countries!$B$5:$B$434,$B$5,Countries!$D$5:$D$434,$A21,Countries!$X$5:$X$434,"&gt;0"),SUMIFS(Countries!$Q$5:$Q$434,Countries!$A$5:$A$434,$B$4,Countries!$B$5:$B$434,$B$5,Countries!$C$5:$C$434,$B$6,Countries!$D$5:$D$434,$A21,Countries!$X$5:$X$434,"&gt;0")))</f>
        <v/>
      </c>
      <c r="Z21" s="44">
        <f>IF(OR(Y21="",X21=""),"",(Y21-X21)*100)</f>
        <v/>
      </c>
      <c r="AA21" s="41">
        <f>IF(IF($B$6="Total",SUMIFS(Countries!$AD$5:$AD$434,Countries!$A$5:$A$434,$B$4,Countries!$B$5:$B$434,$B$5,Countries!$D$5:$D$434,$A21),SUMIFS(Countries!$AD$5:$AD$434,Countries!$A$5:$A$434,$B$4,Countries!$B$5:$B$434,$B$5,Countries!$C$5:$C$434,$B$6,Countries!$D$5:$D$434,$A21))=0,"",IF($B$6="Total",SUMIFS(Countries!$AD$5:$AD$434,Countries!$A$5:$A$434,$B$4,Countries!$B$5:$B$434,$B$5,Countries!$D$5:$D$434,$A21),SUMIFS(Countries!$AD$5:$AD$434,Countries!$A$5:$A$434,$B$4,Countries!$B$5:$B$434,$B$5,Countries!$C$5:$C$434,$B$6,Countries!$D$5:$D$434,$A21)))</f>
        <v/>
      </c>
      <c r="AB21" s="41">
        <f>IF(IF($B$6="Total",SUMIFS(Countries!$AE$5:$AE$434,Countries!$A$5:$A$434,$B$4,Countries!$B$5:$B$434,$B$5,Countries!$D$5:$D$434,$A21),SUMIFS(Countries!$AE$5:$AE$434,Countries!$A$5:$A$434,$B$4,Countries!$B$5:$B$434,$B$5,Countries!$C$5:$C$434,$B$6,Countries!$D$5:$D$434,$A21))=0,"",IF($B$6="Total",SUMIFS(Countries!$AE$5:$AE$434,Countries!$A$5:$A$434,$B$4,Countries!$B$5:$B$434,$B$5,Countries!$D$5:$D$434,$A21),SUMIFS(Countries!$AE$5:$AE$434,Countries!$A$5:$A$434,$B$4,Countries!$B$5:$B$434,$B$5,Countries!$C$5:$C$434,$B$6,Countries!$D$5:$D$434,$A21)))</f>
        <v/>
      </c>
      <c r="AC21" s="69">
        <f>IF(OR(AB21="",AA21="",AA21=0,AB21=0),"",AB21-AA21)</f>
        <v/>
      </c>
      <c r="AD21" s="42">
        <f>IF(OR(AB21="",AA21="",AA21=0,AB21=0),"",AB21/AA21-1)</f>
        <v/>
      </c>
      <c r="AE21" s="43">
        <f>IF(IF($B$6="Total",SUMIFS(Countries!$W$5:$W$434,Countries!$A$5:$A$434,$B$4,Countries!$B$5:$B$434,$B$5,Countries!$D$5:$D$434,$A21,Countries!$AD$5:$AD$434,"&gt;0"),SUMIFS(Countries!$W$5:$W$434,Countries!$A$5:$A$434,$B$4,Countries!$B$5:$B$434,$B$5,Countries!$C$5:$C$434,$B$6,Countries!$D$5:$D$434,$A21,Countries!$AD$5:$AD$434,"&gt;0"))=0,"",IF($B$6="Total",SUMIFS(Countries!$AD$5:$AD$434,Countries!$A$5:$A$434,$B$4,Countries!$B$5:$B$434,$B$5,Countries!$D$5:$D$434,$A21,Countries!$W$5:$W$434,"&gt;0"),SUMIFS(Countries!$AD$5:$AD$434,Countries!$A$5:$A$434,$B$4,Countries!$B$5:$B$434,$B$5,Countries!$C$5:$C$434,$B$6,Countries!$D$5:$D$434,$A21,Countries!$W$5:$W$434,"&gt;0"))/IF($B$6="Total",SUMIFS(Countries!$W$5:$W$434,Countries!$A$5:$A$434,$B$4,Countries!$B$5:$B$434,$B$5,Countries!$D$5:$D$434,$A21,Countries!$AD$5:$AD$434,"&gt;0"),SUMIFS(Countries!$W$5:$W$434,Countries!$A$5:$A$434,$B$4,Countries!$B$5:$B$434,$B$5,Countries!$C$5:$C$434,$B$6,Countries!$D$5:$D$434,$A21,Countries!$AD$5:$AD$434,"&gt;0")))</f>
        <v/>
      </c>
      <c r="AF21" s="43">
        <f>IF(IF($B$6="Total",SUMIFS(Countries!$X$5:$X$434,Countries!$A$5:$A$434,$B$4,Countries!$B$5:$B$434,$B$5,Countries!$D$5:$D$434,$A21,Countries!$AE$5:$AE$434,"&gt;0"),SUMIFS(Countries!$X$5:$X$434,Countries!$A$5:$A$434,$B$4,Countries!$B$5:$B$434,$B$5,Countries!$C$5:$C$434,$B$6,Countries!$D$5:$D$434,$A21,Countries!$AE$5:$AE$434,"&gt;0"))=0,"",IF($B$6="Total",SUMIFS(Countries!$AE$5:$AE$434,Countries!$A$5:$A$434,$B$4,Countries!$B$5:$B$434,$B$5,Countries!$D$5:$D$434,$A21,Countries!$X$5:$X$434,"&gt;0"),SUMIFS(Countries!$AE$5:$AE$434,Countries!$A$5:$A$434,$B$4,Countries!$B$5:$B$434,$B$5,Countries!$C$5:$C$434,$B$6,Countries!$D$5:$D$434,$A21,Countries!$X$5:$X$434,"&gt;0"))/IF($B$6="Total",SUMIFS(Countries!$X$5:$X$434,Countries!$A$5:$A$434,$B$4,Countries!$B$5:$B$434,$B$5,Countries!$D$5:$D$434,$A21,Countries!$AE$5:$AE$434,"&gt;0"),SUMIFS(Countries!$X$5:$X$434,Countries!$A$5:$A$434,$B$4,Countries!$B$5:$B$434,$B$5,Countries!$C$5:$C$434,$B$6,Countries!$D$5:$D$434,$A21,Countries!$AE$5:$AE$434,"&gt;0")))</f>
        <v/>
      </c>
      <c r="AG21" s="44">
        <f>IF(OR(AF21="",AE21=""),"",(AF21-AE21)*100)</f>
        <v/>
      </c>
      <c r="AH21" s="41">
        <f>IF(IF($B$6="Total",SUMIFS(Countries!$AK$5:$AK$434,Countries!$A$5:$A$434,$B$4,Countries!$B$5:$B$434,$B$5,Countries!$D$5:$D$434,$A21),SUMIFS(Countries!$AK$5:$AK$434,Countries!$A$5:$A$434,$B$4,Countries!$B$5:$B$434,$B$5,Countries!$C$5:$C$434,$B$6,Countries!$D$5:$D$434,$A21))=0,"",IF($B$6="Total",SUMIFS(Countries!$AK$5:$AK$434,Countries!$A$5:$A$434,$B$4,Countries!$B$5:$B$434,$B$5,Countries!$D$5:$D$434,$A21),SUMIFS(Countries!$AK$5:$AK$434,Countries!$A$5:$A$434,$B$4,Countries!$B$5:$B$434,$B$5,Countries!$C$5:$C$434,$B$6,Countries!$D$5:$D$434,$A21)))</f>
        <v/>
      </c>
      <c r="AI21" s="41">
        <f>IF(IF($B$6="Total",SUMIFS(Countries!$AL$5:$AL$434,Countries!$A$5:$A$434,$B$4,Countries!$B$5:$B$434,$B$5,Countries!$D$5:$D$434,$A21),SUMIFS(Countries!$AL$5:$AL$434,Countries!$A$5:$A$434,$B$4,Countries!$B$5:$B$434,$B$5,Countries!$C$5:$C$434,$B$6,Countries!$D$5:$D$434,$A21))=0,"",IF($B$6="Total",SUMIFS(Countries!$AL$5:$AL$434,Countries!$A$5:$A$434,$B$4,Countries!$B$5:$B$434,$B$5,Countries!$D$5:$D$434,$A21),SUMIFS(Countries!$AL$5:$AL$434,Countries!$A$5:$A$434,$B$4,Countries!$B$5:$B$434,$B$5,Countries!$C$5:$C$434,$B$6,Countries!$D$5:$D$434,$A21)))</f>
        <v/>
      </c>
      <c r="AJ21" s="69">
        <f>IF(OR(AI21="",AH21="",AH21=0,AI21=0),"",AI21-AH21)</f>
        <v/>
      </c>
      <c r="AK21" s="42">
        <f>IF(OR(AI21="",AH21="",AH21=0,AI21=0),"",AI21/AH21-1)</f>
        <v/>
      </c>
      <c r="AL21" s="43">
        <f>IF(IF($B$6="Total",SUMIFS(Countries!$AD$5:$AD$434,Countries!$A$5:$A$434,$B$4,Countries!$B$5:$B$434,$B$5,Countries!$D$5:$D$434,$A21,Countries!$AK$5:$AK$434,"&gt;0"),SUMIFS(Countries!$AD$5:$AD$434,Countries!$A$5:$A$434,$B$4,Countries!$B$5:$B$434,$B$5,Countries!$C$5:$C$434,$B$6,Countries!$D$5:$D$434,$A21,Countries!$AK$5:$AK$434,"&gt;0"))=0,"",IF($B$6="Total",SUMIFS(Countries!$AK$5:$AK$434,Countries!$A$5:$A$434,$B$4,Countries!$B$5:$B$434,$B$5,Countries!$D$5:$D$434,$A21,Countries!$AD$5:$AD$434,"&gt;0"),SUMIFS(Countries!$AK$5:$AK$434,Countries!$A$5:$A$434,$B$4,Countries!$B$5:$B$434,$B$5,Countries!$C$5:$C$434,$B$6,Countries!$D$5:$D$434,$A21,Countries!$AD$5:$AD$434,"&gt;0"))/IF($B$6="Total",SUMIFS(Countries!$AD$5:$AD$434,Countries!$A$5:$A$434,$B$4,Countries!$B$5:$B$434,$B$5,Countries!$D$5:$D$434,$A21,Countries!$AK$5:$AK$434,"&gt;0"),SUMIFS(Countries!$AD$5:$AD$434,Countries!$A$5:$A$434,$B$4,Countries!$B$5:$B$434,$B$5,Countries!$C$5:$C$434,$B$6,Countries!$D$5:$D$434,$A21,Countries!$AK$5:$AK$434,"&gt;0")))</f>
        <v/>
      </c>
      <c r="AM21" s="43">
        <f>IF(IF($B$6="Total",SUMIFS(Countries!$AE$5:$AE$434,Countries!$A$5:$A$434,$B$4,Countries!$B$5:$B$434,$B$5,Countries!$D$5:$D$434,$A21,Countries!$AL$5:$AL$434,"&gt;0"),SUMIFS(Countries!$AE$5:$AE$434,Countries!$A$5:$A$434,$B$4,Countries!$B$5:$B$434,$B$5,Countries!$C$5:$C$434,$B$6,Countries!$D$5:$D$434,$A21,Countries!$AL$5:$AL$434,"&gt;0"))=0,"",IF($B$6="Total",SUMIFS(Countries!$AL$5:$AL$434,Countries!$A$5:$A$434,$B$4,Countries!$B$5:$B$434,$B$5,Countries!$D$5:$D$434,$A21,Countries!$AE$5:$AE$434,"&gt;0"),SUMIFS(Countries!$AL$5:$AL$434,Countries!$A$5:$A$434,$B$4,Countries!$B$5:$B$434,$B$5,Countries!$C$5:$C$434,$B$6,Countries!$D$5:$D$434,$A21,Countries!$AE$5:$AE$434,"&gt;0"))/IF($B$6="Total",SUMIFS(Countries!$AE$5:$AE$434,Countries!$A$5:$A$434,$B$4,Countries!$B$5:$B$434,$B$5,Countries!$D$5:$D$434,$A21,Countries!$AL$5:$AL$434,"&gt;0"),SUMIFS(Countries!$AE$5:$AE$434,Countries!$A$5:$A$434,$B$4,Countries!$B$5:$B$434,$B$5,Countries!$C$5:$C$434,$B$6,Countries!$D$5:$D$434,$A21,Countries!$AL$5:$AL$434,"&gt;0")))</f>
        <v/>
      </c>
      <c r="AN21" s="44">
        <f>IF(OR(AM21="",AL21=""),"",(AM21-AL21)*100)</f>
        <v/>
      </c>
      <c r="AO21" s="41">
        <f>IF(IF($B$6="Total",SUMIFS(Countries!$AR$5:$AR$434,Countries!$A$5:$A$434,$B$4,Countries!$B$5:$B$434,$B$5,Countries!$D$5:$D$434,$A21),SUMIFS(Countries!$AR$5:$AR$434,Countries!$A$5:$A$434,$B$4,Countries!$B$5:$B$434,$B$5,Countries!$C$5:$C$434,$B$6,Countries!$D$5:$D$434,$A21))=0,"",IF($B$6="Total",SUMIFS(Countries!$AR$5:$AR$434,Countries!$A$5:$A$434,$B$4,Countries!$B$5:$B$434,$B$5,Countries!$D$5:$D$434,$A21),SUMIFS(Countries!$AR$5:$AR$434,Countries!$A$5:$A$434,$B$4,Countries!$B$5:$B$434,$B$5,Countries!$C$5:$C$434,$B$6,Countries!$D$5:$D$434,$A21)))</f>
        <v/>
      </c>
      <c r="AP21" s="41">
        <f>IF(IF($B$6="Total",SUMIFS(Countries!$AS$5:$AS$434,Countries!$A$5:$A$434,$B$4,Countries!$B$5:$B$434,$B$5,Countries!$D$5:$D$434,$A21),SUMIFS(Countries!$AS$5:$AS$434,Countries!$A$5:$A$434,$B$4,Countries!$B$5:$B$434,$B$5,Countries!$C$5:$C$434,$B$6,Countries!$D$5:$D$434,$A21))=0,"",IF($B$6="Total",SUMIFS(Countries!$AS$5:$AS$434,Countries!$A$5:$A$434,$B$4,Countries!$B$5:$B$434,$B$5,Countries!$D$5:$D$434,$A21),SUMIFS(Countries!$AS$5:$AS$434,Countries!$A$5:$A$434,$B$4,Countries!$B$5:$B$434,$B$5,Countries!$C$5:$C$434,$B$6,Countries!$D$5:$D$434,$A21)))</f>
        <v/>
      </c>
      <c r="AQ21" s="69">
        <f>IF(OR(AP21="",AO21="",AO21=0,AP21=0),"",AP21-AO21)</f>
        <v/>
      </c>
      <c r="AR21" s="42">
        <f>IF(OR(AP21="",AO21="",AO21=0,AP21=0),"",AP21/AO21-1)</f>
        <v/>
      </c>
      <c r="AS21" s="43">
        <f>IF(IF($B$6="Total",SUMIFS(Countries!$AK$5:$AK$434,Countries!$A$5:$A$434,$B$4,Countries!$B$5:$B$434,$B$5,Countries!$D$5:$D$434,$A21,Countries!$AR$5:$AR$434,"&gt;0"),SUMIFS(Countries!$AK$5:$AK$434,Countries!$A$5:$A$434,$B$4,Countries!$B$5:$B$434,$B$5,Countries!$C$5:$C$434,$B$6,Countries!$D$5:$D$434,$A21,Countries!$AR$5:$AR$434,"&gt;0"))=0,"",IF($B$6="Total",SUMIFS(Countries!$AR$5:$AR$434,Countries!$A$5:$A$434,$B$4,Countries!$B$5:$B$434,$B$5,Countries!$D$5:$D$434,$A21,Countries!$AK$5:$AK$434,"&gt;0"),SUMIFS(Countries!$AR$5:$AR$434,Countries!$A$5:$A$434,$B$4,Countries!$B$5:$B$434,$B$5,Countries!$C$5:$C$434,$B$6,Countries!$D$5:$D$434,$A21,Countries!$AK$5:$AK$434,"&gt;0"))/IF($B$6="Total",SUMIFS(Countries!$AK$5:$AK$434,Countries!$A$5:$A$434,$B$4,Countries!$B$5:$B$434,$B$5,Countries!$D$5:$D$434,$A21,Countries!$AR$5:$AR$434,"&gt;0"),SUMIFS(Countries!$AK$5:$AK$434,Countries!$A$5:$A$434,$B$4,Countries!$B$5:$B$434,$B$5,Countries!$C$5:$C$434,$B$6,Countries!$D$5:$D$434,$A21,Countries!$AR$5:$AR$434,"&gt;0")))</f>
        <v/>
      </c>
      <c r="AT21" s="43">
        <f>IF(IF($B$6="Total",SUMIFS(Countries!$AL$5:$AL$434,Countries!$A$5:$A$434,$B$4,Countries!$B$5:$B$434,$B$5,Countries!$D$5:$D$434,$A21,Countries!$AS$5:$AS$434,"&gt;0"),SUMIFS(Countries!$AL$5:$AL$434,Countries!$A$5:$A$434,$B$4,Countries!$B$5:$B$434,$B$5,Countries!$C$5:$C$434,$B$6,Countries!$D$5:$D$434,$A21,Countries!$AS$5:$AS$434,"&gt;0"))=0,"",IF($B$6="Total",SUMIFS(Countries!$AS$5:$AS$434,Countries!$A$5:$A$434,$B$4,Countries!$B$5:$B$434,$B$5,Countries!$D$5:$D$434,$A21,Countries!$AL$5:$AL$434,"&gt;0"),SUMIFS(Countries!$AS$5:$AS$434,Countries!$A$5:$A$434,$B$4,Countries!$B$5:$B$434,$B$5,Countries!$C$5:$C$434,$B$6,Countries!$D$5:$D$434,$A21,Countries!$AL$5:$AL$434,"&gt;0"))/IF($B$6="Total",SUMIFS(Countries!$AL$5:$AL$434,Countries!$A$5:$A$434,$B$4,Countries!$B$5:$B$434,$B$5,Countries!$D$5:$D$434,$A21,Countries!$AS$5:$AS$434,"&gt;0"),SUMIFS(Countries!$AL$5:$AL$434,Countries!$A$5:$A$434,$B$4,Countries!$B$5:$B$434,$B$5,Countries!$C$5:$C$434,$B$6,Countries!$D$5:$D$434,$A21,Countries!$AS$5:$AS$434,"&gt;0")))</f>
        <v/>
      </c>
      <c r="AU21" s="44">
        <f>IF(OR(AT21="",AS21=""),"",(AT21-AS21)*100)</f>
        <v/>
      </c>
      <c r="AV21" s="45">
        <f>IF(IF($B$6="Total",SUMIFS(Countries!$P$5:$P$434,Countries!$A$5:$A$434,$B$4,Countries!$B$5:$B$434,$B$5,Countries!$D$5:$D$434,$A21,Countries!$AR$5:$AR$434,"&gt;0"),SUMIFS(Countries!$P$5:$P$434,Countries!$A$5:$A$434,$B$4,Countries!$B$5:$B$434,$B$5,Countries!$C$5:$C$434,$B$6,Countries!$D$5:$D$434,$A21,Countries!$AR$5:$AR$434,"&gt;0"))=0,"",IF($B$6="Total",SUMIFS(Countries!$AR$5:$AR$434,Countries!$A$5:$A$434,$B$4,Countries!$B$5:$B$434,$B$5,Countries!$D$5:$D$434,$A21,Countries!$P$5:$P$434,"&gt;0"),SUMIFS(Countries!$AR$5:$AR$434,Countries!$A$5:$A$434,$B$4,Countries!$B$5:$B$434,$B$5,Countries!$C$5:$C$434,$B$6,Countries!$D$5:$D$434,$A21,Countries!$P$5:$P$434,"&gt;0"))/IF($B$6="Total",SUMIFS(Countries!$P$5:$P$434,Countries!$A$5:$A$434,$B$4,Countries!$B$5:$B$434,$B$5,Countries!$D$5:$D$434,$A21,Countries!$AR$5:$AR$434,"&gt;0"),SUMIFS(Countries!$P$5:$P$434,Countries!$A$5:$A$434,$B$4,Countries!$B$5:$B$434,$B$5,Countries!$C$5:$C$434,$B$6,Countries!$D$5:$D$434,$A21,Countries!$AR$5:$AR$434,"&gt;0")))</f>
        <v/>
      </c>
      <c r="AW21" s="45">
        <f>IF(IF($B$6="Total",SUMIFS(Countries!$Q$5:$Q$434,Countries!$A$5:$A$434,$B$4,Countries!$B$5:$B$434,$B$5,Countries!$D$5:$D$434,$A21,Countries!$AS$5:$AS$434,"&gt;0"),SUMIFS(Countries!$Q$5:$Q$434,Countries!$A$5:$A$434,$B$4,Countries!$B$5:$B$434,$B$5,Countries!$C$5:$C$434,$B$6,Countries!$D$5:$D$434,$A21,Countries!$AS$5:$AS$434,"&gt;0"))=0,"",IF($B$6="Total",SUMIFS(Countries!$AS$5:$AS$434,Countries!$A$5:$A$434,$B$4,Countries!$B$5:$B$434,$B$5,Countries!$D$5:$D$434,$A21,Countries!$Q$5:$Q$434,"&gt;0"),SUMIFS(Countries!$AS$5:$AS$434,Countries!$A$5:$A$434,$B$4,Countries!$B$5:$B$434,$B$5,Countries!$C$5:$C$434,$B$6,Countries!$D$5:$D$434,$A21,Countries!$Q$5:$Q$434,"&gt;0"))/IF($B$6="Total",SUMIFS(Countries!$Q$5:$Q$434,Countries!$A$5:$A$434,$B$4,Countries!$B$5:$B$434,$B$5,Countries!$D$5:$D$434,$A21,Countries!$AS$5:$AS$434,"&gt;0"),SUMIFS(Countries!$Q$5:$Q$434,Countries!$A$5:$A$434,$B$4,Countries!$B$5:$B$434,$B$5,Countries!$C$5:$C$434,$B$6,Countries!$D$5:$D$434,$A21,Countries!$AS$5:$AS$434,"&gt;0")))</f>
        <v/>
      </c>
      <c r="AX21" s="44">
        <f>IF(OR(AW21="",AV21=""),"",(AW21-AV21)*100)</f>
        <v/>
      </c>
      <c r="AY21" s="45">
        <f>IF(IF($B$6="Total",SUMIFS(Countries!$E$5:$E$434,Countries!$A$5:$A$434,$B$4,Countries!$B$5:$B$434,$B$5,Countries!$D$5:$D$434,$A21,Countries!$AR$5:$AR$434,"&gt;0"),SUMIFS(Countries!$E$5:$E$434,Countries!$A$5:$A$434,$B$4,Countries!$B$5:$B$434,$B$5,Countries!$C$5:$C$434,$B$6,Countries!$D$5:$D$434,$A21,Countries!$AR$5:$AR$434,"&gt;0"))=0,"",IF($B$6="Total",SUMIFS(Countries!$AR$5:$AR$434,Countries!$A$5:$A$434,$B$4,Countries!$B$5:$B$434,$B$5,Countries!$D$5:$D$434,$A21,Countries!$E$5:$E$434,"&gt;0"),SUMIFS(Countries!$AR$5:$AR$434,Countries!$A$5:$A$434,$B$4,Countries!$B$5:$B$434,$B$5,Countries!$C$5:$C$434,$B$6,Countries!$D$5:$D$434,$A21,Countries!$E$5:$E$434,"&gt;0"))/IF($B$6="Total",SUMIFS(Countries!$E$5:$E$434,Countries!$A$5:$A$434,$B$4,Countries!$B$5:$B$434,$B$5,Countries!$D$5:$D$434,$A21,Countries!$AR$5:$AR$434,"&gt;0"),SUMIFS(Countries!$E$5:$E$434,Countries!$A$5:$A$434,$B$4,Countries!$B$5:$B$434,$B$5,Countries!$C$5:$C$434,$B$6,Countries!$D$5:$D$434,$A21,Countries!$AR$5:$AR$434,"&gt;0")))</f>
        <v/>
      </c>
      <c r="AZ21" s="45">
        <f>IF(IF($B$6="Total",SUMIFS(Countries!$F$5:$F$434,Countries!$A$5:$A$434,$B$4,Countries!$B$5:$B$434,$B$5,Countries!$D$5:$D$434,$A21,Countries!$AS$5:$AS$434,"&gt;0"),SUMIFS(Countries!$F$5:$F$434,Countries!$A$5:$A$434,$B$4,Countries!$B$5:$B$434,$B$5,Countries!$C$5:$C$434,$B$6,Countries!$D$5:$D$434,$A21,Countries!$AS$5:$AS$434,"&gt;0"))=0,"",IF($B$6="Total",SUMIFS(Countries!$AS$5:$AS$434,Countries!$A$5:$A$434,$B$4,Countries!$B$5:$B$434,$B$5,Countries!$D$5:$D$434,$A21,Countries!$F$5:$F$434,"&gt;0"),SUMIFS(Countries!$AS$5:$AS$434,Countries!$A$5:$A$434,$B$4,Countries!$B$5:$B$434,$B$5,Countries!$C$5:$C$434,$B$6,Countries!$D$5:$D$434,$A21,Countries!$F$5:$F$434,"&gt;0"))/IF($B$6="Total",SUMIFS(Countries!$F$5:$F$434,Countries!$A$5:$A$434,$B$4,Countries!$B$5:$B$434,$B$5,Countries!$D$5:$D$434,$A21,Countries!$AS$5:$AS$434,"&gt;0"),SUMIFS(Countries!$F$5:$F$434,Countries!$A$5:$A$434,$B$4,Countries!$B$5:$B$434,$B$5,Countries!$C$5:$C$434,$B$6,Countries!$D$5:$D$434,$A21,Countries!$AS$5:$AS$434,"&gt;0")))</f>
        <v/>
      </c>
      <c r="BA21" s="44">
        <f>IF(OR(AZ21="",AY21=""),"",(AZ21-AY21)*100)</f>
        <v/>
      </c>
      <c r="BB21" s="40">
        <f>IF(AND(IF($B$6="Total",COUNTIFS(Countries!$A$5:$A$434,$B$4,Countries!$B$5:$B$434,$B$5,Countries!$D$5:$D$434,$A21,Countries!$F$5:$F$434,"&gt;0"),COUNTIFS(Countries!$A$5:$A$434,$B$4,Countries!$B$5:$B$434,$B$5,Countries!$C$5:$C$434,$B$6,Countries!$D$5:$D$434,$A21,Countries!$F$5:$F$434,"&gt;0"))=0,IF($B$6="Total",COUNTIFS(Countries!$A$5:$A$434,$B$4,Countries!$B$5:$B$434,$B$5,Countries!$D$5:$D$434,$A21,Countries!$E$5:$E$434,"&gt;0"),COUNTIFS(Countries!$A$5:$A$434,$B$4,Countries!$B$5:$B$434,$B$5,Countries!$C$5:$C$434,$B$6,Countries!$D$5:$D$434,$A21,Countries!$E$5:$E$434,"&gt;0"))=0),"",IF(IF($B$6="Total",COUNTIFS(Countries!$A$5:$A$434,$B$4,Countries!$B$5:$B$434,$B$5,Countries!$D$5:$D$434,$A21,Countries!$F$5:$F$434,"&gt;0"),COUNTIFS(Countries!$A$5:$A$434,$B$4,Countries!$B$5:$B$434,$B$5,Countries!$C$5:$C$434,$B$6,Countries!$D$5:$D$434,$A21,Countries!$F$5:$F$434,"&gt;0"))=0,"1-23Aug25 rows only",IF(IF($B$6="Total",COUNTIFS(Countries!$A$5:$A$434,$B$4,Countries!$B$5:$B$434,$B$5,Countries!$D$5:$D$434,$A21,Countries!$E$5:$E$434,"&gt;0"),COUNTIFS(Countries!$A$5:$A$434,$B$4,Countries!$B$5:$B$434,$B$5,Countries!$C$5:$C$434,$B$6,Countries!$D$5:$D$434,$A21,Countries!$E$5:$E$434,"&gt;0"))=0,"1-23Aug26 rows only",IF(IF($B$6="Total",COUNTIFS(Countries!$A$5:$A$434,$B$4,Countries!$B$5:$B$434,$B$5,Countries!$D$5:$D$434,$A21,Countries!$F$5:$F$434,"&gt;0"),COUNTIFS(Countries!$A$5:$A$434,$B$4,Countries!$B$5:$B$434,$B$5,Countries!$C$5:$C$434,$B$6,Countries!$D$5:$D$434,$A21,Countries!$F$5:$F$434,"&gt;0"))=IF($B$6="Total",COUNTIFS(Countries!$A$5:$A$434,$B$4,Countries!$B$5:$B$434,$B$5,Countries!$D$5:$D$434,$A21,Countries!$E$5:$E$434,"&gt;0"),COUNTIFS(Countries!$A$5:$A$434,$B$4,Countries!$B$5:$B$434,$B$5,Countries!$C$5:$C$434,$B$6,Countries!$D$5:$D$434,$A21,Countries!$E$5:$E$434,"&gt;0")),"Like-for-like","Partial — coverage differs"))))</f>
        <v/>
      </c>
    </row>
    <row r="22">
      <c r="A22" s="56" t="inlineStr">
        <is>
          <t>Norway</t>
        </is>
      </c>
      <c r="B22" s="41">
        <f>IF(IF($B$6="Total",SUMIFS(Countries!$E$5:$E$434,Countries!$A$5:$A$434,$B$4,Countries!$B$5:$B$434,$B$5,Countries!$D$5:$D$434,$A22),SUMIFS(Countries!$E$5:$E$434,Countries!$A$5:$A$434,$B$4,Countries!$B$5:$B$434,$B$5,Countries!$C$5:$C$434,$B$6,Countries!$D$5:$D$434,$A22))=0,"",IF($B$6="Total",SUMIFS(Countries!$E$5:$E$434,Countries!$A$5:$A$434,$B$4,Countries!$B$5:$B$434,$B$5,Countries!$D$5:$D$434,$A22),SUMIFS(Countries!$E$5:$E$434,Countries!$A$5:$A$434,$B$4,Countries!$B$5:$B$434,$B$5,Countries!$C$5:$C$434,$B$6,Countries!$D$5:$D$434,$A22)))</f>
        <v/>
      </c>
      <c r="C22" s="41">
        <f>IF(IF($B$6="Total",SUMIFS(Countries!$F$5:$F$434,Countries!$A$5:$A$434,$B$4,Countries!$B$5:$B$434,$B$5,Countries!$D$5:$D$434,$A22),SUMIFS(Countries!$F$5:$F$434,Countries!$A$5:$A$434,$B$4,Countries!$B$5:$B$434,$B$5,Countries!$C$5:$C$434,$B$6,Countries!$D$5:$D$434,$A22))=0,"",IF($B$6="Total",SUMIFS(Countries!$F$5:$F$434,Countries!$A$5:$A$434,$B$4,Countries!$B$5:$B$434,$B$5,Countries!$D$5:$D$434,$A22),SUMIFS(Countries!$F$5:$F$434,Countries!$A$5:$A$434,$B$4,Countries!$B$5:$B$434,$B$5,Countries!$C$5:$C$434,$B$6,Countries!$D$5:$D$434,$A22)))</f>
        <v/>
      </c>
      <c r="D22" s="69">
        <f>IF(OR(C22="",B22="",B22=0,C22=0),"",C22-B22)</f>
        <v/>
      </c>
      <c r="E22" s="42">
        <f>IF(OR(C22="",B22="",B22=0,C22=0),"",C22/B22-1)</f>
        <v/>
      </c>
      <c r="F22" s="41">
        <f>IF(IF($B$6="Total",SUMIFS(Countries!$I$5:$I$434,Countries!$A$5:$A$434,$B$4,Countries!$B$5:$B$434,$B$5,Countries!$D$5:$D$434,$A22),SUMIFS(Countries!$I$5:$I$434,Countries!$A$5:$A$434,$B$4,Countries!$B$5:$B$434,$B$5,Countries!$C$5:$C$434,$B$6,Countries!$D$5:$D$434,$A22))=0,"",IF($B$6="Total",SUMIFS(Countries!$I$5:$I$434,Countries!$A$5:$A$434,$B$4,Countries!$B$5:$B$434,$B$5,Countries!$D$5:$D$434,$A22),SUMIFS(Countries!$I$5:$I$434,Countries!$A$5:$A$434,$B$4,Countries!$B$5:$B$434,$B$5,Countries!$C$5:$C$434,$B$6,Countries!$D$5:$D$434,$A22)))</f>
        <v/>
      </c>
      <c r="G22" s="41">
        <f>IF(IF($B$6="Total",SUMIFS(Countries!$J$5:$J$434,Countries!$A$5:$A$434,$B$4,Countries!$B$5:$B$434,$B$5,Countries!$D$5:$D$434,$A22),SUMIFS(Countries!$J$5:$J$434,Countries!$A$5:$A$434,$B$4,Countries!$B$5:$B$434,$B$5,Countries!$C$5:$C$434,$B$6,Countries!$D$5:$D$434,$A22))=0,"",IF($B$6="Total",SUMIFS(Countries!$J$5:$J$434,Countries!$A$5:$A$434,$B$4,Countries!$B$5:$B$434,$B$5,Countries!$D$5:$D$434,$A22),SUMIFS(Countries!$J$5:$J$434,Countries!$A$5:$A$434,$B$4,Countries!$B$5:$B$434,$B$5,Countries!$C$5:$C$434,$B$6,Countries!$D$5:$D$434,$A22)))</f>
        <v/>
      </c>
      <c r="H22" s="69">
        <f>IF(OR(G22="",F22="",F22=0,G22=0),"",G22-F22)</f>
        <v/>
      </c>
      <c r="I22" s="42">
        <f>IF(OR(G22="",F22="",F22=0,G22=0),"",G22/F22-1)</f>
        <v/>
      </c>
      <c r="J22" s="43">
        <f>IF(IF($B$6="Total",SUMIFS(Countries!$E$5:$E$434,Countries!$A$5:$A$434,$B$4,Countries!$B$5:$B$434,$B$5,Countries!$D$5:$D$434,$A22,Countries!$I$5:$I$434,"&gt;0"),SUMIFS(Countries!$E$5:$E$434,Countries!$A$5:$A$434,$B$4,Countries!$B$5:$B$434,$B$5,Countries!$C$5:$C$434,$B$6,Countries!$D$5:$D$434,$A22,Countries!$I$5:$I$434,"&gt;0"))=0,"",IF($B$6="Total",SUMIFS(Countries!$I$5:$I$434,Countries!$A$5:$A$434,$B$4,Countries!$B$5:$B$434,$B$5,Countries!$D$5:$D$434,$A22,Countries!$E$5:$E$434,"&gt;0"),SUMIFS(Countries!$I$5:$I$434,Countries!$A$5:$A$434,$B$4,Countries!$B$5:$B$434,$B$5,Countries!$C$5:$C$434,$B$6,Countries!$D$5:$D$434,$A22,Countries!$E$5:$E$434,"&gt;0"))/IF($B$6="Total",SUMIFS(Countries!$E$5:$E$434,Countries!$A$5:$A$434,$B$4,Countries!$B$5:$B$434,$B$5,Countries!$D$5:$D$434,$A22,Countries!$I$5:$I$434,"&gt;0"),SUMIFS(Countries!$E$5:$E$434,Countries!$A$5:$A$434,$B$4,Countries!$B$5:$B$434,$B$5,Countries!$C$5:$C$434,$B$6,Countries!$D$5:$D$434,$A22,Countries!$I$5:$I$434,"&gt;0")))</f>
        <v/>
      </c>
      <c r="K22" s="43">
        <f>IF(IF($B$6="Total",SUMIFS(Countries!$F$5:$F$434,Countries!$A$5:$A$434,$B$4,Countries!$B$5:$B$434,$B$5,Countries!$D$5:$D$434,$A22,Countries!$J$5:$J$434,"&gt;0"),SUMIFS(Countries!$F$5:$F$434,Countries!$A$5:$A$434,$B$4,Countries!$B$5:$B$434,$B$5,Countries!$C$5:$C$434,$B$6,Countries!$D$5:$D$434,$A22,Countries!$J$5:$J$434,"&gt;0"))=0,"",IF($B$6="Total",SUMIFS(Countries!$J$5:$J$434,Countries!$A$5:$A$434,$B$4,Countries!$B$5:$B$434,$B$5,Countries!$D$5:$D$434,$A22,Countries!$F$5:$F$434,"&gt;0"),SUMIFS(Countries!$J$5:$J$434,Countries!$A$5:$A$434,$B$4,Countries!$B$5:$B$434,$B$5,Countries!$C$5:$C$434,$B$6,Countries!$D$5:$D$434,$A22,Countries!$F$5:$F$434,"&gt;0"))/IF($B$6="Total",SUMIFS(Countries!$F$5:$F$434,Countries!$A$5:$A$434,$B$4,Countries!$B$5:$B$434,$B$5,Countries!$D$5:$D$434,$A22,Countries!$J$5:$J$434,"&gt;0"),SUMIFS(Countries!$F$5:$F$434,Countries!$A$5:$A$434,$B$4,Countries!$B$5:$B$434,$B$5,Countries!$C$5:$C$434,$B$6,Countries!$D$5:$D$434,$A22,Countries!$J$5:$J$434,"&gt;0")))</f>
        <v/>
      </c>
      <c r="L22" s="44">
        <f>IF(OR(K22="",J22=""),"",(K22-J22)*100)</f>
        <v/>
      </c>
      <c r="M22" s="41">
        <f>IF(IF($B$6="Total",SUMIFS(Countries!$P$5:$P$434,Countries!$A$5:$A$434,$B$4,Countries!$B$5:$B$434,$B$5,Countries!$D$5:$D$434,$A22),SUMIFS(Countries!$P$5:$P$434,Countries!$A$5:$A$434,$B$4,Countries!$B$5:$B$434,$B$5,Countries!$C$5:$C$434,$B$6,Countries!$D$5:$D$434,$A22))=0,"",IF($B$6="Total",SUMIFS(Countries!$P$5:$P$434,Countries!$A$5:$A$434,$B$4,Countries!$B$5:$B$434,$B$5,Countries!$D$5:$D$434,$A22),SUMIFS(Countries!$P$5:$P$434,Countries!$A$5:$A$434,$B$4,Countries!$B$5:$B$434,$B$5,Countries!$C$5:$C$434,$B$6,Countries!$D$5:$D$434,$A22)))</f>
        <v/>
      </c>
      <c r="N22" s="41">
        <f>IF(IF($B$6="Total",SUMIFS(Countries!$Q$5:$Q$434,Countries!$A$5:$A$434,$B$4,Countries!$B$5:$B$434,$B$5,Countries!$D$5:$D$434,$A22),SUMIFS(Countries!$Q$5:$Q$434,Countries!$A$5:$A$434,$B$4,Countries!$B$5:$B$434,$B$5,Countries!$C$5:$C$434,$B$6,Countries!$D$5:$D$434,$A22))=0,"",IF($B$6="Total",SUMIFS(Countries!$Q$5:$Q$434,Countries!$A$5:$A$434,$B$4,Countries!$B$5:$B$434,$B$5,Countries!$D$5:$D$434,$A22),SUMIFS(Countries!$Q$5:$Q$434,Countries!$A$5:$A$434,$B$4,Countries!$B$5:$B$434,$B$5,Countries!$C$5:$C$434,$B$6,Countries!$D$5:$D$434,$A22)))</f>
        <v/>
      </c>
      <c r="O22" s="69">
        <f>IF(OR(N22="",M22="",M22=0,N22=0),"",N22-M22)</f>
        <v/>
      </c>
      <c r="P22" s="42">
        <f>IF(OR(N22="",M22="",M22=0,N22=0),"",N22/M22-1)</f>
        <v/>
      </c>
      <c r="Q22" s="43">
        <f>IF(IF($B$6="Total",SUMIFS(Countries!$E$5:$E$434,Countries!$A$5:$A$434,$B$4,Countries!$B$5:$B$434,$B$5,Countries!$D$5:$D$434,$A22,Countries!$P$5:$P$434,"&gt;0"),SUMIFS(Countries!$E$5:$E$434,Countries!$A$5:$A$434,$B$4,Countries!$B$5:$B$434,$B$5,Countries!$C$5:$C$434,$B$6,Countries!$D$5:$D$434,$A22,Countries!$P$5:$P$434,"&gt;0"))=0,"",IF($B$6="Total",SUMIFS(Countries!$P$5:$P$434,Countries!$A$5:$A$434,$B$4,Countries!$B$5:$B$434,$B$5,Countries!$D$5:$D$434,$A22,Countries!$E$5:$E$434,"&gt;0"),SUMIFS(Countries!$P$5:$P$434,Countries!$A$5:$A$434,$B$4,Countries!$B$5:$B$434,$B$5,Countries!$C$5:$C$434,$B$6,Countries!$D$5:$D$434,$A22,Countries!$E$5:$E$434,"&gt;0"))/IF($B$6="Total",SUMIFS(Countries!$E$5:$E$434,Countries!$A$5:$A$434,$B$4,Countries!$B$5:$B$434,$B$5,Countries!$D$5:$D$434,$A22,Countries!$P$5:$P$434,"&gt;0"),SUMIFS(Countries!$E$5:$E$434,Countries!$A$5:$A$434,$B$4,Countries!$B$5:$B$434,$B$5,Countries!$C$5:$C$434,$B$6,Countries!$D$5:$D$434,$A22,Countries!$P$5:$P$434,"&gt;0")))</f>
        <v/>
      </c>
      <c r="R22" s="43">
        <f>IF(IF($B$6="Total",SUMIFS(Countries!$F$5:$F$434,Countries!$A$5:$A$434,$B$4,Countries!$B$5:$B$434,$B$5,Countries!$D$5:$D$434,$A22,Countries!$Q$5:$Q$434,"&gt;0"),SUMIFS(Countries!$F$5:$F$434,Countries!$A$5:$A$434,$B$4,Countries!$B$5:$B$434,$B$5,Countries!$C$5:$C$434,$B$6,Countries!$D$5:$D$434,$A22,Countries!$Q$5:$Q$434,"&gt;0"))=0,"",IF($B$6="Total",SUMIFS(Countries!$Q$5:$Q$434,Countries!$A$5:$A$434,$B$4,Countries!$B$5:$B$434,$B$5,Countries!$D$5:$D$434,$A22,Countries!$F$5:$F$434,"&gt;0"),SUMIFS(Countries!$Q$5:$Q$434,Countries!$A$5:$A$434,$B$4,Countries!$B$5:$B$434,$B$5,Countries!$C$5:$C$434,$B$6,Countries!$D$5:$D$434,$A22,Countries!$F$5:$F$434,"&gt;0"))/IF($B$6="Total",SUMIFS(Countries!$F$5:$F$434,Countries!$A$5:$A$434,$B$4,Countries!$B$5:$B$434,$B$5,Countries!$D$5:$D$434,$A22,Countries!$Q$5:$Q$434,"&gt;0"),SUMIFS(Countries!$F$5:$F$434,Countries!$A$5:$A$434,$B$4,Countries!$B$5:$B$434,$B$5,Countries!$C$5:$C$434,$B$6,Countries!$D$5:$D$434,$A22,Countries!$Q$5:$Q$434,"&gt;0")))</f>
        <v/>
      </c>
      <c r="S22" s="44">
        <f>IF(OR(R22="",Q22=""),"",(R22-Q22)*100)</f>
        <v/>
      </c>
      <c r="T22" s="41">
        <f>IF(IF($B$6="Total",SUMIFS(Countries!$W$5:$W$434,Countries!$A$5:$A$434,$B$4,Countries!$B$5:$B$434,$B$5,Countries!$D$5:$D$434,$A22),SUMIFS(Countries!$W$5:$W$434,Countries!$A$5:$A$434,$B$4,Countries!$B$5:$B$434,$B$5,Countries!$C$5:$C$434,$B$6,Countries!$D$5:$D$434,$A22))=0,"",IF($B$6="Total",SUMIFS(Countries!$W$5:$W$434,Countries!$A$5:$A$434,$B$4,Countries!$B$5:$B$434,$B$5,Countries!$D$5:$D$434,$A22),SUMIFS(Countries!$W$5:$W$434,Countries!$A$5:$A$434,$B$4,Countries!$B$5:$B$434,$B$5,Countries!$C$5:$C$434,$B$6,Countries!$D$5:$D$434,$A22)))</f>
        <v/>
      </c>
      <c r="U22" s="41">
        <f>IF(IF($B$6="Total",SUMIFS(Countries!$X$5:$X$434,Countries!$A$5:$A$434,$B$4,Countries!$B$5:$B$434,$B$5,Countries!$D$5:$D$434,$A22),SUMIFS(Countries!$X$5:$X$434,Countries!$A$5:$A$434,$B$4,Countries!$B$5:$B$434,$B$5,Countries!$C$5:$C$434,$B$6,Countries!$D$5:$D$434,$A22))=0,"",IF($B$6="Total",SUMIFS(Countries!$X$5:$X$434,Countries!$A$5:$A$434,$B$4,Countries!$B$5:$B$434,$B$5,Countries!$D$5:$D$434,$A22),SUMIFS(Countries!$X$5:$X$434,Countries!$A$5:$A$434,$B$4,Countries!$B$5:$B$434,$B$5,Countries!$C$5:$C$434,$B$6,Countries!$D$5:$D$434,$A22)))</f>
        <v/>
      </c>
      <c r="V22" s="69">
        <f>IF(OR(U22="",T22="",T22=0,U22=0),"",U22-T22)</f>
        <v/>
      </c>
      <c r="W22" s="42">
        <f>IF(OR(U22="",T22="",T22=0,U22=0),"",U22/T22-1)</f>
        <v/>
      </c>
      <c r="X22" s="43">
        <f>IF(IF($B$6="Total",SUMIFS(Countries!$P$5:$P$434,Countries!$A$5:$A$434,$B$4,Countries!$B$5:$B$434,$B$5,Countries!$D$5:$D$434,$A22,Countries!$W$5:$W$434,"&gt;0"),SUMIFS(Countries!$P$5:$P$434,Countries!$A$5:$A$434,$B$4,Countries!$B$5:$B$434,$B$5,Countries!$C$5:$C$434,$B$6,Countries!$D$5:$D$434,$A22,Countries!$W$5:$W$434,"&gt;0"))=0,"",IF($B$6="Total",SUMIFS(Countries!$W$5:$W$434,Countries!$A$5:$A$434,$B$4,Countries!$B$5:$B$434,$B$5,Countries!$D$5:$D$434,$A22,Countries!$P$5:$P$434,"&gt;0"),SUMIFS(Countries!$W$5:$W$434,Countries!$A$5:$A$434,$B$4,Countries!$B$5:$B$434,$B$5,Countries!$C$5:$C$434,$B$6,Countries!$D$5:$D$434,$A22,Countries!$P$5:$P$434,"&gt;0"))/IF($B$6="Total",SUMIFS(Countries!$P$5:$P$434,Countries!$A$5:$A$434,$B$4,Countries!$B$5:$B$434,$B$5,Countries!$D$5:$D$434,$A22,Countries!$W$5:$W$434,"&gt;0"),SUMIFS(Countries!$P$5:$P$434,Countries!$A$5:$A$434,$B$4,Countries!$B$5:$B$434,$B$5,Countries!$C$5:$C$434,$B$6,Countries!$D$5:$D$434,$A22,Countries!$W$5:$W$434,"&gt;0")))</f>
        <v/>
      </c>
      <c r="Y22" s="43">
        <f>IF(IF($B$6="Total",SUMIFS(Countries!$Q$5:$Q$434,Countries!$A$5:$A$434,$B$4,Countries!$B$5:$B$434,$B$5,Countries!$D$5:$D$434,$A22,Countries!$X$5:$X$434,"&gt;0"),SUMIFS(Countries!$Q$5:$Q$434,Countries!$A$5:$A$434,$B$4,Countries!$B$5:$B$434,$B$5,Countries!$C$5:$C$434,$B$6,Countries!$D$5:$D$434,$A22,Countries!$X$5:$X$434,"&gt;0"))=0,"",IF($B$6="Total",SUMIFS(Countries!$X$5:$X$434,Countries!$A$5:$A$434,$B$4,Countries!$B$5:$B$434,$B$5,Countries!$D$5:$D$434,$A22,Countries!$Q$5:$Q$434,"&gt;0"),SUMIFS(Countries!$X$5:$X$434,Countries!$A$5:$A$434,$B$4,Countries!$B$5:$B$434,$B$5,Countries!$C$5:$C$434,$B$6,Countries!$D$5:$D$434,$A22,Countries!$Q$5:$Q$434,"&gt;0"))/IF($B$6="Total",SUMIFS(Countries!$Q$5:$Q$434,Countries!$A$5:$A$434,$B$4,Countries!$B$5:$B$434,$B$5,Countries!$D$5:$D$434,$A22,Countries!$X$5:$X$434,"&gt;0"),SUMIFS(Countries!$Q$5:$Q$434,Countries!$A$5:$A$434,$B$4,Countries!$B$5:$B$434,$B$5,Countries!$C$5:$C$434,$B$6,Countries!$D$5:$D$434,$A22,Countries!$X$5:$X$434,"&gt;0")))</f>
        <v/>
      </c>
      <c r="Z22" s="44">
        <f>IF(OR(Y22="",X22=""),"",(Y22-X22)*100)</f>
        <v/>
      </c>
      <c r="AA22" s="41">
        <f>IF(IF($B$6="Total",SUMIFS(Countries!$AD$5:$AD$434,Countries!$A$5:$A$434,$B$4,Countries!$B$5:$B$434,$B$5,Countries!$D$5:$D$434,$A22),SUMIFS(Countries!$AD$5:$AD$434,Countries!$A$5:$A$434,$B$4,Countries!$B$5:$B$434,$B$5,Countries!$C$5:$C$434,$B$6,Countries!$D$5:$D$434,$A22))=0,"",IF($B$6="Total",SUMIFS(Countries!$AD$5:$AD$434,Countries!$A$5:$A$434,$B$4,Countries!$B$5:$B$434,$B$5,Countries!$D$5:$D$434,$A22),SUMIFS(Countries!$AD$5:$AD$434,Countries!$A$5:$A$434,$B$4,Countries!$B$5:$B$434,$B$5,Countries!$C$5:$C$434,$B$6,Countries!$D$5:$D$434,$A22)))</f>
        <v/>
      </c>
      <c r="AB22" s="41">
        <f>IF(IF($B$6="Total",SUMIFS(Countries!$AE$5:$AE$434,Countries!$A$5:$A$434,$B$4,Countries!$B$5:$B$434,$B$5,Countries!$D$5:$D$434,$A22),SUMIFS(Countries!$AE$5:$AE$434,Countries!$A$5:$A$434,$B$4,Countries!$B$5:$B$434,$B$5,Countries!$C$5:$C$434,$B$6,Countries!$D$5:$D$434,$A22))=0,"",IF($B$6="Total",SUMIFS(Countries!$AE$5:$AE$434,Countries!$A$5:$A$434,$B$4,Countries!$B$5:$B$434,$B$5,Countries!$D$5:$D$434,$A22),SUMIFS(Countries!$AE$5:$AE$434,Countries!$A$5:$A$434,$B$4,Countries!$B$5:$B$434,$B$5,Countries!$C$5:$C$434,$B$6,Countries!$D$5:$D$434,$A22)))</f>
        <v/>
      </c>
      <c r="AC22" s="69">
        <f>IF(OR(AB22="",AA22="",AA22=0,AB22=0),"",AB22-AA22)</f>
        <v/>
      </c>
      <c r="AD22" s="42">
        <f>IF(OR(AB22="",AA22="",AA22=0,AB22=0),"",AB22/AA22-1)</f>
        <v/>
      </c>
      <c r="AE22" s="43">
        <f>IF(IF($B$6="Total",SUMIFS(Countries!$W$5:$W$434,Countries!$A$5:$A$434,$B$4,Countries!$B$5:$B$434,$B$5,Countries!$D$5:$D$434,$A22,Countries!$AD$5:$AD$434,"&gt;0"),SUMIFS(Countries!$W$5:$W$434,Countries!$A$5:$A$434,$B$4,Countries!$B$5:$B$434,$B$5,Countries!$C$5:$C$434,$B$6,Countries!$D$5:$D$434,$A22,Countries!$AD$5:$AD$434,"&gt;0"))=0,"",IF($B$6="Total",SUMIFS(Countries!$AD$5:$AD$434,Countries!$A$5:$A$434,$B$4,Countries!$B$5:$B$434,$B$5,Countries!$D$5:$D$434,$A22,Countries!$W$5:$W$434,"&gt;0"),SUMIFS(Countries!$AD$5:$AD$434,Countries!$A$5:$A$434,$B$4,Countries!$B$5:$B$434,$B$5,Countries!$C$5:$C$434,$B$6,Countries!$D$5:$D$434,$A22,Countries!$W$5:$W$434,"&gt;0"))/IF($B$6="Total",SUMIFS(Countries!$W$5:$W$434,Countries!$A$5:$A$434,$B$4,Countries!$B$5:$B$434,$B$5,Countries!$D$5:$D$434,$A22,Countries!$AD$5:$AD$434,"&gt;0"),SUMIFS(Countries!$W$5:$W$434,Countries!$A$5:$A$434,$B$4,Countries!$B$5:$B$434,$B$5,Countries!$C$5:$C$434,$B$6,Countries!$D$5:$D$434,$A22,Countries!$AD$5:$AD$434,"&gt;0")))</f>
        <v/>
      </c>
      <c r="AF22" s="43">
        <f>IF(IF($B$6="Total",SUMIFS(Countries!$X$5:$X$434,Countries!$A$5:$A$434,$B$4,Countries!$B$5:$B$434,$B$5,Countries!$D$5:$D$434,$A22,Countries!$AE$5:$AE$434,"&gt;0"),SUMIFS(Countries!$X$5:$X$434,Countries!$A$5:$A$434,$B$4,Countries!$B$5:$B$434,$B$5,Countries!$C$5:$C$434,$B$6,Countries!$D$5:$D$434,$A22,Countries!$AE$5:$AE$434,"&gt;0"))=0,"",IF($B$6="Total",SUMIFS(Countries!$AE$5:$AE$434,Countries!$A$5:$A$434,$B$4,Countries!$B$5:$B$434,$B$5,Countries!$D$5:$D$434,$A22,Countries!$X$5:$X$434,"&gt;0"),SUMIFS(Countries!$AE$5:$AE$434,Countries!$A$5:$A$434,$B$4,Countries!$B$5:$B$434,$B$5,Countries!$C$5:$C$434,$B$6,Countries!$D$5:$D$434,$A22,Countries!$X$5:$X$434,"&gt;0"))/IF($B$6="Total",SUMIFS(Countries!$X$5:$X$434,Countries!$A$5:$A$434,$B$4,Countries!$B$5:$B$434,$B$5,Countries!$D$5:$D$434,$A22,Countries!$AE$5:$AE$434,"&gt;0"),SUMIFS(Countries!$X$5:$X$434,Countries!$A$5:$A$434,$B$4,Countries!$B$5:$B$434,$B$5,Countries!$C$5:$C$434,$B$6,Countries!$D$5:$D$434,$A22,Countries!$AE$5:$AE$434,"&gt;0")))</f>
        <v/>
      </c>
      <c r="AG22" s="44">
        <f>IF(OR(AF22="",AE22=""),"",(AF22-AE22)*100)</f>
        <v/>
      </c>
      <c r="AH22" s="41">
        <f>IF(IF($B$6="Total",SUMIFS(Countries!$AK$5:$AK$434,Countries!$A$5:$A$434,$B$4,Countries!$B$5:$B$434,$B$5,Countries!$D$5:$D$434,$A22),SUMIFS(Countries!$AK$5:$AK$434,Countries!$A$5:$A$434,$B$4,Countries!$B$5:$B$434,$B$5,Countries!$C$5:$C$434,$B$6,Countries!$D$5:$D$434,$A22))=0,"",IF($B$6="Total",SUMIFS(Countries!$AK$5:$AK$434,Countries!$A$5:$A$434,$B$4,Countries!$B$5:$B$434,$B$5,Countries!$D$5:$D$434,$A22),SUMIFS(Countries!$AK$5:$AK$434,Countries!$A$5:$A$434,$B$4,Countries!$B$5:$B$434,$B$5,Countries!$C$5:$C$434,$B$6,Countries!$D$5:$D$434,$A22)))</f>
        <v/>
      </c>
      <c r="AI22" s="41">
        <f>IF(IF($B$6="Total",SUMIFS(Countries!$AL$5:$AL$434,Countries!$A$5:$A$434,$B$4,Countries!$B$5:$B$434,$B$5,Countries!$D$5:$D$434,$A22),SUMIFS(Countries!$AL$5:$AL$434,Countries!$A$5:$A$434,$B$4,Countries!$B$5:$B$434,$B$5,Countries!$C$5:$C$434,$B$6,Countries!$D$5:$D$434,$A22))=0,"",IF($B$6="Total",SUMIFS(Countries!$AL$5:$AL$434,Countries!$A$5:$A$434,$B$4,Countries!$B$5:$B$434,$B$5,Countries!$D$5:$D$434,$A22),SUMIFS(Countries!$AL$5:$AL$434,Countries!$A$5:$A$434,$B$4,Countries!$B$5:$B$434,$B$5,Countries!$C$5:$C$434,$B$6,Countries!$D$5:$D$434,$A22)))</f>
        <v/>
      </c>
      <c r="AJ22" s="69">
        <f>IF(OR(AI22="",AH22="",AH22=0,AI22=0),"",AI22-AH22)</f>
        <v/>
      </c>
      <c r="AK22" s="42">
        <f>IF(OR(AI22="",AH22="",AH22=0,AI22=0),"",AI22/AH22-1)</f>
        <v/>
      </c>
      <c r="AL22" s="43">
        <f>IF(IF($B$6="Total",SUMIFS(Countries!$AD$5:$AD$434,Countries!$A$5:$A$434,$B$4,Countries!$B$5:$B$434,$B$5,Countries!$D$5:$D$434,$A22,Countries!$AK$5:$AK$434,"&gt;0"),SUMIFS(Countries!$AD$5:$AD$434,Countries!$A$5:$A$434,$B$4,Countries!$B$5:$B$434,$B$5,Countries!$C$5:$C$434,$B$6,Countries!$D$5:$D$434,$A22,Countries!$AK$5:$AK$434,"&gt;0"))=0,"",IF($B$6="Total",SUMIFS(Countries!$AK$5:$AK$434,Countries!$A$5:$A$434,$B$4,Countries!$B$5:$B$434,$B$5,Countries!$D$5:$D$434,$A22,Countries!$AD$5:$AD$434,"&gt;0"),SUMIFS(Countries!$AK$5:$AK$434,Countries!$A$5:$A$434,$B$4,Countries!$B$5:$B$434,$B$5,Countries!$C$5:$C$434,$B$6,Countries!$D$5:$D$434,$A22,Countries!$AD$5:$AD$434,"&gt;0"))/IF($B$6="Total",SUMIFS(Countries!$AD$5:$AD$434,Countries!$A$5:$A$434,$B$4,Countries!$B$5:$B$434,$B$5,Countries!$D$5:$D$434,$A22,Countries!$AK$5:$AK$434,"&gt;0"),SUMIFS(Countries!$AD$5:$AD$434,Countries!$A$5:$A$434,$B$4,Countries!$B$5:$B$434,$B$5,Countries!$C$5:$C$434,$B$6,Countries!$D$5:$D$434,$A22,Countries!$AK$5:$AK$434,"&gt;0")))</f>
        <v/>
      </c>
      <c r="AM22" s="43">
        <f>IF(IF($B$6="Total",SUMIFS(Countries!$AE$5:$AE$434,Countries!$A$5:$A$434,$B$4,Countries!$B$5:$B$434,$B$5,Countries!$D$5:$D$434,$A22,Countries!$AL$5:$AL$434,"&gt;0"),SUMIFS(Countries!$AE$5:$AE$434,Countries!$A$5:$A$434,$B$4,Countries!$B$5:$B$434,$B$5,Countries!$C$5:$C$434,$B$6,Countries!$D$5:$D$434,$A22,Countries!$AL$5:$AL$434,"&gt;0"))=0,"",IF($B$6="Total",SUMIFS(Countries!$AL$5:$AL$434,Countries!$A$5:$A$434,$B$4,Countries!$B$5:$B$434,$B$5,Countries!$D$5:$D$434,$A22,Countries!$AE$5:$AE$434,"&gt;0"),SUMIFS(Countries!$AL$5:$AL$434,Countries!$A$5:$A$434,$B$4,Countries!$B$5:$B$434,$B$5,Countries!$C$5:$C$434,$B$6,Countries!$D$5:$D$434,$A22,Countries!$AE$5:$AE$434,"&gt;0"))/IF($B$6="Total",SUMIFS(Countries!$AE$5:$AE$434,Countries!$A$5:$A$434,$B$4,Countries!$B$5:$B$434,$B$5,Countries!$D$5:$D$434,$A22,Countries!$AL$5:$AL$434,"&gt;0"),SUMIFS(Countries!$AE$5:$AE$434,Countries!$A$5:$A$434,$B$4,Countries!$B$5:$B$434,$B$5,Countries!$C$5:$C$434,$B$6,Countries!$D$5:$D$434,$A22,Countries!$AL$5:$AL$434,"&gt;0")))</f>
        <v/>
      </c>
      <c r="AN22" s="44">
        <f>IF(OR(AM22="",AL22=""),"",(AM22-AL22)*100)</f>
        <v/>
      </c>
      <c r="AO22" s="41">
        <f>IF(IF($B$6="Total",SUMIFS(Countries!$AR$5:$AR$434,Countries!$A$5:$A$434,$B$4,Countries!$B$5:$B$434,$B$5,Countries!$D$5:$D$434,$A22),SUMIFS(Countries!$AR$5:$AR$434,Countries!$A$5:$A$434,$B$4,Countries!$B$5:$B$434,$B$5,Countries!$C$5:$C$434,$B$6,Countries!$D$5:$D$434,$A22))=0,"",IF($B$6="Total",SUMIFS(Countries!$AR$5:$AR$434,Countries!$A$5:$A$434,$B$4,Countries!$B$5:$B$434,$B$5,Countries!$D$5:$D$434,$A22),SUMIFS(Countries!$AR$5:$AR$434,Countries!$A$5:$A$434,$B$4,Countries!$B$5:$B$434,$B$5,Countries!$C$5:$C$434,$B$6,Countries!$D$5:$D$434,$A22)))</f>
        <v/>
      </c>
      <c r="AP22" s="41">
        <f>IF(IF($B$6="Total",SUMIFS(Countries!$AS$5:$AS$434,Countries!$A$5:$A$434,$B$4,Countries!$B$5:$B$434,$B$5,Countries!$D$5:$D$434,$A22),SUMIFS(Countries!$AS$5:$AS$434,Countries!$A$5:$A$434,$B$4,Countries!$B$5:$B$434,$B$5,Countries!$C$5:$C$434,$B$6,Countries!$D$5:$D$434,$A22))=0,"",IF($B$6="Total",SUMIFS(Countries!$AS$5:$AS$434,Countries!$A$5:$A$434,$B$4,Countries!$B$5:$B$434,$B$5,Countries!$D$5:$D$434,$A22),SUMIFS(Countries!$AS$5:$AS$434,Countries!$A$5:$A$434,$B$4,Countries!$B$5:$B$434,$B$5,Countries!$C$5:$C$434,$B$6,Countries!$D$5:$D$434,$A22)))</f>
        <v/>
      </c>
      <c r="AQ22" s="69">
        <f>IF(OR(AP22="",AO22="",AO22=0,AP22=0),"",AP22-AO22)</f>
        <v/>
      </c>
      <c r="AR22" s="42">
        <f>IF(OR(AP22="",AO22="",AO22=0,AP22=0),"",AP22/AO22-1)</f>
        <v/>
      </c>
      <c r="AS22" s="43">
        <f>IF(IF($B$6="Total",SUMIFS(Countries!$AK$5:$AK$434,Countries!$A$5:$A$434,$B$4,Countries!$B$5:$B$434,$B$5,Countries!$D$5:$D$434,$A22,Countries!$AR$5:$AR$434,"&gt;0"),SUMIFS(Countries!$AK$5:$AK$434,Countries!$A$5:$A$434,$B$4,Countries!$B$5:$B$434,$B$5,Countries!$C$5:$C$434,$B$6,Countries!$D$5:$D$434,$A22,Countries!$AR$5:$AR$434,"&gt;0"))=0,"",IF($B$6="Total",SUMIFS(Countries!$AR$5:$AR$434,Countries!$A$5:$A$434,$B$4,Countries!$B$5:$B$434,$B$5,Countries!$D$5:$D$434,$A22,Countries!$AK$5:$AK$434,"&gt;0"),SUMIFS(Countries!$AR$5:$AR$434,Countries!$A$5:$A$434,$B$4,Countries!$B$5:$B$434,$B$5,Countries!$C$5:$C$434,$B$6,Countries!$D$5:$D$434,$A22,Countries!$AK$5:$AK$434,"&gt;0"))/IF($B$6="Total",SUMIFS(Countries!$AK$5:$AK$434,Countries!$A$5:$A$434,$B$4,Countries!$B$5:$B$434,$B$5,Countries!$D$5:$D$434,$A22,Countries!$AR$5:$AR$434,"&gt;0"),SUMIFS(Countries!$AK$5:$AK$434,Countries!$A$5:$A$434,$B$4,Countries!$B$5:$B$434,$B$5,Countries!$C$5:$C$434,$B$6,Countries!$D$5:$D$434,$A22,Countries!$AR$5:$AR$434,"&gt;0")))</f>
        <v/>
      </c>
      <c r="AT22" s="43">
        <f>IF(IF($B$6="Total",SUMIFS(Countries!$AL$5:$AL$434,Countries!$A$5:$A$434,$B$4,Countries!$B$5:$B$434,$B$5,Countries!$D$5:$D$434,$A22,Countries!$AS$5:$AS$434,"&gt;0"),SUMIFS(Countries!$AL$5:$AL$434,Countries!$A$5:$A$434,$B$4,Countries!$B$5:$B$434,$B$5,Countries!$C$5:$C$434,$B$6,Countries!$D$5:$D$434,$A22,Countries!$AS$5:$AS$434,"&gt;0"))=0,"",IF($B$6="Total",SUMIFS(Countries!$AS$5:$AS$434,Countries!$A$5:$A$434,$B$4,Countries!$B$5:$B$434,$B$5,Countries!$D$5:$D$434,$A22,Countries!$AL$5:$AL$434,"&gt;0"),SUMIFS(Countries!$AS$5:$AS$434,Countries!$A$5:$A$434,$B$4,Countries!$B$5:$B$434,$B$5,Countries!$C$5:$C$434,$B$6,Countries!$D$5:$D$434,$A22,Countries!$AL$5:$AL$434,"&gt;0"))/IF($B$6="Total",SUMIFS(Countries!$AL$5:$AL$434,Countries!$A$5:$A$434,$B$4,Countries!$B$5:$B$434,$B$5,Countries!$D$5:$D$434,$A22,Countries!$AS$5:$AS$434,"&gt;0"),SUMIFS(Countries!$AL$5:$AL$434,Countries!$A$5:$A$434,$B$4,Countries!$B$5:$B$434,$B$5,Countries!$C$5:$C$434,$B$6,Countries!$D$5:$D$434,$A22,Countries!$AS$5:$AS$434,"&gt;0")))</f>
        <v/>
      </c>
      <c r="AU22" s="44">
        <f>IF(OR(AT22="",AS22=""),"",(AT22-AS22)*100)</f>
        <v/>
      </c>
      <c r="AV22" s="45">
        <f>IF(IF($B$6="Total",SUMIFS(Countries!$P$5:$P$434,Countries!$A$5:$A$434,$B$4,Countries!$B$5:$B$434,$B$5,Countries!$D$5:$D$434,$A22,Countries!$AR$5:$AR$434,"&gt;0"),SUMIFS(Countries!$P$5:$P$434,Countries!$A$5:$A$434,$B$4,Countries!$B$5:$B$434,$B$5,Countries!$C$5:$C$434,$B$6,Countries!$D$5:$D$434,$A22,Countries!$AR$5:$AR$434,"&gt;0"))=0,"",IF($B$6="Total",SUMIFS(Countries!$AR$5:$AR$434,Countries!$A$5:$A$434,$B$4,Countries!$B$5:$B$434,$B$5,Countries!$D$5:$D$434,$A22,Countries!$P$5:$P$434,"&gt;0"),SUMIFS(Countries!$AR$5:$AR$434,Countries!$A$5:$A$434,$B$4,Countries!$B$5:$B$434,$B$5,Countries!$C$5:$C$434,$B$6,Countries!$D$5:$D$434,$A22,Countries!$P$5:$P$434,"&gt;0"))/IF($B$6="Total",SUMIFS(Countries!$P$5:$P$434,Countries!$A$5:$A$434,$B$4,Countries!$B$5:$B$434,$B$5,Countries!$D$5:$D$434,$A22,Countries!$AR$5:$AR$434,"&gt;0"),SUMIFS(Countries!$P$5:$P$434,Countries!$A$5:$A$434,$B$4,Countries!$B$5:$B$434,$B$5,Countries!$C$5:$C$434,$B$6,Countries!$D$5:$D$434,$A22,Countries!$AR$5:$AR$434,"&gt;0")))</f>
        <v/>
      </c>
      <c r="AW22" s="45">
        <f>IF(IF($B$6="Total",SUMIFS(Countries!$Q$5:$Q$434,Countries!$A$5:$A$434,$B$4,Countries!$B$5:$B$434,$B$5,Countries!$D$5:$D$434,$A22,Countries!$AS$5:$AS$434,"&gt;0"),SUMIFS(Countries!$Q$5:$Q$434,Countries!$A$5:$A$434,$B$4,Countries!$B$5:$B$434,$B$5,Countries!$C$5:$C$434,$B$6,Countries!$D$5:$D$434,$A22,Countries!$AS$5:$AS$434,"&gt;0"))=0,"",IF($B$6="Total",SUMIFS(Countries!$AS$5:$AS$434,Countries!$A$5:$A$434,$B$4,Countries!$B$5:$B$434,$B$5,Countries!$D$5:$D$434,$A22,Countries!$Q$5:$Q$434,"&gt;0"),SUMIFS(Countries!$AS$5:$AS$434,Countries!$A$5:$A$434,$B$4,Countries!$B$5:$B$434,$B$5,Countries!$C$5:$C$434,$B$6,Countries!$D$5:$D$434,$A22,Countries!$Q$5:$Q$434,"&gt;0"))/IF($B$6="Total",SUMIFS(Countries!$Q$5:$Q$434,Countries!$A$5:$A$434,$B$4,Countries!$B$5:$B$434,$B$5,Countries!$D$5:$D$434,$A22,Countries!$AS$5:$AS$434,"&gt;0"),SUMIFS(Countries!$Q$5:$Q$434,Countries!$A$5:$A$434,$B$4,Countries!$B$5:$B$434,$B$5,Countries!$C$5:$C$434,$B$6,Countries!$D$5:$D$434,$A22,Countries!$AS$5:$AS$434,"&gt;0")))</f>
        <v/>
      </c>
      <c r="AX22" s="44">
        <f>IF(OR(AW22="",AV22=""),"",(AW22-AV22)*100)</f>
        <v/>
      </c>
      <c r="AY22" s="45">
        <f>IF(IF($B$6="Total",SUMIFS(Countries!$E$5:$E$434,Countries!$A$5:$A$434,$B$4,Countries!$B$5:$B$434,$B$5,Countries!$D$5:$D$434,$A22,Countries!$AR$5:$AR$434,"&gt;0"),SUMIFS(Countries!$E$5:$E$434,Countries!$A$5:$A$434,$B$4,Countries!$B$5:$B$434,$B$5,Countries!$C$5:$C$434,$B$6,Countries!$D$5:$D$434,$A22,Countries!$AR$5:$AR$434,"&gt;0"))=0,"",IF($B$6="Total",SUMIFS(Countries!$AR$5:$AR$434,Countries!$A$5:$A$434,$B$4,Countries!$B$5:$B$434,$B$5,Countries!$D$5:$D$434,$A22,Countries!$E$5:$E$434,"&gt;0"),SUMIFS(Countries!$AR$5:$AR$434,Countries!$A$5:$A$434,$B$4,Countries!$B$5:$B$434,$B$5,Countries!$C$5:$C$434,$B$6,Countries!$D$5:$D$434,$A22,Countries!$E$5:$E$434,"&gt;0"))/IF($B$6="Total",SUMIFS(Countries!$E$5:$E$434,Countries!$A$5:$A$434,$B$4,Countries!$B$5:$B$434,$B$5,Countries!$D$5:$D$434,$A22,Countries!$AR$5:$AR$434,"&gt;0"),SUMIFS(Countries!$E$5:$E$434,Countries!$A$5:$A$434,$B$4,Countries!$B$5:$B$434,$B$5,Countries!$C$5:$C$434,$B$6,Countries!$D$5:$D$434,$A22,Countries!$AR$5:$AR$434,"&gt;0")))</f>
        <v/>
      </c>
      <c r="AZ22" s="45">
        <f>IF(IF($B$6="Total",SUMIFS(Countries!$F$5:$F$434,Countries!$A$5:$A$434,$B$4,Countries!$B$5:$B$434,$B$5,Countries!$D$5:$D$434,$A22,Countries!$AS$5:$AS$434,"&gt;0"),SUMIFS(Countries!$F$5:$F$434,Countries!$A$5:$A$434,$B$4,Countries!$B$5:$B$434,$B$5,Countries!$C$5:$C$434,$B$6,Countries!$D$5:$D$434,$A22,Countries!$AS$5:$AS$434,"&gt;0"))=0,"",IF($B$6="Total",SUMIFS(Countries!$AS$5:$AS$434,Countries!$A$5:$A$434,$B$4,Countries!$B$5:$B$434,$B$5,Countries!$D$5:$D$434,$A22,Countries!$F$5:$F$434,"&gt;0"),SUMIFS(Countries!$AS$5:$AS$434,Countries!$A$5:$A$434,$B$4,Countries!$B$5:$B$434,$B$5,Countries!$C$5:$C$434,$B$6,Countries!$D$5:$D$434,$A22,Countries!$F$5:$F$434,"&gt;0"))/IF($B$6="Total",SUMIFS(Countries!$F$5:$F$434,Countries!$A$5:$A$434,$B$4,Countries!$B$5:$B$434,$B$5,Countries!$D$5:$D$434,$A22,Countries!$AS$5:$AS$434,"&gt;0"),SUMIFS(Countries!$F$5:$F$434,Countries!$A$5:$A$434,$B$4,Countries!$B$5:$B$434,$B$5,Countries!$C$5:$C$434,$B$6,Countries!$D$5:$D$434,$A22,Countries!$AS$5:$AS$434,"&gt;0")))</f>
        <v/>
      </c>
      <c r="BA22" s="44">
        <f>IF(OR(AZ22="",AY22=""),"",(AZ22-AY22)*100)</f>
        <v/>
      </c>
      <c r="BB22" s="40">
        <f>IF(AND(IF($B$6="Total",COUNTIFS(Countries!$A$5:$A$434,$B$4,Countries!$B$5:$B$434,$B$5,Countries!$D$5:$D$434,$A22,Countries!$F$5:$F$434,"&gt;0"),COUNTIFS(Countries!$A$5:$A$434,$B$4,Countries!$B$5:$B$434,$B$5,Countries!$C$5:$C$434,$B$6,Countries!$D$5:$D$434,$A22,Countries!$F$5:$F$434,"&gt;0"))=0,IF($B$6="Total",COUNTIFS(Countries!$A$5:$A$434,$B$4,Countries!$B$5:$B$434,$B$5,Countries!$D$5:$D$434,$A22,Countries!$E$5:$E$434,"&gt;0"),COUNTIFS(Countries!$A$5:$A$434,$B$4,Countries!$B$5:$B$434,$B$5,Countries!$C$5:$C$434,$B$6,Countries!$D$5:$D$434,$A22,Countries!$E$5:$E$434,"&gt;0"))=0),"",IF(IF($B$6="Total",COUNTIFS(Countries!$A$5:$A$434,$B$4,Countries!$B$5:$B$434,$B$5,Countries!$D$5:$D$434,$A22,Countries!$F$5:$F$434,"&gt;0"),COUNTIFS(Countries!$A$5:$A$434,$B$4,Countries!$B$5:$B$434,$B$5,Countries!$C$5:$C$434,$B$6,Countries!$D$5:$D$434,$A22,Countries!$F$5:$F$434,"&gt;0"))=0,"1-23Aug25 rows only",IF(IF($B$6="Total",COUNTIFS(Countries!$A$5:$A$434,$B$4,Countries!$B$5:$B$434,$B$5,Countries!$D$5:$D$434,$A22,Countries!$E$5:$E$434,"&gt;0"),COUNTIFS(Countries!$A$5:$A$434,$B$4,Countries!$B$5:$B$434,$B$5,Countries!$C$5:$C$434,$B$6,Countries!$D$5:$D$434,$A22,Countries!$E$5:$E$434,"&gt;0"))=0,"1-23Aug26 rows only",IF(IF($B$6="Total",COUNTIFS(Countries!$A$5:$A$434,$B$4,Countries!$B$5:$B$434,$B$5,Countries!$D$5:$D$434,$A22,Countries!$F$5:$F$434,"&gt;0"),COUNTIFS(Countries!$A$5:$A$434,$B$4,Countries!$B$5:$B$434,$B$5,Countries!$C$5:$C$434,$B$6,Countries!$D$5:$D$434,$A22,Countries!$F$5:$F$434,"&gt;0"))=IF($B$6="Total",COUNTIFS(Countries!$A$5:$A$434,$B$4,Countries!$B$5:$B$434,$B$5,Countries!$D$5:$D$434,$A22,Countries!$E$5:$E$434,"&gt;0"),COUNTIFS(Countries!$A$5:$A$434,$B$4,Countries!$B$5:$B$434,$B$5,Countries!$C$5:$C$434,$B$6,Countries!$D$5:$D$434,$A22,Countries!$E$5:$E$434,"&gt;0")),"Like-for-like","Partial — coverage differs"))))</f>
        <v/>
      </c>
    </row>
    <row r="23">
      <c r="A23" s="40" t="inlineStr">
        <is>
          <t>Finland</t>
        </is>
      </c>
      <c r="B23" s="41">
        <f>IF(IF($B$6="Total",SUMIFS(Countries!$E$5:$E$434,Countries!$A$5:$A$434,$B$4,Countries!$B$5:$B$434,$B$5,Countries!$D$5:$D$434,$A23),SUMIFS(Countries!$E$5:$E$434,Countries!$A$5:$A$434,$B$4,Countries!$B$5:$B$434,$B$5,Countries!$C$5:$C$434,$B$6,Countries!$D$5:$D$434,$A23))=0,"",IF($B$6="Total",SUMIFS(Countries!$E$5:$E$434,Countries!$A$5:$A$434,$B$4,Countries!$B$5:$B$434,$B$5,Countries!$D$5:$D$434,$A23),SUMIFS(Countries!$E$5:$E$434,Countries!$A$5:$A$434,$B$4,Countries!$B$5:$B$434,$B$5,Countries!$C$5:$C$434,$B$6,Countries!$D$5:$D$434,$A23)))</f>
        <v/>
      </c>
      <c r="C23" s="41">
        <f>IF(IF($B$6="Total",SUMIFS(Countries!$F$5:$F$434,Countries!$A$5:$A$434,$B$4,Countries!$B$5:$B$434,$B$5,Countries!$D$5:$D$434,$A23),SUMIFS(Countries!$F$5:$F$434,Countries!$A$5:$A$434,$B$4,Countries!$B$5:$B$434,$B$5,Countries!$C$5:$C$434,$B$6,Countries!$D$5:$D$434,$A23))=0,"",IF($B$6="Total",SUMIFS(Countries!$F$5:$F$434,Countries!$A$5:$A$434,$B$4,Countries!$B$5:$B$434,$B$5,Countries!$D$5:$D$434,$A23),SUMIFS(Countries!$F$5:$F$434,Countries!$A$5:$A$434,$B$4,Countries!$B$5:$B$434,$B$5,Countries!$C$5:$C$434,$B$6,Countries!$D$5:$D$434,$A23)))</f>
        <v/>
      </c>
      <c r="D23" s="69">
        <f>IF(OR(C23="",B23="",B23=0,C23=0),"",C23-B23)</f>
        <v/>
      </c>
      <c r="E23" s="42">
        <f>IF(OR(C23="",B23="",B23=0,C23=0),"",C23/B23-1)</f>
        <v/>
      </c>
      <c r="F23" s="41">
        <f>IF(IF($B$6="Total",SUMIFS(Countries!$I$5:$I$434,Countries!$A$5:$A$434,$B$4,Countries!$B$5:$B$434,$B$5,Countries!$D$5:$D$434,$A23),SUMIFS(Countries!$I$5:$I$434,Countries!$A$5:$A$434,$B$4,Countries!$B$5:$B$434,$B$5,Countries!$C$5:$C$434,$B$6,Countries!$D$5:$D$434,$A23))=0,"",IF($B$6="Total",SUMIFS(Countries!$I$5:$I$434,Countries!$A$5:$A$434,$B$4,Countries!$B$5:$B$434,$B$5,Countries!$D$5:$D$434,$A23),SUMIFS(Countries!$I$5:$I$434,Countries!$A$5:$A$434,$B$4,Countries!$B$5:$B$434,$B$5,Countries!$C$5:$C$434,$B$6,Countries!$D$5:$D$434,$A23)))</f>
        <v/>
      </c>
      <c r="G23" s="41">
        <f>IF(IF($B$6="Total",SUMIFS(Countries!$J$5:$J$434,Countries!$A$5:$A$434,$B$4,Countries!$B$5:$B$434,$B$5,Countries!$D$5:$D$434,$A23),SUMIFS(Countries!$J$5:$J$434,Countries!$A$5:$A$434,$B$4,Countries!$B$5:$B$434,$B$5,Countries!$C$5:$C$434,$B$6,Countries!$D$5:$D$434,$A23))=0,"",IF($B$6="Total",SUMIFS(Countries!$J$5:$J$434,Countries!$A$5:$A$434,$B$4,Countries!$B$5:$B$434,$B$5,Countries!$D$5:$D$434,$A23),SUMIFS(Countries!$J$5:$J$434,Countries!$A$5:$A$434,$B$4,Countries!$B$5:$B$434,$B$5,Countries!$C$5:$C$434,$B$6,Countries!$D$5:$D$434,$A23)))</f>
        <v/>
      </c>
      <c r="H23" s="69">
        <f>IF(OR(G23="",F23="",F23=0,G23=0),"",G23-F23)</f>
        <v/>
      </c>
      <c r="I23" s="42">
        <f>IF(OR(G23="",F23="",F23=0,G23=0),"",G23/F23-1)</f>
        <v/>
      </c>
      <c r="J23" s="43">
        <f>IF(IF($B$6="Total",SUMIFS(Countries!$E$5:$E$434,Countries!$A$5:$A$434,$B$4,Countries!$B$5:$B$434,$B$5,Countries!$D$5:$D$434,$A23,Countries!$I$5:$I$434,"&gt;0"),SUMIFS(Countries!$E$5:$E$434,Countries!$A$5:$A$434,$B$4,Countries!$B$5:$B$434,$B$5,Countries!$C$5:$C$434,$B$6,Countries!$D$5:$D$434,$A23,Countries!$I$5:$I$434,"&gt;0"))=0,"",IF($B$6="Total",SUMIFS(Countries!$I$5:$I$434,Countries!$A$5:$A$434,$B$4,Countries!$B$5:$B$434,$B$5,Countries!$D$5:$D$434,$A23,Countries!$E$5:$E$434,"&gt;0"),SUMIFS(Countries!$I$5:$I$434,Countries!$A$5:$A$434,$B$4,Countries!$B$5:$B$434,$B$5,Countries!$C$5:$C$434,$B$6,Countries!$D$5:$D$434,$A23,Countries!$E$5:$E$434,"&gt;0"))/IF($B$6="Total",SUMIFS(Countries!$E$5:$E$434,Countries!$A$5:$A$434,$B$4,Countries!$B$5:$B$434,$B$5,Countries!$D$5:$D$434,$A23,Countries!$I$5:$I$434,"&gt;0"),SUMIFS(Countries!$E$5:$E$434,Countries!$A$5:$A$434,$B$4,Countries!$B$5:$B$434,$B$5,Countries!$C$5:$C$434,$B$6,Countries!$D$5:$D$434,$A23,Countries!$I$5:$I$434,"&gt;0")))</f>
        <v/>
      </c>
      <c r="K23" s="43">
        <f>IF(IF($B$6="Total",SUMIFS(Countries!$F$5:$F$434,Countries!$A$5:$A$434,$B$4,Countries!$B$5:$B$434,$B$5,Countries!$D$5:$D$434,$A23,Countries!$J$5:$J$434,"&gt;0"),SUMIFS(Countries!$F$5:$F$434,Countries!$A$5:$A$434,$B$4,Countries!$B$5:$B$434,$B$5,Countries!$C$5:$C$434,$B$6,Countries!$D$5:$D$434,$A23,Countries!$J$5:$J$434,"&gt;0"))=0,"",IF($B$6="Total",SUMIFS(Countries!$J$5:$J$434,Countries!$A$5:$A$434,$B$4,Countries!$B$5:$B$434,$B$5,Countries!$D$5:$D$434,$A23,Countries!$F$5:$F$434,"&gt;0"),SUMIFS(Countries!$J$5:$J$434,Countries!$A$5:$A$434,$B$4,Countries!$B$5:$B$434,$B$5,Countries!$C$5:$C$434,$B$6,Countries!$D$5:$D$434,$A23,Countries!$F$5:$F$434,"&gt;0"))/IF($B$6="Total",SUMIFS(Countries!$F$5:$F$434,Countries!$A$5:$A$434,$B$4,Countries!$B$5:$B$434,$B$5,Countries!$D$5:$D$434,$A23,Countries!$J$5:$J$434,"&gt;0"),SUMIFS(Countries!$F$5:$F$434,Countries!$A$5:$A$434,$B$4,Countries!$B$5:$B$434,$B$5,Countries!$C$5:$C$434,$B$6,Countries!$D$5:$D$434,$A23,Countries!$J$5:$J$434,"&gt;0")))</f>
        <v/>
      </c>
      <c r="L23" s="44">
        <f>IF(OR(K23="",J23=""),"",(K23-J23)*100)</f>
        <v/>
      </c>
      <c r="M23" s="41">
        <f>IF(IF($B$6="Total",SUMIFS(Countries!$P$5:$P$434,Countries!$A$5:$A$434,$B$4,Countries!$B$5:$B$434,$B$5,Countries!$D$5:$D$434,$A23),SUMIFS(Countries!$P$5:$P$434,Countries!$A$5:$A$434,$B$4,Countries!$B$5:$B$434,$B$5,Countries!$C$5:$C$434,$B$6,Countries!$D$5:$D$434,$A23))=0,"",IF($B$6="Total",SUMIFS(Countries!$P$5:$P$434,Countries!$A$5:$A$434,$B$4,Countries!$B$5:$B$434,$B$5,Countries!$D$5:$D$434,$A23),SUMIFS(Countries!$P$5:$P$434,Countries!$A$5:$A$434,$B$4,Countries!$B$5:$B$434,$B$5,Countries!$C$5:$C$434,$B$6,Countries!$D$5:$D$434,$A23)))</f>
        <v/>
      </c>
      <c r="N23" s="41">
        <f>IF(IF($B$6="Total",SUMIFS(Countries!$Q$5:$Q$434,Countries!$A$5:$A$434,$B$4,Countries!$B$5:$B$434,$B$5,Countries!$D$5:$D$434,$A23),SUMIFS(Countries!$Q$5:$Q$434,Countries!$A$5:$A$434,$B$4,Countries!$B$5:$B$434,$B$5,Countries!$C$5:$C$434,$B$6,Countries!$D$5:$D$434,$A23))=0,"",IF($B$6="Total",SUMIFS(Countries!$Q$5:$Q$434,Countries!$A$5:$A$434,$B$4,Countries!$B$5:$B$434,$B$5,Countries!$D$5:$D$434,$A23),SUMIFS(Countries!$Q$5:$Q$434,Countries!$A$5:$A$434,$B$4,Countries!$B$5:$B$434,$B$5,Countries!$C$5:$C$434,$B$6,Countries!$D$5:$D$434,$A23)))</f>
        <v/>
      </c>
      <c r="O23" s="69">
        <f>IF(OR(N23="",M23="",M23=0,N23=0),"",N23-M23)</f>
        <v/>
      </c>
      <c r="P23" s="42">
        <f>IF(OR(N23="",M23="",M23=0,N23=0),"",N23/M23-1)</f>
        <v/>
      </c>
      <c r="Q23" s="43">
        <f>IF(IF($B$6="Total",SUMIFS(Countries!$E$5:$E$434,Countries!$A$5:$A$434,$B$4,Countries!$B$5:$B$434,$B$5,Countries!$D$5:$D$434,$A23,Countries!$P$5:$P$434,"&gt;0"),SUMIFS(Countries!$E$5:$E$434,Countries!$A$5:$A$434,$B$4,Countries!$B$5:$B$434,$B$5,Countries!$C$5:$C$434,$B$6,Countries!$D$5:$D$434,$A23,Countries!$P$5:$P$434,"&gt;0"))=0,"",IF($B$6="Total",SUMIFS(Countries!$P$5:$P$434,Countries!$A$5:$A$434,$B$4,Countries!$B$5:$B$434,$B$5,Countries!$D$5:$D$434,$A23,Countries!$E$5:$E$434,"&gt;0"),SUMIFS(Countries!$P$5:$P$434,Countries!$A$5:$A$434,$B$4,Countries!$B$5:$B$434,$B$5,Countries!$C$5:$C$434,$B$6,Countries!$D$5:$D$434,$A23,Countries!$E$5:$E$434,"&gt;0"))/IF($B$6="Total",SUMIFS(Countries!$E$5:$E$434,Countries!$A$5:$A$434,$B$4,Countries!$B$5:$B$434,$B$5,Countries!$D$5:$D$434,$A23,Countries!$P$5:$P$434,"&gt;0"),SUMIFS(Countries!$E$5:$E$434,Countries!$A$5:$A$434,$B$4,Countries!$B$5:$B$434,$B$5,Countries!$C$5:$C$434,$B$6,Countries!$D$5:$D$434,$A23,Countries!$P$5:$P$434,"&gt;0")))</f>
        <v/>
      </c>
      <c r="R23" s="43">
        <f>IF(IF($B$6="Total",SUMIFS(Countries!$F$5:$F$434,Countries!$A$5:$A$434,$B$4,Countries!$B$5:$B$434,$B$5,Countries!$D$5:$D$434,$A23,Countries!$Q$5:$Q$434,"&gt;0"),SUMIFS(Countries!$F$5:$F$434,Countries!$A$5:$A$434,$B$4,Countries!$B$5:$B$434,$B$5,Countries!$C$5:$C$434,$B$6,Countries!$D$5:$D$434,$A23,Countries!$Q$5:$Q$434,"&gt;0"))=0,"",IF($B$6="Total",SUMIFS(Countries!$Q$5:$Q$434,Countries!$A$5:$A$434,$B$4,Countries!$B$5:$B$434,$B$5,Countries!$D$5:$D$434,$A23,Countries!$F$5:$F$434,"&gt;0"),SUMIFS(Countries!$Q$5:$Q$434,Countries!$A$5:$A$434,$B$4,Countries!$B$5:$B$434,$B$5,Countries!$C$5:$C$434,$B$6,Countries!$D$5:$D$434,$A23,Countries!$F$5:$F$434,"&gt;0"))/IF($B$6="Total",SUMIFS(Countries!$F$5:$F$434,Countries!$A$5:$A$434,$B$4,Countries!$B$5:$B$434,$B$5,Countries!$D$5:$D$434,$A23,Countries!$Q$5:$Q$434,"&gt;0"),SUMIFS(Countries!$F$5:$F$434,Countries!$A$5:$A$434,$B$4,Countries!$B$5:$B$434,$B$5,Countries!$C$5:$C$434,$B$6,Countries!$D$5:$D$434,$A23,Countries!$Q$5:$Q$434,"&gt;0")))</f>
        <v/>
      </c>
      <c r="S23" s="44">
        <f>IF(OR(R23="",Q23=""),"",(R23-Q23)*100)</f>
        <v/>
      </c>
      <c r="T23" s="41">
        <f>IF(IF($B$6="Total",SUMIFS(Countries!$W$5:$W$434,Countries!$A$5:$A$434,$B$4,Countries!$B$5:$B$434,$B$5,Countries!$D$5:$D$434,$A23),SUMIFS(Countries!$W$5:$W$434,Countries!$A$5:$A$434,$B$4,Countries!$B$5:$B$434,$B$5,Countries!$C$5:$C$434,$B$6,Countries!$D$5:$D$434,$A23))=0,"",IF($B$6="Total",SUMIFS(Countries!$W$5:$W$434,Countries!$A$5:$A$434,$B$4,Countries!$B$5:$B$434,$B$5,Countries!$D$5:$D$434,$A23),SUMIFS(Countries!$W$5:$W$434,Countries!$A$5:$A$434,$B$4,Countries!$B$5:$B$434,$B$5,Countries!$C$5:$C$434,$B$6,Countries!$D$5:$D$434,$A23)))</f>
        <v/>
      </c>
      <c r="U23" s="41">
        <f>IF(IF($B$6="Total",SUMIFS(Countries!$X$5:$X$434,Countries!$A$5:$A$434,$B$4,Countries!$B$5:$B$434,$B$5,Countries!$D$5:$D$434,$A23),SUMIFS(Countries!$X$5:$X$434,Countries!$A$5:$A$434,$B$4,Countries!$B$5:$B$434,$B$5,Countries!$C$5:$C$434,$B$6,Countries!$D$5:$D$434,$A23))=0,"",IF($B$6="Total",SUMIFS(Countries!$X$5:$X$434,Countries!$A$5:$A$434,$B$4,Countries!$B$5:$B$434,$B$5,Countries!$D$5:$D$434,$A23),SUMIFS(Countries!$X$5:$X$434,Countries!$A$5:$A$434,$B$4,Countries!$B$5:$B$434,$B$5,Countries!$C$5:$C$434,$B$6,Countries!$D$5:$D$434,$A23)))</f>
        <v/>
      </c>
      <c r="V23" s="69">
        <f>IF(OR(U23="",T23="",T23=0,U23=0),"",U23-T23)</f>
        <v/>
      </c>
      <c r="W23" s="42">
        <f>IF(OR(U23="",T23="",T23=0,U23=0),"",U23/T23-1)</f>
        <v/>
      </c>
      <c r="X23" s="43">
        <f>IF(IF($B$6="Total",SUMIFS(Countries!$P$5:$P$434,Countries!$A$5:$A$434,$B$4,Countries!$B$5:$B$434,$B$5,Countries!$D$5:$D$434,$A23,Countries!$W$5:$W$434,"&gt;0"),SUMIFS(Countries!$P$5:$P$434,Countries!$A$5:$A$434,$B$4,Countries!$B$5:$B$434,$B$5,Countries!$C$5:$C$434,$B$6,Countries!$D$5:$D$434,$A23,Countries!$W$5:$W$434,"&gt;0"))=0,"",IF($B$6="Total",SUMIFS(Countries!$W$5:$W$434,Countries!$A$5:$A$434,$B$4,Countries!$B$5:$B$434,$B$5,Countries!$D$5:$D$434,$A23,Countries!$P$5:$P$434,"&gt;0"),SUMIFS(Countries!$W$5:$W$434,Countries!$A$5:$A$434,$B$4,Countries!$B$5:$B$434,$B$5,Countries!$C$5:$C$434,$B$6,Countries!$D$5:$D$434,$A23,Countries!$P$5:$P$434,"&gt;0"))/IF($B$6="Total",SUMIFS(Countries!$P$5:$P$434,Countries!$A$5:$A$434,$B$4,Countries!$B$5:$B$434,$B$5,Countries!$D$5:$D$434,$A23,Countries!$W$5:$W$434,"&gt;0"),SUMIFS(Countries!$P$5:$P$434,Countries!$A$5:$A$434,$B$4,Countries!$B$5:$B$434,$B$5,Countries!$C$5:$C$434,$B$6,Countries!$D$5:$D$434,$A23,Countries!$W$5:$W$434,"&gt;0")))</f>
        <v/>
      </c>
      <c r="Y23" s="43">
        <f>IF(IF($B$6="Total",SUMIFS(Countries!$Q$5:$Q$434,Countries!$A$5:$A$434,$B$4,Countries!$B$5:$B$434,$B$5,Countries!$D$5:$D$434,$A23,Countries!$X$5:$X$434,"&gt;0"),SUMIFS(Countries!$Q$5:$Q$434,Countries!$A$5:$A$434,$B$4,Countries!$B$5:$B$434,$B$5,Countries!$C$5:$C$434,$B$6,Countries!$D$5:$D$434,$A23,Countries!$X$5:$X$434,"&gt;0"))=0,"",IF($B$6="Total",SUMIFS(Countries!$X$5:$X$434,Countries!$A$5:$A$434,$B$4,Countries!$B$5:$B$434,$B$5,Countries!$D$5:$D$434,$A23,Countries!$Q$5:$Q$434,"&gt;0"),SUMIFS(Countries!$X$5:$X$434,Countries!$A$5:$A$434,$B$4,Countries!$B$5:$B$434,$B$5,Countries!$C$5:$C$434,$B$6,Countries!$D$5:$D$434,$A23,Countries!$Q$5:$Q$434,"&gt;0"))/IF($B$6="Total",SUMIFS(Countries!$Q$5:$Q$434,Countries!$A$5:$A$434,$B$4,Countries!$B$5:$B$434,$B$5,Countries!$D$5:$D$434,$A23,Countries!$X$5:$X$434,"&gt;0"),SUMIFS(Countries!$Q$5:$Q$434,Countries!$A$5:$A$434,$B$4,Countries!$B$5:$B$434,$B$5,Countries!$C$5:$C$434,$B$6,Countries!$D$5:$D$434,$A23,Countries!$X$5:$X$434,"&gt;0")))</f>
        <v/>
      </c>
      <c r="Z23" s="44">
        <f>IF(OR(Y23="",X23=""),"",(Y23-X23)*100)</f>
        <v/>
      </c>
      <c r="AA23" s="41">
        <f>IF(IF($B$6="Total",SUMIFS(Countries!$AD$5:$AD$434,Countries!$A$5:$A$434,$B$4,Countries!$B$5:$B$434,$B$5,Countries!$D$5:$D$434,$A23),SUMIFS(Countries!$AD$5:$AD$434,Countries!$A$5:$A$434,$B$4,Countries!$B$5:$B$434,$B$5,Countries!$C$5:$C$434,$B$6,Countries!$D$5:$D$434,$A23))=0,"",IF($B$6="Total",SUMIFS(Countries!$AD$5:$AD$434,Countries!$A$5:$A$434,$B$4,Countries!$B$5:$B$434,$B$5,Countries!$D$5:$D$434,$A23),SUMIFS(Countries!$AD$5:$AD$434,Countries!$A$5:$A$434,$B$4,Countries!$B$5:$B$434,$B$5,Countries!$C$5:$C$434,$B$6,Countries!$D$5:$D$434,$A23)))</f>
        <v/>
      </c>
      <c r="AB23" s="41">
        <f>IF(IF($B$6="Total",SUMIFS(Countries!$AE$5:$AE$434,Countries!$A$5:$A$434,$B$4,Countries!$B$5:$B$434,$B$5,Countries!$D$5:$D$434,$A23),SUMIFS(Countries!$AE$5:$AE$434,Countries!$A$5:$A$434,$B$4,Countries!$B$5:$B$434,$B$5,Countries!$C$5:$C$434,$B$6,Countries!$D$5:$D$434,$A23))=0,"",IF($B$6="Total",SUMIFS(Countries!$AE$5:$AE$434,Countries!$A$5:$A$434,$B$4,Countries!$B$5:$B$434,$B$5,Countries!$D$5:$D$434,$A23),SUMIFS(Countries!$AE$5:$AE$434,Countries!$A$5:$A$434,$B$4,Countries!$B$5:$B$434,$B$5,Countries!$C$5:$C$434,$B$6,Countries!$D$5:$D$434,$A23)))</f>
        <v/>
      </c>
      <c r="AC23" s="69">
        <f>IF(OR(AB23="",AA23="",AA23=0,AB23=0),"",AB23-AA23)</f>
        <v/>
      </c>
      <c r="AD23" s="42">
        <f>IF(OR(AB23="",AA23="",AA23=0,AB23=0),"",AB23/AA23-1)</f>
        <v/>
      </c>
      <c r="AE23" s="43">
        <f>IF(IF($B$6="Total",SUMIFS(Countries!$W$5:$W$434,Countries!$A$5:$A$434,$B$4,Countries!$B$5:$B$434,$B$5,Countries!$D$5:$D$434,$A23,Countries!$AD$5:$AD$434,"&gt;0"),SUMIFS(Countries!$W$5:$W$434,Countries!$A$5:$A$434,$B$4,Countries!$B$5:$B$434,$B$5,Countries!$C$5:$C$434,$B$6,Countries!$D$5:$D$434,$A23,Countries!$AD$5:$AD$434,"&gt;0"))=0,"",IF($B$6="Total",SUMIFS(Countries!$AD$5:$AD$434,Countries!$A$5:$A$434,$B$4,Countries!$B$5:$B$434,$B$5,Countries!$D$5:$D$434,$A23,Countries!$W$5:$W$434,"&gt;0"),SUMIFS(Countries!$AD$5:$AD$434,Countries!$A$5:$A$434,$B$4,Countries!$B$5:$B$434,$B$5,Countries!$C$5:$C$434,$B$6,Countries!$D$5:$D$434,$A23,Countries!$W$5:$W$434,"&gt;0"))/IF($B$6="Total",SUMIFS(Countries!$W$5:$W$434,Countries!$A$5:$A$434,$B$4,Countries!$B$5:$B$434,$B$5,Countries!$D$5:$D$434,$A23,Countries!$AD$5:$AD$434,"&gt;0"),SUMIFS(Countries!$W$5:$W$434,Countries!$A$5:$A$434,$B$4,Countries!$B$5:$B$434,$B$5,Countries!$C$5:$C$434,$B$6,Countries!$D$5:$D$434,$A23,Countries!$AD$5:$AD$434,"&gt;0")))</f>
        <v/>
      </c>
      <c r="AF23" s="43">
        <f>IF(IF($B$6="Total",SUMIFS(Countries!$X$5:$X$434,Countries!$A$5:$A$434,$B$4,Countries!$B$5:$B$434,$B$5,Countries!$D$5:$D$434,$A23,Countries!$AE$5:$AE$434,"&gt;0"),SUMIFS(Countries!$X$5:$X$434,Countries!$A$5:$A$434,$B$4,Countries!$B$5:$B$434,$B$5,Countries!$C$5:$C$434,$B$6,Countries!$D$5:$D$434,$A23,Countries!$AE$5:$AE$434,"&gt;0"))=0,"",IF($B$6="Total",SUMIFS(Countries!$AE$5:$AE$434,Countries!$A$5:$A$434,$B$4,Countries!$B$5:$B$434,$B$5,Countries!$D$5:$D$434,$A23,Countries!$X$5:$X$434,"&gt;0"),SUMIFS(Countries!$AE$5:$AE$434,Countries!$A$5:$A$434,$B$4,Countries!$B$5:$B$434,$B$5,Countries!$C$5:$C$434,$B$6,Countries!$D$5:$D$434,$A23,Countries!$X$5:$X$434,"&gt;0"))/IF($B$6="Total",SUMIFS(Countries!$X$5:$X$434,Countries!$A$5:$A$434,$B$4,Countries!$B$5:$B$434,$B$5,Countries!$D$5:$D$434,$A23,Countries!$AE$5:$AE$434,"&gt;0"),SUMIFS(Countries!$X$5:$X$434,Countries!$A$5:$A$434,$B$4,Countries!$B$5:$B$434,$B$5,Countries!$C$5:$C$434,$B$6,Countries!$D$5:$D$434,$A23,Countries!$AE$5:$AE$434,"&gt;0")))</f>
        <v/>
      </c>
      <c r="AG23" s="44">
        <f>IF(OR(AF23="",AE23=""),"",(AF23-AE23)*100)</f>
        <v/>
      </c>
      <c r="AH23" s="41">
        <f>IF(IF($B$6="Total",SUMIFS(Countries!$AK$5:$AK$434,Countries!$A$5:$A$434,$B$4,Countries!$B$5:$B$434,$B$5,Countries!$D$5:$D$434,$A23),SUMIFS(Countries!$AK$5:$AK$434,Countries!$A$5:$A$434,$B$4,Countries!$B$5:$B$434,$B$5,Countries!$C$5:$C$434,$B$6,Countries!$D$5:$D$434,$A23))=0,"",IF($B$6="Total",SUMIFS(Countries!$AK$5:$AK$434,Countries!$A$5:$A$434,$B$4,Countries!$B$5:$B$434,$B$5,Countries!$D$5:$D$434,$A23),SUMIFS(Countries!$AK$5:$AK$434,Countries!$A$5:$A$434,$B$4,Countries!$B$5:$B$434,$B$5,Countries!$C$5:$C$434,$B$6,Countries!$D$5:$D$434,$A23)))</f>
        <v/>
      </c>
      <c r="AI23" s="41">
        <f>IF(IF($B$6="Total",SUMIFS(Countries!$AL$5:$AL$434,Countries!$A$5:$A$434,$B$4,Countries!$B$5:$B$434,$B$5,Countries!$D$5:$D$434,$A23),SUMIFS(Countries!$AL$5:$AL$434,Countries!$A$5:$A$434,$B$4,Countries!$B$5:$B$434,$B$5,Countries!$C$5:$C$434,$B$6,Countries!$D$5:$D$434,$A23))=0,"",IF($B$6="Total",SUMIFS(Countries!$AL$5:$AL$434,Countries!$A$5:$A$434,$B$4,Countries!$B$5:$B$434,$B$5,Countries!$D$5:$D$434,$A23),SUMIFS(Countries!$AL$5:$AL$434,Countries!$A$5:$A$434,$B$4,Countries!$B$5:$B$434,$B$5,Countries!$C$5:$C$434,$B$6,Countries!$D$5:$D$434,$A23)))</f>
        <v/>
      </c>
      <c r="AJ23" s="69">
        <f>IF(OR(AI23="",AH23="",AH23=0,AI23=0),"",AI23-AH23)</f>
        <v/>
      </c>
      <c r="AK23" s="42">
        <f>IF(OR(AI23="",AH23="",AH23=0,AI23=0),"",AI23/AH23-1)</f>
        <v/>
      </c>
      <c r="AL23" s="43">
        <f>IF(IF($B$6="Total",SUMIFS(Countries!$AD$5:$AD$434,Countries!$A$5:$A$434,$B$4,Countries!$B$5:$B$434,$B$5,Countries!$D$5:$D$434,$A23,Countries!$AK$5:$AK$434,"&gt;0"),SUMIFS(Countries!$AD$5:$AD$434,Countries!$A$5:$A$434,$B$4,Countries!$B$5:$B$434,$B$5,Countries!$C$5:$C$434,$B$6,Countries!$D$5:$D$434,$A23,Countries!$AK$5:$AK$434,"&gt;0"))=0,"",IF($B$6="Total",SUMIFS(Countries!$AK$5:$AK$434,Countries!$A$5:$A$434,$B$4,Countries!$B$5:$B$434,$B$5,Countries!$D$5:$D$434,$A23,Countries!$AD$5:$AD$434,"&gt;0"),SUMIFS(Countries!$AK$5:$AK$434,Countries!$A$5:$A$434,$B$4,Countries!$B$5:$B$434,$B$5,Countries!$C$5:$C$434,$B$6,Countries!$D$5:$D$434,$A23,Countries!$AD$5:$AD$434,"&gt;0"))/IF($B$6="Total",SUMIFS(Countries!$AD$5:$AD$434,Countries!$A$5:$A$434,$B$4,Countries!$B$5:$B$434,$B$5,Countries!$D$5:$D$434,$A23,Countries!$AK$5:$AK$434,"&gt;0"),SUMIFS(Countries!$AD$5:$AD$434,Countries!$A$5:$A$434,$B$4,Countries!$B$5:$B$434,$B$5,Countries!$C$5:$C$434,$B$6,Countries!$D$5:$D$434,$A23,Countries!$AK$5:$AK$434,"&gt;0")))</f>
        <v/>
      </c>
      <c r="AM23" s="43">
        <f>IF(IF($B$6="Total",SUMIFS(Countries!$AE$5:$AE$434,Countries!$A$5:$A$434,$B$4,Countries!$B$5:$B$434,$B$5,Countries!$D$5:$D$434,$A23,Countries!$AL$5:$AL$434,"&gt;0"),SUMIFS(Countries!$AE$5:$AE$434,Countries!$A$5:$A$434,$B$4,Countries!$B$5:$B$434,$B$5,Countries!$C$5:$C$434,$B$6,Countries!$D$5:$D$434,$A23,Countries!$AL$5:$AL$434,"&gt;0"))=0,"",IF($B$6="Total",SUMIFS(Countries!$AL$5:$AL$434,Countries!$A$5:$A$434,$B$4,Countries!$B$5:$B$434,$B$5,Countries!$D$5:$D$434,$A23,Countries!$AE$5:$AE$434,"&gt;0"),SUMIFS(Countries!$AL$5:$AL$434,Countries!$A$5:$A$434,$B$4,Countries!$B$5:$B$434,$B$5,Countries!$C$5:$C$434,$B$6,Countries!$D$5:$D$434,$A23,Countries!$AE$5:$AE$434,"&gt;0"))/IF($B$6="Total",SUMIFS(Countries!$AE$5:$AE$434,Countries!$A$5:$A$434,$B$4,Countries!$B$5:$B$434,$B$5,Countries!$D$5:$D$434,$A23,Countries!$AL$5:$AL$434,"&gt;0"),SUMIFS(Countries!$AE$5:$AE$434,Countries!$A$5:$A$434,$B$4,Countries!$B$5:$B$434,$B$5,Countries!$C$5:$C$434,$B$6,Countries!$D$5:$D$434,$A23,Countries!$AL$5:$AL$434,"&gt;0")))</f>
        <v/>
      </c>
      <c r="AN23" s="44">
        <f>IF(OR(AM23="",AL23=""),"",(AM23-AL23)*100)</f>
        <v/>
      </c>
      <c r="AO23" s="41">
        <f>IF(IF($B$6="Total",SUMIFS(Countries!$AR$5:$AR$434,Countries!$A$5:$A$434,$B$4,Countries!$B$5:$B$434,$B$5,Countries!$D$5:$D$434,$A23),SUMIFS(Countries!$AR$5:$AR$434,Countries!$A$5:$A$434,$B$4,Countries!$B$5:$B$434,$B$5,Countries!$C$5:$C$434,$B$6,Countries!$D$5:$D$434,$A23))=0,"",IF($B$6="Total",SUMIFS(Countries!$AR$5:$AR$434,Countries!$A$5:$A$434,$B$4,Countries!$B$5:$B$434,$B$5,Countries!$D$5:$D$434,$A23),SUMIFS(Countries!$AR$5:$AR$434,Countries!$A$5:$A$434,$B$4,Countries!$B$5:$B$434,$B$5,Countries!$C$5:$C$434,$B$6,Countries!$D$5:$D$434,$A23)))</f>
        <v/>
      </c>
      <c r="AP23" s="41">
        <f>IF(IF($B$6="Total",SUMIFS(Countries!$AS$5:$AS$434,Countries!$A$5:$A$434,$B$4,Countries!$B$5:$B$434,$B$5,Countries!$D$5:$D$434,$A23),SUMIFS(Countries!$AS$5:$AS$434,Countries!$A$5:$A$434,$B$4,Countries!$B$5:$B$434,$B$5,Countries!$C$5:$C$434,$B$6,Countries!$D$5:$D$434,$A23))=0,"",IF($B$6="Total",SUMIFS(Countries!$AS$5:$AS$434,Countries!$A$5:$A$434,$B$4,Countries!$B$5:$B$434,$B$5,Countries!$D$5:$D$434,$A23),SUMIFS(Countries!$AS$5:$AS$434,Countries!$A$5:$A$434,$B$4,Countries!$B$5:$B$434,$B$5,Countries!$C$5:$C$434,$B$6,Countries!$D$5:$D$434,$A23)))</f>
        <v/>
      </c>
      <c r="AQ23" s="69">
        <f>IF(OR(AP23="",AO23="",AO23=0,AP23=0),"",AP23-AO23)</f>
        <v/>
      </c>
      <c r="AR23" s="42">
        <f>IF(OR(AP23="",AO23="",AO23=0,AP23=0),"",AP23/AO23-1)</f>
        <v/>
      </c>
      <c r="AS23" s="43">
        <f>IF(IF($B$6="Total",SUMIFS(Countries!$AK$5:$AK$434,Countries!$A$5:$A$434,$B$4,Countries!$B$5:$B$434,$B$5,Countries!$D$5:$D$434,$A23,Countries!$AR$5:$AR$434,"&gt;0"),SUMIFS(Countries!$AK$5:$AK$434,Countries!$A$5:$A$434,$B$4,Countries!$B$5:$B$434,$B$5,Countries!$C$5:$C$434,$B$6,Countries!$D$5:$D$434,$A23,Countries!$AR$5:$AR$434,"&gt;0"))=0,"",IF($B$6="Total",SUMIFS(Countries!$AR$5:$AR$434,Countries!$A$5:$A$434,$B$4,Countries!$B$5:$B$434,$B$5,Countries!$D$5:$D$434,$A23,Countries!$AK$5:$AK$434,"&gt;0"),SUMIFS(Countries!$AR$5:$AR$434,Countries!$A$5:$A$434,$B$4,Countries!$B$5:$B$434,$B$5,Countries!$C$5:$C$434,$B$6,Countries!$D$5:$D$434,$A23,Countries!$AK$5:$AK$434,"&gt;0"))/IF($B$6="Total",SUMIFS(Countries!$AK$5:$AK$434,Countries!$A$5:$A$434,$B$4,Countries!$B$5:$B$434,$B$5,Countries!$D$5:$D$434,$A23,Countries!$AR$5:$AR$434,"&gt;0"),SUMIFS(Countries!$AK$5:$AK$434,Countries!$A$5:$A$434,$B$4,Countries!$B$5:$B$434,$B$5,Countries!$C$5:$C$434,$B$6,Countries!$D$5:$D$434,$A23,Countries!$AR$5:$AR$434,"&gt;0")))</f>
        <v/>
      </c>
      <c r="AT23" s="43">
        <f>IF(IF($B$6="Total",SUMIFS(Countries!$AL$5:$AL$434,Countries!$A$5:$A$434,$B$4,Countries!$B$5:$B$434,$B$5,Countries!$D$5:$D$434,$A23,Countries!$AS$5:$AS$434,"&gt;0"),SUMIFS(Countries!$AL$5:$AL$434,Countries!$A$5:$A$434,$B$4,Countries!$B$5:$B$434,$B$5,Countries!$C$5:$C$434,$B$6,Countries!$D$5:$D$434,$A23,Countries!$AS$5:$AS$434,"&gt;0"))=0,"",IF($B$6="Total",SUMIFS(Countries!$AS$5:$AS$434,Countries!$A$5:$A$434,$B$4,Countries!$B$5:$B$434,$B$5,Countries!$D$5:$D$434,$A23,Countries!$AL$5:$AL$434,"&gt;0"),SUMIFS(Countries!$AS$5:$AS$434,Countries!$A$5:$A$434,$B$4,Countries!$B$5:$B$434,$B$5,Countries!$C$5:$C$434,$B$6,Countries!$D$5:$D$434,$A23,Countries!$AL$5:$AL$434,"&gt;0"))/IF($B$6="Total",SUMIFS(Countries!$AL$5:$AL$434,Countries!$A$5:$A$434,$B$4,Countries!$B$5:$B$434,$B$5,Countries!$D$5:$D$434,$A23,Countries!$AS$5:$AS$434,"&gt;0"),SUMIFS(Countries!$AL$5:$AL$434,Countries!$A$5:$A$434,$B$4,Countries!$B$5:$B$434,$B$5,Countries!$C$5:$C$434,$B$6,Countries!$D$5:$D$434,$A23,Countries!$AS$5:$AS$434,"&gt;0")))</f>
        <v/>
      </c>
      <c r="AU23" s="44">
        <f>IF(OR(AT23="",AS23=""),"",(AT23-AS23)*100)</f>
        <v/>
      </c>
      <c r="AV23" s="45">
        <f>IF(IF($B$6="Total",SUMIFS(Countries!$P$5:$P$434,Countries!$A$5:$A$434,$B$4,Countries!$B$5:$B$434,$B$5,Countries!$D$5:$D$434,$A23,Countries!$AR$5:$AR$434,"&gt;0"),SUMIFS(Countries!$P$5:$P$434,Countries!$A$5:$A$434,$B$4,Countries!$B$5:$B$434,$B$5,Countries!$C$5:$C$434,$B$6,Countries!$D$5:$D$434,$A23,Countries!$AR$5:$AR$434,"&gt;0"))=0,"",IF($B$6="Total",SUMIFS(Countries!$AR$5:$AR$434,Countries!$A$5:$A$434,$B$4,Countries!$B$5:$B$434,$B$5,Countries!$D$5:$D$434,$A23,Countries!$P$5:$P$434,"&gt;0"),SUMIFS(Countries!$AR$5:$AR$434,Countries!$A$5:$A$434,$B$4,Countries!$B$5:$B$434,$B$5,Countries!$C$5:$C$434,$B$6,Countries!$D$5:$D$434,$A23,Countries!$P$5:$P$434,"&gt;0"))/IF($B$6="Total",SUMIFS(Countries!$P$5:$P$434,Countries!$A$5:$A$434,$B$4,Countries!$B$5:$B$434,$B$5,Countries!$D$5:$D$434,$A23,Countries!$AR$5:$AR$434,"&gt;0"),SUMIFS(Countries!$P$5:$P$434,Countries!$A$5:$A$434,$B$4,Countries!$B$5:$B$434,$B$5,Countries!$C$5:$C$434,$B$6,Countries!$D$5:$D$434,$A23,Countries!$AR$5:$AR$434,"&gt;0")))</f>
        <v/>
      </c>
      <c r="AW23" s="45">
        <f>IF(IF($B$6="Total",SUMIFS(Countries!$Q$5:$Q$434,Countries!$A$5:$A$434,$B$4,Countries!$B$5:$B$434,$B$5,Countries!$D$5:$D$434,$A23,Countries!$AS$5:$AS$434,"&gt;0"),SUMIFS(Countries!$Q$5:$Q$434,Countries!$A$5:$A$434,$B$4,Countries!$B$5:$B$434,$B$5,Countries!$C$5:$C$434,$B$6,Countries!$D$5:$D$434,$A23,Countries!$AS$5:$AS$434,"&gt;0"))=0,"",IF($B$6="Total",SUMIFS(Countries!$AS$5:$AS$434,Countries!$A$5:$A$434,$B$4,Countries!$B$5:$B$434,$B$5,Countries!$D$5:$D$434,$A23,Countries!$Q$5:$Q$434,"&gt;0"),SUMIFS(Countries!$AS$5:$AS$434,Countries!$A$5:$A$434,$B$4,Countries!$B$5:$B$434,$B$5,Countries!$C$5:$C$434,$B$6,Countries!$D$5:$D$434,$A23,Countries!$Q$5:$Q$434,"&gt;0"))/IF($B$6="Total",SUMIFS(Countries!$Q$5:$Q$434,Countries!$A$5:$A$434,$B$4,Countries!$B$5:$B$434,$B$5,Countries!$D$5:$D$434,$A23,Countries!$AS$5:$AS$434,"&gt;0"),SUMIFS(Countries!$Q$5:$Q$434,Countries!$A$5:$A$434,$B$4,Countries!$B$5:$B$434,$B$5,Countries!$C$5:$C$434,$B$6,Countries!$D$5:$D$434,$A23,Countries!$AS$5:$AS$434,"&gt;0")))</f>
        <v/>
      </c>
      <c r="AX23" s="44">
        <f>IF(OR(AW23="",AV23=""),"",(AW23-AV23)*100)</f>
        <v/>
      </c>
      <c r="AY23" s="45">
        <f>IF(IF($B$6="Total",SUMIFS(Countries!$E$5:$E$434,Countries!$A$5:$A$434,$B$4,Countries!$B$5:$B$434,$B$5,Countries!$D$5:$D$434,$A23,Countries!$AR$5:$AR$434,"&gt;0"),SUMIFS(Countries!$E$5:$E$434,Countries!$A$5:$A$434,$B$4,Countries!$B$5:$B$434,$B$5,Countries!$C$5:$C$434,$B$6,Countries!$D$5:$D$434,$A23,Countries!$AR$5:$AR$434,"&gt;0"))=0,"",IF($B$6="Total",SUMIFS(Countries!$AR$5:$AR$434,Countries!$A$5:$A$434,$B$4,Countries!$B$5:$B$434,$B$5,Countries!$D$5:$D$434,$A23,Countries!$E$5:$E$434,"&gt;0"),SUMIFS(Countries!$AR$5:$AR$434,Countries!$A$5:$A$434,$B$4,Countries!$B$5:$B$434,$B$5,Countries!$C$5:$C$434,$B$6,Countries!$D$5:$D$434,$A23,Countries!$E$5:$E$434,"&gt;0"))/IF($B$6="Total",SUMIFS(Countries!$E$5:$E$434,Countries!$A$5:$A$434,$B$4,Countries!$B$5:$B$434,$B$5,Countries!$D$5:$D$434,$A23,Countries!$AR$5:$AR$434,"&gt;0"),SUMIFS(Countries!$E$5:$E$434,Countries!$A$5:$A$434,$B$4,Countries!$B$5:$B$434,$B$5,Countries!$C$5:$C$434,$B$6,Countries!$D$5:$D$434,$A23,Countries!$AR$5:$AR$434,"&gt;0")))</f>
        <v/>
      </c>
      <c r="AZ23" s="45">
        <f>IF(IF($B$6="Total",SUMIFS(Countries!$F$5:$F$434,Countries!$A$5:$A$434,$B$4,Countries!$B$5:$B$434,$B$5,Countries!$D$5:$D$434,$A23,Countries!$AS$5:$AS$434,"&gt;0"),SUMIFS(Countries!$F$5:$F$434,Countries!$A$5:$A$434,$B$4,Countries!$B$5:$B$434,$B$5,Countries!$C$5:$C$434,$B$6,Countries!$D$5:$D$434,$A23,Countries!$AS$5:$AS$434,"&gt;0"))=0,"",IF($B$6="Total",SUMIFS(Countries!$AS$5:$AS$434,Countries!$A$5:$A$434,$B$4,Countries!$B$5:$B$434,$B$5,Countries!$D$5:$D$434,$A23,Countries!$F$5:$F$434,"&gt;0"),SUMIFS(Countries!$AS$5:$AS$434,Countries!$A$5:$A$434,$B$4,Countries!$B$5:$B$434,$B$5,Countries!$C$5:$C$434,$B$6,Countries!$D$5:$D$434,$A23,Countries!$F$5:$F$434,"&gt;0"))/IF($B$6="Total",SUMIFS(Countries!$F$5:$F$434,Countries!$A$5:$A$434,$B$4,Countries!$B$5:$B$434,$B$5,Countries!$D$5:$D$434,$A23,Countries!$AS$5:$AS$434,"&gt;0"),SUMIFS(Countries!$F$5:$F$434,Countries!$A$5:$A$434,$B$4,Countries!$B$5:$B$434,$B$5,Countries!$C$5:$C$434,$B$6,Countries!$D$5:$D$434,$A23,Countries!$AS$5:$AS$434,"&gt;0")))</f>
        <v/>
      </c>
      <c r="BA23" s="44">
        <f>IF(OR(AZ23="",AY23=""),"",(AZ23-AY23)*100)</f>
        <v/>
      </c>
      <c r="BB23" s="40">
        <f>IF(AND(IF($B$6="Total",COUNTIFS(Countries!$A$5:$A$434,$B$4,Countries!$B$5:$B$434,$B$5,Countries!$D$5:$D$434,$A23,Countries!$F$5:$F$434,"&gt;0"),COUNTIFS(Countries!$A$5:$A$434,$B$4,Countries!$B$5:$B$434,$B$5,Countries!$C$5:$C$434,$B$6,Countries!$D$5:$D$434,$A23,Countries!$F$5:$F$434,"&gt;0"))=0,IF($B$6="Total",COUNTIFS(Countries!$A$5:$A$434,$B$4,Countries!$B$5:$B$434,$B$5,Countries!$D$5:$D$434,$A23,Countries!$E$5:$E$434,"&gt;0"),COUNTIFS(Countries!$A$5:$A$434,$B$4,Countries!$B$5:$B$434,$B$5,Countries!$C$5:$C$434,$B$6,Countries!$D$5:$D$434,$A23,Countries!$E$5:$E$434,"&gt;0"))=0),"",IF(IF($B$6="Total",COUNTIFS(Countries!$A$5:$A$434,$B$4,Countries!$B$5:$B$434,$B$5,Countries!$D$5:$D$434,$A23,Countries!$F$5:$F$434,"&gt;0"),COUNTIFS(Countries!$A$5:$A$434,$B$4,Countries!$B$5:$B$434,$B$5,Countries!$C$5:$C$434,$B$6,Countries!$D$5:$D$434,$A23,Countries!$F$5:$F$434,"&gt;0"))=0,"1-23Aug25 rows only",IF(IF($B$6="Total",COUNTIFS(Countries!$A$5:$A$434,$B$4,Countries!$B$5:$B$434,$B$5,Countries!$D$5:$D$434,$A23,Countries!$E$5:$E$434,"&gt;0"),COUNTIFS(Countries!$A$5:$A$434,$B$4,Countries!$B$5:$B$434,$B$5,Countries!$C$5:$C$434,$B$6,Countries!$D$5:$D$434,$A23,Countries!$E$5:$E$434,"&gt;0"))=0,"1-23Aug26 rows only",IF(IF($B$6="Total",COUNTIFS(Countries!$A$5:$A$434,$B$4,Countries!$B$5:$B$434,$B$5,Countries!$D$5:$D$434,$A23,Countries!$F$5:$F$434,"&gt;0"),COUNTIFS(Countries!$A$5:$A$434,$B$4,Countries!$B$5:$B$434,$B$5,Countries!$C$5:$C$434,$B$6,Countries!$D$5:$D$434,$A23,Countries!$F$5:$F$434,"&gt;0"))=IF($B$6="Total",COUNTIFS(Countries!$A$5:$A$434,$B$4,Countries!$B$5:$B$434,$B$5,Countries!$D$5:$D$434,$A23,Countries!$E$5:$E$434,"&gt;0"),COUNTIFS(Countries!$A$5:$A$434,$B$4,Countries!$B$5:$B$434,$B$5,Countries!$C$5:$C$434,$B$6,Countries!$D$5:$D$434,$A23,Countries!$E$5:$E$434,"&gt;0")),"Like-for-like","Partial — coverage differs"))))</f>
        <v/>
      </c>
    </row>
    <row r="24">
      <c r="A24" s="56" t="inlineStr">
        <is>
          <t>Portugal</t>
        </is>
      </c>
      <c r="B24" s="41">
        <f>IF(IF($B$6="Total",SUMIFS(Countries!$E$5:$E$434,Countries!$A$5:$A$434,$B$4,Countries!$B$5:$B$434,$B$5,Countries!$D$5:$D$434,$A24),SUMIFS(Countries!$E$5:$E$434,Countries!$A$5:$A$434,$B$4,Countries!$B$5:$B$434,$B$5,Countries!$C$5:$C$434,$B$6,Countries!$D$5:$D$434,$A24))=0,"",IF($B$6="Total",SUMIFS(Countries!$E$5:$E$434,Countries!$A$5:$A$434,$B$4,Countries!$B$5:$B$434,$B$5,Countries!$D$5:$D$434,$A24),SUMIFS(Countries!$E$5:$E$434,Countries!$A$5:$A$434,$B$4,Countries!$B$5:$B$434,$B$5,Countries!$C$5:$C$434,$B$6,Countries!$D$5:$D$434,$A24)))</f>
        <v/>
      </c>
      <c r="C24" s="41">
        <f>IF(IF($B$6="Total",SUMIFS(Countries!$F$5:$F$434,Countries!$A$5:$A$434,$B$4,Countries!$B$5:$B$434,$B$5,Countries!$D$5:$D$434,$A24),SUMIFS(Countries!$F$5:$F$434,Countries!$A$5:$A$434,$B$4,Countries!$B$5:$B$434,$B$5,Countries!$C$5:$C$434,$B$6,Countries!$D$5:$D$434,$A24))=0,"",IF($B$6="Total",SUMIFS(Countries!$F$5:$F$434,Countries!$A$5:$A$434,$B$4,Countries!$B$5:$B$434,$B$5,Countries!$D$5:$D$434,$A24),SUMIFS(Countries!$F$5:$F$434,Countries!$A$5:$A$434,$B$4,Countries!$B$5:$B$434,$B$5,Countries!$C$5:$C$434,$B$6,Countries!$D$5:$D$434,$A24)))</f>
        <v/>
      </c>
      <c r="D24" s="69">
        <f>IF(OR(C24="",B24="",B24=0,C24=0),"",C24-B24)</f>
        <v/>
      </c>
      <c r="E24" s="42">
        <f>IF(OR(C24="",B24="",B24=0,C24=0),"",C24/B24-1)</f>
        <v/>
      </c>
      <c r="F24" s="41">
        <f>IF(IF($B$6="Total",SUMIFS(Countries!$I$5:$I$434,Countries!$A$5:$A$434,$B$4,Countries!$B$5:$B$434,$B$5,Countries!$D$5:$D$434,$A24),SUMIFS(Countries!$I$5:$I$434,Countries!$A$5:$A$434,$B$4,Countries!$B$5:$B$434,$B$5,Countries!$C$5:$C$434,$B$6,Countries!$D$5:$D$434,$A24))=0,"",IF($B$6="Total",SUMIFS(Countries!$I$5:$I$434,Countries!$A$5:$A$434,$B$4,Countries!$B$5:$B$434,$B$5,Countries!$D$5:$D$434,$A24),SUMIFS(Countries!$I$5:$I$434,Countries!$A$5:$A$434,$B$4,Countries!$B$5:$B$434,$B$5,Countries!$C$5:$C$434,$B$6,Countries!$D$5:$D$434,$A24)))</f>
        <v/>
      </c>
      <c r="G24" s="41">
        <f>IF(IF($B$6="Total",SUMIFS(Countries!$J$5:$J$434,Countries!$A$5:$A$434,$B$4,Countries!$B$5:$B$434,$B$5,Countries!$D$5:$D$434,$A24),SUMIFS(Countries!$J$5:$J$434,Countries!$A$5:$A$434,$B$4,Countries!$B$5:$B$434,$B$5,Countries!$C$5:$C$434,$B$6,Countries!$D$5:$D$434,$A24))=0,"",IF($B$6="Total",SUMIFS(Countries!$J$5:$J$434,Countries!$A$5:$A$434,$B$4,Countries!$B$5:$B$434,$B$5,Countries!$D$5:$D$434,$A24),SUMIFS(Countries!$J$5:$J$434,Countries!$A$5:$A$434,$B$4,Countries!$B$5:$B$434,$B$5,Countries!$C$5:$C$434,$B$6,Countries!$D$5:$D$434,$A24)))</f>
        <v/>
      </c>
      <c r="H24" s="69">
        <f>IF(OR(G24="",F24="",F24=0,G24=0),"",G24-F24)</f>
        <v/>
      </c>
      <c r="I24" s="42">
        <f>IF(OR(G24="",F24="",F24=0,G24=0),"",G24/F24-1)</f>
        <v/>
      </c>
      <c r="J24" s="43">
        <f>IF(IF($B$6="Total",SUMIFS(Countries!$E$5:$E$434,Countries!$A$5:$A$434,$B$4,Countries!$B$5:$B$434,$B$5,Countries!$D$5:$D$434,$A24,Countries!$I$5:$I$434,"&gt;0"),SUMIFS(Countries!$E$5:$E$434,Countries!$A$5:$A$434,$B$4,Countries!$B$5:$B$434,$B$5,Countries!$C$5:$C$434,$B$6,Countries!$D$5:$D$434,$A24,Countries!$I$5:$I$434,"&gt;0"))=0,"",IF($B$6="Total",SUMIFS(Countries!$I$5:$I$434,Countries!$A$5:$A$434,$B$4,Countries!$B$5:$B$434,$B$5,Countries!$D$5:$D$434,$A24,Countries!$E$5:$E$434,"&gt;0"),SUMIFS(Countries!$I$5:$I$434,Countries!$A$5:$A$434,$B$4,Countries!$B$5:$B$434,$B$5,Countries!$C$5:$C$434,$B$6,Countries!$D$5:$D$434,$A24,Countries!$E$5:$E$434,"&gt;0"))/IF($B$6="Total",SUMIFS(Countries!$E$5:$E$434,Countries!$A$5:$A$434,$B$4,Countries!$B$5:$B$434,$B$5,Countries!$D$5:$D$434,$A24,Countries!$I$5:$I$434,"&gt;0"),SUMIFS(Countries!$E$5:$E$434,Countries!$A$5:$A$434,$B$4,Countries!$B$5:$B$434,$B$5,Countries!$C$5:$C$434,$B$6,Countries!$D$5:$D$434,$A24,Countries!$I$5:$I$434,"&gt;0")))</f>
        <v/>
      </c>
      <c r="K24" s="43">
        <f>IF(IF($B$6="Total",SUMIFS(Countries!$F$5:$F$434,Countries!$A$5:$A$434,$B$4,Countries!$B$5:$B$434,$B$5,Countries!$D$5:$D$434,$A24,Countries!$J$5:$J$434,"&gt;0"),SUMIFS(Countries!$F$5:$F$434,Countries!$A$5:$A$434,$B$4,Countries!$B$5:$B$434,$B$5,Countries!$C$5:$C$434,$B$6,Countries!$D$5:$D$434,$A24,Countries!$J$5:$J$434,"&gt;0"))=0,"",IF($B$6="Total",SUMIFS(Countries!$J$5:$J$434,Countries!$A$5:$A$434,$B$4,Countries!$B$5:$B$434,$B$5,Countries!$D$5:$D$434,$A24,Countries!$F$5:$F$434,"&gt;0"),SUMIFS(Countries!$J$5:$J$434,Countries!$A$5:$A$434,$B$4,Countries!$B$5:$B$434,$B$5,Countries!$C$5:$C$434,$B$6,Countries!$D$5:$D$434,$A24,Countries!$F$5:$F$434,"&gt;0"))/IF($B$6="Total",SUMIFS(Countries!$F$5:$F$434,Countries!$A$5:$A$434,$B$4,Countries!$B$5:$B$434,$B$5,Countries!$D$5:$D$434,$A24,Countries!$J$5:$J$434,"&gt;0"),SUMIFS(Countries!$F$5:$F$434,Countries!$A$5:$A$434,$B$4,Countries!$B$5:$B$434,$B$5,Countries!$C$5:$C$434,$B$6,Countries!$D$5:$D$434,$A24,Countries!$J$5:$J$434,"&gt;0")))</f>
        <v/>
      </c>
      <c r="L24" s="44">
        <f>IF(OR(K24="",J24=""),"",(K24-J24)*100)</f>
        <v/>
      </c>
      <c r="M24" s="41">
        <f>IF(IF($B$6="Total",SUMIFS(Countries!$P$5:$P$434,Countries!$A$5:$A$434,$B$4,Countries!$B$5:$B$434,$B$5,Countries!$D$5:$D$434,$A24),SUMIFS(Countries!$P$5:$P$434,Countries!$A$5:$A$434,$B$4,Countries!$B$5:$B$434,$B$5,Countries!$C$5:$C$434,$B$6,Countries!$D$5:$D$434,$A24))=0,"",IF($B$6="Total",SUMIFS(Countries!$P$5:$P$434,Countries!$A$5:$A$434,$B$4,Countries!$B$5:$B$434,$B$5,Countries!$D$5:$D$434,$A24),SUMIFS(Countries!$P$5:$P$434,Countries!$A$5:$A$434,$B$4,Countries!$B$5:$B$434,$B$5,Countries!$C$5:$C$434,$B$6,Countries!$D$5:$D$434,$A24)))</f>
        <v/>
      </c>
      <c r="N24" s="41">
        <f>IF(IF($B$6="Total",SUMIFS(Countries!$Q$5:$Q$434,Countries!$A$5:$A$434,$B$4,Countries!$B$5:$B$434,$B$5,Countries!$D$5:$D$434,$A24),SUMIFS(Countries!$Q$5:$Q$434,Countries!$A$5:$A$434,$B$4,Countries!$B$5:$B$434,$B$5,Countries!$C$5:$C$434,$B$6,Countries!$D$5:$D$434,$A24))=0,"",IF($B$6="Total",SUMIFS(Countries!$Q$5:$Q$434,Countries!$A$5:$A$434,$B$4,Countries!$B$5:$B$434,$B$5,Countries!$D$5:$D$434,$A24),SUMIFS(Countries!$Q$5:$Q$434,Countries!$A$5:$A$434,$B$4,Countries!$B$5:$B$434,$B$5,Countries!$C$5:$C$434,$B$6,Countries!$D$5:$D$434,$A24)))</f>
        <v/>
      </c>
      <c r="O24" s="69">
        <f>IF(OR(N24="",M24="",M24=0,N24=0),"",N24-M24)</f>
        <v/>
      </c>
      <c r="P24" s="42">
        <f>IF(OR(N24="",M24="",M24=0,N24=0),"",N24/M24-1)</f>
        <v/>
      </c>
      <c r="Q24" s="43">
        <f>IF(IF($B$6="Total",SUMIFS(Countries!$E$5:$E$434,Countries!$A$5:$A$434,$B$4,Countries!$B$5:$B$434,$B$5,Countries!$D$5:$D$434,$A24,Countries!$P$5:$P$434,"&gt;0"),SUMIFS(Countries!$E$5:$E$434,Countries!$A$5:$A$434,$B$4,Countries!$B$5:$B$434,$B$5,Countries!$C$5:$C$434,$B$6,Countries!$D$5:$D$434,$A24,Countries!$P$5:$P$434,"&gt;0"))=0,"",IF($B$6="Total",SUMIFS(Countries!$P$5:$P$434,Countries!$A$5:$A$434,$B$4,Countries!$B$5:$B$434,$B$5,Countries!$D$5:$D$434,$A24,Countries!$E$5:$E$434,"&gt;0"),SUMIFS(Countries!$P$5:$P$434,Countries!$A$5:$A$434,$B$4,Countries!$B$5:$B$434,$B$5,Countries!$C$5:$C$434,$B$6,Countries!$D$5:$D$434,$A24,Countries!$E$5:$E$434,"&gt;0"))/IF($B$6="Total",SUMIFS(Countries!$E$5:$E$434,Countries!$A$5:$A$434,$B$4,Countries!$B$5:$B$434,$B$5,Countries!$D$5:$D$434,$A24,Countries!$P$5:$P$434,"&gt;0"),SUMIFS(Countries!$E$5:$E$434,Countries!$A$5:$A$434,$B$4,Countries!$B$5:$B$434,$B$5,Countries!$C$5:$C$434,$B$6,Countries!$D$5:$D$434,$A24,Countries!$P$5:$P$434,"&gt;0")))</f>
        <v/>
      </c>
      <c r="R24" s="43">
        <f>IF(IF($B$6="Total",SUMIFS(Countries!$F$5:$F$434,Countries!$A$5:$A$434,$B$4,Countries!$B$5:$B$434,$B$5,Countries!$D$5:$D$434,$A24,Countries!$Q$5:$Q$434,"&gt;0"),SUMIFS(Countries!$F$5:$F$434,Countries!$A$5:$A$434,$B$4,Countries!$B$5:$B$434,$B$5,Countries!$C$5:$C$434,$B$6,Countries!$D$5:$D$434,$A24,Countries!$Q$5:$Q$434,"&gt;0"))=0,"",IF($B$6="Total",SUMIFS(Countries!$Q$5:$Q$434,Countries!$A$5:$A$434,$B$4,Countries!$B$5:$B$434,$B$5,Countries!$D$5:$D$434,$A24,Countries!$F$5:$F$434,"&gt;0"),SUMIFS(Countries!$Q$5:$Q$434,Countries!$A$5:$A$434,$B$4,Countries!$B$5:$B$434,$B$5,Countries!$C$5:$C$434,$B$6,Countries!$D$5:$D$434,$A24,Countries!$F$5:$F$434,"&gt;0"))/IF($B$6="Total",SUMIFS(Countries!$F$5:$F$434,Countries!$A$5:$A$434,$B$4,Countries!$B$5:$B$434,$B$5,Countries!$D$5:$D$434,$A24,Countries!$Q$5:$Q$434,"&gt;0"),SUMIFS(Countries!$F$5:$F$434,Countries!$A$5:$A$434,$B$4,Countries!$B$5:$B$434,$B$5,Countries!$C$5:$C$434,$B$6,Countries!$D$5:$D$434,$A24,Countries!$Q$5:$Q$434,"&gt;0")))</f>
        <v/>
      </c>
      <c r="S24" s="44">
        <f>IF(OR(R24="",Q24=""),"",(R24-Q24)*100)</f>
        <v/>
      </c>
      <c r="T24" s="41">
        <f>IF(IF($B$6="Total",SUMIFS(Countries!$W$5:$W$434,Countries!$A$5:$A$434,$B$4,Countries!$B$5:$B$434,$B$5,Countries!$D$5:$D$434,$A24),SUMIFS(Countries!$W$5:$W$434,Countries!$A$5:$A$434,$B$4,Countries!$B$5:$B$434,$B$5,Countries!$C$5:$C$434,$B$6,Countries!$D$5:$D$434,$A24))=0,"",IF($B$6="Total",SUMIFS(Countries!$W$5:$W$434,Countries!$A$5:$A$434,$B$4,Countries!$B$5:$B$434,$B$5,Countries!$D$5:$D$434,$A24),SUMIFS(Countries!$W$5:$W$434,Countries!$A$5:$A$434,$B$4,Countries!$B$5:$B$434,$B$5,Countries!$C$5:$C$434,$B$6,Countries!$D$5:$D$434,$A24)))</f>
        <v/>
      </c>
      <c r="U24" s="41">
        <f>IF(IF($B$6="Total",SUMIFS(Countries!$X$5:$X$434,Countries!$A$5:$A$434,$B$4,Countries!$B$5:$B$434,$B$5,Countries!$D$5:$D$434,$A24),SUMIFS(Countries!$X$5:$X$434,Countries!$A$5:$A$434,$B$4,Countries!$B$5:$B$434,$B$5,Countries!$C$5:$C$434,$B$6,Countries!$D$5:$D$434,$A24))=0,"",IF($B$6="Total",SUMIFS(Countries!$X$5:$X$434,Countries!$A$5:$A$434,$B$4,Countries!$B$5:$B$434,$B$5,Countries!$D$5:$D$434,$A24),SUMIFS(Countries!$X$5:$X$434,Countries!$A$5:$A$434,$B$4,Countries!$B$5:$B$434,$B$5,Countries!$C$5:$C$434,$B$6,Countries!$D$5:$D$434,$A24)))</f>
        <v/>
      </c>
      <c r="V24" s="69">
        <f>IF(OR(U24="",T24="",T24=0,U24=0),"",U24-T24)</f>
        <v/>
      </c>
      <c r="W24" s="42">
        <f>IF(OR(U24="",T24="",T24=0,U24=0),"",U24/T24-1)</f>
        <v/>
      </c>
      <c r="X24" s="43">
        <f>IF(IF($B$6="Total",SUMIFS(Countries!$P$5:$P$434,Countries!$A$5:$A$434,$B$4,Countries!$B$5:$B$434,$B$5,Countries!$D$5:$D$434,$A24,Countries!$W$5:$W$434,"&gt;0"),SUMIFS(Countries!$P$5:$P$434,Countries!$A$5:$A$434,$B$4,Countries!$B$5:$B$434,$B$5,Countries!$C$5:$C$434,$B$6,Countries!$D$5:$D$434,$A24,Countries!$W$5:$W$434,"&gt;0"))=0,"",IF($B$6="Total",SUMIFS(Countries!$W$5:$W$434,Countries!$A$5:$A$434,$B$4,Countries!$B$5:$B$434,$B$5,Countries!$D$5:$D$434,$A24,Countries!$P$5:$P$434,"&gt;0"),SUMIFS(Countries!$W$5:$W$434,Countries!$A$5:$A$434,$B$4,Countries!$B$5:$B$434,$B$5,Countries!$C$5:$C$434,$B$6,Countries!$D$5:$D$434,$A24,Countries!$P$5:$P$434,"&gt;0"))/IF($B$6="Total",SUMIFS(Countries!$P$5:$P$434,Countries!$A$5:$A$434,$B$4,Countries!$B$5:$B$434,$B$5,Countries!$D$5:$D$434,$A24,Countries!$W$5:$W$434,"&gt;0"),SUMIFS(Countries!$P$5:$P$434,Countries!$A$5:$A$434,$B$4,Countries!$B$5:$B$434,$B$5,Countries!$C$5:$C$434,$B$6,Countries!$D$5:$D$434,$A24,Countries!$W$5:$W$434,"&gt;0")))</f>
        <v/>
      </c>
      <c r="Y24" s="43">
        <f>IF(IF($B$6="Total",SUMIFS(Countries!$Q$5:$Q$434,Countries!$A$5:$A$434,$B$4,Countries!$B$5:$B$434,$B$5,Countries!$D$5:$D$434,$A24,Countries!$X$5:$X$434,"&gt;0"),SUMIFS(Countries!$Q$5:$Q$434,Countries!$A$5:$A$434,$B$4,Countries!$B$5:$B$434,$B$5,Countries!$C$5:$C$434,$B$6,Countries!$D$5:$D$434,$A24,Countries!$X$5:$X$434,"&gt;0"))=0,"",IF($B$6="Total",SUMIFS(Countries!$X$5:$X$434,Countries!$A$5:$A$434,$B$4,Countries!$B$5:$B$434,$B$5,Countries!$D$5:$D$434,$A24,Countries!$Q$5:$Q$434,"&gt;0"),SUMIFS(Countries!$X$5:$X$434,Countries!$A$5:$A$434,$B$4,Countries!$B$5:$B$434,$B$5,Countries!$C$5:$C$434,$B$6,Countries!$D$5:$D$434,$A24,Countries!$Q$5:$Q$434,"&gt;0"))/IF($B$6="Total",SUMIFS(Countries!$Q$5:$Q$434,Countries!$A$5:$A$434,$B$4,Countries!$B$5:$B$434,$B$5,Countries!$D$5:$D$434,$A24,Countries!$X$5:$X$434,"&gt;0"),SUMIFS(Countries!$Q$5:$Q$434,Countries!$A$5:$A$434,$B$4,Countries!$B$5:$B$434,$B$5,Countries!$C$5:$C$434,$B$6,Countries!$D$5:$D$434,$A24,Countries!$X$5:$X$434,"&gt;0")))</f>
        <v/>
      </c>
      <c r="Z24" s="44">
        <f>IF(OR(Y24="",X24=""),"",(Y24-X24)*100)</f>
        <v/>
      </c>
      <c r="AA24" s="41">
        <f>IF(IF($B$6="Total",SUMIFS(Countries!$AD$5:$AD$434,Countries!$A$5:$A$434,$B$4,Countries!$B$5:$B$434,$B$5,Countries!$D$5:$D$434,$A24),SUMIFS(Countries!$AD$5:$AD$434,Countries!$A$5:$A$434,$B$4,Countries!$B$5:$B$434,$B$5,Countries!$C$5:$C$434,$B$6,Countries!$D$5:$D$434,$A24))=0,"",IF($B$6="Total",SUMIFS(Countries!$AD$5:$AD$434,Countries!$A$5:$A$434,$B$4,Countries!$B$5:$B$434,$B$5,Countries!$D$5:$D$434,$A24),SUMIFS(Countries!$AD$5:$AD$434,Countries!$A$5:$A$434,$B$4,Countries!$B$5:$B$434,$B$5,Countries!$C$5:$C$434,$B$6,Countries!$D$5:$D$434,$A24)))</f>
        <v/>
      </c>
      <c r="AB24" s="41">
        <f>IF(IF($B$6="Total",SUMIFS(Countries!$AE$5:$AE$434,Countries!$A$5:$A$434,$B$4,Countries!$B$5:$B$434,$B$5,Countries!$D$5:$D$434,$A24),SUMIFS(Countries!$AE$5:$AE$434,Countries!$A$5:$A$434,$B$4,Countries!$B$5:$B$434,$B$5,Countries!$C$5:$C$434,$B$6,Countries!$D$5:$D$434,$A24))=0,"",IF($B$6="Total",SUMIFS(Countries!$AE$5:$AE$434,Countries!$A$5:$A$434,$B$4,Countries!$B$5:$B$434,$B$5,Countries!$D$5:$D$434,$A24),SUMIFS(Countries!$AE$5:$AE$434,Countries!$A$5:$A$434,$B$4,Countries!$B$5:$B$434,$B$5,Countries!$C$5:$C$434,$B$6,Countries!$D$5:$D$434,$A24)))</f>
        <v/>
      </c>
      <c r="AC24" s="69">
        <f>IF(OR(AB24="",AA24="",AA24=0,AB24=0),"",AB24-AA24)</f>
        <v/>
      </c>
      <c r="AD24" s="42">
        <f>IF(OR(AB24="",AA24="",AA24=0,AB24=0),"",AB24/AA24-1)</f>
        <v/>
      </c>
      <c r="AE24" s="43">
        <f>IF(IF($B$6="Total",SUMIFS(Countries!$W$5:$W$434,Countries!$A$5:$A$434,$B$4,Countries!$B$5:$B$434,$B$5,Countries!$D$5:$D$434,$A24,Countries!$AD$5:$AD$434,"&gt;0"),SUMIFS(Countries!$W$5:$W$434,Countries!$A$5:$A$434,$B$4,Countries!$B$5:$B$434,$B$5,Countries!$C$5:$C$434,$B$6,Countries!$D$5:$D$434,$A24,Countries!$AD$5:$AD$434,"&gt;0"))=0,"",IF($B$6="Total",SUMIFS(Countries!$AD$5:$AD$434,Countries!$A$5:$A$434,$B$4,Countries!$B$5:$B$434,$B$5,Countries!$D$5:$D$434,$A24,Countries!$W$5:$W$434,"&gt;0"),SUMIFS(Countries!$AD$5:$AD$434,Countries!$A$5:$A$434,$B$4,Countries!$B$5:$B$434,$B$5,Countries!$C$5:$C$434,$B$6,Countries!$D$5:$D$434,$A24,Countries!$W$5:$W$434,"&gt;0"))/IF($B$6="Total",SUMIFS(Countries!$W$5:$W$434,Countries!$A$5:$A$434,$B$4,Countries!$B$5:$B$434,$B$5,Countries!$D$5:$D$434,$A24,Countries!$AD$5:$AD$434,"&gt;0"),SUMIFS(Countries!$W$5:$W$434,Countries!$A$5:$A$434,$B$4,Countries!$B$5:$B$434,$B$5,Countries!$C$5:$C$434,$B$6,Countries!$D$5:$D$434,$A24,Countries!$AD$5:$AD$434,"&gt;0")))</f>
        <v/>
      </c>
      <c r="AF24" s="43">
        <f>IF(IF($B$6="Total",SUMIFS(Countries!$X$5:$X$434,Countries!$A$5:$A$434,$B$4,Countries!$B$5:$B$434,$B$5,Countries!$D$5:$D$434,$A24,Countries!$AE$5:$AE$434,"&gt;0"),SUMIFS(Countries!$X$5:$X$434,Countries!$A$5:$A$434,$B$4,Countries!$B$5:$B$434,$B$5,Countries!$C$5:$C$434,$B$6,Countries!$D$5:$D$434,$A24,Countries!$AE$5:$AE$434,"&gt;0"))=0,"",IF($B$6="Total",SUMIFS(Countries!$AE$5:$AE$434,Countries!$A$5:$A$434,$B$4,Countries!$B$5:$B$434,$B$5,Countries!$D$5:$D$434,$A24,Countries!$X$5:$X$434,"&gt;0"),SUMIFS(Countries!$AE$5:$AE$434,Countries!$A$5:$A$434,$B$4,Countries!$B$5:$B$434,$B$5,Countries!$C$5:$C$434,$B$6,Countries!$D$5:$D$434,$A24,Countries!$X$5:$X$434,"&gt;0"))/IF($B$6="Total",SUMIFS(Countries!$X$5:$X$434,Countries!$A$5:$A$434,$B$4,Countries!$B$5:$B$434,$B$5,Countries!$D$5:$D$434,$A24,Countries!$AE$5:$AE$434,"&gt;0"),SUMIFS(Countries!$X$5:$X$434,Countries!$A$5:$A$434,$B$4,Countries!$B$5:$B$434,$B$5,Countries!$C$5:$C$434,$B$6,Countries!$D$5:$D$434,$A24,Countries!$AE$5:$AE$434,"&gt;0")))</f>
        <v/>
      </c>
      <c r="AG24" s="44">
        <f>IF(OR(AF24="",AE24=""),"",(AF24-AE24)*100)</f>
        <v/>
      </c>
      <c r="AH24" s="41">
        <f>IF(IF($B$6="Total",SUMIFS(Countries!$AK$5:$AK$434,Countries!$A$5:$A$434,$B$4,Countries!$B$5:$B$434,$B$5,Countries!$D$5:$D$434,$A24),SUMIFS(Countries!$AK$5:$AK$434,Countries!$A$5:$A$434,$B$4,Countries!$B$5:$B$434,$B$5,Countries!$C$5:$C$434,$B$6,Countries!$D$5:$D$434,$A24))=0,"",IF($B$6="Total",SUMIFS(Countries!$AK$5:$AK$434,Countries!$A$5:$A$434,$B$4,Countries!$B$5:$B$434,$B$5,Countries!$D$5:$D$434,$A24),SUMIFS(Countries!$AK$5:$AK$434,Countries!$A$5:$A$434,$B$4,Countries!$B$5:$B$434,$B$5,Countries!$C$5:$C$434,$B$6,Countries!$D$5:$D$434,$A24)))</f>
        <v/>
      </c>
      <c r="AI24" s="41">
        <f>IF(IF($B$6="Total",SUMIFS(Countries!$AL$5:$AL$434,Countries!$A$5:$A$434,$B$4,Countries!$B$5:$B$434,$B$5,Countries!$D$5:$D$434,$A24),SUMIFS(Countries!$AL$5:$AL$434,Countries!$A$5:$A$434,$B$4,Countries!$B$5:$B$434,$B$5,Countries!$C$5:$C$434,$B$6,Countries!$D$5:$D$434,$A24))=0,"",IF($B$6="Total",SUMIFS(Countries!$AL$5:$AL$434,Countries!$A$5:$A$434,$B$4,Countries!$B$5:$B$434,$B$5,Countries!$D$5:$D$434,$A24),SUMIFS(Countries!$AL$5:$AL$434,Countries!$A$5:$A$434,$B$4,Countries!$B$5:$B$434,$B$5,Countries!$C$5:$C$434,$B$6,Countries!$D$5:$D$434,$A24)))</f>
        <v/>
      </c>
      <c r="AJ24" s="69">
        <f>IF(OR(AI24="",AH24="",AH24=0,AI24=0),"",AI24-AH24)</f>
        <v/>
      </c>
      <c r="AK24" s="42">
        <f>IF(OR(AI24="",AH24="",AH24=0,AI24=0),"",AI24/AH24-1)</f>
        <v/>
      </c>
      <c r="AL24" s="43">
        <f>IF(IF($B$6="Total",SUMIFS(Countries!$AD$5:$AD$434,Countries!$A$5:$A$434,$B$4,Countries!$B$5:$B$434,$B$5,Countries!$D$5:$D$434,$A24,Countries!$AK$5:$AK$434,"&gt;0"),SUMIFS(Countries!$AD$5:$AD$434,Countries!$A$5:$A$434,$B$4,Countries!$B$5:$B$434,$B$5,Countries!$C$5:$C$434,$B$6,Countries!$D$5:$D$434,$A24,Countries!$AK$5:$AK$434,"&gt;0"))=0,"",IF($B$6="Total",SUMIFS(Countries!$AK$5:$AK$434,Countries!$A$5:$A$434,$B$4,Countries!$B$5:$B$434,$B$5,Countries!$D$5:$D$434,$A24,Countries!$AD$5:$AD$434,"&gt;0"),SUMIFS(Countries!$AK$5:$AK$434,Countries!$A$5:$A$434,$B$4,Countries!$B$5:$B$434,$B$5,Countries!$C$5:$C$434,$B$6,Countries!$D$5:$D$434,$A24,Countries!$AD$5:$AD$434,"&gt;0"))/IF($B$6="Total",SUMIFS(Countries!$AD$5:$AD$434,Countries!$A$5:$A$434,$B$4,Countries!$B$5:$B$434,$B$5,Countries!$D$5:$D$434,$A24,Countries!$AK$5:$AK$434,"&gt;0"),SUMIFS(Countries!$AD$5:$AD$434,Countries!$A$5:$A$434,$B$4,Countries!$B$5:$B$434,$B$5,Countries!$C$5:$C$434,$B$6,Countries!$D$5:$D$434,$A24,Countries!$AK$5:$AK$434,"&gt;0")))</f>
        <v/>
      </c>
      <c r="AM24" s="43">
        <f>IF(IF($B$6="Total",SUMIFS(Countries!$AE$5:$AE$434,Countries!$A$5:$A$434,$B$4,Countries!$B$5:$B$434,$B$5,Countries!$D$5:$D$434,$A24,Countries!$AL$5:$AL$434,"&gt;0"),SUMIFS(Countries!$AE$5:$AE$434,Countries!$A$5:$A$434,$B$4,Countries!$B$5:$B$434,$B$5,Countries!$C$5:$C$434,$B$6,Countries!$D$5:$D$434,$A24,Countries!$AL$5:$AL$434,"&gt;0"))=0,"",IF($B$6="Total",SUMIFS(Countries!$AL$5:$AL$434,Countries!$A$5:$A$434,$B$4,Countries!$B$5:$B$434,$B$5,Countries!$D$5:$D$434,$A24,Countries!$AE$5:$AE$434,"&gt;0"),SUMIFS(Countries!$AL$5:$AL$434,Countries!$A$5:$A$434,$B$4,Countries!$B$5:$B$434,$B$5,Countries!$C$5:$C$434,$B$6,Countries!$D$5:$D$434,$A24,Countries!$AE$5:$AE$434,"&gt;0"))/IF($B$6="Total",SUMIFS(Countries!$AE$5:$AE$434,Countries!$A$5:$A$434,$B$4,Countries!$B$5:$B$434,$B$5,Countries!$D$5:$D$434,$A24,Countries!$AL$5:$AL$434,"&gt;0"),SUMIFS(Countries!$AE$5:$AE$434,Countries!$A$5:$A$434,$B$4,Countries!$B$5:$B$434,$B$5,Countries!$C$5:$C$434,$B$6,Countries!$D$5:$D$434,$A24,Countries!$AL$5:$AL$434,"&gt;0")))</f>
        <v/>
      </c>
      <c r="AN24" s="44">
        <f>IF(OR(AM24="",AL24=""),"",(AM24-AL24)*100)</f>
        <v/>
      </c>
      <c r="AO24" s="41">
        <f>IF(IF($B$6="Total",SUMIFS(Countries!$AR$5:$AR$434,Countries!$A$5:$A$434,$B$4,Countries!$B$5:$B$434,$B$5,Countries!$D$5:$D$434,$A24),SUMIFS(Countries!$AR$5:$AR$434,Countries!$A$5:$A$434,$B$4,Countries!$B$5:$B$434,$B$5,Countries!$C$5:$C$434,$B$6,Countries!$D$5:$D$434,$A24))=0,"",IF($B$6="Total",SUMIFS(Countries!$AR$5:$AR$434,Countries!$A$5:$A$434,$B$4,Countries!$B$5:$B$434,$B$5,Countries!$D$5:$D$434,$A24),SUMIFS(Countries!$AR$5:$AR$434,Countries!$A$5:$A$434,$B$4,Countries!$B$5:$B$434,$B$5,Countries!$C$5:$C$434,$B$6,Countries!$D$5:$D$434,$A24)))</f>
        <v/>
      </c>
      <c r="AP24" s="41">
        <f>IF(IF($B$6="Total",SUMIFS(Countries!$AS$5:$AS$434,Countries!$A$5:$A$434,$B$4,Countries!$B$5:$B$434,$B$5,Countries!$D$5:$D$434,$A24),SUMIFS(Countries!$AS$5:$AS$434,Countries!$A$5:$A$434,$B$4,Countries!$B$5:$B$434,$B$5,Countries!$C$5:$C$434,$B$6,Countries!$D$5:$D$434,$A24))=0,"",IF($B$6="Total",SUMIFS(Countries!$AS$5:$AS$434,Countries!$A$5:$A$434,$B$4,Countries!$B$5:$B$434,$B$5,Countries!$D$5:$D$434,$A24),SUMIFS(Countries!$AS$5:$AS$434,Countries!$A$5:$A$434,$B$4,Countries!$B$5:$B$434,$B$5,Countries!$C$5:$C$434,$B$6,Countries!$D$5:$D$434,$A24)))</f>
        <v/>
      </c>
      <c r="AQ24" s="69">
        <f>IF(OR(AP24="",AO24="",AO24=0,AP24=0),"",AP24-AO24)</f>
        <v/>
      </c>
      <c r="AR24" s="42">
        <f>IF(OR(AP24="",AO24="",AO24=0,AP24=0),"",AP24/AO24-1)</f>
        <v/>
      </c>
      <c r="AS24" s="43">
        <f>IF(IF($B$6="Total",SUMIFS(Countries!$AK$5:$AK$434,Countries!$A$5:$A$434,$B$4,Countries!$B$5:$B$434,$B$5,Countries!$D$5:$D$434,$A24,Countries!$AR$5:$AR$434,"&gt;0"),SUMIFS(Countries!$AK$5:$AK$434,Countries!$A$5:$A$434,$B$4,Countries!$B$5:$B$434,$B$5,Countries!$C$5:$C$434,$B$6,Countries!$D$5:$D$434,$A24,Countries!$AR$5:$AR$434,"&gt;0"))=0,"",IF($B$6="Total",SUMIFS(Countries!$AR$5:$AR$434,Countries!$A$5:$A$434,$B$4,Countries!$B$5:$B$434,$B$5,Countries!$D$5:$D$434,$A24,Countries!$AK$5:$AK$434,"&gt;0"),SUMIFS(Countries!$AR$5:$AR$434,Countries!$A$5:$A$434,$B$4,Countries!$B$5:$B$434,$B$5,Countries!$C$5:$C$434,$B$6,Countries!$D$5:$D$434,$A24,Countries!$AK$5:$AK$434,"&gt;0"))/IF($B$6="Total",SUMIFS(Countries!$AK$5:$AK$434,Countries!$A$5:$A$434,$B$4,Countries!$B$5:$B$434,$B$5,Countries!$D$5:$D$434,$A24,Countries!$AR$5:$AR$434,"&gt;0"),SUMIFS(Countries!$AK$5:$AK$434,Countries!$A$5:$A$434,$B$4,Countries!$B$5:$B$434,$B$5,Countries!$C$5:$C$434,$B$6,Countries!$D$5:$D$434,$A24,Countries!$AR$5:$AR$434,"&gt;0")))</f>
        <v/>
      </c>
      <c r="AT24" s="43">
        <f>IF(IF($B$6="Total",SUMIFS(Countries!$AL$5:$AL$434,Countries!$A$5:$A$434,$B$4,Countries!$B$5:$B$434,$B$5,Countries!$D$5:$D$434,$A24,Countries!$AS$5:$AS$434,"&gt;0"),SUMIFS(Countries!$AL$5:$AL$434,Countries!$A$5:$A$434,$B$4,Countries!$B$5:$B$434,$B$5,Countries!$C$5:$C$434,$B$6,Countries!$D$5:$D$434,$A24,Countries!$AS$5:$AS$434,"&gt;0"))=0,"",IF($B$6="Total",SUMIFS(Countries!$AS$5:$AS$434,Countries!$A$5:$A$434,$B$4,Countries!$B$5:$B$434,$B$5,Countries!$D$5:$D$434,$A24,Countries!$AL$5:$AL$434,"&gt;0"),SUMIFS(Countries!$AS$5:$AS$434,Countries!$A$5:$A$434,$B$4,Countries!$B$5:$B$434,$B$5,Countries!$C$5:$C$434,$B$6,Countries!$D$5:$D$434,$A24,Countries!$AL$5:$AL$434,"&gt;0"))/IF($B$6="Total",SUMIFS(Countries!$AL$5:$AL$434,Countries!$A$5:$A$434,$B$4,Countries!$B$5:$B$434,$B$5,Countries!$D$5:$D$434,$A24,Countries!$AS$5:$AS$434,"&gt;0"),SUMIFS(Countries!$AL$5:$AL$434,Countries!$A$5:$A$434,$B$4,Countries!$B$5:$B$434,$B$5,Countries!$C$5:$C$434,$B$6,Countries!$D$5:$D$434,$A24,Countries!$AS$5:$AS$434,"&gt;0")))</f>
        <v/>
      </c>
      <c r="AU24" s="44">
        <f>IF(OR(AT24="",AS24=""),"",(AT24-AS24)*100)</f>
        <v/>
      </c>
      <c r="AV24" s="45">
        <f>IF(IF($B$6="Total",SUMIFS(Countries!$P$5:$P$434,Countries!$A$5:$A$434,$B$4,Countries!$B$5:$B$434,$B$5,Countries!$D$5:$D$434,$A24,Countries!$AR$5:$AR$434,"&gt;0"),SUMIFS(Countries!$P$5:$P$434,Countries!$A$5:$A$434,$B$4,Countries!$B$5:$B$434,$B$5,Countries!$C$5:$C$434,$B$6,Countries!$D$5:$D$434,$A24,Countries!$AR$5:$AR$434,"&gt;0"))=0,"",IF($B$6="Total",SUMIFS(Countries!$AR$5:$AR$434,Countries!$A$5:$A$434,$B$4,Countries!$B$5:$B$434,$B$5,Countries!$D$5:$D$434,$A24,Countries!$P$5:$P$434,"&gt;0"),SUMIFS(Countries!$AR$5:$AR$434,Countries!$A$5:$A$434,$B$4,Countries!$B$5:$B$434,$B$5,Countries!$C$5:$C$434,$B$6,Countries!$D$5:$D$434,$A24,Countries!$P$5:$P$434,"&gt;0"))/IF($B$6="Total",SUMIFS(Countries!$P$5:$P$434,Countries!$A$5:$A$434,$B$4,Countries!$B$5:$B$434,$B$5,Countries!$D$5:$D$434,$A24,Countries!$AR$5:$AR$434,"&gt;0"),SUMIFS(Countries!$P$5:$P$434,Countries!$A$5:$A$434,$B$4,Countries!$B$5:$B$434,$B$5,Countries!$C$5:$C$434,$B$6,Countries!$D$5:$D$434,$A24,Countries!$AR$5:$AR$434,"&gt;0")))</f>
        <v/>
      </c>
      <c r="AW24" s="45">
        <f>IF(IF($B$6="Total",SUMIFS(Countries!$Q$5:$Q$434,Countries!$A$5:$A$434,$B$4,Countries!$B$5:$B$434,$B$5,Countries!$D$5:$D$434,$A24,Countries!$AS$5:$AS$434,"&gt;0"),SUMIFS(Countries!$Q$5:$Q$434,Countries!$A$5:$A$434,$B$4,Countries!$B$5:$B$434,$B$5,Countries!$C$5:$C$434,$B$6,Countries!$D$5:$D$434,$A24,Countries!$AS$5:$AS$434,"&gt;0"))=0,"",IF($B$6="Total",SUMIFS(Countries!$AS$5:$AS$434,Countries!$A$5:$A$434,$B$4,Countries!$B$5:$B$434,$B$5,Countries!$D$5:$D$434,$A24,Countries!$Q$5:$Q$434,"&gt;0"),SUMIFS(Countries!$AS$5:$AS$434,Countries!$A$5:$A$434,$B$4,Countries!$B$5:$B$434,$B$5,Countries!$C$5:$C$434,$B$6,Countries!$D$5:$D$434,$A24,Countries!$Q$5:$Q$434,"&gt;0"))/IF($B$6="Total",SUMIFS(Countries!$Q$5:$Q$434,Countries!$A$5:$A$434,$B$4,Countries!$B$5:$B$434,$B$5,Countries!$D$5:$D$434,$A24,Countries!$AS$5:$AS$434,"&gt;0"),SUMIFS(Countries!$Q$5:$Q$434,Countries!$A$5:$A$434,$B$4,Countries!$B$5:$B$434,$B$5,Countries!$C$5:$C$434,$B$6,Countries!$D$5:$D$434,$A24,Countries!$AS$5:$AS$434,"&gt;0")))</f>
        <v/>
      </c>
      <c r="AX24" s="44">
        <f>IF(OR(AW24="",AV24=""),"",(AW24-AV24)*100)</f>
        <v/>
      </c>
      <c r="AY24" s="45">
        <f>IF(IF($B$6="Total",SUMIFS(Countries!$E$5:$E$434,Countries!$A$5:$A$434,$B$4,Countries!$B$5:$B$434,$B$5,Countries!$D$5:$D$434,$A24,Countries!$AR$5:$AR$434,"&gt;0"),SUMIFS(Countries!$E$5:$E$434,Countries!$A$5:$A$434,$B$4,Countries!$B$5:$B$434,$B$5,Countries!$C$5:$C$434,$B$6,Countries!$D$5:$D$434,$A24,Countries!$AR$5:$AR$434,"&gt;0"))=0,"",IF($B$6="Total",SUMIFS(Countries!$AR$5:$AR$434,Countries!$A$5:$A$434,$B$4,Countries!$B$5:$B$434,$B$5,Countries!$D$5:$D$434,$A24,Countries!$E$5:$E$434,"&gt;0"),SUMIFS(Countries!$AR$5:$AR$434,Countries!$A$5:$A$434,$B$4,Countries!$B$5:$B$434,$B$5,Countries!$C$5:$C$434,$B$6,Countries!$D$5:$D$434,$A24,Countries!$E$5:$E$434,"&gt;0"))/IF($B$6="Total",SUMIFS(Countries!$E$5:$E$434,Countries!$A$5:$A$434,$B$4,Countries!$B$5:$B$434,$B$5,Countries!$D$5:$D$434,$A24,Countries!$AR$5:$AR$434,"&gt;0"),SUMIFS(Countries!$E$5:$E$434,Countries!$A$5:$A$434,$B$4,Countries!$B$5:$B$434,$B$5,Countries!$C$5:$C$434,$B$6,Countries!$D$5:$D$434,$A24,Countries!$AR$5:$AR$434,"&gt;0")))</f>
        <v/>
      </c>
      <c r="AZ24" s="45">
        <f>IF(IF($B$6="Total",SUMIFS(Countries!$F$5:$F$434,Countries!$A$5:$A$434,$B$4,Countries!$B$5:$B$434,$B$5,Countries!$D$5:$D$434,$A24,Countries!$AS$5:$AS$434,"&gt;0"),SUMIFS(Countries!$F$5:$F$434,Countries!$A$5:$A$434,$B$4,Countries!$B$5:$B$434,$B$5,Countries!$C$5:$C$434,$B$6,Countries!$D$5:$D$434,$A24,Countries!$AS$5:$AS$434,"&gt;0"))=0,"",IF($B$6="Total",SUMIFS(Countries!$AS$5:$AS$434,Countries!$A$5:$A$434,$B$4,Countries!$B$5:$B$434,$B$5,Countries!$D$5:$D$434,$A24,Countries!$F$5:$F$434,"&gt;0"),SUMIFS(Countries!$AS$5:$AS$434,Countries!$A$5:$A$434,$B$4,Countries!$B$5:$B$434,$B$5,Countries!$C$5:$C$434,$B$6,Countries!$D$5:$D$434,$A24,Countries!$F$5:$F$434,"&gt;0"))/IF($B$6="Total",SUMIFS(Countries!$F$5:$F$434,Countries!$A$5:$A$434,$B$4,Countries!$B$5:$B$434,$B$5,Countries!$D$5:$D$434,$A24,Countries!$AS$5:$AS$434,"&gt;0"),SUMIFS(Countries!$F$5:$F$434,Countries!$A$5:$A$434,$B$4,Countries!$B$5:$B$434,$B$5,Countries!$C$5:$C$434,$B$6,Countries!$D$5:$D$434,$A24,Countries!$AS$5:$AS$434,"&gt;0")))</f>
        <v/>
      </c>
      <c r="BA24" s="44">
        <f>IF(OR(AZ24="",AY24=""),"",(AZ24-AY24)*100)</f>
        <v/>
      </c>
      <c r="BB24" s="40">
        <f>IF(AND(IF($B$6="Total",COUNTIFS(Countries!$A$5:$A$434,$B$4,Countries!$B$5:$B$434,$B$5,Countries!$D$5:$D$434,$A24,Countries!$F$5:$F$434,"&gt;0"),COUNTIFS(Countries!$A$5:$A$434,$B$4,Countries!$B$5:$B$434,$B$5,Countries!$C$5:$C$434,$B$6,Countries!$D$5:$D$434,$A24,Countries!$F$5:$F$434,"&gt;0"))=0,IF($B$6="Total",COUNTIFS(Countries!$A$5:$A$434,$B$4,Countries!$B$5:$B$434,$B$5,Countries!$D$5:$D$434,$A24,Countries!$E$5:$E$434,"&gt;0"),COUNTIFS(Countries!$A$5:$A$434,$B$4,Countries!$B$5:$B$434,$B$5,Countries!$C$5:$C$434,$B$6,Countries!$D$5:$D$434,$A24,Countries!$E$5:$E$434,"&gt;0"))=0),"",IF(IF($B$6="Total",COUNTIFS(Countries!$A$5:$A$434,$B$4,Countries!$B$5:$B$434,$B$5,Countries!$D$5:$D$434,$A24,Countries!$F$5:$F$434,"&gt;0"),COUNTIFS(Countries!$A$5:$A$434,$B$4,Countries!$B$5:$B$434,$B$5,Countries!$C$5:$C$434,$B$6,Countries!$D$5:$D$434,$A24,Countries!$F$5:$F$434,"&gt;0"))=0,"1-23Aug25 rows only",IF(IF($B$6="Total",COUNTIFS(Countries!$A$5:$A$434,$B$4,Countries!$B$5:$B$434,$B$5,Countries!$D$5:$D$434,$A24,Countries!$E$5:$E$434,"&gt;0"),COUNTIFS(Countries!$A$5:$A$434,$B$4,Countries!$B$5:$B$434,$B$5,Countries!$C$5:$C$434,$B$6,Countries!$D$5:$D$434,$A24,Countries!$E$5:$E$434,"&gt;0"))=0,"1-23Aug26 rows only",IF(IF($B$6="Total",COUNTIFS(Countries!$A$5:$A$434,$B$4,Countries!$B$5:$B$434,$B$5,Countries!$D$5:$D$434,$A24,Countries!$F$5:$F$434,"&gt;0"),COUNTIFS(Countries!$A$5:$A$434,$B$4,Countries!$B$5:$B$434,$B$5,Countries!$C$5:$C$434,$B$6,Countries!$D$5:$D$434,$A24,Countries!$F$5:$F$434,"&gt;0"))=IF($B$6="Total",COUNTIFS(Countries!$A$5:$A$434,$B$4,Countries!$B$5:$B$434,$B$5,Countries!$D$5:$D$434,$A24,Countries!$E$5:$E$434,"&gt;0"),COUNTIFS(Countries!$A$5:$A$434,$B$4,Countries!$B$5:$B$434,$B$5,Countries!$C$5:$C$434,$B$6,Countries!$D$5:$D$434,$A24,Countries!$E$5:$E$434,"&gt;0")),"Like-for-like","Partial — coverage differs"))))</f>
        <v/>
      </c>
    </row>
    <row r="25">
      <c r="A25" s="40" t="inlineStr">
        <is>
          <t>Türkiye</t>
        </is>
      </c>
      <c r="B25" s="41">
        <f>IF(IF($B$6="Total",SUMIFS(Countries!$E$5:$E$434,Countries!$A$5:$A$434,$B$4,Countries!$B$5:$B$434,$B$5,Countries!$D$5:$D$434,$A25),SUMIFS(Countries!$E$5:$E$434,Countries!$A$5:$A$434,$B$4,Countries!$B$5:$B$434,$B$5,Countries!$C$5:$C$434,$B$6,Countries!$D$5:$D$434,$A25))=0,"",IF($B$6="Total",SUMIFS(Countries!$E$5:$E$434,Countries!$A$5:$A$434,$B$4,Countries!$B$5:$B$434,$B$5,Countries!$D$5:$D$434,$A25),SUMIFS(Countries!$E$5:$E$434,Countries!$A$5:$A$434,$B$4,Countries!$B$5:$B$434,$B$5,Countries!$C$5:$C$434,$B$6,Countries!$D$5:$D$434,$A25)))</f>
        <v/>
      </c>
      <c r="C25" s="41">
        <f>IF(IF($B$6="Total",SUMIFS(Countries!$F$5:$F$434,Countries!$A$5:$A$434,$B$4,Countries!$B$5:$B$434,$B$5,Countries!$D$5:$D$434,$A25),SUMIFS(Countries!$F$5:$F$434,Countries!$A$5:$A$434,$B$4,Countries!$B$5:$B$434,$B$5,Countries!$C$5:$C$434,$B$6,Countries!$D$5:$D$434,$A25))=0,"",IF($B$6="Total",SUMIFS(Countries!$F$5:$F$434,Countries!$A$5:$A$434,$B$4,Countries!$B$5:$B$434,$B$5,Countries!$D$5:$D$434,$A25),SUMIFS(Countries!$F$5:$F$434,Countries!$A$5:$A$434,$B$4,Countries!$B$5:$B$434,$B$5,Countries!$C$5:$C$434,$B$6,Countries!$D$5:$D$434,$A25)))</f>
        <v/>
      </c>
      <c r="D25" s="69">
        <f>IF(OR(C25="",B25="",B25=0,C25=0),"",C25-B25)</f>
        <v/>
      </c>
      <c r="E25" s="42">
        <f>IF(OR(C25="",B25="",B25=0,C25=0),"",C25/B25-1)</f>
        <v/>
      </c>
      <c r="F25" s="41">
        <f>IF(IF($B$6="Total",SUMIFS(Countries!$I$5:$I$434,Countries!$A$5:$A$434,$B$4,Countries!$B$5:$B$434,$B$5,Countries!$D$5:$D$434,$A25),SUMIFS(Countries!$I$5:$I$434,Countries!$A$5:$A$434,$B$4,Countries!$B$5:$B$434,$B$5,Countries!$C$5:$C$434,$B$6,Countries!$D$5:$D$434,$A25))=0,"",IF($B$6="Total",SUMIFS(Countries!$I$5:$I$434,Countries!$A$5:$A$434,$B$4,Countries!$B$5:$B$434,$B$5,Countries!$D$5:$D$434,$A25),SUMIFS(Countries!$I$5:$I$434,Countries!$A$5:$A$434,$B$4,Countries!$B$5:$B$434,$B$5,Countries!$C$5:$C$434,$B$6,Countries!$D$5:$D$434,$A25)))</f>
        <v/>
      </c>
      <c r="G25" s="41">
        <f>IF(IF($B$6="Total",SUMIFS(Countries!$J$5:$J$434,Countries!$A$5:$A$434,$B$4,Countries!$B$5:$B$434,$B$5,Countries!$D$5:$D$434,$A25),SUMIFS(Countries!$J$5:$J$434,Countries!$A$5:$A$434,$B$4,Countries!$B$5:$B$434,$B$5,Countries!$C$5:$C$434,$B$6,Countries!$D$5:$D$434,$A25))=0,"",IF($B$6="Total",SUMIFS(Countries!$J$5:$J$434,Countries!$A$5:$A$434,$B$4,Countries!$B$5:$B$434,$B$5,Countries!$D$5:$D$434,$A25),SUMIFS(Countries!$J$5:$J$434,Countries!$A$5:$A$434,$B$4,Countries!$B$5:$B$434,$B$5,Countries!$C$5:$C$434,$B$6,Countries!$D$5:$D$434,$A25)))</f>
        <v/>
      </c>
      <c r="H25" s="69">
        <f>IF(OR(G25="",F25="",F25=0,G25=0),"",G25-F25)</f>
        <v/>
      </c>
      <c r="I25" s="42">
        <f>IF(OR(G25="",F25="",F25=0,G25=0),"",G25/F25-1)</f>
        <v/>
      </c>
      <c r="J25" s="43">
        <f>IF(IF($B$6="Total",SUMIFS(Countries!$E$5:$E$434,Countries!$A$5:$A$434,$B$4,Countries!$B$5:$B$434,$B$5,Countries!$D$5:$D$434,$A25,Countries!$I$5:$I$434,"&gt;0"),SUMIFS(Countries!$E$5:$E$434,Countries!$A$5:$A$434,$B$4,Countries!$B$5:$B$434,$B$5,Countries!$C$5:$C$434,$B$6,Countries!$D$5:$D$434,$A25,Countries!$I$5:$I$434,"&gt;0"))=0,"",IF($B$6="Total",SUMIFS(Countries!$I$5:$I$434,Countries!$A$5:$A$434,$B$4,Countries!$B$5:$B$434,$B$5,Countries!$D$5:$D$434,$A25,Countries!$E$5:$E$434,"&gt;0"),SUMIFS(Countries!$I$5:$I$434,Countries!$A$5:$A$434,$B$4,Countries!$B$5:$B$434,$B$5,Countries!$C$5:$C$434,$B$6,Countries!$D$5:$D$434,$A25,Countries!$E$5:$E$434,"&gt;0"))/IF($B$6="Total",SUMIFS(Countries!$E$5:$E$434,Countries!$A$5:$A$434,$B$4,Countries!$B$5:$B$434,$B$5,Countries!$D$5:$D$434,$A25,Countries!$I$5:$I$434,"&gt;0"),SUMIFS(Countries!$E$5:$E$434,Countries!$A$5:$A$434,$B$4,Countries!$B$5:$B$434,$B$5,Countries!$C$5:$C$434,$B$6,Countries!$D$5:$D$434,$A25,Countries!$I$5:$I$434,"&gt;0")))</f>
        <v/>
      </c>
      <c r="K25" s="43">
        <f>IF(IF($B$6="Total",SUMIFS(Countries!$F$5:$F$434,Countries!$A$5:$A$434,$B$4,Countries!$B$5:$B$434,$B$5,Countries!$D$5:$D$434,$A25,Countries!$J$5:$J$434,"&gt;0"),SUMIFS(Countries!$F$5:$F$434,Countries!$A$5:$A$434,$B$4,Countries!$B$5:$B$434,$B$5,Countries!$C$5:$C$434,$B$6,Countries!$D$5:$D$434,$A25,Countries!$J$5:$J$434,"&gt;0"))=0,"",IF($B$6="Total",SUMIFS(Countries!$J$5:$J$434,Countries!$A$5:$A$434,$B$4,Countries!$B$5:$B$434,$B$5,Countries!$D$5:$D$434,$A25,Countries!$F$5:$F$434,"&gt;0"),SUMIFS(Countries!$J$5:$J$434,Countries!$A$5:$A$434,$B$4,Countries!$B$5:$B$434,$B$5,Countries!$C$5:$C$434,$B$6,Countries!$D$5:$D$434,$A25,Countries!$F$5:$F$434,"&gt;0"))/IF($B$6="Total",SUMIFS(Countries!$F$5:$F$434,Countries!$A$5:$A$434,$B$4,Countries!$B$5:$B$434,$B$5,Countries!$D$5:$D$434,$A25,Countries!$J$5:$J$434,"&gt;0"),SUMIFS(Countries!$F$5:$F$434,Countries!$A$5:$A$434,$B$4,Countries!$B$5:$B$434,$B$5,Countries!$C$5:$C$434,$B$6,Countries!$D$5:$D$434,$A25,Countries!$J$5:$J$434,"&gt;0")))</f>
        <v/>
      </c>
      <c r="L25" s="44">
        <f>IF(OR(K25="",J25=""),"",(K25-J25)*100)</f>
        <v/>
      </c>
      <c r="M25" s="41">
        <f>IF(IF($B$6="Total",SUMIFS(Countries!$P$5:$P$434,Countries!$A$5:$A$434,$B$4,Countries!$B$5:$B$434,$B$5,Countries!$D$5:$D$434,$A25),SUMIFS(Countries!$P$5:$P$434,Countries!$A$5:$A$434,$B$4,Countries!$B$5:$B$434,$B$5,Countries!$C$5:$C$434,$B$6,Countries!$D$5:$D$434,$A25))=0,"",IF($B$6="Total",SUMIFS(Countries!$P$5:$P$434,Countries!$A$5:$A$434,$B$4,Countries!$B$5:$B$434,$B$5,Countries!$D$5:$D$434,$A25),SUMIFS(Countries!$P$5:$P$434,Countries!$A$5:$A$434,$B$4,Countries!$B$5:$B$434,$B$5,Countries!$C$5:$C$434,$B$6,Countries!$D$5:$D$434,$A25)))</f>
        <v/>
      </c>
      <c r="N25" s="41">
        <f>IF(IF($B$6="Total",SUMIFS(Countries!$Q$5:$Q$434,Countries!$A$5:$A$434,$B$4,Countries!$B$5:$B$434,$B$5,Countries!$D$5:$D$434,$A25),SUMIFS(Countries!$Q$5:$Q$434,Countries!$A$5:$A$434,$B$4,Countries!$B$5:$B$434,$B$5,Countries!$C$5:$C$434,$B$6,Countries!$D$5:$D$434,$A25))=0,"",IF($B$6="Total",SUMIFS(Countries!$Q$5:$Q$434,Countries!$A$5:$A$434,$B$4,Countries!$B$5:$B$434,$B$5,Countries!$D$5:$D$434,$A25),SUMIFS(Countries!$Q$5:$Q$434,Countries!$A$5:$A$434,$B$4,Countries!$B$5:$B$434,$B$5,Countries!$C$5:$C$434,$B$6,Countries!$D$5:$D$434,$A25)))</f>
        <v/>
      </c>
      <c r="O25" s="69">
        <f>IF(OR(N25="",M25="",M25=0,N25=0),"",N25-M25)</f>
        <v/>
      </c>
      <c r="P25" s="42">
        <f>IF(OR(N25="",M25="",M25=0,N25=0),"",N25/M25-1)</f>
        <v/>
      </c>
      <c r="Q25" s="43">
        <f>IF(IF($B$6="Total",SUMIFS(Countries!$E$5:$E$434,Countries!$A$5:$A$434,$B$4,Countries!$B$5:$B$434,$B$5,Countries!$D$5:$D$434,$A25,Countries!$P$5:$P$434,"&gt;0"),SUMIFS(Countries!$E$5:$E$434,Countries!$A$5:$A$434,$B$4,Countries!$B$5:$B$434,$B$5,Countries!$C$5:$C$434,$B$6,Countries!$D$5:$D$434,$A25,Countries!$P$5:$P$434,"&gt;0"))=0,"",IF($B$6="Total",SUMIFS(Countries!$P$5:$P$434,Countries!$A$5:$A$434,$B$4,Countries!$B$5:$B$434,$B$5,Countries!$D$5:$D$434,$A25,Countries!$E$5:$E$434,"&gt;0"),SUMIFS(Countries!$P$5:$P$434,Countries!$A$5:$A$434,$B$4,Countries!$B$5:$B$434,$B$5,Countries!$C$5:$C$434,$B$6,Countries!$D$5:$D$434,$A25,Countries!$E$5:$E$434,"&gt;0"))/IF($B$6="Total",SUMIFS(Countries!$E$5:$E$434,Countries!$A$5:$A$434,$B$4,Countries!$B$5:$B$434,$B$5,Countries!$D$5:$D$434,$A25,Countries!$P$5:$P$434,"&gt;0"),SUMIFS(Countries!$E$5:$E$434,Countries!$A$5:$A$434,$B$4,Countries!$B$5:$B$434,$B$5,Countries!$C$5:$C$434,$B$6,Countries!$D$5:$D$434,$A25,Countries!$P$5:$P$434,"&gt;0")))</f>
        <v/>
      </c>
      <c r="R25" s="43">
        <f>IF(IF($B$6="Total",SUMIFS(Countries!$F$5:$F$434,Countries!$A$5:$A$434,$B$4,Countries!$B$5:$B$434,$B$5,Countries!$D$5:$D$434,$A25,Countries!$Q$5:$Q$434,"&gt;0"),SUMIFS(Countries!$F$5:$F$434,Countries!$A$5:$A$434,$B$4,Countries!$B$5:$B$434,$B$5,Countries!$C$5:$C$434,$B$6,Countries!$D$5:$D$434,$A25,Countries!$Q$5:$Q$434,"&gt;0"))=0,"",IF($B$6="Total",SUMIFS(Countries!$Q$5:$Q$434,Countries!$A$5:$A$434,$B$4,Countries!$B$5:$B$434,$B$5,Countries!$D$5:$D$434,$A25,Countries!$F$5:$F$434,"&gt;0"),SUMIFS(Countries!$Q$5:$Q$434,Countries!$A$5:$A$434,$B$4,Countries!$B$5:$B$434,$B$5,Countries!$C$5:$C$434,$B$6,Countries!$D$5:$D$434,$A25,Countries!$F$5:$F$434,"&gt;0"))/IF($B$6="Total",SUMIFS(Countries!$F$5:$F$434,Countries!$A$5:$A$434,$B$4,Countries!$B$5:$B$434,$B$5,Countries!$D$5:$D$434,$A25,Countries!$Q$5:$Q$434,"&gt;0"),SUMIFS(Countries!$F$5:$F$434,Countries!$A$5:$A$434,$B$4,Countries!$B$5:$B$434,$B$5,Countries!$C$5:$C$434,$B$6,Countries!$D$5:$D$434,$A25,Countries!$Q$5:$Q$434,"&gt;0")))</f>
        <v/>
      </c>
      <c r="S25" s="44">
        <f>IF(OR(R25="",Q25=""),"",(R25-Q25)*100)</f>
        <v/>
      </c>
      <c r="T25" s="41">
        <f>IF(IF($B$6="Total",SUMIFS(Countries!$W$5:$W$434,Countries!$A$5:$A$434,$B$4,Countries!$B$5:$B$434,$B$5,Countries!$D$5:$D$434,$A25),SUMIFS(Countries!$W$5:$W$434,Countries!$A$5:$A$434,$B$4,Countries!$B$5:$B$434,$B$5,Countries!$C$5:$C$434,$B$6,Countries!$D$5:$D$434,$A25))=0,"",IF($B$6="Total",SUMIFS(Countries!$W$5:$W$434,Countries!$A$5:$A$434,$B$4,Countries!$B$5:$B$434,$B$5,Countries!$D$5:$D$434,$A25),SUMIFS(Countries!$W$5:$W$434,Countries!$A$5:$A$434,$B$4,Countries!$B$5:$B$434,$B$5,Countries!$C$5:$C$434,$B$6,Countries!$D$5:$D$434,$A25)))</f>
        <v/>
      </c>
      <c r="U25" s="41">
        <f>IF(IF($B$6="Total",SUMIFS(Countries!$X$5:$X$434,Countries!$A$5:$A$434,$B$4,Countries!$B$5:$B$434,$B$5,Countries!$D$5:$D$434,$A25),SUMIFS(Countries!$X$5:$X$434,Countries!$A$5:$A$434,$B$4,Countries!$B$5:$B$434,$B$5,Countries!$C$5:$C$434,$B$6,Countries!$D$5:$D$434,$A25))=0,"",IF($B$6="Total",SUMIFS(Countries!$X$5:$X$434,Countries!$A$5:$A$434,$B$4,Countries!$B$5:$B$434,$B$5,Countries!$D$5:$D$434,$A25),SUMIFS(Countries!$X$5:$X$434,Countries!$A$5:$A$434,$B$4,Countries!$B$5:$B$434,$B$5,Countries!$C$5:$C$434,$B$6,Countries!$D$5:$D$434,$A25)))</f>
        <v/>
      </c>
      <c r="V25" s="69">
        <f>IF(OR(U25="",T25="",T25=0,U25=0),"",U25-T25)</f>
        <v/>
      </c>
      <c r="W25" s="42">
        <f>IF(OR(U25="",T25="",T25=0,U25=0),"",U25/T25-1)</f>
        <v/>
      </c>
      <c r="X25" s="43">
        <f>IF(IF($B$6="Total",SUMIFS(Countries!$P$5:$P$434,Countries!$A$5:$A$434,$B$4,Countries!$B$5:$B$434,$B$5,Countries!$D$5:$D$434,$A25,Countries!$W$5:$W$434,"&gt;0"),SUMIFS(Countries!$P$5:$P$434,Countries!$A$5:$A$434,$B$4,Countries!$B$5:$B$434,$B$5,Countries!$C$5:$C$434,$B$6,Countries!$D$5:$D$434,$A25,Countries!$W$5:$W$434,"&gt;0"))=0,"",IF($B$6="Total",SUMIFS(Countries!$W$5:$W$434,Countries!$A$5:$A$434,$B$4,Countries!$B$5:$B$434,$B$5,Countries!$D$5:$D$434,$A25,Countries!$P$5:$P$434,"&gt;0"),SUMIFS(Countries!$W$5:$W$434,Countries!$A$5:$A$434,$B$4,Countries!$B$5:$B$434,$B$5,Countries!$C$5:$C$434,$B$6,Countries!$D$5:$D$434,$A25,Countries!$P$5:$P$434,"&gt;0"))/IF($B$6="Total",SUMIFS(Countries!$P$5:$P$434,Countries!$A$5:$A$434,$B$4,Countries!$B$5:$B$434,$B$5,Countries!$D$5:$D$434,$A25,Countries!$W$5:$W$434,"&gt;0"),SUMIFS(Countries!$P$5:$P$434,Countries!$A$5:$A$434,$B$4,Countries!$B$5:$B$434,$B$5,Countries!$C$5:$C$434,$B$6,Countries!$D$5:$D$434,$A25,Countries!$W$5:$W$434,"&gt;0")))</f>
        <v/>
      </c>
      <c r="Y25" s="43">
        <f>IF(IF($B$6="Total",SUMIFS(Countries!$Q$5:$Q$434,Countries!$A$5:$A$434,$B$4,Countries!$B$5:$B$434,$B$5,Countries!$D$5:$D$434,$A25,Countries!$X$5:$X$434,"&gt;0"),SUMIFS(Countries!$Q$5:$Q$434,Countries!$A$5:$A$434,$B$4,Countries!$B$5:$B$434,$B$5,Countries!$C$5:$C$434,$B$6,Countries!$D$5:$D$434,$A25,Countries!$X$5:$X$434,"&gt;0"))=0,"",IF($B$6="Total",SUMIFS(Countries!$X$5:$X$434,Countries!$A$5:$A$434,$B$4,Countries!$B$5:$B$434,$B$5,Countries!$D$5:$D$434,$A25,Countries!$Q$5:$Q$434,"&gt;0"),SUMIFS(Countries!$X$5:$X$434,Countries!$A$5:$A$434,$B$4,Countries!$B$5:$B$434,$B$5,Countries!$C$5:$C$434,$B$6,Countries!$D$5:$D$434,$A25,Countries!$Q$5:$Q$434,"&gt;0"))/IF($B$6="Total",SUMIFS(Countries!$Q$5:$Q$434,Countries!$A$5:$A$434,$B$4,Countries!$B$5:$B$434,$B$5,Countries!$D$5:$D$434,$A25,Countries!$X$5:$X$434,"&gt;0"),SUMIFS(Countries!$Q$5:$Q$434,Countries!$A$5:$A$434,$B$4,Countries!$B$5:$B$434,$B$5,Countries!$C$5:$C$434,$B$6,Countries!$D$5:$D$434,$A25,Countries!$X$5:$X$434,"&gt;0")))</f>
        <v/>
      </c>
      <c r="Z25" s="44">
        <f>IF(OR(Y25="",X25=""),"",(Y25-X25)*100)</f>
        <v/>
      </c>
      <c r="AA25" s="41">
        <f>IF(IF($B$6="Total",SUMIFS(Countries!$AD$5:$AD$434,Countries!$A$5:$A$434,$B$4,Countries!$B$5:$B$434,$B$5,Countries!$D$5:$D$434,$A25),SUMIFS(Countries!$AD$5:$AD$434,Countries!$A$5:$A$434,$B$4,Countries!$B$5:$B$434,$B$5,Countries!$C$5:$C$434,$B$6,Countries!$D$5:$D$434,$A25))=0,"",IF($B$6="Total",SUMIFS(Countries!$AD$5:$AD$434,Countries!$A$5:$A$434,$B$4,Countries!$B$5:$B$434,$B$5,Countries!$D$5:$D$434,$A25),SUMIFS(Countries!$AD$5:$AD$434,Countries!$A$5:$A$434,$B$4,Countries!$B$5:$B$434,$B$5,Countries!$C$5:$C$434,$B$6,Countries!$D$5:$D$434,$A25)))</f>
        <v/>
      </c>
      <c r="AB25" s="41">
        <f>IF(IF($B$6="Total",SUMIFS(Countries!$AE$5:$AE$434,Countries!$A$5:$A$434,$B$4,Countries!$B$5:$B$434,$B$5,Countries!$D$5:$D$434,$A25),SUMIFS(Countries!$AE$5:$AE$434,Countries!$A$5:$A$434,$B$4,Countries!$B$5:$B$434,$B$5,Countries!$C$5:$C$434,$B$6,Countries!$D$5:$D$434,$A25))=0,"",IF($B$6="Total",SUMIFS(Countries!$AE$5:$AE$434,Countries!$A$5:$A$434,$B$4,Countries!$B$5:$B$434,$B$5,Countries!$D$5:$D$434,$A25),SUMIFS(Countries!$AE$5:$AE$434,Countries!$A$5:$A$434,$B$4,Countries!$B$5:$B$434,$B$5,Countries!$C$5:$C$434,$B$6,Countries!$D$5:$D$434,$A25)))</f>
        <v/>
      </c>
      <c r="AC25" s="69">
        <f>IF(OR(AB25="",AA25="",AA25=0,AB25=0),"",AB25-AA25)</f>
        <v/>
      </c>
      <c r="AD25" s="42">
        <f>IF(OR(AB25="",AA25="",AA25=0,AB25=0),"",AB25/AA25-1)</f>
        <v/>
      </c>
      <c r="AE25" s="43">
        <f>IF(IF($B$6="Total",SUMIFS(Countries!$W$5:$W$434,Countries!$A$5:$A$434,$B$4,Countries!$B$5:$B$434,$B$5,Countries!$D$5:$D$434,$A25,Countries!$AD$5:$AD$434,"&gt;0"),SUMIFS(Countries!$W$5:$W$434,Countries!$A$5:$A$434,$B$4,Countries!$B$5:$B$434,$B$5,Countries!$C$5:$C$434,$B$6,Countries!$D$5:$D$434,$A25,Countries!$AD$5:$AD$434,"&gt;0"))=0,"",IF($B$6="Total",SUMIFS(Countries!$AD$5:$AD$434,Countries!$A$5:$A$434,$B$4,Countries!$B$5:$B$434,$B$5,Countries!$D$5:$D$434,$A25,Countries!$W$5:$W$434,"&gt;0"),SUMIFS(Countries!$AD$5:$AD$434,Countries!$A$5:$A$434,$B$4,Countries!$B$5:$B$434,$B$5,Countries!$C$5:$C$434,$B$6,Countries!$D$5:$D$434,$A25,Countries!$W$5:$W$434,"&gt;0"))/IF($B$6="Total",SUMIFS(Countries!$W$5:$W$434,Countries!$A$5:$A$434,$B$4,Countries!$B$5:$B$434,$B$5,Countries!$D$5:$D$434,$A25,Countries!$AD$5:$AD$434,"&gt;0"),SUMIFS(Countries!$W$5:$W$434,Countries!$A$5:$A$434,$B$4,Countries!$B$5:$B$434,$B$5,Countries!$C$5:$C$434,$B$6,Countries!$D$5:$D$434,$A25,Countries!$AD$5:$AD$434,"&gt;0")))</f>
        <v/>
      </c>
      <c r="AF25" s="43">
        <f>IF(IF($B$6="Total",SUMIFS(Countries!$X$5:$X$434,Countries!$A$5:$A$434,$B$4,Countries!$B$5:$B$434,$B$5,Countries!$D$5:$D$434,$A25,Countries!$AE$5:$AE$434,"&gt;0"),SUMIFS(Countries!$X$5:$X$434,Countries!$A$5:$A$434,$B$4,Countries!$B$5:$B$434,$B$5,Countries!$C$5:$C$434,$B$6,Countries!$D$5:$D$434,$A25,Countries!$AE$5:$AE$434,"&gt;0"))=0,"",IF($B$6="Total",SUMIFS(Countries!$AE$5:$AE$434,Countries!$A$5:$A$434,$B$4,Countries!$B$5:$B$434,$B$5,Countries!$D$5:$D$434,$A25,Countries!$X$5:$X$434,"&gt;0"),SUMIFS(Countries!$AE$5:$AE$434,Countries!$A$5:$A$434,$B$4,Countries!$B$5:$B$434,$B$5,Countries!$C$5:$C$434,$B$6,Countries!$D$5:$D$434,$A25,Countries!$X$5:$X$434,"&gt;0"))/IF($B$6="Total",SUMIFS(Countries!$X$5:$X$434,Countries!$A$5:$A$434,$B$4,Countries!$B$5:$B$434,$B$5,Countries!$D$5:$D$434,$A25,Countries!$AE$5:$AE$434,"&gt;0"),SUMIFS(Countries!$X$5:$X$434,Countries!$A$5:$A$434,$B$4,Countries!$B$5:$B$434,$B$5,Countries!$C$5:$C$434,$B$6,Countries!$D$5:$D$434,$A25,Countries!$AE$5:$AE$434,"&gt;0")))</f>
        <v/>
      </c>
      <c r="AG25" s="44">
        <f>IF(OR(AF25="",AE25=""),"",(AF25-AE25)*100)</f>
        <v/>
      </c>
      <c r="AH25" s="41">
        <f>IF(IF($B$6="Total",SUMIFS(Countries!$AK$5:$AK$434,Countries!$A$5:$A$434,$B$4,Countries!$B$5:$B$434,$B$5,Countries!$D$5:$D$434,$A25),SUMIFS(Countries!$AK$5:$AK$434,Countries!$A$5:$A$434,$B$4,Countries!$B$5:$B$434,$B$5,Countries!$C$5:$C$434,$B$6,Countries!$D$5:$D$434,$A25))=0,"",IF($B$6="Total",SUMIFS(Countries!$AK$5:$AK$434,Countries!$A$5:$A$434,$B$4,Countries!$B$5:$B$434,$B$5,Countries!$D$5:$D$434,$A25),SUMIFS(Countries!$AK$5:$AK$434,Countries!$A$5:$A$434,$B$4,Countries!$B$5:$B$434,$B$5,Countries!$C$5:$C$434,$B$6,Countries!$D$5:$D$434,$A25)))</f>
        <v/>
      </c>
      <c r="AI25" s="41">
        <f>IF(IF($B$6="Total",SUMIFS(Countries!$AL$5:$AL$434,Countries!$A$5:$A$434,$B$4,Countries!$B$5:$B$434,$B$5,Countries!$D$5:$D$434,$A25),SUMIFS(Countries!$AL$5:$AL$434,Countries!$A$5:$A$434,$B$4,Countries!$B$5:$B$434,$B$5,Countries!$C$5:$C$434,$B$6,Countries!$D$5:$D$434,$A25))=0,"",IF($B$6="Total",SUMIFS(Countries!$AL$5:$AL$434,Countries!$A$5:$A$434,$B$4,Countries!$B$5:$B$434,$B$5,Countries!$D$5:$D$434,$A25),SUMIFS(Countries!$AL$5:$AL$434,Countries!$A$5:$A$434,$B$4,Countries!$B$5:$B$434,$B$5,Countries!$C$5:$C$434,$B$6,Countries!$D$5:$D$434,$A25)))</f>
        <v/>
      </c>
      <c r="AJ25" s="69">
        <f>IF(OR(AI25="",AH25="",AH25=0,AI25=0),"",AI25-AH25)</f>
        <v/>
      </c>
      <c r="AK25" s="42">
        <f>IF(OR(AI25="",AH25="",AH25=0,AI25=0),"",AI25/AH25-1)</f>
        <v/>
      </c>
      <c r="AL25" s="43">
        <f>IF(IF($B$6="Total",SUMIFS(Countries!$AD$5:$AD$434,Countries!$A$5:$A$434,$B$4,Countries!$B$5:$B$434,$B$5,Countries!$D$5:$D$434,$A25,Countries!$AK$5:$AK$434,"&gt;0"),SUMIFS(Countries!$AD$5:$AD$434,Countries!$A$5:$A$434,$B$4,Countries!$B$5:$B$434,$B$5,Countries!$C$5:$C$434,$B$6,Countries!$D$5:$D$434,$A25,Countries!$AK$5:$AK$434,"&gt;0"))=0,"",IF($B$6="Total",SUMIFS(Countries!$AK$5:$AK$434,Countries!$A$5:$A$434,$B$4,Countries!$B$5:$B$434,$B$5,Countries!$D$5:$D$434,$A25,Countries!$AD$5:$AD$434,"&gt;0"),SUMIFS(Countries!$AK$5:$AK$434,Countries!$A$5:$A$434,$B$4,Countries!$B$5:$B$434,$B$5,Countries!$C$5:$C$434,$B$6,Countries!$D$5:$D$434,$A25,Countries!$AD$5:$AD$434,"&gt;0"))/IF($B$6="Total",SUMIFS(Countries!$AD$5:$AD$434,Countries!$A$5:$A$434,$B$4,Countries!$B$5:$B$434,$B$5,Countries!$D$5:$D$434,$A25,Countries!$AK$5:$AK$434,"&gt;0"),SUMIFS(Countries!$AD$5:$AD$434,Countries!$A$5:$A$434,$B$4,Countries!$B$5:$B$434,$B$5,Countries!$C$5:$C$434,$B$6,Countries!$D$5:$D$434,$A25,Countries!$AK$5:$AK$434,"&gt;0")))</f>
        <v/>
      </c>
      <c r="AM25" s="43">
        <f>IF(IF($B$6="Total",SUMIFS(Countries!$AE$5:$AE$434,Countries!$A$5:$A$434,$B$4,Countries!$B$5:$B$434,$B$5,Countries!$D$5:$D$434,$A25,Countries!$AL$5:$AL$434,"&gt;0"),SUMIFS(Countries!$AE$5:$AE$434,Countries!$A$5:$A$434,$B$4,Countries!$B$5:$B$434,$B$5,Countries!$C$5:$C$434,$B$6,Countries!$D$5:$D$434,$A25,Countries!$AL$5:$AL$434,"&gt;0"))=0,"",IF($B$6="Total",SUMIFS(Countries!$AL$5:$AL$434,Countries!$A$5:$A$434,$B$4,Countries!$B$5:$B$434,$B$5,Countries!$D$5:$D$434,$A25,Countries!$AE$5:$AE$434,"&gt;0"),SUMIFS(Countries!$AL$5:$AL$434,Countries!$A$5:$A$434,$B$4,Countries!$B$5:$B$434,$B$5,Countries!$C$5:$C$434,$B$6,Countries!$D$5:$D$434,$A25,Countries!$AE$5:$AE$434,"&gt;0"))/IF($B$6="Total",SUMIFS(Countries!$AE$5:$AE$434,Countries!$A$5:$A$434,$B$4,Countries!$B$5:$B$434,$B$5,Countries!$D$5:$D$434,$A25,Countries!$AL$5:$AL$434,"&gt;0"),SUMIFS(Countries!$AE$5:$AE$434,Countries!$A$5:$A$434,$B$4,Countries!$B$5:$B$434,$B$5,Countries!$C$5:$C$434,$B$6,Countries!$D$5:$D$434,$A25,Countries!$AL$5:$AL$434,"&gt;0")))</f>
        <v/>
      </c>
      <c r="AN25" s="44">
        <f>IF(OR(AM25="",AL25=""),"",(AM25-AL25)*100)</f>
        <v/>
      </c>
      <c r="AO25" s="41">
        <f>IF(IF($B$6="Total",SUMIFS(Countries!$AR$5:$AR$434,Countries!$A$5:$A$434,$B$4,Countries!$B$5:$B$434,$B$5,Countries!$D$5:$D$434,$A25),SUMIFS(Countries!$AR$5:$AR$434,Countries!$A$5:$A$434,$B$4,Countries!$B$5:$B$434,$B$5,Countries!$C$5:$C$434,$B$6,Countries!$D$5:$D$434,$A25))=0,"",IF($B$6="Total",SUMIFS(Countries!$AR$5:$AR$434,Countries!$A$5:$A$434,$B$4,Countries!$B$5:$B$434,$B$5,Countries!$D$5:$D$434,$A25),SUMIFS(Countries!$AR$5:$AR$434,Countries!$A$5:$A$434,$B$4,Countries!$B$5:$B$434,$B$5,Countries!$C$5:$C$434,$B$6,Countries!$D$5:$D$434,$A25)))</f>
        <v/>
      </c>
      <c r="AP25" s="41">
        <f>IF(IF($B$6="Total",SUMIFS(Countries!$AS$5:$AS$434,Countries!$A$5:$A$434,$B$4,Countries!$B$5:$B$434,$B$5,Countries!$D$5:$D$434,$A25),SUMIFS(Countries!$AS$5:$AS$434,Countries!$A$5:$A$434,$B$4,Countries!$B$5:$B$434,$B$5,Countries!$C$5:$C$434,$B$6,Countries!$D$5:$D$434,$A25))=0,"",IF($B$6="Total",SUMIFS(Countries!$AS$5:$AS$434,Countries!$A$5:$A$434,$B$4,Countries!$B$5:$B$434,$B$5,Countries!$D$5:$D$434,$A25),SUMIFS(Countries!$AS$5:$AS$434,Countries!$A$5:$A$434,$B$4,Countries!$B$5:$B$434,$B$5,Countries!$C$5:$C$434,$B$6,Countries!$D$5:$D$434,$A25)))</f>
        <v/>
      </c>
      <c r="AQ25" s="69">
        <f>IF(OR(AP25="",AO25="",AO25=0,AP25=0),"",AP25-AO25)</f>
        <v/>
      </c>
      <c r="AR25" s="42">
        <f>IF(OR(AP25="",AO25="",AO25=0,AP25=0),"",AP25/AO25-1)</f>
        <v/>
      </c>
      <c r="AS25" s="43">
        <f>IF(IF($B$6="Total",SUMIFS(Countries!$AK$5:$AK$434,Countries!$A$5:$A$434,$B$4,Countries!$B$5:$B$434,$B$5,Countries!$D$5:$D$434,$A25,Countries!$AR$5:$AR$434,"&gt;0"),SUMIFS(Countries!$AK$5:$AK$434,Countries!$A$5:$A$434,$B$4,Countries!$B$5:$B$434,$B$5,Countries!$C$5:$C$434,$B$6,Countries!$D$5:$D$434,$A25,Countries!$AR$5:$AR$434,"&gt;0"))=0,"",IF($B$6="Total",SUMIFS(Countries!$AR$5:$AR$434,Countries!$A$5:$A$434,$B$4,Countries!$B$5:$B$434,$B$5,Countries!$D$5:$D$434,$A25,Countries!$AK$5:$AK$434,"&gt;0"),SUMIFS(Countries!$AR$5:$AR$434,Countries!$A$5:$A$434,$B$4,Countries!$B$5:$B$434,$B$5,Countries!$C$5:$C$434,$B$6,Countries!$D$5:$D$434,$A25,Countries!$AK$5:$AK$434,"&gt;0"))/IF($B$6="Total",SUMIFS(Countries!$AK$5:$AK$434,Countries!$A$5:$A$434,$B$4,Countries!$B$5:$B$434,$B$5,Countries!$D$5:$D$434,$A25,Countries!$AR$5:$AR$434,"&gt;0"),SUMIFS(Countries!$AK$5:$AK$434,Countries!$A$5:$A$434,$B$4,Countries!$B$5:$B$434,$B$5,Countries!$C$5:$C$434,$B$6,Countries!$D$5:$D$434,$A25,Countries!$AR$5:$AR$434,"&gt;0")))</f>
        <v/>
      </c>
      <c r="AT25" s="43">
        <f>IF(IF($B$6="Total",SUMIFS(Countries!$AL$5:$AL$434,Countries!$A$5:$A$434,$B$4,Countries!$B$5:$B$434,$B$5,Countries!$D$5:$D$434,$A25,Countries!$AS$5:$AS$434,"&gt;0"),SUMIFS(Countries!$AL$5:$AL$434,Countries!$A$5:$A$434,$B$4,Countries!$B$5:$B$434,$B$5,Countries!$C$5:$C$434,$B$6,Countries!$D$5:$D$434,$A25,Countries!$AS$5:$AS$434,"&gt;0"))=0,"",IF($B$6="Total",SUMIFS(Countries!$AS$5:$AS$434,Countries!$A$5:$A$434,$B$4,Countries!$B$5:$B$434,$B$5,Countries!$D$5:$D$434,$A25,Countries!$AL$5:$AL$434,"&gt;0"),SUMIFS(Countries!$AS$5:$AS$434,Countries!$A$5:$A$434,$B$4,Countries!$B$5:$B$434,$B$5,Countries!$C$5:$C$434,$B$6,Countries!$D$5:$D$434,$A25,Countries!$AL$5:$AL$434,"&gt;0"))/IF($B$6="Total",SUMIFS(Countries!$AL$5:$AL$434,Countries!$A$5:$A$434,$B$4,Countries!$B$5:$B$434,$B$5,Countries!$D$5:$D$434,$A25,Countries!$AS$5:$AS$434,"&gt;0"),SUMIFS(Countries!$AL$5:$AL$434,Countries!$A$5:$A$434,$B$4,Countries!$B$5:$B$434,$B$5,Countries!$C$5:$C$434,$B$6,Countries!$D$5:$D$434,$A25,Countries!$AS$5:$AS$434,"&gt;0")))</f>
        <v/>
      </c>
      <c r="AU25" s="44">
        <f>IF(OR(AT25="",AS25=""),"",(AT25-AS25)*100)</f>
        <v/>
      </c>
      <c r="AV25" s="45">
        <f>IF(IF($B$6="Total",SUMIFS(Countries!$P$5:$P$434,Countries!$A$5:$A$434,$B$4,Countries!$B$5:$B$434,$B$5,Countries!$D$5:$D$434,$A25,Countries!$AR$5:$AR$434,"&gt;0"),SUMIFS(Countries!$P$5:$P$434,Countries!$A$5:$A$434,$B$4,Countries!$B$5:$B$434,$B$5,Countries!$C$5:$C$434,$B$6,Countries!$D$5:$D$434,$A25,Countries!$AR$5:$AR$434,"&gt;0"))=0,"",IF($B$6="Total",SUMIFS(Countries!$AR$5:$AR$434,Countries!$A$5:$A$434,$B$4,Countries!$B$5:$B$434,$B$5,Countries!$D$5:$D$434,$A25,Countries!$P$5:$P$434,"&gt;0"),SUMIFS(Countries!$AR$5:$AR$434,Countries!$A$5:$A$434,$B$4,Countries!$B$5:$B$434,$B$5,Countries!$C$5:$C$434,$B$6,Countries!$D$5:$D$434,$A25,Countries!$P$5:$P$434,"&gt;0"))/IF($B$6="Total",SUMIFS(Countries!$P$5:$P$434,Countries!$A$5:$A$434,$B$4,Countries!$B$5:$B$434,$B$5,Countries!$D$5:$D$434,$A25,Countries!$AR$5:$AR$434,"&gt;0"),SUMIFS(Countries!$P$5:$P$434,Countries!$A$5:$A$434,$B$4,Countries!$B$5:$B$434,$B$5,Countries!$C$5:$C$434,$B$6,Countries!$D$5:$D$434,$A25,Countries!$AR$5:$AR$434,"&gt;0")))</f>
        <v/>
      </c>
      <c r="AW25" s="45">
        <f>IF(IF($B$6="Total",SUMIFS(Countries!$Q$5:$Q$434,Countries!$A$5:$A$434,$B$4,Countries!$B$5:$B$434,$B$5,Countries!$D$5:$D$434,$A25,Countries!$AS$5:$AS$434,"&gt;0"),SUMIFS(Countries!$Q$5:$Q$434,Countries!$A$5:$A$434,$B$4,Countries!$B$5:$B$434,$B$5,Countries!$C$5:$C$434,$B$6,Countries!$D$5:$D$434,$A25,Countries!$AS$5:$AS$434,"&gt;0"))=0,"",IF($B$6="Total",SUMIFS(Countries!$AS$5:$AS$434,Countries!$A$5:$A$434,$B$4,Countries!$B$5:$B$434,$B$5,Countries!$D$5:$D$434,$A25,Countries!$Q$5:$Q$434,"&gt;0"),SUMIFS(Countries!$AS$5:$AS$434,Countries!$A$5:$A$434,$B$4,Countries!$B$5:$B$434,$B$5,Countries!$C$5:$C$434,$B$6,Countries!$D$5:$D$434,$A25,Countries!$Q$5:$Q$434,"&gt;0"))/IF($B$6="Total",SUMIFS(Countries!$Q$5:$Q$434,Countries!$A$5:$A$434,$B$4,Countries!$B$5:$B$434,$B$5,Countries!$D$5:$D$434,$A25,Countries!$AS$5:$AS$434,"&gt;0"),SUMIFS(Countries!$Q$5:$Q$434,Countries!$A$5:$A$434,$B$4,Countries!$B$5:$B$434,$B$5,Countries!$C$5:$C$434,$B$6,Countries!$D$5:$D$434,$A25,Countries!$AS$5:$AS$434,"&gt;0")))</f>
        <v/>
      </c>
      <c r="AX25" s="44">
        <f>IF(OR(AW25="",AV25=""),"",(AW25-AV25)*100)</f>
        <v/>
      </c>
      <c r="AY25" s="45">
        <f>IF(IF($B$6="Total",SUMIFS(Countries!$E$5:$E$434,Countries!$A$5:$A$434,$B$4,Countries!$B$5:$B$434,$B$5,Countries!$D$5:$D$434,$A25,Countries!$AR$5:$AR$434,"&gt;0"),SUMIFS(Countries!$E$5:$E$434,Countries!$A$5:$A$434,$B$4,Countries!$B$5:$B$434,$B$5,Countries!$C$5:$C$434,$B$6,Countries!$D$5:$D$434,$A25,Countries!$AR$5:$AR$434,"&gt;0"))=0,"",IF($B$6="Total",SUMIFS(Countries!$AR$5:$AR$434,Countries!$A$5:$A$434,$B$4,Countries!$B$5:$B$434,$B$5,Countries!$D$5:$D$434,$A25,Countries!$E$5:$E$434,"&gt;0"),SUMIFS(Countries!$AR$5:$AR$434,Countries!$A$5:$A$434,$B$4,Countries!$B$5:$B$434,$B$5,Countries!$C$5:$C$434,$B$6,Countries!$D$5:$D$434,$A25,Countries!$E$5:$E$434,"&gt;0"))/IF($B$6="Total",SUMIFS(Countries!$E$5:$E$434,Countries!$A$5:$A$434,$B$4,Countries!$B$5:$B$434,$B$5,Countries!$D$5:$D$434,$A25,Countries!$AR$5:$AR$434,"&gt;0"),SUMIFS(Countries!$E$5:$E$434,Countries!$A$5:$A$434,$B$4,Countries!$B$5:$B$434,$B$5,Countries!$C$5:$C$434,$B$6,Countries!$D$5:$D$434,$A25,Countries!$AR$5:$AR$434,"&gt;0")))</f>
        <v/>
      </c>
      <c r="AZ25" s="45">
        <f>IF(IF($B$6="Total",SUMIFS(Countries!$F$5:$F$434,Countries!$A$5:$A$434,$B$4,Countries!$B$5:$B$434,$B$5,Countries!$D$5:$D$434,$A25,Countries!$AS$5:$AS$434,"&gt;0"),SUMIFS(Countries!$F$5:$F$434,Countries!$A$5:$A$434,$B$4,Countries!$B$5:$B$434,$B$5,Countries!$C$5:$C$434,$B$6,Countries!$D$5:$D$434,$A25,Countries!$AS$5:$AS$434,"&gt;0"))=0,"",IF($B$6="Total",SUMIFS(Countries!$AS$5:$AS$434,Countries!$A$5:$A$434,$B$4,Countries!$B$5:$B$434,$B$5,Countries!$D$5:$D$434,$A25,Countries!$F$5:$F$434,"&gt;0"),SUMIFS(Countries!$AS$5:$AS$434,Countries!$A$5:$A$434,$B$4,Countries!$B$5:$B$434,$B$5,Countries!$C$5:$C$434,$B$6,Countries!$D$5:$D$434,$A25,Countries!$F$5:$F$434,"&gt;0"))/IF($B$6="Total",SUMIFS(Countries!$F$5:$F$434,Countries!$A$5:$A$434,$B$4,Countries!$B$5:$B$434,$B$5,Countries!$D$5:$D$434,$A25,Countries!$AS$5:$AS$434,"&gt;0"),SUMIFS(Countries!$F$5:$F$434,Countries!$A$5:$A$434,$B$4,Countries!$B$5:$B$434,$B$5,Countries!$C$5:$C$434,$B$6,Countries!$D$5:$D$434,$A25,Countries!$AS$5:$AS$434,"&gt;0")))</f>
        <v/>
      </c>
      <c r="BA25" s="44">
        <f>IF(OR(AZ25="",AY25=""),"",(AZ25-AY25)*100)</f>
        <v/>
      </c>
      <c r="BB25" s="40">
        <f>IF(AND(IF($B$6="Total",COUNTIFS(Countries!$A$5:$A$434,$B$4,Countries!$B$5:$B$434,$B$5,Countries!$D$5:$D$434,$A25,Countries!$F$5:$F$434,"&gt;0"),COUNTIFS(Countries!$A$5:$A$434,$B$4,Countries!$B$5:$B$434,$B$5,Countries!$C$5:$C$434,$B$6,Countries!$D$5:$D$434,$A25,Countries!$F$5:$F$434,"&gt;0"))=0,IF($B$6="Total",COUNTIFS(Countries!$A$5:$A$434,$B$4,Countries!$B$5:$B$434,$B$5,Countries!$D$5:$D$434,$A25,Countries!$E$5:$E$434,"&gt;0"),COUNTIFS(Countries!$A$5:$A$434,$B$4,Countries!$B$5:$B$434,$B$5,Countries!$C$5:$C$434,$B$6,Countries!$D$5:$D$434,$A25,Countries!$E$5:$E$434,"&gt;0"))=0),"",IF(IF($B$6="Total",COUNTIFS(Countries!$A$5:$A$434,$B$4,Countries!$B$5:$B$434,$B$5,Countries!$D$5:$D$434,$A25,Countries!$F$5:$F$434,"&gt;0"),COUNTIFS(Countries!$A$5:$A$434,$B$4,Countries!$B$5:$B$434,$B$5,Countries!$C$5:$C$434,$B$6,Countries!$D$5:$D$434,$A25,Countries!$F$5:$F$434,"&gt;0"))=0,"1-23Aug25 rows only",IF(IF($B$6="Total",COUNTIFS(Countries!$A$5:$A$434,$B$4,Countries!$B$5:$B$434,$B$5,Countries!$D$5:$D$434,$A25,Countries!$E$5:$E$434,"&gt;0"),COUNTIFS(Countries!$A$5:$A$434,$B$4,Countries!$B$5:$B$434,$B$5,Countries!$C$5:$C$434,$B$6,Countries!$D$5:$D$434,$A25,Countries!$E$5:$E$434,"&gt;0"))=0,"1-23Aug26 rows only",IF(IF($B$6="Total",COUNTIFS(Countries!$A$5:$A$434,$B$4,Countries!$B$5:$B$434,$B$5,Countries!$D$5:$D$434,$A25,Countries!$F$5:$F$434,"&gt;0"),COUNTIFS(Countries!$A$5:$A$434,$B$4,Countries!$B$5:$B$434,$B$5,Countries!$C$5:$C$434,$B$6,Countries!$D$5:$D$434,$A25,Countries!$F$5:$F$434,"&gt;0"))=IF($B$6="Total",COUNTIFS(Countries!$A$5:$A$434,$B$4,Countries!$B$5:$B$434,$B$5,Countries!$D$5:$D$434,$A25,Countries!$E$5:$E$434,"&gt;0"),COUNTIFS(Countries!$A$5:$A$434,$B$4,Countries!$B$5:$B$434,$B$5,Countries!$C$5:$C$434,$B$6,Countries!$D$5:$D$434,$A25,Countries!$E$5:$E$434,"&gt;0")),"Like-for-like","Partial — coverage differs"))))</f>
        <v/>
      </c>
    </row>
    <row r="26">
      <c r="A26" s="56" t="inlineStr">
        <is>
          <t>Australia</t>
        </is>
      </c>
      <c r="B26" s="41">
        <f>IF(IF($B$6="Total",SUMIFS(Countries!$E$5:$E$434,Countries!$A$5:$A$434,$B$4,Countries!$B$5:$B$434,$B$5,Countries!$D$5:$D$434,$A26),SUMIFS(Countries!$E$5:$E$434,Countries!$A$5:$A$434,$B$4,Countries!$B$5:$B$434,$B$5,Countries!$C$5:$C$434,$B$6,Countries!$D$5:$D$434,$A26))=0,"",IF($B$6="Total",SUMIFS(Countries!$E$5:$E$434,Countries!$A$5:$A$434,$B$4,Countries!$B$5:$B$434,$B$5,Countries!$D$5:$D$434,$A26),SUMIFS(Countries!$E$5:$E$434,Countries!$A$5:$A$434,$B$4,Countries!$B$5:$B$434,$B$5,Countries!$C$5:$C$434,$B$6,Countries!$D$5:$D$434,$A26)))</f>
        <v/>
      </c>
      <c r="C26" s="41">
        <f>IF(IF($B$6="Total",SUMIFS(Countries!$F$5:$F$434,Countries!$A$5:$A$434,$B$4,Countries!$B$5:$B$434,$B$5,Countries!$D$5:$D$434,$A26),SUMIFS(Countries!$F$5:$F$434,Countries!$A$5:$A$434,$B$4,Countries!$B$5:$B$434,$B$5,Countries!$C$5:$C$434,$B$6,Countries!$D$5:$D$434,$A26))=0,"",IF($B$6="Total",SUMIFS(Countries!$F$5:$F$434,Countries!$A$5:$A$434,$B$4,Countries!$B$5:$B$434,$B$5,Countries!$D$5:$D$434,$A26),SUMIFS(Countries!$F$5:$F$434,Countries!$A$5:$A$434,$B$4,Countries!$B$5:$B$434,$B$5,Countries!$C$5:$C$434,$B$6,Countries!$D$5:$D$434,$A26)))</f>
        <v/>
      </c>
      <c r="D26" s="69">
        <f>IF(OR(C26="",B26="",B26=0,C26=0),"",C26-B26)</f>
        <v/>
      </c>
      <c r="E26" s="42">
        <f>IF(OR(C26="",B26="",B26=0,C26=0),"",C26/B26-1)</f>
        <v/>
      </c>
      <c r="F26" s="41">
        <f>IF(IF($B$6="Total",SUMIFS(Countries!$I$5:$I$434,Countries!$A$5:$A$434,$B$4,Countries!$B$5:$B$434,$B$5,Countries!$D$5:$D$434,$A26),SUMIFS(Countries!$I$5:$I$434,Countries!$A$5:$A$434,$B$4,Countries!$B$5:$B$434,$B$5,Countries!$C$5:$C$434,$B$6,Countries!$D$5:$D$434,$A26))=0,"",IF($B$6="Total",SUMIFS(Countries!$I$5:$I$434,Countries!$A$5:$A$434,$B$4,Countries!$B$5:$B$434,$B$5,Countries!$D$5:$D$434,$A26),SUMIFS(Countries!$I$5:$I$434,Countries!$A$5:$A$434,$B$4,Countries!$B$5:$B$434,$B$5,Countries!$C$5:$C$434,$B$6,Countries!$D$5:$D$434,$A26)))</f>
        <v/>
      </c>
      <c r="G26" s="41">
        <f>IF(IF($B$6="Total",SUMIFS(Countries!$J$5:$J$434,Countries!$A$5:$A$434,$B$4,Countries!$B$5:$B$434,$B$5,Countries!$D$5:$D$434,$A26),SUMIFS(Countries!$J$5:$J$434,Countries!$A$5:$A$434,$B$4,Countries!$B$5:$B$434,$B$5,Countries!$C$5:$C$434,$B$6,Countries!$D$5:$D$434,$A26))=0,"",IF($B$6="Total",SUMIFS(Countries!$J$5:$J$434,Countries!$A$5:$A$434,$B$4,Countries!$B$5:$B$434,$B$5,Countries!$D$5:$D$434,$A26),SUMIFS(Countries!$J$5:$J$434,Countries!$A$5:$A$434,$B$4,Countries!$B$5:$B$434,$B$5,Countries!$C$5:$C$434,$B$6,Countries!$D$5:$D$434,$A26)))</f>
        <v/>
      </c>
      <c r="H26" s="69">
        <f>IF(OR(G26="",F26="",F26=0,G26=0),"",G26-F26)</f>
        <v/>
      </c>
      <c r="I26" s="42">
        <f>IF(OR(G26="",F26="",F26=0,G26=0),"",G26/F26-1)</f>
        <v/>
      </c>
      <c r="J26" s="43">
        <f>IF(IF($B$6="Total",SUMIFS(Countries!$E$5:$E$434,Countries!$A$5:$A$434,$B$4,Countries!$B$5:$B$434,$B$5,Countries!$D$5:$D$434,$A26,Countries!$I$5:$I$434,"&gt;0"),SUMIFS(Countries!$E$5:$E$434,Countries!$A$5:$A$434,$B$4,Countries!$B$5:$B$434,$B$5,Countries!$C$5:$C$434,$B$6,Countries!$D$5:$D$434,$A26,Countries!$I$5:$I$434,"&gt;0"))=0,"",IF($B$6="Total",SUMIFS(Countries!$I$5:$I$434,Countries!$A$5:$A$434,$B$4,Countries!$B$5:$B$434,$B$5,Countries!$D$5:$D$434,$A26,Countries!$E$5:$E$434,"&gt;0"),SUMIFS(Countries!$I$5:$I$434,Countries!$A$5:$A$434,$B$4,Countries!$B$5:$B$434,$B$5,Countries!$C$5:$C$434,$B$6,Countries!$D$5:$D$434,$A26,Countries!$E$5:$E$434,"&gt;0"))/IF($B$6="Total",SUMIFS(Countries!$E$5:$E$434,Countries!$A$5:$A$434,$B$4,Countries!$B$5:$B$434,$B$5,Countries!$D$5:$D$434,$A26,Countries!$I$5:$I$434,"&gt;0"),SUMIFS(Countries!$E$5:$E$434,Countries!$A$5:$A$434,$B$4,Countries!$B$5:$B$434,$B$5,Countries!$C$5:$C$434,$B$6,Countries!$D$5:$D$434,$A26,Countries!$I$5:$I$434,"&gt;0")))</f>
        <v/>
      </c>
      <c r="K26" s="43">
        <f>IF(IF($B$6="Total",SUMIFS(Countries!$F$5:$F$434,Countries!$A$5:$A$434,$B$4,Countries!$B$5:$B$434,$B$5,Countries!$D$5:$D$434,$A26,Countries!$J$5:$J$434,"&gt;0"),SUMIFS(Countries!$F$5:$F$434,Countries!$A$5:$A$434,$B$4,Countries!$B$5:$B$434,$B$5,Countries!$C$5:$C$434,$B$6,Countries!$D$5:$D$434,$A26,Countries!$J$5:$J$434,"&gt;0"))=0,"",IF($B$6="Total",SUMIFS(Countries!$J$5:$J$434,Countries!$A$5:$A$434,$B$4,Countries!$B$5:$B$434,$B$5,Countries!$D$5:$D$434,$A26,Countries!$F$5:$F$434,"&gt;0"),SUMIFS(Countries!$J$5:$J$434,Countries!$A$5:$A$434,$B$4,Countries!$B$5:$B$434,$B$5,Countries!$C$5:$C$434,$B$6,Countries!$D$5:$D$434,$A26,Countries!$F$5:$F$434,"&gt;0"))/IF($B$6="Total",SUMIFS(Countries!$F$5:$F$434,Countries!$A$5:$A$434,$B$4,Countries!$B$5:$B$434,$B$5,Countries!$D$5:$D$434,$A26,Countries!$J$5:$J$434,"&gt;0"),SUMIFS(Countries!$F$5:$F$434,Countries!$A$5:$A$434,$B$4,Countries!$B$5:$B$434,$B$5,Countries!$C$5:$C$434,$B$6,Countries!$D$5:$D$434,$A26,Countries!$J$5:$J$434,"&gt;0")))</f>
        <v/>
      </c>
      <c r="L26" s="44">
        <f>IF(OR(K26="",J26=""),"",(K26-J26)*100)</f>
        <v/>
      </c>
      <c r="M26" s="41">
        <f>IF(IF($B$6="Total",SUMIFS(Countries!$P$5:$P$434,Countries!$A$5:$A$434,$B$4,Countries!$B$5:$B$434,$B$5,Countries!$D$5:$D$434,$A26),SUMIFS(Countries!$P$5:$P$434,Countries!$A$5:$A$434,$B$4,Countries!$B$5:$B$434,$B$5,Countries!$C$5:$C$434,$B$6,Countries!$D$5:$D$434,$A26))=0,"",IF($B$6="Total",SUMIFS(Countries!$P$5:$P$434,Countries!$A$5:$A$434,$B$4,Countries!$B$5:$B$434,$B$5,Countries!$D$5:$D$434,$A26),SUMIFS(Countries!$P$5:$P$434,Countries!$A$5:$A$434,$B$4,Countries!$B$5:$B$434,$B$5,Countries!$C$5:$C$434,$B$6,Countries!$D$5:$D$434,$A26)))</f>
        <v/>
      </c>
      <c r="N26" s="41">
        <f>IF(IF($B$6="Total",SUMIFS(Countries!$Q$5:$Q$434,Countries!$A$5:$A$434,$B$4,Countries!$B$5:$B$434,$B$5,Countries!$D$5:$D$434,$A26),SUMIFS(Countries!$Q$5:$Q$434,Countries!$A$5:$A$434,$B$4,Countries!$B$5:$B$434,$B$5,Countries!$C$5:$C$434,$B$6,Countries!$D$5:$D$434,$A26))=0,"",IF($B$6="Total",SUMIFS(Countries!$Q$5:$Q$434,Countries!$A$5:$A$434,$B$4,Countries!$B$5:$B$434,$B$5,Countries!$D$5:$D$434,$A26),SUMIFS(Countries!$Q$5:$Q$434,Countries!$A$5:$A$434,$B$4,Countries!$B$5:$B$434,$B$5,Countries!$C$5:$C$434,$B$6,Countries!$D$5:$D$434,$A26)))</f>
        <v/>
      </c>
      <c r="O26" s="69">
        <f>IF(OR(N26="",M26="",M26=0,N26=0),"",N26-M26)</f>
        <v/>
      </c>
      <c r="P26" s="42">
        <f>IF(OR(N26="",M26="",M26=0,N26=0),"",N26/M26-1)</f>
        <v/>
      </c>
      <c r="Q26" s="43">
        <f>IF(IF($B$6="Total",SUMIFS(Countries!$E$5:$E$434,Countries!$A$5:$A$434,$B$4,Countries!$B$5:$B$434,$B$5,Countries!$D$5:$D$434,$A26,Countries!$P$5:$P$434,"&gt;0"),SUMIFS(Countries!$E$5:$E$434,Countries!$A$5:$A$434,$B$4,Countries!$B$5:$B$434,$B$5,Countries!$C$5:$C$434,$B$6,Countries!$D$5:$D$434,$A26,Countries!$P$5:$P$434,"&gt;0"))=0,"",IF($B$6="Total",SUMIFS(Countries!$P$5:$P$434,Countries!$A$5:$A$434,$B$4,Countries!$B$5:$B$434,$B$5,Countries!$D$5:$D$434,$A26,Countries!$E$5:$E$434,"&gt;0"),SUMIFS(Countries!$P$5:$P$434,Countries!$A$5:$A$434,$B$4,Countries!$B$5:$B$434,$B$5,Countries!$C$5:$C$434,$B$6,Countries!$D$5:$D$434,$A26,Countries!$E$5:$E$434,"&gt;0"))/IF($B$6="Total",SUMIFS(Countries!$E$5:$E$434,Countries!$A$5:$A$434,$B$4,Countries!$B$5:$B$434,$B$5,Countries!$D$5:$D$434,$A26,Countries!$P$5:$P$434,"&gt;0"),SUMIFS(Countries!$E$5:$E$434,Countries!$A$5:$A$434,$B$4,Countries!$B$5:$B$434,$B$5,Countries!$C$5:$C$434,$B$6,Countries!$D$5:$D$434,$A26,Countries!$P$5:$P$434,"&gt;0")))</f>
        <v/>
      </c>
      <c r="R26" s="43">
        <f>IF(IF($B$6="Total",SUMIFS(Countries!$F$5:$F$434,Countries!$A$5:$A$434,$B$4,Countries!$B$5:$B$434,$B$5,Countries!$D$5:$D$434,$A26,Countries!$Q$5:$Q$434,"&gt;0"),SUMIFS(Countries!$F$5:$F$434,Countries!$A$5:$A$434,$B$4,Countries!$B$5:$B$434,$B$5,Countries!$C$5:$C$434,$B$6,Countries!$D$5:$D$434,$A26,Countries!$Q$5:$Q$434,"&gt;0"))=0,"",IF($B$6="Total",SUMIFS(Countries!$Q$5:$Q$434,Countries!$A$5:$A$434,$B$4,Countries!$B$5:$B$434,$B$5,Countries!$D$5:$D$434,$A26,Countries!$F$5:$F$434,"&gt;0"),SUMIFS(Countries!$Q$5:$Q$434,Countries!$A$5:$A$434,$B$4,Countries!$B$5:$B$434,$B$5,Countries!$C$5:$C$434,$B$6,Countries!$D$5:$D$434,$A26,Countries!$F$5:$F$434,"&gt;0"))/IF($B$6="Total",SUMIFS(Countries!$F$5:$F$434,Countries!$A$5:$A$434,$B$4,Countries!$B$5:$B$434,$B$5,Countries!$D$5:$D$434,$A26,Countries!$Q$5:$Q$434,"&gt;0"),SUMIFS(Countries!$F$5:$F$434,Countries!$A$5:$A$434,$B$4,Countries!$B$5:$B$434,$B$5,Countries!$C$5:$C$434,$B$6,Countries!$D$5:$D$434,$A26,Countries!$Q$5:$Q$434,"&gt;0")))</f>
        <v/>
      </c>
      <c r="S26" s="44">
        <f>IF(OR(R26="",Q26=""),"",(R26-Q26)*100)</f>
        <v/>
      </c>
      <c r="T26" s="41">
        <f>IF(IF($B$6="Total",SUMIFS(Countries!$W$5:$W$434,Countries!$A$5:$A$434,$B$4,Countries!$B$5:$B$434,$B$5,Countries!$D$5:$D$434,$A26),SUMIFS(Countries!$W$5:$W$434,Countries!$A$5:$A$434,$B$4,Countries!$B$5:$B$434,$B$5,Countries!$C$5:$C$434,$B$6,Countries!$D$5:$D$434,$A26))=0,"",IF($B$6="Total",SUMIFS(Countries!$W$5:$W$434,Countries!$A$5:$A$434,$B$4,Countries!$B$5:$B$434,$B$5,Countries!$D$5:$D$434,$A26),SUMIFS(Countries!$W$5:$W$434,Countries!$A$5:$A$434,$B$4,Countries!$B$5:$B$434,$B$5,Countries!$C$5:$C$434,$B$6,Countries!$D$5:$D$434,$A26)))</f>
        <v/>
      </c>
      <c r="U26" s="41">
        <f>IF(IF($B$6="Total",SUMIFS(Countries!$X$5:$X$434,Countries!$A$5:$A$434,$B$4,Countries!$B$5:$B$434,$B$5,Countries!$D$5:$D$434,$A26),SUMIFS(Countries!$X$5:$X$434,Countries!$A$5:$A$434,$B$4,Countries!$B$5:$B$434,$B$5,Countries!$C$5:$C$434,$B$6,Countries!$D$5:$D$434,$A26))=0,"",IF($B$6="Total",SUMIFS(Countries!$X$5:$X$434,Countries!$A$5:$A$434,$B$4,Countries!$B$5:$B$434,$B$5,Countries!$D$5:$D$434,$A26),SUMIFS(Countries!$X$5:$X$434,Countries!$A$5:$A$434,$B$4,Countries!$B$5:$B$434,$B$5,Countries!$C$5:$C$434,$B$6,Countries!$D$5:$D$434,$A26)))</f>
        <v/>
      </c>
      <c r="V26" s="69">
        <f>IF(OR(U26="",T26="",T26=0,U26=0),"",U26-T26)</f>
        <v/>
      </c>
      <c r="W26" s="42">
        <f>IF(OR(U26="",T26="",T26=0,U26=0),"",U26/T26-1)</f>
        <v/>
      </c>
      <c r="X26" s="43">
        <f>IF(IF($B$6="Total",SUMIFS(Countries!$P$5:$P$434,Countries!$A$5:$A$434,$B$4,Countries!$B$5:$B$434,$B$5,Countries!$D$5:$D$434,$A26,Countries!$W$5:$W$434,"&gt;0"),SUMIFS(Countries!$P$5:$P$434,Countries!$A$5:$A$434,$B$4,Countries!$B$5:$B$434,$B$5,Countries!$C$5:$C$434,$B$6,Countries!$D$5:$D$434,$A26,Countries!$W$5:$W$434,"&gt;0"))=0,"",IF($B$6="Total",SUMIFS(Countries!$W$5:$W$434,Countries!$A$5:$A$434,$B$4,Countries!$B$5:$B$434,$B$5,Countries!$D$5:$D$434,$A26,Countries!$P$5:$P$434,"&gt;0"),SUMIFS(Countries!$W$5:$W$434,Countries!$A$5:$A$434,$B$4,Countries!$B$5:$B$434,$B$5,Countries!$C$5:$C$434,$B$6,Countries!$D$5:$D$434,$A26,Countries!$P$5:$P$434,"&gt;0"))/IF($B$6="Total",SUMIFS(Countries!$P$5:$P$434,Countries!$A$5:$A$434,$B$4,Countries!$B$5:$B$434,$B$5,Countries!$D$5:$D$434,$A26,Countries!$W$5:$W$434,"&gt;0"),SUMIFS(Countries!$P$5:$P$434,Countries!$A$5:$A$434,$B$4,Countries!$B$5:$B$434,$B$5,Countries!$C$5:$C$434,$B$6,Countries!$D$5:$D$434,$A26,Countries!$W$5:$W$434,"&gt;0")))</f>
        <v/>
      </c>
      <c r="Y26" s="43">
        <f>IF(IF($B$6="Total",SUMIFS(Countries!$Q$5:$Q$434,Countries!$A$5:$A$434,$B$4,Countries!$B$5:$B$434,$B$5,Countries!$D$5:$D$434,$A26,Countries!$X$5:$X$434,"&gt;0"),SUMIFS(Countries!$Q$5:$Q$434,Countries!$A$5:$A$434,$B$4,Countries!$B$5:$B$434,$B$5,Countries!$C$5:$C$434,$B$6,Countries!$D$5:$D$434,$A26,Countries!$X$5:$X$434,"&gt;0"))=0,"",IF($B$6="Total",SUMIFS(Countries!$X$5:$X$434,Countries!$A$5:$A$434,$B$4,Countries!$B$5:$B$434,$B$5,Countries!$D$5:$D$434,$A26,Countries!$Q$5:$Q$434,"&gt;0"),SUMIFS(Countries!$X$5:$X$434,Countries!$A$5:$A$434,$B$4,Countries!$B$5:$B$434,$B$5,Countries!$C$5:$C$434,$B$6,Countries!$D$5:$D$434,$A26,Countries!$Q$5:$Q$434,"&gt;0"))/IF($B$6="Total",SUMIFS(Countries!$Q$5:$Q$434,Countries!$A$5:$A$434,$B$4,Countries!$B$5:$B$434,$B$5,Countries!$D$5:$D$434,$A26,Countries!$X$5:$X$434,"&gt;0"),SUMIFS(Countries!$Q$5:$Q$434,Countries!$A$5:$A$434,$B$4,Countries!$B$5:$B$434,$B$5,Countries!$C$5:$C$434,$B$6,Countries!$D$5:$D$434,$A26,Countries!$X$5:$X$434,"&gt;0")))</f>
        <v/>
      </c>
      <c r="Z26" s="44">
        <f>IF(OR(Y26="",X26=""),"",(Y26-X26)*100)</f>
        <v/>
      </c>
      <c r="AA26" s="41">
        <f>IF(IF($B$6="Total",SUMIFS(Countries!$AD$5:$AD$434,Countries!$A$5:$A$434,$B$4,Countries!$B$5:$B$434,$B$5,Countries!$D$5:$D$434,$A26),SUMIFS(Countries!$AD$5:$AD$434,Countries!$A$5:$A$434,$B$4,Countries!$B$5:$B$434,$B$5,Countries!$C$5:$C$434,$B$6,Countries!$D$5:$D$434,$A26))=0,"",IF($B$6="Total",SUMIFS(Countries!$AD$5:$AD$434,Countries!$A$5:$A$434,$B$4,Countries!$B$5:$B$434,$B$5,Countries!$D$5:$D$434,$A26),SUMIFS(Countries!$AD$5:$AD$434,Countries!$A$5:$A$434,$B$4,Countries!$B$5:$B$434,$B$5,Countries!$C$5:$C$434,$B$6,Countries!$D$5:$D$434,$A26)))</f>
        <v/>
      </c>
      <c r="AB26" s="41">
        <f>IF(IF($B$6="Total",SUMIFS(Countries!$AE$5:$AE$434,Countries!$A$5:$A$434,$B$4,Countries!$B$5:$B$434,$B$5,Countries!$D$5:$D$434,$A26),SUMIFS(Countries!$AE$5:$AE$434,Countries!$A$5:$A$434,$B$4,Countries!$B$5:$B$434,$B$5,Countries!$C$5:$C$434,$B$6,Countries!$D$5:$D$434,$A26))=0,"",IF($B$6="Total",SUMIFS(Countries!$AE$5:$AE$434,Countries!$A$5:$A$434,$B$4,Countries!$B$5:$B$434,$B$5,Countries!$D$5:$D$434,$A26),SUMIFS(Countries!$AE$5:$AE$434,Countries!$A$5:$A$434,$B$4,Countries!$B$5:$B$434,$B$5,Countries!$C$5:$C$434,$B$6,Countries!$D$5:$D$434,$A26)))</f>
        <v/>
      </c>
      <c r="AC26" s="69">
        <f>IF(OR(AB26="",AA26="",AA26=0,AB26=0),"",AB26-AA26)</f>
        <v/>
      </c>
      <c r="AD26" s="42">
        <f>IF(OR(AB26="",AA26="",AA26=0,AB26=0),"",AB26/AA26-1)</f>
        <v/>
      </c>
      <c r="AE26" s="43">
        <f>IF(IF($B$6="Total",SUMIFS(Countries!$W$5:$W$434,Countries!$A$5:$A$434,$B$4,Countries!$B$5:$B$434,$B$5,Countries!$D$5:$D$434,$A26,Countries!$AD$5:$AD$434,"&gt;0"),SUMIFS(Countries!$W$5:$W$434,Countries!$A$5:$A$434,$B$4,Countries!$B$5:$B$434,$B$5,Countries!$C$5:$C$434,$B$6,Countries!$D$5:$D$434,$A26,Countries!$AD$5:$AD$434,"&gt;0"))=0,"",IF($B$6="Total",SUMIFS(Countries!$AD$5:$AD$434,Countries!$A$5:$A$434,$B$4,Countries!$B$5:$B$434,$B$5,Countries!$D$5:$D$434,$A26,Countries!$W$5:$W$434,"&gt;0"),SUMIFS(Countries!$AD$5:$AD$434,Countries!$A$5:$A$434,$B$4,Countries!$B$5:$B$434,$B$5,Countries!$C$5:$C$434,$B$6,Countries!$D$5:$D$434,$A26,Countries!$W$5:$W$434,"&gt;0"))/IF($B$6="Total",SUMIFS(Countries!$W$5:$W$434,Countries!$A$5:$A$434,$B$4,Countries!$B$5:$B$434,$B$5,Countries!$D$5:$D$434,$A26,Countries!$AD$5:$AD$434,"&gt;0"),SUMIFS(Countries!$W$5:$W$434,Countries!$A$5:$A$434,$B$4,Countries!$B$5:$B$434,$B$5,Countries!$C$5:$C$434,$B$6,Countries!$D$5:$D$434,$A26,Countries!$AD$5:$AD$434,"&gt;0")))</f>
        <v/>
      </c>
      <c r="AF26" s="43">
        <f>IF(IF($B$6="Total",SUMIFS(Countries!$X$5:$X$434,Countries!$A$5:$A$434,$B$4,Countries!$B$5:$B$434,$B$5,Countries!$D$5:$D$434,$A26,Countries!$AE$5:$AE$434,"&gt;0"),SUMIFS(Countries!$X$5:$X$434,Countries!$A$5:$A$434,$B$4,Countries!$B$5:$B$434,$B$5,Countries!$C$5:$C$434,$B$6,Countries!$D$5:$D$434,$A26,Countries!$AE$5:$AE$434,"&gt;0"))=0,"",IF($B$6="Total",SUMIFS(Countries!$AE$5:$AE$434,Countries!$A$5:$A$434,$B$4,Countries!$B$5:$B$434,$B$5,Countries!$D$5:$D$434,$A26,Countries!$X$5:$X$434,"&gt;0"),SUMIFS(Countries!$AE$5:$AE$434,Countries!$A$5:$A$434,$B$4,Countries!$B$5:$B$434,$B$5,Countries!$C$5:$C$434,$B$6,Countries!$D$5:$D$434,$A26,Countries!$X$5:$X$434,"&gt;0"))/IF($B$6="Total",SUMIFS(Countries!$X$5:$X$434,Countries!$A$5:$A$434,$B$4,Countries!$B$5:$B$434,$B$5,Countries!$D$5:$D$434,$A26,Countries!$AE$5:$AE$434,"&gt;0"),SUMIFS(Countries!$X$5:$X$434,Countries!$A$5:$A$434,$B$4,Countries!$B$5:$B$434,$B$5,Countries!$C$5:$C$434,$B$6,Countries!$D$5:$D$434,$A26,Countries!$AE$5:$AE$434,"&gt;0")))</f>
        <v/>
      </c>
      <c r="AG26" s="44">
        <f>IF(OR(AF26="",AE26=""),"",(AF26-AE26)*100)</f>
        <v/>
      </c>
      <c r="AH26" s="41">
        <f>IF(IF($B$6="Total",SUMIFS(Countries!$AK$5:$AK$434,Countries!$A$5:$A$434,$B$4,Countries!$B$5:$B$434,$B$5,Countries!$D$5:$D$434,$A26),SUMIFS(Countries!$AK$5:$AK$434,Countries!$A$5:$A$434,$B$4,Countries!$B$5:$B$434,$B$5,Countries!$C$5:$C$434,$B$6,Countries!$D$5:$D$434,$A26))=0,"",IF($B$6="Total",SUMIFS(Countries!$AK$5:$AK$434,Countries!$A$5:$A$434,$B$4,Countries!$B$5:$B$434,$B$5,Countries!$D$5:$D$434,$A26),SUMIFS(Countries!$AK$5:$AK$434,Countries!$A$5:$A$434,$B$4,Countries!$B$5:$B$434,$B$5,Countries!$C$5:$C$434,$B$6,Countries!$D$5:$D$434,$A26)))</f>
        <v/>
      </c>
      <c r="AI26" s="41">
        <f>IF(IF($B$6="Total",SUMIFS(Countries!$AL$5:$AL$434,Countries!$A$5:$A$434,$B$4,Countries!$B$5:$B$434,$B$5,Countries!$D$5:$D$434,$A26),SUMIFS(Countries!$AL$5:$AL$434,Countries!$A$5:$A$434,$B$4,Countries!$B$5:$B$434,$B$5,Countries!$C$5:$C$434,$B$6,Countries!$D$5:$D$434,$A26))=0,"",IF($B$6="Total",SUMIFS(Countries!$AL$5:$AL$434,Countries!$A$5:$A$434,$B$4,Countries!$B$5:$B$434,$B$5,Countries!$D$5:$D$434,$A26),SUMIFS(Countries!$AL$5:$AL$434,Countries!$A$5:$A$434,$B$4,Countries!$B$5:$B$434,$B$5,Countries!$C$5:$C$434,$B$6,Countries!$D$5:$D$434,$A26)))</f>
        <v/>
      </c>
      <c r="AJ26" s="69">
        <f>IF(OR(AI26="",AH26="",AH26=0,AI26=0),"",AI26-AH26)</f>
        <v/>
      </c>
      <c r="AK26" s="42">
        <f>IF(OR(AI26="",AH26="",AH26=0,AI26=0),"",AI26/AH26-1)</f>
        <v/>
      </c>
      <c r="AL26" s="43">
        <f>IF(IF($B$6="Total",SUMIFS(Countries!$AD$5:$AD$434,Countries!$A$5:$A$434,$B$4,Countries!$B$5:$B$434,$B$5,Countries!$D$5:$D$434,$A26,Countries!$AK$5:$AK$434,"&gt;0"),SUMIFS(Countries!$AD$5:$AD$434,Countries!$A$5:$A$434,$B$4,Countries!$B$5:$B$434,$B$5,Countries!$C$5:$C$434,$B$6,Countries!$D$5:$D$434,$A26,Countries!$AK$5:$AK$434,"&gt;0"))=0,"",IF($B$6="Total",SUMIFS(Countries!$AK$5:$AK$434,Countries!$A$5:$A$434,$B$4,Countries!$B$5:$B$434,$B$5,Countries!$D$5:$D$434,$A26,Countries!$AD$5:$AD$434,"&gt;0"),SUMIFS(Countries!$AK$5:$AK$434,Countries!$A$5:$A$434,$B$4,Countries!$B$5:$B$434,$B$5,Countries!$C$5:$C$434,$B$6,Countries!$D$5:$D$434,$A26,Countries!$AD$5:$AD$434,"&gt;0"))/IF($B$6="Total",SUMIFS(Countries!$AD$5:$AD$434,Countries!$A$5:$A$434,$B$4,Countries!$B$5:$B$434,$B$5,Countries!$D$5:$D$434,$A26,Countries!$AK$5:$AK$434,"&gt;0"),SUMIFS(Countries!$AD$5:$AD$434,Countries!$A$5:$A$434,$B$4,Countries!$B$5:$B$434,$B$5,Countries!$C$5:$C$434,$B$6,Countries!$D$5:$D$434,$A26,Countries!$AK$5:$AK$434,"&gt;0")))</f>
        <v/>
      </c>
      <c r="AM26" s="43">
        <f>IF(IF($B$6="Total",SUMIFS(Countries!$AE$5:$AE$434,Countries!$A$5:$A$434,$B$4,Countries!$B$5:$B$434,$B$5,Countries!$D$5:$D$434,$A26,Countries!$AL$5:$AL$434,"&gt;0"),SUMIFS(Countries!$AE$5:$AE$434,Countries!$A$5:$A$434,$B$4,Countries!$B$5:$B$434,$B$5,Countries!$C$5:$C$434,$B$6,Countries!$D$5:$D$434,$A26,Countries!$AL$5:$AL$434,"&gt;0"))=0,"",IF($B$6="Total",SUMIFS(Countries!$AL$5:$AL$434,Countries!$A$5:$A$434,$B$4,Countries!$B$5:$B$434,$B$5,Countries!$D$5:$D$434,$A26,Countries!$AE$5:$AE$434,"&gt;0"),SUMIFS(Countries!$AL$5:$AL$434,Countries!$A$5:$A$434,$B$4,Countries!$B$5:$B$434,$B$5,Countries!$C$5:$C$434,$B$6,Countries!$D$5:$D$434,$A26,Countries!$AE$5:$AE$434,"&gt;0"))/IF($B$6="Total",SUMIFS(Countries!$AE$5:$AE$434,Countries!$A$5:$A$434,$B$4,Countries!$B$5:$B$434,$B$5,Countries!$D$5:$D$434,$A26,Countries!$AL$5:$AL$434,"&gt;0"),SUMIFS(Countries!$AE$5:$AE$434,Countries!$A$5:$A$434,$B$4,Countries!$B$5:$B$434,$B$5,Countries!$C$5:$C$434,$B$6,Countries!$D$5:$D$434,$A26,Countries!$AL$5:$AL$434,"&gt;0")))</f>
        <v/>
      </c>
      <c r="AN26" s="44">
        <f>IF(OR(AM26="",AL26=""),"",(AM26-AL26)*100)</f>
        <v/>
      </c>
      <c r="AO26" s="41">
        <f>IF(IF($B$6="Total",SUMIFS(Countries!$AR$5:$AR$434,Countries!$A$5:$A$434,$B$4,Countries!$B$5:$B$434,$B$5,Countries!$D$5:$D$434,$A26),SUMIFS(Countries!$AR$5:$AR$434,Countries!$A$5:$A$434,$B$4,Countries!$B$5:$B$434,$B$5,Countries!$C$5:$C$434,$B$6,Countries!$D$5:$D$434,$A26))=0,"",IF($B$6="Total",SUMIFS(Countries!$AR$5:$AR$434,Countries!$A$5:$A$434,$B$4,Countries!$B$5:$B$434,$B$5,Countries!$D$5:$D$434,$A26),SUMIFS(Countries!$AR$5:$AR$434,Countries!$A$5:$A$434,$B$4,Countries!$B$5:$B$434,$B$5,Countries!$C$5:$C$434,$B$6,Countries!$D$5:$D$434,$A26)))</f>
        <v/>
      </c>
      <c r="AP26" s="41">
        <f>IF(IF($B$6="Total",SUMIFS(Countries!$AS$5:$AS$434,Countries!$A$5:$A$434,$B$4,Countries!$B$5:$B$434,$B$5,Countries!$D$5:$D$434,$A26),SUMIFS(Countries!$AS$5:$AS$434,Countries!$A$5:$A$434,$B$4,Countries!$B$5:$B$434,$B$5,Countries!$C$5:$C$434,$B$6,Countries!$D$5:$D$434,$A26))=0,"",IF($B$6="Total",SUMIFS(Countries!$AS$5:$AS$434,Countries!$A$5:$A$434,$B$4,Countries!$B$5:$B$434,$B$5,Countries!$D$5:$D$434,$A26),SUMIFS(Countries!$AS$5:$AS$434,Countries!$A$5:$A$434,$B$4,Countries!$B$5:$B$434,$B$5,Countries!$C$5:$C$434,$B$6,Countries!$D$5:$D$434,$A26)))</f>
        <v/>
      </c>
      <c r="AQ26" s="69">
        <f>IF(OR(AP26="",AO26="",AO26=0,AP26=0),"",AP26-AO26)</f>
        <v/>
      </c>
      <c r="AR26" s="42">
        <f>IF(OR(AP26="",AO26="",AO26=0,AP26=0),"",AP26/AO26-1)</f>
        <v/>
      </c>
      <c r="AS26" s="43">
        <f>IF(IF($B$6="Total",SUMIFS(Countries!$AK$5:$AK$434,Countries!$A$5:$A$434,$B$4,Countries!$B$5:$B$434,$B$5,Countries!$D$5:$D$434,$A26,Countries!$AR$5:$AR$434,"&gt;0"),SUMIFS(Countries!$AK$5:$AK$434,Countries!$A$5:$A$434,$B$4,Countries!$B$5:$B$434,$B$5,Countries!$C$5:$C$434,$B$6,Countries!$D$5:$D$434,$A26,Countries!$AR$5:$AR$434,"&gt;0"))=0,"",IF($B$6="Total",SUMIFS(Countries!$AR$5:$AR$434,Countries!$A$5:$A$434,$B$4,Countries!$B$5:$B$434,$B$5,Countries!$D$5:$D$434,$A26,Countries!$AK$5:$AK$434,"&gt;0"),SUMIFS(Countries!$AR$5:$AR$434,Countries!$A$5:$A$434,$B$4,Countries!$B$5:$B$434,$B$5,Countries!$C$5:$C$434,$B$6,Countries!$D$5:$D$434,$A26,Countries!$AK$5:$AK$434,"&gt;0"))/IF($B$6="Total",SUMIFS(Countries!$AK$5:$AK$434,Countries!$A$5:$A$434,$B$4,Countries!$B$5:$B$434,$B$5,Countries!$D$5:$D$434,$A26,Countries!$AR$5:$AR$434,"&gt;0"),SUMIFS(Countries!$AK$5:$AK$434,Countries!$A$5:$A$434,$B$4,Countries!$B$5:$B$434,$B$5,Countries!$C$5:$C$434,$B$6,Countries!$D$5:$D$434,$A26,Countries!$AR$5:$AR$434,"&gt;0")))</f>
        <v/>
      </c>
      <c r="AT26" s="43">
        <f>IF(IF($B$6="Total",SUMIFS(Countries!$AL$5:$AL$434,Countries!$A$5:$A$434,$B$4,Countries!$B$5:$B$434,$B$5,Countries!$D$5:$D$434,$A26,Countries!$AS$5:$AS$434,"&gt;0"),SUMIFS(Countries!$AL$5:$AL$434,Countries!$A$5:$A$434,$B$4,Countries!$B$5:$B$434,$B$5,Countries!$C$5:$C$434,$B$6,Countries!$D$5:$D$434,$A26,Countries!$AS$5:$AS$434,"&gt;0"))=0,"",IF($B$6="Total",SUMIFS(Countries!$AS$5:$AS$434,Countries!$A$5:$A$434,$B$4,Countries!$B$5:$B$434,$B$5,Countries!$D$5:$D$434,$A26,Countries!$AL$5:$AL$434,"&gt;0"),SUMIFS(Countries!$AS$5:$AS$434,Countries!$A$5:$A$434,$B$4,Countries!$B$5:$B$434,$B$5,Countries!$C$5:$C$434,$B$6,Countries!$D$5:$D$434,$A26,Countries!$AL$5:$AL$434,"&gt;0"))/IF($B$6="Total",SUMIFS(Countries!$AL$5:$AL$434,Countries!$A$5:$A$434,$B$4,Countries!$B$5:$B$434,$B$5,Countries!$D$5:$D$434,$A26,Countries!$AS$5:$AS$434,"&gt;0"),SUMIFS(Countries!$AL$5:$AL$434,Countries!$A$5:$A$434,$B$4,Countries!$B$5:$B$434,$B$5,Countries!$C$5:$C$434,$B$6,Countries!$D$5:$D$434,$A26,Countries!$AS$5:$AS$434,"&gt;0")))</f>
        <v/>
      </c>
      <c r="AU26" s="44">
        <f>IF(OR(AT26="",AS26=""),"",(AT26-AS26)*100)</f>
        <v/>
      </c>
      <c r="AV26" s="45">
        <f>IF(IF($B$6="Total",SUMIFS(Countries!$P$5:$P$434,Countries!$A$5:$A$434,$B$4,Countries!$B$5:$B$434,$B$5,Countries!$D$5:$D$434,$A26,Countries!$AR$5:$AR$434,"&gt;0"),SUMIFS(Countries!$P$5:$P$434,Countries!$A$5:$A$434,$B$4,Countries!$B$5:$B$434,$B$5,Countries!$C$5:$C$434,$B$6,Countries!$D$5:$D$434,$A26,Countries!$AR$5:$AR$434,"&gt;0"))=0,"",IF($B$6="Total",SUMIFS(Countries!$AR$5:$AR$434,Countries!$A$5:$A$434,$B$4,Countries!$B$5:$B$434,$B$5,Countries!$D$5:$D$434,$A26,Countries!$P$5:$P$434,"&gt;0"),SUMIFS(Countries!$AR$5:$AR$434,Countries!$A$5:$A$434,$B$4,Countries!$B$5:$B$434,$B$5,Countries!$C$5:$C$434,$B$6,Countries!$D$5:$D$434,$A26,Countries!$P$5:$P$434,"&gt;0"))/IF($B$6="Total",SUMIFS(Countries!$P$5:$P$434,Countries!$A$5:$A$434,$B$4,Countries!$B$5:$B$434,$B$5,Countries!$D$5:$D$434,$A26,Countries!$AR$5:$AR$434,"&gt;0"),SUMIFS(Countries!$P$5:$P$434,Countries!$A$5:$A$434,$B$4,Countries!$B$5:$B$434,$B$5,Countries!$C$5:$C$434,$B$6,Countries!$D$5:$D$434,$A26,Countries!$AR$5:$AR$434,"&gt;0")))</f>
        <v/>
      </c>
      <c r="AW26" s="45">
        <f>IF(IF($B$6="Total",SUMIFS(Countries!$Q$5:$Q$434,Countries!$A$5:$A$434,$B$4,Countries!$B$5:$B$434,$B$5,Countries!$D$5:$D$434,$A26,Countries!$AS$5:$AS$434,"&gt;0"),SUMIFS(Countries!$Q$5:$Q$434,Countries!$A$5:$A$434,$B$4,Countries!$B$5:$B$434,$B$5,Countries!$C$5:$C$434,$B$6,Countries!$D$5:$D$434,$A26,Countries!$AS$5:$AS$434,"&gt;0"))=0,"",IF($B$6="Total",SUMIFS(Countries!$AS$5:$AS$434,Countries!$A$5:$A$434,$B$4,Countries!$B$5:$B$434,$B$5,Countries!$D$5:$D$434,$A26,Countries!$Q$5:$Q$434,"&gt;0"),SUMIFS(Countries!$AS$5:$AS$434,Countries!$A$5:$A$434,$B$4,Countries!$B$5:$B$434,$B$5,Countries!$C$5:$C$434,$B$6,Countries!$D$5:$D$434,$A26,Countries!$Q$5:$Q$434,"&gt;0"))/IF($B$6="Total",SUMIFS(Countries!$Q$5:$Q$434,Countries!$A$5:$A$434,$B$4,Countries!$B$5:$B$434,$B$5,Countries!$D$5:$D$434,$A26,Countries!$AS$5:$AS$434,"&gt;0"),SUMIFS(Countries!$Q$5:$Q$434,Countries!$A$5:$A$434,$B$4,Countries!$B$5:$B$434,$B$5,Countries!$C$5:$C$434,$B$6,Countries!$D$5:$D$434,$A26,Countries!$AS$5:$AS$434,"&gt;0")))</f>
        <v/>
      </c>
      <c r="AX26" s="44">
        <f>IF(OR(AW26="",AV26=""),"",(AW26-AV26)*100)</f>
        <v/>
      </c>
      <c r="AY26" s="45">
        <f>IF(IF($B$6="Total",SUMIFS(Countries!$E$5:$E$434,Countries!$A$5:$A$434,$B$4,Countries!$B$5:$B$434,$B$5,Countries!$D$5:$D$434,$A26,Countries!$AR$5:$AR$434,"&gt;0"),SUMIFS(Countries!$E$5:$E$434,Countries!$A$5:$A$434,$B$4,Countries!$B$5:$B$434,$B$5,Countries!$C$5:$C$434,$B$6,Countries!$D$5:$D$434,$A26,Countries!$AR$5:$AR$434,"&gt;0"))=0,"",IF($B$6="Total",SUMIFS(Countries!$AR$5:$AR$434,Countries!$A$5:$A$434,$B$4,Countries!$B$5:$B$434,$B$5,Countries!$D$5:$D$434,$A26,Countries!$E$5:$E$434,"&gt;0"),SUMIFS(Countries!$AR$5:$AR$434,Countries!$A$5:$A$434,$B$4,Countries!$B$5:$B$434,$B$5,Countries!$C$5:$C$434,$B$6,Countries!$D$5:$D$434,$A26,Countries!$E$5:$E$434,"&gt;0"))/IF($B$6="Total",SUMIFS(Countries!$E$5:$E$434,Countries!$A$5:$A$434,$B$4,Countries!$B$5:$B$434,$B$5,Countries!$D$5:$D$434,$A26,Countries!$AR$5:$AR$434,"&gt;0"),SUMIFS(Countries!$E$5:$E$434,Countries!$A$5:$A$434,$B$4,Countries!$B$5:$B$434,$B$5,Countries!$C$5:$C$434,$B$6,Countries!$D$5:$D$434,$A26,Countries!$AR$5:$AR$434,"&gt;0")))</f>
        <v/>
      </c>
      <c r="AZ26" s="45">
        <f>IF(IF($B$6="Total",SUMIFS(Countries!$F$5:$F$434,Countries!$A$5:$A$434,$B$4,Countries!$B$5:$B$434,$B$5,Countries!$D$5:$D$434,$A26,Countries!$AS$5:$AS$434,"&gt;0"),SUMIFS(Countries!$F$5:$F$434,Countries!$A$5:$A$434,$B$4,Countries!$B$5:$B$434,$B$5,Countries!$C$5:$C$434,$B$6,Countries!$D$5:$D$434,$A26,Countries!$AS$5:$AS$434,"&gt;0"))=0,"",IF($B$6="Total",SUMIFS(Countries!$AS$5:$AS$434,Countries!$A$5:$A$434,$B$4,Countries!$B$5:$B$434,$B$5,Countries!$D$5:$D$434,$A26,Countries!$F$5:$F$434,"&gt;0"),SUMIFS(Countries!$AS$5:$AS$434,Countries!$A$5:$A$434,$B$4,Countries!$B$5:$B$434,$B$5,Countries!$C$5:$C$434,$B$6,Countries!$D$5:$D$434,$A26,Countries!$F$5:$F$434,"&gt;0"))/IF($B$6="Total",SUMIFS(Countries!$F$5:$F$434,Countries!$A$5:$A$434,$B$4,Countries!$B$5:$B$434,$B$5,Countries!$D$5:$D$434,$A26,Countries!$AS$5:$AS$434,"&gt;0"),SUMIFS(Countries!$F$5:$F$434,Countries!$A$5:$A$434,$B$4,Countries!$B$5:$B$434,$B$5,Countries!$C$5:$C$434,$B$6,Countries!$D$5:$D$434,$A26,Countries!$AS$5:$AS$434,"&gt;0")))</f>
        <v/>
      </c>
      <c r="BA26" s="44">
        <f>IF(OR(AZ26="",AY26=""),"",(AZ26-AY26)*100)</f>
        <v/>
      </c>
      <c r="BB26" s="40">
        <f>IF(AND(IF($B$6="Total",COUNTIFS(Countries!$A$5:$A$434,$B$4,Countries!$B$5:$B$434,$B$5,Countries!$D$5:$D$434,$A26,Countries!$F$5:$F$434,"&gt;0"),COUNTIFS(Countries!$A$5:$A$434,$B$4,Countries!$B$5:$B$434,$B$5,Countries!$C$5:$C$434,$B$6,Countries!$D$5:$D$434,$A26,Countries!$F$5:$F$434,"&gt;0"))=0,IF($B$6="Total",COUNTIFS(Countries!$A$5:$A$434,$B$4,Countries!$B$5:$B$434,$B$5,Countries!$D$5:$D$434,$A26,Countries!$E$5:$E$434,"&gt;0"),COUNTIFS(Countries!$A$5:$A$434,$B$4,Countries!$B$5:$B$434,$B$5,Countries!$C$5:$C$434,$B$6,Countries!$D$5:$D$434,$A26,Countries!$E$5:$E$434,"&gt;0"))=0),"",IF(IF($B$6="Total",COUNTIFS(Countries!$A$5:$A$434,$B$4,Countries!$B$5:$B$434,$B$5,Countries!$D$5:$D$434,$A26,Countries!$F$5:$F$434,"&gt;0"),COUNTIFS(Countries!$A$5:$A$434,$B$4,Countries!$B$5:$B$434,$B$5,Countries!$C$5:$C$434,$B$6,Countries!$D$5:$D$434,$A26,Countries!$F$5:$F$434,"&gt;0"))=0,"1-23Aug25 rows only",IF(IF($B$6="Total",COUNTIFS(Countries!$A$5:$A$434,$B$4,Countries!$B$5:$B$434,$B$5,Countries!$D$5:$D$434,$A26,Countries!$E$5:$E$434,"&gt;0"),COUNTIFS(Countries!$A$5:$A$434,$B$4,Countries!$B$5:$B$434,$B$5,Countries!$C$5:$C$434,$B$6,Countries!$D$5:$D$434,$A26,Countries!$E$5:$E$434,"&gt;0"))=0,"1-23Aug26 rows only",IF(IF($B$6="Total",COUNTIFS(Countries!$A$5:$A$434,$B$4,Countries!$B$5:$B$434,$B$5,Countries!$D$5:$D$434,$A26,Countries!$F$5:$F$434,"&gt;0"),COUNTIFS(Countries!$A$5:$A$434,$B$4,Countries!$B$5:$B$434,$B$5,Countries!$C$5:$C$434,$B$6,Countries!$D$5:$D$434,$A26,Countries!$F$5:$F$434,"&gt;0"))=IF($B$6="Total",COUNTIFS(Countries!$A$5:$A$434,$B$4,Countries!$B$5:$B$434,$B$5,Countries!$D$5:$D$434,$A26,Countries!$E$5:$E$434,"&gt;0"),COUNTIFS(Countries!$A$5:$A$434,$B$4,Countries!$B$5:$B$434,$B$5,Countries!$C$5:$C$434,$B$6,Countries!$D$5:$D$434,$A26,Countries!$E$5:$E$434,"&gt;0")),"Like-for-like","Partial — coverage differs"))))</f>
        <v/>
      </c>
    </row>
    <row r="27">
      <c r="A27" s="40" t="inlineStr">
        <is>
          <t>Romania</t>
        </is>
      </c>
      <c r="B27" s="41">
        <f>IF(IF($B$6="Total",SUMIFS(Countries!$E$5:$E$434,Countries!$A$5:$A$434,$B$4,Countries!$B$5:$B$434,$B$5,Countries!$D$5:$D$434,$A27),SUMIFS(Countries!$E$5:$E$434,Countries!$A$5:$A$434,$B$4,Countries!$B$5:$B$434,$B$5,Countries!$C$5:$C$434,$B$6,Countries!$D$5:$D$434,$A27))=0,"",IF($B$6="Total",SUMIFS(Countries!$E$5:$E$434,Countries!$A$5:$A$434,$B$4,Countries!$B$5:$B$434,$B$5,Countries!$D$5:$D$434,$A27),SUMIFS(Countries!$E$5:$E$434,Countries!$A$5:$A$434,$B$4,Countries!$B$5:$B$434,$B$5,Countries!$C$5:$C$434,$B$6,Countries!$D$5:$D$434,$A27)))</f>
        <v/>
      </c>
      <c r="C27" s="41">
        <f>IF(IF($B$6="Total",SUMIFS(Countries!$F$5:$F$434,Countries!$A$5:$A$434,$B$4,Countries!$B$5:$B$434,$B$5,Countries!$D$5:$D$434,$A27),SUMIFS(Countries!$F$5:$F$434,Countries!$A$5:$A$434,$B$4,Countries!$B$5:$B$434,$B$5,Countries!$C$5:$C$434,$B$6,Countries!$D$5:$D$434,$A27))=0,"",IF($B$6="Total",SUMIFS(Countries!$F$5:$F$434,Countries!$A$5:$A$434,$B$4,Countries!$B$5:$B$434,$B$5,Countries!$D$5:$D$434,$A27),SUMIFS(Countries!$F$5:$F$434,Countries!$A$5:$A$434,$B$4,Countries!$B$5:$B$434,$B$5,Countries!$C$5:$C$434,$B$6,Countries!$D$5:$D$434,$A27)))</f>
        <v/>
      </c>
      <c r="D27" s="69">
        <f>IF(OR(C27="",B27="",B27=0,C27=0),"",C27-B27)</f>
        <v/>
      </c>
      <c r="E27" s="42">
        <f>IF(OR(C27="",B27="",B27=0,C27=0),"",C27/B27-1)</f>
        <v/>
      </c>
      <c r="F27" s="41">
        <f>IF(IF($B$6="Total",SUMIFS(Countries!$I$5:$I$434,Countries!$A$5:$A$434,$B$4,Countries!$B$5:$B$434,$B$5,Countries!$D$5:$D$434,$A27),SUMIFS(Countries!$I$5:$I$434,Countries!$A$5:$A$434,$B$4,Countries!$B$5:$B$434,$B$5,Countries!$C$5:$C$434,$B$6,Countries!$D$5:$D$434,$A27))=0,"",IF($B$6="Total",SUMIFS(Countries!$I$5:$I$434,Countries!$A$5:$A$434,$B$4,Countries!$B$5:$B$434,$B$5,Countries!$D$5:$D$434,$A27),SUMIFS(Countries!$I$5:$I$434,Countries!$A$5:$A$434,$B$4,Countries!$B$5:$B$434,$B$5,Countries!$C$5:$C$434,$B$6,Countries!$D$5:$D$434,$A27)))</f>
        <v/>
      </c>
      <c r="G27" s="41">
        <f>IF(IF($B$6="Total",SUMIFS(Countries!$J$5:$J$434,Countries!$A$5:$A$434,$B$4,Countries!$B$5:$B$434,$B$5,Countries!$D$5:$D$434,$A27),SUMIFS(Countries!$J$5:$J$434,Countries!$A$5:$A$434,$B$4,Countries!$B$5:$B$434,$B$5,Countries!$C$5:$C$434,$B$6,Countries!$D$5:$D$434,$A27))=0,"",IF($B$6="Total",SUMIFS(Countries!$J$5:$J$434,Countries!$A$5:$A$434,$B$4,Countries!$B$5:$B$434,$B$5,Countries!$D$5:$D$434,$A27),SUMIFS(Countries!$J$5:$J$434,Countries!$A$5:$A$434,$B$4,Countries!$B$5:$B$434,$B$5,Countries!$C$5:$C$434,$B$6,Countries!$D$5:$D$434,$A27)))</f>
        <v/>
      </c>
      <c r="H27" s="69">
        <f>IF(OR(G27="",F27="",F27=0,G27=0),"",G27-F27)</f>
        <v/>
      </c>
      <c r="I27" s="42">
        <f>IF(OR(G27="",F27="",F27=0,G27=0),"",G27/F27-1)</f>
        <v/>
      </c>
      <c r="J27" s="43">
        <f>IF(IF($B$6="Total",SUMIFS(Countries!$E$5:$E$434,Countries!$A$5:$A$434,$B$4,Countries!$B$5:$B$434,$B$5,Countries!$D$5:$D$434,$A27,Countries!$I$5:$I$434,"&gt;0"),SUMIFS(Countries!$E$5:$E$434,Countries!$A$5:$A$434,$B$4,Countries!$B$5:$B$434,$B$5,Countries!$C$5:$C$434,$B$6,Countries!$D$5:$D$434,$A27,Countries!$I$5:$I$434,"&gt;0"))=0,"",IF($B$6="Total",SUMIFS(Countries!$I$5:$I$434,Countries!$A$5:$A$434,$B$4,Countries!$B$5:$B$434,$B$5,Countries!$D$5:$D$434,$A27,Countries!$E$5:$E$434,"&gt;0"),SUMIFS(Countries!$I$5:$I$434,Countries!$A$5:$A$434,$B$4,Countries!$B$5:$B$434,$B$5,Countries!$C$5:$C$434,$B$6,Countries!$D$5:$D$434,$A27,Countries!$E$5:$E$434,"&gt;0"))/IF($B$6="Total",SUMIFS(Countries!$E$5:$E$434,Countries!$A$5:$A$434,$B$4,Countries!$B$5:$B$434,$B$5,Countries!$D$5:$D$434,$A27,Countries!$I$5:$I$434,"&gt;0"),SUMIFS(Countries!$E$5:$E$434,Countries!$A$5:$A$434,$B$4,Countries!$B$5:$B$434,$B$5,Countries!$C$5:$C$434,$B$6,Countries!$D$5:$D$434,$A27,Countries!$I$5:$I$434,"&gt;0")))</f>
        <v/>
      </c>
      <c r="K27" s="43">
        <f>IF(IF($B$6="Total",SUMIFS(Countries!$F$5:$F$434,Countries!$A$5:$A$434,$B$4,Countries!$B$5:$B$434,$B$5,Countries!$D$5:$D$434,$A27,Countries!$J$5:$J$434,"&gt;0"),SUMIFS(Countries!$F$5:$F$434,Countries!$A$5:$A$434,$B$4,Countries!$B$5:$B$434,$B$5,Countries!$C$5:$C$434,$B$6,Countries!$D$5:$D$434,$A27,Countries!$J$5:$J$434,"&gt;0"))=0,"",IF($B$6="Total",SUMIFS(Countries!$J$5:$J$434,Countries!$A$5:$A$434,$B$4,Countries!$B$5:$B$434,$B$5,Countries!$D$5:$D$434,$A27,Countries!$F$5:$F$434,"&gt;0"),SUMIFS(Countries!$J$5:$J$434,Countries!$A$5:$A$434,$B$4,Countries!$B$5:$B$434,$B$5,Countries!$C$5:$C$434,$B$6,Countries!$D$5:$D$434,$A27,Countries!$F$5:$F$434,"&gt;0"))/IF($B$6="Total",SUMIFS(Countries!$F$5:$F$434,Countries!$A$5:$A$434,$B$4,Countries!$B$5:$B$434,$B$5,Countries!$D$5:$D$434,$A27,Countries!$J$5:$J$434,"&gt;0"),SUMIFS(Countries!$F$5:$F$434,Countries!$A$5:$A$434,$B$4,Countries!$B$5:$B$434,$B$5,Countries!$C$5:$C$434,$B$6,Countries!$D$5:$D$434,$A27,Countries!$J$5:$J$434,"&gt;0")))</f>
        <v/>
      </c>
      <c r="L27" s="44">
        <f>IF(OR(K27="",J27=""),"",(K27-J27)*100)</f>
        <v/>
      </c>
      <c r="M27" s="41">
        <f>IF(IF($B$6="Total",SUMIFS(Countries!$P$5:$P$434,Countries!$A$5:$A$434,$B$4,Countries!$B$5:$B$434,$B$5,Countries!$D$5:$D$434,$A27),SUMIFS(Countries!$P$5:$P$434,Countries!$A$5:$A$434,$B$4,Countries!$B$5:$B$434,$B$5,Countries!$C$5:$C$434,$B$6,Countries!$D$5:$D$434,$A27))=0,"",IF($B$6="Total",SUMIFS(Countries!$P$5:$P$434,Countries!$A$5:$A$434,$B$4,Countries!$B$5:$B$434,$B$5,Countries!$D$5:$D$434,$A27),SUMIFS(Countries!$P$5:$P$434,Countries!$A$5:$A$434,$B$4,Countries!$B$5:$B$434,$B$5,Countries!$C$5:$C$434,$B$6,Countries!$D$5:$D$434,$A27)))</f>
        <v/>
      </c>
      <c r="N27" s="41">
        <f>IF(IF($B$6="Total",SUMIFS(Countries!$Q$5:$Q$434,Countries!$A$5:$A$434,$B$4,Countries!$B$5:$B$434,$B$5,Countries!$D$5:$D$434,$A27),SUMIFS(Countries!$Q$5:$Q$434,Countries!$A$5:$A$434,$B$4,Countries!$B$5:$B$434,$B$5,Countries!$C$5:$C$434,$B$6,Countries!$D$5:$D$434,$A27))=0,"",IF($B$6="Total",SUMIFS(Countries!$Q$5:$Q$434,Countries!$A$5:$A$434,$B$4,Countries!$B$5:$B$434,$B$5,Countries!$D$5:$D$434,$A27),SUMIFS(Countries!$Q$5:$Q$434,Countries!$A$5:$A$434,$B$4,Countries!$B$5:$B$434,$B$5,Countries!$C$5:$C$434,$B$6,Countries!$D$5:$D$434,$A27)))</f>
        <v/>
      </c>
      <c r="O27" s="69">
        <f>IF(OR(N27="",M27="",M27=0,N27=0),"",N27-M27)</f>
        <v/>
      </c>
      <c r="P27" s="42">
        <f>IF(OR(N27="",M27="",M27=0,N27=0),"",N27/M27-1)</f>
        <v/>
      </c>
      <c r="Q27" s="43">
        <f>IF(IF($B$6="Total",SUMIFS(Countries!$E$5:$E$434,Countries!$A$5:$A$434,$B$4,Countries!$B$5:$B$434,$B$5,Countries!$D$5:$D$434,$A27,Countries!$P$5:$P$434,"&gt;0"),SUMIFS(Countries!$E$5:$E$434,Countries!$A$5:$A$434,$B$4,Countries!$B$5:$B$434,$B$5,Countries!$C$5:$C$434,$B$6,Countries!$D$5:$D$434,$A27,Countries!$P$5:$P$434,"&gt;0"))=0,"",IF($B$6="Total",SUMIFS(Countries!$P$5:$P$434,Countries!$A$5:$A$434,$B$4,Countries!$B$5:$B$434,$B$5,Countries!$D$5:$D$434,$A27,Countries!$E$5:$E$434,"&gt;0"),SUMIFS(Countries!$P$5:$P$434,Countries!$A$5:$A$434,$B$4,Countries!$B$5:$B$434,$B$5,Countries!$C$5:$C$434,$B$6,Countries!$D$5:$D$434,$A27,Countries!$E$5:$E$434,"&gt;0"))/IF($B$6="Total",SUMIFS(Countries!$E$5:$E$434,Countries!$A$5:$A$434,$B$4,Countries!$B$5:$B$434,$B$5,Countries!$D$5:$D$434,$A27,Countries!$P$5:$P$434,"&gt;0"),SUMIFS(Countries!$E$5:$E$434,Countries!$A$5:$A$434,$B$4,Countries!$B$5:$B$434,$B$5,Countries!$C$5:$C$434,$B$6,Countries!$D$5:$D$434,$A27,Countries!$P$5:$P$434,"&gt;0")))</f>
        <v/>
      </c>
      <c r="R27" s="43">
        <f>IF(IF($B$6="Total",SUMIFS(Countries!$F$5:$F$434,Countries!$A$5:$A$434,$B$4,Countries!$B$5:$B$434,$B$5,Countries!$D$5:$D$434,$A27,Countries!$Q$5:$Q$434,"&gt;0"),SUMIFS(Countries!$F$5:$F$434,Countries!$A$5:$A$434,$B$4,Countries!$B$5:$B$434,$B$5,Countries!$C$5:$C$434,$B$6,Countries!$D$5:$D$434,$A27,Countries!$Q$5:$Q$434,"&gt;0"))=0,"",IF($B$6="Total",SUMIFS(Countries!$Q$5:$Q$434,Countries!$A$5:$A$434,$B$4,Countries!$B$5:$B$434,$B$5,Countries!$D$5:$D$434,$A27,Countries!$F$5:$F$434,"&gt;0"),SUMIFS(Countries!$Q$5:$Q$434,Countries!$A$5:$A$434,$B$4,Countries!$B$5:$B$434,$B$5,Countries!$C$5:$C$434,$B$6,Countries!$D$5:$D$434,$A27,Countries!$F$5:$F$434,"&gt;0"))/IF($B$6="Total",SUMIFS(Countries!$F$5:$F$434,Countries!$A$5:$A$434,$B$4,Countries!$B$5:$B$434,$B$5,Countries!$D$5:$D$434,$A27,Countries!$Q$5:$Q$434,"&gt;0"),SUMIFS(Countries!$F$5:$F$434,Countries!$A$5:$A$434,$B$4,Countries!$B$5:$B$434,$B$5,Countries!$C$5:$C$434,$B$6,Countries!$D$5:$D$434,$A27,Countries!$Q$5:$Q$434,"&gt;0")))</f>
        <v/>
      </c>
      <c r="S27" s="44">
        <f>IF(OR(R27="",Q27=""),"",(R27-Q27)*100)</f>
        <v/>
      </c>
      <c r="T27" s="41">
        <f>IF(IF($B$6="Total",SUMIFS(Countries!$W$5:$W$434,Countries!$A$5:$A$434,$B$4,Countries!$B$5:$B$434,$B$5,Countries!$D$5:$D$434,$A27),SUMIFS(Countries!$W$5:$W$434,Countries!$A$5:$A$434,$B$4,Countries!$B$5:$B$434,$B$5,Countries!$C$5:$C$434,$B$6,Countries!$D$5:$D$434,$A27))=0,"",IF($B$6="Total",SUMIFS(Countries!$W$5:$W$434,Countries!$A$5:$A$434,$B$4,Countries!$B$5:$B$434,$B$5,Countries!$D$5:$D$434,$A27),SUMIFS(Countries!$W$5:$W$434,Countries!$A$5:$A$434,$B$4,Countries!$B$5:$B$434,$B$5,Countries!$C$5:$C$434,$B$6,Countries!$D$5:$D$434,$A27)))</f>
        <v/>
      </c>
      <c r="U27" s="41">
        <f>IF(IF($B$6="Total",SUMIFS(Countries!$X$5:$X$434,Countries!$A$5:$A$434,$B$4,Countries!$B$5:$B$434,$B$5,Countries!$D$5:$D$434,$A27),SUMIFS(Countries!$X$5:$X$434,Countries!$A$5:$A$434,$B$4,Countries!$B$5:$B$434,$B$5,Countries!$C$5:$C$434,$B$6,Countries!$D$5:$D$434,$A27))=0,"",IF($B$6="Total",SUMIFS(Countries!$X$5:$X$434,Countries!$A$5:$A$434,$B$4,Countries!$B$5:$B$434,$B$5,Countries!$D$5:$D$434,$A27),SUMIFS(Countries!$X$5:$X$434,Countries!$A$5:$A$434,$B$4,Countries!$B$5:$B$434,$B$5,Countries!$C$5:$C$434,$B$6,Countries!$D$5:$D$434,$A27)))</f>
        <v/>
      </c>
      <c r="V27" s="69">
        <f>IF(OR(U27="",T27="",T27=0,U27=0),"",U27-T27)</f>
        <v/>
      </c>
      <c r="W27" s="42">
        <f>IF(OR(U27="",T27="",T27=0,U27=0),"",U27/T27-1)</f>
        <v/>
      </c>
      <c r="X27" s="43">
        <f>IF(IF($B$6="Total",SUMIFS(Countries!$P$5:$P$434,Countries!$A$5:$A$434,$B$4,Countries!$B$5:$B$434,$B$5,Countries!$D$5:$D$434,$A27,Countries!$W$5:$W$434,"&gt;0"),SUMIFS(Countries!$P$5:$P$434,Countries!$A$5:$A$434,$B$4,Countries!$B$5:$B$434,$B$5,Countries!$C$5:$C$434,$B$6,Countries!$D$5:$D$434,$A27,Countries!$W$5:$W$434,"&gt;0"))=0,"",IF($B$6="Total",SUMIFS(Countries!$W$5:$W$434,Countries!$A$5:$A$434,$B$4,Countries!$B$5:$B$434,$B$5,Countries!$D$5:$D$434,$A27,Countries!$P$5:$P$434,"&gt;0"),SUMIFS(Countries!$W$5:$W$434,Countries!$A$5:$A$434,$B$4,Countries!$B$5:$B$434,$B$5,Countries!$C$5:$C$434,$B$6,Countries!$D$5:$D$434,$A27,Countries!$P$5:$P$434,"&gt;0"))/IF($B$6="Total",SUMIFS(Countries!$P$5:$P$434,Countries!$A$5:$A$434,$B$4,Countries!$B$5:$B$434,$B$5,Countries!$D$5:$D$434,$A27,Countries!$W$5:$W$434,"&gt;0"),SUMIFS(Countries!$P$5:$P$434,Countries!$A$5:$A$434,$B$4,Countries!$B$5:$B$434,$B$5,Countries!$C$5:$C$434,$B$6,Countries!$D$5:$D$434,$A27,Countries!$W$5:$W$434,"&gt;0")))</f>
        <v/>
      </c>
      <c r="Y27" s="43">
        <f>IF(IF($B$6="Total",SUMIFS(Countries!$Q$5:$Q$434,Countries!$A$5:$A$434,$B$4,Countries!$B$5:$B$434,$B$5,Countries!$D$5:$D$434,$A27,Countries!$X$5:$X$434,"&gt;0"),SUMIFS(Countries!$Q$5:$Q$434,Countries!$A$5:$A$434,$B$4,Countries!$B$5:$B$434,$B$5,Countries!$C$5:$C$434,$B$6,Countries!$D$5:$D$434,$A27,Countries!$X$5:$X$434,"&gt;0"))=0,"",IF($B$6="Total",SUMIFS(Countries!$X$5:$X$434,Countries!$A$5:$A$434,$B$4,Countries!$B$5:$B$434,$B$5,Countries!$D$5:$D$434,$A27,Countries!$Q$5:$Q$434,"&gt;0"),SUMIFS(Countries!$X$5:$X$434,Countries!$A$5:$A$434,$B$4,Countries!$B$5:$B$434,$B$5,Countries!$C$5:$C$434,$B$6,Countries!$D$5:$D$434,$A27,Countries!$Q$5:$Q$434,"&gt;0"))/IF($B$6="Total",SUMIFS(Countries!$Q$5:$Q$434,Countries!$A$5:$A$434,$B$4,Countries!$B$5:$B$434,$B$5,Countries!$D$5:$D$434,$A27,Countries!$X$5:$X$434,"&gt;0"),SUMIFS(Countries!$Q$5:$Q$434,Countries!$A$5:$A$434,$B$4,Countries!$B$5:$B$434,$B$5,Countries!$C$5:$C$434,$B$6,Countries!$D$5:$D$434,$A27,Countries!$X$5:$X$434,"&gt;0")))</f>
        <v/>
      </c>
      <c r="Z27" s="44">
        <f>IF(OR(Y27="",X27=""),"",(Y27-X27)*100)</f>
        <v/>
      </c>
      <c r="AA27" s="41">
        <f>IF(IF($B$6="Total",SUMIFS(Countries!$AD$5:$AD$434,Countries!$A$5:$A$434,$B$4,Countries!$B$5:$B$434,$B$5,Countries!$D$5:$D$434,$A27),SUMIFS(Countries!$AD$5:$AD$434,Countries!$A$5:$A$434,$B$4,Countries!$B$5:$B$434,$B$5,Countries!$C$5:$C$434,$B$6,Countries!$D$5:$D$434,$A27))=0,"",IF($B$6="Total",SUMIFS(Countries!$AD$5:$AD$434,Countries!$A$5:$A$434,$B$4,Countries!$B$5:$B$434,$B$5,Countries!$D$5:$D$434,$A27),SUMIFS(Countries!$AD$5:$AD$434,Countries!$A$5:$A$434,$B$4,Countries!$B$5:$B$434,$B$5,Countries!$C$5:$C$434,$B$6,Countries!$D$5:$D$434,$A27)))</f>
        <v/>
      </c>
      <c r="AB27" s="41">
        <f>IF(IF($B$6="Total",SUMIFS(Countries!$AE$5:$AE$434,Countries!$A$5:$A$434,$B$4,Countries!$B$5:$B$434,$B$5,Countries!$D$5:$D$434,$A27),SUMIFS(Countries!$AE$5:$AE$434,Countries!$A$5:$A$434,$B$4,Countries!$B$5:$B$434,$B$5,Countries!$C$5:$C$434,$B$6,Countries!$D$5:$D$434,$A27))=0,"",IF($B$6="Total",SUMIFS(Countries!$AE$5:$AE$434,Countries!$A$5:$A$434,$B$4,Countries!$B$5:$B$434,$B$5,Countries!$D$5:$D$434,$A27),SUMIFS(Countries!$AE$5:$AE$434,Countries!$A$5:$A$434,$B$4,Countries!$B$5:$B$434,$B$5,Countries!$C$5:$C$434,$B$6,Countries!$D$5:$D$434,$A27)))</f>
        <v/>
      </c>
      <c r="AC27" s="69">
        <f>IF(OR(AB27="",AA27="",AA27=0,AB27=0),"",AB27-AA27)</f>
        <v/>
      </c>
      <c r="AD27" s="42">
        <f>IF(OR(AB27="",AA27="",AA27=0,AB27=0),"",AB27/AA27-1)</f>
        <v/>
      </c>
      <c r="AE27" s="43">
        <f>IF(IF($B$6="Total",SUMIFS(Countries!$W$5:$W$434,Countries!$A$5:$A$434,$B$4,Countries!$B$5:$B$434,$B$5,Countries!$D$5:$D$434,$A27,Countries!$AD$5:$AD$434,"&gt;0"),SUMIFS(Countries!$W$5:$W$434,Countries!$A$5:$A$434,$B$4,Countries!$B$5:$B$434,$B$5,Countries!$C$5:$C$434,$B$6,Countries!$D$5:$D$434,$A27,Countries!$AD$5:$AD$434,"&gt;0"))=0,"",IF($B$6="Total",SUMIFS(Countries!$AD$5:$AD$434,Countries!$A$5:$A$434,$B$4,Countries!$B$5:$B$434,$B$5,Countries!$D$5:$D$434,$A27,Countries!$W$5:$W$434,"&gt;0"),SUMIFS(Countries!$AD$5:$AD$434,Countries!$A$5:$A$434,$B$4,Countries!$B$5:$B$434,$B$5,Countries!$C$5:$C$434,$B$6,Countries!$D$5:$D$434,$A27,Countries!$W$5:$W$434,"&gt;0"))/IF($B$6="Total",SUMIFS(Countries!$W$5:$W$434,Countries!$A$5:$A$434,$B$4,Countries!$B$5:$B$434,$B$5,Countries!$D$5:$D$434,$A27,Countries!$AD$5:$AD$434,"&gt;0"),SUMIFS(Countries!$W$5:$W$434,Countries!$A$5:$A$434,$B$4,Countries!$B$5:$B$434,$B$5,Countries!$C$5:$C$434,$B$6,Countries!$D$5:$D$434,$A27,Countries!$AD$5:$AD$434,"&gt;0")))</f>
        <v/>
      </c>
      <c r="AF27" s="43">
        <f>IF(IF($B$6="Total",SUMIFS(Countries!$X$5:$X$434,Countries!$A$5:$A$434,$B$4,Countries!$B$5:$B$434,$B$5,Countries!$D$5:$D$434,$A27,Countries!$AE$5:$AE$434,"&gt;0"),SUMIFS(Countries!$X$5:$X$434,Countries!$A$5:$A$434,$B$4,Countries!$B$5:$B$434,$B$5,Countries!$C$5:$C$434,$B$6,Countries!$D$5:$D$434,$A27,Countries!$AE$5:$AE$434,"&gt;0"))=0,"",IF($B$6="Total",SUMIFS(Countries!$AE$5:$AE$434,Countries!$A$5:$A$434,$B$4,Countries!$B$5:$B$434,$B$5,Countries!$D$5:$D$434,$A27,Countries!$X$5:$X$434,"&gt;0"),SUMIFS(Countries!$AE$5:$AE$434,Countries!$A$5:$A$434,$B$4,Countries!$B$5:$B$434,$B$5,Countries!$C$5:$C$434,$B$6,Countries!$D$5:$D$434,$A27,Countries!$X$5:$X$434,"&gt;0"))/IF($B$6="Total",SUMIFS(Countries!$X$5:$X$434,Countries!$A$5:$A$434,$B$4,Countries!$B$5:$B$434,$B$5,Countries!$D$5:$D$434,$A27,Countries!$AE$5:$AE$434,"&gt;0"),SUMIFS(Countries!$X$5:$X$434,Countries!$A$5:$A$434,$B$4,Countries!$B$5:$B$434,$B$5,Countries!$C$5:$C$434,$B$6,Countries!$D$5:$D$434,$A27,Countries!$AE$5:$AE$434,"&gt;0")))</f>
        <v/>
      </c>
      <c r="AG27" s="44">
        <f>IF(OR(AF27="",AE27=""),"",(AF27-AE27)*100)</f>
        <v/>
      </c>
      <c r="AH27" s="41">
        <f>IF(IF($B$6="Total",SUMIFS(Countries!$AK$5:$AK$434,Countries!$A$5:$A$434,$B$4,Countries!$B$5:$B$434,$B$5,Countries!$D$5:$D$434,$A27),SUMIFS(Countries!$AK$5:$AK$434,Countries!$A$5:$A$434,$B$4,Countries!$B$5:$B$434,$B$5,Countries!$C$5:$C$434,$B$6,Countries!$D$5:$D$434,$A27))=0,"",IF($B$6="Total",SUMIFS(Countries!$AK$5:$AK$434,Countries!$A$5:$A$434,$B$4,Countries!$B$5:$B$434,$B$5,Countries!$D$5:$D$434,$A27),SUMIFS(Countries!$AK$5:$AK$434,Countries!$A$5:$A$434,$B$4,Countries!$B$5:$B$434,$B$5,Countries!$C$5:$C$434,$B$6,Countries!$D$5:$D$434,$A27)))</f>
        <v/>
      </c>
      <c r="AI27" s="41">
        <f>IF(IF($B$6="Total",SUMIFS(Countries!$AL$5:$AL$434,Countries!$A$5:$A$434,$B$4,Countries!$B$5:$B$434,$B$5,Countries!$D$5:$D$434,$A27),SUMIFS(Countries!$AL$5:$AL$434,Countries!$A$5:$A$434,$B$4,Countries!$B$5:$B$434,$B$5,Countries!$C$5:$C$434,$B$6,Countries!$D$5:$D$434,$A27))=0,"",IF($B$6="Total",SUMIFS(Countries!$AL$5:$AL$434,Countries!$A$5:$A$434,$B$4,Countries!$B$5:$B$434,$B$5,Countries!$D$5:$D$434,$A27),SUMIFS(Countries!$AL$5:$AL$434,Countries!$A$5:$A$434,$B$4,Countries!$B$5:$B$434,$B$5,Countries!$C$5:$C$434,$B$6,Countries!$D$5:$D$434,$A27)))</f>
        <v/>
      </c>
      <c r="AJ27" s="69">
        <f>IF(OR(AI27="",AH27="",AH27=0,AI27=0),"",AI27-AH27)</f>
        <v/>
      </c>
      <c r="AK27" s="42">
        <f>IF(OR(AI27="",AH27="",AH27=0,AI27=0),"",AI27/AH27-1)</f>
        <v/>
      </c>
      <c r="AL27" s="43">
        <f>IF(IF($B$6="Total",SUMIFS(Countries!$AD$5:$AD$434,Countries!$A$5:$A$434,$B$4,Countries!$B$5:$B$434,$B$5,Countries!$D$5:$D$434,$A27,Countries!$AK$5:$AK$434,"&gt;0"),SUMIFS(Countries!$AD$5:$AD$434,Countries!$A$5:$A$434,$B$4,Countries!$B$5:$B$434,$B$5,Countries!$C$5:$C$434,$B$6,Countries!$D$5:$D$434,$A27,Countries!$AK$5:$AK$434,"&gt;0"))=0,"",IF($B$6="Total",SUMIFS(Countries!$AK$5:$AK$434,Countries!$A$5:$A$434,$B$4,Countries!$B$5:$B$434,$B$5,Countries!$D$5:$D$434,$A27,Countries!$AD$5:$AD$434,"&gt;0"),SUMIFS(Countries!$AK$5:$AK$434,Countries!$A$5:$A$434,$B$4,Countries!$B$5:$B$434,$B$5,Countries!$C$5:$C$434,$B$6,Countries!$D$5:$D$434,$A27,Countries!$AD$5:$AD$434,"&gt;0"))/IF($B$6="Total",SUMIFS(Countries!$AD$5:$AD$434,Countries!$A$5:$A$434,$B$4,Countries!$B$5:$B$434,$B$5,Countries!$D$5:$D$434,$A27,Countries!$AK$5:$AK$434,"&gt;0"),SUMIFS(Countries!$AD$5:$AD$434,Countries!$A$5:$A$434,$B$4,Countries!$B$5:$B$434,$B$5,Countries!$C$5:$C$434,$B$6,Countries!$D$5:$D$434,$A27,Countries!$AK$5:$AK$434,"&gt;0")))</f>
        <v/>
      </c>
      <c r="AM27" s="43">
        <f>IF(IF($B$6="Total",SUMIFS(Countries!$AE$5:$AE$434,Countries!$A$5:$A$434,$B$4,Countries!$B$5:$B$434,$B$5,Countries!$D$5:$D$434,$A27,Countries!$AL$5:$AL$434,"&gt;0"),SUMIFS(Countries!$AE$5:$AE$434,Countries!$A$5:$A$434,$B$4,Countries!$B$5:$B$434,$B$5,Countries!$C$5:$C$434,$B$6,Countries!$D$5:$D$434,$A27,Countries!$AL$5:$AL$434,"&gt;0"))=0,"",IF($B$6="Total",SUMIFS(Countries!$AL$5:$AL$434,Countries!$A$5:$A$434,$B$4,Countries!$B$5:$B$434,$B$5,Countries!$D$5:$D$434,$A27,Countries!$AE$5:$AE$434,"&gt;0"),SUMIFS(Countries!$AL$5:$AL$434,Countries!$A$5:$A$434,$B$4,Countries!$B$5:$B$434,$B$5,Countries!$C$5:$C$434,$B$6,Countries!$D$5:$D$434,$A27,Countries!$AE$5:$AE$434,"&gt;0"))/IF($B$6="Total",SUMIFS(Countries!$AE$5:$AE$434,Countries!$A$5:$A$434,$B$4,Countries!$B$5:$B$434,$B$5,Countries!$D$5:$D$434,$A27,Countries!$AL$5:$AL$434,"&gt;0"),SUMIFS(Countries!$AE$5:$AE$434,Countries!$A$5:$A$434,$B$4,Countries!$B$5:$B$434,$B$5,Countries!$C$5:$C$434,$B$6,Countries!$D$5:$D$434,$A27,Countries!$AL$5:$AL$434,"&gt;0")))</f>
        <v/>
      </c>
      <c r="AN27" s="44">
        <f>IF(OR(AM27="",AL27=""),"",(AM27-AL27)*100)</f>
        <v/>
      </c>
      <c r="AO27" s="41">
        <f>IF(IF($B$6="Total",SUMIFS(Countries!$AR$5:$AR$434,Countries!$A$5:$A$434,$B$4,Countries!$B$5:$B$434,$B$5,Countries!$D$5:$D$434,$A27),SUMIFS(Countries!$AR$5:$AR$434,Countries!$A$5:$A$434,$B$4,Countries!$B$5:$B$434,$B$5,Countries!$C$5:$C$434,$B$6,Countries!$D$5:$D$434,$A27))=0,"",IF($B$6="Total",SUMIFS(Countries!$AR$5:$AR$434,Countries!$A$5:$A$434,$B$4,Countries!$B$5:$B$434,$B$5,Countries!$D$5:$D$434,$A27),SUMIFS(Countries!$AR$5:$AR$434,Countries!$A$5:$A$434,$B$4,Countries!$B$5:$B$434,$B$5,Countries!$C$5:$C$434,$B$6,Countries!$D$5:$D$434,$A27)))</f>
        <v/>
      </c>
      <c r="AP27" s="41">
        <f>IF(IF($B$6="Total",SUMIFS(Countries!$AS$5:$AS$434,Countries!$A$5:$A$434,$B$4,Countries!$B$5:$B$434,$B$5,Countries!$D$5:$D$434,$A27),SUMIFS(Countries!$AS$5:$AS$434,Countries!$A$5:$A$434,$B$4,Countries!$B$5:$B$434,$B$5,Countries!$C$5:$C$434,$B$6,Countries!$D$5:$D$434,$A27))=0,"",IF($B$6="Total",SUMIFS(Countries!$AS$5:$AS$434,Countries!$A$5:$A$434,$B$4,Countries!$B$5:$B$434,$B$5,Countries!$D$5:$D$434,$A27),SUMIFS(Countries!$AS$5:$AS$434,Countries!$A$5:$A$434,$B$4,Countries!$B$5:$B$434,$B$5,Countries!$C$5:$C$434,$B$6,Countries!$D$5:$D$434,$A27)))</f>
        <v/>
      </c>
      <c r="AQ27" s="69">
        <f>IF(OR(AP27="",AO27="",AO27=0,AP27=0),"",AP27-AO27)</f>
        <v/>
      </c>
      <c r="AR27" s="42">
        <f>IF(OR(AP27="",AO27="",AO27=0,AP27=0),"",AP27/AO27-1)</f>
        <v/>
      </c>
      <c r="AS27" s="43">
        <f>IF(IF($B$6="Total",SUMIFS(Countries!$AK$5:$AK$434,Countries!$A$5:$A$434,$B$4,Countries!$B$5:$B$434,$B$5,Countries!$D$5:$D$434,$A27,Countries!$AR$5:$AR$434,"&gt;0"),SUMIFS(Countries!$AK$5:$AK$434,Countries!$A$5:$A$434,$B$4,Countries!$B$5:$B$434,$B$5,Countries!$C$5:$C$434,$B$6,Countries!$D$5:$D$434,$A27,Countries!$AR$5:$AR$434,"&gt;0"))=0,"",IF($B$6="Total",SUMIFS(Countries!$AR$5:$AR$434,Countries!$A$5:$A$434,$B$4,Countries!$B$5:$B$434,$B$5,Countries!$D$5:$D$434,$A27,Countries!$AK$5:$AK$434,"&gt;0"),SUMIFS(Countries!$AR$5:$AR$434,Countries!$A$5:$A$434,$B$4,Countries!$B$5:$B$434,$B$5,Countries!$C$5:$C$434,$B$6,Countries!$D$5:$D$434,$A27,Countries!$AK$5:$AK$434,"&gt;0"))/IF($B$6="Total",SUMIFS(Countries!$AK$5:$AK$434,Countries!$A$5:$A$434,$B$4,Countries!$B$5:$B$434,$B$5,Countries!$D$5:$D$434,$A27,Countries!$AR$5:$AR$434,"&gt;0"),SUMIFS(Countries!$AK$5:$AK$434,Countries!$A$5:$A$434,$B$4,Countries!$B$5:$B$434,$B$5,Countries!$C$5:$C$434,$B$6,Countries!$D$5:$D$434,$A27,Countries!$AR$5:$AR$434,"&gt;0")))</f>
        <v/>
      </c>
      <c r="AT27" s="43">
        <f>IF(IF($B$6="Total",SUMIFS(Countries!$AL$5:$AL$434,Countries!$A$5:$A$434,$B$4,Countries!$B$5:$B$434,$B$5,Countries!$D$5:$D$434,$A27,Countries!$AS$5:$AS$434,"&gt;0"),SUMIFS(Countries!$AL$5:$AL$434,Countries!$A$5:$A$434,$B$4,Countries!$B$5:$B$434,$B$5,Countries!$C$5:$C$434,$B$6,Countries!$D$5:$D$434,$A27,Countries!$AS$5:$AS$434,"&gt;0"))=0,"",IF($B$6="Total",SUMIFS(Countries!$AS$5:$AS$434,Countries!$A$5:$A$434,$B$4,Countries!$B$5:$B$434,$B$5,Countries!$D$5:$D$434,$A27,Countries!$AL$5:$AL$434,"&gt;0"),SUMIFS(Countries!$AS$5:$AS$434,Countries!$A$5:$A$434,$B$4,Countries!$B$5:$B$434,$B$5,Countries!$C$5:$C$434,$B$6,Countries!$D$5:$D$434,$A27,Countries!$AL$5:$AL$434,"&gt;0"))/IF($B$6="Total",SUMIFS(Countries!$AL$5:$AL$434,Countries!$A$5:$A$434,$B$4,Countries!$B$5:$B$434,$B$5,Countries!$D$5:$D$434,$A27,Countries!$AS$5:$AS$434,"&gt;0"),SUMIFS(Countries!$AL$5:$AL$434,Countries!$A$5:$A$434,$B$4,Countries!$B$5:$B$434,$B$5,Countries!$C$5:$C$434,$B$6,Countries!$D$5:$D$434,$A27,Countries!$AS$5:$AS$434,"&gt;0")))</f>
        <v/>
      </c>
      <c r="AU27" s="44">
        <f>IF(OR(AT27="",AS27=""),"",(AT27-AS27)*100)</f>
        <v/>
      </c>
      <c r="AV27" s="45">
        <f>IF(IF($B$6="Total",SUMIFS(Countries!$P$5:$P$434,Countries!$A$5:$A$434,$B$4,Countries!$B$5:$B$434,$B$5,Countries!$D$5:$D$434,$A27,Countries!$AR$5:$AR$434,"&gt;0"),SUMIFS(Countries!$P$5:$P$434,Countries!$A$5:$A$434,$B$4,Countries!$B$5:$B$434,$B$5,Countries!$C$5:$C$434,$B$6,Countries!$D$5:$D$434,$A27,Countries!$AR$5:$AR$434,"&gt;0"))=0,"",IF($B$6="Total",SUMIFS(Countries!$AR$5:$AR$434,Countries!$A$5:$A$434,$B$4,Countries!$B$5:$B$434,$B$5,Countries!$D$5:$D$434,$A27,Countries!$P$5:$P$434,"&gt;0"),SUMIFS(Countries!$AR$5:$AR$434,Countries!$A$5:$A$434,$B$4,Countries!$B$5:$B$434,$B$5,Countries!$C$5:$C$434,$B$6,Countries!$D$5:$D$434,$A27,Countries!$P$5:$P$434,"&gt;0"))/IF($B$6="Total",SUMIFS(Countries!$P$5:$P$434,Countries!$A$5:$A$434,$B$4,Countries!$B$5:$B$434,$B$5,Countries!$D$5:$D$434,$A27,Countries!$AR$5:$AR$434,"&gt;0"),SUMIFS(Countries!$P$5:$P$434,Countries!$A$5:$A$434,$B$4,Countries!$B$5:$B$434,$B$5,Countries!$C$5:$C$434,$B$6,Countries!$D$5:$D$434,$A27,Countries!$AR$5:$AR$434,"&gt;0")))</f>
        <v/>
      </c>
      <c r="AW27" s="45">
        <f>IF(IF($B$6="Total",SUMIFS(Countries!$Q$5:$Q$434,Countries!$A$5:$A$434,$B$4,Countries!$B$5:$B$434,$B$5,Countries!$D$5:$D$434,$A27,Countries!$AS$5:$AS$434,"&gt;0"),SUMIFS(Countries!$Q$5:$Q$434,Countries!$A$5:$A$434,$B$4,Countries!$B$5:$B$434,$B$5,Countries!$C$5:$C$434,$B$6,Countries!$D$5:$D$434,$A27,Countries!$AS$5:$AS$434,"&gt;0"))=0,"",IF($B$6="Total",SUMIFS(Countries!$AS$5:$AS$434,Countries!$A$5:$A$434,$B$4,Countries!$B$5:$B$434,$B$5,Countries!$D$5:$D$434,$A27,Countries!$Q$5:$Q$434,"&gt;0"),SUMIFS(Countries!$AS$5:$AS$434,Countries!$A$5:$A$434,$B$4,Countries!$B$5:$B$434,$B$5,Countries!$C$5:$C$434,$B$6,Countries!$D$5:$D$434,$A27,Countries!$Q$5:$Q$434,"&gt;0"))/IF($B$6="Total",SUMIFS(Countries!$Q$5:$Q$434,Countries!$A$5:$A$434,$B$4,Countries!$B$5:$B$434,$B$5,Countries!$D$5:$D$434,$A27,Countries!$AS$5:$AS$434,"&gt;0"),SUMIFS(Countries!$Q$5:$Q$434,Countries!$A$5:$A$434,$B$4,Countries!$B$5:$B$434,$B$5,Countries!$C$5:$C$434,$B$6,Countries!$D$5:$D$434,$A27,Countries!$AS$5:$AS$434,"&gt;0")))</f>
        <v/>
      </c>
      <c r="AX27" s="44">
        <f>IF(OR(AW27="",AV27=""),"",(AW27-AV27)*100)</f>
        <v/>
      </c>
      <c r="AY27" s="45">
        <f>IF(IF($B$6="Total",SUMIFS(Countries!$E$5:$E$434,Countries!$A$5:$A$434,$B$4,Countries!$B$5:$B$434,$B$5,Countries!$D$5:$D$434,$A27,Countries!$AR$5:$AR$434,"&gt;0"),SUMIFS(Countries!$E$5:$E$434,Countries!$A$5:$A$434,$B$4,Countries!$B$5:$B$434,$B$5,Countries!$C$5:$C$434,$B$6,Countries!$D$5:$D$434,$A27,Countries!$AR$5:$AR$434,"&gt;0"))=0,"",IF($B$6="Total",SUMIFS(Countries!$AR$5:$AR$434,Countries!$A$5:$A$434,$B$4,Countries!$B$5:$B$434,$B$5,Countries!$D$5:$D$434,$A27,Countries!$E$5:$E$434,"&gt;0"),SUMIFS(Countries!$AR$5:$AR$434,Countries!$A$5:$A$434,$B$4,Countries!$B$5:$B$434,$B$5,Countries!$C$5:$C$434,$B$6,Countries!$D$5:$D$434,$A27,Countries!$E$5:$E$434,"&gt;0"))/IF($B$6="Total",SUMIFS(Countries!$E$5:$E$434,Countries!$A$5:$A$434,$B$4,Countries!$B$5:$B$434,$B$5,Countries!$D$5:$D$434,$A27,Countries!$AR$5:$AR$434,"&gt;0"),SUMIFS(Countries!$E$5:$E$434,Countries!$A$5:$A$434,$B$4,Countries!$B$5:$B$434,$B$5,Countries!$C$5:$C$434,$B$6,Countries!$D$5:$D$434,$A27,Countries!$AR$5:$AR$434,"&gt;0")))</f>
        <v/>
      </c>
      <c r="AZ27" s="45">
        <f>IF(IF($B$6="Total",SUMIFS(Countries!$F$5:$F$434,Countries!$A$5:$A$434,$B$4,Countries!$B$5:$B$434,$B$5,Countries!$D$5:$D$434,$A27,Countries!$AS$5:$AS$434,"&gt;0"),SUMIFS(Countries!$F$5:$F$434,Countries!$A$5:$A$434,$B$4,Countries!$B$5:$B$434,$B$5,Countries!$C$5:$C$434,$B$6,Countries!$D$5:$D$434,$A27,Countries!$AS$5:$AS$434,"&gt;0"))=0,"",IF($B$6="Total",SUMIFS(Countries!$AS$5:$AS$434,Countries!$A$5:$A$434,$B$4,Countries!$B$5:$B$434,$B$5,Countries!$D$5:$D$434,$A27,Countries!$F$5:$F$434,"&gt;0"),SUMIFS(Countries!$AS$5:$AS$434,Countries!$A$5:$A$434,$B$4,Countries!$B$5:$B$434,$B$5,Countries!$C$5:$C$434,$B$6,Countries!$D$5:$D$434,$A27,Countries!$F$5:$F$434,"&gt;0"))/IF($B$6="Total",SUMIFS(Countries!$F$5:$F$434,Countries!$A$5:$A$434,$B$4,Countries!$B$5:$B$434,$B$5,Countries!$D$5:$D$434,$A27,Countries!$AS$5:$AS$434,"&gt;0"),SUMIFS(Countries!$F$5:$F$434,Countries!$A$5:$A$434,$B$4,Countries!$B$5:$B$434,$B$5,Countries!$C$5:$C$434,$B$6,Countries!$D$5:$D$434,$A27,Countries!$AS$5:$AS$434,"&gt;0")))</f>
        <v/>
      </c>
      <c r="BA27" s="44">
        <f>IF(OR(AZ27="",AY27=""),"",(AZ27-AY27)*100)</f>
        <v/>
      </c>
      <c r="BB27" s="40">
        <f>IF(AND(IF($B$6="Total",COUNTIFS(Countries!$A$5:$A$434,$B$4,Countries!$B$5:$B$434,$B$5,Countries!$D$5:$D$434,$A27,Countries!$F$5:$F$434,"&gt;0"),COUNTIFS(Countries!$A$5:$A$434,$B$4,Countries!$B$5:$B$434,$B$5,Countries!$C$5:$C$434,$B$6,Countries!$D$5:$D$434,$A27,Countries!$F$5:$F$434,"&gt;0"))=0,IF($B$6="Total",COUNTIFS(Countries!$A$5:$A$434,$B$4,Countries!$B$5:$B$434,$B$5,Countries!$D$5:$D$434,$A27,Countries!$E$5:$E$434,"&gt;0"),COUNTIFS(Countries!$A$5:$A$434,$B$4,Countries!$B$5:$B$434,$B$5,Countries!$C$5:$C$434,$B$6,Countries!$D$5:$D$434,$A27,Countries!$E$5:$E$434,"&gt;0"))=0),"",IF(IF($B$6="Total",COUNTIFS(Countries!$A$5:$A$434,$B$4,Countries!$B$5:$B$434,$B$5,Countries!$D$5:$D$434,$A27,Countries!$F$5:$F$434,"&gt;0"),COUNTIFS(Countries!$A$5:$A$434,$B$4,Countries!$B$5:$B$434,$B$5,Countries!$C$5:$C$434,$B$6,Countries!$D$5:$D$434,$A27,Countries!$F$5:$F$434,"&gt;0"))=0,"1-23Aug25 rows only",IF(IF($B$6="Total",COUNTIFS(Countries!$A$5:$A$434,$B$4,Countries!$B$5:$B$434,$B$5,Countries!$D$5:$D$434,$A27,Countries!$E$5:$E$434,"&gt;0"),COUNTIFS(Countries!$A$5:$A$434,$B$4,Countries!$B$5:$B$434,$B$5,Countries!$C$5:$C$434,$B$6,Countries!$D$5:$D$434,$A27,Countries!$E$5:$E$434,"&gt;0"))=0,"1-23Aug26 rows only",IF(IF($B$6="Total",COUNTIFS(Countries!$A$5:$A$434,$B$4,Countries!$B$5:$B$434,$B$5,Countries!$D$5:$D$434,$A27,Countries!$F$5:$F$434,"&gt;0"),COUNTIFS(Countries!$A$5:$A$434,$B$4,Countries!$B$5:$B$434,$B$5,Countries!$C$5:$C$434,$B$6,Countries!$D$5:$D$434,$A27,Countries!$F$5:$F$434,"&gt;0"))=IF($B$6="Total",COUNTIFS(Countries!$A$5:$A$434,$B$4,Countries!$B$5:$B$434,$B$5,Countries!$D$5:$D$434,$A27,Countries!$E$5:$E$434,"&gt;0"),COUNTIFS(Countries!$A$5:$A$434,$B$4,Countries!$B$5:$B$434,$B$5,Countries!$C$5:$C$434,$B$6,Countries!$D$5:$D$434,$A27,Countries!$E$5:$E$434,"&gt;0")),"Like-for-like","Partial — coverage differs"))))</f>
        <v/>
      </c>
    </row>
    <row r="28">
      <c r="A28" s="56" t="inlineStr">
        <is>
          <t>Canada</t>
        </is>
      </c>
      <c r="B28" s="41">
        <f>IF(IF($B$6="Total",SUMIFS(Countries!$E$5:$E$434,Countries!$A$5:$A$434,$B$4,Countries!$B$5:$B$434,$B$5,Countries!$D$5:$D$434,$A28),SUMIFS(Countries!$E$5:$E$434,Countries!$A$5:$A$434,$B$4,Countries!$B$5:$B$434,$B$5,Countries!$C$5:$C$434,$B$6,Countries!$D$5:$D$434,$A28))=0,"",IF($B$6="Total",SUMIFS(Countries!$E$5:$E$434,Countries!$A$5:$A$434,$B$4,Countries!$B$5:$B$434,$B$5,Countries!$D$5:$D$434,$A28),SUMIFS(Countries!$E$5:$E$434,Countries!$A$5:$A$434,$B$4,Countries!$B$5:$B$434,$B$5,Countries!$C$5:$C$434,$B$6,Countries!$D$5:$D$434,$A28)))</f>
        <v/>
      </c>
      <c r="C28" s="41">
        <f>IF(IF($B$6="Total",SUMIFS(Countries!$F$5:$F$434,Countries!$A$5:$A$434,$B$4,Countries!$B$5:$B$434,$B$5,Countries!$D$5:$D$434,$A28),SUMIFS(Countries!$F$5:$F$434,Countries!$A$5:$A$434,$B$4,Countries!$B$5:$B$434,$B$5,Countries!$C$5:$C$434,$B$6,Countries!$D$5:$D$434,$A28))=0,"",IF($B$6="Total",SUMIFS(Countries!$F$5:$F$434,Countries!$A$5:$A$434,$B$4,Countries!$B$5:$B$434,$B$5,Countries!$D$5:$D$434,$A28),SUMIFS(Countries!$F$5:$F$434,Countries!$A$5:$A$434,$B$4,Countries!$B$5:$B$434,$B$5,Countries!$C$5:$C$434,$B$6,Countries!$D$5:$D$434,$A28)))</f>
        <v/>
      </c>
      <c r="D28" s="69">
        <f>IF(OR(C28="",B28="",B28=0,C28=0),"",C28-B28)</f>
        <v/>
      </c>
      <c r="E28" s="42">
        <f>IF(OR(C28="",B28="",B28=0,C28=0),"",C28/B28-1)</f>
        <v/>
      </c>
      <c r="F28" s="41">
        <f>IF(IF($B$6="Total",SUMIFS(Countries!$I$5:$I$434,Countries!$A$5:$A$434,$B$4,Countries!$B$5:$B$434,$B$5,Countries!$D$5:$D$434,$A28),SUMIFS(Countries!$I$5:$I$434,Countries!$A$5:$A$434,$B$4,Countries!$B$5:$B$434,$B$5,Countries!$C$5:$C$434,$B$6,Countries!$D$5:$D$434,$A28))=0,"",IF($B$6="Total",SUMIFS(Countries!$I$5:$I$434,Countries!$A$5:$A$434,$B$4,Countries!$B$5:$B$434,$B$5,Countries!$D$5:$D$434,$A28),SUMIFS(Countries!$I$5:$I$434,Countries!$A$5:$A$434,$B$4,Countries!$B$5:$B$434,$B$5,Countries!$C$5:$C$434,$B$6,Countries!$D$5:$D$434,$A28)))</f>
        <v/>
      </c>
      <c r="G28" s="41">
        <f>IF(IF($B$6="Total",SUMIFS(Countries!$J$5:$J$434,Countries!$A$5:$A$434,$B$4,Countries!$B$5:$B$434,$B$5,Countries!$D$5:$D$434,$A28),SUMIFS(Countries!$J$5:$J$434,Countries!$A$5:$A$434,$B$4,Countries!$B$5:$B$434,$B$5,Countries!$C$5:$C$434,$B$6,Countries!$D$5:$D$434,$A28))=0,"",IF($B$6="Total",SUMIFS(Countries!$J$5:$J$434,Countries!$A$5:$A$434,$B$4,Countries!$B$5:$B$434,$B$5,Countries!$D$5:$D$434,$A28),SUMIFS(Countries!$J$5:$J$434,Countries!$A$5:$A$434,$B$4,Countries!$B$5:$B$434,$B$5,Countries!$C$5:$C$434,$B$6,Countries!$D$5:$D$434,$A28)))</f>
        <v/>
      </c>
      <c r="H28" s="69">
        <f>IF(OR(G28="",F28="",F28=0,G28=0),"",G28-F28)</f>
        <v/>
      </c>
      <c r="I28" s="42">
        <f>IF(OR(G28="",F28="",F28=0,G28=0),"",G28/F28-1)</f>
        <v/>
      </c>
      <c r="J28" s="43">
        <f>IF(IF($B$6="Total",SUMIFS(Countries!$E$5:$E$434,Countries!$A$5:$A$434,$B$4,Countries!$B$5:$B$434,$B$5,Countries!$D$5:$D$434,$A28,Countries!$I$5:$I$434,"&gt;0"),SUMIFS(Countries!$E$5:$E$434,Countries!$A$5:$A$434,$B$4,Countries!$B$5:$B$434,$B$5,Countries!$C$5:$C$434,$B$6,Countries!$D$5:$D$434,$A28,Countries!$I$5:$I$434,"&gt;0"))=0,"",IF($B$6="Total",SUMIFS(Countries!$I$5:$I$434,Countries!$A$5:$A$434,$B$4,Countries!$B$5:$B$434,$B$5,Countries!$D$5:$D$434,$A28,Countries!$E$5:$E$434,"&gt;0"),SUMIFS(Countries!$I$5:$I$434,Countries!$A$5:$A$434,$B$4,Countries!$B$5:$B$434,$B$5,Countries!$C$5:$C$434,$B$6,Countries!$D$5:$D$434,$A28,Countries!$E$5:$E$434,"&gt;0"))/IF($B$6="Total",SUMIFS(Countries!$E$5:$E$434,Countries!$A$5:$A$434,$B$4,Countries!$B$5:$B$434,$B$5,Countries!$D$5:$D$434,$A28,Countries!$I$5:$I$434,"&gt;0"),SUMIFS(Countries!$E$5:$E$434,Countries!$A$5:$A$434,$B$4,Countries!$B$5:$B$434,$B$5,Countries!$C$5:$C$434,$B$6,Countries!$D$5:$D$434,$A28,Countries!$I$5:$I$434,"&gt;0")))</f>
        <v/>
      </c>
      <c r="K28" s="43">
        <f>IF(IF($B$6="Total",SUMIFS(Countries!$F$5:$F$434,Countries!$A$5:$A$434,$B$4,Countries!$B$5:$B$434,$B$5,Countries!$D$5:$D$434,$A28,Countries!$J$5:$J$434,"&gt;0"),SUMIFS(Countries!$F$5:$F$434,Countries!$A$5:$A$434,$B$4,Countries!$B$5:$B$434,$B$5,Countries!$C$5:$C$434,$B$6,Countries!$D$5:$D$434,$A28,Countries!$J$5:$J$434,"&gt;0"))=0,"",IF($B$6="Total",SUMIFS(Countries!$J$5:$J$434,Countries!$A$5:$A$434,$B$4,Countries!$B$5:$B$434,$B$5,Countries!$D$5:$D$434,$A28,Countries!$F$5:$F$434,"&gt;0"),SUMIFS(Countries!$J$5:$J$434,Countries!$A$5:$A$434,$B$4,Countries!$B$5:$B$434,$B$5,Countries!$C$5:$C$434,$B$6,Countries!$D$5:$D$434,$A28,Countries!$F$5:$F$434,"&gt;0"))/IF($B$6="Total",SUMIFS(Countries!$F$5:$F$434,Countries!$A$5:$A$434,$B$4,Countries!$B$5:$B$434,$B$5,Countries!$D$5:$D$434,$A28,Countries!$J$5:$J$434,"&gt;0"),SUMIFS(Countries!$F$5:$F$434,Countries!$A$5:$A$434,$B$4,Countries!$B$5:$B$434,$B$5,Countries!$C$5:$C$434,$B$6,Countries!$D$5:$D$434,$A28,Countries!$J$5:$J$434,"&gt;0")))</f>
        <v/>
      </c>
      <c r="L28" s="44">
        <f>IF(OR(K28="",J28=""),"",(K28-J28)*100)</f>
        <v/>
      </c>
      <c r="M28" s="41">
        <f>IF(IF($B$6="Total",SUMIFS(Countries!$P$5:$P$434,Countries!$A$5:$A$434,$B$4,Countries!$B$5:$B$434,$B$5,Countries!$D$5:$D$434,$A28),SUMIFS(Countries!$P$5:$P$434,Countries!$A$5:$A$434,$B$4,Countries!$B$5:$B$434,$B$5,Countries!$C$5:$C$434,$B$6,Countries!$D$5:$D$434,$A28))=0,"",IF($B$6="Total",SUMIFS(Countries!$P$5:$P$434,Countries!$A$5:$A$434,$B$4,Countries!$B$5:$B$434,$B$5,Countries!$D$5:$D$434,$A28),SUMIFS(Countries!$P$5:$P$434,Countries!$A$5:$A$434,$B$4,Countries!$B$5:$B$434,$B$5,Countries!$C$5:$C$434,$B$6,Countries!$D$5:$D$434,$A28)))</f>
        <v/>
      </c>
      <c r="N28" s="41">
        <f>IF(IF($B$6="Total",SUMIFS(Countries!$Q$5:$Q$434,Countries!$A$5:$A$434,$B$4,Countries!$B$5:$B$434,$B$5,Countries!$D$5:$D$434,$A28),SUMIFS(Countries!$Q$5:$Q$434,Countries!$A$5:$A$434,$B$4,Countries!$B$5:$B$434,$B$5,Countries!$C$5:$C$434,$B$6,Countries!$D$5:$D$434,$A28))=0,"",IF($B$6="Total",SUMIFS(Countries!$Q$5:$Q$434,Countries!$A$5:$A$434,$B$4,Countries!$B$5:$B$434,$B$5,Countries!$D$5:$D$434,$A28),SUMIFS(Countries!$Q$5:$Q$434,Countries!$A$5:$A$434,$B$4,Countries!$B$5:$B$434,$B$5,Countries!$C$5:$C$434,$B$6,Countries!$D$5:$D$434,$A28)))</f>
        <v/>
      </c>
      <c r="O28" s="69">
        <f>IF(OR(N28="",M28="",M28=0,N28=0),"",N28-M28)</f>
        <v/>
      </c>
      <c r="P28" s="42">
        <f>IF(OR(N28="",M28="",M28=0,N28=0),"",N28/M28-1)</f>
        <v/>
      </c>
      <c r="Q28" s="43">
        <f>IF(IF($B$6="Total",SUMIFS(Countries!$E$5:$E$434,Countries!$A$5:$A$434,$B$4,Countries!$B$5:$B$434,$B$5,Countries!$D$5:$D$434,$A28,Countries!$P$5:$P$434,"&gt;0"),SUMIFS(Countries!$E$5:$E$434,Countries!$A$5:$A$434,$B$4,Countries!$B$5:$B$434,$B$5,Countries!$C$5:$C$434,$B$6,Countries!$D$5:$D$434,$A28,Countries!$P$5:$P$434,"&gt;0"))=0,"",IF($B$6="Total",SUMIFS(Countries!$P$5:$P$434,Countries!$A$5:$A$434,$B$4,Countries!$B$5:$B$434,$B$5,Countries!$D$5:$D$434,$A28,Countries!$E$5:$E$434,"&gt;0"),SUMIFS(Countries!$P$5:$P$434,Countries!$A$5:$A$434,$B$4,Countries!$B$5:$B$434,$B$5,Countries!$C$5:$C$434,$B$6,Countries!$D$5:$D$434,$A28,Countries!$E$5:$E$434,"&gt;0"))/IF($B$6="Total",SUMIFS(Countries!$E$5:$E$434,Countries!$A$5:$A$434,$B$4,Countries!$B$5:$B$434,$B$5,Countries!$D$5:$D$434,$A28,Countries!$P$5:$P$434,"&gt;0"),SUMIFS(Countries!$E$5:$E$434,Countries!$A$5:$A$434,$B$4,Countries!$B$5:$B$434,$B$5,Countries!$C$5:$C$434,$B$6,Countries!$D$5:$D$434,$A28,Countries!$P$5:$P$434,"&gt;0")))</f>
        <v/>
      </c>
      <c r="R28" s="43">
        <f>IF(IF($B$6="Total",SUMIFS(Countries!$F$5:$F$434,Countries!$A$5:$A$434,$B$4,Countries!$B$5:$B$434,$B$5,Countries!$D$5:$D$434,$A28,Countries!$Q$5:$Q$434,"&gt;0"),SUMIFS(Countries!$F$5:$F$434,Countries!$A$5:$A$434,$B$4,Countries!$B$5:$B$434,$B$5,Countries!$C$5:$C$434,$B$6,Countries!$D$5:$D$434,$A28,Countries!$Q$5:$Q$434,"&gt;0"))=0,"",IF($B$6="Total",SUMIFS(Countries!$Q$5:$Q$434,Countries!$A$5:$A$434,$B$4,Countries!$B$5:$B$434,$B$5,Countries!$D$5:$D$434,$A28,Countries!$F$5:$F$434,"&gt;0"),SUMIFS(Countries!$Q$5:$Q$434,Countries!$A$5:$A$434,$B$4,Countries!$B$5:$B$434,$B$5,Countries!$C$5:$C$434,$B$6,Countries!$D$5:$D$434,$A28,Countries!$F$5:$F$434,"&gt;0"))/IF($B$6="Total",SUMIFS(Countries!$F$5:$F$434,Countries!$A$5:$A$434,$B$4,Countries!$B$5:$B$434,$B$5,Countries!$D$5:$D$434,$A28,Countries!$Q$5:$Q$434,"&gt;0"),SUMIFS(Countries!$F$5:$F$434,Countries!$A$5:$A$434,$B$4,Countries!$B$5:$B$434,$B$5,Countries!$C$5:$C$434,$B$6,Countries!$D$5:$D$434,$A28,Countries!$Q$5:$Q$434,"&gt;0")))</f>
        <v/>
      </c>
      <c r="S28" s="44">
        <f>IF(OR(R28="",Q28=""),"",(R28-Q28)*100)</f>
        <v/>
      </c>
      <c r="T28" s="41">
        <f>IF(IF($B$6="Total",SUMIFS(Countries!$W$5:$W$434,Countries!$A$5:$A$434,$B$4,Countries!$B$5:$B$434,$B$5,Countries!$D$5:$D$434,$A28),SUMIFS(Countries!$W$5:$W$434,Countries!$A$5:$A$434,$B$4,Countries!$B$5:$B$434,$B$5,Countries!$C$5:$C$434,$B$6,Countries!$D$5:$D$434,$A28))=0,"",IF($B$6="Total",SUMIFS(Countries!$W$5:$W$434,Countries!$A$5:$A$434,$B$4,Countries!$B$5:$B$434,$B$5,Countries!$D$5:$D$434,$A28),SUMIFS(Countries!$W$5:$W$434,Countries!$A$5:$A$434,$B$4,Countries!$B$5:$B$434,$B$5,Countries!$C$5:$C$434,$B$6,Countries!$D$5:$D$434,$A28)))</f>
        <v/>
      </c>
      <c r="U28" s="41">
        <f>IF(IF($B$6="Total",SUMIFS(Countries!$X$5:$X$434,Countries!$A$5:$A$434,$B$4,Countries!$B$5:$B$434,$B$5,Countries!$D$5:$D$434,$A28),SUMIFS(Countries!$X$5:$X$434,Countries!$A$5:$A$434,$B$4,Countries!$B$5:$B$434,$B$5,Countries!$C$5:$C$434,$B$6,Countries!$D$5:$D$434,$A28))=0,"",IF($B$6="Total",SUMIFS(Countries!$X$5:$X$434,Countries!$A$5:$A$434,$B$4,Countries!$B$5:$B$434,$B$5,Countries!$D$5:$D$434,$A28),SUMIFS(Countries!$X$5:$X$434,Countries!$A$5:$A$434,$B$4,Countries!$B$5:$B$434,$B$5,Countries!$C$5:$C$434,$B$6,Countries!$D$5:$D$434,$A28)))</f>
        <v/>
      </c>
      <c r="V28" s="69">
        <f>IF(OR(U28="",T28="",T28=0,U28=0),"",U28-T28)</f>
        <v/>
      </c>
      <c r="W28" s="42">
        <f>IF(OR(U28="",T28="",T28=0,U28=0),"",U28/T28-1)</f>
        <v/>
      </c>
      <c r="X28" s="43">
        <f>IF(IF($B$6="Total",SUMIFS(Countries!$P$5:$P$434,Countries!$A$5:$A$434,$B$4,Countries!$B$5:$B$434,$B$5,Countries!$D$5:$D$434,$A28,Countries!$W$5:$W$434,"&gt;0"),SUMIFS(Countries!$P$5:$P$434,Countries!$A$5:$A$434,$B$4,Countries!$B$5:$B$434,$B$5,Countries!$C$5:$C$434,$B$6,Countries!$D$5:$D$434,$A28,Countries!$W$5:$W$434,"&gt;0"))=0,"",IF($B$6="Total",SUMIFS(Countries!$W$5:$W$434,Countries!$A$5:$A$434,$B$4,Countries!$B$5:$B$434,$B$5,Countries!$D$5:$D$434,$A28,Countries!$P$5:$P$434,"&gt;0"),SUMIFS(Countries!$W$5:$W$434,Countries!$A$5:$A$434,$B$4,Countries!$B$5:$B$434,$B$5,Countries!$C$5:$C$434,$B$6,Countries!$D$5:$D$434,$A28,Countries!$P$5:$P$434,"&gt;0"))/IF($B$6="Total",SUMIFS(Countries!$P$5:$P$434,Countries!$A$5:$A$434,$B$4,Countries!$B$5:$B$434,$B$5,Countries!$D$5:$D$434,$A28,Countries!$W$5:$W$434,"&gt;0"),SUMIFS(Countries!$P$5:$P$434,Countries!$A$5:$A$434,$B$4,Countries!$B$5:$B$434,$B$5,Countries!$C$5:$C$434,$B$6,Countries!$D$5:$D$434,$A28,Countries!$W$5:$W$434,"&gt;0")))</f>
        <v/>
      </c>
      <c r="Y28" s="43">
        <f>IF(IF($B$6="Total",SUMIFS(Countries!$Q$5:$Q$434,Countries!$A$5:$A$434,$B$4,Countries!$B$5:$B$434,$B$5,Countries!$D$5:$D$434,$A28,Countries!$X$5:$X$434,"&gt;0"),SUMIFS(Countries!$Q$5:$Q$434,Countries!$A$5:$A$434,$B$4,Countries!$B$5:$B$434,$B$5,Countries!$C$5:$C$434,$B$6,Countries!$D$5:$D$434,$A28,Countries!$X$5:$X$434,"&gt;0"))=0,"",IF($B$6="Total",SUMIFS(Countries!$X$5:$X$434,Countries!$A$5:$A$434,$B$4,Countries!$B$5:$B$434,$B$5,Countries!$D$5:$D$434,$A28,Countries!$Q$5:$Q$434,"&gt;0"),SUMIFS(Countries!$X$5:$X$434,Countries!$A$5:$A$434,$B$4,Countries!$B$5:$B$434,$B$5,Countries!$C$5:$C$434,$B$6,Countries!$D$5:$D$434,$A28,Countries!$Q$5:$Q$434,"&gt;0"))/IF($B$6="Total",SUMIFS(Countries!$Q$5:$Q$434,Countries!$A$5:$A$434,$B$4,Countries!$B$5:$B$434,$B$5,Countries!$D$5:$D$434,$A28,Countries!$X$5:$X$434,"&gt;0"),SUMIFS(Countries!$Q$5:$Q$434,Countries!$A$5:$A$434,$B$4,Countries!$B$5:$B$434,$B$5,Countries!$C$5:$C$434,$B$6,Countries!$D$5:$D$434,$A28,Countries!$X$5:$X$434,"&gt;0")))</f>
        <v/>
      </c>
      <c r="Z28" s="44">
        <f>IF(OR(Y28="",X28=""),"",(Y28-X28)*100)</f>
        <v/>
      </c>
      <c r="AA28" s="41">
        <f>IF(IF($B$6="Total",SUMIFS(Countries!$AD$5:$AD$434,Countries!$A$5:$A$434,$B$4,Countries!$B$5:$B$434,$B$5,Countries!$D$5:$D$434,$A28),SUMIFS(Countries!$AD$5:$AD$434,Countries!$A$5:$A$434,$B$4,Countries!$B$5:$B$434,$B$5,Countries!$C$5:$C$434,$B$6,Countries!$D$5:$D$434,$A28))=0,"",IF($B$6="Total",SUMIFS(Countries!$AD$5:$AD$434,Countries!$A$5:$A$434,$B$4,Countries!$B$5:$B$434,$B$5,Countries!$D$5:$D$434,$A28),SUMIFS(Countries!$AD$5:$AD$434,Countries!$A$5:$A$434,$B$4,Countries!$B$5:$B$434,$B$5,Countries!$C$5:$C$434,$B$6,Countries!$D$5:$D$434,$A28)))</f>
        <v/>
      </c>
      <c r="AB28" s="41">
        <f>IF(IF($B$6="Total",SUMIFS(Countries!$AE$5:$AE$434,Countries!$A$5:$A$434,$B$4,Countries!$B$5:$B$434,$B$5,Countries!$D$5:$D$434,$A28),SUMIFS(Countries!$AE$5:$AE$434,Countries!$A$5:$A$434,$B$4,Countries!$B$5:$B$434,$B$5,Countries!$C$5:$C$434,$B$6,Countries!$D$5:$D$434,$A28))=0,"",IF($B$6="Total",SUMIFS(Countries!$AE$5:$AE$434,Countries!$A$5:$A$434,$B$4,Countries!$B$5:$B$434,$B$5,Countries!$D$5:$D$434,$A28),SUMIFS(Countries!$AE$5:$AE$434,Countries!$A$5:$A$434,$B$4,Countries!$B$5:$B$434,$B$5,Countries!$C$5:$C$434,$B$6,Countries!$D$5:$D$434,$A28)))</f>
        <v/>
      </c>
      <c r="AC28" s="69">
        <f>IF(OR(AB28="",AA28="",AA28=0,AB28=0),"",AB28-AA28)</f>
        <v/>
      </c>
      <c r="AD28" s="42">
        <f>IF(OR(AB28="",AA28="",AA28=0,AB28=0),"",AB28/AA28-1)</f>
        <v/>
      </c>
      <c r="AE28" s="43">
        <f>IF(IF($B$6="Total",SUMIFS(Countries!$W$5:$W$434,Countries!$A$5:$A$434,$B$4,Countries!$B$5:$B$434,$B$5,Countries!$D$5:$D$434,$A28,Countries!$AD$5:$AD$434,"&gt;0"),SUMIFS(Countries!$W$5:$W$434,Countries!$A$5:$A$434,$B$4,Countries!$B$5:$B$434,$B$5,Countries!$C$5:$C$434,$B$6,Countries!$D$5:$D$434,$A28,Countries!$AD$5:$AD$434,"&gt;0"))=0,"",IF($B$6="Total",SUMIFS(Countries!$AD$5:$AD$434,Countries!$A$5:$A$434,$B$4,Countries!$B$5:$B$434,$B$5,Countries!$D$5:$D$434,$A28,Countries!$W$5:$W$434,"&gt;0"),SUMIFS(Countries!$AD$5:$AD$434,Countries!$A$5:$A$434,$B$4,Countries!$B$5:$B$434,$B$5,Countries!$C$5:$C$434,$B$6,Countries!$D$5:$D$434,$A28,Countries!$W$5:$W$434,"&gt;0"))/IF($B$6="Total",SUMIFS(Countries!$W$5:$W$434,Countries!$A$5:$A$434,$B$4,Countries!$B$5:$B$434,$B$5,Countries!$D$5:$D$434,$A28,Countries!$AD$5:$AD$434,"&gt;0"),SUMIFS(Countries!$W$5:$W$434,Countries!$A$5:$A$434,$B$4,Countries!$B$5:$B$434,$B$5,Countries!$C$5:$C$434,$B$6,Countries!$D$5:$D$434,$A28,Countries!$AD$5:$AD$434,"&gt;0")))</f>
        <v/>
      </c>
      <c r="AF28" s="43">
        <f>IF(IF($B$6="Total",SUMIFS(Countries!$X$5:$X$434,Countries!$A$5:$A$434,$B$4,Countries!$B$5:$B$434,$B$5,Countries!$D$5:$D$434,$A28,Countries!$AE$5:$AE$434,"&gt;0"),SUMIFS(Countries!$X$5:$X$434,Countries!$A$5:$A$434,$B$4,Countries!$B$5:$B$434,$B$5,Countries!$C$5:$C$434,$B$6,Countries!$D$5:$D$434,$A28,Countries!$AE$5:$AE$434,"&gt;0"))=0,"",IF($B$6="Total",SUMIFS(Countries!$AE$5:$AE$434,Countries!$A$5:$A$434,$B$4,Countries!$B$5:$B$434,$B$5,Countries!$D$5:$D$434,$A28,Countries!$X$5:$X$434,"&gt;0"),SUMIFS(Countries!$AE$5:$AE$434,Countries!$A$5:$A$434,$B$4,Countries!$B$5:$B$434,$B$5,Countries!$C$5:$C$434,$B$6,Countries!$D$5:$D$434,$A28,Countries!$X$5:$X$434,"&gt;0"))/IF($B$6="Total",SUMIFS(Countries!$X$5:$X$434,Countries!$A$5:$A$434,$B$4,Countries!$B$5:$B$434,$B$5,Countries!$D$5:$D$434,$A28,Countries!$AE$5:$AE$434,"&gt;0"),SUMIFS(Countries!$X$5:$X$434,Countries!$A$5:$A$434,$B$4,Countries!$B$5:$B$434,$B$5,Countries!$C$5:$C$434,$B$6,Countries!$D$5:$D$434,$A28,Countries!$AE$5:$AE$434,"&gt;0")))</f>
        <v/>
      </c>
      <c r="AG28" s="44">
        <f>IF(OR(AF28="",AE28=""),"",(AF28-AE28)*100)</f>
        <v/>
      </c>
      <c r="AH28" s="41">
        <f>IF(IF($B$6="Total",SUMIFS(Countries!$AK$5:$AK$434,Countries!$A$5:$A$434,$B$4,Countries!$B$5:$B$434,$B$5,Countries!$D$5:$D$434,$A28),SUMIFS(Countries!$AK$5:$AK$434,Countries!$A$5:$A$434,$B$4,Countries!$B$5:$B$434,$B$5,Countries!$C$5:$C$434,$B$6,Countries!$D$5:$D$434,$A28))=0,"",IF($B$6="Total",SUMIFS(Countries!$AK$5:$AK$434,Countries!$A$5:$A$434,$B$4,Countries!$B$5:$B$434,$B$5,Countries!$D$5:$D$434,$A28),SUMIFS(Countries!$AK$5:$AK$434,Countries!$A$5:$A$434,$B$4,Countries!$B$5:$B$434,$B$5,Countries!$C$5:$C$434,$B$6,Countries!$D$5:$D$434,$A28)))</f>
        <v/>
      </c>
      <c r="AI28" s="41">
        <f>IF(IF($B$6="Total",SUMIFS(Countries!$AL$5:$AL$434,Countries!$A$5:$A$434,$B$4,Countries!$B$5:$B$434,$B$5,Countries!$D$5:$D$434,$A28),SUMIFS(Countries!$AL$5:$AL$434,Countries!$A$5:$A$434,$B$4,Countries!$B$5:$B$434,$B$5,Countries!$C$5:$C$434,$B$6,Countries!$D$5:$D$434,$A28))=0,"",IF($B$6="Total",SUMIFS(Countries!$AL$5:$AL$434,Countries!$A$5:$A$434,$B$4,Countries!$B$5:$B$434,$B$5,Countries!$D$5:$D$434,$A28),SUMIFS(Countries!$AL$5:$AL$434,Countries!$A$5:$A$434,$B$4,Countries!$B$5:$B$434,$B$5,Countries!$C$5:$C$434,$B$6,Countries!$D$5:$D$434,$A28)))</f>
        <v/>
      </c>
      <c r="AJ28" s="69">
        <f>IF(OR(AI28="",AH28="",AH28=0,AI28=0),"",AI28-AH28)</f>
        <v/>
      </c>
      <c r="AK28" s="42">
        <f>IF(OR(AI28="",AH28="",AH28=0,AI28=0),"",AI28/AH28-1)</f>
        <v/>
      </c>
      <c r="AL28" s="43">
        <f>IF(IF($B$6="Total",SUMIFS(Countries!$AD$5:$AD$434,Countries!$A$5:$A$434,$B$4,Countries!$B$5:$B$434,$B$5,Countries!$D$5:$D$434,$A28,Countries!$AK$5:$AK$434,"&gt;0"),SUMIFS(Countries!$AD$5:$AD$434,Countries!$A$5:$A$434,$B$4,Countries!$B$5:$B$434,$B$5,Countries!$C$5:$C$434,$B$6,Countries!$D$5:$D$434,$A28,Countries!$AK$5:$AK$434,"&gt;0"))=0,"",IF($B$6="Total",SUMIFS(Countries!$AK$5:$AK$434,Countries!$A$5:$A$434,$B$4,Countries!$B$5:$B$434,$B$5,Countries!$D$5:$D$434,$A28,Countries!$AD$5:$AD$434,"&gt;0"),SUMIFS(Countries!$AK$5:$AK$434,Countries!$A$5:$A$434,$B$4,Countries!$B$5:$B$434,$B$5,Countries!$C$5:$C$434,$B$6,Countries!$D$5:$D$434,$A28,Countries!$AD$5:$AD$434,"&gt;0"))/IF($B$6="Total",SUMIFS(Countries!$AD$5:$AD$434,Countries!$A$5:$A$434,$B$4,Countries!$B$5:$B$434,$B$5,Countries!$D$5:$D$434,$A28,Countries!$AK$5:$AK$434,"&gt;0"),SUMIFS(Countries!$AD$5:$AD$434,Countries!$A$5:$A$434,$B$4,Countries!$B$5:$B$434,$B$5,Countries!$C$5:$C$434,$B$6,Countries!$D$5:$D$434,$A28,Countries!$AK$5:$AK$434,"&gt;0")))</f>
        <v/>
      </c>
      <c r="AM28" s="43">
        <f>IF(IF($B$6="Total",SUMIFS(Countries!$AE$5:$AE$434,Countries!$A$5:$A$434,$B$4,Countries!$B$5:$B$434,$B$5,Countries!$D$5:$D$434,$A28,Countries!$AL$5:$AL$434,"&gt;0"),SUMIFS(Countries!$AE$5:$AE$434,Countries!$A$5:$A$434,$B$4,Countries!$B$5:$B$434,$B$5,Countries!$C$5:$C$434,$B$6,Countries!$D$5:$D$434,$A28,Countries!$AL$5:$AL$434,"&gt;0"))=0,"",IF($B$6="Total",SUMIFS(Countries!$AL$5:$AL$434,Countries!$A$5:$A$434,$B$4,Countries!$B$5:$B$434,$B$5,Countries!$D$5:$D$434,$A28,Countries!$AE$5:$AE$434,"&gt;0"),SUMIFS(Countries!$AL$5:$AL$434,Countries!$A$5:$A$434,$B$4,Countries!$B$5:$B$434,$B$5,Countries!$C$5:$C$434,$B$6,Countries!$D$5:$D$434,$A28,Countries!$AE$5:$AE$434,"&gt;0"))/IF($B$6="Total",SUMIFS(Countries!$AE$5:$AE$434,Countries!$A$5:$A$434,$B$4,Countries!$B$5:$B$434,$B$5,Countries!$D$5:$D$434,$A28,Countries!$AL$5:$AL$434,"&gt;0"),SUMIFS(Countries!$AE$5:$AE$434,Countries!$A$5:$A$434,$B$4,Countries!$B$5:$B$434,$B$5,Countries!$C$5:$C$434,$B$6,Countries!$D$5:$D$434,$A28,Countries!$AL$5:$AL$434,"&gt;0")))</f>
        <v/>
      </c>
      <c r="AN28" s="44">
        <f>IF(OR(AM28="",AL28=""),"",(AM28-AL28)*100)</f>
        <v/>
      </c>
      <c r="AO28" s="41">
        <f>IF(IF($B$6="Total",SUMIFS(Countries!$AR$5:$AR$434,Countries!$A$5:$A$434,$B$4,Countries!$B$5:$B$434,$B$5,Countries!$D$5:$D$434,$A28),SUMIFS(Countries!$AR$5:$AR$434,Countries!$A$5:$A$434,$B$4,Countries!$B$5:$B$434,$B$5,Countries!$C$5:$C$434,$B$6,Countries!$D$5:$D$434,$A28))=0,"",IF($B$6="Total",SUMIFS(Countries!$AR$5:$AR$434,Countries!$A$5:$A$434,$B$4,Countries!$B$5:$B$434,$B$5,Countries!$D$5:$D$434,$A28),SUMIFS(Countries!$AR$5:$AR$434,Countries!$A$5:$A$434,$B$4,Countries!$B$5:$B$434,$B$5,Countries!$C$5:$C$434,$B$6,Countries!$D$5:$D$434,$A28)))</f>
        <v/>
      </c>
      <c r="AP28" s="41">
        <f>IF(IF($B$6="Total",SUMIFS(Countries!$AS$5:$AS$434,Countries!$A$5:$A$434,$B$4,Countries!$B$5:$B$434,$B$5,Countries!$D$5:$D$434,$A28),SUMIFS(Countries!$AS$5:$AS$434,Countries!$A$5:$A$434,$B$4,Countries!$B$5:$B$434,$B$5,Countries!$C$5:$C$434,$B$6,Countries!$D$5:$D$434,$A28))=0,"",IF($B$6="Total",SUMIFS(Countries!$AS$5:$AS$434,Countries!$A$5:$A$434,$B$4,Countries!$B$5:$B$434,$B$5,Countries!$D$5:$D$434,$A28),SUMIFS(Countries!$AS$5:$AS$434,Countries!$A$5:$A$434,$B$4,Countries!$B$5:$B$434,$B$5,Countries!$C$5:$C$434,$B$6,Countries!$D$5:$D$434,$A28)))</f>
        <v/>
      </c>
      <c r="AQ28" s="69">
        <f>IF(OR(AP28="",AO28="",AO28=0,AP28=0),"",AP28-AO28)</f>
        <v/>
      </c>
      <c r="AR28" s="42">
        <f>IF(OR(AP28="",AO28="",AO28=0,AP28=0),"",AP28/AO28-1)</f>
        <v/>
      </c>
      <c r="AS28" s="43">
        <f>IF(IF($B$6="Total",SUMIFS(Countries!$AK$5:$AK$434,Countries!$A$5:$A$434,$B$4,Countries!$B$5:$B$434,$B$5,Countries!$D$5:$D$434,$A28,Countries!$AR$5:$AR$434,"&gt;0"),SUMIFS(Countries!$AK$5:$AK$434,Countries!$A$5:$A$434,$B$4,Countries!$B$5:$B$434,$B$5,Countries!$C$5:$C$434,$B$6,Countries!$D$5:$D$434,$A28,Countries!$AR$5:$AR$434,"&gt;0"))=0,"",IF($B$6="Total",SUMIFS(Countries!$AR$5:$AR$434,Countries!$A$5:$A$434,$B$4,Countries!$B$5:$B$434,$B$5,Countries!$D$5:$D$434,$A28,Countries!$AK$5:$AK$434,"&gt;0"),SUMIFS(Countries!$AR$5:$AR$434,Countries!$A$5:$A$434,$B$4,Countries!$B$5:$B$434,$B$5,Countries!$C$5:$C$434,$B$6,Countries!$D$5:$D$434,$A28,Countries!$AK$5:$AK$434,"&gt;0"))/IF($B$6="Total",SUMIFS(Countries!$AK$5:$AK$434,Countries!$A$5:$A$434,$B$4,Countries!$B$5:$B$434,$B$5,Countries!$D$5:$D$434,$A28,Countries!$AR$5:$AR$434,"&gt;0"),SUMIFS(Countries!$AK$5:$AK$434,Countries!$A$5:$A$434,$B$4,Countries!$B$5:$B$434,$B$5,Countries!$C$5:$C$434,$B$6,Countries!$D$5:$D$434,$A28,Countries!$AR$5:$AR$434,"&gt;0")))</f>
        <v/>
      </c>
      <c r="AT28" s="43">
        <f>IF(IF($B$6="Total",SUMIFS(Countries!$AL$5:$AL$434,Countries!$A$5:$A$434,$B$4,Countries!$B$5:$B$434,$B$5,Countries!$D$5:$D$434,$A28,Countries!$AS$5:$AS$434,"&gt;0"),SUMIFS(Countries!$AL$5:$AL$434,Countries!$A$5:$A$434,$B$4,Countries!$B$5:$B$434,$B$5,Countries!$C$5:$C$434,$B$6,Countries!$D$5:$D$434,$A28,Countries!$AS$5:$AS$434,"&gt;0"))=0,"",IF($B$6="Total",SUMIFS(Countries!$AS$5:$AS$434,Countries!$A$5:$A$434,$B$4,Countries!$B$5:$B$434,$B$5,Countries!$D$5:$D$434,$A28,Countries!$AL$5:$AL$434,"&gt;0"),SUMIFS(Countries!$AS$5:$AS$434,Countries!$A$5:$A$434,$B$4,Countries!$B$5:$B$434,$B$5,Countries!$C$5:$C$434,$B$6,Countries!$D$5:$D$434,$A28,Countries!$AL$5:$AL$434,"&gt;0"))/IF($B$6="Total",SUMIFS(Countries!$AL$5:$AL$434,Countries!$A$5:$A$434,$B$4,Countries!$B$5:$B$434,$B$5,Countries!$D$5:$D$434,$A28,Countries!$AS$5:$AS$434,"&gt;0"),SUMIFS(Countries!$AL$5:$AL$434,Countries!$A$5:$A$434,$B$4,Countries!$B$5:$B$434,$B$5,Countries!$C$5:$C$434,$B$6,Countries!$D$5:$D$434,$A28,Countries!$AS$5:$AS$434,"&gt;0")))</f>
        <v/>
      </c>
      <c r="AU28" s="44">
        <f>IF(OR(AT28="",AS28=""),"",(AT28-AS28)*100)</f>
        <v/>
      </c>
      <c r="AV28" s="45">
        <f>IF(IF($B$6="Total",SUMIFS(Countries!$P$5:$P$434,Countries!$A$5:$A$434,$B$4,Countries!$B$5:$B$434,$B$5,Countries!$D$5:$D$434,$A28,Countries!$AR$5:$AR$434,"&gt;0"),SUMIFS(Countries!$P$5:$P$434,Countries!$A$5:$A$434,$B$4,Countries!$B$5:$B$434,$B$5,Countries!$C$5:$C$434,$B$6,Countries!$D$5:$D$434,$A28,Countries!$AR$5:$AR$434,"&gt;0"))=0,"",IF($B$6="Total",SUMIFS(Countries!$AR$5:$AR$434,Countries!$A$5:$A$434,$B$4,Countries!$B$5:$B$434,$B$5,Countries!$D$5:$D$434,$A28,Countries!$P$5:$P$434,"&gt;0"),SUMIFS(Countries!$AR$5:$AR$434,Countries!$A$5:$A$434,$B$4,Countries!$B$5:$B$434,$B$5,Countries!$C$5:$C$434,$B$6,Countries!$D$5:$D$434,$A28,Countries!$P$5:$P$434,"&gt;0"))/IF($B$6="Total",SUMIFS(Countries!$P$5:$P$434,Countries!$A$5:$A$434,$B$4,Countries!$B$5:$B$434,$B$5,Countries!$D$5:$D$434,$A28,Countries!$AR$5:$AR$434,"&gt;0"),SUMIFS(Countries!$P$5:$P$434,Countries!$A$5:$A$434,$B$4,Countries!$B$5:$B$434,$B$5,Countries!$C$5:$C$434,$B$6,Countries!$D$5:$D$434,$A28,Countries!$AR$5:$AR$434,"&gt;0")))</f>
        <v/>
      </c>
      <c r="AW28" s="45">
        <f>IF(IF($B$6="Total",SUMIFS(Countries!$Q$5:$Q$434,Countries!$A$5:$A$434,$B$4,Countries!$B$5:$B$434,$B$5,Countries!$D$5:$D$434,$A28,Countries!$AS$5:$AS$434,"&gt;0"),SUMIFS(Countries!$Q$5:$Q$434,Countries!$A$5:$A$434,$B$4,Countries!$B$5:$B$434,$B$5,Countries!$C$5:$C$434,$B$6,Countries!$D$5:$D$434,$A28,Countries!$AS$5:$AS$434,"&gt;0"))=0,"",IF($B$6="Total",SUMIFS(Countries!$AS$5:$AS$434,Countries!$A$5:$A$434,$B$4,Countries!$B$5:$B$434,$B$5,Countries!$D$5:$D$434,$A28,Countries!$Q$5:$Q$434,"&gt;0"),SUMIFS(Countries!$AS$5:$AS$434,Countries!$A$5:$A$434,$B$4,Countries!$B$5:$B$434,$B$5,Countries!$C$5:$C$434,$B$6,Countries!$D$5:$D$434,$A28,Countries!$Q$5:$Q$434,"&gt;0"))/IF($B$6="Total",SUMIFS(Countries!$Q$5:$Q$434,Countries!$A$5:$A$434,$B$4,Countries!$B$5:$B$434,$B$5,Countries!$D$5:$D$434,$A28,Countries!$AS$5:$AS$434,"&gt;0"),SUMIFS(Countries!$Q$5:$Q$434,Countries!$A$5:$A$434,$B$4,Countries!$B$5:$B$434,$B$5,Countries!$C$5:$C$434,$B$6,Countries!$D$5:$D$434,$A28,Countries!$AS$5:$AS$434,"&gt;0")))</f>
        <v/>
      </c>
      <c r="AX28" s="44">
        <f>IF(OR(AW28="",AV28=""),"",(AW28-AV28)*100)</f>
        <v/>
      </c>
      <c r="AY28" s="45">
        <f>IF(IF($B$6="Total",SUMIFS(Countries!$E$5:$E$434,Countries!$A$5:$A$434,$B$4,Countries!$B$5:$B$434,$B$5,Countries!$D$5:$D$434,$A28,Countries!$AR$5:$AR$434,"&gt;0"),SUMIFS(Countries!$E$5:$E$434,Countries!$A$5:$A$434,$B$4,Countries!$B$5:$B$434,$B$5,Countries!$C$5:$C$434,$B$6,Countries!$D$5:$D$434,$A28,Countries!$AR$5:$AR$434,"&gt;0"))=0,"",IF($B$6="Total",SUMIFS(Countries!$AR$5:$AR$434,Countries!$A$5:$A$434,$B$4,Countries!$B$5:$B$434,$B$5,Countries!$D$5:$D$434,$A28,Countries!$E$5:$E$434,"&gt;0"),SUMIFS(Countries!$AR$5:$AR$434,Countries!$A$5:$A$434,$B$4,Countries!$B$5:$B$434,$B$5,Countries!$C$5:$C$434,$B$6,Countries!$D$5:$D$434,$A28,Countries!$E$5:$E$434,"&gt;0"))/IF($B$6="Total",SUMIFS(Countries!$E$5:$E$434,Countries!$A$5:$A$434,$B$4,Countries!$B$5:$B$434,$B$5,Countries!$D$5:$D$434,$A28,Countries!$AR$5:$AR$434,"&gt;0"),SUMIFS(Countries!$E$5:$E$434,Countries!$A$5:$A$434,$B$4,Countries!$B$5:$B$434,$B$5,Countries!$C$5:$C$434,$B$6,Countries!$D$5:$D$434,$A28,Countries!$AR$5:$AR$434,"&gt;0")))</f>
        <v/>
      </c>
      <c r="AZ28" s="45">
        <f>IF(IF($B$6="Total",SUMIFS(Countries!$F$5:$F$434,Countries!$A$5:$A$434,$B$4,Countries!$B$5:$B$434,$B$5,Countries!$D$5:$D$434,$A28,Countries!$AS$5:$AS$434,"&gt;0"),SUMIFS(Countries!$F$5:$F$434,Countries!$A$5:$A$434,$B$4,Countries!$B$5:$B$434,$B$5,Countries!$C$5:$C$434,$B$6,Countries!$D$5:$D$434,$A28,Countries!$AS$5:$AS$434,"&gt;0"))=0,"",IF($B$6="Total",SUMIFS(Countries!$AS$5:$AS$434,Countries!$A$5:$A$434,$B$4,Countries!$B$5:$B$434,$B$5,Countries!$D$5:$D$434,$A28,Countries!$F$5:$F$434,"&gt;0"),SUMIFS(Countries!$AS$5:$AS$434,Countries!$A$5:$A$434,$B$4,Countries!$B$5:$B$434,$B$5,Countries!$C$5:$C$434,$B$6,Countries!$D$5:$D$434,$A28,Countries!$F$5:$F$434,"&gt;0"))/IF($B$6="Total",SUMIFS(Countries!$F$5:$F$434,Countries!$A$5:$A$434,$B$4,Countries!$B$5:$B$434,$B$5,Countries!$D$5:$D$434,$A28,Countries!$AS$5:$AS$434,"&gt;0"),SUMIFS(Countries!$F$5:$F$434,Countries!$A$5:$A$434,$B$4,Countries!$B$5:$B$434,$B$5,Countries!$C$5:$C$434,$B$6,Countries!$D$5:$D$434,$A28,Countries!$AS$5:$AS$434,"&gt;0")))</f>
        <v/>
      </c>
      <c r="BA28" s="44">
        <f>IF(OR(AZ28="",AY28=""),"",(AZ28-AY28)*100)</f>
        <v/>
      </c>
      <c r="BB28" s="40">
        <f>IF(AND(IF($B$6="Total",COUNTIFS(Countries!$A$5:$A$434,$B$4,Countries!$B$5:$B$434,$B$5,Countries!$D$5:$D$434,$A28,Countries!$F$5:$F$434,"&gt;0"),COUNTIFS(Countries!$A$5:$A$434,$B$4,Countries!$B$5:$B$434,$B$5,Countries!$C$5:$C$434,$B$6,Countries!$D$5:$D$434,$A28,Countries!$F$5:$F$434,"&gt;0"))=0,IF($B$6="Total",COUNTIFS(Countries!$A$5:$A$434,$B$4,Countries!$B$5:$B$434,$B$5,Countries!$D$5:$D$434,$A28,Countries!$E$5:$E$434,"&gt;0"),COUNTIFS(Countries!$A$5:$A$434,$B$4,Countries!$B$5:$B$434,$B$5,Countries!$C$5:$C$434,$B$6,Countries!$D$5:$D$434,$A28,Countries!$E$5:$E$434,"&gt;0"))=0),"",IF(IF($B$6="Total",COUNTIFS(Countries!$A$5:$A$434,$B$4,Countries!$B$5:$B$434,$B$5,Countries!$D$5:$D$434,$A28,Countries!$F$5:$F$434,"&gt;0"),COUNTIFS(Countries!$A$5:$A$434,$B$4,Countries!$B$5:$B$434,$B$5,Countries!$C$5:$C$434,$B$6,Countries!$D$5:$D$434,$A28,Countries!$F$5:$F$434,"&gt;0"))=0,"1-23Aug25 rows only",IF(IF($B$6="Total",COUNTIFS(Countries!$A$5:$A$434,$B$4,Countries!$B$5:$B$434,$B$5,Countries!$D$5:$D$434,$A28,Countries!$E$5:$E$434,"&gt;0"),COUNTIFS(Countries!$A$5:$A$434,$B$4,Countries!$B$5:$B$434,$B$5,Countries!$C$5:$C$434,$B$6,Countries!$D$5:$D$434,$A28,Countries!$E$5:$E$434,"&gt;0"))=0,"1-23Aug26 rows only",IF(IF($B$6="Total",COUNTIFS(Countries!$A$5:$A$434,$B$4,Countries!$B$5:$B$434,$B$5,Countries!$D$5:$D$434,$A28,Countries!$F$5:$F$434,"&gt;0"),COUNTIFS(Countries!$A$5:$A$434,$B$4,Countries!$B$5:$B$434,$B$5,Countries!$C$5:$C$434,$B$6,Countries!$D$5:$D$434,$A28,Countries!$F$5:$F$434,"&gt;0"))=IF($B$6="Total",COUNTIFS(Countries!$A$5:$A$434,$B$4,Countries!$B$5:$B$434,$B$5,Countries!$D$5:$D$434,$A28,Countries!$E$5:$E$434,"&gt;0"),COUNTIFS(Countries!$A$5:$A$434,$B$4,Countries!$B$5:$B$434,$B$5,Countries!$C$5:$C$434,$B$6,Countries!$D$5:$D$434,$A28,Countries!$E$5:$E$434,"&gt;0")),"Like-for-like","Partial — coverage differs"))))</f>
        <v/>
      </c>
    </row>
    <row r="29">
      <c r="A29" s="40" t="inlineStr">
        <is>
          <t>Greece</t>
        </is>
      </c>
      <c r="B29" s="41">
        <f>IF(IF($B$6="Total",SUMIFS(Countries!$E$5:$E$434,Countries!$A$5:$A$434,$B$4,Countries!$B$5:$B$434,$B$5,Countries!$D$5:$D$434,$A29),SUMIFS(Countries!$E$5:$E$434,Countries!$A$5:$A$434,$B$4,Countries!$B$5:$B$434,$B$5,Countries!$C$5:$C$434,$B$6,Countries!$D$5:$D$434,$A29))=0,"",IF($B$6="Total",SUMIFS(Countries!$E$5:$E$434,Countries!$A$5:$A$434,$B$4,Countries!$B$5:$B$434,$B$5,Countries!$D$5:$D$434,$A29),SUMIFS(Countries!$E$5:$E$434,Countries!$A$5:$A$434,$B$4,Countries!$B$5:$B$434,$B$5,Countries!$C$5:$C$434,$B$6,Countries!$D$5:$D$434,$A29)))</f>
        <v/>
      </c>
      <c r="C29" s="41">
        <f>IF(IF($B$6="Total",SUMIFS(Countries!$F$5:$F$434,Countries!$A$5:$A$434,$B$4,Countries!$B$5:$B$434,$B$5,Countries!$D$5:$D$434,$A29),SUMIFS(Countries!$F$5:$F$434,Countries!$A$5:$A$434,$B$4,Countries!$B$5:$B$434,$B$5,Countries!$C$5:$C$434,$B$6,Countries!$D$5:$D$434,$A29))=0,"",IF($B$6="Total",SUMIFS(Countries!$F$5:$F$434,Countries!$A$5:$A$434,$B$4,Countries!$B$5:$B$434,$B$5,Countries!$D$5:$D$434,$A29),SUMIFS(Countries!$F$5:$F$434,Countries!$A$5:$A$434,$B$4,Countries!$B$5:$B$434,$B$5,Countries!$C$5:$C$434,$B$6,Countries!$D$5:$D$434,$A29)))</f>
        <v/>
      </c>
      <c r="D29" s="69">
        <f>IF(OR(C29="",B29="",B29=0,C29=0),"",C29-B29)</f>
        <v/>
      </c>
      <c r="E29" s="42">
        <f>IF(OR(C29="",B29="",B29=0,C29=0),"",C29/B29-1)</f>
        <v/>
      </c>
      <c r="F29" s="41">
        <f>IF(IF($B$6="Total",SUMIFS(Countries!$I$5:$I$434,Countries!$A$5:$A$434,$B$4,Countries!$B$5:$B$434,$B$5,Countries!$D$5:$D$434,$A29),SUMIFS(Countries!$I$5:$I$434,Countries!$A$5:$A$434,$B$4,Countries!$B$5:$B$434,$B$5,Countries!$C$5:$C$434,$B$6,Countries!$D$5:$D$434,$A29))=0,"",IF($B$6="Total",SUMIFS(Countries!$I$5:$I$434,Countries!$A$5:$A$434,$B$4,Countries!$B$5:$B$434,$B$5,Countries!$D$5:$D$434,$A29),SUMIFS(Countries!$I$5:$I$434,Countries!$A$5:$A$434,$B$4,Countries!$B$5:$B$434,$B$5,Countries!$C$5:$C$434,$B$6,Countries!$D$5:$D$434,$A29)))</f>
        <v/>
      </c>
      <c r="G29" s="41">
        <f>IF(IF($B$6="Total",SUMIFS(Countries!$J$5:$J$434,Countries!$A$5:$A$434,$B$4,Countries!$B$5:$B$434,$B$5,Countries!$D$5:$D$434,$A29),SUMIFS(Countries!$J$5:$J$434,Countries!$A$5:$A$434,$B$4,Countries!$B$5:$B$434,$B$5,Countries!$C$5:$C$434,$B$6,Countries!$D$5:$D$434,$A29))=0,"",IF($B$6="Total",SUMIFS(Countries!$J$5:$J$434,Countries!$A$5:$A$434,$B$4,Countries!$B$5:$B$434,$B$5,Countries!$D$5:$D$434,$A29),SUMIFS(Countries!$J$5:$J$434,Countries!$A$5:$A$434,$B$4,Countries!$B$5:$B$434,$B$5,Countries!$C$5:$C$434,$B$6,Countries!$D$5:$D$434,$A29)))</f>
        <v/>
      </c>
      <c r="H29" s="69">
        <f>IF(OR(G29="",F29="",F29=0,G29=0),"",G29-F29)</f>
        <v/>
      </c>
      <c r="I29" s="42">
        <f>IF(OR(G29="",F29="",F29=0,G29=0),"",G29/F29-1)</f>
        <v/>
      </c>
      <c r="J29" s="43">
        <f>IF(IF($B$6="Total",SUMIFS(Countries!$E$5:$E$434,Countries!$A$5:$A$434,$B$4,Countries!$B$5:$B$434,$B$5,Countries!$D$5:$D$434,$A29,Countries!$I$5:$I$434,"&gt;0"),SUMIFS(Countries!$E$5:$E$434,Countries!$A$5:$A$434,$B$4,Countries!$B$5:$B$434,$B$5,Countries!$C$5:$C$434,$B$6,Countries!$D$5:$D$434,$A29,Countries!$I$5:$I$434,"&gt;0"))=0,"",IF($B$6="Total",SUMIFS(Countries!$I$5:$I$434,Countries!$A$5:$A$434,$B$4,Countries!$B$5:$B$434,$B$5,Countries!$D$5:$D$434,$A29,Countries!$E$5:$E$434,"&gt;0"),SUMIFS(Countries!$I$5:$I$434,Countries!$A$5:$A$434,$B$4,Countries!$B$5:$B$434,$B$5,Countries!$C$5:$C$434,$B$6,Countries!$D$5:$D$434,$A29,Countries!$E$5:$E$434,"&gt;0"))/IF($B$6="Total",SUMIFS(Countries!$E$5:$E$434,Countries!$A$5:$A$434,$B$4,Countries!$B$5:$B$434,$B$5,Countries!$D$5:$D$434,$A29,Countries!$I$5:$I$434,"&gt;0"),SUMIFS(Countries!$E$5:$E$434,Countries!$A$5:$A$434,$B$4,Countries!$B$5:$B$434,$B$5,Countries!$C$5:$C$434,$B$6,Countries!$D$5:$D$434,$A29,Countries!$I$5:$I$434,"&gt;0")))</f>
        <v/>
      </c>
      <c r="K29" s="43">
        <f>IF(IF($B$6="Total",SUMIFS(Countries!$F$5:$F$434,Countries!$A$5:$A$434,$B$4,Countries!$B$5:$B$434,$B$5,Countries!$D$5:$D$434,$A29,Countries!$J$5:$J$434,"&gt;0"),SUMIFS(Countries!$F$5:$F$434,Countries!$A$5:$A$434,$B$4,Countries!$B$5:$B$434,$B$5,Countries!$C$5:$C$434,$B$6,Countries!$D$5:$D$434,$A29,Countries!$J$5:$J$434,"&gt;0"))=0,"",IF($B$6="Total",SUMIFS(Countries!$J$5:$J$434,Countries!$A$5:$A$434,$B$4,Countries!$B$5:$B$434,$B$5,Countries!$D$5:$D$434,$A29,Countries!$F$5:$F$434,"&gt;0"),SUMIFS(Countries!$J$5:$J$434,Countries!$A$5:$A$434,$B$4,Countries!$B$5:$B$434,$B$5,Countries!$C$5:$C$434,$B$6,Countries!$D$5:$D$434,$A29,Countries!$F$5:$F$434,"&gt;0"))/IF($B$6="Total",SUMIFS(Countries!$F$5:$F$434,Countries!$A$5:$A$434,$B$4,Countries!$B$5:$B$434,$B$5,Countries!$D$5:$D$434,$A29,Countries!$J$5:$J$434,"&gt;0"),SUMIFS(Countries!$F$5:$F$434,Countries!$A$5:$A$434,$B$4,Countries!$B$5:$B$434,$B$5,Countries!$C$5:$C$434,$B$6,Countries!$D$5:$D$434,$A29,Countries!$J$5:$J$434,"&gt;0")))</f>
        <v/>
      </c>
      <c r="L29" s="44">
        <f>IF(OR(K29="",J29=""),"",(K29-J29)*100)</f>
        <v/>
      </c>
      <c r="M29" s="41">
        <f>IF(IF($B$6="Total",SUMIFS(Countries!$P$5:$P$434,Countries!$A$5:$A$434,$B$4,Countries!$B$5:$B$434,$B$5,Countries!$D$5:$D$434,$A29),SUMIFS(Countries!$P$5:$P$434,Countries!$A$5:$A$434,$B$4,Countries!$B$5:$B$434,$B$5,Countries!$C$5:$C$434,$B$6,Countries!$D$5:$D$434,$A29))=0,"",IF($B$6="Total",SUMIFS(Countries!$P$5:$P$434,Countries!$A$5:$A$434,$B$4,Countries!$B$5:$B$434,$B$5,Countries!$D$5:$D$434,$A29),SUMIFS(Countries!$P$5:$P$434,Countries!$A$5:$A$434,$B$4,Countries!$B$5:$B$434,$B$5,Countries!$C$5:$C$434,$B$6,Countries!$D$5:$D$434,$A29)))</f>
        <v/>
      </c>
      <c r="N29" s="41">
        <f>IF(IF($B$6="Total",SUMIFS(Countries!$Q$5:$Q$434,Countries!$A$5:$A$434,$B$4,Countries!$B$5:$B$434,$B$5,Countries!$D$5:$D$434,$A29),SUMIFS(Countries!$Q$5:$Q$434,Countries!$A$5:$A$434,$B$4,Countries!$B$5:$B$434,$B$5,Countries!$C$5:$C$434,$B$6,Countries!$D$5:$D$434,$A29))=0,"",IF($B$6="Total",SUMIFS(Countries!$Q$5:$Q$434,Countries!$A$5:$A$434,$B$4,Countries!$B$5:$B$434,$B$5,Countries!$D$5:$D$434,$A29),SUMIFS(Countries!$Q$5:$Q$434,Countries!$A$5:$A$434,$B$4,Countries!$B$5:$B$434,$B$5,Countries!$C$5:$C$434,$B$6,Countries!$D$5:$D$434,$A29)))</f>
        <v/>
      </c>
      <c r="O29" s="69">
        <f>IF(OR(N29="",M29="",M29=0,N29=0),"",N29-M29)</f>
        <v/>
      </c>
      <c r="P29" s="42">
        <f>IF(OR(N29="",M29="",M29=0,N29=0),"",N29/M29-1)</f>
        <v/>
      </c>
      <c r="Q29" s="43">
        <f>IF(IF($B$6="Total",SUMIFS(Countries!$E$5:$E$434,Countries!$A$5:$A$434,$B$4,Countries!$B$5:$B$434,$B$5,Countries!$D$5:$D$434,$A29,Countries!$P$5:$P$434,"&gt;0"),SUMIFS(Countries!$E$5:$E$434,Countries!$A$5:$A$434,$B$4,Countries!$B$5:$B$434,$B$5,Countries!$C$5:$C$434,$B$6,Countries!$D$5:$D$434,$A29,Countries!$P$5:$P$434,"&gt;0"))=0,"",IF($B$6="Total",SUMIFS(Countries!$P$5:$P$434,Countries!$A$5:$A$434,$B$4,Countries!$B$5:$B$434,$B$5,Countries!$D$5:$D$434,$A29,Countries!$E$5:$E$434,"&gt;0"),SUMIFS(Countries!$P$5:$P$434,Countries!$A$5:$A$434,$B$4,Countries!$B$5:$B$434,$B$5,Countries!$C$5:$C$434,$B$6,Countries!$D$5:$D$434,$A29,Countries!$E$5:$E$434,"&gt;0"))/IF($B$6="Total",SUMIFS(Countries!$E$5:$E$434,Countries!$A$5:$A$434,$B$4,Countries!$B$5:$B$434,$B$5,Countries!$D$5:$D$434,$A29,Countries!$P$5:$P$434,"&gt;0"),SUMIFS(Countries!$E$5:$E$434,Countries!$A$5:$A$434,$B$4,Countries!$B$5:$B$434,$B$5,Countries!$C$5:$C$434,$B$6,Countries!$D$5:$D$434,$A29,Countries!$P$5:$P$434,"&gt;0")))</f>
        <v/>
      </c>
      <c r="R29" s="43">
        <f>IF(IF($B$6="Total",SUMIFS(Countries!$F$5:$F$434,Countries!$A$5:$A$434,$B$4,Countries!$B$5:$B$434,$B$5,Countries!$D$5:$D$434,$A29,Countries!$Q$5:$Q$434,"&gt;0"),SUMIFS(Countries!$F$5:$F$434,Countries!$A$5:$A$434,$B$4,Countries!$B$5:$B$434,$B$5,Countries!$C$5:$C$434,$B$6,Countries!$D$5:$D$434,$A29,Countries!$Q$5:$Q$434,"&gt;0"))=0,"",IF($B$6="Total",SUMIFS(Countries!$Q$5:$Q$434,Countries!$A$5:$A$434,$B$4,Countries!$B$5:$B$434,$B$5,Countries!$D$5:$D$434,$A29,Countries!$F$5:$F$434,"&gt;0"),SUMIFS(Countries!$Q$5:$Q$434,Countries!$A$5:$A$434,$B$4,Countries!$B$5:$B$434,$B$5,Countries!$C$5:$C$434,$B$6,Countries!$D$5:$D$434,$A29,Countries!$F$5:$F$434,"&gt;0"))/IF($B$6="Total",SUMIFS(Countries!$F$5:$F$434,Countries!$A$5:$A$434,$B$4,Countries!$B$5:$B$434,$B$5,Countries!$D$5:$D$434,$A29,Countries!$Q$5:$Q$434,"&gt;0"),SUMIFS(Countries!$F$5:$F$434,Countries!$A$5:$A$434,$B$4,Countries!$B$5:$B$434,$B$5,Countries!$C$5:$C$434,$B$6,Countries!$D$5:$D$434,$A29,Countries!$Q$5:$Q$434,"&gt;0")))</f>
        <v/>
      </c>
      <c r="S29" s="44">
        <f>IF(OR(R29="",Q29=""),"",(R29-Q29)*100)</f>
        <v/>
      </c>
      <c r="T29" s="41">
        <f>IF(IF($B$6="Total",SUMIFS(Countries!$W$5:$W$434,Countries!$A$5:$A$434,$B$4,Countries!$B$5:$B$434,$B$5,Countries!$D$5:$D$434,$A29),SUMIFS(Countries!$W$5:$W$434,Countries!$A$5:$A$434,$B$4,Countries!$B$5:$B$434,$B$5,Countries!$C$5:$C$434,$B$6,Countries!$D$5:$D$434,$A29))=0,"",IF($B$6="Total",SUMIFS(Countries!$W$5:$W$434,Countries!$A$5:$A$434,$B$4,Countries!$B$5:$B$434,$B$5,Countries!$D$5:$D$434,$A29),SUMIFS(Countries!$W$5:$W$434,Countries!$A$5:$A$434,$B$4,Countries!$B$5:$B$434,$B$5,Countries!$C$5:$C$434,$B$6,Countries!$D$5:$D$434,$A29)))</f>
        <v/>
      </c>
      <c r="U29" s="41">
        <f>IF(IF($B$6="Total",SUMIFS(Countries!$X$5:$X$434,Countries!$A$5:$A$434,$B$4,Countries!$B$5:$B$434,$B$5,Countries!$D$5:$D$434,$A29),SUMIFS(Countries!$X$5:$X$434,Countries!$A$5:$A$434,$B$4,Countries!$B$5:$B$434,$B$5,Countries!$C$5:$C$434,$B$6,Countries!$D$5:$D$434,$A29))=0,"",IF($B$6="Total",SUMIFS(Countries!$X$5:$X$434,Countries!$A$5:$A$434,$B$4,Countries!$B$5:$B$434,$B$5,Countries!$D$5:$D$434,$A29),SUMIFS(Countries!$X$5:$X$434,Countries!$A$5:$A$434,$B$4,Countries!$B$5:$B$434,$B$5,Countries!$C$5:$C$434,$B$6,Countries!$D$5:$D$434,$A29)))</f>
        <v/>
      </c>
      <c r="V29" s="69">
        <f>IF(OR(U29="",T29="",T29=0,U29=0),"",U29-T29)</f>
        <v/>
      </c>
      <c r="W29" s="42">
        <f>IF(OR(U29="",T29="",T29=0,U29=0),"",U29/T29-1)</f>
        <v/>
      </c>
      <c r="X29" s="43">
        <f>IF(IF($B$6="Total",SUMIFS(Countries!$P$5:$P$434,Countries!$A$5:$A$434,$B$4,Countries!$B$5:$B$434,$B$5,Countries!$D$5:$D$434,$A29,Countries!$W$5:$W$434,"&gt;0"),SUMIFS(Countries!$P$5:$P$434,Countries!$A$5:$A$434,$B$4,Countries!$B$5:$B$434,$B$5,Countries!$C$5:$C$434,$B$6,Countries!$D$5:$D$434,$A29,Countries!$W$5:$W$434,"&gt;0"))=0,"",IF($B$6="Total",SUMIFS(Countries!$W$5:$W$434,Countries!$A$5:$A$434,$B$4,Countries!$B$5:$B$434,$B$5,Countries!$D$5:$D$434,$A29,Countries!$P$5:$P$434,"&gt;0"),SUMIFS(Countries!$W$5:$W$434,Countries!$A$5:$A$434,$B$4,Countries!$B$5:$B$434,$B$5,Countries!$C$5:$C$434,$B$6,Countries!$D$5:$D$434,$A29,Countries!$P$5:$P$434,"&gt;0"))/IF($B$6="Total",SUMIFS(Countries!$P$5:$P$434,Countries!$A$5:$A$434,$B$4,Countries!$B$5:$B$434,$B$5,Countries!$D$5:$D$434,$A29,Countries!$W$5:$W$434,"&gt;0"),SUMIFS(Countries!$P$5:$P$434,Countries!$A$5:$A$434,$B$4,Countries!$B$5:$B$434,$B$5,Countries!$C$5:$C$434,$B$6,Countries!$D$5:$D$434,$A29,Countries!$W$5:$W$434,"&gt;0")))</f>
        <v/>
      </c>
      <c r="Y29" s="43">
        <f>IF(IF($B$6="Total",SUMIFS(Countries!$Q$5:$Q$434,Countries!$A$5:$A$434,$B$4,Countries!$B$5:$B$434,$B$5,Countries!$D$5:$D$434,$A29,Countries!$X$5:$X$434,"&gt;0"),SUMIFS(Countries!$Q$5:$Q$434,Countries!$A$5:$A$434,$B$4,Countries!$B$5:$B$434,$B$5,Countries!$C$5:$C$434,$B$6,Countries!$D$5:$D$434,$A29,Countries!$X$5:$X$434,"&gt;0"))=0,"",IF($B$6="Total",SUMIFS(Countries!$X$5:$X$434,Countries!$A$5:$A$434,$B$4,Countries!$B$5:$B$434,$B$5,Countries!$D$5:$D$434,$A29,Countries!$Q$5:$Q$434,"&gt;0"),SUMIFS(Countries!$X$5:$X$434,Countries!$A$5:$A$434,$B$4,Countries!$B$5:$B$434,$B$5,Countries!$C$5:$C$434,$B$6,Countries!$D$5:$D$434,$A29,Countries!$Q$5:$Q$434,"&gt;0"))/IF($B$6="Total",SUMIFS(Countries!$Q$5:$Q$434,Countries!$A$5:$A$434,$B$4,Countries!$B$5:$B$434,$B$5,Countries!$D$5:$D$434,$A29,Countries!$X$5:$X$434,"&gt;0"),SUMIFS(Countries!$Q$5:$Q$434,Countries!$A$5:$A$434,$B$4,Countries!$B$5:$B$434,$B$5,Countries!$C$5:$C$434,$B$6,Countries!$D$5:$D$434,$A29,Countries!$X$5:$X$434,"&gt;0")))</f>
        <v/>
      </c>
      <c r="Z29" s="44">
        <f>IF(OR(Y29="",X29=""),"",(Y29-X29)*100)</f>
        <v/>
      </c>
      <c r="AA29" s="41">
        <f>IF(IF($B$6="Total",SUMIFS(Countries!$AD$5:$AD$434,Countries!$A$5:$A$434,$B$4,Countries!$B$5:$B$434,$B$5,Countries!$D$5:$D$434,$A29),SUMIFS(Countries!$AD$5:$AD$434,Countries!$A$5:$A$434,$B$4,Countries!$B$5:$B$434,$B$5,Countries!$C$5:$C$434,$B$6,Countries!$D$5:$D$434,$A29))=0,"",IF($B$6="Total",SUMIFS(Countries!$AD$5:$AD$434,Countries!$A$5:$A$434,$B$4,Countries!$B$5:$B$434,$B$5,Countries!$D$5:$D$434,$A29),SUMIFS(Countries!$AD$5:$AD$434,Countries!$A$5:$A$434,$B$4,Countries!$B$5:$B$434,$B$5,Countries!$C$5:$C$434,$B$6,Countries!$D$5:$D$434,$A29)))</f>
        <v/>
      </c>
      <c r="AB29" s="41">
        <f>IF(IF($B$6="Total",SUMIFS(Countries!$AE$5:$AE$434,Countries!$A$5:$A$434,$B$4,Countries!$B$5:$B$434,$B$5,Countries!$D$5:$D$434,$A29),SUMIFS(Countries!$AE$5:$AE$434,Countries!$A$5:$A$434,$B$4,Countries!$B$5:$B$434,$B$5,Countries!$C$5:$C$434,$B$6,Countries!$D$5:$D$434,$A29))=0,"",IF($B$6="Total",SUMIFS(Countries!$AE$5:$AE$434,Countries!$A$5:$A$434,$B$4,Countries!$B$5:$B$434,$B$5,Countries!$D$5:$D$434,$A29),SUMIFS(Countries!$AE$5:$AE$434,Countries!$A$5:$A$434,$B$4,Countries!$B$5:$B$434,$B$5,Countries!$C$5:$C$434,$B$6,Countries!$D$5:$D$434,$A29)))</f>
        <v/>
      </c>
      <c r="AC29" s="69">
        <f>IF(OR(AB29="",AA29="",AA29=0,AB29=0),"",AB29-AA29)</f>
        <v/>
      </c>
      <c r="AD29" s="42">
        <f>IF(OR(AB29="",AA29="",AA29=0,AB29=0),"",AB29/AA29-1)</f>
        <v/>
      </c>
      <c r="AE29" s="43">
        <f>IF(IF($B$6="Total",SUMIFS(Countries!$W$5:$W$434,Countries!$A$5:$A$434,$B$4,Countries!$B$5:$B$434,$B$5,Countries!$D$5:$D$434,$A29,Countries!$AD$5:$AD$434,"&gt;0"),SUMIFS(Countries!$W$5:$W$434,Countries!$A$5:$A$434,$B$4,Countries!$B$5:$B$434,$B$5,Countries!$C$5:$C$434,$B$6,Countries!$D$5:$D$434,$A29,Countries!$AD$5:$AD$434,"&gt;0"))=0,"",IF($B$6="Total",SUMIFS(Countries!$AD$5:$AD$434,Countries!$A$5:$A$434,$B$4,Countries!$B$5:$B$434,$B$5,Countries!$D$5:$D$434,$A29,Countries!$W$5:$W$434,"&gt;0"),SUMIFS(Countries!$AD$5:$AD$434,Countries!$A$5:$A$434,$B$4,Countries!$B$5:$B$434,$B$5,Countries!$C$5:$C$434,$B$6,Countries!$D$5:$D$434,$A29,Countries!$W$5:$W$434,"&gt;0"))/IF($B$6="Total",SUMIFS(Countries!$W$5:$W$434,Countries!$A$5:$A$434,$B$4,Countries!$B$5:$B$434,$B$5,Countries!$D$5:$D$434,$A29,Countries!$AD$5:$AD$434,"&gt;0"),SUMIFS(Countries!$W$5:$W$434,Countries!$A$5:$A$434,$B$4,Countries!$B$5:$B$434,$B$5,Countries!$C$5:$C$434,$B$6,Countries!$D$5:$D$434,$A29,Countries!$AD$5:$AD$434,"&gt;0")))</f>
        <v/>
      </c>
      <c r="AF29" s="43">
        <f>IF(IF($B$6="Total",SUMIFS(Countries!$X$5:$X$434,Countries!$A$5:$A$434,$B$4,Countries!$B$5:$B$434,$B$5,Countries!$D$5:$D$434,$A29,Countries!$AE$5:$AE$434,"&gt;0"),SUMIFS(Countries!$X$5:$X$434,Countries!$A$5:$A$434,$B$4,Countries!$B$5:$B$434,$B$5,Countries!$C$5:$C$434,$B$6,Countries!$D$5:$D$434,$A29,Countries!$AE$5:$AE$434,"&gt;0"))=0,"",IF($B$6="Total",SUMIFS(Countries!$AE$5:$AE$434,Countries!$A$5:$A$434,$B$4,Countries!$B$5:$B$434,$B$5,Countries!$D$5:$D$434,$A29,Countries!$X$5:$X$434,"&gt;0"),SUMIFS(Countries!$AE$5:$AE$434,Countries!$A$5:$A$434,$B$4,Countries!$B$5:$B$434,$B$5,Countries!$C$5:$C$434,$B$6,Countries!$D$5:$D$434,$A29,Countries!$X$5:$X$434,"&gt;0"))/IF($B$6="Total",SUMIFS(Countries!$X$5:$X$434,Countries!$A$5:$A$434,$B$4,Countries!$B$5:$B$434,$B$5,Countries!$D$5:$D$434,$A29,Countries!$AE$5:$AE$434,"&gt;0"),SUMIFS(Countries!$X$5:$X$434,Countries!$A$5:$A$434,$B$4,Countries!$B$5:$B$434,$B$5,Countries!$C$5:$C$434,$B$6,Countries!$D$5:$D$434,$A29,Countries!$AE$5:$AE$434,"&gt;0")))</f>
        <v/>
      </c>
      <c r="AG29" s="44">
        <f>IF(OR(AF29="",AE29=""),"",(AF29-AE29)*100)</f>
        <v/>
      </c>
      <c r="AH29" s="41">
        <f>IF(IF($B$6="Total",SUMIFS(Countries!$AK$5:$AK$434,Countries!$A$5:$A$434,$B$4,Countries!$B$5:$B$434,$B$5,Countries!$D$5:$D$434,$A29),SUMIFS(Countries!$AK$5:$AK$434,Countries!$A$5:$A$434,$B$4,Countries!$B$5:$B$434,$B$5,Countries!$C$5:$C$434,$B$6,Countries!$D$5:$D$434,$A29))=0,"",IF($B$6="Total",SUMIFS(Countries!$AK$5:$AK$434,Countries!$A$5:$A$434,$B$4,Countries!$B$5:$B$434,$B$5,Countries!$D$5:$D$434,$A29),SUMIFS(Countries!$AK$5:$AK$434,Countries!$A$5:$A$434,$B$4,Countries!$B$5:$B$434,$B$5,Countries!$C$5:$C$434,$B$6,Countries!$D$5:$D$434,$A29)))</f>
        <v/>
      </c>
      <c r="AI29" s="41">
        <f>IF(IF($B$6="Total",SUMIFS(Countries!$AL$5:$AL$434,Countries!$A$5:$A$434,$B$4,Countries!$B$5:$B$434,$B$5,Countries!$D$5:$D$434,$A29),SUMIFS(Countries!$AL$5:$AL$434,Countries!$A$5:$A$434,$B$4,Countries!$B$5:$B$434,$B$5,Countries!$C$5:$C$434,$B$6,Countries!$D$5:$D$434,$A29))=0,"",IF($B$6="Total",SUMIFS(Countries!$AL$5:$AL$434,Countries!$A$5:$A$434,$B$4,Countries!$B$5:$B$434,$B$5,Countries!$D$5:$D$434,$A29),SUMIFS(Countries!$AL$5:$AL$434,Countries!$A$5:$A$434,$B$4,Countries!$B$5:$B$434,$B$5,Countries!$C$5:$C$434,$B$6,Countries!$D$5:$D$434,$A29)))</f>
        <v/>
      </c>
      <c r="AJ29" s="69">
        <f>IF(OR(AI29="",AH29="",AH29=0,AI29=0),"",AI29-AH29)</f>
        <v/>
      </c>
      <c r="AK29" s="42">
        <f>IF(OR(AI29="",AH29="",AH29=0,AI29=0),"",AI29/AH29-1)</f>
        <v/>
      </c>
      <c r="AL29" s="43">
        <f>IF(IF($B$6="Total",SUMIFS(Countries!$AD$5:$AD$434,Countries!$A$5:$A$434,$B$4,Countries!$B$5:$B$434,$B$5,Countries!$D$5:$D$434,$A29,Countries!$AK$5:$AK$434,"&gt;0"),SUMIFS(Countries!$AD$5:$AD$434,Countries!$A$5:$A$434,$B$4,Countries!$B$5:$B$434,$B$5,Countries!$C$5:$C$434,$B$6,Countries!$D$5:$D$434,$A29,Countries!$AK$5:$AK$434,"&gt;0"))=0,"",IF($B$6="Total",SUMIFS(Countries!$AK$5:$AK$434,Countries!$A$5:$A$434,$B$4,Countries!$B$5:$B$434,$B$5,Countries!$D$5:$D$434,$A29,Countries!$AD$5:$AD$434,"&gt;0"),SUMIFS(Countries!$AK$5:$AK$434,Countries!$A$5:$A$434,$B$4,Countries!$B$5:$B$434,$B$5,Countries!$C$5:$C$434,$B$6,Countries!$D$5:$D$434,$A29,Countries!$AD$5:$AD$434,"&gt;0"))/IF($B$6="Total",SUMIFS(Countries!$AD$5:$AD$434,Countries!$A$5:$A$434,$B$4,Countries!$B$5:$B$434,$B$5,Countries!$D$5:$D$434,$A29,Countries!$AK$5:$AK$434,"&gt;0"),SUMIFS(Countries!$AD$5:$AD$434,Countries!$A$5:$A$434,$B$4,Countries!$B$5:$B$434,$B$5,Countries!$C$5:$C$434,$B$6,Countries!$D$5:$D$434,$A29,Countries!$AK$5:$AK$434,"&gt;0")))</f>
        <v/>
      </c>
      <c r="AM29" s="43">
        <f>IF(IF($B$6="Total",SUMIFS(Countries!$AE$5:$AE$434,Countries!$A$5:$A$434,$B$4,Countries!$B$5:$B$434,$B$5,Countries!$D$5:$D$434,$A29,Countries!$AL$5:$AL$434,"&gt;0"),SUMIFS(Countries!$AE$5:$AE$434,Countries!$A$5:$A$434,$B$4,Countries!$B$5:$B$434,$B$5,Countries!$C$5:$C$434,$B$6,Countries!$D$5:$D$434,$A29,Countries!$AL$5:$AL$434,"&gt;0"))=0,"",IF($B$6="Total",SUMIFS(Countries!$AL$5:$AL$434,Countries!$A$5:$A$434,$B$4,Countries!$B$5:$B$434,$B$5,Countries!$D$5:$D$434,$A29,Countries!$AE$5:$AE$434,"&gt;0"),SUMIFS(Countries!$AL$5:$AL$434,Countries!$A$5:$A$434,$B$4,Countries!$B$5:$B$434,$B$5,Countries!$C$5:$C$434,$B$6,Countries!$D$5:$D$434,$A29,Countries!$AE$5:$AE$434,"&gt;0"))/IF($B$6="Total",SUMIFS(Countries!$AE$5:$AE$434,Countries!$A$5:$A$434,$B$4,Countries!$B$5:$B$434,$B$5,Countries!$D$5:$D$434,$A29,Countries!$AL$5:$AL$434,"&gt;0"),SUMIFS(Countries!$AE$5:$AE$434,Countries!$A$5:$A$434,$B$4,Countries!$B$5:$B$434,$B$5,Countries!$C$5:$C$434,$B$6,Countries!$D$5:$D$434,$A29,Countries!$AL$5:$AL$434,"&gt;0")))</f>
        <v/>
      </c>
      <c r="AN29" s="44">
        <f>IF(OR(AM29="",AL29=""),"",(AM29-AL29)*100)</f>
        <v/>
      </c>
      <c r="AO29" s="41">
        <f>IF(IF($B$6="Total",SUMIFS(Countries!$AR$5:$AR$434,Countries!$A$5:$A$434,$B$4,Countries!$B$5:$B$434,$B$5,Countries!$D$5:$D$434,$A29),SUMIFS(Countries!$AR$5:$AR$434,Countries!$A$5:$A$434,$B$4,Countries!$B$5:$B$434,$B$5,Countries!$C$5:$C$434,$B$6,Countries!$D$5:$D$434,$A29))=0,"",IF($B$6="Total",SUMIFS(Countries!$AR$5:$AR$434,Countries!$A$5:$A$434,$B$4,Countries!$B$5:$B$434,$B$5,Countries!$D$5:$D$434,$A29),SUMIFS(Countries!$AR$5:$AR$434,Countries!$A$5:$A$434,$B$4,Countries!$B$5:$B$434,$B$5,Countries!$C$5:$C$434,$B$6,Countries!$D$5:$D$434,$A29)))</f>
        <v/>
      </c>
      <c r="AP29" s="41">
        <f>IF(IF($B$6="Total",SUMIFS(Countries!$AS$5:$AS$434,Countries!$A$5:$A$434,$B$4,Countries!$B$5:$B$434,$B$5,Countries!$D$5:$D$434,$A29),SUMIFS(Countries!$AS$5:$AS$434,Countries!$A$5:$A$434,$B$4,Countries!$B$5:$B$434,$B$5,Countries!$C$5:$C$434,$B$6,Countries!$D$5:$D$434,$A29))=0,"",IF($B$6="Total",SUMIFS(Countries!$AS$5:$AS$434,Countries!$A$5:$A$434,$B$4,Countries!$B$5:$B$434,$B$5,Countries!$D$5:$D$434,$A29),SUMIFS(Countries!$AS$5:$AS$434,Countries!$A$5:$A$434,$B$4,Countries!$B$5:$B$434,$B$5,Countries!$C$5:$C$434,$B$6,Countries!$D$5:$D$434,$A29)))</f>
        <v/>
      </c>
      <c r="AQ29" s="69">
        <f>IF(OR(AP29="",AO29="",AO29=0,AP29=0),"",AP29-AO29)</f>
        <v/>
      </c>
      <c r="AR29" s="42">
        <f>IF(OR(AP29="",AO29="",AO29=0,AP29=0),"",AP29/AO29-1)</f>
        <v/>
      </c>
      <c r="AS29" s="43">
        <f>IF(IF($B$6="Total",SUMIFS(Countries!$AK$5:$AK$434,Countries!$A$5:$A$434,$B$4,Countries!$B$5:$B$434,$B$5,Countries!$D$5:$D$434,$A29,Countries!$AR$5:$AR$434,"&gt;0"),SUMIFS(Countries!$AK$5:$AK$434,Countries!$A$5:$A$434,$B$4,Countries!$B$5:$B$434,$B$5,Countries!$C$5:$C$434,$B$6,Countries!$D$5:$D$434,$A29,Countries!$AR$5:$AR$434,"&gt;0"))=0,"",IF($B$6="Total",SUMIFS(Countries!$AR$5:$AR$434,Countries!$A$5:$A$434,$B$4,Countries!$B$5:$B$434,$B$5,Countries!$D$5:$D$434,$A29,Countries!$AK$5:$AK$434,"&gt;0"),SUMIFS(Countries!$AR$5:$AR$434,Countries!$A$5:$A$434,$B$4,Countries!$B$5:$B$434,$B$5,Countries!$C$5:$C$434,$B$6,Countries!$D$5:$D$434,$A29,Countries!$AK$5:$AK$434,"&gt;0"))/IF($B$6="Total",SUMIFS(Countries!$AK$5:$AK$434,Countries!$A$5:$A$434,$B$4,Countries!$B$5:$B$434,$B$5,Countries!$D$5:$D$434,$A29,Countries!$AR$5:$AR$434,"&gt;0"),SUMIFS(Countries!$AK$5:$AK$434,Countries!$A$5:$A$434,$B$4,Countries!$B$5:$B$434,$B$5,Countries!$C$5:$C$434,$B$6,Countries!$D$5:$D$434,$A29,Countries!$AR$5:$AR$434,"&gt;0")))</f>
        <v/>
      </c>
      <c r="AT29" s="43">
        <f>IF(IF($B$6="Total",SUMIFS(Countries!$AL$5:$AL$434,Countries!$A$5:$A$434,$B$4,Countries!$B$5:$B$434,$B$5,Countries!$D$5:$D$434,$A29,Countries!$AS$5:$AS$434,"&gt;0"),SUMIFS(Countries!$AL$5:$AL$434,Countries!$A$5:$A$434,$B$4,Countries!$B$5:$B$434,$B$5,Countries!$C$5:$C$434,$B$6,Countries!$D$5:$D$434,$A29,Countries!$AS$5:$AS$434,"&gt;0"))=0,"",IF($B$6="Total",SUMIFS(Countries!$AS$5:$AS$434,Countries!$A$5:$A$434,$B$4,Countries!$B$5:$B$434,$B$5,Countries!$D$5:$D$434,$A29,Countries!$AL$5:$AL$434,"&gt;0"),SUMIFS(Countries!$AS$5:$AS$434,Countries!$A$5:$A$434,$B$4,Countries!$B$5:$B$434,$B$5,Countries!$C$5:$C$434,$B$6,Countries!$D$5:$D$434,$A29,Countries!$AL$5:$AL$434,"&gt;0"))/IF($B$6="Total",SUMIFS(Countries!$AL$5:$AL$434,Countries!$A$5:$A$434,$B$4,Countries!$B$5:$B$434,$B$5,Countries!$D$5:$D$434,$A29,Countries!$AS$5:$AS$434,"&gt;0"),SUMIFS(Countries!$AL$5:$AL$434,Countries!$A$5:$A$434,$B$4,Countries!$B$5:$B$434,$B$5,Countries!$C$5:$C$434,$B$6,Countries!$D$5:$D$434,$A29,Countries!$AS$5:$AS$434,"&gt;0")))</f>
        <v/>
      </c>
      <c r="AU29" s="44">
        <f>IF(OR(AT29="",AS29=""),"",(AT29-AS29)*100)</f>
        <v/>
      </c>
      <c r="AV29" s="45">
        <f>IF(IF($B$6="Total",SUMIFS(Countries!$P$5:$P$434,Countries!$A$5:$A$434,$B$4,Countries!$B$5:$B$434,$B$5,Countries!$D$5:$D$434,$A29,Countries!$AR$5:$AR$434,"&gt;0"),SUMIFS(Countries!$P$5:$P$434,Countries!$A$5:$A$434,$B$4,Countries!$B$5:$B$434,$B$5,Countries!$C$5:$C$434,$B$6,Countries!$D$5:$D$434,$A29,Countries!$AR$5:$AR$434,"&gt;0"))=0,"",IF($B$6="Total",SUMIFS(Countries!$AR$5:$AR$434,Countries!$A$5:$A$434,$B$4,Countries!$B$5:$B$434,$B$5,Countries!$D$5:$D$434,$A29,Countries!$P$5:$P$434,"&gt;0"),SUMIFS(Countries!$AR$5:$AR$434,Countries!$A$5:$A$434,$B$4,Countries!$B$5:$B$434,$B$5,Countries!$C$5:$C$434,$B$6,Countries!$D$5:$D$434,$A29,Countries!$P$5:$P$434,"&gt;0"))/IF($B$6="Total",SUMIFS(Countries!$P$5:$P$434,Countries!$A$5:$A$434,$B$4,Countries!$B$5:$B$434,$B$5,Countries!$D$5:$D$434,$A29,Countries!$AR$5:$AR$434,"&gt;0"),SUMIFS(Countries!$P$5:$P$434,Countries!$A$5:$A$434,$B$4,Countries!$B$5:$B$434,$B$5,Countries!$C$5:$C$434,$B$6,Countries!$D$5:$D$434,$A29,Countries!$AR$5:$AR$434,"&gt;0")))</f>
        <v/>
      </c>
      <c r="AW29" s="45">
        <f>IF(IF($B$6="Total",SUMIFS(Countries!$Q$5:$Q$434,Countries!$A$5:$A$434,$B$4,Countries!$B$5:$B$434,$B$5,Countries!$D$5:$D$434,$A29,Countries!$AS$5:$AS$434,"&gt;0"),SUMIFS(Countries!$Q$5:$Q$434,Countries!$A$5:$A$434,$B$4,Countries!$B$5:$B$434,$B$5,Countries!$C$5:$C$434,$B$6,Countries!$D$5:$D$434,$A29,Countries!$AS$5:$AS$434,"&gt;0"))=0,"",IF($B$6="Total",SUMIFS(Countries!$AS$5:$AS$434,Countries!$A$5:$A$434,$B$4,Countries!$B$5:$B$434,$B$5,Countries!$D$5:$D$434,$A29,Countries!$Q$5:$Q$434,"&gt;0"),SUMIFS(Countries!$AS$5:$AS$434,Countries!$A$5:$A$434,$B$4,Countries!$B$5:$B$434,$B$5,Countries!$C$5:$C$434,$B$6,Countries!$D$5:$D$434,$A29,Countries!$Q$5:$Q$434,"&gt;0"))/IF($B$6="Total",SUMIFS(Countries!$Q$5:$Q$434,Countries!$A$5:$A$434,$B$4,Countries!$B$5:$B$434,$B$5,Countries!$D$5:$D$434,$A29,Countries!$AS$5:$AS$434,"&gt;0"),SUMIFS(Countries!$Q$5:$Q$434,Countries!$A$5:$A$434,$B$4,Countries!$B$5:$B$434,$B$5,Countries!$C$5:$C$434,$B$6,Countries!$D$5:$D$434,$A29,Countries!$AS$5:$AS$434,"&gt;0")))</f>
        <v/>
      </c>
      <c r="AX29" s="44">
        <f>IF(OR(AW29="",AV29=""),"",(AW29-AV29)*100)</f>
        <v/>
      </c>
      <c r="AY29" s="45">
        <f>IF(IF($B$6="Total",SUMIFS(Countries!$E$5:$E$434,Countries!$A$5:$A$434,$B$4,Countries!$B$5:$B$434,$B$5,Countries!$D$5:$D$434,$A29,Countries!$AR$5:$AR$434,"&gt;0"),SUMIFS(Countries!$E$5:$E$434,Countries!$A$5:$A$434,$B$4,Countries!$B$5:$B$434,$B$5,Countries!$C$5:$C$434,$B$6,Countries!$D$5:$D$434,$A29,Countries!$AR$5:$AR$434,"&gt;0"))=0,"",IF($B$6="Total",SUMIFS(Countries!$AR$5:$AR$434,Countries!$A$5:$A$434,$B$4,Countries!$B$5:$B$434,$B$5,Countries!$D$5:$D$434,$A29,Countries!$E$5:$E$434,"&gt;0"),SUMIFS(Countries!$AR$5:$AR$434,Countries!$A$5:$A$434,$B$4,Countries!$B$5:$B$434,$B$5,Countries!$C$5:$C$434,$B$6,Countries!$D$5:$D$434,$A29,Countries!$E$5:$E$434,"&gt;0"))/IF($B$6="Total",SUMIFS(Countries!$E$5:$E$434,Countries!$A$5:$A$434,$B$4,Countries!$B$5:$B$434,$B$5,Countries!$D$5:$D$434,$A29,Countries!$AR$5:$AR$434,"&gt;0"),SUMIFS(Countries!$E$5:$E$434,Countries!$A$5:$A$434,$B$4,Countries!$B$5:$B$434,$B$5,Countries!$C$5:$C$434,$B$6,Countries!$D$5:$D$434,$A29,Countries!$AR$5:$AR$434,"&gt;0")))</f>
        <v/>
      </c>
      <c r="AZ29" s="45">
        <f>IF(IF($B$6="Total",SUMIFS(Countries!$F$5:$F$434,Countries!$A$5:$A$434,$B$4,Countries!$B$5:$B$434,$B$5,Countries!$D$5:$D$434,$A29,Countries!$AS$5:$AS$434,"&gt;0"),SUMIFS(Countries!$F$5:$F$434,Countries!$A$5:$A$434,$B$4,Countries!$B$5:$B$434,$B$5,Countries!$C$5:$C$434,$B$6,Countries!$D$5:$D$434,$A29,Countries!$AS$5:$AS$434,"&gt;0"))=0,"",IF($B$6="Total",SUMIFS(Countries!$AS$5:$AS$434,Countries!$A$5:$A$434,$B$4,Countries!$B$5:$B$434,$B$5,Countries!$D$5:$D$434,$A29,Countries!$F$5:$F$434,"&gt;0"),SUMIFS(Countries!$AS$5:$AS$434,Countries!$A$5:$A$434,$B$4,Countries!$B$5:$B$434,$B$5,Countries!$C$5:$C$434,$B$6,Countries!$D$5:$D$434,$A29,Countries!$F$5:$F$434,"&gt;0"))/IF($B$6="Total",SUMIFS(Countries!$F$5:$F$434,Countries!$A$5:$A$434,$B$4,Countries!$B$5:$B$434,$B$5,Countries!$D$5:$D$434,$A29,Countries!$AS$5:$AS$434,"&gt;0"),SUMIFS(Countries!$F$5:$F$434,Countries!$A$5:$A$434,$B$4,Countries!$B$5:$B$434,$B$5,Countries!$C$5:$C$434,$B$6,Countries!$D$5:$D$434,$A29,Countries!$AS$5:$AS$434,"&gt;0")))</f>
        <v/>
      </c>
      <c r="BA29" s="44">
        <f>IF(OR(AZ29="",AY29=""),"",(AZ29-AY29)*100)</f>
        <v/>
      </c>
      <c r="BB29" s="40">
        <f>IF(AND(IF($B$6="Total",COUNTIFS(Countries!$A$5:$A$434,$B$4,Countries!$B$5:$B$434,$B$5,Countries!$D$5:$D$434,$A29,Countries!$F$5:$F$434,"&gt;0"),COUNTIFS(Countries!$A$5:$A$434,$B$4,Countries!$B$5:$B$434,$B$5,Countries!$C$5:$C$434,$B$6,Countries!$D$5:$D$434,$A29,Countries!$F$5:$F$434,"&gt;0"))=0,IF($B$6="Total",COUNTIFS(Countries!$A$5:$A$434,$B$4,Countries!$B$5:$B$434,$B$5,Countries!$D$5:$D$434,$A29,Countries!$E$5:$E$434,"&gt;0"),COUNTIFS(Countries!$A$5:$A$434,$B$4,Countries!$B$5:$B$434,$B$5,Countries!$C$5:$C$434,$B$6,Countries!$D$5:$D$434,$A29,Countries!$E$5:$E$434,"&gt;0"))=0),"",IF(IF($B$6="Total",COUNTIFS(Countries!$A$5:$A$434,$B$4,Countries!$B$5:$B$434,$B$5,Countries!$D$5:$D$434,$A29,Countries!$F$5:$F$434,"&gt;0"),COUNTIFS(Countries!$A$5:$A$434,$B$4,Countries!$B$5:$B$434,$B$5,Countries!$C$5:$C$434,$B$6,Countries!$D$5:$D$434,$A29,Countries!$F$5:$F$434,"&gt;0"))=0,"1-23Aug25 rows only",IF(IF($B$6="Total",COUNTIFS(Countries!$A$5:$A$434,$B$4,Countries!$B$5:$B$434,$B$5,Countries!$D$5:$D$434,$A29,Countries!$E$5:$E$434,"&gt;0"),COUNTIFS(Countries!$A$5:$A$434,$B$4,Countries!$B$5:$B$434,$B$5,Countries!$C$5:$C$434,$B$6,Countries!$D$5:$D$434,$A29,Countries!$E$5:$E$434,"&gt;0"))=0,"1-23Aug26 rows only",IF(IF($B$6="Total",COUNTIFS(Countries!$A$5:$A$434,$B$4,Countries!$B$5:$B$434,$B$5,Countries!$D$5:$D$434,$A29,Countries!$F$5:$F$434,"&gt;0"),COUNTIFS(Countries!$A$5:$A$434,$B$4,Countries!$B$5:$B$434,$B$5,Countries!$C$5:$C$434,$B$6,Countries!$D$5:$D$434,$A29,Countries!$F$5:$F$434,"&gt;0"))=IF($B$6="Total",COUNTIFS(Countries!$A$5:$A$434,$B$4,Countries!$B$5:$B$434,$B$5,Countries!$D$5:$D$434,$A29,Countries!$E$5:$E$434,"&gt;0"),COUNTIFS(Countries!$A$5:$A$434,$B$4,Countries!$B$5:$B$434,$B$5,Countries!$C$5:$C$434,$B$6,Countries!$D$5:$D$434,$A29,Countries!$E$5:$E$434,"&gt;0")),"Like-for-like","Partial — coverage differs"))))</f>
        <v/>
      </c>
    </row>
    <row r="30">
      <c r="A30" s="56" t="inlineStr">
        <is>
          <t>Switzerland</t>
        </is>
      </c>
      <c r="B30" s="41">
        <f>IF(IF($B$6="Total",SUMIFS(Countries!$E$5:$E$434,Countries!$A$5:$A$434,$B$4,Countries!$B$5:$B$434,$B$5,Countries!$D$5:$D$434,$A30),SUMIFS(Countries!$E$5:$E$434,Countries!$A$5:$A$434,$B$4,Countries!$B$5:$B$434,$B$5,Countries!$C$5:$C$434,$B$6,Countries!$D$5:$D$434,$A30))=0,"",IF($B$6="Total",SUMIFS(Countries!$E$5:$E$434,Countries!$A$5:$A$434,$B$4,Countries!$B$5:$B$434,$B$5,Countries!$D$5:$D$434,$A30),SUMIFS(Countries!$E$5:$E$434,Countries!$A$5:$A$434,$B$4,Countries!$B$5:$B$434,$B$5,Countries!$C$5:$C$434,$B$6,Countries!$D$5:$D$434,$A30)))</f>
        <v/>
      </c>
      <c r="C30" s="41">
        <f>IF(IF($B$6="Total",SUMIFS(Countries!$F$5:$F$434,Countries!$A$5:$A$434,$B$4,Countries!$B$5:$B$434,$B$5,Countries!$D$5:$D$434,$A30),SUMIFS(Countries!$F$5:$F$434,Countries!$A$5:$A$434,$B$4,Countries!$B$5:$B$434,$B$5,Countries!$C$5:$C$434,$B$6,Countries!$D$5:$D$434,$A30))=0,"",IF($B$6="Total",SUMIFS(Countries!$F$5:$F$434,Countries!$A$5:$A$434,$B$4,Countries!$B$5:$B$434,$B$5,Countries!$D$5:$D$434,$A30),SUMIFS(Countries!$F$5:$F$434,Countries!$A$5:$A$434,$B$4,Countries!$B$5:$B$434,$B$5,Countries!$C$5:$C$434,$B$6,Countries!$D$5:$D$434,$A30)))</f>
        <v/>
      </c>
      <c r="D30" s="69">
        <f>IF(OR(C30="",B30="",B30=0,C30=0),"",C30-B30)</f>
        <v/>
      </c>
      <c r="E30" s="42">
        <f>IF(OR(C30="",B30="",B30=0,C30=0),"",C30/B30-1)</f>
        <v/>
      </c>
      <c r="F30" s="41">
        <f>IF(IF($B$6="Total",SUMIFS(Countries!$I$5:$I$434,Countries!$A$5:$A$434,$B$4,Countries!$B$5:$B$434,$B$5,Countries!$D$5:$D$434,$A30),SUMIFS(Countries!$I$5:$I$434,Countries!$A$5:$A$434,$B$4,Countries!$B$5:$B$434,$B$5,Countries!$C$5:$C$434,$B$6,Countries!$D$5:$D$434,$A30))=0,"",IF($B$6="Total",SUMIFS(Countries!$I$5:$I$434,Countries!$A$5:$A$434,$B$4,Countries!$B$5:$B$434,$B$5,Countries!$D$5:$D$434,$A30),SUMIFS(Countries!$I$5:$I$434,Countries!$A$5:$A$434,$B$4,Countries!$B$5:$B$434,$B$5,Countries!$C$5:$C$434,$B$6,Countries!$D$5:$D$434,$A30)))</f>
        <v/>
      </c>
      <c r="G30" s="41">
        <f>IF(IF($B$6="Total",SUMIFS(Countries!$J$5:$J$434,Countries!$A$5:$A$434,$B$4,Countries!$B$5:$B$434,$B$5,Countries!$D$5:$D$434,$A30),SUMIFS(Countries!$J$5:$J$434,Countries!$A$5:$A$434,$B$4,Countries!$B$5:$B$434,$B$5,Countries!$C$5:$C$434,$B$6,Countries!$D$5:$D$434,$A30))=0,"",IF($B$6="Total",SUMIFS(Countries!$J$5:$J$434,Countries!$A$5:$A$434,$B$4,Countries!$B$5:$B$434,$B$5,Countries!$D$5:$D$434,$A30),SUMIFS(Countries!$J$5:$J$434,Countries!$A$5:$A$434,$B$4,Countries!$B$5:$B$434,$B$5,Countries!$C$5:$C$434,$B$6,Countries!$D$5:$D$434,$A30)))</f>
        <v/>
      </c>
      <c r="H30" s="69">
        <f>IF(OR(G30="",F30="",F30=0,G30=0),"",G30-F30)</f>
        <v/>
      </c>
      <c r="I30" s="42">
        <f>IF(OR(G30="",F30="",F30=0,G30=0),"",G30/F30-1)</f>
        <v/>
      </c>
      <c r="J30" s="43">
        <f>IF(IF($B$6="Total",SUMIFS(Countries!$E$5:$E$434,Countries!$A$5:$A$434,$B$4,Countries!$B$5:$B$434,$B$5,Countries!$D$5:$D$434,$A30,Countries!$I$5:$I$434,"&gt;0"),SUMIFS(Countries!$E$5:$E$434,Countries!$A$5:$A$434,$B$4,Countries!$B$5:$B$434,$B$5,Countries!$C$5:$C$434,$B$6,Countries!$D$5:$D$434,$A30,Countries!$I$5:$I$434,"&gt;0"))=0,"",IF($B$6="Total",SUMIFS(Countries!$I$5:$I$434,Countries!$A$5:$A$434,$B$4,Countries!$B$5:$B$434,$B$5,Countries!$D$5:$D$434,$A30,Countries!$E$5:$E$434,"&gt;0"),SUMIFS(Countries!$I$5:$I$434,Countries!$A$5:$A$434,$B$4,Countries!$B$5:$B$434,$B$5,Countries!$C$5:$C$434,$B$6,Countries!$D$5:$D$434,$A30,Countries!$E$5:$E$434,"&gt;0"))/IF($B$6="Total",SUMIFS(Countries!$E$5:$E$434,Countries!$A$5:$A$434,$B$4,Countries!$B$5:$B$434,$B$5,Countries!$D$5:$D$434,$A30,Countries!$I$5:$I$434,"&gt;0"),SUMIFS(Countries!$E$5:$E$434,Countries!$A$5:$A$434,$B$4,Countries!$B$5:$B$434,$B$5,Countries!$C$5:$C$434,$B$6,Countries!$D$5:$D$434,$A30,Countries!$I$5:$I$434,"&gt;0")))</f>
        <v/>
      </c>
      <c r="K30" s="43">
        <f>IF(IF($B$6="Total",SUMIFS(Countries!$F$5:$F$434,Countries!$A$5:$A$434,$B$4,Countries!$B$5:$B$434,$B$5,Countries!$D$5:$D$434,$A30,Countries!$J$5:$J$434,"&gt;0"),SUMIFS(Countries!$F$5:$F$434,Countries!$A$5:$A$434,$B$4,Countries!$B$5:$B$434,$B$5,Countries!$C$5:$C$434,$B$6,Countries!$D$5:$D$434,$A30,Countries!$J$5:$J$434,"&gt;0"))=0,"",IF($B$6="Total",SUMIFS(Countries!$J$5:$J$434,Countries!$A$5:$A$434,$B$4,Countries!$B$5:$B$434,$B$5,Countries!$D$5:$D$434,$A30,Countries!$F$5:$F$434,"&gt;0"),SUMIFS(Countries!$J$5:$J$434,Countries!$A$5:$A$434,$B$4,Countries!$B$5:$B$434,$B$5,Countries!$C$5:$C$434,$B$6,Countries!$D$5:$D$434,$A30,Countries!$F$5:$F$434,"&gt;0"))/IF($B$6="Total",SUMIFS(Countries!$F$5:$F$434,Countries!$A$5:$A$434,$B$4,Countries!$B$5:$B$434,$B$5,Countries!$D$5:$D$434,$A30,Countries!$J$5:$J$434,"&gt;0"),SUMIFS(Countries!$F$5:$F$434,Countries!$A$5:$A$434,$B$4,Countries!$B$5:$B$434,$B$5,Countries!$C$5:$C$434,$B$6,Countries!$D$5:$D$434,$A30,Countries!$J$5:$J$434,"&gt;0")))</f>
        <v/>
      </c>
      <c r="L30" s="44">
        <f>IF(OR(K30="",J30=""),"",(K30-J30)*100)</f>
        <v/>
      </c>
      <c r="M30" s="41">
        <f>IF(IF($B$6="Total",SUMIFS(Countries!$P$5:$P$434,Countries!$A$5:$A$434,$B$4,Countries!$B$5:$B$434,$B$5,Countries!$D$5:$D$434,$A30),SUMIFS(Countries!$P$5:$P$434,Countries!$A$5:$A$434,$B$4,Countries!$B$5:$B$434,$B$5,Countries!$C$5:$C$434,$B$6,Countries!$D$5:$D$434,$A30))=0,"",IF($B$6="Total",SUMIFS(Countries!$P$5:$P$434,Countries!$A$5:$A$434,$B$4,Countries!$B$5:$B$434,$B$5,Countries!$D$5:$D$434,$A30),SUMIFS(Countries!$P$5:$P$434,Countries!$A$5:$A$434,$B$4,Countries!$B$5:$B$434,$B$5,Countries!$C$5:$C$434,$B$6,Countries!$D$5:$D$434,$A30)))</f>
        <v/>
      </c>
      <c r="N30" s="41">
        <f>IF(IF($B$6="Total",SUMIFS(Countries!$Q$5:$Q$434,Countries!$A$5:$A$434,$B$4,Countries!$B$5:$B$434,$B$5,Countries!$D$5:$D$434,$A30),SUMIFS(Countries!$Q$5:$Q$434,Countries!$A$5:$A$434,$B$4,Countries!$B$5:$B$434,$B$5,Countries!$C$5:$C$434,$B$6,Countries!$D$5:$D$434,$A30))=0,"",IF($B$6="Total",SUMIFS(Countries!$Q$5:$Q$434,Countries!$A$5:$A$434,$B$4,Countries!$B$5:$B$434,$B$5,Countries!$D$5:$D$434,$A30),SUMIFS(Countries!$Q$5:$Q$434,Countries!$A$5:$A$434,$B$4,Countries!$B$5:$B$434,$B$5,Countries!$C$5:$C$434,$B$6,Countries!$D$5:$D$434,$A30)))</f>
        <v/>
      </c>
      <c r="O30" s="69">
        <f>IF(OR(N30="",M30="",M30=0,N30=0),"",N30-M30)</f>
        <v/>
      </c>
      <c r="P30" s="42">
        <f>IF(OR(N30="",M30="",M30=0,N30=0),"",N30/M30-1)</f>
        <v/>
      </c>
      <c r="Q30" s="43">
        <f>IF(IF($B$6="Total",SUMIFS(Countries!$E$5:$E$434,Countries!$A$5:$A$434,$B$4,Countries!$B$5:$B$434,$B$5,Countries!$D$5:$D$434,$A30,Countries!$P$5:$P$434,"&gt;0"),SUMIFS(Countries!$E$5:$E$434,Countries!$A$5:$A$434,$B$4,Countries!$B$5:$B$434,$B$5,Countries!$C$5:$C$434,$B$6,Countries!$D$5:$D$434,$A30,Countries!$P$5:$P$434,"&gt;0"))=0,"",IF($B$6="Total",SUMIFS(Countries!$P$5:$P$434,Countries!$A$5:$A$434,$B$4,Countries!$B$5:$B$434,$B$5,Countries!$D$5:$D$434,$A30,Countries!$E$5:$E$434,"&gt;0"),SUMIFS(Countries!$P$5:$P$434,Countries!$A$5:$A$434,$B$4,Countries!$B$5:$B$434,$B$5,Countries!$C$5:$C$434,$B$6,Countries!$D$5:$D$434,$A30,Countries!$E$5:$E$434,"&gt;0"))/IF($B$6="Total",SUMIFS(Countries!$E$5:$E$434,Countries!$A$5:$A$434,$B$4,Countries!$B$5:$B$434,$B$5,Countries!$D$5:$D$434,$A30,Countries!$P$5:$P$434,"&gt;0"),SUMIFS(Countries!$E$5:$E$434,Countries!$A$5:$A$434,$B$4,Countries!$B$5:$B$434,$B$5,Countries!$C$5:$C$434,$B$6,Countries!$D$5:$D$434,$A30,Countries!$P$5:$P$434,"&gt;0")))</f>
        <v/>
      </c>
      <c r="R30" s="43">
        <f>IF(IF($B$6="Total",SUMIFS(Countries!$F$5:$F$434,Countries!$A$5:$A$434,$B$4,Countries!$B$5:$B$434,$B$5,Countries!$D$5:$D$434,$A30,Countries!$Q$5:$Q$434,"&gt;0"),SUMIFS(Countries!$F$5:$F$434,Countries!$A$5:$A$434,$B$4,Countries!$B$5:$B$434,$B$5,Countries!$C$5:$C$434,$B$6,Countries!$D$5:$D$434,$A30,Countries!$Q$5:$Q$434,"&gt;0"))=0,"",IF($B$6="Total",SUMIFS(Countries!$Q$5:$Q$434,Countries!$A$5:$A$434,$B$4,Countries!$B$5:$B$434,$B$5,Countries!$D$5:$D$434,$A30,Countries!$F$5:$F$434,"&gt;0"),SUMIFS(Countries!$Q$5:$Q$434,Countries!$A$5:$A$434,$B$4,Countries!$B$5:$B$434,$B$5,Countries!$C$5:$C$434,$B$6,Countries!$D$5:$D$434,$A30,Countries!$F$5:$F$434,"&gt;0"))/IF($B$6="Total",SUMIFS(Countries!$F$5:$F$434,Countries!$A$5:$A$434,$B$4,Countries!$B$5:$B$434,$B$5,Countries!$D$5:$D$434,$A30,Countries!$Q$5:$Q$434,"&gt;0"),SUMIFS(Countries!$F$5:$F$434,Countries!$A$5:$A$434,$B$4,Countries!$B$5:$B$434,$B$5,Countries!$C$5:$C$434,$B$6,Countries!$D$5:$D$434,$A30,Countries!$Q$5:$Q$434,"&gt;0")))</f>
        <v/>
      </c>
      <c r="S30" s="44">
        <f>IF(OR(R30="",Q30=""),"",(R30-Q30)*100)</f>
        <v/>
      </c>
      <c r="T30" s="41">
        <f>IF(IF($B$6="Total",SUMIFS(Countries!$W$5:$W$434,Countries!$A$5:$A$434,$B$4,Countries!$B$5:$B$434,$B$5,Countries!$D$5:$D$434,$A30),SUMIFS(Countries!$W$5:$W$434,Countries!$A$5:$A$434,$B$4,Countries!$B$5:$B$434,$B$5,Countries!$C$5:$C$434,$B$6,Countries!$D$5:$D$434,$A30))=0,"",IF($B$6="Total",SUMIFS(Countries!$W$5:$W$434,Countries!$A$5:$A$434,$B$4,Countries!$B$5:$B$434,$B$5,Countries!$D$5:$D$434,$A30),SUMIFS(Countries!$W$5:$W$434,Countries!$A$5:$A$434,$B$4,Countries!$B$5:$B$434,$B$5,Countries!$C$5:$C$434,$B$6,Countries!$D$5:$D$434,$A30)))</f>
        <v/>
      </c>
      <c r="U30" s="41">
        <f>IF(IF($B$6="Total",SUMIFS(Countries!$X$5:$X$434,Countries!$A$5:$A$434,$B$4,Countries!$B$5:$B$434,$B$5,Countries!$D$5:$D$434,$A30),SUMIFS(Countries!$X$5:$X$434,Countries!$A$5:$A$434,$B$4,Countries!$B$5:$B$434,$B$5,Countries!$C$5:$C$434,$B$6,Countries!$D$5:$D$434,$A30))=0,"",IF($B$6="Total",SUMIFS(Countries!$X$5:$X$434,Countries!$A$5:$A$434,$B$4,Countries!$B$5:$B$434,$B$5,Countries!$D$5:$D$434,$A30),SUMIFS(Countries!$X$5:$X$434,Countries!$A$5:$A$434,$B$4,Countries!$B$5:$B$434,$B$5,Countries!$C$5:$C$434,$B$6,Countries!$D$5:$D$434,$A30)))</f>
        <v/>
      </c>
      <c r="V30" s="69">
        <f>IF(OR(U30="",T30="",T30=0,U30=0),"",U30-T30)</f>
        <v/>
      </c>
      <c r="W30" s="42">
        <f>IF(OR(U30="",T30="",T30=0,U30=0),"",U30/T30-1)</f>
        <v/>
      </c>
      <c r="X30" s="43">
        <f>IF(IF($B$6="Total",SUMIFS(Countries!$P$5:$P$434,Countries!$A$5:$A$434,$B$4,Countries!$B$5:$B$434,$B$5,Countries!$D$5:$D$434,$A30,Countries!$W$5:$W$434,"&gt;0"),SUMIFS(Countries!$P$5:$P$434,Countries!$A$5:$A$434,$B$4,Countries!$B$5:$B$434,$B$5,Countries!$C$5:$C$434,$B$6,Countries!$D$5:$D$434,$A30,Countries!$W$5:$W$434,"&gt;0"))=0,"",IF($B$6="Total",SUMIFS(Countries!$W$5:$W$434,Countries!$A$5:$A$434,$B$4,Countries!$B$5:$B$434,$B$5,Countries!$D$5:$D$434,$A30,Countries!$P$5:$P$434,"&gt;0"),SUMIFS(Countries!$W$5:$W$434,Countries!$A$5:$A$434,$B$4,Countries!$B$5:$B$434,$B$5,Countries!$C$5:$C$434,$B$6,Countries!$D$5:$D$434,$A30,Countries!$P$5:$P$434,"&gt;0"))/IF($B$6="Total",SUMIFS(Countries!$P$5:$P$434,Countries!$A$5:$A$434,$B$4,Countries!$B$5:$B$434,$B$5,Countries!$D$5:$D$434,$A30,Countries!$W$5:$W$434,"&gt;0"),SUMIFS(Countries!$P$5:$P$434,Countries!$A$5:$A$434,$B$4,Countries!$B$5:$B$434,$B$5,Countries!$C$5:$C$434,$B$6,Countries!$D$5:$D$434,$A30,Countries!$W$5:$W$434,"&gt;0")))</f>
        <v/>
      </c>
      <c r="Y30" s="43">
        <f>IF(IF($B$6="Total",SUMIFS(Countries!$Q$5:$Q$434,Countries!$A$5:$A$434,$B$4,Countries!$B$5:$B$434,$B$5,Countries!$D$5:$D$434,$A30,Countries!$X$5:$X$434,"&gt;0"),SUMIFS(Countries!$Q$5:$Q$434,Countries!$A$5:$A$434,$B$4,Countries!$B$5:$B$434,$B$5,Countries!$C$5:$C$434,$B$6,Countries!$D$5:$D$434,$A30,Countries!$X$5:$X$434,"&gt;0"))=0,"",IF($B$6="Total",SUMIFS(Countries!$X$5:$X$434,Countries!$A$5:$A$434,$B$4,Countries!$B$5:$B$434,$B$5,Countries!$D$5:$D$434,$A30,Countries!$Q$5:$Q$434,"&gt;0"),SUMIFS(Countries!$X$5:$X$434,Countries!$A$5:$A$434,$B$4,Countries!$B$5:$B$434,$B$5,Countries!$C$5:$C$434,$B$6,Countries!$D$5:$D$434,$A30,Countries!$Q$5:$Q$434,"&gt;0"))/IF($B$6="Total",SUMIFS(Countries!$Q$5:$Q$434,Countries!$A$5:$A$434,$B$4,Countries!$B$5:$B$434,$B$5,Countries!$D$5:$D$434,$A30,Countries!$X$5:$X$434,"&gt;0"),SUMIFS(Countries!$Q$5:$Q$434,Countries!$A$5:$A$434,$B$4,Countries!$B$5:$B$434,$B$5,Countries!$C$5:$C$434,$B$6,Countries!$D$5:$D$434,$A30,Countries!$X$5:$X$434,"&gt;0")))</f>
        <v/>
      </c>
      <c r="Z30" s="44">
        <f>IF(OR(Y30="",X30=""),"",(Y30-X30)*100)</f>
        <v/>
      </c>
      <c r="AA30" s="41">
        <f>IF(IF($B$6="Total",SUMIFS(Countries!$AD$5:$AD$434,Countries!$A$5:$A$434,$B$4,Countries!$B$5:$B$434,$B$5,Countries!$D$5:$D$434,$A30),SUMIFS(Countries!$AD$5:$AD$434,Countries!$A$5:$A$434,$B$4,Countries!$B$5:$B$434,$B$5,Countries!$C$5:$C$434,$B$6,Countries!$D$5:$D$434,$A30))=0,"",IF($B$6="Total",SUMIFS(Countries!$AD$5:$AD$434,Countries!$A$5:$A$434,$B$4,Countries!$B$5:$B$434,$B$5,Countries!$D$5:$D$434,$A30),SUMIFS(Countries!$AD$5:$AD$434,Countries!$A$5:$A$434,$B$4,Countries!$B$5:$B$434,$B$5,Countries!$C$5:$C$434,$B$6,Countries!$D$5:$D$434,$A30)))</f>
        <v/>
      </c>
      <c r="AB30" s="41">
        <f>IF(IF($B$6="Total",SUMIFS(Countries!$AE$5:$AE$434,Countries!$A$5:$A$434,$B$4,Countries!$B$5:$B$434,$B$5,Countries!$D$5:$D$434,$A30),SUMIFS(Countries!$AE$5:$AE$434,Countries!$A$5:$A$434,$B$4,Countries!$B$5:$B$434,$B$5,Countries!$C$5:$C$434,$B$6,Countries!$D$5:$D$434,$A30))=0,"",IF($B$6="Total",SUMIFS(Countries!$AE$5:$AE$434,Countries!$A$5:$A$434,$B$4,Countries!$B$5:$B$434,$B$5,Countries!$D$5:$D$434,$A30),SUMIFS(Countries!$AE$5:$AE$434,Countries!$A$5:$A$434,$B$4,Countries!$B$5:$B$434,$B$5,Countries!$C$5:$C$434,$B$6,Countries!$D$5:$D$434,$A30)))</f>
        <v/>
      </c>
      <c r="AC30" s="69">
        <f>IF(OR(AB30="",AA30="",AA30=0,AB30=0),"",AB30-AA30)</f>
        <v/>
      </c>
      <c r="AD30" s="42">
        <f>IF(OR(AB30="",AA30="",AA30=0,AB30=0),"",AB30/AA30-1)</f>
        <v/>
      </c>
      <c r="AE30" s="43">
        <f>IF(IF($B$6="Total",SUMIFS(Countries!$W$5:$W$434,Countries!$A$5:$A$434,$B$4,Countries!$B$5:$B$434,$B$5,Countries!$D$5:$D$434,$A30,Countries!$AD$5:$AD$434,"&gt;0"),SUMIFS(Countries!$W$5:$W$434,Countries!$A$5:$A$434,$B$4,Countries!$B$5:$B$434,$B$5,Countries!$C$5:$C$434,$B$6,Countries!$D$5:$D$434,$A30,Countries!$AD$5:$AD$434,"&gt;0"))=0,"",IF($B$6="Total",SUMIFS(Countries!$AD$5:$AD$434,Countries!$A$5:$A$434,$B$4,Countries!$B$5:$B$434,$B$5,Countries!$D$5:$D$434,$A30,Countries!$W$5:$W$434,"&gt;0"),SUMIFS(Countries!$AD$5:$AD$434,Countries!$A$5:$A$434,$B$4,Countries!$B$5:$B$434,$B$5,Countries!$C$5:$C$434,$B$6,Countries!$D$5:$D$434,$A30,Countries!$W$5:$W$434,"&gt;0"))/IF($B$6="Total",SUMIFS(Countries!$W$5:$W$434,Countries!$A$5:$A$434,$B$4,Countries!$B$5:$B$434,$B$5,Countries!$D$5:$D$434,$A30,Countries!$AD$5:$AD$434,"&gt;0"),SUMIFS(Countries!$W$5:$W$434,Countries!$A$5:$A$434,$B$4,Countries!$B$5:$B$434,$B$5,Countries!$C$5:$C$434,$B$6,Countries!$D$5:$D$434,$A30,Countries!$AD$5:$AD$434,"&gt;0")))</f>
        <v/>
      </c>
      <c r="AF30" s="43">
        <f>IF(IF($B$6="Total",SUMIFS(Countries!$X$5:$X$434,Countries!$A$5:$A$434,$B$4,Countries!$B$5:$B$434,$B$5,Countries!$D$5:$D$434,$A30,Countries!$AE$5:$AE$434,"&gt;0"),SUMIFS(Countries!$X$5:$X$434,Countries!$A$5:$A$434,$B$4,Countries!$B$5:$B$434,$B$5,Countries!$C$5:$C$434,$B$6,Countries!$D$5:$D$434,$A30,Countries!$AE$5:$AE$434,"&gt;0"))=0,"",IF($B$6="Total",SUMIFS(Countries!$AE$5:$AE$434,Countries!$A$5:$A$434,$B$4,Countries!$B$5:$B$434,$B$5,Countries!$D$5:$D$434,$A30,Countries!$X$5:$X$434,"&gt;0"),SUMIFS(Countries!$AE$5:$AE$434,Countries!$A$5:$A$434,$B$4,Countries!$B$5:$B$434,$B$5,Countries!$C$5:$C$434,$B$6,Countries!$D$5:$D$434,$A30,Countries!$X$5:$X$434,"&gt;0"))/IF($B$6="Total",SUMIFS(Countries!$X$5:$X$434,Countries!$A$5:$A$434,$B$4,Countries!$B$5:$B$434,$B$5,Countries!$D$5:$D$434,$A30,Countries!$AE$5:$AE$434,"&gt;0"),SUMIFS(Countries!$X$5:$X$434,Countries!$A$5:$A$434,$B$4,Countries!$B$5:$B$434,$B$5,Countries!$C$5:$C$434,$B$6,Countries!$D$5:$D$434,$A30,Countries!$AE$5:$AE$434,"&gt;0")))</f>
        <v/>
      </c>
      <c r="AG30" s="44">
        <f>IF(OR(AF30="",AE30=""),"",(AF30-AE30)*100)</f>
        <v/>
      </c>
      <c r="AH30" s="41">
        <f>IF(IF($B$6="Total",SUMIFS(Countries!$AK$5:$AK$434,Countries!$A$5:$A$434,$B$4,Countries!$B$5:$B$434,$B$5,Countries!$D$5:$D$434,$A30),SUMIFS(Countries!$AK$5:$AK$434,Countries!$A$5:$A$434,$B$4,Countries!$B$5:$B$434,$B$5,Countries!$C$5:$C$434,$B$6,Countries!$D$5:$D$434,$A30))=0,"",IF($B$6="Total",SUMIFS(Countries!$AK$5:$AK$434,Countries!$A$5:$A$434,$B$4,Countries!$B$5:$B$434,$B$5,Countries!$D$5:$D$434,$A30),SUMIFS(Countries!$AK$5:$AK$434,Countries!$A$5:$A$434,$B$4,Countries!$B$5:$B$434,$B$5,Countries!$C$5:$C$434,$B$6,Countries!$D$5:$D$434,$A30)))</f>
        <v/>
      </c>
      <c r="AI30" s="41">
        <f>IF(IF($B$6="Total",SUMIFS(Countries!$AL$5:$AL$434,Countries!$A$5:$A$434,$B$4,Countries!$B$5:$B$434,$B$5,Countries!$D$5:$D$434,$A30),SUMIFS(Countries!$AL$5:$AL$434,Countries!$A$5:$A$434,$B$4,Countries!$B$5:$B$434,$B$5,Countries!$C$5:$C$434,$B$6,Countries!$D$5:$D$434,$A30))=0,"",IF($B$6="Total",SUMIFS(Countries!$AL$5:$AL$434,Countries!$A$5:$A$434,$B$4,Countries!$B$5:$B$434,$B$5,Countries!$D$5:$D$434,$A30),SUMIFS(Countries!$AL$5:$AL$434,Countries!$A$5:$A$434,$B$4,Countries!$B$5:$B$434,$B$5,Countries!$C$5:$C$434,$B$6,Countries!$D$5:$D$434,$A30)))</f>
        <v/>
      </c>
      <c r="AJ30" s="69">
        <f>IF(OR(AI30="",AH30="",AH30=0,AI30=0),"",AI30-AH30)</f>
        <v/>
      </c>
      <c r="AK30" s="42">
        <f>IF(OR(AI30="",AH30="",AH30=0,AI30=0),"",AI30/AH30-1)</f>
        <v/>
      </c>
      <c r="AL30" s="43">
        <f>IF(IF($B$6="Total",SUMIFS(Countries!$AD$5:$AD$434,Countries!$A$5:$A$434,$B$4,Countries!$B$5:$B$434,$B$5,Countries!$D$5:$D$434,$A30,Countries!$AK$5:$AK$434,"&gt;0"),SUMIFS(Countries!$AD$5:$AD$434,Countries!$A$5:$A$434,$B$4,Countries!$B$5:$B$434,$B$5,Countries!$C$5:$C$434,$B$6,Countries!$D$5:$D$434,$A30,Countries!$AK$5:$AK$434,"&gt;0"))=0,"",IF($B$6="Total",SUMIFS(Countries!$AK$5:$AK$434,Countries!$A$5:$A$434,$B$4,Countries!$B$5:$B$434,$B$5,Countries!$D$5:$D$434,$A30,Countries!$AD$5:$AD$434,"&gt;0"),SUMIFS(Countries!$AK$5:$AK$434,Countries!$A$5:$A$434,$B$4,Countries!$B$5:$B$434,$B$5,Countries!$C$5:$C$434,$B$6,Countries!$D$5:$D$434,$A30,Countries!$AD$5:$AD$434,"&gt;0"))/IF($B$6="Total",SUMIFS(Countries!$AD$5:$AD$434,Countries!$A$5:$A$434,$B$4,Countries!$B$5:$B$434,$B$5,Countries!$D$5:$D$434,$A30,Countries!$AK$5:$AK$434,"&gt;0"),SUMIFS(Countries!$AD$5:$AD$434,Countries!$A$5:$A$434,$B$4,Countries!$B$5:$B$434,$B$5,Countries!$C$5:$C$434,$B$6,Countries!$D$5:$D$434,$A30,Countries!$AK$5:$AK$434,"&gt;0")))</f>
        <v/>
      </c>
      <c r="AM30" s="43">
        <f>IF(IF($B$6="Total",SUMIFS(Countries!$AE$5:$AE$434,Countries!$A$5:$A$434,$B$4,Countries!$B$5:$B$434,$B$5,Countries!$D$5:$D$434,$A30,Countries!$AL$5:$AL$434,"&gt;0"),SUMIFS(Countries!$AE$5:$AE$434,Countries!$A$5:$A$434,$B$4,Countries!$B$5:$B$434,$B$5,Countries!$C$5:$C$434,$B$6,Countries!$D$5:$D$434,$A30,Countries!$AL$5:$AL$434,"&gt;0"))=0,"",IF($B$6="Total",SUMIFS(Countries!$AL$5:$AL$434,Countries!$A$5:$A$434,$B$4,Countries!$B$5:$B$434,$B$5,Countries!$D$5:$D$434,$A30,Countries!$AE$5:$AE$434,"&gt;0"),SUMIFS(Countries!$AL$5:$AL$434,Countries!$A$5:$A$434,$B$4,Countries!$B$5:$B$434,$B$5,Countries!$C$5:$C$434,$B$6,Countries!$D$5:$D$434,$A30,Countries!$AE$5:$AE$434,"&gt;0"))/IF($B$6="Total",SUMIFS(Countries!$AE$5:$AE$434,Countries!$A$5:$A$434,$B$4,Countries!$B$5:$B$434,$B$5,Countries!$D$5:$D$434,$A30,Countries!$AL$5:$AL$434,"&gt;0"),SUMIFS(Countries!$AE$5:$AE$434,Countries!$A$5:$A$434,$B$4,Countries!$B$5:$B$434,$B$5,Countries!$C$5:$C$434,$B$6,Countries!$D$5:$D$434,$A30,Countries!$AL$5:$AL$434,"&gt;0")))</f>
        <v/>
      </c>
      <c r="AN30" s="44">
        <f>IF(OR(AM30="",AL30=""),"",(AM30-AL30)*100)</f>
        <v/>
      </c>
      <c r="AO30" s="41">
        <f>IF(IF($B$6="Total",SUMIFS(Countries!$AR$5:$AR$434,Countries!$A$5:$A$434,$B$4,Countries!$B$5:$B$434,$B$5,Countries!$D$5:$D$434,$A30),SUMIFS(Countries!$AR$5:$AR$434,Countries!$A$5:$A$434,$B$4,Countries!$B$5:$B$434,$B$5,Countries!$C$5:$C$434,$B$6,Countries!$D$5:$D$434,$A30))=0,"",IF($B$6="Total",SUMIFS(Countries!$AR$5:$AR$434,Countries!$A$5:$A$434,$B$4,Countries!$B$5:$B$434,$B$5,Countries!$D$5:$D$434,$A30),SUMIFS(Countries!$AR$5:$AR$434,Countries!$A$5:$A$434,$B$4,Countries!$B$5:$B$434,$B$5,Countries!$C$5:$C$434,$B$6,Countries!$D$5:$D$434,$A30)))</f>
        <v/>
      </c>
      <c r="AP30" s="41">
        <f>IF(IF($B$6="Total",SUMIFS(Countries!$AS$5:$AS$434,Countries!$A$5:$A$434,$B$4,Countries!$B$5:$B$434,$B$5,Countries!$D$5:$D$434,$A30),SUMIFS(Countries!$AS$5:$AS$434,Countries!$A$5:$A$434,$B$4,Countries!$B$5:$B$434,$B$5,Countries!$C$5:$C$434,$B$6,Countries!$D$5:$D$434,$A30))=0,"",IF($B$6="Total",SUMIFS(Countries!$AS$5:$AS$434,Countries!$A$5:$A$434,$B$4,Countries!$B$5:$B$434,$B$5,Countries!$D$5:$D$434,$A30),SUMIFS(Countries!$AS$5:$AS$434,Countries!$A$5:$A$434,$B$4,Countries!$B$5:$B$434,$B$5,Countries!$C$5:$C$434,$B$6,Countries!$D$5:$D$434,$A30)))</f>
        <v/>
      </c>
      <c r="AQ30" s="69">
        <f>IF(OR(AP30="",AO30="",AO30=0,AP30=0),"",AP30-AO30)</f>
        <v/>
      </c>
      <c r="AR30" s="42">
        <f>IF(OR(AP30="",AO30="",AO30=0,AP30=0),"",AP30/AO30-1)</f>
        <v/>
      </c>
      <c r="AS30" s="43">
        <f>IF(IF($B$6="Total",SUMIFS(Countries!$AK$5:$AK$434,Countries!$A$5:$A$434,$B$4,Countries!$B$5:$B$434,$B$5,Countries!$D$5:$D$434,$A30,Countries!$AR$5:$AR$434,"&gt;0"),SUMIFS(Countries!$AK$5:$AK$434,Countries!$A$5:$A$434,$B$4,Countries!$B$5:$B$434,$B$5,Countries!$C$5:$C$434,$B$6,Countries!$D$5:$D$434,$A30,Countries!$AR$5:$AR$434,"&gt;0"))=0,"",IF($B$6="Total",SUMIFS(Countries!$AR$5:$AR$434,Countries!$A$5:$A$434,$B$4,Countries!$B$5:$B$434,$B$5,Countries!$D$5:$D$434,$A30,Countries!$AK$5:$AK$434,"&gt;0"),SUMIFS(Countries!$AR$5:$AR$434,Countries!$A$5:$A$434,$B$4,Countries!$B$5:$B$434,$B$5,Countries!$C$5:$C$434,$B$6,Countries!$D$5:$D$434,$A30,Countries!$AK$5:$AK$434,"&gt;0"))/IF($B$6="Total",SUMIFS(Countries!$AK$5:$AK$434,Countries!$A$5:$A$434,$B$4,Countries!$B$5:$B$434,$B$5,Countries!$D$5:$D$434,$A30,Countries!$AR$5:$AR$434,"&gt;0"),SUMIFS(Countries!$AK$5:$AK$434,Countries!$A$5:$A$434,$B$4,Countries!$B$5:$B$434,$B$5,Countries!$C$5:$C$434,$B$6,Countries!$D$5:$D$434,$A30,Countries!$AR$5:$AR$434,"&gt;0")))</f>
        <v/>
      </c>
      <c r="AT30" s="43">
        <f>IF(IF($B$6="Total",SUMIFS(Countries!$AL$5:$AL$434,Countries!$A$5:$A$434,$B$4,Countries!$B$5:$B$434,$B$5,Countries!$D$5:$D$434,$A30,Countries!$AS$5:$AS$434,"&gt;0"),SUMIFS(Countries!$AL$5:$AL$434,Countries!$A$5:$A$434,$B$4,Countries!$B$5:$B$434,$B$5,Countries!$C$5:$C$434,$B$6,Countries!$D$5:$D$434,$A30,Countries!$AS$5:$AS$434,"&gt;0"))=0,"",IF($B$6="Total",SUMIFS(Countries!$AS$5:$AS$434,Countries!$A$5:$A$434,$B$4,Countries!$B$5:$B$434,$B$5,Countries!$D$5:$D$434,$A30,Countries!$AL$5:$AL$434,"&gt;0"),SUMIFS(Countries!$AS$5:$AS$434,Countries!$A$5:$A$434,$B$4,Countries!$B$5:$B$434,$B$5,Countries!$C$5:$C$434,$B$6,Countries!$D$5:$D$434,$A30,Countries!$AL$5:$AL$434,"&gt;0"))/IF($B$6="Total",SUMIFS(Countries!$AL$5:$AL$434,Countries!$A$5:$A$434,$B$4,Countries!$B$5:$B$434,$B$5,Countries!$D$5:$D$434,$A30,Countries!$AS$5:$AS$434,"&gt;0"),SUMIFS(Countries!$AL$5:$AL$434,Countries!$A$5:$A$434,$B$4,Countries!$B$5:$B$434,$B$5,Countries!$C$5:$C$434,$B$6,Countries!$D$5:$D$434,$A30,Countries!$AS$5:$AS$434,"&gt;0")))</f>
        <v/>
      </c>
      <c r="AU30" s="44">
        <f>IF(OR(AT30="",AS30=""),"",(AT30-AS30)*100)</f>
        <v/>
      </c>
      <c r="AV30" s="45">
        <f>IF(IF($B$6="Total",SUMIFS(Countries!$P$5:$P$434,Countries!$A$5:$A$434,$B$4,Countries!$B$5:$B$434,$B$5,Countries!$D$5:$D$434,$A30,Countries!$AR$5:$AR$434,"&gt;0"),SUMIFS(Countries!$P$5:$P$434,Countries!$A$5:$A$434,$B$4,Countries!$B$5:$B$434,$B$5,Countries!$C$5:$C$434,$B$6,Countries!$D$5:$D$434,$A30,Countries!$AR$5:$AR$434,"&gt;0"))=0,"",IF($B$6="Total",SUMIFS(Countries!$AR$5:$AR$434,Countries!$A$5:$A$434,$B$4,Countries!$B$5:$B$434,$B$5,Countries!$D$5:$D$434,$A30,Countries!$P$5:$P$434,"&gt;0"),SUMIFS(Countries!$AR$5:$AR$434,Countries!$A$5:$A$434,$B$4,Countries!$B$5:$B$434,$B$5,Countries!$C$5:$C$434,$B$6,Countries!$D$5:$D$434,$A30,Countries!$P$5:$P$434,"&gt;0"))/IF($B$6="Total",SUMIFS(Countries!$P$5:$P$434,Countries!$A$5:$A$434,$B$4,Countries!$B$5:$B$434,$B$5,Countries!$D$5:$D$434,$A30,Countries!$AR$5:$AR$434,"&gt;0"),SUMIFS(Countries!$P$5:$P$434,Countries!$A$5:$A$434,$B$4,Countries!$B$5:$B$434,$B$5,Countries!$C$5:$C$434,$B$6,Countries!$D$5:$D$434,$A30,Countries!$AR$5:$AR$434,"&gt;0")))</f>
        <v/>
      </c>
      <c r="AW30" s="45">
        <f>IF(IF($B$6="Total",SUMIFS(Countries!$Q$5:$Q$434,Countries!$A$5:$A$434,$B$4,Countries!$B$5:$B$434,$B$5,Countries!$D$5:$D$434,$A30,Countries!$AS$5:$AS$434,"&gt;0"),SUMIFS(Countries!$Q$5:$Q$434,Countries!$A$5:$A$434,$B$4,Countries!$B$5:$B$434,$B$5,Countries!$C$5:$C$434,$B$6,Countries!$D$5:$D$434,$A30,Countries!$AS$5:$AS$434,"&gt;0"))=0,"",IF($B$6="Total",SUMIFS(Countries!$AS$5:$AS$434,Countries!$A$5:$A$434,$B$4,Countries!$B$5:$B$434,$B$5,Countries!$D$5:$D$434,$A30,Countries!$Q$5:$Q$434,"&gt;0"),SUMIFS(Countries!$AS$5:$AS$434,Countries!$A$5:$A$434,$B$4,Countries!$B$5:$B$434,$B$5,Countries!$C$5:$C$434,$B$6,Countries!$D$5:$D$434,$A30,Countries!$Q$5:$Q$434,"&gt;0"))/IF($B$6="Total",SUMIFS(Countries!$Q$5:$Q$434,Countries!$A$5:$A$434,$B$4,Countries!$B$5:$B$434,$B$5,Countries!$D$5:$D$434,$A30,Countries!$AS$5:$AS$434,"&gt;0"),SUMIFS(Countries!$Q$5:$Q$434,Countries!$A$5:$A$434,$B$4,Countries!$B$5:$B$434,$B$5,Countries!$C$5:$C$434,$B$6,Countries!$D$5:$D$434,$A30,Countries!$AS$5:$AS$434,"&gt;0")))</f>
        <v/>
      </c>
      <c r="AX30" s="44">
        <f>IF(OR(AW30="",AV30=""),"",(AW30-AV30)*100)</f>
        <v/>
      </c>
      <c r="AY30" s="45">
        <f>IF(IF($B$6="Total",SUMIFS(Countries!$E$5:$E$434,Countries!$A$5:$A$434,$B$4,Countries!$B$5:$B$434,$B$5,Countries!$D$5:$D$434,$A30,Countries!$AR$5:$AR$434,"&gt;0"),SUMIFS(Countries!$E$5:$E$434,Countries!$A$5:$A$434,$B$4,Countries!$B$5:$B$434,$B$5,Countries!$C$5:$C$434,$B$6,Countries!$D$5:$D$434,$A30,Countries!$AR$5:$AR$434,"&gt;0"))=0,"",IF($B$6="Total",SUMIFS(Countries!$AR$5:$AR$434,Countries!$A$5:$A$434,$B$4,Countries!$B$5:$B$434,$B$5,Countries!$D$5:$D$434,$A30,Countries!$E$5:$E$434,"&gt;0"),SUMIFS(Countries!$AR$5:$AR$434,Countries!$A$5:$A$434,$B$4,Countries!$B$5:$B$434,$B$5,Countries!$C$5:$C$434,$B$6,Countries!$D$5:$D$434,$A30,Countries!$E$5:$E$434,"&gt;0"))/IF($B$6="Total",SUMIFS(Countries!$E$5:$E$434,Countries!$A$5:$A$434,$B$4,Countries!$B$5:$B$434,$B$5,Countries!$D$5:$D$434,$A30,Countries!$AR$5:$AR$434,"&gt;0"),SUMIFS(Countries!$E$5:$E$434,Countries!$A$5:$A$434,$B$4,Countries!$B$5:$B$434,$B$5,Countries!$C$5:$C$434,$B$6,Countries!$D$5:$D$434,$A30,Countries!$AR$5:$AR$434,"&gt;0")))</f>
        <v/>
      </c>
      <c r="AZ30" s="45">
        <f>IF(IF($B$6="Total",SUMIFS(Countries!$F$5:$F$434,Countries!$A$5:$A$434,$B$4,Countries!$B$5:$B$434,$B$5,Countries!$D$5:$D$434,$A30,Countries!$AS$5:$AS$434,"&gt;0"),SUMIFS(Countries!$F$5:$F$434,Countries!$A$5:$A$434,$B$4,Countries!$B$5:$B$434,$B$5,Countries!$C$5:$C$434,$B$6,Countries!$D$5:$D$434,$A30,Countries!$AS$5:$AS$434,"&gt;0"))=0,"",IF($B$6="Total",SUMIFS(Countries!$AS$5:$AS$434,Countries!$A$5:$A$434,$B$4,Countries!$B$5:$B$434,$B$5,Countries!$D$5:$D$434,$A30,Countries!$F$5:$F$434,"&gt;0"),SUMIFS(Countries!$AS$5:$AS$434,Countries!$A$5:$A$434,$B$4,Countries!$B$5:$B$434,$B$5,Countries!$C$5:$C$434,$B$6,Countries!$D$5:$D$434,$A30,Countries!$F$5:$F$434,"&gt;0"))/IF($B$6="Total",SUMIFS(Countries!$F$5:$F$434,Countries!$A$5:$A$434,$B$4,Countries!$B$5:$B$434,$B$5,Countries!$D$5:$D$434,$A30,Countries!$AS$5:$AS$434,"&gt;0"),SUMIFS(Countries!$F$5:$F$434,Countries!$A$5:$A$434,$B$4,Countries!$B$5:$B$434,$B$5,Countries!$C$5:$C$434,$B$6,Countries!$D$5:$D$434,$A30,Countries!$AS$5:$AS$434,"&gt;0")))</f>
        <v/>
      </c>
      <c r="BA30" s="44">
        <f>IF(OR(AZ30="",AY30=""),"",(AZ30-AY30)*100)</f>
        <v/>
      </c>
      <c r="BB30" s="40">
        <f>IF(AND(IF($B$6="Total",COUNTIFS(Countries!$A$5:$A$434,$B$4,Countries!$B$5:$B$434,$B$5,Countries!$D$5:$D$434,$A30,Countries!$F$5:$F$434,"&gt;0"),COUNTIFS(Countries!$A$5:$A$434,$B$4,Countries!$B$5:$B$434,$B$5,Countries!$C$5:$C$434,$B$6,Countries!$D$5:$D$434,$A30,Countries!$F$5:$F$434,"&gt;0"))=0,IF($B$6="Total",COUNTIFS(Countries!$A$5:$A$434,$B$4,Countries!$B$5:$B$434,$B$5,Countries!$D$5:$D$434,$A30,Countries!$E$5:$E$434,"&gt;0"),COUNTIFS(Countries!$A$5:$A$434,$B$4,Countries!$B$5:$B$434,$B$5,Countries!$C$5:$C$434,$B$6,Countries!$D$5:$D$434,$A30,Countries!$E$5:$E$434,"&gt;0"))=0),"",IF(IF($B$6="Total",COUNTIFS(Countries!$A$5:$A$434,$B$4,Countries!$B$5:$B$434,$B$5,Countries!$D$5:$D$434,$A30,Countries!$F$5:$F$434,"&gt;0"),COUNTIFS(Countries!$A$5:$A$434,$B$4,Countries!$B$5:$B$434,$B$5,Countries!$C$5:$C$434,$B$6,Countries!$D$5:$D$434,$A30,Countries!$F$5:$F$434,"&gt;0"))=0,"1-23Aug25 rows only",IF(IF($B$6="Total",COUNTIFS(Countries!$A$5:$A$434,$B$4,Countries!$B$5:$B$434,$B$5,Countries!$D$5:$D$434,$A30,Countries!$E$5:$E$434,"&gt;0"),COUNTIFS(Countries!$A$5:$A$434,$B$4,Countries!$B$5:$B$434,$B$5,Countries!$C$5:$C$434,$B$6,Countries!$D$5:$D$434,$A30,Countries!$E$5:$E$434,"&gt;0"))=0,"1-23Aug26 rows only",IF(IF($B$6="Total",COUNTIFS(Countries!$A$5:$A$434,$B$4,Countries!$B$5:$B$434,$B$5,Countries!$D$5:$D$434,$A30,Countries!$F$5:$F$434,"&gt;0"),COUNTIFS(Countries!$A$5:$A$434,$B$4,Countries!$B$5:$B$434,$B$5,Countries!$C$5:$C$434,$B$6,Countries!$D$5:$D$434,$A30,Countries!$F$5:$F$434,"&gt;0"))=IF($B$6="Total",COUNTIFS(Countries!$A$5:$A$434,$B$4,Countries!$B$5:$B$434,$B$5,Countries!$D$5:$D$434,$A30,Countries!$E$5:$E$434,"&gt;0"),COUNTIFS(Countries!$A$5:$A$434,$B$4,Countries!$B$5:$B$434,$B$5,Countries!$C$5:$C$434,$B$6,Countries!$D$5:$D$434,$A30,Countries!$E$5:$E$434,"&gt;0")),"Like-for-like","Partial — coverage differs"))))</f>
        <v/>
      </c>
    </row>
    <row r="31">
      <c r="A31" s="40" t="inlineStr">
        <is>
          <t>(not set)</t>
        </is>
      </c>
      <c r="B31" s="41">
        <f>IF(IF($B$6="Total",SUMIFS(Countries!$E$5:$E$434,Countries!$A$5:$A$434,$B$4,Countries!$B$5:$B$434,$B$5,Countries!$D$5:$D$434,$A31),SUMIFS(Countries!$E$5:$E$434,Countries!$A$5:$A$434,$B$4,Countries!$B$5:$B$434,$B$5,Countries!$C$5:$C$434,$B$6,Countries!$D$5:$D$434,$A31))=0,"",IF($B$6="Total",SUMIFS(Countries!$E$5:$E$434,Countries!$A$5:$A$434,$B$4,Countries!$B$5:$B$434,$B$5,Countries!$D$5:$D$434,$A31),SUMIFS(Countries!$E$5:$E$434,Countries!$A$5:$A$434,$B$4,Countries!$B$5:$B$434,$B$5,Countries!$C$5:$C$434,$B$6,Countries!$D$5:$D$434,$A31)))</f>
        <v/>
      </c>
      <c r="C31" s="41">
        <f>IF(IF($B$6="Total",SUMIFS(Countries!$F$5:$F$434,Countries!$A$5:$A$434,$B$4,Countries!$B$5:$B$434,$B$5,Countries!$D$5:$D$434,$A31),SUMIFS(Countries!$F$5:$F$434,Countries!$A$5:$A$434,$B$4,Countries!$B$5:$B$434,$B$5,Countries!$C$5:$C$434,$B$6,Countries!$D$5:$D$434,$A31))=0,"",IF($B$6="Total",SUMIFS(Countries!$F$5:$F$434,Countries!$A$5:$A$434,$B$4,Countries!$B$5:$B$434,$B$5,Countries!$D$5:$D$434,$A31),SUMIFS(Countries!$F$5:$F$434,Countries!$A$5:$A$434,$B$4,Countries!$B$5:$B$434,$B$5,Countries!$C$5:$C$434,$B$6,Countries!$D$5:$D$434,$A31)))</f>
        <v/>
      </c>
      <c r="D31" s="69">
        <f>IF(OR(C31="",B31="",B31=0,C31=0),"",C31-B31)</f>
        <v/>
      </c>
      <c r="E31" s="42">
        <f>IF(OR(C31="",B31="",B31=0,C31=0),"",C31/B31-1)</f>
        <v/>
      </c>
      <c r="F31" s="41">
        <f>IF(IF($B$6="Total",SUMIFS(Countries!$I$5:$I$434,Countries!$A$5:$A$434,$B$4,Countries!$B$5:$B$434,$B$5,Countries!$D$5:$D$434,$A31),SUMIFS(Countries!$I$5:$I$434,Countries!$A$5:$A$434,$B$4,Countries!$B$5:$B$434,$B$5,Countries!$C$5:$C$434,$B$6,Countries!$D$5:$D$434,$A31))=0,"",IF($B$6="Total",SUMIFS(Countries!$I$5:$I$434,Countries!$A$5:$A$434,$B$4,Countries!$B$5:$B$434,$B$5,Countries!$D$5:$D$434,$A31),SUMIFS(Countries!$I$5:$I$434,Countries!$A$5:$A$434,$B$4,Countries!$B$5:$B$434,$B$5,Countries!$C$5:$C$434,$B$6,Countries!$D$5:$D$434,$A31)))</f>
        <v/>
      </c>
      <c r="G31" s="41">
        <f>IF(IF($B$6="Total",SUMIFS(Countries!$J$5:$J$434,Countries!$A$5:$A$434,$B$4,Countries!$B$5:$B$434,$B$5,Countries!$D$5:$D$434,$A31),SUMIFS(Countries!$J$5:$J$434,Countries!$A$5:$A$434,$B$4,Countries!$B$5:$B$434,$B$5,Countries!$C$5:$C$434,$B$6,Countries!$D$5:$D$434,$A31))=0,"",IF($B$6="Total",SUMIFS(Countries!$J$5:$J$434,Countries!$A$5:$A$434,$B$4,Countries!$B$5:$B$434,$B$5,Countries!$D$5:$D$434,$A31),SUMIFS(Countries!$J$5:$J$434,Countries!$A$5:$A$434,$B$4,Countries!$B$5:$B$434,$B$5,Countries!$C$5:$C$434,$B$6,Countries!$D$5:$D$434,$A31)))</f>
        <v/>
      </c>
      <c r="H31" s="69">
        <f>IF(OR(G31="",F31="",F31=0,G31=0),"",G31-F31)</f>
        <v/>
      </c>
      <c r="I31" s="42">
        <f>IF(OR(G31="",F31="",F31=0,G31=0),"",G31/F31-1)</f>
        <v/>
      </c>
      <c r="J31" s="43">
        <f>IF(IF($B$6="Total",SUMIFS(Countries!$E$5:$E$434,Countries!$A$5:$A$434,$B$4,Countries!$B$5:$B$434,$B$5,Countries!$D$5:$D$434,$A31,Countries!$I$5:$I$434,"&gt;0"),SUMIFS(Countries!$E$5:$E$434,Countries!$A$5:$A$434,$B$4,Countries!$B$5:$B$434,$B$5,Countries!$C$5:$C$434,$B$6,Countries!$D$5:$D$434,$A31,Countries!$I$5:$I$434,"&gt;0"))=0,"",IF($B$6="Total",SUMIFS(Countries!$I$5:$I$434,Countries!$A$5:$A$434,$B$4,Countries!$B$5:$B$434,$B$5,Countries!$D$5:$D$434,$A31,Countries!$E$5:$E$434,"&gt;0"),SUMIFS(Countries!$I$5:$I$434,Countries!$A$5:$A$434,$B$4,Countries!$B$5:$B$434,$B$5,Countries!$C$5:$C$434,$B$6,Countries!$D$5:$D$434,$A31,Countries!$E$5:$E$434,"&gt;0"))/IF($B$6="Total",SUMIFS(Countries!$E$5:$E$434,Countries!$A$5:$A$434,$B$4,Countries!$B$5:$B$434,$B$5,Countries!$D$5:$D$434,$A31,Countries!$I$5:$I$434,"&gt;0"),SUMIFS(Countries!$E$5:$E$434,Countries!$A$5:$A$434,$B$4,Countries!$B$5:$B$434,$B$5,Countries!$C$5:$C$434,$B$6,Countries!$D$5:$D$434,$A31,Countries!$I$5:$I$434,"&gt;0")))</f>
        <v/>
      </c>
      <c r="K31" s="43">
        <f>IF(IF($B$6="Total",SUMIFS(Countries!$F$5:$F$434,Countries!$A$5:$A$434,$B$4,Countries!$B$5:$B$434,$B$5,Countries!$D$5:$D$434,$A31,Countries!$J$5:$J$434,"&gt;0"),SUMIFS(Countries!$F$5:$F$434,Countries!$A$5:$A$434,$B$4,Countries!$B$5:$B$434,$B$5,Countries!$C$5:$C$434,$B$6,Countries!$D$5:$D$434,$A31,Countries!$J$5:$J$434,"&gt;0"))=0,"",IF($B$6="Total",SUMIFS(Countries!$J$5:$J$434,Countries!$A$5:$A$434,$B$4,Countries!$B$5:$B$434,$B$5,Countries!$D$5:$D$434,$A31,Countries!$F$5:$F$434,"&gt;0"),SUMIFS(Countries!$J$5:$J$434,Countries!$A$5:$A$434,$B$4,Countries!$B$5:$B$434,$B$5,Countries!$C$5:$C$434,$B$6,Countries!$D$5:$D$434,$A31,Countries!$F$5:$F$434,"&gt;0"))/IF($B$6="Total",SUMIFS(Countries!$F$5:$F$434,Countries!$A$5:$A$434,$B$4,Countries!$B$5:$B$434,$B$5,Countries!$D$5:$D$434,$A31,Countries!$J$5:$J$434,"&gt;0"),SUMIFS(Countries!$F$5:$F$434,Countries!$A$5:$A$434,$B$4,Countries!$B$5:$B$434,$B$5,Countries!$C$5:$C$434,$B$6,Countries!$D$5:$D$434,$A31,Countries!$J$5:$J$434,"&gt;0")))</f>
        <v/>
      </c>
      <c r="L31" s="44">
        <f>IF(OR(K31="",J31=""),"",(K31-J31)*100)</f>
        <v/>
      </c>
      <c r="M31" s="41">
        <f>IF(IF($B$6="Total",SUMIFS(Countries!$P$5:$P$434,Countries!$A$5:$A$434,$B$4,Countries!$B$5:$B$434,$B$5,Countries!$D$5:$D$434,$A31),SUMIFS(Countries!$P$5:$P$434,Countries!$A$5:$A$434,$B$4,Countries!$B$5:$B$434,$B$5,Countries!$C$5:$C$434,$B$6,Countries!$D$5:$D$434,$A31))=0,"",IF($B$6="Total",SUMIFS(Countries!$P$5:$P$434,Countries!$A$5:$A$434,$B$4,Countries!$B$5:$B$434,$B$5,Countries!$D$5:$D$434,$A31),SUMIFS(Countries!$P$5:$P$434,Countries!$A$5:$A$434,$B$4,Countries!$B$5:$B$434,$B$5,Countries!$C$5:$C$434,$B$6,Countries!$D$5:$D$434,$A31)))</f>
        <v/>
      </c>
      <c r="N31" s="41">
        <f>IF(IF($B$6="Total",SUMIFS(Countries!$Q$5:$Q$434,Countries!$A$5:$A$434,$B$4,Countries!$B$5:$B$434,$B$5,Countries!$D$5:$D$434,$A31),SUMIFS(Countries!$Q$5:$Q$434,Countries!$A$5:$A$434,$B$4,Countries!$B$5:$B$434,$B$5,Countries!$C$5:$C$434,$B$6,Countries!$D$5:$D$434,$A31))=0,"",IF($B$6="Total",SUMIFS(Countries!$Q$5:$Q$434,Countries!$A$5:$A$434,$B$4,Countries!$B$5:$B$434,$B$5,Countries!$D$5:$D$434,$A31),SUMIFS(Countries!$Q$5:$Q$434,Countries!$A$5:$A$434,$B$4,Countries!$B$5:$B$434,$B$5,Countries!$C$5:$C$434,$B$6,Countries!$D$5:$D$434,$A31)))</f>
        <v/>
      </c>
      <c r="O31" s="69">
        <f>IF(OR(N31="",M31="",M31=0,N31=0),"",N31-M31)</f>
        <v/>
      </c>
      <c r="P31" s="42">
        <f>IF(OR(N31="",M31="",M31=0,N31=0),"",N31/M31-1)</f>
        <v/>
      </c>
      <c r="Q31" s="43">
        <f>IF(IF($B$6="Total",SUMIFS(Countries!$E$5:$E$434,Countries!$A$5:$A$434,$B$4,Countries!$B$5:$B$434,$B$5,Countries!$D$5:$D$434,$A31,Countries!$P$5:$P$434,"&gt;0"),SUMIFS(Countries!$E$5:$E$434,Countries!$A$5:$A$434,$B$4,Countries!$B$5:$B$434,$B$5,Countries!$C$5:$C$434,$B$6,Countries!$D$5:$D$434,$A31,Countries!$P$5:$P$434,"&gt;0"))=0,"",IF($B$6="Total",SUMIFS(Countries!$P$5:$P$434,Countries!$A$5:$A$434,$B$4,Countries!$B$5:$B$434,$B$5,Countries!$D$5:$D$434,$A31,Countries!$E$5:$E$434,"&gt;0"),SUMIFS(Countries!$P$5:$P$434,Countries!$A$5:$A$434,$B$4,Countries!$B$5:$B$434,$B$5,Countries!$C$5:$C$434,$B$6,Countries!$D$5:$D$434,$A31,Countries!$E$5:$E$434,"&gt;0"))/IF($B$6="Total",SUMIFS(Countries!$E$5:$E$434,Countries!$A$5:$A$434,$B$4,Countries!$B$5:$B$434,$B$5,Countries!$D$5:$D$434,$A31,Countries!$P$5:$P$434,"&gt;0"),SUMIFS(Countries!$E$5:$E$434,Countries!$A$5:$A$434,$B$4,Countries!$B$5:$B$434,$B$5,Countries!$C$5:$C$434,$B$6,Countries!$D$5:$D$434,$A31,Countries!$P$5:$P$434,"&gt;0")))</f>
        <v/>
      </c>
      <c r="R31" s="43">
        <f>IF(IF($B$6="Total",SUMIFS(Countries!$F$5:$F$434,Countries!$A$5:$A$434,$B$4,Countries!$B$5:$B$434,$B$5,Countries!$D$5:$D$434,$A31,Countries!$Q$5:$Q$434,"&gt;0"),SUMIFS(Countries!$F$5:$F$434,Countries!$A$5:$A$434,$B$4,Countries!$B$5:$B$434,$B$5,Countries!$C$5:$C$434,$B$6,Countries!$D$5:$D$434,$A31,Countries!$Q$5:$Q$434,"&gt;0"))=0,"",IF($B$6="Total",SUMIFS(Countries!$Q$5:$Q$434,Countries!$A$5:$A$434,$B$4,Countries!$B$5:$B$434,$B$5,Countries!$D$5:$D$434,$A31,Countries!$F$5:$F$434,"&gt;0"),SUMIFS(Countries!$Q$5:$Q$434,Countries!$A$5:$A$434,$B$4,Countries!$B$5:$B$434,$B$5,Countries!$C$5:$C$434,$B$6,Countries!$D$5:$D$434,$A31,Countries!$F$5:$F$434,"&gt;0"))/IF($B$6="Total",SUMIFS(Countries!$F$5:$F$434,Countries!$A$5:$A$434,$B$4,Countries!$B$5:$B$434,$B$5,Countries!$D$5:$D$434,$A31,Countries!$Q$5:$Q$434,"&gt;0"),SUMIFS(Countries!$F$5:$F$434,Countries!$A$5:$A$434,$B$4,Countries!$B$5:$B$434,$B$5,Countries!$C$5:$C$434,$B$6,Countries!$D$5:$D$434,$A31,Countries!$Q$5:$Q$434,"&gt;0")))</f>
        <v/>
      </c>
      <c r="S31" s="44">
        <f>IF(OR(R31="",Q31=""),"",(R31-Q31)*100)</f>
        <v/>
      </c>
      <c r="T31" s="41">
        <f>IF(IF($B$6="Total",SUMIFS(Countries!$W$5:$W$434,Countries!$A$5:$A$434,$B$4,Countries!$B$5:$B$434,$B$5,Countries!$D$5:$D$434,$A31),SUMIFS(Countries!$W$5:$W$434,Countries!$A$5:$A$434,$B$4,Countries!$B$5:$B$434,$B$5,Countries!$C$5:$C$434,$B$6,Countries!$D$5:$D$434,$A31))=0,"",IF($B$6="Total",SUMIFS(Countries!$W$5:$W$434,Countries!$A$5:$A$434,$B$4,Countries!$B$5:$B$434,$B$5,Countries!$D$5:$D$434,$A31),SUMIFS(Countries!$W$5:$W$434,Countries!$A$5:$A$434,$B$4,Countries!$B$5:$B$434,$B$5,Countries!$C$5:$C$434,$B$6,Countries!$D$5:$D$434,$A31)))</f>
        <v/>
      </c>
      <c r="U31" s="41">
        <f>IF(IF($B$6="Total",SUMIFS(Countries!$X$5:$X$434,Countries!$A$5:$A$434,$B$4,Countries!$B$5:$B$434,$B$5,Countries!$D$5:$D$434,$A31),SUMIFS(Countries!$X$5:$X$434,Countries!$A$5:$A$434,$B$4,Countries!$B$5:$B$434,$B$5,Countries!$C$5:$C$434,$B$6,Countries!$D$5:$D$434,$A31))=0,"",IF($B$6="Total",SUMIFS(Countries!$X$5:$X$434,Countries!$A$5:$A$434,$B$4,Countries!$B$5:$B$434,$B$5,Countries!$D$5:$D$434,$A31),SUMIFS(Countries!$X$5:$X$434,Countries!$A$5:$A$434,$B$4,Countries!$B$5:$B$434,$B$5,Countries!$C$5:$C$434,$B$6,Countries!$D$5:$D$434,$A31)))</f>
        <v/>
      </c>
      <c r="V31" s="69">
        <f>IF(OR(U31="",T31="",T31=0,U31=0),"",U31-T31)</f>
        <v/>
      </c>
      <c r="W31" s="42">
        <f>IF(OR(U31="",T31="",T31=0,U31=0),"",U31/T31-1)</f>
        <v/>
      </c>
      <c r="X31" s="43">
        <f>IF(IF($B$6="Total",SUMIFS(Countries!$P$5:$P$434,Countries!$A$5:$A$434,$B$4,Countries!$B$5:$B$434,$B$5,Countries!$D$5:$D$434,$A31,Countries!$W$5:$W$434,"&gt;0"),SUMIFS(Countries!$P$5:$P$434,Countries!$A$5:$A$434,$B$4,Countries!$B$5:$B$434,$B$5,Countries!$C$5:$C$434,$B$6,Countries!$D$5:$D$434,$A31,Countries!$W$5:$W$434,"&gt;0"))=0,"",IF($B$6="Total",SUMIFS(Countries!$W$5:$W$434,Countries!$A$5:$A$434,$B$4,Countries!$B$5:$B$434,$B$5,Countries!$D$5:$D$434,$A31,Countries!$P$5:$P$434,"&gt;0"),SUMIFS(Countries!$W$5:$W$434,Countries!$A$5:$A$434,$B$4,Countries!$B$5:$B$434,$B$5,Countries!$C$5:$C$434,$B$6,Countries!$D$5:$D$434,$A31,Countries!$P$5:$P$434,"&gt;0"))/IF($B$6="Total",SUMIFS(Countries!$P$5:$P$434,Countries!$A$5:$A$434,$B$4,Countries!$B$5:$B$434,$B$5,Countries!$D$5:$D$434,$A31,Countries!$W$5:$W$434,"&gt;0"),SUMIFS(Countries!$P$5:$P$434,Countries!$A$5:$A$434,$B$4,Countries!$B$5:$B$434,$B$5,Countries!$C$5:$C$434,$B$6,Countries!$D$5:$D$434,$A31,Countries!$W$5:$W$434,"&gt;0")))</f>
        <v/>
      </c>
      <c r="Y31" s="43">
        <f>IF(IF($B$6="Total",SUMIFS(Countries!$Q$5:$Q$434,Countries!$A$5:$A$434,$B$4,Countries!$B$5:$B$434,$B$5,Countries!$D$5:$D$434,$A31,Countries!$X$5:$X$434,"&gt;0"),SUMIFS(Countries!$Q$5:$Q$434,Countries!$A$5:$A$434,$B$4,Countries!$B$5:$B$434,$B$5,Countries!$C$5:$C$434,$B$6,Countries!$D$5:$D$434,$A31,Countries!$X$5:$X$434,"&gt;0"))=0,"",IF($B$6="Total",SUMIFS(Countries!$X$5:$X$434,Countries!$A$5:$A$434,$B$4,Countries!$B$5:$B$434,$B$5,Countries!$D$5:$D$434,$A31,Countries!$Q$5:$Q$434,"&gt;0"),SUMIFS(Countries!$X$5:$X$434,Countries!$A$5:$A$434,$B$4,Countries!$B$5:$B$434,$B$5,Countries!$C$5:$C$434,$B$6,Countries!$D$5:$D$434,$A31,Countries!$Q$5:$Q$434,"&gt;0"))/IF($B$6="Total",SUMIFS(Countries!$Q$5:$Q$434,Countries!$A$5:$A$434,$B$4,Countries!$B$5:$B$434,$B$5,Countries!$D$5:$D$434,$A31,Countries!$X$5:$X$434,"&gt;0"),SUMIFS(Countries!$Q$5:$Q$434,Countries!$A$5:$A$434,$B$4,Countries!$B$5:$B$434,$B$5,Countries!$C$5:$C$434,$B$6,Countries!$D$5:$D$434,$A31,Countries!$X$5:$X$434,"&gt;0")))</f>
        <v/>
      </c>
      <c r="Z31" s="44">
        <f>IF(OR(Y31="",X31=""),"",(Y31-X31)*100)</f>
        <v/>
      </c>
      <c r="AA31" s="41">
        <f>IF(IF($B$6="Total",SUMIFS(Countries!$AD$5:$AD$434,Countries!$A$5:$A$434,$B$4,Countries!$B$5:$B$434,$B$5,Countries!$D$5:$D$434,$A31),SUMIFS(Countries!$AD$5:$AD$434,Countries!$A$5:$A$434,$B$4,Countries!$B$5:$B$434,$B$5,Countries!$C$5:$C$434,$B$6,Countries!$D$5:$D$434,$A31))=0,"",IF($B$6="Total",SUMIFS(Countries!$AD$5:$AD$434,Countries!$A$5:$A$434,$B$4,Countries!$B$5:$B$434,$B$5,Countries!$D$5:$D$434,$A31),SUMIFS(Countries!$AD$5:$AD$434,Countries!$A$5:$A$434,$B$4,Countries!$B$5:$B$434,$B$5,Countries!$C$5:$C$434,$B$6,Countries!$D$5:$D$434,$A31)))</f>
        <v/>
      </c>
      <c r="AB31" s="41">
        <f>IF(IF($B$6="Total",SUMIFS(Countries!$AE$5:$AE$434,Countries!$A$5:$A$434,$B$4,Countries!$B$5:$B$434,$B$5,Countries!$D$5:$D$434,$A31),SUMIFS(Countries!$AE$5:$AE$434,Countries!$A$5:$A$434,$B$4,Countries!$B$5:$B$434,$B$5,Countries!$C$5:$C$434,$B$6,Countries!$D$5:$D$434,$A31))=0,"",IF($B$6="Total",SUMIFS(Countries!$AE$5:$AE$434,Countries!$A$5:$A$434,$B$4,Countries!$B$5:$B$434,$B$5,Countries!$D$5:$D$434,$A31),SUMIFS(Countries!$AE$5:$AE$434,Countries!$A$5:$A$434,$B$4,Countries!$B$5:$B$434,$B$5,Countries!$C$5:$C$434,$B$6,Countries!$D$5:$D$434,$A31)))</f>
        <v/>
      </c>
      <c r="AC31" s="69">
        <f>IF(OR(AB31="",AA31="",AA31=0,AB31=0),"",AB31-AA31)</f>
        <v/>
      </c>
      <c r="AD31" s="42">
        <f>IF(OR(AB31="",AA31="",AA31=0,AB31=0),"",AB31/AA31-1)</f>
        <v/>
      </c>
      <c r="AE31" s="43">
        <f>IF(IF($B$6="Total",SUMIFS(Countries!$W$5:$W$434,Countries!$A$5:$A$434,$B$4,Countries!$B$5:$B$434,$B$5,Countries!$D$5:$D$434,$A31,Countries!$AD$5:$AD$434,"&gt;0"),SUMIFS(Countries!$W$5:$W$434,Countries!$A$5:$A$434,$B$4,Countries!$B$5:$B$434,$B$5,Countries!$C$5:$C$434,$B$6,Countries!$D$5:$D$434,$A31,Countries!$AD$5:$AD$434,"&gt;0"))=0,"",IF($B$6="Total",SUMIFS(Countries!$AD$5:$AD$434,Countries!$A$5:$A$434,$B$4,Countries!$B$5:$B$434,$B$5,Countries!$D$5:$D$434,$A31,Countries!$W$5:$W$434,"&gt;0"),SUMIFS(Countries!$AD$5:$AD$434,Countries!$A$5:$A$434,$B$4,Countries!$B$5:$B$434,$B$5,Countries!$C$5:$C$434,$B$6,Countries!$D$5:$D$434,$A31,Countries!$W$5:$W$434,"&gt;0"))/IF($B$6="Total",SUMIFS(Countries!$W$5:$W$434,Countries!$A$5:$A$434,$B$4,Countries!$B$5:$B$434,$B$5,Countries!$D$5:$D$434,$A31,Countries!$AD$5:$AD$434,"&gt;0"),SUMIFS(Countries!$W$5:$W$434,Countries!$A$5:$A$434,$B$4,Countries!$B$5:$B$434,$B$5,Countries!$C$5:$C$434,$B$6,Countries!$D$5:$D$434,$A31,Countries!$AD$5:$AD$434,"&gt;0")))</f>
        <v/>
      </c>
      <c r="AF31" s="43">
        <f>IF(IF($B$6="Total",SUMIFS(Countries!$X$5:$X$434,Countries!$A$5:$A$434,$B$4,Countries!$B$5:$B$434,$B$5,Countries!$D$5:$D$434,$A31,Countries!$AE$5:$AE$434,"&gt;0"),SUMIFS(Countries!$X$5:$X$434,Countries!$A$5:$A$434,$B$4,Countries!$B$5:$B$434,$B$5,Countries!$C$5:$C$434,$B$6,Countries!$D$5:$D$434,$A31,Countries!$AE$5:$AE$434,"&gt;0"))=0,"",IF($B$6="Total",SUMIFS(Countries!$AE$5:$AE$434,Countries!$A$5:$A$434,$B$4,Countries!$B$5:$B$434,$B$5,Countries!$D$5:$D$434,$A31,Countries!$X$5:$X$434,"&gt;0"),SUMIFS(Countries!$AE$5:$AE$434,Countries!$A$5:$A$434,$B$4,Countries!$B$5:$B$434,$B$5,Countries!$C$5:$C$434,$B$6,Countries!$D$5:$D$434,$A31,Countries!$X$5:$X$434,"&gt;0"))/IF($B$6="Total",SUMIFS(Countries!$X$5:$X$434,Countries!$A$5:$A$434,$B$4,Countries!$B$5:$B$434,$B$5,Countries!$D$5:$D$434,$A31,Countries!$AE$5:$AE$434,"&gt;0"),SUMIFS(Countries!$X$5:$X$434,Countries!$A$5:$A$434,$B$4,Countries!$B$5:$B$434,$B$5,Countries!$C$5:$C$434,$B$6,Countries!$D$5:$D$434,$A31,Countries!$AE$5:$AE$434,"&gt;0")))</f>
        <v/>
      </c>
      <c r="AG31" s="44">
        <f>IF(OR(AF31="",AE31=""),"",(AF31-AE31)*100)</f>
        <v/>
      </c>
      <c r="AH31" s="41">
        <f>IF(IF($B$6="Total",SUMIFS(Countries!$AK$5:$AK$434,Countries!$A$5:$A$434,$B$4,Countries!$B$5:$B$434,$B$5,Countries!$D$5:$D$434,$A31),SUMIFS(Countries!$AK$5:$AK$434,Countries!$A$5:$A$434,$B$4,Countries!$B$5:$B$434,$B$5,Countries!$C$5:$C$434,$B$6,Countries!$D$5:$D$434,$A31))=0,"",IF($B$6="Total",SUMIFS(Countries!$AK$5:$AK$434,Countries!$A$5:$A$434,$B$4,Countries!$B$5:$B$434,$B$5,Countries!$D$5:$D$434,$A31),SUMIFS(Countries!$AK$5:$AK$434,Countries!$A$5:$A$434,$B$4,Countries!$B$5:$B$434,$B$5,Countries!$C$5:$C$434,$B$6,Countries!$D$5:$D$434,$A31)))</f>
        <v/>
      </c>
      <c r="AI31" s="41">
        <f>IF(IF($B$6="Total",SUMIFS(Countries!$AL$5:$AL$434,Countries!$A$5:$A$434,$B$4,Countries!$B$5:$B$434,$B$5,Countries!$D$5:$D$434,$A31),SUMIFS(Countries!$AL$5:$AL$434,Countries!$A$5:$A$434,$B$4,Countries!$B$5:$B$434,$B$5,Countries!$C$5:$C$434,$B$6,Countries!$D$5:$D$434,$A31))=0,"",IF($B$6="Total",SUMIFS(Countries!$AL$5:$AL$434,Countries!$A$5:$A$434,$B$4,Countries!$B$5:$B$434,$B$5,Countries!$D$5:$D$434,$A31),SUMIFS(Countries!$AL$5:$AL$434,Countries!$A$5:$A$434,$B$4,Countries!$B$5:$B$434,$B$5,Countries!$C$5:$C$434,$B$6,Countries!$D$5:$D$434,$A31)))</f>
        <v/>
      </c>
      <c r="AJ31" s="69">
        <f>IF(OR(AI31="",AH31="",AH31=0,AI31=0),"",AI31-AH31)</f>
        <v/>
      </c>
      <c r="AK31" s="42">
        <f>IF(OR(AI31="",AH31="",AH31=0,AI31=0),"",AI31/AH31-1)</f>
        <v/>
      </c>
      <c r="AL31" s="43">
        <f>IF(IF($B$6="Total",SUMIFS(Countries!$AD$5:$AD$434,Countries!$A$5:$A$434,$B$4,Countries!$B$5:$B$434,$B$5,Countries!$D$5:$D$434,$A31,Countries!$AK$5:$AK$434,"&gt;0"),SUMIFS(Countries!$AD$5:$AD$434,Countries!$A$5:$A$434,$B$4,Countries!$B$5:$B$434,$B$5,Countries!$C$5:$C$434,$B$6,Countries!$D$5:$D$434,$A31,Countries!$AK$5:$AK$434,"&gt;0"))=0,"",IF($B$6="Total",SUMIFS(Countries!$AK$5:$AK$434,Countries!$A$5:$A$434,$B$4,Countries!$B$5:$B$434,$B$5,Countries!$D$5:$D$434,$A31,Countries!$AD$5:$AD$434,"&gt;0"),SUMIFS(Countries!$AK$5:$AK$434,Countries!$A$5:$A$434,$B$4,Countries!$B$5:$B$434,$B$5,Countries!$C$5:$C$434,$B$6,Countries!$D$5:$D$434,$A31,Countries!$AD$5:$AD$434,"&gt;0"))/IF($B$6="Total",SUMIFS(Countries!$AD$5:$AD$434,Countries!$A$5:$A$434,$B$4,Countries!$B$5:$B$434,$B$5,Countries!$D$5:$D$434,$A31,Countries!$AK$5:$AK$434,"&gt;0"),SUMIFS(Countries!$AD$5:$AD$434,Countries!$A$5:$A$434,$B$4,Countries!$B$5:$B$434,$B$5,Countries!$C$5:$C$434,$B$6,Countries!$D$5:$D$434,$A31,Countries!$AK$5:$AK$434,"&gt;0")))</f>
        <v/>
      </c>
      <c r="AM31" s="43">
        <f>IF(IF($B$6="Total",SUMIFS(Countries!$AE$5:$AE$434,Countries!$A$5:$A$434,$B$4,Countries!$B$5:$B$434,$B$5,Countries!$D$5:$D$434,$A31,Countries!$AL$5:$AL$434,"&gt;0"),SUMIFS(Countries!$AE$5:$AE$434,Countries!$A$5:$A$434,$B$4,Countries!$B$5:$B$434,$B$5,Countries!$C$5:$C$434,$B$6,Countries!$D$5:$D$434,$A31,Countries!$AL$5:$AL$434,"&gt;0"))=0,"",IF($B$6="Total",SUMIFS(Countries!$AL$5:$AL$434,Countries!$A$5:$A$434,$B$4,Countries!$B$5:$B$434,$B$5,Countries!$D$5:$D$434,$A31,Countries!$AE$5:$AE$434,"&gt;0"),SUMIFS(Countries!$AL$5:$AL$434,Countries!$A$5:$A$434,$B$4,Countries!$B$5:$B$434,$B$5,Countries!$C$5:$C$434,$B$6,Countries!$D$5:$D$434,$A31,Countries!$AE$5:$AE$434,"&gt;0"))/IF($B$6="Total",SUMIFS(Countries!$AE$5:$AE$434,Countries!$A$5:$A$434,$B$4,Countries!$B$5:$B$434,$B$5,Countries!$D$5:$D$434,$A31,Countries!$AL$5:$AL$434,"&gt;0"),SUMIFS(Countries!$AE$5:$AE$434,Countries!$A$5:$A$434,$B$4,Countries!$B$5:$B$434,$B$5,Countries!$C$5:$C$434,$B$6,Countries!$D$5:$D$434,$A31,Countries!$AL$5:$AL$434,"&gt;0")))</f>
        <v/>
      </c>
      <c r="AN31" s="44">
        <f>IF(OR(AM31="",AL31=""),"",(AM31-AL31)*100)</f>
        <v/>
      </c>
      <c r="AO31" s="41">
        <f>IF(IF($B$6="Total",SUMIFS(Countries!$AR$5:$AR$434,Countries!$A$5:$A$434,$B$4,Countries!$B$5:$B$434,$B$5,Countries!$D$5:$D$434,$A31),SUMIFS(Countries!$AR$5:$AR$434,Countries!$A$5:$A$434,$B$4,Countries!$B$5:$B$434,$B$5,Countries!$C$5:$C$434,$B$6,Countries!$D$5:$D$434,$A31))=0,"",IF($B$6="Total",SUMIFS(Countries!$AR$5:$AR$434,Countries!$A$5:$A$434,$B$4,Countries!$B$5:$B$434,$B$5,Countries!$D$5:$D$434,$A31),SUMIFS(Countries!$AR$5:$AR$434,Countries!$A$5:$A$434,$B$4,Countries!$B$5:$B$434,$B$5,Countries!$C$5:$C$434,$B$6,Countries!$D$5:$D$434,$A31)))</f>
        <v/>
      </c>
      <c r="AP31" s="41">
        <f>IF(IF($B$6="Total",SUMIFS(Countries!$AS$5:$AS$434,Countries!$A$5:$A$434,$B$4,Countries!$B$5:$B$434,$B$5,Countries!$D$5:$D$434,$A31),SUMIFS(Countries!$AS$5:$AS$434,Countries!$A$5:$A$434,$B$4,Countries!$B$5:$B$434,$B$5,Countries!$C$5:$C$434,$B$6,Countries!$D$5:$D$434,$A31))=0,"",IF($B$6="Total",SUMIFS(Countries!$AS$5:$AS$434,Countries!$A$5:$A$434,$B$4,Countries!$B$5:$B$434,$B$5,Countries!$D$5:$D$434,$A31),SUMIFS(Countries!$AS$5:$AS$434,Countries!$A$5:$A$434,$B$4,Countries!$B$5:$B$434,$B$5,Countries!$C$5:$C$434,$B$6,Countries!$D$5:$D$434,$A31)))</f>
        <v/>
      </c>
      <c r="AQ31" s="69">
        <f>IF(OR(AP31="",AO31="",AO31=0,AP31=0),"",AP31-AO31)</f>
        <v/>
      </c>
      <c r="AR31" s="42">
        <f>IF(OR(AP31="",AO31="",AO31=0,AP31=0),"",AP31/AO31-1)</f>
        <v/>
      </c>
      <c r="AS31" s="43">
        <f>IF(IF($B$6="Total",SUMIFS(Countries!$AK$5:$AK$434,Countries!$A$5:$A$434,$B$4,Countries!$B$5:$B$434,$B$5,Countries!$D$5:$D$434,$A31,Countries!$AR$5:$AR$434,"&gt;0"),SUMIFS(Countries!$AK$5:$AK$434,Countries!$A$5:$A$434,$B$4,Countries!$B$5:$B$434,$B$5,Countries!$C$5:$C$434,$B$6,Countries!$D$5:$D$434,$A31,Countries!$AR$5:$AR$434,"&gt;0"))=0,"",IF($B$6="Total",SUMIFS(Countries!$AR$5:$AR$434,Countries!$A$5:$A$434,$B$4,Countries!$B$5:$B$434,$B$5,Countries!$D$5:$D$434,$A31,Countries!$AK$5:$AK$434,"&gt;0"),SUMIFS(Countries!$AR$5:$AR$434,Countries!$A$5:$A$434,$B$4,Countries!$B$5:$B$434,$B$5,Countries!$C$5:$C$434,$B$6,Countries!$D$5:$D$434,$A31,Countries!$AK$5:$AK$434,"&gt;0"))/IF($B$6="Total",SUMIFS(Countries!$AK$5:$AK$434,Countries!$A$5:$A$434,$B$4,Countries!$B$5:$B$434,$B$5,Countries!$D$5:$D$434,$A31,Countries!$AR$5:$AR$434,"&gt;0"),SUMIFS(Countries!$AK$5:$AK$434,Countries!$A$5:$A$434,$B$4,Countries!$B$5:$B$434,$B$5,Countries!$C$5:$C$434,$B$6,Countries!$D$5:$D$434,$A31,Countries!$AR$5:$AR$434,"&gt;0")))</f>
        <v/>
      </c>
      <c r="AT31" s="43">
        <f>IF(IF($B$6="Total",SUMIFS(Countries!$AL$5:$AL$434,Countries!$A$5:$A$434,$B$4,Countries!$B$5:$B$434,$B$5,Countries!$D$5:$D$434,$A31,Countries!$AS$5:$AS$434,"&gt;0"),SUMIFS(Countries!$AL$5:$AL$434,Countries!$A$5:$A$434,$B$4,Countries!$B$5:$B$434,$B$5,Countries!$C$5:$C$434,$B$6,Countries!$D$5:$D$434,$A31,Countries!$AS$5:$AS$434,"&gt;0"))=0,"",IF($B$6="Total",SUMIFS(Countries!$AS$5:$AS$434,Countries!$A$5:$A$434,$B$4,Countries!$B$5:$B$434,$B$5,Countries!$D$5:$D$434,$A31,Countries!$AL$5:$AL$434,"&gt;0"),SUMIFS(Countries!$AS$5:$AS$434,Countries!$A$5:$A$434,$B$4,Countries!$B$5:$B$434,$B$5,Countries!$C$5:$C$434,$B$6,Countries!$D$5:$D$434,$A31,Countries!$AL$5:$AL$434,"&gt;0"))/IF($B$6="Total",SUMIFS(Countries!$AL$5:$AL$434,Countries!$A$5:$A$434,$B$4,Countries!$B$5:$B$434,$B$5,Countries!$D$5:$D$434,$A31,Countries!$AS$5:$AS$434,"&gt;0"),SUMIFS(Countries!$AL$5:$AL$434,Countries!$A$5:$A$434,$B$4,Countries!$B$5:$B$434,$B$5,Countries!$C$5:$C$434,$B$6,Countries!$D$5:$D$434,$A31,Countries!$AS$5:$AS$434,"&gt;0")))</f>
        <v/>
      </c>
      <c r="AU31" s="44">
        <f>IF(OR(AT31="",AS31=""),"",(AT31-AS31)*100)</f>
        <v/>
      </c>
      <c r="AV31" s="45">
        <f>IF(IF($B$6="Total",SUMIFS(Countries!$P$5:$P$434,Countries!$A$5:$A$434,$B$4,Countries!$B$5:$B$434,$B$5,Countries!$D$5:$D$434,$A31,Countries!$AR$5:$AR$434,"&gt;0"),SUMIFS(Countries!$P$5:$P$434,Countries!$A$5:$A$434,$B$4,Countries!$B$5:$B$434,$B$5,Countries!$C$5:$C$434,$B$6,Countries!$D$5:$D$434,$A31,Countries!$AR$5:$AR$434,"&gt;0"))=0,"",IF($B$6="Total",SUMIFS(Countries!$AR$5:$AR$434,Countries!$A$5:$A$434,$B$4,Countries!$B$5:$B$434,$B$5,Countries!$D$5:$D$434,$A31,Countries!$P$5:$P$434,"&gt;0"),SUMIFS(Countries!$AR$5:$AR$434,Countries!$A$5:$A$434,$B$4,Countries!$B$5:$B$434,$B$5,Countries!$C$5:$C$434,$B$6,Countries!$D$5:$D$434,$A31,Countries!$P$5:$P$434,"&gt;0"))/IF($B$6="Total",SUMIFS(Countries!$P$5:$P$434,Countries!$A$5:$A$434,$B$4,Countries!$B$5:$B$434,$B$5,Countries!$D$5:$D$434,$A31,Countries!$AR$5:$AR$434,"&gt;0"),SUMIFS(Countries!$P$5:$P$434,Countries!$A$5:$A$434,$B$4,Countries!$B$5:$B$434,$B$5,Countries!$C$5:$C$434,$B$6,Countries!$D$5:$D$434,$A31,Countries!$AR$5:$AR$434,"&gt;0")))</f>
        <v/>
      </c>
      <c r="AW31" s="45">
        <f>IF(IF($B$6="Total",SUMIFS(Countries!$Q$5:$Q$434,Countries!$A$5:$A$434,$B$4,Countries!$B$5:$B$434,$B$5,Countries!$D$5:$D$434,$A31,Countries!$AS$5:$AS$434,"&gt;0"),SUMIFS(Countries!$Q$5:$Q$434,Countries!$A$5:$A$434,$B$4,Countries!$B$5:$B$434,$B$5,Countries!$C$5:$C$434,$B$6,Countries!$D$5:$D$434,$A31,Countries!$AS$5:$AS$434,"&gt;0"))=0,"",IF($B$6="Total",SUMIFS(Countries!$AS$5:$AS$434,Countries!$A$5:$A$434,$B$4,Countries!$B$5:$B$434,$B$5,Countries!$D$5:$D$434,$A31,Countries!$Q$5:$Q$434,"&gt;0"),SUMIFS(Countries!$AS$5:$AS$434,Countries!$A$5:$A$434,$B$4,Countries!$B$5:$B$434,$B$5,Countries!$C$5:$C$434,$B$6,Countries!$D$5:$D$434,$A31,Countries!$Q$5:$Q$434,"&gt;0"))/IF($B$6="Total",SUMIFS(Countries!$Q$5:$Q$434,Countries!$A$5:$A$434,$B$4,Countries!$B$5:$B$434,$B$5,Countries!$D$5:$D$434,$A31,Countries!$AS$5:$AS$434,"&gt;0"),SUMIFS(Countries!$Q$5:$Q$434,Countries!$A$5:$A$434,$B$4,Countries!$B$5:$B$434,$B$5,Countries!$C$5:$C$434,$B$6,Countries!$D$5:$D$434,$A31,Countries!$AS$5:$AS$434,"&gt;0")))</f>
        <v/>
      </c>
      <c r="AX31" s="44">
        <f>IF(OR(AW31="",AV31=""),"",(AW31-AV31)*100)</f>
        <v/>
      </c>
      <c r="AY31" s="45">
        <f>IF(IF($B$6="Total",SUMIFS(Countries!$E$5:$E$434,Countries!$A$5:$A$434,$B$4,Countries!$B$5:$B$434,$B$5,Countries!$D$5:$D$434,$A31,Countries!$AR$5:$AR$434,"&gt;0"),SUMIFS(Countries!$E$5:$E$434,Countries!$A$5:$A$434,$B$4,Countries!$B$5:$B$434,$B$5,Countries!$C$5:$C$434,$B$6,Countries!$D$5:$D$434,$A31,Countries!$AR$5:$AR$434,"&gt;0"))=0,"",IF($B$6="Total",SUMIFS(Countries!$AR$5:$AR$434,Countries!$A$5:$A$434,$B$4,Countries!$B$5:$B$434,$B$5,Countries!$D$5:$D$434,$A31,Countries!$E$5:$E$434,"&gt;0"),SUMIFS(Countries!$AR$5:$AR$434,Countries!$A$5:$A$434,$B$4,Countries!$B$5:$B$434,$B$5,Countries!$C$5:$C$434,$B$6,Countries!$D$5:$D$434,$A31,Countries!$E$5:$E$434,"&gt;0"))/IF($B$6="Total",SUMIFS(Countries!$E$5:$E$434,Countries!$A$5:$A$434,$B$4,Countries!$B$5:$B$434,$B$5,Countries!$D$5:$D$434,$A31,Countries!$AR$5:$AR$434,"&gt;0"),SUMIFS(Countries!$E$5:$E$434,Countries!$A$5:$A$434,$B$4,Countries!$B$5:$B$434,$B$5,Countries!$C$5:$C$434,$B$6,Countries!$D$5:$D$434,$A31,Countries!$AR$5:$AR$434,"&gt;0")))</f>
        <v/>
      </c>
      <c r="AZ31" s="45">
        <f>IF(IF($B$6="Total",SUMIFS(Countries!$F$5:$F$434,Countries!$A$5:$A$434,$B$4,Countries!$B$5:$B$434,$B$5,Countries!$D$5:$D$434,$A31,Countries!$AS$5:$AS$434,"&gt;0"),SUMIFS(Countries!$F$5:$F$434,Countries!$A$5:$A$434,$B$4,Countries!$B$5:$B$434,$B$5,Countries!$C$5:$C$434,$B$6,Countries!$D$5:$D$434,$A31,Countries!$AS$5:$AS$434,"&gt;0"))=0,"",IF($B$6="Total",SUMIFS(Countries!$AS$5:$AS$434,Countries!$A$5:$A$434,$B$4,Countries!$B$5:$B$434,$B$5,Countries!$D$5:$D$434,$A31,Countries!$F$5:$F$434,"&gt;0"),SUMIFS(Countries!$AS$5:$AS$434,Countries!$A$5:$A$434,$B$4,Countries!$B$5:$B$434,$B$5,Countries!$C$5:$C$434,$B$6,Countries!$D$5:$D$434,$A31,Countries!$F$5:$F$434,"&gt;0"))/IF($B$6="Total",SUMIFS(Countries!$F$5:$F$434,Countries!$A$5:$A$434,$B$4,Countries!$B$5:$B$434,$B$5,Countries!$D$5:$D$434,$A31,Countries!$AS$5:$AS$434,"&gt;0"),SUMIFS(Countries!$F$5:$F$434,Countries!$A$5:$A$434,$B$4,Countries!$B$5:$B$434,$B$5,Countries!$C$5:$C$434,$B$6,Countries!$D$5:$D$434,$A31,Countries!$AS$5:$AS$434,"&gt;0")))</f>
        <v/>
      </c>
      <c r="BA31" s="44">
        <f>IF(OR(AZ31="",AY31=""),"",(AZ31-AY31)*100)</f>
        <v/>
      </c>
      <c r="BB31" s="40">
        <f>IF(AND(IF($B$6="Total",COUNTIFS(Countries!$A$5:$A$434,$B$4,Countries!$B$5:$B$434,$B$5,Countries!$D$5:$D$434,$A31,Countries!$F$5:$F$434,"&gt;0"),COUNTIFS(Countries!$A$5:$A$434,$B$4,Countries!$B$5:$B$434,$B$5,Countries!$C$5:$C$434,$B$6,Countries!$D$5:$D$434,$A31,Countries!$F$5:$F$434,"&gt;0"))=0,IF($B$6="Total",COUNTIFS(Countries!$A$5:$A$434,$B$4,Countries!$B$5:$B$434,$B$5,Countries!$D$5:$D$434,$A31,Countries!$E$5:$E$434,"&gt;0"),COUNTIFS(Countries!$A$5:$A$434,$B$4,Countries!$B$5:$B$434,$B$5,Countries!$C$5:$C$434,$B$6,Countries!$D$5:$D$434,$A31,Countries!$E$5:$E$434,"&gt;0"))=0),"",IF(IF($B$6="Total",COUNTIFS(Countries!$A$5:$A$434,$B$4,Countries!$B$5:$B$434,$B$5,Countries!$D$5:$D$434,$A31,Countries!$F$5:$F$434,"&gt;0"),COUNTIFS(Countries!$A$5:$A$434,$B$4,Countries!$B$5:$B$434,$B$5,Countries!$C$5:$C$434,$B$6,Countries!$D$5:$D$434,$A31,Countries!$F$5:$F$434,"&gt;0"))=0,"1-23Aug25 rows only",IF(IF($B$6="Total",COUNTIFS(Countries!$A$5:$A$434,$B$4,Countries!$B$5:$B$434,$B$5,Countries!$D$5:$D$434,$A31,Countries!$E$5:$E$434,"&gt;0"),COUNTIFS(Countries!$A$5:$A$434,$B$4,Countries!$B$5:$B$434,$B$5,Countries!$C$5:$C$434,$B$6,Countries!$D$5:$D$434,$A31,Countries!$E$5:$E$434,"&gt;0"))=0,"1-23Aug26 rows only",IF(IF($B$6="Total",COUNTIFS(Countries!$A$5:$A$434,$B$4,Countries!$B$5:$B$434,$B$5,Countries!$D$5:$D$434,$A31,Countries!$F$5:$F$434,"&gt;0"),COUNTIFS(Countries!$A$5:$A$434,$B$4,Countries!$B$5:$B$434,$B$5,Countries!$C$5:$C$434,$B$6,Countries!$D$5:$D$434,$A31,Countries!$F$5:$F$434,"&gt;0"))=IF($B$6="Total",COUNTIFS(Countries!$A$5:$A$434,$B$4,Countries!$B$5:$B$434,$B$5,Countries!$D$5:$D$434,$A31,Countries!$E$5:$E$434,"&gt;0"),COUNTIFS(Countries!$A$5:$A$434,$B$4,Countries!$B$5:$B$434,$B$5,Countries!$C$5:$C$434,$B$6,Countries!$D$5:$D$434,$A31,Countries!$E$5:$E$434,"&gt;0")),"Like-for-like","Partial — coverage differs"))))</f>
        <v/>
      </c>
    </row>
    <row r="32">
      <c r="A32" s="56" t="inlineStr">
        <is>
          <t>Algeria</t>
        </is>
      </c>
      <c r="B32" s="41">
        <f>IF(IF($B$6="Total",SUMIFS(Countries!$E$5:$E$434,Countries!$A$5:$A$434,$B$4,Countries!$B$5:$B$434,$B$5,Countries!$D$5:$D$434,$A32),SUMIFS(Countries!$E$5:$E$434,Countries!$A$5:$A$434,$B$4,Countries!$B$5:$B$434,$B$5,Countries!$C$5:$C$434,$B$6,Countries!$D$5:$D$434,$A32))=0,"",IF($B$6="Total",SUMIFS(Countries!$E$5:$E$434,Countries!$A$5:$A$434,$B$4,Countries!$B$5:$B$434,$B$5,Countries!$D$5:$D$434,$A32),SUMIFS(Countries!$E$5:$E$434,Countries!$A$5:$A$434,$B$4,Countries!$B$5:$B$434,$B$5,Countries!$C$5:$C$434,$B$6,Countries!$D$5:$D$434,$A32)))</f>
        <v/>
      </c>
      <c r="C32" s="41">
        <f>IF(IF($B$6="Total",SUMIFS(Countries!$F$5:$F$434,Countries!$A$5:$A$434,$B$4,Countries!$B$5:$B$434,$B$5,Countries!$D$5:$D$434,$A32),SUMIFS(Countries!$F$5:$F$434,Countries!$A$5:$A$434,$B$4,Countries!$B$5:$B$434,$B$5,Countries!$C$5:$C$434,$B$6,Countries!$D$5:$D$434,$A32))=0,"",IF($B$6="Total",SUMIFS(Countries!$F$5:$F$434,Countries!$A$5:$A$434,$B$4,Countries!$B$5:$B$434,$B$5,Countries!$D$5:$D$434,$A32),SUMIFS(Countries!$F$5:$F$434,Countries!$A$5:$A$434,$B$4,Countries!$B$5:$B$434,$B$5,Countries!$C$5:$C$434,$B$6,Countries!$D$5:$D$434,$A32)))</f>
        <v/>
      </c>
      <c r="D32" s="69">
        <f>IF(OR(C32="",B32="",B32=0,C32=0),"",C32-B32)</f>
        <v/>
      </c>
      <c r="E32" s="42">
        <f>IF(OR(C32="",B32="",B32=0,C32=0),"",C32/B32-1)</f>
        <v/>
      </c>
      <c r="F32" s="41">
        <f>IF(IF($B$6="Total",SUMIFS(Countries!$I$5:$I$434,Countries!$A$5:$A$434,$B$4,Countries!$B$5:$B$434,$B$5,Countries!$D$5:$D$434,$A32),SUMIFS(Countries!$I$5:$I$434,Countries!$A$5:$A$434,$B$4,Countries!$B$5:$B$434,$B$5,Countries!$C$5:$C$434,$B$6,Countries!$D$5:$D$434,$A32))=0,"",IF($B$6="Total",SUMIFS(Countries!$I$5:$I$434,Countries!$A$5:$A$434,$B$4,Countries!$B$5:$B$434,$B$5,Countries!$D$5:$D$434,$A32),SUMIFS(Countries!$I$5:$I$434,Countries!$A$5:$A$434,$B$4,Countries!$B$5:$B$434,$B$5,Countries!$C$5:$C$434,$B$6,Countries!$D$5:$D$434,$A32)))</f>
        <v/>
      </c>
      <c r="G32" s="41">
        <f>IF(IF($B$6="Total",SUMIFS(Countries!$J$5:$J$434,Countries!$A$5:$A$434,$B$4,Countries!$B$5:$B$434,$B$5,Countries!$D$5:$D$434,$A32),SUMIFS(Countries!$J$5:$J$434,Countries!$A$5:$A$434,$B$4,Countries!$B$5:$B$434,$B$5,Countries!$C$5:$C$434,$B$6,Countries!$D$5:$D$434,$A32))=0,"",IF($B$6="Total",SUMIFS(Countries!$J$5:$J$434,Countries!$A$5:$A$434,$B$4,Countries!$B$5:$B$434,$B$5,Countries!$D$5:$D$434,$A32),SUMIFS(Countries!$J$5:$J$434,Countries!$A$5:$A$434,$B$4,Countries!$B$5:$B$434,$B$5,Countries!$C$5:$C$434,$B$6,Countries!$D$5:$D$434,$A32)))</f>
        <v/>
      </c>
      <c r="H32" s="69">
        <f>IF(OR(G32="",F32="",F32=0,G32=0),"",G32-F32)</f>
        <v/>
      </c>
      <c r="I32" s="42">
        <f>IF(OR(G32="",F32="",F32=0,G32=0),"",G32/F32-1)</f>
        <v/>
      </c>
      <c r="J32" s="43">
        <f>IF(IF($B$6="Total",SUMIFS(Countries!$E$5:$E$434,Countries!$A$5:$A$434,$B$4,Countries!$B$5:$B$434,$B$5,Countries!$D$5:$D$434,$A32,Countries!$I$5:$I$434,"&gt;0"),SUMIFS(Countries!$E$5:$E$434,Countries!$A$5:$A$434,$B$4,Countries!$B$5:$B$434,$B$5,Countries!$C$5:$C$434,$B$6,Countries!$D$5:$D$434,$A32,Countries!$I$5:$I$434,"&gt;0"))=0,"",IF($B$6="Total",SUMIFS(Countries!$I$5:$I$434,Countries!$A$5:$A$434,$B$4,Countries!$B$5:$B$434,$B$5,Countries!$D$5:$D$434,$A32,Countries!$E$5:$E$434,"&gt;0"),SUMIFS(Countries!$I$5:$I$434,Countries!$A$5:$A$434,$B$4,Countries!$B$5:$B$434,$B$5,Countries!$C$5:$C$434,$B$6,Countries!$D$5:$D$434,$A32,Countries!$E$5:$E$434,"&gt;0"))/IF($B$6="Total",SUMIFS(Countries!$E$5:$E$434,Countries!$A$5:$A$434,$B$4,Countries!$B$5:$B$434,$B$5,Countries!$D$5:$D$434,$A32,Countries!$I$5:$I$434,"&gt;0"),SUMIFS(Countries!$E$5:$E$434,Countries!$A$5:$A$434,$B$4,Countries!$B$5:$B$434,$B$5,Countries!$C$5:$C$434,$B$6,Countries!$D$5:$D$434,$A32,Countries!$I$5:$I$434,"&gt;0")))</f>
        <v/>
      </c>
      <c r="K32" s="43">
        <f>IF(IF($B$6="Total",SUMIFS(Countries!$F$5:$F$434,Countries!$A$5:$A$434,$B$4,Countries!$B$5:$B$434,$B$5,Countries!$D$5:$D$434,$A32,Countries!$J$5:$J$434,"&gt;0"),SUMIFS(Countries!$F$5:$F$434,Countries!$A$5:$A$434,$B$4,Countries!$B$5:$B$434,$B$5,Countries!$C$5:$C$434,$B$6,Countries!$D$5:$D$434,$A32,Countries!$J$5:$J$434,"&gt;0"))=0,"",IF($B$6="Total",SUMIFS(Countries!$J$5:$J$434,Countries!$A$5:$A$434,$B$4,Countries!$B$5:$B$434,$B$5,Countries!$D$5:$D$434,$A32,Countries!$F$5:$F$434,"&gt;0"),SUMIFS(Countries!$J$5:$J$434,Countries!$A$5:$A$434,$B$4,Countries!$B$5:$B$434,$B$5,Countries!$C$5:$C$434,$B$6,Countries!$D$5:$D$434,$A32,Countries!$F$5:$F$434,"&gt;0"))/IF($B$6="Total",SUMIFS(Countries!$F$5:$F$434,Countries!$A$5:$A$434,$B$4,Countries!$B$5:$B$434,$B$5,Countries!$D$5:$D$434,$A32,Countries!$J$5:$J$434,"&gt;0"),SUMIFS(Countries!$F$5:$F$434,Countries!$A$5:$A$434,$B$4,Countries!$B$5:$B$434,$B$5,Countries!$C$5:$C$434,$B$6,Countries!$D$5:$D$434,$A32,Countries!$J$5:$J$434,"&gt;0")))</f>
        <v/>
      </c>
      <c r="L32" s="44">
        <f>IF(OR(K32="",J32=""),"",(K32-J32)*100)</f>
        <v/>
      </c>
      <c r="M32" s="41">
        <f>IF(IF($B$6="Total",SUMIFS(Countries!$P$5:$P$434,Countries!$A$5:$A$434,$B$4,Countries!$B$5:$B$434,$B$5,Countries!$D$5:$D$434,$A32),SUMIFS(Countries!$P$5:$P$434,Countries!$A$5:$A$434,$B$4,Countries!$B$5:$B$434,$B$5,Countries!$C$5:$C$434,$B$6,Countries!$D$5:$D$434,$A32))=0,"",IF($B$6="Total",SUMIFS(Countries!$P$5:$P$434,Countries!$A$5:$A$434,$B$4,Countries!$B$5:$B$434,$B$5,Countries!$D$5:$D$434,$A32),SUMIFS(Countries!$P$5:$P$434,Countries!$A$5:$A$434,$B$4,Countries!$B$5:$B$434,$B$5,Countries!$C$5:$C$434,$B$6,Countries!$D$5:$D$434,$A32)))</f>
        <v/>
      </c>
      <c r="N32" s="41">
        <f>IF(IF($B$6="Total",SUMIFS(Countries!$Q$5:$Q$434,Countries!$A$5:$A$434,$B$4,Countries!$B$5:$B$434,$B$5,Countries!$D$5:$D$434,$A32),SUMIFS(Countries!$Q$5:$Q$434,Countries!$A$5:$A$434,$B$4,Countries!$B$5:$B$434,$B$5,Countries!$C$5:$C$434,$B$6,Countries!$D$5:$D$434,$A32))=0,"",IF($B$6="Total",SUMIFS(Countries!$Q$5:$Q$434,Countries!$A$5:$A$434,$B$4,Countries!$B$5:$B$434,$B$5,Countries!$D$5:$D$434,$A32),SUMIFS(Countries!$Q$5:$Q$434,Countries!$A$5:$A$434,$B$4,Countries!$B$5:$B$434,$B$5,Countries!$C$5:$C$434,$B$6,Countries!$D$5:$D$434,$A32)))</f>
        <v/>
      </c>
      <c r="O32" s="69">
        <f>IF(OR(N32="",M32="",M32=0,N32=0),"",N32-M32)</f>
        <v/>
      </c>
      <c r="P32" s="42">
        <f>IF(OR(N32="",M32="",M32=0,N32=0),"",N32/M32-1)</f>
        <v/>
      </c>
      <c r="Q32" s="43">
        <f>IF(IF($B$6="Total",SUMIFS(Countries!$E$5:$E$434,Countries!$A$5:$A$434,$B$4,Countries!$B$5:$B$434,$B$5,Countries!$D$5:$D$434,$A32,Countries!$P$5:$P$434,"&gt;0"),SUMIFS(Countries!$E$5:$E$434,Countries!$A$5:$A$434,$B$4,Countries!$B$5:$B$434,$B$5,Countries!$C$5:$C$434,$B$6,Countries!$D$5:$D$434,$A32,Countries!$P$5:$P$434,"&gt;0"))=0,"",IF($B$6="Total",SUMIFS(Countries!$P$5:$P$434,Countries!$A$5:$A$434,$B$4,Countries!$B$5:$B$434,$B$5,Countries!$D$5:$D$434,$A32,Countries!$E$5:$E$434,"&gt;0"),SUMIFS(Countries!$P$5:$P$434,Countries!$A$5:$A$434,$B$4,Countries!$B$5:$B$434,$B$5,Countries!$C$5:$C$434,$B$6,Countries!$D$5:$D$434,$A32,Countries!$E$5:$E$434,"&gt;0"))/IF($B$6="Total",SUMIFS(Countries!$E$5:$E$434,Countries!$A$5:$A$434,$B$4,Countries!$B$5:$B$434,$B$5,Countries!$D$5:$D$434,$A32,Countries!$P$5:$P$434,"&gt;0"),SUMIFS(Countries!$E$5:$E$434,Countries!$A$5:$A$434,$B$4,Countries!$B$5:$B$434,$B$5,Countries!$C$5:$C$434,$B$6,Countries!$D$5:$D$434,$A32,Countries!$P$5:$P$434,"&gt;0")))</f>
        <v/>
      </c>
      <c r="R32" s="43">
        <f>IF(IF($B$6="Total",SUMIFS(Countries!$F$5:$F$434,Countries!$A$5:$A$434,$B$4,Countries!$B$5:$B$434,$B$5,Countries!$D$5:$D$434,$A32,Countries!$Q$5:$Q$434,"&gt;0"),SUMIFS(Countries!$F$5:$F$434,Countries!$A$5:$A$434,$B$4,Countries!$B$5:$B$434,$B$5,Countries!$C$5:$C$434,$B$6,Countries!$D$5:$D$434,$A32,Countries!$Q$5:$Q$434,"&gt;0"))=0,"",IF($B$6="Total",SUMIFS(Countries!$Q$5:$Q$434,Countries!$A$5:$A$434,$B$4,Countries!$B$5:$B$434,$B$5,Countries!$D$5:$D$434,$A32,Countries!$F$5:$F$434,"&gt;0"),SUMIFS(Countries!$Q$5:$Q$434,Countries!$A$5:$A$434,$B$4,Countries!$B$5:$B$434,$B$5,Countries!$C$5:$C$434,$B$6,Countries!$D$5:$D$434,$A32,Countries!$F$5:$F$434,"&gt;0"))/IF($B$6="Total",SUMIFS(Countries!$F$5:$F$434,Countries!$A$5:$A$434,$B$4,Countries!$B$5:$B$434,$B$5,Countries!$D$5:$D$434,$A32,Countries!$Q$5:$Q$434,"&gt;0"),SUMIFS(Countries!$F$5:$F$434,Countries!$A$5:$A$434,$B$4,Countries!$B$5:$B$434,$B$5,Countries!$C$5:$C$434,$B$6,Countries!$D$5:$D$434,$A32,Countries!$Q$5:$Q$434,"&gt;0")))</f>
        <v/>
      </c>
      <c r="S32" s="44">
        <f>IF(OR(R32="",Q32=""),"",(R32-Q32)*100)</f>
        <v/>
      </c>
      <c r="T32" s="41">
        <f>IF(IF($B$6="Total",SUMIFS(Countries!$W$5:$W$434,Countries!$A$5:$A$434,$B$4,Countries!$B$5:$B$434,$B$5,Countries!$D$5:$D$434,$A32),SUMIFS(Countries!$W$5:$W$434,Countries!$A$5:$A$434,$B$4,Countries!$B$5:$B$434,$B$5,Countries!$C$5:$C$434,$B$6,Countries!$D$5:$D$434,$A32))=0,"",IF($B$6="Total",SUMIFS(Countries!$W$5:$W$434,Countries!$A$5:$A$434,$B$4,Countries!$B$5:$B$434,$B$5,Countries!$D$5:$D$434,$A32),SUMIFS(Countries!$W$5:$W$434,Countries!$A$5:$A$434,$B$4,Countries!$B$5:$B$434,$B$5,Countries!$C$5:$C$434,$B$6,Countries!$D$5:$D$434,$A32)))</f>
        <v/>
      </c>
      <c r="U32" s="41">
        <f>IF(IF($B$6="Total",SUMIFS(Countries!$X$5:$X$434,Countries!$A$5:$A$434,$B$4,Countries!$B$5:$B$434,$B$5,Countries!$D$5:$D$434,$A32),SUMIFS(Countries!$X$5:$X$434,Countries!$A$5:$A$434,$B$4,Countries!$B$5:$B$434,$B$5,Countries!$C$5:$C$434,$B$6,Countries!$D$5:$D$434,$A32))=0,"",IF($B$6="Total",SUMIFS(Countries!$X$5:$X$434,Countries!$A$5:$A$434,$B$4,Countries!$B$5:$B$434,$B$5,Countries!$D$5:$D$434,$A32),SUMIFS(Countries!$X$5:$X$434,Countries!$A$5:$A$434,$B$4,Countries!$B$5:$B$434,$B$5,Countries!$C$5:$C$434,$B$6,Countries!$D$5:$D$434,$A32)))</f>
        <v/>
      </c>
      <c r="V32" s="69">
        <f>IF(OR(U32="",T32="",T32=0,U32=0),"",U32-T32)</f>
        <v/>
      </c>
      <c r="W32" s="42">
        <f>IF(OR(U32="",T32="",T32=0,U32=0),"",U32/T32-1)</f>
        <v/>
      </c>
      <c r="X32" s="43">
        <f>IF(IF($B$6="Total",SUMIFS(Countries!$P$5:$P$434,Countries!$A$5:$A$434,$B$4,Countries!$B$5:$B$434,$B$5,Countries!$D$5:$D$434,$A32,Countries!$W$5:$W$434,"&gt;0"),SUMIFS(Countries!$P$5:$P$434,Countries!$A$5:$A$434,$B$4,Countries!$B$5:$B$434,$B$5,Countries!$C$5:$C$434,$B$6,Countries!$D$5:$D$434,$A32,Countries!$W$5:$W$434,"&gt;0"))=0,"",IF($B$6="Total",SUMIFS(Countries!$W$5:$W$434,Countries!$A$5:$A$434,$B$4,Countries!$B$5:$B$434,$B$5,Countries!$D$5:$D$434,$A32,Countries!$P$5:$P$434,"&gt;0"),SUMIFS(Countries!$W$5:$W$434,Countries!$A$5:$A$434,$B$4,Countries!$B$5:$B$434,$B$5,Countries!$C$5:$C$434,$B$6,Countries!$D$5:$D$434,$A32,Countries!$P$5:$P$434,"&gt;0"))/IF($B$6="Total",SUMIFS(Countries!$P$5:$P$434,Countries!$A$5:$A$434,$B$4,Countries!$B$5:$B$434,$B$5,Countries!$D$5:$D$434,$A32,Countries!$W$5:$W$434,"&gt;0"),SUMIFS(Countries!$P$5:$P$434,Countries!$A$5:$A$434,$B$4,Countries!$B$5:$B$434,$B$5,Countries!$C$5:$C$434,$B$6,Countries!$D$5:$D$434,$A32,Countries!$W$5:$W$434,"&gt;0")))</f>
        <v/>
      </c>
      <c r="Y32" s="43">
        <f>IF(IF($B$6="Total",SUMIFS(Countries!$Q$5:$Q$434,Countries!$A$5:$A$434,$B$4,Countries!$B$5:$B$434,$B$5,Countries!$D$5:$D$434,$A32,Countries!$X$5:$X$434,"&gt;0"),SUMIFS(Countries!$Q$5:$Q$434,Countries!$A$5:$A$434,$B$4,Countries!$B$5:$B$434,$B$5,Countries!$C$5:$C$434,$B$6,Countries!$D$5:$D$434,$A32,Countries!$X$5:$X$434,"&gt;0"))=0,"",IF($B$6="Total",SUMIFS(Countries!$X$5:$X$434,Countries!$A$5:$A$434,$B$4,Countries!$B$5:$B$434,$B$5,Countries!$D$5:$D$434,$A32,Countries!$Q$5:$Q$434,"&gt;0"),SUMIFS(Countries!$X$5:$X$434,Countries!$A$5:$A$434,$B$4,Countries!$B$5:$B$434,$B$5,Countries!$C$5:$C$434,$B$6,Countries!$D$5:$D$434,$A32,Countries!$Q$5:$Q$434,"&gt;0"))/IF($B$6="Total",SUMIFS(Countries!$Q$5:$Q$434,Countries!$A$5:$A$434,$B$4,Countries!$B$5:$B$434,$B$5,Countries!$D$5:$D$434,$A32,Countries!$X$5:$X$434,"&gt;0"),SUMIFS(Countries!$Q$5:$Q$434,Countries!$A$5:$A$434,$B$4,Countries!$B$5:$B$434,$B$5,Countries!$C$5:$C$434,$B$6,Countries!$D$5:$D$434,$A32,Countries!$X$5:$X$434,"&gt;0")))</f>
        <v/>
      </c>
      <c r="Z32" s="44">
        <f>IF(OR(Y32="",X32=""),"",(Y32-X32)*100)</f>
        <v/>
      </c>
      <c r="AA32" s="41">
        <f>IF(IF($B$6="Total",SUMIFS(Countries!$AD$5:$AD$434,Countries!$A$5:$A$434,$B$4,Countries!$B$5:$B$434,$B$5,Countries!$D$5:$D$434,$A32),SUMIFS(Countries!$AD$5:$AD$434,Countries!$A$5:$A$434,$B$4,Countries!$B$5:$B$434,$B$5,Countries!$C$5:$C$434,$B$6,Countries!$D$5:$D$434,$A32))=0,"",IF($B$6="Total",SUMIFS(Countries!$AD$5:$AD$434,Countries!$A$5:$A$434,$B$4,Countries!$B$5:$B$434,$B$5,Countries!$D$5:$D$434,$A32),SUMIFS(Countries!$AD$5:$AD$434,Countries!$A$5:$A$434,$B$4,Countries!$B$5:$B$434,$B$5,Countries!$C$5:$C$434,$B$6,Countries!$D$5:$D$434,$A32)))</f>
        <v/>
      </c>
      <c r="AB32" s="41">
        <f>IF(IF($B$6="Total",SUMIFS(Countries!$AE$5:$AE$434,Countries!$A$5:$A$434,$B$4,Countries!$B$5:$B$434,$B$5,Countries!$D$5:$D$434,$A32),SUMIFS(Countries!$AE$5:$AE$434,Countries!$A$5:$A$434,$B$4,Countries!$B$5:$B$434,$B$5,Countries!$C$5:$C$434,$B$6,Countries!$D$5:$D$434,$A32))=0,"",IF($B$6="Total",SUMIFS(Countries!$AE$5:$AE$434,Countries!$A$5:$A$434,$B$4,Countries!$B$5:$B$434,$B$5,Countries!$D$5:$D$434,$A32),SUMIFS(Countries!$AE$5:$AE$434,Countries!$A$5:$A$434,$B$4,Countries!$B$5:$B$434,$B$5,Countries!$C$5:$C$434,$B$6,Countries!$D$5:$D$434,$A32)))</f>
        <v/>
      </c>
      <c r="AC32" s="69">
        <f>IF(OR(AB32="",AA32="",AA32=0,AB32=0),"",AB32-AA32)</f>
        <v/>
      </c>
      <c r="AD32" s="42">
        <f>IF(OR(AB32="",AA32="",AA32=0,AB32=0),"",AB32/AA32-1)</f>
        <v/>
      </c>
      <c r="AE32" s="43">
        <f>IF(IF($B$6="Total",SUMIFS(Countries!$W$5:$W$434,Countries!$A$5:$A$434,$B$4,Countries!$B$5:$B$434,$B$5,Countries!$D$5:$D$434,$A32,Countries!$AD$5:$AD$434,"&gt;0"),SUMIFS(Countries!$W$5:$W$434,Countries!$A$5:$A$434,$B$4,Countries!$B$5:$B$434,$B$5,Countries!$C$5:$C$434,$B$6,Countries!$D$5:$D$434,$A32,Countries!$AD$5:$AD$434,"&gt;0"))=0,"",IF($B$6="Total",SUMIFS(Countries!$AD$5:$AD$434,Countries!$A$5:$A$434,$B$4,Countries!$B$5:$B$434,$B$5,Countries!$D$5:$D$434,$A32,Countries!$W$5:$W$434,"&gt;0"),SUMIFS(Countries!$AD$5:$AD$434,Countries!$A$5:$A$434,$B$4,Countries!$B$5:$B$434,$B$5,Countries!$C$5:$C$434,$B$6,Countries!$D$5:$D$434,$A32,Countries!$W$5:$W$434,"&gt;0"))/IF($B$6="Total",SUMIFS(Countries!$W$5:$W$434,Countries!$A$5:$A$434,$B$4,Countries!$B$5:$B$434,$B$5,Countries!$D$5:$D$434,$A32,Countries!$AD$5:$AD$434,"&gt;0"),SUMIFS(Countries!$W$5:$W$434,Countries!$A$5:$A$434,$B$4,Countries!$B$5:$B$434,$B$5,Countries!$C$5:$C$434,$B$6,Countries!$D$5:$D$434,$A32,Countries!$AD$5:$AD$434,"&gt;0")))</f>
        <v/>
      </c>
      <c r="AF32" s="43">
        <f>IF(IF($B$6="Total",SUMIFS(Countries!$X$5:$X$434,Countries!$A$5:$A$434,$B$4,Countries!$B$5:$B$434,$B$5,Countries!$D$5:$D$434,$A32,Countries!$AE$5:$AE$434,"&gt;0"),SUMIFS(Countries!$X$5:$X$434,Countries!$A$5:$A$434,$B$4,Countries!$B$5:$B$434,$B$5,Countries!$C$5:$C$434,$B$6,Countries!$D$5:$D$434,$A32,Countries!$AE$5:$AE$434,"&gt;0"))=0,"",IF($B$6="Total",SUMIFS(Countries!$AE$5:$AE$434,Countries!$A$5:$A$434,$B$4,Countries!$B$5:$B$434,$B$5,Countries!$D$5:$D$434,$A32,Countries!$X$5:$X$434,"&gt;0"),SUMIFS(Countries!$AE$5:$AE$434,Countries!$A$5:$A$434,$B$4,Countries!$B$5:$B$434,$B$5,Countries!$C$5:$C$434,$B$6,Countries!$D$5:$D$434,$A32,Countries!$X$5:$X$434,"&gt;0"))/IF($B$6="Total",SUMIFS(Countries!$X$5:$X$434,Countries!$A$5:$A$434,$B$4,Countries!$B$5:$B$434,$B$5,Countries!$D$5:$D$434,$A32,Countries!$AE$5:$AE$434,"&gt;0"),SUMIFS(Countries!$X$5:$X$434,Countries!$A$5:$A$434,$B$4,Countries!$B$5:$B$434,$B$5,Countries!$C$5:$C$434,$B$6,Countries!$D$5:$D$434,$A32,Countries!$AE$5:$AE$434,"&gt;0")))</f>
        <v/>
      </c>
      <c r="AG32" s="44">
        <f>IF(OR(AF32="",AE32=""),"",(AF32-AE32)*100)</f>
        <v/>
      </c>
      <c r="AH32" s="41">
        <f>IF(IF($B$6="Total",SUMIFS(Countries!$AK$5:$AK$434,Countries!$A$5:$A$434,$B$4,Countries!$B$5:$B$434,$B$5,Countries!$D$5:$D$434,$A32),SUMIFS(Countries!$AK$5:$AK$434,Countries!$A$5:$A$434,$B$4,Countries!$B$5:$B$434,$B$5,Countries!$C$5:$C$434,$B$6,Countries!$D$5:$D$434,$A32))=0,"",IF($B$6="Total",SUMIFS(Countries!$AK$5:$AK$434,Countries!$A$5:$A$434,$B$4,Countries!$B$5:$B$434,$B$5,Countries!$D$5:$D$434,$A32),SUMIFS(Countries!$AK$5:$AK$434,Countries!$A$5:$A$434,$B$4,Countries!$B$5:$B$434,$B$5,Countries!$C$5:$C$434,$B$6,Countries!$D$5:$D$434,$A32)))</f>
        <v/>
      </c>
      <c r="AI32" s="41">
        <f>IF(IF($B$6="Total",SUMIFS(Countries!$AL$5:$AL$434,Countries!$A$5:$A$434,$B$4,Countries!$B$5:$B$434,$B$5,Countries!$D$5:$D$434,$A32),SUMIFS(Countries!$AL$5:$AL$434,Countries!$A$5:$A$434,$B$4,Countries!$B$5:$B$434,$B$5,Countries!$C$5:$C$434,$B$6,Countries!$D$5:$D$434,$A32))=0,"",IF($B$6="Total",SUMIFS(Countries!$AL$5:$AL$434,Countries!$A$5:$A$434,$B$4,Countries!$B$5:$B$434,$B$5,Countries!$D$5:$D$434,$A32),SUMIFS(Countries!$AL$5:$AL$434,Countries!$A$5:$A$434,$B$4,Countries!$B$5:$B$434,$B$5,Countries!$C$5:$C$434,$B$6,Countries!$D$5:$D$434,$A32)))</f>
        <v/>
      </c>
      <c r="AJ32" s="69">
        <f>IF(OR(AI32="",AH32="",AH32=0,AI32=0),"",AI32-AH32)</f>
        <v/>
      </c>
      <c r="AK32" s="42">
        <f>IF(OR(AI32="",AH32="",AH32=0,AI32=0),"",AI32/AH32-1)</f>
        <v/>
      </c>
      <c r="AL32" s="43">
        <f>IF(IF($B$6="Total",SUMIFS(Countries!$AD$5:$AD$434,Countries!$A$5:$A$434,$B$4,Countries!$B$5:$B$434,$B$5,Countries!$D$5:$D$434,$A32,Countries!$AK$5:$AK$434,"&gt;0"),SUMIFS(Countries!$AD$5:$AD$434,Countries!$A$5:$A$434,$B$4,Countries!$B$5:$B$434,$B$5,Countries!$C$5:$C$434,$B$6,Countries!$D$5:$D$434,$A32,Countries!$AK$5:$AK$434,"&gt;0"))=0,"",IF($B$6="Total",SUMIFS(Countries!$AK$5:$AK$434,Countries!$A$5:$A$434,$B$4,Countries!$B$5:$B$434,$B$5,Countries!$D$5:$D$434,$A32,Countries!$AD$5:$AD$434,"&gt;0"),SUMIFS(Countries!$AK$5:$AK$434,Countries!$A$5:$A$434,$B$4,Countries!$B$5:$B$434,$B$5,Countries!$C$5:$C$434,$B$6,Countries!$D$5:$D$434,$A32,Countries!$AD$5:$AD$434,"&gt;0"))/IF($B$6="Total",SUMIFS(Countries!$AD$5:$AD$434,Countries!$A$5:$A$434,$B$4,Countries!$B$5:$B$434,$B$5,Countries!$D$5:$D$434,$A32,Countries!$AK$5:$AK$434,"&gt;0"),SUMIFS(Countries!$AD$5:$AD$434,Countries!$A$5:$A$434,$B$4,Countries!$B$5:$B$434,$B$5,Countries!$C$5:$C$434,$B$6,Countries!$D$5:$D$434,$A32,Countries!$AK$5:$AK$434,"&gt;0")))</f>
        <v/>
      </c>
      <c r="AM32" s="43">
        <f>IF(IF($B$6="Total",SUMIFS(Countries!$AE$5:$AE$434,Countries!$A$5:$A$434,$B$4,Countries!$B$5:$B$434,$B$5,Countries!$D$5:$D$434,$A32,Countries!$AL$5:$AL$434,"&gt;0"),SUMIFS(Countries!$AE$5:$AE$434,Countries!$A$5:$A$434,$B$4,Countries!$B$5:$B$434,$B$5,Countries!$C$5:$C$434,$B$6,Countries!$D$5:$D$434,$A32,Countries!$AL$5:$AL$434,"&gt;0"))=0,"",IF($B$6="Total",SUMIFS(Countries!$AL$5:$AL$434,Countries!$A$5:$A$434,$B$4,Countries!$B$5:$B$434,$B$5,Countries!$D$5:$D$434,$A32,Countries!$AE$5:$AE$434,"&gt;0"),SUMIFS(Countries!$AL$5:$AL$434,Countries!$A$5:$A$434,$B$4,Countries!$B$5:$B$434,$B$5,Countries!$C$5:$C$434,$B$6,Countries!$D$5:$D$434,$A32,Countries!$AE$5:$AE$434,"&gt;0"))/IF($B$6="Total",SUMIFS(Countries!$AE$5:$AE$434,Countries!$A$5:$A$434,$B$4,Countries!$B$5:$B$434,$B$5,Countries!$D$5:$D$434,$A32,Countries!$AL$5:$AL$434,"&gt;0"),SUMIFS(Countries!$AE$5:$AE$434,Countries!$A$5:$A$434,$B$4,Countries!$B$5:$B$434,$B$5,Countries!$C$5:$C$434,$B$6,Countries!$D$5:$D$434,$A32,Countries!$AL$5:$AL$434,"&gt;0")))</f>
        <v/>
      </c>
      <c r="AN32" s="44">
        <f>IF(OR(AM32="",AL32=""),"",(AM32-AL32)*100)</f>
        <v/>
      </c>
      <c r="AO32" s="41">
        <f>IF(IF($B$6="Total",SUMIFS(Countries!$AR$5:$AR$434,Countries!$A$5:$A$434,$B$4,Countries!$B$5:$B$434,$B$5,Countries!$D$5:$D$434,$A32),SUMIFS(Countries!$AR$5:$AR$434,Countries!$A$5:$A$434,$B$4,Countries!$B$5:$B$434,$B$5,Countries!$C$5:$C$434,$B$6,Countries!$D$5:$D$434,$A32))=0,"",IF($B$6="Total",SUMIFS(Countries!$AR$5:$AR$434,Countries!$A$5:$A$434,$B$4,Countries!$B$5:$B$434,$B$5,Countries!$D$5:$D$434,$A32),SUMIFS(Countries!$AR$5:$AR$434,Countries!$A$5:$A$434,$B$4,Countries!$B$5:$B$434,$B$5,Countries!$C$5:$C$434,$B$6,Countries!$D$5:$D$434,$A32)))</f>
        <v/>
      </c>
      <c r="AP32" s="41">
        <f>IF(IF($B$6="Total",SUMIFS(Countries!$AS$5:$AS$434,Countries!$A$5:$A$434,$B$4,Countries!$B$5:$B$434,$B$5,Countries!$D$5:$D$434,$A32),SUMIFS(Countries!$AS$5:$AS$434,Countries!$A$5:$A$434,$B$4,Countries!$B$5:$B$434,$B$5,Countries!$C$5:$C$434,$B$6,Countries!$D$5:$D$434,$A32))=0,"",IF($B$6="Total",SUMIFS(Countries!$AS$5:$AS$434,Countries!$A$5:$A$434,$B$4,Countries!$B$5:$B$434,$B$5,Countries!$D$5:$D$434,$A32),SUMIFS(Countries!$AS$5:$AS$434,Countries!$A$5:$A$434,$B$4,Countries!$B$5:$B$434,$B$5,Countries!$C$5:$C$434,$B$6,Countries!$D$5:$D$434,$A32)))</f>
        <v/>
      </c>
      <c r="AQ32" s="69">
        <f>IF(OR(AP32="",AO32="",AO32=0,AP32=0),"",AP32-AO32)</f>
        <v/>
      </c>
      <c r="AR32" s="42">
        <f>IF(OR(AP32="",AO32="",AO32=0,AP32=0),"",AP32/AO32-1)</f>
        <v/>
      </c>
      <c r="AS32" s="43">
        <f>IF(IF($B$6="Total",SUMIFS(Countries!$AK$5:$AK$434,Countries!$A$5:$A$434,$B$4,Countries!$B$5:$B$434,$B$5,Countries!$D$5:$D$434,$A32,Countries!$AR$5:$AR$434,"&gt;0"),SUMIFS(Countries!$AK$5:$AK$434,Countries!$A$5:$A$434,$B$4,Countries!$B$5:$B$434,$B$5,Countries!$C$5:$C$434,$B$6,Countries!$D$5:$D$434,$A32,Countries!$AR$5:$AR$434,"&gt;0"))=0,"",IF($B$6="Total",SUMIFS(Countries!$AR$5:$AR$434,Countries!$A$5:$A$434,$B$4,Countries!$B$5:$B$434,$B$5,Countries!$D$5:$D$434,$A32,Countries!$AK$5:$AK$434,"&gt;0"),SUMIFS(Countries!$AR$5:$AR$434,Countries!$A$5:$A$434,$B$4,Countries!$B$5:$B$434,$B$5,Countries!$C$5:$C$434,$B$6,Countries!$D$5:$D$434,$A32,Countries!$AK$5:$AK$434,"&gt;0"))/IF($B$6="Total",SUMIFS(Countries!$AK$5:$AK$434,Countries!$A$5:$A$434,$B$4,Countries!$B$5:$B$434,$B$5,Countries!$D$5:$D$434,$A32,Countries!$AR$5:$AR$434,"&gt;0"),SUMIFS(Countries!$AK$5:$AK$434,Countries!$A$5:$A$434,$B$4,Countries!$B$5:$B$434,$B$5,Countries!$C$5:$C$434,$B$6,Countries!$D$5:$D$434,$A32,Countries!$AR$5:$AR$434,"&gt;0")))</f>
        <v/>
      </c>
      <c r="AT32" s="43">
        <f>IF(IF($B$6="Total",SUMIFS(Countries!$AL$5:$AL$434,Countries!$A$5:$A$434,$B$4,Countries!$B$5:$B$434,$B$5,Countries!$D$5:$D$434,$A32,Countries!$AS$5:$AS$434,"&gt;0"),SUMIFS(Countries!$AL$5:$AL$434,Countries!$A$5:$A$434,$B$4,Countries!$B$5:$B$434,$B$5,Countries!$C$5:$C$434,$B$6,Countries!$D$5:$D$434,$A32,Countries!$AS$5:$AS$434,"&gt;0"))=0,"",IF($B$6="Total",SUMIFS(Countries!$AS$5:$AS$434,Countries!$A$5:$A$434,$B$4,Countries!$B$5:$B$434,$B$5,Countries!$D$5:$D$434,$A32,Countries!$AL$5:$AL$434,"&gt;0"),SUMIFS(Countries!$AS$5:$AS$434,Countries!$A$5:$A$434,$B$4,Countries!$B$5:$B$434,$B$5,Countries!$C$5:$C$434,$B$6,Countries!$D$5:$D$434,$A32,Countries!$AL$5:$AL$434,"&gt;0"))/IF($B$6="Total",SUMIFS(Countries!$AL$5:$AL$434,Countries!$A$5:$A$434,$B$4,Countries!$B$5:$B$434,$B$5,Countries!$D$5:$D$434,$A32,Countries!$AS$5:$AS$434,"&gt;0"),SUMIFS(Countries!$AL$5:$AL$434,Countries!$A$5:$A$434,$B$4,Countries!$B$5:$B$434,$B$5,Countries!$C$5:$C$434,$B$6,Countries!$D$5:$D$434,$A32,Countries!$AS$5:$AS$434,"&gt;0")))</f>
        <v/>
      </c>
      <c r="AU32" s="44">
        <f>IF(OR(AT32="",AS32=""),"",(AT32-AS32)*100)</f>
        <v/>
      </c>
      <c r="AV32" s="45">
        <f>IF(IF($B$6="Total",SUMIFS(Countries!$P$5:$P$434,Countries!$A$5:$A$434,$B$4,Countries!$B$5:$B$434,$B$5,Countries!$D$5:$D$434,$A32,Countries!$AR$5:$AR$434,"&gt;0"),SUMIFS(Countries!$P$5:$P$434,Countries!$A$5:$A$434,$B$4,Countries!$B$5:$B$434,$B$5,Countries!$C$5:$C$434,$B$6,Countries!$D$5:$D$434,$A32,Countries!$AR$5:$AR$434,"&gt;0"))=0,"",IF($B$6="Total",SUMIFS(Countries!$AR$5:$AR$434,Countries!$A$5:$A$434,$B$4,Countries!$B$5:$B$434,$B$5,Countries!$D$5:$D$434,$A32,Countries!$P$5:$P$434,"&gt;0"),SUMIFS(Countries!$AR$5:$AR$434,Countries!$A$5:$A$434,$B$4,Countries!$B$5:$B$434,$B$5,Countries!$C$5:$C$434,$B$6,Countries!$D$5:$D$434,$A32,Countries!$P$5:$P$434,"&gt;0"))/IF($B$6="Total",SUMIFS(Countries!$P$5:$P$434,Countries!$A$5:$A$434,$B$4,Countries!$B$5:$B$434,$B$5,Countries!$D$5:$D$434,$A32,Countries!$AR$5:$AR$434,"&gt;0"),SUMIFS(Countries!$P$5:$P$434,Countries!$A$5:$A$434,$B$4,Countries!$B$5:$B$434,$B$5,Countries!$C$5:$C$434,$B$6,Countries!$D$5:$D$434,$A32,Countries!$AR$5:$AR$434,"&gt;0")))</f>
        <v/>
      </c>
      <c r="AW32" s="45">
        <f>IF(IF($B$6="Total",SUMIFS(Countries!$Q$5:$Q$434,Countries!$A$5:$A$434,$B$4,Countries!$B$5:$B$434,$B$5,Countries!$D$5:$D$434,$A32,Countries!$AS$5:$AS$434,"&gt;0"),SUMIFS(Countries!$Q$5:$Q$434,Countries!$A$5:$A$434,$B$4,Countries!$B$5:$B$434,$B$5,Countries!$C$5:$C$434,$B$6,Countries!$D$5:$D$434,$A32,Countries!$AS$5:$AS$434,"&gt;0"))=0,"",IF($B$6="Total",SUMIFS(Countries!$AS$5:$AS$434,Countries!$A$5:$A$434,$B$4,Countries!$B$5:$B$434,$B$5,Countries!$D$5:$D$434,$A32,Countries!$Q$5:$Q$434,"&gt;0"),SUMIFS(Countries!$AS$5:$AS$434,Countries!$A$5:$A$434,$B$4,Countries!$B$5:$B$434,$B$5,Countries!$C$5:$C$434,$B$6,Countries!$D$5:$D$434,$A32,Countries!$Q$5:$Q$434,"&gt;0"))/IF($B$6="Total",SUMIFS(Countries!$Q$5:$Q$434,Countries!$A$5:$A$434,$B$4,Countries!$B$5:$B$434,$B$5,Countries!$D$5:$D$434,$A32,Countries!$AS$5:$AS$434,"&gt;0"),SUMIFS(Countries!$Q$5:$Q$434,Countries!$A$5:$A$434,$B$4,Countries!$B$5:$B$434,$B$5,Countries!$C$5:$C$434,$B$6,Countries!$D$5:$D$434,$A32,Countries!$AS$5:$AS$434,"&gt;0")))</f>
        <v/>
      </c>
      <c r="AX32" s="44">
        <f>IF(OR(AW32="",AV32=""),"",(AW32-AV32)*100)</f>
        <v/>
      </c>
      <c r="AY32" s="45">
        <f>IF(IF($B$6="Total",SUMIFS(Countries!$E$5:$E$434,Countries!$A$5:$A$434,$B$4,Countries!$B$5:$B$434,$B$5,Countries!$D$5:$D$434,$A32,Countries!$AR$5:$AR$434,"&gt;0"),SUMIFS(Countries!$E$5:$E$434,Countries!$A$5:$A$434,$B$4,Countries!$B$5:$B$434,$B$5,Countries!$C$5:$C$434,$B$6,Countries!$D$5:$D$434,$A32,Countries!$AR$5:$AR$434,"&gt;0"))=0,"",IF($B$6="Total",SUMIFS(Countries!$AR$5:$AR$434,Countries!$A$5:$A$434,$B$4,Countries!$B$5:$B$434,$B$5,Countries!$D$5:$D$434,$A32,Countries!$E$5:$E$434,"&gt;0"),SUMIFS(Countries!$AR$5:$AR$434,Countries!$A$5:$A$434,$B$4,Countries!$B$5:$B$434,$B$5,Countries!$C$5:$C$434,$B$6,Countries!$D$5:$D$434,$A32,Countries!$E$5:$E$434,"&gt;0"))/IF($B$6="Total",SUMIFS(Countries!$E$5:$E$434,Countries!$A$5:$A$434,$B$4,Countries!$B$5:$B$434,$B$5,Countries!$D$5:$D$434,$A32,Countries!$AR$5:$AR$434,"&gt;0"),SUMIFS(Countries!$E$5:$E$434,Countries!$A$5:$A$434,$B$4,Countries!$B$5:$B$434,$B$5,Countries!$C$5:$C$434,$B$6,Countries!$D$5:$D$434,$A32,Countries!$AR$5:$AR$434,"&gt;0")))</f>
        <v/>
      </c>
      <c r="AZ32" s="45">
        <f>IF(IF($B$6="Total",SUMIFS(Countries!$F$5:$F$434,Countries!$A$5:$A$434,$B$4,Countries!$B$5:$B$434,$B$5,Countries!$D$5:$D$434,$A32,Countries!$AS$5:$AS$434,"&gt;0"),SUMIFS(Countries!$F$5:$F$434,Countries!$A$5:$A$434,$B$4,Countries!$B$5:$B$434,$B$5,Countries!$C$5:$C$434,$B$6,Countries!$D$5:$D$434,$A32,Countries!$AS$5:$AS$434,"&gt;0"))=0,"",IF($B$6="Total",SUMIFS(Countries!$AS$5:$AS$434,Countries!$A$5:$A$434,$B$4,Countries!$B$5:$B$434,$B$5,Countries!$D$5:$D$434,$A32,Countries!$F$5:$F$434,"&gt;0"),SUMIFS(Countries!$AS$5:$AS$434,Countries!$A$5:$A$434,$B$4,Countries!$B$5:$B$434,$B$5,Countries!$C$5:$C$434,$B$6,Countries!$D$5:$D$434,$A32,Countries!$F$5:$F$434,"&gt;0"))/IF($B$6="Total",SUMIFS(Countries!$F$5:$F$434,Countries!$A$5:$A$434,$B$4,Countries!$B$5:$B$434,$B$5,Countries!$D$5:$D$434,$A32,Countries!$AS$5:$AS$434,"&gt;0"),SUMIFS(Countries!$F$5:$F$434,Countries!$A$5:$A$434,$B$4,Countries!$B$5:$B$434,$B$5,Countries!$C$5:$C$434,$B$6,Countries!$D$5:$D$434,$A32,Countries!$AS$5:$AS$434,"&gt;0")))</f>
        <v/>
      </c>
      <c r="BA32" s="44">
        <f>IF(OR(AZ32="",AY32=""),"",(AZ32-AY32)*100)</f>
        <v/>
      </c>
      <c r="BB32" s="40">
        <f>IF(AND(IF($B$6="Total",COUNTIFS(Countries!$A$5:$A$434,$B$4,Countries!$B$5:$B$434,$B$5,Countries!$D$5:$D$434,$A32,Countries!$F$5:$F$434,"&gt;0"),COUNTIFS(Countries!$A$5:$A$434,$B$4,Countries!$B$5:$B$434,$B$5,Countries!$C$5:$C$434,$B$6,Countries!$D$5:$D$434,$A32,Countries!$F$5:$F$434,"&gt;0"))=0,IF($B$6="Total",COUNTIFS(Countries!$A$5:$A$434,$B$4,Countries!$B$5:$B$434,$B$5,Countries!$D$5:$D$434,$A32,Countries!$E$5:$E$434,"&gt;0"),COUNTIFS(Countries!$A$5:$A$434,$B$4,Countries!$B$5:$B$434,$B$5,Countries!$C$5:$C$434,$B$6,Countries!$D$5:$D$434,$A32,Countries!$E$5:$E$434,"&gt;0"))=0),"",IF(IF($B$6="Total",COUNTIFS(Countries!$A$5:$A$434,$B$4,Countries!$B$5:$B$434,$B$5,Countries!$D$5:$D$434,$A32,Countries!$F$5:$F$434,"&gt;0"),COUNTIFS(Countries!$A$5:$A$434,$B$4,Countries!$B$5:$B$434,$B$5,Countries!$C$5:$C$434,$B$6,Countries!$D$5:$D$434,$A32,Countries!$F$5:$F$434,"&gt;0"))=0,"1-23Aug25 rows only",IF(IF($B$6="Total",COUNTIFS(Countries!$A$5:$A$434,$B$4,Countries!$B$5:$B$434,$B$5,Countries!$D$5:$D$434,$A32,Countries!$E$5:$E$434,"&gt;0"),COUNTIFS(Countries!$A$5:$A$434,$B$4,Countries!$B$5:$B$434,$B$5,Countries!$C$5:$C$434,$B$6,Countries!$D$5:$D$434,$A32,Countries!$E$5:$E$434,"&gt;0"))=0,"1-23Aug26 rows only",IF(IF($B$6="Total",COUNTIFS(Countries!$A$5:$A$434,$B$4,Countries!$B$5:$B$434,$B$5,Countries!$D$5:$D$434,$A32,Countries!$F$5:$F$434,"&gt;0"),COUNTIFS(Countries!$A$5:$A$434,$B$4,Countries!$B$5:$B$434,$B$5,Countries!$C$5:$C$434,$B$6,Countries!$D$5:$D$434,$A32,Countries!$F$5:$F$434,"&gt;0"))=IF($B$6="Total",COUNTIFS(Countries!$A$5:$A$434,$B$4,Countries!$B$5:$B$434,$B$5,Countries!$D$5:$D$434,$A32,Countries!$E$5:$E$434,"&gt;0"),COUNTIFS(Countries!$A$5:$A$434,$B$4,Countries!$B$5:$B$434,$B$5,Countries!$C$5:$C$434,$B$6,Countries!$D$5:$D$434,$A32,Countries!$E$5:$E$434,"&gt;0")),"Like-for-like","Partial — coverage differs"))))</f>
        <v/>
      </c>
    </row>
    <row r="33">
      <c r="A33" s="40" t="inlineStr">
        <is>
          <t>Argentina</t>
        </is>
      </c>
      <c r="B33" s="41">
        <f>IF(IF($B$6="Total",SUMIFS(Countries!$E$5:$E$434,Countries!$A$5:$A$434,$B$4,Countries!$B$5:$B$434,$B$5,Countries!$D$5:$D$434,$A33),SUMIFS(Countries!$E$5:$E$434,Countries!$A$5:$A$434,$B$4,Countries!$B$5:$B$434,$B$5,Countries!$C$5:$C$434,$B$6,Countries!$D$5:$D$434,$A33))=0,"",IF($B$6="Total",SUMIFS(Countries!$E$5:$E$434,Countries!$A$5:$A$434,$B$4,Countries!$B$5:$B$434,$B$5,Countries!$D$5:$D$434,$A33),SUMIFS(Countries!$E$5:$E$434,Countries!$A$5:$A$434,$B$4,Countries!$B$5:$B$434,$B$5,Countries!$C$5:$C$434,$B$6,Countries!$D$5:$D$434,$A33)))</f>
        <v/>
      </c>
      <c r="C33" s="41">
        <f>IF(IF($B$6="Total",SUMIFS(Countries!$F$5:$F$434,Countries!$A$5:$A$434,$B$4,Countries!$B$5:$B$434,$B$5,Countries!$D$5:$D$434,$A33),SUMIFS(Countries!$F$5:$F$434,Countries!$A$5:$A$434,$B$4,Countries!$B$5:$B$434,$B$5,Countries!$C$5:$C$434,$B$6,Countries!$D$5:$D$434,$A33))=0,"",IF($B$6="Total",SUMIFS(Countries!$F$5:$F$434,Countries!$A$5:$A$434,$B$4,Countries!$B$5:$B$434,$B$5,Countries!$D$5:$D$434,$A33),SUMIFS(Countries!$F$5:$F$434,Countries!$A$5:$A$434,$B$4,Countries!$B$5:$B$434,$B$5,Countries!$C$5:$C$434,$B$6,Countries!$D$5:$D$434,$A33)))</f>
        <v/>
      </c>
      <c r="D33" s="69">
        <f>IF(OR(C33="",B33="",B33=0,C33=0),"",C33-B33)</f>
        <v/>
      </c>
      <c r="E33" s="42">
        <f>IF(OR(C33="",B33="",B33=0,C33=0),"",C33/B33-1)</f>
        <v/>
      </c>
      <c r="F33" s="41">
        <f>IF(IF($B$6="Total",SUMIFS(Countries!$I$5:$I$434,Countries!$A$5:$A$434,$B$4,Countries!$B$5:$B$434,$B$5,Countries!$D$5:$D$434,$A33),SUMIFS(Countries!$I$5:$I$434,Countries!$A$5:$A$434,$B$4,Countries!$B$5:$B$434,$B$5,Countries!$C$5:$C$434,$B$6,Countries!$D$5:$D$434,$A33))=0,"",IF($B$6="Total",SUMIFS(Countries!$I$5:$I$434,Countries!$A$5:$A$434,$B$4,Countries!$B$5:$B$434,$B$5,Countries!$D$5:$D$434,$A33),SUMIFS(Countries!$I$5:$I$434,Countries!$A$5:$A$434,$B$4,Countries!$B$5:$B$434,$B$5,Countries!$C$5:$C$434,$B$6,Countries!$D$5:$D$434,$A33)))</f>
        <v/>
      </c>
      <c r="G33" s="41">
        <f>IF(IF($B$6="Total",SUMIFS(Countries!$J$5:$J$434,Countries!$A$5:$A$434,$B$4,Countries!$B$5:$B$434,$B$5,Countries!$D$5:$D$434,$A33),SUMIFS(Countries!$J$5:$J$434,Countries!$A$5:$A$434,$B$4,Countries!$B$5:$B$434,$B$5,Countries!$C$5:$C$434,$B$6,Countries!$D$5:$D$434,$A33))=0,"",IF($B$6="Total",SUMIFS(Countries!$J$5:$J$434,Countries!$A$5:$A$434,$B$4,Countries!$B$5:$B$434,$B$5,Countries!$D$5:$D$434,$A33),SUMIFS(Countries!$J$5:$J$434,Countries!$A$5:$A$434,$B$4,Countries!$B$5:$B$434,$B$5,Countries!$C$5:$C$434,$B$6,Countries!$D$5:$D$434,$A33)))</f>
        <v/>
      </c>
      <c r="H33" s="69">
        <f>IF(OR(G33="",F33="",F33=0,G33=0),"",G33-F33)</f>
        <v/>
      </c>
      <c r="I33" s="42">
        <f>IF(OR(G33="",F33="",F33=0,G33=0),"",G33/F33-1)</f>
        <v/>
      </c>
      <c r="J33" s="43">
        <f>IF(IF($B$6="Total",SUMIFS(Countries!$E$5:$E$434,Countries!$A$5:$A$434,$B$4,Countries!$B$5:$B$434,$B$5,Countries!$D$5:$D$434,$A33,Countries!$I$5:$I$434,"&gt;0"),SUMIFS(Countries!$E$5:$E$434,Countries!$A$5:$A$434,$B$4,Countries!$B$5:$B$434,$B$5,Countries!$C$5:$C$434,$B$6,Countries!$D$5:$D$434,$A33,Countries!$I$5:$I$434,"&gt;0"))=0,"",IF($B$6="Total",SUMIFS(Countries!$I$5:$I$434,Countries!$A$5:$A$434,$B$4,Countries!$B$5:$B$434,$B$5,Countries!$D$5:$D$434,$A33,Countries!$E$5:$E$434,"&gt;0"),SUMIFS(Countries!$I$5:$I$434,Countries!$A$5:$A$434,$B$4,Countries!$B$5:$B$434,$B$5,Countries!$C$5:$C$434,$B$6,Countries!$D$5:$D$434,$A33,Countries!$E$5:$E$434,"&gt;0"))/IF($B$6="Total",SUMIFS(Countries!$E$5:$E$434,Countries!$A$5:$A$434,$B$4,Countries!$B$5:$B$434,$B$5,Countries!$D$5:$D$434,$A33,Countries!$I$5:$I$434,"&gt;0"),SUMIFS(Countries!$E$5:$E$434,Countries!$A$5:$A$434,$B$4,Countries!$B$5:$B$434,$B$5,Countries!$C$5:$C$434,$B$6,Countries!$D$5:$D$434,$A33,Countries!$I$5:$I$434,"&gt;0")))</f>
        <v/>
      </c>
      <c r="K33" s="43">
        <f>IF(IF($B$6="Total",SUMIFS(Countries!$F$5:$F$434,Countries!$A$5:$A$434,$B$4,Countries!$B$5:$B$434,$B$5,Countries!$D$5:$D$434,$A33,Countries!$J$5:$J$434,"&gt;0"),SUMIFS(Countries!$F$5:$F$434,Countries!$A$5:$A$434,$B$4,Countries!$B$5:$B$434,$B$5,Countries!$C$5:$C$434,$B$6,Countries!$D$5:$D$434,$A33,Countries!$J$5:$J$434,"&gt;0"))=0,"",IF($B$6="Total",SUMIFS(Countries!$J$5:$J$434,Countries!$A$5:$A$434,$B$4,Countries!$B$5:$B$434,$B$5,Countries!$D$5:$D$434,$A33,Countries!$F$5:$F$434,"&gt;0"),SUMIFS(Countries!$J$5:$J$434,Countries!$A$5:$A$434,$B$4,Countries!$B$5:$B$434,$B$5,Countries!$C$5:$C$434,$B$6,Countries!$D$5:$D$434,$A33,Countries!$F$5:$F$434,"&gt;0"))/IF($B$6="Total",SUMIFS(Countries!$F$5:$F$434,Countries!$A$5:$A$434,$B$4,Countries!$B$5:$B$434,$B$5,Countries!$D$5:$D$434,$A33,Countries!$J$5:$J$434,"&gt;0"),SUMIFS(Countries!$F$5:$F$434,Countries!$A$5:$A$434,$B$4,Countries!$B$5:$B$434,$B$5,Countries!$C$5:$C$434,$B$6,Countries!$D$5:$D$434,$A33,Countries!$J$5:$J$434,"&gt;0")))</f>
        <v/>
      </c>
      <c r="L33" s="44">
        <f>IF(OR(K33="",J33=""),"",(K33-J33)*100)</f>
        <v/>
      </c>
      <c r="M33" s="41">
        <f>IF(IF($B$6="Total",SUMIFS(Countries!$P$5:$P$434,Countries!$A$5:$A$434,$B$4,Countries!$B$5:$B$434,$B$5,Countries!$D$5:$D$434,$A33),SUMIFS(Countries!$P$5:$P$434,Countries!$A$5:$A$434,$B$4,Countries!$B$5:$B$434,$B$5,Countries!$C$5:$C$434,$B$6,Countries!$D$5:$D$434,$A33))=0,"",IF($B$6="Total",SUMIFS(Countries!$P$5:$P$434,Countries!$A$5:$A$434,$B$4,Countries!$B$5:$B$434,$B$5,Countries!$D$5:$D$434,$A33),SUMIFS(Countries!$P$5:$P$434,Countries!$A$5:$A$434,$B$4,Countries!$B$5:$B$434,$B$5,Countries!$C$5:$C$434,$B$6,Countries!$D$5:$D$434,$A33)))</f>
        <v/>
      </c>
      <c r="N33" s="41">
        <f>IF(IF($B$6="Total",SUMIFS(Countries!$Q$5:$Q$434,Countries!$A$5:$A$434,$B$4,Countries!$B$5:$B$434,$B$5,Countries!$D$5:$D$434,$A33),SUMIFS(Countries!$Q$5:$Q$434,Countries!$A$5:$A$434,$B$4,Countries!$B$5:$B$434,$B$5,Countries!$C$5:$C$434,$B$6,Countries!$D$5:$D$434,$A33))=0,"",IF($B$6="Total",SUMIFS(Countries!$Q$5:$Q$434,Countries!$A$5:$A$434,$B$4,Countries!$B$5:$B$434,$B$5,Countries!$D$5:$D$434,$A33),SUMIFS(Countries!$Q$5:$Q$434,Countries!$A$5:$A$434,$B$4,Countries!$B$5:$B$434,$B$5,Countries!$C$5:$C$434,$B$6,Countries!$D$5:$D$434,$A33)))</f>
        <v/>
      </c>
      <c r="O33" s="69">
        <f>IF(OR(N33="",M33="",M33=0,N33=0),"",N33-M33)</f>
        <v/>
      </c>
      <c r="P33" s="42">
        <f>IF(OR(N33="",M33="",M33=0,N33=0),"",N33/M33-1)</f>
        <v/>
      </c>
      <c r="Q33" s="43">
        <f>IF(IF($B$6="Total",SUMIFS(Countries!$E$5:$E$434,Countries!$A$5:$A$434,$B$4,Countries!$B$5:$B$434,$B$5,Countries!$D$5:$D$434,$A33,Countries!$P$5:$P$434,"&gt;0"),SUMIFS(Countries!$E$5:$E$434,Countries!$A$5:$A$434,$B$4,Countries!$B$5:$B$434,$B$5,Countries!$C$5:$C$434,$B$6,Countries!$D$5:$D$434,$A33,Countries!$P$5:$P$434,"&gt;0"))=0,"",IF($B$6="Total",SUMIFS(Countries!$P$5:$P$434,Countries!$A$5:$A$434,$B$4,Countries!$B$5:$B$434,$B$5,Countries!$D$5:$D$434,$A33,Countries!$E$5:$E$434,"&gt;0"),SUMIFS(Countries!$P$5:$P$434,Countries!$A$5:$A$434,$B$4,Countries!$B$5:$B$434,$B$5,Countries!$C$5:$C$434,$B$6,Countries!$D$5:$D$434,$A33,Countries!$E$5:$E$434,"&gt;0"))/IF($B$6="Total",SUMIFS(Countries!$E$5:$E$434,Countries!$A$5:$A$434,$B$4,Countries!$B$5:$B$434,$B$5,Countries!$D$5:$D$434,$A33,Countries!$P$5:$P$434,"&gt;0"),SUMIFS(Countries!$E$5:$E$434,Countries!$A$5:$A$434,$B$4,Countries!$B$5:$B$434,$B$5,Countries!$C$5:$C$434,$B$6,Countries!$D$5:$D$434,$A33,Countries!$P$5:$P$434,"&gt;0")))</f>
        <v/>
      </c>
      <c r="R33" s="43">
        <f>IF(IF($B$6="Total",SUMIFS(Countries!$F$5:$F$434,Countries!$A$5:$A$434,$B$4,Countries!$B$5:$B$434,$B$5,Countries!$D$5:$D$434,$A33,Countries!$Q$5:$Q$434,"&gt;0"),SUMIFS(Countries!$F$5:$F$434,Countries!$A$5:$A$434,$B$4,Countries!$B$5:$B$434,$B$5,Countries!$C$5:$C$434,$B$6,Countries!$D$5:$D$434,$A33,Countries!$Q$5:$Q$434,"&gt;0"))=0,"",IF($B$6="Total",SUMIFS(Countries!$Q$5:$Q$434,Countries!$A$5:$A$434,$B$4,Countries!$B$5:$B$434,$B$5,Countries!$D$5:$D$434,$A33,Countries!$F$5:$F$434,"&gt;0"),SUMIFS(Countries!$Q$5:$Q$434,Countries!$A$5:$A$434,$B$4,Countries!$B$5:$B$434,$B$5,Countries!$C$5:$C$434,$B$6,Countries!$D$5:$D$434,$A33,Countries!$F$5:$F$434,"&gt;0"))/IF($B$6="Total",SUMIFS(Countries!$F$5:$F$434,Countries!$A$5:$A$434,$B$4,Countries!$B$5:$B$434,$B$5,Countries!$D$5:$D$434,$A33,Countries!$Q$5:$Q$434,"&gt;0"),SUMIFS(Countries!$F$5:$F$434,Countries!$A$5:$A$434,$B$4,Countries!$B$5:$B$434,$B$5,Countries!$C$5:$C$434,$B$6,Countries!$D$5:$D$434,$A33,Countries!$Q$5:$Q$434,"&gt;0")))</f>
        <v/>
      </c>
      <c r="S33" s="44">
        <f>IF(OR(R33="",Q33=""),"",(R33-Q33)*100)</f>
        <v/>
      </c>
      <c r="T33" s="41">
        <f>IF(IF($B$6="Total",SUMIFS(Countries!$W$5:$W$434,Countries!$A$5:$A$434,$B$4,Countries!$B$5:$B$434,$B$5,Countries!$D$5:$D$434,$A33),SUMIFS(Countries!$W$5:$W$434,Countries!$A$5:$A$434,$B$4,Countries!$B$5:$B$434,$B$5,Countries!$C$5:$C$434,$B$6,Countries!$D$5:$D$434,$A33))=0,"",IF($B$6="Total",SUMIFS(Countries!$W$5:$W$434,Countries!$A$5:$A$434,$B$4,Countries!$B$5:$B$434,$B$5,Countries!$D$5:$D$434,$A33),SUMIFS(Countries!$W$5:$W$434,Countries!$A$5:$A$434,$B$4,Countries!$B$5:$B$434,$B$5,Countries!$C$5:$C$434,$B$6,Countries!$D$5:$D$434,$A33)))</f>
        <v/>
      </c>
      <c r="U33" s="41">
        <f>IF(IF($B$6="Total",SUMIFS(Countries!$X$5:$X$434,Countries!$A$5:$A$434,$B$4,Countries!$B$5:$B$434,$B$5,Countries!$D$5:$D$434,$A33),SUMIFS(Countries!$X$5:$X$434,Countries!$A$5:$A$434,$B$4,Countries!$B$5:$B$434,$B$5,Countries!$C$5:$C$434,$B$6,Countries!$D$5:$D$434,$A33))=0,"",IF($B$6="Total",SUMIFS(Countries!$X$5:$X$434,Countries!$A$5:$A$434,$B$4,Countries!$B$5:$B$434,$B$5,Countries!$D$5:$D$434,$A33),SUMIFS(Countries!$X$5:$X$434,Countries!$A$5:$A$434,$B$4,Countries!$B$5:$B$434,$B$5,Countries!$C$5:$C$434,$B$6,Countries!$D$5:$D$434,$A33)))</f>
        <v/>
      </c>
      <c r="V33" s="69">
        <f>IF(OR(U33="",T33="",T33=0,U33=0),"",U33-T33)</f>
        <v/>
      </c>
      <c r="W33" s="42">
        <f>IF(OR(U33="",T33="",T33=0,U33=0),"",U33/T33-1)</f>
        <v/>
      </c>
      <c r="X33" s="43">
        <f>IF(IF($B$6="Total",SUMIFS(Countries!$P$5:$P$434,Countries!$A$5:$A$434,$B$4,Countries!$B$5:$B$434,$B$5,Countries!$D$5:$D$434,$A33,Countries!$W$5:$W$434,"&gt;0"),SUMIFS(Countries!$P$5:$P$434,Countries!$A$5:$A$434,$B$4,Countries!$B$5:$B$434,$B$5,Countries!$C$5:$C$434,$B$6,Countries!$D$5:$D$434,$A33,Countries!$W$5:$W$434,"&gt;0"))=0,"",IF($B$6="Total",SUMIFS(Countries!$W$5:$W$434,Countries!$A$5:$A$434,$B$4,Countries!$B$5:$B$434,$B$5,Countries!$D$5:$D$434,$A33,Countries!$P$5:$P$434,"&gt;0"),SUMIFS(Countries!$W$5:$W$434,Countries!$A$5:$A$434,$B$4,Countries!$B$5:$B$434,$B$5,Countries!$C$5:$C$434,$B$6,Countries!$D$5:$D$434,$A33,Countries!$P$5:$P$434,"&gt;0"))/IF($B$6="Total",SUMIFS(Countries!$P$5:$P$434,Countries!$A$5:$A$434,$B$4,Countries!$B$5:$B$434,$B$5,Countries!$D$5:$D$434,$A33,Countries!$W$5:$W$434,"&gt;0"),SUMIFS(Countries!$P$5:$P$434,Countries!$A$5:$A$434,$B$4,Countries!$B$5:$B$434,$B$5,Countries!$C$5:$C$434,$B$6,Countries!$D$5:$D$434,$A33,Countries!$W$5:$W$434,"&gt;0")))</f>
        <v/>
      </c>
      <c r="Y33" s="43">
        <f>IF(IF($B$6="Total",SUMIFS(Countries!$Q$5:$Q$434,Countries!$A$5:$A$434,$B$4,Countries!$B$5:$B$434,$B$5,Countries!$D$5:$D$434,$A33,Countries!$X$5:$X$434,"&gt;0"),SUMIFS(Countries!$Q$5:$Q$434,Countries!$A$5:$A$434,$B$4,Countries!$B$5:$B$434,$B$5,Countries!$C$5:$C$434,$B$6,Countries!$D$5:$D$434,$A33,Countries!$X$5:$X$434,"&gt;0"))=0,"",IF($B$6="Total",SUMIFS(Countries!$X$5:$X$434,Countries!$A$5:$A$434,$B$4,Countries!$B$5:$B$434,$B$5,Countries!$D$5:$D$434,$A33,Countries!$Q$5:$Q$434,"&gt;0"),SUMIFS(Countries!$X$5:$X$434,Countries!$A$5:$A$434,$B$4,Countries!$B$5:$B$434,$B$5,Countries!$C$5:$C$434,$B$6,Countries!$D$5:$D$434,$A33,Countries!$Q$5:$Q$434,"&gt;0"))/IF($B$6="Total",SUMIFS(Countries!$Q$5:$Q$434,Countries!$A$5:$A$434,$B$4,Countries!$B$5:$B$434,$B$5,Countries!$D$5:$D$434,$A33,Countries!$X$5:$X$434,"&gt;0"),SUMIFS(Countries!$Q$5:$Q$434,Countries!$A$5:$A$434,$B$4,Countries!$B$5:$B$434,$B$5,Countries!$C$5:$C$434,$B$6,Countries!$D$5:$D$434,$A33,Countries!$X$5:$X$434,"&gt;0")))</f>
        <v/>
      </c>
      <c r="Z33" s="44">
        <f>IF(OR(Y33="",X33=""),"",(Y33-X33)*100)</f>
        <v/>
      </c>
      <c r="AA33" s="41">
        <f>IF(IF($B$6="Total",SUMIFS(Countries!$AD$5:$AD$434,Countries!$A$5:$A$434,$B$4,Countries!$B$5:$B$434,$B$5,Countries!$D$5:$D$434,$A33),SUMIFS(Countries!$AD$5:$AD$434,Countries!$A$5:$A$434,$B$4,Countries!$B$5:$B$434,$B$5,Countries!$C$5:$C$434,$B$6,Countries!$D$5:$D$434,$A33))=0,"",IF($B$6="Total",SUMIFS(Countries!$AD$5:$AD$434,Countries!$A$5:$A$434,$B$4,Countries!$B$5:$B$434,$B$5,Countries!$D$5:$D$434,$A33),SUMIFS(Countries!$AD$5:$AD$434,Countries!$A$5:$A$434,$B$4,Countries!$B$5:$B$434,$B$5,Countries!$C$5:$C$434,$B$6,Countries!$D$5:$D$434,$A33)))</f>
        <v/>
      </c>
      <c r="AB33" s="41">
        <f>IF(IF($B$6="Total",SUMIFS(Countries!$AE$5:$AE$434,Countries!$A$5:$A$434,$B$4,Countries!$B$5:$B$434,$B$5,Countries!$D$5:$D$434,$A33),SUMIFS(Countries!$AE$5:$AE$434,Countries!$A$5:$A$434,$B$4,Countries!$B$5:$B$434,$B$5,Countries!$C$5:$C$434,$B$6,Countries!$D$5:$D$434,$A33))=0,"",IF($B$6="Total",SUMIFS(Countries!$AE$5:$AE$434,Countries!$A$5:$A$434,$B$4,Countries!$B$5:$B$434,$B$5,Countries!$D$5:$D$434,$A33),SUMIFS(Countries!$AE$5:$AE$434,Countries!$A$5:$A$434,$B$4,Countries!$B$5:$B$434,$B$5,Countries!$C$5:$C$434,$B$6,Countries!$D$5:$D$434,$A33)))</f>
        <v/>
      </c>
      <c r="AC33" s="69">
        <f>IF(OR(AB33="",AA33="",AA33=0,AB33=0),"",AB33-AA33)</f>
        <v/>
      </c>
      <c r="AD33" s="42">
        <f>IF(OR(AB33="",AA33="",AA33=0,AB33=0),"",AB33/AA33-1)</f>
        <v/>
      </c>
      <c r="AE33" s="43">
        <f>IF(IF($B$6="Total",SUMIFS(Countries!$W$5:$W$434,Countries!$A$5:$A$434,$B$4,Countries!$B$5:$B$434,$B$5,Countries!$D$5:$D$434,$A33,Countries!$AD$5:$AD$434,"&gt;0"),SUMIFS(Countries!$W$5:$W$434,Countries!$A$5:$A$434,$B$4,Countries!$B$5:$B$434,$B$5,Countries!$C$5:$C$434,$B$6,Countries!$D$5:$D$434,$A33,Countries!$AD$5:$AD$434,"&gt;0"))=0,"",IF($B$6="Total",SUMIFS(Countries!$AD$5:$AD$434,Countries!$A$5:$A$434,$B$4,Countries!$B$5:$B$434,$B$5,Countries!$D$5:$D$434,$A33,Countries!$W$5:$W$434,"&gt;0"),SUMIFS(Countries!$AD$5:$AD$434,Countries!$A$5:$A$434,$B$4,Countries!$B$5:$B$434,$B$5,Countries!$C$5:$C$434,$B$6,Countries!$D$5:$D$434,$A33,Countries!$W$5:$W$434,"&gt;0"))/IF($B$6="Total",SUMIFS(Countries!$W$5:$W$434,Countries!$A$5:$A$434,$B$4,Countries!$B$5:$B$434,$B$5,Countries!$D$5:$D$434,$A33,Countries!$AD$5:$AD$434,"&gt;0"),SUMIFS(Countries!$W$5:$W$434,Countries!$A$5:$A$434,$B$4,Countries!$B$5:$B$434,$B$5,Countries!$C$5:$C$434,$B$6,Countries!$D$5:$D$434,$A33,Countries!$AD$5:$AD$434,"&gt;0")))</f>
        <v/>
      </c>
      <c r="AF33" s="43">
        <f>IF(IF($B$6="Total",SUMIFS(Countries!$X$5:$X$434,Countries!$A$5:$A$434,$B$4,Countries!$B$5:$B$434,$B$5,Countries!$D$5:$D$434,$A33,Countries!$AE$5:$AE$434,"&gt;0"),SUMIFS(Countries!$X$5:$X$434,Countries!$A$5:$A$434,$B$4,Countries!$B$5:$B$434,$B$5,Countries!$C$5:$C$434,$B$6,Countries!$D$5:$D$434,$A33,Countries!$AE$5:$AE$434,"&gt;0"))=0,"",IF($B$6="Total",SUMIFS(Countries!$AE$5:$AE$434,Countries!$A$5:$A$434,$B$4,Countries!$B$5:$B$434,$B$5,Countries!$D$5:$D$434,$A33,Countries!$X$5:$X$434,"&gt;0"),SUMIFS(Countries!$AE$5:$AE$434,Countries!$A$5:$A$434,$B$4,Countries!$B$5:$B$434,$B$5,Countries!$C$5:$C$434,$B$6,Countries!$D$5:$D$434,$A33,Countries!$X$5:$X$434,"&gt;0"))/IF($B$6="Total",SUMIFS(Countries!$X$5:$X$434,Countries!$A$5:$A$434,$B$4,Countries!$B$5:$B$434,$B$5,Countries!$D$5:$D$434,$A33,Countries!$AE$5:$AE$434,"&gt;0"),SUMIFS(Countries!$X$5:$X$434,Countries!$A$5:$A$434,$B$4,Countries!$B$5:$B$434,$B$5,Countries!$C$5:$C$434,$B$6,Countries!$D$5:$D$434,$A33,Countries!$AE$5:$AE$434,"&gt;0")))</f>
        <v/>
      </c>
      <c r="AG33" s="44">
        <f>IF(OR(AF33="",AE33=""),"",(AF33-AE33)*100)</f>
        <v/>
      </c>
      <c r="AH33" s="41">
        <f>IF(IF($B$6="Total",SUMIFS(Countries!$AK$5:$AK$434,Countries!$A$5:$A$434,$B$4,Countries!$B$5:$B$434,$B$5,Countries!$D$5:$D$434,$A33),SUMIFS(Countries!$AK$5:$AK$434,Countries!$A$5:$A$434,$B$4,Countries!$B$5:$B$434,$B$5,Countries!$C$5:$C$434,$B$6,Countries!$D$5:$D$434,$A33))=0,"",IF($B$6="Total",SUMIFS(Countries!$AK$5:$AK$434,Countries!$A$5:$A$434,$B$4,Countries!$B$5:$B$434,$B$5,Countries!$D$5:$D$434,$A33),SUMIFS(Countries!$AK$5:$AK$434,Countries!$A$5:$A$434,$B$4,Countries!$B$5:$B$434,$B$5,Countries!$C$5:$C$434,$B$6,Countries!$D$5:$D$434,$A33)))</f>
        <v/>
      </c>
      <c r="AI33" s="41">
        <f>IF(IF($B$6="Total",SUMIFS(Countries!$AL$5:$AL$434,Countries!$A$5:$A$434,$B$4,Countries!$B$5:$B$434,$B$5,Countries!$D$5:$D$434,$A33),SUMIFS(Countries!$AL$5:$AL$434,Countries!$A$5:$A$434,$B$4,Countries!$B$5:$B$434,$B$5,Countries!$C$5:$C$434,$B$6,Countries!$D$5:$D$434,$A33))=0,"",IF($B$6="Total",SUMIFS(Countries!$AL$5:$AL$434,Countries!$A$5:$A$434,$B$4,Countries!$B$5:$B$434,$B$5,Countries!$D$5:$D$434,$A33),SUMIFS(Countries!$AL$5:$AL$434,Countries!$A$5:$A$434,$B$4,Countries!$B$5:$B$434,$B$5,Countries!$C$5:$C$434,$B$6,Countries!$D$5:$D$434,$A33)))</f>
        <v/>
      </c>
      <c r="AJ33" s="69">
        <f>IF(OR(AI33="",AH33="",AH33=0,AI33=0),"",AI33-AH33)</f>
        <v/>
      </c>
      <c r="AK33" s="42">
        <f>IF(OR(AI33="",AH33="",AH33=0,AI33=0),"",AI33/AH33-1)</f>
        <v/>
      </c>
      <c r="AL33" s="43">
        <f>IF(IF($B$6="Total",SUMIFS(Countries!$AD$5:$AD$434,Countries!$A$5:$A$434,$B$4,Countries!$B$5:$B$434,$B$5,Countries!$D$5:$D$434,$A33,Countries!$AK$5:$AK$434,"&gt;0"),SUMIFS(Countries!$AD$5:$AD$434,Countries!$A$5:$A$434,$B$4,Countries!$B$5:$B$434,$B$5,Countries!$C$5:$C$434,$B$6,Countries!$D$5:$D$434,$A33,Countries!$AK$5:$AK$434,"&gt;0"))=0,"",IF($B$6="Total",SUMIFS(Countries!$AK$5:$AK$434,Countries!$A$5:$A$434,$B$4,Countries!$B$5:$B$434,$B$5,Countries!$D$5:$D$434,$A33,Countries!$AD$5:$AD$434,"&gt;0"),SUMIFS(Countries!$AK$5:$AK$434,Countries!$A$5:$A$434,$B$4,Countries!$B$5:$B$434,$B$5,Countries!$C$5:$C$434,$B$6,Countries!$D$5:$D$434,$A33,Countries!$AD$5:$AD$434,"&gt;0"))/IF($B$6="Total",SUMIFS(Countries!$AD$5:$AD$434,Countries!$A$5:$A$434,$B$4,Countries!$B$5:$B$434,$B$5,Countries!$D$5:$D$434,$A33,Countries!$AK$5:$AK$434,"&gt;0"),SUMIFS(Countries!$AD$5:$AD$434,Countries!$A$5:$A$434,$B$4,Countries!$B$5:$B$434,$B$5,Countries!$C$5:$C$434,$B$6,Countries!$D$5:$D$434,$A33,Countries!$AK$5:$AK$434,"&gt;0")))</f>
        <v/>
      </c>
      <c r="AM33" s="43">
        <f>IF(IF($B$6="Total",SUMIFS(Countries!$AE$5:$AE$434,Countries!$A$5:$A$434,$B$4,Countries!$B$5:$B$434,$B$5,Countries!$D$5:$D$434,$A33,Countries!$AL$5:$AL$434,"&gt;0"),SUMIFS(Countries!$AE$5:$AE$434,Countries!$A$5:$A$434,$B$4,Countries!$B$5:$B$434,$B$5,Countries!$C$5:$C$434,$B$6,Countries!$D$5:$D$434,$A33,Countries!$AL$5:$AL$434,"&gt;0"))=0,"",IF($B$6="Total",SUMIFS(Countries!$AL$5:$AL$434,Countries!$A$5:$A$434,$B$4,Countries!$B$5:$B$434,$B$5,Countries!$D$5:$D$434,$A33,Countries!$AE$5:$AE$434,"&gt;0"),SUMIFS(Countries!$AL$5:$AL$434,Countries!$A$5:$A$434,$B$4,Countries!$B$5:$B$434,$B$5,Countries!$C$5:$C$434,$B$6,Countries!$D$5:$D$434,$A33,Countries!$AE$5:$AE$434,"&gt;0"))/IF($B$6="Total",SUMIFS(Countries!$AE$5:$AE$434,Countries!$A$5:$A$434,$B$4,Countries!$B$5:$B$434,$B$5,Countries!$D$5:$D$434,$A33,Countries!$AL$5:$AL$434,"&gt;0"),SUMIFS(Countries!$AE$5:$AE$434,Countries!$A$5:$A$434,$B$4,Countries!$B$5:$B$434,$B$5,Countries!$C$5:$C$434,$B$6,Countries!$D$5:$D$434,$A33,Countries!$AL$5:$AL$434,"&gt;0")))</f>
        <v/>
      </c>
      <c r="AN33" s="44">
        <f>IF(OR(AM33="",AL33=""),"",(AM33-AL33)*100)</f>
        <v/>
      </c>
      <c r="AO33" s="41">
        <f>IF(IF($B$6="Total",SUMIFS(Countries!$AR$5:$AR$434,Countries!$A$5:$A$434,$B$4,Countries!$B$5:$B$434,$B$5,Countries!$D$5:$D$434,$A33),SUMIFS(Countries!$AR$5:$AR$434,Countries!$A$5:$A$434,$B$4,Countries!$B$5:$B$434,$B$5,Countries!$C$5:$C$434,$B$6,Countries!$D$5:$D$434,$A33))=0,"",IF($B$6="Total",SUMIFS(Countries!$AR$5:$AR$434,Countries!$A$5:$A$434,$B$4,Countries!$B$5:$B$434,$B$5,Countries!$D$5:$D$434,$A33),SUMIFS(Countries!$AR$5:$AR$434,Countries!$A$5:$A$434,$B$4,Countries!$B$5:$B$434,$B$5,Countries!$C$5:$C$434,$B$6,Countries!$D$5:$D$434,$A33)))</f>
        <v/>
      </c>
      <c r="AP33" s="41">
        <f>IF(IF($B$6="Total",SUMIFS(Countries!$AS$5:$AS$434,Countries!$A$5:$A$434,$B$4,Countries!$B$5:$B$434,$B$5,Countries!$D$5:$D$434,$A33),SUMIFS(Countries!$AS$5:$AS$434,Countries!$A$5:$A$434,$B$4,Countries!$B$5:$B$434,$B$5,Countries!$C$5:$C$434,$B$6,Countries!$D$5:$D$434,$A33))=0,"",IF($B$6="Total",SUMIFS(Countries!$AS$5:$AS$434,Countries!$A$5:$A$434,$B$4,Countries!$B$5:$B$434,$B$5,Countries!$D$5:$D$434,$A33),SUMIFS(Countries!$AS$5:$AS$434,Countries!$A$5:$A$434,$B$4,Countries!$B$5:$B$434,$B$5,Countries!$C$5:$C$434,$B$6,Countries!$D$5:$D$434,$A33)))</f>
        <v/>
      </c>
      <c r="AQ33" s="69">
        <f>IF(OR(AP33="",AO33="",AO33=0,AP33=0),"",AP33-AO33)</f>
        <v/>
      </c>
      <c r="AR33" s="42">
        <f>IF(OR(AP33="",AO33="",AO33=0,AP33=0),"",AP33/AO33-1)</f>
        <v/>
      </c>
      <c r="AS33" s="43">
        <f>IF(IF($B$6="Total",SUMIFS(Countries!$AK$5:$AK$434,Countries!$A$5:$A$434,$B$4,Countries!$B$5:$B$434,$B$5,Countries!$D$5:$D$434,$A33,Countries!$AR$5:$AR$434,"&gt;0"),SUMIFS(Countries!$AK$5:$AK$434,Countries!$A$5:$A$434,$B$4,Countries!$B$5:$B$434,$B$5,Countries!$C$5:$C$434,$B$6,Countries!$D$5:$D$434,$A33,Countries!$AR$5:$AR$434,"&gt;0"))=0,"",IF($B$6="Total",SUMIFS(Countries!$AR$5:$AR$434,Countries!$A$5:$A$434,$B$4,Countries!$B$5:$B$434,$B$5,Countries!$D$5:$D$434,$A33,Countries!$AK$5:$AK$434,"&gt;0"),SUMIFS(Countries!$AR$5:$AR$434,Countries!$A$5:$A$434,$B$4,Countries!$B$5:$B$434,$B$5,Countries!$C$5:$C$434,$B$6,Countries!$D$5:$D$434,$A33,Countries!$AK$5:$AK$434,"&gt;0"))/IF($B$6="Total",SUMIFS(Countries!$AK$5:$AK$434,Countries!$A$5:$A$434,$B$4,Countries!$B$5:$B$434,$B$5,Countries!$D$5:$D$434,$A33,Countries!$AR$5:$AR$434,"&gt;0"),SUMIFS(Countries!$AK$5:$AK$434,Countries!$A$5:$A$434,$B$4,Countries!$B$5:$B$434,$B$5,Countries!$C$5:$C$434,$B$6,Countries!$D$5:$D$434,$A33,Countries!$AR$5:$AR$434,"&gt;0")))</f>
        <v/>
      </c>
      <c r="AT33" s="43">
        <f>IF(IF($B$6="Total",SUMIFS(Countries!$AL$5:$AL$434,Countries!$A$5:$A$434,$B$4,Countries!$B$5:$B$434,$B$5,Countries!$D$5:$D$434,$A33,Countries!$AS$5:$AS$434,"&gt;0"),SUMIFS(Countries!$AL$5:$AL$434,Countries!$A$5:$A$434,$B$4,Countries!$B$5:$B$434,$B$5,Countries!$C$5:$C$434,$B$6,Countries!$D$5:$D$434,$A33,Countries!$AS$5:$AS$434,"&gt;0"))=0,"",IF($B$6="Total",SUMIFS(Countries!$AS$5:$AS$434,Countries!$A$5:$A$434,$B$4,Countries!$B$5:$B$434,$B$5,Countries!$D$5:$D$434,$A33,Countries!$AL$5:$AL$434,"&gt;0"),SUMIFS(Countries!$AS$5:$AS$434,Countries!$A$5:$A$434,$B$4,Countries!$B$5:$B$434,$B$5,Countries!$C$5:$C$434,$B$6,Countries!$D$5:$D$434,$A33,Countries!$AL$5:$AL$434,"&gt;0"))/IF($B$6="Total",SUMIFS(Countries!$AL$5:$AL$434,Countries!$A$5:$A$434,$B$4,Countries!$B$5:$B$434,$B$5,Countries!$D$5:$D$434,$A33,Countries!$AS$5:$AS$434,"&gt;0"),SUMIFS(Countries!$AL$5:$AL$434,Countries!$A$5:$A$434,$B$4,Countries!$B$5:$B$434,$B$5,Countries!$C$5:$C$434,$B$6,Countries!$D$5:$D$434,$A33,Countries!$AS$5:$AS$434,"&gt;0")))</f>
        <v/>
      </c>
      <c r="AU33" s="44">
        <f>IF(OR(AT33="",AS33=""),"",(AT33-AS33)*100)</f>
        <v/>
      </c>
      <c r="AV33" s="45">
        <f>IF(IF($B$6="Total",SUMIFS(Countries!$P$5:$P$434,Countries!$A$5:$A$434,$B$4,Countries!$B$5:$B$434,$B$5,Countries!$D$5:$D$434,$A33,Countries!$AR$5:$AR$434,"&gt;0"),SUMIFS(Countries!$P$5:$P$434,Countries!$A$5:$A$434,$B$4,Countries!$B$5:$B$434,$B$5,Countries!$C$5:$C$434,$B$6,Countries!$D$5:$D$434,$A33,Countries!$AR$5:$AR$434,"&gt;0"))=0,"",IF($B$6="Total",SUMIFS(Countries!$AR$5:$AR$434,Countries!$A$5:$A$434,$B$4,Countries!$B$5:$B$434,$B$5,Countries!$D$5:$D$434,$A33,Countries!$P$5:$P$434,"&gt;0"),SUMIFS(Countries!$AR$5:$AR$434,Countries!$A$5:$A$434,$B$4,Countries!$B$5:$B$434,$B$5,Countries!$C$5:$C$434,$B$6,Countries!$D$5:$D$434,$A33,Countries!$P$5:$P$434,"&gt;0"))/IF($B$6="Total",SUMIFS(Countries!$P$5:$P$434,Countries!$A$5:$A$434,$B$4,Countries!$B$5:$B$434,$B$5,Countries!$D$5:$D$434,$A33,Countries!$AR$5:$AR$434,"&gt;0"),SUMIFS(Countries!$P$5:$P$434,Countries!$A$5:$A$434,$B$4,Countries!$B$5:$B$434,$B$5,Countries!$C$5:$C$434,$B$6,Countries!$D$5:$D$434,$A33,Countries!$AR$5:$AR$434,"&gt;0")))</f>
        <v/>
      </c>
      <c r="AW33" s="45">
        <f>IF(IF($B$6="Total",SUMIFS(Countries!$Q$5:$Q$434,Countries!$A$5:$A$434,$B$4,Countries!$B$5:$B$434,$B$5,Countries!$D$5:$D$434,$A33,Countries!$AS$5:$AS$434,"&gt;0"),SUMIFS(Countries!$Q$5:$Q$434,Countries!$A$5:$A$434,$B$4,Countries!$B$5:$B$434,$B$5,Countries!$C$5:$C$434,$B$6,Countries!$D$5:$D$434,$A33,Countries!$AS$5:$AS$434,"&gt;0"))=0,"",IF($B$6="Total",SUMIFS(Countries!$AS$5:$AS$434,Countries!$A$5:$A$434,$B$4,Countries!$B$5:$B$434,$B$5,Countries!$D$5:$D$434,$A33,Countries!$Q$5:$Q$434,"&gt;0"),SUMIFS(Countries!$AS$5:$AS$434,Countries!$A$5:$A$434,$B$4,Countries!$B$5:$B$434,$B$5,Countries!$C$5:$C$434,$B$6,Countries!$D$5:$D$434,$A33,Countries!$Q$5:$Q$434,"&gt;0"))/IF($B$6="Total",SUMIFS(Countries!$Q$5:$Q$434,Countries!$A$5:$A$434,$B$4,Countries!$B$5:$B$434,$B$5,Countries!$D$5:$D$434,$A33,Countries!$AS$5:$AS$434,"&gt;0"),SUMIFS(Countries!$Q$5:$Q$434,Countries!$A$5:$A$434,$B$4,Countries!$B$5:$B$434,$B$5,Countries!$C$5:$C$434,$B$6,Countries!$D$5:$D$434,$A33,Countries!$AS$5:$AS$434,"&gt;0")))</f>
        <v/>
      </c>
      <c r="AX33" s="44">
        <f>IF(OR(AW33="",AV33=""),"",(AW33-AV33)*100)</f>
        <v/>
      </c>
      <c r="AY33" s="45">
        <f>IF(IF($B$6="Total",SUMIFS(Countries!$E$5:$E$434,Countries!$A$5:$A$434,$B$4,Countries!$B$5:$B$434,$B$5,Countries!$D$5:$D$434,$A33,Countries!$AR$5:$AR$434,"&gt;0"),SUMIFS(Countries!$E$5:$E$434,Countries!$A$5:$A$434,$B$4,Countries!$B$5:$B$434,$B$5,Countries!$C$5:$C$434,$B$6,Countries!$D$5:$D$434,$A33,Countries!$AR$5:$AR$434,"&gt;0"))=0,"",IF($B$6="Total",SUMIFS(Countries!$AR$5:$AR$434,Countries!$A$5:$A$434,$B$4,Countries!$B$5:$B$434,$B$5,Countries!$D$5:$D$434,$A33,Countries!$E$5:$E$434,"&gt;0"),SUMIFS(Countries!$AR$5:$AR$434,Countries!$A$5:$A$434,$B$4,Countries!$B$5:$B$434,$B$5,Countries!$C$5:$C$434,$B$6,Countries!$D$5:$D$434,$A33,Countries!$E$5:$E$434,"&gt;0"))/IF($B$6="Total",SUMIFS(Countries!$E$5:$E$434,Countries!$A$5:$A$434,$B$4,Countries!$B$5:$B$434,$B$5,Countries!$D$5:$D$434,$A33,Countries!$AR$5:$AR$434,"&gt;0"),SUMIFS(Countries!$E$5:$E$434,Countries!$A$5:$A$434,$B$4,Countries!$B$5:$B$434,$B$5,Countries!$C$5:$C$434,$B$6,Countries!$D$5:$D$434,$A33,Countries!$AR$5:$AR$434,"&gt;0")))</f>
        <v/>
      </c>
      <c r="AZ33" s="45">
        <f>IF(IF($B$6="Total",SUMIFS(Countries!$F$5:$F$434,Countries!$A$5:$A$434,$B$4,Countries!$B$5:$B$434,$B$5,Countries!$D$5:$D$434,$A33,Countries!$AS$5:$AS$434,"&gt;0"),SUMIFS(Countries!$F$5:$F$434,Countries!$A$5:$A$434,$B$4,Countries!$B$5:$B$434,$B$5,Countries!$C$5:$C$434,$B$6,Countries!$D$5:$D$434,$A33,Countries!$AS$5:$AS$434,"&gt;0"))=0,"",IF($B$6="Total",SUMIFS(Countries!$AS$5:$AS$434,Countries!$A$5:$A$434,$B$4,Countries!$B$5:$B$434,$B$5,Countries!$D$5:$D$434,$A33,Countries!$F$5:$F$434,"&gt;0"),SUMIFS(Countries!$AS$5:$AS$434,Countries!$A$5:$A$434,$B$4,Countries!$B$5:$B$434,$B$5,Countries!$C$5:$C$434,$B$6,Countries!$D$5:$D$434,$A33,Countries!$F$5:$F$434,"&gt;0"))/IF($B$6="Total",SUMIFS(Countries!$F$5:$F$434,Countries!$A$5:$A$434,$B$4,Countries!$B$5:$B$434,$B$5,Countries!$D$5:$D$434,$A33,Countries!$AS$5:$AS$434,"&gt;0"),SUMIFS(Countries!$F$5:$F$434,Countries!$A$5:$A$434,$B$4,Countries!$B$5:$B$434,$B$5,Countries!$C$5:$C$434,$B$6,Countries!$D$5:$D$434,$A33,Countries!$AS$5:$AS$434,"&gt;0")))</f>
        <v/>
      </c>
      <c r="BA33" s="44">
        <f>IF(OR(AZ33="",AY33=""),"",(AZ33-AY33)*100)</f>
        <v/>
      </c>
      <c r="BB33" s="40">
        <f>IF(AND(IF($B$6="Total",COUNTIFS(Countries!$A$5:$A$434,$B$4,Countries!$B$5:$B$434,$B$5,Countries!$D$5:$D$434,$A33,Countries!$F$5:$F$434,"&gt;0"),COUNTIFS(Countries!$A$5:$A$434,$B$4,Countries!$B$5:$B$434,$B$5,Countries!$C$5:$C$434,$B$6,Countries!$D$5:$D$434,$A33,Countries!$F$5:$F$434,"&gt;0"))=0,IF($B$6="Total",COUNTIFS(Countries!$A$5:$A$434,$B$4,Countries!$B$5:$B$434,$B$5,Countries!$D$5:$D$434,$A33,Countries!$E$5:$E$434,"&gt;0"),COUNTIFS(Countries!$A$5:$A$434,$B$4,Countries!$B$5:$B$434,$B$5,Countries!$C$5:$C$434,$B$6,Countries!$D$5:$D$434,$A33,Countries!$E$5:$E$434,"&gt;0"))=0),"",IF(IF($B$6="Total",COUNTIFS(Countries!$A$5:$A$434,$B$4,Countries!$B$5:$B$434,$B$5,Countries!$D$5:$D$434,$A33,Countries!$F$5:$F$434,"&gt;0"),COUNTIFS(Countries!$A$5:$A$434,$B$4,Countries!$B$5:$B$434,$B$5,Countries!$C$5:$C$434,$B$6,Countries!$D$5:$D$434,$A33,Countries!$F$5:$F$434,"&gt;0"))=0,"1-23Aug25 rows only",IF(IF($B$6="Total",COUNTIFS(Countries!$A$5:$A$434,$B$4,Countries!$B$5:$B$434,$B$5,Countries!$D$5:$D$434,$A33,Countries!$E$5:$E$434,"&gt;0"),COUNTIFS(Countries!$A$5:$A$434,$B$4,Countries!$B$5:$B$434,$B$5,Countries!$C$5:$C$434,$B$6,Countries!$D$5:$D$434,$A33,Countries!$E$5:$E$434,"&gt;0"))=0,"1-23Aug26 rows only",IF(IF($B$6="Total",COUNTIFS(Countries!$A$5:$A$434,$B$4,Countries!$B$5:$B$434,$B$5,Countries!$D$5:$D$434,$A33,Countries!$F$5:$F$434,"&gt;0"),COUNTIFS(Countries!$A$5:$A$434,$B$4,Countries!$B$5:$B$434,$B$5,Countries!$C$5:$C$434,$B$6,Countries!$D$5:$D$434,$A33,Countries!$F$5:$F$434,"&gt;0"))=IF($B$6="Total",COUNTIFS(Countries!$A$5:$A$434,$B$4,Countries!$B$5:$B$434,$B$5,Countries!$D$5:$D$434,$A33,Countries!$E$5:$E$434,"&gt;0"),COUNTIFS(Countries!$A$5:$A$434,$B$4,Countries!$B$5:$B$434,$B$5,Countries!$C$5:$C$434,$B$6,Countries!$D$5:$D$434,$A33,Countries!$E$5:$E$434,"&gt;0")),"Like-for-like","Partial — coverage differs"))))</f>
        <v/>
      </c>
    </row>
    <row r="34">
      <c r="A34" s="56" t="inlineStr">
        <is>
          <t>Bangladesh</t>
        </is>
      </c>
      <c r="B34" s="41">
        <f>IF(IF($B$6="Total",SUMIFS(Countries!$E$5:$E$434,Countries!$A$5:$A$434,$B$4,Countries!$B$5:$B$434,$B$5,Countries!$D$5:$D$434,$A34),SUMIFS(Countries!$E$5:$E$434,Countries!$A$5:$A$434,$B$4,Countries!$B$5:$B$434,$B$5,Countries!$C$5:$C$434,$B$6,Countries!$D$5:$D$434,$A34))=0,"",IF($B$6="Total",SUMIFS(Countries!$E$5:$E$434,Countries!$A$5:$A$434,$B$4,Countries!$B$5:$B$434,$B$5,Countries!$D$5:$D$434,$A34),SUMIFS(Countries!$E$5:$E$434,Countries!$A$5:$A$434,$B$4,Countries!$B$5:$B$434,$B$5,Countries!$C$5:$C$434,$B$6,Countries!$D$5:$D$434,$A34)))</f>
        <v/>
      </c>
      <c r="C34" s="41">
        <f>IF(IF($B$6="Total",SUMIFS(Countries!$F$5:$F$434,Countries!$A$5:$A$434,$B$4,Countries!$B$5:$B$434,$B$5,Countries!$D$5:$D$434,$A34),SUMIFS(Countries!$F$5:$F$434,Countries!$A$5:$A$434,$B$4,Countries!$B$5:$B$434,$B$5,Countries!$C$5:$C$434,$B$6,Countries!$D$5:$D$434,$A34))=0,"",IF($B$6="Total",SUMIFS(Countries!$F$5:$F$434,Countries!$A$5:$A$434,$B$4,Countries!$B$5:$B$434,$B$5,Countries!$D$5:$D$434,$A34),SUMIFS(Countries!$F$5:$F$434,Countries!$A$5:$A$434,$B$4,Countries!$B$5:$B$434,$B$5,Countries!$C$5:$C$434,$B$6,Countries!$D$5:$D$434,$A34)))</f>
        <v/>
      </c>
      <c r="D34" s="69">
        <f>IF(OR(C34="",B34="",B34=0,C34=0),"",C34-B34)</f>
        <v/>
      </c>
      <c r="E34" s="42">
        <f>IF(OR(C34="",B34="",B34=0,C34=0),"",C34/B34-1)</f>
        <v/>
      </c>
      <c r="F34" s="41">
        <f>IF(IF($B$6="Total",SUMIFS(Countries!$I$5:$I$434,Countries!$A$5:$A$434,$B$4,Countries!$B$5:$B$434,$B$5,Countries!$D$5:$D$434,$A34),SUMIFS(Countries!$I$5:$I$434,Countries!$A$5:$A$434,$B$4,Countries!$B$5:$B$434,$B$5,Countries!$C$5:$C$434,$B$6,Countries!$D$5:$D$434,$A34))=0,"",IF($B$6="Total",SUMIFS(Countries!$I$5:$I$434,Countries!$A$5:$A$434,$B$4,Countries!$B$5:$B$434,$B$5,Countries!$D$5:$D$434,$A34),SUMIFS(Countries!$I$5:$I$434,Countries!$A$5:$A$434,$B$4,Countries!$B$5:$B$434,$B$5,Countries!$C$5:$C$434,$B$6,Countries!$D$5:$D$434,$A34)))</f>
        <v/>
      </c>
      <c r="G34" s="41">
        <f>IF(IF($B$6="Total",SUMIFS(Countries!$J$5:$J$434,Countries!$A$5:$A$434,$B$4,Countries!$B$5:$B$434,$B$5,Countries!$D$5:$D$434,$A34),SUMIFS(Countries!$J$5:$J$434,Countries!$A$5:$A$434,$B$4,Countries!$B$5:$B$434,$B$5,Countries!$C$5:$C$434,$B$6,Countries!$D$5:$D$434,$A34))=0,"",IF($B$6="Total",SUMIFS(Countries!$J$5:$J$434,Countries!$A$5:$A$434,$B$4,Countries!$B$5:$B$434,$B$5,Countries!$D$5:$D$434,$A34),SUMIFS(Countries!$J$5:$J$434,Countries!$A$5:$A$434,$B$4,Countries!$B$5:$B$434,$B$5,Countries!$C$5:$C$434,$B$6,Countries!$D$5:$D$434,$A34)))</f>
        <v/>
      </c>
      <c r="H34" s="69">
        <f>IF(OR(G34="",F34="",F34=0,G34=0),"",G34-F34)</f>
        <v/>
      </c>
      <c r="I34" s="42">
        <f>IF(OR(G34="",F34="",F34=0,G34=0),"",G34/F34-1)</f>
        <v/>
      </c>
      <c r="J34" s="43">
        <f>IF(IF($B$6="Total",SUMIFS(Countries!$E$5:$E$434,Countries!$A$5:$A$434,$B$4,Countries!$B$5:$B$434,$B$5,Countries!$D$5:$D$434,$A34,Countries!$I$5:$I$434,"&gt;0"),SUMIFS(Countries!$E$5:$E$434,Countries!$A$5:$A$434,$B$4,Countries!$B$5:$B$434,$B$5,Countries!$C$5:$C$434,$B$6,Countries!$D$5:$D$434,$A34,Countries!$I$5:$I$434,"&gt;0"))=0,"",IF($B$6="Total",SUMIFS(Countries!$I$5:$I$434,Countries!$A$5:$A$434,$B$4,Countries!$B$5:$B$434,$B$5,Countries!$D$5:$D$434,$A34,Countries!$E$5:$E$434,"&gt;0"),SUMIFS(Countries!$I$5:$I$434,Countries!$A$5:$A$434,$B$4,Countries!$B$5:$B$434,$B$5,Countries!$C$5:$C$434,$B$6,Countries!$D$5:$D$434,$A34,Countries!$E$5:$E$434,"&gt;0"))/IF($B$6="Total",SUMIFS(Countries!$E$5:$E$434,Countries!$A$5:$A$434,$B$4,Countries!$B$5:$B$434,$B$5,Countries!$D$5:$D$434,$A34,Countries!$I$5:$I$434,"&gt;0"),SUMIFS(Countries!$E$5:$E$434,Countries!$A$5:$A$434,$B$4,Countries!$B$5:$B$434,$B$5,Countries!$C$5:$C$434,$B$6,Countries!$D$5:$D$434,$A34,Countries!$I$5:$I$434,"&gt;0")))</f>
        <v/>
      </c>
      <c r="K34" s="43">
        <f>IF(IF($B$6="Total",SUMIFS(Countries!$F$5:$F$434,Countries!$A$5:$A$434,$B$4,Countries!$B$5:$B$434,$B$5,Countries!$D$5:$D$434,$A34,Countries!$J$5:$J$434,"&gt;0"),SUMIFS(Countries!$F$5:$F$434,Countries!$A$5:$A$434,$B$4,Countries!$B$5:$B$434,$B$5,Countries!$C$5:$C$434,$B$6,Countries!$D$5:$D$434,$A34,Countries!$J$5:$J$434,"&gt;0"))=0,"",IF($B$6="Total",SUMIFS(Countries!$J$5:$J$434,Countries!$A$5:$A$434,$B$4,Countries!$B$5:$B$434,$B$5,Countries!$D$5:$D$434,$A34,Countries!$F$5:$F$434,"&gt;0"),SUMIFS(Countries!$J$5:$J$434,Countries!$A$5:$A$434,$B$4,Countries!$B$5:$B$434,$B$5,Countries!$C$5:$C$434,$B$6,Countries!$D$5:$D$434,$A34,Countries!$F$5:$F$434,"&gt;0"))/IF($B$6="Total",SUMIFS(Countries!$F$5:$F$434,Countries!$A$5:$A$434,$B$4,Countries!$B$5:$B$434,$B$5,Countries!$D$5:$D$434,$A34,Countries!$J$5:$J$434,"&gt;0"),SUMIFS(Countries!$F$5:$F$434,Countries!$A$5:$A$434,$B$4,Countries!$B$5:$B$434,$B$5,Countries!$C$5:$C$434,$B$6,Countries!$D$5:$D$434,$A34,Countries!$J$5:$J$434,"&gt;0")))</f>
        <v/>
      </c>
      <c r="L34" s="44">
        <f>IF(OR(K34="",J34=""),"",(K34-J34)*100)</f>
        <v/>
      </c>
      <c r="M34" s="41">
        <f>IF(IF($B$6="Total",SUMIFS(Countries!$P$5:$P$434,Countries!$A$5:$A$434,$B$4,Countries!$B$5:$B$434,$B$5,Countries!$D$5:$D$434,$A34),SUMIFS(Countries!$P$5:$P$434,Countries!$A$5:$A$434,$B$4,Countries!$B$5:$B$434,$B$5,Countries!$C$5:$C$434,$B$6,Countries!$D$5:$D$434,$A34))=0,"",IF($B$6="Total",SUMIFS(Countries!$P$5:$P$434,Countries!$A$5:$A$434,$B$4,Countries!$B$5:$B$434,$B$5,Countries!$D$5:$D$434,$A34),SUMIFS(Countries!$P$5:$P$434,Countries!$A$5:$A$434,$B$4,Countries!$B$5:$B$434,$B$5,Countries!$C$5:$C$434,$B$6,Countries!$D$5:$D$434,$A34)))</f>
        <v/>
      </c>
      <c r="N34" s="41">
        <f>IF(IF($B$6="Total",SUMIFS(Countries!$Q$5:$Q$434,Countries!$A$5:$A$434,$B$4,Countries!$B$5:$B$434,$B$5,Countries!$D$5:$D$434,$A34),SUMIFS(Countries!$Q$5:$Q$434,Countries!$A$5:$A$434,$B$4,Countries!$B$5:$B$434,$B$5,Countries!$C$5:$C$434,$B$6,Countries!$D$5:$D$434,$A34))=0,"",IF($B$6="Total",SUMIFS(Countries!$Q$5:$Q$434,Countries!$A$5:$A$434,$B$4,Countries!$B$5:$B$434,$B$5,Countries!$D$5:$D$434,$A34),SUMIFS(Countries!$Q$5:$Q$434,Countries!$A$5:$A$434,$B$4,Countries!$B$5:$B$434,$B$5,Countries!$C$5:$C$434,$B$6,Countries!$D$5:$D$434,$A34)))</f>
        <v/>
      </c>
      <c r="O34" s="69">
        <f>IF(OR(N34="",M34="",M34=0,N34=0),"",N34-M34)</f>
        <v/>
      </c>
      <c r="P34" s="42">
        <f>IF(OR(N34="",M34="",M34=0,N34=0),"",N34/M34-1)</f>
        <v/>
      </c>
      <c r="Q34" s="43">
        <f>IF(IF($B$6="Total",SUMIFS(Countries!$E$5:$E$434,Countries!$A$5:$A$434,$B$4,Countries!$B$5:$B$434,$B$5,Countries!$D$5:$D$434,$A34,Countries!$P$5:$P$434,"&gt;0"),SUMIFS(Countries!$E$5:$E$434,Countries!$A$5:$A$434,$B$4,Countries!$B$5:$B$434,$B$5,Countries!$C$5:$C$434,$B$6,Countries!$D$5:$D$434,$A34,Countries!$P$5:$P$434,"&gt;0"))=0,"",IF($B$6="Total",SUMIFS(Countries!$P$5:$P$434,Countries!$A$5:$A$434,$B$4,Countries!$B$5:$B$434,$B$5,Countries!$D$5:$D$434,$A34,Countries!$E$5:$E$434,"&gt;0"),SUMIFS(Countries!$P$5:$P$434,Countries!$A$5:$A$434,$B$4,Countries!$B$5:$B$434,$B$5,Countries!$C$5:$C$434,$B$6,Countries!$D$5:$D$434,$A34,Countries!$E$5:$E$434,"&gt;0"))/IF($B$6="Total",SUMIFS(Countries!$E$5:$E$434,Countries!$A$5:$A$434,$B$4,Countries!$B$5:$B$434,$B$5,Countries!$D$5:$D$434,$A34,Countries!$P$5:$P$434,"&gt;0"),SUMIFS(Countries!$E$5:$E$434,Countries!$A$5:$A$434,$B$4,Countries!$B$5:$B$434,$B$5,Countries!$C$5:$C$434,$B$6,Countries!$D$5:$D$434,$A34,Countries!$P$5:$P$434,"&gt;0")))</f>
        <v/>
      </c>
      <c r="R34" s="43">
        <f>IF(IF($B$6="Total",SUMIFS(Countries!$F$5:$F$434,Countries!$A$5:$A$434,$B$4,Countries!$B$5:$B$434,$B$5,Countries!$D$5:$D$434,$A34,Countries!$Q$5:$Q$434,"&gt;0"),SUMIFS(Countries!$F$5:$F$434,Countries!$A$5:$A$434,$B$4,Countries!$B$5:$B$434,$B$5,Countries!$C$5:$C$434,$B$6,Countries!$D$5:$D$434,$A34,Countries!$Q$5:$Q$434,"&gt;0"))=0,"",IF($B$6="Total",SUMIFS(Countries!$Q$5:$Q$434,Countries!$A$5:$A$434,$B$4,Countries!$B$5:$B$434,$B$5,Countries!$D$5:$D$434,$A34,Countries!$F$5:$F$434,"&gt;0"),SUMIFS(Countries!$Q$5:$Q$434,Countries!$A$5:$A$434,$B$4,Countries!$B$5:$B$434,$B$5,Countries!$C$5:$C$434,$B$6,Countries!$D$5:$D$434,$A34,Countries!$F$5:$F$434,"&gt;0"))/IF($B$6="Total",SUMIFS(Countries!$F$5:$F$434,Countries!$A$5:$A$434,$B$4,Countries!$B$5:$B$434,$B$5,Countries!$D$5:$D$434,$A34,Countries!$Q$5:$Q$434,"&gt;0"),SUMIFS(Countries!$F$5:$F$434,Countries!$A$5:$A$434,$B$4,Countries!$B$5:$B$434,$B$5,Countries!$C$5:$C$434,$B$6,Countries!$D$5:$D$434,$A34,Countries!$Q$5:$Q$434,"&gt;0")))</f>
        <v/>
      </c>
      <c r="S34" s="44">
        <f>IF(OR(R34="",Q34=""),"",(R34-Q34)*100)</f>
        <v/>
      </c>
      <c r="T34" s="41">
        <f>IF(IF($B$6="Total",SUMIFS(Countries!$W$5:$W$434,Countries!$A$5:$A$434,$B$4,Countries!$B$5:$B$434,$B$5,Countries!$D$5:$D$434,$A34),SUMIFS(Countries!$W$5:$W$434,Countries!$A$5:$A$434,$B$4,Countries!$B$5:$B$434,$B$5,Countries!$C$5:$C$434,$B$6,Countries!$D$5:$D$434,$A34))=0,"",IF($B$6="Total",SUMIFS(Countries!$W$5:$W$434,Countries!$A$5:$A$434,$B$4,Countries!$B$5:$B$434,$B$5,Countries!$D$5:$D$434,$A34),SUMIFS(Countries!$W$5:$W$434,Countries!$A$5:$A$434,$B$4,Countries!$B$5:$B$434,$B$5,Countries!$C$5:$C$434,$B$6,Countries!$D$5:$D$434,$A34)))</f>
        <v/>
      </c>
      <c r="U34" s="41">
        <f>IF(IF($B$6="Total",SUMIFS(Countries!$X$5:$X$434,Countries!$A$5:$A$434,$B$4,Countries!$B$5:$B$434,$B$5,Countries!$D$5:$D$434,$A34),SUMIFS(Countries!$X$5:$X$434,Countries!$A$5:$A$434,$B$4,Countries!$B$5:$B$434,$B$5,Countries!$C$5:$C$434,$B$6,Countries!$D$5:$D$434,$A34))=0,"",IF($B$6="Total",SUMIFS(Countries!$X$5:$X$434,Countries!$A$5:$A$434,$B$4,Countries!$B$5:$B$434,$B$5,Countries!$D$5:$D$434,$A34),SUMIFS(Countries!$X$5:$X$434,Countries!$A$5:$A$434,$B$4,Countries!$B$5:$B$434,$B$5,Countries!$C$5:$C$434,$B$6,Countries!$D$5:$D$434,$A34)))</f>
        <v/>
      </c>
      <c r="V34" s="69">
        <f>IF(OR(U34="",T34="",T34=0,U34=0),"",U34-T34)</f>
        <v/>
      </c>
      <c r="W34" s="42">
        <f>IF(OR(U34="",T34="",T34=0,U34=0),"",U34/T34-1)</f>
        <v/>
      </c>
      <c r="X34" s="43">
        <f>IF(IF($B$6="Total",SUMIFS(Countries!$P$5:$P$434,Countries!$A$5:$A$434,$B$4,Countries!$B$5:$B$434,$B$5,Countries!$D$5:$D$434,$A34,Countries!$W$5:$W$434,"&gt;0"),SUMIFS(Countries!$P$5:$P$434,Countries!$A$5:$A$434,$B$4,Countries!$B$5:$B$434,$B$5,Countries!$C$5:$C$434,$B$6,Countries!$D$5:$D$434,$A34,Countries!$W$5:$W$434,"&gt;0"))=0,"",IF($B$6="Total",SUMIFS(Countries!$W$5:$W$434,Countries!$A$5:$A$434,$B$4,Countries!$B$5:$B$434,$B$5,Countries!$D$5:$D$434,$A34,Countries!$P$5:$P$434,"&gt;0"),SUMIFS(Countries!$W$5:$W$434,Countries!$A$5:$A$434,$B$4,Countries!$B$5:$B$434,$B$5,Countries!$C$5:$C$434,$B$6,Countries!$D$5:$D$434,$A34,Countries!$P$5:$P$434,"&gt;0"))/IF($B$6="Total",SUMIFS(Countries!$P$5:$P$434,Countries!$A$5:$A$434,$B$4,Countries!$B$5:$B$434,$B$5,Countries!$D$5:$D$434,$A34,Countries!$W$5:$W$434,"&gt;0"),SUMIFS(Countries!$P$5:$P$434,Countries!$A$5:$A$434,$B$4,Countries!$B$5:$B$434,$B$5,Countries!$C$5:$C$434,$B$6,Countries!$D$5:$D$434,$A34,Countries!$W$5:$W$434,"&gt;0")))</f>
        <v/>
      </c>
      <c r="Y34" s="43">
        <f>IF(IF($B$6="Total",SUMIFS(Countries!$Q$5:$Q$434,Countries!$A$5:$A$434,$B$4,Countries!$B$5:$B$434,$B$5,Countries!$D$5:$D$434,$A34,Countries!$X$5:$X$434,"&gt;0"),SUMIFS(Countries!$Q$5:$Q$434,Countries!$A$5:$A$434,$B$4,Countries!$B$5:$B$434,$B$5,Countries!$C$5:$C$434,$B$6,Countries!$D$5:$D$434,$A34,Countries!$X$5:$X$434,"&gt;0"))=0,"",IF($B$6="Total",SUMIFS(Countries!$X$5:$X$434,Countries!$A$5:$A$434,$B$4,Countries!$B$5:$B$434,$B$5,Countries!$D$5:$D$434,$A34,Countries!$Q$5:$Q$434,"&gt;0"),SUMIFS(Countries!$X$5:$X$434,Countries!$A$5:$A$434,$B$4,Countries!$B$5:$B$434,$B$5,Countries!$C$5:$C$434,$B$6,Countries!$D$5:$D$434,$A34,Countries!$Q$5:$Q$434,"&gt;0"))/IF($B$6="Total",SUMIFS(Countries!$Q$5:$Q$434,Countries!$A$5:$A$434,$B$4,Countries!$B$5:$B$434,$B$5,Countries!$D$5:$D$434,$A34,Countries!$X$5:$X$434,"&gt;0"),SUMIFS(Countries!$Q$5:$Q$434,Countries!$A$5:$A$434,$B$4,Countries!$B$5:$B$434,$B$5,Countries!$C$5:$C$434,$B$6,Countries!$D$5:$D$434,$A34,Countries!$X$5:$X$434,"&gt;0")))</f>
        <v/>
      </c>
      <c r="Z34" s="44">
        <f>IF(OR(Y34="",X34=""),"",(Y34-X34)*100)</f>
        <v/>
      </c>
      <c r="AA34" s="41">
        <f>IF(IF($B$6="Total",SUMIFS(Countries!$AD$5:$AD$434,Countries!$A$5:$A$434,$B$4,Countries!$B$5:$B$434,$B$5,Countries!$D$5:$D$434,$A34),SUMIFS(Countries!$AD$5:$AD$434,Countries!$A$5:$A$434,$B$4,Countries!$B$5:$B$434,$B$5,Countries!$C$5:$C$434,$B$6,Countries!$D$5:$D$434,$A34))=0,"",IF($B$6="Total",SUMIFS(Countries!$AD$5:$AD$434,Countries!$A$5:$A$434,$B$4,Countries!$B$5:$B$434,$B$5,Countries!$D$5:$D$434,$A34),SUMIFS(Countries!$AD$5:$AD$434,Countries!$A$5:$A$434,$B$4,Countries!$B$5:$B$434,$B$5,Countries!$C$5:$C$434,$B$6,Countries!$D$5:$D$434,$A34)))</f>
        <v/>
      </c>
      <c r="AB34" s="41">
        <f>IF(IF($B$6="Total",SUMIFS(Countries!$AE$5:$AE$434,Countries!$A$5:$A$434,$B$4,Countries!$B$5:$B$434,$B$5,Countries!$D$5:$D$434,$A34),SUMIFS(Countries!$AE$5:$AE$434,Countries!$A$5:$A$434,$B$4,Countries!$B$5:$B$434,$B$5,Countries!$C$5:$C$434,$B$6,Countries!$D$5:$D$434,$A34))=0,"",IF($B$6="Total",SUMIFS(Countries!$AE$5:$AE$434,Countries!$A$5:$A$434,$B$4,Countries!$B$5:$B$434,$B$5,Countries!$D$5:$D$434,$A34),SUMIFS(Countries!$AE$5:$AE$434,Countries!$A$5:$A$434,$B$4,Countries!$B$5:$B$434,$B$5,Countries!$C$5:$C$434,$B$6,Countries!$D$5:$D$434,$A34)))</f>
        <v/>
      </c>
      <c r="AC34" s="69">
        <f>IF(OR(AB34="",AA34="",AA34=0,AB34=0),"",AB34-AA34)</f>
        <v/>
      </c>
      <c r="AD34" s="42">
        <f>IF(OR(AB34="",AA34="",AA34=0,AB34=0),"",AB34/AA34-1)</f>
        <v/>
      </c>
      <c r="AE34" s="43">
        <f>IF(IF($B$6="Total",SUMIFS(Countries!$W$5:$W$434,Countries!$A$5:$A$434,$B$4,Countries!$B$5:$B$434,$B$5,Countries!$D$5:$D$434,$A34,Countries!$AD$5:$AD$434,"&gt;0"),SUMIFS(Countries!$W$5:$W$434,Countries!$A$5:$A$434,$B$4,Countries!$B$5:$B$434,$B$5,Countries!$C$5:$C$434,$B$6,Countries!$D$5:$D$434,$A34,Countries!$AD$5:$AD$434,"&gt;0"))=0,"",IF($B$6="Total",SUMIFS(Countries!$AD$5:$AD$434,Countries!$A$5:$A$434,$B$4,Countries!$B$5:$B$434,$B$5,Countries!$D$5:$D$434,$A34,Countries!$W$5:$W$434,"&gt;0"),SUMIFS(Countries!$AD$5:$AD$434,Countries!$A$5:$A$434,$B$4,Countries!$B$5:$B$434,$B$5,Countries!$C$5:$C$434,$B$6,Countries!$D$5:$D$434,$A34,Countries!$W$5:$W$434,"&gt;0"))/IF($B$6="Total",SUMIFS(Countries!$W$5:$W$434,Countries!$A$5:$A$434,$B$4,Countries!$B$5:$B$434,$B$5,Countries!$D$5:$D$434,$A34,Countries!$AD$5:$AD$434,"&gt;0"),SUMIFS(Countries!$W$5:$W$434,Countries!$A$5:$A$434,$B$4,Countries!$B$5:$B$434,$B$5,Countries!$C$5:$C$434,$B$6,Countries!$D$5:$D$434,$A34,Countries!$AD$5:$AD$434,"&gt;0")))</f>
        <v/>
      </c>
      <c r="AF34" s="43">
        <f>IF(IF($B$6="Total",SUMIFS(Countries!$X$5:$X$434,Countries!$A$5:$A$434,$B$4,Countries!$B$5:$B$434,$B$5,Countries!$D$5:$D$434,$A34,Countries!$AE$5:$AE$434,"&gt;0"),SUMIFS(Countries!$X$5:$X$434,Countries!$A$5:$A$434,$B$4,Countries!$B$5:$B$434,$B$5,Countries!$C$5:$C$434,$B$6,Countries!$D$5:$D$434,$A34,Countries!$AE$5:$AE$434,"&gt;0"))=0,"",IF($B$6="Total",SUMIFS(Countries!$AE$5:$AE$434,Countries!$A$5:$A$434,$B$4,Countries!$B$5:$B$434,$B$5,Countries!$D$5:$D$434,$A34,Countries!$X$5:$X$434,"&gt;0"),SUMIFS(Countries!$AE$5:$AE$434,Countries!$A$5:$A$434,$B$4,Countries!$B$5:$B$434,$B$5,Countries!$C$5:$C$434,$B$6,Countries!$D$5:$D$434,$A34,Countries!$X$5:$X$434,"&gt;0"))/IF($B$6="Total",SUMIFS(Countries!$X$5:$X$434,Countries!$A$5:$A$434,$B$4,Countries!$B$5:$B$434,$B$5,Countries!$D$5:$D$434,$A34,Countries!$AE$5:$AE$434,"&gt;0"),SUMIFS(Countries!$X$5:$X$434,Countries!$A$5:$A$434,$B$4,Countries!$B$5:$B$434,$B$5,Countries!$C$5:$C$434,$B$6,Countries!$D$5:$D$434,$A34,Countries!$AE$5:$AE$434,"&gt;0")))</f>
        <v/>
      </c>
      <c r="AG34" s="44">
        <f>IF(OR(AF34="",AE34=""),"",(AF34-AE34)*100)</f>
        <v/>
      </c>
      <c r="AH34" s="41">
        <f>IF(IF($B$6="Total",SUMIFS(Countries!$AK$5:$AK$434,Countries!$A$5:$A$434,$B$4,Countries!$B$5:$B$434,$B$5,Countries!$D$5:$D$434,$A34),SUMIFS(Countries!$AK$5:$AK$434,Countries!$A$5:$A$434,$B$4,Countries!$B$5:$B$434,$B$5,Countries!$C$5:$C$434,$B$6,Countries!$D$5:$D$434,$A34))=0,"",IF($B$6="Total",SUMIFS(Countries!$AK$5:$AK$434,Countries!$A$5:$A$434,$B$4,Countries!$B$5:$B$434,$B$5,Countries!$D$5:$D$434,$A34),SUMIFS(Countries!$AK$5:$AK$434,Countries!$A$5:$A$434,$B$4,Countries!$B$5:$B$434,$B$5,Countries!$C$5:$C$434,$B$6,Countries!$D$5:$D$434,$A34)))</f>
        <v/>
      </c>
      <c r="AI34" s="41">
        <f>IF(IF($B$6="Total",SUMIFS(Countries!$AL$5:$AL$434,Countries!$A$5:$A$434,$B$4,Countries!$B$5:$B$434,$B$5,Countries!$D$5:$D$434,$A34),SUMIFS(Countries!$AL$5:$AL$434,Countries!$A$5:$A$434,$B$4,Countries!$B$5:$B$434,$B$5,Countries!$C$5:$C$434,$B$6,Countries!$D$5:$D$434,$A34))=0,"",IF($B$6="Total",SUMIFS(Countries!$AL$5:$AL$434,Countries!$A$5:$A$434,$B$4,Countries!$B$5:$B$434,$B$5,Countries!$D$5:$D$434,$A34),SUMIFS(Countries!$AL$5:$AL$434,Countries!$A$5:$A$434,$B$4,Countries!$B$5:$B$434,$B$5,Countries!$C$5:$C$434,$B$6,Countries!$D$5:$D$434,$A34)))</f>
        <v/>
      </c>
      <c r="AJ34" s="69">
        <f>IF(OR(AI34="",AH34="",AH34=0,AI34=0),"",AI34-AH34)</f>
        <v/>
      </c>
      <c r="AK34" s="42">
        <f>IF(OR(AI34="",AH34="",AH34=0,AI34=0),"",AI34/AH34-1)</f>
        <v/>
      </c>
      <c r="AL34" s="43">
        <f>IF(IF($B$6="Total",SUMIFS(Countries!$AD$5:$AD$434,Countries!$A$5:$A$434,$B$4,Countries!$B$5:$B$434,$B$5,Countries!$D$5:$D$434,$A34,Countries!$AK$5:$AK$434,"&gt;0"),SUMIFS(Countries!$AD$5:$AD$434,Countries!$A$5:$A$434,$B$4,Countries!$B$5:$B$434,$B$5,Countries!$C$5:$C$434,$B$6,Countries!$D$5:$D$434,$A34,Countries!$AK$5:$AK$434,"&gt;0"))=0,"",IF($B$6="Total",SUMIFS(Countries!$AK$5:$AK$434,Countries!$A$5:$A$434,$B$4,Countries!$B$5:$B$434,$B$5,Countries!$D$5:$D$434,$A34,Countries!$AD$5:$AD$434,"&gt;0"),SUMIFS(Countries!$AK$5:$AK$434,Countries!$A$5:$A$434,$B$4,Countries!$B$5:$B$434,$B$5,Countries!$C$5:$C$434,$B$6,Countries!$D$5:$D$434,$A34,Countries!$AD$5:$AD$434,"&gt;0"))/IF($B$6="Total",SUMIFS(Countries!$AD$5:$AD$434,Countries!$A$5:$A$434,$B$4,Countries!$B$5:$B$434,$B$5,Countries!$D$5:$D$434,$A34,Countries!$AK$5:$AK$434,"&gt;0"),SUMIFS(Countries!$AD$5:$AD$434,Countries!$A$5:$A$434,$B$4,Countries!$B$5:$B$434,$B$5,Countries!$C$5:$C$434,$B$6,Countries!$D$5:$D$434,$A34,Countries!$AK$5:$AK$434,"&gt;0")))</f>
        <v/>
      </c>
      <c r="AM34" s="43">
        <f>IF(IF($B$6="Total",SUMIFS(Countries!$AE$5:$AE$434,Countries!$A$5:$A$434,$B$4,Countries!$B$5:$B$434,$B$5,Countries!$D$5:$D$434,$A34,Countries!$AL$5:$AL$434,"&gt;0"),SUMIFS(Countries!$AE$5:$AE$434,Countries!$A$5:$A$434,$B$4,Countries!$B$5:$B$434,$B$5,Countries!$C$5:$C$434,$B$6,Countries!$D$5:$D$434,$A34,Countries!$AL$5:$AL$434,"&gt;0"))=0,"",IF($B$6="Total",SUMIFS(Countries!$AL$5:$AL$434,Countries!$A$5:$A$434,$B$4,Countries!$B$5:$B$434,$B$5,Countries!$D$5:$D$434,$A34,Countries!$AE$5:$AE$434,"&gt;0"),SUMIFS(Countries!$AL$5:$AL$434,Countries!$A$5:$A$434,$B$4,Countries!$B$5:$B$434,$B$5,Countries!$C$5:$C$434,$B$6,Countries!$D$5:$D$434,$A34,Countries!$AE$5:$AE$434,"&gt;0"))/IF($B$6="Total",SUMIFS(Countries!$AE$5:$AE$434,Countries!$A$5:$A$434,$B$4,Countries!$B$5:$B$434,$B$5,Countries!$D$5:$D$434,$A34,Countries!$AL$5:$AL$434,"&gt;0"),SUMIFS(Countries!$AE$5:$AE$434,Countries!$A$5:$A$434,$B$4,Countries!$B$5:$B$434,$B$5,Countries!$C$5:$C$434,$B$6,Countries!$D$5:$D$434,$A34,Countries!$AL$5:$AL$434,"&gt;0")))</f>
        <v/>
      </c>
      <c r="AN34" s="44">
        <f>IF(OR(AM34="",AL34=""),"",(AM34-AL34)*100)</f>
        <v/>
      </c>
      <c r="AO34" s="41">
        <f>IF(IF($B$6="Total",SUMIFS(Countries!$AR$5:$AR$434,Countries!$A$5:$A$434,$B$4,Countries!$B$5:$B$434,$B$5,Countries!$D$5:$D$434,$A34),SUMIFS(Countries!$AR$5:$AR$434,Countries!$A$5:$A$434,$B$4,Countries!$B$5:$B$434,$B$5,Countries!$C$5:$C$434,$B$6,Countries!$D$5:$D$434,$A34))=0,"",IF($B$6="Total",SUMIFS(Countries!$AR$5:$AR$434,Countries!$A$5:$A$434,$B$4,Countries!$B$5:$B$434,$B$5,Countries!$D$5:$D$434,$A34),SUMIFS(Countries!$AR$5:$AR$434,Countries!$A$5:$A$434,$B$4,Countries!$B$5:$B$434,$B$5,Countries!$C$5:$C$434,$B$6,Countries!$D$5:$D$434,$A34)))</f>
        <v/>
      </c>
      <c r="AP34" s="41">
        <f>IF(IF($B$6="Total",SUMIFS(Countries!$AS$5:$AS$434,Countries!$A$5:$A$434,$B$4,Countries!$B$5:$B$434,$B$5,Countries!$D$5:$D$434,$A34),SUMIFS(Countries!$AS$5:$AS$434,Countries!$A$5:$A$434,$B$4,Countries!$B$5:$B$434,$B$5,Countries!$C$5:$C$434,$B$6,Countries!$D$5:$D$434,$A34))=0,"",IF($B$6="Total",SUMIFS(Countries!$AS$5:$AS$434,Countries!$A$5:$A$434,$B$4,Countries!$B$5:$B$434,$B$5,Countries!$D$5:$D$434,$A34),SUMIFS(Countries!$AS$5:$AS$434,Countries!$A$5:$A$434,$B$4,Countries!$B$5:$B$434,$B$5,Countries!$C$5:$C$434,$B$6,Countries!$D$5:$D$434,$A34)))</f>
        <v/>
      </c>
      <c r="AQ34" s="69">
        <f>IF(OR(AP34="",AO34="",AO34=0,AP34=0),"",AP34-AO34)</f>
        <v/>
      </c>
      <c r="AR34" s="42">
        <f>IF(OR(AP34="",AO34="",AO34=0,AP34=0),"",AP34/AO34-1)</f>
        <v/>
      </c>
      <c r="AS34" s="43">
        <f>IF(IF($B$6="Total",SUMIFS(Countries!$AK$5:$AK$434,Countries!$A$5:$A$434,$B$4,Countries!$B$5:$B$434,$B$5,Countries!$D$5:$D$434,$A34,Countries!$AR$5:$AR$434,"&gt;0"),SUMIFS(Countries!$AK$5:$AK$434,Countries!$A$5:$A$434,$B$4,Countries!$B$5:$B$434,$B$5,Countries!$C$5:$C$434,$B$6,Countries!$D$5:$D$434,$A34,Countries!$AR$5:$AR$434,"&gt;0"))=0,"",IF($B$6="Total",SUMIFS(Countries!$AR$5:$AR$434,Countries!$A$5:$A$434,$B$4,Countries!$B$5:$B$434,$B$5,Countries!$D$5:$D$434,$A34,Countries!$AK$5:$AK$434,"&gt;0"),SUMIFS(Countries!$AR$5:$AR$434,Countries!$A$5:$A$434,$B$4,Countries!$B$5:$B$434,$B$5,Countries!$C$5:$C$434,$B$6,Countries!$D$5:$D$434,$A34,Countries!$AK$5:$AK$434,"&gt;0"))/IF($B$6="Total",SUMIFS(Countries!$AK$5:$AK$434,Countries!$A$5:$A$434,$B$4,Countries!$B$5:$B$434,$B$5,Countries!$D$5:$D$434,$A34,Countries!$AR$5:$AR$434,"&gt;0"),SUMIFS(Countries!$AK$5:$AK$434,Countries!$A$5:$A$434,$B$4,Countries!$B$5:$B$434,$B$5,Countries!$C$5:$C$434,$B$6,Countries!$D$5:$D$434,$A34,Countries!$AR$5:$AR$434,"&gt;0")))</f>
        <v/>
      </c>
      <c r="AT34" s="43">
        <f>IF(IF($B$6="Total",SUMIFS(Countries!$AL$5:$AL$434,Countries!$A$5:$A$434,$B$4,Countries!$B$5:$B$434,$B$5,Countries!$D$5:$D$434,$A34,Countries!$AS$5:$AS$434,"&gt;0"),SUMIFS(Countries!$AL$5:$AL$434,Countries!$A$5:$A$434,$B$4,Countries!$B$5:$B$434,$B$5,Countries!$C$5:$C$434,$B$6,Countries!$D$5:$D$434,$A34,Countries!$AS$5:$AS$434,"&gt;0"))=0,"",IF($B$6="Total",SUMIFS(Countries!$AS$5:$AS$434,Countries!$A$5:$A$434,$B$4,Countries!$B$5:$B$434,$B$5,Countries!$D$5:$D$434,$A34,Countries!$AL$5:$AL$434,"&gt;0"),SUMIFS(Countries!$AS$5:$AS$434,Countries!$A$5:$A$434,$B$4,Countries!$B$5:$B$434,$B$5,Countries!$C$5:$C$434,$B$6,Countries!$D$5:$D$434,$A34,Countries!$AL$5:$AL$434,"&gt;0"))/IF($B$6="Total",SUMIFS(Countries!$AL$5:$AL$434,Countries!$A$5:$A$434,$B$4,Countries!$B$5:$B$434,$B$5,Countries!$D$5:$D$434,$A34,Countries!$AS$5:$AS$434,"&gt;0"),SUMIFS(Countries!$AL$5:$AL$434,Countries!$A$5:$A$434,$B$4,Countries!$B$5:$B$434,$B$5,Countries!$C$5:$C$434,$B$6,Countries!$D$5:$D$434,$A34,Countries!$AS$5:$AS$434,"&gt;0")))</f>
        <v/>
      </c>
      <c r="AU34" s="44">
        <f>IF(OR(AT34="",AS34=""),"",(AT34-AS34)*100)</f>
        <v/>
      </c>
      <c r="AV34" s="45">
        <f>IF(IF($B$6="Total",SUMIFS(Countries!$P$5:$P$434,Countries!$A$5:$A$434,$B$4,Countries!$B$5:$B$434,$B$5,Countries!$D$5:$D$434,$A34,Countries!$AR$5:$AR$434,"&gt;0"),SUMIFS(Countries!$P$5:$P$434,Countries!$A$5:$A$434,$B$4,Countries!$B$5:$B$434,$B$5,Countries!$C$5:$C$434,$B$6,Countries!$D$5:$D$434,$A34,Countries!$AR$5:$AR$434,"&gt;0"))=0,"",IF($B$6="Total",SUMIFS(Countries!$AR$5:$AR$434,Countries!$A$5:$A$434,$B$4,Countries!$B$5:$B$434,$B$5,Countries!$D$5:$D$434,$A34,Countries!$P$5:$P$434,"&gt;0"),SUMIFS(Countries!$AR$5:$AR$434,Countries!$A$5:$A$434,$B$4,Countries!$B$5:$B$434,$B$5,Countries!$C$5:$C$434,$B$6,Countries!$D$5:$D$434,$A34,Countries!$P$5:$P$434,"&gt;0"))/IF($B$6="Total",SUMIFS(Countries!$P$5:$P$434,Countries!$A$5:$A$434,$B$4,Countries!$B$5:$B$434,$B$5,Countries!$D$5:$D$434,$A34,Countries!$AR$5:$AR$434,"&gt;0"),SUMIFS(Countries!$P$5:$P$434,Countries!$A$5:$A$434,$B$4,Countries!$B$5:$B$434,$B$5,Countries!$C$5:$C$434,$B$6,Countries!$D$5:$D$434,$A34,Countries!$AR$5:$AR$434,"&gt;0")))</f>
        <v/>
      </c>
      <c r="AW34" s="45">
        <f>IF(IF($B$6="Total",SUMIFS(Countries!$Q$5:$Q$434,Countries!$A$5:$A$434,$B$4,Countries!$B$5:$B$434,$B$5,Countries!$D$5:$D$434,$A34,Countries!$AS$5:$AS$434,"&gt;0"),SUMIFS(Countries!$Q$5:$Q$434,Countries!$A$5:$A$434,$B$4,Countries!$B$5:$B$434,$B$5,Countries!$C$5:$C$434,$B$6,Countries!$D$5:$D$434,$A34,Countries!$AS$5:$AS$434,"&gt;0"))=0,"",IF($B$6="Total",SUMIFS(Countries!$AS$5:$AS$434,Countries!$A$5:$A$434,$B$4,Countries!$B$5:$B$434,$B$5,Countries!$D$5:$D$434,$A34,Countries!$Q$5:$Q$434,"&gt;0"),SUMIFS(Countries!$AS$5:$AS$434,Countries!$A$5:$A$434,$B$4,Countries!$B$5:$B$434,$B$5,Countries!$C$5:$C$434,$B$6,Countries!$D$5:$D$434,$A34,Countries!$Q$5:$Q$434,"&gt;0"))/IF($B$6="Total",SUMIFS(Countries!$Q$5:$Q$434,Countries!$A$5:$A$434,$B$4,Countries!$B$5:$B$434,$B$5,Countries!$D$5:$D$434,$A34,Countries!$AS$5:$AS$434,"&gt;0"),SUMIFS(Countries!$Q$5:$Q$434,Countries!$A$5:$A$434,$B$4,Countries!$B$5:$B$434,$B$5,Countries!$C$5:$C$434,$B$6,Countries!$D$5:$D$434,$A34,Countries!$AS$5:$AS$434,"&gt;0")))</f>
        <v/>
      </c>
      <c r="AX34" s="44">
        <f>IF(OR(AW34="",AV34=""),"",(AW34-AV34)*100)</f>
        <v/>
      </c>
      <c r="AY34" s="45">
        <f>IF(IF($B$6="Total",SUMIFS(Countries!$E$5:$E$434,Countries!$A$5:$A$434,$B$4,Countries!$B$5:$B$434,$B$5,Countries!$D$5:$D$434,$A34,Countries!$AR$5:$AR$434,"&gt;0"),SUMIFS(Countries!$E$5:$E$434,Countries!$A$5:$A$434,$B$4,Countries!$B$5:$B$434,$B$5,Countries!$C$5:$C$434,$B$6,Countries!$D$5:$D$434,$A34,Countries!$AR$5:$AR$434,"&gt;0"))=0,"",IF($B$6="Total",SUMIFS(Countries!$AR$5:$AR$434,Countries!$A$5:$A$434,$B$4,Countries!$B$5:$B$434,$B$5,Countries!$D$5:$D$434,$A34,Countries!$E$5:$E$434,"&gt;0"),SUMIFS(Countries!$AR$5:$AR$434,Countries!$A$5:$A$434,$B$4,Countries!$B$5:$B$434,$B$5,Countries!$C$5:$C$434,$B$6,Countries!$D$5:$D$434,$A34,Countries!$E$5:$E$434,"&gt;0"))/IF($B$6="Total",SUMIFS(Countries!$E$5:$E$434,Countries!$A$5:$A$434,$B$4,Countries!$B$5:$B$434,$B$5,Countries!$D$5:$D$434,$A34,Countries!$AR$5:$AR$434,"&gt;0"),SUMIFS(Countries!$E$5:$E$434,Countries!$A$5:$A$434,$B$4,Countries!$B$5:$B$434,$B$5,Countries!$C$5:$C$434,$B$6,Countries!$D$5:$D$434,$A34,Countries!$AR$5:$AR$434,"&gt;0")))</f>
        <v/>
      </c>
      <c r="AZ34" s="45">
        <f>IF(IF($B$6="Total",SUMIFS(Countries!$F$5:$F$434,Countries!$A$5:$A$434,$B$4,Countries!$B$5:$B$434,$B$5,Countries!$D$5:$D$434,$A34,Countries!$AS$5:$AS$434,"&gt;0"),SUMIFS(Countries!$F$5:$F$434,Countries!$A$5:$A$434,$B$4,Countries!$B$5:$B$434,$B$5,Countries!$C$5:$C$434,$B$6,Countries!$D$5:$D$434,$A34,Countries!$AS$5:$AS$434,"&gt;0"))=0,"",IF($B$6="Total",SUMIFS(Countries!$AS$5:$AS$434,Countries!$A$5:$A$434,$B$4,Countries!$B$5:$B$434,$B$5,Countries!$D$5:$D$434,$A34,Countries!$F$5:$F$434,"&gt;0"),SUMIFS(Countries!$AS$5:$AS$434,Countries!$A$5:$A$434,$B$4,Countries!$B$5:$B$434,$B$5,Countries!$C$5:$C$434,$B$6,Countries!$D$5:$D$434,$A34,Countries!$F$5:$F$434,"&gt;0"))/IF($B$6="Total",SUMIFS(Countries!$F$5:$F$434,Countries!$A$5:$A$434,$B$4,Countries!$B$5:$B$434,$B$5,Countries!$D$5:$D$434,$A34,Countries!$AS$5:$AS$434,"&gt;0"),SUMIFS(Countries!$F$5:$F$434,Countries!$A$5:$A$434,$B$4,Countries!$B$5:$B$434,$B$5,Countries!$C$5:$C$434,$B$6,Countries!$D$5:$D$434,$A34,Countries!$AS$5:$AS$434,"&gt;0")))</f>
        <v/>
      </c>
      <c r="BA34" s="44">
        <f>IF(OR(AZ34="",AY34=""),"",(AZ34-AY34)*100)</f>
        <v/>
      </c>
      <c r="BB34" s="40">
        <f>IF(AND(IF($B$6="Total",COUNTIFS(Countries!$A$5:$A$434,$B$4,Countries!$B$5:$B$434,$B$5,Countries!$D$5:$D$434,$A34,Countries!$F$5:$F$434,"&gt;0"),COUNTIFS(Countries!$A$5:$A$434,$B$4,Countries!$B$5:$B$434,$B$5,Countries!$C$5:$C$434,$B$6,Countries!$D$5:$D$434,$A34,Countries!$F$5:$F$434,"&gt;0"))=0,IF($B$6="Total",COUNTIFS(Countries!$A$5:$A$434,$B$4,Countries!$B$5:$B$434,$B$5,Countries!$D$5:$D$434,$A34,Countries!$E$5:$E$434,"&gt;0"),COUNTIFS(Countries!$A$5:$A$434,$B$4,Countries!$B$5:$B$434,$B$5,Countries!$C$5:$C$434,$B$6,Countries!$D$5:$D$434,$A34,Countries!$E$5:$E$434,"&gt;0"))=0),"",IF(IF($B$6="Total",COUNTIFS(Countries!$A$5:$A$434,$B$4,Countries!$B$5:$B$434,$B$5,Countries!$D$5:$D$434,$A34,Countries!$F$5:$F$434,"&gt;0"),COUNTIFS(Countries!$A$5:$A$434,$B$4,Countries!$B$5:$B$434,$B$5,Countries!$C$5:$C$434,$B$6,Countries!$D$5:$D$434,$A34,Countries!$F$5:$F$434,"&gt;0"))=0,"1-23Aug25 rows only",IF(IF($B$6="Total",COUNTIFS(Countries!$A$5:$A$434,$B$4,Countries!$B$5:$B$434,$B$5,Countries!$D$5:$D$434,$A34,Countries!$E$5:$E$434,"&gt;0"),COUNTIFS(Countries!$A$5:$A$434,$B$4,Countries!$B$5:$B$434,$B$5,Countries!$C$5:$C$434,$B$6,Countries!$D$5:$D$434,$A34,Countries!$E$5:$E$434,"&gt;0"))=0,"1-23Aug26 rows only",IF(IF($B$6="Total",COUNTIFS(Countries!$A$5:$A$434,$B$4,Countries!$B$5:$B$434,$B$5,Countries!$D$5:$D$434,$A34,Countries!$F$5:$F$434,"&gt;0"),COUNTIFS(Countries!$A$5:$A$434,$B$4,Countries!$B$5:$B$434,$B$5,Countries!$C$5:$C$434,$B$6,Countries!$D$5:$D$434,$A34,Countries!$F$5:$F$434,"&gt;0"))=IF($B$6="Total",COUNTIFS(Countries!$A$5:$A$434,$B$4,Countries!$B$5:$B$434,$B$5,Countries!$D$5:$D$434,$A34,Countries!$E$5:$E$434,"&gt;0"),COUNTIFS(Countries!$A$5:$A$434,$B$4,Countries!$B$5:$B$434,$B$5,Countries!$C$5:$C$434,$B$6,Countries!$D$5:$D$434,$A34,Countries!$E$5:$E$434,"&gt;0")),"Like-for-like","Partial — coverage differs"))))</f>
        <v/>
      </c>
    </row>
    <row r="35">
      <c r="A35" s="40" t="inlineStr">
        <is>
          <t>Brazil</t>
        </is>
      </c>
      <c r="B35" s="41">
        <f>IF(IF($B$6="Total",SUMIFS(Countries!$E$5:$E$434,Countries!$A$5:$A$434,$B$4,Countries!$B$5:$B$434,$B$5,Countries!$D$5:$D$434,$A35),SUMIFS(Countries!$E$5:$E$434,Countries!$A$5:$A$434,$B$4,Countries!$B$5:$B$434,$B$5,Countries!$C$5:$C$434,$B$6,Countries!$D$5:$D$434,$A35))=0,"",IF($B$6="Total",SUMIFS(Countries!$E$5:$E$434,Countries!$A$5:$A$434,$B$4,Countries!$B$5:$B$434,$B$5,Countries!$D$5:$D$434,$A35),SUMIFS(Countries!$E$5:$E$434,Countries!$A$5:$A$434,$B$4,Countries!$B$5:$B$434,$B$5,Countries!$C$5:$C$434,$B$6,Countries!$D$5:$D$434,$A35)))</f>
        <v/>
      </c>
      <c r="C35" s="41">
        <f>IF(IF($B$6="Total",SUMIFS(Countries!$F$5:$F$434,Countries!$A$5:$A$434,$B$4,Countries!$B$5:$B$434,$B$5,Countries!$D$5:$D$434,$A35),SUMIFS(Countries!$F$5:$F$434,Countries!$A$5:$A$434,$B$4,Countries!$B$5:$B$434,$B$5,Countries!$C$5:$C$434,$B$6,Countries!$D$5:$D$434,$A35))=0,"",IF($B$6="Total",SUMIFS(Countries!$F$5:$F$434,Countries!$A$5:$A$434,$B$4,Countries!$B$5:$B$434,$B$5,Countries!$D$5:$D$434,$A35),SUMIFS(Countries!$F$5:$F$434,Countries!$A$5:$A$434,$B$4,Countries!$B$5:$B$434,$B$5,Countries!$C$5:$C$434,$B$6,Countries!$D$5:$D$434,$A35)))</f>
        <v/>
      </c>
      <c r="D35" s="69">
        <f>IF(OR(C35="",B35="",B35=0,C35=0),"",C35-B35)</f>
        <v/>
      </c>
      <c r="E35" s="42">
        <f>IF(OR(C35="",B35="",B35=0,C35=0),"",C35/B35-1)</f>
        <v/>
      </c>
      <c r="F35" s="41">
        <f>IF(IF($B$6="Total",SUMIFS(Countries!$I$5:$I$434,Countries!$A$5:$A$434,$B$4,Countries!$B$5:$B$434,$B$5,Countries!$D$5:$D$434,$A35),SUMIFS(Countries!$I$5:$I$434,Countries!$A$5:$A$434,$B$4,Countries!$B$5:$B$434,$B$5,Countries!$C$5:$C$434,$B$6,Countries!$D$5:$D$434,$A35))=0,"",IF($B$6="Total",SUMIFS(Countries!$I$5:$I$434,Countries!$A$5:$A$434,$B$4,Countries!$B$5:$B$434,$B$5,Countries!$D$5:$D$434,$A35),SUMIFS(Countries!$I$5:$I$434,Countries!$A$5:$A$434,$B$4,Countries!$B$5:$B$434,$B$5,Countries!$C$5:$C$434,$B$6,Countries!$D$5:$D$434,$A35)))</f>
        <v/>
      </c>
      <c r="G35" s="41">
        <f>IF(IF($B$6="Total",SUMIFS(Countries!$J$5:$J$434,Countries!$A$5:$A$434,$B$4,Countries!$B$5:$B$434,$B$5,Countries!$D$5:$D$434,$A35),SUMIFS(Countries!$J$5:$J$434,Countries!$A$5:$A$434,$B$4,Countries!$B$5:$B$434,$B$5,Countries!$C$5:$C$434,$B$6,Countries!$D$5:$D$434,$A35))=0,"",IF($B$6="Total",SUMIFS(Countries!$J$5:$J$434,Countries!$A$5:$A$434,$B$4,Countries!$B$5:$B$434,$B$5,Countries!$D$5:$D$434,$A35),SUMIFS(Countries!$J$5:$J$434,Countries!$A$5:$A$434,$B$4,Countries!$B$5:$B$434,$B$5,Countries!$C$5:$C$434,$B$6,Countries!$D$5:$D$434,$A35)))</f>
        <v/>
      </c>
      <c r="H35" s="69">
        <f>IF(OR(G35="",F35="",F35=0,G35=0),"",G35-F35)</f>
        <v/>
      </c>
      <c r="I35" s="42">
        <f>IF(OR(G35="",F35="",F35=0,G35=0),"",G35/F35-1)</f>
        <v/>
      </c>
      <c r="J35" s="43">
        <f>IF(IF($B$6="Total",SUMIFS(Countries!$E$5:$E$434,Countries!$A$5:$A$434,$B$4,Countries!$B$5:$B$434,$B$5,Countries!$D$5:$D$434,$A35,Countries!$I$5:$I$434,"&gt;0"),SUMIFS(Countries!$E$5:$E$434,Countries!$A$5:$A$434,$B$4,Countries!$B$5:$B$434,$B$5,Countries!$C$5:$C$434,$B$6,Countries!$D$5:$D$434,$A35,Countries!$I$5:$I$434,"&gt;0"))=0,"",IF($B$6="Total",SUMIFS(Countries!$I$5:$I$434,Countries!$A$5:$A$434,$B$4,Countries!$B$5:$B$434,$B$5,Countries!$D$5:$D$434,$A35,Countries!$E$5:$E$434,"&gt;0"),SUMIFS(Countries!$I$5:$I$434,Countries!$A$5:$A$434,$B$4,Countries!$B$5:$B$434,$B$5,Countries!$C$5:$C$434,$B$6,Countries!$D$5:$D$434,$A35,Countries!$E$5:$E$434,"&gt;0"))/IF($B$6="Total",SUMIFS(Countries!$E$5:$E$434,Countries!$A$5:$A$434,$B$4,Countries!$B$5:$B$434,$B$5,Countries!$D$5:$D$434,$A35,Countries!$I$5:$I$434,"&gt;0"),SUMIFS(Countries!$E$5:$E$434,Countries!$A$5:$A$434,$B$4,Countries!$B$5:$B$434,$B$5,Countries!$C$5:$C$434,$B$6,Countries!$D$5:$D$434,$A35,Countries!$I$5:$I$434,"&gt;0")))</f>
        <v/>
      </c>
      <c r="K35" s="43">
        <f>IF(IF($B$6="Total",SUMIFS(Countries!$F$5:$F$434,Countries!$A$5:$A$434,$B$4,Countries!$B$5:$B$434,$B$5,Countries!$D$5:$D$434,$A35,Countries!$J$5:$J$434,"&gt;0"),SUMIFS(Countries!$F$5:$F$434,Countries!$A$5:$A$434,$B$4,Countries!$B$5:$B$434,$B$5,Countries!$C$5:$C$434,$B$6,Countries!$D$5:$D$434,$A35,Countries!$J$5:$J$434,"&gt;0"))=0,"",IF($B$6="Total",SUMIFS(Countries!$J$5:$J$434,Countries!$A$5:$A$434,$B$4,Countries!$B$5:$B$434,$B$5,Countries!$D$5:$D$434,$A35,Countries!$F$5:$F$434,"&gt;0"),SUMIFS(Countries!$J$5:$J$434,Countries!$A$5:$A$434,$B$4,Countries!$B$5:$B$434,$B$5,Countries!$C$5:$C$434,$B$6,Countries!$D$5:$D$434,$A35,Countries!$F$5:$F$434,"&gt;0"))/IF($B$6="Total",SUMIFS(Countries!$F$5:$F$434,Countries!$A$5:$A$434,$B$4,Countries!$B$5:$B$434,$B$5,Countries!$D$5:$D$434,$A35,Countries!$J$5:$J$434,"&gt;0"),SUMIFS(Countries!$F$5:$F$434,Countries!$A$5:$A$434,$B$4,Countries!$B$5:$B$434,$B$5,Countries!$C$5:$C$434,$B$6,Countries!$D$5:$D$434,$A35,Countries!$J$5:$J$434,"&gt;0")))</f>
        <v/>
      </c>
      <c r="L35" s="44">
        <f>IF(OR(K35="",J35=""),"",(K35-J35)*100)</f>
        <v/>
      </c>
      <c r="M35" s="41">
        <f>IF(IF($B$6="Total",SUMIFS(Countries!$P$5:$P$434,Countries!$A$5:$A$434,$B$4,Countries!$B$5:$B$434,$B$5,Countries!$D$5:$D$434,$A35),SUMIFS(Countries!$P$5:$P$434,Countries!$A$5:$A$434,$B$4,Countries!$B$5:$B$434,$B$5,Countries!$C$5:$C$434,$B$6,Countries!$D$5:$D$434,$A35))=0,"",IF($B$6="Total",SUMIFS(Countries!$P$5:$P$434,Countries!$A$5:$A$434,$B$4,Countries!$B$5:$B$434,$B$5,Countries!$D$5:$D$434,$A35),SUMIFS(Countries!$P$5:$P$434,Countries!$A$5:$A$434,$B$4,Countries!$B$5:$B$434,$B$5,Countries!$C$5:$C$434,$B$6,Countries!$D$5:$D$434,$A35)))</f>
        <v/>
      </c>
      <c r="N35" s="41">
        <f>IF(IF($B$6="Total",SUMIFS(Countries!$Q$5:$Q$434,Countries!$A$5:$A$434,$B$4,Countries!$B$5:$B$434,$B$5,Countries!$D$5:$D$434,$A35),SUMIFS(Countries!$Q$5:$Q$434,Countries!$A$5:$A$434,$B$4,Countries!$B$5:$B$434,$B$5,Countries!$C$5:$C$434,$B$6,Countries!$D$5:$D$434,$A35))=0,"",IF($B$6="Total",SUMIFS(Countries!$Q$5:$Q$434,Countries!$A$5:$A$434,$B$4,Countries!$B$5:$B$434,$B$5,Countries!$D$5:$D$434,$A35),SUMIFS(Countries!$Q$5:$Q$434,Countries!$A$5:$A$434,$B$4,Countries!$B$5:$B$434,$B$5,Countries!$C$5:$C$434,$B$6,Countries!$D$5:$D$434,$A35)))</f>
        <v/>
      </c>
      <c r="O35" s="69">
        <f>IF(OR(N35="",M35="",M35=0,N35=0),"",N35-M35)</f>
        <v/>
      </c>
      <c r="P35" s="42">
        <f>IF(OR(N35="",M35="",M35=0,N35=0),"",N35/M35-1)</f>
        <v/>
      </c>
      <c r="Q35" s="43">
        <f>IF(IF($B$6="Total",SUMIFS(Countries!$E$5:$E$434,Countries!$A$5:$A$434,$B$4,Countries!$B$5:$B$434,$B$5,Countries!$D$5:$D$434,$A35,Countries!$P$5:$P$434,"&gt;0"),SUMIFS(Countries!$E$5:$E$434,Countries!$A$5:$A$434,$B$4,Countries!$B$5:$B$434,$B$5,Countries!$C$5:$C$434,$B$6,Countries!$D$5:$D$434,$A35,Countries!$P$5:$P$434,"&gt;0"))=0,"",IF($B$6="Total",SUMIFS(Countries!$P$5:$P$434,Countries!$A$5:$A$434,$B$4,Countries!$B$5:$B$434,$B$5,Countries!$D$5:$D$434,$A35,Countries!$E$5:$E$434,"&gt;0"),SUMIFS(Countries!$P$5:$P$434,Countries!$A$5:$A$434,$B$4,Countries!$B$5:$B$434,$B$5,Countries!$C$5:$C$434,$B$6,Countries!$D$5:$D$434,$A35,Countries!$E$5:$E$434,"&gt;0"))/IF($B$6="Total",SUMIFS(Countries!$E$5:$E$434,Countries!$A$5:$A$434,$B$4,Countries!$B$5:$B$434,$B$5,Countries!$D$5:$D$434,$A35,Countries!$P$5:$P$434,"&gt;0"),SUMIFS(Countries!$E$5:$E$434,Countries!$A$5:$A$434,$B$4,Countries!$B$5:$B$434,$B$5,Countries!$C$5:$C$434,$B$6,Countries!$D$5:$D$434,$A35,Countries!$P$5:$P$434,"&gt;0")))</f>
        <v/>
      </c>
      <c r="R35" s="43">
        <f>IF(IF($B$6="Total",SUMIFS(Countries!$F$5:$F$434,Countries!$A$5:$A$434,$B$4,Countries!$B$5:$B$434,$B$5,Countries!$D$5:$D$434,$A35,Countries!$Q$5:$Q$434,"&gt;0"),SUMIFS(Countries!$F$5:$F$434,Countries!$A$5:$A$434,$B$4,Countries!$B$5:$B$434,$B$5,Countries!$C$5:$C$434,$B$6,Countries!$D$5:$D$434,$A35,Countries!$Q$5:$Q$434,"&gt;0"))=0,"",IF($B$6="Total",SUMIFS(Countries!$Q$5:$Q$434,Countries!$A$5:$A$434,$B$4,Countries!$B$5:$B$434,$B$5,Countries!$D$5:$D$434,$A35,Countries!$F$5:$F$434,"&gt;0"),SUMIFS(Countries!$Q$5:$Q$434,Countries!$A$5:$A$434,$B$4,Countries!$B$5:$B$434,$B$5,Countries!$C$5:$C$434,$B$6,Countries!$D$5:$D$434,$A35,Countries!$F$5:$F$434,"&gt;0"))/IF($B$6="Total",SUMIFS(Countries!$F$5:$F$434,Countries!$A$5:$A$434,$B$4,Countries!$B$5:$B$434,$B$5,Countries!$D$5:$D$434,$A35,Countries!$Q$5:$Q$434,"&gt;0"),SUMIFS(Countries!$F$5:$F$434,Countries!$A$5:$A$434,$B$4,Countries!$B$5:$B$434,$B$5,Countries!$C$5:$C$434,$B$6,Countries!$D$5:$D$434,$A35,Countries!$Q$5:$Q$434,"&gt;0")))</f>
        <v/>
      </c>
      <c r="S35" s="44">
        <f>IF(OR(R35="",Q35=""),"",(R35-Q35)*100)</f>
        <v/>
      </c>
      <c r="T35" s="41">
        <f>IF(IF($B$6="Total",SUMIFS(Countries!$W$5:$W$434,Countries!$A$5:$A$434,$B$4,Countries!$B$5:$B$434,$B$5,Countries!$D$5:$D$434,$A35),SUMIFS(Countries!$W$5:$W$434,Countries!$A$5:$A$434,$B$4,Countries!$B$5:$B$434,$B$5,Countries!$C$5:$C$434,$B$6,Countries!$D$5:$D$434,$A35))=0,"",IF($B$6="Total",SUMIFS(Countries!$W$5:$W$434,Countries!$A$5:$A$434,$B$4,Countries!$B$5:$B$434,$B$5,Countries!$D$5:$D$434,$A35),SUMIFS(Countries!$W$5:$W$434,Countries!$A$5:$A$434,$B$4,Countries!$B$5:$B$434,$B$5,Countries!$C$5:$C$434,$B$6,Countries!$D$5:$D$434,$A35)))</f>
        <v/>
      </c>
      <c r="U35" s="41">
        <f>IF(IF($B$6="Total",SUMIFS(Countries!$X$5:$X$434,Countries!$A$5:$A$434,$B$4,Countries!$B$5:$B$434,$B$5,Countries!$D$5:$D$434,$A35),SUMIFS(Countries!$X$5:$X$434,Countries!$A$5:$A$434,$B$4,Countries!$B$5:$B$434,$B$5,Countries!$C$5:$C$434,$B$6,Countries!$D$5:$D$434,$A35))=0,"",IF($B$6="Total",SUMIFS(Countries!$X$5:$X$434,Countries!$A$5:$A$434,$B$4,Countries!$B$5:$B$434,$B$5,Countries!$D$5:$D$434,$A35),SUMIFS(Countries!$X$5:$X$434,Countries!$A$5:$A$434,$B$4,Countries!$B$5:$B$434,$B$5,Countries!$C$5:$C$434,$B$6,Countries!$D$5:$D$434,$A35)))</f>
        <v/>
      </c>
      <c r="V35" s="69">
        <f>IF(OR(U35="",T35="",T35=0,U35=0),"",U35-T35)</f>
        <v/>
      </c>
      <c r="W35" s="42">
        <f>IF(OR(U35="",T35="",T35=0,U35=0),"",U35/T35-1)</f>
        <v/>
      </c>
      <c r="X35" s="43">
        <f>IF(IF($B$6="Total",SUMIFS(Countries!$P$5:$P$434,Countries!$A$5:$A$434,$B$4,Countries!$B$5:$B$434,$B$5,Countries!$D$5:$D$434,$A35,Countries!$W$5:$W$434,"&gt;0"),SUMIFS(Countries!$P$5:$P$434,Countries!$A$5:$A$434,$B$4,Countries!$B$5:$B$434,$B$5,Countries!$C$5:$C$434,$B$6,Countries!$D$5:$D$434,$A35,Countries!$W$5:$W$434,"&gt;0"))=0,"",IF($B$6="Total",SUMIFS(Countries!$W$5:$W$434,Countries!$A$5:$A$434,$B$4,Countries!$B$5:$B$434,$B$5,Countries!$D$5:$D$434,$A35,Countries!$P$5:$P$434,"&gt;0"),SUMIFS(Countries!$W$5:$W$434,Countries!$A$5:$A$434,$B$4,Countries!$B$5:$B$434,$B$5,Countries!$C$5:$C$434,$B$6,Countries!$D$5:$D$434,$A35,Countries!$P$5:$P$434,"&gt;0"))/IF($B$6="Total",SUMIFS(Countries!$P$5:$P$434,Countries!$A$5:$A$434,$B$4,Countries!$B$5:$B$434,$B$5,Countries!$D$5:$D$434,$A35,Countries!$W$5:$W$434,"&gt;0"),SUMIFS(Countries!$P$5:$P$434,Countries!$A$5:$A$434,$B$4,Countries!$B$5:$B$434,$B$5,Countries!$C$5:$C$434,$B$6,Countries!$D$5:$D$434,$A35,Countries!$W$5:$W$434,"&gt;0")))</f>
        <v/>
      </c>
      <c r="Y35" s="43">
        <f>IF(IF($B$6="Total",SUMIFS(Countries!$Q$5:$Q$434,Countries!$A$5:$A$434,$B$4,Countries!$B$5:$B$434,$B$5,Countries!$D$5:$D$434,$A35,Countries!$X$5:$X$434,"&gt;0"),SUMIFS(Countries!$Q$5:$Q$434,Countries!$A$5:$A$434,$B$4,Countries!$B$5:$B$434,$B$5,Countries!$C$5:$C$434,$B$6,Countries!$D$5:$D$434,$A35,Countries!$X$5:$X$434,"&gt;0"))=0,"",IF($B$6="Total",SUMIFS(Countries!$X$5:$X$434,Countries!$A$5:$A$434,$B$4,Countries!$B$5:$B$434,$B$5,Countries!$D$5:$D$434,$A35,Countries!$Q$5:$Q$434,"&gt;0"),SUMIFS(Countries!$X$5:$X$434,Countries!$A$5:$A$434,$B$4,Countries!$B$5:$B$434,$B$5,Countries!$C$5:$C$434,$B$6,Countries!$D$5:$D$434,$A35,Countries!$Q$5:$Q$434,"&gt;0"))/IF($B$6="Total",SUMIFS(Countries!$Q$5:$Q$434,Countries!$A$5:$A$434,$B$4,Countries!$B$5:$B$434,$B$5,Countries!$D$5:$D$434,$A35,Countries!$X$5:$X$434,"&gt;0"),SUMIFS(Countries!$Q$5:$Q$434,Countries!$A$5:$A$434,$B$4,Countries!$B$5:$B$434,$B$5,Countries!$C$5:$C$434,$B$6,Countries!$D$5:$D$434,$A35,Countries!$X$5:$X$434,"&gt;0")))</f>
        <v/>
      </c>
      <c r="Z35" s="44">
        <f>IF(OR(Y35="",X35=""),"",(Y35-X35)*100)</f>
        <v/>
      </c>
      <c r="AA35" s="41">
        <f>IF(IF($B$6="Total",SUMIFS(Countries!$AD$5:$AD$434,Countries!$A$5:$A$434,$B$4,Countries!$B$5:$B$434,$B$5,Countries!$D$5:$D$434,$A35),SUMIFS(Countries!$AD$5:$AD$434,Countries!$A$5:$A$434,$B$4,Countries!$B$5:$B$434,$B$5,Countries!$C$5:$C$434,$B$6,Countries!$D$5:$D$434,$A35))=0,"",IF($B$6="Total",SUMIFS(Countries!$AD$5:$AD$434,Countries!$A$5:$A$434,$B$4,Countries!$B$5:$B$434,$B$5,Countries!$D$5:$D$434,$A35),SUMIFS(Countries!$AD$5:$AD$434,Countries!$A$5:$A$434,$B$4,Countries!$B$5:$B$434,$B$5,Countries!$C$5:$C$434,$B$6,Countries!$D$5:$D$434,$A35)))</f>
        <v/>
      </c>
      <c r="AB35" s="41">
        <f>IF(IF($B$6="Total",SUMIFS(Countries!$AE$5:$AE$434,Countries!$A$5:$A$434,$B$4,Countries!$B$5:$B$434,$B$5,Countries!$D$5:$D$434,$A35),SUMIFS(Countries!$AE$5:$AE$434,Countries!$A$5:$A$434,$B$4,Countries!$B$5:$B$434,$B$5,Countries!$C$5:$C$434,$B$6,Countries!$D$5:$D$434,$A35))=0,"",IF($B$6="Total",SUMIFS(Countries!$AE$5:$AE$434,Countries!$A$5:$A$434,$B$4,Countries!$B$5:$B$434,$B$5,Countries!$D$5:$D$434,$A35),SUMIFS(Countries!$AE$5:$AE$434,Countries!$A$5:$A$434,$B$4,Countries!$B$5:$B$434,$B$5,Countries!$C$5:$C$434,$B$6,Countries!$D$5:$D$434,$A35)))</f>
        <v/>
      </c>
      <c r="AC35" s="69">
        <f>IF(OR(AB35="",AA35="",AA35=0,AB35=0),"",AB35-AA35)</f>
        <v/>
      </c>
      <c r="AD35" s="42">
        <f>IF(OR(AB35="",AA35="",AA35=0,AB35=0),"",AB35/AA35-1)</f>
        <v/>
      </c>
      <c r="AE35" s="43">
        <f>IF(IF($B$6="Total",SUMIFS(Countries!$W$5:$W$434,Countries!$A$5:$A$434,$B$4,Countries!$B$5:$B$434,$B$5,Countries!$D$5:$D$434,$A35,Countries!$AD$5:$AD$434,"&gt;0"),SUMIFS(Countries!$W$5:$W$434,Countries!$A$5:$A$434,$B$4,Countries!$B$5:$B$434,$B$5,Countries!$C$5:$C$434,$B$6,Countries!$D$5:$D$434,$A35,Countries!$AD$5:$AD$434,"&gt;0"))=0,"",IF($B$6="Total",SUMIFS(Countries!$AD$5:$AD$434,Countries!$A$5:$A$434,$B$4,Countries!$B$5:$B$434,$B$5,Countries!$D$5:$D$434,$A35,Countries!$W$5:$W$434,"&gt;0"),SUMIFS(Countries!$AD$5:$AD$434,Countries!$A$5:$A$434,$B$4,Countries!$B$5:$B$434,$B$5,Countries!$C$5:$C$434,$B$6,Countries!$D$5:$D$434,$A35,Countries!$W$5:$W$434,"&gt;0"))/IF($B$6="Total",SUMIFS(Countries!$W$5:$W$434,Countries!$A$5:$A$434,$B$4,Countries!$B$5:$B$434,$B$5,Countries!$D$5:$D$434,$A35,Countries!$AD$5:$AD$434,"&gt;0"),SUMIFS(Countries!$W$5:$W$434,Countries!$A$5:$A$434,$B$4,Countries!$B$5:$B$434,$B$5,Countries!$C$5:$C$434,$B$6,Countries!$D$5:$D$434,$A35,Countries!$AD$5:$AD$434,"&gt;0")))</f>
        <v/>
      </c>
      <c r="AF35" s="43">
        <f>IF(IF($B$6="Total",SUMIFS(Countries!$X$5:$X$434,Countries!$A$5:$A$434,$B$4,Countries!$B$5:$B$434,$B$5,Countries!$D$5:$D$434,$A35,Countries!$AE$5:$AE$434,"&gt;0"),SUMIFS(Countries!$X$5:$X$434,Countries!$A$5:$A$434,$B$4,Countries!$B$5:$B$434,$B$5,Countries!$C$5:$C$434,$B$6,Countries!$D$5:$D$434,$A35,Countries!$AE$5:$AE$434,"&gt;0"))=0,"",IF($B$6="Total",SUMIFS(Countries!$AE$5:$AE$434,Countries!$A$5:$A$434,$B$4,Countries!$B$5:$B$434,$B$5,Countries!$D$5:$D$434,$A35,Countries!$X$5:$X$434,"&gt;0"),SUMIFS(Countries!$AE$5:$AE$434,Countries!$A$5:$A$434,$B$4,Countries!$B$5:$B$434,$B$5,Countries!$C$5:$C$434,$B$6,Countries!$D$5:$D$434,$A35,Countries!$X$5:$X$434,"&gt;0"))/IF($B$6="Total",SUMIFS(Countries!$X$5:$X$434,Countries!$A$5:$A$434,$B$4,Countries!$B$5:$B$434,$B$5,Countries!$D$5:$D$434,$A35,Countries!$AE$5:$AE$434,"&gt;0"),SUMIFS(Countries!$X$5:$X$434,Countries!$A$5:$A$434,$B$4,Countries!$B$5:$B$434,$B$5,Countries!$C$5:$C$434,$B$6,Countries!$D$5:$D$434,$A35,Countries!$AE$5:$AE$434,"&gt;0")))</f>
        <v/>
      </c>
      <c r="AG35" s="44">
        <f>IF(OR(AF35="",AE35=""),"",(AF35-AE35)*100)</f>
        <v/>
      </c>
      <c r="AH35" s="41">
        <f>IF(IF($B$6="Total",SUMIFS(Countries!$AK$5:$AK$434,Countries!$A$5:$A$434,$B$4,Countries!$B$5:$B$434,$B$5,Countries!$D$5:$D$434,$A35),SUMIFS(Countries!$AK$5:$AK$434,Countries!$A$5:$A$434,$B$4,Countries!$B$5:$B$434,$B$5,Countries!$C$5:$C$434,$B$6,Countries!$D$5:$D$434,$A35))=0,"",IF($B$6="Total",SUMIFS(Countries!$AK$5:$AK$434,Countries!$A$5:$A$434,$B$4,Countries!$B$5:$B$434,$B$5,Countries!$D$5:$D$434,$A35),SUMIFS(Countries!$AK$5:$AK$434,Countries!$A$5:$A$434,$B$4,Countries!$B$5:$B$434,$B$5,Countries!$C$5:$C$434,$B$6,Countries!$D$5:$D$434,$A35)))</f>
        <v/>
      </c>
      <c r="AI35" s="41">
        <f>IF(IF($B$6="Total",SUMIFS(Countries!$AL$5:$AL$434,Countries!$A$5:$A$434,$B$4,Countries!$B$5:$B$434,$B$5,Countries!$D$5:$D$434,$A35),SUMIFS(Countries!$AL$5:$AL$434,Countries!$A$5:$A$434,$B$4,Countries!$B$5:$B$434,$B$5,Countries!$C$5:$C$434,$B$6,Countries!$D$5:$D$434,$A35))=0,"",IF($B$6="Total",SUMIFS(Countries!$AL$5:$AL$434,Countries!$A$5:$A$434,$B$4,Countries!$B$5:$B$434,$B$5,Countries!$D$5:$D$434,$A35),SUMIFS(Countries!$AL$5:$AL$434,Countries!$A$5:$A$434,$B$4,Countries!$B$5:$B$434,$B$5,Countries!$C$5:$C$434,$B$6,Countries!$D$5:$D$434,$A35)))</f>
        <v/>
      </c>
      <c r="AJ35" s="69">
        <f>IF(OR(AI35="",AH35="",AH35=0,AI35=0),"",AI35-AH35)</f>
        <v/>
      </c>
      <c r="AK35" s="42">
        <f>IF(OR(AI35="",AH35="",AH35=0,AI35=0),"",AI35/AH35-1)</f>
        <v/>
      </c>
      <c r="AL35" s="43">
        <f>IF(IF($B$6="Total",SUMIFS(Countries!$AD$5:$AD$434,Countries!$A$5:$A$434,$B$4,Countries!$B$5:$B$434,$B$5,Countries!$D$5:$D$434,$A35,Countries!$AK$5:$AK$434,"&gt;0"),SUMIFS(Countries!$AD$5:$AD$434,Countries!$A$5:$A$434,$B$4,Countries!$B$5:$B$434,$B$5,Countries!$C$5:$C$434,$B$6,Countries!$D$5:$D$434,$A35,Countries!$AK$5:$AK$434,"&gt;0"))=0,"",IF($B$6="Total",SUMIFS(Countries!$AK$5:$AK$434,Countries!$A$5:$A$434,$B$4,Countries!$B$5:$B$434,$B$5,Countries!$D$5:$D$434,$A35,Countries!$AD$5:$AD$434,"&gt;0"),SUMIFS(Countries!$AK$5:$AK$434,Countries!$A$5:$A$434,$B$4,Countries!$B$5:$B$434,$B$5,Countries!$C$5:$C$434,$B$6,Countries!$D$5:$D$434,$A35,Countries!$AD$5:$AD$434,"&gt;0"))/IF($B$6="Total",SUMIFS(Countries!$AD$5:$AD$434,Countries!$A$5:$A$434,$B$4,Countries!$B$5:$B$434,$B$5,Countries!$D$5:$D$434,$A35,Countries!$AK$5:$AK$434,"&gt;0"),SUMIFS(Countries!$AD$5:$AD$434,Countries!$A$5:$A$434,$B$4,Countries!$B$5:$B$434,$B$5,Countries!$C$5:$C$434,$B$6,Countries!$D$5:$D$434,$A35,Countries!$AK$5:$AK$434,"&gt;0")))</f>
        <v/>
      </c>
      <c r="AM35" s="43">
        <f>IF(IF($B$6="Total",SUMIFS(Countries!$AE$5:$AE$434,Countries!$A$5:$A$434,$B$4,Countries!$B$5:$B$434,$B$5,Countries!$D$5:$D$434,$A35,Countries!$AL$5:$AL$434,"&gt;0"),SUMIFS(Countries!$AE$5:$AE$434,Countries!$A$5:$A$434,$B$4,Countries!$B$5:$B$434,$B$5,Countries!$C$5:$C$434,$B$6,Countries!$D$5:$D$434,$A35,Countries!$AL$5:$AL$434,"&gt;0"))=0,"",IF($B$6="Total",SUMIFS(Countries!$AL$5:$AL$434,Countries!$A$5:$A$434,$B$4,Countries!$B$5:$B$434,$B$5,Countries!$D$5:$D$434,$A35,Countries!$AE$5:$AE$434,"&gt;0"),SUMIFS(Countries!$AL$5:$AL$434,Countries!$A$5:$A$434,$B$4,Countries!$B$5:$B$434,$B$5,Countries!$C$5:$C$434,$B$6,Countries!$D$5:$D$434,$A35,Countries!$AE$5:$AE$434,"&gt;0"))/IF($B$6="Total",SUMIFS(Countries!$AE$5:$AE$434,Countries!$A$5:$A$434,$B$4,Countries!$B$5:$B$434,$B$5,Countries!$D$5:$D$434,$A35,Countries!$AL$5:$AL$434,"&gt;0"),SUMIFS(Countries!$AE$5:$AE$434,Countries!$A$5:$A$434,$B$4,Countries!$B$5:$B$434,$B$5,Countries!$C$5:$C$434,$B$6,Countries!$D$5:$D$434,$A35,Countries!$AL$5:$AL$434,"&gt;0")))</f>
        <v/>
      </c>
      <c r="AN35" s="44">
        <f>IF(OR(AM35="",AL35=""),"",(AM35-AL35)*100)</f>
        <v/>
      </c>
      <c r="AO35" s="41">
        <f>IF(IF($B$6="Total",SUMIFS(Countries!$AR$5:$AR$434,Countries!$A$5:$A$434,$B$4,Countries!$B$5:$B$434,$B$5,Countries!$D$5:$D$434,$A35),SUMIFS(Countries!$AR$5:$AR$434,Countries!$A$5:$A$434,$B$4,Countries!$B$5:$B$434,$B$5,Countries!$C$5:$C$434,$B$6,Countries!$D$5:$D$434,$A35))=0,"",IF($B$6="Total",SUMIFS(Countries!$AR$5:$AR$434,Countries!$A$5:$A$434,$B$4,Countries!$B$5:$B$434,$B$5,Countries!$D$5:$D$434,$A35),SUMIFS(Countries!$AR$5:$AR$434,Countries!$A$5:$A$434,$B$4,Countries!$B$5:$B$434,$B$5,Countries!$C$5:$C$434,$B$6,Countries!$D$5:$D$434,$A35)))</f>
        <v/>
      </c>
      <c r="AP35" s="41">
        <f>IF(IF($B$6="Total",SUMIFS(Countries!$AS$5:$AS$434,Countries!$A$5:$A$434,$B$4,Countries!$B$5:$B$434,$B$5,Countries!$D$5:$D$434,$A35),SUMIFS(Countries!$AS$5:$AS$434,Countries!$A$5:$A$434,$B$4,Countries!$B$5:$B$434,$B$5,Countries!$C$5:$C$434,$B$6,Countries!$D$5:$D$434,$A35))=0,"",IF($B$6="Total",SUMIFS(Countries!$AS$5:$AS$434,Countries!$A$5:$A$434,$B$4,Countries!$B$5:$B$434,$B$5,Countries!$D$5:$D$434,$A35),SUMIFS(Countries!$AS$5:$AS$434,Countries!$A$5:$A$434,$B$4,Countries!$B$5:$B$434,$B$5,Countries!$C$5:$C$434,$B$6,Countries!$D$5:$D$434,$A35)))</f>
        <v/>
      </c>
      <c r="AQ35" s="69">
        <f>IF(OR(AP35="",AO35="",AO35=0,AP35=0),"",AP35-AO35)</f>
        <v/>
      </c>
      <c r="AR35" s="42">
        <f>IF(OR(AP35="",AO35="",AO35=0,AP35=0),"",AP35/AO35-1)</f>
        <v/>
      </c>
      <c r="AS35" s="43">
        <f>IF(IF($B$6="Total",SUMIFS(Countries!$AK$5:$AK$434,Countries!$A$5:$A$434,$B$4,Countries!$B$5:$B$434,$B$5,Countries!$D$5:$D$434,$A35,Countries!$AR$5:$AR$434,"&gt;0"),SUMIFS(Countries!$AK$5:$AK$434,Countries!$A$5:$A$434,$B$4,Countries!$B$5:$B$434,$B$5,Countries!$C$5:$C$434,$B$6,Countries!$D$5:$D$434,$A35,Countries!$AR$5:$AR$434,"&gt;0"))=0,"",IF($B$6="Total",SUMIFS(Countries!$AR$5:$AR$434,Countries!$A$5:$A$434,$B$4,Countries!$B$5:$B$434,$B$5,Countries!$D$5:$D$434,$A35,Countries!$AK$5:$AK$434,"&gt;0"),SUMIFS(Countries!$AR$5:$AR$434,Countries!$A$5:$A$434,$B$4,Countries!$B$5:$B$434,$B$5,Countries!$C$5:$C$434,$B$6,Countries!$D$5:$D$434,$A35,Countries!$AK$5:$AK$434,"&gt;0"))/IF($B$6="Total",SUMIFS(Countries!$AK$5:$AK$434,Countries!$A$5:$A$434,$B$4,Countries!$B$5:$B$434,$B$5,Countries!$D$5:$D$434,$A35,Countries!$AR$5:$AR$434,"&gt;0"),SUMIFS(Countries!$AK$5:$AK$434,Countries!$A$5:$A$434,$B$4,Countries!$B$5:$B$434,$B$5,Countries!$C$5:$C$434,$B$6,Countries!$D$5:$D$434,$A35,Countries!$AR$5:$AR$434,"&gt;0")))</f>
        <v/>
      </c>
      <c r="AT35" s="43">
        <f>IF(IF($B$6="Total",SUMIFS(Countries!$AL$5:$AL$434,Countries!$A$5:$A$434,$B$4,Countries!$B$5:$B$434,$B$5,Countries!$D$5:$D$434,$A35,Countries!$AS$5:$AS$434,"&gt;0"),SUMIFS(Countries!$AL$5:$AL$434,Countries!$A$5:$A$434,$B$4,Countries!$B$5:$B$434,$B$5,Countries!$C$5:$C$434,$B$6,Countries!$D$5:$D$434,$A35,Countries!$AS$5:$AS$434,"&gt;0"))=0,"",IF($B$6="Total",SUMIFS(Countries!$AS$5:$AS$434,Countries!$A$5:$A$434,$B$4,Countries!$B$5:$B$434,$B$5,Countries!$D$5:$D$434,$A35,Countries!$AL$5:$AL$434,"&gt;0"),SUMIFS(Countries!$AS$5:$AS$434,Countries!$A$5:$A$434,$B$4,Countries!$B$5:$B$434,$B$5,Countries!$C$5:$C$434,$B$6,Countries!$D$5:$D$434,$A35,Countries!$AL$5:$AL$434,"&gt;0"))/IF($B$6="Total",SUMIFS(Countries!$AL$5:$AL$434,Countries!$A$5:$A$434,$B$4,Countries!$B$5:$B$434,$B$5,Countries!$D$5:$D$434,$A35,Countries!$AS$5:$AS$434,"&gt;0"),SUMIFS(Countries!$AL$5:$AL$434,Countries!$A$5:$A$434,$B$4,Countries!$B$5:$B$434,$B$5,Countries!$C$5:$C$434,$B$6,Countries!$D$5:$D$434,$A35,Countries!$AS$5:$AS$434,"&gt;0")))</f>
        <v/>
      </c>
      <c r="AU35" s="44">
        <f>IF(OR(AT35="",AS35=""),"",(AT35-AS35)*100)</f>
        <v/>
      </c>
      <c r="AV35" s="45">
        <f>IF(IF($B$6="Total",SUMIFS(Countries!$P$5:$P$434,Countries!$A$5:$A$434,$B$4,Countries!$B$5:$B$434,$B$5,Countries!$D$5:$D$434,$A35,Countries!$AR$5:$AR$434,"&gt;0"),SUMIFS(Countries!$P$5:$P$434,Countries!$A$5:$A$434,$B$4,Countries!$B$5:$B$434,$B$5,Countries!$C$5:$C$434,$B$6,Countries!$D$5:$D$434,$A35,Countries!$AR$5:$AR$434,"&gt;0"))=0,"",IF($B$6="Total",SUMIFS(Countries!$AR$5:$AR$434,Countries!$A$5:$A$434,$B$4,Countries!$B$5:$B$434,$B$5,Countries!$D$5:$D$434,$A35,Countries!$P$5:$P$434,"&gt;0"),SUMIFS(Countries!$AR$5:$AR$434,Countries!$A$5:$A$434,$B$4,Countries!$B$5:$B$434,$B$5,Countries!$C$5:$C$434,$B$6,Countries!$D$5:$D$434,$A35,Countries!$P$5:$P$434,"&gt;0"))/IF($B$6="Total",SUMIFS(Countries!$P$5:$P$434,Countries!$A$5:$A$434,$B$4,Countries!$B$5:$B$434,$B$5,Countries!$D$5:$D$434,$A35,Countries!$AR$5:$AR$434,"&gt;0"),SUMIFS(Countries!$P$5:$P$434,Countries!$A$5:$A$434,$B$4,Countries!$B$5:$B$434,$B$5,Countries!$C$5:$C$434,$B$6,Countries!$D$5:$D$434,$A35,Countries!$AR$5:$AR$434,"&gt;0")))</f>
        <v/>
      </c>
      <c r="AW35" s="45">
        <f>IF(IF($B$6="Total",SUMIFS(Countries!$Q$5:$Q$434,Countries!$A$5:$A$434,$B$4,Countries!$B$5:$B$434,$B$5,Countries!$D$5:$D$434,$A35,Countries!$AS$5:$AS$434,"&gt;0"),SUMIFS(Countries!$Q$5:$Q$434,Countries!$A$5:$A$434,$B$4,Countries!$B$5:$B$434,$B$5,Countries!$C$5:$C$434,$B$6,Countries!$D$5:$D$434,$A35,Countries!$AS$5:$AS$434,"&gt;0"))=0,"",IF($B$6="Total",SUMIFS(Countries!$AS$5:$AS$434,Countries!$A$5:$A$434,$B$4,Countries!$B$5:$B$434,$B$5,Countries!$D$5:$D$434,$A35,Countries!$Q$5:$Q$434,"&gt;0"),SUMIFS(Countries!$AS$5:$AS$434,Countries!$A$5:$A$434,$B$4,Countries!$B$5:$B$434,$B$5,Countries!$C$5:$C$434,$B$6,Countries!$D$5:$D$434,$A35,Countries!$Q$5:$Q$434,"&gt;0"))/IF($B$6="Total",SUMIFS(Countries!$Q$5:$Q$434,Countries!$A$5:$A$434,$B$4,Countries!$B$5:$B$434,$B$5,Countries!$D$5:$D$434,$A35,Countries!$AS$5:$AS$434,"&gt;0"),SUMIFS(Countries!$Q$5:$Q$434,Countries!$A$5:$A$434,$B$4,Countries!$B$5:$B$434,$B$5,Countries!$C$5:$C$434,$B$6,Countries!$D$5:$D$434,$A35,Countries!$AS$5:$AS$434,"&gt;0")))</f>
        <v/>
      </c>
      <c r="AX35" s="44">
        <f>IF(OR(AW35="",AV35=""),"",(AW35-AV35)*100)</f>
        <v/>
      </c>
      <c r="AY35" s="45">
        <f>IF(IF($B$6="Total",SUMIFS(Countries!$E$5:$E$434,Countries!$A$5:$A$434,$B$4,Countries!$B$5:$B$434,$B$5,Countries!$D$5:$D$434,$A35,Countries!$AR$5:$AR$434,"&gt;0"),SUMIFS(Countries!$E$5:$E$434,Countries!$A$5:$A$434,$B$4,Countries!$B$5:$B$434,$B$5,Countries!$C$5:$C$434,$B$6,Countries!$D$5:$D$434,$A35,Countries!$AR$5:$AR$434,"&gt;0"))=0,"",IF($B$6="Total",SUMIFS(Countries!$AR$5:$AR$434,Countries!$A$5:$A$434,$B$4,Countries!$B$5:$B$434,$B$5,Countries!$D$5:$D$434,$A35,Countries!$E$5:$E$434,"&gt;0"),SUMIFS(Countries!$AR$5:$AR$434,Countries!$A$5:$A$434,$B$4,Countries!$B$5:$B$434,$B$5,Countries!$C$5:$C$434,$B$6,Countries!$D$5:$D$434,$A35,Countries!$E$5:$E$434,"&gt;0"))/IF($B$6="Total",SUMIFS(Countries!$E$5:$E$434,Countries!$A$5:$A$434,$B$4,Countries!$B$5:$B$434,$B$5,Countries!$D$5:$D$434,$A35,Countries!$AR$5:$AR$434,"&gt;0"),SUMIFS(Countries!$E$5:$E$434,Countries!$A$5:$A$434,$B$4,Countries!$B$5:$B$434,$B$5,Countries!$C$5:$C$434,$B$6,Countries!$D$5:$D$434,$A35,Countries!$AR$5:$AR$434,"&gt;0")))</f>
        <v/>
      </c>
      <c r="AZ35" s="45">
        <f>IF(IF($B$6="Total",SUMIFS(Countries!$F$5:$F$434,Countries!$A$5:$A$434,$B$4,Countries!$B$5:$B$434,$B$5,Countries!$D$5:$D$434,$A35,Countries!$AS$5:$AS$434,"&gt;0"),SUMIFS(Countries!$F$5:$F$434,Countries!$A$5:$A$434,$B$4,Countries!$B$5:$B$434,$B$5,Countries!$C$5:$C$434,$B$6,Countries!$D$5:$D$434,$A35,Countries!$AS$5:$AS$434,"&gt;0"))=0,"",IF($B$6="Total",SUMIFS(Countries!$AS$5:$AS$434,Countries!$A$5:$A$434,$B$4,Countries!$B$5:$B$434,$B$5,Countries!$D$5:$D$434,$A35,Countries!$F$5:$F$434,"&gt;0"),SUMIFS(Countries!$AS$5:$AS$434,Countries!$A$5:$A$434,$B$4,Countries!$B$5:$B$434,$B$5,Countries!$C$5:$C$434,$B$6,Countries!$D$5:$D$434,$A35,Countries!$F$5:$F$434,"&gt;0"))/IF($B$6="Total",SUMIFS(Countries!$F$5:$F$434,Countries!$A$5:$A$434,$B$4,Countries!$B$5:$B$434,$B$5,Countries!$D$5:$D$434,$A35,Countries!$AS$5:$AS$434,"&gt;0"),SUMIFS(Countries!$F$5:$F$434,Countries!$A$5:$A$434,$B$4,Countries!$B$5:$B$434,$B$5,Countries!$C$5:$C$434,$B$6,Countries!$D$5:$D$434,$A35,Countries!$AS$5:$AS$434,"&gt;0")))</f>
        <v/>
      </c>
      <c r="BA35" s="44">
        <f>IF(OR(AZ35="",AY35=""),"",(AZ35-AY35)*100)</f>
        <v/>
      </c>
      <c r="BB35" s="40">
        <f>IF(AND(IF($B$6="Total",COUNTIFS(Countries!$A$5:$A$434,$B$4,Countries!$B$5:$B$434,$B$5,Countries!$D$5:$D$434,$A35,Countries!$F$5:$F$434,"&gt;0"),COUNTIFS(Countries!$A$5:$A$434,$B$4,Countries!$B$5:$B$434,$B$5,Countries!$C$5:$C$434,$B$6,Countries!$D$5:$D$434,$A35,Countries!$F$5:$F$434,"&gt;0"))=0,IF($B$6="Total",COUNTIFS(Countries!$A$5:$A$434,$B$4,Countries!$B$5:$B$434,$B$5,Countries!$D$5:$D$434,$A35,Countries!$E$5:$E$434,"&gt;0"),COUNTIFS(Countries!$A$5:$A$434,$B$4,Countries!$B$5:$B$434,$B$5,Countries!$C$5:$C$434,$B$6,Countries!$D$5:$D$434,$A35,Countries!$E$5:$E$434,"&gt;0"))=0),"",IF(IF($B$6="Total",COUNTIFS(Countries!$A$5:$A$434,$B$4,Countries!$B$5:$B$434,$B$5,Countries!$D$5:$D$434,$A35,Countries!$F$5:$F$434,"&gt;0"),COUNTIFS(Countries!$A$5:$A$434,$B$4,Countries!$B$5:$B$434,$B$5,Countries!$C$5:$C$434,$B$6,Countries!$D$5:$D$434,$A35,Countries!$F$5:$F$434,"&gt;0"))=0,"1-23Aug25 rows only",IF(IF($B$6="Total",COUNTIFS(Countries!$A$5:$A$434,$B$4,Countries!$B$5:$B$434,$B$5,Countries!$D$5:$D$434,$A35,Countries!$E$5:$E$434,"&gt;0"),COUNTIFS(Countries!$A$5:$A$434,$B$4,Countries!$B$5:$B$434,$B$5,Countries!$C$5:$C$434,$B$6,Countries!$D$5:$D$434,$A35,Countries!$E$5:$E$434,"&gt;0"))=0,"1-23Aug26 rows only",IF(IF($B$6="Total",COUNTIFS(Countries!$A$5:$A$434,$B$4,Countries!$B$5:$B$434,$B$5,Countries!$D$5:$D$434,$A35,Countries!$F$5:$F$434,"&gt;0"),COUNTIFS(Countries!$A$5:$A$434,$B$4,Countries!$B$5:$B$434,$B$5,Countries!$C$5:$C$434,$B$6,Countries!$D$5:$D$434,$A35,Countries!$F$5:$F$434,"&gt;0"))=IF($B$6="Total",COUNTIFS(Countries!$A$5:$A$434,$B$4,Countries!$B$5:$B$434,$B$5,Countries!$D$5:$D$434,$A35,Countries!$E$5:$E$434,"&gt;0"),COUNTIFS(Countries!$A$5:$A$434,$B$4,Countries!$B$5:$B$434,$B$5,Countries!$C$5:$C$434,$B$6,Countries!$D$5:$D$434,$A35,Countries!$E$5:$E$434,"&gt;0")),"Like-for-like","Partial — coverage differs"))))</f>
        <v/>
      </c>
    </row>
    <row r="36">
      <c r="A36" s="56" t="inlineStr">
        <is>
          <t>China</t>
        </is>
      </c>
      <c r="B36" s="41">
        <f>IF(IF($B$6="Total",SUMIFS(Countries!$E$5:$E$434,Countries!$A$5:$A$434,$B$4,Countries!$B$5:$B$434,$B$5,Countries!$D$5:$D$434,$A36),SUMIFS(Countries!$E$5:$E$434,Countries!$A$5:$A$434,$B$4,Countries!$B$5:$B$434,$B$5,Countries!$C$5:$C$434,$B$6,Countries!$D$5:$D$434,$A36))=0,"",IF($B$6="Total",SUMIFS(Countries!$E$5:$E$434,Countries!$A$5:$A$434,$B$4,Countries!$B$5:$B$434,$B$5,Countries!$D$5:$D$434,$A36),SUMIFS(Countries!$E$5:$E$434,Countries!$A$5:$A$434,$B$4,Countries!$B$5:$B$434,$B$5,Countries!$C$5:$C$434,$B$6,Countries!$D$5:$D$434,$A36)))</f>
        <v/>
      </c>
      <c r="C36" s="41">
        <f>IF(IF($B$6="Total",SUMIFS(Countries!$F$5:$F$434,Countries!$A$5:$A$434,$B$4,Countries!$B$5:$B$434,$B$5,Countries!$D$5:$D$434,$A36),SUMIFS(Countries!$F$5:$F$434,Countries!$A$5:$A$434,$B$4,Countries!$B$5:$B$434,$B$5,Countries!$C$5:$C$434,$B$6,Countries!$D$5:$D$434,$A36))=0,"",IF($B$6="Total",SUMIFS(Countries!$F$5:$F$434,Countries!$A$5:$A$434,$B$4,Countries!$B$5:$B$434,$B$5,Countries!$D$5:$D$434,$A36),SUMIFS(Countries!$F$5:$F$434,Countries!$A$5:$A$434,$B$4,Countries!$B$5:$B$434,$B$5,Countries!$C$5:$C$434,$B$6,Countries!$D$5:$D$434,$A36)))</f>
        <v/>
      </c>
      <c r="D36" s="69">
        <f>IF(OR(C36="",B36="",B36=0,C36=0),"",C36-B36)</f>
        <v/>
      </c>
      <c r="E36" s="42">
        <f>IF(OR(C36="",B36="",B36=0,C36=0),"",C36/B36-1)</f>
        <v/>
      </c>
      <c r="F36" s="41">
        <f>IF(IF($B$6="Total",SUMIFS(Countries!$I$5:$I$434,Countries!$A$5:$A$434,$B$4,Countries!$B$5:$B$434,$B$5,Countries!$D$5:$D$434,$A36),SUMIFS(Countries!$I$5:$I$434,Countries!$A$5:$A$434,$B$4,Countries!$B$5:$B$434,$B$5,Countries!$C$5:$C$434,$B$6,Countries!$D$5:$D$434,$A36))=0,"",IF($B$6="Total",SUMIFS(Countries!$I$5:$I$434,Countries!$A$5:$A$434,$B$4,Countries!$B$5:$B$434,$B$5,Countries!$D$5:$D$434,$A36),SUMIFS(Countries!$I$5:$I$434,Countries!$A$5:$A$434,$B$4,Countries!$B$5:$B$434,$B$5,Countries!$C$5:$C$434,$B$6,Countries!$D$5:$D$434,$A36)))</f>
        <v/>
      </c>
      <c r="G36" s="41">
        <f>IF(IF($B$6="Total",SUMIFS(Countries!$J$5:$J$434,Countries!$A$5:$A$434,$B$4,Countries!$B$5:$B$434,$B$5,Countries!$D$5:$D$434,$A36),SUMIFS(Countries!$J$5:$J$434,Countries!$A$5:$A$434,$B$4,Countries!$B$5:$B$434,$B$5,Countries!$C$5:$C$434,$B$6,Countries!$D$5:$D$434,$A36))=0,"",IF($B$6="Total",SUMIFS(Countries!$J$5:$J$434,Countries!$A$5:$A$434,$B$4,Countries!$B$5:$B$434,$B$5,Countries!$D$5:$D$434,$A36),SUMIFS(Countries!$J$5:$J$434,Countries!$A$5:$A$434,$B$4,Countries!$B$5:$B$434,$B$5,Countries!$C$5:$C$434,$B$6,Countries!$D$5:$D$434,$A36)))</f>
        <v/>
      </c>
      <c r="H36" s="69">
        <f>IF(OR(G36="",F36="",F36=0,G36=0),"",G36-F36)</f>
        <v/>
      </c>
      <c r="I36" s="42">
        <f>IF(OR(G36="",F36="",F36=0,G36=0),"",G36/F36-1)</f>
        <v/>
      </c>
      <c r="J36" s="43">
        <f>IF(IF($B$6="Total",SUMIFS(Countries!$E$5:$E$434,Countries!$A$5:$A$434,$B$4,Countries!$B$5:$B$434,$B$5,Countries!$D$5:$D$434,$A36,Countries!$I$5:$I$434,"&gt;0"),SUMIFS(Countries!$E$5:$E$434,Countries!$A$5:$A$434,$B$4,Countries!$B$5:$B$434,$B$5,Countries!$C$5:$C$434,$B$6,Countries!$D$5:$D$434,$A36,Countries!$I$5:$I$434,"&gt;0"))=0,"",IF($B$6="Total",SUMIFS(Countries!$I$5:$I$434,Countries!$A$5:$A$434,$B$4,Countries!$B$5:$B$434,$B$5,Countries!$D$5:$D$434,$A36,Countries!$E$5:$E$434,"&gt;0"),SUMIFS(Countries!$I$5:$I$434,Countries!$A$5:$A$434,$B$4,Countries!$B$5:$B$434,$B$5,Countries!$C$5:$C$434,$B$6,Countries!$D$5:$D$434,$A36,Countries!$E$5:$E$434,"&gt;0"))/IF($B$6="Total",SUMIFS(Countries!$E$5:$E$434,Countries!$A$5:$A$434,$B$4,Countries!$B$5:$B$434,$B$5,Countries!$D$5:$D$434,$A36,Countries!$I$5:$I$434,"&gt;0"),SUMIFS(Countries!$E$5:$E$434,Countries!$A$5:$A$434,$B$4,Countries!$B$5:$B$434,$B$5,Countries!$C$5:$C$434,$B$6,Countries!$D$5:$D$434,$A36,Countries!$I$5:$I$434,"&gt;0")))</f>
        <v/>
      </c>
      <c r="K36" s="43">
        <f>IF(IF($B$6="Total",SUMIFS(Countries!$F$5:$F$434,Countries!$A$5:$A$434,$B$4,Countries!$B$5:$B$434,$B$5,Countries!$D$5:$D$434,$A36,Countries!$J$5:$J$434,"&gt;0"),SUMIFS(Countries!$F$5:$F$434,Countries!$A$5:$A$434,$B$4,Countries!$B$5:$B$434,$B$5,Countries!$C$5:$C$434,$B$6,Countries!$D$5:$D$434,$A36,Countries!$J$5:$J$434,"&gt;0"))=0,"",IF($B$6="Total",SUMIFS(Countries!$J$5:$J$434,Countries!$A$5:$A$434,$B$4,Countries!$B$5:$B$434,$B$5,Countries!$D$5:$D$434,$A36,Countries!$F$5:$F$434,"&gt;0"),SUMIFS(Countries!$J$5:$J$434,Countries!$A$5:$A$434,$B$4,Countries!$B$5:$B$434,$B$5,Countries!$C$5:$C$434,$B$6,Countries!$D$5:$D$434,$A36,Countries!$F$5:$F$434,"&gt;0"))/IF($B$6="Total",SUMIFS(Countries!$F$5:$F$434,Countries!$A$5:$A$434,$B$4,Countries!$B$5:$B$434,$B$5,Countries!$D$5:$D$434,$A36,Countries!$J$5:$J$434,"&gt;0"),SUMIFS(Countries!$F$5:$F$434,Countries!$A$5:$A$434,$B$4,Countries!$B$5:$B$434,$B$5,Countries!$C$5:$C$434,$B$6,Countries!$D$5:$D$434,$A36,Countries!$J$5:$J$434,"&gt;0")))</f>
        <v/>
      </c>
      <c r="L36" s="44">
        <f>IF(OR(K36="",J36=""),"",(K36-J36)*100)</f>
        <v/>
      </c>
      <c r="M36" s="41">
        <f>IF(IF($B$6="Total",SUMIFS(Countries!$P$5:$P$434,Countries!$A$5:$A$434,$B$4,Countries!$B$5:$B$434,$B$5,Countries!$D$5:$D$434,$A36),SUMIFS(Countries!$P$5:$P$434,Countries!$A$5:$A$434,$B$4,Countries!$B$5:$B$434,$B$5,Countries!$C$5:$C$434,$B$6,Countries!$D$5:$D$434,$A36))=0,"",IF($B$6="Total",SUMIFS(Countries!$P$5:$P$434,Countries!$A$5:$A$434,$B$4,Countries!$B$5:$B$434,$B$5,Countries!$D$5:$D$434,$A36),SUMIFS(Countries!$P$5:$P$434,Countries!$A$5:$A$434,$B$4,Countries!$B$5:$B$434,$B$5,Countries!$C$5:$C$434,$B$6,Countries!$D$5:$D$434,$A36)))</f>
        <v/>
      </c>
      <c r="N36" s="41">
        <f>IF(IF($B$6="Total",SUMIFS(Countries!$Q$5:$Q$434,Countries!$A$5:$A$434,$B$4,Countries!$B$5:$B$434,$B$5,Countries!$D$5:$D$434,$A36),SUMIFS(Countries!$Q$5:$Q$434,Countries!$A$5:$A$434,$B$4,Countries!$B$5:$B$434,$B$5,Countries!$C$5:$C$434,$B$6,Countries!$D$5:$D$434,$A36))=0,"",IF($B$6="Total",SUMIFS(Countries!$Q$5:$Q$434,Countries!$A$5:$A$434,$B$4,Countries!$B$5:$B$434,$B$5,Countries!$D$5:$D$434,$A36),SUMIFS(Countries!$Q$5:$Q$434,Countries!$A$5:$A$434,$B$4,Countries!$B$5:$B$434,$B$5,Countries!$C$5:$C$434,$B$6,Countries!$D$5:$D$434,$A36)))</f>
        <v/>
      </c>
      <c r="O36" s="69">
        <f>IF(OR(N36="",M36="",M36=0,N36=0),"",N36-M36)</f>
        <v/>
      </c>
      <c r="P36" s="42">
        <f>IF(OR(N36="",M36="",M36=0,N36=0),"",N36/M36-1)</f>
        <v/>
      </c>
      <c r="Q36" s="43">
        <f>IF(IF($B$6="Total",SUMIFS(Countries!$E$5:$E$434,Countries!$A$5:$A$434,$B$4,Countries!$B$5:$B$434,$B$5,Countries!$D$5:$D$434,$A36,Countries!$P$5:$P$434,"&gt;0"),SUMIFS(Countries!$E$5:$E$434,Countries!$A$5:$A$434,$B$4,Countries!$B$5:$B$434,$B$5,Countries!$C$5:$C$434,$B$6,Countries!$D$5:$D$434,$A36,Countries!$P$5:$P$434,"&gt;0"))=0,"",IF($B$6="Total",SUMIFS(Countries!$P$5:$P$434,Countries!$A$5:$A$434,$B$4,Countries!$B$5:$B$434,$B$5,Countries!$D$5:$D$434,$A36,Countries!$E$5:$E$434,"&gt;0"),SUMIFS(Countries!$P$5:$P$434,Countries!$A$5:$A$434,$B$4,Countries!$B$5:$B$434,$B$5,Countries!$C$5:$C$434,$B$6,Countries!$D$5:$D$434,$A36,Countries!$E$5:$E$434,"&gt;0"))/IF($B$6="Total",SUMIFS(Countries!$E$5:$E$434,Countries!$A$5:$A$434,$B$4,Countries!$B$5:$B$434,$B$5,Countries!$D$5:$D$434,$A36,Countries!$P$5:$P$434,"&gt;0"),SUMIFS(Countries!$E$5:$E$434,Countries!$A$5:$A$434,$B$4,Countries!$B$5:$B$434,$B$5,Countries!$C$5:$C$434,$B$6,Countries!$D$5:$D$434,$A36,Countries!$P$5:$P$434,"&gt;0")))</f>
        <v/>
      </c>
      <c r="R36" s="43">
        <f>IF(IF($B$6="Total",SUMIFS(Countries!$F$5:$F$434,Countries!$A$5:$A$434,$B$4,Countries!$B$5:$B$434,$B$5,Countries!$D$5:$D$434,$A36,Countries!$Q$5:$Q$434,"&gt;0"),SUMIFS(Countries!$F$5:$F$434,Countries!$A$5:$A$434,$B$4,Countries!$B$5:$B$434,$B$5,Countries!$C$5:$C$434,$B$6,Countries!$D$5:$D$434,$A36,Countries!$Q$5:$Q$434,"&gt;0"))=0,"",IF($B$6="Total",SUMIFS(Countries!$Q$5:$Q$434,Countries!$A$5:$A$434,$B$4,Countries!$B$5:$B$434,$B$5,Countries!$D$5:$D$434,$A36,Countries!$F$5:$F$434,"&gt;0"),SUMIFS(Countries!$Q$5:$Q$434,Countries!$A$5:$A$434,$B$4,Countries!$B$5:$B$434,$B$5,Countries!$C$5:$C$434,$B$6,Countries!$D$5:$D$434,$A36,Countries!$F$5:$F$434,"&gt;0"))/IF($B$6="Total",SUMIFS(Countries!$F$5:$F$434,Countries!$A$5:$A$434,$B$4,Countries!$B$5:$B$434,$B$5,Countries!$D$5:$D$434,$A36,Countries!$Q$5:$Q$434,"&gt;0"),SUMIFS(Countries!$F$5:$F$434,Countries!$A$5:$A$434,$B$4,Countries!$B$5:$B$434,$B$5,Countries!$C$5:$C$434,$B$6,Countries!$D$5:$D$434,$A36,Countries!$Q$5:$Q$434,"&gt;0")))</f>
        <v/>
      </c>
      <c r="S36" s="44">
        <f>IF(OR(R36="",Q36=""),"",(R36-Q36)*100)</f>
        <v/>
      </c>
      <c r="T36" s="41">
        <f>IF(IF($B$6="Total",SUMIFS(Countries!$W$5:$W$434,Countries!$A$5:$A$434,$B$4,Countries!$B$5:$B$434,$B$5,Countries!$D$5:$D$434,$A36),SUMIFS(Countries!$W$5:$W$434,Countries!$A$5:$A$434,$B$4,Countries!$B$5:$B$434,$B$5,Countries!$C$5:$C$434,$B$6,Countries!$D$5:$D$434,$A36))=0,"",IF($B$6="Total",SUMIFS(Countries!$W$5:$W$434,Countries!$A$5:$A$434,$B$4,Countries!$B$5:$B$434,$B$5,Countries!$D$5:$D$434,$A36),SUMIFS(Countries!$W$5:$W$434,Countries!$A$5:$A$434,$B$4,Countries!$B$5:$B$434,$B$5,Countries!$C$5:$C$434,$B$6,Countries!$D$5:$D$434,$A36)))</f>
        <v/>
      </c>
      <c r="U36" s="41">
        <f>IF(IF($B$6="Total",SUMIFS(Countries!$X$5:$X$434,Countries!$A$5:$A$434,$B$4,Countries!$B$5:$B$434,$B$5,Countries!$D$5:$D$434,$A36),SUMIFS(Countries!$X$5:$X$434,Countries!$A$5:$A$434,$B$4,Countries!$B$5:$B$434,$B$5,Countries!$C$5:$C$434,$B$6,Countries!$D$5:$D$434,$A36))=0,"",IF($B$6="Total",SUMIFS(Countries!$X$5:$X$434,Countries!$A$5:$A$434,$B$4,Countries!$B$5:$B$434,$B$5,Countries!$D$5:$D$434,$A36),SUMIFS(Countries!$X$5:$X$434,Countries!$A$5:$A$434,$B$4,Countries!$B$5:$B$434,$B$5,Countries!$C$5:$C$434,$B$6,Countries!$D$5:$D$434,$A36)))</f>
        <v/>
      </c>
      <c r="V36" s="69">
        <f>IF(OR(U36="",T36="",T36=0,U36=0),"",U36-T36)</f>
        <v/>
      </c>
      <c r="W36" s="42">
        <f>IF(OR(U36="",T36="",T36=0,U36=0),"",U36/T36-1)</f>
        <v/>
      </c>
      <c r="X36" s="43">
        <f>IF(IF($B$6="Total",SUMIFS(Countries!$P$5:$P$434,Countries!$A$5:$A$434,$B$4,Countries!$B$5:$B$434,$B$5,Countries!$D$5:$D$434,$A36,Countries!$W$5:$W$434,"&gt;0"),SUMIFS(Countries!$P$5:$P$434,Countries!$A$5:$A$434,$B$4,Countries!$B$5:$B$434,$B$5,Countries!$C$5:$C$434,$B$6,Countries!$D$5:$D$434,$A36,Countries!$W$5:$W$434,"&gt;0"))=0,"",IF($B$6="Total",SUMIFS(Countries!$W$5:$W$434,Countries!$A$5:$A$434,$B$4,Countries!$B$5:$B$434,$B$5,Countries!$D$5:$D$434,$A36,Countries!$P$5:$P$434,"&gt;0"),SUMIFS(Countries!$W$5:$W$434,Countries!$A$5:$A$434,$B$4,Countries!$B$5:$B$434,$B$5,Countries!$C$5:$C$434,$B$6,Countries!$D$5:$D$434,$A36,Countries!$P$5:$P$434,"&gt;0"))/IF($B$6="Total",SUMIFS(Countries!$P$5:$P$434,Countries!$A$5:$A$434,$B$4,Countries!$B$5:$B$434,$B$5,Countries!$D$5:$D$434,$A36,Countries!$W$5:$W$434,"&gt;0"),SUMIFS(Countries!$P$5:$P$434,Countries!$A$5:$A$434,$B$4,Countries!$B$5:$B$434,$B$5,Countries!$C$5:$C$434,$B$6,Countries!$D$5:$D$434,$A36,Countries!$W$5:$W$434,"&gt;0")))</f>
        <v/>
      </c>
      <c r="Y36" s="43">
        <f>IF(IF($B$6="Total",SUMIFS(Countries!$Q$5:$Q$434,Countries!$A$5:$A$434,$B$4,Countries!$B$5:$B$434,$B$5,Countries!$D$5:$D$434,$A36,Countries!$X$5:$X$434,"&gt;0"),SUMIFS(Countries!$Q$5:$Q$434,Countries!$A$5:$A$434,$B$4,Countries!$B$5:$B$434,$B$5,Countries!$C$5:$C$434,$B$6,Countries!$D$5:$D$434,$A36,Countries!$X$5:$X$434,"&gt;0"))=0,"",IF($B$6="Total",SUMIFS(Countries!$X$5:$X$434,Countries!$A$5:$A$434,$B$4,Countries!$B$5:$B$434,$B$5,Countries!$D$5:$D$434,$A36,Countries!$Q$5:$Q$434,"&gt;0"),SUMIFS(Countries!$X$5:$X$434,Countries!$A$5:$A$434,$B$4,Countries!$B$5:$B$434,$B$5,Countries!$C$5:$C$434,$B$6,Countries!$D$5:$D$434,$A36,Countries!$Q$5:$Q$434,"&gt;0"))/IF($B$6="Total",SUMIFS(Countries!$Q$5:$Q$434,Countries!$A$5:$A$434,$B$4,Countries!$B$5:$B$434,$B$5,Countries!$D$5:$D$434,$A36,Countries!$X$5:$X$434,"&gt;0"),SUMIFS(Countries!$Q$5:$Q$434,Countries!$A$5:$A$434,$B$4,Countries!$B$5:$B$434,$B$5,Countries!$C$5:$C$434,$B$6,Countries!$D$5:$D$434,$A36,Countries!$X$5:$X$434,"&gt;0")))</f>
        <v/>
      </c>
      <c r="Z36" s="44">
        <f>IF(OR(Y36="",X36=""),"",(Y36-X36)*100)</f>
        <v/>
      </c>
      <c r="AA36" s="41">
        <f>IF(IF($B$6="Total",SUMIFS(Countries!$AD$5:$AD$434,Countries!$A$5:$A$434,$B$4,Countries!$B$5:$B$434,$B$5,Countries!$D$5:$D$434,$A36),SUMIFS(Countries!$AD$5:$AD$434,Countries!$A$5:$A$434,$B$4,Countries!$B$5:$B$434,$B$5,Countries!$C$5:$C$434,$B$6,Countries!$D$5:$D$434,$A36))=0,"",IF($B$6="Total",SUMIFS(Countries!$AD$5:$AD$434,Countries!$A$5:$A$434,$B$4,Countries!$B$5:$B$434,$B$5,Countries!$D$5:$D$434,$A36),SUMIFS(Countries!$AD$5:$AD$434,Countries!$A$5:$A$434,$B$4,Countries!$B$5:$B$434,$B$5,Countries!$C$5:$C$434,$B$6,Countries!$D$5:$D$434,$A36)))</f>
        <v/>
      </c>
      <c r="AB36" s="41">
        <f>IF(IF($B$6="Total",SUMIFS(Countries!$AE$5:$AE$434,Countries!$A$5:$A$434,$B$4,Countries!$B$5:$B$434,$B$5,Countries!$D$5:$D$434,$A36),SUMIFS(Countries!$AE$5:$AE$434,Countries!$A$5:$A$434,$B$4,Countries!$B$5:$B$434,$B$5,Countries!$C$5:$C$434,$B$6,Countries!$D$5:$D$434,$A36))=0,"",IF($B$6="Total",SUMIFS(Countries!$AE$5:$AE$434,Countries!$A$5:$A$434,$B$4,Countries!$B$5:$B$434,$B$5,Countries!$D$5:$D$434,$A36),SUMIFS(Countries!$AE$5:$AE$434,Countries!$A$5:$A$434,$B$4,Countries!$B$5:$B$434,$B$5,Countries!$C$5:$C$434,$B$6,Countries!$D$5:$D$434,$A36)))</f>
        <v/>
      </c>
      <c r="AC36" s="69">
        <f>IF(OR(AB36="",AA36="",AA36=0,AB36=0),"",AB36-AA36)</f>
        <v/>
      </c>
      <c r="AD36" s="42">
        <f>IF(OR(AB36="",AA36="",AA36=0,AB36=0),"",AB36/AA36-1)</f>
        <v/>
      </c>
      <c r="AE36" s="43">
        <f>IF(IF($B$6="Total",SUMIFS(Countries!$W$5:$W$434,Countries!$A$5:$A$434,$B$4,Countries!$B$5:$B$434,$B$5,Countries!$D$5:$D$434,$A36,Countries!$AD$5:$AD$434,"&gt;0"),SUMIFS(Countries!$W$5:$W$434,Countries!$A$5:$A$434,$B$4,Countries!$B$5:$B$434,$B$5,Countries!$C$5:$C$434,$B$6,Countries!$D$5:$D$434,$A36,Countries!$AD$5:$AD$434,"&gt;0"))=0,"",IF($B$6="Total",SUMIFS(Countries!$AD$5:$AD$434,Countries!$A$5:$A$434,$B$4,Countries!$B$5:$B$434,$B$5,Countries!$D$5:$D$434,$A36,Countries!$W$5:$W$434,"&gt;0"),SUMIFS(Countries!$AD$5:$AD$434,Countries!$A$5:$A$434,$B$4,Countries!$B$5:$B$434,$B$5,Countries!$C$5:$C$434,$B$6,Countries!$D$5:$D$434,$A36,Countries!$W$5:$W$434,"&gt;0"))/IF($B$6="Total",SUMIFS(Countries!$W$5:$W$434,Countries!$A$5:$A$434,$B$4,Countries!$B$5:$B$434,$B$5,Countries!$D$5:$D$434,$A36,Countries!$AD$5:$AD$434,"&gt;0"),SUMIFS(Countries!$W$5:$W$434,Countries!$A$5:$A$434,$B$4,Countries!$B$5:$B$434,$B$5,Countries!$C$5:$C$434,$B$6,Countries!$D$5:$D$434,$A36,Countries!$AD$5:$AD$434,"&gt;0")))</f>
        <v/>
      </c>
      <c r="AF36" s="43">
        <f>IF(IF($B$6="Total",SUMIFS(Countries!$X$5:$X$434,Countries!$A$5:$A$434,$B$4,Countries!$B$5:$B$434,$B$5,Countries!$D$5:$D$434,$A36,Countries!$AE$5:$AE$434,"&gt;0"),SUMIFS(Countries!$X$5:$X$434,Countries!$A$5:$A$434,$B$4,Countries!$B$5:$B$434,$B$5,Countries!$C$5:$C$434,$B$6,Countries!$D$5:$D$434,$A36,Countries!$AE$5:$AE$434,"&gt;0"))=0,"",IF($B$6="Total",SUMIFS(Countries!$AE$5:$AE$434,Countries!$A$5:$A$434,$B$4,Countries!$B$5:$B$434,$B$5,Countries!$D$5:$D$434,$A36,Countries!$X$5:$X$434,"&gt;0"),SUMIFS(Countries!$AE$5:$AE$434,Countries!$A$5:$A$434,$B$4,Countries!$B$5:$B$434,$B$5,Countries!$C$5:$C$434,$B$6,Countries!$D$5:$D$434,$A36,Countries!$X$5:$X$434,"&gt;0"))/IF($B$6="Total",SUMIFS(Countries!$X$5:$X$434,Countries!$A$5:$A$434,$B$4,Countries!$B$5:$B$434,$B$5,Countries!$D$5:$D$434,$A36,Countries!$AE$5:$AE$434,"&gt;0"),SUMIFS(Countries!$X$5:$X$434,Countries!$A$5:$A$434,$B$4,Countries!$B$5:$B$434,$B$5,Countries!$C$5:$C$434,$B$6,Countries!$D$5:$D$434,$A36,Countries!$AE$5:$AE$434,"&gt;0")))</f>
        <v/>
      </c>
      <c r="AG36" s="44">
        <f>IF(OR(AF36="",AE36=""),"",(AF36-AE36)*100)</f>
        <v/>
      </c>
      <c r="AH36" s="41">
        <f>IF(IF($B$6="Total",SUMIFS(Countries!$AK$5:$AK$434,Countries!$A$5:$A$434,$B$4,Countries!$B$5:$B$434,$B$5,Countries!$D$5:$D$434,$A36),SUMIFS(Countries!$AK$5:$AK$434,Countries!$A$5:$A$434,$B$4,Countries!$B$5:$B$434,$B$5,Countries!$C$5:$C$434,$B$6,Countries!$D$5:$D$434,$A36))=0,"",IF($B$6="Total",SUMIFS(Countries!$AK$5:$AK$434,Countries!$A$5:$A$434,$B$4,Countries!$B$5:$B$434,$B$5,Countries!$D$5:$D$434,$A36),SUMIFS(Countries!$AK$5:$AK$434,Countries!$A$5:$A$434,$B$4,Countries!$B$5:$B$434,$B$5,Countries!$C$5:$C$434,$B$6,Countries!$D$5:$D$434,$A36)))</f>
        <v/>
      </c>
      <c r="AI36" s="41">
        <f>IF(IF($B$6="Total",SUMIFS(Countries!$AL$5:$AL$434,Countries!$A$5:$A$434,$B$4,Countries!$B$5:$B$434,$B$5,Countries!$D$5:$D$434,$A36),SUMIFS(Countries!$AL$5:$AL$434,Countries!$A$5:$A$434,$B$4,Countries!$B$5:$B$434,$B$5,Countries!$C$5:$C$434,$B$6,Countries!$D$5:$D$434,$A36))=0,"",IF($B$6="Total",SUMIFS(Countries!$AL$5:$AL$434,Countries!$A$5:$A$434,$B$4,Countries!$B$5:$B$434,$B$5,Countries!$D$5:$D$434,$A36),SUMIFS(Countries!$AL$5:$AL$434,Countries!$A$5:$A$434,$B$4,Countries!$B$5:$B$434,$B$5,Countries!$C$5:$C$434,$B$6,Countries!$D$5:$D$434,$A36)))</f>
        <v/>
      </c>
      <c r="AJ36" s="69">
        <f>IF(OR(AI36="",AH36="",AH36=0,AI36=0),"",AI36-AH36)</f>
        <v/>
      </c>
      <c r="AK36" s="42">
        <f>IF(OR(AI36="",AH36="",AH36=0,AI36=0),"",AI36/AH36-1)</f>
        <v/>
      </c>
      <c r="AL36" s="43">
        <f>IF(IF($B$6="Total",SUMIFS(Countries!$AD$5:$AD$434,Countries!$A$5:$A$434,$B$4,Countries!$B$5:$B$434,$B$5,Countries!$D$5:$D$434,$A36,Countries!$AK$5:$AK$434,"&gt;0"),SUMIFS(Countries!$AD$5:$AD$434,Countries!$A$5:$A$434,$B$4,Countries!$B$5:$B$434,$B$5,Countries!$C$5:$C$434,$B$6,Countries!$D$5:$D$434,$A36,Countries!$AK$5:$AK$434,"&gt;0"))=0,"",IF($B$6="Total",SUMIFS(Countries!$AK$5:$AK$434,Countries!$A$5:$A$434,$B$4,Countries!$B$5:$B$434,$B$5,Countries!$D$5:$D$434,$A36,Countries!$AD$5:$AD$434,"&gt;0"),SUMIFS(Countries!$AK$5:$AK$434,Countries!$A$5:$A$434,$B$4,Countries!$B$5:$B$434,$B$5,Countries!$C$5:$C$434,$B$6,Countries!$D$5:$D$434,$A36,Countries!$AD$5:$AD$434,"&gt;0"))/IF($B$6="Total",SUMIFS(Countries!$AD$5:$AD$434,Countries!$A$5:$A$434,$B$4,Countries!$B$5:$B$434,$B$5,Countries!$D$5:$D$434,$A36,Countries!$AK$5:$AK$434,"&gt;0"),SUMIFS(Countries!$AD$5:$AD$434,Countries!$A$5:$A$434,$B$4,Countries!$B$5:$B$434,$B$5,Countries!$C$5:$C$434,$B$6,Countries!$D$5:$D$434,$A36,Countries!$AK$5:$AK$434,"&gt;0")))</f>
        <v/>
      </c>
      <c r="AM36" s="43">
        <f>IF(IF($B$6="Total",SUMIFS(Countries!$AE$5:$AE$434,Countries!$A$5:$A$434,$B$4,Countries!$B$5:$B$434,$B$5,Countries!$D$5:$D$434,$A36,Countries!$AL$5:$AL$434,"&gt;0"),SUMIFS(Countries!$AE$5:$AE$434,Countries!$A$5:$A$434,$B$4,Countries!$B$5:$B$434,$B$5,Countries!$C$5:$C$434,$B$6,Countries!$D$5:$D$434,$A36,Countries!$AL$5:$AL$434,"&gt;0"))=0,"",IF($B$6="Total",SUMIFS(Countries!$AL$5:$AL$434,Countries!$A$5:$A$434,$B$4,Countries!$B$5:$B$434,$B$5,Countries!$D$5:$D$434,$A36,Countries!$AE$5:$AE$434,"&gt;0"),SUMIFS(Countries!$AL$5:$AL$434,Countries!$A$5:$A$434,$B$4,Countries!$B$5:$B$434,$B$5,Countries!$C$5:$C$434,$B$6,Countries!$D$5:$D$434,$A36,Countries!$AE$5:$AE$434,"&gt;0"))/IF($B$6="Total",SUMIFS(Countries!$AE$5:$AE$434,Countries!$A$5:$A$434,$B$4,Countries!$B$5:$B$434,$B$5,Countries!$D$5:$D$434,$A36,Countries!$AL$5:$AL$434,"&gt;0"),SUMIFS(Countries!$AE$5:$AE$434,Countries!$A$5:$A$434,$B$4,Countries!$B$5:$B$434,$B$5,Countries!$C$5:$C$434,$B$6,Countries!$D$5:$D$434,$A36,Countries!$AL$5:$AL$434,"&gt;0")))</f>
        <v/>
      </c>
      <c r="AN36" s="44">
        <f>IF(OR(AM36="",AL36=""),"",(AM36-AL36)*100)</f>
        <v/>
      </c>
      <c r="AO36" s="41">
        <f>IF(IF($B$6="Total",SUMIFS(Countries!$AR$5:$AR$434,Countries!$A$5:$A$434,$B$4,Countries!$B$5:$B$434,$B$5,Countries!$D$5:$D$434,$A36),SUMIFS(Countries!$AR$5:$AR$434,Countries!$A$5:$A$434,$B$4,Countries!$B$5:$B$434,$B$5,Countries!$C$5:$C$434,$B$6,Countries!$D$5:$D$434,$A36))=0,"",IF($B$6="Total",SUMIFS(Countries!$AR$5:$AR$434,Countries!$A$5:$A$434,$B$4,Countries!$B$5:$B$434,$B$5,Countries!$D$5:$D$434,$A36),SUMIFS(Countries!$AR$5:$AR$434,Countries!$A$5:$A$434,$B$4,Countries!$B$5:$B$434,$B$5,Countries!$C$5:$C$434,$B$6,Countries!$D$5:$D$434,$A36)))</f>
        <v/>
      </c>
      <c r="AP36" s="41">
        <f>IF(IF($B$6="Total",SUMIFS(Countries!$AS$5:$AS$434,Countries!$A$5:$A$434,$B$4,Countries!$B$5:$B$434,$B$5,Countries!$D$5:$D$434,$A36),SUMIFS(Countries!$AS$5:$AS$434,Countries!$A$5:$A$434,$B$4,Countries!$B$5:$B$434,$B$5,Countries!$C$5:$C$434,$B$6,Countries!$D$5:$D$434,$A36))=0,"",IF($B$6="Total",SUMIFS(Countries!$AS$5:$AS$434,Countries!$A$5:$A$434,$B$4,Countries!$B$5:$B$434,$B$5,Countries!$D$5:$D$434,$A36),SUMIFS(Countries!$AS$5:$AS$434,Countries!$A$5:$A$434,$B$4,Countries!$B$5:$B$434,$B$5,Countries!$C$5:$C$434,$B$6,Countries!$D$5:$D$434,$A36)))</f>
        <v/>
      </c>
      <c r="AQ36" s="69">
        <f>IF(OR(AP36="",AO36="",AO36=0,AP36=0),"",AP36-AO36)</f>
        <v/>
      </c>
      <c r="AR36" s="42">
        <f>IF(OR(AP36="",AO36="",AO36=0,AP36=0),"",AP36/AO36-1)</f>
        <v/>
      </c>
      <c r="AS36" s="43">
        <f>IF(IF($B$6="Total",SUMIFS(Countries!$AK$5:$AK$434,Countries!$A$5:$A$434,$B$4,Countries!$B$5:$B$434,$B$5,Countries!$D$5:$D$434,$A36,Countries!$AR$5:$AR$434,"&gt;0"),SUMIFS(Countries!$AK$5:$AK$434,Countries!$A$5:$A$434,$B$4,Countries!$B$5:$B$434,$B$5,Countries!$C$5:$C$434,$B$6,Countries!$D$5:$D$434,$A36,Countries!$AR$5:$AR$434,"&gt;0"))=0,"",IF($B$6="Total",SUMIFS(Countries!$AR$5:$AR$434,Countries!$A$5:$A$434,$B$4,Countries!$B$5:$B$434,$B$5,Countries!$D$5:$D$434,$A36,Countries!$AK$5:$AK$434,"&gt;0"),SUMIFS(Countries!$AR$5:$AR$434,Countries!$A$5:$A$434,$B$4,Countries!$B$5:$B$434,$B$5,Countries!$C$5:$C$434,$B$6,Countries!$D$5:$D$434,$A36,Countries!$AK$5:$AK$434,"&gt;0"))/IF($B$6="Total",SUMIFS(Countries!$AK$5:$AK$434,Countries!$A$5:$A$434,$B$4,Countries!$B$5:$B$434,$B$5,Countries!$D$5:$D$434,$A36,Countries!$AR$5:$AR$434,"&gt;0"),SUMIFS(Countries!$AK$5:$AK$434,Countries!$A$5:$A$434,$B$4,Countries!$B$5:$B$434,$B$5,Countries!$C$5:$C$434,$B$6,Countries!$D$5:$D$434,$A36,Countries!$AR$5:$AR$434,"&gt;0")))</f>
        <v/>
      </c>
      <c r="AT36" s="43">
        <f>IF(IF($B$6="Total",SUMIFS(Countries!$AL$5:$AL$434,Countries!$A$5:$A$434,$B$4,Countries!$B$5:$B$434,$B$5,Countries!$D$5:$D$434,$A36,Countries!$AS$5:$AS$434,"&gt;0"),SUMIFS(Countries!$AL$5:$AL$434,Countries!$A$5:$A$434,$B$4,Countries!$B$5:$B$434,$B$5,Countries!$C$5:$C$434,$B$6,Countries!$D$5:$D$434,$A36,Countries!$AS$5:$AS$434,"&gt;0"))=0,"",IF($B$6="Total",SUMIFS(Countries!$AS$5:$AS$434,Countries!$A$5:$A$434,$B$4,Countries!$B$5:$B$434,$B$5,Countries!$D$5:$D$434,$A36,Countries!$AL$5:$AL$434,"&gt;0"),SUMIFS(Countries!$AS$5:$AS$434,Countries!$A$5:$A$434,$B$4,Countries!$B$5:$B$434,$B$5,Countries!$C$5:$C$434,$B$6,Countries!$D$5:$D$434,$A36,Countries!$AL$5:$AL$434,"&gt;0"))/IF($B$6="Total",SUMIFS(Countries!$AL$5:$AL$434,Countries!$A$5:$A$434,$B$4,Countries!$B$5:$B$434,$B$5,Countries!$D$5:$D$434,$A36,Countries!$AS$5:$AS$434,"&gt;0"),SUMIFS(Countries!$AL$5:$AL$434,Countries!$A$5:$A$434,$B$4,Countries!$B$5:$B$434,$B$5,Countries!$C$5:$C$434,$B$6,Countries!$D$5:$D$434,$A36,Countries!$AS$5:$AS$434,"&gt;0")))</f>
        <v/>
      </c>
      <c r="AU36" s="44">
        <f>IF(OR(AT36="",AS36=""),"",(AT36-AS36)*100)</f>
        <v/>
      </c>
      <c r="AV36" s="45">
        <f>IF(IF($B$6="Total",SUMIFS(Countries!$P$5:$P$434,Countries!$A$5:$A$434,$B$4,Countries!$B$5:$B$434,$B$5,Countries!$D$5:$D$434,$A36,Countries!$AR$5:$AR$434,"&gt;0"),SUMIFS(Countries!$P$5:$P$434,Countries!$A$5:$A$434,$B$4,Countries!$B$5:$B$434,$B$5,Countries!$C$5:$C$434,$B$6,Countries!$D$5:$D$434,$A36,Countries!$AR$5:$AR$434,"&gt;0"))=0,"",IF($B$6="Total",SUMIFS(Countries!$AR$5:$AR$434,Countries!$A$5:$A$434,$B$4,Countries!$B$5:$B$434,$B$5,Countries!$D$5:$D$434,$A36,Countries!$P$5:$P$434,"&gt;0"),SUMIFS(Countries!$AR$5:$AR$434,Countries!$A$5:$A$434,$B$4,Countries!$B$5:$B$434,$B$5,Countries!$C$5:$C$434,$B$6,Countries!$D$5:$D$434,$A36,Countries!$P$5:$P$434,"&gt;0"))/IF($B$6="Total",SUMIFS(Countries!$P$5:$P$434,Countries!$A$5:$A$434,$B$4,Countries!$B$5:$B$434,$B$5,Countries!$D$5:$D$434,$A36,Countries!$AR$5:$AR$434,"&gt;0"),SUMIFS(Countries!$P$5:$P$434,Countries!$A$5:$A$434,$B$4,Countries!$B$5:$B$434,$B$5,Countries!$C$5:$C$434,$B$6,Countries!$D$5:$D$434,$A36,Countries!$AR$5:$AR$434,"&gt;0")))</f>
        <v/>
      </c>
      <c r="AW36" s="45">
        <f>IF(IF($B$6="Total",SUMIFS(Countries!$Q$5:$Q$434,Countries!$A$5:$A$434,$B$4,Countries!$B$5:$B$434,$B$5,Countries!$D$5:$D$434,$A36,Countries!$AS$5:$AS$434,"&gt;0"),SUMIFS(Countries!$Q$5:$Q$434,Countries!$A$5:$A$434,$B$4,Countries!$B$5:$B$434,$B$5,Countries!$C$5:$C$434,$B$6,Countries!$D$5:$D$434,$A36,Countries!$AS$5:$AS$434,"&gt;0"))=0,"",IF($B$6="Total",SUMIFS(Countries!$AS$5:$AS$434,Countries!$A$5:$A$434,$B$4,Countries!$B$5:$B$434,$B$5,Countries!$D$5:$D$434,$A36,Countries!$Q$5:$Q$434,"&gt;0"),SUMIFS(Countries!$AS$5:$AS$434,Countries!$A$5:$A$434,$B$4,Countries!$B$5:$B$434,$B$5,Countries!$C$5:$C$434,$B$6,Countries!$D$5:$D$434,$A36,Countries!$Q$5:$Q$434,"&gt;0"))/IF($B$6="Total",SUMIFS(Countries!$Q$5:$Q$434,Countries!$A$5:$A$434,$B$4,Countries!$B$5:$B$434,$B$5,Countries!$D$5:$D$434,$A36,Countries!$AS$5:$AS$434,"&gt;0"),SUMIFS(Countries!$Q$5:$Q$434,Countries!$A$5:$A$434,$B$4,Countries!$B$5:$B$434,$B$5,Countries!$C$5:$C$434,$B$6,Countries!$D$5:$D$434,$A36,Countries!$AS$5:$AS$434,"&gt;0")))</f>
        <v/>
      </c>
      <c r="AX36" s="44">
        <f>IF(OR(AW36="",AV36=""),"",(AW36-AV36)*100)</f>
        <v/>
      </c>
      <c r="AY36" s="45">
        <f>IF(IF($B$6="Total",SUMIFS(Countries!$E$5:$E$434,Countries!$A$5:$A$434,$B$4,Countries!$B$5:$B$434,$B$5,Countries!$D$5:$D$434,$A36,Countries!$AR$5:$AR$434,"&gt;0"),SUMIFS(Countries!$E$5:$E$434,Countries!$A$5:$A$434,$B$4,Countries!$B$5:$B$434,$B$5,Countries!$C$5:$C$434,$B$6,Countries!$D$5:$D$434,$A36,Countries!$AR$5:$AR$434,"&gt;0"))=0,"",IF($B$6="Total",SUMIFS(Countries!$AR$5:$AR$434,Countries!$A$5:$A$434,$B$4,Countries!$B$5:$B$434,$B$5,Countries!$D$5:$D$434,$A36,Countries!$E$5:$E$434,"&gt;0"),SUMIFS(Countries!$AR$5:$AR$434,Countries!$A$5:$A$434,$B$4,Countries!$B$5:$B$434,$B$5,Countries!$C$5:$C$434,$B$6,Countries!$D$5:$D$434,$A36,Countries!$E$5:$E$434,"&gt;0"))/IF($B$6="Total",SUMIFS(Countries!$E$5:$E$434,Countries!$A$5:$A$434,$B$4,Countries!$B$5:$B$434,$B$5,Countries!$D$5:$D$434,$A36,Countries!$AR$5:$AR$434,"&gt;0"),SUMIFS(Countries!$E$5:$E$434,Countries!$A$5:$A$434,$B$4,Countries!$B$5:$B$434,$B$5,Countries!$C$5:$C$434,$B$6,Countries!$D$5:$D$434,$A36,Countries!$AR$5:$AR$434,"&gt;0")))</f>
        <v/>
      </c>
      <c r="AZ36" s="45">
        <f>IF(IF($B$6="Total",SUMIFS(Countries!$F$5:$F$434,Countries!$A$5:$A$434,$B$4,Countries!$B$5:$B$434,$B$5,Countries!$D$5:$D$434,$A36,Countries!$AS$5:$AS$434,"&gt;0"),SUMIFS(Countries!$F$5:$F$434,Countries!$A$5:$A$434,$B$4,Countries!$B$5:$B$434,$B$5,Countries!$C$5:$C$434,$B$6,Countries!$D$5:$D$434,$A36,Countries!$AS$5:$AS$434,"&gt;0"))=0,"",IF($B$6="Total",SUMIFS(Countries!$AS$5:$AS$434,Countries!$A$5:$A$434,$B$4,Countries!$B$5:$B$434,$B$5,Countries!$D$5:$D$434,$A36,Countries!$F$5:$F$434,"&gt;0"),SUMIFS(Countries!$AS$5:$AS$434,Countries!$A$5:$A$434,$B$4,Countries!$B$5:$B$434,$B$5,Countries!$C$5:$C$434,$B$6,Countries!$D$5:$D$434,$A36,Countries!$F$5:$F$434,"&gt;0"))/IF($B$6="Total",SUMIFS(Countries!$F$5:$F$434,Countries!$A$5:$A$434,$B$4,Countries!$B$5:$B$434,$B$5,Countries!$D$5:$D$434,$A36,Countries!$AS$5:$AS$434,"&gt;0"),SUMIFS(Countries!$F$5:$F$434,Countries!$A$5:$A$434,$B$4,Countries!$B$5:$B$434,$B$5,Countries!$C$5:$C$434,$B$6,Countries!$D$5:$D$434,$A36,Countries!$AS$5:$AS$434,"&gt;0")))</f>
        <v/>
      </c>
      <c r="BA36" s="44">
        <f>IF(OR(AZ36="",AY36=""),"",(AZ36-AY36)*100)</f>
        <v/>
      </c>
      <c r="BB36" s="40">
        <f>IF(AND(IF($B$6="Total",COUNTIFS(Countries!$A$5:$A$434,$B$4,Countries!$B$5:$B$434,$B$5,Countries!$D$5:$D$434,$A36,Countries!$F$5:$F$434,"&gt;0"),COUNTIFS(Countries!$A$5:$A$434,$B$4,Countries!$B$5:$B$434,$B$5,Countries!$C$5:$C$434,$B$6,Countries!$D$5:$D$434,$A36,Countries!$F$5:$F$434,"&gt;0"))=0,IF($B$6="Total",COUNTIFS(Countries!$A$5:$A$434,$B$4,Countries!$B$5:$B$434,$B$5,Countries!$D$5:$D$434,$A36,Countries!$E$5:$E$434,"&gt;0"),COUNTIFS(Countries!$A$5:$A$434,$B$4,Countries!$B$5:$B$434,$B$5,Countries!$C$5:$C$434,$B$6,Countries!$D$5:$D$434,$A36,Countries!$E$5:$E$434,"&gt;0"))=0),"",IF(IF($B$6="Total",COUNTIFS(Countries!$A$5:$A$434,$B$4,Countries!$B$5:$B$434,$B$5,Countries!$D$5:$D$434,$A36,Countries!$F$5:$F$434,"&gt;0"),COUNTIFS(Countries!$A$5:$A$434,$B$4,Countries!$B$5:$B$434,$B$5,Countries!$C$5:$C$434,$B$6,Countries!$D$5:$D$434,$A36,Countries!$F$5:$F$434,"&gt;0"))=0,"1-23Aug25 rows only",IF(IF($B$6="Total",COUNTIFS(Countries!$A$5:$A$434,$B$4,Countries!$B$5:$B$434,$B$5,Countries!$D$5:$D$434,$A36,Countries!$E$5:$E$434,"&gt;0"),COUNTIFS(Countries!$A$5:$A$434,$B$4,Countries!$B$5:$B$434,$B$5,Countries!$C$5:$C$434,$B$6,Countries!$D$5:$D$434,$A36,Countries!$E$5:$E$434,"&gt;0"))=0,"1-23Aug26 rows only",IF(IF($B$6="Total",COUNTIFS(Countries!$A$5:$A$434,$B$4,Countries!$B$5:$B$434,$B$5,Countries!$D$5:$D$434,$A36,Countries!$F$5:$F$434,"&gt;0"),COUNTIFS(Countries!$A$5:$A$434,$B$4,Countries!$B$5:$B$434,$B$5,Countries!$C$5:$C$434,$B$6,Countries!$D$5:$D$434,$A36,Countries!$F$5:$F$434,"&gt;0"))=IF($B$6="Total",COUNTIFS(Countries!$A$5:$A$434,$B$4,Countries!$B$5:$B$434,$B$5,Countries!$D$5:$D$434,$A36,Countries!$E$5:$E$434,"&gt;0"),COUNTIFS(Countries!$A$5:$A$434,$B$4,Countries!$B$5:$B$434,$B$5,Countries!$C$5:$C$434,$B$6,Countries!$D$5:$D$434,$A36,Countries!$E$5:$E$434,"&gt;0")),"Like-for-like","Partial — coverage differs"))))</f>
        <v/>
      </c>
    </row>
    <row r="37">
      <c r="A37" s="40" t="inlineStr">
        <is>
          <t>Croatia</t>
        </is>
      </c>
      <c r="B37" s="41">
        <f>IF(IF($B$6="Total",SUMIFS(Countries!$E$5:$E$434,Countries!$A$5:$A$434,$B$4,Countries!$B$5:$B$434,$B$5,Countries!$D$5:$D$434,$A37),SUMIFS(Countries!$E$5:$E$434,Countries!$A$5:$A$434,$B$4,Countries!$B$5:$B$434,$B$5,Countries!$C$5:$C$434,$B$6,Countries!$D$5:$D$434,$A37))=0,"",IF($B$6="Total",SUMIFS(Countries!$E$5:$E$434,Countries!$A$5:$A$434,$B$4,Countries!$B$5:$B$434,$B$5,Countries!$D$5:$D$434,$A37),SUMIFS(Countries!$E$5:$E$434,Countries!$A$5:$A$434,$B$4,Countries!$B$5:$B$434,$B$5,Countries!$C$5:$C$434,$B$6,Countries!$D$5:$D$434,$A37)))</f>
        <v/>
      </c>
      <c r="C37" s="41">
        <f>IF(IF($B$6="Total",SUMIFS(Countries!$F$5:$F$434,Countries!$A$5:$A$434,$B$4,Countries!$B$5:$B$434,$B$5,Countries!$D$5:$D$434,$A37),SUMIFS(Countries!$F$5:$F$434,Countries!$A$5:$A$434,$B$4,Countries!$B$5:$B$434,$B$5,Countries!$C$5:$C$434,$B$6,Countries!$D$5:$D$434,$A37))=0,"",IF($B$6="Total",SUMIFS(Countries!$F$5:$F$434,Countries!$A$5:$A$434,$B$4,Countries!$B$5:$B$434,$B$5,Countries!$D$5:$D$434,$A37),SUMIFS(Countries!$F$5:$F$434,Countries!$A$5:$A$434,$B$4,Countries!$B$5:$B$434,$B$5,Countries!$C$5:$C$434,$B$6,Countries!$D$5:$D$434,$A37)))</f>
        <v/>
      </c>
      <c r="D37" s="69">
        <f>IF(OR(C37="",B37="",B37=0,C37=0),"",C37-B37)</f>
        <v/>
      </c>
      <c r="E37" s="42">
        <f>IF(OR(C37="",B37="",B37=0,C37=0),"",C37/B37-1)</f>
        <v/>
      </c>
      <c r="F37" s="41">
        <f>IF(IF($B$6="Total",SUMIFS(Countries!$I$5:$I$434,Countries!$A$5:$A$434,$B$4,Countries!$B$5:$B$434,$B$5,Countries!$D$5:$D$434,$A37),SUMIFS(Countries!$I$5:$I$434,Countries!$A$5:$A$434,$B$4,Countries!$B$5:$B$434,$B$5,Countries!$C$5:$C$434,$B$6,Countries!$D$5:$D$434,$A37))=0,"",IF($B$6="Total",SUMIFS(Countries!$I$5:$I$434,Countries!$A$5:$A$434,$B$4,Countries!$B$5:$B$434,$B$5,Countries!$D$5:$D$434,$A37),SUMIFS(Countries!$I$5:$I$434,Countries!$A$5:$A$434,$B$4,Countries!$B$5:$B$434,$B$5,Countries!$C$5:$C$434,$B$6,Countries!$D$5:$D$434,$A37)))</f>
        <v/>
      </c>
      <c r="G37" s="41">
        <f>IF(IF($B$6="Total",SUMIFS(Countries!$J$5:$J$434,Countries!$A$5:$A$434,$B$4,Countries!$B$5:$B$434,$B$5,Countries!$D$5:$D$434,$A37),SUMIFS(Countries!$J$5:$J$434,Countries!$A$5:$A$434,$B$4,Countries!$B$5:$B$434,$B$5,Countries!$C$5:$C$434,$B$6,Countries!$D$5:$D$434,$A37))=0,"",IF($B$6="Total",SUMIFS(Countries!$J$5:$J$434,Countries!$A$5:$A$434,$B$4,Countries!$B$5:$B$434,$B$5,Countries!$D$5:$D$434,$A37),SUMIFS(Countries!$J$5:$J$434,Countries!$A$5:$A$434,$B$4,Countries!$B$5:$B$434,$B$5,Countries!$C$5:$C$434,$B$6,Countries!$D$5:$D$434,$A37)))</f>
        <v/>
      </c>
      <c r="H37" s="69">
        <f>IF(OR(G37="",F37="",F37=0,G37=0),"",G37-F37)</f>
        <v/>
      </c>
      <c r="I37" s="42">
        <f>IF(OR(G37="",F37="",F37=0,G37=0),"",G37/F37-1)</f>
        <v/>
      </c>
      <c r="J37" s="43">
        <f>IF(IF($B$6="Total",SUMIFS(Countries!$E$5:$E$434,Countries!$A$5:$A$434,$B$4,Countries!$B$5:$B$434,$B$5,Countries!$D$5:$D$434,$A37,Countries!$I$5:$I$434,"&gt;0"),SUMIFS(Countries!$E$5:$E$434,Countries!$A$5:$A$434,$B$4,Countries!$B$5:$B$434,$B$5,Countries!$C$5:$C$434,$B$6,Countries!$D$5:$D$434,$A37,Countries!$I$5:$I$434,"&gt;0"))=0,"",IF($B$6="Total",SUMIFS(Countries!$I$5:$I$434,Countries!$A$5:$A$434,$B$4,Countries!$B$5:$B$434,$B$5,Countries!$D$5:$D$434,$A37,Countries!$E$5:$E$434,"&gt;0"),SUMIFS(Countries!$I$5:$I$434,Countries!$A$5:$A$434,$B$4,Countries!$B$5:$B$434,$B$5,Countries!$C$5:$C$434,$B$6,Countries!$D$5:$D$434,$A37,Countries!$E$5:$E$434,"&gt;0"))/IF($B$6="Total",SUMIFS(Countries!$E$5:$E$434,Countries!$A$5:$A$434,$B$4,Countries!$B$5:$B$434,$B$5,Countries!$D$5:$D$434,$A37,Countries!$I$5:$I$434,"&gt;0"),SUMIFS(Countries!$E$5:$E$434,Countries!$A$5:$A$434,$B$4,Countries!$B$5:$B$434,$B$5,Countries!$C$5:$C$434,$B$6,Countries!$D$5:$D$434,$A37,Countries!$I$5:$I$434,"&gt;0")))</f>
        <v/>
      </c>
      <c r="K37" s="43">
        <f>IF(IF($B$6="Total",SUMIFS(Countries!$F$5:$F$434,Countries!$A$5:$A$434,$B$4,Countries!$B$5:$B$434,$B$5,Countries!$D$5:$D$434,$A37,Countries!$J$5:$J$434,"&gt;0"),SUMIFS(Countries!$F$5:$F$434,Countries!$A$5:$A$434,$B$4,Countries!$B$5:$B$434,$B$5,Countries!$C$5:$C$434,$B$6,Countries!$D$5:$D$434,$A37,Countries!$J$5:$J$434,"&gt;0"))=0,"",IF($B$6="Total",SUMIFS(Countries!$J$5:$J$434,Countries!$A$5:$A$434,$B$4,Countries!$B$5:$B$434,$B$5,Countries!$D$5:$D$434,$A37,Countries!$F$5:$F$434,"&gt;0"),SUMIFS(Countries!$J$5:$J$434,Countries!$A$5:$A$434,$B$4,Countries!$B$5:$B$434,$B$5,Countries!$C$5:$C$434,$B$6,Countries!$D$5:$D$434,$A37,Countries!$F$5:$F$434,"&gt;0"))/IF($B$6="Total",SUMIFS(Countries!$F$5:$F$434,Countries!$A$5:$A$434,$B$4,Countries!$B$5:$B$434,$B$5,Countries!$D$5:$D$434,$A37,Countries!$J$5:$J$434,"&gt;0"),SUMIFS(Countries!$F$5:$F$434,Countries!$A$5:$A$434,$B$4,Countries!$B$5:$B$434,$B$5,Countries!$C$5:$C$434,$B$6,Countries!$D$5:$D$434,$A37,Countries!$J$5:$J$434,"&gt;0")))</f>
        <v/>
      </c>
      <c r="L37" s="44">
        <f>IF(OR(K37="",J37=""),"",(K37-J37)*100)</f>
        <v/>
      </c>
      <c r="M37" s="41">
        <f>IF(IF($B$6="Total",SUMIFS(Countries!$P$5:$P$434,Countries!$A$5:$A$434,$B$4,Countries!$B$5:$B$434,$B$5,Countries!$D$5:$D$434,$A37),SUMIFS(Countries!$P$5:$P$434,Countries!$A$5:$A$434,$B$4,Countries!$B$5:$B$434,$B$5,Countries!$C$5:$C$434,$B$6,Countries!$D$5:$D$434,$A37))=0,"",IF($B$6="Total",SUMIFS(Countries!$P$5:$P$434,Countries!$A$5:$A$434,$B$4,Countries!$B$5:$B$434,$B$5,Countries!$D$5:$D$434,$A37),SUMIFS(Countries!$P$5:$P$434,Countries!$A$5:$A$434,$B$4,Countries!$B$5:$B$434,$B$5,Countries!$C$5:$C$434,$B$6,Countries!$D$5:$D$434,$A37)))</f>
        <v/>
      </c>
      <c r="N37" s="41">
        <f>IF(IF($B$6="Total",SUMIFS(Countries!$Q$5:$Q$434,Countries!$A$5:$A$434,$B$4,Countries!$B$5:$B$434,$B$5,Countries!$D$5:$D$434,$A37),SUMIFS(Countries!$Q$5:$Q$434,Countries!$A$5:$A$434,$B$4,Countries!$B$5:$B$434,$B$5,Countries!$C$5:$C$434,$B$6,Countries!$D$5:$D$434,$A37))=0,"",IF($B$6="Total",SUMIFS(Countries!$Q$5:$Q$434,Countries!$A$5:$A$434,$B$4,Countries!$B$5:$B$434,$B$5,Countries!$D$5:$D$434,$A37),SUMIFS(Countries!$Q$5:$Q$434,Countries!$A$5:$A$434,$B$4,Countries!$B$5:$B$434,$B$5,Countries!$C$5:$C$434,$B$6,Countries!$D$5:$D$434,$A37)))</f>
        <v/>
      </c>
      <c r="O37" s="69">
        <f>IF(OR(N37="",M37="",M37=0,N37=0),"",N37-M37)</f>
        <v/>
      </c>
      <c r="P37" s="42">
        <f>IF(OR(N37="",M37="",M37=0,N37=0),"",N37/M37-1)</f>
        <v/>
      </c>
      <c r="Q37" s="43">
        <f>IF(IF($B$6="Total",SUMIFS(Countries!$E$5:$E$434,Countries!$A$5:$A$434,$B$4,Countries!$B$5:$B$434,$B$5,Countries!$D$5:$D$434,$A37,Countries!$P$5:$P$434,"&gt;0"),SUMIFS(Countries!$E$5:$E$434,Countries!$A$5:$A$434,$B$4,Countries!$B$5:$B$434,$B$5,Countries!$C$5:$C$434,$B$6,Countries!$D$5:$D$434,$A37,Countries!$P$5:$P$434,"&gt;0"))=0,"",IF($B$6="Total",SUMIFS(Countries!$P$5:$P$434,Countries!$A$5:$A$434,$B$4,Countries!$B$5:$B$434,$B$5,Countries!$D$5:$D$434,$A37,Countries!$E$5:$E$434,"&gt;0"),SUMIFS(Countries!$P$5:$P$434,Countries!$A$5:$A$434,$B$4,Countries!$B$5:$B$434,$B$5,Countries!$C$5:$C$434,$B$6,Countries!$D$5:$D$434,$A37,Countries!$E$5:$E$434,"&gt;0"))/IF($B$6="Total",SUMIFS(Countries!$E$5:$E$434,Countries!$A$5:$A$434,$B$4,Countries!$B$5:$B$434,$B$5,Countries!$D$5:$D$434,$A37,Countries!$P$5:$P$434,"&gt;0"),SUMIFS(Countries!$E$5:$E$434,Countries!$A$5:$A$434,$B$4,Countries!$B$5:$B$434,$B$5,Countries!$C$5:$C$434,$B$6,Countries!$D$5:$D$434,$A37,Countries!$P$5:$P$434,"&gt;0")))</f>
        <v/>
      </c>
      <c r="R37" s="43">
        <f>IF(IF($B$6="Total",SUMIFS(Countries!$F$5:$F$434,Countries!$A$5:$A$434,$B$4,Countries!$B$5:$B$434,$B$5,Countries!$D$5:$D$434,$A37,Countries!$Q$5:$Q$434,"&gt;0"),SUMIFS(Countries!$F$5:$F$434,Countries!$A$5:$A$434,$B$4,Countries!$B$5:$B$434,$B$5,Countries!$C$5:$C$434,$B$6,Countries!$D$5:$D$434,$A37,Countries!$Q$5:$Q$434,"&gt;0"))=0,"",IF($B$6="Total",SUMIFS(Countries!$Q$5:$Q$434,Countries!$A$5:$A$434,$B$4,Countries!$B$5:$B$434,$B$5,Countries!$D$5:$D$434,$A37,Countries!$F$5:$F$434,"&gt;0"),SUMIFS(Countries!$Q$5:$Q$434,Countries!$A$5:$A$434,$B$4,Countries!$B$5:$B$434,$B$5,Countries!$C$5:$C$434,$B$6,Countries!$D$5:$D$434,$A37,Countries!$F$5:$F$434,"&gt;0"))/IF($B$6="Total",SUMIFS(Countries!$F$5:$F$434,Countries!$A$5:$A$434,$B$4,Countries!$B$5:$B$434,$B$5,Countries!$D$5:$D$434,$A37,Countries!$Q$5:$Q$434,"&gt;0"),SUMIFS(Countries!$F$5:$F$434,Countries!$A$5:$A$434,$B$4,Countries!$B$5:$B$434,$B$5,Countries!$C$5:$C$434,$B$6,Countries!$D$5:$D$434,$A37,Countries!$Q$5:$Q$434,"&gt;0")))</f>
        <v/>
      </c>
      <c r="S37" s="44">
        <f>IF(OR(R37="",Q37=""),"",(R37-Q37)*100)</f>
        <v/>
      </c>
      <c r="T37" s="41">
        <f>IF(IF($B$6="Total",SUMIFS(Countries!$W$5:$W$434,Countries!$A$5:$A$434,$B$4,Countries!$B$5:$B$434,$B$5,Countries!$D$5:$D$434,$A37),SUMIFS(Countries!$W$5:$W$434,Countries!$A$5:$A$434,$B$4,Countries!$B$5:$B$434,$B$5,Countries!$C$5:$C$434,$B$6,Countries!$D$5:$D$434,$A37))=0,"",IF($B$6="Total",SUMIFS(Countries!$W$5:$W$434,Countries!$A$5:$A$434,$B$4,Countries!$B$5:$B$434,$B$5,Countries!$D$5:$D$434,$A37),SUMIFS(Countries!$W$5:$W$434,Countries!$A$5:$A$434,$B$4,Countries!$B$5:$B$434,$B$5,Countries!$C$5:$C$434,$B$6,Countries!$D$5:$D$434,$A37)))</f>
        <v/>
      </c>
      <c r="U37" s="41">
        <f>IF(IF($B$6="Total",SUMIFS(Countries!$X$5:$X$434,Countries!$A$5:$A$434,$B$4,Countries!$B$5:$B$434,$B$5,Countries!$D$5:$D$434,$A37),SUMIFS(Countries!$X$5:$X$434,Countries!$A$5:$A$434,$B$4,Countries!$B$5:$B$434,$B$5,Countries!$C$5:$C$434,$B$6,Countries!$D$5:$D$434,$A37))=0,"",IF($B$6="Total",SUMIFS(Countries!$X$5:$X$434,Countries!$A$5:$A$434,$B$4,Countries!$B$5:$B$434,$B$5,Countries!$D$5:$D$434,$A37),SUMIFS(Countries!$X$5:$X$434,Countries!$A$5:$A$434,$B$4,Countries!$B$5:$B$434,$B$5,Countries!$C$5:$C$434,$B$6,Countries!$D$5:$D$434,$A37)))</f>
        <v/>
      </c>
      <c r="V37" s="69">
        <f>IF(OR(U37="",T37="",T37=0,U37=0),"",U37-T37)</f>
        <v/>
      </c>
      <c r="W37" s="42">
        <f>IF(OR(U37="",T37="",T37=0,U37=0),"",U37/T37-1)</f>
        <v/>
      </c>
      <c r="X37" s="43">
        <f>IF(IF($B$6="Total",SUMIFS(Countries!$P$5:$P$434,Countries!$A$5:$A$434,$B$4,Countries!$B$5:$B$434,$B$5,Countries!$D$5:$D$434,$A37,Countries!$W$5:$W$434,"&gt;0"),SUMIFS(Countries!$P$5:$P$434,Countries!$A$5:$A$434,$B$4,Countries!$B$5:$B$434,$B$5,Countries!$C$5:$C$434,$B$6,Countries!$D$5:$D$434,$A37,Countries!$W$5:$W$434,"&gt;0"))=0,"",IF($B$6="Total",SUMIFS(Countries!$W$5:$W$434,Countries!$A$5:$A$434,$B$4,Countries!$B$5:$B$434,$B$5,Countries!$D$5:$D$434,$A37,Countries!$P$5:$P$434,"&gt;0"),SUMIFS(Countries!$W$5:$W$434,Countries!$A$5:$A$434,$B$4,Countries!$B$5:$B$434,$B$5,Countries!$C$5:$C$434,$B$6,Countries!$D$5:$D$434,$A37,Countries!$P$5:$P$434,"&gt;0"))/IF($B$6="Total",SUMIFS(Countries!$P$5:$P$434,Countries!$A$5:$A$434,$B$4,Countries!$B$5:$B$434,$B$5,Countries!$D$5:$D$434,$A37,Countries!$W$5:$W$434,"&gt;0"),SUMIFS(Countries!$P$5:$P$434,Countries!$A$5:$A$434,$B$4,Countries!$B$5:$B$434,$B$5,Countries!$C$5:$C$434,$B$6,Countries!$D$5:$D$434,$A37,Countries!$W$5:$W$434,"&gt;0")))</f>
        <v/>
      </c>
      <c r="Y37" s="43">
        <f>IF(IF($B$6="Total",SUMIFS(Countries!$Q$5:$Q$434,Countries!$A$5:$A$434,$B$4,Countries!$B$5:$B$434,$B$5,Countries!$D$5:$D$434,$A37,Countries!$X$5:$X$434,"&gt;0"),SUMIFS(Countries!$Q$5:$Q$434,Countries!$A$5:$A$434,$B$4,Countries!$B$5:$B$434,$B$5,Countries!$C$5:$C$434,$B$6,Countries!$D$5:$D$434,$A37,Countries!$X$5:$X$434,"&gt;0"))=0,"",IF($B$6="Total",SUMIFS(Countries!$X$5:$X$434,Countries!$A$5:$A$434,$B$4,Countries!$B$5:$B$434,$B$5,Countries!$D$5:$D$434,$A37,Countries!$Q$5:$Q$434,"&gt;0"),SUMIFS(Countries!$X$5:$X$434,Countries!$A$5:$A$434,$B$4,Countries!$B$5:$B$434,$B$5,Countries!$C$5:$C$434,$B$6,Countries!$D$5:$D$434,$A37,Countries!$Q$5:$Q$434,"&gt;0"))/IF($B$6="Total",SUMIFS(Countries!$Q$5:$Q$434,Countries!$A$5:$A$434,$B$4,Countries!$B$5:$B$434,$B$5,Countries!$D$5:$D$434,$A37,Countries!$X$5:$X$434,"&gt;0"),SUMIFS(Countries!$Q$5:$Q$434,Countries!$A$5:$A$434,$B$4,Countries!$B$5:$B$434,$B$5,Countries!$C$5:$C$434,$B$6,Countries!$D$5:$D$434,$A37,Countries!$X$5:$X$434,"&gt;0")))</f>
        <v/>
      </c>
      <c r="Z37" s="44">
        <f>IF(OR(Y37="",X37=""),"",(Y37-X37)*100)</f>
        <v/>
      </c>
      <c r="AA37" s="41">
        <f>IF(IF($B$6="Total",SUMIFS(Countries!$AD$5:$AD$434,Countries!$A$5:$A$434,$B$4,Countries!$B$5:$B$434,$B$5,Countries!$D$5:$D$434,$A37),SUMIFS(Countries!$AD$5:$AD$434,Countries!$A$5:$A$434,$B$4,Countries!$B$5:$B$434,$B$5,Countries!$C$5:$C$434,$B$6,Countries!$D$5:$D$434,$A37))=0,"",IF($B$6="Total",SUMIFS(Countries!$AD$5:$AD$434,Countries!$A$5:$A$434,$B$4,Countries!$B$5:$B$434,$B$5,Countries!$D$5:$D$434,$A37),SUMIFS(Countries!$AD$5:$AD$434,Countries!$A$5:$A$434,$B$4,Countries!$B$5:$B$434,$B$5,Countries!$C$5:$C$434,$B$6,Countries!$D$5:$D$434,$A37)))</f>
        <v/>
      </c>
      <c r="AB37" s="41">
        <f>IF(IF($B$6="Total",SUMIFS(Countries!$AE$5:$AE$434,Countries!$A$5:$A$434,$B$4,Countries!$B$5:$B$434,$B$5,Countries!$D$5:$D$434,$A37),SUMIFS(Countries!$AE$5:$AE$434,Countries!$A$5:$A$434,$B$4,Countries!$B$5:$B$434,$B$5,Countries!$C$5:$C$434,$B$6,Countries!$D$5:$D$434,$A37))=0,"",IF($B$6="Total",SUMIFS(Countries!$AE$5:$AE$434,Countries!$A$5:$A$434,$B$4,Countries!$B$5:$B$434,$B$5,Countries!$D$5:$D$434,$A37),SUMIFS(Countries!$AE$5:$AE$434,Countries!$A$5:$A$434,$B$4,Countries!$B$5:$B$434,$B$5,Countries!$C$5:$C$434,$B$6,Countries!$D$5:$D$434,$A37)))</f>
        <v/>
      </c>
      <c r="AC37" s="69">
        <f>IF(OR(AB37="",AA37="",AA37=0,AB37=0),"",AB37-AA37)</f>
        <v/>
      </c>
      <c r="AD37" s="42">
        <f>IF(OR(AB37="",AA37="",AA37=0,AB37=0),"",AB37/AA37-1)</f>
        <v/>
      </c>
      <c r="AE37" s="43">
        <f>IF(IF($B$6="Total",SUMIFS(Countries!$W$5:$W$434,Countries!$A$5:$A$434,$B$4,Countries!$B$5:$B$434,$B$5,Countries!$D$5:$D$434,$A37,Countries!$AD$5:$AD$434,"&gt;0"),SUMIFS(Countries!$W$5:$W$434,Countries!$A$5:$A$434,$B$4,Countries!$B$5:$B$434,$B$5,Countries!$C$5:$C$434,$B$6,Countries!$D$5:$D$434,$A37,Countries!$AD$5:$AD$434,"&gt;0"))=0,"",IF($B$6="Total",SUMIFS(Countries!$AD$5:$AD$434,Countries!$A$5:$A$434,$B$4,Countries!$B$5:$B$434,$B$5,Countries!$D$5:$D$434,$A37,Countries!$W$5:$W$434,"&gt;0"),SUMIFS(Countries!$AD$5:$AD$434,Countries!$A$5:$A$434,$B$4,Countries!$B$5:$B$434,$B$5,Countries!$C$5:$C$434,$B$6,Countries!$D$5:$D$434,$A37,Countries!$W$5:$W$434,"&gt;0"))/IF($B$6="Total",SUMIFS(Countries!$W$5:$W$434,Countries!$A$5:$A$434,$B$4,Countries!$B$5:$B$434,$B$5,Countries!$D$5:$D$434,$A37,Countries!$AD$5:$AD$434,"&gt;0"),SUMIFS(Countries!$W$5:$W$434,Countries!$A$5:$A$434,$B$4,Countries!$B$5:$B$434,$B$5,Countries!$C$5:$C$434,$B$6,Countries!$D$5:$D$434,$A37,Countries!$AD$5:$AD$434,"&gt;0")))</f>
        <v/>
      </c>
      <c r="AF37" s="43">
        <f>IF(IF($B$6="Total",SUMIFS(Countries!$X$5:$X$434,Countries!$A$5:$A$434,$B$4,Countries!$B$5:$B$434,$B$5,Countries!$D$5:$D$434,$A37,Countries!$AE$5:$AE$434,"&gt;0"),SUMIFS(Countries!$X$5:$X$434,Countries!$A$5:$A$434,$B$4,Countries!$B$5:$B$434,$B$5,Countries!$C$5:$C$434,$B$6,Countries!$D$5:$D$434,$A37,Countries!$AE$5:$AE$434,"&gt;0"))=0,"",IF($B$6="Total",SUMIFS(Countries!$AE$5:$AE$434,Countries!$A$5:$A$434,$B$4,Countries!$B$5:$B$434,$B$5,Countries!$D$5:$D$434,$A37,Countries!$X$5:$X$434,"&gt;0"),SUMIFS(Countries!$AE$5:$AE$434,Countries!$A$5:$A$434,$B$4,Countries!$B$5:$B$434,$B$5,Countries!$C$5:$C$434,$B$6,Countries!$D$5:$D$434,$A37,Countries!$X$5:$X$434,"&gt;0"))/IF($B$6="Total",SUMIFS(Countries!$X$5:$X$434,Countries!$A$5:$A$434,$B$4,Countries!$B$5:$B$434,$B$5,Countries!$D$5:$D$434,$A37,Countries!$AE$5:$AE$434,"&gt;0"),SUMIFS(Countries!$X$5:$X$434,Countries!$A$5:$A$434,$B$4,Countries!$B$5:$B$434,$B$5,Countries!$C$5:$C$434,$B$6,Countries!$D$5:$D$434,$A37,Countries!$AE$5:$AE$434,"&gt;0")))</f>
        <v/>
      </c>
      <c r="AG37" s="44">
        <f>IF(OR(AF37="",AE37=""),"",(AF37-AE37)*100)</f>
        <v/>
      </c>
      <c r="AH37" s="41">
        <f>IF(IF($B$6="Total",SUMIFS(Countries!$AK$5:$AK$434,Countries!$A$5:$A$434,$B$4,Countries!$B$5:$B$434,$B$5,Countries!$D$5:$D$434,$A37),SUMIFS(Countries!$AK$5:$AK$434,Countries!$A$5:$A$434,$B$4,Countries!$B$5:$B$434,$B$5,Countries!$C$5:$C$434,$B$6,Countries!$D$5:$D$434,$A37))=0,"",IF($B$6="Total",SUMIFS(Countries!$AK$5:$AK$434,Countries!$A$5:$A$434,$B$4,Countries!$B$5:$B$434,$B$5,Countries!$D$5:$D$434,$A37),SUMIFS(Countries!$AK$5:$AK$434,Countries!$A$5:$A$434,$B$4,Countries!$B$5:$B$434,$B$5,Countries!$C$5:$C$434,$B$6,Countries!$D$5:$D$434,$A37)))</f>
        <v/>
      </c>
      <c r="AI37" s="41">
        <f>IF(IF($B$6="Total",SUMIFS(Countries!$AL$5:$AL$434,Countries!$A$5:$A$434,$B$4,Countries!$B$5:$B$434,$B$5,Countries!$D$5:$D$434,$A37),SUMIFS(Countries!$AL$5:$AL$434,Countries!$A$5:$A$434,$B$4,Countries!$B$5:$B$434,$B$5,Countries!$C$5:$C$434,$B$6,Countries!$D$5:$D$434,$A37))=0,"",IF($B$6="Total",SUMIFS(Countries!$AL$5:$AL$434,Countries!$A$5:$A$434,$B$4,Countries!$B$5:$B$434,$B$5,Countries!$D$5:$D$434,$A37),SUMIFS(Countries!$AL$5:$AL$434,Countries!$A$5:$A$434,$B$4,Countries!$B$5:$B$434,$B$5,Countries!$C$5:$C$434,$B$6,Countries!$D$5:$D$434,$A37)))</f>
        <v/>
      </c>
      <c r="AJ37" s="69">
        <f>IF(OR(AI37="",AH37="",AH37=0,AI37=0),"",AI37-AH37)</f>
        <v/>
      </c>
      <c r="AK37" s="42">
        <f>IF(OR(AI37="",AH37="",AH37=0,AI37=0),"",AI37/AH37-1)</f>
        <v/>
      </c>
      <c r="AL37" s="43">
        <f>IF(IF($B$6="Total",SUMIFS(Countries!$AD$5:$AD$434,Countries!$A$5:$A$434,$B$4,Countries!$B$5:$B$434,$B$5,Countries!$D$5:$D$434,$A37,Countries!$AK$5:$AK$434,"&gt;0"),SUMIFS(Countries!$AD$5:$AD$434,Countries!$A$5:$A$434,$B$4,Countries!$B$5:$B$434,$B$5,Countries!$C$5:$C$434,$B$6,Countries!$D$5:$D$434,$A37,Countries!$AK$5:$AK$434,"&gt;0"))=0,"",IF($B$6="Total",SUMIFS(Countries!$AK$5:$AK$434,Countries!$A$5:$A$434,$B$4,Countries!$B$5:$B$434,$B$5,Countries!$D$5:$D$434,$A37,Countries!$AD$5:$AD$434,"&gt;0"),SUMIFS(Countries!$AK$5:$AK$434,Countries!$A$5:$A$434,$B$4,Countries!$B$5:$B$434,$B$5,Countries!$C$5:$C$434,$B$6,Countries!$D$5:$D$434,$A37,Countries!$AD$5:$AD$434,"&gt;0"))/IF($B$6="Total",SUMIFS(Countries!$AD$5:$AD$434,Countries!$A$5:$A$434,$B$4,Countries!$B$5:$B$434,$B$5,Countries!$D$5:$D$434,$A37,Countries!$AK$5:$AK$434,"&gt;0"),SUMIFS(Countries!$AD$5:$AD$434,Countries!$A$5:$A$434,$B$4,Countries!$B$5:$B$434,$B$5,Countries!$C$5:$C$434,$B$6,Countries!$D$5:$D$434,$A37,Countries!$AK$5:$AK$434,"&gt;0")))</f>
        <v/>
      </c>
      <c r="AM37" s="43">
        <f>IF(IF($B$6="Total",SUMIFS(Countries!$AE$5:$AE$434,Countries!$A$5:$A$434,$B$4,Countries!$B$5:$B$434,$B$5,Countries!$D$5:$D$434,$A37,Countries!$AL$5:$AL$434,"&gt;0"),SUMIFS(Countries!$AE$5:$AE$434,Countries!$A$5:$A$434,$B$4,Countries!$B$5:$B$434,$B$5,Countries!$C$5:$C$434,$B$6,Countries!$D$5:$D$434,$A37,Countries!$AL$5:$AL$434,"&gt;0"))=0,"",IF($B$6="Total",SUMIFS(Countries!$AL$5:$AL$434,Countries!$A$5:$A$434,$B$4,Countries!$B$5:$B$434,$B$5,Countries!$D$5:$D$434,$A37,Countries!$AE$5:$AE$434,"&gt;0"),SUMIFS(Countries!$AL$5:$AL$434,Countries!$A$5:$A$434,$B$4,Countries!$B$5:$B$434,$B$5,Countries!$C$5:$C$434,$B$6,Countries!$D$5:$D$434,$A37,Countries!$AE$5:$AE$434,"&gt;0"))/IF($B$6="Total",SUMIFS(Countries!$AE$5:$AE$434,Countries!$A$5:$A$434,$B$4,Countries!$B$5:$B$434,$B$5,Countries!$D$5:$D$434,$A37,Countries!$AL$5:$AL$434,"&gt;0"),SUMIFS(Countries!$AE$5:$AE$434,Countries!$A$5:$A$434,$B$4,Countries!$B$5:$B$434,$B$5,Countries!$C$5:$C$434,$B$6,Countries!$D$5:$D$434,$A37,Countries!$AL$5:$AL$434,"&gt;0")))</f>
        <v/>
      </c>
      <c r="AN37" s="44">
        <f>IF(OR(AM37="",AL37=""),"",(AM37-AL37)*100)</f>
        <v/>
      </c>
      <c r="AO37" s="41">
        <f>IF(IF($B$6="Total",SUMIFS(Countries!$AR$5:$AR$434,Countries!$A$5:$A$434,$B$4,Countries!$B$5:$B$434,$B$5,Countries!$D$5:$D$434,$A37),SUMIFS(Countries!$AR$5:$AR$434,Countries!$A$5:$A$434,$B$4,Countries!$B$5:$B$434,$B$5,Countries!$C$5:$C$434,$B$6,Countries!$D$5:$D$434,$A37))=0,"",IF($B$6="Total",SUMIFS(Countries!$AR$5:$AR$434,Countries!$A$5:$A$434,$B$4,Countries!$B$5:$B$434,$B$5,Countries!$D$5:$D$434,$A37),SUMIFS(Countries!$AR$5:$AR$434,Countries!$A$5:$A$434,$B$4,Countries!$B$5:$B$434,$B$5,Countries!$C$5:$C$434,$B$6,Countries!$D$5:$D$434,$A37)))</f>
        <v/>
      </c>
      <c r="AP37" s="41">
        <f>IF(IF($B$6="Total",SUMIFS(Countries!$AS$5:$AS$434,Countries!$A$5:$A$434,$B$4,Countries!$B$5:$B$434,$B$5,Countries!$D$5:$D$434,$A37),SUMIFS(Countries!$AS$5:$AS$434,Countries!$A$5:$A$434,$B$4,Countries!$B$5:$B$434,$B$5,Countries!$C$5:$C$434,$B$6,Countries!$D$5:$D$434,$A37))=0,"",IF($B$6="Total",SUMIFS(Countries!$AS$5:$AS$434,Countries!$A$5:$A$434,$B$4,Countries!$B$5:$B$434,$B$5,Countries!$D$5:$D$434,$A37),SUMIFS(Countries!$AS$5:$AS$434,Countries!$A$5:$A$434,$B$4,Countries!$B$5:$B$434,$B$5,Countries!$C$5:$C$434,$B$6,Countries!$D$5:$D$434,$A37)))</f>
        <v/>
      </c>
      <c r="AQ37" s="69">
        <f>IF(OR(AP37="",AO37="",AO37=0,AP37=0),"",AP37-AO37)</f>
        <v/>
      </c>
      <c r="AR37" s="42">
        <f>IF(OR(AP37="",AO37="",AO37=0,AP37=0),"",AP37/AO37-1)</f>
        <v/>
      </c>
      <c r="AS37" s="43">
        <f>IF(IF($B$6="Total",SUMIFS(Countries!$AK$5:$AK$434,Countries!$A$5:$A$434,$B$4,Countries!$B$5:$B$434,$B$5,Countries!$D$5:$D$434,$A37,Countries!$AR$5:$AR$434,"&gt;0"),SUMIFS(Countries!$AK$5:$AK$434,Countries!$A$5:$A$434,$B$4,Countries!$B$5:$B$434,$B$5,Countries!$C$5:$C$434,$B$6,Countries!$D$5:$D$434,$A37,Countries!$AR$5:$AR$434,"&gt;0"))=0,"",IF($B$6="Total",SUMIFS(Countries!$AR$5:$AR$434,Countries!$A$5:$A$434,$B$4,Countries!$B$5:$B$434,$B$5,Countries!$D$5:$D$434,$A37,Countries!$AK$5:$AK$434,"&gt;0"),SUMIFS(Countries!$AR$5:$AR$434,Countries!$A$5:$A$434,$B$4,Countries!$B$5:$B$434,$B$5,Countries!$C$5:$C$434,$B$6,Countries!$D$5:$D$434,$A37,Countries!$AK$5:$AK$434,"&gt;0"))/IF($B$6="Total",SUMIFS(Countries!$AK$5:$AK$434,Countries!$A$5:$A$434,$B$4,Countries!$B$5:$B$434,$B$5,Countries!$D$5:$D$434,$A37,Countries!$AR$5:$AR$434,"&gt;0"),SUMIFS(Countries!$AK$5:$AK$434,Countries!$A$5:$A$434,$B$4,Countries!$B$5:$B$434,$B$5,Countries!$C$5:$C$434,$B$6,Countries!$D$5:$D$434,$A37,Countries!$AR$5:$AR$434,"&gt;0")))</f>
        <v/>
      </c>
      <c r="AT37" s="43">
        <f>IF(IF($B$6="Total",SUMIFS(Countries!$AL$5:$AL$434,Countries!$A$5:$A$434,$B$4,Countries!$B$5:$B$434,$B$5,Countries!$D$5:$D$434,$A37,Countries!$AS$5:$AS$434,"&gt;0"),SUMIFS(Countries!$AL$5:$AL$434,Countries!$A$5:$A$434,$B$4,Countries!$B$5:$B$434,$B$5,Countries!$C$5:$C$434,$B$6,Countries!$D$5:$D$434,$A37,Countries!$AS$5:$AS$434,"&gt;0"))=0,"",IF($B$6="Total",SUMIFS(Countries!$AS$5:$AS$434,Countries!$A$5:$A$434,$B$4,Countries!$B$5:$B$434,$B$5,Countries!$D$5:$D$434,$A37,Countries!$AL$5:$AL$434,"&gt;0"),SUMIFS(Countries!$AS$5:$AS$434,Countries!$A$5:$A$434,$B$4,Countries!$B$5:$B$434,$B$5,Countries!$C$5:$C$434,$B$6,Countries!$D$5:$D$434,$A37,Countries!$AL$5:$AL$434,"&gt;0"))/IF($B$6="Total",SUMIFS(Countries!$AL$5:$AL$434,Countries!$A$5:$A$434,$B$4,Countries!$B$5:$B$434,$B$5,Countries!$D$5:$D$434,$A37,Countries!$AS$5:$AS$434,"&gt;0"),SUMIFS(Countries!$AL$5:$AL$434,Countries!$A$5:$A$434,$B$4,Countries!$B$5:$B$434,$B$5,Countries!$C$5:$C$434,$B$6,Countries!$D$5:$D$434,$A37,Countries!$AS$5:$AS$434,"&gt;0")))</f>
        <v/>
      </c>
      <c r="AU37" s="44">
        <f>IF(OR(AT37="",AS37=""),"",(AT37-AS37)*100)</f>
        <v/>
      </c>
      <c r="AV37" s="45">
        <f>IF(IF($B$6="Total",SUMIFS(Countries!$P$5:$P$434,Countries!$A$5:$A$434,$B$4,Countries!$B$5:$B$434,$B$5,Countries!$D$5:$D$434,$A37,Countries!$AR$5:$AR$434,"&gt;0"),SUMIFS(Countries!$P$5:$P$434,Countries!$A$5:$A$434,$B$4,Countries!$B$5:$B$434,$B$5,Countries!$C$5:$C$434,$B$6,Countries!$D$5:$D$434,$A37,Countries!$AR$5:$AR$434,"&gt;0"))=0,"",IF($B$6="Total",SUMIFS(Countries!$AR$5:$AR$434,Countries!$A$5:$A$434,$B$4,Countries!$B$5:$B$434,$B$5,Countries!$D$5:$D$434,$A37,Countries!$P$5:$P$434,"&gt;0"),SUMIFS(Countries!$AR$5:$AR$434,Countries!$A$5:$A$434,$B$4,Countries!$B$5:$B$434,$B$5,Countries!$C$5:$C$434,$B$6,Countries!$D$5:$D$434,$A37,Countries!$P$5:$P$434,"&gt;0"))/IF($B$6="Total",SUMIFS(Countries!$P$5:$P$434,Countries!$A$5:$A$434,$B$4,Countries!$B$5:$B$434,$B$5,Countries!$D$5:$D$434,$A37,Countries!$AR$5:$AR$434,"&gt;0"),SUMIFS(Countries!$P$5:$P$434,Countries!$A$5:$A$434,$B$4,Countries!$B$5:$B$434,$B$5,Countries!$C$5:$C$434,$B$6,Countries!$D$5:$D$434,$A37,Countries!$AR$5:$AR$434,"&gt;0")))</f>
        <v/>
      </c>
      <c r="AW37" s="45">
        <f>IF(IF($B$6="Total",SUMIFS(Countries!$Q$5:$Q$434,Countries!$A$5:$A$434,$B$4,Countries!$B$5:$B$434,$B$5,Countries!$D$5:$D$434,$A37,Countries!$AS$5:$AS$434,"&gt;0"),SUMIFS(Countries!$Q$5:$Q$434,Countries!$A$5:$A$434,$B$4,Countries!$B$5:$B$434,$B$5,Countries!$C$5:$C$434,$B$6,Countries!$D$5:$D$434,$A37,Countries!$AS$5:$AS$434,"&gt;0"))=0,"",IF($B$6="Total",SUMIFS(Countries!$AS$5:$AS$434,Countries!$A$5:$A$434,$B$4,Countries!$B$5:$B$434,$B$5,Countries!$D$5:$D$434,$A37,Countries!$Q$5:$Q$434,"&gt;0"),SUMIFS(Countries!$AS$5:$AS$434,Countries!$A$5:$A$434,$B$4,Countries!$B$5:$B$434,$B$5,Countries!$C$5:$C$434,$B$6,Countries!$D$5:$D$434,$A37,Countries!$Q$5:$Q$434,"&gt;0"))/IF($B$6="Total",SUMIFS(Countries!$Q$5:$Q$434,Countries!$A$5:$A$434,$B$4,Countries!$B$5:$B$434,$B$5,Countries!$D$5:$D$434,$A37,Countries!$AS$5:$AS$434,"&gt;0"),SUMIFS(Countries!$Q$5:$Q$434,Countries!$A$5:$A$434,$B$4,Countries!$B$5:$B$434,$B$5,Countries!$C$5:$C$434,$B$6,Countries!$D$5:$D$434,$A37,Countries!$AS$5:$AS$434,"&gt;0")))</f>
        <v/>
      </c>
      <c r="AX37" s="44">
        <f>IF(OR(AW37="",AV37=""),"",(AW37-AV37)*100)</f>
        <v/>
      </c>
      <c r="AY37" s="45">
        <f>IF(IF($B$6="Total",SUMIFS(Countries!$E$5:$E$434,Countries!$A$5:$A$434,$B$4,Countries!$B$5:$B$434,$B$5,Countries!$D$5:$D$434,$A37,Countries!$AR$5:$AR$434,"&gt;0"),SUMIFS(Countries!$E$5:$E$434,Countries!$A$5:$A$434,$B$4,Countries!$B$5:$B$434,$B$5,Countries!$C$5:$C$434,$B$6,Countries!$D$5:$D$434,$A37,Countries!$AR$5:$AR$434,"&gt;0"))=0,"",IF($B$6="Total",SUMIFS(Countries!$AR$5:$AR$434,Countries!$A$5:$A$434,$B$4,Countries!$B$5:$B$434,$B$5,Countries!$D$5:$D$434,$A37,Countries!$E$5:$E$434,"&gt;0"),SUMIFS(Countries!$AR$5:$AR$434,Countries!$A$5:$A$434,$B$4,Countries!$B$5:$B$434,$B$5,Countries!$C$5:$C$434,$B$6,Countries!$D$5:$D$434,$A37,Countries!$E$5:$E$434,"&gt;0"))/IF($B$6="Total",SUMIFS(Countries!$E$5:$E$434,Countries!$A$5:$A$434,$B$4,Countries!$B$5:$B$434,$B$5,Countries!$D$5:$D$434,$A37,Countries!$AR$5:$AR$434,"&gt;0"),SUMIFS(Countries!$E$5:$E$434,Countries!$A$5:$A$434,$B$4,Countries!$B$5:$B$434,$B$5,Countries!$C$5:$C$434,$B$6,Countries!$D$5:$D$434,$A37,Countries!$AR$5:$AR$434,"&gt;0")))</f>
        <v/>
      </c>
      <c r="AZ37" s="45">
        <f>IF(IF($B$6="Total",SUMIFS(Countries!$F$5:$F$434,Countries!$A$5:$A$434,$B$4,Countries!$B$5:$B$434,$B$5,Countries!$D$5:$D$434,$A37,Countries!$AS$5:$AS$434,"&gt;0"),SUMIFS(Countries!$F$5:$F$434,Countries!$A$5:$A$434,$B$4,Countries!$B$5:$B$434,$B$5,Countries!$C$5:$C$434,$B$6,Countries!$D$5:$D$434,$A37,Countries!$AS$5:$AS$434,"&gt;0"))=0,"",IF($B$6="Total",SUMIFS(Countries!$AS$5:$AS$434,Countries!$A$5:$A$434,$B$4,Countries!$B$5:$B$434,$B$5,Countries!$D$5:$D$434,$A37,Countries!$F$5:$F$434,"&gt;0"),SUMIFS(Countries!$AS$5:$AS$434,Countries!$A$5:$A$434,$B$4,Countries!$B$5:$B$434,$B$5,Countries!$C$5:$C$434,$B$6,Countries!$D$5:$D$434,$A37,Countries!$F$5:$F$434,"&gt;0"))/IF($B$6="Total",SUMIFS(Countries!$F$5:$F$434,Countries!$A$5:$A$434,$B$4,Countries!$B$5:$B$434,$B$5,Countries!$D$5:$D$434,$A37,Countries!$AS$5:$AS$434,"&gt;0"),SUMIFS(Countries!$F$5:$F$434,Countries!$A$5:$A$434,$B$4,Countries!$B$5:$B$434,$B$5,Countries!$C$5:$C$434,$B$6,Countries!$D$5:$D$434,$A37,Countries!$AS$5:$AS$434,"&gt;0")))</f>
        <v/>
      </c>
      <c r="BA37" s="44">
        <f>IF(OR(AZ37="",AY37=""),"",(AZ37-AY37)*100)</f>
        <v/>
      </c>
      <c r="BB37" s="40">
        <f>IF(AND(IF($B$6="Total",COUNTIFS(Countries!$A$5:$A$434,$B$4,Countries!$B$5:$B$434,$B$5,Countries!$D$5:$D$434,$A37,Countries!$F$5:$F$434,"&gt;0"),COUNTIFS(Countries!$A$5:$A$434,$B$4,Countries!$B$5:$B$434,$B$5,Countries!$C$5:$C$434,$B$6,Countries!$D$5:$D$434,$A37,Countries!$F$5:$F$434,"&gt;0"))=0,IF($B$6="Total",COUNTIFS(Countries!$A$5:$A$434,$B$4,Countries!$B$5:$B$434,$B$5,Countries!$D$5:$D$434,$A37,Countries!$E$5:$E$434,"&gt;0"),COUNTIFS(Countries!$A$5:$A$434,$B$4,Countries!$B$5:$B$434,$B$5,Countries!$C$5:$C$434,$B$6,Countries!$D$5:$D$434,$A37,Countries!$E$5:$E$434,"&gt;0"))=0),"",IF(IF($B$6="Total",COUNTIFS(Countries!$A$5:$A$434,$B$4,Countries!$B$5:$B$434,$B$5,Countries!$D$5:$D$434,$A37,Countries!$F$5:$F$434,"&gt;0"),COUNTIFS(Countries!$A$5:$A$434,$B$4,Countries!$B$5:$B$434,$B$5,Countries!$C$5:$C$434,$B$6,Countries!$D$5:$D$434,$A37,Countries!$F$5:$F$434,"&gt;0"))=0,"1-23Aug25 rows only",IF(IF($B$6="Total",COUNTIFS(Countries!$A$5:$A$434,$B$4,Countries!$B$5:$B$434,$B$5,Countries!$D$5:$D$434,$A37,Countries!$E$5:$E$434,"&gt;0"),COUNTIFS(Countries!$A$5:$A$434,$B$4,Countries!$B$5:$B$434,$B$5,Countries!$C$5:$C$434,$B$6,Countries!$D$5:$D$434,$A37,Countries!$E$5:$E$434,"&gt;0"))=0,"1-23Aug26 rows only",IF(IF($B$6="Total",COUNTIFS(Countries!$A$5:$A$434,$B$4,Countries!$B$5:$B$434,$B$5,Countries!$D$5:$D$434,$A37,Countries!$F$5:$F$434,"&gt;0"),COUNTIFS(Countries!$A$5:$A$434,$B$4,Countries!$B$5:$B$434,$B$5,Countries!$C$5:$C$434,$B$6,Countries!$D$5:$D$434,$A37,Countries!$F$5:$F$434,"&gt;0"))=IF($B$6="Total",COUNTIFS(Countries!$A$5:$A$434,$B$4,Countries!$B$5:$B$434,$B$5,Countries!$D$5:$D$434,$A37,Countries!$E$5:$E$434,"&gt;0"),COUNTIFS(Countries!$A$5:$A$434,$B$4,Countries!$B$5:$B$434,$B$5,Countries!$C$5:$C$434,$B$6,Countries!$D$5:$D$434,$A37,Countries!$E$5:$E$434,"&gt;0")),"Like-for-like","Partial — coverage differs"))))</f>
        <v/>
      </c>
    </row>
    <row r="38">
      <c r="A38" s="56" t="inlineStr">
        <is>
          <t>Honduras</t>
        </is>
      </c>
      <c r="B38" s="41">
        <f>IF(IF($B$6="Total",SUMIFS(Countries!$E$5:$E$434,Countries!$A$5:$A$434,$B$4,Countries!$B$5:$B$434,$B$5,Countries!$D$5:$D$434,$A38),SUMIFS(Countries!$E$5:$E$434,Countries!$A$5:$A$434,$B$4,Countries!$B$5:$B$434,$B$5,Countries!$C$5:$C$434,$B$6,Countries!$D$5:$D$434,$A38))=0,"",IF($B$6="Total",SUMIFS(Countries!$E$5:$E$434,Countries!$A$5:$A$434,$B$4,Countries!$B$5:$B$434,$B$5,Countries!$D$5:$D$434,$A38),SUMIFS(Countries!$E$5:$E$434,Countries!$A$5:$A$434,$B$4,Countries!$B$5:$B$434,$B$5,Countries!$C$5:$C$434,$B$6,Countries!$D$5:$D$434,$A38)))</f>
        <v/>
      </c>
      <c r="C38" s="41">
        <f>IF(IF($B$6="Total",SUMIFS(Countries!$F$5:$F$434,Countries!$A$5:$A$434,$B$4,Countries!$B$5:$B$434,$B$5,Countries!$D$5:$D$434,$A38),SUMIFS(Countries!$F$5:$F$434,Countries!$A$5:$A$434,$B$4,Countries!$B$5:$B$434,$B$5,Countries!$C$5:$C$434,$B$6,Countries!$D$5:$D$434,$A38))=0,"",IF($B$6="Total",SUMIFS(Countries!$F$5:$F$434,Countries!$A$5:$A$434,$B$4,Countries!$B$5:$B$434,$B$5,Countries!$D$5:$D$434,$A38),SUMIFS(Countries!$F$5:$F$434,Countries!$A$5:$A$434,$B$4,Countries!$B$5:$B$434,$B$5,Countries!$C$5:$C$434,$B$6,Countries!$D$5:$D$434,$A38)))</f>
        <v/>
      </c>
      <c r="D38" s="69">
        <f>IF(OR(C38="",B38="",B38=0,C38=0),"",C38-B38)</f>
        <v/>
      </c>
      <c r="E38" s="42">
        <f>IF(OR(C38="",B38="",B38=0,C38=0),"",C38/B38-1)</f>
        <v/>
      </c>
      <c r="F38" s="41">
        <f>IF(IF($B$6="Total",SUMIFS(Countries!$I$5:$I$434,Countries!$A$5:$A$434,$B$4,Countries!$B$5:$B$434,$B$5,Countries!$D$5:$D$434,$A38),SUMIFS(Countries!$I$5:$I$434,Countries!$A$5:$A$434,$B$4,Countries!$B$5:$B$434,$B$5,Countries!$C$5:$C$434,$B$6,Countries!$D$5:$D$434,$A38))=0,"",IF($B$6="Total",SUMIFS(Countries!$I$5:$I$434,Countries!$A$5:$A$434,$B$4,Countries!$B$5:$B$434,$B$5,Countries!$D$5:$D$434,$A38),SUMIFS(Countries!$I$5:$I$434,Countries!$A$5:$A$434,$B$4,Countries!$B$5:$B$434,$B$5,Countries!$C$5:$C$434,$B$6,Countries!$D$5:$D$434,$A38)))</f>
        <v/>
      </c>
      <c r="G38" s="41">
        <f>IF(IF($B$6="Total",SUMIFS(Countries!$J$5:$J$434,Countries!$A$5:$A$434,$B$4,Countries!$B$5:$B$434,$B$5,Countries!$D$5:$D$434,$A38),SUMIFS(Countries!$J$5:$J$434,Countries!$A$5:$A$434,$B$4,Countries!$B$5:$B$434,$B$5,Countries!$C$5:$C$434,$B$6,Countries!$D$5:$D$434,$A38))=0,"",IF($B$6="Total",SUMIFS(Countries!$J$5:$J$434,Countries!$A$5:$A$434,$B$4,Countries!$B$5:$B$434,$B$5,Countries!$D$5:$D$434,$A38),SUMIFS(Countries!$J$5:$J$434,Countries!$A$5:$A$434,$B$4,Countries!$B$5:$B$434,$B$5,Countries!$C$5:$C$434,$B$6,Countries!$D$5:$D$434,$A38)))</f>
        <v/>
      </c>
      <c r="H38" s="69">
        <f>IF(OR(G38="",F38="",F38=0,G38=0),"",G38-F38)</f>
        <v/>
      </c>
      <c r="I38" s="42">
        <f>IF(OR(G38="",F38="",F38=0,G38=0),"",G38/F38-1)</f>
        <v/>
      </c>
      <c r="J38" s="43">
        <f>IF(IF($B$6="Total",SUMIFS(Countries!$E$5:$E$434,Countries!$A$5:$A$434,$B$4,Countries!$B$5:$B$434,$B$5,Countries!$D$5:$D$434,$A38,Countries!$I$5:$I$434,"&gt;0"),SUMIFS(Countries!$E$5:$E$434,Countries!$A$5:$A$434,$B$4,Countries!$B$5:$B$434,$B$5,Countries!$C$5:$C$434,$B$6,Countries!$D$5:$D$434,$A38,Countries!$I$5:$I$434,"&gt;0"))=0,"",IF($B$6="Total",SUMIFS(Countries!$I$5:$I$434,Countries!$A$5:$A$434,$B$4,Countries!$B$5:$B$434,$B$5,Countries!$D$5:$D$434,$A38,Countries!$E$5:$E$434,"&gt;0"),SUMIFS(Countries!$I$5:$I$434,Countries!$A$5:$A$434,$B$4,Countries!$B$5:$B$434,$B$5,Countries!$C$5:$C$434,$B$6,Countries!$D$5:$D$434,$A38,Countries!$E$5:$E$434,"&gt;0"))/IF($B$6="Total",SUMIFS(Countries!$E$5:$E$434,Countries!$A$5:$A$434,$B$4,Countries!$B$5:$B$434,$B$5,Countries!$D$5:$D$434,$A38,Countries!$I$5:$I$434,"&gt;0"),SUMIFS(Countries!$E$5:$E$434,Countries!$A$5:$A$434,$B$4,Countries!$B$5:$B$434,$B$5,Countries!$C$5:$C$434,$B$6,Countries!$D$5:$D$434,$A38,Countries!$I$5:$I$434,"&gt;0")))</f>
        <v/>
      </c>
      <c r="K38" s="43">
        <f>IF(IF($B$6="Total",SUMIFS(Countries!$F$5:$F$434,Countries!$A$5:$A$434,$B$4,Countries!$B$5:$B$434,$B$5,Countries!$D$5:$D$434,$A38,Countries!$J$5:$J$434,"&gt;0"),SUMIFS(Countries!$F$5:$F$434,Countries!$A$5:$A$434,$B$4,Countries!$B$5:$B$434,$B$5,Countries!$C$5:$C$434,$B$6,Countries!$D$5:$D$434,$A38,Countries!$J$5:$J$434,"&gt;0"))=0,"",IF($B$6="Total",SUMIFS(Countries!$J$5:$J$434,Countries!$A$5:$A$434,$B$4,Countries!$B$5:$B$434,$B$5,Countries!$D$5:$D$434,$A38,Countries!$F$5:$F$434,"&gt;0"),SUMIFS(Countries!$J$5:$J$434,Countries!$A$5:$A$434,$B$4,Countries!$B$5:$B$434,$B$5,Countries!$C$5:$C$434,$B$6,Countries!$D$5:$D$434,$A38,Countries!$F$5:$F$434,"&gt;0"))/IF($B$6="Total",SUMIFS(Countries!$F$5:$F$434,Countries!$A$5:$A$434,$B$4,Countries!$B$5:$B$434,$B$5,Countries!$D$5:$D$434,$A38,Countries!$J$5:$J$434,"&gt;0"),SUMIFS(Countries!$F$5:$F$434,Countries!$A$5:$A$434,$B$4,Countries!$B$5:$B$434,$B$5,Countries!$C$5:$C$434,$B$6,Countries!$D$5:$D$434,$A38,Countries!$J$5:$J$434,"&gt;0")))</f>
        <v/>
      </c>
      <c r="L38" s="44">
        <f>IF(OR(K38="",J38=""),"",(K38-J38)*100)</f>
        <v/>
      </c>
      <c r="M38" s="41">
        <f>IF(IF($B$6="Total",SUMIFS(Countries!$P$5:$P$434,Countries!$A$5:$A$434,$B$4,Countries!$B$5:$B$434,$B$5,Countries!$D$5:$D$434,$A38),SUMIFS(Countries!$P$5:$P$434,Countries!$A$5:$A$434,$B$4,Countries!$B$5:$B$434,$B$5,Countries!$C$5:$C$434,$B$6,Countries!$D$5:$D$434,$A38))=0,"",IF($B$6="Total",SUMIFS(Countries!$P$5:$P$434,Countries!$A$5:$A$434,$B$4,Countries!$B$5:$B$434,$B$5,Countries!$D$5:$D$434,$A38),SUMIFS(Countries!$P$5:$P$434,Countries!$A$5:$A$434,$B$4,Countries!$B$5:$B$434,$B$5,Countries!$C$5:$C$434,$B$6,Countries!$D$5:$D$434,$A38)))</f>
        <v/>
      </c>
      <c r="N38" s="41">
        <f>IF(IF($B$6="Total",SUMIFS(Countries!$Q$5:$Q$434,Countries!$A$5:$A$434,$B$4,Countries!$B$5:$B$434,$B$5,Countries!$D$5:$D$434,$A38),SUMIFS(Countries!$Q$5:$Q$434,Countries!$A$5:$A$434,$B$4,Countries!$B$5:$B$434,$B$5,Countries!$C$5:$C$434,$B$6,Countries!$D$5:$D$434,$A38))=0,"",IF($B$6="Total",SUMIFS(Countries!$Q$5:$Q$434,Countries!$A$5:$A$434,$B$4,Countries!$B$5:$B$434,$B$5,Countries!$D$5:$D$434,$A38),SUMIFS(Countries!$Q$5:$Q$434,Countries!$A$5:$A$434,$B$4,Countries!$B$5:$B$434,$B$5,Countries!$C$5:$C$434,$B$6,Countries!$D$5:$D$434,$A38)))</f>
        <v/>
      </c>
      <c r="O38" s="69">
        <f>IF(OR(N38="",M38="",M38=0,N38=0),"",N38-M38)</f>
        <v/>
      </c>
      <c r="P38" s="42">
        <f>IF(OR(N38="",M38="",M38=0,N38=0),"",N38/M38-1)</f>
        <v/>
      </c>
      <c r="Q38" s="43">
        <f>IF(IF($B$6="Total",SUMIFS(Countries!$E$5:$E$434,Countries!$A$5:$A$434,$B$4,Countries!$B$5:$B$434,$B$5,Countries!$D$5:$D$434,$A38,Countries!$P$5:$P$434,"&gt;0"),SUMIFS(Countries!$E$5:$E$434,Countries!$A$5:$A$434,$B$4,Countries!$B$5:$B$434,$B$5,Countries!$C$5:$C$434,$B$6,Countries!$D$5:$D$434,$A38,Countries!$P$5:$P$434,"&gt;0"))=0,"",IF($B$6="Total",SUMIFS(Countries!$P$5:$P$434,Countries!$A$5:$A$434,$B$4,Countries!$B$5:$B$434,$B$5,Countries!$D$5:$D$434,$A38,Countries!$E$5:$E$434,"&gt;0"),SUMIFS(Countries!$P$5:$P$434,Countries!$A$5:$A$434,$B$4,Countries!$B$5:$B$434,$B$5,Countries!$C$5:$C$434,$B$6,Countries!$D$5:$D$434,$A38,Countries!$E$5:$E$434,"&gt;0"))/IF($B$6="Total",SUMIFS(Countries!$E$5:$E$434,Countries!$A$5:$A$434,$B$4,Countries!$B$5:$B$434,$B$5,Countries!$D$5:$D$434,$A38,Countries!$P$5:$P$434,"&gt;0"),SUMIFS(Countries!$E$5:$E$434,Countries!$A$5:$A$434,$B$4,Countries!$B$5:$B$434,$B$5,Countries!$C$5:$C$434,$B$6,Countries!$D$5:$D$434,$A38,Countries!$P$5:$P$434,"&gt;0")))</f>
        <v/>
      </c>
      <c r="R38" s="43">
        <f>IF(IF($B$6="Total",SUMIFS(Countries!$F$5:$F$434,Countries!$A$5:$A$434,$B$4,Countries!$B$5:$B$434,$B$5,Countries!$D$5:$D$434,$A38,Countries!$Q$5:$Q$434,"&gt;0"),SUMIFS(Countries!$F$5:$F$434,Countries!$A$5:$A$434,$B$4,Countries!$B$5:$B$434,$B$5,Countries!$C$5:$C$434,$B$6,Countries!$D$5:$D$434,$A38,Countries!$Q$5:$Q$434,"&gt;0"))=0,"",IF($B$6="Total",SUMIFS(Countries!$Q$5:$Q$434,Countries!$A$5:$A$434,$B$4,Countries!$B$5:$B$434,$B$5,Countries!$D$5:$D$434,$A38,Countries!$F$5:$F$434,"&gt;0"),SUMIFS(Countries!$Q$5:$Q$434,Countries!$A$5:$A$434,$B$4,Countries!$B$5:$B$434,$B$5,Countries!$C$5:$C$434,$B$6,Countries!$D$5:$D$434,$A38,Countries!$F$5:$F$434,"&gt;0"))/IF($B$6="Total",SUMIFS(Countries!$F$5:$F$434,Countries!$A$5:$A$434,$B$4,Countries!$B$5:$B$434,$B$5,Countries!$D$5:$D$434,$A38,Countries!$Q$5:$Q$434,"&gt;0"),SUMIFS(Countries!$F$5:$F$434,Countries!$A$5:$A$434,$B$4,Countries!$B$5:$B$434,$B$5,Countries!$C$5:$C$434,$B$6,Countries!$D$5:$D$434,$A38,Countries!$Q$5:$Q$434,"&gt;0")))</f>
        <v/>
      </c>
      <c r="S38" s="44">
        <f>IF(OR(R38="",Q38=""),"",(R38-Q38)*100)</f>
        <v/>
      </c>
      <c r="T38" s="41">
        <f>IF(IF($B$6="Total",SUMIFS(Countries!$W$5:$W$434,Countries!$A$5:$A$434,$B$4,Countries!$B$5:$B$434,$B$5,Countries!$D$5:$D$434,$A38),SUMIFS(Countries!$W$5:$W$434,Countries!$A$5:$A$434,$B$4,Countries!$B$5:$B$434,$B$5,Countries!$C$5:$C$434,$B$6,Countries!$D$5:$D$434,$A38))=0,"",IF($B$6="Total",SUMIFS(Countries!$W$5:$W$434,Countries!$A$5:$A$434,$B$4,Countries!$B$5:$B$434,$B$5,Countries!$D$5:$D$434,$A38),SUMIFS(Countries!$W$5:$W$434,Countries!$A$5:$A$434,$B$4,Countries!$B$5:$B$434,$B$5,Countries!$C$5:$C$434,$B$6,Countries!$D$5:$D$434,$A38)))</f>
        <v/>
      </c>
      <c r="U38" s="41">
        <f>IF(IF($B$6="Total",SUMIFS(Countries!$X$5:$X$434,Countries!$A$5:$A$434,$B$4,Countries!$B$5:$B$434,$B$5,Countries!$D$5:$D$434,$A38),SUMIFS(Countries!$X$5:$X$434,Countries!$A$5:$A$434,$B$4,Countries!$B$5:$B$434,$B$5,Countries!$C$5:$C$434,$B$6,Countries!$D$5:$D$434,$A38))=0,"",IF($B$6="Total",SUMIFS(Countries!$X$5:$X$434,Countries!$A$5:$A$434,$B$4,Countries!$B$5:$B$434,$B$5,Countries!$D$5:$D$434,$A38),SUMIFS(Countries!$X$5:$X$434,Countries!$A$5:$A$434,$B$4,Countries!$B$5:$B$434,$B$5,Countries!$C$5:$C$434,$B$6,Countries!$D$5:$D$434,$A38)))</f>
        <v/>
      </c>
      <c r="V38" s="69">
        <f>IF(OR(U38="",T38="",T38=0,U38=0),"",U38-T38)</f>
        <v/>
      </c>
      <c r="W38" s="42">
        <f>IF(OR(U38="",T38="",T38=0,U38=0),"",U38/T38-1)</f>
        <v/>
      </c>
      <c r="X38" s="43">
        <f>IF(IF($B$6="Total",SUMIFS(Countries!$P$5:$P$434,Countries!$A$5:$A$434,$B$4,Countries!$B$5:$B$434,$B$5,Countries!$D$5:$D$434,$A38,Countries!$W$5:$W$434,"&gt;0"),SUMIFS(Countries!$P$5:$P$434,Countries!$A$5:$A$434,$B$4,Countries!$B$5:$B$434,$B$5,Countries!$C$5:$C$434,$B$6,Countries!$D$5:$D$434,$A38,Countries!$W$5:$W$434,"&gt;0"))=0,"",IF($B$6="Total",SUMIFS(Countries!$W$5:$W$434,Countries!$A$5:$A$434,$B$4,Countries!$B$5:$B$434,$B$5,Countries!$D$5:$D$434,$A38,Countries!$P$5:$P$434,"&gt;0"),SUMIFS(Countries!$W$5:$W$434,Countries!$A$5:$A$434,$B$4,Countries!$B$5:$B$434,$B$5,Countries!$C$5:$C$434,$B$6,Countries!$D$5:$D$434,$A38,Countries!$P$5:$P$434,"&gt;0"))/IF($B$6="Total",SUMIFS(Countries!$P$5:$P$434,Countries!$A$5:$A$434,$B$4,Countries!$B$5:$B$434,$B$5,Countries!$D$5:$D$434,$A38,Countries!$W$5:$W$434,"&gt;0"),SUMIFS(Countries!$P$5:$P$434,Countries!$A$5:$A$434,$B$4,Countries!$B$5:$B$434,$B$5,Countries!$C$5:$C$434,$B$6,Countries!$D$5:$D$434,$A38,Countries!$W$5:$W$434,"&gt;0")))</f>
        <v/>
      </c>
      <c r="Y38" s="43">
        <f>IF(IF($B$6="Total",SUMIFS(Countries!$Q$5:$Q$434,Countries!$A$5:$A$434,$B$4,Countries!$B$5:$B$434,$B$5,Countries!$D$5:$D$434,$A38,Countries!$X$5:$X$434,"&gt;0"),SUMIFS(Countries!$Q$5:$Q$434,Countries!$A$5:$A$434,$B$4,Countries!$B$5:$B$434,$B$5,Countries!$C$5:$C$434,$B$6,Countries!$D$5:$D$434,$A38,Countries!$X$5:$X$434,"&gt;0"))=0,"",IF($B$6="Total",SUMIFS(Countries!$X$5:$X$434,Countries!$A$5:$A$434,$B$4,Countries!$B$5:$B$434,$B$5,Countries!$D$5:$D$434,$A38,Countries!$Q$5:$Q$434,"&gt;0"),SUMIFS(Countries!$X$5:$X$434,Countries!$A$5:$A$434,$B$4,Countries!$B$5:$B$434,$B$5,Countries!$C$5:$C$434,$B$6,Countries!$D$5:$D$434,$A38,Countries!$Q$5:$Q$434,"&gt;0"))/IF($B$6="Total",SUMIFS(Countries!$Q$5:$Q$434,Countries!$A$5:$A$434,$B$4,Countries!$B$5:$B$434,$B$5,Countries!$D$5:$D$434,$A38,Countries!$X$5:$X$434,"&gt;0"),SUMIFS(Countries!$Q$5:$Q$434,Countries!$A$5:$A$434,$B$4,Countries!$B$5:$B$434,$B$5,Countries!$C$5:$C$434,$B$6,Countries!$D$5:$D$434,$A38,Countries!$X$5:$X$434,"&gt;0")))</f>
        <v/>
      </c>
      <c r="Z38" s="44">
        <f>IF(OR(Y38="",X38=""),"",(Y38-X38)*100)</f>
        <v/>
      </c>
      <c r="AA38" s="41">
        <f>IF(IF($B$6="Total",SUMIFS(Countries!$AD$5:$AD$434,Countries!$A$5:$A$434,$B$4,Countries!$B$5:$B$434,$B$5,Countries!$D$5:$D$434,$A38),SUMIFS(Countries!$AD$5:$AD$434,Countries!$A$5:$A$434,$B$4,Countries!$B$5:$B$434,$B$5,Countries!$C$5:$C$434,$B$6,Countries!$D$5:$D$434,$A38))=0,"",IF($B$6="Total",SUMIFS(Countries!$AD$5:$AD$434,Countries!$A$5:$A$434,$B$4,Countries!$B$5:$B$434,$B$5,Countries!$D$5:$D$434,$A38),SUMIFS(Countries!$AD$5:$AD$434,Countries!$A$5:$A$434,$B$4,Countries!$B$5:$B$434,$B$5,Countries!$C$5:$C$434,$B$6,Countries!$D$5:$D$434,$A38)))</f>
        <v/>
      </c>
      <c r="AB38" s="41">
        <f>IF(IF($B$6="Total",SUMIFS(Countries!$AE$5:$AE$434,Countries!$A$5:$A$434,$B$4,Countries!$B$5:$B$434,$B$5,Countries!$D$5:$D$434,$A38),SUMIFS(Countries!$AE$5:$AE$434,Countries!$A$5:$A$434,$B$4,Countries!$B$5:$B$434,$B$5,Countries!$C$5:$C$434,$B$6,Countries!$D$5:$D$434,$A38))=0,"",IF($B$6="Total",SUMIFS(Countries!$AE$5:$AE$434,Countries!$A$5:$A$434,$B$4,Countries!$B$5:$B$434,$B$5,Countries!$D$5:$D$434,$A38),SUMIFS(Countries!$AE$5:$AE$434,Countries!$A$5:$A$434,$B$4,Countries!$B$5:$B$434,$B$5,Countries!$C$5:$C$434,$B$6,Countries!$D$5:$D$434,$A38)))</f>
        <v/>
      </c>
      <c r="AC38" s="69">
        <f>IF(OR(AB38="",AA38="",AA38=0,AB38=0),"",AB38-AA38)</f>
        <v/>
      </c>
      <c r="AD38" s="42">
        <f>IF(OR(AB38="",AA38="",AA38=0,AB38=0),"",AB38/AA38-1)</f>
        <v/>
      </c>
      <c r="AE38" s="43">
        <f>IF(IF($B$6="Total",SUMIFS(Countries!$W$5:$W$434,Countries!$A$5:$A$434,$B$4,Countries!$B$5:$B$434,$B$5,Countries!$D$5:$D$434,$A38,Countries!$AD$5:$AD$434,"&gt;0"),SUMIFS(Countries!$W$5:$W$434,Countries!$A$5:$A$434,$B$4,Countries!$B$5:$B$434,$B$5,Countries!$C$5:$C$434,$B$6,Countries!$D$5:$D$434,$A38,Countries!$AD$5:$AD$434,"&gt;0"))=0,"",IF($B$6="Total",SUMIFS(Countries!$AD$5:$AD$434,Countries!$A$5:$A$434,$B$4,Countries!$B$5:$B$434,$B$5,Countries!$D$5:$D$434,$A38,Countries!$W$5:$W$434,"&gt;0"),SUMIFS(Countries!$AD$5:$AD$434,Countries!$A$5:$A$434,$B$4,Countries!$B$5:$B$434,$B$5,Countries!$C$5:$C$434,$B$6,Countries!$D$5:$D$434,$A38,Countries!$W$5:$W$434,"&gt;0"))/IF($B$6="Total",SUMIFS(Countries!$W$5:$W$434,Countries!$A$5:$A$434,$B$4,Countries!$B$5:$B$434,$B$5,Countries!$D$5:$D$434,$A38,Countries!$AD$5:$AD$434,"&gt;0"),SUMIFS(Countries!$W$5:$W$434,Countries!$A$5:$A$434,$B$4,Countries!$B$5:$B$434,$B$5,Countries!$C$5:$C$434,$B$6,Countries!$D$5:$D$434,$A38,Countries!$AD$5:$AD$434,"&gt;0")))</f>
        <v/>
      </c>
      <c r="AF38" s="43">
        <f>IF(IF($B$6="Total",SUMIFS(Countries!$X$5:$X$434,Countries!$A$5:$A$434,$B$4,Countries!$B$5:$B$434,$B$5,Countries!$D$5:$D$434,$A38,Countries!$AE$5:$AE$434,"&gt;0"),SUMIFS(Countries!$X$5:$X$434,Countries!$A$5:$A$434,$B$4,Countries!$B$5:$B$434,$B$5,Countries!$C$5:$C$434,$B$6,Countries!$D$5:$D$434,$A38,Countries!$AE$5:$AE$434,"&gt;0"))=0,"",IF($B$6="Total",SUMIFS(Countries!$AE$5:$AE$434,Countries!$A$5:$A$434,$B$4,Countries!$B$5:$B$434,$B$5,Countries!$D$5:$D$434,$A38,Countries!$X$5:$X$434,"&gt;0"),SUMIFS(Countries!$AE$5:$AE$434,Countries!$A$5:$A$434,$B$4,Countries!$B$5:$B$434,$B$5,Countries!$C$5:$C$434,$B$6,Countries!$D$5:$D$434,$A38,Countries!$X$5:$X$434,"&gt;0"))/IF($B$6="Total",SUMIFS(Countries!$X$5:$X$434,Countries!$A$5:$A$434,$B$4,Countries!$B$5:$B$434,$B$5,Countries!$D$5:$D$434,$A38,Countries!$AE$5:$AE$434,"&gt;0"),SUMIFS(Countries!$X$5:$X$434,Countries!$A$5:$A$434,$B$4,Countries!$B$5:$B$434,$B$5,Countries!$C$5:$C$434,$B$6,Countries!$D$5:$D$434,$A38,Countries!$AE$5:$AE$434,"&gt;0")))</f>
        <v/>
      </c>
      <c r="AG38" s="44">
        <f>IF(OR(AF38="",AE38=""),"",(AF38-AE38)*100)</f>
        <v/>
      </c>
      <c r="AH38" s="41">
        <f>IF(IF($B$6="Total",SUMIFS(Countries!$AK$5:$AK$434,Countries!$A$5:$A$434,$B$4,Countries!$B$5:$B$434,$B$5,Countries!$D$5:$D$434,$A38),SUMIFS(Countries!$AK$5:$AK$434,Countries!$A$5:$A$434,$B$4,Countries!$B$5:$B$434,$B$5,Countries!$C$5:$C$434,$B$6,Countries!$D$5:$D$434,$A38))=0,"",IF($B$6="Total",SUMIFS(Countries!$AK$5:$AK$434,Countries!$A$5:$A$434,$B$4,Countries!$B$5:$B$434,$B$5,Countries!$D$5:$D$434,$A38),SUMIFS(Countries!$AK$5:$AK$434,Countries!$A$5:$A$434,$B$4,Countries!$B$5:$B$434,$B$5,Countries!$C$5:$C$434,$B$6,Countries!$D$5:$D$434,$A38)))</f>
        <v/>
      </c>
      <c r="AI38" s="41">
        <f>IF(IF($B$6="Total",SUMIFS(Countries!$AL$5:$AL$434,Countries!$A$5:$A$434,$B$4,Countries!$B$5:$B$434,$B$5,Countries!$D$5:$D$434,$A38),SUMIFS(Countries!$AL$5:$AL$434,Countries!$A$5:$A$434,$B$4,Countries!$B$5:$B$434,$B$5,Countries!$C$5:$C$434,$B$6,Countries!$D$5:$D$434,$A38))=0,"",IF($B$6="Total",SUMIFS(Countries!$AL$5:$AL$434,Countries!$A$5:$A$434,$B$4,Countries!$B$5:$B$434,$B$5,Countries!$D$5:$D$434,$A38),SUMIFS(Countries!$AL$5:$AL$434,Countries!$A$5:$A$434,$B$4,Countries!$B$5:$B$434,$B$5,Countries!$C$5:$C$434,$B$6,Countries!$D$5:$D$434,$A38)))</f>
        <v/>
      </c>
      <c r="AJ38" s="69">
        <f>IF(OR(AI38="",AH38="",AH38=0,AI38=0),"",AI38-AH38)</f>
        <v/>
      </c>
      <c r="AK38" s="42">
        <f>IF(OR(AI38="",AH38="",AH38=0,AI38=0),"",AI38/AH38-1)</f>
        <v/>
      </c>
      <c r="AL38" s="43">
        <f>IF(IF($B$6="Total",SUMIFS(Countries!$AD$5:$AD$434,Countries!$A$5:$A$434,$B$4,Countries!$B$5:$B$434,$B$5,Countries!$D$5:$D$434,$A38,Countries!$AK$5:$AK$434,"&gt;0"),SUMIFS(Countries!$AD$5:$AD$434,Countries!$A$5:$A$434,$B$4,Countries!$B$5:$B$434,$B$5,Countries!$C$5:$C$434,$B$6,Countries!$D$5:$D$434,$A38,Countries!$AK$5:$AK$434,"&gt;0"))=0,"",IF($B$6="Total",SUMIFS(Countries!$AK$5:$AK$434,Countries!$A$5:$A$434,$B$4,Countries!$B$5:$B$434,$B$5,Countries!$D$5:$D$434,$A38,Countries!$AD$5:$AD$434,"&gt;0"),SUMIFS(Countries!$AK$5:$AK$434,Countries!$A$5:$A$434,$B$4,Countries!$B$5:$B$434,$B$5,Countries!$C$5:$C$434,$B$6,Countries!$D$5:$D$434,$A38,Countries!$AD$5:$AD$434,"&gt;0"))/IF($B$6="Total",SUMIFS(Countries!$AD$5:$AD$434,Countries!$A$5:$A$434,$B$4,Countries!$B$5:$B$434,$B$5,Countries!$D$5:$D$434,$A38,Countries!$AK$5:$AK$434,"&gt;0"),SUMIFS(Countries!$AD$5:$AD$434,Countries!$A$5:$A$434,$B$4,Countries!$B$5:$B$434,$B$5,Countries!$C$5:$C$434,$B$6,Countries!$D$5:$D$434,$A38,Countries!$AK$5:$AK$434,"&gt;0")))</f>
        <v/>
      </c>
      <c r="AM38" s="43">
        <f>IF(IF($B$6="Total",SUMIFS(Countries!$AE$5:$AE$434,Countries!$A$5:$A$434,$B$4,Countries!$B$5:$B$434,$B$5,Countries!$D$5:$D$434,$A38,Countries!$AL$5:$AL$434,"&gt;0"),SUMIFS(Countries!$AE$5:$AE$434,Countries!$A$5:$A$434,$B$4,Countries!$B$5:$B$434,$B$5,Countries!$C$5:$C$434,$B$6,Countries!$D$5:$D$434,$A38,Countries!$AL$5:$AL$434,"&gt;0"))=0,"",IF($B$6="Total",SUMIFS(Countries!$AL$5:$AL$434,Countries!$A$5:$A$434,$B$4,Countries!$B$5:$B$434,$B$5,Countries!$D$5:$D$434,$A38,Countries!$AE$5:$AE$434,"&gt;0"),SUMIFS(Countries!$AL$5:$AL$434,Countries!$A$5:$A$434,$B$4,Countries!$B$5:$B$434,$B$5,Countries!$C$5:$C$434,$B$6,Countries!$D$5:$D$434,$A38,Countries!$AE$5:$AE$434,"&gt;0"))/IF($B$6="Total",SUMIFS(Countries!$AE$5:$AE$434,Countries!$A$5:$A$434,$B$4,Countries!$B$5:$B$434,$B$5,Countries!$D$5:$D$434,$A38,Countries!$AL$5:$AL$434,"&gt;0"),SUMIFS(Countries!$AE$5:$AE$434,Countries!$A$5:$A$434,$B$4,Countries!$B$5:$B$434,$B$5,Countries!$C$5:$C$434,$B$6,Countries!$D$5:$D$434,$A38,Countries!$AL$5:$AL$434,"&gt;0")))</f>
        <v/>
      </c>
      <c r="AN38" s="44">
        <f>IF(OR(AM38="",AL38=""),"",(AM38-AL38)*100)</f>
        <v/>
      </c>
      <c r="AO38" s="41">
        <f>IF(IF($B$6="Total",SUMIFS(Countries!$AR$5:$AR$434,Countries!$A$5:$A$434,$B$4,Countries!$B$5:$B$434,$B$5,Countries!$D$5:$D$434,$A38),SUMIFS(Countries!$AR$5:$AR$434,Countries!$A$5:$A$434,$B$4,Countries!$B$5:$B$434,$B$5,Countries!$C$5:$C$434,$B$6,Countries!$D$5:$D$434,$A38))=0,"",IF($B$6="Total",SUMIFS(Countries!$AR$5:$AR$434,Countries!$A$5:$A$434,$B$4,Countries!$B$5:$B$434,$B$5,Countries!$D$5:$D$434,$A38),SUMIFS(Countries!$AR$5:$AR$434,Countries!$A$5:$A$434,$B$4,Countries!$B$5:$B$434,$B$5,Countries!$C$5:$C$434,$B$6,Countries!$D$5:$D$434,$A38)))</f>
        <v/>
      </c>
      <c r="AP38" s="41">
        <f>IF(IF($B$6="Total",SUMIFS(Countries!$AS$5:$AS$434,Countries!$A$5:$A$434,$B$4,Countries!$B$5:$B$434,$B$5,Countries!$D$5:$D$434,$A38),SUMIFS(Countries!$AS$5:$AS$434,Countries!$A$5:$A$434,$B$4,Countries!$B$5:$B$434,$B$5,Countries!$C$5:$C$434,$B$6,Countries!$D$5:$D$434,$A38))=0,"",IF($B$6="Total",SUMIFS(Countries!$AS$5:$AS$434,Countries!$A$5:$A$434,$B$4,Countries!$B$5:$B$434,$B$5,Countries!$D$5:$D$434,$A38),SUMIFS(Countries!$AS$5:$AS$434,Countries!$A$5:$A$434,$B$4,Countries!$B$5:$B$434,$B$5,Countries!$C$5:$C$434,$B$6,Countries!$D$5:$D$434,$A38)))</f>
        <v/>
      </c>
      <c r="AQ38" s="69">
        <f>IF(OR(AP38="",AO38="",AO38=0,AP38=0),"",AP38-AO38)</f>
        <v/>
      </c>
      <c r="AR38" s="42">
        <f>IF(OR(AP38="",AO38="",AO38=0,AP38=0),"",AP38/AO38-1)</f>
        <v/>
      </c>
      <c r="AS38" s="43">
        <f>IF(IF($B$6="Total",SUMIFS(Countries!$AK$5:$AK$434,Countries!$A$5:$A$434,$B$4,Countries!$B$5:$B$434,$B$5,Countries!$D$5:$D$434,$A38,Countries!$AR$5:$AR$434,"&gt;0"),SUMIFS(Countries!$AK$5:$AK$434,Countries!$A$5:$A$434,$B$4,Countries!$B$5:$B$434,$B$5,Countries!$C$5:$C$434,$B$6,Countries!$D$5:$D$434,$A38,Countries!$AR$5:$AR$434,"&gt;0"))=0,"",IF($B$6="Total",SUMIFS(Countries!$AR$5:$AR$434,Countries!$A$5:$A$434,$B$4,Countries!$B$5:$B$434,$B$5,Countries!$D$5:$D$434,$A38,Countries!$AK$5:$AK$434,"&gt;0"),SUMIFS(Countries!$AR$5:$AR$434,Countries!$A$5:$A$434,$B$4,Countries!$B$5:$B$434,$B$5,Countries!$C$5:$C$434,$B$6,Countries!$D$5:$D$434,$A38,Countries!$AK$5:$AK$434,"&gt;0"))/IF($B$6="Total",SUMIFS(Countries!$AK$5:$AK$434,Countries!$A$5:$A$434,$B$4,Countries!$B$5:$B$434,$B$5,Countries!$D$5:$D$434,$A38,Countries!$AR$5:$AR$434,"&gt;0"),SUMIFS(Countries!$AK$5:$AK$434,Countries!$A$5:$A$434,$B$4,Countries!$B$5:$B$434,$B$5,Countries!$C$5:$C$434,$B$6,Countries!$D$5:$D$434,$A38,Countries!$AR$5:$AR$434,"&gt;0")))</f>
        <v/>
      </c>
      <c r="AT38" s="43">
        <f>IF(IF($B$6="Total",SUMIFS(Countries!$AL$5:$AL$434,Countries!$A$5:$A$434,$B$4,Countries!$B$5:$B$434,$B$5,Countries!$D$5:$D$434,$A38,Countries!$AS$5:$AS$434,"&gt;0"),SUMIFS(Countries!$AL$5:$AL$434,Countries!$A$5:$A$434,$B$4,Countries!$B$5:$B$434,$B$5,Countries!$C$5:$C$434,$B$6,Countries!$D$5:$D$434,$A38,Countries!$AS$5:$AS$434,"&gt;0"))=0,"",IF($B$6="Total",SUMIFS(Countries!$AS$5:$AS$434,Countries!$A$5:$A$434,$B$4,Countries!$B$5:$B$434,$B$5,Countries!$D$5:$D$434,$A38,Countries!$AL$5:$AL$434,"&gt;0"),SUMIFS(Countries!$AS$5:$AS$434,Countries!$A$5:$A$434,$B$4,Countries!$B$5:$B$434,$B$5,Countries!$C$5:$C$434,$B$6,Countries!$D$5:$D$434,$A38,Countries!$AL$5:$AL$434,"&gt;0"))/IF($B$6="Total",SUMIFS(Countries!$AL$5:$AL$434,Countries!$A$5:$A$434,$B$4,Countries!$B$5:$B$434,$B$5,Countries!$D$5:$D$434,$A38,Countries!$AS$5:$AS$434,"&gt;0"),SUMIFS(Countries!$AL$5:$AL$434,Countries!$A$5:$A$434,$B$4,Countries!$B$5:$B$434,$B$5,Countries!$C$5:$C$434,$B$6,Countries!$D$5:$D$434,$A38,Countries!$AS$5:$AS$434,"&gt;0")))</f>
        <v/>
      </c>
      <c r="AU38" s="44">
        <f>IF(OR(AT38="",AS38=""),"",(AT38-AS38)*100)</f>
        <v/>
      </c>
      <c r="AV38" s="45">
        <f>IF(IF($B$6="Total",SUMIFS(Countries!$P$5:$P$434,Countries!$A$5:$A$434,$B$4,Countries!$B$5:$B$434,$B$5,Countries!$D$5:$D$434,$A38,Countries!$AR$5:$AR$434,"&gt;0"),SUMIFS(Countries!$P$5:$P$434,Countries!$A$5:$A$434,$B$4,Countries!$B$5:$B$434,$B$5,Countries!$C$5:$C$434,$B$6,Countries!$D$5:$D$434,$A38,Countries!$AR$5:$AR$434,"&gt;0"))=0,"",IF($B$6="Total",SUMIFS(Countries!$AR$5:$AR$434,Countries!$A$5:$A$434,$B$4,Countries!$B$5:$B$434,$B$5,Countries!$D$5:$D$434,$A38,Countries!$P$5:$P$434,"&gt;0"),SUMIFS(Countries!$AR$5:$AR$434,Countries!$A$5:$A$434,$B$4,Countries!$B$5:$B$434,$B$5,Countries!$C$5:$C$434,$B$6,Countries!$D$5:$D$434,$A38,Countries!$P$5:$P$434,"&gt;0"))/IF($B$6="Total",SUMIFS(Countries!$P$5:$P$434,Countries!$A$5:$A$434,$B$4,Countries!$B$5:$B$434,$B$5,Countries!$D$5:$D$434,$A38,Countries!$AR$5:$AR$434,"&gt;0"),SUMIFS(Countries!$P$5:$P$434,Countries!$A$5:$A$434,$B$4,Countries!$B$5:$B$434,$B$5,Countries!$C$5:$C$434,$B$6,Countries!$D$5:$D$434,$A38,Countries!$AR$5:$AR$434,"&gt;0")))</f>
        <v/>
      </c>
      <c r="AW38" s="45">
        <f>IF(IF($B$6="Total",SUMIFS(Countries!$Q$5:$Q$434,Countries!$A$5:$A$434,$B$4,Countries!$B$5:$B$434,$B$5,Countries!$D$5:$D$434,$A38,Countries!$AS$5:$AS$434,"&gt;0"),SUMIFS(Countries!$Q$5:$Q$434,Countries!$A$5:$A$434,$B$4,Countries!$B$5:$B$434,$B$5,Countries!$C$5:$C$434,$B$6,Countries!$D$5:$D$434,$A38,Countries!$AS$5:$AS$434,"&gt;0"))=0,"",IF($B$6="Total",SUMIFS(Countries!$AS$5:$AS$434,Countries!$A$5:$A$434,$B$4,Countries!$B$5:$B$434,$B$5,Countries!$D$5:$D$434,$A38,Countries!$Q$5:$Q$434,"&gt;0"),SUMIFS(Countries!$AS$5:$AS$434,Countries!$A$5:$A$434,$B$4,Countries!$B$5:$B$434,$B$5,Countries!$C$5:$C$434,$B$6,Countries!$D$5:$D$434,$A38,Countries!$Q$5:$Q$434,"&gt;0"))/IF($B$6="Total",SUMIFS(Countries!$Q$5:$Q$434,Countries!$A$5:$A$434,$B$4,Countries!$B$5:$B$434,$B$5,Countries!$D$5:$D$434,$A38,Countries!$AS$5:$AS$434,"&gt;0"),SUMIFS(Countries!$Q$5:$Q$434,Countries!$A$5:$A$434,$B$4,Countries!$B$5:$B$434,$B$5,Countries!$C$5:$C$434,$B$6,Countries!$D$5:$D$434,$A38,Countries!$AS$5:$AS$434,"&gt;0")))</f>
        <v/>
      </c>
      <c r="AX38" s="44">
        <f>IF(OR(AW38="",AV38=""),"",(AW38-AV38)*100)</f>
        <v/>
      </c>
      <c r="AY38" s="45">
        <f>IF(IF($B$6="Total",SUMIFS(Countries!$E$5:$E$434,Countries!$A$5:$A$434,$B$4,Countries!$B$5:$B$434,$B$5,Countries!$D$5:$D$434,$A38,Countries!$AR$5:$AR$434,"&gt;0"),SUMIFS(Countries!$E$5:$E$434,Countries!$A$5:$A$434,$B$4,Countries!$B$5:$B$434,$B$5,Countries!$C$5:$C$434,$B$6,Countries!$D$5:$D$434,$A38,Countries!$AR$5:$AR$434,"&gt;0"))=0,"",IF($B$6="Total",SUMIFS(Countries!$AR$5:$AR$434,Countries!$A$5:$A$434,$B$4,Countries!$B$5:$B$434,$B$5,Countries!$D$5:$D$434,$A38,Countries!$E$5:$E$434,"&gt;0"),SUMIFS(Countries!$AR$5:$AR$434,Countries!$A$5:$A$434,$B$4,Countries!$B$5:$B$434,$B$5,Countries!$C$5:$C$434,$B$6,Countries!$D$5:$D$434,$A38,Countries!$E$5:$E$434,"&gt;0"))/IF($B$6="Total",SUMIFS(Countries!$E$5:$E$434,Countries!$A$5:$A$434,$B$4,Countries!$B$5:$B$434,$B$5,Countries!$D$5:$D$434,$A38,Countries!$AR$5:$AR$434,"&gt;0"),SUMIFS(Countries!$E$5:$E$434,Countries!$A$5:$A$434,$B$4,Countries!$B$5:$B$434,$B$5,Countries!$C$5:$C$434,$B$6,Countries!$D$5:$D$434,$A38,Countries!$AR$5:$AR$434,"&gt;0")))</f>
        <v/>
      </c>
      <c r="AZ38" s="45">
        <f>IF(IF($B$6="Total",SUMIFS(Countries!$F$5:$F$434,Countries!$A$5:$A$434,$B$4,Countries!$B$5:$B$434,$B$5,Countries!$D$5:$D$434,$A38,Countries!$AS$5:$AS$434,"&gt;0"),SUMIFS(Countries!$F$5:$F$434,Countries!$A$5:$A$434,$B$4,Countries!$B$5:$B$434,$B$5,Countries!$C$5:$C$434,$B$6,Countries!$D$5:$D$434,$A38,Countries!$AS$5:$AS$434,"&gt;0"))=0,"",IF($B$6="Total",SUMIFS(Countries!$AS$5:$AS$434,Countries!$A$5:$A$434,$B$4,Countries!$B$5:$B$434,$B$5,Countries!$D$5:$D$434,$A38,Countries!$F$5:$F$434,"&gt;0"),SUMIFS(Countries!$AS$5:$AS$434,Countries!$A$5:$A$434,$B$4,Countries!$B$5:$B$434,$B$5,Countries!$C$5:$C$434,$B$6,Countries!$D$5:$D$434,$A38,Countries!$F$5:$F$434,"&gt;0"))/IF($B$6="Total",SUMIFS(Countries!$F$5:$F$434,Countries!$A$5:$A$434,$B$4,Countries!$B$5:$B$434,$B$5,Countries!$D$5:$D$434,$A38,Countries!$AS$5:$AS$434,"&gt;0"),SUMIFS(Countries!$F$5:$F$434,Countries!$A$5:$A$434,$B$4,Countries!$B$5:$B$434,$B$5,Countries!$C$5:$C$434,$B$6,Countries!$D$5:$D$434,$A38,Countries!$AS$5:$AS$434,"&gt;0")))</f>
        <v/>
      </c>
      <c r="BA38" s="44">
        <f>IF(OR(AZ38="",AY38=""),"",(AZ38-AY38)*100)</f>
        <v/>
      </c>
      <c r="BB38" s="40">
        <f>IF(AND(IF($B$6="Total",COUNTIFS(Countries!$A$5:$A$434,$B$4,Countries!$B$5:$B$434,$B$5,Countries!$D$5:$D$434,$A38,Countries!$F$5:$F$434,"&gt;0"),COUNTIFS(Countries!$A$5:$A$434,$B$4,Countries!$B$5:$B$434,$B$5,Countries!$C$5:$C$434,$B$6,Countries!$D$5:$D$434,$A38,Countries!$F$5:$F$434,"&gt;0"))=0,IF($B$6="Total",COUNTIFS(Countries!$A$5:$A$434,$B$4,Countries!$B$5:$B$434,$B$5,Countries!$D$5:$D$434,$A38,Countries!$E$5:$E$434,"&gt;0"),COUNTIFS(Countries!$A$5:$A$434,$B$4,Countries!$B$5:$B$434,$B$5,Countries!$C$5:$C$434,$B$6,Countries!$D$5:$D$434,$A38,Countries!$E$5:$E$434,"&gt;0"))=0),"",IF(IF($B$6="Total",COUNTIFS(Countries!$A$5:$A$434,$B$4,Countries!$B$5:$B$434,$B$5,Countries!$D$5:$D$434,$A38,Countries!$F$5:$F$434,"&gt;0"),COUNTIFS(Countries!$A$5:$A$434,$B$4,Countries!$B$5:$B$434,$B$5,Countries!$C$5:$C$434,$B$6,Countries!$D$5:$D$434,$A38,Countries!$F$5:$F$434,"&gt;0"))=0,"1-23Aug25 rows only",IF(IF($B$6="Total",COUNTIFS(Countries!$A$5:$A$434,$B$4,Countries!$B$5:$B$434,$B$5,Countries!$D$5:$D$434,$A38,Countries!$E$5:$E$434,"&gt;0"),COUNTIFS(Countries!$A$5:$A$434,$B$4,Countries!$B$5:$B$434,$B$5,Countries!$C$5:$C$434,$B$6,Countries!$D$5:$D$434,$A38,Countries!$E$5:$E$434,"&gt;0"))=0,"1-23Aug26 rows only",IF(IF($B$6="Total",COUNTIFS(Countries!$A$5:$A$434,$B$4,Countries!$B$5:$B$434,$B$5,Countries!$D$5:$D$434,$A38,Countries!$F$5:$F$434,"&gt;0"),COUNTIFS(Countries!$A$5:$A$434,$B$4,Countries!$B$5:$B$434,$B$5,Countries!$C$5:$C$434,$B$6,Countries!$D$5:$D$434,$A38,Countries!$F$5:$F$434,"&gt;0"))=IF($B$6="Total",COUNTIFS(Countries!$A$5:$A$434,$B$4,Countries!$B$5:$B$434,$B$5,Countries!$D$5:$D$434,$A38,Countries!$E$5:$E$434,"&gt;0"),COUNTIFS(Countries!$A$5:$A$434,$B$4,Countries!$B$5:$B$434,$B$5,Countries!$C$5:$C$434,$B$6,Countries!$D$5:$D$434,$A38,Countries!$E$5:$E$434,"&gt;0")),"Like-for-like","Partial — coverage differs"))))</f>
        <v/>
      </c>
    </row>
    <row r="39">
      <c r="A39" s="40" t="inlineStr">
        <is>
          <t>Israel</t>
        </is>
      </c>
      <c r="B39" s="41">
        <f>IF(IF($B$6="Total",SUMIFS(Countries!$E$5:$E$434,Countries!$A$5:$A$434,$B$4,Countries!$B$5:$B$434,$B$5,Countries!$D$5:$D$434,$A39),SUMIFS(Countries!$E$5:$E$434,Countries!$A$5:$A$434,$B$4,Countries!$B$5:$B$434,$B$5,Countries!$C$5:$C$434,$B$6,Countries!$D$5:$D$434,$A39))=0,"",IF($B$6="Total",SUMIFS(Countries!$E$5:$E$434,Countries!$A$5:$A$434,$B$4,Countries!$B$5:$B$434,$B$5,Countries!$D$5:$D$434,$A39),SUMIFS(Countries!$E$5:$E$434,Countries!$A$5:$A$434,$B$4,Countries!$B$5:$B$434,$B$5,Countries!$C$5:$C$434,$B$6,Countries!$D$5:$D$434,$A39)))</f>
        <v/>
      </c>
      <c r="C39" s="41">
        <f>IF(IF($B$6="Total",SUMIFS(Countries!$F$5:$F$434,Countries!$A$5:$A$434,$B$4,Countries!$B$5:$B$434,$B$5,Countries!$D$5:$D$434,$A39),SUMIFS(Countries!$F$5:$F$434,Countries!$A$5:$A$434,$B$4,Countries!$B$5:$B$434,$B$5,Countries!$C$5:$C$434,$B$6,Countries!$D$5:$D$434,$A39))=0,"",IF($B$6="Total",SUMIFS(Countries!$F$5:$F$434,Countries!$A$5:$A$434,$B$4,Countries!$B$5:$B$434,$B$5,Countries!$D$5:$D$434,$A39),SUMIFS(Countries!$F$5:$F$434,Countries!$A$5:$A$434,$B$4,Countries!$B$5:$B$434,$B$5,Countries!$C$5:$C$434,$B$6,Countries!$D$5:$D$434,$A39)))</f>
        <v/>
      </c>
      <c r="D39" s="69">
        <f>IF(OR(C39="",B39="",B39=0,C39=0),"",C39-B39)</f>
        <v/>
      </c>
      <c r="E39" s="42">
        <f>IF(OR(C39="",B39="",B39=0,C39=0),"",C39/B39-1)</f>
        <v/>
      </c>
      <c r="F39" s="41">
        <f>IF(IF($B$6="Total",SUMIFS(Countries!$I$5:$I$434,Countries!$A$5:$A$434,$B$4,Countries!$B$5:$B$434,$B$5,Countries!$D$5:$D$434,$A39),SUMIFS(Countries!$I$5:$I$434,Countries!$A$5:$A$434,$B$4,Countries!$B$5:$B$434,$B$5,Countries!$C$5:$C$434,$B$6,Countries!$D$5:$D$434,$A39))=0,"",IF($B$6="Total",SUMIFS(Countries!$I$5:$I$434,Countries!$A$5:$A$434,$B$4,Countries!$B$5:$B$434,$B$5,Countries!$D$5:$D$434,$A39),SUMIFS(Countries!$I$5:$I$434,Countries!$A$5:$A$434,$B$4,Countries!$B$5:$B$434,$B$5,Countries!$C$5:$C$434,$B$6,Countries!$D$5:$D$434,$A39)))</f>
        <v/>
      </c>
      <c r="G39" s="41">
        <f>IF(IF($B$6="Total",SUMIFS(Countries!$J$5:$J$434,Countries!$A$5:$A$434,$B$4,Countries!$B$5:$B$434,$B$5,Countries!$D$5:$D$434,$A39),SUMIFS(Countries!$J$5:$J$434,Countries!$A$5:$A$434,$B$4,Countries!$B$5:$B$434,$B$5,Countries!$C$5:$C$434,$B$6,Countries!$D$5:$D$434,$A39))=0,"",IF($B$6="Total",SUMIFS(Countries!$J$5:$J$434,Countries!$A$5:$A$434,$B$4,Countries!$B$5:$B$434,$B$5,Countries!$D$5:$D$434,$A39),SUMIFS(Countries!$J$5:$J$434,Countries!$A$5:$A$434,$B$4,Countries!$B$5:$B$434,$B$5,Countries!$C$5:$C$434,$B$6,Countries!$D$5:$D$434,$A39)))</f>
        <v/>
      </c>
      <c r="H39" s="69">
        <f>IF(OR(G39="",F39="",F39=0,G39=0),"",G39-F39)</f>
        <v/>
      </c>
      <c r="I39" s="42">
        <f>IF(OR(G39="",F39="",F39=0,G39=0),"",G39/F39-1)</f>
        <v/>
      </c>
      <c r="J39" s="43">
        <f>IF(IF($B$6="Total",SUMIFS(Countries!$E$5:$E$434,Countries!$A$5:$A$434,$B$4,Countries!$B$5:$B$434,$B$5,Countries!$D$5:$D$434,$A39,Countries!$I$5:$I$434,"&gt;0"),SUMIFS(Countries!$E$5:$E$434,Countries!$A$5:$A$434,$B$4,Countries!$B$5:$B$434,$B$5,Countries!$C$5:$C$434,$B$6,Countries!$D$5:$D$434,$A39,Countries!$I$5:$I$434,"&gt;0"))=0,"",IF($B$6="Total",SUMIFS(Countries!$I$5:$I$434,Countries!$A$5:$A$434,$B$4,Countries!$B$5:$B$434,$B$5,Countries!$D$5:$D$434,$A39,Countries!$E$5:$E$434,"&gt;0"),SUMIFS(Countries!$I$5:$I$434,Countries!$A$5:$A$434,$B$4,Countries!$B$5:$B$434,$B$5,Countries!$C$5:$C$434,$B$6,Countries!$D$5:$D$434,$A39,Countries!$E$5:$E$434,"&gt;0"))/IF($B$6="Total",SUMIFS(Countries!$E$5:$E$434,Countries!$A$5:$A$434,$B$4,Countries!$B$5:$B$434,$B$5,Countries!$D$5:$D$434,$A39,Countries!$I$5:$I$434,"&gt;0"),SUMIFS(Countries!$E$5:$E$434,Countries!$A$5:$A$434,$B$4,Countries!$B$5:$B$434,$B$5,Countries!$C$5:$C$434,$B$6,Countries!$D$5:$D$434,$A39,Countries!$I$5:$I$434,"&gt;0")))</f>
        <v/>
      </c>
      <c r="K39" s="43">
        <f>IF(IF($B$6="Total",SUMIFS(Countries!$F$5:$F$434,Countries!$A$5:$A$434,$B$4,Countries!$B$5:$B$434,$B$5,Countries!$D$5:$D$434,$A39,Countries!$J$5:$J$434,"&gt;0"),SUMIFS(Countries!$F$5:$F$434,Countries!$A$5:$A$434,$B$4,Countries!$B$5:$B$434,$B$5,Countries!$C$5:$C$434,$B$6,Countries!$D$5:$D$434,$A39,Countries!$J$5:$J$434,"&gt;0"))=0,"",IF($B$6="Total",SUMIFS(Countries!$J$5:$J$434,Countries!$A$5:$A$434,$B$4,Countries!$B$5:$B$434,$B$5,Countries!$D$5:$D$434,$A39,Countries!$F$5:$F$434,"&gt;0"),SUMIFS(Countries!$J$5:$J$434,Countries!$A$5:$A$434,$B$4,Countries!$B$5:$B$434,$B$5,Countries!$C$5:$C$434,$B$6,Countries!$D$5:$D$434,$A39,Countries!$F$5:$F$434,"&gt;0"))/IF($B$6="Total",SUMIFS(Countries!$F$5:$F$434,Countries!$A$5:$A$434,$B$4,Countries!$B$5:$B$434,$B$5,Countries!$D$5:$D$434,$A39,Countries!$J$5:$J$434,"&gt;0"),SUMIFS(Countries!$F$5:$F$434,Countries!$A$5:$A$434,$B$4,Countries!$B$5:$B$434,$B$5,Countries!$C$5:$C$434,$B$6,Countries!$D$5:$D$434,$A39,Countries!$J$5:$J$434,"&gt;0")))</f>
        <v/>
      </c>
      <c r="L39" s="44">
        <f>IF(OR(K39="",J39=""),"",(K39-J39)*100)</f>
        <v/>
      </c>
      <c r="M39" s="41">
        <f>IF(IF($B$6="Total",SUMIFS(Countries!$P$5:$P$434,Countries!$A$5:$A$434,$B$4,Countries!$B$5:$B$434,$B$5,Countries!$D$5:$D$434,$A39),SUMIFS(Countries!$P$5:$P$434,Countries!$A$5:$A$434,$B$4,Countries!$B$5:$B$434,$B$5,Countries!$C$5:$C$434,$B$6,Countries!$D$5:$D$434,$A39))=0,"",IF($B$6="Total",SUMIFS(Countries!$P$5:$P$434,Countries!$A$5:$A$434,$B$4,Countries!$B$5:$B$434,$B$5,Countries!$D$5:$D$434,$A39),SUMIFS(Countries!$P$5:$P$434,Countries!$A$5:$A$434,$B$4,Countries!$B$5:$B$434,$B$5,Countries!$C$5:$C$434,$B$6,Countries!$D$5:$D$434,$A39)))</f>
        <v/>
      </c>
      <c r="N39" s="41">
        <f>IF(IF($B$6="Total",SUMIFS(Countries!$Q$5:$Q$434,Countries!$A$5:$A$434,$B$4,Countries!$B$5:$B$434,$B$5,Countries!$D$5:$D$434,$A39),SUMIFS(Countries!$Q$5:$Q$434,Countries!$A$5:$A$434,$B$4,Countries!$B$5:$B$434,$B$5,Countries!$C$5:$C$434,$B$6,Countries!$D$5:$D$434,$A39))=0,"",IF($B$6="Total",SUMIFS(Countries!$Q$5:$Q$434,Countries!$A$5:$A$434,$B$4,Countries!$B$5:$B$434,$B$5,Countries!$D$5:$D$434,$A39),SUMIFS(Countries!$Q$5:$Q$434,Countries!$A$5:$A$434,$B$4,Countries!$B$5:$B$434,$B$5,Countries!$C$5:$C$434,$B$6,Countries!$D$5:$D$434,$A39)))</f>
        <v/>
      </c>
      <c r="O39" s="69">
        <f>IF(OR(N39="",M39="",M39=0,N39=0),"",N39-M39)</f>
        <v/>
      </c>
      <c r="P39" s="42">
        <f>IF(OR(N39="",M39="",M39=0,N39=0),"",N39/M39-1)</f>
        <v/>
      </c>
      <c r="Q39" s="43">
        <f>IF(IF($B$6="Total",SUMIFS(Countries!$E$5:$E$434,Countries!$A$5:$A$434,$B$4,Countries!$B$5:$B$434,$B$5,Countries!$D$5:$D$434,$A39,Countries!$P$5:$P$434,"&gt;0"),SUMIFS(Countries!$E$5:$E$434,Countries!$A$5:$A$434,$B$4,Countries!$B$5:$B$434,$B$5,Countries!$C$5:$C$434,$B$6,Countries!$D$5:$D$434,$A39,Countries!$P$5:$P$434,"&gt;0"))=0,"",IF($B$6="Total",SUMIFS(Countries!$P$5:$P$434,Countries!$A$5:$A$434,$B$4,Countries!$B$5:$B$434,$B$5,Countries!$D$5:$D$434,$A39,Countries!$E$5:$E$434,"&gt;0"),SUMIFS(Countries!$P$5:$P$434,Countries!$A$5:$A$434,$B$4,Countries!$B$5:$B$434,$B$5,Countries!$C$5:$C$434,$B$6,Countries!$D$5:$D$434,$A39,Countries!$E$5:$E$434,"&gt;0"))/IF($B$6="Total",SUMIFS(Countries!$E$5:$E$434,Countries!$A$5:$A$434,$B$4,Countries!$B$5:$B$434,$B$5,Countries!$D$5:$D$434,$A39,Countries!$P$5:$P$434,"&gt;0"),SUMIFS(Countries!$E$5:$E$434,Countries!$A$5:$A$434,$B$4,Countries!$B$5:$B$434,$B$5,Countries!$C$5:$C$434,$B$6,Countries!$D$5:$D$434,$A39,Countries!$P$5:$P$434,"&gt;0")))</f>
        <v/>
      </c>
      <c r="R39" s="43">
        <f>IF(IF($B$6="Total",SUMIFS(Countries!$F$5:$F$434,Countries!$A$5:$A$434,$B$4,Countries!$B$5:$B$434,$B$5,Countries!$D$5:$D$434,$A39,Countries!$Q$5:$Q$434,"&gt;0"),SUMIFS(Countries!$F$5:$F$434,Countries!$A$5:$A$434,$B$4,Countries!$B$5:$B$434,$B$5,Countries!$C$5:$C$434,$B$6,Countries!$D$5:$D$434,$A39,Countries!$Q$5:$Q$434,"&gt;0"))=0,"",IF($B$6="Total",SUMIFS(Countries!$Q$5:$Q$434,Countries!$A$5:$A$434,$B$4,Countries!$B$5:$B$434,$B$5,Countries!$D$5:$D$434,$A39,Countries!$F$5:$F$434,"&gt;0"),SUMIFS(Countries!$Q$5:$Q$434,Countries!$A$5:$A$434,$B$4,Countries!$B$5:$B$434,$B$5,Countries!$C$5:$C$434,$B$6,Countries!$D$5:$D$434,$A39,Countries!$F$5:$F$434,"&gt;0"))/IF($B$6="Total",SUMIFS(Countries!$F$5:$F$434,Countries!$A$5:$A$434,$B$4,Countries!$B$5:$B$434,$B$5,Countries!$D$5:$D$434,$A39,Countries!$Q$5:$Q$434,"&gt;0"),SUMIFS(Countries!$F$5:$F$434,Countries!$A$5:$A$434,$B$4,Countries!$B$5:$B$434,$B$5,Countries!$C$5:$C$434,$B$6,Countries!$D$5:$D$434,$A39,Countries!$Q$5:$Q$434,"&gt;0")))</f>
        <v/>
      </c>
      <c r="S39" s="44">
        <f>IF(OR(R39="",Q39=""),"",(R39-Q39)*100)</f>
        <v/>
      </c>
      <c r="T39" s="41">
        <f>IF(IF($B$6="Total",SUMIFS(Countries!$W$5:$W$434,Countries!$A$5:$A$434,$B$4,Countries!$B$5:$B$434,$B$5,Countries!$D$5:$D$434,$A39),SUMIFS(Countries!$W$5:$W$434,Countries!$A$5:$A$434,$B$4,Countries!$B$5:$B$434,$B$5,Countries!$C$5:$C$434,$B$6,Countries!$D$5:$D$434,$A39))=0,"",IF($B$6="Total",SUMIFS(Countries!$W$5:$W$434,Countries!$A$5:$A$434,$B$4,Countries!$B$5:$B$434,$B$5,Countries!$D$5:$D$434,$A39),SUMIFS(Countries!$W$5:$W$434,Countries!$A$5:$A$434,$B$4,Countries!$B$5:$B$434,$B$5,Countries!$C$5:$C$434,$B$6,Countries!$D$5:$D$434,$A39)))</f>
        <v/>
      </c>
      <c r="U39" s="41">
        <f>IF(IF($B$6="Total",SUMIFS(Countries!$X$5:$X$434,Countries!$A$5:$A$434,$B$4,Countries!$B$5:$B$434,$B$5,Countries!$D$5:$D$434,$A39),SUMIFS(Countries!$X$5:$X$434,Countries!$A$5:$A$434,$B$4,Countries!$B$5:$B$434,$B$5,Countries!$C$5:$C$434,$B$6,Countries!$D$5:$D$434,$A39))=0,"",IF($B$6="Total",SUMIFS(Countries!$X$5:$X$434,Countries!$A$5:$A$434,$B$4,Countries!$B$5:$B$434,$B$5,Countries!$D$5:$D$434,$A39),SUMIFS(Countries!$X$5:$X$434,Countries!$A$5:$A$434,$B$4,Countries!$B$5:$B$434,$B$5,Countries!$C$5:$C$434,$B$6,Countries!$D$5:$D$434,$A39)))</f>
        <v/>
      </c>
      <c r="V39" s="69">
        <f>IF(OR(U39="",T39="",T39=0,U39=0),"",U39-T39)</f>
        <v/>
      </c>
      <c r="W39" s="42">
        <f>IF(OR(U39="",T39="",T39=0,U39=0),"",U39/T39-1)</f>
        <v/>
      </c>
      <c r="X39" s="43">
        <f>IF(IF($B$6="Total",SUMIFS(Countries!$P$5:$P$434,Countries!$A$5:$A$434,$B$4,Countries!$B$5:$B$434,$B$5,Countries!$D$5:$D$434,$A39,Countries!$W$5:$W$434,"&gt;0"),SUMIFS(Countries!$P$5:$P$434,Countries!$A$5:$A$434,$B$4,Countries!$B$5:$B$434,$B$5,Countries!$C$5:$C$434,$B$6,Countries!$D$5:$D$434,$A39,Countries!$W$5:$W$434,"&gt;0"))=0,"",IF($B$6="Total",SUMIFS(Countries!$W$5:$W$434,Countries!$A$5:$A$434,$B$4,Countries!$B$5:$B$434,$B$5,Countries!$D$5:$D$434,$A39,Countries!$P$5:$P$434,"&gt;0"),SUMIFS(Countries!$W$5:$W$434,Countries!$A$5:$A$434,$B$4,Countries!$B$5:$B$434,$B$5,Countries!$C$5:$C$434,$B$6,Countries!$D$5:$D$434,$A39,Countries!$P$5:$P$434,"&gt;0"))/IF($B$6="Total",SUMIFS(Countries!$P$5:$P$434,Countries!$A$5:$A$434,$B$4,Countries!$B$5:$B$434,$B$5,Countries!$D$5:$D$434,$A39,Countries!$W$5:$W$434,"&gt;0"),SUMIFS(Countries!$P$5:$P$434,Countries!$A$5:$A$434,$B$4,Countries!$B$5:$B$434,$B$5,Countries!$C$5:$C$434,$B$6,Countries!$D$5:$D$434,$A39,Countries!$W$5:$W$434,"&gt;0")))</f>
        <v/>
      </c>
      <c r="Y39" s="43">
        <f>IF(IF($B$6="Total",SUMIFS(Countries!$Q$5:$Q$434,Countries!$A$5:$A$434,$B$4,Countries!$B$5:$B$434,$B$5,Countries!$D$5:$D$434,$A39,Countries!$X$5:$X$434,"&gt;0"),SUMIFS(Countries!$Q$5:$Q$434,Countries!$A$5:$A$434,$B$4,Countries!$B$5:$B$434,$B$5,Countries!$C$5:$C$434,$B$6,Countries!$D$5:$D$434,$A39,Countries!$X$5:$X$434,"&gt;0"))=0,"",IF($B$6="Total",SUMIFS(Countries!$X$5:$X$434,Countries!$A$5:$A$434,$B$4,Countries!$B$5:$B$434,$B$5,Countries!$D$5:$D$434,$A39,Countries!$Q$5:$Q$434,"&gt;0"),SUMIFS(Countries!$X$5:$X$434,Countries!$A$5:$A$434,$B$4,Countries!$B$5:$B$434,$B$5,Countries!$C$5:$C$434,$B$6,Countries!$D$5:$D$434,$A39,Countries!$Q$5:$Q$434,"&gt;0"))/IF($B$6="Total",SUMIFS(Countries!$Q$5:$Q$434,Countries!$A$5:$A$434,$B$4,Countries!$B$5:$B$434,$B$5,Countries!$D$5:$D$434,$A39,Countries!$X$5:$X$434,"&gt;0"),SUMIFS(Countries!$Q$5:$Q$434,Countries!$A$5:$A$434,$B$4,Countries!$B$5:$B$434,$B$5,Countries!$C$5:$C$434,$B$6,Countries!$D$5:$D$434,$A39,Countries!$X$5:$X$434,"&gt;0")))</f>
        <v/>
      </c>
      <c r="Z39" s="44">
        <f>IF(OR(Y39="",X39=""),"",(Y39-X39)*100)</f>
        <v/>
      </c>
      <c r="AA39" s="41">
        <f>IF(IF($B$6="Total",SUMIFS(Countries!$AD$5:$AD$434,Countries!$A$5:$A$434,$B$4,Countries!$B$5:$B$434,$B$5,Countries!$D$5:$D$434,$A39),SUMIFS(Countries!$AD$5:$AD$434,Countries!$A$5:$A$434,$B$4,Countries!$B$5:$B$434,$B$5,Countries!$C$5:$C$434,$B$6,Countries!$D$5:$D$434,$A39))=0,"",IF($B$6="Total",SUMIFS(Countries!$AD$5:$AD$434,Countries!$A$5:$A$434,$B$4,Countries!$B$5:$B$434,$B$5,Countries!$D$5:$D$434,$A39),SUMIFS(Countries!$AD$5:$AD$434,Countries!$A$5:$A$434,$B$4,Countries!$B$5:$B$434,$B$5,Countries!$C$5:$C$434,$B$6,Countries!$D$5:$D$434,$A39)))</f>
        <v/>
      </c>
      <c r="AB39" s="41">
        <f>IF(IF($B$6="Total",SUMIFS(Countries!$AE$5:$AE$434,Countries!$A$5:$A$434,$B$4,Countries!$B$5:$B$434,$B$5,Countries!$D$5:$D$434,$A39),SUMIFS(Countries!$AE$5:$AE$434,Countries!$A$5:$A$434,$B$4,Countries!$B$5:$B$434,$B$5,Countries!$C$5:$C$434,$B$6,Countries!$D$5:$D$434,$A39))=0,"",IF($B$6="Total",SUMIFS(Countries!$AE$5:$AE$434,Countries!$A$5:$A$434,$B$4,Countries!$B$5:$B$434,$B$5,Countries!$D$5:$D$434,$A39),SUMIFS(Countries!$AE$5:$AE$434,Countries!$A$5:$A$434,$B$4,Countries!$B$5:$B$434,$B$5,Countries!$C$5:$C$434,$B$6,Countries!$D$5:$D$434,$A39)))</f>
        <v/>
      </c>
      <c r="AC39" s="69">
        <f>IF(OR(AB39="",AA39="",AA39=0,AB39=0),"",AB39-AA39)</f>
        <v/>
      </c>
      <c r="AD39" s="42">
        <f>IF(OR(AB39="",AA39="",AA39=0,AB39=0),"",AB39/AA39-1)</f>
        <v/>
      </c>
      <c r="AE39" s="43">
        <f>IF(IF($B$6="Total",SUMIFS(Countries!$W$5:$W$434,Countries!$A$5:$A$434,$B$4,Countries!$B$5:$B$434,$B$5,Countries!$D$5:$D$434,$A39,Countries!$AD$5:$AD$434,"&gt;0"),SUMIFS(Countries!$W$5:$W$434,Countries!$A$5:$A$434,$B$4,Countries!$B$5:$B$434,$B$5,Countries!$C$5:$C$434,$B$6,Countries!$D$5:$D$434,$A39,Countries!$AD$5:$AD$434,"&gt;0"))=0,"",IF($B$6="Total",SUMIFS(Countries!$AD$5:$AD$434,Countries!$A$5:$A$434,$B$4,Countries!$B$5:$B$434,$B$5,Countries!$D$5:$D$434,$A39,Countries!$W$5:$W$434,"&gt;0"),SUMIFS(Countries!$AD$5:$AD$434,Countries!$A$5:$A$434,$B$4,Countries!$B$5:$B$434,$B$5,Countries!$C$5:$C$434,$B$6,Countries!$D$5:$D$434,$A39,Countries!$W$5:$W$434,"&gt;0"))/IF($B$6="Total",SUMIFS(Countries!$W$5:$W$434,Countries!$A$5:$A$434,$B$4,Countries!$B$5:$B$434,$B$5,Countries!$D$5:$D$434,$A39,Countries!$AD$5:$AD$434,"&gt;0"),SUMIFS(Countries!$W$5:$W$434,Countries!$A$5:$A$434,$B$4,Countries!$B$5:$B$434,$B$5,Countries!$C$5:$C$434,$B$6,Countries!$D$5:$D$434,$A39,Countries!$AD$5:$AD$434,"&gt;0")))</f>
        <v/>
      </c>
      <c r="AF39" s="43">
        <f>IF(IF($B$6="Total",SUMIFS(Countries!$X$5:$X$434,Countries!$A$5:$A$434,$B$4,Countries!$B$5:$B$434,$B$5,Countries!$D$5:$D$434,$A39,Countries!$AE$5:$AE$434,"&gt;0"),SUMIFS(Countries!$X$5:$X$434,Countries!$A$5:$A$434,$B$4,Countries!$B$5:$B$434,$B$5,Countries!$C$5:$C$434,$B$6,Countries!$D$5:$D$434,$A39,Countries!$AE$5:$AE$434,"&gt;0"))=0,"",IF($B$6="Total",SUMIFS(Countries!$AE$5:$AE$434,Countries!$A$5:$A$434,$B$4,Countries!$B$5:$B$434,$B$5,Countries!$D$5:$D$434,$A39,Countries!$X$5:$X$434,"&gt;0"),SUMIFS(Countries!$AE$5:$AE$434,Countries!$A$5:$A$434,$B$4,Countries!$B$5:$B$434,$B$5,Countries!$C$5:$C$434,$B$6,Countries!$D$5:$D$434,$A39,Countries!$X$5:$X$434,"&gt;0"))/IF($B$6="Total",SUMIFS(Countries!$X$5:$X$434,Countries!$A$5:$A$434,$B$4,Countries!$B$5:$B$434,$B$5,Countries!$D$5:$D$434,$A39,Countries!$AE$5:$AE$434,"&gt;0"),SUMIFS(Countries!$X$5:$X$434,Countries!$A$5:$A$434,$B$4,Countries!$B$5:$B$434,$B$5,Countries!$C$5:$C$434,$B$6,Countries!$D$5:$D$434,$A39,Countries!$AE$5:$AE$434,"&gt;0")))</f>
        <v/>
      </c>
      <c r="AG39" s="44">
        <f>IF(OR(AF39="",AE39=""),"",(AF39-AE39)*100)</f>
        <v/>
      </c>
      <c r="AH39" s="41">
        <f>IF(IF($B$6="Total",SUMIFS(Countries!$AK$5:$AK$434,Countries!$A$5:$A$434,$B$4,Countries!$B$5:$B$434,$B$5,Countries!$D$5:$D$434,$A39),SUMIFS(Countries!$AK$5:$AK$434,Countries!$A$5:$A$434,$B$4,Countries!$B$5:$B$434,$B$5,Countries!$C$5:$C$434,$B$6,Countries!$D$5:$D$434,$A39))=0,"",IF($B$6="Total",SUMIFS(Countries!$AK$5:$AK$434,Countries!$A$5:$A$434,$B$4,Countries!$B$5:$B$434,$B$5,Countries!$D$5:$D$434,$A39),SUMIFS(Countries!$AK$5:$AK$434,Countries!$A$5:$A$434,$B$4,Countries!$B$5:$B$434,$B$5,Countries!$C$5:$C$434,$B$6,Countries!$D$5:$D$434,$A39)))</f>
        <v/>
      </c>
      <c r="AI39" s="41">
        <f>IF(IF($B$6="Total",SUMIFS(Countries!$AL$5:$AL$434,Countries!$A$5:$A$434,$B$4,Countries!$B$5:$B$434,$B$5,Countries!$D$5:$D$434,$A39),SUMIFS(Countries!$AL$5:$AL$434,Countries!$A$5:$A$434,$B$4,Countries!$B$5:$B$434,$B$5,Countries!$C$5:$C$434,$B$6,Countries!$D$5:$D$434,$A39))=0,"",IF($B$6="Total",SUMIFS(Countries!$AL$5:$AL$434,Countries!$A$5:$A$434,$B$4,Countries!$B$5:$B$434,$B$5,Countries!$D$5:$D$434,$A39),SUMIFS(Countries!$AL$5:$AL$434,Countries!$A$5:$A$434,$B$4,Countries!$B$5:$B$434,$B$5,Countries!$C$5:$C$434,$B$6,Countries!$D$5:$D$434,$A39)))</f>
        <v/>
      </c>
      <c r="AJ39" s="69">
        <f>IF(OR(AI39="",AH39="",AH39=0,AI39=0),"",AI39-AH39)</f>
        <v/>
      </c>
      <c r="AK39" s="42">
        <f>IF(OR(AI39="",AH39="",AH39=0,AI39=0),"",AI39/AH39-1)</f>
        <v/>
      </c>
      <c r="AL39" s="43">
        <f>IF(IF($B$6="Total",SUMIFS(Countries!$AD$5:$AD$434,Countries!$A$5:$A$434,$B$4,Countries!$B$5:$B$434,$B$5,Countries!$D$5:$D$434,$A39,Countries!$AK$5:$AK$434,"&gt;0"),SUMIFS(Countries!$AD$5:$AD$434,Countries!$A$5:$A$434,$B$4,Countries!$B$5:$B$434,$B$5,Countries!$C$5:$C$434,$B$6,Countries!$D$5:$D$434,$A39,Countries!$AK$5:$AK$434,"&gt;0"))=0,"",IF($B$6="Total",SUMIFS(Countries!$AK$5:$AK$434,Countries!$A$5:$A$434,$B$4,Countries!$B$5:$B$434,$B$5,Countries!$D$5:$D$434,$A39,Countries!$AD$5:$AD$434,"&gt;0"),SUMIFS(Countries!$AK$5:$AK$434,Countries!$A$5:$A$434,$B$4,Countries!$B$5:$B$434,$B$5,Countries!$C$5:$C$434,$B$6,Countries!$D$5:$D$434,$A39,Countries!$AD$5:$AD$434,"&gt;0"))/IF($B$6="Total",SUMIFS(Countries!$AD$5:$AD$434,Countries!$A$5:$A$434,$B$4,Countries!$B$5:$B$434,$B$5,Countries!$D$5:$D$434,$A39,Countries!$AK$5:$AK$434,"&gt;0"),SUMIFS(Countries!$AD$5:$AD$434,Countries!$A$5:$A$434,$B$4,Countries!$B$5:$B$434,$B$5,Countries!$C$5:$C$434,$B$6,Countries!$D$5:$D$434,$A39,Countries!$AK$5:$AK$434,"&gt;0")))</f>
        <v/>
      </c>
      <c r="AM39" s="43">
        <f>IF(IF($B$6="Total",SUMIFS(Countries!$AE$5:$AE$434,Countries!$A$5:$A$434,$B$4,Countries!$B$5:$B$434,$B$5,Countries!$D$5:$D$434,$A39,Countries!$AL$5:$AL$434,"&gt;0"),SUMIFS(Countries!$AE$5:$AE$434,Countries!$A$5:$A$434,$B$4,Countries!$B$5:$B$434,$B$5,Countries!$C$5:$C$434,$B$6,Countries!$D$5:$D$434,$A39,Countries!$AL$5:$AL$434,"&gt;0"))=0,"",IF($B$6="Total",SUMIFS(Countries!$AL$5:$AL$434,Countries!$A$5:$A$434,$B$4,Countries!$B$5:$B$434,$B$5,Countries!$D$5:$D$434,$A39,Countries!$AE$5:$AE$434,"&gt;0"),SUMIFS(Countries!$AL$5:$AL$434,Countries!$A$5:$A$434,$B$4,Countries!$B$5:$B$434,$B$5,Countries!$C$5:$C$434,$B$6,Countries!$D$5:$D$434,$A39,Countries!$AE$5:$AE$434,"&gt;0"))/IF($B$6="Total",SUMIFS(Countries!$AE$5:$AE$434,Countries!$A$5:$A$434,$B$4,Countries!$B$5:$B$434,$B$5,Countries!$D$5:$D$434,$A39,Countries!$AL$5:$AL$434,"&gt;0"),SUMIFS(Countries!$AE$5:$AE$434,Countries!$A$5:$A$434,$B$4,Countries!$B$5:$B$434,$B$5,Countries!$C$5:$C$434,$B$6,Countries!$D$5:$D$434,$A39,Countries!$AL$5:$AL$434,"&gt;0")))</f>
        <v/>
      </c>
      <c r="AN39" s="44">
        <f>IF(OR(AM39="",AL39=""),"",(AM39-AL39)*100)</f>
        <v/>
      </c>
      <c r="AO39" s="41">
        <f>IF(IF($B$6="Total",SUMIFS(Countries!$AR$5:$AR$434,Countries!$A$5:$A$434,$B$4,Countries!$B$5:$B$434,$B$5,Countries!$D$5:$D$434,$A39),SUMIFS(Countries!$AR$5:$AR$434,Countries!$A$5:$A$434,$B$4,Countries!$B$5:$B$434,$B$5,Countries!$C$5:$C$434,$B$6,Countries!$D$5:$D$434,$A39))=0,"",IF($B$6="Total",SUMIFS(Countries!$AR$5:$AR$434,Countries!$A$5:$A$434,$B$4,Countries!$B$5:$B$434,$B$5,Countries!$D$5:$D$434,$A39),SUMIFS(Countries!$AR$5:$AR$434,Countries!$A$5:$A$434,$B$4,Countries!$B$5:$B$434,$B$5,Countries!$C$5:$C$434,$B$6,Countries!$D$5:$D$434,$A39)))</f>
        <v/>
      </c>
      <c r="AP39" s="41">
        <f>IF(IF($B$6="Total",SUMIFS(Countries!$AS$5:$AS$434,Countries!$A$5:$A$434,$B$4,Countries!$B$5:$B$434,$B$5,Countries!$D$5:$D$434,$A39),SUMIFS(Countries!$AS$5:$AS$434,Countries!$A$5:$A$434,$B$4,Countries!$B$5:$B$434,$B$5,Countries!$C$5:$C$434,$B$6,Countries!$D$5:$D$434,$A39))=0,"",IF($B$6="Total",SUMIFS(Countries!$AS$5:$AS$434,Countries!$A$5:$A$434,$B$4,Countries!$B$5:$B$434,$B$5,Countries!$D$5:$D$434,$A39),SUMIFS(Countries!$AS$5:$AS$434,Countries!$A$5:$A$434,$B$4,Countries!$B$5:$B$434,$B$5,Countries!$C$5:$C$434,$B$6,Countries!$D$5:$D$434,$A39)))</f>
        <v/>
      </c>
      <c r="AQ39" s="69">
        <f>IF(OR(AP39="",AO39="",AO39=0,AP39=0),"",AP39-AO39)</f>
        <v/>
      </c>
      <c r="AR39" s="42">
        <f>IF(OR(AP39="",AO39="",AO39=0,AP39=0),"",AP39/AO39-1)</f>
        <v/>
      </c>
      <c r="AS39" s="43">
        <f>IF(IF($B$6="Total",SUMIFS(Countries!$AK$5:$AK$434,Countries!$A$5:$A$434,$B$4,Countries!$B$5:$B$434,$B$5,Countries!$D$5:$D$434,$A39,Countries!$AR$5:$AR$434,"&gt;0"),SUMIFS(Countries!$AK$5:$AK$434,Countries!$A$5:$A$434,$B$4,Countries!$B$5:$B$434,$B$5,Countries!$C$5:$C$434,$B$6,Countries!$D$5:$D$434,$A39,Countries!$AR$5:$AR$434,"&gt;0"))=0,"",IF($B$6="Total",SUMIFS(Countries!$AR$5:$AR$434,Countries!$A$5:$A$434,$B$4,Countries!$B$5:$B$434,$B$5,Countries!$D$5:$D$434,$A39,Countries!$AK$5:$AK$434,"&gt;0"),SUMIFS(Countries!$AR$5:$AR$434,Countries!$A$5:$A$434,$B$4,Countries!$B$5:$B$434,$B$5,Countries!$C$5:$C$434,$B$6,Countries!$D$5:$D$434,$A39,Countries!$AK$5:$AK$434,"&gt;0"))/IF($B$6="Total",SUMIFS(Countries!$AK$5:$AK$434,Countries!$A$5:$A$434,$B$4,Countries!$B$5:$B$434,$B$5,Countries!$D$5:$D$434,$A39,Countries!$AR$5:$AR$434,"&gt;0"),SUMIFS(Countries!$AK$5:$AK$434,Countries!$A$5:$A$434,$B$4,Countries!$B$5:$B$434,$B$5,Countries!$C$5:$C$434,$B$6,Countries!$D$5:$D$434,$A39,Countries!$AR$5:$AR$434,"&gt;0")))</f>
        <v/>
      </c>
      <c r="AT39" s="43">
        <f>IF(IF($B$6="Total",SUMIFS(Countries!$AL$5:$AL$434,Countries!$A$5:$A$434,$B$4,Countries!$B$5:$B$434,$B$5,Countries!$D$5:$D$434,$A39,Countries!$AS$5:$AS$434,"&gt;0"),SUMIFS(Countries!$AL$5:$AL$434,Countries!$A$5:$A$434,$B$4,Countries!$B$5:$B$434,$B$5,Countries!$C$5:$C$434,$B$6,Countries!$D$5:$D$434,$A39,Countries!$AS$5:$AS$434,"&gt;0"))=0,"",IF($B$6="Total",SUMIFS(Countries!$AS$5:$AS$434,Countries!$A$5:$A$434,$B$4,Countries!$B$5:$B$434,$B$5,Countries!$D$5:$D$434,$A39,Countries!$AL$5:$AL$434,"&gt;0"),SUMIFS(Countries!$AS$5:$AS$434,Countries!$A$5:$A$434,$B$4,Countries!$B$5:$B$434,$B$5,Countries!$C$5:$C$434,$B$6,Countries!$D$5:$D$434,$A39,Countries!$AL$5:$AL$434,"&gt;0"))/IF($B$6="Total",SUMIFS(Countries!$AL$5:$AL$434,Countries!$A$5:$A$434,$B$4,Countries!$B$5:$B$434,$B$5,Countries!$D$5:$D$434,$A39,Countries!$AS$5:$AS$434,"&gt;0"),SUMIFS(Countries!$AL$5:$AL$434,Countries!$A$5:$A$434,$B$4,Countries!$B$5:$B$434,$B$5,Countries!$C$5:$C$434,$B$6,Countries!$D$5:$D$434,$A39,Countries!$AS$5:$AS$434,"&gt;0")))</f>
        <v/>
      </c>
      <c r="AU39" s="44">
        <f>IF(OR(AT39="",AS39=""),"",(AT39-AS39)*100)</f>
        <v/>
      </c>
      <c r="AV39" s="45">
        <f>IF(IF($B$6="Total",SUMIFS(Countries!$P$5:$P$434,Countries!$A$5:$A$434,$B$4,Countries!$B$5:$B$434,$B$5,Countries!$D$5:$D$434,$A39,Countries!$AR$5:$AR$434,"&gt;0"),SUMIFS(Countries!$P$5:$P$434,Countries!$A$5:$A$434,$B$4,Countries!$B$5:$B$434,$B$5,Countries!$C$5:$C$434,$B$6,Countries!$D$5:$D$434,$A39,Countries!$AR$5:$AR$434,"&gt;0"))=0,"",IF($B$6="Total",SUMIFS(Countries!$AR$5:$AR$434,Countries!$A$5:$A$434,$B$4,Countries!$B$5:$B$434,$B$5,Countries!$D$5:$D$434,$A39,Countries!$P$5:$P$434,"&gt;0"),SUMIFS(Countries!$AR$5:$AR$434,Countries!$A$5:$A$434,$B$4,Countries!$B$5:$B$434,$B$5,Countries!$C$5:$C$434,$B$6,Countries!$D$5:$D$434,$A39,Countries!$P$5:$P$434,"&gt;0"))/IF($B$6="Total",SUMIFS(Countries!$P$5:$P$434,Countries!$A$5:$A$434,$B$4,Countries!$B$5:$B$434,$B$5,Countries!$D$5:$D$434,$A39,Countries!$AR$5:$AR$434,"&gt;0"),SUMIFS(Countries!$P$5:$P$434,Countries!$A$5:$A$434,$B$4,Countries!$B$5:$B$434,$B$5,Countries!$C$5:$C$434,$B$6,Countries!$D$5:$D$434,$A39,Countries!$AR$5:$AR$434,"&gt;0")))</f>
        <v/>
      </c>
      <c r="AW39" s="45">
        <f>IF(IF($B$6="Total",SUMIFS(Countries!$Q$5:$Q$434,Countries!$A$5:$A$434,$B$4,Countries!$B$5:$B$434,$B$5,Countries!$D$5:$D$434,$A39,Countries!$AS$5:$AS$434,"&gt;0"),SUMIFS(Countries!$Q$5:$Q$434,Countries!$A$5:$A$434,$B$4,Countries!$B$5:$B$434,$B$5,Countries!$C$5:$C$434,$B$6,Countries!$D$5:$D$434,$A39,Countries!$AS$5:$AS$434,"&gt;0"))=0,"",IF($B$6="Total",SUMIFS(Countries!$AS$5:$AS$434,Countries!$A$5:$A$434,$B$4,Countries!$B$5:$B$434,$B$5,Countries!$D$5:$D$434,$A39,Countries!$Q$5:$Q$434,"&gt;0"),SUMIFS(Countries!$AS$5:$AS$434,Countries!$A$5:$A$434,$B$4,Countries!$B$5:$B$434,$B$5,Countries!$C$5:$C$434,$B$6,Countries!$D$5:$D$434,$A39,Countries!$Q$5:$Q$434,"&gt;0"))/IF($B$6="Total",SUMIFS(Countries!$Q$5:$Q$434,Countries!$A$5:$A$434,$B$4,Countries!$B$5:$B$434,$B$5,Countries!$D$5:$D$434,$A39,Countries!$AS$5:$AS$434,"&gt;0"),SUMIFS(Countries!$Q$5:$Q$434,Countries!$A$5:$A$434,$B$4,Countries!$B$5:$B$434,$B$5,Countries!$C$5:$C$434,$B$6,Countries!$D$5:$D$434,$A39,Countries!$AS$5:$AS$434,"&gt;0")))</f>
        <v/>
      </c>
      <c r="AX39" s="44">
        <f>IF(OR(AW39="",AV39=""),"",(AW39-AV39)*100)</f>
        <v/>
      </c>
      <c r="AY39" s="45">
        <f>IF(IF($B$6="Total",SUMIFS(Countries!$E$5:$E$434,Countries!$A$5:$A$434,$B$4,Countries!$B$5:$B$434,$B$5,Countries!$D$5:$D$434,$A39,Countries!$AR$5:$AR$434,"&gt;0"),SUMIFS(Countries!$E$5:$E$434,Countries!$A$5:$A$434,$B$4,Countries!$B$5:$B$434,$B$5,Countries!$C$5:$C$434,$B$6,Countries!$D$5:$D$434,$A39,Countries!$AR$5:$AR$434,"&gt;0"))=0,"",IF($B$6="Total",SUMIFS(Countries!$AR$5:$AR$434,Countries!$A$5:$A$434,$B$4,Countries!$B$5:$B$434,$B$5,Countries!$D$5:$D$434,$A39,Countries!$E$5:$E$434,"&gt;0"),SUMIFS(Countries!$AR$5:$AR$434,Countries!$A$5:$A$434,$B$4,Countries!$B$5:$B$434,$B$5,Countries!$C$5:$C$434,$B$6,Countries!$D$5:$D$434,$A39,Countries!$E$5:$E$434,"&gt;0"))/IF($B$6="Total",SUMIFS(Countries!$E$5:$E$434,Countries!$A$5:$A$434,$B$4,Countries!$B$5:$B$434,$B$5,Countries!$D$5:$D$434,$A39,Countries!$AR$5:$AR$434,"&gt;0"),SUMIFS(Countries!$E$5:$E$434,Countries!$A$5:$A$434,$B$4,Countries!$B$5:$B$434,$B$5,Countries!$C$5:$C$434,$B$6,Countries!$D$5:$D$434,$A39,Countries!$AR$5:$AR$434,"&gt;0")))</f>
        <v/>
      </c>
      <c r="AZ39" s="45">
        <f>IF(IF($B$6="Total",SUMIFS(Countries!$F$5:$F$434,Countries!$A$5:$A$434,$B$4,Countries!$B$5:$B$434,$B$5,Countries!$D$5:$D$434,$A39,Countries!$AS$5:$AS$434,"&gt;0"),SUMIFS(Countries!$F$5:$F$434,Countries!$A$5:$A$434,$B$4,Countries!$B$5:$B$434,$B$5,Countries!$C$5:$C$434,$B$6,Countries!$D$5:$D$434,$A39,Countries!$AS$5:$AS$434,"&gt;0"))=0,"",IF($B$6="Total",SUMIFS(Countries!$AS$5:$AS$434,Countries!$A$5:$A$434,$B$4,Countries!$B$5:$B$434,$B$5,Countries!$D$5:$D$434,$A39,Countries!$F$5:$F$434,"&gt;0"),SUMIFS(Countries!$AS$5:$AS$434,Countries!$A$5:$A$434,$B$4,Countries!$B$5:$B$434,$B$5,Countries!$C$5:$C$434,$B$6,Countries!$D$5:$D$434,$A39,Countries!$F$5:$F$434,"&gt;0"))/IF($B$6="Total",SUMIFS(Countries!$F$5:$F$434,Countries!$A$5:$A$434,$B$4,Countries!$B$5:$B$434,$B$5,Countries!$D$5:$D$434,$A39,Countries!$AS$5:$AS$434,"&gt;0"),SUMIFS(Countries!$F$5:$F$434,Countries!$A$5:$A$434,$B$4,Countries!$B$5:$B$434,$B$5,Countries!$C$5:$C$434,$B$6,Countries!$D$5:$D$434,$A39,Countries!$AS$5:$AS$434,"&gt;0")))</f>
        <v/>
      </c>
      <c r="BA39" s="44">
        <f>IF(OR(AZ39="",AY39=""),"",(AZ39-AY39)*100)</f>
        <v/>
      </c>
      <c r="BB39" s="40">
        <f>IF(AND(IF($B$6="Total",COUNTIFS(Countries!$A$5:$A$434,$B$4,Countries!$B$5:$B$434,$B$5,Countries!$D$5:$D$434,$A39,Countries!$F$5:$F$434,"&gt;0"),COUNTIFS(Countries!$A$5:$A$434,$B$4,Countries!$B$5:$B$434,$B$5,Countries!$C$5:$C$434,$B$6,Countries!$D$5:$D$434,$A39,Countries!$F$5:$F$434,"&gt;0"))=0,IF($B$6="Total",COUNTIFS(Countries!$A$5:$A$434,$B$4,Countries!$B$5:$B$434,$B$5,Countries!$D$5:$D$434,$A39,Countries!$E$5:$E$434,"&gt;0"),COUNTIFS(Countries!$A$5:$A$434,$B$4,Countries!$B$5:$B$434,$B$5,Countries!$C$5:$C$434,$B$6,Countries!$D$5:$D$434,$A39,Countries!$E$5:$E$434,"&gt;0"))=0),"",IF(IF($B$6="Total",COUNTIFS(Countries!$A$5:$A$434,$B$4,Countries!$B$5:$B$434,$B$5,Countries!$D$5:$D$434,$A39,Countries!$F$5:$F$434,"&gt;0"),COUNTIFS(Countries!$A$5:$A$434,$B$4,Countries!$B$5:$B$434,$B$5,Countries!$C$5:$C$434,$B$6,Countries!$D$5:$D$434,$A39,Countries!$F$5:$F$434,"&gt;0"))=0,"1-23Aug25 rows only",IF(IF($B$6="Total",COUNTIFS(Countries!$A$5:$A$434,$B$4,Countries!$B$5:$B$434,$B$5,Countries!$D$5:$D$434,$A39,Countries!$E$5:$E$434,"&gt;0"),COUNTIFS(Countries!$A$5:$A$434,$B$4,Countries!$B$5:$B$434,$B$5,Countries!$C$5:$C$434,$B$6,Countries!$D$5:$D$434,$A39,Countries!$E$5:$E$434,"&gt;0"))=0,"1-23Aug26 rows only",IF(IF($B$6="Total",COUNTIFS(Countries!$A$5:$A$434,$B$4,Countries!$B$5:$B$434,$B$5,Countries!$D$5:$D$434,$A39,Countries!$F$5:$F$434,"&gt;0"),COUNTIFS(Countries!$A$5:$A$434,$B$4,Countries!$B$5:$B$434,$B$5,Countries!$C$5:$C$434,$B$6,Countries!$D$5:$D$434,$A39,Countries!$F$5:$F$434,"&gt;0"))=IF($B$6="Total",COUNTIFS(Countries!$A$5:$A$434,$B$4,Countries!$B$5:$B$434,$B$5,Countries!$D$5:$D$434,$A39,Countries!$E$5:$E$434,"&gt;0"),COUNTIFS(Countries!$A$5:$A$434,$B$4,Countries!$B$5:$B$434,$B$5,Countries!$C$5:$C$434,$B$6,Countries!$D$5:$D$434,$A39,Countries!$E$5:$E$434,"&gt;0")),"Like-for-like","Partial — coverage differs"))))</f>
        <v/>
      </c>
    </row>
    <row r="40">
      <c r="A40" s="56" t="inlineStr">
        <is>
          <t>Philippines</t>
        </is>
      </c>
      <c r="B40" s="41">
        <f>IF(IF($B$6="Total",SUMIFS(Countries!$E$5:$E$434,Countries!$A$5:$A$434,$B$4,Countries!$B$5:$B$434,$B$5,Countries!$D$5:$D$434,$A40),SUMIFS(Countries!$E$5:$E$434,Countries!$A$5:$A$434,$B$4,Countries!$B$5:$B$434,$B$5,Countries!$C$5:$C$434,$B$6,Countries!$D$5:$D$434,$A40))=0,"",IF($B$6="Total",SUMIFS(Countries!$E$5:$E$434,Countries!$A$5:$A$434,$B$4,Countries!$B$5:$B$434,$B$5,Countries!$D$5:$D$434,$A40),SUMIFS(Countries!$E$5:$E$434,Countries!$A$5:$A$434,$B$4,Countries!$B$5:$B$434,$B$5,Countries!$C$5:$C$434,$B$6,Countries!$D$5:$D$434,$A40)))</f>
        <v/>
      </c>
      <c r="C40" s="41">
        <f>IF(IF($B$6="Total",SUMIFS(Countries!$F$5:$F$434,Countries!$A$5:$A$434,$B$4,Countries!$B$5:$B$434,$B$5,Countries!$D$5:$D$434,$A40),SUMIFS(Countries!$F$5:$F$434,Countries!$A$5:$A$434,$B$4,Countries!$B$5:$B$434,$B$5,Countries!$C$5:$C$434,$B$6,Countries!$D$5:$D$434,$A40))=0,"",IF($B$6="Total",SUMIFS(Countries!$F$5:$F$434,Countries!$A$5:$A$434,$B$4,Countries!$B$5:$B$434,$B$5,Countries!$D$5:$D$434,$A40),SUMIFS(Countries!$F$5:$F$434,Countries!$A$5:$A$434,$B$4,Countries!$B$5:$B$434,$B$5,Countries!$C$5:$C$434,$B$6,Countries!$D$5:$D$434,$A40)))</f>
        <v/>
      </c>
      <c r="D40" s="69">
        <f>IF(OR(C40="",B40="",B40=0,C40=0),"",C40-B40)</f>
        <v/>
      </c>
      <c r="E40" s="42">
        <f>IF(OR(C40="",B40="",B40=0,C40=0),"",C40/B40-1)</f>
        <v/>
      </c>
      <c r="F40" s="41">
        <f>IF(IF($B$6="Total",SUMIFS(Countries!$I$5:$I$434,Countries!$A$5:$A$434,$B$4,Countries!$B$5:$B$434,$B$5,Countries!$D$5:$D$434,$A40),SUMIFS(Countries!$I$5:$I$434,Countries!$A$5:$A$434,$B$4,Countries!$B$5:$B$434,$B$5,Countries!$C$5:$C$434,$B$6,Countries!$D$5:$D$434,$A40))=0,"",IF($B$6="Total",SUMIFS(Countries!$I$5:$I$434,Countries!$A$5:$A$434,$B$4,Countries!$B$5:$B$434,$B$5,Countries!$D$5:$D$434,$A40),SUMIFS(Countries!$I$5:$I$434,Countries!$A$5:$A$434,$B$4,Countries!$B$5:$B$434,$B$5,Countries!$C$5:$C$434,$B$6,Countries!$D$5:$D$434,$A40)))</f>
        <v/>
      </c>
      <c r="G40" s="41">
        <f>IF(IF($B$6="Total",SUMIFS(Countries!$J$5:$J$434,Countries!$A$5:$A$434,$B$4,Countries!$B$5:$B$434,$B$5,Countries!$D$5:$D$434,$A40),SUMIFS(Countries!$J$5:$J$434,Countries!$A$5:$A$434,$B$4,Countries!$B$5:$B$434,$B$5,Countries!$C$5:$C$434,$B$6,Countries!$D$5:$D$434,$A40))=0,"",IF($B$6="Total",SUMIFS(Countries!$J$5:$J$434,Countries!$A$5:$A$434,$B$4,Countries!$B$5:$B$434,$B$5,Countries!$D$5:$D$434,$A40),SUMIFS(Countries!$J$5:$J$434,Countries!$A$5:$A$434,$B$4,Countries!$B$5:$B$434,$B$5,Countries!$C$5:$C$434,$B$6,Countries!$D$5:$D$434,$A40)))</f>
        <v/>
      </c>
      <c r="H40" s="69">
        <f>IF(OR(G40="",F40="",F40=0,G40=0),"",G40-F40)</f>
        <v/>
      </c>
      <c r="I40" s="42">
        <f>IF(OR(G40="",F40="",F40=0,G40=0),"",G40/F40-1)</f>
        <v/>
      </c>
      <c r="J40" s="43">
        <f>IF(IF($B$6="Total",SUMIFS(Countries!$E$5:$E$434,Countries!$A$5:$A$434,$B$4,Countries!$B$5:$B$434,$B$5,Countries!$D$5:$D$434,$A40,Countries!$I$5:$I$434,"&gt;0"),SUMIFS(Countries!$E$5:$E$434,Countries!$A$5:$A$434,$B$4,Countries!$B$5:$B$434,$B$5,Countries!$C$5:$C$434,$B$6,Countries!$D$5:$D$434,$A40,Countries!$I$5:$I$434,"&gt;0"))=0,"",IF($B$6="Total",SUMIFS(Countries!$I$5:$I$434,Countries!$A$5:$A$434,$B$4,Countries!$B$5:$B$434,$B$5,Countries!$D$5:$D$434,$A40,Countries!$E$5:$E$434,"&gt;0"),SUMIFS(Countries!$I$5:$I$434,Countries!$A$5:$A$434,$B$4,Countries!$B$5:$B$434,$B$5,Countries!$C$5:$C$434,$B$6,Countries!$D$5:$D$434,$A40,Countries!$E$5:$E$434,"&gt;0"))/IF($B$6="Total",SUMIFS(Countries!$E$5:$E$434,Countries!$A$5:$A$434,$B$4,Countries!$B$5:$B$434,$B$5,Countries!$D$5:$D$434,$A40,Countries!$I$5:$I$434,"&gt;0"),SUMIFS(Countries!$E$5:$E$434,Countries!$A$5:$A$434,$B$4,Countries!$B$5:$B$434,$B$5,Countries!$C$5:$C$434,$B$6,Countries!$D$5:$D$434,$A40,Countries!$I$5:$I$434,"&gt;0")))</f>
        <v/>
      </c>
      <c r="K40" s="43">
        <f>IF(IF($B$6="Total",SUMIFS(Countries!$F$5:$F$434,Countries!$A$5:$A$434,$B$4,Countries!$B$5:$B$434,$B$5,Countries!$D$5:$D$434,$A40,Countries!$J$5:$J$434,"&gt;0"),SUMIFS(Countries!$F$5:$F$434,Countries!$A$5:$A$434,$B$4,Countries!$B$5:$B$434,$B$5,Countries!$C$5:$C$434,$B$6,Countries!$D$5:$D$434,$A40,Countries!$J$5:$J$434,"&gt;0"))=0,"",IF($B$6="Total",SUMIFS(Countries!$J$5:$J$434,Countries!$A$5:$A$434,$B$4,Countries!$B$5:$B$434,$B$5,Countries!$D$5:$D$434,$A40,Countries!$F$5:$F$434,"&gt;0"),SUMIFS(Countries!$J$5:$J$434,Countries!$A$5:$A$434,$B$4,Countries!$B$5:$B$434,$B$5,Countries!$C$5:$C$434,$B$6,Countries!$D$5:$D$434,$A40,Countries!$F$5:$F$434,"&gt;0"))/IF($B$6="Total",SUMIFS(Countries!$F$5:$F$434,Countries!$A$5:$A$434,$B$4,Countries!$B$5:$B$434,$B$5,Countries!$D$5:$D$434,$A40,Countries!$J$5:$J$434,"&gt;0"),SUMIFS(Countries!$F$5:$F$434,Countries!$A$5:$A$434,$B$4,Countries!$B$5:$B$434,$B$5,Countries!$C$5:$C$434,$B$6,Countries!$D$5:$D$434,$A40,Countries!$J$5:$J$434,"&gt;0")))</f>
        <v/>
      </c>
      <c r="L40" s="44">
        <f>IF(OR(K40="",J40=""),"",(K40-J40)*100)</f>
        <v/>
      </c>
      <c r="M40" s="41">
        <f>IF(IF($B$6="Total",SUMIFS(Countries!$P$5:$P$434,Countries!$A$5:$A$434,$B$4,Countries!$B$5:$B$434,$B$5,Countries!$D$5:$D$434,$A40),SUMIFS(Countries!$P$5:$P$434,Countries!$A$5:$A$434,$B$4,Countries!$B$5:$B$434,$B$5,Countries!$C$5:$C$434,$B$6,Countries!$D$5:$D$434,$A40))=0,"",IF($B$6="Total",SUMIFS(Countries!$P$5:$P$434,Countries!$A$5:$A$434,$B$4,Countries!$B$5:$B$434,$B$5,Countries!$D$5:$D$434,$A40),SUMIFS(Countries!$P$5:$P$434,Countries!$A$5:$A$434,$B$4,Countries!$B$5:$B$434,$B$5,Countries!$C$5:$C$434,$B$6,Countries!$D$5:$D$434,$A40)))</f>
        <v/>
      </c>
      <c r="N40" s="41">
        <f>IF(IF($B$6="Total",SUMIFS(Countries!$Q$5:$Q$434,Countries!$A$5:$A$434,$B$4,Countries!$B$5:$B$434,$B$5,Countries!$D$5:$D$434,$A40),SUMIFS(Countries!$Q$5:$Q$434,Countries!$A$5:$A$434,$B$4,Countries!$B$5:$B$434,$B$5,Countries!$C$5:$C$434,$B$6,Countries!$D$5:$D$434,$A40))=0,"",IF($B$6="Total",SUMIFS(Countries!$Q$5:$Q$434,Countries!$A$5:$A$434,$B$4,Countries!$B$5:$B$434,$B$5,Countries!$D$5:$D$434,$A40),SUMIFS(Countries!$Q$5:$Q$434,Countries!$A$5:$A$434,$B$4,Countries!$B$5:$B$434,$B$5,Countries!$C$5:$C$434,$B$6,Countries!$D$5:$D$434,$A40)))</f>
        <v/>
      </c>
      <c r="O40" s="69">
        <f>IF(OR(N40="",M40="",M40=0,N40=0),"",N40-M40)</f>
        <v/>
      </c>
      <c r="P40" s="42">
        <f>IF(OR(N40="",M40="",M40=0,N40=0),"",N40/M40-1)</f>
        <v/>
      </c>
      <c r="Q40" s="43">
        <f>IF(IF($B$6="Total",SUMIFS(Countries!$E$5:$E$434,Countries!$A$5:$A$434,$B$4,Countries!$B$5:$B$434,$B$5,Countries!$D$5:$D$434,$A40,Countries!$P$5:$P$434,"&gt;0"),SUMIFS(Countries!$E$5:$E$434,Countries!$A$5:$A$434,$B$4,Countries!$B$5:$B$434,$B$5,Countries!$C$5:$C$434,$B$6,Countries!$D$5:$D$434,$A40,Countries!$P$5:$P$434,"&gt;0"))=0,"",IF($B$6="Total",SUMIFS(Countries!$P$5:$P$434,Countries!$A$5:$A$434,$B$4,Countries!$B$5:$B$434,$B$5,Countries!$D$5:$D$434,$A40,Countries!$E$5:$E$434,"&gt;0"),SUMIFS(Countries!$P$5:$P$434,Countries!$A$5:$A$434,$B$4,Countries!$B$5:$B$434,$B$5,Countries!$C$5:$C$434,$B$6,Countries!$D$5:$D$434,$A40,Countries!$E$5:$E$434,"&gt;0"))/IF($B$6="Total",SUMIFS(Countries!$E$5:$E$434,Countries!$A$5:$A$434,$B$4,Countries!$B$5:$B$434,$B$5,Countries!$D$5:$D$434,$A40,Countries!$P$5:$P$434,"&gt;0"),SUMIFS(Countries!$E$5:$E$434,Countries!$A$5:$A$434,$B$4,Countries!$B$5:$B$434,$B$5,Countries!$C$5:$C$434,$B$6,Countries!$D$5:$D$434,$A40,Countries!$P$5:$P$434,"&gt;0")))</f>
        <v/>
      </c>
      <c r="R40" s="43">
        <f>IF(IF($B$6="Total",SUMIFS(Countries!$F$5:$F$434,Countries!$A$5:$A$434,$B$4,Countries!$B$5:$B$434,$B$5,Countries!$D$5:$D$434,$A40,Countries!$Q$5:$Q$434,"&gt;0"),SUMIFS(Countries!$F$5:$F$434,Countries!$A$5:$A$434,$B$4,Countries!$B$5:$B$434,$B$5,Countries!$C$5:$C$434,$B$6,Countries!$D$5:$D$434,$A40,Countries!$Q$5:$Q$434,"&gt;0"))=0,"",IF($B$6="Total",SUMIFS(Countries!$Q$5:$Q$434,Countries!$A$5:$A$434,$B$4,Countries!$B$5:$B$434,$B$5,Countries!$D$5:$D$434,$A40,Countries!$F$5:$F$434,"&gt;0"),SUMIFS(Countries!$Q$5:$Q$434,Countries!$A$5:$A$434,$B$4,Countries!$B$5:$B$434,$B$5,Countries!$C$5:$C$434,$B$6,Countries!$D$5:$D$434,$A40,Countries!$F$5:$F$434,"&gt;0"))/IF($B$6="Total",SUMIFS(Countries!$F$5:$F$434,Countries!$A$5:$A$434,$B$4,Countries!$B$5:$B$434,$B$5,Countries!$D$5:$D$434,$A40,Countries!$Q$5:$Q$434,"&gt;0"),SUMIFS(Countries!$F$5:$F$434,Countries!$A$5:$A$434,$B$4,Countries!$B$5:$B$434,$B$5,Countries!$C$5:$C$434,$B$6,Countries!$D$5:$D$434,$A40,Countries!$Q$5:$Q$434,"&gt;0")))</f>
        <v/>
      </c>
      <c r="S40" s="44">
        <f>IF(OR(R40="",Q40=""),"",(R40-Q40)*100)</f>
        <v/>
      </c>
      <c r="T40" s="41">
        <f>IF(IF($B$6="Total",SUMIFS(Countries!$W$5:$W$434,Countries!$A$5:$A$434,$B$4,Countries!$B$5:$B$434,$B$5,Countries!$D$5:$D$434,$A40),SUMIFS(Countries!$W$5:$W$434,Countries!$A$5:$A$434,$B$4,Countries!$B$5:$B$434,$B$5,Countries!$C$5:$C$434,$B$6,Countries!$D$5:$D$434,$A40))=0,"",IF($B$6="Total",SUMIFS(Countries!$W$5:$W$434,Countries!$A$5:$A$434,$B$4,Countries!$B$5:$B$434,$B$5,Countries!$D$5:$D$434,$A40),SUMIFS(Countries!$W$5:$W$434,Countries!$A$5:$A$434,$B$4,Countries!$B$5:$B$434,$B$5,Countries!$C$5:$C$434,$B$6,Countries!$D$5:$D$434,$A40)))</f>
        <v/>
      </c>
      <c r="U40" s="41">
        <f>IF(IF($B$6="Total",SUMIFS(Countries!$X$5:$X$434,Countries!$A$5:$A$434,$B$4,Countries!$B$5:$B$434,$B$5,Countries!$D$5:$D$434,$A40),SUMIFS(Countries!$X$5:$X$434,Countries!$A$5:$A$434,$B$4,Countries!$B$5:$B$434,$B$5,Countries!$C$5:$C$434,$B$6,Countries!$D$5:$D$434,$A40))=0,"",IF($B$6="Total",SUMIFS(Countries!$X$5:$X$434,Countries!$A$5:$A$434,$B$4,Countries!$B$5:$B$434,$B$5,Countries!$D$5:$D$434,$A40),SUMIFS(Countries!$X$5:$X$434,Countries!$A$5:$A$434,$B$4,Countries!$B$5:$B$434,$B$5,Countries!$C$5:$C$434,$B$6,Countries!$D$5:$D$434,$A40)))</f>
        <v/>
      </c>
      <c r="V40" s="69">
        <f>IF(OR(U40="",T40="",T40=0,U40=0),"",U40-T40)</f>
        <v/>
      </c>
      <c r="W40" s="42">
        <f>IF(OR(U40="",T40="",T40=0,U40=0),"",U40/T40-1)</f>
        <v/>
      </c>
      <c r="X40" s="43">
        <f>IF(IF($B$6="Total",SUMIFS(Countries!$P$5:$P$434,Countries!$A$5:$A$434,$B$4,Countries!$B$5:$B$434,$B$5,Countries!$D$5:$D$434,$A40,Countries!$W$5:$W$434,"&gt;0"),SUMIFS(Countries!$P$5:$P$434,Countries!$A$5:$A$434,$B$4,Countries!$B$5:$B$434,$B$5,Countries!$C$5:$C$434,$B$6,Countries!$D$5:$D$434,$A40,Countries!$W$5:$W$434,"&gt;0"))=0,"",IF($B$6="Total",SUMIFS(Countries!$W$5:$W$434,Countries!$A$5:$A$434,$B$4,Countries!$B$5:$B$434,$B$5,Countries!$D$5:$D$434,$A40,Countries!$P$5:$P$434,"&gt;0"),SUMIFS(Countries!$W$5:$W$434,Countries!$A$5:$A$434,$B$4,Countries!$B$5:$B$434,$B$5,Countries!$C$5:$C$434,$B$6,Countries!$D$5:$D$434,$A40,Countries!$P$5:$P$434,"&gt;0"))/IF($B$6="Total",SUMIFS(Countries!$P$5:$P$434,Countries!$A$5:$A$434,$B$4,Countries!$B$5:$B$434,$B$5,Countries!$D$5:$D$434,$A40,Countries!$W$5:$W$434,"&gt;0"),SUMIFS(Countries!$P$5:$P$434,Countries!$A$5:$A$434,$B$4,Countries!$B$5:$B$434,$B$5,Countries!$C$5:$C$434,$B$6,Countries!$D$5:$D$434,$A40,Countries!$W$5:$W$434,"&gt;0")))</f>
        <v/>
      </c>
      <c r="Y40" s="43">
        <f>IF(IF($B$6="Total",SUMIFS(Countries!$Q$5:$Q$434,Countries!$A$5:$A$434,$B$4,Countries!$B$5:$B$434,$B$5,Countries!$D$5:$D$434,$A40,Countries!$X$5:$X$434,"&gt;0"),SUMIFS(Countries!$Q$5:$Q$434,Countries!$A$5:$A$434,$B$4,Countries!$B$5:$B$434,$B$5,Countries!$C$5:$C$434,$B$6,Countries!$D$5:$D$434,$A40,Countries!$X$5:$X$434,"&gt;0"))=0,"",IF($B$6="Total",SUMIFS(Countries!$X$5:$X$434,Countries!$A$5:$A$434,$B$4,Countries!$B$5:$B$434,$B$5,Countries!$D$5:$D$434,$A40,Countries!$Q$5:$Q$434,"&gt;0"),SUMIFS(Countries!$X$5:$X$434,Countries!$A$5:$A$434,$B$4,Countries!$B$5:$B$434,$B$5,Countries!$C$5:$C$434,$B$6,Countries!$D$5:$D$434,$A40,Countries!$Q$5:$Q$434,"&gt;0"))/IF($B$6="Total",SUMIFS(Countries!$Q$5:$Q$434,Countries!$A$5:$A$434,$B$4,Countries!$B$5:$B$434,$B$5,Countries!$D$5:$D$434,$A40,Countries!$X$5:$X$434,"&gt;0"),SUMIFS(Countries!$Q$5:$Q$434,Countries!$A$5:$A$434,$B$4,Countries!$B$5:$B$434,$B$5,Countries!$C$5:$C$434,$B$6,Countries!$D$5:$D$434,$A40,Countries!$X$5:$X$434,"&gt;0")))</f>
        <v/>
      </c>
      <c r="Z40" s="44">
        <f>IF(OR(Y40="",X40=""),"",(Y40-X40)*100)</f>
        <v/>
      </c>
      <c r="AA40" s="41">
        <f>IF(IF($B$6="Total",SUMIFS(Countries!$AD$5:$AD$434,Countries!$A$5:$A$434,$B$4,Countries!$B$5:$B$434,$B$5,Countries!$D$5:$D$434,$A40),SUMIFS(Countries!$AD$5:$AD$434,Countries!$A$5:$A$434,$B$4,Countries!$B$5:$B$434,$B$5,Countries!$C$5:$C$434,$B$6,Countries!$D$5:$D$434,$A40))=0,"",IF($B$6="Total",SUMIFS(Countries!$AD$5:$AD$434,Countries!$A$5:$A$434,$B$4,Countries!$B$5:$B$434,$B$5,Countries!$D$5:$D$434,$A40),SUMIFS(Countries!$AD$5:$AD$434,Countries!$A$5:$A$434,$B$4,Countries!$B$5:$B$434,$B$5,Countries!$C$5:$C$434,$B$6,Countries!$D$5:$D$434,$A40)))</f>
        <v/>
      </c>
      <c r="AB40" s="41">
        <f>IF(IF($B$6="Total",SUMIFS(Countries!$AE$5:$AE$434,Countries!$A$5:$A$434,$B$4,Countries!$B$5:$B$434,$B$5,Countries!$D$5:$D$434,$A40),SUMIFS(Countries!$AE$5:$AE$434,Countries!$A$5:$A$434,$B$4,Countries!$B$5:$B$434,$B$5,Countries!$C$5:$C$434,$B$6,Countries!$D$5:$D$434,$A40))=0,"",IF($B$6="Total",SUMIFS(Countries!$AE$5:$AE$434,Countries!$A$5:$A$434,$B$4,Countries!$B$5:$B$434,$B$5,Countries!$D$5:$D$434,$A40),SUMIFS(Countries!$AE$5:$AE$434,Countries!$A$5:$A$434,$B$4,Countries!$B$5:$B$434,$B$5,Countries!$C$5:$C$434,$B$6,Countries!$D$5:$D$434,$A40)))</f>
        <v/>
      </c>
      <c r="AC40" s="69">
        <f>IF(OR(AB40="",AA40="",AA40=0,AB40=0),"",AB40-AA40)</f>
        <v/>
      </c>
      <c r="AD40" s="42">
        <f>IF(OR(AB40="",AA40="",AA40=0,AB40=0),"",AB40/AA40-1)</f>
        <v/>
      </c>
      <c r="AE40" s="43">
        <f>IF(IF($B$6="Total",SUMIFS(Countries!$W$5:$W$434,Countries!$A$5:$A$434,$B$4,Countries!$B$5:$B$434,$B$5,Countries!$D$5:$D$434,$A40,Countries!$AD$5:$AD$434,"&gt;0"),SUMIFS(Countries!$W$5:$W$434,Countries!$A$5:$A$434,$B$4,Countries!$B$5:$B$434,$B$5,Countries!$C$5:$C$434,$B$6,Countries!$D$5:$D$434,$A40,Countries!$AD$5:$AD$434,"&gt;0"))=0,"",IF($B$6="Total",SUMIFS(Countries!$AD$5:$AD$434,Countries!$A$5:$A$434,$B$4,Countries!$B$5:$B$434,$B$5,Countries!$D$5:$D$434,$A40,Countries!$W$5:$W$434,"&gt;0"),SUMIFS(Countries!$AD$5:$AD$434,Countries!$A$5:$A$434,$B$4,Countries!$B$5:$B$434,$B$5,Countries!$C$5:$C$434,$B$6,Countries!$D$5:$D$434,$A40,Countries!$W$5:$W$434,"&gt;0"))/IF($B$6="Total",SUMIFS(Countries!$W$5:$W$434,Countries!$A$5:$A$434,$B$4,Countries!$B$5:$B$434,$B$5,Countries!$D$5:$D$434,$A40,Countries!$AD$5:$AD$434,"&gt;0"),SUMIFS(Countries!$W$5:$W$434,Countries!$A$5:$A$434,$B$4,Countries!$B$5:$B$434,$B$5,Countries!$C$5:$C$434,$B$6,Countries!$D$5:$D$434,$A40,Countries!$AD$5:$AD$434,"&gt;0")))</f>
        <v/>
      </c>
      <c r="AF40" s="43">
        <f>IF(IF($B$6="Total",SUMIFS(Countries!$X$5:$X$434,Countries!$A$5:$A$434,$B$4,Countries!$B$5:$B$434,$B$5,Countries!$D$5:$D$434,$A40,Countries!$AE$5:$AE$434,"&gt;0"),SUMIFS(Countries!$X$5:$X$434,Countries!$A$5:$A$434,$B$4,Countries!$B$5:$B$434,$B$5,Countries!$C$5:$C$434,$B$6,Countries!$D$5:$D$434,$A40,Countries!$AE$5:$AE$434,"&gt;0"))=0,"",IF($B$6="Total",SUMIFS(Countries!$AE$5:$AE$434,Countries!$A$5:$A$434,$B$4,Countries!$B$5:$B$434,$B$5,Countries!$D$5:$D$434,$A40,Countries!$X$5:$X$434,"&gt;0"),SUMIFS(Countries!$AE$5:$AE$434,Countries!$A$5:$A$434,$B$4,Countries!$B$5:$B$434,$B$5,Countries!$C$5:$C$434,$B$6,Countries!$D$5:$D$434,$A40,Countries!$X$5:$X$434,"&gt;0"))/IF($B$6="Total",SUMIFS(Countries!$X$5:$X$434,Countries!$A$5:$A$434,$B$4,Countries!$B$5:$B$434,$B$5,Countries!$D$5:$D$434,$A40,Countries!$AE$5:$AE$434,"&gt;0"),SUMIFS(Countries!$X$5:$X$434,Countries!$A$5:$A$434,$B$4,Countries!$B$5:$B$434,$B$5,Countries!$C$5:$C$434,$B$6,Countries!$D$5:$D$434,$A40,Countries!$AE$5:$AE$434,"&gt;0")))</f>
        <v/>
      </c>
      <c r="AG40" s="44">
        <f>IF(OR(AF40="",AE40=""),"",(AF40-AE40)*100)</f>
        <v/>
      </c>
      <c r="AH40" s="41">
        <f>IF(IF($B$6="Total",SUMIFS(Countries!$AK$5:$AK$434,Countries!$A$5:$A$434,$B$4,Countries!$B$5:$B$434,$B$5,Countries!$D$5:$D$434,$A40),SUMIFS(Countries!$AK$5:$AK$434,Countries!$A$5:$A$434,$B$4,Countries!$B$5:$B$434,$B$5,Countries!$C$5:$C$434,$B$6,Countries!$D$5:$D$434,$A40))=0,"",IF($B$6="Total",SUMIFS(Countries!$AK$5:$AK$434,Countries!$A$5:$A$434,$B$4,Countries!$B$5:$B$434,$B$5,Countries!$D$5:$D$434,$A40),SUMIFS(Countries!$AK$5:$AK$434,Countries!$A$5:$A$434,$B$4,Countries!$B$5:$B$434,$B$5,Countries!$C$5:$C$434,$B$6,Countries!$D$5:$D$434,$A40)))</f>
        <v/>
      </c>
      <c r="AI40" s="41">
        <f>IF(IF($B$6="Total",SUMIFS(Countries!$AL$5:$AL$434,Countries!$A$5:$A$434,$B$4,Countries!$B$5:$B$434,$B$5,Countries!$D$5:$D$434,$A40),SUMIFS(Countries!$AL$5:$AL$434,Countries!$A$5:$A$434,$B$4,Countries!$B$5:$B$434,$B$5,Countries!$C$5:$C$434,$B$6,Countries!$D$5:$D$434,$A40))=0,"",IF($B$6="Total",SUMIFS(Countries!$AL$5:$AL$434,Countries!$A$5:$A$434,$B$4,Countries!$B$5:$B$434,$B$5,Countries!$D$5:$D$434,$A40),SUMIFS(Countries!$AL$5:$AL$434,Countries!$A$5:$A$434,$B$4,Countries!$B$5:$B$434,$B$5,Countries!$C$5:$C$434,$B$6,Countries!$D$5:$D$434,$A40)))</f>
        <v/>
      </c>
      <c r="AJ40" s="69">
        <f>IF(OR(AI40="",AH40="",AH40=0,AI40=0),"",AI40-AH40)</f>
        <v/>
      </c>
      <c r="AK40" s="42">
        <f>IF(OR(AI40="",AH40="",AH40=0,AI40=0),"",AI40/AH40-1)</f>
        <v/>
      </c>
      <c r="AL40" s="43">
        <f>IF(IF($B$6="Total",SUMIFS(Countries!$AD$5:$AD$434,Countries!$A$5:$A$434,$B$4,Countries!$B$5:$B$434,$B$5,Countries!$D$5:$D$434,$A40,Countries!$AK$5:$AK$434,"&gt;0"),SUMIFS(Countries!$AD$5:$AD$434,Countries!$A$5:$A$434,$B$4,Countries!$B$5:$B$434,$B$5,Countries!$C$5:$C$434,$B$6,Countries!$D$5:$D$434,$A40,Countries!$AK$5:$AK$434,"&gt;0"))=0,"",IF($B$6="Total",SUMIFS(Countries!$AK$5:$AK$434,Countries!$A$5:$A$434,$B$4,Countries!$B$5:$B$434,$B$5,Countries!$D$5:$D$434,$A40,Countries!$AD$5:$AD$434,"&gt;0"),SUMIFS(Countries!$AK$5:$AK$434,Countries!$A$5:$A$434,$B$4,Countries!$B$5:$B$434,$B$5,Countries!$C$5:$C$434,$B$6,Countries!$D$5:$D$434,$A40,Countries!$AD$5:$AD$434,"&gt;0"))/IF($B$6="Total",SUMIFS(Countries!$AD$5:$AD$434,Countries!$A$5:$A$434,$B$4,Countries!$B$5:$B$434,$B$5,Countries!$D$5:$D$434,$A40,Countries!$AK$5:$AK$434,"&gt;0"),SUMIFS(Countries!$AD$5:$AD$434,Countries!$A$5:$A$434,$B$4,Countries!$B$5:$B$434,$B$5,Countries!$C$5:$C$434,$B$6,Countries!$D$5:$D$434,$A40,Countries!$AK$5:$AK$434,"&gt;0")))</f>
        <v/>
      </c>
      <c r="AM40" s="43">
        <f>IF(IF($B$6="Total",SUMIFS(Countries!$AE$5:$AE$434,Countries!$A$5:$A$434,$B$4,Countries!$B$5:$B$434,$B$5,Countries!$D$5:$D$434,$A40,Countries!$AL$5:$AL$434,"&gt;0"),SUMIFS(Countries!$AE$5:$AE$434,Countries!$A$5:$A$434,$B$4,Countries!$B$5:$B$434,$B$5,Countries!$C$5:$C$434,$B$6,Countries!$D$5:$D$434,$A40,Countries!$AL$5:$AL$434,"&gt;0"))=0,"",IF($B$6="Total",SUMIFS(Countries!$AL$5:$AL$434,Countries!$A$5:$A$434,$B$4,Countries!$B$5:$B$434,$B$5,Countries!$D$5:$D$434,$A40,Countries!$AE$5:$AE$434,"&gt;0"),SUMIFS(Countries!$AL$5:$AL$434,Countries!$A$5:$A$434,$B$4,Countries!$B$5:$B$434,$B$5,Countries!$C$5:$C$434,$B$6,Countries!$D$5:$D$434,$A40,Countries!$AE$5:$AE$434,"&gt;0"))/IF($B$6="Total",SUMIFS(Countries!$AE$5:$AE$434,Countries!$A$5:$A$434,$B$4,Countries!$B$5:$B$434,$B$5,Countries!$D$5:$D$434,$A40,Countries!$AL$5:$AL$434,"&gt;0"),SUMIFS(Countries!$AE$5:$AE$434,Countries!$A$5:$A$434,$B$4,Countries!$B$5:$B$434,$B$5,Countries!$C$5:$C$434,$B$6,Countries!$D$5:$D$434,$A40,Countries!$AL$5:$AL$434,"&gt;0")))</f>
        <v/>
      </c>
      <c r="AN40" s="44">
        <f>IF(OR(AM40="",AL40=""),"",(AM40-AL40)*100)</f>
        <v/>
      </c>
      <c r="AO40" s="41">
        <f>IF(IF($B$6="Total",SUMIFS(Countries!$AR$5:$AR$434,Countries!$A$5:$A$434,$B$4,Countries!$B$5:$B$434,$B$5,Countries!$D$5:$D$434,$A40),SUMIFS(Countries!$AR$5:$AR$434,Countries!$A$5:$A$434,$B$4,Countries!$B$5:$B$434,$B$5,Countries!$C$5:$C$434,$B$6,Countries!$D$5:$D$434,$A40))=0,"",IF($B$6="Total",SUMIFS(Countries!$AR$5:$AR$434,Countries!$A$5:$A$434,$B$4,Countries!$B$5:$B$434,$B$5,Countries!$D$5:$D$434,$A40),SUMIFS(Countries!$AR$5:$AR$434,Countries!$A$5:$A$434,$B$4,Countries!$B$5:$B$434,$B$5,Countries!$C$5:$C$434,$B$6,Countries!$D$5:$D$434,$A40)))</f>
        <v/>
      </c>
      <c r="AP40" s="41">
        <f>IF(IF($B$6="Total",SUMIFS(Countries!$AS$5:$AS$434,Countries!$A$5:$A$434,$B$4,Countries!$B$5:$B$434,$B$5,Countries!$D$5:$D$434,$A40),SUMIFS(Countries!$AS$5:$AS$434,Countries!$A$5:$A$434,$B$4,Countries!$B$5:$B$434,$B$5,Countries!$C$5:$C$434,$B$6,Countries!$D$5:$D$434,$A40))=0,"",IF($B$6="Total",SUMIFS(Countries!$AS$5:$AS$434,Countries!$A$5:$A$434,$B$4,Countries!$B$5:$B$434,$B$5,Countries!$D$5:$D$434,$A40),SUMIFS(Countries!$AS$5:$AS$434,Countries!$A$5:$A$434,$B$4,Countries!$B$5:$B$434,$B$5,Countries!$C$5:$C$434,$B$6,Countries!$D$5:$D$434,$A40)))</f>
        <v/>
      </c>
      <c r="AQ40" s="69">
        <f>IF(OR(AP40="",AO40="",AO40=0,AP40=0),"",AP40-AO40)</f>
        <v/>
      </c>
      <c r="AR40" s="42">
        <f>IF(OR(AP40="",AO40="",AO40=0,AP40=0),"",AP40/AO40-1)</f>
        <v/>
      </c>
      <c r="AS40" s="43">
        <f>IF(IF($B$6="Total",SUMIFS(Countries!$AK$5:$AK$434,Countries!$A$5:$A$434,$B$4,Countries!$B$5:$B$434,$B$5,Countries!$D$5:$D$434,$A40,Countries!$AR$5:$AR$434,"&gt;0"),SUMIFS(Countries!$AK$5:$AK$434,Countries!$A$5:$A$434,$B$4,Countries!$B$5:$B$434,$B$5,Countries!$C$5:$C$434,$B$6,Countries!$D$5:$D$434,$A40,Countries!$AR$5:$AR$434,"&gt;0"))=0,"",IF($B$6="Total",SUMIFS(Countries!$AR$5:$AR$434,Countries!$A$5:$A$434,$B$4,Countries!$B$5:$B$434,$B$5,Countries!$D$5:$D$434,$A40,Countries!$AK$5:$AK$434,"&gt;0"),SUMIFS(Countries!$AR$5:$AR$434,Countries!$A$5:$A$434,$B$4,Countries!$B$5:$B$434,$B$5,Countries!$C$5:$C$434,$B$6,Countries!$D$5:$D$434,$A40,Countries!$AK$5:$AK$434,"&gt;0"))/IF($B$6="Total",SUMIFS(Countries!$AK$5:$AK$434,Countries!$A$5:$A$434,$B$4,Countries!$B$5:$B$434,$B$5,Countries!$D$5:$D$434,$A40,Countries!$AR$5:$AR$434,"&gt;0"),SUMIFS(Countries!$AK$5:$AK$434,Countries!$A$5:$A$434,$B$4,Countries!$B$5:$B$434,$B$5,Countries!$C$5:$C$434,$B$6,Countries!$D$5:$D$434,$A40,Countries!$AR$5:$AR$434,"&gt;0")))</f>
        <v/>
      </c>
      <c r="AT40" s="43">
        <f>IF(IF($B$6="Total",SUMIFS(Countries!$AL$5:$AL$434,Countries!$A$5:$A$434,$B$4,Countries!$B$5:$B$434,$B$5,Countries!$D$5:$D$434,$A40,Countries!$AS$5:$AS$434,"&gt;0"),SUMIFS(Countries!$AL$5:$AL$434,Countries!$A$5:$A$434,$B$4,Countries!$B$5:$B$434,$B$5,Countries!$C$5:$C$434,$B$6,Countries!$D$5:$D$434,$A40,Countries!$AS$5:$AS$434,"&gt;0"))=0,"",IF($B$6="Total",SUMIFS(Countries!$AS$5:$AS$434,Countries!$A$5:$A$434,$B$4,Countries!$B$5:$B$434,$B$5,Countries!$D$5:$D$434,$A40,Countries!$AL$5:$AL$434,"&gt;0"),SUMIFS(Countries!$AS$5:$AS$434,Countries!$A$5:$A$434,$B$4,Countries!$B$5:$B$434,$B$5,Countries!$C$5:$C$434,$B$6,Countries!$D$5:$D$434,$A40,Countries!$AL$5:$AL$434,"&gt;0"))/IF($B$6="Total",SUMIFS(Countries!$AL$5:$AL$434,Countries!$A$5:$A$434,$B$4,Countries!$B$5:$B$434,$B$5,Countries!$D$5:$D$434,$A40,Countries!$AS$5:$AS$434,"&gt;0"),SUMIFS(Countries!$AL$5:$AL$434,Countries!$A$5:$A$434,$B$4,Countries!$B$5:$B$434,$B$5,Countries!$C$5:$C$434,$B$6,Countries!$D$5:$D$434,$A40,Countries!$AS$5:$AS$434,"&gt;0")))</f>
        <v/>
      </c>
      <c r="AU40" s="44">
        <f>IF(OR(AT40="",AS40=""),"",(AT40-AS40)*100)</f>
        <v/>
      </c>
      <c r="AV40" s="45">
        <f>IF(IF($B$6="Total",SUMIFS(Countries!$P$5:$P$434,Countries!$A$5:$A$434,$B$4,Countries!$B$5:$B$434,$B$5,Countries!$D$5:$D$434,$A40,Countries!$AR$5:$AR$434,"&gt;0"),SUMIFS(Countries!$P$5:$P$434,Countries!$A$5:$A$434,$B$4,Countries!$B$5:$B$434,$B$5,Countries!$C$5:$C$434,$B$6,Countries!$D$5:$D$434,$A40,Countries!$AR$5:$AR$434,"&gt;0"))=0,"",IF($B$6="Total",SUMIFS(Countries!$AR$5:$AR$434,Countries!$A$5:$A$434,$B$4,Countries!$B$5:$B$434,$B$5,Countries!$D$5:$D$434,$A40,Countries!$P$5:$P$434,"&gt;0"),SUMIFS(Countries!$AR$5:$AR$434,Countries!$A$5:$A$434,$B$4,Countries!$B$5:$B$434,$B$5,Countries!$C$5:$C$434,$B$6,Countries!$D$5:$D$434,$A40,Countries!$P$5:$P$434,"&gt;0"))/IF($B$6="Total",SUMIFS(Countries!$P$5:$P$434,Countries!$A$5:$A$434,$B$4,Countries!$B$5:$B$434,$B$5,Countries!$D$5:$D$434,$A40,Countries!$AR$5:$AR$434,"&gt;0"),SUMIFS(Countries!$P$5:$P$434,Countries!$A$5:$A$434,$B$4,Countries!$B$5:$B$434,$B$5,Countries!$C$5:$C$434,$B$6,Countries!$D$5:$D$434,$A40,Countries!$AR$5:$AR$434,"&gt;0")))</f>
        <v/>
      </c>
      <c r="AW40" s="45">
        <f>IF(IF($B$6="Total",SUMIFS(Countries!$Q$5:$Q$434,Countries!$A$5:$A$434,$B$4,Countries!$B$5:$B$434,$B$5,Countries!$D$5:$D$434,$A40,Countries!$AS$5:$AS$434,"&gt;0"),SUMIFS(Countries!$Q$5:$Q$434,Countries!$A$5:$A$434,$B$4,Countries!$B$5:$B$434,$B$5,Countries!$C$5:$C$434,$B$6,Countries!$D$5:$D$434,$A40,Countries!$AS$5:$AS$434,"&gt;0"))=0,"",IF($B$6="Total",SUMIFS(Countries!$AS$5:$AS$434,Countries!$A$5:$A$434,$B$4,Countries!$B$5:$B$434,$B$5,Countries!$D$5:$D$434,$A40,Countries!$Q$5:$Q$434,"&gt;0"),SUMIFS(Countries!$AS$5:$AS$434,Countries!$A$5:$A$434,$B$4,Countries!$B$5:$B$434,$B$5,Countries!$C$5:$C$434,$B$6,Countries!$D$5:$D$434,$A40,Countries!$Q$5:$Q$434,"&gt;0"))/IF($B$6="Total",SUMIFS(Countries!$Q$5:$Q$434,Countries!$A$5:$A$434,$B$4,Countries!$B$5:$B$434,$B$5,Countries!$D$5:$D$434,$A40,Countries!$AS$5:$AS$434,"&gt;0"),SUMIFS(Countries!$Q$5:$Q$434,Countries!$A$5:$A$434,$B$4,Countries!$B$5:$B$434,$B$5,Countries!$C$5:$C$434,$B$6,Countries!$D$5:$D$434,$A40,Countries!$AS$5:$AS$434,"&gt;0")))</f>
        <v/>
      </c>
      <c r="AX40" s="44">
        <f>IF(OR(AW40="",AV40=""),"",(AW40-AV40)*100)</f>
        <v/>
      </c>
      <c r="AY40" s="45">
        <f>IF(IF($B$6="Total",SUMIFS(Countries!$E$5:$E$434,Countries!$A$5:$A$434,$B$4,Countries!$B$5:$B$434,$B$5,Countries!$D$5:$D$434,$A40,Countries!$AR$5:$AR$434,"&gt;0"),SUMIFS(Countries!$E$5:$E$434,Countries!$A$5:$A$434,$B$4,Countries!$B$5:$B$434,$B$5,Countries!$C$5:$C$434,$B$6,Countries!$D$5:$D$434,$A40,Countries!$AR$5:$AR$434,"&gt;0"))=0,"",IF($B$6="Total",SUMIFS(Countries!$AR$5:$AR$434,Countries!$A$5:$A$434,$B$4,Countries!$B$5:$B$434,$B$5,Countries!$D$5:$D$434,$A40,Countries!$E$5:$E$434,"&gt;0"),SUMIFS(Countries!$AR$5:$AR$434,Countries!$A$5:$A$434,$B$4,Countries!$B$5:$B$434,$B$5,Countries!$C$5:$C$434,$B$6,Countries!$D$5:$D$434,$A40,Countries!$E$5:$E$434,"&gt;0"))/IF($B$6="Total",SUMIFS(Countries!$E$5:$E$434,Countries!$A$5:$A$434,$B$4,Countries!$B$5:$B$434,$B$5,Countries!$D$5:$D$434,$A40,Countries!$AR$5:$AR$434,"&gt;0"),SUMIFS(Countries!$E$5:$E$434,Countries!$A$5:$A$434,$B$4,Countries!$B$5:$B$434,$B$5,Countries!$C$5:$C$434,$B$6,Countries!$D$5:$D$434,$A40,Countries!$AR$5:$AR$434,"&gt;0")))</f>
        <v/>
      </c>
      <c r="AZ40" s="45">
        <f>IF(IF($B$6="Total",SUMIFS(Countries!$F$5:$F$434,Countries!$A$5:$A$434,$B$4,Countries!$B$5:$B$434,$B$5,Countries!$D$5:$D$434,$A40,Countries!$AS$5:$AS$434,"&gt;0"),SUMIFS(Countries!$F$5:$F$434,Countries!$A$5:$A$434,$B$4,Countries!$B$5:$B$434,$B$5,Countries!$C$5:$C$434,$B$6,Countries!$D$5:$D$434,$A40,Countries!$AS$5:$AS$434,"&gt;0"))=0,"",IF($B$6="Total",SUMIFS(Countries!$AS$5:$AS$434,Countries!$A$5:$A$434,$B$4,Countries!$B$5:$B$434,$B$5,Countries!$D$5:$D$434,$A40,Countries!$F$5:$F$434,"&gt;0"),SUMIFS(Countries!$AS$5:$AS$434,Countries!$A$5:$A$434,$B$4,Countries!$B$5:$B$434,$B$5,Countries!$C$5:$C$434,$B$6,Countries!$D$5:$D$434,$A40,Countries!$F$5:$F$434,"&gt;0"))/IF($B$6="Total",SUMIFS(Countries!$F$5:$F$434,Countries!$A$5:$A$434,$B$4,Countries!$B$5:$B$434,$B$5,Countries!$D$5:$D$434,$A40,Countries!$AS$5:$AS$434,"&gt;0"),SUMIFS(Countries!$F$5:$F$434,Countries!$A$5:$A$434,$B$4,Countries!$B$5:$B$434,$B$5,Countries!$C$5:$C$434,$B$6,Countries!$D$5:$D$434,$A40,Countries!$AS$5:$AS$434,"&gt;0")))</f>
        <v/>
      </c>
      <c r="BA40" s="44">
        <f>IF(OR(AZ40="",AY40=""),"",(AZ40-AY40)*100)</f>
        <v/>
      </c>
      <c r="BB40" s="40">
        <f>IF(AND(IF($B$6="Total",COUNTIFS(Countries!$A$5:$A$434,$B$4,Countries!$B$5:$B$434,$B$5,Countries!$D$5:$D$434,$A40,Countries!$F$5:$F$434,"&gt;0"),COUNTIFS(Countries!$A$5:$A$434,$B$4,Countries!$B$5:$B$434,$B$5,Countries!$C$5:$C$434,$B$6,Countries!$D$5:$D$434,$A40,Countries!$F$5:$F$434,"&gt;0"))=0,IF($B$6="Total",COUNTIFS(Countries!$A$5:$A$434,$B$4,Countries!$B$5:$B$434,$B$5,Countries!$D$5:$D$434,$A40,Countries!$E$5:$E$434,"&gt;0"),COUNTIFS(Countries!$A$5:$A$434,$B$4,Countries!$B$5:$B$434,$B$5,Countries!$C$5:$C$434,$B$6,Countries!$D$5:$D$434,$A40,Countries!$E$5:$E$434,"&gt;0"))=0),"",IF(IF($B$6="Total",COUNTIFS(Countries!$A$5:$A$434,$B$4,Countries!$B$5:$B$434,$B$5,Countries!$D$5:$D$434,$A40,Countries!$F$5:$F$434,"&gt;0"),COUNTIFS(Countries!$A$5:$A$434,$B$4,Countries!$B$5:$B$434,$B$5,Countries!$C$5:$C$434,$B$6,Countries!$D$5:$D$434,$A40,Countries!$F$5:$F$434,"&gt;0"))=0,"1-23Aug25 rows only",IF(IF($B$6="Total",COUNTIFS(Countries!$A$5:$A$434,$B$4,Countries!$B$5:$B$434,$B$5,Countries!$D$5:$D$434,$A40,Countries!$E$5:$E$434,"&gt;0"),COUNTIFS(Countries!$A$5:$A$434,$B$4,Countries!$B$5:$B$434,$B$5,Countries!$C$5:$C$434,$B$6,Countries!$D$5:$D$434,$A40,Countries!$E$5:$E$434,"&gt;0"))=0,"1-23Aug26 rows only",IF(IF($B$6="Total",COUNTIFS(Countries!$A$5:$A$434,$B$4,Countries!$B$5:$B$434,$B$5,Countries!$D$5:$D$434,$A40,Countries!$F$5:$F$434,"&gt;0"),COUNTIFS(Countries!$A$5:$A$434,$B$4,Countries!$B$5:$B$434,$B$5,Countries!$C$5:$C$434,$B$6,Countries!$D$5:$D$434,$A40,Countries!$F$5:$F$434,"&gt;0"))=IF($B$6="Total",COUNTIFS(Countries!$A$5:$A$434,$B$4,Countries!$B$5:$B$434,$B$5,Countries!$D$5:$D$434,$A40,Countries!$E$5:$E$434,"&gt;0"),COUNTIFS(Countries!$A$5:$A$434,$B$4,Countries!$B$5:$B$434,$B$5,Countries!$C$5:$C$434,$B$6,Countries!$D$5:$D$434,$A40,Countries!$E$5:$E$434,"&gt;0")),"Like-for-like","Partial — coverage differs"))))</f>
        <v/>
      </c>
    </row>
    <row r="41">
      <c r="A41" s="40" t="inlineStr">
        <is>
          <t>Ukraine</t>
        </is>
      </c>
      <c r="B41" s="41">
        <f>IF(IF($B$6="Total",SUMIFS(Countries!$E$5:$E$434,Countries!$A$5:$A$434,$B$4,Countries!$B$5:$B$434,$B$5,Countries!$D$5:$D$434,$A41),SUMIFS(Countries!$E$5:$E$434,Countries!$A$5:$A$434,$B$4,Countries!$B$5:$B$434,$B$5,Countries!$C$5:$C$434,$B$6,Countries!$D$5:$D$434,$A41))=0,"",IF($B$6="Total",SUMIFS(Countries!$E$5:$E$434,Countries!$A$5:$A$434,$B$4,Countries!$B$5:$B$434,$B$5,Countries!$D$5:$D$434,$A41),SUMIFS(Countries!$E$5:$E$434,Countries!$A$5:$A$434,$B$4,Countries!$B$5:$B$434,$B$5,Countries!$C$5:$C$434,$B$6,Countries!$D$5:$D$434,$A41)))</f>
        <v/>
      </c>
      <c r="C41" s="41">
        <f>IF(IF($B$6="Total",SUMIFS(Countries!$F$5:$F$434,Countries!$A$5:$A$434,$B$4,Countries!$B$5:$B$434,$B$5,Countries!$D$5:$D$434,$A41),SUMIFS(Countries!$F$5:$F$434,Countries!$A$5:$A$434,$B$4,Countries!$B$5:$B$434,$B$5,Countries!$C$5:$C$434,$B$6,Countries!$D$5:$D$434,$A41))=0,"",IF($B$6="Total",SUMIFS(Countries!$F$5:$F$434,Countries!$A$5:$A$434,$B$4,Countries!$B$5:$B$434,$B$5,Countries!$D$5:$D$434,$A41),SUMIFS(Countries!$F$5:$F$434,Countries!$A$5:$A$434,$B$4,Countries!$B$5:$B$434,$B$5,Countries!$C$5:$C$434,$B$6,Countries!$D$5:$D$434,$A41)))</f>
        <v/>
      </c>
      <c r="D41" s="69">
        <f>IF(OR(C41="",B41="",B41=0,C41=0),"",C41-B41)</f>
        <v/>
      </c>
      <c r="E41" s="42">
        <f>IF(OR(C41="",B41="",B41=0,C41=0),"",C41/B41-1)</f>
        <v/>
      </c>
      <c r="F41" s="41">
        <f>IF(IF($B$6="Total",SUMIFS(Countries!$I$5:$I$434,Countries!$A$5:$A$434,$B$4,Countries!$B$5:$B$434,$B$5,Countries!$D$5:$D$434,$A41),SUMIFS(Countries!$I$5:$I$434,Countries!$A$5:$A$434,$B$4,Countries!$B$5:$B$434,$B$5,Countries!$C$5:$C$434,$B$6,Countries!$D$5:$D$434,$A41))=0,"",IF($B$6="Total",SUMIFS(Countries!$I$5:$I$434,Countries!$A$5:$A$434,$B$4,Countries!$B$5:$B$434,$B$5,Countries!$D$5:$D$434,$A41),SUMIFS(Countries!$I$5:$I$434,Countries!$A$5:$A$434,$B$4,Countries!$B$5:$B$434,$B$5,Countries!$C$5:$C$434,$B$6,Countries!$D$5:$D$434,$A41)))</f>
        <v/>
      </c>
      <c r="G41" s="41">
        <f>IF(IF($B$6="Total",SUMIFS(Countries!$J$5:$J$434,Countries!$A$5:$A$434,$B$4,Countries!$B$5:$B$434,$B$5,Countries!$D$5:$D$434,$A41),SUMIFS(Countries!$J$5:$J$434,Countries!$A$5:$A$434,$B$4,Countries!$B$5:$B$434,$B$5,Countries!$C$5:$C$434,$B$6,Countries!$D$5:$D$434,$A41))=0,"",IF($B$6="Total",SUMIFS(Countries!$J$5:$J$434,Countries!$A$5:$A$434,$B$4,Countries!$B$5:$B$434,$B$5,Countries!$D$5:$D$434,$A41),SUMIFS(Countries!$J$5:$J$434,Countries!$A$5:$A$434,$B$4,Countries!$B$5:$B$434,$B$5,Countries!$C$5:$C$434,$B$6,Countries!$D$5:$D$434,$A41)))</f>
        <v/>
      </c>
      <c r="H41" s="69">
        <f>IF(OR(G41="",F41="",F41=0,G41=0),"",G41-F41)</f>
        <v/>
      </c>
      <c r="I41" s="42">
        <f>IF(OR(G41="",F41="",F41=0,G41=0),"",G41/F41-1)</f>
        <v/>
      </c>
      <c r="J41" s="43">
        <f>IF(IF($B$6="Total",SUMIFS(Countries!$E$5:$E$434,Countries!$A$5:$A$434,$B$4,Countries!$B$5:$B$434,$B$5,Countries!$D$5:$D$434,$A41,Countries!$I$5:$I$434,"&gt;0"),SUMIFS(Countries!$E$5:$E$434,Countries!$A$5:$A$434,$B$4,Countries!$B$5:$B$434,$B$5,Countries!$C$5:$C$434,$B$6,Countries!$D$5:$D$434,$A41,Countries!$I$5:$I$434,"&gt;0"))=0,"",IF($B$6="Total",SUMIFS(Countries!$I$5:$I$434,Countries!$A$5:$A$434,$B$4,Countries!$B$5:$B$434,$B$5,Countries!$D$5:$D$434,$A41,Countries!$E$5:$E$434,"&gt;0"),SUMIFS(Countries!$I$5:$I$434,Countries!$A$5:$A$434,$B$4,Countries!$B$5:$B$434,$B$5,Countries!$C$5:$C$434,$B$6,Countries!$D$5:$D$434,$A41,Countries!$E$5:$E$434,"&gt;0"))/IF($B$6="Total",SUMIFS(Countries!$E$5:$E$434,Countries!$A$5:$A$434,$B$4,Countries!$B$5:$B$434,$B$5,Countries!$D$5:$D$434,$A41,Countries!$I$5:$I$434,"&gt;0"),SUMIFS(Countries!$E$5:$E$434,Countries!$A$5:$A$434,$B$4,Countries!$B$5:$B$434,$B$5,Countries!$C$5:$C$434,$B$6,Countries!$D$5:$D$434,$A41,Countries!$I$5:$I$434,"&gt;0")))</f>
        <v/>
      </c>
      <c r="K41" s="43">
        <f>IF(IF($B$6="Total",SUMIFS(Countries!$F$5:$F$434,Countries!$A$5:$A$434,$B$4,Countries!$B$5:$B$434,$B$5,Countries!$D$5:$D$434,$A41,Countries!$J$5:$J$434,"&gt;0"),SUMIFS(Countries!$F$5:$F$434,Countries!$A$5:$A$434,$B$4,Countries!$B$5:$B$434,$B$5,Countries!$C$5:$C$434,$B$6,Countries!$D$5:$D$434,$A41,Countries!$J$5:$J$434,"&gt;0"))=0,"",IF($B$6="Total",SUMIFS(Countries!$J$5:$J$434,Countries!$A$5:$A$434,$B$4,Countries!$B$5:$B$434,$B$5,Countries!$D$5:$D$434,$A41,Countries!$F$5:$F$434,"&gt;0"),SUMIFS(Countries!$J$5:$J$434,Countries!$A$5:$A$434,$B$4,Countries!$B$5:$B$434,$B$5,Countries!$C$5:$C$434,$B$6,Countries!$D$5:$D$434,$A41,Countries!$F$5:$F$434,"&gt;0"))/IF($B$6="Total",SUMIFS(Countries!$F$5:$F$434,Countries!$A$5:$A$434,$B$4,Countries!$B$5:$B$434,$B$5,Countries!$D$5:$D$434,$A41,Countries!$J$5:$J$434,"&gt;0"),SUMIFS(Countries!$F$5:$F$434,Countries!$A$5:$A$434,$B$4,Countries!$B$5:$B$434,$B$5,Countries!$C$5:$C$434,$B$6,Countries!$D$5:$D$434,$A41,Countries!$J$5:$J$434,"&gt;0")))</f>
        <v/>
      </c>
      <c r="L41" s="44">
        <f>IF(OR(K41="",J41=""),"",(K41-J41)*100)</f>
        <v/>
      </c>
      <c r="M41" s="41">
        <f>IF(IF($B$6="Total",SUMIFS(Countries!$P$5:$P$434,Countries!$A$5:$A$434,$B$4,Countries!$B$5:$B$434,$B$5,Countries!$D$5:$D$434,$A41),SUMIFS(Countries!$P$5:$P$434,Countries!$A$5:$A$434,$B$4,Countries!$B$5:$B$434,$B$5,Countries!$C$5:$C$434,$B$6,Countries!$D$5:$D$434,$A41))=0,"",IF($B$6="Total",SUMIFS(Countries!$P$5:$P$434,Countries!$A$5:$A$434,$B$4,Countries!$B$5:$B$434,$B$5,Countries!$D$5:$D$434,$A41),SUMIFS(Countries!$P$5:$P$434,Countries!$A$5:$A$434,$B$4,Countries!$B$5:$B$434,$B$5,Countries!$C$5:$C$434,$B$6,Countries!$D$5:$D$434,$A41)))</f>
        <v/>
      </c>
      <c r="N41" s="41">
        <f>IF(IF($B$6="Total",SUMIFS(Countries!$Q$5:$Q$434,Countries!$A$5:$A$434,$B$4,Countries!$B$5:$B$434,$B$5,Countries!$D$5:$D$434,$A41),SUMIFS(Countries!$Q$5:$Q$434,Countries!$A$5:$A$434,$B$4,Countries!$B$5:$B$434,$B$5,Countries!$C$5:$C$434,$B$6,Countries!$D$5:$D$434,$A41))=0,"",IF($B$6="Total",SUMIFS(Countries!$Q$5:$Q$434,Countries!$A$5:$A$434,$B$4,Countries!$B$5:$B$434,$B$5,Countries!$D$5:$D$434,$A41),SUMIFS(Countries!$Q$5:$Q$434,Countries!$A$5:$A$434,$B$4,Countries!$B$5:$B$434,$B$5,Countries!$C$5:$C$434,$B$6,Countries!$D$5:$D$434,$A41)))</f>
        <v/>
      </c>
      <c r="O41" s="69">
        <f>IF(OR(N41="",M41="",M41=0,N41=0),"",N41-M41)</f>
        <v/>
      </c>
      <c r="P41" s="42">
        <f>IF(OR(N41="",M41="",M41=0,N41=0),"",N41/M41-1)</f>
        <v/>
      </c>
      <c r="Q41" s="43">
        <f>IF(IF($B$6="Total",SUMIFS(Countries!$E$5:$E$434,Countries!$A$5:$A$434,$B$4,Countries!$B$5:$B$434,$B$5,Countries!$D$5:$D$434,$A41,Countries!$P$5:$P$434,"&gt;0"),SUMIFS(Countries!$E$5:$E$434,Countries!$A$5:$A$434,$B$4,Countries!$B$5:$B$434,$B$5,Countries!$C$5:$C$434,$B$6,Countries!$D$5:$D$434,$A41,Countries!$P$5:$P$434,"&gt;0"))=0,"",IF($B$6="Total",SUMIFS(Countries!$P$5:$P$434,Countries!$A$5:$A$434,$B$4,Countries!$B$5:$B$434,$B$5,Countries!$D$5:$D$434,$A41,Countries!$E$5:$E$434,"&gt;0"),SUMIFS(Countries!$P$5:$P$434,Countries!$A$5:$A$434,$B$4,Countries!$B$5:$B$434,$B$5,Countries!$C$5:$C$434,$B$6,Countries!$D$5:$D$434,$A41,Countries!$E$5:$E$434,"&gt;0"))/IF($B$6="Total",SUMIFS(Countries!$E$5:$E$434,Countries!$A$5:$A$434,$B$4,Countries!$B$5:$B$434,$B$5,Countries!$D$5:$D$434,$A41,Countries!$P$5:$P$434,"&gt;0"),SUMIFS(Countries!$E$5:$E$434,Countries!$A$5:$A$434,$B$4,Countries!$B$5:$B$434,$B$5,Countries!$C$5:$C$434,$B$6,Countries!$D$5:$D$434,$A41,Countries!$P$5:$P$434,"&gt;0")))</f>
        <v/>
      </c>
      <c r="R41" s="43">
        <f>IF(IF($B$6="Total",SUMIFS(Countries!$F$5:$F$434,Countries!$A$5:$A$434,$B$4,Countries!$B$5:$B$434,$B$5,Countries!$D$5:$D$434,$A41,Countries!$Q$5:$Q$434,"&gt;0"),SUMIFS(Countries!$F$5:$F$434,Countries!$A$5:$A$434,$B$4,Countries!$B$5:$B$434,$B$5,Countries!$C$5:$C$434,$B$6,Countries!$D$5:$D$434,$A41,Countries!$Q$5:$Q$434,"&gt;0"))=0,"",IF($B$6="Total",SUMIFS(Countries!$Q$5:$Q$434,Countries!$A$5:$A$434,$B$4,Countries!$B$5:$B$434,$B$5,Countries!$D$5:$D$434,$A41,Countries!$F$5:$F$434,"&gt;0"),SUMIFS(Countries!$Q$5:$Q$434,Countries!$A$5:$A$434,$B$4,Countries!$B$5:$B$434,$B$5,Countries!$C$5:$C$434,$B$6,Countries!$D$5:$D$434,$A41,Countries!$F$5:$F$434,"&gt;0"))/IF($B$6="Total",SUMIFS(Countries!$F$5:$F$434,Countries!$A$5:$A$434,$B$4,Countries!$B$5:$B$434,$B$5,Countries!$D$5:$D$434,$A41,Countries!$Q$5:$Q$434,"&gt;0"),SUMIFS(Countries!$F$5:$F$434,Countries!$A$5:$A$434,$B$4,Countries!$B$5:$B$434,$B$5,Countries!$C$5:$C$434,$B$6,Countries!$D$5:$D$434,$A41,Countries!$Q$5:$Q$434,"&gt;0")))</f>
        <v/>
      </c>
      <c r="S41" s="44">
        <f>IF(OR(R41="",Q41=""),"",(R41-Q41)*100)</f>
        <v/>
      </c>
      <c r="T41" s="41">
        <f>IF(IF($B$6="Total",SUMIFS(Countries!$W$5:$W$434,Countries!$A$5:$A$434,$B$4,Countries!$B$5:$B$434,$B$5,Countries!$D$5:$D$434,$A41),SUMIFS(Countries!$W$5:$W$434,Countries!$A$5:$A$434,$B$4,Countries!$B$5:$B$434,$B$5,Countries!$C$5:$C$434,$B$6,Countries!$D$5:$D$434,$A41))=0,"",IF($B$6="Total",SUMIFS(Countries!$W$5:$W$434,Countries!$A$5:$A$434,$B$4,Countries!$B$5:$B$434,$B$5,Countries!$D$5:$D$434,$A41),SUMIFS(Countries!$W$5:$W$434,Countries!$A$5:$A$434,$B$4,Countries!$B$5:$B$434,$B$5,Countries!$C$5:$C$434,$B$6,Countries!$D$5:$D$434,$A41)))</f>
        <v/>
      </c>
      <c r="U41" s="41">
        <f>IF(IF($B$6="Total",SUMIFS(Countries!$X$5:$X$434,Countries!$A$5:$A$434,$B$4,Countries!$B$5:$B$434,$B$5,Countries!$D$5:$D$434,$A41),SUMIFS(Countries!$X$5:$X$434,Countries!$A$5:$A$434,$B$4,Countries!$B$5:$B$434,$B$5,Countries!$C$5:$C$434,$B$6,Countries!$D$5:$D$434,$A41))=0,"",IF($B$6="Total",SUMIFS(Countries!$X$5:$X$434,Countries!$A$5:$A$434,$B$4,Countries!$B$5:$B$434,$B$5,Countries!$D$5:$D$434,$A41),SUMIFS(Countries!$X$5:$X$434,Countries!$A$5:$A$434,$B$4,Countries!$B$5:$B$434,$B$5,Countries!$C$5:$C$434,$B$6,Countries!$D$5:$D$434,$A41)))</f>
        <v/>
      </c>
      <c r="V41" s="69">
        <f>IF(OR(U41="",T41="",T41=0,U41=0),"",U41-T41)</f>
        <v/>
      </c>
      <c r="W41" s="42">
        <f>IF(OR(U41="",T41="",T41=0,U41=0),"",U41/T41-1)</f>
        <v/>
      </c>
      <c r="X41" s="43">
        <f>IF(IF($B$6="Total",SUMIFS(Countries!$P$5:$P$434,Countries!$A$5:$A$434,$B$4,Countries!$B$5:$B$434,$B$5,Countries!$D$5:$D$434,$A41,Countries!$W$5:$W$434,"&gt;0"),SUMIFS(Countries!$P$5:$P$434,Countries!$A$5:$A$434,$B$4,Countries!$B$5:$B$434,$B$5,Countries!$C$5:$C$434,$B$6,Countries!$D$5:$D$434,$A41,Countries!$W$5:$W$434,"&gt;0"))=0,"",IF($B$6="Total",SUMIFS(Countries!$W$5:$W$434,Countries!$A$5:$A$434,$B$4,Countries!$B$5:$B$434,$B$5,Countries!$D$5:$D$434,$A41,Countries!$P$5:$P$434,"&gt;0"),SUMIFS(Countries!$W$5:$W$434,Countries!$A$5:$A$434,$B$4,Countries!$B$5:$B$434,$B$5,Countries!$C$5:$C$434,$B$6,Countries!$D$5:$D$434,$A41,Countries!$P$5:$P$434,"&gt;0"))/IF($B$6="Total",SUMIFS(Countries!$P$5:$P$434,Countries!$A$5:$A$434,$B$4,Countries!$B$5:$B$434,$B$5,Countries!$D$5:$D$434,$A41,Countries!$W$5:$W$434,"&gt;0"),SUMIFS(Countries!$P$5:$P$434,Countries!$A$5:$A$434,$B$4,Countries!$B$5:$B$434,$B$5,Countries!$C$5:$C$434,$B$6,Countries!$D$5:$D$434,$A41,Countries!$W$5:$W$434,"&gt;0")))</f>
        <v/>
      </c>
      <c r="Y41" s="43">
        <f>IF(IF($B$6="Total",SUMIFS(Countries!$Q$5:$Q$434,Countries!$A$5:$A$434,$B$4,Countries!$B$5:$B$434,$B$5,Countries!$D$5:$D$434,$A41,Countries!$X$5:$X$434,"&gt;0"),SUMIFS(Countries!$Q$5:$Q$434,Countries!$A$5:$A$434,$B$4,Countries!$B$5:$B$434,$B$5,Countries!$C$5:$C$434,$B$6,Countries!$D$5:$D$434,$A41,Countries!$X$5:$X$434,"&gt;0"))=0,"",IF($B$6="Total",SUMIFS(Countries!$X$5:$X$434,Countries!$A$5:$A$434,$B$4,Countries!$B$5:$B$434,$B$5,Countries!$D$5:$D$434,$A41,Countries!$Q$5:$Q$434,"&gt;0"),SUMIFS(Countries!$X$5:$X$434,Countries!$A$5:$A$434,$B$4,Countries!$B$5:$B$434,$B$5,Countries!$C$5:$C$434,$B$6,Countries!$D$5:$D$434,$A41,Countries!$Q$5:$Q$434,"&gt;0"))/IF($B$6="Total",SUMIFS(Countries!$Q$5:$Q$434,Countries!$A$5:$A$434,$B$4,Countries!$B$5:$B$434,$B$5,Countries!$D$5:$D$434,$A41,Countries!$X$5:$X$434,"&gt;0"),SUMIFS(Countries!$Q$5:$Q$434,Countries!$A$5:$A$434,$B$4,Countries!$B$5:$B$434,$B$5,Countries!$C$5:$C$434,$B$6,Countries!$D$5:$D$434,$A41,Countries!$X$5:$X$434,"&gt;0")))</f>
        <v/>
      </c>
      <c r="Z41" s="44">
        <f>IF(OR(Y41="",X41=""),"",(Y41-X41)*100)</f>
        <v/>
      </c>
      <c r="AA41" s="41">
        <f>IF(IF($B$6="Total",SUMIFS(Countries!$AD$5:$AD$434,Countries!$A$5:$A$434,$B$4,Countries!$B$5:$B$434,$B$5,Countries!$D$5:$D$434,$A41),SUMIFS(Countries!$AD$5:$AD$434,Countries!$A$5:$A$434,$B$4,Countries!$B$5:$B$434,$B$5,Countries!$C$5:$C$434,$B$6,Countries!$D$5:$D$434,$A41))=0,"",IF($B$6="Total",SUMIFS(Countries!$AD$5:$AD$434,Countries!$A$5:$A$434,$B$4,Countries!$B$5:$B$434,$B$5,Countries!$D$5:$D$434,$A41),SUMIFS(Countries!$AD$5:$AD$434,Countries!$A$5:$A$434,$B$4,Countries!$B$5:$B$434,$B$5,Countries!$C$5:$C$434,$B$6,Countries!$D$5:$D$434,$A41)))</f>
        <v/>
      </c>
      <c r="AB41" s="41">
        <f>IF(IF($B$6="Total",SUMIFS(Countries!$AE$5:$AE$434,Countries!$A$5:$A$434,$B$4,Countries!$B$5:$B$434,$B$5,Countries!$D$5:$D$434,$A41),SUMIFS(Countries!$AE$5:$AE$434,Countries!$A$5:$A$434,$B$4,Countries!$B$5:$B$434,$B$5,Countries!$C$5:$C$434,$B$6,Countries!$D$5:$D$434,$A41))=0,"",IF($B$6="Total",SUMIFS(Countries!$AE$5:$AE$434,Countries!$A$5:$A$434,$B$4,Countries!$B$5:$B$434,$B$5,Countries!$D$5:$D$434,$A41),SUMIFS(Countries!$AE$5:$AE$434,Countries!$A$5:$A$434,$B$4,Countries!$B$5:$B$434,$B$5,Countries!$C$5:$C$434,$B$6,Countries!$D$5:$D$434,$A41)))</f>
        <v/>
      </c>
      <c r="AC41" s="69">
        <f>IF(OR(AB41="",AA41="",AA41=0,AB41=0),"",AB41-AA41)</f>
        <v/>
      </c>
      <c r="AD41" s="42">
        <f>IF(OR(AB41="",AA41="",AA41=0,AB41=0),"",AB41/AA41-1)</f>
        <v/>
      </c>
      <c r="AE41" s="43">
        <f>IF(IF($B$6="Total",SUMIFS(Countries!$W$5:$W$434,Countries!$A$5:$A$434,$B$4,Countries!$B$5:$B$434,$B$5,Countries!$D$5:$D$434,$A41,Countries!$AD$5:$AD$434,"&gt;0"),SUMIFS(Countries!$W$5:$W$434,Countries!$A$5:$A$434,$B$4,Countries!$B$5:$B$434,$B$5,Countries!$C$5:$C$434,$B$6,Countries!$D$5:$D$434,$A41,Countries!$AD$5:$AD$434,"&gt;0"))=0,"",IF($B$6="Total",SUMIFS(Countries!$AD$5:$AD$434,Countries!$A$5:$A$434,$B$4,Countries!$B$5:$B$434,$B$5,Countries!$D$5:$D$434,$A41,Countries!$W$5:$W$434,"&gt;0"),SUMIFS(Countries!$AD$5:$AD$434,Countries!$A$5:$A$434,$B$4,Countries!$B$5:$B$434,$B$5,Countries!$C$5:$C$434,$B$6,Countries!$D$5:$D$434,$A41,Countries!$W$5:$W$434,"&gt;0"))/IF($B$6="Total",SUMIFS(Countries!$W$5:$W$434,Countries!$A$5:$A$434,$B$4,Countries!$B$5:$B$434,$B$5,Countries!$D$5:$D$434,$A41,Countries!$AD$5:$AD$434,"&gt;0"),SUMIFS(Countries!$W$5:$W$434,Countries!$A$5:$A$434,$B$4,Countries!$B$5:$B$434,$B$5,Countries!$C$5:$C$434,$B$6,Countries!$D$5:$D$434,$A41,Countries!$AD$5:$AD$434,"&gt;0")))</f>
        <v/>
      </c>
      <c r="AF41" s="43">
        <f>IF(IF($B$6="Total",SUMIFS(Countries!$X$5:$X$434,Countries!$A$5:$A$434,$B$4,Countries!$B$5:$B$434,$B$5,Countries!$D$5:$D$434,$A41,Countries!$AE$5:$AE$434,"&gt;0"),SUMIFS(Countries!$X$5:$X$434,Countries!$A$5:$A$434,$B$4,Countries!$B$5:$B$434,$B$5,Countries!$C$5:$C$434,$B$6,Countries!$D$5:$D$434,$A41,Countries!$AE$5:$AE$434,"&gt;0"))=0,"",IF($B$6="Total",SUMIFS(Countries!$AE$5:$AE$434,Countries!$A$5:$A$434,$B$4,Countries!$B$5:$B$434,$B$5,Countries!$D$5:$D$434,$A41,Countries!$X$5:$X$434,"&gt;0"),SUMIFS(Countries!$AE$5:$AE$434,Countries!$A$5:$A$434,$B$4,Countries!$B$5:$B$434,$B$5,Countries!$C$5:$C$434,$B$6,Countries!$D$5:$D$434,$A41,Countries!$X$5:$X$434,"&gt;0"))/IF($B$6="Total",SUMIFS(Countries!$X$5:$X$434,Countries!$A$5:$A$434,$B$4,Countries!$B$5:$B$434,$B$5,Countries!$D$5:$D$434,$A41,Countries!$AE$5:$AE$434,"&gt;0"),SUMIFS(Countries!$X$5:$X$434,Countries!$A$5:$A$434,$B$4,Countries!$B$5:$B$434,$B$5,Countries!$C$5:$C$434,$B$6,Countries!$D$5:$D$434,$A41,Countries!$AE$5:$AE$434,"&gt;0")))</f>
        <v/>
      </c>
      <c r="AG41" s="44">
        <f>IF(OR(AF41="",AE41=""),"",(AF41-AE41)*100)</f>
        <v/>
      </c>
      <c r="AH41" s="41">
        <f>IF(IF($B$6="Total",SUMIFS(Countries!$AK$5:$AK$434,Countries!$A$5:$A$434,$B$4,Countries!$B$5:$B$434,$B$5,Countries!$D$5:$D$434,$A41),SUMIFS(Countries!$AK$5:$AK$434,Countries!$A$5:$A$434,$B$4,Countries!$B$5:$B$434,$B$5,Countries!$C$5:$C$434,$B$6,Countries!$D$5:$D$434,$A41))=0,"",IF($B$6="Total",SUMIFS(Countries!$AK$5:$AK$434,Countries!$A$5:$A$434,$B$4,Countries!$B$5:$B$434,$B$5,Countries!$D$5:$D$434,$A41),SUMIFS(Countries!$AK$5:$AK$434,Countries!$A$5:$A$434,$B$4,Countries!$B$5:$B$434,$B$5,Countries!$C$5:$C$434,$B$6,Countries!$D$5:$D$434,$A41)))</f>
        <v/>
      </c>
      <c r="AI41" s="41">
        <f>IF(IF($B$6="Total",SUMIFS(Countries!$AL$5:$AL$434,Countries!$A$5:$A$434,$B$4,Countries!$B$5:$B$434,$B$5,Countries!$D$5:$D$434,$A41),SUMIFS(Countries!$AL$5:$AL$434,Countries!$A$5:$A$434,$B$4,Countries!$B$5:$B$434,$B$5,Countries!$C$5:$C$434,$B$6,Countries!$D$5:$D$434,$A41))=0,"",IF($B$6="Total",SUMIFS(Countries!$AL$5:$AL$434,Countries!$A$5:$A$434,$B$4,Countries!$B$5:$B$434,$B$5,Countries!$D$5:$D$434,$A41),SUMIFS(Countries!$AL$5:$AL$434,Countries!$A$5:$A$434,$B$4,Countries!$B$5:$B$434,$B$5,Countries!$C$5:$C$434,$B$6,Countries!$D$5:$D$434,$A41)))</f>
        <v/>
      </c>
      <c r="AJ41" s="69">
        <f>IF(OR(AI41="",AH41="",AH41=0,AI41=0),"",AI41-AH41)</f>
        <v/>
      </c>
      <c r="AK41" s="42">
        <f>IF(OR(AI41="",AH41="",AH41=0,AI41=0),"",AI41/AH41-1)</f>
        <v/>
      </c>
      <c r="AL41" s="43">
        <f>IF(IF($B$6="Total",SUMIFS(Countries!$AD$5:$AD$434,Countries!$A$5:$A$434,$B$4,Countries!$B$5:$B$434,$B$5,Countries!$D$5:$D$434,$A41,Countries!$AK$5:$AK$434,"&gt;0"),SUMIFS(Countries!$AD$5:$AD$434,Countries!$A$5:$A$434,$B$4,Countries!$B$5:$B$434,$B$5,Countries!$C$5:$C$434,$B$6,Countries!$D$5:$D$434,$A41,Countries!$AK$5:$AK$434,"&gt;0"))=0,"",IF($B$6="Total",SUMIFS(Countries!$AK$5:$AK$434,Countries!$A$5:$A$434,$B$4,Countries!$B$5:$B$434,$B$5,Countries!$D$5:$D$434,$A41,Countries!$AD$5:$AD$434,"&gt;0"),SUMIFS(Countries!$AK$5:$AK$434,Countries!$A$5:$A$434,$B$4,Countries!$B$5:$B$434,$B$5,Countries!$C$5:$C$434,$B$6,Countries!$D$5:$D$434,$A41,Countries!$AD$5:$AD$434,"&gt;0"))/IF($B$6="Total",SUMIFS(Countries!$AD$5:$AD$434,Countries!$A$5:$A$434,$B$4,Countries!$B$5:$B$434,$B$5,Countries!$D$5:$D$434,$A41,Countries!$AK$5:$AK$434,"&gt;0"),SUMIFS(Countries!$AD$5:$AD$434,Countries!$A$5:$A$434,$B$4,Countries!$B$5:$B$434,$B$5,Countries!$C$5:$C$434,$B$6,Countries!$D$5:$D$434,$A41,Countries!$AK$5:$AK$434,"&gt;0")))</f>
        <v/>
      </c>
      <c r="AM41" s="43">
        <f>IF(IF($B$6="Total",SUMIFS(Countries!$AE$5:$AE$434,Countries!$A$5:$A$434,$B$4,Countries!$B$5:$B$434,$B$5,Countries!$D$5:$D$434,$A41,Countries!$AL$5:$AL$434,"&gt;0"),SUMIFS(Countries!$AE$5:$AE$434,Countries!$A$5:$A$434,$B$4,Countries!$B$5:$B$434,$B$5,Countries!$C$5:$C$434,$B$6,Countries!$D$5:$D$434,$A41,Countries!$AL$5:$AL$434,"&gt;0"))=0,"",IF($B$6="Total",SUMIFS(Countries!$AL$5:$AL$434,Countries!$A$5:$A$434,$B$4,Countries!$B$5:$B$434,$B$5,Countries!$D$5:$D$434,$A41,Countries!$AE$5:$AE$434,"&gt;0"),SUMIFS(Countries!$AL$5:$AL$434,Countries!$A$5:$A$434,$B$4,Countries!$B$5:$B$434,$B$5,Countries!$C$5:$C$434,$B$6,Countries!$D$5:$D$434,$A41,Countries!$AE$5:$AE$434,"&gt;0"))/IF($B$6="Total",SUMIFS(Countries!$AE$5:$AE$434,Countries!$A$5:$A$434,$B$4,Countries!$B$5:$B$434,$B$5,Countries!$D$5:$D$434,$A41,Countries!$AL$5:$AL$434,"&gt;0"),SUMIFS(Countries!$AE$5:$AE$434,Countries!$A$5:$A$434,$B$4,Countries!$B$5:$B$434,$B$5,Countries!$C$5:$C$434,$B$6,Countries!$D$5:$D$434,$A41,Countries!$AL$5:$AL$434,"&gt;0")))</f>
        <v/>
      </c>
      <c r="AN41" s="44">
        <f>IF(OR(AM41="",AL41=""),"",(AM41-AL41)*100)</f>
        <v/>
      </c>
      <c r="AO41" s="41">
        <f>IF(IF($B$6="Total",SUMIFS(Countries!$AR$5:$AR$434,Countries!$A$5:$A$434,$B$4,Countries!$B$5:$B$434,$B$5,Countries!$D$5:$D$434,$A41),SUMIFS(Countries!$AR$5:$AR$434,Countries!$A$5:$A$434,$B$4,Countries!$B$5:$B$434,$B$5,Countries!$C$5:$C$434,$B$6,Countries!$D$5:$D$434,$A41))=0,"",IF($B$6="Total",SUMIFS(Countries!$AR$5:$AR$434,Countries!$A$5:$A$434,$B$4,Countries!$B$5:$B$434,$B$5,Countries!$D$5:$D$434,$A41),SUMIFS(Countries!$AR$5:$AR$434,Countries!$A$5:$A$434,$B$4,Countries!$B$5:$B$434,$B$5,Countries!$C$5:$C$434,$B$6,Countries!$D$5:$D$434,$A41)))</f>
        <v/>
      </c>
      <c r="AP41" s="41">
        <f>IF(IF($B$6="Total",SUMIFS(Countries!$AS$5:$AS$434,Countries!$A$5:$A$434,$B$4,Countries!$B$5:$B$434,$B$5,Countries!$D$5:$D$434,$A41),SUMIFS(Countries!$AS$5:$AS$434,Countries!$A$5:$A$434,$B$4,Countries!$B$5:$B$434,$B$5,Countries!$C$5:$C$434,$B$6,Countries!$D$5:$D$434,$A41))=0,"",IF($B$6="Total",SUMIFS(Countries!$AS$5:$AS$434,Countries!$A$5:$A$434,$B$4,Countries!$B$5:$B$434,$B$5,Countries!$D$5:$D$434,$A41),SUMIFS(Countries!$AS$5:$AS$434,Countries!$A$5:$A$434,$B$4,Countries!$B$5:$B$434,$B$5,Countries!$C$5:$C$434,$B$6,Countries!$D$5:$D$434,$A41)))</f>
        <v/>
      </c>
      <c r="AQ41" s="69">
        <f>IF(OR(AP41="",AO41="",AO41=0,AP41=0),"",AP41-AO41)</f>
        <v/>
      </c>
      <c r="AR41" s="42">
        <f>IF(OR(AP41="",AO41="",AO41=0,AP41=0),"",AP41/AO41-1)</f>
        <v/>
      </c>
      <c r="AS41" s="43">
        <f>IF(IF($B$6="Total",SUMIFS(Countries!$AK$5:$AK$434,Countries!$A$5:$A$434,$B$4,Countries!$B$5:$B$434,$B$5,Countries!$D$5:$D$434,$A41,Countries!$AR$5:$AR$434,"&gt;0"),SUMIFS(Countries!$AK$5:$AK$434,Countries!$A$5:$A$434,$B$4,Countries!$B$5:$B$434,$B$5,Countries!$C$5:$C$434,$B$6,Countries!$D$5:$D$434,$A41,Countries!$AR$5:$AR$434,"&gt;0"))=0,"",IF($B$6="Total",SUMIFS(Countries!$AR$5:$AR$434,Countries!$A$5:$A$434,$B$4,Countries!$B$5:$B$434,$B$5,Countries!$D$5:$D$434,$A41,Countries!$AK$5:$AK$434,"&gt;0"),SUMIFS(Countries!$AR$5:$AR$434,Countries!$A$5:$A$434,$B$4,Countries!$B$5:$B$434,$B$5,Countries!$C$5:$C$434,$B$6,Countries!$D$5:$D$434,$A41,Countries!$AK$5:$AK$434,"&gt;0"))/IF($B$6="Total",SUMIFS(Countries!$AK$5:$AK$434,Countries!$A$5:$A$434,$B$4,Countries!$B$5:$B$434,$B$5,Countries!$D$5:$D$434,$A41,Countries!$AR$5:$AR$434,"&gt;0"),SUMIFS(Countries!$AK$5:$AK$434,Countries!$A$5:$A$434,$B$4,Countries!$B$5:$B$434,$B$5,Countries!$C$5:$C$434,$B$6,Countries!$D$5:$D$434,$A41,Countries!$AR$5:$AR$434,"&gt;0")))</f>
        <v/>
      </c>
      <c r="AT41" s="43">
        <f>IF(IF($B$6="Total",SUMIFS(Countries!$AL$5:$AL$434,Countries!$A$5:$A$434,$B$4,Countries!$B$5:$B$434,$B$5,Countries!$D$5:$D$434,$A41,Countries!$AS$5:$AS$434,"&gt;0"),SUMIFS(Countries!$AL$5:$AL$434,Countries!$A$5:$A$434,$B$4,Countries!$B$5:$B$434,$B$5,Countries!$C$5:$C$434,$B$6,Countries!$D$5:$D$434,$A41,Countries!$AS$5:$AS$434,"&gt;0"))=0,"",IF($B$6="Total",SUMIFS(Countries!$AS$5:$AS$434,Countries!$A$5:$A$434,$B$4,Countries!$B$5:$B$434,$B$5,Countries!$D$5:$D$434,$A41,Countries!$AL$5:$AL$434,"&gt;0"),SUMIFS(Countries!$AS$5:$AS$434,Countries!$A$5:$A$434,$B$4,Countries!$B$5:$B$434,$B$5,Countries!$C$5:$C$434,$B$6,Countries!$D$5:$D$434,$A41,Countries!$AL$5:$AL$434,"&gt;0"))/IF($B$6="Total",SUMIFS(Countries!$AL$5:$AL$434,Countries!$A$5:$A$434,$B$4,Countries!$B$5:$B$434,$B$5,Countries!$D$5:$D$434,$A41,Countries!$AS$5:$AS$434,"&gt;0"),SUMIFS(Countries!$AL$5:$AL$434,Countries!$A$5:$A$434,$B$4,Countries!$B$5:$B$434,$B$5,Countries!$C$5:$C$434,$B$6,Countries!$D$5:$D$434,$A41,Countries!$AS$5:$AS$434,"&gt;0")))</f>
        <v/>
      </c>
      <c r="AU41" s="44">
        <f>IF(OR(AT41="",AS41=""),"",(AT41-AS41)*100)</f>
        <v/>
      </c>
      <c r="AV41" s="45">
        <f>IF(IF($B$6="Total",SUMIFS(Countries!$P$5:$P$434,Countries!$A$5:$A$434,$B$4,Countries!$B$5:$B$434,$B$5,Countries!$D$5:$D$434,$A41,Countries!$AR$5:$AR$434,"&gt;0"),SUMIFS(Countries!$P$5:$P$434,Countries!$A$5:$A$434,$B$4,Countries!$B$5:$B$434,$B$5,Countries!$C$5:$C$434,$B$6,Countries!$D$5:$D$434,$A41,Countries!$AR$5:$AR$434,"&gt;0"))=0,"",IF($B$6="Total",SUMIFS(Countries!$AR$5:$AR$434,Countries!$A$5:$A$434,$B$4,Countries!$B$5:$B$434,$B$5,Countries!$D$5:$D$434,$A41,Countries!$P$5:$P$434,"&gt;0"),SUMIFS(Countries!$AR$5:$AR$434,Countries!$A$5:$A$434,$B$4,Countries!$B$5:$B$434,$B$5,Countries!$C$5:$C$434,$B$6,Countries!$D$5:$D$434,$A41,Countries!$P$5:$P$434,"&gt;0"))/IF($B$6="Total",SUMIFS(Countries!$P$5:$P$434,Countries!$A$5:$A$434,$B$4,Countries!$B$5:$B$434,$B$5,Countries!$D$5:$D$434,$A41,Countries!$AR$5:$AR$434,"&gt;0"),SUMIFS(Countries!$P$5:$P$434,Countries!$A$5:$A$434,$B$4,Countries!$B$5:$B$434,$B$5,Countries!$C$5:$C$434,$B$6,Countries!$D$5:$D$434,$A41,Countries!$AR$5:$AR$434,"&gt;0")))</f>
        <v/>
      </c>
      <c r="AW41" s="45">
        <f>IF(IF($B$6="Total",SUMIFS(Countries!$Q$5:$Q$434,Countries!$A$5:$A$434,$B$4,Countries!$B$5:$B$434,$B$5,Countries!$D$5:$D$434,$A41,Countries!$AS$5:$AS$434,"&gt;0"),SUMIFS(Countries!$Q$5:$Q$434,Countries!$A$5:$A$434,$B$4,Countries!$B$5:$B$434,$B$5,Countries!$C$5:$C$434,$B$6,Countries!$D$5:$D$434,$A41,Countries!$AS$5:$AS$434,"&gt;0"))=0,"",IF($B$6="Total",SUMIFS(Countries!$AS$5:$AS$434,Countries!$A$5:$A$434,$B$4,Countries!$B$5:$B$434,$B$5,Countries!$D$5:$D$434,$A41,Countries!$Q$5:$Q$434,"&gt;0"),SUMIFS(Countries!$AS$5:$AS$434,Countries!$A$5:$A$434,$B$4,Countries!$B$5:$B$434,$B$5,Countries!$C$5:$C$434,$B$6,Countries!$D$5:$D$434,$A41,Countries!$Q$5:$Q$434,"&gt;0"))/IF($B$6="Total",SUMIFS(Countries!$Q$5:$Q$434,Countries!$A$5:$A$434,$B$4,Countries!$B$5:$B$434,$B$5,Countries!$D$5:$D$434,$A41,Countries!$AS$5:$AS$434,"&gt;0"),SUMIFS(Countries!$Q$5:$Q$434,Countries!$A$5:$A$434,$B$4,Countries!$B$5:$B$434,$B$5,Countries!$C$5:$C$434,$B$6,Countries!$D$5:$D$434,$A41,Countries!$AS$5:$AS$434,"&gt;0")))</f>
        <v/>
      </c>
      <c r="AX41" s="44">
        <f>IF(OR(AW41="",AV41=""),"",(AW41-AV41)*100)</f>
        <v/>
      </c>
      <c r="AY41" s="45">
        <f>IF(IF($B$6="Total",SUMIFS(Countries!$E$5:$E$434,Countries!$A$5:$A$434,$B$4,Countries!$B$5:$B$434,$B$5,Countries!$D$5:$D$434,$A41,Countries!$AR$5:$AR$434,"&gt;0"),SUMIFS(Countries!$E$5:$E$434,Countries!$A$5:$A$434,$B$4,Countries!$B$5:$B$434,$B$5,Countries!$C$5:$C$434,$B$6,Countries!$D$5:$D$434,$A41,Countries!$AR$5:$AR$434,"&gt;0"))=0,"",IF($B$6="Total",SUMIFS(Countries!$AR$5:$AR$434,Countries!$A$5:$A$434,$B$4,Countries!$B$5:$B$434,$B$5,Countries!$D$5:$D$434,$A41,Countries!$E$5:$E$434,"&gt;0"),SUMIFS(Countries!$AR$5:$AR$434,Countries!$A$5:$A$434,$B$4,Countries!$B$5:$B$434,$B$5,Countries!$C$5:$C$434,$B$6,Countries!$D$5:$D$434,$A41,Countries!$E$5:$E$434,"&gt;0"))/IF($B$6="Total",SUMIFS(Countries!$E$5:$E$434,Countries!$A$5:$A$434,$B$4,Countries!$B$5:$B$434,$B$5,Countries!$D$5:$D$434,$A41,Countries!$AR$5:$AR$434,"&gt;0"),SUMIFS(Countries!$E$5:$E$434,Countries!$A$5:$A$434,$B$4,Countries!$B$5:$B$434,$B$5,Countries!$C$5:$C$434,$B$6,Countries!$D$5:$D$434,$A41,Countries!$AR$5:$AR$434,"&gt;0")))</f>
        <v/>
      </c>
      <c r="AZ41" s="45">
        <f>IF(IF($B$6="Total",SUMIFS(Countries!$F$5:$F$434,Countries!$A$5:$A$434,$B$4,Countries!$B$5:$B$434,$B$5,Countries!$D$5:$D$434,$A41,Countries!$AS$5:$AS$434,"&gt;0"),SUMIFS(Countries!$F$5:$F$434,Countries!$A$5:$A$434,$B$4,Countries!$B$5:$B$434,$B$5,Countries!$C$5:$C$434,$B$6,Countries!$D$5:$D$434,$A41,Countries!$AS$5:$AS$434,"&gt;0"))=0,"",IF($B$6="Total",SUMIFS(Countries!$AS$5:$AS$434,Countries!$A$5:$A$434,$B$4,Countries!$B$5:$B$434,$B$5,Countries!$D$5:$D$434,$A41,Countries!$F$5:$F$434,"&gt;0"),SUMIFS(Countries!$AS$5:$AS$434,Countries!$A$5:$A$434,$B$4,Countries!$B$5:$B$434,$B$5,Countries!$C$5:$C$434,$B$6,Countries!$D$5:$D$434,$A41,Countries!$F$5:$F$434,"&gt;0"))/IF($B$6="Total",SUMIFS(Countries!$F$5:$F$434,Countries!$A$5:$A$434,$B$4,Countries!$B$5:$B$434,$B$5,Countries!$D$5:$D$434,$A41,Countries!$AS$5:$AS$434,"&gt;0"),SUMIFS(Countries!$F$5:$F$434,Countries!$A$5:$A$434,$B$4,Countries!$B$5:$B$434,$B$5,Countries!$C$5:$C$434,$B$6,Countries!$D$5:$D$434,$A41,Countries!$AS$5:$AS$434,"&gt;0")))</f>
        <v/>
      </c>
      <c r="BA41" s="44">
        <f>IF(OR(AZ41="",AY41=""),"",(AZ41-AY41)*100)</f>
        <v/>
      </c>
      <c r="BB41" s="40">
        <f>IF(AND(IF($B$6="Total",COUNTIFS(Countries!$A$5:$A$434,$B$4,Countries!$B$5:$B$434,$B$5,Countries!$D$5:$D$434,$A41,Countries!$F$5:$F$434,"&gt;0"),COUNTIFS(Countries!$A$5:$A$434,$B$4,Countries!$B$5:$B$434,$B$5,Countries!$C$5:$C$434,$B$6,Countries!$D$5:$D$434,$A41,Countries!$F$5:$F$434,"&gt;0"))=0,IF($B$6="Total",COUNTIFS(Countries!$A$5:$A$434,$B$4,Countries!$B$5:$B$434,$B$5,Countries!$D$5:$D$434,$A41,Countries!$E$5:$E$434,"&gt;0"),COUNTIFS(Countries!$A$5:$A$434,$B$4,Countries!$B$5:$B$434,$B$5,Countries!$C$5:$C$434,$B$6,Countries!$D$5:$D$434,$A41,Countries!$E$5:$E$434,"&gt;0"))=0),"",IF(IF($B$6="Total",COUNTIFS(Countries!$A$5:$A$434,$B$4,Countries!$B$5:$B$434,$B$5,Countries!$D$5:$D$434,$A41,Countries!$F$5:$F$434,"&gt;0"),COUNTIFS(Countries!$A$5:$A$434,$B$4,Countries!$B$5:$B$434,$B$5,Countries!$C$5:$C$434,$B$6,Countries!$D$5:$D$434,$A41,Countries!$F$5:$F$434,"&gt;0"))=0,"1-23Aug25 rows only",IF(IF($B$6="Total",COUNTIFS(Countries!$A$5:$A$434,$B$4,Countries!$B$5:$B$434,$B$5,Countries!$D$5:$D$434,$A41,Countries!$E$5:$E$434,"&gt;0"),COUNTIFS(Countries!$A$5:$A$434,$B$4,Countries!$B$5:$B$434,$B$5,Countries!$C$5:$C$434,$B$6,Countries!$D$5:$D$434,$A41,Countries!$E$5:$E$434,"&gt;0"))=0,"1-23Aug26 rows only",IF(IF($B$6="Total",COUNTIFS(Countries!$A$5:$A$434,$B$4,Countries!$B$5:$B$434,$B$5,Countries!$D$5:$D$434,$A41,Countries!$F$5:$F$434,"&gt;0"),COUNTIFS(Countries!$A$5:$A$434,$B$4,Countries!$B$5:$B$434,$B$5,Countries!$C$5:$C$434,$B$6,Countries!$D$5:$D$434,$A41,Countries!$F$5:$F$434,"&gt;0"))=IF($B$6="Total",COUNTIFS(Countries!$A$5:$A$434,$B$4,Countries!$B$5:$B$434,$B$5,Countries!$D$5:$D$434,$A41,Countries!$E$5:$E$434,"&gt;0"),COUNTIFS(Countries!$A$5:$A$434,$B$4,Countries!$B$5:$B$434,$B$5,Countries!$C$5:$C$434,$B$6,Countries!$D$5:$D$434,$A41,Countries!$E$5:$E$434,"&gt;0")),"Like-for-like","Partial — coverage differs"))))</f>
        <v/>
      </c>
    </row>
    <row r="42">
      <c r="A42" s="32" t="inlineStr">
        <is>
          <t>Sum of listed countries</t>
        </is>
      </c>
      <c r="B42" s="33">
        <f>SUM(B9:B41)</f>
        <v/>
      </c>
      <c r="C42" s="33">
        <f>SUM(C9:C41)</f>
        <v/>
      </c>
      <c r="D42" s="67">
        <f>IF(OR(C42="",B42="",B42=0,C42=0),"",C42-B42)</f>
        <v/>
      </c>
      <c r="E42" s="34">
        <f>IF(OR(C42="",B42="",B42=0,C42=0),"",C42/B42-1)</f>
        <v/>
      </c>
      <c r="F42" s="33">
        <f>SUM(F9:F41)</f>
        <v/>
      </c>
      <c r="G42" s="33">
        <f>SUM(G9:G41)</f>
        <v/>
      </c>
      <c r="H42" s="67">
        <f>IF(OR(G42="",F42="",F42=0,G42=0),"",G42-F42)</f>
        <v/>
      </c>
      <c r="I42" s="34">
        <f>IF(OR(G42="",F42="",F42=0,G42=0),"",G42/F42-1)</f>
        <v/>
      </c>
      <c r="J42" s="35">
        <f>IF(IF($B$6="Total",SUMIFS(Countries!$E$5:$E$434,Countries!$A$5:$A$434,$B$4,Countries!$B$5:$B$434,$B$5,Countries!$I$5:$I$434,"&gt;0"),SUMIFS(Countries!$E$5:$E$434,Countries!$A$5:$A$434,$B$4,Countries!$B$5:$B$434,$B$5,Countries!$C$5:$C$434,$B$6,Countries!$I$5:$I$434,"&gt;0"))=0,"",IF($B$6="Total",SUMIFS(Countries!$I$5:$I$434,Countries!$A$5:$A$434,$B$4,Countries!$B$5:$B$434,$B$5,Countries!$E$5:$E$434,"&gt;0"),SUMIFS(Countries!$I$5:$I$434,Countries!$A$5:$A$434,$B$4,Countries!$B$5:$B$434,$B$5,Countries!$C$5:$C$434,$B$6,Countries!$E$5:$E$434,"&gt;0"))/IF($B$6="Total",SUMIFS(Countries!$E$5:$E$434,Countries!$A$5:$A$434,$B$4,Countries!$B$5:$B$434,$B$5,Countries!$I$5:$I$434,"&gt;0"),SUMIFS(Countries!$E$5:$E$434,Countries!$A$5:$A$434,$B$4,Countries!$B$5:$B$434,$B$5,Countries!$C$5:$C$434,$B$6,Countries!$I$5:$I$434,"&gt;0")))</f>
        <v/>
      </c>
      <c r="K42" s="35">
        <f>IF(IF($B$6="Total",SUMIFS(Countries!$F$5:$F$434,Countries!$A$5:$A$434,$B$4,Countries!$B$5:$B$434,$B$5,Countries!$J$5:$J$434,"&gt;0"),SUMIFS(Countries!$F$5:$F$434,Countries!$A$5:$A$434,$B$4,Countries!$B$5:$B$434,$B$5,Countries!$C$5:$C$434,$B$6,Countries!$J$5:$J$434,"&gt;0"))=0,"",IF($B$6="Total",SUMIFS(Countries!$J$5:$J$434,Countries!$A$5:$A$434,$B$4,Countries!$B$5:$B$434,$B$5,Countries!$F$5:$F$434,"&gt;0"),SUMIFS(Countries!$J$5:$J$434,Countries!$A$5:$A$434,$B$4,Countries!$B$5:$B$434,$B$5,Countries!$C$5:$C$434,$B$6,Countries!$F$5:$F$434,"&gt;0"))/IF($B$6="Total",SUMIFS(Countries!$F$5:$F$434,Countries!$A$5:$A$434,$B$4,Countries!$B$5:$B$434,$B$5,Countries!$J$5:$J$434,"&gt;0"),SUMIFS(Countries!$F$5:$F$434,Countries!$A$5:$A$434,$B$4,Countries!$B$5:$B$434,$B$5,Countries!$C$5:$C$434,$B$6,Countries!$J$5:$J$434,"&gt;0")))</f>
        <v/>
      </c>
      <c r="L42" s="36">
        <f>IF(OR(K42="",J42=""),"",(K42-J42)*100)</f>
        <v/>
      </c>
      <c r="M42" s="33">
        <f>SUM(M9:M41)</f>
        <v/>
      </c>
      <c r="N42" s="33">
        <f>SUM(N9:N41)</f>
        <v/>
      </c>
      <c r="O42" s="67">
        <f>IF(OR(N42="",M42="",M42=0,N42=0),"",N42-M42)</f>
        <v/>
      </c>
      <c r="P42" s="34">
        <f>IF(OR(N42="",M42="",M42=0,N42=0),"",N42/M42-1)</f>
        <v/>
      </c>
      <c r="Q42" s="35">
        <f>IF(IF($B$6="Total",SUMIFS(Countries!$E$5:$E$434,Countries!$A$5:$A$434,$B$4,Countries!$B$5:$B$434,$B$5,Countries!$P$5:$P$434,"&gt;0"),SUMIFS(Countries!$E$5:$E$434,Countries!$A$5:$A$434,$B$4,Countries!$B$5:$B$434,$B$5,Countries!$C$5:$C$434,$B$6,Countries!$P$5:$P$434,"&gt;0"))=0,"",IF($B$6="Total",SUMIFS(Countries!$P$5:$P$434,Countries!$A$5:$A$434,$B$4,Countries!$B$5:$B$434,$B$5,Countries!$E$5:$E$434,"&gt;0"),SUMIFS(Countries!$P$5:$P$434,Countries!$A$5:$A$434,$B$4,Countries!$B$5:$B$434,$B$5,Countries!$C$5:$C$434,$B$6,Countries!$E$5:$E$434,"&gt;0"))/IF($B$6="Total",SUMIFS(Countries!$E$5:$E$434,Countries!$A$5:$A$434,$B$4,Countries!$B$5:$B$434,$B$5,Countries!$P$5:$P$434,"&gt;0"),SUMIFS(Countries!$E$5:$E$434,Countries!$A$5:$A$434,$B$4,Countries!$B$5:$B$434,$B$5,Countries!$C$5:$C$434,$B$6,Countries!$P$5:$P$434,"&gt;0")))</f>
        <v/>
      </c>
      <c r="R42" s="35">
        <f>IF(IF($B$6="Total",SUMIFS(Countries!$F$5:$F$434,Countries!$A$5:$A$434,$B$4,Countries!$B$5:$B$434,$B$5,Countries!$Q$5:$Q$434,"&gt;0"),SUMIFS(Countries!$F$5:$F$434,Countries!$A$5:$A$434,$B$4,Countries!$B$5:$B$434,$B$5,Countries!$C$5:$C$434,$B$6,Countries!$Q$5:$Q$434,"&gt;0"))=0,"",IF($B$6="Total",SUMIFS(Countries!$Q$5:$Q$434,Countries!$A$5:$A$434,$B$4,Countries!$B$5:$B$434,$B$5,Countries!$F$5:$F$434,"&gt;0"),SUMIFS(Countries!$Q$5:$Q$434,Countries!$A$5:$A$434,$B$4,Countries!$B$5:$B$434,$B$5,Countries!$C$5:$C$434,$B$6,Countries!$F$5:$F$434,"&gt;0"))/IF($B$6="Total",SUMIFS(Countries!$F$5:$F$434,Countries!$A$5:$A$434,$B$4,Countries!$B$5:$B$434,$B$5,Countries!$Q$5:$Q$434,"&gt;0"),SUMIFS(Countries!$F$5:$F$434,Countries!$A$5:$A$434,$B$4,Countries!$B$5:$B$434,$B$5,Countries!$C$5:$C$434,$B$6,Countries!$Q$5:$Q$434,"&gt;0")))</f>
        <v/>
      </c>
      <c r="S42" s="36">
        <f>IF(OR(R42="",Q42=""),"",(R42-Q42)*100)</f>
        <v/>
      </c>
      <c r="T42" s="33">
        <f>SUM(T9:T41)</f>
        <v/>
      </c>
      <c r="U42" s="33">
        <f>SUM(U9:U41)</f>
        <v/>
      </c>
      <c r="V42" s="67">
        <f>IF(OR(U42="",T42="",T42=0,U42=0),"",U42-T42)</f>
        <v/>
      </c>
      <c r="W42" s="34">
        <f>IF(OR(U42="",T42="",T42=0,U42=0),"",U42/T42-1)</f>
        <v/>
      </c>
      <c r="X42" s="35">
        <f>IF(IF($B$6="Total",SUMIFS(Countries!$P$5:$P$434,Countries!$A$5:$A$434,$B$4,Countries!$B$5:$B$434,$B$5,Countries!$W$5:$W$434,"&gt;0"),SUMIFS(Countries!$P$5:$P$434,Countries!$A$5:$A$434,$B$4,Countries!$B$5:$B$434,$B$5,Countries!$C$5:$C$434,$B$6,Countries!$W$5:$W$434,"&gt;0"))=0,"",IF($B$6="Total",SUMIFS(Countries!$W$5:$W$434,Countries!$A$5:$A$434,$B$4,Countries!$B$5:$B$434,$B$5,Countries!$P$5:$P$434,"&gt;0"),SUMIFS(Countries!$W$5:$W$434,Countries!$A$5:$A$434,$B$4,Countries!$B$5:$B$434,$B$5,Countries!$C$5:$C$434,$B$6,Countries!$P$5:$P$434,"&gt;0"))/IF($B$6="Total",SUMIFS(Countries!$P$5:$P$434,Countries!$A$5:$A$434,$B$4,Countries!$B$5:$B$434,$B$5,Countries!$W$5:$W$434,"&gt;0"),SUMIFS(Countries!$P$5:$P$434,Countries!$A$5:$A$434,$B$4,Countries!$B$5:$B$434,$B$5,Countries!$C$5:$C$434,$B$6,Countries!$W$5:$W$434,"&gt;0")))</f>
        <v/>
      </c>
      <c r="Y42" s="35">
        <f>IF(IF($B$6="Total",SUMIFS(Countries!$Q$5:$Q$434,Countries!$A$5:$A$434,$B$4,Countries!$B$5:$B$434,$B$5,Countries!$X$5:$X$434,"&gt;0"),SUMIFS(Countries!$Q$5:$Q$434,Countries!$A$5:$A$434,$B$4,Countries!$B$5:$B$434,$B$5,Countries!$C$5:$C$434,$B$6,Countries!$X$5:$X$434,"&gt;0"))=0,"",IF($B$6="Total",SUMIFS(Countries!$X$5:$X$434,Countries!$A$5:$A$434,$B$4,Countries!$B$5:$B$434,$B$5,Countries!$Q$5:$Q$434,"&gt;0"),SUMIFS(Countries!$X$5:$X$434,Countries!$A$5:$A$434,$B$4,Countries!$B$5:$B$434,$B$5,Countries!$C$5:$C$434,$B$6,Countries!$Q$5:$Q$434,"&gt;0"))/IF($B$6="Total",SUMIFS(Countries!$Q$5:$Q$434,Countries!$A$5:$A$434,$B$4,Countries!$B$5:$B$434,$B$5,Countries!$X$5:$X$434,"&gt;0"),SUMIFS(Countries!$Q$5:$Q$434,Countries!$A$5:$A$434,$B$4,Countries!$B$5:$B$434,$B$5,Countries!$C$5:$C$434,$B$6,Countries!$X$5:$X$434,"&gt;0")))</f>
        <v/>
      </c>
      <c r="Z42" s="36">
        <f>IF(OR(Y42="",X42=""),"",(Y42-X42)*100)</f>
        <v/>
      </c>
      <c r="AA42" s="33">
        <f>SUM(AA9:AA41)</f>
        <v/>
      </c>
      <c r="AB42" s="33">
        <f>SUM(AB9:AB41)</f>
        <v/>
      </c>
      <c r="AC42" s="67">
        <f>IF(OR(AB42="",AA42="",AA42=0,AB42=0),"",AB42-AA42)</f>
        <v/>
      </c>
      <c r="AD42" s="34">
        <f>IF(OR(AB42="",AA42="",AA42=0,AB42=0),"",AB42/AA42-1)</f>
        <v/>
      </c>
      <c r="AE42" s="35">
        <f>IF(IF($B$6="Total",SUMIFS(Countries!$W$5:$W$434,Countries!$A$5:$A$434,$B$4,Countries!$B$5:$B$434,$B$5,Countries!$AD$5:$AD$434,"&gt;0"),SUMIFS(Countries!$W$5:$W$434,Countries!$A$5:$A$434,$B$4,Countries!$B$5:$B$434,$B$5,Countries!$C$5:$C$434,$B$6,Countries!$AD$5:$AD$434,"&gt;0"))=0,"",IF($B$6="Total",SUMIFS(Countries!$AD$5:$AD$434,Countries!$A$5:$A$434,$B$4,Countries!$B$5:$B$434,$B$5,Countries!$W$5:$W$434,"&gt;0"),SUMIFS(Countries!$AD$5:$AD$434,Countries!$A$5:$A$434,$B$4,Countries!$B$5:$B$434,$B$5,Countries!$C$5:$C$434,$B$6,Countries!$W$5:$W$434,"&gt;0"))/IF($B$6="Total",SUMIFS(Countries!$W$5:$W$434,Countries!$A$5:$A$434,$B$4,Countries!$B$5:$B$434,$B$5,Countries!$AD$5:$AD$434,"&gt;0"),SUMIFS(Countries!$W$5:$W$434,Countries!$A$5:$A$434,$B$4,Countries!$B$5:$B$434,$B$5,Countries!$C$5:$C$434,$B$6,Countries!$AD$5:$AD$434,"&gt;0")))</f>
        <v/>
      </c>
      <c r="AF42" s="35">
        <f>IF(IF($B$6="Total",SUMIFS(Countries!$X$5:$X$434,Countries!$A$5:$A$434,$B$4,Countries!$B$5:$B$434,$B$5,Countries!$AE$5:$AE$434,"&gt;0"),SUMIFS(Countries!$X$5:$X$434,Countries!$A$5:$A$434,$B$4,Countries!$B$5:$B$434,$B$5,Countries!$C$5:$C$434,$B$6,Countries!$AE$5:$AE$434,"&gt;0"))=0,"",IF($B$6="Total",SUMIFS(Countries!$AE$5:$AE$434,Countries!$A$5:$A$434,$B$4,Countries!$B$5:$B$434,$B$5,Countries!$X$5:$X$434,"&gt;0"),SUMIFS(Countries!$AE$5:$AE$434,Countries!$A$5:$A$434,$B$4,Countries!$B$5:$B$434,$B$5,Countries!$C$5:$C$434,$B$6,Countries!$X$5:$X$434,"&gt;0"))/IF($B$6="Total",SUMIFS(Countries!$X$5:$X$434,Countries!$A$5:$A$434,$B$4,Countries!$B$5:$B$434,$B$5,Countries!$AE$5:$AE$434,"&gt;0"),SUMIFS(Countries!$X$5:$X$434,Countries!$A$5:$A$434,$B$4,Countries!$B$5:$B$434,$B$5,Countries!$C$5:$C$434,$B$6,Countries!$AE$5:$AE$434,"&gt;0")))</f>
        <v/>
      </c>
      <c r="AG42" s="36">
        <f>IF(OR(AF42="",AE42=""),"",(AF42-AE42)*100)</f>
        <v/>
      </c>
      <c r="AH42" s="33">
        <f>SUM(AH9:AH41)</f>
        <v/>
      </c>
      <c r="AI42" s="33">
        <f>SUM(AI9:AI41)</f>
        <v/>
      </c>
      <c r="AJ42" s="67">
        <f>IF(OR(AI42="",AH42="",AH42=0,AI42=0),"",AI42-AH42)</f>
        <v/>
      </c>
      <c r="AK42" s="34">
        <f>IF(OR(AI42="",AH42="",AH42=0,AI42=0),"",AI42/AH42-1)</f>
        <v/>
      </c>
      <c r="AL42" s="35">
        <f>IF(IF($B$6="Total",SUMIFS(Countries!$AD$5:$AD$434,Countries!$A$5:$A$434,$B$4,Countries!$B$5:$B$434,$B$5,Countries!$AK$5:$AK$434,"&gt;0"),SUMIFS(Countries!$AD$5:$AD$434,Countries!$A$5:$A$434,$B$4,Countries!$B$5:$B$434,$B$5,Countries!$C$5:$C$434,$B$6,Countries!$AK$5:$AK$434,"&gt;0"))=0,"",IF($B$6="Total",SUMIFS(Countries!$AK$5:$AK$434,Countries!$A$5:$A$434,$B$4,Countries!$B$5:$B$434,$B$5,Countries!$AD$5:$AD$434,"&gt;0"),SUMIFS(Countries!$AK$5:$AK$434,Countries!$A$5:$A$434,$B$4,Countries!$B$5:$B$434,$B$5,Countries!$C$5:$C$434,$B$6,Countries!$AD$5:$AD$434,"&gt;0"))/IF($B$6="Total",SUMIFS(Countries!$AD$5:$AD$434,Countries!$A$5:$A$434,$B$4,Countries!$B$5:$B$434,$B$5,Countries!$AK$5:$AK$434,"&gt;0"),SUMIFS(Countries!$AD$5:$AD$434,Countries!$A$5:$A$434,$B$4,Countries!$B$5:$B$434,$B$5,Countries!$C$5:$C$434,$B$6,Countries!$AK$5:$AK$434,"&gt;0")))</f>
        <v/>
      </c>
      <c r="AM42" s="35">
        <f>IF(IF($B$6="Total",SUMIFS(Countries!$AE$5:$AE$434,Countries!$A$5:$A$434,$B$4,Countries!$B$5:$B$434,$B$5,Countries!$AL$5:$AL$434,"&gt;0"),SUMIFS(Countries!$AE$5:$AE$434,Countries!$A$5:$A$434,$B$4,Countries!$B$5:$B$434,$B$5,Countries!$C$5:$C$434,$B$6,Countries!$AL$5:$AL$434,"&gt;0"))=0,"",IF($B$6="Total",SUMIFS(Countries!$AL$5:$AL$434,Countries!$A$5:$A$434,$B$4,Countries!$B$5:$B$434,$B$5,Countries!$AE$5:$AE$434,"&gt;0"),SUMIFS(Countries!$AL$5:$AL$434,Countries!$A$5:$A$434,$B$4,Countries!$B$5:$B$434,$B$5,Countries!$C$5:$C$434,$B$6,Countries!$AE$5:$AE$434,"&gt;0"))/IF($B$6="Total",SUMIFS(Countries!$AE$5:$AE$434,Countries!$A$5:$A$434,$B$4,Countries!$B$5:$B$434,$B$5,Countries!$AL$5:$AL$434,"&gt;0"),SUMIFS(Countries!$AE$5:$AE$434,Countries!$A$5:$A$434,$B$4,Countries!$B$5:$B$434,$B$5,Countries!$C$5:$C$434,$B$6,Countries!$AL$5:$AL$434,"&gt;0")))</f>
        <v/>
      </c>
      <c r="AN42" s="36">
        <f>IF(OR(AM42="",AL42=""),"",(AM42-AL42)*100)</f>
        <v/>
      </c>
      <c r="AO42" s="33">
        <f>SUM(AO9:AO41)</f>
        <v/>
      </c>
      <c r="AP42" s="33">
        <f>SUM(AP9:AP41)</f>
        <v/>
      </c>
      <c r="AQ42" s="67">
        <f>IF(OR(AP42="",AO42="",AO42=0,AP42=0),"",AP42-AO42)</f>
        <v/>
      </c>
      <c r="AR42" s="34">
        <f>IF(OR(AP42="",AO42="",AO42=0,AP42=0),"",AP42/AO42-1)</f>
        <v/>
      </c>
      <c r="AS42" s="35">
        <f>IF(IF($B$6="Total",SUMIFS(Countries!$AK$5:$AK$434,Countries!$A$5:$A$434,$B$4,Countries!$B$5:$B$434,$B$5,Countries!$AR$5:$AR$434,"&gt;0"),SUMIFS(Countries!$AK$5:$AK$434,Countries!$A$5:$A$434,$B$4,Countries!$B$5:$B$434,$B$5,Countries!$C$5:$C$434,$B$6,Countries!$AR$5:$AR$434,"&gt;0"))=0,"",IF($B$6="Total",SUMIFS(Countries!$AR$5:$AR$434,Countries!$A$5:$A$434,$B$4,Countries!$B$5:$B$434,$B$5,Countries!$AK$5:$AK$434,"&gt;0"),SUMIFS(Countries!$AR$5:$AR$434,Countries!$A$5:$A$434,$B$4,Countries!$B$5:$B$434,$B$5,Countries!$C$5:$C$434,$B$6,Countries!$AK$5:$AK$434,"&gt;0"))/IF($B$6="Total",SUMIFS(Countries!$AK$5:$AK$434,Countries!$A$5:$A$434,$B$4,Countries!$B$5:$B$434,$B$5,Countries!$AR$5:$AR$434,"&gt;0"),SUMIFS(Countries!$AK$5:$AK$434,Countries!$A$5:$A$434,$B$4,Countries!$B$5:$B$434,$B$5,Countries!$C$5:$C$434,$B$6,Countries!$AR$5:$AR$434,"&gt;0")))</f>
        <v/>
      </c>
      <c r="AT42" s="35">
        <f>IF(IF($B$6="Total",SUMIFS(Countries!$AL$5:$AL$434,Countries!$A$5:$A$434,$B$4,Countries!$B$5:$B$434,$B$5,Countries!$AS$5:$AS$434,"&gt;0"),SUMIFS(Countries!$AL$5:$AL$434,Countries!$A$5:$A$434,$B$4,Countries!$B$5:$B$434,$B$5,Countries!$C$5:$C$434,$B$6,Countries!$AS$5:$AS$434,"&gt;0"))=0,"",IF($B$6="Total",SUMIFS(Countries!$AS$5:$AS$434,Countries!$A$5:$A$434,$B$4,Countries!$B$5:$B$434,$B$5,Countries!$AL$5:$AL$434,"&gt;0"),SUMIFS(Countries!$AS$5:$AS$434,Countries!$A$5:$A$434,$B$4,Countries!$B$5:$B$434,$B$5,Countries!$C$5:$C$434,$B$6,Countries!$AL$5:$AL$434,"&gt;0"))/IF($B$6="Total",SUMIFS(Countries!$AL$5:$AL$434,Countries!$A$5:$A$434,$B$4,Countries!$B$5:$B$434,$B$5,Countries!$AS$5:$AS$434,"&gt;0"),SUMIFS(Countries!$AL$5:$AL$434,Countries!$A$5:$A$434,$B$4,Countries!$B$5:$B$434,$B$5,Countries!$C$5:$C$434,$B$6,Countries!$AS$5:$AS$434,"&gt;0")))</f>
        <v/>
      </c>
      <c r="AU42" s="36">
        <f>IF(OR(AT42="",AS42=""),"",(AT42-AS42)*100)</f>
        <v/>
      </c>
      <c r="AV42" s="37">
        <f>IF(IF($B$6="Total",SUMIFS(Countries!$P$5:$P$434,Countries!$A$5:$A$434,$B$4,Countries!$B$5:$B$434,$B$5,Countries!$AR$5:$AR$434,"&gt;0"),SUMIFS(Countries!$P$5:$P$434,Countries!$A$5:$A$434,$B$4,Countries!$B$5:$B$434,$B$5,Countries!$C$5:$C$434,$B$6,Countries!$AR$5:$AR$434,"&gt;0"))=0,"",IF($B$6="Total",SUMIFS(Countries!$AR$5:$AR$434,Countries!$A$5:$A$434,$B$4,Countries!$B$5:$B$434,$B$5,Countries!$P$5:$P$434,"&gt;0"),SUMIFS(Countries!$AR$5:$AR$434,Countries!$A$5:$A$434,$B$4,Countries!$B$5:$B$434,$B$5,Countries!$C$5:$C$434,$B$6,Countries!$P$5:$P$434,"&gt;0"))/IF($B$6="Total",SUMIFS(Countries!$P$5:$P$434,Countries!$A$5:$A$434,$B$4,Countries!$B$5:$B$434,$B$5,Countries!$AR$5:$AR$434,"&gt;0"),SUMIFS(Countries!$P$5:$P$434,Countries!$A$5:$A$434,$B$4,Countries!$B$5:$B$434,$B$5,Countries!$C$5:$C$434,$B$6,Countries!$AR$5:$AR$434,"&gt;0")))</f>
        <v/>
      </c>
      <c r="AW42" s="37">
        <f>IF(IF($B$6="Total",SUMIFS(Countries!$Q$5:$Q$434,Countries!$A$5:$A$434,$B$4,Countries!$B$5:$B$434,$B$5,Countries!$AS$5:$AS$434,"&gt;0"),SUMIFS(Countries!$Q$5:$Q$434,Countries!$A$5:$A$434,$B$4,Countries!$B$5:$B$434,$B$5,Countries!$C$5:$C$434,$B$6,Countries!$AS$5:$AS$434,"&gt;0"))=0,"",IF($B$6="Total",SUMIFS(Countries!$AS$5:$AS$434,Countries!$A$5:$A$434,$B$4,Countries!$B$5:$B$434,$B$5,Countries!$Q$5:$Q$434,"&gt;0"),SUMIFS(Countries!$AS$5:$AS$434,Countries!$A$5:$A$434,$B$4,Countries!$B$5:$B$434,$B$5,Countries!$C$5:$C$434,$B$6,Countries!$Q$5:$Q$434,"&gt;0"))/IF($B$6="Total",SUMIFS(Countries!$Q$5:$Q$434,Countries!$A$5:$A$434,$B$4,Countries!$B$5:$B$434,$B$5,Countries!$AS$5:$AS$434,"&gt;0"),SUMIFS(Countries!$Q$5:$Q$434,Countries!$A$5:$A$434,$B$4,Countries!$B$5:$B$434,$B$5,Countries!$C$5:$C$434,$B$6,Countries!$AS$5:$AS$434,"&gt;0")))</f>
        <v/>
      </c>
      <c r="AX42" s="36">
        <f>IF(OR(AW42="",AV42=""),"",(AW42-AV42)*100)</f>
        <v/>
      </c>
      <c r="AY42" s="37">
        <f>IF(IF($B$6="Total",SUMIFS(Countries!$E$5:$E$434,Countries!$A$5:$A$434,$B$4,Countries!$B$5:$B$434,$B$5,Countries!$AR$5:$AR$434,"&gt;0"),SUMIFS(Countries!$E$5:$E$434,Countries!$A$5:$A$434,$B$4,Countries!$B$5:$B$434,$B$5,Countries!$C$5:$C$434,$B$6,Countries!$AR$5:$AR$434,"&gt;0"))=0,"",IF($B$6="Total",SUMIFS(Countries!$AR$5:$AR$434,Countries!$A$5:$A$434,$B$4,Countries!$B$5:$B$434,$B$5,Countries!$E$5:$E$434,"&gt;0"),SUMIFS(Countries!$AR$5:$AR$434,Countries!$A$5:$A$434,$B$4,Countries!$B$5:$B$434,$B$5,Countries!$C$5:$C$434,$B$6,Countries!$E$5:$E$434,"&gt;0"))/IF($B$6="Total",SUMIFS(Countries!$E$5:$E$434,Countries!$A$5:$A$434,$B$4,Countries!$B$5:$B$434,$B$5,Countries!$AR$5:$AR$434,"&gt;0"),SUMIFS(Countries!$E$5:$E$434,Countries!$A$5:$A$434,$B$4,Countries!$B$5:$B$434,$B$5,Countries!$C$5:$C$434,$B$6,Countries!$AR$5:$AR$434,"&gt;0")))</f>
        <v/>
      </c>
      <c r="AZ42" s="37">
        <f>IF(IF($B$6="Total",SUMIFS(Countries!$F$5:$F$434,Countries!$A$5:$A$434,$B$4,Countries!$B$5:$B$434,$B$5,Countries!$AS$5:$AS$434,"&gt;0"),SUMIFS(Countries!$F$5:$F$434,Countries!$A$5:$A$434,$B$4,Countries!$B$5:$B$434,$B$5,Countries!$C$5:$C$434,$B$6,Countries!$AS$5:$AS$434,"&gt;0"))=0,"",IF($B$6="Total",SUMIFS(Countries!$AS$5:$AS$434,Countries!$A$5:$A$434,$B$4,Countries!$B$5:$B$434,$B$5,Countries!$F$5:$F$434,"&gt;0"),SUMIFS(Countries!$AS$5:$AS$434,Countries!$A$5:$A$434,$B$4,Countries!$B$5:$B$434,$B$5,Countries!$C$5:$C$434,$B$6,Countries!$F$5:$F$434,"&gt;0"))/IF($B$6="Total",SUMIFS(Countries!$F$5:$F$434,Countries!$A$5:$A$434,$B$4,Countries!$B$5:$B$434,$B$5,Countries!$AS$5:$AS$434,"&gt;0"),SUMIFS(Countries!$F$5:$F$434,Countries!$A$5:$A$434,$B$4,Countries!$B$5:$B$434,$B$5,Countries!$C$5:$C$434,$B$6,Countries!$AS$5:$AS$434,"&gt;0")))</f>
        <v/>
      </c>
      <c r="BA42" s="36">
        <f>IF(OR(AZ42="",AY42=""),"",(AZ42-AY42)*100)</f>
        <v/>
      </c>
      <c r="BB42" s="52" t="n"/>
    </row>
    <row r="43">
      <c r="A43" s="32" t="inlineStr">
        <is>
          <t>Scorecard total (Totals tab)</t>
        </is>
      </c>
      <c r="B43" s="33">
        <f>SUMIFS(Totals!$D$5:$D$49,Totals!$A$5:$A$49,$B$4,Totals!$B$5:$B$49,$B$5,Totals!$C$5:$C$49,$B$6)</f>
        <v/>
      </c>
      <c r="C43" s="33">
        <f>SUMIFS(Totals!$E$5:$E$49,Totals!$A$5:$A$49,$B$4,Totals!$B$5:$B$49,$B$5,Totals!$C$5:$C$49,$B$6)</f>
        <v/>
      </c>
      <c r="D43" s="67">
        <f>IF(OR(C43="",B43="",B43=0,C43=0),"",C43-B43)</f>
        <v/>
      </c>
      <c r="E43" s="34">
        <f>IF(OR(C43="",B43="",B43=0,C43=0),"",C43/B43-1)</f>
        <v/>
      </c>
      <c r="F43" s="33">
        <f>SUMIFS(Totals!$H$5:$H$49,Totals!$A$5:$A$49,$B$4,Totals!$B$5:$B$49,$B$5,Totals!$C$5:$C$49,$B$6)</f>
        <v/>
      </c>
      <c r="G43" s="33">
        <f>SUMIFS(Totals!$I$5:$I$49,Totals!$A$5:$A$49,$B$4,Totals!$B$5:$B$49,$B$5,Totals!$C$5:$C$49,$B$6)</f>
        <v/>
      </c>
      <c r="H43" s="67">
        <f>IF(OR(G43="",F43="",F43=0,G43=0),"",G43-F43)</f>
        <v/>
      </c>
      <c r="I43" s="34">
        <f>IF(OR(G43="",F43="",F43=0,G43=0),"",G43/F43-1)</f>
        <v/>
      </c>
      <c r="J43" s="35">
        <f>IF(OR(F43="",B43="",B43=0),"",F43/B43)</f>
        <v/>
      </c>
      <c r="K43" s="35">
        <f>IF(OR(G43="",C43="",C43=0),"",G43/C43)</f>
        <v/>
      </c>
      <c r="L43" s="36">
        <f>IF(OR(K43="",J43=""),"",(K43-J43)*100)</f>
        <v/>
      </c>
      <c r="M43" s="33">
        <f>SUMIFS(Totals!$O$5:$O$49,Totals!$A$5:$A$49,$B$4,Totals!$B$5:$B$49,$B$5,Totals!$C$5:$C$49,$B$6)</f>
        <v/>
      </c>
      <c r="N43" s="33">
        <f>SUMIFS(Totals!$P$5:$P$49,Totals!$A$5:$A$49,$B$4,Totals!$B$5:$B$49,$B$5,Totals!$C$5:$C$49,$B$6)</f>
        <v/>
      </c>
      <c r="O43" s="67">
        <f>IF(OR(N43="",M43="",M43=0,N43=0),"",N43-M43)</f>
        <v/>
      </c>
      <c r="P43" s="34">
        <f>IF(OR(N43="",M43="",M43=0,N43=0),"",N43/M43-1)</f>
        <v/>
      </c>
      <c r="Q43" s="35">
        <f>IF(OR(M43="",B43="",B43=0),"",M43/B43)</f>
        <v/>
      </c>
      <c r="R43" s="35">
        <f>IF(OR(N43="",C43="",C43=0),"",N43/C43)</f>
        <v/>
      </c>
      <c r="S43" s="36">
        <f>IF(OR(R43="",Q43=""),"",(R43-Q43)*100)</f>
        <v/>
      </c>
      <c r="T43" s="33">
        <f>SUMIFS(Totals!$V$5:$V$49,Totals!$A$5:$A$49,$B$4,Totals!$B$5:$B$49,$B$5,Totals!$C$5:$C$49,$B$6)</f>
        <v/>
      </c>
      <c r="U43" s="33">
        <f>SUMIFS(Totals!$W$5:$W$49,Totals!$A$5:$A$49,$B$4,Totals!$B$5:$B$49,$B$5,Totals!$C$5:$C$49,$B$6)</f>
        <v/>
      </c>
      <c r="V43" s="67">
        <f>IF(OR(U43="",T43="",T43=0,U43=0),"",U43-T43)</f>
        <v/>
      </c>
      <c r="W43" s="34">
        <f>IF(OR(U43="",T43="",T43=0,U43=0),"",U43/T43-1)</f>
        <v/>
      </c>
      <c r="X43" s="35">
        <f>IF(OR(T43="",M43="",M43=0),"",T43/M43)</f>
        <v/>
      </c>
      <c r="Y43" s="35">
        <f>IF(OR(U43="",N43="",N43=0),"",U43/N43)</f>
        <v/>
      </c>
      <c r="Z43" s="36">
        <f>IF(OR(Y43="",X43=""),"",(Y43-X43)*100)</f>
        <v/>
      </c>
      <c r="AA43" s="33">
        <f>SUMIFS(Totals!$AC$5:$AC$49,Totals!$A$5:$A$49,$B$4,Totals!$B$5:$B$49,$B$5,Totals!$C$5:$C$49,$B$6)</f>
        <v/>
      </c>
      <c r="AB43" s="33">
        <f>SUMIFS(Totals!$AD$5:$AD$49,Totals!$A$5:$A$49,$B$4,Totals!$B$5:$B$49,$B$5,Totals!$C$5:$C$49,$B$6)</f>
        <v/>
      </c>
      <c r="AC43" s="67">
        <f>IF(OR(AB43="",AA43="",AA43=0,AB43=0),"",AB43-AA43)</f>
        <v/>
      </c>
      <c r="AD43" s="34">
        <f>IF(OR(AB43="",AA43="",AA43=0,AB43=0),"",AB43/AA43-1)</f>
        <v/>
      </c>
      <c r="AE43" s="35">
        <f>IF(OR(AA43="",T43="",T43=0),"",AA43/T43)</f>
        <v/>
      </c>
      <c r="AF43" s="35">
        <f>IF(OR(AB43="",U43="",U43=0),"",AB43/U43)</f>
        <v/>
      </c>
      <c r="AG43" s="36">
        <f>IF(OR(AF43="",AE43=""),"",(AF43-AE43)*100)</f>
        <v/>
      </c>
      <c r="AH43" s="33">
        <f>SUMIFS(Totals!$AJ$5:$AJ$49,Totals!$A$5:$A$49,$B$4,Totals!$B$5:$B$49,$B$5,Totals!$C$5:$C$49,$B$6)</f>
        <v/>
      </c>
      <c r="AI43" s="33">
        <f>SUMIFS(Totals!$AK$5:$AK$49,Totals!$A$5:$A$49,$B$4,Totals!$B$5:$B$49,$B$5,Totals!$C$5:$C$49,$B$6)</f>
        <v/>
      </c>
      <c r="AJ43" s="67">
        <f>IF(OR(AI43="",AH43="",AH43=0,AI43=0),"",AI43-AH43)</f>
        <v/>
      </c>
      <c r="AK43" s="34">
        <f>IF(OR(AI43="",AH43="",AH43=0,AI43=0),"",AI43/AH43-1)</f>
        <v/>
      </c>
      <c r="AL43" s="35">
        <f>IF(OR(AH43="",AA43="",AA43=0),"",AH43/AA43)</f>
        <v/>
      </c>
      <c r="AM43" s="35">
        <f>IF(OR(AI43="",AB43="",AB43=0),"",AI43/AB43)</f>
        <v/>
      </c>
      <c r="AN43" s="36">
        <f>IF(OR(AM43="",AL43=""),"",(AM43-AL43)*100)</f>
        <v/>
      </c>
      <c r="AO43" s="33">
        <f>SUMIFS(Totals!$AQ$5:$AQ$49,Totals!$A$5:$A$49,$B$4,Totals!$B$5:$B$49,$B$5,Totals!$C$5:$C$49,$B$6)</f>
        <v/>
      </c>
      <c r="AP43" s="33">
        <f>SUMIFS(Totals!$AR$5:$AR$49,Totals!$A$5:$A$49,$B$4,Totals!$B$5:$B$49,$B$5,Totals!$C$5:$C$49,$B$6)</f>
        <v/>
      </c>
      <c r="AQ43" s="67">
        <f>IF(OR(AP43="",AO43="",AO43=0,AP43=0),"",AP43-AO43)</f>
        <v/>
      </c>
      <c r="AR43" s="34">
        <f>IF(OR(AP43="",AO43="",AO43=0,AP43=0),"",AP43/AO43-1)</f>
        <v/>
      </c>
      <c r="AS43" s="35">
        <f>IF(OR(AO43="",AH43="",AH43=0),"",AO43/AH43)</f>
        <v/>
      </c>
      <c r="AT43" s="35">
        <f>IF(OR(AP43="",AI43="",AI43=0),"",AP43/AI43)</f>
        <v/>
      </c>
      <c r="AU43" s="36">
        <f>IF(OR(AT43="",AS43=""),"",(AT43-AS43)*100)</f>
        <v/>
      </c>
      <c r="AV43" s="37">
        <f>IF(OR(AO43="",M43="",M43=0),"",AO43/M43)</f>
        <v/>
      </c>
      <c r="AW43" s="37">
        <f>IF(OR(AP43="",N43="",N43=0),"",AP43/N43)</f>
        <v/>
      </c>
      <c r="AX43" s="36">
        <f>IF(OR(AW43="",AV43=""),"",(AW43-AV43)*100)</f>
        <v/>
      </c>
      <c r="AY43" s="37">
        <f>IF(OR(AO43="",B43="",B43=0),"",AO43/B43)</f>
        <v/>
      </c>
      <c r="AZ43" s="37">
        <f>IF(OR(AP43="",C43="",C43=0),"",AP43/C43)</f>
        <v/>
      </c>
      <c r="BA43" s="36">
        <f>IF(OR(AZ43="",AY43=""),"",(AZ43-AY43)*100)</f>
        <v/>
      </c>
      <c r="BB43" s="52" t="n"/>
    </row>
    <row r="44">
      <c r="A44" s="32" t="inlineStr">
        <is>
          <t>Coverage of listed countries</t>
        </is>
      </c>
      <c r="B44" s="35">
        <f>IFERROR(B42/B43,"")</f>
        <v/>
      </c>
      <c r="C44" s="35">
        <f>IFERROR(C42/C43,"")</f>
        <v/>
      </c>
      <c r="D44" s="52" t="n"/>
      <c r="E44" s="52" t="n"/>
      <c r="F44" s="35">
        <f>IFERROR(F42/F43,"")</f>
        <v/>
      </c>
      <c r="G44" s="35">
        <f>IFERROR(G42/G43,"")</f>
        <v/>
      </c>
      <c r="H44" s="52" t="n"/>
      <c r="I44" s="52" t="n"/>
      <c r="J44" s="52" t="n"/>
      <c r="K44" s="52" t="n"/>
      <c r="L44" s="52" t="n"/>
      <c r="M44" s="35">
        <f>IFERROR(M42/M43,"")</f>
        <v/>
      </c>
      <c r="N44" s="35">
        <f>IFERROR(N42/N43,"")</f>
        <v/>
      </c>
      <c r="O44" s="52" t="n"/>
      <c r="P44" s="52" t="n"/>
      <c r="Q44" s="52" t="n"/>
      <c r="R44" s="52" t="n"/>
      <c r="S44" s="52" t="n"/>
      <c r="T44" s="35">
        <f>IFERROR(T42/T43,"")</f>
        <v/>
      </c>
      <c r="U44" s="35">
        <f>IFERROR(U42/U43,"")</f>
        <v/>
      </c>
      <c r="V44" s="52" t="n"/>
      <c r="W44" s="52" t="n"/>
      <c r="X44" s="52" t="n"/>
      <c r="Y44" s="52" t="n"/>
      <c r="Z44" s="52" t="n"/>
      <c r="AA44" s="35">
        <f>IFERROR(AA42/AA43,"")</f>
        <v/>
      </c>
      <c r="AB44" s="35">
        <f>IFERROR(AB42/AB43,"")</f>
        <v/>
      </c>
      <c r="AC44" s="52" t="n"/>
      <c r="AD44" s="52" t="n"/>
      <c r="AE44" s="52" t="n"/>
      <c r="AF44" s="52" t="n"/>
      <c r="AG44" s="52" t="n"/>
      <c r="AH44" s="35">
        <f>IFERROR(AH42/AH43,"")</f>
        <v/>
      </c>
      <c r="AI44" s="35">
        <f>IFERROR(AI42/AI43,"")</f>
        <v/>
      </c>
      <c r="AJ44" s="52" t="n"/>
      <c r="AK44" s="52" t="n"/>
      <c r="AL44" s="52" t="n"/>
      <c r="AM44" s="52" t="n"/>
      <c r="AN44" s="52" t="n"/>
      <c r="AO44" s="35">
        <f>IFERROR(AO42/AO43,"")</f>
        <v/>
      </c>
      <c r="AP44" s="35">
        <f>IFERROR(AP42/AP43,"")</f>
        <v/>
      </c>
      <c r="AQ44" s="52" t="n"/>
      <c r="AR44" s="52" t="n"/>
      <c r="AS44" s="52" t="n"/>
      <c r="AT44" s="52" t="n"/>
      <c r="AU44" s="52" t="n"/>
      <c r="AV44" s="52" t="n"/>
      <c r="AW44" s="52" t="n"/>
      <c r="AX44" s="52" t="n"/>
      <c r="AY44" s="52" t="n"/>
      <c r="AZ44" s="52" t="n"/>
      <c r="BA44" s="52" t="n"/>
      <c r="BB44" s="52" t="n"/>
    </row>
    <row r="46">
      <c r="A46" s="12" t="inlineStr">
        <is>
          <t>A blank cell means that market was not in the Looker visible rows for the selected cut — it is not a zero.</t>
        </is>
      </c>
    </row>
    <row r="47">
      <c r="A47" s="12" t="inlineStr">
        <is>
          <t>Rates use matched coverage: a channel/device counts only where both numerator and denominator exist.</t>
        </is>
      </c>
    </row>
  </sheetData>
  <mergeCells count="17">
    <mergeCell ref="J7:L7"/>
    <mergeCell ref="AO7:AR7"/>
    <mergeCell ref="AE7:AG7"/>
    <mergeCell ref="AS7:AU7"/>
    <mergeCell ref="AV7:AX7"/>
    <mergeCell ref="AY7:BA7"/>
    <mergeCell ref="AL7:AN7"/>
    <mergeCell ref="BB7:BB8"/>
    <mergeCell ref="F7:I7"/>
    <mergeCell ref="M7:P7"/>
    <mergeCell ref="T7:W7"/>
    <mergeCell ref="B7:E7"/>
    <mergeCell ref="A7:A8"/>
    <mergeCell ref="Q7:S7"/>
    <mergeCell ref="AH7:AK7"/>
    <mergeCell ref="AA7:AD7"/>
    <mergeCell ref="X7:Z7"/>
  </mergeCells>
  <conditionalFormatting sqref="E9:E41">
    <cfRule type="cellIs" priority="1" operator="greaterThan" dxfId="0">
      <formula>0</formula>
    </cfRule>
    <cfRule type="cellIs" priority="2" operator="lessThan" dxfId="1">
      <formula>0</formula>
    </cfRule>
  </conditionalFormatting>
  <conditionalFormatting sqref="I9:I41">
    <cfRule type="cellIs" priority="3" operator="greaterThan" dxfId="0">
      <formula>0</formula>
    </cfRule>
    <cfRule type="cellIs" priority="4" operator="lessThan" dxfId="1">
      <formula>0</formula>
    </cfRule>
  </conditionalFormatting>
  <conditionalFormatting sqref="L9:L41">
    <cfRule type="cellIs" priority="5" operator="greaterThan" dxfId="0">
      <formula>0</formula>
    </cfRule>
    <cfRule type="cellIs" priority="6" operator="lessThan" dxfId="1">
      <formula>0</formula>
    </cfRule>
  </conditionalFormatting>
  <conditionalFormatting sqref="J9:J41">
    <cfRule type="cellIs" priority="7" operator="greaterThan" dxfId="2">
      <formula>1</formula>
    </cfRule>
  </conditionalFormatting>
  <conditionalFormatting sqref="K9:K41">
    <cfRule type="cellIs" priority="8" operator="greaterThan" dxfId="2">
      <formula>1</formula>
    </cfRule>
  </conditionalFormatting>
  <conditionalFormatting sqref="P9:P41">
    <cfRule type="cellIs" priority="9" operator="greaterThan" dxfId="0">
      <formula>0</formula>
    </cfRule>
    <cfRule type="cellIs" priority="10" operator="lessThan" dxfId="1">
      <formula>0</formula>
    </cfRule>
  </conditionalFormatting>
  <conditionalFormatting sqref="S9:S41">
    <cfRule type="cellIs" priority="11" operator="greaterThan" dxfId="0">
      <formula>0</formula>
    </cfRule>
    <cfRule type="cellIs" priority="12" operator="lessThan" dxfId="1">
      <formula>0</formula>
    </cfRule>
  </conditionalFormatting>
  <conditionalFormatting sqref="Q9:Q41">
    <cfRule type="cellIs" priority="13" operator="greaterThan" dxfId="2">
      <formula>1</formula>
    </cfRule>
  </conditionalFormatting>
  <conditionalFormatting sqref="R9:R41">
    <cfRule type="cellIs" priority="14" operator="greaterThan" dxfId="2">
      <formula>1</formula>
    </cfRule>
  </conditionalFormatting>
  <conditionalFormatting sqref="W9:W41">
    <cfRule type="cellIs" priority="15" operator="greaterThan" dxfId="0">
      <formula>0</formula>
    </cfRule>
    <cfRule type="cellIs" priority="16" operator="lessThan" dxfId="1">
      <formula>0</formula>
    </cfRule>
  </conditionalFormatting>
  <conditionalFormatting sqref="Z9:Z41">
    <cfRule type="cellIs" priority="17" operator="greaterThan" dxfId="0">
      <formula>0</formula>
    </cfRule>
    <cfRule type="cellIs" priority="18" operator="lessThan" dxfId="1">
      <formula>0</formula>
    </cfRule>
  </conditionalFormatting>
  <conditionalFormatting sqref="X9:X41">
    <cfRule type="cellIs" priority="19" operator="greaterThan" dxfId="2">
      <formula>1</formula>
    </cfRule>
  </conditionalFormatting>
  <conditionalFormatting sqref="Y9:Y41">
    <cfRule type="cellIs" priority="20" operator="greaterThan" dxfId="2">
      <formula>1</formula>
    </cfRule>
  </conditionalFormatting>
  <conditionalFormatting sqref="AD9:AD41">
    <cfRule type="cellIs" priority="21" operator="greaterThan" dxfId="0">
      <formula>0</formula>
    </cfRule>
    <cfRule type="cellIs" priority="22" operator="lessThan" dxfId="1">
      <formula>0</formula>
    </cfRule>
  </conditionalFormatting>
  <conditionalFormatting sqref="AG9:AG41">
    <cfRule type="cellIs" priority="23" operator="greaterThan" dxfId="0">
      <formula>0</formula>
    </cfRule>
    <cfRule type="cellIs" priority="24" operator="lessThan" dxfId="1">
      <formula>0</formula>
    </cfRule>
  </conditionalFormatting>
  <conditionalFormatting sqref="AE9:AE41">
    <cfRule type="cellIs" priority="25" operator="greaterThan" dxfId="2">
      <formula>1</formula>
    </cfRule>
  </conditionalFormatting>
  <conditionalFormatting sqref="AF9:AF41">
    <cfRule type="cellIs" priority="26" operator="greaterThan" dxfId="2">
      <formula>1</formula>
    </cfRule>
  </conditionalFormatting>
  <conditionalFormatting sqref="AK9:AK41">
    <cfRule type="cellIs" priority="27" operator="greaterThan" dxfId="0">
      <formula>0</formula>
    </cfRule>
    <cfRule type="cellIs" priority="28" operator="lessThan" dxfId="1">
      <formula>0</formula>
    </cfRule>
  </conditionalFormatting>
  <conditionalFormatting sqref="AN9:AN41">
    <cfRule type="cellIs" priority="29" operator="greaterThan" dxfId="0">
      <formula>0</formula>
    </cfRule>
    <cfRule type="cellIs" priority="30" operator="lessThan" dxfId="1">
      <formula>0</formula>
    </cfRule>
  </conditionalFormatting>
  <conditionalFormatting sqref="AL9:AL41">
    <cfRule type="cellIs" priority="31" operator="greaterThan" dxfId="2">
      <formula>1</formula>
    </cfRule>
  </conditionalFormatting>
  <conditionalFormatting sqref="AM9:AM41">
    <cfRule type="cellIs" priority="32" operator="greaterThan" dxfId="2">
      <formula>1</formula>
    </cfRule>
  </conditionalFormatting>
  <conditionalFormatting sqref="AR9:AR41">
    <cfRule type="cellIs" priority="33" operator="greaterThan" dxfId="0">
      <formula>0</formula>
    </cfRule>
    <cfRule type="cellIs" priority="34" operator="lessThan" dxfId="1">
      <formula>0</formula>
    </cfRule>
  </conditionalFormatting>
  <conditionalFormatting sqref="AU9:AU41">
    <cfRule type="cellIs" priority="35" operator="greaterThan" dxfId="0">
      <formula>0</formula>
    </cfRule>
    <cfRule type="cellIs" priority="36" operator="lessThan" dxfId="1">
      <formula>0</formula>
    </cfRule>
  </conditionalFormatting>
  <conditionalFormatting sqref="AS9:AS41">
    <cfRule type="cellIs" priority="37" operator="greaterThan" dxfId="2">
      <formula>1</formula>
    </cfRule>
  </conditionalFormatting>
  <conditionalFormatting sqref="AT9:AT41">
    <cfRule type="cellIs" priority="38" operator="greaterThan" dxfId="2">
      <formula>1</formula>
    </cfRule>
  </conditionalFormatting>
  <conditionalFormatting sqref="AX9:AX41">
    <cfRule type="cellIs" priority="39" operator="greaterThan" dxfId="0">
      <formula>0</formula>
    </cfRule>
    <cfRule type="cellIs" priority="40" operator="lessThan" dxfId="1">
      <formula>0</formula>
    </cfRule>
  </conditionalFormatting>
  <conditionalFormatting sqref="AV9:AV41">
    <cfRule type="cellIs" priority="41" operator="greaterThan" dxfId="2">
      <formula>1</formula>
    </cfRule>
  </conditionalFormatting>
  <conditionalFormatting sqref="AW9:AW41">
    <cfRule type="cellIs" priority="42" operator="greaterThan" dxfId="2">
      <formula>1</formula>
    </cfRule>
  </conditionalFormatting>
  <conditionalFormatting sqref="BA9:BA41">
    <cfRule type="cellIs" priority="43" operator="greaterThan" dxfId="0">
      <formula>0</formula>
    </cfRule>
    <cfRule type="cellIs" priority="44" operator="lessThan" dxfId="1">
      <formula>0</formula>
    </cfRule>
  </conditionalFormatting>
  <conditionalFormatting sqref="AY9:AY41">
    <cfRule type="cellIs" priority="45" operator="greaterThan" dxfId="2">
      <formula>1</formula>
    </cfRule>
  </conditionalFormatting>
  <conditionalFormatting sqref="AZ9:AZ41">
    <cfRule type="cellIs" priority="46" operator="greaterThan" dxfId="2">
      <formula>1</formula>
    </cfRule>
  </conditionalFormatting>
  <conditionalFormatting sqref="BB9:BB41">
    <cfRule type="cellIs" priority="47" operator="equal" dxfId="3">
      <formula>"Partial — coverage differs"</formula>
    </cfRule>
  </conditionalFormatting>
  <dataValidations count="3">
    <dataValidation sqref="B4" showDropDown="0" showInputMessage="0" showErrorMessage="0" allowBlank="0" type="list">
      <formula1>"All landing pages,Home page,Airport page,Route page"</formula1>
    </dataValidation>
    <dataValidation sqref="B5" showDropDown="0" showInputMessage="0" showErrorMessage="0" allowBlank="0" type="list">
      <formula1>"Paid Search,Organic,Direct"</formula1>
    </dataValidation>
    <dataValidation sqref="B6" showDropDown="0" showInputMessage="0" showErrorMessage="0" allowBlank="0" type="list">
      <formula1>"Total,Mobile,Desktop"</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7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1" t="inlineStr">
        <is>
          <t>Market summary — all landing pages, Mobile + Desktop</t>
        </is>
      </c>
    </row>
    <row r="2">
      <c r="A2" s="12" t="inlineStr">
        <is>
          <t>Country × channel, one table per metric. Visible-rows coverage only; rates use matched coverage. Source: Countries tab.</t>
        </is>
      </c>
    </row>
    <row r="4">
      <c r="A4" s="39" t="inlineStr">
        <is>
          <t>Sessions</t>
        </is>
      </c>
    </row>
    <row r="5">
      <c r="A5" s="75" t="inlineStr">
        <is>
          <t>Country</t>
        </is>
      </c>
      <c r="B5" s="26" t="inlineStr">
        <is>
          <t>Paid Search</t>
        </is>
      </c>
      <c r="C5" s="15" t="n"/>
      <c r="D5" s="15" t="n"/>
      <c r="E5" s="15" t="n"/>
      <c r="F5" s="26" t="inlineStr">
        <is>
          <t>Organic</t>
        </is>
      </c>
      <c r="G5" s="15" t="n"/>
      <c r="H5" s="15" t="n"/>
      <c r="I5" s="15" t="n"/>
      <c r="J5" s="26" t="inlineStr">
        <is>
          <t>Direct</t>
        </is>
      </c>
      <c r="K5" s="15" t="n"/>
      <c r="L5" s="15" t="n"/>
      <c r="M5" s="15" t="n"/>
      <c r="N5" s="27" t="inlineStr">
        <is>
          <t>Total</t>
        </is>
      </c>
      <c r="O5" s="17" t="n"/>
      <c r="P5" s="17" t="n"/>
      <c r="Q5" s="17" t="n"/>
    </row>
    <row r="6">
      <c r="A6" s="15" t="n"/>
      <c r="B6" s="27" t="inlineStr">
        <is>
          <t>1-23Aug25</t>
        </is>
      </c>
      <c r="C6" s="27" t="inlineStr">
        <is>
          <t>1-23Aug26</t>
        </is>
      </c>
      <c r="D6" s="27" t="inlineStr">
        <is>
          <t>Δ</t>
        </is>
      </c>
      <c r="E6" s="27" t="inlineStr">
        <is>
          <t>% Δ</t>
        </is>
      </c>
      <c r="F6" s="27" t="inlineStr">
        <is>
          <t>1-23Aug25</t>
        </is>
      </c>
      <c r="G6" s="27" t="inlineStr">
        <is>
          <t>1-23Aug26</t>
        </is>
      </c>
      <c r="H6" s="27" t="inlineStr">
        <is>
          <t>Δ</t>
        </is>
      </c>
      <c r="I6" s="27" t="inlineStr">
        <is>
          <t>% Δ</t>
        </is>
      </c>
      <c r="J6" s="27" t="inlineStr">
        <is>
          <t>1-23Aug25</t>
        </is>
      </c>
      <c r="K6" s="27" t="inlineStr">
        <is>
          <t>1-23Aug26</t>
        </is>
      </c>
      <c r="L6" s="27" t="inlineStr">
        <is>
          <t>Δ</t>
        </is>
      </c>
      <c r="M6" s="27" t="inlineStr">
        <is>
          <t>% Δ</t>
        </is>
      </c>
      <c r="N6" s="27" t="inlineStr">
        <is>
          <t>1-23Aug25</t>
        </is>
      </c>
      <c r="O6" s="27" t="inlineStr">
        <is>
          <t>1-23Aug26</t>
        </is>
      </c>
      <c r="P6" s="27" t="inlineStr">
        <is>
          <t>Δ</t>
        </is>
      </c>
      <c r="Q6" s="27" t="inlineStr">
        <is>
          <t>% Δ</t>
        </is>
      </c>
    </row>
    <row r="7">
      <c r="A7" s="40" t="inlineStr">
        <is>
          <t>United Kingdom</t>
        </is>
      </c>
      <c r="B7" s="41">
        <f>IF(SUMIFS(Countries!$E$5:$E$434,Countries!$A$5:$A$434,"All landing pages",Countries!$B$5:$B$434,"Paid Search",Countries!$D$5:$D$434,$A7)=0,"",SUMIFS(Countries!$E$5:$E$434,Countries!$A$5:$A$434,"All landing pages",Countries!$B$5:$B$434,"Paid Search",Countries!$D$5:$D$434,$A7))</f>
        <v/>
      </c>
      <c r="C7" s="41">
        <f>IF(SUMIFS(Countries!$F$5:$F$434,Countries!$A$5:$A$434,"All landing pages",Countries!$B$5:$B$434,"Paid Search",Countries!$D$5:$D$434,$A7)=0,"",SUMIFS(Countries!$F$5:$F$434,Countries!$A$5:$A$434,"All landing pages",Countries!$B$5:$B$434,"Paid Search",Countries!$D$5:$D$434,$A7))</f>
        <v/>
      </c>
      <c r="D7" s="69">
        <f>IF(OR(C7="",B7="",B7=0,C7=0),"",C7-B7)</f>
        <v/>
      </c>
      <c r="E7" s="42">
        <f>IF(OR(C7="",B7="",B7=0,C7=0),"",C7/B7-1)</f>
        <v/>
      </c>
      <c r="F7" s="41">
        <f>IF(SUMIFS(Countries!$E$5:$E$434,Countries!$A$5:$A$434,"All landing pages",Countries!$B$5:$B$434,"Organic",Countries!$D$5:$D$434,$A7)=0,"",SUMIFS(Countries!$E$5:$E$434,Countries!$A$5:$A$434,"All landing pages",Countries!$B$5:$B$434,"Organic",Countries!$D$5:$D$434,$A7))</f>
        <v/>
      </c>
      <c r="G7" s="41">
        <f>IF(SUMIFS(Countries!$F$5:$F$434,Countries!$A$5:$A$434,"All landing pages",Countries!$B$5:$B$434,"Organic",Countries!$D$5:$D$434,$A7)=0,"",SUMIFS(Countries!$F$5:$F$434,Countries!$A$5:$A$434,"All landing pages",Countries!$B$5:$B$434,"Organic",Countries!$D$5:$D$434,$A7))</f>
        <v/>
      </c>
      <c r="H7" s="69">
        <f>IF(OR(G7="",F7="",F7=0,G7=0),"",G7-F7)</f>
        <v/>
      </c>
      <c r="I7" s="42">
        <f>IF(OR(G7="",F7="",F7=0,G7=0),"",G7/F7-1)</f>
        <v/>
      </c>
      <c r="J7" s="41">
        <f>IF(SUMIFS(Countries!$E$5:$E$434,Countries!$A$5:$A$434,"All landing pages",Countries!$B$5:$B$434,"Direct",Countries!$D$5:$D$434,$A7)=0,"",SUMIFS(Countries!$E$5:$E$434,Countries!$A$5:$A$434,"All landing pages",Countries!$B$5:$B$434,"Direct",Countries!$D$5:$D$434,$A7))</f>
        <v/>
      </c>
      <c r="K7" s="41">
        <f>IF(SUMIFS(Countries!$F$5:$F$434,Countries!$A$5:$A$434,"All landing pages",Countries!$B$5:$B$434,"Direct",Countries!$D$5:$D$434,$A7)=0,"",SUMIFS(Countries!$F$5:$F$434,Countries!$A$5:$A$434,"All landing pages",Countries!$B$5:$B$434,"Direct",Countries!$D$5:$D$434,$A7))</f>
        <v/>
      </c>
      <c r="L7" s="69">
        <f>IF(OR(K7="",J7="",J7=0,K7=0),"",K7-J7)</f>
        <v/>
      </c>
      <c r="M7" s="42">
        <f>IF(OR(K7="",J7="",J7=0,K7=0),"",K7/J7-1)</f>
        <v/>
      </c>
      <c r="N7" s="41">
        <f>IF(SUM(B7,F7,J7)=0,"",SUM(B7,F7,J7))</f>
        <v/>
      </c>
      <c r="O7" s="41">
        <f>IF(SUM(C7,G7,K7)=0,"",SUM(C7,G7,K7))</f>
        <v/>
      </c>
      <c r="P7" s="69">
        <f>IF(OR(O7="",N7="",N7=0,O7=0),"",O7-N7)</f>
        <v/>
      </c>
      <c r="Q7" s="42">
        <f>IF(OR(O7="",N7="",N7=0,O7=0),"",O7/N7-1)</f>
        <v/>
      </c>
    </row>
    <row r="8">
      <c r="A8" s="56" t="inlineStr">
        <is>
          <t>Germany</t>
        </is>
      </c>
      <c r="B8" s="41">
        <f>IF(SUMIFS(Countries!$E$5:$E$434,Countries!$A$5:$A$434,"All landing pages",Countries!$B$5:$B$434,"Paid Search",Countries!$D$5:$D$434,$A8)=0,"",SUMIFS(Countries!$E$5:$E$434,Countries!$A$5:$A$434,"All landing pages",Countries!$B$5:$B$434,"Paid Search",Countries!$D$5:$D$434,$A8))</f>
        <v/>
      </c>
      <c r="C8" s="41">
        <f>IF(SUMIFS(Countries!$F$5:$F$434,Countries!$A$5:$A$434,"All landing pages",Countries!$B$5:$B$434,"Paid Search",Countries!$D$5:$D$434,$A8)=0,"",SUMIFS(Countries!$F$5:$F$434,Countries!$A$5:$A$434,"All landing pages",Countries!$B$5:$B$434,"Paid Search",Countries!$D$5:$D$434,$A8))</f>
        <v/>
      </c>
      <c r="D8" s="69">
        <f>IF(OR(C8="",B8="",B8=0,C8=0),"",C8-B8)</f>
        <v/>
      </c>
      <c r="E8" s="42">
        <f>IF(OR(C8="",B8="",B8=0,C8=0),"",C8/B8-1)</f>
        <v/>
      </c>
      <c r="F8" s="41">
        <f>IF(SUMIFS(Countries!$E$5:$E$434,Countries!$A$5:$A$434,"All landing pages",Countries!$B$5:$B$434,"Organic",Countries!$D$5:$D$434,$A8)=0,"",SUMIFS(Countries!$E$5:$E$434,Countries!$A$5:$A$434,"All landing pages",Countries!$B$5:$B$434,"Organic",Countries!$D$5:$D$434,$A8))</f>
        <v/>
      </c>
      <c r="G8" s="41">
        <f>IF(SUMIFS(Countries!$F$5:$F$434,Countries!$A$5:$A$434,"All landing pages",Countries!$B$5:$B$434,"Organic",Countries!$D$5:$D$434,$A8)=0,"",SUMIFS(Countries!$F$5:$F$434,Countries!$A$5:$A$434,"All landing pages",Countries!$B$5:$B$434,"Organic",Countries!$D$5:$D$434,$A8))</f>
        <v/>
      </c>
      <c r="H8" s="69">
        <f>IF(OR(G8="",F8="",F8=0,G8=0),"",G8-F8)</f>
        <v/>
      </c>
      <c r="I8" s="42">
        <f>IF(OR(G8="",F8="",F8=0,G8=0),"",G8/F8-1)</f>
        <v/>
      </c>
      <c r="J8" s="41">
        <f>IF(SUMIFS(Countries!$E$5:$E$434,Countries!$A$5:$A$434,"All landing pages",Countries!$B$5:$B$434,"Direct",Countries!$D$5:$D$434,$A8)=0,"",SUMIFS(Countries!$E$5:$E$434,Countries!$A$5:$A$434,"All landing pages",Countries!$B$5:$B$434,"Direct",Countries!$D$5:$D$434,$A8))</f>
        <v/>
      </c>
      <c r="K8" s="41">
        <f>IF(SUMIFS(Countries!$F$5:$F$434,Countries!$A$5:$A$434,"All landing pages",Countries!$B$5:$B$434,"Direct",Countries!$D$5:$D$434,$A8)=0,"",SUMIFS(Countries!$F$5:$F$434,Countries!$A$5:$A$434,"All landing pages",Countries!$B$5:$B$434,"Direct",Countries!$D$5:$D$434,$A8))</f>
        <v/>
      </c>
      <c r="L8" s="69">
        <f>IF(OR(K8="",J8="",J8=0,K8=0),"",K8-J8)</f>
        <v/>
      </c>
      <c r="M8" s="42">
        <f>IF(OR(K8="",J8="",J8=0,K8=0),"",K8/J8-1)</f>
        <v/>
      </c>
      <c r="N8" s="41">
        <f>IF(SUM(B8,F8,J8)=0,"",SUM(B8,F8,J8))</f>
        <v/>
      </c>
      <c r="O8" s="41">
        <f>IF(SUM(C8,G8,K8)=0,"",SUM(C8,G8,K8))</f>
        <v/>
      </c>
      <c r="P8" s="69">
        <f>IF(OR(O8="",N8="",N8=0,O8=0),"",O8-N8)</f>
        <v/>
      </c>
      <c r="Q8" s="42">
        <f>IF(OR(O8="",N8="",N8=0,O8=0),"",O8/N8-1)</f>
        <v/>
      </c>
    </row>
    <row r="9">
      <c r="A9" s="40" t="inlineStr">
        <is>
          <t>Italy</t>
        </is>
      </c>
      <c r="B9" s="41">
        <f>IF(SUMIFS(Countries!$E$5:$E$434,Countries!$A$5:$A$434,"All landing pages",Countries!$B$5:$B$434,"Paid Search",Countries!$D$5:$D$434,$A9)=0,"",SUMIFS(Countries!$E$5:$E$434,Countries!$A$5:$A$434,"All landing pages",Countries!$B$5:$B$434,"Paid Search",Countries!$D$5:$D$434,$A9))</f>
        <v/>
      </c>
      <c r="C9" s="41">
        <f>IF(SUMIFS(Countries!$F$5:$F$434,Countries!$A$5:$A$434,"All landing pages",Countries!$B$5:$B$434,"Paid Search",Countries!$D$5:$D$434,$A9)=0,"",SUMIFS(Countries!$F$5:$F$434,Countries!$A$5:$A$434,"All landing pages",Countries!$B$5:$B$434,"Paid Search",Countries!$D$5:$D$434,$A9))</f>
        <v/>
      </c>
      <c r="D9" s="69">
        <f>IF(OR(C9="",B9="",B9=0,C9=0),"",C9-B9)</f>
        <v/>
      </c>
      <c r="E9" s="42">
        <f>IF(OR(C9="",B9="",B9=0,C9=0),"",C9/B9-1)</f>
        <v/>
      </c>
      <c r="F9" s="41">
        <f>IF(SUMIFS(Countries!$E$5:$E$434,Countries!$A$5:$A$434,"All landing pages",Countries!$B$5:$B$434,"Organic",Countries!$D$5:$D$434,$A9)=0,"",SUMIFS(Countries!$E$5:$E$434,Countries!$A$5:$A$434,"All landing pages",Countries!$B$5:$B$434,"Organic",Countries!$D$5:$D$434,$A9))</f>
        <v/>
      </c>
      <c r="G9" s="41">
        <f>IF(SUMIFS(Countries!$F$5:$F$434,Countries!$A$5:$A$434,"All landing pages",Countries!$B$5:$B$434,"Organic",Countries!$D$5:$D$434,$A9)=0,"",SUMIFS(Countries!$F$5:$F$434,Countries!$A$5:$A$434,"All landing pages",Countries!$B$5:$B$434,"Organic",Countries!$D$5:$D$434,$A9))</f>
        <v/>
      </c>
      <c r="H9" s="69">
        <f>IF(OR(G9="",F9="",F9=0,G9=0),"",G9-F9)</f>
        <v/>
      </c>
      <c r="I9" s="42">
        <f>IF(OR(G9="",F9="",F9=0,G9=0),"",G9/F9-1)</f>
        <v/>
      </c>
      <c r="J9" s="41">
        <f>IF(SUMIFS(Countries!$E$5:$E$434,Countries!$A$5:$A$434,"All landing pages",Countries!$B$5:$B$434,"Direct",Countries!$D$5:$D$434,$A9)=0,"",SUMIFS(Countries!$E$5:$E$434,Countries!$A$5:$A$434,"All landing pages",Countries!$B$5:$B$434,"Direct",Countries!$D$5:$D$434,$A9))</f>
        <v/>
      </c>
      <c r="K9" s="41">
        <f>IF(SUMIFS(Countries!$F$5:$F$434,Countries!$A$5:$A$434,"All landing pages",Countries!$B$5:$B$434,"Direct",Countries!$D$5:$D$434,$A9)=0,"",SUMIFS(Countries!$F$5:$F$434,Countries!$A$5:$A$434,"All landing pages",Countries!$B$5:$B$434,"Direct",Countries!$D$5:$D$434,$A9))</f>
        <v/>
      </c>
      <c r="L9" s="69">
        <f>IF(OR(K9="",J9="",J9=0,K9=0),"",K9-J9)</f>
        <v/>
      </c>
      <c r="M9" s="42">
        <f>IF(OR(K9="",J9="",J9=0,K9=0),"",K9/J9-1)</f>
        <v/>
      </c>
      <c r="N9" s="41">
        <f>IF(SUM(B9,F9,J9)=0,"",SUM(B9,F9,J9))</f>
        <v/>
      </c>
      <c r="O9" s="41">
        <f>IF(SUM(C9,G9,K9)=0,"",SUM(C9,G9,K9))</f>
        <v/>
      </c>
      <c r="P9" s="69">
        <f>IF(OR(O9="",N9="",N9=0,O9=0),"",O9-N9)</f>
        <v/>
      </c>
      <c r="Q9" s="42">
        <f>IF(OR(O9="",N9="",N9=0,O9=0),"",O9/N9-1)</f>
        <v/>
      </c>
    </row>
    <row r="10">
      <c r="A10" s="56" t="inlineStr">
        <is>
          <t>Spain</t>
        </is>
      </c>
      <c r="B10" s="41">
        <f>IF(SUMIFS(Countries!$E$5:$E$434,Countries!$A$5:$A$434,"All landing pages",Countries!$B$5:$B$434,"Paid Search",Countries!$D$5:$D$434,$A10)=0,"",SUMIFS(Countries!$E$5:$E$434,Countries!$A$5:$A$434,"All landing pages",Countries!$B$5:$B$434,"Paid Search",Countries!$D$5:$D$434,$A10))</f>
        <v/>
      </c>
      <c r="C10" s="41">
        <f>IF(SUMIFS(Countries!$F$5:$F$434,Countries!$A$5:$A$434,"All landing pages",Countries!$B$5:$B$434,"Paid Search",Countries!$D$5:$D$434,$A10)=0,"",SUMIFS(Countries!$F$5:$F$434,Countries!$A$5:$A$434,"All landing pages",Countries!$B$5:$B$434,"Paid Search",Countries!$D$5:$D$434,$A10))</f>
        <v/>
      </c>
      <c r="D10" s="69">
        <f>IF(OR(C10="",B10="",B10=0,C10=0),"",C10-B10)</f>
        <v/>
      </c>
      <c r="E10" s="42">
        <f>IF(OR(C10="",B10="",B10=0,C10=0),"",C10/B10-1)</f>
        <v/>
      </c>
      <c r="F10" s="41">
        <f>IF(SUMIFS(Countries!$E$5:$E$434,Countries!$A$5:$A$434,"All landing pages",Countries!$B$5:$B$434,"Organic",Countries!$D$5:$D$434,$A10)=0,"",SUMIFS(Countries!$E$5:$E$434,Countries!$A$5:$A$434,"All landing pages",Countries!$B$5:$B$434,"Organic",Countries!$D$5:$D$434,$A10))</f>
        <v/>
      </c>
      <c r="G10" s="41">
        <f>IF(SUMIFS(Countries!$F$5:$F$434,Countries!$A$5:$A$434,"All landing pages",Countries!$B$5:$B$434,"Organic",Countries!$D$5:$D$434,$A10)=0,"",SUMIFS(Countries!$F$5:$F$434,Countries!$A$5:$A$434,"All landing pages",Countries!$B$5:$B$434,"Organic",Countries!$D$5:$D$434,$A10))</f>
        <v/>
      </c>
      <c r="H10" s="69">
        <f>IF(OR(G10="",F10="",F10=0,G10=0),"",G10-F10)</f>
        <v/>
      </c>
      <c r="I10" s="42">
        <f>IF(OR(G10="",F10="",F10=0,G10=0),"",G10/F10-1)</f>
        <v/>
      </c>
      <c r="J10" s="41">
        <f>IF(SUMIFS(Countries!$E$5:$E$434,Countries!$A$5:$A$434,"All landing pages",Countries!$B$5:$B$434,"Direct",Countries!$D$5:$D$434,$A10)=0,"",SUMIFS(Countries!$E$5:$E$434,Countries!$A$5:$A$434,"All landing pages",Countries!$B$5:$B$434,"Direct",Countries!$D$5:$D$434,$A10))</f>
        <v/>
      </c>
      <c r="K10" s="41">
        <f>IF(SUMIFS(Countries!$F$5:$F$434,Countries!$A$5:$A$434,"All landing pages",Countries!$B$5:$B$434,"Direct",Countries!$D$5:$D$434,$A10)=0,"",SUMIFS(Countries!$F$5:$F$434,Countries!$A$5:$A$434,"All landing pages",Countries!$B$5:$B$434,"Direct",Countries!$D$5:$D$434,$A10))</f>
        <v/>
      </c>
      <c r="L10" s="69">
        <f>IF(OR(K10="",J10="",J10=0,K10=0),"",K10-J10)</f>
        <v/>
      </c>
      <c r="M10" s="42">
        <f>IF(OR(K10="",J10="",J10=0,K10=0),"",K10/J10-1)</f>
        <v/>
      </c>
      <c r="N10" s="41">
        <f>IF(SUM(B10,F10,J10)=0,"",SUM(B10,F10,J10))</f>
        <v/>
      </c>
      <c r="O10" s="41">
        <f>IF(SUM(C10,G10,K10)=0,"",SUM(C10,G10,K10))</f>
        <v/>
      </c>
      <c r="P10" s="69">
        <f>IF(OR(O10="",N10="",N10=0,O10=0),"",O10-N10)</f>
        <v/>
      </c>
      <c r="Q10" s="42">
        <f>IF(OR(O10="",N10="",N10=0,O10=0),"",O10/N10-1)</f>
        <v/>
      </c>
    </row>
    <row r="11">
      <c r="A11" s="40" t="inlineStr">
        <is>
          <t>Ireland</t>
        </is>
      </c>
      <c r="B11" s="41">
        <f>IF(SUMIFS(Countries!$E$5:$E$434,Countries!$A$5:$A$434,"All landing pages",Countries!$B$5:$B$434,"Paid Search",Countries!$D$5:$D$434,$A11)=0,"",SUMIFS(Countries!$E$5:$E$434,Countries!$A$5:$A$434,"All landing pages",Countries!$B$5:$B$434,"Paid Search",Countries!$D$5:$D$434,$A11))</f>
        <v/>
      </c>
      <c r="C11" s="41">
        <f>IF(SUMIFS(Countries!$F$5:$F$434,Countries!$A$5:$A$434,"All landing pages",Countries!$B$5:$B$434,"Paid Search",Countries!$D$5:$D$434,$A11)=0,"",SUMIFS(Countries!$F$5:$F$434,Countries!$A$5:$A$434,"All landing pages",Countries!$B$5:$B$434,"Paid Search",Countries!$D$5:$D$434,$A11))</f>
        <v/>
      </c>
      <c r="D11" s="69">
        <f>IF(OR(C11="",B11="",B11=0,C11=0),"",C11-B11)</f>
        <v/>
      </c>
      <c r="E11" s="42">
        <f>IF(OR(C11="",B11="",B11=0,C11=0),"",C11/B11-1)</f>
        <v/>
      </c>
      <c r="F11" s="41">
        <f>IF(SUMIFS(Countries!$E$5:$E$434,Countries!$A$5:$A$434,"All landing pages",Countries!$B$5:$B$434,"Organic",Countries!$D$5:$D$434,$A11)=0,"",SUMIFS(Countries!$E$5:$E$434,Countries!$A$5:$A$434,"All landing pages",Countries!$B$5:$B$434,"Organic",Countries!$D$5:$D$434,$A11))</f>
        <v/>
      </c>
      <c r="G11" s="41">
        <f>IF(SUMIFS(Countries!$F$5:$F$434,Countries!$A$5:$A$434,"All landing pages",Countries!$B$5:$B$434,"Organic",Countries!$D$5:$D$434,$A11)=0,"",SUMIFS(Countries!$F$5:$F$434,Countries!$A$5:$A$434,"All landing pages",Countries!$B$5:$B$434,"Organic",Countries!$D$5:$D$434,$A11))</f>
        <v/>
      </c>
      <c r="H11" s="69">
        <f>IF(OR(G11="",F11="",F11=0,G11=0),"",G11-F11)</f>
        <v/>
      </c>
      <c r="I11" s="42">
        <f>IF(OR(G11="",F11="",F11=0,G11=0),"",G11/F11-1)</f>
        <v/>
      </c>
      <c r="J11" s="41">
        <f>IF(SUMIFS(Countries!$E$5:$E$434,Countries!$A$5:$A$434,"All landing pages",Countries!$B$5:$B$434,"Direct",Countries!$D$5:$D$434,$A11)=0,"",SUMIFS(Countries!$E$5:$E$434,Countries!$A$5:$A$434,"All landing pages",Countries!$B$5:$B$434,"Direct",Countries!$D$5:$D$434,$A11))</f>
        <v/>
      </c>
      <c r="K11" s="41">
        <f>IF(SUMIFS(Countries!$F$5:$F$434,Countries!$A$5:$A$434,"All landing pages",Countries!$B$5:$B$434,"Direct",Countries!$D$5:$D$434,$A11)=0,"",SUMIFS(Countries!$F$5:$F$434,Countries!$A$5:$A$434,"All landing pages",Countries!$B$5:$B$434,"Direct",Countries!$D$5:$D$434,$A11))</f>
        <v/>
      </c>
      <c r="L11" s="69">
        <f>IF(OR(K11="",J11="",J11=0,K11=0),"",K11-J11)</f>
        <v/>
      </c>
      <c r="M11" s="42">
        <f>IF(OR(K11="",J11="",J11=0,K11=0),"",K11/J11-1)</f>
        <v/>
      </c>
      <c r="N11" s="41">
        <f>IF(SUM(B11,F11,J11)=0,"",SUM(B11,F11,J11))</f>
        <v/>
      </c>
      <c r="O11" s="41">
        <f>IF(SUM(C11,G11,K11)=0,"",SUM(C11,G11,K11))</f>
        <v/>
      </c>
      <c r="P11" s="69">
        <f>IF(OR(O11="",N11="",N11=0,O11=0),"",O11-N11)</f>
        <v/>
      </c>
      <c r="Q11" s="42">
        <f>IF(OR(O11="",N11="",N11=0,O11=0),"",O11/N11-1)</f>
        <v/>
      </c>
    </row>
    <row r="12">
      <c r="A12" s="56" t="inlineStr">
        <is>
          <t>Netherlands</t>
        </is>
      </c>
      <c r="B12" s="41">
        <f>IF(SUMIFS(Countries!$E$5:$E$434,Countries!$A$5:$A$434,"All landing pages",Countries!$B$5:$B$434,"Paid Search",Countries!$D$5:$D$434,$A12)=0,"",SUMIFS(Countries!$E$5:$E$434,Countries!$A$5:$A$434,"All landing pages",Countries!$B$5:$B$434,"Paid Search",Countries!$D$5:$D$434,$A12))</f>
        <v/>
      </c>
      <c r="C12" s="41">
        <f>IF(SUMIFS(Countries!$F$5:$F$434,Countries!$A$5:$A$434,"All landing pages",Countries!$B$5:$B$434,"Paid Search",Countries!$D$5:$D$434,$A12)=0,"",SUMIFS(Countries!$F$5:$F$434,Countries!$A$5:$A$434,"All landing pages",Countries!$B$5:$B$434,"Paid Search",Countries!$D$5:$D$434,$A12))</f>
        <v/>
      </c>
      <c r="D12" s="69">
        <f>IF(OR(C12="",B12="",B12=0,C12=0),"",C12-B12)</f>
        <v/>
      </c>
      <c r="E12" s="42">
        <f>IF(OR(C12="",B12="",B12=0,C12=0),"",C12/B12-1)</f>
        <v/>
      </c>
      <c r="F12" s="41">
        <f>IF(SUMIFS(Countries!$E$5:$E$434,Countries!$A$5:$A$434,"All landing pages",Countries!$B$5:$B$434,"Organic",Countries!$D$5:$D$434,$A12)=0,"",SUMIFS(Countries!$E$5:$E$434,Countries!$A$5:$A$434,"All landing pages",Countries!$B$5:$B$434,"Organic",Countries!$D$5:$D$434,$A12))</f>
        <v/>
      </c>
      <c r="G12" s="41">
        <f>IF(SUMIFS(Countries!$F$5:$F$434,Countries!$A$5:$A$434,"All landing pages",Countries!$B$5:$B$434,"Organic",Countries!$D$5:$D$434,$A12)=0,"",SUMIFS(Countries!$F$5:$F$434,Countries!$A$5:$A$434,"All landing pages",Countries!$B$5:$B$434,"Organic",Countries!$D$5:$D$434,$A12))</f>
        <v/>
      </c>
      <c r="H12" s="69">
        <f>IF(OR(G12="",F12="",F12=0,G12=0),"",G12-F12)</f>
        <v/>
      </c>
      <c r="I12" s="42">
        <f>IF(OR(G12="",F12="",F12=0,G12=0),"",G12/F12-1)</f>
        <v/>
      </c>
      <c r="J12" s="41">
        <f>IF(SUMIFS(Countries!$E$5:$E$434,Countries!$A$5:$A$434,"All landing pages",Countries!$B$5:$B$434,"Direct",Countries!$D$5:$D$434,$A12)=0,"",SUMIFS(Countries!$E$5:$E$434,Countries!$A$5:$A$434,"All landing pages",Countries!$B$5:$B$434,"Direct",Countries!$D$5:$D$434,$A12))</f>
        <v/>
      </c>
      <c r="K12" s="41">
        <f>IF(SUMIFS(Countries!$F$5:$F$434,Countries!$A$5:$A$434,"All landing pages",Countries!$B$5:$B$434,"Direct",Countries!$D$5:$D$434,$A12)=0,"",SUMIFS(Countries!$F$5:$F$434,Countries!$A$5:$A$434,"All landing pages",Countries!$B$5:$B$434,"Direct",Countries!$D$5:$D$434,$A12))</f>
        <v/>
      </c>
      <c r="L12" s="69">
        <f>IF(OR(K12="",J12="",J12=0,K12=0),"",K12-J12)</f>
        <v/>
      </c>
      <c r="M12" s="42">
        <f>IF(OR(K12="",J12="",J12=0,K12=0),"",K12/J12-1)</f>
        <v/>
      </c>
      <c r="N12" s="41">
        <f>IF(SUM(B12,F12,J12)=0,"",SUM(B12,F12,J12))</f>
        <v/>
      </c>
      <c r="O12" s="41">
        <f>IF(SUM(C12,G12,K12)=0,"",SUM(C12,G12,K12))</f>
        <v/>
      </c>
      <c r="P12" s="69">
        <f>IF(OR(O12="",N12="",N12=0,O12=0),"",O12-N12)</f>
        <v/>
      </c>
      <c r="Q12" s="42">
        <f>IF(OR(O12="",N12="",N12=0,O12=0),"",O12/N12-1)</f>
        <v/>
      </c>
    </row>
    <row r="13">
      <c r="A13" s="40" t="inlineStr">
        <is>
          <t>France</t>
        </is>
      </c>
      <c r="B13" s="41">
        <f>IF(SUMIFS(Countries!$E$5:$E$434,Countries!$A$5:$A$434,"All landing pages",Countries!$B$5:$B$434,"Paid Search",Countries!$D$5:$D$434,$A13)=0,"",SUMIFS(Countries!$E$5:$E$434,Countries!$A$5:$A$434,"All landing pages",Countries!$B$5:$B$434,"Paid Search",Countries!$D$5:$D$434,$A13))</f>
        <v/>
      </c>
      <c r="C13" s="41">
        <f>IF(SUMIFS(Countries!$F$5:$F$434,Countries!$A$5:$A$434,"All landing pages",Countries!$B$5:$B$434,"Paid Search",Countries!$D$5:$D$434,$A13)=0,"",SUMIFS(Countries!$F$5:$F$434,Countries!$A$5:$A$434,"All landing pages",Countries!$B$5:$B$434,"Paid Search",Countries!$D$5:$D$434,$A13))</f>
        <v/>
      </c>
      <c r="D13" s="69">
        <f>IF(OR(C13="",B13="",B13=0,C13=0),"",C13-B13)</f>
        <v/>
      </c>
      <c r="E13" s="42">
        <f>IF(OR(C13="",B13="",B13=0,C13=0),"",C13/B13-1)</f>
        <v/>
      </c>
      <c r="F13" s="41">
        <f>IF(SUMIFS(Countries!$E$5:$E$434,Countries!$A$5:$A$434,"All landing pages",Countries!$B$5:$B$434,"Organic",Countries!$D$5:$D$434,$A13)=0,"",SUMIFS(Countries!$E$5:$E$434,Countries!$A$5:$A$434,"All landing pages",Countries!$B$5:$B$434,"Organic",Countries!$D$5:$D$434,$A13))</f>
        <v/>
      </c>
      <c r="G13" s="41">
        <f>IF(SUMIFS(Countries!$F$5:$F$434,Countries!$A$5:$A$434,"All landing pages",Countries!$B$5:$B$434,"Organic",Countries!$D$5:$D$434,$A13)=0,"",SUMIFS(Countries!$F$5:$F$434,Countries!$A$5:$A$434,"All landing pages",Countries!$B$5:$B$434,"Organic",Countries!$D$5:$D$434,$A13))</f>
        <v/>
      </c>
      <c r="H13" s="69">
        <f>IF(OR(G13="",F13="",F13=0,G13=0),"",G13-F13)</f>
        <v/>
      </c>
      <c r="I13" s="42">
        <f>IF(OR(G13="",F13="",F13=0,G13=0),"",G13/F13-1)</f>
        <v/>
      </c>
      <c r="J13" s="41">
        <f>IF(SUMIFS(Countries!$E$5:$E$434,Countries!$A$5:$A$434,"All landing pages",Countries!$B$5:$B$434,"Direct",Countries!$D$5:$D$434,$A13)=0,"",SUMIFS(Countries!$E$5:$E$434,Countries!$A$5:$A$434,"All landing pages",Countries!$B$5:$B$434,"Direct",Countries!$D$5:$D$434,$A13))</f>
        <v/>
      </c>
      <c r="K13" s="41">
        <f>IF(SUMIFS(Countries!$F$5:$F$434,Countries!$A$5:$A$434,"All landing pages",Countries!$B$5:$B$434,"Direct",Countries!$D$5:$D$434,$A13)=0,"",SUMIFS(Countries!$F$5:$F$434,Countries!$A$5:$A$434,"All landing pages",Countries!$B$5:$B$434,"Direct",Countries!$D$5:$D$434,$A13))</f>
        <v/>
      </c>
      <c r="L13" s="69">
        <f>IF(OR(K13="",J13="",J13=0,K13=0),"",K13-J13)</f>
        <v/>
      </c>
      <c r="M13" s="42">
        <f>IF(OR(K13="",J13="",J13=0,K13=0),"",K13/J13-1)</f>
        <v/>
      </c>
      <c r="N13" s="41">
        <f>IF(SUM(B13,F13,J13)=0,"",SUM(B13,F13,J13))</f>
        <v/>
      </c>
      <c r="O13" s="41">
        <f>IF(SUM(C13,G13,K13)=0,"",SUM(C13,G13,K13))</f>
        <v/>
      </c>
      <c r="P13" s="69">
        <f>IF(OR(O13="",N13="",N13=0,O13=0),"",O13-N13)</f>
        <v/>
      </c>
      <c r="Q13" s="42">
        <f>IF(OR(O13="",N13="",N13=0,O13=0),"",O13/N13-1)</f>
        <v/>
      </c>
    </row>
    <row r="14">
      <c r="A14" s="56" t="inlineStr">
        <is>
          <t>Poland</t>
        </is>
      </c>
      <c r="B14" s="41">
        <f>IF(SUMIFS(Countries!$E$5:$E$434,Countries!$A$5:$A$434,"All landing pages",Countries!$B$5:$B$434,"Paid Search",Countries!$D$5:$D$434,$A14)=0,"",SUMIFS(Countries!$E$5:$E$434,Countries!$A$5:$A$434,"All landing pages",Countries!$B$5:$B$434,"Paid Search",Countries!$D$5:$D$434,$A14))</f>
        <v/>
      </c>
      <c r="C14" s="41">
        <f>IF(SUMIFS(Countries!$F$5:$F$434,Countries!$A$5:$A$434,"All landing pages",Countries!$B$5:$B$434,"Paid Search",Countries!$D$5:$D$434,$A14)=0,"",SUMIFS(Countries!$F$5:$F$434,Countries!$A$5:$A$434,"All landing pages",Countries!$B$5:$B$434,"Paid Search",Countries!$D$5:$D$434,$A14))</f>
        <v/>
      </c>
      <c r="D14" s="69">
        <f>IF(OR(C14="",B14="",B14=0,C14=0),"",C14-B14)</f>
        <v/>
      </c>
      <c r="E14" s="42">
        <f>IF(OR(C14="",B14="",B14=0,C14=0),"",C14/B14-1)</f>
        <v/>
      </c>
      <c r="F14" s="41">
        <f>IF(SUMIFS(Countries!$E$5:$E$434,Countries!$A$5:$A$434,"All landing pages",Countries!$B$5:$B$434,"Organic",Countries!$D$5:$D$434,$A14)=0,"",SUMIFS(Countries!$E$5:$E$434,Countries!$A$5:$A$434,"All landing pages",Countries!$B$5:$B$434,"Organic",Countries!$D$5:$D$434,$A14))</f>
        <v/>
      </c>
      <c r="G14" s="41">
        <f>IF(SUMIFS(Countries!$F$5:$F$434,Countries!$A$5:$A$434,"All landing pages",Countries!$B$5:$B$434,"Organic",Countries!$D$5:$D$434,$A14)=0,"",SUMIFS(Countries!$F$5:$F$434,Countries!$A$5:$A$434,"All landing pages",Countries!$B$5:$B$434,"Organic",Countries!$D$5:$D$434,$A14))</f>
        <v/>
      </c>
      <c r="H14" s="69">
        <f>IF(OR(G14="",F14="",F14=0,G14=0),"",G14-F14)</f>
        <v/>
      </c>
      <c r="I14" s="42">
        <f>IF(OR(G14="",F14="",F14=0,G14=0),"",G14/F14-1)</f>
        <v/>
      </c>
      <c r="J14" s="41">
        <f>IF(SUMIFS(Countries!$E$5:$E$434,Countries!$A$5:$A$434,"All landing pages",Countries!$B$5:$B$434,"Direct",Countries!$D$5:$D$434,$A14)=0,"",SUMIFS(Countries!$E$5:$E$434,Countries!$A$5:$A$434,"All landing pages",Countries!$B$5:$B$434,"Direct",Countries!$D$5:$D$434,$A14))</f>
        <v/>
      </c>
      <c r="K14" s="41">
        <f>IF(SUMIFS(Countries!$F$5:$F$434,Countries!$A$5:$A$434,"All landing pages",Countries!$B$5:$B$434,"Direct",Countries!$D$5:$D$434,$A14)=0,"",SUMIFS(Countries!$F$5:$F$434,Countries!$A$5:$A$434,"All landing pages",Countries!$B$5:$B$434,"Direct",Countries!$D$5:$D$434,$A14))</f>
        <v/>
      </c>
      <c r="L14" s="69">
        <f>IF(OR(K14="",J14="",J14=0,K14=0),"",K14-J14)</f>
        <v/>
      </c>
      <c r="M14" s="42">
        <f>IF(OR(K14="",J14="",J14=0,K14=0),"",K14/J14-1)</f>
        <v/>
      </c>
      <c r="N14" s="41">
        <f>IF(SUM(B14,F14,J14)=0,"",SUM(B14,F14,J14))</f>
        <v/>
      </c>
      <c r="O14" s="41">
        <f>IF(SUM(C14,G14,K14)=0,"",SUM(C14,G14,K14))</f>
        <v/>
      </c>
      <c r="P14" s="69">
        <f>IF(OR(O14="",N14="",N14=0,O14=0),"",O14-N14)</f>
        <v/>
      </c>
      <c r="Q14" s="42">
        <f>IF(OR(O14="",N14="",N14=0,O14=0),"",O14/N14-1)</f>
        <v/>
      </c>
    </row>
    <row r="15">
      <c r="A15" s="40" t="inlineStr">
        <is>
          <t>United States</t>
        </is>
      </c>
      <c r="B15" s="41">
        <f>IF(SUMIFS(Countries!$E$5:$E$434,Countries!$A$5:$A$434,"All landing pages",Countries!$B$5:$B$434,"Paid Search",Countries!$D$5:$D$434,$A15)=0,"",SUMIFS(Countries!$E$5:$E$434,Countries!$A$5:$A$434,"All landing pages",Countries!$B$5:$B$434,"Paid Search",Countries!$D$5:$D$434,$A15))</f>
        <v/>
      </c>
      <c r="C15" s="41">
        <f>IF(SUMIFS(Countries!$F$5:$F$434,Countries!$A$5:$A$434,"All landing pages",Countries!$B$5:$B$434,"Paid Search",Countries!$D$5:$D$434,$A15)=0,"",SUMIFS(Countries!$F$5:$F$434,Countries!$A$5:$A$434,"All landing pages",Countries!$B$5:$B$434,"Paid Search",Countries!$D$5:$D$434,$A15))</f>
        <v/>
      </c>
      <c r="D15" s="69">
        <f>IF(OR(C15="",B15="",B15=0,C15=0),"",C15-B15)</f>
        <v/>
      </c>
      <c r="E15" s="42">
        <f>IF(OR(C15="",B15="",B15=0,C15=0),"",C15/B15-1)</f>
        <v/>
      </c>
      <c r="F15" s="41">
        <f>IF(SUMIFS(Countries!$E$5:$E$434,Countries!$A$5:$A$434,"All landing pages",Countries!$B$5:$B$434,"Organic",Countries!$D$5:$D$434,$A15)=0,"",SUMIFS(Countries!$E$5:$E$434,Countries!$A$5:$A$434,"All landing pages",Countries!$B$5:$B$434,"Organic",Countries!$D$5:$D$434,$A15))</f>
        <v/>
      </c>
      <c r="G15" s="41">
        <f>IF(SUMIFS(Countries!$F$5:$F$434,Countries!$A$5:$A$434,"All landing pages",Countries!$B$5:$B$434,"Organic",Countries!$D$5:$D$434,$A15)=0,"",SUMIFS(Countries!$F$5:$F$434,Countries!$A$5:$A$434,"All landing pages",Countries!$B$5:$B$434,"Organic",Countries!$D$5:$D$434,$A15))</f>
        <v/>
      </c>
      <c r="H15" s="69">
        <f>IF(OR(G15="",F15="",F15=0,G15=0),"",G15-F15)</f>
        <v/>
      </c>
      <c r="I15" s="42">
        <f>IF(OR(G15="",F15="",F15=0,G15=0),"",G15/F15-1)</f>
        <v/>
      </c>
      <c r="J15" s="41">
        <f>IF(SUMIFS(Countries!$E$5:$E$434,Countries!$A$5:$A$434,"All landing pages",Countries!$B$5:$B$434,"Direct",Countries!$D$5:$D$434,$A15)=0,"",SUMIFS(Countries!$E$5:$E$434,Countries!$A$5:$A$434,"All landing pages",Countries!$B$5:$B$434,"Direct",Countries!$D$5:$D$434,$A15))</f>
        <v/>
      </c>
      <c r="K15" s="41">
        <f>IF(SUMIFS(Countries!$F$5:$F$434,Countries!$A$5:$A$434,"All landing pages",Countries!$B$5:$B$434,"Direct",Countries!$D$5:$D$434,$A15)=0,"",SUMIFS(Countries!$F$5:$F$434,Countries!$A$5:$A$434,"All landing pages",Countries!$B$5:$B$434,"Direct",Countries!$D$5:$D$434,$A15))</f>
        <v/>
      </c>
      <c r="L15" s="69">
        <f>IF(OR(K15="",J15="",J15=0,K15=0),"",K15-J15)</f>
        <v/>
      </c>
      <c r="M15" s="42">
        <f>IF(OR(K15="",J15="",J15=0,K15=0),"",K15/J15-1)</f>
        <v/>
      </c>
      <c r="N15" s="41">
        <f>IF(SUM(B15,F15,J15)=0,"",SUM(B15,F15,J15))</f>
        <v/>
      </c>
      <c r="O15" s="41">
        <f>IF(SUM(C15,G15,K15)=0,"",SUM(C15,G15,K15))</f>
        <v/>
      </c>
      <c r="P15" s="69">
        <f>IF(OR(O15="",N15="",N15=0,O15=0),"",O15-N15)</f>
        <v/>
      </c>
      <c r="Q15" s="42">
        <f>IF(OR(O15="",N15="",N15=0,O15=0),"",O15/N15-1)</f>
        <v/>
      </c>
    </row>
    <row r="16">
      <c r="A16" s="56" t="inlineStr">
        <is>
          <t>Sweden</t>
        </is>
      </c>
      <c r="B16" s="41">
        <f>IF(SUMIFS(Countries!$E$5:$E$434,Countries!$A$5:$A$434,"All landing pages",Countries!$B$5:$B$434,"Paid Search",Countries!$D$5:$D$434,$A16)=0,"",SUMIFS(Countries!$E$5:$E$434,Countries!$A$5:$A$434,"All landing pages",Countries!$B$5:$B$434,"Paid Search",Countries!$D$5:$D$434,$A16))</f>
        <v/>
      </c>
      <c r="C16" s="41">
        <f>IF(SUMIFS(Countries!$F$5:$F$434,Countries!$A$5:$A$434,"All landing pages",Countries!$B$5:$B$434,"Paid Search",Countries!$D$5:$D$434,$A16)=0,"",SUMIFS(Countries!$F$5:$F$434,Countries!$A$5:$A$434,"All landing pages",Countries!$B$5:$B$434,"Paid Search",Countries!$D$5:$D$434,$A16))</f>
        <v/>
      </c>
      <c r="D16" s="69">
        <f>IF(OR(C16="",B16="",B16=0,C16=0),"",C16-B16)</f>
        <v/>
      </c>
      <c r="E16" s="42">
        <f>IF(OR(C16="",B16="",B16=0,C16=0),"",C16/B16-1)</f>
        <v/>
      </c>
      <c r="F16" s="41">
        <f>IF(SUMIFS(Countries!$E$5:$E$434,Countries!$A$5:$A$434,"All landing pages",Countries!$B$5:$B$434,"Organic",Countries!$D$5:$D$434,$A16)=0,"",SUMIFS(Countries!$E$5:$E$434,Countries!$A$5:$A$434,"All landing pages",Countries!$B$5:$B$434,"Organic",Countries!$D$5:$D$434,$A16))</f>
        <v/>
      </c>
      <c r="G16" s="41">
        <f>IF(SUMIFS(Countries!$F$5:$F$434,Countries!$A$5:$A$434,"All landing pages",Countries!$B$5:$B$434,"Organic",Countries!$D$5:$D$434,$A16)=0,"",SUMIFS(Countries!$F$5:$F$434,Countries!$A$5:$A$434,"All landing pages",Countries!$B$5:$B$434,"Organic",Countries!$D$5:$D$434,$A16))</f>
        <v/>
      </c>
      <c r="H16" s="69">
        <f>IF(OR(G16="",F16="",F16=0,G16=0),"",G16-F16)</f>
        <v/>
      </c>
      <c r="I16" s="42">
        <f>IF(OR(G16="",F16="",F16=0,G16=0),"",G16/F16-1)</f>
        <v/>
      </c>
      <c r="J16" s="41">
        <f>IF(SUMIFS(Countries!$E$5:$E$434,Countries!$A$5:$A$434,"All landing pages",Countries!$B$5:$B$434,"Direct",Countries!$D$5:$D$434,$A16)=0,"",SUMIFS(Countries!$E$5:$E$434,Countries!$A$5:$A$434,"All landing pages",Countries!$B$5:$B$434,"Direct",Countries!$D$5:$D$434,$A16))</f>
        <v/>
      </c>
      <c r="K16" s="41">
        <f>IF(SUMIFS(Countries!$F$5:$F$434,Countries!$A$5:$A$434,"All landing pages",Countries!$B$5:$B$434,"Direct",Countries!$D$5:$D$434,$A16)=0,"",SUMIFS(Countries!$F$5:$F$434,Countries!$A$5:$A$434,"All landing pages",Countries!$B$5:$B$434,"Direct",Countries!$D$5:$D$434,$A16))</f>
        <v/>
      </c>
      <c r="L16" s="69">
        <f>IF(OR(K16="",J16="",J16=0,K16=0),"",K16-J16)</f>
        <v/>
      </c>
      <c r="M16" s="42">
        <f>IF(OR(K16="",J16="",J16=0,K16=0),"",K16/J16-1)</f>
        <v/>
      </c>
      <c r="N16" s="41">
        <f>IF(SUM(B16,F16,J16)=0,"",SUM(B16,F16,J16))</f>
        <v/>
      </c>
      <c r="O16" s="41">
        <f>IF(SUM(C16,G16,K16)=0,"",SUM(C16,G16,K16))</f>
        <v/>
      </c>
      <c r="P16" s="69">
        <f>IF(OR(O16="",N16="",N16=0,O16=0),"",O16-N16)</f>
        <v/>
      </c>
      <c r="Q16" s="42">
        <f>IF(OR(O16="",N16="",N16=0,O16=0),"",O16/N16-1)</f>
        <v/>
      </c>
    </row>
    <row r="17">
      <c r="A17" s="40" t="inlineStr">
        <is>
          <t>Belgium</t>
        </is>
      </c>
      <c r="B17" s="41">
        <f>IF(SUMIFS(Countries!$E$5:$E$434,Countries!$A$5:$A$434,"All landing pages",Countries!$B$5:$B$434,"Paid Search",Countries!$D$5:$D$434,$A17)=0,"",SUMIFS(Countries!$E$5:$E$434,Countries!$A$5:$A$434,"All landing pages",Countries!$B$5:$B$434,"Paid Search",Countries!$D$5:$D$434,$A17))</f>
        <v/>
      </c>
      <c r="C17" s="41">
        <f>IF(SUMIFS(Countries!$F$5:$F$434,Countries!$A$5:$A$434,"All landing pages",Countries!$B$5:$B$434,"Paid Search",Countries!$D$5:$D$434,$A17)=0,"",SUMIFS(Countries!$F$5:$F$434,Countries!$A$5:$A$434,"All landing pages",Countries!$B$5:$B$434,"Paid Search",Countries!$D$5:$D$434,$A17))</f>
        <v/>
      </c>
      <c r="D17" s="69">
        <f>IF(OR(C17="",B17="",B17=0,C17=0),"",C17-B17)</f>
        <v/>
      </c>
      <c r="E17" s="42">
        <f>IF(OR(C17="",B17="",B17=0,C17=0),"",C17/B17-1)</f>
        <v/>
      </c>
      <c r="F17" s="41">
        <f>IF(SUMIFS(Countries!$E$5:$E$434,Countries!$A$5:$A$434,"All landing pages",Countries!$B$5:$B$434,"Organic",Countries!$D$5:$D$434,$A17)=0,"",SUMIFS(Countries!$E$5:$E$434,Countries!$A$5:$A$434,"All landing pages",Countries!$B$5:$B$434,"Organic",Countries!$D$5:$D$434,$A17))</f>
        <v/>
      </c>
      <c r="G17" s="41">
        <f>IF(SUMIFS(Countries!$F$5:$F$434,Countries!$A$5:$A$434,"All landing pages",Countries!$B$5:$B$434,"Organic",Countries!$D$5:$D$434,$A17)=0,"",SUMIFS(Countries!$F$5:$F$434,Countries!$A$5:$A$434,"All landing pages",Countries!$B$5:$B$434,"Organic",Countries!$D$5:$D$434,$A17))</f>
        <v/>
      </c>
      <c r="H17" s="69">
        <f>IF(OR(G17="",F17="",F17=0,G17=0),"",G17-F17)</f>
        <v/>
      </c>
      <c r="I17" s="42">
        <f>IF(OR(G17="",F17="",F17=0,G17=0),"",G17/F17-1)</f>
        <v/>
      </c>
      <c r="J17" s="41">
        <f>IF(SUMIFS(Countries!$E$5:$E$434,Countries!$A$5:$A$434,"All landing pages",Countries!$B$5:$B$434,"Direct",Countries!$D$5:$D$434,$A17)=0,"",SUMIFS(Countries!$E$5:$E$434,Countries!$A$5:$A$434,"All landing pages",Countries!$B$5:$B$434,"Direct",Countries!$D$5:$D$434,$A17))</f>
        <v/>
      </c>
      <c r="K17" s="41">
        <f>IF(SUMIFS(Countries!$F$5:$F$434,Countries!$A$5:$A$434,"All landing pages",Countries!$B$5:$B$434,"Direct",Countries!$D$5:$D$434,$A17)=0,"",SUMIFS(Countries!$F$5:$F$434,Countries!$A$5:$A$434,"All landing pages",Countries!$B$5:$B$434,"Direct",Countries!$D$5:$D$434,$A17))</f>
        <v/>
      </c>
      <c r="L17" s="69">
        <f>IF(OR(K17="",J17="",J17=0,K17=0),"",K17-J17)</f>
        <v/>
      </c>
      <c r="M17" s="42">
        <f>IF(OR(K17="",J17="",J17=0,K17=0),"",K17/J17-1)</f>
        <v/>
      </c>
      <c r="N17" s="41">
        <f>IF(SUM(B17,F17,J17)=0,"",SUM(B17,F17,J17))</f>
        <v/>
      </c>
      <c r="O17" s="41">
        <f>IF(SUM(C17,G17,K17)=0,"",SUM(C17,G17,K17))</f>
        <v/>
      </c>
      <c r="P17" s="69">
        <f>IF(OR(O17="",N17="",N17=0,O17=0),"",O17-N17)</f>
        <v/>
      </c>
      <c r="Q17" s="42">
        <f>IF(OR(O17="",N17="",N17=0,O17=0),"",O17/N17-1)</f>
        <v/>
      </c>
    </row>
    <row r="18">
      <c r="A18" s="56" t="inlineStr">
        <is>
          <t>Austria</t>
        </is>
      </c>
      <c r="B18" s="41">
        <f>IF(SUMIFS(Countries!$E$5:$E$434,Countries!$A$5:$A$434,"All landing pages",Countries!$B$5:$B$434,"Paid Search",Countries!$D$5:$D$434,$A18)=0,"",SUMIFS(Countries!$E$5:$E$434,Countries!$A$5:$A$434,"All landing pages",Countries!$B$5:$B$434,"Paid Search",Countries!$D$5:$D$434,$A18))</f>
        <v/>
      </c>
      <c r="C18" s="41">
        <f>IF(SUMIFS(Countries!$F$5:$F$434,Countries!$A$5:$A$434,"All landing pages",Countries!$B$5:$B$434,"Paid Search",Countries!$D$5:$D$434,$A18)=0,"",SUMIFS(Countries!$F$5:$F$434,Countries!$A$5:$A$434,"All landing pages",Countries!$B$5:$B$434,"Paid Search",Countries!$D$5:$D$434,$A18))</f>
        <v/>
      </c>
      <c r="D18" s="69">
        <f>IF(OR(C18="",B18="",B18=0,C18=0),"",C18-B18)</f>
        <v/>
      </c>
      <c r="E18" s="42">
        <f>IF(OR(C18="",B18="",B18=0,C18=0),"",C18/B18-1)</f>
        <v/>
      </c>
      <c r="F18" s="41">
        <f>IF(SUMIFS(Countries!$E$5:$E$434,Countries!$A$5:$A$434,"All landing pages",Countries!$B$5:$B$434,"Organic",Countries!$D$5:$D$434,$A18)=0,"",SUMIFS(Countries!$E$5:$E$434,Countries!$A$5:$A$434,"All landing pages",Countries!$B$5:$B$434,"Organic",Countries!$D$5:$D$434,$A18))</f>
        <v/>
      </c>
      <c r="G18" s="41">
        <f>IF(SUMIFS(Countries!$F$5:$F$434,Countries!$A$5:$A$434,"All landing pages",Countries!$B$5:$B$434,"Organic",Countries!$D$5:$D$434,$A18)=0,"",SUMIFS(Countries!$F$5:$F$434,Countries!$A$5:$A$434,"All landing pages",Countries!$B$5:$B$434,"Organic",Countries!$D$5:$D$434,$A18))</f>
        <v/>
      </c>
      <c r="H18" s="69">
        <f>IF(OR(G18="",F18="",F18=0,G18=0),"",G18-F18)</f>
        <v/>
      </c>
      <c r="I18" s="42">
        <f>IF(OR(G18="",F18="",F18=0,G18=0),"",G18/F18-1)</f>
        <v/>
      </c>
      <c r="J18" s="41">
        <f>IF(SUMIFS(Countries!$E$5:$E$434,Countries!$A$5:$A$434,"All landing pages",Countries!$B$5:$B$434,"Direct",Countries!$D$5:$D$434,$A18)=0,"",SUMIFS(Countries!$E$5:$E$434,Countries!$A$5:$A$434,"All landing pages",Countries!$B$5:$B$434,"Direct",Countries!$D$5:$D$434,$A18))</f>
        <v/>
      </c>
      <c r="K18" s="41">
        <f>IF(SUMIFS(Countries!$F$5:$F$434,Countries!$A$5:$A$434,"All landing pages",Countries!$B$5:$B$434,"Direct",Countries!$D$5:$D$434,$A18)=0,"",SUMIFS(Countries!$F$5:$F$434,Countries!$A$5:$A$434,"All landing pages",Countries!$B$5:$B$434,"Direct",Countries!$D$5:$D$434,$A18))</f>
        <v/>
      </c>
      <c r="L18" s="69">
        <f>IF(OR(K18="",J18="",J18=0,K18=0),"",K18-J18)</f>
        <v/>
      </c>
      <c r="M18" s="42">
        <f>IF(OR(K18="",J18="",J18=0,K18=0),"",K18/J18-1)</f>
        <v/>
      </c>
      <c r="N18" s="41">
        <f>IF(SUM(B18,F18,J18)=0,"",SUM(B18,F18,J18))</f>
        <v/>
      </c>
      <c r="O18" s="41">
        <f>IF(SUM(C18,G18,K18)=0,"",SUM(C18,G18,K18))</f>
        <v/>
      </c>
      <c r="P18" s="69">
        <f>IF(OR(O18="",N18="",N18=0,O18=0),"",O18-N18)</f>
        <v/>
      </c>
      <c r="Q18" s="42">
        <f>IF(OR(O18="",N18="",N18=0,O18=0),"",O18/N18-1)</f>
        <v/>
      </c>
    </row>
    <row r="19">
      <c r="A19" s="40" t="inlineStr">
        <is>
          <t>Denmark</t>
        </is>
      </c>
      <c r="B19" s="41">
        <f>IF(SUMIFS(Countries!$E$5:$E$434,Countries!$A$5:$A$434,"All landing pages",Countries!$B$5:$B$434,"Paid Search",Countries!$D$5:$D$434,$A19)=0,"",SUMIFS(Countries!$E$5:$E$434,Countries!$A$5:$A$434,"All landing pages",Countries!$B$5:$B$434,"Paid Search",Countries!$D$5:$D$434,$A19))</f>
        <v/>
      </c>
      <c r="C19" s="41">
        <f>IF(SUMIFS(Countries!$F$5:$F$434,Countries!$A$5:$A$434,"All landing pages",Countries!$B$5:$B$434,"Paid Search",Countries!$D$5:$D$434,$A19)=0,"",SUMIFS(Countries!$F$5:$F$434,Countries!$A$5:$A$434,"All landing pages",Countries!$B$5:$B$434,"Paid Search",Countries!$D$5:$D$434,$A19))</f>
        <v/>
      </c>
      <c r="D19" s="69">
        <f>IF(OR(C19="",B19="",B19=0,C19=0),"",C19-B19)</f>
        <v/>
      </c>
      <c r="E19" s="42">
        <f>IF(OR(C19="",B19="",B19=0,C19=0),"",C19/B19-1)</f>
        <v/>
      </c>
      <c r="F19" s="41">
        <f>IF(SUMIFS(Countries!$E$5:$E$434,Countries!$A$5:$A$434,"All landing pages",Countries!$B$5:$B$434,"Organic",Countries!$D$5:$D$434,$A19)=0,"",SUMIFS(Countries!$E$5:$E$434,Countries!$A$5:$A$434,"All landing pages",Countries!$B$5:$B$434,"Organic",Countries!$D$5:$D$434,$A19))</f>
        <v/>
      </c>
      <c r="G19" s="41">
        <f>IF(SUMIFS(Countries!$F$5:$F$434,Countries!$A$5:$A$434,"All landing pages",Countries!$B$5:$B$434,"Organic",Countries!$D$5:$D$434,$A19)=0,"",SUMIFS(Countries!$F$5:$F$434,Countries!$A$5:$A$434,"All landing pages",Countries!$B$5:$B$434,"Organic",Countries!$D$5:$D$434,$A19))</f>
        <v/>
      </c>
      <c r="H19" s="69">
        <f>IF(OR(G19="",F19="",F19=0,G19=0),"",G19-F19)</f>
        <v/>
      </c>
      <c r="I19" s="42">
        <f>IF(OR(G19="",F19="",F19=0,G19=0),"",G19/F19-1)</f>
        <v/>
      </c>
      <c r="J19" s="41">
        <f>IF(SUMIFS(Countries!$E$5:$E$434,Countries!$A$5:$A$434,"All landing pages",Countries!$B$5:$B$434,"Direct",Countries!$D$5:$D$434,$A19)=0,"",SUMIFS(Countries!$E$5:$E$434,Countries!$A$5:$A$434,"All landing pages",Countries!$B$5:$B$434,"Direct",Countries!$D$5:$D$434,$A19))</f>
        <v/>
      </c>
      <c r="K19" s="41">
        <f>IF(SUMIFS(Countries!$F$5:$F$434,Countries!$A$5:$A$434,"All landing pages",Countries!$B$5:$B$434,"Direct",Countries!$D$5:$D$434,$A19)=0,"",SUMIFS(Countries!$F$5:$F$434,Countries!$A$5:$A$434,"All landing pages",Countries!$B$5:$B$434,"Direct",Countries!$D$5:$D$434,$A19))</f>
        <v/>
      </c>
      <c r="L19" s="69">
        <f>IF(OR(K19="",J19="",J19=0,K19=0),"",K19-J19)</f>
        <v/>
      </c>
      <c r="M19" s="42">
        <f>IF(OR(K19="",J19="",J19=0,K19=0),"",K19/J19-1)</f>
        <v/>
      </c>
      <c r="N19" s="41">
        <f>IF(SUM(B19,F19,J19)=0,"",SUM(B19,F19,J19))</f>
        <v/>
      </c>
      <c r="O19" s="41">
        <f>IF(SUM(C19,G19,K19)=0,"",SUM(C19,G19,K19))</f>
        <v/>
      </c>
      <c r="P19" s="69">
        <f>IF(OR(O19="",N19="",N19=0,O19=0),"",O19-N19)</f>
        <v/>
      </c>
      <c r="Q19" s="42">
        <f>IF(OR(O19="",N19="",N19=0,O19=0),"",O19/N19-1)</f>
        <v/>
      </c>
    </row>
    <row r="20">
      <c r="A20" s="56" t="inlineStr">
        <is>
          <t>Norway</t>
        </is>
      </c>
      <c r="B20" s="41">
        <f>IF(SUMIFS(Countries!$E$5:$E$434,Countries!$A$5:$A$434,"All landing pages",Countries!$B$5:$B$434,"Paid Search",Countries!$D$5:$D$434,$A20)=0,"",SUMIFS(Countries!$E$5:$E$434,Countries!$A$5:$A$434,"All landing pages",Countries!$B$5:$B$434,"Paid Search",Countries!$D$5:$D$434,$A20))</f>
        <v/>
      </c>
      <c r="C20" s="41">
        <f>IF(SUMIFS(Countries!$F$5:$F$434,Countries!$A$5:$A$434,"All landing pages",Countries!$B$5:$B$434,"Paid Search",Countries!$D$5:$D$434,$A20)=0,"",SUMIFS(Countries!$F$5:$F$434,Countries!$A$5:$A$434,"All landing pages",Countries!$B$5:$B$434,"Paid Search",Countries!$D$5:$D$434,$A20))</f>
        <v/>
      </c>
      <c r="D20" s="69">
        <f>IF(OR(C20="",B20="",B20=0,C20=0),"",C20-B20)</f>
        <v/>
      </c>
      <c r="E20" s="42">
        <f>IF(OR(C20="",B20="",B20=0,C20=0),"",C20/B20-1)</f>
        <v/>
      </c>
      <c r="F20" s="41">
        <f>IF(SUMIFS(Countries!$E$5:$E$434,Countries!$A$5:$A$434,"All landing pages",Countries!$B$5:$B$434,"Organic",Countries!$D$5:$D$434,$A20)=0,"",SUMIFS(Countries!$E$5:$E$434,Countries!$A$5:$A$434,"All landing pages",Countries!$B$5:$B$434,"Organic",Countries!$D$5:$D$434,$A20))</f>
        <v/>
      </c>
      <c r="G20" s="41">
        <f>IF(SUMIFS(Countries!$F$5:$F$434,Countries!$A$5:$A$434,"All landing pages",Countries!$B$5:$B$434,"Organic",Countries!$D$5:$D$434,$A20)=0,"",SUMIFS(Countries!$F$5:$F$434,Countries!$A$5:$A$434,"All landing pages",Countries!$B$5:$B$434,"Organic",Countries!$D$5:$D$434,$A20))</f>
        <v/>
      </c>
      <c r="H20" s="69">
        <f>IF(OR(G20="",F20="",F20=0,G20=0),"",G20-F20)</f>
        <v/>
      </c>
      <c r="I20" s="42">
        <f>IF(OR(G20="",F20="",F20=0,G20=0),"",G20/F20-1)</f>
        <v/>
      </c>
      <c r="J20" s="41">
        <f>IF(SUMIFS(Countries!$E$5:$E$434,Countries!$A$5:$A$434,"All landing pages",Countries!$B$5:$B$434,"Direct",Countries!$D$5:$D$434,$A20)=0,"",SUMIFS(Countries!$E$5:$E$434,Countries!$A$5:$A$434,"All landing pages",Countries!$B$5:$B$434,"Direct",Countries!$D$5:$D$434,$A20))</f>
        <v/>
      </c>
      <c r="K20" s="41">
        <f>IF(SUMIFS(Countries!$F$5:$F$434,Countries!$A$5:$A$434,"All landing pages",Countries!$B$5:$B$434,"Direct",Countries!$D$5:$D$434,$A20)=0,"",SUMIFS(Countries!$F$5:$F$434,Countries!$A$5:$A$434,"All landing pages",Countries!$B$5:$B$434,"Direct",Countries!$D$5:$D$434,$A20))</f>
        <v/>
      </c>
      <c r="L20" s="69">
        <f>IF(OR(K20="",J20="",J20=0,K20=0),"",K20-J20)</f>
        <v/>
      </c>
      <c r="M20" s="42">
        <f>IF(OR(K20="",J20="",J20=0,K20=0),"",K20/J20-1)</f>
        <v/>
      </c>
      <c r="N20" s="41">
        <f>IF(SUM(B20,F20,J20)=0,"",SUM(B20,F20,J20))</f>
        <v/>
      </c>
      <c r="O20" s="41">
        <f>IF(SUM(C20,G20,K20)=0,"",SUM(C20,G20,K20))</f>
        <v/>
      </c>
      <c r="P20" s="69">
        <f>IF(OR(O20="",N20="",N20=0,O20=0),"",O20-N20)</f>
        <v/>
      </c>
      <c r="Q20" s="42">
        <f>IF(OR(O20="",N20="",N20=0,O20=0),"",O20/N20-1)</f>
        <v/>
      </c>
    </row>
    <row r="21">
      <c r="A21" s="40" t="inlineStr">
        <is>
          <t>Finland</t>
        </is>
      </c>
      <c r="B21" s="41">
        <f>IF(SUMIFS(Countries!$E$5:$E$434,Countries!$A$5:$A$434,"All landing pages",Countries!$B$5:$B$434,"Paid Search",Countries!$D$5:$D$434,$A21)=0,"",SUMIFS(Countries!$E$5:$E$434,Countries!$A$5:$A$434,"All landing pages",Countries!$B$5:$B$434,"Paid Search",Countries!$D$5:$D$434,$A21))</f>
        <v/>
      </c>
      <c r="C21" s="41">
        <f>IF(SUMIFS(Countries!$F$5:$F$434,Countries!$A$5:$A$434,"All landing pages",Countries!$B$5:$B$434,"Paid Search",Countries!$D$5:$D$434,$A21)=0,"",SUMIFS(Countries!$F$5:$F$434,Countries!$A$5:$A$434,"All landing pages",Countries!$B$5:$B$434,"Paid Search",Countries!$D$5:$D$434,$A21))</f>
        <v/>
      </c>
      <c r="D21" s="69">
        <f>IF(OR(C21="",B21="",B21=0,C21=0),"",C21-B21)</f>
        <v/>
      </c>
      <c r="E21" s="42">
        <f>IF(OR(C21="",B21="",B21=0,C21=0),"",C21/B21-1)</f>
        <v/>
      </c>
      <c r="F21" s="41">
        <f>IF(SUMIFS(Countries!$E$5:$E$434,Countries!$A$5:$A$434,"All landing pages",Countries!$B$5:$B$434,"Organic",Countries!$D$5:$D$434,$A21)=0,"",SUMIFS(Countries!$E$5:$E$434,Countries!$A$5:$A$434,"All landing pages",Countries!$B$5:$B$434,"Organic",Countries!$D$5:$D$434,$A21))</f>
        <v/>
      </c>
      <c r="G21" s="41">
        <f>IF(SUMIFS(Countries!$F$5:$F$434,Countries!$A$5:$A$434,"All landing pages",Countries!$B$5:$B$434,"Organic",Countries!$D$5:$D$434,$A21)=0,"",SUMIFS(Countries!$F$5:$F$434,Countries!$A$5:$A$434,"All landing pages",Countries!$B$5:$B$434,"Organic",Countries!$D$5:$D$434,$A21))</f>
        <v/>
      </c>
      <c r="H21" s="69">
        <f>IF(OR(G21="",F21="",F21=0,G21=0),"",G21-F21)</f>
        <v/>
      </c>
      <c r="I21" s="42">
        <f>IF(OR(G21="",F21="",F21=0,G21=0),"",G21/F21-1)</f>
        <v/>
      </c>
      <c r="J21" s="41">
        <f>IF(SUMIFS(Countries!$E$5:$E$434,Countries!$A$5:$A$434,"All landing pages",Countries!$B$5:$B$434,"Direct",Countries!$D$5:$D$434,$A21)=0,"",SUMIFS(Countries!$E$5:$E$434,Countries!$A$5:$A$434,"All landing pages",Countries!$B$5:$B$434,"Direct",Countries!$D$5:$D$434,$A21))</f>
        <v/>
      </c>
      <c r="K21" s="41">
        <f>IF(SUMIFS(Countries!$F$5:$F$434,Countries!$A$5:$A$434,"All landing pages",Countries!$B$5:$B$434,"Direct",Countries!$D$5:$D$434,$A21)=0,"",SUMIFS(Countries!$F$5:$F$434,Countries!$A$5:$A$434,"All landing pages",Countries!$B$5:$B$434,"Direct",Countries!$D$5:$D$434,$A21))</f>
        <v/>
      </c>
      <c r="L21" s="69">
        <f>IF(OR(K21="",J21="",J21=0,K21=0),"",K21-J21)</f>
        <v/>
      </c>
      <c r="M21" s="42">
        <f>IF(OR(K21="",J21="",J21=0,K21=0),"",K21/J21-1)</f>
        <v/>
      </c>
      <c r="N21" s="41">
        <f>IF(SUM(B21,F21,J21)=0,"",SUM(B21,F21,J21))</f>
        <v/>
      </c>
      <c r="O21" s="41">
        <f>IF(SUM(C21,G21,K21)=0,"",SUM(C21,G21,K21))</f>
        <v/>
      </c>
      <c r="P21" s="69">
        <f>IF(OR(O21="",N21="",N21=0,O21=0),"",O21-N21)</f>
        <v/>
      </c>
      <c r="Q21" s="42">
        <f>IF(OR(O21="",N21="",N21=0,O21=0),"",O21/N21-1)</f>
        <v/>
      </c>
    </row>
    <row r="22">
      <c r="A22" s="56" t="inlineStr">
        <is>
          <t>Portugal</t>
        </is>
      </c>
      <c r="B22" s="41">
        <f>IF(SUMIFS(Countries!$E$5:$E$434,Countries!$A$5:$A$434,"All landing pages",Countries!$B$5:$B$434,"Paid Search",Countries!$D$5:$D$434,$A22)=0,"",SUMIFS(Countries!$E$5:$E$434,Countries!$A$5:$A$434,"All landing pages",Countries!$B$5:$B$434,"Paid Search",Countries!$D$5:$D$434,$A22))</f>
        <v/>
      </c>
      <c r="C22" s="41">
        <f>IF(SUMIFS(Countries!$F$5:$F$434,Countries!$A$5:$A$434,"All landing pages",Countries!$B$5:$B$434,"Paid Search",Countries!$D$5:$D$434,$A22)=0,"",SUMIFS(Countries!$F$5:$F$434,Countries!$A$5:$A$434,"All landing pages",Countries!$B$5:$B$434,"Paid Search",Countries!$D$5:$D$434,$A22))</f>
        <v/>
      </c>
      <c r="D22" s="69">
        <f>IF(OR(C22="",B22="",B22=0,C22=0),"",C22-B22)</f>
        <v/>
      </c>
      <c r="E22" s="42">
        <f>IF(OR(C22="",B22="",B22=0,C22=0),"",C22/B22-1)</f>
        <v/>
      </c>
      <c r="F22" s="41">
        <f>IF(SUMIFS(Countries!$E$5:$E$434,Countries!$A$5:$A$434,"All landing pages",Countries!$B$5:$B$434,"Organic",Countries!$D$5:$D$434,$A22)=0,"",SUMIFS(Countries!$E$5:$E$434,Countries!$A$5:$A$434,"All landing pages",Countries!$B$5:$B$434,"Organic",Countries!$D$5:$D$434,$A22))</f>
        <v/>
      </c>
      <c r="G22" s="41">
        <f>IF(SUMIFS(Countries!$F$5:$F$434,Countries!$A$5:$A$434,"All landing pages",Countries!$B$5:$B$434,"Organic",Countries!$D$5:$D$434,$A22)=0,"",SUMIFS(Countries!$F$5:$F$434,Countries!$A$5:$A$434,"All landing pages",Countries!$B$5:$B$434,"Organic",Countries!$D$5:$D$434,$A22))</f>
        <v/>
      </c>
      <c r="H22" s="69">
        <f>IF(OR(G22="",F22="",F22=0,G22=0),"",G22-F22)</f>
        <v/>
      </c>
      <c r="I22" s="42">
        <f>IF(OR(G22="",F22="",F22=0,G22=0),"",G22/F22-1)</f>
        <v/>
      </c>
      <c r="J22" s="41">
        <f>IF(SUMIFS(Countries!$E$5:$E$434,Countries!$A$5:$A$434,"All landing pages",Countries!$B$5:$B$434,"Direct",Countries!$D$5:$D$434,$A22)=0,"",SUMIFS(Countries!$E$5:$E$434,Countries!$A$5:$A$434,"All landing pages",Countries!$B$5:$B$434,"Direct",Countries!$D$5:$D$434,$A22))</f>
        <v/>
      </c>
      <c r="K22" s="41">
        <f>IF(SUMIFS(Countries!$F$5:$F$434,Countries!$A$5:$A$434,"All landing pages",Countries!$B$5:$B$434,"Direct",Countries!$D$5:$D$434,$A22)=0,"",SUMIFS(Countries!$F$5:$F$434,Countries!$A$5:$A$434,"All landing pages",Countries!$B$5:$B$434,"Direct",Countries!$D$5:$D$434,$A22))</f>
        <v/>
      </c>
      <c r="L22" s="69">
        <f>IF(OR(K22="",J22="",J22=0,K22=0),"",K22-J22)</f>
        <v/>
      </c>
      <c r="M22" s="42">
        <f>IF(OR(K22="",J22="",J22=0,K22=0),"",K22/J22-1)</f>
        <v/>
      </c>
      <c r="N22" s="41">
        <f>IF(SUM(B22,F22,J22)=0,"",SUM(B22,F22,J22))</f>
        <v/>
      </c>
      <c r="O22" s="41">
        <f>IF(SUM(C22,G22,K22)=0,"",SUM(C22,G22,K22))</f>
        <v/>
      </c>
      <c r="P22" s="69">
        <f>IF(OR(O22="",N22="",N22=0,O22=0),"",O22-N22)</f>
        <v/>
      </c>
      <c r="Q22" s="42">
        <f>IF(OR(O22="",N22="",N22=0,O22=0),"",O22/N22-1)</f>
        <v/>
      </c>
    </row>
    <row r="23">
      <c r="A23" s="40" t="inlineStr">
        <is>
          <t>Türkiye</t>
        </is>
      </c>
      <c r="B23" s="41">
        <f>IF(SUMIFS(Countries!$E$5:$E$434,Countries!$A$5:$A$434,"All landing pages",Countries!$B$5:$B$434,"Paid Search",Countries!$D$5:$D$434,$A23)=0,"",SUMIFS(Countries!$E$5:$E$434,Countries!$A$5:$A$434,"All landing pages",Countries!$B$5:$B$434,"Paid Search",Countries!$D$5:$D$434,$A23))</f>
        <v/>
      </c>
      <c r="C23" s="41">
        <f>IF(SUMIFS(Countries!$F$5:$F$434,Countries!$A$5:$A$434,"All landing pages",Countries!$B$5:$B$434,"Paid Search",Countries!$D$5:$D$434,$A23)=0,"",SUMIFS(Countries!$F$5:$F$434,Countries!$A$5:$A$434,"All landing pages",Countries!$B$5:$B$434,"Paid Search",Countries!$D$5:$D$434,$A23))</f>
        <v/>
      </c>
      <c r="D23" s="69">
        <f>IF(OR(C23="",B23="",B23=0,C23=0),"",C23-B23)</f>
        <v/>
      </c>
      <c r="E23" s="42">
        <f>IF(OR(C23="",B23="",B23=0,C23=0),"",C23/B23-1)</f>
        <v/>
      </c>
      <c r="F23" s="41">
        <f>IF(SUMIFS(Countries!$E$5:$E$434,Countries!$A$5:$A$434,"All landing pages",Countries!$B$5:$B$434,"Organic",Countries!$D$5:$D$434,$A23)=0,"",SUMIFS(Countries!$E$5:$E$434,Countries!$A$5:$A$434,"All landing pages",Countries!$B$5:$B$434,"Organic",Countries!$D$5:$D$434,$A23))</f>
        <v/>
      </c>
      <c r="G23" s="41">
        <f>IF(SUMIFS(Countries!$F$5:$F$434,Countries!$A$5:$A$434,"All landing pages",Countries!$B$5:$B$434,"Organic",Countries!$D$5:$D$434,$A23)=0,"",SUMIFS(Countries!$F$5:$F$434,Countries!$A$5:$A$434,"All landing pages",Countries!$B$5:$B$434,"Organic",Countries!$D$5:$D$434,$A23))</f>
        <v/>
      </c>
      <c r="H23" s="69">
        <f>IF(OR(G23="",F23="",F23=0,G23=0),"",G23-F23)</f>
        <v/>
      </c>
      <c r="I23" s="42">
        <f>IF(OR(G23="",F23="",F23=0,G23=0),"",G23/F23-1)</f>
        <v/>
      </c>
      <c r="J23" s="41">
        <f>IF(SUMIFS(Countries!$E$5:$E$434,Countries!$A$5:$A$434,"All landing pages",Countries!$B$5:$B$434,"Direct",Countries!$D$5:$D$434,$A23)=0,"",SUMIFS(Countries!$E$5:$E$434,Countries!$A$5:$A$434,"All landing pages",Countries!$B$5:$B$434,"Direct",Countries!$D$5:$D$434,$A23))</f>
        <v/>
      </c>
      <c r="K23" s="41">
        <f>IF(SUMIFS(Countries!$F$5:$F$434,Countries!$A$5:$A$434,"All landing pages",Countries!$B$5:$B$434,"Direct",Countries!$D$5:$D$434,$A23)=0,"",SUMIFS(Countries!$F$5:$F$434,Countries!$A$5:$A$434,"All landing pages",Countries!$B$5:$B$434,"Direct",Countries!$D$5:$D$434,$A23))</f>
        <v/>
      </c>
      <c r="L23" s="69">
        <f>IF(OR(K23="",J23="",J23=0,K23=0),"",K23-J23)</f>
        <v/>
      </c>
      <c r="M23" s="42">
        <f>IF(OR(K23="",J23="",J23=0,K23=0),"",K23/J23-1)</f>
        <v/>
      </c>
      <c r="N23" s="41">
        <f>IF(SUM(B23,F23,J23)=0,"",SUM(B23,F23,J23))</f>
        <v/>
      </c>
      <c r="O23" s="41">
        <f>IF(SUM(C23,G23,K23)=0,"",SUM(C23,G23,K23))</f>
        <v/>
      </c>
      <c r="P23" s="69">
        <f>IF(OR(O23="",N23="",N23=0,O23=0),"",O23-N23)</f>
        <v/>
      </c>
      <c r="Q23" s="42">
        <f>IF(OR(O23="",N23="",N23=0,O23=0),"",O23/N23-1)</f>
        <v/>
      </c>
    </row>
    <row r="24">
      <c r="A24" s="56" t="inlineStr">
        <is>
          <t>Australia</t>
        </is>
      </c>
      <c r="B24" s="41">
        <f>IF(SUMIFS(Countries!$E$5:$E$434,Countries!$A$5:$A$434,"All landing pages",Countries!$B$5:$B$434,"Paid Search",Countries!$D$5:$D$434,$A24)=0,"",SUMIFS(Countries!$E$5:$E$434,Countries!$A$5:$A$434,"All landing pages",Countries!$B$5:$B$434,"Paid Search",Countries!$D$5:$D$434,$A24))</f>
        <v/>
      </c>
      <c r="C24" s="41">
        <f>IF(SUMIFS(Countries!$F$5:$F$434,Countries!$A$5:$A$434,"All landing pages",Countries!$B$5:$B$434,"Paid Search",Countries!$D$5:$D$434,$A24)=0,"",SUMIFS(Countries!$F$5:$F$434,Countries!$A$5:$A$434,"All landing pages",Countries!$B$5:$B$434,"Paid Search",Countries!$D$5:$D$434,$A24))</f>
        <v/>
      </c>
      <c r="D24" s="69">
        <f>IF(OR(C24="",B24="",B24=0,C24=0),"",C24-B24)</f>
        <v/>
      </c>
      <c r="E24" s="42">
        <f>IF(OR(C24="",B24="",B24=0,C24=0),"",C24/B24-1)</f>
        <v/>
      </c>
      <c r="F24" s="41">
        <f>IF(SUMIFS(Countries!$E$5:$E$434,Countries!$A$5:$A$434,"All landing pages",Countries!$B$5:$B$434,"Organic",Countries!$D$5:$D$434,$A24)=0,"",SUMIFS(Countries!$E$5:$E$434,Countries!$A$5:$A$434,"All landing pages",Countries!$B$5:$B$434,"Organic",Countries!$D$5:$D$434,$A24))</f>
        <v/>
      </c>
      <c r="G24" s="41">
        <f>IF(SUMIFS(Countries!$F$5:$F$434,Countries!$A$5:$A$434,"All landing pages",Countries!$B$5:$B$434,"Organic",Countries!$D$5:$D$434,$A24)=0,"",SUMIFS(Countries!$F$5:$F$434,Countries!$A$5:$A$434,"All landing pages",Countries!$B$5:$B$434,"Organic",Countries!$D$5:$D$434,$A24))</f>
        <v/>
      </c>
      <c r="H24" s="69">
        <f>IF(OR(G24="",F24="",F24=0,G24=0),"",G24-F24)</f>
        <v/>
      </c>
      <c r="I24" s="42">
        <f>IF(OR(G24="",F24="",F24=0,G24=0),"",G24/F24-1)</f>
        <v/>
      </c>
      <c r="J24" s="41">
        <f>IF(SUMIFS(Countries!$E$5:$E$434,Countries!$A$5:$A$434,"All landing pages",Countries!$B$5:$B$434,"Direct",Countries!$D$5:$D$434,$A24)=0,"",SUMIFS(Countries!$E$5:$E$434,Countries!$A$5:$A$434,"All landing pages",Countries!$B$5:$B$434,"Direct",Countries!$D$5:$D$434,$A24))</f>
        <v/>
      </c>
      <c r="K24" s="41">
        <f>IF(SUMIFS(Countries!$F$5:$F$434,Countries!$A$5:$A$434,"All landing pages",Countries!$B$5:$B$434,"Direct",Countries!$D$5:$D$434,$A24)=0,"",SUMIFS(Countries!$F$5:$F$434,Countries!$A$5:$A$434,"All landing pages",Countries!$B$5:$B$434,"Direct",Countries!$D$5:$D$434,$A24))</f>
        <v/>
      </c>
      <c r="L24" s="69">
        <f>IF(OR(K24="",J24="",J24=0,K24=0),"",K24-J24)</f>
        <v/>
      </c>
      <c r="M24" s="42">
        <f>IF(OR(K24="",J24="",J24=0,K24=0),"",K24/J24-1)</f>
        <v/>
      </c>
      <c r="N24" s="41">
        <f>IF(SUM(B24,F24,J24)=0,"",SUM(B24,F24,J24))</f>
        <v/>
      </c>
      <c r="O24" s="41">
        <f>IF(SUM(C24,G24,K24)=0,"",SUM(C24,G24,K24))</f>
        <v/>
      </c>
      <c r="P24" s="69">
        <f>IF(OR(O24="",N24="",N24=0,O24=0),"",O24-N24)</f>
        <v/>
      </c>
      <c r="Q24" s="42">
        <f>IF(OR(O24="",N24="",N24=0,O24=0),"",O24/N24-1)</f>
        <v/>
      </c>
    </row>
    <row r="25">
      <c r="A25" s="40" t="inlineStr">
        <is>
          <t>Romania</t>
        </is>
      </c>
      <c r="B25" s="41">
        <f>IF(SUMIFS(Countries!$E$5:$E$434,Countries!$A$5:$A$434,"All landing pages",Countries!$B$5:$B$434,"Paid Search",Countries!$D$5:$D$434,$A25)=0,"",SUMIFS(Countries!$E$5:$E$434,Countries!$A$5:$A$434,"All landing pages",Countries!$B$5:$B$434,"Paid Search",Countries!$D$5:$D$434,$A25))</f>
        <v/>
      </c>
      <c r="C25" s="41">
        <f>IF(SUMIFS(Countries!$F$5:$F$434,Countries!$A$5:$A$434,"All landing pages",Countries!$B$5:$B$434,"Paid Search",Countries!$D$5:$D$434,$A25)=0,"",SUMIFS(Countries!$F$5:$F$434,Countries!$A$5:$A$434,"All landing pages",Countries!$B$5:$B$434,"Paid Search",Countries!$D$5:$D$434,$A25))</f>
        <v/>
      </c>
      <c r="D25" s="69">
        <f>IF(OR(C25="",B25="",B25=0,C25=0),"",C25-B25)</f>
        <v/>
      </c>
      <c r="E25" s="42">
        <f>IF(OR(C25="",B25="",B25=0,C25=0),"",C25/B25-1)</f>
        <v/>
      </c>
      <c r="F25" s="41">
        <f>IF(SUMIFS(Countries!$E$5:$E$434,Countries!$A$5:$A$434,"All landing pages",Countries!$B$5:$B$434,"Organic",Countries!$D$5:$D$434,$A25)=0,"",SUMIFS(Countries!$E$5:$E$434,Countries!$A$5:$A$434,"All landing pages",Countries!$B$5:$B$434,"Organic",Countries!$D$5:$D$434,$A25))</f>
        <v/>
      </c>
      <c r="G25" s="41">
        <f>IF(SUMIFS(Countries!$F$5:$F$434,Countries!$A$5:$A$434,"All landing pages",Countries!$B$5:$B$434,"Organic",Countries!$D$5:$D$434,$A25)=0,"",SUMIFS(Countries!$F$5:$F$434,Countries!$A$5:$A$434,"All landing pages",Countries!$B$5:$B$434,"Organic",Countries!$D$5:$D$434,$A25))</f>
        <v/>
      </c>
      <c r="H25" s="69">
        <f>IF(OR(G25="",F25="",F25=0,G25=0),"",G25-F25)</f>
        <v/>
      </c>
      <c r="I25" s="42">
        <f>IF(OR(G25="",F25="",F25=0,G25=0),"",G25/F25-1)</f>
        <v/>
      </c>
      <c r="J25" s="41">
        <f>IF(SUMIFS(Countries!$E$5:$E$434,Countries!$A$5:$A$434,"All landing pages",Countries!$B$5:$B$434,"Direct",Countries!$D$5:$D$434,$A25)=0,"",SUMIFS(Countries!$E$5:$E$434,Countries!$A$5:$A$434,"All landing pages",Countries!$B$5:$B$434,"Direct",Countries!$D$5:$D$434,$A25))</f>
        <v/>
      </c>
      <c r="K25" s="41">
        <f>IF(SUMIFS(Countries!$F$5:$F$434,Countries!$A$5:$A$434,"All landing pages",Countries!$B$5:$B$434,"Direct",Countries!$D$5:$D$434,$A25)=0,"",SUMIFS(Countries!$F$5:$F$434,Countries!$A$5:$A$434,"All landing pages",Countries!$B$5:$B$434,"Direct",Countries!$D$5:$D$434,$A25))</f>
        <v/>
      </c>
      <c r="L25" s="69">
        <f>IF(OR(K25="",J25="",J25=0,K25=0),"",K25-J25)</f>
        <v/>
      </c>
      <c r="M25" s="42">
        <f>IF(OR(K25="",J25="",J25=0,K25=0),"",K25/J25-1)</f>
        <v/>
      </c>
      <c r="N25" s="41">
        <f>IF(SUM(B25,F25,J25)=0,"",SUM(B25,F25,J25))</f>
        <v/>
      </c>
      <c r="O25" s="41">
        <f>IF(SUM(C25,G25,K25)=0,"",SUM(C25,G25,K25))</f>
        <v/>
      </c>
      <c r="P25" s="69">
        <f>IF(OR(O25="",N25="",N25=0,O25=0),"",O25-N25)</f>
        <v/>
      </c>
      <c r="Q25" s="42">
        <f>IF(OR(O25="",N25="",N25=0,O25=0),"",O25/N25-1)</f>
        <v/>
      </c>
    </row>
    <row r="26">
      <c r="A26" s="56" t="inlineStr">
        <is>
          <t>Canada</t>
        </is>
      </c>
      <c r="B26" s="41">
        <f>IF(SUMIFS(Countries!$E$5:$E$434,Countries!$A$5:$A$434,"All landing pages",Countries!$B$5:$B$434,"Paid Search",Countries!$D$5:$D$434,$A26)=0,"",SUMIFS(Countries!$E$5:$E$434,Countries!$A$5:$A$434,"All landing pages",Countries!$B$5:$B$434,"Paid Search",Countries!$D$5:$D$434,$A26))</f>
        <v/>
      </c>
      <c r="C26" s="41">
        <f>IF(SUMIFS(Countries!$F$5:$F$434,Countries!$A$5:$A$434,"All landing pages",Countries!$B$5:$B$434,"Paid Search",Countries!$D$5:$D$434,$A26)=0,"",SUMIFS(Countries!$F$5:$F$434,Countries!$A$5:$A$434,"All landing pages",Countries!$B$5:$B$434,"Paid Search",Countries!$D$5:$D$434,$A26))</f>
        <v/>
      </c>
      <c r="D26" s="69">
        <f>IF(OR(C26="",B26="",B26=0,C26=0),"",C26-B26)</f>
        <v/>
      </c>
      <c r="E26" s="42">
        <f>IF(OR(C26="",B26="",B26=0,C26=0),"",C26/B26-1)</f>
        <v/>
      </c>
      <c r="F26" s="41">
        <f>IF(SUMIFS(Countries!$E$5:$E$434,Countries!$A$5:$A$434,"All landing pages",Countries!$B$5:$B$434,"Organic",Countries!$D$5:$D$434,$A26)=0,"",SUMIFS(Countries!$E$5:$E$434,Countries!$A$5:$A$434,"All landing pages",Countries!$B$5:$B$434,"Organic",Countries!$D$5:$D$434,$A26))</f>
        <v/>
      </c>
      <c r="G26" s="41">
        <f>IF(SUMIFS(Countries!$F$5:$F$434,Countries!$A$5:$A$434,"All landing pages",Countries!$B$5:$B$434,"Organic",Countries!$D$5:$D$434,$A26)=0,"",SUMIFS(Countries!$F$5:$F$434,Countries!$A$5:$A$434,"All landing pages",Countries!$B$5:$B$434,"Organic",Countries!$D$5:$D$434,$A26))</f>
        <v/>
      </c>
      <c r="H26" s="69">
        <f>IF(OR(G26="",F26="",F26=0,G26=0),"",G26-F26)</f>
        <v/>
      </c>
      <c r="I26" s="42">
        <f>IF(OR(G26="",F26="",F26=0,G26=0),"",G26/F26-1)</f>
        <v/>
      </c>
      <c r="J26" s="41">
        <f>IF(SUMIFS(Countries!$E$5:$E$434,Countries!$A$5:$A$434,"All landing pages",Countries!$B$5:$B$434,"Direct",Countries!$D$5:$D$434,$A26)=0,"",SUMIFS(Countries!$E$5:$E$434,Countries!$A$5:$A$434,"All landing pages",Countries!$B$5:$B$434,"Direct",Countries!$D$5:$D$434,$A26))</f>
        <v/>
      </c>
      <c r="K26" s="41">
        <f>IF(SUMIFS(Countries!$F$5:$F$434,Countries!$A$5:$A$434,"All landing pages",Countries!$B$5:$B$434,"Direct",Countries!$D$5:$D$434,$A26)=0,"",SUMIFS(Countries!$F$5:$F$434,Countries!$A$5:$A$434,"All landing pages",Countries!$B$5:$B$434,"Direct",Countries!$D$5:$D$434,$A26))</f>
        <v/>
      </c>
      <c r="L26" s="69">
        <f>IF(OR(K26="",J26="",J26=0,K26=0),"",K26-J26)</f>
        <v/>
      </c>
      <c r="M26" s="42">
        <f>IF(OR(K26="",J26="",J26=0,K26=0),"",K26/J26-1)</f>
        <v/>
      </c>
      <c r="N26" s="41">
        <f>IF(SUM(B26,F26,J26)=0,"",SUM(B26,F26,J26))</f>
        <v/>
      </c>
      <c r="O26" s="41">
        <f>IF(SUM(C26,G26,K26)=0,"",SUM(C26,G26,K26))</f>
        <v/>
      </c>
      <c r="P26" s="69">
        <f>IF(OR(O26="",N26="",N26=0,O26=0),"",O26-N26)</f>
        <v/>
      </c>
      <c r="Q26" s="42">
        <f>IF(OR(O26="",N26="",N26=0,O26=0),"",O26/N26-1)</f>
        <v/>
      </c>
    </row>
    <row r="27">
      <c r="A27" s="40" t="inlineStr">
        <is>
          <t>Greece</t>
        </is>
      </c>
      <c r="B27" s="41">
        <f>IF(SUMIFS(Countries!$E$5:$E$434,Countries!$A$5:$A$434,"All landing pages",Countries!$B$5:$B$434,"Paid Search",Countries!$D$5:$D$434,$A27)=0,"",SUMIFS(Countries!$E$5:$E$434,Countries!$A$5:$A$434,"All landing pages",Countries!$B$5:$B$434,"Paid Search",Countries!$D$5:$D$434,$A27))</f>
        <v/>
      </c>
      <c r="C27" s="41">
        <f>IF(SUMIFS(Countries!$F$5:$F$434,Countries!$A$5:$A$434,"All landing pages",Countries!$B$5:$B$434,"Paid Search",Countries!$D$5:$D$434,$A27)=0,"",SUMIFS(Countries!$F$5:$F$434,Countries!$A$5:$A$434,"All landing pages",Countries!$B$5:$B$434,"Paid Search",Countries!$D$5:$D$434,$A27))</f>
        <v/>
      </c>
      <c r="D27" s="69">
        <f>IF(OR(C27="",B27="",B27=0,C27=0),"",C27-B27)</f>
        <v/>
      </c>
      <c r="E27" s="42">
        <f>IF(OR(C27="",B27="",B27=0,C27=0),"",C27/B27-1)</f>
        <v/>
      </c>
      <c r="F27" s="41">
        <f>IF(SUMIFS(Countries!$E$5:$E$434,Countries!$A$5:$A$434,"All landing pages",Countries!$B$5:$B$434,"Organic",Countries!$D$5:$D$434,$A27)=0,"",SUMIFS(Countries!$E$5:$E$434,Countries!$A$5:$A$434,"All landing pages",Countries!$B$5:$B$434,"Organic",Countries!$D$5:$D$434,$A27))</f>
        <v/>
      </c>
      <c r="G27" s="41">
        <f>IF(SUMIFS(Countries!$F$5:$F$434,Countries!$A$5:$A$434,"All landing pages",Countries!$B$5:$B$434,"Organic",Countries!$D$5:$D$434,$A27)=0,"",SUMIFS(Countries!$F$5:$F$434,Countries!$A$5:$A$434,"All landing pages",Countries!$B$5:$B$434,"Organic",Countries!$D$5:$D$434,$A27))</f>
        <v/>
      </c>
      <c r="H27" s="69">
        <f>IF(OR(G27="",F27="",F27=0,G27=0),"",G27-F27)</f>
        <v/>
      </c>
      <c r="I27" s="42">
        <f>IF(OR(G27="",F27="",F27=0,G27=0),"",G27/F27-1)</f>
        <v/>
      </c>
      <c r="J27" s="41">
        <f>IF(SUMIFS(Countries!$E$5:$E$434,Countries!$A$5:$A$434,"All landing pages",Countries!$B$5:$B$434,"Direct",Countries!$D$5:$D$434,$A27)=0,"",SUMIFS(Countries!$E$5:$E$434,Countries!$A$5:$A$434,"All landing pages",Countries!$B$5:$B$434,"Direct",Countries!$D$5:$D$434,$A27))</f>
        <v/>
      </c>
      <c r="K27" s="41">
        <f>IF(SUMIFS(Countries!$F$5:$F$434,Countries!$A$5:$A$434,"All landing pages",Countries!$B$5:$B$434,"Direct",Countries!$D$5:$D$434,$A27)=0,"",SUMIFS(Countries!$F$5:$F$434,Countries!$A$5:$A$434,"All landing pages",Countries!$B$5:$B$434,"Direct",Countries!$D$5:$D$434,$A27))</f>
        <v/>
      </c>
      <c r="L27" s="69">
        <f>IF(OR(K27="",J27="",J27=0,K27=0),"",K27-J27)</f>
        <v/>
      </c>
      <c r="M27" s="42">
        <f>IF(OR(K27="",J27="",J27=0,K27=0),"",K27/J27-1)</f>
        <v/>
      </c>
      <c r="N27" s="41">
        <f>IF(SUM(B27,F27,J27)=0,"",SUM(B27,F27,J27))</f>
        <v/>
      </c>
      <c r="O27" s="41">
        <f>IF(SUM(C27,G27,K27)=0,"",SUM(C27,G27,K27))</f>
        <v/>
      </c>
      <c r="P27" s="69">
        <f>IF(OR(O27="",N27="",N27=0,O27=0),"",O27-N27)</f>
        <v/>
      </c>
      <c r="Q27" s="42">
        <f>IF(OR(O27="",N27="",N27=0,O27=0),"",O27/N27-1)</f>
        <v/>
      </c>
    </row>
    <row r="28">
      <c r="A28" s="56" t="inlineStr">
        <is>
          <t>Switzerland</t>
        </is>
      </c>
      <c r="B28" s="41">
        <f>IF(SUMIFS(Countries!$E$5:$E$434,Countries!$A$5:$A$434,"All landing pages",Countries!$B$5:$B$434,"Paid Search",Countries!$D$5:$D$434,$A28)=0,"",SUMIFS(Countries!$E$5:$E$434,Countries!$A$5:$A$434,"All landing pages",Countries!$B$5:$B$434,"Paid Search",Countries!$D$5:$D$434,$A28))</f>
        <v/>
      </c>
      <c r="C28" s="41">
        <f>IF(SUMIFS(Countries!$F$5:$F$434,Countries!$A$5:$A$434,"All landing pages",Countries!$B$5:$B$434,"Paid Search",Countries!$D$5:$D$434,$A28)=0,"",SUMIFS(Countries!$F$5:$F$434,Countries!$A$5:$A$434,"All landing pages",Countries!$B$5:$B$434,"Paid Search",Countries!$D$5:$D$434,$A28))</f>
        <v/>
      </c>
      <c r="D28" s="69">
        <f>IF(OR(C28="",B28="",B28=0,C28=0),"",C28-B28)</f>
        <v/>
      </c>
      <c r="E28" s="42">
        <f>IF(OR(C28="",B28="",B28=0,C28=0),"",C28/B28-1)</f>
        <v/>
      </c>
      <c r="F28" s="41">
        <f>IF(SUMIFS(Countries!$E$5:$E$434,Countries!$A$5:$A$434,"All landing pages",Countries!$B$5:$B$434,"Organic",Countries!$D$5:$D$434,$A28)=0,"",SUMIFS(Countries!$E$5:$E$434,Countries!$A$5:$A$434,"All landing pages",Countries!$B$5:$B$434,"Organic",Countries!$D$5:$D$434,$A28))</f>
        <v/>
      </c>
      <c r="G28" s="41">
        <f>IF(SUMIFS(Countries!$F$5:$F$434,Countries!$A$5:$A$434,"All landing pages",Countries!$B$5:$B$434,"Organic",Countries!$D$5:$D$434,$A28)=0,"",SUMIFS(Countries!$F$5:$F$434,Countries!$A$5:$A$434,"All landing pages",Countries!$B$5:$B$434,"Organic",Countries!$D$5:$D$434,$A28))</f>
        <v/>
      </c>
      <c r="H28" s="69">
        <f>IF(OR(G28="",F28="",F28=0,G28=0),"",G28-F28)</f>
        <v/>
      </c>
      <c r="I28" s="42">
        <f>IF(OR(G28="",F28="",F28=0,G28=0),"",G28/F28-1)</f>
        <v/>
      </c>
      <c r="J28" s="41">
        <f>IF(SUMIFS(Countries!$E$5:$E$434,Countries!$A$5:$A$434,"All landing pages",Countries!$B$5:$B$434,"Direct",Countries!$D$5:$D$434,$A28)=0,"",SUMIFS(Countries!$E$5:$E$434,Countries!$A$5:$A$434,"All landing pages",Countries!$B$5:$B$434,"Direct",Countries!$D$5:$D$434,$A28))</f>
        <v/>
      </c>
      <c r="K28" s="41">
        <f>IF(SUMIFS(Countries!$F$5:$F$434,Countries!$A$5:$A$434,"All landing pages",Countries!$B$5:$B$434,"Direct",Countries!$D$5:$D$434,$A28)=0,"",SUMIFS(Countries!$F$5:$F$434,Countries!$A$5:$A$434,"All landing pages",Countries!$B$5:$B$434,"Direct",Countries!$D$5:$D$434,$A28))</f>
        <v/>
      </c>
      <c r="L28" s="69">
        <f>IF(OR(K28="",J28="",J28=0,K28=0),"",K28-J28)</f>
        <v/>
      </c>
      <c r="M28" s="42">
        <f>IF(OR(K28="",J28="",J28=0,K28=0),"",K28/J28-1)</f>
        <v/>
      </c>
      <c r="N28" s="41">
        <f>IF(SUM(B28,F28,J28)=0,"",SUM(B28,F28,J28))</f>
        <v/>
      </c>
      <c r="O28" s="41">
        <f>IF(SUM(C28,G28,K28)=0,"",SUM(C28,G28,K28))</f>
        <v/>
      </c>
      <c r="P28" s="69">
        <f>IF(OR(O28="",N28="",N28=0,O28=0),"",O28-N28)</f>
        <v/>
      </c>
      <c r="Q28" s="42">
        <f>IF(OR(O28="",N28="",N28=0,O28=0),"",O28/N28-1)</f>
        <v/>
      </c>
    </row>
    <row r="29">
      <c r="A29" s="40" t="inlineStr">
        <is>
          <t>(not set)</t>
        </is>
      </c>
      <c r="B29" s="41">
        <f>IF(SUMIFS(Countries!$E$5:$E$434,Countries!$A$5:$A$434,"All landing pages",Countries!$B$5:$B$434,"Paid Search",Countries!$D$5:$D$434,$A29)=0,"",SUMIFS(Countries!$E$5:$E$434,Countries!$A$5:$A$434,"All landing pages",Countries!$B$5:$B$434,"Paid Search",Countries!$D$5:$D$434,$A29))</f>
        <v/>
      </c>
      <c r="C29" s="41">
        <f>IF(SUMIFS(Countries!$F$5:$F$434,Countries!$A$5:$A$434,"All landing pages",Countries!$B$5:$B$434,"Paid Search",Countries!$D$5:$D$434,$A29)=0,"",SUMIFS(Countries!$F$5:$F$434,Countries!$A$5:$A$434,"All landing pages",Countries!$B$5:$B$434,"Paid Search",Countries!$D$5:$D$434,$A29))</f>
        <v/>
      </c>
      <c r="D29" s="69">
        <f>IF(OR(C29="",B29="",B29=0,C29=0),"",C29-B29)</f>
        <v/>
      </c>
      <c r="E29" s="42">
        <f>IF(OR(C29="",B29="",B29=0,C29=0),"",C29/B29-1)</f>
        <v/>
      </c>
      <c r="F29" s="41">
        <f>IF(SUMIFS(Countries!$E$5:$E$434,Countries!$A$5:$A$434,"All landing pages",Countries!$B$5:$B$434,"Organic",Countries!$D$5:$D$434,$A29)=0,"",SUMIFS(Countries!$E$5:$E$434,Countries!$A$5:$A$434,"All landing pages",Countries!$B$5:$B$434,"Organic",Countries!$D$5:$D$434,$A29))</f>
        <v/>
      </c>
      <c r="G29" s="41">
        <f>IF(SUMIFS(Countries!$F$5:$F$434,Countries!$A$5:$A$434,"All landing pages",Countries!$B$5:$B$434,"Organic",Countries!$D$5:$D$434,$A29)=0,"",SUMIFS(Countries!$F$5:$F$434,Countries!$A$5:$A$434,"All landing pages",Countries!$B$5:$B$434,"Organic",Countries!$D$5:$D$434,$A29))</f>
        <v/>
      </c>
      <c r="H29" s="69">
        <f>IF(OR(G29="",F29="",F29=0,G29=0),"",G29-F29)</f>
        <v/>
      </c>
      <c r="I29" s="42">
        <f>IF(OR(G29="",F29="",F29=0,G29=0),"",G29/F29-1)</f>
        <v/>
      </c>
      <c r="J29" s="41">
        <f>IF(SUMIFS(Countries!$E$5:$E$434,Countries!$A$5:$A$434,"All landing pages",Countries!$B$5:$B$434,"Direct",Countries!$D$5:$D$434,$A29)=0,"",SUMIFS(Countries!$E$5:$E$434,Countries!$A$5:$A$434,"All landing pages",Countries!$B$5:$B$434,"Direct",Countries!$D$5:$D$434,$A29))</f>
        <v/>
      </c>
      <c r="K29" s="41">
        <f>IF(SUMIFS(Countries!$F$5:$F$434,Countries!$A$5:$A$434,"All landing pages",Countries!$B$5:$B$434,"Direct",Countries!$D$5:$D$434,$A29)=0,"",SUMIFS(Countries!$F$5:$F$434,Countries!$A$5:$A$434,"All landing pages",Countries!$B$5:$B$434,"Direct",Countries!$D$5:$D$434,$A29))</f>
        <v/>
      </c>
      <c r="L29" s="69">
        <f>IF(OR(K29="",J29="",J29=0,K29=0),"",K29-J29)</f>
        <v/>
      </c>
      <c r="M29" s="42">
        <f>IF(OR(K29="",J29="",J29=0,K29=0),"",K29/J29-1)</f>
        <v/>
      </c>
      <c r="N29" s="41">
        <f>IF(SUM(B29,F29,J29)=0,"",SUM(B29,F29,J29))</f>
        <v/>
      </c>
      <c r="O29" s="41">
        <f>IF(SUM(C29,G29,K29)=0,"",SUM(C29,G29,K29))</f>
        <v/>
      </c>
      <c r="P29" s="69">
        <f>IF(OR(O29="",N29="",N29=0,O29=0),"",O29-N29)</f>
        <v/>
      </c>
      <c r="Q29" s="42">
        <f>IF(OR(O29="",N29="",N29=0,O29=0),"",O29/N29-1)</f>
        <v/>
      </c>
    </row>
    <row r="30">
      <c r="A30" s="56" t="inlineStr">
        <is>
          <t>Algeria</t>
        </is>
      </c>
      <c r="B30" s="41">
        <f>IF(SUMIFS(Countries!$E$5:$E$434,Countries!$A$5:$A$434,"All landing pages",Countries!$B$5:$B$434,"Paid Search",Countries!$D$5:$D$434,$A30)=0,"",SUMIFS(Countries!$E$5:$E$434,Countries!$A$5:$A$434,"All landing pages",Countries!$B$5:$B$434,"Paid Search",Countries!$D$5:$D$434,$A30))</f>
        <v/>
      </c>
      <c r="C30" s="41">
        <f>IF(SUMIFS(Countries!$F$5:$F$434,Countries!$A$5:$A$434,"All landing pages",Countries!$B$5:$B$434,"Paid Search",Countries!$D$5:$D$434,$A30)=0,"",SUMIFS(Countries!$F$5:$F$434,Countries!$A$5:$A$434,"All landing pages",Countries!$B$5:$B$434,"Paid Search",Countries!$D$5:$D$434,$A30))</f>
        <v/>
      </c>
      <c r="D30" s="69">
        <f>IF(OR(C30="",B30="",B30=0,C30=0),"",C30-B30)</f>
        <v/>
      </c>
      <c r="E30" s="42">
        <f>IF(OR(C30="",B30="",B30=0,C30=0),"",C30/B30-1)</f>
        <v/>
      </c>
      <c r="F30" s="41">
        <f>IF(SUMIFS(Countries!$E$5:$E$434,Countries!$A$5:$A$434,"All landing pages",Countries!$B$5:$B$434,"Organic",Countries!$D$5:$D$434,$A30)=0,"",SUMIFS(Countries!$E$5:$E$434,Countries!$A$5:$A$434,"All landing pages",Countries!$B$5:$B$434,"Organic",Countries!$D$5:$D$434,$A30))</f>
        <v/>
      </c>
      <c r="G30" s="41">
        <f>IF(SUMIFS(Countries!$F$5:$F$434,Countries!$A$5:$A$434,"All landing pages",Countries!$B$5:$B$434,"Organic",Countries!$D$5:$D$434,$A30)=0,"",SUMIFS(Countries!$F$5:$F$434,Countries!$A$5:$A$434,"All landing pages",Countries!$B$5:$B$434,"Organic",Countries!$D$5:$D$434,$A30))</f>
        <v/>
      </c>
      <c r="H30" s="69">
        <f>IF(OR(G30="",F30="",F30=0,G30=0),"",G30-F30)</f>
        <v/>
      </c>
      <c r="I30" s="42">
        <f>IF(OR(G30="",F30="",F30=0,G30=0),"",G30/F30-1)</f>
        <v/>
      </c>
      <c r="J30" s="41">
        <f>IF(SUMIFS(Countries!$E$5:$E$434,Countries!$A$5:$A$434,"All landing pages",Countries!$B$5:$B$434,"Direct",Countries!$D$5:$D$434,$A30)=0,"",SUMIFS(Countries!$E$5:$E$434,Countries!$A$5:$A$434,"All landing pages",Countries!$B$5:$B$434,"Direct",Countries!$D$5:$D$434,$A30))</f>
        <v/>
      </c>
      <c r="K30" s="41">
        <f>IF(SUMIFS(Countries!$F$5:$F$434,Countries!$A$5:$A$434,"All landing pages",Countries!$B$5:$B$434,"Direct",Countries!$D$5:$D$434,$A30)=0,"",SUMIFS(Countries!$F$5:$F$434,Countries!$A$5:$A$434,"All landing pages",Countries!$B$5:$B$434,"Direct",Countries!$D$5:$D$434,$A30))</f>
        <v/>
      </c>
      <c r="L30" s="69">
        <f>IF(OR(K30="",J30="",J30=0,K30=0),"",K30-J30)</f>
        <v/>
      </c>
      <c r="M30" s="42">
        <f>IF(OR(K30="",J30="",J30=0,K30=0),"",K30/J30-1)</f>
        <v/>
      </c>
      <c r="N30" s="41">
        <f>IF(SUM(B30,F30,J30)=0,"",SUM(B30,F30,J30))</f>
        <v/>
      </c>
      <c r="O30" s="41">
        <f>IF(SUM(C30,G30,K30)=0,"",SUM(C30,G30,K30))</f>
        <v/>
      </c>
      <c r="P30" s="69">
        <f>IF(OR(O30="",N30="",N30=0,O30=0),"",O30-N30)</f>
        <v/>
      </c>
      <c r="Q30" s="42">
        <f>IF(OR(O30="",N30="",N30=0,O30=0),"",O30/N30-1)</f>
        <v/>
      </c>
    </row>
    <row r="31">
      <c r="A31" s="40" t="inlineStr">
        <is>
          <t>Argentina</t>
        </is>
      </c>
      <c r="B31" s="41">
        <f>IF(SUMIFS(Countries!$E$5:$E$434,Countries!$A$5:$A$434,"All landing pages",Countries!$B$5:$B$434,"Paid Search",Countries!$D$5:$D$434,$A31)=0,"",SUMIFS(Countries!$E$5:$E$434,Countries!$A$5:$A$434,"All landing pages",Countries!$B$5:$B$434,"Paid Search",Countries!$D$5:$D$434,$A31))</f>
        <v/>
      </c>
      <c r="C31" s="41">
        <f>IF(SUMIFS(Countries!$F$5:$F$434,Countries!$A$5:$A$434,"All landing pages",Countries!$B$5:$B$434,"Paid Search",Countries!$D$5:$D$434,$A31)=0,"",SUMIFS(Countries!$F$5:$F$434,Countries!$A$5:$A$434,"All landing pages",Countries!$B$5:$B$434,"Paid Search",Countries!$D$5:$D$434,$A31))</f>
        <v/>
      </c>
      <c r="D31" s="69">
        <f>IF(OR(C31="",B31="",B31=0,C31=0),"",C31-B31)</f>
        <v/>
      </c>
      <c r="E31" s="42">
        <f>IF(OR(C31="",B31="",B31=0,C31=0),"",C31/B31-1)</f>
        <v/>
      </c>
      <c r="F31" s="41">
        <f>IF(SUMIFS(Countries!$E$5:$E$434,Countries!$A$5:$A$434,"All landing pages",Countries!$B$5:$B$434,"Organic",Countries!$D$5:$D$434,$A31)=0,"",SUMIFS(Countries!$E$5:$E$434,Countries!$A$5:$A$434,"All landing pages",Countries!$B$5:$B$434,"Organic",Countries!$D$5:$D$434,$A31))</f>
        <v/>
      </c>
      <c r="G31" s="41">
        <f>IF(SUMIFS(Countries!$F$5:$F$434,Countries!$A$5:$A$434,"All landing pages",Countries!$B$5:$B$434,"Organic",Countries!$D$5:$D$434,$A31)=0,"",SUMIFS(Countries!$F$5:$F$434,Countries!$A$5:$A$434,"All landing pages",Countries!$B$5:$B$434,"Organic",Countries!$D$5:$D$434,$A31))</f>
        <v/>
      </c>
      <c r="H31" s="69">
        <f>IF(OR(G31="",F31="",F31=0,G31=0),"",G31-F31)</f>
        <v/>
      </c>
      <c r="I31" s="42">
        <f>IF(OR(G31="",F31="",F31=0,G31=0),"",G31/F31-1)</f>
        <v/>
      </c>
      <c r="J31" s="41">
        <f>IF(SUMIFS(Countries!$E$5:$E$434,Countries!$A$5:$A$434,"All landing pages",Countries!$B$5:$B$434,"Direct",Countries!$D$5:$D$434,$A31)=0,"",SUMIFS(Countries!$E$5:$E$434,Countries!$A$5:$A$434,"All landing pages",Countries!$B$5:$B$434,"Direct",Countries!$D$5:$D$434,$A31))</f>
        <v/>
      </c>
      <c r="K31" s="41">
        <f>IF(SUMIFS(Countries!$F$5:$F$434,Countries!$A$5:$A$434,"All landing pages",Countries!$B$5:$B$434,"Direct",Countries!$D$5:$D$434,$A31)=0,"",SUMIFS(Countries!$F$5:$F$434,Countries!$A$5:$A$434,"All landing pages",Countries!$B$5:$B$434,"Direct",Countries!$D$5:$D$434,$A31))</f>
        <v/>
      </c>
      <c r="L31" s="69">
        <f>IF(OR(K31="",J31="",J31=0,K31=0),"",K31-J31)</f>
        <v/>
      </c>
      <c r="M31" s="42">
        <f>IF(OR(K31="",J31="",J31=0,K31=0),"",K31/J31-1)</f>
        <v/>
      </c>
      <c r="N31" s="41">
        <f>IF(SUM(B31,F31,J31)=0,"",SUM(B31,F31,J31))</f>
        <v/>
      </c>
      <c r="O31" s="41">
        <f>IF(SUM(C31,G31,K31)=0,"",SUM(C31,G31,K31))</f>
        <v/>
      </c>
      <c r="P31" s="69">
        <f>IF(OR(O31="",N31="",N31=0,O31=0),"",O31-N31)</f>
        <v/>
      </c>
      <c r="Q31" s="42">
        <f>IF(OR(O31="",N31="",N31=0,O31=0),"",O31/N31-1)</f>
        <v/>
      </c>
    </row>
    <row r="32">
      <c r="A32" s="56" t="inlineStr">
        <is>
          <t>Bangladesh</t>
        </is>
      </c>
      <c r="B32" s="41">
        <f>IF(SUMIFS(Countries!$E$5:$E$434,Countries!$A$5:$A$434,"All landing pages",Countries!$B$5:$B$434,"Paid Search",Countries!$D$5:$D$434,$A32)=0,"",SUMIFS(Countries!$E$5:$E$434,Countries!$A$5:$A$434,"All landing pages",Countries!$B$5:$B$434,"Paid Search",Countries!$D$5:$D$434,$A32))</f>
        <v/>
      </c>
      <c r="C32" s="41">
        <f>IF(SUMIFS(Countries!$F$5:$F$434,Countries!$A$5:$A$434,"All landing pages",Countries!$B$5:$B$434,"Paid Search",Countries!$D$5:$D$434,$A32)=0,"",SUMIFS(Countries!$F$5:$F$434,Countries!$A$5:$A$434,"All landing pages",Countries!$B$5:$B$434,"Paid Search",Countries!$D$5:$D$434,$A32))</f>
        <v/>
      </c>
      <c r="D32" s="69">
        <f>IF(OR(C32="",B32="",B32=0,C32=0),"",C32-B32)</f>
        <v/>
      </c>
      <c r="E32" s="42">
        <f>IF(OR(C32="",B32="",B32=0,C32=0),"",C32/B32-1)</f>
        <v/>
      </c>
      <c r="F32" s="41">
        <f>IF(SUMIFS(Countries!$E$5:$E$434,Countries!$A$5:$A$434,"All landing pages",Countries!$B$5:$B$434,"Organic",Countries!$D$5:$D$434,$A32)=0,"",SUMIFS(Countries!$E$5:$E$434,Countries!$A$5:$A$434,"All landing pages",Countries!$B$5:$B$434,"Organic",Countries!$D$5:$D$434,$A32))</f>
        <v/>
      </c>
      <c r="G32" s="41">
        <f>IF(SUMIFS(Countries!$F$5:$F$434,Countries!$A$5:$A$434,"All landing pages",Countries!$B$5:$B$434,"Organic",Countries!$D$5:$D$434,$A32)=0,"",SUMIFS(Countries!$F$5:$F$434,Countries!$A$5:$A$434,"All landing pages",Countries!$B$5:$B$434,"Organic",Countries!$D$5:$D$434,$A32))</f>
        <v/>
      </c>
      <c r="H32" s="69">
        <f>IF(OR(G32="",F32="",F32=0,G32=0),"",G32-F32)</f>
        <v/>
      </c>
      <c r="I32" s="42">
        <f>IF(OR(G32="",F32="",F32=0,G32=0),"",G32/F32-1)</f>
        <v/>
      </c>
      <c r="J32" s="41">
        <f>IF(SUMIFS(Countries!$E$5:$E$434,Countries!$A$5:$A$434,"All landing pages",Countries!$B$5:$B$434,"Direct",Countries!$D$5:$D$434,$A32)=0,"",SUMIFS(Countries!$E$5:$E$434,Countries!$A$5:$A$434,"All landing pages",Countries!$B$5:$B$434,"Direct",Countries!$D$5:$D$434,$A32))</f>
        <v/>
      </c>
      <c r="K32" s="41">
        <f>IF(SUMIFS(Countries!$F$5:$F$434,Countries!$A$5:$A$434,"All landing pages",Countries!$B$5:$B$434,"Direct",Countries!$D$5:$D$434,$A32)=0,"",SUMIFS(Countries!$F$5:$F$434,Countries!$A$5:$A$434,"All landing pages",Countries!$B$5:$B$434,"Direct",Countries!$D$5:$D$434,$A32))</f>
        <v/>
      </c>
      <c r="L32" s="69">
        <f>IF(OR(K32="",J32="",J32=0,K32=0),"",K32-J32)</f>
        <v/>
      </c>
      <c r="M32" s="42">
        <f>IF(OR(K32="",J32="",J32=0,K32=0),"",K32/J32-1)</f>
        <v/>
      </c>
      <c r="N32" s="41">
        <f>IF(SUM(B32,F32,J32)=0,"",SUM(B32,F32,J32))</f>
        <v/>
      </c>
      <c r="O32" s="41">
        <f>IF(SUM(C32,G32,K32)=0,"",SUM(C32,G32,K32))</f>
        <v/>
      </c>
      <c r="P32" s="69">
        <f>IF(OR(O32="",N32="",N32=0,O32=0),"",O32-N32)</f>
        <v/>
      </c>
      <c r="Q32" s="42">
        <f>IF(OR(O32="",N32="",N32=0,O32=0),"",O32/N32-1)</f>
        <v/>
      </c>
    </row>
    <row r="33">
      <c r="A33" s="40" t="inlineStr">
        <is>
          <t>Brazil</t>
        </is>
      </c>
      <c r="B33" s="41">
        <f>IF(SUMIFS(Countries!$E$5:$E$434,Countries!$A$5:$A$434,"All landing pages",Countries!$B$5:$B$434,"Paid Search",Countries!$D$5:$D$434,$A33)=0,"",SUMIFS(Countries!$E$5:$E$434,Countries!$A$5:$A$434,"All landing pages",Countries!$B$5:$B$434,"Paid Search",Countries!$D$5:$D$434,$A33))</f>
        <v/>
      </c>
      <c r="C33" s="41">
        <f>IF(SUMIFS(Countries!$F$5:$F$434,Countries!$A$5:$A$434,"All landing pages",Countries!$B$5:$B$434,"Paid Search",Countries!$D$5:$D$434,$A33)=0,"",SUMIFS(Countries!$F$5:$F$434,Countries!$A$5:$A$434,"All landing pages",Countries!$B$5:$B$434,"Paid Search",Countries!$D$5:$D$434,$A33))</f>
        <v/>
      </c>
      <c r="D33" s="69">
        <f>IF(OR(C33="",B33="",B33=0,C33=0),"",C33-B33)</f>
        <v/>
      </c>
      <c r="E33" s="42">
        <f>IF(OR(C33="",B33="",B33=0,C33=0),"",C33/B33-1)</f>
        <v/>
      </c>
      <c r="F33" s="41">
        <f>IF(SUMIFS(Countries!$E$5:$E$434,Countries!$A$5:$A$434,"All landing pages",Countries!$B$5:$B$434,"Organic",Countries!$D$5:$D$434,$A33)=0,"",SUMIFS(Countries!$E$5:$E$434,Countries!$A$5:$A$434,"All landing pages",Countries!$B$5:$B$434,"Organic",Countries!$D$5:$D$434,$A33))</f>
        <v/>
      </c>
      <c r="G33" s="41">
        <f>IF(SUMIFS(Countries!$F$5:$F$434,Countries!$A$5:$A$434,"All landing pages",Countries!$B$5:$B$434,"Organic",Countries!$D$5:$D$434,$A33)=0,"",SUMIFS(Countries!$F$5:$F$434,Countries!$A$5:$A$434,"All landing pages",Countries!$B$5:$B$434,"Organic",Countries!$D$5:$D$434,$A33))</f>
        <v/>
      </c>
      <c r="H33" s="69">
        <f>IF(OR(G33="",F33="",F33=0,G33=0),"",G33-F33)</f>
        <v/>
      </c>
      <c r="I33" s="42">
        <f>IF(OR(G33="",F33="",F33=0,G33=0),"",G33/F33-1)</f>
        <v/>
      </c>
      <c r="J33" s="41">
        <f>IF(SUMIFS(Countries!$E$5:$E$434,Countries!$A$5:$A$434,"All landing pages",Countries!$B$5:$B$434,"Direct",Countries!$D$5:$D$434,$A33)=0,"",SUMIFS(Countries!$E$5:$E$434,Countries!$A$5:$A$434,"All landing pages",Countries!$B$5:$B$434,"Direct",Countries!$D$5:$D$434,$A33))</f>
        <v/>
      </c>
      <c r="K33" s="41">
        <f>IF(SUMIFS(Countries!$F$5:$F$434,Countries!$A$5:$A$434,"All landing pages",Countries!$B$5:$B$434,"Direct",Countries!$D$5:$D$434,$A33)=0,"",SUMIFS(Countries!$F$5:$F$434,Countries!$A$5:$A$434,"All landing pages",Countries!$B$5:$B$434,"Direct",Countries!$D$5:$D$434,$A33))</f>
        <v/>
      </c>
      <c r="L33" s="69">
        <f>IF(OR(K33="",J33="",J33=0,K33=0),"",K33-J33)</f>
        <v/>
      </c>
      <c r="M33" s="42">
        <f>IF(OR(K33="",J33="",J33=0,K33=0),"",K33/J33-1)</f>
        <v/>
      </c>
      <c r="N33" s="41">
        <f>IF(SUM(B33,F33,J33)=0,"",SUM(B33,F33,J33))</f>
        <v/>
      </c>
      <c r="O33" s="41">
        <f>IF(SUM(C33,G33,K33)=0,"",SUM(C33,G33,K33))</f>
        <v/>
      </c>
      <c r="P33" s="69">
        <f>IF(OR(O33="",N33="",N33=0,O33=0),"",O33-N33)</f>
        <v/>
      </c>
      <c r="Q33" s="42">
        <f>IF(OR(O33="",N33="",N33=0,O33=0),"",O33/N33-1)</f>
        <v/>
      </c>
    </row>
    <row r="34">
      <c r="A34" s="56" t="inlineStr">
        <is>
          <t>China</t>
        </is>
      </c>
      <c r="B34" s="41">
        <f>IF(SUMIFS(Countries!$E$5:$E$434,Countries!$A$5:$A$434,"All landing pages",Countries!$B$5:$B$434,"Paid Search",Countries!$D$5:$D$434,$A34)=0,"",SUMIFS(Countries!$E$5:$E$434,Countries!$A$5:$A$434,"All landing pages",Countries!$B$5:$B$434,"Paid Search",Countries!$D$5:$D$434,$A34))</f>
        <v/>
      </c>
      <c r="C34" s="41">
        <f>IF(SUMIFS(Countries!$F$5:$F$434,Countries!$A$5:$A$434,"All landing pages",Countries!$B$5:$B$434,"Paid Search",Countries!$D$5:$D$434,$A34)=0,"",SUMIFS(Countries!$F$5:$F$434,Countries!$A$5:$A$434,"All landing pages",Countries!$B$5:$B$434,"Paid Search",Countries!$D$5:$D$434,$A34))</f>
        <v/>
      </c>
      <c r="D34" s="69">
        <f>IF(OR(C34="",B34="",B34=0,C34=0),"",C34-B34)</f>
        <v/>
      </c>
      <c r="E34" s="42">
        <f>IF(OR(C34="",B34="",B34=0,C34=0),"",C34/B34-1)</f>
        <v/>
      </c>
      <c r="F34" s="41">
        <f>IF(SUMIFS(Countries!$E$5:$E$434,Countries!$A$5:$A$434,"All landing pages",Countries!$B$5:$B$434,"Organic",Countries!$D$5:$D$434,$A34)=0,"",SUMIFS(Countries!$E$5:$E$434,Countries!$A$5:$A$434,"All landing pages",Countries!$B$5:$B$434,"Organic",Countries!$D$5:$D$434,$A34))</f>
        <v/>
      </c>
      <c r="G34" s="41">
        <f>IF(SUMIFS(Countries!$F$5:$F$434,Countries!$A$5:$A$434,"All landing pages",Countries!$B$5:$B$434,"Organic",Countries!$D$5:$D$434,$A34)=0,"",SUMIFS(Countries!$F$5:$F$434,Countries!$A$5:$A$434,"All landing pages",Countries!$B$5:$B$434,"Organic",Countries!$D$5:$D$434,$A34))</f>
        <v/>
      </c>
      <c r="H34" s="69">
        <f>IF(OR(G34="",F34="",F34=0,G34=0),"",G34-F34)</f>
        <v/>
      </c>
      <c r="I34" s="42">
        <f>IF(OR(G34="",F34="",F34=0,G34=0),"",G34/F34-1)</f>
        <v/>
      </c>
      <c r="J34" s="41">
        <f>IF(SUMIFS(Countries!$E$5:$E$434,Countries!$A$5:$A$434,"All landing pages",Countries!$B$5:$B$434,"Direct",Countries!$D$5:$D$434,$A34)=0,"",SUMIFS(Countries!$E$5:$E$434,Countries!$A$5:$A$434,"All landing pages",Countries!$B$5:$B$434,"Direct",Countries!$D$5:$D$434,$A34))</f>
        <v/>
      </c>
      <c r="K34" s="41">
        <f>IF(SUMIFS(Countries!$F$5:$F$434,Countries!$A$5:$A$434,"All landing pages",Countries!$B$5:$B$434,"Direct",Countries!$D$5:$D$434,$A34)=0,"",SUMIFS(Countries!$F$5:$F$434,Countries!$A$5:$A$434,"All landing pages",Countries!$B$5:$B$434,"Direct",Countries!$D$5:$D$434,$A34))</f>
        <v/>
      </c>
      <c r="L34" s="69">
        <f>IF(OR(K34="",J34="",J34=0,K34=0),"",K34-J34)</f>
        <v/>
      </c>
      <c r="M34" s="42">
        <f>IF(OR(K34="",J34="",J34=0,K34=0),"",K34/J34-1)</f>
        <v/>
      </c>
      <c r="N34" s="41">
        <f>IF(SUM(B34,F34,J34)=0,"",SUM(B34,F34,J34))</f>
        <v/>
      </c>
      <c r="O34" s="41">
        <f>IF(SUM(C34,G34,K34)=0,"",SUM(C34,G34,K34))</f>
        <v/>
      </c>
      <c r="P34" s="69">
        <f>IF(OR(O34="",N34="",N34=0,O34=0),"",O34-N34)</f>
        <v/>
      </c>
      <c r="Q34" s="42">
        <f>IF(OR(O34="",N34="",N34=0,O34=0),"",O34/N34-1)</f>
        <v/>
      </c>
    </row>
    <row r="35">
      <c r="A35" s="40" t="inlineStr">
        <is>
          <t>Croatia</t>
        </is>
      </c>
      <c r="B35" s="41">
        <f>IF(SUMIFS(Countries!$E$5:$E$434,Countries!$A$5:$A$434,"All landing pages",Countries!$B$5:$B$434,"Paid Search",Countries!$D$5:$D$434,$A35)=0,"",SUMIFS(Countries!$E$5:$E$434,Countries!$A$5:$A$434,"All landing pages",Countries!$B$5:$B$434,"Paid Search",Countries!$D$5:$D$434,$A35))</f>
        <v/>
      </c>
      <c r="C35" s="41">
        <f>IF(SUMIFS(Countries!$F$5:$F$434,Countries!$A$5:$A$434,"All landing pages",Countries!$B$5:$B$434,"Paid Search",Countries!$D$5:$D$434,$A35)=0,"",SUMIFS(Countries!$F$5:$F$434,Countries!$A$5:$A$434,"All landing pages",Countries!$B$5:$B$434,"Paid Search",Countries!$D$5:$D$434,$A35))</f>
        <v/>
      </c>
      <c r="D35" s="69">
        <f>IF(OR(C35="",B35="",B35=0,C35=0),"",C35-B35)</f>
        <v/>
      </c>
      <c r="E35" s="42">
        <f>IF(OR(C35="",B35="",B35=0,C35=0),"",C35/B35-1)</f>
        <v/>
      </c>
      <c r="F35" s="41">
        <f>IF(SUMIFS(Countries!$E$5:$E$434,Countries!$A$5:$A$434,"All landing pages",Countries!$B$5:$B$434,"Organic",Countries!$D$5:$D$434,$A35)=0,"",SUMIFS(Countries!$E$5:$E$434,Countries!$A$5:$A$434,"All landing pages",Countries!$B$5:$B$434,"Organic",Countries!$D$5:$D$434,$A35))</f>
        <v/>
      </c>
      <c r="G35" s="41">
        <f>IF(SUMIFS(Countries!$F$5:$F$434,Countries!$A$5:$A$434,"All landing pages",Countries!$B$5:$B$434,"Organic",Countries!$D$5:$D$434,$A35)=0,"",SUMIFS(Countries!$F$5:$F$434,Countries!$A$5:$A$434,"All landing pages",Countries!$B$5:$B$434,"Organic",Countries!$D$5:$D$434,$A35))</f>
        <v/>
      </c>
      <c r="H35" s="69">
        <f>IF(OR(G35="",F35="",F35=0,G35=0),"",G35-F35)</f>
        <v/>
      </c>
      <c r="I35" s="42">
        <f>IF(OR(G35="",F35="",F35=0,G35=0),"",G35/F35-1)</f>
        <v/>
      </c>
      <c r="J35" s="41">
        <f>IF(SUMIFS(Countries!$E$5:$E$434,Countries!$A$5:$A$434,"All landing pages",Countries!$B$5:$B$434,"Direct",Countries!$D$5:$D$434,$A35)=0,"",SUMIFS(Countries!$E$5:$E$434,Countries!$A$5:$A$434,"All landing pages",Countries!$B$5:$B$434,"Direct",Countries!$D$5:$D$434,$A35))</f>
        <v/>
      </c>
      <c r="K35" s="41">
        <f>IF(SUMIFS(Countries!$F$5:$F$434,Countries!$A$5:$A$434,"All landing pages",Countries!$B$5:$B$434,"Direct",Countries!$D$5:$D$434,$A35)=0,"",SUMIFS(Countries!$F$5:$F$434,Countries!$A$5:$A$434,"All landing pages",Countries!$B$5:$B$434,"Direct",Countries!$D$5:$D$434,$A35))</f>
        <v/>
      </c>
      <c r="L35" s="69">
        <f>IF(OR(K35="",J35="",J35=0,K35=0),"",K35-J35)</f>
        <v/>
      </c>
      <c r="M35" s="42">
        <f>IF(OR(K35="",J35="",J35=0,K35=0),"",K35/J35-1)</f>
        <v/>
      </c>
      <c r="N35" s="41">
        <f>IF(SUM(B35,F35,J35)=0,"",SUM(B35,F35,J35))</f>
        <v/>
      </c>
      <c r="O35" s="41">
        <f>IF(SUM(C35,G35,K35)=0,"",SUM(C35,G35,K35))</f>
        <v/>
      </c>
      <c r="P35" s="69">
        <f>IF(OR(O35="",N35="",N35=0,O35=0),"",O35-N35)</f>
        <v/>
      </c>
      <c r="Q35" s="42">
        <f>IF(OR(O35="",N35="",N35=0,O35=0),"",O35/N35-1)</f>
        <v/>
      </c>
    </row>
    <row r="36">
      <c r="A36" s="56" t="inlineStr">
        <is>
          <t>Honduras</t>
        </is>
      </c>
      <c r="B36" s="41">
        <f>IF(SUMIFS(Countries!$E$5:$E$434,Countries!$A$5:$A$434,"All landing pages",Countries!$B$5:$B$434,"Paid Search",Countries!$D$5:$D$434,$A36)=0,"",SUMIFS(Countries!$E$5:$E$434,Countries!$A$5:$A$434,"All landing pages",Countries!$B$5:$B$434,"Paid Search",Countries!$D$5:$D$434,$A36))</f>
        <v/>
      </c>
      <c r="C36" s="41">
        <f>IF(SUMIFS(Countries!$F$5:$F$434,Countries!$A$5:$A$434,"All landing pages",Countries!$B$5:$B$434,"Paid Search",Countries!$D$5:$D$434,$A36)=0,"",SUMIFS(Countries!$F$5:$F$434,Countries!$A$5:$A$434,"All landing pages",Countries!$B$5:$B$434,"Paid Search",Countries!$D$5:$D$434,$A36))</f>
        <v/>
      </c>
      <c r="D36" s="69">
        <f>IF(OR(C36="",B36="",B36=0,C36=0),"",C36-B36)</f>
        <v/>
      </c>
      <c r="E36" s="42">
        <f>IF(OR(C36="",B36="",B36=0,C36=0),"",C36/B36-1)</f>
        <v/>
      </c>
      <c r="F36" s="41">
        <f>IF(SUMIFS(Countries!$E$5:$E$434,Countries!$A$5:$A$434,"All landing pages",Countries!$B$5:$B$434,"Organic",Countries!$D$5:$D$434,$A36)=0,"",SUMIFS(Countries!$E$5:$E$434,Countries!$A$5:$A$434,"All landing pages",Countries!$B$5:$B$434,"Organic",Countries!$D$5:$D$434,$A36))</f>
        <v/>
      </c>
      <c r="G36" s="41">
        <f>IF(SUMIFS(Countries!$F$5:$F$434,Countries!$A$5:$A$434,"All landing pages",Countries!$B$5:$B$434,"Organic",Countries!$D$5:$D$434,$A36)=0,"",SUMIFS(Countries!$F$5:$F$434,Countries!$A$5:$A$434,"All landing pages",Countries!$B$5:$B$434,"Organic",Countries!$D$5:$D$434,$A36))</f>
        <v/>
      </c>
      <c r="H36" s="69">
        <f>IF(OR(G36="",F36="",F36=0,G36=0),"",G36-F36)</f>
        <v/>
      </c>
      <c r="I36" s="42">
        <f>IF(OR(G36="",F36="",F36=0,G36=0),"",G36/F36-1)</f>
        <v/>
      </c>
      <c r="J36" s="41">
        <f>IF(SUMIFS(Countries!$E$5:$E$434,Countries!$A$5:$A$434,"All landing pages",Countries!$B$5:$B$434,"Direct",Countries!$D$5:$D$434,$A36)=0,"",SUMIFS(Countries!$E$5:$E$434,Countries!$A$5:$A$434,"All landing pages",Countries!$B$5:$B$434,"Direct",Countries!$D$5:$D$434,$A36))</f>
        <v/>
      </c>
      <c r="K36" s="41">
        <f>IF(SUMIFS(Countries!$F$5:$F$434,Countries!$A$5:$A$434,"All landing pages",Countries!$B$5:$B$434,"Direct",Countries!$D$5:$D$434,$A36)=0,"",SUMIFS(Countries!$F$5:$F$434,Countries!$A$5:$A$434,"All landing pages",Countries!$B$5:$B$434,"Direct",Countries!$D$5:$D$434,$A36))</f>
        <v/>
      </c>
      <c r="L36" s="69">
        <f>IF(OR(K36="",J36="",J36=0,K36=0),"",K36-J36)</f>
        <v/>
      </c>
      <c r="M36" s="42">
        <f>IF(OR(K36="",J36="",J36=0,K36=0),"",K36/J36-1)</f>
        <v/>
      </c>
      <c r="N36" s="41">
        <f>IF(SUM(B36,F36,J36)=0,"",SUM(B36,F36,J36))</f>
        <v/>
      </c>
      <c r="O36" s="41">
        <f>IF(SUM(C36,G36,K36)=0,"",SUM(C36,G36,K36))</f>
        <v/>
      </c>
      <c r="P36" s="69">
        <f>IF(OR(O36="",N36="",N36=0,O36=0),"",O36-N36)</f>
        <v/>
      </c>
      <c r="Q36" s="42">
        <f>IF(OR(O36="",N36="",N36=0,O36=0),"",O36/N36-1)</f>
        <v/>
      </c>
    </row>
    <row r="37">
      <c r="A37" s="40" t="inlineStr">
        <is>
          <t>Israel</t>
        </is>
      </c>
      <c r="B37" s="41">
        <f>IF(SUMIFS(Countries!$E$5:$E$434,Countries!$A$5:$A$434,"All landing pages",Countries!$B$5:$B$434,"Paid Search",Countries!$D$5:$D$434,$A37)=0,"",SUMIFS(Countries!$E$5:$E$434,Countries!$A$5:$A$434,"All landing pages",Countries!$B$5:$B$434,"Paid Search",Countries!$D$5:$D$434,$A37))</f>
        <v/>
      </c>
      <c r="C37" s="41">
        <f>IF(SUMIFS(Countries!$F$5:$F$434,Countries!$A$5:$A$434,"All landing pages",Countries!$B$5:$B$434,"Paid Search",Countries!$D$5:$D$434,$A37)=0,"",SUMIFS(Countries!$F$5:$F$434,Countries!$A$5:$A$434,"All landing pages",Countries!$B$5:$B$434,"Paid Search",Countries!$D$5:$D$434,$A37))</f>
        <v/>
      </c>
      <c r="D37" s="69">
        <f>IF(OR(C37="",B37="",B37=0,C37=0),"",C37-B37)</f>
        <v/>
      </c>
      <c r="E37" s="42">
        <f>IF(OR(C37="",B37="",B37=0,C37=0),"",C37/B37-1)</f>
        <v/>
      </c>
      <c r="F37" s="41">
        <f>IF(SUMIFS(Countries!$E$5:$E$434,Countries!$A$5:$A$434,"All landing pages",Countries!$B$5:$B$434,"Organic",Countries!$D$5:$D$434,$A37)=0,"",SUMIFS(Countries!$E$5:$E$434,Countries!$A$5:$A$434,"All landing pages",Countries!$B$5:$B$434,"Organic",Countries!$D$5:$D$434,$A37))</f>
        <v/>
      </c>
      <c r="G37" s="41">
        <f>IF(SUMIFS(Countries!$F$5:$F$434,Countries!$A$5:$A$434,"All landing pages",Countries!$B$5:$B$434,"Organic",Countries!$D$5:$D$434,$A37)=0,"",SUMIFS(Countries!$F$5:$F$434,Countries!$A$5:$A$434,"All landing pages",Countries!$B$5:$B$434,"Organic",Countries!$D$5:$D$434,$A37))</f>
        <v/>
      </c>
      <c r="H37" s="69">
        <f>IF(OR(G37="",F37="",F37=0,G37=0),"",G37-F37)</f>
        <v/>
      </c>
      <c r="I37" s="42">
        <f>IF(OR(G37="",F37="",F37=0,G37=0),"",G37/F37-1)</f>
        <v/>
      </c>
      <c r="J37" s="41">
        <f>IF(SUMIFS(Countries!$E$5:$E$434,Countries!$A$5:$A$434,"All landing pages",Countries!$B$5:$B$434,"Direct",Countries!$D$5:$D$434,$A37)=0,"",SUMIFS(Countries!$E$5:$E$434,Countries!$A$5:$A$434,"All landing pages",Countries!$B$5:$B$434,"Direct",Countries!$D$5:$D$434,$A37))</f>
        <v/>
      </c>
      <c r="K37" s="41">
        <f>IF(SUMIFS(Countries!$F$5:$F$434,Countries!$A$5:$A$434,"All landing pages",Countries!$B$5:$B$434,"Direct",Countries!$D$5:$D$434,$A37)=0,"",SUMIFS(Countries!$F$5:$F$434,Countries!$A$5:$A$434,"All landing pages",Countries!$B$5:$B$434,"Direct",Countries!$D$5:$D$434,$A37))</f>
        <v/>
      </c>
      <c r="L37" s="69">
        <f>IF(OR(K37="",J37="",J37=0,K37=0),"",K37-J37)</f>
        <v/>
      </c>
      <c r="M37" s="42">
        <f>IF(OR(K37="",J37="",J37=0,K37=0),"",K37/J37-1)</f>
        <v/>
      </c>
      <c r="N37" s="41">
        <f>IF(SUM(B37,F37,J37)=0,"",SUM(B37,F37,J37))</f>
        <v/>
      </c>
      <c r="O37" s="41">
        <f>IF(SUM(C37,G37,K37)=0,"",SUM(C37,G37,K37))</f>
        <v/>
      </c>
      <c r="P37" s="69">
        <f>IF(OR(O37="",N37="",N37=0,O37=0),"",O37-N37)</f>
        <v/>
      </c>
      <c r="Q37" s="42">
        <f>IF(OR(O37="",N37="",N37=0,O37=0),"",O37/N37-1)</f>
        <v/>
      </c>
    </row>
    <row r="38">
      <c r="A38" s="56" t="inlineStr">
        <is>
          <t>Philippines</t>
        </is>
      </c>
      <c r="B38" s="41">
        <f>IF(SUMIFS(Countries!$E$5:$E$434,Countries!$A$5:$A$434,"All landing pages",Countries!$B$5:$B$434,"Paid Search",Countries!$D$5:$D$434,$A38)=0,"",SUMIFS(Countries!$E$5:$E$434,Countries!$A$5:$A$434,"All landing pages",Countries!$B$5:$B$434,"Paid Search",Countries!$D$5:$D$434,$A38))</f>
        <v/>
      </c>
      <c r="C38" s="41">
        <f>IF(SUMIFS(Countries!$F$5:$F$434,Countries!$A$5:$A$434,"All landing pages",Countries!$B$5:$B$434,"Paid Search",Countries!$D$5:$D$434,$A38)=0,"",SUMIFS(Countries!$F$5:$F$434,Countries!$A$5:$A$434,"All landing pages",Countries!$B$5:$B$434,"Paid Search",Countries!$D$5:$D$434,$A38))</f>
        <v/>
      </c>
      <c r="D38" s="69">
        <f>IF(OR(C38="",B38="",B38=0,C38=0),"",C38-B38)</f>
        <v/>
      </c>
      <c r="E38" s="42">
        <f>IF(OR(C38="",B38="",B38=0,C38=0),"",C38/B38-1)</f>
        <v/>
      </c>
      <c r="F38" s="41">
        <f>IF(SUMIFS(Countries!$E$5:$E$434,Countries!$A$5:$A$434,"All landing pages",Countries!$B$5:$B$434,"Organic",Countries!$D$5:$D$434,$A38)=0,"",SUMIFS(Countries!$E$5:$E$434,Countries!$A$5:$A$434,"All landing pages",Countries!$B$5:$B$434,"Organic",Countries!$D$5:$D$434,$A38))</f>
        <v/>
      </c>
      <c r="G38" s="41">
        <f>IF(SUMIFS(Countries!$F$5:$F$434,Countries!$A$5:$A$434,"All landing pages",Countries!$B$5:$B$434,"Organic",Countries!$D$5:$D$434,$A38)=0,"",SUMIFS(Countries!$F$5:$F$434,Countries!$A$5:$A$434,"All landing pages",Countries!$B$5:$B$434,"Organic",Countries!$D$5:$D$434,$A38))</f>
        <v/>
      </c>
      <c r="H38" s="69">
        <f>IF(OR(G38="",F38="",F38=0,G38=0),"",G38-F38)</f>
        <v/>
      </c>
      <c r="I38" s="42">
        <f>IF(OR(G38="",F38="",F38=0,G38=0),"",G38/F38-1)</f>
        <v/>
      </c>
      <c r="J38" s="41">
        <f>IF(SUMIFS(Countries!$E$5:$E$434,Countries!$A$5:$A$434,"All landing pages",Countries!$B$5:$B$434,"Direct",Countries!$D$5:$D$434,$A38)=0,"",SUMIFS(Countries!$E$5:$E$434,Countries!$A$5:$A$434,"All landing pages",Countries!$B$5:$B$434,"Direct",Countries!$D$5:$D$434,$A38))</f>
        <v/>
      </c>
      <c r="K38" s="41">
        <f>IF(SUMIFS(Countries!$F$5:$F$434,Countries!$A$5:$A$434,"All landing pages",Countries!$B$5:$B$434,"Direct",Countries!$D$5:$D$434,$A38)=0,"",SUMIFS(Countries!$F$5:$F$434,Countries!$A$5:$A$434,"All landing pages",Countries!$B$5:$B$434,"Direct",Countries!$D$5:$D$434,$A38))</f>
        <v/>
      </c>
      <c r="L38" s="69">
        <f>IF(OR(K38="",J38="",J38=0,K38=0),"",K38-J38)</f>
        <v/>
      </c>
      <c r="M38" s="42">
        <f>IF(OR(K38="",J38="",J38=0,K38=0),"",K38/J38-1)</f>
        <v/>
      </c>
      <c r="N38" s="41">
        <f>IF(SUM(B38,F38,J38)=0,"",SUM(B38,F38,J38))</f>
        <v/>
      </c>
      <c r="O38" s="41">
        <f>IF(SUM(C38,G38,K38)=0,"",SUM(C38,G38,K38))</f>
        <v/>
      </c>
      <c r="P38" s="69">
        <f>IF(OR(O38="",N38="",N38=0,O38=0),"",O38-N38)</f>
        <v/>
      </c>
      <c r="Q38" s="42">
        <f>IF(OR(O38="",N38="",N38=0,O38=0),"",O38/N38-1)</f>
        <v/>
      </c>
    </row>
    <row r="39">
      <c r="A39" s="40" t="inlineStr">
        <is>
          <t>Ukraine</t>
        </is>
      </c>
      <c r="B39" s="41">
        <f>IF(SUMIFS(Countries!$E$5:$E$434,Countries!$A$5:$A$434,"All landing pages",Countries!$B$5:$B$434,"Paid Search",Countries!$D$5:$D$434,$A39)=0,"",SUMIFS(Countries!$E$5:$E$434,Countries!$A$5:$A$434,"All landing pages",Countries!$B$5:$B$434,"Paid Search",Countries!$D$5:$D$434,$A39))</f>
        <v/>
      </c>
      <c r="C39" s="41">
        <f>IF(SUMIFS(Countries!$F$5:$F$434,Countries!$A$5:$A$434,"All landing pages",Countries!$B$5:$B$434,"Paid Search",Countries!$D$5:$D$434,$A39)=0,"",SUMIFS(Countries!$F$5:$F$434,Countries!$A$5:$A$434,"All landing pages",Countries!$B$5:$B$434,"Paid Search",Countries!$D$5:$D$434,$A39))</f>
        <v/>
      </c>
      <c r="D39" s="69">
        <f>IF(OR(C39="",B39="",B39=0,C39=0),"",C39-B39)</f>
        <v/>
      </c>
      <c r="E39" s="42">
        <f>IF(OR(C39="",B39="",B39=0,C39=0),"",C39/B39-1)</f>
        <v/>
      </c>
      <c r="F39" s="41">
        <f>IF(SUMIFS(Countries!$E$5:$E$434,Countries!$A$5:$A$434,"All landing pages",Countries!$B$5:$B$434,"Organic",Countries!$D$5:$D$434,$A39)=0,"",SUMIFS(Countries!$E$5:$E$434,Countries!$A$5:$A$434,"All landing pages",Countries!$B$5:$B$434,"Organic",Countries!$D$5:$D$434,$A39))</f>
        <v/>
      </c>
      <c r="G39" s="41">
        <f>IF(SUMIFS(Countries!$F$5:$F$434,Countries!$A$5:$A$434,"All landing pages",Countries!$B$5:$B$434,"Organic",Countries!$D$5:$D$434,$A39)=0,"",SUMIFS(Countries!$F$5:$F$434,Countries!$A$5:$A$434,"All landing pages",Countries!$B$5:$B$434,"Organic",Countries!$D$5:$D$434,$A39))</f>
        <v/>
      </c>
      <c r="H39" s="69">
        <f>IF(OR(G39="",F39="",F39=0,G39=0),"",G39-F39)</f>
        <v/>
      </c>
      <c r="I39" s="42">
        <f>IF(OR(G39="",F39="",F39=0,G39=0),"",G39/F39-1)</f>
        <v/>
      </c>
      <c r="J39" s="41">
        <f>IF(SUMIFS(Countries!$E$5:$E$434,Countries!$A$5:$A$434,"All landing pages",Countries!$B$5:$B$434,"Direct",Countries!$D$5:$D$434,$A39)=0,"",SUMIFS(Countries!$E$5:$E$434,Countries!$A$5:$A$434,"All landing pages",Countries!$B$5:$B$434,"Direct",Countries!$D$5:$D$434,$A39))</f>
        <v/>
      </c>
      <c r="K39" s="41">
        <f>IF(SUMIFS(Countries!$F$5:$F$434,Countries!$A$5:$A$434,"All landing pages",Countries!$B$5:$B$434,"Direct",Countries!$D$5:$D$434,$A39)=0,"",SUMIFS(Countries!$F$5:$F$434,Countries!$A$5:$A$434,"All landing pages",Countries!$B$5:$B$434,"Direct",Countries!$D$5:$D$434,$A39))</f>
        <v/>
      </c>
      <c r="L39" s="69">
        <f>IF(OR(K39="",J39="",J39=0,K39=0),"",K39-J39)</f>
        <v/>
      </c>
      <c r="M39" s="42">
        <f>IF(OR(K39="",J39="",J39=0,K39=0),"",K39/J39-1)</f>
        <v/>
      </c>
      <c r="N39" s="41">
        <f>IF(SUM(B39,F39,J39)=0,"",SUM(B39,F39,J39))</f>
        <v/>
      </c>
      <c r="O39" s="41">
        <f>IF(SUM(C39,G39,K39)=0,"",SUM(C39,G39,K39))</f>
        <v/>
      </c>
      <c r="P39" s="69">
        <f>IF(OR(O39="",N39="",N39=0,O39=0),"",O39-N39)</f>
        <v/>
      </c>
      <c r="Q39" s="42">
        <f>IF(OR(O39="",N39="",N39=0,O39=0),"",O39/N39-1)</f>
        <v/>
      </c>
    </row>
    <row r="42">
      <c r="A42" s="39" t="inlineStr">
        <is>
          <t>Start Search</t>
        </is>
      </c>
    </row>
    <row r="43">
      <c r="A43" s="75" t="inlineStr">
        <is>
          <t>Country</t>
        </is>
      </c>
      <c r="B43" s="64" t="inlineStr">
        <is>
          <t>Paid Search</t>
        </is>
      </c>
      <c r="C43" s="61" t="n"/>
      <c r="D43" s="61" t="n"/>
      <c r="E43" s="61" t="n"/>
      <c r="F43" s="64" t="inlineStr">
        <is>
          <t>Organic</t>
        </is>
      </c>
      <c r="G43" s="61" t="n"/>
      <c r="H43" s="61" t="n"/>
      <c r="I43" s="61" t="n"/>
      <c r="J43" s="64" t="inlineStr">
        <is>
          <t>Direct</t>
        </is>
      </c>
      <c r="K43" s="61" t="n"/>
      <c r="L43" s="61" t="n"/>
      <c r="M43" s="61" t="n"/>
      <c r="N43" s="27" t="inlineStr">
        <is>
          <t>Total</t>
        </is>
      </c>
      <c r="O43" s="17" t="n"/>
      <c r="P43" s="17" t="n"/>
      <c r="Q43" s="17" t="n"/>
    </row>
    <row r="44">
      <c r="A44" s="15" t="n"/>
      <c r="B44" s="27" t="inlineStr">
        <is>
          <t>1-23Aug25</t>
        </is>
      </c>
      <c r="C44" s="27" t="inlineStr">
        <is>
          <t>1-23Aug26</t>
        </is>
      </c>
      <c r="D44" s="27" t="inlineStr">
        <is>
          <t>Δ</t>
        </is>
      </c>
      <c r="E44" s="27" t="inlineStr">
        <is>
          <t>% Δ</t>
        </is>
      </c>
      <c r="F44" s="27" t="inlineStr">
        <is>
          <t>1-23Aug25</t>
        </is>
      </c>
      <c r="G44" s="27" t="inlineStr">
        <is>
          <t>1-23Aug26</t>
        </is>
      </c>
      <c r="H44" s="27" t="inlineStr">
        <is>
          <t>Δ</t>
        </is>
      </c>
      <c r="I44" s="27" t="inlineStr">
        <is>
          <t>% Δ</t>
        </is>
      </c>
      <c r="J44" s="27" t="inlineStr">
        <is>
          <t>1-23Aug25</t>
        </is>
      </c>
      <c r="K44" s="27" t="inlineStr">
        <is>
          <t>1-23Aug26</t>
        </is>
      </c>
      <c r="L44" s="27" t="inlineStr">
        <is>
          <t>Δ</t>
        </is>
      </c>
      <c r="M44" s="27" t="inlineStr">
        <is>
          <t>% Δ</t>
        </is>
      </c>
      <c r="N44" s="27" t="inlineStr">
        <is>
          <t>1-23Aug25</t>
        </is>
      </c>
      <c r="O44" s="27" t="inlineStr">
        <is>
          <t>1-23Aug26</t>
        </is>
      </c>
      <c r="P44" s="27" t="inlineStr">
        <is>
          <t>Δ</t>
        </is>
      </c>
      <c r="Q44" s="27" t="inlineStr">
        <is>
          <t>% Δ</t>
        </is>
      </c>
    </row>
    <row r="45">
      <c r="A45" s="40" t="inlineStr">
        <is>
          <t>United Kingdom</t>
        </is>
      </c>
      <c r="B45" s="41">
        <f>IF(SUMIFS(Countries!$I$5:$I$434,Countries!$A$5:$A$434,"All landing pages",Countries!$B$5:$B$434,"Paid Search",Countries!$D$5:$D$434,$A45)=0,"",SUMIFS(Countries!$I$5:$I$434,Countries!$A$5:$A$434,"All landing pages",Countries!$B$5:$B$434,"Paid Search",Countries!$D$5:$D$434,$A45))</f>
        <v/>
      </c>
      <c r="C45" s="41">
        <f>IF(SUMIFS(Countries!$J$5:$J$434,Countries!$A$5:$A$434,"All landing pages",Countries!$B$5:$B$434,"Paid Search",Countries!$D$5:$D$434,$A45)=0,"",SUMIFS(Countries!$J$5:$J$434,Countries!$A$5:$A$434,"All landing pages",Countries!$B$5:$B$434,"Paid Search",Countries!$D$5:$D$434,$A45))</f>
        <v/>
      </c>
      <c r="D45" s="69">
        <f>IF(OR(C45="",B45="",B45=0,C45=0),"",C45-B45)</f>
        <v/>
      </c>
      <c r="E45" s="42">
        <f>IF(OR(C45="",B45="",B45=0,C45=0),"",C45/B45-1)</f>
        <v/>
      </c>
      <c r="F45" s="41">
        <f>IF(SUMIFS(Countries!$I$5:$I$434,Countries!$A$5:$A$434,"All landing pages",Countries!$B$5:$B$434,"Organic",Countries!$D$5:$D$434,$A45)=0,"",SUMIFS(Countries!$I$5:$I$434,Countries!$A$5:$A$434,"All landing pages",Countries!$B$5:$B$434,"Organic",Countries!$D$5:$D$434,$A45))</f>
        <v/>
      </c>
      <c r="G45" s="41">
        <f>IF(SUMIFS(Countries!$J$5:$J$434,Countries!$A$5:$A$434,"All landing pages",Countries!$B$5:$B$434,"Organic",Countries!$D$5:$D$434,$A45)=0,"",SUMIFS(Countries!$J$5:$J$434,Countries!$A$5:$A$434,"All landing pages",Countries!$B$5:$B$434,"Organic",Countries!$D$5:$D$434,$A45))</f>
        <v/>
      </c>
      <c r="H45" s="69">
        <f>IF(OR(G45="",F45="",F45=0,G45=0),"",G45-F45)</f>
        <v/>
      </c>
      <c r="I45" s="42">
        <f>IF(OR(G45="",F45="",F45=0,G45=0),"",G45/F45-1)</f>
        <v/>
      </c>
      <c r="J45" s="41">
        <f>IF(SUMIFS(Countries!$I$5:$I$434,Countries!$A$5:$A$434,"All landing pages",Countries!$B$5:$B$434,"Direct",Countries!$D$5:$D$434,$A45)=0,"",SUMIFS(Countries!$I$5:$I$434,Countries!$A$5:$A$434,"All landing pages",Countries!$B$5:$B$434,"Direct",Countries!$D$5:$D$434,$A45))</f>
        <v/>
      </c>
      <c r="K45" s="41">
        <f>IF(SUMIFS(Countries!$J$5:$J$434,Countries!$A$5:$A$434,"All landing pages",Countries!$B$5:$B$434,"Direct",Countries!$D$5:$D$434,$A45)=0,"",SUMIFS(Countries!$J$5:$J$434,Countries!$A$5:$A$434,"All landing pages",Countries!$B$5:$B$434,"Direct",Countries!$D$5:$D$434,$A45))</f>
        <v/>
      </c>
      <c r="L45" s="69">
        <f>IF(OR(K45="",J45="",J45=0,K45=0),"",K45-J45)</f>
        <v/>
      </c>
      <c r="M45" s="42">
        <f>IF(OR(K45="",J45="",J45=0,K45=0),"",K45/J45-1)</f>
        <v/>
      </c>
      <c r="N45" s="41">
        <f>IF(SUM(B45,F45,J45)=0,"",SUM(B45,F45,J45))</f>
        <v/>
      </c>
      <c r="O45" s="41">
        <f>IF(SUM(C45,G45,K45)=0,"",SUM(C45,G45,K45))</f>
        <v/>
      </c>
      <c r="P45" s="69">
        <f>IF(OR(O45="",N45="",N45=0,O45=0),"",O45-N45)</f>
        <v/>
      </c>
      <c r="Q45" s="42">
        <f>IF(OR(O45="",N45="",N45=0,O45=0),"",O45/N45-1)</f>
        <v/>
      </c>
    </row>
    <row r="46">
      <c r="A46" s="56" t="inlineStr">
        <is>
          <t>Germany</t>
        </is>
      </c>
      <c r="B46" s="41">
        <f>IF(SUMIFS(Countries!$I$5:$I$434,Countries!$A$5:$A$434,"All landing pages",Countries!$B$5:$B$434,"Paid Search",Countries!$D$5:$D$434,$A46)=0,"",SUMIFS(Countries!$I$5:$I$434,Countries!$A$5:$A$434,"All landing pages",Countries!$B$5:$B$434,"Paid Search",Countries!$D$5:$D$434,$A46))</f>
        <v/>
      </c>
      <c r="C46" s="41">
        <f>IF(SUMIFS(Countries!$J$5:$J$434,Countries!$A$5:$A$434,"All landing pages",Countries!$B$5:$B$434,"Paid Search",Countries!$D$5:$D$434,$A46)=0,"",SUMIFS(Countries!$J$5:$J$434,Countries!$A$5:$A$434,"All landing pages",Countries!$B$5:$B$434,"Paid Search",Countries!$D$5:$D$434,$A46))</f>
        <v/>
      </c>
      <c r="D46" s="69">
        <f>IF(OR(C46="",B46="",B46=0,C46=0),"",C46-B46)</f>
        <v/>
      </c>
      <c r="E46" s="42">
        <f>IF(OR(C46="",B46="",B46=0,C46=0),"",C46/B46-1)</f>
        <v/>
      </c>
      <c r="F46" s="41">
        <f>IF(SUMIFS(Countries!$I$5:$I$434,Countries!$A$5:$A$434,"All landing pages",Countries!$B$5:$B$434,"Organic",Countries!$D$5:$D$434,$A46)=0,"",SUMIFS(Countries!$I$5:$I$434,Countries!$A$5:$A$434,"All landing pages",Countries!$B$5:$B$434,"Organic",Countries!$D$5:$D$434,$A46))</f>
        <v/>
      </c>
      <c r="G46" s="41">
        <f>IF(SUMIFS(Countries!$J$5:$J$434,Countries!$A$5:$A$434,"All landing pages",Countries!$B$5:$B$434,"Organic",Countries!$D$5:$D$434,$A46)=0,"",SUMIFS(Countries!$J$5:$J$434,Countries!$A$5:$A$434,"All landing pages",Countries!$B$5:$B$434,"Organic",Countries!$D$5:$D$434,$A46))</f>
        <v/>
      </c>
      <c r="H46" s="69">
        <f>IF(OR(G46="",F46="",F46=0,G46=0),"",G46-F46)</f>
        <v/>
      </c>
      <c r="I46" s="42">
        <f>IF(OR(G46="",F46="",F46=0,G46=0),"",G46/F46-1)</f>
        <v/>
      </c>
      <c r="J46" s="41">
        <f>IF(SUMIFS(Countries!$I$5:$I$434,Countries!$A$5:$A$434,"All landing pages",Countries!$B$5:$B$434,"Direct",Countries!$D$5:$D$434,$A46)=0,"",SUMIFS(Countries!$I$5:$I$434,Countries!$A$5:$A$434,"All landing pages",Countries!$B$5:$B$434,"Direct",Countries!$D$5:$D$434,$A46))</f>
        <v/>
      </c>
      <c r="K46" s="41">
        <f>IF(SUMIFS(Countries!$J$5:$J$434,Countries!$A$5:$A$434,"All landing pages",Countries!$B$5:$B$434,"Direct",Countries!$D$5:$D$434,$A46)=0,"",SUMIFS(Countries!$J$5:$J$434,Countries!$A$5:$A$434,"All landing pages",Countries!$B$5:$B$434,"Direct",Countries!$D$5:$D$434,$A46))</f>
        <v/>
      </c>
      <c r="L46" s="69">
        <f>IF(OR(K46="",J46="",J46=0,K46=0),"",K46-J46)</f>
        <v/>
      </c>
      <c r="M46" s="42">
        <f>IF(OR(K46="",J46="",J46=0,K46=0),"",K46/J46-1)</f>
        <v/>
      </c>
      <c r="N46" s="41">
        <f>IF(SUM(B46,F46,J46)=0,"",SUM(B46,F46,J46))</f>
        <v/>
      </c>
      <c r="O46" s="41">
        <f>IF(SUM(C46,G46,K46)=0,"",SUM(C46,G46,K46))</f>
        <v/>
      </c>
      <c r="P46" s="69">
        <f>IF(OR(O46="",N46="",N46=0,O46=0),"",O46-N46)</f>
        <v/>
      </c>
      <c r="Q46" s="42">
        <f>IF(OR(O46="",N46="",N46=0,O46=0),"",O46/N46-1)</f>
        <v/>
      </c>
    </row>
    <row r="47">
      <c r="A47" s="40" t="inlineStr">
        <is>
          <t>Italy</t>
        </is>
      </c>
      <c r="B47" s="41">
        <f>IF(SUMIFS(Countries!$I$5:$I$434,Countries!$A$5:$A$434,"All landing pages",Countries!$B$5:$B$434,"Paid Search",Countries!$D$5:$D$434,$A47)=0,"",SUMIFS(Countries!$I$5:$I$434,Countries!$A$5:$A$434,"All landing pages",Countries!$B$5:$B$434,"Paid Search",Countries!$D$5:$D$434,$A47))</f>
        <v/>
      </c>
      <c r="C47" s="41">
        <f>IF(SUMIFS(Countries!$J$5:$J$434,Countries!$A$5:$A$434,"All landing pages",Countries!$B$5:$B$434,"Paid Search",Countries!$D$5:$D$434,$A47)=0,"",SUMIFS(Countries!$J$5:$J$434,Countries!$A$5:$A$434,"All landing pages",Countries!$B$5:$B$434,"Paid Search",Countries!$D$5:$D$434,$A47))</f>
        <v/>
      </c>
      <c r="D47" s="69">
        <f>IF(OR(C47="",B47="",B47=0,C47=0),"",C47-B47)</f>
        <v/>
      </c>
      <c r="E47" s="42">
        <f>IF(OR(C47="",B47="",B47=0,C47=0),"",C47/B47-1)</f>
        <v/>
      </c>
      <c r="F47" s="41">
        <f>IF(SUMIFS(Countries!$I$5:$I$434,Countries!$A$5:$A$434,"All landing pages",Countries!$B$5:$B$434,"Organic",Countries!$D$5:$D$434,$A47)=0,"",SUMIFS(Countries!$I$5:$I$434,Countries!$A$5:$A$434,"All landing pages",Countries!$B$5:$B$434,"Organic",Countries!$D$5:$D$434,$A47))</f>
        <v/>
      </c>
      <c r="G47" s="41">
        <f>IF(SUMIFS(Countries!$J$5:$J$434,Countries!$A$5:$A$434,"All landing pages",Countries!$B$5:$B$434,"Organic",Countries!$D$5:$D$434,$A47)=0,"",SUMIFS(Countries!$J$5:$J$434,Countries!$A$5:$A$434,"All landing pages",Countries!$B$5:$B$434,"Organic",Countries!$D$5:$D$434,$A47))</f>
        <v/>
      </c>
      <c r="H47" s="69">
        <f>IF(OR(G47="",F47="",F47=0,G47=0),"",G47-F47)</f>
        <v/>
      </c>
      <c r="I47" s="42">
        <f>IF(OR(G47="",F47="",F47=0,G47=0),"",G47/F47-1)</f>
        <v/>
      </c>
      <c r="J47" s="41">
        <f>IF(SUMIFS(Countries!$I$5:$I$434,Countries!$A$5:$A$434,"All landing pages",Countries!$B$5:$B$434,"Direct",Countries!$D$5:$D$434,$A47)=0,"",SUMIFS(Countries!$I$5:$I$434,Countries!$A$5:$A$434,"All landing pages",Countries!$B$5:$B$434,"Direct",Countries!$D$5:$D$434,$A47))</f>
        <v/>
      </c>
      <c r="K47" s="41">
        <f>IF(SUMIFS(Countries!$J$5:$J$434,Countries!$A$5:$A$434,"All landing pages",Countries!$B$5:$B$434,"Direct",Countries!$D$5:$D$434,$A47)=0,"",SUMIFS(Countries!$J$5:$J$434,Countries!$A$5:$A$434,"All landing pages",Countries!$B$5:$B$434,"Direct",Countries!$D$5:$D$434,$A47))</f>
        <v/>
      </c>
      <c r="L47" s="69">
        <f>IF(OR(K47="",J47="",J47=0,K47=0),"",K47-J47)</f>
        <v/>
      </c>
      <c r="M47" s="42">
        <f>IF(OR(K47="",J47="",J47=0,K47=0),"",K47/J47-1)</f>
        <v/>
      </c>
      <c r="N47" s="41">
        <f>IF(SUM(B47,F47,J47)=0,"",SUM(B47,F47,J47))</f>
        <v/>
      </c>
      <c r="O47" s="41">
        <f>IF(SUM(C47,G47,K47)=0,"",SUM(C47,G47,K47))</f>
        <v/>
      </c>
      <c r="P47" s="69">
        <f>IF(OR(O47="",N47="",N47=0,O47=0),"",O47-N47)</f>
        <v/>
      </c>
      <c r="Q47" s="42">
        <f>IF(OR(O47="",N47="",N47=0,O47=0),"",O47/N47-1)</f>
        <v/>
      </c>
    </row>
    <row r="48">
      <c r="A48" s="56" t="inlineStr">
        <is>
          <t>Spain</t>
        </is>
      </c>
      <c r="B48" s="41">
        <f>IF(SUMIFS(Countries!$I$5:$I$434,Countries!$A$5:$A$434,"All landing pages",Countries!$B$5:$B$434,"Paid Search",Countries!$D$5:$D$434,$A48)=0,"",SUMIFS(Countries!$I$5:$I$434,Countries!$A$5:$A$434,"All landing pages",Countries!$B$5:$B$434,"Paid Search",Countries!$D$5:$D$434,$A48))</f>
        <v/>
      </c>
      <c r="C48" s="41">
        <f>IF(SUMIFS(Countries!$J$5:$J$434,Countries!$A$5:$A$434,"All landing pages",Countries!$B$5:$B$434,"Paid Search",Countries!$D$5:$D$434,$A48)=0,"",SUMIFS(Countries!$J$5:$J$434,Countries!$A$5:$A$434,"All landing pages",Countries!$B$5:$B$434,"Paid Search",Countries!$D$5:$D$434,$A48))</f>
        <v/>
      </c>
      <c r="D48" s="69">
        <f>IF(OR(C48="",B48="",B48=0,C48=0),"",C48-B48)</f>
        <v/>
      </c>
      <c r="E48" s="42">
        <f>IF(OR(C48="",B48="",B48=0,C48=0),"",C48/B48-1)</f>
        <v/>
      </c>
      <c r="F48" s="41">
        <f>IF(SUMIFS(Countries!$I$5:$I$434,Countries!$A$5:$A$434,"All landing pages",Countries!$B$5:$B$434,"Organic",Countries!$D$5:$D$434,$A48)=0,"",SUMIFS(Countries!$I$5:$I$434,Countries!$A$5:$A$434,"All landing pages",Countries!$B$5:$B$434,"Organic",Countries!$D$5:$D$434,$A48))</f>
        <v/>
      </c>
      <c r="G48" s="41">
        <f>IF(SUMIFS(Countries!$J$5:$J$434,Countries!$A$5:$A$434,"All landing pages",Countries!$B$5:$B$434,"Organic",Countries!$D$5:$D$434,$A48)=0,"",SUMIFS(Countries!$J$5:$J$434,Countries!$A$5:$A$434,"All landing pages",Countries!$B$5:$B$434,"Organic",Countries!$D$5:$D$434,$A48))</f>
        <v/>
      </c>
      <c r="H48" s="69">
        <f>IF(OR(G48="",F48="",F48=0,G48=0),"",G48-F48)</f>
        <v/>
      </c>
      <c r="I48" s="42">
        <f>IF(OR(G48="",F48="",F48=0,G48=0),"",G48/F48-1)</f>
        <v/>
      </c>
      <c r="J48" s="41">
        <f>IF(SUMIFS(Countries!$I$5:$I$434,Countries!$A$5:$A$434,"All landing pages",Countries!$B$5:$B$434,"Direct",Countries!$D$5:$D$434,$A48)=0,"",SUMIFS(Countries!$I$5:$I$434,Countries!$A$5:$A$434,"All landing pages",Countries!$B$5:$B$434,"Direct",Countries!$D$5:$D$434,$A48))</f>
        <v/>
      </c>
      <c r="K48" s="41">
        <f>IF(SUMIFS(Countries!$J$5:$J$434,Countries!$A$5:$A$434,"All landing pages",Countries!$B$5:$B$434,"Direct",Countries!$D$5:$D$434,$A48)=0,"",SUMIFS(Countries!$J$5:$J$434,Countries!$A$5:$A$434,"All landing pages",Countries!$B$5:$B$434,"Direct",Countries!$D$5:$D$434,$A48))</f>
        <v/>
      </c>
      <c r="L48" s="69">
        <f>IF(OR(K48="",J48="",J48=0,K48=0),"",K48-J48)</f>
        <v/>
      </c>
      <c r="M48" s="42">
        <f>IF(OR(K48="",J48="",J48=0,K48=0),"",K48/J48-1)</f>
        <v/>
      </c>
      <c r="N48" s="41">
        <f>IF(SUM(B48,F48,J48)=0,"",SUM(B48,F48,J48))</f>
        <v/>
      </c>
      <c r="O48" s="41">
        <f>IF(SUM(C48,G48,K48)=0,"",SUM(C48,G48,K48))</f>
        <v/>
      </c>
      <c r="P48" s="69">
        <f>IF(OR(O48="",N48="",N48=0,O48=0),"",O48-N48)</f>
        <v/>
      </c>
      <c r="Q48" s="42">
        <f>IF(OR(O48="",N48="",N48=0,O48=0),"",O48/N48-1)</f>
        <v/>
      </c>
    </row>
    <row r="49">
      <c r="A49" s="40" t="inlineStr">
        <is>
          <t>Ireland</t>
        </is>
      </c>
      <c r="B49" s="41">
        <f>IF(SUMIFS(Countries!$I$5:$I$434,Countries!$A$5:$A$434,"All landing pages",Countries!$B$5:$B$434,"Paid Search",Countries!$D$5:$D$434,$A49)=0,"",SUMIFS(Countries!$I$5:$I$434,Countries!$A$5:$A$434,"All landing pages",Countries!$B$5:$B$434,"Paid Search",Countries!$D$5:$D$434,$A49))</f>
        <v/>
      </c>
      <c r="C49" s="41">
        <f>IF(SUMIFS(Countries!$J$5:$J$434,Countries!$A$5:$A$434,"All landing pages",Countries!$B$5:$B$434,"Paid Search",Countries!$D$5:$D$434,$A49)=0,"",SUMIFS(Countries!$J$5:$J$434,Countries!$A$5:$A$434,"All landing pages",Countries!$B$5:$B$434,"Paid Search",Countries!$D$5:$D$434,$A49))</f>
        <v/>
      </c>
      <c r="D49" s="69">
        <f>IF(OR(C49="",B49="",B49=0,C49=0),"",C49-B49)</f>
        <v/>
      </c>
      <c r="E49" s="42">
        <f>IF(OR(C49="",B49="",B49=0,C49=0),"",C49/B49-1)</f>
        <v/>
      </c>
      <c r="F49" s="41">
        <f>IF(SUMIFS(Countries!$I$5:$I$434,Countries!$A$5:$A$434,"All landing pages",Countries!$B$5:$B$434,"Organic",Countries!$D$5:$D$434,$A49)=0,"",SUMIFS(Countries!$I$5:$I$434,Countries!$A$5:$A$434,"All landing pages",Countries!$B$5:$B$434,"Organic",Countries!$D$5:$D$434,$A49))</f>
        <v/>
      </c>
      <c r="G49" s="41">
        <f>IF(SUMIFS(Countries!$J$5:$J$434,Countries!$A$5:$A$434,"All landing pages",Countries!$B$5:$B$434,"Organic",Countries!$D$5:$D$434,$A49)=0,"",SUMIFS(Countries!$J$5:$J$434,Countries!$A$5:$A$434,"All landing pages",Countries!$B$5:$B$434,"Organic",Countries!$D$5:$D$434,$A49))</f>
        <v/>
      </c>
      <c r="H49" s="69">
        <f>IF(OR(G49="",F49="",F49=0,G49=0),"",G49-F49)</f>
        <v/>
      </c>
      <c r="I49" s="42">
        <f>IF(OR(G49="",F49="",F49=0,G49=0),"",G49/F49-1)</f>
        <v/>
      </c>
      <c r="J49" s="41">
        <f>IF(SUMIFS(Countries!$I$5:$I$434,Countries!$A$5:$A$434,"All landing pages",Countries!$B$5:$B$434,"Direct",Countries!$D$5:$D$434,$A49)=0,"",SUMIFS(Countries!$I$5:$I$434,Countries!$A$5:$A$434,"All landing pages",Countries!$B$5:$B$434,"Direct",Countries!$D$5:$D$434,$A49))</f>
        <v/>
      </c>
      <c r="K49" s="41">
        <f>IF(SUMIFS(Countries!$J$5:$J$434,Countries!$A$5:$A$434,"All landing pages",Countries!$B$5:$B$434,"Direct",Countries!$D$5:$D$434,$A49)=0,"",SUMIFS(Countries!$J$5:$J$434,Countries!$A$5:$A$434,"All landing pages",Countries!$B$5:$B$434,"Direct",Countries!$D$5:$D$434,$A49))</f>
        <v/>
      </c>
      <c r="L49" s="69">
        <f>IF(OR(K49="",J49="",J49=0,K49=0),"",K49-J49)</f>
        <v/>
      </c>
      <c r="M49" s="42">
        <f>IF(OR(K49="",J49="",J49=0,K49=0),"",K49/J49-1)</f>
        <v/>
      </c>
      <c r="N49" s="41">
        <f>IF(SUM(B49,F49,J49)=0,"",SUM(B49,F49,J49))</f>
        <v/>
      </c>
      <c r="O49" s="41">
        <f>IF(SUM(C49,G49,K49)=0,"",SUM(C49,G49,K49))</f>
        <v/>
      </c>
      <c r="P49" s="69">
        <f>IF(OR(O49="",N49="",N49=0,O49=0),"",O49-N49)</f>
        <v/>
      </c>
      <c r="Q49" s="42">
        <f>IF(OR(O49="",N49="",N49=0,O49=0),"",O49/N49-1)</f>
        <v/>
      </c>
    </row>
    <row r="50">
      <c r="A50" s="56" t="inlineStr">
        <is>
          <t>Netherlands</t>
        </is>
      </c>
      <c r="B50" s="41">
        <f>IF(SUMIFS(Countries!$I$5:$I$434,Countries!$A$5:$A$434,"All landing pages",Countries!$B$5:$B$434,"Paid Search",Countries!$D$5:$D$434,$A50)=0,"",SUMIFS(Countries!$I$5:$I$434,Countries!$A$5:$A$434,"All landing pages",Countries!$B$5:$B$434,"Paid Search",Countries!$D$5:$D$434,$A50))</f>
        <v/>
      </c>
      <c r="C50" s="41">
        <f>IF(SUMIFS(Countries!$J$5:$J$434,Countries!$A$5:$A$434,"All landing pages",Countries!$B$5:$B$434,"Paid Search",Countries!$D$5:$D$434,$A50)=0,"",SUMIFS(Countries!$J$5:$J$434,Countries!$A$5:$A$434,"All landing pages",Countries!$B$5:$B$434,"Paid Search",Countries!$D$5:$D$434,$A50))</f>
        <v/>
      </c>
      <c r="D50" s="69">
        <f>IF(OR(C50="",B50="",B50=0,C50=0),"",C50-B50)</f>
        <v/>
      </c>
      <c r="E50" s="42">
        <f>IF(OR(C50="",B50="",B50=0,C50=0),"",C50/B50-1)</f>
        <v/>
      </c>
      <c r="F50" s="41">
        <f>IF(SUMIFS(Countries!$I$5:$I$434,Countries!$A$5:$A$434,"All landing pages",Countries!$B$5:$B$434,"Organic",Countries!$D$5:$D$434,$A50)=0,"",SUMIFS(Countries!$I$5:$I$434,Countries!$A$5:$A$434,"All landing pages",Countries!$B$5:$B$434,"Organic",Countries!$D$5:$D$434,$A50))</f>
        <v/>
      </c>
      <c r="G50" s="41">
        <f>IF(SUMIFS(Countries!$J$5:$J$434,Countries!$A$5:$A$434,"All landing pages",Countries!$B$5:$B$434,"Organic",Countries!$D$5:$D$434,$A50)=0,"",SUMIFS(Countries!$J$5:$J$434,Countries!$A$5:$A$434,"All landing pages",Countries!$B$5:$B$434,"Organic",Countries!$D$5:$D$434,$A50))</f>
        <v/>
      </c>
      <c r="H50" s="69">
        <f>IF(OR(G50="",F50="",F50=0,G50=0),"",G50-F50)</f>
        <v/>
      </c>
      <c r="I50" s="42">
        <f>IF(OR(G50="",F50="",F50=0,G50=0),"",G50/F50-1)</f>
        <v/>
      </c>
      <c r="J50" s="41">
        <f>IF(SUMIFS(Countries!$I$5:$I$434,Countries!$A$5:$A$434,"All landing pages",Countries!$B$5:$B$434,"Direct",Countries!$D$5:$D$434,$A50)=0,"",SUMIFS(Countries!$I$5:$I$434,Countries!$A$5:$A$434,"All landing pages",Countries!$B$5:$B$434,"Direct",Countries!$D$5:$D$434,$A50))</f>
        <v/>
      </c>
      <c r="K50" s="41">
        <f>IF(SUMIFS(Countries!$J$5:$J$434,Countries!$A$5:$A$434,"All landing pages",Countries!$B$5:$B$434,"Direct",Countries!$D$5:$D$434,$A50)=0,"",SUMIFS(Countries!$J$5:$J$434,Countries!$A$5:$A$434,"All landing pages",Countries!$B$5:$B$434,"Direct",Countries!$D$5:$D$434,$A50))</f>
        <v/>
      </c>
      <c r="L50" s="69">
        <f>IF(OR(K50="",J50="",J50=0,K50=0),"",K50-J50)</f>
        <v/>
      </c>
      <c r="M50" s="42">
        <f>IF(OR(K50="",J50="",J50=0,K50=0),"",K50/J50-1)</f>
        <v/>
      </c>
      <c r="N50" s="41">
        <f>IF(SUM(B50,F50,J50)=0,"",SUM(B50,F50,J50))</f>
        <v/>
      </c>
      <c r="O50" s="41">
        <f>IF(SUM(C50,G50,K50)=0,"",SUM(C50,G50,K50))</f>
        <v/>
      </c>
      <c r="P50" s="69">
        <f>IF(OR(O50="",N50="",N50=0,O50=0),"",O50-N50)</f>
        <v/>
      </c>
      <c r="Q50" s="42">
        <f>IF(OR(O50="",N50="",N50=0,O50=0),"",O50/N50-1)</f>
        <v/>
      </c>
    </row>
    <row r="51">
      <c r="A51" s="40" t="inlineStr">
        <is>
          <t>France</t>
        </is>
      </c>
      <c r="B51" s="41">
        <f>IF(SUMIFS(Countries!$I$5:$I$434,Countries!$A$5:$A$434,"All landing pages",Countries!$B$5:$B$434,"Paid Search",Countries!$D$5:$D$434,$A51)=0,"",SUMIFS(Countries!$I$5:$I$434,Countries!$A$5:$A$434,"All landing pages",Countries!$B$5:$B$434,"Paid Search",Countries!$D$5:$D$434,$A51))</f>
        <v/>
      </c>
      <c r="C51" s="41">
        <f>IF(SUMIFS(Countries!$J$5:$J$434,Countries!$A$5:$A$434,"All landing pages",Countries!$B$5:$B$434,"Paid Search",Countries!$D$5:$D$434,$A51)=0,"",SUMIFS(Countries!$J$5:$J$434,Countries!$A$5:$A$434,"All landing pages",Countries!$B$5:$B$434,"Paid Search",Countries!$D$5:$D$434,$A51))</f>
        <v/>
      </c>
      <c r="D51" s="69">
        <f>IF(OR(C51="",B51="",B51=0,C51=0),"",C51-B51)</f>
        <v/>
      </c>
      <c r="E51" s="42">
        <f>IF(OR(C51="",B51="",B51=0,C51=0),"",C51/B51-1)</f>
        <v/>
      </c>
      <c r="F51" s="41">
        <f>IF(SUMIFS(Countries!$I$5:$I$434,Countries!$A$5:$A$434,"All landing pages",Countries!$B$5:$B$434,"Organic",Countries!$D$5:$D$434,$A51)=0,"",SUMIFS(Countries!$I$5:$I$434,Countries!$A$5:$A$434,"All landing pages",Countries!$B$5:$B$434,"Organic",Countries!$D$5:$D$434,$A51))</f>
        <v/>
      </c>
      <c r="G51" s="41">
        <f>IF(SUMIFS(Countries!$J$5:$J$434,Countries!$A$5:$A$434,"All landing pages",Countries!$B$5:$B$434,"Organic",Countries!$D$5:$D$434,$A51)=0,"",SUMIFS(Countries!$J$5:$J$434,Countries!$A$5:$A$434,"All landing pages",Countries!$B$5:$B$434,"Organic",Countries!$D$5:$D$434,$A51))</f>
        <v/>
      </c>
      <c r="H51" s="69">
        <f>IF(OR(G51="",F51="",F51=0,G51=0),"",G51-F51)</f>
        <v/>
      </c>
      <c r="I51" s="42">
        <f>IF(OR(G51="",F51="",F51=0,G51=0),"",G51/F51-1)</f>
        <v/>
      </c>
      <c r="J51" s="41">
        <f>IF(SUMIFS(Countries!$I$5:$I$434,Countries!$A$5:$A$434,"All landing pages",Countries!$B$5:$B$434,"Direct",Countries!$D$5:$D$434,$A51)=0,"",SUMIFS(Countries!$I$5:$I$434,Countries!$A$5:$A$434,"All landing pages",Countries!$B$5:$B$434,"Direct",Countries!$D$5:$D$434,$A51))</f>
        <v/>
      </c>
      <c r="K51" s="41">
        <f>IF(SUMIFS(Countries!$J$5:$J$434,Countries!$A$5:$A$434,"All landing pages",Countries!$B$5:$B$434,"Direct",Countries!$D$5:$D$434,$A51)=0,"",SUMIFS(Countries!$J$5:$J$434,Countries!$A$5:$A$434,"All landing pages",Countries!$B$5:$B$434,"Direct",Countries!$D$5:$D$434,$A51))</f>
        <v/>
      </c>
      <c r="L51" s="69">
        <f>IF(OR(K51="",J51="",J51=0,K51=0),"",K51-J51)</f>
        <v/>
      </c>
      <c r="M51" s="42">
        <f>IF(OR(K51="",J51="",J51=0,K51=0),"",K51/J51-1)</f>
        <v/>
      </c>
      <c r="N51" s="41">
        <f>IF(SUM(B51,F51,J51)=0,"",SUM(B51,F51,J51))</f>
        <v/>
      </c>
      <c r="O51" s="41">
        <f>IF(SUM(C51,G51,K51)=0,"",SUM(C51,G51,K51))</f>
        <v/>
      </c>
      <c r="P51" s="69">
        <f>IF(OR(O51="",N51="",N51=0,O51=0),"",O51-N51)</f>
        <v/>
      </c>
      <c r="Q51" s="42">
        <f>IF(OR(O51="",N51="",N51=0,O51=0),"",O51/N51-1)</f>
        <v/>
      </c>
    </row>
    <row r="52">
      <c r="A52" s="56" t="inlineStr">
        <is>
          <t>Poland</t>
        </is>
      </c>
      <c r="B52" s="41">
        <f>IF(SUMIFS(Countries!$I$5:$I$434,Countries!$A$5:$A$434,"All landing pages",Countries!$B$5:$B$434,"Paid Search",Countries!$D$5:$D$434,$A52)=0,"",SUMIFS(Countries!$I$5:$I$434,Countries!$A$5:$A$434,"All landing pages",Countries!$B$5:$B$434,"Paid Search",Countries!$D$5:$D$434,$A52))</f>
        <v/>
      </c>
      <c r="C52" s="41">
        <f>IF(SUMIFS(Countries!$J$5:$J$434,Countries!$A$5:$A$434,"All landing pages",Countries!$B$5:$B$434,"Paid Search",Countries!$D$5:$D$434,$A52)=0,"",SUMIFS(Countries!$J$5:$J$434,Countries!$A$5:$A$434,"All landing pages",Countries!$B$5:$B$434,"Paid Search",Countries!$D$5:$D$434,$A52))</f>
        <v/>
      </c>
      <c r="D52" s="69">
        <f>IF(OR(C52="",B52="",B52=0,C52=0),"",C52-B52)</f>
        <v/>
      </c>
      <c r="E52" s="42">
        <f>IF(OR(C52="",B52="",B52=0,C52=0),"",C52/B52-1)</f>
        <v/>
      </c>
      <c r="F52" s="41">
        <f>IF(SUMIFS(Countries!$I$5:$I$434,Countries!$A$5:$A$434,"All landing pages",Countries!$B$5:$B$434,"Organic",Countries!$D$5:$D$434,$A52)=0,"",SUMIFS(Countries!$I$5:$I$434,Countries!$A$5:$A$434,"All landing pages",Countries!$B$5:$B$434,"Organic",Countries!$D$5:$D$434,$A52))</f>
        <v/>
      </c>
      <c r="G52" s="41">
        <f>IF(SUMIFS(Countries!$J$5:$J$434,Countries!$A$5:$A$434,"All landing pages",Countries!$B$5:$B$434,"Organic",Countries!$D$5:$D$434,$A52)=0,"",SUMIFS(Countries!$J$5:$J$434,Countries!$A$5:$A$434,"All landing pages",Countries!$B$5:$B$434,"Organic",Countries!$D$5:$D$434,$A52))</f>
        <v/>
      </c>
      <c r="H52" s="69">
        <f>IF(OR(G52="",F52="",F52=0,G52=0),"",G52-F52)</f>
        <v/>
      </c>
      <c r="I52" s="42">
        <f>IF(OR(G52="",F52="",F52=0,G52=0),"",G52/F52-1)</f>
        <v/>
      </c>
      <c r="J52" s="41">
        <f>IF(SUMIFS(Countries!$I$5:$I$434,Countries!$A$5:$A$434,"All landing pages",Countries!$B$5:$B$434,"Direct",Countries!$D$5:$D$434,$A52)=0,"",SUMIFS(Countries!$I$5:$I$434,Countries!$A$5:$A$434,"All landing pages",Countries!$B$5:$B$434,"Direct",Countries!$D$5:$D$434,$A52))</f>
        <v/>
      </c>
      <c r="K52" s="41">
        <f>IF(SUMIFS(Countries!$J$5:$J$434,Countries!$A$5:$A$434,"All landing pages",Countries!$B$5:$B$434,"Direct",Countries!$D$5:$D$434,$A52)=0,"",SUMIFS(Countries!$J$5:$J$434,Countries!$A$5:$A$434,"All landing pages",Countries!$B$5:$B$434,"Direct",Countries!$D$5:$D$434,$A52))</f>
        <v/>
      </c>
      <c r="L52" s="69">
        <f>IF(OR(K52="",J52="",J52=0,K52=0),"",K52-J52)</f>
        <v/>
      </c>
      <c r="M52" s="42">
        <f>IF(OR(K52="",J52="",J52=0,K52=0),"",K52/J52-1)</f>
        <v/>
      </c>
      <c r="N52" s="41">
        <f>IF(SUM(B52,F52,J52)=0,"",SUM(B52,F52,J52))</f>
        <v/>
      </c>
      <c r="O52" s="41">
        <f>IF(SUM(C52,G52,K52)=0,"",SUM(C52,G52,K52))</f>
        <v/>
      </c>
      <c r="P52" s="69">
        <f>IF(OR(O52="",N52="",N52=0,O52=0),"",O52-N52)</f>
        <v/>
      </c>
      <c r="Q52" s="42">
        <f>IF(OR(O52="",N52="",N52=0,O52=0),"",O52/N52-1)</f>
        <v/>
      </c>
    </row>
    <row r="53">
      <c r="A53" s="40" t="inlineStr">
        <is>
          <t>United States</t>
        </is>
      </c>
      <c r="B53" s="41">
        <f>IF(SUMIFS(Countries!$I$5:$I$434,Countries!$A$5:$A$434,"All landing pages",Countries!$B$5:$B$434,"Paid Search",Countries!$D$5:$D$434,$A53)=0,"",SUMIFS(Countries!$I$5:$I$434,Countries!$A$5:$A$434,"All landing pages",Countries!$B$5:$B$434,"Paid Search",Countries!$D$5:$D$434,$A53))</f>
        <v/>
      </c>
      <c r="C53" s="41">
        <f>IF(SUMIFS(Countries!$J$5:$J$434,Countries!$A$5:$A$434,"All landing pages",Countries!$B$5:$B$434,"Paid Search",Countries!$D$5:$D$434,$A53)=0,"",SUMIFS(Countries!$J$5:$J$434,Countries!$A$5:$A$434,"All landing pages",Countries!$B$5:$B$434,"Paid Search",Countries!$D$5:$D$434,$A53))</f>
        <v/>
      </c>
      <c r="D53" s="69">
        <f>IF(OR(C53="",B53="",B53=0,C53=0),"",C53-B53)</f>
        <v/>
      </c>
      <c r="E53" s="42">
        <f>IF(OR(C53="",B53="",B53=0,C53=0),"",C53/B53-1)</f>
        <v/>
      </c>
      <c r="F53" s="41">
        <f>IF(SUMIFS(Countries!$I$5:$I$434,Countries!$A$5:$A$434,"All landing pages",Countries!$B$5:$B$434,"Organic",Countries!$D$5:$D$434,$A53)=0,"",SUMIFS(Countries!$I$5:$I$434,Countries!$A$5:$A$434,"All landing pages",Countries!$B$5:$B$434,"Organic",Countries!$D$5:$D$434,$A53))</f>
        <v/>
      </c>
      <c r="G53" s="41">
        <f>IF(SUMIFS(Countries!$J$5:$J$434,Countries!$A$5:$A$434,"All landing pages",Countries!$B$5:$B$434,"Organic",Countries!$D$5:$D$434,$A53)=0,"",SUMIFS(Countries!$J$5:$J$434,Countries!$A$5:$A$434,"All landing pages",Countries!$B$5:$B$434,"Organic",Countries!$D$5:$D$434,$A53))</f>
        <v/>
      </c>
      <c r="H53" s="69">
        <f>IF(OR(G53="",F53="",F53=0,G53=0),"",G53-F53)</f>
        <v/>
      </c>
      <c r="I53" s="42">
        <f>IF(OR(G53="",F53="",F53=0,G53=0),"",G53/F53-1)</f>
        <v/>
      </c>
      <c r="J53" s="41">
        <f>IF(SUMIFS(Countries!$I$5:$I$434,Countries!$A$5:$A$434,"All landing pages",Countries!$B$5:$B$434,"Direct",Countries!$D$5:$D$434,$A53)=0,"",SUMIFS(Countries!$I$5:$I$434,Countries!$A$5:$A$434,"All landing pages",Countries!$B$5:$B$434,"Direct",Countries!$D$5:$D$434,$A53))</f>
        <v/>
      </c>
      <c r="K53" s="41">
        <f>IF(SUMIFS(Countries!$J$5:$J$434,Countries!$A$5:$A$434,"All landing pages",Countries!$B$5:$B$434,"Direct",Countries!$D$5:$D$434,$A53)=0,"",SUMIFS(Countries!$J$5:$J$434,Countries!$A$5:$A$434,"All landing pages",Countries!$B$5:$B$434,"Direct",Countries!$D$5:$D$434,$A53))</f>
        <v/>
      </c>
      <c r="L53" s="69">
        <f>IF(OR(K53="",J53="",J53=0,K53=0),"",K53-J53)</f>
        <v/>
      </c>
      <c r="M53" s="42">
        <f>IF(OR(K53="",J53="",J53=0,K53=0),"",K53/J53-1)</f>
        <v/>
      </c>
      <c r="N53" s="41">
        <f>IF(SUM(B53,F53,J53)=0,"",SUM(B53,F53,J53))</f>
        <v/>
      </c>
      <c r="O53" s="41">
        <f>IF(SUM(C53,G53,K53)=0,"",SUM(C53,G53,K53))</f>
        <v/>
      </c>
      <c r="P53" s="69">
        <f>IF(OR(O53="",N53="",N53=0,O53=0),"",O53-N53)</f>
        <v/>
      </c>
      <c r="Q53" s="42">
        <f>IF(OR(O53="",N53="",N53=0,O53=0),"",O53/N53-1)</f>
        <v/>
      </c>
    </row>
    <row r="54">
      <c r="A54" s="56" t="inlineStr">
        <is>
          <t>Sweden</t>
        </is>
      </c>
      <c r="B54" s="41">
        <f>IF(SUMIFS(Countries!$I$5:$I$434,Countries!$A$5:$A$434,"All landing pages",Countries!$B$5:$B$434,"Paid Search",Countries!$D$5:$D$434,$A54)=0,"",SUMIFS(Countries!$I$5:$I$434,Countries!$A$5:$A$434,"All landing pages",Countries!$B$5:$B$434,"Paid Search",Countries!$D$5:$D$434,$A54))</f>
        <v/>
      </c>
      <c r="C54" s="41">
        <f>IF(SUMIFS(Countries!$J$5:$J$434,Countries!$A$5:$A$434,"All landing pages",Countries!$B$5:$B$434,"Paid Search",Countries!$D$5:$D$434,$A54)=0,"",SUMIFS(Countries!$J$5:$J$434,Countries!$A$5:$A$434,"All landing pages",Countries!$B$5:$B$434,"Paid Search",Countries!$D$5:$D$434,$A54))</f>
        <v/>
      </c>
      <c r="D54" s="69">
        <f>IF(OR(C54="",B54="",B54=0,C54=0),"",C54-B54)</f>
        <v/>
      </c>
      <c r="E54" s="42">
        <f>IF(OR(C54="",B54="",B54=0,C54=0),"",C54/B54-1)</f>
        <v/>
      </c>
      <c r="F54" s="41">
        <f>IF(SUMIFS(Countries!$I$5:$I$434,Countries!$A$5:$A$434,"All landing pages",Countries!$B$5:$B$434,"Organic",Countries!$D$5:$D$434,$A54)=0,"",SUMIFS(Countries!$I$5:$I$434,Countries!$A$5:$A$434,"All landing pages",Countries!$B$5:$B$434,"Organic",Countries!$D$5:$D$434,$A54))</f>
        <v/>
      </c>
      <c r="G54" s="41">
        <f>IF(SUMIFS(Countries!$J$5:$J$434,Countries!$A$5:$A$434,"All landing pages",Countries!$B$5:$B$434,"Organic",Countries!$D$5:$D$434,$A54)=0,"",SUMIFS(Countries!$J$5:$J$434,Countries!$A$5:$A$434,"All landing pages",Countries!$B$5:$B$434,"Organic",Countries!$D$5:$D$434,$A54))</f>
        <v/>
      </c>
      <c r="H54" s="69">
        <f>IF(OR(G54="",F54="",F54=0,G54=0),"",G54-F54)</f>
        <v/>
      </c>
      <c r="I54" s="42">
        <f>IF(OR(G54="",F54="",F54=0,G54=0),"",G54/F54-1)</f>
        <v/>
      </c>
      <c r="J54" s="41">
        <f>IF(SUMIFS(Countries!$I$5:$I$434,Countries!$A$5:$A$434,"All landing pages",Countries!$B$5:$B$434,"Direct",Countries!$D$5:$D$434,$A54)=0,"",SUMIFS(Countries!$I$5:$I$434,Countries!$A$5:$A$434,"All landing pages",Countries!$B$5:$B$434,"Direct",Countries!$D$5:$D$434,$A54))</f>
        <v/>
      </c>
      <c r="K54" s="41">
        <f>IF(SUMIFS(Countries!$J$5:$J$434,Countries!$A$5:$A$434,"All landing pages",Countries!$B$5:$B$434,"Direct",Countries!$D$5:$D$434,$A54)=0,"",SUMIFS(Countries!$J$5:$J$434,Countries!$A$5:$A$434,"All landing pages",Countries!$B$5:$B$434,"Direct",Countries!$D$5:$D$434,$A54))</f>
        <v/>
      </c>
      <c r="L54" s="69">
        <f>IF(OR(K54="",J54="",J54=0,K54=0),"",K54-J54)</f>
        <v/>
      </c>
      <c r="M54" s="42">
        <f>IF(OR(K54="",J54="",J54=0,K54=0),"",K54/J54-1)</f>
        <v/>
      </c>
      <c r="N54" s="41">
        <f>IF(SUM(B54,F54,J54)=0,"",SUM(B54,F54,J54))</f>
        <v/>
      </c>
      <c r="O54" s="41">
        <f>IF(SUM(C54,G54,K54)=0,"",SUM(C54,G54,K54))</f>
        <v/>
      </c>
      <c r="P54" s="69">
        <f>IF(OR(O54="",N54="",N54=0,O54=0),"",O54-N54)</f>
        <v/>
      </c>
      <c r="Q54" s="42">
        <f>IF(OR(O54="",N54="",N54=0,O54=0),"",O54/N54-1)</f>
        <v/>
      </c>
    </row>
    <row r="55">
      <c r="A55" s="40" t="inlineStr">
        <is>
          <t>Belgium</t>
        </is>
      </c>
      <c r="B55" s="41">
        <f>IF(SUMIFS(Countries!$I$5:$I$434,Countries!$A$5:$A$434,"All landing pages",Countries!$B$5:$B$434,"Paid Search",Countries!$D$5:$D$434,$A55)=0,"",SUMIFS(Countries!$I$5:$I$434,Countries!$A$5:$A$434,"All landing pages",Countries!$B$5:$B$434,"Paid Search",Countries!$D$5:$D$434,$A55))</f>
        <v/>
      </c>
      <c r="C55" s="41">
        <f>IF(SUMIFS(Countries!$J$5:$J$434,Countries!$A$5:$A$434,"All landing pages",Countries!$B$5:$B$434,"Paid Search",Countries!$D$5:$D$434,$A55)=0,"",SUMIFS(Countries!$J$5:$J$434,Countries!$A$5:$A$434,"All landing pages",Countries!$B$5:$B$434,"Paid Search",Countries!$D$5:$D$434,$A55))</f>
        <v/>
      </c>
      <c r="D55" s="69">
        <f>IF(OR(C55="",B55="",B55=0,C55=0),"",C55-B55)</f>
        <v/>
      </c>
      <c r="E55" s="42">
        <f>IF(OR(C55="",B55="",B55=0,C55=0),"",C55/B55-1)</f>
        <v/>
      </c>
      <c r="F55" s="41">
        <f>IF(SUMIFS(Countries!$I$5:$I$434,Countries!$A$5:$A$434,"All landing pages",Countries!$B$5:$B$434,"Organic",Countries!$D$5:$D$434,$A55)=0,"",SUMIFS(Countries!$I$5:$I$434,Countries!$A$5:$A$434,"All landing pages",Countries!$B$5:$B$434,"Organic",Countries!$D$5:$D$434,$A55))</f>
        <v/>
      </c>
      <c r="G55" s="41">
        <f>IF(SUMIFS(Countries!$J$5:$J$434,Countries!$A$5:$A$434,"All landing pages",Countries!$B$5:$B$434,"Organic",Countries!$D$5:$D$434,$A55)=0,"",SUMIFS(Countries!$J$5:$J$434,Countries!$A$5:$A$434,"All landing pages",Countries!$B$5:$B$434,"Organic",Countries!$D$5:$D$434,$A55))</f>
        <v/>
      </c>
      <c r="H55" s="69">
        <f>IF(OR(G55="",F55="",F55=0,G55=0),"",G55-F55)</f>
        <v/>
      </c>
      <c r="I55" s="42">
        <f>IF(OR(G55="",F55="",F55=0,G55=0),"",G55/F55-1)</f>
        <v/>
      </c>
      <c r="J55" s="41">
        <f>IF(SUMIFS(Countries!$I$5:$I$434,Countries!$A$5:$A$434,"All landing pages",Countries!$B$5:$B$434,"Direct",Countries!$D$5:$D$434,$A55)=0,"",SUMIFS(Countries!$I$5:$I$434,Countries!$A$5:$A$434,"All landing pages",Countries!$B$5:$B$434,"Direct",Countries!$D$5:$D$434,$A55))</f>
        <v/>
      </c>
      <c r="K55" s="41">
        <f>IF(SUMIFS(Countries!$J$5:$J$434,Countries!$A$5:$A$434,"All landing pages",Countries!$B$5:$B$434,"Direct",Countries!$D$5:$D$434,$A55)=0,"",SUMIFS(Countries!$J$5:$J$434,Countries!$A$5:$A$434,"All landing pages",Countries!$B$5:$B$434,"Direct",Countries!$D$5:$D$434,$A55))</f>
        <v/>
      </c>
      <c r="L55" s="69">
        <f>IF(OR(K55="",J55="",J55=0,K55=0),"",K55-J55)</f>
        <v/>
      </c>
      <c r="M55" s="42">
        <f>IF(OR(K55="",J55="",J55=0,K55=0),"",K55/J55-1)</f>
        <v/>
      </c>
      <c r="N55" s="41">
        <f>IF(SUM(B55,F55,J55)=0,"",SUM(B55,F55,J55))</f>
        <v/>
      </c>
      <c r="O55" s="41">
        <f>IF(SUM(C55,G55,K55)=0,"",SUM(C55,G55,K55))</f>
        <v/>
      </c>
      <c r="P55" s="69">
        <f>IF(OR(O55="",N55="",N55=0,O55=0),"",O55-N55)</f>
        <v/>
      </c>
      <c r="Q55" s="42">
        <f>IF(OR(O55="",N55="",N55=0,O55=0),"",O55/N55-1)</f>
        <v/>
      </c>
    </row>
    <row r="56">
      <c r="A56" s="56" t="inlineStr">
        <is>
          <t>Austria</t>
        </is>
      </c>
      <c r="B56" s="41">
        <f>IF(SUMIFS(Countries!$I$5:$I$434,Countries!$A$5:$A$434,"All landing pages",Countries!$B$5:$B$434,"Paid Search",Countries!$D$5:$D$434,$A56)=0,"",SUMIFS(Countries!$I$5:$I$434,Countries!$A$5:$A$434,"All landing pages",Countries!$B$5:$B$434,"Paid Search",Countries!$D$5:$D$434,$A56))</f>
        <v/>
      </c>
      <c r="C56" s="41">
        <f>IF(SUMIFS(Countries!$J$5:$J$434,Countries!$A$5:$A$434,"All landing pages",Countries!$B$5:$B$434,"Paid Search",Countries!$D$5:$D$434,$A56)=0,"",SUMIFS(Countries!$J$5:$J$434,Countries!$A$5:$A$434,"All landing pages",Countries!$B$5:$B$434,"Paid Search",Countries!$D$5:$D$434,$A56))</f>
        <v/>
      </c>
      <c r="D56" s="69">
        <f>IF(OR(C56="",B56="",B56=0,C56=0),"",C56-B56)</f>
        <v/>
      </c>
      <c r="E56" s="42">
        <f>IF(OR(C56="",B56="",B56=0,C56=0),"",C56/B56-1)</f>
        <v/>
      </c>
      <c r="F56" s="41">
        <f>IF(SUMIFS(Countries!$I$5:$I$434,Countries!$A$5:$A$434,"All landing pages",Countries!$B$5:$B$434,"Organic",Countries!$D$5:$D$434,$A56)=0,"",SUMIFS(Countries!$I$5:$I$434,Countries!$A$5:$A$434,"All landing pages",Countries!$B$5:$B$434,"Organic",Countries!$D$5:$D$434,$A56))</f>
        <v/>
      </c>
      <c r="G56" s="41">
        <f>IF(SUMIFS(Countries!$J$5:$J$434,Countries!$A$5:$A$434,"All landing pages",Countries!$B$5:$B$434,"Organic",Countries!$D$5:$D$434,$A56)=0,"",SUMIFS(Countries!$J$5:$J$434,Countries!$A$5:$A$434,"All landing pages",Countries!$B$5:$B$434,"Organic",Countries!$D$5:$D$434,$A56))</f>
        <v/>
      </c>
      <c r="H56" s="69">
        <f>IF(OR(G56="",F56="",F56=0,G56=0),"",G56-F56)</f>
        <v/>
      </c>
      <c r="I56" s="42">
        <f>IF(OR(G56="",F56="",F56=0,G56=0),"",G56/F56-1)</f>
        <v/>
      </c>
      <c r="J56" s="41">
        <f>IF(SUMIFS(Countries!$I$5:$I$434,Countries!$A$5:$A$434,"All landing pages",Countries!$B$5:$B$434,"Direct",Countries!$D$5:$D$434,$A56)=0,"",SUMIFS(Countries!$I$5:$I$434,Countries!$A$5:$A$434,"All landing pages",Countries!$B$5:$B$434,"Direct",Countries!$D$5:$D$434,$A56))</f>
        <v/>
      </c>
      <c r="K56" s="41">
        <f>IF(SUMIFS(Countries!$J$5:$J$434,Countries!$A$5:$A$434,"All landing pages",Countries!$B$5:$B$434,"Direct",Countries!$D$5:$D$434,$A56)=0,"",SUMIFS(Countries!$J$5:$J$434,Countries!$A$5:$A$434,"All landing pages",Countries!$B$5:$B$434,"Direct",Countries!$D$5:$D$434,$A56))</f>
        <v/>
      </c>
      <c r="L56" s="69">
        <f>IF(OR(K56="",J56="",J56=0,K56=0),"",K56-J56)</f>
        <v/>
      </c>
      <c r="M56" s="42">
        <f>IF(OR(K56="",J56="",J56=0,K56=0),"",K56/J56-1)</f>
        <v/>
      </c>
      <c r="N56" s="41">
        <f>IF(SUM(B56,F56,J56)=0,"",SUM(B56,F56,J56))</f>
        <v/>
      </c>
      <c r="O56" s="41">
        <f>IF(SUM(C56,G56,K56)=0,"",SUM(C56,G56,K56))</f>
        <v/>
      </c>
      <c r="P56" s="69">
        <f>IF(OR(O56="",N56="",N56=0,O56=0),"",O56-N56)</f>
        <v/>
      </c>
      <c r="Q56" s="42">
        <f>IF(OR(O56="",N56="",N56=0,O56=0),"",O56/N56-1)</f>
        <v/>
      </c>
    </row>
    <row r="57">
      <c r="A57" s="40" t="inlineStr">
        <is>
          <t>Denmark</t>
        </is>
      </c>
      <c r="B57" s="41">
        <f>IF(SUMIFS(Countries!$I$5:$I$434,Countries!$A$5:$A$434,"All landing pages",Countries!$B$5:$B$434,"Paid Search",Countries!$D$5:$D$434,$A57)=0,"",SUMIFS(Countries!$I$5:$I$434,Countries!$A$5:$A$434,"All landing pages",Countries!$B$5:$B$434,"Paid Search",Countries!$D$5:$D$434,$A57))</f>
        <v/>
      </c>
      <c r="C57" s="41">
        <f>IF(SUMIFS(Countries!$J$5:$J$434,Countries!$A$5:$A$434,"All landing pages",Countries!$B$5:$B$434,"Paid Search",Countries!$D$5:$D$434,$A57)=0,"",SUMIFS(Countries!$J$5:$J$434,Countries!$A$5:$A$434,"All landing pages",Countries!$B$5:$B$434,"Paid Search",Countries!$D$5:$D$434,$A57))</f>
        <v/>
      </c>
      <c r="D57" s="69">
        <f>IF(OR(C57="",B57="",B57=0,C57=0),"",C57-B57)</f>
        <v/>
      </c>
      <c r="E57" s="42">
        <f>IF(OR(C57="",B57="",B57=0,C57=0),"",C57/B57-1)</f>
        <v/>
      </c>
      <c r="F57" s="41">
        <f>IF(SUMIFS(Countries!$I$5:$I$434,Countries!$A$5:$A$434,"All landing pages",Countries!$B$5:$B$434,"Organic",Countries!$D$5:$D$434,$A57)=0,"",SUMIFS(Countries!$I$5:$I$434,Countries!$A$5:$A$434,"All landing pages",Countries!$B$5:$B$434,"Organic",Countries!$D$5:$D$434,$A57))</f>
        <v/>
      </c>
      <c r="G57" s="41">
        <f>IF(SUMIFS(Countries!$J$5:$J$434,Countries!$A$5:$A$434,"All landing pages",Countries!$B$5:$B$434,"Organic",Countries!$D$5:$D$434,$A57)=0,"",SUMIFS(Countries!$J$5:$J$434,Countries!$A$5:$A$434,"All landing pages",Countries!$B$5:$B$434,"Organic",Countries!$D$5:$D$434,$A57))</f>
        <v/>
      </c>
      <c r="H57" s="69">
        <f>IF(OR(G57="",F57="",F57=0,G57=0),"",G57-F57)</f>
        <v/>
      </c>
      <c r="I57" s="42">
        <f>IF(OR(G57="",F57="",F57=0,G57=0),"",G57/F57-1)</f>
        <v/>
      </c>
      <c r="J57" s="41">
        <f>IF(SUMIFS(Countries!$I$5:$I$434,Countries!$A$5:$A$434,"All landing pages",Countries!$B$5:$B$434,"Direct",Countries!$D$5:$D$434,$A57)=0,"",SUMIFS(Countries!$I$5:$I$434,Countries!$A$5:$A$434,"All landing pages",Countries!$B$5:$B$434,"Direct",Countries!$D$5:$D$434,$A57))</f>
        <v/>
      </c>
      <c r="K57" s="41">
        <f>IF(SUMIFS(Countries!$J$5:$J$434,Countries!$A$5:$A$434,"All landing pages",Countries!$B$5:$B$434,"Direct",Countries!$D$5:$D$434,$A57)=0,"",SUMIFS(Countries!$J$5:$J$434,Countries!$A$5:$A$434,"All landing pages",Countries!$B$5:$B$434,"Direct",Countries!$D$5:$D$434,$A57))</f>
        <v/>
      </c>
      <c r="L57" s="69">
        <f>IF(OR(K57="",J57="",J57=0,K57=0),"",K57-J57)</f>
        <v/>
      </c>
      <c r="M57" s="42">
        <f>IF(OR(K57="",J57="",J57=0,K57=0),"",K57/J57-1)</f>
        <v/>
      </c>
      <c r="N57" s="41">
        <f>IF(SUM(B57,F57,J57)=0,"",SUM(B57,F57,J57))</f>
        <v/>
      </c>
      <c r="O57" s="41">
        <f>IF(SUM(C57,G57,K57)=0,"",SUM(C57,G57,K57))</f>
        <v/>
      </c>
      <c r="P57" s="69">
        <f>IF(OR(O57="",N57="",N57=0,O57=0),"",O57-N57)</f>
        <v/>
      </c>
      <c r="Q57" s="42">
        <f>IF(OR(O57="",N57="",N57=0,O57=0),"",O57/N57-1)</f>
        <v/>
      </c>
    </row>
    <row r="58">
      <c r="A58" s="56" t="inlineStr">
        <is>
          <t>Norway</t>
        </is>
      </c>
      <c r="B58" s="41">
        <f>IF(SUMIFS(Countries!$I$5:$I$434,Countries!$A$5:$A$434,"All landing pages",Countries!$B$5:$B$434,"Paid Search",Countries!$D$5:$D$434,$A58)=0,"",SUMIFS(Countries!$I$5:$I$434,Countries!$A$5:$A$434,"All landing pages",Countries!$B$5:$B$434,"Paid Search",Countries!$D$5:$D$434,$A58))</f>
        <v/>
      </c>
      <c r="C58" s="41">
        <f>IF(SUMIFS(Countries!$J$5:$J$434,Countries!$A$5:$A$434,"All landing pages",Countries!$B$5:$B$434,"Paid Search",Countries!$D$5:$D$434,$A58)=0,"",SUMIFS(Countries!$J$5:$J$434,Countries!$A$5:$A$434,"All landing pages",Countries!$B$5:$B$434,"Paid Search",Countries!$D$5:$D$434,$A58))</f>
        <v/>
      </c>
      <c r="D58" s="69">
        <f>IF(OR(C58="",B58="",B58=0,C58=0),"",C58-B58)</f>
        <v/>
      </c>
      <c r="E58" s="42">
        <f>IF(OR(C58="",B58="",B58=0,C58=0),"",C58/B58-1)</f>
        <v/>
      </c>
      <c r="F58" s="41">
        <f>IF(SUMIFS(Countries!$I$5:$I$434,Countries!$A$5:$A$434,"All landing pages",Countries!$B$5:$B$434,"Organic",Countries!$D$5:$D$434,$A58)=0,"",SUMIFS(Countries!$I$5:$I$434,Countries!$A$5:$A$434,"All landing pages",Countries!$B$5:$B$434,"Organic",Countries!$D$5:$D$434,$A58))</f>
        <v/>
      </c>
      <c r="G58" s="41">
        <f>IF(SUMIFS(Countries!$J$5:$J$434,Countries!$A$5:$A$434,"All landing pages",Countries!$B$5:$B$434,"Organic",Countries!$D$5:$D$434,$A58)=0,"",SUMIFS(Countries!$J$5:$J$434,Countries!$A$5:$A$434,"All landing pages",Countries!$B$5:$B$434,"Organic",Countries!$D$5:$D$434,$A58))</f>
        <v/>
      </c>
      <c r="H58" s="69">
        <f>IF(OR(G58="",F58="",F58=0,G58=0),"",G58-F58)</f>
        <v/>
      </c>
      <c r="I58" s="42">
        <f>IF(OR(G58="",F58="",F58=0,G58=0),"",G58/F58-1)</f>
        <v/>
      </c>
      <c r="J58" s="41">
        <f>IF(SUMIFS(Countries!$I$5:$I$434,Countries!$A$5:$A$434,"All landing pages",Countries!$B$5:$B$434,"Direct",Countries!$D$5:$D$434,$A58)=0,"",SUMIFS(Countries!$I$5:$I$434,Countries!$A$5:$A$434,"All landing pages",Countries!$B$5:$B$434,"Direct",Countries!$D$5:$D$434,$A58))</f>
        <v/>
      </c>
      <c r="K58" s="41">
        <f>IF(SUMIFS(Countries!$J$5:$J$434,Countries!$A$5:$A$434,"All landing pages",Countries!$B$5:$B$434,"Direct",Countries!$D$5:$D$434,$A58)=0,"",SUMIFS(Countries!$J$5:$J$434,Countries!$A$5:$A$434,"All landing pages",Countries!$B$5:$B$434,"Direct",Countries!$D$5:$D$434,$A58))</f>
        <v/>
      </c>
      <c r="L58" s="69">
        <f>IF(OR(K58="",J58="",J58=0,K58=0),"",K58-J58)</f>
        <v/>
      </c>
      <c r="M58" s="42">
        <f>IF(OR(K58="",J58="",J58=0,K58=0),"",K58/J58-1)</f>
        <v/>
      </c>
      <c r="N58" s="41">
        <f>IF(SUM(B58,F58,J58)=0,"",SUM(B58,F58,J58))</f>
        <v/>
      </c>
      <c r="O58" s="41">
        <f>IF(SUM(C58,G58,K58)=0,"",SUM(C58,G58,K58))</f>
        <v/>
      </c>
      <c r="P58" s="69">
        <f>IF(OR(O58="",N58="",N58=0,O58=0),"",O58-N58)</f>
        <v/>
      </c>
      <c r="Q58" s="42">
        <f>IF(OR(O58="",N58="",N58=0,O58=0),"",O58/N58-1)</f>
        <v/>
      </c>
    </row>
    <row r="59">
      <c r="A59" s="40" t="inlineStr">
        <is>
          <t>Finland</t>
        </is>
      </c>
      <c r="B59" s="41">
        <f>IF(SUMIFS(Countries!$I$5:$I$434,Countries!$A$5:$A$434,"All landing pages",Countries!$B$5:$B$434,"Paid Search",Countries!$D$5:$D$434,$A59)=0,"",SUMIFS(Countries!$I$5:$I$434,Countries!$A$5:$A$434,"All landing pages",Countries!$B$5:$B$434,"Paid Search",Countries!$D$5:$D$434,$A59))</f>
        <v/>
      </c>
      <c r="C59" s="41">
        <f>IF(SUMIFS(Countries!$J$5:$J$434,Countries!$A$5:$A$434,"All landing pages",Countries!$B$5:$B$434,"Paid Search",Countries!$D$5:$D$434,$A59)=0,"",SUMIFS(Countries!$J$5:$J$434,Countries!$A$5:$A$434,"All landing pages",Countries!$B$5:$B$434,"Paid Search",Countries!$D$5:$D$434,$A59))</f>
        <v/>
      </c>
      <c r="D59" s="69">
        <f>IF(OR(C59="",B59="",B59=0,C59=0),"",C59-B59)</f>
        <v/>
      </c>
      <c r="E59" s="42">
        <f>IF(OR(C59="",B59="",B59=0,C59=0),"",C59/B59-1)</f>
        <v/>
      </c>
      <c r="F59" s="41">
        <f>IF(SUMIFS(Countries!$I$5:$I$434,Countries!$A$5:$A$434,"All landing pages",Countries!$B$5:$B$434,"Organic",Countries!$D$5:$D$434,$A59)=0,"",SUMIFS(Countries!$I$5:$I$434,Countries!$A$5:$A$434,"All landing pages",Countries!$B$5:$B$434,"Organic",Countries!$D$5:$D$434,$A59))</f>
        <v/>
      </c>
      <c r="G59" s="41">
        <f>IF(SUMIFS(Countries!$J$5:$J$434,Countries!$A$5:$A$434,"All landing pages",Countries!$B$5:$B$434,"Organic",Countries!$D$5:$D$434,$A59)=0,"",SUMIFS(Countries!$J$5:$J$434,Countries!$A$5:$A$434,"All landing pages",Countries!$B$5:$B$434,"Organic",Countries!$D$5:$D$434,$A59))</f>
        <v/>
      </c>
      <c r="H59" s="69">
        <f>IF(OR(G59="",F59="",F59=0,G59=0),"",G59-F59)</f>
        <v/>
      </c>
      <c r="I59" s="42">
        <f>IF(OR(G59="",F59="",F59=0,G59=0),"",G59/F59-1)</f>
        <v/>
      </c>
      <c r="J59" s="41">
        <f>IF(SUMIFS(Countries!$I$5:$I$434,Countries!$A$5:$A$434,"All landing pages",Countries!$B$5:$B$434,"Direct",Countries!$D$5:$D$434,$A59)=0,"",SUMIFS(Countries!$I$5:$I$434,Countries!$A$5:$A$434,"All landing pages",Countries!$B$5:$B$434,"Direct",Countries!$D$5:$D$434,$A59))</f>
        <v/>
      </c>
      <c r="K59" s="41">
        <f>IF(SUMIFS(Countries!$J$5:$J$434,Countries!$A$5:$A$434,"All landing pages",Countries!$B$5:$B$434,"Direct",Countries!$D$5:$D$434,$A59)=0,"",SUMIFS(Countries!$J$5:$J$434,Countries!$A$5:$A$434,"All landing pages",Countries!$B$5:$B$434,"Direct",Countries!$D$5:$D$434,$A59))</f>
        <v/>
      </c>
      <c r="L59" s="69">
        <f>IF(OR(K59="",J59="",J59=0,K59=0),"",K59-J59)</f>
        <v/>
      </c>
      <c r="M59" s="42">
        <f>IF(OR(K59="",J59="",J59=0,K59=0),"",K59/J59-1)</f>
        <v/>
      </c>
      <c r="N59" s="41">
        <f>IF(SUM(B59,F59,J59)=0,"",SUM(B59,F59,J59))</f>
        <v/>
      </c>
      <c r="O59" s="41">
        <f>IF(SUM(C59,G59,K59)=0,"",SUM(C59,G59,K59))</f>
        <v/>
      </c>
      <c r="P59" s="69">
        <f>IF(OR(O59="",N59="",N59=0,O59=0),"",O59-N59)</f>
        <v/>
      </c>
      <c r="Q59" s="42">
        <f>IF(OR(O59="",N59="",N59=0,O59=0),"",O59/N59-1)</f>
        <v/>
      </c>
    </row>
    <row r="60">
      <c r="A60" s="56" t="inlineStr">
        <is>
          <t>Portugal</t>
        </is>
      </c>
      <c r="B60" s="41">
        <f>IF(SUMIFS(Countries!$I$5:$I$434,Countries!$A$5:$A$434,"All landing pages",Countries!$B$5:$B$434,"Paid Search",Countries!$D$5:$D$434,$A60)=0,"",SUMIFS(Countries!$I$5:$I$434,Countries!$A$5:$A$434,"All landing pages",Countries!$B$5:$B$434,"Paid Search",Countries!$D$5:$D$434,$A60))</f>
        <v/>
      </c>
      <c r="C60" s="41">
        <f>IF(SUMIFS(Countries!$J$5:$J$434,Countries!$A$5:$A$434,"All landing pages",Countries!$B$5:$B$434,"Paid Search",Countries!$D$5:$D$434,$A60)=0,"",SUMIFS(Countries!$J$5:$J$434,Countries!$A$5:$A$434,"All landing pages",Countries!$B$5:$B$434,"Paid Search",Countries!$D$5:$D$434,$A60))</f>
        <v/>
      </c>
      <c r="D60" s="69">
        <f>IF(OR(C60="",B60="",B60=0,C60=0),"",C60-B60)</f>
        <v/>
      </c>
      <c r="E60" s="42">
        <f>IF(OR(C60="",B60="",B60=0,C60=0),"",C60/B60-1)</f>
        <v/>
      </c>
      <c r="F60" s="41">
        <f>IF(SUMIFS(Countries!$I$5:$I$434,Countries!$A$5:$A$434,"All landing pages",Countries!$B$5:$B$434,"Organic",Countries!$D$5:$D$434,$A60)=0,"",SUMIFS(Countries!$I$5:$I$434,Countries!$A$5:$A$434,"All landing pages",Countries!$B$5:$B$434,"Organic",Countries!$D$5:$D$434,$A60))</f>
        <v/>
      </c>
      <c r="G60" s="41">
        <f>IF(SUMIFS(Countries!$J$5:$J$434,Countries!$A$5:$A$434,"All landing pages",Countries!$B$5:$B$434,"Organic",Countries!$D$5:$D$434,$A60)=0,"",SUMIFS(Countries!$J$5:$J$434,Countries!$A$5:$A$434,"All landing pages",Countries!$B$5:$B$434,"Organic",Countries!$D$5:$D$434,$A60))</f>
        <v/>
      </c>
      <c r="H60" s="69">
        <f>IF(OR(G60="",F60="",F60=0,G60=0),"",G60-F60)</f>
        <v/>
      </c>
      <c r="I60" s="42">
        <f>IF(OR(G60="",F60="",F60=0,G60=0),"",G60/F60-1)</f>
        <v/>
      </c>
      <c r="J60" s="41">
        <f>IF(SUMIFS(Countries!$I$5:$I$434,Countries!$A$5:$A$434,"All landing pages",Countries!$B$5:$B$434,"Direct",Countries!$D$5:$D$434,$A60)=0,"",SUMIFS(Countries!$I$5:$I$434,Countries!$A$5:$A$434,"All landing pages",Countries!$B$5:$B$434,"Direct",Countries!$D$5:$D$434,$A60))</f>
        <v/>
      </c>
      <c r="K60" s="41">
        <f>IF(SUMIFS(Countries!$J$5:$J$434,Countries!$A$5:$A$434,"All landing pages",Countries!$B$5:$B$434,"Direct",Countries!$D$5:$D$434,$A60)=0,"",SUMIFS(Countries!$J$5:$J$434,Countries!$A$5:$A$434,"All landing pages",Countries!$B$5:$B$434,"Direct",Countries!$D$5:$D$434,$A60))</f>
        <v/>
      </c>
      <c r="L60" s="69">
        <f>IF(OR(K60="",J60="",J60=0,K60=0),"",K60-J60)</f>
        <v/>
      </c>
      <c r="M60" s="42">
        <f>IF(OR(K60="",J60="",J60=0,K60=0),"",K60/J60-1)</f>
        <v/>
      </c>
      <c r="N60" s="41">
        <f>IF(SUM(B60,F60,J60)=0,"",SUM(B60,F60,J60))</f>
        <v/>
      </c>
      <c r="O60" s="41">
        <f>IF(SUM(C60,G60,K60)=0,"",SUM(C60,G60,K60))</f>
        <v/>
      </c>
      <c r="P60" s="69">
        <f>IF(OR(O60="",N60="",N60=0,O60=0),"",O60-N60)</f>
        <v/>
      </c>
      <c r="Q60" s="42">
        <f>IF(OR(O60="",N60="",N60=0,O60=0),"",O60/N60-1)</f>
        <v/>
      </c>
    </row>
    <row r="61">
      <c r="A61" s="40" t="inlineStr">
        <is>
          <t>Türkiye</t>
        </is>
      </c>
      <c r="B61" s="41">
        <f>IF(SUMIFS(Countries!$I$5:$I$434,Countries!$A$5:$A$434,"All landing pages",Countries!$B$5:$B$434,"Paid Search",Countries!$D$5:$D$434,$A61)=0,"",SUMIFS(Countries!$I$5:$I$434,Countries!$A$5:$A$434,"All landing pages",Countries!$B$5:$B$434,"Paid Search",Countries!$D$5:$D$434,$A61))</f>
        <v/>
      </c>
      <c r="C61" s="41">
        <f>IF(SUMIFS(Countries!$J$5:$J$434,Countries!$A$5:$A$434,"All landing pages",Countries!$B$5:$B$434,"Paid Search",Countries!$D$5:$D$434,$A61)=0,"",SUMIFS(Countries!$J$5:$J$434,Countries!$A$5:$A$434,"All landing pages",Countries!$B$5:$B$434,"Paid Search",Countries!$D$5:$D$434,$A61))</f>
        <v/>
      </c>
      <c r="D61" s="69">
        <f>IF(OR(C61="",B61="",B61=0,C61=0),"",C61-B61)</f>
        <v/>
      </c>
      <c r="E61" s="42">
        <f>IF(OR(C61="",B61="",B61=0,C61=0),"",C61/B61-1)</f>
        <v/>
      </c>
      <c r="F61" s="41">
        <f>IF(SUMIFS(Countries!$I$5:$I$434,Countries!$A$5:$A$434,"All landing pages",Countries!$B$5:$B$434,"Organic",Countries!$D$5:$D$434,$A61)=0,"",SUMIFS(Countries!$I$5:$I$434,Countries!$A$5:$A$434,"All landing pages",Countries!$B$5:$B$434,"Organic",Countries!$D$5:$D$434,$A61))</f>
        <v/>
      </c>
      <c r="G61" s="41">
        <f>IF(SUMIFS(Countries!$J$5:$J$434,Countries!$A$5:$A$434,"All landing pages",Countries!$B$5:$B$434,"Organic",Countries!$D$5:$D$434,$A61)=0,"",SUMIFS(Countries!$J$5:$J$434,Countries!$A$5:$A$434,"All landing pages",Countries!$B$5:$B$434,"Organic",Countries!$D$5:$D$434,$A61))</f>
        <v/>
      </c>
      <c r="H61" s="69">
        <f>IF(OR(G61="",F61="",F61=0,G61=0),"",G61-F61)</f>
        <v/>
      </c>
      <c r="I61" s="42">
        <f>IF(OR(G61="",F61="",F61=0,G61=0),"",G61/F61-1)</f>
        <v/>
      </c>
      <c r="J61" s="41">
        <f>IF(SUMIFS(Countries!$I$5:$I$434,Countries!$A$5:$A$434,"All landing pages",Countries!$B$5:$B$434,"Direct",Countries!$D$5:$D$434,$A61)=0,"",SUMIFS(Countries!$I$5:$I$434,Countries!$A$5:$A$434,"All landing pages",Countries!$B$5:$B$434,"Direct",Countries!$D$5:$D$434,$A61))</f>
        <v/>
      </c>
      <c r="K61" s="41">
        <f>IF(SUMIFS(Countries!$J$5:$J$434,Countries!$A$5:$A$434,"All landing pages",Countries!$B$5:$B$434,"Direct",Countries!$D$5:$D$434,$A61)=0,"",SUMIFS(Countries!$J$5:$J$434,Countries!$A$5:$A$434,"All landing pages",Countries!$B$5:$B$434,"Direct",Countries!$D$5:$D$434,$A61))</f>
        <v/>
      </c>
      <c r="L61" s="69">
        <f>IF(OR(K61="",J61="",J61=0,K61=0),"",K61-J61)</f>
        <v/>
      </c>
      <c r="M61" s="42">
        <f>IF(OR(K61="",J61="",J61=0,K61=0),"",K61/J61-1)</f>
        <v/>
      </c>
      <c r="N61" s="41">
        <f>IF(SUM(B61,F61,J61)=0,"",SUM(B61,F61,J61))</f>
        <v/>
      </c>
      <c r="O61" s="41">
        <f>IF(SUM(C61,G61,K61)=0,"",SUM(C61,G61,K61))</f>
        <v/>
      </c>
      <c r="P61" s="69">
        <f>IF(OR(O61="",N61="",N61=0,O61=0),"",O61-N61)</f>
        <v/>
      </c>
      <c r="Q61" s="42">
        <f>IF(OR(O61="",N61="",N61=0,O61=0),"",O61/N61-1)</f>
        <v/>
      </c>
    </row>
    <row r="62">
      <c r="A62" s="56" t="inlineStr">
        <is>
          <t>Australia</t>
        </is>
      </c>
      <c r="B62" s="41">
        <f>IF(SUMIFS(Countries!$I$5:$I$434,Countries!$A$5:$A$434,"All landing pages",Countries!$B$5:$B$434,"Paid Search",Countries!$D$5:$D$434,$A62)=0,"",SUMIFS(Countries!$I$5:$I$434,Countries!$A$5:$A$434,"All landing pages",Countries!$B$5:$B$434,"Paid Search",Countries!$D$5:$D$434,$A62))</f>
        <v/>
      </c>
      <c r="C62" s="41">
        <f>IF(SUMIFS(Countries!$J$5:$J$434,Countries!$A$5:$A$434,"All landing pages",Countries!$B$5:$B$434,"Paid Search",Countries!$D$5:$D$434,$A62)=0,"",SUMIFS(Countries!$J$5:$J$434,Countries!$A$5:$A$434,"All landing pages",Countries!$B$5:$B$434,"Paid Search",Countries!$D$5:$D$434,$A62))</f>
        <v/>
      </c>
      <c r="D62" s="69">
        <f>IF(OR(C62="",B62="",B62=0,C62=0),"",C62-B62)</f>
        <v/>
      </c>
      <c r="E62" s="42">
        <f>IF(OR(C62="",B62="",B62=0,C62=0),"",C62/B62-1)</f>
        <v/>
      </c>
      <c r="F62" s="41">
        <f>IF(SUMIFS(Countries!$I$5:$I$434,Countries!$A$5:$A$434,"All landing pages",Countries!$B$5:$B$434,"Organic",Countries!$D$5:$D$434,$A62)=0,"",SUMIFS(Countries!$I$5:$I$434,Countries!$A$5:$A$434,"All landing pages",Countries!$B$5:$B$434,"Organic",Countries!$D$5:$D$434,$A62))</f>
        <v/>
      </c>
      <c r="G62" s="41">
        <f>IF(SUMIFS(Countries!$J$5:$J$434,Countries!$A$5:$A$434,"All landing pages",Countries!$B$5:$B$434,"Organic",Countries!$D$5:$D$434,$A62)=0,"",SUMIFS(Countries!$J$5:$J$434,Countries!$A$5:$A$434,"All landing pages",Countries!$B$5:$B$434,"Organic",Countries!$D$5:$D$434,$A62))</f>
        <v/>
      </c>
      <c r="H62" s="69">
        <f>IF(OR(G62="",F62="",F62=0,G62=0),"",G62-F62)</f>
        <v/>
      </c>
      <c r="I62" s="42">
        <f>IF(OR(G62="",F62="",F62=0,G62=0),"",G62/F62-1)</f>
        <v/>
      </c>
      <c r="J62" s="41">
        <f>IF(SUMIFS(Countries!$I$5:$I$434,Countries!$A$5:$A$434,"All landing pages",Countries!$B$5:$B$434,"Direct",Countries!$D$5:$D$434,$A62)=0,"",SUMIFS(Countries!$I$5:$I$434,Countries!$A$5:$A$434,"All landing pages",Countries!$B$5:$B$434,"Direct",Countries!$D$5:$D$434,$A62))</f>
        <v/>
      </c>
      <c r="K62" s="41">
        <f>IF(SUMIFS(Countries!$J$5:$J$434,Countries!$A$5:$A$434,"All landing pages",Countries!$B$5:$B$434,"Direct",Countries!$D$5:$D$434,$A62)=0,"",SUMIFS(Countries!$J$5:$J$434,Countries!$A$5:$A$434,"All landing pages",Countries!$B$5:$B$434,"Direct",Countries!$D$5:$D$434,$A62))</f>
        <v/>
      </c>
      <c r="L62" s="69">
        <f>IF(OR(K62="",J62="",J62=0,K62=0),"",K62-J62)</f>
        <v/>
      </c>
      <c r="M62" s="42">
        <f>IF(OR(K62="",J62="",J62=0,K62=0),"",K62/J62-1)</f>
        <v/>
      </c>
      <c r="N62" s="41">
        <f>IF(SUM(B62,F62,J62)=0,"",SUM(B62,F62,J62))</f>
        <v/>
      </c>
      <c r="O62" s="41">
        <f>IF(SUM(C62,G62,K62)=0,"",SUM(C62,G62,K62))</f>
        <v/>
      </c>
      <c r="P62" s="69">
        <f>IF(OR(O62="",N62="",N62=0,O62=0),"",O62-N62)</f>
        <v/>
      </c>
      <c r="Q62" s="42">
        <f>IF(OR(O62="",N62="",N62=0,O62=0),"",O62/N62-1)</f>
        <v/>
      </c>
    </row>
    <row r="63">
      <c r="A63" s="40" t="inlineStr">
        <is>
          <t>Romania</t>
        </is>
      </c>
      <c r="B63" s="41">
        <f>IF(SUMIFS(Countries!$I$5:$I$434,Countries!$A$5:$A$434,"All landing pages",Countries!$B$5:$B$434,"Paid Search",Countries!$D$5:$D$434,$A63)=0,"",SUMIFS(Countries!$I$5:$I$434,Countries!$A$5:$A$434,"All landing pages",Countries!$B$5:$B$434,"Paid Search",Countries!$D$5:$D$434,$A63))</f>
        <v/>
      </c>
      <c r="C63" s="41">
        <f>IF(SUMIFS(Countries!$J$5:$J$434,Countries!$A$5:$A$434,"All landing pages",Countries!$B$5:$B$434,"Paid Search",Countries!$D$5:$D$434,$A63)=0,"",SUMIFS(Countries!$J$5:$J$434,Countries!$A$5:$A$434,"All landing pages",Countries!$B$5:$B$434,"Paid Search",Countries!$D$5:$D$434,$A63))</f>
        <v/>
      </c>
      <c r="D63" s="69">
        <f>IF(OR(C63="",B63="",B63=0,C63=0),"",C63-B63)</f>
        <v/>
      </c>
      <c r="E63" s="42">
        <f>IF(OR(C63="",B63="",B63=0,C63=0),"",C63/B63-1)</f>
        <v/>
      </c>
      <c r="F63" s="41">
        <f>IF(SUMIFS(Countries!$I$5:$I$434,Countries!$A$5:$A$434,"All landing pages",Countries!$B$5:$B$434,"Organic",Countries!$D$5:$D$434,$A63)=0,"",SUMIFS(Countries!$I$5:$I$434,Countries!$A$5:$A$434,"All landing pages",Countries!$B$5:$B$434,"Organic",Countries!$D$5:$D$434,$A63))</f>
        <v/>
      </c>
      <c r="G63" s="41">
        <f>IF(SUMIFS(Countries!$J$5:$J$434,Countries!$A$5:$A$434,"All landing pages",Countries!$B$5:$B$434,"Organic",Countries!$D$5:$D$434,$A63)=0,"",SUMIFS(Countries!$J$5:$J$434,Countries!$A$5:$A$434,"All landing pages",Countries!$B$5:$B$434,"Organic",Countries!$D$5:$D$434,$A63))</f>
        <v/>
      </c>
      <c r="H63" s="69">
        <f>IF(OR(G63="",F63="",F63=0,G63=0),"",G63-F63)</f>
        <v/>
      </c>
      <c r="I63" s="42">
        <f>IF(OR(G63="",F63="",F63=0,G63=0),"",G63/F63-1)</f>
        <v/>
      </c>
      <c r="J63" s="41">
        <f>IF(SUMIFS(Countries!$I$5:$I$434,Countries!$A$5:$A$434,"All landing pages",Countries!$B$5:$B$434,"Direct",Countries!$D$5:$D$434,$A63)=0,"",SUMIFS(Countries!$I$5:$I$434,Countries!$A$5:$A$434,"All landing pages",Countries!$B$5:$B$434,"Direct",Countries!$D$5:$D$434,$A63))</f>
        <v/>
      </c>
      <c r="K63" s="41">
        <f>IF(SUMIFS(Countries!$J$5:$J$434,Countries!$A$5:$A$434,"All landing pages",Countries!$B$5:$B$434,"Direct",Countries!$D$5:$D$434,$A63)=0,"",SUMIFS(Countries!$J$5:$J$434,Countries!$A$5:$A$434,"All landing pages",Countries!$B$5:$B$434,"Direct",Countries!$D$5:$D$434,$A63))</f>
        <v/>
      </c>
      <c r="L63" s="69">
        <f>IF(OR(K63="",J63="",J63=0,K63=0),"",K63-J63)</f>
        <v/>
      </c>
      <c r="M63" s="42">
        <f>IF(OR(K63="",J63="",J63=0,K63=0),"",K63/J63-1)</f>
        <v/>
      </c>
      <c r="N63" s="41">
        <f>IF(SUM(B63,F63,J63)=0,"",SUM(B63,F63,J63))</f>
        <v/>
      </c>
      <c r="O63" s="41">
        <f>IF(SUM(C63,G63,K63)=0,"",SUM(C63,G63,K63))</f>
        <v/>
      </c>
      <c r="P63" s="69">
        <f>IF(OR(O63="",N63="",N63=0,O63=0),"",O63-N63)</f>
        <v/>
      </c>
      <c r="Q63" s="42">
        <f>IF(OR(O63="",N63="",N63=0,O63=0),"",O63/N63-1)</f>
        <v/>
      </c>
    </row>
    <row r="64">
      <c r="A64" s="56" t="inlineStr">
        <is>
          <t>Canada</t>
        </is>
      </c>
      <c r="B64" s="41">
        <f>IF(SUMIFS(Countries!$I$5:$I$434,Countries!$A$5:$A$434,"All landing pages",Countries!$B$5:$B$434,"Paid Search",Countries!$D$5:$D$434,$A64)=0,"",SUMIFS(Countries!$I$5:$I$434,Countries!$A$5:$A$434,"All landing pages",Countries!$B$5:$B$434,"Paid Search",Countries!$D$5:$D$434,$A64))</f>
        <v/>
      </c>
      <c r="C64" s="41">
        <f>IF(SUMIFS(Countries!$J$5:$J$434,Countries!$A$5:$A$434,"All landing pages",Countries!$B$5:$B$434,"Paid Search",Countries!$D$5:$D$434,$A64)=0,"",SUMIFS(Countries!$J$5:$J$434,Countries!$A$5:$A$434,"All landing pages",Countries!$B$5:$B$434,"Paid Search",Countries!$D$5:$D$434,$A64))</f>
        <v/>
      </c>
      <c r="D64" s="69">
        <f>IF(OR(C64="",B64="",B64=0,C64=0),"",C64-B64)</f>
        <v/>
      </c>
      <c r="E64" s="42">
        <f>IF(OR(C64="",B64="",B64=0,C64=0),"",C64/B64-1)</f>
        <v/>
      </c>
      <c r="F64" s="41">
        <f>IF(SUMIFS(Countries!$I$5:$I$434,Countries!$A$5:$A$434,"All landing pages",Countries!$B$5:$B$434,"Organic",Countries!$D$5:$D$434,$A64)=0,"",SUMIFS(Countries!$I$5:$I$434,Countries!$A$5:$A$434,"All landing pages",Countries!$B$5:$B$434,"Organic",Countries!$D$5:$D$434,$A64))</f>
        <v/>
      </c>
      <c r="G64" s="41">
        <f>IF(SUMIFS(Countries!$J$5:$J$434,Countries!$A$5:$A$434,"All landing pages",Countries!$B$5:$B$434,"Organic",Countries!$D$5:$D$434,$A64)=0,"",SUMIFS(Countries!$J$5:$J$434,Countries!$A$5:$A$434,"All landing pages",Countries!$B$5:$B$434,"Organic",Countries!$D$5:$D$434,$A64))</f>
        <v/>
      </c>
      <c r="H64" s="69">
        <f>IF(OR(G64="",F64="",F64=0,G64=0),"",G64-F64)</f>
        <v/>
      </c>
      <c r="I64" s="42">
        <f>IF(OR(G64="",F64="",F64=0,G64=0),"",G64/F64-1)</f>
        <v/>
      </c>
      <c r="J64" s="41">
        <f>IF(SUMIFS(Countries!$I$5:$I$434,Countries!$A$5:$A$434,"All landing pages",Countries!$B$5:$B$434,"Direct",Countries!$D$5:$D$434,$A64)=0,"",SUMIFS(Countries!$I$5:$I$434,Countries!$A$5:$A$434,"All landing pages",Countries!$B$5:$B$434,"Direct",Countries!$D$5:$D$434,$A64))</f>
        <v/>
      </c>
      <c r="K64" s="41">
        <f>IF(SUMIFS(Countries!$J$5:$J$434,Countries!$A$5:$A$434,"All landing pages",Countries!$B$5:$B$434,"Direct",Countries!$D$5:$D$434,$A64)=0,"",SUMIFS(Countries!$J$5:$J$434,Countries!$A$5:$A$434,"All landing pages",Countries!$B$5:$B$434,"Direct",Countries!$D$5:$D$434,$A64))</f>
        <v/>
      </c>
      <c r="L64" s="69">
        <f>IF(OR(K64="",J64="",J64=0,K64=0),"",K64-J64)</f>
        <v/>
      </c>
      <c r="M64" s="42">
        <f>IF(OR(K64="",J64="",J64=0,K64=0),"",K64/J64-1)</f>
        <v/>
      </c>
      <c r="N64" s="41">
        <f>IF(SUM(B64,F64,J64)=0,"",SUM(B64,F64,J64))</f>
        <v/>
      </c>
      <c r="O64" s="41">
        <f>IF(SUM(C64,G64,K64)=0,"",SUM(C64,G64,K64))</f>
        <v/>
      </c>
      <c r="P64" s="69">
        <f>IF(OR(O64="",N64="",N64=0,O64=0),"",O64-N64)</f>
        <v/>
      </c>
      <c r="Q64" s="42">
        <f>IF(OR(O64="",N64="",N64=0,O64=0),"",O64/N64-1)</f>
        <v/>
      </c>
    </row>
    <row r="65">
      <c r="A65" s="40" t="inlineStr">
        <is>
          <t>Greece</t>
        </is>
      </c>
      <c r="B65" s="41">
        <f>IF(SUMIFS(Countries!$I$5:$I$434,Countries!$A$5:$A$434,"All landing pages",Countries!$B$5:$B$434,"Paid Search",Countries!$D$5:$D$434,$A65)=0,"",SUMIFS(Countries!$I$5:$I$434,Countries!$A$5:$A$434,"All landing pages",Countries!$B$5:$B$434,"Paid Search",Countries!$D$5:$D$434,$A65))</f>
        <v/>
      </c>
      <c r="C65" s="41">
        <f>IF(SUMIFS(Countries!$J$5:$J$434,Countries!$A$5:$A$434,"All landing pages",Countries!$B$5:$B$434,"Paid Search",Countries!$D$5:$D$434,$A65)=0,"",SUMIFS(Countries!$J$5:$J$434,Countries!$A$5:$A$434,"All landing pages",Countries!$B$5:$B$434,"Paid Search",Countries!$D$5:$D$434,$A65))</f>
        <v/>
      </c>
      <c r="D65" s="69">
        <f>IF(OR(C65="",B65="",B65=0,C65=0),"",C65-B65)</f>
        <v/>
      </c>
      <c r="E65" s="42">
        <f>IF(OR(C65="",B65="",B65=0,C65=0),"",C65/B65-1)</f>
        <v/>
      </c>
      <c r="F65" s="41">
        <f>IF(SUMIFS(Countries!$I$5:$I$434,Countries!$A$5:$A$434,"All landing pages",Countries!$B$5:$B$434,"Organic",Countries!$D$5:$D$434,$A65)=0,"",SUMIFS(Countries!$I$5:$I$434,Countries!$A$5:$A$434,"All landing pages",Countries!$B$5:$B$434,"Organic",Countries!$D$5:$D$434,$A65))</f>
        <v/>
      </c>
      <c r="G65" s="41">
        <f>IF(SUMIFS(Countries!$J$5:$J$434,Countries!$A$5:$A$434,"All landing pages",Countries!$B$5:$B$434,"Organic",Countries!$D$5:$D$434,$A65)=0,"",SUMIFS(Countries!$J$5:$J$434,Countries!$A$5:$A$434,"All landing pages",Countries!$B$5:$B$434,"Organic",Countries!$D$5:$D$434,$A65))</f>
        <v/>
      </c>
      <c r="H65" s="69">
        <f>IF(OR(G65="",F65="",F65=0,G65=0),"",G65-F65)</f>
        <v/>
      </c>
      <c r="I65" s="42">
        <f>IF(OR(G65="",F65="",F65=0,G65=0),"",G65/F65-1)</f>
        <v/>
      </c>
      <c r="J65" s="41">
        <f>IF(SUMIFS(Countries!$I$5:$I$434,Countries!$A$5:$A$434,"All landing pages",Countries!$B$5:$B$434,"Direct",Countries!$D$5:$D$434,$A65)=0,"",SUMIFS(Countries!$I$5:$I$434,Countries!$A$5:$A$434,"All landing pages",Countries!$B$5:$B$434,"Direct",Countries!$D$5:$D$434,$A65))</f>
        <v/>
      </c>
      <c r="K65" s="41">
        <f>IF(SUMIFS(Countries!$J$5:$J$434,Countries!$A$5:$A$434,"All landing pages",Countries!$B$5:$B$434,"Direct",Countries!$D$5:$D$434,$A65)=0,"",SUMIFS(Countries!$J$5:$J$434,Countries!$A$5:$A$434,"All landing pages",Countries!$B$5:$B$434,"Direct",Countries!$D$5:$D$434,$A65))</f>
        <v/>
      </c>
      <c r="L65" s="69">
        <f>IF(OR(K65="",J65="",J65=0,K65=0),"",K65-J65)</f>
        <v/>
      </c>
      <c r="M65" s="42">
        <f>IF(OR(K65="",J65="",J65=0,K65=0),"",K65/J65-1)</f>
        <v/>
      </c>
      <c r="N65" s="41">
        <f>IF(SUM(B65,F65,J65)=0,"",SUM(B65,F65,J65))</f>
        <v/>
      </c>
      <c r="O65" s="41">
        <f>IF(SUM(C65,G65,K65)=0,"",SUM(C65,G65,K65))</f>
        <v/>
      </c>
      <c r="P65" s="69">
        <f>IF(OR(O65="",N65="",N65=0,O65=0),"",O65-N65)</f>
        <v/>
      </c>
      <c r="Q65" s="42">
        <f>IF(OR(O65="",N65="",N65=0,O65=0),"",O65/N65-1)</f>
        <v/>
      </c>
    </row>
    <row r="66">
      <c r="A66" s="56" t="inlineStr">
        <is>
          <t>Switzerland</t>
        </is>
      </c>
      <c r="B66" s="41">
        <f>IF(SUMIFS(Countries!$I$5:$I$434,Countries!$A$5:$A$434,"All landing pages",Countries!$B$5:$B$434,"Paid Search",Countries!$D$5:$D$434,$A66)=0,"",SUMIFS(Countries!$I$5:$I$434,Countries!$A$5:$A$434,"All landing pages",Countries!$B$5:$B$434,"Paid Search",Countries!$D$5:$D$434,$A66))</f>
        <v/>
      </c>
      <c r="C66" s="41">
        <f>IF(SUMIFS(Countries!$J$5:$J$434,Countries!$A$5:$A$434,"All landing pages",Countries!$B$5:$B$434,"Paid Search",Countries!$D$5:$D$434,$A66)=0,"",SUMIFS(Countries!$J$5:$J$434,Countries!$A$5:$A$434,"All landing pages",Countries!$B$5:$B$434,"Paid Search",Countries!$D$5:$D$434,$A66))</f>
        <v/>
      </c>
      <c r="D66" s="69">
        <f>IF(OR(C66="",B66="",B66=0,C66=0),"",C66-B66)</f>
        <v/>
      </c>
      <c r="E66" s="42">
        <f>IF(OR(C66="",B66="",B66=0,C66=0),"",C66/B66-1)</f>
        <v/>
      </c>
      <c r="F66" s="41">
        <f>IF(SUMIFS(Countries!$I$5:$I$434,Countries!$A$5:$A$434,"All landing pages",Countries!$B$5:$B$434,"Organic",Countries!$D$5:$D$434,$A66)=0,"",SUMIFS(Countries!$I$5:$I$434,Countries!$A$5:$A$434,"All landing pages",Countries!$B$5:$B$434,"Organic",Countries!$D$5:$D$434,$A66))</f>
        <v/>
      </c>
      <c r="G66" s="41">
        <f>IF(SUMIFS(Countries!$J$5:$J$434,Countries!$A$5:$A$434,"All landing pages",Countries!$B$5:$B$434,"Organic",Countries!$D$5:$D$434,$A66)=0,"",SUMIFS(Countries!$J$5:$J$434,Countries!$A$5:$A$434,"All landing pages",Countries!$B$5:$B$434,"Organic",Countries!$D$5:$D$434,$A66))</f>
        <v/>
      </c>
      <c r="H66" s="69">
        <f>IF(OR(G66="",F66="",F66=0,G66=0),"",G66-F66)</f>
        <v/>
      </c>
      <c r="I66" s="42">
        <f>IF(OR(G66="",F66="",F66=0,G66=0),"",G66/F66-1)</f>
        <v/>
      </c>
      <c r="J66" s="41">
        <f>IF(SUMIFS(Countries!$I$5:$I$434,Countries!$A$5:$A$434,"All landing pages",Countries!$B$5:$B$434,"Direct",Countries!$D$5:$D$434,$A66)=0,"",SUMIFS(Countries!$I$5:$I$434,Countries!$A$5:$A$434,"All landing pages",Countries!$B$5:$B$434,"Direct",Countries!$D$5:$D$434,$A66))</f>
        <v/>
      </c>
      <c r="K66" s="41">
        <f>IF(SUMIFS(Countries!$J$5:$J$434,Countries!$A$5:$A$434,"All landing pages",Countries!$B$5:$B$434,"Direct",Countries!$D$5:$D$434,$A66)=0,"",SUMIFS(Countries!$J$5:$J$434,Countries!$A$5:$A$434,"All landing pages",Countries!$B$5:$B$434,"Direct",Countries!$D$5:$D$434,$A66))</f>
        <v/>
      </c>
      <c r="L66" s="69">
        <f>IF(OR(K66="",J66="",J66=0,K66=0),"",K66-J66)</f>
        <v/>
      </c>
      <c r="M66" s="42">
        <f>IF(OR(K66="",J66="",J66=0,K66=0),"",K66/J66-1)</f>
        <v/>
      </c>
      <c r="N66" s="41">
        <f>IF(SUM(B66,F66,J66)=0,"",SUM(B66,F66,J66))</f>
        <v/>
      </c>
      <c r="O66" s="41">
        <f>IF(SUM(C66,G66,K66)=0,"",SUM(C66,G66,K66))</f>
        <v/>
      </c>
      <c r="P66" s="69">
        <f>IF(OR(O66="",N66="",N66=0,O66=0),"",O66-N66)</f>
        <v/>
      </c>
      <c r="Q66" s="42">
        <f>IF(OR(O66="",N66="",N66=0,O66=0),"",O66/N66-1)</f>
        <v/>
      </c>
    </row>
    <row r="67">
      <c r="A67" s="40" t="inlineStr">
        <is>
          <t>(not set)</t>
        </is>
      </c>
      <c r="B67" s="41">
        <f>IF(SUMIFS(Countries!$I$5:$I$434,Countries!$A$5:$A$434,"All landing pages",Countries!$B$5:$B$434,"Paid Search",Countries!$D$5:$D$434,$A67)=0,"",SUMIFS(Countries!$I$5:$I$434,Countries!$A$5:$A$434,"All landing pages",Countries!$B$5:$B$434,"Paid Search",Countries!$D$5:$D$434,$A67))</f>
        <v/>
      </c>
      <c r="C67" s="41">
        <f>IF(SUMIFS(Countries!$J$5:$J$434,Countries!$A$5:$A$434,"All landing pages",Countries!$B$5:$B$434,"Paid Search",Countries!$D$5:$D$434,$A67)=0,"",SUMIFS(Countries!$J$5:$J$434,Countries!$A$5:$A$434,"All landing pages",Countries!$B$5:$B$434,"Paid Search",Countries!$D$5:$D$434,$A67))</f>
        <v/>
      </c>
      <c r="D67" s="69">
        <f>IF(OR(C67="",B67="",B67=0,C67=0),"",C67-B67)</f>
        <v/>
      </c>
      <c r="E67" s="42">
        <f>IF(OR(C67="",B67="",B67=0,C67=0),"",C67/B67-1)</f>
        <v/>
      </c>
      <c r="F67" s="41">
        <f>IF(SUMIFS(Countries!$I$5:$I$434,Countries!$A$5:$A$434,"All landing pages",Countries!$B$5:$B$434,"Organic",Countries!$D$5:$D$434,$A67)=0,"",SUMIFS(Countries!$I$5:$I$434,Countries!$A$5:$A$434,"All landing pages",Countries!$B$5:$B$434,"Organic",Countries!$D$5:$D$434,$A67))</f>
        <v/>
      </c>
      <c r="G67" s="41">
        <f>IF(SUMIFS(Countries!$J$5:$J$434,Countries!$A$5:$A$434,"All landing pages",Countries!$B$5:$B$434,"Organic",Countries!$D$5:$D$434,$A67)=0,"",SUMIFS(Countries!$J$5:$J$434,Countries!$A$5:$A$434,"All landing pages",Countries!$B$5:$B$434,"Organic",Countries!$D$5:$D$434,$A67))</f>
        <v/>
      </c>
      <c r="H67" s="69">
        <f>IF(OR(G67="",F67="",F67=0,G67=0),"",G67-F67)</f>
        <v/>
      </c>
      <c r="I67" s="42">
        <f>IF(OR(G67="",F67="",F67=0,G67=0),"",G67/F67-1)</f>
        <v/>
      </c>
      <c r="J67" s="41">
        <f>IF(SUMIFS(Countries!$I$5:$I$434,Countries!$A$5:$A$434,"All landing pages",Countries!$B$5:$B$434,"Direct",Countries!$D$5:$D$434,$A67)=0,"",SUMIFS(Countries!$I$5:$I$434,Countries!$A$5:$A$434,"All landing pages",Countries!$B$5:$B$434,"Direct",Countries!$D$5:$D$434,$A67))</f>
        <v/>
      </c>
      <c r="K67" s="41">
        <f>IF(SUMIFS(Countries!$J$5:$J$434,Countries!$A$5:$A$434,"All landing pages",Countries!$B$5:$B$434,"Direct",Countries!$D$5:$D$434,$A67)=0,"",SUMIFS(Countries!$J$5:$J$434,Countries!$A$5:$A$434,"All landing pages",Countries!$B$5:$B$434,"Direct",Countries!$D$5:$D$434,$A67))</f>
        <v/>
      </c>
      <c r="L67" s="69">
        <f>IF(OR(K67="",J67="",J67=0,K67=0),"",K67-J67)</f>
        <v/>
      </c>
      <c r="M67" s="42">
        <f>IF(OR(K67="",J67="",J67=0,K67=0),"",K67/J67-1)</f>
        <v/>
      </c>
      <c r="N67" s="41">
        <f>IF(SUM(B67,F67,J67)=0,"",SUM(B67,F67,J67))</f>
        <v/>
      </c>
      <c r="O67" s="41">
        <f>IF(SUM(C67,G67,K67)=0,"",SUM(C67,G67,K67))</f>
        <v/>
      </c>
      <c r="P67" s="69">
        <f>IF(OR(O67="",N67="",N67=0,O67=0),"",O67-N67)</f>
        <v/>
      </c>
      <c r="Q67" s="42">
        <f>IF(OR(O67="",N67="",N67=0,O67=0),"",O67/N67-1)</f>
        <v/>
      </c>
    </row>
    <row r="68">
      <c r="A68" s="56" t="inlineStr">
        <is>
          <t>Algeria</t>
        </is>
      </c>
      <c r="B68" s="41">
        <f>IF(SUMIFS(Countries!$I$5:$I$434,Countries!$A$5:$A$434,"All landing pages",Countries!$B$5:$B$434,"Paid Search",Countries!$D$5:$D$434,$A68)=0,"",SUMIFS(Countries!$I$5:$I$434,Countries!$A$5:$A$434,"All landing pages",Countries!$B$5:$B$434,"Paid Search",Countries!$D$5:$D$434,$A68))</f>
        <v/>
      </c>
      <c r="C68" s="41">
        <f>IF(SUMIFS(Countries!$J$5:$J$434,Countries!$A$5:$A$434,"All landing pages",Countries!$B$5:$B$434,"Paid Search",Countries!$D$5:$D$434,$A68)=0,"",SUMIFS(Countries!$J$5:$J$434,Countries!$A$5:$A$434,"All landing pages",Countries!$B$5:$B$434,"Paid Search",Countries!$D$5:$D$434,$A68))</f>
        <v/>
      </c>
      <c r="D68" s="69">
        <f>IF(OR(C68="",B68="",B68=0,C68=0),"",C68-B68)</f>
        <v/>
      </c>
      <c r="E68" s="42">
        <f>IF(OR(C68="",B68="",B68=0,C68=0),"",C68/B68-1)</f>
        <v/>
      </c>
      <c r="F68" s="41">
        <f>IF(SUMIFS(Countries!$I$5:$I$434,Countries!$A$5:$A$434,"All landing pages",Countries!$B$5:$B$434,"Organic",Countries!$D$5:$D$434,$A68)=0,"",SUMIFS(Countries!$I$5:$I$434,Countries!$A$5:$A$434,"All landing pages",Countries!$B$5:$B$434,"Organic",Countries!$D$5:$D$434,$A68))</f>
        <v/>
      </c>
      <c r="G68" s="41">
        <f>IF(SUMIFS(Countries!$J$5:$J$434,Countries!$A$5:$A$434,"All landing pages",Countries!$B$5:$B$434,"Organic",Countries!$D$5:$D$434,$A68)=0,"",SUMIFS(Countries!$J$5:$J$434,Countries!$A$5:$A$434,"All landing pages",Countries!$B$5:$B$434,"Organic",Countries!$D$5:$D$434,$A68))</f>
        <v/>
      </c>
      <c r="H68" s="69">
        <f>IF(OR(G68="",F68="",F68=0,G68=0),"",G68-F68)</f>
        <v/>
      </c>
      <c r="I68" s="42">
        <f>IF(OR(G68="",F68="",F68=0,G68=0),"",G68/F68-1)</f>
        <v/>
      </c>
      <c r="J68" s="41">
        <f>IF(SUMIFS(Countries!$I$5:$I$434,Countries!$A$5:$A$434,"All landing pages",Countries!$B$5:$B$434,"Direct",Countries!$D$5:$D$434,$A68)=0,"",SUMIFS(Countries!$I$5:$I$434,Countries!$A$5:$A$434,"All landing pages",Countries!$B$5:$B$434,"Direct",Countries!$D$5:$D$434,$A68))</f>
        <v/>
      </c>
      <c r="K68" s="41">
        <f>IF(SUMIFS(Countries!$J$5:$J$434,Countries!$A$5:$A$434,"All landing pages",Countries!$B$5:$B$434,"Direct",Countries!$D$5:$D$434,$A68)=0,"",SUMIFS(Countries!$J$5:$J$434,Countries!$A$5:$A$434,"All landing pages",Countries!$B$5:$B$434,"Direct",Countries!$D$5:$D$434,$A68))</f>
        <v/>
      </c>
      <c r="L68" s="69">
        <f>IF(OR(K68="",J68="",J68=0,K68=0),"",K68-J68)</f>
        <v/>
      </c>
      <c r="M68" s="42">
        <f>IF(OR(K68="",J68="",J68=0,K68=0),"",K68/J68-1)</f>
        <v/>
      </c>
      <c r="N68" s="41">
        <f>IF(SUM(B68,F68,J68)=0,"",SUM(B68,F68,J68))</f>
        <v/>
      </c>
      <c r="O68" s="41">
        <f>IF(SUM(C68,G68,K68)=0,"",SUM(C68,G68,K68))</f>
        <v/>
      </c>
      <c r="P68" s="69">
        <f>IF(OR(O68="",N68="",N68=0,O68=0),"",O68-N68)</f>
        <v/>
      </c>
      <c r="Q68" s="42">
        <f>IF(OR(O68="",N68="",N68=0,O68=0),"",O68/N68-1)</f>
        <v/>
      </c>
    </row>
    <row r="69">
      <c r="A69" s="40" t="inlineStr">
        <is>
          <t>Argentina</t>
        </is>
      </c>
      <c r="B69" s="41">
        <f>IF(SUMIFS(Countries!$I$5:$I$434,Countries!$A$5:$A$434,"All landing pages",Countries!$B$5:$B$434,"Paid Search",Countries!$D$5:$D$434,$A69)=0,"",SUMIFS(Countries!$I$5:$I$434,Countries!$A$5:$A$434,"All landing pages",Countries!$B$5:$B$434,"Paid Search",Countries!$D$5:$D$434,$A69))</f>
        <v/>
      </c>
      <c r="C69" s="41">
        <f>IF(SUMIFS(Countries!$J$5:$J$434,Countries!$A$5:$A$434,"All landing pages",Countries!$B$5:$B$434,"Paid Search",Countries!$D$5:$D$434,$A69)=0,"",SUMIFS(Countries!$J$5:$J$434,Countries!$A$5:$A$434,"All landing pages",Countries!$B$5:$B$434,"Paid Search",Countries!$D$5:$D$434,$A69))</f>
        <v/>
      </c>
      <c r="D69" s="69">
        <f>IF(OR(C69="",B69="",B69=0,C69=0),"",C69-B69)</f>
        <v/>
      </c>
      <c r="E69" s="42">
        <f>IF(OR(C69="",B69="",B69=0,C69=0),"",C69/B69-1)</f>
        <v/>
      </c>
      <c r="F69" s="41">
        <f>IF(SUMIFS(Countries!$I$5:$I$434,Countries!$A$5:$A$434,"All landing pages",Countries!$B$5:$B$434,"Organic",Countries!$D$5:$D$434,$A69)=0,"",SUMIFS(Countries!$I$5:$I$434,Countries!$A$5:$A$434,"All landing pages",Countries!$B$5:$B$434,"Organic",Countries!$D$5:$D$434,$A69))</f>
        <v/>
      </c>
      <c r="G69" s="41">
        <f>IF(SUMIFS(Countries!$J$5:$J$434,Countries!$A$5:$A$434,"All landing pages",Countries!$B$5:$B$434,"Organic",Countries!$D$5:$D$434,$A69)=0,"",SUMIFS(Countries!$J$5:$J$434,Countries!$A$5:$A$434,"All landing pages",Countries!$B$5:$B$434,"Organic",Countries!$D$5:$D$434,$A69))</f>
        <v/>
      </c>
      <c r="H69" s="69">
        <f>IF(OR(G69="",F69="",F69=0,G69=0),"",G69-F69)</f>
        <v/>
      </c>
      <c r="I69" s="42">
        <f>IF(OR(G69="",F69="",F69=0,G69=0),"",G69/F69-1)</f>
        <v/>
      </c>
      <c r="J69" s="41">
        <f>IF(SUMIFS(Countries!$I$5:$I$434,Countries!$A$5:$A$434,"All landing pages",Countries!$B$5:$B$434,"Direct",Countries!$D$5:$D$434,$A69)=0,"",SUMIFS(Countries!$I$5:$I$434,Countries!$A$5:$A$434,"All landing pages",Countries!$B$5:$B$434,"Direct",Countries!$D$5:$D$434,$A69))</f>
        <v/>
      </c>
      <c r="K69" s="41">
        <f>IF(SUMIFS(Countries!$J$5:$J$434,Countries!$A$5:$A$434,"All landing pages",Countries!$B$5:$B$434,"Direct",Countries!$D$5:$D$434,$A69)=0,"",SUMIFS(Countries!$J$5:$J$434,Countries!$A$5:$A$434,"All landing pages",Countries!$B$5:$B$434,"Direct",Countries!$D$5:$D$434,$A69))</f>
        <v/>
      </c>
      <c r="L69" s="69">
        <f>IF(OR(K69="",J69="",J69=0,K69=0),"",K69-J69)</f>
        <v/>
      </c>
      <c r="M69" s="42">
        <f>IF(OR(K69="",J69="",J69=0,K69=0),"",K69/J69-1)</f>
        <v/>
      </c>
      <c r="N69" s="41">
        <f>IF(SUM(B69,F69,J69)=0,"",SUM(B69,F69,J69))</f>
        <v/>
      </c>
      <c r="O69" s="41">
        <f>IF(SUM(C69,G69,K69)=0,"",SUM(C69,G69,K69))</f>
        <v/>
      </c>
      <c r="P69" s="69">
        <f>IF(OR(O69="",N69="",N69=0,O69=0),"",O69-N69)</f>
        <v/>
      </c>
      <c r="Q69" s="42">
        <f>IF(OR(O69="",N69="",N69=0,O69=0),"",O69/N69-1)</f>
        <v/>
      </c>
    </row>
    <row r="70">
      <c r="A70" s="56" t="inlineStr">
        <is>
          <t>Bangladesh</t>
        </is>
      </c>
      <c r="B70" s="41">
        <f>IF(SUMIFS(Countries!$I$5:$I$434,Countries!$A$5:$A$434,"All landing pages",Countries!$B$5:$B$434,"Paid Search",Countries!$D$5:$D$434,$A70)=0,"",SUMIFS(Countries!$I$5:$I$434,Countries!$A$5:$A$434,"All landing pages",Countries!$B$5:$B$434,"Paid Search",Countries!$D$5:$D$434,$A70))</f>
        <v/>
      </c>
      <c r="C70" s="41">
        <f>IF(SUMIFS(Countries!$J$5:$J$434,Countries!$A$5:$A$434,"All landing pages",Countries!$B$5:$B$434,"Paid Search",Countries!$D$5:$D$434,$A70)=0,"",SUMIFS(Countries!$J$5:$J$434,Countries!$A$5:$A$434,"All landing pages",Countries!$B$5:$B$434,"Paid Search",Countries!$D$5:$D$434,$A70))</f>
        <v/>
      </c>
      <c r="D70" s="69">
        <f>IF(OR(C70="",B70="",B70=0,C70=0),"",C70-B70)</f>
        <v/>
      </c>
      <c r="E70" s="42">
        <f>IF(OR(C70="",B70="",B70=0,C70=0),"",C70/B70-1)</f>
        <v/>
      </c>
      <c r="F70" s="41">
        <f>IF(SUMIFS(Countries!$I$5:$I$434,Countries!$A$5:$A$434,"All landing pages",Countries!$B$5:$B$434,"Organic",Countries!$D$5:$D$434,$A70)=0,"",SUMIFS(Countries!$I$5:$I$434,Countries!$A$5:$A$434,"All landing pages",Countries!$B$5:$B$434,"Organic",Countries!$D$5:$D$434,$A70))</f>
        <v/>
      </c>
      <c r="G70" s="41">
        <f>IF(SUMIFS(Countries!$J$5:$J$434,Countries!$A$5:$A$434,"All landing pages",Countries!$B$5:$B$434,"Organic",Countries!$D$5:$D$434,$A70)=0,"",SUMIFS(Countries!$J$5:$J$434,Countries!$A$5:$A$434,"All landing pages",Countries!$B$5:$B$434,"Organic",Countries!$D$5:$D$434,$A70))</f>
        <v/>
      </c>
      <c r="H70" s="69">
        <f>IF(OR(G70="",F70="",F70=0,G70=0),"",G70-F70)</f>
        <v/>
      </c>
      <c r="I70" s="42">
        <f>IF(OR(G70="",F70="",F70=0,G70=0),"",G70/F70-1)</f>
        <v/>
      </c>
      <c r="J70" s="41">
        <f>IF(SUMIFS(Countries!$I$5:$I$434,Countries!$A$5:$A$434,"All landing pages",Countries!$B$5:$B$434,"Direct",Countries!$D$5:$D$434,$A70)=0,"",SUMIFS(Countries!$I$5:$I$434,Countries!$A$5:$A$434,"All landing pages",Countries!$B$5:$B$434,"Direct",Countries!$D$5:$D$434,$A70))</f>
        <v/>
      </c>
      <c r="K70" s="41">
        <f>IF(SUMIFS(Countries!$J$5:$J$434,Countries!$A$5:$A$434,"All landing pages",Countries!$B$5:$B$434,"Direct",Countries!$D$5:$D$434,$A70)=0,"",SUMIFS(Countries!$J$5:$J$434,Countries!$A$5:$A$434,"All landing pages",Countries!$B$5:$B$434,"Direct",Countries!$D$5:$D$434,$A70))</f>
        <v/>
      </c>
      <c r="L70" s="69">
        <f>IF(OR(K70="",J70="",J70=0,K70=0),"",K70-J70)</f>
        <v/>
      </c>
      <c r="M70" s="42">
        <f>IF(OR(K70="",J70="",J70=0,K70=0),"",K70/J70-1)</f>
        <v/>
      </c>
      <c r="N70" s="41">
        <f>IF(SUM(B70,F70,J70)=0,"",SUM(B70,F70,J70))</f>
        <v/>
      </c>
      <c r="O70" s="41">
        <f>IF(SUM(C70,G70,K70)=0,"",SUM(C70,G70,K70))</f>
        <v/>
      </c>
      <c r="P70" s="69">
        <f>IF(OR(O70="",N70="",N70=0,O70=0),"",O70-N70)</f>
        <v/>
      </c>
      <c r="Q70" s="42">
        <f>IF(OR(O70="",N70="",N70=0,O70=0),"",O70/N70-1)</f>
        <v/>
      </c>
    </row>
    <row r="71">
      <c r="A71" s="40" t="inlineStr">
        <is>
          <t>Brazil</t>
        </is>
      </c>
      <c r="B71" s="41">
        <f>IF(SUMIFS(Countries!$I$5:$I$434,Countries!$A$5:$A$434,"All landing pages",Countries!$B$5:$B$434,"Paid Search",Countries!$D$5:$D$434,$A71)=0,"",SUMIFS(Countries!$I$5:$I$434,Countries!$A$5:$A$434,"All landing pages",Countries!$B$5:$B$434,"Paid Search",Countries!$D$5:$D$434,$A71))</f>
        <v/>
      </c>
      <c r="C71" s="41">
        <f>IF(SUMIFS(Countries!$J$5:$J$434,Countries!$A$5:$A$434,"All landing pages",Countries!$B$5:$B$434,"Paid Search",Countries!$D$5:$D$434,$A71)=0,"",SUMIFS(Countries!$J$5:$J$434,Countries!$A$5:$A$434,"All landing pages",Countries!$B$5:$B$434,"Paid Search",Countries!$D$5:$D$434,$A71))</f>
        <v/>
      </c>
      <c r="D71" s="69">
        <f>IF(OR(C71="",B71="",B71=0,C71=0),"",C71-B71)</f>
        <v/>
      </c>
      <c r="E71" s="42">
        <f>IF(OR(C71="",B71="",B71=0,C71=0),"",C71/B71-1)</f>
        <v/>
      </c>
      <c r="F71" s="41">
        <f>IF(SUMIFS(Countries!$I$5:$I$434,Countries!$A$5:$A$434,"All landing pages",Countries!$B$5:$B$434,"Organic",Countries!$D$5:$D$434,$A71)=0,"",SUMIFS(Countries!$I$5:$I$434,Countries!$A$5:$A$434,"All landing pages",Countries!$B$5:$B$434,"Organic",Countries!$D$5:$D$434,$A71))</f>
        <v/>
      </c>
      <c r="G71" s="41">
        <f>IF(SUMIFS(Countries!$J$5:$J$434,Countries!$A$5:$A$434,"All landing pages",Countries!$B$5:$B$434,"Organic",Countries!$D$5:$D$434,$A71)=0,"",SUMIFS(Countries!$J$5:$J$434,Countries!$A$5:$A$434,"All landing pages",Countries!$B$5:$B$434,"Organic",Countries!$D$5:$D$434,$A71))</f>
        <v/>
      </c>
      <c r="H71" s="69">
        <f>IF(OR(G71="",F71="",F71=0,G71=0),"",G71-F71)</f>
        <v/>
      </c>
      <c r="I71" s="42">
        <f>IF(OR(G71="",F71="",F71=0,G71=0),"",G71/F71-1)</f>
        <v/>
      </c>
      <c r="J71" s="41">
        <f>IF(SUMIFS(Countries!$I$5:$I$434,Countries!$A$5:$A$434,"All landing pages",Countries!$B$5:$B$434,"Direct",Countries!$D$5:$D$434,$A71)=0,"",SUMIFS(Countries!$I$5:$I$434,Countries!$A$5:$A$434,"All landing pages",Countries!$B$5:$B$434,"Direct",Countries!$D$5:$D$434,$A71))</f>
        <v/>
      </c>
      <c r="K71" s="41">
        <f>IF(SUMIFS(Countries!$J$5:$J$434,Countries!$A$5:$A$434,"All landing pages",Countries!$B$5:$B$434,"Direct",Countries!$D$5:$D$434,$A71)=0,"",SUMIFS(Countries!$J$5:$J$434,Countries!$A$5:$A$434,"All landing pages",Countries!$B$5:$B$434,"Direct",Countries!$D$5:$D$434,$A71))</f>
        <v/>
      </c>
      <c r="L71" s="69">
        <f>IF(OR(K71="",J71="",J71=0,K71=0),"",K71-J71)</f>
        <v/>
      </c>
      <c r="M71" s="42">
        <f>IF(OR(K71="",J71="",J71=0,K71=0),"",K71/J71-1)</f>
        <v/>
      </c>
      <c r="N71" s="41">
        <f>IF(SUM(B71,F71,J71)=0,"",SUM(B71,F71,J71))</f>
        <v/>
      </c>
      <c r="O71" s="41">
        <f>IF(SUM(C71,G71,K71)=0,"",SUM(C71,G71,K71))</f>
        <v/>
      </c>
      <c r="P71" s="69">
        <f>IF(OR(O71="",N71="",N71=0,O71=0),"",O71-N71)</f>
        <v/>
      </c>
      <c r="Q71" s="42">
        <f>IF(OR(O71="",N71="",N71=0,O71=0),"",O71/N71-1)</f>
        <v/>
      </c>
    </row>
    <row r="72">
      <c r="A72" s="56" t="inlineStr">
        <is>
          <t>China</t>
        </is>
      </c>
      <c r="B72" s="41">
        <f>IF(SUMIFS(Countries!$I$5:$I$434,Countries!$A$5:$A$434,"All landing pages",Countries!$B$5:$B$434,"Paid Search",Countries!$D$5:$D$434,$A72)=0,"",SUMIFS(Countries!$I$5:$I$434,Countries!$A$5:$A$434,"All landing pages",Countries!$B$5:$B$434,"Paid Search",Countries!$D$5:$D$434,$A72))</f>
        <v/>
      </c>
      <c r="C72" s="41">
        <f>IF(SUMIFS(Countries!$J$5:$J$434,Countries!$A$5:$A$434,"All landing pages",Countries!$B$5:$B$434,"Paid Search",Countries!$D$5:$D$434,$A72)=0,"",SUMIFS(Countries!$J$5:$J$434,Countries!$A$5:$A$434,"All landing pages",Countries!$B$5:$B$434,"Paid Search",Countries!$D$5:$D$434,$A72))</f>
        <v/>
      </c>
      <c r="D72" s="69">
        <f>IF(OR(C72="",B72="",B72=0,C72=0),"",C72-B72)</f>
        <v/>
      </c>
      <c r="E72" s="42">
        <f>IF(OR(C72="",B72="",B72=0,C72=0),"",C72/B72-1)</f>
        <v/>
      </c>
      <c r="F72" s="41">
        <f>IF(SUMIFS(Countries!$I$5:$I$434,Countries!$A$5:$A$434,"All landing pages",Countries!$B$5:$B$434,"Organic",Countries!$D$5:$D$434,$A72)=0,"",SUMIFS(Countries!$I$5:$I$434,Countries!$A$5:$A$434,"All landing pages",Countries!$B$5:$B$434,"Organic",Countries!$D$5:$D$434,$A72))</f>
        <v/>
      </c>
      <c r="G72" s="41">
        <f>IF(SUMIFS(Countries!$J$5:$J$434,Countries!$A$5:$A$434,"All landing pages",Countries!$B$5:$B$434,"Organic",Countries!$D$5:$D$434,$A72)=0,"",SUMIFS(Countries!$J$5:$J$434,Countries!$A$5:$A$434,"All landing pages",Countries!$B$5:$B$434,"Organic",Countries!$D$5:$D$434,$A72))</f>
        <v/>
      </c>
      <c r="H72" s="69">
        <f>IF(OR(G72="",F72="",F72=0,G72=0),"",G72-F72)</f>
        <v/>
      </c>
      <c r="I72" s="42">
        <f>IF(OR(G72="",F72="",F72=0,G72=0),"",G72/F72-1)</f>
        <v/>
      </c>
      <c r="J72" s="41">
        <f>IF(SUMIFS(Countries!$I$5:$I$434,Countries!$A$5:$A$434,"All landing pages",Countries!$B$5:$B$434,"Direct",Countries!$D$5:$D$434,$A72)=0,"",SUMIFS(Countries!$I$5:$I$434,Countries!$A$5:$A$434,"All landing pages",Countries!$B$5:$B$434,"Direct",Countries!$D$5:$D$434,$A72))</f>
        <v/>
      </c>
      <c r="K72" s="41">
        <f>IF(SUMIFS(Countries!$J$5:$J$434,Countries!$A$5:$A$434,"All landing pages",Countries!$B$5:$B$434,"Direct",Countries!$D$5:$D$434,$A72)=0,"",SUMIFS(Countries!$J$5:$J$434,Countries!$A$5:$A$434,"All landing pages",Countries!$B$5:$B$434,"Direct",Countries!$D$5:$D$434,$A72))</f>
        <v/>
      </c>
      <c r="L72" s="69">
        <f>IF(OR(K72="",J72="",J72=0,K72=0),"",K72-J72)</f>
        <v/>
      </c>
      <c r="M72" s="42">
        <f>IF(OR(K72="",J72="",J72=0,K72=0),"",K72/J72-1)</f>
        <v/>
      </c>
      <c r="N72" s="41">
        <f>IF(SUM(B72,F72,J72)=0,"",SUM(B72,F72,J72))</f>
        <v/>
      </c>
      <c r="O72" s="41">
        <f>IF(SUM(C72,G72,K72)=0,"",SUM(C72,G72,K72))</f>
        <v/>
      </c>
      <c r="P72" s="69">
        <f>IF(OR(O72="",N72="",N72=0,O72=0),"",O72-N72)</f>
        <v/>
      </c>
      <c r="Q72" s="42">
        <f>IF(OR(O72="",N72="",N72=0,O72=0),"",O72/N72-1)</f>
        <v/>
      </c>
    </row>
    <row r="73">
      <c r="A73" s="40" t="inlineStr">
        <is>
          <t>Croatia</t>
        </is>
      </c>
      <c r="B73" s="41">
        <f>IF(SUMIFS(Countries!$I$5:$I$434,Countries!$A$5:$A$434,"All landing pages",Countries!$B$5:$B$434,"Paid Search",Countries!$D$5:$D$434,$A73)=0,"",SUMIFS(Countries!$I$5:$I$434,Countries!$A$5:$A$434,"All landing pages",Countries!$B$5:$B$434,"Paid Search",Countries!$D$5:$D$434,$A73))</f>
        <v/>
      </c>
      <c r="C73" s="41">
        <f>IF(SUMIFS(Countries!$J$5:$J$434,Countries!$A$5:$A$434,"All landing pages",Countries!$B$5:$B$434,"Paid Search",Countries!$D$5:$D$434,$A73)=0,"",SUMIFS(Countries!$J$5:$J$434,Countries!$A$5:$A$434,"All landing pages",Countries!$B$5:$B$434,"Paid Search",Countries!$D$5:$D$434,$A73))</f>
        <v/>
      </c>
      <c r="D73" s="69">
        <f>IF(OR(C73="",B73="",B73=0,C73=0),"",C73-B73)</f>
        <v/>
      </c>
      <c r="E73" s="42">
        <f>IF(OR(C73="",B73="",B73=0,C73=0),"",C73/B73-1)</f>
        <v/>
      </c>
      <c r="F73" s="41">
        <f>IF(SUMIFS(Countries!$I$5:$I$434,Countries!$A$5:$A$434,"All landing pages",Countries!$B$5:$B$434,"Organic",Countries!$D$5:$D$434,$A73)=0,"",SUMIFS(Countries!$I$5:$I$434,Countries!$A$5:$A$434,"All landing pages",Countries!$B$5:$B$434,"Organic",Countries!$D$5:$D$434,$A73))</f>
        <v/>
      </c>
      <c r="G73" s="41">
        <f>IF(SUMIFS(Countries!$J$5:$J$434,Countries!$A$5:$A$434,"All landing pages",Countries!$B$5:$B$434,"Organic",Countries!$D$5:$D$434,$A73)=0,"",SUMIFS(Countries!$J$5:$J$434,Countries!$A$5:$A$434,"All landing pages",Countries!$B$5:$B$434,"Organic",Countries!$D$5:$D$434,$A73))</f>
        <v/>
      </c>
      <c r="H73" s="69">
        <f>IF(OR(G73="",F73="",F73=0,G73=0),"",G73-F73)</f>
        <v/>
      </c>
      <c r="I73" s="42">
        <f>IF(OR(G73="",F73="",F73=0,G73=0),"",G73/F73-1)</f>
        <v/>
      </c>
      <c r="J73" s="41">
        <f>IF(SUMIFS(Countries!$I$5:$I$434,Countries!$A$5:$A$434,"All landing pages",Countries!$B$5:$B$434,"Direct",Countries!$D$5:$D$434,$A73)=0,"",SUMIFS(Countries!$I$5:$I$434,Countries!$A$5:$A$434,"All landing pages",Countries!$B$5:$B$434,"Direct",Countries!$D$5:$D$434,$A73))</f>
        <v/>
      </c>
      <c r="K73" s="41">
        <f>IF(SUMIFS(Countries!$J$5:$J$434,Countries!$A$5:$A$434,"All landing pages",Countries!$B$5:$B$434,"Direct",Countries!$D$5:$D$434,$A73)=0,"",SUMIFS(Countries!$J$5:$J$434,Countries!$A$5:$A$434,"All landing pages",Countries!$B$5:$B$434,"Direct",Countries!$D$5:$D$434,$A73))</f>
        <v/>
      </c>
      <c r="L73" s="69">
        <f>IF(OR(K73="",J73="",J73=0,K73=0),"",K73-J73)</f>
        <v/>
      </c>
      <c r="M73" s="42">
        <f>IF(OR(K73="",J73="",J73=0,K73=0),"",K73/J73-1)</f>
        <v/>
      </c>
      <c r="N73" s="41">
        <f>IF(SUM(B73,F73,J73)=0,"",SUM(B73,F73,J73))</f>
        <v/>
      </c>
      <c r="O73" s="41">
        <f>IF(SUM(C73,G73,K73)=0,"",SUM(C73,G73,K73))</f>
        <v/>
      </c>
      <c r="P73" s="69">
        <f>IF(OR(O73="",N73="",N73=0,O73=0),"",O73-N73)</f>
        <v/>
      </c>
      <c r="Q73" s="42">
        <f>IF(OR(O73="",N73="",N73=0,O73=0),"",O73/N73-1)</f>
        <v/>
      </c>
    </row>
    <row r="74">
      <c r="A74" s="56" t="inlineStr">
        <is>
          <t>Honduras</t>
        </is>
      </c>
      <c r="B74" s="41">
        <f>IF(SUMIFS(Countries!$I$5:$I$434,Countries!$A$5:$A$434,"All landing pages",Countries!$B$5:$B$434,"Paid Search",Countries!$D$5:$D$434,$A74)=0,"",SUMIFS(Countries!$I$5:$I$434,Countries!$A$5:$A$434,"All landing pages",Countries!$B$5:$B$434,"Paid Search",Countries!$D$5:$D$434,$A74))</f>
        <v/>
      </c>
      <c r="C74" s="41">
        <f>IF(SUMIFS(Countries!$J$5:$J$434,Countries!$A$5:$A$434,"All landing pages",Countries!$B$5:$B$434,"Paid Search",Countries!$D$5:$D$434,$A74)=0,"",SUMIFS(Countries!$J$5:$J$434,Countries!$A$5:$A$434,"All landing pages",Countries!$B$5:$B$434,"Paid Search",Countries!$D$5:$D$434,$A74))</f>
        <v/>
      </c>
      <c r="D74" s="69">
        <f>IF(OR(C74="",B74="",B74=0,C74=0),"",C74-B74)</f>
        <v/>
      </c>
      <c r="E74" s="42">
        <f>IF(OR(C74="",B74="",B74=0,C74=0),"",C74/B74-1)</f>
        <v/>
      </c>
      <c r="F74" s="41">
        <f>IF(SUMIFS(Countries!$I$5:$I$434,Countries!$A$5:$A$434,"All landing pages",Countries!$B$5:$B$434,"Organic",Countries!$D$5:$D$434,$A74)=0,"",SUMIFS(Countries!$I$5:$I$434,Countries!$A$5:$A$434,"All landing pages",Countries!$B$5:$B$434,"Organic",Countries!$D$5:$D$434,$A74))</f>
        <v/>
      </c>
      <c r="G74" s="41">
        <f>IF(SUMIFS(Countries!$J$5:$J$434,Countries!$A$5:$A$434,"All landing pages",Countries!$B$5:$B$434,"Organic",Countries!$D$5:$D$434,$A74)=0,"",SUMIFS(Countries!$J$5:$J$434,Countries!$A$5:$A$434,"All landing pages",Countries!$B$5:$B$434,"Organic",Countries!$D$5:$D$434,$A74))</f>
        <v/>
      </c>
      <c r="H74" s="69">
        <f>IF(OR(G74="",F74="",F74=0,G74=0),"",G74-F74)</f>
        <v/>
      </c>
      <c r="I74" s="42">
        <f>IF(OR(G74="",F74="",F74=0,G74=0),"",G74/F74-1)</f>
        <v/>
      </c>
      <c r="J74" s="41">
        <f>IF(SUMIFS(Countries!$I$5:$I$434,Countries!$A$5:$A$434,"All landing pages",Countries!$B$5:$B$434,"Direct",Countries!$D$5:$D$434,$A74)=0,"",SUMIFS(Countries!$I$5:$I$434,Countries!$A$5:$A$434,"All landing pages",Countries!$B$5:$B$434,"Direct",Countries!$D$5:$D$434,$A74))</f>
        <v/>
      </c>
      <c r="K74" s="41">
        <f>IF(SUMIFS(Countries!$J$5:$J$434,Countries!$A$5:$A$434,"All landing pages",Countries!$B$5:$B$434,"Direct",Countries!$D$5:$D$434,$A74)=0,"",SUMIFS(Countries!$J$5:$J$434,Countries!$A$5:$A$434,"All landing pages",Countries!$B$5:$B$434,"Direct",Countries!$D$5:$D$434,$A74))</f>
        <v/>
      </c>
      <c r="L74" s="69">
        <f>IF(OR(K74="",J74="",J74=0,K74=0),"",K74-J74)</f>
        <v/>
      </c>
      <c r="M74" s="42">
        <f>IF(OR(K74="",J74="",J74=0,K74=0),"",K74/J74-1)</f>
        <v/>
      </c>
      <c r="N74" s="41">
        <f>IF(SUM(B74,F74,J74)=0,"",SUM(B74,F74,J74))</f>
        <v/>
      </c>
      <c r="O74" s="41">
        <f>IF(SUM(C74,G74,K74)=0,"",SUM(C74,G74,K74))</f>
        <v/>
      </c>
      <c r="P74" s="69">
        <f>IF(OR(O74="",N74="",N74=0,O74=0),"",O74-N74)</f>
        <v/>
      </c>
      <c r="Q74" s="42">
        <f>IF(OR(O74="",N74="",N74=0,O74=0),"",O74/N74-1)</f>
        <v/>
      </c>
    </row>
    <row r="75">
      <c r="A75" s="40" t="inlineStr">
        <is>
          <t>Israel</t>
        </is>
      </c>
      <c r="B75" s="41">
        <f>IF(SUMIFS(Countries!$I$5:$I$434,Countries!$A$5:$A$434,"All landing pages",Countries!$B$5:$B$434,"Paid Search",Countries!$D$5:$D$434,$A75)=0,"",SUMIFS(Countries!$I$5:$I$434,Countries!$A$5:$A$434,"All landing pages",Countries!$B$5:$B$434,"Paid Search",Countries!$D$5:$D$434,$A75))</f>
        <v/>
      </c>
      <c r="C75" s="41">
        <f>IF(SUMIFS(Countries!$J$5:$J$434,Countries!$A$5:$A$434,"All landing pages",Countries!$B$5:$B$434,"Paid Search",Countries!$D$5:$D$434,$A75)=0,"",SUMIFS(Countries!$J$5:$J$434,Countries!$A$5:$A$434,"All landing pages",Countries!$B$5:$B$434,"Paid Search",Countries!$D$5:$D$434,$A75))</f>
        <v/>
      </c>
      <c r="D75" s="69">
        <f>IF(OR(C75="",B75="",B75=0,C75=0),"",C75-B75)</f>
        <v/>
      </c>
      <c r="E75" s="42">
        <f>IF(OR(C75="",B75="",B75=0,C75=0),"",C75/B75-1)</f>
        <v/>
      </c>
      <c r="F75" s="41">
        <f>IF(SUMIFS(Countries!$I$5:$I$434,Countries!$A$5:$A$434,"All landing pages",Countries!$B$5:$B$434,"Organic",Countries!$D$5:$D$434,$A75)=0,"",SUMIFS(Countries!$I$5:$I$434,Countries!$A$5:$A$434,"All landing pages",Countries!$B$5:$B$434,"Organic",Countries!$D$5:$D$434,$A75))</f>
        <v/>
      </c>
      <c r="G75" s="41">
        <f>IF(SUMIFS(Countries!$J$5:$J$434,Countries!$A$5:$A$434,"All landing pages",Countries!$B$5:$B$434,"Organic",Countries!$D$5:$D$434,$A75)=0,"",SUMIFS(Countries!$J$5:$J$434,Countries!$A$5:$A$434,"All landing pages",Countries!$B$5:$B$434,"Organic",Countries!$D$5:$D$434,$A75))</f>
        <v/>
      </c>
      <c r="H75" s="69">
        <f>IF(OR(G75="",F75="",F75=0,G75=0),"",G75-F75)</f>
        <v/>
      </c>
      <c r="I75" s="42">
        <f>IF(OR(G75="",F75="",F75=0,G75=0),"",G75/F75-1)</f>
        <v/>
      </c>
      <c r="J75" s="41">
        <f>IF(SUMIFS(Countries!$I$5:$I$434,Countries!$A$5:$A$434,"All landing pages",Countries!$B$5:$B$434,"Direct",Countries!$D$5:$D$434,$A75)=0,"",SUMIFS(Countries!$I$5:$I$434,Countries!$A$5:$A$434,"All landing pages",Countries!$B$5:$B$434,"Direct",Countries!$D$5:$D$434,$A75))</f>
        <v/>
      </c>
      <c r="K75" s="41">
        <f>IF(SUMIFS(Countries!$J$5:$J$434,Countries!$A$5:$A$434,"All landing pages",Countries!$B$5:$B$434,"Direct",Countries!$D$5:$D$434,$A75)=0,"",SUMIFS(Countries!$J$5:$J$434,Countries!$A$5:$A$434,"All landing pages",Countries!$B$5:$B$434,"Direct",Countries!$D$5:$D$434,$A75))</f>
        <v/>
      </c>
      <c r="L75" s="69">
        <f>IF(OR(K75="",J75="",J75=0,K75=0),"",K75-J75)</f>
        <v/>
      </c>
      <c r="M75" s="42">
        <f>IF(OR(K75="",J75="",J75=0,K75=0),"",K75/J75-1)</f>
        <v/>
      </c>
      <c r="N75" s="41">
        <f>IF(SUM(B75,F75,J75)=0,"",SUM(B75,F75,J75))</f>
        <v/>
      </c>
      <c r="O75" s="41">
        <f>IF(SUM(C75,G75,K75)=0,"",SUM(C75,G75,K75))</f>
        <v/>
      </c>
      <c r="P75" s="69">
        <f>IF(OR(O75="",N75="",N75=0,O75=0),"",O75-N75)</f>
        <v/>
      </c>
      <c r="Q75" s="42">
        <f>IF(OR(O75="",N75="",N75=0,O75=0),"",O75/N75-1)</f>
        <v/>
      </c>
    </row>
    <row r="76">
      <c r="A76" s="56" t="inlineStr">
        <is>
          <t>Philippines</t>
        </is>
      </c>
      <c r="B76" s="41">
        <f>IF(SUMIFS(Countries!$I$5:$I$434,Countries!$A$5:$A$434,"All landing pages",Countries!$B$5:$B$434,"Paid Search",Countries!$D$5:$D$434,$A76)=0,"",SUMIFS(Countries!$I$5:$I$434,Countries!$A$5:$A$434,"All landing pages",Countries!$B$5:$B$434,"Paid Search",Countries!$D$5:$D$434,$A76))</f>
        <v/>
      </c>
      <c r="C76" s="41">
        <f>IF(SUMIFS(Countries!$J$5:$J$434,Countries!$A$5:$A$434,"All landing pages",Countries!$B$5:$B$434,"Paid Search",Countries!$D$5:$D$434,$A76)=0,"",SUMIFS(Countries!$J$5:$J$434,Countries!$A$5:$A$434,"All landing pages",Countries!$B$5:$B$434,"Paid Search",Countries!$D$5:$D$434,$A76))</f>
        <v/>
      </c>
      <c r="D76" s="69">
        <f>IF(OR(C76="",B76="",B76=0,C76=0),"",C76-B76)</f>
        <v/>
      </c>
      <c r="E76" s="42">
        <f>IF(OR(C76="",B76="",B76=0,C76=0),"",C76/B76-1)</f>
        <v/>
      </c>
      <c r="F76" s="41">
        <f>IF(SUMIFS(Countries!$I$5:$I$434,Countries!$A$5:$A$434,"All landing pages",Countries!$B$5:$B$434,"Organic",Countries!$D$5:$D$434,$A76)=0,"",SUMIFS(Countries!$I$5:$I$434,Countries!$A$5:$A$434,"All landing pages",Countries!$B$5:$B$434,"Organic",Countries!$D$5:$D$434,$A76))</f>
        <v/>
      </c>
      <c r="G76" s="41">
        <f>IF(SUMIFS(Countries!$J$5:$J$434,Countries!$A$5:$A$434,"All landing pages",Countries!$B$5:$B$434,"Organic",Countries!$D$5:$D$434,$A76)=0,"",SUMIFS(Countries!$J$5:$J$434,Countries!$A$5:$A$434,"All landing pages",Countries!$B$5:$B$434,"Organic",Countries!$D$5:$D$434,$A76))</f>
        <v/>
      </c>
      <c r="H76" s="69">
        <f>IF(OR(G76="",F76="",F76=0,G76=0),"",G76-F76)</f>
        <v/>
      </c>
      <c r="I76" s="42">
        <f>IF(OR(G76="",F76="",F76=0,G76=0),"",G76/F76-1)</f>
        <v/>
      </c>
      <c r="J76" s="41">
        <f>IF(SUMIFS(Countries!$I$5:$I$434,Countries!$A$5:$A$434,"All landing pages",Countries!$B$5:$B$434,"Direct",Countries!$D$5:$D$434,$A76)=0,"",SUMIFS(Countries!$I$5:$I$434,Countries!$A$5:$A$434,"All landing pages",Countries!$B$5:$B$434,"Direct",Countries!$D$5:$D$434,$A76))</f>
        <v/>
      </c>
      <c r="K76" s="41">
        <f>IF(SUMIFS(Countries!$J$5:$J$434,Countries!$A$5:$A$434,"All landing pages",Countries!$B$5:$B$434,"Direct",Countries!$D$5:$D$434,$A76)=0,"",SUMIFS(Countries!$J$5:$J$434,Countries!$A$5:$A$434,"All landing pages",Countries!$B$5:$B$434,"Direct",Countries!$D$5:$D$434,$A76))</f>
        <v/>
      </c>
      <c r="L76" s="69">
        <f>IF(OR(K76="",J76="",J76=0,K76=0),"",K76-J76)</f>
        <v/>
      </c>
      <c r="M76" s="42">
        <f>IF(OR(K76="",J76="",J76=0,K76=0),"",K76/J76-1)</f>
        <v/>
      </c>
      <c r="N76" s="41">
        <f>IF(SUM(B76,F76,J76)=0,"",SUM(B76,F76,J76))</f>
        <v/>
      </c>
      <c r="O76" s="41">
        <f>IF(SUM(C76,G76,K76)=0,"",SUM(C76,G76,K76))</f>
        <v/>
      </c>
      <c r="P76" s="69">
        <f>IF(OR(O76="",N76="",N76=0,O76=0),"",O76-N76)</f>
        <v/>
      </c>
      <c r="Q76" s="42">
        <f>IF(OR(O76="",N76="",N76=0,O76=0),"",O76/N76-1)</f>
        <v/>
      </c>
    </row>
    <row r="77">
      <c r="A77" s="40" t="inlineStr">
        <is>
          <t>Ukraine</t>
        </is>
      </c>
      <c r="B77" s="41">
        <f>IF(SUMIFS(Countries!$I$5:$I$434,Countries!$A$5:$A$434,"All landing pages",Countries!$B$5:$B$434,"Paid Search",Countries!$D$5:$D$434,$A77)=0,"",SUMIFS(Countries!$I$5:$I$434,Countries!$A$5:$A$434,"All landing pages",Countries!$B$5:$B$434,"Paid Search",Countries!$D$5:$D$434,$A77))</f>
        <v/>
      </c>
      <c r="C77" s="41">
        <f>IF(SUMIFS(Countries!$J$5:$J$434,Countries!$A$5:$A$434,"All landing pages",Countries!$B$5:$B$434,"Paid Search",Countries!$D$5:$D$434,$A77)=0,"",SUMIFS(Countries!$J$5:$J$434,Countries!$A$5:$A$434,"All landing pages",Countries!$B$5:$B$434,"Paid Search",Countries!$D$5:$D$434,$A77))</f>
        <v/>
      </c>
      <c r="D77" s="69">
        <f>IF(OR(C77="",B77="",B77=0,C77=0),"",C77-B77)</f>
        <v/>
      </c>
      <c r="E77" s="42">
        <f>IF(OR(C77="",B77="",B77=0,C77=0),"",C77/B77-1)</f>
        <v/>
      </c>
      <c r="F77" s="41">
        <f>IF(SUMIFS(Countries!$I$5:$I$434,Countries!$A$5:$A$434,"All landing pages",Countries!$B$5:$B$434,"Organic",Countries!$D$5:$D$434,$A77)=0,"",SUMIFS(Countries!$I$5:$I$434,Countries!$A$5:$A$434,"All landing pages",Countries!$B$5:$B$434,"Organic",Countries!$D$5:$D$434,$A77))</f>
        <v/>
      </c>
      <c r="G77" s="41">
        <f>IF(SUMIFS(Countries!$J$5:$J$434,Countries!$A$5:$A$434,"All landing pages",Countries!$B$5:$B$434,"Organic",Countries!$D$5:$D$434,$A77)=0,"",SUMIFS(Countries!$J$5:$J$434,Countries!$A$5:$A$434,"All landing pages",Countries!$B$5:$B$434,"Organic",Countries!$D$5:$D$434,$A77))</f>
        <v/>
      </c>
      <c r="H77" s="69">
        <f>IF(OR(G77="",F77="",F77=0,G77=0),"",G77-F77)</f>
        <v/>
      </c>
      <c r="I77" s="42">
        <f>IF(OR(G77="",F77="",F77=0,G77=0),"",G77/F77-1)</f>
        <v/>
      </c>
      <c r="J77" s="41">
        <f>IF(SUMIFS(Countries!$I$5:$I$434,Countries!$A$5:$A$434,"All landing pages",Countries!$B$5:$B$434,"Direct",Countries!$D$5:$D$434,$A77)=0,"",SUMIFS(Countries!$I$5:$I$434,Countries!$A$5:$A$434,"All landing pages",Countries!$B$5:$B$434,"Direct",Countries!$D$5:$D$434,$A77))</f>
        <v/>
      </c>
      <c r="K77" s="41">
        <f>IF(SUMIFS(Countries!$J$5:$J$434,Countries!$A$5:$A$434,"All landing pages",Countries!$B$5:$B$434,"Direct",Countries!$D$5:$D$434,$A77)=0,"",SUMIFS(Countries!$J$5:$J$434,Countries!$A$5:$A$434,"All landing pages",Countries!$B$5:$B$434,"Direct",Countries!$D$5:$D$434,$A77))</f>
        <v/>
      </c>
      <c r="L77" s="69">
        <f>IF(OR(K77="",J77="",J77=0,K77=0),"",K77-J77)</f>
        <v/>
      </c>
      <c r="M77" s="42">
        <f>IF(OR(K77="",J77="",J77=0,K77=0),"",K77/J77-1)</f>
        <v/>
      </c>
      <c r="N77" s="41">
        <f>IF(SUM(B77,F77,J77)=0,"",SUM(B77,F77,J77))</f>
        <v/>
      </c>
      <c r="O77" s="41">
        <f>IF(SUM(C77,G77,K77)=0,"",SUM(C77,G77,K77))</f>
        <v/>
      </c>
      <c r="P77" s="69">
        <f>IF(OR(O77="",N77="",N77=0,O77=0),"",O77-N77)</f>
        <v/>
      </c>
      <c r="Q77" s="42">
        <f>IF(OR(O77="",N77="",N77=0,O77=0),"",O77/N77-1)</f>
        <v/>
      </c>
    </row>
    <row r="80">
      <c r="A80" s="39" t="inlineStr">
        <is>
          <t>Visit→Engagement</t>
        </is>
      </c>
    </row>
    <row r="81">
      <c r="A81" s="75" t="inlineStr">
        <is>
          <t>Country</t>
        </is>
      </c>
      <c r="B81" s="65" t="inlineStr">
        <is>
          <t>Paid Search</t>
        </is>
      </c>
      <c r="C81" s="63" t="n"/>
      <c r="D81" s="63" t="n"/>
      <c r="E81" s="63" t="n"/>
      <c r="F81" s="65" t="inlineStr">
        <is>
          <t>Organic</t>
        </is>
      </c>
      <c r="G81" s="63" t="n"/>
      <c r="H81" s="63" t="n"/>
      <c r="I81" s="63" t="n"/>
      <c r="J81" s="65" t="inlineStr">
        <is>
          <t>Direct</t>
        </is>
      </c>
      <c r="K81" s="63" t="n"/>
      <c r="L81" s="63" t="n"/>
      <c r="M81" s="63" t="n"/>
      <c r="N81" s="27" t="inlineStr">
        <is>
          <t>Total</t>
        </is>
      </c>
      <c r="O81" s="17" t="n"/>
      <c r="P81" s="17" t="n"/>
      <c r="Q81" s="17" t="n"/>
    </row>
    <row r="82">
      <c r="A82" s="15" t="n"/>
      <c r="B82" s="27" t="inlineStr">
        <is>
          <t>1-23Aug25</t>
        </is>
      </c>
      <c r="C82" s="27" t="inlineStr">
        <is>
          <t>1-23Aug26</t>
        </is>
      </c>
      <c r="D82" s="27" t="inlineStr">
        <is>
          <t>Δ pp</t>
        </is>
      </c>
      <c r="E82" s="27" t="inlineStr"/>
      <c r="F82" s="27" t="inlineStr">
        <is>
          <t>1-23Aug25</t>
        </is>
      </c>
      <c r="G82" s="27" t="inlineStr">
        <is>
          <t>1-23Aug26</t>
        </is>
      </c>
      <c r="H82" s="27" t="inlineStr">
        <is>
          <t>Δ pp</t>
        </is>
      </c>
      <c r="I82" s="27" t="inlineStr"/>
      <c r="J82" s="27" t="inlineStr">
        <is>
          <t>1-23Aug25</t>
        </is>
      </c>
      <c r="K82" s="27" t="inlineStr">
        <is>
          <t>1-23Aug26</t>
        </is>
      </c>
      <c r="L82" s="27" t="inlineStr">
        <is>
          <t>Δ pp</t>
        </is>
      </c>
      <c r="M82" s="27" t="inlineStr"/>
      <c r="N82" s="27" t="inlineStr">
        <is>
          <t>1-23Aug25</t>
        </is>
      </c>
      <c r="O82" s="27" t="inlineStr">
        <is>
          <t>1-23Aug26</t>
        </is>
      </c>
      <c r="P82" s="27" t="inlineStr">
        <is>
          <t>Δ pp</t>
        </is>
      </c>
      <c r="Q82" s="27" t="inlineStr"/>
    </row>
    <row r="83">
      <c r="A83" s="40" t="inlineStr">
        <is>
          <t>United Kingdom</t>
        </is>
      </c>
      <c r="B83" s="43">
        <f>IF(SUMIFS(Countries!$E$5:$E$434,Countries!$A$5:$A$434,"All landing pages",Countries!$B$5:$B$434,"Paid Search",Countries!$D$5:$D$434,$A83,Countries!$I$5:$I$434,"&gt;0")=0,"",SUMIFS(Countries!$I$5:$I$434,Countries!$A$5:$A$434,"All landing pages",Countries!$B$5:$B$434,"Paid Search",Countries!$D$5:$D$434,$A83,Countries!$E$5:$E$434,"&gt;0")/SUMIFS(Countries!$E$5:$E$434,Countries!$A$5:$A$434,"All landing pages",Countries!$B$5:$B$434,"Paid Search",Countries!$D$5:$D$434,$A83,Countries!$I$5:$I$434,"&gt;0"))</f>
        <v/>
      </c>
      <c r="C83" s="43">
        <f>IF(SUMIFS(Countries!$F$5:$F$434,Countries!$A$5:$A$434,"All landing pages",Countries!$B$5:$B$434,"Paid Search",Countries!$D$5:$D$434,$A83,Countries!$J$5:$J$434,"&gt;0")=0,"",SUMIFS(Countries!$J$5:$J$434,Countries!$A$5:$A$434,"All landing pages",Countries!$B$5:$B$434,"Paid Search",Countries!$D$5:$D$434,$A83,Countries!$F$5:$F$434,"&gt;0")/SUMIFS(Countries!$F$5:$F$434,Countries!$A$5:$A$434,"All landing pages",Countries!$B$5:$B$434,"Paid Search",Countries!$D$5:$D$434,$A83,Countries!$J$5:$J$434,"&gt;0"))</f>
        <v/>
      </c>
      <c r="D83" s="44">
        <f>IF(OR(B83="",C83=""),"",(C83-B83)*100)</f>
        <v/>
      </c>
      <c r="E83" s="73" t="n"/>
      <c r="F83" s="43">
        <f>IF(SUMIFS(Countries!$E$5:$E$434,Countries!$A$5:$A$434,"All landing pages",Countries!$B$5:$B$434,"Organic",Countries!$D$5:$D$434,$A83,Countries!$I$5:$I$434,"&gt;0")=0,"",SUMIFS(Countries!$I$5:$I$434,Countries!$A$5:$A$434,"All landing pages",Countries!$B$5:$B$434,"Organic",Countries!$D$5:$D$434,$A83,Countries!$E$5:$E$434,"&gt;0")/SUMIFS(Countries!$E$5:$E$434,Countries!$A$5:$A$434,"All landing pages",Countries!$B$5:$B$434,"Organic",Countries!$D$5:$D$434,$A83,Countries!$I$5:$I$434,"&gt;0"))</f>
        <v/>
      </c>
      <c r="G83" s="43">
        <f>IF(SUMIFS(Countries!$F$5:$F$434,Countries!$A$5:$A$434,"All landing pages",Countries!$B$5:$B$434,"Organic",Countries!$D$5:$D$434,$A83,Countries!$J$5:$J$434,"&gt;0")=0,"",SUMIFS(Countries!$J$5:$J$434,Countries!$A$5:$A$434,"All landing pages",Countries!$B$5:$B$434,"Organic",Countries!$D$5:$D$434,$A83,Countries!$F$5:$F$434,"&gt;0")/SUMIFS(Countries!$F$5:$F$434,Countries!$A$5:$A$434,"All landing pages",Countries!$B$5:$B$434,"Organic",Countries!$D$5:$D$434,$A83,Countries!$J$5:$J$434,"&gt;0"))</f>
        <v/>
      </c>
      <c r="H83" s="44">
        <f>IF(OR(F83="",G83=""),"",(G83-F83)*100)</f>
        <v/>
      </c>
      <c r="I83" s="73" t="n"/>
      <c r="J83" s="43">
        <f>IF(SUMIFS(Countries!$E$5:$E$434,Countries!$A$5:$A$434,"All landing pages",Countries!$B$5:$B$434,"Direct",Countries!$D$5:$D$434,$A83,Countries!$I$5:$I$434,"&gt;0")=0,"",SUMIFS(Countries!$I$5:$I$434,Countries!$A$5:$A$434,"All landing pages",Countries!$B$5:$B$434,"Direct",Countries!$D$5:$D$434,$A83,Countries!$E$5:$E$434,"&gt;0")/SUMIFS(Countries!$E$5:$E$434,Countries!$A$5:$A$434,"All landing pages",Countries!$B$5:$B$434,"Direct",Countries!$D$5:$D$434,$A83,Countries!$I$5:$I$434,"&gt;0"))</f>
        <v/>
      </c>
      <c r="K83" s="43">
        <f>IF(SUMIFS(Countries!$F$5:$F$434,Countries!$A$5:$A$434,"All landing pages",Countries!$B$5:$B$434,"Direct",Countries!$D$5:$D$434,$A83,Countries!$J$5:$J$434,"&gt;0")=0,"",SUMIFS(Countries!$J$5:$J$434,Countries!$A$5:$A$434,"All landing pages",Countries!$B$5:$B$434,"Direct",Countries!$D$5:$D$434,$A83,Countries!$F$5:$F$434,"&gt;0")/SUMIFS(Countries!$F$5:$F$434,Countries!$A$5:$A$434,"All landing pages",Countries!$B$5:$B$434,"Direct",Countries!$D$5:$D$434,$A83,Countries!$J$5:$J$434,"&gt;0"))</f>
        <v/>
      </c>
      <c r="L83" s="44">
        <f>IF(OR(J83="",K83=""),"",(K83-J83)*100)</f>
        <v/>
      </c>
      <c r="M83" s="73" t="n"/>
      <c r="N83" s="43">
        <f>IF(SUMIFS(Countries!$E$5:$E$434,Countries!$A$5:$A$434,"All landing pages",Countries!$D$5:$D$434,$A83,Countries!$I$5:$I$434,"&gt;0")=0,"",SUMIFS(Countries!$I$5:$I$434,Countries!$A$5:$A$434,"All landing pages",Countries!$D$5:$D$434,$A83,Countries!$E$5:$E$434,"&gt;0")/SUMIFS(Countries!$E$5:$E$434,Countries!$A$5:$A$434,"All landing pages",Countries!$D$5:$D$434,$A83,Countries!$I$5:$I$434,"&gt;0"))</f>
        <v/>
      </c>
      <c r="O83" s="43">
        <f>IF(SUMIFS(Countries!$F$5:$F$434,Countries!$A$5:$A$434,"All landing pages",Countries!$D$5:$D$434,$A83,Countries!$J$5:$J$434,"&gt;0")=0,"",SUMIFS(Countries!$J$5:$J$434,Countries!$A$5:$A$434,"All landing pages",Countries!$D$5:$D$434,$A83,Countries!$F$5:$F$434,"&gt;0")/SUMIFS(Countries!$F$5:$F$434,Countries!$A$5:$A$434,"All landing pages",Countries!$D$5:$D$434,$A83,Countries!$J$5:$J$434,"&gt;0"))</f>
        <v/>
      </c>
      <c r="P83" s="44">
        <f>IF(OR(N83="",O83=""),"",(O83-N83)*100)</f>
        <v/>
      </c>
      <c r="Q83" s="73" t="n"/>
    </row>
    <row r="84">
      <c r="A84" s="56" t="inlineStr">
        <is>
          <t>Germany</t>
        </is>
      </c>
      <c r="B84" s="43">
        <f>IF(SUMIFS(Countries!$E$5:$E$434,Countries!$A$5:$A$434,"All landing pages",Countries!$B$5:$B$434,"Paid Search",Countries!$D$5:$D$434,$A84,Countries!$I$5:$I$434,"&gt;0")=0,"",SUMIFS(Countries!$I$5:$I$434,Countries!$A$5:$A$434,"All landing pages",Countries!$B$5:$B$434,"Paid Search",Countries!$D$5:$D$434,$A84,Countries!$E$5:$E$434,"&gt;0")/SUMIFS(Countries!$E$5:$E$434,Countries!$A$5:$A$434,"All landing pages",Countries!$B$5:$B$434,"Paid Search",Countries!$D$5:$D$434,$A84,Countries!$I$5:$I$434,"&gt;0"))</f>
        <v/>
      </c>
      <c r="C84" s="43">
        <f>IF(SUMIFS(Countries!$F$5:$F$434,Countries!$A$5:$A$434,"All landing pages",Countries!$B$5:$B$434,"Paid Search",Countries!$D$5:$D$434,$A84,Countries!$J$5:$J$434,"&gt;0")=0,"",SUMIFS(Countries!$J$5:$J$434,Countries!$A$5:$A$434,"All landing pages",Countries!$B$5:$B$434,"Paid Search",Countries!$D$5:$D$434,$A84,Countries!$F$5:$F$434,"&gt;0")/SUMIFS(Countries!$F$5:$F$434,Countries!$A$5:$A$434,"All landing pages",Countries!$B$5:$B$434,"Paid Search",Countries!$D$5:$D$434,$A84,Countries!$J$5:$J$434,"&gt;0"))</f>
        <v/>
      </c>
      <c r="D84" s="44">
        <f>IF(OR(B84="",C84=""),"",(C84-B84)*100)</f>
        <v/>
      </c>
      <c r="E84" s="73" t="n"/>
      <c r="F84" s="43">
        <f>IF(SUMIFS(Countries!$E$5:$E$434,Countries!$A$5:$A$434,"All landing pages",Countries!$B$5:$B$434,"Organic",Countries!$D$5:$D$434,$A84,Countries!$I$5:$I$434,"&gt;0")=0,"",SUMIFS(Countries!$I$5:$I$434,Countries!$A$5:$A$434,"All landing pages",Countries!$B$5:$B$434,"Organic",Countries!$D$5:$D$434,$A84,Countries!$E$5:$E$434,"&gt;0")/SUMIFS(Countries!$E$5:$E$434,Countries!$A$5:$A$434,"All landing pages",Countries!$B$5:$B$434,"Organic",Countries!$D$5:$D$434,$A84,Countries!$I$5:$I$434,"&gt;0"))</f>
        <v/>
      </c>
      <c r="G84" s="43">
        <f>IF(SUMIFS(Countries!$F$5:$F$434,Countries!$A$5:$A$434,"All landing pages",Countries!$B$5:$B$434,"Organic",Countries!$D$5:$D$434,$A84,Countries!$J$5:$J$434,"&gt;0")=0,"",SUMIFS(Countries!$J$5:$J$434,Countries!$A$5:$A$434,"All landing pages",Countries!$B$5:$B$434,"Organic",Countries!$D$5:$D$434,$A84,Countries!$F$5:$F$434,"&gt;0")/SUMIFS(Countries!$F$5:$F$434,Countries!$A$5:$A$434,"All landing pages",Countries!$B$5:$B$434,"Organic",Countries!$D$5:$D$434,$A84,Countries!$J$5:$J$434,"&gt;0"))</f>
        <v/>
      </c>
      <c r="H84" s="44">
        <f>IF(OR(F84="",G84=""),"",(G84-F84)*100)</f>
        <v/>
      </c>
      <c r="I84" s="73" t="n"/>
      <c r="J84" s="43">
        <f>IF(SUMIFS(Countries!$E$5:$E$434,Countries!$A$5:$A$434,"All landing pages",Countries!$B$5:$B$434,"Direct",Countries!$D$5:$D$434,$A84,Countries!$I$5:$I$434,"&gt;0")=0,"",SUMIFS(Countries!$I$5:$I$434,Countries!$A$5:$A$434,"All landing pages",Countries!$B$5:$B$434,"Direct",Countries!$D$5:$D$434,$A84,Countries!$E$5:$E$434,"&gt;0")/SUMIFS(Countries!$E$5:$E$434,Countries!$A$5:$A$434,"All landing pages",Countries!$B$5:$B$434,"Direct",Countries!$D$5:$D$434,$A84,Countries!$I$5:$I$434,"&gt;0"))</f>
        <v/>
      </c>
      <c r="K84" s="43">
        <f>IF(SUMIFS(Countries!$F$5:$F$434,Countries!$A$5:$A$434,"All landing pages",Countries!$B$5:$B$434,"Direct",Countries!$D$5:$D$434,$A84,Countries!$J$5:$J$434,"&gt;0")=0,"",SUMIFS(Countries!$J$5:$J$434,Countries!$A$5:$A$434,"All landing pages",Countries!$B$5:$B$434,"Direct",Countries!$D$5:$D$434,$A84,Countries!$F$5:$F$434,"&gt;0")/SUMIFS(Countries!$F$5:$F$434,Countries!$A$5:$A$434,"All landing pages",Countries!$B$5:$B$434,"Direct",Countries!$D$5:$D$434,$A84,Countries!$J$5:$J$434,"&gt;0"))</f>
        <v/>
      </c>
      <c r="L84" s="44">
        <f>IF(OR(J84="",K84=""),"",(K84-J84)*100)</f>
        <v/>
      </c>
      <c r="M84" s="73" t="n"/>
      <c r="N84" s="43">
        <f>IF(SUMIFS(Countries!$E$5:$E$434,Countries!$A$5:$A$434,"All landing pages",Countries!$D$5:$D$434,$A84,Countries!$I$5:$I$434,"&gt;0")=0,"",SUMIFS(Countries!$I$5:$I$434,Countries!$A$5:$A$434,"All landing pages",Countries!$D$5:$D$434,$A84,Countries!$E$5:$E$434,"&gt;0")/SUMIFS(Countries!$E$5:$E$434,Countries!$A$5:$A$434,"All landing pages",Countries!$D$5:$D$434,$A84,Countries!$I$5:$I$434,"&gt;0"))</f>
        <v/>
      </c>
      <c r="O84" s="43">
        <f>IF(SUMIFS(Countries!$F$5:$F$434,Countries!$A$5:$A$434,"All landing pages",Countries!$D$5:$D$434,$A84,Countries!$J$5:$J$434,"&gt;0")=0,"",SUMIFS(Countries!$J$5:$J$434,Countries!$A$5:$A$434,"All landing pages",Countries!$D$5:$D$434,$A84,Countries!$F$5:$F$434,"&gt;0")/SUMIFS(Countries!$F$5:$F$434,Countries!$A$5:$A$434,"All landing pages",Countries!$D$5:$D$434,$A84,Countries!$J$5:$J$434,"&gt;0"))</f>
        <v/>
      </c>
      <c r="P84" s="44">
        <f>IF(OR(N84="",O84=""),"",(O84-N84)*100)</f>
        <v/>
      </c>
      <c r="Q84" s="73" t="n"/>
    </row>
    <row r="85">
      <c r="A85" s="40" t="inlineStr">
        <is>
          <t>Italy</t>
        </is>
      </c>
      <c r="B85" s="43">
        <f>IF(SUMIFS(Countries!$E$5:$E$434,Countries!$A$5:$A$434,"All landing pages",Countries!$B$5:$B$434,"Paid Search",Countries!$D$5:$D$434,$A85,Countries!$I$5:$I$434,"&gt;0")=0,"",SUMIFS(Countries!$I$5:$I$434,Countries!$A$5:$A$434,"All landing pages",Countries!$B$5:$B$434,"Paid Search",Countries!$D$5:$D$434,$A85,Countries!$E$5:$E$434,"&gt;0")/SUMIFS(Countries!$E$5:$E$434,Countries!$A$5:$A$434,"All landing pages",Countries!$B$5:$B$434,"Paid Search",Countries!$D$5:$D$434,$A85,Countries!$I$5:$I$434,"&gt;0"))</f>
        <v/>
      </c>
      <c r="C85" s="43">
        <f>IF(SUMIFS(Countries!$F$5:$F$434,Countries!$A$5:$A$434,"All landing pages",Countries!$B$5:$B$434,"Paid Search",Countries!$D$5:$D$434,$A85,Countries!$J$5:$J$434,"&gt;0")=0,"",SUMIFS(Countries!$J$5:$J$434,Countries!$A$5:$A$434,"All landing pages",Countries!$B$5:$B$434,"Paid Search",Countries!$D$5:$D$434,$A85,Countries!$F$5:$F$434,"&gt;0")/SUMIFS(Countries!$F$5:$F$434,Countries!$A$5:$A$434,"All landing pages",Countries!$B$5:$B$434,"Paid Search",Countries!$D$5:$D$434,$A85,Countries!$J$5:$J$434,"&gt;0"))</f>
        <v/>
      </c>
      <c r="D85" s="44">
        <f>IF(OR(B85="",C85=""),"",(C85-B85)*100)</f>
        <v/>
      </c>
      <c r="E85" s="73" t="n"/>
      <c r="F85" s="43">
        <f>IF(SUMIFS(Countries!$E$5:$E$434,Countries!$A$5:$A$434,"All landing pages",Countries!$B$5:$B$434,"Organic",Countries!$D$5:$D$434,$A85,Countries!$I$5:$I$434,"&gt;0")=0,"",SUMIFS(Countries!$I$5:$I$434,Countries!$A$5:$A$434,"All landing pages",Countries!$B$5:$B$434,"Organic",Countries!$D$5:$D$434,$A85,Countries!$E$5:$E$434,"&gt;0")/SUMIFS(Countries!$E$5:$E$434,Countries!$A$5:$A$434,"All landing pages",Countries!$B$5:$B$434,"Organic",Countries!$D$5:$D$434,$A85,Countries!$I$5:$I$434,"&gt;0"))</f>
        <v/>
      </c>
      <c r="G85" s="43">
        <f>IF(SUMIFS(Countries!$F$5:$F$434,Countries!$A$5:$A$434,"All landing pages",Countries!$B$5:$B$434,"Organic",Countries!$D$5:$D$434,$A85,Countries!$J$5:$J$434,"&gt;0")=0,"",SUMIFS(Countries!$J$5:$J$434,Countries!$A$5:$A$434,"All landing pages",Countries!$B$5:$B$434,"Organic",Countries!$D$5:$D$434,$A85,Countries!$F$5:$F$434,"&gt;0")/SUMIFS(Countries!$F$5:$F$434,Countries!$A$5:$A$434,"All landing pages",Countries!$B$5:$B$434,"Organic",Countries!$D$5:$D$434,$A85,Countries!$J$5:$J$434,"&gt;0"))</f>
        <v/>
      </c>
      <c r="H85" s="44">
        <f>IF(OR(F85="",G85=""),"",(G85-F85)*100)</f>
        <v/>
      </c>
      <c r="I85" s="73" t="n"/>
      <c r="J85" s="43">
        <f>IF(SUMIFS(Countries!$E$5:$E$434,Countries!$A$5:$A$434,"All landing pages",Countries!$B$5:$B$434,"Direct",Countries!$D$5:$D$434,$A85,Countries!$I$5:$I$434,"&gt;0")=0,"",SUMIFS(Countries!$I$5:$I$434,Countries!$A$5:$A$434,"All landing pages",Countries!$B$5:$B$434,"Direct",Countries!$D$5:$D$434,$A85,Countries!$E$5:$E$434,"&gt;0")/SUMIFS(Countries!$E$5:$E$434,Countries!$A$5:$A$434,"All landing pages",Countries!$B$5:$B$434,"Direct",Countries!$D$5:$D$434,$A85,Countries!$I$5:$I$434,"&gt;0"))</f>
        <v/>
      </c>
      <c r="K85" s="43">
        <f>IF(SUMIFS(Countries!$F$5:$F$434,Countries!$A$5:$A$434,"All landing pages",Countries!$B$5:$B$434,"Direct",Countries!$D$5:$D$434,$A85,Countries!$J$5:$J$434,"&gt;0")=0,"",SUMIFS(Countries!$J$5:$J$434,Countries!$A$5:$A$434,"All landing pages",Countries!$B$5:$B$434,"Direct",Countries!$D$5:$D$434,$A85,Countries!$F$5:$F$434,"&gt;0")/SUMIFS(Countries!$F$5:$F$434,Countries!$A$5:$A$434,"All landing pages",Countries!$B$5:$B$434,"Direct",Countries!$D$5:$D$434,$A85,Countries!$J$5:$J$434,"&gt;0"))</f>
        <v/>
      </c>
      <c r="L85" s="44">
        <f>IF(OR(J85="",K85=""),"",(K85-J85)*100)</f>
        <v/>
      </c>
      <c r="M85" s="73" t="n"/>
      <c r="N85" s="43">
        <f>IF(SUMIFS(Countries!$E$5:$E$434,Countries!$A$5:$A$434,"All landing pages",Countries!$D$5:$D$434,$A85,Countries!$I$5:$I$434,"&gt;0")=0,"",SUMIFS(Countries!$I$5:$I$434,Countries!$A$5:$A$434,"All landing pages",Countries!$D$5:$D$434,$A85,Countries!$E$5:$E$434,"&gt;0")/SUMIFS(Countries!$E$5:$E$434,Countries!$A$5:$A$434,"All landing pages",Countries!$D$5:$D$434,$A85,Countries!$I$5:$I$434,"&gt;0"))</f>
        <v/>
      </c>
      <c r="O85" s="43">
        <f>IF(SUMIFS(Countries!$F$5:$F$434,Countries!$A$5:$A$434,"All landing pages",Countries!$D$5:$D$434,$A85,Countries!$J$5:$J$434,"&gt;0")=0,"",SUMIFS(Countries!$J$5:$J$434,Countries!$A$5:$A$434,"All landing pages",Countries!$D$5:$D$434,$A85,Countries!$F$5:$F$434,"&gt;0")/SUMIFS(Countries!$F$5:$F$434,Countries!$A$5:$A$434,"All landing pages",Countries!$D$5:$D$434,$A85,Countries!$J$5:$J$434,"&gt;0"))</f>
        <v/>
      </c>
      <c r="P85" s="44">
        <f>IF(OR(N85="",O85=""),"",(O85-N85)*100)</f>
        <v/>
      </c>
      <c r="Q85" s="73" t="n"/>
    </row>
    <row r="86">
      <c r="A86" s="56" t="inlineStr">
        <is>
          <t>Spain</t>
        </is>
      </c>
      <c r="B86" s="43">
        <f>IF(SUMIFS(Countries!$E$5:$E$434,Countries!$A$5:$A$434,"All landing pages",Countries!$B$5:$B$434,"Paid Search",Countries!$D$5:$D$434,$A86,Countries!$I$5:$I$434,"&gt;0")=0,"",SUMIFS(Countries!$I$5:$I$434,Countries!$A$5:$A$434,"All landing pages",Countries!$B$5:$B$434,"Paid Search",Countries!$D$5:$D$434,$A86,Countries!$E$5:$E$434,"&gt;0")/SUMIFS(Countries!$E$5:$E$434,Countries!$A$5:$A$434,"All landing pages",Countries!$B$5:$B$434,"Paid Search",Countries!$D$5:$D$434,$A86,Countries!$I$5:$I$434,"&gt;0"))</f>
        <v/>
      </c>
      <c r="C86" s="43">
        <f>IF(SUMIFS(Countries!$F$5:$F$434,Countries!$A$5:$A$434,"All landing pages",Countries!$B$5:$B$434,"Paid Search",Countries!$D$5:$D$434,$A86,Countries!$J$5:$J$434,"&gt;0")=0,"",SUMIFS(Countries!$J$5:$J$434,Countries!$A$5:$A$434,"All landing pages",Countries!$B$5:$B$434,"Paid Search",Countries!$D$5:$D$434,$A86,Countries!$F$5:$F$434,"&gt;0")/SUMIFS(Countries!$F$5:$F$434,Countries!$A$5:$A$434,"All landing pages",Countries!$B$5:$B$434,"Paid Search",Countries!$D$5:$D$434,$A86,Countries!$J$5:$J$434,"&gt;0"))</f>
        <v/>
      </c>
      <c r="D86" s="44">
        <f>IF(OR(B86="",C86=""),"",(C86-B86)*100)</f>
        <v/>
      </c>
      <c r="E86" s="73" t="n"/>
      <c r="F86" s="43">
        <f>IF(SUMIFS(Countries!$E$5:$E$434,Countries!$A$5:$A$434,"All landing pages",Countries!$B$5:$B$434,"Organic",Countries!$D$5:$D$434,$A86,Countries!$I$5:$I$434,"&gt;0")=0,"",SUMIFS(Countries!$I$5:$I$434,Countries!$A$5:$A$434,"All landing pages",Countries!$B$5:$B$434,"Organic",Countries!$D$5:$D$434,$A86,Countries!$E$5:$E$434,"&gt;0")/SUMIFS(Countries!$E$5:$E$434,Countries!$A$5:$A$434,"All landing pages",Countries!$B$5:$B$434,"Organic",Countries!$D$5:$D$434,$A86,Countries!$I$5:$I$434,"&gt;0"))</f>
        <v/>
      </c>
      <c r="G86" s="43">
        <f>IF(SUMIFS(Countries!$F$5:$F$434,Countries!$A$5:$A$434,"All landing pages",Countries!$B$5:$B$434,"Organic",Countries!$D$5:$D$434,$A86,Countries!$J$5:$J$434,"&gt;0")=0,"",SUMIFS(Countries!$J$5:$J$434,Countries!$A$5:$A$434,"All landing pages",Countries!$B$5:$B$434,"Organic",Countries!$D$5:$D$434,$A86,Countries!$F$5:$F$434,"&gt;0")/SUMIFS(Countries!$F$5:$F$434,Countries!$A$5:$A$434,"All landing pages",Countries!$B$5:$B$434,"Organic",Countries!$D$5:$D$434,$A86,Countries!$J$5:$J$434,"&gt;0"))</f>
        <v/>
      </c>
      <c r="H86" s="44">
        <f>IF(OR(F86="",G86=""),"",(G86-F86)*100)</f>
        <v/>
      </c>
      <c r="I86" s="73" t="n"/>
      <c r="J86" s="43">
        <f>IF(SUMIFS(Countries!$E$5:$E$434,Countries!$A$5:$A$434,"All landing pages",Countries!$B$5:$B$434,"Direct",Countries!$D$5:$D$434,$A86,Countries!$I$5:$I$434,"&gt;0")=0,"",SUMIFS(Countries!$I$5:$I$434,Countries!$A$5:$A$434,"All landing pages",Countries!$B$5:$B$434,"Direct",Countries!$D$5:$D$434,$A86,Countries!$E$5:$E$434,"&gt;0")/SUMIFS(Countries!$E$5:$E$434,Countries!$A$5:$A$434,"All landing pages",Countries!$B$5:$B$434,"Direct",Countries!$D$5:$D$434,$A86,Countries!$I$5:$I$434,"&gt;0"))</f>
        <v/>
      </c>
      <c r="K86" s="43">
        <f>IF(SUMIFS(Countries!$F$5:$F$434,Countries!$A$5:$A$434,"All landing pages",Countries!$B$5:$B$434,"Direct",Countries!$D$5:$D$434,$A86,Countries!$J$5:$J$434,"&gt;0")=0,"",SUMIFS(Countries!$J$5:$J$434,Countries!$A$5:$A$434,"All landing pages",Countries!$B$5:$B$434,"Direct",Countries!$D$5:$D$434,$A86,Countries!$F$5:$F$434,"&gt;0")/SUMIFS(Countries!$F$5:$F$434,Countries!$A$5:$A$434,"All landing pages",Countries!$B$5:$B$434,"Direct",Countries!$D$5:$D$434,$A86,Countries!$J$5:$J$434,"&gt;0"))</f>
        <v/>
      </c>
      <c r="L86" s="44">
        <f>IF(OR(J86="",K86=""),"",(K86-J86)*100)</f>
        <v/>
      </c>
      <c r="M86" s="73" t="n"/>
      <c r="N86" s="43">
        <f>IF(SUMIFS(Countries!$E$5:$E$434,Countries!$A$5:$A$434,"All landing pages",Countries!$D$5:$D$434,$A86,Countries!$I$5:$I$434,"&gt;0")=0,"",SUMIFS(Countries!$I$5:$I$434,Countries!$A$5:$A$434,"All landing pages",Countries!$D$5:$D$434,$A86,Countries!$E$5:$E$434,"&gt;0")/SUMIFS(Countries!$E$5:$E$434,Countries!$A$5:$A$434,"All landing pages",Countries!$D$5:$D$434,$A86,Countries!$I$5:$I$434,"&gt;0"))</f>
        <v/>
      </c>
      <c r="O86" s="43">
        <f>IF(SUMIFS(Countries!$F$5:$F$434,Countries!$A$5:$A$434,"All landing pages",Countries!$D$5:$D$434,$A86,Countries!$J$5:$J$434,"&gt;0")=0,"",SUMIFS(Countries!$J$5:$J$434,Countries!$A$5:$A$434,"All landing pages",Countries!$D$5:$D$434,$A86,Countries!$F$5:$F$434,"&gt;0")/SUMIFS(Countries!$F$5:$F$434,Countries!$A$5:$A$434,"All landing pages",Countries!$D$5:$D$434,$A86,Countries!$J$5:$J$434,"&gt;0"))</f>
        <v/>
      </c>
      <c r="P86" s="44">
        <f>IF(OR(N86="",O86=""),"",(O86-N86)*100)</f>
        <v/>
      </c>
      <c r="Q86" s="73" t="n"/>
    </row>
    <row r="87">
      <c r="A87" s="40" t="inlineStr">
        <is>
          <t>Ireland</t>
        </is>
      </c>
      <c r="B87" s="43">
        <f>IF(SUMIFS(Countries!$E$5:$E$434,Countries!$A$5:$A$434,"All landing pages",Countries!$B$5:$B$434,"Paid Search",Countries!$D$5:$D$434,$A87,Countries!$I$5:$I$434,"&gt;0")=0,"",SUMIFS(Countries!$I$5:$I$434,Countries!$A$5:$A$434,"All landing pages",Countries!$B$5:$B$434,"Paid Search",Countries!$D$5:$D$434,$A87,Countries!$E$5:$E$434,"&gt;0")/SUMIFS(Countries!$E$5:$E$434,Countries!$A$5:$A$434,"All landing pages",Countries!$B$5:$B$434,"Paid Search",Countries!$D$5:$D$434,$A87,Countries!$I$5:$I$434,"&gt;0"))</f>
        <v/>
      </c>
      <c r="C87" s="43">
        <f>IF(SUMIFS(Countries!$F$5:$F$434,Countries!$A$5:$A$434,"All landing pages",Countries!$B$5:$B$434,"Paid Search",Countries!$D$5:$D$434,$A87,Countries!$J$5:$J$434,"&gt;0")=0,"",SUMIFS(Countries!$J$5:$J$434,Countries!$A$5:$A$434,"All landing pages",Countries!$B$5:$B$434,"Paid Search",Countries!$D$5:$D$434,$A87,Countries!$F$5:$F$434,"&gt;0")/SUMIFS(Countries!$F$5:$F$434,Countries!$A$5:$A$434,"All landing pages",Countries!$B$5:$B$434,"Paid Search",Countries!$D$5:$D$434,$A87,Countries!$J$5:$J$434,"&gt;0"))</f>
        <v/>
      </c>
      <c r="D87" s="44">
        <f>IF(OR(B87="",C87=""),"",(C87-B87)*100)</f>
        <v/>
      </c>
      <c r="E87" s="73" t="n"/>
      <c r="F87" s="43">
        <f>IF(SUMIFS(Countries!$E$5:$E$434,Countries!$A$5:$A$434,"All landing pages",Countries!$B$5:$B$434,"Organic",Countries!$D$5:$D$434,$A87,Countries!$I$5:$I$434,"&gt;0")=0,"",SUMIFS(Countries!$I$5:$I$434,Countries!$A$5:$A$434,"All landing pages",Countries!$B$5:$B$434,"Organic",Countries!$D$5:$D$434,$A87,Countries!$E$5:$E$434,"&gt;0")/SUMIFS(Countries!$E$5:$E$434,Countries!$A$5:$A$434,"All landing pages",Countries!$B$5:$B$434,"Organic",Countries!$D$5:$D$434,$A87,Countries!$I$5:$I$434,"&gt;0"))</f>
        <v/>
      </c>
      <c r="G87" s="43">
        <f>IF(SUMIFS(Countries!$F$5:$F$434,Countries!$A$5:$A$434,"All landing pages",Countries!$B$5:$B$434,"Organic",Countries!$D$5:$D$434,$A87,Countries!$J$5:$J$434,"&gt;0")=0,"",SUMIFS(Countries!$J$5:$J$434,Countries!$A$5:$A$434,"All landing pages",Countries!$B$5:$B$434,"Organic",Countries!$D$5:$D$434,$A87,Countries!$F$5:$F$434,"&gt;0")/SUMIFS(Countries!$F$5:$F$434,Countries!$A$5:$A$434,"All landing pages",Countries!$B$5:$B$434,"Organic",Countries!$D$5:$D$434,$A87,Countries!$J$5:$J$434,"&gt;0"))</f>
        <v/>
      </c>
      <c r="H87" s="44">
        <f>IF(OR(F87="",G87=""),"",(G87-F87)*100)</f>
        <v/>
      </c>
      <c r="I87" s="73" t="n"/>
      <c r="J87" s="43">
        <f>IF(SUMIFS(Countries!$E$5:$E$434,Countries!$A$5:$A$434,"All landing pages",Countries!$B$5:$B$434,"Direct",Countries!$D$5:$D$434,$A87,Countries!$I$5:$I$434,"&gt;0")=0,"",SUMIFS(Countries!$I$5:$I$434,Countries!$A$5:$A$434,"All landing pages",Countries!$B$5:$B$434,"Direct",Countries!$D$5:$D$434,$A87,Countries!$E$5:$E$434,"&gt;0")/SUMIFS(Countries!$E$5:$E$434,Countries!$A$5:$A$434,"All landing pages",Countries!$B$5:$B$434,"Direct",Countries!$D$5:$D$434,$A87,Countries!$I$5:$I$434,"&gt;0"))</f>
        <v/>
      </c>
      <c r="K87" s="43">
        <f>IF(SUMIFS(Countries!$F$5:$F$434,Countries!$A$5:$A$434,"All landing pages",Countries!$B$5:$B$434,"Direct",Countries!$D$5:$D$434,$A87,Countries!$J$5:$J$434,"&gt;0")=0,"",SUMIFS(Countries!$J$5:$J$434,Countries!$A$5:$A$434,"All landing pages",Countries!$B$5:$B$434,"Direct",Countries!$D$5:$D$434,$A87,Countries!$F$5:$F$434,"&gt;0")/SUMIFS(Countries!$F$5:$F$434,Countries!$A$5:$A$434,"All landing pages",Countries!$B$5:$B$434,"Direct",Countries!$D$5:$D$434,$A87,Countries!$J$5:$J$434,"&gt;0"))</f>
        <v/>
      </c>
      <c r="L87" s="44">
        <f>IF(OR(J87="",K87=""),"",(K87-J87)*100)</f>
        <v/>
      </c>
      <c r="M87" s="73" t="n"/>
      <c r="N87" s="43">
        <f>IF(SUMIFS(Countries!$E$5:$E$434,Countries!$A$5:$A$434,"All landing pages",Countries!$D$5:$D$434,$A87,Countries!$I$5:$I$434,"&gt;0")=0,"",SUMIFS(Countries!$I$5:$I$434,Countries!$A$5:$A$434,"All landing pages",Countries!$D$5:$D$434,$A87,Countries!$E$5:$E$434,"&gt;0")/SUMIFS(Countries!$E$5:$E$434,Countries!$A$5:$A$434,"All landing pages",Countries!$D$5:$D$434,$A87,Countries!$I$5:$I$434,"&gt;0"))</f>
        <v/>
      </c>
      <c r="O87" s="43">
        <f>IF(SUMIFS(Countries!$F$5:$F$434,Countries!$A$5:$A$434,"All landing pages",Countries!$D$5:$D$434,$A87,Countries!$J$5:$J$434,"&gt;0")=0,"",SUMIFS(Countries!$J$5:$J$434,Countries!$A$5:$A$434,"All landing pages",Countries!$D$5:$D$434,$A87,Countries!$F$5:$F$434,"&gt;0")/SUMIFS(Countries!$F$5:$F$434,Countries!$A$5:$A$434,"All landing pages",Countries!$D$5:$D$434,$A87,Countries!$J$5:$J$434,"&gt;0"))</f>
        <v/>
      </c>
      <c r="P87" s="44">
        <f>IF(OR(N87="",O87=""),"",(O87-N87)*100)</f>
        <v/>
      </c>
      <c r="Q87" s="73" t="n"/>
    </row>
    <row r="88">
      <c r="A88" s="56" t="inlineStr">
        <is>
          <t>Netherlands</t>
        </is>
      </c>
      <c r="B88" s="43">
        <f>IF(SUMIFS(Countries!$E$5:$E$434,Countries!$A$5:$A$434,"All landing pages",Countries!$B$5:$B$434,"Paid Search",Countries!$D$5:$D$434,$A88,Countries!$I$5:$I$434,"&gt;0")=0,"",SUMIFS(Countries!$I$5:$I$434,Countries!$A$5:$A$434,"All landing pages",Countries!$B$5:$B$434,"Paid Search",Countries!$D$5:$D$434,$A88,Countries!$E$5:$E$434,"&gt;0")/SUMIFS(Countries!$E$5:$E$434,Countries!$A$5:$A$434,"All landing pages",Countries!$B$5:$B$434,"Paid Search",Countries!$D$5:$D$434,$A88,Countries!$I$5:$I$434,"&gt;0"))</f>
        <v/>
      </c>
      <c r="C88" s="43">
        <f>IF(SUMIFS(Countries!$F$5:$F$434,Countries!$A$5:$A$434,"All landing pages",Countries!$B$5:$B$434,"Paid Search",Countries!$D$5:$D$434,$A88,Countries!$J$5:$J$434,"&gt;0")=0,"",SUMIFS(Countries!$J$5:$J$434,Countries!$A$5:$A$434,"All landing pages",Countries!$B$5:$B$434,"Paid Search",Countries!$D$5:$D$434,$A88,Countries!$F$5:$F$434,"&gt;0")/SUMIFS(Countries!$F$5:$F$434,Countries!$A$5:$A$434,"All landing pages",Countries!$B$5:$B$434,"Paid Search",Countries!$D$5:$D$434,$A88,Countries!$J$5:$J$434,"&gt;0"))</f>
        <v/>
      </c>
      <c r="D88" s="44">
        <f>IF(OR(B88="",C88=""),"",(C88-B88)*100)</f>
        <v/>
      </c>
      <c r="E88" s="73" t="n"/>
      <c r="F88" s="43">
        <f>IF(SUMIFS(Countries!$E$5:$E$434,Countries!$A$5:$A$434,"All landing pages",Countries!$B$5:$B$434,"Organic",Countries!$D$5:$D$434,$A88,Countries!$I$5:$I$434,"&gt;0")=0,"",SUMIFS(Countries!$I$5:$I$434,Countries!$A$5:$A$434,"All landing pages",Countries!$B$5:$B$434,"Organic",Countries!$D$5:$D$434,$A88,Countries!$E$5:$E$434,"&gt;0")/SUMIFS(Countries!$E$5:$E$434,Countries!$A$5:$A$434,"All landing pages",Countries!$B$5:$B$434,"Organic",Countries!$D$5:$D$434,$A88,Countries!$I$5:$I$434,"&gt;0"))</f>
        <v/>
      </c>
      <c r="G88" s="43">
        <f>IF(SUMIFS(Countries!$F$5:$F$434,Countries!$A$5:$A$434,"All landing pages",Countries!$B$5:$B$434,"Organic",Countries!$D$5:$D$434,$A88,Countries!$J$5:$J$434,"&gt;0")=0,"",SUMIFS(Countries!$J$5:$J$434,Countries!$A$5:$A$434,"All landing pages",Countries!$B$5:$B$434,"Organic",Countries!$D$5:$D$434,$A88,Countries!$F$5:$F$434,"&gt;0")/SUMIFS(Countries!$F$5:$F$434,Countries!$A$5:$A$434,"All landing pages",Countries!$B$5:$B$434,"Organic",Countries!$D$5:$D$434,$A88,Countries!$J$5:$J$434,"&gt;0"))</f>
        <v/>
      </c>
      <c r="H88" s="44">
        <f>IF(OR(F88="",G88=""),"",(G88-F88)*100)</f>
        <v/>
      </c>
      <c r="I88" s="73" t="n"/>
      <c r="J88" s="43">
        <f>IF(SUMIFS(Countries!$E$5:$E$434,Countries!$A$5:$A$434,"All landing pages",Countries!$B$5:$B$434,"Direct",Countries!$D$5:$D$434,$A88,Countries!$I$5:$I$434,"&gt;0")=0,"",SUMIFS(Countries!$I$5:$I$434,Countries!$A$5:$A$434,"All landing pages",Countries!$B$5:$B$434,"Direct",Countries!$D$5:$D$434,$A88,Countries!$E$5:$E$434,"&gt;0")/SUMIFS(Countries!$E$5:$E$434,Countries!$A$5:$A$434,"All landing pages",Countries!$B$5:$B$434,"Direct",Countries!$D$5:$D$434,$A88,Countries!$I$5:$I$434,"&gt;0"))</f>
        <v/>
      </c>
      <c r="K88" s="43">
        <f>IF(SUMIFS(Countries!$F$5:$F$434,Countries!$A$5:$A$434,"All landing pages",Countries!$B$5:$B$434,"Direct",Countries!$D$5:$D$434,$A88,Countries!$J$5:$J$434,"&gt;0")=0,"",SUMIFS(Countries!$J$5:$J$434,Countries!$A$5:$A$434,"All landing pages",Countries!$B$5:$B$434,"Direct",Countries!$D$5:$D$434,$A88,Countries!$F$5:$F$434,"&gt;0")/SUMIFS(Countries!$F$5:$F$434,Countries!$A$5:$A$434,"All landing pages",Countries!$B$5:$B$434,"Direct",Countries!$D$5:$D$434,$A88,Countries!$J$5:$J$434,"&gt;0"))</f>
        <v/>
      </c>
      <c r="L88" s="44">
        <f>IF(OR(J88="",K88=""),"",(K88-J88)*100)</f>
        <v/>
      </c>
      <c r="M88" s="73" t="n"/>
      <c r="N88" s="43">
        <f>IF(SUMIFS(Countries!$E$5:$E$434,Countries!$A$5:$A$434,"All landing pages",Countries!$D$5:$D$434,$A88,Countries!$I$5:$I$434,"&gt;0")=0,"",SUMIFS(Countries!$I$5:$I$434,Countries!$A$5:$A$434,"All landing pages",Countries!$D$5:$D$434,$A88,Countries!$E$5:$E$434,"&gt;0")/SUMIFS(Countries!$E$5:$E$434,Countries!$A$5:$A$434,"All landing pages",Countries!$D$5:$D$434,$A88,Countries!$I$5:$I$434,"&gt;0"))</f>
        <v/>
      </c>
      <c r="O88" s="43">
        <f>IF(SUMIFS(Countries!$F$5:$F$434,Countries!$A$5:$A$434,"All landing pages",Countries!$D$5:$D$434,$A88,Countries!$J$5:$J$434,"&gt;0")=0,"",SUMIFS(Countries!$J$5:$J$434,Countries!$A$5:$A$434,"All landing pages",Countries!$D$5:$D$434,$A88,Countries!$F$5:$F$434,"&gt;0")/SUMIFS(Countries!$F$5:$F$434,Countries!$A$5:$A$434,"All landing pages",Countries!$D$5:$D$434,$A88,Countries!$J$5:$J$434,"&gt;0"))</f>
        <v/>
      </c>
      <c r="P88" s="44">
        <f>IF(OR(N88="",O88=""),"",(O88-N88)*100)</f>
        <v/>
      </c>
      <c r="Q88" s="73" t="n"/>
    </row>
    <row r="89">
      <c r="A89" s="40" t="inlineStr">
        <is>
          <t>France</t>
        </is>
      </c>
      <c r="B89" s="43">
        <f>IF(SUMIFS(Countries!$E$5:$E$434,Countries!$A$5:$A$434,"All landing pages",Countries!$B$5:$B$434,"Paid Search",Countries!$D$5:$D$434,$A89,Countries!$I$5:$I$434,"&gt;0")=0,"",SUMIFS(Countries!$I$5:$I$434,Countries!$A$5:$A$434,"All landing pages",Countries!$B$5:$B$434,"Paid Search",Countries!$D$5:$D$434,$A89,Countries!$E$5:$E$434,"&gt;0")/SUMIFS(Countries!$E$5:$E$434,Countries!$A$5:$A$434,"All landing pages",Countries!$B$5:$B$434,"Paid Search",Countries!$D$5:$D$434,$A89,Countries!$I$5:$I$434,"&gt;0"))</f>
        <v/>
      </c>
      <c r="C89" s="43">
        <f>IF(SUMIFS(Countries!$F$5:$F$434,Countries!$A$5:$A$434,"All landing pages",Countries!$B$5:$B$434,"Paid Search",Countries!$D$5:$D$434,$A89,Countries!$J$5:$J$434,"&gt;0")=0,"",SUMIFS(Countries!$J$5:$J$434,Countries!$A$5:$A$434,"All landing pages",Countries!$B$5:$B$434,"Paid Search",Countries!$D$5:$D$434,$A89,Countries!$F$5:$F$434,"&gt;0")/SUMIFS(Countries!$F$5:$F$434,Countries!$A$5:$A$434,"All landing pages",Countries!$B$5:$B$434,"Paid Search",Countries!$D$5:$D$434,$A89,Countries!$J$5:$J$434,"&gt;0"))</f>
        <v/>
      </c>
      <c r="D89" s="44">
        <f>IF(OR(B89="",C89=""),"",(C89-B89)*100)</f>
        <v/>
      </c>
      <c r="E89" s="73" t="n"/>
      <c r="F89" s="43">
        <f>IF(SUMIFS(Countries!$E$5:$E$434,Countries!$A$5:$A$434,"All landing pages",Countries!$B$5:$B$434,"Organic",Countries!$D$5:$D$434,$A89,Countries!$I$5:$I$434,"&gt;0")=0,"",SUMIFS(Countries!$I$5:$I$434,Countries!$A$5:$A$434,"All landing pages",Countries!$B$5:$B$434,"Organic",Countries!$D$5:$D$434,$A89,Countries!$E$5:$E$434,"&gt;0")/SUMIFS(Countries!$E$5:$E$434,Countries!$A$5:$A$434,"All landing pages",Countries!$B$5:$B$434,"Organic",Countries!$D$5:$D$434,$A89,Countries!$I$5:$I$434,"&gt;0"))</f>
        <v/>
      </c>
      <c r="G89" s="43">
        <f>IF(SUMIFS(Countries!$F$5:$F$434,Countries!$A$5:$A$434,"All landing pages",Countries!$B$5:$B$434,"Organic",Countries!$D$5:$D$434,$A89,Countries!$J$5:$J$434,"&gt;0")=0,"",SUMIFS(Countries!$J$5:$J$434,Countries!$A$5:$A$434,"All landing pages",Countries!$B$5:$B$434,"Organic",Countries!$D$5:$D$434,$A89,Countries!$F$5:$F$434,"&gt;0")/SUMIFS(Countries!$F$5:$F$434,Countries!$A$5:$A$434,"All landing pages",Countries!$B$5:$B$434,"Organic",Countries!$D$5:$D$434,$A89,Countries!$J$5:$J$434,"&gt;0"))</f>
        <v/>
      </c>
      <c r="H89" s="44">
        <f>IF(OR(F89="",G89=""),"",(G89-F89)*100)</f>
        <v/>
      </c>
      <c r="I89" s="73" t="n"/>
      <c r="J89" s="43">
        <f>IF(SUMIFS(Countries!$E$5:$E$434,Countries!$A$5:$A$434,"All landing pages",Countries!$B$5:$B$434,"Direct",Countries!$D$5:$D$434,$A89,Countries!$I$5:$I$434,"&gt;0")=0,"",SUMIFS(Countries!$I$5:$I$434,Countries!$A$5:$A$434,"All landing pages",Countries!$B$5:$B$434,"Direct",Countries!$D$5:$D$434,$A89,Countries!$E$5:$E$434,"&gt;0")/SUMIFS(Countries!$E$5:$E$434,Countries!$A$5:$A$434,"All landing pages",Countries!$B$5:$B$434,"Direct",Countries!$D$5:$D$434,$A89,Countries!$I$5:$I$434,"&gt;0"))</f>
        <v/>
      </c>
      <c r="K89" s="43">
        <f>IF(SUMIFS(Countries!$F$5:$F$434,Countries!$A$5:$A$434,"All landing pages",Countries!$B$5:$B$434,"Direct",Countries!$D$5:$D$434,$A89,Countries!$J$5:$J$434,"&gt;0")=0,"",SUMIFS(Countries!$J$5:$J$434,Countries!$A$5:$A$434,"All landing pages",Countries!$B$5:$B$434,"Direct",Countries!$D$5:$D$434,$A89,Countries!$F$5:$F$434,"&gt;0")/SUMIFS(Countries!$F$5:$F$434,Countries!$A$5:$A$434,"All landing pages",Countries!$B$5:$B$434,"Direct",Countries!$D$5:$D$434,$A89,Countries!$J$5:$J$434,"&gt;0"))</f>
        <v/>
      </c>
      <c r="L89" s="44">
        <f>IF(OR(J89="",K89=""),"",(K89-J89)*100)</f>
        <v/>
      </c>
      <c r="M89" s="73" t="n"/>
      <c r="N89" s="43">
        <f>IF(SUMIFS(Countries!$E$5:$E$434,Countries!$A$5:$A$434,"All landing pages",Countries!$D$5:$D$434,$A89,Countries!$I$5:$I$434,"&gt;0")=0,"",SUMIFS(Countries!$I$5:$I$434,Countries!$A$5:$A$434,"All landing pages",Countries!$D$5:$D$434,$A89,Countries!$E$5:$E$434,"&gt;0")/SUMIFS(Countries!$E$5:$E$434,Countries!$A$5:$A$434,"All landing pages",Countries!$D$5:$D$434,$A89,Countries!$I$5:$I$434,"&gt;0"))</f>
        <v/>
      </c>
      <c r="O89" s="43">
        <f>IF(SUMIFS(Countries!$F$5:$F$434,Countries!$A$5:$A$434,"All landing pages",Countries!$D$5:$D$434,$A89,Countries!$J$5:$J$434,"&gt;0")=0,"",SUMIFS(Countries!$J$5:$J$434,Countries!$A$5:$A$434,"All landing pages",Countries!$D$5:$D$434,$A89,Countries!$F$5:$F$434,"&gt;0")/SUMIFS(Countries!$F$5:$F$434,Countries!$A$5:$A$434,"All landing pages",Countries!$D$5:$D$434,$A89,Countries!$J$5:$J$434,"&gt;0"))</f>
        <v/>
      </c>
      <c r="P89" s="44">
        <f>IF(OR(N89="",O89=""),"",(O89-N89)*100)</f>
        <v/>
      </c>
      <c r="Q89" s="73" t="n"/>
    </row>
    <row r="90">
      <c r="A90" s="56" t="inlineStr">
        <is>
          <t>Poland</t>
        </is>
      </c>
      <c r="B90" s="43">
        <f>IF(SUMIFS(Countries!$E$5:$E$434,Countries!$A$5:$A$434,"All landing pages",Countries!$B$5:$B$434,"Paid Search",Countries!$D$5:$D$434,$A90,Countries!$I$5:$I$434,"&gt;0")=0,"",SUMIFS(Countries!$I$5:$I$434,Countries!$A$5:$A$434,"All landing pages",Countries!$B$5:$B$434,"Paid Search",Countries!$D$5:$D$434,$A90,Countries!$E$5:$E$434,"&gt;0")/SUMIFS(Countries!$E$5:$E$434,Countries!$A$5:$A$434,"All landing pages",Countries!$B$5:$B$434,"Paid Search",Countries!$D$5:$D$434,$A90,Countries!$I$5:$I$434,"&gt;0"))</f>
        <v/>
      </c>
      <c r="C90" s="43">
        <f>IF(SUMIFS(Countries!$F$5:$F$434,Countries!$A$5:$A$434,"All landing pages",Countries!$B$5:$B$434,"Paid Search",Countries!$D$5:$D$434,$A90,Countries!$J$5:$J$434,"&gt;0")=0,"",SUMIFS(Countries!$J$5:$J$434,Countries!$A$5:$A$434,"All landing pages",Countries!$B$5:$B$434,"Paid Search",Countries!$D$5:$D$434,$A90,Countries!$F$5:$F$434,"&gt;0")/SUMIFS(Countries!$F$5:$F$434,Countries!$A$5:$A$434,"All landing pages",Countries!$B$5:$B$434,"Paid Search",Countries!$D$5:$D$434,$A90,Countries!$J$5:$J$434,"&gt;0"))</f>
        <v/>
      </c>
      <c r="D90" s="44">
        <f>IF(OR(B90="",C90=""),"",(C90-B90)*100)</f>
        <v/>
      </c>
      <c r="E90" s="73" t="n"/>
      <c r="F90" s="43">
        <f>IF(SUMIFS(Countries!$E$5:$E$434,Countries!$A$5:$A$434,"All landing pages",Countries!$B$5:$B$434,"Organic",Countries!$D$5:$D$434,$A90,Countries!$I$5:$I$434,"&gt;0")=0,"",SUMIFS(Countries!$I$5:$I$434,Countries!$A$5:$A$434,"All landing pages",Countries!$B$5:$B$434,"Organic",Countries!$D$5:$D$434,$A90,Countries!$E$5:$E$434,"&gt;0")/SUMIFS(Countries!$E$5:$E$434,Countries!$A$5:$A$434,"All landing pages",Countries!$B$5:$B$434,"Organic",Countries!$D$5:$D$434,$A90,Countries!$I$5:$I$434,"&gt;0"))</f>
        <v/>
      </c>
      <c r="G90" s="43">
        <f>IF(SUMIFS(Countries!$F$5:$F$434,Countries!$A$5:$A$434,"All landing pages",Countries!$B$5:$B$434,"Organic",Countries!$D$5:$D$434,$A90,Countries!$J$5:$J$434,"&gt;0")=0,"",SUMIFS(Countries!$J$5:$J$434,Countries!$A$5:$A$434,"All landing pages",Countries!$B$5:$B$434,"Organic",Countries!$D$5:$D$434,$A90,Countries!$F$5:$F$434,"&gt;0")/SUMIFS(Countries!$F$5:$F$434,Countries!$A$5:$A$434,"All landing pages",Countries!$B$5:$B$434,"Organic",Countries!$D$5:$D$434,$A90,Countries!$J$5:$J$434,"&gt;0"))</f>
        <v/>
      </c>
      <c r="H90" s="44">
        <f>IF(OR(F90="",G90=""),"",(G90-F90)*100)</f>
        <v/>
      </c>
      <c r="I90" s="73" t="n"/>
      <c r="J90" s="43">
        <f>IF(SUMIFS(Countries!$E$5:$E$434,Countries!$A$5:$A$434,"All landing pages",Countries!$B$5:$B$434,"Direct",Countries!$D$5:$D$434,$A90,Countries!$I$5:$I$434,"&gt;0")=0,"",SUMIFS(Countries!$I$5:$I$434,Countries!$A$5:$A$434,"All landing pages",Countries!$B$5:$B$434,"Direct",Countries!$D$5:$D$434,$A90,Countries!$E$5:$E$434,"&gt;0")/SUMIFS(Countries!$E$5:$E$434,Countries!$A$5:$A$434,"All landing pages",Countries!$B$5:$B$434,"Direct",Countries!$D$5:$D$434,$A90,Countries!$I$5:$I$434,"&gt;0"))</f>
        <v/>
      </c>
      <c r="K90" s="43">
        <f>IF(SUMIFS(Countries!$F$5:$F$434,Countries!$A$5:$A$434,"All landing pages",Countries!$B$5:$B$434,"Direct",Countries!$D$5:$D$434,$A90,Countries!$J$5:$J$434,"&gt;0")=0,"",SUMIFS(Countries!$J$5:$J$434,Countries!$A$5:$A$434,"All landing pages",Countries!$B$5:$B$434,"Direct",Countries!$D$5:$D$434,$A90,Countries!$F$5:$F$434,"&gt;0")/SUMIFS(Countries!$F$5:$F$434,Countries!$A$5:$A$434,"All landing pages",Countries!$B$5:$B$434,"Direct",Countries!$D$5:$D$434,$A90,Countries!$J$5:$J$434,"&gt;0"))</f>
        <v/>
      </c>
      <c r="L90" s="44">
        <f>IF(OR(J90="",K90=""),"",(K90-J90)*100)</f>
        <v/>
      </c>
      <c r="M90" s="73" t="n"/>
      <c r="N90" s="43">
        <f>IF(SUMIFS(Countries!$E$5:$E$434,Countries!$A$5:$A$434,"All landing pages",Countries!$D$5:$D$434,$A90,Countries!$I$5:$I$434,"&gt;0")=0,"",SUMIFS(Countries!$I$5:$I$434,Countries!$A$5:$A$434,"All landing pages",Countries!$D$5:$D$434,$A90,Countries!$E$5:$E$434,"&gt;0")/SUMIFS(Countries!$E$5:$E$434,Countries!$A$5:$A$434,"All landing pages",Countries!$D$5:$D$434,$A90,Countries!$I$5:$I$434,"&gt;0"))</f>
        <v/>
      </c>
      <c r="O90" s="43">
        <f>IF(SUMIFS(Countries!$F$5:$F$434,Countries!$A$5:$A$434,"All landing pages",Countries!$D$5:$D$434,$A90,Countries!$J$5:$J$434,"&gt;0")=0,"",SUMIFS(Countries!$J$5:$J$434,Countries!$A$5:$A$434,"All landing pages",Countries!$D$5:$D$434,$A90,Countries!$F$5:$F$434,"&gt;0")/SUMIFS(Countries!$F$5:$F$434,Countries!$A$5:$A$434,"All landing pages",Countries!$D$5:$D$434,$A90,Countries!$J$5:$J$434,"&gt;0"))</f>
        <v/>
      </c>
      <c r="P90" s="44">
        <f>IF(OR(N90="",O90=""),"",(O90-N90)*100)</f>
        <v/>
      </c>
      <c r="Q90" s="73" t="n"/>
    </row>
    <row r="91">
      <c r="A91" s="40" t="inlineStr">
        <is>
          <t>United States</t>
        </is>
      </c>
      <c r="B91" s="43">
        <f>IF(SUMIFS(Countries!$E$5:$E$434,Countries!$A$5:$A$434,"All landing pages",Countries!$B$5:$B$434,"Paid Search",Countries!$D$5:$D$434,$A91,Countries!$I$5:$I$434,"&gt;0")=0,"",SUMIFS(Countries!$I$5:$I$434,Countries!$A$5:$A$434,"All landing pages",Countries!$B$5:$B$434,"Paid Search",Countries!$D$5:$D$434,$A91,Countries!$E$5:$E$434,"&gt;0")/SUMIFS(Countries!$E$5:$E$434,Countries!$A$5:$A$434,"All landing pages",Countries!$B$5:$B$434,"Paid Search",Countries!$D$5:$D$434,$A91,Countries!$I$5:$I$434,"&gt;0"))</f>
        <v/>
      </c>
      <c r="C91" s="43">
        <f>IF(SUMIFS(Countries!$F$5:$F$434,Countries!$A$5:$A$434,"All landing pages",Countries!$B$5:$B$434,"Paid Search",Countries!$D$5:$D$434,$A91,Countries!$J$5:$J$434,"&gt;0")=0,"",SUMIFS(Countries!$J$5:$J$434,Countries!$A$5:$A$434,"All landing pages",Countries!$B$5:$B$434,"Paid Search",Countries!$D$5:$D$434,$A91,Countries!$F$5:$F$434,"&gt;0")/SUMIFS(Countries!$F$5:$F$434,Countries!$A$5:$A$434,"All landing pages",Countries!$B$5:$B$434,"Paid Search",Countries!$D$5:$D$434,$A91,Countries!$J$5:$J$434,"&gt;0"))</f>
        <v/>
      </c>
      <c r="D91" s="44">
        <f>IF(OR(B91="",C91=""),"",(C91-B91)*100)</f>
        <v/>
      </c>
      <c r="E91" s="73" t="n"/>
      <c r="F91" s="43">
        <f>IF(SUMIFS(Countries!$E$5:$E$434,Countries!$A$5:$A$434,"All landing pages",Countries!$B$5:$B$434,"Organic",Countries!$D$5:$D$434,$A91,Countries!$I$5:$I$434,"&gt;0")=0,"",SUMIFS(Countries!$I$5:$I$434,Countries!$A$5:$A$434,"All landing pages",Countries!$B$5:$B$434,"Organic",Countries!$D$5:$D$434,$A91,Countries!$E$5:$E$434,"&gt;0")/SUMIFS(Countries!$E$5:$E$434,Countries!$A$5:$A$434,"All landing pages",Countries!$B$5:$B$434,"Organic",Countries!$D$5:$D$434,$A91,Countries!$I$5:$I$434,"&gt;0"))</f>
        <v/>
      </c>
      <c r="G91" s="43">
        <f>IF(SUMIFS(Countries!$F$5:$F$434,Countries!$A$5:$A$434,"All landing pages",Countries!$B$5:$B$434,"Organic",Countries!$D$5:$D$434,$A91,Countries!$J$5:$J$434,"&gt;0")=0,"",SUMIFS(Countries!$J$5:$J$434,Countries!$A$5:$A$434,"All landing pages",Countries!$B$5:$B$434,"Organic",Countries!$D$5:$D$434,$A91,Countries!$F$5:$F$434,"&gt;0")/SUMIFS(Countries!$F$5:$F$434,Countries!$A$5:$A$434,"All landing pages",Countries!$B$5:$B$434,"Organic",Countries!$D$5:$D$434,$A91,Countries!$J$5:$J$434,"&gt;0"))</f>
        <v/>
      </c>
      <c r="H91" s="44">
        <f>IF(OR(F91="",G91=""),"",(G91-F91)*100)</f>
        <v/>
      </c>
      <c r="I91" s="73" t="n"/>
      <c r="J91" s="43">
        <f>IF(SUMIFS(Countries!$E$5:$E$434,Countries!$A$5:$A$434,"All landing pages",Countries!$B$5:$B$434,"Direct",Countries!$D$5:$D$434,$A91,Countries!$I$5:$I$434,"&gt;0")=0,"",SUMIFS(Countries!$I$5:$I$434,Countries!$A$5:$A$434,"All landing pages",Countries!$B$5:$B$434,"Direct",Countries!$D$5:$D$434,$A91,Countries!$E$5:$E$434,"&gt;0")/SUMIFS(Countries!$E$5:$E$434,Countries!$A$5:$A$434,"All landing pages",Countries!$B$5:$B$434,"Direct",Countries!$D$5:$D$434,$A91,Countries!$I$5:$I$434,"&gt;0"))</f>
        <v/>
      </c>
      <c r="K91" s="43">
        <f>IF(SUMIFS(Countries!$F$5:$F$434,Countries!$A$5:$A$434,"All landing pages",Countries!$B$5:$B$434,"Direct",Countries!$D$5:$D$434,$A91,Countries!$J$5:$J$434,"&gt;0")=0,"",SUMIFS(Countries!$J$5:$J$434,Countries!$A$5:$A$434,"All landing pages",Countries!$B$5:$B$434,"Direct",Countries!$D$5:$D$434,$A91,Countries!$F$5:$F$434,"&gt;0")/SUMIFS(Countries!$F$5:$F$434,Countries!$A$5:$A$434,"All landing pages",Countries!$B$5:$B$434,"Direct",Countries!$D$5:$D$434,$A91,Countries!$J$5:$J$434,"&gt;0"))</f>
        <v/>
      </c>
      <c r="L91" s="44">
        <f>IF(OR(J91="",K91=""),"",(K91-J91)*100)</f>
        <v/>
      </c>
      <c r="M91" s="73" t="n"/>
      <c r="N91" s="43">
        <f>IF(SUMIFS(Countries!$E$5:$E$434,Countries!$A$5:$A$434,"All landing pages",Countries!$D$5:$D$434,$A91,Countries!$I$5:$I$434,"&gt;0")=0,"",SUMIFS(Countries!$I$5:$I$434,Countries!$A$5:$A$434,"All landing pages",Countries!$D$5:$D$434,$A91,Countries!$E$5:$E$434,"&gt;0")/SUMIFS(Countries!$E$5:$E$434,Countries!$A$5:$A$434,"All landing pages",Countries!$D$5:$D$434,$A91,Countries!$I$5:$I$434,"&gt;0"))</f>
        <v/>
      </c>
      <c r="O91" s="43">
        <f>IF(SUMIFS(Countries!$F$5:$F$434,Countries!$A$5:$A$434,"All landing pages",Countries!$D$5:$D$434,$A91,Countries!$J$5:$J$434,"&gt;0")=0,"",SUMIFS(Countries!$J$5:$J$434,Countries!$A$5:$A$434,"All landing pages",Countries!$D$5:$D$434,$A91,Countries!$F$5:$F$434,"&gt;0")/SUMIFS(Countries!$F$5:$F$434,Countries!$A$5:$A$434,"All landing pages",Countries!$D$5:$D$434,$A91,Countries!$J$5:$J$434,"&gt;0"))</f>
        <v/>
      </c>
      <c r="P91" s="44">
        <f>IF(OR(N91="",O91=""),"",(O91-N91)*100)</f>
        <v/>
      </c>
      <c r="Q91" s="73" t="n"/>
    </row>
    <row r="92">
      <c r="A92" s="56" t="inlineStr">
        <is>
          <t>Sweden</t>
        </is>
      </c>
      <c r="B92" s="43">
        <f>IF(SUMIFS(Countries!$E$5:$E$434,Countries!$A$5:$A$434,"All landing pages",Countries!$B$5:$B$434,"Paid Search",Countries!$D$5:$D$434,$A92,Countries!$I$5:$I$434,"&gt;0")=0,"",SUMIFS(Countries!$I$5:$I$434,Countries!$A$5:$A$434,"All landing pages",Countries!$B$5:$B$434,"Paid Search",Countries!$D$5:$D$434,$A92,Countries!$E$5:$E$434,"&gt;0")/SUMIFS(Countries!$E$5:$E$434,Countries!$A$5:$A$434,"All landing pages",Countries!$B$5:$B$434,"Paid Search",Countries!$D$5:$D$434,$A92,Countries!$I$5:$I$434,"&gt;0"))</f>
        <v/>
      </c>
      <c r="C92" s="43">
        <f>IF(SUMIFS(Countries!$F$5:$F$434,Countries!$A$5:$A$434,"All landing pages",Countries!$B$5:$B$434,"Paid Search",Countries!$D$5:$D$434,$A92,Countries!$J$5:$J$434,"&gt;0")=0,"",SUMIFS(Countries!$J$5:$J$434,Countries!$A$5:$A$434,"All landing pages",Countries!$B$5:$B$434,"Paid Search",Countries!$D$5:$D$434,$A92,Countries!$F$5:$F$434,"&gt;0")/SUMIFS(Countries!$F$5:$F$434,Countries!$A$5:$A$434,"All landing pages",Countries!$B$5:$B$434,"Paid Search",Countries!$D$5:$D$434,$A92,Countries!$J$5:$J$434,"&gt;0"))</f>
        <v/>
      </c>
      <c r="D92" s="44">
        <f>IF(OR(B92="",C92=""),"",(C92-B92)*100)</f>
        <v/>
      </c>
      <c r="E92" s="73" t="n"/>
      <c r="F92" s="43">
        <f>IF(SUMIFS(Countries!$E$5:$E$434,Countries!$A$5:$A$434,"All landing pages",Countries!$B$5:$B$434,"Organic",Countries!$D$5:$D$434,$A92,Countries!$I$5:$I$434,"&gt;0")=0,"",SUMIFS(Countries!$I$5:$I$434,Countries!$A$5:$A$434,"All landing pages",Countries!$B$5:$B$434,"Organic",Countries!$D$5:$D$434,$A92,Countries!$E$5:$E$434,"&gt;0")/SUMIFS(Countries!$E$5:$E$434,Countries!$A$5:$A$434,"All landing pages",Countries!$B$5:$B$434,"Organic",Countries!$D$5:$D$434,$A92,Countries!$I$5:$I$434,"&gt;0"))</f>
        <v/>
      </c>
      <c r="G92" s="43">
        <f>IF(SUMIFS(Countries!$F$5:$F$434,Countries!$A$5:$A$434,"All landing pages",Countries!$B$5:$B$434,"Organic",Countries!$D$5:$D$434,$A92,Countries!$J$5:$J$434,"&gt;0")=0,"",SUMIFS(Countries!$J$5:$J$434,Countries!$A$5:$A$434,"All landing pages",Countries!$B$5:$B$434,"Organic",Countries!$D$5:$D$434,$A92,Countries!$F$5:$F$434,"&gt;0")/SUMIFS(Countries!$F$5:$F$434,Countries!$A$5:$A$434,"All landing pages",Countries!$B$5:$B$434,"Organic",Countries!$D$5:$D$434,$A92,Countries!$J$5:$J$434,"&gt;0"))</f>
        <v/>
      </c>
      <c r="H92" s="44">
        <f>IF(OR(F92="",G92=""),"",(G92-F92)*100)</f>
        <v/>
      </c>
      <c r="I92" s="73" t="n"/>
      <c r="J92" s="43">
        <f>IF(SUMIFS(Countries!$E$5:$E$434,Countries!$A$5:$A$434,"All landing pages",Countries!$B$5:$B$434,"Direct",Countries!$D$5:$D$434,$A92,Countries!$I$5:$I$434,"&gt;0")=0,"",SUMIFS(Countries!$I$5:$I$434,Countries!$A$5:$A$434,"All landing pages",Countries!$B$5:$B$434,"Direct",Countries!$D$5:$D$434,$A92,Countries!$E$5:$E$434,"&gt;0")/SUMIFS(Countries!$E$5:$E$434,Countries!$A$5:$A$434,"All landing pages",Countries!$B$5:$B$434,"Direct",Countries!$D$5:$D$434,$A92,Countries!$I$5:$I$434,"&gt;0"))</f>
        <v/>
      </c>
      <c r="K92" s="43">
        <f>IF(SUMIFS(Countries!$F$5:$F$434,Countries!$A$5:$A$434,"All landing pages",Countries!$B$5:$B$434,"Direct",Countries!$D$5:$D$434,$A92,Countries!$J$5:$J$434,"&gt;0")=0,"",SUMIFS(Countries!$J$5:$J$434,Countries!$A$5:$A$434,"All landing pages",Countries!$B$5:$B$434,"Direct",Countries!$D$5:$D$434,$A92,Countries!$F$5:$F$434,"&gt;0")/SUMIFS(Countries!$F$5:$F$434,Countries!$A$5:$A$434,"All landing pages",Countries!$B$5:$B$434,"Direct",Countries!$D$5:$D$434,$A92,Countries!$J$5:$J$434,"&gt;0"))</f>
        <v/>
      </c>
      <c r="L92" s="44">
        <f>IF(OR(J92="",K92=""),"",(K92-J92)*100)</f>
        <v/>
      </c>
      <c r="M92" s="73" t="n"/>
      <c r="N92" s="43">
        <f>IF(SUMIFS(Countries!$E$5:$E$434,Countries!$A$5:$A$434,"All landing pages",Countries!$D$5:$D$434,$A92,Countries!$I$5:$I$434,"&gt;0")=0,"",SUMIFS(Countries!$I$5:$I$434,Countries!$A$5:$A$434,"All landing pages",Countries!$D$5:$D$434,$A92,Countries!$E$5:$E$434,"&gt;0")/SUMIFS(Countries!$E$5:$E$434,Countries!$A$5:$A$434,"All landing pages",Countries!$D$5:$D$434,$A92,Countries!$I$5:$I$434,"&gt;0"))</f>
        <v/>
      </c>
      <c r="O92" s="43">
        <f>IF(SUMIFS(Countries!$F$5:$F$434,Countries!$A$5:$A$434,"All landing pages",Countries!$D$5:$D$434,$A92,Countries!$J$5:$J$434,"&gt;0")=0,"",SUMIFS(Countries!$J$5:$J$434,Countries!$A$5:$A$434,"All landing pages",Countries!$D$5:$D$434,$A92,Countries!$F$5:$F$434,"&gt;0")/SUMIFS(Countries!$F$5:$F$434,Countries!$A$5:$A$434,"All landing pages",Countries!$D$5:$D$434,$A92,Countries!$J$5:$J$434,"&gt;0"))</f>
        <v/>
      </c>
      <c r="P92" s="44">
        <f>IF(OR(N92="",O92=""),"",(O92-N92)*100)</f>
        <v/>
      </c>
      <c r="Q92" s="73" t="n"/>
    </row>
    <row r="93">
      <c r="A93" s="40" t="inlineStr">
        <is>
          <t>Belgium</t>
        </is>
      </c>
      <c r="B93" s="43">
        <f>IF(SUMIFS(Countries!$E$5:$E$434,Countries!$A$5:$A$434,"All landing pages",Countries!$B$5:$B$434,"Paid Search",Countries!$D$5:$D$434,$A93,Countries!$I$5:$I$434,"&gt;0")=0,"",SUMIFS(Countries!$I$5:$I$434,Countries!$A$5:$A$434,"All landing pages",Countries!$B$5:$B$434,"Paid Search",Countries!$D$5:$D$434,$A93,Countries!$E$5:$E$434,"&gt;0")/SUMIFS(Countries!$E$5:$E$434,Countries!$A$5:$A$434,"All landing pages",Countries!$B$5:$B$434,"Paid Search",Countries!$D$5:$D$434,$A93,Countries!$I$5:$I$434,"&gt;0"))</f>
        <v/>
      </c>
      <c r="C93" s="43">
        <f>IF(SUMIFS(Countries!$F$5:$F$434,Countries!$A$5:$A$434,"All landing pages",Countries!$B$5:$B$434,"Paid Search",Countries!$D$5:$D$434,$A93,Countries!$J$5:$J$434,"&gt;0")=0,"",SUMIFS(Countries!$J$5:$J$434,Countries!$A$5:$A$434,"All landing pages",Countries!$B$5:$B$434,"Paid Search",Countries!$D$5:$D$434,$A93,Countries!$F$5:$F$434,"&gt;0")/SUMIFS(Countries!$F$5:$F$434,Countries!$A$5:$A$434,"All landing pages",Countries!$B$5:$B$434,"Paid Search",Countries!$D$5:$D$434,$A93,Countries!$J$5:$J$434,"&gt;0"))</f>
        <v/>
      </c>
      <c r="D93" s="44">
        <f>IF(OR(B93="",C93=""),"",(C93-B93)*100)</f>
        <v/>
      </c>
      <c r="E93" s="73" t="n"/>
      <c r="F93" s="43">
        <f>IF(SUMIFS(Countries!$E$5:$E$434,Countries!$A$5:$A$434,"All landing pages",Countries!$B$5:$B$434,"Organic",Countries!$D$5:$D$434,$A93,Countries!$I$5:$I$434,"&gt;0")=0,"",SUMIFS(Countries!$I$5:$I$434,Countries!$A$5:$A$434,"All landing pages",Countries!$B$5:$B$434,"Organic",Countries!$D$5:$D$434,$A93,Countries!$E$5:$E$434,"&gt;0")/SUMIFS(Countries!$E$5:$E$434,Countries!$A$5:$A$434,"All landing pages",Countries!$B$5:$B$434,"Organic",Countries!$D$5:$D$434,$A93,Countries!$I$5:$I$434,"&gt;0"))</f>
        <v/>
      </c>
      <c r="G93" s="43">
        <f>IF(SUMIFS(Countries!$F$5:$F$434,Countries!$A$5:$A$434,"All landing pages",Countries!$B$5:$B$434,"Organic",Countries!$D$5:$D$434,$A93,Countries!$J$5:$J$434,"&gt;0")=0,"",SUMIFS(Countries!$J$5:$J$434,Countries!$A$5:$A$434,"All landing pages",Countries!$B$5:$B$434,"Organic",Countries!$D$5:$D$434,$A93,Countries!$F$5:$F$434,"&gt;0")/SUMIFS(Countries!$F$5:$F$434,Countries!$A$5:$A$434,"All landing pages",Countries!$B$5:$B$434,"Organic",Countries!$D$5:$D$434,$A93,Countries!$J$5:$J$434,"&gt;0"))</f>
        <v/>
      </c>
      <c r="H93" s="44">
        <f>IF(OR(F93="",G93=""),"",(G93-F93)*100)</f>
        <v/>
      </c>
      <c r="I93" s="73" t="n"/>
      <c r="J93" s="43">
        <f>IF(SUMIFS(Countries!$E$5:$E$434,Countries!$A$5:$A$434,"All landing pages",Countries!$B$5:$B$434,"Direct",Countries!$D$5:$D$434,$A93,Countries!$I$5:$I$434,"&gt;0")=0,"",SUMIFS(Countries!$I$5:$I$434,Countries!$A$5:$A$434,"All landing pages",Countries!$B$5:$B$434,"Direct",Countries!$D$5:$D$434,$A93,Countries!$E$5:$E$434,"&gt;0")/SUMIFS(Countries!$E$5:$E$434,Countries!$A$5:$A$434,"All landing pages",Countries!$B$5:$B$434,"Direct",Countries!$D$5:$D$434,$A93,Countries!$I$5:$I$434,"&gt;0"))</f>
        <v/>
      </c>
      <c r="K93" s="43">
        <f>IF(SUMIFS(Countries!$F$5:$F$434,Countries!$A$5:$A$434,"All landing pages",Countries!$B$5:$B$434,"Direct",Countries!$D$5:$D$434,$A93,Countries!$J$5:$J$434,"&gt;0")=0,"",SUMIFS(Countries!$J$5:$J$434,Countries!$A$5:$A$434,"All landing pages",Countries!$B$5:$B$434,"Direct",Countries!$D$5:$D$434,$A93,Countries!$F$5:$F$434,"&gt;0")/SUMIFS(Countries!$F$5:$F$434,Countries!$A$5:$A$434,"All landing pages",Countries!$B$5:$B$434,"Direct",Countries!$D$5:$D$434,$A93,Countries!$J$5:$J$434,"&gt;0"))</f>
        <v/>
      </c>
      <c r="L93" s="44">
        <f>IF(OR(J93="",K93=""),"",(K93-J93)*100)</f>
        <v/>
      </c>
      <c r="M93" s="73" t="n"/>
      <c r="N93" s="43">
        <f>IF(SUMIFS(Countries!$E$5:$E$434,Countries!$A$5:$A$434,"All landing pages",Countries!$D$5:$D$434,$A93,Countries!$I$5:$I$434,"&gt;0")=0,"",SUMIFS(Countries!$I$5:$I$434,Countries!$A$5:$A$434,"All landing pages",Countries!$D$5:$D$434,$A93,Countries!$E$5:$E$434,"&gt;0")/SUMIFS(Countries!$E$5:$E$434,Countries!$A$5:$A$434,"All landing pages",Countries!$D$5:$D$434,$A93,Countries!$I$5:$I$434,"&gt;0"))</f>
        <v/>
      </c>
      <c r="O93" s="43">
        <f>IF(SUMIFS(Countries!$F$5:$F$434,Countries!$A$5:$A$434,"All landing pages",Countries!$D$5:$D$434,$A93,Countries!$J$5:$J$434,"&gt;0")=0,"",SUMIFS(Countries!$J$5:$J$434,Countries!$A$5:$A$434,"All landing pages",Countries!$D$5:$D$434,$A93,Countries!$F$5:$F$434,"&gt;0")/SUMIFS(Countries!$F$5:$F$434,Countries!$A$5:$A$434,"All landing pages",Countries!$D$5:$D$434,$A93,Countries!$J$5:$J$434,"&gt;0"))</f>
        <v/>
      </c>
      <c r="P93" s="44">
        <f>IF(OR(N93="",O93=""),"",(O93-N93)*100)</f>
        <v/>
      </c>
      <c r="Q93" s="73" t="n"/>
    </row>
    <row r="94">
      <c r="A94" s="56" t="inlineStr">
        <is>
          <t>Austria</t>
        </is>
      </c>
      <c r="B94" s="43">
        <f>IF(SUMIFS(Countries!$E$5:$E$434,Countries!$A$5:$A$434,"All landing pages",Countries!$B$5:$B$434,"Paid Search",Countries!$D$5:$D$434,$A94,Countries!$I$5:$I$434,"&gt;0")=0,"",SUMIFS(Countries!$I$5:$I$434,Countries!$A$5:$A$434,"All landing pages",Countries!$B$5:$B$434,"Paid Search",Countries!$D$5:$D$434,$A94,Countries!$E$5:$E$434,"&gt;0")/SUMIFS(Countries!$E$5:$E$434,Countries!$A$5:$A$434,"All landing pages",Countries!$B$5:$B$434,"Paid Search",Countries!$D$5:$D$434,$A94,Countries!$I$5:$I$434,"&gt;0"))</f>
        <v/>
      </c>
      <c r="C94" s="43">
        <f>IF(SUMIFS(Countries!$F$5:$F$434,Countries!$A$5:$A$434,"All landing pages",Countries!$B$5:$B$434,"Paid Search",Countries!$D$5:$D$434,$A94,Countries!$J$5:$J$434,"&gt;0")=0,"",SUMIFS(Countries!$J$5:$J$434,Countries!$A$5:$A$434,"All landing pages",Countries!$B$5:$B$434,"Paid Search",Countries!$D$5:$D$434,$A94,Countries!$F$5:$F$434,"&gt;0")/SUMIFS(Countries!$F$5:$F$434,Countries!$A$5:$A$434,"All landing pages",Countries!$B$5:$B$434,"Paid Search",Countries!$D$5:$D$434,$A94,Countries!$J$5:$J$434,"&gt;0"))</f>
        <v/>
      </c>
      <c r="D94" s="44">
        <f>IF(OR(B94="",C94=""),"",(C94-B94)*100)</f>
        <v/>
      </c>
      <c r="E94" s="73" t="n"/>
      <c r="F94" s="43">
        <f>IF(SUMIFS(Countries!$E$5:$E$434,Countries!$A$5:$A$434,"All landing pages",Countries!$B$5:$B$434,"Organic",Countries!$D$5:$D$434,$A94,Countries!$I$5:$I$434,"&gt;0")=0,"",SUMIFS(Countries!$I$5:$I$434,Countries!$A$5:$A$434,"All landing pages",Countries!$B$5:$B$434,"Organic",Countries!$D$5:$D$434,$A94,Countries!$E$5:$E$434,"&gt;0")/SUMIFS(Countries!$E$5:$E$434,Countries!$A$5:$A$434,"All landing pages",Countries!$B$5:$B$434,"Organic",Countries!$D$5:$D$434,$A94,Countries!$I$5:$I$434,"&gt;0"))</f>
        <v/>
      </c>
      <c r="G94" s="43">
        <f>IF(SUMIFS(Countries!$F$5:$F$434,Countries!$A$5:$A$434,"All landing pages",Countries!$B$5:$B$434,"Organic",Countries!$D$5:$D$434,$A94,Countries!$J$5:$J$434,"&gt;0")=0,"",SUMIFS(Countries!$J$5:$J$434,Countries!$A$5:$A$434,"All landing pages",Countries!$B$5:$B$434,"Organic",Countries!$D$5:$D$434,$A94,Countries!$F$5:$F$434,"&gt;0")/SUMIFS(Countries!$F$5:$F$434,Countries!$A$5:$A$434,"All landing pages",Countries!$B$5:$B$434,"Organic",Countries!$D$5:$D$434,$A94,Countries!$J$5:$J$434,"&gt;0"))</f>
        <v/>
      </c>
      <c r="H94" s="44">
        <f>IF(OR(F94="",G94=""),"",(G94-F94)*100)</f>
        <v/>
      </c>
      <c r="I94" s="73" t="n"/>
      <c r="J94" s="43">
        <f>IF(SUMIFS(Countries!$E$5:$E$434,Countries!$A$5:$A$434,"All landing pages",Countries!$B$5:$B$434,"Direct",Countries!$D$5:$D$434,$A94,Countries!$I$5:$I$434,"&gt;0")=0,"",SUMIFS(Countries!$I$5:$I$434,Countries!$A$5:$A$434,"All landing pages",Countries!$B$5:$B$434,"Direct",Countries!$D$5:$D$434,$A94,Countries!$E$5:$E$434,"&gt;0")/SUMIFS(Countries!$E$5:$E$434,Countries!$A$5:$A$434,"All landing pages",Countries!$B$5:$B$434,"Direct",Countries!$D$5:$D$434,$A94,Countries!$I$5:$I$434,"&gt;0"))</f>
        <v/>
      </c>
      <c r="K94" s="43">
        <f>IF(SUMIFS(Countries!$F$5:$F$434,Countries!$A$5:$A$434,"All landing pages",Countries!$B$5:$B$434,"Direct",Countries!$D$5:$D$434,$A94,Countries!$J$5:$J$434,"&gt;0")=0,"",SUMIFS(Countries!$J$5:$J$434,Countries!$A$5:$A$434,"All landing pages",Countries!$B$5:$B$434,"Direct",Countries!$D$5:$D$434,$A94,Countries!$F$5:$F$434,"&gt;0")/SUMIFS(Countries!$F$5:$F$434,Countries!$A$5:$A$434,"All landing pages",Countries!$B$5:$B$434,"Direct",Countries!$D$5:$D$434,$A94,Countries!$J$5:$J$434,"&gt;0"))</f>
        <v/>
      </c>
      <c r="L94" s="44">
        <f>IF(OR(J94="",K94=""),"",(K94-J94)*100)</f>
        <v/>
      </c>
      <c r="M94" s="73" t="n"/>
      <c r="N94" s="43">
        <f>IF(SUMIFS(Countries!$E$5:$E$434,Countries!$A$5:$A$434,"All landing pages",Countries!$D$5:$D$434,$A94,Countries!$I$5:$I$434,"&gt;0")=0,"",SUMIFS(Countries!$I$5:$I$434,Countries!$A$5:$A$434,"All landing pages",Countries!$D$5:$D$434,$A94,Countries!$E$5:$E$434,"&gt;0")/SUMIFS(Countries!$E$5:$E$434,Countries!$A$5:$A$434,"All landing pages",Countries!$D$5:$D$434,$A94,Countries!$I$5:$I$434,"&gt;0"))</f>
        <v/>
      </c>
      <c r="O94" s="43">
        <f>IF(SUMIFS(Countries!$F$5:$F$434,Countries!$A$5:$A$434,"All landing pages",Countries!$D$5:$D$434,$A94,Countries!$J$5:$J$434,"&gt;0")=0,"",SUMIFS(Countries!$J$5:$J$434,Countries!$A$5:$A$434,"All landing pages",Countries!$D$5:$D$434,$A94,Countries!$F$5:$F$434,"&gt;0")/SUMIFS(Countries!$F$5:$F$434,Countries!$A$5:$A$434,"All landing pages",Countries!$D$5:$D$434,$A94,Countries!$J$5:$J$434,"&gt;0"))</f>
        <v/>
      </c>
      <c r="P94" s="44">
        <f>IF(OR(N94="",O94=""),"",(O94-N94)*100)</f>
        <v/>
      </c>
      <c r="Q94" s="73" t="n"/>
    </row>
    <row r="95">
      <c r="A95" s="40" t="inlineStr">
        <is>
          <t>Denmark</t>
        </is>
      </c>
      <c r="B95" s="43">
        <f>IF(SUMIFS(Countries!$E$5:$E$434,Countries!$A$5:$A$434,"All landing pages",Countries!$B$5:$B$434,"Paid Search",Countries!$D$5:$D$434,$A95,Countries!$I$5:$I$434,"&gt;0")=0,"",SUMIFS(Countries!$I$5:$I$434,Countries!$A$5:$A$434,"All landing pages",Countries!$B$5:$B$434,"Paid Search",Countries!$D$5:$D$434,$A95,Countries!$E$5:$E$434,"&gt;0")/SUMIFS(Countries!$E$5:$E$434,Countries!$A$5:$A$434,"All landing pages",Countries!$B$5:$B$434,"Paid Search",Countries!$D$5:$D$434,$A95,Countries!$I$5:$I$434,"&gt;0"))</f>
        <v/>
      </c>
      <c r="C95" s="43">
        <f>IF(SUMIFS(Countries!$F$5:$F$434,Countries!$A$5:$A$434,"All landing pages",Countries!$B$5:$B$434,"Paid Search",Countries!$D$5:$D$434,$A95,Countries!$J$5:$J$434,"&gt;0")=0,"",SUMIFS(Countries!$J$5:$J$434,Countries!$A$5:$A$434,"All landing pages",Countries!$B$5:$B$434,"Paid Search",Countries!$D$5:$D$434,$A95,Countries!$F$5:$F$434,"&gt;0")/SUMIFS(Countries!$F$5:$F$434,Countries!$A$5:$A$434,"All landing pages",Countries!$B$5:$B$434,"Paid Search",Countries!$D$5:$D$434,$A95,Countries!$J$5:$J$434,"&gt;0"))</f>
        <v/>
      </c>
      <c r="D95" s="44">
        <f>IF(OR(B95="",C95=""),"",(C95-B95)*100)</f>
        <v/>
      </c>
      <c r="E95" s="73" t="n"/>
      <c r="F95" s="43">
        <f>IF(SUMIFS(Countries!$E$5:$E$434,Countries!$A$5:$A$434,"All landing pages",Countries!$B$5:$B$434,"Organic",Countries!$D$5:$D$434,$A95,Countries!$I$5:$I$434,"&gt;0")=0,"",SUMIFS(Countries!$I$5:$I$434,Countries!$A$5:$A$434,"All landing pages",Countries!$B$5:$B$434,"Organic",Countries!$D$5:$D$434,$A95,Countries!$E$5:$E$434,"&gt;0")/SUMIFS(Countries!$E$5:$E$434,Countries!$A$5:$A$434,"All landing pages",Countries!$B$5:$B$434,"Organic",Countries!$D$5:$D$434,$A95,Countries!$I$5:$I$434,"&gt;0"))</f>
        <v/>
      </c>
      <c r="G95" s="43">
        <f>IF(SUMIFS(Countries!$F$5:$F$434,Countries!$A$5:$A$434,"All landing pages",Countries!$B$5:$B$434,"Organic",Countries!$D$5:$D$434,$A95,Countries!$J$5:$J$434,"&gt;0")=0,"",SUMIFS(Countries!$J$5:$J$434,Countries!$A$5:$A$434,"All landing pages",Countries!$B$5:$B$434,"Organic",Countries!$D$5:$D$434,$A95,Countries!$F$5:$F$434,"&gt;0")/SUMIFS(Countries!$F$5:$F$434,Countries!$A$5:$A$434,"All landing pages",Countries!$B$5:$B$434,"Organic",Countries!$D$5:$D$434,$A95,Countries!$J$5:$J$434,"&gt;0"))</f>
        <v/>
      </c>
      <c r="H95" s="44">
        <f>IF(OR(F95="",G95=""),"",(G95-F95)*100)</f>
        <v/>
      </c>
      <c r="I95" s="73" t="n"/>
      <c r="J95" s="43">
        <f>IF(SUMIFS(Countries!$E$5:$E$434,Countries!$A$5:$A$434,"All landing pages",Countries!$B$5:$B$434,"Direct",Countries!$D$5:$D$434,$A95,Countries!$I$5:$I$434,"&gt;0")=0,"",SUMIFS(Countries!$I$5:$I$434,Countries!$A$5:$A$434,"All landing pages",Countries!$B$5:$B$434,"Direct",Countries!$D$5:$D$434,$A95,Countries!$E$5:$E$434,"&gt;0")/SUMIFS(Countries!$E$5:$E$434,Countries!$A$5:$A$434,"All landing pages",Countries!$B$5:$B$434,"Direct",Countries!$D$5:$D$434,$A95,Countries!$I$5:$I$434,"&gt;0"))</f>
        <v/>
      </c>
      <c r="K95" s="43">
        <f>IF(SUMIFS(Countries!$F$5:$F$434,Countries!$A$5:$A$434,"All landing pages",Countries!$B$5:$B$434,"Direct",Countries!$D$5:$D$434,$A95,Countries!$J$5:$J$434,"&gt;0")=0,"",SUMIFS(Countries!$J$5:$J$434,Countries!$A$5:$A$434,"All landing pages",Countries!$B$5:$B$434,"Direct",Countries!$D$5:$D$434,$A95,Countries!$F$5:$F$434,"&gt;0")/SUMIFS(Countries!$F$5:$F$434,Countries!$A$5:$A$434,"All landing pages",Countries!$B$5:$B$434,"Direct",Countries!$D$5:$D$434,$A95,Countries!$J$5:$J$434,"&gt;0"))</f>
        <v/>
      </c>
      <c r="L95" s="44">
        <f>IF(OR(J95="",K95=""),"",(K95-J95)*100)</f>
        <v/>
      </c>
      <c r="M95" s="73" t="n"/>
      <c r="N95" s="43">
        <f>IF(SUMIFS(Countries!$E$5:$E$434,Countries!$A$5:$A$434,"All landing pages",Countries!$D$5:$D$434,$A95,Countries!$I$5:$I$434,"&gt;0")=0,"",SUMIFS(Countries!$I$5:$I$434,Countries!$A$5:$A$434,"All landing pages",Countries!$D$5:$D$434,$A95,Countries!$E$5:$E$434,"&gt;0")/SUMIFS(Countries!$E$5:$E$434,Countries!$A$5:$A$434,"All landing pages",Countries!$D$5:$D$434,$A95,Countries!$I$5:$I$434,"&gt;0"))</f>
        <v/>
      </c>
      <c r="O95" s="43">
        <f>IF(SUMIFS(Countries!$F$5:$F$434,Countries!$A$5:$A$434,"All landing pages",Countries!$D$5:$D$434,$A95,Countries!$J$5:$J$434,"&gt;0")=0,"",SUMIFS(Countries!$J$5:$J$434,Countries!$A$5:$A$434,"All landing pages",Countries!$D$5:$D$434,$A95,Countries!$F$5:$F$434,"&gt;0")/SUMIFS(Countries!$F$5:$F$434,Countries!$A$5:$A$434,"All landing pages",Countries!$D$5:$D$434,$A95,Countries!$J$5:$J$434,"&gt;0"))</f>
        <v/>
      </c>
      <c r="P95" s="44">
        <f>IF(OR(N95="",O95=""),"",(O95-N95)*100)</f>
        <v/>
      </c>
      <c r="Q95" s="73" t="n"/>
    </row>
    <row r="96">
      <c r="A96" s="56" t="inlineStr">
        <is>
          <t>Norway</t>
        </is>
      </c>
      <c r="B96" s="43">
        <f>IF(SUMIFS(Countries!$E$5:$E$434,Countries!$A$5:$A$434,"All landing pages",Countries!$B$5:$B$434,"Paid Search",Countries!$D$5:$D$434,$A96,Countries!$I$5:$I$434,"&gt;0")=0,"",SUMIFS(Countries!$I$5:$I$434,Countries!$A$5:$A$434,"All landing pages",Countries!$B$5:$B$434,"Paid Search",Countries!$D$5:$D$434,$A96,Countries!$E$5:$E$434,"&gt;0")/SUMIFS(Countries!$E$5:$E$434,Countries!$A$5:$A$434,"All landing pages",Countries!$B$5:$B$434,"Paid Search",Countries!$D$5:$D$434,$A96,Countries!$I$5:$I$434,"&gt;0"))</f>
        <v/>
      </c>
      <c r="C96" s="43">
        <f>IF(SUMIFS(Countries!$F$5:$F$434,Countries!$A$5:$A$434,"All landing pages",Countries!$B$5:$B$434,"Paid Search",Countries!$D$5:$D$434,$A96,Countries!$J$5:$J$434,"&gt;0")=0,"",SUMIFS(Countries!$J$5:$J$434,Countries!$A$5:$A$434,"All landing pages",Countries!$B$5:$B$434,"Paid Search",Countries!$D$5:$D$434,$A96,Countries!$F$5:$F$434,"&gt;0")/SUMIFS(Countries!$F$5:$F$434,Countries!$A$5:$A$434,"All landing pages",Countries!$B$5:$B$434,"Paid Search",Countries!$D$5:$D$434,$A96,Countries!$J$5:$J$434,"&gt;0"))</f>
        <v/>
      </c>
      <c r="D96" s="44">
        <f>IF(OR(B96="",C96=""),"",(C96-B96)*100)</f>
        <v/>
      </c>
      <c r="E96" s="73" t="n"/>
      <c r="F96" s="43">
        <f>IF(SUMIFS(Countries!$E$5:$E$434,Countries!$A$5:$A$434,"All landing pages",Countries!$B$5:$B$434,"Organic",Countries!$D$5:$D$434,$A96,Countries!$I$5:$I$434,"&gt;0")=0,"",SUMIFS(Countries!$I$5:$I$434,Countries!$A$5:$A$434,"All landing pages",Countries!$B$5:$B$434,"Organic",Countries!$D$5:$D$434,$A96,Countries!$E$5:$E$434,"&gt;0")/SUMIFS(Countries!$E$5:$E$434,Countries!$A$5:$A$434,"All landing pages",Countries!$B$5:$B$434,"Organic",Countries!$D$5:$D$434,$A96,Countries!$I$5:$I$434,"&gt;0"))</f>
        <v/>
      </c>
      <c r="G96" s="43">
        <f>IF(SUMIFS(Countries!$F$5:$F$434,Countries!$A$5:$A$434,"All landing pages",Countries!$B$5:$B$434,"Organic",Countries!$D$5:$D$434,$A96,Countries!$J$5:$J$434,"&gt;0")=0,"",SUMIFS(Countries!$J$5:$J$434,Countries!$A$5:$A$434,"All landing pages",Countries!$B$5:$B$434,"Organic",Countries!$D$5:$D$434,$A96,Countries!$F$5:$F$434,"&gt;0")/SUMIFS(Countries!$F$5:$F$434,Countries!$A$5:$A$434,"All landing pages",Countries!$B$5:$B$434,"Organic",Countries!$D$5:$D$434,$A96,Countries!$J$5:$J$434,"&gt;0"))</f>
        <v/>
      </c>
      <c r="H96" s="44">
        <f>IF(OR(F96="",G96=""),"",(G96-F96)*100)</f>
        <v/>
      </c>
      <c r="I96" s="73" t="n"/>
      <c r="J96" s="43">
        <f>IF(SUMIFS(Countries!$E$5:$E$434,Countries!$A$5:$A$434,"All landing pages",Countries!$B$5:$B$434,"Direct",Countries!$D$5:$D$434,$A96,Countries!$I$5:$I$434,"&gt;0")=0,"",SUMIFS(Countries!$I$5:$I$434,Countries!$A$5:$A$434,"All landing pages",Countries!$B$5:$B$434,"Direct",Countries!$D$5:$D$434,$A96,Countries!$E$5:$E$434,"&gt;0")/SUMIFS(Countries!$E$5:$E$434,Countries!$A$5:$A$434,"All landing pages",Countries!$B$5:$B$434,"Direct",Countries!$D$5:$D$434,$A96,Countries!$I$5:$I$434,"&gt;0"))</f>
        <v/>
      </c>
      <c r="K96" s="43">
        <f>IF(SUMIFS(Countries!$F$5:$F$434,Countries!$A$5:$A$434,"All landing pages",Countries!$B$5:$B$434,"Direct",Countries!$D$5:$D$434,$A96,Countries!$J$5:$J$434,"&gt;0")=0,"",SUMIFS(Countries!$J$5:$J$434,Countries!$A$5:$A$434,"All landing pages",Countries!$B$5:$B$434,"Direct",Countries!$D$5:$D$434,$A96,Countries!$F$5:$F$434,"&gt;0")/SUMIFS(Countries!$F$5:$F$434,Countries!$A$5:$A$434,"All landing pages",Countries!$B$5:$B$434,"Direct",Countries!$D$5:$D$434,$A96,Countries!$J$5:$J$434,"&gt;0"))</f>
        <v/>
      </c>
      <c r="L96" s="44">
        <f>IF(OR(J96="",K96=""),"",(K96-J96)*100)</f>
        <v/>
      </c>
      <c r="M96" s="73" t="n"/>
      <c r="N96" s="43">
        <f>IF(SUMIFS(Countries!$E$5:$E$434,Countries!$A$5:$A$434,"All landing pages",Countries!$D$5:$D$434,$A96,Countries!$I$5:$I$434,"&gt;0")=0,"",SUMIFS(Countries!$I$5:$I$434,Countries!$A$5:$A$434,"All landing pages",Countries!$D$5:$D$434,$A96,Countries!$E$5:$E$434,"&gt;0")/SUMIFS(Countries!$E$5:$E$434,Countries!$A$5:$A$434,"All landing pages",Countries!$D$5:$D$434,$A96,Countries!$I$5:$I$434,"&gt;0"))</f>
        <v/>
      </c>
      <c r="O96" s="43">
        <f>IF(SUMIFS(Countries!$F$5:$F$434,Countries!$A$5:$A$434,"All landing pages",Countries!$D$5:$D$434,$A96,Countries!$J$5:$J$434,"&gt;0")=0,"",SUMIFS(Countries!$J$5:$J$434,Countries!$A$5:$A$434,"All landing pages",Countries!$D$5:$D$434,$A96,Countries!$F$5:$F$434,"&gt;0")/SUMIFS(Countries!$F$5:$F$434,Countries!$A$5:$A$434,"All landing pages",Countries!$D$5:$D$434,$A96,Countries!$J$5:$J$434,"&gt;0"))</f>
        <v/>
      </c>
      <c r="P96" s="44">
        <f>IF(OR(N96="",O96=""),"",(O96-N96)*100)</f>
        <v/>
      </c>
      <c r="Q96" s="73" t="n"/>
    </row>
    <row r="97">
      <c r="A97" s="40" t="inlineStr">
        <is>
          <t>Finland</t>
        </is>
      </c>
      <c r="B97" s="43">
        <f>IF(SUMIFS(Countries!$E$5:$E$434,Countries!$A$5:$A$434,"All landing pages",Countries!$B$5:$B$434,"Paid Search",Countries!$D$5:$D$434,$A97,Countries!$I$5:$I$434,"&gt;0")=0,"",SUMIFS(Countries!$I$5:$I$434,Countries!$A$5:$A$434,"All landing pages",Countries!$B$5:$B$434,"Paid Search",Countries!$D$5:$D$434,$A97,Countries!$E$5:$E$434,"&gt;0")/SUMIFS(Countries!$E$5:$E$434,Countries!$A$5:$A$434,"All landing pages",Countries!$B$5:$B$434,"Paid Search",Countries!$D$5:$D$434,$A97,Countries!$I$5:$I$434,"&gt;0"))</f>
        <v/>
      </c>
      <c r="C97" s="43">
        <f>IF(SUMIFS(Countries!$F$5:$F$434,Countries!$A$5:$A$434,"All landing pages",Countries!$B$5:$B$434,"Paid Search",Countries!$D$5:$D$434,$A97,Countries!$J$5:$J$434,"&gt;0")=0,"",SUMIFS(Countries!$J$5:$J$434,Countries!$A$5:$A$434,"All landing pages",Countries!$B$5:$B$434,"Paid Search",Countries!$D$5:$D$434,$A97,Countries!$F$5:$F$434,"&gt;0")/SUMIFS(Countries!$F$5:$F$434,Countries!$A$5:$A$434,"All landing pages",Countries!$B$5:$B$434,"Paid Search",Countries!$D$5:$D$434,$A97,Countries!$J$5:$J$434,"&gt;0"))</f>
        <v/>
      </c>
      <c r="D97" s="44">
        <f>IF(OR(B97="",C97=""),"",(C97-B97)*100)</f>
        <v/>
      </c>
      <c r="E97" s="73" t="n"/>
      <c r="F97" s="43">
        <f>IF(SUMIFS(Countries!$E$5:$E$434,Countries!$A$5:$A$434,"All landing pages",Countries!$B$5:$B$434,"Organic",Countries!$D$5:$D$434,$A97,Countries!$I$5:$I$434,"&gt;0")=0,"",SUMIFS(Countries!$I$5:$I$434,Countries!$A$5:$A$434,"All landing pages",Countries!$B$5:$B$434,"Organic",Countries!$D$5:$D$434,$A97,Countries!$E$5:$E$434,"&gt;0")/SUMIFS(Countries!$E$5:$E$434,Countries!$A$5:$A$434,"All landing pages",Countries!$B$5:$B$434,"Organic",Countries!$D$5:$D$434,$A97,Countries!$I$5:$I$434,"&gt;0"))</f>
        <v/>
      </c>
      <c r="G97" s="43">
        <f>IF(SUMIFS(Countries!$F$5:$F$434,Countries!$A$5:$A$434,"All landing pages",Countries!$B$5:$B$434,"Organic",Countries!$D$5:$D$434,$A97,Countries!$J$5:$J$434,"&gt;0")=0,"",SUMIFS(Countries!$J$5:$J$434,Countries!$A$5:$A$434,"All landing pages",Countries!$B$5:$B$434,"Organic",Countries!$D$5:$D$434,$A97,Countries!$F$5:$F$434,"&gt;0")/SUMIFS(Countries!$F$5:$F$434,Countries!$A$5:$A$434,"All landing pages",Countries!$B$5:$B$434,"Organic",Countries!$D$5:$D$434,$A97,Countries!$J$5:$J$434,"&gt;0"))</f>
        <v/>
      </c>
      <c r="H97" s="44">
        <f>IF(OR(F97="",G97=""),"",(G97-F97)*100)</f>
        <v/>
      </c>
      <c r="I97" s="73" t="n"/>
      <c r="J97" s="43">
        <f>IF(SUMIFS(Countries!$E$5:$E$434,Countries!$A$5:$A$434,"All landing pages",Countries!$B$5:$B$434,"Direct",Countries!$D$5:$D$434,$A97,Countries!$I$5:$I$434,"&gt;0")=0,"",SUMIFS(Countries!$I$5:$I$434,Countries!$A$5:$A$434,"All landing pages",Countries!$B$5:$B$434,"Direct",Countries!$D$5:$D$434,$A97,Countries!$E$5:$E$434,"&gt;0")/SUMIFS(Countries!$E$5:$E$434,Countries!$A$5:$A$434,"All landing pages",Countries!$B$5:$B$434,"Direct",Countries!$D$5:$D$434,$A97,Countries!$I$5:$I$434,"&gt;0"))</f>
        <v/>
      </c>
      <c r="K97" s="43">
        <f>IF(SUMIFS(Countries!$F$5:$F$434,Countries!$A$5:$A$434,"All landing pages",Countries!$B$5:$B$434,"Direct",Countries!$D$5:$D$434,$A97,Countries!$J$5:$J$434,"&gt;0")=0,"",SUMIFS(Countries!$J$5:$J$434,Countries!$A$5:$A$434,"All landing pages",Countries!$B$5:$B$434,"Direct",Countries!$D$5:$D$434,$A97,Countries!$F$5:$F$434,"&gt;0")/SUMIFS(Countries!$F$5:$F$434,Countries!$A$5:$A$434,"All landing pages",Countries!$B$5:$B$434,"Direct",Countries!$D$5:$D$434,$A97,Countries!$J$5:$J$434,"&gt;0"))</f>
        <v/>
      </c>
      <c r="L97" s="44">
        <f>IF(OR(J97="",K97=""),"",(K97-J97)*100)</f>
        <v/>
      </c>
      <c r="M97" s="73" t="n"/>
      <c r="N97" s="43">
        <f>IF(SUMIFS(Countries!$E$5:$E$434,Countries!$A$5:$A$434,"All landing pages",Countries!$D$5:$D$434,$A97,Countries!$I$5:$I$434,"&gt;0")=0,"",SUMIFS(Countries!$I$5:$I$434,Countries!$A$5:$A$434,"All landing pages",Countries!$D$5:$D$434,$A97,Countries!$E$5:$E$434,"&gt;0")/SUMIFS(Countries!$E$5:$E$434,Countries!$A$5:$A$434,"All landing pages",Countries!$D$5:$D$434,$A97,Countries!$I$5:$I$434,"&gt;0"))</f>
        <v/>
      </c>
      <c r="O97" s="43">
        <f>IF(SUMIFS(Countries!$F$5:$F$434,Countries!$A$5:$A$434,"All landing pages",Countries!$D$5:$D$434,$A97,Countries!$J$5:$J$434,"&gt;0")=0,"",SUMIFS(Countries!$J$5:$J$434,Countries!$A$5:$A$434,"All landing pages",Countries!$D$5:$D$434,$A97,Countries!$F$5:$F$434,"&gt;0")/SUMIFS(Countries!$F$5:$F$434,Countries!$A$5:$A$434,"All landing pages",Countries!$D$5:$D$434,$A97,Countries!$J$5:$J$434,"&gt;0"))</f>
        <v/>
      </c>
      <c r="P97" s="44">
        <f>IF(OR(N97="",O97=""),"",(O97-N97)*100)</f>
        <v/>
      </c>
      <c r="Q97" s="73" t="n"/>
    </row>
    <row r="98">
      <c r="A98" s="56" t="inlineStr">
        <is>
          <t>Portugal</t>
        </is>
      </c>
      <c r="B98" s="43">
        <f>IF(SUMIFS(Countries!$E$5:$E$434,Countries!$A$5:$A$434,"All landing pages",Countries!$B$5:$B$434,"Paid Search",Countries!$D$5:$D$434,$A98,Countries!$I$5:$I$434,"&gt;0")=0,"",SUMIFS(Countries!$I$5:$I$434,Countries!$A$5:$A$434,"All landing pages",Countries!$B$5:$B$434,"Paid Search",Countries!$D$5:$D$434,$A98,Countries!$E$5:$E$434,"&gt;0")/SUMIFS(Countries!$E$5:$E$434,Countries!$A$5:$A$434,"All landing pages",Countries!$B$5:$B$434,"Paid Search",Countries!$D$5:$D$434,$A98,Countries!$I$5:$I$434,"&gt;0"))</f>
        <v/>
      </c>
      <c r="C98" s="43">
        <f>IF(SUMIFS(Countries!$F$5:$F$434,Countries!$A$5:$A$434,"All landing pages",Countries!$B$5:$B$434,"Paid Search",Countries!$D$5:$D$434,$A98,Countries!$J$5:$J$434,"&gt;0")=0,"",SUMIFS(Countries!$J$5:$J$434,Countries!$A$5:$A$434,"All landing pages",Countries!$B$5:$B$434,"Paid Search",Countries!$D$5:$D$434,$A98,Countries!$F$5:$F$434,"&gt;0")/SUMIFS(Countries!$F$5:$F$434,Countries!$A$5:$A$434,"All landing pages",Countries!$B$5:$B$434,"Paid Search",Countries!$D$5:$D$434,$A98,Countries!$J$5:$J$434,"&gt;0"))</f>
        <v/>
      </c>
      <c r="D98" s="44">
        <f>IF(OR(B98="",C98=""),"",(C98-B98)*100)</f>
        <v/>
      </c>
      <c r="E98" s="73" t="n"/>
      <c r="F98" s="43">
        <f>IF(SUMIFS(Countries!$E$5:$E$434,Countries!$A$5:$A$434,"All landing pages",Countries!$B$5:$B$434,"Organic",Countries!$D$5:$D$434,$A98,Countries!$I$5:$I$434,"&gt;0")=0,"",SUMIFS(Countries!$I$5:$I$434,Countries!$A$5:$A$434,"All landing pages",Countries!$B$5:$B$434,"Organic",Countries!$D$5:$D$434,$A98,Countries!$E$5:$E$434,"&gt;0")/SUMIFS(Countries!$E$5:$E$434,Countries!$A$5:$A$434,"All landing pages",Countries!$B$5:$B$434,"Organic",Countries!$D$5:$D$434,$A98,Countries!$I$5:$I$434,"&gt;0"))</f>
        <v/>
      </c>
      <c r="G98" s="43">
        <f>IF(SUMIFS(Countries!$F$5:$F$434,Countries!$A$5:$A$434,"All landing pages",Countries!$B$5:$B$434,"Organic",Countries!$D$5:$D$434,$A98,Countries!$J$5:$J$434,"&gt;0")=0,"",SUMIFS(Countries!$J$5:$J$434,Countries!$A$5:$A$434,"All landing pages",Countries!$B$5:$B$434,"Organic",Countries!$D$5:$D$434,$A98,Countries!$F$5:$F$434,"&gt;0")/SUMIFS(Countries!$F$5:$F$434,Countries!$A$5:$A$434,"All landing pages",Countries!$B$5:$B$434,"Organic",Countries!$D$5:$D$434,$A98,Countries!$J$5:$J$434,"&gt;0"))</f>
        <v/>
      </c>
      <c r="H98" s="44">
        <f>IF(OR(F98="",G98=""),"",(G98-F98)*100)</f>
        <v/>
      </c>
      <c r="I98" s="73" t="n"/>
      <c r="J98" s="43">
        <f>IF(SUMIFS(Countries!$E$5:$E$434,Countries!$A$5:$A$434,"All landing pages",Countries!$B$5:$B$434,"Direct",Countries!$D$5:$D$434,$A98,Countries!$I$5:$I$434,"&gt;0")=0,"",SUMIFS(Countries!$I$5:$I$434,Countries!$A$5:$A$434,"All landing pages",Countries!$B$5:$B$434,"Direct",Countries!$D$5:$D$434,$A98,Countries!$E$5:$E$434,"&gt;0")/SUMIFS(Countries!$E$5:$E$434,Countries!$A$5:$A$434,"All landing pages",Countries!$B$5:$B$434,"Direct",Countries!$D$5:$D$434,$A98,Countries!$I$5:$I$434,"&gt;0"))</f>
        <v/>
      </c>
      <c r="K98" s="43">
        <f>IF(SUMIFS(Countries!$F$5:$F$434,Countries!$A$5:$A$434,"All landing pages",Countries!$B$5:$B$434,"Direct",Countries!$D$5:$D$434,$A98,Countries!$J$5:$J$434,"&gt;0")=0,"",SUMIFS(Countries!$J$5:$J$434,Countries!$A$5:$A$434,"All landing pages",Countries!$B$5:$B$434,"Direct",Countries!$D$5:$D$434,$A98,Countries!$F$5:$F$434,"&gt;0")/SUMIFS(Countries!$F$5:$F$434,Countries!$A$5:$A$434,"All landing pages",Countries!$B$5:$B$434,"Direct",Countries!$D$5:$D$434,$A98,Countries!$J$5:$J$434,"&gt;0"))</f>
        <v/>
      </c>
      <c r="L98" s="44">
        <f>IF(OR(J98="",K98=""),"",(K98-J98)*100)</f>
        <v/>
      </c>
      <c r="M98" s="73" t="n"/>
      <c r="N98" s="43">
        <f>IF(SUMIFS(Countries!$E$5:$E$434,Countries!$A$5:$A$434,"All landing pages",Countries!$D$5:$D$434,$A98,Countries!$I$5:$I$434,"&gt;0")=0,"",SUMIFS(Countries!$I$5:$I$434,Countries!$A$5:$A$434,"All landing pages",Countries!$D$5:$D$434,$A98,Countries!$E$5:$E$434,"&gt;0")/SUMIFS(Countries!$E$5:$E$434,Countries!$A$5:$A$434,"All landing pages",Countries!$D$5:$D$434,$A98,Countries!$I$5:$I$434,"&gt;0"))</f>
        <v/>
      </c>
      <c r="O98" s="43">
        <f>IF(SUMIFS(Countries!$F$5:$F$434,Countries!$A$5:$A$434,"All landing pages",Countries!$D$5:$D$434,$A98,Countries!$J$5:$J$434,"&gt;0")=0,"",SUMIFS(Countries!$J$5:$J$434,Countries!$A$5:$A$434,"All landing pages",Countries!$D$5:$D$434,$A98,Countries!$F$5:$F$434,"&gt;0")/SUMIFS(Countries!$F$5:$F$434,Countries!$A$5:$A$434,"All landing pages",Countries!$D$5:$D$434,$A98,Countries!$J$5:$J$434,"&gt;0"))</f>
        <v/>
      </c>
      <c r="P98" s="44">
        <f>IF(OR(N98="",O98=""),"",(O98-N98)*100)</f>
        <v/>
      </c>
      <c r="Q98" s="73" t="n"/>
    </row>
    <row r="99">
      <c r="A99" s="40" t="inlineStr">
        <is>
          <t>Türkiye</t>
        </is>
      </c>
      <c r="B99" s="43">
        <f>IF(SUMIFS(Countries!$E$5:$E$434,Countries!$A$5:$A$434,"All landing pages",Countries!$B$5:$B$434,"Paid Search",Countries!$D$5:$D$434,$A99,Countries!$I$5:$I$434,"&gt;0")=0,"",SUMIFS(Countries!$I$5:$I$434,Countries!$A$5:$A$434,"All landing pages",Countries!$B$5:$B$434,"Paid Search",Countries!$D$5:$D$434,$A99,Countries!$E$5:$E$434,"&gt;0")/SUMIFS(Countries!$E$5:$E$434,Countries!$A$5:$A$434,"All landing pages",Countries!$B$5:$B$434,"Paid Search",Countries!$D$5:$D$434,$A99,Countries!$I$5:$I$434,"&gt;0"))</f>
        <v/>
      </c>
      <c r="C99" s="43">
        <f>IF(SUMIFS(Countries!$F$5:$F$434,Countries!$A$5:$A$434,"All landing pages",Countries!$B$5:$B$434,"Paid Search",Countries!$D$5:$D$434,$A99,Countries!$J$5:$J$434,"&gt;0")=0,"",SUMIFS(Countries!$J$5:$J$434,Countries!$A$5:$A$434,"All landing pages",Countries!$B$5:$B$434,"Paid Search",Countries!$D$5:$D$434,$A99,Countries!$F$5:$F$434,"&gt;0")/SUMIFS(Countries!$F$5:$F$434,Countries!$A$5:$A$434,"All landing pages",Countries!$B$5:$B$434,"Paid Search",Countries!$D$5:$D$434,$A99,Countries!$J$5:$J$434,"&gt;0"))</f>
        <v/>
      </c>
      <c r="D99" s="44">
        <f>IF(OR(B99="",C99=""),"",(C99-B99)*100)</f>
        <v/>
      </c>
      <c r="E99" s="73" t="n"/>
      <c r="F99" s="43">
        <f>IF(SUMIFS(Countries!$E$5:$E$434,Countries!$A$5:$A$434,"All landing pages",Countries!$B$5:$B$434,"Organic",Countries!$D$5:$D$434,$A99,Countries!$I$5:$I$434,"&gt;0")=0,"",SUMIFS(Countries!$I$5:$I$434,Countries!$A$5:$A$434,"All landing pages",Countries!$B$5:$B$434,"Organic",Countries!$D$5:$D$434,$A99,Countries!$E$5:$E$434,"&gt;0")/SUMIFS(Countries!$E$5:$E$434,Countries!$A$5:$A$434,"All landing pages",Countries!$B$5:$B$434,"Organic",Countries!$D$5:$D$434,$A99,Countries!$I$5:$I$434,"&gt;0"))</f>
        <v/>
      </c>
      <c r="G99" s="43">
        <f>IF(SUMIFS(Countries!$F$5:$F$434,Countries!$A$5:$A$434,"All landing pages",Countries!$B$5:$B$434,"Organic",Countries!$D$5:$D$434,$A99,Countries!$J$5:$J$434,"&gt;0")=0,"",SUMIFS(Countries!$J$5:$J$434,Countries!$A$5:$A$434,"All landing pages",Countries!$B$5:$B$434,"Organic",Countries!$D$5:$D$434,$A99,Countries!$F$5:$F$434,"&gt;0")/SUMIFS(Countries!$F$5:$F$434,Countries!$A$5:$A$434,"All landing pages",Countries!$B$5:$B$434,"Organic",Countries!$D$5:$D$434,$A99,Countries!$J$5:$J$434,"&gt;0"))</f>
        <v/>
      </c>
      <c r="H99" s="44">
        <f>IF(OR(F99="",G99=""),"",(G99-F99)*100)</f>
        <v/>
      </c>
      <c r="I99" s="73" t="n"/>
      <c r="J99" s="43">
        <f>IF(SUMIFS(Countries!$E$5:$E$434,Countries!$A$5:$A$434,"All landing pages",Countries!$B$5:$B$434,"Direct",Countries!$D$5:$D$434,$A99,Countries!$I$5:$I$434,"&gt;0")=0,"",SUMIFS(Countries!$I$5:$I$434,Countries!$A$5:$A$434,"All landing pages",Countries!$B$5:$B$434,"Direct",Countries!$D$5:$D$434,$A99,Countries!$E$5:$E$434,"&gt;0")/SUMIFS(Countries!$E$5:$E$434,Countries!$A$5:$A$434,"All landing pages",Countries!$B$5:$B$434,"Direct",Countries!$D$5:$D$434,$A99,Countries!$I$5:$I$434,"&gt;0"))</f>
        <v/>
      </c>
      <c r="K99" s="43">
        <f>IF(SUMIFS(Countries!$F$5:$F$434,Countries!$A$5:$A$434,"All landing pages",Countries!$B$5:$B$434,"Direct",Countries!$D$5:$D$434,$A99,Countries!$J$5:$J$434,"&gt;0")=0,"",SUMIFS(Countries!$J$5:$J$434,Countries!$A$5:$A$434,"All landing pages",Countries!$B$5:$B$434,"Direct",Countries!$D$5:$D$434,$A99,Countries!$F$5:$F$434,"&gt;0")/SUMIFS(Countries!$F$5:$F$434,Countries!$A$5:$A$434,"All landing pages",Countries!$B$5:$B$434,"Direct",Countries!$D$5:$D$434,$A99,Countries!$J$5:$J$434,"&gt;0"))</f>
        <v/>
      </c>
      <c r="L99" s="44">
        <f>IF(OR(J99="",K99=""),"",(K99-J99)*100)</f>
        <v/>
      </c>
      <c r="M99" s="73" t="n"/>
      <c r="N99" s="43">
        <f>IF(SUMIFS(Countries!$E$5:$E$434,Countries!$A$5:$A$434,"All landing pages",Countries!$D$5:$D$434,$A99,Countries!$I$5:$I$434,"&gt;0")=0,"",SUMIFS(Countries!$I$5:$I$434,Countries!$A$5:$A$434,"All landing pages",Countries!$D$5:$D$434,$A99,Countries!$E$5:$E$434,"&gt;0")/SUMIFS(Countries!$E$5:$E$434,Countries!$A$5:$A$434,"All landing pages",Countries!$D$5:$D$434,$A99,Countries!$I$5:$I$434,"&gt;0"))</f>
        <v/>
      </c>
      <c r="O99" s="43">
        <f>IF(SUMIFS(Countries!$F$5:$F$434,Countries!$A$5:$A$434,"All landing pages",Countries!$D$5:$D$434,$A99,Countries!$J$5:$J$434,"&gt;0")=0,"",SUMIFS(Countries!$J$5:$J$434,Countries!$A$5:$A$434,"All landing pages",Countries!$D$5:$D$434,$A99,Countries!$F$5:$F$434,"&gt;0")/SUMIFS(Countries!$F$5:$F$434,Countries!$A$5:$A$434,"All landing pages",Countries!$D$5:$D$434,$A99,Countries!$J$5:$J$434,"&gt;0"))</f>
        <v/>
      </c>
      <c r="P99" s="44">
        <f>IF(OR(N99="",O99=""),"",(O99-N99)*100)</f>
        <v/>
      </c>
      <c r="Q99" s="73" t="n"/>
    </row>
    <row r="100">
      <c r="A100" s="56" t="inlineStr">
        <is>
          <t>Australia</t>
        </is>
      </c>
      <c r="B100" s="43">
        <f>IF(SUMIFS(Countries!$E$5:$E$434,Countries!$A$5:$A$434,"All landing pages",Countries!$B$5:$B$434,"Paid Search",Countries!$D$5:$D$434,$A100,Countries!$I$5:$I$434,"&gt;0")=0,"",SUMIFS(Countries!$I$5:$I$434,Countries!$A$5:$A$434,"All landing pages",Countries!$B$5:$B$434,"Paid Search",Countries!$D$5:$D$434,$A100,Countries!$E$5:$E$434,"&gt;0")/SUMIFS(Countries!$E$5:$E$434,Countries!$A$5:$A$434,"All landing pages",Countries!$B$5:$B$434,"Paid Search",Countries!$D$5:$D$434,$A100,Countries!$I$5:$I$434,"&gt;0"))</f>
        <v/>
      </c>
      <c r="C100" s="43">
        <f>IF(SUMIFS(Countries!$F$5:$F$434,Countries!$A$5:$A$434,"All landing pages",Countries!$B$5:$B$434,"Paid Search",Countries!$D$5:$D$434,$A100,Countries!$J$5:$J$434,"&gt;0")=0,"",SUMIFS(Countries!$J$5:$J$434,Countries!$A$5:$A$434,"All landing pages",Countries!$B$5:$B$434,"Paid Search",Countries!$D$5:$D$434,$A100,Countries!$F$5:$F$434,"&gt;0")/SUMIFS(Countries!$F$5:$F$434,Countries!$A$5:$A$434,"All landing pages",Countries!$B$5:$B$434,"Paid Search",Countries!$D$5:$D$434,$A100,Countries!$J$5:$J$434,"&gt;0"))</f>
        <v/>
      </c>
      <c r="D100" s="44">
        <f>IF(OR(B100="",C100=""),"",(C100-B100)*100)</f>
        <v/>
      </c>
      <c r="E100" s="73" t="n"/>
      <c r="F100" s="43">
        <f>IF(SUMIFS(Countries!$E$5:$E$434,Countries!$A$5:$A$434,"All landing pages",Countries!$B$5:$B$434,"Organic",Countries!$D$5:$D$434,$A100,Countries!$I$5:$I$434,"&gt;0")=0,"",SUMIFS(Countries!$I$5:$I$434,Countries!$A$5:$A$434,"All landing pages",Countries!$B$5:$B$434,"Organic",Countries!$D$5:$D$434,$A100,Countries!$E$5:$E$434,"&gt;0")/SUMIFS(Countries!$E$5:$E$434,Countries!$A$5:$A$434,"All landing pages",Countries!$B$5:$B$434,"Organic",Countries!$D$5:$D$434,$A100,Countries!$I$5:$I$434,"&gt;0"))</f>
        <v/>
      </c>
      <c r="G100" s="43">
        <f>IF(SUMIFS(Countries!$F$5:$F$434,Countries!$A$5:$A$434,"All landing pages",Countries!$B$5:$B$434,"Organic",Countries!$D$5:$D$434,$A100,Countries!$J$5:$J$434,"&gt;0")=0,"",SUMIFS(Countries!$J$5:$J$434,Countries!$A$5:$A$434,"All landing pages",Countries!$B$5:$B$434,"Organic",Countries!$D$5:$D$434,$A100,Countries!$F$5:$F$434,"&gt;0")/SUMIFS(Countries!$F$5:$F$434,Countries!$A$5:$A$434,"All landing pages",Countries!$B$5:$B$434,"Organic",Countries!$D$5:$D$434,$A100,Countries!$J$5:$J$434,"&gt;0"))</f>
        <v/>
      </c>
      <c r="H100" s="44">
        <f>IF(OR(F100="",G100=""),"",(G100-F100)*100)</f>
        <v/>
      </c>
      <c r="I100" s="73" t="n"/>
      <c r="J100" s="43">
        <f>IF(SUMIFS(Countries!$E$5:$E$434,Countries!$A$5:$A$434,"All landing pages",Countries!$B$5:$B$434,"Direct",Countries!$D$5:$D$434,$A100,Countries!$I$5:$I$434,"&gt;0")=0,"",SUMIFS(Countries!$I$5:$I$434,Countries!$A$5:$A$434,"All landing pages",Countries!$B$5:$B$434,"Direct",Countries!$D$5:$D$434,$A100,Countries!$E$5:$E$434,"&gt;0")/SUMIFS(Countries!$E$5:$E$434,Countries!$A$5:$A$434,"All landing pages",Countries!$B$5:$B$434,"Direct",Countries!$D$5:$D$434,$A100,Countries!$I$5:$I$434,"&gt;0"))</f>
        <v/>
      </c>
      <c r="K100" s="43">
        <f>IF(SUMIFS(Countries!$F$5:$F$434,Countries!$A$5:$A$434,"All landing pages",Countries!$B$5:$B$434,"Direct",Countries!$D$5:$D$434,$A100,Countries!$J$5:$J$434,"&gt;0")=0,"",SUMIFS(Countries!$J$5:$J$434,Countries!$A$5:$A$434,"All landing pages",Countries!$B$5:$B$434,"Direct",Countries!$D$5:$D$434,$A100,Countries!$F$5:$F$434,"&gt;0")/SUMIFS(Countries!$F$5:$F$434,Countries!$A$5:$A$434,"All landing pages",Countries!$B$5:$B$434,"Direct",Countries!$D$5:$D$434,$A100,Countries!$J$5:$J$434,"&gt;0"))</f>
        <v/>
      </c>
      <c r="L100" s="44">
        <f>IF(OR(J100="",K100=""),"",(K100-J100)*100)</f>
        <v/>
      </c>
      <c r="M100" s="73" t="n"/>
      <c r="N100" s="43">
        <f>IF(SUMIFS(Countries!$E$5:$E$434,Countries!$A$5:$A$434,"All landing pages",Countries!$D$5:$D$434,$A100,Countries!$I$5:$I$434,"&gt;0")=0,"",SUMIFS(Countries!$I$5:$I$434,Countries!$A$5:$A$434,"All landing pages",Countries!$D$5:$D$434,$A100,Countries!$E$5:$E$434,"&gt;0")/SUMIFS(Countries!$E$5:$E$434,Countries!$A$5:$A$434,"All landing pages",Countries!$D$5:$D$434,$A100,Countries!$I$5:$I$434,"&gt;0"))</f>
        <v/>
      </c>
      <c r="O100" s="43">
        <f>IF(SUMIFS(Countries!$F$5:$F$434,Countries!$A$5:$A$434,"All landing pages",Countries!$D$5:$D$434,$A100,Countries!$J$5:$J$434,"&gt;0")=0,"",SUMIFS(Countries!$J$5:$J$434,Countries!$A$5:$A$434,"All landing pages",Countries!$D$5:$D$434,$A100,Countries!$F$5:$F$434,"&gt;0")/SUMIFS(Countries!$F$5:$F$434,Countries!$A$5:$A$434,"All landing pages",Countries!$D$5:$D$434,$A100,Countries!$J$5:$J$434,"&gt;0"))</f>
        <v/>
      </c>
      <c r="P100" s="44">
        <f>IF(OR(N100="",O100=""),"",(O100-N100)*100)</f>
        <v/>
      </c>
      <c r="Q100" s="73" t="n"/>
    </row>
    <row r="101">
      <c r="A101" s="40" t="inlineStr">
        <is>
          <t>Romania</t>
        </is>
      </c>
      <c r="B101" s="43">
        <f>IF(SUMIFS(Countries!$E$5:$E$434,Countries!$A$5:$A$434,"All landing pages",Countries!$B$5:$B$434,"Paid Search",Countries!$D$5:$D$434,$A101,Countries!$I$5:$I$434,"&gt;0")=0,"",SUMIFS(Countries!$I$5:$I$434,Countries!$A$5:$A$434,"All landing pages",Countries!$B$5:$B$434,"Paid Search",Countries!$D$5:$D$434,$A101,Countries!$E$5:$E$434,"&gt;0")/SUMIFS(Countries!$E$5:$E$434,Countries!$A$5:$A$434,"All landing pages",Countries!$B$5:$B$434,"Paid Search",Countries!$D$5:$D$434,$A101,Countries!$I$5:$I$434,"&gt;0"))</f>
        <v/>
      </c>
      <c r="C101" s="43">
        <f>IF(SUMIFS(Countries!$F$5:$F$434,Countries!$A$5:$A$434,"All landing pages",Countries!$B$5:$B$434,"Paid Search",Countries!$D$5:$D$434,$A101,Countries!$J$5:$J$434,"&gt;0")=0,"",SUMIFS(Countries!$J$5:$J$434,Countries!$A$5:$A$434,"All landing pages",Countries!$B$5:$B$434,"Paid Search",Countries!$D$5:$D$434,$A101,Countries!$F$5:$F$434,"&gt;0")/SUMIFS(Countries!$F$5:$F$434,Countries!$A$5:$A$434,"All landing pages",Countries!$B$5:$B$434,"Paid Search",Countries!$D$5:$D$434,$A101,Countries!$J$5:$J$434,"&gt;0"))</f>
        <v/>
      </c>
      <c r="D101" s="44">
        <f>IF(OR(B101="",C101=""),"",(C101-B101)*100)</f>
        <v/>
      </c>
      <c r="E101" s="73" t="n"/>
      <c r="F101" s="43">
        <f>IF(SUMIFS(Countries!$E$5:$E$434,Countries!$A$5:$A$434,"All landing pages",Countries!$B$5:$B$434,"Organic",Countries!$D$5:$D$434,$A101,Countries!$I$5:$I$434,"&gt;0")=0,"",SUMIFS(Countries!$I$5:$I$434,Countries!$A$5:$A$434,"All landing pages",Countries!$B$5:$B$434,"Organic",Countries!$D$5:$D$434,$A101,Countries!$E$5:$E$434,"&gt;0")/SUMIFS(Countries!$E$5:$E$434,Countries!$A$5:$A$434,"All landing pages",Countries!$B$5:$B$434,"Organic",Countries!$D$5:$D$434,$A101,Countries!$I$5:$I$434,"&gt;0"))</f>
        <v/>
      </c>
      <c r="G101" s="43">
        <f>IF(SUMIFS(Countries!$F$5:$F$434,Countries!$A$5:$A$434,"All landing pages",Countries!$B$5:$B$434,"Organic",Countries!$D$5:$D$434,$A101,Countries!$J$5:$J$434,"&gt;0")=0,"",SUMIFS(Countries!$J$5:$J$434,Countries!$A$5:$A$434,"All landing pages",Countries!$B$5:$B$434,"Organic",Countries!$D$5:$D$434,$A101,Countries!$F$5:$F$434,"&gt;0")/SUMIFS(Countries!$F$5:$F$434,Countries!$A$5:$A$434,"All landing pages",Countries!$B$5:$B$434,"Organic",Countries!$D$5:$D$434,$A101,Countries!$J$5:$J$434,"&gt;0"))</f>
        <v/>
      </c>
      <c r="H101" s="44">
        <f>IF(OR(F101="",G101=""),"",(G101-F101)*100)</f>
        <v/>
      </c>
      <c r="I101" s="73" t="n"/>
      <c r="J101" s="43">
        <f>IF(SUMIFS(Countries!$E$5:$E$434,Countries!$A$5:$A$434,"All landing pages",Countries!$B$5:$B$434,"Direct",Countries!$D$5:$D$434,$A101,Countries!$I$5:$I$434,"&gt;0")=0,"",SUMIFS(Countries!$I$5:$I$434,Countries!$A$5:$A$434,"All landing pages",Countries!$B$5:$B$434,"Direct",Countries!$D$5:$D$434,$A101,Countries!$E$5:$E$434,"&gt;0")/SUMIFS(Countries!$E$5:$E$434,Countries!$A$5:$A$434,"All landing pages",Countries!$B$5:$B$434,"Direct",Countries!$D$5:$D$434,$A101,Countries!$I$5:$I$434,"&gt;0"))</f>
        <v/>
      </c>
      <c r="K101" s="43">
        <f>IF(SUMIFS(Countries!$F$5:$F$434,Countries!$A$5:$A$434,"All landing pages",Countries!$B$5:$B$434,"Direct",Countries!$D$5:$D$434,$A101,Countries!$J$5:$J$434,"&gt;0")=0,"",SUMIFS(Countries!$J$5:$J$434,Countries!$A$5:$A$434,"All landing pages",Countries!$B$5:$B$434,"Direct",Countries!$D$5:$D$434,$A101,Countries!$F$5:$F$434,"&gt;0")/SUMIFS(Countries!$F$5:$F$434,Countries!$A$5:$A$434,"All landing pages",Countries!$B$5:$B$434,"Direct",Countries!$D$5:$D$434,$A101,Countries!$J$5:$J$434,"&gt;0"))</f>
        <v/>
      </c>
      <c r="L101" s="44">
        <f>IF(OR(J101="",K101=""),"",(K101-J101)*100)</f>
        <v/>
      </c>
      <c r="M101" s="73" t="n"/>
      <c r="N101" s="43">
        <f>IF(SUMIFS(Countries!$E$5:$E$434,Countries!$A$5:$A$434,"All landing pages",Countries!$D$5:$D$434,$A101,Countries!$I$5:$I$434,"&gt;0")=0,"",SUMIFS(Countries!$I$5:$I$434,Countries!$A$5:$A$434,"All landing pages",Countries!$D$5:$D$434,$A101,Countries!$E$5:$E$434,"&gt;0")/SUMIFS(Countries!$E$5:$E$434,Countries!$A$5:$A$434,"All landing pages",Countries!$D$5:$D$434,$A101,Countries!$I$5:$I$434,"&gt;0"))</f>
        <v/>
      </c>
      <c r="O101" s="43">
        <f>IF(SUMIFS(Countries!$F$5:$F$434,Countries!$A$5:$A$434,"All landing pages",Countries!$D$5:$D$434,$A101,Countries!$J$5:$J$434,"&gt;0")=0,"",SUMIFS(Countries!$J$5:$J$434,Countries!$A$5:$A$434,"All landing pages",Countries!$D$5:$D$434,$A101,Countries!$F$5:$F$434,"&gt;0")/SUMIFS(Countries!$F$5:$F$434,Countries!$A$5:$A$434,"All landing pages",Countries!$D$5:$D$434,$A101,Countries!$J$5:$J$434,"&gt;0"))</f>
        <v/>
      </c>
      <c r="P101" s="44">
        <f>IF(OR(N101="",O101=""),"",(O101-N101)*100)</f>
        <v/>
      </c>
      <c r="Q101" s="73" t="n"/>
    </row>
    <row r="102">
      <c r="A102" s="56" t="inlineStr">
        <is>
          <t>Canada</t>
        </is>
      </c>
      <c r="B102" s="43">
        <f>IF(SUMIFS(Countries!$E$5:$E$434,Countries!$A$5:$A$434,"All landing pages",Countries!$B$5:$B$434,"Paid Search",Countries!$D$5:$D$434,$A102,Countries!$I$5:$I$434,"&gt;0")=0,"",SUMIFS(Countries!$I$5:$I$434,Countries!$A$5:$A$434,"All landing pages",Countries!$B$5:$B$434,"Paid Search",Countries!$D$5:$D$434,$A102,Countries!$E$5:$E$434,"&gt;0")/SUMIFS(Countries!$E$5:$E$434,Countries!$A$5:$A$434,"All landing pages",Countries!$B$5:$B$434,"Paid Search",Countries!$D$5:$D$434,$A102,Countries!$I$5:$I$434,"&gt;0"))</f>
        <v/>
      </c>
      <c r="C102" s="43">
        <f>IF(SUMIFS(Countries!$F$5:$F$434,Countries!$A$5:$A$434,"All landing pages",Countries!$B$5:$B$434,"Paid Search",Countries!$D$5:$D$434,$A102,Countries!$J$5:$J$434,"&gt;0")=0,"",SUMIFS(Countries!$J$5:$J$434,Countries!$A$5:$A$434,"All landing pages",Countries!$B$5:$B$434,"Paid Search",Countries!$D$5:$D$434,$A102,Countries!$F$5:$F$434,"&gt;0")/SUMIFS(Countries!$F$5:$F$434,Countries!$A$5:$A$434,"All landing pages",Countries!$B$5:$B$434,"Paid Search",Countries!$D$5:$D$434,$A102,Countries!$J$5:$J$434,"&gt;0"))</f>
        <v/>
      </c>
      <c r="D102" s="44">
        <f>IF(OR(B102="",C102=""),"",(C102-B102)*100)</f>
        <v/>
      </c>
      <c r="E102" s="73" t="n"/>
      <c r="F102" s="43">
        <f>IF(SUMIFS(Countries!$E$5:$E$434,Countries!$A$5:$A$434,"All landing pages",Countries!$B$5:$B$434,"Organic",Countries!$D$5:$D$434,$A102,Countries!$I$5:$I$434,"&gt;0")=0,"",SUMIFS(Countries!$I$5:$I$434,Countries!$A$5:$A$434,"All landing pages",Countries!$B$5:$B$434,"Organic",Countries!$D$5:$D$434,$A102,Countries!$E$5:$E$434,"&gt;0")/SUMIFS(Countries!$E$5:$E$434,Countries!$A$5:$A$434,"All landing pages",Countries!$B$5:$B$434,"Organic",Countries!$D$5:$D$434,$A102,Countries!$I$5:$I$434,"&gt;0"))</f>
        <v/>
      </c>
      <c r="G102" s="43">
        <f>IF(SUMIFS(Countries!$F$5:$F$434,Countries!$A$5:$A$434,"All landing pages",Countries!$B$5:$B$434,"Organic",Countries!$D$5:$D$434,$A102,Countries!$J$5:$J$434,"&gt;0")=0,"",SUMIFS(Countries!$J$5:$J$434,Countries!$A$5:$A$434,"All landing pages",Countries!$B$5:$B$434,"Organic",Countries!$D$5:$D$434,$A102,Countries!$F$5:$F$434,"&gt;0")/SUMIFS(Countries!$F$5:$F$434,Countries!$A$5:$A$434,"All landing pages",Countries!$B$5:$B$434,"Organic",Countries!$D$5:$D$434,$A102,Countries!$J$5:$J$434,"&gt;0"))</f>
        <v/>
      </c>
      <c r="H102" s="44">
        <f>IF(OR(F102="",G102=""),"",(G102-F102)*100)</f>
        <v/>
      </c>
      <c r="I102" s="73" t="n"/>
      <c r="J102" s="43">
        <f>IF(SUMIFS(Countries!$E$5:$E$434,Countries!$A$5:$A$434,"All landing pages",Countries!$B$5:$B$434,"Direct",Countries!$D$5:$D$434,$A102,Countries!$I$5:$I$434,"&gt;0")=0,"",SUMIFS(Countries!$I$5:$I$434,Countries!$A$5:$A$434,"All landing pages",Countries!$B$5:$B$434,"Direct",Countries!$D$5:$D$434,$A102,Countries!$E$5:$E$434,"&gt;0")/SUMIFS(Countries!$E$5:$E$434,Countries!$A$5:$A$434,"All landing pages",Countries!$B$5:$B$434,"Direct",Countries!$D$5:$D$434,$A102,Countries!$I$5:$I$434,"&gt;0"))</f>
        <v/>
      </c>
      <c r="K102" s="43">
        <f>IF(SUMIFS(Countries!$F$5:$F$434,Countries!$A$5:$A$434,"All landing pages",Countries!$B$5:$B$434,"Direct",Countries!$D$5:$D$434,$A102,Countries!$J$5:$J$434,"&gt;0")=0,"",SUMIFS(Countries!$J$5:$J$434,Countries!$A$5:$A$434,"All landing pages",Countries!$B$5:$B$434,"Direct",Countries!$D$5:$D$434,$A102,Countries!$F$5:$F$434,"&gt;0")/SUMIFS(Countries!$F$5:$F$434,Countries!$A$5:$A$434,"All landing pages",Countries!$B$5:$B$434,"Direct",Countries!$D$5:$D$434,$A102,Countries!$J$5:$J$434,"&gt;0"))</f>
        <v/>
      </c>
      <c r="L102" s="44">
        <f>IF(OR(J102="",K102=""),"",(K102-J102)*100)</f>
        <v/>
      </c>
      <c r="M102" s="73" t="n"/>
      <c r="N102" s="43">
        <f>IF(SUMIFS(Countries!$E$5:$E$434,Countries!$A$5:$A$434,"All landing pages",Countries!$D$5:$D$434,$A102,Countries!$I$5:$I$434,"&gt;0")=0,"",SUMIFS(Countries!$I$5:$I$434,Countries!$A$5:$A$434,"All landing pages",Countries!$D$5:$D$434,$A102,Countries!$E$5:$E$434,"&gt;0")/SUMIFS(Countries!$E$5:$E$434,Countries!$A$5:$A$434,"All landing pages",Countries!$D$5:$D$434,$A102,Countries!$I$5:$I$434,"&gt;0"))</f>
        <v/>
      </c>
      <c r="O102" s="43">
        <f>IF(SUMIFS(Countries!$F$5:$F$434,Countries!$A$5:$A$434,"All landing pages",Countries!$D$5:$D$434,$A102,Countries!$J$5:$J$434,"&gt;0")=0,"",SUMIFS(Countries!$J$5:$J$434,Countries!$A$5:$A$434,"All landing pages",Countries!$D$5:$D$434,$A102,Countries!$F$5:$F$434,"&gt;0")/SUMIFS(Countries!$F$5:$F$434,Countries!$A$5:$A$434,"All landing pages",Countries!$D$5:$D$434,$A102,Countries!$J$5:$J$434,"&gt;0"))</f>
        <v/>
      </c>
      <c r="P102" s="44">
        <f>IF(OR(N102="",O102=""),"",(O102-N102)*100)</f>
        <v/>
      </c>
      <c r="Q102" s="73" t="n"/>
    </row>
    <row r="103">
      <c r="A103" s="40" t="inlineStr">
        <is>
          <t>Greece</t>
        </is>
      </c>
      <c r="B103" s="43">
        <f>IF(SUMIFS(Countries!$E$5:$E$434,Countries!$A$5:$A$434,"All landing pages",Countries!$B$5:$B$434,"Paid Search",Countries!$D$5:$D$434,$A103,Countries!$I$5:$I$434,"&gt;0")=0,"",SUMIFS(Countries!$I$5:$I$434,Countries!$A$5:$A$434,"All landing pages",Countries!$B$5:$B$434,"Paid Search",Countries!$D$5:$D$434,$A103,Countries!$E$5:$E$434,"&gt;0")/SUMIFS(Countries!$E$5:$E$434,Countries!$A$5:$A$434,"All landing pages",Countries!$B$5:$B$434,"Paid Search",Countries!$D$5:$D$434,$A103,Countries!$I$5:$I$434,"&gt;0"))</f>
        <v/>
      </c>
      <c r="C103" s="43">
        <f>IF(SUMIFS(Countries!$F$5:$F$434,Countries!$A$5:$A$434,"All landing pages",Countries!$B$5:$B$434,"Paid Search",Countries!$D$5:$D$434,$A103,Countries!$J$5:$J$434,"&gt;0")=0,"",SUMIFS(Countries!$J$5:$J$434,Countries!$A$5:$A$434,"All landing pages",Countries!$B$5:$B$434,"Paid Search",Countries!$D$5:$D$434,$A103,Countries!$F$5:$F$434,"&gt;0")/SUMIFS(Countries!$F$5:$F$434,Countries!$A$5:$A$434,"All landing pages",Countries!$B$5:$B$434,"Paid Search",Countries!$D$5:$D$434,$A103,Countries!$J$5:$J$434,"&gt;0"))</f>
        <v/>
      </c>
      <c r="D103" s="44">
        <f>IF(OR(B103="",C103=""),"",(C103-B103)*100)</f>
        <v/>
      </c>
      <c r="E103" s="73" t="n"/>
      <c r="F103" s="43">
        <f>IF(SUMIFS(Countries!$E$5:$E$434,Countries!$A$5:$A$434,"All landing pages",Countries!$B$5:$B$434,"Organic",Countries!$D$5:$D$434,$A103,Countries!$I$5:$I$434,"&gt;0")=0,"",SUMIFS(Countries!$I$5:$I$434,Countries!$A$5:$A$434,"All landing pages",Countries!$B$5:$B$434,"Organic",Countries!$D$5:$D$434,$A103,Countries!$E$5:$E$434,"&gt;0")/SUMIFS(Countries!$E$5:$E$434,Countries!$A$5:$A$434,"All landing pages",Countries!$B$5:$B$434,"Organic",Countries!$D$5:$D$434,$A103,Countries!$I$5:$I$434,"&gt;0"))</f>
        <v/>
      </c>
      <c r="G103" s="43">
        <f>IF(SUMIFS(Countries!$F$5:$F$434,Countries!$A$5:$A$434,"All landing pages",Countries!$B$5:$B$434,"Organic",Countries!$D$5:$D$434,$A103,Countries!$J$5:$J$434,"&gt;0")=0,"",SUMIFS(Countries!$J$5:$J$434,Countries!$A$5:$A$434,"All landing pages",Countries!$B$5:$B$434,"Organic",Countries!$D$5:$D$434,$A103,Countries!$F$5:$F$434,"&gt;0")/SUMIFS(Countries!$F$5:$F$434,Countries!$A$5:$A$434,"All landing pages",Countries!$B$5:$B$434,"Organic",Countries!$D$5:$D$434,$A103,Countries!$J$5:$J$434,"&gt;0"))</f>
        <v/>
      </c>
      <c r="H103" s="44">
        <f>IF(OR(F103="",G103=""),"",(G103-F103)*100)</f>
        <v/>
      </c>
      <c r="I103" s="73" t="n"/>
      <c r="J103" s="43">
        <f>IF(SUMIFS(Countries!$E$5:$E$434,Countries!$A$5:$A$434,"All landing pages",Countries!$B$5:$B$434,"Direct",Countries!$D$5:$D$434,$A103,Countries!$I$5:$I$434,"&gt;0")=0,"",SUMIFS(Countries!$I$5:$I$434,Countries!$A$5:$A$434,"All landing pages",Countries!$B$5:$B$434,"Direct",Countries!$D$5:$D$434,$A103,Countries!$E$5:$E$434,"&gt;0")/SUMIFS(Countries!$E$5:$E$434,Countries!$A$5:$A$434,"All landing pages",Countries!$B$5:$B$434,"Direct",Countries!$D$5:$D$434,$A103,Countries!$I$5:$I$434,"&gt;0"))</f>
        <v/>
      </c>
      <c r="K103" s="43">
        <f>IF(SUMIFS(Countries!$F$5:$F$434,Countries!$A$5:$A$434,"All landing pages",Countries!$B$5:$B$434,"Direct",Countries!$D$5:$D$434,$A103,Countries!$J$5:$J$434,"&gt;0")=0,"",SUMIFS(Countries!$J$5:$J$434,Countries!$A$5:$A$434,"All landing pages",Countries!$B$5:$B$434,"Direct",Countries!$D$5:$D$434,$A103,Countries!$F$5:$F$434,"&gt;0")/SUMIFS(Countries!$F$5:$F$434,Countries!$A$5:$A$434,"All landing pages",Countries!$B$5:$B$434,"Direct",Countries!$D$5:$D$434,$A103,Countries!$J$5:$J$434,"&gt;0"))</f>
        <v/>
      </c>
      <c r="L103" s="44">
        <f>IF(OR(J103="",K103=""),"",(K103-J103)*100)</f>
        <v/>
      </c>
      <c r="M103" s="73" t="n"/>
      <c r="N103" s="43">
        <f>IF(SUMIFS(Countries!$E$5:$E$434,Countries!$A$5:$A$434,"All landing pages",Countries!$D$5:$D$434,$A103,Countries!$I$5:$I$434,"&gt;0")=0,"",SUMIFS(Countries!$I$5:$I$434,Countries!$A$5:$A$434,"All landing pages",Countries!$D$5:$D$434,$A103,Countries!$E$5:$E$434,"&gt;0")/SUMIFS(Countries!$E$5:$E$434,Countries!$A$5:$A$434,"All landing pages",Countries!$D$5:$D$434,$A103,Countries!$I$5:$I$434,"&gt;0"))</f>
        <v/>
      </c>
      <c r="O103" s="43">
        <f>IF(SUMIFS(Countries!$F$5:$F$434,Countries!$A$5:$A$434,"All landing pages",Countries!$D$5:$D$434,$A103,Countries!$J$5:$J$434,"&gt;0")=0,"",SUMIFS(Countries!$J$5:$J$434,Countries!$A$5:$A$434,"All landing pages",Countries!$D$5:$D$434,$A103,Countries!$F$5:$F$434,"&gt;0")/SUMIFS(Countries!$F$5:$F$434,Countries!$A$5:$A$434,"All landing pages",Countries!$D$5:$D$434,$A103,Countries!$J$5:$J$434,"&gt;0"))</f>
        <v/>
      </c>
      <c r="P103" s="44">
        <f>IF(OR(N103="",O103=""),"",(O103-N103)*100)</f>
        <v/>
      </c>
      <c r="Q103" s="73" t="n"/>
    </row>
    <row r="104">
      <c r="A104" s="56" t="inlineStr">
        <is>
          <t>Switzerland</t>
        </is>
      </c>
      <c r="B104" s="43">
        <f>IF(SUMIFS(Countries!$E$5:$E$434,Countries!$A$5:$A$434,"All landing pages",Countries!$B$5:$B$434,"Paid Search",Countries!$D$5:$D$434,$A104,Countries!$I$5:$I$434,"&gt;0")=0,"",SUMIFS(Countries!$I$5:$I$434,Countries!$A$5:$A$434,"All landing pages",Countries!$B$5:$B$434,"Paid Search",Countries!$D$5:$D$434,$A104,Countries!$E$5:$E$434,"&gt;0")/SUMIFS(Countries!$E$5:$E$434,Countries!$A$5:$A$434,"All landing pages",Countries!$B$5:$B$434,"Paid Search",Countries!$D$5:$D$434,$A104,Countries!$I$5:$I$434,"&gt;0"))</f>
        <v/>
      </c>
      <c r="C104" s="43">
        <f>IF(SUMIFS(Countries!$F$5:$F$434,Countries!$A$5:$A$434,"All landing pages",Countries!$B$5:$B$434,"Paid Search",Countries!$D$5:$D$434,$A104,Countries!$J$5:$J$434,"&gt;0")=0,"",SUMIFS(Countries!$J$5:$J$434,Countries!$A$5:$A$434,"All landing pages",Countries!$B$5:$B$434,"Paid Search",Countries!$D$5:$D$434,$A104,Countries!$F$5:$F$434,"&gt;0")/SUMIFS(Countries!$F$5:$F$434,Countries!$A$5:$A$434,"All landing pages",Countries!$B$5:$B$434,"Paid Search",Countries!$D$5:$D$434,$A104,Countries!$J$5:$J$434,"&gt;0"))</f>
        <v/>
      </c>
      <c r="D104" s="44">
        <f>IF(OR(B104="",C104=""),"",(C104-B104)*100)</f>
        <v/>
      </c>
      <c r="E104" s="73" t="n"/>
      <c r="F104" s="43">
        <f>IF(SUMIFS(Countries!$E$5:$E$434,Countries!$A$5:$A$434,"All landing pages",Countries!$B$5:$B$434,"Organic",Countries!$D$5:$D$434,$A104,Countries!$I$5:$I$434,"&gt;0")=0,"",SUMIFS(Countries!$I$5:$I$434,Countries!$A$5:$A$434,"All landing pages",Countries!$B$5:$B$434,"Organic",Countries!$D$5:$D$434,$A104,Countries!$E$5:$E$434,"&gt;0")/SUMIFS(Countries!$E$5:$E$434,Countries!$A$5:$A$434,"All landing pages",Countries!$B$5:$B$434,"Organic",Countries!$D$5:$D$434,$A104,Countries!$I$5:$I$434,"&gt;0"))</f>
        <v/>
      </c>
      <c r="G104" s="43">
        <f>IF(SUMIFS(Countries!$F$5:$F$434,Countries!$A$5:$A$434,"All landing pages",Countries!$B$5:$B$434,"Organic",Countries!$D$5:$D$434,$A104,Countries!$J$5:$J$434,"&gt;0")=0,"",SUMIFS(Countries!$J$5:$J$434,Countries!$A$5:$A$434,"All landing pages",Countries!$B$5:$B$434,"Organic",Countries!$D$5:$D$434,$A104,Countries!$F$5:$F$434,"&gt;0")/SUMIFS(Countries!$F$5:$F$434,Countries!$A$5:$A$434,"All landing pages",Countries!$B$5:$B$434,"Organic",Countries!$D$5:$D$434,$A104,Countries!$J$5:$J$434,"&gt;0"))</f>
        <v/>
      </c>
      <c r="H104" s="44">
        <f>IF(OR(F104="",G104=""),"",(G104-F104)*100)</f>
        <v/>
      </c>
      <c r="I104" s="73" t="n"/>
      <c r="J104" s="43">
        <f>IF(SUMIFS(Countries!$E$5:$E$434,Countries!$A$5:$A$434,"All landing pages",Countries!$B$5:$B$434,"Direct",Countries!$D$5:$D$434,$A104,Countries!$I$5:$I$434,"&gt;0")=0,"",SUMIFS(Countries!$I$5:$I$434,Countries!$A$5:$A$434,"All landing pages",Countries!$B$5:$B$434,"Direct",Countries!$D$5:$D$434,$A104,Countries!$E$5:$E$434,"&gt;0")/SUMIFS(Countries!$E$5:$E$434,Countries!$A$5:$A$434,"All landing pages",Countries!$B$5:$B$434,"Direct",Countries!$D$5:$D$434,$A104,Countries!$I$5:$I$434,"&gt;0"))</f>
        <v/>
      </c>
      <c r="K104" s="43">
        <f>IF(SUMIFS(Countries!$F$5:$F$434,Countries!$A$5:$A$434,"All landing pages",Countries!$B$5:$B$434,"Direct",Countries!$D$5:$D$434,$A104,Countries!$J$5:$J$434,"&gt;0")=0,"",SUMIFS(Countries!$J$5:$J$434,Countries!$A$5:$A$434,"All landing pages",Countries!$B$5:$B$434,"Direct",Countries!$D$5:$D$434,$A104,Countries!$F$5:$F$434,"&gt;0")/SUMIFS(Countries!$F$5:$F$434,Countries!$A$5:$A$434,"All landing pages",Countries!$B$5:$B$434,"Direct",Countries!$D$5:$D$434,$A104,Countries!$J$5:$J$434,"&gt;0"))</f>
        <v/>
      </c>
      <c r="L104" s="44">
        <f>IF(OR(J104="",K104=""),"",(K104-J104)*100)</f>
        <v/>
      </c>
      <c r="M104" s="73" t="n"/>
      <c r="N104" s="43">
        <f>IF(SUMIFS(Countries!$E$5:$E$434,Countries!$A$5:$A$434,"All landing pages",Countries!$D$5:$D$434,$A104,Countries!$I$5:$I$434,"&gt;0")=0,"",SUMIFS(Countries!$I$5:$I$434,Countries!$A$5:$A$434,"All landing pages",Countries!$D$5:$D$434,$A104,Countries!$E$5:$E$434,"&gt;0")/SUMIFS(Countries!$E$5:$E$434,Countries!$A$5:$A$434,"All landing pages",Countries!$D$5:$D$434,$A104,Countries!$I$5:$I$434,"&gt;0"))</f>
        <v/>
      </c>
      <c r="O104" s="43">
        <f>IF(SUMIFS(Countries!$F$5:$F$434,Countries!$A$5:$A$434,"All landing pages",Countries!$D$5:$D$434,$A104,Countries!$J$5:$J$434,"&gt;0")=0,"",SUMIFS(Countries!$J$5:$J$434,Countries!$A$5:$A$434,"All landing pages",Countries!$D$5:$D$434,$A104,Countries!$F$5:$F$434,"&gt;0")/SUMIFS(Countries!$F$5:$F$434,Countries!$A$5:$A$434,"All landing pages",Countries!$D$5:$D$434,$A104,Countries!$J$5:$J$434,"&gt;0"))</f>
        <v/>
      </c>
      <c r="P104" s="44">
        <f>IF(OR(N104="",O104=""),"",(O104-N104)*100)</f>
        <v/>
      </c>
      <c r="Q104" s="73" t="n"/>
    </row>
    <row r="105">
      <c r="A105" s="40" t="inlineStr">
        <is>
          <t>(not set)</t>
        </is>
      </c>
      <c r="B105" s="43">
        <f>IF(SUMIFS(Countries!$E$5:$E$434,Countries!$A$5:$A$434,"All landing pages",Countries!$B$5:$B$434,"Paid Search",Countries!$D$5:$D$434,$A105,Countries!$I$5:$I$434,"&gt;0")=0,"",SUMIFS(Countries!$I$5:$I$434,Countries!$A$5:$A$434,"All landing pages",Countries!$B$5:$B$434,"Paid Search",Countries!$D$5:$D$434,$A105,Countries!$E$5:$E$434,"&gt;0")/SUMIFS(Countries!$E$5:$E$434,Countries!$A$5:$A$434,"All landing pages",Countries!$B$5:$B$434,"Paid Search",Countries!$D$5:$D$434,$A105,Countries!$I$5:$I$434,"&gt;0"))</f>
        <v/>
      </c>
      <c r="C105" s="43">
        <f>IF(SUMIFS(Countries!$F$5:$F$434,Countries!$A$5:$A$434,"All landing pages",Countries!$B$5:$B$434,"Paid Search",Countries!$D$5:$D$434,$A105,Countries!$J$5:$J$434,"&gt;0")=0,"",SUMIFS(Countries!$J$5:$J$434,Countries!$A$5:$A$434,"All landing pages",Countries!$B$5:$B$434,"Paid Search",Countries!$D$5:$D$434,$A105,Countries!$F$5:$F$434,"&gt;0")/SUMIFS(Countries!$F$5:$F$434,Countries!$A$5:$A$434,"All landing pages",Countries!$B$5:$B$434,"Paid Search",Countries!$D$5:$D$434,$A105,Countries!$J$5:$J$434,"&gt;0"))</f>
        <v/>
      </c>
      <c r="D105" s="44">
        <f>IF(OR(B105="",C105=""),"",(C105-B105)*100)</f>
        <v/>
      </c>
      <c r="E105" s="73" t="n"/>
      <c r="F105" s="43">
        <f>IF(SUMIFS(Countries!$E$5:$E$434,Countries!$A$5:$A$434,"All landing pages",Countries!$B$5:$B$434,"Organic",Countries!$D$5:$D$434,$A105,Countries!$I$5:$I$434,"&gt;0")=0,"",SUMIFS(Countries!$I$5:$I$434,Countries!$A$5:$A$434,"All landing pages",Countries!$B$5:$B$434,"Organic",Countries!$D$5:$D$434,$A105,Countries!$E$5:$E$434,"&gt;0")/SUMIFS(Countries!$E$5:$E$434,Countries!$A$5:$A$434,"All landing pages",Countries!$B$5:$B$434,"Organic",Countries!$D$5:$D$434,$A105,Countries!$I$5:$I$434,"&gt;0"))</f>
        <v/>
      </c>
      <c r="G105" s="43">
        <f>IF(SUMIFS(Countries!$F$5:$F$434,Countries!$A$5:$A$434,"All landing pages",Countries!$B$5:$B$434,"Organic",Countries!$D$5:$D$434,$A105,Countries!$J$5:$J$434,"&gt;0")=0,"",SUMIFS(Countries!$J$5:$J$434,Countries!$A$5:$A$434,"All landing pages",Countries!$B$5:$B$434,"Organic",Countries!$D$5:$D$434,$A105,Countries!$F$5:$F$434,"&gt;0")/SUMIFS(Countries!$F$5:$F$434,Countries!$A$5:$A$434,"All landing pages",Countries!$B$5:$B$434,"Organic",Countries!$D$5:$D$434,$A105,Countries!$J$5:$J$434,"&gt;0"))</f>
        <v/>
      </c>
      <c r="H105" s="44">
        <f>IF(OR(F105="",G105=""),"",(G105-F105)*100)</f>
        <v/>
      </c>
      <c r="I105" s="73" t="n"/>
      <c r="J105" s="43">
        <f>IF(SUMIFS(Countries!$E$5:$E$434,Countries!$A$5:$A$434,"All landing pages",Countries!$B$5:$B$434,"Direct",Countries!$D$5:$D$434,$A105,Countries!$I$5:$I$434,"&gt;0")=0,"",SUMIFS(Countries!$I$5:$I$434,Countries!$A$5:$A$434,"All landing pages",Countries!$B$5:$B$434,"Direct",Countries!$D$5:$D$434,$A105,Countries!$E$5:$E$434,"&gt;0")/SUMIFS(Countries!$E$5:$E$434,Countries!$A$5:$A$434,"All landing pages",Countries!$B$5:$B$434,"Direct",Countries!$D$5:$D$434,$A105,Countries!$I$5:$I$434,"&gt;0"))</f>
        <v/>
      </c>
      <c r="K105" s="43">
        <f>IF(SUMIFS(Countries!$F$5:$F$434,Countries!$A$5:$A$434,"All landing pages",Countries!$B$5:$B$434,"Direct",Countries!$D$5:$D$434,$A105,Countries!$J$5:$J$434,"&gt;0")=0,"",SUMIFS(Countries!$J$5:$J$434,Countries!$A$5:$A$434,"All landing pages",Countries!$B$5:$B$434,"Direct",Countries!$D$5:$D$434,$A105,Countries!$F$5:$F$434,"&gt;0")/SUMIFS(Countries!$F$5:$F$434,Countries!$A$5:$A$434,"All landing pages",Countries!$B$5:$B$434,"Direct",Countries!$D$5:$D$434,$A105,Countries!$J$5:$J$434,"&gt;0"))</f>
        <v/>
      </c>
      <c r="L105" s="44">
        <f>IF(OR(J105="",K105=""),"",(K105-J105)*100)</f>
        <v/>
      </c>
      <c r="M105" s="73" t="n"/>
      <c r="N105" s="43">
        <f>IF(SUMIFS(Countries!$E$5:$E$434,Countries!$A$5:$A$434,"All landing pages",Countries!$D$5:$D$434,$A105,Countries!$I$5:$I$434,"&gt;0")=0,"",SUMIFS(Countries!$I$5:$I$434,Countries!$A$5:$A$434,"All landing pages",Countries!$D$5:$D$434,$A105,Countries!$E$5:$E$434,"&gt;0")/SUMIFS(Countries!$E$5:$E$434,Countries!$A$5:$A$434,"All landing pages",Countries!$D$5:$D$434,$A105,Countries!$I$5:$I$434,"&gt;0"))</f>
        <v/>
      </c>
      <c r="O105" s="43">
        <f>IF(SUMIFS(Countries!$F$5:$F$434,Countries!$A$5:$A$434,"All landing pages",Countries!$D$5:$D$434,$A105,Countries!$J$5:$J$434,"&gt;0")=0,"",SUMIFS(Countries!$J$5:$J$434,Countries!$A$5:$A$434,"All landing pages",Countries!$D$5:$D$434,$A105,Countries!$F$5:$F$434,"&gt;0")/SUMIFS(Countries!$F$5:$F$434,Countries!$A$5:$A$434,"All landing pages",Countries!$D$5:$D$434,$A105,Countries!$J$5:$J$434,"&gt;0"))</f>
        <v/>
      </c>
      <c r="P105" s="44">
        <f>IF(OR(N105="",O105=""),"",(O105-N105)*100)</f>
        <v/>
      </c>
      <c r="Q105" s="73" t="n"/>
    </row>
    <row r="106">
      <c r="A106" s="56" t="inlineStr">
        <is>
          <t>Algeria</t>
        </is>
      </c>
      <c r="B106" s="43">
        <f>IF(SUMIFS(Countries!$E$5:$E$434,Countries!$A$5:$A$434,"All landing pages",Countries!$B$5:$B$434,"Paid Search",Countries!$D$5:$D$434,$A106,Countries!$I$5:$I$434,"&gt;0")=0,"",SUMIFS(Countries!$I$5:$I$434,Countries!$A$5:$A$434,"All landing pages",Countries!$B$5:$B$434,"Paid Search",Countries!$D$5:$D$434,$A106,Countries!$E$5:$E$434,"&gt;0")/SUMIFS(Countries!$E$5:$E$434,Countries!$A$5:$A$434,"All landing pages",Countries!$B$5:$B$434,"Paid Search",Countries!$D$5:$D$434,$A106,Countries!$I$5:$I$434,"&gt;0"))</f>
        <v/>
      </c>
      <c r="C106" s="43">
        <f>IF(SUMIFS(Countries!$F$5:$F$434,Countries!$A$5:$A$434,"All landing pages",Countries!$B$5:$B$434,"Paid Search",Countries!$D$5:$D$434,$A106,Countries!$J$5:$J$434,"&gt;0")=0,"",SUMIFS(Countries!$J$5:$J$434,Countries!$A$5:$A$434,"All landing pages",Countries!$B$5:$B$434,"Paid Search",Countries!$D$5:$D$434,$A106,Countries!$F$5:$F$434,"&gt;0")/SUMIFS(Countries!$F$5:$F$434,Countries!$A$5:$A$434,"All landing pages",Countries!$B$5:$B$434,"Paid Search",Countries!$D$5:$D$434,$A106,Countries!$J$5:$J$434,"&gt;0"))</f>
        <v/>
      </c>
      <c r="D106" s="44">
        <f>IF(OR(B106="",C106=""),"",(C106-B106)*100)</f>
        <v/>
      </c>
      <c r="E106" s="73" t="n"/>
      <c r="F106" s="43">
        <f>IF(SUMIFS(Countries!$E$5:$E$434,Countries!$A$5:$A$434,"All landing pages",Countries!$B$5:$B$434,"Organic",Countries!$D$5:$D$434,$A106,Countries!$I$5:$I$434,"&gt;0")=0,"",SUMIFS(Countries!$I$5:$I$434,Countries!$A$5:$A$434,"All landing pages",Countries!$B$5:$B$434,"Organic",Countries!$D$5:$D$434,$A106,Countries!$E$5:$E$434,"&gt;0")/SUMIFS(Countries!$E$5:$E$434,Countries!$A$5:$A$434,"All landing pages",Countries!$B$5:$B$434,"Organic",Countries!$D$5:$D$434,$A106,Countries!$I$5:$I$434,"&gt;0"))</f>
        <v/>
      </c>
      <c r="G106" s="43">
        <f>IF(SUMIFS(Countries!$F$5:$F$434,Countries!$A$5:$A$434,"All landing pages",Countries!$B$5:$B$434,"Organic",Countries!$D$5:$D$434,$A106,Countries!$J$5:$J$434,"&gt;0")=0,"",SUMIFS(Countries!$J$5:$J$434,Countries!$A$5:$A$434,"All landing pages",Countries!$B$5:$B$434,"Organic",Countries!$D$5:$D$434,$A106,Countries!$F$5:$F$434,"&gt;0")/SUMIFS(Countries!$F$5:$F$434,Countries!$A$5:$A$434,"All landing pages",Countries!$B$5:$B$434,"Organic",Countries!$D$5:$D$434,$A106,Countries!$J$5:$J$434,"&gt;0"))</f>
        <v/>
      </c>
      <c r="H106" s="44">
        <f>IF(OR(F106="",G106=""),"",(G106-F106)*100)</f>
        <v/>
      </c>
      <c r="I106" s="73" t="n"/>
      <c r="J106" s="43">
        <f>IF(SUMIFS(Countries!$E$5:$E$434,Countries!$A$5:$A$434,"All landing pages",Countries!$B$5:$B$434,"Direct",Countries!$D$5:$D$434,$A106,Countries!$I$5:$I$434,"&gt;0")=0,"",SUMIFS(Countries!$I$5:$I$434,Countries!$A$5:$A$434,"All landing pages",Countries!$B$5:$B$434,"Direct",Countries!$D$5:$D$434,$A106,Countries!$E$5:$E$434,"&gt;0")/SUMIFS(Countries!$E$5:$E$434,Countries!$A$5:$A$434,"All landing pages",Countries!$B$5:$B$434,"Direct",Countries!$D$5:$D$434,$A106,Countries!$I$5:$I$434,"&gt;0"))</f>
        <v/>
      </c>
      <c r="K106" s="43">
        <f>IF(SUMIFS(Countries!$F$5:$F$434,Countries!$A$5:$A$434,"All landing pages",Countries!$B$5:$B$434,"Direct",Countries!$D$5:$D$434,$A106,Countries!$J$5:$J$434,"&gt;0")=0,"",SUMIFS(Countries!$J$5:$J$434,Countries!$A$5:$A$434,"All landing pages",Countries!$B$5:$B$434,"Direct",Countries!$D$5:$D$434,$A106,Countries!$F$5:$F$434,"&gt;0")/SUMIFS(Countries!$F$5:$F$434,Countries!$A$5:$A$434,"All landing pages",Countries!$B$5:$B$434,"Direct",Countries!$D$5:$D$434,$A106,Countries!$J$5:$J$434,"&gt;0"))</f>
        <v/>
      </c>
      <c r="L106" s="44">
        <f>IF(OR(J106="",K106=""),"",(K106-J106)*100)</f>
        <v/>
      </c>
      <c r="M106" s="73" t="n"/>
      <c r="N106" s="43">
        <f>IF(SUMIFS(Countries!$E$5:$E$434,Countries!$A$5:$A$434,"All landing pages",Countries!$D$5:$D$434,$A106,Countries!$I$5:$I$434,"&gt;0")=0,"",SUMIFS(Countries!$I$5:$I$434,Countries!$A$5:$A$434,"All landing pages",Countries!$D$5:$D$434,$A106,Countries!$E$5:$E$434,"&gt;0")/SUMIFS(Countries!$E$5:$E$434,Countries!$A$5:$A$434,"All landing pages",Countries!$D$5:$D$434,$A106,Countries!$I$5:$I$434,"&gt;0"))</f>
        <v/>
      </c>
      <c r="O106" s="43">
        <f>IF(SUMIFS(Countries!$F$5:$F$434,Countries!$A$5:$A$434,"All landing pages",Countries!$D$5:$D$434,$A106,Countries!$J$5:$J$434,"&gt;0")=0,"",SUMIFS(Countries!$J$5:$J$434,Countries!$A$5:$A$434,"All landing pages",Countries!$D$5:$D$434,$A106,Countries!$F$5:$F$434,"&gt;0")/SUMIFS(Countries!$F$5:$F$434,Countries!$A$5:$A$434,"All landing pages",Countries!$D$5:$D$434,$A106,Countries!$J$5:$J$434,"&gt;0"))</f>
        <v/>
      </c>
      <c r="P106" s="44">
        <f>IF(OR(N106="",O106=""),"",(O106-N106)*100)</f>
        <v/>
      </c>
      <c r="Q106" s="73" t="n"/>
    </row>
    <row r="107">
      <c r="A107" s="40" t="inlineStr">
        <is>
          <t>Argentina</t>
        </is>
      </c>
      <c r="B107" s="43">
        <f>IF(SUMIFS(Countries!$E$5:$E$434,Countries!$A$5:$A$434,"All landing pages",Countries!$B$5:$B$434,"Paid Search",Countries!$D$5:$D$434,$A107,Countries!$I$5:$I$434,"&gt;0")=0,"",SUMIFS(Countries!$I$5:$I$434,Countries!$A$5:$A$434,"All landing pages",Countries!$B$5:$B$434,"Paid Search",Countries!$D$5:$D$434,$A107,Countries!$E$5:$E$434,"&gt;0")/SUMIFS(Countries!$E$5:$E$434,Countries!$A$5:$A$434,"All landing pages",Countries!$B$5:$B$434,"Paid Search",Countries!$D$5:$D$434,$A107,Countries!$I$5:$I$434,"&gt;0"))</f>
        <v/>
      </c>
      <c r="C107" s="43">
        <f>IF(SUMIFS(Countries!$F$5:$F$434,Countries!$A$5:$A$434,"All landing pages",Countries!$B$5:$B$434,"Paid Search",Countries!$D$5:$D$434,$A107,Countries!$J$5:$J$434,"&gt;0")=0,"",SUMIFS(Countries!$J$5:$J$434,Countries!$A$5:$A$434,"All landing pages",Countries!$B$5:$B$434,"Paid Search",Countries!$D$5:$D$434,$A107,Countries!$F$5:$F$434,"&gt;0")/SUMIFS(Countries!$F$5:$F$434,Countries!$A$5:$A$434,"All landing pages",Countries!$B$5:$B$434,"Paid Search",Countries!$D$5:$D$434,$A107,Countries!$J$5:$J$434,"&gt;0"))</f>
        <v/>
      </c>
      <c r="D107" s="44">
        <f>IF(OR(B107="",C107=""),"",(C107-B107)*100)</f>
        <v/>
      </c>
      <c r="E107" s="73" t="n"/>
      <c r="F107" s="43">
        <f>IF(SUMIFS(Countries!$E$5:$E$434,Countries!$A$5:$A$434,"All landing pages",Countries!$B$5:$B$434,"Organic",Countries!$D$5:$D$434,$A107,Countries!$I$5:$I$434,"&gt;0")=0,"",SUMIFS(Countries!$I$5:$I$434,Countries!$A$5:$A$434,"All landing pages",Countries!$B$5:$B$434,"Organic",Countries!$D$5:$D$434,$A107,Countries!$E$5:$E$434,"&gt;0")/SUMIFS(Countries!$E$5:$E$434,Countries!$A$5:$A$434,"All landing pages",Countries!$B$5:$B$434,"Organic",Countries!$D$5:$D$434,$A107,Countries!$I$5:$I$434,"&gt;0"))</f>
        <v/>
      </c>
      <c r="G107" s="43">
        <f>IF(SUMIFS(Countries!$F$5:$F$434,Countries!$A$5:$A$434,"All landing pages",Countries!$B$5:$B$434,"Organic",Countries!$D$5:$D$434,$A107,Countries!$J$5:$J$434,"&gt;0")=0,"",SUMIFS(Countries!$J$5:$J$434,Countries!$A$5:$A$434,"All landing pages",Countries!$B$5:$B$434,"Organic",Countries!$D$5:$D$434,$A107,Countries!$F$5:$F$434,"&gt;0")/SUMIFS(Countries!$F$5:$F$434,Countries!$A$5:$A$434,"All landing pages",Countries!$B$5:$B$434,"Organic",Countries!$D$5:$D$434,$A107,Countries!$J$5:$J$434,"&gt;0"))</f>
        <v/>
      </c>
      <c r="H107" s="44">
        <f>IF(OR(F107="",G107=""),"",(G107-F107)*100)</f>
        <v/>
      </c>
      <c r="I107" s="73" t="n"/>
      <c r="J107" s="43">
        <f>IF(SUMIFS(Countries!$E$5:$E$434,Countries!$A$5:$A$434,"All landing pages",Countries!$B$5:$B$434,"Direct",Countries!$D$5:$D$434,$A107,Countries!$I$5:$I$434,"&gt;0")=0,"",SUMIFS(Countries!$I$5:$I$434,Countries!$A$5:$A$434,"All landing pages",Countries!$B$5:$B$434,"Direct",Countries!$D$5:$D$434,$A107,Countries!$E$5:$E$434,"&gt;0")/SUMIFS(Countries!$E$5:$E$434,Countries!$A$5:$A$434,"All landing pages",Countries!$B$5:$B$434,"Direct",Countries!$D$5:$D$434,$A107,Countries!$I$5:$I$434,"&gt;0"))</f>
        <v/>
      </c>
      <c r="K107" s="43">
        <f>IF(SUMIFS(Countries!$F$5:$F$434,Countries!$A$5:$A$434,"All landing pages",Countries!$B$5:$B$434,"Direct",Countries!$D$5:$D$434,$A107,Countries!$J$5:$J$434,"&gt;0")=0,"",SUMIFS(Countries!$J$5:$J$434,Countries!$A$5:$A$434,"All landing pages",Countries!$B$5:$B$434,"Direct",Countries!$D$5:$D$434,$A107,Countries!$F$5:$F$434,"&gt;0")/SUMIFS(Countries!$F$5:$F$434,Countries!$A$5:$A$434,"All landing pages",Countries!$B$5:$B$434,"Direct",Countries!$D$5:$D$434,$A107,Countries!$J$5:$J$434,"&gt;0"))</f>
        <v/>
      </c>
      <c r="L107" s="44">
        <f>IF(OR(J107="",K107=""),"",(K107-J107)*100)</f>
        <v/>
      </c>
      <c r="M107" s="73" t="n"/>
      <c r="N107" s="43">
        <f>IF(SUMIFS(Countries!$E$5:$E$434,Countries!$A$5:$A$434,"All landing pages",Countries!$D$5:$D$434,$A107,Countries!$I$5:$I$434,"&gt;0")=0,"",SUMIFS(Countries!$I$5:$I$434,Countries!$A$5:$A$434,"All landing pages",Countries!$D$5:$D$434,$A107,Countries!$E$5:$E$434,"&gt;0")/SUMIFS(Countries!$E$5:$E$434,Countries!$A$5:$A$434,"All landing pages",Countries!$D$5:$D$434,$A107,Countries!$I$5:$I$434,"&gt;0"))</f>
        <v/>
      </c>
      <c r="O107" s="43">
        <f>IF(SUMIFS(Countries!$F$5:$F$434,Countries!$A$5:$A$434,"All landing pages",Countries!$D$5:$D$434,$A107,Countries!$J$5:$J$434,"&gt;0")=0,"",SUMIFS(Countries!$J$5:$J$434,Countries!$A$5:$A$434,"All landing pages",Countries!$D$5:$D$434,$A107,Countries!$F$5:$F$434,"&gt;0")/SUMIFS(Countries!$F$5:$F$434,Countries!$A$5:$A$434,"All landing pages",Countries!$D$5:$D$434,$A107,Countries!$J$5:$J$434,"&gt;0"))</f>
        <v/>
      </c>
      <c r="P107" s="44">
        <f>IF(OR(N107="",O107=""),"",(O107-N107)*100)</f>
        <v/>
      </c>
      <c r="Q107" s="73" t="n"/>
    </row>
    <row r="108">
      <c r="A108" s="56" t="inlineStr">
        <is>
          <t>Bangladesh</t>
        </is>
      </c>
      <c r="B108" s="43">
        <f>IF(SUMIFS(Countries!$E$5:$E$434,Countries!$A$5:$A$434,"All landing pages",Countries!$B$5:$B$434,"Paid Search",Countries!$D$5:$D$434,$A108,Countries!$I$5:$I$434,"&gt;0")=0,"",SUMIFS(Countries!$I$5:$I$434,Countries!$A$5:$A$434,"All landing pages",Countries!$B$5:$B$434,"Paid Search",Countries!$D$5:$D$434,$A108,Countries!$E$5:$E$434,"&gt;0")/SUMIFS(Countries!$E$5:$E$434,Countries!$A$5:$A$434,"All landing pages",Countries!$B$5:$B$434,"Paid Search",Countries!$D$5:$D$434,$A108,Countries!$I$5:$I$434,"&gt;0"))</f>
        <v/>
      </c>
      <c r="C108" s="43">
        <f>IF(SUMIFS(Countries!$F$5:$F$434,Countries!$A$5:$A$434,"All landing pages",Countries!$B$5:$B$434,"Paid Search",Countries!$D$5:$D$434,$A108,Countries!$J$5:$J$434,"&gt;0")=0,"",SUMIFS(Countries!$J$5:$J$434,Countries!$A$5:$A$434,"All landing pages",Countries!$B$5:$B$434,"Paid Search",Countries!$D$5:$D$434,$A108,Countries!$F$5:$F$434,"&gt;0")/SUMIFS(Countries!$F$5:$F$434,Countries!$A$5:$A$434,"All landing pages",Countries!$B$5:$B$434,"Paid Search",Countries!$D$5:$D$434,$A108,Countries!$J$5:$J$434,"&gt;0"))</f>
        <v/>
      </c>
      <c r="D108" s="44">
        <f>IF(OR(B108="",C108=""),"",(C108-B108)*100)</f>
        <v/>
      </c>
      <c r="E108" s="73" t="n"/>
      <c r="F108" s="43">
        <f>IF(SUMIFS(Countries!$E$5:$E$434,Countries!$A$5:$A$434,"All landing pages",Countries!$B$5:$B$434,"Organic",Countries!$D$5:$D$434,$A108,Countries!$I$5:$I$434,"&gt;0")=0,"",SUMIFS(Countries!$I$5:$I$434,Countries!$A$5:$A$434,"All landing pages",Countries!$B$5:$B$434,"Organic",Countries!$D$5:$D$434,$A108,Countries!$E$5:$E$434,"&gt;0")/SUMIFS(Countries!$E$5:$E$434,Countries!$A$5:$A$434,"All landing pages",Countries!$B$5:$B$434,"Organic",Countries!$D$5:$D$434,$A108,Countries!$I$5:$I$434,"&gt;0"))</f>
        <v/>
      </c>
      <c r="G108" s="43">
        <f>IF(SUMIFS(Countries!$F$5:$F$434,Countries!$A$5:$A$434,"All landing pages",Countries!$B$5:$B$434,"Organic",Countries!$D$5:$D$434,$A108,Countries!$J$5:$J$434,"&gt;0")=0,"",SUMIFS(Countries!$J$5:$J$434,Countries!$A$5:$A$434,"All landing pages",Countries!$B$5:$B$434,"Organic",Countries!$D$5:$D$434,$A108,Countries!$F$5:$F$434,"&gt;0")/SUMIFS(Countries!$F$5:$F$434,Countries!$A$5:$A$434,"All landing pages",Countries!$B$5:$B$434,"Organic",Countries!$D$5:$D$434,$A108,Countries!$J$5:$J$434,"&gt;0"))</f>
        <v/>
      </c>
      <c r="H108" s="44">
        <f>IF(OR(F108="",G108=""),"",(G108-F108)*100)</f>
        <v/>
      </c>
      <c r="I108" s="73" t="n"/>
      <c r="J108" s="43">
        <f>IF(SUMIFS(Countries!$E$5:$E$434,Countries!$A$5:$A$434,"All landing pages",Countries!$B$5:$B$434,"Direct",Countries!$D$5:$D$434,$A108,Countries!$I$5:$I$434,"&gt;0")=0,"",SUMIFS(Countries!$I$5:$I$434,Countries!$A$5:$A$434,"All landing pages",Countries!$B$5:$B$434,"Direct",Countries!$D$5:$D$434,$A108,Countries!$E$5:$E$434,"&gt;0")/SUMIFS(Countries!$E$5:$E$434,Countries!$A$5:$A$434,"All landing pages",Countries!$B$5:$B$434,"Direct",Countries!$D$5:$D$434,$A108,Countries!$I$5:$I$434,"&gt;0"))</f>
        <v/>
      </c>
      <c r="K108" s="43">
        <f>IF(SUMIFS(Countries!$F$5:$F$434,Countries!$A$5:$A$434,"All landing pages",Countries!$B$5:$B$434,"Direct",Countries!$D$5:$D$434,$A108,Countries!$J$5:$J$434,"&gt;0")=0,"",SUMIFS(Countries!$J$5:$J$434,Countries!$A$5:$A$434,"All landing pages",Countries!$B$5:$B$434,"Direct",Countries!$D$5:$D$434,$A108,Countries!$F$5:$F$434,"&gt;0")/SUMIFS(Countries!$F$5:$F$434,Countries!$A$5:$A$434,"All landing pages",Countries!$B$5:$B$434,"Direct",Countries!$D$5:$D$434,$A108,Countries!$J$5:$J$434,"&gt;0"))</f>
        <v/>
      </c>
      <c r="L108" s="44">
        <f>IF(OR(J108="",K108=""),"",(K108-J108)*100)</f>
        <v/>
      </c>
      <c r="M108" s="73" t="n"/>
      <c r="N108" s="43">
        <f>IF(SUMIFS(Countries!$E$5:$E$434,Countries!$A$5:$A$434,"All landing pages",Countries!$D$5:$D$434,$A108,Countries!$I$5:$I$434,"&gt;0")=0,"",SUMIFS(Countries!$I$5:$I$434,Countries!$A$5:$A$434,"All landing pages",Countries!$D$5:$D$434,$A108,Countries!$E$5:$E$434,"&gt;0")/SUMIFS(Countries!$E$5:$E$434,Countries!$A$5:$A$434,"All landing pages",Countries!$D$5:$D$434,$A108,Countries!$I$5:$I$434,"&gt;0"))</f>
        <v/>
      </c>
      <c r="O108" s="43">
        <f>IF(SUMIFS(Countries!$F$5:$F$434,Countries!$A$5:$A$434,"All landing pages",Countries!$D$5:$D$434,$A108,Countries!$J$5:$J$434,"&gt;0")=0,"",SUMIFS(Countries!$J$5:$J$434,Countries!$A$5:$A$434,"All landing pages",Countries!$D$5:$D$434,$A108,Countries!$F$5:$F$434,"&gt;0")/SUMIFS(Countries!$F$5:$F$434,Countries!$A$5:$A$434,"All landing pages",Countries!$D$5:$D$434,$A108,Countries!$J$5:$J$434,"&gt;0"))</f>
        <v/>
      </c>
      <c r="P108" s="44">
        <f>IF(OR(N108="",O108=""),"",(O108-N108)*100)</f>
        <v/>
      </c>
      <c r="Q108" s="73" t="n"/>
    </row>
    <row r="109">
      <c r="A109" s="40" t="inlineStr">
        <is>
          <t>Brazil</t>
        </is>
      </c>
      <c r="B109" s="43">
        <f>IF(SUMIFS(Countries!$E$5:$E$434,Countries!$A$5:$A$434,"All landing pages",Countries!$B$5:$B$434,"Paid Search",Countries!$D$5:$D$434,$A109,Countries!$I$5:$I$434,"&gt;0")=0,"",SUMIFS(Countries!$I$5:$I$434,Countries!$A$5:$A$434,"All landing pages",Countries!$B$5:$B$434,"Paid Search",Countries!$D$5:$D$434,$A109,Countries!$E$5:$E$434,"&gt;0")/SUMIFS(Countries!$E$5:$E$434,Countries!$A$5:$A$434,"All landing pages",Countries!$B$5:$B$434,"Paid Search",Countries!$D$5:$D$434,$A109,Countries!$I$5:$I$434,"&gt;0"))</f>
        <v/>
      </c>
      <c r="C109" s="43">
        <f>IF(SUMIFS(Countries!$F$5:$F$434,Countries!$A$5:$A$434,"All landing pages",Countries!$B$5:$B$434,"Paid Search",Countries!$D$5:$D$434,$A109,Countries!$J$5:$J$434,"&gt;0")=0,"",SUMIFS(Countries!$J$5:$J$434,Countries!$A$5:$A$434,"All landing pages",Countries!$B$5:$B$434,"Paid Search",Countries!$D$5:$D$434,$A109,Countries!$F$5:$F$434,"&gt;0")/SUMIFS(Countries!$F$5:$F$434,Countries!$A$5:$A$434,"All landing pages",Countries!$B$5:$B$434,"Paid Search",Countries!$D$5:$D$434,$A109,Countries!$J$5:$J$434,"&gt;0"))</f>
        <v/>
      </c>
      <c r="D109" s="44">
        <f>IF(OR(B109="",C109=""),"",(C109-B109)*100)</f>
        <v/>
      </c>
      <c r="E109" s="73" t="n"/>
      <c r="F109" s="43">
        <f>IF(SUMIFS(Countries!$E$5:$E$434,Countries!$A$5:$A$434,"All landing pages",Countries!$B$5:$B$434,"Organic",Countries!$D$5:$D$434,$A109,Countries!$I$5:$I$434,"&gt;0")=0,"",SUMIFS(Countries!$I$5:$I$434,Countries!$A$5:$A$434,"All landing pages",Countries!$B$5:$B$434,"Organic",Countries!$D$5:$D$434,$A109,Countries!$E$5:$E$434,"&gt;0")/SUMIFS(Countries!$E$5:$E$434,Countries!$A$5:$A$434,"All landing pages",Countries!$B$5:$B$434,"Organic",Countries!$D$5:$D$434,$A109,Countries!$I$5:$I$434,"&gt;0"))</f>
        <v/>
      </c>
      <c r="G109" s="43">
        <f>IF(SUMIFS(Countries!$F$5:$F$434,Countries!$A$5:$A$434,"All landing pages",Countries!$B$5:$B$434,"Organic",Countries!$D$5:$D$434,$A109,Countries!$J$5:$J$434,"&gt;0")=0,"",SUMIFS(Countries!$J$5:$J$434,Countries!$A$5:$A$434,"All landing pages",Countries!$B$5:$B$434,"Organic",Countries!$D$5:$D$434,$A109,Countries!$F$5:$F$434,"&gt;0")/SUMIFS(Countries!$F$5:$F$434,Countries!$A$5:$A$434,"All landing pages",Countries!$B$5:$B$434,"Organic",Countries!$D$5:$D$434,$A109,Countries!$J$5:$J$434,"&gt;0"))</f>
        <v/>
      </c>
      <c r="H109" s="44">
        <f>IF(OR(F109="",G109=""),"",(G109-F109)*100)</f>
        <v/>
      </c>
      <c r="I109" s="73" t="n"/>
      <c r="J109" s="43">
        <f>IF(SUMIFS(Countries!$E$5:$E$434,Countries!$A$5:$A$434,"All landing pages",Countries!$B$5:$B$434,"Direct",Countries!$D$5:$D$434,$A109,Countries!$I$5:$I$434,"&gt;0")=0,"",SUMIFS(Countries!$I$5:$I$434,Countries!$A$5:$A$434,"All landing pages",Countries!$B$5:$B$434,"Direct",Countries!$D$5:$D$434,$A109,Countries!$E$5:$E$434,"&gt;0")/SUMIFS(Countries!$E$5:$E$434,Countries!$A$5:$A$434,"All landing pages",Countries!$B$5:$B$434,"Direct",Countries!$D$5:$D$434,$A109,Countries!$I$5:$I$434,"&gt;0"))</f>
        <v/>
      </c>
      <c r="K109" s="43">
        <f>IF(SUMIFS(Countries!$F$5:$F$434,Countries!$A$5:$A$434,"All landing pages",Countries!$B$5:$B$434,"Direct",Countries!$D$5:$D$434,$A109,Countries!$J$5:$J$434,"&gt;0")=0,"",SUMIFS(Countries!$J$5:$J$434,Countries!$A$5:$A$434,"All landing pages",Countries!$B$5:$B$434,"Direct",Countries!$D$5:$D$434,$A109,Countries!$F$5:$F$434,"&gt;0")/SUMIFS(Countries!$F$5:$F$434,Countries!$A$5:$A$434,"All landing pages",Countries!$B$5:$B$434,"Direct",Countries!$D$5:$D$434,$A109,Countries!$J$5:$J$434,"&gt;0"))</f>
        <v/>
      </c>
      <c r="L109" s="44">
        <f>IF(OR(J109="",K109=""),"",(K109-J109)*100)</f>
        <v/>
      </c>
      <c r="M109" s="73" t="n"/>
      <c r="N109" s="43">
        <f>IF(SUMIFS(Countries!$E$5:$E$434,Countries!$A$5:$A$434,"All landing pages",Countries!$D$5:$D$434,$A109,Countries!$I$5:$I$434,"&gt;0")=0,"",SUMIFS(Countries!$I$5:$I$434,Countries!$A$5:$A$434,"All landing pages",Countries!$D$5:$D$434,$A109,Countries!$E$5:$E$434,"&gt;0")/SUMIFS(Countries!$E$5:$E$434,Countries!$A$5:$A$434,"All landing pages",Countries!$D$5:$D$434,$A109,Countries!$I$5:$I$434,"&gt;0"))</f>
        <v/>
      </c>
      <c r="O109" s="43">
        <f>IF(SUMIFS(Countries!$F$5:$F$434,Countries!$A$5:$A$434,"All landing pages",Countries!$D$5:$D$434,$A109,Countries!$J$5:$J$434,"&gt;0")=0,"",SUMIFS(Countries!$J$5:$J$434,Countries!$A$5:$A$434,"All landing pages",Countries!$D$5:$D$434,$A109,Countries!$F$5:$F$434,"&gt;0")/SUMIFS(Countries!$F$5:$F$434,Countries!$A$5:$A$434,"All landing pages",Countries!$D$5:$D$434,$A109,Countries!$J$5:$J$434,"&gt;0"))</f>
        <v/>
      </c>
      <c r="P109" s="44">
        <f>IF(OR(N109="",O109=""),"",(O109-N109)*100)</f>
        <v/>
      </c>
      <c r="Q109" s="73" t="n"/>
    </row>
    <row r="110">
      <c r="A110" s="56" t="inlineStr">
        <is>
          <t>China</t>
        </is>
      </c>
      <c r="B110" s="43">
        <f>IF(SUMIFS(Countries!$E$5:$E$434,Countries!$A$5:$A$434,"All landing pages",Countries!$B$5:$B$434,"Paid Search",Countries!$D$5:$D$434,$A110,Countries!$I$5:$I$434,"&gt;0")=0,"",SUMIFS(Countries!$I$5:$I$434,Countries!$A$5:$A$434,"All landing pages",Countries!$B$5:$B$434,"Paid Search",Countries!$D$5:$D$434,$A110,Countries!$E$5:$E$434,"&gt;0")/SUMIFS(Countries!$E$5:$E$434,Countries!$A$5:$A$434,"All landing pages",Countries!$B$5:$B$434,"Paid Search",Countries!$D$5:$D$434,$A110,Countries!$I$5:$I$434,"&gt;0"))</f>
        <v/>
      </c>
      <c r="C110" s="43">
        <f>IF(SUMIFS(Countries!$F$5:$F$434,Countries!$A$5:$A$434,"All landing pages",Countries!$B$5:$B$434,"Paid Search",Countries!$D$5:$D$434,$A110,Countries!$J$5:$J$434,"&gt;0")=0,"",SUMIFS(Countries!$J$5:$J$434,Countries!$A$5:$A$434,"All landing pages",Countries!$B$5:$B$434,"Paid Search",Countries!$D$5:$D$434,$A110,Countries!$F$5:$F$434,"&gt;0")/SUMIFS(Countries!$F$5:$F$434,Countries!$A$5:$A$434,"All landing pages",Countries!$B$5:$B$434,"Paid Search",Countries!$D$5:$D$434,$A110,Countries!$J$5:$J$434,"&gt;0"))</f>
        <v/>
      </c>
      <c r="D110" s="44">
        <f>IF(OR(B110="",C110=""),"",(C110-B110)*100)</f>
        <v/>
      </c>
      <c r="E110" s="73" t="n"/>
      <c r="F110" s="43">
        <f>IF(SUMIFS(Countries!$E$5:$E$434,Countries!$A$5:$A$434,"All landing pages",Countries!$B$5:$B$434,"Organic",Countries!$D$5:$D$434,$A110,Countries!$I$5:$I$434,"&gt;0")=0,"",SUMIFS(Countries!$I$5:$I$434,Countries!$A$5:$A$434,"All landing pages",Countries!$B$5:$B$434,"Organic",Countries!$D$5:$D$434,$A110,Countries!$E$5:$E$434,"&gt;0")/SUMIFS(Countries!$E$5:$E$434,Countries!$A$5:$A$434,"All landing pages",Countries!$B$5:$B$434,"Organic",Countries!$D$5:$D$434,$A110,Countries!$I$5:$I$434,"&gt;0"))</f>
        <v/>
      </c>
      <c r="G110" s="43">
        <f>IF(SUMIFS(Countries!$F$5:$F$434,Countries!$A$5:$A$434,"All landing pages",Countries!$B$5:$B$434,"Organic",Countries!$D$5:$D$434,$A110,Countries!$J$5:$J$434,"&gt;0")=0,"",SUMIFS(Countries!$J$5:$J$434,Countries!$A$5:$A$434,"All landing pages",Countries!$B$5:$B$434,"Organic",Countries!$D$5:$D$434,$A110,Countries!$F$5:$F$434,"&gt;0")/SUMIFS(Countries!$F$5:$F$434,Countries!$A$5:$A$434,"All landing pages",Countries!$B$5:$B$434,"Organic",Countries!$D$5:$D$434,$A110,Countries!$J$5:$J$434,"&gt;0"))</f>
        <v/>
      </c>
      <c r="H110" s="44">
        <f>IF(OR(F110="",G110=""),"",(G110-F110)*100)</f>
        <v/>
      </c>
      <c r="I110" s="73" t="n"/>
      <c r="J110" s="43">
        <f>IF(SUMIFS(Countries!$E$5:$E$434,Countries!$A$5:$A$434,"All landing pages",Countries!$B$5:$B$434,"Direct",Countries!$D$5:$D$434,$A110,Countries!$I$5:$I$434,"&gt;0")=0,"",SUMIFS(Countries!$I$5:$I$434,Countries!$A$5:$A$434,"All landing pages",Countries!$B$5:$B$434,"Direct",Countries!$D$5:$D$434,$A110,Countries!$E$5:$E$434,"&gt;0")/SUMIFS(Countries!$E$5:$E$434,Countries!$A$5:$A$434,"All landing pages",Countries!$B$5:$B$434,"Direct",Countries!$D$5:$D$434,$A110,Countries!$I$5:$I$434,"&gt;0"))</f>
        <v/>
      </c>
      <c r="K110" s="43">
        <f>IF(SUMIFS(Countries!$F$5:$F$434,Countries!$A$5:$A$434,"All landing pages",Countries!$B$5:$B$434,"Direct",Countries!$D$5:$D$434,$A110,Countries!$J$5:$J$434,"&gt;0")=0,"",SUMIFS(Countries!$J$5:$J$434,Countries!$A$5:$A$434,"All landing pages",Countries!$B$5:$B$434,"Direct",Countries!$D$5:$D$434,$A110,Countries!$F$5:$F$434,"&gt;0")/SUMIFS(Countries!$F$5:$F$434,Countries!$A$5:$A$434,"All landing pages",Countries!$B$5:$B$434,"Direct",Countries!$D$5:$D$434,$A110,Countries!$J$5:$J$434,"&gt;0"))</f>
        <v/>
      </c>
      <c r="L110" s="44">
        <f>IF(OR(J110="",K110=""),"",(K110-J110)*100)</f>
        <v/>
      </c>
      <c r="M110" s="73" t="n"/>
      <c r="N110" s="43">
        <f>IF(SUMIFS(Countries!$E$5:$E$434,Countries!$A$5:$A$434,"All landing pages",Countries!$D$5:$D$434,$A110,Countries!$I$5:$I$434,"&gt;0")=0,"",SUMIFS(Countries!$I$5:$I$434,Countries!$A$5:$A$434,"All landing pages",Countries!$D$5:$D$434,$A110,Countries!$E$5:$E$434,"&gt;0")/SUMIFS(Countries!$E$5:$E$434,Countries!$A$5:$A$434,"All landing pages",Countries!$D$5:$D$434,$A110,Countries!$I$5:$I$434,"&gt;0"))</f>
        <v/>
      </c>
      <c r="O110" s="43">
        <f>IF(SUMIFS(Countries!$F$5:$F$434,Countries!$A$5:$A$434,"All landing pages",Countries!$D$5:$D$434,$A110,Countries!$J$5:$J$434,"&gt;0")=0,"",SUMIFS(Countries!$J$5:$J$434,Countries!$A$5:$A$434,"All landing pages",Countries!$D$5:$D$434,$A110,Countries!$F$5:$F$434,"&gt;0")/SUMIFS(Countries!$F$5:$F$434,Countries!$A$5:$A$434,"All landing pages",Countries!$D$5:$D$434,$A110,Countries!$J$5:$J$434,"&gt;0"))</f>
        <v/>
      </c>
      <c r="P110" s="44">
        <f>IF(OR(N110="",O110=""),"",(O110-N110)*100)</f>
        <v/>
      </c>
      <c r="Q110" s="73" t="n"/>
    </row>
    <row r="111">
      <c r="A111" s="40" t="inlineStr">
        <is>
          <t>Croatia</t>
        </is>
      </c>
      <c r="B111" s="43">
        <f>IF(SUMIFS(Countries!$E$5:$E$434,Countries!$A$5:$A$434,"All landing pages",Countries!$B$5:$B$434,"Paid Search",Countries!$D$5:$D$434,$A111,Countries!$I$5:$I$434,"&gt;0")=0,"",SUMIFS(Countries!$I$5:$I$434,Countries!$A$5:$A$434,"All landing pages",Countries!$B$5:$B$434,"Paid Search",Countries!$D$5:$D$434,$A111,Countries!$E$5:$E$434,"&gt;0")/SUMIFS(Countries!$E$5:$E$434,Countries!$A$5:$A$434,"All landing pages",Countries!$B$5:$B$434,"Paid Search",Countries!$D$5:$D$434,$A111,Countries!$I$5:$I$434,"&gt;0"))</f>
        <v/>
      </c>
      <c r="C111" s="43">
        <f>IF(SUMIFS(Countries!$F$5:$F$434,Countries!$A$5:$A$434,"All landing pages",Countries!$B$5:$B$434,"Paid Search",Countries!$D$5:$D$434,$A111,Countries!$J$5:$J$434,"&gt;0")=0,"",SUMIFS(Countries!$J$5:$J$434,Countries!$A$5:$A$434,"All landing pages",Countries!$B$5:$B$434,"Paid Search",Countries!$D$5:$D$434,$A111,Countries!$F$5:$F$434,"&gt;0")/SUMIFS(Countries!$F$5:$F$434,Countries!$A$5:$A$434,"All landing pages",Countries!$B$5:$B$434,"Paid Search",Countries!$D$5:$D$434,$A111,Countries!$J$5:$J$434,"&gt;0"))</f>
        <v/>
      </c>
      <c r="D111" s="44">
        <f>IF(OR(B111="",C111=""),"",(C111-B111)*100)</f>
        <v/>
      </c>
      <c r="E111" s="73" t="n"/>
      <c r="F111" s="43">
        <f>IF(SUMIFS(Countries!$E$5:$E$434,Countries!$A$5:$A$434,"All landing pages",Countries!$B$5:$B$434,"Organic",Countries!$D$5:$D$434,$A111,Countries!$I$5:$I$434,"&gt;0")=0,"",SUMIFS(Countries!$I$5:$I$434,Countries!$A$5:$A$434,"All landing pages",Countries!$B$5:$B$434,"Organic",Countries!$D$5:$D$434,$A111,Countries!$E$5:$E$434,"&gt;0")/SUMIFS(Countries!$E$5:$E$434,Countries!$A$5:$A$434,"All landing pages",Countries!$B$5:$B$434,"Organic",Countries!$D$5:$D$434,$A111,Countries!$I$5:$I$434,"&gt;0"))</f>
        <v/>
      </c>
      <c r="G111" s="43">
        <f>IF(SUMIFS(Countries!$F$5:$F$434,Countries!$A$5:$A$434,"All landing pages",Countries!$B$5:$B$434,"Organic",Countries!$D$5:$D$434,$A111,Countries!$J$5:$J$434,"&gt;0")=0,"",SUMIFS(Countries!$J$5:$J$434,Countries!$A$5:$A$434,"All landing pages",Countries!$B$5:$B$434,"Organic",Countries!$D$5:$D$434,$A111,Countries!$F$5:$F$434,"&gt;0")/SUMIFS(Countries!$F$5:$F$434,Countries!$A$5:$A$434,"All landing pages",Countries!$B$5:$B$434,"Organic",Countries!$D$5:$D$434,$A111,Countries!$J$5:$J$434,"&gt;0"))</f>
        <v/>
      </c>
      <c r="H111" s="44">
        <f>IF(OR(F111="",G111=""),"",(G111-F111)*100)</f>
        <v/>
      </c>
      <c r="I111" s="73" t="n"/>
      <c r="J111" s="43">
        <f>IF(SUMIFS(Countries!$E$5:$E$434,Countries!$A$5:$A$434,"All landing pages",Countries!$B$5:$B$434,"Direct",Countries!$D$5:$D$434,$A111,Countries!$I$5:$I$434,"&gt;0")=0,"",SUMIFS(Countries!$I$5:$I$434,Countries!$A$5:$A$434,"All landing pages",Countries!$B$5:$B$434,"Direct",Countries!$D$5:$D$434,$A111,Countries!$E$5:$E$434,"&gt;0")/SUMIFS(Countries!$E$5:$E$434,Countries!$A$5:$A$434,"All landing pages",Countries!$B$5:$B$434,"Direct",Countries!$D$5:$D$434,$A111,Countries!$I$5:$I$434,"&gt;0"))</f>
        <v/>
      </c>
      <c r="K111" s="43">
        <f>IF(SUMIFS(Countries!$F$5:$F$434,Countries!$A$5:$A$434,"All landing pages",Countries!$B$5:$B$434,"Direct",Countries!$D$5:$D$434,$A111,Countries!$J$5:$J$434,"&gt;0")=0,"",SUMIFS(Countries!$J$5:$J$434,Countries!$A$5:$A$434,"All landing pages",Countries!$B$5:$B$434,"Direct",Countries!$D$5:$D$434,$A111,Countries!$F$5:$F$434,"&gt;0")/SUMIFS(Countries!$F$5:$F$434,Countries!$A$5:$A$434,"All landing pages",Countries!$B$5:$B$434,"Direct",Countries!$D$5:$D$434,$A111,Countries!$J$5:$J$434,"&gt;0"))</f>
        <v/>
      </c>
      <c r="L111" s="44">
        <f>IF(OR(J111="",K111=""),"",(K111-J111)*100)</f>
        <v/>
      </c>
      <c r="M111" s="73" t="n"/>
      <c r="N111" s="43">
        <f>IF(SUMIFS(Countries!$E$5:$E$434,Countries!$A$5:$A$434,"All landing pages",Countries!$D$5:$D$434,$A111,Countries!$I$5:$I$434,"&gt;0")=0,"",SUMIFS(Countries!$I$5:$I$434,Countries!$A$5:$A$434,"All landing pages",Countries!$D$5:$D$434,$A111,Countries!$E$5:$E$434,"&gt;0")/SUMIFS(Countries!$E$5:$E$434,Countries!$A$5:$A$434,"All landing pages",Countries!$D$5:$D$434,$A111,Countries!$I$5:$I$434,"&gt;0"))</f>
        <v/>
      </c>
      <c r="O111" s="43">
        <f>IF(SUMIFS(Countries!$F$5:$F$434,Countries!$A$5:$A$434,"All landing pages",Countries!$D$5:$D$434,$A111,Countries!$J$5:$J$434,"&gt;0")=0,"",SUMIFS(Countries!$J$5:$J$434,Countries!$A$5:$A$434,"All landing pages",Countries!$D$5:$D$434,$A111,Countries!$F$5:$F$434,"&gt;0")/SUMIFS(Countries!$F$5:$F$434,Countries!$A$5:$A$434,"All landing pages",Countries!$D$5:$D$434,$A111,Countries!$J$5:$J$434,"&gt;0"))</f>
        <v/>
      </c>
      <c r="P111" s="44">
        <f>IF(OR(N111="",O111=""),"",(O111-N111)*100)</f>
        <v/>
      </c>
      <c r="Q111" s="73" t="n"/>
    </row>
    <row r="112">
      <c r="A112" s="56" t="inlineStr">
        <is>
          <t>Honduras</t>
        </is>
      </c>
      <c r="B112" s="43">
        <f>IF(SUMIFS(Countries!$E$5:$E$434,Countries!$A$5:$A$434,"All landing pages",Countries!$B$5:$B$434,"Paid Search",Countries!$D$5:$D$434,$A112,Countries!$I$5:$I$434,"&gt;0")=0,"",SUMIFS(Countries!$I$5:$I$434,Countries!$A$5:$A$434,"All landing pages",Countries!$B$5:$B$434,"Paid Search",Countries!$D$5:$D$434,$A112,Countries!$E$5:$E$434,"&gt;0")/SUMIFS(Countries!$E$5:$E$434,Countries!$A$5:$A$434,"All landing pages",Countries!$B$5:$B$434,"Paid Search",Countries!$D$5:$D$434,$A112,Countries!$I$5:$I$434,"&gt;0"))</f>
        <v/>
      </c>
      <c r="C112" s="43">
        <f>IF(SUMIFS(Countries!$F$5:$F$434,Countries!$A$5:$A$434,"All landing pages",Countries!$B$5:$B$434,"Paid Search",Countries!$D$5:$D$434,$A112,Countries!$J$5:$J$434,"&gt;0")=0,"",SUMIFS(Countries!$J$5:$J$434,Countries!$A$5:$A$434,"All landing pages",Countries!$B$5:$B$434,"Paid Search",Countries!$D$5:$D$434,$A112,Countries!$F$5:$F$434,"&gt;0")/SUMIFS(Countries!$F$5:$F$434,Countries!$A$5:$A$434,"All landing pages",Countries!$B$5:$B$434,"Paid Search",Countries!$D$5:$D$434,$A112,Countries!$J$5:$J$434,"&gt;0"))</f>
        <v/>
      </c>
      <c r="D112" s="44">
        <f>IF(OR(B112="",C112=""),"",(C112-B112)*100)</f>
        <v/>
      </c>
      <c r="E112" s="73" t="n"/>
      <c r="F112" s="43">
        <f>IF(SUMIFS(Countries!$E$5:$E$434,Countries!$A$5:$A$434,"All landing pages",Countries!$B$5:$B$434,"Organic",Countries!$D$5:$D$434,$A112,Countries!$I$5:$I$434,"&gt;0")=0,"",SUMIFS(Countries!$I$5:$I$434,Countries!$A$5:$A$434,"All landing pages",Countries!$B$5:$B$434,"Organic",Countries!$D$5:$D$434,$A112,Countries!$E$5:$E$434,"&gt;0")/SUMIFS(Countries!$E$5:$E$434,Countries!$A$5:$A$434,"All landing pages",Countries!$B$5:$B$434,"Organic",Countries!$D$5:$D$434,$A112,Countries!$I$5:$I$434,"&gt;0"))</f>
        <v/>
      </c>
      <c r="G112" s="43">
        <f>IF(SUMIFS(Countries!$F$5:$F$434,Countries!$A$5:$A$434,"All landing pages",Countries!$B$5:$B$434,"Organic",Countries!$D$5:$D$434,$A112,Countries!$J$5:$J$434,"&gt;0")=0,"",SUMIFS(Countries!$J$5:$J$434,Countries!$A$5:$A$434,"All landing pages",Countries!$B$5:$B$434,"Organic",Countries!$D$5:$D$434,$A112,Countries!$F$5:$F$434,"&gt;0")/SUMIFS(Countries!$F$5:$F$434,Countries!$A$5:$A$434,"All landing pages",Countries!$B$5:$B$434,"Organic",Countries!$D$5:$D$434,$A112,Countries!$J$5:$J$434,"&gt;0"))</f>
        <v/>
      </c>
      <c r="H112" s="44">
        <f>IF(OR(F112="",G112=""),"",(G112-F112)*100)</f>
        <v/>
      </c>
      <c r="I112" s="73" t="n"/>
      <c r="J112" s="43">
        <f>IF(SUMIFS(Countries!$E$5:$E$434,Countries!$A$5:$A$434,"All landing pages",Countries!$B$5:$B$434,"Direct",Countries!$D$5:$D$434,$A112,Countries!$I$5:$I$434,"&gt;0")=0,"",SUMIFS(Countries!$I$5:$I$434,Countries!$A$5:$A$434,"All landing pages",Countries!$B$5:$B$434,"Direct",Countries!$D$5:$D$434,$A112,Countries!$E$5:$E$434,"&gt;0")/SUMIFS(Countries!$E$5:$E$434,Countries!$A$5:$A$434,"All landing pages",Countries!$B$5:$B$434,"Direct",Countries!$D$5:$D$434,$A112,Countries!$I$5:$I$434,"&gt;0"))</f>
        <v/>
      </c>
      <c r="K112" s="43">
        <f>IF(SUMIFS(Countries!$F$5:$F$434,Countries!$A$5:$A$434,"All landing pages",Countries!$B$5:$B$434,"Direct",Countries!$D$5:$D$434,$A112,Countries!$J$5:$J$434,"&gt;0")=0,"",SUMIFS(Countries!$J$5:$J$434,Countries!$A$5:$A$434,"All landing pages",Countries!$B$5:$B$434,"Direct",Countries!$D$5:$D$434,$A112,Countries!$F$5:$F$434,"&gt;0")/SUMIFS(Countries!$F$5:$F$434,Countries!$A$5:$A$434,"All landing pages",Countries!$B$5:$B$434,"Direct",Countries!$D$5:$D$434,$A112,Countries!$J$5:$J$434,"&gt;0"))</f>
        <v/>
      </c>
      <c r="L112" s="44">
        <f>IF(OR(J112="",K112=""),"",(K112-J112)*100)</f>
        <v/>
      </c>
      <c r="M112" s="73" t="n"/>
      <c r="N112" s="43">
        <f>IF(SUMIFS(Countries!$E$5:$E$434,Countries!$A$5:$A$434,"All landing pages",Countries!$D$5:$D$434,$A112,Countries!$I$5:$I$434,"&gt;0")=0,"",SUMIFS(Countries!$I$5:$I$434,Countries!$A$5:$A$434,"All landing pages",Countries!$D$5:$D$434,$A112,Countries!$E$5:$E$434,"&gt;0")/SUMIFS(Countries!$E$5:$E$434,Countries!$A$5:$A$434,"All landing pages",Countries!$D$5:$D$434,$A112,Countries!$I$5:$I$434,"&gt;0"))</f>
        <v/>
      </c>
      <c r="O112" s="43">
        <f>IF(SUMIFS(Countries!$F$5:$F$434,Countries!$A$5:$A$434,"All landing pages",Countries!$D$5:$D$434,$A112,Countries!$J$5:$J$434,"&gt;0")=0,"",SUMIFS(Countries!$J$5:$J$434,Countries!$A$5:$A$434,"All landing pages",Countries!$D$5:$D$434,$A112,Countries!$F$5:$F$434,"&gt;0")/SUMIFS(Countries!$F$5:$F$434,Countries!$A$5:$A$434,"All landing pages",Countries!$D$5:$D$434,$A112,Countries!$J$5:$J$434,"&gt;0"))</f>
        <v/>
      </c>
      <c r="P112" s="44">
        <f>IF(OR(N112="",O112=""),"",(O112-N112)*100)</f>
        <v/>
      </c>
      <c r="Q112" s="73" t="n"/>
    </row>
    <row r="113">
      <c r="A113" s="40" t="inlineStr">
        <is>
          <t>Israel</t>
        </is>
      </c>
      <c r="B113" s="43">
        <f>IF(SUMIFS(Countries!$E$5:$E$434,Countries!$A$5:$A$434,"All landing pages",Countries!$B$5:$B$434,"Paid Search",Countries!$D$5:$D$434,$A113,Countries!$I$5:$I$434,"&gt;0")=0,"",SUMIFS(Countries!$I$5:$I$434,Countries!$A$5:$A$434,"All landing pages",Countries!$B$5:$B$434,"Paid Search",Countries!$D$5:$D$434,$A113,Countries!$E$5:$E$434,"&gt;0")/SUMIFS(Countries!$E$5:$E$434,Countries!$A$5:$A$434,"All landing pages",Countries!$B$5:$B$434,"Paid Search",Countries!$D$5:$D$434,$A113,Countries!$I$5:$I$434,"&gt;0"))</f>
        <v/>
      </c>
      <c r="C113" s="43">
        <f>IF(SUMIFS(Countries!$F$5:$F$434,Countries!$A$5:$A$434,"All landing pages",Countries!$B$5:$B$434,"Paid Search",Countries!$D$5:$D$434,$A113,Countries!$J$5:$J$434,"&gt;0")=0,"",SUMIFS(Countries!$J$5:$J$434,Countries!$A$5:$A$434,"All landing pages",Countries!$B$5:$B$434,"Paid Search",Countries!$D$5:$D$434,$A113,Countries!$F$5:$F$434,"&gt;0")/SUMIFS(Countries!$F$5:$F$434,Countries!$A$5:$A$434,"All landing pages",Countries!$B$5:$B$434,"Paid Search",Countries!$D$5:$D$434,$A113,Countries!$J$5:$J$434,"&gt;0"))</f>
        <v/>
      </c>
      <c r="D113" s="44">
        <f>IF(OR(B113="",C113=""),"",(C113-B113)*100)</f>
        <v/>
      </c>
      <c r="E113" s="73" t="n"/>
      <c r="F113" s="43">
        <f>IF(SUMIFS(Countries!$E$5:$E$434,Countries!$A$5:$A$434,"All landing pages",Countries!$B$5:$B$434,"Organic",Countries!$D$5:$D$434,$A113,Countries!$I$5:$I$434,"&gt;0")=0,"",SUMIFS(Countries!$I$5:$I$434,Countries!$A$5:$A$434,"All landing pages",Countries!$B$5:$B$434,"Organic",Countries!$D$5:$D$434,$A113,Countries!$E$5:$E$434,"&gt;0")/SUMIFS(Countries!$E$5:$E$434,Countries!$A$5:$A$434,"All landing pages",Countries!$B$5:$B$434,"Organic",Countries!$D$5:$D$434,$A113,Countries!$I$5:$I$434,"&gt;0"))</f>
        <v/>
      </c>
      <c r="G113" s="43">
        <f>IF(SUMIFS(Countries!$F$5:$F$434,Countries!$A$5:$A$434,"All landing pages",Countries!$B$5:$B$434,"Organic",Countries!$D$5:$D$434,$A113,Countries!$J$5:$J$434,"&gt;0")=0,"",SUMIFS(Countries!$J$5:$J$434,Countries!$A$5:$A$434,"All landing pages",Countries!$B$5:$B$434,"Organic",Countries!$D$5:$D$434,$A113,Countries!$F$5:$F$434,"&gt;0")/SUMIFS(Countries!$F$5:$F$434,Countries!$A$5:$A$434,"All landing pages",Countries!$B$5:$B$434,"Organic",Countries!$D$5:$D$434,$A113,Countries!$J$5:$J$434,"&gt;0"))</f>
        <v/>
      </c>
      <c r="H113" s="44">
        <f>IF(OR(F113="",G113=""),"",(G113-F113)*100)</f>
        <v/>
      </c>
      <c r="I113" s="73" t="n"/>
      <c r="J113" s="43">
        <f>IF(SUMIFS(Countries!$E$5:$E$434,Countries!$A$5:$A$434,"All landing pages",Countries!$B$5:$B$434,"Direct",Countries!$D$5:$D$434,$A113,Countries!$I$5:$I$434,"&gt;0")=0,"",SUMIFS(Countries!$I$5:$I$434,Countries!$A$5:$A$434,"All landing pages",Countries!$B$5:$B$434,"Direct",Countries!$D$5:$D$434,$A113,Countries!$E$5:$E$434,"&gt;0")/SUMIFS(Countries!$E$5:$E$434,Countries!$A$5:$A$434,"All landing pages",Countries!$B$5:$B$434,"Direct",Countries!$D$5:$D$434,$A113,Countries!$I$5:$I$434,"&gt;0"))</f>
        <v/>
      </c>
      <c r="K113" s="43">
        <f>IF(SUMIFS(Countries!$F$5:$F$434,Countries!$A$5:$A$434,"All landing pages",Countries!$B$5:$B$434,"Direct",Countries!$D$5:$D$434,$A113,Countries!$J$5:$J$434,"&gt;0")=0,"",SUMIFS(Countries!$J$5:$J$434,Countries!$A$5:$A$434,"All landing pages",Countries!$B$5:$B$434,"Direct",Countries!$D$5:$D$434,$A113,Countries!$F$5:$F$434,"&gt;0")/SUMIFS(Countries!$F$5:$F$434,Countries!$A$5:$A$434,"All landing pages",Countries!$B$5:$B$434,"Direct",Countries!$D$5:$D$434,$A113,Countries!$J$5:$J$434,"&gt;0"))</f>
        <v/>
      </c>
      <c r="L113" s="44">
        <f>IF(OR(J113="",K113=""),"",(K113-J113)*100)</f>
        <v/>
      </c>
      <c r="M113" s="73" t="n"/>
      <c r="N113" s="43">
        <f>IF(SUMIFS(Countries!$E$5:$E$434,Countries!$A$5:$A$434,"All landing pages",Countries!$D$5:$D$434,$A113,Countries!$I$5:$I$434,"&gt;0")=0,"",SUMIFS(Countries!$I$5:$I$434,Countries!$A$5:$A$434,"All landing pages",Countries!$D$5:$D$434,$A113,Countries!$E$5:$E$434,"&gt;0")/SUMIFS(Countries!$E$5:$E$434,Countries!$A$5:$A$434,"All landing pages",Countries!$D$5:$D$434,$A113,Countries!$I$5:$I$434,"&gt;0"))</f>
        <v/>
      </c>
      <c r="O113" s="43">
        <f>IF(SUMIFS(Countries!$F$5:$F$434,Countries!$A$5:$A$434,"All landing pages",Countries!$D$5:$D$434,$A113,Countries!$J$5:$J$434,"&gt;0")=0,"",SUMIFS(Countries!$J$5:$J$434,Countries!$A$5:$A$434,"All landing pages",Countries!$D$5:$D$434,$A113,Countries!$F$5:$F$434,"&gt;0")/SUMIFS(Countries!$F$5:$F$434,Countries!$A$5:$A$434,"All landing pages",Countries!$D$5:$D$434,$A113,Countries!$J$5:$J$434,"&gt;0"))</f>
        <v/>
      </c>
      <c r="P113" s="44">
        <f>IF(OR(N113="",O113=""),"",(O113-N113)*100)</f>
        <v/>
      </c>
      <c r="Q113" s="73" t="n"/>
    </row>
    <row r="114">
      <c r="A114" s="56" t="inlineStr">
        <is>
          <t>Philippines</t>
        </is>
      </c>
      <c r="B114" s="43">
        <f>IF(SUMIFS(Countries!$E$5:$E$434,Countries!$A$5:$A$434,"All landing pages",Countries!$B$5:$B$434,"Paid Search",Countries!$D$5:$D$434,$A114,Countries!$I$5:$I$434,"&gt;0")=0,"",SUMIFS(Countries!$I$5:$I$434,Countries!$A$5:$A$434,"All landing pages",Countries!$B$5:$B$434,"Paid Search",Countries!$D$5:$D$434,$A114,Countries!$E$5:$E$434,"&gt;0")/SUMIFS(Countries!$E$5:$E$434,Countries!$A$5:$A$434,"All landing pages",Countries!$B$5:$B$434,"Paid Search",Countries!$D$5:$D$434,$A114,Countries!$I$5:$I$434,"&gt;0"))</f>
        <v/>
      </c>
      <c r="C114" s="43">
        <f>IF(SUMIFS(Countries!$F$5:$F$434,Countries!$A$5:$A$434,"All landing pages",Countries!$B$5:$B$434,"Paid Search",Countries!$D$5:$D$434,$A114,Countries!$J$5:$J$434,"&gt;0")=0,"",SUMIFS(Countries!$J$5:$J$434,Countries!$A$5:$A$434,"All landing pages",Countries!$B$5:$B$434,"Paid Search",Countries!$D$5:$D$434,$A114,Countries!$F$5:$F$434,"&gt;0")/SUMIFS(Countries!$F$5:$F$434,Countries!$A$5:$A$434,"All landing pages",Countries!$B$5:$B$434,"Paid Search",Countries!$D$5:$D$434,$A114,Countries!$J$5:$J$434,"&gt;0"))</f>
        <v/>
      </c>
      <c r="D114" s="44">
        <f>IF(OR(B114="",C114=""),"",(C114-B114)*100)</f>
        <v/>
      </c>
      <c r="E114" s="73" t="n"/>
      <c r="F114" s="43">
        <f>IF(SUMIFS(Countries!$E$5:$E$434,Countries!$A$5:$A$434,"All landing pages",Countries!$B$5:$B$434,"Organic",Countries!$D$5:$D$434,$A114,Countries!$I$5:$I$434,"&gt;0")=0,"",SUMIFS(Countries!$I$5:$I$434,Countries!$A$5:$A$434,"All landing pages",Countries!$B$5:$B$434,"Organic",Countries!$D$5:$D$434,$A114,Countries!$E$5:$E$434,"&gt;0")/SUMIFS(Countries!$E$5:$E$434,Countries!$A$5:$A$434,"All landing pages",Countries!$B$5:$B$434,"Organic",Countries!$D$5:$D$434,$A114,Countries!$I$5:$I$434,"&gt;0"))</f>
        <v/>
      </c>
      <c r="G114" s="43">
        <f>IF(SUMIFS(Countries!$F$5:$F$434,Countries!$A$5:$A$434,"All landing pages",Countries!$B$5:$B$434,"Organic",Countries!$D$5:$D$434,$A114,Countries!$J$5:$J$434,"&gt;0")=0,"",SUMIFS(Countries!$J$5:$J$434,Countries!$A$5:$A$434,"All landing pages",Countries!$B$5:$B$434,"Organic",Countries!$D$5:$D$434,$A114,Countries!$F$5:$F$434,"&gt;0")/SUMIFS(Countries!$F$5:$F$434,Countries!$A$5:$A$434,"All landing pages",Countries!$B$5:$B$434,"Organic",Countries!$D$5:$D$434,$A114,Countries!$J$5:$J$434,"&gt;0"))</f>
        <v/>
      </c>
      <c r="H114" s="44">
        <f>IF(OR(F114="",G114=""),"",(G114-F114)*100)</f>
        <v/>
      </c>
      <c r="I114" s="73" t="n"/>
      <c r="J114" s="43">
        <f>IF(SUMIFS(Countries!$E$5:$E$434,Countries!$A$5:$A$434,"All landing pages",Countries!$B$5:$B$434,"Direct",Countries!$D$5:$D$434,$A114,Countries!$I$5:$I$434,"&gt;0")=0,"",SUMIFS(Countries!$I$5:$I$434,Countries!$A$5:$A$434,"All landing pages",Countries!$B$5:$B$434,"Direct",Countries!$D$5:$D$434,$A114,Countries!$E$5:$E$434,"&gt;0")/SUMIFS(Countries!$E$5:$E$434,Countries!$A$5:$A$434,"All landing pages",Countries!$B$5:$B$434,"Direct",Countries!$D$5:$D$434,$A114,Countries!$I$5:$I$434,"&gt;0"))</f>
        <v/>
      </c>
      <c r="K114" s="43">
        <f>IF(SUMIFS(Countries!$F$5:$F$434,Countries!$A$5:$A$434,"All landing pages",Countries!$B$5:$B$434,"Direct",Countries!$D$5:$D$434,$A114,Countries!$J$5:$J$434,"&gt;0")=0,"",SUMIFS(Countries!$J$5:$J$434,Countries!$A$5:$A$434,"All landing pages",Countries!$B$5:$B$434,"Direct",Countries!$D$5:$D$434,$A114,Countries!$F$5:$F$434,"&gt;0")/SUMIFS(Countries!$F$5:$F$434,Countries!$A$5:$A$434,"All landing pages",Countries!$B$5:$B$434,"Direct",Countries!$D$5:$D$434,$A114,Countries!$J$5:$J$434,"&gt;0"))</f>
        <v/>
      </c>
      <c r="L114" s="44">
        <f>IF(OR(J114="",K114=""),"",(K114-J114)*100)</f>
        <v/>
      </c>
      <c r="M114" s="73" t="n"/>
      <c r="N114" s="43">
        <f>IF(SUMIFS(Countries!$E$5:$E$434,Countries!$A$5:$A$434,"All landing pages",Countries!$D$5:$D$434,$A114,Countries!$I$5:$I$434,"&gt;0")=0,"",SUMIFS(Countries!$I$5:$I$434,Countries!$A$5:$A$434,"All landing pages",Countries!$D$5:$D$434,$A114,Countries!$E$5:$E$434,"&gt;0")/SUMIFS(Countries!$E$5:$E$434,Countries!$A$5:$A$434,"All landing pages",Countries!$D$5:$D$434,$A114,Countries!$I$5:$I$434,"&gt;0"))</f>
        <v/>
      </c>
      <c r="O114" s="43">
        <f>IF(SUMIFS(Countries!$F$5:$F$434,Countries!$A$5:$A$434,"All landing pages",Countries!$D$5:$D$434,$A114,Countries!$J$5:$J$434,"&gt;0")=0,"",SUMIFS(Countries!$J$5:$J$434,Countries!$A$5:$A$434,"All landing pages",Countries!$D$5:$D$434,$A114,Countries!$F$5:$F$434,"&gt;0")/SUMIFS(Countries!$F$5:$F$434,Countries!$A$5:$A$434,"All landing pages",Countries!$D$5:$D$434,$A114,Countries!$J$5:$J$434,"&gt;0"))</f>
        <v/>
      </c>
      <c r="P114" s="44">
        <f>IF(OR(N114="",O114=""),"",(O114-N114)*100)</f>
        <v/>
      </c>
      <c r="Q114" s="73" t="n"/>
    </row>
    <row r="115">
      <c r="A115" s="40" t="inlineStr">
        <is>
          <t>Ukraine</t>
        </is>
      </c>
      <c r="B115" s="43">
        <f>IF(SUMIFS(Countries!$E$5:$E$434,Countries!$A$5:$A$434,"All landing pages",Countries!$B$5:$B$434,"Paid Search",Countries!$D$5:$D$434,$A115,Countries!$I$5:$I$434,"&gt;0")=0,"",SUMIFS(Countries!$I$5:$I$434,Countries!$A$5:$A$434,"All landing pages",Countries!$B$5:$B$434,"Paid Search",Countries!$D$5:$D$434,$A115,Countries!$E$5:$E$434,"&gt;0")/SUMIFS(Countries!$E$5:$E$434,Countries!$A$5:$A$434,"All landing pages",Countries!$B$5:$B$434,"Paid Search",Countries!$D$5:$D$434,$A115,Countries!$I$5:$I$434,"&gt;0"))</f>
        <v/>
      </c>
      <c r="C115" s="43">
        <f>IF(SUMIFS(Countries!$F$5:$F$434,Countries!$A$5:$A$434,"All landing pages",Countries!$B$5:$B$434,"Paid Search",Countries!$D$5:$D$434,$A115,Countries!$J$5:$J$434,"&gt;0")=0,"",SUMIFS(Countries!$J$5:$J$434,Countries!$A$5:$A$434,"All landing pages",Countries!$B$5:$B$434,"Paid Search",Countries!$D$5:$D$434,$A115,Countries!$F$5:$F$434,"&gt;0")/SUMIFS(Countries!$F$5:$F$434,Countries!$A$5:$A$434,"All landing pages",Countries!$B$5:$B$434,"Paid Search",Countries!$D$5:$D$434,$A115,Countries!$J$5:$J$434,"&gt;0"))</f>
        <v/>
      </c>
      <c r="D115" s="44">
        <f>IF(OR(B115="",C115=""),"",(C115-B115)*100)</f>
        <v/>
      </c>
      <c r="E115" s="73" t="n"/>
      <c r="F115" s="43">
        <f>IF(SUMIFS(Countries!$E$5:$E$434,Countries!$A$5:$A$434,"All landing pages",Countries!$B$5:$B$434,"Organic",Countries!$D$5:$D$434,$A115,Countries!$I$5:$I$434,"&gt;0")=0,"",SUMIFS(Countries!$I$5:$I$434,Countries!$A$5:$A$434,"All landing pages",Countries!$B$5:$B$434,"Organic",Countries!$D$5:$D$434,$A115,Countries!$E$5:$E$434,"&gt;0")/SUMIFS(Countries!$E$5:$E$434,Countries!$A$5:$A$434,"All landing pages",Countries!$B$5:$B$434,"Organic",Countries!$D$5:$D$434,$A115,Countries!$I$5:$I$434,"&gt;0"))</f>
        <v/>
      </c>
      <c r="G115" s="43">
        <f>IF(SUMIFS(Countries!$F$5:$F$434,Countries!$A$5:$A$434,"All landing pages",Countries!$B$5:$B$434,"Organic",Countries!$D$5:$D$434,$A115,Countries!$J$5:$J$434,"&gt;0")=0,"",SUMIFS(Countries!$J$5:$J$434,Countries!$A$5:$A$434,"All landing pages",Countries!$B$5:$B$434,"Organic",Countries!$D$5:$D$434,$A115,Countries!$F$5:$F$434,"&gt;0")/SUMIFS(Countries!$F$5:$F$434,Countries!$A$5:$A$434,"All landing pages",Countries!$B$5:$B$434,"Organic",Countries!$D$5:$D$434,$A115,Countries!$J$5:$J$434,"&gt;0"))</f>
        <v/>
      </c>
      <c r="H115" s="44">
        <f>IF(OR(F115="",G115=""),"",(G115-F115)*100)</f>
        <v/>
      </c>
      <c r="I115" s="73" t="n"/>
      <c r="J115" s="43">
        <f>IF(SUMIFS(Countries!$E$5:$E$434,Countries!$A$5:$A$434,"All landing pages",Countries!$B$5:$B$434,"Direct",Countries!$D$5:$D$434,$A115,Countries!$I$5:$I$434,"&gt;0")=0,"",SUMIFS(Countries!$I$5:$I$434,Countries!$A$5:$A$434,"All landing pages",Countries!$B$5:$B$434,"Direct",Countries!$D$5:$D$434,$A115,Countries!$E$5:$E$434,"&gt;0")/SUMIFS(Countries!$E$5:$E$434,Countries!$A$5:$A$434,"All landing pages",Countries!$B$5:$B$434,"Direct",Countries!$D$5:$D$434,$A115,Countries!$I$5:$I$434,"&gt;0"))</f>
        <v/>
      </c>
      <c r="K115" s="43">
        <f>IF(SUMIFS(Countries!$F$5:$F$434,Countries!$A$5:$A$434,"All landing pages",Countries!$B$5:$B$434,"Direct",Countries!$D$5:$D$434,$A115,Countries!$J$5:$J$434,"&gt;0")=0,"",SUMIFS(Countries!$J$5:$J$434,Countries!$A$5:$A$434,"All landing pages",Countries!$B$5:$B$434,"Direct",Countries!$D$5:$D$434,$A115,Countries!$F$5:$F$434,"&gt;0")/SUMIFS(Countries!$F$5:$F$434,Countries!$A$5:$A$434,"All landing pages",Countries!$B$5:$B$434,"Direct",Countries!$D$5:$D$434,$A115,Countries!$J$5:$J$434,"&gt;0"))</f>
        <v/>
      </c>
      <c r="L115" s="44">
        <f>IF(OR(J115="",K115=""),"",(K115-J115)*100)</f>
        <v/>
      </c>
      <c r="M115" s="73" t="n"/>
      <c r="N115" s="43">
        <f>IF(SUMIFS(Countries!$E$5:$E$434,Countries!$A$5:$A$434,"All landing pages",Countries!$D$5:$D$434,$A115,Countries!$I$5:$I$434,"&gt;0")=0,"",SUMIFS(Countries!$I$5:$I$434,Countries!$A$5:$A$434,"All landing pages",Countries!$D$5:$D$434,$A115,Countries!$E$5:$E$434,"&gt;0")/SUMIFS(Countries!$E$5:$E$434,Countries!$A$5:$A$434,"All landing pages",Countries!$D$5:$D$434,$A115,Countries!$I$5:$I$434,"&gt;0"))</f>
        <v/>
      </c>
      <c r="O115" s="43">
        <f>IF(SUMIFS(Countries!$F$5:$F$434,Countries!$A$5:$A$434,"All landing pages",Countries!$D$5:$D$434,$A115,Countries!$J$5:$J$434,"&gt;0")=0,"",SUMIFS(Countries!$J$5:$J$434,Countries!$A$5:$A$434,"All landing pages",Countries!$D$5:$D$434,$A115,Countries!$F$5:$F$434,"&gt;0")/SUMIFS(Countries!$F$5:$F$434,Countries!$A$5:$A$434,"All landing pages",Countries!$D$5:$D$434,$A115,Countries!$J$5:$J$434,"&gt;0"))</f>
        <v/>
      </c>
      <c r="P115" s="44">
        <f>IF(OR(N115="",O115=""),"",(O115-N115)*100)</f>
        <v/>
      </c>
      <c r="Q115" s="73" t="n"/>
    </row>
    <row r="118">
      <c r="A118" s="39" t="inlineStr">
        <is>
          <t>Searches</t>
        </is>
      </c>
    </row>
    <row r="119">
      <c r="A119" s="75" t="inlineStr">
        <is>
          <t>Country</t>
        </is>
      </c>
      <c r="B119" s="27" t="inlineStr">
        <is>
          <t>Paid Search</t>
        </is>
      </c>
      <c r="C119" s="17" t="n"/>
      <c r="D119" s="17" t="n"/>
      <c r="E119" s="17" t="n"/>
      <c r="F119" s="27" t="inlineStr">
        <is>
          <t>Organic</t>
        </is>
      </c>
      <c r="G119" s="17" t="n"/>
      <c r="H119" s="17" t="n"/>
      <c r="I119" s="17" t="n"/>
      <c r="J119" s="27" t="inlineStr">
        <is>
          <t>Direct</t>
        </is>
      </c>
      <c r="K119" s="17" t="n"/>
      <c r="L119" s="17" t="n"/>
      <c r="M119" s="17" t="n"/>
      <c r="N119" s="27" t="inlineStr">
        <is>
          <t>Total</t>
        </is>
      </c>
      <c r="O119" s="17" t="n"/>
      <c r="P119" s="17" t="n"/>
      <c r="Q119" s="17" t="n"/>
    </row>
    <row r="120">
      <c r="A120" s="15" t="n"/>
      <c r="B120" s="27" t="inlineStr">
        <is>
          <t>1-23Aug25</t>
        </is>
      </c>
      <c r="C120" s="27" t="inlineStr">
        <is>
          <t>1-23Aug26</t>
        </is>
      </c>
      <c r="D120" s="27" t="inlineStr">
        <is>
          <t>Δ</t>
        </is>
      </c>
      <c r="E120" s="27" t="inlineStr">
        <is>
          <t>% Δ</t>
        </is>
      </c>
      <c r="F120" s="27" t="inlineStr">
        <is>
          <t>1-23Aug25</t>
        </is>
      </c>
      <c r="G120" s="27" t="inlineStr">
        <is>
          <t>1-23Aug26</t>
        </is>
      </c>
      <c r="H120" s="27" t="inlineStr">
        <is>
          <t>Δ</t>
        </is>
      </c>
      <c r="I120" s="27" t="inlineStr">
        <is>
          <t>% Δ</t>
        </is>
      </c>
      <c r="J120" s="27" t="inlineStr">
        <is>
          <t>1-23Aug25</t>
        </is>
      </c>
      <c r="K120" s="27" t="inlineStr">
        <is>
          <t>1-23Aug26</t>
        </is>
      </c>
      <c r="L120" s="27" t="inlineStr">
        <is>
          <t>Δ</t>
        </is>
      </c>
      <c r="M120" s="27" t="inlineStr">
        <is>
          <t>% Δ</t>
        </is>
      </c>
      <c r="N120" s="27" t="inlineStr">
        <is>
          <t>1-23Aug25</t>
        </is>
      </c>
      <c r="O120" s="27" t="inlineStr">
        <is>
          <t>1-23Aug26</t>
        </is>
      </c>
      <c r="P120" s="27" t="inlineStr">
        <is>
          <t>Δ</t>
        </is>
      </c>
      <c r="Q120" s="27" t="inlineStr">
        <is>
          <t>% Δ</t>
        </is>
      </c>
    </row>
    <row r="121">
      <c r="A121" s="40" t="inlineStr">
        <is>
          <t>United Kingdom</t>
        </is>
      </c>
      <c r="B121" s="41">
        <f>IF(SUMIFS(Countries!$P$5:$P$434,Countries!$A$5:$A$434,"All landing pages",Countries!$B$5:$B$434,"Paid Search",Countries!$D$5:$D$434,$A121)=0,"",SUMIFS(Countries!$P$5:$P$434,Countries!$A$5:$A$434,"All landing pages",Countries!$B$5:$B$434,"Paid Search",Countries!$D$5:$D$434,$A121))</f>
        <v/>
      </c>
      <c r="C121" s="41">
        <f>IF(SUMIFS(Countries!$Q$5:$Q$434,Countries!$A$5:$A$434,"All landing pages",Countries!$B$5:$B$434,"Paid Search",Countries!$D$5:$D$434,$A121)=0,"",SUMIFS(Countries!$Q$5:$Q$434,Countries!$A$5:$A$434,"All landing pages",Countries!$B$5:$B$434,"Paid Search",Countries!$D$5:$D$434,$A121))</f>
        <v/>
      </c>
      <c r="D121" s="69">
        <f>IF(OR(C121="",B121="",B121=0,C121=0),"",C121-B121)</f>
        <v/>
      </c>
      <c r="E121" s="42">
        <f>IF(OR(C121="",B121="",B121=0,C121=0),"",C121/B121-1)</f>
        <v/>
      </c>
      <c r="F121" s="41">
        <f>IF(SUMIFS(Countries!$P$5:$P$434,Countries!$A$5:$A$434,"All landing pages",Countries!$B$5:$B$434,"Organic",Countries!$D$5:$D$434,$A121)=0,"",SUMIFS(Countries!$P$5:$P$434,Countries!$A$5:$A$434,"All landing pages",Countries!$B$5:$B$434,"Organic",Countries!$D$5:$D$434,$A121))</f>
        <v/>
      </c>
      <c r="G121" s="41">
        <f>IF(SUMIFS(Countries!$Q$5:$Q$434,Countries!$A$5:$A$434,"All landing pages",Countries!$B$5:$B$434,"Organic",Countries!$D$5:$D$434,$A121)=0,"",SUMIFS(Countries!$Q$5:$Q$434,Countries!$A$5:$A$434,"All landing pages",Countries!$B$5:$B$434,"Organic",Countries!$D$5:$D$434,$A121))</f>
        <v/>
      </c>
      <c r="H121" s="69">
        <f>IF(OR(G121="",F121="",F121=0,G121=0),"",G121-F121)</f>
        <v/>
      </c>
      <c r="I121" s="42">
        <f>IF(OR(G121="",F121="",F121=0,G121=0),"",G121/F121-1)</f>
        <v/>
      </c>
      <c r="J121" s="41">
        <f>IF(SUMIFS(Countries!$P$5:$P$434,Countries!$A$5:$A$434,"All landing pages",Countries!$B$5:$B$434,"Direct",Countries!$D$5:$D$434,$A121)=0,"",SUMIFS(Countries!$P$5:$P$434,Countries!$A$5:$A$434,"All landing pages",Countries!$B$5:$B$434,"Direct",Countries!$D$5:$D$434,$A121))</f>
        <v/>
      </c>
      <c r="K121" s="41">
        <f>IF(SUMIFS(Countries!$Q$5:$Q$434,Countries!$A$5:$A$434,"All landing pages",Countries!$B$5:$B$434,"Direct",Countries!$D$5:$D$434,$A121)=0,"",SUMIFS(Countries!$Q$5:$Q$434,Countries!$A$5:$A$434,"All landing pages",Countries!$B$5:$B$434,"Direct",Countries!$D$5:$D$434,$A121))</f>
        <v/>
      </c>
      <c r="L121" s="69">
        <f>IF(OR(K121="",J121="",J121=0,K121=0),"",K121-J121)</f>
        <v/>
      </c>
      <c r="M121" s="42">
        <f>IF(OR(K121="",J121="",J121=0,K121=0),"",K121/J121-1)</f>
        <v/>
      </c>
      <c r="N121" s="41">
        <f>IF(SUM(B121,F121,J121)=0,"",SUM(B121,F121,J121))</f>
        <v/>
      </c>
      <c r="O121" s="41">
        <f>IF(SUM(C121,G121,K121)=0,"",SUM(C121,G121,K121))</f>
        <v/>
      </c>
      <c r="P121" s="69">
        <f>IF(OR(O121="",N121="",N121=0,O121=0),"",O121-N121)</f>
        <v/>
      </c>
      <c r="Q121" s="42">
        <f>IF(OR(O121="",N121="",N121=0,O121=0),"",O121/N121-1)</f>
        <v/>
      </c>
    </row>
    <row r="122">
      <c r="A122" s="56" t="inlineStr">
        <is>
          <t>Germany</t>
        </is>
      </c>
      <c r="B122" s="41">
        <f>IF(SUMIFS(Countries!$P$5:$P$434,Countries!$A$5:$A$434,"All landing pages",Countries!$B$5:$B$434,"Paid Search",Countries!$D$5:$D$434,$A122)=0,"",SUMIFS(Countries!$P$5:$P$434,Countries!$A$5:$A$434,"All landing pages",Countries!$B$5:$B$434,"Paid Search",Countries!$D$5:$D$434,$A122))</f>
        <v/>
      </c>
      <c r="C122" s="41">
        <f>IF(SUMIFS(Countries!$Q$5:$Q$434,Countries!$A$5:$A$434,"All landing pages",Countries!$B$5:$B$434,"Paid Search",Countries!$D$5:$D$434,$A122)=0,"",SUMIFS(Countries!$Q$5:$Q$434,Countries!$A$5:$A$434,"All landing pages",Countries!$B$5:$B$434,"Paid Search",Countries!$D$5:$D$434,$A122))</f>
        <v/>
      </c>
      <c r="D122" s="69">
        <f>IF(OR(C122="",B122="",B122=0,C122=0),"",C122-B122)</f>
        <v/>
      </c>
      <c r="E122" s="42">
        <f>IF(OR(C122="",B122="",B122=0,C122=0),"",C122/B122-1)</f>
        <v/>
      </c>
      <c r="F122" s="41">
        <f>IF(SUMIFS(Countries!$P$5:$P$434,Countries!$A$5:$A$434,"All landing pages",Countries!$B$5:$B$434,"Organic",Countries!$D$5:$D$434,$A122)=0,"",SUMIFS(Countries!$P$5:$P$434,Countries!$A$5:$A$434,"All landing pages",Countries!$B$5:$B$434,"Organic",Countries!$D$5:$D$434,$A122))</f>
        <v/>
      </c>
      <c r="G122" s="41">
        <f>IF(SUMIFS(Countries!$Q$5:$Q$434,Countries!$A$5:$A$434,"All landing pages",Countries!$B$5:$B$434,"Organic",Countries!$D$5:$D$434,$A122)=0,"",SUMIFS(Countries!$Q$5:$Q$434,Countries!$A$5:$A$434,"All landing pages",Countries!$B$5:$B$434,"Organic",Countries!$D$5:$D$434,$A122))</f>
        <v/>
      </c>
      <c r="H122" s="69">
        <f>IF(OR(G122="",F122="",F122=0,G122=0),"",G122-F122)</f>
        <v/>
      </c>
      <c r="I122" s="42">
        <f>IF(OR(G122="",F122="",F122=0,G122=0),"",G122/F122-1)</f>
        <v/>
      </c>
      <c r="J122" s="41">
        <f>IF(SUMIFS(Countries!$P$5:$P$434,Countries!$A$5:$A$434,"All landing pages",Countries!$B$5:$B$434,"Direct",Countries!$D$5:$D$434,$A122)=0,"",SUMIFS(Countries!$P$5:$P$434,Countries!$A$5:$A$434,"All landing pages",Countries!$B$5:$B$434,"Direct",Countries!$D$5:$D$434,$A122))</f>
        <v/>
      </c>
      <c r="K122" s="41">
        <f>IF(SUMIFS(Countries!$Q$5:$Q$434,Countries!$A$5:$A$434,"All landing pages",Countries!$B$5:$B$434,"Direct",Countries!$D$5:$D$434,$A122)=0,"",SUMIFS(Countries!$Q$5:$Q$434,Countries!$A$5:$A$434,"All landing pages",Countries!$B$5:$B$434,"Direct",Countries!$D$5:$D$434,$A122))</f>
        <v/>
      </c>
      <c r="L122" s="69">
        <f>IF(OR(K122="",J122="",J122=0,K122=0),"",K122-J122)</f>
        <v/>
      </c>
      <c r="M122" s="42">
        <f>IF(OR(K122="",J122="",J122=0,K122=0),"",K122/J122-1)</f>
        <v/>
      </c>
      <c r="N122" s="41">
        <f>IF(SUM(B122,F122,J122)=0,"",SUM(B122,F122,J122))</f>
        <v/>
      </c>
      <c r="O122" s="41">
        <f>IF(SUM(C122,G122,K122)=0,"",SUM(C122,G122,K122))</f>
        <v/>
      </c>
      <c r="P122" s="69">
        <f>IF(OR(O122="",N122="",N122=0,O122=0),"",O122-N122)</f>
        <v/>
      </c>
      <c r="Q122" s="42">
        <f>IF(OR(O122="",N122="",N122=0,O122=0),"",O122/N122-1)</f>
        <v/>
      </c>
    </row>
    <row r="123">
      <c r="A123" s="40" t="inlineStr">
        <is>
          <t>Italy</t>
        </is>
      </c>
      <c r="B123" s="41">
        <f>IF(SUMIFS(Countries!$P$5:$P$434,Countries!$A$5:$A$434,"All landing pages",Countries!$B$5:$B$434,"Paid Search",Countries!$D$5:$D$434,$A123)=0,"",SUMIFS(Countries!$P$5:$P$434,Countries!$A$5:$A$434,"All landing pages",Countries!$B$5:$B$434,"Paid Search",Countries!$D$5:$D$434,$A123))</f>
        <v/>
      </c>
      <c r="C123" s="41">
        <f>IF(SUMIFS(Countries!$Q$5:$Q$434,Countries!$A$5:$A$434,"All landing pages",Countries!$B$5:$B$434,"Paid Search",Countries!$D$5:$D$434,$A123)=0,"",SUMIFS(Countries!$Q$5:$Q$434,Countries!$A$5:$A$434,"All landing pages",Countries!$B$5:$B$434,"Paid Search",Countries!$D$5:$D$434,$A123))</f>
        <v/>
      </c>
      <c r="D123" s="69">
        <f>IF(OR(C123="",B123="",B123=0,C123=0),"",C123-B123)</f>
        <v/>
      </c>
      <c r="E123" s="42">
        <f>IF(OR(C123="",B123="",B123=0,C123=0),"",C123/B123-1)</f>
        <v/>
      </c>
      <c r="F123" s="41">
        <f>IF(SUMIFS(Countries!$P$5:$P$434,Countries!$A$5:$A$434,"All landing pages",Countries!$B$5:$B$434,"Organic",Countries!$D$5:$D$434,$A123)=0,"",SUMIFS(Countries!$P$5:$P$434,Countries!$A$5:$A$434,"All landing pages",Countries!$B$5:$B$434,"Organic",Countries!$D$5:$D$434,$A123))</f>
        <v/>
      </c>
      <c r="G123" s="41">
        <f>IF(SUMIFS(Countries!$Q$5:$Q$434,Countries!$A$5:$A$434,"All landing pages",Countries!$B$5:$B$434,"Organic",Countries!$D$5:$D$434,$A123)=0,"",SUMIFS(Countries!$Q$5:$Q$434,Countries!$A$5:$A$434,"All landing pages",Countries!$B$5:$B$434,"Organic",Countries!$D$5:$D$434,$A123))</f>
        <v/>
      </c>
      <c r="H123" s="69">
        <f>IF(OR(G123="",F123="",F123=0,G123=0),"",G123-F123)</f>
        <v/>
      </c>
      <c r="I123" s="42">
        <f>IF(OR(G123="",F123="",F123=0,G123=0),"",G123/F123-1)</f>
        <v/>
      </c>
      <c r="J123" s="41">
        <f>IF(SUMIFS(Countries!$P$5:$P$434,Countries!$A$5:$A$434,"All landing pages",Countries!$B$5:$B$434,"Direct",Countries!$D$5:$D$434,$A123)=0,"",SUMIFS(Countries!$P$5:$P$434,Countries!$A$5:$A$434,"All landing pages",Countries!$B$5:$B$434,"Direct",Countries!$D$5:$D$434,$A123))</f>
        <v/>
      </c>
      <c r="K123" s="41">
        <f>IF(SUMIFS(Countries!$Q$5:$Q$434,Countries!$A$5:$A$434,"All landing pages",Countries!$B$5:$B$434,"Direct",Countries!$D$5:$D$434,$A123)=0,"",SUMIFS(Countries!$Q$5:$Q$434,Countries!$A$5:$A$434,"All landing pages",Countries!$B$5:$B$434,"Direct",Countries!$D$5:$D$434,$A123))</f>
        <v/>
      </c>
      <c r="L123" s="69">
        <f>IF(OR(K123="",J123="",J123=0,K123=0),"",K123-J123)</f>
        <v/>
      </c>
      <c r="M123" s="42">
        <f>IF(OR(K123="",J123="",J123=0,K123=0),"",K123/J123-1)</f>
        <v/>
      </c>
      <c r="N123" s="41">
        <f>IF(SUM(B123,F123,J123)=0,"",SUM(B123,F123,J123))</f>
        <v/>
      </c>
      <c r="O123" s="41">
        <f>IF(SUM(C123,G123,K123)=0,"",SUM(C123,G123,K123))</f>
        <v/>
      </c>
      <c r="P123" s="69">
        <f>IF(OR(O123="",N123="",N123=0,O123=0),"",O123-N123)</f>
        <v/>
      </c>
      <c r="Q123" s="42">
        <f>IF(OR(O123="",N123="",N123=0,O123=0),"",O123/N123-1)</f>
        <v/>
      </c>
    </row>
    <row r="124">
      <c r="A124" s="56" t="inlineStr">
        <is>
          <t>Spain</t>
        </is>
      </c>
      <c r="B124" s="41">
        <f>IF(SUMIFS(Countries!$P$5:$P$434,Countries!$A$5:$A$434,"All landing pages",Countries!$B$5:$B$434,"Paid Search",Countries!$D$5:$D$434,$A124)=0,"",SUMIFS(Countries!$P$5:$P$434,Countries!$A$5:$A$434,"All landing pages",Countries!$B$5:$B$434,"Paid Search",Countries!$D$5:$D$434,$A124))</f>
        <v/>
      </c>
      <c r="C124" s="41">
        <f>IF(SUMIFS(Countries!$Q$5:$Q$434,Countries!$A$5:$A$434,"All landing pages",Countries!$B$5:$B$434,"Paid Search",Countries!$D$5:$D$434,$A124)=0,"",SUMIFS(Countries!$Q$5:$Q$434,Countries!$A$5:$A$434,"All landing pages",Countries!$B$5:$B$434,"Paid Search",Countries!$D$5:$D$434,$A124))</f>
        <v/>
      </c>
      <c r="D124" s="69">
        <f>IF(OR(C124="",B124="",B124=0,C124=0),"",C124-B124)</f>
        <v/>
      </c>
      <c r="E124" s="42">
        <f>IF(OR(C124="",B124="",B124=0,C124=0),"",C124/B124-1)</f>
        <v/>
      </c>
      <c r="F124" s="41">
        <f>IF(SUMIFS(Countries!$P$5:$P$434,Countries!$A$5:$A$434,"All landing pages",Countries!$B$5:$B$434,"Organic",Countries!$D$5:$D$434,$A124)=0,"",SUMIFS(Countries!$P$5:$P$434,Countries!$A$5:$A$434,"All landing pages",Countries!$B$5:$B$434,"Organic",Countries!$D$5:$D$434,$A124))</f>
        <v/>
      </c>
      <c r="G124" s="41">
        <f>IF(SUMIFS(Countries!$Q$5:$Q$434,Countries!$A$5:$A$434,"All landing pages",Countries!$B$5:$B$434,"Organic",Countries!$D$5:$D$434,$A124)=0,"",SUMIFS(Countries!$Q$5:$Q$434,Countries!$A$5:$A$434,"All landing pages",Countries!$B$5:$B$434,"Organic",Countries!$D$5:$D$434,$A124))</f>
        <v/>
      </c>
      <c r="H124" s="69">
        <f>IF(OR(G124="",F124="",F124=0,G124=0),"",G124-F124)</f>
        <v/>
      </c>
      <c r="I124" s="42">
        <f>IF(OR(G124="",F124="",F124=0,G124=0),"",G124/F124-1)</f>
        <v/>
      </c>
      <c r="J124" s="41">
        <f>IF(SUMIFS(Countries!$P$5:$P$434,Countries!$A$5:$A$434,"All landing pages",Countries!$B$5:$B$434,"Direct",Countries!$D$5:$D$434,$A124)=0,"",SUMIFS(Countries!$P$5:$P$434,Countries!$A$5:$A$434,"All landing pages",Countries!$B$5:$B$434,"Direct",Countries!$D$5:$D$434,$A124))</f>
        <v/>
      </c>
      <c r="K124" s="41">
        <f>IF(SUMIFS(Countries!$Q$5:$Q$434,Countries!$A$5:$A$434,"All landing pages",Countries!$B$5:$B$434,"Direct",Countries!$D$5:$D$434,$A124)=0,"",SUMIFS(Countries!$Q$5:$Q$434,Countries!$A$5:$A$434,"All landing pages",Countries!$B$5:$B$434,"Direct",Countries!$D$5:$D$434,$A124))</f>
        <v/>
      </c>
      <c r="L124" s="69">
        <f>IF(OR(K124="",J124="",J124=0,K124=0),"",K124-J124)</f>
        <v/>
      </c>
      <c r="M124" s="42">
        <f>IF(OR(K124="",J124="",J124=0,K124=0),"",K124/J124-1)</f>
        <v/>
      </c>
      <c r="N124" s="41">
        <f>IF(SUM(B124,F124,J124)=0,"",SUM(B124,F124,J124))</f>
        <v/>
      </c>
      <c r="O124" s="41">
        <f>IF(SUM(C124,G124,K124)=0,"",SUM(C124,G124,K124))</f>
        <v/>
      </c>
      <c r="P124" s="69">
        <f>IF(OR(O124="",N124="",N124=0,O124=0),"",O124-N124)</f>
        <v/>
      </c>
      <c r="Q124" s="42">
        <f>IF(OR(O124="",N124="",N124=0,O124=0),"",O124/N124-1)</f>
        <v/>
      </c>
    </row>
    <row r="125">
      <c r="A125" s="40" t="inlineStr">
        <is>
          <t>Ireland</t>
        </is>
      </c>
      <c r="B125" s="41">
        <f>IF(SUMIFS(Countries!$P$5:$P$434,Countries!$A$5:$A$434,"All landing pages",Countries!$B$5:$B$434,"Paid Search",Countries!$D$5:$D$434,$A125)=0,"",SUMIFS(Countries!$P$5:$P$434,Countries!$A$5:$A$434,"All landing pages",Countries!$B$5:$B$434,"Paid Search",Countries!$D$5:$D$434,$A125))</f>
        <v/>
      </c>
      <c r="C125" s="41">
        <f>IF(SUMIFS(Countries!$Q$5:$Q$434,Countries!$A$5:$A$434,"All landing pages",Countries!$B$5:$B$434,"Paid Search",Countries!$D$5:$D$434,$A125)=0,"",SUMIFS(Countries!$Q$5:$Q$434,Countries!$A$5:$A$434,"All landing pages",Countries!$B$5:$B$434,"Paid Search",Countries!$D$5:$D$434,$A125))</f>
        <v/>
      </c>
      <c r="D125" s="69">
        <f>IF(OR(C125="",B125="",B125=0,C125=0),"",C125-B125)</f>
        <v/>
      </c>
      <c r="E125" s="42">
        <f>IF(OR(C125="",B125="",B125=0,C125=0),"",C125/B125-1)</f>
        <v/>
      </c>
      <c r="F125" s="41">
        <f>IF(SUMIFS(Countries!$P$5:$P$434,Countries!$A$5:$A$434,"All landing pages",Countries!$B$5:$B$434,"Organic",Countries!$D$5:$D$434,$A125)=0,"",SUMIFS(Countries!$P$5:$P$434,Countries!$A$5:$A$434,"All landing pages",Countries!$B$5:$B$434,"Organic",Countries!$D$5:$D$434,$A125))</f>
        <v/>
      </c>
      <c r="G125" s="41">
        <f>IF(SUMIFS(Countries!$Q$5:$Q$434,Countries!$A$5:$A$434,"All landing pages",Countries!$B$5:$B$434,"Organic",Countries!$D$5:$D$434,$A125)=0,"",SUMIFS(Countries!$Q$5:$Q$434,Countries!$A$5:$A$434,"All landing pages",Countries!$B$5:$B$434,"Organic",Countries!$D$5:$D$434,$A125))</f>
        <v/>
      </c>
      <c r="H125" s="69">
        <f>IF(OR(G125="",F125="",F125=0,G125=0),"",G125-F125)</f>
        <v/>
      </c>
      <c r="I125" s="42">
        <f>IF(OR(G125="",F125="",F125=0,G125=0),"",G125/F125-1)</f>
        <v/>
      </c>
      <c r="J125" s="41">
        <f>IF(SUMIFS(Countries!$P$5:$P$434,Countries!$A$5:$A$434,"All landing pages",Countries!$B$5:$B$434,"Direct",Countries!$D$5:$D$434,$A125)=0,"",SUMIFS(Countries!$P$5:$P$434,Countries!$A$5:$A$434,"All landing pages",Countries!$B$5:$B$434,"Direct",Countries!$D$5:$D$434,$A125))</f>
        <v/>
      </c>
      <c r="K125" s="41">
        <f>IF(SUMIFS(Countries!$Q$5:$Q$434,Countries!$A$5:$A$434,"All landing pages",Countries!$B$5:$B$434,"Direct",Countries!$D$5:$D$434,$A125)=0,"",SUMIFS(Countries!$Q$5:$Q$434,Countries!$A$5:$A$434,"All landing pages",Countries!$B$5:$B$434,"Direct",Countries!$D$5:$D$434,$A125))</f>
        <v/>
      </c>
      <c r="L125" s="69">
        <f>IF(OR(K125="",J125="",J125=0,K125=0),"",K125-J125)</f>
        <v/>
      </c>
      <c r="M125" s="42">
        <f>IF(OR(K125="",J125="",J125=0,K125=0),"",K125/J125-1)</f>
        <v/>
      </c>
      <c r="N125" s="41">
        <f>IF(SUM(B125,F125,J125)=0,"",SUM(B125,F125,J125))</f>
        <v/>
      </c>
      <c r="O125" s="41">
        <f>IF(SUM(C125,G125,K125)=0,"",SUM(C125,G125,K125))</f>
        <v/>
      </c>
      <c r="P125" s="69">
        <f>IF(OR(O125="",N125="",N125=0,O125=0),"",O125-N125)</f>
        <v/>
      </c>
      <c r="Q125" s="42">
        <f>IF(OR(O125="",N125="",N125=0,O125=0),"",O125/N125-1)</f>
        <v/>
      </c>
    </row>
    <row r="126">
      <c r="A126" s="56" t="inlineStr">
        <is>
          <t>Netherlands</t>
        </is>
      </c>
      <c r="B126" s="41">
        <f>IF(SUMIFS(Countries!$P$5:$P$434,Countries!$A$5:$A$434,"All landing pages",Countries!$B$5:$B$434,"Paid Search",Countries!$D$5:$D$434,$A126)=0,"",SUMIFS(Countries!$P$5:$P$434,Countries!$A$5:$A$434,"All landing pages",Countries!$B$5:$B$434,"Paid Search",Countries!$D$5:$D$434,$A126))</f>
        <v/>
      </c>
      <c r="C126" s="41">
        <f>IF(SUMIFS(Countries!$Q$5:$Q$434,Countries!$A$5:$A$434,"All landing pages",Countries!$B$5:$B$434,"Paid Search",Countries!$D$5:$D$434,$A126)=0,"",SUMIFS(Countries!$Q$5:$Q$434,Countries!$A$5:$A$434,"All landing pages",Countries!$B$5:$B$434,"Paid Search",Countries!$D$5:$D$434,$A126))</f>
        <v/>
      </c>
      <c r="D126" s="69">
        <f>IF(OR(C126="",B126="",B126=0,C126=0),"",C126-B126)</f>
        <v/>
      </c>
      <c r="E126" s="42">
        <f>IF(OR(C126="",B126="",B126=0,C126=0),"",C126/B126-1)</f>
        <v/>
      </c>
      <c r="F126" s="41">
        <f>IF(SUMIFS(Countries!$P$5:$P$434,Countries!$A$5:$A$434,"All landing pages",Countries!$B$5:$B$434,"Organic",Countries!$D$5:$D$434,$A126)=0,"",SUMIFS(Countries!$P$5:$P$434,Countries!$A$5:$A$434,"All landing pages",Countries!$B$5:$B$434,"Organic",Countries!$D$5:$D$434,$A126))</f>
        <v/>
      </c>
      <c r="G126" s="41">
        <f>IF(SUMIFS(Countries!$Q$5:$Q$434,Countries!$A$5:$A$434,"All landing pages",Countries!$B$5:$B$434,"Organic",Countries!$D$5:$D$434,$A126)=0,"",SUMIFS(Countries!$Q$5:$Q$434,Countries!$A$5:$A$434,"All landing pages",Countries!$B$5:$B$434,"Organic",Countries!$D$5:$D$434,$A126))</f>
        <v/>
      </c>
      <c r="H126" s="69">
        <f>IF(OR(G126="",F126="",F126=0,G126=0),"",G126-F126)</f>
        <v/>
      </c>
      <c r="I126" s="42">
        <f>IF(OR(G126="",F126="",F126=0,G126=0),"",G126/F126-1)</f>
        <v/>
      </c>
      <c r="J126" s="41">
        <f>IF(SUMIFS(Countries!$P$5:$P$434,Countries!$A$5:$A$434,"All landing pages",Countries!$B$5:$B$434,"Direct",Countries!$D$5:$D$434,$A126)=0,"",SUMIFS(Countries!$P$5:$P$434,Countries!$A$5:$A$434,"All landing pages",Countries!$B$5:$B$434,"Direct",Countries!$D$5:$D$434,$A126))</f>
        <v/>
      </c>
      <c r="K126" s="41">
        <f>IF(SUMIFS(Countries!$Q$5:$Q$434,Countries!$A$5:$A$434,"All landing pages",Countries!$B$5:$B$434,"Direct",Countries!$D$5:$D$434,$A126)=0,"",SUMIFS(Countries!$Q$5:$Q$434,Countries!$A$5:$A$434,"All landing pages",Countries!$B$5:$B$434,"Direct",Countries!$D$5:$D$434,$A126))</f>
        <v/>
      </c>
      <c r="L126" s="69">
        <f>IF(OR(K126="",J126="",J126=0,K126=0),"",K126-J126)</f>
        <v/>
      </c>
      <c r="M126" s="42">
        <f>IF(OR(K126="",J126="",J126=0,K126=0),"",K126/J126-1)</f>
        <v/>
      </c>
      <c r="N126" s="41">
        <f>IF(SUM(B126,F126,J126)=0,"",SUM(B126,F126,J126))</f>
        <v/>
      </c>
      <c r="O126" s="41">
        <f>IF(SUM(C126,G126,K126)=0,"",SUM(C126,G126,K126))</f>
        <v/>
      </c>
      <c r="P126" s="69">
        <f>IF(OR(O126="",N126="",N126=0,O126=0),"",O126-N126)</f>
        <v/>
      </c>
      <c r="Q126" s="42">
        <f>IF(OR(O126="",N126="",N126=0,O126=0),"",O126/N126-1)</f>
        <v/>
      </c>
    </row>
    <row r="127">
      <c r="A127" s="40" t="inlineStr">
        <is>
          <t>France</t>
        </is>
      </c>
      <c r="B127" s="41">
        <f>IF(SUMIFS(Countries!$P$5:$P$434,Countries!$A$5:$A$434,"All landing pages",Countries!$B$5:$B$434,"Paid Search",Countries!$D$5:$D$434,$A127)=0,"",SUMIFS(Countries!$P$5:$P$434,Countries!$A$5:$A$434,"All landing pages",Countries!$B$5:$B$434,"Paid Search",Countries!$D$5:$D$434,$A127))</f>
        <v/>
      </c>
      <c r="C127" s="41">
        <f>IF(SUMIFS(Countries!$Q$5:$Q$434,Countries!$A$5:$A$434,"All landing pages",Countries!$B$5:$B$434,"Paid Search",Countries!$D$5:$D$434,$A127)=0,"",SUMIFS(Countries!$Q$5:$Q$434,Countries!$A$5:$A$434,"All landing pages",Countries!$B$5:$B$434,"Paid Search",Countries!$D$5:$D$434,$A127))</f>
        <v/>
      </c>
      <c r="D127" s="69">
        <f>IF(OR(C127="",B127="",B127=0,C127=0),"",C127-B127)</f>
        <v/>
      </c>
      <c r="E127" s="42">
        <f>IF(OR(C127="",B127="",B127=0,C127=0),"",C127/B127-1)</f>
        <v/>
      </c>
      <c r="F127" s="41">
        <f>IF(SUMIFS(Countries!$P$5:$P$434,Countries!$A$5:$A$434,"All landing pages",Countries!$B$5:$B$434,"Organic",Countries!$D$5:$D$434,$A127)=0,"",SUMIFS(Countries!$P$5:$P$434,Countries!$A$5:$A$434,"All landing pages",Countries!$B$5:$B$434,"Organic",Countries!$D$5:$D$434,$A127))</f>
        <v/>
      </c>
      <c r="G127" s="41">
        <f>IF(SUMIFS(Countries!$Q$5:$Q$434,Countries!$A$5:$A$434,"All landing pages",Countries!$B$5:$B$434,"Organic",Countries!$D$5:$D$434,$A127)=0,"",SUMIFS(Countries!$Q$5:$Q$434,Countries!$A$5:$A$434,"All landing pages",Countries!$B$5:$B$434,"Organic",Countries!$D$5:$D$434,$A127))</f>
        <v/>
      </c>
      <c r="H127" s="69">
        <f>IF(OR(G127="",F127="",F127=0,G127=0),"",G127-F127)</f>
        <v/>
      </c>
      <c r="I127" s="42">
        <f>IF(OR(G127="",F127="",F127=0,G127=0),"",G127/F127-1)</f>
        <v/>
      </c>
      <c r="J127" s="41">
        <f>IF(SUMIFS(Countries!$P$5:$P$434,Countries!$A$5:$A$434,"All landing pages",Countries!$B$5:$B$434,"Direct",Countries!$D$5:$D$434,$A127)=0,"",SUMIFS(Countries!$P$5:$P$434,Countries!$A$5:$A$434,"All landing pages",Countries!$B$5:$B$434,"Direct",Countries!$D$5:$D$434,$A127))</f>
        <v/>
      </c>
      <c r="K127" s="41">
        <f>IF(SUMIFS(Countries!$Q$5:$Q$434,Countries!$A$5:$A$434,"All landing pages",Countries!$B$5:$B$434,"Direct",Countries!$D$5:$D$434,$A127)=0,"",SUMIFS(Countries!$Q$5:$Q$434,Countries!$A$5:$A$434,"All landing pages",Countries!$B$5:$B$434,"Direct",Countries!$D$5:$D$434,$A127))</f>
        <v/>
      </c>
      <c r="L127" s="69">
        <f>IF(OR(K127="",J127="",J127=0,K127=0),"",K127-J127)</f>
        <v/>
      </c>
      <c r="M127" s="42">
        <f>IF(OR(K127="",J127="",J127=0,K127=0),"",K127/J127-1)</f>
        <v/>
      </c>
      <c r="N127" s="41">
        <f>IF(SUM(B127,F127,J127)=0,"",SUM(B127,F127,J127))</f>
        <v/>
      </c>
      <c r="O127" s="41">
        <f>IF(SUM(C127,G127,K127)=0,"",SUM(C127,G127,K127))</f>
        <v/>
      </c>
      <c r="P127" s="69">
        <f>IF(OR(O127="",N127="",N127=0,O127=0),"",O127-N127)</f>
        <v/>
      </c>
      <c r="Q127" s="42">
        <f>IF(OR(O127="",N127="",N127=0,O127=0),"",O127/N127-1)</f>
        <v/>
      </c>
    </row>
    <row r="128">
      <c r="A128" s="56" t="inlineStr">
        <is>
          <t>Poland</t>
        </is>
      </c>
      <c r="B128" s="41">
        <f>IF(SUMIFS(Countries!$P$5:$P$434,Countries!$A$5:$A$434,"All landing pages",Countries!$B$5:$B$434,"Paid Search",Countries!$D$5:$D$434,$A128)=0,"",SUMIFS(Countries!$P$5:$P$434,Countries!$A$5:$A$434,"All landing pages",Countries!$B$5:$B$434,"Paid Search",Countries!$D$5:$D$434,$A128))</f>
        <v/>
      </c>
      <c r="C128" s="41">
        <f>IF(SUMIFS(Countries!$Q$5:$Q$434,Countries!$A$5:$A$434,"All landing pages",Countries!$B$5:$B$434,"Paid Search",Countries!$D$5:$D$434,$A128)=0,"",SUMIFS(Countries!$Q$5:$Q$434,Countries!$A$5:$A$434,"All landing pages",Countries!$B$5:$B$434,"Paid Search",Countries!$D$5:$D$434,$A128))</f>
        <v/>
      </c>
      <c r="D128" s="69">
        <f>IF(OR(C128="",B128="",B128=0,C128=0),"",C128-B128)</f>
        <v/>
      </c>
      <c r="E128" s="42">
        <f>IF(OR(C128="",B128="",B128=0,C128=0),"",C128/B128-1)</f>
        <v/>
      </c>
      <c r="F128" s="41">
        <f>IF(SUMIFS(Countries!$P$5:$P$434,Countries!$A$5:$A$434,"All landing pages",Countries!$B$5:$B$434,"Organic",Countries!$D$5:$D$434,$A128)=0,"",SUMIFS(Countries!$P$5:$P$434,Countries!$A$5:$A$434,"All landing pages",Countries!$B$5:$B$434,"Organic",Countries!$D$5:$D$434,$A128))</f>
        <v/>
      </c>
      <c r="G128" s="41">
        <f>IF(SUMIFS(Countries!$Q$5:$Q$434,Countries!$A$5:$A$434,"All landing pages",Countries!$B$5:$B$434,"Organic",Countries!$D$5:$D$434,$A128)=0,"",SUMIFS(Countries!$Q$5:$Q$434,Countries!$A$5:$A$434,"All landing pages",Countries!$B$5:$B$434,"Organic",Countries!$D$5:$D$434,$A128))</f>
        <v/>
      </c>
      <c r="H128" s="69">
        <f>IF(OR(G128="",F128="",F128=0,G128=0),"",G128-F128)</f>
        <v/>
      </c>
      <c r="I128" s="42">
        <f>IF(OR(G128="",F128="",F128=0,G128=0),"",G128/F128-1)</f>
        <v/>
      </c>
      <c r="J128" s="41">
        <f>IF(SUMIFS(Countries!$P$5:$P$434,Countries!$A$5:$A$434,"All landing pages",Countries!$B$5:$B$434,"Direct",Countries!$D$5:$D$434,$A128)=0,"",SUMIFS(Countries!$P$5:$P$434,Countries!$A$5:$A$434,"All landing pages",Countries!$B$5:$B$434,"Direct",Countries!$D$5:$D$434,$A128))</f>
        <v/>
      </c>
      <c r="K128" s="41">
        <f>IF(SUMIFS(Countries!$Q$5:$Q$434,Countries!$A$5:$A$434,"All landing pages",Countries!$B$5:$B$434,"Direct",Countries!$D$5:$D$434,$A128)=0,"",SUMIFS(Countries!$Q$5:$Q$434,Countries!$A$5:$A$434,"All landing pages",Countries!$B$5:$B$434,"Direct",Countries!$D$5:$D$434,$A128))</f>
        <v/>
      </c>
      <c r="L128" s="69">
        <f>IF(OR(K128="",J128="",J128=0,K128=0),"",K128-J128)</f>
        <v/>
      </c>
      <c r="M128" s="42">
        <f>IF(OR(K128="",J128="",J128=0,K128=0),"",K128/J128-1)</f>
        <v/>
      </c>
      <c r="N128" s="41">
        <f>IF(SUM(B128,F128,J128)=0,"",SUM(B128,F128,J128))</f>
        <v/>
      </c>
      <c r="O128" s="41">
        <f>IF(SUM(C128,G128,K128)=0,"",SUM(C128,G128,K128))</f>
        <v/>
      </c>
      <c r="P128" s="69">
        <f>IF(OR(O128="",N128="",N128=0,O128=0),"",O128-N128)</f>
        <v/>
      </c>
      <c r="Q128" s="42">
        <f>IF(OR(O128="",N128="",N128=0,O128=0),"",O128/N128-1)</f>
        <v/>
      </c>
    </row>
    <row r="129">
      <c r="A129" s="40" t="inlineStr">
        <is>
          <t>United States</t>
        </is>
      </c>
      <c r="B129" s="41">
        <f>IF(SUMIFS(Countries!$P$5:$P$434,Countries!$A$5:$A$434,"All landing pages",Countries!$B$5:$B$434,"Paid Search",Countries!$D$5:$D$434,$A129)=0,"",SUMIFS(Countries!$P$5:$P$434,Countries!$A$5:$A$434,"All landing pages",Countries!$B$5:$B$434,"Paid Search",Countries!$D$5:$D$434,$A129))</f>
        <v/>
      </c>
      <c r="C129" s="41">
        <f>IF(SUMIFS(Countries!$Q$5:$Q$434,Countries!$A$5:$A$434,"All landing pages",Countries!$B$5:$B$434,"Paid Search",Countries!$D$5:$D$434,$A129)=0,"",SUMIFS(Countries!$Q$5:$Q$434,Countries!$A$5:$A$434,"All landing pages",Countries!$B$5:$B$434,"Paid Search",Countries!$D$5:$D$434,$A129))</f>
        <v/>
      </c>
      <c r="D129" s="69">
        <f>IF(OR(C129="",B129="",B129=0,C129=0),"",C129-B129)</f>
        <v/>
      </c>
      <c r="E129" s="42">
        <f>IF(OR(C129="",B129="",B129=0,C129=0),"",C129/B129-1)</f>
        <v/>
      </c>
      <c r="F129" s="41">
        <f>IF(SUMIFS(Countries!$P$5:$P$434,Countries!$A$5:$A$434,"All landing pages",Countries!$B$5:$B$434,"Organic",Countries!$D$5:$D$434,$A129)=0,"",SUMIFS(Countries!$P$5:$P$434,Countries!$A$5:$A$434,"All landing pages",Countries!$B$5:$B$434,"Organic",Countries!$D$5:$D$434,$A129))</f>
        <v/>
      </c>
      <c r="G129" s="41">
        <f>IF(SUMIFS(Countries!$Q$5:$Q$434,Countries!$A$5:$A$434,"All landing pages",Countries!$B$5:$B$434,"Organic",Countries!$D$5:$D$434,$A129)=0,"",SUMIFS(Countries!$Q$5:$Q$434,Countries!$A$5:$A$434,"All landing pages",Countries!$B$5:$B$434,"Organic",Countries!$D$5:$D$434,$A129))</f>
        <v/>
      </c>
      <c r="H129" s="69">
        <f>IF(OR(G129="",F129="",F129=0,G129=0),"",G129-F129)</f>
        <v/>
      </c>
      <c r="I129" s="42">
        <f>IF(OR(G129="",F129="",F129=0,G129=0),"",G129/F129-1)</f>
        <v/>
      </c>
      <c r="J129" s="41">
        <f>IF(SUMIFS(Countries!$P$5:$P$434,Countries!$A$5:$A$434,"All landing pages",Countries!$B$5:$B$434,"Direct",Countries!$D$5:$D$434,$A129)=0,"",SUMIFS(Countries!$P$5:$P$434,Countries!$A$5:$A$434,"All landing pages",Countries!$B$5:$B$434,"Direct",Countries!$D$5:$D$434,$A129))</f>
        <v/>
      </c>
      <c r="K129" s="41">
        <f>IF(SUMIFS(Countries!$Q$5:$Q$434,Countries!$A$5:$A$434,"All landing pages",Countries!$B$5:$B$434,"Direct",Countries!$D$5:$D$434,$A129)=0,"",SUMIFS(Countries!$Q$5:$Q$434,Countries!$A$5:$A$434,"All landing pages",Countries!$B$5:$B$434,"Direct",Countries!$D$5:$D$434,$A129))</f>
        <v/>
      </c>
      <c r="L129" s="69">
        <f>IF(OR(K129="",J129="",J129=0,K129=0),"",K129-J129)</f>
        <v/>
      </c>
      <c r="M129" s="42">
        <f>IF(OR(K129="",J129="",J129=0,K129=0),"",K129/J129-1)</f>
        <v/>
      </c>
      <c r="N129" s="41">
        <f>IF(SUM(B129,F129,J129)=0,"",SUM(B129,F129,J129))</f>
        <v/>
      </c>
      <c r="O129" s="41">
        <f>IF(SUM(C129,G129,K129)=0,"",SUM(C129,G129,K129))</f>
        <v/>
      </c>
      <c r="P129" s="69">
        <f>IF(OR(O129="",N129="",N129=0,O129=0),"",O129-N129)</f>
        <v/>
      </c>
      <c r="Q129" s="42">
        <f>IF(OR(O129="",N129="",N129=0,O129=0),"",O129/N129-1)</f>
        <v/>
      </c>
    </row>
    <row r="130">
      <c r="A130" s="56" t="inlineStr">
        <is>
          <t>Sweden</t>
        </is>
      </c>
      <c r="B130" s="41">
        <f>IF(SUMIFS(Countries!$P$5:$P$434,Countries!$A$5:$A$434,"All landing pages",Countries!$B$5:$B$434,"Paid Search",Countries!$D$5:$D$434,$A130)=0,"",SUMIFS(Countries!$P$5:$P$434,Countries!$A$5:$A$434,"All landing pages",Countries!$B$5:$B$434,"Paid Search",Countries!$D$5:$D$434,$A130))</f>
        <v/>
      </c>
      <c r="C130" s="41">
        <f>IF(SUMIFS(Countries!$Q$5:$Q$434,Countries!$A$5:$A$434,"All landing pages",Countries!$B$5:$B$434,"Paid Search",Countries!$D$5:$D$434,$A130)=0,"",SUMIFS(Countries!$Q$5:$Q$434,Countries!$A$5:$A$434,"All landing pages",Countries!$B$5:$B$434,"Paid Search",Countries!$D$5:$D$434,$A130))</f>
        <v/>
      </c>
      <c r="D130" s="69">
        <f>IF(OR(C130="",B130="",B130=0,C130=0),"",C130-B130)</f>
        <v/>
      </c>
      <c r="E130" s="42">
        <f>IF(OR(C130="",B130="",B130=0,C130=0),"",C130/B130-1)</f>
        <v/>
      </c>
      <c r="F130" s="41">
        <f>IF(SUMIFS(Countries!$P$5:$P$434,Countries!$A$5:$A$434,"All landing pages",Countries!$B$5:$B$434,"Organic",Countries!$D$5:$D$434,$A130)=0,"",SUMIFS(Countries!$P$5:$P$434,Countries!$A$5:$A$434,"All landing pages",Countries!$B$5:$B$434,"Organic",Countries!$D$5:$D$434,$A130))</f>
        <v/>
      </c>
      <c r="G130" s="41">
        <f>IF(SUMIFS(Countries!$Q$5:$Q$434,Countries!$A$5:$A$434,"All landing pages",Countries!$B$5:$B$434,"Organic",Countries!$D$5:$D$434,$A130)=0,"",SUMIFS(Countries!$Q$5:$Q$434,Countries!$A$5:$A$434,"All landing pages",Countries!$B$5:$B$434,"Organic",Countries!$D$5:$D$434,$A130))</f>
        <v/>
      </c>
      <c r="H130" s="69">
        <f>IF(OR(G130="",F130="",F130=0,G130=0),"",G130-F130)</f>
        <v/>
      </c>
      <c r="I130" s="42">
        <f>IF(OR(G130="",F130="",F130=0,G130=0),"",G130/F130-1)</f>
        <v/>
      </c>
      <c r="J130" s="41">
        <f>IF(SUMIFS(Countries!$P$5:$P$434,Countries!$A$5:$A$434,"All landing pages",Countries!$B$5:$B$434,"Direct",Countries!$D$5:$D$434,$A130)=0,"",SUMIFS(Countries!$P$5:$P$434,Countries!$A$5:$A$434,"All landing pages",Countries!$B$5:$B$434,"Direct",Countries!$D$5:$D$434,$A130))</f>
        <v/>
      </c>
      <c r="K130" s="41">
        <f>IF(SUMIFS(Countries!$Q$5:$Q$434,Countries!$A$5:$A$434,"All landing pages",Countries!$B$5:$B$434,"Direct",Countries!$D$5:$D$434,$A130)=0,"",SUMIFS(Countries!$Q$5:$Q$434,Countries!$A$5:$A$434,"All landing pages",Countries!$B$5:$B$434,"Direct",Countries!$D$5:$D$434,$A130))</f>
        <v/>
      </c>
      <c r="L130" s="69">
        <f>IF(OR(K130="",J130="",J130=0,K130=0),"",K130-J130)</f>
        <v/>
      </c>
      <c r="M130" s="42">
        <f>IF(OR(K130="",J130="",J130=0,K130=0),"",K130/J130-1)</f>
        <v/>
      </c>
      <c r="N130" s="41">
        <f>IF(SUM(B130,F130,J130)=0,"",SUM(B130,F130,J130))</f>
        <v/>
      </c>
      <c r="O130" s="41">
        <f>IF(SUM(C130,G130,K130)=0,"",SUM(C130,G130,K130))</f>
        <v/>
      </c>
      <c r="P130" s="69">
        <f>IF(OR(O130="",N130="",N130=0,O130=0),"",O130-N130)</f>
        <v/>
      </c>
      <c r="Q130" s="42">
        <f>IF(OR(O130="",N130="",N130=0,O130=0),"",O130/N130-1)</f>
        <v/>
      </c>
    </row>
    <row r="131">
      <c r="A131" s="40" t="inlineStr">
        <is>
          <t>Belgium</t>
        </is>
      </c>
      <c r="B131" s="41">
        <f>IF(SUMIFS(Countries!$P$5:$P$434,Countries!$A$5:$A$434,"All landing pages",Countries!$B$5:$B$434,"Paid Search",Countries!$D$5:$D$434,$A131)=0,"",SUMIFS(Countries!$P$5:$P$434,Countries!$A$5:$A$434,"All landing pages",Countries!$B$5:$B$434,"Paid Search",Countries!$D$5:$D$434,$A131))</f>
        <v/>
      </c>
      <c r="C131" s="41">
        <f>IF(SUMIFS(Countries!$Q$5:$Q$434,Countries!$A$5:$A$434,"All landing pages",Countries!$B$5:$B$434,"Paid Search",Countries!$D$5:$D$434,$A131)=0,"",SUMIFS(Countries!$Q$5:$Q$434,Countries!$A$5:$A$434,"All landing pages",Countries!$B$5:$B$434,"Paid Search",Countries!$D$5:$D$434,$A131))</f>
        <v/>
      </c>
      <c r="D131" s="69">
        <f>IF(OR(C131="",B131="",B131=0,C131=0),"",C131-B131)</f>
        <v/>
      </c>
      <c r="E131" s="42">
        <f>IF(OR(C131="",B131="",B131=0,C131=0),"",C131/B131-1)</f>
        <v/>
      </c>
      <c r="F131" s="41">
        <f>IF(SUMIFS(Countries!$P$5:$P$434,Countries!$A$5:$A$434,"All landing pages",Countries!$B$5:$B$434,"Organic",Countries!$D$5:$D$434,$A131)=0,"",SUMIFS(Countries!$P$5:$P$434,Countries!$A$5:$A$434,"All landing pages",Countries!$B$5:$B$434,"Organic",Countries!$D$5:$D$434,$A131))</f>
        <v/>
      </c>
      <c r="G131" s="41">
        <f>IF(SUMIFS(Countries!$Q$5:$Q$434,Countries!$A$5:$A$434,"All landing pages",Countries!$B$5:$B$434,"Organic",Countries!$D$5:$D$434,$A131)=0,"",SUMIFS(Countries!$Q$5:$Q$434,Countries!$A$5:$A$434,"All landing pages",Countries!$B$5:$B$434,"Organic",Countries!$D$5:$D$434,$A131))</f>
        <v/>
      </c>
      <c r="H131" s="69">
        <f>IF(OR(G131="",F131="",F131=0,G131=0),"",G131-F131)</f>
        <v/>
      </c>
      <c r="I131" s="42">
        <f>IF(OR(G131="",F131="",F131=0,G131=0),"",G131/F131-1)</f>
        <v/>
      </c>
      <c r="J131" s="41">
        <f>IF(SUMIFS(Countries!$P$5:$P$434,Countries!$A$5:$A$434,"All landing pages",Countries!$B$5:$B$434,"Direct",Countries!$D$5:$D$434,$A131)=0,"",SUMIFS(Countries!$P$5:$P$434,Countries!$A$5:$A$434,"All landing pages",Countries!$B$5:$B$434,"Direct",Countries!$D$5:$D$434,$A131))</f>
        <v/>
      </c>
      <c r="K131" s="41">
        <f>IF(SUMIFS(Countries!$Q$5:$Q$434,Countries!$A$5:$A$434,"All landing pages",Countries!$B$5:$B$434,"Direct",Countries!$D$5:$D$434,$A131)=0,"",SUMIFS(Countries!$Q$5:$Q$434,Countries!$A$5:$A$434,"All landing pages",Countries!$B$5:$B$434,"Direct",Countries!$D$5:$D$434,$A131))</f>
        <v/>
      </c>
      <c r="L131" s="69">
        <f>IF(OR(K131="",J131="",J131=0,K131=0),"",K131-J131)</f>
        <v/>
      </c>
      <c r="M131" s="42">
        <f>IF(OR(K131="",J131="",J131=0,K131=0),"",K131/J131-1)</f>
        <v/>
      </c>
      <c r="N131" s="41">
        <f>IF(SUM(B131,F131,J131)=0,"",SUM(B131,F131,J131))</f>
        <v/>
      </c>
      <c r="O131" s="41">
        <f>IF(SUM(C131,G131,K131)=0,"",SUM(C131,G131,K131))</f>
        <v/>
      </c>
      <c r="P131" s="69">
        <f>IF(OR(O131="",N131="",N131=0,O131=0),"",O131-N131)</f>
        <v/>
      </c>
      <c r="Q131" s="42">
        <f>IF(OR(O131="",N131="",N131=0,O131=0),"",O131/N131-1)</f>
        <v/>
      </c>
    </row>
    <row r="132">
      <c r="A132" s="56" t="inlineStr">
        <is>
          <t>Austria</t>
        </is>
      </c>
      <c r="B132" s="41">
        <f>IF(SUMIFS(Countries!$P$5:$P$434,Countries!$A$5:$A$434,"All landing pages",Countries!$B$5:$B$434,"Paid Search",Countries!$D$5:$D$434,$A132)=0,"",SUMIFS(Countries!$P$5:$P$434,Countries!$A$5:$A$434,"All landing pages",Countries!$B$5:$B$434,"Paid Search",Countries!$D$5:$D$434,$A132))</f>
        <v/>
      </c>
      <c r="C132" s="41">
        <f>IF(SUMIFS(Countries!$Q$5:$Q$434,Countries!$A$5:$A$434,"All landing pages",Countries!$B$5:$B$434,"Paid Search",Countries!$D$5:$D$434,$A132)=0,"",SUMIFS(Countries!$Q$5:$Q$434,Countries!$A$5:$A$434,"All landing pages",Countries!$B$5:$B$434,"Paid Search",Countries!$D$5:$D$434,$A132))</f>
        <v/>
      </c>
      <c r="D132" s="69">
        <f>IF(OR(C132="",B132="",B132=0,C132=0),"",C132-B132)</f>
        <v/>
      </c>
      <c r="E132" s="42">
        <f>IF(OR(C132="",B132="",B132=0,C132=0),"",C132/B132-1)</f>
        <v/>
      </c>
      <c r="F132" s="41">
        <f>IF(SUMIFS(Countries!$P$5:$P$434,Countries!$A$5:$A$434,"All landing pages",Countries!$B$5:$B$434,"Organic",Countries!$D$5:$D$434,$A132)=0,"",SUMIFS(Countries!$P$5:$P$434,Countries!$A$5:$A$434,"All landing pages",Countries!$B$5:$B$434,"Organic",Countries!$D$5:$D$434,$A132))</f>
        <v/>
      </c>
      <c r="G132" s="41">
        <f>IF(SUMIFS(Countries!$Q$5:$Q$434,Countries!$A$5:$A$434,"All landing pages",Countries!$B$5:$B$434,"Organic",Countries!$D$5:$D$434,$A132)=0,"",SUMIFS(Countries!$Q$5:$Q$434,Countries!$A$5:$A$434,"All landing pages",Countries!$B$5:$B$434,"Organic",Countries!$D$5:$D$434,$A132))</f>
        <v/>
      </c>
      <c r="H132" s="69">
        <f>IF(OR(G132="",F132="",F132=0,G132=0),"",G132-F132)</f>
        <v/>
      </c>
      <c r="I132" s="42">
        <f>IF(OR(G132="",F132="",F132=0,G132=0),"",G132/F132-1)</f>
        <v/>
      </c>
      <c r="J132" s="41">
        <f>IF(SUMIFS(Countries!$P$5:$P$434,Countries!$A$5:$A$434,"All landing pages",Countries!$B$5:$B$434,"Direct",Countries!$D$5:$D$434,$A132)=0,"",SUMIFS(Countries!$P$5:$P$434,Countries!$A$5:$A$434,"All landing pages",Countries!$B$5:$B$434,"Direct",Countries!$D$5:$D$434,$A132))</f>
        <v/>
      </c>
      <c r="K132" s="41">
        <f>IF(SUMIFS(Countries!$Q$5:$Q$434,Countries!$A$5:$A$434,"All landing pages",Countries!$B$5:$B$434,"Direct",Countries!$D$5:$D$434,$A132)=0,"",SUMIFS(Countries!$Q$5:$Q$434,Countries!$A$5:$A$434,"All landing pages",Countries!$B$5:$B$434,"Direct",Countries!$D$5:$D$434,$A132))</f>
        <v/>
      </c>
      <c r="L132" s="69">
        <f>IF(OR(K132="",J132="",J132=0,K132=0),"",K132-J132)</f>
        <v/>
      </c>
      <c r="M132" s="42">
        <f>IF(OR(K132="",J132="",J132=0,K132=0),"",K132/J132-1)</f>
        <v/>
      </c>
      <c r="N132" s="41">
        <f>IF(SUM(B132,F132,J132)=0,"",SUM(B132,F132,J132))</f>
        <v/>
      </c>
      <c r="O132" s="41">
        <f>IF(SUM(C132,G132,K132)=0,"",SUM(C132,G132,K132))</f>
        <v/>
      </c>
      <c r="P132" s="69">
        <f>IF(OR(O132="",N132="",N132=0,O132=0),"",O132-N132)</f>
        <v/>
      </c>
      <c r="Q132" s="42">
        <f>IF(OR(O132="",N132="",N132=0,O132=0),"",O132/N132-1)</f>
        <v/>
      </c>
    </row>
    <row r="133">
      <c r="A133" s="40" t="inlineStr">
        <is>
          <t>Denmark</t>
        </is>
      </c>
      <c r="B133" s="41">
        <f>IF(SUMIFS(Countries!$P$5:$P$434,Countries!$A$5:$A$434,"All landing pages",Countries!$B$5:$B$434,"Paid Search",Countries!$D$5:$D$434,$A133)=0,"",SUMIFS(Countries!$P$5:$P$434,Countries!$A$5:$A$434,"All landing pages",Countries!$B$5:$B$434,"Paid Search",Countries!$D$5:$D$434,$A133))</f>
        <v/>
      </c>
      <c r="C133" s="41">
        <f>IF(SUMIFS(Countries!$Q$5:$Q$434,Countries!$A$5:$A$434,"All landing pages",Countries!$B$5:$B$434,"Paid Search",Countries!$D$5:$D$434,$A133)=0,"",SUMIFS(Countries!$Q$5:$Q$434,Countries!$A$5:$A$434,"All landing pages",Countries!$B$5:$B$434,"Paid Search",Countries!$D$5:$D$434,$A133))</f>
        <v/>
      </c>
      <c r="D133" s="69">
        <f>IF(OR(C133="",B133="",B133=0,C133=0),"",C133-B133)</f>
        <v/>
      </c>
      <c r="E133" s="42">
        <f>IF(OR(C133="",B133="",B133=0,C133=0),"",C133/B133-1)</f>
        <v/>
      </c>
      <c r="F133" s="41">
        <f>IF(SUMIFS(Countries!$P$5:$P$434,Countries!$A$5:$A$434,"All landing pages",Countries!$B$5:$B$434,"Organic",Countries!$D$5:$D$434,$A133)=0,"",SUMIFS(Countries!$P$5:$P$434,Countries!$A$5:$A$434,"All landing pages",Countries!$B$5:$B$434,"Organic",Countries!$D$5:$D$434,$A133))</f>
        <v/>
      </c>
      <c r="G133" s="41">
        <f>IF(SUMIFS(Countries!$Q$5:$Q$434,Countries!$A$5:$A$434,"All landing pages",Countries!$B$5:$B$434,"Organic",Countries!$D$5:$D$434,$A133)=0,"",SUMIFS(Countries!$Q$5:$Q$434,Countries!$A$5:$A$434,"All landing pages",Countries!$B$5:$B$434,"Organic",Countries!$D$5:$D$434,$A133))</f>
        <v/>
      </c>
      <c r="H133" s="69">
        <f>IF(OR(G133="",F133="",F133=0,G133=0),"",G133-F133)</f>
        <v/>
      </c>
      <c r="I133" s="42">
        <f>IF(OR(G133="",F133="",F133=0,G133=0),"",G133/F133-1)</f>
        <v/>
      </c>
      <c r="J133" s="41">
        <f>IF(SUMIFS(Countries!$P$5:$P$434,Countries!$A$5:$A$434,"All landing pages",Countries!$B$5:$B$434,"Direct",Countries!$D$5:$D$434,$A133)=0,"",SUMIFS(Countries!$P$5:$P$434,Countries!$A$5:$A$434,"All landing pages",Countries!$B$5:$B$434,"Direct",Countries!$D$5:$D$434,$A133))</f>
        <v/>
      </c>
      <c r="K133" s="41">
        <f>IF(SUMIFS(Countries!$Q$5:$Q$434,Countries!$A$5:$A$434,"All landing pages",Countries!$B$5:$B$434,"Direct",Countries!$D$5:$D$434,$A133)=0,"",SUMIFS(Countries!$Q$5:$Q$434,Countries!$A$5:$A$434,"All landing pages",Countries!$B$5:$B$434,"Direct",Countries!$D$5:$D$434,$A133))</f>
        <v/>
      </c>
      <c r="L133" s="69">
        <f>IF(OR(K133="",J133="",J133=0,K133=0),"",K133-J133)</f>
        <v/>
      </c>
      <c r="M133" s="42">
        <f>IF(OR(K133="",J133="",J133=0,K133=0),"",K133/J133-1)</f>
        <v/>
      </c>
      <c r="N133" s="41">
        <f>IF(SUM(B133,F133,J133)=0,"",SUM(B133,F133,J133))</f>
        <v/>
      </c>
      <c r="O133" s="41">
        <f>IF(SUM(C133,G133,K133)=0,"",SUM(C133,G133,K133))</f>
        <v/>
      </c>
      <c r="P133" s="69">
        <f>IF(OR(O133="",N133="",N133=0,O133=0),"",O133-N133)</f>
        <v/>
      </c>
      <c r="Q133" s="42">
        <f>IF(OR(O133="",N133="",N133=0,O133=0),"",O133/N133-1)</f>
        <v/>
      </c>
    </row>
    <row r="134">
      <c r="A134" s="56" t="inlineStr">
        <is>
          <t>Norway</t>
        </is>
      </c>
      <c r="B134" s="41">
        <f>IF(SUMIFS(Countries!$P$5:$P$434,Countries!$A$5:$A$434,"All landing pages",Countries!$B$5:$B$434,"Paid Search",Countries!$D$5:$D$434,$A134)=0,"",SUMIFS(Countries!$P$5:$P$434,Countries!$A$5:$A$434,"All landing pages",Countries!$B$5:$B$434,"Paid Search",Countries!$D$5:$D$434,$A134))</f>
        <v/>
      </c>
      <c r="C134" s="41">
        <f>IF(SUMIFS(Countries!$Q$5:$Q$434,Countries!$A$5:$A$434,"All landing pages",Countries!$B$5:$B$434,"Paid Search",Countries!$D$5:$D$434,$A134)=0,"",SUMIFS(Countries!$Q$5:$Q$434,Countries!$A$5:$A$434,"All landing pages",Countries!$B$5:$B$434,"Paid Search",Countries!$D$5:$D$434,$A134))</f>
        <v/>
      </c>
      <c r="D134" s="69">
        <f>IF(OR(C134="",B134="",B134=0,C134=0),"",C134-B134)</f>
        <v/>
      </c>
      <c r="E134" s="42">
        <f>IF(OR(C134="",B134="",B134=0,C134=0),"",C134/B134-1)</f>
        <v/>
      </c>
      <c r="F134" s="41">
        <f>IF(SUMIFS(Countries!$P$5:$P$434,Countries!$A$5:$A$434,"All landing pages",Countries!$B$5:$B$434,"Organic",Countries!$D$5:$D$434,$A134)=0,"",SUMIFS(Countries!$P$5:$P$434,Countries!$A$5:$A$434,"All landing pages",Countries!$B$5:$B$434,"Organic",Countries!$D$5:$D$434,$A134))</f>
        <v/>
      </c>
      <c r="G134" s="41">
        <f>IF(SUMIFS(Countries!$Q$5:$Q$434,Countries!$A$5:$A$434,"All landing pages",Countries!$B$5:$B$434,"Organic",Countries!$D$5:$D$434,$A134)=0,"",SUMIFS(Countries!$Q$5:$Q$434,Countries!$A$5:$A$434,"All landing pages",Countries!$B$5:$B$434,"Organic",Countries!$D$5:$D$434,$A134))</f>
        <v/>
      </c>
      <c r="H134" s="69">
        <f>IF(OR(G134="",F134="",F134=0,G134=0),"",G134-F134)</f>
        <v/>
      </c>
      <c r="I134" s="42">
        <f>IF(OR(G134="",F134="",F134=0,G134=0),"",G134/F134-1)</f>
        <v/>
      </c>
      <c r="J134" s="41">
        <f>IF(SUMIFS(Countries!$P$5:$P$434,Countries!$A$5:$A$434,"All landing pages",Countries!$B$5:$B$434,"Direct",Countries!$D$5:$D$434,$A134)=0,"",SUMIFS(Countries!$P$5:$P$434,Countries!$A$5:$A$434,"All landing pages",Countries!$B$5:$B$434,"Direct",Countries!$D$5:$D$434,$A134))</f>
        <v/>
      </c>
      <c r="K134" s="41">
        <f>IF(SUMIFS(Countries!$Q$5:$Q$434,Countries!$A$5:$A$434,"All landing pages",Countries!$B$5:$B$434,"Direct",Countries!$D$5:$D$434,$A134)=0,"",SUMIFS(Countries!$Q$5:$Q$434,Countries!$A$5:$A$434,"All landing pages",Countries!$B$5:$B$434,"Direct",Countries!$D$5:$D$434,$A134))</f>
        <v/>
      </c>
      <c r="L134" s="69">
        <f>IF(OR(K134="",J134="",J134=0,K134=0),"",K134-J134)</f>
        <v/>
      </c>
      <c r="M134" s="42">
        <f>IF(OR(K134="",J134="",J134=0,K134=0),"",K134/J134-1)</f>
        <v/>
      </c>
      <c r="N134" s="41">
        <f>IF(SUM(B134,F134,J134)=0,"",SUM(B134,F134,J134))</f>
        <v/>
      </c>
      <c r="O134" s="41">
        <f>IF(SUM(C134,G134,K134)=0,"",SUM(C134,G134,K134))</f>
        <v/>
      </c>
      <c r="P134" s="69">
        <f>IF(OR(O134="",N134="",N134=0,O134=0),"",O134-N134)</f>
        <v/>
      </c>
      <c r="Q134" s="42">
        <f>IF(OR(O134="",N134="",N134=0,O134=0),"",O134/N134-1)</f>
        <v/>
      </c>
    </row>
    <row r="135">
      <c r="A135" s="40" t="inlineStr">
        <is>
          <t>Finland</t>
        </is>
      </c>
      <c r="B135" s="41">
        <f>IF(SUMIFS(Countries!$P$5:$P$434,Countries!$A$5:$A$434,"All landing pages",Countries!$B$5:$B$434,"Paid Search",Countries!$D$5:$D$434,$A135)=0,"",SUMIFS(Countries!$P$5:$P$434,Countries!$A$5:$A$434,"All landing pages",Countries!$B$5:$B$434,"Paid Search",Countries!$D$5:$D$434,$A135))</f>
        <v/>
      </c>
      <c r="C135" s="41">
        <f>IF(SUMIFS(Countries!$Q$5:$Q$434,Countries!$A$5:$A$434,"All landing pages",Countries!$B$5:$B$434,"Paid Search",Countries!$D$5:$D$434,$A135)=0,"",SUMIFS(Countries!$Q$5:$Q$434,Countries!$A$5:$A$434,"All landing pages",Countries!$B$5:$B$434,"Paid Search",Countries!$D$5:$D$434,$A135))</f>
        <v/>
      </c>
      <c r="D135" s="69">
        <f>IF(OR(C135="",B135="",B135=0,C135=0),"",C135-B135)</f>
        <v/>
      </c>
      <c r="E135" s="42">
        <f>IF(OR(C135="",B135="",B135=0,C135=0),"",C135/B135-1)</f>
        <v/>
      </c>
      <c r="F135" s="41">
        <f>IF(SUMIFS(Countries!$P$5:$P$434,Countries!$A$5:$A$434,"All landing pages",Countries!$B$5:$B$434,"Organic",Countries!$D$5:$D$434,$A135)=0,"",SUMIFS(Countries!$P$5:$P$434,Countries!$A$5:$A$434,"All landing pages",Countries!$B$5:$B$434,"Organic",Countries!$D$5:$D$434,$A135))</f>
        <v/>
      </c>
      <c r="G135" s="41">
        <f>IF(SUMIFS(Countries!$Q$5:$Q$434,Countries!$A$5:$A$434,"All landing pages",Countries!$B$5:$B$434,"Organic",Countries!$D$5:$D$434,$A135)=0,"",SUMIFS(Countries!$Q$5:$Q$434,Countries!$A$5:$A$434,"All landing pages",Countries!$B$5:$B$434,"Organic",Countries!$D$5:$D$434,$A135))</f>
        <v/>
      </c>
      <c r="H135" s="69">
        <f>IF(OR(G135="",F135="",F135=0,G135=0),"",G135-F135)</f>
        <v/>
      </c>
      <c r="I135" s="42">
        <f>IF(OR(G135="",F135="",F135=0,G135=0),"",G135/F135-1)</f>
        <v/>
      </c>
      <c r="J135" s="41">
        <f>IF(SUMIFS(Countries!$P$5:$P$434,Countries!$A$5:$A$434,"All landing pages",Countries!$B$5:$B$434,"Direct",Countries!$D$5:$D$434,$A135)=0,"",SUMIFS(Countries!$P$5:$P$434,Countries!$A$5:$A$434,"All landing pages",Countries!$B$5:$B$434,"Direct",Countries!$D$5:$D$434,$A135))</f>
        <v/>
      </c>
      <c r="K135" s="41">
        <f>IF(SUMIFS(Countries!$Q$5:$Q$434,Countries!$A$5:$A$434,"All landing pages",Countries!$B$5:$B$434,"Direct",Countries!$D$5:$D$434,$A135)=0,"",SUMIFS(Countries!$Q$5:$Q$434,Countries!$A$5:$A$434,"All landing pages",Countries!$B$5:$B$434,"Direct",Countries!$D$5:$D$434,$A135))</f>
        <v/>
      </c>
      <c r="L135" s="69">
        <f>IF(OR(K135="",J135="",J135=0,K135=0),"",K135-J135)</f>
        <v/>
      </c>
      <c r="M135" s="42">
        <f>IF(OR(K135="",J135="",J135=0,K135=0),"",K135/J135-1)</f>
        <v/>
      </c>
      <c r="N135" s="41">
        <f>IF(SUM(B135,F135,J135)=0,"",SUM(B135,F135,J135))</f>
        <v/>
      </c>
      <c r="O135" s="41">
        <f>IF(SUM(C135,G135,K135)=0,"",SUM(C135,G135,K135))</f>
        <v/>
      </c>
      <c r="P135" s="69">
        <f>IF(OR(O135="",N135="",N135=0,O135=0),"",O135-N135)</f>
        <v/>
      </c>
      <c r="Q135" s="42">
        <f>IF(OR(O135="",N135="",N135=0,O135=0),"",O135/N135-1)</f>
        <v/>
      </c>
    </row>
    <row r="136">
      <c r="A136" s="56" t="inlineStr">
        <is>
          <t>Portugal</t>
        </is>
      </c>
      <c r="B136" s="41">
        <f>IF(SUMIFS(Countries!$P$5:$P$434,Countries!$A$5:$A$434,"All landing pages",Countries!$B$5:$B$434,"Paid Search",Countries!$D$5:$D$434,$A136)=0,"",SUMIFS(Countries!$P$5:$P$434,Countries!$A$5:$A$434,"All landing pages",Countries!$B$5:$B$434,"Paid Search",Countries!$D$5:$D$434,$A136))</f>
        <v/>
      </c>
      <c r="C136" s="41">
        <f>IF(SUMIFS(Countries!$Q$5:$Q$434,Countries!$A$5:$A$434,"All landing pages",Countries!$B$5:$B$434,"Paid Search",Countries!$D$5:$D$434,$A136)=0,"",SUMIFS(Countries!$Q$5:$Q$434,Countries!$A$5:$A$434,"All landing pages",Countries!$B$5:$B$434,"Paid Search",Countries!$D$5:$D$434,$A136))</f>
        <v/>
      </c>
      <c r="D136" s="69">
        <f>IF(OR(C136="",B136="",B136=0,C136=0),"",C136-B136)</f>
        <v/>
      </c>
      <c r="E136" s="42">
        <f>IF(OR(C136="",B136="",B136=0,C136=0),"",C136/B136-1)</f>
        <v/>
      </c>
      <c r="F136" s="41">
        <f>IF(SUMIFS(Countries!$P$5:$P$434,Countries!$A$5:$A$434,"All landing pages",Countries!$B$5:$B$434,"Organic",Countries!$D$5:$D$434,$A136)=0,"",SUMIFS(Countries!$P$5:$P$434,Countries!$A$5:$A$434,"All landing pages",Countries!$B$5:$B$434,"Organic",Countries!$D$5:$D$434,$A136))</f>
        <v/>
      </c>
      <c r="G136" s="41">
        <f>IF(SUMIFS(Countries!$Q$5:$Q$434,Countries!$A$5:$A$434,"All landing pages",Countries!$B$5:$B$434,"Organic",Countries!$D$5:$D$434,$A136)=0,"",SUMIFS(Countries!$Q$5:$Q$434,Countries!$A$5:$A$434,"All landing pages",Countries!$B$5:$B$434,"Organic",Countries!$D$5:$D$434,$A136))</f>
        <v/>
      </c>
      <c r="H136" s="69">
        <f>IF(OR(G136="",F136="",F136=0,G136=0),"",G136-F136)</f>
        <v/>
      </c>
      <c r="I136" s="42">
        <f>IF(OR(G136="",F136="",F136=0,G136=0),"",G136/F136-1)</f>
        <v/>
      </c>
      <c r="J136" s="41">
        <f>IF(SUMIFS(Countries!$P$5:$P$434,Countries!$A$5:$A$434,"All landing pages",Countries!$B$5:$B$434,"Direct",Countries!$D$5:$D$434,$A136)=0,"",SUMIFS(Countries!$P$5:$P$434,Countries!$A$5:$A$434,"All landing pages",Countries!$B$5:$B$434,"Direct",Countries!$D$5:$D$434,$A136))</f>
        <v/>
      </c>
      <c r="K136" s="41">
        <f>IF(SUMIFS(Countries!$Q$5:$Q$434,Countries!$A$5:$A$434,"All landing pages",Countries!$B$5:$B$434,"Direct",Countries!$D$5:$D$434,$A136)=0,"",SUMIFS(Countries!$Q$5:$Q$434,Countries!$A$5:$A$434,"All landing pages",Countries!$B$5:$B$434,"Direct",Countries!$D$5:$D$434,$A136))</f>
        <v/>
      </c>
      <c r="L136" s="69">
        <f>IF(OR(K136="",J136="",J136=0,K136=0),"",K136-J136)</f>
        <v/>
      </c>
      <c r="M136" s="42">
        <f>IF(OR(K136="",J136="",J136=0,K136=0),"",K136/J136-1)</f>
        <v/>
      </c>
      <c r="N136" s="41">
        <f>IF(SUM(B136,F136,J136)=0,"",SUM(B136,F136,J136))</f>
        <v/>
      </c>
      <c r="O136" s="41">
        <f>IF(SUM(C136,G136,K136)=0,"",SUM(C136,G136,K136))</f>
        <v/>
      </c>
      <c r="P136" s="69">
        <f>IF(OR(O136="",N136="",N136=0,O136=0),"",O136-N136)</f>
        <v/>
      </c>
      <c r="Q136" s="42">
        <f>IF(OR(O136="",N136="",N136=0,O136=0),"",O136/N136-1)</f>
        <v/>
      </c>
    </row>
    <row r="137">
      <c r="A137" s="40" t="inlineStr">
        <is>
          <t>Türkiye</t>
        </is>
      </c>
      <c r="B137" s="41">
        <f>IF(SUMIFS(Countries!$P$5:$P$434,Countries!$A$5:$A$434,"All landing pages",Countries!$B$5:$B$434,"Paid Search",Countries!$D$5:$D$434,$A137)=0,"",SUMIFS(Countries!$P$5:$P$434,Countries!$A$5:$A$434,"All landing pages",Countries!$B$5:$B$434,"Paid Search",Countries!$D$5:$D$434,$A137))</f>
        <v/>
      </c>
      <c r="C137" s="41">
        <f>IF(SUMIFS(Countries!$Q$5:$Q$434,Countries!$A$5:$A$434,"All landing pages",Countries!$B$5:$B$434,"Paid Search",Countries!$D$5:$D$434,$A137)=0,"",SUMIFS(Countries!$Q$5:$Q$434,Countries!$A$5:$A$434,"All landing pages",Countries!$B$5:$B$434,"Paid Search",Countries!$D$5:$D$434,$A137))</f>
        <v/>
      </c>
      <c r="D137" s="69">
        <f>IF(OR(C137="",B137="",B137=0,C137=0),"",C137-B137)</f>
        <v/>
      </c>
      <c r="E137" s="42">
        <f>IF(OR(C137="",B137="",B137=0,C137=0),"",C137/B137-1)</f>
        <v/>
      </c>
      <c r="F137" s="41">
        <f>IF(SUMIFS(Countries!$P$5:$P$434,Countries!$A$5:$A$434,"All landing pages",Countries!$B$5:$B$434,"Organic",Countries!$D$5:$D$434,$A137)=0,"",SUMIFS(Countries!$P$5:$P$434,Countries!$A$5:$A$434,"All landing pages",Countries!$B$5:$B$434,"Organic",Countries!$D$5:$D$434,$A137))</f>
        <v/>
      </c>
      <c r="G137" s="41">
        <f>IF(SUMIFS(Countries!$Q$5:$Q$434,Countries!$A$5:$A$434,"All landing pages",Countries!$B$5:$B$434,"Organic",Countries!$D$5:$D$434,$A137)=0,"",SUMIFS(Countries!$Q$5:$Q$434,Countries!$A$5:$A$434,"All landing pages",Countries!$B$5:$B$434,"Organic",Countries!$D$5:$D$434,$A137))</f>
        <v/>
      </c>
      <c r="H137" s="69">
        <f>IF(OR(G137="",F137="",F137=0,G137=0),"",G137-F137)</f>
        <v/>
      </c>
      <c r="I137" s="42">
        <f>IF(OR(G137="",F137="",F137=0,G137=0),"",G137/F137-1)</f>
        <v/>
      </c>
      <c r="J137" s="41">
        <f>IF(SUMIFS(Countries!$P$5:$P$434,Countries!$A$5:$A$434,"All landing pages",Countries!$B$5:$B$434,"Direct",Countries!$D$5:$D$434,$A137)=0,"",SUMIFS(Countries!$P$5:$P$434,Countries!$A$5:$A$434,"All landing pages",Countries!$B$5:$B$434,"Direct",Countries!$D$5:$D$434,$A137))</f>
        <v/>
      </c>
      <c r="K137" s="41">
        <f>IF(SUMIFS(Countries!$Q$5:$Q$434,Countries!$A$5:$A$434,"All landing pages",Countries!$B$5:$B$434,"Direct",Countries!$D$5:$D$434,$A137)=0,"",SUMIFS(Countries!$Q$5:$Q$434,Countries!$A$5:$A$434,"All landing pages",Countries!$B$5:$B$434,"Direct",Countries!$D$5:$D$434,$A137))</f>
        <v/>
      </c>
      <c r="L137" s="69">
        <f>IF(OR(K137="",J137="",J137=0,K137=0),"",K137-J137)</f>
        <v/>
      </c>
      <c r="M137" s="42">
        <f>IF(OR(K137="",J137="",J137=0,K137=0),"",K137/J137-1)</f>
        <v/>
      </c>
      <c r="N137" s="41">
        <f>IF(SUM(B137,F137,J137)=0,"",SUM(B137,F137,J137))</f>
        <v/>
      </c>
      <c r="O137" s="41">
        <f>IF(SUM(C137,G137,K137)=0,"",SUM(C137,G137,K137))</f>
        <v/>
      </c>
      <c r="P137" s="69">
        <f>IF(OR(O137="",N137="",N137=0,O137=0),"",O137-N137)</f>
        <v/>
      </c>
      <c r="Q137" s="42">
        <f>IF(OR(O137="",N137="",N137=0,O137=0),"",O137/N137-1)</f>
        <v/>
      </c>
    </row>
    <row r="138">
      <c r="A138" s="56" t="inlineStr">
        <is>
          <t>Australia</t>
        </is>
      </c>
      <c r="B138" s="41">
        <f>IF(SUMIFS(Countries!$P$5:$P$434,Countries!$A$5:$A$434,"All landing pages",Countries!$B$5:$B$434,"Paid Search",Countries!$D$5:$D$434,$A138)=0,"",SUMIFS(Countries!$P$5:$P$434,Countries!$A$5:$A$434,"All landing pages",Countries!$B$5:$B$434,"Paid Search",Countries!$D$5:$D$434,$A138))</f>
        <v/>
      </c>
      <c r="C138" s="41">
        <f>IF(SUMIFS(Countries!$Q$5:$Q$434,Countries!$A$5:$A$434,"All landing pages",Countries!$B$5:$B$434,"Paid Search",Countries!$D$5:$D$434,$A138)=0,"",SUMIFS(Countries!$Q$5:$Q$434,Countries!$A$5:$A$434,"All landing pages",Countries!$B$5:$B$434,"Paid Search",Countries!$D$5:$D$434,$A138))</f>
        <v/>
      </c>
      <c r="D138" s="69">
        <f>IF(OR(C138="",B138="",B138=0,C138=0),"",C138-B138)</f>
        <v/>
      </c>
      <c r="E138" s="42">
        <f>IF(OR(C138="",B138="",B138=0,C138=0),"",C138/B138-1)</f>
        <v/>
      </c>
      <c r="F138" s="41">
        <f>IF(SUMIFS(Countries!$P$5:$P$434,Countries!$A$5:$A$434,"All landing pages",Countries!$B$5:$B$434,"Organic",Countries!$D$5:$D$434,$A138)=0,"",SUMIFS(Countries!$P$5:$P$434,Countries!$A$5:$A$434,"All landing pages",Countries!$B$5:$B$434,"Organic",Countries!$D$5:$D$434,$A138))</f>
        <v/>
      </c>
      <c r="G138" s="41">
        <f>IF(SUMIFS(Countries!$Q$5:$Q$434,Countries!$A$5:$A$434,"All landing pages",Countries!$B$5:$B$434,"Organic",Countries!$D$5:$D$434,$A138)=0,"",SUMIFS(Countries!$Q$5:$Q$434,Countries!$A$5:$A$434,"All landing pages",Countries!$B$5:$B$434,"Organic",Countries!$D$5:$D$434,$A138))</f>
        <v/>
      </c>
      <c r="H138" s="69">
        <f>IF(OR(G138="",F138="",F138=0,G138=0),"",G138-F138)</f>
        <v/>
      </c>
      <c r="I138" s="42">
        <f>IF(OR(G138="",F138="",F138=0,G138=0),"",G138/F138-1)</f>
        <v/>
      </c>
      <c r="J138" s="41">
        <f>IF(SUMIFS(Countries!$P$5:$P$434,Countries!$A$5:$A$434,"All landing pages",Countries!$B$5:$B$434,"Direct",Countries!$D$5:$D$434,$A138)=0,"",SUMIFS(Countries!$P$5:$P$434,Countries!$A$5:$A$434,"All landing pages",Countries!$B$5:$B$434,"Direct",Countries!$D$5:$D$434,$A138))</f>
        <v/>
      </c>
      <c r="K138" s="41">
        <f>IF(SUMIFS(Countries!$Q$5:$Q$434,Countries!$A$5:$A$434,"All landing pages",Countries!$B$5:$B$434,"Direct",Countries!$D$5:$D$434,$A138)=0,"",SUMIFS(Countries!$Q$5:$Q$434,Countries!$A$5:$A$434,"All landing pages",Countries!$B$5:$B$434,"Direct",Countries!$D$5:$D$434,$A138))</f>
        <v/>
      </c>
      <c r="L138" s="69">
        <f>IF(OR(K138="",J138="",J138=0,K138=0),"",K138-J138)</f>
        <v/>
      </c>
      <c r="M138" s="42">
        <f>IF(OR(K138="",J138="",J138=0,K138=0),"",K138/J138-1)</f>
        <v/>
      </c>
      <c r="N138" s="41">
        <f>IF(SUM(B138,F138,J138)=0,"",SUM(B138,F138,J138))</f>
        <v/>
      </c>
      <c r="O138" s="41">
        <f>IF(SUM(C138,G138,K138)=0,"",SUM(C138,G138,K138))</f>
        <v/>
      </c>
      <c r="P138" s="69">
        <f>IF(OR(O138="",N138="",N138=0,O138=0),"",O138-N138)</f>
        <v/>
      </c>
      <c r="Q138" s="42">
        <f>IF(OR(O138="",N138="",N138=0,O138=0),"",O138/N138-1)</f>
        <v/>
      </c>
    </row>
    <row r="139">
      <c r="A139" s="40" t="inlineStr">
        <is>
          <t>Romania</t>
        </is>
      </c>
      <c r="B139" s="41">
        <f>IF(SUMIFS(Countries!$P$5:$P$434,Countries!$A$5:$A$434,"All landing pages",Countries!$B$5:$B$434,"Paid Search",Countries!$D$5:$D$434,$A139)=0,"",SUMIFS(Countries!$P$5:$P$434,Countries!$A$5:$A$434,"All landing pages",Countries!$B$5:$B$434,"Paid Search",Countries!$D$5:$D$434,$A139))</f>
        <v/>
      </c>
      <c r="C139" s="41">
        <f>IF(SUMIFS(Countries!$Q$5:$Q$434,Countries!$A$5:$A$434,"All landing pages",Countries!$B$5:$B$434,"Paid Search",Countries!$D$5:$D$434,$A139)=0,"",SUMIFS(Countries!$Q$5:$Q$434,Countries!$A$5:$A$434,"All landing pages",Countries!$B$5:$B$434,"Paid Search",Countries!$D$5:$D$434,$A139))</f>
        <v/>
      </c>
      <c r="D139" s="69">
        <f>IF(OR(C139="",B139="",B139=0,C139=0),"",C139-B139)</f>
        <v/>
      </c>
      <c r="E139" s="42">
        <f>IF(OR(C139="",B139="",B139=0,C139=0),"",C139/B139-1)</f>
        <v/>
      </c>
      <c r="F139" s="41">
        <f>IF(SUMIFS(Countries!$P$5:$P$434,Countries!$A$5:$A$434,"All landing pages",Countries!$B$5:$B$434,"Organic",Countries!$D$5:$D$434,$A139)=0,"",SUMIFS(Countries!$P$5:$P$434,Countries!$A$5:$A$434,"All landing pages",Countries!$B$5:$B$434,"Organic",Countries!$D$5:$D$434,$A139))</f>
        <v/>
      </c>
      <c r="G139" s="41">
        <f>IF(SUMIFS(Countries!$Q$5:$Q$434,Countries!$A$5:$A$434,"All landing pages",Countries!$B$5:$B$434,"Organic",Countries!$D$5:$D$434,$A139)=0,"",SUMIFS(Countries!$Q$5:$Q$434,Countries!$A$5:$A$434,"All landing pages",Countries!$B$5:$B$434,"Organic",Countries!$D$5:$D$434,$A139))</f>
        <v/>
      </c>
      <c r="H139" s="69">
        <f>IF(OR(G139="",F139="",F139=0,G139=0),"",G139-F139)</f>
        <v/>
      </c>
      <c r="I139" s="42">
        <f>IF(OR(G139="",F139="",F139=0,G139=0),"",G139/F139-1)</f>
        <v/>
      </c>
      <c r="J139" s="41">
        <f>IF(SUMIFS(Countries!$P$5:$P$434,Countries!$A$5:$A$434,"All landing pages",Countries!$B$5:$B$434,"Direct",Countries!$D$5:$D$434,$A139)=0,"",SUMIFS(Countries!$P$5:$P$434,Countries!$A$5:$A$434,"All landing pages",Countries!$B$5:$B$434,"Direct",Countries!$D$5:$D$434,$A139))</f>
        <v/>
      </c>
      <c r="K139" s="41">
        <f>IF(SUMIFS(Countries!$Q$5:$Q$434,Countries!$A$5:$A$434,"All landing pages",Countries!$B$5:$B$434,"Direct",Countries!$D$5:$D$434,$A139)=0,"",SUMIFS(Countries!$Q$5:$Q$434,Countries!$A$5:$A$434,"All landing pages",Countries!$B$5:$B$434,"Direct",Countries!$D$5:$D$434,$A139))</f>
        <v/>
      </c>
      <c r="L139" s="69">
        <f>IF(OR(K139="",J139="",J139=0,K139=0),"",K139-J139)</f>
        <v/>
      </c>
      <c r="M139" s="42">
        <f>IF(OR(K139="",J139="",J139=0,K139=0),"",K139/J139-1)</f>
        <v/>
      </c>
      <c r="N139" s="41">
        <f>IF(SUM(B139,F139,J139)=0,"",SUM(B139,F139,J139))</f>
        <v/>
      </c>
      <c r="O139" s="41">
        <f>IF(SUM(C139,G139,K139)=0,"",SUM(C139,G139,K139))</f>
        <v/>
      </c>
      <c r="P139" s="69">
        <f>IF(OR(O139="",N139="",N139=0,O139=0),"",O139-N139)</f>
        <v/>
      </c>
      <c r="Q139" s="42">
        <f>IF(OR(O139="",N139="",N139=0,O139=0),"",O139/N139-1)</f>
        <v/>
      </c>
    </row>
    <row r="140">
      <c r="A140" s="56" t="inlineStr">
        <is>
          <t>Canada</t>
        </is>
      </c>
      <c r="B140" s="41">
        <f>IF(SUMIFS(Countries!$P$5:$P$434,Countries!$A$5:$A$434,"All landing pages",Countries!$B$5:$B$434,"Paid Search",Countries!$D$5:$D$434,$A140)=0,"",SUMIFS(Countries!$P$5:$P$434,Countries!$A$5:$A$434,"All landing pages",Countries!$B$5:$B$434,"Paid Search",Countries!$D$5:$D$434,$A140))</f>
        <v/>
      </c>
      <c r="C140" s="41">
        <f>IF(SUMIFS(Countries!$Q$5:$Q$434,Countries!$A$5:$A$434,"All landing pages",Countries!$B$5:$B$434,"Paid Search",Countries!$D$5:$D$434,$A140)=0,"",SUMIFS(Countries!$Q$5:$Q$434,Countries!$A$5:$A$434,"All landing pages",Countries!$B$5:$B$434,"Paid Search",Countries!$D$5:$D$434,$A140))</f>
        <v/>
      </c>
      <c r="D140" s="69">
        <f>IF(OR(C140="",B140="",B140=0,C140=0),"",C140-B140)</f>
        <v/>
      </c>
      <c r="E140" s="42">
        <f>IF(OR(C140="",B140="",B140=0,C140=0),"",C140/B140-1)</f>
        <v/>
      </c>
      <c r="F140" s="41">
        <f>IF(SUMIFS(Countries!$P$5:$P$434,Countries!$A$5:$A$434,"All landing pages",Countries!$B$5:$B$434,"Organic",Countries!$D$5:$D$434,$A140)=0,"",SUMIFS(Countries!$P$5:$P$434,Countries!$A$5:$A$434,"All landing pages",Countries!$B$5:$B$434,"Organic",Countries!$D$5:$D$434,$A140))</f>
        <v/>
      </c>
      <c r="G140" s="41">
        <f>IF(SUMIFS(Countries!$Q$5:$Q$434,Countries!$A$5:$A$434,"All landing pages",Countries!$B$5:$B$434,"Organic",Countries!$D$5:$D$434,$A140)=0,"",SUMIFS(Countries!$Q$5:$Q$434,Countries!$A$5:$A$434,"All landing pages",Countries!$B$5:$B$434,"Organic",Countries!$D$5:$D$434,$A140))</f>
        <v/>
      </c>
      <c r="H140" s="69">
        <f>IF(OR(G140="",F140="",F140=0,G140=0),"",G140-F140)</f>
        <v/>
      </c>
      <c r="I140" s="42">
        <f>IF(OR(G140="",F140="",F140=0,G140=0),"",G140/F140-1)</f>
        <v/>
      </c>
      <c r="J140" s="41">
        <f>IF(SUMIFS(Countries!$P$5:$P$434,Countries!$A$5:$A$434,"All landing pages",Countries!$B$5:$B$434,"Direct",Countries!$D$5:$D$434,$A140)=0,"",SUMIFS(Countries!$P$5:$P$434,Countries!$A$5:$A$434,"All landing pages",Countries!$B$5:$B$434,"Direct",Countries!$D$5:$D$434,$A140))</f>
        <v/>
      </c>
      <c r="K140" s="41">
        <f>IF(SUMIFS(Countries!$Q$5:$Q$434,Countries!$A$5:$A$434,"All landing pages",Countries!$B$5:$B$434,"Direct",Countries!$D$5:$D$434,$A140)=0,"",SUMIFS(Countries!$Q$5:$Q$434,Countries!$A$5:$A$434,"All landing pages",Countries!$B$5:$B$434,"Direct",Countries!$D$5:$D$434,$A140))</f>
        <v/>
      </c>
      <c r="L140" s="69">
        <f>IF(OR(K140="",J140="",J140=0,K140=0),"",K140-J140)</f>
        <v/>
      </c>
      <c r="M140" s="42">
        <f>IF(OR(K140="",J140="",J140=0,K140=0),"",K140/J140-1)</f>
        <v/>
      </c>
      <c r="N140" s="41">
        <f>IF(SUM(B140,F140,J140)=0,"",SUM(B140,F140,J140))</f>
        <v/>
      </c>
      <c r="O140" s="41">
        <f>IF(SUM(C140,G140,K140)=0,"",SUM(C140,G140,K140))</f>
        <v/>
      </c>
      <c r="P140" s="69">
        <f>IF(OR(O140="",N140="",N140=0,O140=0),"",O140-N140)</f>
        <v/>
      </c>
      <c r="Q140" s="42">
        <f>IF(OR(O140="",N140="",N140=0,O140=0),"",O140/N140-1)</f>
        <v/>
      </c>
    </row>
    <row r="141">
      <c r="A141" s="40" t="inlineStr">
        <is>
          <t>Greece</t>
        </is>
      </c>
      <c r="B141" s="41">
        <f>IF(SUMIFS(Countries!$P$5:$P$434,Countries!$A$5:$A$434,"All landing pages",Countries!$B$5:$B$434,"Paid Search",Countries!$D$5:$D$434,$A141)=0,"",SUMIFS(Countries!$P$5:$P$434,Countries!$A$5:$A$434,"All landing pages",Countries!$B$5:$B$434,"Paid Search",Countries!$D$5:$D$434,$A141))</f>
        <v/>
      </c>
      <c r="C141" s="41">
        <f>IF(SUMIFS(Countries!$Q$5:$Q$434,Countries!$A$5:$A$434,"All landing pages",Countries!$B$5:$B$434,"Paid Search",Countries!$D$5:$D$434,$A141)=0,"",SUMIFS(Countries!$Q$5:$Q$434,Countries!$A$5:$A$434,"All landing pages",Countries!$B$5:$B$434,"Paid Search",Countries!$D$5:$D$434,$A141))</f>
        <v/>
      </c>
      <c r="D141" s="69">
        <f>IF(OR(C141="",B141="",B141=0,C141=0),"",C141-B141)</f>
        <v/>
      </c>
      <c r="E141" s="42">
        <f>IF(OR(C141="",B141="",B141=0,C141=0),"",C141/B141-1)</f>
        <v/>
      </c>
      <c r="F141" s="41">
        <f>IF(SUMIFS(Countries!$P$5:$P$434,Countries!$A$5:$A$434,"All landing pages",Countries!$B$5:$B$434,"Organic",Countries!$D$5:$D$434,$A141)=0,"",SUMIFS(Countries!$P$5:$P$434,Countries!$A$5:$A$434,"All landing pages",Countries!$B$5:$B$434,"Organic",Countries!$D$5:$D$434,$A141))</f>
        <v/>
      </c>
      <c r="G141" s="41">
        <f>IF(SUMIFS(Countries!$Q$5:$Q$434,Countries!$A$5:$A$434,"All landing pages",Countries!$B$5:$B$434,"Organic",Countries!$D$5:$D$434,$A141)=0,"",SUMIFS(Countries!$Q$5:$Q$434,Countries!$A$5:$A$434,"All landing pages",Countries!$B$5:$B$434,"Organic",Countries!$D$5:$D$434,$A141))</f>
        <v/>
      </c>
      <c r="H141" s="69">
        <f>IF(OR(G141="",F141="",F141=0,G141=0),"",G141-F141)</f>
        <v/>
      </c>
      <c r="I141" s="42">
        <f>IF(OR(G141="",F141="",F141=0,G141=0),"",G141/F141-1)</f>
        <v/>
      </c>
      <c r="J141" s="41">
        <f>IF(SUMIFS(Countries!$P$5:$P$434,Countries!$A$5:$A$434,"All landing pages",Countries!$B$5:$B$434,"Direct",Countries!$D$5:$D$434,$A141)=0,"",SUMIFS(Countries!$P$5:$P$434,Countries!$A$5:$A$434,"All landing pages",Countries!$B$5:$B$434,"Direct",Countries!$D$5:$D$434,$A141))</f>
        <v/>
      </c>
      <c r="K141" s="41">
        <f>IF(SUMIFS(Countries!$Q$5:$Q$434,Countries!$A$5:$A$434,"All landing pages",Countries!$B$5:$B$434,"Direct",Countries!$D$5:$D$434,$A141)=0,"",SUMIFS(Countries!$Q$5:$Q$434,Countries!$A$5:$A$434,"All landing pages",Countries!$B$5:$B$434,"Direct",Countries!$D$5:$D$434,$A141))</f>
        <v/>
      </c>
      <c r="L141" s="69">
        <f>IF(OR(K141="",J141="",J141=0,K141=0),"",K141-J141)</f>
        <v/>
      </c>
      <c r="M141" s="42">
        <f>IF(OR(K141="",J141="",J141=0,K141=0),"",K141/J141-1)</f>
        <v/>
      </c>
      <c r="N141" s="41">
        <f>IF(SUM(B141,F141,J141)=0,"",SUM(B141,F141,J141))</f>
        <v/>
      </c>
      <c r="O141" s="41">
        <f>IF(SUM(C141,G141,K141)=0,"",SUM(C141,G141,K141))</f>
        <v/>
      </c>
      <c r="P141" s="69">
        <f>IF(OR(O141="",N141="",N141=0,O141=0),"",O141-N141)</f>
        <v/>
      </c>
      <c r="Q141" s="42">
        <f>IF(OR(O141="",N141="",N141=0,O141=0),"",O141/N141-1)</f>
        <v/>
      </c>
    </row>
    <row r="142">
      <c r="A142" s="56" t="inlineStr">
        <is>
          <t>Switzerland</t>
        </is>
      </c>
      <c r="B142" s="41">
        <f>IF(SUMIFS(Countries!$P$5:$P$434,Countries!$A$5:$A$434,"All landing pages",Countries!$B$5:$B$434,"Paid Search",Countries!$D$5:$D$434,$A142)=0,"",SUMIFS(Countries!$P$5:$P$434,Countries!$A$5:$A$434,"All landing pages",Countries!$B$5:$B$434,"Paid Search",Countries!$D$5:$D$434,$A142))</f>
        <v/>
      </c>
      <c r="C142" s="41">
        <f>IF(SUMIFS(Countries!$Q$5:$Q$434,Countries!$A$5:$A$434,"All landing pages",Countries!$B$5:$B$434,"Paid Search",Countries!$D$5:$D$434,$A142)=0,"",SUMIFS(Countries!$Q$5:$Q$434,Countries!$A$5:$A$434,"All landing pages",Countries!$B$5:$B$434,"Paid Search",Countries!$D$5:$D$434,$A142))</f>
        <v/>
      </c>
      <c r="D142" s="69">
        <f>IF(OR(C142="",B142="",B142=0,C142=0),"",C142-B142)</f>
        <v/>
      </c>
      <c r="E142" s="42">
        <f>IF(OR(C142="",B142="",B142=0,C142=0),"",C142/B142-1)</f>
        <v/>
      </c>
      <c r="F142" s="41">
        <f>IF(SUMIFS(Countries!$P$5:$P$434,Countries!$A$5:$A$434,"All landing pages",Countries!$B$5:$B$434,"Organic",Countries!$D$5:$D$434,$A142)=0,"",SUMIFS(Countries!$P$5:$P$434,Countries!$A$5:$A$434,"All landing pages",Countries!$B$5:$B$434,"Organic",Countries!$D$5:$D$434,$A142))</f>
        <v/>
      </c>
      <c r="G142" s="41">
        <f>IF(SUMIFS(Countries!$Q$5:$Q$434,Countries!$A$5:$A$434,"All landing pages",Countries!$B$5:$B$434,"Organic",Countries!$D$5:$D$434,$A142)=0,"",SUMIFS(Countries!$Q$5:$Q$434,Countries!$A$5:$A$434,"All landing pages",Countries!$B$5:$B$434,"Organic",Countries!$D$5:$D$434,$A142))</f>
        <v/>
      </c>
      <c r="H142" s="69">
        <f>IF(OR(G142="",F142="",F142=0,G142=0),"",G142-F142)</f>
        <v/>
      </c>
      <c r="I142" s="42">
        <f>IF(OR(G142="",F142="",F142=0,G142=0),"",G142/F142-1)</f>
        <v/>
      </c>
      <c r="J142" s="41">
        <f>IF(SUMIFS(Countries!$P$5:$P$434,Countries!$A$5:$A$434,"All landing pages",Countries!$B$5:$B$434,"Direct",Countries!$D$5:$D$434,$A142)=0,"",SUMIFS(Countries!$P$5:$P$434,Countries!$A$5:$A$434,"All landing pages",Countries!$B$5:$B$434,"Direct",Countries!$D$5:$D$434,$A142))</f>
        <v/>
      </c>
      <c r="K142" s="41">
        <f>IF(SUMIFS(Countries!$Q$5:$Q$434,Countries!$A$5:$A$434,"All landing pages",Countries!$B$5:$B$434,"Direct",Countries!$D$5:$D$434,$A142)=0,"",SUMIFS(Countries!$Q$5:$Q$434,Countries!$A$5:$A$434,"All landing pages",Countries!$B$5:$B$434,"Direct",Countries!$D$5:$D$434,$A142))</f>
        <v/>
      </c>
      <c r="L142" s="69">
        <f>IF(OR(K142="",J142="",J142=0,K142=0),"",K142-J142)</f>
        <v/>
      </c>
      <c r="M142" s="42">
        <f>IF(OR(K142="",J142="",J142=0,K142=0),"",K142/J142-1)</f>
        <v/>
      </c>
      <c r="N142" s="41">
        <f>IF(SUM(B142,F142,J142)=0,"",SUM(B142,F142,J142))</f>
        <v/>
      </c>
      <c r="O142" s="41">
        <f>IF(SUM(C142,G142,K142)=0,"",SUM(C142,G142,K142))</f>
        <v/>
      </c>
      <c r="P142" s="69">
        <f>IF(OR(O142="",N142="",N142=0,O142=0),"",O142-N142)</f>
        <v/>
      </c>
      <c r="Q142" s="42">
        <f>IF(OR(O142="",N142="",N142=0,O142=0),"",O142/N142-1)</f>
        <v/>
      </c>
    </row>
    <row r="143">
      <c r="A143" s="40" t="inlineStr">
        <is>
          <t>(not set)</t>
        </is>
      </c>
      <c r="B143" s="41">
        <f>IF(SUMIFS(Countries!$P$5:$P$434,Countries!$A$5:$A$434,"All landing pages",Countries!$B$5:$B$434,"Paid Search",Countries!$D$5:$D$434,$A143)=0,"",SUMIFS(Countries!$P$5:$P$434,Countries!$A$5:$A$434,"All landing pages",Countries!$B$5:$B$434,"Paid Search",Countries!$D$5:$D$434,$A143))</f>
        <v/>
      </c>
      <c r="C143" s="41">
        <f>IF(SUMIFS(Countries!$Q$5:$Q$434,Countries!$A$5:$A$434,"All landing pages",Countries!$B$5:$B$434,"Paid Search",Countries!$D$5:$D$434,$A143)=0,"",SUMIFS(Countries!$Q$5:$Q$434,Countries!$A$5:$A$434,"All landing pages",Countries!$B$5:$B$434,"Paid Search",Countries!$D$5:$D$434,$A143))</f>
        <v/>
      </c>
      <c r="D143" s="69">
        <f>IF(OR(C143="",B143="",B143=0,C143=0),"",C143-B143)</f>
        <v/>
      </c>
      <c r="E143" s="42">
        <f>IF(OR(C143="",B143="",B143=0,C143=0),"",C143/B143-1)</f>
        <v/>
      </c>
      <c r="F143" s="41">
        <f>IF(SUMIFS(Countries!$P$5:$P$434,Countries!$A$5:$A$434,"All landing pages",Countries!$B$5:$B$434,"Organic",Countries!$D$5:$D$434,$A143)=0,"",SUMIFS(Countries!$P$5:$P$434,Countries!$A$5:$A$434,"All landing pages",Countries!$B$5:$B$434,"Organic",Countries!$D$5:$D$434,$A143))</f>
        <v/>
      </c>
      <c r="G143" s="41">
        <f>IF(SUMIFS(Countries!$Q$5:$Q$434,Countries!$A$5:$A$434,"All landing pages",Countries!$B$5:$B$434,"Organic",Countries!$D$5:$D$434,$A143)=0,"",SUMIFS(Countries!$Q$5:$Q$434,Countries!$A$5:$A$434,"All landing pages",Countries!$B$5:$B$434,"Organic",Countries!$D$5:$D$434,$A143))</f>
        <v/>
      </c>
      <c r="H143" s="69">
        <f>IF(OR(G143="",F143="",F143=0,G143=0),"",G143-F143)</f>
        <v/>
      </c>
      <c r="I143" s="42">
        <f>IF(OR(G143="",F143="",F143=0,G143=0),"",G143/F143-1)</f>
        <v/>
      </c>
      <c r="J143" s="41">
        <f>IF(SUMIFS(Countries!$P$5:$P$434,Countries!$A$5:$A$434,"All landing pages",Countries!$B$5:$B$434,"Direct",Countries!$D$5:$D$434,$A143)=0,"",SUMIFS(Countries!$P$5:$P$434,Countries!$A$5:$A$434,"All landing pages",Countries!$B$5:$B$434,"Direct",Countries!$D$5:$D$434,$A143))</f>
        <v/>
      </c>
      <c r="K143" s="41">
        <f>IF(SUMIFS(Countries!$Q$5:$Q$434,Countries!$A$5:$A$434,"All landing pages",Countries!$B$5:$B$434,"Direct",Countries!$D$5:$D$434,$A143)=0,"",SUMIFS(Countries!$Q$5:$Q$434,Countries!$A$5:$A$434,"All landing pages",Countries!$B$5:$B$434,"Direct",Countries!$D$5:$D$434,$A143))</f>
        <v/>
      </c>
      <c r="L143" s="69">
        <f>IF(OR(K143="",J143="",J143=0,K143=0),"",K143-J143)</f>
        <v/>
      </c>
      <c r="M143" s="42">
        <f>IF(OR(K143="",J143="",J143=0,K143=0),"",K143/J143-1)</f>
        <v/>
      </c>
      <c r="N143" s="41">
        <f>IF(SUM(B143,F143,J143)=0,"",SUM(B143,F143,J143))</f>
        <v/>
      </c>
      <c r="O143" s="41">
        <f>IF(SUM(C143,G143,K143)=0,"",SUM(C143,G143,K143))</f>
        <v/>
      </c>
      <c r="P143" s="69">
        <f>IF(OR(O143="",N143="",N143=0,O143=0),"",O143-N143)</f>
        <v/>
      </c>
      <c r="Q143" s="42">
        <f>IF(OR(O143="",N143="",N143=0,O143=0),"",O143/N143-1)</f>
        <v/>
      </c>
    </row>
    <row r="144">
      <c r="A144" s="56" t="inlineStr">
        <is>
          <t>Algeria</t>
        </is>
      </c>
      <c r="B144" s="41">
        <f>IF(SUMIFS(Countries!$P$5:$P$434,Countries!$A$5:$A$434,"All landing pages",Countries!$B$5:$B$434,"Paid Search",Countries!$D$5:$D$434,$A144)=0,"",SUMIFS(Countries!$P$5:$P$434,Countries!$A$5:$A$434,"All landing pages",Countries!$B$5:$B$434,"Paid Search",Countries!$D$5:$D$434,$A144))</f>
        <v/>
      </c>
      <c r="C144" s="41">
        <f>IF(SUMIFS(Countries!$Q$5:$Q$434,Countries!$A$5:$A$434,"All landing pages",Countries!$B$5:$B$434,"Paid Search",Countries!$D$5:$D$434,$A144)=0,"",SUMIFS(Countries!$Q$5:$Q$434,Countries!$A$5:$A$434,"All landing pages",Countries!$B$5:$B$434,"Paid Search",Countries!$D$5:$D$434,$A144))</f>
        <v/>
      </c>
      <c r="D144" s="69">
        <f>IF(OR(C144="",B144="",B144=0,C144=0),"",C144-B144)</f>
        <v/>
      </c>
      <c r="E144" s="42">
        <f>IF(OR(C144="",B144="",B144=0,C144=0),"",C144/B144-1)</f>
        <v/>
      </c>
      <c r="F144" s="41">
        <f>IF(SUMIFS(Countries!$P$5:$P$434,Countries!$A$5:$A$434,"All landing pages",Countries!$B$5:$B$434,"Organic",Countries!$D$5:$D$434,$A144)=0,"",SUMIFS(Countries!$P$5:$P$434,Countries!$A$5:$A$434,"All landing pages",Countries!$B$5:$B$434,"Organic",Countries!$D$5:$D$434,$A144))</f>
        <v/>
      </c>
      <c r="G144" s="41">
        <f>IF(SUMIFS(Countries!$Q$5:$Q$434,Countries!$A$5:$A$434,"All landing pages",Countries!$B$5:$B$434,"Organic",Countries!$D$5:$D$434,$A144)=0,"",SUMIFS(Countries!$Q$5:$Q$434,Countries!$A$5:$A$434,"All landing pages",Countries!$B$5:$B$434,"Organic",Countries!$D$5:$D$434,$A144))</f>
        <v/>
      </c>
      <c r="H144" s="69">
        <f>IF(OR(G144="",F144="",F144=0,G144=0),"",G144-F144)</f>
        <v/>
      </c>
      <c r="I144" s="42">
        <f>IF(OR(G144="",F144="",F144=0,G144=0),"",G144/F144-1)</f>
        <v/>
      </c>
      <c r="J144" s="41">
        <f>IF(SUMIFS(Countries!$P$5:$P$434,Countries!$A$5:$A$434,"All landing pages",Countries!$B$5:$B$434,"Direct",Countries!$D$5:$D$434,$A144)=0,"",SUMIFS(Countries!$P$5:$P$434,Countries!$A$5:$A$434,"All landing pages",Countries!$B$5:$B$434,"Direct",Countries!$D$5:$D$434,$A144))</f>
        <v/>
      </c>
      <c r="K144" s="41">
        <f>IF(SUMIFS(Countries!$Q$5:$Q$434,Countries!$A$5:$A$434,"All landing pages",Countries!$B$5:$B$434,"Direct",Countries!$D$5:$D$434,$A144)=0,"",SUMIFS(Countries!$Q$5:$Q$434,Countries!$A$5:$A$434,"All landing pages",Countries!$B$5:$B$434,"Direct",Countries!$D$5:$D$434,$A144))</f>
        <v/>
      </c>
      <c r="L144" s="69">
        <f>IF(OR(K144="",J144="",J144=0,K144=0),"",K144-J144)</f>
        <v/>
      </c>
      <c r="M144" s="42">
        <f>IF(OR(K144="",J144="",J144=0,K144=0),"",K144/J144-1)</f>
        <v/>
      </c>
      <c r="N144" s="41">
        <f>IF(SUM(B144,F144,J144)=0,"",SUM(B144,F144,J144))</f>
        <v/>
      </c>
      <c r="O144" s="41">
        <f>IF(SUM(C144,G144,K144)=0,"",SUM(C144,G144,K144))</f>
        <v/>
      </c>
      <c r="P144" s="69">
        <f>IF(OR(O144="",N144="",N144=0,O144=0),"",O144-N144)</f>
        <v/>
      </c>
      <c r="Q144" s="42">
        <f>IF(OR(O144="",N144="",N144=0,O144=0),"",O144/N144-1)</f>
        <v/>
      </c>
    </row>
    <row r="145">
      <c r="A145" s="40" t="inlineStr">
        <is>
          <t>Argentina</t>
        </is>
      </c>
      <c r="B145" s="41">
        <f>IF(SUMIFS(Countries!$P$5:$P$434,Countries!$A$5:$A$434,"All landing pages",Countries!$B$5:$B$434,"Paid Search",Countries!$D$5:$D$434,$A145)=0,"",SUMIFS(Countries!$P$5:$P$434,Countries!$A$5:$A$434,"All landing pages",Countries!$B$5:$B$434,"Paid Search",Countries!$D$5:$D$434,$A145))</f>
        <v/>
      </c>
      <c r="C145" s="41">
        <f>IF(SUMIFS(Countries!$Q$5:$Q$434,Countries!$A$5:$A$434,"All landing pages",Countries!$B$5:$B$434,"Paid Search",Countries!$D$5:$D$434,$A145)=0,"",SUMIFS(Countries!$Q$5:$Q$434,Countries!$A$5:$A$434,"All landing pages",Countries!$B$5:$B$434,"Paid Search",Countries!$D$5:$D$434,$A145))</f>
        <v/>
      </c>
      <c r="D145" s="69">
        <f>IF(OR(C145="",B145="",B145=0,C145=0),"",C145-B145)</f>
        <v/>
      </c>
      <c r="E145" s="42">
        <f>IF(OR(C145="",B145="",B145=0,C145=0),"",C145/B145-1)</f>
        <v/>
      </c>
      <c r="F145" s="41">
        <f>IF(SUMIFS(Countries!$P$5:$P$434,Countries!$A$5:$A$434,"All landing pages",Countries!$B$5:$B$434,"Organic",Countries!$D$5:$D$434,$A145)=0,"",SUMIFS(Countries!$P$5:$P$434,Countries!$A$5:$A$434,"All landing pages",Countries!$B$5:$B$434,"Organic",Countries!$D$5:$D$434,$A145))</f>
        <v/>
      </c>
      <c r="G145" s="41">
        <f>IF(SUMIFS(Countries!$Q$5:$Q$434,Countries!$A$5:$A$434,"All landing pages",Countries!$B$5:$B$434,"Organic",Countries!$D$5:$D$434,$A145)=0,"",SUMIFS(Countries!$Q$5:$Q$434,Countries!$A$5:$A$434,"All landing pages",Countries!$B$5:$B$434,"Organic",Countries!$D$5:$D$434,$A145))</f>
        <v/>
      </c>
      <c r="H145" s="69">
        <f>IF(OR(G145="",F145="",F145=0,G145=0),"",G145-F145)</f>
        <v/>
      </c>
      <c r="I145" s="42">
        <f>IF(OR(G145="",F145="",F145=0,G145=0),"",G145/F145-1)</f>
        <v/>
      </c>
      <c r="J145" s="41">
        <f>IF(SUMIFS(Countries!$P$5:$P$434,Countries!$A$5:$A$434,"All landing pages",Countries!$B$5:$B$434,"Direct",Countries!$D$5:$D$434,$A145)=0,"",SUMIFS(Countries!$P$5:$P$434,Countries!$A$5:$A$434,"All landing pages",Countries!$B$5:$B$434,"Direct",Countries!$D$5:$D$434,$A145))</f>
        <v/>
      </c>
      <c r="K145" s="41">
        <f>IF(SUMIFS(Countries!$Q$5:$Q$434,Countries!$A$5:$A$434,"All landing pages",Countries!$B$5:$B$434,"Direct",Countries!$D$5:$D$434,$A145)=0,"",SUMIFS(Countries!$Q$5:$Q$434,Countries!$A$5:$A$434,"All landing pages",Countries!$B$5:$B$434,"Direct",Countries!$D$5:$D$434,$A145))</f>
        <v/>
      </c>
      <c r="L145" s="69">
        <f>IF(OR(K145="",J145="",J145=0,K145=0),"",K145-J145)</f>
        <v/>
      </c>
      <c r="M145" s="42">
        <f>IF(OR(K145="",J145="",J145=0,K145=0),"",K145/J145-1)</f>
        <v/>
      </c>
      <c r="N145" s="41">
        <f>IF(SUM(B145,F145,J145)=0,"",SUM(B145,F145,J145))</f>
        <v/>
      </c>
      <c r="O145" s="41">
        <f>IF(SUM(C145,G145,K145)=0,"",SUM(C145,G145,K145))</f>
        <v/>
      </c>
      <c r="P145" s="69">
        <f>IF(OR(O145="",N145="",N145=0,O145=0),"",O145-N145)</f>
        <v/>
      </c>
      <c r="Q145" s="42">
        <f>IF(OR(O145="",N145="",N145=0,O145=0),"",O145/N145-1)</f>
        <v/>
      </c>
    </row>
    <row r="146">
      <c r="A146" s="56" t="inlineStr">
        <is>
          <t>Bangladesh</t>
        </is>
      </c>
      <c r="B146" s="41">
        <f>IF(SUMIFS(Countries!$P$5:$P$434,Countries!$A$5:$A$434,"All landing pages",Countries!$B$5:$B$434,"Paid Search",Countries!$D$5:$D$434,$A146)=0,"",SUMIFS(Countries!$P$5:$P$434,Countries!$A$5:$A$434,"All landing pages",Countries!$B$5:$B$434,"Paid Search",Countries!$D$5:$D$434,$A146))</f>
        <v/>
      </c>
      <c r="C146" s="41">
        <f>IF(SUMIFS(Countries!$Q$5:$Q$434,Countries!$A$5:$A$434,"All landing pages",Countries!$B$5:$B$434,"Paid Search",Countries!$D$5:$D$434,$A146)=0,"",SUMIFS(Countries!$Q$5:$Q$434,Countries!$A$5:$A$434,"All landing pages",Countries!$B$5:$B$434,"Paid Search",Countries!$D$5:$D$434,$A146))</f>
        <v/>
      </c>
      <c r="D146" s="69">
        <f>IF(OR(C146="",B146="",B146=0,C146=0),"",C146-B146)</f>
        <v/>
      </c>
      <c r="E146" s="42">
        <f>IF(OR(C146="",B146="",B146=0,C146=0),"",C146/B146-1)</f>
        <v/>
      </c>
      <c r="F146" s="41">
        <f>IF(SUMIFS(Countries!$P$5:$P$434,Countries!$A$5:$A$434,"All landing pages",Countries!$B$5:$B$434,"Organic",Countries!$D$5:$D$434,$A146)=0,"",SUMIFS(Countries!$P$5:$P$434,Countries!$A$5:$A$434,"All landing pages",Countries!$B$5:$B$434,"Organic",Countries!$D$5:$D$434,$A146))</f>
        <v/>
      </c>
      <c r="G146" s="41">
        <f>IF(SUMIFS(Countries!$Q$5:$Q$434,Countries!$A$5:$A$434,"All landing pages",Countries!$B$5:$B$434,"Organic",Countries!$D$5:$D$434,$A146)=0,"",SUMIFS(Countries!$Q$5:$Q$434,Countries!$A$5:$A$434,"All landing pages",Countries!$B$5:$B$434,"Organic",Countries!$D$5:$D$434,$A146))</f>
        <v/>
      </c>
      <c r="H146" s="69">
        <f>IF(OR(G146="",F146="",F146=0,G146=0),"",G146-F146)</f>
        <v/>
      </c>
      <c r="I146" s="42">
        <f>IF(OR(G146="",F146="",F146=0,G146=0),"",G146/F146-1)</f>
        <v/>
      </c>
      <c r="J146" s="41">
        <f>IF(SUMIFS(Countries!$P$5:$P$434,Countries!$A$5:$A$434,"All landing pages",Countries!$B$5:$B$434,"Direct",Countries!$D$5:$D$434,$A146)=0,"",SUMIFS(Countries!$P$5:$P$434,Countries!$A$5:$A$434,"All landing pages",Countries!$B$5:$B$434,"Direct",Countries!$D$5:$D$434,$A146))</f>
        <v/>
      </c>
      <c r="K146" s="41">
        <f>IF(SUMIFS(Countries!$Q$5:$Q$434,Countries!$A$5:$A$434,"All landing pages",Countries!$B$5:$B$434,"Direct",Countries!$D$5:$D$434,$A146)=0,"",SUMIFS(Countries!$Q$5:$Q$434,Countries!$A$5:$A$434,"All landing pages",Countries!$B$5:$B$434,"Direct",Countries!$D$5:$D$434,$A146))</f>
        <v/>
      </c>
      <c r="L146" s="69">
        <f>IF(OR(K146="",J146="",J146=0,K146=0),"",K146-J146)</f>
        <v/>
      </c>
      <c r="M146" s="42">
        <f>IF(OR(K146="",J146="",J146=0,K146=0),"",K146/J146-1)</f>
        <v/>
      </c>
      <c r="N146" s="41">
        <f>IF(SUM(B146,F146,J146)=0,"",SUM(B146,F146,J146))</f>
        <v/>
      </c>
      <c r="O146" s="41">
        <f>IF(SUM(C146,G146,K146)=0,"",SUM(C146,G146,K146))</f>
        <v/>
      </c>
      <c r="P146" s="69">
        <f>IF(OR(O146="",N146="",N146=0,O146=0),"",O146-N146)</f>
        <v/>
      </c>
      <c r="Q146" s="42">
        <f>IF(OR(O146="",N146="",N146=0,O146=0),"",O146/N146-1)</f>
        <v/>
      </c>
    </row>
    <row r="147">
      <c r="A147" s="40" t="inlineStr">
        <is>
          <t>Brazil</t>
        </is>
      </c>
      <c r="B147" s="41">
        <f>IF(SUMIFS(Countries!$P$5:$P$434,Countries!$A$5:$A$434,"All landing pages",Countries!$B$5:$B$434,"Paid Search",Countries!$D$5:$D$434,$A147)=0,"",SUMIFS(Countries!$P$5:$P$434,Countries!$A$5:$A$434,"All landing pages",Countries!$B$5:$B$434,"Paid Search",Countries!$D$5:$D$434,$A147))</f>
        <v/>
      </c>
      <c r="C147" s="41">
        <f>IF(SUMIFS(Countries!$Q$5:$Q$434,Countries!$A$5:$A$434,"All landing pages",Countries!$B$5:$B$434,"Paid Search",Countries!$D$5:$D$434,$A147)=0,"",SUMIFS(Countries!$Q$5:$Q$434,Countries!$A$5:$A$434,"All landing pages",Countries!$B$5:$B$434,"Paid Search",Countries!$D$5:$D$434,$A147))</f>
        <v/>
      </c>
      <c r="D147" s="69">
        <f>IF(OR(C147="",B147="",B147=0,C147=0),"",C147-B147)</f>
        <v/>
      </c>
      <c r="E147" s="42">
        <f>IF(OR(C147="",B147="",B147=0,C147=0),"",C147/B147-1)</f>
        <v/>
      </c>
      <c r="F147" s="41">
        <f>IF(SUMIFS(Countries!$P$5:$P$434,Countries!$A$5:$A$434,"All landing pages",Countries!$B$5:$B$434,"Organic",Countries!$D$5:$D$434,$A147)=0,"",SUMIFS(Countries!$P$5:$P$434,Countries!$A$5:$A$434,"All landing pages",Countries!$B$5:$B$434,"Organic",Countries!$D$5:$D$434,$A147))</f>
        <v/>
      </c>
      <c r="G147" s="41">
        <f>IF(SUMIFS(Countries!$Q$5:$Q$434,Countries!$A$5:$A$434,"All landing pages",Countries!$B$5:$B$434,"Organic",Countries!$D$5:$D$434,$A147)=0,"",SUMIFS(Countries!$Q$5:$Q$434,Countries!$A$5:$A$434,"All landing pages",Countries!$B$5:$B$434,"Organic",Countries!$D$5:$D$434,$A147))</f>
        <v/>
      </c>
      <c r="H147" s="69">
        <f>IF(OR(G147="",F147="",F147=0,G147=0),"",G147-F147)</f>
        <v/>
      </c>
      <c r="I147" s="42">
        <f>IF(OR(G147="",F147="",F147=0,G147=0),"",G147/F147-1)</f>
        <v/>
      </c>
      <c r="J147" s="41">
        <f>IF(SUMIFS(Countries!$P$5:$P$434,Countries!$A$5:$A$434,"All landing pages",Countries!$B$5:$B$434,"Direct",Countries!$D$5:$D$434,$A147)=0,"",SUMIFS(Countries!$P$5:$P$434,Countries!$A$5:$A$434,"All landing pages",Countries!$B$5:$B$434,"Direct",Countries!$D$5:$D$434,$A147))</f>
        <v/>
      </c>
      <c r="K147" s="41">
        <f>IF(SUMIFS(Countries!$Q$5:$Q$434,Countries!$A$5:$A$434,"All landing pages",Countries!$B$5:$B$434,"Direct",Countries!$D$5:$D$434,$A147)=0,"",SUMIFS(Countries!$Q$5:$Q$434,Countries!$A$5:$A$434,"All landing pages",Countries!$B$5:$B$434,"Direct",Countries!$D$5:$D$434,$A147))</f>
        <v/>
      </c>
      <c r="L147" s="69">
        <f>IF(OR(K147="",J147="",J147=0,K147=0),"",K147-J147)</f>
        <v/>
      </c>
      <c r="M147" s="42">
        <f>IF(OR(K147="",J147="",J147=0,K147=0),"",K147/J147-1)</f>
        <v/>
      </c>
      <c r="N147" s="41">
        <f>IF(SUM(B147,F147,J147)=0,"",SUM(B147,F147,J147))</f>
        <v/>
      </c>
      <c r="O147" s="41">
        <f>IF(SUM(C147,G147,K147)=0,"",SUM(C147,G147,K147))</f>
        <v/>
      </c>
      <c r="P147" s="69">
        <f>IF(OR(O147="",N147="",N147=0,O147=0),"",O147-N147)</f>
        <v/>
      </c>
      <c r="Q147" s="42">
        <f>IF(OR(O147="",N147="",N147=0,O147=0),"",O147/N147-1)</f>
        <v/>
      </c>
    </row>
    <row r="148">
      <c r="A148" s="56" t="inlineStr">
        <is>
          <t>China</t>
        </is>
      </c>
      <c r="B148" s="41">
        <f>IF(SUMIFS(Countries!$P$5:$P$434,Countries!$A$5:$A$434,"All landing pages",Countries!$B$5:$B$434,"Paid Search",Countries!$D$5:$D$434,$A148)=0,"",SUMIFS(Countries!$P$5:$P$434,Countries!$A$5:$A$434,"All landing pages",Countries!$B$5:$B$434,"Paid Search",Countries!$D$5:$D$434,$A148))</f>
        <v/>
      </c>
      <c r="C148" s="41">
        <f>IF(SUMIFS(Countries!$Q$5:$Q$434,Countries!$A$5:$A$434,"All landing pages",Countries!$B$5:$B$434,"Paid Search",Countries!$D$5:$D$434,$A148)=0,"",SUMIFS(Countries!$Q$5:$Q$434,Countries!$A$5:$A$434,"All landing pages",Countries!$B$5:$B$434,"Paid Search",Countries!$D$5:$D$434,$A148))</f>
        <v/>
      </c>
      <c r="D148" s="69">
        <f>IF(OR(C148="",B148="",B148=0,C148=0),"",C148-B148)</f>
        <v/>
      </c>
      <c r="E148" s="42">
        <f>IF(OR(C148="",B148="",B148=0,C148=0),"",C148/B148-1)</f>
        <v/>
      </c>
      <c r="F148" s="41">
        <f>IF(SUMIFS(Countries!$P$5:$P$434,Countries!$A$5:$A$434,"All landing pages",Countries!$B$5:$B$434,"Organic",Countries!$D$5:$D$434,$A148)=0,"",SUMIFS(Countries!$P$5:$P$434,Countries!$A$5:$A$434,"All landing pages",Countries!$B$5:$B$434,"Organic",Countries!$D$5:$D$434,$A148))</f>
        <v/>
      </c>
      <c r="G148" s="41">
        <f>IF(SUMIFS(Countries!$Q$5:$Q$434,Countries!$A$5:$A$434,"All landing pages",Countries!$B$5:$B$434,"Organic",Countries!$D$5:$D$434,$A148)=0,"",SUMIFS(Countries!$Q$5:$Q$434,Countries!$A$5:$A$434,"All landing pages",Countries!$B$5:$B$434,"Organic",Countries!$D$5:$D$434,$A148))</f>
        <v/>
      </c>
      <c r="H148" s="69">
        <f>IF(OR(G148="",F148="",F148=0,G148=0),"",G148-F148)</f>
        <v/>
      </c>
      <c r="I148" s="42">
        <f>IF(OR(G148="",F148="",F148=0,G148=0),"",G148/F148-1)</f>
        <v/>
      </c>
      <c r="J148" s="41">
        <f>IF(SUMIFS(Countries!$P$5:$P$434,Countries!$A$5:$A$434,"All landing pages",Countries!$B$5:$B$434,"Direct",Countries!$D$5:$D$434,$A148)=0,"",SUMIFS(Countries!$P$5:$P$434,Countries!$A$5:$A$434,"All landing pages",Countries!$B$5:$B$434,"Direct",Countries!$D$5:$D$434,$A148))</f>
        <v/>
      </c>
      <c r="K148" s="41">
        <f>IF(SUMIFS(Countries!$Q$5:$Q$434,Countries!$A$5:$A$434,"All landing pages",Countries!$B$5:$B$434,"Direct",Countries!$D$5:$D$434,$A148)=0,"",SUMIFS(Countries!$Q$5:$Q$434,Countries!$A$5:$A$434,"All landing pages",Countries!$B$5:$B$434,"Direct",Countries!$D$5:$D$434,$A148))</f>
        <v/>
      </c>
      <c r="L148" s="69">
        <f>IF(OR(K148="",J148="",J148=0,K148=0),"",K148-J148)</f>
        <v/>
      </c>
      <c r="M148" s="42">
        <f>IF(OR(K148="",J148="",J148=0,K148=0),"",K148/J148-1)</f>
        <v/>
      </c>
      <c r="N148" s="41">
        <f>IF(SUM(B148,F148,J148)=0,"",SUM(B148,F148,J148))</f>
        <v/>
      </c>
      <c r="O148" s="41">
        <f>IF(SUM(C148,G148,K148)=0,"",SUM(C148,G148,K148))</f>
        <v/>
      </c>
      <c r="P148" s="69">
        <f>IF(OR(O148="",N148="",N148=0,O148=0),"",O148-N148)</f>
        <v/>
      </c>
      <c r="Q148" s="42">
        <f>IF(OR(O148="",N148="",N148=0,O148=0),"",O148/N148-1)</f>
        <v/>
      </c>
    </row>
    <row r="149">
      <c r="A149" s="40" t="inlineStr">
        <is>
          <t>Croatia</t>
        </is>
      </c>
      <c r="B149" s="41">
        <f>IF(SUMIFS(Countries!$P$5:$P$434,Countries!$A$5:$A$434,"All landing pages",Countries!$B$5:$B$434,"Paid Search",Countries!$D$5:$D$434,$A149)=0,"",SUMIFS(Countries!$P$5:$P$434,Countries!$A$5:$A$434,"All landing pages",Countries!$B$5:$B$434,"Paid Search",Countries!$D$5:$D$434,$A149))</f>
        <v/>
      </c>
      <c r="C149" s="41">
        <f>IF(SUMIFS(Countries!$Q$5:$Q$434,Countries!$A$5:$A$434,"All landing pages",Countries!$B$5:$B$434,"Paid Search",Countries!$D$5:$D$434,$A149)=0,"",SUMIFS(Countries!$Q$5:$Q$434,Countries!$A$5:$A$434,"All landing pages",Countries!$B$5:$B$434,"Paid Search",Countries!$D$5:$D$434,$A149))</f>
        <v/>
      </c>
      <c r="D149" s="69">
        <f>IF(OR(C149="",B149="",B149=0,C149=0),"",C149-B149)</f>
        <v/>
      </c>
      <c r="E149" s="42">
        <f>IF(OR(C149="",B149="",B149=0,C149=0),"",C149/B149-1)</f>
        <v/>
      </c>
      <c r="F149" s="41">
        <f>IF(SUMIFS(Countries!$P$5:$P$434,Countries!$A$5:$A$434,"All landing pages",Countries!$B$5:$B$434,"Organic",Countries!$D$5:$D$434,$A149)=0,"",SUMIFS(Countries!$P$5:$P$434,Countries!$A$5:$A$434,"All landing pages",Countries!$B$5:$B$434,"Organic",Countries!$D$5:$D$434,$A149))</f>
        <v/>
      </c>
      <c r="G149" s="41">
        <f>IF(SUMIFS(Countries!$Q$5:$Q$434,Countries!$A$5:$A$434,"All landing pages",Countries!$B$5:$B$434,"Organic",Countries!$D$5:$D$434,$A149)=0,"",SUMIFS(Countries!$Q$5:$Q$434,Countries!$A$5:$A$434,"All landing pages",Countries!$B$5:$B$434,"Organic",Countries!$D$5:$D$434,$A149))</f>
        <v/>
      </c>
      <c r="H149" s="69">
        <f>IF(OR(G149="",F149="",F149=0,G149=0),"",G149-F149)</f>
        <v/>
      </c>
      <c r="I149" s="42">
        <f>IF(OR(G149="",F149="",F149=0,G149=0),"",G149/F149-1)</f>
        <v/>
      </c>
      <c r="J149" s="41">
        <f>IF(SUMIFS(Countries!$P$5:$P$434,Countries!$A$5:$A$434,"All landing pages",Countries!$B$5:$B$434,"Direct",Countries!$D$5:$D$434,$A149)=0,"",SUMIFS(Countries!$P$5:$P$434,Countries!$A$5:$A$434,"All landing pages",Countries!$B$5:$B$434,"Direct",Countries!$D$5:$D$434,$A149))</f>
        <v/>
      </c>
      <c r="K149" s="41">
        <f>IF(SUMIFS(Countries!$Q$5:$Q$434,Countries!$A$5:$A$434,"All landing pages",Countries!$B$5:$B$434,"Direct",Countries!$D$5:$D$434,$A149)=0,"",SUMIFS(Countries!$Q$5:$Q$434,Countries!$A$5:$A$434,"All landing pages",Countries!$B$5:$B$434,"Direct",Countries!$D$5:$D$434,$A149))</f>
        <v/>
      </c>
      <c r="L149" s="69">
        <f>IF(OR(K149="",J149="",J149=0,K149=0),"",K149-J149)</f>
        <v/>
      </c>
      <c r="M149" s="42">
        <f>IF(OR(K149="",J149="",J149=0,K149=0),"",K149/J149-1)</f>
        <v/>
      </c>
      <c r="N149" s="41">
        <f>IF(SUM(B149,F149,J149)=0,"",SUM(B149,F149,J149))</f>
        <v/>
      </c>
      <c r="O149" s="41">
        <f>IF(SUM(C149,G149,K149)=0,"",SUM(C149,G149,K149))</f>
        <v/>
      </c>
      <c r="P149" s="69">
        <f>IF(OR(O149="",N149="",N149=0,O149=0),"",O149-N149)</f>
        <v/>
      </c>
      <c r="Q149" s="42">
        <f>IF(OR(O149="",N149="",N149=0,O149=0),"",O149/N149-1)</f>
        <v/>
      </c>
    </row>
    <row r="150">
      <c r="A150" s="56" t="inlineStr">
        <is>
          <t>Honduras</t>
        </is>
      </c>
      <c r="B150" s="41">
        <f>IF(SUMIFS(Countries!$P$5:$P$434,Countries!$A$5:$A$434,"All landing pages",Countries!$B$5:$B$434,"Paid Search",Countries!$D$5:$D$434,$A150)=0,"",SUMIFS(Countries!$P$5:$P$434,Countries!$A$5:$A$434,"All landing pages",Countries!$B$5:$B$434,"Paid Search",Countries!$D$5:$D$434,$A150))</f>
        <v/>
      </c>
      <c r="C150" s="41">
        <f>IF(SUMIFS(Countries!$Q$5:$Q$434,Countries!$A$5:$A$434,"All landing pages",Countries!$B$5:$B$434,"Paid Search",Countries!$D$5:$D$434,$A150)=0,"",SUMIFS(Countries!$Q$5:$Q$434,Countries!$A$5:$A$434,"All landing pages",Countries!$B$5:$B$434,"Paid Search",Countries!$D$5:$D$434,$A150))</f>
        <v/>
      </c>
      <c r="D150" s="69">
        <f>IF(OR(C150="",B150="",B150=0,C150=0),"",C150-B150)</f>
        <v/>
      </c>
      <c r="E150" s="42">
        <f>IF(OR(C150="",B150="",B150=0,C150=0),"",C150/B150-1)</f>
        <v/>
      </c>
      <c r="F150" s="41">
        <f>IF(SUMIFS(Countries!$P$5:$P$434,Countries!$A$5:$A$434,"All landing pages",Countries!$B$5:$B$434,"Organic",Countries!$D$5:$D$434,$A150)=0,"",SUMIFS(Countries!$P$5:$P$434,Countries!$A$5:$A$434,"All landing pages",Countries!$B$5:$B$434,"Organic",Countries!$D$5:$D$434,$A150))</f>
        <v/>
      </c>
      <c r="G150" s="41">
        <f>IF(SUMIFS(Countries!$Q$5:$Q$434,Countries!$A$5:$A$434,"All landing pages",Countries!$B$5:$B$434,"Organic",Countries!$D$5:$D$434,$A150)=0,"",SUMIFS(Countries!$Q$5:$Q$434,Countries!$A$5:$A$434,"All landing pages",Countries!$B$5:$B$434,"Organic",Countries!$D$5:$D$434,$A150))</f>
        <v/>
      </c>
      <c r="H150" s="69">
        <f>IF(OR(G150="",F150="",F150=0,G150=0),"",G150-F150)</f>
        <v/>
      </c>
      <c r="I150" s="42">
        <f>IF(OR(G150="",F150="",F150=0,G150=0),"",G150/F150-1)</f>
        <v/>
      </c>
      <c r="J150" s="41">
        <f>IF(SUMIFS(Countries!$P$5:$P$434,Countries!$A$5:$A$434,"All landing pages",Countries!$B$5:$B$434,"Direct",Countries!$D$5:$D$434,$A150)=0,"",SUMIFS(Countries!$P$5:$P$434,Countries!$A$5:$A$434,"All landing pages",Countries!$B$5:$B$434,"Direct",Countries!$D$5:$D$434,$A150))</f>
        <v/>
      </c>
      <c r="K150" s="41">
        <f>IF(SUMIFS(Countries!$Q$5:$Q$434,Countries!$A$5:$A$434,"All landing pages",Countries!$B$5:$B$434,"Direct",Countries!$D$5:$D$434,$A150)=0,"",SUMIFS(Countries!$Q$5:$Q$434,Countries!$A$5:$A$434,"All landing pages",Countries!$B$5:$B$434,"Direct",Countries!$D$5:$D$434,$A150))</f>
        <v/>
      </c>
      <c r="L150" s="69">
        <f>IF(OR(K150="",J150="",J150=0,K150=0),"",K150-J150)</f>
        <v/>
      </c>
      <c r="M150" s="42">
        <f>IF(OR(K150="",J150="",J150=0,K150=0),"",K150/J150-1)</f>
        <v/>
      </c>
      <c r="N150" s="41">
        <f>IF(SUM(B150,F150,J150)=0,"",SUM(B150,F150,J150))</f>
        <v/>
      </c>
      <c r="O150" s="41">
        <f>IF(SUM(C150,G150,K150)=0,"",SUM(C150,G150,K150))</f>
        <v/>
      </c>
      <c r="P150" s="69">
        <f>IF(OR(O150="",N150="",N150=0,O150=0),"",O150-N150)</f>
        <v/>
      </c>
      <c r="Q150" s="42">
        <f>IF(OR(O150="",N150="",N150=0,O150=0),"",O150/N150-1)</f>
        <v/>
      </c>
    </row>
    <row r="151">
      <c r="A151" s="40" t="inlineStr">
        <is>
          <t>Israel</t>
        </is>
      </c>
      <c r="B151" s="41">
        <f>IF(SUMIFS(Countries!$P$5:$P$434,Countries!$A$5:$A$434,"All landing pages",Countries!$B$5:$B$434,"Paid Search",Countries!$D$5:$D$434,$A151)=0,"",SUMIFS(Countries!$P$5:$P$434,Countries!$A$5:$A$434,"All landing pages",Countries!$B$5:$B$434,"Paid Search",Countries!$D$5:$D$434,$A151))</f>
        <v/>
      </c>
      <c r="C151" s="41">
        <f>IF(SUMIFS(Countries!$Q$5:$Q$434,Countries!$A$5:$A$434,"All landing pages",Countries!$B$5:$B$434,"Paid Search",Countries!$D$5:$D$434,$A151)=0,"",SUMIFS(Countries!$Q$5:$Q$434,Countries!$A$5:$A$434,"All landing pages",Countries!$B$5:$B$434,"Paid Search",Countries!$D$5:$D$434,$A151))</f>
        <v/>
      </c>
      <c r="D151" s="69">
        <f>IF(OR(C151="",B151="",B151=0,C151=0),"",C151-B151)</f>
        <v/>
      </c>
      <c r="E151" s="42">
        <f>IF(OR(C151="",B151="",B151=0,C151=0),"",C151/B151-1)</f>
        <v/>
      </c>
      <c r="F151" s="41">
        <f>IF(SUMIFS(Countries!$P$5:$P$434,Countries!$A$5:$A$434,"All landing pages",Countries!$B$5:$B$434,"Organic",Countries!$D$5:$D$434,$A151)=0,"",SUMIFS(Countries!$P$5:$P$434,Countries!$A$5:$A$434,"All landing pages",Countries!$B$5:$B$434,"Organic",Countries!$D$5:$D$434,$A151))</f>
        <v/>
      </c>
      <c r="G151" s="41">
        <f>IF(SUMIFS(Countries!$Q$5:$Q$434,Countries!$A$5:$A$434,"All landing pages",Countries!$B$5:$B$434,"Organic",Countries!$D$5:$D$434,$A151)=0,"",SUMIFS(Countries!$Q$5:$Q$434,Countries!$A$5:$A$434,"All landing pages",Countries!$B$5:$B$434,"Organic",Countries!$D$5:$D$434,$A151))</f>
        <v/>
      </c>
      <c r="H151" s="69">
        <f>IF(OR(G151="",F151="",F151=0,G151=0),"",G151-F151)</f>
        <v/>
      </c>
      <c r="I151" s="42">
        <f>IF(OR(G151="",F151="",F151=0,G151=0),"",G151/F151-1)</f>
        <v/>
      </c>
      <c r="J151" s="41">
        <f>IF(SUMIFS(Countries!$P$5:$P$434,Countries!$A$5:$A$434,"All landing pages",Countries!$B$5:$B$434,"Direct",Countries!$D$5:$D$434,$A151)=0,"",SUMIFS(Countries!$P$5:$P$434,Countries!$A$5:$A$434,"All landing pages",Countries!$B$5:$B$434,"Direct",Countries!$D$5:$D$434,$A151))</f>
        <v/>
      </c>
      <c r="K151" s="41">
        <f>IF(SUMIFS(Countries!$Q$5:$Q$434,Countries!$A$5:$A$434,"All landing pages",Countries!$B$5:$B$434,"Direct",Countries!$D$5:$D$434,$A151)=0,"",SUMIFS(Countries!$Q$5:$Q$434,Countries!$A$5:$A$434,"All landing pages",Countries!$B$5:$B$434,"Direct",Countries!$D$5:$D$434,$A151))</f>
        <v/>
      </c>
      <c r="L151" s="69">
        <f>IF(OR(K151="",J151="",J151=0,K151=0),"",K151-J151)</f>
        <v/>
      </c>
      <c r="M151" s="42">
        <f>IF(OR(K151="",J151="",J151=0,K151=0),"",K151/J151-1)</f>
        <v/>
      </c>
      <c r="N151" s="41">
        <f>IF(SUM(B151,F151,J151)=0,"",SUM(B151,F151,J151))</f>
        <v/>
      </c>
      <c r="O151" s="41">
        <f>IF(SUM(C151,G151,K151)=0,"",SUM(C151,G151,K151))</f>
        <v/>
      </c>
      <c r="P151" s="69">
        <f>IF(OR(O151="",N151="",N151=0,O151=0),"",O151-N151)</f>
        <v/>
      </c>
      <c r="Q151" s="42">
        <f>IF(OR(O151="",N151="",N151=0,O151=0),"",O151/N151-1)</f>
        <v/>
      </c>
    </row>
    <row r="152">
      <c r="A152" s="56" t="inlineStr">
        <is>
          <t>Philippines</t>
        </is>
      </c>
      <c r="B152" s="41">
        <f>IF(SUMIFS(Countries!$P$5:$P$434,Countries!$A$5:$A$434,"All landing pages",Countries!$B$5:$B$434,"Paid Search",Countries!$D$5:$D$434,$A152)=0,"",SUMIFS(Countries!$P$5:$P$434,Countries!$A$5:$A$434,"All landing pages",Countries!$B$5:$B$434,"Paid Search",Countries!$D$5:$D$434,$A152))</f>
        <v/>
      </c>
      <c r="C152" s="41">
        <f>IF(SUMIFS(Countries!$Q$5:$Q$434,Countries!$A$5:$A$434,"All landing pages",Countries!$B$5:$B$434,"Paid Search",Countries!$D$5:$D$434,$A152)=0,"",SUMIFS(Countries!$Q$5:$Q$434,Countries!$A$5:$A$434,"All landing pages",Countries!$B$5:$B$434,"Paid Search",Countries!$D$5:$D$434,$A152))</f>
        <v/>
      </c>
      <c r="D152" s="69">
        <f>IF(OR(C152="",B152="",B152=0,C152=0),"",C152-B152)</f>
        <v/>
      </c>
      <c r="E152" s="42">
        <f>IF(OR(C152="",B152="",B152=0,C152=0),"",C152/B152-1)</f>
        <v/>
      </c>
      <c r="F152" s="41">
        <f>IF(SUMIFS(Countries!$P$5:$P$434,Countries!$A$5:$A$434,"All landing pages",Countries!$B$5:$B$434,"Organic",Countries!$D$5:$D$434,$A152)=0,"",SUMIFS(Countries!$P$5:$P$434,Countries!$A$5:$A$434,"All landing pages",Countries!$B$5:$B$434,"Organic",Countries!$D$5:$D$434,$A152))</f>
        <v/>
      </c>
      <c r="G152" s="41">
        <f>IF(SUMIFS(Countries!$Q$5:$Q$434,Countries!$A$5:$A$434,"All landing pages",Countries!$B$5:$B$434,"Organic",Countries!$D$5:$D$434,$A152)=0,"",SUMIFS(Countries!$Q$5:$Q$434,Countries!$A$5:$A$434,"All landing pages",Countries!$B$5:$B$434,"Organic",Countries!$D$5:$D$434,$A152))</f>
        <v/>
      </c>
      <c r="H152" s="69">
        <f>IF(OR(G152="",F152="",F152=0,G152=0),"",G152-F152)</f>
        <v/>
      </c>
      <c r="I152" s="42">
        <f>IF(OR(G152="",F152="",F152=0,G152=0),"",G152/F152-1)</f>
        <v/>
      </c>
      <c r="J152" s="41">
        <f>IF(SUMIFS(Countries!$P$5:$P$434,Countries!$A$5:$A$434,"All landing pages",Countries!$B$5:$B$434,"Direct",Countries!$D$5:$D$434,$A152)=0,"",SUMIFS(Countries!$P$5:$P$434,Countries!$A$5:$A$434,"All landing pages",Countries!$B$5:$B$434,"Direct",Countries!$D$5:$D$434,$A152))</f>
        <v/>
      </c>
      <c r="K152" s="41">
        <f>IF(SUMIFS(Countries!$Q$5:$Q$434,Countries!$A$5:$A$434,"All landing pages",Countries!$B$5:$B$434,"Direct",Countries!$D$5:$D$434,$A152)=0,"",SUMIFS(Countries!$Q$5:$Q$434,Countries!$A$5:$A$434,"All landing pages",Countries!$B$5:$B$434,"Direct",Countries!$D$5:$D$434,$A152))</f>
        <v/>
      </c>
      <c r="L152" s="69">
        <f>IF(OR(K152="",J152="",J152=0,K152=0),"",K152-J152)</f>
        <v/>
      </c>
      <c r="M152" s="42">
        <f>IF(OR(K152="",J152="",J152=0,K152=0),"",K152/J152-1)</f>
        <v/>
      </c>
      <c r="N152" s="41">
        <f>IF(SUM(B152,F152,J152)=0,"",SUM(B152,F152,J152))</f>
        <v/>
      </c>
      <c r="O152" s="41">
        <f>IF(SUM(C152,G152,K152)=0,"",SUM(C152,G152,K152))</f>
        <v/>
      </c>
      <c r="P152" s="69">
        <f>IF(OR(O152="",N152="",N152=0,O152=0),"",O152-N152)</f>
        <v/>
      </c>
      <c r="Q152" s="42">
        <f>IF(OR(O152="",N152="",N152=0,O152=0),"",O152/N152-1)</f>
        <v/>
      </c>
    </row>
    <row r="153">
      <c r="A153" s="40" t="inlineStr">
        <is>
          <t>Ukraine</t>
        </is>
      </c>
      <c r="B153" s="41">
        <f>IF(SUMIFS(Countries!$P$5:$P$434,Countries!$A$5:$A$434,"All landing pages",Countries!$B$5:$B$434,"Paid Search",Countries!$D$5:$D$434,$A153)=0,"",SUMIFS(Countries!$P$5:$P$434,Countries!$A$5:$A$434,"All landing pages",Countries!$B$5:$B$434,"Paid Search",Countries!$D$5:$D$434,$A153))</f>
        <v/>
      </c>
      <c r="C153" s="41">
        <f>IF(SUMIFS(Countries!$Q$5:$Q$434,Countries!$A$5:$A$434,"All landing pages",Countries!$B$5:$B$434,"Paid Search",Countries!$D$5:$D$434,$A153)=0,"",SUMIFS(Countries!$Q$5:$Q$434,Countries!$A$5:$A$434,"All landing pages",Countries!$B$5:$B$434,"Paid Search",Countries!$D$5:$D$434,$A153))</f>
        <v/>
      </c>
      <c r="D153" s="69">
        <f>IF(OR(C153="",B153="",B153=0,C153=0),"",C153-B153)</f>
        <v/>
      </c>
      <c r="E153" s="42">
        <f>IF(OR(C153="",B153="",B153=0,C153=0),"",C153/B153-1)</f>
        <v/>
      </c>
      <c r="F153" s="41">
        <f>IF(SUMIFS(Countries!$P$5:$P$434,Countries!$A$5:$A$434,"All landing pages",Countries!$B$5:$B$434,"Organic",Countries!$D$5:$D$434,$A153)=0,"",SUMIFS(Countries!$P$5:$P$434,Countries!$A$5:$A$434,"All landing pages",Countries!$B$5:$B$434,"Organic",Countries!$D$5:$D$434,$A153))</f>
        <v/>
      </c>
      <c r="G153" s="41">
        <f>IF(SUMIFS(Countries!$Q$5:$Q$434,Countries!$A$5:$A$434,"All landing pages",Countries!$B$5:$B$434,"Organic",Countries!$D$5:$D$434,$A153)=0,"",SUMIFS(Countries!$Q$5:$Q$434,Countries!$A$5:$A$434,"All landing pages",Countries!$B$5:$B$434,"Organic",Countries!$D$5:$D$434,$A153))</f>
        <v/>
      </c>
      <c r="H153" s="69">
        <f>IF(OR(G153="",F153="",F153=0,G153=0),"",G153-F153)</f>
        <v/>
      </c>
      <c r="I153" s="42">
        <f>IF(OR(G153="",F153="",F153=0,G153=0),"",G153/F153-1)</f>
        <v/>
      </c>
      <c r="J153" s="41">
        <f>IF(SUMIFS(Countries!$P$5:$P$434,Countries!$A$5:$A$434,"All landing pages",Countries!$B$5:$B$434,"Direct",Countries!$D$5:$D$434,$A153)=0,"",SUMIFS(Countries!$P$5:$P$434,Countries!$A$5:$A$434,"All landing pages",Countries!$B$5:$B$434,"Direct",Countries!$D$5:$D$434,$A153))</f>
        <v/>
      </c>
      <c r="K153" s="41">
        <f>IF(SUMIFS(Countries!$Q$5:$Q$434,Countries!$A$5:$A$434,"All landing pages",Countries!$B$5:$B$434,"Direct",Countries!$D$5:$D$434,$A153)=0,"",SUMIFS(Countries!$Q$5:$Q$434,Countries!$A$5:$A$434,"All landing pages",Countries!$B$5:$B$434,"Direct",Countries!$D$5:$D$434,$A153))</f>
        <v/>
      </c>
      <c r="L153" s="69">
        <f>IF(OR(K153="",J153="",J153=0,K153=0),"",K153-J153)</f>
        <v/>
      </c>
      <c r="M153" s="42">
        <f>IF(OR(K153="",J153="",J153=0,K153=0),"",K153/J153-1)</f>
        <v/>
      </c>
      <c r="N153" s="41">
        <f>IF(SUM(B153,F153,J153)=0,"",SUM(B153,F153,J153))</f>
        <v/>
      </c>
      <c r="O153" s="41">
        <f>IF(SUM(C153,G153,K153)=0,"",SUM(C153,G153,K153))</f>
        <v/>
      </c>
      <c r="P153" s="69">
        <f>IF(OR(O153="",N153="",N153=0,O153=0),"",O153-N153)</f>
        <v/>
      </c>
      <c r="Q153" s="42">
        <f>IF(OR(O153="",N153="",N153=0,O153=0),"",O153/N153-1)</f>
        <v/>
      </c>
    </row>
    <row r="156">
      <c r="A156" s="39" t="inlineStr">
        <is>
          <t>Visit→Search</t>
        </is>
      </c>
    </row>
    <row r="157">
      <c r="A157" s="75" t="inlineStr">
        <is>
          <t>Country</t>
        </is>
      </c>
      <c r="B157" s="29" t="inlineStr">
        <is>
          <t>Paid Search</t>
        </is>
      </c>
      <c r="C157" s="21" t="n"/>
      <c r="D157" s="21" t="n"/>
      <c r="E157" s="21" t="n"/>
      <c r="F157" s="29" t="inlineStr">
        <is>
          <t>Organic</t>
        </is>
      </c>
      <c r="G157" s="21" t="n"/>
      <c r="H157" s="21" t="n"/>
      <c r="I157" s="21" t="n"/>
      <c r="J157" s="29" t="inlineStr">
        <is>
          <t>Direct</t>
        </is>
      </c>
      <c r="K157" s="21" t="n"/>
      <c r="L157" s="21" t="n"/>
      <c r="M157" s="21" t="n"/>
      <c r="N157" s="27" t="inlineStr">
        <is>
          <t>Total</t>
        </is>
      </c>
      <c r="O157" s="17" t="n"/>
      <c r="P157" s="17" t="n"/>
      <c r="Q157" s="17" t="n"/>
    </row>
    <row r="158">
      <c r="A158" s="15" t="n"/>
      <c r="B158" s="27" t="inlineStr">
        <is>
          <t>1-23Aug25</t>
        </is>
      </c>
      <c r="C158" s="27" t="inlineStr">
        <is>
          <t>1-23Aug26</t>
        </is>
      </c>
      <c r="D158" s="27" t="inlineStr">
        <is>
          <t>Δ pp</t>
        </is>
      </c>
      <c r="E158" s="27" t="inlineStr"/>
      <c r="F158" s="27" t="inlineStr">
        <is>
          <t>1-23Aug25</t>
        </is>
      </c>
      <c r="G158" s="27" t="inlineStr">
        <is>
          <t>1-23Aug26</t>
        </is>
      </c>
      <c r="H158" s="27" t="inlineStr">
        <is>
          <t>Δ pp</t>
        </is>
      </c>
      <c r="I158" s="27" t="inlineStr"/>
      <c r="J158" s="27" t="inlineStr">
        <is>
          <t>1-23Aug25</t>
        </is>
      </c>
      <c r="K158" s="27" t="inlineStr">
        <is>
          <t>1-23Aug26</t>
        </is>
      </c>
      <c r="L158" s="27" t="inlineStr">
        <is>
          <t>Δ pp</t>
        </is>
      </c>
      <c r="M158" s="27" t="inlineStr"/>
      <c r="N158" s="27" t="inlineStr">
        <is>
          <t>1-23Aug25</t>
        </is>
      </c>
      <c r="O158" s="27" t="inlineStr">
        <is>
          <t>1-23Aug26</t>
        </is>
      </c>
      <c r="P158" s="27" t="inlineStr">
        <is>
          <t>Δ pp</t>
        </is>
      </c>
      <c r="Q158" s="27" t="inlineStr"/>
    </row>
    <row r="159">
      <c r="A159" s="40" t="inlineStr">
        <is>
          <t>United Kingdom</t>
        </is>
      </c>
      <c r="B159" s="43">
        <f>IF(SUMIFS(Countries!$E$5:$E$434,Countries!$A$5:$A$434,"All landing pages",Countries!$B$5:$B$434,"Paid Search",Countries!$D$5:$D$434,$A159,Countries!$P$5:$P$434,"&gt;0")=0,"",SUMIFS(Countries!$P$5:$P$434,Countries!$A$5:$A$434,"All landing pages",Countries!$B$5:$B$434,"Paid Search",Countries!$D$5:$D$434,$A159,Countries!$E$5:$E$434,"&gt;0")/SUMIFS(Countries!$E$5:$E$434,Countries!$A$5:$A$434,"All landing pages",Countries!$B$5:$B$434,"Paid Search",Countries!$D$5:$D$434,$A159,Countries!$P$5:$P$434,"&gt;0"))</f>
        <v/>
      </c>
      <c r="C159" s="43">
        <f>IF(SUMIFS(Countries!$F$5:$F$434,Countries!$A$5:$A$434,"All landing pages",Countries!$B$5:$B$434,"Paid Search",Countries!$D$5:$D$434,$A159,Countries!$Q$5:$Q$434,"&gt;0")=0,"",SUMIFS(Countries!$Q$5:$Q$434,Countries!$A$5:$A$434,"All landing pages",Countries!$B$5:$B$434,"Paid Search",Countries!$D$5:$D$434,$A159,Countries!$F$5:$F$434,"&gt;0")/SUMIFS(Countries!$F$5:$F$434,Countries!$A$5:$A$434,"All landing pages",Countries!$B$5:$B$434,"Paid Search",Countries!$D$5:$D$434,$A159,Countries!$Q$5:$Q$434,"&gt;0"))</f>
        <v/>
      </c>
      <c r="D159" s="44">
        <f>IF(OR(B159="",C159=""),"",(C159-B159)*100)</f>
        <v/>
      </c>
      <c r="E159" s="73" t="n"/>
      <c r="F159" s="43">
        <f>IF(SUMIFS(Countries!$E$5:$E$434,Countries!$A$5:$A$434,"All landing pages",Countries!$B$5:$B$434,"Organic",Countries!$D$5:$D$434,$A159,Countries!$P$5:$P$434,"&gt;0")=0,"",SUMIFS(Countries!$P$5:$P$434,Countries!$A$5:$A$434,"All landing pages",Countries!$B$5:$B$434,"Organic",Countries!$D$5:$D$434,$A159,Countries!$E$5:$E$434,"&gt;0")/SUMIFS(Countries!$E$5:$E$434,Countries!$A$5:$A$434,"All landing pages",Countries!$B$5:$B$434,"Organic",Countries!$D$5:$D$434,$A159,Countries!$P$5:$P$434,"&gt;0"))</f>
        <v/>
      </c>
      <c r="G159" s="43">
        <f>IF(SUMIFS(Countries!$F$5:$F$434,Countries!$A$5:$A$434,"All landing pages",Countries!$B$5:$B$434,"Organic",Countries!$D$5:$D$434,$A159,Countries!$Q$5:$Q$434,"&gt;0")=0,"",SUMIFS(Countries!$Q$5:$Q$434,Countries!$A$5:$A$434,"All landing pages",Countries!$B$5:$B$434,"Organic",Countries!$D$5:$D$434,$A159,Countries!$F$5:$F$434,"&gt;0")/SUMIFS(Countries!$F$5:$F$434,Countries!$A$5:$A$434,"All landing pages",Countries!$B$5:$B$434,"Organic",Countries!$D$5:$D$434,$A159,Countries!$Q$5:$Q$434,"&gt;0"))</f>
        <v/>
      </c>
      <c r="H159" s="44">
        <f>IF(OR(F159="",G159=""),"",(G159-F159)*100)</f>
        <v/>
      </c>
      <c r="I159" s="73" t="n"/>
      <c r="J159" s="43">
        <f>IF(SUMIFS(Countries!$E$5:$E$434,Countries!$A$5:$A$434,"All landing pages",Countries!$B$5:$B$434,"Direct",Countries!$D$5:$D$434,$A159,Countries!$P$5:$P$434,"&gt;0")=0,"",SUMIFS(Countries!$P$5:$P$434,Countries!$A$5:$A$434,"All landing pages",Countries!$B$5:$B$434,"Direct",Countries!$D$5:$D$434,$A159,Countries!$E$5:$E$434,"&gt;0")/SUMIFS(Countries!$E$5:$E$434,Countries!$A$5:$A$434,"All landing pages",Countries!$B$5:$B$434,"Direct",Countries!$D$5:$D$434,$A159,Countries!$P$5:$P$434,"&gt;0"))</f>
        <v/>
      </c>
      <c r="K159" s="43">
        <f>IF(SUMIFS(Countries!$F$5:$F$434,Countries!$A$5:$A$434,"All landing pages",Countries!$B$5:$B$434,"Direct",Countries!$D$5:$D$434,$A159,Countries!$Q$5:$Q$434,"&gt;0")=0,"",SUMIFS(Countries!$Q$5:$Q$434,Countries!$A$5:$A$434,"All landing pages",Countries!$B$5:$B$434,"Direct",Countries!$D$5:$D$434,$A159,Countries!$F$5:$F$434,"&gt;0")/SUMIFS(Countries!$F$5:$F$434,Countries!$A$5:$A$434,"All landing pages",Countries!$B$5:$B$434,"Direct",Countries!$D$5:$D$434,$A159,Countries!$Q$5:$Q$434,"&gt;0"))</f>
        <v/>
      </c>
      <c r="L159" s="44">
        <f>IF(OR(J159="",K159=""),"",(K159-J159)*100)</f>
        <v/>
      </c>
      <c r="M159" s="73" t="n"/>
      <c r="N159" s="43">
        <f>IF(SUMIFS(Countries!$E$5:$E$434,Countries!$A$5:$A$434,"All landing pages",Countries!$D$5:$D$434,$A159,Countries!$P$5:$P$434,"&gt;0")=0,"",SUMIFS(Countries!$P$5:$P$434,Countries!$A$5:$A$434,"All landing pages",Countries!$D$5:$D$434,$A159,Countries!$E$5:$E$434,"&gt;0")/SUMIFS(Countries!$E$5:$E$434,Countries!$A$5:$A$434,"All landing pages",Countries!$D$5:$D$434,$A159,Countries!$P$5:$P$434,"&gt;0"))</f>
        <v/>
      </c>
      <c r="O159" s="43">
        <f>IF(SUMIFS(Countries!$F$5:$F$434,Countries!$A$5:$A$434,"All landing pages",Countries!$D$5:$D$434,$A159,Countries!$Q$5:$Q$434,"&gt;0")=0,"",SUMIFS(Countries!$Q$5:$Q$434,Countries!$A$5:$A$434,"All landing pages",Countries!$D$5:$D$434,$A159,Countries!$F$5:$F$434,"&gt;0")/SUMIFS(Countries!$F$5:$F$434,Countries!$A$5:$A$434,"All landing pages",Countries!$D$5:$D$434,$A159,Countries!$Q$5:$Q$434,"&gt;0"))</f>
        <v/>
      </c>
      <c r="P159" s="44">
        <f>IF(OR(N159="",O159=""),"",(O159-N159)*100)</f>
        <v/>
      </c>
      <c r="Q159" s="73" t="n"/>
    </row>
    <row r="160">
      <c r="A160" s="56" t="inlineStr">
        <is>
          <t>Germany</t>
        </is>
      </c>
      <c r="B160" s="43">
        <f>IF(SUMIFS(Countries!$E$5:$E$434,Countries!$A$5:$A$434,"All landing pages",Countries!$B$5:$B$434,"Paid Search",Countries!$D$5:$D$434,$A160,Countries!$P$5:$P$434,"&gt;0")=0,"",SUMIFS(Countries!$P$5:$P$434,Countries!$A$5:$A$434,"All landing pages",Countries!$B$5:$B$434,"Paid Search",Countries!$D$5:$D$434,$A160,Countries!$E$5:$E$434,"&gt;0")/SUMIFS(Countries!$E$5:$E$434,Countries!$A$5:$A$434,"All landing pages",Countries!$B$5:$B$434,"Paid Search",Countries!$D$5:$D$434,$A160,Countries!$P$5:$P$434,"&gt;0"))</f>
        <v/>
      </c>
      <c r="C160" s="43">
        <f>IF(SUMIFS(Countries!$F$5:$F$434,Countries!$A$5:$A$434,"All landing pages",Countries!$B$5:$B$434,"Paid Search",Countries!$D$5:$D$434,$A160,Countries!$Q$5:$Q$434,"&gt;0")=0,"",SUMIFS(Countries!$Q$5:$Q$434,Countries!$A$5:$A$434,"All landing pages",Countries!$B$5:$B$434,"Paid Search",Countries!$D$5:$D$434,$A160,Countries!$F$5:$F$434,"&gt;0")/SUMIFS(Countries!$F$5:$F$434,Countries!$A$5:$A$434,"All landing pages",Countries!$B$5:$B$434,"Paid Search",Countries!$D$5:$D$434,$A160,Countries!$Q$5:$Q$434,"&gt;0"))</f>
        <v/>
      </c>
      <c r="D160" s="44">
        <f>IF(OR(B160="",C160=""),"",(C160-B160)*100)</f>
        <v/>
      </c>
      <c r="E160" s="73" t="n"/>
      <c r="F160" s="43">
        <f>IF(SUMIFS(Countries!$E$5:$E$434,Countries!$A$5:$A$434,"All landing pages",Countries!$B$5:$B$434,"Organic",Countries!$D$5:$D$434,$A160,Countries!$P$5:$P$434,"&gt;0")=0,"",SUMIFS(Countries!$P$5:$P$434,Countries!$A$5:$A$434,"All landing pages",Countries!$B$5:$B$434,"Organic",Countries!$D$5:$D$434,$A160,Countries!$E$5:$E$434,"&gt;0")/SUMIFS(Countries!$E$5:$E$434,Countries!$A$5:$A$434,"All landing pages",Countries!$B$5:$B$434,"Organic",Countries!$D$5:$D$434,$A160,Countries!$P$5:$P$434,"&gt;0"))</f>
        <v/>
      </c>
      <c r="G160" s="43">
        <f>IF(SUMIFS(Countries!$F$5:$F$434,Countries!$A$5:$A$434,"All landing pages",Countries!$B$5:$B$434,"Organic",Countries!$D$5:$D$434,$A160,Countries!$Q$5:$Q$434,"&gt;0")=0,"",SUMIFS(Countries!$Q$5:$Q$434,Countries!$A$5:$A$434,"All landing pages",Countries!$B$5:$B$434,"Organic",Countries!$D$5:$D$434,$A160,Countries!$F$5:$F$434,"&gt;0")/SUMIFS(Countries!$F$5:$F$434,Countries!$A$5:$A$434,"All landing pages",Countries!$B$5:$B$434,"Organic",Countries!$D$5:$D$434,$A160,Countries!$Q$5:$Q$434,"&gt;0"))</f>
        <v/>
      </c>
      <c r="H160" s="44">
        <f>IF(OR(F160="",G160=""),"",(G160-F160)*100)</f>
        <v/>
      </c>
      <c r="I160" s="73" t="n"/>
      <c r="J160" s="43">
        <f>IF(SUMIFS(Countries!$E$5:$E$434,Countries!$A$5:$A$434,"All landing pages",Countries!$B$5:$B$434,"Direct",Countries!$D$5:$D$434,$A160,Countries!$P$5:$P$434,"&gt;0")=0,"",SUMIFS(Countries!$P$5:$P$434,Countries!$A$5:$A$434,"All landing pages",Countries!$B$5:$B$434,"Direct",Countries!$D$5:$D$434,$A160,Countries!$E$5:$E$434,"&gt;0")/SUMIFS(Countries!$E$5:$E$434,Countries!$A$5:$A$434,"All landing pages",Countries!$B$5:$B$434,"Direct",Countries!$D$5:$D$434,$A160,Countries!$P$5:$P$434,"&gt;0"))</f>
        <v/>
      </c>
      <c r="K160" s="43">
        <f>IF(SUMIFS(Countries!$F$5:$F$434,Countries!$A$5:$A$434,"All landing pages",Countries!$B$5:$B$434,"Direct",Countries!$D$5:$D$434,$A160,Countries!$Q$5:$Q$434,"&gt;0")=0,"",SUMIFS(Countries!$Q$5:$Q$434,Countries!$A$5:$A$434,"All landing pages",Countries!$B$5:$B$434,"Direct",Countries!$D$5:$D$434,$A160,Countries!$F$5:$F$434,"&gt;0")/SUMIFS(Countries!$F$5:$F$434,Countries!$A$5:$A$434,"All landing pages",Countries!$B$5:$B$434,"Direct",Countries!$D$5:$D$434,$A160,Countries!$Q$5:$Q$434,"&gt;0"))</f>
        <v/>
      </c>
      <c r="L160" s="44">
        <f>IF(OR(J160="",K160=""),"",(K160-J160)*100)</f>
        <v/>
      </c>
      <c r="M160" s="73" t="n"/>
      <c r="N160" s="43">
        <f>IF(SUMIFS(Countries!$E$5:$E$434,Countries!$A$5:$A$434,"All landing pages",Countries!$D$5:$D$434,$A160,Countries!$P$5:$P$434,"&gt;0")=0,"",SUMIFS(Countries!$P$5:$P$434,Countries!$A$5:$A$434,"All landing pages",Countries!$D$5:$D$434,$A160,Countries!$E$5:$E$434,"&gt;0")/SUMIFS(Countries!$E$5:$E$434,Countries!$A$5:$A$434,"All landing pages",Countries!$D$5:$D$434,$A160,Countries!$P$5:$P$434,"&gt;0"))</f>
        <v/>
      </c>
      <c r="O160" s="43">
        <f>IF(SUMIFS(Countries!$F$5:$F$434,Countries!$A$5:$A$434,"All landing pages",Countries!$D$5:$D$434,$A160,Countries!$Q$5:$Q$434,"&gt;0")=0,"",SUMIFS(Countries!$Q$5:$Q$434,Countries!$A$5:$A$434,"All landing pages",Countries!$D$5:$D$434,$A160,Countries!$F$5:$F$434,"&gt;0")/SUMIFS(Countries!$F$5:$F$434,Countries!$A$5:$A$434,"All landing pages",Countries!$D$5:$D$434,$A160,Countries!$Q$5:$Q$434,"&gt;0"))</f>
        <v/>
      </c>
      <c r="P160" s="44">
        <f>IF(OR(N160="",O160=""),"",(O160-N160)*100)</f>
        <v/>
      </c>
      <c r="Q160" s="73" t="n"/>
    </row>
    <row r="161">
      <c r="A161" s="40" t="inlineStr">
        <is>
          <t>Italy</t>
        </is>
      </c>
      <c r="B161" s="43">
        <f>IF(SUMIFS(Countries!$E$5:$E$434,Countries!$A$5:$A$434,"All landing pages",Countries!$B$5:$B$434,"Paid Search",Countries!$D$5:$D$434,$A161,Countries!$P$5:$P$434,"&gt;0")=0,"",SUMIFS(Countries!$P$5:$P$434,Countries!$A$5:$A$434,"All landing pages",Countries!$B$5:$B$434,"Paid Search",Countries!$D$5:$D$434,$A161,Countries!$E$5:$E$434,"&gt;0")/SUMIFS(Countries!$E$5:$E$434,Countries!$A$5:$A$434,"All landing pages",Countries!$B$5:$B$434,"Paid Search",Countries!$D$5:$D$434,$A161,Countries!$P$5:$P$434,"&gt;0"))</f>
        <v/>
      </c>
      <c r="C161" s="43">
        <f>IF(SUMIFS(Countries!$F$5:$F$434,Countries!$A$5:$A$434,"All landing pages",Countries!$B$5:$B$434,"Paid Search",Countries!$D$5:$D$434,$A161,Countries!$Q$5:$Q$434,"&gt;0")=0,"",SUMIFS(Countries!$Q$5:$Q$434,Countries!$A$5:$A$434,"All landing pages",Countries!$B$5:$B$434,"Paid Search",Countries!$D$5:$D$434,$A161,Countries!$F$5:$F$434,"&gt;0")/SUMIFS(Countries!$F$5:$F$434,Countries!$A$5:$A$434,"All landing pages",Countries!$B$5:$B$434,"Paid Search",Countries!$D$5:$D$434,$A161,Countries!$Q$5:$Q$434,"&gt;0"))</f>
        <v/>
      </c>
      <c r="D161" s="44">
        <f>IF(OR(B161="",C161=""),"",(C161-B161)*100)</f>
        <v/>
      </c>
      <c r="E161" s="73" t="n"/>
      <c r="F161" s="43">
        <f>IF(SUMIFS(Countries!$E$5:$E$434,Countries!$A$5:$A$434,"All landing pages",Countries!$B$5:$B$434,"Organic",Countries!$D$5:$D$434,$A161,Countries!$P$5:$P$434,"&gt;0")=0,"",SUMIFS(Countries!$P$5:$P$434,Countries!$A$5:$A$434,"All landing pages",Countries!$B$5:$B$434,"Organic",Countries!$D$5:$D$434,$A161,Countries!$E$5:$E$434,"&gt;0")/SUMIFS(Countries!$E$5:$E$434,Countries!$A$5:$A$434,"All landing pages",Countries!$B$5:$B$434,"Organic",Countries!$D$5:$D$434,$A161,Countries!$P$5:$P$434,"&gt;0"))</f>
        <v/>
      </c>
      <c r="G161" s="43">
        <f>IF(SUMIFS(Countries!$F$5:$F$434,Countries!$A$5:$A$434,"All landing pages",Countries!$B$5:$B$434,"Organic",Countries!$D$5:$D$434,$A161,Countries!$Q$5:$Q$434,"&gt;0")=0,"",SUMIFS(Countries!$Q$5:$Q$434,Countries!$A$5:$A$434,"All landing pages",Countries!$B$5:$B$434,"Organic",Countries!$D$5:$D$434,$A161,Countries!$F$5:$F$434,"&gt;0")/SUMIFS(Countries!$F$5:$F$434,Countries!$A$5:$A$434,"All landing pages",Countries!$B$5:$B$434,"Organic",Countries!$D$5:$D$434,$A161,Countries!$Q$5:$Q$434,"&gt;0"))</f>
        <v/>
      </c>
      <c r="H161" s="44">
        <f>IF(OR(F161="",G161=""),"",(G161-F161)*100)</f>
        <v/>
      </c>
      <c r="I161" s="73" t="n"/>
      <c r="J161" s="43">
        <f>IF(SUMIFS(Countries!$E$5:$E$434,Countries!$A$5:$A$434,"All landing pages",Countries!$B$5:$B$434,"Direct",Countries!$D$5:$D$434,$A161,Countries!$P$5:$P$434,"&gt;0")=0,"",SUMIFS(Countries!$P$5:$P$434,Countries!$A$5:$A$434,"All landing pages",Countries!$B$5:$B$434,"Direct",Countries!$D$5:$D$434,$A161,Countries!$E$5:$E$434,"&gt;0")/SUMIFS(Countries!$E$5:$E$434,Countries!$A$5:$A$434,"All landing pages",Countries!$B$5:$B$434,"Direct",Countries!$D$5:$D$434,$A161,Countries!$P$5:$P$434,"&gt;0"))</f>
        <v/>
      </c>
      <c r="K161" s="43">
        <f>IF(SUMIFS(Countries!$F$5:$F$434,Countries!$A$5:$A$434,"All landing pages",Countries!$B$5:$B$434,"Direct",Countries!$D$5:$D$434,$A161,Countries!$Q$5:$Q$434,"&gt;0")=0,"",SUMIFS(Countries!$Q$5:$Q$434,Countries!$A$5:$A$434,"All landing pages",Countries!$B$5:$B$434,"Direct",Countries!$D$5:$D$434,$A161,Countries!$F$5:$F$434,"&gt;0")/SUMIFS(Countries!$F$5:$F$434,Countries!$A$5:$A$434,"All landing pages",Countries!$B$5:$B$434,"Direct",Countries!$D$5:$D$434,$A161,Countries!$Q$5:$Q$434,"&gt;0"))</f>
        <v/>
      </c>
      <c r="L161" s="44">
        <f>IF(OR(J161="",K161=""),"",(K161-J161)*100)</f>
        <v/>
      </c>
      <c r="M161" s="73" t="n"/>
      <c r="N161" s="43">
        <f>IF(SUMIFS(Countries!$E$5:$E$434,Countries!$A$5:$A$434,"All landing pages",Countries!$D$5:$D$434,$A161,Countries!$P$5:$P$434,"&gt;0")=0,"",SUMIFS(Countries!$P$5:$P$434,Countries!$A$5:$A$434,"All landing pages",Countries!$D$5:$D$434,$A161,Countries!$E$5:$E$434,"&gt;0")/SUMIFS(Countries!$E$5:$E$434,Countries!$A$5:$A$434,"All landing pages",Countries!$D$5:$D$434,$A161,Countries!$P$5:$P$434,"&gt;0"))</f>
        <v/>
      </c>
      <c r="O161" s="43">
        <f>IF(SUMIFS(Countries!$F$5:$F$434,Countries!$A$5:$A$434,"All landing pages",Countries!$D$5:$D$434,$A161,Countries!$Q$5:$Q$434,"&gt;0")=0,"",SUMIFS(Countries!$Q$5:$Q$434,Countries!$A$5:$A$434,"All landing pages",Countries!$D$5:$D$434,$A161,Countries!$F$5:$F$434,"&gt;0")/SUMIFS(Countries!$F$5:$F$434,Countries!$A$5:$A$434,"All landing pages",Countries!$D$5:$D$434,$A161,Countries!$Q$5:$Q$434,"&gt;0"))</f>
        <v/>
      </c>
      <c r="P161" s="44">
        <f>IF(OR(N161="",O161=""),"",(O161-N161)*100)</f>
        <v/>
      </c>
      <c r="Q161" s="73" t="n"/>
    </row>
    <row r="162">
      <c r="A162" s="56" t="inlineStr">
        <is>
          <t>Spain</t>
        </is>
      </c>
      <c r="B162" s="43">
        <f>IF(SUMIFS(Countries!$E$5:$E$434,Countries!$A$5:$A$434,"All landing pages",Countries!$B$5:$B$434,"Paid Search",Countries!$D$5:$D$434,$A162,Countries!$P$5:$P$434,"&gt;0")=0,"",SUMIFS(Countries!$P$5:$P$434,Countries!$A$5:$A$434,"All landing pages",Countries!$B$5:$B$434,"Paid Search",Countries!$D$5:$D$434,$A162,Countries!$E$5:$E$434,"&gt;0")/SUMIFS(Countries!$E$5:$E$434,Countries!$A$5:$A$434,"All landing pages",Countries!$B$5:$B$434,"Paid Search",Countries!$D$5:$D$434,$A162,Countries!$P$5:$P$434,"&gt;0"))</f>
        <v/>
      </c>
      <c r="C162" s="43">
        <f>IF(SUMIFS(Countries!$F$5:$F$434,Countries!$A$5:$A$434,"All landing pages",Countries!$B$5:$B$434,"Paid Search",Countries!$D$5:$D$434,$A162,Countries!$Q$5:$Q$434,"&gt;0")=0,"",SUMIFS(Countries!$Q$5:$Q$434,Countries!$A$5:$A$434,"All landing pages",Countries!$B$5:$B$434,"Paid Search",Countries!$D$5:$D$434,$A162,Countries!$F$5:$F$434,"&gt;0")/SUMIFS(Countries!$F$5:$F$434,Countries!$A$5:$A$434,"All landing pages",Countries!$B$5:$B$434,"Paid Search",Countries!$D$5:$D$434,$A162,Countries!$Q$5:$Q$434,"&gt;0"))</f>
        <v/>
      </c>
      <c r="D162" s="44">
        <f>IF(OR(B162="",C162=""),"",(C162-B162)*100)</f>
        <v/>
      </c>
      <c r="E162" s="73" t="n"/>
      <c r="F162" s="43">
        <f>IF(SUMIFS(Countries!$E$5:$E$434,Countries!$A$5:$A$434,"All landing pages",Countries!$B$5:$B$434,"Organic",Countries!$D$5:$D$434,$A162,Countries!$P$5:$P$434,"&gt;0")=0,"",SUMIFS(Countries!$P$5:$P$434,Countries!$A$5:$A$434,"All landing pages",Countries!$B$5:$B$434,"Organic",Countries!$D$5:$D$434,$A162,Countries!$E$5:$E$434,"&gt;0")/SUMIFS(Countries!$E$5:$E$434,Countries!$A$5:$A$434,"All landing pages",Countries!$B$5:$B$434,"Organic",Countries!$D$5:$D$434,$A162,Countries!$P$5:$P$434,"&gt;0"))</f>
        <v/>
      </c>
      <c r="G162" s="43">
        <f>IF(SUMIFS(Countries!$F$5:$F$434,Countries!$A$5:$A$434,"All landing pages",Countries!$B$5:$B$434,"Organic",Countries!$D$5:$D$434,$A162,Countries!$Q$5:$Q$434,"&gt;0")=0,"",SUMIFS(Countries!$Q$5:$Q$434,Countries!$A$5:$A$434,"All landing pages",Countries!$B$5:$B$434,"Organic",Countries!$D$5:$D$434,$A162,Countries!$F$5:$F$434,"&gt;0")/SUMIFS(Countries!$F$5:$F$434,Countries!$A$5:$A$434,"All landing pages",Countries!$B$5:$B$434,"Organic",Countries!$D$5:$D$434,$A162,Countries!$Q$5:$Q$434,"&gt;0"))</f>
        <v/>
      </c>
      <c r="H162" s="44">
        <f>IF(OR(F162="",G162=""),"",(G162-F162)*100)</f>
        <v/>
      </c>
      <c r="I162" s="73" t="n"/>
      <c r="J162" s="43">
        <f>IF(SUMIFS(Countries!$E$5:$E$434,Countries!$A$5:$A$434,"All landing pages",Countries!$B$5:$B$434,"Direct",Countries!$D$5:$D$434,$A162,Countries!$P$5:$P$434,"&gt;0")=0,"",SUMIFS(Countries!$P$5:$P$434,Countries!$A$5:$A$434,"All landing pages",Countries!$B$5:$B$434,"Direct",Countries!$D$5:$D$434,$A162,Countries!$E$5:$E$434,"&gt;0")/SUMIFS(Countries!$E$5:$E$434,Countries!$A$5:$A$434,"All landing pages",Countries!$B$5:$B$434,"Direct",Countries!$D$5:$D$434,$A162,Countries!$P$5:$P$434,"&gt;0"))</f>
        <v/>
      </c>
      <c r="K162" s="43">
        <f>IF(SUMIFS(Countries!$F$5:$F$434,Countries!$A$5:$A$434,"All landing pages",Countries!$B$5:$B$434,"Direct",Countries!$D$5:$D$434,$A162,Countries!$Q$5:$Q$434,"&gt;0")=0,"",SUMIFS(Countries!$Q$5:$Q$434,Countries!$A$5:$A$434,"All landing pages",Countries!$B$5:$B$434,"Direct",Countries!$D$5:$D$434,$A162,Countries!$F$5:$F$434,"&gt;0")/SUMIFS(Countries!$F$5:$F$434,Countries!$A$5:$A$434,"All landing pages",Countries!$B$5:$B$434,"Direct",Countries!$D$5:$D$434,$A162,Countries!$Q$5:$Q$434,"&gt;0"))</f>
        <v/>
      </c>
      <c r="L162" s="44">
        <f>IF(OR(J162="",K162=""),"",(K162-J162)*100)</f>
        <v/>
      </c>
      <c r="M162" s="73" t="n"/>
      <c r="N162" s="43">
        <f>IF(SUMIFS(Countries!$E$5:$E$434,Countries!$A$5:$A$434,"All landing pages",Countries!$D$5:$D$434,$A162,Countries!$P$5:$P$434,"&gt;0")=0,"",SUMIFS(Countries!$P$5:$P$434,Countries!$A$5:$A$434,"All landing pages",Countries!$D$5:$D$434,$A162,Countries!$E$5:$E$434,"&gt;0")/SUMIFS(Countries!$E$5:$E$434,Countries!$A$5:$A$434,"All landing pages",Countries!$D$5:$D$434,$A162,Countries!$P$5:$P$434,"&gt;0"))</f>
        <v/>
      </c>
      <c r="O162" s="43">
        <f>IF(SUMIFS(Countries!$F$5:$F$434,Countries!$A$5:$A$434,"All landing pages",Countries!$D$5:$D$434,$A162,Countries!$Q$5:$Q$434,"&gt;0")=0,"",SUMIFS(Countries!$Q$5:$Q$434,Countries!$A$5:$A$434,"All landing pages",Countries!$D$5:$D$434,$A162,Countries!$F$5:$F$434,"&gt;0")/SUMIFS(Countries!$F$5:$F$434,Countries!$A$5:$A$434,"All landing pages",Countries!$D$5:$D$434,$A162,Countries!$Q$5:$Q$434,"&gt;0"))</f>
        <v/>
      </c>
      <c r="P162" s="44">
        <f>IF(OR(N162="",O162=""),"",(O162-N162)*100)</f>
        <v/>
      </c>
      <c r="Q162" s="73" t="n"/>
    </row>
    <row r="163">
      <c r="A163" s="40" t="inlineStr">
        <is>
          <t>Ireland</t>
        </is>
      </c>
      <c r="B163" s="43">
        <f>IF(SUMIFS(Countries!$E$5:$E$434,Countries!$A$5:$A$434,"All landing pages",Countries!$B$5:$B$434,"Paid Search",Countries!$D$5:$D$434,$A163,Countries!$P$5:$P$434,"&gt;0")=0,"",SUMIFS(Countries!$P$5:$P$434,Countries!$A$5:$A$434,"All landing pages",Countries!$B$5:$B$434,"Paid Search",Countries!$D$5:$D$434,$A163,Countries!$E$5:$E$434,"&gt;0")/SUMIFS(Countries!$E$5:$E$434,Countries!$A$5:$A$434,"All landing pages",Countries!$B$5:$B$434,"Paid Search",Countries!$D$5:$D$434,$A163,Countries!$P$5:$P$434,"&gt;0"))</f>
        <v/>
      </c>
      <c r="C163" s="43">
        <f>IF(SUMIFS(Countries!$F$5:$F$434,Countries!$A$5:$A$434,"All landing pages",Countries!$B$5:$B$434,"Paid Search",Countries!$D$5:$D$434,$A163,Countries!$Q$5:$Q$434,"&gt;0")=0,"",SUMIFS(Countries!$Q$5:$Q$434,Countries!$A$5:$A$434,"All landing pages",Countries!$B$5:$B$434,"Paid Search",Countries!$D$5:$D$434,$A163,Countries!$F$5:$F$434,"&gt;0")/SUMIFS(Countries!$F$5:$F$434,Countries!$A$5:$A$434,"All landing pages",Countries!$B$5:$B$434,"Paid Search",Countries!$D$5:$D$434,$A163,Countries!$Q$5:$Q$434,"&gt;0"))</f>
        <v/>
      </c>
      <c r="D163" s="44">
        <f>IF(OR(B163="",C163=""),"",(C163-B163)*100)</f>
        <v/>
      </c>
      <c r="E163" s="73" t="n"/>
      <c r="F163" s="43">
        <f>IF(SUMIFS(Countries!$E$5:$E$434,Countries!$A$5:$A$434,"All landing pages",Countries!$B$5:$B$434,"Organic",Countries!$D$5:$D$434,$A163,Countries!$P$5:$P$434,"&gt;0")=0,"",SUMIFS(Countries!$P$5:$P$434,Countries!$A$5:$A$434,"All landing pages",Countries!$B$5:$B$434,"Organic",Countries!$D$5:$D$434,$A163,Countries!$E$5:$E$434,"&gt;0")/SUMIFS(Countries!$E$5:$E$434,Countries!$A$5:$A$434,"All landing pages",Countries!$B$5:$B$434,"Organic",Countries!$D$5:$D$434,$A163,Countries!$P$5:$P$434,"&gt;0"))</f>
        <v/>
      </c>
      <c r="G163" s="43">
        <f>IF(SUMIFS(Countries!$F$5:$F$434,Countries!$A$5:$A$434,"All landing pages",Countries!$B$5:$B$434,"Organic",Countries!$D$5:$D$434,$A163,Countries!$Q$5:$Q$434,"&gt;0")=0,"",SUMIFS(Countries!$Q$5:$Q$434,Countries!$A$5:$A$434,"All landing pages",Countries!$B$5:$B$434,"Organic",Countries!$D$5:$D$434,$A163,Countries!$F$5:$F$434,"&gt;0")/SUMIFS(Countries!$F$5:$F$434,Countries!$A$5:$A$434,"All landing pages",Countries!$B$5:$B$434,"Organic",Countries!$D$5:$D$434,$A163,Countries!$Q$5:$Q$434,"&gt;0"))</f>
        <v/>
      </c>
      <c r="H163" s="44">
        <f>IF(OR(F163="",G163=""),"",(G163-F163)*100)</f>
        <v/>
      </c>
      <c r="I163" s="73" t="n"/>
      <c r="J163" s="43">
        <f>IF(SUMIFS(Countries!$E$5:$E$434,Countries!$A$5:$A$434,"All landing pages",Countries!$B$5:$B$434,"Direct",Countries!$D$5:$D$434,$A163,Countries!$P$5:$P$434,"&gt;0")=0,"",SUMIFS(Countries!$P$5:$P$434,Countries!$A$5:$A$434,"All landing pages",Countries!$B$5:$B$434,"Direct",Countries!$D$5:$D$434,$A163,Countries!$E$5:$E$434,"&gt;0")/SUMIFS(Countries!$E$5:$E$434,Countries!$A$5:$A$434,"All landing pages",Countries!$B$5:$B$434,"Direct",Countries!$D$5:$D$434,$A163,Countries!$P$5:$P$434,"&gt;0"))</f>
        <v/>
      </c>
      <c r="K163" s="43">
        <f>IF(SUMIFS(Countries!$F$5:$F$434,Countries!$A$5:$A$434,"All landing pages",Countries!$B$5:$B$434,"Direct",Countries!$D$5:$D$434,$A163,Countries!$Q$5:$Q$434,"&gt;0")=0,"",SUMIFS(Countries!$Q$5:$Q$434,Countries!$A$5:$A$434,"All landing pages",Countries!$B$5:$B$434,"Direct",Countries!$D$5:$D$434,$A163,Countries!$F$5:$F$434,"&gt;0")/SUMIFS(Countries!$F$5:$F$434,Countries!$A$5:$A$434,"All landing pages",Countries!$B$5:$B$434,"Direct",Countries!$D$5:$D$434,$A163,Countries!$Q$5:$Q$434,"&gt;0"))</f>
        <v/>
      </c>
      <c r="L163" s="44">
        <f>IF(OR(J163="",K163=""),"",(K163-J163)*100)</f>
        <v/>
      </c>
      <c r="M163" s="73" t="n"/>
      <c r="N163" s="43">
        <f>IF(SUMIFS(Countries!$E$5:$E$434,Countries!$A$5:$A$434,"All landing pages",Countries!$D$5:$D$434,$A163,Countries!$P$5:$P$434,"&gt;0")=0,"",SUMIFS(Countries!$P$5:$P$434,Countries!$A$5:$A$434,"All landing pages",Countries!$D$5:$D$434,$A163,Countries!$E$5:$E$434,"&gt;0")/SUMIFS(Countries!$E$5:$E$434,Countries!$A$5:$A$434,"All landing pages",Countries!$D$5:$D$434,$A163,Countries!$P$5:$P$434,"&gt;0"))</f>
        <v/>
      </c>
      <c r="O163" s="43">
        <f>IF(SUMIFS(Countries!$F$5:$F$434,Countries!$A$5:$A$434,"All landing pages",Countries!$D$5:$D$434,$A163,Countries!$Q$5:$Q$434,"&gt;0")=0,"",SUMIFS(Countries!$Q$5:$Q$434,Countries!$A$5:$A$434,"All landing pages",Countries!$D$5:$D$434,$A163,Countries!$F$5:$F$434,"&gt;0")/SUMIFS(Countries!$F$5:$F$434,Countries!$A$5:$A$434,"All landing pages",Countries!$D$5:$D$434,$A163,Countries!$Q$5:$Q$434,"&gt;0"))</f>
        <v/>
      </c>
      <c r="P163" s="44">
        <f>IF(OR(N163="",O163=""),"",(O163-N163)*100)</f>
        <v/>
      </c>
      <c r="Q163" s="73" t="n"/>
    </row>
    <row r="164">
      <c r="A164" s="56" t="inlineStr">
        <is>
          <t>Netherlands</t>
        </is>
      </c>
      <c r="B164" s="43">
        <f>IF(SUMIFS(Countries!$E$5:$E$434,Countries!$A$5:$A$434,"All landing pages",Countries!$B$5:$B$434,"Paid Search",Countries!$D$5:$D$434,$A164,Countries!$P$5:$P$434,"&gt;0")=0,"",SUMIFS(Countries!$P$5:$P$434,Countries!$A$5:$A$434,"All landing pages",Countries!$B$5:$B$434,"Paid Search",Countries!$D$5:$D$434,$A164,Countries!$E$5:$E$434,"&gt;0")/SUMIFS(Countries!$E$5:$E$434,Countries!$A$5:$A$434,"All landing pages",Countries!$B$5:$B$434,"Paid Search",Countries!$D$5:$D$434,$A164,Countries!$P$5:$P$434,"&gt;0"))</f>
        <v/>
      </c>
      <c r="C164" s="43">
        <f>IF(SUMIFS(Countries!$F$5:$F$434,Countries!$A$5:$A$434,"All landing pages",Countries!$B$5:$B$434,"Paid Search",Countries!$D$5:$D$434,$A164,Countries!$Q$5:$Q$434,"&gt;0")=0,"",SUMIFS(Countries!$Q$5:$Q$434,Countries!$A$5:$A$434,"All landing pages",Countries!$B$5:$B$434,"Paid Search",Countries!$D$5:$D$434,$A164,Countries!$F$5:$F$434,"&gt;0")/SUMIFS(Countries!$F$5:$F$434,Countries!$A$5:$A$434,"All landing pages",Countries!$B$5:$B$434,"Paid Search",Countries!$D$5:$D$434,$A164,Countries!$Q$5:$Q$434,"&gt;0"))</f>
        <v/>
      </c>
      <c r="D164" s="44">
        <f>IF(OR(B164="",C164=""),"",(C164-B164)*100)</f>
        <v/>
      </c>
      <c r="E164" s="73" t="n"/>
      <c r="F164" s="43">
        <f>IF(SUMIFS(Countries!$E$5:$E$434,Countries!$A$5:$A$434,"All landing pages",Countries!$B$5:$B$434,"Organic",Countries!$D$5:$D$434,$A164,Countries!$P$5:$P$434,"&gt;0")=0,"",SUMIFS(Countries!$P$5:$P$434,Countries!$A$5:$A$434,"All landing pages",Countries!$B$5:$B$434,"Organic",Countries!$D$5:$D$434,$A164,Countries!$E$5:$E$434,"&gt;0")/SUMIFS(Countries!$E$5:$E$434,Countries!$A$5:$A$434,"All landing pages",Countries!$B$5:$B$434,"Organic",Countries!$D$5:$D$434,$A164,Countries!$P$5:$P$434,"&gt;0"))</f>
        <v/>
      </c>
      <c r="G164" s="43">
        <f>IF(SUMIFS(Countries!$F$5:$F$434,Countries!$A$5:$A$434,"All landing pages",Countries!$B$5:$B$434,"Organic",Countries!$D$5:$D$434,$A164,Countries!$Q$5:$Q$434,"&gt;0")=0,"",SUMIFS(Countries!$Q$5:$Q$434,Countries!$A$5:$A$434,"All landing pages",Countries!$B$5:$B$434,"Organic",Countries!$D$5:$D$434,$A164,Countries!$F$5:$F$434,"&gt;0")/SUMIFS(Countries!$F$5:$F$434,Countries!$A$5:$A$434,"All landing pages",Countries!$B$5:$B$434,"Organic",Countries!$D$5:$D$434,$A164,Countries!$Q$5:$Q$434,"&gt;0"))</f>
        <v/>
      </c>
      <c r="H164" s="44">
        <f>IF(OR(F164="",G164=""),"",(G164-F164)*100)</f>
        <v/>
      </c>
      <c r="I164" s="73" t="n"/>
      <c r="J164" s="43">
        <f>IF(SUMIFS(Countries!$E$5:$E$434,Countries!$A$5:$A$434,"All landing pages",Countries!$B$5:$B$434,"Direct",Countries!$D$5:$D$434,$A164,Countries!$P$5:$P$434,"&gt;0")=0,"",SUMIFS(Countries!$P$5:$P$434,Countries!$A$5:$A$434,"All landing pages",Countries!$B$5:$B$434,"Direct",Countries!$D$5:$D$434,$A164,Countries!$E$5:$E$434,"&gt;0")/SUMIFS(Countries!$E$5:$E$434,Countries!$A$5:$A$434,"All landing pages",Countries!$B$5:$B$434,"Direct",Countries!$D$5:$D$434,$A164,Countries!$P$5:$P$434,"&gt;0"))</f>
        <v/>
      </c>
      <c r="K164" s="43">
        <f>IF(SUMIFS(Countries!$F$5:$F$434,Countries!$A$5:$A$434,"All landing pages",Countries!$B$5:$B$434,"Direct",Countries!$D$5:$D$434,$A164,Countries!$Q$5:$Q$434,"&gt;0")=0,"",SUMIFS(Countries!$Q$5:$Q$434,Countries!$A$5:$A$434,"All landing pages",Countries!$B$5:$B$434,"Direct",Countries!$D$5:$D$434,$A164,Countries!$F$5:$F$434,"&gt;0")/SUMIFS(Countries!$F$5:$F$434,Countries!$A$5:$A$434,"All landing pages",Countries!$B$5:$B$434,"Direct",Countries!$D$5:$D$434,$A164,Countries!$Q$5:$Q$434,"&gt;0"))</f>
        <v/>
      </c>
      <c r="L164" s="44">
        <f>IF(OR(J164="",K164=""),"",(K164-J164)*100)</f>
        <v/>
      </c>
      <c r="M164" s="73" t="n"/>
      <c r="N164" s="43">
        <f>IF(SUMIFS(Countries!$E$5:$E$434,Countries!$A$5:$A$434,"All landing pages",Countries!$D$5:$D$434,$A164,Countries!$P$5:$P$434,"&gt;0")=0,"",SUMIFS(Countries!$P$5:$P$434,Countries!$A$5:$A$434,"All landing pages",Countries!$D$5:$D$434,$A164,Countries!$E$5:$E$434,"&gt;0")/SUMIFS(Countries!$E$5:$E$434,Countries!$A$5:$A$434,"All landing pages",Countries!$D$5:$D$434,$A164,Countries!$P$5:$P$434,"&gt;0"))</f>
        <v/>
      </c>
      <c r="O164" s="43">
        <f>IF(SUMIFS(Countries!$F$5:$F$434,Countries!$A$5:$A$434,"All landing pages",Countries!$D$5:$D$434,$A164,Countries!$Q$5:$Q$434,"&gt;0")=0,"",SUMIFS(Countries!$Q$5:$Q$434,Countries!$A$5:$A$434,"All landing pages",Countries!$D$5:$D$434,$A164,Countries!$F$5:$F$434,"&gt;0")/SUMIFS(Countries!$F$5:$F$434,Countries!$A$5:$A$434,"All landing pages",Countries!$D$5:$D$434,$A164,Countries!$Q$5:$Q$434,"&gt;0"))</f>
        <v/>
      </c>
      <c r="P164" s="44">
        <f>IF(OR(N164="",O164=""),"",(O164-N164)*100)</f>
        <v/>
      </c>
      <c r="Q164" s="73" t="n"/>
    </row>
    <row r="165">
      <c r="A165" s="40" t="inlineStr">
        <is>
          <t>France</t>
        </is>
      </c>
      <c r="B165" s="43">
        <f>IF(SUMIFS(Countries!$E$5:$E$434,Countries!$A$5:$A$434,"All landing pages",Countries!$B$5:$B$434,"Paid Search",Countries!$D$5:$D$434,$A165,Countries!$P$5:$P$434,"&gt;0")=0,"",SUMIFS(Countries!$P$5:$P$434,Countries!$A$5:$A$434,"All landing pages",Countries!$B$5:$B$434,"Paid Search",Countries!$D$5:$D$434,$A165,Countries!$E$5:$E$434,"&gt;0")/SUMIFS(Countries!$E$5:$E$434,Countries!$A$5:$A$434,"All landing pages",Countries!$B$5:$B$434,"Paid Search",Countries!$D$5:$D$434,$A165,Countries!$P$5:$P$434,"&gt;0"))</f>
        <v/>
      </c>
      <c r="C165" s="43">
        <f>IF(SUMIFS(Countries!$F$5:$F$434,Countries!$A$5:$A$434,"All landing pages",Countries!$B$5:$B$434,"Paid Search",Countries!$D$5:$D$434,$A165,Countries!$Q$5:$Q$434,"&gt;0")=0,"",SUMIFS(Countries!$Q$5:$Q$434,Countries!$A$5:$A$434,"All landing pages",Countries!$B$5:$B$434,"Paid Search",Countries!$D$5:$D$434,$A165,Countries!$F$5:$F$434,"&gt;0")/SUMIFS(Countries!$F$5:$F$434,Countries!$A$5:$A$434,"All landing pages",Countries!$B$5:$B$434,"Paid Search",Countries!$D$5:$D$434,$A165,Countries!$Q$5:$Q$434,"&gt;0"))</f>
        <v/>
      </c>
      <c r="D165" s="44">
        <f>IF(OR(B165="",C165=""),"",(C165-B165)*100)</f>
        <v/>
      </c>
      <c r="E165" s="73" t="n"/>
      <c r="F165" s="43">
        <f>IF(SUMIFS(Countries!$E$5:$E$434,Countries!$A$5:$A$434,"All landing pages",Countries!$B$5:$B$434,"Organic",Countries!$D$5:$D$434,$A165,Countries!$P$5:$P$434,"&gt;0")=0,"",SUMIFS(Countries!$P$5:$P$434,Countries!$A$5:$A$434,"All landing pages",Countries!$B$5:$B$434,"Organic",Countries!$D$5:$D$434,$A165,Countries!$E$5:$E$434,"&gt;0")/SUMIFS(Countries!$E$5:$E$434,Countries!$A$5:$A$434,"All landing pages",Countries!$B$5:$B$434,"Organic",Countries!$D$5:$D$434,$A165,Countries!$P$5:$P$434,"&gt;0"))</f>
        <v/>
      </c>
      <c r="G165" s="43">
        <f>IF(SUMIFS(Countries!$F$5:$F$434,Countries!$A$5:$A$434,"All landing pages",Countries!$B$5:$B$434,"Organic",Countries!$D$5:$D$434,$A165,Countries!$Q$5:$Q$434,"&gt;0")=0,"",SUMIFS(Countries!$Q$5:$Q$434,Countries!$A$5:$A$434,"All landing pages",Countries!$B$5:$B$434,"Organic",Countries!$D$5:$D$434,$A165,Countries!$F$5:$F$434,"&gt;0")/SUMIFS(Countries!$F$5:$F$434,Countries!$A$5:$A$434,"All landing pages",Countries!$B$5:$B$434,"Organic",Countries!$D$5:$D$434,$A165,Countries!$Q$5:$Q$434,"&gt;0"))</f>
        <v/>
      </c>
      <c r="H165" s="44">
        <f>IF(OR(F165="",G165=""),"",(G165-F165)*100)</f>
        <v/>
      </c>
      <c r="I165" s="73" t="n"/>
      <c r="J165" s="43">
        <f>IF(SUMIFS(Countries!$E$5:$E$434,Countries!$A$5:$A$434,"All landing pages",Countries!$B$5:$B$434,"Direct",Countries!$D$5:$D$434,$A165,Countries!$P$5:$P$434,"&gt;0")=0,"",SUMIFS(Countries!$P$5:$P$434,Countries!$A$5:$A$434,"All landing pages",Countries!$B$5:$B$434,"Direct",Countries!$D$5:$D$434,$A165,Countries!$E$5:$E$434,"&gt;0")/SUMIFS(Countries!$E$5:$E$434,Countries!$A$5:$A$434,"All landing pages",Countries!$B$5:$B$434,"Direct",Countries!$D$5:$D$434,$A165,Countries!$P$5:$P$434,"&gt;0"))</f>
        <v/>
      </c>
      <c r="K165" s="43">
        <f>IF(SUMIFS(Countries!$F$5:$F$434,Countries!$A$5:$A$434,"All landing pages",Countries!$B$5:$B$434,"Direct",Countries!$D$5:$D$434,$A165,Countries!$Q$5:$Q$434,"&gt;0")=0,"",SUMIFS(Countries!$Q$5:$Q$434,Countries!$A$5:$A$434,"All landing pages",Countries!$B$5:$B$434,"Direct",Countries!$D$5:$D$434,$A165,Countries!$F$5:$F$434,"&gt;0")/SUMIFS(Countries!$F$5:$F$434,Countries!$A$5:$A$434,"All landing pages",Countries!$B$5:$B$434,"Direct",Countries!$D$5:$D$434,$A165,Countries!$Q$5:$Q$434,"&gt;0"))</f>
        <v/>
      </c>
      <c r="L165" s="44">
        <f>IF(OR(J165="",K165=""),"",(K165-J165)*100)</f>
        <v/>
      </c>
      <c r="M165" s="73" t="n"/>
      <c r="N165" s="43">
        <f>IF(SUMIFS(Countries!$E$5:$E$434,Countries!$A$5:$A$434,"All landing pages",Countries!$D$5:$D$434,$A165,Countries!$P$5:$P$434,"&gt;0")=0,"",SUMIFS(Countries!$P$5:$P$434,Countries!$A$5:$A$434,"All landing pages",Countries!$D$5:$D$434,$A165,Countries!$E$5:$E$434,"&gt;0")/SUMIFS(Countries!$E$5:$E$434,Countries!$A$5:$A$434,"All landing pages",Countries!$D$5:$D$434,$A165,Countries!$P$5:$P$434,"&gt;0"))</f>
        <v/>
      </c>
      <c r="O165" s="43">
        <f>IF(SUMIFS(Countries!$F$5:$F$434,Countries!$A$5:$A$434,"All landing pages",Countries!$D$5:$D$434,$A165,Countries!$Q$5:$Q$434,"&gt;0")=0,"",SUMIFS(Countries!$Q$5:$Q$434,Countries!$A$5:$A$434,"All landing pages",Countries!$D$5:$D$434,$A165,Countries!$F$5:$F$434,"&gt;0")/SUMIFS(Countries!$F$5:$F$434,Countries!$A$5:$A$434,"All landing pages",Countries!$D$5:$D$434,$A165,Countries!$Q$5:$Q$434,"&gt;0"))</f>
        <v/>
      </c>
      <c r="P165" s="44">
        <f>IF(OR(N165="",O165=""),"",(O165-N165)*100)</f>
        <v/>
      </c>
      <c r="Q165" s="73" t="n"/>
    </row>
    <row r="166">
      <c r="A166" s="56" t="inlineStr">
        <is>
          <t>Poland</t>
        </is>
      </c>
      <c r="B166" s="43">
        <f>IF(SUMIFS(Countries!$E$5:$E$434,Countries!$A$5:$A$434,"All landing pages",Countries!$B$5:$B$434,"Paid Search",Countries!$D$5:$D$434,$A166,Countries!$P$5:$P$434,"&gt;0")=0,"",SUMIFS(Countries!$P$5:$P$434,Countries!$A$5:$A$434,"All landing pages",Countries!$B$5:$B$434,"Paid Search",Countries!$D$5:$D$434,$A166,Countries!$E$5:$E$434,"&gt;0")/SUMIFS(Countries!$E$5:$E$434,Countries!$A$5:$A$434,"All landing pages",Countries!$B$5:$B$434,"Paid Search",Countries!$D$5:$D$434,$A166,Countries!$P$5:$P$434,"&gt;0"))</f>
        <v/>
      </c>
      <c r="C166" s="43">
        <f>IF(SUMIFS(Countries!$F$5:$F$434,Countries!$A$5:$A$434,"All landing pages",Countries!$B$5:$B$434,"Paid Search",Countries!$D$5:$D$434,$A166,Countries!$Q$5:$Q$434,"&gt;0")=0,"",SUMIFS(Countries!$Q$5:$Q$434,Countries!$A$5:$A$434,"All landing pages",Countries!$B$5:$B$434,"Paid Search",Countries!$D$5:$D$434,$A166,Countries!$F$5:$F$434,"&gt;0")/SUMIFS(Countries!$F$5:$F$434,Countries!$A$5:$A$434,"All landing pages",Countries!$B$5:$B$434,"Paid Search",Countries!$D$5:$D$434,$A166,Countries!$Q$5:$Q$434,"&gt;0"))</f>
        <v/>
      </c>
      <c r="D166" s="44">
        <f>IF(OR(B166="",C166=""),"",(C166-B166)*100)</f>
        <v/>
      </c>
      <c r="E166" s="73" t="n"/>
      <c r="F166" s="43">
        <f>IF(SUMIFS(Countries!$E$5:$E$434,Countries!$A$5:$A$434,"All landing pages",Countries!$B$5:$B$434,"Organic",Countries!$D$5:$D$434,$A166,Countries!$P$5:$P$434,"&gt;0")=0,"",SUMIFS(Countries!$P$5:$P$434,Countries!$A$5:$A$434,"All landing pages",Countries!$B$5:$B$434,"Organic",Countries!$D$5:$D$434,$A166,Countries!$E$5:$E$434,"&gt;0")/SUMIFS(Countries!$E$5:$E$434,Countries!$A$5:$A$434,"All landing pages",Countries!$B$5:$B$434,"Organic",Countries!$D$5:$D$434,$A166,Countries!$P$5:$P$434,"&gt;0"))</f>
        <v/>
      </c>
      <c r="G166" s="43">
        <f>IF(SUMIFS(Countries!$F$5:$F$434,Countries!$A$5:$A$434,"All landing pages",Countries!$B$5:$B$434,"Organic",Countries!$D$5:$D$434,$A166,Countries!$Q$5:$Q$434,"&gt;0")=0,"",SUMIFS(Countries!$Q$5:$Q$434,Countries!$A$5:$A$434,"All landing pages",Countries!$B$5:$B$434,"Organic",Countries!$D$5:$D$434,$A166,Countries!$F$5:$F$434,"&gt;0")/SUMIFS(Countries!$F$5:$F$434,Countries!$A$5:$A$434,"All landing pages",Countries!$B$5:$B$434,"Organic",Countries!$D$5:$D$434,$A166,Countries!$Q$5:$Q$434,"&gt;0"))</f>
        <v/>
      </c>
      <c r="H166" s="44">
        <f>IF(OR(F166="",G166=""),"",(G166-F166)*100)</f>
        <v/>
      </c>
      <c r="I166" s="73" t="n"/>
      <c r="J166" s="43">
        <f>IF(SUMIFS(Countries!$E$5:$E$434,Countries!$A$5:$A$434,"All landing pages",Countries!$B$5:$B$434,"Direct",Countries!$D$5:$D$434,$A166,Countries!$P$5:$P$434,"&gt;0")=0,"",SUMIFS(Countries!$P$5:$P$434,Countries!$A$5:$A$434,"All landing pages",Countries!$B$5:$B$434,"Direct",Countries!$D$5:$D$434,$A166,Countries!$E$5:$E$434,"&gt;0")/SUMIFS(Countries!$E$5:$E$434,Countries!$A$5:$A$434,"All landing pages",Countries!$B$5:$B$434,"Direct",Countries!$D$5:$D$434,$A166,Countries!$P$5:$P$434,"&gt;0"))</f>
        <v/>
      </c>
      <c r="K166" s="43">
        <f>IF(SUMIFS(Countries!$F$5:$F$434,Countries!$A$5:$A$434,"All landing pages",Countries!$B$5:$B$434,"Direct",Countries!$D$5:$D$434,$A166,Countries!$Q$5:$Q$434,"&gt;0")=0,"",SUMIFS(Countries!$Q$5:$Q$434,Countries!$A$5:$A$434,"All landing pages",Countries!$B$5:$B$434,"Direct",Countries!$D$5:$D$434,$A166,Countries!$F$5:$F$434,"&gt;0")/SUMIFS(Countries!$F$5:$F$434,Countries!$A$5:$A$434,"All landing pages",Countries!$B$5:$B$434,"Direct",Countries!$D$5:$D$434,$A166,Countries!$Q$5:$Q$434,"&gt;0"))</f>
        <v/>
      </c>
      <c r="L166" s="44">
        <f>IF(OR(J166="",K166=""),"",(K166-J166)*100)</f>
        <v/>
      </c>
      <c r="M166" s="73" t="n"/>
      <c r="N166" s="43">
        <f>IF(SUMIFS(Countries!$E$5:$E$434,Countries!$A$5:$A$434,"All landing pages",Countries!$D$5:$D$434,$A166,Countries!$P$5:$P$434,"&gt;0")=0,"",SUMIFS(Countries!$P$5:$P$434,Countries!$A$5:$A$434,"All landing pages",Countries!$D$5:$D$434,$A166,Countries!$E$5:$E$434,"&gt;0")/SUMIFS(Countries!$E$5:$E$434,Countries!$A$5:$A$434,"All landing pages",Countries!$D$5:$D$434,$A166,Countries!$P$5:$P$434,"&gt;0"))</f>
        <v/>
      </c>
      <c r="O166" s="43">
        <f>IF(SUMIFS(Countries!$F$5:$F$434,Countries!$A$5:$A$434,"All landing pages",Countries!$D$5:$D$434,$A166,Countries!$Q$5:$Q$434,"&gt;0")=0,"",SUMIFS(Countries!$Q$5:$Q$434,Countries!$A$5:$A$434,"All landing pages",Countries!$D$5:$D$434,$A166,Countries!$F$5:$F$434,"&gt;0")/SUMIFS(Countries!$F$5:$F$434,Countries!$A$5:$A$434,"All landing pages",Countries!$D$5:$D$434,$A166,Countries!$Q$5:$Q$434,"&gt;0"))</f>
        <v/>
      </c>
      <c r="P166" s="44">
        <f>IF(OR(N166="",O166=""),"",(O166-N166)*100)</f>
        <v/>
      </c>
      <c r="Q166" s="73" t="n"/>
    </row>
    <row r="167">
      <c r="A167" s="40" t="inlineStr">
        <is>
          <t>United States</t>
        </is>
      </c>
      <c r="B167" s="43">
        <f>IF(SUMIFS(Countries!$E$5:$E$434,Countries!$A$5:$A$434,"All landing pages",Countries!$B$5:$B$434,"Paid Search",Countries!$D$5:$D$434,$A167,Countries!$P$5:$P$434,"&gt;0")=0,"",SUMIFS(Countries!$P$5:$P$434,Countries!$A$5:$A$434,"All landing pages",Countries!$B$5:$B$434,"Paid Search",Countries!$D$5:$D$434,$A167,Countries!$E$5:$E$434,"&gt;0")/SUMIFS(Countries!$E$5:$E$434,Countries!$A$5:$A$434,"All landing pages",Countries!$B$5:$B$434,"Paid Search",Countries!$D$5:$D$434,$A167,Countries!$P$5:$P$434,"&gt;0"))</f>
        <v/>
      </c>
      <c r="C167" s="43">
        <f>IF(SUMIFS(Countries!$F$5:$F$434,Countries!$A$5:$A$434,"All landing pages",Countries!$B$5:$B$434,"Paid Search",Countries!$D$5:$D$434,$A167,Countries!$Q$5:$Q$434,"&gt;0")=0,"",SUMIFS(Countries!$Q$5:$Q$434,Countries!$A$5:$A$434,"All landing pages",Countries!$B$5:$B$434,"Paid Search",Countries!$D$5:$D$434,$A167,Countries!$F$5:$F$434,"&gt;0")/SUMIFS(Countries!$F$5:$F$434,Countries!$A$5:$A$434,"All landing pages",Countries!$B$5:$B$434,"Paid Search",Countries!$D$5:$D$434,$A167,Countries!$Q$5:$Q$434,"&gt;0"))</f>
        <v/>
      </c>
      <c r="D167" s="44">
        <f>IF(OR(B167="",C167=""),"",(C167-B167)*100)</f>
        <v/>
      </c>
      <c r="E167" s="73" t="n"/>
      <c r="F167" s="43">
        <f>IF(SUMIFS(Countries!$E$5:$E$434,Countries!$A$5:$A$434,"All landing pages",Countries!$B$5:$B$434,"Organic",Countries!$D$5:$D$434,$A167,Countries!$P$5:$P$434,"&gt;0")=0,"",SUMIFS(Countries!$P$5:$P$434,Countries!$A$5:$A$434,"All landing pages",Countries!$B$5:$B$434,"Organic",Countries!$D$5:$D$434,$A167,Countries!$E$5:$E$434,"&gt;0")/SUMIFS(Countries!$E$5:$E$434,Countries!$A$5:$A$434,"All landing pages",Countries!$B$5:$B$434,"Organic",Countries!$D$5:$D$434,$A167,Countries!$P$5:$P$434,"&gt;0"))</f>
        <v/>
      </c>
      <c r="G167" s="43">
        <f>IF(SUMIFS(Countries!$F$5:$F$434,Countries!$A$5:$A$434,"All landing pages",Countries!$B$5:$B$434,"Organic",Countries!$D$5:$D$434,$A167,Countries!$Q$5:$Q$434,"&gt;0")=0,"",SUMIFS(Countries!$Q$5:$Q$434,Countries!$A$5:$A$434,"All landing pages",Countries!$B$5:$B$434,"Organic",Countries!$D$5:$D$434,$A167,Countries!$F$5:$F$434,"&gt;0")/SUMIFS(Countries!$F$5:$F$434,Countries!$A$5:$A$434,"All landing pages",Countries!$B$5:$B$434,"Organic",Countries!$D$5:$D$434,$A167,Countries!$Q$5:$Q$434,"&gt;0"))</f>
        <v/>
      </c>
      <c r="H167" s="44">
        <f>IF(OR(F167="",G167=""),"",(G167-F167)*100)</f>
        <v/>
      </c>
      <c r="I167" s="73" t="n"/>
      <c r="J167" s="43">
        <f>IF(SUMIFS(Countries!$E$5:$E$434,Countries!$A$5:$A$434,"All landing pages",Countries!$B$5:$B$434,"Direct",Countries!$D$5:$D$434,$A167,Countries!$P$5:$P$434,"&gt;0")=0,"",SUMIFS(Countries!$P$5:$P$434,Countries!$A$5:$A$434,"All landing pages",Countries!$B$5:$B$434,"Direct",Countries!$D$5:$D$434,$A167,Countries!$E$5:$E$434,"&gt;0")/SUMIFS(Countries!$E$5:$E$434,Countries!$A$5:$A$434,"All landing pages",Countries!$B$5:$B$434,"Direct",Countries!$D$5:$D$434,$A167,Countries!$P$5:$P$434,"&gt;0"))</f>
        <v/>
      </c>
      <c r="K167" s="43">
        <f>IF(SUMIFS(Countries!$F$5:$F$434,Countries!$A$5:$A$434,"All landing pages",Countries!$B$5:$B$434,"Direct",Countries!$D$5:$D$434,$A167,Countries!$Q$5:$Q$434,"&gt;0")=0,"",SUMIFS(Countries!$Q$5:$Q$434,Countries!$A$5:$A$434,"All landing pages",Countries!$B$5:$B$434,"Direct",Countries!$D$5:$D$434,$A167,Countries!$F$5:$F$434,"&gt;0")/SUMIFS(Countries!$F$5:$F$434,Countries!$A$5:$A$434,"All landing pages",Countries!$B$5:$B$434,"Direct",Countries!$D$5:$D$434,$A167,Countries!$Q$5:$Q$434,"&gt;0"))</f>
        <v/>
      </c>
      <c r="L167" s="44">
        <f>IF(OR(J167="",K167=""),"",(K167-J167)*100)</f>
        <v/>
      </c>
      <c r="M167" s="73" t="n"/>
      <c r="N167" s="43">
        <f>IF(SUMIFS(Countries!$E$5:$E$434,Countries!$A$5:$A$434,"All landing pages",Countries!$D$5:$D$434,$A167,Countries!$P$5:$P$434,"&gt;0")=0,"",SUMIFS(Countries!$P$5:$P$434,Countries!$A$5:$A$434,"All landing pages",Countries!$D$5:$D$434,$A167,Countries!$E$5:$E$434,"&gt;0")/SUMIFS(Countries!$E$5:$E$434,Countries!$A$5:$A$434,"All landing pages",Countries!$D$5:$D$434,$A167,Countries!$P$5:$P$434,"&gt;0"))</f>
        <v/>
      </c>
      <c r="O167" s="43">
        <f>IF(SUMIFS(Countries!$F$5:$F$434,Countries!$A$5:$A$434,"All landing pages",Countries!$D$5:$D$434,$A167,Countries!$Q$5:$Q$434,"&gt;0")=0,"",SUMIFS(Countries!$Q$5:$Q$434,Countries!$A$5:$A$434,"All landing pages",Countries!$D$5:$D$434,$A167,Countries!$F$5:$F$434,"&gt;0")/SUMIFS(Countries!$F$5:$F$434,Countries!$A$5:$A$434,"All landing pages",Countries!$D$5:$D$434,$A167,Countries!$Q$5:$Q$434,"&gt;0"))</f>
        <v/>
      </c>
      <c r="P167" s="44">
        <f>IF(OR(N167="",O167=""),"",(O167-N167)*100)</f>
        <v/>
      </c>
      <c r="Q167" s="73" t="n"/>
    </row>
    <row r="168">
      <c r="A168" s="56" t="inlineStr">
        <is>
          <t>Sweden</t>
        </is>
      </c>
      <c r="B168" s="43">
        <f>IF(SUMIFS(Countries!$E$5:$E$434,Countries!$A$5:$A$434,"All landing pages",Countries!$B$5:$B$434,"Paid Search",Countries!$D$5:$D$434,$A168,Countries!$P$5:$P$434,"&gt;0")=0,"",SUMIFS(Countries!$P$5:$P$434,Countries!$A$5:$A$434,"All landing pages",Countries!$B$5:$B$434,"Paid Search",Countries!$D$5:$D$434,$A168,Countries!$E$5:$E$434,"&gt;0")/SUMIFS(Countries!$E$5:$E$434,Countries!$A$5:$A$434,"All landing pages",Countries!$B$5:$B$434,"Paid Search",Countries!$D$5:$D$434,$A168,Countries!$P$5:$P$434,"&gt;0"))</f>
        <v/>
      </c>
      <c r="C168" s="43">
        <f>IF(SUMIFS(Countries!$F$5:$F$434,Countries!$A$5:$A$434,"All landing pages",Countries!$B$5:$B$434,"Paid Search",Countries!$D$5:$D$434,$A168,Countries!$Q$5:$Q$434,"&gt;0")=0,"",SUMIFS(Countries!$Q$5:$Q$434,Countries!$A$5:$A$434,"All landing pages",Countries!$B$5:$B$434,"Paid Search",Countries!$D$5:$D$434,$A168,Countries!$F$5:$F$434,"&gt;0")/SUMIFS(Countries!$F$5:$F$434,Countries!$A$5:$A$434,"All landing pages",Countries!$B$5:$B$434,"Paid Search",Countries!$D$5:$D$434,$A168,Countries!$Q$5:$Q$434,"&gt;0"))</f>
        <v/>
      </c>
      <c r="D168" s="44">
        <f>IF(OR(B168="",C168=""),"",(C168-B168)*100)</f>
        <v/>
      </c>
      <c r="E168" s="73" t="n"/>
      <c r="F168" s="43">
        <f>IF(SUMIFS(Countries!$E$5:$E$434,Countries!$A$5:$A$434,"All landing pages",Countries!$B$5:$B$434,"Organic",Countries!$D$5:$D$434,$A168,Countries!$P$5:$P$434,"&gt;0")=0,"",SUMIFS(Countries!$P$5:$P$434,Countries!$A$5:$A$434,"All landing pages",Countries!$B$5:$B$434,"Organic",Countries!$D$5:$D$434,$A168,Countries!$E$5:$E$434,"&gt;0")/SUMIFS(Countries!$E$5:$E$434,Countries!$A$5:$A$434,"All landing pages",Countries!$B$5:$B$434,"Organic",Countries!$D$5:$D$434,$A168,Countries!$P$5:$P$434,"&gt;0"))</f>
        <v/>
      </c>
      <c r="G168" s="43">
        <f>IF(SUMIFS(Countries!$F$5:$F$434,Countries!$A$5:$A$434,"All landing pages",Countries!$B$5:$B$434,"Organic",Countries!$D$5:$D$434,$A168,Countries!$Q$5:$Q$434,"&gt;0")=0,"",SUMIFS(Countries!$Q$5:$Q$434,Countries!$A$5:$A$434,"All landing pages",Countries!$B$5:$B$434,"Organic",Countries!$D$5:$D$434,$A168,Countries!$F$5:$F$434,"&gt;0")/SUMIFS(Countries!$F$5:$F$434,Countries!$A$5:$A$434,"All landing pages",Countries!$B$5:$B$434,"Organic",Countries!$D$5:$D$434,$A168,Countries!$Q$5:$Q$434,"&gt;0"))</f>
        <v/>
      </c>
      <c r="H168" s="44">
        <f>IF(OR(F168="",G168=""),"",(G168-F168)*100)</f>
        <v/>
      </c>
      <c r="I168" s="73" t="n"/>
      <c r="J168" s="43">
        <f>IF(SUMIFS(Countries!$E$5:$E$434,Countries!$A$5:$A$434,"All landing pages",Countries!$B$5:$B$434,"Direct",Countries!$D$5:$D$434,$A168,Countries!$P$5:$P$434,"&gt;0")=0,"",SUMIFS(Countries!$P$5:$P$434,Countries!$A$5:$A$434,"All landing pages",Countries!$B$5:$B$434,"Direct",Countries!$D$5:$D$434,$A168,Countries!$E$5:$E$434,"&gt;0")/SUMIFS(Countries!$E$5:$E$434,Countries!$A$5:$A$434,"All landing pages",Countries!$B$5:$B$434,"Direct",Countries!$D$5:$D$434,$A168,Countries!$P$5:$P$434,"&gt;0"))</f>
        <v/>
      </c>
      <c r="K168" s="43">
        <f>IF(SUMIFS(Countries!$F$5:$F$434,Countries!$A$5:$A$434,"All landing pages",Countries!$B$5:$B$434,"Direct",Countries!$D$5:$D$434,$A168,Countries!$Q$5:$Q$434,"&gt;0")=0,"",SUMIFS(Countries!$Q$5:$Q$434,Countries!$A$5:$A$434,"All landing pages",Countries!$B$5:$B$434,"Direct",Countries!$D$5:$D$434,$A168,Countries!$F$5:$F$434,"&gt;0")/SUMIFS(Countries!$F$5:$F$434,Countries!$A$5:$A$434,"All landing pages",Countries!$B$5:$B$434,"Direct",Countries!$D$5:$D$434,$A168,Countries!$Q$5:$Q$434,"&gt;0"))</f>
        <v/>
      </c>
      <c r="L168" s="44">
        <f>IF(OR(J168="",K168=""),"",(K168-J168)*100)</f>
        <v/>
      </c>
      <c r="M168" s="73" t="n"/>
      <c r="N168" s="43">
        <f>IF(SUMIFS(Countries!$E$5:$E$434,Countries!$A$5:$A$434,"All landing pages",Countries!$D$5:$D$434,$A168,Countries!$P$5:$P$434,"&gt;0")=0,"",SUMIFS(Countries!$P$5:$P$434,Countries!$A$5:$A$434,"All landing pages",Countries!$D$5:$D$434,$A168,Countries!$E$5:$E$434,"&gt;0")/SUMIFS(Countries!$E$5:$E$434,Countries!$A$5:$A$434,"All landing pages",Countries!$D$5:$D$434,$A168,Countries!$P$5:$P$434,"&gt;0"))</f>
        <v/>
      </c>
      <c r="O168" s="43">
        <f>IF(SUMIFS(Countries!$F$5:$F$434,Countries!$A$5:$A$434,"All landing pages",Countries!$D$5:$D$434,$A168,Countries!$Q$5:$Q$434,"&gt;0")=0,"",SUMIFS(Countries!$Q$5:$Q$434,Countries!$A$5:$A$434,"All landing pages",Countries!$D$5:$D$434,$A168,Countries!$F$5:$F$434,"&gt;0")/SUMIFS(Countries!$F$5:$F$434,Countries!$A$5:$A$434,"All landing pages",Countries!$D$5:$D$434,$A168,Countries!$Q$5:$Q$434,"&gt;0"))</f>
        <v/>
      </c>
      <c r="P168" s="44">
        <f>IF(OR(N168="",O168=""),"",(O168-N168)*100)</f>
        <v/>
      </c>
      <c r="Q168" s="73" t="n"/>
    </row>
    <row r="169">
      <c r="A169" s="40" t="inlineStr">
        <is>
          <t>Belgium</t>
        </is>
      </c>
      <c r="B169" s="43">
        <f>IF(SUMIFS(Countries!$E$5:$E$434,Countries!$A$5:$A$434,"All landing pages",Countries!$B$5:$B$434,"Paid Search",Countries!$D$5:$D$434,$A169,Countries!$P$5:$P$434,"&gt;0")=0,"",SUMIFS(Countries!$P$5:$P$434,Countries!$A$5:$A$434,"All landing pages",Countries!$B$5:$B$434,"Paid Search",Countries!$D$5:$D$434,$A169,Countries!$E$5:$E$434,"&gt;0")/SUMIFS(Countries!$E$5:$E$434,Countries!$A$5:$A$434,"All landing pages",Countries!$B$5:$B$434,"Paid Search",Countries!$D$5:$D$434,$A169,Countries!$P$5:$P$434,"&gt;0"))</f>
        <v/>
      </c>
      <c r="C169" s="43">
        <f>IF(SUMIFS(Countries!$F$5:$F$434,Countries!$A$5:$A$434,"All landing pages",Countries!$B$5:$B$434,"Paid Search",Countries!$D$5:$D$434,$A169,Countries!$Q$5:$Q$434,"&gt;0")=0,"",SUMIFS(Countries!$Q$5:$Q$434,Countries!$A$5:$A$434,"All landing pages",Countries!$B$5:$B$434,"Paid Search",Countries!$D$5:$D$434,$A169,Countries!$F$5:$F$434,"&gt;0")/SUMIFS(Countries!$F$5:$F$434,Countries!$A$5:$A$434,"All landing pages",Countries!$B$5:$B$434,"Paid Search",Countries!$D$5:$D$434,$A169,Countries!$Q$5:$Q$434,"&gt;0"))</f>
        <v/>
      </c>
      <c r="D169" s="44">
        <f>IF(OR(B169="",C169=""),"",(C169-B169)*100)</f>
        <v/>
      </c>
      <c r="E169" s="73" t="n"/>
      <c r="F169" s="43">
        <f>IF(SUMIFS(Countries!$E$5:$E$434,Countries!$A$5:$A$434,"All landing pages",Countries!$B$5:$B$434,"Organic",Countries!$D$5:$D$434,$A169,Countries!$P$5:$P$434,"&gt;0")=0,"",SUMIFS(Countries!$P$5:$P$434,Countries!$A$5:$A$434,"All landing pages",Countries!$B$5:$B$434,"Organic",Countries!$D$5:$D$434,$A169,Countries!$E$5:$E$434,"&gt;0")/SUMIFS(Countries!$E$5:$E$434,Countries!$A$5:$A$434,"All landing pages",Countries!$B$5:$B$434,"Organic",Countries!$D$5:$D$434,$A169,Countries!$P$5:$P$434,"&gt;0"))</f>
        <v/>
      </c>
      <c r="G169" s="43">
        <f>IF(SUMIFS(Countries!$F$5:$F$434,Countries!$A$5:$A$434,"All landing pages",Countries!$B$5:$B$434,"Organic",Countries!$D$5:$D$434,$A169,Countries!$Q$5:$Q$434,"&gt;0")=0,"",SUMIFS(Countries!$Q$5:$Q$434,Countries!$A$5:$A$434,"All landing pages",Countries!$B$5:$B$434,"Organic",Countries!$D$5:$D$434,$A169,Countries!$F$5:$F$434,"&gt;0")/SUMIFS(Countries!$F$5:$F$434,Countries!$A$5:$A$434,"All landing pages",Countries!$B$5:$B$434,"Organic",Countries!$D$5:$D$434,$A169,Countries!$Q$5:$Q$434,"&gt;0"))</f>
        <v/>
      </c>
      <c r="H169" s="44">
        <f>IF(OR(F169="",G169=""),"",(G169-F169)*100)</f>
        <v/>
      </c>
      <c r="I169" s="73" t="n"/>
      <c r="J169" s="43">
        <f>IF(SUMIFS(Countries!$E$5:$E$434,Countries!$A$5:$A$434,"All landing pages",Countries!$B$5:$B$434,"Direct",Countries!$D$5:$D$434,$A169,Countries!$P$5:$P$434,"&gt;0")=0,"",SUMIFS(Countries!$P$5:$P$434,Countries!$A$5:$A$434,"All landing pages",Countries!$B$5:$B$434,"Direct",Countries!$D$5:$D$434,$A169,Countries!$E$5:$E$434,"&gt;0")/SUMIFS(Countries!$E$5:$E$434,Countries!$A$5:$A$434,"All landing pages",Countries!$B$5:$B$434,"Direct",Countries!$D$5:$D$434,$A169,Countries!$P$5:$P$434,"&gt;0"))</f>
        <v/>
      </c>
      <c r="K169" s="43">
        <f>IF(SUMIFS(Countries!$F$5:$F$434,Countries!$A$5:$A$434,"All landing pages",Countries!$B$5:$B$434,"Direct",Countries!$D$5:$D$434,$A169,Countries!$Q$5:$Q$434,"&gt;0")=0,"",SUMIFS(Countries!$Q$5:$Q$434,Countries!$A$5:$A$434,"All landing pages",Countries!$B$5:$B$434,"Direct",Countries!$D$5:$D$434,$A169,Countries!$F$5:$F$434,"&gt;0")/SUMIFS(Countries!$F$5:$F$434,Countries!$A$5:$A$434,"All landing pages",Countries!$B$5:$B$434,"Direct",Countries!$D$5:$D$434,$A169,Countries!$Q$5:$Q$434,"&gt;0"))</f>
        <v/>
      </c>
      <c r="L169" s="44">
        <f>IF(OR(J169="",K169=""),"",(K169-J169)*100)</f>
        <v/>
      </c>
      <c r="M169" s="73" t="n"/>
      <c r="N169" s="43">
        <f>IF(SUMIFS(Countries!$E$5:$E$434,Countries!$A$5:$A$434,"All landing pages",Countries!$D$5:$D$434,$A169,Countries!$P$5:$P$434,"&gt;0")=0,"",SUMIFS(Countries!$P$5:$P$434,Countries!$A$5:$A$434,"All landing pages",Countries!$D$5:$D$434,$A169,Countries!$E$5:$E$434,"&gt;0")/SUMIFS(Countries!$E$5:$E$434,Countries!$A$5:$A$434,"All landing pages",Countries!$D$5:$D$434,$A169,Countries!$P$5:$P$434,"&gt;0"))</f>
        <v/>
      </c>
      <c r="O169" s="43">
        <f>IF(SUMIFS(Countries!$F$5:$F$434,Countries!$A$5:$A$434,"All landing pages",Countries!$D$5:$D$434,$A169,Countries!$Q$5:$Q$434,"&gt;0")=0,"",SUMIFS(Countries!$Q$5:$Q$434,Countries!$A$5:$A$434,"All landing pages",Countries!$D$5:$D$434,$A169,Countries!$F$5:$F$434,"&gt;0")/SUMIFS(Countries!$F$5:$F$434,Countries!$A$5:$A$434,"All landing pages",Countries!$D$5:$D$434,$A169,Countries!$Q$5:$Q$434,"&gt;0"))</f>
        <v/>
      </c>
      <c r="P169" s="44">
        <f>IF(OR(N169="",O169=""),"",(O169-N169)*100)</f>
        <v/>
      </c>
      <c r="Q169" s="73" t="n"/>
    </row>
    <row r="170">
      <c r="A170" s="56" t="inlineStr">
        <is>
          <t>Austria</t>
        </is>
      </c>
      <c r="B170" s="43">
        <f>IF(SUMIFS(Countries!$E$5:$E$434,Countries!$A$5:$A$434,"All landing pages",Countries!$B$5:$B$434,"Paid Search",Countries!$D$5:$D$434,$A170,Countries!$P$5:$P$434,"&gt;0")=0,"",SUMIFS(Countries!$P$5:$P$434,Countries!$A$5:$A$434,"All landing pages",Countries!$B$5:$B$434,"Paid Search",Countries!$D$5:$D$434,$A170,Countries!$E$5:$E$434,"&gt;0")/SUMIFS(Countries!$E$5:$E$434,Countries!$A$5:$A$434,"All landing pages",Countries!$B$5:$B$434,"Paid Search",Countries!$D$5:$D$434,$A170,Countries!$P$5:$P$434,"&gt;0"))</f>
        <v/>
      </c>
      <c r="C170" s="43">
        <f>IF(SUMIFS(Countries!$F$5:$F$434,Countries!$A$5:$A$434,"All landing pages",Countries!$B$5:$B$434,"Paid Search",Countries!$D$5:$D$434,$A170,Countries!$Q$5:$Q$434,"&gt;0")=0,"",SUMIFS(Countries!$Q$5:$Q$434,Countries!$A$5:$A$434,"All landing pages",Countries!$B$5:$B$434,"Paid Search",Countries!$D$5:$D$434,$A170,Countries!$F$5:$F$434,"&gt;0")/SUMIFS(Countries!$F$5:$F$434,Countries!$A$5:$A$434,"All landing pages",Countries!$B$5:$B$434,"Paid Search",Countries!$D$5:$D$434,$A170,Countries!$Q$5:$Q$434,"&gt;0"))</f>
        <v/>
      </c>
      <c r="D170" s="44">
        <f>IF(OR(B170="",C170=""),"",(C170-B170)*100)</f>
        <v/>
      </c>
      <c r="E170" s="73" t="n"/>
      <c r="F170" s="43">
        <f>IF(SUMIFS(Countries!$E$5:$E$434,Countries!$A$5:$A$434,"All landing pages",Countries!$B$5:$B$434,"Organic",Countries!$D$5:$D$434,$A170,Countries!$P$5:$P$434,"&gt;0")=0,"",SUMIFS(Countries!$P$5:$P$434,Countries!$A$5:$A$434,"All landing pages",Countries!$B$5:$B$434,"Organic",Countries!$D$5:$D$434,$A170,Countries!$E$5:$E$434,"&gt;0")/SUMIFS(Countries!$E$5:$E$434,Countries!$A$5:$A$434,"All landing pages",Countries!$B$5:$B$434,"Organic",Countries!$D$5:$D$434,$A170,Countries!$P$5:$P$434,"&gt;0"))</f>
        <v/>
      </c>
      <c r="G170" s="43">
        <f>IF(SUMIFS(Countries!$F$5:$F$434,Countries!$A$5:$A$434,"All landing pages",Countries!$B$5:$B$434,"Organic",Countries!$D$5:$D$434,$A170,Countries!$Q$5:$Q$434,"&gt;0")=0,"",SUMIFS(Countries!$Q$5:$Q$434,Countries!$A$5:$A$434,"All landing pages",Countries!$B$5:$B$434,"Organic",Countries!$D$5:$D$434,$A170,Countries!$F$5:$F$434,"&gt;0")/SUMIFS(Countries!$F$5:$F$434,Countries!$A$5:$A$434,"All landing pages",Countries!$B$5:$B$434,"Organic",Countries!$D$5:$D$434,$A170,Countries!$Q$5:$Q$434,"&gt;0"))</f>
        <v/>
      </c>
      <c r="H170" s="44">
        <f>IF(OR(F170="",G170=""),"",(G170-F170)*100)</f>
        <v/>
      </c>
      <c r="I170" s="73" t="n"/>
      <c r="J170" s="43">
        <f>IF(SUMIFS(Countries!$E$5:$E$434,Countries!$A$5:$A$434,"All landing pages",Countries!$B$5:$B$434,"Direct",Countries!$D$5:$D$434,$A170,Countries!$P$5:$P$434,"&gt;0")=0,"",SUMIFS(Countries!$P$5:$P$434,Countries!$A$5:$A$434,"All landing pages",Countries!$B$5:$B$434,"Direct",Countries!$D$5:$D$434,$A170,Countries!$E$5:$E$434,"&gt;0")/SUMIFS(Countries!$E$5:$E$434,Countries!$A$5:$A$434,"All landing pages",Countries!$B$5:$B$434,"Direct",Countries!$D$5:$D$434,$A170,Countries!$P$5:$P$434,"&gt;0"))</f>
        <v/>
      </c>
      <c r="K170" s="43">
        <f>IF(SUMIFS(Countries!$F$5:$F$434,Countries!$A$5:$A$434,"All landing pages",Countries!$B$5:$B$434,"Direct",Countries!$D$5:$D$434,$A170,Countries!$Q$5:$Q$434,"&gt;0")=0,"",SUMIFS(Countries!$Q$5:$Q$434,Countries!$A$5:$A$434,"All landing pages",Countries!$B$5:$B$434,"Direct",Countries!$D$5:$D$434,$A170,Countries!$F$5:$F$434,"&gt;0")/SUMIFS(Countries!$F$5:$F$434,Countries!$A$5:$A$434,"All landing pages",Countries!$B$5:$B$434,"Direct",Countries!$D$5:$D$434,$A170,Countries!$Q$5:$Q$434,"&gt;0"))</f>
        <v/>
      </c>
      <c r="L170" s="44">
        <f>IF(OR(J170="",K170=""),"",(K170-J170)*100)</f>
        <v/>
      </c>
      <c r="M170" s="73" t="n"/>
      <c r="N170" s="43">
        <f>IF(SUMIFS(Countries!$E$5:$E$434,Countries!$A$5:$A$434,"All landing pages",Countries!$D$5:$D$434,$A170,Countries!$P$5:$P$434,"&gt;0")=0,"",SUMIFS(Countries!$P$5:$P$434,Countries!$A$5:$A$434,"All landing pages",Countries!$D$5:$D$434,$A170,Countries!$E$5:$E$434,"&gt;0")/SUMIFS(Countries!$E$5:$E$434,Countries!$A$5:$A$434,"All landing pages",Countries!$D$5:$D$434,$A170,Countries!$P$5:$P$434,"&gt;0"))</f>
        <v/>
      </c>
      <c r="O170" s="43">
        <f>IF(SUMIFS(Countries!$F$5:$F$434,Countries!$A$5:$A$434,"All landing pages",Countries!$D$5:$D$434,$A170,Countries!$Q$5:$Q$434,"&gt;0")=0,"",SUMIFS(Countries!$Q$5:$Q$434,Countries!$A$5:$A$434,"All landing pages",Countries!$D$5:$D$434,$A170,Countries!$F$5:$F$434,"&gt;0")/SUMIFS(Countries!$F$5:$F$434,Countries!$A$5:$A$434,"All landing pages",Countries!$D$5:$D$434,$A170,Countries!$Q$5:$Q$434,"&gt;0"))</f>
        <v/>
      </c>
      <c r="P170" s="44">
        <f>IF(OR(N170="",O170=""),"",(O170-N170)*100)</f>
        <v/>
      </c>
      <c r="Q170" s="73" t="n"/>
    </row>
    <row r="171">
      <c r="A171" s="40" t="inlineStr">
        <is>
          <t>Denmark</t>
        </is>
      </c>
      <c r="B171" s="43">
        <f>IF(SUMIFS(Countries!$E$5:$E$434,Countries!$A$5:$A$434,"All landing pages",Countries!$B$5:$B$434,"Paid Search",Countries!$D$5:$D$434,$A171,Countries!$P$5:$P$434,"&gt;0")=0,"",SUMIFS(Countries!$P$5:$P$434,Countries!$A$5:$A$434,"All landing pages",Countries!$B$5:$B$434,"Paid Search",Countries!$D$5:$D$434,$A171,Countries!$E$5:$E$434,"&gt;0")/SUMIFS(Countries!$E$5:$E$434,Countries!$A$5:$A$434,"All landing pages",Countries!$B$5:$B$434,"Paid Search",Countries!$D$5:$D$434,$A171,Countries!$P$5:$P$434,"&gt;0"))</f>
        <v/>
      </c>
      <c r="C171" s="43">
        <f>IF(SUMIFS(Countries!$F$5:$F$434,Countries!$A$5:$A$434,"All landing pages",Countries!$B$5:$B$434,"Paid Search",Countries!$D$5:$D$434,$A171,Countries!$Q$5:$Q$434,"&gt;0")=0,"",SUMIFS(Countries!$Q$5:$Q$434,Countries!$A$5:$A$434,"All landing pages",Countries!$B$5:$B$434,"Paid Search",Countries!$D$5:$D$434,$A171,Countries!$F$5:$F$434,"&gt;0")/SUMIFS(Countries!$F$5:$F$434,Countries!$A$5:$A$434,"All landing pages",Countries!$B$5:$B$434,"Paid Search",Countries!$D$5:$D$434,$A171,Countries!$Q$5:$Q$434,"&gt;0"))</f>
        <v/>
      </c>
      <c r="D171" s="44">
        <f>IF(OR(B171="",C171=""),"",(C171-B171)*100)</f>
        <v/>
      </c>
      <c r="E171" s="73" t="n"/>
      <c r="F171" s="43">
        <f>IF(SUMIFS(Countries!$E$5:$E$434,Countries!$A$5:$A$434,"All landing pages",Countries!$B$5:$B$434,"Organic",Countries!$D$5:$D$434,$A171,Countries!$P$5:$P$434,"&gt;0")=0,"",SUMIFS(Countries!$P$5:$P$434,Countries!$A$5:$A$434,"All landing pages",Countries!$B$5:$B$434,"Organic",Countries!$D$5:$D$434,$A171,Countries!$E$5:$E$434,"&gt;0")/SUMIFS(Countries!$E$5:$E$434,Countries!$A$5:$A$434,"All landing pages",Countries!$B$5:$B$434,"Organic",Countries!$D$5:$D$434,$A171,Countries!$P$5:$P$434,"&gt;0"))</f>
        <v/>
      </c>
      <c r="G171" s="43">
        <f>IF(SUMIFS(Countries!$F$5:$F$434,Countries!$A$5:$A$434,"All landing pages",Countries!$B$5:$B$434,"Organic",Countries!$D$5:$D$434,$A171,Countries!$Q$5:$Q$434,"&gt;0")=0,"",SUMIFS(Countries!$Q$5:$Q$434,Countries!$A$5:$A$434,"All landing pages",Countries!$B$5:$B$434,"Organic",Countries!$D$5:$D$434,$A171,Countries!$F$5:$F$434,"&gt;0")/SUMIFS(Countries!$F$5:$F$434,Countries!$A$5:$A$434,"All landing pages",Countries!$B$5:$B$434,"Organic",Countries!$D$5:$D$434,$A171,Countries!$Q$5:$Q$434,"&gt;0"))</f>
        <v/>
      </c>
      <c r="H171" s="44">
        <f>IF(OR(F171="",G171=""),"",(G171-F171)*100)</f>
        <v/>
      </c>
      <c r="I171" s="73" t="n"/>
      <c r="J171" s="43">
        <f>IF(SUMIFS(Countries!$E$5:$E$434,Countries!$A$5:$A$434,"All landing pages",Countries!$B$5:$B$434,"Direct",Countries!$D$5:$D$434,$A171,Countries!$P$5:$P$434,"&gt;0")=0,"",SUMIFS(Countries!$P$5:$P$434,Countries!$A$5:$A$434,"All landing pages",Countries!$B$5:$B$434,"Direct",Countries!$D$5:$D$434,$A171,Countries!$E$5:$E$434,"&gt;0")/SUMIFS(Countries!$E$5:$E$434,Countries!$A$5:$A$434,"All landing pages",Countries!$B$5:$B$434,"Direct",Countries!$D$5:$D$434,$A171,Countries!$P$5:$P$434,"&gt;0"))</f>
        <v/>
      </c>
      <c r="K171" s="43">
        <f>IF(SUMIFS(Countries!$F$5:$F$434,Countries!$A$5:$A$434,"All landing pages",Countries!$B$5:$B$434,"Direct",Countries!$D$5:$D$434,$A171,Countries!$Q$5:$Q$434,"&gt;0")=0,"",SUMIFS(Countries!$Q$5:$Q$434,Countries!$A$5:$A$434,"All landing pages",Countries!$B$5:$B$434,"Direct",Countries!$D$5:$D$434,$A171,Countries!$F$5:$F$434,"&gt;0")/SUMIFS(Countries!$F$5:$F$434,Countries!$A$5:$A$434,"All landing pages",Countries!$B$5:$B$434,"Direct",Countries!$D$5:$D$434,$A171,Countries!$Q$5:$Q$434,"&gt;0"))</f>
        <v/>
      </c>
      <c r="L171" s="44">
        <f>IF(OR(J171="",K171=""),"",(K171-J171)*100)</f>
        <v/>
      </c>
      <c r="M171" s="73" t="n"/>
      <c r="N171" s="43">
        <f>IF(SUMIFS(Countries!$E$5:$E$434,Countries!$A$5:$A$434,"All landing pages",Countries!$D$5:$D$434,$A171,Countries!$P$5:$P$434,"&gt;0")=0,"",SUMIFS(Countries!$P$5:$P$434,Countries!$A$5:$A$434,"All landing pages",Countries!$D$5:$D$434,$A171,Countries!$E$5:$E$434,"&gt;0")/SUMIFS(Countries!$E$5:$E$434,Countries!$A$5:$A$434,"All landing pages",Countries!$D$5:$D$434,$A171,Countries!$P$5:$P$434,"&gt;0"))</f>
        <v/>
      </c>
      <c r="O171" s="43">
        <f>IF(SUMIFS(Countries!$F$5:$F$434,Countries!$A$5:$A$434,"All landing pages",Countries!$D$5:$D$434,$A171,Countries!$Q$5:$Q$434,"&gt;0")=0,"",SUMIFS(Countries!$Q$5:$Q$434,Countries!$A$5:$A$434,"All landing pages",Countries!$D$5:$D$434,$A171,Countries!$F$5:$F$434,"&gt;0")/SUMIFS(Countries!$F$5:$F$434,Countries!$A$5:$A$434,"All landing pages",Countries!$D$5:$D$434,$A171,Countries!$Q$5:$Q$434,"&gt;0"))</f>
        <v/>
      </c>
      <c r="P171" s="44">
        <f>IF(OR(N171="",O171=""),"",(O171-N171)*100)</f>
        <v/>
      </c>
      <c r="Q171" s="73" t="n"/>
    </row>
    <row r="172">
      <c r="A172" s="56" t="inlineStr">
        <is>
          <t>Norway</t>
        </is>
      </c>
      <c r="B172" s="43">
        <f>IF(SUMIFS(Countries!$E$5:$E$434,Countries!$A$5:$A$434,"All landing pages",Countries!$B$5:$B$434,"Paid Search",Countries!$D$5:$D$434,$A172,Countries!$P$5:$P$434,"&gt;0")=0,"",SUMIFS(Countries!$P$5:$P$434,Countries!$A$5:$A$434,"All landing pages",Countries!$B$5:$B$434,"Paid Search",Countries!$D$5:$D$434,$A172,Countries!$E$5:$E$434,"&gt;0")/SUMIFS(Countries!$E$5:$E$434,Countries!$A$5:$A$434,"All landing pages",Countries!$B$5:$B$434,"Paid Search",Countries!$D$5:$D$434,$A172,Countries!$P$5:$P$434,"&gt;0"))</f>
        <v/>
      </c>
      <c r="C172" s="43">
        <f>IF(SUMIFS(Countries!$F$5:$F$434,Countries!$A$5:$A$434,"All landing pages",Countries!$B$5:$B$434,"Paid Search",Countries!$D$5:$D$434,$A172,Countries!$Q$5:$Q$434,"&gt;0")=0,"",SUMIFS(Countries!$Q$5:$Q$434,Countries!$A$5:$A$434,"All landing pages",Countries!$B$5:$B$434,"Paid Search",Countries!$D$5:$D$434,$A172,Countries!$F$5:$F$434,"&gt;0")/SUMIFS(Countries!$F$5:$F$434,Countries!$A$5:$A$434,"All landing pages",Countries!$B$5:$B$434,"Paid Search",Countries!$D$5:$D$434,$A172,Countries!$Q$5:$Q$434,"&gt;0"))</f>
        <v/>
      </c>
      <c r="D172" s="44">
        <f>IF(OR(B172="",C172=""),"",(C172-B172)*100)</f>
        <v/>
      </c>
      <c r="E172" s="73" t="n"/>
      <c r="F172" s="43">
        <f>IF(SUMIFS(Countries!$E$5:$E$434,Countries!$A$5:$A$434,"All landing pages",Countries!$B$5:$B$434,"Organic",Countries!$D$5:$D$434,$A172,Countries!$P$5:$P$434,"&gt;0")=0,"",SUMIFS(Countries!$P$5:$P$434,Countries!$A$5:$A$434,"All landing pages",Countries!$B$5:$B$434,"Organic",Countries!$D$5:$D$434,$A172,Countries!$E$5:$E$434,"&gt;0")/SUMIFS(Countries!$E$5:$E$434,Countries!$A$5:$A$434,"All landing pages",Countries!$B$5:$B$434,"Organic",Countries!$D$5:$D$434,$A172,Countries!$P$5:$P$434,"&gt;0"))</f>
        <v/>
      </c>
      <c r="G172" s="43">
        <f>IF(SUMIFS(Countries!$F$5:$F$434,Countries!$A$5:$A$434,"All landing pages",Countries!$B$5:$B$434,"Organic",Countries!$D$5:$D$434,$A172,Countries!$Q$5:$Q$434,"&gt;0")=0,"",SUMIFS(Countries!$Q$5:$Q$434,Countries!$A$5:$A$434,"All landing pages",Countries!$B$5:$B$434,"Organic",Countries!$D$5:$D$434,$A172,Countries!$F$5:$F$434,"&gt;0")/SUMIFS(Countries!$F$5:$F$434,Countries!$A$5:$A$434,"All landing pages",Countries!$B$5:$B$434,"Organic",Countries!$D$5:$D$434,$A172,Countries!$Q$5:$Q$434,"&gt;0"))</f>
        <v/>
      </c>
      <c r="H172" s="44">
        <f>IF(OR(F172="",G172=""),"",(G172-F172)*100)</f>
        <v/>
      </c>
      <c r="I172" s="73" t="n"/>
      <c r="J172" s="43">
        <f>IF(SUMIFS(Countries!$E$5:$E$434,Countries!$A$5:$A$434,"All landing pages",Countries!$B$5:$B$434,"Direct",Countries!$D$5:$D$434,$A172,Countries!$P$5:$P$434,"&gt;0")=0,"",SUMIFS(Countries!$P$5:$P$434,Countries!$A$5:$A$434,"All landing pages",Countries!$B$5:$B$434,"Direct",Countries!$D$5:$D$434,$A172,Countries!$E$5:$E$434,"&gt;0")/SUMIFS(Countries!$E$5:$E$434,Countries!$A$5:$A$434,"All landing pages",Countries!$B$5:$B$434,"Direct",Countries!$D$5:$D$434,$A172,Countries!$P$5:$P$434,"&gt;0"))</f>
        <v/>
      </c>
      <c r="K172" s="43">
        <f>IF(SUMIFS(Countries!$F$5:$F$434,Countries!$A$5:$A$434,"All landing pages",Countries!$B$5:$B$434,"Direct",Countries!$D$5:$D$434,$A172,Countries!$Q$5:$Q$434,"&gt;0")=0,"",SUMIFS(Countries!$Q$5:$Q$434,Countries!$A$5:$A$434,"All landing pages",Countries!$B$5:$B$434,"Direct",Countries!$D$5:$D$434,$A172,Countries!$F$5:$F$434,"&gt;0")/SUMIFS(Countries!$F$5:$F$434,Countries!$A$5:$A$434,"All landing pages",Countries!$B$5:$B$434,"Direct",Countries!$D$5:$D$434,$A172,Countries!$Q$5:$Q$434,"&gt;0"))</f>
        <v/>
      </c>
      <c r="L172" s="44">
        <f>IF(OR(J172="",K172=""),"",(K172-J172)*100)</f>
        <v/>
      </c>
      <c r="M172" s="73" t="n"/>
      <c r="N172" s="43">
        <f>IF(SUMIFS(Countries!$E$5:$E$434,Countries!$A$5:$A$434,"All landing pages",Countries!$D$5:$D$434,$A172,Countries!$P$5:$P$434,"&gt;0")=0,"",SUMIFS(Countries!$P$5:$P$434,Countries!$A$5:$A$434,"All landing pages",Countries!$D$5:$D$434,$A172,Countries!$E$5:$E$434,"&gt;0")/SUMIFS(Countries!$E$5:$E$434,Countries!$A$5:$A$434,"All landing pages",Countries!$D$5:$D$434,$A172,Countries!$P$5:$P$434,"&gt;0"))</f>
        <v/>
      </c>
      <c r="O172" s="43">
        <f>IF(SUMIFS(Countries!$F$5:$F$434,Countries!$A$5:$A$434,"All landing pages",Countries!$D$5:$D$434,$A172,Countries!$Q$5:$Q$434,"&gt;0")=0,"",SUMIFS(Countries!$Q$5:$Q$434,Countries!$A$5:$A$434,"All landing pages",Countries!$D$5:$D$434,$A172,Countries!$F$5:$F$434,"&gt;0")/SUMIFS(Countries!$F$5:$F$434,Countries!$A$5:$A$434,"All landing pages",Countries!$D$5:$D$434,$A172,Countries!$Q$5:$Q$434,"&gt;0"))</f>
        <v/>
      </c>
      <c r="P172" s="44">
        <f>IF(OR(N172="",O172=""),"",(O172-N172)*100)</f>
        <v/>
      </c>
      <c r="Q172" s="73" t="n"/>
    </row>
    <row r="173">
      <c r="A173" s="40" t="inlineStr">
        <is>
          <t>Finland</t>
        </is>
      </c>
      <c r="B173" s="43">
        <f>IF(SUMIFS(Countries!$E$5:$E$434,Countries!$A$5:$A$434,"All landing pages",Countries!$B$5:$B$434,"Paid Search",Countries!$D$5:$D$434,$A173,Countries!$P$5:$P$434,"&gt;0")=0,"",SUMIFS(Countries!$P$5:$P$434,Countries!$A$5:$A$434,"All landing pages",Countries!$B$5:$B$434,"Paid Search",Countries!$D$5:$D$434,$A173,Countries!$E$5:$E$434,"&gt;0")/SUMIFS(Countries!$E$5:$E$434,Countries!$A$5:$A$434,"All landing pages",Countries!$B$5:$B$434,"Paid Search",Countries!$D$5:$D$434,$A173,Countries!$P$5:$P$434,"&gt;0"))</f>
        <v/>
      </c>
      <c r="C173" s="43">
        <f>IF(SUMIFS(Countries!$F$5:$F$434,Countries!$A$5:$A$434,"All landing pages",Countries!$B$5:$B$434,"Paid Search",Countries!$D$5:$D$434,$A173,Countries!$Q$5:$Q$434,"&gt;0")=0,"",SUMIFS(Countries!$Q$5:$Q$434,Countries!$A$5:$A$434,"All landing pages",Countries!$B$5:$B$434,"Paid Search",Countries!$D$5:$D$434,$A173,Countries!$F$5:$F$434,"&gt;0")/SUMIFS(Countries!$F$5:$F$434,Countries!$A$5:$A$434,"All landing pages",Countries!$B$5:$B$434,"Paid Search",Countries!$D$5:$D$434,$A173,Countries!$Q$5:$Q$434,"&gt;0"))</f>
        <v/>
      </c>
      <c r="D173" s="44">
        <f>IF(OR(B173="",C173=""),"",(C173-B173)*100)</f>
        <v/>
      </c>
      <c r="E173" s="73" t="n"/>
      <c r="F173" s="43">
        <f>IF(SUMIFS(Countries!$E$5:$E$434,Countries!$A$5:$A$434,"All landing pages",Countries!$B$5:$B$434,"Organic",Countries!$D$5:$D$434,$A173,Countries!$P$5:$P$434,"&gt;0")=0,"",SUMIFS(Countries!$P$5:$P$434,Countries!$A$5:$A$434,"All landing pages",Countries!$B$5:$B$434,"Organic",Countries!$D$5:$D$434,$A173,Countries!$E$5:$E$434,"&gt;0")/SUMIFS(Countries!$E$5:$E$434,Countries!$A$5:$A$434,"All landing pages",Countries!$B$5:$B$434,"Organic",Countries!$D$5:$D$434,$A173,Countries!$P$5:$P$434,"&gt;0"))</f>
        <v/>
      </c>
      <c r="G173" s="43">
        <f>IF(SUMIFS(Countries!$F$5:$F$434,Countries!$A$5:$A$434,"All landing pages",Countries!$B$5:$B$434,"Organic",Countries!$D$5:$D$434,$A173,Countries!$Q$5:$Q$434,"&gt;0")=0,"",SUMIFS(Countries!$Q$5:$Q$434,Countries!$A$5:$A$434,"All landing pages",Countries!$B$5:$B$434,"Organic",Countries!$D$5:$D$434,$A173,Countries!$F$5:$F$434,"&gt;0")/SUMIFS(Countries!$F$5:$F$434,Countries!$A$5:$A$434,"All landing pages",Countries!$B$5:$B$434,"Organic",Countries!$D$5:$D$434,$A173,Countries!$Q$5:$Q$434,"&gt;0"))</f>
        <v/>
      </c>
      <c r="H173" s="44">
        <f>IF(OR(F173="",G173=""),"",(G173-F173)*100)</f>
        <v/>
      </c>
      <c r="I173" s="73" t="n"/>
      <c r="J173" s="43">
        <f>IF(SUMIFS(Countries!$E$5:$E$434,Countries!$A$5:$A$434,"All landing pages",Countries!$B$5:$B$434,"Direct",Countries!$D$5:$D$434,$A173,Countries!$P$5:$P$434,"&gt;0")=0,"",SUMIFS(Countries!$P$5:$P$434,Countries!$A$5:$A$434,"All landing pages",Countries!$B$5:$B$434,"Direct",Countries!$D$5:$D$434,$A173,Countries!$E$5:$E$434,"&gt;0")/SUMIFS(Countries!$E$5:$E$434,Countries!$A$5:$A$434,"All landing pages",Countries!$B$5:$B$434,"Direct",Countries!$D$5:$D$434,$A173,Countries!$P$5:$P$434,"&gt;0"))</f>
        <v/>
      </c>
      <c r="K173" s="43">
        <f>IF(SUMIFS(Countries!$F$5:$F$434,Countries!$A$5:$A$434,"All landing pages",Countries!$B$5:$B$434,"Direct",Countries!$D$5:$D$434,$A173,Countries!$Q$5:$Q$434,"&gt;0")=0,"",SUMIFS(Countries!$Q$5:$Q$434,Countries!$A$5:$A$434,"All landing pages",Countries!$B$5:$B$434,"Direct",Countries!$D$5:$D$434,$A173,Countries!$F$5:$F$434,"&gt;0")/SUMIFS(Countries!$F$5:$F$434,Countries!$A$5:$A$434,"All landing pages",Countries!$B$5:$B$434,"Direct",Countries!$D$5:$D$434,$A173,Countries!$Q$5:$Q$434,"&gt;0"))</f>
        <v/>
      </c>
      <c r="L173" s="44">
        <f>IF(OR(J173="",K173=""),"",(K173-J173)*100)</f>
        <v/>
      </c>
      <c r="M173" s="73" t="n"/>
      <c r="N173" s="43">
        <f>IF(SUMIFS(Countries!$E$5:$E$434,Countries!$A$5:$A$434,"All landing pages",Countries!$D$5:$D$434,$A173,Countries!$P$5:$P$434,"&gt;0")=0,"",SUMIFS(Countries!$P$5:$P$434,Countries!$A$5:$A$434,"All landing pages",Countries!$D$5:$D$434,$A173,Countries!$E$5:$E$434,"&gt;0")/SUMIFS(Countries!$E$5:$E$434,Countries!$A$5:$A$434,"All landing pages",Countries!$D$5:$D$434,$A173,Countries!$P$5:$P$434,"&gt;0"))</f>
        <v/>
      </c>
      <c r="O173" s="43">
        <f>IF(SUMIFS(Countries!$F$5:$F$434,Countries!$A$5:$A$434,"All landing pages",Countries!$D$5:$D$434,$A173,Countries!$Q$5:$Q$434,"&gt;0")=0,"",SUMIFS(Countries!$Q$5:$Q$434,Countries!$A$5:$A$434,"All landing pages",Countries!$D$5:$D$434,$A173,Countries!$F$5:$F$434,"&gt;0")/SUMIFS(Countries!$F$5:$F$434,Countries!$A$5:$A$434,"All landing pages",Countries!$D$5:$D$434,$A173,Countries!$Q$5:$Q$434,"&gt;0"))</f>
        <v/>
      </c>
      <c r="P173" s="44">
        <f>IF(OR(N173="",O173=""),"",(O173-N173)*100)</f>
        <v/>
      </c>
      <c r="Q173" s="73" t="n"/>
    </row>
    <row r="174">
      <c r="A174" s="56" t="inlineStr">
        <is>
          <t>Portugal</t>
        </is>
      </c>
      <c r="B174" s="43">
        <f>IF(SUMIFS(Countries!$E$5:$E$434,Countries!$A$5:$A$434,"All landing pages",Countries!$B$5:$B$434,"Paid Search",Countries!$D$5:$D$434,$A174,Countries!$P$5:$P$434,"&gt;0")=0,"",SUMIFS(Countries!$P$5:$P$434,Countries!$A$5:$A$434,"All landing pages",Countries!$B$5:$B$434,"Paid Search",Countries!$D$5:$D$434,$A174,Countries!$E$5:$E$434,"&gt;0")/SUMIFS(Countries!$E$5:$E$434,Countries!$A$5:$A$434,"All landing pages",Countries!$B$5:$B$434,"Paid Search",Countries!$D$5:$D$434,$A174,Countries!$P$5:$P$434,"&gt;0"))</f>
        <v/>
      </c>
      <c r="C174" s="43">
        <f>IF(SUMIFS(Countries!$F$5:$F$434,Countries!$A$5:$A$434,"All landing pages",Countries!$B$5:$B$434,"Paid Search",Countries!$D$5:$D$434,$A174,Countries!$Q$5:$Q$434,"&gt;0")=0,"",SUMIFS(Countries!$Q$5:$Q$434,Countries!$A$5:$A$434,"All landing pages",Countries!$B$5:$B$434,"Paid Search",Countries!$D$5:$D$434,$A174,Countries!$F$5:$F$434,"&gt;0")/SUMIFS(Countries!$F$5:$F$434,Countries!$A$5:$A$434,"All landing pages",Countries!$B$5:$B$434,"Paid Search",Countries!$D$5:$D$434,$A174,Countries!$Q$5:$Q$434,"&gt;0"))</f>
        <v/>
      </c>
      <c r="D174" s="44">
        <f>IF(OR(B174="",C174=""),"",(C174-B174)*100)</f>
        <v/>
      </c>
      <c r="E174" s="73" t="n"/>
      <c r="F174" s="43">
        <f>IF(SUMIFS(Countries!$E$5:$E$434,Countries!$A$5:$A$434,"All landing pages",Countries!$B$5:$B$434,"Organic",Countries!$D$5:$D$434,$A174,Countries!$P$5:$P$434,"&gt;0")=0,"",SUMIFS(Countries!$P$5:$P$434,Countries!$A$5:$A$434,"All landing pages",Countries!$B$5:$B$434,"Organic",Countries!$D$5:$D$434,$A174,Countries!$E$5:$E$434,"&gt;0")/SUMIFS(Countries!$E$5:$E$434,Countries!$A$5:$A$434,"All landing pages",Countries!$B$5:$B$434,"Organic",Countries!$D$5:$D$434,$A174,Countries!$P$5:$P$434,"&gt;0"))</f>
        <v/>
      </c>
      <c r="G174" s="43">
        <f>IF(SUMIFS(Countries!$F$5:$F$434,Countries!$A$5:$A$434,"All landing pages",Countries!$B$5:$B$434,"Organic",Countries!$D$5:$D$434,$A174,Countries!$Q$5:$Q$434,"&gt;0")=0,"",SUMIFS(Countries!$Q$5:$Q$434,Countries!$A$5:$A$434,"All landing pages",Countries!$B$5:$B$434,"Organic",Countries!$D$5:$D$434,$A174,Countries!$F$5:$F$434,"&gt;0")/SUMIFS(Countries!$F$5:$F$434,Countries!$A$5:$A$434,"All landing pages",Countries!$B$5:$B$434,"Organic",Countries!$D$5:$D$434,$A174,Countries!$Q$5:$Q$434,"&gt;0"))</f>
        <v/>
      </c>
      <c r="H174" s="44">
        <f>IF(OR(F174="",G174=""),"",(G174-F174)*100)</f>
        <v/>
      </c>
      <c r="I174" s="73" t="n"/>
      <c r="J174" s="43">
        <f>IF(SUMIFS(Countries!$E$5:$E$434,Countries!$A$5:$A$434,"All landing pages",Countries!$B$5:$B$434,"Direct",Countries!$D$5:$D$434,$A174,Countries!$P$5:$P$434,"&gt;0")=0,"",SUMIFS(Countries!$P$5:$P$434,Countries!$A$5:$A$434,"All landing pages",Countries!$B$5:$B$434,"Direct",Countries!$D$5:$D$434,$A174,Countries!$E$5:$E$434,"&gt;0")/SUMIFS(Countries!$E$5:$E$434,Countries!$A$5:$A$434,"All landing pages",Countries!$B$5:$B$434,"Direct",Countries!$D$5:$D$434,$A174,Countries!$P$5:$P$434,"&gt;0"))</f>
        <v/>
      </c>
      <c r="K174" s="43">
        <f>IF(SUMIFS(Countries!$F$5:$F$434,Countries!$A$5:$A$434,"All landing pages",Countries!$B$5:$B$434,"Direct",Countries!$D$5:$D$434,$A174,Countries!$Q$5:$Q$434,"&gt;0")=0,"",SUMIFS(Countries!$Q$5:$Q$434,Countries!$A$5:$A$434,"All landing pages",Countries!$B$5:$B$434,"Direct",Countries!$D$5:$D$434,$A174,Countries!$F$5:$F$434,"&gt;0")/SUMIFS(Countries!$F$5:$F$434,Countries!$A$5:$A$434,"All landing pages",Countries!$B$5:$B$434,"Direct",Countries!$D$5:$D$434,$A174,Countries!$Q$5:$Q$434,"&gt;0"))</f>
        <v/>
      </c>
      <c r="L174" s="44">
        <f>IF(OR(J174="",K174=""),"",(K174-J174)*100)</f>
        <v/>
      </c>
      <c r="M174" s="73" t="n"/>
      <c r="N174" s="43">
        <f>IF(SUMIFS(Countries!$E$5:$E$434,Countries!$A$5:$A$434,"All landing pages",Countries!$D$5:$D$434,$A174,Countries!$P$5:$P$434,"&gt;0")=0,"",SUMIFS(Countries!$P$5:$P$434,Countries!$A$5:$A$434,"All landing pages",Countries!$D$5:$D$434,$A174,Countries!$E$5:$E$434,"&gt;0")/SUMIFS(Countries!$E$5:$E$434,Countries!$A$5:$A$434,"All landing pages",Countries!$D$5:$D$434,$A174,Countries!$P$5:$P$434,"&gt;0"))</f>
        <v/>
      </c>
      <c r="O174" s="43">
        <f>IF(SUMIFS(Countries!$F$5:$F$434,Countries!$A$5:$A$434,"All landing pages",Countries!$D$5:$D$434,$A174,Countries!$Q$5:$Q$434,"&gt;0")=0,"",SUMIFS(Countries!$Q$5:$Q$434,Countries!$A$5:$A$434,"All landing pages",Countries!$D$5:$D$434,$A174,Countries!$F$5:$F$434,"&gt;0")/SUMIFS(Countries!$F$5:$F$434,Countries!$A$5:$A$434,"All landing pages",Countries!$D$5:$D$434,$A174,Countries!$Q$5:$Q$434,"&gt;0"))</f>
        <v/>
      </c>
      <c r="P174" s="44">
        <f>IF(OR(N174="",O174=""),"",(O174-N174)*100)</f>
        <v/>
      </c>
      <c r="Q174" s="73" t="n"/>
    </row>
    <row r="175">
      <c r="A175" s="40" t="inlineStr">
        <is>
          <t>Türkiye</t>
        </is>
      </c>
      <c r="B175" s="43">
        <f>IF(SUMIFS(Countries!$E$5:$E$434,Countries!$A$5:$A$434,"All landing pages",Countries!$B$5:$B$434,"Paid Search",Countries!$D$5:$D$434,$A175,Countries!$P$5:$P$434,"&gt;0")=0,"",SUMIFS(Countries!$P$5:$P$434,Countries!$A$5:$A$434,"All landing pages",Countries!$B$5:$B$434,"Paid Search",Countries!$D$5:$D$434,$A175,Countries!$E$5:$E$434,"&gt;0")/SUMIFS(Countries!$E$5:$E$434,Countries!$A$5:$A$434,"All landing pages",Countries!$B$5:$B$434,"Paid Search",Countries!$D$5:$D$434,$A175,Countries!$P$5:$P$434,"&gt;0"))</f>
        <v/>
      </c>
      <c r="C175" s="43">
        <f>IF(SUMIFS(Countries!$F$5:$F$434,Countries!$A$5:$A$434,"All landing pages",Countries!$B$5:$B$434,"Paid Search",Countries!$D$5:$D$434,$A175,Countries!$Q$5:$Q$434,"&gt;0")=0,"",SUMIFS(Countries!$Q$5:$Q$434,Countries!$A$5:$A$434,"All landing pages",Countries!$B$5:$B$434,"Paid Search",Countries!$D$5:$D$434,$A175,Countries!$F$5:$F$434,"&gt;0")/SUMIFS(Countries!$F$5:$F$434,Countries!$A$5:$A$434,"All landing pages",Countries!$B$5:$B$434,"Paid Search",Countries!$D$5:$D$434,$A175,Countries!$Q$5:$Q$434,"&gt;0"))</f>
        <v/>
      </c>
      <c r="D175" s="44">
        <f>IF(OR(B175="",C175=""),"",(C175-B175)*100)</f>
        <v/>
      </c>
      <c r="E175" s="73" t="n"/>
      <c r="F175" s="43">
        <f>IF(SUMIFS(Countries!$E$5:$E$434,Countries!$A$5:$A$434,"All landing pages",Countries!$B$5:$B$434,"Organic",Countries!$D$5:$D$434,$A175,Countries!$P$5:$P$434,"&gt;0")=0,"",SUMIFS(Countries!$P$5:$P$434,Countries!$A$5:$A$434,"All landing pages",Countries!$B$5:$B$434,"Organic",Countries!$D$5:$D$434,$A175,Countries!$E$5:$E$434,"&gt;0")/SUMIFS(Countries!$E$5:$E$434,Countries!$A$5:$A$434,"All landing pages",Countries!$B$5:$B$434,"Organic",Countries!$D$5:$D$434,$A175,Countries!$P$5:$P$434,"&gt;0"))</f>
        <v/>
      </c>
      <c r="G175" s="43">
        <f>IF(SUMIFS(Countries!$F$5:$F$434,Countries!$A$5:$A$434,"All landing pages",Countries!$B$5:$B$434,"Organic",Countries!$D$5:$D$434,$A175,Countries!$Q$5:$Q$434,"&gt;0")=0,"",SUMIFS(Countries!$Q$5:$Q$434,Countries!$A$5:$A$434,"All landing pages",Countries!$B$5:$B$434,"Organic",Countries!$D$5:$D$434,$A175,Countries!$F$5:$F$434,"&gt;0")/SUMIFS(Countries!$F$5:$F$434,Countries!$A$5:$A$434,"All landing pages",Countries!$B$5:$B$434,"Organic",Countries!$D$5:$D$434,$A175,Countries!$Q$5:$Q$434,"&gt;0"))</f>
        <v/>
      </c>
      <c r="H175" s="44">
        <f>IF(OR(F175="",G175=""),"",(G175-F175)*100)</f>
        <v/>
      </c>
      <c r="I175" s="73" t="n"/>
      <c r="J175" s="43">
        <f>IF(SUMIFS(Countries!$E$5:$E$434,Countries!$A$5:$A$434,"All landing pages",Countries!$B$5:$B$434,"Direct",Countries!$D$5:$D$434,$A175,Countries!$P$5:$P$434,"&gt;0")=0,"",SUMIFS(Countries!$P$5:$P$434,Countries!$A$5:$A$434,"All landing pages",Countries!$B$5:$B$434,"Direct",Countries!$D$5:$D$434,$A175,Countries!$E$5:$E$434,"&gt;0")/SUMIFS(Countries!$E$5:$E$434,Countries!$A$5:$A$434,"All landing pages",Countries!$B$5:$B$434,"Direct",Countries!$D$5:$D$434,$A175,Countries!$P$5:$P$434,"&gt;0"))</f>
        <v/>
      </c>
      <c r="K175" s="43">
        <f>IF(SUMIFS(Countries!$F$5:$F$434,Countries!$A$5:$A$434,"All landing pages",Countries!$B$5:$B$434,"Direct",Countries!$D$5:$D$434,$A175,Countries!$Q$5:$Q$434,"&gt;0")=0,"",SUMIFS(Countries!$Q$5:$Q$434,Countries!$A$5:$A$434,"All landing pages",Countries!$B$5:$B$434,"Direct",Countries!$D$5:$D$434,$A175,Countries!$F$5:$F$434,"&gt;0")/SUMIFS(Countries!$F$5:$F$434,Countries!$A$5:$A$434,"All landing pages",Countries!$B$5:$B$434,"Direct",Countries!$D$5:$D$434,$A175,Countries!$Q$5:$Q$434,"&gt;0"))</f>
        <v/>
      </c>
      <c r="L175" s="44">
        <f>IF(OR(J175="",K175=""),"",(K175-J175)*100)</f>
        <v/>
      </c>
      <c r="M175" s="73" t="n"/>
      <c r="N175" s="43">
        <f>IF(SUMIFS(Countries!$E$5:$E$434,Countries!$A$5:$A$434,"All landing pages",Countries!$D$5:$D$434,$A175,Countries!$P$5:$P$434,"&gt;0")=0,"",SUMIFS(Countries!$P$5:$P$434,Countries!$A$5:$A$434,"All landing pages",Countries!$D$5:$D$434,$A175,Countries!$E$5:$E$434,"&gt;0")/SUMIFS(Countries!$E$5:$E$434,Countries!$A$5:$A$434,"All landing pages",Countries!$D$5:$D$434,$A175,Countries!$P$5:$P$434,"&gt;0"))</f>
        <v/>
      </c>
      <c r="O175" s="43">
        <f>IF(SUMIFS(Countries!$F$5:$F$434,Countries!$A$5:$A$434,"All landing pages",Countries!$D$5:$D$434,$A175,Countries!$Q$5:$Q$434,"&gt;0")=0,"",SUMIFS(Countries!$Q$5:$Q$434,Countries!$A$5:$A$434,"All landing pages",Countries!$D$5:$D$434,$A175,Countries!$F$5:$F$434,"&gt;0")/SUMIFS(Countries!$F$5:$F$434,Countries!$A$5:$A$434,"All landing pages",Countries!$D$5:$D$434,$A175,Countries!$Q$5:$Q$434,"&gt;0"))</f>
        <v/>
      </c>
      <c r="P175" s="44">
        <f>IF(OR(N175="",O175=""),"",(O175-N175)*100)</f>
        <v/>
      </c>
      <c r="Q175" s="73" t="n"/>
    </row>
    <row r="176">
      <c r="A176" s="56" t="inlineStr">
        <is>
          <t>Australia</t>
        </is>
      </c>
      <c r="B176" s="43">
        <f>IF(SUMIFS(Countries!$E$5:$E$434,Countries!$A$5:$A$434,"All landing pages",Countries!$B$5:$B$434,"Paid Search",Countries!$D$5:$D$434,$A176,Countries!$P$5:$P$434,"&gt;0")=0,"",SUMIFS(Countries!$P$5:$P$434,Countries!$A$5:$A$434,"All landing pages",Countries!$B$5:$B$434,"Paid Search",Countries!$D$5:$D$434,$A176,Countries!$E$5:$E$434,"&gt;0")/SUMIFS(Countries!$E$5:$E$434,Countries!$A$5:$A$434,"All landing pages",Countries!$B$5:$B$434,"Paid Search",Countries!$D$5:$D$434,$A176,Countries!$P$5:$P$434,"&gt;0"))</f>
        <v/>
      </c>
      <c r="C176" s="43">
        <f>IF(SUMIFS(Countries!$F$5:$F$434,Countries!$A$5:$A$434,"All landing pages",Countries!$B$5:$B$434,"Paid Search",Countries!$D$5:$D$434,$A176,Countries!$Q$5:$Q$434,"&gt;0")=0,"",SUMIFS(Countries!$Q$5:$Q$434,Countries!$A$5:$A$434,"All landing pages",Countries!$B$5:$B$434,"Paid Search",Countries!$D$5:$D$434,$A176,Countries!$F$5:$F$434,"&gt;0")/SUMIFS(Countries!$F$5:$F$434,Countries!$A$5:$A$434,"All landing pages",Countries!$B$5:$B$434,"Paid Search",Countries!$D$5:$D$434,$A176,Countries!$Q$5:$Q$434,"&gt;0"))</f>
        <v/>
      </c>
      <c r="D176" s="44">
        <f>IF(OR(B176="",C176=""),"",(C176-B176)*100)</f>
        <v/>
      </c>
      <c r="E176" s="73" t="n"/>
      <c r="F176" s="43">
        <f>IF(SUMIFS(Countries!$E$5:$E$434,Countries!$A$5:$A$434,"All landing pages",Countries!$B$5:$B$434,"Organic",Countries!$D$5:$D$434,$A176,Countries!$P$5:$P$434,"&gt;0")=0,"",SUMIFS(Countries!$P$5:$P$434,Countries!$A$5:$A$434,"All landing pages",Countries!$B$5:$B$434,"Organic",Countries!$D$5:$D$434,$A176,Countries!$E$5:$E$434,"&gt;0")/SUMIFS(Countries!$E$5:$E$434,Countries!$A$5:$A$434,"All landing pages",Countries!$B$5:$B$434,"Organic",Countries!$D$5:$D$434,$A176,Countries!$P$5:$P$434,"&gt;0"))</f>
        <v/>
      </c>
      <c r="G176" s="43">
        <f>IF(SUMIFS(Countries!$F$5:$F$434,Countries!$A$5:$A$434,"All landing pages",Countries!$B$5:$B$434,"Organic",Countries!$D$5:$D$434,$A176,Countries!$Q$5:$Q$434,"&gt;0")=0,"",SUMIFS(Countries!$Q$5:$Q$434,Countries!$A$5:$A$434,"All landing pages",Countries!$B$5:$B$434,"Organic",Countries!$D$5:$D$434,$A176,Countries!$F$5:$F$434,"&gt;0")/SUMIFS(Countries!$F$5:$F$434,Countries!$A$5:$A$434,"All landing pages",Countries!$B$5:$B$434,"Organic",Countries!$D$5:$D$434,$A176,Countries!$Q$5:$Q$434,"&gt;0"))</f>
        <v/>
      </c>
      <c r="H176" s="44">
        <f>IF(OR(F176="",G176=""),"",(G176-F176)*100)</f>
        <v/>
      </c>
      <c r="I176" s="73" t="n"/>
      <c r="J176" s="43">
        <f>IF(SUMIFS(Countries!$E$5:$E$434,Countries!$A$5:$A$434,"All landing pages",Countries!$B$5:$B$434,"Direct",Countries!$D$5:$D$434,$A176,Countries!$P$5:$P$434,"&gt;0")=0,"",SUMIFS(Countries!$P$5:$P$434,Countries!$A$5:$A$434,"All landing pages",Countries!$B$5:$B$434,"Direct",Countries!$D$5:$D$434,$A176,Countries!$E$5:$E$434,"&gt;0")/SUMIFS(Countries!$E$5:$E$434,Countries!$A$5:$A$434,"All landing pages",Countries!$B$5:$B$434,"Direct",Countries!$D$5:$D$434,$A176,Countries!$P$5:$P$434,"&gt;0"))</f>
        <v/>
      </c>
      <c r="K176" s="43">
        <f>IF(SUMIFS(Countries!$F$5:$F$434,Countries!$A$5:$A$434,"All landing pages",Countries!$B$5:$B$434,"Direct",Countries!$D$5:$D$434,$A176,Countries!$Q$5:$Q$434,"&gt;0")=0,"",SUMIFS(Countries!$Q$5:$Q$434,Countries!$A$5:$A$434,"All landing pages",Countries!$B$5:$B$434,"Direct",Countries!$D$5:$D$434,$A176,Countries!$F$5:$F$434,"&gt;0")/SUMIFS(Countries!$F$5:$F$434,Countries!$A$5:$A$434,"All landing pages",Countries!$B$5:$B$434,"Direct",Countries!$D$5:$D$434,$A176,Countries!$Q$5:$Q$434,"&gt;0"))</f>
        <v/>
      </c>
      <c r="L176" s="44">
        <f>IF(OR(J176="",K176=""),"",(K176-J176)*100)</f>
        <v/>
      </c>
      <c r="M176" s="73" t="n"/>
      <c r="N176" s="43">
        <f>IF(SUMIFS(Countries!$E$5:$E$434,Countries!$A$5:$A$434,"All landing pages",Countries!$D$5:$D$434,$A176,Countries!$P$5:$P$434,"&gt;0")=0,"",SUMIFS(Countries!$P$5:$P$434,Countries!$A$5:$A$434,"All landing pages",Countries!$D$5:$D$434,$A176,Countries!$E$5:$E$434,"&gt;0")/SUMIFS(Countries!$E$5:$E$434,Countries!$A$5:$A$434,"All landing pages",Countries!$D$5:$D$434,$A176,Countries!$P$5:$P$434,"&gt;0"))</f>
        <v/>
      </c>
      <c r="O176" s="43">
        <f>IF(SUMIFS(Countries!$F$5:$F$434,Countries!$A$5:$A$434,"All landing pages",Countries!$D$5:$D$434,$A176,Countries!$Q$5:$Q$434,"&gt;0")=0,"",SUMIFS(Countries!$Q$5:$Q$434,Countries!$A$5:$A$434,"All landing pages",Countries!$D$5:$D$434,$A176,Countries!$F$5:$F$434,"&gt;0")/SUMIFS(Countries!$F$5:$F$434,Countries!$A$5:$A$434,"All landing pages",Countries!$D$5:$D$434,$A176,Countries!$Q$5:$Q$434,"&gt;0"))</f>
        <v/>
      </c>
      <c r="P176" s="44">
        <f>IF(OR(N176="",O176=""),"",(O176-N176)*100)</f>
        <v/>
      </c>
      <c r="Q176" s="73" t="n"/>
    </row>
    <row r="177">
      <c r="A177" s="40" t="inlineStr">
        <is>
          <t>Romania</t>
        </is>
      </c>
      <c r="B177" s="43">
        <f>IF(SUMIFS(Countries!$E$5:$E$434,Countries!$A$5:$A$434,"All landing pages",Countries!$B$5:$B$434,"Paid Search",Countries!$D$5:$D$434,$A177,Countries!$P$5:$P$434,"&gt;0")=0,"",SUMIFS(Countries!$P$5:$P$434,Countries!$A$5:$A$434,"All landing pages",Countries!$B$5:$B$434,"Paid Search",Countries!$D$5:$D$434,$A177,Countries!$E$5:$E$434,"&gt;0")/SUMIFS(Countries!$E$5:$E$434,Countries!$A$5:$A$434,"All landing pages",Countries!$B$5:$B$434,"Paid Search",Countries!$D$5:$D$434,$A177,Countries!$P$5:$P$434,"&gt;0"))</f>
        <v/>
      </c>
      <c r="C177" s="43">
        <f>IF(SUMIFS(Countries!$F$5:$F$434,Countries!$A$5:$A$434,"All landing pages",Countries!$B$5:$B$434,"Paid Search",Countries!$D$5:$D$434,$A177,Countries!$Q$5:$Q$434,"&gt;0")=0,"",SUMIFS(Countries!$Q$5:$Q$434,Countries!$A$5:$A$434,"All landing pages",Countries!$B$5:$B$434,"Paid Search",Countries!$D$5:$D$434,$A177,Countries!$F$5:$F$434,"&gt;0")/SUMIFS(Countries!$F$5:$F$434,Countries!$A$5:$A$434,"All landing pages",Countries!$B$5:$B$434,"Paid Search",Countries!$D$5:$D$434,$A177,Countries!$Q$5:$Q$434,"&gt;0"))</f>
        <v/>
      </c>
      <c r="D177" s="44">
        <f>IF(OR(B177="",C177=""),"",(C177-B177)*100)</f>
        <v/>
      </c>
      <c r="E177" s="73" t="n"/>
      <c r="F177" s="43">
        <f>IF(SUMIFS(Countries!$E$5:$E$434,Countries!$A$5:$A$434,"All landing pages",Countries!$B$5:$B$434,"Organic",Countries!$D$5:$D$434,$A177,Countries!$P$5:$P$434,"&gt;0")=0,"",SUMIFS(Countries!$P$5:$P$434,Countries!$A$5:$A$434,"All landing pages",Countries!$B$5:$B$434,"Organic",Countries!$D$5:$D$434,$A177,Countries!$E$5:$E$434,"&gt;0")/SUMIFS(Countries!$E$5:$E$434,Countries!$A$5:$A$434,"All landing pages",Countries!$B$5:$B$434,"Organic",Countries!$D$5:$D$434,$A177,Countries!$P$5:$P$434,"&gt;0"))</f>
        <v/>
      </c>
      <c r="G177" s="43">
        <f>IF(SUMIFS(Countries!$F$5:$F$434,Countries!$A$5:$A$434,"All landing pages",Countries!$B$5:$B$434,"Organic",Countries!$D$5:$D$434,$A177,Countries!$Q$5:$Q$434,"&gt;0")=0,"",SUMIFS(Countries!$Q$5:$Q$434,Countries!$A$5:$A$434,"All landing pages",Countries!$B$5:$B$434,"Organic",Countries!$D$5:$D$434,$A177,Countries!$F$5:$F$434,"&gt;0")/SUMIFS(Countries!$F$5:$F$434,Countries!$A$5:$A$434,"All landing pages",Countries!$B$5:$B$434,"Organic",Countries!$D$5:$D$434,$A177,Countries!$Q$5:$Q$434,"&gt;0"))</f>
        <v/>
      </c>
      <c r="H177" s="44">
        <f>IF(OR(F177="",G177=""),"",(G177-F177)*100)</f>
        <v/>
      </c>
      <c r="I177" s="73" t="n"/>
      <c r="J177" s="43">
        <f>IF(SUMIFS(Countries!$E$5:$E$434,Countries!$A$5:$A$434,"All landing pages",Countries!$B$5:$B$434,"Direct",Countries!$D$5:$D$434,$A177,Countries!$P$5:$P$434,"&gt;0")=0,"",SUMIFS(Countries!$P$5:$P$434,Countries!$A$5:$A$434,"All landing pages",Countries!$B$5:$B$434,"Direct",Countries!$D$5:$D$434,$A177,Countries!$E$5:$E$434,"&gt;0")/SUMIFS(Countries!$E$5:$E$434,Countries!$A$5:$A$434,"All landing pages",Countries!$B$5:$B$434,"Direct",Countries!$D$5:$D$434,$A177,Countries!$P$5:$P$434,"&gt;0"))</f>
        <v/>
      </c>
      <c r="K177" s="43">
        <f>IF(SUMIFS(Countries!$F$5:$F$434,Countries!$A$5:$A$434,"All landing pages",Countries!$B$5:$B$434,"Direct",Countries!$D$5:$D$434,$A177,Countries!$Q$5:$Q$434,"&gt;0")=0,"",SUMIFS(Countries!$Q$5:$Q$434,Countries!$A$5:$A$434,"All landing pages",Countries!$B$5:$B$434,"Direct",Countries!$D$5:$D$434,$A177,Countries!$F$5:$F$434,"&gt;0")/SUMIFS(Countries!$F$5:$F$434,Countries!$A$5:$A$434,"All landing pages",Countries!$B$5:$B$434,"Direct",Countries!$D$5:$D$434,$A177,Countries!$Q$5:$Q$434,"&gt;0"))</f>
        <v/>
      </c>
      <c r="L177" s="44">
        <f>IF(OR(J177="",K177=""),"",(K177-J177)*100)</f>
        <v/>
      </c>
      <c r="M177" s="73" t="n"/>
      <c r="N177" s="43">
        <f>IF(SUMIFS(Countries!$E$5:$E$434,Countries!$A$5:$A$434,"All landing pages",Countries!$D$5:$D$434,$A177,Countries!$P$5:$P$434,"&gt;0")=0,"",SUMIFS(Countries!$P$5:$P$434,Countries!$A$5:$A$434,"All landing pages",Countries!$D$5:$D$434,$A177,Countries!$E$5:$E$434,"&gt;0")/SUMIFS(Countries!$E$5:$E$434,Countries!$A$5:$A$434,"All landing pages",Countries!$D$5:$D$434,$A177,Countries!$P$5:$P$434,"&gt;0"))</f>
        <v/>
      </c>
      <c r="O177" s="43">
        <f>IF(SUMIFS(Countries!$F$5:$F$434,Countries!$A$5:$A$434,"All landing pages",Countries!$D$5:$D$434,$A177,Countries!$Q$5:$Q$434,"&gt;0")=0,"",SUMIFS(Countries!$Q$5:$Q$434,Countries!$A$5:$A$434,"All landing pages",Countries!$D$5:$D$434,$A177,Countries!$F$5:$F$434,"&gt;0")/SUMIFS(Countries!$F$5:$F$434,Countries!$A$5:$A$434,"All landing pages",Countries!$D$5:$D$434,$A177,Countries!$Q$5:$Q$434,"&gt;0"))</f>
        <v/>
      </c>
      <c r="P177" s="44">
        <f>IF(OR(N177="",O177=""),"",(O177-N177)*100)</f>
        <v/>
      </c>
      <c r="Q177" s="73" t="n"/>
    </row>
    <row r="178">
      <c r="A178" s="56" t="inlineStr">
        <is>
          <t>Canada</t>
        </is>
      </c>
      <c r="B178" s="43">
        <f>IF(SUMIFS(Countries!$E$5:$E$434,Countries!$A$5:$A$434,"All landing pages",Countries!$B$5:$B$434,"Paid Search",Countries!$D$5:$D$434,$A178,Countries!$P$5:$P$434,"&gt;0")=0,"",SUMIFS(Countries!$P$5:$P$434,Countries!$A$5:$A$434,"All landing pages",Countries!$B$5:$B$434,"Paid Search",Countries!$D$5:$D$434,$A178,Countries!$E$5:$E$434,"&gt;0")/SUMIFS(Countries!$E$5:$E$434,Countries!$A$5:$A$434,"All landing pages",Countries!$B$5:$B$434,"Paid Search",Countries!$D$5:$D$434,$A178,Countries!$P$5:$P$434,"&gt;0"))</f>
        <v/>
      </c>
      <c r="C178" s="43">
        <f>IF(SUMIFS(Countries!$F$5:$F$434,Countries!$A$5:$A$434,"All landing pages",Countries!$B$5:$B$434,"Paid Search",Countries!$D$5:$D$434,$A178,Countries!$Q$5:$Q$434,"&gt;0")=0,"",SUMIFS(Countries!$Q$5:$Q$434,Countries!$A$5:$A$434,"All landing pages",Countries!$B$5:$B$434,"Paid Search",Countries!$D$5:$D$434,$A178,Countries!$F$5:$F$434,"&gt;0")/SUMIFS(Countries!$F$5:$F$434,Countries!$A$5:$A$434,"All landing pages",Countries!$B$5:$B$434,"Paid Search",Countries!$D$5:$D$434,$A178,Countries!$Q$5:$Q$434,"&gt;0"))</f>
        <v/>
      </c>
      <c r="D178" s="44">
        <f>IF(OR(B178="",C178=""),"",(C178-B178)*100)</f>
        <v/>
      </c>
      <c r="E178" s="73" t="n"/>
      <c r="F178" s="43">
        <f>IF(SUMIFS(Countries!$E$5:$E$434,Countries!$A$5:$A$434,"All landing pages",Countries!$B$5:$B$434,"Organic",Countries!$D$5:$D$434,$A178,Countries!$P$5:$P$434,"&gt;0")=0,"",SUMIFS(Countries!$P$5:$P$434,Countries!$A$5:$A$434,"All landing pages",Countries!$B$5:$B$434,"Organic",Countries!$D$5:$D$434,$A178,Countries!$E$5:$E$434,"&gt;0")/SUMIFS(Countries!$E$5:$E$434,Countries!$A$5:$A$434,"All landing pages",Countries!$B$5:$B$434,"Organic",Countries!$D$5:$D$434,$A178,Countries!$P$5:$P$434,"&gt;0"))</f>
        <v/>
      </c>
      <c r="G178" s="43">
        <f>IF(SUMIFS(Countries!$F$5:$F$434,Countries!$A$5:$A$434,"All landing pages",Countries!$B$5:$B$434,"Organic",Countries!$D$5:$D$434,$A178,Countries!$Q$5:$Q$434,"&gt;0")=0,"",SUMIFS(Countries!$Q$5:$Q$434,Countries!$A$5:$A$434,"All landing pages",Countries!$B$5:$B$434,"Organic",Countries!$D$5:$D$434,$A178,Countries!$F$5:$F$434,"&gt;0")/SUMIFS(Countries!$F$5:$F$434,Countries!$A$5:$A$434,"All landing pages",Countries!$B$5:$B$434,"Organic",Countries!$D$5:$D$434,$A178,Countries!$Q$5:$Q$434,"&gt;0"))</f>
        <v/>
      </c>
      <c r="H178" s="44">
        <f>IF(OR(F178="",G178=""),"",(G178-F178)*100)</f>
        <v/>
      </c>
      <c r="I178" s="73" t="n"/>
      <c r="J178" s="43">
        <f>IF(SUMIFS(Countries!$E$5:$E$434,Countries!$A$5:$A$434,"All landing pages",Countries!$B$5:$B$434,"Direct",Countries!$D$5:$D$434,$A178,Countries!$P$5:$P$434,"&gt;0")=0,"",SUMIFS(Countries!$P$5:$P$434,Countries!$A$5:$A$434,"All landing pages",Countries!$B$5:$B$434,"Direct",Countries!$D$5:$D$434,$A178,Countries!$E$5:$E$434,"&gt;0")/SUMIFS(Countries!$E$5:$E$434,Countries!$A$5:$A$434,"All landing pages",Countries!$B$5:$B$434,"Direct",Countries!$D$5:$D$434,$A178,Countries!$P$5:$P$434,"&gt;0"))</f>
        <v/>
      </c>
      <c r="K178" s="43">
        <f>IF(SUMIFS(Countries!$F$5:$F$434,Countries!$A$5:$A$434,"All landing pages",Countries!$B$5:$B$434,"Direct",Countries!$D$5:$D$434,$A178,Countries!$Q$5:$Q$434,"&gt;0")=0,"",SUMIFS(Countries!$Q$5:$Q$434,Countries!$A$5:$A$434,"All landing pages",Countries!$B$5:$B$434,"Direct",Countries!$D$5:$D$434,$A178,Countries!$F$5:$F$434,"&gt;0")/SUMIFS(Countries!$F$5:$F$434,Countries!$A$5:$A$434,"All landing pages",Countries!$B$5:$B$434,"Direct",Countries!$D$5:$D$434,$A178,Countries!$Q$5:$Q$434,"&gt;0"))</f>
        <v/>
      </c>
      <c r="L178" s="44">
        <f>IF(OR(J178="",K178=""),"",(K178-J178)*100)</f>
        <v/>
      </c>
      <c r="M178" s="73" t="n"/>
      <c r="N178" s="43">
        <f>IF(SUMIFS(Countries!$E$5:$E$434,Countries!$A$5:$A$434,"All landing pages",Countries!$D$5:$D$434,$A178,Countries!$P$5:$P$434,"&gt;0")=0,"",SUMIFS(Countries!$P$5:$P$434,Countries!$A$5:$A$434,"All landing pages",Countries!$D$5:$D$434,$A178,Countries!$E$5:$E$434,"&gt;0")/SUMIFS(Countries!$E$5:$E$434,Countries!$A$5:$A$434,"All landing pages",Countries!$D$5:$D$434,$A178,Countries!$P$5:$P$434,"&gt;0"))</f>
        <v/>
      </c>
      <c r="O178" s="43">
        <f>IF(SUMIFS(Countries!$F$5:$F$434,Countries!$A$5:$A$434,"All landing pages",Countries!$D$5:$D$434,$A178,Countries!$Q$5:$Q$434,"&gt;0")=0,"",SUMIFS(Countries!$Q$5:$Q$434,Countries!$A$5:$A$434,"All landing pages",Countries!$D$5:$D$434,$A178,Countries!$F$5:$F$434,"&gt;0")/SUMIFS(Countries!$F$5:$F$434,Countries!$A$5:$A$434,"All landing pages",Countries!$D$5:$D$434,$A178,Countries!$Q$5:$Q$434,"&gt;0"))</f>
        <v/>
      </c>
      <c r="P178" s="44">
        <f>IF(OR(N178="",O178=""),"",(O178-N178)*100)</f>
        <v/>
      </c>
      <c r="Q178" s="73" t="n"/>
    </row>
    <row r="179">
      <c r="A179" s="40" t="inlineStr">
        <is>
          <t>Greece</t>
        </is>
      </c>
      <c r="B179" s="43">
        <f>IF(SUMIFS(Countries!$E$5:$E$434,Countries!$A$5:$A$434,"All landing pages",Countries!$B$5:$B$434,"Paid Search",Countries!$D$5:$D$434,$A179,Countries!$P$5:$P$434,"&gt;0")=0,"",SUMIFS(Countries!$P$5:$P$434,Countries!$A$5:$A$434,"All landing pages",Countries!$B$5:$B$434,"Paid Search",Countries!$D$5:$D$434,$A179,Countries!$E$5:$E$434,"&gt;0")/SUMIFS(Countries!$E$5:$E$434,Countries!$A$5:$A$434,"All landing pages",Countries!$B$5:$B$434,"Paid Search",Countries!$D$5:$D$434,$A179,Countries!$P$5:$P$434,"&gt;0"))</f>
        <v/>
      </c>
      <c r="C179" s="43">
        <f>IF(SUMIFS(Countries!$F$5:$F$434,Countries!$A$5:$A$434,"All landing pages",Countries!$B$5:$B$434,"Paid Search",Countries!$D$5:$D$434,$A179,Countries!$Q$5:$Q$434,"&gt;0")=0,"",SUMIFS(Countries!$Q$5:$Q$434,Countries!$A$5:$A$434,"All landing pages",Countries!$B$5:$B$434,"Paid Search",Countries!$D$5:$D$434,$A179,Countries!$F$5:$F$434,"&gt;0")/SUMIFS(Countries!$F$5:$F$434,Countries!$A$5:$A$434,"All landing pages",Countries!$B$5:$B$434,"Paid Search",Countries!$D$5:$D$434,$A179,Countries!$Q$5:$Q$434,"&gt;0"))</f>
        <v/>
      </c>
      <c r="D179" s="44">
        <f>IF(OR(B179="",C179=""),"",(C179-B179)*100)</f>
        <v/>
      </c>
      <c r="E179" s="73" t="n"/>
      <c r="F179" s="43">
        <f>IF(SUMIFS(Countries!$E$5:$E$434,Countries!$A$5:$A$434,"All landing pages",Countries!$B$5:$B$434,"Organic",Countries!$D$5:$D$434,$A179,Countries!$P$5:$P$434,"&gt;0")=0,"",SUMIFS(Countries!$P$5:$P$434,Countries!$A$5:$A$434,"All landing pages",Countries!$B$5:$B$434,"Organic",Countries!$D$5:$D$434,$A179,Countries!$E$5:$E$434,"&gt;0")/SUMIFS(Countries!$E$5:$E$434,Countries!$A$5:$A$434,"All landing pages",Countries!$B$5:$B$434,"Organic",Countries!$D$5:$D$434,$A179,Countries!$P$5:$P$434,"&gt;0"))</f>
        <v/>
      </c>
      <c r="G179" s="43">
        <f>IF(SUMIFS(Countries!$F$5:$F$434,Countries!$A$5:$A$434,"All landing pages",Countries!$B$5:$B$434,"Organic",Countries!$D$5:$D$434,$A179,Countries!$Q$5:$Q$434,"&gt;0")=0,"",SUMIFS(Countries!$Q$5:$Q$434,Countries!$A$5:$A$434,"All landing pages",Countries!$B$5:$B$434,"Organic",Countries!$D$5:$D$434,$A179,Countries!$F$5:$F$434,"&gt;0")/SUMIFS(Countries!$F$5:$F$434,Countries!$A$5:$A$434,"All landing pages",Countries!$B$5:$B$434,"Organic",Countries!$D$5:$D$434,$A179,Countries!$Q$5:$Q$434,"&gt;0"))</f>
        <v/>
      </c>
      <c r="H179" s="44">
        <f>IF(OR(F179="",G179=""),"",(G179-F179)*100)</f>
        <v/>
      </c>
      <c r="I179" s="73" t="n"/>
      <c r="J179" s="43">
        <f>IF(SUMIFS(Countries!$E$5:$E$434,Countries!$A$5:$A$434,"All landing pages",Countries!$B$5:$B$434,"Direct",Countries!$D$5:$D$434,$A179,Countries!$P$5:$P$434,"&gt;0")=0,"",SUMIFS(Countries!$P$5:$P$434,Countries!$A$5:$A$434,"All landing pages",Countries!$B$5:$B$434,"Direct",Countries!$D$5:$D$434,$A179,Countries!$E$5:$E$434,"&gt;0")/SUMIFS(Countries!$E$5:$E$434,Countries!$A$5:$A$434,"All landing pages",Countries!$B$5:$B$434,"Direct",Countries!$D$5:$D$434,$A179,Countries!$P$5:$P$434,"&gt;0"))</f>
        <v/>
      </c>
      <c r="K179" s="43">
        <f>IF(SUMIFS(Countries!$F$5:$F$434,Countries!$A$5:$A$434,"All landing pages",Countries!$B$5:$B$434,"Direct",Countries!$D$5:$D$434,$A179,Countries!$Q$5:$Q$434,"&gt;0")=0,"",SUMIFS(Countries!$Q$5:$Q$434,Countries!$A$5:$A$434,"All landing pages",Countries!$B$5:$B$434,"Direct",Countries!$D$5:$D$434,$A179,Countries!$F$5:$F$434,"&gt;0")/SUMIFS(Countries!$F$5:$F$434,Countries!$A$5:$A$434,"All landing pages",Countries!$B$5:$B$434,"Direct",Countries!$D$5:$D$434,$A179,Countries!$Q$5:$Q$434,"&gt;0"))</f>
        <v/>
      </c>
      <c r="L179" s="44">
        <f>IF(OR(J179="",K179=""),"",(K179-J179)*100)</f>
        <v/>
      </c>
      <c r="M179" s="73" t="n"/>
      <c r="N179" s="43">
        <f>IF(SUMIFS(Countries!$E$5:$E$434,Countries!$A$5:$A$434,"All landing pages",Countries!$D$5:$D$434,$A179,Countries!$P$5:$P$434,"&gt;0")=0,"",SUMIFS(Countries!$P$5:$P$434,Countries!$A$5:$A$434,"All landing pages",Countries!$D$5:$D$434,$A179,Countries!$E$5:$E$434,"&gt;0")/SUMIFS(Countries!$E$5:$E$434,Countries!$A$5:$A$434,"All landing pages",Countries!$D$5:$D$434,$A179,Countries!$P$5:$P$434,"&gt;0"))</f>
        <v/>
      </c>
      <c r="O179" s="43">
        <f>IF(SUMIFS(Countries!$F$5:$F$434,Countries!$A$5:$A$434,"All landing pages",Countries!$D$5:$D$434,$A179,Countries!$Q$5:$Q$434,"&gt;0")=0,"",SUMIFS(Countries!$Q$5:$Q$434,Countries!$A$5:$A$434,"All landing pages",Countries!$D$5:$D$434,$A179,Countries!$F$5:$F$434,"&gt;0")/SUMIFS(Countries!$F$5:$F$434,Countries!$A$5:$A$434,"All landing pages",Countries!$D$5:$D$434,$A179,Countries!$Q$5:$Q$434,"&gt;0"))</f>
        <v/>
      </c>
      <c r="P179" s="44">
        <f>IF(OR(N179="",O179=""),"",(O179-N179)*100)</f>
        <v/>
      </c>
      <c r="Q179" s="73" t="n"/>
    </row>
    <row r="180">
      <c r="A180" s="56" t="inlineStr">
        <is>
          <t>Switzerland</t>
        </is>
      </c>
      <c r="B180" s="43">
        <f>IF(SUMIFS(Countries!$E$5:$E$434,Countries!$A$5:$A$434,"All landing pages",Countries!$B$5:$B$434,"Paid Search",Countries!$D$5:$D$434,$A180,Countries!$P$5:$P$434,"&gt;0")=0,"",SUMIFS(Countries!$P$5:$P$434,Countries!$A$5:$A$434,"All landing pages",Countries!$B$5:$B$434,"Paid Search",Countries!$D$5:$D$434,$A180,Countries!$E$5:$E$434,"&gt;0")/SUMIFS(Countries!$E$5:$E$434,Countries!$A$5:$A$434,"All landing pages",Countries!$B$5:$B$434,"Paid Search",Countries!$D$5:$D$434,$A180,Countries!$P$5:$P$434,"&gt;0"))</f>
        <v/>
      </c>
      <c r="C180" s="43">
        <f>IF(SUMIFS(Countries!$F$5:$F$434,Countries!$A$5:$A$434,"All landing pages",Countries!$B$5:$B$434,"Paid Search",Countries!$D$5:$D$434,$A180,Countries!$Q$5:$Q$434,"&gt;0")=0,"",SUMIFS(Countries!$Q$5:$Q$434,Countries!$A$5:$A$434,"All landing pages",Countries!$B$5:$B$434,"Paid Search",Countries!$D$5:$D$434,$A180,Countries!$F$5:$F$434,"&gt;0")/SUMIFS(Countries!$F$5:$F$434,Countries!$A$5:$A$434,"All landing pages",Countries!$B$5:$B$434,"Paid Search",Countries!$D$5:$D$434,$A180,Countries!$Q$5:$Q$434,"&gt;0"))</f>
        <v/>
      </c>
      <c r="D180" s="44">
        <f>IF(OR(B180="",C180=""),"",(C180-B180)*100)</f>
        <v/>
      </c>
      <c r="E180" s="73" t="n"/>
      <c r="F180" s="43">
        <f>IF(SUMIFS(Countries!$E$5:$E$434,Countries!$A$5:$A$434,"All landing pages",Countries!$B$5:$B$434,"Organic",Countries!$D$5:$D$434,$A180,Countries!$P$5:$P$434,"&gt;0")=0,"",SUMIFS(Countries!$P$5:$P$434,Countries!$A$5:$A$434,"All landing pages",Countries!$B$5:$B$434,"Organic",Countries!$D$5:$D$434,$A180,Countries!$E$5:$E$434,"&gt;0")/SUMIFS(Countries!$E$5:$E$434,Countries!$A$5:$A$434,"All landing pages",Countries!$B$5:$B$434,"Organic",Countries!$D$5:$D$434,$A180,Countries!$P$5:$P$434,"&gt;0"))</f>
        <v/>
      </c>
      <c r="G180" s="43">
        <f>IF(SUMIFS(Countries!$F$5:$F$434,Countries!$A$5:$A$434,"All landing pages",Countries!$B$5:$B$434,"Organic",Countries!$D$5:$D$434,$A180,Countries!$Q$5:$Q$434,"&gt;0")=0,"",SUMIFS(Countries!$Q$5:$Q$434,Countries!$A$5:$A$434,"All landing pages",Countries!$B$5:$B$434,"Organic",Countries!$D$5:$D$434,$A180,Countries!$F$5:$F$434,"&gt;0")/SUMIFS(Countries!$F$5:$F$434,Countries!$A$5:$A$434,"All landing pages",Countries!$B$5:$B$434,"Organic",Countries!$D$5:$D$434,$A180,Countries!$Q$5:$Q$434,"&gt;0"))</f>
        <v/>
      </c>
      <c r="H180" s="44">
        <f>IF(OR(F180="",G180=""),"",(G180-F180)*100)</f>
        <v/>
      </c>
      <c r="I180" s="73" t="n"/>
      <c r="J180" s="43">
        <f>IF(SUMIFS(Countries!$E$5:$E$434,Countries!$A$5:$A$434,"All landing pages",Countries!$B$5:$B$434,"Direct",Countries!$D$5:$D$434,$A180,Countries!$P$5:$P$434,"&gt;0")=0,"",SUMIFS(Countries!$P$5:$P$434,Countries!$A$5:$A$434,"All landing pages",Countries!$B$5:$B$434,"Direct",Countries!$D$5:$D$434,$A180,Countries!$E$5:$E$434,"&gt;0")/SUMIFS(Countries!$E$5:$E$434,Countries!$A$5:$A$434,"All landing pages",Countries!$B$5:$B$434,"Direct",Countries!$D$5:$D$434,$A180,Countries!$P$5:$P$434,"&gt;0"))</f>
        <v/>
      </c>
      <c r="K180" s="43">
        <f>IF(SUMIFS(Countries!$F$5:$F$434,Countries!$A$5:$A$434,"All landing pages",Countries!$B$5:$B$434,"Direct",Countries!$D$5:$D$434,$A180,Countries!$Q$5:$Q$434,"&gt;0")=0,"",SUMIFS(Countries!$Q$5:$Q$434,Countries!$A$5:$A$434,"All landing pages",Countries!$B$5:$B$434,"Direct",Countries!$D$5:$D$434,$A180,Countries!$F$5:$F$434,"&gt;0")/SUMIFS(Countries!$F$5:$F$434,Countries!$A$5:$A$434,"All landing pages",Countries!$B$5:$B$434,"Direct",Countries!$D$5:$D$434,$A180,Countries!$Q$5:$Q$434,"&gt;0"))</f>
        <v/>
      </c>
      <c r="L180" s="44">
        <f>IF(OR(J180="",K180=""),"",(K180-J180)*100)</f>
        <v/>
      </c>
      <c r="M180" s="73" t="n"/>
      <c r="N180" s="43">
        <f>IF(SUMIFS(Countries!$E$5:$E$434,Countries!$A$5:$A$434,"All landing pages",Countries!$D$5:$D$434,$A180,Countries!$P$5:$P$434,"&gt;0")=0,"",SUMIFS(Countries!$P$5:$P$434,Countries!$A$5:$A$434,"All landing pages",Countries!$D$5:$D$434,$A180,Countries!$E$5:$E$434,"&gt;0")/SUMIFS(Countries!$E$5:$E$434,Countries!$A$5:$A$434,"All landing pages",Countries!$D$5:$D$434,$A180,Countries!$P$5:$P$434,"&gt;0"))</f>
        <v/>
      </c>
      <c r="O180" s="43">
        <f>IF(SUMIFS(Countries!$F$5:$F$434,Countries!$A$5:$A$434,"All landing pages",Countries!$D$5:$D$434,$A180,Countries!$Q$5:$Q$434,"&gt;0")=0,"",SUMIFS(Countries!$Q$5:$Q$434,Countries!$A$5:$A$434,"All landing pages",Countries!$D$5:$D$434,$A180,Countries!$F$5:$F$434,"&gt;0")/SUMIFS(Countries!$F$5:$F$434,Countries!$A$5:$A$434,"All landing pages",Countries!$D$5:$D$434,$A180,Countries!$Q$5:$Q$434,"&gt;0"))</f>
        <v/>
      </c>
      <c r="P180" s="44">
        <f>IF(OR(N180="",O180=""),"",(O180-N180)*100)</f>
        <v/>
      </c>
      <c r="Q180" s="73" t="n"/>
    </row>
    <row r="181">
      <c r="A181" s="40" t="inlineStr">
        <is>
          <t>(not set)</t>
        </is>
      </c>
      <c r="B181" s="43">
        <f>IF(SUMIFS(Countries!$E$5:$E$434,Countries!$A$5:$A$434,"All landing pages",Countries!$B$5:$B$434,"Paid Search",Countries!$D$5:$D$434,$A181,Countries!$P$5:$P$434,"&gt;0")=0,"",SUMIFS(Countries!$P$5:$P$434,Countries!$A$5:$A$434,"All landing pages",Countries!$B$5:$B$434,"Paid Search",Countries!$D$5:$D$434,$A181,Countries!$E$5:$E$434,"&gt;0")/SUMIFS(Countries!$E$5:$E$434,Countries!$A$5:$A$434,"All landing pages",Countries!$B$5:$B$434,"Paid Search",Countries!$D$5:$D$434,$A181,Countries!$P$5:$P$434,"&gt;0"))</f>
        <v/>
      </c>
      <c r="C181" s="43">
        <f>IF(SUMIFS(Countries!$F$5:$F$434,Countries!$A$5:$A$434,"All landing pages",Countries!$B$5:$B$434,"Paid Search",Countries!$D$5:$D$434,$A181,Countries!$Q$5:$Q$434,"&gt;0")=0,"",SUMIFS(Countries!$Q$5:$Q$434,Countries!$A$5:$A$434,"All landing pages",Countries!$B$5:$B$434,"Paid Search",Countries!$D$5:$D$434,$A181,Countries!$F$5:$F$434,"&gt;0")/SUMIFS(Countries!$F$5:$F$434,Countries!$A$5:$A$434,"All landing pages",Countries!$B$5:$B$434,"Paid Search",Countries!$D$5:$D$434,$A181,Countries!$Q$5:$Q$434,"&gt;0"))</f>
        <v/>
      </c>
      <c r="D181" s="44">
        <f>IF(OR(B181="",C181=""),"",(C181-B181)*100)</f>
        <v/>
      </c>
      <c r="E181" s="73" t="n"/>
      <c r="F181" s="43">
        <f>IF(SUMIFS(Countries!$E$5:$E$434,Countries!$A$5:$A$434,"All landing pages",Countries!$B$5:$B$434,"Organic",Countries!$D$5:$D$434,$A181,Countries!$P$5:$P$434,"&gt;0")=0,"",SUMIFS(Countries!$P$5:$P$434,Countries!$A$5:$A$434,"All landing pages",Countries!$B$5:$B$434,"Organic",Countries!$D$5:$D$434,$A181,Countries!$E$5:$E$434,"&gt;0")/SUMIFS(Countries!$E$5:$E$434,Countries!$A$5:$A$434,"All landing pages",Countries!$B$5:$B$434,"Organic",Countries!$D$5:$D$434,$A181,Countries!$P$5:$P$434,"&gt;0"))</f>
        <v/>
      </c>
      <c r="G181" s="43">
        <f>IF(SUMIFS(Countries!$F$5:$F$434,Countries!$A$5:$A$434,"All landing pages",Countries!$B$5:$B$434,"Organic",Countries!$D$5:$D$434,$A181,Countries!$Q$5:$Q$434,"&gt;0")=0,"",SUMIFS(Countries!$Q$5:$Q$434,Countries!$A$5:$A$434,"All landing pages",Countries!$B$5:$B$434,"Organic",Countries!$D$5:$D$434,$A181,Countries!$F$5:$F$434,"&gt;0")/SUMIFS(Countries!$F$5:$F$434,Countries!$A$5:$A$434,"All landing pages",Countries!$B$5:$B$434,"Organic",Countries!$D$5:$D$434,$A181,Countries!$Q$5:$Q$434,"&gt;0"))</f>
        <v/>
      </c>
      <c r="H181" s="44">
        <f>IF(OR(F181="",G181=""),"",(G181-F181)*100)</f>
        <v/>
      </c>
      <c r="I181" s="73" t="n"/>
      <c r="J181" s="43">
        <f>IF(SUMIFS(Countries!$E$5:$E$434,Countries!$A$5:$A$434,"All landing pages",Countries!$B$5:$B$434,"Direct",Countries!$D$5:$D$434,$A181,Countries!$P$5:$P$434,"&gt;0")=0,"",SUMIFS(Countries!$P$5:$P$434,Countries!$A$5:$A$434,"All landing pages",Countries!$B$5:$B$434,"Direct",Countries!$D$5:$D$434,$A181,Countries!$E$5:$E$434,"&gt;0")/SUMIFS(Countries!$E$5:$E$434,Countries!$A$5:$A$434,"All landing pages",Countries!$B$5:$B$434,"Direct",Countries!$D$5:$D$434,$A181,Countries!$P$5:$P$434,"&gt;0"))</f>
        <v/>
      </c>
      <c r="K181" s="43">
        <f>IF(SUMIFS(Countries!$F$5:$F$434,Countries!$A$5:$A$434,"All landing pages",Countries!$B$5:$B$434,"Direct",Countries!$D$5:$D$434,$A181,Countries!$Q$5:$Q$434,"&gt;0")=0,"",SUMIFS(Countries!$Q$5:$Q$434,Countries!$A$5:$A$434,"All landing pages",Countries!$B$5:$B$434,"Direct",Countries!$D$5:$D$434,$A181,Countries!$F$5:$F$434,"&gt;0")/SUMIFS(Countries!$F$5:$F$434,Countries!$A$5:$A$434,"All landing pages",Countries!$B$5:$B$434,"Direct",Countries!$D$5:$D$434,$A181,Countries!$Q$5:$Q$434,"&gt;0"))</f>
        <v/>
      </c>
      <c r="L181" s="44">
        <f>IF(OR(J181="",K181=""),"",(K181-J181)*100)</f>
        <v/>
      </c>
      <c r="M181" s="73" t="n"/>
      <c r="N181" s="43">
        <f>IF(SUMIFS(Countries!$E$5:$E$434,Countries!$A$5:$A$434,"All landing pages",Countries!$D$5:$D$434,$A181,Countries!$P$5:$P$434,"&gt;0")=0,"",SUMIFS(Countries!$P$5:$P$434,Countries!$A$5:$A$434,"All landing pages",Countries!$D$5:$D$434,$A181,Countries!$E$5:$E$434,"&gt;0")/SUMIFS(Countries!$E$5:$E$434,Countries!$A$5:$A$434,"All landing pages",Countries!$D$5:$D$434,$A181,Countries!$P$5:$P$434,"&gt;0"))</f>
        <v/>
      </c>
      <c r="O181" s="43">
        <f>IF(SUMIFS(Countries!$F$5:$F$434,Countries!$A$5:$A$434,"All landing pages",Countries!$D$5:$D$434,$A181,Countries!$Q$5:$Q$434,"&gt;0")=0,"",SUMIFS(Countries!$Q$5:$Q$434,Countries!$A$5:$A$434,"All landing pages",Countries!$D$5:$D$434,$A181,Countries!$F$5:$F$434,"&gt;0")/SUMIFS(Countries!$F$5:$F$434,Countries!$A$5:$A$434,"All landing pages",Countries!$D$5:$D$434,$A181,Countries!$Q$5:$Q$434,"&gt;0"))</f>
        <v/>
      </c>
      <c r="P181" s="44">
        <f>IF(OR(N181="",O181=""),"",(O181-N181)*100)</f>
        <v/>
      </c>
      <c r="Q181" s="73" t="n"/>
    </row>
    <row r="182">
      <c r="A182" s="56" t="inlineStr">
        <is>
          <t>Algeria</t>
        </is>
      </c>
      <c r="B182" s="43">
        <f>IF(SUMIFS(Countries!$E$5:$E$434,Countries!$A$5:$A$434,"All landing pages",Countries!$B$5:$B$434,"Paid Search",Countries!$D$5:$D$434,$A182,Countries!$P$5:$P$434,"&gt;0")=0,"",SUMIFS(Countries!$P$5:$P$434,Countries!$A$5:$A$434,"All landing pages",Countries!$B$5:$B$434,"Paid Search",Countries!$D$5:$D$434,$A182,Countries!$E$5:$E$434,"&gt;0")/SUMIFS(Countries!$E$5:$E$434,Countries!$A$5:$A$434,"All landing pages",Countries!$B$5:$B$434,"Paid Search",Countries!$D$5:$D$434,$A182,Countries!$P$5:$P$434,"&gt;0"))</f>
        <v/>
      </c>
      <c r="C182" s="43">
        <f>IF(SUMIFS(Countries!$F$5:$F$434,Countries!$A$5:$A$434,"All landing pages",Countries!$B$5:$B$434,"Paid Search",Countries!$D$5:$D$434,$A182,Countries!$Q$5:$Q$434,"&gt;0")=0,"",SUMIFS(Countries!$Q$5:$Q$434,Countries!$A$5:$A$434,"All landing pages",Countries!$B$5:$B$434,"Paid Search",Countries!$D$5:$D$434,$A182,Countries!$F$5:$F$434,"&gt;0")/SUMIFS(Countries!$F$5:$F$434,Countries!$A$5:$A$434,"All landing pages",Countries!$B$5:$B$434,"Paid Search",Countries!$D$5:$D$434,$A182,Countries!$Q$5:$Q$434,"&gt;0"))</f>
        <v/>
      </c>
      <c r="D182" s="44">
        <f>IF(OR(B182="",C182=""),"",(C182-B182)*100)</f>
        <v/>
      </c>
      <c r="E182" s="73" t="n"/>
      <c r="F182" s="43">
        <f>IF(SUMIFS(Countries!$E$5:$E$434,Countries!$A$5:$A$434,"All landing pages",Countries!$B$5:$B$434,"Organic",Countries!$D$5:$D$434,$A182,Countries!$P$5:$P$434,"&gt;0")=0,"",SUMIFS(Countries!$P$5:$P$434,Countries!$A$5:$A$434,"All landing pages",Countries!$B$5:$B$434,"Organic",Countries!$D$5:$D$434,$A182,Countries!$E$5:$E$434,"&gt;0")/SUMIFS(Countries!$E$5:$E$434,Countries!$A$5:$A$434,"All landing pages",Countries!$B$5:$B$434,"Organic",Countries!$D$5:$D$434,$A182,Countries!$P$5:$P$434,"&gt;0"))</f>
        <v/>
      </c>
      <c r="G182" s="43">
        <f>IF(SUMIFS(Countries!$F$5:$F$434,Countries!$A$5:$A$434,"All landing pages",Countries!$B$5:$B$434,"Organic",Countries!$D$5:$D$434,$A182,Countries!$Q$5:$Q$434,"&gt;0")=0,"",SUMIFS(Countries!$Q$5:$Q$434,Countries!$A$5:$A$434,"All landing pages",Countries!$B$5:$B$434,"Organic",Countries!$D$5:$D$434,$A182,Countries!$F$5:$F$434,"&gt;0")/SUMIFS(Countries!$F$5:$F$434,Countries!$A$5:$A$434,"All landing pages",Countries!$B$5:$B$434,"Organic",Countries!$D$5:$D$434,$A182,Countries!$Q$5:$Q$434,"&gt;0"))</f>
        <v/>
      </c>
      <c r="H182" s="44">
        <f>IF(OR(F182="",G182=""),"",(G182-F182)*100)</f>
        <v/>
      </c>
      <c r="I182" s="73" t="n"/>
      <c r="J182" s="43">
        <f>IF(SUMIFS(Countries!$E$5:$E$434,Countries!$A$5:$A$434,"All landing pages",Countries!$B$5:$B$434,"Direct",Countries!$D$5:$D$434,$A182,Countries!$P$5:$P$434,"&gt;0")=0,"",SUMIFS(Countries!$P$5:$P$434,Countries!$A$5:$A$434,"All landing pages",Countries!$B$5:$B$434,"Direct",Countries!$D$5:$D$434,$A182,Countries!$E$5:$E$434,"&gt;0")/SUMIFS(Countries!$E$5:$E$434,Countries!$A$5:$A$434,"All landing pages",Countries!$B$5:$B$434,"Direct",Countries!$D$5:$D$434,$A182,Countries!$P$5:$P$434,"&gt;0"))</f>
        <v/>
      </c>
      <c r="K182" s="43">
        <f>IF(SUMIFS(Countries!$F$5:$F$434,Countries!$A$5:$A$434,"All landing pages",Countries!$B$5:$B$434,"Direct",Countries!$D$5:$D$434,$A182,Countries!$Q$5:$Q$434,"&gt;0")=0,"",SUMIFS(Countries!$Q$5:$Q$434,Countries!$A$5:$A$434,"All landing pages",Countries!$B$5:$B$434,"Direct",Countries!$D$5:$D$434,$A182,Countries!$F$5:$F$434,"&gt;0")/SUMIFS(Countries!$F$5:$F$434,Countries!$A$5:$A$434,"All landing pages",Countries!$B$5:$B$434,"Direct",Countries!$D$5:$D$434,$A182,Countries!$Q$5:$Q$434,"&gt;0"))</f>
        <v/>
      </c>
      <c r="L182" s="44">
        <f>IF(OR(J182="",K182=""),"",(K182-J182)*100)</f>
        <v/>
      </c>
      <c r="M182" s="73" t="n"/>
      <c r="N182" s="43">
        <f>IF(SUMIFS(Countries!$E$5:$E$434,Countries!$A$5:$A$434,"All landing pages",Countries!$D$5:$D$434,$A182,Countries!$P$5:$P$434,"&gt;0")=0,"",SUMIFS(Countries!$P$5:$P$434,Countries!$A$5:$A$434,"All landing pages",Countries!$D$5:$D$434,$A182,Countries!$E$5:$E$434,"&gt;0")/SUMIFS(Countries!$E$5:$E$434,Countries!$A$5:$A$434,"All landing pages",Countries!$D$5:$D$434,$A182,Countries!$P$5:$P$434,"&gt;0"))</f>
        <v/>
      </c>
      <c r="O182" s="43">
        <f>IF(SUMIFS(Countries!$F$5:$F$434,Countries!$A$5:$A$434,"All landing pages",Countries!$D$5:$D$434,$A182,Countries!$Q$5:$Q$434,"&gt;0")=0,"",SUMIFS(Countries!$Q$5:$Q$434,Countries!$A$5:$A$434,"All landing pages",Countries!$D$5:$D$434,$A182,Countries!$F$5:$F$434,"&gt;0")/SUMIFS(Countries!$F$5:$F$434,Countries!$A$5:$A$434,"All landing pages",Countries!$D$5:$D$434,$A182,Countries!$Q$5:$Q$434,"&gt;0"))</f>
        <v/>
      </c>
      <c r="P182" s="44">
        <f>IF(OR(N182="",O182=""),"",(O182-N182)*100)</f>
        <v/>
      </c>
      <c r="Q182" s="73" t="n"/>
    </row>
    <row r="183">
      <c r="A183" s="40" t="inlineStr">
        <is>
          <t>Argentina</t>
        </is>
      </c>
      <c r="B183" s="43">
        <f>IF(SUMIFS(Countries!$E$5:$E$434,Countries!$A$5:$A$434,"All landing pages",Countries!$B$5:$B$434,"Paid Search",Countries!$D$5:$D$434,$A183,Countries!$P$5:$P$434,"&gt;0")=0,"",SUMIFS(Countries!$P$5:$P$434,Countries!$A$5:$A$434,"All landing pages",Countries!$B$5:$B$434,"Paid Search",Countries!$D$5:$D$434,$A183,Countries!$E$5:$E$434,"&gt;0")/SUMIFS(Countries!$E$5:$E$434,Countries!$A$5:$A$434,"All landing pages",Countries!$B$5:$B$434,"Paid Search",Countries!$D$5:$D$434,$A183,Countries!$P$5:$P$434,"&gt;0"))</f>
        <v/>
      </c>
      <c r="C183" s="43">
        <f>IF(SUMIFS(Countries!$F$5:$F$434,Countries!$A$5:$A$434,"All landing pages",Countries!$B$5:$B$434,"Paid Search",Countries!$D$5:$D$434,$A183,Countries!$Q$5:$Q$434,"&gt;0")=0,"",SUMIFS(Countries!$Q$5:$Q$434,Countries!$A$5:$A$434,"All landing pages",Countries!$B$5:$B$434,"Paid Search",Countries!$D$5:$D$434,$A183,Countries!$F$5:$F$434,"&gt;0")/SUMIFS(Countries!$F$5:$F$434,Countries!$A$5:$A$434,"All landing pages",Countries!$B$5:$B$434,"Paid Search",Countries!$D$5:$D$434,$A183,Countries!$Q$5:$Q$434,"&gt;0"))</f>
        <v/>
      </c>
      <c r="D183" s="44">
        <f>IF(OR(B183="",C183=""),"",(C183-B183)*100)</f>
        <v/>
      </c>
      <c r="E183" s="73" t="n"/>
      <c r="F183" s="43">
        <f>IF(SUMIFS(Countries!$E$5:$E$434,Countries!$A$5:$A$434,"All landing pages",Countries!$B$5:$B$434,"Organic",Countries!$D$5:$D$434,$A183,Countries!$P$5:$P$434,"&gt;0")=0,"",SUMIFS(Countries!$P$5:$P$434,Countries!$A$5:$A$434,"All landing pages",Countries!$B$5:$B$434,"Organic",Countries!$D$5:$D$434,$A183,Countries!$E$5:$E$434,"&gt;0")/SUMIFS(Countries!$E$5:$E$434,Countries!$A$5:$A$434,"All landing pages",Countries!$B$5:$B$434,"Organic",Countries!$D$5:$D$434,$A183,Countries!$P$5:$P$434,"&gt;0"))</f>
        <v/>
      </c>
      <c r="G183" s="43">
        <f>IF(SUMIFS(Countries!$F$5:$F$434,Countries!$A$5:$A$434,"All landing pages",Countries!$B$5:$B$434,"Organic",Countries!$D$5:$D$434,$A183,Countries!$Q$5:$Q$434,"&gt;0")=0,"",SUMIFS(Countries!$Q$5:$Q$434,Countries!$A$5:$A$434,"All landing pages",Countries!$B$5:$B$434,"Organic",Countries!$D$5:$D$434,$A183,Countries!$F$5:$F$434,"&gt;0")/SUMIFS(Countries!$F$5:$F$434,Countries!$A$5:$A$434,"All landing pages",Countries!$B$5:$B$434,"Organic",Countries!$D$5:$D$434,$A183,Countries!$Q$5:$Q$434,"&gt;0"))</f>
        <v/>
      </c>
      <c r="H183" s="44">
        <f>IF(OR(F183="",G183=""),"",(G183-F183)*100)</f>
        <v/>
      </c>
      <c r="I183" s="73" t="n"/>
      <c r="J183" s="43">
        <f>IF(SUMIFS(Countries!$E$5:$E$434,Countries!$A$5:$A$434,"All landing pages",Countries!$B$5:$B$434,"Direct",Countries!$D$5:$D$434,$A183,Countries!$P$5:$P$434,"&gt;0")=0,"",SUMIFS(Countries!$P$5:$P$434,Countries!$A$5:$A$434,"All landing pages",Countries!$B$5:$B$434,"Direct",Countries!$D$5:$D$434,$A183,Countries!$E$5:$E$434,"&gt;0")/SUMIFS(Countries!$E$5:$E$434,Countries!$A$5:$A$434,"All landing pages",Countries!$B$5:$B$434,"Direct",Countries!$D$5:$D$434,$A183,Countries!$P$5:$P$434,"&gt;0"))</f>
        <v/>
      </c>
      <c r="K183" s="43">
        <f>IF(SUMIFS(Countries!$F$5:$F$434,Countries!$A$5:$A$434,"All landing pages",Countries!$B$5:$B$434,"Direct",Countries!$D$5:$D$434,$A183,Countries!$Q$5:$Q$434,"&gt;0")=0,"",SUMIFS(Countries!$Q$5:$Q$434,Countries!$A$5:$A$434,"All landing pages",Countries!$B$5:$B$434,"Direct",Countries!$D$5:$D$434,$A183,Countries!$F$5:$F$434,"&gt;0")/SUMIFS(Countries!$F$5:$F$434,Countries!$A$5:$A$434,"All landing pages",Countries!$B$5:$B$434,"Direct",Countries!$D$5:$D$434,$A183,Countries!$Q$5:$Q$434,"&gt;0"))</f>
        <v/>
      </c>
      <c r="L183" s="44">
        <f>IF(OR(J183="",K183=""),"",(K183-J183)*100)</f>
        <v/>
      </c>
      <c r="M183" s="73" t="n"/>
      <c r="N183" s="43">
        <f>IF(SUMIFS(Countries!$E$5:$E$434,Countries!$A$5:$A$434,"All landing pages",Countries!$D$5:$D$434,$A183,Countries!$P$5:$P$434,"&gt;0")=0,"",SUMIFS(Countries!$P$5:$P$434,Countries!$A$5:$A$434,"All landing pages",Countries!$D$5:$D$434,$A183,Countries!$E$5:$E$434,"&gt;0")/SUMIFS(Countries!$E$5:$E$434,Countries!$A$5:$A$434,"All landing pages",Countries!$D$5:$D$434,$A183,Countries!$P$5:$P$434,"&gt;0"))</f>
        <v/>
      </c>
      <c r="O183" s="43">
        <f>IF(SUMIFS(Countries!$F$5:$F$434,Countries!$A$5:$A$434,"All landing pages",Countries!$D$5:$D$434,$A183,Countries!$Q$5:$Q$434,"&gt;0")=0,"",SUMIFS(Countries!$Q$5:$Q$434,Countries!$A$5:$A$434,"All landing pages",Countries!$D$5:$D$434,$A183,Countries!$F$5:$F$434,"&gt;0")/SUMIFS(Countries!$F$5:$F$434,Countries!$A$5:$A$434,"All landing pages",Countries!$D$5:$D$434,$A183,Countries!$Q$5:$Q$434,"&gt;0"))</f>
        <v/>
      </c>
      <c r="P183" s="44">
        <f>IF(OR(N183="",O183=""),"",(O183-N183)*100)</f>
        <v/>
      </c>
      <c r="Q183" s="73" t="n"/>
    </row>
    <row r="184">
      <c r="A184" s="56" t="inlineStr">
        <is>
          <t>Bangladesh</t>
        </is>
      </c>
      <c r="B184" s="43">
        <f>IF(SUMIFS(Countries!$E$5:$E$434,Countries!$A$5:$A$434,"All landing pages",Countries!$B$5:$B$434,"Paid Search",Countries!$D$5:$D$434,$A184,Countries!$P$5:$P$434,"&gt;0")=0,"",SUMIFS(Countries!$P$5:$P$434,Countries!$A$5:$A$434,"All landing pages",Countries!$B$5:$B$434,"Paid Search",Countries!$D$5:$D$434,$A184,Countries!$E$5:$E$434,"&gt;0")/SUMIFS(Countries!$E$5:$E$434,Countries!$A$5:$A$434,"All landing pages",Countries!$B$5:$B$434,"Paid Search",Countries!$D$5:$D$434,$A184,Countries!$P$5:$P$434,"&gt;0"))</f>
        <v/>
      </c>
      <c r="C184" s="43">
        <f>IF(SUMIFS(Countries!$F$5:$F$434,Countries!$A$5:$A$434,"All landing pages",Countries!$B$5:$B$434,"Paid Search",Countries!$D$5:$D$434,$A184,Countries!$Q$5:$Q$434,"&gt;0")=0,"",SUMIFS(Countries!$Q$5:$Q$434,Countries!$A$5:$A$434,"All landing pages",Countries!$B$5:$B$434,"Paid Search",Countries!$D$5:$D$434,$A184,Countries!$F$5:$F$434,"&gt;0")/SUMIFS(Countries!$F$5:$F$434,Countries!$A$5:$A$434,"All landing pages",Countries!$B$5:$B$434,"Paid Search",Countries!$D$5:$D$434,$A184,Countries!$Q$5:$Q$434,"&gt;0"))</f>
        <v/>
      </c>
      <c r="D184" s="44">
        <f>IF(OR(B184="",C184=""),"",(C184-B184)*100)</f>
        <v/>
      </c>
      <c r="E184" s="73" t="n"/>
      <c r="F184" s="43">
        <f>IF(SUMIFS(Countries!$E$5:$E$434,Countries!$A$5:$A$434,"All landing pages",Countries!$B$5:$B$434,"Organic",Countries!$D$5:$D$434,$A184,Countries!$P$5:$P$434,"&gt;0")=0,"",SUMIFS(Countries!$P$5:$P$434,Countries!$A$5:$A$434,"All landing pages",Countries!$B$5:$B$434,"Organic",Countries!$D$5:$D$434,$A184,Countries!$E$5:$E$434,"&gt;0")/SUMIFS(Countries!$E$5:$E$434,Countries!$A$5:$A$434,"All landing pages",Countries!$B$5:$B$434,"Organic",Countries!$D$5:$D$434,$A184,Countries!$P$5:$P$434,"&gt;0"))</f>
        <v/>
      </c>
      <c r="G184" s="43">
        <f>IF(SUMIFS(Countries!$F$5:$F$434,Countries!$A$5:$A$434,"All landing pages",Countries!$B$5:$B$434,"Organic",Countries!$D$5:$D$434,$A184,Countries!$Q$5:$Q$434,"&gt;0")=0,"",SUMIFS(Countries!$Q$5:$Q$434,Countries!$A$5:$A$434,"All landing pages",Countries!$B$5:$B$434,"Organic",Countries!$D$5:$D$434,$A184,Countries!$F$5:$F$434,"&gt;0")/SUMIFS(Countries!$F$5:$F$434,Countries!$A$5:$A$434,"All landing pages",Countries!$B$5:$B$434,"Organic",Countries!$D$5:$D$434,$A184,Countries!$Q$5:$Q$434,"&gt;0"))</f>
        <v/>
      </c>
      <c r="H184" s="44">
        <f>IF(OR(F184="",G184=""),"",(G184-F184)*100)</f>
        <v/>
      </c>
      <c r="I184" s="73" t="n"/>
      <c r="J184" s="43">
        <f>IF(SUMIFS(Countries!$E$5:$E$434,Countries!$A$5:$A$434,"All landing pages",Countries!$B$5:$B$434,"Direct",Countries!$D$5:$D$434,$A184,Countries!$P$5:$P$434,"&gt;0")=0,"",SUMIFS(Countries!$P$5:$P$434,Countries!$A$5:$A$434,"All landing pages",Countries!$B$5:$B$434,"Direct",Countries!$D$5:$D$434,$A184,Countries!$E$5:$E$434,"&gt;0")/SUMIFS(Countries!$E$5:$E$434,Countries!$A$5:$A$434,"All landing pages",Countries!$B$5:$B$434,"Direct",Countries!$D$5:$D$434,$A184,Countries!$P$5:$P$434,"&gt;0"))</f>
        <v/>
      </c>
      <c r="K184" s="43">
        <f>IF(SUMIFS(Countries!$F$5:$F$434,Countries!$A$5:$A$434,"All landing pages",Countries!$B$5:$B$434,"Direct",Countries!$D$5:$D$434,$A184,Countries!$Q$5:$Q$434,"&gt;0")=0,"",SUMIFS(Countries!$Q$5:$Q$434,Countries!$A$5:$A$434,"All landing pages",Countries!$B$5:$B$434,"Direct",Countries!$D$5:$D$434,$A184,Countries!$F$5:$F$434,"&gt;0")/SUMIFS(Countries!$F$5:$F$434,Countries!$A$5:$A$434,"All landing pages",Countries!$B$5:$B$434,"Direct",Countries!$D$5:$D$434,$A184,Countries!$Q$5:$Q$434,"&gt;0"))</f>
        <v/>
      </c>
      <c r="L184" s="44">
        <f>IF(OR(J184="",K184=""),"",(K184-J184)*100)</f>
        <v/>
      </c>
      <c r="M184" s="73" t="n"/>
      <c r="N184" s="43">
        <f>IF(SUMIFS(Countries!$E$5:$E$434,Countries!$A$5:$A$434,"All landing pages",Countries!$D$5:$D$434,$A184,Countries!$P$5:$P$434,"&gt;0")=0,"",SUMIFS(Countries!$P$5:$P$434,Countries!$A$5:$A$434,"All landing pages",Countries!$D$5:$D$434,$A184,Countries!$E$5:$E$434,"&gt;0")/SUMIFS(Countries!$E$5:$E$434,Countries!$A$5:$A$434,"All landing pages",Countries!$D$5:$D$434,$A184,Countries!$P$5:$P$434,"&gt;0"))</f>
        <v/>
      </c>
      <c r="O184" s="43">
        <f>IF(SUMIFS(Countries!$F$5:$F$434,Countries!$A$5:$A$434,"All landing pages",Countries!$D$5:$D$434,$A184,Countries!$Q$5:$Q$434,"&gt;0")=0,"",SUMIFS(Countries!$Q$5:$Q$434,Countries!$A$5:$A$434,"All landing pages",Countries!$D$5:$D$434,$A184,Countries!$F$5:$F$434,"&gt;0")/SUMIFS(Countries!$F$5:$F$434,Countries!$A$5:$A$434,"All landing pages",Countries!$D$5:$D$434,$A184,Countries!$Q$5:$Q$434,"&gt;0"))</f>
        <v/>
      </c>
      <c r="P184" s="44">
        <f>IF(OR(N184="",O184=""),"",(O184-N184)*100)</f>
        <v/>
      </c>
      <c r="Q184" s="73" t="n"/>
    </row>
    <row r="185">
      <c r="A185" s="40" t="inlineStr">
        <is>
          <t>Brazil</t>
        </is>
      </c>
      <c r="B185" s="43">
        <f>IF(SUMIFS(Countries!$E$5:$E$434,Countries!$A$5:$A$434,"All landing pages",Countries!$B$5:$B$434,"Paid Search",Countries!$D$5:$D$434,$A185,Countries!$P$5:$P$434,"&gt;0")=0,"",SUMIFS(Countries!$P$5:$P$434,Countries!$A$5:$A$434,"All landing pages",Countries!$B$5:$B$434,"Paid Search",Countries!$D$5:$D$434,$A185,Countries!$E$5:$E$434,"&gt;0")/SUMIFS(Countries!$E$5:$E$434,Countries!$A$5:$A$434,"All landing pages",Countries!$B$5:$B$434,"Paid Search",Countries!$D$5:$D$434,$A185,Countries!$P$5:$P$434,"&gt;0"))</f>
        <v/>
      </c>
      <c r="C185" s="43">
        <f>IF(SUMIFS(Countries!$F$5:$F$434,Countries!$A$5:$A$434,"All landing pages",Countries!$B$5:$B$434,"Paid Search",Countries!$D$5:$D$434,$A185,Countries!$Q$5:$Q$434,"&gt;0")=0,"",SUMIFS(Countries!$Q$5:$Q$434,Countries!$A$5:$A$434,"All landing pages",Countries!$B$5:$B$434,"Paid Search",Countries!$D$5:$D$434,$A185,Countries!$F$5:$F$434,"&gt;0")/SUMIFS(Countries!$F$5:$F$434,Countries!$A$5:$A$434,"All landing pages",Countries!$B$5:$B$434,"Paid Search",Countries!$D$5:$D$434,$A185,Countries!$Q$5:$Q$434,"&gt;0"))</f>
        <v/>
      </c>
      <c r="D185" s="44">
        <f>IF(OR(B185="",C185=""),"",(C185-B185)*100)</f>
        <v/>
      </c>
      <c r="E185" s="73" t="n"/>
      <c r="F185" s="43">
        <f>IF(SUMIFS(Countries!$E$5:$E$434,Countries!$A$5:$A$434,"All landing pages",Countries!$B$5:$B$434,"Organic",Countries!$D$5:$D$434,$A185,Countries!$P$5:$P$434,"&gt;0")=0,"",SUMIFS(Countries!$P$5:$P$434,Countries!$A$5:$A$434,"All landing pages",Countries!$B$5:$B$434,"Organic",Countries!$D$5:$D$434,$A185,Countries!$E$5:$E$434,"&gt;0")/SUMIFS(Countries!$E$5:$E$434,Countries!$A$5:$A$434,"All landing pages",Countries!$B$5:$B$434,"Organic",Countries!$D$5:$D$434,$A185,Countries!$P$5:$P$434,"&gt;0"))</f>
        <v/>
      </c>
      <c r="G185" s="43">
        <f>IF(SUMIFS(Countries!$F$5:$F$434,Countries!$A$5:$A$434,"All landing pages",Countries!$B$5:$B$434,"Organic",Countries!$D$5:$D$434,$A185,Countries!$Q$5:$Q$434,"&gt;0")=0,"",SUMIFS(Countries!$Q$5:$Q$434,Countries!$A$5:$A$434,"All landing pages",Countries!$B$5:$B$434,"Organic",Countries!$D$5:$D$434,$A185,Countries!$F$5:$F$434,"&gt;0")/SUMIFS(Countries!$F$5:$F$434,Countries!$A$5:$A$434,"All landing pages",Countries!$B$5:$B$434,"Organic",Countries!$D$5:$D$434,$A185,Countries!$Q$5:$Q$434,"&gt;0"))</f>
        <v/>
      </c>
      <c r="H185" s="44">
        <f>IF(OR(F185="",G185=""),"",(G185-F185)*100)</f>
        <v/>
      </c>
      <c r="I185" s="73" t="n"/>
      <c r="J185" s="43">
        <f>IF(SUMIFS(Countries!$E$5:$E$434,Countries!$A$5:$A$434,"All landing pages",Countries!$B$5:$B$434,"Direct",Countries!$D$5:$D$434,$A185,Countries!$P$5:$P$434,"&gt;0")=0,"",SUMIFS(Countries!$P$5:$P$434,Countries!$A$5:$A$434,"All landing pages",Countries!$B$5:$B$434,"Direct",Countries!$D$5:$D$434,$A185,Countries!$E$5:$E$434,"&gt;0")/SUMIFS(Countries!$E$5:$E$434,Countries!$A$5:$A$434,"All landing pages",Countries!$B$5:$B$434,"Direct",Countries!$D$5:$D$434,$A185,Countries!$P$5:$P$434,"&gt;0"))</f>
        <v/>
      </c>
      <c r="K185" s="43">
        <f>IF(SUMIFS(Countries!$F$5:$F$434,Countries!$A$5:$A$434,"All landing pages",Countries!$B$5:$B$434,"Direct",Countries!$D$5:$D$434,$A185,Countries!$Q$5:$Q$434,"&gt;0")=0,"",SUMIFS(Countries!$Q$5:$Q$434,Countries!$A$5:$A$434,"All landing pages",Countries!$B$5:$B$434,"Direct",Countries!$D$5:$D$434,$A185,Countries!$F$5:$F$434,"&gt;0")/SUMIFS(Countries!$F$5:$F$434,Countries!$A$5:$A$434,"All landing pages",Countries!$B$5:$B$434,"Direct",Countries!$D$5:$D$434,$A185,Countries!$Q$5:$Q$434,"&gt;0"))</f>
        <v/>
      </c>
      <c r="L185" s="44">
        <f>IF(OR(J185="",K185=""),"",(K185-J185)*100)</f>
        <v/>
      </c>
      <c r="M185" s="73" t="n"/>
      <c r="N185" s="43">
        <f>IF(SUMIFS(Countries!$E$5:$E$434,Countries!$A$5:$A$434,"All landing pages",Countries!$D$5:$D$434,$A185,Countries!$P$5:$P$434,"&gt;0")=0,"",SUMIFS(Countries!$P$5:$P$434,Countries!$A$5:$A$434,"All landing pages",Countries!$D$5:$D$434,$A185,Countries!$E$5:$E$434,"&gt;0")/SUMIFS(Countries!$E$5:$E$434,Countries!$A$5:$A$434,"All landing pages",Countries!$D$5:$D$434,$A185,Countries!$P$5:$P$434,"&gt;0"))</f>
        <v/>
      </c>
      <c r="O185" s="43">
        <f>IF(SUMIFS(Countries!$F$5:$F$434,Countries!$A$5:$A$434,"All landing pages",Countries!$D$5:$D$434,$A185,Countries!$Q$5:$Q$434,"&gt;0")=0,"",SUMIFS(Countries!$Q$5:$Q$434,Countries!$A$5:$A$434,"All landing pages",Countries!$D$5:$D$434,$A185,Countries!$F$5:$F$434,"&gt;0")/SUMIFS(Countries!$F$5:$F$434,Countries!$A$5:$A$434,"All landing pages",Countries!$D$5:$D$434,$A185,Countries!$Q$5:$Q$434,"&gt;0"))</f>
        <v/>
      </c>
      <c r="P185" s="44">
        <f>IF(OR(N185="",O185=""),"",(O185-N185)*100)</f>
        <v/>
      </c>
      <c r="Q185" s="73" t="n"/>
    </row>
    <row r="186">
      <c r="A186" s="56" t="inlineStr">
        <is>
          <t>China</t>
        </is>
      </c>
      <c r="B186" s="43">
        <f>IF(SUMIFS(Countries!$E$5:$E$434,Countries!$A$5:$A$434,"All landing pages",Countries!$B$5:$B$434,"Paid Search",Countries!$D$5:$D$434,$A186,Countries!$P$5:$P$434,"&gt;0")=0,"",SUMIFS(Countries!$P$5:$P$434,Countries!$A$5:$A$434,"All landing pages",Countries!$B$5:$B$434,"Paid Search",Countries!$D$5:$D$434,$A186,Countries!$E$5:$E$434,"&gt;0")/SUMIFS(Countries!$E$5:$E$434,Countries!$A$5:$A$434,"All landing pages",Countries!$B$5:$B$434,"Paid Search",Countries!$D$5:$D$434,$A186,Countries!$P$5:$P$434,"&gt;0"))</f>
        <v/>
      </c>
      <c r="C186" s="43">
        <f>IF(SUMIFS(Countries!$F$5:$F$434,Countries!$A$5:$A$434,"All landing pages",Countries!$B$5:$B$434,"Paid Search",Countries!$D$5:$D$434,$A186,Countries!$Q$5:$Q$434,"&gt;0")=0,"",SUMIFS(Countries!$Q$5:$Q$434,Countries!$A$5:$A$434,"All landing pages",Countries!$B$5:$B$434,"Paid Search",Countries!$D$5:$D$434,$A186,Countries!$F$5:$F$434,"&gt;0")/SUMIFS(Countries!$F$5:$F$434,Countries!$A$5:$A$434,"All landing pages",Countries!$B$5:$B$434,"Paid Search",Countries!$D$5:$D$434,$A186,Countries!$Q$5:$Q$434,"&gt;0"))</f>
        <v/>
      </c>
      <c r="D186" s="44">
        <f>IF(OR(B186="",C186=""),"",(C186-B186)*100)</f>
        <v/>
      </c>
      <c r="E186" s="73" t="n"/>
      <c r="F186" s="43">
        <f>IF(SUMIFS(Countries!$E$5:$E$434,Countries!$A$5:$A$434,"All landing pages",Countries!$B$5:$B$434,"Organic",Countries!$D$5:$D$434,$A186,Countries!$P$5:$P$434,"&gt;0")=0,"",SUMIFS(Countries!$P$5:$P$434,Countries!$A$5:$A$434,"All landing pages",Countries!$B$5:$B$434,"Organic",Countries!$D$5:$D$434,$A186,Countries!$E$5:$E$434,"&gt;0")/SUMIFS(Countries!$E$5:$E$434,Countries!$A$5:$A$434,"All landing pages",Countries!$B$5:$B$434,"Organic",Countries!$D$5:$D$434,$A186,Countries!$P$5:$P$434,"&gt;0"))</f>
        <v/>
      </c>
      <c r="G186" s="43">
        <f>IF(SUMIFS(Countries!$F$5:$F$434,Countries!$A$5:$A$434,"All landing pages",Countries!$B$5:$B$434,"Organic",Countries!$D$5:$D$434,$A186,Countries!$Q$5:$Q$434,"&gt;0")=0,"",SUMIFS(Countries!$Q$5:$Q$434,Countries!$A$5:$A$434,"All landing pages",Countries!$B$5:$B$434,"Organic",Countries!$D$5:$D$434,$A186,Countries!$F$5:$F$434,"&gt;0")/SUMIFS(Countries!$F$5:$F$434,Countries!$A$5:$A$434,"All landing pages",Countries!$B$5:$B$434,"Organic",Countries!$D$5:$D$434,$A186,Countries!$Q$5:$Q$434,"&gt;0"))</f>
        <v/>
      </c>
      <c r="H186" s="44">
        <f>IF(OR(F186="",G186=""),"",(G186-F186)*100)</f>
        <v/>
      </c>
      <c r="I186" s="73" t="n"/>
      <c r="J186" s="43">
        <f>IF(SUMIFS(Countries!$E$5:$E$434,Countries!$A$5:$A$434,"All landing pages",Countries!$B$5:$B$434,"Direct",Countries!$D$5:$D$434,$A186,Countries!$P$5:$P$434,"&gt;0")=0,"",SUMIFS(Countries!$P$5:$P$434,Countries!$A$5:$A$434,"All landing pages",Countries!$B$5:$B$434,"Direct",Countries!$D$5:$D$434,$A186,Countries!$E$5:$E$434,"&gt;0")/SUMIFS(Countries!$E$5:$E$434,Countries!$A$5:$A$434,"All landing pages",Countries!$B$5:$B$434,"Direct",Countries!$D$5:$D$434,$A186,Countries!$P$5:$P$434,"&gt;0"))</f>
        <v/>
      </c>
      <c r="K186" s="43">
        <f>IF(SUMIFS(Countries!$F$5:$F$434,Countries!$A$5:$A$434,"All landing pages",Countries!$B$5:$B$434,"Direct",Countries!$D$5:$D$434,$A186,Countries!$Q$5:$Q$434,"&gt;0")=0,"",SUMIFS(Countries!$Q$5:$Q$434,Countries!$A$5:$A$434,"All landing pages",Countries!$B$5:$B$434,"Direct",Countries!$D$5:$D$434,$A186,Countries!$F$5:$F$434,"&gt;0")/SUMIFS(Countries!$F$5:$F$434,Countries!$A$5:$A$434,"All landing pages",Countries!$B$5:$B$434,"Direct",Countries!$D$5:$D$434,$A186,Countries!$Q$5:$Q$434,"&gt;0"))</f>
        <v/>
      </c>
      <c r="L186" s="44">
        <f>IF(OR(J186="",K186=""),"",(K186-J186)*100)</f>
        <v/>
      </c>
      <c r="M186" s="73" t="n"/>
      <c r="N186" s="43">
        <f>IF(SUMIFS(Countries!$E$5:$E$434,Countries!$A$5:$A$434,"All landing pages",Countries!$D$5:$D$434,$A186,Countries!$P$5:$P$434,"&gt;0")=0,"",SUMIFS(Countries!$P$5:$P$434,Countries!$A$5:$A$434,"All landing pages",Countries!$D$5:$D$434,$A186,Countries!$E$5:$E$434,"&gt;0")/SUMIFS(Countries!$E$5:$E$434,Countries!$A$5:$A$434,"All landing pages",Countries!$D$5:$D$434,$A186,Countries!$P$5:$P$434,"&gt;0"))</f>
        <v/>
      </c>
      <c r="O186" s="43">
        <f>IF(SUMIFS(Countries!$F$5:$F$434,Countries!$A$5:$A$434,"All landing pages",Countries!$D$5:$D$434,$A186,Countries!$Q$5:$Q$434,"&gt;0")=0,"",SUMIFS(Countries!$Q$5:$Q$434,Countries!$A$5:$A$434,"All landing pages",Countries!$D$5:$D$434,$A186,Countries!$F$5:$F$434,"&gt;0")/SUMIFS(Countries!$F$5:$F$434,Countries!$A$5:$A$434,"All landing pages",Countries!$D$5:$D$434,$A186,Countries!$Q$5:$Q$434,"&gt;0"))</f>
        <v/>
      </c>
      <c r="P186" s="44">
        <f>IF(OR(N186="",O186=""),"",(O186-N186)*100)</f>
        <v/>
      </c>
      <c r="Q186" s="73" t="n"/>
    </row>
    <row r="187">
      <c r="A187" s="40" t="inlineStr">
        <is>
          <t>Croatia</t>
        </is>
      </c>
      <c r="B187" s="43">
        <f>IF(SUMIFS(Countries!$E$5:$E$434,Countries!$A$5:$A$434,"All landing pages",Countries!$B$5:$B$434,"Paid Search",Countries!$D$5:$D$434,$A187,Countries!$P$5:$P$434,"&gt;0")=0,"",SUMIFS(Countries!$P$5:$P$434,Countries!$A$5:$A$434,"All landing pages",Countries!$B$5:$B$434,"Paid Search",Countries!$D$5:$D$434,$A187,Countries!$E$5:$E$434,"&gt;0")/SUMIFS(Countries!$E$5:$E$434,Countries!$A$5:$A$434,"All landing pages",Countries!$B$5:$B$434,"Paid Search",Countries!$D$5:$D$434,$A187,Countries!$P$5:$P$434,"&gt;0"))</f>
        <v/>
      </c>
      <c r="C187" s="43">
        <f>IF(SUMIFS(Countries!$F$5:$F$434,Countries!$A$5:$A$434,"All landing pages",Countries!$B$5:$B$434,"Paid Search",Countries!$D$5:$D$434,$A187,Countries!$Q$5:$Q$434,"&gt;0")=0,"",SUMIFS(Countries!$Q$5:$Q$434,Countries!$A$5:$A$434,"All landing pages",Countries!$B$5:$B$434,"Paid Search",Countries!$D$5:$D$434,$A187,Countries!$F$5:$F$434,"&gt;0")/SUMIFS(Countries!$F$5:$F$434,Countries!$A$5:$A$434,"All landing pages",Countries!$B$5:$B$434,"Paid Search",Countries!$D$5:$D$434,$A187,Countries!$Q$5:$Q$434,"&gt;0"))</f>
        <v/>
      </c>
      <c r="D187" s="44">
        <f>IF(OR(B187="",C187=""),"",(C187-B187)*100)</f>
        <v/>
      </c>
      <c r="E187" s="73" t="n"/>
      <c r="F187" s="43">
        <f>IF(SUMIFS(Countries!$E$5:$E$434,Countries!$A$5:$A$434,"All landing pages",Countries!$B$5:$B$434,"Organic",Countries!$D$5:$D$434,$A187,Countries!$P$5:$P$434,"&gt;0")=0,"",SUMIFS(Countries!$P$5:$P$434,Countries!$A$5:$A$434,"All landing pages",Countries!$B$5:$B$434,"Organic",Countries!$D$5:$D$434,$A187,Countries!$E$5:$E$434,"&gt;0")/SUMIFS(Countries!$E$5:$E$434,Countries!$A$5:$A$434,"All landing pages",Countries!$B$5:$B$434,"Organic",Countries!$D$5:$D$434,$A187,Countries!$P$5:$P$434,"&gt;0"))</f>
        <v/>
      </c>
      <c r="G187" s="43">
        <f>IF(SUMIFS(Countries!$F$5:$F$434,Countries!$A$5:$A$434,"All landing pages",Countries!$B$5:$B$434,"Organic",Countries!$D$5:$D$434,$A187,Countries!$Q$5:$Q$434,"&gt;0")=0,"",SUMIFS(Countries!$Q$5:$Q$434,Countries!$A$5:$A$434,"All landing pages",Countries!$B$5:$B$434,"Organic",Countries!$D$5:$D$434,$A187,Countries!$F$5:$F$434,"&gt;0")/SUMIFS(Countries!$F$5:$F$434,Countries!$A$5:$A$434,"All landing pages",Countries!$B$5:$B$434,"Organic",Countries!$D$5:$D$434,$A187,Countries!$Q$5:$Q$434,"&gt;0"))</f>
        <v/>
      </c>
      <c r="H187" s="44">
        <f>IF(OR(F187="",G187=""),"",(G187-F187)*100)</f>
        <v/>
      </c>
      <c r="I187" s="73" t="n"/>
      <c r="J187" s="43">
        <f>IF(SUMIFS(Countries!$E$5:$E$434,Countries!$A$5:$A$434,"All landing pages",Countries!$B$5:$B$434,"Direct",Countries!$D$5:$D$434,$A187,Countries!$P$5:$P$434,"&gt;0")=0,"",SUMIFS(Countries!$P$5:$P$434,Countries!$A$5:$A$434,"All landing pages",Countries!$B$5:$B$434,"Direct",Countries!$D$5:$D$434,$A187,Countries!$E$5:$E$434,"&gt;0")/SUMIFS(Countries!$E$5:$E$434,Countries!$A$5:$A$434,"All landing pages",Countries!$B$5:$B$434,"Direct",Countries!$D$5:$D$434,$A187,Countries!$P$5:$P$434,"&gt;0"))</f>
        <v/>
      </c>
      <c r="K187" s="43">
        <f>IF(SUMIFS(Countries!$F$5:$F$434,Countries!$A$5:$A$434,"All landing pages",Countries!$B$5:$B$434,"Direct",Countries!$D$5:$D$434,$A187,Countries!$Q$5:$Q$434,"&gt;0")=0,"",SUMIFS(Countries!$Q$5:$Q$434,Countries!$A$5:$A$434,"All landing pages",Countries!$B$5:$B$434,"Direct",Countries!$D$5:$D$434,$A187,Countries!$F$5:$F$434,"&gt;0")/SUMIFS(Countries!$F$5:$F$434,Countries!$A$5:$A$434,"All landing pages",Countries!$B$5:$B$434,"Direct",Countries!$D$5:$D$434,$A187,Countries!$Q$5:$Q$434,"&gt;0"))</f>
        <v/>
      </c>
      <c r="L187" s="44">
        <f>IF(OR(J187="",K187=""),"",(K187-J187)*100)</f>
        <v/>
      </c>
      <c r="M187" s="73" t="n"/>
      <c r="N187" s="43">
        <f>IF(SUMIFS(Countries!$E$5:$E$434,Countries!$A$5:$A$434,"All landing pages",Countries!$D$5:$D$434,$A187,Countries!$P$5:$P$434,"&gt;0")=0,"",SUMIFS(Countries!$P$5:$P$434,Countries!$A$5:$A$434,"All landing pages",Countries!$D$5:$D$434,$A187,Countries!$E$5:$E$434,"&gt;0")/SUMIFS(Countries!$E$5:$E$434,Countries!$A$5:$A$434,"All landing pages",Countries!$D$5:$D$434,$A187,Countries!$P$5:$P$434,"&gt;0"))</f>
        <v/>
      </c>
      <c r="O187" s="43">
        <f>IF(SUMIFS(Countries!$F$5:$F$434,Countries!$A$5:$A$434,"All landing pages",Countries!$D$5:$D$434,$A187,Countries!$Q$5:$Q$434,"&gt;0")=0,"",SUMIFS(Countries!$Q$5:$Q$434,Countries!$A$5:$A$434,"All landing pages",Countries!$D$5:$D$434,$A187,Countries!$F$5:$F$434,"&gt;0")/SUMIFS(Countries!$F$5:$F$434,Countries!$A$5:$A$434,"All landing pages",Countries!$D$5:$D$434,$A187,Countries!$Q$5:$Q$434,"&gt;0"))</f>
        <v/>
      </c>
      <c r="P187" s="44">
        <f>IF(OR(N187="",O187=""),"",(O187-N187)*100)</f>
        <v/>
      </c>
      <c r="Q187" s="73" t="n"/>
    </row>
    <row r="188">
      <c r="A188" s="56" t="inlineStr">
        <is>
          <t>Honduras</t>
        </is>
      </c>
      <c r="B188" s="43">
        <f>IF(SUMIFS(Countries!$E$5:$E$434,Countries!$A$5:$A$434,"All landing pages",Countries!$B$5:$B$434,"Paid Search",Countries!$D$5:$D$434,$A188,Countries!$P$5:$P$434,"&gt;0")=0,"",SUMIFS(Countries!$P$5:$P$434,Countries!$A$5:$A$434,"All landing pages",Countries!$B$5:$B$434,"Paid Search",Countries!$D$5:$D$434,$A188,Countries!$E$5:$E$434,"&gt;0")/SUMIFS(Countries!$E$5:$E$434,Countries!$A$5:$A$434,"All landing pages",Countries!$B$5:$B$434,"Paid Search",Countries!$D$5:$D$434,$A188,Countries!$P$5:$P$434,"&gt;0"))</f>
        <v/>
      </c>
      <c r="C188" s="43">
        <f>IF(SUMIFS(Countries!$F$5:$F$434,Countries!$A$5:$A$434,"All landing pages",Countries!$B$5:$B$434,"Paid Search",Countries!$D$5:$D$434,$A188,Countries!$Q$5:$Q$434,"&gt;0")=0,"",SUMIFS(Countries!$Q$5:$Q$434,Countries!$A$5:$A$434,"All landing pages",Countries!$B$5:$B$434,"Paid Search",Countries!$D$5:$D$434,$A188,Countries!$F$5:$F$434,"&gt;0")/SUMIFS(Countries!$F$5:$F$434,Countries!$A$5:$A$434,"All landing pages",Countries!$B$5:$B$434,"Paid Search",Countries!$D$5:$D$434,$A188,Countries!$Q$5:$Q$434,"&gt;0"))</f>
        <v/>
      </c>
      <c r="D188" s="44">
        <f>IF(OR(B188="",C188=""),"",(C188-B188)*100)</f>
        <v/>
      </c>
      <c r="E188" s="73" t="n"/>
      <c r="F188" s="43">
        <f>IF(SUMIFS(Countries!$E$5:$E$434,Countries!$A$5:$A$434,"All landing pages",Countries!$B$5:$B$434,"Organic",Countries!$D$5:$D$434,$A188,Countries!$P$5:$P$434,"&gt;0")=0,"",SUMIFS(Countries!$P$5:$P$434,Countries!$A$5:$A$434,"All landing pages",Countries!$B$5:$B$434,"Organic",Countries!$D$5:$D$434,$A188,Countries!$E$5:$E$434,"&gt;0")/SUMIFS(Countries!$E$5:$E$434,Countries!$A$5:$A$434,"All landing pages",Countries!$B$5:$B$434,"Organic",Countries!$D$5:$D$434,$A188,Countries!$P$5:$P$434,"&gt;0"))</f>
        <v/>
      </c>
      <c r="G188" s="43">
        <f>IF(SUMIFS(Countries!$F$5:$F$434,Countries!$A$5:$A$434,"All landing pages",Countries!$B$5:$B$434,"Organic",Countries!$D$5:$D$434,$A188,Countries!$Q$5:$Q$434,"&gt;0")=0,"",SUMIFS(Countries!$Q$5:$Q$434,Countries!$A$5:$A$434,"All landing pages",Countries!$B$5:$B$434,"Organic",Countries!$D$5:$D$434,$A188,Countries!$F$5:$F$434,"&gt;0")/SUMIFS(Countries!$F$5:$F$434,Countries!$A$5:$A$434,"All landing pages",Countries!$B$5:$B$434,"Organic",Countries!$D$5:$D$434,$A188,Countries!$Q$5:$Q$434,"&gt;0"))</f>
        <v/>
      </c>
      <c r="H188" s="44">
        <f>IF(OR(F188="",G188=""),"",(G188-F188)*100)</f>
        <v/>
      </c>
      <c r="I188" s="73" t="n"/>
      <c r="J188" s="43">
        <f>IF(SUMIFS(Countries!$E$5:$E$434,Countries!$A$5:$A$434,"All landing pages",Countries!$B$5:$B$434,"Direct",Countries!$D$5:$D$434,$A188,Countries!$P$5:$P$434,"&gt;0")=0,"",SUMIFS(Countries!$P$5:$P$434,Countries!$A$5:$A$434,"All landing pages",Countries!$B$5:$B$434,"Direct",Countries!$D$5:$D$434,$A188,Countries!$E$5:$E$434,"&gt;0")/SUMIFS(Countries!$E$5:$E$434,Countries!$A$5:$A$434,"All landing pages",Countries!$B$5:$B$434,"Direct",Countries!$D$5:$D$434,$A188,Countries!$P$5:$P$434,"&gt;0"))</f>
        <v/>
      </c>
      <c r="K188" s="43">
        <f>IF(SUMIFS(Countries!$F$5:$F$434,Countries!$A$5:$A$434,"All landing pages",Countries!$B$5:$B$434,"Direct",Countries!$D$5:$D$434,$A188,Countries!$Q$5:$Q$434,"&gt;0")=0,"",SUMIFS(Countries!$Q$5:$Q$434,Countries!$A$5:$A$434,"All landing pages",Countries!$B$5:$B$434,"Direct",Countries!$D$5:$D$434,$A188,Countries!$F$5:$F$434,"&gt;0")/SUMIFS(Countries!$F$5:$F$434,Countries!$A$5:$A$434,"All landing pages",Countries!$B$5:$B$434,"Direct",Countries!$D$5:$D$434,$A188,Countries!$Q$5:$Q$434,"&gt;0"))</f>
        <v/>
      </c>
      <c r="L188" s="44">
        <f>IF(OR(J188="",K188=""),"",(K188-J188)*100)</f>
        <v/>
      </c>
      <c r="M188" s="73" t="n"/>
      <c r="N188" s="43">
        <f>IF(SUMIFS(Countries!$E$5:$E$434,Countries!$A$5:$A$434,"All landing pages",Countries!$D$5:$D$434,$A188,Countries!$P$5:$P$434,"&gt;0")=0,"",SUMIFS(Countries!$P$5:$P$434,Countries!$A$5:$A$434,"All landing pages",Countries!$D$5:$D$434,$A188,Countries!$E$5:$E$434,"&gt;0")/SUMIFS(Countries!$E$5:$E$434,Countries!$A$5:$A$434,"All landing pages",Countries!$D$5:$D$434,$A188,Countries!$P$5:$P$434,"&gt;0"))</f>
        <v/>
      </c>
      <c r="O188" s="43">
        <f>IF(SUMIFS(Countries!$F$5:$F$434,Countries!$A$5:$A$434,"All landing pages",Countries!$D$5:$D$434,$A188,Countries!$Q$5:$Q$434,"&gt;0")=0,"",SUMIFS(Countries!$Q$5:$Q$434,Countries!$A$5:$A$434,"All landing pages",Countries!$D$5:$D$434,$A188,Countries!$F$5:$F$434,"&gt;0")/SUMIFS(Countries!$F$5:$F$434,Countries!$A$5:$A$434,"All landing pages",Countries!$D$5:$D$434,$A188,Countries!$Q$5:$Q$434,"&gt;0"))</f>
        <v/>
      </c>
      <c r="P188" s="44">
        <f>IF(OR(N188="",O188=""),"",(O188-N188)*100)</f>
        <v/>
      </c>
      <c r="Q188" s="73" t="n"/>
    </row>
    <row r="189">
      <c r="A189" s="40" t="inlineStr">
        <is>
          <t>Israel</t>
        </is>
      </c>
      <c r="B189" s="43">
        <f>IF(SUMIFS(Countries!$E$5:$E$434,Countries!$A$5:$A$434,"All landing pages",Countries!$B$5:$B$434,"Paid Search",Countries!$D$5:$D$434,$A189,Countries!$P$5:$P$434,"&gt;0")=0,"",SUMIFS(Countries!$P$5:$P$434,Countries!$A$5:$A$434,"All landing pages",Countries!$B$5:$B$434,"Paid Search",Countries!$D$5:$D$434,$A189,Countries!$E$5:$E$434,"&gt;0")/SUMIFS(Countries!$E$5:$E$434,Countries!$A$5:$A$434,"All landing pages",Countries!$B$5:$B$434,"Paid Search",Countries!$D$5:$D$434,$A189,Countries!$P$5:$P$434,"&gt;0"))</f>
        <v/>
      </c>
      <c r="C189" s="43">
        <f>IF(SUMIFS(Countries!$F$5:$F$434,Countries!$A$5:$A$434,"All landing pages",Countries!$B$5:$B$434,"Paid Search",Countries!$D$5:$D$434,$A189,Countries!$Q$5:$Q$434,"&gt;0")=0,"",SUMIFS(Countries!$Q$5:$Q$434,Countries!$A$5:$A$434,"All landing pages",Countries!$B$5:$B$434,"Paid Search",Countries!$D$5:$D$434,$A189,Countries!$F$5:$F$434,"&gt;0")/SUMIFS(Countries!$F$5:$F$434,Countries!$A$5:$A$434,"All landing pages",Countries!$B$5:$B$434,"Paid Search",Countries!$D$5:$D$434,$A189,Countries!$Q$5:$Q$434,"&gt;0"))</f>
        <v/>
      </c>
      <c r="D189" s="44">
        <f>IF(OR(B189="",C189=""),"",(C189-B189)*100)</f>
        <v/>
      </c>
      <c r="E189" s="73" t="n"/>
      <c r="F189" s="43">
        <f>IF(SUMIFS(Countries!$E$5:$E$434,Countries!$A$5:$A$434,"All landing pages",Countries!$B$5:$B$434,"Organic",Countries!$D$5:$D$434,$A189,Countries!$P$5:$P$434,"&gt;0")=0,"",SUMIFS(Countries!$P$5:$P$434,Countries!$A$5:$A$434,"All landing pages",Countries!$B$5:$B$434,"Organic",Countries!$D$5:$D$434,$A189,Countries!$E$5:$E$434,"&gt;0")/SUMIFS(Countries!$E$5:$E$434,Countries!$A$5:$A$434,"All landing pages",Countries!$B$5:$B$434,"Organic",Countries!$D$5:$D$434,$A189,Countries!$P$5:$P$434,"&gt;0"))</f>
        <v/>
      </c>
      <c r="G189" s="43">
        <f>IF(SUMIFS(Countries!$F$5:$F$434,Countries!$A$5:$A$434,"All landing pages",Countries!$B$5:$B$434,"Organic",Countries!$D$5:$D$434,$A189,Countries!$Q$5:$Q$434,"&gt;0")=0,"",SUMIFS(Countries!$Q$5:$Q$434,Countries!$A$5:$A$434,"All landing pages",Countries!$B$5:$B$434,"Organic",Countries!$D$5:$D$434,$A189,Countries!$F$5:$F$434,"&gt;0")/SUMIFS(Countries!$F$5:$F$434,Countries!$A$5:$A$434,"All landing pages",Countries!$B$5:$B$434,"Organic",Countries!$D$5:$D$434,$A189,Countries!$Q$5:$Q$434,"&gt;0"))</f>
        <v/>
      </c>
      <c r="H189" s="44">
        <f>IF(OR(F189="",G189=""),"",(G189-F189)*100)</f>
        <v/>
      </c>
      <c r="I189" s="73" t="n"/>
      <c r="J189" s="43">
        <f>IF(SUMIFS(Countries!$E$5:$E$434,Countries!$A$5:$A$434,"All landing pages",Countries!$B$5:$B$434,"Direct",Countries!$D$5:$D$434,$A189,Countries!$P$5:$P$434,"&gt;0")=0,"",SUMIFS(Countries!$P$5:$P$434,Countries!$A$5:$A$434,"All landing pages",Countries!$B$5:$B$434,"Direct",Countries!$D$5:$D$434,$A189,Countries!$E$5:$E$434,"&gt;0")/SUMIFS(Countries!$E$5:$E$434,Countries!$A$5:$A$434,"All landing pages",Countries!$B$5:$B$434,"Direct",Countries!$D$5:$D$434,$A189,Countries!$P$5:$P$434,"&gt;0"))</f>
        <v/>
      </c>
      <c r="K189" s="43">
        <f>IF(SUMIFS(Countries!$F$5:$F$434,Countries!$A$5:$A$434,"All landing pages",Countries!$B$5:$B$434,"Direct",Countries!$D$5:$D$434,$A189,Countries!$Q$5:$Q$434,"&gt;0")=0,"",SUMIFS(Countries!$Q$5:$Q$434,Countries!$A$5:$A$434,"All landing pages",Countries!$B$5:$B$434,"Direct",Countries!$D$5:$D$434,$A189,Countries!$F$5:$F$434,"&gt;0")/SUMIFS(Countries!$F$5:$F$434,Countries!$A$5:$A$434,"All landing pages",Countries!$B$5:$B$434,"Direct",Countries!$D$5:$D$434,$A189,Countries!$Q$5:$Q$434,"&gt;0"))</f>
        <v/>
      </c>
      <c r="L189" s="44">
        <f>IF(OR(J189="",K189=""),"",(K189-J189)*100)</f>
        <v/>
      </c>
      <c r="M189" s="73" t="n"/>
      <c r="N189" s="43">
        <f>IF(SUMIFS(Countries!$E$5:$E$434,Countries!$A$5:$A$434,"All landing pages",Countries!$D$5:$D$434,$A189,Countries!$P$5:$P$434,"&gt;0")=0,"",SUMIFS(Countries!$P$5:$P$434,Countries!$A$5:$A$434,"All landing pages",Countries!$D$5:$D$434,$A189,Countries!$E$5:$E$434,"&gt;0")/SUMIFS(Countries!$E$5:$E$434,Countries!$A$5:$A$434,"All landing pages",Countries!$D$5:$D$434,$A189,Countries!$P$5:$P$434,"&gt;0"))</f>
        <v/>
      </c>
      <c r="O189" s="43">
        <f>IF(SUMIFS(Countries!$F$5:$F$434,Countries!$A$5:$A$434,"All landing pages",Countries!$D$5:$D$434,$A189,Countries!$Q$5:$Q$434,"&gt;0")=0,"",SUMIFS(Countries!$Q$5:$Q$434,Countries!$A$5:$A$434,"All landing pages",Countries!$D$5:$D$434,$A189,Countries!$F$5:$F$434,"&gt;0")/SUMIFS(Countries!$F$5:$F$434,Countries!$A$5:$A$434,"All landing pages",Countries!$D$5:$D$434,$A189,Countries!$Q$5:$Q$434,"&gt;0"))</f>
        <v/>
      </c>
      <c r="P189" s="44">
        <f>IF(OR(N189="",O189=""),"",(O189-N189)*100)</f>
        <v/>
      </c>
      <c r="Q189" s="73" t="n"/>
    </row>
    <row r="190">
      <c r="A190" s="56" t="inlineStr">
        <is>
          <t>Philippines</t>
        </is>
      </c>
      <c r="B190" s="43">
        <f>IF(SUMIFS(Countries!$E$5:$E$434,Countries!$A$5:$A$434,"All landing pages",Countries!$B$5:$B$434,"Paid Search",Countries!$D$5:$D$434,$A190,Countries!$P$5:$P$434,"&gt;0")=0,"",SUMIFS(Countries!$P$5:$P$434,Countries!$A$5:$A$434,"All landing pages",Countries!$B$5:$B$434,"Paid Search",Countries!$D$5:$D$434,$A190,Countries!$E$5:$E$434,"&gt;0")/SUMIFS(Countries!$E$5:$E$434,Countries!$A$5:$A$434,"All landing pages",Countries!$B$5:$B$434,"Paid Search",Countries!$D$5:$D$434,$A190,Countries!$P$5:$P$434,"&gt;0"))</f>
        <v/>
      </c>
      <c r="C190" s="43">
        <f>IF(SUMIFS(Countries!$F$5:$F$434,Countries!$A$5:$A$434,"All landing pages",Countries!$B$5:$B$434,"Paid Search",Countries!$D$5:$D$434,$A190,Countries!$Q$5:$Q$434,"&gt;0")=0,"",SUMIFS(Countries!$Q$5:$Q$434,Countries!$A$5:$A$434,"All landing pages",Countries!$B$5:$B$434,"Paid Search",Countries!$D$5:$D$434,$A190,Countries!$F$5:$F$434,"&gt;0")/SUMIFS(Countries!$F$5:$F$434,Countries!$A$5:$A$434,"All landing pages",Countries!$B$5:$B$434,"Paid Search",Countries!$D$5:$D$434,$A190,Countries!$Q$5:$Q$434,"&gt;0"))</f>
        <v/>
      </c>
      <c r="D190" s="44">
        <f>IF(OR(B190="",C190=""),"",(C190-B190)*100)</f>
        <v/>
      </c>
      <c r="E190" s="73" t="n"/>
      <c r="F190" s="43">
        <f>IF(SUMIFS(Countries!$E$5:$E$434,Countries!$A$5:$A$434,"All landing pages",Countries!$B$5:$B$434,"Organic",Countries!$D$5:$D$434,$A190,Countries!$P$5:$P$434,"&gt;0")=0,"",SUMIFS(Countries!$P$5:$P$434,Countries!$A$5:$A$434,"All landing pages",Countries!$B$5:$B$434,"Organic",Countries!$D$5:$D$434,$A190,Countries!$E$5:$E$434,"&gt;0")/SUMIFS(Countries!$E$5:$E$434,Countries!$A$5:$A$434,"All landing pages",Countries!$B$5:$B$434,"Organic",Countries!$D$5:$D$434,$A190,Countries!$P$5:$P$434,"&gt;0"))</f>
        <v/>
      </c>
      <c r="G190" s="43">
        <f>IF(SUMIFS(Countries!$F$5:$F$434,Countries!$A$5:$A$434,"All landing pages",Countries!$B$5:$B$434,"Organic",Countries!$D$5:$D$434,$A190,Countries!$Q$5:$Q$434,"&gt;0")=0,"",SUMIFS(Countries!$Q$5:$Q$434,Countries!$A$5:$A$434,"All landing pages",Countries!$B$5:$B$434,"Organic",Countries!$D$5:$D$434,$A190,Countries!$F$5:$F$434,"&gt;0")/SUMIFS(Countries!$F$5:$F$434,Countries!$A$5:$A$434,"All landing pages",Countries!$B$5:$B$434,"Organic",Countries!$D$5:$D$434,$A190,Countries!$Q$5:$Q$434,"&gt;0"))</f>
        <v/>
      </c>
      <c r="H190" s="44">
        <f>IF(OR(F190="",G190=""),"",(G190-F190)*100)</f>
        <v/>
      </c>
      <c r="I190" s="73" t="n"/>
      <c r="J190" s="43">
        <f>IF(SUMIFS(Countries!$E$5:$E$434,Countries!$A$5:$A$434,"All landing pages",Countries!$B$5:$B$434,"Direct",Countries!$D$5:$D$434,$A190,Countries!$P$5:$P$434,"&gt;0")=0,"",SUMIFS(Countries!$P$5:$P$434,Countries!$A$5:$A$434,"All landing pages",Countries!$B$5:$B$434,"Direct",Countries!$D$5:$D$434,$A190,Countries!$E$5:$E$434,"&gt;0")/SUMIFS(Countries!$E$5:$E$434,Countries!$A$5:$A$434,"All landing pages",Countries!$B$5:$B$434,"Direct",Countries!$D$5:$D$434,$A190,Countries!$P$5:$P$434,"&gt;0"))</f>
        <v/>
      </c>
      <c r="K190" s="43">
        <f>IF(SUMIFS(Countries!$F$5:$F$434,Countries!$A$5:$A$434,"All landing pages",Countries!$B$5:$B$434,"Direct",Countries!$D$5:$D$434,$A190,Countries!$Q$5:$Q$434,"&gt;0")=0,"",SUMIFS(Countries!$Q$5:$Q$434,Countries!$A$5:$A$434,"All landing pages",Countries!$B$5:$B$434,"Direct",Countries!$D$5:$D$434,$A190,Countries!$F$5:$F$434,"&gt;0")/SUMIFS(Countries!$F$5:$F$434,Countries!$A$5:$A$434,"All landing pages",Countries!$B$5:$B$434,"Direct",Countries!$D$5:$D$434,$A190,Countries!$Q$5:$Q$434,"&gt;0"))</f>
        <v/>
      </c>
      <c r="L190" s="44">
        <f>IF(OR(J190="",K190=""),"",(K190-J190)*100)</f>
        <v/>
      </c>
      <c r="M190" s="73" t="n"/>
      <c r="N190" s="43">
        <f>IF(SUMIFS(Countries!$E$5:$E$434,Countries!$A$5:$A$434,"All landing pages",Countries!$D$5:$D$434,$A190,Countries!$P$5:$P$434,"&gt;0")=0,"",SUMIFS(Countries!$P$5:$P$434,Countries!$A$5:$A$434,"All landing pages",Countries!$D$5:$D$434,$A190,Countries!$E$5:$E$434,"&gt;0")/SUMIFS(Countries!$E$5:$E$434,Countries!$A$5:$A$434,"All landing pages",Countries!$D$5:$D$434,$A190,Countries!$P$5:$P$434,"&gt;0"))</f>
        <v/>
      </c>
      <c r="O190" s="43">
        <f>IF(SUMIFS(Countries!$F$5:$F$434,Countries!$A$5:$A$434,"All landing pages",Countries!$D$5:$D$434,$A190,Countries!$Q$5:$Q$434,"&gt;0")=0,"",SUMIFS(Countries!$Q$5:$Q$434,Countries!$A$5:$A$434,"All landing pages",Countries!$D$5:$D$434,$A190,Countries!$F$5:$F$434,"&gt;0")/SUMIFS(Countries!$F$5:$F$434,Countries!$A$5:$A$434,"All landing pages",Countries!$D$5:$D$434,$A190,Countries!$Q$5:$Q$434,"&gt;0"))</f>
        <v/>
      </c>
      <c r="P190" s="44">
        <f>IF(OR(N190="",O190=""),"",(O190-N190)*100)</f>
        <v/>
      </c>
      <c r="Q190" s="73" t="n"/>
    </row>
    <row r="191">
      <c r="A191" s="40" t="inlineStr">
        <is>
          <t>Ukraine</t>
        </is>
      </c>
      <c r="B191" s="43">
        <f>IF(SUMIFS(Countries!$E$5:$E$434,Countries!$A$5:$A$434,"All landing pages",Countries!$B$5:$B$434,"Paid Search",Countries!$D$5:$D$434,$A191,Countries!$P$5:$P$434,"&gt;0")=0,"",SUMIFS(Countries!$P$5:$P$434,Countries!$A$5:$A$434,"All landing pages",Countries!$B$5:$B$434,"Paid Search",Countries!$D$5:$D$434,$A191,Countries!$E$5:$E$434,"&gt;0")/SUMIFS(Countries!$E$5:$E$434,Countries!$A$5:$A$434,"All landing pages",Countries!$B$5:$B$434,"Paid Search",Countries!$D$5:$D$434,$A191,Countries!$P$5:$P$434,"&gt;0"))</f>
        <v/>
      </c>
      <c r="C191" s="43">
        <f>IF(SUMIFS(Countries!$F$5:$F$434,Countries!$A$5:$A$434,"All landing pages",Countries!$B$5:$B$434,"Paid Search",Countries!$D$5:$D$434,$A191,Countries!$Q$5:$Q$434,"&gt;0")=0,"",SUMIFS(Countries!$Q$5:$Q$434,Countries!$A$5:$A$434,"All landing pages",Countries!$B$5:$B$434,"Paid Search",Countries!$D$5:$D$434,$A191,Countries!$F$5:$F$434,"&gt;0")/SUMIFS(Countries!$F$5:$F$434,Countries!$A$5:$A$434,"All landing pages",Countries!$B$5:$B$434,"Paid Search",Countries!$D$5:$D$434,$A191,Countries!$Q$5:$Q$434,"&gt;0"))</f>
        <v/>
      </c>
      <c r="D191" s="44">
        <f>IF(OR(B191="",C191=""),"",(C191-B191)*100)</f>
        <v/>
      </c>
      <c r="E191" s="73" t="n"/>
      <c r="F191" s="43">
        <f>IF(SUMIFS(Countries!$E$5:$E$434,Countries!$A$5:$A$434,"All landing pages",Countries!$B$5:$B$434,"Organic",Countries!$D$5:$D$434,$A191,Countries!$P$5:$P$434,"&gt;0")=0,"",SUMIFS(Countries!$P$5:$P$434,Countries!$A$5:$A$434,"All landing pages",Countries!$B$5:$B$434,"Organic",Countries!$D$5:$D$434,$A191,Countries!$E$5:$E$434,"&gt;0")/SUMIFS(Countries!$E$5:$E$434,Countries!$A$5:$A$434,"All landing pages",Countries!$B$5:$B$434,"Organic",Countries!$D$5:$D$434,$A191,Countries!$P$5:$P$434,"&gt;0"))</f>
        <v/>
      </c>
      <c r="G191" s="43">
        <f>IF(SUMIFS(Countries!$F$5:$F$434,Countries!$A$5:$A$434,"All landing pages",Countries!$B$5:$B$434,"Organic",Countries!$D$5:$D$434,$A191,Countries!$Q$5:$Q$434,"&gt;0")=0,"",SUMIFS(Countries!$Q$5:$Q$434,Countries!$A$5:$A$434,"All landing pages",Countries!$B$5:$B$434,"Organic",Countries!$D$5:$D$434,$A191,Countries!$F$5:$F$434,"&gt;0")/SUMIFS(Countries!$F$5:$F$434,Countries!$A$5:$A$434,"All landing pages",Countries!$B$5:$B$434,"Organic",Countries!$D$5:$D$434,$A191,Countries!$Q$5:$Q$434,"&gt;0"))</f>
        <v/>
      </c>
      <c r="H191" s="44">
        <f>IF(OR(F191="",G191=""),"",(G191-F191)*100)</f>
        <v/>
      </c>
      <c r="I191" s="73" t="n"/>
      <c r="J191" s="43">
        <f>IF(SUMIFS(Countries!$E$5:$E$434,Countries!$A$5:$A$434,"All landing pages",Countries!$B$5:$B$434,"Direct",Countries!$D$5:$D$434,$A191,Countries!$P$5:$P$434,"&gt;0")=0,"",SUMIFS(Countries!$P$5:$P$434,Countries!$A$5:$A$434,"All landing pages",Countries!$B$5:$B$434,"Direct",Countries!$D$5:$D$434,$A191,Countries!$E$5:$E$434,"&gt;0")/SUMIFS(Countries!$E$5:$E$434,Countries!$A$5:$A$434,"All landing pages",Countries!$B$5:$B$434,"Direct",Countries!$D$5:$D$434,$A191,Countries!$P$5:$P$434,"&gt;0"))</f>
        <v/>
      </c>
      <c r="K191" s="43">
        <f>IF(SUMIFS(Countries!$F$5:$F$434,Countries!$A$5:$A$434,"All landing pages",Countries!$B$5:$B$434,"Direct",Countries!$D$5:$D$434,$A191,Countries!$Q$5:$Q$434,"&gt;0")=0,"",SUMIFS(Countries!$Q$5:$Q$434,Countries!$A$5:$A$434,"All landing pages",Countries!$B$5:$B$434,"Direct",Countries!$D$5:$D$434,$A191,Countries!$F$5:$F$434,"&gt;0")/SUMIFS(Countries!$F$5:$F$434,Countries!$A$5:$A$434,"All landing pages",Countries!$B$5:$B$434,"Direct",Countries!$D$5:$D$434,$A191,Countries!$Q$5:$Q$434,"&gt;0"))</f>
        <v/>
      </c>
      <c r="L191" s="44">
        <f>IF(OR(J191="",K191=""),"",(K191-J191)*100)</f>
        <v/>
      </c>
      <c r="M191" s="73" t="n"/>
      <c r="N191" s="43">
        <f>IF(SUMIFS(Countries!$E$5:$E$434,Countries!$A$5:$A$434,"All landing pages",Countries!$D$5:$D$434,$A191,Countries!$P$5:$P$434,"&gt;0")=0,"",SUMIFS(Countries!$P$5:$P$434,Countries!$A$5:$A$434,"All landing pages",Countries!$D$5:$D$434,$A191,Countries!$E$5:$E$434,"&gt;0")/SUMIFS(Countries!$E$5:$E$434,Countries!$A$5:$A$434,"All landing pages",Countries!$D$5:$D$434,$A191,Countries!$P$5:$P$434,"&gt;0"))</f>
        <v/>
      </c>
      <c r="O191" s="43">
        <f>IF(SUMIFS(Countries!$F$5:$F$434,Countries!$A$5:$A$434,"All landing pages",Countries!$D$5:$D$434,$A191,Countries!$Q$5:$Q$434,"&gt;0")=0,"",SUMIFS(Countries!$Q$5:$Q$434,Countries!$A$5:$A$434,"All landing pages",Countries!$D$5:$D$434,$A191,Countries!$F$5:$F$434,"&gt;0")/SUMIFS(Countries!$F$5:$F$434,Countries!$A$5:$A$434,"All landing pages",Countries!$D$5:$D$434,$A191,Countries!$Q$5:$Q$434,"&gt;0"))</f>
        <v/>
      </c>
      <c r="P191" s="44">
        <f>IF(OR(N191="",O191=""),"",(O191-N191)*100)</f>
        <v/>
      </c>
      <c r="Q191" s="73" t="n"/>
    </row>
    <row r="194">
      <c r="A194" s="39" t="inlineStr">
        <is>
          <t>Select item</t>
        </is>
      </c>
    </row>
    <row r="195">
      <c r="A195" s="75" t="inlineStr">
        <is>
          <t>Country</t>
        </is>
      </c>
      <c r="B195" s="29" t="inlineStr">
        <is>
          <t>Paid Search</t>
        </is>
      </c>
      <c r="C195" s="21" t="n"/>
      <c r="D195" s="21" t="n"/>
      <c r="E195" s="21" t="n"/>
      <c r="F195" s="29" t="inlineStr">
        <is>
          <t>Organic</t>
        </is>
      </c>
      <c r="G195" s="21" t="n"/>
      <c r="H195" s="21" t="n"/>
      <c r="I195" s="21" t="n"/>
      <c r="J195" s="29" t="inlineStr">
        <is>
          <t>Direct</t>
        </is>
      </c>
      <c r="K195" s="21" t="n"/>
      <c r="L195" s="21" t="n"/>
      <c r="M195" s="21" t="n"/>
      <c r="N195" s="27" t="inlineStr">
        <is>
          <t>Total</t>
        </is>
      </c>
      <c r="O195" s="17" t="n"/>
      <c r="P195" s="17" t="n"/>
      <c r="Q195" s="17" t="n"/>
    </row>
    <row r="196">
      <c r="A196" s="15" t="n"/>
      <c r="B196" s="27" t="inlineStr">
        <is>
          <t>1-23Aug25</t>
        </is>
      </c>
      <c r="C196" s="27" t="inlineStr">
        <is>
          <t>1-23Aug26</t>
        </is>
      </c>
      <c r="D196" s="27" t="inlineStr">
        <is>
          <t>Δ</t>
        </is>
      </c>
      <c r="E196" s="27" t="inlineStr">
        <is>
          <t>% Δ</t>
        </is>
      </c>
      <c r="F196" s="27" t="inlineStr">
        <is>
          <t>1-23Aug25</t>
        </is>
      </c>
      <c r="G196" s="27" t="inlineStr">
        <is>
          <t>1-23Aug26</t>
        </is>
      </c>
      <c r="H196" s="27" t="inlineStr">
        <is>
          <t>Δ</t>
        </is>
      </c>
      <c r="I196" s="27" t="inlineStr">
        <is>
          <t>% Δ</t>
        </is>
      </c>
      <c r="J196" s="27" t="inlineStr">
        <is>
          <t>1-23Aug25</t>
        </is>
      </c>
      <c r="K196" s="27" t="inlineStr">
        <is>
          <t>1-23Aug26</t>
        </is>
      </c>
      <c r="L196" s="27" t="inlineStr">
        <is>
          <t>Δ</t>
        </is>
      </c>
      <c r="M196" s="27" t="inlineStr">
        <is>
          <t>% Δ</t>
        </is>
      </c>
      <c r="N196" s="27" t="inlineStr">
        <is>
          <t>1-23Aug25</t>
        </is>
      </c>
      <c r="O196" s="27" t="inlineStr">
        <is>
          <t>1-23Aug26</t>
        </is>
      </c>
      <c r="P196" s="27" t="inlineStr">
        <is>
          <t>Δ</t>
        </is>
      </c>
      <c r="Q196" s="27" t="inlineStr">
        <is>
          <t>% Δ</t>
        </is>
      </c>
    </row>
    <row r="197">
      <c r="A197" s="40" t="inlineStr">
        <is>
          <t>United Kingdom</t>
        </is>
      </c>
      <c r="B197" s="41">
        <f>IF(SUMIFS(Countries!$W$5:$W$434,Countries!$A$5:$A$434,"All landing pages",Countries!$B$5:$B$434,"Paid Search",Countries!$D$5:$D$434,$A197)=0,"",SUMIFS(Countries!$W$5:$W$434,Countries!$A$5:$A$434,"All landing pages",Countries!$B$5:$B$434,"Paid Search",Countries!$D$5:$D$434,$A197))</f>
        <v/>
      </c>
      <c r="C197" s="41">
        <f>IF(SUMIFS(Countries!$X$5:$X$434,Countries!$A$5:$A$434,"All landing pages",Countries!$B$5:$B$434,"Paid Search",Countries!$D$5:$D$434,$A197)=0,"",SUMIFS(Countries!$X$5:$X$434,Countries!$A$5:$A$434,"All landing pages",Countries!$B$5:$B$434,"Paid Search",Countries!$D$5:$D$434,$A197))</f>
        <v/>
      </c>
      <c r="D197" s="69">
        <f>IF(OR(C197="",B197="",B197=0,C197=0),"",C197-B197)</f>
        <v/>
      </c>
      <c r="E197" s="42">
        <f>IF(OR(C197="",B197="",B197=0,C197=0),"",C197/B197-1)</f>
        <v/>
      </c>
      <c r="F197" s="41">
        <f>IF(SUMIFS(Countries!$W$5:$W$434,Countries!$A$5:$A$434,"All landing pages",Countries!$B$5:$B$434,"Organic",Countries!$D$5:$D$434,$A197)=0,"",SUMIFS(Countries!$W$5:$W$434,Countries!$A$5:$A$434,"All landing pages",Countries!$B$5:$B$434,"Organic",Countries!$D$5:$D$434,$A197))</f>
        <v/>
      </c>
      <c r="G197" s="41">
        <f>IF(SUMIFS(Countries!$X$5:$X$434,Countries!$A$5:$A$434,"All landing pages",Countries!$B$5:$B$434,"Organic",Countries!$D$5:$D$434,$A197)=0,"",SUMIFS(Countries!$X$5:$X$434,Countries!$A$5:$A$434,"All landing pages",Countries!$B$5:$B$434,"Organic",Countries!$D$5:$D$434,$A197))</f>
        <v/>
      </c>
      <c r="H197" s="69">
        <f>IF(OR(G197="",F197="",F197=0,G197=0),"",G197-F197)</f>
        <v/>
      </c>
      <c r="I197" s="42">
        <f>IF(OR(G197="",F197="",F197=0,G197=0),"",G197/F197-1)</f>
        <v/>
      </c>
      <c r="J197" s="41">
        <f>IF(SUMIFS(Countries!$W$5:$W$434,Countries!$A$5:$A$434,"All landing pages",Countries!$B$5:$B$434,"Direct",Countries!$D$5:$D$434,$A197)=0,"",SUMIFS(Countries!$W$5:$W$434,Countries!$A$5:$A$434,"All landing pages",Countries!$B$5:$B$434,"Direct",Countries!$D$5:$D$434,$A197))</f>
        <v/>
      </c>
      <c r="K197" s="41">
        <f>IF(SUMIFS(Countries!$X$5:$X$434,Countries!$A$5:$A$434,"All landing pages",Countries!$B$5:$B$434,"Direct",Countries!$D$5:$D$434,$A197)=0,"",SUMIFS(Countries!$X$5:$X$434,Countries!$A$5:$A$434,"All landing pages",Countries!$B$5:$B$434,"Direct",Countries!$D$5:$D$434,$A197))</f>
        <v/>
      </c>
      <c r="L197" s="69">
        <f>IF(OR(K197="",J197="",J197=0,K197=0),"",K197-J197)</f>
        <v/>
      </c>
      <c r="M197" s="42">
        <f>IF(OR(K197="",J197="",J197=0,K197=0),"",K197/J197-1)</f>
        <v/>
      </c>
      <c r="N197" s="41">
        <f>IF(SUM(B197,F197,J197)=0,"",SUM(B197,F197,J197))</f>
        <v/>
      </c>
      <c r="O197" s="41">
        <f>IF(SUM(C197,G197,K197)=0,"",SUM(C197,G197,K197))</f>
        <v/>
      </c>
      <c r="P197" s="69">
        <f>IF(OR(O197="",N197="",N197=0,O197=0),"",O197-N197)</f>
        <v/>
      </c>
      <c r="Q197" s="42">
        <f>IF(OR(O197="",N197="",N197=0,O197=0),"",O197/N197-1)</f>
        <v/>
      </c>
    </row>
    <row r="198">
      <c r="A198" s="56" t="inlineStr">
        <is>
          <t>Germany</t>
        </is>
      </c>
      <c r="B198" s="41">
        <f>IF(SUMIFS(Countries!$W$5:$W$434,Countries!$A$5:$A$434,"All landing pages",Countries!$B$5:$B$434,"Paid Search",Countries!$D$5:$D$434,$A198)=0,"",SUMIFS(Countries!$W$5:$W$434,Countries!$A$5:$A$434,"All landing pages",Countries!$B$5:$B$434,"Paid Search",Countries!$D$5:$D$434,$A198))</f>
        <v/>
      </c>
      <c r="C198" s="41">
        <f>IF(SUMIFS(Countries!$X$5:$X$434,Countries!$A$5:$A$434,"All landing pages",Countries!$B$5:$B$434,"Paid Search",Countries!$D$5:$D$434,$A198)=0,"",SUMIFS(Countries!$X$5:$X$434,Countries!$A$5:$A$434,"All landing pages",Countries!$B$5:$B$434,"Paid Search",Countries!$D$5:$D$434,$A198))</f>
        <v/>
      </c>
      <c r="D198" s="69">
        <f>IF(OR(C198="",B198="",B198=0,C198=0),"",C198-B198)</f>
        <v/>
      </c>
      <c r="E198" s="42">
        <f>IF(OR(C198="",B198="",B198=0,C198=0),"",C198/B198-1)</f>
        <v/>
      </c>
      <c r="F198" s="41">
        <f>IF(SUMIFS(Countries!$W$5:$W$434,Countries!$A$5:$A$434,"All landing pages",Countries!$B$5:$B$434,"Organic",Countries!$D$5:$D$434,$A198)=0,"",SUMIFS(Countries!$W$5:$W$434,Countries!$A$5:$A$434,"All landing pages",Countries!$B$5:$B$434,"Organic",Countries!$D$5:$D$434,$A198))</f>
        <v/>
      </c>
      <c r="G198" s="41">
        <f>IF(SUMIFS(Countries!$X$5:$X$434,Countries!$A$5:$A$434,"All landing pages",Countries!$B$5:$B$434,"Organic",Countries!$D$5:$D$434,$A198)=0,"",SUMIFS(Countries!$X$5:$X$434,Countries!$A$5:$A$434,"All landing pages",Countries!$B$5:$B$434,"Organic",Countries!$D$5:$D$434,$A198))</f>
        <v/>
      </c>
      <c r="H198" s="69">
        <f>IF(OR(G198="",F198="",F198=0,G198=0),"",G198-F198)</f>
        <v/>
      </c>
      <c r="I198" s="42">
        <f>IF(OR(G198="",F198="",F198=0,G198=0),"",G198/F198-1)</f>
        <v/>
      </c>
      <c r="J198" s="41">
        <f>IF(SUMIFS(Countries!$W$5:$W$434,Countries!$A$5:$A$434,"All landing pages",Countries!$B$5:$B$434,"Direct",Countries!$D$5:$D$434,$A198)=0,"",SUMIFS(Countries!$W$5:$W$434,Countries!$A$5:$A$434,"All landing pages",Countries!$B$5:$B$434,"Direct",Countries!$D$5:$D$434,$A198))</f>
        <v/>
      </c>
      <c r="K198" s="41">
        <f>IF(SUMIFS(Countries!$X$5:$X$434,Countries!$A$5:$A$434,"All landing pages",Countries!$B$5:$B$434,"Direct",Countries!$D$5:$D$434,$A198)=0,"",SUMIFS(Countries!$X$5:$X$434,Countries!$A$5:$A$434,"All landing pages",Countries!$B$5:$B$434,"Direct",Countries!$D$5:$D$434,$A198))</f>
        <v/>
      </c>
      <c r="L198" s="69">
        <f>IF(OR(K198="",J198="",J198=0,K198=0),"",K198-J198)</f>
        <v/>
      </c>
      <c r="M198" s="42">
        <f>IF(OR(K198="",J198="",J198=0,K198=0),"",K198/J198-1)</f>
        <v/>
      </c>
      <c r="N198" s="41">
        <f>IF(SUM(B198,F198,J198)=0,"",SUM(B198,F198,J198))</f>
        <v/>
      </c>
      <c r="O198" s="41">
        <f>IF(SUM(C198,G198,K198)=0,"",SUM(C198,G198,K198))</f>
        <v/>
      </c>
      <c r="P198" s="69">
        <f>IF(OR(O198="",N198="",N198=0,O198=0),"",O198-N198)</f>
        <v/>
      </c>
      <c r="Q198" s="42">
        <f>IF(OR(O198="",N198="",N198=0,O198=0),"",O198/N198-1)</f>
        <v/>
      </c>
    </row>
    <row r="199">
      <c r="A199" s="40" t="inlineStr">
        <is>
          <t>Italy</t>
        </is>
      </c>
      <c r="B199" s="41">
        <f>IF(SUMIFS(Countries!$W$5:$W$434,Countries!$A$5:$A$434,"All landing pages",Countries!$B$5:$B$434,"Paid Search",Countries!$D$5:$D$434,$A199)=0,"",SUMIFS(Countries!$W$5:$W$434,Countries!$A$5:$A$434,"All landing pages",Countries!$B$5:$B$434,"Paid Search",Countries!$D$5:$D$434,$A199))</f>
        <v/>
      </c>
      <c r="C199" s="41">
        <f>IF(SUMIFS(Countries!$X$5:$X$434,Countries!$A$5:$A$434,"All landing pages",Countries!$B$5:$B$434,"Paid Search",Countries!$D$5:$D$434,$A199)=0,"",SUMIFS(Countries!$X$5:$X$434,Countries!$A$5:$A$434,"All landing pages",Countries!$B$5:$B$434,"Paid Search",Countries!$D$5:$D$434,$A199))</f>
        <v/>
      </c>
      <c r="D199" s="69">
        <f>IF(OR(C199="",B199="",B199=0,C199=0),"",C199-B199)</f>
        <v/>
      </c>
      <c r="E199" s="42">
        <f>IF(OR(C199="",B199="",B199=0,C199=0),"",C199/B199-1)</f>
        <v/>
      </c>
      <c r="F199" s="41">
        <f>IF(SUMIFS(Countries!$W$5:$W$434,Countries!$A$5:$A$434,"All landing pages",Countries!$B$5:$B$434,"Organic",Countries!$D$5:$D$434,$A199)=0,"",SUMIFS(Countries!$W$5:$W$434,Countries!$A$5:$A$434,"All landing pages",Countries!$B$5:$B$434,"Organic",Countries!$D$5:$D$434,$A199))</f>
        <v/>
      </c>
      <c r="G199" s="41">
        <f>IF(SUMIFS(Countries!$X$5:$X$434,Countries!$A$5:$A$434,"All landing pages",Countries!$B$5:$B$434,"Organic",Countries!$D$5:$D$434,$A199)=0,"",SUMIFS(Countries!$X$5:$X$434,Countries!$A$5:$A$434,"All landing pages",Countries!$B$5:$B$434,"Organic",Countries!$D$5:$D$434,$A199))</f>
        <v/>
      </c>
      <c r="H199" s="69">
        <f>IF(OR(G199="",F199="",F199=0,G199=0),"",G199-F199)</f>
        <v/>
      </c>
      <c r="I199" s="42">
        <f>IF(OR(G199="",F199="",F199=0,G199=0),"",G199/F199-1)</f>
        <v/>
      </c>
      <c r="J199" s="41">
        <f>IF(SUMIFS(Countries!$W$5:$W$434,Countries!$A$5:$A$434,"All landing pages",Countries!$B$5:$B$434,"Direct",Countries!$D$5:$D$434,$A199)=0,"",SUMIFS(Countries!$W$5:$W$434,Countries!$A$5:$A$434,"All landing pages",Countries!$B$5:$B$434,"Direct",Countries!$D$5:$D$434,$A199))</f>
        <v/>
      </c>
      <c r="K199" s="41">
        <f>IF(SUMIFS(Countries!$X$5:$X$434,Countries!$A$5:$A$434,"All landing pages",Countries!$B$5:$B$434,"Direct",Countries!$D$5:$D$434,$A199)=0,"",SUMIFS(Countries!$X$5:$X$434,Countries!$A$5:$A$434,"All landing pages",Countries!$B$5:$B$434,"Direct",Countries!$D$5:$D$434,$A199))</f>
        <v/>
      </c>
      <c r="L199" s="69">
        <f>IF(OR(K199="",J199="",J199=0,K199=0),"",K199-J199)</f>
        <v/>
      </c>
      <c r="M199" s="42">
        <f>IF(OR(K199="",J199="",J199=0,K199=0),"",K199/J199-1)</f>
        <v/>
      </c>
      <c r="N199" s="41">
        <f>IF(SUM(B199,F199,J199)=0,"",SUM(B199,F199,J199))</f>
        <v/>
      </c>
      <c r="O199" s="41">
        <f>IF(SUM(C199,G199,K199)=0,"",SUM(C199,G199,K199))</f>
        <v/>
      </c>
      <c r="P199" s="69">
        <f>IF(OR(O199="",N199="",N199=0,O199=0),"",O199-N199)</f>
        <v/>
      </c>
      <c r="Q199" s="42">
        <f>IF(OR(O199="",N199="",N199=0,O199=0),"",O199/N199-1)</f>
        <v/>
      </c>
    </row>
    <row r="200">
      <c r="A200" s="56" t="inlineStr">
        <is>
          <t>Spain</t>
        </is>
      </c>
      <c r="B200" s="41">
        <f>IF(SUMIFS(Countries!$W$5:$W$434,Countries!$A$5:$A$434,"All landing pages",Countries!$B$5:$B$434,"Paid Search",Countries!$D$5:$D$434,$A200)=0,"",SUMIFS(Countries!$W$5:$W$434,Countries!$A$5:$A$434,"All landing pages",Countries!$B$5:$B$434,"Paid Search",Countries!$D$5:$D$434,$A200))</f>
        <v/>
      </c>
      <c r="C200" s="41">
        <f>IF(SUMIFS(Countries!$X$5:$X$434,Countries!$A$5:$A$434,"All landing pages",Countries!$B$5:$B$434,"Paid Search",Countries!$D$5:$D$434,$A200)=0,"",SUMIFS(Countries!$X$5:$X$434,Countries!$A$5:$A$434,"All landing pages",Countries!$B$5:$B$434,"Paid Search",Countries!$D$5:$D$434,$A200))</f>
        <v/>
      </c>
      <c r="D200" s="69">
        <f>IF(OR(C200="",B200="",B200=0,C200=0),"",C200-B200)</f>
        <v/>
      </c>
      <c r="E200" s="42">
        <f>IF(OR(C200="",B200="",B200=0,C200=0),"",C200/B200-1)</f>
        <v/>
      </c>
      <c r="F200" s="41">
        <f>IF(SUMIFS(Countries!$W$5:$W$434,Countries!$A$5:$A$434,"All landing pages",Countries!$B$5:$B$434,"Organic",Countries!$D$5:$D$434,$A200)=0,"",SUMIFS(Countries!$W$5:$W$434,Countries!$A$5:$A$434,"All landing pages",Countries!$B$5:$B$434,"Organic",Countries!$D$5:$D$434,$A200))</f>
        <v/>
      </c>
      <c r="G200" s="41">
        <f>IF(SUMIFS(Countries!$X$5:$X$434,Countries!$A$5:$A$434,"All landing pages",Countries!$B$5:$B$434,"Organic",Countries!$D$5:$D$434,$A200)=0,"",SUMIFS(Countries!$X$5:$X$434,Countries!$A$5:$A$434,"All landing pages",Countries!$B$5:$B$434,"Organic",Countries!$D$5:$D$434,$A200))</f>
        <v/>
      </c>
      <c r="H200" s="69">
        <f>IF(OR(G200="",F200="",F200=0,G200=0),"",G200-F200)</f>
        <v/>
      </c>
      <c r="I200" s="42">
        <f>IF(OR(G200="",F200="",F200=0,G200=0),"",G200/F200-1)</f>
        <v/>
      </c>
      <c r="J200" s="41">
        <f>IF(SUMIFS(Countries!$W$5:$W$434,Countries!$A$5:$A$434,"All landing pages",Countries!$B$5:$B$434,"Direct",Countries!$D$5:$D$434,$A200)=0,"",SUMIFS(Countries!$W$5:$W$434,Countries!$A$5:$A$434,"All landing pages",Countries!$B$5:$B$434,"Direct",Countries!$D$5:$D$434,$A200))</f>
        <v/>
      </c>
      <c r="K200" s="41">
        <f>IF(SUMIFS(Countries!$X$5:$X$434,Countries!$A$5:$A$434,"All landing pages",Countries!$B$5:$B$434,"Direct",Countries!$D$5:$D$434,$A200)=0,"",SUMIFS(Countries!$X$5:$X$434,Countries!$A$5:$A$434,"All landing pages",Countries!$B$5:$B$434,"Direct",Countries!$D$5:$D$434,$A200))</f>
        <v/>
      </c>
      <c r="L200" s="69">
        <f>IF(OR(K200="",J200="",J200=0,K200=0),"",K200-J200)</f>
        <v/>
      </c>
      <c r="M200" s="42">
        <f>IF(OR(K200="",J200="",J200=0,K200=0),"",K200/J200-1)</f>
        <v/>
      </c>
      <c r="N200" s="41">
        <f>IF(SUM(B200,F200,J200)=0,"",SUM(B200,F200,J200))</f>
        <v/>
      </c>
      <c r="O200" s="41">
        <f>IF(SUM(C200,G200,K200)=0,"",SUM(C200,G200,K200))</f>
        <v/>
      </c>
      <c r="P200" s="69">
        <f>IF(OR(O200="",N200="",N200=0,O200=0),"",O200-N200)</f>
        <v/>
      </c>
      <c r="Q200" s="42">
        <f>IF(OR(O200="",N200="",N200=0,O200=0),"",O200/N200-1)</f>
        <v/>
      </c>
    </row>
    <row r="201">
      <c r="A201" s="40" t="inlineStr">
        <is>
          <t>Ireland</t>
        </is>
      </c>
      <c r="B201" s="41">
        <f>IF(SUMIFS(Countries!$W$5:$W$434,Countries!$A$5:$A$434,"All landing pages",Countries!$B$5:$B$434,"Paid Search",Countries!$D$5:$D$434,$A201)=0,"",SUMIFS(Countries!$W$5:$W$434,Countries!$A$5:$A$434,"All landing pages",Countries!$B$5:$B$434,"Paid Search",Countries!$D$5:$D$434,$A201))</f>
        <v/>
      </c>
      <c r="C201" s="41">
        <f>IF(SUMIFS(Countries!$X$5:$X$434,Countries!$A$5:$A$434,"All landing pages",Countries!$B$5:$B$434,"Paid Search",Countries!$D$5:$D$434,$A201)=0,"",SUMIFS(Countries!$X$5:$X$434,Countries!$A$5:$A$434,"All landing pages",Countries!$B$5:$B$434,"Paid Search",Countries!$D$5:$D$434,$A201))</f>
        <v/>
      </c>
      <c r="D201" s="69">
        <f>IF(OR(C201="",B201="",B201=0,C201=0),"",C201-B201)</f>
        <v/>
      </c>
      <c r="E201" s="42">
        <f>IF(OR(C201="",B201="",B201=0,C201=0),"",C201/B201-1)</f>
        <v/>
      </c>
      <c r="F201" s="41">
        <f>IF(SUMIFS(Countries!$W$5:$W$434,Countries!$A$5:$A$434,"All landing pages",Countries!$B$5:$B$434,"Organic",Countries!$D$5:$D$434,$A201)=0,"",SUMIFS(Countries!$W$5:$W$434,Countries!$A$5:$A$434,"All landing pages",Countries!$B$5:$B$434,"Organic",Countries!$D$5:$D$434,$A201))</f>
        <v/>
      </c>
      <c r="G201" s="41">
        <f>IF(SUMIFS(Countries!$X$5:$X$434,Countries!$A$5:$A$434,"All landing pages",Countries!$B$5:$B$434,"Organic",Countries!$D$5:$D$434,$A201)=0,"",SUMIFS(Countries!$X$5:$X$434,Countries!$A$5:$A$434,"All landing pages",Countries!$B$5:$B$434,"Organic",Countries!$D$5:$D$434,$A201))</f>
        <v/>
      </c>
      <c r="H201" s="69">
        <f>IF(OR(G201="",F201="",F201=0,G201=0),"",G201-F201)</f>
        <v/>
      </c>
      <c r="I201" s="42">
        <f>IF(OR(G201="",F201="",F201=0,G201=0),"",G201/F201-1)</f>
        <v/>
      </c>
      <c r="J201" s="41">
        <f>IF(SUMIFS(Countries!$W$5:$W$434,Countries!$A$5:$A$434,"All landing pages",Countries!$B$5:$B$434,"Direct",Countries!$D$5:$D$434,$A201)=0,"",SUMIFS(Countries!$W$5:$W$434,Countries!$A$5:$A$434,"All landing pages",Countries!$B$5:$B$434,"Direct",Countries!$D$5:$D$434,$A201))</f>
        <v/>
      </c>
      <c r="K201" s="41">
        <f>IF(SUMIFS(Countries!$X$5:$X$434,Countries!$A$5:$A$434,"All landing pages",Countries!$B$5:$B$434,"Direct",Countries!$D$5:$D$434,$A201)=0,"",SUMIFS(Countries!$X$5:$X$434,Countries!$A$5:$A$434,"All landing pages",Countries!$B$5:$B$434,"Direct",Countries!$D$5:$D$434,$A201))</f>
        <v/>
      </c>
      <c r="L201" s="69">
        <f>IF(OR(K201="",J201="",J201=0,K201=0),"",K201-J201)</f>
        <v/>
      </c>
      <c r="M201" s="42">
        <f>IF(OR(K201="",J201="",J201=0,K201=0),"",K201/J201-1)</f>
        <v/>
      </c>
      <c r="N201" s="41">
        <f>IF(SUM(B201,F201,J201)=0,"",SUM(B201,F201,J201))</f>
        <v/>
      </c>
      <c r="O201" s="41">
        <f>IF(SUM(C201,G201,K201)=0,"",SUM(C201,G201,K201))</f>
        <v/>
      </c>
      <c r="P201" s="69">
        <f>IF(OR(O201="",N201="",N201=0,O201=0),"",O201-N201)</f>
        <v/>
      </c>
      <c r="Q201" s="42">
        <f>IF(OR(O201="",N201="",N201=0,O201=0),"",O201/N201-1)</f>
        <v/>
      </c>
    </row>
    <row r="202">
      <c r="A202" s="56" t="inlineStr">
        <is>
          <t>Netherlands</t>
        </is>
      </c>
      <c r="B202" s="41">
        <f>IF(SUMIFS(Countries!$W$5:$W$434,Countries!$A$5:$A$434,"All landing pages",Countries!$B$5:$B$434,"Paid Search",Countries!$D$5:$D$434,$A202)=0,"",SUMIFS(Countries!$W$5:$W$434,Countries!$A$5:$A$434,"All landing pages",Countries!$B$5:$B$434,"Paid Search",Countries!$D$5:$D$434,$A202))</f>
        <v/>
      </c>
      <c r="C202" s="41">
        <f>IF(SUMIFS(Countries!$X$5:$X$434,Countries!$A$5:$A$434,"All landing pages",Countries!$B$5:$B$434,"Paid Search",Countries!$D$5:$D$434,$A202)=0,"",SUMIFS(Countries!$X$5:$X$434,Countries!$A$5:$A$434,"All landing pages",Countries!$B$5:$B$434,"Paid Search",Countries!$D$5:$D$434,$A202))</f>
        <v/>
      </c>
      <c r="D202" s="69">
        <f>IF(OR(C202="",B202="",B202=0,C202=0),"",C202-B202)</f>
        <v/>
      </c>
      <c r="E202" s="42">
        <f>IF(OR(C202="",B202="",B202=0,C202=0),"",C202/B202-1)</f>
        <v/>
      </c>
      <c r="F202" s="41">
        <f>IF(SUMIFS(Countries!$W$5:$W$434,Countries!$A$5:$A$434,"All landing pages",Countries!$B$5:$B$434,"Organic",Countries!$D$5:$D$434,$A202)=0,"",SUMIFS(Countries!$W$5:$W$434,Countries!$A$5:$A$434,"All landing pages",Countries!$B$5:$B$434,"Organic",Countries!$D$5:$D$434,$A202))</f>
        <v/>
      </c>
      <c r="G202" s="41">
        <f>IF(SUMIFS(Countries!$X$5:$X$434,Countries!$A$5:$A$434,"All landing pages",Countries!$B$5:$B$434,"Organic",Countries!$D$5:$D$434,$A202)=0,"",SUMIFS(Countries!$X$5:$X$434,Countries!$A$5:$A$434,"All landing pages",Countries!$B$5:$B$434,"Organic",Countries!$D$5:$D$434,$A202))</f>
        <v/>
      </c>
      <c r="H202" s="69">
        <f>IF(OR(G202="",F202="",F202=0,G202=0),"",G202-F202)</f>
        <v/>
      </c>
      <c r="I202" s="42">
        <f>IF(OR(G202="",F202="",F202=0,G202=0),"",G202/F202-1)</f>
        <v/>
      </c>
      <c r="J202" s="41">
        <f>IF(SUMIFS(Countries!$W$5:$W$434,Countries!$A$5:$A$434,"All landing pages",Countries!$B$5:$B$434,"Direct",Countries!$D$5:$D$434,$A202)=0,"",SUMIFS(Countries!$W$5:$W$434,Countries!$A$5:$A$434,"All landing pages",Countries!$B$5:$B$434,"Direct",Countries!$D$5:$D$434,$A202))</f>
        <v/>
      </c>
      <c r="K202" s="41">
        <f>IF(SUMIFS(Countries!$X$5:$X$434,Countries!$A$5:$A$434,"All landing pages",Countries!$B$5:$B$434,"Direct",Countries!$D$5:$D$434,$A202)=0,"",SUMIFS(Countries!$X$5:$X$434,Countries!$A$5:$A$434,"All landing pages",Countries!$B$5:$B$434,"Direct",Countries!$D$5:$D$434,$A202))</f>
        <v/>
      </c>
      <c r="L202" s="69">
        <f>IF(OR(K202="",J202="",J202=0,K202=0),"",K202-J202)</f>
        <v/>
      </c>
      <c r="M202" s="42">
        <f>IF(OR(K202="",J202="",J202=0,K202=0),"",K202/J202-1)</f>
        <v/>
      </c>
      <c r="N202" s="41">
        <f>IF(SUM(B202,F202,J202)=0,"",SUM(B202,F202,J202))</f>
        <v/>
      </c>
      <c r="O202" s="41">
        <f>IF(SUM(C202,G202,K202)=0,"",SUM(C202,G202,K202))</f>
        <v/>
      </c>
      <c r="P202" s="69">
        <f>IF(OR(O202="",N202="",N202=0,O202=0),"",O202-N202)</f>
        <v/>
      </c>
      <c r="Q202" s="42">
        <f>IF(OR(O202="",N202="",N202=0,O202=0),"",O202/N202-1)</f>
        <v/>
      </c>
    </row>
    <row r="203">
      <c r="A203" s="40" t="inlineStr">
        <is>
          <t>France</t>
        </is>
      </c>
      <c r="B203" s="41">
        <f>IF(SUMIFS(Countries!$W$5:$W$434,Countries!$A$5:$A$434,"All landing pages",Countries!$B$5:$B$434,"Paid Search",Countries!$D$5:$D$434,$A203)=0,"",SUMIFS(Countries!$W$5:$W$434,Countries!$A$5:$A$434,"All landing pages",Countries!$B$5:$B$434,"Paid Search",Countries!$D$5:$D$434,$A203))</f>
        <v/>
      </c>
      <c r="C203" s="41">
        <f>IF(SUMIFS(Countries!$X$5:$X$434,Countries!$A$5:$A$434,"All landing pages",Countries!$B$5:$B$434,"Paid Search",Countries!$D$5:$D$434,$A203)=0,"",SUMIFS(Countries!$X$5:$X$434,Countries!$A$5:$A$434,"All landing pages",Countries!$B$5:$B$434,"Paid Search",Countries!$D$5:$D$434,$A203))</f>
        <v/>
      </c>
      <c r="D203" s="69">
        <f>IF(OR(C203="",B203="",B203=0,C203=0),"",C203-B203)</f>
        <v/>
      </c>
      <c r="E203" s="42">
        <f>IF(OR(C203="",B203="",B203=0,C203=0),"",C203/B203-1)</f>
        <v/>
      </c>
      <c r="F203" s="41">
        <f>IF(SUMIFS(Countries!$W$5:$W$434,Countries!$A$5:$A$434,"All landing pages",Countries!$B$5:$B$434,"Organic",Countries!$D$5:$D$434,$A203)=0,"",SUMIFS(Countries!$W$5:$W$434,Countries!$A$5:$A$434,"All landing pages",Countries!$B$5:$B$434,"Organic",Countries!$D$5:$D$434,$A203))</f>
        <v/>
      </c>
      <c r="G203" s="41">
        <f>IF(SUMIFS(Countries!$X$5:$X$434,Countries!$A$5:$A$434,"All landing pages",Countries!$B$5:$B$434,"Organic",Countries!$D$5:$D$434,$A203)=0,"",SUMIFS(Countries!$X$5:$X$434,Countries!$A$5:$A$434,"All landing pages",Countries!$B$5:$B$434,"Organic",Countries!$D$5:$D$434,$A203))</f>
        <v/>
      </c>
      <c r="H203" s="69">
        <f>IF(OR(G203="",F203="",F203=0,G203=0),"",G203-F203)</f>
        <v/>
      </c>
      <c r="I203" s="42">
        <f>IF(OR(G203="",F203="",F203=0,G203=0),"",G203/F203-1)</f>
        <v/>
      </c>
      <c r="J203" s="41">
        <f>IF(SUMIFS(Countries!$W$5:$W$434,Countries!$A$5:$A$434,"All landing pages",Countries!$B$5:$B$434,"Direct",Countries!$D$5:$D$434,$A203)=0,"",SUMIFS(Countries!$W$5:$W$434,Countries!$A$5:$A$434,"All landing pages",Countries!$B$5:$B$434,"Direct",Countries!$D$5:$D$434,$A203))</f>
        <v/>
      </c>
      <c r="K203" s="41">
        <f>IF(SUMIFS(Countries!$X$5:$X$434,Countries!$A$5:$A$434,"All landing pages",Countries!$B$5:$B$434,"Direct",Countries!$D$5:$D$434,$A203)=0,"",SUMIFS(Countries!$X$5:$X$434,Countries!$A$5:$A$434,"All landing pages",Countries!$B$5:$B$434,"Direct",Countries!$D$5:$D$434,$A203))</f>
        <v/>
      </c>
      <c r="L203" s="69">
        <f>IF(OR(K203="",J203="",J203=0,K203=0),"",K203-J203)</f>
        <v/>
      </c>
      <c r="M203" s="42">
        <f>IF(OR(K203="",J203="",J203=0,K203=0),"",K203/J203-1)</f>
        <v/>
      </c>
      <c r="N203" s="41">
        <f>IF(SUM(B203,F203,J203)=0,"",SUM(B203,F203,J203))</f>
        <v/>
      </c>
      <c r="O203" s="41">
        <f>IF(SUM(C203,G203,K203)=0,"",SUM(C203,G203,K203))</f>
        <v/>
      </c>
      <c r="P203" s="69">
        <f>IF(OR(O203="",N203="",N203=0,O203=0),"",O203-N203)</f>
        <v/>
      </c>
      <c r="Q203" s="42">
        <f>IF(OR(O203="",N203="",N203=0,O203=0),"",O203/N203-1)</f>
        <v/>
      </c>
    </row>
    <row r="204">
      <c r="A204" s="56" t="inlineStr">
        <is>
          <t>Poland</t>
        </is>
      </c>
      <c r="B204" s="41">
        <f>IF(SUMIFS(Countries!$W$5:$W$434,Countries!$A$5:$A$434,"All landing pages",Countries!$B$5:$B$434,"Paid Search",Countries!$D$5:$D$434,$A204)=0,"",SUMIFS(Countries!$W$5:$W$434,Countries!$A$5:$A$434,"All landing pages",Countries!$B$5:$B$434,"Paid Search",Countries!$D$5:$D$434,$A204))</f>
        <v/>
      </c>
      <c r="C204" s="41">
        <f>IF(SUMIFS(Countries!$X$5:$X$434,Countries!$A$5:$A$434,"All landing pages",Countries!$B$5:$B$434,"Paid Search",Countries!$D$5:$D$434,$A204)=0,"",SUMIFS(Countries!$X$5:$X$434,Countries!$A$5:$A$434,"All landing pages",Countries!$B$5:$B$434,"Paid Search",Countries!$D$5:$D$434,$A204))</f>
        <v/>
      </c>
      <c r="D204" s="69">
        <f>IF(OR(C204="",B204="",B204=0,C204=0),"",C204-B204)</f>
        <v/>
      </c>
      <c r="E204" s="42">
        <f>IF(OR(C204="",B204="",B204=0,C204=0),"",C204/B204-1)</f>
        <v/>
      </c>
      <c r="F204" s="41">
        <f>IF(SUMIFS(Countries!$W$5:$W$434,Countries!$A$5:$A$434,"All landing pages",Countries!$B$5:$B$434,"Organic",Countries!$D$5:$D$434,$A204)=0,"",SUMIFS(Countries!$W$5:$W$434,Countries!$A$5:$A$434,"All landing pages",Countries!$B$5:$B$434,"Organic",Countries!$D$5:$D$434,$A204))</f>
        <v/>
      </c>
      <c r="G204" s="41">
        <f>IF(SUMIFS(Countries!$X$5:$X$434,Countries!$A$5:$A$434,"All landing pages",Countries!$B$5:$B$434,"Organic",Countries!$D$5:$D$434,$A204)=0,"",SUMIFS(Countries!$X$5:$X$434,Countries!$A$5:$A$434,"All landing pages",Countries!$B$5:$B$434,"Organic",Countries!$D$5:$D$434,$A204))</f>
        <v/>
      </c>
      <c r="H204" s="69">
        <f>IF(OR(G204="",F204="",F204=0,G204=0),"",G204-F204)</f>
        <v/>
      </c>
      <c r="I204" s="42">
        <f>IF(OR(G204="",F204="",F204=0,G204=0),"",G204/F204-1)</f>
        <v/>
      </c>
      <c r="J204" s="41">
        <f>IF(SUMIFS(Countries!$W$5:$W$434,Countries!$A$5:$A$434,"All landing pages",Countries!$B$5:$B$434,"Direct",Countries!$D$5:$D$434,$A204)=0,"",SUMIFS(Countries!$W$5:$W$434,Countries!$A$5:$A$434,"All landing pages",Countries!$B$5:$B$434,"Direct",Countries!$D$5:$D$434,$A204))</f>
        <v/>
      </c>
      <c r="K204" s="41">
        <f>IF(SUMIFS(Countries!$X$5:$X$434,Countries!$A$5:$A$434,"All landing pages",Countries!$B$5:$B$434,"Direct",Countries!$D$5:$D$434,$A204)=0,"",SUMIFS(Countries!$X$5:$X$434,Countries!$A$5:$A$434,"All landing pages",Countries!$B$5:$B$434,"Direct",Countries!$D$5:$D$434,$A204))</f>
        <v/>
      </c>
      <c r="L204" s="69">
        <f>IF(OR(K204="",J204="",J204=0,K204=0),"",K204-J204)</f>
        <v/>
      </c>
      <c r="M204" s="42">
        <f>IF(OR(K204="",J204="",J204=0,K204=0),"",K204/J204-1)</f>
        <v/>
      </c>
      <c r="N204" s="41">
        <f>IF(SUM(B204,F204,J204)=0,"",SUM(B204,F204,J204))</f>
        <v/>
      </c>
      <c r="O204" s="41">
        <f>IF(SUM(C204,G204,K204)=0,"",SUM(C204,G204,K204))</f>
        <v/>
      </c>
      <c r="P204" s="69">
        <f>IF(OR(O204="",N204="",N204=0,O204=0),"",O204-N204)</f>
        <v/>
      </c>
      <c r="Q204" s="42">
        <f>IF(OR(O204="",N204="",N204=0,O204=0),"",O204/N204-1)</f>
        <v/>
      </c>
    </row>
    <row r="205">
      <c r="A205" s="40" t="inlineStr">
        <is>
          <t>United States</t>
        </is>
      </c>
      <c r="B205" s="41">
        <f>IF(SUMIFS(Countries!$W$5:$W$434,Countries!$A$5:$A$434,"All landing pages",Countries!$B$5:$B$434,"Paid Search",Countries!$D$5:$D$434,$A205)=0,"",SUMIFS(Countries!$W$5:$W$434,Countries!$A$5:$A$434,"All landing pages",Countries!$B$5:$B$434,"Paid Search",Countries!$D$5:$D$434,$A205))</f>
        <v/>
      </c>
      <c r="C205" s="41">
        <f>IF(SUMIFS(Countries!$X$5:$X$434,Countries!$A$5:$A$434,"All landing pages",Countries!$B$5:$B$434,"Paid Search",Countries!$D$5:$D$434,$A205)=0,"",SUMIFS(Countries!$X$5:$X$434,Countries!$A$5:$A$434,"All landing pages",Countries!$B$5:$B$434,"Paid Search",Countries!$D$5:$D$434,$A205))</f>
        <v/>
      </c>
      <c r="D205" s="69">
        <f>IF(OR(C205="",B205="",B205=0,C205=0),"",C205-B205)</f>
        <v/>
      </c>
      <c r="E205" s="42">
        <f>IF(OR(C205="",B205="",B205=0,C205=0),"",C205/B205-1)</f>
        <v/>
      </c>
      <c r="F205" s="41">
        <f>IF(SUMIFS(Countries!$W$5:$W$434,Countries!$A$5:$A$434,"All landing pages",Countries!$B$5:$B$434,"Organic",Countries!$D$5:$D$434,$A205)=0,"",SUMIFS(Countries!$W$5:$W$434,Countries!$A$5:$A$434,"All landing pages",Countries!$B$5:$B$434,"Organic",Countries!$D$5:$D$434,$A205))</f>
        <v/>
      </c>
      <c r="G205" s="41">
        <f>IF(SUMIFS(Countries!$X$5:$X$434,Countries!$A$5:$A$434,"All landing pages",Countries!$B$5:$B$434,"Organic",Countries!$D$5:$D$434,$A205)=0,"",SUMIFS(Countries!$X$5:$X$434,Countries!$A$5:$A$434,"All landing pages",Countries!$B$5:$B$434,"Organic",Countries!$D$5:$D$434,$A205))</f>
        <v/>
      </c>
      <c r="H205" s="69">
        <f>IF(OR(G205="",F205="",F205=0,G205=0),"",G205-F205)</f>
        <v/>
      </c>
      <c r="I205" s="42">
        <f>IF(OR(G205="",F205="",F205=0,G205=0),"",G205/F205-1)</f>
        <v/>
      </c>
      <c r="J205" s="41">
        <f>IF(SUMIFS(Countries!$W$5:$W$434,Countries!$A$5:$A$434,"All landing pages",Countries!$B$5:$B$434,"Direct",Countries!$D$5:$D$434,$A205)=0,"",SUMIFS(Countries!$W$5:$W$434,Countries!$A$5:$A$434,"All landing pages",Countries!$B$5:$B$434,"Direct",Countries!$D$5:$D$434,$A205))</f>
        <v/>
      </c>
      <c r="K205" s="41">
        <f>IF(SUMIFS(Countries!$X$5:$X$434,Countries!$A$5:$A$434,"All landing pages",Countries!$B$5:$B$434,"Direct",Countries!$D$5:$D$434,$A205)=0,"",SUMIFS(Countries!$X$5:$X$434,Countries!$A$5:$A$434,"All landing pages",Countries!$B$5:$B$434,"Direct",Countries!$D$5:$D$434,$A205))</f>
        <v/>
      </c>
      <c r="L205" s="69">
        <f>IF(OR(K205="",J205="",J205=0,K205=0),"",K205-J205)</f>
        <v/>
      </c>
      <c r="M205" s="42">
        <f>IF(OR(K205="",J205="",J205=0,K205=0),"",K205/J205-1)</f>
        <v/>
      </c>
      <c r="N205" s="41">
        <f>IF(SUM(B205,F205,J205)=0,"",SUM(B205,F205,J205))</f>
        <v/>
      </c>
      <c r="O205" s="41">
        <f>IF(SUM(C205,G205,K205)=0,"",SUM(C205,G205,K205))</f>
        <v/>
      </c>
      <c r="P205" s="69">
        <f>IF(OR(O205="",N205="",N205=0,O205=0),"",O205-N205)</f>
        <v/>
      </c>
      <c r="Q205" s="42">
        <f>IF(OR(O205="",N205="",N205=0,O205=0),"",O205/N205-1)</f>
        <v/>
      </c>
    </row>
    <row r="206">
      <c r="A206" s="56" t="inlineStr">
        <is>
          <t>Sweden</t>
        </is>
      </c>
      <c r="B206" s="41">
        <f>IF(SUMIFS(Countries!$W$5:$W$434,Countries!$A$5:$A$434,"All landing pages",Countries!$B$5:$B$434,"Paid Search",Countries!$D$5:$D$434,$A206)=0,"",SUMIFS(Countries!$W$5:$W$434,Countries!$A$5:$A$434,"All landing pages",Countries!$B$5:$B$434,"Paid Search",Countries!$D$5:$D$434,$A206))</f>
        <v/>
      </c>
      <c r="C206" s="41">
        <f>IF(SUMIFS(Countries!$X$5:$X$434,Countries!$A$5:$A$434,"All landing pages",Countries!$B$5:$B$434,"Paid Search",Countries!$D$5:$D$434,$A206)=0,"",SUMIFS(Countries!$X$5:$X$434,Countries!$A$5:$A$434,"All landing pages",Countries!$B$5:$B$434,"Paid Search",Countries!$D$5:$D$434,$A206))</f>
        <v/>
      </c>
      <c r="D206" s="69">
        <f>IF(OR(C206="",B206="",B206=0,C206=0),"",C206-B206)</f>
        <v/>
      </c>
      <c r="E206" s="42">
        <f>IF(OR(C206="",B206="",B206=0,C206=0),"",C206/B206-1)</f>
        <v/>
      </c>
      <c r="F206" s="41">
        <f>IF(SUMIFS(Countries!$W$5:$W$434,Countries!$A$5:$A$434,"All landing pages",Countries!$B$5:$B$434,"Organic",Countries!$D$5:$D$434,$A206)=0,"",SUMIFS(Countries!$W$5:$W$434,Countries!$A$5:$A$434,"All landing pages",Countries!$B$5:$B$434,"Organic",Countries!$D$5:$D$434,$A206))</f>
        <v/>
      </c>
      <c r="G206" s="41">
        <f>IF(SUMIFS(Countries!$X$5:$X$434,Countries!$A$5:$A$434,"All landing pages",Countries!$B$5:$B$434,"Organic",Countries!$D$5:$D$434,$A206)=0,"",SUMIFS(Countries!$X$5:$X$434,Countries!$A$5:$A$434,"All landing pages",Countries!$B$5:$B$434,"Organic",Countries!$D$5:$D$434,$A206))</f>
        <v/>
      </c>
      <c r="H206" s="69">
        <f>IF(OR(G206="",F206="",F206=0,G206=0),"",G206-F206)</f>
        <v/>
      </c>
      <c r="I206" s="42">
        <f>IF(OR(G206="",F206="",F206=0,G206=0),"",G206/F206-1)</f>
        <v/>
      </c>
      <c r="J206" s="41">
        <f>IF(SUMIFS(Countries!$W$5:$W$434,Countries!$A$5:$A$434,"All landing pages",Countries!$B$5:$B$434,"Direct",Countries!$D$5:$D$434,$A206)=0,"",SUMIFS(Countries!$W$5:$W$434,Countries!$A$5:$A$434,"All landing pages",Countries!$B$5:$B$434,"Direct",Countries!$D$5:$D$434,$A206))</f>
        <v/>
      </c>
      <c r="K206" s="41">
        <f>IF(SUMIFS(Countries!$X$5:$X$434,Countries!$A$5:$A$434,"All landing pages",Countries!$B$5:$B$434,"Direct",Countries!$D$5:$D$434,$A206)=0,"",SUMIFS(Countries!$X$5:$X$434,Countries!$A$5:$A$434,"All landing pages",Countries!$B$5:$B$434,"Direct",Countries!$D$5:$D$434,$A206))</f>
        <v/>
      </c>
      <c r="L206" s="69">
        <f>IF(OR(K206="",J206="",J206=0,K206=0),"",K206-J206)</f>
        <v/>
      </c>
      <c r="M206" s="42">
        <f>IF(OR(K206="",J206="",J206=0,K206=0),"",K206/J206-1)</f>
        <v/>
      </c>
      <c r="N206" s="41">
        <f>IF(SUM(B206,F206,J206)=0,"",SUM(B206,F206,J206))</f>
        <v/>
      </c>
      <c r="O206" s="41">
        <f>IF(SUM(C206,G206,K206)=0,"",SUM(C206,G206,K206))</f>
        <v/>
      </c>
      <c r="P206" s="69">
        <f>IF(OR(O206="",N206="",N206=0,O206=0),"",O206-N206)</f>
        <v/>
      </c>
      <c r="Q206" s="42">
        <f>IF(OR(O206="",N206="",N206=0,O206=0),"",O206/N206-1)</f>
        <v/>
      </c>
    </row>
    <row r="207">
      <c r="A207" s="40" t="inlineStr">
        <is>
          <t>Belgium</t>
        </is>
      </c>
      <c r="B207" s="41">
        <f>IF(SUMIFS(Countries!$W$5:$W$434,Countries!$A$5:$A$434,"All landing pages",Countries!$B$5:$B$434,"Paid Search",Countries!$D$5:$D$434,$A207)=0,"",SUMIFS(Countries!$W$5:$W$434,Countries!$A$5:$A$434,"All landing pages",Countries!$B$5:$B$434,"Paid Search",Countries!$D$5:$D$434,$A207))</f>
        <v/>
      </c>
      <c r="C207" s="41">
        <f>IF(SUMIFS(Countries!$X$5:$X$434,Countries!$A$5:$A$434,"All landing pages",Countries!$B$5:$B$434,"Paid Search",Countries!$D$5:$D$434,$A207)=0,"",SUMIFS(Countries!$X$5:$X$434,Countries!$A$5:$A$434,"All landing pages",Countries!$B$5:$B$434,"Paid Search",Countries!$D$5:$D$434,$A207))</f>
        <v/>
      </c>
      <c r="D207" s="69">
        <f>IF(OR(C207="",B207="",B207=0,C207=0),"",C207-B207)</f>
        <v/>
      </c>
      <c r="E207" s="42">
        <f>IF(OR(C207="",B207="",B207=0,C207=0),"",C207/B207-1)</f>
        <v/>
      </c>
      <c r="F207" s="41">
        <f>IF(SUMIFS(Countries!$W$5:$W$434,Countries!$A$5:$A$434,"All landing pages",Countries!$B$5:$B$434,"Organic",Countries!$D$5:$D$434,$A207)=0,"",SUMIFS(Countries!$W$5:$W$434,Countries!$A$5:$A$434,"All landing pages",Countries!$B$5:$B$434,"Organic",Countries!$D$5:$D$434,$A207))</f>
        <v/>
      </c>
      <c r="G207" s="41">
        <f>IF(SUMIFS(Countries!$X$5:$X$434,Countries!$A$5:$A$434,"All landing pages",Countries!$B$5:$B$434,"Organic",Countries!$D$5:$D$434,$A207)=0,"",SUMIFS(Countries!$X$5:$X$434,Countries!$A$5:$A$434,"All landing pages",Countries!$B$5:$B$434,"Organic",Countries!$D$5:$D$434,$A207))</f>
        <v/>
      </c>
      <c r="H207" s="69">
        <f>IF(OR(G207="",F207="",F207=0,G207=0),"",G207-F207)</f>
        <v/>
      </c>
      <c r="I207" s="42">
        <f>IF(OR(G207="",F207="",F207=0,G207=0),"",G207/F207-1)</f>
        <v/>
      </c>
      <c r="J207" s="41">
        <f>IF(SUMIFS(Countries!$W$5:$W$434,Countries!$A$5:$A$434,"All landing pages",Countries!$B$5:$B$434,"Direct",Countries!$D$5:$D$434,$A207)=0,"",SUMIFS(Countries!$W$5:$W$434,Countries!$A$5:$A$434,"All landing pages",Countries!$B$5:$B$434,"Direct",Countries!$D$5:$D$434,$A207))</f>
        <v/>
      </c>
      <c r="K207" s="41">
        <f>IF(SUMIFS(Countries!$X$5:$X$434,Countries!$A$5:$A$434,"All landing pages",Countries!$B$5:$B$434,"Direct",Countries!$D$5:$D$434,$A207)=0,"",SUMIFS(Countries!$X$5:$X$434,Countries!$A$5:$A$434,"All landing pages",Countries!$B$5:$B$434,"Direct",Countries!$D$5:$D$434,$A207))</f>
        <v/>
      </c>
      <c r="L207" s="69">
        <f>IF(OR(K207="",J207="",J207=0,K207=0),"",K207-J207)</f>
        <v/>
      </c>
      <c r="M207" s="42">
        <f>IF(OR(K207="",J207="",J207=0,K207=0),"",K207/J207-1)</f>
        <v/>
      </c>
      <c r="N207" s="41">
        <f>IF(SUM(B207,F207,J207)=0,"",SUM(B207,F207,J207))</f>
        <v/>
      </c>
      <c r="O207" s="41">
        <f>IF(SUM(C207,G207,K207)=0,"",SUM(C207,G207,K207))</f>
        <v/>
      </c>
      <c r="P207" s="69">
        <f>IF(OR(O207="",N207="",N207=0,O207=0),"",O207-N207)</f>
        <v/>
      </c>
      <c r="Q207" s="42">
        <f>IF(OR(O207="",N207="",N207=0,O207=0),"",O207/N207-1)</f>
        <v/>
      </c>
    </row>
    <row r="208">
      <c r="A208" s="56" t="inlineStr">
        <is>
          <t>Austria</t>
        </is>
      </c>
      <c r="B208" s="41">
        <f>IF(SUMIFS(Countries!$W$5:$W$434,Countries!$A$5:$A$434,"All landing pages",Countries!$B$5:$B$434,"Paid Search",Countries!$D$5:$D$434,$A208)=0,"",SUMIFS(Countries!$W$5:$W$434,Countries!$A$5:$A$434,"All landing pages",Countries!$B$5:$B$434,"Paid Search",Countries!$D$5:$D$434,$A208))</f>
        <v/>
      </c>
      <c r="C208" s="41">
        <f>IF(SUMIFS(Countries!$X$5:$X$434,Countries!$A$5:$A$434,"All landing pages",Countries!$B$5:$B$434,"Paid Search",Countries!$D$5:$D$434,$A208)=0,"",SUMIFS(Countries!$X$5:$X$434,Countries!$A$5:$A$434,"All landing pages",Countries!$B$5:$B$434,"Paid Search",Countries!$D$5:$D$434,$A208))</f>
        <v/>
      </c>
      <c r="D208" s="69">
        <f>IF(OR(C208="",B208="",B208=0,C208=0),"",C208-B208)</f>
        <v/>
      </c>
      <c r="E208" s="42">
        <f>IF(OR(C208="",B208="",B208=0,C208=0),"",C208/B208-1)</f>
        <v/>
      </c>
      <c r="F208" s="41">
        <f>IF(SUMIFS(Countries!$W$5:$W$434,Countries!$A$5:$A$434,"All landing pages",Countries!$B$5:$B$434,"Organic",Countries!$D$5:$D$434,$A208)=0,"",SUMIFS(Countries!$W$5:$W$434,Countries!$A$5:$A$434,"All landing pages",Countries!$B$5:$B$434,"Organic",Countries!$D$5:$D$434,$A208))</f>
        <v/>
      </c>
      <c r="G208" s="41">
        <f>IF(SUMIFS(Countries!$X$5:$X$434,Countries!$A$5:$A$434,"All landing pages",Countries!$B$5:$B$434,"Organic",Countries!$D$5:$D$434,$A208)=0,"",SUMIFS(Countries!$X$5:$X$434,Countries!$A$5:$A$434,"All landing pages",Countries!$B$5:$B$434,"Organic",Countries!$D$5:$D$434,$A208))</f>
        <v/>
      </c>
      <c r="H208" s="69">
        <f>IF(OR(G208="",F208="",F208=0,G208=0),"",G208-F208)</f>
        <v/>
      </c>
      <c r="I208" s="42">
        <f>IF(OR(G208="",F208="",F208=0,G208=0),"",G208/F208-1)</f>
        <v/>
      </c>
      <c r="J208" s="41">
        <f>IF(SUMIFS(Countries!$W$5:$W$434,Countries!$A$5:$A$434,"All landing pages",Countries!$B$5:$B$434,"Direct",Countries!$D$5:$D$434,$A208)=0,"",SUMIFS(Countries!$W$5:$W$434,Countries!$A$5:$A$434,"All landing pages",Countries!$B$5:$B$434,"Direct",Countries!$D$5:$D$434,$A208))</f>
        <v/>
      </c>
      <c r="K208" s="41">
        <f>IF(SUMIFS(Countries!$X$5:$X$434,Countries!$A$5:$A$434,"All landing pages",Countries!$B$5:$B$434,"Direct",Countries!$D$5:$D$434,$A208)=0,"",SUMIFS(Countries!$X$5:$X$434,Countries!$A$5:$A$434,"All landing pages",Countries!$B$5:$B$434,"Direct",Countries!$D$5:$D$434,$A208))</f>
        <v/>
      </c>
      <c r="L208" s="69">
        <f>IF(OR(K208="",J208="",J208=0,K208=0),"",K208-J208)</f>
        <v/>
      </c>
      <c r="M208" s="42">
        <f>IF(OR(K208="",J208="",J208=0,K208=0),"",K208/J208-1)</f>
        <v/>
      </c>
      <c r="N208" s="41">
        <f>IF(SUM(B208,F208,J208)=0,"",SUM(B208,F208,J208))</f>
        <v/>
      </c>
      <c r="O208" s="41">
        <f>IF(SUM(C208,G208,K208)=0,"",SUM(C208,G208,K208))</f>
        <v/>
      </c>
      <c r="P208" s="69">
        <f>IF(OR(O208="",N208="",N208=0,O208=0),"",O208-N208)</f>
        <v/>
      </c>
      <c r="Q208" s="42">
        <f>IF(OR(O208="",N208="",N208=0,O208=0),"",O208/N208-1)</f>
        <v/>
      </c>
    </row>
    <row r="209">
      <c r="A209" s="40" t="inlineStr">
        <is>
          <t>Denmark</t>
        </is>
      </c>
      <c r="B209" s="41">
        <f>IF(SUMIFS(Countries!$W$5:$W$434,Countries!$A$5:$A$434,"All landing pages",Countries!$B$5:$B$434,"Paid Search",Countries!$D$5:$D$434,$A209)=0,"",SUMIFS(Countries!$W$5:$W$434,Countries!$A$5:$A$434,"All landing pages",Countries!$B$5:$B$434,"Paid Search",Countries!$D$5:$D$434,$A209))</f>
        <v/>
      </c>
      <c r="C209" s="41">
        <f>IF(SUMIFS(Countries!$X$5:$X$434,Countries!$A$5:$A$434,"All landing pages",Countries!$B$5:$B$434,"Paid Search",Countries!$D$5:$D$434,$A209)=0,"",SUMIFS(Countries!$X$5:$X$434,Countries!$A$5:$A$434,"All landing pages",Countries!$B$5:$B$434,"Paid Search",Countries!$D$5:$D$434,$A209))</f>
        <v/>
      </c>
      <c r="D209" s="69">
        <f>IF(OR(C209="",B209="",B209=0,C209=0),"",C209-B209)</f>
        <v/>
      </c>
      <c r="E209" s="42">
        <f>IF(OR(C209="",B209="",B209=0,C209=0),"",C209/B209-1)</f>
        <v/>
      </c>
      <c r="F209" s="41">
        <f>IF(SUMIFS(Countries!$W$5:$W$434,Countries!$A$5:$A$434,"All landing pages",Countries!$B$5:$B$434,"Organic",Countries!$D$5:$D$434,$A209)=0,"",SUMIFS(Countries!$W$5:$W$434,Countries!$A$5:$A$434,"All landing pages",Countries!$B$5:$B$434,"Organic",Countries!$D$5:$D$434,$A209))</f>
        <v/>
      </c>
      <c r="G209" s="41">
        <f>IF(SUMIFS(Countries!$X$5:$X$434,Countries!$A$5:$A$434,"All landing pages",Countries!$B$5:$B$434,"Organic",Countries!$D$5:$D$434,$A209)=0,"",SUMIFS(Countries!$X$5:$X$434,Countries!$A$5:$A$434,"All landing pages",Countries!$B$5:$B$434,"Organic",Countries!$D$5:$D$434,$A209))</f>
        <v/>
      </c>
      <c r="H209" s="69">
        <f>IF(OR(G209="",F209="",F209=0,G209=0),"",G209-F209)</f>
        <v/>
      </c>
      <c r="I209" s="42">
        <f>IF(OR(G209="",F209="",F209=0,G209=0),"",G209/F209-1)</f>
        <v/>
      </c>
      <c r="J209" s="41">
        <f>IF(SUMIFS(Countries!$W$5:$W$434,Countries!$A$5:$A$434,"All landing pages",Countries!$B$5:$B$434,"Direct",Countries!$D$5:$D$434,$A209)=0,"",SUMIFS(Countries!$W$5:$W$434,Countries!$A$5:$A$434,"All landing pages",Countries!$B$5:$B$434,"Direct",Countries!$D$5:$D$434,$A209))</f>
        <v/>
      </c>
      <c r="K209" s="41">
        <f>IF(SUMIFS(Countries!$X$5:$X$434,Countries!$A$5:$A$434,"All landing pages",Countries!$B$5:$B$434,"Direct",Countries!$D$5:$D$434,$A209)=0,"",SUMIFS(Countries!$X$5:$X$434,Countries!$A$5:$A$434,"All landing pages",Countries!$B$5:$B$434,"Direct",Countries!$D$5:$D$434,$A209))</f>
        <v/>
      </c>
      <c r="L209" s="69">
        <f>IF(OR(K209="",J209="",J209=0,K209=0),"",K209-J209)</f>
        <v/>
      </c>
      <c r="M209" s="42">
        <f>IF(OR(K209="",J209="",J209=0,K209=0),"",K209/J209-1)</f>
        <v/>
      </c>
      <c r="N209" s="41">
        <f>IF(SUM(B209,F209,J209)=0,"",SUM(B209,F209,J209))</f>
        <v/>
      </c>
      <c r="O209" s="41">
        <f>IF(SUM(C209,G209,K209)=0,"",SUM(C209,G209,K209))</f>
        <v/>
      </c>
      <c r="P209" s="69">
        <f>IF(OR(O209="",N209="",N209=0,O209=0),"",O209-N209)</f>
        <v/>
      </c>
      <c r="Q209" s="42">
        <f>IF(OR(O209="",N209="",N209=0,O209=0),"",O209/N209-1)</f>
        <v/>
      </c>
    </row>
    <row r="210">
      <c r="A210" s="56" t="inlineStr">
        <is>
          <t>Norway</t>
        </is>
      </c>
      <c r="B210" s="41">
        <f>IF(SUMIFS(Countries!$W$5:$W$434,Countries!$A$5:$A$434,"All landing pages",Countries!$B$5:$B$434,"Paid Search",Countries!$D$5:$D$434,$A210)=0,"",SUMIFS(Countries!$W$5:$W$434,Countries!$A$5:$A$434,"All landing pages",Countries!$B$5:$B$434,"Paid Search",Countries!$D$5:$D$434,$A210))</f>
        <v/>
      </c>
      <c r="C210" s="41">
        <f>IF(SUMIFS(Countries!$X$5:$X$434,Countries!$A$5:$A$434,"All landing pages",Countries!$B$5:$B$434,"Paid Search",Countries!$D$5:$D$434,$A210)=0,"",SUMIFS(Countries!$X$5:$X$434,Countries!$A$5:$A$434,"All landing pages",Countries!$B$5:$B$434,"Paid Search",Countries!$D$5:$D$434,$A210))</f>
        <v/>
      </c>
      <c r="D210" s="69">
        <f>IF(OR(C210="",B210="",B210=0,C210=0),"",C210-B210)</f>
        <v/>
      </c>
      <c r="E210" s="42">
        <f>IF(OR(C210="",B210="",B210=0,C210=0),"",C210/B210-1)</f>
        <v/>
      </c>
      <c r="F210" s="41">
        <f>IF(SUMIFS(Countries!$W$5:$W$434,Countries!$A$5:$A$434,"All landing pages",Countries!$B$5:$B$434,"Organic",Countries!$D$5:$D$434,$A210)=0,"",SUMIFS(Countries!$W$5:$W$434,Countries!$A$5:$A$434,"All landing pages",Countries!$B$5:$B$434,"Organic",Countries!$D$5:$D$434,$A210))</f>
        <v/>
      </c>
      <c r="G210" s="41">
        <f>IF(SUMIFS(Countries!$X$5:$X$434,Countries!$A$5:$A$434,"All landing pages",Countries!$B$5:$B$434,"Organic",Countries!$D$5:$D$434,$A210)=0,"",SUMIFS(Countries!$X$5:$X$434,Countries!$A$5:$A$434,"All landing pages",Countries!$B$5:$B$434,"Organic",Countries!$D$5:$D$434,$A210))</f>
        <v/>
      </c>
      <c r="H210" s="69">
        <f>IF(OR(G210="",F210="",F210=0,G210=0),"",G210-F210)</f>
        <v/>
      </c>
      <c r="I210" s="42">
        <f>IF(OR(G210="",F210="",F210=0,G210=0),"",G210/F210-1)</f>
        <v/>
      </c>
      <c r="J210" s="41">
        <f>IF(SUMIFS(Countries!$W$5:$W$434,Countries!$A$5:$A$434,"All landing pages",Countries!$B$5:$B$434,"Direct",Countries!$D$5:$D$434,$A210)=0,"",SUMIFS(Countries!$W$5:$W$434,Countries!$A$5:$A$434,"All landing pages",Countries!$B$5:$B$434,"Direct",Countries!$D$5:$D$434,$A210))</f>
        <v/>
      </c>
      <c r="K210" s="41">
        <f>IF(SUMIFS(Countries!$X$5:$X$434,Countries!$A$5:$A$434,"All landing pages",Countries!$B$5:$B$434,"Direct",Countries!$D$5:$D$434,$A210)=0,"",SUMIFS(Countries!$X$5:$X$434,Countries!$A$5:$A$434,"All landing pages",Countries!$B$5:$B$434,"Direct",Countries!$D$5:$D$434,$A210))</f>
        <v/>
      </c>
      <c r="L210" s="69">
        <f>IF(OR(K210="",J210="",J210=0,K210=0),"",K210-J210)</f>
        <v/>
      </c>
      <c r="M210" s="42">
        <f>IF(OR(K210="",J210="",J210=0,K210=0),"",K210/J210-1)</f>
        <v/>
      </c>
      <c r="N210" s="41">
        <f>IF(SUM(B210,F210,J210)=0,"",SUM(B210,F210,J210))</f>
        <v/>
      </c>
      <c r="O210" s="41">
        <f>IF(SUM(C210,G210,K210)=0,"",SUM(C210,G210,K210))</f>
        <v/>
      </c>
      <c r="P210" s="69">
        <f>IF(OR(O210="",N210="",N210=0,O210=0),"",O210-N210)</f>
        <v/>
      </c>
      <c r="Q210" s="42">
        <f>IF(OR(O210="",N210="",N210=0,O210=0),"",O210/N210-1)</f>
        <v/>
      </c>
    </row>
    <row r="211">
      <c r="A211" s="40" t="inlineStr">
        <is>
          <t>Finland</t>
        </is>
      </c>
      <c r="B211" s="41">
        <f>IF(SUMIFS(Countries!$W$5:$W$434,Countries!$A$5:$A$434,"All landing pages",Countries!$B$5:$B$434,"Paid Search",Countries!$D$5:$D$434,$A211)=0,"",SUMIFS(Countries!$W$5:$W$434,Countries!$A$5:$A$434,"All landing pages",Countries!$B$5:$B$434,"Paid Search",Countries!$D$5:$D$434,$A211))</f>
        <v/>
      </c>
      <c r="C211" s="41">
        <f>IF(SUMIFS(Countries!$X$5:$X$434,Countries!$A$5:$A$434,"All landing pages",Countries!$B$5:$B$434,"Paid Search",Countries!$D$5:$D$434,$A211)=0,"",SUMIFS(Countries!$X$5:$X$434,Countries!$A$5:$A$434,"All landing pages",Countries!$B$5:$B$434,"Paid Search",Countries!$D$5:$D$434,$A211))</f>
        <v/>
      </c>
      <c r="D211" s="69">
        <f>IF(OR(C211="",B211="",B211=0,C211=0),"",C211-B211)</f>
        <v/>
      </c>
      <c r="E211" s="42">
        <f>IF(OR(C211="",B211="",B211=0,C211=0),"",C211/B211-1)</f>
        <v/>
      </c>
      <c r="F211" s="41">
        <f>IF(SUMIFS(Countries!$W$5:$W$434,Countries!$A$5:$A$434,"All landing pages",Countries!$B$5:$B$434,"Organic",Countries!$D$5:$D$434,$A211)=0,"",SUMIFS(Countries!$W$5:$W$434,Countries!$A$5:$A$434,"All landing pages",Countries!$B$5:$B$434,"Organic",Countries!$D$5:$D$434,$A211))</f>
        <v/>
      </c>
      <c r="G211" s="41">
        <f>IF(SUMIFS(Countries!$X$5:$X$434,Countries!$A$5:$A$434,"All landing pages",Countries!$B$5:$B$434,"Organic",Countries!$D$5:$D$434,$A211)=0,"",SUMIFS(Countries!$X$5:$X$434,Countries!$A$5:$A$434,"All landing pages",Countries!$B$5:$B$434,"Organic",Countries!$D$5:$D$434,$A211))</f>
        <v/>
      </c>
      <c r="H211" s="69">
        <f>IF(OR(G211="",F211="",F211=0,G211=0),"",G211-F211)</f>
        <v/>
      </c>
      <c r="I211" s="42">
        <f>IF(OR(G211="",F211="",F211=0,G211=0),"",G211/F211-1)</f>
        <v/>
      </c>
      <c r="J211" s="41">
        <f>IF(SUMIFS(Countries!$W$5:$W$434,Countries!$A$5:$A$434,"All landing pages",Countries!$B$5:$B$434,"Direct",Countries!$D$5:$D$434,$A211)=0,"",SUMIFS(Countries!$W$5:$W$434,Countries!$A$5:$A$434,"All landing pages",Countries!$B$5:$B$434,"Direct",Countries!$D$5:$D$434,$A211))</f>
        <v/>
      </c>
      <c r="K211" s="41">
        <f>IF(SUMIFS(Countries!$X$5:$X$434,Countries!$A$5:$A$434,"All landing pages",Countries!$B$5:$B$434,"Direct",Countries!$D$5:$D$434,$A211)=0,"",SUMIFS(Countries!$X$5:$X$434,Countries!$A$5:$A$434,"All landing pages",Countries!$B$5:$B$434,"Direct",Countries!$D$5:$D$434,$A211))</f>
        <v/>
      </c>
      <c r="L211" s="69">
        <f>IF(OR(K211="",J211="",J211=0,K211=0),"",K211-J211)</f>
        <v/>
      </c>
      <c r="M211" s="42">
        <f>IF(OR(K211="",J211="",J211=0,K211=0),"",K211/J211-1)</f>
        <v/>
      </c>
      <c r="N211" s="41">
        <f>IF(SUM(B211,F211,J211)=0,"",SUM(B211,F211,J211))</f>
        <v/>
      </c>
      <c r="O211" s="41">
        <f>IF(SUM(C211,G211,K211)=0,"",SUM(C211,G211,K211))</f>
        <v/>
      </c>
      <c r="P211" s="69">
        <f>IF(OR(O211="",N211="",N211=0,O211=0),"",O211-N211)</f>
        <v/>
      </c>
      <c r="Q211" s="42">
        <f>IF(OR(O211="",N211="",N211=0,O211=0),"",O211/N211-1)</f>
        <v/>
      </c>
    </row>
    <row r="212">
      <c r="A212" s="56" t="inlineStr">
        <is>
          <t>Portugal</t>
        </is>
      </c>
      <c r="B212" s="41">
        <f>IF(SUMIFS(Countries!$W$5:$W$434,Countries!$A$5:$A$434,"All landing pages",Countries!$B$5:$B$434,"Paid Search",Countries!$D$5:$D$434,$A212)=0,"",SUMIFS(Countries!$W$5:$W$434,Countries!$A$5:$A$434,"All landing pages",Countries!$B$5:$B$434,"Paid Search",Countries!$D$5:$D$434,$A212))</f>
        <v/>
      </c>
      <c r="C212" s="41">
        <f>IF(SUMIFS(Countries!$X$5:$X$434,Countries!$A$5:$A$434,"All landing pages",Countries!$B$5:$B$434,"Paid Search",Countries!$D$5:$D$434,$A212)=0,"",SUMIFS(Countries!$X$5:$X$434,Countries!$A$5:$A$434,"All landing pages",Countries!$B$5:$B$434,"Paid Search",Countries!$D$5:$D$434,$A212))</f>
        <v/>
      </c>
      <c r="D212" s="69">
        <f>IF(OR(C212="",B212="",B212=0,C212=0),"",C212-B212)</f>
        <v/>
      </c>
      <c r="E212" s="42">
        <f>IF(OR(C212="",B212="",B212=0,C212=0),"",C212/B212-1)</f>
        <v/>
      </c>
      <c r="F212" s="41">
        <f>IF(SUMIFS(Countries!$W$5:$W$434,Countries!$A$5:$A$434,"All landing pages",Countries!$B$5:$B$434,"Organic",Countries!$D$5:$D$434,$A212)=0,"",SUMIFS(Countries!$W$5:$W$434,Countries!$A$5:$A$434,"All landing pages",Countries!$B$5:$B$434,"Organic",Countries!$D$5:$D$434,$A212))</f>
        <v/>
      </c>
      <c r="G212" s="41">
        <f>IF(SUMIFS(Countries!$X$5:$X$434,Countries!$A$5:$A$434,"All landing pages",Countries!$B$5:$B$434,"Organic",Countries!$D$5:$D$434,$A212)=0,"",SUMIFS(Countries!$X$5:$X$434,Countries!$A$5:$A$434,"All landing pages",Countries!$B$5:$B$434,"Organic",Countries!$D$5:$D$434,$A212))</f>
        <v/>
      </c>
      <c r="H212" s="69">
        <f>IF(OR(G212="",F212="",F212=0,G212=0),"",G212-F212)</f>
        <v/>
      </c>
      <c r="I212" s="42">
        <f>IF(OR(G212="",F212="",F212=0,G212=0),"",G212/F212-1)</f>
        <v/>
      </c>
      <c r="J212" s="41">
        <f>IF(SUMIFS(Countries!$W$5:$W$434,Countries!$A$5:$A$434,"All landing pages",Countries!$B$5:$B$434,"Direct",Countries!$D$5:$D$434,$A212)=0,"",SUMIFS(Countries!$W$5:$W$434,Countries!$A$5:$A$434,"All landing pages",Countries!$B$5:$B$434,"Direct",Countries!$D$5:$D$434,$A212))</f>
        <v/>
      </c>
      <c r="K212" s="41">
        <f>IF(SUMIFS(Countries!$X$5:$X$434,Countries!$A$5:$A$434,"All landing pages",Countries!$B$5:$B$434,"Direct",Countries!$D$5:$D$434,$A212)=0,"",SUMIFS(Countries!$X$5:$X$434,Countries!$A$5:$A$434,"All landing pages",Countries!$B$5:$B$434,"Direct",Countries!$D$5:$D$434,$A212))</f>
        <v/>
      </c>
      <c r="L212" s="69">
        <f>IF(OR(K212="",J212="",J212=0,K212=0),"",K212-J212)</f>
        <v/>
      </c>
      <c r="M212" s="42">
        <f>IF(OR(K212="",J212="",J212=0,K212=0),"",K212/J212-1)</f>
        <v/>
      </c>
      <c r="N212" s="41">
        <f>IF(SUM(B212,F212,J212)=0,"",SUM(B212,F212,J212))</f>
        <v/>
      </c>
      <c r="O212" s="41">
        <f>IF(SUM(C212,G212,K212)=0,"",SUM(C212,G212,K212))</f>
        <v/>
      </c>
      <c r="P212" s="69">
        <f>IF(OR(O212="",N212="",N212=0,O212=0),"",O212-N212)</f>
        <v/>
      </c>
      <c r="Q212" s="42">
        <f>IF(OR(O212="",N212="",N212=0,O212=0),"",O212/N212-1)</f>
        <v/>
      </c>
    </row>
    <row r="213">
      <c r="A213" s="40" t="inlineStr">
        <is>
          <t>Türkiye</t>
        </is>
      </c>
      <c r="B213" s="41">
        <f>IF(SUMIFS(Countries!$W$5:$W$434,Countries!$A$5:$A$434,"All landing pages",Countries!$B$5:$B$434,"Paid Search",Countries!$D$5:$D$434,$A213)=0,"",SUMIFS(Countries!$W$5:$W$434,Countries!$A$5:$A$434,"All landing pages",Countries!$B$5:$B$434,"Paid Search",Countries!$D$5:$D$434,$A213))</f>
        <v/>
      </c>
      <c r="C213" s="41">
        <f>IF(SUMIFS(Countries!$X$5:$X$434,Countries!$A$5:$A$434,"All landing pages",Countries!$B$5:$B$434,"Paid Search",Countries!$D$5:$D$434,$A213)=0,"",SUMIFS(Countries!$X$5:$X$434,Countries!$A$5:$A$434,"All landing pages",Countries!$B$5:$B$434,"Paid Search",Countries!$D$5:$D$434,$A213))</f>
        <v/>
      </c>
      <c r="D213" s="69">
        <f>IF(OR(C213="",B213="",B213=0,C213=0),"",C213-B213)</f>
        <v/>
      </c>
      <c r="E213" s="42">
        <f>IF(OR(C213="",B213="",B213=0,C213=0),"",C213/B213-1)</f>
        <v/>
      </c>
      <c r="F213" s="41">
        <f>IF(SUMIFS(Countries!$W$5:$W$434,Countries!$A$5:$A$434,"All landing pages",Countries!$B$5:$B$434,"Organic",Countries!$D$5:$D$434,$A213)=0,"",SUMIFS(Countries!$W$5:$W$434,Countries!$A$5:$A$434,"All landing pages",Countries!$B$5:$B$434,"Organic",Countries!$D$5:$D$434,$A213))</f>
        <v/>
      </c>
      <c r="G213" s="41">
        <f>IF(SUMIFS(Countries!$X$5:$X$434,Countries!$A$5:$A$434,"All landing pages",Countries!$B$5:$B$434,"Organic",Countries!$D$5:$D$434,$A213)=0,"",SUMIFS(Countries!$X$5:$X$434,Countries!$A$5:$A$434,"All landing pages",Countries!$B$5:$B$434,"Organic",Countries!$D$5:$D$434,$A213))</f>
        <v/>
      </c>
      <c r="H213" s="69">
        <f>IF(OR(G213="",F213="",F213=0,G213=0),"",G213-F213)</f>
        <v/>
      </c>
      <c r="I213" s="42">
        <f>IF(OR(G213="",F213="",F213=0,G213=0),"",G213/F213-1)</f>
        <v/>
      </c>
      <c r="J213" s="41">
        <f>IF(SUMIFS(Countries!$W$5:$W$434,Countries!$A$5:$A$434,"All landing pages",Countries!$B$5:$B$434,"Direct",Countries!$D$5:$D$434,$A213)=0,"",SUMIFS(Countries!$W$5:$W$434,Countries!$A$5:$A$434,"All landing pages",Countries!$B$5:$B$434,"Direct",Countries!$D$5:$D$434,$A213))</f>
        <v/>
      </c>
      <c r="K213" s="41">
        <f>IF(SUMIFS(Countries!$X$5:$X$434,Countries!$A$5:$A$434,"All landing pages",Countries!$B$5:$B$434,"Direct",Countries!$D$5:$D$434,$A213)=0,"",SUMIFS(Countries!$X$5:$X$434,Countries!$A$5:$A$434,"All landing pages",Countries!$B$5:$B$434,"Direct",Countries!$D$5:$D$434,$A213))</f>
        <v/>
      </c>
      <c r="L213" s="69">
        <f>IF(OR(K213="",J213="",J213=0,K213=0),"",K213-J213)</f>
        <v/>
      </c>
      <c r="M213" s="42">
        <f>IF(OR(K213="",J213="",J213=0,K213=0),"",K213/J213-1)</f>
        <v/>
      </c>
      <c r="N213" s="41">
        <f>IF(SUM(B213,F213,J213)=0,"",SUM(B213,F213,J213))</f>
        <v/>
      </c>
      <c r="O213" s="41">
        <f>IF(SUM(C213,G213,K213)=0,"",SUM(C213,G213,K213))</f>
        <v/>
      </c>
      <c r="P213" s="69">
        <f>IF(OR(O213="",N213="",N213=0,O213=0),"",O213-N213)</f>
        <v/>
      </c>
      <c r="Q213" s="42">
        <f>IF(OR(O213="",N213="",N213=0,O213=0),"",O213/N213-1)</f>
        <v/>
      </c>
    </row>
    <row r="214">
      <c r="A214" s="56" t="inlineStr">
        <is>
          <t>Australia</t>
        </is>
      </c>
      <c r="B214" s="41">
        <f>IF(SUMIFS(Countries!$W$5:$W$434,Countries!$A$5:$A$434,"All landing pages",Countries!$B$5:$B$434,"Paid Search",Countries!$D$5:$D$434,$A214)=0,"",SUMIFS(Countries!$W$5:$W$434,Countries!$A$5:$A$434,"All landing pages",Countries!$B$5:$B$434,"Paid Search",Countries!$D$5:$D$434,$A214))</f>
        <v/>
      </c>
      <c r="C214" s="41">
        <f>IF(SUMIFS(Countries!$X$5:$X$434,Countries!$A$5:$A$434,"All landing pages",Countries!$B$5:$B$434,"Paid Search",Countries!$D$5:$D$434,$A214)=0,"",SUMIFS(Countries!$X$5:$X$434,Countries!$A$5:$A$434,"All landing pages",Countries!$B$5:$B$434,"Paid Search",Countries!$D$5:$D$434,$A214))</f>
        <v/>
      </c>
      <c r="D214" s="69">
        <f>IF(OR(C214="",B214="",B214=0,C214=0),"",C214-B214)</f>
        <v/>
      </c>
      <c r="E214" s="42">
        <f>IF(OR(C214="",B214="",B214=0,C214=0),"",C214/B214-1)</f>
        <v/>
      </c>
      <c r="F214" s="41">
        <f>IF(SUMIFS(Countries!$W$5:$W$434,Countries!$A$5:$A$434,"All landing pages",Countries!$B$5:$B$434,"Organic",Countries!$D$5:$D$434,$A214)=0,"",SUMIFS(Countries!$W$5:$W$434,Countries!$A$5:$A$434,"All landing pages",Countries!$B$5:$B$434,"Organic",Countries!$D$5:$D$434,$A214))</f>
        <v/>
      </c>
      <c r="G214" s="41">
        <f>IF(SUMIFS(Countries!$X$5:$X$434,Countries!$A$5:$A$434,"All landing pages",Countries!$B$5:$B$434,"Organic",Countries!$D$5:$D$434,$A214)=0,"",SUMIFS(Countries!$X$5:$X$434,Countries!$A$5:$A$434,"All landing pages",Countries!$B$5:$B$434,"Organic",Countries!$D$5:$D$434,$A214))</f>
        <v/>
      </c>
      <c r="H214" s="69">
        <f>IF(OR(G214="",F214="",F214=0,G214=0),"",G214-F214)</f>
        <v/>
      </c>
      <c r="I214" s="42">
        <f>IF(OR(G214="",F214="",F214=0,G214=0),"",G214/F214-1)</f>
        <v/>
      </c>
      <c r="J214" s="41">
        <f>IF(SUMIFS(Countries!$W$5:$W$434,Countries!$A$5:$A$434,"All landing pages",Countries!$B$5:$B$434,"Direct",Countries!$D$5:$D$434,$A214)=0,"",SUMIFS(Countries!$W$5:$W$434,Countries!$A$5:$A$434,"All landing pages",Countries!$B$5:$B$434,"Direct",Countries!$D$5:$D$434,$A214))</f>
        <v/>
      </c>
      <c r="K214" s="41">
        <f>IF(SUMIFS(Countries!$X$5:$X$434,Countries!$A$5:$A$434,"All landing pages",Countries!$B$5:$B$434,"Direct",Countries!$D$5:$D$434,$A214)=0,"",SUMIFS(Countries!$X$5:$X$434,Countries!$A$5:$A$434,"All landing pages",Countries!$B$5:$B$434,"Direct",Countries!$D$5:$D$434,$A214))</f>
        <v/>
      </c>
      <c r="L214" s="69">
        <f>IF(OR(K214="",J214="",J214=0,K214=0),"",K214-J214)</f>
        <v/>
      </c>
      <c r="M214" s="42">
        <f>IF(OR(K214="",J214="",J214=0,K214=0),"",K214/J214-1)</f>
        <v/>
      </c>
      <c r="N214" s="41">
        <f>IF(SUM(B214,F214,J214)=0,"",SUM(B214,F214,J214))</f>
        <v/>
      </c>
      <c r="O214" s="41">
        <f>IF(SUM(C214,G214,K214)=0,"",SUM(C214,G214,K214))</f>
        <v/>
      </c>
      <c r="P214" s="69">
        <f>IF(OR(O214="",N214="",N214=0,O214=0),"",O214-N214)</f>
        <v/>
      </c>
      <c r="Q214" s="42">
        <f>IF(OR(O214="",N214="",N214=0,O214=0),"",O214/N214-1)</f>
        <v/>
      </c>
    </row>
    <row r="215">
      <c r="A215" s="40" t="inlineStr">
        <is>
          <t>Romania</t>
        </is>
      </c>
      <c r="B215" s="41">
        <f>IF(SUMIFS(Countries!$W$5:$W$434,Countries!$A$5:$A$434,"All landing pages",Countries!$B$5:$B$434,"Paid Search",Countries!$D$5:$D$434,$A215)=0,"",SUMIFS(Countries!$W$5:$W$434,Countries!$A$5:$A$434,"All landing pages",Countries!$B$5:$B$434,"Paid Search",Countries!$D$5:$D$434,$A215))</f>
        <v/>
      </c>
      <c r="C215" s="41">
        <f>IF(SUMIFS(Countries!$X$5:$X$434,Countries!$A$5:$A$434,"All landing pages",Countries!$B$5:$B$434,"Paid Search",Countries!$D$5:$D$434,$A215)=0,"",SUMIFS(Countries!$X$5:$X$434,Countries!$A$5:$A$434,"All landing pages",Countries!$B$5:$B$434,"Paid Search",Countries!$D$5:$D$434,$A215))</f>
        <v/>
      </c>
      <c r="D215" s="69">
        <f>IF(OR(C215="",B215="",B215=0,C215=0),"",C215-B215)</f>
        <v/>
      </c>
      <c r="E215" s="42">
        <f>IF(OR(C215="",B215="",B215=0,C215=0),"",C215/B215-1)</f>
        <v/>
      </c>
      <c r="F215" s="41">
        <f>IF(SUMIFS(Countries!$W$5:$W$434,Countries!$A$5:$A$434,"All landing pages",Countries!$B$5:$B$434,"Organic",Countries!$D$5:$D$434,$A215)=0,"",SUMIFS(Countries!$W$5:$W$434,Countries!$A$5:$A$434,"All landing pages",Countries!$B$5:$B$434,"Organic",Countries!$D$5:$D$434,$A215))</f>
        <v/>
      </c>
      <c r="G215" s="41">
        <f>IF(SUMIFS(Countries!$X$5:$X$434,Countries!$A$5:$A$434,"All landing pages",Countries!$B$5:$B$434,"Organic",Countries!$D$5:$D$434,$A215)=0,"",SUMIFS(Countries!$X$5:$X$434,Countries!$A$5:$A$434,"All landing pages",Countries!$B$5:$B$434,"Organic",Countries!$D$5:$D$434,$A215))</f>
        <v/>
      </c>
      <c r="H215" s="69">
        <f>IF(OR(G215="",F215="",F215=0,G215=0),"",G215-F215)</f>
        <v/>
      </c>
      <c r="I215" s="42">
        <f>IF(OR(G215="",F215="",F215=0,G215=0),"",G215/F215-1)</f>
        <v/>
      </c>
      <c r="J215" s="41">
        <f>IF(SUMIFS(Countries!$W$5:$W$434,Countries!$A$5:$A$434,"All landing pages",Countries!$B$5:$B$434,"Direct",Countries!$D$5:$D$434,$A215)=0,"",SUMIFS(Countries!$W$5:$W$434,Countries!$A$5:$A$434,"All landing pages",Countries!$B$5:$B$434,"Direct",Countries!$D$5:$D$434,$A215))</f>
        <v/>
      </c>
      <c r="K215" s="41">
        <f>IF(SUMIFS(Countries!$X$5:$X$434,Countries!$A$5:$A$434,"All landing pages",Countries!$B$5:$B$434,"Direct",Countries!$D$5:$D$434,$A215)=0,"",SUMIFS(Countries!$X$5:$X$434,Countries!$A$5:$A$434,"All landing pages",Countries!$B$5:$B$434,"Direct",Countries!$D$5:$D$434,$A215))</f>
        <v/>
      </c>
      <c r="L215" s="69">
        <f>IF(OR(K215="",J215="",J215=0,K215=0),"",K215-J215)</f>
        <v/>
      </c>
      <c r="M215" s="42">
        <f>IF(OR(K215="",J215="",J215=0,K215=0),"",K215/J215-1)</f>
        <v/>
      </c>
      <c r="N215" s="41">
        <f>IF(SUM(B215,F215,J215)=0,"",SUM(B215,F215,J215))</f>
        <v/>
      </c>
      <c r="O215" s="41">
        <f>IF(SUM(C215,G215,K215)=0,"",SUM(C215,G215,K215))</f>
        <v/>
      </c>
      <c r="P215" s="69">
        <f>IF(OR(O215="",N215="",N215=0,O215=0),"",O215-N215)</f>
        <v/>
      </c>
      <c r="Q215" s="42">
        <f>IF(OR(O215="",N215="",N215=0,O215=0),"",O215/N215-1)</f>
        <v/>
      </c>
    </row>
    <row r="216">
      <c r="A216" s="56" t="inlineStr">
        <is>
          <t>Canada</t>
        </is>
      </c>
      <c r="B216" s="41">
        <f>IF(SUMIFS(Countries!$W$5:$W$434,Countries!$A$5:$A$434,"All landing pages",Countries!$B$5:$B$434,"Paid Search",Countries!$D$5:$D$434,$A216)=0,"",SUMIFS(Countries!$W$5:$W$434,Countries!$A$5:$A$434,"All landing pages",Countries!$B$5:$B$434,"Paid Search",Countries!$D$5:$D$434,$A216))</f>
        <v/>
      </c>
      <c r="C216" s="41">
        <f>IF(SUMIFS(Countries!$X$5:$X$434,Countries!$A$5:$A$434,"All landing pages",Countries!$B$5:$B$434,"Paid Search",Countries!$D$5:$D$434,$A216)=0,"",SUMIFS(Countries!$X$5:$X$434,Countries!$A$5:$A$434,"All landing pages",Countries!$B$5:$B$434,"Paid Search",Countries!$D$5:$D$434,$A216))</f>
        <v/>
      </c>
      <c r="D216" s="69">
        <f>IF(OR(C216="",B216="",B216=0,C216=0),"",C216-B216)</f>
        <v/>
      </c>
      <c r="E216" s="42">
        <f>IF(OR(C216="",B216="",B216=0,C216=0),"",C216/B216-1)</f>
        <v/>
      </c>
      <c r="F216" s="41">
        <f>IF(SUMIFS(Countries!$W$5:$W$434,Countries!$A$5:$A$434,"All landing pages",Countries!$B$5:$B$434,"Organic",Countries!$D$5:$D$434,$A216)=0,"",SUMIFS(Countries!$W$5:$W$434,Countries!$A$5:$A$434,"All landing pages",Countries!$B$5:$B$434,"Organic",Countries!$D$5:$D$434,$A216))</f>
        <v/>
      </c>
      <c r="G216" s="41">
        <f>IF(SUMIFS(Countries!$X$5:$X$434,Countries!$A$5:$A$434,"All landing pages",Countries!$B$5:$B$434,"Organic",Countries!$D$5:$D$434,$A216)=0,"",SUMIFS(Countries!$X$5:$X$434,Countries!$A$5:$A$434,"All landing pages",Countries!$B$5:$B$434,"Organic",Countries!$D$5:$D$434,$A216))</f>
        <v/>
      </c>
      <c r="H216" s="69">
        <f>IF(OR(G216="",F216="",F216=0,G216=0),"",G216-F216)</f>
        <v/>
      </c>
      <c r="I216" s="42">
        <f>IF(OR(G216="",F216="",F216=0,G216=0),"",G216/F216-1)</f>
        <v/>
      </c>
      <c r="J216" s="41">
        <f>IF(SUMIFS(Countries!$W$5:$W$434,Countries!$A$5:$A$434,"All landing pages",Countries!$B$5:$B$434,"Direct",Countries!$D$5:$D$434,$A216)=0,"",SUMIFS(Countries!$W$5:$W$434,Countries!$A$5:$A$434,"All landing pages",Countries!$B$5:$B$434,"Direct",Countries!$D$5:$D$434,$A216))</f>
        <v/>
      </c>
      <c r="K216" s="41">
        <f>IF(SUMIFS(Countries!$X$5:$X$434,Countries!$A$5:$A$434,"All landing pages",Countries!$B$5:$B$434,"Direct",Countries!$D$5:$D$434,$A216)=0,"",SUMIFS(Countries!$X$5:$X$434,Countries!$A$5:$A$434,"All landing pages",Countries!$B$5:$B$434,"Direct",Countries!$D$5:$D$434,$A216))</f>
        <v/>
      </c>
      <c r="L216" s="69">
        <f>IF(OR(K216="",J216="",J216=0,K216=0),"",K216-J216)</f>
        <v/>
      </c>
      <c r="M216" s="42">
        <f>IF(OR(K216="",J216="",J216=0,K216=0),"",K216/J216-1)</f>
        <v/>
      </c>
      <c r="N216" s="41">
        <f>IF(SUM(B216,F216,J216)=0,"",SUM(B216,F216,J216))</f>
        <v/>
      </c>
      <c r="O216" s="41">
        <f>IF(SUM(C216,G216,K216)=0,"",SUM(C216,G216,K216))</f>
        <v/>
      </c>
      <c r="P216" s="69">
        <f>IF(OR(O216="",N216="",N216=0,O216=0),"",O216-N216)</f>
        <v/>
      </c>
      <c r="Q216" s="42">
        <f>IF(OR(O216="",N216="",N216=0,O216=0),"",O216/N216-1)</f>
        <v/>
      </c>
    </row>
    <row r="217">
      <c r="A217" s="40" t="inlineStr">
        <is>
          <t>Greece</t>
        </is>
      </c>
      <c r="B217" s="41">
        <f>IF(SUMIFS(Countries!$W$5:$W$434,Countries!$A$5:$A$434,"All landing pages",Countries!$B$5:$B$434,"Paid Search",Countries!$D$5:$D$434,$A217)=0,"",SUMIFS(Countries!$W$5:$W$434,Countries!$A$5:$A$434,"All landing pages",Countries!$B$5:$B$434,"Paid Search",Countries!$D$5:$D$434,$A217))</f>
        <v/>
      </c>
      <c r="C217" s="41">
        <f>IF(SUMIFS(Countries!$X$5:$X$434,Countries!$A$5:$A$434,"All landing pages",Countries!$B$5:$B$434,"Paid Search",Countries!$D$5:$D$434,$A217)=0,"",SUMIFS(Countries!$X$5:$X$434,Countries!$A$5:$A$434,"All landing pages",Countries!$B$5:$B$434,"Paid Search",Countries!$D$5:$D$434,$A217))</f>
        <v/>
      </c>
      <c r="D217" s="69">
        <f>IF(OR(C217="",B217="",B217=0,C217=0),"",C217-B217)</f>
        <v/>
      </c>
      <c r="E217" s="42">
        <f>IF(OR(C217="",B217="",B217=0,C217=0),"",C217/B217-1)</f>
        <v/>
      </c>
      <c r="F217" s="41">
        <f>IF(SUMIFS(Countries!$W$5:$W$434,Countries!$A$5:$A$434,"All landing pages",Countries!$B$5:$B$434,"Organic",Countries!$D$5:$D$434,$A217)=0,"",SUMIFS(Countries!$W$5:$W$434,Countries!$A$5:$A$434,"All landing pages",Countries!$B$5:$B$434,"Organic",Countries!$D$5:$D$434,$A217))</f>
        <v/>
      </c>
      <c r="G217" s="41">
        <f>IF(SUMIFS(Countries!$X$5:$X$434,Countries!$A$5:$A$434,"All landing pages",Countries!$B$5:$B$434,"Organic",Countries!$D$5:$D$434,$A217)=0,"",SUMIFS(Countries!$X$5:$X$434,Countries!$A$5:$A$434,"All landing pages",Countries!$B$5:$B$434,"Organic",Countries!$D$5:$D$434,$A217))</f>
        <v/>
      </c>
      <c r="H217" s="69">
        <f>IF(OR(G217="",F217="",F217=0,G217=0),"",G217-F217)</f>
        <v/>
      </c>
      <c r="I217" s="42">
        <f>IF(OR(G217="",F217="",F217=0,G217=0),"",G217/F217-1)</f>
        <v/>
      </c>
      <c r="J217" s="41">
        <f>IF(SUMIFS(Countries!$W$5:$W$434,Countries!$A$5:$A$434,"All landing pages",Countries!$B$5:$B$434,"Direct",Countries!$D$5:$D$434,$A217)=0,"",SUMIFS(Countries!$W$5:$W$434,Countries!$A$5:$A$434,"All landing pages",Countries!$B$5:$B$434,"Direct",Countries!$D$5:$D$434,$A217))</f>
        <v/>
      </c>
      <c r="K217" s="41">
        <f>IF(SUMIFS(Countries!$X$5:$X$434,Countries!$A$5:$A$434,"All landing pages",Countries!$B$5:$B$434,"Direct",Countries!$D$5:$D$434,$A217)=0,"",SUMIFS(Countries!$X$5:$X$434,Countries!$A$5:$A$434,"All landing pages",Countries!$B$5:$B$434,"Direct",Countries!$D$5:$D$434,$A217))</f>
        <v/>
      </c>
      <c r="L217" s="69">
        <f>IF(OR(K217="",J217="",J217=0,K217=0),"",K217-J217)</f>
        <v/>
      </c>
      <c r="M217" s="42">
        <f>IF(OR(K217="",J217="",J217=0,K217=0),"",K217/J217-1)</f>
        <v/>
      </c>
      <c r="N217" s="41">
        <f>IF(SUM(B217,F217,J217)=0,"",SUM(B217,F217,J217))</f>
        <v/>
      </c>
      <c r="O217" s="41">
        <f>IF(SUM(C217,G217,K217)=0,"",SUM(C217,G217,K217))</f>
        <v/>
      </c>
      <c r="P217" s="69">
        <f>IF(OR(O217="",N217="",N217=0,O217=0),"",O217-N217)</f>
        <v/>
      </c>
      <c r="Q217" s="42">
        <f>IF(OR(O217="",N217="",N217=0,O217=0),"",O217/N217-1)</f>
        <v/>
      </c>
    </row>
    <row r="218">
      <c r="A218" s="56" t="inlineStr">
        <is>
          <t>Switzerland</t>
        </is>
      </c>
      <c r="B218" s="41">
        <f>IF(SUMIFS(Countries!$W$5:$W$434,Countries!$A$5:$A$434,"All landing pages",Countries!$B$5:$B$434,"Paid Search",Countries!$D$5:$D$434,$A218)=0,"",SUMIFS(Countries!$W$5:$W$434,Countries!$A$5:$A$434,"All landing pages",Countries!$B$5:$B$434,"Paid Search",Countries!$D$5:$D$434,$A218))</f>
        <v/>
      </c>
      <c r="C218" s="41">
        <f>IF(SUMIFS(Countries!$X$5:$X$434,Countries!$A$5:$A$434,"All landing pages",Countries!$B$5:$B$434,"Paid Search",Countries!$D$5:$D$434,$A218)=0,"",SUMIFS(Countries!$X$5:$X$434,Countries!$A$5:$A$434,"All landing pages",Countries!$B$5:$B$434,"Paid Search",Countries!$D$5:$D$434,$A218))</f>
        <v/>
      </c>
      <c r="D218" s="69">
        <f>IF(OR(C218="",B218="",B218=0,C218=0),"",C218-B218)</f>
        <v/>
      </c>
      <c r="E218" s="42">
        <f>IF(OR(C218="",B218="",B218=0,C218=0),"",C218/B218-1)</f>
        <v/>
      </c>
      <c r="F218" s="41">
        <f>IF(SUMIFS(Countries!$W$5:$W$434,Countries!$A$5:$A$434,"All landing pages",Countries!$B$5:$B$434,"Organic",Countries!$D$5:$D$434,$A218)=0,"",SUMIFS(Countries!$W$5:$W$434,Countries!$A$5:$A$434,"All landing pages",Countries!$B$5:$B$434,"Organic",Countries!$D$5:$D$434,$A218))</f>
        <v/>
      </c>
      <c r="G218" s="41">
        <f>IF(SUMIFS(Countries!$X$5:$X$434,Countries!$A$5:$A$434,"All landing pages",Countries!$B$5:$B$434,"Organic",Countries!$D$5:$D$434,$A218)=0,"",SUMIFS(Countries!$X$5:$X$434,Countries!$A$5:$A$434,"All landing pages",Countries!$B$5:$B$434,"Organic",Countries!$D$5:$D$434,$A218))</f>
        <v/>
      </c>
      <c r="H218" s="69">
        <f>IF(OR(G218="",F218="",F218=0,G218=0),"",G218-F218)</f>
        <v/>
      </c>
      <c r="I218" s="42">
        <f>IF(OR(G218="",F218="",F218=0,G218=0),"",G218/F218-1)</f>
        <v/>
      </c>
      <c r="J218" s="41">
        <f>IF(SUMIFS(Countries!$W$5:$W$434,Countries!$A$5:$A$434,"All landing pages",Countries!$B$5:$B$434,"Direct",Countries!$D$5:$D$434,$A218)=0,"",SUMIFS(Countries!$W$5:$W$434,Countries!$A$5:$A$434,"All landing pages",Countries!$B$5:$B$434,"Direct",Countries!$D$5:$D$434,$A218))</f>
        <v/>
      </c>
      <c r="K218" s="41">
        <f>IF(SUMIFS(Countries!$X$5:$X$434,Countries!$A$5:$A$434,"All landing pages",Countries!$B$5:$B$434,"Direct",Countries!$D$5:$D$434,$A218)=0,"",SUMIFS(Countries!$X$5:$X$434,Countries!$A$5:$A$434,"All landing pages",Countries!$B$5:$B$434,"Direct",Countries!$D$5:$D$434,$A218))</f>
        <v/>
      </c>
      <c r="L218" s="69">
        <f>IF(OR(K218="",J218="",J218=0,K218=0),"",K218-J218)</f>
        <v/>
      </c>
      <c r="M218" s="42">
        <f>IF(OR(K218="",J218="",J218=0,K218=0),"",K218/J218-1)</f>
        <v/>
      </c>
      <c r="N218" s="41">
        <f>IF(SUM(B218,F218,J218)=0,"",SUM(B218,F218,J218))</f>
        <v/>
      </c>
      <c r="O218" s="41">
        <f>IF(SUM(C218,G218,K218)=0,"",SUM(C218,G218,K218))</f>
        <v/>
      </c>
      <c r="P218" s="69">
        <f>IF(OR(O218="",N218="",N218=0,O218=0),"",O218-N218)</f>
        <v/>
      </c>
      <c r="Q218" s="42">
        <f>IF(OR(O218="",N218="",N218=0,O218=0),"",O218/N218-1)</f>
        <v/>
      </c>
    </row>
    <row r="219">
      <c r="A219" s="40" t="inlineStr">
        <is>
          <t>(not set)</t>
        </is>
      </c>
      <c r="B219" s="41">
        <f>IF(SUMIFS(Countries!$W$5:$W$434,Countries!$A$5:$A$434,"All landing pages",Countries!$B$5:$B$434,"Paid Search",Countries!$D$5:$D$434,$A219)=0,"",SUMIFS(Countries!$W$5:$W$434,Countries!$A$5:$A$434,"All landing pages",Countries!$B$5:$B$434,"Paid Search",Countries!$D$5:$D$434,$A219))</f>
        <v/>
      </c>
      <c r="C219" s="41">
        <f>IF(SUMIFS(Countries!$X$5:$X$434,Countries!$A$5:$A$434,"All landing pages",Countries!$B$5:$B$434,"Paid Search",Countries!$D$5:$D$434,$A219)=0,"",SUMIFS(Countries!$X$5:$X$434,Countries!$A$5:$A$434,"All landing pages",Countries!$B$5:$B$434,"Paid Search",Countries!$D$5:$D$434,$A219))</f>
        <v/>
      </c>
      <c r="D219" s="69">
        <f>IF(OR(C219="",B219="",B219=0,C219=0),"",C219-B219)</f>
        <v/>
      </c>
      <c r="E219" s="42">
        <f>IF(OR(C219="",B219="",B219=0,C219=0),"",C219/B219-1)</f>
        <v/>
      </c>
      <c r="F219" s="41">
        <f>IF(SUMIFS(Countries!$W$5:$W$434,Countries!$A$5:$A$434,"All landing pages",Countries!$B$5:$B$434,"Organic",Countries!$D$5:$D$434,$A219)=0,"",SUMIFS(Countries!$W$5:$W$434,Countries!$A$5:$A$434,"All landing pages",Countries!$B$5:$B$434,"Organic",Countries!$D$5:$D$434,$A219))</f>
        <v/>
      </c>
      <c r="G219" s="41">
        <f>IF(SUMIFS(Countries!$X$5:$X$434,Countries!$A$5:$A$434,"All landing pages",Countries!$B$5:$B$434,"Organic",Countries!$D$5:$D$434,$A219)=0,"",SUMIFS(Countries!$X$5:$X$434,Countries!$A$5:$A$434,"All landing pages",Countries!$B$5:$B$434,"Organic",Countries!$D$5:$D$434,$A219))</f>
        <v/>
      </c>
      <c r="H219" s="69">
        <f>IF(OR(G219="",F219="",F219=0,G219=0),"",G219-F219)</f>
        <v/>
      </c>
      <c r="I219" s="42">
        <f>IF(OR(G219="",F219="",F219=0,G219=0),"",G219/F219-1)</f>
        <v/>
      </c>
      <c r="J219" s="41">
        <f>IF(SUMIFS(Countries!$W$5:$W$434,Countries!$A$5:$A$434,"All landing pages",Countries!$B$5:$B$434,"Direct",Countries!$D$5:$D$434,$A219)=0,"",SUMIFS(Countries!$W$5:$W$434,Countries!$A$5:$A$434,"All landing pages",Countries!$B$5:$B$434,"Direct",Countries!$D$5:$D$434,$A219))</f>
        <v/>
      </c>
      <c r="K219" s="41">
        <f>IF(SUMIFS(Countries!$X$5:$X$434,Countries!$A$5:$A$434,"All landing pages",Countries!$B$5:$B$434,"Direct",Countries!$D$5:$D$434,$A219)=0,"",SUMIFS(Countries!$X$5:$X$434,Countries!$A$5:$A$434,"All landing pages",Countries!$B$5:$B$434,"Direct",Countries!$D$5:$D$434,$A219))</f>
        <v/>
      </c>
      <c r="L219" s="69">
        <f>IF(OR(K219="",J219="",J219=0,K219=0),"",K219-J219)</f>
        <v/>
      </c>
      <c r="M219" s="42">
        <f>IF(OR(K219="",J219="",J219=0,K219=0),"",K219/J219-1)</f>
        <v/>
      </c>
      <c r="N219" s="41">
        <f>IF(SUM(B219,F219,J219)=0,"",SUM(B219,F219,J219))</f>
        <v/>
      </c>
      <c r="O219" s="41">
        <f>IF(SUM(C219,G219,K219)=0,"",SUM(C219,G219,K219))</f>
        <v/>
      </c>
      <c r="P219" s="69">
        <f>IF(OR(O219="",N219="",N219=0,O219=0),"",O219-N219)</f>
        <v/>
      </c>
      <c r="Q219" s="42">
        <f>IF(OR(O219="",N219="",N219=0,O219=0),"",O219/N219-1)</f>
        <v/>
      </c>
    </row>
    <row r="220">
      <c r="A220" s="56" t="inlineStr">
        <is>
          <t>Algeria</t>
        </is>
      </c>
      <c r="B220" s="41">
        <f>IF(SUMIFS(Countries!$W$5:$W$434,Countries!$A$5:$A$434,"All landing pages",Countries!$B$5:$B$434,"Paid Search",Countries!$D$5:$D$434,$A220)=0,"",SUMIFS(Countries!$W$5:$W$434,Countries!$A$5:$A$434,"All landing pages",Countries!$B$5:$B$434,"Paid Search",Countries!$D$5:$D$434,$A220))</f>
        <v/>
      </c>
      <c r="C220" s="41">
        <f>IF(SUMIFS(Countries!$X$5:$X$434,Countries!$A$5:$A$434,"All landing pages",Countries!$B$5:$B$434,"Paid Search",Countries!$D$5:$D$434,$A220)=0,"",SUMIFS(Countries!$X$5:$X$434,Countries!$A$5:$A$434,"All landing pages",Countries!$B$5:$B$434,"Paid Search",Countries!$D$5:$D$434,$A220))</f>
        <v/>
      </c>
      <c r="D220" s="69">
        <f>IF(OR(C220="",B220="",B220=0,C220=0),"",C220-B220)</f>
        <v/>
      </c>
      <c r="E220" s="42">
        <f>IF(OR(C220="",B220="",B220=0,C220=0),"",C220/B220-1)</f>
        <v/>
      </c>
      <c r="F220" s="41">
        <f>IF(SUMIFS(Countries!$W$5:$W$434,Countries!$A$5:$A$434,"All landing pages",Countries!$B$5:$B$434,"Organic",Countries!$D$5:$D$434,$A220)=0,"",SUMIFS(Countries!$W$5:$W$434,Countries!$A$5:$A$434,"All landing pages",Countries!$B$5:$B$434,"Organic",Countries!$D$5:$D$434,$A220))</f>
        <v/>
      </c>
      <c r="G220" s="41">
        <f>IF(SUMIFS(Countries!$X$5:$X$434,Countries!$A$5:$A$434,"All landing pages",Countries!$B$5:$B$434,"Organic",Countries!$D$5:$D$434,$A220)=0,"",SUMIFS(Countries!$X$5:$X$434,Countries!$A$5:$A$434,"All landing pages",Countries!$B$5:$B$434,"Organic",Countries!$D$5:$D$434,$A220))</f>
        <v/>
      </c>
      <c r="H220" s="69">
        <f>IF(OR(G220="",F220="",F220=0,G220=0),"",G220-F220)</f>
        <v/>
      </c>
      <c r="I220" s="42">
        <f>IF(OR(G220="",F220="",F220=0,G220=0),"",G220/F220-1)</f>
        <v/>
      </c>
      <c r="J220" s="41">
        <f>IF(SUMIFS(Countries!$W$5:$W$434,Countries!$A$5:$A$434,"All landing pages",Countries!$B$5:$B$434,"Direct",Countries!$D$5:$D$434,$A220)=0,"",SUMIFS(Countries!$W$5:$W$434,Countries!$A$5:$A$434,"All landing pages",Countries!$B$5:$B$434,"Direct",Countries!$D$5:$D$434,$A220))</f>
        <v/>
      </c>
      <c r="K220" s="41">
        <f>IF(SUMIFS(Countries!$X$5:$X$434,Countries!$A$5:$A$434,"All landing pages",Countries!$B$5:$B$434,"Direct",Countries!$D$5:$D$434,$A220)=0,"",SUMIFS(Countries!$X$5:$X$434,Countries!$A$5:$A$434,"All landing pages",Countries!$B$5:$B$434,"Direct",Countries!$D$5:$D$434,$A220))</f>
        <v/>
      </c>
      <c r="L220" s="69">
        <f>IF(OR(K220="",J220="",J220=0,K220=0),"",K220-J220)</f>
        <v/>
      </c>
      <c r="M220" s="42">
        <f>IF(OR(K220="",J220="",J220=0,K220=0),"",K220/J220-1)</f>
        <v/>
      </c>
      <c r="N220" s="41">
        <f>IF(SUM(B220,F220,J220)=0,"",SUM(B220,F220,J220))</f>
        <v/>
      </c>
      <c r="O220" s="41">
        <f>IF(SUM(C220,G220,K220)=0,"",SUM(C220,G220,K220))</f>
        <v/>
      </c>
      <c r="P220" s="69">
        <f>IF(OR(O220="",N220="",N220=0,O220=0),"",O220-N220)</f>
        <v/>
      </c>
      <c r="Q220" s="42">
        <f>IF(OR(O220="",N220="",N220=0,O220=0),"",O220/N220-1)</f>
        <v/>
      </c>
    </row>
    <row r="221">
      <c r="A221" s="40" t="inlineStr">
        <is>
          <t>Argentina</t>
        </is>
      </c>
      <c r="B221" s="41">
        <f>IF(SUMIFS(Countries!$W$5:$W$434,Countries!$A$5:$A$434,"All landing pages",Countries!$B$5:$B$434,"Paid Search",Countries!$D$5:$D$434,$A221)=0,"",SUMIFS(Countries!$W$5:$W$434,Countries!$A$5:$A$434,"All landing pages",Countries!$B$5:$B$434,"Paid Search",Countries!$D$5:$D$434,$A221))</f>
        <v/>
      </c>
      <c r="C221" s="41">
        <f>IF(SUMIFS(Countries!$X$5:$X$434,Countries!$A$5:$A$434,"All landing pages",Countries!$B$5:$B$434,"Paid Search",Countries!$D$5:$D$434,$A221)=0,"",SUMIFS(Countries!$X$5:$X$434,Countries!$A$5:$A$434,"All landing pages",Countries!$B$5:$B$434,"Paid Search",Countries!$D$5:$D$434,$A221))</f>
        <v/>
      </c>
      <c r="D221" s="69">
        <f>IF(OR(C221="",B221="",B221=0,C221=0),"",C221-B221)</f>
        <v/>
      </c>
      <c r="E221" s="42">
        <f>IF(OR(C221="",B221="",B221=0,C221=0),"",C221/B221-1)</f>
        <v/>
      </c>
      <c r="F221" s="41">
        <f>IF(SUMIFS(Countries!$W$5:$W$434,Countries!$A$5:$A$434,"All landing pages",Countries!$B$5:$B$434,"Organic",Countries!$D$5:$D$434,$A221)=0,"",SUMIFS(Countries!$W$5:$W$434,Countries!$A$5:$A$434,"All landing pages",Countries!$B$5:$B$434,"Organic",Countries!$D$5:$D$434,$A221))</f>
        <v/>
      </c>
      <c r="G221" s="41">
        <f>IF(SUMIFS(Countries!$X$5:$X$434,Countries!$A$5:$A$434,"All landing pages",Countries!$B$5:$B$434,"Organic",Countries!$D$5:$D$434,$A221)=0,"",SUMIFS(Countries!$X$5:$X$434,Countries!$A$5:$A$434,"All landing pages",Countries!$B$5:$B$434,"Organic",Countries!$D$5:$D$434,$A221))</f>
        <v/>
      </c>
      <c r="H221" s="69">
        <f>IF(OR(G221="",F221="",F221=0,G221=0),"",G221-F221)</f>
        <v/>
      </c>
      <c r="I221" s="42">
        <f>IF(OR(G221="",F221="",F221=0,G221=0),"",G221/F221-1)</f>
        <v/>
      </c>
      <c r="J221" s="41">
        <f>IF(SUMIFS(Countries!$W$5:$W$434,Countries!$A$5:$A$434,"All landing pages",Countries!$B$5:$B$434,"Direct",Countries!$D$5:$D$434,$A221)=0,"",SUMIFS(Countries!$W$5:$W$434,Countries!$A$5:$A$434,"All landing pages",Countries!$B$5:$B$434,"Direct",Countries!$D$5:$D$434,$A221))</f>
        <v/>
      </c>
      <c r="K221" s="41">
        <f>IF(SUMIFS(Countries!$X$5:$X$434,Countries!$A$5:$A$434,"All landing pages",Countries!$B$5:$B$434,"Direct",Countries!$D$5:$D$434,$A221)=0,"",SUMIFS(Countries!$X$5:$X$434,Countries!$A$5:$A$434,"All landing pages",Countries!$B$5:$B$434,"Direct",Countries!$D$5:$D$434,$A221))</f>
        <v/>
      </c>
      <c r="L221" s="69">
        <f>IF(OR(K221="",J221="",J221=0,K221=0),"",K221-J221)</f>
        <v/>
      </c>
      <c r="M221" s="42">
        <f>IF(OR(K221="",J221="",J221=0,K221=0),"",K221/J221-1)</f>
        <v/>
      </c>
      <c r="N221" s="41">
        <f>IF(SUM(B221,F221,J221)=0,"",SUM(B221,F221,J221))</f>
        <v/>
      </c>
      <c r="O221" s="41">
        <f>IF(SUM(C221,G221,K221)=0,"",SUM(C221,G221,K221))</f>
        <v/>
      </c>
      <c r="P221" s="69">
        <f>IF(OR(O221="",N221="",N221=0,O221=0),"",O221-N221)</f>
        <v/>
      </c>
      <c r="Q221" s="42">
        <f>IF(OR(O221="",N221="",N221=0,O221=0),"",O221/N221-1)</f>
        <v/>
      </c>
    </row>
    <row r="222">
      <c r="A222" s="56" t="inlineStr">
        <is>
          <t>Bangladesh</t>
        </is>
      </c>
      <c r="B222" s="41">
        <f>IF(SUMIFS(Countries!$W$5:$W$434,Countries!$A$5:$A$434,"All landing pages",Countries!$B$5:$B$434,"Paid Search",Countries!$D$5:$D$434,$A222)=0,"",SUMIFS(Countries!$W$5:$W$434,Countries!$A$5:$A$434,"All landing pages",Countries!$B$5:$B$434,"Paid Search",Countries!$D$5:$D$434,$A222))</f>
        <v/>
      </c>
      <c r="C222" s="41">
        <f>IF(SUMIFS(Countries!$X$5:$X$434,Countries!$A$5:$A$434,"All landing pages",Countries!$B$5:$B$434,"Paid Search",Countries!$D$5:$D$434,$A222)=0,"",SUMIFS(Countries!$X$5:$X$434,Countries!$A$5:$A$434,"All landing pages",Countries!$B$5:$B$434,"Paid Search",Countries!$D$5:$D$434,$A222))</f>
        <v/>
      </c>
      <c r="D222" s="69">
        <f>IF(OR(C222="",B222="",B222=0,C222=0),"",C222-B222)</f>
        <v/>
      </c>
      <c r="E222" s="42">
        <f>IF(OR(C222="",B222="",B222=0,C222=0),"",C222/B222-1)</f>
        <v/>
      </c>
      <c r="F222" s="41">
        <f>IF(SUMIFS(Countries!$W$5:$W$434,Countries!$A$5:$A$434,"All landing pages",Countries!$B$5:$B$434,"Organic",Countries!$D$5:$D$434,$A222)=0,"",SUMIFS(Countries!$W$5:$W$434,Countries!$A$5:$A$434,"All landing pages",Countries!$B$5:$B$434,"Organic",Countries!$D$5:$D$434,$A222))</f>
        <v/>
      </c>
      <c r="G222" s="41">
        <f>IF(SUMIFS(Countries!$X$5:$X$434,Countries!$A$5:$A$434,"All landing pages",Countries!$B$5:$B$434,"Organic",Countries!$D$5:$D$434,$A222)=0,"",SUMIFS(Countries!$X$5:$X$434,Countries!$A$5:$A$434,"All landing pages",Countries!$B$5:$B$434,"Organic",Countries!$D$5:$D$434,$A222))</f>
        <v/>
      </c>
      <c r="H222" s="69">
        <f>IF(OR(G222="",F222="",F222=0,G222=0),"",G222-F222)</f>
        <v/>
      </c>
      <c r="I222" s="42">
        <f>IF(OR(G222="",F222="",F222=0,G222=0),"",G222/F222-1)</f>
        <v/>
      </c>
      <c r="J222" s="41">
        <f>IF(SUMIFS(Countries!$W$5:$W$434,Countries!$A$5:$A$434,"All landing pages",Countries!$B$5:$B$434,"Direct",Countries!$D$5:$D$434,$A222)=0,"",SUMIFS(Countries!$W$5:$W$434,Countries!$A$5:$A$434,"All landing pages",Countries!$B$5:$B$434,"Direct",Countries!$D$5:$D$434,$A222))</f>
        <v/>
      </c>
      <c r="K222" s="41">
        <f>IF(SUMIFS(Countries!$X$5:$X$434,Countries!$A$5:$A$434,"All landing pages",Countries!$B$5:$B$434,"Direct",Countries!$D$5:$D$434,$A222)=0,"",SUMIFS(Countries!$X$5:$X$434,Countries!$A$5:$A$434,"All landing pages",Countries!$B$5:$B$434,"Direct",Countries!$D$5:$D$434,$A222))</f>
        <v/>
      </c>
      <c r="L222" s="69">
        <f>IF(OR(K222="",J222="",J222=0,K222=0),"",K222-J222)</f>
        <v/>
      </c>
      <c r="M222" s="42">
        <f>IF(OR(K222="",J222="",J222=0,K222=0),"",K222/J222-1)</f>
        <v/>
      </c>
      <c r="N222" s="41">
        <f>IF(SUM(B222,F222,J222)=0,"",SUM(B222,F222,J222))</f>
        <v/>
      </c>
      <c r="O222" s="41">
        <f>IF(SUM(C222,G222,K222)=0,"",SUM(C222,G222,K222))</f>
        <v/>
      </c>
      <c r="P222" s="69">
        <f>IF(OR(O222="",N222="",N222=0,O222=0),"",O222-N222)</f>
        <v/>
      </c>
      <c r="Q222" s="42">
        <f>IF(OR(O222="",N222="",N222=0,O222=0),"",O222/N222-1)</f>
        <v/>
      </c>
    </row>
    <row r="223">
      <c r="A223" s="40" t="inlineStr">
        <is>
          <t>Brazil</t>
        </is>
      </c>
      <c r="B223" s="41">
        <f>IF(SUMIFS(Countries!$W$5:$W$434,Countries!$A$5:$A$434,"All landing pages",Countries!$B$5:$B$434,"Paid Search",Countries!$D$5:$D$434,$A223)=0,"",SUMIFS(Countries!$W$5:$W$434,Countries!$A$5:$A$434,"All landing pages",Countries!$B$5:$B$434,"Paid Search",Countries!$D$5:$D$434,$A223))</f>
        <v/>
      </c>
      <c r="C223" s="41">
        <f>IF(SUMIFS(Countries!$X$5:$X$434,Countries!$A$5:$A$434,"All landing pages",Countries!$B$5:$B$434,"Paid Search",Countries!$D$5:$D$434,$A223)=0,"",SUMIFS(Countries!$X$5:$X$434,Countries!$A$5:$A$434,"All landing pages",Countries!$B$5:$B$434,"Paid Search",Countries!$D$5:$D$434,$A223))</f>
        <v/>
      </c>
      <c r="D223" s="69">
        <f>IF(OR(C223="",B223="",B223=0,C223=0),"",C223-B223)</f>
        <v/>
      </c>
      <c r="E223" s="42">
        <f>IF(OR(C223="",B223="",B223=0,C223=0),"",C223/B223-1)</f>
        <v/>
      </c>
      <c r="F223" s="41">
        <f>IF(SUMIFS(Countries!$W$5:$W$434,Countries!$A$5:$A$434,"All landing pages",Countries!$B$5:$B$434,"Organic",Countries!$D$5:$D$434,$A223)=0,"",SUMIFS(Countries!$W$5:$W$434,Countries!$A$5:$A$434,"All landing pages",Countries!$B$5:$B$434,"Organic",Countries!$D$5:$D$434,$A223))</f>
        <v/>
      </c>
      <c r="G223" s="41">
        <f>IF(SUMIFS(Countries!$X$5:$X$434,Countries!$A$5:$A$434,"All landing pages",Countries!$B$5:$B$434,"Organic",Countries!$D$5:$D$434,$A223)=0,"",SUMIFS(Countries!$X$5:$X$434,Countries!$A$5:$A$434,"All landing pages",Countries!$B$5:$B$434,"Organic",Countries!$D$5:$D$434,$A223))</f>
        <v/>
      </c>
      <c r="H223" s="69">
        <f>IF(OR(G223="",F223="",F223=0,G223=0),"",G223-F223)</f>
        <v/>
      </c>
      <c r="I223" s="42">
        <f>IF(OR(G223="",F223="",F223=0,G223=0),"",G223/F223-1)</f>
        <v/>
      </c>
      <c r="J223" s="41">
        <f>IF(SUMIFS(Countries!$W$5:$W$434,Countries!$A$5:$A$434,"All landing pages",Countries!$B$5:$B$434,"Direct",Countries!$D$5:$D$434,$A223)=0,"",SUMIFS(Countries!$W$5:$W$434,Countries!$A$5:$A$434,"All landing pages",Countries!$B$5:$B$434,"Direct",Countries!$D$5:$D$434,$A223))</f>
        <v/>
      </c>
      <c r="K223" s="41">
        <f>IF(SUMIFS(Countries!$X$5:$X$434,Countries!$A$5:$A$434,"All landing pages",Countries!$B$5:$B$434,"Direct",Countries!$D$5:$D$434,$A223)=0,"",SUMIFS(Countries!$X$5:$X$434,Countries!$A$5:$A$434,"All landing pages",Countries!$B$5:$B$434,"Direct",Countries!$D$5:$D$434,$A223))</f>
        <v/>
      </c>
      <c r="L223" s="69">
        <f>IF(OR(K223="",J223="",J223=0,K223=0),"",K223-J223)</f>
        <v/>
      </c>
      <c r="M223" s="42">
        <f>IF(OR(K223="",J223="",J223=0,K223=0),"",K223/J223-1)</f>
        <v/>
      </c>
      <c r="N223" s="41">
        <f>IF(SUM(B223,F223,J223)=0,"",SUM(B223,F223,J223))</f>
        <v/>
      </c>
      <c r="O223" s="41">
        <f>IF(SUM(C223,G223,K223)=0,"",SUM(C223,G223,K223))</f>
        <v/>
      </c>
      <c r="P223" s="69">
        <f>IF(OR(O223="",N223="",N223=0,O223=0),"",O223-N223)</f>
        <v/>
      </c>
      <c r="Q223" s="42">
        <f>IF(OR(O223="",N223="",N223=0,O223=0),"",O223/N223-1)</f>
        <v/>
      </c>
    </row>
    <row r="224">
      <c r="A224" s="56" t="inlineStr">
        <is>
          <t>China</t>
        </is>
      </c>
      <c r="B224" s="41">
        <f>IF(SUMIFS(Countries!$W$5:$W$434,Countries!$A$5:$A$434,"All landing pages",Countries!$B$5:$B$434,"Paid Search",Countries!$D$5:$D$434,$A224)=0,"",SUMIFS(Countries!$W$5:$W$434,Countries!$A$5:$A$434,"All landing pages",Countries!$B$5:$B$434,"Paid Search",Countries!$D$5:$D$434,$A224))</f>
        <v/>
      </c>
      <c r="C224" s="41">
        <f>IF(SUMIFS(Countries!$X$5:$X$434,Countries!$A$5:$A$434,"All landing pages",Countries!$B$5:$B$434,"Paid Search",Countries!$D$5:$D$434,$A224)=0,"",SUMIFS(Countries!$X$5:$X$434,Countries!$A$5:$A$434,"All landing pages",Countries!$B$5:$B$434,"Paid Search",Countries!$D$5:$D$434,$A224))</f>
        <v/>
      </c>
      <c r="D224" s="69">
        <f>IF(OR(C224="",B224="",B224=0,C224=0),"",C224-B224)</f>
        <v/>
      </c>
      <c r="E224" s="42">
        <f>IF(OR(C224="",B224="",B224=0,C224=0),"",C224/B224-1)</f>
        <v/>
      </c>
      <c r="F224" s="41">
        <f>IF(SUMIFS(Countries!$W$5:$W$434,Countries!$A$5:$A$434,"All landing pages",Countries!$B$5:$B$434,"Organic",Countries!$D$5:$D$434,$A224)=0,"",SUMIFS(Countries!$W$5:$W$434,Countries!$A$5:$A$434,"All landing pages",Countries!$B$5:$B$434,"Organic",Countries!$D$5:$D$434,$A224))</f>
        <v/>
      </c>
      <c r="G224" s="41">
        <f>IF(SUMIFS(Countries!$X$5:$X$434,Countries!$A$5:$A$434,"All landing pages",Countries!$B$5:$B$434,"Organic",Countries!$D$5:$D$434,$A224)=0,"",SUMIFS(Countries!$X$5:$X$434,Countries!$A$5:$A$434,"All landing pages",Countries!$B$5:$B$434,"Organic",Countries!$D$5:$D$434,$A224))</f>
        <v/>
      </c>
      <c r="H224" s="69">
        <f>IF(OR(G224="",F224="",F224=0,G224=0),"",G224-F224)</f>
        <v/>
      </c>
      <c r="I224" s="42">
        <f>IF(OR(G224="",F224="",F224=0,G224=0),"",G224/F224-1)</f>
        <v/>
      </c>
      <c r="J224" s="41">
        <f>IF(SUMIFS(Countries!$W$5:$W$434,Countries!$A$5:$A$434,"All landing pages",Countries!$B$5:$B$434,"Direct",Countries!$D$5:$D$434,$A224)=0,"",SUMIFS(Countries!$W$5:$W$434,Countries!$A$5:$A$434,"All landing pages",Countries!$B$5:$B$434,"Direct",Countries!$D$5:$D$434,$A224))</f>
        <v/>
      </c>
      <c r="K224" s="41">
        <f>IF(SUMIFS(Countries!$X$5:$X$434,Countries!$A$5:$A$434,"All landing pages",Countries!$B$5:$B$434,"Direct",Countries!$D$5:$D$434,$A224)=0,"",SUMIFS(Countries!$X$5:$X$434,Countries!$A$5:$A$434,"All landing pages",Countries!$B$5:$B$434,"Direct",Countries!$D$5:$D$434,$A224))</f>
        <v/>
      </c>
      <c r="L224" s="69">
        <f>IF(OR(K224="",J224="",J224=0,K224=0),"",K224-J224)</f>
        <v/>
      </c>
      <c r="M224" s="42">
        <f>IF(OR(K224="",J224="",J224=0,K224=0),"",K224/J224-1)</f>
        <v/>
      </c>
      <c r="N224" s="41">
        <f>IF(SUM(B224,F224,J224)=0,"",SUM(B224,F224,J224))</f>
        <v/>
      </c>
      <c r="O224" s="41">
        <f>IF(SUM(C224,G224,K224)=0,"",SUM(C224,G224,K224))</f>
        <v/>
      </c>
      <c r="P224" s="69">
        <f>IF(OR(O224="",N224="",N224=0,O224=0),"",O224-N224)</f>
        <v/>
      </c>
      <c r="Q224" s="42">
        <f>IF(OR(O224="",N224="",N224=0,O224=0),"",O224/N224-1)</f>
        <v/>
      </c>
    </row>
    <row r="225">
      <c r="A225" s="40" t="inlineStr">
        <is>
          <t>Croatia</t>
        </is>
      </c>
      <c r="B225" s="41">
        <f>IF(SUMIFS(Countries!$W$5:$W$434,Countries!$A$5:$A$434,"All landing pages",Countries!$B$5:$B$434,"Paid Search",Countries!$D$5:$D$434,$A225)=0,"",SUMIFS(Countries!$W$5:$W$434,Countries!$A$5:$A$434,"All landing pages",Countries!$B$5:$B$434,"Paid Search",Countries!$D$5:$D$434,$A225))</f>
        <v/>
      </c>
      <c r="C225" s="41">
        <f>IF(SUMIFS(Countries!$X$5:$X$434,Countries!$A$5:$A$434,"All landing pages",Countries!$B$5:$B$434,"Paid Search",Countries!$D$5:$D$434,$A225)=0,"",SUMIFS(Countries!$X$5:$X$434,Countries!$A$5:$A$434,"All landing pages",Countries!$B$5:$B$434,"Paid Search",Countries!$D$5:$D$434,$A225))</f>
        <v/>
      </c>
      <c r="D225" s="69">
        <f>IF(OR(C225="",B225="",B225=0,C225=0),"",C225-B225)</f>
        <v/>
      </c>
      <c r="E225" s="42">
        <f>IF(OR(C225="",B225="",B225=0,C225=0),"",C225/B225-1)</f>
        <v/>
      </c>
      <c r="F225" s="41">
        <f>IF(SUMIFS(Countries!$W$5:$W$434,Countries!$A$5:$A$434,"All landing pages",Countries!$B$5:$B$434,"Organic",Countries!$D$5:$D$434,$A225)=0,"",SUMIFS(Countries!$W$5:$W$434,Countries!$A$5:$A$434,"All landing pages",Countries!$B$5:$B$434,"Organic",Countries!$D$5:$D$434,$A225))</f>
        <v/>
      </c>
      <c r="G225" s="41">
        <f>IF(SUMIFS(Countries!$X$5:$X$434,Countries!$A$5:$A$434,"All landing pages",Countries!$B$5:$B$434,"Organic",Countries!$D$5:$D$434,$A225)=0,"",SUMIFS(Countries!$X$5:$X$434,Countries!$A$5:$A$434,"All landing pages",Countries!$B$5:$B$434,"Organic",Countries!$D$5:$D$434,$A225))</f>
        <v/>
      </c>
      <c r="H225" s="69">
        <f>IF(OR(G225="",F225="",F225=0,G225=0),"",G225-F225)</f>
        <v/>
      </c>
      <c r="I225" s="42">
        <f>IF(OR(G225="",F225="",F225=0,G225=0),"",G225/F225-1)</f>
        <v/>
      </c>
      <c r="J225" s="41">
        <f>IF(SUMIFS(Countries!$W$5:$W$434,Countries!$A$5:$A$434,"All landing pages",Countries!$B$5:$B$434,"Direct",Countries!$D$5:$D$434,$A225)=0,"",SUMIFS(Countries!$W$5:$W$434,Countries!$A$5:$A$434,"All landing pages",Countries!$B$5:$B$434,"Direct",Countries!$D$5:$D$434,$A225))</f>
        <v/>
      </c>
      <c r="K225" s="41">
        <f>IF(SUMIFS(Countries!$X$5:$X$434,Countries!$A$5:$A$434,"All landing pages",Countries!$B$5:$B$434,"Direct",Countries!$D$5:$D$434,$A225)=0,"",SUMIFS(Countries!$X$5:$X$434,Countries!$A$5:$A$434,"All landing pages",Countries!$B$5:$B$434,"Direct",Countries!$D$5:$D$434,$A225))</f>
        <v/>
      </c>
      <c r="L225" s="69">
        <f>IF(OR(K225="",J225="",J225=0,K225=0),"",K225-J225)</f>
        <v/>
      </c>
      <c r="M225" s="42">
        <f>IF(OR(K225="",J225="",J225=0,K225=0),"",K225/J225-1)</f>
        <v/>
      </c>
      <c r="N225" s="41">
        <f>IF(SUM(B225,F225,J225)=0,"",SUM(B225,F225,J225))</f>
        <v/>
      </c>
      <c r="O225" s="41">
        <f>IF(SUM(C225,G225,K225)=0,"",SUM(C225,G225,K225))</f>
        <v/>
      </c>
      <c r="P225" s="69">
        <f>IF(OR(O225="",N225="",N225=0,O225=0),"",O225-N225)</f>
        <v/>
      </c>
      <c r="Q225" s="42">
        <f>IF(OR(O225="",N225="",N225=0,O225=0),"",O225/N225-1)</f>
        <v/>
      </c>
    </row>
    <row r="226">
      <c r="A226" s="56" t="inlineStr">
        <is>
          <t>Honduras</t>
        </is>
      </c>
      <c r="B226" s="41">
        <f>IF(SUMIFS(Countries!$W$5:$W$434,Countries!$A$5:$A$434,"All landing pages",Countries!$B$5:$B$434,"Paid Search",Countries!$D$5:$D$434,$A226)=0,"",SUMIFS(Countries!$W$5:$W$434,Countries!$A$5:$A$434,"All landing pages",Countries!$B$5:$B$434,"Paid Search",Countries!$D$5:$D$434,$A226))</f>
        <v/>
      </c>
      <c r="C226" s="41">
        <f>IF(SUMIFS(Countries!$X$5:$X$434,Countries!$A$5:$A$434,"All landing pages",Countries!$B$5:$B$434,"Paid Search",Countries!$D$5:$D$434,$A226)=0,"",SUMIFS(Countries!$X$5:$X$434,Countries!$A$5:$A$434,"All landing pages",Countries!$B$5:$B$434,"Paid Search",Countries!$D$5:$D$434,$A226))</f>
        <v/>
      </c>
      <c r="D226" s="69">
        <f>IF(OR(C226="",B226="",B226=0,C226=0),"",C226-B226)</f>
        <v/>
      </c>
      <c r="E226" s="42">
        <f>IF(OR(C226="",B226="",B226=0,C226=0),"",C226/B226-1)</f>
        <v/>
      </c>
      <c r="F226" s="41">
        <f>IF(SUMIFS(Countries!$W$5:$W$434,Countries!$A$5:$A$434,"All landing pages",Countries!$B$5:$B$434,"Organic",Countries!$D$5:$D$434,$A226)=0,"",SUMIFS(Countries!$W$5:$W$434,Countries!$A$5:$A$434,"All landing pages",Countries!$B$5:$B$434,"Organic",Countries!$D$5:$D$434,$A226))</f>
        <v/>
      </c>
      <c r="G226" s="41">
        <f>IF(SUMIFS(Countries!$X$5:$X$434,Countries!$A$5:$A$434,"All landing pages",Countries!$B$5:$B$434,"Organic",Countries!$D$5:$D$434,$A226)=0,"",SUMIFS(Countries!$X$5:$X$434,Countries!$A$5:$A$434,"All landing pages",Countries!$B$5:$B$434,"Organic",Countries!$D$5:$D$434,$A226))</f>
        <v/>
      </c>
      <c r="H226" s="69">
        <f>IF(OR(G226="",F226="",F226=0,G226=0),"",G226-F226)</f>
        <v/>
      </c>
      <c r="I226" s="42">
        <f>IF(OR(G226="",F226="",F226=0,G226=0),"",G226/F226-1)</f>
        <v/>
      </c>
      <c r="J226" s="41">
        <f>IF(SUMIFS(Countries!$W$5:$W$434,Countries!$A$5:$A$434,"All landing pages",Countries!$B$5:$B$434,"Direct",Countries!$D$5:$D$434,$A226)=0,"",SUMIFS(Countries!$W$5:$W$434,Countries!$A$5:$A$434,"All landing pages",Countries!$B$5:$B$434,"Direct",Countries!$D$5:$D$434,$A226))</f>
        <v/>
      </c>
      <c r="K226" s="41">
        <f>IF(SUMIFS(Countries!$X$5:$X$434,Countries!$A$5:$A$434,"All landing pages",Countries!$B$5:$B$434,"Direct",Countries!$D$5:$D$434,$A226)=0,"",SUMIFS(Countries!$X$5:$X$434,Countries!$A$5:$A$434,"All landing pages",Countries!$B$5:$B$434,"Direct",Countries!$D$5:$D$434,$A226))</f>
        <v/>
      </c>
      <c r="L226" s="69">
        <f>IF(OR(K226="",J226="",J226=0,K226=0),"",K226-J226)</f>
        <v/>
      </c>
      <c r="M226" s="42">
        <f>IF(OR(K226="",J226="",J226=0,K226=0),"",K226/J226-1)</f>
        <v/>
      </c>
      <c r="N226" s="41">
        <f>IF(SUM(B226,F226,J226)=0,"",SUM(B226,F226,J226))</f>
        <v/>
      </c>
      <c r="O226" s="41">
        <f>IF(SUM(C226,G226,K226)=0,"",SUM(C226,G226,K226))</f>
        <v/>
      </c>
      <c r="P226" s="69">
        <f>IF(OR(O226="",N226="",N226=0,O226=0),"",O226-N226)</f>
        <v/>
      </c>
      <c r="Q226" s="42">
        <f>IF(OR(O226="",N226="",N226=0,O226=0),"",O226/N226-1)</f>
        <v/>
      </c>
    </row>
    <row r="227">
      <c r="A227" s="40" t="inlineStr">
        <is>
          <t>Israel</t>
        </is>
      </c>
      <c r="B227" s="41">
        <f>IF(SUMIFS(Countries!$W$5:$W$434,Countries!$A$5:$A$434,"All landing pages",Countries!$B$5:$B$434,"Paid Search",Countries!$D$5:$D$434,$A227)=0,"",SUMIFS(Countries!$W$5:$W$434,Countries!$A$5:$A$434,"All landing pages",Countries!$B$5:$B$434,"Paid Search",Countries!$D$5:$D$434,$A227))</f>
        <v/>
      </c>
      <c r="C227" s="41">
        <f>IF(SUMIFS(Countries!$X$5:$X$434,Countries!$A$5:$A$434,"All landing pages",Countries!$B$5:$B$434,"Paid Search",Countries!$D$5:$D$434,$A227)=0,"",SUMIFS(Countries!$X$5:$X$434,Countries!$A$5:$A$434,"All landing pages",Countries!$B$5:$B$434,"Paid Search",Countries!$D$5:$D$434,$A227))</f>
        <v/>
      </c>
      <c r="D227" s="69">
        <f>IF(OR(C227="",B227="",B227=0,C227=0),"",C227-B227)</f>
        <v/>
      </c>
      <c r="E227" s="42">
        <f>IF(OR(C227="",B227="",B227=0,C227=0),"",C227/B227-1)</f>
        <v/>
      </c>
      <c r="F227" s="41">
        <f>IF(SUMIFS(Countries!$W$5:$W$434,Countries!$A$5:$A$434,"All landing pages",Countries!$B$5:$B$434,"Organic",Countries!$D$5:$D$434,$A227)=0,"",SUMIFS(Countries!$W$5:$W$434,Countries!$A$5:$A$434,"All landing pages",Countries!$B$5:$B$434,"Organic",Countries!$D$5:$D$434,$A227))</f>
        <v/>
      </c>
      <c r="G227" s="41">
        <f>IF(SUMIFS(Countries!$X$5:$X$434,Countries!$A$5:$A$434,"All landing pages",Countries!$B$5:$B$434,"Organic",Countries!$D$5:$D$434,$A227)=0,"",SUMIFS(Countries!$X$5:$X$434,Countries!$A$5:$A$434,"All landing pages",Countries!$B$5:$B$434,"Organic",Countries!$D$5:$D$434,$A227))</f>
        <v/>
      </c>
      <c r="H227" s="69">
        <f>IF(OR(G227="",F227="",F227=0,G227=0),"",G227-F227)</f>
        <v/>
      </c>
      <c r="I227" s="42">
        <f>IF(OR(G227="",F227="",F227=0,G227=0),"",G227/F227-1)</f>
        <v/>
      </c>
      <c r="J227" s="41">
        <f>IF(SUMIFS(Countries!$W$5:$W$434,Countries!$A$5:$A$434,"All landing pages",Countries!$B$5:$B$434,"Direct",Countries!$D$5:$D$434,$A227)=0,"",SUMIFS(Countries!$W$5:$W$434,Countries!$A$5:$A$434,"All landing pages",Countries!$B$5:$B$434,"Direct",Countries!$D$5:$D$434,$A227))</f>
        <v/>
      </c>
      <c r="K227" s="41">
        <f>IF(SUMIFS(Countries!$X$5:$X$434,Countries!$A$5:$A$434,"All landing pages",Countries!$B$5:$B$434,"Direct",Countries!$D$5:$D$434,$A227)=0,"",SUMIFS(Countries!$X$5:$X$434,Countries!$A$5:$A$434,"All landing pages",Countries!$B$5:$B$434,"Direct",Countries!$D$5:$D$434,$A227))</f>
        <v/>
      </c>
      <c r="L227" s="69">
        <f>IF(OR(K227="",J227="",J227=0,K227=0),"",K227-J227)</f>
        <v/>
      </c>
      <c r="M227" s="42">
        <f>IF(OR(K227="",J227="",J227=0,K227=0),"",K227/J227-1)</f>
        <v/>
      </c>
      <c r="N227" s="41">
        <f>IF(SUM(B227,F227,J227)=0,"",SUM(B227,F227,J227))</f>
        <v/>
      </c>
      <c r="O227" s="41">
        <f>IF(SUM(C227,G227,K227)=0,"",SUM(C227,G227,K227))</f>
        <v/>
      </c>
      <c r="P227" s="69">
        <f>IF(OR(O227="",N227="",N227=0,O227=0),"",O227-N227)</f>
        <v/>
      </c>
      <c r="Q227" s="42">
        <f>IF(OR(O227="",N227="",N227=0,O227=0),"",O227/N227-1)</f>
        <v/>
      </c>
    </row>
    <row r="228">
      <c r="A228" s="56" t="inlineStr">
        <is>
          <t>Philippines</t>
        </is>
      </c>
      <c r="B228" s="41">
        <f>IF(SUMIFS(Countries!$W$5:$W$434,Countries!$A$5:$A$434,"All landing pages",Countries!$B$5:$B$434,"Paid Search",Countries!$D$5:$D$434,$A228)=0,"",SUMIFS(Countries!$W$5:$W$434,Countries!$A$5:$A$434,"All landing pages",Countries!$B$5:$B$434,"Paid Search",Countries!$D$5:$D$434,$A228))</f>
        <v/>
      </c>
      <c r="C228" s="41">
        <f>IF(SUMIFS(Countries!$X$5:$X$434,Countries!$A$5:$A$434,"All landing pages",Countries!$B$5:$B$434,"Paid Search",Countries!$D$5:$D$434,$A228)=0,"",SUMIFS(Countries!$X$5:$X$434,Countries!$A$5:$A$434,"All landing pages",Countries!$B$5:$B$434,"Paid Search",Countries!$D$5:$D$434,$A228))</f>
        <v/>
      </c>
      <c r="D228" s="69">
        <f>IF(OR(C228="",B228="",B228=0,C228=0),"",C228-B228)</f>
        <v/>
      </c>
      <c r="E228" s="42">
        <f>IF(OR(C228="",B228="",B228=0,C228=0),"",C228/B228-1)</f>
        <v/>
      </c>
      <c r="F228" s="41">
        <f>IF(SUMIFS(Countries!$W$5:$W$434,Countries!$A$5:$A$434,"All landing pages",Countries!$B$5:$B$434,"Organic",Countries!$D$5:$D$434,$A228)=0,"",SUMIFS(Countries!$W$5:$W$434,Countries!$A$5:$A$434,"All landing pages",Countries!$B$5:$B$434,"Organic",Countries!$D$5:$D$434,$A228))</f>
        <v/>
      </c>
      <c r="G228" s="41">
        <f>IF(SUMIFS(Countries!$X$5:$X$434,Countries!$A$5:$A$434,"All landing pages",Countries!$B$5:$B$434,"Organic",Countries!$D$5:$D$434,$A228)=0,"",SUMIFS(Countries!$X$5:$X$434,Countries!$A$5:$A$434,"All landing pages",Countries!$B$5:$B$434,"Organic",Countries!$D$5:$D$434,$A228))</f>
        <v/>
      </c>
      <c r="H228" s="69">
        <f>IF(OR(G228="",F228="",F228=0,G228=0),"",G228-F228)</f>
        <v/>
      </c>
      <c r="I228" s="42">
        <f>IF(OR(G228="",F228="",F228=0,G228=0),"",G228/F228-1)</f>
        <v/>
      </c>
      <c r="J228" s="41">
        <f>IF(SUMIFS(Countries!$W$5:$W$434,Countries!$A$5:$A$434,"All landing pages",Countries!$B$5:$B$434,"Direct",Countries!$D$5:$D$434,$A228)=0,"",SUMIFS(Countries!$W$5:$W$434,Countries!$A$5:$A$434,"All landing pages",Countries!$B$5:$B$434,"Direct",Countries!$D$5:$D$434,$A228))</f>
        <v/>
      </c>
      <c r="K228" s="41">
        <f>IF(SUMIFS(Countries!$X$5:$X$434,Countries!$A$5:$A$434,"All landing pages",Countries!$B$5:$B$434,"Direct",Countries!$D$5:$D$434,$A228)=0,"",SUMIFS(Countries!$X$5:$X$434,Countries!$A$5:$A$434,"All landing pages",Countries!$B$5:$B$434,"Direct",Countries!$D$5:$D$434,$A228))</f>
        <v/>
      </c>
      <c r="L228" s="69">
        <f>IF(OR(K228="",J228="",J228=0,K228=0),"",K228-J228)</f>
        <v/>
      </c>
      <c r="M228" s="42">
        <f>IF(OR(K228="",J228="",J228=0,K228=0),"",K228/J228-1)</f>
        <v/>
      </c>
      <c r="N228" s="41">
        <f>IF(SUM(B228,F228,J228)=0,"",SUM(B228,F228,J228))</f>
        <v/>
      </c>
      <c r="O228" s="41">
        <f>IF(SUM(C228,G228,K228)=0,"",SUM(C228,G228,K228))</f>
        <v/>
      </c>
      <c r="P228" s="69">
        <f>IF(OR(O228="",N228="",N228=0,O228=0),"",O228-N228)</f>
        <v/>
      </c>
      <c r="Q228" s="42">
        <f>IF(OR(O228="",N228="",N228=0,O228=0),"",O228/N228-1)</f>
        <v/>
      </c>
    </row>
    <row r="229">
      <c r="A229" s="40" t="inlineStr">
        <is>
          <t>Ukraine</t>
        </is>
      </c>
      <c r="B229" s="41">
        <f>IF(SUMIFS(Countries!$W$5:$W$434,Countries!$A$5:$A$434,"All landing pages",Countries!$B$5:$B$434,"Paid Search",Countries!$D$5:$D$434,$A229)=0,"",SUMIFS(Countries!$W$5:$W$434,Countries!$A$5:$A$434,"All landing pages",Countries!$B$5:$B$434,"Paid Search",Countries!$D$5:$D$434,$A229))</f>
        <v/>
      </c>
      <c r="C229" s="41">
        <f>IF(SUMIFS(Countries!$X$5:$X$434,Countries!$A$5:$A$434,"All landing pages",Countries!$B$5:$B$434,"Paid Search",Countries!$D$5:$D$434,$A229)=0,"",SUMIFS(Countries!$X$5:$X$434,Countries!$A$5:$A$434,"All landing pages",Countries!$B$5:$B$434,"Paid Search",Countries!$D$5:$D$434,$A229))</f>
        <v/>
      </c>
      <c r="D229" s="69">
        <f>IF(OR(C229="",B229="",B229=0,C229=0),"",C229-B229)</f>
        <v/>
      </c>
      <c r="E229" s="42">
        <f>IF(OR(C229="",B229="",B229=0,C229=0),"",C229/B229-1)</f>
        <v/>
      </c>
      <c r="F229" s="41">
        <f>IF(SUMIFS(Countries!$W$5:$W$434,Countries!$A$5:$A$434,"All landing pages",Countries!$B$5:$B$434,"Organic",Countries!$D$5:$D$434,$A229)=0,"",SUMIFS(Countries!$W$5:$W$434,Countries!$A$5:$A$434,"All landing pages",Countries!$B$5:$B$434,"Organic",Countries!$D$5:$D$434,$A229))</f>
        <v/>
      </c>
      <c r="G229" s="41">
        <f>IF(SUMIFS(Countries!$X$5:$X$434,Countries!$A$5:$A$434,"All landing pages",Countries!$B$5:$B$434,"Organic",Countries!$D$5:$D$434,$A229)=0,"",SUMIFS(Countries!$X$5:$X$434,Countries!$A$5:$A$434,"All landing pages",Countries!$B$5:$B$434,"Organic",Countries!$D$5:$D$434,$A229))</f>
        <v/>
      </c>
      <c r="H229" s="69">
        <f>IF(OR(G229="",F229="",F229=0,G229=0),"",G229-F229)</f>
        <v/>
      </c>
      <c r="I229" s="42">
        <f>IF(OR(G229="",F229="",F229=0,G229=0),"",G229/F229-1)</f>
        <v/>
      </c>
      <c r="J229" s="41">
        <f>IF(SUMIFS(Countries!$W$5:$W$434,Countries!$A$5:$A$434,"All landing pages",Countries!$B$5:$B$434,"Direct",Countries!$D$5:$D$434,$A229)=0,"",SUMIFS(Countries!$W$5:$W$434,Countries!$A$5:$A$434,"All landing pages",Countries!$B$5:$B$434,"Direct",Countries!$D$5:$D$434,$A229))</f>
        <v/>
      </c>
      <c r="K229" s="41">
        <f>IF(SUMIFS(Countries!$X$5:$X$434,Countries!$A$5:$A$434,"All landing pages",Countries!$B$5:$B$434,"Direct",Countries!$D$5:$D$434,$A229)=0,"",SUMIFS(Countries!$X$5:$X$434,Countries!$A$5:$A$434,"All landing pages",Countries!$B$5:$B$434,"Direct",Countries!$D$5:$D$434,$A229))</f>
        <v/>
      </c>
      <c r="L229" s="69">
        <f>IF(OR(K229="",J229="",J229=0,K229=0),"",K229-J229)</f>
        <v/>
      </c>
      <c r="M229" s="42">
        <f>IF(OR(K229="",J229="",J229=0,K229=0),"",K229/J229-1)</f>
        <v/>
      </c>
      <c r="N229" s="41">
        <f>IF(SUM(B229,F229,J229)=0,"",SUM(B229,F229,J229))</f>
        <v/>
      </c>
      <c r="O229" s="41">
        <f>IF(SUM(C229,G229,K229)=0,"",SUM(C229,G229,K229))</f>
        <v/>
      </c>
      <c r="P229" s="69">
        <f>IF(OR(O229="",N229="",N229=0,O229=0),"",O229-N229)</f>
        <v/>
      </c>
      <c r="Q229" s="42">
        <f>IF(OR(O229="",N229="",N229=0,O229=0),"",O229/N229-1)</f>
        <v/>
      </c>
    </row>
    <row r="232">
      <c r="A232" s="39" t="inlineStr">
        <is>
          <t>Search→Select</t>
        </is>
      </c>
    </row>
    <row r="233">
      <c r="A233" s="75" t="inlineStr">
        <is>
          <t>Country</t>
        </is>
      </c>
      <c r="B233" s="29" t="inlineStr">
        <is>
          <t>Paid Search</t>
        </is>
      </c>
      <c r="C233" s="21" t="n"/>
      <c r="D233" s="21" t="n"/>
      <c r="E233" s="21" t="n"/>
      <c r="F233" s="29" t="inlineStr">
        <is>
          <t>Organic</t>
        </is>
      </c>
      <c r="G233" s="21" t="n"/>
      <c r="H233" s="21" t="n"/>
      <c r="I233" s="21" t="n"/>
      <c r="J233" s="29" t="inlineStr">
        <is>
          <t>Direct</t>
        </is>
      </c>
      <c r="K233" s="21" t="n"/>
      <c r="L233" s="21" t="n"/>
      <c r="M233" s="21" t="n"/>
      <c r="N233" s="27" t="inlineStr">
        <is>
          <t>Total</t>
        </is>
      </c>
      <c r="O233" s="17" t="n"/>
      <c r="P233" s="17" t="n"/>
      <c r="Q233" s="17" t="n"/>
    </row>
    <row r="234">
      <c r="A234" s="15" t="n"/>
      <c r="B234" s="27" t="inlineStr">
        <is>
          <t>1-23Aug25</t>
        </is>
      </c>
      <c r="C234" s="27" t="inlineStr">
        <is>
          <t>1-23Aug26</t>
        </is>
      </c>
      <c r="D234" s="27" t="inlineStr">
        <is>
          <t>Δ pp</t>
        </is>
      </c>
      <c r="E234" s="27" t="inlineStr"/>
      <c r="F234" s="27" t="inlineStr">
        <is>
          <t>1-23Aug25</t>
        </is>
      </c>
      <c r="G234" s="27" t="inlineStr">
        <is>
          <t>1-23Aug26</t>
        </is>
      </c>
      <c r="H234" s="27" t="inlineStr">
        <is>
          <t>Δ pp</t>
        </is>
      </c>
      <c r="I234" s="27" t="inlineStr"/>
      <c r="J234" s="27" t="inlineStr">
        <is>
          <t>1-23Aug25</t>
        </is>
      </c>
      <c r="K234" s="27" t="inlineStr">
        <is>
          <t>1-23Aug26</t>
        </is>
      </c>
      <c r="L234" s="27" t="inlineStr">
        <is>
          <t>Δ pp</t>
        </is>
      </c>
      <c r="M234" s="27" t="inlineStr"/>
      <c r="N234" s="27" t="inlineStr">
        <is>
          <t>1-23Aug25</t>
        </is>
      </c>
      <c r="O234" s="27" t="inlineStr">
        <is>
          <t>1-23Aug26</t>
        </is>
      </c>
      <c r="P234" s="27" t="inlineStr">
        <is>
          <t>Δ pp</t>
        </is>
      </c>
      <c r="Q234" s="27" t="inlineStr"/>
    </row>
    <row r="235">
      <c r="A235" s="40" t="inlineStr">
        <is>
          <t>United Kingdom</t>
        </is>
      </c>
      <c r="B235" s="43">
        <f>IF(SUMIFS(Countries!$P$5:$P$434,Countries!$A$5:$A$434,"All landing pages",Countries!$B$5:$B$434,"Paid Search",Countries!$D$5:$D$434,$A235,Countries!$W$5:$W$434,"&gt;0")=0,"",SUMIFS(Countries!$W$5:$W$434,Countries!$A$5:$A$434,"All landing pages",Countries!$B$5:$B$434,"Paid Search",Countries!$D$5:$D$434,$A235,Countries!$P$5:$P$434,"&gt;0")/SUMIFS(Countries!$P$5:$P$434,Countries!$A$5:$A$434,"All landing pages",Countries!$B$5:$B$434,"Paid Search",Countries!$D$5:$D$434,$A235,Countries!$W$5:$W$434,"&gt;0"))</f>
        <v/>
      </c>
      <c r="C235" s="43">
        <f>IF(SUMIFS(Countries!$Q$5:$Q$434,Countries!$A$5:$A$434,"All landing pages",Countries!$B$5:$B$434,"Paid Search",Countries!$D$5:$D$434,$A235,Countries!$X$5:$X$434,"&gt;0")=0,"",SUMIFS(Countries!$X$5:$X$434,Countries!$A$5:$A$434,"All landing pages",Countries!$B$5:$B$434,"Paid Search",Countries!$D$5:$D$434,$A235,Countries!$Q$5:$Q$434,"&gt;0")/SUMIFS(Countries!$Q$5:$Q$434,Countries!$A$5:$A$434,"All landing pages",Countries!$B$5:$B$434,"Paid Search",Countries!$D$5:$D$434,$A235,Countries!$X$5:$X$434,"&gt;0"))</f>
        <v/>
      </c>
      <c r="D235" s="44">
        <f>IF(OR(B235="",C235=""),"",(C235-B235)*100)</f>
        <v/>
      </c>
      <c r="E235" s="73" t="n"/>
      <c r="F235" s="43">
        <f>IF(SUMIFS(Countries!$P$5:$P$434,Countries!$A$5:$A$434,"All landing pages",Countries!$B$5:$B$434,"Organic",Countries!$D$5:$D$434,$A235,Countries!$W$5:$W$434,"&gt;0")=0,"",SUMIFS(Countries!$W$5:$W$434,Countries!$A$5:$A$434,"All landing pages",Countries!$B$5:$B$434,"Organic",Countries!$D$5:$D$434,$A235,Countries!$P$5:$P$434,"&gt;0")/SUMIFS(Countries!$P$5:$P$434,Countries!$A$5:$A$434,"All landing pages",Countries!$B$5:$B$434,"Organic",Countries!$D$5:$D$434,$A235,Countries!$W$5:$W$434,"&gt;0"))</f>
        <v/>
      </c>
      <c r="G235" s="43">
        <f>IF(SUMIFS(Countries!$Q$5:$Q$434,Countries!$A$5:$A$434,"All landing pages",Countries!$B$5:$B$434,"Organic",Countries!$D$5:$D$434,$A235,Countries!$X$5:$X$434,"&gt;0")=0,"",SUMIFS(Countries!$X$5:$X$434,Countries!$A$5:$A$434,"All landing pages",Countries!$B$5:$B$434,"Organic",Countries!$D$5:$D$434,$A235,Countries!$Q$5:$Q$434,"&gt;0")/SUMIFS(Countries!$Q$5:$Q$434,Countries!$A$5:$A$434,"All landing pages",Countries!$B$5:$B$434,"Organic",Countries!$D$5:$D$434,$A235,Countries!$X$5:$X$434,"&gt;0"))</f>
        <v/>
      </c>
      <c r="H235" s="44">
        <f>IF(OR(F235="",G235=""),"",(G235-F235)*100)</f>
        <v/>
      </c>
      <c r="I235" s="73" t="n"/>
      <c r="J235" s="43">
        <f>IF(SUMIFS(Countries!$P$5:$P$434,Countries!$A$5:$A$434,"All landing pages",Countries!$B$5:$B$434,"Direct",Countries!$D$5:$D$434,$A235,Countries!$W$5:$W$434,"&gt;0")=0,"",SUMIFS(Countries!$W$5:$W$434,Countries!$A$5:$A$434,"All landing pages",Countries!$B$5:$B$434,"Direct",Countries!$D$5:$D$434,$A235,Countries!$P$5:$P$434,"&gt;0")/SUMIFS(Countries!$P$5:$P$434,Countries!$A$5:$A$434,"All landing pages",Countries!$B$5:$B$434,"Direct",Countries!$D$5:$D$434,$A235,Countries!$W$5:$W$434,"&gt;0"))</f>
        <v/>
      </c>
      <c r="K235" s="43">
        <f>IF(SUMIFS(Countries!$Q$5:$Q$434,Countries!$A$5:$A$434,"All landing pages",Countries!$B$5:$B$434,"Direct",Countries!$D$5:$D$434,$A235,Countries!$X$5:$X$434,"&gt;0")=0,"",SUMIFS(Countries!$X$5:$X$434,Countries!$A$5:$A$434,"All landing pages",Countries!$B$5:$B$434,"Direct",Countries!$D$5:$D$434,$A235,Countries!$Q$5:$Q$434,"&gt;0")/SUMIFS(Countries!$Q$5:$Q$434,Countries!$A$5:$A$434,"All landing pages",Countries!$B$5:$B$434,"Direct",Countries!$D$5:$D$434,$A235,Countries!$X$5:$X$434,"&gt;0"))</f>
        <v/>
      </c>
      <c r="L235" s="44">
        <f>IF(OR(J235="",K235=""),"",(K235-J235)*100)</f>
        <v/>
      </c>
      <c r="M235" s="73" t="n"/>
      <c r="N235" s="43">
        <f>IF(SUMIFS(Countries!$P$5:$P$434,Countries!$A$5:$A$434,"All landing pages",Countries!$D$5:$D$434,$A235,Countries!$W$5:$W$434,"&gt;0")=0,"",SUMIFS(Countries!$W$5:$W$434,Countries!$A$5:$A$434,"All landing pages",Countries!$D$5:$D$434,$A235,Countries!$P$5:$P$434,"&gt;0")/SUMIFS(Countries!$P$5:$P$434,Countries!$A$5:$A$434,"All landing pages",Countries!$D$5:$D$434,$A235,Countries!$W$5:$W$434,"&gt;0"))</f>
        <v/>
      </c>
      <c r="O235" s="43">
        <f>IF(SUMIFS(Countries!$Q$5:$Q$434,Countries!$A$5:$A$434,"All landing pages",Countries!$D$5:$D$434,$A235,Countries!$X$5:$X$434,"&gt;0")=0,"",SUMIFS(Countries!$X$5:$X$434,Countries!$A$5:$A$434,"All landing pages",Countries!$D$5:$D$434,$A235,Countries!$Q$5:$Q$434,"&gt;0")/SUMIFS(Countries!$Q$5:$Q$434,Countries!$A$5:$A$434,"All landing pages",Countries!$D$5:$D$434,$A235,Countries!$X$5:$X$434,"&gt;0"))</f>
        <v/>
      </c>
      <c r="P235" s="44">
        <f>IF(OR(N235="",O235=""),"",(O235-N235)*100)</f>
        <v/>
      </c>
      <c r="Q235" s="73" t="n"/>
    </row>
    <row r="236">
      <c r="A236" s="56" t="inlineStr">
        <is>
          <t>Germany</t>
        </is>
      </c>
      <c r="B236" s="43">
        <f>IF(SUMIFS(Countries!$P$5:$P$434,Countries!$A$5:$A$434,"All landing pages",Countries!$B$5:$B$434,"Paid Search",Countries!$D$5:$D$434,$A236,Countries!$W$5:$W$434,"&gt;0")=0,"",SUMIFS(Countries!$W$5:$W$434,Countries!$A$5:$A$434,"All landing pages",Countries!$B$5:$B$434,"Paid Search",Countries!$D$5:$D$434,$A236,Countries!$P$5:$P$434,"&gt;0")/SUMIFS(Countries!$P$5:$P$434,Countries!$A$5:$A$434,"All landing pages",Countries!$B$5:$B$434,"Paid Search",Countries!$D$5:$D$434,$A236,Countries!$W$5:$W$434,"&gt;0"))</f>
        <v/>
      </c>
      <c r="C236" s="43">
        <f>IF(SUMIFS(Countries!$Q$5:$Q$434,Countries!$A$5:$A$434,"All landing pages",Countries!$B$5:$B$434,"Paid Search",Countries!$D$5:$D$434,$A236,Countries!$X$5:$X$434,"&gt;0")=0,"",SUMIFS(Countries!$X$5:$X$434,Countries!$A$5:$A$434,"All landing pages",Countries!$B$5:$B$434,"Paid Search",Countries!$D$5:$D$434,$A236,Countries!$Q$5:$Q$434,"&gt;0")/SUMIFS(Countries!$Q$5:$Q$434,Countries!$A$5:$A$434,"All landing pages",Countries!$B$5:$B$434,"Paid Search",Countries!$D$5:$D$434,$A236,Countries!$X$5:$X$434,"&gt;0"))</f>
        <v/>
      </c>
      <c r="D236" s="44">
        <f>IF(OR(B236="",C236=""),"",(C236-B236)*100)</f>
        <v/>
      </c>
      <c r="E236" s="73" t="n"/>
      <c r="F236" s="43">
        <f>IF(SUMIFS(Countries!$P$5:$P$434,Countries!$A$5:$A$434,"All landing pages",Countries!$B$5:$B$434,"Organic",Countries!$D$5:$D$434,$A236,Countries!$W$5:$W$434,"&gt;0")=0,"",SUMIFS(Countries!$W$5:$W$434,Countries!$A$5:$A$434,"All landing pages",Countries!$B$5:$B$434,"Organic",Countries!$D$5:$D$434,$A236,Countries!$P$5:$P$434,"&gt;0")/SUMIFS(Countries!$P$5:$P$434,Countries!$A$5:$A$434,"All landing pages",Countries!$B$5:$B$434,"Organic",Countries!$D$5:$D$434,$A236,Countries!$W$5:$W$434,"&gt;0"))</f>
        <v/>
      </c>
      <c r="G236" s="43">
        <f>IF(SUMIFS(Countries!$Q$5:$Q$434,Countries!$A$5:$A$434,"All landing pages",Countries!$B$5:$B$434,"Organic",Countries!$D$5:$D$434,$A236,Countries!$X$5:$X$434,"&gt;0")=0,"",SUMIFS(Countries!$X$5:$X$434,Countries!$A$5:$A$434,"All landing pages",Countries!$B$5:$B$434,"Organic",Countries!$D$5:$D$434,$A236,Countries!$Q$5:$Q$434,"&gt;0")/SUMIFS(Countries!$Q$5:$Q$434,Countries!$A$5:$A$434,"All landing pages",Countries!$B$5:$B$434,"Organic",Countries!$D$5:$D$434,$A236,Countries!$X$5:$X$434,"&gt;0"))</f>
        <v/>
      </c>
      <c r="H236" s="44">
        <f>IF(OR(F236="",G236=""),"",(G236-F236)*100)</f>
        <v/>
      </c>
      <c r="I236" s="73" t="n"/>
      <c r="J236" s="43">
        <f>IF(SUMIFS(Countries!$P$5:$P$434,Countries!$A$5:$A$434,"All landing pages",Countries!$B$5:$B$434,"Direct",Countries!$D$5:$D$434,$A236,Countries!$W$5:$W$434,"&gt;0")=0,"",SUMIFS(Countries!$W$5:$W$434,Countries!$A$5:$A$434,"All landing pages",Countries!$B$5:$B$434,"Direct",Countries!$D$5:$D$434,$A236,Countries!$P$5:$P$434,"&gt;0")/SUMIFS(Countries!$P$5:$P$434,Countries!$A$5:$A$434,"All landing pages",Countries!$B$5:$B$434,"Direct",Countries!$D$5:$D$434,$A236,Countries!$W$5:$W$434,"&gt;0"))</f>
        <v/>
      </c>
      <c r="K236" s="43">
        <f>IF(SUMIFS(Countries!$Q$5:$Q$434,Countries!$A$5:$A$434,"All landing pages",Countries!$B$5:$B$434,"Direct",Countries!$D$5:$D$434,$A236,Countries!$X$5:$X$434,"&gt;0")=0,"",SUMIFS(Countries!$X$5:$X$434,Countries!$A$5:$A$434,"All landing pages",Countries!$B$5:$B$434,"Direct",Countries!$D$5:$D$434,$A236,Countries!$Q$5:$Q$434,"&gt;0")/SUMIFS(Countries!$Q$5:$Q$434,Countries!$A$5:$A$434,"All landing pages",Countries!$B$5:$B$434,"Direct",Countries!$D$5:$D$434,$A236,Countries!$X$5:$X$434,"&gt;0"))</f>
        <v/>
      </c>
      <c r="L236" s="44">
        <f>IF(OR(J236="",K236=""),"",(K236-J236)*100)</f>
        <v/>
      </c>
      <c r="M236" s="73" t="n"/>
      <c r="N236" s="43">
        <f>IF(SUMIFS(Countries!$P$5:$P$434,Countries!$A$5:$A$434,"All landing pages",Countries!$D$5:$D$434,$A236,Countries!$W$5:$W$434,"&gt;0")=0,"",SUMIFS(Countries!$W$5:$W$434,Countries!$A$5:$A$434,"All landing pages",Countries!$D$5:$D$434,$A236,Countries!$P$5:$P$434,"&gt;0")/SUMIFS(Countries!$P$5:$P$434,Countries!$A$5:$A$434,"All landing pages",Countries!$D$5:$D$434,$A236,Countries!$W$5:$W$434,"&gt;0"))</f>
        <v/>
      </c>
      <c r="O236" s="43">
        <f>IF(SUMIFS(Countries!$Q$5:$Q$434,Countries!$A$5:$A$434,"All landing pages",Countries!$D$5:$D$434,$A236,Countries!$X$5:$X$434,"&gt;0")=0,"",SUMIFS(Countries!$X$5:$X$434,Countries!$A$5:$A$434,"All landing pages",Countries!$D$5:$D$434,$A236,Countries!$Q$5:$Q$434,"&gt;0")/SUMIFS(Countries!$Q$5:$Q$434,Countries!$A$5:$A$434,"All landing pages",Countries!$D$5:$D$434,$A236,Countries!$X$5:$X$434,"&gt;0"))</f>
        <v/>
      </c>
      <c r="P236" s="44">
        <f>IF(OR(N236="",O236=""),"",(O236-N236)*100)</f>
        <v/>
      </c>
      <c r="Q236" s="73" t="n"/>
    </row>
    <row r="237">
      <c r="A237" s="40" t="inlineStr">
        <is>
          <t>Italy</t>
        </is>
      </c>
      <c r="B237" s="43">
        <f>IF(SUMIFS(Countries!$P$5:$P$434,Countries!$A$5:$A$434,"All landing pages",Countries!$B$5:$B$434,"Paid Search",Countries!$D$5:$D$434,$A237,Countries!$W$5:$W$434,"&gt;0")=0,"",SUMIFS(Countries!$W$5:$W$434,Countries!$A$5:$A$434,"All landing pages",Countries!$B$5:$B$434,"Paid Search",Countries!$D$5:$D$434,$A237,Countries!$P$5:$P$434,"&gt;0")/SUMIFS(Countries!$P$5:$P$434,Countries!$A$5:$A$434,"All landing pages",Countries!$B$5:$B$434,"Paid Search",Countries!$D$5:$D$434,$A237,Countries!$W$5:$W$434,"&gt;0"))</f>
        <v/>
      </c>
      <c r="C237" s="43">
        <f>IF(SUMIFS(Countries!$Q$5:$Q$434,Countries!$A$5:$A$434,"All landing pages",Countries!$B$5:$B$434,"Paid Search",Countries!$D$5:$D$434,$A237,Countries!$X$5:$X$434,"&gt;0")=0,"",SUMIFS(Countries!$X$5:$X$434,Countries!$A$5:$A$434,"All landing pages",Countries!$B$5:$B$434,"Paid Search",Countries!$D$5:$D$434,$A237,Countries!$Q$5:$Q$434,"&gt;0")/SUMIFS(Countries!$Q$5:$Q$434,Countries!$A$5:$A$434,"All landing pages",Countries!$B$5:$B$434,"Paid Search",Countries!$D$5:$D$434,$A237,Countries!$X$5:$X$434,"&gt;0"))</f>
        <v/>
      </c>
      <c r="D237" s="44">
        <f>IF(OR(B237="",C237=""),"",(C237-B237)*100)</f>
        <v/>
      </c>
      <c r="E237" s="73" t="n"/>
      <c r="F237" s="43">
        <f>IF(SUMIFS(Countries!$P$5:$P$434,Countries!$A$5:$A$434,"All landing pages",Countries!$B$5:$B$434,"Organic",Countries!$D$5:$D$434,$A237,Countries!$W$5:$W$434,"&gt;0")=0,"",SUMIFS(Countries!$W$5:$W$434,Countries!$A$5:$A$434,"All landing pages",Countries!$B$5:$B$434,"Organic",Countries!$D$5:$D$434,$A237,Countries!$P$5:$P$434,"&gt;0")/SUMIFS(Countries!$P$5:$P$434,Countries!$A$5:$A$434,"All landing pages",Countries!$B$5:$B$434,"Organic",Countries!$D$5:$D$434,$A237,Countries!$W$5:$W$434,"&gt;0"))</f>
        <v/>
      </c>
      <c r="G237" s="43">
        <f>IF(SUMIFS(Countries!$Q$5:$Q$434,Countries!$A$5:$A$434,"All landing pages",Countries!$B$5:$B$434,"Organic",Countries!$D$5:$D$434,$A237,Countries!$X$5:$X$434,"&gt;0")=0,"",SUMIFS(Countries!$X$5:$X$434,Countries!$A$5:$A$434,"All landing pages",Countries!$B$5:$B$434,"Organic",Countries!$D$5:$D$434,$A237,Countries!$Q$5:$Q$434,"&gt;0")/SUMIFS(Countries!$Q$5:$Q$434,Countries!$A$5:$A$434,"All landing pages",Countries!$B$5:$B$434,"Organic",Countries!$D$5:$D$434,$A237,Countries!$X$5:$X$434,"&gt;0"))</f>
        <v/>
      </c>
      <c r="H237" s="44">
        <f>IF(OR(F237="",G237=""),"",(G237-F237)*100)</f>
        <v/>
      </c>
      <c r="I237" s="73" t="n"/>
      <c r="J237" s="43">
        <f>IF(SUMIFS(Countries!$P$5:$P$434,Countries!$A$5:$A$434,"All landing pages",Countries!$B$5:$B$434,"Direct",Countries!$D$5:$D$434,$A237,Countries!$W$5:$W$434,"&gt;0")=0,"",SUMIFS(Countries!$W$5:$W$434,Countries!$A$5:$A$434,"All landing pages",Countries!$B$5:$B$434,"Direct",Countries!$D$5:$D$434,$A237,Countries!$P$5:$P$434,"&gt;0")/SUMIFS(Countries!$P$5:$P$434,Countries!$A$5:$A$434,"All landing pages",Countries!$B$5:$B$434,"Direct",Countries!$D$5:$D$434,$A237,Countries!$W$5:$W$434,"&gt;0"))</f>
        <v/>
      </c>
      <c r="K237" s="43">
        <f>IF(SUMIFS(Countries!$Q$5:$Q$434,Countries!$A$5:$A$434,"All landing pages",Countries!$B$5:$B$434,"Direct",Countries!$D$5:$D$434,$A237,Countries!$X$5:$X$434,"&gt;0")=0,"",SUMIFS(Countries!$X$5:$X$434,Countries!$A$5:$A$434,"All landing pages",Countries!$B$5:$B$434,"Direct",Countries!$D$5:$D$434,$A237,Countries!$Q$5:$Q$434,"&gt;0")/SUMIFS(Countries!$Q$5:$Q$434,Countries!$A$5:$A$434,"All landing pages",Countries!$B$5:$B$434,"Direct",Countries!$D$5:$D$434,$A237,Countries!$X$5:$X$434,"&gt;0"))</f>
        <v/>
      </c>
      <c r="L237" s="44">
        <f>IF(OR(J237="",K237=""),"",(K237-J237)*100)</f>
        <v/>
      </c>
      <c r="M237" s="73" t="n"/>
      <c r="N237" s="43">
        <f>IF(SUMIFS(Countries!$P$5:$P$434,Countries!$A$5:$A$434,"All landing pages",Countries!$D$5:$D$434,$A237,Countries!$W$5:$W$434,"&gt;0")=0,"",SUMIFS(Countries!$W$5:$W$434,Countries!$A$5:$A$434,"All landing pages",Countries!$D$5:$D$434,$A237,Countries!$P$5:$P$434,"&gt;0")/SUMIFS(Countries!$P$5:$P$434,Countries!$A$5:$A$434,"All landing pages",Countries!$D$5:$D$434,$A237,Countries!$W$5:$W$434,"&gt;0"))</f>
        <v/>
      </c>
      <c r="O237" s="43">
        <f>IF(SUMIFS(Countries!$Q$5:$Q$434,Countries!$A$5:$A$434,"All landing pages",Countries!$D$5:$D$434,$A237,Countries!$X$5:$X$434,"&gt;0")=0,"",SUMIFS(Countries!$X$5:$X$434,Countries!$A$5:$A$434,"All landing pages",Countries!$D$5:$D$434,$A237,Countries!$Q$5:$Q$434,"&gt;0")/SUMIFS(Countries!$Q$5:$Q$434,Countries!$A$5:$A$434,"All landing pages",Countries!$D$5:$D$434,$A237,Countries!$X$5:$X$434,"&gt;0"))</f>
        <v/>
      </c>
      <c r="P237" s="44">
        <f>IF(OR(N237="",O237=""),"",(O237-N237)*100)</f>
        <v/>
      </c>
      <c r="Q237" s="73" t="n"/>
    </row>
    <row r="238">
      <c r="A238" s="56" t="inlineStr">
        <is>
          <t>Spain</t>
        </is>
      </c>
      <c r="B238" s="43">
        <f>IF(SUMIFS(Countries!$P$5:$P$434,Countries!$A$5:$A$434,"All landing pages",Countries!$B$5:$B$434,"Paid Search",Countries!$D$5:$D$434,$A238,Countries!$W$5:$W$434,"&gt;0")=0,"",SUMIFS(Countries!$W$5:$W$434,Countries!$A$5:$A$434,"All landing pages",Countries!$B$5:$B$434,"Paid Search",Countries!$D$5:$D$434,$A238,Countries!$P$5:$P$434,"&gt;0")/SUMIFS(Countries!$P$5:$P$434,Countries!$A$5:$A$434,"All landing pages",Countries!$B$5:$B$434,"Paid Search",Countries!$D$5:$D$434,$A238,Countries!$W$5:$W$434,"&gt;0"))</f>
        <v/>
      </c>
      <c r="C238" s="43">
        <f>IF(SUMIFS(Countries!$Q$5:$Q$434,Countries!$A$5:$A$434,"All landing pages",Countries!$B$5:$B$434,"Paid Search",Countries!$D$5:$D$434,$A238,Countries!$X$5:$X$434,"&gt;0")=0,"",SUMIFS(Countries!$X$5:$X$434,Countries!$A$5:$A$434,"All landing pages",Countries!$B$5:$B$434,"Paid Search",Countries!$D$5:$D$434,$A238,Countries!$Q$5:$Q$434,"&gt;0")/SUMIFS(Countries!$Q$5:$Q$434,Countries!$A$5:$A$434,"All landing pages",Countries!$B$5:$B$434,"Paid Search",Countries!$D$5:$D$434,$A238,Countries!$X$5:$X$434,"&gt;0"))</f>
        <v/>
      </c>
      <c r="D238" s="44">
        <f>IF(OR(B238="",C238=""),"",(C238-B238)*100)</f>
        <v/>
      </c>
      <c r="E238" s="73" t="n"/>
      <c r="F238" s="43">
        <f>IF(SUMIFS(Countries!$P$5:$P$434,Countries!$A$5:$A$434,"All landing pages",Countries!$B$5:$B$434,"Organic",Countries!$D$5:$D$434,$A238,Countries!$W$5:$W$434,"&gt;0")=0,"",SUMIFS(Countries!$W$5:$W$434,Countries!$A$5:$A$434,"All landing pages",Countries!$B$5:$B$434,"Organic",Countries!$D$5:$D$434,$A238,Countries!$P$5:$P$434,"&gt;0")/SUMIFS(Countries!$P$5:$P$434,Countries!$A$5:$A$434,"All landing pages",Countries!$B$5:$B$434,"Organic",Countries!$D$5:$D$434,$A238,Countries!$W$5:$W$434,"&gt;0"))</f>
        <v/>
      </c>
      <c r="G238" s="43">
        <f>IF(SUMIFS(Countries!$Q$5:$Q$434,Countries!$A$5:$A$434,"All landing pages",Countries!$B$5:$B$434,"Organic",Countries!$D$5:$D$434,$A238,Countries!$X$5:$X$434,"&gt;0")=0,"",SUMIFS(Countries!$X$5:$X$434,Countries!$A$5:$A$434,"All landing pages",Countries!$B$5:$B$434,"Organic",Countries!$D$5:$D$434,$A238,Countries!$Q$5:$Q$434,"&gt;0")/SUMIFS(Countries!$Q$5:$Q$434,Countries!$A$5:$A$434,"All landing pages",Countries!$B$5:$B$434,"Organic",Countries!$D$5:$D$434,$A238,Countries!$X$5:$X$434,"&gt;0"))</f>
        <v/>
      </c>
      <c r="H238" s="44">
        <f>IF(OR(F238="",G238=""),"",(G238-F238)*100)</f>
        <v/>
      </c>
      <c r="I238" s="73" t="n"/>
      <c r="J238" s="43">
        <f>IF(SUMIFS(Countries!$P$5:$P$434,Countries!$A$5:$A$434,"All landing pages",Countries!$B$5:$B$434,"Direct",Countries!$D$5:$D$434,$A238,Countries!$W$5:$W$434,"&gt;0")=0,"",SUMIFS(Countries!$W$5:$W$434,Countries!$A$5:$A$434,"All landing pages",Countries!$B$5:$B$434,"Direct",Countries!$D$5:$D$434,$A238,Countries!$P$5:$P$434,"&gt;0")/SUMIFS(Countries!$P$5:$P$434,Countries!$A$5:$A$434,"All landing pages",Countries!$B$5:$B$434,"Direct",Countries!$D$5:$D$434,$A238,Countries!$W$5:$W$434,"&gt;0"))</f>
        <v/>
      </c>
      <c r="K238" s="43">
        <f>IF(SUMIFS(Countries!$Q$5:$Q$434,Countries!$A$5:$A$434,"All landing pages",Countries!$B$5:$B$434,"Direct",Countries!$D$5:$D$434,$A238,Countries!$X$5:$X$434,"&gt;0")=0,"",SUMIFS(Countries!$X$5:$X$434,Countries!$A$5:$A$434,"All landing pages",Countries!$B$5:$B$434,"Direct",Countries!$D$5:$D$434,$A238,Countries!$Q$5:$Q$434,"&gt;0")/SUMIFS(Countries!$Q$5:$Q$434,Countries!$A$5:$A$434,"All landing pages",Countries!$B$5:$B$434,"Direct",Countries!$D$5:$D$434,$A238,Countries!$X$5:$X$434,"&gt;0"))</f>
        <v/>
      </c>
      <c r="L238" s="44">
        <f>IF(OR(J238="",K238=""),"",(K238-J238)*100)</f>
        <v/>
      </c>
      <c r="M238" s="73" t="n"/>
      <c r="N238" s="43">
        <f>IF(SUMIFS(Countries!$P$5:$P$434,Countries!$A$5:$A$434,"All landing pages",Countries!$D$5:$D$434,$A238,Countries!$W$5:$W$434,"&gt;0")=0,"",SUMIFS(Countries!$W$5:$W$434,Countries!$A$5:$A$434,"All landing pages",Countries!$D$5:$D$434,$A238,Countries!$P$5:$P$434,"&gt;0")/SUMIFS(Countries!$P$5:$P$434,Countries!$A$5:$A$434,"All landing pages",Countries!$D$5:$D$434,$A238,Countries!$W$5:$W$434,"&gt;0"))</f>
        <v/>
      </c>
      <c r="O238" s="43">
        <f>IF(SUMIFS(Countries!$Q$5:$Q$434,Countries!$A$5:$A$434,"All landing pages",Countries!$D$5:$D$434,$A238,Countries!$X$5:$X$434,"&gt;0")=0,"",SUMIFS(Countries!$X$5:$X$434,Countries!$A$5:$A$434,"All landing pages",Countries!$D$5:$D$434,$A238,Countries!$Q$5:$Q$434,"&gt;0")/SUMIFS(Countries!$Q$5:$Q$434,Countries!$A$5:$A$434,"All landing pages",Countries!$D$5:$D$434,$A238,Countries!$X$5:$X$434,"&gt;0"))</f>
        <v/>
      </c>
      <c r="P238" s="44">
        <f>IF(OR(N238="",O238=""),"",(O238-N238)*100)</f>
        <v/>
      </c>
      <c r="Q238" s="73" t="n"/>
    </row>
    <row r="239">
      <c r="A239" s="40" t="inlineStr">
        <is>
          <t>Ireland</t>
        </is>
      </c>
      <c r="B239" s="43">
        <f>IF(SUMIFS(Countries!$P$5:$P$434,Countries!$A$5:$A$434,"All landing pages",Countries!$B$5:$B$434,"Paid Search",Countries!$D$5:$D$434,$A239,Countries!$W$5:$W$434,"&gt;0")=0,"",SUMIFS(Countries!$W$5:$W$434,Countries!$A$5:$A$434,"All landing pages",Countries!$B$5:$B$434,"Paid Search",Countries!$D$5:$D$434,$A239,Countries!$P$5:$P$434,"&gt;0")/SUMIFS(Countries!$P$5:$P$434,Countries!$A$5:$A$434,"All landing pages",Countries!$B$5:$B$434,"Paid Search",Countries!$D$5:$D$434,$A239,Countries!$W$5:$W$434,"&gt;0"))</f>
        <v/>
      </c>
      <c r="C239" s="43">
        <f>IF(SUMIFS(Countries!$Q$5:$Q$434,Countries!$A$5:$A$434,"All landing pages",Countries!$B$5:$B$434,"Paid Search",Countries!$D$5:$D$434,$A239,Countries!$X$5:$X$434,"&gt;0")=0,"",SUMIFS(Countries!$X$5:$X$434,Countries!$A$5:$A$434,"All landing pages",Countries!$B$5:$B$434,"Paid Search",Countries!$D$5:$D$434,$A239,Countries!$Q$5:$Q$434,"&gt;0")/SUMIFS(Countries!$Q$5:$Q$434,Countries!$A$5:$A$434,"All landing pages",Countries!$B$5:$B$434,"Paid Search",Countries!$D$5:$D$434,$A239,Countries!$X$5:$X$434,"&gt;0"))</f>
        <v/>
      </c>
      <c r="D239" s="44">
        <f>IF(OR(B239="",C239=""),"",(C239-B239)*100)</f>
        <v/>
      </c>
      <c r="E239" s="73" t="n"/>
      <c r="F239" s="43">
        <f>IF(SUMIFS(Countries!$P$5:$P$434,Countries!$A$5:$A$434,"All landing pages",Countries!$B$5:$B$434,"Organic",Countries!$D$5:$D$434,$A239,Countries!$W$5:$W$434,"&gt;0")=0,"",SUMIFS(Countries!$W$5:$W$434,Countries!$A$5:$A$434,"All landing pages",Countries!$B$5:$B$434,"Organic",Countries!$D$5:$D$434,$A239,Countries!$P$5:$P$434,"&gt;0")/SUMIFS(Countries!$P$5:$P$434,Countries!$A$5:$A$434,"All landing pages",Countries!$B$5:$B$434,"Organic",Countries!$D$5:$D$434,$A239,Countries!$W$5:$W$434,"&gt;0"))</f>
        <v/>
      </c>
      <c r="G239" s="43">
        <f>IF(SUMIFS(Countries!$Q$5:$Q$434,Countries!$A$5:$A$434,"All landing pages",Countries!$B$5:$B$434,"Organic",Countries!$D$5:$D$434,$A239,Countries!$X$5:$X$434,"&gt;0")=0,"",SUMIFS(Countries!$X$5:$X$434,Countries!$A$5:$A$434,"All landing pages",Countries!$B$5:$B$434,"Organic",Countries!$D$5:$D$434,$A239,Countries!$Q$5:$Q$434,"&gt;0")/SUMIFS(Countries!$Q$5:$Q$434,Countries!$A$5:$A$434,"All landing pages",Countries!$B$5:$B$434,"Organic",Countries!$D$5:$D$434,$A239,Countries!$X$5:$X$434,"&gt;0"))</f>
        <v/>
      </c>
      <c r="H239" s="44">
        <f>IF(OR(F239="",G239=""),"",(G239-F239)*100)</f>
        <v/>
      </c>
      <c r="I239" s="73" t="n"/>
      <c r="J239" s="43">
        <f>IF(SUMIFS(Countries!$P$5:$P$434,Countries!$A$5:$A$434,"All landing pages",Countries!$B$5:$B$434,"Direct",Countries!$D$5:$D$434,$A239,Countries!$W$5:$W$434,"&gt;0")=0,"",SUMIFS(Countries!$W$5:$W$434,Countries!$A$5:$A$434,"All landing pages",Countries!$B$5:$B$434,"Direct",Countries!$D$5:$D$434,$A239,Countries!$P$5:$P$434,"&gt;0")/SUMIFS(Countries!$P$5:$P$434,Countries!$A$5:$A$434,"All landing pages",Countries!$B$5:$B$434,"Direct",Countries!$D$5:$D$434,$A239,Countries!$W$5:$W$434,"&gt;0"))</f>
        <v/>
      </c>
      <c r="K239" s="43">
        <f>IF(SUMIFS(Countries!$Q$5:$Q$434,Countries!$A$5:$A$434,"All landing pages",Countries!$B$5:$B$434,"Direct",Countries!$D$5:$D$434,$A239,Countries!$X$5:$X$434,"&gt;0")=0,"",SUMIFS(Countries!$X$5:$X$434,Countries!$A$5:$A$434,"All landing pages",Countries!$B$5:$B$434,"Direct",Countries!$D$5:$D$434,$A239,Countries!$Q$5:$Q$434,"&gt;0")/SUMIFS(Countries!$Q$5:$Q$434,Countries!$A$5:$A$434,"All landing pages",Countries!$B$5:$B$434,"Direct",Countries!$D$5:$D$434,$A239,Countries!$X$5:$X$434,"&gt;0"))</f>
        <v/>
      </c>
      <c r="L239" s="44">
        <f>IF(OR(J239="",K239=""),"",(K239-J239)*100)</f>
        <v/>
      </c>
      <c r="M239" s="73" t="n"/>
      <c r="N239" s="43">
        <f>IF(SUMIFS(Countries!$P$5:$P$434,Countries!$A$5:$A$434,"All landing pages",Countries!$D$5:$D$434,$A239,Countries!$W$5:$W$434,"&gt;0")=0,"",SUMIFS(Countries!$W$5:$W$434,Countries!$A$5:$A$434,"All landing pages",Countries!$D$5:$D$434,$A239,Countries!$P$5:$P$434,"&gt;0")/SUMIFS(Countries!$P$5:$P$434,Countries!$A$5:$A$434,"All landing pages",Countries!$D$5:$D$434,$A239,Countries!$W$5:$W$434,"&gt;0"))</f>
        <v/>
      </c>
      <c r="O239" s="43">
        <f>IF(SUMIFS(Countries!$Q$5:$Q$434,Countries!$A$5:$A$434,"All landing pages",Countries!$D$5:$D$434,$A239,Countries!$X$5:$X$434,"&gt;0")=0,"",SUMIFS(Countries!$X$5:$X$434,Countries!$A$5:$A$434,"All landing pages",Countries!$D$5:$D$434,$A239,Countries!$Q$5:$Q$434,"&gt;0")/SUMIFS(Countries!$Q$5:$Q$434,Countries!$A$5:$A$434,"All landing pages",Countries!$D$5:$D$434,$A239,Countries!$X$5:$X$434,"&gt;0"))</f>
        <v/>
      </c>
      <c r="P239" s="44">
        <f>IF(OR(N239="",O239=""),"",(O239-N239)*100)</f>
        <v/>
      </c>
      <c r="Q239" s="73" t="n"/>
    </row>
    <row r="240">
      <c r="A240" s="56" t="inlineStr">
        <is>
          <t>Netherlands</t>
        </is>
      </c>
      <c r="B240" s="43">
        <f>IF(SUMIFS(Countries!$P$5:$P$434,Countries!$A$5:$A$434,"All landing pages",Countries!$B$5:$B$434,"Paid Search",Countries!$D$5:$D$434,$A240,Countries!$W$5:$W$434,"&gt;0")=0,"",SUMIFS(Countries!$W$5:$W$434,Countries!$A$5:$A$434,"All landing pages",Countries!$B$5:$B$434,"Paid Search",Countries!$D$5:$D$434,$A240,Countries!$P$5:$P$434,"&gt;0")/SUMIFS(Countries!$P$5:$P$434,Countries!$A$5:$A$434,"All landing pages",Countries!$B$5:$B$434,"Paid Search",Countries!$D$5:$D$434,$A240,Countries!$W$5:$W$434,"&gt;0"))</f>
        <v/>
      </c>
      <c r="C240" s="43">
        <f>IF(SUMIFS(Countries!$Q$5:$Q$434,Countries!$A$5:$A$434,"All landing pages",Countries!$B$5:$B$434,"Paid Search",Countries!$D$5:$D$434,$A240,Countries!$X$5:$X$434,"&gt;0")=0,"",SUMIFS(Countries!$X$5:$X$434,Countries!$A$5:$A$434,"All landing pages",Countries!$B$5:$B$434,"Paid Search",Countries!$D$5:$D$434,$A240,Countries!$Q$5:$Q$434,"&gt;0")/SUMIFS(Countries!$Q$5:$Q$434,Countries!$A$5:$A$434,"All landing pages",Countries!$B$5:$B$434,"Paid Search",Countries!$D$5:$D$434,$A240,Countries!$X$5:$X$434,"&gt;0"))</f>
        <v/>
      </c>
      <c r="D240" s="44">
        <f>IF(OR(B240="",C240=""),"",(C240-B240)*100)</f>
        <v/>
      </c>
      <c r="E240" s="73" t="n"/>
      <c r="F240" s="43">
        <f>IF(SUMIFS(Countries!$P$5:$P$434,Countries!$A$5:$A$434,"All landing pages",Countries!$B$5:$B$434,"Organic",Countries!$D$5:$D$434,$A240,Countries!$W$5:$W$434,"&gt;0")=0,"",SUMIFS(Countries!$W$5:$W$434,Countries!$A$5:$A$434,"All landing pages",Countries!$B$5:$B$434,"Organic",Countries!$D$5:$D$434,$A240,Countries!$P$5:$P$434,"&gt;0")/SUMIFS(Countries!$P$5:$P$434,Countries!$A$5:$A$434,"All landing pages",Countries!$B$5:$B$434,"Organic",Countries!$D$5:$D$434,$A240,Countries!$W$5:$W$434,"&gt;0"))</f>
        <v/>
      </c>
      <c r="G240" s="43">
        <f>IF(SUMIFS(Countries!$Q$5:$Q$434,Countries!$A$5:$A$434,"All landing pages",Countries!$B$5:$B$434,"Organic",Countries!$D$5:$D$434,$A240,Countries!$X$5:$X$434,"&gt;0")=0,"",SUMIFS(Countries!$X$5:$X$434,Countries!$A$5:$A$434,"All landing pages",Countries!$B$5:$B$434,"Organic",Countries!$D$5:$D$434,$A240,Countries!$Q$5:$Q$434,"&gt;0")/SUMIFS(Countries!$Q$5:$Q$434,Countries!$A$5:$A$434,"All landing pages",Countries!$B$5:$B$434,"Organic",Countries!$D$5:$D$434,$A240,Countries!$X$5:$X$434,"&gt;0"))</f>
        <v/>
      </c>
      <c r="H240" s="44">
        <f>IF(OR(F240="",G240=""),"",(G240-F240)*100)</f>
        <v/>
      </c>
      <c r="I240" s="73" t="n"/>
      <c r="J240" s="43">
        <f>IF(SUMIFS(Countries!$P$5:$P$434,Countries!$A$5:$A$434,"All landing pages",Countries!$B$5:$B$434,"Direct",Countries!$D$5:$D$434,$A240,Countries!$W$5:$W$434,"&gt;0")=0,"",SUMIFS(Countries!$W$5:$W$434,Countries!$A$5:$A$434,"All landing pages",Countries!$B$5:$B$434,"Direct",Countries!$D$5:$D$434,$A240,Countries!$P$5:$P$434,"&gt;0")/SUMIFS(Countries!$P$5:$P$434,Countries!$A$5:$A$434,"All landing pages",Countries!$B$5:$B$434,"Direct",Countries!$D$5:$D$434,$A240,Countries!$W$5:$W$434,"&gt;0"))</f>
        <v/>
      </c>
      <c r="K240" s="43">
        <f>IF(SUMIFS(Countries!$Q$5:$Q$434,Countries!$A$5:$A$434,"All landing pages",Countries!$B$5:$B$434,"Direct",Countries!$D$5:$D$434,$A240,Countries!$X$5:$X$434,"&gt;0")=0,"",SUMIFS(Countries!$X$5:$X$434,Countries!$A$5:$A$434,"All landing pages",Countries!$B$5:$B$434,"Direct",Countries!$D$5:$D$434,$A240,Countries!$Q$5:$Q$434,"&gt;0")/SUMIFS(Countries!$Q$5:$Q$434,Countries!$A$5:$A$434,"All landing pages",Countries!$B$5:$B$434,"Direct",Countries!$D$5:$D$434,$A240,Countries!$X$5:$X$434,"&gt;0"))</f>
        <v/>
      </c>
      <c r="L240" s="44">
        <f>IF(OR(J240="",K240=""),"",(K240-J240)*100)</f>
        <v/>
      </c>
      <c r="M240" s="73" t="n"/>
      <c r="N240" s="43">
        <f>IF(SUMIFS(Countries!$P$5:$P$434,Countries!$A$5:$A$434,"All landing pages",Countries!$D$5:$D$434,$A240,Countries!$W$5:$W$434,"&gt;0")=0,"",SUMIFS(Countries!$W$5:$W$434,Countries!$A$5:$A$434,"All landing pages",Countries!$D$5:$D$434,$A240,Countries!$P$5:$P$434,"&gt;0")/SUMIFS(Countries!$P$5:$P$434,Countries!$A$5:$A$434,"All landing pages",Countries!$D$5:$D$434,$A240,Countries!$W$5:$W$434,"&gt;0"))</f>
        <v/>
      </c>
      <c r="O240" s="43">
        <f>IF(SUMIFS(Countries!$Q$5:$Q$434,Countries!$A$5:$A$434,"All landing pages",Countries!$D$5:$D$434,$A240,Countries!$X$5:$X$434,"&gt;0")=0,"",SUMIFS(Countries!$X$5:$X$434,Countries!$A$5:$A$434,"All landing pages",Countries!$D$5:$D$434,$A240,Countries!$Q$5:$Q$434,"&gt;0")/SUMIFS(Countries!$Q$5:$Q$434,Countries!$A$5:$A$434,"All landing pages",Countries!$D$5:$D$434,$A240,Countries!$X$5:$X$434,"&gt;0"))</f>
        <v/>
      </c>
      <c r="P240" s="44">
        <f>IF(OR(N240="",O240=""),"",(O240-N240)*100)</f>
        <v/>
      </c>
      <c r="Q240" s="73" t="n"/>
    </row>
    <row r="241">
      <c r="A241" s="40" t="inlineStr">
        <is>
          <t>France</t>
        </is>
      </c>
      <c r="B241" s="43">
        <f>IF(SUMIFS(Countries!$P$5:$P$434,Countries!$A$5:$A$434,"All landing pages",Countries!$B$5:$B$434,"Paid Search",Countries!$D$5:$D$434,$A241,Countries!$W$5:$W$434,"&gt;0")=0,"",SUMIFS(Countries!$W$5:$W$434,Countries!$A$5:$A$434,"All landing pages",Countries!$B$5:$B$434,"Paid Search",Countries!$D$5:$D$434,$A241,Countries!$P$5:$P$434,"&gt;0")/SUMIFS(Countries!$P$5:$P$434,Countries!$A$5:$A$434,"All landing pages",Countries!$B$5:$B$434,"Paid Search",Countries!$D$5:$D$434,$A241,Countries!$W$5:$W$434,"&gt;0"))</f>
        <v/>
      </c>
      <c r="C241" s="43">
        <f>IF(SUMIFS(Countries!$Q$5:$Q$434,Countries!$A$5:$A$434,"All landing pages",Countries!$B$5:$B$434,"Paid Search",Countries!$D$5:$D$434,$A241,Countries!$X$5:$X$434,"&gt;0")=0,"",SUMIFS(Countries!$X$5:$X$434,Countries!$A$5:$A$434,"All landing pages",Countries!$B$5:$B$434,"Paid Search",Countries!$D$5:$D$434,$A241,Countries!$Q$5:$Q$434,"&gt;0")/SUMIFS(Countries!$Q$5:$Q$434,Countries!$A$5:$A$434,"All landing pages",Countries!$B$5:$B$434,"Paid Search",Countries!$D$5:$D$434,$A241,Countries!$X$5:$X$434,"&gt;0"))</f>
        <v/>
      </c>
      <c r="D241" s="44">
        <f>IF(OR(B241="",C241=""),"",(C241-B241)*100)</f>
        <v/>
      </c>
      <c r="E241" s="73" t="n"/>
      <c r="F241" s="43">
        <f>IF(SUMIFS(Countries!$P$5:$P$434,Countries!$A$5:$A$434,"All landing pages",Countries!$B$5:$B$434,"Organic",Countries!$D$5:$D$434,$A241,Countries!$W$5:$W$434,"&gt;0")=0,"",SUMIFS(Countries!$W$5:$W$434,Countries!$A$5:$A$434,"All landing pages",Countries!$B$5:$B$434,"Organic",Countries!$D$5:$D$434,$A241,Countries!$P$5:$P$434,"&gt;0")/SUMIFS(Countries!$P$5:$P$434,Countries!$A$5:$A$434,"All landing pages",Countries!$B$5:$B$434,"Organic",Countries!$D$5:$D$434,$A241,Countries!$W$5:$W$434,"&gt;0"))</f>
        <v/>
      </c>
      <c r="G241" s="43">
        <f>IF(SUMIFS(Countries!$Q$5:$Q$434,Countries!$A$5:$A$434,"All landing pages",Countries!$B$5:$B$434,"Organic",Countries!$D$5:$D$434,$A241,Countries!$X$5:$X$434,"&gt;0")=0,"",SUMIFS(Countries!$X$5:$X$434,Countries!$A$5:$A$434,"All landing pages",Countries!$B$5:$B$434,"Organic",Countries!$D$5:$D$434,$A241,Countries!$Q$5:$Q$434,"&gt;0")/SUMIFS(Countries!$Q$5:$Q$434,Countries!$A$5:$A$434,"All landing pages",Countries!$B$5:$B$434,"Organic",Countries!$D$5:$D$434,$A241,Countries!$X$5:$X$434,"&gt;0"))</f>
        <v/>
      </c>
      <c r="H241" s="44">
        <f>IF(OR(F241="",G241=""),"",(G241-F241)*100)</f>
        <v/>
      </c>
      <c r="I241" s="73" t="n"/>
      <c r="J241" s="43">
        <f>IF(SUMIFS(Countries!$P$5:$P$434,Countries!$A$5:$A$434,"All landing pages",Countries!$B$5:$B$434,"Direct",Countries!$D$5:$D$434,$A241,Countries!$W$5:$W$434,"&gt;0")=0,"",SUMIFS(Countries!$W$5:$W$434,Countries!$A$5:$A$434,"All landing pages",Countries!$B$5:$B$434,"Direct",Countries!$D$5:$D$434,$A241,Countries!$P$5:$P$434,"&gt;0")/SUMIFS(Countries!$P$5:$P$434,Countries!$A$5:$A$434,"All landing pages",Countries!$B$5:$B$434,"Direct",Countries!$D$5:$D$434,$A241,Countries!$W$5:$W$434,"&gt;0"))</f>
        <v/>
      </c>
      <c r="K241" s="43">
        <f>IF(SUMIFS(Countries!$Q$5:$Q$434,Countries!$A$5:$A$434,"All landing pages",Countries!$B$5:$B$434,"Direct",Countries!$D$5:$D$434,$A241,Countries!$X$5:$X$434,"&gt;0")=0,"",SUMIFS(Countries!$X$5:$X$434,Countries!$A$5:$A$434,"All landing pages",Countries!$B$5:$B$434,"Direct",Countries!$D$5:$D$434,$A241,Countries!$Q$5:$Q$434,"&gt;0")/SUMIFS(Countries!$Q$5:$Q$434,Countries!$A$5:$A$434,"All landing pages",Countries!$B$5:$B$434,"Direct",Countries!$D$5:$D$434,$A241,Countries!$X$5:$X$434,"&gt;0"))</f>
        <v/>
      </c>
      <c r="L241" s="44">
        <f>IF(OR(J241="",K241=""),"",(K241-J241)*100)</f>
        <v/>
      </c>
      <c r="M241" s="73" t="n"/>
      <c r="N241" s="43">
        <f>IF(SUMIFS(Countries!$P$5:$P$434,Countries!$A$5:$A$434,"All landing pages",Countries!$D$5:$D$434,$A241,Countries!$W$5:$W$434,"&gt;0")=0,"",SUMIFS(Countries!$W$5:$W$434,Countries!$A$5:$A$434,"All landing pages",Countries!$D$5:$D$434,$A241,Countries!$P$5:$P$434,"&gt;0")/SUMIFS(Countries!$P$5:$P$434,Countries!$A$5:$A$434,"All landing pages",Countries!$D$5:$D$434,$A241,Countries!$W$5:$W$434,"&gt;0"))</f>
        <v/>
      </c>
      <c r="O241" s="43">
        <f>IF(SUMIFS(Countries!$Q$5:$Q$434,Countries!$A$5:$A$434,"All landing pages",Countries!$D$5:$D$434,$A241,Countries!$X$5:$X$434,"&gt;0")=0,"",SUMIFS(Countries!$X$5:$X$434,Countries!$A$5:$A$434,"All landing pages",Countries!$D$5:$D$434,$A241,Countries!$Q$5:$Q$434,"&gt;0")/SUMIFS(Countries!$Q$5:$Q$434,Countries!$A$5:$A$434,"All landing pages",Countries!$D$5:$D$434,$A241,Countries!$X$5:$X$434,"&gt;0"))</f>
        <v/>
      </c>
      <c r="P241" s="44">
        <f>IF(OR(N241="",O241=""),"",(O241-N241)*100)</f>
        <v/>
      </c>
      <c r="Q241" s="73" t="n"/>
    </row>
    <row r="242">
      <c r="A242" s="56" t="inlineStr">
        <is>
          <t>Poland</t>
        </is>
      </c>
      <c r="B242" s="43">
        <f>IF(SUMIFS(Countries!$P$5:$P$434,Countries!$A$5:$A$434,"All landing pages",Countries!$B$5:$B$434,"Paid Search",Countries!$D$5:$D$434,$A242,Countries!$W$5:$W$434,"&gt;0")=0,"",SUMIFS(Countries!$W$5:$W$434,Countries!$A$5:$A$434,"All landing pages",Countries!$B$5:$B$434,"Paid Search",Countries!$D$5:$D$434,$A242,Countries!$P$5:$P$434,"&gt;0")/SUMIFS(Countries!$P$5:$P$434,Countries!$A$5:$A$434,"All landing pages",Countries!$B$5:$B$434,"Paid Search",Countries!$D$5:$D$434,$A242,Countries!$W$5:$W$434,"&gt;0"))</f>
        <v/>
      </c>
      <c r="C242" s="43">
        <f>IF(SUMIFS(Countries!$Q$5:$Q$434,Countries!$A$5:$A$434,"All landing pages",Countries!$B$5:$B$434,"Paid Search",Countries!$D$5:$D$434,$A242,Countries!$X$5:$X$434,"&gt;0")=0,"",SUMIFS(Countries!$X$5:$X$434,Countries!$A$5:$A$434,"All landing pages",Countries!$B$5:$B$434,"Paid Search",Countries!$D$5:$D$434,$A242,Countries!$Q$5:$Q$434,"&gt;0")/SUMIFS(Countries!$Q$5:$Q$434,Countries!$A$5:$A$434,"All landing pages",Countries!$B$5:$B$434,"Paid Search",Countries!$D$5:$D$434,$A242,Countries!$X$5:$X$434,"&gt;0"))</f>
        <v/>
      </c>
      <c r="D242" s="44">
        <f>IF(OR(B242="",C242=""),"",(C242-B242)*100)</f>
        <v/>
      </c>
      <c r="E242" s="73" t="n"/>
      <c r="F242" s="43">
        <f>IF(SUMIFS(Countries!$P$5:$P$434,Countries!$A$5:$A$434,"All landing pages",Countries!$B$5:$B$434,"Organic",Countries!$D$5:$D$434,$A242,Countries!$W$5:$W$434,"&gt;0")=0,"",SUMIFS(Countries!$W$5:$W$434,Countries!$A$5:$A$434,"All landing pages",Countries!$B$5:$B$434,"Organic",Countries!$D$5:$D$434,$A242,Countries!$P$5:$P$434,"&gt;0")/SUMIFS(Countries!$P$5:$P$434,Countries!$A$5:$A$434,"All landing pages",Countries!$B$5:$B$434,"Organic",Countries!$D$5:$D$434,$A242,Countries!$W$5:$W$434,"&gt;0"))</f>
        <v/>
      </c>
      <c r="G242" s="43">
        <f>IF(SUMIFS(Countries!$Q$5:$Q$434,Countries!$A$5:$A$434,"All landing pages",Countries!$B$5:$B$434,"Organic",Countries!$D$5:$D$434,$A242,Countries!$X$5:$X$434,"&gt;0")=0,"",SUMIFS(Countries!$X$5:$X$434,Countries!$A$5:$A$434,"All landing pages",Countries!$B$5:$B$434,"Organic",Countries!$D$5:$D$434,$A242,Countries!$Q$5:$Q$434,"&gt;0")/SUMIFS(Countries!$Q$5:$Q$434,Countries!$A$5:$A$434,"All landing pages",Countries!$B$5:$B$434,"Organic",Countries!$D$5:$D$434,$A242,Countries!$X$5:$X$434,"&gt;0"))</f>
        <v/>
      </c>
      <c r="H242" s="44">
        <f>IF(OR(F242="",G242=""),"",(G242-F242)*100)</f>
        <v/>
      </c>
      <c r="I242" s="73" t="n"/>
      <c r="J242" s="43">
        <f>IF(SUMIFS(Countries!$P$5:$P$434,Countries!$A$5:$A$434,"All landing pages",Countries!$B$5:$B$434,"Direct",Countries!$D$5:$D$434,$A242,Countries!$W$5:$W$434,"&gt;0")=0,"",SUMIFS(Countries!$W$5:$W$434,Countries!$A$5:$A$434,"All landing pages",Countries!$B$5:$B$434,"Direct",Countries!$D$5:$D$434,$A242,Countries!$P$5:$P$434,"&gt;0")/SUMIFS(Countries!$P$5:$P$434,Countries!$A$5:$A$434,"All landing pages",Countries!$B$5:$B$434,"Direct",Countries!$D$5:$D$434,$A242,Countries!$W$5:$W$434,"&gt;0"))</f>
        <v/>
      </c>
      <c r="K242" s="43">
        <f>IF(SUMIFS(Countries!$Q$5:$Q$434,Countries!$A$5:$A$434,"All landing pages",Countries!$B$5:$B$434,"Direct",Countries!$D$5:$D$434,$A242,Countries!$X$5:$X$434,"&gt;0")=0,"",SUMIFS(Countries!$X$5:$X$434,Countries!$A$5:$A$434,"All landing pages",Countries!$B$5:$B$434,"Direct",Countries!$D$5:$D$434,$A242,Countries!$Q$5:$Q$434,"&gt;0")/SUMIFS(Countries!$Q$5:$Q$434,Countries!$A$5:$A$434,"All landing pages",Countries!$B$5:$B$434,"Direct",Countries!$D$5:$D$434,$A242,Countries!$X$5:$X$434,"&gt;0"))</f>
        <v/>
      </c>
      <c r="L242" s="44">
        <f>IF(OR(J242="",K242=""),"",(K242-J242)*100)</f>
        <v/>
      </c>
      <c r="M242" s="73" t="n"/>
      <c r="N242" s="43">
        <f>IF(SUMIFS(Countries!$P$5:$P$434,Countries!$A$5:$A$434,"All landing pages",Countries!$D$5:$D$434,$A242,Countries!$W$5:$W$434,"&gt;0")=0,"",SUMIFS(Countries!$W$5:$W$434,Countries!$A$5:$A$434,"All landing pages",Countries!$D$5:$D$434,$A242,Countries!$P$5:$P$434,"&gt;0")/SUMIFS(Countries!$P$5:$P$434,Countries!$A$5:$A$434,"All landing pages",Countries!$D$5:$D$434,$A242,Countries!$W$5:$W$434,"&gt;0"))</f>
        <v/>
      </c>
      <c r="O242" s="43">
        <f>IF(SUMIFS(Countries!$Q$5:$Q$434,Countries!$A$5:$A$434,"All landing pages",Countries!$D$5:$D$434,$A242,Countries!$X$5:$X$434,"&gt;0")=0,"",SUMIFS(Countries!$X$5:$X$434,Countries!$A$5:$A$434,"All landing pages",Countries!$D$5:$D$434,$A242,Countries!$Q$5:$Q$434,"&gt;0")/SUMIFS(Countries!$Q$5:$Q$434,Countries!$A$5:$A$434,"All landing pages",Countries!$D$5:$D$434,$A242,Countries!$X$5:$X$434,"&gt;0"))</f>
        <v/>
      </c>
      <c r="P242" s="44">
        <f>IF(OR(N242="",O242=""),"",(O242-N242)*100)</f>
        <v/>
      </c>
      <c r="Q242" s="73" t="n"/>
    </row>
    <row r="243">
      <c r="A243" s="40" t="inlineStr">
        <is>
          <t>United States</t>
        </is>
      </c>
      <c r="B243" s="43">
        <f>IF(SUMIFS(Countries!$P$5:$P$434,Countries!$A$5:$A$434,"All landing pages",Countries!$B$5:$B$434,"Paid Search",Countries!$D$5:$D$434,$A243,Countries!$W$5:$W$434,"&gt;0")=0,"",SUMIFS(Countries!$W$5:$W$434,Countries!$A$5:$A$434,"All landing pages",Countries!$B$5:$B$434,"Paid Search",Countries!$D$5:$D$434,$A243,Countries!$P$5:$P$434,"&gt;0")/SUMIFS(Countries!$P$5:$P$434,Countries!$A$5:$A$434,"All landing pages",Countries!$B$5:$B$434,"Paid Search",Countries!$D$5:$D$434,$A243,Countries!$W$5:$W$434,"&gt;0"))</f>
        <v/>
      </c>
      <c r="C243" s="43">
        <f>IF(SUMIFS(Countries!$Q$5:$Q$434,Countries!$A$5:$A$434,"All landing pages",Countries!$B$5:$B$434,"Paid Search",Countries!$D$5:$D$434,$A243,Countries!$X$5:$X$434,"&gt;0")=0,"",SUMIFS(Countries!$X$5:$X$434,Countries!$A$5:$A$434,"All landing pages",Countries!$B$5:$B$434,"Paid Search",Countries!$D$5:$D$434,$A243,Countries!$Q$5:$Q$434,"&gt;0")/SUMIFS(Countries!$Q$5:$Q$434,Countries!$A$5:$A$434,"All landing pages",Countries!$B$5:$B$434,"Paid Search",Countries!$D$5:$D$434,$A243,Countries!$X$5:$X$434,"&gt;0"))</f>
        <v/>
      </c>
      <c r="D243" s="44">
        <f>IF(OR(B243="",C243=""),"",(C243-B243)*100)</f>
        <v/>
      </c>
      <c r="E243" s="73" t="n"/>
      <c r="F243" s="43">
        <f>IF(SUMIFS(Countries!$P$5:$P$434,Countries!$A$5:$A$434,"All landing pages",Countries!$B$5:$B$434,"Organic",Countries!$D$5:$D$434,$A243,Countries!$W$5:$W$434,"&gt;0")=0,"",SUMIFS(Countries!$W$5:$W$434,Countries!$A$5:$A$434,"All landing pages",Countries!$B$5:$B$434,"Organic",Countries!$D$5:$D$434,$A243,Countries!$P$5:$P$434,"&gt;0")/SUMIFS(Countries!$P$5:$P$434,Countries!$A$5:$A$434,"All landing pages",Countries!$B$5:$B$434,"Organic",Countries!$D$5:$D$434,$A243,Countries!$W$5:$W$434,"&gt;0"))</f>
        <v/>
      </c>
      <c r="G243" s="43">
        <f>IF(SUMIFS(Countries!$Q$5:$Q$434,Countries!$A$5:$A$434,"All landing pages",Countries!$B$5:$B$434,"Organic",Countries!$D$5:$D$434,$A243,Countries!$X$5:$X$434,"&gt;0")=0,"",SUMIFS(Countries!$X$5:$X$434,Countries!$A$5:$A$434,"All landing pages",Countries!$B$5:$B$434,"Organic",Countries!$D$5:$D$434,$A243,Countries!$Q$5:$Q$434,"&gt;0")/SUMIFS(Countries!$Q$5:$Q$434,Countries!$A$5:$A$434,"All landing pages",Countries!$B$5:$B$434,"Organic",Countries!$D$5:$D$434,$A243,Countries!$X$5:$X$434,"&gt;0"))</f>
        <v/>
      </c>
      <c r="H243" s="44">
        <f>IF(OR(F243="",G243=""),"",(G243-F243)*100)</f>
        <v/>
      </c>
      <c r="I243" s="73" t="n"/>
      <c r="J243" s="43">
        <f>IF(SUMIFS(Countries!$P$5:$P$434,Countries!$A$5:$A$434,"All landing pages",Countries!$B$5:$B$434,"Direct",Countries!$D$5:$D$434,$A243,Countries!$W$5:$W$434,"&gt;0")=0,"",SUMIFS(Countries!$W$5:$W$434,Countries!$A$5:$A$434,"All landing pages",Countries!$B$5:$B$434,"Direct",Countries!$D$5:$D$434,$A243,Countries!$P$5:$P$434,"&gt;0")/SUMIFS(Countries!$P$5:$P$434,Countries!$A$5:$A$434,"All landing pages",Countries!$B$5:$B$434,"Direct",Countries!$D$5:$D$434,$A243,Countries!$W$5:$W$434,"&gt;0"))</f>
        <v/>
      </c>
      <c r="K243" s="43">
        <f>IF(SUMIFS(Countries!$Q$5:$Q$434,Countries!$A$5:$A$434,"All landing pages",Countries!$B$5:$B$434,"Direct",Countries!$D$5:$D$434,$A243,Countries!$X$5:$X$434,"&gt;0")=0,"",SUMIFS(Countries!$X$5:$X$434,Countries!$A$5:$A$434,"All landing pages",Countries!$B$5:$B$434,"Direct",Countries!$D$5:$D$434,$A243,Countries!$Q$5:$Q$434,"&gt;0")/SUMIFS(Countries!$Q$5:$Q$434,Countries!$A$5:$A$434,"All landing pages",Countries!$B$5:$B$434,"Direct",Countries!$D$5:$D$434,$A243,Countries!$X$5:$X$434,"&gt;0"))</f>
        <v/>
      </c>
      <c r="L243" s="44">
        <f>IF(OR(J243="",K243=""),"",(K243-J243)*100)</f>
        <v/>
      </c>
      <c r="M243" s="73" t="n"/>
      <c r="N243" s="43">
        <f>IF(SUMIFS(Countries!$P$5:$P$434,Countries!$A$5:$A$434,"All landing pages",Countries!$D$5:$D$434,$A243,Countries!$W$5:$W$434,"&gt;0")=0,"",SUMIFS(Countries!$W$5:$W$434,Countries!$A$5:$A$434,"All landing pages",Countries!$D$5:$D$434,$A243,Countries!$P$5:$P$434,"&gt;0")/SUMIFS(Countries!$P$5:$P$434,Countries!$A$5:$A$434,"All landing pages",Countries!$D$5:$D$434,$A243,Countries!$W$5:$W$434,"&gt;0"))</f>
        <v/>
      </c>
      <c r="O243" s="43">
        <f>IF(SUMIFS(Countries!$Q$5:$Q$434,Countries!$A$5:$A$434,"All landing pages",Countries!$D$5:$D$434,$A243,Countries!$X$5:$X$434,"&gt;0")=0,"",SUMIFS(Countries!$X$5:$X$434,Countries!$A$5:$A$434,"All landing pages",Countries!$D$5:$D$434,$A243,Countries!$Q$5:$Q$434,"&gt;0")/SUMIFS(Countries!$Q$5:$Q$434,Countries!$A$5:$A$434,"All landing pages",Countries!$D$5:$D$434,$A243,Countries!$X$5:$X$434,"&gt;0"))</f>
        <v/>
      </c>
      <c r="P243" s="44">
        <f>IF(OR(N243="",O243=""),"",(O243-N243)*100)</f>
        <v/>
      </c>
      <c r="Q243" s="73" t="n"/>
    </row>
    <row r="244">
      <c r="A244" s="56" t="inlineStr">
        <is>
          <t>Sweden</t>
        </is>
      </c>
      <c r="B244" s="43">
        <f>IF(SUMIFS(Countries!$P$5:$P$434,Countries!$A$5:$A$434,"All landing pages",Countries!$B$5:$B$434,"Paid Search",Countries!$D$5:$D$434,$A244,Countries!$W$5:$W$434,"&gt;0")=0,"",SUMIFS(Countries!$W$5:$W$434,Countries!$A$5:$A$434,"All landing pages",Countries!$B$5:$B$434,"Paid Search",Countries!$D$5:$D$434,$A244,Countries!$P$5:$P$434,"&gt;0")/SUMIFS(Countries!$P$5:$P$434,Countries!$A$5:$A$434,"All landing pages",Countries!$B$5:$B$434,"Paid Search",Countries!$D$5:$D$434,$A244,Countries!$W$5:$W$434,"&gt;0"))</f>
        <v/>
      </c>
      <c r="C244" s="43">
        <f>IF(SUMIFS(Countries!$Q$5:$Q$434,Countries!$A$5:$A$434,"All landing pages",Countries!$B$5:$B$434,"Paid Search",Countries!$D$5:$D$434,$A244,Countries!$X$5:$X$434,"&gt;0")=0,"",SUMIFS(Countries!$X$5:$X$434,Countries!$A$5:$A$434,"All landing pages",Countries!$B$5:$B$434,"Paid Search",Countries!$D$5:$D$434,$A244,Countries!$Q$5:$Q$434,"&gt;0")/SUMIFS(Countries!$Q$5:$Q$434,Countries!$A$5:$A$434,"All landing pages",Countries!$B$5:$B$434,"Paid Search",Countries!$D$5:$D$434,$A244,Countries!$X$5:$X$434,"&gt;0"))</f>
        <v/>
      </c>
      <c r="D244" s="44">
        <f>IF(OR(B244="",C244=""),"",(C244-B244)*100)</f>
        <v/>
      </c>
      <c r="E244" s="73" t="n"/>
      <c r="F244" s="43">
        <f>IF(SUMIFS(Countries!$P$5:$P$434,Countries!$A$5:$A$434,"All landing pages",Countries!$B$5:$B$434,"Organic",Countries!$D$5:$D$434,$A244,Countries!$W$5:$W$434,"&gt;0")=0,"",SUMIFS(Countries!$W$5:$W$434,Countries!$A$5:$A$434,"All landing pages",Countries!$B$5:$B$434,"Organic",Countries!$D$5:$D$434,$A244,Countries!$P$5:$P$434,"&gt;0")/SUMIFS(Countries!$P$5:$P$434,Countries!$A$5:$A$434,"All landing pages",Countries!$B$5:$B$434,"Organic",Countries!$D$5:$D$434,$A244,Countries!$W$5:$W$434,"&gt;0"))</f>
        <v/>
      </c>
      <c r="G244" s="43">
        <f>IF(SUMIFS(Countries!$Q$5:$Q$434,Countries!$A$5:$A$434,"All landing pages",Countries!$B$5:$B$434,"Organic",Countries!$D$5:$D$434,$A244,Countries!$X$5:$X$434,"&gt;0")=0,"",SUMIFS(Countries!$X$5:$X$434,Countries!$A$5:$A$434,"All landing pages",Countries!$B$5:$B$434,"Organic",Countries!$D$5:$D$434,$A244,Countries!$Q$5:$Q$434,"&gt;0")/SUMIFS(Countries!$Q$5:$Q$434,Countries!$A$5:$A$434,"All landing pages",Countries!$B$5:$B$434,"Organic",Countries!$D$5:$D$434,$A244,Countries!$X$5:$X$434,"&gt;0"))</f>
        <v/>
      </c>
      <c r="H244" s="44">
        <f>IF(OR(F244="",G244=""),"",(G244-F244)*100)</f>
        <v/>
      </c>
      <c r="I244" s="73" t="n"/>
      <c r="J244" s="43">
        <f>IF(SUMIFS(Countries!$P$5:$P$434,Countries!$A$5:$A$434,"All landing pages",Countries!$B$5:$B$434,"Direct",Countries!$D$5:$D$434,$A244,Countries!$W$5:$W$434,"&gt;0")=0,"",SUMIFS(Countries!$W$5:$W$434,Countries!$A$5:$A$434,"All landing pages",Countries!$B$5:$B$434,"Direct",Countries!$D$5:$D$434,$A244,Countries!$P$5:$P$434,"&gt;0")/SUMIFS(Countries!$P$5:$P$434,Countries!$A$5:$A$434,"All landing pages",Countries!$B$5:$B$434,"Direct",Countries!$D$5:$D$434,$A244,Countries!$W$5:$W$434,"&gt;0"))</f>
        <v/>
      </c>
      <c r="K244" s="43">
        <f>IF(SUMIFS(Countries!$Q$5:$Q$434,Countries!$A$5:$A$434,"All landing pages",Countries!$B$5:$B$434,"Direct",Countries!$D$5:$D$434,$A244,Countries!$X$5:$X$434,"&gt;0")=0,"",SUMIFS(Countries!$X$5:$X$434,Countries!$A$5:$A$434,"All landing pages",Countries!$B$5:$B$434,"Direct",Countries!$D$5:$D$434,$A244,Countries!$Q$5:$Q$434,"&gt;0")/SUMIFS(Countries!$Q$5:$Q$434,Countries!$A$5:$A$434,"All landing pages",Countries!$B$5:$B$434,"Direct",Countries!$D$5:$D$434,$A244,Countries!$X$5:$X$434,"&gt;0"))</f>
        <v/>
      </c>
      <c r="L244" s="44">
        <f>IF(OR(J244="",K244=""),"",(K244-J244)*100)</f>
        <v/>
      </c>
      <c r="M244" s="73" t="n"/>
      <c r="N244" s="43">
        <f>IF(SUMIFS(Countries!$P$5:$P$434,Countries!$A$5:$A$434,"All landing pages",Countries!$D$5:$D$434,$A244,Countries!$W$5:$W$434,"&gt;0")=0,"",SUMIFS(Countries!$W$5:$W$434,Countries!$A$5:$A$434,"All landing pages",Countries!$D$5:$D$434,$A244,Countries!$P$5:$P$434,"&gt;0")/SUMIFS(Countries!$P$5:$P$434,Countries!$A$5:$A$434,"All landing pages",Countries!$D$5:$D$434,$A244,Countries!$W$5:$W$434,"&gt;0"))</f>
        <v/>
      </c>
      <c r="O244" s="43">
        <f>IF(SUMIFS(Countries!$Q$5:$Q$434,Countries!$A$5:$A$434,"All landing pages",Countries!$D$5:$D$434,$A244,Countries!$X$5:$X$434,"&gt;0")=0,"",SUMIFS(Countries!$X$5:$X$434,Countries!$A$5:$A$434,"All landing pages",Countries!$D$5:$D$434,$A244,Countries!$Q$5:$Q$434,"&gt;0")/SUMIFS(Countries!$Q$5:$Q$434,Countries!$A$5:$A$434,"All landing pages",Countries!$D$5:$D$434,$A244,Countries!$X$5:$X$434,"&gt;0"))</f>
        <v/>
      </c>
      <c r="P244" s="44">
        <f>IF(OR(N244="",O244=""),"",(O244-N244)*100)</f>
        <v/>
      </c>
      <c r="Q244" s="73" t="n"/>
    </row>
    <row r="245">
      <c r="A245" s="40" t="inlineStr">
        <is>
          <t>Belgium</t>
        </is>
      </c>
      <c r="B245" s="43">
        <f>IF(SUMIFS(Countries!$P$5:$P$434,Countries!$A$5:$A$434,"All landing pages",Countries!$B$5:$B$434,"Paid Search",Countries!$D$5:$D$434,$A245,Countries!$W$5:$W$434,"&gt;0")=0,"",SUMIFS(Countries!$W$5:$W$434,Countries!$A$5:$A$434,"All landing pages",Countries!$B$5:$B$434,"Paid Search",Countries!$D$5:$D$434,$A245,Countries!$P$5:$P$434,"&gt;0")/SUMIFS(Countries!$P$5:$P$434,Countries!$A$5:$A$434,"All landing pages",Countries!$B$5:$B$434,"Paid Search",Countries!$D$5:$D$434,$A245,Countries!$W$5:$W$434,"&gt;0"))</f>
        <v/>
      </c>
      <c r="C245" s="43">
        <f>IF(SUMIFS(Countries!$Q$5:$Q$434,Countries!$A$5:$A$434,"All landing pages",Countries!$B$5:$B$434,"Paid Search",Countries!$D$5:$D$434,$A245,Countries!$X$5:$X$434,"&gt;0")=0,"",SUMIFS(Countries!$X$5:$X$434,Countries!$A$5:$A$434,"All landing pages",Countries!$B$5:$B$434,"Paid Search",Countries!$D$5:$D$434,$A245,Countries!$Q$5:$Q$434,"&gt;0")/SUMIFS(Countries!$Q$5:$Q$434,Countries!$A$5:$A$434,"All landing pages",Countries!$B$5:$B$434,"Paid Search",Countries!$D$5:$D$434,$A245,Countries!$X$5:$X$434,"&gt;0"))</f>
        <v/>
      </c>
      <c r="D245" s="44">
        <f>IF(OR(B245="",C245=""),"",(C245-B245)*100)</f>
        <v/>
      </c>
      <c r="E245" s="73" t="n"/>
      <c r="F245" s="43">
        <f>IF(SUMIFS(Countries!$P$5:$P$434,Countries!$A$5:$A$434,"All landing pages",Countries!$B$5:$B$434,"Organic",Countries!$D$5:$D$434,$A245,Countries!$W$5:$W$434,"&gt;0")=0,"",SUMIFS(Countries!$W$5:$W$434,Countries!$A$5:$A$434,"All landing pages",Countries!$B$5:$B$434,"Organic",Countries!$D$5:$D$434,$A245,Countries!$P$5:$P$434,"&gt;0")/SUMIFS(Countries!$P$5:$P$434,Countries!$A$5:$A$434,"All landing pages",Countries!$B$5:$B$434,"Organic",Countries!$D$5:$D$434,$A245,Countries!$W$5:$W$434,"&gt;0"))</f>
        <v/>
      </c>
      <c r="G245" s="43">
        <f>IF(SUMIFS(Countries!$Q$5:$Q$434,Countries!$A$5:$A$434,"All landing pages",Countries!$B$5:$B$434,"Organic",Countries!$D$5:$D$434,$A245,Countries!$X$5:$X$434,"&gt;0")=0,"",SUMIFS(Countries!$X$5:$X$434,Countries!$A$5:$A$434,"All landing pages",Countries!$B$5:$B$434,"Organic",Countries!$D$5:$D$434,$A245,Countries!$Q$5:$Q$434,"&gt;0")/SUMIFS(Countries!$Q$5:$Q$434,Countries!$A$5:$A$434,"All landing pages",Countries!$B$5:$B$434,"Organic",Countries!$D$5:$D$434,$A245,Countries!$X$5:$X$434,"&gt;0"))</f>
        <v/>
      </c>
      <c r="H245" s="44">
        <f>IF(OR(F245="",G245=""),"",(G245-F245)*100)</f>
        <v/>
      </c>
      <c r="I245" s="73" t="n"/>
      <c r="J245" s="43">
        <f>IF(SUMIFS(Countries!$P$5:$P$434,Countries!$A$5:$A$434,"All landing pages",Countries!$B$5:$B$434,"Direct",Countries!$D$5:$D$434,$A245,Countries!$W$5:$W$434,"&gt;0")=0,"",SUMIFS(Countries!$W$5:$W$434,Countries!$A$5:$A$434,"All landing pages",Countries!$B$5:$B$434,"Direct",Countries!$D$5:$D$434,$A245,Countries!$P$5:$P$434,"&gt;0")/SUMIFS(Countries!$P$5:$P$434,Countries!$A$5:$A$434,"All landing pages",Countries!$B$5:$B$434,"Direct",Countries!$D$5:$D$434,$A245,Countries!$W$5:$W$434,"&gt;0"))</f>
        <v/>
      </c>
      <c r="K245" s="43">
        <f>IF(SUMIFS(Countries!$Q$5:$Q$434,Countries!$A$5:$A$434,"All landing pages",Countries!$B$5:$B$434,"Direct",Countries!$D$5:$D$434,$A245,Countries!$X$5:$X$434,"&gt;0")=0,"",SUMIFS(Countries!$X$5:$X$434,Countries!$A$5:$A$434,"All landing pages",Countries!$B$5:$B$434,"Direct",Countries!$D$5:$D$434,$A245,Countries!$Q$5:$Q$434,"&gt;0")/SUMIFS(Countries!$Q$5:$Q$434,Countries!$A$5:$A$434,"All landing pages",Countries!$B$5:$B$434,"Direct",Countries!$D$5:$D$434,$A245,Countries!$X$5:$X$434,"&gt;0"))</f>
        <v/>
      </c>
      <c r="L245" s="44">
        <f>IF(OR(J245="",K245=""),"",(K245-J245)*100)</f>
        <v/>
      </c>
      <c r="M245" s="73" t="n"/>
      <c r="N245" s="43">
        <f>IF(SUMIFS(Countries!$P$5:$P$434,Countries!$A$5:$A$434,"All landing pages",Countries!$D$5:$D$434,$A245,Countries!$W$5:$W$434,"&gt;0")=0,"",SUMIFS(Countries!$W$5:$W$434,Countries!$A$5:$A$434,"All landing pages",Countries!$D$5:$D$434,$A245,Countries!$P$5:$P$434,"&gt;0")/SUMIFS(Countries!$P$5:$P$434,Countries!$A$5:$A$434,"All landing pages",Countries!$D$5:$D$434,$A245,Countries!$W$5:$W$434,"&gt;0"))</f>
        <v/>
      </c>
      <c r="O245" s="43">
        <f>IF(SUMIFS(Countries!$Q$5:$Q$434,Countries!$A$5:$A$434,"All landing pages",Countries!$D$5:$D$434,$A245,Countries!$X$5:$X$434,"&gt;0")=0,"",SUMIFS(Countries!$X$5:$X$434,Countries!$A$5:$A$434,"All landing pages",Countries!$D$5:$D$434,$A245,Countries!$Q$5:$Q$434,"&gt;0")/SUMIFS(Countries!$Q$5:$Q$434,Countries!$A$5:$A$434,"All landing pages",Countries!$D$5:$D$434,$A245,Countries!$X$5:$X$434,"&gt;0"))</f>
        <v/>
      </c>
      <c r="P245" s="44">
        <f>IF(OR(N245="",O245=""),"",(O245-N245)*100)</f>
        <v/>
      </c>
      <c r="Q245" s="73" t="n"/>
    </row>
    <row r="246">
      <c r="A246" s="56" t="inlineStr">
        <is>
          <t>Austria</t>
        </is>
      </c>
      <c r="B246" s="43">
        <f>IF(SUMIFS(Countries!$P$5:$P$434,Countries!$A$5:$A$434,"All landing pages",Countries!$B$5:$B$434,"Paid Search",Countries!$D$5:$D$434,$A246,Countries!$W$5:$W$434,"&gt;0")=0,"",SUMIFS(Countries!$W$5:$W$434,Countries!$A$5:$A$434,"All landing pages",Countries!$B$5:$B$434,"Paid Search",Countries!$D$5:$D$434,$A246,Countries!$P$5:$P$434,"&gt;0")/SUMIFS(Countries!$P$5:$P$434,Countries!$A$5:$A$434,"All landing pages",Countries!$B$5:$B$434,"Paid Search",Countries!$D$5:$D$434,$A246,Countries!$W$5:$W$434,"&gt;0"))</f>
        <v/>
      </c>
      <c r="C246" s="43">
        <f>IF(SUMIFS(Countries!$Q$5:$Q$434,Countries!$A$5:$A$434,"All landing pages",Countries!$B$5:$B$434,"Paid Search",Countries!$D$5:$D$434,$A246,Countries!$X$5:$X$434,"&gt;0")=0,"",SUMIFS(Countries!$X$5:$X$434,Countries!$A$5:$A$434,"All landing pages",Countries!$B$5:$B$434,"Paid Search",Countries!$D$5:$D$434,$A246,Countries!$Q$5:$Q$434,"&gt;0")/SUMIFS(Countries!$Q$5:$Q$434,Countries!$A$5:$A$434,"All landing pages",Countries!$B$5:$B$434,"Paid Search",Countries!$D$5:$D$434,$A246,Countries!$X$5:$X$434,"&gt;0"))</f>
        <v/>
      </c>
      <c r="D246" s="44">
        <f>IF(OR(B246="",C246=""),"",(C246-B246)*100)</f>
        <v/>
      </c>
      <c r="E246" s="73" t="n"/>
      <c r="F246" s="43">
        <f>IF(SUMIFS(Countries!$P$5:$P$434,Countries!$A$5:$A$434,"All landing pages",Countries!$B$5:$B$434,"Organic",Countries!$D$5:$D$434,$A246,Countries!$W$5:$W$434,"&gt;0")=0,"",SUMIFS(Countries!$W$5:$W$434,Countries!$A$5:$A$434,"All landing pages",Countries!$B$5:$B$434,"Organic",Countries!$D$5:$D$434,$A246,Countries!$P$5:$P$434,"&gt;0")/SUMIFS(Countries!$P$5:$P$434,Countries!$A$5:$A$434,"All landing pages",Countries!$B$5:$B$434,"Organic",Countries!$D$5:$D$434,$A246,Countries!$W$5:$W$434,"&gt;0"))</f>
        <v/>
      </c>
      <c r="G246" s="43">
        <f>IF(SUMIFS(Countries!$Q$5:$Q$434,Countries!$A$5:$A$434,"All landing pages",Countries!$B$5:$B$434,"Organic",Countries!$D$5:$D$434,$A246,Countries!$X$5:$X$434,"&gt;0")=0,"",SUMIFS(Countries!$X$5:$X$434,Countries!$A$5:$A$434,"All landing pages",Countries!$B$5:$B$434,"Organic",Countries!$D$5:$D$434,$A246,Countries!$Q$5:$Q$434,"&gt;0")/SUMIFS(Countries!$Q$5:$Q$434,Countries!$A$5:$A$434,"All landing pages",Countries!$B$5:$B$434,"Organic",Countries!$D$5:$D$434,$A246,Countries!$X$5:$X$434,"&gt;0"))</f>
        <v/>
      </c>
      <c r="H246" s="44">
        <f>IF(OR(F246="",G246=""),"",(G246-F246)*100)</f>
        <v/>
      </c>
      <c r="I246" s="73" t="n"/>
      <c r="J246" s="43">
        <f>IF(SUMIFS(Countries!$P$5:$P$434,Countries!$A$5:$A$434,"All landing pages",Countries!$B$5:$B$434,"Direct",Countries!$D$5:$D$434,$A246,Countries!$W$5:$W$434,"&gt;0")=0,"",SUMIFS(Countries!$W$5:$W$434,Countries!$A$5:$A$434,"All landing pages",Countries!$B$5:$B$434,"Direct",Countries!$D$5:$D$434,$A246,Countries!$P$5:$P$434,"&gt;0")/SUMIFS(Countries!$P$5:$P$434,Countries!$A$5:$A$434,"All landing pages",Countries!$B$5:$B$434,"Direct",Countries!$D$5:$D$434,$A246,Countries!$W$5:$W$434,"&gt;0"))</f>
        <v/>
      </c>
      <c r="K246" s="43">
        <f>IF(SUMIFS(Countries!$Q$5:$Q$434,Countries!$A$5:$A$434,"All landing pages",Countries!$B$5:$B$434,"Direct",Countries!$D$5:$D$434,$A246,Countries!$X$5:$X$434,"&gt;0")=0,"",SUMIFS(Countries!$X$5:$X$434,Countries!$A$5:$A$434,"All landing pages",Countries!$B$5:$B$434,"Direct",Countries!$D$5:$D$434,$A246,Countries!$Q$5:$Q$434,"&gt;0")/SUMIFS(Countries!$Q$5:$Q$434,Countries!$A$5:$A$434,"All landing pages",Countries!$B$5:$B$434,"Direct",Countries!$D$5:$D$434,$A246,Countries!$X$5:$X$434,"&gt;0"))</f>
        <v/>
      </c>
      <c r="L246" s="44">
        <f>IF(OR(J246="",K246=""),"",(K246-J246)*100)</f>
        <v/>
      </c>
      <c r="M246" s="73" t="n"/>
      <c r="N246" s="43">
        <f>IF(SUMIFS(Countries!$P$5:$P$434,Countries!$A$5:$A$434,"All landing pages",Countries!$D$5:$D$434,$A246,Countries!$W$5:$W$434,"&gt;0")=0,"",SUMIFS(Countries!$W$5:$W$434,Countries!$A$5:$A$434,"All landing pages",Countries!$D$5:$D$434,$A246,Countries!$P$5:$P$434,"&gt;0")/SUMIFS(Countries!$P$5:$P$434,Countries!$A$5:$A$434,"All landing pages",Countries!$D$5:$D$434,$A246,Countries!$W$5:$W$434,"&gt;0"))</f>
        <v/>
      </c>
      <c r="O246" s="43">
        <f>IF(SUMIFS(Countries!$Q$5:$Q$434,Countries!$A$5:$A$434,"All landing pages",Countries!$D$5:$D$434,$A246,Countries!$X$5:$X$434,"&gt;0")=0,"",SUMIFS(Countries!$X$5:$X$434,Countries!$A$5:$A$434,"All landing pages",Countries!$D$5:$D$434,$A246,Countries!$Q$5:$Q$434,"&gt;0")/SUMIFS(Countries!$Q$5:$Q$434,Countries!$A$5:$A$434,"All landing pages",Countries!$D$5:$D$434,$A246,Countries!$X$5:$X$434,"&gt;0"))</f>
        <v/>
      </c>
      <c r="P246" s="44">
        <f>IF(OR(N246="",O246=""),"",(O246-N246)*100)</f>
        <v/>
      </c>
      <c r="Q246" s="73" t="n"/>
    </row>
    <row r="247">
      <c r="A247" s="40" t="inlineStr">
        <is>
          <t>Denmark</t>
        </is>
      </c>
      <c r="B247" s="43">
        <f>IF(SUMIFS(Countries!$P$5:$P$434,Countries!$A$5:$A$434,"All landing pages",Countries!$B$5:$B$434,"Paid Search",Countries!$D$5:$D$434,$A247,Countries!$W$5:$W$434,"&gt;0")=0,"",SUMIFS(Countries!$W$5:$W$434,Countries!$A$5:$A$434,"All landing pages",Countries!$B$5:$B$434,"Paid Search",Countries!$D$5:$D$434,$A247,Countries!$P$5:$P$434,"&gt;0")/SUMIFS(Countries!$P$5:$P$434,Countries!$A$5:$A$434,"All landing pages",Countries!$B$5:$B$434,"Paid Search",Countries!$D$5:$D$434,$A247,Countries!$W$5:$W$434,"&gt;0"))</f>
        <v/>
      </c>
      <c r="C247" s="43">
        <f>IF(SUMIFS(Countries!$Q$5:$Q$434,Countries!$A$5:$A$434,"All landing pages",Countries!$B$5:$B$434,"Paid Search",Countries!$D$5:$D$434,$A247,Countries!$X$5:$X$434,"&gt;0")=0,"",SUMIFS(Countries!$X$5:$X$434,Countries!$A$5:$A$434,"All landing pages",Countries!$B$5:$B$434,"Paid Search",Countries!$D$5:$D$434,$A247,Countries!$Q$5:$Q$434,"&gt;0")/SUMIFS(Countries!$Q$5:$Q$434,Countries!$A$5:$A$434,"All landing pages",Countries!$B$5:$B$434,"Paid Search",Countries!$D$5:$D$434,$A247,Countries!$X$5:$X$434,"&gt;0"))</f>
        <v/>
      </c>
      <c r="D247" s="44">
        <f>IF(OR(B247="",C247=""),"",(C247-B247)*100)</f>
        <v/>
      </c>
      <c r="E247" s="73" t="n"/>
      <c r="F247" s="43">
        <f>IF(SUMIFS(Countries!$P$5:$P$434,Countries!$A$5:$A$434,"All landing pages",Countries!$B$5:$B$434,"Organic",Countries!$D$5:$D$434,$A247,Countries!$W$5:$W$434,"&gt;0")=0,"",SUMIFS(Countries!$W$5:$W$434,Countries!$A$5:$A$434,"All landing pages",Countries!$B$5:$B$434,"Organic",Countries!$D$5:$D$434,$A247,Countries!$P$5:$P$434,"&gt;0")/SUMIFS(Countries!$P$5:$P$434,Countries!$A$5:$A$434,"All landing pages",Countries!$B$5:$B$434,"Organic",Countries!$D$5:$D$434,$A247,Countries!$W$5:$W$434,"&gt;0"))</f>
        <v/>
      </c>
      <c r="G247" s="43">
        <f>IF(SUMIFS(Countries!$Q$5:$Q$434,Countries!$A$5:$A$434,"All landing pages",Countries!$B$5:$B$434,"Organic",Countries!$D$5:$D$434,$A247,Countries!$X$5:$X$434,"&gt;0")=0,"",SUMIFS(Countries!$X$5:$X$434,Countries!$A$5:$A$434,"All landing pages",Countries!$B$5:$B$434,"Organic",Countries!$D$5:$D$434,$A247,Countries!$Q$5:$Q$434,"&gt;0")/SUMIFS(Countries!$Q$5:$Q$434,Countries!$A$5:$A$434,"All landing pages",Countries!$B$5:$B$434,"Organic",Countries!$D$5:$D$434,$A247,Countries!$X$5:$X$434,"&gt;0"))</f>
        <v/>
      </c>
      <c r="H247" s="44">
        <f>IF(OR(F247="",G247=""),"",(G247-F247)*100)</f>
        <v/>
      </c>
      <c r="I247" s="73" t="n"/>
      <c r="J247" s="43">
        <f>IF(SUMIFS(Countries!$P$5:$P$434,Countries!$A$5:$A$434,"All landing pages",Countries!$B$5:$B$434,"Direct",Countries!$D$5:$D$434,$A247,Countries!$W$5:$W$434,"&gt;0")=0,"",SUMIFS(Countries!$W$5:$W$434,Countries!$A$5:$A$434,"All landing pages",Countries!$B$5:$B$434,"Direct",Countries!$D$5:$D$434,$A247,Countries!$P$5:$P$434,"&gt;0")/SUMIFS(Countries!$P$5:$P$434,Countries!$A$5:$A$434,"All landing pages",Countries!$B$5:$B$434,"Direct",Countries!$D$5:$D$434,$A247,Countries!$W$5:$W$434,"&gt;0"))</f>
        <v/>
      </c>
      <c r="K247" s="43">
        <f>IF(SUMIFS(Countries!$Q$5:$Q$434,Countries!$A$5:$A$434,"All landing pages",Countries!$B$5:$B$434,"Direct",Countries!$D$5:$D$434,$A247,Countries!$X$5:$X$434,"&gt;0")=0,"",SUMIFS(Countries!$X$5:$X$434,Countries!$A$5:$A$434,"All landing pages",Countries!$B$5:$B$434,"Direct",Countries!$D$5:$D$434,$A247,Countries!$Q$5:$Q$434,"&gt;0")/SUMIFS(Countries!$Q$5:$Q$434,Countries!$A$5:$A$434,"All landing pages",Countries!$B$5:$B$434,"Direct",Countries!$D$5:$D$434,$A247,Countries!$X$5:$X$434,"&gt;0"))</f>
        <v/>
      </c>
      <c r="L247" s="44">
        <f>IF(OR(J247="",K247=""),"",(K247-J247)*100)</f>
        <v/>
      </c>
      <c r="M247" s="73" t="n"/>
      <c r="N247" s="43">
        <f>IF(SUMIFS(Countries!$P$5:$P$434,Countries!$A$5:$A$434,"All landing pages",Countries!$D$5:$D$434,$A247,Countries!$W$5:$W$434,"&gt;0")=0,"",SUMIFS(Countries!$W$5:$W$434,Countries!$A$5:$A$434,"All landing pages",Countries!$D$5:$D$434,$A247,Countries!$P$5:$P$434,"&gt;0")/SUMIFS(Countries!$P$5:$P$434,Countries!$A$5:$A$434,"All landing pages",Countries!$D$5:$D$434,$A247,Countries!$W$5:$W$434,"&gt;0"))</f>
        <v/>
      </c>
      <c r="O247" s="43">
        <f>IF(SUMIFS(Countries!$Q$5:$Q$434,Countries!$A$5:$A$434,"All landing pages",Countries!$D$5:$D$434,$A247,Countries!$X$5:$X$434,"&gt;0")=0,"",SUMIFS(Countries!$X$5:$X$434,Countries!$A$5:$A$434,"All landing pages",Countries!$D$5:$D$434,$A247,Countries!$Q$5:$Q$434,"&gt;0")/SUMIFS(Countries!$Q$5:$Q$434,Countries!$A$5:$A$434,"All landing pages",Countries!$D$5:$D$434,$A247,Countries!$X$5:$X$434,"&gt;0"))</f>
        <v/>
      </c>
      <c r="P247" s="44">
        <f>IF(OR(N247="",O247=""),"",(O247-N247)*100)</f>
        <v/>
      </c>
      <c r="Q247" s="73" t="n"/>
    </row>
    <row r="248">
      <c r="A248" s="56" t="inlineStr">
        <is>
          <t>Norway</t>
        </is>
      </c>
      <c r="B248" s="43">
        <f>IF(SUMIFS(Countries!$P$5:$P$434,Countries!$A$5:$A$434,"All landing pages",Countries!$B$5:$B$434,"Paid Search",Countries!$D$5:$D$434,$A248,Countries!$W$5:$W$434,"&gt;0")=0,"",SUMIFS(Countries!$W$5:$W$434,Countries!$A$5:$A$434,"All landing pages",Countries!$B$5:$B$434,"Paid Search",Countries!$D$5:$D$434,$A248,Countries!$P$5:$P$434,"&gt;0")/SUMIFS(Countries!$P$5:$P$434,Countries!$A$5:$A$434,"All landing pages",Countries!$B$5:$B$434,"Paid Search",Countries!$D$5:$D$434,$A248,Countries!$W$5:$W$434,"&gt;0"))</f>
        <v/>
      </c>
      <c r="C248" s="43">
        <f>IF(SUMIFS(Countries!$Q$5:$Q$434,Countries!$A$5:$A$434,"All landing pages",Countries!$B$5:$B$434,"Paid Search",Countries!$D$5:$D$434,$A248,Countries!$X$5:$X$434,"&gt;0")=0,"",SUMIFS(Countries!$X$5:$X$434,Countries!$A$5:$A$434,"All landing pages",Countries!$B$5:$B$434,"Paid Search",Countries!$D$5:$D$434,$A248,Countries!$Q$5:$Q$434,"&gt;0")/SUMIFS(Countries!$Q$5:$Q$434,Countries!$A$5:$A$434,"All landing pages",Countries!$B$5:$B$434,"Paid Search",Countries!$D$5:$D$434,$A248,Countries!$X$5:$X$434,"&gt;0"))</f>
        <v/>
      </c>
      <c r="D248" s="44">
        <f>IF(OR(B248="",C248=""),"",(C248-B248)*100)</f>
        <v/>
      </c>
      <c r="E248" s="73" t="n"/>
      <c r="F248" s="43">
        <f>IF(SUMIFS(Countries!$P$5:$P$434,Countries!$A$5:$A$434,"All landing pages",Countries!$B$5:$B$434,"Organic",Countries!$D$5:$D$434,$A248,Countries!$W$5:$W$434,"&gt;0")=0,"",SUMIFS(Countries!$W$5:$W$434,Countries!$A$5:$A$434,"All landing pages",Countries!$B$5:$B$434,"Organic",Countries!$D$5:$D$434,$A248,Countries!$P$5:$P$434,"&gt;0")/SUMIFS(Countries!$P$5:$P$434,Countries!$A$5:$A$434,"All landing pages",Countries!$B$5:$B$434,"Organic",Countries!$D$5:$D$434,$A248,Countries!$W$5:$W$434,"&gt;0"))</f>
        <v/>
      </c>
      <c r="G248" s="43">
        <f>IF(SUMIFS(Countries!$Q$5:$Q$434,Countries!$A$5:$A$434,"All landing pages",Countries!$B$5:$B$434,"Organic",Countries!$D$5:$D$434,$A248,Countries!$X$5:$X$434,"&gt;0")=0,"",SUMIFS(Countries!$X$5:$X$434,Countries!$A$5:$A$434,"All landing pages",Countries!$B$5:$B$434,"Organic",Countries!$D$5:$D$434,$A248,Countries!$Q$5:$Q$434,"&gt;0")/SUMIFS(Countries!$Q$5:$Q$434,Countries!$A$5:$A$434,"All landing pages",Countries!$B$5:$B$434,"Organic",Countries!$D$5:$D$434,$A248,Countries!$X$5:$X$434,"&gt;0"))</f>
        <v/>
      </c>
      <c r="H248" s="44">
        <f>IF(OR(F248="",G248=""),"",(G248-F248)*100)</f>
        <v/>
      </c>
      <c r="I248" s="73" t="n"/>
      <c r="J248" s="43">
        <f>IF(SUMIFS(Countries!$P$5:$P$434,Countries!$A$5:$A$434,"All landing pages",Countries!$B$5:$B$434,"Direct",Countries!$D$5:$D$434,$A248,Countries!$W$5:$W$434,"&gt;0")=0,"",SUMIFS(Countries!$W$5:$W$434,Countries!$A$5:$A$434,"All landing pages",Countries!$B$5:$B$434,"Direct",Countries!$D$5:$D$434,$A248,Countries!$P$5:$P$434,"&gt;0")/SUMIFS(Countries!$P$5:$P$434,Countries!$A$5:$A$434,"All landing pages",Countries!$B$5:$B$434,"Direct",Countries!$D$5:$D$434,$A248,Countries!$W$5:$W$434,"&gt;0"))</f>
        <v/>
      </c>
      <c r="K248" s="43">
        <f>IF(SUMIFS(Countries!$Q$5:$Q$434,Countries!$A$5:$A$434,"All landing pages",Countries!$B$5:$B$434,"Direct",Countries!$D$5:$D$434,$A248,Countries!$X$5:$X$434,"&gt;0")=0,"",SUMIFS(Countries!$X$5:$X$434,Countries!$A$5:$A$434,"All landing pages",Countries!$B$5:$B$434,"Direct",Countries!$D$5:$D$434,$A248,Countries!$Q$5:$Q$434,"&gt;0")/SUMIFS(Countries!$Q$5:$Q$434,Countries!$A$5:$A$434,"All landing pages",Countries!$B$5:$B$434,"Direct",Countries!$D$5:$D$434,$A248,Countries!$X$5:$X$434,"&gt;0"))</f>
        <v/>
      </c>
      <c r="L248" s="44">
        <f>IF(OR(J248="",K248=""),"",(K248-J248)*100)</f>
        <v/>
      </c>
      <c r="M248" s="73" t="n"/>
      <c r="N248" s="43">
        <f>IF(SUMIFS(Countries!$P$5:$P$434,Countries!$A$5:$A$434,"All landing pages",Countries!$D$5:$D$434,$A248,Countries!$W$5:$W$434,"&gt;0")=0,"",SUMIFS(Countries!$W$5:$W$434,Countries!$A$5:$A$434,"All landing pages",Countries!$D$5:$D$434,$A248,Countries!$P$5:$P$434,"&gt;0")/SUMIFS(Countries!$P$5:$P$434,Countries!$A$5:$A$434,"All landing pages",Countries!$D$5:$D$434,$A248,Countries!$W$5:$W$434,"&gt;0"))</f>
        <v/>
      </c>
      <c r="O248" s="43">
        <f>IF(SUMIFS(Countries!$Q$5:$Q$434,Countries!$A$5:$A$434,"All landing pages",Countries!$D$5:$D$434,$A248,Countries!$X$5:$X$434,"&gt;0")=0,"",SUMIFS(Countries!$X$5:$X$434,Countries!$A$5:$A$434,"All landing pages",Countries!$D$5:$D$434,$A248,Countries!$Q$5:$Q$434,"&gt;0")/SUMIFS(Countries!$Q$5:$Q$434,Countries!$A$5:$A$434,"All landing pages",Countries!$D$5:$D$434,$A248,Countries!$X$5:$X$434,"&gt;0"))</f>
        <v/>
      </c>
      <c r="P248" s="44">
        <f>IF(OR(N248="",O248=""),"",(O248-N248)*100)</f>
        <v/>
      </c>
      <c r="Q248" s="73" t="n"/>
    </row>
    <row r="249">
      <c r="A249" s="40" t="inlineStr">
        <is>
          <t>Finland</t>
        </is>
      </c>
      <c r="B249" s="43">
        <f>IF(SUMIFS(Countries!$P$5:$P$434,Countries!$A$5:$A$434,"All landing pages",Countries!$B$5:$B$434,"Paid Search",Countries!$D$5:$D$434,$A249,Countries!$W$5:$W$434,"&gt;0")=0,"",SUMIFS(Countries!$W$5:$W$434,Countries!$A$5:$A$434,"All landing pages",Countries!$B$5:$B$434,"Paid Search",Countries!$D$5:$D$434,$A249,Countries!$P$5:$P$434,"&gt;0")/SUMIFS(Countries!$P$5:$P$434,Countries!$A$5:$A$434,"All landing pages",Countries!$B$5:$B$434,"Paid Search",Countries!$D$5:$D$434,$A249,Countries!$W$5:$W$434,"&gt;0"))</f>
        <v/>
      </c>
      <c r="C249" s="43">
        <f>IF(SUMIFS(Countries!$Q$5:$Q$434,Countries!$A$5:$A$434,"All landing pages",Countries!$B$5:$B$434,"Paid Search",Countries!$D$5:$D$434,$A249,Countries!$X$5:$X$434,"&gt;0")=0,"",SUMIFS(Countries!$X$5:$X$434,Countries!$A$5:$A$434,"All landing pages",Countries!$B$5:$B$434,"Paid Search",Countries!$D$5:$D$434,$A249,Countries!$Q$5:$Q$434,"&gt;0")/SUMIFS(Countries!$Q$5:$Q$434,Countries!$A$5:$A$434,"All landing pages",Countries!$B$5:$B$434,"Paid Search",Countries!$D$5:$D$434,$A249,Countries!$X$5:$X$434,"&gt;0"))</f>
        <v/>
      </c>
      <c r="D249" s="44">
        <f>IF(OR(B249="",C249=""),"",(C249-B249)*100)</f>
        <v/>
      </c>
      <c r="E249" s="73" t="n"/>
      <c r="F249" s="43">
        <f>IF(SUMIFS(Countries!$P$5:$P$434,Countries!$A$5:$A$434,"All landing pages",Countries!$B$5:$B$434,"Organic",Countries!$D$5:$D$434,$A249,Countries!$W$5:$W$434,"&gt;0")=0,"",SUMIFS(Countries!$W$5:$W$434,Countries!$A$5:$A$434,"All landing pages",Countries!$B$5:$B$434,"Organic",Countries!$D$5:$D$434,$A249,Countries!$P$5:$P$434,"&gt;0")/SUMIFS(Countries!$P$5:$P$434,Countries!$A$5:$A$434,"All landing pages",Countries!$B$5:$B$434,"Organic",Countries!$D$5:$D$434,$A249,Countries!$W$5:$W$434,"&gt;0"))</f>
        <v/>
      </c>
      <c r="G249" s="43">
        <f>IF(SUMIFS(Countries!$Q$5:$Q$434,Countries!$A$5:$A$434,"All landing pages",Countries!$B$5:$B$434,"Organic",Countries!$D$5:$D$434,$A249,Countries!$X$5:$X$434,"&gt;0")=0,"",SUMIFS(Countries!$X$5:$X$434,Countries!$A$5:$A$434,"All landing pages",Countries!$B$5:$B$434,"Organic",Countries!$D$5:$D$434,$A249,Countries!$Q$5:$Q$434,"&gt;0")/SUMIFS(Countries!$Q$5:$Q$434,Countries!$A$5:$A$434,"All landing pages",Countries!$B$5:$B$434,"Organic",Countries!$D$5:$D$434,$A249,Countries!$X$5:$X$434,"&gt;0"))</f>
        <v/>
      </c>
      <c r="H249" s="44">
        <f>IF(OR(F249="",G249=""),"",(G249-F249)*100)</f>
        <v/>
      </c>
      <c r="I249" s="73" t="n"/>
      <c r="J249" s="43">
        <f>IF(SUMIFS(Countries!$P$5:$P$434,Countries!$A$5:$A$434,"All landing pages",Countries!$B$5:$B$434,"Direct",Countries!$D$5:$D$434,$A249,Countries!$W$5:$W$434,"&gt;0")=0,"",SUMIFS(Countries!$W$5:$W$434,Countries!$A$5:$A$434,"All landing pages",Countries!$B$5:$B$434,"Direct",Countries!$D$5:$D$434,$A249,Countries!$P$5:$P$434,"&gt;0")/SUMIFS(Countries!$P$5:$P$434,Countries!$A$5:$A$434,"All landing pages",Countries!$B$5:$B$434,"Direct",Countries!$D$5:$D$434,$A249,Countries!$W$5:$W$434,"&gt;0"))</f>
        <v/>
      </c>
      <c r="K249" s="43">
        <f>IF(SUMIFS(Countries!$Q$5:$Q$434,Countries!$A$5:$A$434,"All landing pages",Countries!$B$5:$B$434,"Direct",Countries!$D$5:$D$434,$A249,Countries!$X$5:$X$434,"&gt;0")=0,"",SUMIFS(Countries!$X$5:$X$434,Countries!$A$5:$A$434,"All landing pages",Countries!$B$5:$B$434,"Direct",Countries!$D$5:$D$434,$A249,Countries!$Q$5:$Q$434,"&gt;0")/SUMIFS(Countries!$Q$5:$Q$434,Countries!$A$5:$A$434,"All landing pages",Countries!$B$5:$B$434,"Direct",Countries!$D$5:$D$434,$A249,Countries!$X$5:$X$434,"&gt;0"))</f>
        <v/>
      </c>
      <c r="L249" s="44">
        <f>IF(OR(J249="",K249=""),"",(K249-J249)*100)</f>
        <v/>
      </c>
      <c r="M249" s="73" t="n"/>
      <c r="N249" s="43">
        <f>IF(SUMIFS(Countries!$P$5:$P$434,Countries!$A$5:$A$434,"All landing pages",Countries!$D$5:$D$434,$A249,Countries!$W$5:$W$434,"&gt;0")=0,"",SUMIFS(Countries!$W$5:$W$434,Countries!$A$5:$A$434,"All landing pages",Countries!$D$5:$D$434,$A249,Countries!$P$5:$P$434,"&gt;0")/SUMIFS(Countries!$P$5:$P$434,Countries!$A$5:$A$434,"All landing pages",Countries!$D$5:$D$434,$A249,Countries!$W$5:$W$434,"&gt;0"))</f>
        <v/>
      </c>
      <c r="O249" s="43">
        <f>IF(SUMIFS(Countries!$Q$5:$Q$434,Countries!$A$5:$A$434,"All landing pages",Countries!$D$5:$D$434,$A249,Countries!$X$5:$X$434,"&gt;0")=0,"",SUMIFS(Countries!$X$5:$X$434,Countries!$A$5:$A$434,"All landing pages",Countries!$D$5:$D$434,$A249,Countries!$Q$5:$Q$434,"&gt;0")/SUMIFS(Countries!$Q$5:$Q$434,Countries!$A$5:$A$434,"All landing pages",Countries!$D$5:$D$434,$A249,Countries!$X$5:$X$434,"&gt;0"))</f>
        <v/>
      </c>
      <c r="P249" s="44">
        <f>IF(OR(N249="",O249=""),"",(O249-N249)*100)</f>
        <v/>
      </c>
      <c r="Q249" s="73" t="n"/>
    </row>
    <row r="250">
      <c r="A250" s="56" t="inlineStr">
        <is>
          <t>Portugal</t>
        </is>
      </c>
      <c r="B250" s="43">
        <f>IF(SUMIFS(Countries!$P$5:$P$434,Countries!$A$5:$A$434,"All landing pages",Countries!$B$5:$B$434,"Paid Search",Countries!$D$5:$D$434,$A250,Countries!$W$5:$W$434,"&gt;0")=0,"",SUMIFS(Countries!$W$5:$W$434,Countries!$A$5:$A$434,"All landing pages",Countries!$B$5:$B$434,"Paid Search",Countries!$D$5:$D$434,$A250,Countries!$P$5:$P$434,"&gt;0")/SUMIFS(Countries!$P$5:$P$434,Countries!$A$5:$A$434,"All landing pages",Countries!$B$5:$B$434,"Paid Search",Countries!$D$5:$D$434,$A250,Countries!$W$5:$W$434,"&gt;0"))</f>
        <v/>
      </c>
      <c r="C250" s="43">
        <f>IF(SUMIFS(Countries!$Q$5:$Q$434,Countries!$A$5:$A$434,"All landing pages",Countries!$B$5:$B$434,"Paid Search",Countries!$D$5:$D$434,$A250,Countries!$X$5:$X$434,"&gt;0")=0,"",SUMIFS(Countries!$X$5:$X$434,Countries!$A$5:$A$434,"All landing pages",Countries!$B$5:$B$434,"Paid Search",Countries!$D$5:$D$434,$A250,Countries!$Q$5:$Q$434,"&gt;0")/SUMIFS(Countries!$Q$5:$Q$434,Countries!$A$5:$A$434,"All landing pages",Countries!$B$5:$B$434,"Paid Search",Countries!$D$5:$D$434,$A250,Countries!$X$5:$X$434,"&gt;0"))</f>
        <v/>
      </c>
      <c r="D250" s="44">
        <f>IF(OR(B250="",C250=""),"",(C250-B250)*100)</f>
        <v/>
      </c>
      <c r="E250" s="73" t="n"/>
      <c r="F250" s="43">
        <f>IF(SUMIFS(Countries!$P$5:$P$434,Countries!$A$5:$A$434,"All landing pages",Countries!$B$5:$B$434,"Organic",Countries!$D$5:$D$434,$A250,Countries!$W$5:$W$434,"&gt;0")=0,"",SUMIFS(Countries!$W$5:$W$434,Countries!$A$5:$A$434,"All landing pages",Countries!$B$5:$B$434,"Organic",Countries!$D$5:$D$434,$A250,Countries!$P$5:$P$434,"&gt;0")/SUMIFS(Countries!$P$5:$P$434,Countries!$A$5:$A$434,"All landing pages",Countries!$B$5:$B$434,"Organic",Countries!$D$5:$D$434,$A250,Countries!$W$5:$W$434,"&gt;0"))</f>
        <v/>
      </c>
      <c r="G250" s="43">
        <f>IF(SUMIFS(Countries!$Q$5:$Q$434,Countries!$A$5:$A$434,"All landing pages",Countries!$B$5:$B$434,"Organic",Countries!$D$5:$D$434,$A250,Countries!$X$5:$X$434,"&gt;0")=0,"",SUMIFS(Countries!$X$5:$X$434,Countries!$A$5:$A$434,"All landing pages",Countries!$B$5:$B$434,"Organic",Countries!$D$5:$D$434,$A250,Countries!$Q$5:$Q$434,"&gt;0")/SUMIFS(Countries!$Q$5:$Q$434,Countries!$A$5:$A$434,"All landing pages",Countries!$B$5:$B$434,"Organic",Countries!$D$5:$D$434,$A250,Countries!$X$5:$X$434,"&gt;0"))</f>
        <v/>
      </c>
      <c r="H250" s="44">
        <f>IF(OR(F250="",G250=""),"",(G250-F250)*100)</f>
        <v/>
      </c>
      <c r="I250" s="73" t="n"/>
      <c r="J250" s="43">
        <f>IF(SUMIFS(Countries!$P$5:$P$434,Countries!$A$5:$A$434,"All landing pages",Countries!$B$5:$B$434,"Direct",Countries!$D$5:$D$434,$A250,Countries!$W$5:$W$434,"&gt;0")=0,"",SUMIFS(Countries!$W$5:$W$434,Countries!$A$5:$A$434,"All landing pages",Countries!$B$5:$B$434,"Direct",Countries!$D$5:$D$434,$A250,Countries!$P$5:$P$434,"&gt;0")/SUMIFS(Countries!$P$5:$P$434,Countries!$A$5:$A$434,"All landing pages",Countries!$B$5:$B$434,"Direct",Countries!$D$5:$D$434,$A250,Countries!$W$5:$W$434,"&gt;0"))</f>
        <v/>
      </c>
      <c r="K250" s="43">
        <f>IF(SUMIFS(Countries!$Q$5:$Q$434,Countries!$A$5:$A$434,"All landing pages",Countries!$B$5:$B$434,"Direct",Countries!$D$5:$D$434,$A250,Countries!$X$5:$X$434,"&gt;0")=0,"",SUMIFS(Countries!$X$5:$X$434,Countries!$A$5:$A$434,"All landing pages",Countries!$B$5:$B$434,"Direct",Countries!$D$5:$D$434,$A250,Countries!$Q$5:$Q$434,"&gt;0")/SUMIFS(Countries!$Q$5:$Q$434,Countries!$A$5:$A$434,"All landing pages",Countries!$B$5:$B$434,"Direct",Countries!$D$5:$D$434,$A250,Countries!$X$5:$X$434,"&gt;0"))</f>
        <v/>
      </c>
      <c r="L250" s="44">
        <f>IF(OR(J250="",K250=""),"",(K250-J250)*100)</f>
        <v/>
      </c>
      <c r="M250" s="73" t="n"/>
      <c r="N250" s="43">
        <f>IF(SUMIFS(Countries!$P$5:$P$434,Countries!$A$5:$A$434,"All landing pages",Countries!$D$5:$D$434,$A250,Countries!$W$5:$W$434,"&gt;0")=0,"",SUMIFS(Countries!$W$5:$W$434,Countries!$A$5:$A$434,"All landing pages",Countries!$D$5:$D$434,$A250,Countries!$P$5:$P$434,"&gt;0")/SUMIFS(Countries!$P$5:$P$434,Countries!$A$5:$A$434,"All landing pages",Countries!$D$5:$D$434,$A250,Countries!$W$5:$W$434,"&gt;0"))</f>
        <v/>
      </c>
      <c r="O250" s="43">
        <f>IF(SUMIFS(Countries!$Q$5:$Q$434,Countries!$A$5:$A$434,"All landing pages",Countries!$D$5:$D$434,$A250,Countries!$X$5:$X$434,"&gt;0")=0,"",SUMIFS(Countries!$X$5:$X$434,Countries!$A$5:$A$434,"All landing pages",Countries!$D$5:$D$434,$A250,Countries!$Q$5:$Q$434,"&gt;0")/SUMIFS(Countries!$Q$5:$Q$434,Countries!$A$5:$A$434,"All landing pages",Countries!$D$5:$D$434,$A250,Countries!$X$5:$X$434,"&gt;0"))</f>
        <v/>
      </c>
      <c r="P250" s="44">
        <f>IF(OR(N250="",O250=""),"",(O250-N250)*100)</f>
        <v/>
      </c>
      <c r="Q250" s="73" t="n"/>
    </row>
    <row r="251">
      <c r="A251" s="40" t="inlineStr">
        <is>
          <t>Türkiye</t>
        </is>
      </c>
      <c r="B251" s="43">
        <f>IF(SUMIFS(Countries!$P$5:$P$434,Countries!$A$5:$A$434,"All landing pages",Countries!$B$5:$B$434,"Paid Search",Countries!$D$5:$D$434,$A251,Countries!$W$5:$W$434,"&gt;0")=0,"",SUMIFS(Countries!$W$5:$W$434,Countries!$A$5:$A$434,"All landing pages",Countries!$B$5:$B$434,"Paid Search",Countries!$D$5:$D$434,$A251,Countries!$P$5:$P$434,"&gt;0")/SUMIFS(Countries!$P$5:$P$434,Countries!$A$5:$A$434,"All landing pages",Countries!$B$5:$B$434,"Paid Search",Countries!$D$5:$D$434,$A251,Countries!$W$5:$W$434,"&gt;0"))</f>
        <v/>
      </c>
      <c r="C251" s="43">
        <f>IF(SUMIFS(Countries!$Q$5:$Q$434,Countries!$A$5:$A$434,"All landing pages",Countries!$B$5:$B$434,"Paid Search",Countries!$D$5:$D$434,$A251,Countries!$X$5:$X$434,"&gt;0")=0,"",SUMIFS(Countries!$X$5:$X$434,Countries!$A$5:$A$434,"All landing pages",Countries!$B$5:$B$434,"Paid Search",Countries!$D$5:$D$434,$A251,Countries!$Q$5:$Q$434,"&gt;0")/SUMIFS(Countries!$Q$5:$Q$434,Countries!$A$5:$A$434,"All landing pages",Countries!$B$5:$B$434,"Paid Search",Countries!$D$5:$D$434,$A251,Countries!$X$5:$X$434,"&gt;0"))</f>
        <v/>
      </c>
      <c r="D251" s="44">
        <f>IF(OR(B251="",C251=""),"",(C251-B251)*100)</f>
        <v/>
      </c>
      <c r="E251" s="73" t="n"/>
      <c r="F251" s="43">
        <f>IF(SUMIFS(Countries!$P$5:$P$434,Countries!$A$5:$A$434,"All landing pages",Countries!$B$5:$B$434,"Organic",Countries!$D$5:$D$434,$A251,Countries!$W$5:$W$434,"&gt;0")=0,"",SUMIFS(Countries!$W$5:$W$434,Countries!$A$5:$A$434,"All landing pages",Countries!$B$5:$B$434,"Organic",Countries!$D$5:$D$434,$A251,Countries!$P$5:$P$434,"&gt;0")/SUMIFS(Countries!$P$5:$P$434,Countries!$A$5:$A$434,"All landing pages",Countries!$B$5:$B$434,"Organic",Countries!$D$5:$D$434,$A251,Countries!$W$5:$W$434,"&gt;0"))</f>
        <v/>
      </c>
      <c r="G251" s="43">
        <f>IF(SUMIFS(Countries!$Q$5:$Q$434,Countries!$A$5:$A$434,"All landing pages",Countries!$B$5:$B$434,"Organic",Countries!$D$5:$D$434,$A251,Countries!$X$5:$X$434,"&gt;0")=0,"",SUMIFS(Countries!$X$5:$X$434,Countries!$A$5:$A$434,"All landing pages",Countries!$B$5:$B$434,"Organic",Countries!$D$5:$D$434,$A251,Countries!$Q$5:$Q$434,"&gt;0")/SUMIFS(Countries!$Q$5:$Q$434,Countries!$A$5:$A$434,"All landing pages",Countries!$B$5:$B$434,"Organic",Countries!$D$5:$D$434,$A251,Countries!$X$5:$X$434,"&gt;0"))</f>
        <v/>
      </c>
      <c r="H251" s="44">
        <f>IF(OR(F251="",G251=""),"",(G251-F251)*100)</f>
        <v/>
      </c>
      <c r="I251" s="73" t="n"/>
      <c r="J251" s="43">
        <f>IF(SUMIFS(Countries!$P$5:$P$434,Countries!$A$5:$A$434,"All landing pages",Countries!$B$5:$B$434,"Direct",Countries!$D$5:$D$434,$A251,Countries!$W$5:$W$434,"&gt;0")=0,"",SUMIFS(Countries!$W$5:$W$434,Countries!$A$5:$A$434,"All landing pages",Countries!$B$5:$B$434,"Direct",Countries!$D$5:$D$434,$A251,Countries!$P$5:$P$434,"&gt;0")/SUMIFS(Countries!$P$5:$P$434,Countries!$A$5:$A$434,"All landing pages",Countries!$B$5:$B$434,"Direct",Countries!$D$5:$D$434,$A251,Countries!$W$5:$W$434,"&gt;0"))</f>
        <v/>
      </c>
      <c r="K251" s="43">
        <f>IF(SUMIFS(Countries!$Q$5:$Q$434,Countries!$A$5:$A$434,"All landing pages",Countries!$B$5:$B$434,"Direct",Countries!$D$5:$D$434,$A251,Countries!$X$5:$X$434,"&gt;0")=0,"",SUMIFS(Countries!$X$5:$X$434,Countries!$A$5:$A$434,"All landing pages",Countries!$B$5:$B$434,"Direct",Countries!$D$5:$D$434,$A251,Countries!$Q$5:$Q$434,"&gt;0")/SUMIFS(Countries!$Q$5:$Q$434,Countries!$A$5:$A$434,"All landing pages",Countries!$B$5:$B$434,"Direct",Countries!$D$5:$D$434,$A251,Countries!$X$5:$X$434,"&gt;0"))</f>
        <v/>
      </c>
      <c r="L251" s="44">
        <f>IF(OR(J251="",K251=""),"",(K251-J251)*100)</f>
        <v/>
      </c>
      <c r="M251" s="73" t="n"/>
      <c r="N251" s="43">
        <f>IF(SUMIFS(Countries!$P$5:$P$434,Countries!$A$5:$A$434,"All landing pages",Countries!$D$5:$D$434,$A251,Countries!$W$5:$W$434,"&gt;0")=0,"",SUMIFS(Countries!$W$5:$W$434,Countries!$A$5:$A$434,"All landing pages",Countries!$D$5:$D$434,$A251,Countries!$P$5:$P$434,"&gt;0")/SUMIFS(Countries!$P$5:$P$434,Countries!$A$5:$A$434,"All landing pages",Countries!$D$5:$D$434,$A251,Countries!$W$5:$W$434,"&gt;0"))</f>
        <v/>
      </c>
      <c r="O251" s="43">
        <f>IF(SUMIFS(Countries!$Q$5:$Q$434,Countries!$A$5:$A$434,"All landing pages",Countries!$D$5:$D$434,$A251,Countries!$X$5:$X$434,"&gt;0")=0,"",SUMIFS(Countries!$X$5:$X$434,Countries!$A$5:$A$434,"All landing pages",Countries!$D$5:$D$434,$A251,Countries!$Q$5:$Q$434,"&gt;0")/SUMIFS(Countries!$Q$5:$Q$434,Countries!$A$5:$A$434,"All landing pages",Countries!$D$5:$D$434,$A251,Countries!$X$5:$X$434,"&gt;0"))</f>
        <v/>
      </c>
      <c r="P251" s="44">
        <f>IF(OR(N251="",O251=""),"",(O251-N251)*100)</f>
        <v/>
      </c>
      <c r="Q251" s="73" t="n"/>
    </row>
    <row r="252">
      <c r="A252" s="56" t="inlineStr">
        <is>
          <t>Australia</t>
        </is>
      </c>
      <c r="B252" s="43">
        <f>IF(SUMIFS(Countries!$P$5:$P$434,Countries!$A$5:$A$434,"All landing pages",Countries!$B$5:$B$434,"Paid Search",Countries!$D$5:$D$434,$A252,Countries!$W$5:$W$434,"&gt;0")=0,"",SUMIFS(Countries!$W$5:$W$434,Countries!$A$5:$A$434,"All landing pages",Countries!$B$5:$B$434,"Paid Search",Countries!$D$5:$D$434,$A252,Countries!$P$5:$P$434,"&gt;0")/SUMIFS(Countries!$P$5:$P$434,Countries!$A$5:$A$434,"All landing pages",Countries!$B$5:$B$434,"Paid Search",Countries!$D$5:$D$434,$A252,Countries!$W$5:$W$434,"&gt;0"))</f>
        <v/>
      </c>
      <c r="C252" s="43">
        <f>IF(SUMIFS(Countries!$Q$5:$Q$434,Countries!$A$5:$A$434,"All landing pages",Countries!$B$5:$B$434,"Paid Search",Countries!$D$5:$D$434,$A252,Countries!$X$5:$X$434,"&gt;0")=0,"",SUMIFS(Countries!$X$5:$X$434,Countries!$A$5:$A$434,"All landing pages",Countries!$B$5:$B$434,"Paid Search",Countries!$D$5:$D$434,$A252,Countries!$Q$5:$Q$434,"&gt;0")/SUMIFS(Countries!$Q$5:$Q$434,Countries!$A$5:$A$434,"All landing pages",Countries!$B$5:$B$434,"Paid Search",Countries!$D$5:$D$434,$A252,Countries!$X$5:$X$434,"&gt;0"))</f>
        <v/>
      </c>
      <c r="D252" s="44">
        <f>IF(OR(B252="",C252=""),"",(C252-B252)*100)</f>
        <v/>
      </c>
      <c r="E252" s="73" t="n"/>
      <c r="F252" s="43">
        <f>IF(SUMIFS(Countries!$P$5:$P$434,Countries!$A$5:$A$434,"All landing pages",Countries!$B$5:$B$434,"Organic",Countries!$D$5:$D$434,$A252,Countries!$W$5:$W$434,"&gt;0")=0,"",SUMIFS(Countries!$W$5:$W$434,Countries!$A$5:$A$434,"All landing pages",Countries!$B$5:$B$434,"Organic",Countries!$D$5:$D$434,$A252,Countries!$P$5:$P$434,"&gt;0")/SUMIFS(Countries!$P$5:$P$434,Countries!$A$5:$A$434,"All landing pages",Countries!$B$5:$B$434,"Organic",Countries!$D$5:$D$434,$A252,Countries!$W$5:$W$434,"&gt;0"))</f>
        <v/>
      </c>
      <c r="G252" s="43">
        <f>IF(SUMIFS(Countries!$Q$5:$Q$434,Countries!$A$5:$A$434,"All landing pages",Countries!$B$5:$B$434,"Organic",Countries!$D$5:$D$434,$A252,Countries!$X$5:$X$434,"&gt;0")=0,"",SUMIFS(Countries!$X$5:$X$434,Countries!$A$5:$A$434,"All landing pages",Countries!$B$5:$B$434,"Organic",Countries!$D$5:$D$434,$A252,Countries!$Q$5:$Q$434,"&gt;0")/SUMIFS(Countries!$Q$5:$Q$434,Countries!$A$5:$A$434,"All landing pages",Countries!$B$5:$B$434,"Organic",Countries!$D$5:$D$434,$A252,Countries!$X$5:$X$434,"&gt;0"))</f>
        <v/>
      </c>
      <c r="H252" s="44">
        <f>IF(OR(F252="",G252=""),"",(G252-F252)*100)</f>
        <v/>
      </c>
      <c r="I252" s="73" t="n"/>
      <c r="J252" s="43">
        <f>IF(SUMIFS(Countries!$P$5:$P$434,Countries!$A$5:$A$434,"All landing pages",Countries!$B$5:$B$434,"Direct",Countries!$D$5:$D$434,$A252,Countries!$W$5:$W$434,"&gt;0")=0,"",SUMIFS(Countries!$W$5:$W$434,Countries!$A$5:$A$434,"All landing pages",Countries!$B$5:$B$434,"Direct",Countries!$D$5:$D$434,$A252,Countries!$P$5:$P$434,"&gt;0")/SUMIFS(Countries!$P$5:$P$434,Countries!$A$5:$A$434,"All landing pages",Countries!$B$5:$B$434,"Direct",Countries!$D$5:$D$434,$A252,Countries!$W$5:$W$434,"&gt;0"))</f>
        <v/>
      </c>
      <c r="K252" s="43">
        <f>IF(SUMIFS(Countries!$Q$5:$Q$434,Countries!$A$5:$A$434,"All landing pages",Countries!$B$5:$B$434,"Direct",Countries!$D$5:$D$434,$A252,Countries!$X$5:$X$434,"&gt;0")=0,"",SUMIFS(Countries!$X$5:$X$434,Countries!$A$5:$A$434,"All landing pages",Countries!$B$5:$B$434,"Direct",Countries!$D$5:$D$434,$A252,Countries!$Q$5:$Q$434,"&gt;0")/SUMIFS(Countries!$Q$5:$Q$434,Countries!$A$5:$A$434,"All landing pages",Countries!$B$5:$B$434,"Direct",Countries!$D$5:$D$434,$A252,Countries!$X$5:$X$434,"&gt;0"))</f>
        <v/>
      </c>
      <c r="L252" s="44">
        <f>IF(OR(J252="",K252=""),"",(K252-J252)*100)</f>
        <v/>
      </c>
      <c r="M252" s="73" t="n"/>
      <c r="N252" s="43">
        <f>IF(SUMIFS(Countries!$P$5:$P$434,Countries!$A$5:$A$434,"All landing pages",Countries!$D$5:$D$434,$A252,Countries!$W$5:$W$434,"&gt;0")=0,"",SUMIFS(Countries!$W$5:$W$434,Countries!$A$5:$A$434,"All landing pages",Countries!$D$5:$D$434,$A252,Countries!$P$5:$P$434,"&gt;0")/SUMIFS(Countries!$P$5:$P$434,Countries!$A$5:$A$434,"All landing pages",Countries!$D$5:$D$434,$A252,Countries!$W$5:$W$434,"&gt;0"))</f>
        <v/>
      </c>
      <c r="O252" s="43">
        <f>IF(SUMIFS(Countries!$Q$5:$Q$434,Countries!$A$5:$A$434,"All landing pages",Countries!$D$5:$D$434,$A252,Countries!$X$5:$X$434,"&gt;0")=0,"",SUMIFS(Countries!$X$5:$X$434,Countries!$A$5:$A$434,"All landing pages",Countries!$D$5:$D$434,$A252,Countries!$Q$5:$Q$434,"&gt;0")/SUMIFS(Countries!$Q$5:$Q$434,Countries!$A$5:$A$434,"All landing pages",Countries!$D$5:$D$434,$A252,Countries!$X$5:$X$434,"&gt;0"))</f>
        <v/>
      </c>
      <c r="P252" s="44">
        <f>IF(OR(N252="",O252=""),"",(O252-N252)*100)</f>
        <v/>
      </c>
      <c r="Q252" s="73" t="n"/>
    </row>
    <row r="253">
      <c r="A253" s="40" t="inlineStr">
        <is>
          <t>Romania</t>
        </is>
      </c>
      <c r="B253" s="43">
        <f>IF(SUMIFS(Countries!$P$5:$P$434,Countries!$A$5:$A$434,"All landing pages",Countries!$B$5:$B$434,"Paid Search",Countries!$D$5:$D$434,$A253,Countries!$W$5:$W$434,"&gt;0")=0,"",SUMIFS(Countries!$W$5:$W$434,Countries!$A$5:$A$434,"All landing pages",Countries!$B$5:$B$434,"Paid Search",Countries!$D$5:$D$434,$A253,Countries!$P$5:$P$434,"&gt;0")/SUMIFS(Countries!$P$5:$P$434,Countries!$A$5:$A$434,"All landing pages",Countries!$B$5:$B$434,"Paid Search",Countries!$D$5:$D$434,$A253,Countries!$W$5:$W$434,"&gt;0"))</f>
        <v/>
      </c>
      <c r="C253" s="43">
        <f>IF(SUMIFS(Countries!$Q$5:$Q$434,Countries!$A$5:$A$434,"All landing pages",Countries!$B$5:$B$434,"Paid Search",Countries!$D$5:$D$434,$A253,Countries!$X$5:$X$434,"&gt;0")=0,"",SUMIFS(Countries!$X$5:$X$434,Countries!$A$5:$A$434,"All landing pages",Countries!$B$5:$B$434,"Paid Search",Countries!$D$5:$D$434,$A253,Countries!$Q$5:$Q$434,"&gt;0")/SUMIFS(Countries!$Q$5:$Q$434,Countries!$A$5:$A$434,"All landing pages",Countries!$B$5:$B$434,"Paid Search",Countries!$D$5:$D$434,$A253,Countries!$X$5:$X$434,"&gt;0"))</f>
        <v/>
      </c>
      <c r="D253" s="44">
        <f>IF(OR(B253="",C253=""),"",(C253-B253)*100)</f>
        <v/>
      </c>
      <c r="E253" s="73" t="n"/>
      <c r="F253" s="43">
        <f>IF(SUMIFS(Countries!$P$5:$P$434,Countries!$A$5:$A$434,"All landing pages",Countries!$B$5:$B$434,"Organic",Countries!$D$5:$D$434,$A253,Countries!$W$5:$W$434,"&gt;0")=0,"",SUMIFS(Countries!$W$5:$W$434,Countries!$A$5:$A$434,"All landing pages",Countries!$B$5:$B$434,"Organic",Countries!$D$5:$D$434,$A253,Countries!$P$5:$P$434,"&gt;0")/SUMIFS(Countries!$P$5:$P$434,Countries!$A$5:$A$434,"All landing pages",Countries!$B$5:$B$434,"Organic",Countries!$D$5:$D$434,$A253,Countries!$W$5:$W$434,"&gt;0"))</f>
        <v/>
      </c>
      <c r="G253" s="43">
        <f>IF(SUMIFS(Countries!$Q$5:$Q$434,Countries!$A$5:$A$434,"All landing pages",Countries!$B$5:$B$434,"Organic",Countries!$D$5:$D$434,$A253,Countries!$X$5:$X$434,"&gt;0")=0,"",SUMIFS(Countries!$X$5:$X$434,Countries!$A$5:$A$434,"All landing pages",Countries!$B$5:$B$434,"Organic",Countries!$D$5:$D$434,$A253,Countries!$Q$5:$Q$434,"&gt;0")/SUMIFS(Countries!$Q$5:$Q$434,Countries!$A$5:$A$434,"All landing pages",Countries!$B$5:$B$434,"Organic",Countries!$D$5:$D$434,$A253,Countries!$X$5:$X$434,"&gt;0"))</f>
        <v/>
      </c>
      <c r="H253" s="44">
        <f>IF(OR(F253="",G253=""),"",(G253-F253)*100)</f>
        <v/>
      </c>
      <c r="I253" s="73" t="n"/>
      <c r="J253" s="43">
        <f>IF(SUMIFS(Countries!$P$5:$P$434,Countries!$A$5:$A$434,"All landing pages",Countries!$B$5:$B$434,"Direct",Countries!$D$5:$D$434,$A253,Countries!$W$5:$W$434,"&gt;0")=0,"",SUMIFS(Countries!$W$5:$W$434,Countries!$A$5:$A$434,"All landing pages",Countries!$B$5:$B$434,"Direct",Countries!$D$5:$D$434,$A253,Countries!$P$5:$P$434,"&gt;0")/SUMIFS(Countries!$P$5:$P$434,Countries!$A$5:$A$434,"All landing pages",Countries!$B$5:$B$434,"Direct",Countries!$D$5:$D$434,$A253,Countries!$W$5:$W$434,"&gt;0"))</f>
        <v/>
      </c>
      <c r="K253" s="43">
        <f>IF(SUMIFS(Countries!$Q$5:$Q$434,Countries!$A$5:$A$434,"All landing pages",Countries!$B$5:$B$434,"Direct",Countries!$D$5:$D$434,$A253,Countries!$X$5:$X$434,"&gt;0")=0,"",SUMIFS(Countries!$X$5:$X$434,Countries!$A$5:$A$434,"All landing pages",Countries!$B$5:$B$434,"Direct",Countries!$D$5:$D$434,$A253,Countries!$Q$5:$Q$434,"&gt;0")/SUMIFS(Countries!$Q$5:$Q$434,Countries!$A$5:$A$434,"All landing pages",Countries!$B$5:$B$434,"Direct",Countries!$D$5:$D$434,$A253,Countries!$X$5:$X$434,"&gt;0"))</f>
        <v/>
      </c>
      <c r="L253" s="44">
        <f>IF(OR(J253="",K253=""),"",(K253-J253)*100)</f>
        <v/>
      </c>
      <c r="M253" s="73" t="n"/>
      <c r="N253" s="43">
        <f>IF(SUMIFS(Countries!$P$5:$P$434,Countries!$A$5:$A$434,"All landing pages",Countries!$D$5:$D$434,$A253,Countries!$W$5:$W$434,"&gt;0")=0,"",SUMIFS(Countries!$W$5:$W$434,Countries!$A$5:$A$434,"All landing pages",Countries!$D$5:$D$434,$A253,Countries!$P$5:$P$434,"&gt;0")/SUMIFS(Countries!$P$5:$P$434,Countries!$A$5:$A$434,"All landing pages",Countries!$D$5:$D$434,$A253,Countries!$W$5:$W$434,"&gt;0"))</f>
        <v/>
      </c>
      <c r="O253" s="43">
        <f>IF(SUMIFS(Countries!$Q$5:$Q$434,Countries!$A$5:$A$434,"All landing pages",Countries!$D$5:$D$434,$A253,Countries!$X$5:$X$434,"&gt;0")=0,"",SUMIFS(Countries!$X$5:$X$434,Countries!$A$5:$A$434,"All landing pages",Countries!$D$5:$D$434,$A253,Countries!$Q$5:$Q$434,"&gt;0")/SUMIFS(Countries!$Q$5:$Q$434,Countries!$A$5:$A$434,"All landing pages",Countries!$D$5:$D$434,$A253,Countries!$X$5:$X$434,"&gt;0"))</f>
        <v/>
      </c>
      <c r="P253" s="44">
        <f>IF(OR(N253="",O253=""),"",(O253-N253)*100)</f>
        <v/>
      </c>
      <c r="Q253" s="73" t="n"/>
    </row>
    <row r="254">
      <c r="A254" s="56" t="inlineStr">
        <is>
          <t>Canada</t>
        </is>
      </c>
      <c r="B254" s="43">
        <f>IF(SUMIFS(Countries!$P$5:$P$434,Countries!$A$5:$A$434,"All landing pages",Countries!$B$5:$B$434,"Paid Search",Countries!$D$5:$D$434,$A254,Countries!$W$5:$W$434,"&gt;0")=0,"",SUMIFS(Countries!$W$5:$W$434,Countries!$A$5:$A$434,"All landing pages",Countries!$B$5:$B$434,"Paid Search",Countries!$D$5:$D$434,$A254,Countries!$P$5:$P$434,"&gt;0")/SUMIFS(Countries!$P$5:$P$434,Countries!$A$5:$A$434,"All landing pages",Countries!$B$5:$B$434,"Paid Search",Countries!$D$5:$D$434,$A254,Countries!$W$5:$W$434,"&gt;0"))</f>
        <v/>
      </c>
      <c r="C254" s="43">
        <f>IF(SUMIFS(Countries!$Q$5:$Q$434,Countries!$A$5:$A$434,"All landing pages",Countries!$B$5:$B$434,"Paid Search",Countries!$D$5:$D$434,$A254,Countries!$X$5:$X$434,"&gt;0")=0,"",SUMIFS(Countries!$X$5:$X$434,Countries!$A$5:$A$434,"All landing pages",Countries!$B$5:$B$434,"Paid Search",Countries!$D$5:$D$434,$A254,Countries!$Q$5:$Q$434,"&gt;0")/SUMIFS(Countries!$Q$5:$Q$434,Countries!$A$5:$A$434,"All landing pages",Countries!$B$5:$B$434,"Paid Search",Countries!$D$5:$D$434,$A254,Countries!$X$5:$X$434,"&gt;0"))</f>
        <v/>
      </c>
      <c r="D254" s="44">
        <f>IF(OR(B254="",C254=""),"",(C254-B254)*100)</f>
        <v/>
      </c>
      <c r="E254" s="73" t="n"/>
      <c r="F254" s="43">
        <f>IF(SUMIFS(Countries!$P$5:$P$434,Countries!$A$5:$A$434,"All landing pages",Countries!$B$5:$B$434,"Organic",Countries!$D$5:$D$434,$A254,Countries!$W$5:$W$434,"&gt;0")=0,"",SUMIFS(Countries!$W$5:$W$434,Countries!$A$5:$A$434,"All landing pages",Countries!$B$5:$B$434,"Organic",Countries!$D$5:$D$434,$A254,Countries!$P$5:$P$434,"&gt;0")/SUMIFS(Countries!$P$5:$P$434,Countries!$A$5:$A$434,"All landing pages",Countries!$B$5:$B$434,"Organic",Countries!$D$5:$D$434,$A254,Countries!$W$5:$W$434,"&gt;0"))</f>
        <v/>
      </c>
      <c r="G254" s="43">
        <f>IF(SUMIFS(Countries!$Q$5:$Q$434,Countries!$A$5:$A$434,"All landing pages",Countries!$B$5:$B$434,"Organic",Countries!$D$5:$D$434,$A254,Countries!$X$5:$X$434,"&gt;0")=0,"",SUMIFS(Countries!$X$5:$X$434,Countries!$A$5:$A$434,"All landing pages",Countries!$B$5:$B$434,"Organic",Countries!$D$5:$D$434,$A254,Countries!$Q$5:$Q$434,"&gt;0")/SUMIFS(Countries!$Q$5:$Q$434,Countries!$A$5:$A$434,"All landing pages",Countries!$B$5:$B$434,"Organic",Countries!$D$5:$D$434,$A254,Countries!$X$5:$X$434,"&gt;0"))</f>
        <v/>
      </c>
      <c r="H254" s="44">
        <f>IF(OR(F254="",G254=""),"",(G254-F254)*100)</f>
        <v/>
      </c>
      <c r="I254" s="73" t="n"/>
      <c r="J254" s="43">
        <f>IF(SUMIFS(Countries!$P$5:$P$434,Countries!$A$5:$A$434,"All landing pages",Countries!$B$5:$B$434,"Direct",Countries!$D$5:$D$434,$A254,Countries!$W$5:$W$434,"&gt;0")=0,"",SUMIFS(Countries!$W$5:$W$434,Countries!$A$5:$A$434,"All landing pages",Countries!$B$5:$B$434,"Direct",Countries!$D$5:$D$434,$A254,Countries!$P$5:$P$434,"&gt;0")/SUMIFS(Countries!$P$5:$P$434,Countries!$A$5:$A$434,"All landing pages",Countries!$B$5:$B$434,"Direct",Countries!$D$5:$D$434,$A254,Countries!$W$5:$W$434,"&gt;0"))</f>
        <v/>
      </c>
      <c r="K254" s="43">
        <f>IF(SUMIFS(Countries!$Q$5:$Q$434,Countries!$A$5:$A$434,"All landing pages",Countries!$B$5:$B$434,"Direct",Countries!$D$5:$D$434,$A254,Countries!$X$5:$X$434,"&gt;0")=0,"",SUMIFS(Countries!$X$5:$X$434,Countries!$A$5:$A$434,"All landing pages",Countries!$B$5:$B$434,"Direct",Countries!$D$5:$D$434,$A254,Countries!$Q$5:$Q$434,"&gt;0")/SUMIFS(Countries!$Q$5:$Q$434,Countries!$A$5:$A$434,"All landing pages",Countries!$B$5:$B$434,"Direct",Countries!$D$5:$D$434,$A254,Countries!$X$5:$X$434,"&gt;0"))</f>
        <v/>
      </c>
      <c r="L254" s="44">
        <f>IF(OR(J254="",K254=""),"",(K254-J254)*100)</f>
        <v/>
      </c>
      <c r="M254" s="73" t="n"/>
      <c r="N254" s="43">
        <f>IF(SUMIFS(Countries!$P$5:$P$434,Countries!$A$5:$A$434,"All landing pages",Countries!$D$5:$D$434,$A254,Countries!$W$5:$W$434,"&gt;0")=0,"",SUMIFS(Countries!$W$5:$W$434,Countries!$A$5:$A$434,"All landing pages",Countries!$D$5:$D$434,$A254,Countries!$P$5:$P$434,"&gt;0")/SUMIFS(Countries!$P$5:$P$434,Countries!$A$5:$A$434,"All landing pages",Countries!$D$5:$D$434,$A254,Countries!$W$5:$W$434,"&gt;0"))</f>
        <v/>
      </c>
      <c r="O254" s="43">
        <f>IF(SUMIFS(Countries!$Q$5:$Q$434,Countries!$A$5:$A$434,"All landing pages",Countries!$D$5:$D$434,$A254,Countries!$X$5:$X$434,"&gt;0")=0,"",SUMIFS(Countries!$X$5:$X$434,Countries!$A$5:$A$434,"All landing pages",Countries!$D$5:$D$434,$A254,Countries!$Q$5:$Q$434,"&gt;0")/SUMIFS(Countries!$Q$5:$Q$434,Countries!$A$5:$A$434,"All landing pages",Countries!$D$5:$D$434,$A254,Countries!$X$5:$X$434,"&gt;0"))</f>
        <v/>
      </c>
      <c r="P254" s="44">
        <f>IF(OR(N254="",O254=""),"",(O254-N254)*100)</f>
        <v/>
      </c>
      <c r="Q254" s="73" t="n"/>
    </row>
    <row r="255">
      <c r="A255" s="40" t="inlineStr">
        <is>
          <t>Greece</t>
        </is>
      </c>
      <c r="B255" s="43">
        <f>IF(SUMIFS(Countries!$P$5:$P$434,Countries!$A$5:$A$434,"All landing pages",Countries!$B$5:$B$434,"Paid Search",Countries!$D$5:$D$434,$A255,Countries!$W$5:$W$434,"&gt;0")=0,"",SUMIFS(Countries!$W$5:$W$434,Countries!$A$5:$A$434,"All landing pages",Countries!$B$5:$B$434,"Paid Search",Countries!$D$5:$D$434,$A255,Countries!$P$5:$P$434,"&gt;0")/SUMIFS(Countries!$P$5:$P$434,Countries!$A$5:$A$434,"All landing pages",Countries!$B$5:$B$434,"Paid Search",Countries!$D$5:$D$434,$A255,Countries!$W$5:$W$434,"&gt;0"))</f>
        <v/>
      </c>
      <c r="C255" s="43">
        <f>IF(SUMIFS(Countries!$Q$5:$Q$434,Countries!$A$5:$A$434,"All landing pages",Countries!$B$5:$B$434,"Paid Search",Countries!$D$5:$D$434,$A255,Countries!$X$5:$X$434,"&gt;0")=0,"",SUMIFS(Countries!$X$5:$X$434,Countries!$A$5:$A$434,"All landing pages",Countries!$B$5:$B$434,"Paid Search",Countries!$D$5:$D$434,$A255,Countries!$Q$5:$Q$434,"&gt;0")/SUMIFS(Countries!$Q$5:$Q$434,Countries!$A$5:$A$434,"All landing pages",Countries!$B$5:$B$434,"Paid Search",Countries!$D$5:$D$434,$A255,Countries!$X$5:$X$434,"&gt;0"))</f>
        <v/>
      </c>
      <c r="D255" s="44">
        <f>IF(OR(B255="",C255=""),"",(C255-B255)*100)</f>
        <v/>
      </c>
      <c r="E255" s="73" t="n"/>
      <c r="F255" s="43">
        <f>IF(SUMIFS(Countries!$P$5:$P$434,Countries!$A$5:$A$434,"All landing pages",Countries!$B$5:$B$434,"Organic",Countries!$D$5:$D$434,$A255,Countries!$W$5:$W$434,"&gt;0")=0,"",SUMIFS(Countries!$W$5:$W$434,Countries!$A$5:$A$434,"All landing pages",Countries!$B$5:$B$434,"Organic",Countries!$D$5:$D$434,$A255,Countries!$P$5:$P$434,"&gt;0")/SUMIFS(Countries!$P$5:$P$434,Countries!$A$5:$A$434,"All landing pages",Countries!$B$5:$B$434,"Organic",Countries!$D$5:$D$434,$A255,Countries!$W$5:$W$434,"&gt;0"))</f>
        <v/>
      </c>
      <c r="G255" s="43">
        <f>IF(SUMIFS(Countries!$Q$5:$Q$434,Countries!$A$5:$A$434,"All landing pages",Countries!$B$5:$B$434,"Organic",Countries!$D$5:$D$434,$A255,Countries!$X$5:$X$434,"&gt;0")=0,"",SUMIFS(Countries!$X$5:$X$434,Countries!$A$5:$A$434,"All landing pages",Countries!$B$5:$B$434,"Organic",Countries!$D$5:$D$434,$A255,Countries!$Q$5:$Q$434,"&gt;0")/SUMIFS(Countries!$Q$5:$Q$434,Countries!$A$5:$A$434,"All landing pages",Countries!$B$5:$B$434,"Organic",Countries!$D$5:$D$434,$A255,Countries!$X$5:$X$434,"&gt;0"))</f>
        <v/>
      </c>
      <c r="H255" s="44">
        <f>IF(OR(F255="",G255=""),"",(G255-F255)*100)</f>
        <v/>
      </c>
      <c r="I255" s="73" t="n"/>
      <c r="J255" s="43">
        <f>IF(SUMIFS(Countries!$P$5:$P$434,Countries!$A$5:$A$434,"All landing pages",Countries!$B$5:$B$434,"Direct",Countries!$D$5:$D$434,$A255,Countries!$W$5:$W$434,"&gt;0")=0,"",SUMIFS(Countries!$W$5:$W$434,Countries!$A$5:$A$434,"All landing pages",Countries!$B$5:$B$434,"Direct",Countries!$D$5:$D$434,$A255,Countries!$P$5:$P$434,"&gt;0")/SUMIFS(Countries!$P$5:$P$434,Countries!$A$5:$A$434,"All landing pages",Countries!$B$5:$B$434,"Direct",Countries!$D$5:$D$434,$A255,Countries!$W$5:$W$434,"&gt;0"))</f>
        <v/>
      </c>
      <c r="K255" s="43">
        <f>IF(SUMIFS(Countries!$Q$5:$Q$434,Countries!$A$5:$A$434,"All landing pages",Countries!$B$5:$B$434,"Direct",Countries!$D$5:$D$434,$A255,Countries!$X$5:$X$434,"&gt;0")=0,"",SUMIFS(Countries!$X$5:$X$434,Countries!$A$5:$A$434,"All landing pages",Countries!$B$5:$B$434,"Direct",Countries!$D$5:$D$434,$A255,Countries!$Q$5:$Q$434,"&gt;0")/SUMIFS(Countries!$Q$5:$Q$434,Countries!$A$5:$A$434,"All landing pages",Countries!$B$5:$B$434,"Direct",Countries!$D$5:$D$434,$A255,Countries!$X$5:$X$434,"&gt;0"))</f>
        <v/>
      </c>
      <c r="L255" s="44">
        <f>IF(OR(J255="",K255=""),"",(K255-J255)*100)</f>
        <v/>
      </c>
      <c r="M255" s="73" t="n"/>
      <c r="N255" s="43">
        <f>IF(SUMIFS(Countries!$P$5:$P$434,Countries!$A$5:$A$434,"All landing pages",Countries!$D$5:$D$434,$A255,Countries!$W$5:$W$434,"&gt;0")=0,"",SUMIFS(Countries!$W$5:$W$434,Countries!$A$5:$A$434,"All landing pages",Countries!$D$5:$D$434,$A255,Countries!$P$5:$P$434,"&gt;0")/SUMIFS(Countries!$P$5:$P$434,Countries!$A$5:$A$434,"All landing pages",Countries!$D$5:$D$434,$A255,Countries!$W$5:$W$434,"&gt;0"))</f>
        <v/>
      </c>
      <c r="O255" s="43">
        <f>IF(SUMIFS(Countries!$Q$5:$Q$434,Countries!$A$5:$A$434,"All landing pages",Countries!$D$5:$D$434,$A255,Countries!$X$5:$X$434,"&gt;0")=0,"",SUMIFS(Countries!$X$5:$X$434,Countries!$A$5:$A$434,"All landing pages",Countries!$D$5:$D$434,$A255,Countries!$Q$5:$Q$434,"&gt;0")/SUMIFS(Countries!$Q$5:$Q$434,Countries!$A$5:$A$434,"All landing pages",Countries!$D$5:$D$434,$A255,Countries!$X$5:$X$434,"&gt;0"))</f>
        <v/>
      </c>
      <c r="P255" s="44">
        <f>IF(OR(N255="",O255=""),"",(O255-N255)*100)</f>
        <v/>
      </c>
      <c r="Q255" s="73" t="n"/>
    </row>
    <row r="256">
      <c r="A256" s="56" t="inlineStr">
        <is>
          <t>Switzerland</t>
        </is>
      </c>
      <c r="B256" s="43">
        <f>IF(SUMIFS(Countries!$P$5:$P$434,Countries!$A$5:$A$434,"All landing pages",Countries!$B$5:$B$434,"Paid Search",Countries!$D$5:$D$434,$A256,Countries!$W$5:$W$434,"&gt;0")=0,"",SUMIFS(Countries!$W$5:$W$434,Countries!$A$5:$A$434,"All landing pages",Countries!$B$5:$B$434,"Paid Search",Countries!$D$5:$D$434,$A256,Countries!$P$5:$P$434,"&gt;0")/SUMIFS(Countries!$P$5:$P$434,Countries!$A$5:$A$434,"All landing pages",Countries!$B$5:$B$434,"Paid Search",Countries!$D$5:$D$434,$A256,Countries!$W$5:$W$434,"&gt;0"))</f>
        <v/>
      </c>
      <c r="C256" s="43">
        <f>IF(SUMIFS(Countries!$Q$5:$Q$434,Countries!$A$5:$A$434,"All landing pages",Countries!$B$5:$B$434,"Paid Search",Countries!$D$5:$D$434,$A256,Countries!$X$5:$X$434,"&gt;0")=0,"",SUMIFS(Countries!$X$5:$X$434,Countries!$A$5:$A$434,"All landing pages",Countries!$B$5:$B$434,"Paid Search",Countries!$D$5:$D$434,$A256,Countries!$Q$5:$Q$434,"&gt;0")/SUMIFS(Countries!$Q$5:$Q$434,Countries!$A$5:$A$434,"All landing pages",Countries!$B$5:$B$434,"Paid Search",Countries!$D$5:$D$434,$A256,Countries!$X$5:$X$434,"&gt;0"))</f>
        <v/>
      </c>
      <c r="D256" s="44">
        <f>IF(OR(B256="",C256=""),"",(C256-B256)*100)</f>
        <v/>
      </c>
      <c r="E256" s="73" t="n"/>
      <c r="F256" s="43">
        <f>IF(SUMIFS(Countries!$P$5:$P$434,Countries!$A$5:$A$434,"All landing pages",Countries!$B$5:$B$434,"Organic",Countries!$D$5:$D$434,$A256,Countries!$W$5:$W$434,"&gt;0")=0,"",SUMIFS(Countries!$W$5:$W$434,Countries!$A$5:$A$434,"All landing pages",Countries!$B$5:$B$434,"Organic",Countries!$D$5:$D$434,$A256,Countries!$P$5:$P$434,"&gt;0")/SUMIFS(Countries!$P$5:$P$434,Countries!$A$5:$A$434,"All landing pages",Countries!$B$5:$B$434,"Organic",Countries!$D$5:$D$434,$A256,Countries!$W$5:$W$434,"&gt;0"))</f>
        <v/>
      </c>
      <c r="G256" s="43">
        <f>IF(SUMIFS(Countries!$Q$5:$Q$434,Countries!$A$5:$A$434,"All landing pages",Countries!$B$5:$B$434,"Organic",Countries!$D$5:$D$434,$A256,Countries!$X$5:$X$434,"&gt;0")=0,"",SUMIFS(Countries!$X$5:$X$434,Countries!$A$5:$A$434,"All landing pages",Countries!$B$5:$B$434,"Organic",Countries!$D$5:$D$434,$A256,Countries!$Q$5:$Q$434,"&gt;0")/SUMIFS(Countries!$Q$5:$Q$434,Countries!$A$5:$A$434,"All landing pages",Countries!$B$5:$B$434,"Organic",Countries!$D$5:$D$434,$A256,Countries!$X$5:$X$434,"&gt;0"))</f>
        <v/>
      </c>
      <c r="H256" s="44">
        <f>IF(OR(F256="",G256=""),"",(G256-F256)*100)</f>
        <v/>
      </c>
      <c r="I256" s="73" t="n"/>
      <c r="J256" s="43">
        <f>IF(SUMIFS(Countries!$P$5:$P$434,Countries!$A$5:$A$434,"All landing pages",Countries!$B$5:$B$434,"Direct",Countries!$D$5:$D$434,$A256,Countries!$W$5:$W$434,"&gt;0")=0,"",SUMIFS(Countries!$W$5:$W$434,Countries!$A$5:$A$434,"All landing pages",Countries!$B$5:$B$434,"Direct",Countries!$D$5:$D$434,$A256,Countries!$P$5:$P$434,"&gt;0")/SUMIFS(Countries!$P$5:$P$434,Countries!$A$5:$A$434,"All landing pages",Countries!$B$5:$B$434,"Direct",Countries!$D$5:$D$434,$A256,Countries!$W$5:$W$434,"&gt;0"))</f>
        <v/>
      </c>
      <c r="K256" s="43">
        <f>IF(SUMIFS(Countries!$Q$5:$Q$434,Countries!$A$5:$A$434,"All landing pages",Countries!$B$5:$B$434,"Direct",Countries!$D$5:$D$434,$A256,Countries!$X$5:$X$434,"&gt;0")=0,"",SUMIFS(Countries!$X$5:$X$434,Countries!$A$5:$A$434,"All landing pages",Countries!$B$5:$B$434,"Direct",Countries!$D$5:$D$434,$A256,Countries!$Q$5:$Q$434,"&gt;0")/SUMIFS(Countries!$Q$5:$Q$434,Countries!$A$5:$A$434,"All landing pages",Countries!$B$5:$B$434,"Direct",Countries!$D$5:$D$434,$A256,Countries!$X$5:$X$434,"&gt;0"))</f>
        <v/>
      </c>
      <c r="L256" s="44">
        <f>IF(OR(J256="",K256=""),"",(K256-J256)*100)</f>
        <v/>
      </c>
      <c r="M256" s="73" t="n"/>
      <c r="N256" s="43">
        <f>IF(SUMIFS(Countries!$P$5:$P$434,Countries!$A$5:$A$434,"All landing pages",Countries!$D$5:$D$434,$A256,Countries!$W$5:$W$434,"&gt;0")=0,"",SUMIFS(Countries!$W$5:$W$434,Countries!$A$5:$A$434,"All landing pages",Countries!$D$5:$D$434,$A256,Countries!$P$5:$P$434,"&gt;0")/SUMIFS(Countries!$P$5:$P$434,Countries!$A$5:$A$434,"All landing pages",Countries!$D$5:$D$434,$A256,Countries!$W$5:$W$434,"&gt;0"))</f>
        <v/>
      </c>
      <c r="O256" s="43">
        <f>IF(SUMIFS(Countries!$Q$5:$Q$434,Countries!$A$5:$A$434,"All landing pages",Countries!$D$5:$D$434,$A256,Countries!$X$5:$X$434,"&gt;0")=0,"",SUMIFS(Countries!$X$5:$X$434,Countries!$A$5:$A$434,"All landing pages",Countries!$D$5:$D$434,$A256,Countries!$Q$5:$Q$434,"&gt;0")/SUMIFS(Countries!$Q$5:$Q$434,Countries!$A$5:$A$434,"All landing pages",Countries!$D$5:$D$434,$A256,Countries!$X$5:$X$434,"&gt;0"))</f>
        <v/>
      </c>
      <c r="P256" s="44">
        <f>IF(OR(N256="",O256=""),"",(O256-N256)*100)</f>
        <v/>
      </c>
      <c r="Q256" s="73" t="n"/>
    </row>
    <row r="257">
      <c r="A257" s="40" t="inlineStr">
        <is>
          <t>(not set)</t>
        </is>
      </c>
      <c r="B257" s="43">
        <f>IF(SUMIFS(Countries!$P$5:$P$434,Countries!$A$5:$A$434,"All landing pages",Countries!$B$5:$B$434,"Paid Search",Countries!$D$5:$D$434,$A257,Countries!$W$5:$W$434,"&gt;0")=0,"",SUMIFS(Countries!$W$5:$W$434,Countries!$A$5:$A$434,"All landing pages",Countries!$B$5:$B$434,"Paid Search",Countries!$D$5:$D$434,$A257,Countries!$P$5:$P$434,"&gt;0")/SUMIFS(Countries!$P$5:$P$434,Countries!$A$5:$A$434,"All landing pages",Countries!$B$5:$B$434,"Paid Search",Countries!$D$5:$D$434,$A257,Countries!$W$5:$W$434,"&gt;0"))</f>
        <v/>
      </c>
      <c r="C257" s="43">
        <f>IF(SUMIFS(Countries!$Q$5:$Q$434,Countries!$A$5:$A$434,"All landing pages",Countries!$B$5:$B$434,"Paid Search",Countries!$D$5:$D$434,$A257,Countries!$X$5:$X$434,"&gt;0")=0,"",SUMIFS(Countries!$X$5:$X$434,Countries!$A$5:$A$434,"All landing pages",Countries!$B$5:$B$434,"Paid Search",Countries!$D$5:$D$434,$A257,Countries!$Q$5:$Q$434,"&gt;0")/SUMIFS(Countries!$Q$5:$Q$434,Countries!$A$5:$A$434,"All landing pages",Countries!$B$5:$B$434,"Paid Search",Countries!$D$5:$D$434,$A257,Countries!$X$5:$X$434,"&gt;0"))</f>
        <v/>
      </c>
      <c r="D257" s="44">
        <f>IF(OR(B257="",C257=""),"",(C257-B257)*100)</f>
        <v/>
      </c>
      <c r="E257" s="73" t="n"/>
      <c r="F257" s="43">
        <f>IF(SUMIFS(Countries!$P$5:$P$434,Countries!$A$5:$A$434,"All landing pages",Countries!$B$5:$B$434,"Organic",Countries!$D$5:$D$434,$A257,Countries!$W$5:$W$434,"&gt;0")=0,"",SUMIFS(Countries!$W$5:$W$434,Countries!$A$5:$A$434,"All landing pages",Countries!$B$5:$B$434,"Organic",Countries!$D$5:$D$434,$A257,Countries!$P$5:$P$434,"&gt;0")/SUMIFS(Countries!$P$5:$P$434,Countries!$A$5:$A$434,"All landing pages",Countries!$B$5:$B$434,"Organic",Countries!$D$5:$D$434,$A257,Countries!$W$5:$W$434,"&gt;0"))</f>
        <v/>
      </c>
      <c r="G257" s="43">
        <f>IF(SUMIFS(Countries!$Q$5:$Q$434,Countries!$A$5:$A$434,"All landing pages",Countries!$B$5:$B$434,"Organic",Countries!$D$5:$D$434,$A257,Countries!$X$5:$X$434,"&gt;0")=0,"",SUMIFS(Countries!$X$5:$X$434,Countries!$A$5:$A$434,"All landing pages",Countries!$B$5:$B$434,"Organic",Countries!$D$5:$D$434,$A257,Countries!$Q$5:$Q$434,"&gt;0")/SUMIFS(Countries!$Q$5:$Q$434,Countries!$A$5:$A$434,"All landing pages",Countries!$B$5:$B$434,"Organic",Countries!$D$5:$D$434,$A257,Countries!$X$5:$X$434,"&gt;0"))</f>
        <v/>
      </c>
      <c r="H257" s="44">
        <f>IF(OR(F257="",G257=""),"",(G257-F257)*100)</f>
        <v/>
      </c>
      <c r="I257" s="73" t="n"/>
      <c r="J257" s="43">
        <f>IF(SUMIFS(Countries!$P$5:$P$434,Countries!$A$5:$A$434,"All landing pages",Countries!$B$5:$B$434,"Direct",Countries!$D$5:$D$434,$A257,Countries!$W$5:$W$434,"&gt;0")=0,"",SUMIFS(Countries!$W$5:$W$434,Countries!$A$5:$A$434,"All landing pages",Countries!$B$5:$B$434,"Direct",Countries!$D$5:$D$434,$A257,Countries!$P$5:$P$434,"&gt;0")/SUMIFS(Countries!$P$5:$P$434,Countries!$A$5:$A$434,"All landing pages",Countries!$B$5:$B$434,"Direct",Countries!$D$5:$D$434,$A257,Countries!$W$5:$W$434,"&gt;0"))</f>
        <v/>
      </c>
      <c r="K257" s="43">
        <f>IF(SUMIFS(Countries!$Q$5:$Q$434,Countries!$A$5:$A$434,"All landing pages",Countries!$B$5:$B$434,"Direct",Countries!$D$5:$D$434,$A257,Countries!$X$5:$X$434,"&gt;0")=0,"",SUMIFS(Countries!$X$5:$X$434,Countries!$A$5:$A$434,"All landing pages",Countries!$B$5:$B$434,"Direct",Countries!$D$5:$D$434,$A257,Countries!$Q$5:$Q$434,"&gt;0")/SUMIFS(Countries!$Q$5:$Q$434,Countries!$A$5:$A$434,"All landing pages",Countries!$B$5:$B$434,"Direct",Countries!$D$5:$D$434,$A257,Countries!$X$5:$X$434,"&gt;0"))</f>
        <v/>
      </c>
      <c r="L257" s="44">
        <f>IF(OR(J257="",K257=""),"",(K257-J257)*100)</f>
        <v/>
      </c>
      <c r="M257" s="73" t="n"/>
      <c r="N257" s="43">
        <f>IF(SUMIFS(Countries!$P$5:$P$434,Countries!$A$5:$A$434,"All landing pages",Countries!$D$5:$D$434,$A257,Countries!$W$5:$W$434,"&gt;0")=0,"",SUMIFS(Countries!$W$5:$W$434,Countries!$A$5:$A$434,"All landing pages",Countries!$D$5:$D$434,$A257,Countries!$P$5:$P$434,"&gt;0")/SUMIFS(Countries!$P$5:$P$434,Countries!$A$5:$A$434,"All landing pages",Countries!$D$5:$D$434,$A257,Countries!$W$5:$W$434,"&gt;0"))</f>
        <v/>
      </c>
      <c r="O257" s="43">
        <f>IF(SUMIFS(Countries!$Q$5:$Q$434,Countries!$A$5:$A$434,"All landing pages",Countries!$D$5:$D$434,$A257,Countries!$X$5:$X$434,"&gt;0")=0,"",SUMIFS(Countries!$X$5:$X$434,Countries!$A$5:$A$434,"All landing pages",Countries!$D$5:$D$434,$A257,Countries!$Q$5:$Q$434,"&gt;0")/SUMIFS(Countries!$Q$5:$Q$434,Countries!$A$5:$A$434,"All landing pages",Countries!$D$5:$D$434,$A257,Countries!$X$5:$X$434,"&gt;0"))</f>
        <v/>
      </c>
      <c r="P257" s="44">
        <f>IF(OR(N257="",O257=""),"",(O257-N257)*100)</f>
        <v/>
      </c>
      <c r="Q257" s="73" t="n"/>
    </row>
    <row r="258">
      <c r="A258" s="56" t="inlineStr">
        <is>
          <t>Algeria</t>
        </is>
      </c>
      <c r="B258" s="43">
        <f>IF(SUMIFS(Countries!$P$5:$P$434,Countries!$A$5:$A$434,"All landing pages",Countries!$B$5:$B$434,"Paid Search",Countries!$D$5:$D$434,$A258,Countries!$W$5:$W$434,"&gt;0")=0,"",SUMIFS(Countries!$W$5:$W$434,Countries!$A$5:$A$434,"All landing pages",Countries!$B$5:$B$434,"Paid Search",Countries!$D$5:$D$434,$A258,Countries!$P$5:$P$434,"&gt;0")/SUMIFS(Countries!$P$5:$P$434,Countries!$A$5:$A$434,"All landing pages",Countries!$B$5:$B$434,"Paid Search",Countries!$D$5:$D$434,$A258,Countries!$W$5:$W$434,"&gt;0"))</f>
        <v/>
      </c>
      <c r="C258" s="43">
        <f>IF(SUMIFS(Countries!$Q$5:$Q$434,Countries!$A$5:$A$434,"All landing pages",Countries!$B$5:$B$434,"Paid Search",Countries!$D$5:$D$434,$A258,Countries!$X$5:$X$434,"&gt;0")=0,"",SUMIFS(Countries!$X$5:$X$434,Countries!$A$5:$A$434,"All landing pages",Countries!$B$5:$B$434,"Paid Search",Countries!$D$5:$D$434,$A258,Countries!$Q$5:$Q$434,"&gt;0")/SUMIFS(Countries!$Q$5:$Q$434,Countries!$A$5:$A$434,"All landing pages",Countries!$B$5:$B$434,"Paid Search",Countries!$D$5:$D$434,$A258,Countries!$X$5:$X$434,"&gt;0"))</f>
        <v/>
      </c>
      <c r="D258" s="44">
        <f>IF(OR(B258="",C258=""),"",(C258-B258)*100)</f>
        <v/>
      </c>
      <c r="E258" s="73" t="n"/>
      <c r="F258" s="43">
        <f>IF(SUMIFS(Countries!$P$5:$P$434,Countries!$A$5:$A$434,"All landing pages",Countries!$B$5:$B$434,"Organic",Countries!$D$5:$D$434,$A258,Countries!$W$5:$W$434,"&gt;0")=0,"",SUMIFS(Countries!$W$5:$W$434,Countries!$A$5:$A$434,"All landing pages",Countries!$B$5:$B$434,"Organic",Countries!$D$5:$D$434,$A258,Countries!$P$5:$P$434,"&gt;0")/SUMIFS(Countries!$P$5:$P$434,Countries!$A$5:$A$434,"All landing pages",Countries!$B$5:$B$434,"Organic",Countries!$D$5:$D$434,$A258,Countries!$W$5:$W$434,"&gt;0"))</f>
        <v/>
      </c>
      <c r="G258" s="43">
        <f>IF(SUMIFS(Countries!$Q$5:$Q$434,Countries!$A$5:$A$434,"All landing pages",Countries!$B$5:$B$434,"Organic",Countries!$D$5:$D$434,$A258,Countries!$X$5:$X$434,"&gt;0")=0,"",SUMIFS(Countries!$X$5:$X$434,Countries!$A$5:$A$434,"All landing pages",Countries!$B$5:$B$434,"Organic",Countries!$D$5:$D$434,$A258,Countries!$Q$5:$Q$434,"&gt;0")/SUMIFS(Countries!$Q$5:$Q$434,Countries!$A$5:$A$434,"All landing pages",Countries!$B$5:$B$434,"Organic",Countries!$D$5:$D$434,$A258,Countries!$X$5:$X$434,"&gt;0"))</f>
        <v/>
      </c>
      <c r="H258" s="44">
        <f>IF(OR(F258="",G258=""),"",(G258-F258)*100)</f>
        <v/>
      </c>
      <c r="I258" s="73" t="n"/>
      <c r="J258" s="43">
        <f>IF(SUMIFS(Countries!$P$5:$P$434,Countries!$A$5:$A$434,"All landing pages",Countries!$B$5:$B$434,"Direct",Countries!$D$5:$D$434,$A258,Countries!$W$5:$W$434,"&gt;0")=0,"",SUMIFS(Countries!$W$5:$W$434,Countries!$A$5:$A$434,"All landing pages",Countries!$B$5:$B$434,"Direct",Countries!$D$5:$D$434,$A258,Countries!$P$5:$P$434,"&gt;0")/SUMIFS(Countries!$P$5:$P$434,Countries!$A$5:$A$434,"All landing pages",Countries!$B$5:$B$434,"Direct",Countries!$D$5:$D$434,$A258,Countries!$W$5:$W$434,"&gt;0"))</f>
        <v/>
      </c>
      <c r="K258" s="43">
        <f>IF(SUMIFS(Countries!$Q$5:$Q$434,Countries!$A$5:$A$434,"All landing pages",Countries!$B$5:$B$434,"Direct",Countries!$D$5:$D$434,$A258,Countries!$X$5:$X$434,"&gt;0")=0,"",SUMIFS(Countries!$X$5:$X$434,Countries!$A$5:$A$434,"All landing pages",Countries!$B$5:$B$434,"Direct",Countries!$D$5:$D$434,$A258,Countries!$Q$5:$Q$434,"&gt;0")/SUMIFS(Countries!$Q$5:$Q$434,Countries!$A$5:$A$434,"All landing pages",Countries!$B$5:$B$434,"Direct",Countries!$D$5:$D$434,$A258,Countries!$X$5:$X$434,"&gt;0"))</f>
        <v/>
      </c>
      <c r="L258" s="44">
        <f>IF(OR(J258="",K258=""),"",(K258-J258)*100)</f>
        <v/>
      </c>
      <c r="M258" s="73" t="n"/>
      <c r="N258" s="43">
        <f>IF(SUMIFS(Countries!$P$5:$P$434,Countries!$A$5:$A$434,"All landing pages",Countries!$D$5:$D$434,$A258,Countries!$W$5:$W$434,"&gt;0")=0,"",SUMIFS(Countries!$W$5:$W$434,Countries!$A$5:$A$434,"All landing pages",Countries!$D$5:$D$434,$A258,Countries!$P$5:$P$434,"&gt;0")/SUMIFS(Countries!$P$5:$P$434,Countries!$A$5:$A$434,"All landing pages",Countries!$D$5:$D$434,$A258,Countries!$W$5:$W$434,"&gt;0"))</f>
        <v/>
      </c>
      <c r="O258" s="43">
        <f>IF(SUMIFS(Countries!$Q$5:$Q$434,Countries!$A$5:$A$434,"All landing pages",Countries!$D$5:$D$434,$A258,Countries!$X$5:$X$434,"&gt;0")=0,"",SUMIFS(Countries!$X$5:$X$434,Countries!$A$5:$A$434,"All landing pages",Countries!$D$5:$D$434,$A258,Countries!$Q$5:$Q$434,"&gt;0")/SUMIFS(Countries!$Q$5:$Q$434,Countries!$A$5:$A$434,"All landing pages",Countries!$D$5:$D$434,$A258,Countries!$X$5:$X$434,"&gt;0"))</f>
        <v/>
      </c>
      <c r="P258" s="44">
        <f>IF(OR(N258="",O258=""),"",(O258-N258)*100)</f>
        <v/>
      </c>
      <c r="Q258" s="73" t="n"/>
    </row>
    <row r="259">
      <c r="A259" s="40" t="inlineStr">
        <is>
          <t>Argentina</t>
        </is>
      </c>
      <c r="B259" s="43">
        <f>IF(SUMIFS(Countries!$P$5:$P$434,Countries!$A$5:$A$434,"All landing pages",Countries!$B$5:$B$434,"Paid Search",Countries!$D$5:$D$434,$A259,Countries!$W$5:$W$434,"&gt;0")=0,"",SUMIFS(Countries!$W$5:$W$434,Countries!$A$5:$A$434,"All landing pages",Countries!$B$5:$B$434,"Paid Search",Countries!$D$5:$D$434,$A259,Countries!$P$5:$P$434,"&gt;0")/SUMIFS(Countries!$P$5:$P$434,Countries!$A$5:$A$434,"All landing pages",Countries!$B$5:$B$434,"Paid Search",Countries!$D$5:$D$434,$A259,Countries!$W$5:$W$434,"&gt;0"))</f>
        <v/>
      </c>
      <c r="C259" s="43">
        <f>IF(SUMIFS(Countries!$Q$5:$Q$434,Countries!$A$5:$A$434,"All landing pages",Countries!$B$5:$B$434,"Paid Search",Countries!$D$5:$D$434,$A259,Countries!$X$5:$X$434,"&gt;0")=0,"",SUMIFS(Countries!$X$5:$X$434,Countries!$A$5:$A$434,"All landing pages",Countries!$B$5:$B$434,"Paid Search",Countries!$D$5:$D$434,$A259,Countries!$Q$5:$Q$434,"&gt;0")/SUMIFS(Countries!$Q$5:$Q$434,Countries!$A$5:$A$434,"All landing pages",Countries!$B$5:$B$434,"Paid Search",Countries!$D$5:$D$434,$A259,Countries!$X$5:$X$434,"&gt;0"))</f>
        <v/>
      </c>
      <c r="D259" s="44">
        <f>IF(OR(B259="",C259=""),"",(C259-B259)*100)</f>
        <v/>
      </c>
      <c r="E259" s="73" t="n"/>
      <c r="F259" s="43">
        <f>IF(SUMIFS(Countries!$P$5:$P$434,Countries!$A$5:$A$434,"All landing pages",Countries!$B$5:$B$434,"Organic",Countries!$D$5:$D$434,$A259,Countries!$W$5:$W$434,"&gt;0")=0,"",SUMIFS(Countries!$W$5:$W$434,Countries!$A$5:$A$434,"All landing pages",Countries!$B$5:$B$434,"Organic",Countries!$D$5:$D$434,$A259,Countries!$P$5:$P$434,"&gt;0")/SUMIFS(Countries!$P$5:$P$434,Countries!$A$5:$A$434,"All landing pages",Countries!$B$5:$B$434,"Organic",Countries!$D$5:$D$434,$A259,Countries!$W$5:$W$434,"&gt;0"))</f>
        <v/>
      </c>
      <c r="G259" s="43">
        <f>IF(SUMIFS(Countries!$Q$5:$Q$434,Countries!$A$5:$A$434,"All landing pages",Countries!$B$5:$B$434,"Organic",Countries!$D$5:$D$434,$A259,Countries!$X$5:$X$434,"&gt;0")=0,"",SUMIFS(Countries!$X$5:$X$434,Countries!$A$5:$A$434,"All landing pages",Countries!$B$5:$B$434,"Organic",Countries!$D$5:$D$434,$A259,Countries!$Q$5:$Q$434,"&gt;0")/SUMIFS(Countries!$Q$5:$Q$434,Countries!$A$5:$A$434,"All landing pages",Countries!$B$5:$B$434,"Organic",Countries!$D$5:$D$434,$A259,Countries!$X$5:$X$434,"&gt;0"))</f>
        <v/>
      </c>
      <c r="H259" s="44">
        <f>IF(OR(F259="",G259=""),"",(G259-F259)*100)</f>
        <v/>
      </c>
      <c r="I259" s="73" t="n"/>
      <c r="J259" s="43">
        <f>IF(SUMIFS(Countries!$P$5:$P$434,Countries!$A$5:$A$434,"All landing pages",Countries!$B$5:$B$434,"Direct",Countries!$D$5:$D$434,$A259,Countries!$W$5:$W$434,"&gt;0")=0,"",SUMIFS(Countries!$W$5:$W$434,Countries!$A$5:$A$434,"All landing pages",Countries!$B$5:$B$434,"Direct",Countries!$D$5:$D$434,$A259,Countries!$P$5:$P$434,"&gt;0")/SUMIFS(Countries!$P$5:$P$434,Countries!$A$5:$A$434,"All landing pages",Countries!$B$5:$B$434,"Direct",Countries!$D$5:$D$434,$A259,Countries!$W$5:$W$434,"&gt;0"))</f>
        <v/>
      </c>
      <c r="K259" s="43">
        <f>IF(SUMIFS(Countries!$Q$5:$Q$434,Countries!$A$5:$A$434,"All landing pages",Countries!$B$5:$B$434,"Direct",Countries!$D$5:$D$434,$A259,Countries!$X$5:$X$434,"&gt;0")=0,"",SUMIFS(Countries!$X$5:$X$434,Countries!$A$5:$A$434,"All landing pages",Countries!$B$5:$B$434,"Direct",Countries!$D$5:$D$434,$A259,Countries!$Q$5:$Q$434,"&gt;0")/SUMIFS(Countries!$Q$5:$Q$434,Countries!$A$5:$A$434,"All landing pages",Countries!$B$5:$B$434,"Direct",Countries!$D$5:$D$434,$A259,Countries!$X$5:$X$434,"&gt;0"))</f>
        <v/>
      </c>
      <c r="L259" s="44">
        <f>IF(OR(J259="",K259=""),"",(K259-J259)*100)</f>
        <v/>
      </c>
      <c r="M259" s="73" t="n"/>
      <c r="N259" s="43">
        <f>IF(SUMIFS(Countries!$P$5:$P$434,Countries!$A$5:$A$434,"All landing pages",Countries!$D$5:$D$434,$A259,Countries!$W$5:$W$434,"&gt;0")=0,"",SUMIFS(Countries!$W$5:$W$434,Countries!$A$5:$A$434,"All landing pages",Countries!$D$5:$D$434,$A259,Countries!$P$5:$P$434,"&gt;0")/SUMIFS(Countries!$P$5:$P$434,Countries!$A$5:$A$434,"All landing pages",Countries!$D$5:$D$434,$A259,Countries!$W$5:$W$434,"&gt;0"))</f>
        <v/>
      </c>
      <c r="O259" s="43">
        <f>IF(SUMIFS(Countries!$Q$5:$Q$434,Countries!$A$5:$A$434,"All landing pages",Countries!$D$5:$D$434,$A259,Countries!$X$5:$X$434,"&gt;0")=0,"",SUMIFS(Countries!$X$5:$X$434,Countries!$A$5:$A$434,"All landing pages",Countries!$D$5:$D$434,$A259,Countries!$Q$5:$Q$434,"&gt;0")/SUMIFS(Countries!$Q$5:$Q$434,Countries!$A$5:$A$434,"All landing pages",Countries!$D$5:$D$434,$A259,Countries!$X$5:$X$434,"&gt;0"))</f>
        <v/>
      </c>
      <c r="P259" s="44">
        <f>IF(OR(N259="",O259=""),"",(O259-N259)*100)</f>
        <v/>
      </c>
      <c r="Q259" s="73" t="n"/>
    </row>
    <row r="260">
      <c r="A260" s="56" t="inlineStr">
        <is>
          <t>Bangladesh</t>
        </is>
      </c>
      <c r="B260" s="43">
        <f>IF(SUMIFS(Countries!$P$5:$P$434,Countries!$A$5:$A$434,"All landing pages",Countries!$B$5:$B$434,"Paid Search",Countries!$D$5:$D$434,$A260,Countries!$W$5:$W$434,"&gt;0")=0,"",SUMIFS(Countries!$W$5:$W$434,Countries!$A$5:$A$434,"All landing pages",Countries!$B$5:$B$434,"Paid Search",Countries!$D$5:$D$434,$A260,Countries!$P$5:$P$434,"&gt;0")/SUMIFS(Countries!$P$5:$P$434,Countries!$A$5:$A$434,"All landing pages",Countries!$B$5:$B$434,"Paid Search",Countries!$D$5:$D$434,$A260,Countries!$W$5:$W$434,"&gt;0"))</f>
        <v/>
      </c>
      <c r="C260" s="43">
        <f>IF(SUMIFS(Countries!$Q$5:$Q$434,Countries!$A$5:$A$434,"All landing pages",Countries!$B$5:$B$434,"Paid Search",Countries!$D$5:$D$434,$A260,Countries!$X$5:$X$434,"&gt;0")=0,"",SUMIFS(Countries!$X$5:$X$434,Countries!$A$5:$A$434,"All landing pages",Countries!$B$5:$B$434,"Paid Search",Countries!$D$5:$D$434,$A260,Countries!$Q$5:$Q$434,"&gt;0")/SUMIFS(Countries!$Q$5:$Q$434,Countries!$A$5:$A$434,"All landing pages",Countries!$B$5:$B$434,"Paid Search",Countries!$D$5:$D$434,$A260,Countries!$X$5:$X$434,"&gt;0"))</f>
        <v/>
      </c>
      <c r="D260" s="44">
        <f>IF(OR(B260="",C260=""),"",(C260-B260)*100)</f>
        <v/>
      </c>
      <c r="E260" s="73" t="n"/>
      <c r="F260" s="43">
        <f>IF(SUMIFS(Countries!$P$5:$P$434,Countries!$A$5:$A$434,"All landing pages",Countries!$B$5:$B$434,"Organic",Countries!$D$5:$D$434,$A260,Countries!$W$5:$W$434,"&gt;0")=0,"",SUMIFS(Countries!$W$5:$W$434,Countries!$A$5:$A$434,"All landing pages",Countries!$B$5:$B$434,"Organic",Countries!$D$5:$D$434,$A260,Countries!$P$5:$P$434,"&gt;0")/SUMIFS(Countries!$P$5:$P$434,Countries!$A$5:$A$434,"All landing pages",Countries!$B$5:$B$434,"Organic",Countries!$D$5:$D$434,$A260,Countries!$W$5:$W$434,"&gt;0"))</f>
        <v/>
      </c>
      <c r="G260" s="43">
        <f>IF(SUMIFS(Countries!$Q$5:$Q$434,Countries!$A$5:$A$434,"All landing pages",Countries!$B$5:$B$434,"Organic",Countries!$D$5:$D$434,$A260,Countries!$X$5:$X$434,"&gt;0")=0,"",SUMIFS(Countries!$X$5:$X$434,Countries!$A$5:$A$434,"All landing pages",Countries!$B$5:$B$434,"Organic",Countries!$D$5:$D$434,$A260,Countries!$Q$5:$Q$434,"&gt;0")/SUMIFS(Countries!$Q$5:$Q$434,Countries!$A$5:$A$434,"All landing pages",Countries!$B$5:$B$434,"Organic",Countries!$D$5:$D$434,$A260,Countries!$X$5:$X$434,"&gt;0"))</f>
        <v/>
      </c>
      <c r="H260" s="44">
        <f>IF(OR(F260="",G260=""),"",(G260-F260)*100)</f>
        <v/>
      </c>
      <c r="I260" s="73" t="n"/>
      <c r="J260" s="43">
        <f>IF(SUMIFS(Countries!$P$5:$P$434,Countries!$A$5:$A$434,"All landing pages",Countries!$B$5:$B$434,"Direct",Countries!$D$5:$D$434,$A260,Countries!$W$5:$W$434,"&gt;0")=0,"",SUMIFS(Countries!$W$5:$W$434,Countries!$A$5:$A$434,"All landing pages",Countries!$B$5:$B$434,"Direct",Countries!$D$5:$D$434,$A260,Countries!$P$5:$P$434,"&gt;0")/SUMIFS(Countries!$P$5:$P$434,Countries!$A$5:$A$434,"All landing pages",Countries!$B$5:$B$434,"Direct",Countries!$D$5:$D$434,$A260,Countries!$W$5:$W$434,"&gt;0"))</f>
        <v/>
      </c>
      <c r="K260" s="43">
        <f>IF(SUMIFS(Countries!$Q$5:$Q$434,Countries!$A$5:$A$434,"All landing pages",Countries!$B$5:$B$434,"Direct",Countries!$D$5:$D$434,$A260,Countries!$X$5:$X$434,"&gt;0")=0,"",SUMIFS(Countries!$X$5:$X$434,Countries!$A$5:$A$434,"All landing pages",Countries!$B$5:$B$434,"Direct",Countries!$D$5:$D$434,$A260,Countries!$Q$5:$Q$434,"&gt;0")/SUMIFS(Countries!$Q$5:$Q$434,Countries!$A$5:$A$434,"All landing pages",Countries!$B$5:$B$434,"Direct",Countries!$D$5:$D$434,$A260,Countries!$X$5:$X$434,"&gt;0"))</f>
        <v/>
      </c>
      <c r="L260" s="44">
        <f>IF(OR(J260="",K260=""),"",(K260-J260)*100)</f>
        <v/>
      </c>
      <c r="M260" s="73" t="n"/>
      <c r="N260" s="43">
        <f>IF(SUMIFS(Countries!$P$5:$P$434,Countries!$A$5:$A$434,"All landing pages",Countries!$D$5:$D$434,$A260,Countries!$W$5:$W$434,"&gt;0")=0,"",SUMIFS(Countries!$W$5:$W$434,Countries!$A$5:$A$434,"All landing pages",Countries!$D$5:$D$434,$A260,Countries!$P$5:$P$434,"&gt;0")/SUMIFS(Countries!$P$5:$P$434,Countries!$A$5:$A$434,"All landing pages",Countries!$D$5:$D$434,$A260,Countries!$W$5:$W$434,"&gt;0"))</f>
        <v/>
      </c>
      <c r="O260" s="43">
        <f>IF(SUMIFS(Countries!$Q$5:$Q$434,Countries!$A$5:$A$434,"All landing pages",Countries!$D$5:$D$434,$A260,Countries!$X$5:$X$434,"&gt;0")=0,"",SUMIFS(Countries!$X$5:$X$434,Countries!$A$5:$A$434,"All landing pages",Countries!$D$5:$D$434,$A260,Countries!$Q$5:$Q$434,"&gt;0")/SUMIFS(Countries!$Q$5:$Q$434,Countries!$A$5:$A$434,"All landing pages",Countries!$D$5:$D$434,$A260,Countries!$X$5:$X$434,"&gt;0"))</f>
        <v/>
      </c>
      <c r="P260" s="44">
        <f>IF(OR(N260="",O260=""),"",(O260-N260)*100)</f>
        <v/>
      </c>
      <c r="Q260" s="73" t="n"/>
    </row>
    <row r="261">
      <c r="A261" s="40" t="inlineStr">
        <is>
          <t>Brazil</t>
        </is>
      </c>
      <c r="B261" s="43">
        <f>IF(SUMIFS(Countries!$P$5:$P$434,Countries!$A$5:$A$434,"All landing pages",Countries!$B$5:$B$434,"Paid Search",Countries!$D$5:$D$434,$A261,Countries!$W$5:$W$434,"&gt;0")=0,"",SUMIFS(Countries!$W$5:$W$434,Countries!$A$5:$A$434,"All landing pages",Countries!$B$5:$B$434,"Paid Search",Countries!$D$5:$D$434,$A261,Countries!$P$5:$P$434,"&gt;0")/SUMIFS(Countries!$P$5:$P$434,Countries!$A$5:$A$434,"All landing pages",Countries!$B$5:$B$434,"Paid Search",Countries!$D$5:$D$434,$A261,Countries!$W$5:$W$434,"&gt;0"))</f>
        <v/>
      </c>
      <c r="C261" s="43">
        <f>IF(SUMIFS(Countries!$Q$5:$Q$434,Countries!$A$5:$A$434,"All landing pages",Countries!$B$5:$B$434,"Paid Search",Countries!$D$5:$D$434,$A261,Countries!$X$5:$X$434,"&gt;0")=0,"",SUMIFS(Countries!$X$5:$X$434,Countries!$A$5:$A$434,"All landing pages",Countries!$B$5:$B$434,"Paid Search",Countries!$D$5:$D$434,$A261,Countries!$Q$5:$Q$434,"&gt;0")/SUMIFS(Countries!$Q$5:$Q$434,Countries!$A$5:$A$434,"All landing pages",Countries!$B$5:$B$434,"Paid Search",Countries!$D$5:$D$434,$A261,Countries!$X$5:$X$434,"&gt;0"))</f>
        <v/>
      </c>
      <c r="D261" s="44">
        <f>IF(OR(B261="",C261=""),"",(C261-B261)*100)</f>
        <v/>
      </c>
      <c r="E261" s="73" t="n"/>
      <c r="F261" s="43">
        <f>IF(SUMIFS(Countries!$P$5:$P$434,Countries!$A$5:$A$434,"All landing pages",Countries!$B$5:$B$434,"Organic",Countries!$D$5:$D$434,$A261,Countries!$W$5:$W$434,"&gt;0")=0,"",SUMIFS(Countries!$W$5:$W$434,Countries!$A$5:$A$434,"All landing pages",Countries!$B$5:$B$434,"Organic",Countries!$D$5:$D$434,$A261,Countries!$P$5:$P$434,"&gt;0")/SUMIFS(Countries!$P$5:$P$434,Countries!$A$5:$A$434,"All landing pages",Countries!$B$5:$B$434,"Organic",Countries!$D$5:$D$434,$A261,Countries!$W$5:$W$434,"&gt;0"))</f>
        <v/>
      </c>
      <c r="G261" s="43">
        <f>IF(SUMIFS(Countries!$Q$5:$Q$434,Countries!$A$5:$A$434,"All landing pages",Countries!$B$5:$B$434,"Organic",Countries!$D$5:$D$434,$A261,Countries!$X$5:$X$434,"&gt;0")=0,"",SUMIFS(Countries!$X$5:$X$434,Countries!$A$5:$A$434,"All landing pages",Countries!$B$5:$B$434,"Organic",Countries!$D$5:$D$434,$A261,Countries!$Q$5:$Q$434,"&gt;0")/SUMIFS(Countries!$Q$5:$Q$434,Countries!$A$5:$A$434,"All landing pages",Countries!$B$5:$B$434,"Organic",Countries!$D$5:$D$434,$A261,Countries!$X$5:$X$434,"&gt;0"))</f>
        <v/>
      </c>
      <c r="H261" s="44">
        <f>IF(OR(F261="",G261=""),"",(G261-F261)*100)</f>
        <v/>
      </c>
      <c r="I261" s="73" t="n"/>
      <c r="J261" s="43">
        <f>IF(SUMIFS(Countries!$P$5:$P$434,Countries!$A$5:$A$434,"All landing pages",Countries!$B$5:$B$434,"Direct",Countries!$D$5:$D$434,$A261,Countries!$W$5:$W$434,"&gt;0")=0,"",SUMIFS(Countries!$W$5:$W$434,Countries!$A$5:$A$434,"All landing pages",Countries!$B$5:$B$434,"Direct",Countries!$D$5:$D$434,$A261,Countries!$P$5:$P$434,"&gt;0")/SUMIFS(Countries!$P$5:$P$434,Countries!$A$5:$A$434,"All landing pages",Countries!$B$5:$B$434,"Direct",Countries!$D$5:$D$434,$A261,Countries!$W$5:$W$434,"&gt;0"))</f>
        <v/>
      </c>
      <c r="K261" s="43">
        <f>IF(SUMIFS(Countries!$Q$5:$Q$434,Countries!$A$5:$A$434,"All landing pages",Countries!$B$5:$B$434,"Direct",Countries!$D$5:$D$434,$A261,Countries!$X$5:$X$434,"&gt;0")=0,"",SUMIFS(Countries!$X$5:$X$434,Countries!$A$5:$A$434,"All landing pages",Countries!$B$5:$B$434,"Direct",Countries!$D$5:$D$434,$A261,Countries!$Q$5:$Q$434,"&gt;0")/SUMIFS(Countries!$Q$5:$Q$434,Countries!$A$5:$A$434,"All landing pages",Countries!$B$5:$B$434,"Direct",Countries!$D$5:$D$434,$A261,Countries!$X$5:$X$434,"&gt;0"))</f>
        <v/>
      </c>
      <c r="L261" s="44">
        <f>IF(OR(J261="",K261=""),"",(K261-J261)*100)</f>
        <v/>
      </c>
      <c r="M261" s="73" t="n"/>
      <c r="N261" s="43">
        <f>IF(SUMIFS(Countries!$P$5:$P$434,Countries!$A$5:$A$434,"All landing pages",Countries!$D$5:$D$434,$A261,Countries!$W$5:$W$434,"&gt;0")=0,"",SUMIFS(Countries!$W$5:$W$434,Countries!$A$5:$A$434,"All landing pages",Countries!$D$5:$D$434,$A261,Countries!$P$5:$P$434,"&gt;0")/SUMIFS(Countries!$P$5:$P$434,Countries!$A$5:$A$434,"All landing pages",Countries!$D$5:$D$434,$A261,Countries!$W$5:$W$434,"&gt;0"))</f>
        <v/>
      </c>
      <c r="O261" s="43">
        <f>IF(SUMIFS(Countries!$Q$5:$Q$434,Countries!$A$5:$A$434,"All landing pages",Countries!$D$5:$D$434,$A261,Countries!$X$5:$X$434,"&gt;0")=0,"",SUMIFS(Countries!$X$5:$X$434,Countries!$A$5:$A$434,"All landing pages",Countries!$D$5:$D$434,$A261,Countries!$Q$5:$Q$434,"&gt;0")/SUMIFS(Countries!$Q$5:$Q$434,Countries!$A$5:$A$434,"All landing pages",Countries!$D$5:$D$434,$A261,Countries!$X$5:$X$434,"&gt;0"))</f>
        <v/>
      </c>
      <c r="P261" s="44">
        <f>IF(OR(N261="",O261=""),"",(O261-N261)*100)</f>
        <v/>
      </c>
      <c r="Q261" s="73" t="n"/>
    </row>
    <row r="262">
      <c r="A262" s="56" t="inlineStr">
        <is>
          <t>China</t>
        </is>
      </c>
      <c r="B262" s="43">
        <f>IF(SUMIFS(Countries!$P$5:$P$434,Countries!$A$5:$A$434,"All landing pages",Countries!$B$5:$B$434,"Paid Search",Countries!$D$5:$D$434,$A262,Countries!$W$5:$W$434,"&gt;0")=0,"",SUMIFS(Countries!$W$5:$W$434,Countries!$A$5:$A$434,"All landing pages",Countries!$B$5:$B$434,"Paid Search",Countries!$D$5:$D$434,$A262,Countries!$P$5:$P$434,"&gt;0")/SUMIFS(Countries!$P$5:$P$434,Countries!$A$5:$A$434,"All landing pages",Countries!$B$5:$B$434,"Paid Search",Countries!$D$5:$D$434,$A262,Countries!$W$5:$W$434,"&gt;0"))</f>
        <v/>
      </c>
      <c r="C262" s="43">
        <f>IF(SUMIFS(Countries!$Q$5:$Q$434,Countries!$A$5:$A$434,"All landing pages",Countries!$B$5:$B$434,"Paid Search",Countries!$D$5:$D$434,$A262,Countries!$X$5:$X$434,"&gt;0")=0,"",SUMIFS(Countries!$X$5:$X$434,Countries!$A$5:$A$434,"All landing pages",Countries!$B$5:$B$434,"Paid Search",Countries!$D$5:$D$434,$A262,Countries!$Q$5:$Q$434,"&gt;0")/SUMIFS(Countries!$Q$5:$Q$434,Countries!$A$5:$A$434,"All landing pages",Countries!$B$5:$B$434,"Paid Search",Countries!$D$5:$D$434,$A262,Countries!$X$5:$X$434,"&gt;0"))</f>
        <v/>
      </c>
      <c r="D262" s="44">
        <f>IF(OR(B262="",C262=""),"",(C262-B262)*100)</f>
        <v/>
      </c>
      <c r="E262" s="73" t="n"/>
      <c r="F262" s="43">
        <f>IF(SUMIFS(Countries!$P$5:$P$434,Countries!$A$5:$A$434,"All landing pages",Countries!$B$5:$B$434,"Organic",Countries!$D$5:$D$434,$A262,Countries!$W$5:$W$434,"&gt;0")=0,"",SUMIFS(Countries!$W$5:$W$434,Countries!$A$5:$A$434,"All landing pages",Countries!$B$5:$B$434,"Organic",Countries!$D$5:$D$434,$A262,Countries!$P$5:$P$434,"&gt;0")/SUMIFS(Countries!$P$5:$P$434,Countries!$A$5:$A$434,"All landing pages",Countries!$B$5:$B$434,"Organic",Countries!$D$5:$D$434,$A262,Countries!$W$5:$W$434,"&gt;0"))</f>
        <v/>
      </c>
      <c r="G262" s="43">
        <f>IF(SUMIFS(Countries!$Q$5:$Q$434,Countries!$A$5:$A$434,"All landing pages",Countries!$B$5:$B$434,"Organic",Countries!$D$5:$D$434,$A262,Countries!$X$5:$X$434,"&gt;0")=0,"",SUMIFS(Countries!$X$5:$X$434,Countries!$A$5:$A$434,"All landing pages",Countries!$B$5:$B$434,"Organic",Countries!$D$5:$D$434,$A262,Countries!$Q$5:$Q$434,"&gt;0")/SUMIFS(Countries!$Q$5:$Q$434,Countries!$A$5:$A$434,"All landing pages",Countries!$B$5:$B$434,"Organic",Countries!$D$5:$D$434,$A262,Countries!$X$5:$X$434,"&gt;0"))</f>
        <v/>
      </c>
      <c r="H262" s="44">
        <f>IF(OR(F262="",G262=""),"",(G262-F262)*100)</f>
        <v/>
      </c>
      <c r="I262" s="73" t="n"/>
      <c r="J262" s="43">
        <f>IF(SUMIFS(Countries!$P$5:$P$434,Countries!$A$5:$A$434,"All landing pages",Countries!$B$5:$B$434,"Direct",Countries!$D$5:$D$434,$A262,Countries!$W$5:$W$434,"&gt;0")=0,"",SUMIFS(Countries!$W$5:$W$434,Countries!$A$5:$A$434,"All landing pages",Countries!$B$5:$B$434,"Direct",Countries!$D$5:$D$434,$A262,Countries!$P$5:$P$434,"&gt;0")/SUMIFS(Countries!$P$5:$P$434,Countries!$A$5:$A$434,"All landing pages",Countries!$B$5:$B$434,"Direct",Countries!$D$5:$D$434,$A262,Countries!$W$5:$W$434,"&gt;0"))</f>
        <v/>
      </c>
      <c r="K262" s="43">
        <f>IF(SUMIFS(Countries!$Q$5:$Q$434,Countries!$A$5:$A$434,"All landing pages",Countries!$B$5:$B$434,"Direct",Countries!$D$5:$D$434,$A262,Countries!$X$5:$X$434,"&gt;0")=0,"",SUMIFS(Countries!$X$5:$X$434,Countries!$A$5:$A$434,"All landing pages",Countries!$B$5:$B$434,"Direct",Countries!$D$5:$D$434,$A262,Countries!$Q$5:$Q$434,"&gt;0")/SUMIFS(Countries!$Q$5:$Q$434,Countries!$A$5:$A$434,"All landing pages",Countries!$B$5:$B$434,"Direct",Countries!$D$5:$D$434,$A262,Countries!$X$5:$X$434,"&gt;0"))</f>
        <v/>
      </c>
      <c r="L262" s="44">
        <f>IF(OR(J262="",K262=""),"",(K262-J262)*100)</f>
        <v/>
      </c>
      <c r="M262" s="73" t="n"/>
      <c r="N262" s="43">
        <f>IF(SUMIFS(Countries!$P$5:$P$434,Countries!$A$5:$A$434,"All landing pages",Countries!$D$5:$D$434,$A262,Countries!$W$5:$W$434,"&gt;0")=0,"",SUMIFS(Countries!$W$5:$W$434,Countries!$A$5:$A$434,"All landing pages",Countries!$D$5:$D$434,$A262,Countries!$P$5:$P$434,"&gt;0")/SUMIFS(Countries!$P$5:$P$434,Countries!$A$5:$A$434,"All landing pages",Countries!$D$5:$D$434,$A262,Countries!$W$5:$W$434,"&gt;0"))</f>
        <v/>
      </c>
      <c r="O262" s="43">
        <f>IF(SUMIFS(Countries!$Q$5:$Q$434,Countries!$A$5:$A$434,"All landing pages",Countries!$D$5:$D$434,$A262,Countries!$X$5:$X$434,"&gt;0")=0,"",SUMIFS(Countries!$X$5:$X$434,Countries!$A$5:$A$434,"All landing pages",Countries!$D$5:$D$434,$A262,Countries!$Q$5:$Q$434,"&gt;0")/SUMIFS(Countries!$Q$5:$Q$434,Countries!$A$5:$A$434,"All landing pages",Countries!$D$5:$D$434,$A262,Countries!$X$5:$X$434,"&gt;0"))</f>
        <v/>
      </c>
      <c r="P262" s="44">
        <f>IF(OR(N262="",O262=""),"",(O262-N262)*100)</f>
        <v/>
      </c>
      <c r="Q262" s="73" t="n"/>
    </row>
    <row r="263">
      <c r="A263" s="40" t="inlineStr">
        <is>
          <t>Croatia</t>
        </is>
      </c>
      <c r="B263" s="43">
        <f>IF(SUMIFS(Countries!$P$5:$P$434,Countries!$A$5:$A$434,"All landing pages",Countries!$B$5:$B$434,"Paid Search",Countries!$D$5:$D$434,$A263,Countries!$W$5:$W$434,"&gt;0")=0,"",SUMIFS(Countries!$W$5:$W$434,Countries!$A$5:$A$434,"All landing pages",Countries!$B$5:$B$434,"Paid Search",Countries!$D$5:$D$434,$A263,Countries!$P$5:$P$434,"&gt;0")/SUMIFS(Countries!$P$5:$P$434,Countries!$A$5:$A$434,"All landing pages",Countries!$B$5:$B$434,"Paid Search",Countries!$D$5:$D$434,$A263,Countries!$W$5:$W$434,"&gt;0"))</f>
        <v/>
      </c>
      <c r="C263" s="43">
        <f>IF(SUMIFS(Countries!$Q$5:$Q$434,Countries!$A$5:$A$434,"All landing pages",Countries!$B$5:$B$434,"Paid Search",Countries!$D$5:$D$434,$A263,Countries!$X$5:$X$434,"&gt;0")=0,"",SUMIFS(Countries!$X$5:$X$434,Countries!$A$5:$A$434,"All landing pages",Countries!$B$5:$B$434,"Paid Search",Countries!$D$5:$D$434,$A263,Countries!$Q$5:$Q$434,"&gt;0")/SUMIFS(Countries!$Q$5:$Q$434,Countries!$A$5:$A$434,"All landing pages",Countries!$B$5:$B$434,"Paid Search",Countries!$D$5:$D$434,$A263,Countries!$X$5:$X$434,"&gt;0"))</f>
        <v/>
      </c>
      <c r="D263" s="44">
        <f>IF(OR(B263="",C263=""),"",(C263-B263)*100)</f>
        <v/>
      </c>
      <c r="E263" s="73" t="n"/>
      <c r="F263" s="43">
        <f>IF(SUMIFS(Countries!$P$5:$P$434,Countries!$A$5:$A$434,"All landing pages",Countries!$B$5:$B$434,"Organic",Countries!$D$5:$D$434,$A263,Countries!$W$5:$W$434,"&gt;0")=0,"",SUMIFS(Countries!$W$5:$W$434,Countries!$A$5:$A$434,"All landing pages",Countries!$B$5:$B$434,"Organic",Countries!$D$5:$D$434,$A263,Countries!$P$5:$P$434,"&gt;0")/SUMIFS(Countries!$P$5:$P$434,Countries!$A$5:$A$434,"All landing pages",Countries!$B$5:$B$434,"Organic",Countries!$D$5:$D$434,$A263,Countries!$W$5:$W$434,"&gt;0"))</f>
        <v/>
      </c>
      <c r="G263" s="43">
        <f>IF(SUMIFS(Countries!$Q$5:$Q$434,Countries!$A$5:$A$434,"All landing pages",Countries!$B$5:$B$434,"Organic",Countries!$D$5:$D$434,$A263,Countries!$X$5:$X$434,"&gt;0")=0,"",SUMIFS(Countries!$X$5:$X$434,Countries!$A$5:$A$434,"All landing pages",Countries!$B$5:$B$434,"Organic",Countries!$D$5:$D$434,$A263,Countries!$Q$5:$Q$434,"&gt;0")/SUMIFS(Countries!$Q$5:$Q$434,Countries!$A$5:$A$434,"All landing pages",Countries!$B$5:$B$434,"Organic",Countries!$D$5:$D$434,$A263,Countries!$X$5:$X$434,"&gt;0"))</f>
        <v/>
      </c>
      <c r="H263" s="44">
        <f>IF(OR(F263="",G263=""),"",(G263-F263)*100)</f>
        <v/>
      </c>
      <c r="I263" s="73" t="n"/>
      <c r="J263" s="43">
        <f>IF(SUMIFS(Countries!$P$5:$P$434,Countries!$A$5:$A$434,"All landing pages",Countries!$B$5:$B$434,"Direct",Countries!$D$5:$D$434,$A263,Countries!$W$5:$W$434,"&gt;0")=0,"",SUMIFS(Countries!$W$5:$W$434,Countries!$A$5:$A$434,"All landing pages",Countries!$B$5:$B$434,"Direct",Countries!$D$5:$D$434,$A263,Countries!$P$5:$P$434,"&gt;0")/SUMIFS(Countries!$P$5:$P$434,Countries!$A$5:$A$434,"All landing pages",Countries!$B$5:$B$434,"Direct",Countries!$D$5:$D$434,$A263,Countries!$W$5:$W$434,"&gt;0"))</f>
        <v/>
      </c>
      <c r="K263" s="43">
        <f>IF(SUMIFS(Countries!$Q$5:$Q$434,Countries!$A$5:$A$434,"All landing pages",Countries!$B$5:$B$434,"Direct",Countries!$D$5:$D$434,$A263,Countries!$X$5:$X$434,"&gt;0")=0,"",SUMIFS(Countries!$X$5:$X$434,Countries!$A$5:$A$434,"All landing pages",Countries!$B$5:$B$434,"Direct",Countries!$D$5:$D$434,$A263,Countries!$Q$5:$Q$434,"&gt;0")/SUMIFS(Countries!$Q$5:$Q$434,Countries!$A$5:$A$434,"All landing pages",Countries!$B$5:$B$434,"Direct",Countries!$D$5:$D$434,$A263,Countries!$X$5:$X$434,"&gt;0"))</f>
        <v/>
      </c>
      <c r="L263" s="44">
        <f>IF(OR(J263="",K263=""),"",(K263-J263)*100)</f>
        <v/>
      </c>
      <c r="M263" s="73" t="n"/>
      <c r="N263" s="43">
        <f>IF(SUMIFS(Countries!$P$5:$P$434,Countries!$A$5:$A$434,"All landing pages",Countries!$D$5:$D$434,$A263,Countries!$W$5:$W$434,"&gt;0")=0,"",SUMIFS(Countries!$W$5:$W$434,Countries!$A$5:$A$434,"All landing pages",Countries!$D$5:$D$434,$A263,Countries!$P$5:$P$434,"&gt;0")/SUMIFS(Countries!$P$5:$P$434,Countries!$A$5:$A$434,"All landing pages",Countries!$D$5:$D$434,$A263,Countries!$W$5:$W$434,"&gt;0"))</f>
        <v/>
      </c>
      <c r="O263" s="43">
        <f>IF(SUMIFS(Countries!$Q$5:$Q$434,Countries!$A$5:$A$434,"All landing pages",Countries!$D$5:$D$434,$A263,Countries!$X$5:$X$434,"&gt;0")=0,"",SUMIFS(Countries!$X$5:$X$434,Countries!$A$5:$A$434,"All landing pages",Countries!$D$5:$D$434,$A263,Countries!$Q$5:$Q$434,"&gt;0")/SUMIFS(Countries!$Q$5:$Q$434,Countries!$A$5:$A$434,"All landing pages",Countries!$D$5:$D$434,$A263,Countries!$X$5:$X$434,"&gt;0"))</f>
        <v/>
      </c>
      <c r="P263" s="44">
        <f>IF(OR(N263="",O263=""),"",(O263-N263)*100)</f>
        <v/>
      </c>
      <c r="Q263" s="73" t="n"/>
    </row>
    <row r="264">
      <c r="A264" s="56" t="inlineStr">
        <is>
          <t>Honduras</t>
        </is>
      </c>
      <c r="B264" s="43">
        <f>IF(SUMIFS(Countries!$P$5:$P$434,Countries!$A$5:$A$434,"All landing pages",Countries!$B$5:$B$434,"Paid Search",Countries!$D$5:$D$434,$A264,Countries!$W$5:$W$434,"&gt;0")=0,"",SUMIFS(Countries!$W$5:$W$434,Countries!$A$5:$A$434,"All landing pages",Countries!$B$5:$B$434,"Paid Search",Countries!$D$5:$D$434,$A264,Countries!$P$5:$P$434,"&gt;0")/SUMIFS(Countries!$P$5:$P$434,Countries!$A$5:$A$434,"All landing pages",Countries!$B$5:$B$434,"Paid Search",Countries!$D$5:$D$434,$A264,Countries!$W$5:$W$434,"&gt;0"))</f>
        <v/>
      </c>
      <c r="C264" s="43">
        <f>IF(SUMIFS(Countries!$Q$5:$Q$434,Countries!$A$5:$A$434,"All landing pages",Countries!$B$5:$B$434,"Paid Search",Countries!$D$5:$D$434,$A264,Countries!$X$5:$X$434,"&gt;0")=0,"",SUMIFS(Countries!$X$5:$X$434,Countries!$A$5:$A$434,"All landing pages",Countries!$B$5:$B$434,"Paid Search",Countries!$D$5:$D$434,$A264,Countries!$Q$5:$Q$434,"&gt;0")/SUMIFS(Countries!$Q$5:$Q$434,Countries!$A$5:$A$434,"All landing pages",Countries!$B$5:$B$434,"Paid Search",Countries!$D$5:$D$434,$A264,Countries!$X$5:$X$434,"&gt;0"))</f>
        <v/>
      </c>
      <c r="D264" s="44">
        <f>IF(OR(B264="",C264=""),"",(C264-B264)*100)</f>
        <v/>
      </c>
      <c r="E264" s="73" t="n"/>
      <c r="F264" s="43">
        <f>IF(SUMIFS(Countries!$P$5:$P$434,Countries!$A$5:$A$434,"All landing pages",Countries!$B$5:$B$434,"Organic",Countries!$D$5:$D$434,$A264,Countries!$W$5:$W$434,"&gt;0")=0,"",SUMIFS(Countries!$W$5:$W$434,Countries!$A$5:$A$434,"All landing pages",Countries!$B$5:$B$434,"Organic",Countries!$D$5:$D$434,$A264,Countries!$P$5:$P$434,"&gt;0")/SUMIFS(Countries!$P$5:$P$434,Countries!$A$5:$A$434,"All landing pages",Countries!$B$5:$B$434,"Organic",Countries!$D$5:$D$434,$A264,Countries!$W$5:$W$434,"&gt;0"))</f>
        <v/>
      </c>
      <c r="G264" s="43">
        <f>IF(SUMIFS(Countries!$Q$5:$Q$434,Countries!$A$5:$A$434,"All landing pages",Countries!$B$5:$B$434,"Organic",Countries!$D$5:$D$434,$A264,Countries!$X$5:$X$434,"&gt;0")=0,"",SUMIFS(Countries!$X$5:$X$434,Countries!$A$5:$A$434,"All landing pages",Countries!$B$5:$B$434,"Organic",Countries!$D$5:$D$434,$A264,Countries!$Q$5:$Q$434,"&gt;0")/SUMIFS(Countries!$Q$5:$Q$434,Countries!$A$5:$A$434,"All landing pages",Countries!$B$5:$B$434,"Organic",Countries!$D$5:$D$434,$A264,Countries!$X$5:$X$434,"&gt;0"))</f>
        <v/>
      </c>
      <c r="H264" s="44">
        <f>IF(OR(F264="",G264=""),"",(G264-F264)*100)</f>
        <v/>
      </c>
      <c r="I264" s="73" t="n"/>
      <c r="J264" s="43">
        <f>IF(SUMIFS(Countries!$P$5:$P$434,Countries!$A$5:$A$434,"All landing pages",Countries!$B$5:$B$434,"Direct",Countries!$D$5:$D$434,$A264,Countries!$W$5:$W$434,"&gt;0")=0,"",SUMIFS(Countries!$W$5:$W$434,Countries!$A$5:$A$434,"All landing pages",Countries!$B$5:$B$434,"Direct",Countries!$D$5:$D$434,$A264,Countries!$P$5:$P$434,"&gt;0")/SUMIFS(Countries!$P$5:$P$434,Countries!$A$5:$A$434,"All landing pages",Countries!$B$5:$B$434,"Direct",Countries!$D$5:$D$434,$A264,Countries!$W$5:$W$434,"&gt;0"))</f>
        <v/>
      </c>
      <c r="K264" s="43">
        <f>IF(SUMIFS(Countries!$Q$5:$Q$434,Countries!$A$5:$A$434,"All landing pages",Countries!$B$5:$B$434,"Direct",Countries!$D$5:$D$434,$A264,Countries!$X$5:$X$434,"&gt;0")=0,"",SUMIFS(Countries!$X$5:$X$434,Countries!$A$5:$A$434,"All landing pages",Countries!$B$5:$B$434,"Direct",Countries!$D$5:$D$434,$A264,Countries!$Q$5:$Q$434,"&gt;0")/SUMIFS(Countries!$Q$5:$Q$434,Countries!$A$5:$A$434,"All landing pages",Countries!$B$5:$B$434,"Direct",Countries!$D$5:$D$434,$A264,Countries!$X$5:$X$434,"&gt;0"))</f>
        <v/>
      </c>
      <c r="L264" s="44">
        <f>IF(OR(J264="",K264=""),"",(K264-J264)*100)</f>
        <v/>
      </c>
      <c r="M264" s="73" t="n"/>
      <c r="N264" s="43">
        <f>IF(SUMIFS(Countries!$P$5:$P$434,Countries!$A$5:$A$434,"All landing pages",Countries!$D$5:$D$434,$A264,Countries!$W$5:$W$434,"&gt;0")=0,"",SUMIFS(Countries!$W$5:$W$434,Countries!$A$5:$A$434,"All landing pages",Countries!$D$5:$D$434,$A264,Countries!$P$5:$P$434,"&gt;0")/SUMIFS(Countries!$P$5:$P$434,Countries!$A$5:$A$434,"All landing pages",Countries!$D$5:$D$434,$A264,Countries!$W$5:$W$434,"&gt;0"))</f>
        <v/>
      </c>
      <c r="O264" s="43">
        <f>IF(SUMIFS(Countries!$Q$5:$Q$434,Countries!$A$5:$A$434,"All landing pages",Countries!$D$5:$D$434,$A264,Countries!$X$5:$X$434,"&gt;0")=0,"",SUMIFS(Countries!$X$5:$X$434,Countries!$A$5:$A$434,"All landing pages",Countries!$D$5:$D$434,$A264,Countries!$Q$5:$Q$434,"&gt;0")/SUMIFS(Countries!$Q$5:$Q$434,Countries!$A$5:$A$434,"All landing pages",Countries!$D$5:$D$434,$A264,Countries!$X$5:$X$434,"&gt;0"))</f>
        <v/>
      </c>
      <c r="P264" s="44">
        <f>IF(OR(N264="",O264=""),"",(O264-N264)*100)</f>
        <v/>
      </c>
      <c r="Q264" s="73" t="n"/>
    </row>
    <row r="265">
      <c r="A265" s="40" t="inlineStr">
        <is>
          <t>Israel</t>
        </is>
      </c>
      <c r="B265" s="43">
        <f>IF(SUMIFS(Countries!$P$5:$P$434,Countries!$A$5:$A$434,"All landing pages",Countries!$B$5:$B$434,"Paid Search",Countries!$D$5:$D$434,$A265,Countries!$W$5:$W$434,"&gt;0")=0,"",SUMIFS(Countries!$W$5:$W$434,Countries!$A$5:$A$434,"All landing pages",Countries!$B$5:$B$434,"Paid Search",Countries!$D$5:$D$434,$A265,Countries!$P$5:$P$434,"&gt;0")/SUMIFS(Countries!$P$5:$P$434,Countries!$A$5:$A$434,"All landing pages",Countries!$B$5:$B$434,"Paid Search",Countries!$D$5:$D$434,$A265,Countries!$W$5:$W$434,"&gt;0"))</f>
        <v/>
      </c>
      <c r="C265" s="43">
        <f>IF(SUMIFS(Countries!$Q$5:$Q$434,Countries!$A$5:$A$434,"All landing pages",Countries!$B$5:$B$434,"Paid Search",Countries!$D$5:$D$434,$A265,Countries!$X$5:$X$434,"&gt;0")=0,"",SUMIFS(Countries!$X$5:$X$434,Countries!$A$5:$A$434,"All landing pages",Countries!$B$5:$B$434,"Paid Search",Countries!$D$5:$D$434,$A265,Countries!$Q$5:$Q$434,"&gt;0")/SUMIFS(Countries!$Q$5:$Q$434,Countries!$A$5:$A$434,"All landing pages",Countries!$B$5:$B$434,"Paid Search",Countries!$D$5:$D$434,$A265,Countries!$X$5:$X$434,"&gt;0"))</f>
        <v/>
      </c>
      <c r="D265" s="44">
        <f>IF(OR(B265="",C265=""),"",(C265-B265)*100)</f>
        <v/>
      </c>
      <c r="E265" s="73" t="n"/>
      <c r="F265" s="43">
        <f>IF(SUMIFS(Countries!$P$5:$P$434,Countries!$A$5:$A$434,"All landing pages",Countries!$B$5:$B$434,"Organic",Countries!$D$5:$D$434,$A265,Countries!$W$5:$W$434,"&gt;0")=0,"",SUMIFS(Countries!$W$5:$W$434,Countries!$A$5:$A$434,"All landing pages",Countries!$B$5:$B$434,"Organic",Countries!$D$5:$D$434,$A265,Countries!$P$5:$P$434,"&gt;0")/SUMIFS(Countries!$P$5:$P$434,Countries!$A$5:$A$434,"All landing pages",Countries!$B$5:$B$434,"Organic",Countries!$D$5:$D$434,$A265,Countries!$W$5:$W$434,"&gt;0"))</f>
        <v/>
      </c>
      <c r="G265" s="43">
        <f>IF(SUMIFS(Countries!$Q$5:$Q$434,Countries!$A$5:$A$434,"All landing pages",Countries!$B$5:$B$434,"Organic",Countries!$D$5:$D$434,$A265,Countries!$X$5:$X$434,"&gt;0")=0,"",SUMIFS(Countries!$X$5:$X$434,Countries!$A$5:$A$434,"All landing pages",Countries!$B$5:$B$434,"Organic",Countries!$D$5:$D$434,$A265,Countries!$Q$5:$Q$434,"&gt;0")/SUMIFS(Countries!$Q$5:$Q$434,Countries!$A$5:$A$434,"All landing pages",Countries!$B$5:$B$434,"Organic",Countries!$D$5:$D$434,$A265,Countries!$X$5:$X$434,"&gt;0"))</f>
        <v/>
      </c>
      <c r="H265" s="44">
        <f>IF(OR(F265="",G265=""),"",(G265-F265)*100)</f>
        <v/>
      </c>
      <c r="I265" s="73" t="n"/>
      <c r="J265" s="43">
        <f>IF(SUMIFS(Countries!$P$5:$P$434,Countries!$A$5:$A$434,"All landing pages",Countries!$B$5:$B$434,"Direct",Countries!$D$5:$D$434,$A265,Countries!$W$5:$W$434,"&gt;0")=0,"",SUMIFS(Countries!$W$5:$W$434,Countries!$A$5:$A$434,"All landing pages",Countries!$B$5:$B$434,"Direct",Countries!$D$5:$D$434,$A265,Countries!$P$5:$P$434,"&gt;0")/SUMIFS(Countries!$P$5:$P$434,Countries!$A$5:$A$434,"All landing pages",Countries!$B$5:$B$434,"Direct",Countries!$D$5:$D$434,$A265,Countries!$W$5:$W$434,"&gt;0"))</f>
        <v/>
      </c>
      <c r="K265" s="43">
        <f>IF(SUMIFS(Countries!$Q$5:$Q$434,Countries!$A$5:$A$434,"All landing pages",Countries!$B$5:$B$434,"Direct",Countries!$D$5:$D$434,$A265,Countries!$X$5:$X$434,"&gt;0")=0,"",SUMIFS(Countries!$X$5:$X$434,Countries!$A$5:$A$434,"All landing pages",Countries!$B$5:$B$434,"Direct",Countries!$D$5:$D$434,$A265,Countries!$Q$5:$Q$434,"&gt;0")/SUMIFS(Countries!$Q$5:$Q$434,Countries!$A$5:$A$434,"All landing pages",Countries!$B$5:$B$434,"Direct",Countries!$D$5:$D$434,$A265,Countries!$X$5:$X$434,"&gt;0"))</f>
        <v/>
      </c>
      <c r="L265" s="44">
        <f>IF(OR(J265="",K265=""),"",(K265-J265)*100)</f>
        <v/>
      </c>
      <c r="M265" s="73" t="n"/>
      <c r="N265" s="43">
        <f>IF(SUMIFS(Countries!$P$5:$P$434,Countries!$A$5:$A$434,"All landing pages",Countries!$D$5:$D$434,$A265,Countries!$W$5:$W$434,"&gt;0")=0,"",SUMIFS(Countries!$W$5:$W$434,Countries!$A$5:$A$434,"All landing pages",Countries!$D$5:$D$434,$A265,Countries!$P$5:$P$434,"&gt;0")/SUMIFS(Countries!$P$5:$P$434,Countries!$A$5:$A$434,"All landing pages",Countries!$D$5:$D$434,$A265,Countries!$W$5:$W$434,"&gt;0"))</f>
        <v/>
      </c>
      <c r="O265" s="43">
        <f>IF(SUMIFS(Countries!$Q$5:$Q$434,Countries!$A$5:$A$434,"All landing pages",Countries!$D$5:$D$434,$A265,Countries!$X$5:$X$434,"&gt;0")=0,"",SUMIFS(Countries!$X$5:$X$434,Countries!$A$5:$A$434,"All landing pages",Countries!$D$5:$D$434,$A265,Countries!$Q$5:$Q$434,"&gt;0")/SUMIFS(Countries!$Q$5:$Q$434,Countries!$A$5:$A$434,"All landing pages",Countries!$D$5:$D$434,$A265,Countries!$X$5:$X$434,"&gt;0"))</f>
        <v/>
      </c>
      <c r="P265" s="44">
        <f>IF(OR(N265="",O265=""),"",(O265-N265)*100)</f>
        <v/>
      </c>
      <c r="Q265" s="73" t="n"/>
    </row>
    <row r="266">
      <c r="A266" s="56" t="inlineStr">
        <is>
          <t>Philippines</t>
        </is>
      </c>
      <c r="B266" s="43">
        <f>IF(SUMIFS(Countries!$P$5:$P$434,Countries!$A$5:$A$434,"All landing pages",Countries!$B$5:$B$434,"Paid Search",Countries!$D$5:$D$434,$A266,Countries!$W$5:$W$434,"&gt;0")=0,"",SUMIFS(Countries!$W$5:$W$434,Countries!$A$5:$A$434,"All landing pages",Countries!$B$5:$B$434,"Paid Search",Countries!$D$5:$D$434,$A266,Countries!$P$5:$P$434,"&gt;0")/SUMIFS(Countries!$P$5:$P$434,Countries!$A$5:$A$434,"All landing pages",Countries!$B$5:$B$434,"Paid Search",Countries!$D$5:$D$434,$A266,Countries!$W$5:$W$434,"&gt;0"))</f>
        <v/>
      </c>
      <c r="C266" s="43">
        <f>IF(SUMIFS(Countries!$Q$5:$Q$434,Countries!$A$5:$A$434,"All landing pages",Countries!$B$5:$B$434,"Paid Search",Countries!$D$5:$D$434,$A266,Countries!$X$5:$X$434,"&gt;0")=0,"",SUMIFS(Countries!$X$5:$X$434,Countries!$A$5:$A$434,"All landing pages",Countries!$B$5:$B$434,"Paid Search",Countries!$D$5:$D$434,$A266,Countries!$Q$5:$Q$434,"&gt;0")/SUMIFS(Countries!$Q$5:$Q$434,Countries!$A$5:$A$434,"All landing pages",Countries!$B$5:$B$434,"Paid Search",Countries!$D$5:$D$434,$A266,Countries!$X$5:$X$434,"&gt;0"))</f>
        <v/>
      </c>
      <c r="D266" s="44">
        <f>IF(OR(B266="",C266=""),"",(C266-B266)*100)</f>
        <v/>
      </c>
      <c r="E266" s="73" t="n"/>
      <c r="F266" s="43">
        <f>IF(SUMIFS(Countries!$P$5:$P$434,Countries!$A$5:$A$434,"All landing pages",Countries!$B$5:$B$434,"Organic",Countries!$D$5:$D$434,$A266,Countries!$W$5:$W$434,"&gt;0")=0,"",SUMIFS(Countries!$W$5:$W$434,Countries!$A$5:$A$434,"All landing pages",Countries!$B$5:$B$434,"Organic",Countries!$D$5:$D$434,$A266,Countries!$P$5:$P$434,"&gt;0")/SUMIFS(Countries!$P$5:$P$434,Countries!$A$5:$A$434,"All landing pages",Countries!$B$5:$B$434,"Organic",Countries!$D$5:$D$434,$A266,Countries!$W$5:$W$434,"&gt;0"))</f>
        <v/>
      </c>
      <c r="G266" s="43">
        <f>IF(SUMIFS(Countries!$Q$5:$Q$434,Countries!$A$5:$A$434,"All landing pages",Countries!$B$5:$B$434,"Organic",Countries!$D$5:$D$434,$A266,Countries!$X$5:$X$434,"&gt;0")=0,"",SUMIFS(Countries!$X$5:$X$434,Countries!$A$5:$A$434,"All landing pages",Countries!$B$5:$B$434,"Organic",Countries!$D$5:$D$434,$A266,Countries!$Q$5:$Q$434,"&gt;0")/SUMIFS(Countries!$Q$5:$Q$434,Countries!$A$5:$A$434,"All landing pages",Countries!$B$5:$B$434,"Organic",Countries!$D$5:$D$434,$A266,Countries!$X$5:$X$434,"&gt;0"))</f>
        <v/>
      </c>
      <c r="H266" s="44">
        <f>IF(OR(F266="",G266=""),"",(G266-F266)*100)</f>
        <v/>
      </c>
      <c r="I266" s="73" t="n"/>
      <c r="J266" s="43">
        <f>IF(SUMIFS(Countries!$P$5:$P$434,Countries!$A$5:$A$434,"All landing pages",Countries!$B$5:$B$434,"Direct",Countries!$D$5:$D$434,$A266,Countries!$W$5:$W$434,"&gt;0")=0,"",SUMIFS(Countries!$W$5:$W$434,Countries!$A$5:$A$434,"All landing pages",Countries!$B$5:$B$434,"Direct",Countries!$D$5:$D$434,$A266,Countries!$P$5:$P$434,"&gt;0")/SUMIFS(Countries!$P$5:$P$434,Countries!$A$5:$A$434,"All landing pages",Countries!$B$5:$B$434,"Direct",Countries!$D$5:$D$434,$A266,Countries!$W$5:$W$434,"&gt;0"))</f>
        <v/>
      </c>
      <c r="K266" s="43">
        <f>IF(SUMIFS(Countries!$Q$5:$Q$434,Countries!$A$5:$A$434,"All landing pages",Countries!$B$5:$B$434,"Direct",Countries!$D$5:$D$434,$A266,Countries!$X$5:$X$434,"&gt;0")=0,"",SUMIFS(Countries!$X$5:$X$434,Countries!$A$5:$A$434,"All landing pages",Countries!$B$5:$B$434,"Direct",Countries!$D$5:$D$434,$A266,Countries!$Q$5:$Q$434,"&gt;0")/SUMIFS(Countries!$Q$5:$Q$434,Countries!$A$5:$A$434,"All landing pages",Countries!$B$5:$B$434,"Direct",Countries!$D$5:$D$434,$A266,Countries!$X$5:$X$434,"&gt;0"))</f>
        <v/>
      </c>
      <c r="L266" s="44">
        <f>IF(OR(J266="",K266=""),"",(K266-J266)*100)</f>
        <v/>
      </c>
      <c r="M266" s="73" t="n"/>
      <c r="N266" s="43">
        <f>IF(SUMIFS(Countries!$P$5:$P$434,Countries!$A$5:$A$434,"All landing pages",Countries!$D$5:$D$434,$A266,Countries!$W$5:$W$434,"&gt;0")=0,"",SUMIFS(Countries!$W$5:$W$434,Countries!$A$5:$A$434,"All landing pages",Countries!$D$5:$D$434,$A266,Countries!$P$5:$P$434,"&gt;0")/SUMIFS(Countries!$P$5:$P$434,Countries!$A$5:$A$434,"All landing pages",Countries!$D$5:$D$434,$A266,Countries!$W$5:$W$434,"&gt;0"))</f>
        <v/>
      </c>
      <c r="O266" s="43">
        <f>IF(SUMIFS(Countries!$Q$5:$Q$434,Countries!$A$5:$A$434,"All landing pages",Countries!$D$5:$D$434,$A266,Countries!$X$5:$X$434,"&gt;0")=0,"",SUMIFS(Countries!$X$5:$X$434,Countries!$A$5:$A$434,"All landing pages",Countries!$D$5:$D$434,$A266,Countries!$Q$5:$Q$434,"&gt;0")/SUMIFS(Countries!$Q$5:$Q$434,Countries!$A$5:$A$434,"All landing pages",Countries!$D$5:$D$434,$A266,Countries!$X$5:$X$434,"&gt;0"))</f>
        <v/>
      </c>
      <c r="P266" s="44">
        <f>IF(OR(N266="",O266=""),"",(O266-N266)*100)</f>
        <v/>
      </c>
      <c r="Q266" s="73" t="n"/>
    </row>
    <row r="267">
      <c r="A267" s="40" t="inlineStr">
        <is>
          <t>Ukraine</t>
        </is>
      </c>
      <c r="B267" s="43">
        <f>IF(SUMIFS(Countries!$P$5:$P$434,Countries!$A$5:$A$434,"All landing pages",Countries!$B$5:$B$434,"Paid Search",Countries!$D$5:$D$434,$A267,Countries!$W$5:$W$434,"&gt;0")=0,"",SUMIFS(Countries!$W$5:$W$434,Countries!$A$5:$A$434,"All landing pages",Countries!$B$5:$B$434,"Paid Search",Countries!$D$5:$D$434,$A267,Countries!$P$5:$P$434,"&gt;0")/SUMIFS(Countries!$P$5:$P$434,Countries!$A$5:$A$434,"All landing pages",Countries!$B$5:$B$434,"Paid Search",Countries!$D$5:$D$434,$A267,Countries!$W$5:$W$434,"&gt;0"))</f>
        <v/>
      </c>
      <c r="C267" s="43">
        <f>IF(SUMIFS(Countries!$Q$5:$Q$434,Countries!$A$5:$A$434,"All landing pages",Countries!$B$5:$B$434,"Paid Search",Countries!$D$5:$D$434,$A267,Countries!$X$5:$X$434,"&gt;0")=0,"",SUMIFS(Countries!$X$5:$X$434,Countries!$A$5:$A$434,"All landing pages",Countries!$B$5:$B$434,"Paid Search",Countries!$D$5:$D$434,$A267,Countries!$Q$5:$Q$434,"&gt;0")/SUMIFS(Countries!$Q$5:$Q$434,Countries!$A$5:$A$434,"All landing pages",Countries!$B$5:$B$434,"Paid Search",Countries!$D$5:$D$434,$A267,Countries!$X$5:$X$434,"&gt;0"))</f>
        <v/>
      </c>
      <c r="D267" s="44">
        <f>IF(OR(B267="",C267=""),"",(C267-B267)*100)</f>
        <v/>
      </c>
      <c r="E267" s="73" t="n"/>
      <c r="F267" s="43">
        <f>IF(SUMIFS(Countries!$P$5:$P$434,Countries!$A$5:$A$434,"All landing pages",Countries!$B$5:$B$434,"Organic",Countries!$D$5:$D$434,$A267,Countries!$W$5:$W$434,"&gt;0")=0,"",SUMIFS(Countries!$W$5:$W$434,Countries!$A$5:$A$434,"All landing pages",Countries!$B$5:$B$434,"Organic",Countries!$D$5:$D$434,$A267,Countries!$P$5:$P$434,"&gt;0")/SUMIFS(Countries!$P$5:$P$434,Countries!$A$5:$A$434,"All landing pages",Countries!$B$5:$B$434,"Organic",Countries!$D$5:$D$434,$A267,Countries!$W$5:$W$434,"&gt;0"))</f>
        <v/>
      </c>
      <c r="G267" s="43">
        <f>IF(SUMIFS(Countries!$Q$5:$Q$434,Countries!$A$5:$A$434,"All landing pages",Countries!$B$5:$B$434,"Organic",Countries!$D$5:$D$434,$A267,Countries!$X$5:$X$434,"&gt;0")=0,"",SUMIFS(Countries!$X$5:$X$434,Countries!$A$5:$A$434,"All landing pages",Countries!$B$5:$B$434,"Organic",Countries!$D$5:$D$434,$A267,Countries!$Q$5:$Q$434,"&gt;0")/SUMIFS(Countries!$Q$5:$Q$434,Countries!$A$5:$A$434,"All landing pages",Countries!$B$5:$B$434,"Organic",Countries!$D$5:$D$434,$A267,Countries!$X$5:$X$434,"&gt;0"))</f>
        <v/>
      </c>
      <c r="H267" s="44">
        <f>IF(OR(F267="",G267=""),"",(G267-F267)*100)</f>
        <v/>
      </c>
      <c r="I267" s="73" t="n"/>
      <c r="J267" s="43">
        <f>IF(SUMIFS(Countries!$P$5:$P$434,Countries!$A$5:$A$434,"All landing pages",Countries!$B$5:$B$434,"Direct",Countries!$D$5:$D$434,$A267,Countries!$W$5:$W$434,"&gt;0")=0,"",SUMIFS(Countries!$W$5:$W$434,Countries!$A$5:$A$434,"All landing pages",Countries!$B$5:$B$434,"Direct",Countries!$D$5:$D$434,$A267,Countries!$P$5:$P$434,"&gt;0")/SUMIFS(Countries!$P$5:$P$434,Countries!$A$5:$A$434,"All landing pages",Countries!$B$5:$B$434,"Direct",Countries!$D$5:$D$434,$A267,Countries!$W$5:$W$434,"&gt;0"))</f>
        <v/>
      </c>
      <c r="K267" s="43">
        <f>IF(SUMIFS(Countries!$Q$5:$Q$434,Countries!$A$5:$A$434,"All landing pages",Countries!$B$5:$B$434,"Direct",Countries!$D$5:$D$434,$A267,Countries!$X$5:$X$434,"&gt;0")=0,"",SUMIFS(Countries!$X$5:$X$434,Countries!$A$5:$A$434,"All landing pages",Countries!$B$5:$B$434,"Direct",Countries!$D$5:$D$434,$A267,Countries!$Q$5:$Q$434,"&gt;0")/SUMIFS(Countries!$Q$5:$Q$434,Countries!$A$5:$A$434,"All landing pages",Countries!$B$5:$B$434,"Direct",Countries!$D$5:$D$434,$A267,Countries!$X$5:$X$434,"&gt;0"))</f>
        <v/>
      </c>
      <c r="L267" s="44">
        <f>IF(OR(J267="",K267=""),"",(K267-J267)*100)</f>
        <v/>
      </c>
      <c r="M267" s="73" t="n"/>
      <c r="N267" s="43">
        <f>IF(SUMIFS(Countries!$P$5:$P$434,Countries!$A$5:$A$434,"All landing pages",Countries!$D$5:$D$434,$A267,Countries!$W$5:$W$434,"&gt;0")=0,"",SUMIFS(Countries!$W$5:$W$434,Countries!$A$5:$A$434,"All landing pages",Countries!$D$5:$D$434,$A267,Countries!$P$5:$P$434,"&gt;0")/SUMIFS(Countries!$P$5:$P$434,Countries!$A$5:$A$434,"All landing pages",Countries!$D$5:$D$434,$A267,Countries!$W$5:$W$434,"&gt;0"))</f>
        <v/>
      </c>
      <c r="O267" s="43">
        <f>IF(SUMIFS(Countries!$Q$5:$Q$434,Countries!$A$5:$A$434,"All landing pages",Countries!$D$5:$D$434,$A267,Countries!$X$5:$X$434,"&gt;0")=0,"",SUMIFS(Countries!$X$5:$X$434,Countries!$A$5:$A$434,"All landing pages",Countries!$D$5:$D$434,$A267,Countries!$Q$5:$Q$434,"&gt;0")/SUMIFS(Countries!$Q$5:$Q$434,Countries!$A$5:$A$434,"All landing pages",Countries!$D$5:$D$434,$A267,Countries!$X$5:$X$434,"&gt;0"))</f>
        <v/>
      </c>
      <c r="P267" s="44">
        <f>IF(OR(N267="",O267=""),"",(O267-N267)*100)</f>
        <v/>
      </c>
      <c r="Q267" s="73" t="n"/>
    </row>
    <row r="270">
      <c r="A270" s="39" t="inlineStr">
        <is>
          <t>Add to cart</t>
        </is>
      </c>
    </row>
    <row r="271">
      <c r="A271" s="75" t="inlineStr">
        <is>
          <t>Country</t>
        </is>
      </c>
      <c r="B271" s="30" t="inlineStr">
        <is>
          <t>Paid Search</t>
        </is>
      </c>
      <c r="C271" s="23" t="n"/>
      <c r="D271" s="23" t="n"/>
      <c r="E271" s="23" t="n"/>
      <c r="F271" s="30" t="inlineStr">
        <is>
          <t>Organic</t>
        </is>
      </c>
      <c r="G271" s="23" t="n"/>
      <c r="H271" s="23" t="n"/>
      <c r="I271" s="23" t="n"/>
      <c r="J271" s="30" t="inlineStr">
        <is>
          <t>Direct</t>
        </is>
      </c>
      <c r="K271" s="23" t="n"/>
      <c r="L271" s="23" t="n"/>
      <c r="M271" s="23" t="n"/>
      <c r="N271" s="27" t="inlineStr">
        <is>
          <t>Total</t>
        </is>
      </c>
      <c r="O271" s="17" t="n"/>
      <c r="P271" s="17" t="n"/>
      <c r="Q271" s="17" t="n"/>
    </row>
    <row r="272">
      <c r="A272" s="15" t="n"/>
      <c r="B272" s="27" t="inlineStr">
        <is>
          <t>1-23Aug25</t>
        </is>
      </c>
      <c r="C272" s="27" t="inlineStr">
        <is>
          <t>1-23Aug26</t>
        </is>
      </c>
      <c r="D272" s="27" t="inlineStr">
        <is>
          <t>Δ</t>
        </is>
      </c>
      <c r="E272" s="27" t="inlineStr">
        <is>
          <t>% Δ</t>
        </is>
      </c>
      <c r="F272" s="27" t="inlineStr">
        <is>
          <t>1-23Aug25</t>
        </is>
      </c>
      <c r="G272" s="27" t="inlineStr">
        <is>
          <t>1-23Aug26</t>
        </is>
      </c>
      <c r="H272" s="27" t="inlineStr">
        <is>
          <t>Δ</t>
        </is>
      </c>
      <c r="I272" s="27" t="inlineStr">
        <is>
          <t>% Δ</t>
        </is>
      </c>
      <c r="J272" s="27" t="inlineStr">
        <is>
          <t>1-23Aug25</t>
        </is>
      </c>
      <c r="K272" s="27" t="inlineStr">
        <is>
          <t>1-23Aug26</t>
        </is>
      </c>
      <c r="L272" s="27" t="inlineStr">
        <is>
          <t>Δ</t>
        </is>
      </c>
      <c r="M272" s="27" t="inlineStr">
        <is>
          <t>% Δ</t>
        </is>
      </c>
      <c r="N272" s="27" t="inlineStr">
        <is>
          <t>1-23Aug25</t>
        </is>
      </c>
      <c r="O272" s="27" t="inlineStr">
        <is>
          <t>1-23Aug26</t>
        </is>
      </c>
      <c r="P272" s="27" t="inlineStr">
        <is>
          <t>Δ</t>
        </is>
      </c>
      <c r="Q272" s="27" t="inlineStr">
        <is>
          <t>% Δ</t>
        </is>
      </c>
    </row>
    <row r="273">
      <c r="A273" s="40" t="inlineStr">
        <is>
          <t>United Kingdom</t>
        </is>
      </c>
      <c r="B273" s="41">
        <f>IF(SUMIFS(Countries!$AD$5:$AD$434,Countries!$A$5:$A$434,"All landing pages",Countries!$B$5:$B$434,"Paid Search",Countries!$D$5:$D$434,$A273)=0,"",SUMIFS(Countries!$AD$5:$AD$434,Countries!$A$5:$A$434,"All landing pages",Countries!$B$5:$B$434,"Paid Search",Countries!$D$5:$D$434,$A273))</f>
        <v/>
      </c>
      <c r="C273" s="41">
        <f>IF(SUMIFS(Countries!$AE$5:$AE$434,Countries!$A$5:$A$434,"All landing pages",Countries!$B$5:$B$434,"Paid Search",Countries!$D$5:$D$434,$A273)=0,"",SUMIFS(Countries!$AE$5:$AE$434,Countries!$A$5:$A$434,"All landing pages",Countries!$B$5:$B$434,"Paid Search",Countries!$D$5:$D$434,$A273))</f>
        <v/>
      </c>
      <c r="D273" s="69">
        <f>IF(OR(C273="",B273="",B273=0,C273=0),"",C273-B273)</f>
        <v/>
      </c>
      <c r="E273" s="42">
        <f>IF(OR(C273="",B273="",B273=0,C273=0),"",C273/B273-1)</f>
        <v/>
      </c>
      <c r="F273" s="41">
        <f>IF(SUMIFS(Countries!$AD$5:$AD$434,Countries!$A$5:$A$434,"All landing pages",Countries!$B$5:$B$434,"Organic",Countries!$D$5:$D$434,$A273)=0,"",SUMIFS(Countries!$AD$5:$AD$434,Countries!$A$5:$A$434,"All landing pages",Countries!$B$5:$B$434,"Organic",Countries!$D$5:$D$434,$A273))</f>
        <v/>
      </c>
      <c r="G273" s="41">
        <f>IF(SUMIFS(Countries!$AE$5:$AE$434,Countries!$A$5:$A$434,"All landing pages",Countries!$B$5:$B$434,"Organic",Countries!$D$5:$D$434,$A273)=0,"",SUMIFS(Countries!$AE$5:$AE$434,Countries!$A$5:$A$434,"All landing pages",Countries!$B$5:$B$434,"Organic",Countries!$D$5:$D$434,$A273))</f>
        <v/>
      </c>
      <c r="H273" s="69">
        <f>IF(OR(G273="",F273="",F273=0,G273=0),"",G273-F273)</f>
        <v/>
      </c>
      <c r="I273" s="42">
        <f>IF(OR(G273="",F273="",F273=0,G273=0),"",G273/F273-1)</f>
        <v/>
      </c>
      <c r="J273" s="41">
        <f>IF(SUMIFS(Countries!$AD$5:$AD$434,Countries!$A$5:$A$434,"All landing pages",Countries!$B$5:$B$434,"Direct",Countries!$D$5:$D$434,$A273)=0,"",SUMIFS(Countries!$AD$5:$AD$434,Countries!$A$5:$A$434,"All landing pages",Countries!$B$5:$B$434,"Direct",Countries!$D$5:$D$434,$A273))</f>
        <v/>
      </c>
      <c r="K273" s="41">
        <f>IF(SUMIFS(Countries!$AE$5:$AE$434,Countries!$A$5:$A$434,"All landing pages",Countries!$B$5:$B$434,"Direct",Countries!$D$5:$D$434,$A273)=0,"",SUMIFS(Countries!$AE$5:$AE$434,Countries!$A$5:$A$434,"All landing pages",Countries!$B$5:$B$434,"Direct",Countries!$D$5:$D$434,$A273))</f>
        <v/>
      </c>
      <c r="L273" s="69">
        <f>IF(OR(K273="",J273="",J273=0,K273=0),"",K273-J273)</f>
        <v/>
      </c>
      <c r="M273" s="42">
        <f>IF(OR(K273="",J273="",J273=0,K273=0),"",K273/J273-1)</f>
        <v/>
      </c>
      <c r="N273" s="41">
        <f>IF(SUM(B273,F273,J273)=0,"",SUM(B273,F273,J273))</f>
        <v/>
      </c>
      <c r="O273" s="41">
        <f>IF(SUM(C273,G273,K273)=0,"",SUM(C273,G273,K273))</f>
        <v/>
      </c>
      <c r="P273" s="69">
        <f>IF(OR(O273="",N273="",N273=0,O273=0),"",O273-N273)</f>
        <v/>
      </c>
      <c r="Q273" s="42">
        <f>IF(OR(O273="",N273="",N273=0,O273=0),"",O273/N273-1)</f>
        <v/>
      </c>
    </row>
    <row r="274">
      <c r="A274" s="56" t="inlineStr">
        <is>
          <t>Germany</t>
        </is>
      </c>
      <c r="B274" s="41">
        <f>IF(SUMIFS(Countries!$AD$5:$AD$434,Countries!$A$5:$A$434,"All landing pages",Countries!$B$5:$B$434,"Paid Search",Countries!$D$5:$D$434,$A274)=0,"",SUMIFS(Countries!$AD$5:$AD$434,Countries!$A$5:$A$434,"All landing pages",Countries!$B$5:$B$434,"Paid Search",Countries!$D$5:$D$434,$A274))</f>
        <v/>
      </c>
      <c r="C274" s="41">
        <f>IF(SUMIFS(Countries!$AE$5:$AE$434,Countries!$A$5:$A$434,"All landing pages",Countries!$B$5:$B$434,"Paid Search",Countries!$D$5:$D$434,$A274)=0,"",SUMIFS(Countries!$AE$5:$AE$434,Countries!$A$5:$A$434,"All landing pages",Countries!$B$5:$B$434,"Paid Search",Countries!$D$5:$D$434,$A274))</f>
        <v/>
      </c>
      <c r="D274" s="69">
        <f>IF(OR(C274="",B274="",B274=0,C274=0),"",C274-B274)</f>
        <v/>
      </c>
      <c r="E274" s="42">
        <f>IF(OR(C274="",B274="",B274=0,C274=0),"",C274/B274-1)</f>
        <v/>
      </c>
      <c r="F274" s="41">
        <f>IF(SUMIFS(Countries!$AD$5:$AD$434,Countries!$A$5:$A$434,"All landing pages",Countries!$B$5:$B$434,"Organic",Countries!$D$5:$D$434,$A274)=0,"",SUMIFS(Countries!$AD$5:$AD$434,Countries!$A$5:$A$434,"All landing pages",Countries!$B$5:$B$434,"Organic",Countries!$D$5:$D$434,$A274))</f>
        <v/>
      </c>
      <c r="G274" s="41">
        <f>IF(SUMIFS(Countries!$AE$5:$AE$434,Countries!$A$5:$A$434,"All landing pages",Countries!$B$5:$B$434,"Organic",Countries!$D$5:$D$434,$A274)=0,"",SUMIFS(Countries!$AE$5:$AE$434,Countries!$A$5:$A$434,"All landing pages",Countries!$B$5:$B$434,"Organic",Countries!$D$5:$D$434,$A274))</f>
        <v/>
      </c>
      <c r="H274" s="69">
        <f>IF(OR(G274="",F274="",F274=0,G274=0),"",G274-F274)</f>
        <v/>
      </c>
      <c r="I274" s="42">
        <f>IF(OR(G274="",F274="",F274=0,G274=0),"",G274/F274-1)</f>
        <v/>
      </c>
      <c r="J274" s="41">
        <f>IF(SUMIFS(Countries!$AD$5:$AD$434,Countries!$A$5:$A$434,"All landing pages",Countries!$B$5:$B$434,"Direct",Countries!$D$5:$D$434,$A274)=0,"",SUMIFS(Countries!$AD$5:$AD$434,Countries!$A$5:$A$434,"All landing pages",Countries!$B$5:$B$434,"Direct",Countries!$D$5:$D$434,$A274))</f>
        <v/>
      </c>
      <c r="K274" s="41">
        <f>IF(SUMIFS(Countries!$AE$5:$AE$434,Countries!$A$5:$A$434,"All landing pages",Countries!$B$5:$B$434,"Direct",Countries!$D$5:$D$434,$A274)=0,"",SUMIFS(Countries!$AE$5:$AE$434,Countries!$A$5:$A$434,"All landing pages",Countries!$B$5:$B$434,"Direct",Countries!$D$5:$D$434,$A274))</f>
        <v/>
      </c>
      <c r="L274" s="69">
        <f>IF(OR(K274="",J274="",J274=0,K274=0),"",K274-J274)</f>
        <v/>
      </c>
      <c r="M274" s="42">
        <f>IF(OR(K274="",J274="",J274=0,K274=0),"",K274/J274-1)</f>
        <v/>
      </c>
      <c r="N274" s="41">
        <f>IF(SUM(B274,F274,J274)=0,"",SUM(B274,F274,J274))</f>
        <v/>
      </c>
      <c r="O274" s="41">
        <f>IF(SUM(C274,G274,K274)=0,"",SUM(C274,G274,K274))</f>
        <v/>
      </c>
      <c r="P274" s="69">
        <f>IF(OR(O274="",N274="",N274=0,O274=0),"",O274-N274)</f>
        <v/>
      </c>
      <c r="Q274" s="42">
        <f>IF(OR(O274="",N274="",N274=0,O274=0),"",O274/N274-1)</f>
        <v/>
      </c>
    </row>
    <row r="275">
      <c r="A275" s="40" t="inlineStr">
        <is>
          <t>Italy</t>
        </is>
      </c>
      <c r="B275" s="41">
        <f>IF(SUMIFS(Countries!$AD$5:$AD$434,Countries!$A$5:$A$434,"All landing pages",Countries!$B$5:$B$434,"Paid Search",Countries!$D$5:$D$434,$A275)=0,"",SUMIFS(Countries!$AD$5:$AD$434,Countries!$A$5:$A$434,"All landing pages",Countries!$B$5:$B$434,"Paid Search",Countries!$D$5:$D$434,$A275))</f>
        <v/>
      </c>
      <c r="C275" s="41">
        <f>IF(SUMIFS(Countries!$AE$5:$AE$434,Countries!$A$5:$A$434,"All landing pages",Countries!$B$5:$B$434,"Paid Search",Countries!$D$5:$D$434,$A275)=0,"",SUMIFS(Countries!$AE$5:$AE$434,Countries!$A$5:$A$434,"All landing pages",Countries!$B$5:$B$434,"Paid Search",Countries!$D$5:$D$434,$A275))</f>
        <v/>
      </c>
      <c r="D275" s="69">
        <f>IF(OR(C275="",B275="",B275=0,C275=0),"",C275-B275)</f>
        <v/>
      </c>
      <c r="E275" s="42">
        <f>IF(OR(C275="",B275="",B275=0,C275=0),"",C275/B275-1)</f>
        <v/>
      </c>
      <c r="F275" s="41">
        <f>IF(SUMIFS(Countries!$AD$5:$AD$434,Countries!$A$5:$A$434,"All landing pages",Countries!$B$5:$B$434,"Organic",Countries!$D$5:$D$434,$A275)=0,"",SUMIFS(Countries!$AD$5:$AD$434,Countries!$A$5:$A$434,"All landing pages",Countries!$B$5:$B$434,"Organic",Countries!$D$5:$D$434,$A275))</f>
        <v/>
      </c>
      <c r="G275" s="41">
        <f>IF(SUMIFS(Countries!$AE$5:$AE$434,Countries!$A$5:$A$434,"All landing pages",Countries!$B$5:$B$434,"Organic",Countries!$D$5:$D$434,$A275)=0,"",SUMIFS(Countries!$AE$5:$AE$434,Countries!$A$5:$A$434,"All landing pages",Countries!$B$5:$B$434,"Organic",Countries!$D$5:$D$434,$A275))</f>
        <v/>
      </c>
      <c r="H275" s="69">
        <f>IF(OR(G275="",F275="",F275=0,G275=0),"",G275-F275)</f>
        <v/>
      </c>
      <c r="I275" s="42">
        <f>IF(OR(G275="",F275="",F275=0,G275=0),"",G275/F275-1)</f>
        <v/>
      </c>
      <c r="J275" s="41">
        <f>IF(SUMIFS(Countries!$AD$5:$AD$434,Countries!$A$5:$A$434,"All landing pages",Countries!$B$5:$B$434,"Direct",Countries!$D$5:$D$434,$A275)=0,"",SUMIFS(Countries!$AD$5:$AD$434,Countries!$A$5:$A$434,"All landing pages",Countries!$B$5:$B$434,"Direct",Countries!$D$5:$D$434,$A275))</f>
        <v/>
      </c>
      <c r="K275" s="41">
        <f>IF(SUMIFS(Countries!$AE$5:$AE$434,Countries!$A$5:$A$434,"All landing pages",Countries!$B$5:$B$434,"Direct",Countries!$D$5:$D$434,$A275)=0,"",SUMIFS(Countries!$AE$5:$AE$434,Countries!$A$5:$A$434,"All landing pages",Countries!$B$5:$B$434,"Direct",Countries!$D$5:$D$434,$A275))</f>
        <v/>
      </c>
      <c r="L275" s="69">
        <f>IF(OR(K275="",J275="",J275=0,K275=0),"",K275-J275)</f>
        <v/>
      </c>
      <c r="M275" s="42">
        <f>IF(OR(K275="",J275="",J275=0,K275=0),"",K275/J275-1)</f>
        <v/>
      </c>
      <c r="N275" s="41">
        <f>IF(SUM(B275,F275,J275)=0,"",SUM(B275,F275,J275))</f>
        <v/>
      </c>
      <c r="O275" s="41">
        <f>IF(SUM(C275,G275,K275)=0,"",SUM(C275,G275,K275))</f>
        <v/>
      </c>
      <c r="P275" s="69">
        <f>IF(OR(O275="",N275="",N275=0,O275=0),"",O275-N275)</f>
        <v/>
      </c>
      <c r="Q275" s="42">
        <f>IF(OR(O275="",N275="",N275=0,O275=0),"",O275/N275-1)</f>
        <v/>
      </c>
    </row>
    <row r="276">
      <c r="A276" s="56" t="inlineStr">
        <is>
          <t>Spain</t>
        </is>
      </c>
      <c r="B276" s="41">
        <f>IF(SUMIFS(Countries!$AD$5:$AD$434,Countries!$A$5:$A$434,"All landing pages",Countries!$B$5:$B$434,"Paid Search",Countries!$D$5:$D$434,$A276)=0,"",SUMIFS(Countries!$AD$5:$AD$434,Countries!$A$5:$A$434,"All landing pages",Countries!$B$5:$B$434,"Paid Search",Countries!$D$5:$D$434,$A276))</f>
        <v/>
      </c>
      <c r="C276" s="41">
        <f>IF(SUMIFS(Countries!$AE$5:$AE$434,Countries!$A$5:$A$434,"All landing pages",Countries!$B$5:$B$434,"Paid Search",Countries!$D$5:$D$434,$A276)=0,"",SUMIFS(Countries!$AE$5:$AE$434,Countries!$A$5:$A$434,"All landing pages",Countries!$B$5:$B$434,"Paid Search",Countries!$D$5:$D$434,$A276))</f>
        <v/>
      </c>
      <c r="D276" s="69">
        <f>IF(OR(C276="",B276="",B276=0,C276=0),"",C276-B276)</f>
        <v/>
      </c>
      <c r="E276" s="42">
        <f>IF(OR(C276="",B276="",B276=0,C276=0),"",C276/B276-1)</f>
        <v/>
      </c>
      <c r="F276" s="41">
        <f>IF(SUMIFS(Countries!$AD$5:$AD$434,Countries!$A$5:$A$434,"All landing pages",Countries!$B$5:$B$434,"Organic",Countries!$D$5:$D$434,$A276)=0,"",SUMIFS(Countries!$AD$5:$AD$434,Countries!$A$5:$A$434,"All landing pages",Countries!$B$5:$B$434,"Organic",Countries!$D$5:$D$434,$A276))</f>
        <v/>
      </c>
      <c r="G276" s="41">
        <f>IF(SUMIFS(Countries!$AE$5:$AE$434,Countries!$A$5:$A$434,"All landing pages",Countries!$B$5:$B$434,"Organic",Countries!$D$5:$D$434,$A276)=0,"",SUMIFS(Countries!$AE$5:$AE$434,Countries!$A$5:$A$434,"All landing pages",Countries!$B$5:$B$434,"Organic",Countries!$D$5:$D$434,$A276))</f>
        <v/>
      </c>
      <c r="H276" s="69">
        <f>IF(OR(G276="",F276="",F276=0,G276=0),"",G276-F276)</f>
        <v/>
      </c>
      <c r="I276" s="42">
        <f>IF(OR(G276="",F276="",F276=0,G276=0),"",G276/F276-1)</f>
        <v/>
      </c>
      <c r="J276" s="41">
        <f>IF(SUMIFS(Countries!$AD$5:$AD$434,Countries!$A$5:$A$434,"All landing pages",Countries!$B$5:$B$434,"Direct",Countries!$D$5:$D$434,$A276)=0,"",SUMIFS(Countries!$AD$5:$AD$434,Countries!$A$5:$A$434,"All landing pages",Countries!$B$5:$B$434,"Direct",Countries!$D$5:$D$434,$A276))</f>
        <v/>
      </c>
      <c r="K276" s="41">
        <f>IF(SUMIFS(Countries!$AE$5:$AE$434,Countries!$A$5:$A$434,"All landing pages",Countries!$B$5:$B$434,"Direct",Countries!$D$5:$D$434,$A276)=0,"",SUMIFS(Countries!$AE$5:$AE$434,Countries!$A$5:$A$434,"All landing pages",Countries!$B$5:$B$434,"Direct",Countries!$D$5:$D$434,$A276))</f>
        <v/>
      </c>
      <c r="L276" s="69">
        <f>IF(OR(K276="",J276="",J276=0,K276=0),"",K276-J276)</f>
        <v/>
      </c>
      <c r="M276" s="42">
        <f>IF(OR(K276="",J276="",J276=0,K276=0),"",K276/J276-1)</f>
        <v/>
      </c>
      <c r="N276" s="41">
        <f>IF(SUM(B276,F276,J276)=0,"",SUM(B276,F276,J276))</f>
        <v/>
      </c>
      <c r="O276" s="41">
        <f>IF(SUM(C276,G276,K276)=0,"",SUM(C276,G276,K276))</f>
        <v/>
      </c>
      <c r="P276" s="69">
        <f>IF(OR(O276="",N276="",N276=0,O276=0),"",O276-N276)</f>
        <v/>
      </c>
      <c r="Q276" s="42">
        <f>IF(OR(O276="",N276="",N276=0,O276=0),"",O276/N276-1)</f>
        <v/>
      </c>
    </row>
    <row r="277">
      <c r="A277" s="40" t="inlineStr">
        <is>
          <t>Ireland</t>
        </is>
      </c>
      <c r="B277" s="41">
        <f>IF(SUMIFS(Countries!$AD$5:$AD$434,Countries!$A$5:$A$434,"All landing pages",Countries!$B$5:$B$434,"Paid Search",Countries!$D$5:$D$434,$A277)=0,"",SUMIFS(Countries!$AD$5:$AD$434,Countries!$A$5:$A$434,"All landing pages",Countries!$B$5:$B$434,"Paid Search",Countries!$D$5:$D$434,$A277))</f>
        <v/>
      </c>
      <c r="C277" s="41">
        <f>IF(SUMIFS(Countries!$AE$5:$AE$434,Countries!$A$5:$A$434,"All landing pages",Countries!$B$5:$B$434,"Paid Search",Countries!$D$5:$D$434,$A277)=0,"",SUMIFS(Countries!$AE$5:$AE$434,Countries!$A$5:$A$434,"All landing pages",Countries!$B$5:$B$434,"Paid Search",Countries!$D$5:$D$434,$A277))</f>
        <v/>
      </c>
      <c r="D277" s="69">
        <f>IF(OR(C277="",B277="",B277=0,C277=0),"",C277-B277)</f>
        <v/>
      </c>
      <c r="E277" s="42">
        <f>IF(OR(C277="",B277="",B277=0,C277=0),"",C277/B277-1)</f>
        <v/>
      </c>
      <c r="F277" s="41">
        <f>IF(SUMIFS(Countries!$AD$5:$AD$434,Countries!$A$5:$A$434,"All landing pages",Countries!$B$5:$B$434,"Organic",Countries!$D$5:$D$434,$A277)=0,"",SUMIFS(Countries!$AD$5:$AD$434,Countries!$A$5:$A$434,"All landing pages",Countries!$B$5:$B$434,"Organic",Countries!$D$5:$D$434,$A277))</f>
        <v/>
      </c>
      <c r="G277" s="41">
        <f>IF(SUMIFS(Countries!$AE$5:$AE$434,Countries!$A$5:$A$434,"All landing pages",Countries!$B$5:$B$434,"Organic",Countries!$D$5:$D$434,$A277)=0,"",SUMIFS(Countries!$AE$5:$AE$434,Countries!$A$5:$A$434,"All landing pages",Countries!$B$5:$B$434,"Organic",Countries!$D$5:$D$434,$A277))</f>
        <v/>
      </c>
      <c r="H277" s="69">
        <f>IF(OR(G277="",F277="",F277=0,G277=0),"",G277-F277)</f>
        <v/>
      </c>
      <c r="I277" s="42">
        <f>IF(OR(G277="",F277="",F277=0,G277=0),"",G277/F277-1)</f>
        <v/>
      </c>
      <c r="J277" s="41">
        <f>IF(SUMIFS(Countries!$AD$5:$AD$434,Countries!$A$5:$A$434,"All landing pages",Countries!$B$5:$B$434,"Direct",Countries!$D$5:$D$434,$A277)=0,"",SUMIFS(Countries!$AD$5:$AD$434,Countries!$A$5:$A$434,"All landing pages",Countries!$B$5:$B$434,"Direct",Countries!$D$5:$D$434,$A277))</f>
        <v/>
      </c>
      <c r="K277" s="41">
        <f>IF(SUMIFS(Countries!$AE$5:$AE$434,Countries!$A$5:$A$434,"All landing pages",Countries!$B$5:$B$434,"Direct",Countries!$D$5:$D$434,$A277)=0,"",SUMIFS(Countries!$AE$5:$AE$434,Countries!$A$5:$A$434,"All landing pages",Countries!$B$5:$B$434,"Direct",Countries!$D$5:$D$434,$A277))</f>
        <v/>
      </c>
      <c r="L277" s="69">
        <f>IF(OR(K277="",J277="",J277=0,K277=0),"",K277-J277)</f>
        <v/>
      </c>
      <c r="M277" s="42">
        <f>IF(OR(K277="",J277="",J277=0,K277=0),"",K277/J277-1)</f>
        <v/>
      </c>
      <c r="N277" s="41">
        <f>IF(SUM(B277,F277,J277)=0,"",SUM(B277,F277,J277))</f>
        <v/>
      </c>
      <c r="O277" s="41">
        <f>IF(SUM(C277,G277,K277)=0,"",SUM(C277,G277,K277))</f>
        <v/>
      </c>
      <c r="P277" s="69">
        <f>IF(OR(O277="",N277="",N277=0,O277=0),"",O277-N277)</f>
        <v/>
      </c>
      <c r="Q277" s="42">
        <f>IF(OR(O277="",N277="",N277=0,O277=0),"",O277/N277-1)</f>
        <v/>
      </c>
    </row>
    <row r="278">
      <c r="A278" s="56" t="inlineStr">
        <is>
          <t>Netherlands</t>
        </is>
      </c>
      <c r="B278" s="41">
        <f>IF(SUMIFS(Countries!$AD$5:$AD$434,Countries!$A$5:$A$434,"All landing pages",Countries!$B$5:$B$434,"Paid Search",Countries!$D$5:$D$434,$A278)=0,"",SUMIFS(Countries!$AD$5:$AD$434,Countries!$A$5:$A$434,"All landing pages",Countries!$B$5:$B$434,"Paid Search",Countries!$D$5:$D$434,$A278))</f>
        <v/>
      </c>
      <c r="C278" s="41">
        <f>IF(SUMIFS(Countries!$AE$5:$AE$434,Countries!$A$5:$A$434,"All landing pages",Countries!$B$5:$B$434,"Paid Search",Countries!$D$5:$D$434,$A278)=0,"",SUMIFS(Countries!$AE$5:$AE$434,Countries!$A$5:$A$434,"All landing pages",Countries!$B$5:$B$434,"Paid Search",Countries!$D$5:$D$434,$A278))</f>
        <v/>
      </c>
      <c r="D278" s="69">
        <f>IF(OR(C278="",B278="",B278=0,C278=0),"",C278-B278)</f>
        <v/>
      </c>
      <c r="E278" s="42">
        <f>IF(OR(C278="",B278="",B278=0,C278=0),"",C278/B278-1)</f>
        <v/>
      </c>
      <c r="F278" s="41">
        <f>IF(SUMIFS(Countries!$AD$5:$AD$434,Countries!$A$5:$A$434,"All landing pages",Countries!$B$5:$B$434,"Organic",Countries!$D$5:$D$434,$A278)=0,"",SUMIFS(Countries!$AD$5:$AD$434,Countries!$A$5:$A$434,"All landing pages",Countries!$B$5:$B$434,"Organic",Countries!$D$5:$D$434,$A278))</f>
        <v/>
      </c>
      <c r="G278" s="41">
        <f>IF(SUMIFS(Countries!$AE$5:$AE$434,Countries!$A$5:$A$434,"All landing pages",Countries!$B$5:$B$434,"Organic",Countries!$D$5:$D$434,$A278)=0,"",SUMIFS(Countries!$AE$5:$AE$434,Countries!$A$5:$A$434,"All landing pages",Countries!$B$5:$B$434,"Organic",Countries!$D$5:$D$434,$A278))</f>
        <v/>
      </c>
      <c r="H278" s="69">
        <f>IF(OR(G278="",F278="",F278=0,G278=0),"",G278-F278)</f>
        <v/>
      </c>
      <c r="I278" s="42">
        <f>IF(OR(G278="",F278="",F278=0,G278=0),"",G278/F278-1)</f>
        <v/>
      </c>
      <c r="J278" s="41">
        <f>IF(SUMIFS(Countries!$AD$5:$AD$434,Countries!$A$5:$A$434,"All landing pages",Countries!$B$5:$B$434,"Direct",Countries!$D$5:$D$434,$A278)=0,"",SUMIFS(Countries!$AD$5:$AD$434,Countries!$A$5:$A$434,"All landing pages",Countries!$B$5:$B$434,"Direct",Countries!$D$5:$D$434,$A278))</f>
        <v/>
      </c>
      <c r="K278" s="41">
        <f>IF(SUMIFS(Countries!$AE$5:$AE$434,Countries!$A$5:$A$434,"All landing pages",Countries!$B$5:$B$434,"Direct",Countries!$D$5:$D$434,$A278)=0,"",SUMIFS(Countries!$AE$5:$AE$434,Countries!$A$5:$A$434,"All landing pages",Countries!$B$5:$B$434,"Direct",Countries!$D$5:$D$434,$A278))</f>
        <v/>
      </c>
      <c r="L278" s="69">
        <f>IF(OR(K278="",J278="",J278=0,K278=0),"",K278-J278)</f>
        <v/>
      </c>
      <c r="M278" s="42">
        <f>IF(OR(K278="",J278="",J278=0,K278=0),"",K278/J278-1)</f>
        <v/>
      </c>
      <c r="N278" s="41">
        <f>IF(SUM(B278,F278,J278)=0,"",SUM(B278,F278,J278))</f>
        <v/>
      </c>
      <c r="O278" s="41">
        <f>IF(SUM(C278,G278,K278)=0,"",SUM(C278,G278,K278))</f>
        <v/>
      </c>
      <c r="P278" s="69">
        <f>IF(OR(O278="",N278="",N278=0,O278=0),"",O278-N278)</f>
        <v/>
      </c>
      <c r="Q278" s="42">
        <f>IF(OR(O278="",N278="",N278=0,O278=0),"",O278/N278-1)</f>
        <v/>
      </c>
    </row>
    <row r="279">
      <c r="A279" s="40" t="inlineStr">
        <is>
          <t>France</t>
        </is>
      </c>
      <c r="B279" s="41">
        <f>IF(SUMIFS(Countries!$AD$5:$AD$434,Countries!$A$5:$A$434,"All landing pages",Countries!$B$5:$B$434,"Paid Search",Countries!$D$5:$D$434,$A279)=0,"",SUMIFS(Countries!$AD$5:$AD$434,Countries!$A$5:$A$434,"All landing pages",Countries!$B$5:$B$434,"Paid Search",Countries!$D$5:$D$434,$A279))</f>
        <v/>
      </c>
      <c r="C279" s="41">
        <f>IF(SUMIFS(Countries!$AE$5:$AE$434,Countries!$A$5:$A$434,"All landing pages",Countries!$B$5:$B$434,"Paid Search",Countries!$D$5:$D$434,$A279)=0,"",SUMIFS(Countries!$AE$5:$AE$434,Countries!$A$5:$A$434,"All landing pages",Countries!$B$5:$B$434,"Paid Search",Countries!$D$5:$D$434,$A279))</f>
        <v/>
      </c>
      <c r="D279" s="69">
        <f>IF(OR(C279="",B279="",B279=0,C279=0),"",C279-B279)</f>
        <v/>
      </c>
      <c r="E279" s="42">
        <f>IF(OR(C279="",B279="",B279=0,C279=0),"",C279/B279-1)</f>
        <v/>
      </c>
      <c r="F279" s="41">
        <f>IF(SUMIFS(Countries!$AD$5:$AD$434,Countries!$A$5:$A$434,"All landing pages",Countries!$B$5:$B$434,"Organic",Countries!$D$5:$D$434,$A279)=0,"",SUMIFS(Countries!$AD$5:$AD$434,Countries!$A$5:$A$434,"All landing pages",Countries!$B$5:$B$434,"Organic",Countries!$D$5:$D$434,$A279))</f>
        <v/>
      </c>
      <c r="G279" s="41">
        <f>IF(SUMIFS(Countries!$AE$5:$AE$434,Countries!$A$5:$A$434,"All landing pages",Countries!$B$5:$B$434,"Organic",Countries!$D$5:$D$434,$A279)=0,"",SUMIFS(Countries!$AE$5:$AE$434,Countries!$A$5:$A$434,"All landing pages",Countries!$B$5:$B$434,"Organic",Countries!$D$5:$D$434,$A279))</f>
        <v/>
      </c>
      <c r="H279" s="69">
        <f>IF(OR(G279="",F279="",F279=0,G279=0),"",G279-F279)</f>
        <v/>
      </c>
      <c r="I279" s="42">
        <f>IF(OR(G279="",F279="",F279=0,G279=0),"",G279/F279-1)</f>
        <v/>
      </c>
      <c r="J279" s="41">
        <f>IF(SUMIFS(Countries!$AD$5:$AD$434,Countries!$A$5:$A$434,"All landing pages",Countries!$B$5:$B$434,"Direct",Countries!$D$5:$D$434,$A279)=0,"",SUMIFS(Countries!$AD$5:$AD$434,Countries!$A$5:$A$434,"All landing pages",Countries!$B$5:$B$434,"Direct",Countries!$D$5:$D$434,$A279))</f>
        <v/>
      </c>
      <c r="K279" s="41">
        <f>IF(SUMIFS(Countries!$AE$5:$AE$434,Countries!$A$5:$A$434,"All landing pages",Countries!$B$5:$B$434,"Direct",Countries!$D$5:$D$434,$A279)=0,"",SUMIFS(Countries!$AE$5:$AE$434,Countries!$A$5:$A$434,"All landing pages",Countries!$B$5:$B$434,"Direct",Countries!$D$5:$D$434,$A279))</f>
        <v/>
      </c>
      <c r="L279" s="69">
        <f>IF(OR(K279="",J279="",J279=0,K279=0),"",K279-J279)</f>
        <v/>
      </c>
      <c r="M279" s="42">
        <f>IF(OR(K279="",J279="",J279=0,K279=0),"",K279/J279-1)</f>
        <v/>
      </c>
      <c r="N279" s="41">
        <f>IF(SUM(B279,F279,J279)=0,"",SUM(B279,F279,J279))</f>
        <v/>
      </c>
      <c r="O279" s="41">
        <f>IF(SUM(C279,G279,K279)=0,"",SUM(C279,G279,K279))</f>
        <v/>
      </c>
      <c r="P279" s="69">
        <f>IF(OR(O279="",N279="",N279=0,O279=0),"",O279-N279)</f>
        <v/>
      </c>
      <c r="Q279" s="42">
        <f>IF(OR(O279="",N279="",N279=0,O279=0),"",O279/N279-1)</f>
        <v/>
      </c>
    </row>
    <row r="280">
      <c r="A280" s="56" t="inlineStr">
        <is>
          <t>Poland</t>
        </is>
      </c>
      <c r="B280" s="41">
        <f>IF(SUMIFS(Countries!$AD$5:$AD$434,Countries!$A$5:$A$434,"All landing pages",Countries!$B$5:$B$434,"Paid Search",Countries!$D$5:$D$434,$A280)=0,"",SUMIFS(Countries!$AD$5:$AD$434,Countries!$A$5:$A$434,"All landing pages",Countries!$B$5:$B$434,"Paid Search",Countries!$D$5:$D$434,$A280))</f>
        <v/>
      </c>
      <c r="C280" s="41">
        <f>IF(SUMIFS(Countries!$AE$5:$AE$434,Countries!$A$5:$A$434,"All landing pages",Countries!$B$5:$B$434,"Paid Search",Countries!$D$5:$D$434,$A280)=0,"",SUMIFS(Countries!$AE$5:$AE$434,Countries!$A$5:$A$434,"All landing pages",Countries!$B$5:$B$434,"Paid Search",Countries!$D$5:$D$434,$A280))</f>
        <v/>
      </c>
      <c r="D280" s="69">
        <f>IF(OR(C280="",B280="",B280=0,C280=0),"",C280-B280)</f>
        <v/>
      </c>
      <c r="E280" s="42">
        <f>IF(OR(C280="",B280="",B280=0,C280=0),"",C280/B280-1)</f>
        <v/>
      </c>
      <c r="F280" s="41">
        <f>IF(SUMIFS(Countries!$AD$5:$AD$434,Countries!$A$5:$A$434,"All landing pages",Countries!$B$5:$B$434,"Organic",Countries!$D$5:$D$434,$A280)=0,"",SUMIFS(Countries!$AD$5:$AD$434,Countries!$A$5:$A$434,"All landing pages",Countries!$B$5:$B$434,"Organic",Countries!$D$5:$D$434,$A280))</f>
        <v/>
      </c>
      <c r="G280" s="41">
        <f>IF(SUMIFS(Countries!$AE$5:$AE$434,Countries!$A$5:$A$434,"All landing pages",Countries!$B$5:$B$434,"Organic",Countries!$D$5:$D$434,$A280)=0,"",SUMIFS(Countries!$AE$5:$AE$434,Countries!$A$5:$A$434,"All landing pages",Countries!$B$5:$B$434,"Organic",Countries!$D$5:$D$434,$A280))</f>
        <v/>
      </c>
      <c r="H280" s="69">
        <f>IF(OR(G280="",F280="",F280=0,G280=0),"",G280-F280)</f>
        <v/>
      </c>
      <c r="I280" s="42">
        <f>IF(OR(G280="",F280="",F280=0,G280=0),"",G280/F280-1)</f>
        <v/>
      </c>
      <c r="J280" s="41">
        <f>IF(SUMIFS(Countries!$AD$5:$AD$434,Countries!$A$5:$A$434,"All landing pages",Countries!$B$5:$B$434,"Direct",Countries!$D$5:$D$434,$A280)=0,"",SUMIFS(Countries!$AD$5:$AD$434,Countries!$A$5:$A$434,"All landing pages",Countries!$B$5:$B$434,"Direct",Countries!$D$5:$D$434,$A280))</f>
        <v/>
      </c>
      <c r="K280" s="41">
        <f>IF(SUMIFS(Countries!$AE$5:$AE$434,Countries!$A$5:$A$434,"All landing pages",Countries!$B$5:$B$434,"Direct",Countries!$D$5:$D$434,$A280)=0,"",SUMIFS(Countries!$AE$5:$AE$434,Countries!$A$5:$A$434,"All landing pages",Countries!$B$5:$B$434,"Direct",Countries!$D$5:$D$434,$A280))</f>
        <v/>
      </c>
      <c r="L280" s="69">
        <f>IF(OR(K280="",J280="",J280=0,K280=0),"",K280-J280)</f>
        <v/>
      </c>
      <c r="M280" s="42">
        <f>IF(OR(K280="",J280="",J280=0,K280=0),"",K280/J280-1)</f>
        <v/>
      </c>
      <c r="N280" s="41">
        <f>IF(SUM(B280,F280,J280)=0,"",SUM(B280,F280,J280))</f>
        <v/>
      </c>
      <c r="O280" s="41">
        <f>IF(SUM(C280,G280,K280)=0,"",SUM(C280,G280,K280))</f>
        <v/>
      </c>
      <c r="P280" s="69">
        <f>IF(OR(O280="",N280="",N280=0,O280=0),"",O280-N280)</f>
        <v/>
      </c>
      <c r="Q280" s="42">
        <f>IF(OR(O280="",N280="",N280=0,O280=0),"",O280/N280-1)</f>
        <v/>
      </c>
    </row>
    <row r="281">
      <c r="A281" s="40" t="inlineStr">
        <is>
          <t>United States</t>
        </is>
      </c>
      <c r="B281" s="41">
        <f>IF(SUMIFS(Countries!$AD$5:$AD$434,Countries!$A$5:$A$434,"All landing pages",Countries!$B$5:$B$434,"Paid Search",Countries!$D$5:$D$434,$A281)=0,"",SUMIFS(Countries!$AD$5:$AD$434,Countries!$A$5:$A$434,"All landing pages",Countries!$B$5:$B$434,"Paid Search",Countries!$D$5:$D$434,$A281))</f>
        <v/>
      </c>
      <c r="C281" s="41">
        <f>IF(SUMIFS(Countries!$AE$5:$AE$434,Countries!$A$5:$A$434,"All landing pages",Countries!$B$5:$B$434,"Paid Search",Countries!$D$5:$D$434,$A281)=0,"",SUMIFS(Countries!$AE$5:$AE$434,Countries!$A$5:$A$434,"All landing pages",Countries!$B$5:$B$434,"Paid Search",Countries!$D$5:$D$434,$A281))</f>
        <v/>
      </c>
      <c r="D281" s="69">
        <f>IF(OR(C281="",B281="",B281=0,C281=0),"",C281-B281)</f>
        <v/>
      </c>
      <c r="E281" s="42">
        <f>IF(OR(C281="",B281="",B281=0,C281=0),"",C281/B281-1)</f>
        <v/>
      </c>
      <c r="F281" s="41">
        <f>IF(SUMIFS(Countries!$AD$5:$AD$434,Countries!$A$5:$A$434,"All landing pages",Countries!$B$5:$B$434,"Organic",Countries!$D$5:$D$434,$A281)=0,"",SUMIFS(Countries!$AD$5:$AD$434,Countries!$A$5:$A$434,"All landing pages",Countries!$B$5:$B$434,"Organic",Countries!$D$5:$D$434,$A281))</f>
        <v/>
      </c>
      <c r="G281" s="41">
        <f>IF(SUMIFS(Countries!$AE$5:$AE$434,Countries!$A$5:$A$434,"All landing pages",Countries!$B$5:$B$434,"Organic",Countries!$D$5:$D$434,$A281)=0,"",SUMIFS(Countries!$AE$5:$AE$434,Countries!$A$5:$A$434,"All landing pages",Countries!$B$5:$B$434,"Organic",Countries!$D$5:$D$434,$A281))</f>
        <v/>
      </c>
      <c r="H281" s="69">
        <f>IF(OR(G281="",F281="",F281=0,G281=0),"",G281-F281)</f>
        <v/>
      </c>
      <c r="I281" s="42">
        <f>IF(OR(G281="",F281="",F281=0,G281=0),"",G281/F281-1)</f>
        <v/>
      </c>
      <c r="J281" s="41">
        <f>IF(SUMIFS(Countries!$AD$5:$AD$434,Countries!$A$5:$A$434,"All landing pages",Countries!$B$5:$B$434,"Direct",Countries!$D$5:$D$434,$A281)=0,"",SUMIFS(Countries!$AD$5:$AD$434,Countries!$A$5:$A$434,"All landing pages",Countries!$B$5:$B$434,"Direct",Countries!$D$5:$D$434,$A281))</f>
        <v/>
      </c>
      <c r="K281" s="41">
        <f>IF(SUMIFS(Countries!$AE$5:$AE$434,Countries!$A$5:$A$434,"All landing pages",Countries!$B$5:$B$434,"Direct",Countries!$D$5:$D$434,$A281)=0,"",SUMIFS(Countries!$AE$5:$AE$434,Countries!$A$5:$A$434,"All landing pages",Countries!$B$5:$B$434,"Direct",Countries!$D$5:$D$434,$A281))</f>
        <v/>
      </c>
      <c r="L281" s="69">
        <f>IF(OR(K281="",J281="",J281=0,K281=0),"",K281-J281)</f>
        <v/>
      </c>
      <c r="M281" s="42">
        <f>IF(OR(K281="",J281="",J281=0,K281=0),"",K281/J281-1)</f>
        <v/>
      </c>
      <c r="N281" s="41">
        <f>IF(SUM(B281,F281,J281)=0,"",SUM(B281,F281,J281))</f>
        <v/>
      </c>
      <c r="O281" s="41">
        <f>IF(SUM(C281,G281,K281)=0,"",SUM(C281,G281,K281))</f>
        <v/>
      </c>
      <c r="P281" s="69">
        <f>IF(OR(O281="",N281="",N281=0,O281=0),"",O281-N281)</f>
        <v/>
      </c>
      <c r="Q281" s="42">
        <f>IF(OR(O281="",N281="",N281=0,O281=0),"",O281/N281-1)</f>
        <v/>
      </c>
    </row>
    <row r="282">
      <c r="A282" s="56" t="inlineStr">
        <is>
          <t>Sweden</t>
        </is>
      </c>
      <c r="B282" s="41">
        <f>IF(SUMIFS(Countries!$AD$5:$AD$434,Countries!$A$5:$A$434,"All landing pages",Countries!$B$5:$B$434,"Paid Search",Countries!$D$5:$D$434,$A282)=0,"",SUMIFS(Countries!$AD$5:$AD$434,Countries!$A$5:$A$434,"All landing pages",Countries!$B$5:$B$434,"Paid Search",Countries!$D$5:$D$434,$A282))</f>
        <v/>
      </c>
      <c r="C282" s="41">
        <f>IF(SUMIFS(Countries!$AE$5:$AE$434,Countries!$A$5:$A$434,"All landing pages",Countries!$B$5:$B$434,"Paid Search",Countries!$D$5:$D$434,$A282)=0,"",SUMIFS(Countries!$AE$5:$AE$434,Countries!$A$5:$A$434,"All landing pages",Countries!$B$5:$B$434,"Paid Search",Countries!$D$5:$D$434,$A282))</f>
        <v/>
      </c>
      <c r="D282" s="69">
        <f>IF(OR(C282="",B282="",B282=0,C282=0),"",C282-B282)</f>
        <v/>
      </c>
      <c r="E282" s="42">
        <f>IF(OR(C282="",B282="",B282=0,C282=0),"",C282/B282-1)</f>
        <v/>
      </c>
      <c r="F282" s="41">
        <f>IF(SUMIFS(Countries!$AD$5:$AD$434,Countries!$A$5:$A$434,"All landing pages",Countries!$B$5:$B$434,"Organic",Countries!$D$5:$D$434,$A282)=0,"",SUMIFS(Countries!$AD$5:$AD$434,Countries!$A$5:$A$434,"All landing pages",Countries!$B$5:$B$434,"Organic",Countries!$D$5:$D$434,$A282))</f>
        <v/>
      </c>
      <c r="G282" s="41">
        <f>IF(SUMIFS(Countries!$AE$5:$AE$434,Countries!$A$5:$A$434,"All landing pages",Countries!$B$5:$B$434,"Organic",Countries!$D$5:$D$434,$A282)=0,"",SUMIFS(Countries!$AE$5:$AE$434,Countries!$A$5:$A$434,"All landing pages",Countries!$B$5:$B$434,"Organic",Countries!$D$5:$D$434,$A282))</f>
        <v/>
      </c>
      <c r="H282" s="69">
        <f>IF(OR(G282="",F282="",F282=0,G282=0),"",G282-F282)</f>
        <v/>
      </c>
      <c r="I282" s="42">
        <f>IF(OR(G282="",F282="",F282=0,G282=0),"",G282/F282-1)</f>
        <v/>
      </c>
      <c r="J282" s="41">
        <f>IF(SUMIFS(Countries!$AD$5:$AD$434,Countries!$A$5:$A$434,"All landing pages",Countries!$B$5:$B$434,"Direct",Countries!$D$5:$D$434,$A282)=0,"",SUMIFS(Countries!$AD$5:$AD$434,Countries!$A$5:$A$434,"All landing pages",Countries!$B$5:$B$434,"Direct",Countries!$D$5:$D$434,$A282))</f>
        <v/>
      </c>
      <c r="K282" s="41">
        <f>IF(SUMIFS(Countries!$AE$5:$AE$434,Countries!$A$5:$A$434,"All landing pages",Countries!$B$5:$B$434,"Direct",Countries!$D$5:$D$434,$A282)=0,"",SUMIFS(Countries!$AE$5:$AE$434,Countries!$A$5:$A$434,"All landing pages",Countries!$B$5:$B$434,"Direct",Countries!$D$5:$D$434,$A282))</f>
        <v/>
      </c>
      <c r="L282" s="69">
        <f>IF(OR(K282="",J282="",J282=0,K282=0),"",K282-J282)</f>
        <v/>
      </c>
      <c r="M282" s="42">
        <f>IF(OR(K282="",J282="",J282=0,K282=0),"",K282/J282-1)</f>
        <v/>
      </c>
      <c r="N282" s="41">
        <f>IF(SUM(B282,F282,J282)=0,"",SUM(B282,F282,J282))</f>
        <v/>
      </c>
      <c r="O282" s="41">
        <f>IF(SUM(C282,G282,K282)=0,"",SUM(C282,G282,K282))</f>
        <v/>
      </c>
      <c r="P282" s="69">
        <f>IF(OR(O282="",N282="",N282=0,O282=0),"",O282-N282)</f>
        <v/>
      </c>
      <c r="Q282" s="42">
        <f>IF(OR(O282="",N282="",N282=0,O282=0),"",O282/N282-1)</f>
        <v/>
      </c>
    </row>
    <row r="283">
      <c r="A283" s="40" t="inlineStr">
        <is>
          <t>Belgium</t>
        </is>
      </c>
      <c r="B283" s="41">
        <f>IF(SUMIFS(Countries!$AD$5:$AD$434,Countries!$A$5:$A$434,"All landing pages",Countries!$B$5:$B$434,"Paid Search",Countries!$D$5:$D$434,$A283)=0,"",SUMIFS(Countries!$AD$5:$AD$434,Countries!$A$5:$A$434,"All landing pages",Countries!$B$5:$B$434,"Paid Search",Countries!$D$5:$D$434,$A283))</f>
        <v/>
      </c>
      <c r="C283" s="41">
        <f>IF(SUMIFS(Countries!$AE$5:$AE$434,Countries!$A$5:$A$434,"All landing pages",Countries!$B$5:$B$434,"Paid Search",Countries!$D$5:$D$434,$A283)=0,"",SUMIFS(Countries!$AE$5:$AE$434,Countries!$A$5:$A$434,"All landing pages",Countries!$B$5:$B$434,"Paid Search",Countries!$D$5:$D$434,$A283))</f>
        <v/>
      </c>
      <c r="D283" s="69">
        <f>IF(OR(C283="",B283="",B283=0,C283=0),"",C283-B283)</f>
        <v/>
      </c>
      <c r="E283" s="42">
        <f>IF(OR(C283="",B283="",B283=0,C283=0),"",C283/B283-1)</f>
        <v/>
      </c>
      <c r="F283" s="41">
        <f>IF(SUMIFS(Countries!$AD$5:$AD$434,Countries!$A$5:$A$434,"All landing pages",Countries!$B$5:$B$434,"Organic",Countries!$D$5:$D$434,$A283)=0,"",SUMIFS(Countries!$AD$5:$AD$434,Countries!$A$5:$A$434,"All landing pages",Countries!$B$5:$B$434,"Organic",Countries!$D$5:$D$434,$A283))</f>
        <v/>
      </c>
      <c r="G283" s="41">
        <f>IF(SUMIFS(Countries!$AE$5:$AE$434,Countries!$A$5:$A$434,"All landing pages",Countries!$B$5:$B$434,"Organic",Countries!$D$5:$D$434,$A283)=0,"",SUMIFS(Countries!$AE$5:$AE$434,Countries!$A$5:$A$434,"All landing pages",Countries!$B$5:$B$434,"Organic",Countries!$D$5:$D$434,$A283))</f>
        <v/>
      </c>
      <c r="H283" s="69">
        <f>IF(OR(G283="",F283="",F283=0,G283=0),"",G283-F283)</f>
        <v/>
      </c>
      <c r="I283" s="42">
        <f>IF(OR(G283="",F283="",F283=0,G283=0),"",G283/F283-1)</f>
        <v/>
      </c>
      <c r="J283" s="41">
        <f>IF(SUMIFS(Countries!$AD$5:$AD$434,Countries!$A$5:$A$434,"All landing pages",Countries!$B$5:$B$434,"Direct",Countries!$D$5:$D$434,$A283)=0,"",SUMIFS(Countries!$AD$5:$AD$434,Countries!$A$5:$A$434,"All landing pages",Countries!$B$5:$B$434,"Direct",Countries!$D$5:$D$434,$A283))</f>
        <v/>
      </c>
      <c r="K283" s="41">
        <f>IF(SUMIFS(Countries!$AE$5:$AE$434,Countries!$A$5:$A$434,"All landing pages",Countries!$B$5:$B$434,"Direct",Countries!$D$5:$D$434,$A283)=0,"",SUMIFS(Countries!$AE$5:$AE$434,Countries!$A$5:$A$434,"All landing pages",Countries!$B$5:$B$434,"Direct",Countries!$D$5:$D$434,$A283))</f>
        <v/>
      </c>
      <c r="L283" s="69">
        <f>IF(OR(K283="",J283="",J283=0,K283=0),"",K283-J283)</f>
        <v/>
      </c>
      <c r="M283" s="42">
        <f>IF(OR(K283="",J283="",J283=0,K283=0),"",K283/J283-1)</f>
        <v/>
      </c>
      <c r="N283" s="41">
        <f>IF(SUM(B283,F283,J283)=0,"",SUM(B283,F283,J283))</f>
        <v/>
      </c>
      <c r="O283" s="41">
        <f>IF(SUM(C283,G283,K283)=0,"",SUM(C283,G283,K283))</f>
        <v/>
      </c>
      <c r="P283" s="69">
        <f>IF(OR(O283="",N283="",N283=0,O283=0),"",O283-N283)</f>
        <v/>
      </c>
      <c r="Q283" s="42">
        <f>IF(OR(O283="",N283="",N283=0,O283=0),"",O283/N283-1)</f>
        <v/>
      </c>
    </row>
    <row r="284">
      <c r="A284" s="56" t="inlineStr">
        <is>
          <t>Austria</t>
        </is>
      </c>
      <c r="B284" s="41">
        <f>IF(SUMIFS(Countries!$AD$5:$AD$434,Countries!$A$5:$A$434,"All landing pages",Countries!$B$5:$B$434,"Paid Search",Countries!$D$5:$D$434,$A284)=0,"",SUMIFS(Countries!$AD$5:$AD$434,Countries!$A$5:$A$434,"All landing pages",Countries!$B$5:$B$434,"Paid Search",Countries!$D$5:$D$434,$A284))</f>
        <v/>
      </c>
      <c r="C284" s="41">
        <f>IF(SUMIFS(Countries!$AE$5:$AE$434,Countries!$A$5:$A$434,"All landing pages",Countries!$B$5:$B$434,"Paid Search",Countries!$D$5:$D$434,$A284)=0,"",SUMIFS(Countries!$AE$5:$AE$434,Countries!$A$5:$A$434,"All landing pages",Countries!$B$5:$B$434,"Paid Search",Countries!$D$5:$D$434,$A284))</f>
        <v/>
      </c>
      <c r="D284" s="69">
        <f>IF(OR(C284="",B284="",B284=0,C284=0),"",C284-B284)</f>
        <v/>
      </c>
      <c r="E284" s="42">
        <f>IF(OR(C284="",B284="",B284=0,C284=0),"",C284/B284-1)</f>
        <v/>
      </c>
      <c r="F284" s="41">
        <f>IF(SUMIFS(Countries!$AD$5:$AD$434,Countries!$A$5:$A$434,"All landing pages",Countries!$B$5:$B$434,"Organic",Countries!$D$5:$D$434,$A284)=0,"",SUMIFS(Countries!$AD$5:$AD$434,Countries!$A$5:$A$434,"All landing pages",Countries!$B$5:$B$434,"Organic",Countries!$D$5:$D$434,$A284))</f>
        <v/>
      </c>
      <c r="G284" s="41">
        <f>IF(SUMIFS(Countries!$AE$5:$AE$434,Countries!$A$5:$A$434,"All landing pages",Countries!$B$5:$B$434,"Organic",Countries!$D$5:$D$434,$A284)=0,"",SUMIFS(Countries!$AE$5:$AE$434,Countries!$A$5:$A$434,"All landing pages",Countries!$B$5:$B$434,"Organic",Countries!$D$5:$D$434,$A284))</f>
        <v/>
      </c>
      <c r="H284" s="69">
        <f>IF(OR(G284="",F284="",F284=0,G284=0),"",G284-F284)</f>
        <v/>
      </c>
      <c r="I284" s="42">
        <f>IF(OR(G284="",F284="",F284=0,G284=0),"",G284/F284-1)</f>
        <v/>
      </c>
      <c r="J284" s="41">
        <f>IF(SUMIFS(Countries!$AD$5:$AD$434,Countries!$A$5:$A$434,"All landing pages",Countries!$B$5:$B$434,"Direct",Countries!$D$5:$D$434,$A284)=0,"",SUMIFS(Countries!$AD$5:$AD$434,Countries!$A$5:$A$434,"All landing pages",Countries!$B$5:$B$434,"Direct",Countries!$D$5:$D$434,$A284))</f>
        <v/>
      </c>
      <c r="K284" s="41">
        <f>IF(SUMIFS(Countries!$AE$5:$AE$434,Countries!$A$5:$A$434,"All landing pages",Countries!$B$5:$B$434,"Direct",Countries!$D$5:$D$434,$A284)=0,"",SUMIFS(Countries!$AE$5:$AE$434,Countries!$A$5:$A$434,"All landing pages",Countries!$B$5:$B$434,"Direct",Countries!$D$5:$D$434,$A284))</f>
        <v/>
      </c>
      <c r="L284" s="69">
        <f>IF(OR(K284="",J284="",J284=0,K284=0),"",K284-J284)</f>
        <v/>
      </c>
      <c r="M284" s="42">
        <f>IF(OR(K284="",J284="",J284=0,K284=0),"",K284/J284-1)</f>
        <v/>
      </c>
      <c r="N284" s="41">
        <f>IF(SUM(B284,F284,J284)=0,"",SUM(B284,F284,J284))</f>
        <v/>
      </c>
      <c r="O284" s="41">
        <f>IF(SUM(C284,G284,K284)=0,"",SUM(C284,G284,K284))</f>
        <v/>
      </c>
      <c r="P284" s="69">
        <f>IF(OR(O284="",N284="",N284=0,O284=0),"",O284-N284)</f>
        <v/>
      </c>
      <c r="Q284" s="42">
        <f>IF(OR(O284="",N284="",N284=0,O284=0),"",O284/N284-1)</f>
        <v/>
      </c>
    </row>
    <row r="285">
      <c r="A285" s="40" t="inlineStr">
        <is>
          <t>Denmark</t>
        </is>
      </c>
      <c r="B285" s="41">
        <f>IF(SUMIFS(Countries!$AD$5:$AD$434,Countries!$A$5:$A$434,"All landing pages",Countries!$B$5:$B$434,"Paid Search",Countries!$D$5:$D$434,$A285)=0,"",SUMIFS(Countries!$AD$5:$AD$434,Countries!$A$5:$A$434,"All landing pages",Countries!$B$5:$B$434,"Paid Search",Countries!$D$5:$D$434,$A285))</f>
        <v/>
      </c>
      <c r="C285" s="41">
        <f>IF(SUMIFS(Countries!$AE$5:$AE$434,Countries!$A$5:$A$434,"All landing pages",Countries!$B$5:$B$434,"Paid Search",Countries!$D$5:$D$434,$A285)=0,"",SUMIFS(Countries!$AE$5:$AE$434,Countries!$A$5:$A$434,"All landing pages",Countries!$B$5:$B$434,"Paid Search",Countries!$D$5:$D$434,$A285))</f>
        <v/>
      </c>
      <c r="D285" s="69">
        <f>IF(OR(C285="",B285="",B285=0,C285=0),"",C285-B285)</f>
        <v/>
      </c>
      <c r="E285" s="42">
        <f>IF(OR(C285="",B285="",B285=0,C285=0),"",C285/B285-1)</f>
        <v/>
      </c>
      <c r="F285" s="41">
        <f>IF(SUMIFS(Countries!$AD$5:$AD$434,Countries!$A$5:$A$434,"All landing pages",Countries!$B$5:$B$434,"Organic",Countries!$D$5:$D$434,$A285)=0,"",SUMIFS(Countries!$AD$5:$AD$434,Countries!$A$5:$A$434,"All landing pages",Countries!$B$5:$B$434,"Organic",Countries!$D$5:$D$434,$A285))</f>
        <v/>
      </c>
      <c r="G285" s="41">
        <f>IF(SUMIFS(Countries!$AE$5:$AE$434,Countries!$A$5:$A$434,"All landing pages",Countries!$B$5:$B$434,"Organic",Countries!$D$5:$D$434,$A285)=0,"",SUMIFS(Countries!$AE$5:$AE$434,Countries!$A$5:$A$434,"All landing pages",Countries!$B$5:$B$434,"Organic",Countries!$D$5:$D$434,$A285))</f>
        <v/>
      </c>
      <c r="H285" s="69">
        <f>IF(OR(G285="",F285="",F285=0,G285=0),"",G285-F285)</f>
        <v/>
      </c>
      <c r="I285" s="42">
        <f>IF(OR(G285="",F285="",F285=0,G285=0),"",G285/F285-1)</f>
        <v/>
      </c>
      <c r="J285" s="41">
        <f>IF(SUMIFS(Countries!$AD$5:$AD$434,Countries!$A$5:$A$434,"All landing pages",Countries!$B$5:$B$434,"Direct",Countries!$D$5:$D$434,$A285)=0,"",SUMIFS(Countries!$AD$5:$AD$434,Countries!$A$5:$A$434,"All landing pages",Countries!$B$5:$B$434,"Direct",Countries!$D$5:$D$434,$A285))</f>
        <v/>
      </c>
      <c r="K285" s="41">
        <f>IF(SUMIFS(Countries!$AE$5:$AE$434,Countries!$A$5:$A$434,"All landing pages",Countries!$B$5:$B$434,"Direct",Countries!$D$5:$D$434,$A285)=0,"",SUMIFS(Countries!$AE$5:$AE$434,Countries!$A$5:$A$434,"All landing pages",Countries!$B$5:$B$434,"Direct",Countries!$D$5:$D$434,$A285))</f>
        <v/>
      </c>
      <c r="L285" s="69">
        <f>IF(OR(K285="",J285="",J285=0,K285=0),"",K285-J285)</f>
        <v/>
      </c>
      <c r="M285" s="42">
        <f>IF(OR(K285="",J285="",J285=0,K285=0),"",K285/J285-1)</f>
        <v/>
      </c>
      <c r="N285" s="41">
        <f>IF(SUM(B285,F285,J285)=0,"",SUM(B285,F285,J285))</f>
        <v/>
      </c>
      <c r="O285" s="41">
        <f>IF(SUM(C285,G285,K285)=0,"",SUM(C285,G285,K285))</f>
        <v/>
      </c>
      <c r="P285" s="69">
        <f>IF(OR(O285="",N285="",N285=0,O285=0),"",O285-N285)</f>
        <v/>
      </c>
      <c r="Q285" s="42">
        <f>IF(OR(O285="",N285="",N285=0,O285=0),"",O285/N285-1)</f>
        <v/>
      </c>
    </row>
    <row r="286">
      <c r="A286" s="56" t="inlineStr">
        <is>
          <t>Norway</t>
        </is>
      </c>
      <c r="B286" s="41">
        <f>IF(SUMIFS(Countries!$AD$5:$AD$434,Countries!$A$5:$A$434,"All landing pages",Countries!$B$5:$B$434,"Paid Search",Countries!$D$5:$D$434,$A286)=0,"",SUMIFS(Countries!$AD$5:$AD$434,Countries!$A$5:$A$434,"All landing pages",Countries!$B$5:$B$434,"Paid Search",Countries!$D$5:$D$434,$A286))</f>
        <v/>
      </c>
      <c r="C286" s="41">
        <f>IF(SUMIFS(Countries!$AE$5:$AE$434,Countries!$A$5:$A$434,"All landing pages",Countries!$B$5:$B$434,"Paid Search",Countries!$D$5:$D$434,$A286)=0,"",SUMIFS(Countries!$AE$5:$AE$434,Countries!$A$5:$A$434,"All landing pages",Countries!$B$5:$B$434,"Paid Search",Countries!$D$5:$D$434,$A286))</f>
        <v/>
      </c>
      <c r="D286" s="69">
        <f>IF(OR(C286="",B286="",B286=0,C286=0),"",C286-B286)</f>
        <v/>
      </c>
      <c r="E286" s="42">
        <f>IF(OR(C286="",B286="",B286=0,C286=0),"",C286/B286-1)</f>
        <v/>
      </c>
      <c r="F286" s="41">
        <f>IF(SUMIFS(Countries!$AD$5:$AD$434,Countries!$A$5:$A$434,"All landing pages",Countries!$B$5:$B$434,"Organic",Countries!$D$5:$D$434,$A286)=0,"",SUMIFS(Countries!$AD$5:$AD$434,Countries!$A$5:$A$434,"All landing pages",Countries!$B$5:$B$434,"Organic",Countries!$D$5:$D$434,$A286))</f>
        <v/>
      </c>
      <c r="G286" s="41">
        <f>IF(SUMIFS(Countries!$AE$5:$AE$434,Countries!$A$5:$A$434,"All landing pages",Countries!$B$5:$B$434,"Organic",Countries!$D$5:$D$434,$A286)=0,"",SUMIFS(Countries!$AE$5:$AE$434,Countries!$A$5:$A$434,"All landing pages",Countries!$B$5:$B$434,"Organic",Countries!$D$5:$D$434,$A286))</f>
        <v/>
      </c>
      <c r="H286" s="69">
        <f>IF(OR(G286="",F286="",F286=0,G286=0),"",G286-F286)</f>
        <v/>
      </c>
      <c r="I286" s="42">
        <f>IF(OR(G286="",F286="",F286=0,G286=0),"",G286/F286-1)</f>
        <v/>
      </c>
      <c r="J286" s="41">
        <f>IF(SUMIFS(Countries!$AD$5:$AD$434,Countries!$A$5:$A$434,"All landing pages",Countries!$B$5:$B$434,"Direct",Countries!$D$5:$D$434,$A286)=0,"",SUMIFS(Countries!$AD$5:$AD$434,Countries!$A$5:$A$434,"All landing pages",Countries!$B$5:$B$434,"Direct",Countries!$D$5:$D$434,$A286))</f>
        <v/>
      </c>
      <c r="K286" s="41">
        <f>IF(SUMIFS(Countries!$AE$5:$AE$434,Countries!$A$5:$A$434,"All landing pages",Countries!$B$5:$B$434,"Direct",Countries!$D$5:$D$434,$A286)=0,"",SUMIFS(Countries!$AE$5:$AE$434,Countries!$A$5:$A$434,"All landing pages",Countries!$B$5:$B$434,"Direct",Countries!$D$5:$D$434,$A286))</f>
        <v/>
      </c>
      <c r="L286" s="69">
        <f>IF(OR(K286="",J286="",J286=0,K286=0),"",K286-J286)</f>
        <v/>
      </c>
      <c r="M286" s="42">
        <f>IF(OR(K286="",J286="",J286=0,K286=0),"",K286/J286-1)</f>
        <v/>
      </c>
      <c r="N286" s="41">
        <f>IF(SUM(B286,F286,J286)=0,"",SUM(B286,F286,J286))</f>
        <v/>
      </c>
      <c r="O286" s="41">
        <f>IF(SUM(C286,G286,K286)=0,"",SUM(C286,G286,K286))</f>
        <v/>
      </c>
      <c r="P286" s="69">
        <f>IF(OR(O286="",N286="",N286=0,O286=0),"",O286-N286)</f>
        <v/>
      </c>
      <c r="Q286" s="42">
        <f>IF(OR(O286="",N286="",N286=0,O286=0),"",O286/N286-1)</f>
        <v/>
      </c>
    </row>
    <row r="287">
      <c r="A287" s="40" t="inlineStr">
        <is>
          <t>Finland</t>
        </is>
      </c>
      <c r="B287" s="41">
        <f>IF(SUMIFS(Countries!$AD$5:$AD$434,Countries!$A$5:$A$434,"All landing pages",Countries!$B$5:$B$434,"Paid Search",Countries!$D$5:$D$434,$A287)=0,"",SUMIFS(Countries!$AD$5:$AD$434,Countries!$A$5:$A$434,"All landing pages",Countries!$B$5:$B$434,"Paid Search",Countries!$D$5:$D$434,$A287))</f>
        <v/>
      </c>
      <c r="C287" s="41">
        <f>IF(SUMIFS(Countries!$AE$5:$AE$434,Countries!$A$5:$A$434,"All landing pages",Countries!$B$5:$B$434,"Paid Search",Countries!$D$5:$D$434,$A287)=0,"",SUMIFS(Countries!$AE$5:$AE$434,Countries!$A$5:$A$434,"All landing pages",Countries!$B$5:$B$434,"Paid Search",Countries!$D$5:$D$434,$A287))</f>
        <v/>
      </c>
      <c r="D287" s="69">
        <f>IF(OR(C287="",B287="",B287=0,C287=0),"",C287-B287)</f>
        <v/>
      </c>
      <c r="E287" s="42">
        <f>IF(OR(C287="",B287="",B287=0,C287=0),"",C287/B287-1)</f>
        <v/>
      </c>
      <c r="F287" s="41">
        <f>IF(SUMIFS(Countries!$AD$5:$AD$434,Countries!$A$5:$A$434,"All landing pages",Countries!$B$5:$B$434,"Organic",Countries!$D$5:$D$434,$A287)=0,"",SUMIFS(Countries!$AD$5:$AD$434,Countries!$A$5:$A$434,"All landing pages",Countries!$B$5:$B$434,"Organic",Countries!$D$5:$D$434,$A287))</f>
        <v/>
      </c>
      <c r="G287" s="41">
        <f>IF(SUMIFS(Countries!$AE$5:$AE$434,Countries!$A$5:$A$434,"All landing pages",Countries!$B$5:$B$434,"Organic",Countries!$D$5:$D$434,$A287)=0,"",SUMIFS(Countries!$AE$5:$AE$434,Countries!$A$5:$A$434,"All landing pages",Countries!$B$5:$B$434,"Organic",Countries!$D$5:$D$434,$A287))</f>
        <v/>
      </c>
      <c r="H287" s="69">
        <f>IF(OR(G287="",F287="",F287=0,G287=0),"",G287-F287)</f>
        <v/>
      </c>
      <c r="I287" s="42">
        <f>IF(OR(G287="",F287="",F287=0,G287=0),"",G287/F287-1)</f>
        <v/>
      </c>
      <c r="J287" s="41">
        <f>IF(SUMIFS(Countries!$AD$5:$AD$434,Countries!$A$5:$A$434,"All landing pages",Countries!$B$5:$B$434,"Direct",Countries!$D$5:$D$434,$A287)=0,"",SUMIFS(Countries!$AD$5:$AD$434,Countries!$A$5:$A$434,"All landing pages",Countries!$B$5:$B$434,"Direct",Countries!$D$5:$D$434,$A287))</f>
        <v/>
      </c>
      <c r="K287" s="41">
        <f>IF(SUMIFS(Countries!$AE$5:$AE$434,Countries!$A$5:$A$434,"All landing pages",Countries!$B$5:$B$434,"Direct",Countries!$D$5:$D$434,$A287)=0,"",SUMIFS(Countries!$AE$5:$AE$434,Countries!$A$5:$A$434,"All landing pages",Countries!$B$5:$B$434,"Direct",Countries!$D$5:$D$434,$A287))</f>
        <v/>
      </c>
      <c r="L287" s="69">
        <f>IF(OR(K287="",J287="",J287=0,K287=0),"",K287-J287)</f>
        <v/>
      </c>
      <c r="M287" s="42">
        <f>IF(OR(K287="",J287="",J287=0,K287=0),"",K287/J287-1)</f>
        <v/>
      </c>
      <c r="N287" s="41">
        <f>IF(SUM(B287,F287,J287)=0,"",SUM(B287,F287,J287))</f>
        <v/>
      </c>
      <c r="O287" s="41">
        <f>IF(SUM(C287,G287,K287)=0,"",SUM(C287,G287,K287))</f>
        <v/>
      </c>
      <c r="P287" s="69">
        <f>IF(OR(O287="",N287="",N287=0,O287=0),"",O287-N287)</f>
        <v/>
      </c>
      <c r="Q287" s="42">
        <f>IF(OR(O287="",N287="",N287=0,O287=0),"",O287/N287-1)</f>
        <v/>
      </c>
    </row>
    <row r="288">
      <c r="A288" s="56" t="inlineStr">
        <is>
          <t>Portugal</t>
        </is>
      </c>
      <c r="B288" s="41">
        <f>IF(SUMIFS(Countries!$AD$5:$AD$434,Countries!$A$5:$A$434,"All landing pages",Countries!$B$5:$B$434,"Paid Search",Countries!$D$5:$D$434,$A288)=0,"",SUMIFS(Countries!$AD$5:$AD$434,Countries!$A$5:$A$434,"All landing pages",Countries!$B$5:$B$434,"Paid Search",Countries!$D$5:$D$434,$A288))</f>
        <v/>
      </c>
      <c r="C288" s="41">
        <f>IF(SUMIFS(Countries!$AE$5:$AE$434,Countries!$A$5:$A$434,"All landing pages",Countries!$B$5:$B$434,"Paid Search",Countries!$D$5:$D$434,$A288)=0,"",SUMIFS(Countries!$AE$5:$AE$434,Countries!$A$5:$A$434,"All landing pages",Countries!$B$5:$B$434,"Paid Search",Countries!$D$5:$D$434,$A288))</f>
        <v/>
      </c>
      <c r="D288" s="69">
        <f>IF(OR(C288="",B288="",B288=0,C288=0),"",C288-B288)</f>
        <v/>
      </c>
      <c r="E288" s="42">
        <f>IF(OR(C288="",B288="",B288=0,C288=0),"",C288/B288-1)</f>
        <v/>
      </c>
      <c r="F288" s="41">
        <f>IF(SUMIFS(Countries!$AD$5:$AD$434,Countries!$A$5:$A$434,"All landing pages",Countries!$B$5:$B$434,"Organic",Countries!$D$5:$D$434,$A288)=0,"",SUMIFS(Countries!$AD$5:$AD$434,Countries!$A$5:$A$434,"All landing pages",Countries!$B$5:$B$434,"Organic",Countries!$D$5:$D$434,$A288))</f>
        <v/>
      </c>
      <c r="G288" s="41">
        <f>IF(SUMIFS(Countries!$AE$5:$AE$434,Countries!$A$5:$A$434,"All landing pages",Countries!$B$5:$B$434,"Organic",Countries!$D$5:$D$434,$A288)=0,"",SUMIFS(Countries!$AE$5:$AE$434,Countries!$A$5:$A$434,"All landing pages",Countries!$B$5:$B$434,"Organic",Countries!$D$5:$D$434,$A288))</f>
        <v/>
      </c>
      <c r="H288" s="69">
        <f>IF(OR(G288="",F288="",F288=0,G288=0),"",G288-F288)</f>
        <v/>
      </c>
      <c r="I288" s="42">
        <f>IF(OR(G288="",F288="",F288=0,G288=0),"",G288/F288-1)</f>
        <v/>
      </c>
      <c r="J288" s="41">
        <f>IF(SUMIFS(Countries!$AD$5:$AD$434,Countries!$A$5:$A$434,"All landing pages",Countries!$B$5:$B$434,"Direct",Countries!$D$5:$D$434,$A288)=0,"",SUMIFS(Countries!$AD$5:$AD$434,Countries!$A$5:$A$434,"All landing pages",Countries!$B$5:$B$434,"Direct",Countries!$D$5:$D$434,$A288))</f>
        <v/>
      </c>
      <c r="K288" s="41">
        <f>IF(SUMIFS(Countries!$AE$5:$AE$434,Countries!$A$5:$A$434,"All landing pages",Countries!$B$5:$B$434,"Direct",Countries!$D$5:$D$434,$A288)=0,"",SUMIFS(Countries!$AE$5:$AE$434,Countries!$A$5:$A$434,"All landing pages",Countries!$B$5:$B$434,"Direct",Countries!$D$5:$D$434,$A288))</f>
        <v/>
      </c>
      <c r="L288" s="69">
        <f>IF(OR(K288="",J288="",J288=0,K288=0),"",K288-J288)</f>
        <v/>
      </c>
      <c r="M288" s="42">
        <f>IF(OR(K288="",J288="",J288=0,K288=0),"",K288/J288-1)</f>
        <v/>
      </c>
      <c r="N288" s="41">
        <f>IF(SUM(B288,F288,J288)=0,"",SUM(B288,F288,J288))</f>
        <v/>
      </c>
      <c r="O288" s="41">
        <f>IF(SUM(C288,G288,K288)=0,"",SUM(C288,G288,K288))</f>
        <v/>
      </c>
      <c r="P288" s="69">
        <f>IF(OR(O288="",N288="",N288=0,O288=0),"",O288-N288)</f>
        <v/>
      </c>
      <c r="Q288" s="42">
        <f>IF(OR(O288="",N288="",N288=0,O288=0),"",O288/N288-1)</f>
        <v/>
      </c>
    </row>
    <row r="289">
      <c r="A289" s="40" t="inlineStr">
        <is>
          <t>Türkiye</t>
        </is>
      </c>
      <c r="B289" s="41">
        <f>IF(SUMIFS(Countries!$AD$5:$AD$434,Countries!$A$5:$A$434,"All landing pages",Countries!$B$5:$B$434,"Paid Search",Countries!$D$5:$D$434,$A289)=0,"",SUMIFS(Countries!$AD$5:$AD$434,Countries!$A$5:$A$434,"All landing pages",Countries!$B$5:$B$434,"Paid Search",Countries!$D$5:$D$434,$A289))</f>
        <v/>
      </c>
      <c r="C289" s="41">
        <f>IF(SUMIFS(Countries!$AE$5:$AE$434,Countries!$A$5:$A$434,"All landing pages",Countries!$B$5:$B$434,"Paid Search",Countries!$D$5:$D$434,$A289)=0,"",SUMIFS(Countries!$AE$5:$AE$434,Countries!$A$5:$A$434,"All landing pages",Countries!$B$5:$B$434,"Paid Search",Countries!$D$5:$D$434,$A289))</f>
        <v/>
      </c>
      <c r="D289" s="69">
        <f>IF(OR(C289="",B289="",B289=0,C289=0),"",C289-B289)</f>
        <v/>
      </c>
      <c r="E289" s="42">
        <f>IF(OR(C289="",B289="",B289=0,C289=0),"",C289/B289-1)</f>
        <v/>
      </c>
      <c r="F289" s="41">
        <f>IF(SUMIFS(Countries!$AD$5:$AD$434,Countries!$A$5:$A$434,"All landing pages",Countries!$B$5:$B$434,"Organic",Countries!$D$5:$D$434,$A289)=0,"",SUMIFS(Countries!$AD$5:$AD$434,Countries!$A$5:$A$434,"All landing pages",Countries!$B$5:$B$434,"Organic",Countries!$D$5:$D$434,$A289))</f>
        <v/>
      </c>
      <c r="G289" s="41">
        <f>IF(SUMIFS(Countries!$AE$5:$AE$434,Countries!$A$5:$A$434,"All landing pages",Countries!$B$5:$B$434,"Organic",Countries!$D$5:$D$434,$A289)=0,"",SUMIFS(Countries!$AE$5:$AE$434,Countries!$A$5:$A$434,"All landing pages",Countries!$B$5:$B$434,"Organic",Countries!$D$5:$D$434,$A289))</f>
        <v/>
      </c>
      <c r="H289" s="69">
        <f>IF(OR(G289="",F289="",F289=0,G289=0),"",G289-F289)</f>
        <v/>
      </c>
      <c r="I289" s="42">
        <f>IF(OR(G289="",F289="",F289=0,G289=0),"",G289/F289-1)</f>
        <v/>
      </c>
      <c r="J289" s="41">
        <f>IF(SUMIFS(Countries!$AD$5:$AD$434,Countries!$A$5:$A$434,"All landing pages",Countries!$B$5:$B$434,"Direct",Countries!$D$5:$D$434,$A289)=0,"",SUMIFS(Countries!$AD$5:$AD$434,Countries!$A$5:$A$434,"All landing pages",Countries!$B$5:$B$434,"Direct",Countries!$D$5:$D$434,$A289))</f>
        <v/>
      </c>
      <c r="K289" s="41">
        <f>IF(SUMIFS(Countries!$AE$5:$AE$434,Countries!$A$5:$A$434,"All landing pages",Countries!$B$5:$B$434,"Direct",Countries!$D$5:$D$434,$A289)=0,"",SUMIFS(Countries!$AE$5:$AE$434,Countries!$A$5:$A$434,"All landing pages",Countries!$B$5:$B$434,"Direct",Countries!$D$5:$D$434,$A289))</f>
        <v/>
      </c>
      <c r="L289" s="69">
        <f>IF(OR(K289="",J289="",J289=0,K289=0),"",K289-J289)</f>
        <v/>
      </c>
      <c r="M289" s="42">
        <f>IF(OR(K289="",J289="",J289=0,K289=0),"",K289/J289-1)</f>
        <v/>
      </c>
      <c r="N289" s="41">
        <f>IF(SUM(B289,F289,J289)=0,"",SUM(B289,F289,J289))</f>
        <v/>
      </c>
      <c r="O289" s="41">
        <f>IF(SUM(C289,G289,K289)=0,"",SUM(C289,G289,K289))</f>
        <v/>
      </c>
      <c r="P289" s="69">
        <f>IF(OR(O289="",N289="",N289=0,O289=0),"",O289-N289)</f>
        <v/>
      </c>
      <c r="Q289" s="42">
        <f>IF(OR(O289="",N289="",N289=0,O289=0),"",O289/N289-1)</f>
        <v/>
      </c>
    </row>
    <row r="290">
      <c r="A290" s="56" t="inlineStr">
        <is>
          <t>Australia</t>
        </is>
      </c>
      <c r="B290" s="41">
        <f>IF(SUMIFS(Countries!$AD$5:$AD$434,Countries!$A$5:$A$434,"All landing pages",Countries!$B$5:$B$434,"Paid Search",Countries!$D$5:$D$434,$A290)=0,"",SUMIFS(Countries!$AD$5:$AD$434,Countries!$A$5:$A$434,"All landing pages",Countries!$B$5:$B$434,"Paid Search",Countries!$D$5:$D$434,$A290))</f>
        <v/>
      </c>
      <c r="C290" s="41">
        <f>IF(SUMIFS(Countries!$AE$5:$AE$434,Countries!$A$5:$A$434,"All landing pages",Countries!$B$5:$B$434,"Paid Search",Countries!$D$5:$D$434,$A290)=0,"",SUMIFS(Countries!$AE$5:$AE$434,Countries!$A$5:$A$434,"All landing pages",Countries!$B$5:$B$434,"Paid Search",Countries!$D$5:$D$434,$A290))</f>
        <v/>
      </c>
      <c r="D290" s="69">
        <f>IF(OR(C290="",B290="",B290=0,C290=0),"",C290-B290)</f>
        <v/>
      </c>
      <c r="E290" s="42">
        <f>IF(OR(C290="",B290="",B290=0,C290=0),"",C290/B290-1)</f>
        <v/>
      </c>
      <c r="F290" s="41">
        <f>IF(SUMIFS(Countries!$AD$5:$AD$434,Countries!$A$5:$A$434,"All landing pages",Countries!$B$5:$B$434,"Organic",Countries!$D$5:$D$434,$A290)=0,"",SUMIFS(Countries!$AD$5:$AD$434,Countries!$A$5:$A$434,"All landing pages",Countries!$B$5:$B$434,"Organic",Countries!$D$5:$D$434,$A290))</f>
        <v/>
      </c>
      <c r="G290" s="41">
        <f>IF(SUMIFS(Countries!$AE$5:$AE$434,Countries!$A$5:$A$434,"All landing pages",Countries!$B$5:$B$434,"Organic",Countries!$D$5:$D$434,$A290)=0,"",SUMIFS(Countries!$AE$5:$AE$434,Countries!$A$5:$A$434,"All landing pages",Countries!$B$5:$B$434,"Organic",Countries!$D$5:$D$434,$A290))</f>
        <v/>
      </c>
      <c r="H290" s="69">
        <f>IF(OR(G290="",F290="",F290=0,G290=0),"",G290-F290)</f>
        <v/>
      </c>
      <c r="I290" s="42">
        <f>IF(OR(G290="",F290="",F290=0,G290=0),"",G290/F290-1)</f>
        <v/>
      </c>
      <c r="J290" s="41">
        <f>IF(SUMIFS(Countries!$AD$5:$AD$434,Countries!$A$5:$A$434,"All landing pages",Countries!$B$5:$B$434,"Direct",Countries!$D$5:$D$434,$A290)=0,"",SUMIFS(Countries!$AD$5:$AD$434,Countries!$A$5:$A$434,"All landing pages",Countries!$B$5:$B$434,"Direct",Countries!$D$5:$D$434,$A290))</f>
        <v/>
      </c>
      <c r="K290" s="41">
        <f>IF(SUMIFS(Countries!$AE$5:$AE$434,Countries!$A$5:$A$434,"All landing pages",Countries!$B$5:$B$434,"Direct",Countries!$D$5:$D$434,$A290)=0,"",SUMIFS(Countries!$AE$5:$AE$434,Countries!$A$5:$A$434,"All landing pages",Countries!$B$5:$B$434,"Direct",Countries!$D$5:$D$434,$A290))</f>
        <v/>
      </c>
      <c r="L290" s="69">
        <f>IF(OR(K290="",J290="",J290=0,K290=0),"",K290-J290)</f>
        <v/>
      </c>
      <c r="M290" s="42">
        <f>IF(OR(K290="",J290="",J290=0,K290=0),"",K290/J290-1)</f>
        <v/>
      </c>
      <c r="N290" s="41">
        <f>IF(SUM(B290,F290,J290)=0,"",SUM(B290,F290,J290))</f>
        <v/>
      </c>
      <c r="O290" s="41">
        <f>IF(SUM(C290,G290,K290)=0,"",SUM(C290,G290,K290))</f>
        <v/>
      </c>
      <c r="P290" s="69">
        <f>IF(OR(O290="",N290="",N290=0,O290=0),"",O290-N290)</f>
        <v/>
      </c>
      <c r="Q290" s="42">
        <f>IF(OR(O290="",N290="",N290=0,O290=0),"",O290/N290-1)</f>
        <v/>
      </c>
    </row>
    <row r="291">
      <c r="A291" s="40" t="inlineStr">
        <is>
          <t>Romania</t>
        </is>
      </c>
      <c r="B291" s="41">
        <f>IF(SUMIFS(Countries!$AD$5:$AD$434,Countries!$A$5:$A$434,"All landing pages",Countries!$B$5:$B$434,"Paid Search",Countries!$D$5:$D$434,$A291)=0,"",SUMIFS(Countries!$AD$5:$AD$434,Countries!$A$5:$A$434,"All landing pages",Countries!$B$5:$B$434,"Paid Search",Countries!$D$5:$D$434,$A291))</f>
        <v/>
      </c>
      <c r="C291" s="41">
        <f>IF(SUMIFS(Countries!$AE$5:$AE$434,Countries!$A$5:$A$434,"All landing pages",Countries!$B$5:$B$434,"Paid Search",Countries!$D$5:$D$434,$A291)=0,"",SUMIFS(Countries!$AE$5:$AE$434,Countries!$A$5:$A$434,"All landing pages",Countries!$B$5:$B$434,"Paid Search",Countries!$D$5:$D$434,$A291))</f>
        <v/>
      </c>
      <c r="D291" s="69">
        <f>IF(OR(C291="",B291="",B291=0,C291=0),"",C291-B291)</f>
        <v/>
      </c>
      <c r="E291" s="42">
        <f>IF(OR(C291="",B291="",B291=0,C291=0),"",C291/B291-1)</f>
        <v/>
      </c>
      <c r="F291" s="41">
        <f>IF(SUMIFS(Countries!$AD$5:$AD$434,Countries!$A$5:$A$434,"All landing pages",Countries!$B$5:$B$434,"Organic",Countries!$D$5:$D$434,$A291)=0,"",SUMIFS(Countries!$AD$5:$AD$434,Countries!$A$5:$A$434,"All landing pages",Countries!$B$5:$B$434,"Organic",Countries!$D$5:$D$434,$A291))</f>
        <v/>
      </c>
      <c r="G291" s="41">
        <f>IF(SUMIFS(Countries!$AE$5:$AE$434,Countries!$A$5:$A$434,"All landing pages",Countries!$B$5:$B$434,"Organic",Countries!$D$5:$D$434,$A291)=0,"",SUMIFS(Countries!$AE$5:$AE$434,Countries!$A$5:$A$434,"All landing pages",Countries!$B$5:$B$434,"Organic",Countries!$D$5:$D$434,$A291))</f>
        <v/>
      </c>
      <c r="H291" s="69">
        <f>IF(OR(G291="",F291="",F291=0,G291=0),"",G291-F291)</f>
        <v/>
      </c>
      <c r="I291" s="42">
        <f>IF(OR(G291="",F291="",F291=0,G291=0),"",G291/F291-1)</f>
        <v/>
      </c>
      <c r="J291" s="41">
        <f>IF(SUMIFS(Countries!$AD$5:$AD$434,Countries!$A$5:$A$434,"All landing pages",Countries!$B$5:$B$434,"Direct",Countries!$D$5:$D$434,$A291)=0,"",SUMIFS(Countries!$AD$5:$AD$434,Countries!$A$5:$A$434,"All landing pages",Countries!$B$5:$B$434,"Direct",Countries!$D$5:$D$434,$A291))</f>
        <v/>
      </c>
      <c r="K291" s="41">
        <f>IF(SUMIFS(Countries!$AE$5:$AE$434,Countries!$A$5:$A$434,"All landing pages",Countries!$B$5:$B$434,"Direct",Countries!$D$5:$D$434,$A291)=0,"",SUMIFS(Countries!$AE$5:$AE$434,Countries!$A$5:$A$434,"All landing pages",Countries!$B$5:$B$434,"Direct",Countries!$D$5:$D$434,$A291))</f>
        <v/>
      </c>
      <c r="L291" s="69">
        <f>IF(OR(K291="",J291="",J291=0,K291=0),"",K291-J291)</f>
        <v/>
      </c>
      <c r="M291" s="42">
        <f>IF(OR(K291="",J291="",J291=0,K291=0),"",K291/J291-1)</f>
        <v/>
      </c>
      <c r="N291" s="41">
        <f>IF(SUM(B291,F291,J291)=0,"",SUM(B291,F291,J291))</f>
        <v/>
      </c>
      <c r="O291" s="41">
        <f>IF(SUM(C291,G291,K291)=0,"",SUM(C291,G291,K291))</f>
        <v/>
      </c>
      <c r="P291" s="69">
        <f>IF(OR(O291="",N291="",N291=0,O291=0),"",O291-N291)</f>
        <v/>
      </c>
      <c r="Q291" s="42">
        <f>IF(OR(O291="",N291="",N291=0,O291=0),"",O291/N291-1)</f>
        <v/>
      </c>
    </row>
    <row r="292">
      <c r="A292" s="56" t="inlineStr">
        <is>
          <t>Canada</t>
        </is>
      </c>
      <c r="B292" s="41">
        <f>IF(SUMIFS(Countries!$AD$5:$AD$434,Countries!$A$5:$A$434,"All landing pages",Countries!$B$5:$B$434,"Paid Search",Countries!$D$5:$D$434,$A292)=0,"",SUMIFS(Countries!$AD$5:$AD$434,Countries!$A$5:$A$434,"All landing pages",Countries!$B$5:$B$434,"Paid Search",Countries!$D$5:$D$434,$A292))</f>
        <v/>
      </c>
      <c r="C292" s="41">
        <f>IF(SUMIFS(Countries!$AE$5:$AE$434,Countries!$A$5:$A$434,"All landing pages",Countries!$B$5:$B$434,"Paid Search",Countries!$D$5:$D$434,$A292)=0,"",SUMIFS(Countries!$AE$5:$AE$434,Countries!$A$5:$A$434,"All landing pages",Countries!$B$5:$B$434,"Paid Search",Countries!$D$5:$D$434,$A292))</f>
        <v/>
      </c>
      <c r="D292" s="69">
        <f>IF(OR(C292="",B292="",B292=0,C292=0),"",C292-B292)</f>
        <v/>
      </c>
      <c r="E292" s="42">
        <f>IF(OR(C292="",B292="",B292=0,C292=0),"",C292/B292-1)</f>
        <v/>
      </c>
      <c r="F292" s="41">
        <f>IF(SUMIFS(Countries!$AD$5:$AD$434,Countries!$A$5:$A$434,"All landing pages",Countries!$B$5:$B$434,"Organic",Countries!$D$5:$D$434,$A292)=0,"",SUMIFS(Countries!$AD$5:$AD$434,Countries!$A$5:$A$434,"All landing pages",Countries!$B$5:$B$434,"Organic",Countries!$D$5:$D$434,$A292))</f>
        <v/>
      </c>
      <c r="G292" s="41">
        <f>IF(SUMIFS(Countries!$AE$5:$AE$434,Countries!$A$5:$A$434,"All landing pages",Countries!$B$5:$B$434,"Organic",Countries!$D$5:$D$434,$A292)=0,"",SUMIFS(Countries!$AE$5:$AE$434,Countries!$A$5:$A$434,"All landing pages",Countries!$B$5:$B$434,"Organic",Countries!$D$5:$D$434,$A292))</f>
        <v/>
      </c>
      <c r="H292" s="69">
        <f>IF(OR(G292="",F292="",F292=0,G292=0),"",G292-F292)</f>
        <v/>
      </c>
      <c r="I292" s="42">
        <f>IF(OR(G292="",F292="",F292=0,G292=0),"",G292/F292-1)</f>
        <v/>
      </c>
      <c r="J292" s="41">
        <f>IF(SUMIFS(Countries!$AD$5:$AD$434,Countries!$A$5:$A$434,"All landing pages",Countries!$B$5:$B$434,"Direct",Countries!$D$5:$D$434,$A292)=0,"",SUMIFS(Countries!$AD$5:$AD$434,Countries!$A$5:$A$434,"All landing pages",Countries!$B$5:$B$434,"Direct",Countries!$D$5:$D$434,$A292))</f>
        <v/>
      </c>
      <c r="K292" s="41">
        <f>IF(SUMIFS(Countries!$AE$5:$AE$434,Countries!$A$5:$A$434,"All landing pages",Countries!$B$5:$B$434,"Direct",Countries!$D$5:$D$434,$A292)=0,"",SUMIFS(Countries!$AE$5:$AE$434,Countries!$A$5:$A$434,"All landing pages",Countries!$B$5:$B$434,"Direct",Countries!$D$5:$D$434,$A292))</f>
        <v/>
      </c>
      <c r="L292" s="69">
        <f>IF(OR(K292="",J292="",J292=0,K292=0),"",K292-J292)</f>
        <v/>
      </c>
      <c r="M292" s="42">
        <f>IF(OR(K292="",J292="",J292=0,K292=0),"",K292/J292-1)</f>
        <v/>
      </c>
      <c r="N292" s="41">
        <f>IF(SUM(B292,F292,J292)=0,"",SUM(B292,F292,J292))</f>
        <v/>
      </c>
      <c r="O292" s="41">
        <f>IF(SUM(C292,G292,K292)=0,"",SUM(C292,G292,K292))</f>
        <v/>
      </c>
      <c r="P292" s="69">
        <f>IF(OR(O292="",N292="",N292=0,O292=0),"",O292-N292)</f>
        <v/>
      </c>
      <c r="Q292" s="42">
        <f>IF(OR(O292="",N292="",N292=0,O292=0),"",O292/N292-1)</f>
        <v/>
      </c>
    </row>
    <row r="293">
      <c r="A293" s="40" t="inlineStr">
        <is>
          <t>Greece</t>
        </is>
      </c>
      <c r="B293" s="41">
        <f>IF(SUMIFS(Countries!$AD$5:$AD$434,Countries!$A$5:$A$434,"All landing pages",Countries!$B$5:$B$434,"Paid Search",Countries!$D$5:$D$434,$A293)=0,"",SUMIFS(Countries!$AD$5:$AD$434,Countries!$A$5:$A$434,"All landing pages",Countries!$B$5:$B$434,"Paid Search",Countries!$D$5:$D$434,$A293))</f>
        <v/>
      </c>
      <c r="C293" s="41">
        <f>IF(SUMIFS(Countries!$AE$5:$AE$434,Countries!$A$5:$A$434,"All landing pages",Countries!$B$5:$B$434,"Paid Search",Countries!$D$5:$D$434,$A293)=0,"",SUMIFS(Countries!$AE$5:$AE$434,Countries!$A$5:$A$434,"All landing pages",Countries!$B$5:$B$434,"Paid Search",Countries!$D$5:$D$434,$A293))</f>
        <v/>
      </c>
      <c r="D293" s="69">
        <f>IF(OR(C293="",B293="",B293=0,C293=0),"",C293-B293)</f>
        <v/>
      </c>
      <c r="E293" s="42">
        <f>IF(OR(C293="",B293="",B293=0,C293=0),"",C293/B293-1)</f>
        <v/>
      </c>
      <c r="F293" s="41">
        <f>IF(SUMIFS(Countries!$AD$5:$AD$434,Countries!$A$5:$A$434,"All landing pages",Countries!$B$5:$B$434,"Organic",Countries!$D$5:$D$434,$A293)=0,"",SUMIFS(Countries!$AD$5:$AD$434,Countries!$A$5:$A$434,"All landing pages",Countries!$B$5:$B$434,"Organic",Countries!$D$5:$D$434,$A293))</f>
        <v/>
      </c>
      <c r="G293" s="41">
        <f>IF(SUMIFS(Countries!$AE$5:$AE$434,Countries!$A$5:$A$434,"All landing pages",Countries!$B$5:$B$434,"Organic",Countries!$D$5:$D$434,$A293)=0,"",SUMIFS(Countries!$AE$5:$AE$434,Countries!$A$5:$A$434,"All landing pages",Countries!$B$5:$B$434,"Organic",Countries!$D$5:$D$434,$A293))</f>
        <v/>
      </c>
      <c r="H293" s="69">
        <f>IF(OR(G293="",F293="",F293=0,G293=0),"",G293-F293)</f>
        <v/>
      </c>
      <c r="I293" s="42">
        <f>IF(OR(G293="",F293="",F293=0,G293=0),"",G293/F293-1)</f>
        <v/>
      </c>
      <c r="J293" s="41">
        <f>IF(SUMIFS(Countries!$AD$5:$AD$434,Countries!$A$5:$A$434,"All landing pages",Countries!$B$5:$B$434,"Direct",Countries!$D$5:$D$434,$A293)=0,"",SUMIFS(Countries!$AD$5:$AD$434,Countries!$A$5:$A$434,"All landing pages",Countries!$B$5:$B$434,"Direct",Countries!$D$5:$D$434,$A293))</f>
        <v/>
      </c>
      <c r="K293" s="41">
        <f>IF(SUMIFS(Countries!$AE$5:$AE$434,Countries!$A$5:$A$434,"All landing pages",Countries!$B$5:$B$434,"Direct",Countries!$D$5:$D$434,$A293)=0,"",SUMIFS(Countries!$AE$5:$AE$434,Countries!$A$5:$A$434,"All landing pages",Countries!$B$5:$B$434,"Direct",Countries!$D$5:$D$434,$A293))</f>
        <v/>
      </c>
      <c r="L293" s="69">
        <f>IF(OR(K293="",J293="",J293=0,K293=0),"",K293-J293)</f>
        <v/>
      </c>
      <c r="M293" s="42">
        <f>IF(OR(K293="",J293="",J293=0,K293=0),"",K293/J293-1)</f>
        <v/>
      </c>
      <c r="N293" s="41">
        <f>IF(SUM(B293,F293,J293)=0,"",SUM(B293,F293,J293))</f>
        <v/>
      </c>
      <c r="O293" s="41">
        <f>IF(SUM(C293,G293,K293)=0,"",SUM(C293,G293,K293))</f>
        <v/>
      </c>
      <c r="P293" s="69">
        <f>IF(OR(O293="",N293="",N293=0,O293=0),"",O293-N293)</f>
        <v/>
      </c>
      <c r="Q293" s="42">
        <f>IF(OR(O293="",N293="",N293=0,O293=0),"",O293/N293-1)</f>
        <v/>
      </c>
    </row>
    <row r="294">
      <c r="A294" s="56" t="inlineStr">
        <is>
          <t>Switzerland</t>
        </is>
      </c>
      <c r="B294" s="41">
        <f>IF(SUMIFS(Countries!$AD$5:$AD$434,Countries!$A$5:$A$434,"All landing pages",Countries!$B$5:$B$434,"Paid Search",Countries!$D$5:$D$434,$A294)=0,"",SUMIFS(Countries!$AD$5:$AD$434,Countries!$A$5:$A$434,"All landing pages",Countries!$B$5:$B$434,"Paid Search",Countries!$D$5:$D$434,$A294))</f>
        <v/>
      </c>
      <c r="C294" s="41">
        <f>IF(SUMIFS(Countries!$AE$5:$AE$434,Countries!$A$5:$A$434,"All landing pages",Countries!$B$5:$B$434,"Paid Search",Countries!$D$5:$D$434,$A294)=0,"",SUMIFS(Countries!$AE$5:$AE$434,Countries!$A$5:$A$434,"All landing pages",Countries!$B$5:$B$434,"Paid Search",Countries!$D$5:$D$434,$A294))</f>
        <v/>
      </c>
      <c r="D294" s="69">
        <f>IF(OR(C294="",B294="",B294=0,C294=0),"",C294-B294)</f>
        <v/>
      </c>
      <c r="E294" s="42">
        <f>IF(OR(C294="",B294="",B294=0,C294=0),"",C294/B294-1)</f>
        <v/>
      </c>
      <c r="F294" s="41">
        <f>IF(SUMIFS(Countries!$AD$5:$AD$434,Countries!$A$5:$A$434,"All landing pages",Countries!$B$5:$B$434,"Organic",Countries!$D$5:$D$434,$A294)=0,"",SUMIFS(Countries!$AD$5:$AD$434,Countries!$A$5:$A$434,"All landing pages",Countries!$B$5:$B$434,"Organic",Countries!$D$5:$D$434,$A294))</f>
        <v/>
      </c>
      <c r="G294" s="41">
        <f>IF(SUMIFS(Countries!$AE$5:$AE$434,Countries!$A$5:$A$434,"All landing pages",Countries!$B$5:$B$434,"Organic",Countries!$D$5:$D$434,$A294)=0,"",SUMIFS(Countries!$AE$5:$AE$434,Countries!$A$5:$A$434,"All landing pages",Countries!$B$5:$B$434,"Organic",Countries!$D$5:$D$434,$A294))</f>
        <v/>
      </c>
      <c r="H294" s="69">
        <f>IF(OR(G294="",F294="",F294=0,G294=0),"",G294-F294)</f>
        <v/>
      </c>
      <c r="I294" s="42">
        <f>IF(OR(G294="",F294="",F294=0,G294=0),"",G294/F294-1)</f>
        <v/>
      </c>
      <c r="J294" s="41">
        <f>IF(SUMIFS(Countries!$AD$5:$AD$434,Countries!$A$5:$A$434,"All landing pages",Countries!$B$5:$B$434,"Direct",Countries!$D$5:$D$434,$A294)=0,"",SUMIFS(Countries!$AD$5:$AD$434,Countries!$A$5:$A$434,"All landing pages",Countries!$B$5:$B$434,"Direct",Countries!$D$5:$D$434,$A294))</f>
        <v/>
      </c>
      <c r="K294" s="41">
        <f>IF(SUMIFS(Countries!$AE$5:$AE$434,Countries!$A$5:$A$434,"All landing pages",Countries!$B$5:$B$434,"Direct",Countries!$D$5:$D$434,$A294)=0,"",SUMIFS(Countries!$AE$5:$AE$434,Countries!$A$5:$A$434,"All landing pages",Countries!$B$5:$B$434,"Direct",Countries!$D$5:$D$434,$A294))</f>
        <v/>
      </c>
      <c r="L294" s="69">
        <f>IF(OR(K294="",J294="",J294=0,K294=0),"",K294-J294)</f>
        <v/>
      </c>
      <c r="M294" s="42">
        <f>IF(OR(K294="",J294="",J294=0,K294=0),"",K294/J294-1)</f>
        <v/>
      </c>
      <c r="N294" s="41">
        <f>IF(SUM(B294,F294,J294)=0,"",SUM(B294,F294,J294))</f>
        <v/>
      </c>
      <c r="O294" s="41">
        <f>IF(SUM(C294,G294,K294)=0,"",SUM(C294,G294,K294))</f>
        <v/>
      </c>
      <c r="P294" s="69">
        <f>IF(OR(O294="",N294="",N294=0,O294=0),"",O294-N294)</f>
        <v/>
      </c>
      <c r="Q294" s="42">
        <f>IF(OR(O294="",N294="",N294=0,O294=0),"",O294/N294-1)</f>
        <v/>
      </c>
    </row>
    <row r="295">
      <c r="A295" s="40" t="inlineStr">
        <is>
          <t>(not set)</t>
        </is>
      </c>
      <c r="B295" s="41">
        <f>IF(SUMIFS(Countries!$AD$5:$AD$434,Countries!$A$5:$A$434,"All landing pages",Countries!$B$5:$B$434,"Paid Search",Countries!$D$5:$D$434,$A295)=0,"",SUMIFS(Countries!$AD$5:$AD$434,Countries!$A$5:$A$434,"All landing pages",Countries!$B$5:$B$434,"Paid Search",Countries!$D$5:$D$434,$A295))</f>
        <v/>
      </c>
      <c r="C295" s="41">
        <f>IF(SUMIFS(Countries!$AE$5:$AE$434,Countries!$A$5:$A$434,"All landing pages",Countries!$B$5:$B$434,"Paid Search",Countries!$D$5:$D$434,$A295)=0,"",SUMIFS(Countries!$AE$5:$AE$434,Countries!$A$5:$A$434,"All landing pages",Countries!$B$5:$B$434,"Paid Search",Countries!$D$5:$D$434,$A295))</f>
        <v/>
      </c>
      <c r="D295" s="69">
        <f>IF(OR(C295="",B295="",B295=0,C295=0),"",C295-B295)</f>
        <v/>
      </c>
      <c r="E295" s="42">
        <f>IF(OR(C295="",B295="",B295=0,C295=0),"",C295/B295-1)</f>
        <v/>
      </c>
      <c r="F295" s="41">
        <f>IF(SUMIFS(Countries!$AD$5:$AD$434,Countries!$A$5:$A$434,"All landing pages",Countries!$B$5:$B$434,"Organic",Countries!$D$5:$D$434,$A295)=0,"",SUMIFS(Countries!$AD$5:$AD$434,Countries!$A$5:$A$434,"All landing pages",Countries!$B$5:$B$434,"Organic",Countries!$D$5:$D$434,$A295))</f>
        <v/>
      </c>
      <c r="G295" s="41">
        <f>IF(SUMIFS(Countries!$AE$5:$AE$434,Countries!$A$5:$A$434,"All landing pages",Countries!$B$5:$B$434,"Organic",Countries!$D$5:$D$434,$A295)=0,"",SUMIFS(Countries!$AE$5:$AE$434,Countries!$A$5:$A$434,"All landing pages",Countries!$B$5:$B$434,"Organic",Countries!$D$5:$D$434,$A295))</f>
        <v/>
      </c>
      <c r="H295" s="69">
        <f>IF(OR(G295="",F295="",F295=0,G295=0),"",G295-F295)</f>
        <v/>
      </c>
      <c r="I295" s="42">
        <f>IF(OR(G295="",F295="",F295=0,G295=0),"",G295/F295-1)</f>
        <v/>
      </c>
      <c r="J295" s="41">
        <f>IF(SUMIFS(Countries!$AD$5:$AD$434,Countries!$A$5:$A$434,"All landing pages",Countries!$B$5:$B$434,"Direct",Countries!$D$5:$D$434,$A295)=0,"",SUMIFS(Countries!$AD$5:$AD$434,Countries!$A$5:$A$434,"All landing pages",Countries!$B$5:$B$434,"Direct",Countries!$D$5:$D$434,$A295))</f>
        <v/>
      </c>
      <c r="K295" s="41">
        <f>IF(SUMIFS(Countries!$AE$5:$AE$434,Countries!$A$5:$A$434,"All landing pages",Countries!$B$5:$B$434,"Direct",Countries!$D$5:$D$434,$A295)=0,"",SUMIFS(Countries!$AE$5:$AE$434,Countries!$A$5:$A$434,"All landing pages",Countries!$B$5:$B$434,"Direct",Countries!$D$5:$D$434,$A295))</f>
        <v/>
      </c>
      <c r="L295" s="69">
        <f>IF(OR(K295="",J295="",J295=0,K295=0),"",K295-J295)</f>
        <v/>
      </c>
      <c r="M295" s="42">
        <f>IF(OR(K295="",J295="",J295=0,K295=0),"",K295/J295-1)</f>
        <v/>
      </c>
      <c r="N295" s="41">
        <f>IF(SUM(B295,F295,J295)=0,"",SUM(B295,F295,J295))</f>
        <v/>
      </c>
      <c r="O295" s="41">
        <f>IF(SUM(C295,G295,K295)=0,"",SUM(C295,G295,K295))</f>
        <v/>
      </c>
      <c r="P295" s="69">
        <f>IF(OR(O295="",N295="",N295=0,O295=0),"",O295-N295)</f>
        <v/>
      </c>
      <c r="Q295" s="42">
        <f>IF(OR(O295="",N295="",N295=0,O295=0),"",O295/N295-1)</f>
        <v/>
      </c>
    </row>
    <row r="296">
      <c r="A296" s="56" t="inlineStr">
        <is>
          <t>Algeria</t>
        </is>
      </c>
      <c r="B296" s="41">
        <f>IF(SUMIFS(Countries!$AD$5:$AD$434,Countries!$A$5:$A$434,"All landing pages",Countries!$B$5:$B$434,"Paid Search",Countries!$D$5:$D$434,$A296)=0,"",SUMIFS(Countries!$AD$5:$AD$434,Countries!$A$5:$A$434,"All landing pages",Countries!$B$5:$B$434,"Paid Search",Countries!$D$5:$D$434,$A296))</f>
        <v/>
      </c>
      <c r="C296" s="41">
        <f>IF(SUMIFS(Countries!$AE$5:$AE$434,Countries!$A$5:$A$434,"All landing pages",Countries!$B$5:$B$434,"Paid Search",Countries!$D$5:$D$434,$A296)=0,"",SUMIFS(Countries!$AE$5:$AE$434,Countries!$A$5:$A$434,"All landing pages",Countries!$B$5:$B$434,"Paid Search",Countries!$D$5:$D$434,$A296))</f>
        <v/>
      </c>
      <c r="D296" s="69">
        <f>IF(OR(C296="",B296="",B296=0,C296=0),"",C296-B296)</f>
        <v/>
      </c>
      <c r="E296" s="42">
        <f>IF(OR(C296="",B296="",B296=0,C296=0),"",C296/B296-1)</f>
        <v/>
      </c>
      <c r="F296" s="41">
        <f>IF(SUMIFS(Countries!$AD$5:$AD$434,Countries!$A$5:$A$434,"All landing pages",Countries!$B$5:$B$434,"Organic",Countries!$D$5:$D$434,$A296)=0,"",SUMIFS(Countries!$AD$5:$AD$434,Countries!$A$5:$A$434,"All landing pages",Countries!$B$5:$B$434,"Organic",Countries!$D$5:$D$434,$A296))</f>
        <v/>
      </c>
      <c r="G296" s="41">
        <f>IF(SUMIFS(Countries!$AE$5:$AE$434,Countries!$A$5:$A$434,"All landing pages",Countries!$B$5:$B$434,"Organic",Countries!$D$5:$D$434,$A296)=0,"",SUMIFS(Countries!$AE$5:$AE$434,Countries!$A$5:$A$434,"All landing pages",Countries!$B$5:$B$434,"Organic",Countries!$D$5:$D$434,$A296))</f>
        <v/>
      </c>
      <c r="H296" s="69">
        <f>IF(OR(G296="",F296="",F296=0,G296=0),"",G296-F296)</f>
        <v/>
      </c>
      <c r="I296" s="42">
        <f>IF(OR(G296="",F296="",F296=0,G296=0),"",G296/F296-1)</f>
        <v/>
      </c>
      <c r="J296" s="41">
        <f>IF(SUMIFS(Countries!$AD$5:$AD$434,Countries!$A$5:$A$434,"All landing pages",Countries!$B$5:$B$434,"Direct",Countries!$D$5:$D$434,$A296)=0,"",SUMIFS(Countries!$AD$5:$AD$434,Countries!$A$5:$A$434,"All landing pages",Countries!$B$5:$B$434,"Direct",Countries!$D$5:$D$434,$A296))</f>
        <v/>
      </c>
      <c r="K296" s="41">
        <f>IF(SUMIFS(Countries!$AE$5:$AE$434,Countries!$A$5:$A$434,"All landing pages",Countries!$B$5:$B$434,"Direct",Countries!$D$5:$D$434,$A296)=0,"",SUMIFS(Countries!$AE$5:$AE$434,Countries!$A$5:$A$434,"All landing pages",Countries!$B$5:$B$434,"Direct",Countries!$D$5:$D$434,$A296))</f>
        <v/>
      </c>
      <c r="L296" s="69">
        <f>IF(OR(K296="",J296="",J296=0,K296=0),"",K296-J296)</f>
        <v/>
      </c>
      <c r="M296" s="42">
        <f>IF(OR(K296="",J296="",J296=0,K296=0),"",K296/J296-1)</f>
        <v/>
      </c>
      <c r="N296" s="41">
        <f>IF(SUM(B296,F296,J296)=0,"",SUM(B296,F296,J296))</f>
        <v/>
      </c>
      <c r="O296" s="41">
        <f>IF(SUM(C296,G296,K296)=0,"",SUM(C296,G296,K296))</f>
        <v/>
      </c>
      <c r="P296" s="69">
        <f>IF(OR(O296="",N296="",N296=0,O296=0),"",O296-N296)</f>
        <v/>
      </c>
      <c r="Q296" s="42">
        <f>IF(OR(O296="",N296="",N296=0,O296=0),"",O296/N296-1)</f>
        <v/>
      </c>
    </row>
    <row r="297">
      <c r="A297" s="40" t="inlineStr">
        <is>
          <t>Argentina</t>
        </is>
      </c>
      <c r="B297" s="41">
        <f>IF(SUMIFS(Countries!$AD$5:$AD$434,Countries!$A$5:$A$434,"All landing pages",Countries!$B$5:$B$434,"Paid Search",Countries!$D$5:$D$434,$A297)=0,"",SUMIFS(Countries!$AD$5:$AD$434,Countries!$A$5:$A$434,"All landing pages",Countries!$B$5:$B$434,"Paid Search",Countries!$D$5:$D$434,$A297))</f>
        <v/>
      </c>
      <c r="C297" s="41">
        <f>IF(SUMIFS(Countries!$AE$5:$AE$434,Countries!$A$5:$A$434,"All landing pages",Countries!$B$5:$B$434,"Paid Search",Countries!$D$5:$D$434,$A297)=0,"",SUMIFS(Countries!$AE$5:$AE$434,Countries!$A$5:$A$434,"All landing pages",Countries!$B$5:$B$434,"Paid Search",Countries!$D$5:$D$434,$A297))</f>
        <v/>
      </c>
      <c r="D297" s="69">
        <f>IF(OR(C297="",B297="",B297=0,C297=0),"",C297-B297)</f>
        <v/>
      </c>
      <c r="E297" s="42">
        <f>IF(OR(C297="",B297="",B297=0,C297=0),"",C297/B297-1)</f>
        <v/>
      </c>
      <c r="F297" s="41">
        <f>IF(SUMIFS(Countries!$AD$5:$AD$434,Countries!$A$5:$A$434,"All landing pages",Countries!$B$5:$B$434,"Organic",Countries!$D$5:$D$434,$A297)=0,"",SUMIFS(Countries!$AD$5:$AD$434,Countries!$A$5:$A$434,"All landing pages",Countries!$B$5:$B$434,"Organic",Countries!$D$5:$D$434,$A297))</f>
        <v/>
      </c>
      <c r="G297" s="41">
        <f>IF(SUMIFS(Countries!$AE$5:$AE$434,Countries!$A$5:$A$434,"All landing pages",Countries!$B$5:$B$434,"Organic",Countries!$D$5:$D$434,$A297)=0,"",SUMIFS(Countries!$AE$5:$AE$434,Countries!$A$5:$A$434,"All landing pages",Countries!$B$5:$B$434,"Organic",Countries!$D$5:$D$434,$A297))</f>
        <v/>
      </c>
      <c r="H297" s="69">
        <f>IF(OR(G297="",F297="",F297=0,G297=0),"",G297-F297)</f>
        <v/>
      </c>
      <c r="I297" s="42">
        <f>IF(OR(G297="",F297="",F297=0,G297=0),"",G297/F297-1)</f>
        <v/>
      </c>
      <c r="J297" s="41">
        <f>IF(SUMIFS(Countries!$AD$5:$AD$434,Countries!$A$5:$A$434,"All landing pages",Countries!$B$5:$B$434,"Direct",Countries!$D$5:$D$434,$A297)=0,"",SUMIFS(Countries!$AD$5:$AD$434,Countries!$A$5:$A$434,"All landing pages",Countries!$B$5:$B$434,"Direct",Countries!$D$5:$D$434,$A297))</f>
        <v/>
      </c>
      <c r="K297" s="41">
        <f>IF(SUMIFS(Countries!$AE$5:$AE$434,Countries!$A$5:$A$434,"All landing pages",Countries!$B$5:$B$434,"Direct",Countries!$D$5:$D$434,$A297)=0,"",SUMIFS(Countries!$AE$5:$AE$434,Countries!$A$5:$A$434,"All landing pages",Countries!$B$5:$B$434,"Direct",Countries!$D$5:$D$434,$A297))</f>
        <v/>
      </c>
      <c r="L297" s="69">
        <f>IF(OR(K297="",J297="",J297=0,K297=0),"",K297-J297)</f>
        <v/>
      </c>
      <c r="M297" s="42">
        <f>IF(OR(K297="",J297="",J297=0,K297=0),"",K297/J297-1)</f>
        <v/>
      </c>
      <c r="N297" s="41">
        <f>IF(SUM(B297,F297,J297)=0,"",SUM(B297,F297,J297))</f>
        <v/>
      </c>
      <c r="O297" s="41">
        <f>IF(SUM(C297,G297,K297)=0,"",SUM(C297,G297,K297))</f>
        <v/>
      </c>
      <c r="P297" s="69">
        <f>IF(OR(O297="",N297="",N297=0,O297=0),"",O297-N297)</f>
        <v/>
      </c>
      <c r="Q297" s="42">
        <f>IF(OR(O297="",N297="",N297=0,O297=0),"",O297/N297-1)</f>
        <v/>
      </c>
    </row>
    <row r="298">
      <c r="A298" s="56" t="inlineStr">
        <is>
          <t>Bangladesh</t>
        </is>
      </c>
      <c r="B298" s="41">
        <f>IF(SUMIFS(Countries!$AD$5:$AD$434,Countries!$A$5:$A$434,"All landing pages",Countries!$B$5:$B$434,"Paid Search",Countries!$D$5:$D$434,$A298)=0,"",SUMIFS(Countries!$AD$5:$AD$434,Countries!$A$5:$A$434,"All landing pages",Countries!$B$5:$B$434,"Paid Search",Countries!$D$5:$D$434,$A298))</f>
        <v/>
      </c>
      <c r="C298" s="41">
        <f>IF(SUMIFS(Countries!$AE$5:$AE$434,Countries!$A$5:$A$434,"All landing pages",Countries!$B$5:$B$434,"Paid Search",Countries!$D$5:$D$434,$A298)=0,"",SUMIFS(Countries!$AE$5:$AE$434,Countries!$A$5:$A$434,"All landing pages",Countries!$B$5:$B$434,"Paid Search",Countries!$D$5:$D$434,$A298))</f>
        <v/>
      </c>
      <c r="D298" s="69">
        <f>IF(OR(C298="",B298="",B298=0,C298=0),"",C298-B298)</f>
        <v/>
      </c>
      <c r="E298" s="42">
        <f>IF(OR(C298="",B298="",B298=0,C298=0),"",C298/B298-1)</f>
        <v/>
      </c>
      <c r="F298" s="41">
        <f>IF(SUMIFS(Countries!$AD$5:$AD$434,Countries!$A$5:$A$434,"All landing pages",Countries!$B$5:$B$434,"Organic",Countries!$D$5:$D$434,$A298)=0,"",SUMIFS(Countries!$AD$5:$AD$434,Countries!$A$5:$A$434,"All landing pages",Countries!$B$5:$B$434,"Organic",Countries!$D$5:$D$434,$A298))</f>
        <v/>
      </c>
      <c r="G298" s="41">
        <f>IF(SUMIFS(Countries!$AE$5:$AE$434,Countries!$A$5:$A$434,"All landing pages",Countries!$B$5:$B$434,"Organic",Countries!$D$5:$D$434,$A298)=0,"",SUMIFS(Countries!$AE$5:$AE$434,Countries!$A$5:$A$434,"All landing pages",Countries!$B$5:$B$434,"Organic",Countries!$D$5:$D$434,$A298))</f>
        <v/>
      </c>
      <c r="H298" s="69">
        <f>IF(OR(G298="",F298="",F298=0,G298=0),"",G298-F298)</f>
        <v/>
      </c>
      <c r="I298" s="42">
        <f>IF(OR(G298="",F298="",F298=0,G298=0),"",G298/F298-1)</f>
        <v/>
      </c>
      <c r="J298" s="41">
        <f>IF(SUMIFS(Countries!$AD$5:$AD$434,Countries!$A$5:$A$434,"All landing pages",Countries!$B$5:$B$434,"Direct",Countries!$D$5:$D$434,$A298)=0,"",SUMIFS(Countries!$AD$5:$AD$434,Countries!$A$5:$A$434,"All landing pages",Countries!$B$5:$B$434,"Direct",Countries!$D$5:$D$434,$A298))</f>
        <v/>
      </c>
      <c r="K298" s="41">
        <f>IF(SUMIFS(Countries!$AE$5:$AE$434,Countries!$A$5:$A$434,"All landing pages",Countries!$B$5:$B$434,"Direct",Countries!$D$5:$D$434,$A298)=0,"",SUMIFS(Countries!$AE$5:$AE$434,Countries!$A$5:$A$434,"All landing pages",Countries!$B$5:$B$434,"Direct",Countries!$D$5:$D$434,$A298))</f>
        <v/>
      </c>
      <c r="L298" s="69">
        <f>IF(OR(K298="",J298="",J298=0,K298=0),"",K298-J298)</f>
        <v/>
      </c>
      <c r="M298" s="42">
        <f>IF(OR(K298="",J298="",J298=0,K298=0),"",K298/J298-1)</f>
        <v/>
      </c>
      <c r="N298" s="41">
        <f>IF(SUM(B298,F298,J298)=0,"",SUM(B298,F298,J298))</f>
        <v/>
      </c>
      <c r="O298" s="41">
        <f>IF(SUM(C298,G298,K298)=0,"",SUM(C298,G298,K298))</f>
        <v/>
      </c>
      <c r="P298" s="69">
        <f>IF(OR(O298="",N298="",N298=0,O298=0),"",O298-N298)</f>
        <v/>
      </c>
      <c r="Q298" s="42">
        <f>IF(OR(O298="",N298="",N298=0,O298=0),"",O298/N298-1)</f>
        <v/>
      </c>
    </row>
    <row r="299">
      <c r="A299" s="40" t="inlineStr">
        <is>
          <t>Brazil</t>
        </is>
      </c>
      <c r="B299" s="41">
        <f>IF(SUMIFS(Countries!$AD$5:$AD$434,Countries!$A$5:$A$434,"All landing pages",Countries!$B$5:$B$434,"Paid Search",Countries!$D$5:$D$434,$A299)=0,"",SUMIFS(Countries!$AD$5:$AD$434,Countries!$A$5:$A$434,"All landing pages",Countries!$B$5:$B$434,"Paid Search",Countries!$D$5:$D$434,$A299))</f>
        <v/>
      </c>
      <c r="C299" s="41">
        <f>IF(SUMIFS(Countries!$AE$5:$AE$434,Countries!$A$5:$A$434,"All landing pages",Countries!$B$5:$B$434,"Paid Search",Countries!$D$5:$D$434,$A299)=0,"",SUMIFS(Countries!$AE$5:$AE$434,Countries!$A$5:$A$434,"All landing pages",Countries!$B$5:$B$434,"Paid Search",Countries!$D$5:$D$434,$A299))</f>
        <v/>
      </c>
      <c r="D299" s="69">
        <f>IF(OR(C299="",B299="",B299=0,C299=0),"",C299-B299)</f>
        <v/>
      </c>
      <c r="E299" s="42">
        <f>IF(OR(C299="",B299="",B299=0,C299=0),"",C299/B299-1)</f>
        <v/>
      </c>
      <c r="F299" s="41">
        <f>IF(SUMIFS(Countries!$AD$5:$AD$434,Countries!$A$5:$A$434,"All landing pages",Countries!$B$5:$B$434,"Organic",Countries!$D$5:$D$434,$A299)=0,"",SUMIFS(Countries!$AD$5:$AD$434,Countries!$A$5:$A$434,"All landing pages",Countries!$B$5:$B$434,"Organic",Countries!$D$5:$D$434,$A299))</f>
        <v/>
      </c>
      <c r="G299" s="41">
        <f>IF(SUMIFS(Countries!$AE$5:$AE$434,Countries!$A$5:$A$434,"All landing pages",Countries!$B$5:$B$434,"Organic",Countries!$D$5:$D$434,$A299)=0,"",SUMIFS(Countries!$AE$5:$AE$434,Countries!$A$5:$A$434,"All landing pages",Countries!$B$5:$B$434,"Organic",Countries!$D$5:$D$434,$A299))</f>
        <v/>
      </c>
      <c r="H299" s="69">
        <f>IF(OR(G299="",F299="",F299=0,G299=0),"",G299-F299)</f>
        <v/>
      </c>
      <c r="I299" s="42">
        <f>IF(OR(G299="",F299="",F299=0,G299=0),"",G299/F299-1)</f>
        <v/>
      </c>
      <c r="J299" s="41">
        <f>IF(SUMIFS(Countries!$AD$5:$AD$434,Countries!$A$5:$A$434,"All landing pages",Countries!$B$5:$B$434,"Direct",Countries!$D$5:$D$434,$A299)=0,"",SUMIFS(Countries!$AD$5:$AD$434,Countries!$A$5:$A$434,"All landing pages",Countries!$B$5:$B$434,"Direct",Countries!$D$5:$D$434,$A299))</f>
        <v/>
      </c>
      <c r="K299" s="41">
        <f>IF(SUMIFS(Countries!$AE$5:$AE$434,Countries!$A$5:$A$434,"All landing pages",Countries!$B$5:$B$434,"Direct",Countries!$D$5:$D$434,$A299)=0,"",SUMIFS(Countries!$AE$5:$AE$434,Countries!$A$5:$A$434,"All landing pages",Countries!$B$5:$B$434,"Direct",Countries!$D$5:$D$434,$A299))</f>
        <v/>
      </c>
      <c r="L299" s="69">
        <f>IF(OR(K299="",J299="",J299=0,K299=0),"",K299-J299)</f>
        <v/>
      </c>
      <c r="M299" s="42">
        <f>IF(OR(K299="",J299="",J299=0,K299=0),"",K299/J299-1)</f>
        <v/>
      </c>
      <c r="N299" s="41">
        <f>IF(SUM(B299,F299,J299)=0,"",SUM(B299,F299,J299))</f>
        <v/>
      </c>
      <c r="O299" s="41">
        <f>IF(SUM(C299,G299,K299)=0,"",SUM(C299,G299,K299))</f>
        <v/>
      </c>
      <c r="P299" s="69">
        <f>IF(OR(O299="",N299="",N299=0,O299=0),"",O299-N299)</f>
        <v/>
      </c>
      <c r="Q299" s="42">
        <f>IF(OR(O299="",N299="",N299=0,O299=0),"",O299/N299-1)</f>
        <v/>
      </c>
    </row>
    <row r="300">
      <c r="A300" s="56" t="inlineStr">
        <is>
          <t>China</t>
        </is>
      </c>
      <c r="B300" s="41">
        <f>IF(SUMIFS(Countries!$AD$5:$AD$434,Countries!$A$5:$A$434,"All landing pages",Countries!$B$5:$B$434,"Paid Search",Countries!$D$5:$D$434,$A300)=0,"",SUMIFS(Countries!$AD$5:$AD$434,Countries!$A$5:$A$434,"All landing pages",Countries!$B$5:$B$434,"Paid Search",Countries!$D$5:$D$434,$A300))</f>
        <v/>
      </c>
      <c r="C300" s="41">
        <f>IF(SUMIFS(Countries!$AE$5:$AE$434,Countries!$A$5:$A$434,"All landing pages",Countries!$B$5:$B$434,"Paid Search",Countries!$D$5:$D$434,$A300)=0,"",SUMIFS(Countries!$AE$5:$AE$434,Countries!$A$5:$A$434,"All landing pages",Countries!$B$5:$B$434,"Paid Search",Countries!$D$5:$D$434,$A300))</f>
        <v/>
      </c>
      <c r="D300" s="69">
        <f>IF(OR(C300="",B300="",B300=0,C300=0),"",C300-B300)</f>
        <v/>
      </c>
      <c r="E300" s="42">
        <f>IF(OR(C300="",B300="",B300=0,C300=0),"",C300/B300-1)</f>
        <v/>
      </c>
      <c r="F300" s="41">
        <f>IF(SUMIFS(Countries!$AD$5:$AD$434,Countries!$A$5:$A$434,"All landing pages",Countries!$B$5:$B$434,"Organic",Countries!$D$5:$D$434,$A300)=0,"",SUMIFS(Countries!$AD$5:$AD$434,Countries!$A$5:$A$434,"All landing pages",Countries!$B$5:$B$434,"Organic",Countries!$D$5:$D$434,$A300))</f>
        <v/>
      </c>
      <c r="G300" s="41">
        <f>IF(SUMIFS(Countries!$AE$5:$AE$434,Countries!$A$5:$A$434,"All landing pages",Countries!$B$5:$B$434,"Organic",Countries!$D$5:$D$434,$A300)=0,"",SUMIFS(Countries!$AE$5:$AE$434,Countries!$A$5:$A$434,"All landing pages",Countries!$B$5:$B$434,"Organic",Countries!$D$5:$D$434,$A300))</f>
        <v/>
      </c>
      <c r="H300" s="69">
        <f>IF(OR(G300="",F300="",F300=0,G300=0),"",G300-F300)</f>
        <v/>
      </c>
      <c r="I300" s="42">
        <f>IF(OR(G300="",F300="",F300=0,G300=0),"",G300/F300-1)</f>
        <v/>
      </c>
      <c r="J300" s="41">
        <f>IF(SUMIFS(Countries!$AD$5:$AD$434,Countries!$A$5:$A$434,"All landing pages",Countries!$B$5:$B$434,"Direct",Countries!$D$5:$D$434,$A300)=0,"",SUMIFS(Countries!$AD$5:$AD$434,Countries!$A$5:$A$434,"All landing pages",Countries!$B$5:$B$434,"Direct",Countries!$D$5:$D$434,$A300))</f>
        <v/>
      </c>
      <c r="K300" s="41">
        <f>IF(SUMIFS(Countries!$AE$5:$AE$434,Countries!$A$5:$A$434,"All landing pages",Countries!$B$5:$B$434,"Direct",Countries!$D$5:$D$434,$A300)=0,"",SUMIFS(Countries!$AE$5:$AE$434,Countries!$A$5:$A$434,"All landing pages",Countries!$B$5:$B$434,"Direct",Countries!$D$5:$D$434,$A300))</f>
        <v/>
      </c>
      <c r="L300" s="69">
        <f>IF(OR(K300="",J300="",J300=0,K300=0),"",K300-J300)</f>
        <v/>
      </c>
      <c r="M300" s="42">
        <f>IF(OR(K300="",J300="",J300=0,K300=0),"",K300/J300-1)</f>
        <v/>
      </c>
      <c r="N300" s="41">
        <f>IF(SUM(B300,F300,J300)=0,"",SUM(B300,F300,J300))</f>
        <v/>
      </c>
      <c r="O300" s="41">
        <f>IF(SUM(C300,G300,K300)=0,"",SUM(C300,G300,K300))</f>
        <v/>
      </c>
      <c r="P300" s="69">
        <f>IF(OR(O300="",N300="",N300=0,O300=0),"",O300-N300)</f>
        <v/>
      </c>
      <c r="Q300" s="42">
        <f>IF(OR(O300="",N300="",N300=0,O300=0),"",O300/N300-1)</f>
        <v/>
      </c>
    </row>
    <row r="301">
      <c r="A301" s="40" t="inlineStr">
        <is>
          <t>Croatia</t>
        </is>
      </c>
      <c r="B301" s="41">
        <f>IF(SUMIFS(Countries!$AD$5:$AD$434,Countries!$A$5:$A$434,"All landing pages",Countries!$B$5:$B$434,"Paid Search",Countries!$D$5:$D$434,$A301)=0,"",SUMIFS(Countries!$AD$5:$AD$434,Countries!$A$5:$A$434,"All landing pages",Countries!$B$5:$B$434,"Paid Search",Countries!$D$5:$D$434,$A301))</f>
        <v/>
      </c>
      <c r="C301" s="41">
        <f>IF(SUMIFS(Countries!$AE$5:$AE$434,Countries!$A$5:$A$434,"All landing pages",Countries!$B$5:$B$434,"Paid Search",Countries!$D$5:$D$434,$A301)=0,"",SUMIFS(Countries!$AE$5:$AE$434,Countries!$A$5:$A$434,"All landing pages",Countries!$B$5:$B$434,"Paid Search",Countries!$D$5:$D$434,$A301))</f>
        <v/>
      </c>
      <c r="D301" s="69">
        <f>IF(OR(C301="",B301="",B301=0,C301=0),"",C301-B301)</f>
        <v/>
      </c>
      <c r="E301" s="42">
        <f>IF(OR(C301="",B301="",B301=0,C301=0),"",C301/B301-1)</f>
        <v/>
      </c>
      <c r="F301" s="41">
        <f>IF(SUMIFS(Countries!$AD$5:$AD$434,Countries!$A$5:$A$434,"All landing pages",Countries!$B$5:$B$434,"Organic",Countries!$D$5:$D$434,$A301)=0,"",SUMIFS(Countries!$AD$5:$AD$434,Countries!$A$5:$A$434,"All landing pages",Countries!$B$5:$B$434,"Organic",Countries!$D$5:$D$434,$A301))</f>
        <v/>
      </c>
      <c r="G301" s="41">
        <f>IF(SUMIFS(Countries!$AE$5:$AE$434,Countries!$A$5:$A$434,"All landing pages",Countries!$B$5:$B$434,"Organic",Countries!$D$5:$D$434,$A301)=0,"",SUMIFS(Countries!$AE$5:$AE$434,Countries!$A$5:$A$434,"All landing pages",Countries!$B$5:$B$434,"Organic",Countries!$D$5:$D$434,$A301))</f>
        <v/>
      </c>
      <c r="H301" s="69">
        <f>IF(OR(G301="",F301="",F301=0,G301=0),"",G301-F301)</f>
        <v/>
      </c>
      <c r="I301" s="42">
        <f>IF(OR(G301="",F301="",F301=0,G301=0),"",G301/F301-1)</f>
        <v/>
      </c>
      <c r="J301" s="41">
        <f>IF(SUMIFS(Countries!$AD$5:$AD$434,Countries!$A$5:$A$434,"All landing pages",Countries!$B$5:$B$434,"Direct",Countries!$D$5:$D$434,$A301)=0,"",SUMIFS(Countries!$AD$5:$AD$434,Countries!$A$5:$A$434,"All landing pages",Countries!$B$5:$B$434,"Direct",Countries!$D$5:$D$434,$A301))</f>
        <v/>
      </c>
      <c r="K301" s="41">
        <f>IF(SUMIFS(Countries!$AE$5:$AE$434,Countries!$A$5:$A$434,"All landing pages",Countries!$B$5:$B$434,"Direct",Countries!$D$5:$D$434,$A301)=0,"",SUMIFS(Countries!$AE$5:$AE$434,Countries!$A$5:$A$434,"All landing pages",Countries!$B$5:$B$434,"Direct",Countries!$D$5:$D$434,$A301))</f>
        <v/>
      </c>
      <c r="L301" s="69">
        <f>IF(OR(K301="",J301="",J301=0,K301=0),"",K301-J301)</f>
        <v/>
      </c>
      <c r="M301" s="42">
        <f>IF(OR(K301="",J301="",J301=0,K301=0),"",K301/J301-1)</f>
        <v/>
      </c>
      <c r="N301" s="41">
        <f>IF(SUM(B301,F301,J301)=0,"",SUM(B301,F301,J301))</f>
        <v/>
      </c>
      <c r="O301" s="41">
        <f>IF(SUM(C301,G301,K301)=0,"",SUM(C301,G301,K301))</f>
        <v/>
      </c>
      <c r="P301" s="69">
        <f>IF(OR(O301="",N301="",N301=0,O301=0),"",O301-N301)</f>
        <v/>
      </c>
      <c r="Q301" s="42">
        <f>IF(OR(O301="",N301="",N301=0,O301=0),"",O301/N301-1)</f>
        <v/>
      </c>
    </row>
    <row r="302">
      <c r="A302" s="56" t="inlineStr">
        <is>
          <t>Honduras</t>
        </is>
      </c>
      <c r="B302" s="41">
        <f>IF(SUMIFS(Countries!$AD$5:$AD$434,Countries!$A$5:$A$434,"All landing pages",Countries!$B$5:$B$434,"Paid Search",Countries!$D$5:$D$434,$A302)=0,"",SUMIFS(Countries!$AD$5:$AD$434,Countries!$A$5:$A$434,"All landing pages",Countries!$B$5:$B$434,"Paid Search",Countries!$D$5:$D$434,$A302))</f>
        <v/>
      </c>
      <c r="C302" s="41">
        <f>IF(SUMIFS(Countries!$AE$5:$AE$434,Countries!$A$5:$A$434,"All landing pages",Countries!$B$5:$B$434,"Paid Search",Countries!$D$5:$D$434,$A302)=0,"",SUMIFS(Countries!$AE$5:$AE$434,Countries!$A$5:$A$434,"All landing pages",Countries!$B$5:$B$434,"Paid Search",Countries!$D$5:$D$434,$A302))</f>
        <v/>
      </c>
      <c r="D302" s="69">
        <f>IF(OR(C302="",B302="",B302=0,C302=0),"",C302-B302)</f>
        <v/>
      </c>
      <c r="E302" s="42">
        <f>IF(OR(C302="",B302="",B302=0,C302=0),"",C302/B302-1)</f>
        <v/>
      </c>
      <c r="F302" s="41">
        <f>IF(SUMIFS(Countries!$AD$5:$AD$434,Countries!$A$5:$A$434,"All landing pages",Countries!$B$5:$B$434,"Organic",Countries!$D$5:$D$434,$A302)=0,"",SUMIFS(Countries!$AD$5:$AD$434,Countries!$A$5:$A$434,"All landing pages",Countries!$B$5:$B$434,"Organic",Countries!$D$5:$D$434,$A302))</f>
        <v/>
      </c>
      <c r="G302" s="41">
        <f>IF(SUMIFS(Countries!$AE$5:$AE$434,Countries!$A$5:$A$434,"All landing pages",Countries!$B$5:$B$434,"Organic",Countries!$D$5:$D$434,$A302)=0,"",SUMIFS(Countries!$AE$5:$AE$434,Countries!$A$5:$A$434,"All landing pages",Countries!$B$5:$B$434,"Organic",Countries!$D$5:$D$434,$A302))</f>
        <v/>
      </c>
      <c r="H302" s="69">
        <f>IF(OR(G302="",F302="",F302=0,G302=0),"",G302-F302)</f>
        <v/>
      </c>
      <c r="I302" s="42">
        <f>IF(OR(G302="",F302="",F302=0,G302=0),"",G302/F302-1)</f>
        <v/>
      </c>
      <c r="J302" s="41">
        <f>IF(SUMIFS(Countries!$AD$5:$AD$434,Countries!$A$5:$A$434,"All landing pages",Countries!$B$5:$B$434,"Direct",Countries!$D$5:$D$434,$A302)=0,"",SUMIFS(Countries!$AD$5:$AD$434,Countries!$A$5:$A$434,"All landing pages",Countries!$B$5:$B$434,"Direct",Countries!$D$5:$D$434,$A302))</f>
        <v/>
      </c>
      <c r="K302" s="41">
        <f>IF(SUMIFS(Countries!$AE$5:$AE$434,Countries!$A$5:$A$434,"All landing pages",Countries!$B$5:$B$434,"Direct",Countries!$D$5:$D$434,$A302)=0,"",SUMIFS(Countries!$AE$5:$AE$434,Countries!$A$5:$A$434,"All landing pages",Countries!$B$5:$B$434,"Direct",Countries!$D$5:$D$434,$A302))</f>
        <v/>
      </c>
      <c r="L302" s="69">
        <f>IF(OR(K302="",J302="",J302=0,K302=0),"",K302-J302)</f>
        <v/>
      </c>
      <c r="M302" s="42">
        <f>IF(OR(K302="",J302="",J302=0,K302=0),"",K302/J302-1)</f>
        <v/>
      </c>
      <c r="N302" s="41">
        <f>IF(SUM(B302,F302,J302)=0,"",SUM(B302,F302,J302))</f>
        <v/>
      </c>
      <c r="O302" s="41">
        <f>IF(SUM(C302,G302,K302)=0,"",SUM(C302,G302,K302))</f>
        <v/>
      </c>
      <c r="P302" s="69">
        <f>IF(OR(O302="",N302="",N302=0,O302=0),"",O302-N302)</f>
        <v/>
      </c>
      <c r="Q302" s="42">
        <f>IF(OR(O302="",N302="",N302=0,O302=0),"",O302/N302-1)</f>
        <v/>
      </c>
    </row>
    <row r="303">
      <c r="A303" s="40" t="inlineStr">
        <is>
          <t>Israel</t>
        </is>
      </c>
      <c r="B303" s="41">
        <f>IF(SUMIFS(Countries!$AD$5:$AD$434,Countries!$A$5:$A$434,"All landing pages",Countries!$B$5:$B$434,"Paid Search",Countries!$D$5:$D$434,$A303)=0,"",SUMIFS(Countries!$AD$5:$AD$434,Countries!$A$5:$A$434,"All landing pages",Countries!$B$5:$B$434,"Paid Search",Countries!$D$5:$D$434,$A303))</f>
        <v/>
      </c>
      <c r="C303" s="41">
        <f>IF(SUMIFS(Countries!$AE$5:$AE$434,Countries!$A$5:$A$434,"All landing pages",Countries!$B$5:$B$434,"Paid Search",Countries!$D$5:$D$434,$A303)=0,"",SUMIFS(Countries!$AE$5:$AE$434,Countries!$A$5:$A$434,"All landing pages",Countries!$B$5:$B$434,"Paid Search",Countries!$D$5:$D$434,$A303))</f>
        <v/>
      </c>
      <c r="D303" s="69">
        <f>IF(OR(C303="",B303="",B303=0,C303=0),"",C303-B303)</f>
        <v/>
      </c>
      <c r="E303" s="42">
        <f>IF(OR(C303="",B303="",B303=0,C303=0),"",C303/B303-1)</f>
        <v/>
      </c>
      <c r="F303" s="41">
        <f>IF(SUMIFS(Countries!$AD$5:$AD$434,Countries!$A$5:$A$434,"All landing pages",Countries!$B$5:$B$434,"Organic",Countries!$D$5:$D$434,$A303)=0,"",SUMIFS(Countries!$AD$5:$AD$434,Countries!$A$5:$A$434,"All landing pages",Countries!$B$5:$B$434,"Organic",Countries!$D$5:$D$434,$A303))</f>
        <v/>
      </c>
      <c r="G303" s="41">
        <f>IF(SUMIFS(Countries!$AE$5:$AE$434,Countries!$A$5:$A$434,"All landing pages",Countries!$B$5:$B$434,"Organic",Countries!$D$5:$D$434,$A303)=0,"",SUMIFS(Countries!$AE$5:$AE$434,Countries!$A$5:$A$434,"All landing pages",Countries!$B$5:$B$434,"Organic",Countries!$D$5:$D$434,$A303))</f>
        <v/>
      </c>
      <c r="H303" s="69">
        <f>IF(OR(G303="",F303="",F303=0,G303=0),"",G303-F303)</f>
        <v/>
      </c>
      <c r="I303" s="42">
        <f>IF(OR(G303="",F303="",F303=0,G303=0),"",G303/F303-1)</f>
        <v/>
      </c>
      <c r="J303" s="41">
        <f>IF(SUMIFS(Countries!$AD$5:$AD$434,Countries!$A$5:$A$434,"All landing pages",Countries!$B$5:$B$434,"Direct",Countries!$D$5:$D$434,$A303)=0,"",SUMIFS(Countries!$AD$5:$AD$434,Countries!$A$5:$A$434,"All landing pages",Countries!$B$5:$B$434,"Direct",Countries!$D$5:$D$434,$A303))</f>
        <v/>
      </c>
      <c r="K303" s="41">
        <f>IF(SUMIFS(Countries!$AE$5:$AE$434,Countries!$A$5:$A$434,"All landing pages",Countries!$B$5:$B$434,"Direct",Countries!$D$5:$D$434,$A303)=0,"",SUMIFS(Countries!$AE$5:$AE$434,Countries!$A$5:$A$434,"All landing pages",Countries!$B$5:$B$434,"Direct",Countries!$D$5:$D$434,$A303))</f>
        <v/>
      </c>
      <c r="L303" s="69">
        <f>IF(OR(K303="",J303="",J303=0,K303=0),"",K303-J303)</f>
        <v/>
      </c>
      <c r="M303" s="42">
        <f>IF(OR(K303="",J303="",J303=0,K303=0),"",K303/J303-1)</f>
        <v/>
      </c>
      <c r="N303" s="41">
        <f>IF(SUM(B303,F303,J303)=0,"",SUM(B303,F303,J303))</f>
        <v/>
      </c>
      <c r="O303" s="41">
        <f>IF(SUM(C303,G303,K303)=0,"",SUM(C303,G303,K303))</f>
        <v/>
      </c>
      <c r="P303" s="69">
        <f>IF(OR(O303="",N303="",N303=0,O303=0),"",O303-N303)</f>
        <v/>
      </c>
      <c r="Q303" s="42">
        <f>IF(OR(O303="",N303="",N303=0,O303=0),"",O303/N303-1)</f>
        <v/>
      </c>
    </row>
    <row r="304">
      <c r="A304" s="56" t="inlineStr">
        <is>
          <t>Philippines</t>
        </is>
      </c>
      <c r="B304" s="41">
        <f>IF(SUMIFS(Countries!$AD$5:$AD$434,Countries!$A$5:$A$434,"All landing pages",Countries!$B$5:$B$434,"Paid Search",Countries!$D$5:$D$434,$A304)=0,"",SUMIFS(Countries!$AD$5:$AD$434,Countries!$A$5:$A$434,"All landing pages",Countries!$B$5:$B$434,"Paid Search",Countries!$D$5:$D$434,$A304))</f>
        <v/>
      </c>
      <c r="C304" s="41">
        <f>IF(SUMIFS(Countries!$AE$5:$AE$434,Countries!$A$5:$A$434,"All landing pages",Countries!$B$5:$B$434,"Paid Search",Countries!$D$5:$D$434,$A304)=0,"",SUMIFS(Countries!$AE$5:$AE$434,Countries!$A$5:$A$434,"All landing pages",Countries!$B$5:$B$434,"Paid Search",Countries!$D$5:$D$434,$A304))</f>
        <v/>
      </c>
      <c r="D304" s="69">
        <f>IF(OR(C304="",B304="",B304=0,C304=0),"",C304-B304)</f>
        <v/>
      </c>
      <c r="E304" s="42">
        <f>IF(OR(C304="",B304="",B304=0,C304=0),"",C304/B304-1)</f>
        <v/>
      </c>
      <c r="F304" s="41">
        <f>IF(SUMIFS(Countries!$AD$5:$AD$434,Countries!$A$5:$A$434,"All landing pages",Countries!$B$5:$B$434,"Organic",Countries!$D$5:$D$434,$A304)=0,"",SUMIFS(Countries!$AD$5:$AD$434,Countries!$A$5:$A$434,"All landing pages",Countries!$B$5:$B$434,"Organic",Countries!$D$5:$D$434,$A304))</f>
        <v/>
      </c>
      <c r="G304" s="41">
        <f>IF(SUMIFS(Countries!$AE$5:$AE$434,Countries!$A$5:$A$434,"All landing pages",Countries!$B$5:$B$434,"Organic",Countries!$D$5:$D$434,$A304)=0,"",SUMIFS(Countries!$AE$5:$AE$434,Countries!$A$5:$A$434,"All landing pages",Countries!$B$5:$B$434,"Organic",Countries!$D$5:$D$434,$A304))</f>
        <v/>
      </c>
      <c r="H304" s="69">
        <f>IF(OR(G304="",F304="",F304=0,G304=0),"",G304-F304)</f>
        <v/>
      </c>
      <c r="I304" s="42">
        <f>IF(OR(G304="",F304="",F304=0,G304=0),"",G304/F304-1)</f>
        <v/>
      </c>
      <c r="J304" s="41">
        <f>IF(SUMIFS(Countries!$AD$5:$AD$434,Countries!$A$5:$A$434,"All landing pages",Countries!$B$5:$B$434,"Direct",Countries!$D$5:$D$434,$A304)=0,"",SUMIFS(Countries!$AD$5:$AD$434,Countries!$A$5:$A$434,"All landing pages",Countries!$B$5:$B$434,"Direct",Countries!$D$5:$D$434,$A304))</f>
        <v/>
      </c>
      <c r="K304" s="41">
        <f>IF(SUMIFS(Countries!$AE$5:$AE$434,Countries!$A$5:$A$434,"All landing pages",Countries!$B$5:$B$434,"Direct",Countries!$D$5:$D$434,$A304)=0,"",SUMIFS(Countries!$AE$5:$AE$434,Countries!$A$5:$A$434,"All landing pages",Countries!$B$5:$B$434,"Direct",Countries!$D$5:$D$434,$A304))</f>
        <v/>
      </c>
      <c r="L304" s="69">
        <f>IF(OR(K304="",J304="",J304=0,K304=0),"",K304-J304)</f>
        <v/>
      </c>
      <c r="M304" s="42">
        <f>IF(OR(K304="",J304="",J304=0,K304=0),"",K304/J304-1)</f>
        <v/>
      </c>
      <c r="N304" s="41">
        <f>IF(SUM(B304,F304,J304)=0,"",SUM(B304,F304,J304))</f>
        <v/>
      </c>
      <c r="O304" s="41">
        <f>IF(SUM(C304,G304,K304)=0,"",SUM(C304,G304,K304))</f>
        <v/>
      </c>
      <c r="P304" s="69">
        <f>IF(OR(O304="",N304="",N304=0,O304=0),"",O304-N304)</f>
        <v/>
      </c>
      <c r="Q304" s="42">
        <f>IF(OR(O304="",N304="",N304=0,O304=0),"",O304/N304-1)</f>
        <v/>
      </c>
    </row>
    <row r="305">
      <c r="A305" s="40" t="inlineStr">
        <is>
          <t>Ukraine</t>
        </is>
      </c>
      <c r="B305" s="41">
        <f>IF(SUMIFS(Countries!$AD$5:$AD$434,Countries!$A$5:$A$434,"All landing pages",Countries!$B$5:$B$434,"Paid Search",Countries!$D$5:$D$434,$A305)=0,"",SUMIFS(Countries!$AD$5:$AD$434,Countries!$A$5:$A$434,"All landing pages",Countries!$B$5:$B$434,"Paid Search",Countries!$D$5:$D$434,$A305))</f>
        <v/>
      </c>
      <c r="C305" s="41">
        <f>IF(SUMIFS(Countries!$AE$5:$AE$434,Countries!$A$5:$A$434,"All landing pages",Countries!$B$5:$B$434,"Paid Search",Countries!$D$5:$D$434,$A305)=0,"",SUMIFS(Countries!$AE$5:$AE$434,Countries!$A$5:$A$434,"All landing pages",Countries!$B$5:$B$434,"Paid Search",Countries!$D$5:$D$434,$A305))</f>
        <v/>
      </c>
      <c r="D305" s="69">
        <f>IF(OR(C305="",B305="",B305=0,C305=0),"",C305-B305)</f>
        <v/>
      </c>
      <c r="E305" s="42">
        <f>IF(OR(C305="",B305="",B305=0,C305=0),"",C305/B305-1)</f>
        <v/>
      </c>
      <c r="F305" s="41">
        <f>IF(SUMIFS(Countries!$AD$5:$AD$434,Countries!$A$5:$A$434,"All landing pages",Countries!$B$5:$B$434,"Organic",Countries!$D$5:$D$434,$A305)=0,"",SUMIFS(Countries!$AD$5:$AD$434,Countries!$A$5:$A$434,"All landing pages",Countries!$B$5:$B$434,"Organic",Countries!$D$5:$D$434,$A305))</f>
        <v/>
      </c>
      <c r="G305" s="41">
        <f>IF(SUMIFS(Countries!$AE$5:$AE$434,Countries!$A$5:$A$434,"All landing pages",Countries!$B$5:$B$434,"Organic",Countries!$D$5:$D$434,$A305)=0,"",SUMIFS(Countries!$AE$5:$AE$434,Countries!$A$5:$A$434,"All landing pages",Countries!$B$5:$B$434,"Organic",Countries!$D$5:$D$434,$A305))</f>
        <v/>
      </c>
      <c r="H305" s="69">
        <f>IF(OR(G305="",F305="",F305=0,G305=0),"",G305-F305)</f>
        <v/>
      </c>
      <c r="I305" s="42">
        <f>IF(OR(G305="",F305="",F305=0,G305=0),"",G305/F305-1)</f>
        <v/>
      </c>
      <c r="J305" s="41">
        <f>IF(SUMIFS(Countries!$AD$5:$AD$434,Countries!$A$5:$A$434,"All landing pages",Countries!$B$5:$B$434,"Direct",Countries!$D$5:$D$434,$A305)=0,"",SUMIFS(Countries!$AD$5:$AD$434,Countries!$A$5:$A$434,"All landing pages",Countries!$B$5:$B$434,"Direct",Countries!$D$5:$D$434,$A305))</f>
        <v/>
      </c>
      <c r="K305" s="41">
        <f>IF(SUMIFS(Countries!$AE$5:$AE$434,Countries!$A$5:$A$434,"All landing pages",Countries!$B$5:$B$434,"Direct",Countries!$D$5:$D$434,$A305)=0,"",SUMIFS(Countries!$AE$5:$AE$434,Countries!$A$5:$A$434,"All landing pages",Countries!$B$5:$B$434,"Direct",Countries!$D$5:$D$434,$A305))</f>
        <v/>
      </c>
      <c r="L305" s="69">
        <f>IF(OR(K305="",J305="",J305=0,K305=0),"",K305-J305)</f>
        <v/>
      </c>
      <c r="M305" s="42">
        <f>IF(OR(K305="",J305="",J305=0,K305=0),"",K305/J305-1)</f>
        <v/>
      </c>
      <c r="N305" s="41">
        <f>IF(SUM(B305,F305,J305)=0,"",SUM(B305,F305,J305))</f>
        <v/>
      </c>
      <c r="O305" s="41">
        <f>IF(SUM(C305,G305,K305)=0,"",SUM(C305,G305,K305))</f>
        <v/>
      </c>
      <c r="P305" s="69">
        <f>IF(OR(O305="",N305="",N305=0,O305=0),"",O305-N305)</f>
        <v/>
      </c>
      <c r="Q305" s="42">
        <f>IF(OR(O305="",N305="",N305=0,O305=0),"",O305/N305-1)</f>
        <v/>
      </c>
    </row>
    <row r="308">
      <c r="A308" s="39" t="inlineStr">
        <is>
          <t>Select→Cart</t>
        </is>
      </c>
    </row>
    <row r="309">
      <c r="A309" s="75" t="inlineStr">
        <is>
          <t>Country</t>
        </is>
      </c>
      <c r="B309" s="30" t="inlineStr">
        <is>
          <t>Paid Search</t>
        </is>
      </c>
      <c r="C309" s="23" t="n"/>
      <c r="D309" s="23" t="n"/>
      <c r="E309" s="23" t="n"/>
      <c r="F309" s="30" t="inlineStr">
        <is>
          <t>Organic</t>
        </is>
      </c>
      <c r="G309" s="23" t="n"/>
      <c r="H309" s="23" t="n"/>
      <c r="I309" s="23" t="n"/>
      <c r="J309" s="30" t="inlineStr">
        <is>
          <t>Direct</t>
        </is>
      </c>
      <c r="K309" s="23" t="n"/>
      <c r="L309" s="23" t="n"/>
      <c r="M309" s="23" t="n"/>
      <c r="N309" s="27" t="inlineStr">
        <is>
          <t>Total</t>
        </is>
      </c>
      <c r="O309" s="17" t="n"/>
      <c r="P309" s="17" t="n"/>
      <c r="Q309" s="17" t="n"/>
    </row>
    <row r="310">
      <c r="A310" s="15" t="n"/>
      <c r="B310" s="27" t="inlineStr">
        <is>
          <t>1-23Aug25</t>
        </is>
      </c>
      <c r="C310" s="27" t="inlineStr">
        <is>
          <t>1-23Aug26</t>
        </is>
      </c>
      <c r="D310" s="27" t="inlineStr">
        <is>
          <t>Δ pp</t>
        </is>
      </c>
      <c r="E310" s="27" t="inlineStr"/>
      <c r="F310" s="27" t="inlineStr">
        <is>
          <t>1-23Aug25</t>
        </is>
      </c>
      <c r="G310" s="27" t="inlineStr">
        <is>
          <t>1-23Aug26</t>
        </is>
      </c>
      <c r="H310" s="27" t="inlineStr">
        <is>
          <t>Δ pp</t>
        </is>
      </c>
      <c r="I310" s="27" t="inlineStr"/>
      <c r="J310" s="27" t="inlineStr">
        <is>
          <t>1-23Aug25</t>
        </is>
      </c>
      <c r="K310" s="27" t="inlineStr">
        <is>
          <t>1-23Aug26</t>
        </is>
      </c>
      <c r="L310" s="27" t="inlineStr">
        <is>
          <t>Δ pp</t>
        </is>
      </c>
      <c r="M310" s="27" t="inlineStr"/>
      <c r="N310" s="27" t="inlineStr">
        <is>
          <t>1-23Aug25</t>
        </is>
      </c>
      <c r="O310" s="27" t="inlineStr">
        <is>
          <t>1-23Aug26</t>
        </is>
      </c>
      <c r="P310" s="27" t="inlineStr">
        <is>
          <t>Δ pp</t>
        </is>
      </c>
      <c r="Q310" s="27" t="inlineStr"/>
    </row>
    <row r="311">
      <c r="A311" s="40" t="inlineStr">
        <is>
          <t>United Kingdom</t>
        </is>
      </c>
      <c r="B311" s="43">
        <f>IF(SUMIFS(Countries!$W$5:$W$434,Countries!$A$5:$A$434,"All landing pages",Countries!$B$5:$B$434,"Paid Search",Countries!$D$5:$D$434,$A311,Countries!$AD$5:$AD$434,"&gt;0")=0,"",SUMIFS(Countries!$AD$5:$AD$434,Countries!$A$5:$A$434,"All landing pages",Countries!$B$5:$B$434,"Paid Search",Countries!$D$5:$D$434,$A311,Countries!$W$5:$W$434,"&gt;0")/SUMIFS(Countries!$W$5:$W$434,Countries!$A$5:$A$434,"All landing pages",Countries!$B$5:$B$434,"Paid Search",Countries!$D$5:$D$434,$A311,Countries!$AD$5:$AD$434,"&gt;0"))</f>
        <v/>
      </c>
      <c r="C311" s="43">
        <f>IF(SUMIFS(Countries!$X$5:$X$434,Countries!$A$5:$A$434,"All landing pages",Countries!$B$5:$B$434,"Paid Search",Countries!$D$5:$D$434,$A311,Countries!$AE$5:$AE$434,"&gt;0")=0,"",SUMIFS(Countries!$AE$5:$AE$434,Countries!$A$5:$A$434,"All landing pages",Countries!$B$5:$B$434,"Paid Search",Countries!$D$5:$D$434,$A311,Countries!$X$5:$X$434,"&gt;0")/SUMIFS(Countries!$X$5:$X$434,Countries!$A$5:$A$434,"All landing pages",Countries!$B$5:$B$434,"Paid Search",Countries!$D$5:$D$434,$A311,Countries!$AE$5:$AE$434,"&gt;0"))</f>
        <v/>
      </c>
      <c r="D311" s="44">
        <f>IF(OR(B311="",C311=""),"",(C311-B311)*100)</f>
        <v/>
      </c>
      <c r="E311" s="73" t="n"/>
      <c r="F311" s="43">
        <f>IF(SUMIFS(Countries!$W$5:$W$434,Countries!$A$5:$A$434,"All landing pages",Countries!$B$5:$B$434,"Organic",Countries!$D$5:$D$434,$A311,Countries!$AD$5:$AD$434,"&gt;0")=0,"",SUMIFS(Countries!$AD$5:$AD$434,Countries!$A$5:$A$434,"All landing pages",Countries!$B$5:$B$434,"Organic",Countries!$D$5:$D$434,$A311,Countries!$W$5:$W$434,"&gt;0")/SUMIFS(Countries!$W$5:$W$434,Countries!$A$5:$A$434,"All landing pages",Countries!$B$5:$B$434,"Organic",Countries!$D$5:$D$434,$A311,Countries!$AD$5:$AD$434,"&gt;0"))</f>
        <v/>
      </c>
      <c r="G311" s="43">
        <f>IF(SUMIFS(Countries!$X$5:$X$434,Countries!$A$5:$A$434,"All landing pages",Countries!$B$5:$B$434,"Organic",Countries!$D$5:$D$434,$A311,Countries!$AE$5:$AE$434,"&gt;0")=0,"",SUMIFS(Countries!$AE$5:$AE$434,Countries!$A$5:$A$434,"All landing pages",Countries!$B$5:$B$434,"Organic",Countries!$D$5:$D$434,$A311,Countries!$X$5:$X$434,"&gt;0")/SUMIFS(Countries!$X$5:$X$434,Countries!$A$5:$A$434,"All landing pages",Countries!$B$5:$B$434,"Organic",Countries!$D$5:$D$434,$A311,Countries!$AE$5:$AE$434,"&gt;0"))</f>
        <v/>
      </c>
      <c r="H311" s="44">
        <f>IF(OR(F311="",G311=""),"",(G311-F311)*100)</f>
        <v/>
      </c>
      <c r="I311" s="73" t="n"/>
      <c r="J311" s="43">
        <f>IF(SUMIFS(Countries!$W$5:$W$434,Countries!$A$5:$A$434,"All landing pages",Countries!$B$5:$B$434,"Direct",Countries!$D$5:$D$434,$A311,Countries!$AD$5:$AD$434,"&gt;0")=0,"",SUMIFS(Countries!$AD$5:$AD$434,Countries!$A$5:$A$434,"All landing pages",Countries!$B$5:$B$434,"Direct",Countries!$D$5:$D$434,$A311,Countries!$W$5:$W$434,"&gt;0")/SUMIFS(Countries!$W$5:$W$434,Countries!$A$5:$A$434,"All landing pages",Countries!$B$5:$B$434,"Direct",Countries!$D$5:$D$434,$A311,Countries!$AD$5:$AD$434,"&gt;0"))</f>
        <v/>
      </c>
      <c r="K311" s="43">
        <f>IF(SUMIFS(Countries!$X$5:$X$434,Countries!$A$5:$A$434,"All landing pages",Countries!$B$5:$B$434,"Direct",Countries!$D$5:$D$434,$A311,Countries!$AE$5:$AE$434,"&gt;0")=0,"",SUMIFS(Countries!$AE$5:$AE$434,Countries!$A$5:$A$434,"All landing pages",Countries!$B$5:$B$434,"Direct",Countries!$D$5:$D$434,$A311,Countries!$X$5:$X$434,"&gt;0")/SUMIFS(Countries!$X$5:$X$434,Countries!$A$5:$A$434,"All landing pages",Countries!$B$5:$B$434,"Direct",Countries!$D$5:$D$434,$A311,Countries!$AE$5:$AE$434,"&gt;0"))</f>
        <v/>
      </c>
      <c r="L311" s="44">
        <f>IF(OR(J311="",K311=""),"",(K311-J311)*100)</f>
        <v/>
      </c>
      <c r="M311" s="73" t="n"/>
      <c r="N311" s="43">
        <f>IF(SUMIFS(Countries!$W$5:$W$434,Countries!$A$5:$A$434,"All landing pages",Countries!$D$5:$D$434,$A311,Countries!$AD$5:$AD$434,"&gt;0")=0,"",SUMIFS(Countries!$AD$5:$AD$434,Countries!$A$5:$A$434,"All landing pages",Countries!$D$5:$D$434,$A311,Countries!$W$5:$W$434,"&gt;0")/SUMIFS(Countries!$W$5:$W$434,Countries!$A$5:$A$434,"All landing pages",Countries!$D$5:$D$434,$A311,Countries!$AD$5:$AD$434,"&gt;0"))</f>
        <v/>
      </c>
      <c r="O311" s="43">
        <f>IF(SUMIFS(Countries!$X$5:$X$434,Countries!$A$5:$A$434,"All landing pages",Countries!$D$5:$D$434,$A311,Countries!$AE$5:$AE$434,"&gt;0")=0,"",SUMIFS(Countries!$AE$5:$AE$434,Countries!$A$5:$A$434,"All landing pages",Countries!$D$5:$D$434,$A311,Countries!$X$5:$X$434,"&gt;0")/SUMIFS(Countries!$X$5:$X$434,Countries!$A$5:$A$434,"All landing pages",Countries!$D$5:$D$434,$A311,Countries!$AE$5:$AE$434,"&gt;0"))</f>
        <v/>
      </c>
      <c r="P311" s="44">
        <f>IF(OR(N311="",O311=""),"",(O311-N311)*100)</f>
        <v/>
      </c>
      <c r="Q311" s="73" t="n"/>
    </row>
    <row r="312">
      <c r="A312" s="56" t="inlineStr">
        <is>
          <t>Germany</t>
        </is>
      </c>
      <c r="B312" s="43">
        <f>IF(SUMIFS(Countries!$W$5:$W$434,Countries!$A$5:$A$434,"All landing pages",Countries!$B$5:$B$434,"Paid Search",Countries!$D$5:$D$434,$A312,Countries!$AD$5:$AD$434,"&gt;0")=0,"",SUMIFS(Countries!$AD$5:$AD$434,Countries!$A$5:$A$434,"All landing pages",Countries!$B$5:$B$434,"Paid Search",Countries!$D$5:$D$434,$A312,Countries!$W$5:$W$434,"&gt;0")/SUMIFS(Countries!$W$5:$W$434,Countries!$A$5:$A$434,"All landing pages",Countries!$B$5:$B$434,"Paid Search",Countries!$D$5:$D$434,$A312,Countries!$AD$5:$AD$434,"&gt;0"))</f>
        <v/>
      </c>
      <c r="C312" s="43">
        <f>IF(SUMIFS(Countries!$X$5:$X$434,Countries!$A$5:$A$434,"All landing pages",Countries!$B$5:$B$434,"Paid Search",Countries!$D$5:$D$434,$A312,Countries!$AE$5:$AE$434,"&gt;0")=0,"",SUMIFS(Countries!$AE$5:$AE$434,Countries!$A$5:$A$434,"All landing pages",Countries!$B$5:$B$434,"Paid Search",Countries!$D$5:$D$434,$A312,Countries!$X$5:$X$434,"&gt;0")/SUMIFS(Countries!$X$5:$X$434,Countries!$A$5:$A$434,"All landing pages",Countries!$B$5:$B$434,"Paid Search",Countries!$D$5:$D$434,$A312,Countries!$AE$5:$AE$434,"&gt;0"))</f>
        <v/>
      </c>
      <c r="D312" s="44">
        <f>IF(OR(B312="",C312=""),"",(C312-B312)*100)</f>
        <v/>
      </c>
      <c r="E312" s="73" t="n"/>
      <c r="F312" s="43">
        <f>IF(SUMIFS(Countries!$W$5:$W$434,Countries!$A$5:$A$434,"All landing pages",Countries!$B$5:$B$434,"Organic",Countries!$D$5:$D$434,$A312,Countries!$AD$5:$AD$434,"&gt;0")=0,"",SUMIFS(Countries!$AD$5:$AD$434,Countries!$A$5:$A$434,"All landing pages",Countries!$B$5:$B$434,"Organic",Countries!$D$5:$D$434,$A312,Countries!$W$5:$W$434,"&gt;0")/SUMIFS(Countries!$W$5:$W$434,Countries!$A$5:$A$434,"All landing pages",Countries!$B$5:$B$434,"Organic",Countries!$D$5:$D$434,$A312,Countries!$AD$5:$AD$434,"&gt;0"))</f>
        <v/>
      </c>
      <c r="G312" s="43">
        <f>IF(SUMIFS(Countries!$X$5:$X$434,Countries!$A$5:$A$434,"All landing pages",Countries!$B$5:$B$434,"Organic",Countries!$D$5:$D$434,$A312,Countries!$AE$5:$AE$434,"&gt;0")=0,"",SUMIFS(Countries!$AE$5:$AE$434,Countries!$A$5:$A$434,"All landing pages",Countries!$B$5:$B$434,"Organic",Countries!$D$5:$D$434,$A312,Countries!$X$5:$X$434,"&gt;0")/SUMIFS(Countries!$X$5:$X$434,Countries!$A$5:$A$434,"All landing pages",Countries!$B$5:$B$434,"Organic",Countries!$D$5:$D$434,$A312,Countries!$AE$5:$AE$434,"&gt;0"))</f>
        <v/>
      </c>
      <c r="H312" s="44">
        <f>IF(OR(F312="",G312=""),"",(G312-F312)*100)</f>
        <v/>
      </c>
      <c r="I312" s="73" t="n"/>
      <c r="J312" s="43">
        <f>IF(SUMIFS(Countries!$W$5:$W$434,Countries!$A$5:$A$434,"All landing pages",Countries!$B$5:$B$434,"Direct",Countries!$D$5:$D$434,$A312,Countries!$AD$5:$AD$434,"&gt;0")=0,"",SUMIFS(Countries!$AD$5:$AD$434,Countries!$A$5:$A$434,"All landing pages",Countries!$B$5:$B$434,"Direct",Countries!$D$5:$D$434,$A312,Countries!$W$5:$W$434,"&gt;0")/SUMIFS(Countries!$W$5:$W$434,Countries!$A$5:$A$434,"All landing pages",Countries!$B$5:$B$434,"Direct",Countries!$D$5:$D$434,$A312,Countries!$AD$5:$AD$434,"&gt;0"))</f>
        <v/>
      </c>
      <c r="K312" s="43">
        <f>IF(SUMIFS(Countries!$X$5:$X$434,Countries!$A$5:$A$434,"All landing pages",Countries!$B$5:$B$434,"Direct",Countries!$D$5:$D$434,$A312,Countries!$AE$5:$AE$434,"&gt;0")=0,"",SUMIFS(Countries!$AE$5:$AE$434,Countries!$A$5:$A$434,"All landing pages",Countries!$B$5:$B$434,"Direct",Countries!$D$5:$D$434,$A312,Countries!$X$5:$X$434,"&gt;0")/SUMIFS(Countries!$X$5:$X$434,Countries!$A$5:$A$434,"All landing pages",Countries!$B$5:$B$434,"Direct",Countries!$D$5:$D$434,$A312,Countries!$AE$5:$AE$434,"&gt;0"))</f>
        <v/>
      </c>
      <c r="L312" s="44">
        <f>IF(OR(J312="",K312=""),"",(K312-J312)*100)</f>
        <v/>
      </c>
      <c r="M312" s="73" t="n"/>
      <c r="N312" s="43">
        <f>IF(SUMIFS(Countries!$W$5:$W$434,Countries!$A$5:$A$434,"All landing pages",Countries!$D$5:$D$434,$A312,Countries!$AD$5:$AD$434,"&gt;0")=0,"",SUMIFS(Countries!$AD$5:$AD$434,Countries!$A$5:$A$434,"All landing pages",Countries!$D$5:$D$434,$A312,Countries!$W$5:$W$434,"&gt;0")/SUMIFS(Countries!$W$5:$W$434,Countries!$A$5:$A$434,"All landing pages",Countries!$D$5:$D$434,$A312,Countries!$AD$5:$AD$434,"&gt;0"))</f>
        <v/>
      </c>
      <c r="O312" s="43">
        <f>IF(SUMIFS(Countries!$X$5:$X$434,Countries!$A$5:$A$434,"All landing pages",Countries!$D$5:$D$434,$A312,Countries!$AE$5:$AE$434,"&gt;0")=0,"",SUMIFS(Countries!$AE$5:$AE$434,Countries!$A$5:$A$434,"All landing pages",Countries!$D$5:$D$434,$A312,Countries!$X$5:$X$434,"&gt;0")/SUMIFS(Countries!$X$5:$X$434,Countries!$A$5:$A$434,"All landing pages",Countries!$D$5:$D$434,$A312,Countries!$AE$5:$AE$434,"&gt;0"))</f>
        <v/>
      </c>
      <c r="P312" s="44">
        <f>IF(OR(N312="",O312=""),"",(O312-N312)*100)</f>
        <v/>
      </c>
      <c r="Q312" s="73" t="n"/>
    </row>
    <row r="313">
      <c r="A313" s="40" t="inlineStr">
        <is>
          <t>Italy</t>
        </is>
      </c>
      <c r="B313" s="43">
        <f>IF(SUMIFS(Countries!$W$5:$W$434,Countries!$A$5:$A$434,"All landing pages",Countries!$B$5:$B$434,"Paid Search",Countries!$D$5:$D$434,$A313,Countries!$AD$5:$AD$434,"&gt;0")=0,"",SUMIFS(Countries!$AD$5:$AD$434,Countries!$A$5:$A$434,"All landing pages",Countries!$B$5:$B$434,"Paid Search",Countries!$D$5:$D$434,$A313,Countries!$W$5:$W$434,"&gt;0")/SUMIFS(Countries!$W$5:$W$434,Countries!$A$5:$A$434,"All landing pages",Countries!$B$5:$B$434,"Paid Search",Countries!$D$5:$D$434,$A313,Countries!$AD$5:$AD$434,"&gt;0"))</f>
        <v/>
      </c>
      <c r="C313" s="43">
        <f>IF(SUMIFS(Countries!$X$5:$X$434,Countries!$A$5:$A$434,"All landing pages",Countries!$B$5:$B$434,"Paid Search",Countries!$D$5:$D$434,$A313,Countries!$AE$5:$AE$434,"&gt;0")=0,"",SUMIFS(Countries!$AE$5:$AE$434,Countries!$A$5:$A$434,"All landing pages",Countries!$B$5:$B$434,"Paid Search",Countries!$D$5:$D$434,$A313,Countries!$X$5:$X$434,"&gt;0")/SUMIFS(Countries!$X$5:$X$434,Countries!$A$5:$A$434,"All landing pages",Countries!$B$5:$B$434,"Paid Search",Countries!$D$5:$D$434,$A313,Countries!$AE$5:$AE$434,"&gt;0"))</f>
        <v/>
      </c>
      <c r="D313" s="44">
        <f>IF(OR(B313="",C313=""),"",(C313-B313)*100)</f>
        <v/>
      </c>
      <c r="E313" s="73" t="n"/>
      <c r="F313" s="43">
        <f>IF(SUMIFS(Countries!$W$5:$W$434,Countries!$A$5:$A$434,"All landing pages",Countries!$B$5:$B$434,"Organic",Countries!$D$5:$D$434,$A313,Countries!$AD$5:$AD$434,"&gt;0")=0,"",SUMIFS(Countries!$AD$5:$AD$434,Countries!$A$5:$A$434,"All landing pages",Countries!$B$5:$B$434,"Organic",Countries!$D$5:$D$434,$A313,Countries!$W$5:$W$434,"&gt;0")/SUMIFS(Countries!$W$5:$W$434,Countries!$A$5:$A$434,"All landing pages",Countries!$B$5:$B$434,"Organic",Countries!$D$5:$D$434,$A313,Countries!$AD$5:$AD$434,"&gt;0"))</f>
        <v/>
      </c>
      <c r="G313" s="43">
        <f>IF(SUMIFS(Countries!$X$5:$X$434,Countries!$A$5:$A$434,"All landing pages",Countries!$B$5:$B$434,"Organic",Countries!$D$5:$D$434,$A313,Countries!$AE$5:$AE$434,"&gt;0")=0,"",SUMIFS(Countries!$AE$5:$AE$434,Countries!$A$5:$A$434,"All landing pages",Countries!$B$5:$B$434,"Organic",Countries!$D$5:$D$434,$A313,Countries!$X$5:$X$434,"&gt;0")/SUMIFS(Countries!$X$5:$X$434,Countries!$A$5:$A$434,"All landing pages",Countries!$B$5:$B$434,"Organic",Countries!$D$5:$D$434,$A313,Countries!$AE$5:$AE$434,"&gt;0"))</f>
        <v/>
      </c>
      <c r="H313" s="44">
        <f>IF(OR(F313="",G313=""),"",(G313-F313)*100)</f>
        <v/>
      </c>
      <c r="I313" s="73" t="n"/>
      <c r="J313" s="43">
        <f>IF(SUMIFS(Countries!$W$5:$W$434,Countries!$A$5:$A$434,"All landing pages",Countries!$B$5:$B$434,"Direct",Countries!$D$5:$D$434,$A313,Countries!$AD$5:$AD$434,"&gt;0")=0,"",SUMIFS(Countries!$AD$5:$AD$434,Countries!$A$5:$A$434,"All landing pages",Countries!$B$5:$B$434,"Direct",Countries!$D$5:$D$434,$A313,Countries!$W$5:$W$434,"&gt;0")/SUMIFS(Countries!$W$5:$W$434,Countries!$A$5:$A$434,"All landing pages",Countries!$B$5:$B$434,"Direct",Countries!$D$5:$D$434,$A313,Countries!$AD$5:$AD$434,"&gt;0"))</f>
        <v/>
      </c>
      <c r="K313" s="43">
        <f>IF(SUMIFS(Countries!$X$5:$X$434,Countries!$A$5:$A$434,"All landing pages",Countries!$B$5:$B$434,"Direct",Countries!$D$5:$D$434,$A313,Countries!$AE$5:$AE$434,"&gt;0")=0,"",SUMIFS(Countries!$AE$5:$AE$434,Countries!$A$5:$A$434,"All landing pages",Countries!$B$5:$B$434,"Direct",Countries!$D$5:$D$434,$A313,Countries!$X$5:$X$434,"&gt;0")/SUMIFS(Countries!$X$5:$X$434,Countries!$A$5:$A$434,"All landing pages",Countries!$B$5:$B$434,"Direct",Countries!$D$5:$D$434,$A313,Countries!$AE$5:$AE$434,"&gt;0"))</f>
        <v/>
      </c>
      <c r="L313" s="44">
        <f>IF(OR(J313="",K313=""),"",(K313-J313)*100)</f>
        <v/>
      </c>
      <c r="M313" s="73" t="n"/>
      <c r="N313" s="43">
        <f>IF(SUMIFS(Countries!$W$5:$W$434,Countries!$A$5:$A$434,"All landing pages",Countries!$D$5:$D$434,$A313,Countries!$AD$5:$AD$434,"&gt;0")=0,"",SUMIFS(Countries!$AD$5:$AD$434,Countries!$A$5:$A$434,"All landing pages",Countries!$D$5:$D$434,$A313,Countries!$W$5:$W$434,"&gt;0")/SUMIFS(Countries!$W$5:$W$434,Countries!$A$5:$A$434,"All landing pages",Countries!$D$5:$D$434,$A313,Countries!$AD$5:$AD$434,"&gt;0"))</f>
        <v/>
      </c>
      <c r="O313" s="43">
        <f>IF(SUMIFS(Countries!$X$5:$X$434,Countries!$A$5:$A$434,"All landing pages",Countries!$D$5:$D$434,$A313,Countries!$AE$5:$AE$434,"&gt;0")=0,"",SUMIFS(Countries!$AE$5:$AE$434,Countries!$A$5:$A$434,"All landing pages",Countries!$D$5:$D$434,$A313,Countries!$X$5:$X$434,"&gt;0")/SUMIFS(Countries!$X$5:$X$434,Countries!$A$5:$A$434,"All landing pages",Countries!$D$5:$D$434,$A313,Countries!$AE$5:$AE$434,"&gt;0"))</f>
        <v/>
      </c>
      <c r="P313" s="44">
        <f>IF(OR(N313="",O313=""),"",(O313-N313)*100)</f>
        <v/>
      </c>
      <c r="Q313" s="73" t="n"/>
    </row>
    <row r="314">
      <c r="A314" s="56" t="inlineStr">
        <is>
          <t>Spain</t>
        </is>
      </c>
      <c r="B314" s="43">
        <f>IF(SUMIFS(Countries!$W$5:$W$434,Countries!$A$5:$A$434,"All landing pages",Countries!$B$5:$B$434,"Paid Search",Countries!$D$5:$D$434,$A314,Countries!$AD$5:$AD$434,"&gt;0")=0,"",SUMIFS(Countries!$AD$5:$AD$434,Countries!$A$5:$A$434,"All landing pages",Countries!$B$5:$B$434,"Paid Search",Countries!$D$5:$D$434,$A314,Countries!$W$5:$W$434,"&gt;0")/SUMIFS(Countries!$W$5:$W$434,Countries!$A$5:$A$434,"All landing pages",Countries!$B$5:$B$434,"Paid Search",Countries!$D$5:$D$434,$A314,Countries!$AD$5:$AD$434,"&gt;0"))</f>
        <v/>
      </c>
      <c r="C314" s="43">
        <f>IF(SUMIFS(Countries!$X$5:$X$434,Countries!$A$5:$A$434,"All landing pages",Countries!$B$5:$B$434,"Paid Search",Countries!$D$5:$D$434,$A314,Countries!$AE$5:$AE$434,"&gt;0")=0,"",SUMIFS(Countries!$AE$5:$AE$434,Countries!$A$5:$A$434,"All landing pages",Countries!$B$5:$B$434,"Paid Search",Countries!$D$5:$D$434,$A314,Countries!$X$5:$X$434,"&gt;0")/SUMIFS(Countries!$X$5:$X$434,Countries!$A$5:$A$434,"All landing pages",Countries!$B$5:$B$434,"Paid Search",Countries!$D$5:$D$434,$A314,Countries!$AE$5:$AE$434,"&gt;0"))</f>
        <v/>
      </c>
      <c r="D314" s="44">
        <f>IF(OR(B314="",C314=""),"",(C314-B314)*100)</f>
        <v/>
      </c>
      <c r="E314" s="73" t="n"/>
      <c r="F314" s="43">
        <f>IF(SUMIFS(Countries!$W$5:$W$434,Countries!$A$5:$A$434,"All landing pages",Countries!$B$5:$B$434,"Organic",Countries!$D$5:$D$434,$A314,Countries!$AD$5:$AD$434,"&gt;0")=0,"",SUMIFS(Countries!$AD$5:$AD$434,Countries!$A$5:$A$434,"All landing pages",Countries!$B$5:$B$434,"Organic",Countries!$D$5:$D$434,$A314,Countries!$W$5:$W$434,"&gt;0")/SUMIFS(Countries!$W$5:$W$434,Countries!$A$5:$A$434,"All landing pages",Countries!$B$5:$B$434,"Organic",Countries!$D$5:$D$434,$A314,Countries!$AD$5:$AD$434,"&gt;0"))</f>
        <v/>
      </c>
      <c r="G314" s="43">
        <f>IF(SUMIFS(Countries!$X$5:$X$434,Countries!$A$5:$A$434,"All landing pages",Countries!$B$5:$B$434,"Organic",Countries!$D$5:$D$434,$A314,Countries!$AE$5:$AE$434,"&gt;0")=0,"",SUMIFS(Countries!$AE$5:$AE$434,Countries!$A$5:$A$434,"All landing pages",Countries!$B$5:$B$434,"Organic",Countries!$D$5:$D$434,$A314,Countries!$X$5:$X$434,"&gt;0")/SUMIFS(Countries!$X$5:$X$434,Countries!$A$5:$A$434,"All landing pages",Countries!$B$5:$B$434,"Organic",Countries!$D$5:$D$434,$A314,Countries!$AE$5:$AE$434,"&gt;0"))</f>
        <v/>
      </c>
      <c r="H314" s="44">
        <f>IF(OR(F314="",G314=""),"",(G314-F314)*100)</f>
        <v/>
      </c>
      <c r="I314" s="73" t="n"/>
      <c r="J314" s="43">
        <f>IF(SUMIFS(Countries!$W$5:$W$434,Countries!$A$5:$A$434,"All landing pages",Countries!$B$5:$B$434,"Direct",Countries!$D$5:$D$434,$A314,Countries!$AD$5:$AD$434,"&gt;0")=0,"",SUMIFS(Countries!$AD$5:$AD$434,Countries!$A$5:$A$434,"All landing pages",Countries!$B$5:$B$434,"Direct",Countries!$D$5:$D$434,$A314,Countries!$W$5:$W$434,"&gt;0")/SUMIFS(Countries!$W$5:$W$434,Countries!$A$5:$A$434,"All landing pages",Countries!$B$5:$B$434,"Direct",Countries!$D$5:$D$434,$A314,Countries!$AD$5:$AD$434,"&gt;0"))</f>
        <v/>
      </c>
      <c r="K314" s="43">
        <f>IF(SUMIFS(Countries!$X$5:$X$434,Countries!$A$5:$A$434,"All landing pages",Countries!$B$5:$B$434,"Direct",Countries!$D$5:$D$434,$A314,Countries!$AE$5:$AE$434,"&gt;0")=0,"",SUMIFS(Countries!$AE$5:$AE$434,Countries!$A$5:$A$434,"All landing pages",Countries!$B$5:$B$434,"Direct",Countries!$D$5:$D$434,$A314,Countries!$X$5:$X$434,"&gt;0")/SUMIFS(Countries!$X$5:$X$434,Countries!$A$5:$A$434,"All landing pages",Countries!$B$5:$B$434,"Direct",Countries!$D$5:$D$434,$A314,Countries!$AE$5:$AE$434,"&gt;0"))</f>
        <v/>
      </c>
      <c r="L314" s="44">
        <f>IF(OR(J314="",K314=""),"",(K314-J314)*100)</f>
        <v/>
      </c>
      <c r="M314" s="73" t="n"/>
      <c r="N314" s="43">
        <f>IF(SUMIFS(Countries!$W$5:$W$434,Countries!$A$5:$A$434,"All landing pages",Countries!$D$5:$D$434,$A314,Countries!$AD$5:$AD$434,"&gt;0")=0,"",SUMIFS(Countries!$AD$5:$AD$434,Countries!$A$5:$A$434,"All landing pages",Countries!$D$5:$D$434,$A314,Countries!$W$5:$W$434,"&gt;0")/SUMIFS(Countries!$W$5:$W$434,Countries!$A$5:$A$434,"All landing pages",Countries!$D$5:$D$434,$A314,Countries!$AD$5:$AD$434,"&gt;0"))</f>
        <v/>
      </c>
      <c r="O314" s="43">
        <f>IF(SUMIFS(Countries!$X$5:$X$434,Countries!$A$5:$A$434,"All landing pages",Countries!$D$5:$D$434,$A314,Countries!$AE$5:$AE$434,"&gt;0")=0,"",SUMIFS(Countries!$AE$5:$AE$434,Countries!$A$5:$A$434,"All landing pages",Countries!$D$5:$D$434,$A314,Countries!$X$5:$X$434,"&gt;0")/SUMIFS(Countries!$X$5:$X$434,Countries!$A$5:$A$434,"All landing pages",Countries!$D$5:$D$434,$A314,Countries!$AE$5:$AE$434,"&gt;0"))</f>
        <v/>
      </c>
      <c r="P314" s="44">
        <f>IF(OR(N314="",O314=""),"",(O314-N314)*100)</f>
        <v/>
      </c>
      <c r="Q314" s="73" t="n"/>
    </row>
    <row r="315">
      <c r="A315" s="40" t="inlineStr">
        <is>
          <t>Ireland</t>
        </is>
      </c>
      <c r="B315" s="43">
        <f>IF(SUMIFS(Countries!$W$5:$W$434,Countries!$A$5:$A$434,"All landing pages",Countries!$B$5:$B$434,"Paid Search",Countries!$D$5:$D$434,$A315,Countries!$AD$5:$AD$434,"&gt;0")=0,"",SUMIFS(Countries!$AD$5:$AD$434,Countries!$A$5:$A$434,"All landing pages",Countries!$B$5:$B$434,"Paid Search",Countries!$D$5:$D$434,$A315,Countries!$W$5:$W$434,"&gt;0")/SUMIFS(Countries!$W$5:$W$434,Countries!$A$5:$A$434,"All landing pages",Countries!$B$5:$B$434,"Paid Search",Countries!$D$5:$D$434,$A315,Countries!$AD$5:$AD$434,"&gt;0"))</f>
        <v/>
      </c>
      <c r="C315" s="43">
        <f>IF(SUMIFS(Countries!$X$5:$X$434,Countries!$A$5:$A$434,"All landing pages",Countries!$B$5:$B$434,"Paid Search",Countries!$D$5:$D$434,$A315,Countries!$AE$5:$AE$434,"&gt;0")=0,"",SUMIFS(Countries!$AE$5:$AE$434,Countries!$A$5:$A$434,"All landing pages",Countries!$B$5:$B$434,"Paid Search",Countries!$D$5:$D$434,$A315,Countries!$X$5:$X$434,"&gt;0")/SUMIFS(Countries!$X$5:$X$434,Countries!$A$5:$A$434,"All landing pages",Countries!$B$5:$B$434,"Paid Search",Countries!$D$5:$D$434,$A315,Countries!$AE$5:$AE$434,"&gt;0"))</f>
        <v/>
      </c>
      <c r="D315" s="44">
        <f>IF(OR(B315="",C315=""),"",(C315-B315)*100)</f>
        <v/>
      </c>
      <c r="E315" s="73" t="n"/>
      <c r="F315" s="43">
        <f>IF(SUMIFS(Countries!$W$5:$W$434,Countries!$A$5:$A$434,"All landing pages",Countries!$B$5:$B$434,"Organic",Countries!$D$5:$D$434,$A315,Countries!$AD$5:$AD$434,"&gt;0")=0,"",SUMIFS(Countries!$AD$5:$AD$434,Countries!$A$5:$A$434,"All landing pages",Countries!$B$5:$B$434,"Organic",Countries!$D$5:$D$434,$A315,Countries!$W$5:$W$434,"&gt;0")/SUMIFS(Countries!$W$5:$W$434,Countries!$A$5:$A$434,"All landing pages",Countries!$B$5:$B$434,"Organic",Countries!$D$5:$D$434,$A315,Countries!$AD$5:$AD$434,"&gt;0"))</f>
        <v/>
      </c>
      <c r="G315" s="43">
        <f>IF(SUMIFS(Countries!$X$5:$X$434,Countries!$A$5:$A$434,"All landing pages",Countries!$B$5:$B$434,"Organic",Countries!$D$5:$D$434,$A315,Countries!$AE$5:$AE$434,"&gt;0")=0,"",SUMIFS(Countries!$AE$5:$AE$434,Countries!$A$5:$A$434,"All landing pages",Countries!$B$5:$B$434,"Organic",Countries!$D$5:$D$434,$A315,Countries!$X$5:$X$434,"&gt;0")/SUMIFS(Countries!$X$5:$X$434,Countries!$A$5:$A$434,"All landing pages",Countries!$B$5:$B$434,"Organic",Countries!$D$5:$D$434,$A315,Countries!$AE$5:$AE$434,"&gt;0"))</f>
        <v/>
      </c>
      <c r="H315" s="44">
        <f>IF(OR(F315="",G315=""),"",(G315-F315)*100)</f>
        <v/>
      </c>
      <c r="I315" s="73" t="n"/>
      <c r="J315" s="43">
        <f>IF(SUMIFS(Countries!$W$5:$W$434,Countries!$A$5:$A$434,"All landing pages",Countries!$B$5:$B$434,"Direct",Countries!$D$5:$D$434,$A315,Countries!$AD$5:$AD$434,"&gt;0")=0,"",SUMIFS(Countries!$AD$5:$AD$434,Countries!$A$5:$A$434,"All landing pages",Countries!$B$5:$B$434,"Direct",Countries!$D$5:$D$434,$A315,Countries!$W$5:$W$434,"&gt;0")/SUMIFS(Countries!$W$5:$W$434,Countries!$A$5:$A$434,"All landing pages",Countries!$B$5:$B$434,"Direct",Countries!$D$5:$D$434,$A315,Countries!$AD$5:$AD$434,"&gt;0"))</f>
        <v/>
      </c>
      <c r="K315" s="43">
        <f>IF(SUMIFS(Countries!$X$5:$X$434,Countries!$A$5:$A$434,"All landing pages",Countries!$B$5:$B$434,"Direct",Countries!$D$5:$D$434,$A315,Countries!$AE$5:$AE$434,"&gt;0")=0,"",SUMIFS(Countries!$AE$5:$AE$434,Countries!$A$5:$A$434,"All landing pages",Countries!$B$5:$B$434,"Direct",Countries!$D$5:$D$434,$A315,Countries!$X$5:$X$434,"&gt;0")/SUMIFS(Countries!$X$5:$X$434,Countries!$A$5:$A$434,"All landing pages",Countries!$B$5:$B$434,"Direct",Countries!$D$5:$D$434,$A315,Countries!$AE$5:$AE$434,"&gt;0"))</f>
        <v/>
      </c>
      <c r="L315" s="44">
        <f>IF(OR(J315="",K315=""),"",(K315-J315)*100)</f>
        <v/>
      </c>
      <c r="M315" s="73" t="n"/>
      <c r="N315" s="43">
        <f>IF(SUMIFS(Countries!$W$5:$W$434,Countries!$A$5:$A$434,"All landing pages",Countries!$D$5:$D$434,$A315,Countries!$AD$5:$AD$434,"&gt;0")=0,"",SUMIFS(Countries!$AD$5:$AD$434,Countries!$A$5:$A$434,"All landing pages",Countries!$D$5:$D$434,$A315,Countries!$W$5:$W$434,"&gt;0")/SUMIFS(Countries!$W$5:$W$434,Countries!$A$5:$A$434,"All landing pages",Countries!$D$5:$D$434,$A315,Countries!$AD$5:$AD$434,"&gt;0"))</f>
        <v/>
      </c>
      <c r="O315" s="43">
        <f>IF(SUMIFS(Countries!$X$5:$X$434,Countries!$A$5:$A$434,"All landing pages",Countries!$D$5:$D$434,$A315,Countries!$AE$5:$AE$434,"&gt;0")=0,"",SUMIFS(Countries!$AE$5:$AE$434,Countries!$A$5:$A$434,"All landing pages",Countries!$D$5:$D$434,$A315,Countries!$X$5:$X$434,"&gt;0")/SUMIFS(Countries!$X$5:$X$434,Countries!$A$5:$A$434,"All landing pages",Countries!$D$5:$D$434,$A315,Countries!$AE$5:$AE$434,"&gt;0"))</f>
        <v/>
      </c>
      <c r="P315" s="44">
        <f>IF(OR(N315="",O315=""),"",(O315-N315)*100)</f>
        <v/>
      </c>
      <c r="Q315" s="73" t="n"/>
    </row>
    <row r="316">
      <c r="A316" s="56" t="inlineStr">
        <is>
          <t>Netherlands</t>
        </is>
      </c>
      <c r="B316" s="43">
        <f>IF(SUMIFS(Countries!$W$5:$W$434,Countries!$A$5:$A$434,"All landing pages",Countries!$B$5:$B$434,"Paid Search",Countries!$D$5:$D$434,$A316,Countries!$AD$5:$AD$434,"&gt;0")=0,"",SUMIFS(Countries!$AD$5:$AD$434,Countries!$A$5:$A$434,"All landing pages",Countries!$B$5:$B$434,"Paid Search",Countries!$D$5:$D$434,$A316,Countries!$W$5:$W$434,"&gt;0")/SUMIFS(Countries!$W$5:$W$434,Countries!$A$5:$A$434,"All landing pages",Countries!$B$5:$B$434,"Paid Search",Countries!$D$5:$D$434,$A316,Countries!$AD$5:$AD$434,"&gt;0"))</f>
        <v/>
      </c>
      <c r="C316" s="43">
        <f>IF(SUMIFS(Countries!$X$5:$X$434,Countries!$A$5:$A$434,"All landing pages",Countries!$B$5:$B$434,"Paid Search",Countries!$D$5:$D$434,$A316,Countries!$AE$5:$AE$434,"&gt;0")=0,"",SUMIFS(Countries!$AE$5:$AE$434,Countries!$A$5:$A$434,"All landing pages",Countries!$B$5:$B$434,"Paid Search",Countries!$D$5:$D$434,$A316,Countries!$X$5:$X$434,"&gt;0")/SUMIFS(Countries!$X$5:$X$434,Countries!$A$5:$A$434,"All landing pages",Countries!$B$5:$B$434,"Paid Search",Countries!$D$5:$D$434,$A316,Countries!$AE$5:$AE$434,"&gt;0"))</f>
        <v/>
      </c>
      <c r="D316" s="44">
        <f>IF(OR(B316="",C316=""),"",(C316-B316)*100)</f>
        <v/>
      </c>
      <c r="E316" s="73" t="n"/>
      <c r="F316" s="43">
        <f>IF(SUMIFS(Countries!$W$5:$W$434,Countries!$A$5:$A$434,"All landing pages",Countries!$B$5:$B$434,"Organic",Countries!$D$5:$D$434,$A316,Countries!$AD$5:$AD$434,"&gt;0")=0,"",SUMIFS(Countries!$AD$5:$AD$434,Countries!$A$5:$A$434,"All landing pages",Countries!$B$5:$B$434,"Organic",Countries!$D$5:$D$434,$A316,Countries!$W$5:$W$434,"&gt;0")/SUMIFS(Countries!$W$5:$W$434,Countries!$A$5:$A$434,"All landing pages",Countries!$B$5:$B$434,"Organic",Countries!$D$5:$D$434,$A316,Countries!$AD$5:$AD$434,"&gt;0"))</f>
        <v/>
      </c>
      <c r="G316" s="43">
        <f>IF(SUMIFS(Countries!$X$5:$X$434,Countries!$A$5:$A$434,"All landing pages",Countries!$B$5:$B$434,"Organic",Countries!$D$5:$D$434,$A316,Countries!$AE$5:$AE$434,"&gt;0")=0,"",SUMIFS(Countries!$AE$5:$AE$434,Countries!$A$5:$A$434,"All landing pages",Countries!$B$5:$B$434,"Organic",Countries!$D$5:$D$434,$A316,Countries!$X$5:$X$434,"&gt;0")/SUMIFS(Countries!$X$5:$X$434,Countries!$A$5:$A$434,"All landing pages",Countries!$B$5:$B$434,"Organic",Countries!$D$5:$D$434,$A316,Countries!$AE$5:$AE$434,"&gt;0"))</f>
        <v/>
      </c>
      <c r="H316" s="44">
        <f>IF(OR(F316="",G316=""),"",(G316-F316)*100)</f>
        <v/>
      </c>
      <c r="I316" s="73" t="n"/>
      <c r="J316" s="43">
        <f>IF(SUMIFS(Countries!$W$5:$W$434,Countries!$A$5:$A$434,"All landing pages",Countries!$B$5:$B$434,"Direct",Countries!$D$5:$D$434,$A316,Countries!$AD$5:$AD$434,"&gt;0")=0,"",SUMIFS(Countries!$AD$5:$AD$434,Countries!$A$5:$A$434,"All landing pages",Countries!$B$5:$B$434,"Direct",Countries!$D$5:$D$434,$A316,Countries!$W$5:$W$434,"&gt;0")/SUMIFS(Countries!$W$5:$W$434,Countries!$A$5:$A$434,"All landing pages",Countries!$B$5:$B$434,"Direct",Countries!$D$5:$D$434,$A316,Countries!$AD$5:$AD$434,"&gt;0"))</f>
        <v/>
      </c>
      <c r="K316" s="43">
        <f>IF(SUMIFS(Countries!$X$5:$X$434,Countries!$A$5:$A$434,"All landing pages",Countries!$B$5:$B$434,"Direct",Countries!$D$5:$D$434,$A316,Countries!$AE$5:$AE$434,"&gt;0")=0,"",SUMIFS(Countries!$AE$5:$AE$434,Countries!$A$5:$A$434,"All landing pages",Countries!$B$5:$B$434,"Direct",Countries!$D$5:$D$434,$A316,Countries!$X$5:$X$434,"&gt;0")/SUMIFS(Countries!$X$5:$X$434,Countries!$A$5:$A$434,"All landing pages",Countries!$B$5:$B$434,"Direct",Countries!$D$5:$D$434,$A316,Countries!$AE$5:$AE$434,"&gt;0"))</f>
        <v/>
      </c>
      <c r="L316" s="44">
        <f>IF(OR(J316="",K316=""),"",(K316-J316)*100)</f>
        <v/>
      </c>
      <c r="M316" s="73" t="n"/>
      <c r="N316" s="43">
        <f>IF(SUMIFS(Countries!$W$5:$W$434,Countries!$A$5:$A$434,"All landing pages",Countries!$D$5:$D$434,$A316,Countries!$AD$5:$AD$434,"&gt;0")=0,"",SUMIFS(Countries!$AD$5:$AD$434,Countries!$A$5:$A$434,"All landing pages",Countries!$D$5:$D$434,$A316,Countries!$W$5:$W$434,"&gt;0")/SUMIFS(Countries!$W$5:$W$434,Countries!$A$5:$A$434,"All landing pages",Countries!$D$5:$D$434,$A316,Countries!$AD$5:$AD$434,"&gt;0"))</f>
        <v/>
      </c>
      <c r="O316" s="43">
        <f>IF(SUMIFS(Countries!$X$5:$X$434,Countries!$A$5:$A$434,"All landing pages",Countries!$D$5:$D$434,$A316,Countries!$AE$5:$AE$434,"&gt;0")=0,"",SUMIFS(Countries!$AE$5:$AE$434,Countries!$A$5:$A$434,"All landing pages",Countries!$D$5:$D$434,$A316,Countries!$X$5:$X$434,"&gt;0")/SUMIFS(Countries!$X$5:$X$434,Countries!$A$5:$A$434,"All landing pages",Countries!$D$5:$D$434,$A316,Countries!$AE$5:$AE$434,"&gt;0"))</f>
        <v/>
      </c>
      <c r="P316" s="44">
        <f>IF(OR(N316="",O316=""),"",(O316-N316)*100)</f>
        <v/>
      </c>
      <c r="Q316" s="73" t="n"/>
    </row>
    <row r="317">
      <c r="A317" s="40" t="inlineStr">
        <is>
          <t>France</t>
        </is>
      </c>
      <c r="B317" s="43">
        <f>IF(SUMIFS(Countries!$W$5:$W$434,Countries!$A$5:$A$434,"All landing pages",Countries!$B$5:$B$434,"Paid Search",Countries!$D$5:$D$434,$A317,Countries!$AD$5:$AD$434,"&gt;0")=0,"",SUMIFS(Countries!$AD$5:$AD$434,Countries!$A$5:$A$434,"All landing pages",Countries!$B$5:$B$434,"Paid Search",Countries!$D$5:$D$434,$A317,Countries!$W$5:$W$434,"&gt;0")/SUMIFS(Countries!$W$5:$W$434,Countries!$A$5:$A$434,"All landing pages",Countries!$B$5:$B$434,"Paid Search",Countries!$D$5:$D$434,$A317,Countries!$AD$5:$AD$434,"&gt;0"))</f>
        <v/>
      </c>
      <c r="C317" s="43">
        <f>IF(SUMIFS(Countries!$X$5:$X$434,Countries!$A$5:$A$434,"All landing pages",Countries!$B$5:$B$434,"Paid Search",Countries!$D$5:$D$434,$A317,Countries!$AE$5:$AE$434,"&gt;0")=0,"",SUMIFS(Countries!$AE$5:$AE$434,Countries!$A$5:$A$434,"All landing pages",Countries!$B$5:$B$434,"Paid Search",Countries!$D$5:$D$434,$A317,Countries!$X$5:$X$434,"&gt;0")/SUMIFS(Countries!$X$5:$X$434,Countries!$A$5:$A$434,"All landing pages",Countries!$B$5:$B$434,"Paid Search",Countries!$D$5:$D$434,$A317,Countries!$AE$5:$AE$434,"&gt;0"))</f>
        <v/>
      </c>
      <c r="D317" s="44">
        <f>IF(OR(B317="",C317=""),"",(C317-B317)*100)</f>
        <v/>
      </c>
      <c r="E317" s="73" t="n"/>
      <c r="F317" s="43">
        <f>IF(SUMIFS(Countries!$W$5:$W$434,Countries!$A$5:$A$434,"All landing pages",Countries!$B$5:$B$434,"Organic",Countries!$D$5:$D$434,$A317,Countries!$AD$5:$AD$434,"&gt;0")=0,"",SUMIFS(Countries!$AD$5:$AD$434,Countries!$A$5:$A$434,"All landing pages",Countries!$B$5:$B$434,"Organic",Countries!$D$5:$D$434,$A317,Countries!$W$5:$W$434,"&gt;0")/SUMIFS(Countries!$W$5:$W$434,Countries!$A$5:$A$434,"All landing pages",Countries!$B$5:$B$434,"Organic",Countries!$D$5:$D$434,$A317,Countries!$AD$5:$AD$434,"&gt;0"))</f>
        <v/>
      </c>
      <c r="G317" s="43">
        <f>IF(SUMIFS(Countries!$X$5:$X$434,Countries!$A$5:$A$434,"All landing pages",Countries!$B$5:$B$434,"Organic",Countries!$D$5:$D$434,$A317,Countries!$AE$5:$AE$434,"&gt;0")=0,"",SUMIFS(Countries!$AE$5:$AE$434,Countries!$A$5:$A$434,"All landing pages",Countries!$B$5:$B$434,"Organic",Countries!$D$5:$D$434,$A317,Countries!$X$5:$X$434,"&gt;0")/SUMIFS(Countries!$X$5:$X$434,Countries!$A$5:$A$434,"All landing pages",Countries!$B$5:$B$434,"Organic",Countries!$D$5:$D$434,$A317,Countries!$AE$5:$AE$434,"&gt;0"))</f>
        <v/>
      </c>
      <c r="H317" s="44">
        <f>IF(OR(F317="",G317=""),"",(G317-F317)*100)</f>
        <v/>
      </c>
      <c r="I317" s="73" t="n"/>
      <c r="J317" s="43">
        <f>IF(SUMIFS(Countries!$W$5:$W$434,Countries!$A$5:$A$434,"All landing pages",Countries!$B$5:$B$434,"Direct",Countries!$D$5:$D$434,$A317,Countries!$AD$5:$AD$434,"&gt;0")=0,"",SUMIFS(Countries!$AD$5:$AD$434,Countries!$A$5:$A$434,"All landing pages",Countries!$B$5:$B$434,"Direct",Countries!$D$5:$D$434,$A317,Countries!$W$5:$W$434,"&gt;0")/SUMIFS(Countries!$W$5:$W$434,Countries!$A$5:$A$434,"All landing pages",Countries!$B$5:$B$434,"Direct",Countries!$D$5:$D$434,$A317,Countries!$AD$5:$AD$434,"&gt;0"))</f>
        <v/>
      </c>
      <c r="K317" s="43">
        <f>IF(SUMIFS(Countries!$X$5:$X$434,Countries!$A$5:$A$434,"All landing pages",Countries!$B$5:$B$434,"Direct",Countries!$D$5:$D$434,$A317,Countries!$AE$5:$AE$434,"&gt;0")=0,"",SUMIFS(Countries!$AE$5:$AE$434,Countries!$A$5:$A$434,"All landing pages",Countries!$B$5:$B$434,"Direct",Countries!$D$5:$D$434,$A317,Countries!$X$5:$X$434,"&gt;0")/SUMIFS(Countries!$X$5:$X$434,Countries!$A$5:$A$434,"All landing pages",Countries!$B$5:$B$434,"Direct",Countries!$D$5:$D$434,$A317,Countries!$AE$5:$AE$434,"&gt;0"))</f>
        <v/>
      </c>
      <c r="L317" s="44">
        <f>IF(OR(J317="",K317=""),"",(K317-J317)*100)</f>
        <v/>
      </c>
      <c r="M317" s="73" t="n"/>
      <c r="N317" s="43">
        <f>IF(SUMIFS(Countries!$W$5:$W$434,Countries!$A$5:$A$434,"All landing pages",Countries!$D$5:$D$434,$A317,Countries!$AD$5:$AD$434,"&gt;0")=0,"",SUMIFS(Countries!$AD$5:$AD$434,Countries!$A$5:$A$434,"All landing pages",Countries!$D$5:$D$434,$A317,Countries!$W$5:$W$434,"&gt;0")/SUMIFS(Countries!$W$5:$W$434,Countries!$A$5:$A$434,"All landing pages",Countries!$D$5:$D$434,$A317,Countries!$AD$5:$AD$434,"&gt;0"))</f>
        <v/>
      </c>
      <c r="O317" s="43">
        <f>IF(SUMIFS(Countries!$X$5:$X$434,Countries!$A$5:$A$434,"All landing pages",Countries!$D$5:$D$434,$A317,Countries!$AE$5:$AE$434,"&gt;0")=0,"",SUMIFS(Countries!$AE$5:$AE$434,Countries!$A$5:$A$434,"All landing pages",Countries!$D$5:$D$434,$A317,Countries!$X$5:$X$434,"&gt;0")/SUMIFS(Countries!$X$5:$X$434,Countries!$A$5:$A$434,"All landing pages",Countries!$D$5:$D$434,$A317,Countries!$AE$5:$AE$434,"&gt;0"))</f>
        <v/>
      </c>
      <c r="P317" s="44">
        <f>IF(OR(N317="",O317=""),"",(O317-N317)*100)</f>
        <v/>
      </c>
      <c r="Q317" s="73" t="n"/>
    </row>
    <row r="318">
      <c r="A318" s="56" t="inlineStr">
        <is>
          <t>Poland</t>
        </is>
      </c>
      <c r="B318" s="43">
        <f>IF(SUMIFS(Countries!$W$5:$W$434,Countries!$A$5:$A$434,"All landing pages",Countries!$B$5:$B$434,"Paid Search",Countries!$D$5:$D$434,$A318,Countries!$AD$5:$AD$434,"&gt;0")=0,"",SUMIFS(Countries!$AD$5:$AD$434,Countries!$A$5:$A$434,"All landing pages",Countries!$B$5:$B$434,"Paid Search",Countries!$D$5:$D$434,$A318,Countries!$W$5:$W$434,"&gt;0")/SUMIFS(Countries!$W$5:$W$434,Countries!$A$5:$A$434,"All landing pages",Countries!$B$5:$B$434,"Paid Search",Countries!$D$5:$D$434,$A318,Countries!$AD$5:$AD$434,"&gt;0"))</f>
        <v/>
      </c>
      <c r="C318" s="43">
        <f>IF(SUMIFS(Countries!$X$5:$X$434,Countries!$A$5:$A$434,"All landing pages",Countries!$B$5:$B$434,"Paid Search",Countries!$D$5:$D$434,$A318,Countries!$AE$5:$AE$434,"&gt;0")=0,"",SUMIFS(Countries!$AE$5:$AE$434,Countries!$A$5:$A$434,"All landing pages",Countries!$B$5:$B$434,"Paid Search",Countries!$D$5:$D$434,$A318,Countries!$X$5:$X$434,"&gt;0")/SUMIFS(Countries!$X$5:$X$434,Countries!$A$5:$A$434,"All landing pages",Countries!$B$5:$B$434,"Paid Search",Countries!$D$5:$D$434,$A318,Countries!$AE$5:$AE$434,"&gt;0"))</f>
        <v/>
      </c>
      <c r="D318" s="44">
        <f>IF(OR(B318="",C318=""),"",(C318-B318)*100)</f>
        <v/>
      </c>
      <c r="E318" s="73" t="n"/>
      <c r="F318" s="43">
        <f>IF(SUMIFS(Countries!$W$5:$W$434,Countries!$A$5:$A$434,"All landing pages",Countries!$B$5:$B$434,"Organic",Countries!$D$5:$D$434,$A318,Countries!$AD$5:$AD$434,"&gt;0")=0,"",SUMIFS(Countries!$AD$5:$AD$434,Countries!$A$5:$A$434,"All landing pages",Countries!$B$5:$B$434,"Organic",Countries!$D$5:$D$434,$A318,Countries!$W$5:$W$434,"&gt;0")/SUMIFS(Countries!$W$5:$W$434,Countries!$A$5:$A$434,"All landing pages",Countries!$B$5:$B$434,"Organic",Countries!$D$5:$D$434,$A318,Countries!$AD$5:$AD$434,"&gt;0"))</f>
        <v/>
      </c>
      <c r="G318" s="43">
        <f>IF(SUMIFS(Countries!$X$5:$X$434,Countries!$A$5:$A$434,"All landing pages",Countries!$B$5:$B$434,"Organic",Countries!$D$5:$D$434,$A318,Countries!$AE$5:$AE$434,"&gt;0")=0,"",SUMIFS(Countries!$AE$5:$AE$434,Countries!$A$5:$A$434,"All landing pages",Countries!$B$5:$B$434,"Organic",Countries!$D$5:$D$434,$A318,Countries!$X$5:$X$434,"&gt;0")/SUMIFS(Countries!$X$5:$X$434,Countries!$A$5:$A$434,"All landing pages",Countries!$B$5:$B$434,"Organic",Countries!$D$5:$D$434,$A318,Countries!$AE$5:$AE$434,"&gt;0"))</f>
        <v/>
      </c>
      <c r="H318" s="44">
        <f>IF(OR(F318="",G318=""),"",(G318-F318)*100)</f>
        <v/>
      </c>
      <c r="I318" s="73" t="n"/>
      <c r="J318" s="43">
        <f>IF(SUMIFS(Countries!$W$5:$W$434,Countries!$A$5:$A$434,"All landing pages",Countries!$B$5:$B$434,"Direct",Countries!$D$5:$D$434,$A318,Countries!$AD$5:$AD$434,"&gt;0")=0,"",SUMIFS(Countries!$AD$5:$AD$434,Countries!$A$5:$A$434,"All landing pages",Countries!$B$5:$B$434,"Direct",Countries!$D$5:$D$434,$A318,Countries!$W$5:$W$434,"&gt;0")/SUMIFS(Countries!$W$5:$W$434,Countries!$A$5:$A$434,"All landing pages",Countries!$B$5:$B$434,"Direct",Countries!$D$5:$D$434,$A318,Countries!$AD$5:$AD$434,"&gt;0"))</f>
        <v/>
      </c>
      <c r="K318" s="43">
        <f>IF(SUMIFS(Countries!$X$5:$X$434,Countries!$A$5:$A$434,"All landing pages",Countries!$B$5:$B$434,"Direct",Countries!$D$5:$D$434,$A318,Countries!$AE$5:$AE$434,"&gt;0")=0,"",SUMIFS(Countries!$AE$5:$AE$434,Countries!$A$5:$A$434,"All landing pages",Countries!$B$5:$B$434,"Direct",Countries!$D$5:$D$434,$A318,Countries!$X$5:$X$434,"&gt;0")/SUMIFS(Countries!$X$5:$X$434,Countries!$A$5:$A$434,"All landing pages",Countries!$B$5:$B$434,"Direct",Countries!$D$5:$D$434,$A318,Countries!$AE$5:$AE$434,"&gt;0"))</f>
        <v/>
      </c>
      <c r="L318" s="44">
        <f>IF(OR(J318="",K318=""),"",(K318-J318)*100)</f>
        <v/>
      </c>
      <c r="M318" s="73" t="n"/>
      <c r="N318" s="43">
        <f>IF(SUMIFS(Countries!$W$5:$W$434,Countries!$A$5:$A$434,"All landing pages",Countries!$D$5:$D$434,$A318,Countries!$AD$5:$AD$434,"&gt;0")=0,"",SUMIFS(Countries!$AD$5:$AD$434,Countries!$A$5:$A$434,"All landing pages",Countries!$D$5:$D$434,$A318,Countries!$W$5:$W$434,"&gt;0")/SUMIFS(Countries!$W$5:$W$434,Countries!$A$5:$A$434,"All landing pages",Countries!$D$5:$D$434,$A318,Countries!$AD$5:$AD$434,"&gt;0"))</f>
        <v/>
      </c>
      <c r="O318" s="43">
        <f>IF(SUMIFS(Countries!$X$5:$X$434,Countries!$A$5:$A$434,"All landing pages",Countries!$D$5:$D$434,$A318,Countries!$AE$5:$AE$434,"&gt;0")=0,"",SUMIFS(Countries!$AE$5:$AE$434,Countries!$A$5:$A$434,"All landing pages",Countries!$D$5:$D$434,$A318,Countries!$X$5:$X$434,"&gt;0")/SUMIFS(Countries!$X$5:$X$434,Countries!$A$5:$A$434,"All landing pages",Countries!$D$5:$D$434,$A318,Countries!$AE$5:$AE$434,"&gt;0"))</f>
        <v/>
      </c>
      <c r="P318" s="44">
        <f>IF(OR(N318="",O318=""),"",(O318-N318)*100)</f>
        <v/>
      </c>
      <c r="Q318" s="73" t="n"/>
    </row>
    <row r="319">
      <c r="A319" s="40" t="inlineStr">
        <is>
          <t>United States</t>
        </is>
      </c>
      <c r="B319" s="43">
        <f>IF(SUMIFS(Countries!$W$5:$W$434,Countries!$A$5:$A$434,"All landing pages",Countries!$B$5:$B$434,"Paid Search",Countries!$D$5:$D$434,$A319,Countries!$AD$5:$AD$434,"&gt;0")=0,"",SUMIFS(Countries!$AD$5:$AD$434,Countries!$A$5:$A$434,"All landing pages",Countries!$B$5:$B$434,"Paid Search",Countries!$D$5:$D$434,$A319,Countries!$W$5:$W$434,"&gt;0")/SUMIFS(Countries!$W$5:$W$434,Countries!$A$5:$A$434,"All landing pages",Countries!$B$5:$B$434,"Paid Search",Countries!$D$5:$D$434,$A319,Countries!$AD$5:$AD$434,"&gt;0"))</f>
        <v/>
      </c>
      <c r="C319" s="43">
        <f>IF(SUMIFS(Countries!$X$5:$X$434,Countries!$A$5:$A$434,"All landing pages",Countries!$B$5:$B$434,"Paid Search",Countries!$D$5:$D$434,$A319,Countries!$AE$5:$AE$434,"&gt;0")=0,"",SUMIFS(Countries!$AE$5:$AE$434,Countries!$A$5:$A$434,"All landing pages",Countries!$B$5:$B$434,"Paid Search",Countries!$D$5:$D$434,$A319,Countries!$X$5:$X$434,"&gt;0")/SUMIFS(Countries!$X$5:$X$434,Countries!$A$5:$A$434,"All landing pages",Countries!$B$5:$B$434,"Paid Search",Countries!$D$5:$D$434,$A319,Countries!$AE$5:$AE$434,"&gt;0"))</f>
        <v/>
      </c>
      <c r="D319" s="44">
        <f>IF(OR(B319="",C319=""),"",(C319-B319)*100)</f>
        <v/>
      </c>
      <c r="E319" s="73" t="n"/>
      <c r="F319" s="43">
        <f>IF(SUMIFS(Countries!$W$5:$W$434,Countries!$A$5:$A$434,"All landing pages",Countries!$B$5:$B$434,"Organic",Countries!$D$5:$D$434,$A319,Countries!$AD$5:$AD$434,"&gt;0")=0,"",SUMIFS(Countries!$AD$5:$AD$434,Countries!$A$5:$A$434,"All landing pages",Countries!$B$5:$B$434,"Organic",Countries!$D$5:$D$434,$A319,Countries!$W$5:$W$434,"&gt;0")/SUMIFS(Countries!$W$5:$W$434,Countries!$A$5:$A$434,"All landing pages",Countries!$B$5:$B$434,"Organic",Countries!$D$5:$D$434,$A319,Countries!$AD$5:$AD$434,"&gt;0"))</f>
        <v/>
      </c>
      <c r="G319" s="43">
        <f>IF(SUMIFS(Countries!$X$5:$X$434,Countries!$A$5:$A$434,"All landing pages",Countries!$B$5:$B$434,"Organic",Countries!$D$5:$D$434,$A319,Countries!$AE$5:$AE$434,"&gt;0")=0,"",SUMIFS(Countries!$AE$5:$AE$434,Countries!$A$5:$A$434,"All landing pages",Countries!$B$5:$B$434,"Organic",Countries!$D$5:$D$434,$A319,Countries!$X$5:$X$434,"&gt;0")/SUMIFS(Countries!$X$5:$X$434,Countries!$A$5:$A$434,"All landing pages",Countries!$B$5:$B$434,"Organic",Countries!$D$5:$D$434,$A319,Countries!$AE$5:$AE$434,"&gt;0"))</f>
        <v/>
      </c>
      <c r="H319" s="44">
        <f>IF(OR(F319="",G319=""),"",(G319-F319)*100)</f>
        <v/>
      </c>
      <c r="I319" s="73" t="n"/>
      <c r="J319" s="43">
        <f>IF(SUMIFS(Countries!$W$5:$W$434,Countries!$A$5:$A$434,"All landing pages",Countries!$B$5:$B$434,"Direct",Countries!$D$5:$D$434,$A319,Countries!$AD$5:$AD$434,"&gt;0")=0,"",SUMIFS(Countries!$AD$5:$AD$434,Countries!$A$5:$A$434,"All landing pages",Countries!$B$5:$B$434,"Direct",Countries!$D$5:$D$434,$A319,Countries!$W$5:$W$434,"&gt;0")/SUMIFS(Countries!$W$5:$W$434,Countries!$A$5:$A$434,"All landing pages",Countries!$B$5:$B$434,"Direct",Countries!$D$5:$D$434,$A319,Countries!$AD$5:$AD$434,"&gt;0"))</f>
        <v/>
      </c>
      <c r="K319" s="43">
        <f>IF(SUMIFS(Countries!$X$5:$X$434,Countries!$A$5:$A$434,"All landing pages",Countries!$B$5:$B$434,"Direct",Countries!$D$5:$D$434,$A319,Countries!$AE$5:$AE$434,"&gt;0")=0,"",SUMIFS(Countries!$AE$5:$AE$434,Countries!$A$5:$A$434,"All landing pages",Countries!$B$5:$B$434,"Direct",Countries!$D$5:$D$434,$A319,Countries!$X$5:$X$434,"&gt;0")/SUMIFS(Countries!$X$5:$X$434,Countries!$A$5:$A$434,"All landing pages",Countries!$B$5:$B$434,"Direct",Countries!$D$5:$D$434,$A319,Countries!$AE$5:$AE$434,"&gt;0"))</f>
        <v/>
      </c>
      <c r="L319" s="44">
        <f>IF(OR(J319="",K319=""),"",(K319-J319)*100)</f>
        <v/>
      </c>
      <c r="M319" s="73" t="n"/>
      <c r="N319" s="43">
        <f>IF(SUMIFS(Countries!$W$5:$W$434,Countries!$A$5:$A$434,"All landing pages",Countries!$D$5:$D$434,$A319,Countries!$AD$5:$AD$434,"&gt;0")=0,"",SUMIFS(Countries!$AD$5:$AD$434,Countries!$A$5:$A$434,"All landing pages",Countries!$D$5:$D$434,$A319,Countries!$W$5:$W$434,"&gt;0")/SUMIFS(Countries!$W$5:$W$434,Countries!$A$5:$A$434,"All landing pages",Countries!$D$5:$D$434,$A319,Countries!$AD$5:$AD$434,"&gt;0"))</f>
        <v/>
      </c>
      <c r="O319" s="43">
        <f>IF(SUMIFS(Countries!$X$5:$X$434,Countries!$A$5:$A$434,"All landing pages",Countries!$D$5:$D$434,$A319,Countries!$AE$5:$AE$434,"&gt;0")=0,"",SUMIFS(Countries!$AE$5:$AE$434,Countries!$A$5:$A$434,"All landing pages",Countries!$D$5:$D$434,$A319,Countries!$X$5:$X$434,"&gt;0")/SUMIFS(Countries!$X$5:$X$434,Countries!$A$5:$A$434,"All landing pages",Countries!$D$5:$D$434,$A319,Countries!$AE$5:$AE$434,"&gt;0"))</f>
        <v/>
      </c>
      <c r="P319" s="44">
        <f>IF(OR(N319="",O319=""),"",(O319-N319)*100)</f>
        <v/>
      </c>
      <c r="Q319" s="73" t="n"/>
    </row>
    <row r="320">
      <c r="A320" s="56" t="inlineStr">
        <is>
          <t>Sweden</t>
        </is>
      </c>
      <c r="B320" s="43">
        <f>IF(SUMIFS(Countries!$W$5:$W$434,Countries!$A$5:$A$434,"All landing pages",Countries!$B$5:$B$434,"Paid Search",Countries!$D$5:$D$434,$A320,Countries!$AD$5:$AD$434,"&gt;0")=0,"",SUMIFS(Countries!$AD$5:$AD$434,Countries!$A$5:$A$434,"All landing pages",Countries!$B$5:$B$434,"Paid Search",Countries!$D$5:$D$434,$A320,Countries!$W$5:$W$434,"&gt;0")/SUMIFS(Countries!$W$5:$W$434,Countries!$A$5:$A$434,"All landing pages",Countries!$B$5:$B$434,"Paid Search",Countries!$D$5:$D$434,$A320,Countries!$AD$5:$AD$434,"&gt;0"))</f>
        <v/>
      </c>
      <c r="C320" s="43">
        <f>IF(SUMIFS(Countries!$X$5:$X$434,Countries!$A$5:$A$434,"All landing pages",Countries!$B$5:$B$434,"Paid Search",Countries!$D$5:$D$434,$A320,Countries!$AE$5:$AE$434,"&gt;0")=0,"",SUMIFS(Countries!$AE$5:$AE$434,Countries!$A$5:$A$434,"All landing pages",Countries!$B$5:$B$434,"Paid Search",Countries!$D$5:$D$434,$A320,Countries!$X$5:$X$434,"&gt;0")/SUMIFS(Countries!$X$5:$X$434,Countries!$A$5:$A$434,"All landing pages",Countries!$B$5:$B$434,"Paid Search",Countries!$D$5:$D$434,$A320,Countries!$AE$5:$AE$434,"&gt;0"))</f>
        <v/>
      </c>
      <c r="D320" s="44">
        <f>IF(OR(B320="",C320=""),"",(C320-B320)*100)</f>
        <v/>
      </c>
      <c r="E320" s="73" t="n"/>
      <c r="F320" s="43">
        <f>IF(SUMIFS(Countries!$W$5:$W$434,Countries!$A$5:$A$434,"All landing pages",Countries!$B$5:$B$434,"Organic",Countries!$D$5:$D$434,$A320,Countries!$AD$5:$AD$434,"&gt;0")=0,"",SUMIFS(Countries!$AD$5:$AD$434,Countries!$A$5:$A$434,"All landing pages",Countries!$B$5:$B$434,"Organic",Countries!$D$5:$D$434,$A320,Countries!$W$5:$W$434,"&gt;0")/SUMIFS(Countries!$W$5:$W$434,Countries!$A$5:$A$434,"All landing pages",Countries!$B$5:$B$434,"Organic",Countries!$D$5:$D$434,$A320,Countries!$AD$5:$AD$434,"&gt;0"))</f>
        <v/>
      </c>
      <c r="G320" s="43">
        <f>IF(SUMIFS(Countries!$X$5:$X$434,Countries!$A$5:$A$434,"All landing pages",Countries!$B$5:$B$434,"Organic",Countries!$D$5:$D$434,$A320,Countries!$AE$5:$AE$434,"&gt;0")=0,"",SUMIFS(Countries!$AE$5:$AE$434,Countries!$A$5:$A$434,"All landing pages",Countries!$B$5:$B$434,"Organic",Countries!$D$5:$D$434,$A320,Countries!$X$5:$X$434,"&gt;0")/SUMIFS(Countries!$X$5:$X$434,Countries!$A$5:$A$434,"All landing pages",Countries!$B$5:$B$434,"Organic",Countries!$D$5:$D$434,$A320,Countries!$AE$5:$AE$434,"&gt;0"))</f>
        <v/>
      </c>
      <c r="H320" s="44">
        <f>IF(OR(F320="",G320=""),"",(G320-F320)*100)</f>
        <v/>
      </c>
      <c r="I320" s="73" t="n"/>
      <c r="J320" s="43">
        <f>IF(SUMIFS(Countries!$W$5:$W$434,Countries!$A$5:$A$434,"All landing pages",Countries!$B$5:$B$434,"Direct",Countries!$D$5:$D$434,$A320,Countries!$AD$5:$AD$434,"&gt;0")=0,"",SUMIFS(Countries!$AD$5:$AD$434,Countries!$A$5:$A$434,"All landing pages",Countries!$B$5:$B$434,"Direct",Countries!$D$5:$D$434,$A320,Countries!$W$5:$W$434,"&gt;0")/SUMIFS(Countries!$W$5:$W$434,Countries!$A$5:$A$434,"All landing pages",Countries!$B$5:$B$434,"Direct",Countries!$D$5:$D$434,$A320,Countries!$AD$5:$AD$434,"&gt;0"))</f>
        <v/>
      </c>
      <c r="K320" s="43">
        <f>IF(SUMIFS(Countries!$X$5:$X$434,Countries!$A$5:$A$434,"All landing pages",Countries!$B$5:$B$434,"Direct",Countries!$D$5:$D$434,$A320,Countries!$AE$5:$AE$434,"&gt;0")=0,"",SUMIFS(Countries!$AE$5:$AE$434,Countries!$A$5:$A$434,"All landing pages",Countries!$B$5:$B$434,"Direct",Countries!$D$5:$D$434,$A320,Countries!$X$5:$X$434,"&gt;0")/SUMIFS(Countries!$X$5:$X$434,Countries!$A$5:$A$434,"All landing pages",Countries!$B$5:$B$434,"Direct",Countries!$D$5:$D$434,$A320,Countries!$AE$5:$AE$434,"&gt;0"))</f>
        <v/>
      </c>
      <c r="L320" s="44">
        <f>IF(OR(J320="",K320=""),"",(K320-J320)*100)</f>
        <v/>
      </c>
      <c r="M320" s="73" t="n"/>
      <c r="N320" s="43">
        <f>IF(SUMIFS(Countries!$W$5:$W$434,Countries!$A$5:$A$434,"All landing pages",Countries!$D$5:$D$434,$A320,Countries!$AD$5:$AD$434,"&gt;0")=0,"",SUMIFS(Countries!$AD$5:$AD$434,Countries!$A$5:$A$434,"All landing pages",Countries!$D$5:$D$434,$A320,Countries!$W$5:$W$434,"&gt;0")/SUMIFS(Countries!$W$5:$W$434,Countries!$A$5:$A$434,"All landing pages",Countries!$D$5:$D$434,$A320,Countries!$AD$5:$AD$434,"&gt;0"))</f>
        <v/>
      </c>
      <c r="O320" s="43">
        <f>IF(SUMIFS(Countries!$X$5:$X$434,Countries!$A$5:$A$434,"All landing pages",Countries!$D$5:$D$434,$A320,Countries!$AE$5:$AE$434,"&gt;0")=0,"",SUMIFS(Countries!$AE$5:$AE$434,Countries!$A$5:$A$434,"All landing pages",Countries!$D$5:$D$434,$A320,Countries!$X$5:$X$434,"&gt;0")/SUMIFS(Countries!$X$5:$X$434,Countries!$A$5:$A$434,"All landing pages",Countries!$D$5:$D$434,$A320,Countries!$AE$5:$AE$434,"&gt;0"))</f>
        <v/>
      </c>
      <c r="P320" s="44">
        <f>IF(OR(N320="",O320=""),"",(O320-N320)*100)</f>
        <v/>
      </c>
      <c r="Q320" s="73" t="n"/>
    </row>
    <row r="321">
      <c r="A321" s="40" t="inlineStr">
        <is>
          <t>Belgium</t>
        </is>
      </c>
      <c r="B321" s="43">
        <f>IF(SUMIFS(Countries!$W$5:$W$434,Countries!$A$5:$A$434,"All landing pages",Countries!$B$5:$B$434,"Paid Search",Countries!$D$5:$D$434,$A321,Countries!$AD$5:$AD$434,"&gt;0")=0,"",SUMIFS(Countries!$AD$5:$AD$434,Countries!$A$5:$A$434,"All landing pages",Countries!$B$5:$B$434,"Paid Search",Countries!$D$5:$D$434,$A321,Countries!$W$5:$W$434,"&gt;0")/SUMIFS(Countries!$W$5:$W$434,Countries!$A$5:$A$434,"All landing pages",Countries!$B$5:$B$434,"Paid Search",Countries!$D$5:$D$434,$A321,Countries!$AD$5:$AD$434,"&gt;0"))</f>
        <v/>
      </c>
      <c r="C321" s="43">
        <f>IF(SUMIFS(Countries!$X$5:$X$434,Countries!$A$5:$A$434,"All landing pages",Countries!$B$5:$B$434,"Paid Search",Countries!$D$5:$D$434,$A321,Countries!$AE$5:$AE$434,"&gt;0")=0,"",SUMIFS(Countries!$AE$5:$AE$434,Countries!$A$5:$A$434,"All landing pages",Countries!$B$5:$B$434,"Paid Search",Countries!$D$5:$D$434,$A321,Countries!$X$5:$X$434,"&gt;0")/SUMIFS(Countries!$X$5:$X$434,Countries!$A$5:$A$434,"All landing pages",Countries!$B$5:$B$434,"Paid Search",Countries!$D$5:$D$434,$A321,Countries!$AE$5:$AE$434,"&gt;0"))</f>
        <v/>
      </c>
      <c r="D321" s="44">
        <f>IF(OR(B321="",C321=""),"",(C321-B321)*100)</f>
        <v/>
      </c>
      <c r="E321" s="73" t="n"/>
      <c r="F321" s="43">
        <f>IF(SUMIFS(Countries!$W$5:$W$434,Countries!$A$5:$A$434,"All landing pages",Countries!$B$5:$B$434,"Organic",Countries!$D$5:$D$434,$A321,Countries!$AD$5:$AD$434,"&gt;0")=0,"",SUMIFS(Countries!$AD$5:$AD$434,Countries!$A$5:$A$434,"All landing pages",Countries!$B$5:$B$434,"Organic",Countries!$D$5:$D$434,$A321,Countries!$W$5:$W$434,"&gt;0")/SUMIFS(Countries!$W$5:$W$434,Countries!$A$5:$A$434,"All landing pages",Countries!$B$5:$B$434,"Organic",Countries!$D$5:$D$434,$A321,Countries!$AD$5:$AD$434,"&gt;0"))</f>
        <v/>
      </c>
      <c r="G321" s="43">
        <f>IF(SUMIFS(Countries!$X$5:$X$434,Countries!$A$5:$A$434,"All landing pages",Countries!$B$5:$B$434,"Organic",Countries!$D$5:$D$434,$A321,Countries!$AE$5:$AE$434,"&gt;0")=0,"",SUMIFS(Countries!$AE$5:$AE$434,Countries!$A$5:$A$434,"All landing pages",Countries!$B$5:$B$434,"Organic",Countries!$D$5:$D$434,$A321,Countries!$X$5:$X$434,"&gt;0")/SUMIFS(Countries!$X$5:$X$434,Countries!$A$5:$A$434,"All landing pages",Countries!$B$5:$B$434,"Organic",Countries!$D$5:$D$434,$A321,Countries!$AE$5:$AE$434,"&gt;0"))</f>
        <v/>
      </c>
      <c r="H321" s="44">
        <f>IF(OR(F321="",G321=""),"",(G321-F321)*100)</f>
        <v/>
      </c>
      <c r="I321" s="73" t="n"/>
      <c r="J321" s="43">
        <f>IF(SUMIFS(Countries!$W$5:$W$434,Countries!$A$5:$A$434,"All landing pages",Countries!$B$5:$B$434,"Direct",Countries!$D$5:$D$434,$A321,Countries!$AD$5:$AD$434,"&gt;0")=0,"",SUMIFS(Countries!$AD$5:$AD$434,Countries!$A$5:$A$434,"All landing pages",Countries!$B$5:$B$434,"Direct",Countries!$D$5:$D$434,$A321,Countries!$W$5:$W$434,"&gt;0")/SUMIFS(Countries!$W$5:$W$434,Countries!$A$5:$A$434,"All landing pages",Countries!$B$5:$B$434,"Direct",Countries!$D$5:$D$434,$A321,Countries!$AD$5:$AD$434,"&gt;0"))</f>
        <v/>
      </c>
      <c r="K321" s="43">
        <f>IF(SUMIFS(Countries!$X$5:$X$434,Countries!$A$5:$A$434,"All landing pages",Countries!$B$5:$B$434,"Direct",Countries!$D$5:$D$434,$A321,Countries!$AE$5:$AE$434,"&gt;0")=0,"",SUMIFS(Countries!$AE$5:$AE$434,Countries!$A$5:$A$434,"All landing pages",Countries!$B$5:$B$434,"Direct",Countries!$D$5:$D$434,$A321,Countries!$X$5:$X$434,"&gt;0")/SUMIFS(Countries!$X$5:$X$434,Countries!$A$5:$A$434,"All landing pages",Countries!$B$5:$B$434,"Direct",Countries!$D$5:$D$434,$A321,Countries!$AE$5:$AE$434,"&gt;0"))</f>
        <v/>
      </c>
      <c r="L321" s="44">
        <f>IF(OR(J321="",K321=""),"",(K321-J321)*100)</f>
        <v/>
      </c>
      <c r="M321" s="73" t="n"/>
      <c r="N321" s="43">
        <f>IF(SUMIFS(Countries!$W$5:$W$434,Countries!$A$5:$A$434,"All landing pages",Countries!$D$5:$D$434,$A321,Countries!$AD$5:$AD$434,"&gt;0")=0,"",SUMIFS(Countries!$AD$5:$AD$434,Countries!$A$5:$A$434,"All landing pages",Countries!$D$5:$D$434,$A321,Countries!$W$5:$W$434,"&gt;0")/SUMIFS(Countries!$W$5:$W$434,Countries!$A$5:$A$434,"All landing pages",Countries!$D$5:$D$434,$A321,Countries!$AD$5:$AD$434,"&gt;0"))</f>
        <v/>
      </c>
      <c r="O321" s="43">
        <f>IF(SUMIFS(Countries!$X$5:$X$434,Countries!$A$5:$A$434,"All landing pages",Countries!$D$5:$D$434,$A321,Countries!$AE$5:$AE$434,"&gt;0")=0,"",SUMIFS(Countries!$AE$5:$AE$434,Countries!$A$5:$A$434,"All landing pages",Countries!$D$5:$D$434,$A321,Countries!$X$5:$X$434,"&gt;0")/SUMIFS(Countries!$X$5:$X$434,Countries!$A$5:$A$434,"All landing pages",Countries!$D$5:$D$434,$A321,Countries!$AE$5:$AE$434,"&gt;0"))</f>
        <v/>
      </c>
      <c r="P321" s="44">
        <f>IF(OR(N321="",O321=""),"",(O321-N321)*100)</f>
        <v/>
      </c>
      <c r="Q321" s="73" t="n"/>
    </row>
    <row r="322">
      <c r="A322" s="56" t="inlineStr">
        <is>
          <t>Austria</t>
        </is>
      </c>
      <c r="B322" s="43">
        <f>IF(SUMIFS(Countries!$W$5:$W$434,Countries!$A$5:$A$434,"All landing pages",Countries!$B$5:$B$434,"Paid Search",Countries!$D$5:$D$434,$A322,Countries!$AD$5:$AD$434,"&gt;0")=0,"",SUMIFS(Countries!$AD$5:$AD$434,Countries!$A$5:$A$434,"All landing pages",Countries!$B$5:$B$434,"Paid Search",Countries!$D$5:$D$434,$A322,Countries!$W$5:$W$434,"&gt;0")/SUMIFS(Countries!$W$5:$W$434,Countries!$A$5:$A$434,"All landing pages",Countries!$B$5:$B$434,"Paid Search",Countries!$D$5:$D$434,$A322,Countries!$AD$5:$AD$434,"&gt;0"))</f>
        <v/>
      </c>
      <c r="C322" s="43">
        <f>IF(SUMIFS(Countries!$X$5:$X$434,Countries!$A$5:$A$434,"All landing pages",Countries!$B$5:$B$434,"Paid Search",Countries!$D$5:$D$434,$A322,Countries!$AE$5:$AE$434,"&gt;0")=0,"",SUMIFS(Countries!$AE$5:$AE$434,Countries!$A$5:$A$434,"All landing pages",Countries!$B$5:$B$434,"Paid Search",Countries!$D$5:$D$434,$A322,Countries!$X$5:$X$434,"&gt;0")/SUMIFS(Countries!$X$5:$X$434,Countries!$A$5:$A$434,"All landing pages",Countries!$B$5:$B$434,"Paid Search",Countries!$D$5:$D$434,$A322,Countries!$AE$5:$AE$434,"&gt;0"))</f>
        <v/>
      </c>
      <c r="D322" s="44">
        <f>IF(OR(B322="",C322=""),"",(C322-B322)*100)</f>
        <v/>
      </c>
      <c r="E322" s="73" t="n"/>
      <c r="F322" s="43">
        <f>IF(SUMIFS(Countries!$W$5:$W$434,Countries!$A$5:$A$434,"All landing pages",Countries!$B$5:$B$434,"Organic",Countries!$D$5:$D$434,$A322,Countries!$AD$5:$AD$434,"&gt;0")=0,"",SUMIFS(Countries!$AD$5:$AD$434,Countries!$A$5:$A$434,"All landing pages",Countries!$B$5:$B$434,"Organic",Countries!$D$5:$D$434,$A322,Countries!$W$5:$W$434,"&gt;0")/SUMIFS(Countries!$W$5:$W$434,Countries!$A$5:$A$434,"All landing pages",Countries!$B$5:$B$434,"Organic",Countries!$D$5:$D$434,$A322,Countries!$AD$5:$AD$434,"&gt;0"))</f>
        <v/>
      </c>
      <c r="G322" s="43">
        <f>IF(SUMIFS(Countries!$X$5:$X$434,Countries!$A$5:$A$434,"All landing pages",Countries!$B$5:$B$434,"Organic",Countries!$D$5:$D$434,$A322,Countries!$AE$5:$AE$434,"&gt;0")=0,"",SUMIFS(Countries!$AE$5:$AE$434,Countries!$A$5:$A$434,"All landing pages",Countries!$B$5:$B$434,"Organic",Countries!$D$5:$D$434,$A322,Countries!$X$5:$X$434,"&gt;0")/SUMIFS(Countries!$X$5:$X$434,Countries!$A$5:$A$434,"All landing pages",Countries!$B$5:$B$434,"Organic",Countries!$D$5:$D$434,$A322,Countries!$AE$5:$AE$434,"&gt;0"))</f>
        <v/>
      </c>
      <c r="H322" s="44">
        <f>IF(OR(F322="",G322=""),"",(G322-F322)*100)</f>
        <v/>
      </c>
      <c r="I322" s="73" t="n"/>
      <c r="J322" s="43">
        <f>IF(SUMIFS(Countries!$W$5:$W$434,Countries!$A$5:$A$434,"All landing pages",Countries!$B$5:$B$434,"Direct",Countries!$D$5:$D$434,$A322,Countries!$AD$5:$AD$434,"&gt;0")=0,"",SUMIFS(Countries!$AD$5:$AD$434,Countries!$A$5:$A$434,"All landing pages",Countries!$B$5:$B$434,"Direct",Countries!$D$5:$D$434,$A322,Countries!$W$5:$W$434,"&gt;0")/SUMIFS(Countries!$W$5:$W$434,Countries!$A$5:$A$434,"All landing pages",Countries!$B$5:$B$434,"Direct",Countries!$D$5:$D$434,$A322,Countries!$AD$5:$AD$434,"&gt;0"))</f>
        <v/>
      </c>
      <c r="K322" s="43">
        <f>IF(SUMIFS(Countries!$X$5:$X$434,Countries!$A$5:$A$434,"All landing pages",Countries!$B$5:$B$434,"Direct",Countries!$D$5:$D$434,$A322,Countries!$AE$5:$AE$434,"&gt;0")=0,"",SUMIFS(Countries!$AE$5:$AE$434,Countries!$A$5:$A$434,"All landing pages",Countries!$B$5:$B$434,"Direct",Countries!$D$5:$D$434,$A322,Countries!$X$5:$X$434,"&gt;0")/SUMIFS(Countries!$X$5:$X$434,Countries!$A$5:$A$434,"All landing pages",Countries!$B$5:$B$434,"Direct",Countries!$D$5:$D$434,$A322,Countries!$AE$5:$AE$434,"&gt;0"))</f>
        <v/>
      </c>
      <c r="L322" s="44">
        <f>IF(OR(J322="",K322=""),"",(K322-J322)*100)</f>
        <v/>
      </c>
      <c r="M322" s="73" t="n"/>
      <c r="N322" s="43">
        <f>IF(SUMIFS(Countries!$W$5:$W$434,Countries!$A$5:$A$434,"All landing pages",Countries!$D$5:$D$434,$A322,Countries!$AD$5:$AD$434,"&gt;0")=0,"",SUMIFS(Countries!$AD$5:$AD$434,Countries!$A$5:$A$434,"All landing pages",Countries!$D$5:$D$434,$A322,Countries!$W$5:$W$434,"&gt;0")/SUMIFS(Countries!$W$5:$W$434,Countries!$A$5:$A$434,"All landing pages",Countries!$D$5:$D$434,$A322,Countries!$AD$5:$AD$434,"&gt;0"))</f>
        <v/>
      </c>
      <c r="O322" s="43">
        <f>IF(SUMIFS(Countries!$X$5:$X$434,Countries!$A$5:$A$434,"All landing pages",Countries!$D$5:$D$434,$A322,Countries!$AE$5:$AE$434,"&gt;0")=0,"",SUMIFS(Countries!$AE$5:$AE$434,Countries!$A$5:$A$434,"All landing pages",Countries!$D$5:$D$434,$A322,Countries!$X$5:$X$434,"&gt;0")/SUMIFS(Countries!$X$5:$X$434,Countries!$A$5:$A$434,"All landing pages",Countries!$D$5:$D$434,$A322,Countries!$AE$5:$AE$434,"&gt;0"))</f>
        <v/>
      </c>
      <c r="P322" s="44">
        <f>IF(OR(N322="",O322=""),"",(O322-N322)*100)</f>
        <v/>
      </c>
      <c r="Q322" s="73" t="n"/>
    </row>
    <row r="323">
      <c r="A323" s="40" t="inlineStr">
        <is>
          <t>Denmark</t>
        </is>
      </c>
      <c r="B323" s="43">
        <f>IF(SUMIFS(Countries!$W$5:$W$434,Countries!$A$5:$A$434,"All landing pages",Countries!$B$5:$B$434,"Paid Search",Countries!$D$5:$D$434,$A323,Countries!$AD$5:$AD$434,"&gt;0")=0,"",SUMIFS(Countries!$AD$5:$AD$434,Countries!$A$5:$A$434,"All landing pages",Countries!$B$5:$B$434,"Paid Search",Countries!$D$5:$D$434,$A323,Countries!$W$5:$W$434,"&gt;0")/SUMIFS(Countries!$W$5:$W$434,Countries!$A$5:$A$434,"All landing pages",Countries!$B$5:$B$434,"Paid Search",Countries!$D$5:$D$434,$A323,Countries!$AD$5:$AD$434,"&gt;0"))</f>
        <v/>
      </c>
      <c r="C323" s="43">
        <f>IF(SUMIFS(Countries!$X$5:$X$434,Countries!$A$5:$A$434,"All landing pages",Countries!$B$5:$B$434,"Paid Search",Countries!$D$5:$D$434,$A323,Countries!$AE$5:$AE$434,"&gt;0")=0,"",SUMIFS(Countries!$AE$5:$AE$434,Countries!$A$5:$A$434,"All landing pages",Countries!$B$5:$B$434,"Paid Search",Countries!$D$5:$D$434,$A323,Countries!$X$5:$X$434,"&gt;0")/SUMIFS(Countries!$X$5:$X$434,Countries!$A$5:$A$434,"All landing pages",Countries!$B$5:$B$434,"Paid Search",Countries!$D$5:$D$434,$A323,Countries!$AE$5:$AE$434,"&gt;0"))</f>
        <v/>
      </c>
      <c r="D323" s="44">
        <f>IF(OR(B323="",C323=""),"",(C323-B323)*100)</f>
        <v/>
      </c>
      <c r="E323" s="73" t="n"/>
      <c r="F323" s="43">
        <f>IF(SUMIFS(Countries!$W$5:$W$434,Countries!$A$5:$A$434,"All landing pages",Countries!$B$5:$B$434,"Organic",Countries!$D$5:$D$434,$A323,Countries!$AD$5:$AD$434,"&gt;0")=0,"",SUMIFS(Countries!$AD$5:$AD$434,Countries!$A$5:$A$434,"All landing pages",Countries!$B$5:$B$434,"Organic",Countries!$D$5:$D$434,$A323,Countries!$W$5:$W$434,"&gt;0")/SUMIFS(Countries!$W$5:$W$434,Countries!$A$5:$A$434,"All landing pages",Countries!$B$5:$B$434,"Organic",Countries!$D$5:$D$434,$A323,Countries!$AD$5:$AD$434,"&gt;0"))</f>
        <v/>
      </c>
      <c r="G323" s="43">
        <f>IF(SUMIFS(Countries!$X$5:$X$434,Countries!$A$5:$A$434,"All landing pages",Countries!$B$5:$B$434,"Organic",Countries!$D$5:$D$434,$A323,Countries!$AE$5:$AE$434,"&gt;0")=0,"",SUMIFS(Countries!$AE$5:$AE$434,Countries!$A$5:$A$434,"All landing pages",Countries!$B$5:$B$434,"Organic",Countries!$D$5:$D$434,$A323,Countries!$X$5:$X$434,"&gt;0")/SUMIFS(Countries!$X$5:$X$434,Countries!$A$5:$A$434,"All landing pages",Countries!$B$5:$B$434,"Organic",Countries!$D$5:$D$434,$A323,Countries!$AE$5:$AE$434,"&gt;0"))</f>
        <v/>
      </c>
      <c r="H323" s="44">
        <f>IF(OR(F323="",G323=""),"",(G323-F323)*100)</f>
        <v/>
      </c>
      <c r="I323" s="73" t="n"/>
      <c r="J323" s="43">
        <f>IF(SUMIFS(Countries!$W$5:$W$434,Countries!$A$5:$A$434,"All landing pages",Countries!$B$5:$B$434,"Direct",Countries!$D$5:$D$434,$A323,Countries!$AD$5:$AD$434,"&gt;0")=0,"",SUMIFS(Countries!$AD$5:$AD$434,Countries!$A$5:$A$434,"All landing pages",Countries!$B$5:$B$434,"Direct",Countries!$D$5:$D$434,$A323,Countries!$W$5:$W$434,"&gt;0")/SUMIFS(Countries!$W$5:$W$434,Countries!$A$5:$A$434,"All landing pages",Countries!$B$5:$B$434,"Direct",Countries!$D$5:$D$434,$A323,Countries!$AD$5:$AD$434,"&gt;0"))</f>
        <v/>
      </c>
      <c r="K323" s="43">
        <f>IF(SUMIFS(Countries!$X$5:$X$434,Countries!$A$5:$A$434,"All landing pages",Countries!$B$5:$B$434,"Direct",Countries!$D$5:$D$434,$A323,Countries!$AE$5:$AE$434,"&gt;0")=0,"",SUMIFS(Countries!$AE$5:$AE$434,Countries!$A$5:$A$434,"All landing pages",Countries!$B$5:$B$434,"Direct",Countries!$D$5:$D$434,$A323,Countries!$X$5:$X$434,"&gt;0")/SUMIFS(Countries!$X$5:$X$434,Countries!$A$5:$A$434,"All landing pages",Countries!$B$5:$B$434,"Direct",Countries!$D$5:$D$434,$A323,Countries!$AE$5:$AE$434,"&gt;0"))</f>
        <v/>
      </c>
      <c r="L323" s="44">
        <f>IF(OR(J323="",K323=""),"",(K323-J323)*100)</f>
        <v/>
      </c>
      <c r="M323" s="73" t="n"/>
      <c r="N323" s="43">
        <f>IF(SUMIFS(Countries!$W$5:$W$434,Countries!$A$5:$A$434,"All landing pages",Countries!$D$5:$D$434,$A323,Countries!$AD$5:$AD$434,"&gt;0")=0,"",SUMIFS(Countries!$AD$5:$AD$434,Countries!$A$5:$A$434,"All landing pages",Countries!$D$5:$D$434,$A323,Countries!$W$5:$W$434,"&gt;0")/SUMIFS(Countries!$W$5:$W$434,Countries!$A$5:$A$434,"All landing pages",Countries!$D$5:$D$434,$A323,Countries!$AD$5:$AD$434,"&gt;0"))</f>
        <v/>
      </c>
      <c r="O323" s="43">
        <f>IF(SUMIFS(Countries!$X$5:$X$434,Countries!$A$5:$A$434,"All landing pages",Countries!$D$5:$D$434,$A323,Countries!$AE$5:$AE$434,"&gt;0")=0,"",SUMIFS(Countries!$AE$5:$AE$434,Countries!$A$5:$A$434,"All landing pages",Countries!$D$5:$D$434,$A323,Countries!$X$5:$X$434,"&gt;0")/SUMIFS(Countries!$X$5:$X$434,Countries!$A$5:$A$434,"All landing pages",Countries!$D$5:$D$434,$A323,Countries!$AE$5:$AE$434,"&gt;0"))</f>
        <v/>
      </c>
      <c r="P323" s="44">
        <f>IF(OR(N323="",O323=""),"",(O323-N323)*100)</f>
        <v/>
      </c>
      <c r="Q323" s="73" t="n"/>
    </row>
    <row r="324">
      <c r="A324" s="56" t="inlineStr">
        <is>
          <t>Norway</t>
        </is>
      </c>
      <c r="B324" s="43">
        <f>IF(SUMIFS(Countries!$W$5:$W$434,Countries!$A$5:$A$434,"All landing pages",Countries!$B$5:$B$434,"Paid Search",Countries!$D$5:$D$434,$A324,Countries!$AD$5:$AD$434,"&gt;0")=0,"",SUMIFS(Countries!$AD$5:$AD$434,Countries!$A$5:$A$434,"All landing pages",Countries!$B$5:$B$434,"Paid Search",Countries!$D$5:$D$434,$A324,Countries!$W$5:$W$434,"&gt;0")/SUMIFS(Countries!$W$5:$W$434,Countries!$A$5:$A$434,"All landing pages",Countries!$B$5:$B$434,"Paid Search",Countries!$D$5:$D$434,$A324,Countries!$AD$5:$AD$434,"&gt;0"))</f>
        <v/>
      </c>
      <c r="C324" s="43">
        <f>IF(SUMIFS(Countries!$X$5:$X$434,Countries!$A$5:$A$434,"All landing pages",Countries!$B$5:$B$434,"Paid Search",Countries!$D$5:$D$434,$A324,Countries!$AE$5:$AE$434,"&gt;0")=0,"",SUMIFS(Countries!$AE$5:$AE$434,Countries!$A$5:$A$434,"All landing pages",Countries!$B$5:$B$434,"Paid Search",Countries!$D$5:$D$434,$A324,Countries!$X$5:$X$434,"&gt;0")/SUMIFS(Countries!$X$5:$X$434,Countries!$A$5:$A$434,"All landing pages",Countries!$B$5:$B$434,"Paid Search",Countries!$D$5:$D$434,$A324,Countries!$AE$5:$AE$434,"&gt;0"))</f>
        <v/>
      </c>
      <c r="D324" s="44">
        <f>IF(OR(B324="",C324=""),"",(C324-B324)*100)</f>
        <v/>
      </c>
      <c r="E324" s="73" t="n"/>
      <c r="F324" s="43">
        <f>IF(SUMIFS(Countries!$W$5:$W$434,Countries!$A$5:$A$434,"All landing pages",Countries!$B$5:$B$434,"Organic",Countries!$D$5:$D$434,$A324,Countries!$AD$5:$AD$434,"&gt;0")=0,"",SUMIFS(Countries!$AD$5:$AD$434,Countries!$A$5:$A$434,"All landing pages",Countries!$B$5:$B$434,"Organic",Countries!$D$5:$D$434,$A324,Countries!$W$5:$W$434,"&gt;0")/SUMIFS(Countries!$W$5:$W$434,Countries!$A$5:$A$434,"All landing pages",Countries!$B$5:$B$434,"Organic",Countries!$D$5:$D$434,$A324,Countries!$AD$5:$AD$434,"&gt;0"))</f>
        <v/>
      </c>
      <c r="G324" s="43">
        <f>IF(SUMIFS(Countries!$X$5:$X$434,Countries!$A$5:$A$434,"All landing pages",Countries!$B$5:$B$434,"Organic",Countries!$D$5:$D$434,$A324,Countries!$AE$5:$AE$434,"&gt;0")=0,"",SUMIFS(Countries!$AE$5:$AE$434,Countries!$A$5:$A$434,"All landing pages",Countries!$B$5:$B$434,"Organic",Countries!$D$5:$D$434,$A324,Countries!$X$5:$X$434,"&gt;0")/SUMIFS(Countries!$X$5:$X$434,Countries!$A$5:$A$434,"All landing pages",Countries!$B$5:$B$434,"Organic",Countries!$D$5:$D$434,$A324,Countries!$AE$5:$AE$434,"&gt;0"))</f>
        <v/>
      </c>
      <c r="H324" s="44">
        <f>IF(OR(F324="",G324=""),"",(G324-F324)*100)</f>
        <v/>
      </c>
      <c r="I324" s="73" t="n"/>
      <c r="J324" s="43">
        <f>IF(SUMIFS(Countries!$W$5:$W$434,Countries!$A$5:$A$434,"All landing pages",Countries!$B$5:$B$434,"Direct",Countries!$D$5:$D$434,$A324,Countries!$AD$5:$AD$434,"&gt;0")=0,"",SUMIFS(Countries!$AD$5:$AD$434,Countries!$A$5:$A$434,"All landing pages",Countries!$B$5:$B$434,"Direct",Countries!$D$5:$D$434,$A324,Countries!$W$5:$W$434,"&gt;0")/SUMIFS(Countries!$W$5:$W$434,Countries!$A$5:$A$434,"All landing pages",Countries!$B$5:$B$434,"Direct",Countries!$D$5:$D$434,$A324,Countries!$AD$5:$AD$434,"&gt;0"))</f>
        <v/>
      </c>
      <c r="K324" s="43">
        <f>IF(SUMIFS(Countries!$X$5:$X$434,Countries!$A$5:$A$434,"All landing pages",Countries!$B$5:$B$434,"Direct",Countries!$D$5:$D$434,$A324,Countries!$AE$5:$AE$434,"&gt;0")=0,"",SUMIFS(Countries!$AE$5:$AE$434,Countries!$A$5:$A$434,"All landing pages",Countries!$B$5:$B$434,"Direct",Countries!$D$5:$D$434,$A324,Countries!$X$5:$X$434,"&gt;0")/SUMIFS(Countries!$X$5:$X$434,Countries!$A$5:$A$434,"All landing pages",Countries!$B$5:$B$434,"Direct",Countries!$D$5:$D$434,$A324,Countries!$AE$5:$AE$434,"&gt;0"))</f>
        <v/>
      </c>
      <c r="L324" s="44">
        <f>IF(OR(J324="",K324=""),"",(K324-J324)*100)</f>
        <v/>
      </c>
      <c r="M324" s="73" t="n"/>
      <c r="N324" s="43">
        <f>IF(SUMIFS(Countries!$W$5:$W$434,Countries!$A$5:$A$434,"All landing pages",Countries!$D$5:$D$434,$A324,Countries!$AD$5:$AD$434,"&gt;0")=0,"",SUMIFS(Countries!$AD$5:$AD$434,Countries!$A$5:$A$434,"All landing pages",Countries!$D$5:$D$434,$A324,Countries!$W$5:$W$434,"&gt;0")/SUMIFS(Countries!$W$5:$W$434,Countries!$A$5:$A$434,"All landing pages",Countries!$D$5:$D$434,$A324,Countries!$AD$5:$AD$434,"&gt;0"))</f>
        <v/>
      </c>
      <c r="O324" s="43">
        <f>IF(SUMIFS(Countries!$X$5:$X$434,Countries!$A$5:$A$434,"All landing pages",Countries!$D$5:$D$434,$A324,Countries!$AE$5:$AE$434,"&gt;0")=0,"",SUMIFS(Countries!$AE$5:$AE$434,Countries!$A$5:$A$434,"All landing pages",Countries!$D$5:$D$434,$A324,Countries!$X$5:$X$434,"&gt;0")/SUMIFS(Countries!$X$5:$X$434,Countries!$A$5:$A$434,"All landing pages",Countries!$D$5:$D$434,$A324,Countries!$AE$5:$AE$434,"&gt;0"))</f>
        <v/>
      </c>
      <c r="P324" s="44">
        <f>IF(OR(N324="",O324=""),"",(O324-N324)*100)</f>
        <v/>
      </c>
      <c r="Q324" s="73" t="n"/>
    </row>
    <row r="325">
      <c r="A325" s="40" t="inlineStr">
        <is>
          <t>Finland</t>
        </is>
      </c>
      <c r="B325" s="43">
        <f>IF(SUMIFS(Countries!$W$5:$W$434,Countries!$A$5:$A$434,"All landing pages",Countries!$B$5:$B$434,"Paid Search",Countries!$D$5:$D$434,$A325,Countries!$AD$5:$AD$434,"&gt;0")=0,"",SUMIFS(Countries!$AD$5:$AD$434,Countries!$A$5:$A$434,"All landing pages",Countries!$B$5:$B$434,"Paid Search",Countries!$D$5:$D$434,$A325,Countries!$W$5:$W$434,"&gt;0")/SUMIFS(Countries!$W$5:$W$434,Countries!$A$5:$A$434,"All landing pages",Countries!$B$5:$B$434,"Paid Search",Countries!$D$5:$D$434,$A325,Countries!$AD$5:$AD$434,"&gt;0"))</f>
        <v/>
      </c>
      <c r="C325" s="43">
        <f>IF(SUMIFS(Countries!$X$5:$X$434,Countries!$A$5:$A$434,"All landing pages",Countries!$B$5:$B$434,"Paid Search",Countries!$D$5:$D$434,$A325,Countries!$AE$5:$AE$434,"&gt;0")=0,"",SUMIFS(Countries!$AE$5:$AE$434,Countries!$A$5:$A$434,"All landing pages",Countries!$B$5:$B$434,"Paid Search",Countries!$D$5:$D$434,$A325,Countries!$X$5:$X$434,"&gt;0")/SUMIFS(Countries!$X$5:$X$434,Countries!$A$5:$A$434,"All landing pages",Countries!$B$5:$B$434,"Paid Search",Countries!$D$5:$D$434,$A325,Countries!$AE$5:$AE$434,"&gt;0"))</f>
        <v/>
      </c>
      <c r="D325" s="44">
        <f>IF(OR(B325="",C325=""),"",(C325-B325)*100)</f>
        <v/>
      </c>
      <c r="E325" s="73" t="n"/>
      <c r="F325" s="43">
        <f>IF(SUMIFS(Countries!$W$5:$W$434,Countries!$A$5:$A$434,"All landing pages",Countries!$B$5:$B$434,"Organic",Countries!$D$5:$D$434,$A325,Countries!$AD$5:$AD$434,"&gt;0")=0,"",SUMIFS(Countries!$AD$5:$AD$434,Countries!$A$5:$A$434,"All landing pages",Countries!$B$5:$B$434,"Organic",Countries!$D$5:$D$434,$A325,Countries!$W$5:$W$434,"&gt;0")/SUMIFS(Countries!$W$5:$W$434,Countries!$A$5:$A$434,"All landing pages",Countries!$B$5:$B$434,"Organic",Countries!$D$5:$D$434,$A325,Countries!$AD$5:$AD$434,"&gt;0"))</f>
        <v/>
      </c>
      <c r="G325" s="43">
        <f>IF(SUMIFS(Countries!$X$5:$X$434,Countries!$A$5:$A$434,"All landing pages",Countries!$B$5:$B$434,"Organic",Countries!$D$5:$D$434,$A325,Countries!$AE$5:$AE$434,"&gt;0")=0,"",SUMIFS(Countries!$AE$5:$AE$434,Countries!$A$5:$A$434,"All landing pages",Countries!$B$5:$B$434,"Organic",Countries!$D$5:$D$434,$A325,Countries!$X$5:$X$434,"&gt;0")/SUMIFS(Countries!$X$5:$X$434,Countries!$A$5:$A$434,"All landing pages",Countries!$B$5:$B$434,"Organic",Countries!$D$5:$D$434,$A325,Countries!$AE$5:$AE$434,"&gt;0"))</f>
        <v/>
      </c>
      <c r="H325" s="44">
        <f>IF(OR(F325="",G325=""),"",(G325-F325)*100)</f>
        <v/>
      </c>
      <c r="I325" s="73" t="n"/>
      <c r="J325" s="43">
        <f>IF(SUMIFS(Countries!$W$5:$W$434,Countries!$A$5:$A$434,"All landing pages",Countries!$B$5:$B$434,"Direct",Countries!$D$5:$D$434,$A325,Countries!$AD$5:$AD$434,"&gt;0")=0,"",SUMIFS(Countries!$AD$5:$AD$434,Countries!$A$5:$A$434,"All landing pages",Countries!$B$5:$B$434,"Direct",Countries!$D$5:$D$434,$A325,Countries!$W$5:$W$434,"&gt;0")/SUMIFS(Countries!$W$5:$W$434,Countries!$A$5:$A$434,"All landing pages",Countries!$B$5:$B$434,"Direct",Countries!$D$5:$D$434,$A325,Countries!$AD$5:$AD$434,"&gt;0"))</f>
        <v/>
      </c>
      <c r="K325" s="43">
        <f>IF(SUMIFS(Countries!$X$5:$X$434,Countries!$A$5:$A$434,"All landing pages",Countries!$B$5:$B$434,"Direct",Countries!$D$5:$D$434,$A325,Countries!$AE$5:$AE$434,"&gt;0")=0,"",SUMIFS(Countries!$AE$5:$AE$434,Countries!$A$5:$A$434,"All landing pages",Countries!$B$5:$B$434,"Direct",Countries!$D$5:$D$434,$A325,Countries!$X$5:$X$434,"&gt;0")/SUMIFS(Countries!$X$5:$X$434,Countries!$A$5:$A$434,"All landing pages",Countries!$B$5:$B$434,"Direct",Countries!$D$5:$D$434,$A325,Countries!$AE$5:$AE$434,"&gt;0"))</f>
        <v/>
      </c>
      <c r="L325" s="44">
        <f>IF(OR(J325="",K325=""),"",(K325-J325)*100)</f>
        <v/>
      </c>
      <c r="M325" s="73" t="n"/>
      <c r="N325" s="43">
        <f>IF(SUMIFS(Countries!$W$5:$W$434,Countries!$A$5:$A$434,"All landing pages",Countries!$D$5:$D$434,$A325,Countries!$AD$5:$AD$434,"&gt;0")=0,"",SUMIFS(Countries!$AD$5:$AD$434,Countries!$A$5:$A$434,"All landing pages",Countries!$D$5:$D$434,$A325,Countries!$W$5:$W$434,"&gt;0")/SUMIFS(Countries!$W$5:$W$434,Countries!$A$5:$A$434,"All landing pages",Countries!$D$5:$D$434,$A325,Countries!$AD$5:$AD$434,"&gt;0"))</f>
        <v/>
      </c>
      <c r="O325" s="43">
        <f>IF(SUMIFS(Countries!$X$5:$X$434,Countries!$A$5:$A$434,"All landing pages",Countries!$D$5:$D$434,$A325,Countries!$AE$5:$AE$434,"&gt;0")=0,"",SUMIFS(Countries!$AE$5:$AE$434,Countries!$A$5:$A$434,"All landing pages",Countries!$D$5:$D$434,$A325,Countries!$X$5:$X$434,"&gt;0")/SUMIFS(Countries!$X$5:$X$434,Countries!$A$5:$A$434,"All landing pages",Countries!$D$5:$D$434,$A325,Countries!$AE$5:$AE$434,"&gt;0"))</f>
        <v/>
      </c>
      <c r="P325" s="44">
        <f>IF(OR(N325="",O325=""),"",(O325-N325)*100)</f>
        <v/>
      </c>
      <c r="Q325" s="73" t="n"/>
    </row>
    <row r="326">
      <c r="A326" s="56" t="inlineStr">
        <is>
          <t>Portugal</t>
        </is>
      </c>
      <c r="B326" s="43">
        <f>IF(SUMIFS(Countries!$W$5:$W$434,Countries!$A$5:$A$434,"All landing pages",Countries!$B$5:$B$434,"Paid Search",Countries!$D$5:$D$434,$A326,Countries!$AD$5:$AD$434,"&gt;0")=0,"",SUMIFS(Countries!$AD$5:$AD$434,Countries!$A$5:$A$434,"All landing pages",Countries!$B$5:$B$434,"Paid Search",Countries!$D$5:$D$434,$A326,Countries!$W$5:$W$434,"&gt;0")/SUMIFS(Countries!$W$5:$W$434,Countries!$A$5:$A$434,"All landing pages",Countries!$B$5:$B$434,"Paid Search",Countries!$D$5:$D$434,$A326,Countries!$AD$5:$AD$434,"&gt;0"))</f>
        <v/>
      </c>
      <c r="C326" s="43">
        <f>IF(SUMIFS(Countries!$X$5:$X$434,Countries!$A$5:$A$434,"All landing pages",Countries!$B$5:$B$434,"Paid Search",Countries!$D$5:$D$434,$A326,Countries!$AE$5:$AE$434,"&gt;0")=0,"",SUMIFS(Countries!$AE$5:$AE$434,Countries!$A$5:$A$434,"All landing pages",Countries!$B$5:$B$434,"Paid Search",Countries!$D$5:$D$434,$A326,Countries!$X$5:$X$434,"&gt;0")/SUMIFS(Countries!$X$5:$X$434,Countries!$A$5:$A$434,"All landing pages",Countries!$B$5:$B$434,"Paid Search",Countries!$D$5:$D$434,$A326,Countries!$AE$5:$AE$434,"&gt;0"))</f>
        <v/>
      </c>
      <c r="D326" s="44">
        <f>IF(OR(B326="",C326=""),"",(C326-B326)*100)</f>
        <v/>
      </c>
      <c r="E326" s="73" t="n"/>
      <c r="F326" s="43">
        <f>IF(SUMIFS(Countries!$W$5:$W$434,Countries!$A$5:$A$434,"All landing pages",Countries!$B$5:$B$434,"Organic",Countries!$D$5:$D$434,$A326,Countries!$AD$5:$AD$434,"&gt;0")=0,"",SUMIFS(Countries!$AD$5:$AD$434,Countries!$A$5:$A$434,"All landing pages",Countries!$B$5:$B$434,"Organic",Countries!$D$5:$D$434,$A326,Countries!$W$5:$W$434,"&gt;0")/SUMIFS(Countries!$W$5:$W$434,Countries!$A$5:$A$434,"All landing pages",Countries!$B$5:$B$434,"Organic",Countries!$D$5:$D$434,$A326,Countries!$AD$5:$AD$434,"&gt;0"))</f>
        <v/>
      </c>
      <c r="G326" s="43">
        <f>IF(SUMIFS(Countries!$X$5:$X$434,Countries!$A$5:$A$434,"All landing pages",Countries!$B$5:$B$434,"Organic",Countries!$D$5:$D$434,$A326,Countries!$AE$5:$AE$434,"&gt;0")=0,"",SUMIFS(Countries!$AE$5:$AE$434,Countries!$A$5:$A$434,"All landing pages",Countries!$B$5:$B$434,"Organic",Countries!$D$5:$D$434,$A326,Countries!$X$5:$X$434,"&gt;0")/SUMIFS(Countries!$X$5:$X$434,Countries!$A$5:$A$434,"All landing pages",Countries!$B$5:$B$434,"Organic",Countries!$D$5:$D$434,$A326,Countries!$AE$5:$AE$434,"&gt;0"))</f>
        <v/>
      </c>
      <c r="H326" s="44">
        <f>IF(OR(F326="",G326=""),"",(G326-F326)*100)</f>
        <v/>
      </c>
      <c r="I326" s="73" t="n"/>
      <c r="J326" s="43">
        <f>IF(SUMIFS(Countries!$W$5:$W$434,Countries!$A$5:$A$434,"All landing pages",Countries!$B$5:$B$434,"Direct",Countries!$D$5:$D$434,$A326,Countries!$AD$5:$AD$434,"&gt;0")=0,"",SUMIFS(Countries!$AD$5:$AD$434,Countries!$A$5:$A$434,"All landing pages",Countries!$B$5:$B$434,"Direct",Countries!$D$5:$D$434,$A326,Countries!$W$5:$W$434,"&gt;0")/SUMIFS(Countries!$W$5:$W$434,Countries!$A$5:$A$434,"All landing pages",Countries!$B$5:$B$434,"Direct",Countries!$D$5:$D$434,$A326,Countries!$AD$5:$AD$434,"&gt;0"))</f>
        <v/>
      </c>
      <c r="K326" s="43">
        <f>IF(SUMIFS(Countries!$X$5:$X$434,Countries!$A$5:$A$434,"All landing pages",Countries!$B$5:$B$434,"Direct",Countries!$D$5:$D$434,$A326,Countries!$AE$5:$AE$434,"&gt;0")=0,"",SUMIFS(Countries!$AE$5:$AE$434,Countries!$A$5:$A$434,"All landing pages",Countries!$B$5:$B$434,"Direct",Countries!$D$5:$D$434,$A326,Countries!$X$5:$X$434,"&gt;0")/SUMIFS(Countries!$X$5:$X$434,Countries!$A$5:$A$434,"All landing pages",Countries!$B$5:$B$434,"Direct",Countries!$D$5:$D$434,$A326,Countries!$AE$5:$AE$434,"&gt;0"))</f>
        <v/>
      </c>
      <c r="L326" s="44">
        <f>IF(OR(J326="",K326=""),"",(K326-J326)*100)</f>
        <v/>
      </c>
      <c r="M326" s="73" t="n"/>
      <c r="N326" s="43">
        <f>IF(SUMIFS(Countries!$W$5:$W$434,Countries!$A$5:$A$434,"All landing pages",Countries!$D$5:$D$434,$A326,Countries!$AD$5:$AD$434,"&gt;0")=0,"",SUMIFS(Countries!$AD$5:$AD$434,Countries!$A$5:$A$434,"All landing pages",Countries!$D$5:$D$434,$A326,Countries!$W$5:$W$434,"&gt;0")/SUMIFS(Countries!$W$5:$W$434,Countries!$A$5:$A$434,"All landing pages",Countries!$D$5:$D$434,$A326,Countries!$AD$5:$AD$434,"&gt;0"))</f>
        <v/>
      </c>
      <c r="O326" s="43">
        <f>IF(SUMIFS(Countries!$X$5:$X$434,Countries!$A$5:$A$434,"All landing pages",Countries!$D$5:$D$434,$A326,Countries!$AE$5:$AE$434,"&gt;0")=0,"",SUMIFS(Countries!$AE$5:$AE$434,Countries!$A$5:$A$434,"All landing pages",Countries!$D$5:$D$434,$A326,Countries!$X$5:$X$434,"&gt;0")/SUMIFS(Countries!$X$5:$X$434,Countries!$A$5:$A$434,"All landing pages",Countries!$D$5:$D$434,$A326,Countries!$AE$5:$AE$434,"&gt;0"))</f>
        <v/>
      </c>
      <c r="P326" s="44">
        <f>IF(OR(N326="",O326=""),"",(O326-N326)*100)</f>
        <v/>
      </c>
      <c r="Q326" s="73" t="n"/>
    </row>
    <row r="327">
      <c r="A327" s="40" t="inlineStr">
        <is>
          <t>Türkiye</t>
        </is>
      </c>
      <c r="B327" s="43">
        <f>IF(SUMIFS(Countries!$W$5:$W$434,Countries!$A$5:$A$434,"All landing pages",Countries!$B$5:$B$434,"Paid Search",Countries!$D$5:$D$434,$A327,Countries!$AD$5:$AD$434,"&gt;0")=0,"",SUMIFS(Countries!$AD$5:$AD$434,Countries!$A$5:$A$434,"All landing pages",Countries!$B$5:$B$434,"Paid Search",Countries!$D$5:$D$434,$A327,Countries!$W$5:$W$434,"&gt;0")/SUMIFS(Countries!$W$5:$W$434,Countries!$A$5:$A$434,"All landing pages",Countries!$B$5:$B$434,"Paid Search",Countries!$D$5:$D$434,$A327,Countries!$AD$5:$AD$434,"&gt;0"))</f>
        <v/>
      </c>
      <c r="C327" s="43">
        <f>IF(SUMIFS(Countries!$X$5:$X$434,Countries!$A$5:$A$434,"All landing pages",Countries!$B$5:$B$434,"Paid Search",Countries!$D$5:$D$434,$A327,Countries!$AE$5:$AE$434,"&gt;0")=0,"",SUMIFS(Countries!$AE$5:$AE$434,Countries!$A$5:$A$434,"All landing pages",Countries!$B$5:$B$434,"Paid Search",Countries!$D$5:$D$434,$A327,Countries!$X$5:$X$434,"&gt;0")/SUMIFS(Countries!$X$5:$X$434,Countries!$A$5:$A$434,"All landing pages",Countries!$B$5:$B$434,"Paid Search",Countries!$D$5:$D$434,$A327,Countries!$AE$5:$AE$434,"&gt;0"))</f>
        <v/>
      </c>
      <c r="D327" s="44">
        <f>IF(OR(B327="",C327=""),"",(C327-B327)*100)</f>
        <v/>
      </c>
      <c r="E327" s="73" t="n"/>
      <c r="F327" s="43">
        <f>IF(SUMIFS(Countries!$W$5:$W$434,Countries!$A$5:$A$434,"All landing pages",Countries!$B$5:$B$434,"Organic",Countries!$D$5:$D$434,$A327,Countries!$AD$5:$AD$434,"&gt;0")=0,"",SUMIFS(Countries!$AD$5:$AD$434,Countries!$A$5:$A$434,"All landing pages",Countries!$B$5:$B$434,"Organic",Countries!$D$5:$D$434,$A327,Countries!$W$5:$W$434,"&gt;0")/SUMIFS(Countries!$W$5:$W$434,Countries!$A$5:$A$434,"All landing pages",Countries!$B$5:$B$434,"Organic",Countries!$D$5:$D$434,$A327,Countries!$AD$5:$AD$434,"&gt;0"))</f>
        <v/>
      </c>
      <c r="G327" s="43">
        <f>IF(SUMIFS(Countries!$X$5:$X$434,Countries!$A$5:$A$434,"All landing pages",Countries!$B$5:$B$434,"Organic",Countries!$D$5:$D$434,$A327,Countries!$AE$5:$AE$434,"&gt;0")=0,"",SUMIFS(Countries!$AE$5:$AE$434,Countries!$A$5:$A$434,"All landing pages",Countries!$B$5:$B$434,"Organic",Countries!$D$5:$D$434,$A327,Countries!$X$5:$X$434,"&gt;0")/SUMIFS(Countries!$X$5:$X$434,Countries!$A$5:$A$434,"All landing pages",Countries!$B$5:$B$434,"Organic",Countries!$D$5:$D$434,$A327,Countries!$AE$5:$AE$434,"&gt;0"))</f>
        <v/>
      </c>
      <c r="H327" s="44">
        <f>IF(OR(F327="",G327=""),"",(G327-F327)*100)</f>
        <v/>
      </c>
      <c r="I327" s="73" t="n"/>
      <c r="J327" s="43">
        <f>IF(SUMIFS(Countries!$W$5:$W$434,Countries!$A$5:$A$434,"All landing pages",Countries!$B$5:$B$434,"Direct",Countries!$D$5:$D$434,$A327,Countries!$AD$5:$AD$434,"&gt;0")=0,"",SUMIFS(Countries!$AD$5:$AD$434,Countries!$A$5:$A$434,"All landing pages",Countries!$B$5:$B$434,"Direct",Countries!$D$5:$D$434,$A327,Countries!$W$5:$W$434,"&gt;0")/SUMIFS(Countries!$W$5:$W$434,Countries!$A$5:$A$434,"All landing pages",Countries!$B$5:$B$434,"Direct",Countries!$D$5:$D$434,$A327,Countries!$AD$5:$AD$434,"&gt;0"))</f>
        <v/>
      </c>
      <c r="K327" s="43">
        <f>IF(SUMIFS(Countries!$X$5:$X$434,Countries!$A$5:$A$434,"All landing pages",Countries!$B$5:$B$434,"Direct",Countries!$D$5:$D$434,$A327,Countries!$AE$5:$AE$434,"&gt;0")=0,"",SUMIFS(Countries!$AE$5:$AE$434,Countries!$A$5:$A$434,"All landing pages",Countries!$B$5:$B$434,"Direct",Countries!$D$5:$D$434,$A327,Countries!$X$5:$X$434,"&gt;0")/SUMIFS(Countries!$X$5:$X$434,Countries!$A$5:$A$434,"All landing pages",Countries!$B$5:$B$434,"Direct",Countries!$D$5:$D$434,$A327,Countries!$AE$5:$AE$434,"&gt;0"))</f>
        <v/>
      </c>
      <c r="L327" s="44">
        <f>IF(OR(J327="",K327=""),"",(K327-J327)*100)</f>
        <v/>
      </c>
      <c r="M327" s="73" t="n"/>
      <c r="N327" s="43">
        <f>IF(SUMIFS(Countries!$W$5:$W$434,Countries!$A$5:$A$434,"All landing pages",Countries!$D$5:$D$434,$A327,Countries!$AD$5:$AD$434,"&gt;0")=0,"",SUMIFS(Countries!$AD$5:$AD$434,Countries!$A$5:$A$434,"All landing pages",Countries!$D$5:$D$434,$A327,Countries!$W$5:$W$434,"&gt;0")/SUMIFS(Countries!$W$5:$W$434,Countries!$A$5:$A$434,"All landing pages",Countries!$D$5:$D$434,$A327,Countries!$AD$5:$AD$434,"&gt;0"))</f>
        <v/>
      </c>
      <c r="O327" s="43">
        <f>IF(SUMIFS(Countries!$X$5:$X$434,Countries!$A$5:$A$434,"All landing pages",Countries!$D$5:$D$434,$A327,Countries!$AE$5:$AE$434,"&gt;0")=0,"",SUMIFS(Countries!$AE$5:$AE$434,Countries!$A$5:$A$434,"All landing pages",Countries!$D$5:$D$434,$A327,Countries!$X$5:$X$434,"&gt;0")/SUMIFS(Countries!$X$5:$X$434,Countries!$A$5:$A$434,"All landing pages",Countries!$D$5:$D$434,$A327,Countries!$AE$5:$AE$434,"&gt;0"))</f>
        <v/>
      </c>
      <c r="P327" s="44">
        <f>IF(OR(N327="",O327=""),"",(O327-N327)*100)</f>
        <v/>
      </c>
      <c r="Q327" s="73" t="n"/>
    </row>
    <row r="328">
      <c r="A328" s="56" t="inlineStr">
        <is>
          <t>Australia</t>
        </is>
      </c>
      <c r="B328" s="43">
        <f>IF(SUMIFS(Countries!$W$5:$W$434,Countries!$A$5:$A$434,"All landing pages",Countries!$B$5:$B$434,"Paid Search",Countries!$D$5:$D$434,$A328,Countries!$AD$5:$AD$434,"&gt;0")=0,"",SUMIFS(Countries!$AD$5:$AD$434,Countries!$A$5:$A$434,"All landing pages",Countries!$B$5:$B$434,"Paid Search",Countries!$D$5:$D$434,$A328,Countries!$W$5:$W$434,"&gt;0")/SUMIFS(Countries!$W$5:$W$434,Countries!$A$5:$A$434,"All landing pages",Countries!$B$5:$B$434,"Paid Search",Countries!$D$5:$D$434,$A328,Countries!$AD$5:$AD$434,"&gt;0"))</f>
        <v/>
      </c>
      <c r="C328" s="43">
        <f>IF(SUMIFS(Countries!$X$5:$X$434,Countries!$A$5:$A$434,"All landing pages",Countries!$B$5:$B$434,"Paid Search",Countries!$D$5:$D$434,$A328,Countries!$AE$5:$AE$434,"&gt;0")=0,"",SUMIFS(Countries!$AE$5:$AE$434,Countries!$A$5:$A$434,"All landing pages",Countries!$B$5:$B$434,"Paid Search",Countries!$D$5:$D$434,$A328,Countries!$X$5:$X$434,"&gt;0")/SUMIFS(Countries!$X$5:$X$434,Countries!$A$5:$A$434,"All landing pages",Countries!$B$5:$B$434,"Paid Search",Countries!$D$5:$D$434,$A328,Countries!$AE$5:$AE$434,"&gt;0"))</f>
        <v/>
      </c>
      <c r="D328" s="44">
        <f>IF(OR(B328="",C328=""),"",(C328-B328)*100)</f>
        <v/>
      </c>
      <c r="E328" s="73" t="n"/>
      <c r="F328" s="43">
        <f>IF(SUMIFS(Countries!$W$5:$W$434,Countries!$A$5:$A$434,"All landing pages",Countries!$B$5:$B$434,"Organic",Countries!$D$5:$D$434,$A328,Countries!$AD$5:$AD$434,"&gt;0")=0,"",SUMIFS(Countries!$AD$5:$AD$434,Countries!$A$5:$A$434,"All landing pages",Countries!$B$5:$B$434,"Organic",Countries!$D$5:$D$434,$A328,Countries!$W$5:$W$434,"&gt;0")/SUMIFS(Countries!$W$5:$W$434,Countries!$A$5:$A$434,"All landing pages",Countries!$B$5:$B$434,"Organic",Countries!$D$5:$D$434,$A328,Countries!$AD$5:$AD$434,"&gt;0"))</f>
        <v/>
      </c>
      <c r="G328" s="43">
        <f>IF(SUMIFS(Countries!$X$5:$X$434,Countries!$A$5:$A$434,"All landing pages",Countries!$B$5:$B$434,"Organic",Countries!$D$5:$D$434,$A328,Countries!$AE$5:$AE$434,"&gt;0")=0,"",SUMIFS(Countries!$AE$5:$AE$434,Countries!$A$5:$A$434,"All landing pages",Countries!$B$5:$B$434,"Organic",Countries!$D$5:$D$434,$A328,Countries!$X$5:$X$434,"&gt;0")/SUMIFS(Countries!$X$5:$X$434,Countries!$A$5:$A$434,"All landing pages",Countries!$B$5:$B$434,"Organic",Countries!$D$5:$D$434,$A328,Countries!$AE$5:$AE$434,"&gt;0"))</f>
        <v/>
      </c>
      <c r="H328" s="44">
        <f>IF(OR(F328="",G328=""),"",(G328-F328)*100)</f>
        <v/>
      </c>
      <c r="I328" s="73" t="n"/>
      <c r="J328" s="43">
        <f>IF(SUMIFS(Countries!$W$5:$W$434,Countries!$A$5:$A$434,"All landing pages",Countries!$B$5:$B$434,"Direct",Countries!$D$5:$D$434,$A328,Countries!$AD$5:$AD$434,"&gt;0")=0,"",SUMIFS(Countries!$AD$5:$AD$434,Countries!$A$5:$A$434,"All landing pages",Countries!$B$5:$B$434,"Direct",Countries!$D$5:$D$434,$A328,Countries!$W$5:$W$434,"&gt;0")/SUMIFS(Countries!$W$5:$W$434,Countries!$A$5:$A$434,"All landing pages",Countries!$B$5:$B$434,"Direct",Countries!$D$5:$D$434,$A328,Countries!$AD$5:$AD$434,"&gt;0"))</f>
        <v/>
      </c>
      <c r="K328" s="43">
        <f>IF(SUMIFS(Countries!$X$5:$X$434,Countries!$A$5:$A$434,"All landing pages",Countries!$B$5:$B$434,"Direct",Countries!$D$5:$D$434,$A328,Countries!$AE$5:$AE$434,"&gt;0")=0,"",SUMIFS(Countries!$AE$5:$AE$434,Countries!$A$5:$A$434,"All landing pages",Countries!$B$5:$B$434,"Direct",Countries!$D$5:$D$434,$A328,Countries!$X$5:$X$434,"&gt;0")/SUMIFS(Countries!$X$5:$X$434,Countries!$A$5:$A$434,"All landing pages",Countries!$B$5:$B$434,"Direct",Countries!$D$5:$D$434,$A328,Countries!$AE$5:$AE$434,"&gt;0"))</f>
        <v/>
      </c>
      <c r="L328" s="44">
        <f>IF(OR(J328="",K328=""),"",(K328-J328)*100)</f>
        <v/>
      </c>
      <c r="M328" s="73" t="n"/>
      <c r="N328" s="43">
        <f>IF(SUMIFS(Countries!$W$5:$W$434,Countries!$A$5:$A$434,"All landing pages",Countries!$D$5:$D$434,$A328,Countries!$AD$5:$AD$434,"&gt;0")=0,"",SUMIFS(Countries!$AD$5:$AD$434,Countries!$A$5:$A$434,"All landing pages",Countries!$D$5:$D$434,$A328,Countries!$W$5:$W$434,"&gt;0")/SUMIFS(Countries!$W$5:$W$434,Countries!$A$5:$A$434,"All landing pages",Countries!$D$5:$D$434,$A328,Countries!$AD$5:$AD$434,"&gt;0"))</f>
        <v/>
      </c>
      <c r="O328" s="43">
        <f>IF(SUMIFS(Countries!$X$5:$X$434,Countries!$A$5:$A$434,"All landing pages",Countries!$D$5:$D$434,$A328,Countries!$AE$5:$AE$434,"&gt;0")=0,"",SUMIFS(Countries!$AE$5:$AE$434,Countries!$A$5:$A$434,"All landing pages",Countries!$D$5:$D$434,$A328,Countries!$X$5:$X$434,"&gt;0")/SUMIFS(Countries!$X$5:$X$434,Countries!$A$5:$A$434,"All landing pages",Countries!$D$5:$D$434,$A328,Countries!$AE$5:$AE$434,"&gt;0"))</f>
        <v/>
      </c>
      <c r="P328" s="44">
        <f>IF(OR(N328="",O328=""),"",(O328-N328)*100)</f>
        <v/>
      </c>
      <c r="Q328" s="73" t="n"/>
    </row>
    <row r="329">
      <c r="A329" s="40" t="inlineStr">
        <is>
          <t>Romania</t>
        </is>
      </c>
      <c r="B329" s="43">
        <f>IF(SUMIFS(Countries!$W$5:$W$434,Countries!$A$5:$A$434,"All landing pages",Countries!$B$5:$B$434,"Paid Search",Countries!$D$5:$D$434,$A329,Countries!$AD$5:$AD$434,"&gt;0")=0,"",SUMIFS(Countries!$AD$5:$AD$434,Countries!$A$5:$A$434,"All landing pages",Countries!$B$5:$B$434,"Paid Search",Countries!$D$5:$D$434,$A329,Countries!$W$5:$W$434,"&gt;0")/SUMIFS(Countries!$W$5:$W$434,Countries!$A$5:$A$434,"All landing pages",Countries!$B$5:$B$434,"Paid Search",Countries!$D$5:$D$434,$A329,Countries!$AD$5:$AD$434,"&gt;0"))</f>
        <v/>
      </c>
      <c r="C329" s="43">
        <f>IF(SUMIFS(Countries!$X$5:$X$434,Countries!$A$5:$A$434,"All landing pages",Countries!$B$5:$B$434,"Paid Search",Countries!$D$5:$D$434,$A329,Countries!$AE$5:$AE$434,"&gt;0")=0,"",SUMIFS(Countries!$AE$5:$AE$434,Countries!$A$5:$A$434,"All landing pages",Countries!$B$5:$B$434,"Paid Search",Countries!$D$5:$D$434,$A329,Countries!$X$5:$X$434,"&gt;0")/SUMIFS(Countries!$X$5:$X$434,Countries!$A$5:$A$434,"All landing pages",Countries!$B$5:$B$434,"Paid Search",Countries!$D$5:$D$434,$A329,Countries!$AE$5:$AE$434,"&gt;0"))</f>
        <v/>
      </c>
      <c r="D329" s="44">
        <f>IF(OR(B329="",C329=""),"",(C329-B329)*100)</f>
        <v/>
      </c>
      <c r="E329" s="73" t="n"/>
      <c r="F329" s="43">
        <f>IF(SUMIFS(Countries!$W$5:$W$434,Countries!$A$5:$A$434,"All landing pages",Countries!$B$5:$B$434,"Organic",Countries!$D$5:$D$434,$A329,Countries!$AD$5:$AD$434,"&gt;0")=0,"",SUMIFS(Countries!$AD$5:$AD$434,Countries!$A$5:$A$434,"All landing pages",Countries!$B$5:$B$434,"Organic",Countries!$D$5:$D$434,$A329,Countries!$W$5:$W$434,"&gt;0")/SUMIFS(Countries!$W$5:$W$434,Countries!$A$5:$A$434,"All landing pages",Countries!$B$5:$B$434,"Organic",Countries!$D$5:$D$434,$A329,Countries!$AD$5:$AD$434,"&gt;0"))</f>
        <v/>
      </c>
      <c r="G329" s="43">
        <f>IF(SUMIFS(Countries!$X$5:$X$434,Countries!$A$5:$A$434,"All landing pages",Countries!$B$5:$B$434,"Organic",Countries!$D$5:$D$434,$A329,Countries!$AE$5:$AE$434,"&gt;0")=0,"",SUMIFS(Countries!$AE$5:$AE$434,Countries!$A$5:$A$434,"All landing pages",Countries!$B$5:$B$434,"Organic",Countries!$D$5:$D$434,$A329,Countries!$X$5:$X$434,"&gt;0")/SUMIFS(Countries!$X$5:$X$434,Countries!$A$5:$A$434,"All landing pages",Countries!$B$5:$B$434,"Organic",Countries!$D$5:$D$434,$A329,Countries!$AE$5:$AE$434,"&gt;0"))</f>
        <v/>
      </c>
      <c r="H329" s="44">
        <f>IF(OR(F329="",G329=""),"",(G329-F329)*100)</f>
        <v/>
      </c>
      <c r="I329" s="73" t="n"/>
      <c r="J329" s="43">
        <f>IF(SUMIFS(Countries!$W$5:$W$434,Countries!$A$5:$A$434,"All landing pages",Countries!$B$5:$B$434,"Direct",Countries!$D$5:$D$434,$A329,Countries!$AD$5:$AD$434,"&gt;0")=0,"",SUMIFS(Countries!$AD$5:$AD$434,Countries!$A$5:$A$434,"All landing pages",Countries!$B$5:$B$434,"Direct",Countries!$D$5:$D$434,$A329,Countries!$W$5:$W$434,"&gt;0")/SUMIFS(Countries!$W$5:$W$434,Countries!$A$5:$A$434,"All landing pages",Countries!$B$5:$B$434,"Direct",Countries!$D$5:$D$434,$A329,Countries!$AD$5:$AD$434,"&gt;0"))</f>
        <v/>
      </c>
      <c r="K329" s="43">
        <f>IF(SUMIFS(Countries!$X$5:$X$434,Countries!$A$5:$A$434,"All landing pages",Countries!$B$5:$B$434,"Direct",Countries!$D$5:$D$434,$A329,Countries!$AE$5:$AE$434,"&gt;0")=0,"",SUMIFS(Countries!$AE$5:$AE$434,Countries!$A$5:$A$434,"All landing pages",Countries!$B$5:$B$434,"Direct",Countries!$D$5:$D$434,$A329,Countries!$X$5:$X$434,"&gt;0")/SUMIFS(Countries!$X$5:$X$434,Countries!$A$5:$A$434,"All landing pages",Countries!$B$5:$B$434,"Direct",Countries!$D$5:$D$434,$A329,Countries!$AE$5:$AE$434,"&gt;0"))</f>
        <v/>
      </c>
      <c r="L329" s="44">
        <f>IF(OR(J329="",K329=""),"",(K329-J329)*100)</f>
        <v/>
      </c>
      <c r="M329" s="73" t="n"/>
      <c r="N329" s="43">
        <f>IF(SUMIFS(Countries!$W$5:$W$434,Countries!$A$5:$A$434,"All landing pages",Countries!$D$5:$D$434,$A329,Countries!$AD$5:$AD$434,"&gt;0")=0,"",SUMIFS(Countries!$AD$5:$AD$434,Countries!$A$5:$A$434,"All landing pages",Countries!$D$5:$D$434,$A329,Countries!$W$5:$W$434,"&gt;0")/SUMIFS(Countries!$W$5:$W$434,Countries!$A$5:$A$434,"All landing pages",Countries!$D$5:$D$434,$A329,Countries!$AD$5:$AD$434,"&gt;0"))</f>
        <v/>
      </c>
      <c r="O329" s="43">
        <f>IF(SUMIFS(Countries!$X$5:$X$434,Countries!$A$5:$A$434,"All landing pages",Countries!$D$5:$D$434,$A329,Countries!$AE$5:$AE$434,"&gt;0")=0,"",SUMIFS(Countries!$AE$5:$AE$434,Countries!$A$5:$A$434,"All landing pages",Countries!$D$5:$D$434,$A329,Countries!$X$5:$X$434,"&gt;0")/SUMIFS(Countries!$X$5:$X$434,Countries!$A$5:$A$434,"All landing pages",Countries!$D$5:$D$434,$A329,Countries!$AE$5:$AE$434,"&gt;0"))</f>
        <v/>
      </c>
      <c r="P329" s="44">
        <f>IF(OR(N329="",O329=""),"",(O329-N329)*100)</f>
        <v/>
      </c>
      <c r="Q329" s="73" t="n"/>
    </row>
    <row r="330">
      <c r="A330" s="56" t="inlineStr">
        <is>
          <t>Canada</t>
        </is>
      </c>
      <c r="B330" s="43">
        <f>IF(SUMIFS(Countries!$W$5:$W$434,Countries!$A$5:$A$434,"All landing pages",Countries!$B$5:$B$434,"Paid Search",Countries!$D$5:$D$434,$A330,Countries!$AD$5:$AD$434,"&gt;0")=0,"",SUMIFS(Countries!$AD$5:$AD$434,Countries!$A$5:$A$434,"All landing pages",Countries!$B$5:$B$434,"Paid Search",Countries!$D$5:$D$434,$A330,Countries!$W$5:$W$434,"&gt;0")/SUMIFS(Countries!$W$5:$W$434,Countries!$A$5:$A$434,"All landing pages",Countries!$B$5:$B$434,"Paid Search",Countries!$D$5:$D$434,$A330,Countries!$AD$5:$AD$434,"&gt;0"))</f>
        <v/>
      </c>
      <c r="C330" s="43">
        <f>IF(SUMIFS(Countries!$X$5:$X$434,Countries!$A$5:$A$434,"All landing pages",Countries!$B$5:$B$434,"Paid Search",Countries!$D$5:$D$434,$A330,Countries!$AE$5:$AE$434,"&gt;0")=0,"",SUMIFS(Countries!$AE$5:$AE$434,Countries!$A$5:$A$434,"All landing pages",Countries!$B$5:$B$434,"Paid Search",Countries!$D$5:$D$434,$A330,Countries!$X$5:$X$434,"&gt;0")/SUMIFS(Countries!$X$5:$X$434,Countries!$A$5:$A$434,"All landing pages",Countries!$B$5:$B$434,"Paid Search",Countries!$D$5:$D$434,$A330,Countries!$AE$5:$AE$434,"&gt;0"))</f>
        <v/>
      </c>
      <c r="D330" s="44">
        <f>IF(OR(B330="",C330=""),"",(C330-B330)*100)</f>
        <v/>
      </c>
      <c r="E330" s="73" t="n"/>
      <c r="F330" s="43">
        <f>IF(SUMIFS(Countries!$W$5:$W$434,Countries!$A$5:$A$434,"All landing pages",Countries!$B$5:$B$434,"Organic",Countries!$D$5:$D$434,$A330,Countries!$AD$5:$AD$434,"&gt;0")=0,"",SUMIFS(Countries!$AD$5:$AD$434,Countries!$A$5:$A$434,"All landing pages",Countries!$B$5:$B$434,"Organic",Countries!$D$5:$D$434,$A330,Countries!$W$5:$W$434,"&gt;0")/SUMIFS(Countries!$W$5:$W$434,Countries!$A$5:$A$434,"All landing pages",Countries!$B$5:$B$434,"Organic",Countries!$D$5:$D$434,$A330,Countries!$AD$5:$AD$434,"&gt;0"))</f>
        <v/>
      </c>
      <c r="G330" s="43">
        <f>IF(SUMIFS(Countries!$X$5:$X$434,Countries!$A$5:$A$434,"All landing pages",Countries!$B$5:$B$434,"Organic",Countries!$D$5:$D$434,$A330,Countries!$AE$5:$AE$434,"&gt;0")=0,"",SUMIFS(Countries!$AE$5:$AE$434,Countries!$A$5:$A$434,"All landing pages",Countries!$B$5:$B$434,"Organic",Countries!$D$5:$D$434,$A330,Countries!$X$5:$X$434,"&gt;0")/SUMIFS(Countries!$X$5:$X$434,Countries!$A$5:$A$434,"All landing pages",Countries!$B$5:$B$434,"Organic",Countries!$D$5:$D$434,$A330,Countries!$AE$5:$AE$434,"&gt;0"))</f>
        <v/>
      </c>
      <c r="H330" s="44">
        <f>IF(OR(F330="",G330=""),"",(G330-F330)*100)</f>
        <v/>
      </c>
      <c r="I330" s="73" t="n"/>
      <c r="J330" s="43">
        <f>IF(SUMIFS(Countries!$W$5:$W$434,Countries!$A$5:$A$434,"All landing pages",Countries!$B$5:$B$434,"Direct",Countries!$D$5:$D$434,$A330,Countries!$AD$5:$AD$434,"&gt;0")=0,"",SUMIFS(Countries!$AD$5:$AD$434,Countries!$A$5:$A$434,"All landing pages",Countries!$B$5:$B$434,"Direct",Countries!$D$5:$D$434,$A330,Countries!$W$5:$W$434,"&gt;0")/SUMIFS(Countries!$W$5:$W$434,Countries!$A$5:$A$434,"All landing pages",Countries!$B$5:$B$434,"Direct",Countries!$D$5:$D$434,$A330,Countries!$AD$5:$AD$434,"&gt;0"))</f>
        <v/>
      </c>
      <c r="K330" s="43">
        <f>IF(SUMIFS(Countries!$X$5:$X$434,Countries!$A$5:$A$434,"All landing pages",Countries!$B$5:$B$434,"Direct",Countries!$D$5:$D$434,$A330,Countries!$AE$5:$AE$434,"&gt;0")=0,"",SUMIFS(Countries!$AE$5:$AE$434,Countries!$A$5:$A$434,"All landing pages",Countries!$B$5:$B$434,"Direct",Countries!$D$5:$D$434,$A330,Countries!$X$5:$X$434,"&gt;0")/SUMIFS(Countries!$X$5:$X$434,Countries!$A$5:$A$434,"All landing pages",Countries!$B$5:$B$434,"Direct",Countries!$D$5:$D$434,$A330,Countries!$AE$5:$AE$434,"&gt;0"))</f>
        <v/>
      </c>
      <c r="L330" s="44">
        <f>IF(OR(J330="",K330=""),"",(K330-J330)*100)</f>
        <v/>
      </c>
      <c r="M330" s="73" t="n"/>
      <c r="N330" s="43">
        <f>IF(SUMIFS(Countries!$W$5:$W$434,Countries!$A$5:$A$434,"All landing pages",Countries!$D$5:$D$434,$A330,Countries!$AD$5:$AD$434,"&gt;0")=0,"",SUMIFS(Countries!$AD$5:$AD$434,Countries!$A$5:$A$434,"All landing pages",Countries!$D$5:$D$434,$A330,Countries!$W$5:$W$434,"&gt;0")/SUMIFS(Countries!$W$5:$W$434,Countries!$A$5:$A$434,"All landing pages",Countries!$D$5:$D$434,$A330,Countries!$AD$5:$AD$434,"&gt;0"))</f>
        <v/>
      </c>
      <c r="O330" s="43">
        <f>IF(SUMIFS(Countries!$X$5:$X$434,Countries!$A$5:$A$434,"All landing pages",Countries!$D$5:$D$434,$A330,Countries!$AE$5:$AE$434,"&gt;0")=0,"",SUMIFS(Countries!$AE$5:$AE$434,Countries!$A$5:$A$434,"All landing pages",Countries!$D$5:$D$434,$A330,Countries!$X$5:$X$434,"&gt;0")/SUMIFS(Countries!$X$5:$X$434,Countries!$A$5:$A$434,"All landing pages",Countries!$D$5:$D$434,$A330,Countries!$AE$5:$AE$434,"&gt;0"))</f>
        <v/>
      </c>
      <c r="P330" s="44">
        <f>IF(OR(N330="",O330=""),"",(O330-N330)*100)</f>
        <v/>
      </c>
      <c r="Q330" s="73" t="n"/>
    </row>
    <row r="331">
      <c r="A331" s="40" t="inlineStr">
        <is>
          <t>Greece</t>
        </is>
      </c>
      <c r="B331" s="43">
        <f>IF(SUMIFS(Countries!$W$5:$W$434,Countries!$A$5:$A$434,"All landing pages",Countries!$B$5:$B$434,"Paid Search",Countries!$D$5:$D$434,$A331,Countries!$AD$5:$AD$434,"&gt;0")=0,"",SUMIFS(Countries!$AD$5:$AD$434,Countries!$A$5:$A$434,"All landing pages",Countries!$B$5:$B$434,"Paid Search",Countries!$D$5:$D$434,$A331,Countries!$W$5:$W$434,"&gt;0")/SUMIFS(Countries!$W$5:$W$434,Countries!$A$5:$A$434,"All landing pages",Countries!$B$5:$B$434,"Paid Search",Countries!$D$5:$D$434,$A331,Countries!$AD$5:$AD$434,"&gt;0"))</f>
        <v/>
      </c>
      <c r="C331" s="43">
        <f>IF(SUMIFS(Countries!$X$5:$X$434,Countries!$A$5:$A$434,"All landing pages",Countries!$B$5:$B$434,"Paid Search",Countries!$D$5:$D$434,$A331,Countries!$AE$5:$AE$434,"&gt;0")=0,"",SUMIFS(Countries!$AE$5:$AE$434,Countries!$A$5:$A$434,"All landing pages",Countries!$B$5:$B$434,"Paid Search",Countries!$D$5:$D$434,$A331,Countries!$X$5:$X$434,"&gt;0")/SUMIFS(Countries!$X$5:$X$434,Countries!$A$5:$A$434,"All landing pages",Countries!$B$5:$B$434,"Paid Search",Countries!$D$5:$D$434,$A331,Countries!$AE$5:$AE$434,"&gt;0"))</f>
        <v/>
      </c>
      <c r="D331" s="44">
        <f>IF(OR(B331="",C331=""),"",(C331-B331)*100)</f>
        <v/>
      </c>
      <c r="E331" s="73" t="n"/>
      <c r="F331" s="43">
        <f>IF(SUMIFS(Countries!$W$5:$W$434,Countries!$A$5:$A$434,"All landing pages",Countries!$B$5:$B$434,"Organic",Countries!$D$5:$D$434,$A331,Countries!$AD$5:$AD$434,"&gt;0")=0,"",SUMIFS(Countries!$AD$5:$AD$434,Countries!$A$5:$A$434,"All landing pages",Countries!$B$5:$B$434,"Organic",Countries!$D$5:$D$434,$A331,Countries!$W$5:$W$434,"&gt;0")/SUMIFS(Countries!$W$5:$W$434,Countries!$A$5:$A$434,"All landing pages",Countries!$B$5:$B$434,"Organic",Countries!$D$5:$D$434,$A331,Countries!$AD$5:$AD$434,"&gt;0"))</f>
        <v/>
      </c>
      <c r="G331" s="43">
        <f>IF(SUMIFS(Countries!$X$5:$X$434,Countries!$A$5:$A$434,"All landing pages",Countries!$B$5:$B$434,"Organic",Countries!$D$5:$D$434,$A331,Countries!$AE$5:$AE$434,"&gt;0")=0,"",SUMIFS(Countries!$AE$5:$AE$434,Countries!$A$5:$A$434,"All landing pages",Countries!$B$5:$B$434,"Organic",Countries!$D$5:$D$434,$A331,Countries!$X$5:$X$434,"&gt;0")/SUMIFS(Countries!$X$5:$X$434,Countries!$A$5:$A$434,"All landing pages",Countries!$B$5:$B$434,"Organic",Countries!$D$5:$D$434,$A331,Countries!$AE$5:$AE$434,"&gt;0"))</f>
        <v/>
      </c>
      <c r="H331" s="44">
        <f>IF(OR(F331="",G331=""),"",(G331-F331)*100)</f>
        <v/>
      </c>
      <c r="I331" s="73" t="n"/>
      <c r="J331" s="43">
        <f>IF(SUMIFS(Countries!$W$5:$W$434,Countries!$A$5:$A$434,"All landing pages",Countries!$B$5:$B$434,"Direct",Countries!$D$5:$D$434,$A331,Countries!$AD$5:$AD$434,"&gt;0")=0,"",SUMIFS(Countries!$AD$5:$AD$434,Countries!$A$5:$A$434,"All landing pages",Countries!$B$5:$B$434,"Direct",Countries!$D$5:$D$434,$A331,Countries!$W$5:$W$434,"&gt;0")/SUMIFS(Countries!$W$5:$W$434,Countries!$A$5:$A$434,"All landing pages",Countries!$B$5:$B$434,"Direct",Countries!$D$5:$D$434,$A331,Countries!$AD$5:$AD$434,"&gt;0"))</f>
        <v/>
      </c>
      <c r="K331" s="43">
        <f>IF(SUMIFS(Countries!$X$5:$X$434,Countries!$A$5:$A$434,"All landing pages",Countries!$B$5:$B$434,"Direct",Countries!$D$5:$D$434,$A331,Countries!$AE$5:$AE$434,"&gt;0")=0,"",SUMIFS(Countries!$AE$5:$AE$434,Countries!$A$5:$A$434,"All landing pages",Countries!$B$5:$B$434,"Direct",Countries!$D$5:$D$434,$A331,Countries!$X$5:$X$434,"&gt;0")/SUMIFS(Countries!$X$5:$X$434,Countries!$A$5:$A$434,"All landing pages",Countries!$B$5:$B$434,"Direct",Countries!$D$5:$D$434,$A331,Countries!$AE$5:$AE$434,"&gt;0"))</f>
        <v/>
      </c>
      <c r="L331" s="44">
        <f>IF(OR(J331="",K331=""),"",(K331-J331)*100)</f>
        <v/>
      </c>
      <c r="M331" s="73" t="n"/>
      <c r="N331" s="43">
        <f>IF(SUMIFS(Countries!$W$5:$W$434,Countries!$A$5:$A$434,"All landing pages",Countries!$D$5:$D$434,$A331,Countries!$AD$5:$AD$434,"&gt;0")=0,"",SUMIFS(Countries!$AD$5:$AD$434,Countries!$A$5:$A$434,"All landing pages",Countries!$D$5:$D$434,$A331,Countries!$W$5:$W$434,"&gt;0")/SUMIFS(Countries!$W$5:$W$434,Countries!$A$5:$A$434,"All landing pages",Countries!$D$5:$D$434,$A331,Countries!$AD$5:$AD$434,"&gt;0"))</f>
        <v/>
      </c>
      <c r="O331" s="43">
        <f>IF(SUMIFS(Countries!$X$5:$X$434,Countries!$A$5:$A$434,"All landing pages",Countries!$D$5:$D$434,$A331,Countries!$AE$5:$AE$434,"&gt;0")=0,"",SUMIFS(Countries!$AE$5:$AE$434,Countries!$A$5:$A$434,"All landing pages",Countries!$D$5:$D$434,$A331,Countries!$X$5:$X$434,"&gt;0")/SUMIFS(Countries!$X$5:$X$434,Countries!$A$5:$A$434,"All landing pages",Countries!$D$5:$D$434,$A331,Countries!$AE$5:$AE$434,"&gt;0"))</f>
        <v/>
      </c>
      <c r="P331" s="44">
        <f>IF(OR(N331="",O331=""),"",(O331-N331)*100)</f>
        <v/>
      </c>
      <c r="Q331" s="73" t="n"/>
    </row>
    <row r="332">
      <c r="A332" s="56" t="inlineStr">
        <is>
          <t>Switzerland</t>
        </is>
      </c>
      <c r="B332" s="43">
        <f>IF(SUMIFS(Countries!$W$5:$W$434,Countries!$A$5:$A$434,"All landing pages",Countries!$B$5:$B$434,"Paid Search",Countries!$D$5:$D$434,$A332,Countries!$AD$5:$AD$434,"&gt;0")=0,"",SUMIFS(Countries!$AD$5:$AD$434,Countries!$A$5:$A$434,"All landing pages",Countries!$B$5:$B$434,"Paid Search",Countries!$D$5:$D$434,$A332,Countries!$W$5:$W$434,"&gt;0")/SUMIFS(Countries!$W$5:$W$434,Countries!$A$5:$A$434,"All landing pages",Countries!$B$5:$B$434,"Paid Search",Countries!$D$5:$D$434,$A332,Countries!$AD$5:$AD$434,"&gt;0"))</f>
        <v/>
      </c>
      <c r="C332" s="43">
        <f>IF(SUMIFS(Countries!$X$5:$X$434,Countries!$A$5:$A$434,"All landing pages",Countries!$B$5:$B$434,"Paid Search",Countries!$D$5:$D$434,$A332,Countries!$AE$5:$AE$434,"&gt;0")=0,"",SUMIFS(Countries!$AE$5:$AE$434,Countries!$A$5:$A$434,"All landing pages",Countries!$B$5:$B$434,"Paid Search",Countries!$D$5:$D$434,$A332,Countries!$X$5:$X$434,"&gt;0")/SUMIFS(Countries!$X$5:$X$434,Countries!$A$5:$A$434,"All landing pages",Countries!$B$5:$B$434,"Paid Search",Countries!$D$5:$D$434,$A332,Countries!$AE$5:$AE$434,"&gt;0"))</f>
        <v/>
      </c>
      <c r="D332" s="44">
        <f>IF(OR(B332="",C332=""),"",(C332-B332)*100)</f>
        <v/>
      </c>
      <c r="E332" s="73" t="n"/>
      <c r="F332" s="43">
        <f>IF(SUMIFS(Countries!$W$5:$W$434,Countries!$A$5:$A$434,"All landing pages",Countries!$B$5:$B$434,"Organic",Countries!$D$5:$D$434,$A332,Countries!$AD$5:$AD$434,"&gt;0")=0,"",SUMIFS(Countries!$AD$5:$AD$434,Countries!$A$5:$A$434,"All landing pages",Countries!$B$5:$B$434,"Organic",Countries!$D$5:$D$434,$A332,Countries!$W$5:$W$434,"&gt;0")/SUMIFS(Countries!$W$5:$W$434,Countries!$A$5:$A$434,"All landing pages",Countries!$B$5:$B$434,"Organic",Countries!$D$5:$D$434,$A332,Countries!$AD$5:$AD$434,"&gt;0"))</f>
        <v/>
      </c>
      <c r="G332" s="43">
        <f>IF(SUMIFS(Countries!$X$5:$X$434,Countries!$A$5:$A$434,"All landing pages",Countries!$B$5:$B$434,"Organic",Countries!$D$5:$D$434,$A332,Countries!$AE$5:$AE$434,"&gt;0")=0,"",SUMIFS(Countries!$AE$5:$AE$434,Countries!$A$5:$A$434,"All landing pages",Countries!$B$5:$B$434,"Organic",Countries!$D$5:$D$434,$A332,Countries!$X$5:$X$434,"&gt;0")/SUMIFS(Countries!$X$5:$X$434,Countries!$A$5:$A$434,"All landing pages",Countries!$B$5:$B$434,"Organic",Countries!$D$5:$D$434,$A332,Countries!$AE$5:$AE$434,"&gt;0"))</f>
        <v/>
      </c>
      <c r="H332" s="44">
        <f>IF(OR(F332="",G332=""),"",(G332-F332)*100)</f>
        <v/>
      </c>
      <c r="I332" s="73" t="n"/>
      <c r="J332" s="43">
        <f>IF(SUMIFS(Countries!$W$5:$W$434,Countries!$A$5:$A$434,"All landing pages",Countries!$B$5:$B$434,"Direct",Countries!$D$5:$D$434,$A332,Countries!$AD$5:$AD$434,"&gt;0")=0,"",SUMIFS(Countries!$AD$5:$AD$434,Countries!$A$5:$A$434,"All landing pages",Countries!$B$5:$B$434,"Direct",Countries!$D$5:$D$434,$A332,Countries!$W$5:$W$434,"&gt;0")/SUMIFS(Countries!$W$5:$W$434,Countries!$A$5:$A$434,"All landing pages",Countries!$B$5:$B$434,"Direct",Countries!$D$5:$D$434,$A332,Countries!$AD$5:$AD$434,"&gt;0"))</f>
        <v/>
      </c>
      <c r="K332" s="43">
        <f>IF(SUMIFS(Countries!$X$5:$X$434,Countries!$A$5:$A$434,"All landing pages",Countries!$B$5:$B$434,"Direct",Countries!$D$5:$D$434,$A332,Countries!$AE$5:$AE$434,"&gt;0")=0,"",SUMIFS(Countries!$AE$5:$AE$434,Countries!$A$5:$A$434,"All landing pages",Countries!$B$5:$B$434,"Direct",Countries!$D$5:$D$434,$A332,Countries!$X$5:$X$434,"&gt;0")/SUMIFS(Countries!$X$5:$X$434,Countries!$A$5:$A$434,"All landing pages",Countries!$B$5:$B$434,"Direct",Countries!$D$5:$D$434,$A332,Countries!$AE$5:$AE$434,"&gt;0"))</f>
        <v/>
      </c>
      <c r="L332" s="44">
        <f>IF(OR(J332="",K332=""),"",(K332-J332)*100)</f>
        <v/>
      </c>
      <c r="M332" s="73" t="n"/>
      <c r="N332" s="43">
        <f>IF(SUMIFS(Countries!$W$5:$W$434,Countries!$A$5:$A$434,"All landing pages",Countries!$D$5:$D$434,$A332,Countries!$AD$5:$AD$434,"&gt;0")=0,"",SUMIFS(Countries!$AD$5:$AD$434,Countries!$A$5:$A$434,"All landing pages",Countries!$D$5:$D$434,$A332,Countries!$W$5:$W$434,"&gt;0")/SUMIFS(Countries!$W$5:$W$434,Countries!$A$5:$A$434,"All landing pages",Countries!$D$5:$D$434,$A332,Countries!$AD$5:$AD$434,"&gt;0"))</f>
        <v/>
      </c>
      <c r="O332" s="43">
        <f>IF(SUMIFS(Countries!$X$5:$X$434,Countries!$A$5:$A$434,"All landing pages",Countries!$D$5:$D$434,$A332,Countries!$AE$5:$AE$434,"&gt;0")=0,"",SUMIFS(Countries!$AE$5:$AE$434,Countries!$A$5:$A$434,"All landing pages",Countries!$D$5:$D$434,$A332,Countries!$X$5:$X$434,"&gt;0")/SUMIFS(Countries!$X$5:$X$434,Countries!$A$5:$A$434,"All landing pages",Countries!$D$5:$D$434,$A332,Countries!$AE$5:$AE$434,"&gt;0"))</f>
        <v/>
      </c>
      <c r="P332" s="44">
        <f>IF(OR(N332="",O332=""),"",(O332-N332)*100)</f>
        <v/>
      </c>
      <c r="Q332" s="73" t="n"/>
    </row>
    <row r="333">
      <c r="A333" s="40" t="inlineStr">
        <is>
          <t>(not set)</t>
        </is>
      </c>
      <c r="B333" s="43">
        <f>IF(SUMIFS(Countries!$W$5:$W$434,Countries!$A$5:$A$434,"All landing pages",Countries!$B$5:$B$434,"Paid Search",Countries!$D$5:$D$434,$A333,Countries!$AD$5:$AD$434,"&gt;0")=0,"",SUMIFS(Countries!$AD$5:$AD$434,Countries!$A$5:$A$434,"All landing pages",Countries!$B$5:$B$434,"Paid Search",Countries!$D$5:$D$434,$A333,Countries!$W$5:$W$434,"&gt;0")/SUMIFS(Countries!$W$5:$W$434,Countries!$A$5:$A$434,"All landing pages",Countries!$B$5:$B$434,"Paid Search",Countries!$D$5:$D$434,$A333,Countries!$AD$5:$AD$434,"&gt;0"))</f>
        <v/>
      </c>
      <c r="C333" s="43">
        <f>IF(SUMIFS(Countries!$X$5:$X$434,Countries!$A$5:$A$434,"All landing pages",Countries!$B$5:$B$434,"Paid Search",Countries!$D$5:$D$434,$A333,Countries!$AE$5:$AE$434,"&gt;0")=0,"",SUMIFS(Countries!$AE$5:$AE$434,Countries!$A$5:$A$434,"All landing pages",Countries!$B$5:$B$434,"Paid Search",Countries!$D$5:$D$434,$A333,Countries!$X$5:$X$434,"&gt;0")/SUMIFS(Countries!$X$5:$X$434,Countries!$A$5:$A$434,"All landing pages",Countries!$B$5:$B$434,"Paid Search",Countries!$D$5:$D$434,$A333,Countries!$AE$5:$AE$434,"&gt;0"))</f>
        <v/>
      </c>
      <c r="D333" s="44">
        <f>IF(OR(B333="",C333=""),"",(C333-B333)*100)</f>
        <v/>
      </c>
      <c r="E333" s="73" t="n"/>
      <c r="F333" s="43">
        <f>IF(SUMIFS(Countries!$W$5:$W$434,Countries!$A$5:$A$434,"All landing pages",Countries!$B$5:$B$434,"Organic",Countries!$D$5:$D$434,$A333,Countries!$AD$5:$AD$434,"&gt;0")=0,"",SUMIFS(Countries!$AD$5:$AD$434,Countries!$A$5:$A$434,"All landing pages",Countries!$B$5:$B$434,"Organic",Countries!$D$5:$D$434,$A333,Countries!$W$5:$W$434,"&gt;0")/SUMIFS(Countries!$W$5:$W$434,Countries!$A$5:$A$434,"All landing pages",Countries!$B$5:$B$434,"Organic",Countries!$D$5:$D$434,$A333,Countries!$AD$5:$AD$434,"&gt;0"))</f>
        <v/>
      </c>
      <c r="G333" s="43">
        <f>IF(SUMIFS(Countries!$X$5:$X$434,Countries!$A$5:$A$434,"All landing pages",Countries!$B$5:$B$434,"Organic",Countries!$D$5:$D$434,$A333,Countries!$AE$5:$AE$434,"&gt;0")=0,"",SUMIFS(Countries!$AE$5:$AE$434,Countries!$A$5:$A$434,"All landing pages",Countries!$B$5:$B$434,"Organic",Countries!$D$5:$D$434,$A333,Countries!$X$5:$X$434,"&gt;0")/SUMIFS(Countries!$X$5:$X$434,Countries!$A$5:$A$434,"All landing pages",Countries!$B$5:$B$434,"Organic",Countries!$D$5:$D$434,$A333,Countries!$AE$5:$AE$434,"&gt;0"))</f>
        <v/>
      </c>
      <c r="H333" s="44">
        <f>IF(OR(F333="",G333=""),"",(G333-F333)*100)</f>
        <v/>
      </c>
      <c r="I333" s="73" t="n"/>
      <c r="J333" s="43">
        <f>IF(SUMIFS(Countries!$W$5:$W$434,Countries!$A$5:$A$434,"All landing pages",Countries!$B$5:$B$434,"Direct",Countries!$D$5:$D$434,$A333,Countries!$AD$5:$AD$434,"&gt;0")=0,"",SUMIFS(Countries!$AD$5:$AD$434,Countries!$A$5:$A$434,"All landing pages",Countries!$B$5:$B$434,"Direct",Countries!$D$5:$D$434,$A333,Countries!$W$5:$W$434,"&gt;0")/SUMIFS(Countries!$W$5:$W$434,Countries!$A$5:$A$434,"All landing pages",Countries!$B$5:$B$434,"Direct",Countries!$D$5:$D$434,$A333,Countries!$AD$5:$AD$434,"&gt;0"))</f>
        <v/>
      </c>
      <c r="K333" s="43">
        <f>IF(SUMIFS(Countries!$X$5:$X$434,Countries!$A$5:$A$434,"All landing pages",Countries!$B$5:$B$434,"Direct",Countries!$D$5:$D$434,$A333,Countries!$AE$5:$AE$434,"&gt;0")=0,"",SUMIFS(Countries!$AE$5:$AE$434,Countries!$A$5:$A$434,"All landing pages",Countries!$B$5:$B$434,"Direct",Countries!$D$5:$D$434,$A333,Countries!$X$5:$X$434,"&gt;0")/SUMIFS(Countries!$X$5:$X$434,Countries!$A$5:$A$434,"All landing pages",Countries!$B$5:$B$434,"Direct",Countries!$D$5:$D$434,$A333,Countries!$AE$5:$AE$434,"&gt;0"))</f>
        <v/>
      </c>
      <c r="L333" s="44">
        <f>IF(OR(J333="",K333=""),"",(K333-J333)*100)</f>
        <v/>
      </c>
      <c r="M333" s="73" t="n"/>
      <c r="N333" s="43">
        <f>IF(SUMIFS(Countries!$W$5:$W$434,Countries!$A$5:$A$434,"All landing pages",Countries!$D$5:$D$434,$A333,Countries!$AD$5:$AD$434,"&gt;0")=0,"",SUMIFS(Countries!$AD$5:$AD$434,Countries!$A$5:$A$434,"All landing pages",Countries!$D$5:$D$434,$A333,Countries!$W$5:$W$434,"&gt;0")/SUMIFS(Countries!$W$5:$W$434,Countries!$A$5:$A$434,"All landing pages",Countries!$D$5:$D$434,$A333,Countries!$AD$5:$AD$434,"&gt;0"))</f>
        <v/>
      </c>
      <c r="O333" s="43">
        <f>IF(SUMIFS(Countries!$X$5:$X$434,Countries!$A$5:$A$434,"All landing pages",Countries!$D$5:$D$434,$A333,Countries!$AE$5:$AE$434,"&gt;0")=0,"",SUMIFS(Countries!$AE$5:$AE$434,Countries!$A$5:$A$434,"All landing pages",Countries!$D$5:$D$434,$A333,Countries!$X$5:$X$434,"&gt;0")/SUMIFS(Countries!$X$5:$X$434,Countries!$A$5:$A$434,"All landing pages",Countries!$D$5:$D$434,$A333,Countries!$AE$5:$AE$434,"&gt;0"))</f>
        <v/>
      </c>
      <c r="P333" s="44">
        <f>IF(OR(N333="",O333=""),"",(O333-N333)*100)</f>
        <v/>
      </c>
      <c r="Q333" s="73" t="n"/>
    </row>
    <row r="334">
      <c r="A334" s="56" t="inlineStr">
        <is>
          <t>Algeria</t>
        </is>
      </c>
      <c r="B334" s="43">
        <f>IF(SUMIFS(Countries!$W$5:$W$434,Countries!$A$5:$A$434,"All landing pages",Countries!$B$5:$B$434,"Paid Search",Countries!$D$5:$D$434,$A334,Countries!$AD$5:$AD$434,"&gt;0")=0,"",SUMIFS(Countries!$AD$5:$AD$434,Countries!$A$5:$A$434,"All landing pages",Countries!$B$5:$B$434,"Paid Search",Countries!$D$5:$D$434,$A334,Countries!$W$5:$W$434,"&gt;0")/SUMIFS(Countries!$W$5:$W$434,Countries!$A$5:$A$434,"All landing pages",Countries!$B$5:$B$434,"Paid Search",Countries!$D$5:$D$434,$A334,Countries!$AD$5:$AD$434,"&gt;0"))</f>
        <v/>
      </c>
      <c r="C334" s="43">
        <f>IF(SUMIFS(Countries!$X$5:$X$434,Countries!$A$5:$A$434,"All landing pages",Countries!$B$5:$B$434,"Paid Search",Countries!$D$5:$D$434,$A334,Countries!$AE$5:$AE$434,"&gt;0")=0,"",SUMIFS(Countries!$AE$5:$AE$434,Countries!$A$5:$A$434,"All landing pages",Countries!$B$5:$B$434,"Paid Search",Countries!$D$5:$D$434,$A334,Countries!$X$5:$X$434,"&gt;0")/SUMIFS(Countries!$X$5:$X$434,Countries!$A$5:$A$434,"All landing pages",Countries!$B$5:$B$434,"Paid Search",Countries!$D$5:$D$434,$A334,Countries!$AE$5:$AE$434,"&gt;0"))</f>
        <v/>
      </c>
      <c r="D334" s="44">
        <f>IF(OR(B334="",C334=""),"",(C334-B334)*100)</f>
        <v/>
      </c>
      <c r="E334" s="73" t="n"/>
      <c r="F334" s="43">
        <f>IF(SUMIFS(Countries!$W$5:$W$434,Countries!$A$5:$A$434,"All landing pages",Countries!$B$5:$B$434,"Organic",Countries!$D$5:$D$434,$A334,Countries!$AD$5:$AD$434,"&gt;0")=0,"",SUMIFS(Countries!$AD$5:$AD$434,Countries!$A$5:$A$434,"All landing pages",Countries!$B$5:$B$434,"Organic",Countries!$D$5:$D$434,$A334,Countries!$W$5:$W$434,"&gt;0")/SUMIFS(Countries!$W$5:$W$434,Countries!$A$5:$A$434,"All landing pages",Countries!$B$5:$B$434,"Organic",Countries!$D$5:$D$434,$A334,Countries!$AD$5:$AD$434,"&gt;0"))</f>
        <v/>
      </c>
      <c r="G334" s="43">
        <f>IF(SUMIFS(Countries!$X$5:$X$434,Countries!$A$5:$A$434,"All landing pages",Countries!$B$5:$B$434,"Organic",Countries!$D$5:$D$434,$A334,Countries!$AE$5:$AE$434,"&gt;0")=0,"",SUMIFS(Countries!$AE$5:$AE$434,Countries!$A$5:$A$434,"All landing pages",Countries!$B$5:$B$434,"Organic",Countries!$D$5:$D$434,$A334,Countries!$X$5:$X$434,"&gt;0")/SUMIFS(Countries!$X$5:$X$434,Countries!$A$5:$A$434,"All landing pages",Countries!$B$5:$B$434,"Organic",Countries!$D$5:$D$434,$A334,Countries!$AE$5:$AE$434,"&gt;0"))</f>
        <v/>
      </c>
      <c r="H334" s="44">
        <f>IF(OR(F334="",G334=""),"",(G334-F334)*100)</f>
        <v/>
      </c>
      <c r="I334" s="73" t="n"/>
      <c r="J334" s="43">
        <f>IF(SUMIFS(Countries!$W$5:$W$434,Countries!$A$5:$A$434,"All landing pages",Countries!$B$5:$B$434,"Direct",Countries!$D$5:$D$434,$A334,Countries!$AD$5:$AD$434,"&gt;0")=0,"",SUMIFS(Countries!$AD$5:$AD$434,Countries!$A$5:$A$434,"All landing pages",Countries!$B$5:$B$434,"Direct",Countries!$D$5:$D$434,$A334,Countries!$W$5:$W$434,"&gt;0")/SUMIFS(Countries!$W$5:$W$434,Countries!$A$5:$A$434,"All landing pages",Countries!$B$5:$B$434,"Direct",Countries!$D$5:$D$434,$A334,Countries!$AD$5:$AD$434,"&gt;0"))</f>
        <v/>
      </c>
      <c r="K334" s="43">
        <f>IF(SUMIFS(Countries!$X$5:$X$434,Countries!$A$5:$A$434,"All landing pages",Countries!$B$5:$B$434,"Direct",Countries!$D$5:$D$434,$A334,Countries!$AE$5:$AE$434,"&gt;0")=0,"",SUMIFS(Countries!$AE$5:$AE$434,Countries!$A$5:$A$434,"All landing pages",Countries!$B$5:$B$434,"Direct",Countries!$D$5:$D$434,$A334,Countries!$X$5:$X$434,"&gt;0")/SUMIFS(Countries!$X$5:$X$434,Countries!$A$5:$A$434,"All landing pages",Countries!$B$5:$B$434,"Direct",Countries!$D$5:$D$434,$A334,Countries!$AE$5:$AE$434,"&gt;0"))</f>
        <v/>
      </c>
      <c r="L334" s="44">
        <f>IF(OR(J334="",K334=""),"",(K334-J334)*100)</f>
        <v/>
      </c>
      <c r="M334" s="73" t="n"/>
      <c r="N334" s="43">
        <f>IF(SUMIFS(Countries!$W$5:$W$434,Countries!$A$5:$A$434,"All landing pages",Countries!$D$5:$D$434,$A334,Countries!$AD$5:$AD$434,"&gt;0")=0,"",SUMIFS(Countries!$AD$5:$AD$434,Countries!$A$5:$A$434,"All landing pages",Countries!$D$5:$D$434,$A334,Countries!$W$5:$W$434,"&gt;0")/SUMIFS(Countries!$W$5:$W$434,Countries!$A$5:$A$434,"All landing pages",Countries!$D$5:$D$434,$A334,Countries!$AD$5:$AD$434,"&gt;0"))</f>
        <v/>
      </c>
      <c r="O334" s="43">
        <f>IF(SUMIFS(Countries!$X$5:$X$434,Countries!$A$5:$A$434,"All landing pages",Countries!$D$5:$D$434,$A334,Countries!$AE$5:$AE$434,"&gt;0")=0,"",SUMIFS(Countries!$AE$5:$AE$434,Countries!$A$5:$A$434,"All landing pages",Countries!$D$5:$D$434,$A334,Countries!$X$5:$X$434,"&gt;0")/SUMIFS(Countries!$X$5:$X$434,Countries!$A$5:$A$434,"All landing pages",Countries!$D$5:$D$434,$A334,Countries!$AE$5:$AE$434,"&gt;0"))</f>
        <v/>
      </c>
      <c r="P334" s="44">
        <f>IF(OR(N334="",O334=""),"",(O334-N334)*100)</f>
        <v/>
      </c>
      <c r="Q334" s="73" t="n"/>
    </row>
    <row r="335">
      <c r="A335" s="40" t="inlineStr">
        <is>
          <t>Argentina</t>
        </is>
      </c>
      <c r="B335" s="43">
        <f>IF(SUMIFS(Countries!$W$5:$W$434,Countries!$A$5:$A$434,"All landing pages",Countries!$B$5:$B$434,"Paid Search",Countries!$D$5:$D$434,$A335,Countries!$AD$5:$AD$434,"&gt;0")=0,"",SUMIFS(Countries!$AD$5:$AD$434,Countries!$A$5:$A$434,"All landing pages",Countries!$B$5:$B$434,"Paid Search",Countries!$D$5:$D$434,$A335,Countries!$W$5:$W$434,"&gt;0")/SUMIFS(Countries!$W$5:$W$434,Countries!$A$5:$A$434,"All landing pages",Countries!$B$5:$B$434,"Paid Search",Countries!$D$5:$D$434,$A335,Countries!$AD$5:$AD$434,"&gt;0"))</f>
        <v/>
      </c>
      <c r="C335" s="43">
        <f>IF(SUMIFS(Countries!$X$5:$X$434,Countries!$A$5:$A$434,"All landing pages",Countries!$B$5:$B$434,"Paid Search",Countries!$D$5:$D$434,$A335,Countries!$AE$5:$AE$434,"&gt;0")=0,"",SUMIFS(Countries!$AE$5:$AE$434,Countries!$A$5:$A$434,"All landing pages",Countries!$B$5:$B$434,"Paid Search",Countries!$D$5:$D$434,$A335,Countries!$X$5:$X$434,"&gt;0")/SUMIFS(Countries!$X$5:$X$434,Countries!$A$5:$A$434,"All landing pages",Countries!$B$5:$B$434,"Paid Search",Countries!$D$5:$D$434,$A335,Countries!$AE$5:$AE$434,"&gt;0"))</f>
        <v/>
      </c>
      <c r="D335" s="44">
        <f>IF(OR(B335="",C335=""),"",(C335-B335)*100)</f>
        <v/>
      </c>
      <c r="E335" s="73" t="n"/>
      <c r="F335" s="43">
        <f>IF(SUMIFS(Countries!$W$5:$W$434,Countries!$A$5:$A$434,"All landing pages",Countries!$B$5:$B$434,"Organic",Countries!$D$5:$D$434,$A335,Countries!$AD$5:$AD$434,"&gt;0")=0,"",SUMIFS(Countries!$AD$5:$AD$434,Countries!$A$5:$A$434,"All landing pages",Countries!$B$5:$B$434,"Organic",Countries!$D$5:$D$434,$A335,Countries!$W$5:$W$434,"&gt;0")/SUMIFS(Countries!$W$5:$W$434,Countries!$A$5:$A$434,"All landing pages",Countries!$B$5:$B$434,"Organic",Countries!$D$5:$D$434,$A335,Countries!$AD$5:$AD$434,"&gt;0"))</f>
        <v/>
      </c>
      <c r="G335" s="43">
        <f>IF(SUMIFS(Countries!$X$5:$X$434,Countries!$A$5:$A$434,"All landing pages",Countries!$B$5:$B$434,"Organic",Countries!$D$5:$D$434,$A335,Countries!$AE$5:$AE$434,"&gt;0")=0,"",SUMIFS(Countries!$AE$5:$AE$434,Countries!$A$5:$A$434,"All landing pages",Countries!$B$5:$B$434,"Organic",Countries!$D$5:$D$434,$A335,Countries!$X$5:$X$434,"&gt;0")/SUMIFS(Countries!$X$5:$X$434,Countries!$A$5:$A$434,"All landing pages",Countries!$B$5:$B$434,"Organic",Countries!$D$5:$D$434,$A335,Countries!$AE$5:$AE$434,"&gt;0"))</f>
        <v/>
      </c>
      <c r="H335" s="44">
        <f>IF(OR(F335="",G335=""),"",(G335-F335)*100)</f>
        <v/>
      </c>
      <c r="I335" s="73" t="n"/>
      <c r="J335" s="43">
        <f>IF(SUMIFS(Countries!$W$5:$W$434,Countries!$A$5:$A$434,"All landing pages",Countries!$B$5:$B$434,"Direct",Countries!$D$5:$D$434,$A335,Countries!$AD$5:$AD$434,"&gt;0")=0,"",SUMIFS(Countries!$AD$5:$AD$434,Countries!$A$5:$A$434,"All landing pages",Countries!$B$5:$B$434,"Direct",Countries!$D$5:$D$434,$A335,Countries!$W$5:$W$434,"&gt;0")/SUMIFS(Countries!$W$5:$W$434,Countries!$A$5:$A$434,"All landing pages",Countries!$B$5:$B$434,"Direct",Countries!$D$5:$D$434,$A335,Countries!$AD$5:$AD$434,"&gt;0"))</f>
        <v/>
      </c>
      <c r="K335" s="43">
        <f>IF(SUMIFS(Countries!$X$5:$X$434,Countries!$A$5:$A$434,"All landing pages",Countries!$B$5:$B$434,"Direct",Countries!$D$5:$D$434,$A335,Countries!$AE$5:$AE$434,"&gt;0")=0,"",SUMIFS(Countries!$AE$5:$AE$434,Countries!$A$5:$A$434,"All landing pages",Countries!$B$5:$B$434,"Direct",Countries!$D$5:$D$434,$A335,Countries!$X$5:$X$434,"&gt;0")/SUMIFS(Countries!$X$5:$X$434,Countries!$A$5:$A$434,"All landing pages",Countries!$B$5:$B$434,"Direct",Countries!$D$5:$D$434,$A335,Countries!$AE$5:$AE$434,"&gt;0"))</f>
        <v/>
      </c>
      <c r="L335" s="44">
        <f>IF(OR(J335="",K335=""),"",(K335-J335)*100)</f>
        <v/>
      </c>
      <c r="M335" s="73" t="n"/>
      <c r="N335" s="43">
        <f>IF(SUMIFS(Countries!$W$5:$W$434,Countries!$A$5:$A$434,"All landing pages",Countries!$D$5:$D$434,$A335,Countries!$AD$5:$AD$434,"&gt;0")=0,"",SUMIFS(Countries!$AD$5:$AD$434,Countries!$A$5:$A$434,"All landing pages",Countries!$D$5:$D$434,$A335,Countries!$W$5:$W$434,"&gt;0")/SUMIFS(Countries!$W$5:$W$434,Countries!$A$5:$A$434,"All landing pages",Countries!$D$5:$D$434,$A335,Countries!$AD$5:$AD$434,"&gt;0"))</f>
        <v/>
      </c>
      <c r="O335" s="43">
        <f>IF(SUMIFS(Countries!$X$5:$X$434,Countries!$A$5:$A$434,"All landing pages",Countries!$D$5:$D$434,$A335,Countries!$AE$5:$AE$434,"&gt;0")=0,"",SUMIFS(Countries!$AE$5:$AE$434,Countries!$A$5:$A$434,"All landing pages",Countries!$D$5:$D$434,$A335,Countries!$X$5:$X$434,"&gt;0")/SUMIFS(Countries!$X$5:$X$434,Countries!$A$5:$A$434,"All landing pages",Countries!$D$5:$D$434,$A335,Countries!$AE$5:$AE$434,"&gt;0"))</f>
        <v/>
      </c>
      <c r="P335" s="44">
        <f>IF(OR(N335="",O335=""),"",(O335-N335)*100)</f>
        <v/>
      </c>
      <c r="Q335" s="73" t="n"/>
    </row>
    <row r="336">
      <c r="A336" s="56" t="inlineStr">
        <is>
          <t>Bangladesh</t>
        </is>
      </c>
      <c r="B336" s="43">
        <f>IF(SUMIFS(Countries!$W$5:$W$434,Countries!$A$5:$A$434,"All landing pages",Countries!$B$5:$B$434,"Paid Search",Countries!$D$5:$D$434,$A336,Countries!$AD$5:$AD$434,"&gt;0")=0,"",SUMIFS(Countries!$AD$5:$AD$434,Countries!$A$5:$A$434,"All landing pages",Countries!$B$5:$B$434,"Paid Search",Countries!$D$5:$D$434,$A336,Countries!$W$5:$W$434,"&gt;0")/SUMIFS(Countries!$W$5:$W$434,Countries!$A$5:$A$434,"All landing pages",Countries!$B$5:$B$434,"Paid Search",Countries!$D$5:$D$434,$A336,Countries!$AD$5:$AD$434,"&gt;0"))</f>
        <v/>
      </c>
      <c r="C336" s="43">
        <f>IF(SUMIFS(Countries!$X$5:$X$434,Countries!$A$5:$A$434,"All landing pages",Countries!$B$5:$B$434,"Paid Search",Countries!$D$5:$D$434,$A336,Countries!$AE$5:$AE$434,"&gt;0")=0,"",SUMIFS(Countries!$AE$5:$AE$434,Countries!$A$5:$A$434,"All landing pages",Countries!$B$5:$B$434,"Paid Search",Countries!$D$5:$D$434,$A336,Countries!$X$5:$X$434,"&gt;0")/SUMIFS(Countries!$X$5:$X$434,Countries!$A$5:$A$434,"All landing pages",Countries!$B$5:$B$434,"Paid Search",Countries!$D$5:$D$434,$A336,Countries!$AE$5:$AE$434,"&gt;0"))</f>
        <v/>
      </c>
      <c r="D336" s="44">
        <f>IF(OR(B336="",C336=""),"",(C336-B336)*100)</f>
        <v/>
      </c>
      <c r="E336" s="73" t="n"/>
      <c r="F336" s="43">
        <f>IF(SUMIFS(Countries!$W$5:$W$434,Countries!$A$5:$A$434,"All landing pages",Countries!$B$5:$B$434,"Organic",Countries!$D$5:$D$434,$A336,Countries!$AD$5:$AD$434,"&gt;0")=0,"",SUMIFS(Countries!$AD$5:$AD$434,Countries!$A$5:$A$434,"All landing pages",Countries!$B$5:$B$434,"Organic",Countries!$D$5:$D$434,$A336,Countries!$W$5:$W$434,"&gt;0")/SUMIFS(Countries!$W$5:$W$434,Countries!$A$5:$A$434,"All landing pages",Countries!$B$5:$B$434,"Organic",Countries!$D$5:$D$434,$A336,Countries!$AD$5:$AD$434,"&gt;0"))</f>
        <v/>
      </c>
      <c r="G336" s="43">
        <f>IF(SUMIFS(Countries!$X$5:$X$434,Countries!$A$5:$A$434,"All landing pages",Countries!$B$5:$B$434,"Organic",Countries!$D$5:$D$434,$A336,Countries!$AE$5:$AE$434,"&gt;0")=0,"",SUMIFS(Countries!$AE$5:$AE$434,Countries!$A$5:$A$434,"All landing pages",Countries!$B$5:$B$434,"Organic",Countries!$D$5:$D$434,$A336,Countries!$X$5:$X$434,"&gt;0")/SUMIFS(Countries!$X$5:$X$434,Countries!$A$5:$A$434,"All landing pages",Countries!$B$5:$B$434,"Organic",Countries!$D$5:$D$434,$A336,Countries!$AE$5:$AE$434,"&gt;0"))</f>
        <v/>
      </c>
      <c r="H336" s="44">
        <f>IF(OR(F336="",G336=""),"",(G336-F336)*100)</f>
        <v/>
      </c>
      <c r="I336" s="73" t="n"/>
      <c r="J336" s="43">
        <f>IF(SUMIFS(Countries!$W$5:$W$434,Countries!$A$5:$A$434,"All landing pages",Countries!$B$5:$B$434,"Direct",Countries!$D$5:$D$434,$A336,Countries!$AD$5:$AD$434,"&gt;0")=0,"",SUMIFS(Countries!$AD$5:$AD$434,Countries!$A$5:$A$434,"All landing pages",Countries!$B$5:$B$434,"Direct",Countries!$D$5:$D$434,$A336,Countries!$W$5:$W$434,"&gt;0")/SUMIFS(Countries!$W$5:$W$434,Countries!$A$5:$A$434,"All landing pages",Countries!$B$5:$B$434,"Direct",Countries!$D$5:$D$434,$A336,Countries!$AD$5:$AD$434,"&gt;0"))</f>
        <v/>
      </c>
      <c r="K336" s="43">
        <f>IF(SUMIFS(Countries!$X$5:$X$434,Countries!$A$5:$A$434,"All landing pages",Countries!$B$5:$B$434,"Direct",Countries!$D$5:$D$434,$A336,Countries!$AE$5:$AE$434,"&gt;0")=0,"",SUMIFS(Countries!$AE$5:$AE$434,Countries!$A$5:$A$434,"All landing pages",Countries!$B$5:$B$434,"Direct",Countries!$D$5:$D$434,$A336,Countries!$X$5:$X$434,"&gt;0")/SUMIFS(Countries!$X$5:$X$434,Countries!$A$5:$A$434,"All landing pages",Countries!$B$5:$B$434,"Direct",Countries!$D$5:$D$434,$A336,Countries!$AE$5:$AE$434,"&gt;0"))</f>
        <v/>
      </c>
      <c r="L336" s="44">
        <f>IF(OR(J336="",K336=""),"",(K336-J336)*100)</f>
        <v/>
      </c>
      <c r="M336" s="73" t="n"/>
      <c r="N336" s="43">
        <f>IF(SUMIFS(Countries!$W$5:$W$434,Countries!$A$5:$A$434,"All landing pages",Countries!$D$5:$D$434,$A336,Countries!$AD$5:$AD$434,"&gt;0")=0,"",SUMIFS(Countries!$AD$5:$AD$434,Countries!$A$5:$A$434,"All landing pages",Countries!$D$5:$D$434,$A336,Countries!$W$5:$W$434,"&gt;0")/SUMIFS(Countries!$W$5:$W$434,Countries!$A$5:$A$434,"All landing pages",Countries!$D$5:$D$434,$A336,Countries!$AD$5:$AD$434,"&gt;0"))</f>
        <v/>
      </c>
      <c r="O336" s="43">
        <f>IF(SUMIFS(Countries!$X$5:$X$434,Countries!$A$5:$A$434,"All landing pages",Countries!$D$5:$D$434,$A336,Countries!$AE$5:$AE$434,"&gt;0")=0,"",SUMIFS(Countries!$AE$5:$AE$434,Countries!$A$5:$A$434,"All landing pages",Countries!$D$5:$D$434,$A336,Countries!$X$5:$X$434,"&gt;0")/SUMIFS(Countries!$X$5:$X$434,Countries!$A$5:$A$434,"All landing pages",Countries!$D$5:$D$434,$A336,Countries!$AE$5:$AE$434,"&gt;0"))</f>
        <v/>
      </c>
      <c r="P336" s="44">
        <f>IF(OR(N336="",O336=""),"",(O336-N336)*100)</f>
        <v/>
      </c>
      <c r="Q336" s="73" t="n"/>
    </row>
    <row r="337">
      <c r="A337" s="40" t="inlineStr">
        <is>
          <t>Brazil</t>
        </is>
      </c>
      <c r="B337" s="43">
        <f>IF(SUMIFS(Countries!$W$5:$W$434,Countries!$A$5:$A$434,"All landing pages",Countries!$B$5:$B$434,"Paid Search",Countries!$D$5:$D$434,$A337,Countries!$AD$5:$AD$434,"&gt;0")=0,"",SUMIFS(Countries!$AD$5:$AD$434,Countries!$A$5:$A$434,"All landing pages",Countries!$B$5:$B$434,"Paid Search",Countries!$D$5:$D$434,$A337,Countries!$W$5:$W$434,"&gt;0")/SUMIFS(Countries!$W$5:$W$434,Countries!$A$5:$A$434,"All landing pages",Countries!$B$5:$B$434,"Paid Search",Countries!$D$5:$D$434,$A337,Countries!$AD$5:$AD$434,"&gt;0"))</f>
        <v/>
      </c>
      <c r="C337" s="43">
        <f>IF(SUMIFS(Countries!$X$5:$X$434,Countries!$A$5:$A$434,"All landing pages",Countries!$B$5:$B$434,"Paid Search",Countries!$D$5:$D$434,$A337,Countries!$AE$5:$AE$434,"&gt;0")=0,"",SUMIFS(Countries!$AE$5:$AE$434,Countries!$A$5:$A$434,"All landing pages",Countries!$B$5:$B$434,"Paid Search",Countries!$D$5:$D$434,$A337,Countries!$X$5:$X$434,"&gt;0")/SUMIFS(Countries!$X$5:$X$434,Countries!$A$5:$A$434,"All landing pages",Countries!$B$5:$B$434,"Paid Search",Countries!$D$5:$D$434,$A337,Countries!$AE$5:$AE$434,"&gt;0"))</f>
        <v/>
      </c>
      <c r="D337" s="44">
        <f>IF(OR(B337="",C337=""),"",(C337-B337)*100)</f>
        <v/>
      </c>
      <c r="E337" s="73" t="n"/>
      <c r="F337" s="43">
        <f>IF(SUMIFS(Countries!$W$5:$W$434,Countries!$A$5:$A$434,"All landing pages",Countries!$B$5:$B$434,"Organic",Countries!$D$5:$D$434,$A337,Countries!$AD$5:$AD$434,"&gt;0")=0,"",SUMIFS(Countries!$AD$5:$AD$434,Countries!$A$5:$A$434,"All landing pages",Countries!$B$5:$B$434,"Organic",Countries!$D$5:$D$434,$A337,Countries!$W$5:$W$434,"&gt;0")/SUMIFS(Countries!$W$5:$W$434,Countries!$A$5:$A$434,"All landing pages",Countries!$B$5:$B$434,"Organic",Countries!$D$5:$D$434,$A337,Countries!$AD$5:$AD$434,"&gt;0"))</f>
        <v/>
      </c>
      <c r="G337" s="43">
        <f>IF(SUMIFS(Countries!$X$5:$X$434,Countries!$A$5:$A$434,"All landing pages",Countries!$B$5:$B$434,"Organic",Countries!$D$5:$D$434,$A337,Countries!$AE$5:$AE$434,"&gt;0")=0,"",SUMIFS(Countries!$AE$5:$AE$434,Countries!$A$5:$A$434,"All landing pages",Countries!$B$5:$B$434,"Organic",Countries!$D$5:$D$434,$A337,Countries!$X$5:$X$434,"&gt;0")/SUMIFS(Countries!$X$5:$X$434,Countries!$A$5:$A$434,"All landing pages",Countries!$B$5:$B$434,"Organic",Countries!$D$5:$D$434,$A337,Countries!$AE$5:$AE$434,"&gt;0"))</f>
        <v/>
      </c>
      <c r="H337" s="44">
        <f>IF(OR(F337="",G337=""),"",(G337-F337)*100)</f>
        <v/>
      </c>
      <c r="I337" s="73" t="n"/>
      <c r="J337" s="43">
        <f>IF(SUMIFS(Countries!$W$5:$W$434,Countries!$A$5:$A$434,"All landing pages",Countries!$B$5:$B$434,"Direct",Countries!$D$5:$D$434,$A337,Countries!$AD$5:$AD$434,"&gt;0")=0,"",SUMIFS(Countries!$AD$5:$AD$434,Countries!$A$5:$A$434,"All landing pages",Countries!$B$5:$B$434,"Direct",Countries!$D$5:$D$434,$A337,Countries!$W$5:$W$434,"&gt;0")/SUMIFS(Countries!$W$5:$W$434,Countries!$A$5:$A$434,"All landing pages",Countries!$B$5:$B$434,"Direct",Countries!$D$5:$D$434,$A337,Countries!$AD$5:$AD$434,"&gt;0"))</f>
        <v/>
      </c>
      <c r="K337" s="43">
        <f>IF(SUMIFS(Countries!$X$5:$X$434,Countries!$A$5:$A$434,"All landing pages",Countries!$B$5:$B$434,"Direct",Countries!$D$5:$D$434,$A337,Countries!$AE$5:$AE$434,"&gt;0")=0,"",SUMIFS(Countries!$AE$5:$AE$434,Countries!$A$5:$A$434,"All landing pages",Countries!$B$5:$B$434,"Direct",Countries!$D$5:$D$434,$A337,Countries!$X$5:$X$434,"&gt;0")/SUMIFS(Countries!$X$5:$X$434,Countries!$A$5:$A$434,"All landing pages",Countries!$B$5:$B$434,"Direct",Countries!$D$5:$D$434,$A337,Countries!$AE$5:$AE$434,"&gt;0"))</f>
        <v/>
      </c>
      <c r="L337" s="44">
        <f>IF(OR(J337="",K337=""),"",(K337-J337)*100)</f>
        <v/>
      </c>
      <c r="M337" s="73" t="n"/>
      <c r="N337" s="43">
        <f>IF(SUMIFS(Countries!$W$5:$W$434,Countries!$A$5:$A$434,"All landing pages",Countries!$D$5:$D$434,$A337,Countries!$AD$5:$AD$434,"&gt;0")=0,"",SUMIFS(Countries!$AD$5:$AD$434,Countries!$A$5:$A$434,"All landing pages",Countries!$D$5:$D$434,$A337,Countries!$W$5:$W$434,"&gt;0")/SUMIFS(Countries!$W$5:$W$434,Countries!$A$5:$A$434,"All landing pages",Countries!$D$5:$D$434,$A337,Countries!$AD$5:$AD$434,"&gt;0"))</f>
        <v/>
      </c>
      <c r="O337" s="43">
        <f>IF(SUMIFS(Countries!$X$5:$X$434,Countries!$A$5:$A$434,"All landing pages",Countries!$D$5:$D$434,$A337,Countries!$AE$5:$AE$434,"&gt;0")=0,"",SUMIFS(Countries!$AE$5:$AE$434,Countries!$A$5:$A$434,"All landing pages",Countries!$D$5:$D$434,$A337,Countries!$X$5:$X$434,"&gt;0")/SUMIFS(Countries!$X$5:$X$434,Countries!$A$5:$A$434,"All landing pages",Countries!$D$5:$D$434,$A337,Countries!$AE$5:$AE$434,"&gt;0"))</f>
        <v/>
      </c>
      <c r="P337" s="44">
        <f>IF(OR(N337="",O337=""),"",(O337-N337)*100)</f>
        <v/>
      </c>
      <c r="Q337" s="73" t="n"/>
    </row>
    <row r="338">
      <c r="A338" s="56" t="inlineStr">
        <is>
          <t>China</t>
        </is>
      </c>
      <c r="B338" s="43">
        <f>IF(SUMIFS(Countries!$W$5:$W$434,Countries!$A$5:$A$434,"All landing pages",Countries!$B$5:$B$434,"Paid Search",Countries!$D$5:$D$434,$A338,Countries!$AD$5:$AD$434,"&gt;0")=0,"",SUMIFS(Countries!$AD$5:$AD$434,Countries!$A$5:$A$434,"All landing pages",Countries!$B$5:$B$434,"Paid Search",Countries!$D$5:$D$434,$A338,Countries!$W$5:$W$434,"&gt;0")/SUMIFS(Countries!$W$5:$W$434,Countries!$A$5:$A$434,"All landing pages",Countries!$B$5:$B$434,"Paid Search",Countries!$D$5:$D$434,$A338,Countries!$AD$5:$AD$434,"&gt;0"))</f>
        <v/>
      </c>
      <c r="C338" s="43">
        <f>IF(SUMIFS(Countries!$X$5:$X$434,Countries!$A$5:$A$434,"All landing pages",Countries!$B$5:$B$434,"Paid Search",Countries!$D$5:$D$434,$A338,Countries!$AE$5:$AE$434,"&gt;0")=0,"",SUMIFS(Countries!$AE$5:$AE$434,Countries!$A$5:$A$434,"All landing pages",Countries!$B$5:$B$434,"Paid Search",Countries!$D$5:$D$434,$A338,Countries!$X$5:$X$434,"&gt;0")/SUMIFS(Countries!$X$5:$X$434,Countries!$A$5:$A$434,"All landing pages",Countries!$B$5:$B$434,"Paid Search",Countries!$D$5:$D$434,$A338,Countries!$AE$5:$AE$434,"&gt;0"))</f>
        <v/>
      </c>
      <c r="D338" s="44">
        <f>IF(OR(B338="",C338=""),"",(C338-B338)*100)</f>
        <v/>
      </c>
      <c r="E338" s="73" t="n"/>
      <c r="F338" s="43">
        <f>IF(SUMIFS(Countries!$W$5:$W$434,Countries!$A$5:$A$434,"All landing pages",Countries!$B$5:$B$434,"Organic",Countries!$D$5:$D$434,$A338,Countries!$AD$5:$AD$434,"&gt;0")=0,"",SUMIFS(Countries!$AD$5:$AD$434,Countries!$A$5:$A$434,"All landing pages",Countries!$B$5:$B$434,"Organic",Countries!$D$5:$D$434,$A338,Countries!$W$5:$W$434,"&gt;0")/SUMIFS(Countries!$W$5:$W$434,Countries!$A$5:$A$434,"All landing pages",Countries!$B$5:$B$434,"Organic",Countries!$D$5:$D$434,$A338,Countries!$AD$5:$AD$434,"&gt;0"))</f>
        <v/>
      </c>
      <c r="G338" s="43">
        <f>IF(SUMIFS(Countries!$X$5:$X$434,Countries!$A$5:$A$434,"All landing pages",Countries!$B$5:$B$434,"Organic",Countries!$D$5:$D$434,$A338,Countries!$AE$5:$AE$434,"&gt;0")=0,"",SUMIFS(Countries!$AE$5:$AE$434,Countries!$A$5:$A$434,"All landing pages",Countries!$B$5:$B$434,"Organic",Countries!$D$5:$D$434,$A338,Countries!$X$5:$X$434,"&gt;0")/SUMIFS(Countries!$X$5:$X$434,Countries!$A$5:$A$434,"All landing pages",Countries!$B$5:$B$434,"Organic",Countries!$D$5:$D$434,$A338,Countries!$AE$5:$AE$434,"&gt;0"))</f>
        <v/>
      </c>
      <c r="H338" s="44">
        <f>IF(OR(F338="",G338=""),"",(G338-F338)*100)</f>
        <v/>
      </c>
      <c r="I338" s="73" t="n"/>
      <c r="J338" s="43">
        <f>IF(SUMIFS(Countries!$W$5:$W$434,Countries!$A$5:$A$434,"All landing pages",Countries!$B$5:$B$434,"Direct",Countries!$D$5:$D$434,$A338,Countries!$AD$5:$AD$434,"&gt;0")=0,"",SUMIFS(Countries!$AD$5:$AD$434,Countries!$A$5:$A$434,"All landing pages",Countries!$B$5:$B$434,"Direct",Countries!$D$5:$D$434,$A338,Countries!$W$5:$W$434,"&gt;0")/SUMIFS(Countries!$W$5:$W$434,Countries!$A$5:$A$434,"All landing pages",Countries!$B$5:$B$434,"Direct",Countries!$D$5:$D$434,$A338,Countries!$AD$5:$AD$434,"&gt;0"))</f>
        <v/>
      </c>
      <c r="K338" s="43">
        <f>IF(SUMIFS(Countries!$X$5:$X$434,Countries!$A$5:$A$434,"All landing pages",Countries!$B$5:$B$434,"Direct",Countries!$D$5:$D$434,$A338,Countries!$AE$5:$AE$434,"&gt;0")=0,"",SUMIFS(Countries!$AE$5:$AE$434,Countries!$A$5:$A$434,"All landing pages",Countries!$B$5:$B$434,"Direct",Countries!$D$5:$D$434,$A338,Countries!$X$5:$X$434,"&gt;0")/SUMIFS(Countries!$X$5:$X$434,Countries!$A$5:$A$434,"All landing pages",Countries!$B$5:$B$434,"Direct",Countries!$D$5:$D$434,$A338,Countries!$AE$5:$AE$434,"&gt;0"))</f>
        <v/>
      </c>
      <c r="L338" s="44">
        <f>IF(OR(J338="",K338=""),"",(K338-J338)*100)</f>
        <v/>
      </c>
      <c r="M338" s="73" t="n"/>
      <c r="N338" s="43">
        <f>IF(SUMIFS(Countries!$W$5:$W$434,Countries!$A$5:$A$434,"All landing pages",Countries!$D$5:$D$434,$A338,Countries!$AD$5:$AD$434,"&gt;0")=0,"",SUMIFS(Countries!$AD$5:$AD$434,Countries!$A$5:$A$434,"All landing pages",Countries!$D$5:$D$434,$A338,Countries!$W$5:$W$434,"&gt;0")/SUMIFS(Countries!$W$5:$W$434,Countries!$A$5:$A$434,"All landing pages",Countries!$D$5:$D$434,$A338,Countries!$AD$5:$AD$434,"&gt;0"))</f>
        <v/>
      </c>
      <c r="O338" s="43">
        <f>IF(SUMIFS(Countries!$X$5:$X$434,Countries!$A$5:$A$434,"All landing pages",Countries!$D$5:$D$434,$A338,Countries!$AE$5:$AE$434,"&gt;0")=0,"",SUMIFS(Countries!$AE$5:$AE$434,Countries!$A$5:$A$434,"All landing pages",Countries!$D$5:$D$434,$A338,Countries!$X$5:$X$434,"&gt;0")/SUMIFS(Countries!$X$5:$X$434,Countries!$A$5:$A$434,"All landing pages",Countries!$D$5:$D$434,$A338,Countries!$AE$5:$AE$434,"&gt;0"))</f>
        <v/>
      </c>
      <c r="P338" s="44">
        <f>IF(OR(N338="",O338=""),"",(O338-N338)*100)</f>
        <v/>
      </c>
      <c r="Q338" s="73" t="n"/>
    </row>
    <row r="339">
      <c r="A339" s="40" t="inlineStr">
        <is>
          <t>Croatia</t>
        </is>
      </c>
      <c r="B339" s="43">
        <f>IF(SUMIFS(Countries!$W$5:$W$434,Countries!$A$5:$A$434,"All landing pages",Countries!$B$5:$B$434,"Paid Search",Countries!$D$5:$D$434,$A339,Countries!$AD$5:$AD$434,"&gt;0")=0,"",SUMIFS(Countries!$AD$5:$AD$434,Countries!$A$5:$A$434,"All landing pages",Countries!$B$5:$B$434,"Paid Search",Countries!$D$5:$D$434,$A339,Countries!$W$5:$W$434,"&gt;0")/SUMIFS(Countries!$W$5:$W$434,Countries!$A$5:$A$434,"All landing pages",Countries!$B$5:$B$434,"Paid Search",Countries!$D$5:$D$434,$A339,Countries!$AD$5:$AD$434,"&gt;0"))</f>
        <v/>
      </c>
      <c r="C339" s="43">
        <f>IF(SUMIFS(Countries!$X$5:$X$434,Countries!$A$5:$A$434,"All landing pages",Countries!$B$5:$B$434,"Paid Search",Countries!$D$5:$D$434,$A339,Countries!$AE$5:$AE$434,"&gt;0")=0,"",SUMIFS(Countries!$AE$5:$AE$434,Countries!$A$5:$A$434,"All landing pages",Countries!$B$5:$B$434,"Paid Search",Countries!$D$5:$D$434,$A339,Countries!$X$5:$X$434,"&gt;0")/SUMIFS(Countries!$X$5:$X$434,Countries!$A$5:$A$434,"All landing pages",Countries!$B$5:$B$434,"Paid Search",Countries!$D$5:$D$434,$A339,Countries!$AE$5:$AE$434,"&gt;0"))</f>
        <v/>
      </c>
      <c r="D339" s="44">
        <f>IF(OR(B339="",C339=""),"",(C339-B339)*100)</f>
        <v/>
      </c>
      <c r="E339" s="73" t="n"/>
      <c r="F339" s="43">
        <f>IF(SUMIFS(Countries!$W$5:$W$434,Countries!$A$5:$A$434,"All landing pages",Countries!$B$5:$B$434,"Organic",Countries!$D$5:$D$434,$A339,Countries!$AD$5:$AD$434,"&gt;0")=0,"",SUMIFS(Countries!$AD$5:$AD$434,Countries!$A$5:$A$434,"All landing pages",Countries!$B$5:$B$434,"Organic",Countries!$D$5:$D$434,$A339,Countries!$W$5:$W$434,"&gt;0")/SUMIFS(Countries!$W$5:$W$434,Countries!$A$5:$A$434,"All landing pages",Countries!$B$5:$B$434,"Organic",Countries!$D$5:$D$434,$A339,Countries!$AD$5:$AD$434,"&gt;0"))</f>
        <v/>
      </c>
      <c r="G339" s="43">
        <f>IF(SUMIFS(Countries!$X$5:$X$434,Countries!$A$5:$A$434,"All landing pages",Countries!$B$5:$B$434,"Organic",Countries!$D$5:$D$434,$A339,Countries!$AE$5:$AE$434,"&gt;0")=0,"",SUMIFS(Countries!$AE$5:$AE$434,Countries!$A$5:$A$434,"All landing pages",Countries!$B$5:$B$434,"Organic",Countries!$D$5:$D$434,$A339,Countries!$X$5:$X$434,"&gt;0")/SUMIFS(Countries!$X$5:$X$434,Countries!$A$5:$A$434,"All landing pages",Countries!$B$5:$B$434,"Organic",Countries!$D$5:$D$434,$A339,Countries!$AE$5:$AE$434,"&gt;0"))</f>
        <v/>
      </c>
      <c r="H339" s="44">
        <f>IF(OR(F339="",G339=""),"",(G339-F339)*100)</f>
        <v/>
      </c>
      <c r="I339" s="73" t="n"/>
      <c r="J339" s="43">
        <f>IF(SUMIFS(Countries!$W$5:$W$434,Countries!$A$5:$A$434,"All landing pages",Countries!$B$5:$B$434,"Direct",Countries!$D$5:$D$434,$A339,Countries!$AD$5:$AD$434,"&gt;0")=0,"",SUMIFS(Countries!$AD$5:$AD$434,Countries!$A$5:$A$434,"All landing pages",Countries!$B$5:$B$434,"Direct",Countries!$D$5:$D$434,$A339,Countries!$W$5:$W$434,"&gt;0")/SUMIFS(Countries!$W$5:$W$434,Countries!$A$5:$A$434,"All landing pages",Countries!$B$5:$B$434,"Direct",Countries!$D$5:$D$434,$A339,Countries!$AD$5:$AD$434,"&gt;0"))</f>
        <v/>
      </c>
      <c r="K339" s="43">
        <f>IF(SUMIFS(Countries!$X$5:$X$434,Countries!$A$5:$A$434,"All landing pages",Countries!$B$5:$B$434,"Direct",Countries!$D$5:$D$434,$A339,Countries!$AE$5:$AE$434,"&gt;0")=0,"",SUMIFS(Countries!$AE$5:$AE$434,Countries!$A$5:$A$434,"All landing pages",Countries!$B$5:$B$434,"Direct",Countries!$D$5:$D$434,$A339,Countries!$X$5:$X$434,"&gt;0")/SUMIFS(Countries!$X$5:$X$434,Countries!$A$5:$A$434,"All landing pages",Countries!$B$5:$B$434,"Direct",Countries!$D$5:$D$434,$A339,Countries!$AE$5:$AE$434,"&gt;0"))</f>
        <v/>
      </c>
      <c r="L339" s="44">
        <f>IF(OR(J339="",K339=""),"",(K339-J339)*100)</f>
        <v/>
      </c>
      <c r="M339" s="73" t="n"/>
      <c r="N339" s="43">
        <f>IF(SUMIFS(Countries!$W$5:$W$434,Countries!$A$5:$A$434,"All landing pages",Countries!$D$5:$D$434,$A339,Countries!$AD$5:$AD$434,"&gt;0")=0,"",SUMIFS(Countries!$AD$5:$AD$434,Countries!$A$5:$A$434,"All landing pages",Countries!$D$5:$D$434,$A339,Countries!$W$5:$W$434,"&gt;0")/SUMIFS(Countries!$W$5:$W$434,Countries!$A$5:$A$434,"All landing pages",Countries!$D$5:$D$434,$A339,Countries!$AD$5:$AD$434,"&gt;0"))</f>
        <v/>
      </c>
      <c r="O339" s="43">
        <f>IF(SUMIFS(Countries!$X$5:$X$434,Countries!$A$5:$A$434,"All landing pages",Countries!$D$5:$D$434,$A339,Countries!$AE$5:$AE$434,"&gt;0")=0,"",SUMIFS(Countries!$AE$5:$AE$434,Countries!$A$5:$A$434,"All landing pages",Countries!$D$5:$D$434,$A339,Countries!$X$5:$X$434,"&gt;0")/SUMIFS(Countries!$X$5:$X$434,Countries!$A$5:$A$434,"All landing pages",Countries!$D$5:$D$434,$A339,Countries!$AE$5:$AE$434,"&gt;0"))</f>
        <v/>
      </c>
      <c r="P339" s="44">
        <f>IF(OR(N339="",O339=""),"",(O339-N339)*100)</f>
        <v/>
      </c>
      <c r="Q339" s="73" t="n"/>
    </row>
    <row r="340">
      <c r="A340" s="56" t="inlineStr">
        <is>
          <t>Honduras</t>
        </is>
      </c>
      <c r="B340" s="43">
        <f>IF(SUMIFS(Countries!$W$5:$W$434,Countries!$A$5:$A$434,"All landing pages",Countries!$B$5:$B$434,"Paid Search",Countries!$D$5:$D$434,$A340,Countries!$AD$5:$AD$434,"&gt;0")=0,"",SUMIFS(Countries!$AD$5:$AD$434,Countries!$A$5:$A$434,"All landing pages",Countries!$B$5:$B$434,"Paid Search",Countries!$D$5:$D$434,$A340,Countries!$W$5:$W$434,"&gt;0")/SUMIFS(Countries!$W$5:$W$434,Countries!$A$5:$A$434,"All landing pages",Countries!$B$5:$B$434,"Paid Search",Countries!$D$5:$D$434,$A340,Countries!$AD$5:$AD$434,"&gt;0"))</f>
        <v/>
      </c>
      <c r="C340" s="43">
        <f>IF(SUMIFS(Countries!$X$5:$X$434,Countries!$A$5:$A$434,"All landing pages",Countries!$B$5:$B$434,"Paid Search",Countries!$D$5:$D$434,$A340,Countries!$AE$5:$AE$434,"&gt;0")=0,"",SUMIFS(Countries!$AE$5:$AE$434,Countries!$A$5:$A$434,"All landing pages",Countries!$B$5:$B$434,"Paid Search",Countries!$D$5:$D$434,$A340,Countries!$X$5:$X$434,"&gt;0")/SUMIFS(Countries!$X$5:$X$434,Countries!$A$5:$A$434,"All landing pages",Countries!$B$5:$B$434,"Paid Search",Countries!$D$5:$D$434,$A340,Countries!$AE$5:$AE$434,"&gt;0"))</f>
        <v/>
      </c>
      <c r="D340" s="44">
        <f>IF(OR(B340="",C340=""),"",(C340-B340)*100)</f>
        <v/>
      </c>
      <c r="E340" s="73" t="n"/>
      <c r="F340" s="43">
        <f>IF(SUMIFS(Countries!$W$5:$W$434,Countries!$A$5:$A$434,"All landing pages",Countries!$B$5:$B$434,"Organic",Countries!$D$5:$D$434,$A340,Countries!$AD$5:$AD$434,"&gt;0")=0,"",SUMIFS(Countries!$AD$5:$AD$434,Countries!$A$5:$A$434,"All landing pages",Countries!$B$5:$B$434,"Organic",Countries!$D$5:$D$434,$A340,Countries!$W$5:$W$434,"&gt;0")/SUMIFS(Countries!$W$5:$W$434,Countries!$A$5:$A$434,"All landing pages",Countries!$B$5:$B$434,"Organic",Countries!$D$5:$D$434,$A340,Countries!$AD$5:$AD$434,"&gt;0"))</f>
        <v/>
      </c>
      <c r="G340" s="43">
        <f>IF(SUMIFS(Countries!$X$5:$X$434,Countries!$A$5:$A$434,"All landing pages",Countries!$B$5:$B$434,"Organic",Countries!$D$5:$D$434,$A340,Countries!$AE$5:$AE$434,"&gt;0")=0,"",SUMIFS(Countries!$AE$5:$AE$434,Countries!$A$5:$A$434,"All landing pages",Countries!$B$5:$B$434,"Organic",Countries!$D$5:$D$434,$A340,Countries!$X$5:$X$434,"&gt;0")/SUMIFS(Countries!$X$5:$X$434,Countries!$A$5:$A$434,"All landing pages",Countries!$B$5:$B$434,"Organic",Countries!$D$5:$D$434,$A340,Countries!$AE$5:$AE$434,"&gt;0"))</f>
        <v/>
      </c>
      <c r="H340" s="44">
        <f>IF(OR(F340="",G340=""),"",(G340-F340)*100)</f>
        <v/>
      </c>
      <c r="I340" s="73" t="n"/>
      <c r="J340" s="43">
        <f>IF(SUMIFS(Countries!$W$5:$W$434,Countries!$A$5:$A$434,"All landing pages",Countries!$B$5:$B$434,"Direct",Countries!$D$5:$D$434,$A340,Countries!$AD$5:$AD$434,"&gt;0")=0,"",SUMIFS(Countries!$AD$5:$AD$434,Countries!$A$5:$A$434,"All landing pages",Countries!$B$5:$B$434,"Direct",Countries!$D$5:$D$434,$A340,Countries!$W$5:$W$434,"&gt;0")/SUMIFS(Countries!$W$5:$W$434,Countries!$A$5:$A$434,"All landing pages",Countries!$B$5:$B$434,"Direct",Countries!$D$5:$D$434,$A340,Countries!$AD$5:$AD$434,"&gt;0"))</f>
        <v/>
      </c>
      <c r="K340" s="43">
        <f>IF(SUMIFS(Countries!$X$5:$X$434,Countries!$A$5:$A$434,"All landing pages",Countries!$B$5:$B$434,"Direct",Countries!$D$5:$D$434,$A340,Countries!$AE$5:$AE$434,"&gt;0")=0,"",SUMIFS(Countries!$AE$5:$AE$434,Countries!$A$5:$A$434,"All landing pages",Countries!$B$5:$B$434,"Direct",Countries!$D$5:$D$434,$A340,Countries!$X$5:$X$434,"&gt;0")/SUMIFS(Countries!$X$5:$X$434,Countries!$A$5:$A$434,"All landing pages",Countries!$B$5:$B$434,"Direct",Countries!$D$5:$D$434,$A340,Countries!$AE$5:$AE$434,"&gt;0"))</f>
        <v/>
      </c>
      <c r="L340" s="44">
        <f>IF(OR(J340="",K340=""),"",(K340-J340)*100)</f>
        <v/>
      </c>
      <c r="M340" s="73" t="n"/>
      <c r="N340" s="43">
        <f>IF(SUMIFS(Countries!$W$5:$W$434,Countries!$A$5:$A$434,"All landing pages",Countries!$D$5:$D$434,$A340,Countries!$AD$5:$AD$434,"&gt;0")=0,"",SUMIFS(Countries!$AD$5:$AD$434,Countries!$A$5:$A$434,"All landing pages",Countries!$D$5:$D$434,$A340,Countries!$W$5:$W$434,"&gt;0")/SUMIFS(Countries!$W$5:$W$434,Countries!$A$5:$A$434,"All landing pages",Countries!$D$5:$D$434,$A340,Countries!$AD$5:$AD$434,"&gt;0"))</f>
        <v/>
      </c>
      <c r="O340" s="43">
        <f>IF(SUMIFS(Countries!$X$5:$X$434,Countries!$A$5:$A$434,"All landing pages",Countries!$D$5:$D$434,$A340,Countries!$AE$5:$AE$434,"&gt;0")=0,"",SUMIFS(Countries!$AE$5:$AE$434,Countries!$A$5:$A$434,"All landing pages",Countries!$D$5:$D$434,$A340,Countries!$X$5:$X$434,"&gt;0")/SUMIFS(Countries!$X$5:$X$434,Countries!$A$5:$A$434,"All landing pages",Countries!$D$5:$D$434,$A340,Countries!$AE$5:$AE$434,"&gt;0"))</f>
        <v/>
      </c>
      <c r="P340" s="44">
        <f>IF(OR(N340="",O340=""),"",(O340-N340)*100)</f>
        <v/>
      </c>
      <c r="Q340" s="73" t="n"/>
    </row>
    <row r="341">
      <c r="A341" s="40" t="inlineStr">
        <is>
          <t>Israel</t>
        </is>
      </c>
      <c r="B341" s="43">
        <f>IF(SUMIFS(Countries!$W$5:$W$434,Countries!$A$5:$A$434,"All landing pages",Countries!$B$5:$B$434,"Paid Search",Countries!$D$5:$D$434,$A341,Countries!$AD$5:$AD$434,"&gt;0")=0,"",SUMIFS(Countries!$AD$5:$AD$434,Countries!$A$5:$A$434,"All landing pages",Countries!$B$5:$B$434,"Paid Search",Countries!$D$5:$D$434,$A341,Countries!$W$5:$W$434,"&gt;0")/SUMIFS(Countries!$W$5:$W$434,Countries!$A$5:$A$434,"All landing pages",Countries!$B$5:$B$434,"Paid Search",Countries!$D$5:$D$434,$A341,Countries!$AD$5:$AD$434,"&gt;0"))</f>
        <v/>
      </c>
      <c r="C341" s="43">
        <f>IF(SUMIFS(Countries!$X$5:$X$434,Countries!$A$5:$A$434,"All landing pages",Countries!$B$5:$B$434,"Paid Search",Countries!$D$5:$D$434,$A341,Countries!$AE$5:$AE$434,"&gt;0")=0,"",SUMIFS(Countries!$AE$5:$AE$434,Countries!$A$5:$A$434,"All landing pages",Countries!$B$5:$B$434,"Paid Search",Countries!$D$5:$D$434,$A341,Countries!$X$5:$X$434,"&gt;0")/SUMIFS(Countries!$X$5:$X$434,Countries!$A$5:$A$434,"All landing pages",Countries!$B$5:$B$434,"Paid Search",Countries!$D$5:$D$434,$A341,Countries!$AE$5:$AE$434,"&gt;0"))</f>
        <v/>
      </c>
      <c r="D341" s="44">
        <f>IF(OR(B341="",C341=""),"",(C341-B341)*100)</f>
        <v/>
      </c>
      <c r="E341" s="73" t="n"/>
      <c r="F341" s="43">
        <f>IF(SUMIFS(Countries!$W$5:$W$434,Countries!$A$5:$A$434,"All landing pages",Countries!$B$5:$B$434,"Organic",Countries!$D$5:$D$434,$A341,Countries!$AD$5:$AD$434,"&gt;0")=0,"",SUMIFS(Countries!$AD$5:$AD$434,Countries!$A$5:$A$434,"All landing pages",Countries!$B$5:$B$434,"Organic",Countries!$D$5:$D$434,$A341,Countries!$W$5:$W$434,"&gt;0")/SUMIFS(Countries!$W$5:$W$434,Countries!$A$5:$A$434,"All landing pages",Countries!$B$5:$B$434,"Organic",Countries!$D$5:$D$434,$A341,Countries!$AD$5:$AD$434,"&gt;0"))</f>
        <v/>
      </c>
      <c r="G341" s="43">
        <f>IF(SUMIFS(Countries!$X$5:$X$434,Countries!$A$5:$A$434,"All landing pages",Countries!$B$5:$B$434,"Organic",Countries!$D$5:$D$434,$A341,Countries!$AE$5:$AE$434,"&gt;0")=0,"",SUMIFS(Countries!$AE$5:$AE$434,Countries!$A$5:$A$434,"All landing pages",Countries!$B$5:$B$434,"Organic",Countries!$D$5:$D$434,$A341,Countries!$X$5:$X$434,"&gt;0")/SUMIFS(Countries!$X$5:$X$434,Countries!$A$5:$A$434,"All landing pages",Countries!$B$5:$B$434,"Organic",Countries!$D$5:$D$434,$A341,Countries!$AE$5:$AE$434,"&gt;0"))</f>
        <v/>
      </c>
      <c r="H341" s="44">
        <f>IF(OR(F341="",G341=""),"",(G341-F341)*100)</f>
        <v/>
      </c>
      <c r="I341" s="73" t="n"/>
      <c r="J341" s="43">
        <f>IF(SUMIFS(Countries!$W$5:$W$434,Countries!$A$5:$A$434,"All landing pages",Countries!$B$5:$B$434,"Direct",Countries!$D$5:$D$434,$A341,Countries!$AD$5:$AD$434,"&gt;0")=0,"",SUMIFS(Countries!$AD$5:$AD$434,Countries!$A$5:$A$434,"All landing pages",Countries!$B$5:$B$434,"Direct",Countries!$D$5:$D$434,$A341,Countries!$W$5:$W$434,"&gt;0")/SUMIFS(Countries!$W$5:$W$434,Countries!$A$5:$A$434,"All landing pages",Countries!$B$5:$B$434,"Direct",Countries!$D$5:$D$434,$A341,Countries!$AD$5:$AD$434,"&gt;0"))</f>
        <v/>
      </c>
      <c r="K341" s="43">
        <f>IF(SUMIFS(Countries!$X$5:$X$434,Countries!$A$5:$A$434,"All landing pages",Countries!$B$5:$B$434,"Direct",Countries!$D$5:$D$434,$A341,Countries!$AE$5:$AE$434,"&gt;0")=0,"",SUMIFS(Countries!$AE$5:$AE$434,Countries!$A$5:$A$434,"All landing pages",Countries!$B$5:$B$434,"Direct",Countries!$D$5:$D$434,$A341,Countries!$X$5:$X$434,"&gt;0")/SUMIFS(Countries!$X$5:$X$434,Countries!$A$5:$A$434,"All landing pages",Countries!$B$5:$B$434,"Direct",Countries!$D$5:$D$434,$A341,Countries!$AE$5:$AE$434,"&gt;0"))</f>
        <v/>
      </c>
      <c r="L341" s="44">
        <f>IF(OR(J341="",K341=""),"",(K341-J341)*100)</f>
        <v/>
      </c>
      <c r="M341" s="73" t="n"/>
      <c r="N341" s="43">
        <f>IF(SUMIFS(Countries!$W$5:$W$434,Countries!$A$5:$A$434,"All landing pages",Countries!$D$5:$D$434,$A341,Countries!$AD$5:$AD$434,"&gt;0")=0,"",SUMIFS(Countries!$AD$5:$AD$434,Countries!$A$5:$A$434,"All landing pages",Countries!$D$5:$D$434,$A341,Countries!$W$5:$W$434,"&gt;0")/SUMIFS(Countries!$W$5:$W$434,Countries!$A$5:$A$434,"All landing pages",Countries!$D$5:$D$434,$A341,Countries!$AD$5:$AD$434,"&gt;0"))</f>
        <v/>
      </c>
      <c r="O341" s="43">
        <f>IF(SUMIFS(Countries!$X$5:$X$434,Countries!$A$5:$A$434,"All landing pages",Countries!$D$5:$D$434,$A341,Countries!$AE$5:$AE$434,"&gt;0")=0,"",SUMIFS(Countries!$AE$5:$AE$434,Countries!$A$5:$A$434,"All landing pages",Countries!$D$5:$D$434,$A341,Countries!$X$5:$X$434,"&gt;0")/SUMIFS(Countries!$X$5:$X$434,Countries!$A$5:$A$434,"All landing pages",Countries!$D$5:$D$434,$A341,Countries!$AE$5:$AE$434,"&gt;0"))</f>
        <v/>
      </c>
      <c r="P341" s="44">
        <f>IF(OR(N341="",O341=""),"",(O341-N341)*100)</f>
        <v/>
      </c>
      <c r="Q341" s="73" t="n"/>
    </row>
    <row r="342">
      <c r="A342" s="56" t="inlineStr">
        <is>
          <t>Philippines</t>
        </is>
      </c>
      <c r="B342" s="43">
        <f>IF(SUMIFS(Countries!$W$5:$W$434,Countries!$A$5:$A$434,"All landing pages",Countries!$B$5:$B$434,"Paid Search",Countries!$D$5:$D$434,$A342,Countries!$AD$5:$AD$434,"&gt;0")=0,"",SUMIFS(Countries!$AD$5:$AD$434,Countries!$A$5:$A$434,"All landing pages",Countries!$B$5:$B$434,"Paid Search",Countries!$D$5:$D$434,$A342,Countries!$W$5:$W$434,"&gt;0")/SUMIFS(Countries!$W$5:$W$434,Countries!$A$5:$A$434,"All landing pages",Countries!$B$5:$B$434,"Paid Search",Countries!$D$5:$D$434,$A342,Countries!$AD$5:$AD$434,"&gt;0"))</f>
        <v/>
      </c>
      <c r="C342" s="43">
        <f>IF(SUMIFS(Countries!$X$5:$X$434,Countries!$A$5:$A$434,"All landing pages",Countries!$B$5:$B$434,"Paid Search",Countries!$D$5:$D$434,$A342,Countries!$AE$5:$AE$434,"&gt;0")=0,"",SUMIFS(Countries!$AE$5:$AE$434,Countries!$A$5:$A$434,"All landing pages",Countries!$B$5:$B$434,"Paid Search",Countries!$D$5:$D$434,$A342,Countries!$X$5:$X$434,"&gt;0")/SUMIFS(Countries!$X$5:$X$434,Countries!$A$5:$A$434,"All landing pages",Countries!$B$5:$B$434,"Paid Search",Countries!$D$5:$D$434,$A342,Countries!$AE$5:$AE$434,"&gt;0"))</f>
        <v/>
      </c>
      <c r="D342" s="44">
        <f>IF(OR(B342="",C342=""),"",(C342-B342)*100)</f>
        <v/>
      </c>
      <c r="E342" s="73" t="n"/>
      <c r="F342" s="43">
        <f>IF(SUMIFS(Countries!$W$5:$W$434,Countries!$A$5:$A$434,"All landing pages",Countries!$B$5:$B$434,"Organic",Countries!$D$5:$D$434,$A342,Countries!$AD$5:$AD$434,"&gt;0")=0,"",SUMIFS(Countries!$AD$5:$AD$434,Countries!$A$5:$A$434,"All landing pages",Countries!$B$5:$B$434,"Organic",Countries!$D$5:$D$434,$A342,Countries!$W$5:$W$434,"&gt;0")/SUMIFS(Countries!$W$5:$W$434,Countries!$A$5:$A$434,"All landing pages",Countries!$B$5:$B$434,"Organic",Countries!$D$5:$D$434,$A342,Countries!$AD$5:$AD$434,"&gt;0"))</f>
        <v/>
      </c>
      <c r="G342" s="43">
        <f>IF(SUMIFS(Countries!$X$5:$X$434,Countries!$A$5:$A$434,"All landing pages",Countries!$B$5:$B$434,"Organic",Countries!$D$5:$D$434,$A342,Countries!$AE$5:$AE$434,"&gt;0")=0,"",SUMIFS(Countries!$AE$5:$AE$434,Countries!$A$5:$A$434,"All landing pages",Countries!$B$5:$B$434,"Organic",Countries!$D$5:$D$434,$A342,Countries!$X$5:$X$434,"&gt;0")/SUMIFS(Countries!$X$5:$X$434,Countries!$A$5:$A$434,"All landing pages",Countries!$B$5:$B$434,"Organic",Countries!$D$5:$D$434,$A342,Countries!$AE$5:$AE$434,"&gt;0"))</f>
        <v/>
      </c>
      <c r="H342" s="44">
        <f>IF(OR(F342="",G342=""),"",(G342-F342)*100)</f>
        <v/>
      </c>
      <c r="I342" s="73" t="n"/>
      <c r="J342" s="43">
        <f>IF(SUMIFS(Countries!$W$5:$W$434,Countries!$A$5:$A$434,"All landing pages",Countries!$B$5:$B$434,"Direct",Countries!$D$5:$D$434,$A342,Countries!$AD$5:$AD$434,"&gt;0")=0,"",SUMIFS(Countries!$AD$5:$AD$434,Countries!$A$5:$A$434,"All landing pages",Countries!$B$5:$B$434,"Direct",Countries!$D$5:$D$434,$A342,Countries!$W$5:$W$434,"&gt;0")/SUMIFS(Countries!$W$5:$W$434,Countries!$A$5:$A$434,"All landing pages",Countries!$B$5:$B$434,"Direct",Countries!$D$5:$D$434,$A342,Countries!$AD$5:$AD$434,"&gt;0"))</f>
        <v/>
      </c>
      <c r="K342" s="43">
        <f>IF(SUMIFS(Countries!$X$5:$X$434,Countries!$A$5:$A$434,"All landing pages",Countries!$B$5:$B$434,"Direct",Countries!$D$5:$D$434,$A342,Countries!$AE$5:$AE$434,"&gt;0")=0,"",SUMIFS(Countries!$AE$5:$AE$434,Countries!$A$5:$A$434,"All landing pages",Countries!$B$5:$B$434,"Direct",Countries!$D$5:$D$434,$A342,Countries!$X$5:$X$434,"&gt;0")/SUMIFS(Countries!$X$5:$X$434,Countries!$A$5:$A$434,"All landing pages",Countries!$B$5:$B$434,"Direct",Countries!$D$5:$D$434,$A342,Countries!$AE$5:$AE$434,"&gt;0"))</f>
        <v/>
      </c>
      <c r="L342" s="44">
        <f>IF(OR(J342="",K342=""),"",(K342-J342)*100)</f>
        <v/>
      </c>
      <c r="M342" s="73" t="n"/>
      <c r="N342" s="43">
        <f>IF(SUMIFS(Countries!$W$5:$W$434,Countries!$A$5:$A$434,"All landing pages",Countries!$D$5:$D$434,$A342,Countries!$AD$5:$AD$434,"&gt;0")=0,"",SUMIFS(Countries!$AD$5:$AD$434,Countries!$A$5:$A$434,"All landing pages",Countries!$D$5:$D$434,$A342,Countries!$W$5:$W$434,"&gt;0")/SUMIFS(Countries!$W$5:$W$434,Countries!$A$5:$A$434,"All landing pages",Countries!$D$5:$D$434,$A342,Countries!$AD$5:$AD$434,"&gt;0"))</f>
        <v/>
      </c>
      <c r="O342" s="43">
        <f>IF(SUMIFS(Countries!$X$5:$X$434,Countries!$A$5:$A$434,"All landing pages",Countries!$D$5:$D$434,$A342,Countries!$AE$5:$AE$434,"&gt;0")=0,"",SUMIFS(Countries!$AE$5:$AE$434,Countries!$A$5:$A$434,"All landing pages",Countries!$D$5:$D$434,$A342,Countries!$X$5:$X$434,"&gt;0")/SUMIFS(Countries!$X$5:$X$434,Countries!$A$5:$A$434,"All landing pages",Countries!$D$5:$D$434,$A342,Countries!$AE$5:$AE$434,"&gt;0"))</f>
        <v/>
      </c>
      <c r="P342" s="44">
        <f>IF(OR(N342="",O342=""),"",(O342-N342)*100)</f>
        <v/>
      </c>
      <c r="Q342" s="73" t="n"/>
    </row>
    <row r="343">
      <c r="A343" s="40" t="inlineStr">
        <is>
          <t>Ukraine</t>
        </is>
      </c>
      <c r="B343" s="43">
        <f>IF(SUMIFS(Countries!$W$5:$W$434,Countries!$A$5:$A$434,"All landing pages",Countries!$B$5:$B$434,"Paid Search",Countries!$D$5:$D$434,$A343,Countries!$AD$5:$AD$434,"&gt;0")=0,"",SUMIFS(Countries!$AD$5:$AD$434,Countries!$A$5:$A$434,"All landing pages",Countries!$B$5:$B$434,"Paid Search",Countries!$D$5:$D$434,$A343,Countries!$W$5:$W$434,"&gt;0")/SUMIFS(Countries!$W$5:$W$434,Countries!$A$5:$A$434,"All landing pages",Countries!$B$5:$B$434,"Paid Search",Countries!$D$5:$D$434,$A343,Countries!$AD$5:$AD$434,"&gt;0"))</f>
        <v/>
      </c>
      <c r="C343" s="43">
        <f>IF(SUMIFS(Countries!$X$5:$X$434,Countries!$A$5:$A$434,"All landing pages",Countries!$B$5:$B$434,"Paid Search",Countries!$D$5:$D$434,$A343,Countries!$AE$5:$AE$434,"&gt;0")=0,"",SUMIFS(Countries!$AE$5:$AE$434,Countries!$A$5:$A$434,"All landing pages",Countries!$B$5:$B$434,"Paid Search",Countries!$D$5:$D$434,$A343,Countries!$X$5:$X$434,"&gt;0")/SUMIFS(Countries!$X$5:$X$434,Countries!$A$5:$A$434,"All landing pages",Countries!$B$5:$B$434,"Paid Search",Countries!$D$5:$D$434,$A343,Countries!$AE$5:$AE$434,"&gt;0"))</f>
        <v/>
      </c>
      <c r="D343" s="44">
        <f>IF(OR(B343="",C343=""),"",(C343-B343)*100)</f>
        <v/>
      </c>
      <c r="E343" s="73" t="n"/>
      <c r="F343" s="43">
        <f>IF(SUMIFS(Countries!$W$5:$W$434,Countries!$A$5:$A$434,"All landing pages",Countries!$B$5:$B$434,"Organic",Countries!$D$5:$D$434,$A343,Countries!$AD$5:$AD$434,"&gt;0")=0,"",SUMIFS(Countries!$AD$5:$AD$434,Countries!$A$5:$A$434,"All landing pages",Countries!$B$5:$B$434,"Organic",Countries!$D$5:$D$434,$A343,Countries!$W$5:$W$434,"&gt;0")/SUMIFS(Countries!$W$5:$W$434,Countries!$A$5:$A$434,"All landing pages",Countries!$B$5:$B$434,"Organic",Countries!$D$5:$D$434,$A343,Countries!$AD$5:$AD$434,"&gt;0"))</f>
        <v/>
      </c>
      <c r="G343" s="43">
        <f>IF(SUMIFS(Countries!$X$5:$X$434,Countries!$A$5:$A$434,"All landing pages",Countries!$B$5:$B$434,"Organic",Countries!$D$5:$D$434,$A343,Countries!$AE$5:$AE$434,"&gt;0")=0,"",SUMIFS(Countries!$AE$5:$AE$434,Countries!$A$5:$A$434,"All landing pages",Countries!$B$5:$B$434,"Organic",Countries!$D$5:$D$434,$A343,Countries!$X$5:$X$434,"&gt;0")/SUMIFS(Countries!$X$5:$X$434,Countries!$A$5:$A$434,"All landing pages",Countries!$B$5:$B$434,"Organic",Countries!$D$5:$D$434,$A343,Countries!$AE$5:$AE$434,"&gt;0"))</f>
        <v/>
      </c>
      <c r="H343" s="44">
        <f>IF(OR(F343="",G343=""),"",(G343-F343)*100)</f>
        <v/>
      </c>
      <c r="I343" s="73" t="n"/>
      <c r="J343" s="43">
        <f>IF(SUMIFS(Countries!$W$5:$W$434,Countries!$A$5:$A$434,"All landing pages",Countries!$B$5:$B$434,"Direct",Countries!$D$5:$D$434,$A343,Countries!$AD$5:$AD$434,"&gt;0")=0,"",SUMIFS(Countries!$AD$5:$AD$434,Countries!$A$5:$A$434,"All landing pages",Countries!$B$5:$B$434,"Direct",Countries!$D$5:$D$434,$A343,Countries!$W$5:$W$434,"&gt;0")/SUMIFS(Countries!$W$5:$W$434,Countries!$A$5:$A$434,"All landing pages",Countries!$B$5:$B$434,"Direct",Countries!$D$5:$D$434,$A343,Countries!$AD$5:$AD$434,"&gt;0"))</f>
        <v/>
      </c>
      <c r="K343" s="43">
        <f>IF(SUMIFS(Countries!$X$5:$X$434,Countries!$A$5:$A$434,"All landing pages",Countries!$B$5:$B$434,"Direct",Countries!$D$5:$D$434,$A343,Countries!$AE$5:$AE$434,"&gt;0")=0,"",SUMIFS(Countries!$AE$5:$AE$434,Countries!$A$5:$A$434,"All landing pages",Countries!$B$5:$B$434,"Direct",Countries!$D$5:$D$434,$A343,Countries!$X$5:$X$434,"&gt;0")/SUMIFS(Countries!$X$5:$X$434,Countries!$A$5:$A$434,"All landing pages",Countries!$B$5:$B$434,"Direct",Countries!$D$5:$D$434,$A343,Countries!$AE$5:$AE$434,"&gt;0"))</f>
        <v/>
      </c>
      <c r="L343" s="44">
        <f>IF(OR(J343="",K343=""),"",(K343-J343)*100)</f>
        <v/>
      </c>
      <c r="M343" s="73" t="n"/>
      <c r="N343" s="43">
        <f>IF(SUMIFS(Countries!$W$5:$W$434,Countries!$A$5:$A$434,"All landing pages",Countries!$D$5:$D$434,$A343,Countries!$AD$5:$AD$434,"&gt;0")=0,"",SUMIFS(Countries!$AD$5:$AD$434,Countries!$A$5:$A$434,"All landing pages",Countries!$D$5:$D$434,$A343,Countries!$W$5:$W$434,"&gt;0")/SUMIFS(Countries!$W$5:$W$434,Countries!$A$5:$A$434,"All landing pages",Countries!$D$5:$D$434,$A343,Countries!$AD$5:$AD$434,"&gt;0"))</f>
        <v/>
      </c>
      <c r="O343" s="43">
        <f>IF(SUMIFS(Countries!$X$5:$X$434,Countries!$A$5:$A$434,"All landing pages",Countries!$D$5:$D$434,$A343,Countries!$AE$5:$AE$434,"&gt;0")=0,"",SUMIFS(Countries!$AE$5:$AE$434,Countries!$A$5:$A$434,"All landing pages",Countries!$D$5:$D$434,$A343,Countries!$X$5:$X$434,"&gt;0")/SUMIFS(Countries!$X$5:$X$434,Countries!$A$5:$A$434,"All landing pages",Countries!$D$5:$D$434,$A343,Countries!$AE$5:$AE$434,"&gt;0"))</f>
        <v/>
      </c>
      <c r="P343" s="44">
        <f>IF(OR(N343="",O343=""),"",(O343-N343)*100)</f>
        <v/>
      </c>
      <c r="Q343" s="73" t="n"/>
    </row>
    <row r="346">
      <c r="A346" s="39" t="inlineStr">
        <is>
          <t>Begin checkout</t>
        </is>
      </c>
    </row>
    <row r="347">
      <c r="A347" s="75" t="inlineStr">
        <is>
          <t>Country</t>
        </is>
      </c>
      <c r="B347" s="31" t="inlineStr">
        <is>
          <t>Paid Search</t>
        </is>
      </c>
      <c r="C347" s="25" t="n"/>
      <c r="D347" s="25" t="n"/>
      <c r="E347" s="25" t="n"/>
      <c r="F347" s="31" t="inlineStr">
        <is>
          <t>Organic</t>
        </is>
      </c>
      <c r="G347" s="25" t="n"/>
      <c r="H347" s="25" t="n"/>
      <c r="I347" s="25" t="n"/>
      <c r="J347" s="31" t="inlineStr">
        <is>
          <t>Direct</t>
        </is>
      </c>
      <c r="K347" s="25" t="n"/>
      <c r="L347" s="25" t="n"/>
      <c r="M347" s="25" t="n"/>
      <c r="N347" s="27" t="inlineStr">
        <is>
          <t>Total</t>
        </is>
      </c>
      <c r="O347" s="17" t="n"/>
      <c r="P347" s="17" t="n"/>
      <c r="Q347" s="17" t="n"/>
    </row>
    <row r="348">
      <c r="A348" s="15" t="n"/>
      <c r="B348" s="27" t="inlineStr">
        <is>
          <t>1-23Aug25</t>
        </is>
      </c>
      <c r="C348" s="27" t="inlineStr">
        <is>
          <t>1-23Aug26</t>
        </is>
      </c>
      <c r="D348" s="27" t="inlineStr">
        <is>
          <t>Δ</t>
        </is>
      </c>
      <c r="E348" s="27" t="inlineStr">
        <is>
          <t>% Δ</t>
        </is>
      </c>
      <c r="F348" s="27" t="inlineStr">
        <is>
          <t>1-23Aug25</t>
        </is>
      </c>
      <c r="G348" s="27" t="inlineStr">
        <is>
          <t>1-23Aug26</t>
        </is>
      </c>
      <c r="H348" s="27" t="inlineStr">
        <is>
          <t>Δ</t>
        </is>
      </c>
      <c r="I348" s="27" t="inlineStr">
        <is>
          <t>% Δ</t>
        </is>
      </c>
      <c r="J348" s="27" t="inlineStr">
        <is>
          <t>1-23Aug25</t>
        </is>
      </c>
      <c r="K348" s="27" t="inlineStr">
        <is>
          <t>1-23Aug26</t>
        </is>
      </c>
      <c r="L348" s="27" t="inlineStr">
        <is>
          <t>Δ</t>
        </is>
      </c>
      <c r="M348" s="27" t="inlineStr">
        <is>
          <t>% Δ</t>
        </is>
      </c>
      <c r="N348" s="27" t="inlineStr">
        <is>
          <t>1-23Aug25</t>
        </is>
      </c>
      <c r="O348" s="27" t="inlineStr">
        <is>
          <t>1-23Aug26</t>
        </is>
      </c>
      <c r="P348" s="27" t="inlineStr">
        <is>
          <t>Δ</t>
        </is>
      </c>
      <c r="Q348" s="27" t="inlineStr">
        <is>
          <t>% Δ</t>
        </is>
      </c>
    </row>
    <row r="349">
      <c r="A349" s="40" t="inlineStr">
        <is>
          <t>United Kingdom</t>
        </is>
      </c>
      <c r="B349" s="41">
        <f>IF(SUMIFS(Countries!$AK$5:$AK$434,Countries!$A$5:$A$434,"All landing pages",Countries!$B$5:$B$434,"Paid Search",Countries!$D$5:$D$434,$A349)=0,"",SUMIFS(Countries!$AK$5:$AK$434,Countries!$A$5:$A$434,"All landing pages",Countries!$B$5:$B$434,"Paid Search",Countries!$D$5:$D$434,$A349))</f>
        <v/>
      </c>
      <c r="C349" s="41">
        <f>IF(SUMIFS(Countries!$AL$5:$AL$434,Countries!$A$5:$A$434,"All landing pages",Countries!$B$5:$B$434,"Paid Search",Countries!$D$5:$D$434,$A349)=0,"",SUMIFS(Countries!$AL$5:$AL$434,Countries!$A$5:$A$434,"All landing pages",Countries!$B$5:$B$434,"Paid Search",Countries!$D$5:$D$434,$A349))</f>
        <v/>
      </c>
      <c r="D349" s="69">
        <f>IF(OR(C349="",B349="",B349=0,C349=0),"",C349-B349)</f>
        <v/>
      </c>
      <c r="E349" s="42">
        <f>IF(OR(C349="",B349="",B349=0,C349=0),"",C349/B349-1)</f>
        <v/>
      </c>
      <c r="F349" s="41">
        <f>IF(SUMIFS(Countries!$AK$5:$AK$434,Countries!$A$5:$A$434,"All landing pages",Countries!$B$5:$B$434,"Organic",Countries!$D$5:$D$434,$A349)=0,"",SUMIFS(Countries!$AK$5:$AK$434,Countries!$A$5:$A$434,"All landing pages",Countries!$B$5:$B$434,"Organic",Countries!$D$5:$D$434,$A349))</f>
        <v/>
      </c>
      <c r="G349" s="41">
        <f>IF(SUMIFS(Countries!$AL$5:$AL$434,Countries!$A$5:$A$434,"All landing pages",Countries!$B$5:$B$434,"Organic",Countries!$D$5:$D$434,$A349)=0,"",SUMIFS(Countries!$AL$5:$AL$434,Countries!$A$5:$A$434,"All landing pages",Countries!$B$5:$B$434,"Organic",Countries!$D$5:$D$434,$A349))</f>
        <v/>
      </c>
      <c r="H349" s="69">
        <f>IF(OR(G349="",F349="",F349=0,G349=0),"",G349-F349)</f>
        <v/>
      </c>
      <c r="I349" s="42">
        <f>IF(OR(G349="",F349="",F349=0,G349=0),"",G349/F349-1)</f>
        <v/>
      </c>
      <c r="J349" s="41">
        <f>IF(SUMIFS(Countries!$AK$5:$AK$434,Countries!$A$5:$A$434,"All landing pages",Countries!$B$5:$B$434,"Direct",Countries!$D$5:$D$434,$A349)=0,"",SUMIFS(Countries!$AK$5:$AK$434,Countries!$A$5:$A$434,"All landing pages",Countries!$B$5:$B$434,"Direct",Countries!$D$5:$D$434,$A349))</f>
        <v/>
      </c>
      <c r="K349" s="41">
        <f>IF(SUMIFS(Countries!$AL$5:$AL$434,Countries!$A$5:$A$434,"All landing pages",Countries!$B$5:$B$434,"Direct",Countries!$D$5:$D$434,$A349)=0,"",SUMIFS(Countries!$AL$5:$AL$434,Countries!$A$5:$A$434,"All landing pages",Countries!$B$5:$B$434,"Direct",Countries!$D$5:$D$434,$A349))</f>
        <v/>
      </c>
      <c r="L349" s="69">
        <f>IF(OR(K349="",J349="",J349=0,K349=0),"",K349-J349)</f>
        <v/>
      </c>
      <c r="M349" s="42">
        <f>IF(OR(K349="",J349="",J349=0,K349=0),"",K349/J349-1)</f>
        <v/>
      </c>
      <c r="N349" s="41">
        <f>IF(SUM(B349,F349,J349)=0,"",SUM(B349,F349,J349))</f>
        <v/>
      </c>
      <c r="O349" s="41">
        <f>IF(SUM(C349,G349,K349)=0,"",SUM(C349,G349,K349))</f>
        <v/>
      </c>
      <c r="P349" s="69">
        <f>IF(OR(O349="",N349="",N349=0,O349=0),"",O349-N349)</f>
        <v/>
      </c>
      <c r="Q349" s="42">
        <f>IF(OR(O349="",N349="",N349=0,O349=0),"",O349/N349-1)</f>
        <v/>
      </c>
    </row>
    <row r="350">
      <c r="A350" s="56" t="inlineStr">
        <is>
          <t>Germany</t>
        </is>
      </c>
      <c r="B350" s="41">
        <f>IF(SUMIFS(Countries!$AK$5:$AK$434,Countries!$A$5:$A$434,"All landing pages",Countries!$B$5:$B$434,"Paid Search",Countries!$D$5:$D$434,$A350)=0,"",SUMIFS(Countries!$AK$5:$AK$434,Countries!$A$5:$A$434,"All landing pages",Countries!$B$5:$B$434,"Paid Search",Countries!$D$5:$D$434,$A350))</f>
        <v/>
      </c>
      <c r="C350" s="41">
        <f>IF(SUMIFS(Countries!$AL$5:$AL$434,Countries!$A$5:$A$434,"All landing pages",Countries!$B$5:$B$434,"Paid Search",Countries!$D$5:$D$434,$A350)=0,"",SUMIFS(Countries!$AL$5:$AL$434,Countries!$A$5:$A$434,"All landing pages",Countries!$B$5:$B$434,"Paid Search",Countries!$D$5:$D$434,$A350))</f>
        <v/>
      </c>
      <c r="D350" s="69">
        <f>IF(OR(C350="",B350="",B350=0,C350=0),"",C350-B350)</f>
        <v/>
      </c>
      <c r="E350" s="42">
        <f>IF(OR(C350="",B350="",B350=0,C350=0),"",C350/B350-1)</f>
        <v/>
      </c>
      <c r="F350" s="41">
        <f>IF(SUMIFS(Countries!$AK$5:$AK$434,Countries!$A$5:$A$434,"All landing pages",Countries!$B$5:$B$434,"Organic",Countries!$D$5:$D$434,$A350)=0,"",SUMIFS(Countries!$AK$5:$AK$434,Countries!$A$5:$A$434,"All landing pages",Countries!$B$5:$B$434,"Organic",Countries!$D$5:$D$434,$A350))</f>
        <v/>
      </c>
      <c r="G350" s="41">
        <f>IF(SUMIFS(Countries!$AL$5:$AL$434,Countries!$A$5:$A$434,"All landing pages",Countries!$B$5:$B$434,"Organic",Countries!$D$5:$D$434,$A350)=0,"",SUMIFS(Countries!$AL$5:$AL$434,Countries!$A$5:$A$434,"All landing pages",Countries!$B$5:$B$434,"Organic",Countries!$D$5:$D$434,$A350))</f>
        <v/>
      </c>
      <c r="H350" s="69">
        <f>IF(OR(G350="",F350="",F350=0,G350=0),"",G350-F350)</f>
        <v/>
      </c>
      <c r="I350" s="42">
        <f>IF(OR(G350="",F350="",F350=0,G350=0),"",G350/F350-1)</f>
        <v/>
      </c>
      <c r="J350" s="41">
        <f>IF(SUMIFS(Countries!$AK$5:$AK$434,Countries!$A$5:$A$434,"All landing pages",Countries!$B$5:$B$434,"Direct",Countries!$D$5:$D$434,$A350)=0,"",SUMIFS(Countries!$AK$5:$AK$434,Countries!$A$5:$A$434,"All landing pages",Countries!$B$5:$B$434,"Direct",Countries!$D$5:$D$434,$A350))</f>
        <v/>
      </c>
      <c r="K350" s="41">
        <f>IF(SUMIFS(Countries!$AL$5:$AL$434,Countries!$A$5:$A$434,"All landing pages",Countries!$B$5:$B$434,"Direct",Countries!$D$5:$D$434,$A350)=0,"",SUMIFS(Countries!$AL$5:$AL$434,Countries!$A$5:$A$434,"All landing pages",Countries!$B$5:$B$434,"Direct",Countries!$D$5:$D$434,$A350))</f>
        <v/>
      </c>
      <c r="L350" s="69">
        <f>IF(OR(K350="",J350="",J350=0,K350=0),"",K350-J350)</f>
        <v/>
      </c>
      <c r="M350" s="42">
        <f>IF(OR(K350="",J350="",J350=0,K350=0),"",K350/J350-1)</f>
        <v/>
      </c>
      <c r="N350" s="41">
        <f>IF(SUM(B350,F350,J350)=0,"",SUM(B350,F350,J350))</f>
        <v/>
      </c>
      <c r="O350" s="41">
        <f>IF(SUM(C350,G350,K350)=0,"",SUM(C350,G350,K350))</f>
        <v/>
      </c>
      <c r="P350" s="69">
        <f>IF(OR(O350="",N350="",N350=0,O350=0),"",O350-N350)</f>
        <v/>
      </c>
      <c r="Q350" s="42">
        <f>IF(OR(O350="",N350="",N350=0,O350=0),"",O350/N350-1)</f>
        <v/>
      </c>
    </row>
    <row r="351">
      <c r="A351" s="40" t="inlineStr">
        <is>
          <t>Italy</t>
        </is>
      </c>
      <c r="B351" s="41">
        <f>IF(SUMIFS(Countries!$AK$5:$AK$434,Countries!$A$5:$A$434,"All landing pages",Countries!$B$5:$B$434,"Paid Search",Countries!$D$5:$D$434,$A351)=0,"",SUMIFS(Countries!$AK$5:$AK$434,Countries!$A$5:$A$434,"All landing pages",Countries!$B$5:$B$434,"Paid Search",Countries!$D$5:$D$434,$A351))</f>
        <v/>
      </c>
      <c r="C351" s="41">
        <f>IF(SUMIFS(Countries!$AL$5:$AL$434,Countries!$A$5:$A$434,"All landing pages",Countries!$B$5:$B$434,"Paid Search",Countries!$D$5:$D$434,$A351)=0,"",SUMIFS(Countries!$AL$5:$AL$434,Countries!$A$5:$A$434,"All landing pages",Countries!$B$5:$B$434,"Paid Search",Countries!$D$5:$D$434,$A351))</f>
        <v/>
      </c>
      <c r="D351" s="69">
        <f>IF(OR(C351="",B351="",B351=0,C351=0),"",C351-B351)</f>
        <v/>
      </c>
      <c r="E351" s="42">
        <f>IF(OR(C351="",B351="",B351=0,C351=0),"",C351/B351-1)</f>
        <v/>
      </c>
      <c r="F351" s="41">
        <f>IF(SUMIFS(Countries!$AK$5:$AK$434,Countries!$A$5:$A$434,"All landing pages",Countries!$B$5:$B$434,"Organic",Countries!$D$5:$D$434,$A351)=0,"",SUMIFS(Countries!$AK$5:$AK$434,Countries!$A$5:$A$434,"All landing pages",Countries!$B$5:$B$434,"Organic",Countries!$D$5:$D$434,$A351))</f>
        <v/>
      </c>
      <c r="G351" s="41">
        <f>IF(SUMIFS(Countries!$AL$5:$AL$434,Countries!$A$5:$A$434,"All landing pages",Countries!$B$5:$B$434,"Organic",Countries!$D$5:$D$434,$A351)=0,"",SUMIFS(Countries!$AL$5:$AL$434,Countries!$A$5:$A$434,"All landing pages",Countries!$B$5:$B$434,"Organic",Countries!$D$5:$D$434,$A351))</f>
        <v/>
      </c>
      <c r="H351" s="69">
        <f>IF(OR(G351="",F351="",F351=0,G351=0),"",G351-F351)</f>
        <v/>
      </c>
      <c r="I351" s="42">
        <f>IF(OR(G351="",F351="",F351=0,G351=0),"",G351/F351-1)</f>
        <v/>
      </c>
      <c r="J351" s="41">
        <f>IF(SUMIFS(Countries!$AK$5:$AK$434,Countries!$A$5:$A$434,"All landing pages",Countries!$B$5:$B$434,"Direct",Countries!$D$5:$D$434,$A351)=0,"",SUMIFS(Countries!$AK$5:$AK$434,Countries!$A$5:$A$434,"All landing pages",Countries!$B$5:$B$434,"Direct",Countries!$D$5:$D$434,$A351))</f>
        <v/>
      </c>
      <c r="K351" s="41">
        <f>IF(SUMIFS(Countries!$AL$5:$AL$434,Countries!$A$5:$A$434,"All landing pages",Countries!$B$5:$B$434,"Direct",Countries!$D$5:$D$434,$A351)=0,"",SUMIFS(Countries!$AL$5:$AL$434,Countries!$A$5:$A$434,"All landing pages",Countries!$B$5:$B$434,"Direct",Countries!$D$5:$D$434,$A351))</f>
        <v/>
      </c>
      <c r="L351" s="69">
        <f>IF(OR(K351="",J351="",J351=0,K351=0),"",K351-J351)</f>
        <v/>
      </c>
      <c r="M351" s="42">
        <f>IF(OR(K351="",J351="",J351=0,K351=0),"",K351/J351-1)</f>
        <v/>
      </c>
      <c r="N351" s="41">
        <f>IF(SUM(B351,F351,J351)=0,"",SUM(B351,F351,J351))</f>
        <v/>
      </c>
      <c r="O351" s="41">
        <f>IF(SUM(C351,G351,K351)=0,"",SUM(C351,G351,K351))</f>
        <v/>
      </c>
      <c r="P351" s="69">
        <f>IF(OR(O351="",N351="",N351=0,O351=0),"",O351-N351)</f>
        <v/>
      </c>
      <c r="Q351" s="42">
        <f>IF(OR(O351="",N351="",N351=0,O351=0),"",O351/N351-1)</f>
        <v/>
      </c>
    </row>
    <row r="352">
      <c r="A352" s="56" t="inlineStr">
        <is>
          <t>Spain</t>
        </is>
      </c>
      <c r="B352" s="41">
        <f>IF(SUMIFS(Countries!$AK$5:$AK$434,Countries!$A$5:$A$434,"All landing pages",Countries!$B$5:$B$434,"Paid Search",Countries!$D$5:$D$434,$A352)=0,"",SUMIFS(Countries!$AK$5:$AK$434,Countries!$A$5:$A$434,"All landing pages",Countries!$B$5:$B$434,"Paid Search",Countries!$D$5:$D$434,$A352))</f>
        <v/>
      </c>
      <c r="C352" s="41">
        <f>IF(SUMIFS(Countries!$AL$5:$AL$434,Countries!$A$5:$A$434,"All landing pages",Countries!$B$5:$B$434,"Paid Search",Countries!$D$5:$D$434,$A352)=0,"",SUMIFS(Countries!$AL$5:$AL$434,Countries!$A$5:$A$434,"All landing pages",Countries!$B$5:$B$434,"Paid Search",Countries!$D$5:$D$434,$A352))</f>
        <v/>
      </c>
      <c r="D352" s="69">
        <f>IF(OR(C352="",B352="",B352=0,C352=0),"",C352-B352)</f>
        <v/>
      </c>
      <c r="E352" s="42">
        <f>IF(OR(C352="",B352="",B352=0,C352=0),"",C352/B352-1)</f>
        <v/>
      </c>
      <c r="F352" s="41">
        <f>IF(SUMIFS(Countries!$AK$5:$AK$434,Countries!$A$5:$A$434,"All landing pages",Countries!$B$5:$B$434,"Organic",Countries!$D$5:$D$434,$A352)=0,"",SUMIFS(Countries!$AK$5:$AK$434,Countries!$A$5:$A$434,"All landing pages",Countries!$B$5:$B$434,"Organic",Countries!$D$5:$D$434,$A352))</f>
        <v/>
      </c>
      <c r="G352" s="41">
        <f>IF(SUMIFS(Countries!$AL$5:$AL$434,Countries!$A$5:$A$434,"All landing pages",Countries!$B$5:$B$434,"Organic",Countries!$D$5:$D$434,$A352)=0,"",SUMIFS(Countries!$AL$5:$AL$434,Countries!$A$5:$A$434,"All landing pages",Countries!$B$5:$B$434,"Organic",Countries!$D$5:$D$434,$A352))</f>
        <v/>
      </c>
      <c r="H352" s="69">
        <f>IF(OR(G352="",F352="",F352=0,G352=0),"",G352-F352)</f>
        <v/>
      </c>
      <c r="I352" s="42">
        <f>IF(OR(G352="",F352="",F352=0,G352=0),"",G352/F352-1)</f>
        <v/>
      </c>
      <c r="J352" s="41">
        <f>IF(SUMIFS(Countries!$AK$5:$AK$434,Countries!$A$5:$A$434,"All landing pages",Countries!$B$5:$B$434,"Direct",Countries!$D$5:$D$434,$A352)=0,"",SUMIFS(Countries!$AK$5:$AK$434,Countries!$A$5:$A$434,"All landing pages",Countries!$B$5:$B$434,"Direct",Countries!$D$5:$D$434,$A352))</f>
        <v/>
      </c>
      <c r="K352" s="41">
        <f>IF(SUMIFS(Countries!$AL$5:$AL$434,Countries!$A$5:$A$434,"All landing pages",Countries!$B$5:$B$434,"Direct",Countries!$D$5:$D$434,$A352)=0,"",SUMIFS(Countries!$AL$5:$AL$434,Countries!$A$5:$A$434,"All landing pages",Countries!$B$5:$B$434,"Direct",Countries!$D$5:$D$434,$A352))</f>
        <v/>
      </c>
      <c r="L352" s="69">
        <f>IF(OR(K352="",J352="",J352=0,K352=0),"",K352-J352)</f>
        <v/>
      </c>
      <c r="M352" s="42">
        <f>IF(OR(K352="",J352="",J352=0,K352=0),"",K352/J352-1)</f>
        <v/>
      </c>
      <c r="N352" s="41">
        <f>IF(SUM(B352,F352,J352)=0,"",SUM(B352,F352,J352))</f>
        <v/>
      </c>
      <c r="O352" s="41">
        <f>IF(SUM(C352,G352,K352)=0,"",SUM(C352,G352,K352))</f>
        <v/>
      </c>
      <c r="P352" s="69">
        <f>IF(OR(O352="",N352="",N352=0,O352=0),"",O352-N352)</f>
        <v/>
      </c>
      <c r="Q352" s="42">
        <f>IF(OR(O352="",N352="",N352=0,O352=0),"",O352/N352-1)</f>
        <v/>
      </c>
    </row>
    <row r="353">
      <c r="A353" s="40" t="inlineStr">
        <is>
          <t>Ireland</t>
        </is>
      </c>
      <c r="B353" s="41">
        <f>IF(SUMIFS(Countries!$AK$5:$AK$434,Countries!$A$5:$A$434,"All landing pages",Countries!$B$5:$B$434,"Paid Search",Countries!$D$5:$D$434,$A353)=0,"",SUMIFS(Countries!$AK$5:$AK$434,Countries!$A$5:$A$434,"All landing pages",Countries!$B$5:$B$434,"Paid Search",Countries!$D$5:$D$434,$A353))</f>
        <v/>
      </c>
      <c r="C353" s="41">
        <f>IF(SUMIFS(Countries!$AL$5:$AL$434,Countries!$A$5:$A$434,"All landing pages",Countries!$B$5:$B$434,"Paid Search",Countries!$D$5:$D$434,$A353)=0,"",SUMIFS(Countries!$AL$5:$AL$434,Countries!$A$5:$A$434,"All landing pages",Countries!$B$5:$B$434,"Paid Search",Countries!$D$5:$D$434,$A353))</f>
        <v/>
      </c>
      <c r="D353" s="69">
        <f>IF(OR(C353="",B353="",B353=0,C353=0),"",C353-B353)</f>
        <v/>
      </c>
      <c r="E353" s="42">
        <f>IF(OR(C353="",B353="",B353=0,C353=0),"",C353/B353-1)</f>
        <v/>
      </c>
      <c r="F353" s="41">
        <f>IF(SUMIFS(Countries!$AK$5:$AK$434,Countries!$A$5:$A$434,"All landing pages",Countries!$B$5:$B$434,"Organic",Countries!$D$5:$D$434,$A353)=0,"",SUMIFS(Countries!$AK$5:$AK$434,Countries!$A$5:$A$434,"All landing pages",Countries!$B$5:$B$434,"Organic",Countries!$D$5:$D$434,$A353))</f>
        <v/>
      </c>
      <c r="G353" s="41">
        <f>IF(SUMIFS(Countries!$AL$5:$AL$434,Countries!$A$5:$A$434,"All landing pages",Countries!$B$5:$B$434,"Organic",Countries!$D$5:$D$434,$A353)=0,"",SUMIFS(Countries!$AL$5:$AL$434,Countries!$A$5:$A$434,"All landing pages",Countries!$B$5:$B$434,"Organic",Countries!$D$5:$D$434,$A353))</f>
        <v/>
      </c>
      <c r="H353" s="69">
        <f>IF(OR(G353="",F353="",F353=0,G353=0),"",G353-F353)</f>
        <v/>
      </c>
      <c r="I353" s="42">
        <f>IF(OR(G353="",F353="",F353=0,G353=0),"",G353/F353-1)</f>
        <v/>
      </c>
      <c r="J353" s="41">
        <f>IF(SUMIFS(Countries!$AK$5:$AK$434,Countries!$A$5:$A$434,"All landing pages",Countries!$B$5:$B$434,"Direct",Countries!$D$5:$D$434,$A353)=0,"",SUMIFS(Countries!$AK$5:$AK$434,Countries!$A$5:$A$434,"All landing pages",Countries!$B$5:$B$434,"Direct",Countries!$D$5:$D$434,$A353))</f>
        <v/>
      </c>
      <c r="K353" s="41">
        <f>IF(SUMIFS(Countries!$AL$5:$AL$434,Countries!$A$5:$A$434,"All landing pages",Countries!$B$5:$B$434,"Direct",Countries!$D$5:$D$434,$A353)=0,"",SUMIFS(Countries!$AL$5:$AL$434,Countries!$A$5:$A$434,"All landing pages",Countries!$B$5:$B$434,"Direct",Countries!$D$5:$D$434,$A353))</f>
        <v/>
      </c>
      <c r="L353" s="69">
        <f>IF(OR(K353="",J353="",J353=0,K353=0),"",K353-J353)</f>
        <v/>
      </c>
      <c r="M353" s="42">
        <f>IF(OR(K353="",J353="",J353=0,K353=0),"",K353/J353-1)</f>
        <v/>
      </c>
      <c r="N353" s="41">
        <f>IF(SUM(B353,F353,J353)=0,"",SUM(B353,F353,J353))</f>
        <v/>
      </c>
      <c r="O353" s="41">
        <f>IF(SUM(C353,G353,K353)=0,"",SUM(C353,G353,K353))</f>
        <v/>
      </c>
      <c r="P353" s="69">
        <f>IF(OR(O353="",N353="",N353=0,O353=0),"",O353-N353)</f>
        <v/>
      </c>
      <c r="Q353" s="42">
        <f>IF(OR(O353="",N353="",N353=0,O353=0),"",O353/N353-1)</f>
        <v/>
      </c>
    </row>
    <row r="354">
      <c r="A354" s="56" t="inlineStr">
        <is>
          <t>Netherlands</t>
        </is>
      </c>
      <c r="B354" s="41">
        <f>IF(SUMIFS(Countries!$AK$5:$AK$434,Countries!$A$5:$A$434,"All landing pages",Countries!$B$5:$B$434,"Paid Search",Countries!$D$5:$D$434,$A354)=0,"",SUMIFS(Countries!$AK$5:$AK$434,Countries!$A$5:$A$434,"All landing pages",Countries!$B$5:$B$434,"Paid Search",Countries!$D$5:$D$434,$A354))</f>
        <v/>
      </c>
      <c r="C354" s="41">
        <f>IF(SUMIFS(Countries!$AL$5:$AL$434,Countries!$A$5:$A$434,"All landing pages",Countries!$B$5:$B$434,"Paid Search",Countries!$D$5:$D$434,$A354)=0,"",SUMIFS(Countries!$AL$5:$AL$434,Countries!$A$5:$A$434,"All landing pages",Countries!$B$5:$B$434,"Paid Search",Countries!$D$5:$D$434,$A354))</f>
        <v/>
      </c>
      <c r="D354" s="69">
        <f>IF(OR(C354="",B354="",B354=0,C354=0),"",C354-B354)</f>
        <v/>
      </c>
      <c r="E354" s="42">
        <f>IF(OR(C354="",B354="",B354=0,C354=0),"",C354/B354-1)</f>
        <v/>
      </c>
      <c r="F354" s="41">
        <f>IF(SUMIFS(Countries!$AK$5:$AK$434,Countries!$A$5:$A$434,"All landing pages",Countries!$B$5:$B$434,"Organic",Countries!$D$5:$D$434,$A354)=0,"",SUMIFS(Countries!$AK$5:$AK$434,Countries!$A$5:$A$434,"All landing pages",Countries!$B$5:$B$434,"Organic",Countries!$D$5:$D$434,$A354))</f>
        <v/>
      </c>
      <c r="G354" s="41">
        <f>IF(SUMIFS(Countries!$AL$5:$AL$434,Countries!$A$5:$A$434,"All landing pages",Countries!$B$5:$B$434,"Organic",Countries!$D$5:$D$434,$A354)=0,"",SUMIFS(Countries!$AL$5:$AL$434,Countries!$A$5:$A$434,"All landing pages",Countries!$B$5:$B$434,"Organic",Countries!$D$5:$D$434,$A354))</f>
        <v/>
      </c>
      <c r="H354" s="69">
        <f>IF(OR(G354="",F354="",F354=0,G354=0),"",G354-F354)</f>
        <v/>
      </c>
      <c r="I354" s="42">
        <f>IF(OR(G354="",F354="",F354=0,G354=0),"",G354/F354-1)</f>
        <v/>
      </c>
      <c r="J354" s="41">
        <f>IF(SUMIFS(Countries!$AK$5:$AK$434,Countries!$A$5:$A$434,"All landing pages",Countries!$B$5:$B$434,"Direct",Countries!$D$5:$D$434,$A354)=0,"",SUMIFS(Countries!$AK$5:$AK$434,Countries!$A$5:$A$434,"All landing pages",Countries!$B$5:$B$434,"Direct",Countries!$D$5:$D$434,$A354))</f>
        <v/>
      </c>
      <c r="K354" s="41">
        <f>IF(SUMIFS(Countries!$AL$5:$AL$434,Countries!$A$5:$A$434,"All landing pages",Countries!$B$5:$B$434,"Direct",Countries!$D$5:$D$434,$A354)=0,"",SUMIFS(Countries!$AL$5:$AL$434,Countries!$A$5:$A$434,"All landing pages",Countries!$B$5:$B$434,"Direct",Countries!$D$5:$D$434,$A354))</f>
        <v/>
      </c>
      <c r="L354" s="69">
        <f>IF(OR(K354="",J354="",J354=0,K354=0),"",K354-J354)</f>
        <v/>
      </c>
      <c r="M354" s="42">
        <f>IF(OR(K354="",J354="",J354=0,K354=0),"",K354/J354-1)</f>
        <v/>
      </c>
      <c r="N354" s="41">
        <f>IF(SUM(B354,F354,J354)=0,"",SUM(B354,F354,J354))</f>
        <v/>
      </c>
      <c r="O354" s="41">
        <f>IF(SUM(C354,G354,K354)=0,"",SUM(C354,G354,K354))</f>
        <v/>
      </c>
      <c r="P354" s="69">
        <f>IF(OR(O354="",N354="",N354=0,O354=0),"",O354-N354)</f>
        <v/>
      </c>
      <c r="Q354" s="42">
        <f>IF(OR(O354="",N354="",N354=0,O354=0),"",O354/N354-1)</f>
        <v/>
      </c>
    </row>
    <row r="355">
      <c r="A355" s="40" t="inlineStr">
        <is>
          <t>France</t>
        </is>
      </c>
      <c r="B355" s="41">
        <f>IF(SUMIFS(Countries!$AK$5:$AK$434,Countries!$A$5:$A$434,"All landing pages",Countries!$B$5:$B$434,"Paid Search",Countries!$D$5:$D$434,$A355)=0,"",SUMIFS(Countries!$AK$5:$AK$434,Countries!$A$5:$A$434,"All landing pages",Countries!$B$5:$B$434,"Paid Search",Countries!$D$5:$D$434,$A355))</f>
        <v/>
      </c>
      <c r="C355" s="41">
        <f>IF(SUMIFS(Countries!$AL$5:$AL$434,Countries!$A$5:$A$434,"All landing pages",Countries!$B$5:$B$434,"Paid Search",Countries!$D$5:$D$434,$A355)=0,"",SUMIFS(Countries!$AL$5:$AL$434,Countries!$A$5:$A$434,"All landing pages",Countries!$B$5:$B$434,"Paid Search",Countries!$D$5:$D$434,$A355))</f>
        <v/>
      </c>
      <c r="D355" s="69">
        <f>IF(OR(C355="",B355="",B355=0,C355=0),"",C355-B355)</f>
        <v/>
      </c>
      <c r="E355" s="42">
        <f>IF(OR(C355="",B355="",B355=0,C355=0),"",C355/B355-1)</f>
        <v/>
      </c>
      <c r="F355" s="41">
        <f>IF(SUMIFS(Countries!$AK$5:$AK$434,Countries!$A$5:$A$434,"All landing pages",Countries!$B$5:$B$434,"Organic",Countries!$D$5:$D$434,$A355)=0,"",SUMIFS(Countries!$AK$5:$AK$434,Countries!$A$5:$A$434,"All landing pages",Countries!$B$5:$B$434,"Organic",Countries!$D$5:$D$434,$A355))</f>
        <v/>
      </c>
      <c r="G355" s="41">
        <f>IF(SUMIFS(Countries!$AL$5:$AL$434,Countries!$A$5:$A$434,"All landing pages",Countries!$B$5:$B$434,"Organic",Countries!$D$5:$D$434,$A355)=0,"",SUMIFS(Countries!$AL$5:$AL$434,Countries!$A$5:$A$434,"All landing pages",Countries!$B$5:$B$434,"Organic",Countries!$D$5:$D$434,$A355))</f>
        <v/>
      </c>
      <c r="H355" s="69">
        <f>IF(OR(G355="",F355="",F355=0,G355=0),"",G355-F355)</f>
        <v/>
      </c>
      <c r="I355" s="42">
        <f>IF(OR(G355="",F355="",F355=0,G355=0),"",G355/F355-1)</f>
        <v/>
      </c>
      <c r="J355" s="41">
        <f>IF(SUMIFS(Countries!$AK$5:$AK$434,Countries!$A$5:$A$434,"All landing pages",Countries!$B$5:$B$434,"Direct",Countries!$D$5:$D$434,$A355)=0,"",SUMIFS(Countries!$AK$5:$AK$434,Countries!$A$5:$A$434,"All landing pages",Countries!$B$5:$B$434,"Direct",Countries!$D$5:$D$434,$A355))</f>
        <v/>
      </c>
      <c r="K355" s="41">
        <f>IF(SUMIFS(Countries!$AL$5:$AL$434,Countries!$A$5:$A$434,"All landing pages",Countries!$B$5:$B$434,"Direct",Countries!$D$5:$D$434,$A355)=0,"",SUMIFS(Countries!$AL$5:$AL$434,Countries!$A$5:$A$434,"All landing pages",Countries!$B$5:$B$434,"Direct",Countries!$D$5:$D$434,$A355))</f>
        <v/>
      </c>
      <c r="L355" s="69">
        <f>IF(OR(K355="",J355="",J355=0,K355=0),"",K355-J355)</f>
        <v/>
      </c>
      <c r="M355" s="42">
        <f>IF(OR(K355="",J355="",J355=0,K355=0),"",K355/J355-1)</f>
        <v/>
      </c>
      <c r="N355" s="41">
        <f>IF(SUM(B355,F355,J355)=0,"",SUM(B355,F355,J355))</f>
        <v/>
      </c>
      <c r="O355" s="41">
        <f>IF(SUM(C355,G355,K355)=0,"",SUM(C355,G355,K355))</f>
        <v/>
      </c>
      <c r="P355" s="69">
        <f>IF(OR(O355="",N355="",N355=0,O355=0),"",O355-N355)</f>
        <v/>
      </c>
      <c r="Q355" s="42">
        <f>IF(OR(O355="",N355="",N355=0,O355=0),"",O355/N355-1)</f>
        <v/>
      </c>
    </row>
    <row r="356">
      <c r="A356" s="56" t="inlineStr">
        <is>
          <t>Poland</t>
        </is>
      </c>
      <c r="B356" s="41">
        <f>IF(SUMIFS(Countries!$AK$5:$AK$434,Countries!$A$5:$A$434,"All landing pages",Countries!$B$5:$B$434,"Paid Search",Countries!$D$5:$D$434,$A356)=0,"",SUMIFS(Countries!$AK$5:$AK$434,Countries!$A$5:$A$434,"All landing pages",Countries!$B$5:$B$434,"Paid Search",Countries!$D$5:$D$434,$A356))</f>
        <v/>
      </c>
      <c r="C356" s="41">
        <f>IF(SUMIFS(Countries!$AL$5:$AL$434,Countries!$A$5:$A$434,"All landing pages",Countries!$B$5:$B$434,"Paid Search",Countries!$D$5:$D$434,$A356)=0,"",SUMIFS(Countries!$AL$5:$AL$434,Countries!$A$5:$A$434,"All landing pages",Countries!$B$5:$B$434,"Paid Search",Countries!$D$5:$D$434,$A356))</f>
        <v/>
      </c>
      <c r="D356" s="69">
        <f>IF(OR(C356="",B356="",B356=0,C356=0),"",C356-B356)</f>
        <v/>
      </c>
      <c r="E356" s="42">
        <f>IF(OR(C356="",B356="",B356=0,C356=0),"",C356/B356-1)</f>
        <v/>
      </c>
      <c r="F356" s="41">
        <f>IF(SUMIFS(Countries!$AK$5:$AK$434,Countries!$A$5:$A$434,"All landing pages",Countries!$B$5:$B$434,"Organic",Countries!$D$5:$D$434,$A356)=0,"",SUMIFS(Countries!$AK$5:$AK$434,Countries!$A$5:$A$434,"All landing pages",Countries!$B$5:$B$434,"Organic",Countries!$D$5:$D$434,$A356))</f>
        <v/>
      </c>
      <c r="G356" s="41">
        <f>IF(SUMIFS(Countries!$AL$5:$AL$434,Countries!$A$5:$A$434,"All landing pages",Countries!$B$5:$B$434,"Organic",Countries!$D$5:$D$434,$A356)=0,"",SUMIFS(Countries!$AL$5:$AL$434,Countries!$A$5:$A$434,"All landing pages",Countries!$B$5:$B$434,"Organic",Countries!$D$5:$D$434,$A356))</f>
        <v/>
      </c>
      <c r="H356" s="69">
        <f>IF(OR(G356="",F356="",F356=0,G356=0),"",G356-F356)</f>
        <v/>
      </c>
      <c r="I356" s="42">
        <f>IF(OR(G356="",F356="",F356=0,G356=0),"",G356/F356-1)</f>
        <v/>
      </c>
      <c r="J356" s="41">
        <f>IF(SUMIFS(Countries!$AK$5:$AK$434,Countries!$A$5:$A$434,"All landing pages",Countries!$B$5:$B$434,"Direct",Countries!$D$5:$D$434,$A356)=0,"",SUMIFS(Countries!$AK$5:$AK$434,Countries!$A$5:$A$434,"All landing pages",Countries!$B$5:$B$434,"Direct",Countries!$D$5:$D$434,$A356))</f>
        <v/>
      </c>
      <c r="K356" s="41">
        <f>IF(SUMIFS(Countries!$AL$5:$AL$434,Countries!$A$5:$A$434,"All landing pages",Countries!$B$5:$B$434,"Direct",Countries!$D$5:$D$434,$A356)=0,"",SUMIFS(Countries!$AL$5:$AL$434,Countries!$A$5:$A$434,"All landing pages",Countries!$B$5:$B$434,"Direct",Countries!$D$5:$D$434,$A356))</f>
        <v/>
      </c>
      <c r="L356" s="69">
        <f>IF(OR(K356="",J356="",J356=0,K356=0),"",K356-J356)</f>
        <v/>
      </c>
      <c r="M356" s="42">
        <f>IF(OR(K356="",J356="",J356=0,K356=0),"",K356/J356-1)</f>
        <v/>
      </c>
      <c r="N356" s="41">
        <f>IF(SUM(B356,F356,J356)=0,"",SUM(B356,F356,J356))</f>
        <v/>
      </c>
      <c r="O356" s="41">
        <f>IF(SUM(C356,G356,K356)=0,"",SUM(C356,G356,K356))</f>
        <v/>
      </c>
      <c r="P356" s="69">
        <f>IF(OR(O356="",N356="",N356=0,O356=0),"",O356-N356)</f>
        <v/>
      </c>
      <c r="Q356" s="42">
        <f>IF(OR(O356="",N356="",N356=0,O356=0),"",O356/N356-1)</f>
        <v/>
      </c>
    </row>
    <row r="357">
      <c r="A357" s="40" t="inlineStr">
        <is>
          <t>United States</t>
        </is>
      </c>
      <c r="B357" s="41">
        <f>IF(SUMIFS(Countries!$AK$5:$AK$434,Countries!$A$5:$A$434,"All landing pages",Countries!$B$5:$B$434,"Paid Search",Countries!$D$5:$D$434,$A357)=0,"",SUMIFS(Countries!$AK$5:$AK$434,Countries!$A$5:$A$434,"All landing pages",Countries!$B$5:$B$434,"Paid Search",Countries!$D$5:$D$434,$A357))</f>
        <v/>
      </c>
      <c r="C357" s="41">
        <f>IF(SUMIFS(Countries!$AL$5:$AL$434,Countries!$A$5:$A$434,"All landing pages",Countries!$B$5:$B$434,"Paid Search",Countries!$D$5:$D$434,$A357)=0,"",SUMIFS(Countries!$AL$5:$AL$434,Countries!$A$5:$A$434,"All landing pages",Countries!$B$5:$B$434,"Paid Search",Countries!$D$5:$D$434,$A357))</f>
        <v/>
      </c>
      <c r="D357" s="69">
        <f>IF(OR(C357="",B357="",B357=0,C357=0),"",C357-B357)</f>
        <v/>
      </c>
      <c r="E357" s="42">
        <f>IF(OR(C357="",B357="",B357=0,C357=0),"",C357/B357-1)</f>
        <v/>
      </c>
      <c r="F357" s="41">
        <f>IF(SUMIFS(Countries!$AK$5:$AK$434,Countries!$A$5:$A$434,"All landing pages",Countries!$B$5:$B$434,"Organic",Countries!$D$5:$D$434,$A357)=0,"",SUMIFS(Countries!$AK$5:$AK$434,Countries!$A$5:$A$434,"All landing pages",Countries!$B$5:$B$434,"Organic",Countries!$D$5:$D$434,$A357))</f>
        <v/>
      </c>
      <c r="G357" s="41">
        <f>IF(SUMIFS(Countries!$AL$5:$AL$434,Countries!$A$5:$A$434,"All landing pages",Countries!$B$5:$B$434,"Organic",Countries!$D$5:$D$434,$A357)=0,"",SUMIFS(Countries!$AL$5:$AL$434,Countries!$A$5:$A$434,"All landing pages",Countries!$B$5:$B$434,"Organic",Countries!$D$5:$D$434,$A357))</f>
        <v/>
      </c>
      <c r="H357" s="69">
        <f>IF(OR(G357="",F357="",F357=0,G357=0),"",G357-F357)</f>
        <v/>
      </c>
      <c r="I357" s="42">
        <f>IF(OR(G357="",F357="",F357=0,G357=0),"",G357/F357-1)</f>
        <v/>
      </c>
      <c r="J357" s="41">
        <f>IF(SUMIFS(Countries!$AK$5:$AK$434,Countries!$A$5:$A$434,"All landing pages",Countries!$B$5:$B$434,"Direct",Countries!$D$5:$D$434,$A357)=0,"",SUMIFS(Countries!$AK$5:$AK$434,Countries!$A$5:$A$434,"All landing pages",Countries!$B$5:$B$434,"Direct",Countries!$D$5:$D$434,$A357))</f>
        <v/>
      </c>
      <c r="K357" s="41">
        <f>IF(SUMIFS(Countries!$AL$5:$AL$434,Countries!$A$5:$A$434,"All landing pages",Countries!$B$5:$B$434,"Direct",Countries!$D$5:$D$434,$A357)=0,"",SUMIFS(Countries!$AL$5:$AL$434,Countries!$A$5:$A$434,"All landing pages",Countries!$B$5:$B$434,"Direct",Countries!$D$5:$D$434,$A357))</f>
        <v/>
      </c>
      <c r="L357" s="69">
        <f>IF(OR(K357="",J357="",J357=0,K357=0),"",K357-J357)</f>
        <v/>
      </c>
      <c r="M357" s="42">
        <f>IF(OR(K357="",J357="",J357=0,K357=0),"",K357/J357-1)</f>
        <v/>
      </c>
      <c r="N357" s="41">
        <f>IF(SUM(B357,F357,J357)=0,"",SUM(B357,F357,J357))</f>
        <v/>
      </c>
      <c r="O357" s="41">
        <f>IF(SUM(C357,G357,K357)=0,"",SUM(C357,G357,K357))</f>
        <v/>
      </c>
      <c r="P357" s="69">
        <f>IF(OR(O357="",N357="",N357=0,O357=0),"",O357-N357)</f>
        <v/>
      </c>
      <c r="Q357" s="42">
        <f>IF(OR(O357="",N357="",N357=0,O357=0),"",O357/N357-1)</f>
        <v/>
      </c>
    </row>
    <row r="358">
      <c r="A358" s="56" t="inlineStr">
        <is>
          <t>Sweden</t>
        </is>
      </c>
      <c r="B358" s="41">
        <f>IF(SUMIFS(Countries!$AK$5:$AK$434,Countries!$A$5:$A$434,"All landing pages",Countries!$B$5:$B$434,"Paid Search",Countries!$D$5:$D$434,$A358)=0,"",SUMIFS(Countries!$AK$5:$AK$434,Countries!$A$5:$A$434,"All landing pages",Countries!$B$5:$B$434,"Paid Search",Countries!$D$5:$D$434,$A358))</f>
        <v/>
      </c>
      <c r="C358" s="41">
        <f>IF(SUMIFS(Countries!$AL$5:$AL$434,Countries!$A$5:$A$434,"All landing pages",Countries!$B$5:$B$434,"Paid Search",Countries!$D$5:$D$434,$A358)=0,"",SUMIFS(Countries!$AL$5:$AL$434,Countries!$A$5:$A$434,"All landing pages",Countries!$B$5:$B$434,"Paid Search",Countries!$D$5:$D$434,$A358))</f>
        <v/>
      </c>
      <c r="D358" s="69">
        <f>IF(OR(C358="",B358="",B358=0,C358=0),"",C358-B358)</f>
        <v/>
      </c>
      <c r="E358" s="42">
        <f>IF(OR(C358="",B358="",B358=0,C358=0),"",C358/B358-1)</f>
        <v/>
      </c>
      <c r="F358" s="41">
        <f>IF(SUMIFS(Countries!$AK$5:$AK$434,Countries!$A$5:$A$434,"All landing pages",Countries!$B$5:$B$434,"Organic",Countries!$D$5:$D$434,$A358)=0,"",SUMIFS(Countries!$AK$5:$AK$434,Countries!$A$5:$A$434,"All landing pages",Countries!$B$5:$B$434,"Organic",Countries!$D$5:$D$434,$A358))</f>
        <v/>
      </c>
      <c r="G358" s="41">
        <f>IF(SUMIFS(Countries!$AL$5:$AL$434,Countries!$A$5:$A$434,"All landing pages",Countries!$B$5:$B$434,"Organic",Countries!$D$5:$D$434,$A358)=0,"",SUMIFS(Countries!$AL$5:$AL$434,Countries!$A$5:$A$434,"All landing pages",Countries!$B$5:$B$434,"Organic",Countries!$D$5:$D$434,$A358))</f>
        <v/>
      </c>
      <c r="H358" s="69">
        <f>IF(OR(G358="",F358="",F358=0,G358=0),"",G358-F358)</f>
        <v/>
      </c>
      <c r="I358" s="42">
        <f>IF(OR(G358="",F358="",F358=0,G358=0),"",G358/F358-1)</f>
        <v/>
      </c>
      <c r="J358" s="41">
        <f>IF(SUMIFS(Countries!$AK$5:$AK$434,Countries!$A$5:$A$434,"All landing pages",Countries!$B$5:$B$434,"Direct",Countries!$D$5:$D$434,$A358)=0,"",SUMIFS(Countries!$AK$5:$AK$434,Countries!$A$5:$A$434,"All landing pages",Countries!$B$5:$B$434,"Direct",Countries!$D$5:$D$434,$A358))</f>
        <v/>
      </c>
      <c r="K358" s="41">
        <f>IF(SUMIFS(Countries!$AL$5:$AL$434,Countries!$A$5:$A$434,"All landing pages",Countries!$B$5:$B$434,"Direct",Countries!$D$5:$D$434,$A358)=0,"",SUMIFS(Countries!$AL$5:$AL$434,Countries!$A$5:$A$434,"All landing pages",Countries!$B$5:$B$434,"Direct",Countries!$D$5:$D$434,$A358))</f>
        <v/>
      </c>
      <c r="L358" s="69">
        <f>IF(OR(K358="",J358="",J358=0,K358=0),"",K358-J358)</f>
        <v/>
      </c>
      <c r="M358" s="42">
        <f>IF(OR(K358="",J358="",J358=0,K358=0),"",K358/J358-1)</f>
        <v/>
      </c>
      <c r="N358" s="41">
        <f>IF(SUM(B358,F358,J358)=0,"",SUM(B358,F358,J358))</f>
        <v/>
      </c>
      <c r="O358" s="41">
        <f>IF(SUM(C358,G358,K358)=0,"",SUM(C358,G358,K358))</f>
        <v/>
      </c>
      <c r="P358" s="69">
        <f>IF(OR(O358="",N358="",N358=0,O358=0),"",O358-N358)</f>
        <v/>
      </c>
      <c r="Q358" s="42">
        <f>IF(OR(O358="",N358="",N358=0,O358=0),"",O358/N358-1)</f>
        <v/>
      </c>
    </row>
    <row r="359">
      <c r="A359" s="40" t="inlineStr">
        <is>
          <t>Belgium</t>
        </is>
      </c>
      <c r="B359" s="41">
        <f>IF(SUMIFS(Countries!$AK$5:$AK$434,Countries!$A$5:$A$434,"All landing pages",Countries!$B$5:$B$434,"Paid Search",Countries!$D$5:$D$434,$A359)=0,"",SUMIFS(Countries!$AK$5:$AK$434,Countries!$A$5:$A$434,"All landing pages",Countries!$B$5:$B$434,"Paid Search",Countries!$D$5:$D$434,$A359))</f>
        <v/>
      </c>
      <c r="C359" s="41">
        <f>IF(SUMIFS(Countries!$AL$5:$AL$434,Countries!$A$5:$A$434,"All landing pages",Countries!$B$5:$B$434,"Paid Search",Countries!$D$5:$D$434,$A359)=0,"",SUMIFS(Countries!$AL$5:$AL$434,Countries!$A$5:$A$434,"All landing pages",Countries!$B$5:$B$434,"Paid Search",Countries!$D$5:$D$434,$A359))</f>
        <v/>
      </c>
      <c r="D359" s="69">
        <f>IF(OR(C359="",B359="",B359=0,C359=0),"",C359-B359)</f>
        <v/>
      </c>
      <c r="E359" s="42">
        <f>IF(OR(C359="",B359="",B359=0,C359=0),"",C359/B359-1)</f>
        <v/>
      </c>
      <c r="F359" s="41">
        <f>IF(SUMIFS(Countries!$AK$5:$AK$434,Countries!$A$5:$A$434,"All landing pages",Countries!$B$5:$B$434,"Organic",Countries!$D$5:$D$434,$A359)=0,"",SUMIFS(Countries!$AK$5:$AK$434,Countries!$A$5:$A$434,"All landing pages",Countries!$B$5:$B$434,"Organic",Countries!$D$5:$D$434,$A359))</f>
        <v/>
      </c>
      <c r="G359" s="41">
        <f>IF(SUMIFS(Countries!$AL$5:$AL$434,Countries!$A$5:$A$434,"All landing pages",Countries!$B$5:$B$434,"Organic",Countries!$D$5:$D$434,$A359)=0,"",SUMIFS(Countries!$AL$5:$AL$434,Countries!$A$5:$A$434,"All landing pages",Countries!$B$5:$B$434,"Organic",Countries!$D$5:$D$434,$A359))</f>
        <v/>
      </c>
      <c r="H359" s="69">
        <f>IF(OR(G359="",F359="",F359=0,G359=0),"",G359-F359)</f>
        <v/>
      </c>
      <c r="I359" s="42">
        <f>IF(OR(G359="",F359="",F359=0,G359=0),"",G359/F359-1)</f>
        <v/>
      </c>
      <c r="J359" s="41">
        <f>IF(SUMIFS(Countries!$AK$5:$AK$434,Countries!$A$5:$A$434,"All landing pages",Countries!$B$5:$B$434,"Direct",Countries!$D$5:$D$434,$A359)=0,"",SUMIFS(Countries!$AK$5:$AK$434,Countries!$A$5:$A$434,"All landing pages",Countries!$B$5:$B$434,"Direct",Countries!$D$5:$D$434,$A359))</f>
        <v/>
      </c>
      <c r="K359" s="41">
        <f>IF(SUMIFS(Countries!$AL$5:$AL$434,Countries!$A$5:$A$434,"All landing pages",Countries!$B$5:$B$434,"Direct",Countries!$D$5:$D$434,$A359)=0,"",SUMIFS(Countries!$AL$5:$AL$434,Countries!$A$5:$A$434,"All landing pages",Countries!$B$5:$B$434,"Direct",Countries!$D$5:$D$434,$A359))</f>
        <v/>
      </c>
      <c r="L359" s="69">
        <f>IF(OR(K359="",J359="",J359=0,K359=0),"",K359-J359)</f>
        <v/>
      </c>
      <c r="M359" s="42">
        <f>IF(OR(K359="",J359="",J359=0,K359=0),"",K359/J359-1)</f>
        <v/>
      </c>
      <c r="N359" s="41">
        <f>IF(SUM(B359,F359,J359)=0,"",SUM(B359,F359,J359))</f>
        <v/>
      </c>
      <c r="O359" s="41">
        <f>IF(SUM(C359,G359,K359)=0,"",SUM(C359,G359,K359))</f>
        <v/>
      </c>
      <c r="P359" s="69">
        <f>IF(OR(O359="",N359="",N359=0,O359=0),"",O359-N359)</f>
        <v/>
      </c>
      <c r="Q359" s="42">
        <f>IF(OR(O359="",N359="",N359=0,O359=0),"",O359/N359-1)</f>
        <v/>
      </c>
    </row>
    <row r="360">
      <c r="A360" s="56" t="inlineStr">
        <is>
          <t>Austria</t>
        </is>
      </c>
      <c r="B360" s="41">
        <f>IF(SUMIFS(Countries!$AK$5:$AK$434,Countries!$A$5:$A$434,"All landing pages",Countries!$B$5:$B$434,"Paid Search",Countries!$D$5:$D$434,$A360)=0,"",SUMIFS(Countries!$AK$5:$AK$434,Countries!$A$5:$A$434,"All landing pages",Countries!$B$5:$B$434,"Paid Search",Countries!$D$5:$D$434,$A360))</f>
        <v/>
      </c>
      <c r="C360" s="41">
        <f>IF(SUMIFS(Countries!$AL$5:$AL$434,Countries!$A$5:$A$434,"All landing pages",Countries!$B$5:$B$434,"Paid Search",Countries!$D$5:$D$434,$A360)=0,"",SUMIFS(Countries!$AL$5:$AL$434,Countries!$A$5:$A$434,"All landing pages",Countries!$B$5:$B$434,"Paid Search",Countries!$D$5:$D$434,$A360))</f>
        <v/>
      </c>
      <c r="D360" s="69">
        <f>IF(OR(C360="",B360="",B360=0,C360=0),"",C360-B360)</f>
        <v/>
      </c>
      <c r="E360" s="42">
        <f>IF(OR(C360="",B360="",B360=0,C360=0),"",C360/B360-1)</f>
        <v/>
      </c>
      <c r="F360" s="41">
        <f>IF(SUMIFS(Countries!$AK$5:$AK$434,Countries!$A$5:$A$434,"All landing pages",Countries!$B$5:$B$434,"Organic",Countries!$D$5:$D$434,$A360)=0,"",SUMIFS(Countries!$AK$5:$AK$434,Countries!$A$5:$A$434,"All landing pages",Countries!$B$5:$B$434,"Organic",Countries!$D$5:$D$434,$A360))</f>
        <v/>
      </c>
      <c r="G360" s="41">
        <f>IF(SUMIFS(Countries!$AL$5:$AL$434,Countries!$A$5:$A$434,"All landing pages",Countries!$B$5:$B$434,"Organic",Countries!$D$5:$D$434,$A360)=0,"",SUMIFS(Countries!$AL$5:$AL$434,Countries!$A$5:$A$434,"All landing pages",Countries!$B$5:$B$434,"Organic",Countries!$D$5:$D$434,$A360))</f>
        <v/>
      </c>
      <c r="H360" s="69">
        <f>IF(OR(G360="",F360="",F360=0,G360=0),"",G360-F360)</f>
        <v/>
      </c>
      <c r="I360" s="42">
        <f>IF(OR(G360="",F360="",F360=0,G360=0),"",G360/F360-1)</f>
        <v/>
      </c>
      <c r="J360" s="41">
        <f>IF(SUMIFS(Countries!$AK$5:$AK$434,Countries!$A$5:$A$434,"All landing pages",Countries!$B$5:$B$434,"Direct",Countries!$D$5:$D$434,$A360)=0,"",SUMIFS(Countries!$AK$5:$AK$434,Countries!$A$5:$A$434,"All landing pages",Countries!$B$5:$B$434,"Direct",Countries!$D$5:$D$434,$A360))</f>
        <v/>
      </c>
      <c r="K360" s="41">
        <f>IF(SUMIFS(Countries!$AL$5:$AL$434,Countries!$A$5:$A$434,"All landing pages",Countries!$B$5:$B$434,"Direct",Countries!$D$5:$D$434,$A360)=0,"",SUMIFS(Countries!$AL$5:$AL$434,Countries!$A$5:$A$434,"All landing pages",Countries!$B$5:$B$434,"Direct",Countries!$D$5:$D$434,$A360))</f>
        <v/>
      </c>
      <c r="L360" s="69">
        <f>IF(OR(K360="",J360="",J360=0,K360=0),"",K360-J360)</f>
        <v/>
      </c>
      <c r="M360" s="42">
        <f>IF(OR(K360="",J360="",J360=0,K360=0),"",K360/J360-1)</f>
        <v/>
      </c>
      <c r="N360" s="41">
        <f>IF(SUM(B360,F360,J360)=0,"",SUM(B360,F360,J360))</f>
        <v/>
      </c>
      <c r="O360" s="41">
        <f>IF(SUM(C360,G360,K360)=0,"",SUM(C360,G360,K360))</f>
        <v/>
      </c>
      <c r="P360" s="69">
        <f>IF(OR(O360="",N360="",N360=0,O360=0),"",O360-N360)</f>
        <v/>
      </c>
      <c r="Q360" s="42">
        <f>IF(OR(O360="",N360="",N360=0,O360=0),"",O360/N360-1)</f>
        <v/>
      </c>
    </row>
    <row r="361">
      <c r="A361" s="40" t="inlineStr">
        <is>
          <t>Denmark</t>
        </is>
      </c>
      <c r="B361" s="41">
        <f>IF(SUMIFS(Countries!$AK$5:$AK$434,Countries!$A$5:$A$434,"All landing pages",Countries!$B$5:$B$434,"Paid Search",Countries!$D$5:$D$434,$A361)=0,"",SUMIFS(Countries!$AK$5:$AK$434,Countries!$A$5:$A$434,"All landing pages",Countries!$B$5:$B$434,"Paid Search",Countries!$D$5:$D$434,$A361))</f>
        <v/>
      </c>
      <c r="C361" s="41">
        <f>IF(SUMIFS(Countries!$AL$5:$AL$434,Countries!$A$5:$A$434,"All landing pages",Countries!$B$5:$B$434,"Paid Search",Countries!$D$5:$D$434,$A361)=0,"",SUMIFS(Countries!$AL$5:$AL$434,Countries!$A$5:$A$434,"All landing pages",Countries!$B$5:$B$434,"Paid Search",Countries!$D$5:$D$434,$A361))</f>
        <v/>
      </c>
      <c r="D361" s="69">
        <f>IF(OR(C361="",B361="",B361=0,C361=0),"",C361-B361)</f>
        <v/>
      </c>
      <c r="E361" s="42">
        <f>IF(OR(C361="",B361="",B361=0,C361=0),"",C361/B361-1)</f>
        <v/>
      </c>
      <c r="F361" s="41">
        <f>IF(SUMIFS(Countries!$AK$5:$AK$434,Countries!$A$5:$A$434,"All landing pages",Countries!$B$5:$B$434,"Organic",Countries!$D$5:$D$434,$A361)=0,"",SUMIFS(Countries!$AK$5:$AK$434,Countries!$A$5:$A$434,"All landing pages",Countries!$B$5:$B$434,"Organic",Countries!$D$5:$D$434,$A361))</f>
        <v/>
      </c>
      <c r="G361" s="41">
        <f>IF(SUMIFS(Countries!$AL$5:$AL$434,Countries!$A$5:$A$434,"All landing pages",Countries!$B$5:$B$434,"Organic",Countries!$D$5:$D$434,$A361)=0,"",SUMIFS(Countries!$AL$5:$AL$434,Countries!$A$5:$A$434,"All landing pages",Countries!$B$5:$B$434,"Organic",Countries!$D$5:$D$434,$A361))</f>
        <v/>
      </c>
      <c r="H361" s="69">
        <f>IF(OR(G361="",F361="",F361=0,G361=0),"",G361-F361)</f>
        <v/>
      </c>
      <c r="I361" s="42">
        <f>IF(OR(G361="",F361="",F361=0,G361=0),"",G361/F361-1)</f>
        <v/>
      </c>
      <c r="J361" s="41">
        <f>IF(SUMIFS(Countries!$AK$5:$AK$434,Countries!$A$5:$A$434,"All landing pages",Countries!$B$5:$B$434,"Direct",Countries!$D$5:$D$434,$A361)=0,"",SUMIFS(Countries!$AK$5:$AK$434,Countries!$A$5:$A$434,"All landing pages",Countries!$B$5:$B$434,"Direct",Countries!$D$5:$D$434,$A361))</f>
        <v/>
      </c>
      <c r="K361" s="41">
        <f>IF(SUMIFS(Countries!$AL$5:$AL$434,Countries!$A$5:$A$434,"All landing pages",Countries!$B$5:$B$434,"Direct",Countries!$D$5:$D$434,$A361)=0,"",SUMIFS(Countries!$AL$5:$AL$434,Countries!$A$5:$A$434,"All landing pages",Countries!$B$5:$B$434,"Direct",Countries!$D$5:$D$434,$A361))</f>
        <v/>
      </c>
      <c r="L361" s="69">
        <f>IF(OR(K361="",J361="",J361=0,K361=0),"",K361-J361)</f>
        <v/>
      </c>
      <c r="M361" s="42">
        <f>IF(OR(K361="",J361="",J361=0,K361=0),"",K361/J361-1)</f>
        <v/>
      </c>
      <c r="N361" s="41">
        <f>IF(SUM(B361,F361,J361)=0,"",SUM(B361,F361,J361))</f>
        <v/>
      </c>
      <c r="O361" s="41">
        <f>IF(SUM(C361,G361,K361)=0,"",SUM(C361,G361,K361))</f>
        <v/>
      </c>
      <c r="P361" s="69">
        <f>IF(OR(O361="",N361="",N361=0,O361=0),"",O361-N361)</f>
        <v/>
      </c>
      <c r="Q361" s="42">
        <f>IF(OR(O361="",N361="",N361=0,O361=0),"",O361/N361-1)</f>
        <v/>
      </c>
    </row>
    <row r="362">
      <c r="A362" s="56" t="inlineStr">
        <is>
          <t>Norway</t>
        </is>
      </c>
      <c r="B362" s="41">
        <f>IF(SUMIFS(Countries!$AK$5:$AK$434,Countries!$A$5:$A$434,"All landing pages",Countries!$B$5:$B$434,"Paid Search",Countries!$D$5:$D$434,$A362)=0,"",SUMIFS(Countries!$AK$5:$AK$434,Countries!$A$5:$A$434,"All landing pages",Countries!$B$5:$B$434,"Paid Search",Countries!$D$5:$D$434,$A362))</f>
        <v/>
      </c>
      <c r="C362" s="41">
        <f>IF(SUMIFS(Countries!$AL$5:$AL$434,Countries!$A$5:$A$434,"All landing pages",Countries!$B$5:$B$434,"Paid Search",Countries!$D$5:$D$434,$A362)=0,"",SUMIFS(Countries!$AL$5:$AL$434,Countries!$A$5:$A$434,"All landing pages",Countries!$B$5:$B$434,"Paid Search",Countries!$D$5:$D$434,$A362))</f>
        <v/>
      </c>
      <c r="D362" s="69">
        <f>IF(OR(C362="",B362="",B362=0,C362=0),"",C362-B362)</f>
        <v/>
      </c>
      <c r="E362" s="42">
        <f>IF(OR(C362="",B362="",B362=0,C362=0),"",C362/B362-1)</f>
        <v/>
      </c>
      <c r="F362" s="41">
        <f>IF(SUMIFS(Countries!$AK$5:$AK$434,Countries!$A$5:$A$434,"All landing pages",Countries!$B$5:$B$434,"Organic",Countries!$D$5:$D$434,$A362)=0,"",SUMIFS(Countries!$AK$5:$AK$434,Countries!$A$5:$A$434,"All landing pages",Countries!$B$5:$B$434,"Organic",Countries!$D$5:$D$434,$A362))</f>
        <v/>
      </c>
      <c r="G362" s="41">
        <f>IF(SUMIFS(Countries!$AL$5:$AL$434,Countries!$A$5:$A$434,"All landing pages",Countries!$B$5:$B$434,"Organic",Countries!$D$5:$D$434,$A362)=0,"",SUMIFS(Countries!$AL$5:$AL$434,Countries!$A$5:$A$434,"All landing pages",Countries!$B$5:$B$434,"Organic",Countries!$D$5:$D$434,$A362))</f>
        <v/>
      </c>
      <c r="H362" s="69">
        <f>IF(OR(G362="",F362="",F362=0,G362=0),"",G362-F362)</f>
        <v/>
      </c>
      <c r="I362" s="42">
        <f>IF(OR(G362="",F362="",F362=0,G362=0),"",G362/F362-1)</f>
        <v/>
      </c>
      <c r="J362" s="41">
        <f>IF(SUMIFS(Countries!$AK$5:$AK$434,Countries!$A$5:$A$434,"All landing pages",Countries!$B$5:$B$434,"Direct",Countries!$D$5:$D$434,$A362)=0,"",SUMIFS(Countries!$AK$5:$AK$434,Countries!$A$5:$A$434,"All landing pages",Countries!$B$5:$B$434,"Direct",Countries!$D$5:$D$434,$A362))</f>
        <v/>
      </c>
      <c r="K362" s="41">
        <f>IF(SUMIFS(Countries!$AL$5:$AL$434,Countries!$A$5:$A$434,"All landing pages",Countries!$B$5:$B$434,"Direct",Countries!$D$5:$D$434,$A362)=0,"",SUMIFS(Countries!$AL$5:$AL$434,Countries!$A$5:$A$434,"All landing pages",Countries!$B$5:$B$434,"Direct",Countries!$D$5:$D$434,$A362))</f>
        <v/>
      </c>
      <c r="L362" s="69">
        <f>IF(OR(K362="",J362="",J362=0,K362=0),"",K362-J362)</f>
        <v/>
      </c>
      <c r="M362" s="42">
        <f>IF(OR(K362="",J362="",J362=0,K362=0),"",K362/J362-1)</f>
        <v/>
      </c>
      <c r="N362" s="41">
        <f>IF(SUM(B362,F362,J362)=0,"",SUM(B362,F362,J362))</f>
        <v/>
      </c>
      <c r="O362" s="41">
        <f>IF(SUM(C362,G362,K362)=0,"",SUM(C362,G362,K362))</f>
        <v/>
      </c>
      <c r="P362" s="69">
        <f>IF(OR(O362="",N362="",N362=0,O362=0),"",O362-N362)</f>
        <v/>
      </c>
      <c r="Q362" s="42">
        <f>IF(OR(O362="",N362="",N362=0,O362=0),"",O362/N362-1)</f>
        <v/>
      </c>
    </row>
    <row r="363">
      <c r="A363" s="40" t="inlineStr">
        <is>
          <t>Finland</t>
        </is>
      </c>
      <c r="B363" s="41">
        <f>IF(SUMIFS(Countries!$AK$5:$AK$434,Countries!$A$5:$A$434,"All landing pages",Countries!$B$5:$B$434,"Paid Search",Countries!$D$5:$D$434,$A363)=0,"",SUMIFS(Countries!$AK$5:$AK$434,Countries!$A$5:$A$434,"All landing pages",Countries!$B$5:$B$434,"Paid Search",Countries!$D$5:$D$434,$A363))</f>
        <v/>
      </c>
      <c r="C363" s="41">
        <f>IF(SUMIFS(Countries!$AL$5:$AL$434,Countries!$A$5:$A$434,"All landing pages",Countries!$B$5:$B$434,"Paid Search",Countries!$D$5:$D$434,$A363)=0,"",SUMIFS(Countries!$AL$5:$AL$434,Countries!$A$5:$A$434,"All landing pages",Countries!$B$5:$B$434,"Paid Search",Countries!$D$5:$D$434,$A363))</f>
        <v/>
      </c>
      <c r="D363" s="69">
        <f>IF(OR(C363="",B363="",B363=0,C363=0),"",C363-B363)</f>
        <v/>
      </c>
      <c r="E363" s="42">
        <f>IF(OR(C363="",B363="",B363=0,C363=0),"",C363/B363-1)</f>
        <v/>
      </c>
      <c r="F363" s="41">
        <f>IF(SUMIFS(Countries!$AK$5:$AK$434,Countries!$A$5:$A$434,"All landing pages",Countries!$B$5:$B$434,"Organic",Countries!$D$5:$D$434,$A363)=0,"",SUMIFS(Countries!$AK$5:$AK$434,Countries!$A$5:$A$434,"All landing pages",Countries!$B$5:$B$434,"Organic",Countries!$D$5:$D$434,$A363))</f>
        <v/>
      </c>
      <c r="G363" s="41">
        <f>IF(SUMIFS(Countries!$AL$5:$AL$434,Countries!$A$5:$A$434,"All landing pages",Countries!$B$5:$B$434,"Organic",Countries!$D$5:$D$434,$A363)=0,"",SUMIFS(Countries!$AL$5:$AL$434,Countries!$A$5:$A$434,"All landing pages",Countries!$B$5:$B$434,"Organic",Countries!$D$5:$D$434,$A363))</f>
        <v/>
      </c>
      <c r="H363" s="69">
        <f>IF(OR(G363="",F363="",F363=0,G363=0),"",G363-F363)</f>
        <v/>
      </c>
      <c r="I363" s="42">
        <f>IF(OR(G363="",F363="",F363=0,G363=0),"",G363/F363-1)</f>
        <v/>
      </c>
      <c r="J363" s="41">
        <f>IF(SUMIFS(Countries!$AK$5:$AK$434,Countries!$A$5:$A$434,"All landing pages",Countries!$B$5:$B$434,"Direct",Countries!$D$5:$D$434,$A363)=0,"",SUMIFS(Countries!$AK$5:$AK$434,Countries!$A$5:$A$434,"All landing pages",Countries!$B$5:$B$434,"Direct",Countries!$D$5:$D$434,$A363))</f>
        <v/>
      </c>
      <c r="K363" s="41">
        <f>IF(SUMIFS(Countries!$AL$5:$AL$434,Countries!$A$5:$A$434,"All landing pages",Countries!$B$5:$B$434,"Direct",Countries!$D$5:$D$434,$A363)=0,"",SUMIFS(Countries!$AL$5:$AL$434,Countries!$A$5:$A$434,"All landing pages",Countries!$B$5:$B$434,"Direct",Countries!$D$5:$D$434,$A363))</f>
        <v/>
      </c>
      <c r="L363" s="69">
        <f>IF(OR(K363="",J363="",J363=0,K363=0),"",K363-J363)</f>
        <v/>
      </c>
      <c r="M363" s="42">
        <f>IF(OR(K363="",J363="",J363=0,K363=0),"",K363/J363-1)</f>
        <v/>
      </c>
      <c r="N363" s="41">
        <f>IF(SUM(B363,F363,J363)=0,"",SUM(B363,F363,J363))</f>
        <v/>
      </c>
      <c r="O363" s="41">
        <f>IF(SUM(C363,G363,K363)=0,"",SUM(C363,G363,K363))</f>
        <v/>
      </c>
      <c r="P363" s="69">
        <f>IF(OR(O363="",N363="",N363=0,O363=0),"",O363-N363)</f>
        <v/>
      </c>
      <c r="Q363" s="42">
        <f>IF(OR(O363="",N363="",N363=0,O363=0),"",O363/N363-1)</f>
        <v/>
      </c>
    </row>
    <row r="364">
      <c r="A364" s="56" t="inlineStr">
        <is>
          <t>Portugal</t>
        </is>
      </c>
      <c r="B364" s="41">
        <f>IF(SUMIFS(Countries!$AK$5:$AK$434,Countries!$A$5:$A$434,"All landing pages",Countries!$B$5:$B$434,"Paid Search",Countries!$D$5:$D$434,$A364)=0,"",SUMIFS(Countries!$AK$5:$AK$434,Countries!$A$5:$A$434,"All landing pages",Countries!$B$5:$B$434,"Paid Search",Countries!$D$5:$D$434,$A364))</f>
        <v/>
      </c>
      <c r="C364" s="41">
        <f>IF(SUMIFS(Countries!$AL$5:$AL$434,Countries!$A$5:$A$434,"All landing pages",Countries!$B$5:$B$434,"Paid Search",Countries!$D$5:$D$434,$A364)=0,"",SUMIFS(Countries!$AL$5:$AL$434,Countries!$A$5:$A$434,"All landing pages",Countries!$B$5:$B$434,"Paid Search",Countries!$D$5:$D$434,$A364))</f>
        <v/>
      </c>
      <c r="D364" s="69">
        <f>IF(OR(C364="",B364="",B364=0,C364=0),"",C364-B364)</f>
        <v/>
      </c>
      <c r="E364" s="42">
        <f>IF(OR(C364="",B364="",B364=0,C364=0),"",C364/B364-1)</f>
        <v/>
      </c>
      <c r="F364" s="41">
        <f>IF(SUMIFS(Countries!$AK$5:$AK$434,Countries!$A$5:$A$434,"All landing pages",Countries!$B$5:$B$434,"Organic",Countries!$D$5:$D$434,$A364)=0,"",SUMIFS(Countries!$AK$5:$AK$434,Countries!$A$5:$A$434,"All landing pages",Countries!$B$5:$B$434,"Organic",Countries!$D$5:$D$434,$A364))</f>
        <v/>
      </c>
      <c r="G364" s="41">
        <f>IF(SUMIFS(Countries!$AL$5:$AL$434,Countries!$A$5:$A$434,"All landing pages",Countries!$B$5:$B$434,"Organic",Countries!$D$5:$D$434,$A364)=0,"",SUMIFS(Countries!$AL$5:$AL$434,Countries!$A$5:$A$434,"All landing pages",Countries!$B$5:$B$434,"Organic",Countries!$D$5:$D$434,$A364))</f>
        <v/>
      </c>
      <c r="H364" s="69">
        <f>IF(OR(G364="",F364="",F364=0,G364=0),"",G364-F364)</f>
        <v/>
      </c>
      <c r="I364" s="42">
        <f>IF(OR(G364="",F364="",F364=0,G364=0),"",G364/F364-1)</f>
        <v/>
      </c>
      <c r="J364" s="41">
        <f>IF(SUMIFS(Countries!$AK$5:$AK$434,Countries!$A$5:$A$434,"All landing pages",Countries!$B$5:$B$434,"Direct",Countries!$D$5:$D$434,$A364)=0,"",SUMIFS(Countries!$AK$5:$AK$434,Countries!$A$5:$A$434,"All landing pages",Countries!$B$5:$B$434,"Direct",Countries!$D$5:$D$434,$A364))</f>
        <v/>
      </c>
      <c r="K364" s="41">
        <f>IF(SUMIFS(Countries!$AL$5:$AL$434,Countries!$A$5:$A$434,"All landing pages",Countries!$B$5:$B$434,"Direct",Countries!$D$5:$D$434,$A364)=0,"",SUMIFS(Countries!$AL$5:$AL$434,Countries!$A$5:$A$434,"All landing pages",Countries!$B$5:$B$434,"Direct",Countries!$D$5:$D$434,$A364))</f>
        <v/>
      </c>
      <c r="L364" s="69">
        <f>IF(OR(K364="",J364="",J364=0,K364=0),"",K364-J364)</f>
        <v/>
      </c>
      <c r="M364" s="42">
        <f>IF(OR(K364="",J364="",J364=0,K364=0),"",K364/J364-1)</f>
        <v/>
      </c>
      <c r="N364" s="41">
        <f>IF(SUM(B364,F364,J364)=0,"",SUM(B364,F364,J364))</f>
        <v/>
      </c>
      <c r="O364" s="41">
        <f>IF(SUM(C364,G364,K364)=0,"",SUM(C364,G364,K364))</f>
        <v/>
      </c>
      <c r="P364" s="69">
        <f>IF(OR(O364="",N364="",N364=0,O364=0),"",O364-N364)</f>
        <v/>
      </c>
      <c r="Q364" s="42">
        <f>IF(OR(O364="",N364="",N364=0,O364=0),"",O364/N364-1)</f>
        <v/>
      </c>
    </row>
    <row r="365">
      <c r="A365" s="40" t="inlineStr">
        <is>
          <t>Türkiye</t>
        </is>
      </c>
      <c r="B365" s="41">
        <f>IF(SUMIFS(Countries!$AK$5:$AK$434,Countries!$A$5:$A$434,"All landing pages",Countries!$B$5:$B$434,"Paid Search",Countries!$D$5:$D$434,$A365)=0,"",SUMIFS(Countries!$AK$5:$AK$434,Countries!$A$5:$A$434,"All landing pages",Countries!$B$5:$B$434,"Paid Search",Countries!$D$5:$D$434,$A365))</f>
        <v/>
      </c>
      <c r="C365" s="41">
        <f>IF(SUMIFS(Countries!$AL$5:$AL$434,Countries!$A$5:$A$434,"All landing pages",Countries!$B$5:$B$434,"Paid Search",Countries!$D$5:$D$434,$A365)=0,"",SUMIFS(Countries!$AL$5:$AL$434,Countries!$A$5:$A$434,"All landing pages",Countries!$B$5:$B$434,"Paid Search",Countries!$D$5:$D$434,$A365))</f>
        <v/>
      </c>
      <c r="D365" s="69">
        <f>IF(OR(C365="",B365="",B365=0,C365=0),"",C365-B365)</f>
        <v/>
      </c>
      <c r="E365" s="42">
        <f>IF(OR(C365="",B365="",B365=0,C365=0),"",C365/B365-1)</f>
        <v/>
      </c>
      <c r="F365" s="41">
        <f>IF(SUMIFS(Countries!$AK$5:$AK$434,Countries!$A$5:$A$434,"All landing pages",Countries!$B$5:$B$434,"Organic",Countries!$D$5:$D$434,$A365)=0,"",SUMIFS(Countries!$AK$5:$AK$434,Countries!$A$5:$A$434,"All landing pages",Countries!$B$5:$B$434,"Organic",Countries!$D$5:$D$434,$A365))</f>
        <v/>
      </c>
      <c r="G365" s="41">
        <f>IF(SUMIFS(Countries!$AL$5:$AL$434,Countries!$A$5:$A$434,"All landing pages",Countries!$B$5:$B$434,"Organic",Countries!$D$5:$D$434,$A365)=0,"",SUMIFS(Countries!$AL$5:$AL$434,Countries!$A$5:$A$434,"All landing pages",Countries!$B$5:$B$434,"Organic",Countries!$D$5:$D$434,$A365))</f>
        <v/>
      </c>
      <c r="H365" s="69">
        <f>IF(OR(G365="",F365="",F365=0,G365=0),"",G365-F365)</f>
        <v/>
      </c>
      <c r="I365" s="42">
        <f>IF(OR(G365="",F365="",F365=0,G365=0),"",G365/F365-1)</f>
        <v/>
      </c>
      <c r="J365" s="41">
        <f>IF(SUMIFS(Countries!$AK$5:$AK$434,Countries!$A$5:$A$434,"All landing pages",Countries!$B$5:$B$434,"Direct",Countries!$D$5:$D$434,$A365)=0,"",SUMIFS(Countries!$AK$5:$AK$434,Countries!$A$5:$A$434,"All landing pages",Countries!$B$5:$B$434,"Direct",Countries!$D$5:$D$434,$A365))</f>
        <v/>
      </c>
      <c r="K365" s="41">
        <f>IF(SUMIFS(Countries!$AL$5:$AL$434,Countries!$A$5:$A$434,"All landing pages",Countries!$B$5:$B$434,"Direct",Countries!$D$5:$D$434,$A365)=0,"",SUMIFS(Countries!$AL$5:$AL$434,Countries!$A$5:$A$434,"All landing pages",Countries!$B$5:$B$434,"Direct",Countries!$D$5:$D$434,$A365))</f>
        <v/>
      </c>
      <c r="L365" s="69">
        <f>IF(OR(K365="",J365="",J365=0,K365=0),"",K365-J365)</f>
        <v/>
      </c>
      <c r="M365" s="42">
        <f>IF(OR(K365="",J365="",J365=0,K365=0),"",K365/J365-1)</f>
        <v/>
      </c>
      <c r="N365" s="41">
        <f>IF(SUM(B365,F365,J365)=0,"",SUM(B365,F365,J365))</f>
        <v/>
      </c>
      <c r="O365" s="41">
        <f>IF(SUM(C365,G365,K365)=0,"",SUM(C365,G365,K365))</f>
        <v/>
      </c>
      <c r="P365" s="69">
        <f>IF(OR(O365="",N365="",N365=0,O365=0),"",O365-N365)</f>
        <v/>
      </c>
      <c r="Q365" s="42">
        <f>IF(OR(O365="",N365="",N365=0,O365=0),"",O365/N365-1)</f>
        <v/>
      </c>
    </row>
    <row r="366">
      <c r="A366" s="56" t="inlineStr">
        <is>
          <t>Australia</t>
        </is>
      </c>
      <c r="B366" s="41">
        <f>IF(SUMIFS(Countries!$AK$5:$AK$434,Countries!$A$5:$A$434,"All landing pages",Countries!$B$5:$B$434,"Paid Search",Countries!$D$5:$D$434,$A366)=0,"",SUMIFS(Countries!$AK$5:$AK$434,Countries!$A$5:$A$434,"All landing pages",Countries!$B$5:$B$434,"Paid Search",Countries!$D$5:$D$434,$A366))</f>
        <v/>
      </c>
      <c r="C366" s="41">
        <f>IF(SUMIFS(Countries!$AL$5:$AL$434,Countries!$A$5:$A$434,"All landing pages",Countries!$B$5:$B$434,"Paid Search",Countries!$D$5:$D$434,$A366)=0,"",SUMIFS(Countries!$AL$5:$AL$434,Countries!$A$5:$A$434,"All landing pages",Countries!$B$5:$B$434,"Paid Search",Countries!$D$5:$D$434,$A366))</f>
        <v/>
      </c>
      <c r="D366" s="69">
        <f>IF(OR(C366="",B366="",B366=0,C366=0),"",C366-B366)</f>
        <v/>
      </c>
      <c r="E366" s="42">
        <f>IF(OR(C366="",B366="",B366=0,C366=0),"",C366/B366-1)</f>
        <v/>
      </c>
      <c r="F366" s="41">
        <f>IF(SUMIFS(Countries!$AK$5:$AK$434,Countries!$A$5:$A$434,"All landing pages",Countries!$B$5:$B$434,"Organic",Countries!$D$5:$D$434,$A366)=0,"",SUMIFS(Countries!$AK$5:$AK$434,Countries!$A$5:$A$434,"All landing pages",Countries!$B$5:$B$434,"Organic",Countries!$D$5:$D$434,$A366))</f>
        <v/>
      </c>
      <c r="G366" s="41">
        <f>IF(SUMIFS(Countries!$AL$5:$AL$434,Countries!$A$5:$A$434,"All landing pages",Countries!$B$5:$B$434,"Organic",Countries!$D$5:$D$434,$A366)=0,"",SUMIFS(Countries!$AL$5:$AL$434,Countries!$A$5:$A$434,"All landing pages",Countries!$B$5:$B$434,"Organic",Countries!$D$5:$D$434,$A366))</f>
        <v/>
      </c>
      <c r="H366" s="69">
        <f>IF(OR(G366="",F366="",F366=0,G366=0),"",G366-F366)</f>
        <v/>
      </c>
      <c r="I366" s="42">
        <f>IF(OR(G366="",F366="",F366=0,G366=0),"",G366/F366-1)</f>
        <v/>
      </c>
      <c r="J366" s="41">
        <f>IF(SUMIFS(Countries!$AK$5:$AK$434,Countries!$A$5:$A$434,"All landing pages",Countries!$B$5:$B$434,"Direct",Countries!$D$5:$D$434,$A366)=0,"",SUMIFS(Countries!$AK$5:$AK$434,Countries!$A$5:$A$434,"All landing pages",Countries!$B$5:$B$434,"Direct",Countries!$D$5:$D$434,$A366))</f>
        <v/>
      </c>
      <c r="K366" s="41">
        <f>IF(SUMIFS(Countries!$AL$5:$AL$434,Countries!$A$5:$A$434,"All landing pages",Countries!$B$5:$B$434,"Direct",Countries!$D$5:$D$434,$A366)=0,"",SUMIFS(Countries!$AL$5:$AL$434,Countries!$A$5:$A$434,"All landing pages",Countries!$B$5:$B$434,"Direct",Countries!$D$5:$D$434,$A366))</f>
        <v/>
      </c>
      <c r="L366" s="69">
        <f>IF(OR(K366="",J366="",J366=0,K366=0),"",K366-J366)</f>
        <v/>
      </c>
      <c r="M366" s="42">
        <f>IF(OR(K366="",J366="",J366=0,K366=0),"",K366/J366-1)</f>
        <v/>
      </c>
      <c r="N366" s="41">
        <f>IF(SUM(B366,F366,J366)=0,"",SUM(B366,F366,J366))</f>
        <v/>
      </c>
      <c r="O366" s="41">
        <f>IF(SUM(C366,G366,K366)=0,"",SUM(C366,G366,K366))</f>
        <v/>
      </c>
      <c r="P366" s="69">
        <f>IF(OR(O366="",N366="",N366=0,O366=0),"",O366-N366)</f>
        <v/>
      </c>
      <c r="Q366" s="42">
        <f>IF(OR(O366="",N366="",N366=0,O366=0),"",O366/N366-1)</f>
        <v/>
      </c>
    </row>
    <row r="367">
      <c r="A367" s="40" t="inlineStr">
        <is>
          <t>Romania</t>
        </is>
      </c>
      <c r="B367" s="41">
        <f>IF(SUMIFS(Countries!$AK$5:$AK$434,Countries!$A$5:$A$434,"All landing pages",Countries!$B$5:$B$434,"Paid Search",Countries!$D$5:$D$434,$A367)=0,"",SUMIFS(Countries!$AK$5:$AK$434,Countries!$A$5:$A$434,"All landing pages",Countries!$B$5:$B$434,"Paid Search",Countries!$D$5:$D$434,$A367))</f>
        <v/>
      </c>
      <c r="C367" s="41">
        <f>IF(SUMIFS(Countries!$AL$5:$AL$434,Countries!$A$5:$A$434,"All landing pages",Countries!$B$5:$B$434,"Paid Search",Countries!$D$5:$D$434,$A367)=0,"",SUMIFS(Countries!$AL$5:$AL$434,Countries!$A$5:$A$434,"All landing pages",Countries!$B$5:$B$434,"Paid Search",Countries!$D$5:$D$434,$A367))</f>
        <v/>
      </c>
      <c r="D367" s="69">
        <f>IF(OR(C367="",B367="",B367=0,C367=0),"",C367-B367)</f>
        <v/>
      </c>
      <c r="E367" s="42">
        <f>IF(OR(C367="",B367="",B367=0,C367=0),"",C367/B367-1)</f>
        <v/>
      </c>
      <c r="F367" s="41">
        <f>IF(SUMIFS(Countries!$AK$5:$AK$434,Countries!$A$5:$A$434,"All landing pages",Countries!$B$5:$B$434,"Organic",Countries!$D$5:$D$434,$A367)=0,"",SUMIFS(Countries!$AK$5:$AK$434,Countries!$A$5:$A$434,"All landing pages",Countries!$B$5:$B$434,"Organic",Countries!$D$5:$D$434,$A367))</f>
        <v/>
      </c>
      <c r="G367" s="41">
        <f>IF(SUMIFS(Countries!$AL$5:$AL$434,Countries!$A$5:$A$434,"All landing pages",Countries!$B$5:$B$434,"Organic",Countries!$D$5:$D$434,$A367)=0,"",SUMIFS(Countries!$AL$5:$AL$434,Countries!$A$5:$A$434,"All landing pages",Countries!$B$5:$B$434,"Organic",Countries!$D$5:$D$434,$A367))</f>
        <v/>
      </c>
      <c r="H367" s="69">
        <f>IF(OR(G367="",F367="",F367=0,G367=0),"",G367-F367)</f>
        <v/>
      </c>
      <c r="I367" s="42">
        <f>IF(OR(G367="",F367="",F367=0,G367=0),"",G367/F367-1)</f>
        <v/>
      </c>
      <c r="J367" s="41">
        <f>IF(SUMIFS(Countries!$AK$5:$AK$434,Countries!$A$5:$A$434,"All landing pages",Countries!$B$5:$B$434,"Direct",Countries!$D$5:$D$434,$A367)=0,"",SUMIFS(Countries!$AK$5:$AK$434,Countries!$A$5:$A$434,"All landing pages",Countries!$B$5:$B$434,"Direct",Countries!$D$5:$D$434,$A367))</f>
        <v/>
      </c>
      <c r="K367" s="41">
        <f>IF(SUMIFS(Countries!$AL$5:$AL$434,Countries!$A$5:$A$434,"All landing pages",Countries!$B$5:$B$434,"Direct",Countries!$D$5:$D$434,$A367)=0,"",SUMIFS(Countries!$AL$5:$AL$434,Countries!$A$5:$A$434,"All landing pages",Countries!$B$5:$B$434,"Direct",Countries!$D$5:$D$434,$A367))</f>
        <v/>
      </c>
      <c r="L367" s="69">
        <f>IF(OR(K367="",J367="",J367=0,K367=0),"",K367-J367)</f>
        <v/>
      </c>
      <c r="M367" s="42">
        <f>IF(OR(K367="",J367="",J367=0,K367=0),"",K367/J367-1)</f>
        <v/>
      </c>
      <c r="N367" s="41">
        <f>IF(SUM(B367,F367,J367)=0,"",SUM(B367,F367,J367))</f>
        <v/>
      </c>
      <c r="O367" s="41">
        <f>IF(SUM(C367,G367,K367)=0,"",SUM(C367,G367,K367))</f>
        <v/>
      </c>
      <c r="P367" s="69">
        <f>IF(OR(O367="",N367="",N367=0,O367=0),"",O367-N367)</f>
        <v/>
      </c>
      <c r="Q367" s="42">
        <f>IF(OR(O367="",N367="",N367=0,O367=0),"",O367/N367-1)</f>
        <v/>
      </c>
    </row>
    <row r="368">
      <c r="A368" s="56" t="inlineStr">
        <is>
          <t>Canada</t>
        </is>
      </c>
      <c r="B368" s="41">
        <f>IF(SUMIFS(Countries!$AK$5:$AK$434,Countries!$A$5:$A$434,"All landing pages",Countries!$B$5:$B$434,"Paid Search",Countries!$D$5:$D$434,$A368)=0,"",SUMIFS(Countries!$AK$5:$AK$434,Countries!$A$5:$A$434,"All landing pages",Countries!$B$5:$B$434,"Paid Search",Countries!$D$5:$D$434,$A368))</f>
        <v/>
      </c>
      <c r="C368" s="41">
        <f>IF(SUMIFS(Countries!$AL$5:$AL$434,Countries!$A$5:$A$434,"All landing pages",Countries!$B$5:$B$434,"Paid Search",Countries!$D$5:$D$434,$A368)=0,"",SUMIFS(Countries!$AL$5:$AL$434,Countries!$A$5:$A$434,"All landing pages",Countries!$B$5:$B$434,"Paid Search",Countries!$D$5:$D$434,$A368))</f>
        <v/>
      </c>
      <c r="D368" s="69">
        <f>IF(OR(C368="",B368="",B368=0,C368=0),"",C368-B368)</f>
        <v/>
      </c>
      <c r="E368" s="42">
        <f>IF(OR(C368="",B368="",B368=0,C368=0),"",C368/B368-1)</f>
        <v/>
      </c>
      <c r="F368" s="41">
        <f>IF(SUMIFS(Countries!$AK$5:$AK$434,Countries!$A$5:$A$434,"All landing pages",Countries!$B$5:$B$434,"Organic",Countries!$D$5:$D$434,$A368)=0,"",SUMIFS(Countries!$AK$5:$AK$434,Countries!$A$5:$A$434,"All landing pages",Countries!$B$5:$B$434,"Organic",Countries!$D$5:$D$434,$A368))</f>
        <v/>
      </c>
      <c r="G368" s="41">
        <f>IF(SUMIFS(Countries!$AL$5:$AL$434,Countries!$A$5:$A$434,"All landing pages",Countries!$B$5:$B$434,"Organic",Countries!$D$5:$D$434,$A368)=0,"",SUMIFS(Countries!$AL$5:$AL$434,Countries!$A$5:$A$434,"All landing pages",Countries!$B$5:$B$434,"Organic",Countries!$D$5:$D$434,$A368))</f>
        <v/>
      </c>
      <c r="H368" s="69">
        <f>IF(OR(G368="",F368="",F368=0,G368=0),"",G368-F368)</f>
        <v/>
      </c>
      <c r="I368" s="42">
        <f>IF(OR(G368="",F368="",F368=0,G368=0),"",G368/F368-1)</f>
        <v/>
      </c>
      <c r="J368" s="41">
        <f>IF(SUMIFS(Countries!$AK$5:$AK$434,Countries!$A$5:$A$434,"All landing pages",Countries!$B$5:$B$434,"Direct",Countries!$D$5:$D$434,$A368)=0,"",SUMIFS(Countries!$AK$5:$AK$434,Countries!$A$5:$A$434,"All landing pages",Countries!$B$5:$B$434,"Direct",Countries!$D$5:$D$434,$A368))</f>
        <v/>
      </c>
      <c r="K368" s="41">
        <f>IF(SUMIFS(Countries!$AL$5:$AL$434,Countries!$A$5:$A$434,"All landing pages",Countries!$B$5:$B$434,"Direct",Countries!$D$5:$D$434,$A368)=0,"",SUMIFS(Countries!$AL$5:$AL$434,Countries!$A$5:$A$434,"All landing pages",Countries!$B$5:$B$434,"Direct",Countries!$D$5:$D$434,$A368))</f>
        <v/>
      </c>
      <c r="L368" s="69">
        <f>IF(OR(K368="",J368="",J368=0,K368=0),"",K368-J368)</f>
        <v/>
      </c>
      <c r="M368" s="42">
        <f>IF(OR(K368="",J368="",J368=0,K368=0),"",K368/J368-1)</f>
        <v/>
      </c>
      <c r="N368" s="41">
        <f>IF(SUM(B368,F368,J368)=0,"",SUM(B368,F368,J368))</f>
        <v/>
      </c>
      <c r="O368" s="41">
        <f>IF(SUM(C368,G368,K368)=0,"",SUM(C368,G368,K368))</f>
        <v/>
      </c>
      <c r="P368" s="69">
        <f>IF(OR(O368="",N368="",N368=0,O368=0),"",O368-N368)</f>
        <v/>
      </c>
      <c r="Q368" s="42">
        <f>IF(OR(O368="",N368="",N368=0,O368=0),"",O368/N368-1)</f>
        <v/>
      </c>
    </row>
    <row r="369">
      <c r="A369" s="40" t="inlineStr">
        <is>
          <t>Greece</t>
        </is>
      </c>
      <c r="B369" s="41">
        <f>IF(SUMIFS(Countries!$AK$5:$AK$434,Countries!$A$5:$A$434,"All landing pages",Countries!$B$5:$B$434,"Paid Search",Countries!$D$5:$D$434,$A369)=0,"",SUMIFS(Countries!$AK$5:$AK$434,Countries!$A$5:$A$434,"All landing pages",Countries!$B$5:$B$434,"Paid Search",Countries!$D$5:$D$434,$A369))</f>
        <v/>
      </c>
      <c r="C369" s="41">
        <f>IF(SUMIFS(Countries!$AL$5:$AL$434,Countries!$A$5:$A$434,"All landing pages",Countries!$B$5:$B$434,"Paid Search",Countries!$D$5:$D$434,$A369)=0,"",SUMIFS(Countries!$AL$5:$AL$434,Countries!$A$5:$A$434,"All landing pages",Countries!$B$5:$B$434,"Paid Search",Countries!$D$5:$D$434,$A369))</f>
        <v/>
      </c>
      <c r="D369" s="69">
        <f>IF(OR(C369="",B369="",B369=0,C369=0),"",C369-B369)</f>
        <v/>
      </c>
      <c r="E369" s="42">
        <f>IF(OR(C369="",B369="",B369=0,C369=0),"",C369/B369-1)</f>
        <v/>
      </c>
      <c r="F369" s="41">
        <f>IF(SUMIFS(Countries!$AK$5:$AK$434,Countries!$A$5:$A$434,"All landing pages",Countries!$B$5:$B$434,"Organic",Countries!$D$5:$D$434,$A369)=0,"",SUMIFS(Countries!$AK$5:$AK$434,Countries!$A$5:$A$434,"All landing pages",Countries!$B$5:$B$434,"Organic",Countries!$D$5:$D$434,$A369))</f>
        <v/>
      </c>
      <c r="G369" s="41">
        <f>IF(SUMIFS(Countries!$AL$5:$AL$434,Countries!$A$5:$A$434,"All landing pages",Countries!$B$5:$B$434,"Organic",Countries!$D$5:$D$434,$A369)=0,"",SUMIFS(Countries!$AL$5:$AL$434,Countries!$A$5:$A$434,"All landing pages",Countries!$B$5:$B$434,"Organic",Countries!$D$5:$D$434,$A369))</f>
        <v/>
      </c>
      <c r="H369" s="69">
        <f>IF(OR(G369="",F369="",F369=0,G369=0),"",G369-F369)</f>
        <v/>
      </c>
      <c r="I369" s="42">
        <f>IF(OR(G369="",F369="",F369=0,G369=0),"",G369/F369-1)</f>
        <v/>
      </c>
      <c r="J369" s="41">
        <f>IF(SUMIFS(Countries!$AK$5:$AK$434,Countries!$A$5:$A$434,"All landing pages",Countries!$B$5:$B$434,"Direct",Countries!$D$5:$D$434,$A369)=0,"",SUMIFS(Countries!$AK$5:$AK$434,Countries!$A$5:$A$434,"All landing pages",Countries!$B$5:$B$434,"Direct",Countries!$D$5:$D$434,$A369))</f>
        <v/>
      </c>
      <c r="K369" s="41">
        <f>IF(SUMIFS(Countries!$AL$5:$AL$434,Countries!$A$5:$A$434,"All landing pages",Countries!$B$5:$B$434,"Direct",Countries!$D$5:$D$434,$A369)=0,"",SUMIFS(Countries!$AL$5:$AL$434,Countries!$A$5:$A$434,"All landing pages",Countries!$B$5:$B$434,"Direct",Countries!$D$5:$D$434,$A369))</f>
        <v/>
      </c>
      <c r="L369" s="69">
        <f>IF(OR(K369="",J369="",J369=0,K369=0),"",K369-J369)</f>
        <v/>
      </c>
      <c r="M369" s="42">
        <f>IF(OR(K369="",J369="",J369=0,K369=0),"",K369/J369-1)</f>
        <v/>
      </c>
      <c r="N369" s="41">
        <f>IF(SUM(B369,F369,J369)=0,"",SUM(B369,F369,J369))</f>
        <v/>
      </c>
      <c r="O369" s="41">
        <f>IF(SUM(C369,G369,K369)=0,"",SUM(C369,G369,K369))</f>
        <v/>
      </c>
      <c r="P369" s="69">
        <f>IF(OR(O369="",N369="",N369=0,O369=0),"",O369-N369)</f>
        <v/>
      </c>
      <c r="Q369" s="42">
        <f>IF(OR(O369="",N369="",N369=0,O369=0),"",O369/N369-1)</f>
        <v/>
      </c>
    </row>
    <row r="370">
      <c r="A370" s="56" t="inlineStr">
        <is>
          <t>Switzerland</t>
        </is>
      </c>
      <c r="B370" s="41">
        <f>IF(SUMIFS(Countries!$AK$5:$AK$434,Countries!$A$5:$A$434,"All landing pages",Countries!$B$5:$B$434,"Paid Search",Countries!$D$5:$D$434,$A370)=0,"",SUMIFS(Countries!$AK$5:$AK$434,Countries!$A$5:$A$434,"All landing pages",Countries!$B$5:$B$434,"Paid Search",Countries!$D$5:$D$434,$A370))</f>
        <v/>
      </c>
      <c r="C370" s="41">
        <f>IF(SUMIFS(Countries!$AL$5:$AL$434,Countries!$A$5:$A$434,"All landing pages",Countries!$B$5:$B$434,"Paid Search",Countries!$D$5:$D$434,$A370)=0,"",SUMIFS(Countries!$AL$5:$AL$434,Countries!$A$5:$A$434,"All landing pages",Countries!$B$5:$B$434,"Paid Search",Countries!$D$5:$D$434,$A370))</f>
        <v/>
      </c>
      <c r="D370" s="69">
        <f>IF(OR(C370="",B370="",B370=0,C370=0),"",C370-B370)</f>
        <v/>
      </c>
      <c r="E370" s="42">
        <f>IF(OR(C370="",B370="",B370=0,C370=0),"",C370/B370-1)</f>
        <v/>
      </c>
      <c r="F370" s="41">
        <f>IF(SUMIFS(Countries!$AK$5:$AK$434,Countries!$A$5:$A$434,"All landing pages",Countries!$B$5:$B$434,"Organic",Countries!$D$5:$D$434,$A370)=0,"",SUMIFS(Countries!$AK$5:$AK$434,Countries!$A$5:$A$434,"All landing pages",Countries!$B$5:$B$434,"Organic",Countries!$D$5:$D$434,$A370))</f>
        <v/>
      </c>
      <c r="G370" s="41">
        <f>IF(SUMIFS(Countries!$AL$5:$AL$434,Countries!$A$5:$A$434,"All landing pages",Countries!$B$5:$B$434,"Organic",Countries!$D$5:$D$434,$A370)=0,"",SUMIFS(Countries!$AL$5:$AL$434,Countries!$A$5:$A$434,"All landing pages",Countries!$B$5:$B$434,"Organic",Countries!$D$5:$D$434,$A370))</f>
        <v/>
      </c>
      <c r="H370" s="69">
        <f>IF(OR(G370="",F370="",F370=0,G370=0),"",G370-F370)</f>
        <v/>
      </c>
      <c r="I370" s="42">
        <f>IF(OR(G370="",F370="",F370=0,G370=0),"",G370/F370-1)</f>
        <v/>
      </c>
      <c r="J370" s="41">
        <f>IF(SUMIFS(Countries!$AK$5:$AK$434,Countries!$A$5:$A$434,"All landing pages",Countries!$B$5:$B$434,"Direct",Countries!$D$5:$D$434,$A370)=0,"",SUMIFS(Countries!$AK$5:$AK$434,Countries!$A$5:$A$434,"All landing pages",Countries!$B$5:$B$434,"Direct",Countries!$D$5:$D$434,$A370))</f>
        <v/>
      </c>
      <c r="K370" s="41">
        <f>IF(SUMIFS(Countries!$AL$5:$AL$434,Countries!$A$5:$A$434,"All landing pages",Countries!$B$5:$B$434,"Direct",Countries!$D$5:$D$434,$A370)=0,"",SUMIFS(Countries!$AL$5:$AL$434,Countries!$A$5:$A$434,"All landing pages",Countries!$B$5:$B$434,"Direct",Countries!$D$5:$D$434,$A370))</f>
        <v/>
      </c>
      <c r="L370" s="69">
        <f>IF(OR(K370="",J370="",J370=0,K370=0),"",K370-J370)</f>
        <v/>
      </c>
      <c r="M370" s="42">
        <f>IF(OR(K370="",J370="",J370=0,K370=0),"",K370/J370-1)</f>
        <v/>
      </c>
      <c r="N370" s="41">
        <f>IF(SUM(B370,F370,J370)=0,"",SUM(B370,F370,J370))</f>
        <v/>
      </c>
      <c r="O370" s="41">
        <f>IF(SUM(C370,G370,K370)=0,"",SUM(C370,G370,K370))</f>
        <v/>
      </c>
      <c r="P370" s="69">
        <f>IF(OR(O370="",N370="",N370=0,O370=0),"",O370-N370)</f>
        <v/>
      </c>
      <c r="Q370" s="42">
        <f>IF(OR(O370="",N370="",N370=0,O370=0),"",O370/N370-1)</f>
        <v/>
      </c>
    </row>
    <row r="371">
      <c r="A371" s="40" t="inlineStr">
        <is>
          <t>(not set)</t>
        </is>
      </c>
      <c r="B371" s="41">
        <f>IF(SUMIFS(Countries!$AK$5:$AK$434,Countries!$A$5:$A$434,"All landing pages",Countries!$B$5:$B$434,"Paid Search",Countries!$D$5:$D$434,$A371)=0,"",SUMIFS(Countries!$AK$5:$AK$434,Countries!$A$5:$A$434,"All landing pages",Countries!$B$5:$B$434,"Paid Search",Countries!$D$5:$D$434,$A371))</f>
        <v/>
      </c>
      <c r="C371" s="41">
        <f>IF(SUMIFS(Countries!$AL$5:$AL$434,Countries!$A$5:$A$434,"All landing pages",Countries!$B$5:$B$434,"Paid Search",Countries!$D$5:$D$434,$A371)=0,"",SUMIFS(Countries!$AL$5:$AL$434,Countries!$A$5:$A$434,"All landing pages",Countries!$B$5:$B$434,"Paid Search",Countries!$D$5:$D$434,$A371))</f>
        <v/>
      </c>
      <c r="D371" s="69">
        <f>IF(OR(C371="",B371="",B371=0,C371=0),"",C371-B371)</f>
        <v/>
      </c>
      <c r="E371" s="42">
        <f>IF(OR(C371="",B371="",B371=0,C371=0),"",C371/B371-1)</f>
        <v/>
      </c>
      <c r="F371" s="41">
        <f>IF(SUMIFS(Countries!$AK$5:$AK$434,Countries!$A$5:$A$434,"All landing pages",Countries!$B$5:$B$434,"Organic",Countries!$D$5:$D$434,$A371)=0,"",SUMIFS(Countries!$AK$5:$AK$434,Countries!$A$5:$A$434,"All landing pages",Countries!$B$5:$B$434,"Organic",Countries!$D$5:$D$434,$A371))</f>
        <v/>
      </c>
      <c r="G371" s="41">
        <f>IF(SUMIFS(Countries!$AL$5:$AL$434,Countries!$A$5:$A$434,"All landing pages",Countries!$B$5:$B$434,"Organic",Countries!$D$5:$D$434,$A371)=0,"",SUMIFS(Countries!$AL$5:$AL$434,Countries!$A$5:$A$434,"All landing pages",Countries!$B$5:$B$434,"Organic",Countries!$D$5:$D$434,$A371))</f>
        <v/>
      </c>
      <c r="H371" s="69">
        <f>IF(OR(G371="",F371="",F371=0,G371=0),"",G371-F371)</f>
        <v/>
      </c>
      <c r="I371" s="42">
        <f>IF(OR(G371="",F371="",F371=0,G371=0),"",G371/F371-1)</f>
        <v/>
      </c>
      <c r="J371" s="41">
        <f>IF(SUMIFS(Countries!$AK$5:$AK$434,Countries!$A$5:$A$434,"All landing pages",Countries!$B$5:$B$434,"Direct",Countries!$D$5:$D$434,$A371)=0,"",SUMIFS(Countries!$AK$5:$AK$434,Countries!$A$5:$A$434,"All landing pages",Countries!$B$5:$B$434,"Direct",Countries!$D$5:$D$434,$A371))</f>
        <v/>
      </c>
      <c r="K371" s="41">
        <f>IF(SUMIFS(Countries!$AL$5:$AL$434,Countries!$A$5:$A$434,"All landing pages",Countries!$B$5:$B$434,"Direct",Countries!$D$5:$D$434,$A371)=0,"",SUMIFS(Countries!$AL$5:$AL$434,Countries!$A$5:$A$434,"All landing pages",Countries!$B$5:$B$434,"Direct",Countries!$D$5:$D$434,$A371))</f>
        <v/>
      </c>
      <c r="L371" s="69">
        <f>IF(OR(K371="",J371="",J371=0,K371=0),"",K371-J371)</f>
        <v/>
      </c>
      <c r="M371" s="42">
        <f>IF(OR(K371="",J371="",J371=0,K371=0),"",K371/J371-1)</f>
        <v/>
      </c>
      <c r="N371" s="41">
        <f>IF(SUM(B371,F371,J371)=0,"",SUM(B371,F371,J371))</f>
        <v/>
      </c>
      <c r="O371" s="41">
        <f>IF(SUM(C371,G371,K371)=0,"",SUM(C371,G371,K371))</f>
        <v/>
      </c>
      <c r="P371" s="69">
        <f>IF(OR(O371="",N371="",N371=0,O371=0),"",O371-N371)</f>
        <v/>
      </c>
      <c r="Q371" s="42">
        <f>IF(OR(O371="",N371="",N371=0,O371=0),"",O371/N371-1)</f>
        <v/>
      </c>
    </row>
    <row r="372">
      <c r="A372" s="56" t="inlineStr">
        <is>
          <t>Algeria</t>
        </is>
      </c>
      <c r="B372" s="41">
        <f>IF(SUMIFS(Countries!$AK$5:$AK$434,Countries!$A$5:$A$434,"All landing pages",Countries!$B$5:$B$434,"Paid Search",Countries!$D$5:$D$434,$A372)=0,"",SUMIFS(Countries!$AK$5:$AK$434,Countries!$A$5:$A$434,"All landing pages",Countries!$B$5:$B$434,"Paid Search",Countries!$D$5:$D$434,$A372))</f>
        <v/>
      </c>
      <c r="C372" s="41">
        <f>IF(SUMIFS(Countries!$AL$5:$AL$434,Countries!$A$5:$A$434,"All landing pages",Countries!$B$5:$B$434,"Paid Search",Countries!$D$5:$D$434,$A372)=0,"",SUMIFS(Countries!$AL$5:$AL$434,Countries!$A$5:$A$434,"All landing pages",Countries!$B$5:$B$434,"Paid Search",Countries!$D$5:$D$434,$A372))</f>
        <v/>
      </c>
      <c r="D372" s="69">
        <f>IF(OR(C372="",B372="",B372=0,C372=0),"",C372-B372)</f>
        <v/>
      </c>
      <c r="E372" s="42">
        <f>IF(OR(C372="",B372="",B372=0,C372=0),"",C372/B372-1)</f>
        <v/>
      </c>
      <c r="F372" s="41">
        <f>IF(SUMIFS(Countries!$AK$5:$AK$434,Countries!$A$5:$A$434,"All landing pages",Countries!$B$5:$B$434,"Organic",Countries!$D$5:$D$434,$A372)=0,"",SUMIFS(Countries!$AK$5:$AK$434,Countries!$A$5:$A$434,"All landing pages",Countries!$B$5:$B$434,"Organic",Countries!$D$5:$D$434,$A372))</f>
        <v/>
      </c>
      <c r="G372" s="41">
        <f>IF(SUMIFS(Countries!$AL$5:$AL$434,Countries!$A$5:$A$434,"All landing pages",Countries!$B$5:$B$434,"Organic",Countries!$D$5:$D$434,$A372)=0,"",SUMIFS(Countries!$AL$5:$AL$434,Countries!$A$5:$A$434,"All landing pages",Countries!$B$5:$B$434,"Organic",Countries!$D$5:$D$434,$A372))</f>
        <v/>
      </c>
      <c r="H372" s="69">
        <f>IF(OR(G372="",F372="",F372=0,G372=0),"",G372-F372)</f>
        <v/>
      </c>
      <c r="I372" s="42">
        <f>IF(OR(G372="",F372="",F372=0,G372=0),"",G372/F372-1)</f>
        <v/>
      </c>
      <c r="J372" s="41">
        <f>IF(SUMIFS(Countries!$AK$5:$AK$434,Countries!$A$5:$A$434,"All landing pages",Countries!$B$5:$B$434,"Direct",Countries!$D$5:$D$434,$A372)=0,"",SUMIFS(Countries!$AK$5:$AK$434,Countries!$A$5:$A$434,"All landing pages",Countries!$B$5:$B$434,"Direct",Countries!$D$5:$D$434,$A372))</f>
        <v/>
      </c>
      <c r="K372" s="41">
        <f>IF(SUMIFS(Countries!$AL$5:$AL$434,Countries!$A$5:$A$434,"All landing pages",Countries!$B$5:$B$434,"Direct",Countries!$D$5:$D$434,$A372)=0,"",SUMIFS(Countries!$AL$5:$AL$434,Countries!$A$5:$A$434,"All landing pages",Countries!$B$5:$B$434,"Direct",Countries!$D$5:$D$434,$A372))</f>
        <v/>
      </c>
      <c r="L372" s="69">
        <f>IF(OR(K372="",J372="",J372=0,K372=0),"",K372-J372)</f>
        <v/>
      </c>
      <c r="M372" s="42">
        <f>IF(OR(K372="",J372="",J372=0,K372=0),"",K372/J372-1)</f>
        <v/>
      </c>
      <c r="N372" s="41">
        <f>IF(SUM(B372,F372,J372)=0,"",SUM(B372,F372,J372))</f>
        <v/>
      </c>
      <c r="O372" s="41">
        <f>IF(SUM(C372,G372,K372)=0,"",SUM(C372,G372,K372))</f>
        <v/>
      </c>
      <c r="P372" s="69">
        <f>IF(OR(O372="",N372="",N372=0,O372=0),"",O372-N372)</f>
        <v/>
      </c>
      <c r="Q372" s="42">
        <f>IF(OR(O372="",N372="",N372=0,O372=0),"",O372/N372-1)</f>
        <v/>
      </c>
    </row>
    <row r="373">
      <c r="A373" s="40" t="inlineStr">
        <is>
          <t>Argentina</t>
        </is>
      </c>
      <c r="B373" s="41">
        <f>IF(SUMIFS(Countries!$AK$5:$AK$434,Countries!$A$5:$A$434,"All landing pages",Countries!$B$5:$B$434,"Paid Search",Countries!$D$5:$D$434,$A373)=0,"",SUMIFS(Countries!$AK$5:$AK$434,Countries!$A$5:$A$434,"All landing pages",Countries!$B$5:$B$434,"Paid Search",Countries!$D$5:$D$434,$A373))</f>
        <v/>
      </c>
      <c r="C373" s="41">
        <f>IF(SUMIFS(Countries!$AL$5:$AL$434,Countries!$A$5:$A$434,"All landing pages",Countries!$B$5:$B$434,"Paid Search",Countries!$D$5:$D$434,$A373)=0,"",SUMIFS(Countries!$AL$5:$AL$434,Countries!$A$5:$A$434,"All landing pages",Countries!$B$5:$B$434,"Paid Search",Countries!$D$5:$D$434,$A373))</f>
        <v/>
      </c>
      <c r="D373" s="69">
        <f>IF(OR(C373="",B373="",B373=0,C373=0),"",C373-B373)</f>
        <v/>
      </c>
      <c r="E373" s="42">
        <f>IF(OR(C373="",B373="",B373=0,C373=0),"",C373/B373-1)</f>
        <v/>
      </c>
      <c r="F373" s="41">
        <f>IF(SUMIFS(Countries!$AK$5:$AK$434,Countries!$A$5:$A$434,"All landing pages",Countries!$B$5:$B$434,"Organic",Countries!$D$5:$D$434,$A373)=0,"",SUMIFS(Countries!$AK$5:$AK$434,Countries!$A$5:$A$434,"All landing pages",Countries!$B$5:$B$434,"Organic",Countries!$D$5:$D$434,$A373))</f>
        <v/>
      </c>
      <c r="G373" s="41">
        <f>IF(SUMIFS(Countries!$AL$5:$AL$434,Countries!$A$5:$A$434,"All landing pages",Countries!$B$5:$B$434,"Organic",Countries!$D$5:$D$434,$A373)=0,"",SUMIFS(Countries!$AL$5:$AL$434,Countries!$A$5:$A$434,"All landing pages",Countries!$B$5:$B$434,"Organic",Countries!$D$5:$D$434,$A373))</f>
        <v/>
      </c>
      <c r="H373" s="69">
        <f>IF(OR(G373="",F373="",F373=0,G373=0),"",G373-F373)</f>
        <v/>
      </c>
      <c r="I373" s="42">
        <f>IF(OR(G373="",F373="",F373=0,G373=0),"",G373/F373-1)</f>
        <v/>
      </c>
      <c r="J373" s="41">
        <f>IF(SUMIFS(Countries!$AK$5:$AK$434,Countries!$A$5:$A$434,"All landing pages",Countries!$B$5:$B$434,"Direct",Countries!$D$5:$D$434,$A373)=0,"",SUMIFS(Countries!$AK$5:$AK$434,Countries!$A$5:$A$434,"All landing pages",Countries!$B$5:$B$434,"Direct",Countries!$D$5:$D$434,$A373))</f>
        <v/>
      </c>
      <c r="K373" s="41">
        <f>IF(SUMIFS(Countries!$AL$5:$AL$434,Countries!$A$5:$A$434,"All landing pages",Countries!$B$5:$B$434,"Direct",Countries!$D$5:$D$434,$A373)=0,"",SUMIFS(Countries!$AL$5:$AL$434,Countries!$A$5:$A$434,"All landing pages",Countries!$B$5:$B$434,"Direct",Countries!$D$5:$D$434,$A373))</f>
        <v/>
      </c>
      <c r="L373" s="69">
        <f>IF(OR(K373="",J373="",J373=0,K373=0),"",K373-J373)</f>
        <v/>
      </c>
      <c r="M373" s="42">
        <f>IF(OR(K373="",J373="",J373=0,K373=0),"",K373/J373-1)</f>
        <v/>
      </c>
      <c r="N373" s="41">
        <f>IF(SUM(B373,F373,J373)=0,"",SUM(B373,F373,J373))</f>
        <v/>
      </c>
      <c r="O373" s="41">
        <f>IF(SUM(C373,G373,K373)=0,"",SUM(C373,G373,K373))</f>
        <v/>
      </c>
      <c r="P373" s="69">
        <f>IF(OR(O373="",N373="",N373=0,O373=0),"",O373-N373)</f>
        <v/>
      </c>
      <c r="Q373" s="42">
        <f>IF(OR(O373="",N373="",N373=0,O373=0),"",O373/N373-1)</f>
        <v/>
      </c>
    </row>
    <row r="374">
      <c r="A374" s="56" t="inlineStr">
        <is>
          <t>Bangladesh</t>
        </is>
      </c>
      <c r="B374" s="41">
        <f>IF(SUMIFS(Countries!$AK$5:$AK$434,Countries!$A$5:$A$434,"All landing pages",Countries!$B$5:$B$434,"Paid Search",Countries!$D$5:$D$434,$A374)=0,"",SUMIFS(Countries!$AK$5:$AK$434,Countries!$A$5:$A$434,"All landing pages",Countries!$B$5:$B$434,"Paid Search",Countries!$D$5:$D$434,$A374))</f>
        <v/>
      </c>
      <c r="C374" s="41">
        <f>IF(SUMIFS(Countries!$AL$5:$AL$434,Countries!$A$5:$A$434,"All landing pages",Countries!$B$5:$B$434,"Paid Search",Countries!$D$5:$D$434,$A374)=0,"",SUMIFS(Countries!$AL$5:$AL$434,Countries!$A$5:$A$434,"All landing pages",Countries!$B$5:$B$434,"Paid Search",Countries!$D$5:$D$434,$A374))</f>
        <v/>
      </c>
      <c r="D374" s="69">
        <f>IF(OR(C374="",B374="",B374=0,C374=0),"",C374-B374)</f>
        <v/>
      </c>
      <c r="E374" s="42">
        <f>IF(OR(C374="",B374="",B374=0,C374=0),"",C374/B374-1)</f>
        <v/>
      </c>
      <c r="F374" s="41">
        <f>IF(SUMIFS(Countries!$AK$5:$AK$434,Countries!$A$5:$A$434,"All landing pages",Countries!$B$5:$B$434,"Organic",Countries!$D$5:$D$434,$A374)=0,"",SUMIFS(Countries!$AK$5:$AK$434,Countries!$A$5:$A$434,"All landing pages",Countries!$B$5:$B$434,"Organic",Countries!$D$5:$D$434,$A374))</f>
        <v/>
      </c>
      <c r="G374" s="41">
        <f>IF(SUMIFS(Countries!$AL$5:$AL$434,Countries!$A$5:$A$434,"All landing pages",Countries!$B$5:$B$434,"Organic",Countries!$D$5:$D$434,$A374)=0,"",SUMIFS(Countries!$AL$5:$AL$434,Countries!$A$5:$A$434,"All landing pages",Countries!$B$5:$B$434,"Organic",Countries!$D$5:$D$434,$A374))</f>
        <v/>
      </c>
      <c r="H374" s="69">
        <f>IF(OR(G374="",F374="",F374=0,G374=0),"",G374-F374)</f>
        <v/>
      </c>
      <c r="I374" s="42">
        <f>IF(OR(G374="",F374="",F374=0,G374=0),"",G374/F374-1)</f>
        <v/>
      </c>
      <c r="J374" s="41">
        <f>IF(SUMIFS(Countries!$AK$5:$AK$434,Countries!$A$5:$A$434,"All landing pages",Countries!$B$5:$B$434,"Direct",Countries!$D$5:$D$434,$A374)=0,"",SUMIFS(Countries!$AK$5:$AK$434,Countries!$A$5:$A$434,"All landing pages",Countries!$B$5:$B$434,"Direct",Countries!$D$5:$D$434,$A374))</f>
        <v/>
      </c>
      <c r="K374" s="41">
        <f>IF(SUMIFS(Countries!$AL$5:$AL$434,Countries!$A$5:$A$434,"All landing pages",Countries!$B$5:$B$434,"Direct",Countries!$D$5:$D$434,$A374)=0,"",SUMIFS(Countries!$AL$5:$AL$434,Countries!$A$5:$A$434,"All landing pages",Countries!$B$5:$B$434,"Direct",Countries!$D$5:$D$434,$A374))</f>
        <v/>
      </c>
      <c r="L374" s="69">
        <f>IF(OR(K374="",J374="",J374=0,K374=0),"",K374-J374)</f>
        <v/>
      </c>
      <c r="M374" s="42">
        <f>IF(OR(K374="",J374="",J374=0,K374=0),"",K374/J374-1)</f>
        <v/>
      </c>
      <c r="N374" s="41">
        <f>IF(SUM(B374,F374,J374)=0,"",SUM(B374,F374,J374))</f>
        <v/>
      </c>
      <c r="O374" s="41">
        <f>IF(SUM(C374,G374,K374)=0,"",SUM(C374,G374,K374))</f>
        <v/>
      </c>
      <c r="P374" s="69">
        <f>IF(OR(O374="",N374="",N374=0,O374=0),"",O374-N374)</f>
        <v/>
      </c>
      <c r="Q374" s="42">
        <f>IF(OR(O374="",N374="",N374=0,O374=0),"",O374/N374-1)</f>
        <v/>
      </c>
    </row>
    <row r="375">
      <c r="A375" s="40" t="inlineStr">
        <is>
          <t>Brazil</t>
        </is>
      </c>
      <c r="B375" s="41">
        <f>IF(SUMIFS(Countries!$AK$5:$AK$434,Countries!$A$5:$A$434,"All landing pages",Countries!$B$5:$B$434,"Paid Search",Countries!$D$5:$D$434,$A375)=0,"",SUMIFS(Countries!$AK$5:$AK$434,Countries!$A$5:$A$434,"All landing pages",Countries!$B$5:$B$434,"Paid Search",Countries!$D$5:$D$434,$A375))</f>
        <v/>
      </c>
      <c r="C375" s="41">
        <f>IF(SUMIFS(Countries!$AL$5:$AL$434,Countries!$A$5:$A$434,"All landing pages",Countries!$B$5:$B$434,"Paid Search",Countries!$D$5:$D$434,$A375)=0,"",SUMIFS(Countries!$AL$5:$AL$434,Countries!$A$5:$A$434,"All landing pages",Countries!$B$5:$B$434,"Paid Search",Countries!$D$5:$D$434,$A375))</f>
        <v/>
      </c>
      <c r="D375" s="69">
        <f>IF(OR(C375="",B375="",B375=0,C375=0),"",C375-B375)</f>
        <v/>
      </c>
      <c r="E375" s="42">
        <f>IF(OR(C375="",B375="",B375=0,C375=0),"",C375/B375-1)</f>
        <v/>
      </c>
      <c r="F375" s="41">
        <f>IF(SUMIFS(Countries!$AK$5:$AK$434,Countries!$A$5:$A$434,"All landing pages",Countries!$B$5:$B$434,"Organic",Countries!$D$5:$D$434,$A375)=0,"",SUMIFS(Countries!$AK$5:$AK$434,Countries!$A$5:$A$434,"All landing pages",Countries!$B$5:$B$434,"Organic",Countries!$D$5:$D$434,$A375))</f>
        <v/>
      </c>
      <c r="G375" s="41">
        <f>IF(SUMIFS(Countries!$AL$5:$AL$434,Countries!$A$5:$A$434,"All landing pages",Countries!$B$5:$B$434,"Organic",Countries!$D$5:$D$434,$A375)=0,"",SUMIFS(Countries!$AL$5:$AL$434,Countries!$A$5:$A$434,"All landing pages",Countries!$B$5:$B$434,"Organic",Countries!$D$5:$D$434,$A375))</f>
        <v/>
      </c>
      <c r="H375" s="69">
        <f>IF(OR(G375="",F375="",F375=0,G375=0),"",G375-F375)</f>
        <v/>
      </c>
      <c r="I375" s="42">
        <f>IF(OR(G375="",F375="",F375=0,G375=0),"",G375/F375-1)</f>
        <v/>
      </c>
      <c r="J375" s="41">
        <f>IF(SUMIFS(Countries!$AK$5:$AK$434,Countries!$A$5:$A$434,"All landing pages",Countries!$B$5:$B$434,"Direct",Countries!$D$5:$D$434,$A375)=0,"",SUMIFS(Countries!$AK$5:$AK$434,Countries!$A$5:$A$434,"All landing pages",Countries!$B$5:$B$434,"Direct",Countries!$D$5:$D$434,$A375))</f>
        <v/>
      </c>
      <c r="K375" s="41">
        <f>IF(SUMIFS(Countries!$AL$5:$AL$434,Countries!$A$5:$A$434,"All landing pages",Countries!$B$5:$B$434,"Direct",Countries!$D$5:$D$434,$A375)=0,"",SUMIFS(Countries!$AL$5:$AL$434,Countries!$A$5:$A$434,"All landing pages",Countries!$B$5:$B$434,"Direct",Countries!$D$5:$D$434,$A375))</f>
        <v/>
      </c>
      <c r="L375" s="69">
        <f>IF(OR(K375="",J375="",J375=0,K375=0),"",K375-J375)</f>
        <v/>
      </c>
      <c r="M375" s="42">
        <f>IF(OR(K375="",J375="",J375=0,K375=0),"",K375/J375-1)</f>
        <v/>
      </c>
      <c r="N375" s="41">
        <f>IF(SUM(B375,F375,J375)=0,"",SUM(B375,F375,J375))</f>
        <v/>
      </c>
      <c r="O375" s="41">
        <f>IF(SUM(C375,G375,K375)=0,"",SUM(C375,G375,K375))</f>
        <v/>
      </c>
      <c r="P375" s="69">
        <f>IF(OR(O375="",N375="",N375=0,O375=0),"",O375-N375)</f>
        <v/>
      </c>
      <c r="Q375" s="42">
        <f>IF(OR(O375="",N375="",N375=0,O375=0),"",O375/N375-1)</f>
        <v/>
      </c>
    </row>
    <row r="376">
      <c r="A376" s="56" t="inlineStr">
        <is>
          <t>China</t>
        </is>
      </c>
      <c r="B376" s="41">
        <f>IF(SUMIFS(Countries!$AK$5:$AK$434,Countries!$A$5:$A$434,"All landing pages",Countries!$B$5:$B$434,"Paid Search",Countries!$D$5:$D$434,$A376)=0,"",SUMIFS(Countries!$AK$5:$AK$434,Countries!$A$5:$A$434,"All landing pages",Countries!$B$5:$B$434,"Paid Search",Countries!$D$5:$D$434,$A376))</f>
        <v/>
      </c>
      <c r="C376" s="41">
        <f>IF(SUMIFS(Countries!$AL$5:$AL$434,Countries!$A$5:$A$434,"All landing pages",Countries!$B$5:$B$434,"Paid Search",Countries!$D$5:$D$434,$A376)=0,"",SUMIFS(Countries!$AL$5:$AL$434,Countries!$A$5:$A$434,"All landing pages",Countries!$B$5:$B$434,"Paid Search",Countries!$D$5:$D$434,$A376))</f>
        <v/>
      </c>
      <c r="D376" s="69">
        <f>IF(OR(C376="",B376="",B376=0,C376=0),"",C376-B376)</f>
        <v/>
      </c>
      <c r="E376" s="42">
        <f>IF(OR(C376="",B376="",B376=0,C376=0),"",C376/B376-1)</f>
        <v/>
      </c>
      <c r="F376" s="41">
        <f>IF(SUMIFS(Countries!$AK$5:$AK$434,Countries!$A$5:$A$434,"All landing pages",Countries!$B$5:$B$434,"Organic",Countries!$D$5:$D$434,$A376)=0,"",SUMIFS(Countries!$AK$5:$AK$434,Countries!$A$5:$A$434,"All landing pages",Countries!$B$5:$B$434,"Organic",Countries!$D$5:$D$434,$A376))</f>
        <v/>
      </c>
      <c r="G376" s="41">
        <f>IF(SUMIFS(Countries!$AL$5:$AL$434,Countries!$A$5:$A$434,"All landing pages",Countries!$B$5:$B$434,"Organic",Countries!$D$5:$D$434,$A376)=0,"",SUMIFS(Countries!$AL$5:$AL$434,Countries!$A$5:$A$434,"All landing pages",Countries!$B$5:$B$434,"Organic",Countries!$D$5:$D$434,$A376))</f>
        <v/>
      </c>
      <c r="H376" s="69">
        <f>IF(OR(G376="",F376="",F376=0,G376=0),"",G376-F376)</f>
        <v/>
      </c>
      <c r="I376" s="42">
        <f>IF(OR(G376="",F376="",F376=0,G376=0),"",G376/F376-1)</f>
        <v/>
      </c>
      <c r="J376" s="41">
        <f>IF(SUMIFS(Countries!$AK$5:$AK$434,Countries!$A$5:$A$434,"All landing pages",Countries!$B$5:$B$434,"Direct",Countries!$D$5:$D$434,$A376)=0,"",SUMIFS(Countries!$AK$5:$AK$434,Countries!$A$5:$A$434,"All landing pages",Countries!$B$5:$B$434,"Direct",Countries!$D$5:$D$434,$A376))</f>
        <v/>
      </c>
      <c r="K376" s="41">
        <f>IF(SUMIFS(Countries!$AL$5:$AL$434,Countries!$A$5:$A$434,"All landing pages",Countries!$B$5:$B$434,"Direct",Countries!$D$5:$D$434,$A376)=0,"",SUMIFS(Countries!$AL$5:$AL$434,Countries!$A$5:$A$434,"All landing pages",Countries!$B$5:$B$434,"Direct",Countries!$D$5:$D$434,$A376))</f>
        <v/>
      </c>
      <c r="L376" s="69">
        <f>IF(OR(K376="",J376="",J376=0,K376=0),"",K376-J376)</f>
        <v/>
      </c>
      <c r="M376" s="42">
        <f>IF(OR(K376="",J376="",J376=0,K376=0),"",K376/J376-1)</f>
        <v/>
      </c>
      <c r="N376" s="41">
        <f>IF(SUM(B376,F376,J376)=0,"",SUM(B376,F376,J376))</f>
        <v/>
      </c>
      <c r="O376" s="41">
        <f>IF(SUM(C376,G376,K376)=0,"",SUM(C376,G376,K376))</f>
        <v/>
      </c>
      <c r="P376" s="69">
        <f>IF(OR(O376="",N376="",N376=0,O376=0),"",O376-N376)</f>
        <v/>
      </c>
      <c r="Q376" s="42">
        <f>IF(OR(O376="",N376="",N376=0,O376=0),"",O376/N376-1)</f>
        <v/>
      </c>
    </row>
    <row r="377">
      <c r="A377" s="40" t="inlineStr">
        <is>
          <t>Croatia</t>
        </is>
      </c>
      <c r="B377" s="41">
        <f>IF(SUMIFS(Countries!$AK$5:$AK$434,Countries!$A$5:$A$434,"All landing pages",Countries!$B$5:$B$434,"Paid Search",Countries!$D$5:$D$434,$A377)=0,"",SUMIFS(Countries!$AK$5:$AK$434,Countries!$A$5:$A$434,"All landing pages",Countries!$B$5:$B$434,"Paid Search",Countries!$D$5:$D$434,$A377))</f>
        <v/>
      </c>
      <c r="C377" s="41">
        <f>IF(SUMIFS(Countries!$AL$5:$AL$434,Countries!$A$5:$A$434,"All landing pages",Countries!$B$5:$B$434,"Paid Search",Countries!$D$5:$D$434,$A377)=0,"",SUMIFS(Countries!$AL$5:$AL$434,Countries!$A$5:$A$434,"All landing pages",Countries!$B$5:$B$434,"Paid Search",Countries!$D$5:$D$434,$A377))</f>
        <v/>
      </c>
      <c r="D377" s="69">
        <f>IF(OR(C377="",B377="",B377=0,C377=0),"",C377-B377)</f>
        <v/>
      </c>
      <c r="E377" s="42">
        <f>IF(OR(C377="",B377="",B377=0,C377=0),"",C377/B377-1)</f>
        <v/>
      </c>
      <c r="F377" s="41">
        <f>IF(SUMIFS(Countries!$AK$5:$AK$434,Countries!$A$5:$A$434,"All landing pages",Countries!$B$5:$B$434,"Organic",Countries!$D$5:$D$434,$A377)=0,"",SUMIFS(Countries!$AK$5:$AK$434,Countries!$A$5:$A$434,"All landing pages",Countries!$B$5:$B$434,"Organic",Countries!$D$5:$D$434,$A377))</f>
        <v/>
      </c>
      <c r="G377" s="41">
        <f>IF(SUMIFS(Countries!$AL$5:$AL$434,Countries!$A$5:$A$434,"All landing pages",Countries!$B$5:$B$434,"Organic",Countries!$D$5:$D$434,$A377)=0,"",SUMIFS(Countries!$AL$5:$AL$434,Countries!$A$5:$A$434,"All landing pages",Countries!$B$5:$B$434,"Organic",Countries!$D$5:$D$434,$A377))</f>
        <v/>
      </c>
      <c r="H377" s="69">
        <f>IF(OR(G377="",F377="",F377=0,G377=0),"",G377-F377)</f>
        <v/>
      </c>
      <c r="I377" s="42">
        <f>IF(OR(G377="",F377="",F377=0,G377=0),"",G377/F377-1)</f>
        <v/>
      </c>
      <c r="J377" s="41">
        <f>IF(SUMIFS(Countries!$AK$5:$AK$434,Countries!$A$5:$A$434,"All landing pages",Countries!$B$5:$B$434,"Direct",Countries!$D$5:$D$434,$A377)=0,"",SUMIFS(Countries!$AK$5:$AK$434,Countries!$A$5:$A$434,"All landing pages",Countries!$B$5:$B$434,"Direct",Countries!$D$5:$D$434,$A377))</f>
        <v/>
      </c>
      <c r="K377" s="41">
        <f>IF(SUMIFS(Countries!$AL$5:$AL$434,Countries!$A$5:$A$434,"All landing pages",Countries!$B$5:$B$434,"Direct",Countries!$D$5:$D$434,$A377)=0,"",SUMIFS(Countries!$AL$5:$AL$434,Countries!$A$5:$A$434,"All landing pages",Countries!$B$5:$B$434,"Direct",Countries!$D$5:$D$434,$A377))</f>
        <v/>
      </c>
      <c r="L377" s="69">
        <f>IF(OR(K377="",J377="",J377=0,K377=0),"",K377-J377)</f>
        <v/>
      </c>
      <c r="M377" s="42">
        <f>IF(OR(K377="",J377="",J377=0,K377=0),"",K377/J377-1)</f>
        <v/>
      </c>
      <c r="N377" s="41">
        <f>IF(SUM(B377,F377,J377)=0,"",SUM(B377,F377,J377))</f>
        <v/>
      </c>
      <c r="O377" s="41">
        <f>IF(SUM(C377,G377,K377)=0,"",SUM(C377,G377,K377))</f>
        <v/>
      </c>
      <c r="P377" s="69">
        <f>IF(OR(O377="",N377="",N377=0,O377=0),"",O377-N377)</f>
        <v/>
      </c>
      <c r="Q377" s="42">
        <f>IF(OR(O377="",N377="",N377=0,O377=0),"",O377/N377-1)</f>
        <v/>
      </c>
    </row>
    <row r="378">
      <c r="A378" s="56" t="inlineStr">
        <is>
          <t>Honduras</t>
        </is>
      </c>
      <c r="B378" s="41">
        <f>IF(SUMIFS(Countries!$AK$5:$AK$434,Countries!$A$5:$A$434,"All landing pages",Countries!$B$5:$B$434,"Paid Search",Countries!$D$5:$D$434,$A378)=0,"",SUMIFS(Countries!$AK$5:$AK$434,Countries!$A$5:$A$434,"All landing pages",Countries!$B$5:$B$434,"Paid Search",Countries!$D$5:$D$434,$A378))</f>
        <v/>
      </c>
      <c r="C378" s="41">
        <f>IF(SUMIFS(Countries!$AL$5:$AL$434,Countries!$A$5:$A$434,"All landing pages",Countries!$B$5:$B$434,"Paid Search",Countries!$D$5:$D$434,$A378)=0,"",SUMIFS(Countries!$AL$5:$AL$434,Countries!$A$5:$A$434,"All landing pages",Countries!$B$5:$B$434,"Paid Search",Countries!$D$5:$D$434,$A378))</f>
        <v/>
      </c>
      <c r="D378" s="69">
        <f>IF(OR(C378="",B378="",B378=0,C378=0),"",C378-B378)</f>
        <v/>
      </c>
      <c r="E378" s="42">
        <f>IF(OR(C378="",B378="",B378=0,C378=0),"",C378/B378-1)</f>
        <v/>
      </c>
      <c r="F378" s="41">
        <f>IF(SUMIFS(Countries!$AK$5:$AK$434,Countries!$A$5:$A$434,"All landing pages",Countries!$B$5:$B$434,"Organic",Countries!$D$5:$D$434,$A378)=0,"",SUMIFS(Countries!$AK$5:$AK$434,Countries!$A$5:$A$434,"All landing pages",Countries!$B$5:$B$434,"Organic",Countries!$D$5:$D$434,$A378))</f>
        <v/>
      </c>
      <c r="G378" s="41">
        <f>IF(SUMIFS(Countries!$AL$5:$AL$434,Countries!$A$5:$A$434,"All landing pages",Countries!$B$5:$B$434,"Organic",Countries!$D$5:$D$434,$A378)=0,"",SUMIFS(Countries!$AL$5:$AL$434,Countries!$A$5:$A$434,"All landing pages",Countries!$B$5:$B$434,"Organic",Countries!$D$5:$D$434,$A378))</f>
        <v/>
      </c>
      <c r="H378" s="69">
        <f>IF(OR(G378="",F378="",F378=0,G378=0),"",G378-F378)</f>
        <v/>
      </c>
      <c r="I378" s="42">
        <f>IF(OR(G378="",F378="",F378=0,G378=0),"",G378/F378-1)</f>
        <v/>
      </c>
      <c r="J378" s="41">
        <f>IF(SUMIFS(Countries!$AK$5:$AK$434,Countries!$A$5:$A$434,"All landing pages",Countries!$B$5:$B$434,"Direct",Countries!$D$5:$D$434,$A378)=0,"",SUMIFS(Countries!$AK$5:$AK$434,Countries!$A$5:$A$434,"All landing pages",Countries!$B$5:$B$434,"Direct",Countries!$D$5:$D$434,$A378))</f>
        <v/>
      </c>
      <c r="K378" s="41">
        <f>IF(SUMIFS(Countries!$AL$5:$AL$434,Countries!$A$5:$A$434,"All landing pages",Countries!$B$5:$B$434,"Direct",Countries!$D$5:$D$434,$A378)=0,"",SUMIFS(Countries!$AL$5:$AL$434,Countries!$A$5:$A$434,"All landing pages",Countries!$B$5:$B$434,"Direct",Countries!$D$5:$D$434,$A378))</f>
        <v/>
      </c>
      <c r="L378" s="69">
        <f>IF(OR(K378="",J378="",J378=0,K378=0),"",K378-J378)</f>
        <v/>
      </c>
      <c r="M378" s="42">
        <f>IF(OR(K378="",J378="",J378=0,K378=0),"",K378/J378-1)</f>
        <v/>
      </c>
      <c r="N378" s="41">
        <f>IF(SUM(B378,F378,J378)=0,"",SUM(B378,F378,J378))</f>
        <v/>
      </c>
      <c r="O378" s="41">
        <f>IF(SUM(C378,G378,K378)=0,"",SUM(C378,G378,K378))</f>
        <v/>
      </c>
      <c r="P378" s="69">
        <f>IF(OR(O378="",N378="",N378=0,O378=0),"",O378-N378)</f>
        <v/>
      </c>
      <c r="Q378" s="42">
        <f>IF(OR(O378="",N378="",N378=0,O378=0),"",O378/N378-1)</f>
        <v/>
      </c>
    </row>
    <row r="379">
      <c r="A379" s="40" t="inlineStr">
        <is>
          <t>Israel</t>
        </is>
      </c>
      <c r="B379" s="41">
        <f>IF(SUMIFS(Countries!$AK$5:$AK$434,Countries!$A$5:$A$434,"All landing pages",Countries!$B$5:$B$434,"Paid Search",Countries!$D$5:$D$434,$A379)=0,"",SUMIFS(Countries!$AK$5:$AK$434,Countries!$A$5:$A$434,"All landing pages",Countries!$B$5:$B$434,"Paid Search",Countries!$D$5:$D$434,$A379))</f>
        <v/>
      </c>
      <c r="C379" s="41">
        <f>IF(SUMIFS(Countries!$AL$5:$AL$434,Countries!$A$5:$A$434,"All landing pages",Countries!$B$5:$B$434,"Paid Search",Countries!$D$5:$D$434,$A379)=0,"",SUMIFS(Countries!$AL$5:$AL$434,Countries!$A$5:$A$434,"All landing pages",Countries!$B$5:$B$434,"Paid Search",Countries!$D$5:$D$434,$A379))</f>
        <v/>
      </c>
      <c r="D379" s="69">
        <f>IF(OR(C379="",B379="",B379=0,C379=0),"",C379-B379)</f>
        <v/>
      </c>
      <c r="E379" s="42">
        <f>IF(OR(C379="",B379="",B379=0,C379=0),"",C379/B379-1)</f>
        <v/>
      </c>
      <c r="F379" s="41">
        <f>IF(SUMIFS(Countries!$AK$5:$AK$434,Countries!$A$5:$A$434,"All landing pages",Countries!$B$5:$B$434,"Organic",Countries!$D$5:$D$434,$A379)=0,"",SUMIFS(Countries!$AK$5:$AK$434,Countries!$A$5:$A$434,"All landing pages",Countries!$B$5:$B$434,"Organic",Countries!$D$5:$D$434,$A379))</f>
        <v/>
      </c>
      <c r="G379" s="41">
        <f>IF(SUMIFS(Countries!$AL$5:$AL$434,Countries!$A$5:$A$434,"All landing pages",Countries!$B$5:$B$434,"Organic",Countries!$D$5:$D$434,$A379)=0,"",SUMIFS(Countries!$AL$5:$AL$434,Countries!$A$5:$A$434,"All landing pages",Countries!$B$5:$B$434,"Organic",Countries!$D$5:$D$434,$A379))</f>
        <v/>
      </c>
      <c r="H379" s="69">
        <f>IF(OR(G379="",F379="",F379=0,G379=0),"",G379-F379)</f>
        <v/>
      </c>
      <c r="I379" s="42">
        <f>IF(OR(G379="",F379="",F379=0,G379=0),"",G379/F379-1)</f>
        <v/>
      </c>
      <c r="J379" s="41">
        <f>IF(SUMIFS(Countries!$AK$5:$AK$434,Countries!$A$5:$A$434,"All landing pages",Countries!$B$5:$B$434,"Direct",Countries!$D$5:$D$434,$A379)=0,"",SUMIFS(Countries!$AK$5:$AK$434,Countries!$A$5:$A$434,"All landing pages",Countries!$B$5:$B$434,"Direct",Countries!$D$5:$D$434,$A379))</f>
        <v/>
      </c>
      <c r="K379" s="41">
        <f>IF(SUMIFS(Countries!$AL$5:$AL$434,Countries!$A$5:$A$434,"All landing pages",Countries!$B$5:$B$434,"Direct",Countries!$D$5:$D$434,$A379)=0,"",SUMIFS(Countries!$AL$5:$AL$434,Countries!$A$5:$A$434,"All landing pages",Countries!$B$5:$B$434,"Direct",Countries!$D$5:$D$434,$A379))</f>
        <v/>
      </c>
      <c r="L379" s="69">
        <f>IF(OR(K379="",J379="",J379=0,K379=0),"",K379-J379)</f>
        <v/>
      </c>
      <c r="M379" s="42">
        <f>IF(OR(K379="",J379="",J379=0,K379=0),"",K379/J379-1)</f>
        <v/>
      </c>
      <c r="N379" s="41">
        <f>IF(SUM(B379,F379,J379)=0,"",SUM(B379,F379,J379))</f>
        <v/>
      </c>
      <c r="O379" s="41">
        <f>IF(SUM(C379,G379,K379)=0,"",SUM(C379,G379,K379))</f>
        <v/>
      </c>
      <c r="P379" s="69">
        <f>IF(OR(O379="",N379="",N379=0,O379=0),"",O379-N379)</f>
        <v/>
      </c>
      <c r="Q379" s="42">
        <f>IF(OR(O379="",N379="",N379=0,O379=0),"",O379/N379-1)</f>
        <v/>
      </c>
    </row>
    <row r="380">
      <c r="A380" s="56" t="inlineStr">
        <is>
          <t>Philippines</t>
        </is>
      </c>
      <c r="B380" s="41">
        <f>IF(SUMIFS(Countries!$AK$5:$AK$434,Countries!$A$5:$A$434,"All landing pages",Countries!$B$5:$B$434,"Paid Search",Countries!$D$5:$D$434,$A380)=0,"",SUMIFS(Countries!$AK$5:$AK$434,Countries!$A$5:$A$434,"All landing pages",Countries!$B$5:$B$434,"Paid Search",Countries!$D$5:$D$434,$A380))</f>
        <v/>
      </c>
      <c r="C380" s="41">
        <f>IF(SUMIFS(Countries!$AL$5:$AL$434,Countries!$A$5:$A$434,"All landing pages",Countries!$B$5:$B$434,"Paid Search",Countries!$D$5:$D$434,$A380)=0,"",SUMIFS(Countries!$AL$5:$AL$434,Countries!$A$5:$A$434,"All landing pages",Countries!$B$5:$B$434,"Paid Search",Countries!$D$5:$D$434,$A380))</f>
        <v/>
      </c>
      <c r="D380" s="69">
        <f>IF(OR(C380="",B380="",B380=0,C380=0),"",C380-B380)</f>
        <v/>
      </c>
      <c r="E380" s="42">
        <f>IF(OR(C380="",B380="",B380=0,C380=0),"",C380/B380-1)</f>
        <v/>
      </c>
      <c r="F380" s="41">
        <f>IF(SUMIFS(Countries!$AK$5:$AK$434,Countries!$A$5:$A$434,"All landing pages",Countries!$B$5:$B$434,"Organic",Countries!$D$5:$D$434,$A380)=0,"",SUMIFS(Countries!$AK$5:$AK$434,Countries!$A$5:$A$434,"All landing pages",Countries!$B$5:$B$434,"Organic",Countries!$D$5:$D$434,$A380))</f>
        <v/>
      </c>
      <c r="G380" s="41">
        <f>IF(SUMIFS(Countries!$AL$5:$AL$434,Countries!$A$5:$A$434,"All landing pages",Countries!$B$5:$B$434,"Organic",Countries!$D$5:$D$434,$A380)=0,"",SUMIFS(Countries!$AL$5:$AL$434,Countries!$A$5:$A$434,"All landing pages",Countries!$B$5:$B$434,"Organic",Countries!$D$5:$D$434,$A380))</f>
        <v/>
      </c>
      <c r="H380" s="69">
        <f>IF(OR(G380="",F380="",F380=0,G380=0),"",G380-F380)</f>
        <v/>
      </c>
      <c r="I380" s="42">
        <f>IF(OR(G380="",F380="",F380=0,G380=0),"",G380/F380-1)</f>
        <v/>
      </c>
      <c r="J380" s="41">
        <f>IF(SUMIFS(Countries!$AK$5:$AK$434,Countries!$A$5:$A$434,"All landing pages",Countries!$B$5:$B$434,"Direct",Countries!$D$5:$D$434,$A380)=0,"",SUMIFS(Countries!$AK$5:$AK$434,Countries!$A$5:$A$434,"All landing pages",Countries!$B$5:$B$434,"Direct",Countries!$D$5:$D$434,$A380))</f>
        <v/>
      </c>
      <c r="K380" s="41">
        <f>IF(SUMIFS(Countries!$AL$5:$AL$434,Countries!$A$5:$A$434,"All landing pages",Countries!$B$5:$B$434,"Direct",Countries!$D$5:$D$434,$A380)=0,"",SUMIFS(Countries!$AL$5:$AL$434,Countries!$A$5:$A$434,"All landing pages",Countries!$B$5:$B$434,"Direct",Countries!$D$5:$D$434,$A380))</f>
        <v/>
      </c>
      <c r="L380" s="69">
        <f>IF(OR(K380="",J380="",J380=0,K380=0),"",K380-J380)</f>
        <v/>
      </c>
      <c r="M380" s="42">
        <f>IF(OR(K380="",J380="",J380=0,K380=0),"",K380/J380-1)</f>
        <v/>
      </c>
      <c r="N380" s="41">
        <f>IF(SUM(B380,F380,J380)=0,"",SUM(B380,F380,J380))</f>
        <v/>
      </c>
      <c r="O380" s="41">
        <f>IF(SUM(C380,G380,K380)=0,"",SUM(C380,G380,K380))</f>
        <v/>
      </c>
      <c r="P380" s="69">
        <f>IF(OR(O380="",N380="",N380=0,O380=0),"",O380-N380)</f>
        <v/>
      </c>
      <c r="Q380" s="42">
        <f>IF(OR(O380="",N380="",N380=0,O380=0),"",O380/N380-1)</f>
        <v/>
      </c>
    </row>
    <row r="381">
      <c r="A381" s="40" t="inlineStr">
        <is>
          <t>Ukraine</t>
        </is>
      </c>
      <c r="B381" s="41">
        <f>IF(SUMIFS(Countries!$AK$5:$AK$434,Countries!$A$5:$A$434,"All landing pages",Countries!$B$5:$B$434,"Paid Search",Countries!$D$5:$D$434,$A381)=0,"",SUMIFS(Countries!$AK$5:$AK$434,Countries!$A$5:$A$434,"All landing pages",Countries!$B$5:$B$434,"Paid Search",Countries!$D$5:$D$434,$A381))</f>
        <v/>
      </c>
      <c r="C381" s="41">
        <f>IF(SUMIFS(Countries!$AL$5:$AL$434,Countries!$A$5:$A$434,"All landing pages",Countries!$B$5:$B$434,"Paid Search",Countries!$D$5:$D$434,$A381)=0,"",SUMIFS(Countries!$AL$5:$AL$434,Countries!$A$5:$A$434,"All landing pages",Countries!$B$5:$B$434,"Paid Search",Countries!$D$5:$D$434,$A381))</f>
        <v/>
      </c>
      <c r="D381" s="69">
        <f>IF(OR(C381="",B381="",B381=0,C381=0),"",C381-B381)</f>
        <v/>
      </c>
      <c r="E381" s="42">
        <f>IF(OR(C381="",B381="",B381=0,C381=0),"",C381/B381-1)</f>
        <v/>
      </c>
      <c r="F381" s="41">
        <f>IF(SUMIFS(Countries!$AK$5:$AK$434,Countries!$A$5:$A$434,"All landing pages",Countries!$B$5:$B$434,"Organic",Countries!$D$5:$D$434,$A381)=0,"",SUMIFS(Countries!$AK$5:$AK$434,Countries!$A$5:$A$434,"All landing pages",Countries!$B$5:$B$434,"Organic",Countries!$D$5:$D$434,$A381))</f>
        <v/>
      </c>
      <c r="G381" s="41">
        <f>IF(SUMIFS(Countries!$AL$5:$AL$434,Countries!$A$5:$A$434,"All landing pages",Countries!$B$5:$B$434,"Organic",Countries!$D$5:$D$434,$A381)=0,"",SUMIFS(Countries!$AL$5:$AL$434,Countries!$A$5:$A$434,"All landing pages",Countries!$B$5:$B$434,"Organic",Countries!$D$5:$D$434,$A381))</f>
        <v/>
      </c>
      <c r="H381" s="69">
        <f>IF(OR(G381="",F381="",F381=0,G381=0),"",G381-F381)</f>
        <v/>
      </c>
      <c r="I381" s="42">
        <f>IF(OR(G381="",F381="",F381=0,G381=0),"",G381/F381-1)</f>
        <v/>
      </c>
      <c r="J381" s="41">
        <f>IF(SUMIFS(Countries!$AK$5:$AK$434,Countries!$A$5:$A$434,"All landing pages",Countries!$B$5:$B$434,"Direct",Countries!$D$5:$D$434,$A381)=0,"",SUMIFS(Countries!$AK$5:$AK$434,Countries!$A$5:$A$434,"All landing pages",Countries!$B$5:$B$434,"Direct",Countries!$D$5:$D$434,$A381))</f>
        <v/>
      </c>
      <c r="K381" s="41">
        <f>IF(SUMIFS(Countries!$AL$5:$AL$434,Countries!$A$5:$A$434,"All landing pages",Countries!$B$5:$B$434,"Direct",Countries!$D$5:$D$434,$A381)=0,"",SUMIFS(Countries!$AL$5:$AL$434,Countries!$A$5:$A$434,"All landing pages",Countries!$B$5:$B$434,"Direct",Countries!$D$5:$D$434,$A381))</f>
        <v/>
      </c>
      <c r="L381" s="69">
        <f>IF(OR(K381="",J381="",J381=0,K381=0),"",K381-J381)</f>
        <v/>
      </c>
      <c r="M381" s="42">
        <f>IF(OR(K381="",J381="",J381=0,K381=0),"",K381/J381-1)</f>
        <v/>
      </c>
      <c r="N381" s="41">
        <f>IF(SUM(B381,F381,J381)=0,"",SUM(B381,F381,J381))</f>
        <v/>
      </c>
      <c r="O381" s="41">
        <f>IF(SUM(C381,G381,K381)=0,"",SUM(C381,G381,K381))</f>
        <v/>
      </c>
      <c r="P381" s="69">
        <f>IF(OR(O381="",N381="",N381=0,O381=0),"",O381-N381)</f>
        <v/>
      </c>
      <c r="Q381" s="42">
        <f>IF(OR(O381="",N381="",N381=0,O381=0),"",O381/N381-1)</f>
        <v/>
      </c>
    </row>
    <row r="384">
      <c r="A384" s="39" t="inlineStr">
        <is>
          <t>Cart→Checkout</t>
        </is>
      </c>
    </row>
    <row r="385">
      <c r="A385" s="75" t="inlineStr">
        <is>
          <t>Country</t>
        </is>
      </c>
      <c r="B385" s="31" t="inlineStr">
        <is>
          <t>Paid Search</t>
        </is>
      </c>
      <c r="C385" s="25" t="n"/>
      <c r="D385" s="25" t="n"/>
      <c r="E385" s="25" t="n"/>
      <c r="F385" s="31" t="inlineStr">
        <is>
          <t>Organic</t>
        </is>
      </c>
      <c r="G385" s="25" t="n"/>
      <c r="H385" s="25" t="n"/>
      <c r="I385" s="25" t="n"/>
      <c r="J385" s="31" t="inlineStr">
        <is>
          <t>Direct</t>
        </is>
      </c>
      <c r="K385" s="25" t="n"/>
      <c r="L385" s="25" t="n"/>
      <c r="M385" s="25" t="n"/>
      <c r="N385" s="27" t="inlineStr">
        <is>
          <t>Total</t>
        </is>
      </c>
      <c r="O385" s="17" t="n"/>
      <c r="P385" s="17" t="n"/>
      <c r="Q385" s="17" t="n"/>
    </row>
    <row r="386">
      <c r="A386" s="15" t="n"/>
      <c r="B386" s="27" t="inlineStr">
        <is>
          <t>1-23Aug25</t>
        </is>
      </c>
      <c r="C386" s="27" t="inlineStr">
        <is>
          <t>1-23Aug26</t>
        </is>
      </c>
      <c r="D386" s="27" t="inlineStr">
        <is>
          <t>Δ pp</t>
        </is>
      </c>
      <c r="E386" s="27" t="inlineStr"/>
      <c r="F386" s="27" t="inlineStr">
        <is>
          <t>1-23Aug25</t>
        </is>
      </c>
      <c r="G386" s="27" t="inlineStr">
        <is>
          <t>1-23Aug26</t>
        </is>
      </c>
      <c r="H386" s="27" t="inlineStr">
        <is>
          <t>Δ pp</t>
        </is>
      </c>
      <c r="I386" s="27" t="inlineStr"/>
      <c r="J386" s="27" t="inlineStr">
        <is>
          <t>1-23Aug25</t>
        </is>
      </c>
      <c r="K386" s="27" t="inlineStr">
        <is>
          <t>1-23Aug26</t>
        </is>
      </c>
      <c r="L386" s="27" t="inlineStr">
        <is>
          <t>Δ pp</t>
        </is>
      </c>
      <c r="M386" s="27" t="inlineStr"/>
      <c r="N386" s="27" t="inlineStr">
        <is>
          <t>1-23Aug25</t>
        </is>
      </c>
      <c r="O386" s="27" t="inlineStr">
        <is>
          <t>1-23Aug26</t>
        </is>
      </c>
      <c r="P386" s="27" t="inlineStr">
        <is>
          <t>Δ pp</t>
        </is>
      </c>
      <c r="Q386" s="27" t="inlineStr"/>
    </row>
    <row r="387">
      <c r="A387" s="40" t="inlineStr">
        <is>
          <t>United Kingdom</t>
        </is>
      </c>
      <c r="B387" s="43">
        <f>IF(SUMIFS(Countries!$AD$5:$AD$434,Countries!$A$5:$A$434,"All landing pages",Countries!$B$5:$B$434,"Paid Search",Countries!$D$5:$D$434,$A387,Countries!$AK$5:$AK$434,"&gt;0")=0,"",SUMIFS(Countries!$AK$5:$AK$434,Countries!$A$5:$A$434,"All landing pages",Countries!$B$5:$B$434,"Paid Search",Countries!$D$5:$D$434,$A387,Countries!$AD$5:$AD$434,"&gt;0")/SUMIFS(Countries!$AD$5:$AD$434,Countries!$A$5:$A$434,"All landing pages",Countries!$B$5:$B$434,"Paid Search",Countries!$D$5:$D$434,$A387,Countries!$AK$5:$AK$434,"&gt;0"))</f>
        <v/>
      </c>
      <c r="C387" s="43">
        <f>IF(SUMIFS(Countries!$AE$5:$AE$434,Countries!$A$5:$A$434,"All landing pages",Countries!$B$5:$B$434,"Paid Search",Countries!$D$5:$D$434,$A387,Countries!$AL$5:$AL$434,"&gt;0")=0,"",SUMIFS(Countries!$AL$5:$AL$434,Countries!$A$5:$A$434,"All landing pages",Countries!$B$5:$B$434,"Paid Search",Countries!$D$5:$D$434,$A387,Countries!$AE$5:$AE$434,"&gt;0")/SUMIFS(Countries!$AE$5:$AE$434,Countries!$A$5:$A$434,"All landing pages",Countries!$B$5:$B$434,"Paid Search",Countries!$D$5:$D$434,$A387,Countries!$AL$5:$AL$434,"&gt;0"))</f>
        <v/>
      </c>
      <c r="D387" s="44">
        <f>IF(OR(B387="",C387=""),"",(C387-B387)*100)</f>
        <v/>
      </c>
      <c r="E387" s="73" t="n"/>
      <c r="F387" s="43">
        <f>IF(SUMIFS(Countries!$AD$5:$AD$434,Countries!$A$5:$A$434,"All landing pages",Countries!$B$5:$B$434,"Organic",Countries!$D$5:$D$434,$A387,Countries!$AK$5:$AK$434,"&gt;0")=0,"",SUMIFS(Countries!$AK$5:$AK$434,Countries!$A$5:$A$434,"All landing pages",Countries!$B$5:$B$434,"Organic",Countries!$D$5:$D$434,$A387,Countries!$AD$5:$AD$434,"&gt;0")/SUMIFS(Countries!$AD$5:$AD$434,Countries!$A$5:$A$434,"All landing pages",Countries!$B$5:$B$434,"Organic",Countries!$D$5:$D$434,$A387,Countries!$AK$5:$AK$434,"&gt;0"))</f>
        <v/>
      </c>
      <c r="G387" s="43">
        <f>IF(SUMIFS(Countries!$AE$5:$AE$434,Countries!$A$5:$A$434,"All landing pages",Countries!$B$5:$B$434,"Organic",Countries!$D$5:$D$434,$A387,Countries!$AL$5:$AL$434,"&gt;0")=0,"",SUMIFS(Countries!$AL$5:$AL$434,Countries!$A$5:$A$434,"All landing pages",Countries!$B$5:$B$434,"Organic",Countries!$D$5:$D$434,$A387,Countries!$AE$5:$AE$434,"&gt;0")/SUMIFS(Countries!$AE$5:$AE$434,Countries!$A$5:$A$434,"All landing pages",Countries!$B$5:$B$434,"Organic",Countries!$D$5:$D$434,$A387,Countries!$AL$5:$AL$434,"&gt;0"))</f>
        <v/>
      </c>
      <c r="H387" s="44">
        <f>IF(OR(F387="",G387=""),"",(G387-F387)*100)</f>
        <v/>
      </c>
      <c r="I387" s="73" t="n"/>
      <c r="J387" s="43">
        <f>IF(SUMIFS(Countries!$AD$5:$AD$434,Countries!$A$5:$A$434,"All landing pages",Countries!$B$5:$B$434,"Direct",Countries!$D$5:$D$434,$A387,Countries!$AK$5:$AK$434,"&gt;0")=0,"",SUMIFS(Countries!$AK$5:$AK$434,Countries!$A$5:$A$434,"All landing pages",Countries!$B$5:$B$434,"Direct",Countries!$D$5:$D$434,$A387,Countries!$AD$5:$AD$434,"&gt;0")/SUMIFS(Countries!$AD$5:$AD$434,Countries!$A$5:$A$434,"All landing pages",Countries!$B$5:$B$434,"Direct",Countries!$D$5:$D$434,$A387,Countries!$AK$5:$AK$434,"&gt;0"))</f>
        <v/>
      </c>
      <c r="K387" s="43">
        <f>IF(SUMIFS(Countries!$AE$5:$AE$434,Countries!$A$5:$A$434,"All landing pages",Countries!$B$5:$B$434,"Direct",Countries!$D$5:$D$434,$A387,Countries!$AL$5:$AL$434,"&gt;0")=0,"",SUMIFS(Countries!$AL$5:$AL$434,Countries!$A$5:$A$434,"All landing pages",Countries!$B$5:$B$434,"Direct",Countries!$D$5:$D$434,$A387,Countries!$AE$5:$AE$434,"&gt;0")/SUMIFS(Countries!$AE$5:$AE$434,Countries!$A$5:$A$434,"All landing pages",Countries!$B$5:$B$434,"Direct",Countries!$D$5:$D$434,$A387,Countries!$AL$5:$AL$434,"&gt;0"))</f>
        <v/>
      </c>
      <c r="L387" s="44">
        <f>IF(OR(J387="",K387=""),"",(K387-J387)*100)</f>
        <v/>
      </c>
      <c r="M387" s="73" t="n"/>
      <c r="N387" s="43">
        <f>IF(SUMIFS(Countries!$AD$5:$AD$434,Countries!$A$5:$A$434,"All landing pages",Countries!$D$5:$D$434,$A387,Countries!$AK$5:$AK$434,"&gt;0")=0,"",SUMIFS(Countries!$AK$5:$AK$434,Countries!$A$5:$A$434,"All landing pages",Countries!$D$5:$D$434,$A387,Countries!$AD$5:$AD$434,"&gt;0")/SUMIFS(Countries!$AD$5:$AD$434,Countries!$A$5:$A$434,"All landing pages",Countries!$D$5:$D$434,$A387,Countries!$AK$5:$AK$434,"&gt;0"))</f>
        <v/>
      </c>
      <c r="O387" s="43">
        <f>IF(SUMIFS(Countries!$AE$5:$AE$434,Countries!$A$5:$A$434,"All landing pages",Countries!$D$5:$D$434,$A387,Countries!$AL$5:$AL$434,"&gt;0")=0,"",SUMIFS(Countries!$AL$5:$AL$434,Countries!$A$5:$A$434,"All landing pages",Countries!$D$5:$D$434,$A387,Countries!$AE$5:$AE$434,"&gt;0")/SUMIFS(Countries!$AE$5:$AE$434,Countries!$A$5:$A$434,"All landing pages",Countries!$D$5:$D$434,$A387,Countries!$AL$5:$AL$434,"&gt;0"))</f>
        <v/>
      </c>
      <c r="P387" s="44">
        <f>IF(OR(N387="",O387=""),"",(O387-N387)*100)</f>
        <v/>
      </c>
      <c r="Q387" s="73" t="n"/>
    </row>
    <row r="388">
      <c r="A388" s="56" t="inlineStr">
        <is>
          <t>Germany</t>
        </is>
      </c>
      <c r="B388" s="43">
        <f>IF(SUMIFS(Countries!$AD$5:$AD$434,Countries!$A$5:$A$434,"All landing pages",Countries!$B$5:$B$434,"Paid Search",Countries!$D$5:$D$434,$A388,Countries!$AK$5:$AK$434,"&gt;0")=0,"",SUMIFS(Countries!$AK$5:$AK$434,Countries!$A$5:$A$434,"All landing pages",Countries!$B$5:$B$434,"Paid Search",Countries!$D$5:$D$434,$A388,Countries!$AD$5:$AD$434,"&gt;0")/SUMIFS(Countries!$AD$5:$AD$434,Countries!$A$5:$A$434,"All landing pages",Countries!$B$5:$B$434,"Paid Search",Countries!$D$5:$D$434,$A388,Countries!$AK$5:$AK$434,"&gt;0"))</f>
        <v/>
      </c>
      <c r="C388" s="43">
        <f>IF(SUMIFS(Countries!$AE$5:$AE$434,Countries!$A$5:$A$434,"All landing pages",Countries!$B$5:$B$434,"Paid Search",Countries!$D$5:$D$434,$A388,Countries!$AL$5:$AL$434,"&gt;0")=0,"",SUMIFS(Countries!$AL$5:$AL$434,Countries!$A$5:$A$434,"All landing pages",Countries!$B$5:$B$434,"Paid Search",Countries!$D$5:$D$434,$A388,Countries!$AE$5:$AE$434,"&gt;0")/SUMIFS(Countries!$AE$5:$AE$434,Countries!$A$5:$A$434,"All landing pages",Countries!$B$5:$B$434,"Paid Search",Countries!$D$5:$D$434,$A388,Countries!$AL$5:$AL$434,"&gt;0"))</f>
        <v/>
      </c>
      <c r="D388" s="44">
        <f>IF(OR(B388="",C388=""),"",(C388-B388)*100)</f>
        <v/>
      </c>
      <c r="E388" s="73" t="n"/>
      <c r="F388" s="43">
        <f>IF(SUMIFS(Countries!$AD$5:$AD$434,Countries!$A$5:$A$434,"All landing pages",Countries!$B$5:$B$434,"Organic",Countries!$D$5:$D$434,$A388,Countries!$AK$5:$AK$434,"&gt;0")=0,"",SUMIFS(Countries!$AK$5:$AK$434,Countries!$A$5:$A$434,"All landing pages",Countries!$B$5:$B$434,"Organic",Countries!$D$5:$D$434,$A388,Countries!$AD$5:$AD$434,"&gt;0")/SUMIFS(Countries!$AD$5:$AD$434,Countries!$A$5:$A$434,"All landing pages",Countries!$B$5:$B$434,"Organic",Countries!$D$5:$D$434,$A388,Countries!$AK$5:$AK$434,"&gt;0"))</f>
        <v/>
      </c>
      <c r="G388" s="43">
        <f>IF(SUMIFS(Countries!$AE$5:$AE$434,Countries!$A$5:$A$434,"All landing pages",Countries!$B$5:$B$434,"Organic",Countries!$D$5:$D$434,$A388,Countries!$AL$5:$AL$434,"&gt;0")=0,"",SUMIFS(Countries!$AL$5:$AL$434,Countries!$A$5:$A$434,"All landing pages",Countries!$B$5:$B$434,"Organic",Countries!$D$5:$D$434,$A388,Countries!$AE$5:$AE$434,"&gt;0")/SUMIFS(Countries!$AE$5:$AE$434,Countries!$A$5:$A$434,"All landing pages",Countries!$B$5:$B$434,"Organic",Countries!$D$5:$D$434,$A388,Countries!$AL$5:$AL$434,"&gt;0"))</f>
        <v/>
      </c>
      <c r="H388" s="44">
        <f>IF(OR(F388="",G388=""),"",(G388-F388)*100)</f>
        <v/>
      </c>
      <c r="I388" s="73" t="n"/>
      <c r="J388" s="43">
        <f>IF(SUMIFS(Countries!$AD$5:$AD$434,Countries!$A$5:$A$434,"All landing pages",Countries!$B$5:$B$434,"Direct",Countries!$D$5:$D$434,$A388,Countries!$AK$5:$AK$434,"&gt;0")=0,"",SUMIFS(Countries!$AK$5:$AK$434,Countries!$A$5:$A$434,"All landing pages",Countries!$B$5:$B$434,"Direct",Countries!$D$5:$D$434,$A388,Countries!$AD$5:$AD$434,"&gt;0")/SUMIFS(Countries!$AD$5:$AD$434,Countries!$A$5:$A$434,"All landing pages",Countries!$B$5:$B$434,"Direct",Countries!$D$5:$D$434,$A388,Countries!$AK$5:$AK$434,"&gt;0"))</f>
        <v/>
      </c>
      <c r="K388" s="43">
        <f>IF(SUMIFS(Countries!$AE$5:$AE$434,Countries!$A$5:$A$434,"All landing pages",Countries!$B$5:$B$434,"Direct",Countries!$D$5:$D$434,$A388,Countries!$AL$5:$AL$434,"&gt;0")=0,"",SUMIFS(Countries!$AL$5:$AL$434,Countries!$A$5:$A$434,"All landing pages",Countries!$B$5:$B$434,"Direct",Countries!$D$5:$D$434,$A388,Countries!$AE$5:$AE$434,"&gt;0")/SUMIFS(Countries!$AE$5:$AE$434,Countries!$A$5:$A$434,"All landing pages",Countries!$B$5:$B$434,"Direct",Countries!$D$5:$D$434,$A388,Countries!$AL$5:$AL$434,"&gt;0"))</f>
        <v/>
      </c>
      <c r="L388" s="44">
        <f>IF(OR(J388="",K388=""),"",(K388-J388)*100)</f>
        <v/>
      </c>
      <c r="M388" s="73" t="n"/>
      <c r="N388" s="43">
        <f>IF(SUMIFS(Countries!$AD$5:$AD$434,Countries!$A$5:$A$434,"All landing pages",Countries!$D$5:$D$434,$A388,Countries!$AK$5:$AK$434,"&gt;0")=0,"",SUMIFS(Countries!$AK$5:$AK$434,Countries!$A$5:$A$434,"All landing pages",Countries!$D$5:$D$434,$A388,Countries!$AD$5:$AD$434,"&gt;0")/SUMIFS(Countries!$AD$5:$AD$434,Countries!$A$5:$A$434,"All landing pages",Countries!$D$5:$D$434,$A388,Countries!$AK$5:$AK$434,"&gt;0"))</f>
        <v/>
      </c>
      <c r="O388" s="43">
        <f>IF(SUMIFS(Countries!$AE$5:$AE$434,Countries!$A$5:$A$434,"All landing pages",Countries!$D$5:$D$434,$A388,Countries!$AL$5:$AL$434,"&gt;0")=0,"",SUMIFS(Countries!$AL$5:$AL$434,Countries!$A$5:$A$434,"All landing pages",Countries!$D$5:$D$434,$A388,Countries!$AE$5:$AE$434,"&gt;0")/SUMIFS(Countries!$AE$5:$AE$434,Countries!$A$5:$A$434,"All landing pages",Countries!$D$5:$D$434,$A388,Countries!$AL$5:$AL$434,"&gt;0"))</f>
        <v/>
      </c>
      <c r="P388" s="44">
        <f>IF(OR(N388="",O388=""),"",(O388-N388)*100)</f>
        <v/>
      </c>
      <c r="Q388" s="73" t="n"/>
    </row>
    <row r="389">
      <c r="A389" s="40" t="inlineStr">
        <is>
          <t>Italy</t>
        </is>
      </c>
      <c r="B389" s="43">
        <f>IF(SUMIFS(Countries!$AD$5:$AD$434,Countries!$A$5:$A$434,"All landing pages",Countries!$B$5:$B$434,"Paid Search",Countries!$D$5:$D$434,$A389,Countries!$AK$5:$AK$434,"&gt;0")=0,"",SUMIFS(Countries!$AK$5:$AK$434,Countries!$A$5:$A$434,"All landing pages",Countries!$B$5:$B$434,"Paid Search",Countries!$D$5:$D$434,$A389,Countries!$AD$5:$AD$434,"&gt;0")/SUMIFS(Countries!$AD$5:$AD$434,Countries!$A$5:$A$434,"All landing pages",Countries!$B$5:$B$434,"Paid Search",Countries!$D$5:$D$434,$A389,Countries!$AK$5:$AK$434,"&gt;0"))</f>
        <v/>
      </c>
      <c r="C389" s="43">
        <f>IF(SUMIFS(Countries!$AE$5:$AE$434,Countries!$A$5:$A$434,"All landing pages",Countries!$B$5:$B$434,"Paid Search",Countries!$D$5:$D$434,$A389,Countries!$AL$5:$AL$434,"&gt;0")=0,"",SUMIFS(Countries!$AL$5:$AL$434,Countries!$A$5:$A$434,"All landing pages",Countries!$B$5:$B$434,"Paid Search",Countries!$D$5:$D$434,$A389,Countries!$AE$5:$AE$434,"&gt;0")/SUMIFS(Countries!$AE$5:$AE$434,Countries!$A$5:$A$434,"All landing pages",Countries!$B$5:$B$434,"Paid Search",Countries!$D$5:$D$434,$A389,Countries!$AL$5:$AL$434,"&gt;0"))</f>
        <v/>
      </c>
      <c r="D389" s="44">
        <f>IF(OR(B389="",C389=""),"",(C389-B389)*100)</f>
        <v/>
      </c>
      <c r="E389" s="73" t="n"/>
      <c r="F389" s="43">
        <f>IF(SUMIFS(Countries!$AD$5:$AD$434,Countries!$A$5:$A$434,"All landing pages",Countries!$B$5:$B$434,"Organic",Countries!$D$5:$D$434,$A389,Countries!$AK$5:$AK$434,"&gt;0")=0,"",SUMIFS(Countries!$AK$5:$AK$434,Countries!$A$5:$A$434,"All landing pages",Countries!$B$5:$B$434,"Organic",Countries!$D$5:$D$434,$A389,Countries!$AD$5:$AD$434,"&gt;0")/SUMIFS(Countries!$AD$5:$AD$434,Countries!$A$5:$A$434,"All landing pages",Countries!$B$5:$B$434,"Organic",Countries!$D$5:$D$434,$A389,Countries!$AK$5:$AK$434,"&gt;0"))</f>
        <v/>
      </c>
      <c r="G389" s="43">
        <f>IF(SUMIFS(Countries!$AE$5:$AE$434,Countries!$A$5:$A$434,"All landing pages",Countries!$B$5:$B$434,"Organic",Countries!$D$5:$D$434,$A389,Countries!$AL$5:$AL$434,"&gt;0")=0,"",SUMIFS(Countries!$AL$5:$AL$434,Countries!$A$5:$A$434,"All landing pages",Countries!$B$5:$B$434,"Organic",Countries!$D$5:$D$434,$A389,Countries!$AE$5:$AE$434,"&gt;0")/SUMIFS(Countries!$AE$5:$AE$434,Countries!$A$5:$A$434,"All landing pages",Countries!$B$5:$B$434,"Organic",Countries!$D$5:$D$434,$A389,Countries!$AL$5:$AL$434,"&gt;0"))</f>
        <v/>
      </c>
      <c r="H389" s="44">
        <f>IF(OR(F389="",G389=""),"",(G389-F389)*100)</f>
        <v/>
      </c>
      <c r="I389" s="73" t="n"/>
      <c r="J389" s="43">
        <f>IF(SUMIFS(Countries!$AD$5:$AD$434,Countries!$A$5:$A$434,"All landing pages",Countries!$B$5:$B$434,"Direct",Countries!$D$5:$D$434,$A389,Countries!$AK$5:$AK$434,"&gt;0")=0,"",SUMIFS(Countries!$AK$5:$AK$434,Countries!$A$5:$A$434,"All landing pages",Countries!$B$5:$B$434,"Direct",Countries!$D$5:$D$434,$A389,Countries!$AD$5:$AD$434,"&gt;0")/SUMIFS(Countries!$AD$5:$AD$434,Countries!$A$5:$A$434,"All landing pages",Countries!$B$5:$B$434,"Direct",Countries!$D$5:$D$434,$A389,Countries!$AK$5:$AK$434,"&gt;0"))</f>
        <v/>
      </c>
      <c r="K389" s="43">
        <f>IF(SUMIFS(Countries!$AE$5:$AE$434,Countries!$A$5:$A$434,"All landing pages",Countries!$B$5:$B$434,"Direct",Countries!$D$5:$D$434,$A389,Countries!$AL$5:$AL$434,"&gt;0")=0,"",SUMIFS(Countries!$AL$5:$AL$434,Countries!$A$5:$A$434,"All landing pages",Countries!$B$5:$B$434,"Direct",Countries!$D$5:$D$434,$A389,Countries!$AE$5:$AE$434,"&gt;0")/SUMIFS(Countries!$AE$5:$AE$434,Countries!$A$5:$A$434,"All landing pages",Countries!$B$5:$B$434,"Direct",Countries!$D$5:$D$434,$A389,Countries!$AL$5:$AL$434,"&gt;0"))</f>
        <v/>
      </c>
      <c r="L389" s="44">
        <f>IF(OR(J389="",K389=""),"",(K389-J389)*100)</f>
        <v/>
      </c>
      <c r="M389" s="73" t="n"/>
      <c r="N389" s="43">
        <f>IF(SUMIFS(Countries!$AD$5:$AD$434,Countries!$A$5:$A$434,"All landing pages",Countries!$D$5:$D$434,$A389,Countries!$AK$5:$AK$434,"&gt;0")=0,"",SUMIFS(Countries!$AK$5:$AK$434,Countries!$A$5:$A$434,"All landing pages",Countries!$D$5:$D$434,$A389,Countries!$AD$5:$AD$434,"&gt;0")/SUMIFS(Countries!$AD$5:$AD$434,Countries!$A$5:$A$434,"All landing pages",Countries!$D$5:$D$434,$A389,Countries!$AK$5:$AK$434,"&gt;0"))</f>
        <v/>
      </c>
      <c r="O389" s="43">
        <f>IF(SUMIFS(Countries!$AE$5:$AE$434,Countries!$A$5:$A$434,"All landing pages",Countries!$D$5:$D$434,$A389,Countries!$AL$5:$AL$434,"&gt;0")=0,"",SUMIFS(Countries!$AL$5:$AL$434,Countries!$A$5:$A$434,"All landing pages",Countries!$D$5:$D$434,$A389,Countries!$AE$5:$AE$434,"&gt;0")/SUMIFS(Countries!$AE$5:$AE$434,Countries!$A$5:$A$434,"All landing pages",Countries!$D$5:$D$434,$A389,Countries!$AL$5:$AL$434,"&gt;0"))</f>
        <v/>
      </c>
      <c r="P389" s="44">
        <f>IF(OR(N389="",O389=""),"",(O389-N389)*100)</f>
        <v/>
      </c>
      <c r="Q389" s="73" t="n"/>
    </row>
    <row r="390">
      <c r="A390" s="56" t="inlineStr">
        <is>
          <t>Spain</t>
        </is>
      </c>
      <c r="B390" s="43">
        <f>IF(SUMIFS(Countries!$AD$5:$AD$434,Countries!$A$5:$A$434,"All landing pages",Countries!$B$5:$B$434,"Paid Search",Countries!$D$5:$D$434,$A390,Countries!$AK$5:$AK$434,"&gt;0")=0,"",SUMIFS(Countries!$AK$5:$AK$434,Countries!$A$5:$A$434,"All landing pages",Countries!$B$5:$B$434,"Paid Search",Countries!$D$5:$D$434,$A390,Countries!$AD$5:$AD$434,"&gt;0")/SUMIFS(Countries!$AD$5:$AD$434,Countries!$A$5:$A$434,"All landing pages",Countries!$B$5:$B$434,"Paid Search",Countries!$D$5:$D$434,$A390,Countries!$AK$5:$AK$434,"&gt;0"))</f>
        <v/>
      </c>
      <c r="C390" s="43">
        <f>IF(SUMIFS(Countries!$AE$5:$AE$434,Countries!$A$5:$A$434,"All landing pages",Countries!$B$5:$B$434,"Paid Search",Countries!$D$5:$D$434,$A390,Countries!$AL$5:$AL$434,"&gt;0")=0,"",SUMIFS(Countries!$AL$5:$AL$434,Countries!$A$5:$A$434,"All landing pages",Countries!$B$5:$B$434,"Paid Search",Countries!$D$5:$D$434,$A390,Countries!$AE$5:$AE$434,"&gt;0")/SUMIFS(Countries!$AE$5:$AE$434,Countries!$A$5:$A$434,"All landing pages",Countries!$B$5:$B$434,"Paid Search",Countries!$D$5:$D$434,$A390,Countries!$AL$5:$AL$434,"&gt;0"))</f>
        <v/>
      </c>
      <c r="D390" s="44">
        <f>IF(OR(B390="",C390=""),"",(C390-B390)*100)</f>
        <v/>
      </c>
      <c r="E390" s="73" t="n"/>
      <c r="F390" s="43">
        <f>IF(SUMIFS(Countries!$AD$5:$AD$434,Countries!$A$5:$A$434,"All landing pages",Countries!$B$5:$B$434,"Organic",Countries!$D$5:$D$434,$A390,Countries!$AK$5:$AK$434,"&gt;0")=0,"",SUMIFS(Countries!$AK$5:$AK$434,Countries!$A$5:$A$434,"All landing pages",Countries!$B$5:$B$434,"Organic",Countries!$D$5:$D$434,$A390,Countries!$AD$5:$AD$434,"&gt;0")/SUMIFS(Countries!$AD$5:$AD$434,Countries!$A$5:$A$434,"All landing pages",Countries!$B$5:$B$434,"Organic",Countries!$D$5:$D$434,$A390,Countries!$AK$5:$AK$434,"&gt;0"))</f>
        <v/>
      </c>
      <c r="G390" s="43">
        <f>IF(SUMIFS(Countries!$AE$5:$AE$434,Countries!$A$5:$A$434,"All landing pages",Countries!$B$5:$B$434,"Organic",Countries!$D$5:$D$434,$A390,Countries!$AL$5:$AL$434,"&gt;0")=0,"",SUMIFS(Countries!$AL$5:$AL$434,Countries!$A$5:$A$434,"All landing pages",Countries!$B$5:$B$434,"Organic",Countries!$D$5:$D$434,$A390,Countries!$AE$5:$AE$434,"&gt;0")/SUMIFS(Countries!$AE$5:$AE$434,Countries!$A$5:$A$434,"All landing pages",Countries!$B$5:$B$434,"Organic",Countries!$D$5:$D$434,$A390,Countries!$AL$5:$AL$434,"&gt;0"))</f>
        <v/>
      </c>
      <c r="H390" s="44">
        <f>IF(OR(F390="",G390=""),"",(G390-F390)*100)</f>
        <v/>
      </c>
      <c r="I390" s="73" t="n"/>
      <c r="J390" s="43">
        <f>IF(SUMIFS(Countries!$AD$5:$AD$434,Countries!$A$5:$A$434,"All landing pages",Countries!$B$5:$B$434,"Direct",Countries!$D$5:$D$434,$A390,Countries!$AK$5:$AK$434,"&gt;0")=0,"",SUMIFS(Countries!$AK$5:$AK$434,Countries!$A$5:$A$434,"All landing pages",Countries!$B$5:$B$434,"Direct",Countries!$D$5:$D$434,$A390,Countries!$AD$5:$AD$434,"&gt;0")/SUMIFS(Countries!$AD$5:$AD$434,Countries!$A$5:$A$434,"All landing pages",Countries!$B$5:$B$434,"Direct",Countries!$D$5:$D$434,$A390,Countries!$AK$5:$AK$434,"&gt;0"))</f>
        <v/>
      </c>
      <c r="K390" s="43">
        <f>IF(SUMIFS(Countries!$AE$5:$AE$434,Countries!$A$5:$A$434,"All landing pages",Countries!$B$5:$B$434,"Direct",Countries!$D$5:$D$434,$A390,Countries!$AL$5:$AL$434,"&gt;0")=0,"",SUMIFS(Countries!$AL$5:$AL$434,Countries!$A$5:$A$434,"All landing pages",Countries!$B$5:$B$434,"Direct",Countries!$D$5:$D$434,$A390,Countries!$AE$5:$AE$434,"&gt;0")/SUMIFS(Countries!$AE$5:$AE$434,Countries!$A$5:$A$434,"All landing pages",Countries!$B$5:$B$434,"Direct",Countries!$D$5:$D$434,$A390,Countries!$AL$5:$AL$434,"&gt;0"))</f>
        <v/>
      </c>
      <c r="L390" s="44">
        <f>IF(OR(J390="",K390=""),"",(K390-J390)*100)</f>
        <v/>
      </c>
      <c r="M390" s="73" t="n"/>
      <c r="N390" s="43">
        <f>IF(SUMIFS(Countries!$AD$5:$AD$434,Countries!$A$5:$A$434,"All landing pages",Countries!$D$5:$D$434,$A390,Countries!$AK$5:$AK$434,"&gt;0")=0,"",SUMIFS(Countries!$AK$5:$AK$434,Countries!$A$5:$A$434,"All landing pages",Countries!$D$5:$D$434,$A390,Countries!$AD$5:$AD$434,"&gt;0")/SUMIFS(Countries!$AD$5:$AD$434,Countries!$A$5:$A$434,"All landing pages",Countries!$D$5:$D$434,$A390,Countries!$AK$5:$AK$434,"&gt;0"))</f>
        <v/>
      </c>
      <c r="O390" s="43">
        <f>IF(SUMIFS(Countries!$AE$5:$AE$434,Countries!$A$5:$A$434,"All landing pages",Countries!$D$5:$D$434,$A390,Countries!$AL$5:$AL$434,"&gt;0")=0,"",SUMIFS(Countries!$AL$5:$AL$434,Countries!$A$5:$A$434,"All landing pages",Countries!$D$5:$D$434,$A390,Countries!$AE$5:$AE$434,"&gt;0")/SUMIFS(Countries!$AE$5:$AE$434,Countries!$A$5:$A$434,"All landing pages",Countries!$D$5:$D$434,$A390,Countries!$AL$5:$AL$434,"&gt;0"))</f>
        <v/>
      </c>
      <c r="P390" s="44">
        <f>IF(OR(N390="",O390=""),"",(O390-N390)*100)</f>
        <v/>
      </c>
      <c r="Q390" s="73" t="n"/>
    </row>
    <row r="391">
      <c r="A391" s="40" t="inlineStr">
        <is>
          <t>Ireland</t>
        </is>
      </c>
      <c r="B391" s="43">
        <f>IF(SUMIFS(Countries!$AD$5:$AD$434,Countries!$A$5:$A$434,"All landing pages",Countries!$B$5:$B$434,"Paid Search",Countries!$D$5:$D$434,$A391,Countries!$AK$5:$AK$434,"&gt;0")=0,"",SUMIFS(Countries!$AK$5:$AK$434,Countries!$A$5:$A$434,"All landing pages",Countries!$B$5:$B$434,"Paid Search",Countries!$D$5:$D$434,$A391,Countries!$AD$5:$AD$434,"&gt;0")/SUMIFS(Countries!$AD$5:$AD$434,Countries!$A$5:$A$434,"All landing pages",Countries!$B$5:$B$434,"Paid Search",Countries!$D$5:$D$434,$A391,Countries!$AK$5:$AK$434,"&gt;0"))</f>
        <v/>
      </c>
      <c r="C391" s="43">
        <f>IF(SUMIFS(Countries!$AE$5:$AE$434,Countries!$A$5:$A$434,"All landing pages",Countries!$B$5:$B$434,"Paid Search",Countries!$D$5:$D$434,$A391,Countries!$AL$5:$AL$434,"&gt;0")=0,"",SUMIFS(Countries!$AL$5:$AL$434,Countries!$A$5:$A$434,"All landing pages",Countries!$B$5:$B$434,"Paid Search",Countries!$D$5:$D$434,$A391,Countries!$AE$5:$AE$434,"&gt;0")/SUMIFS(Countries!$AE$5:$AE$434,Countries!$A$5:$A$434,"All landing pages",Countries!$B$5:$B$434,"Paid Search",Countries!$D$5:$D$434,$A391,Countries!$AL$5:$AL$434,"&gt;0"))</f>
        <v/>
      </c>
      <c r="D391" s="44">
        <f>IF(OR(B391="",C391=""),"",(C391-B391)*100)</f>
        <v/>
      </c>
      <c r="E391" s="73" t="n"/>
      <c r="F391" s="43">
        <f>IF(SUMIFS(Countries!$AD$5:$AD$434,Countries!$A$5:$A$434,"All landing pages",Countries!$B$5:$B$434,"Organic",Countries!$D$5:$D$434,$A391,Countries!$AK$5:$AK$434,"&gt;0")=0,"",SUMIFS(Countries!$AK$5:$AK$434,Countries!$A$5:$A$434,"All landing pages",Countries!$B$5:$B$434,"Organic",Countries!$D$5:$D$434,$A391,Countries!$AD$5:$AD$434,"&gt;0")/SUMIFS(Countries!$AD$5:$AD$434,Countries!$A$5:$A$434,"All landing pages",Countries!$B$5:$B$434,"Organic",Countries!$D$5:$D$434,$A391,Countries!$AK$5:$AK$434,"&gt;0"))</f>
        <v/>
      </c>
      <c r="G391" s="43">
        <f>IF(SUMIFS(Countries!$AE$5:$AE$434,Countries!$A$5:$A$434,"All landing pages",Countries!$B$5:$B$434,"Organic",Countries!$D$5:$D$434,$A391,Countries!$AL$5:$AL$434,"&gt;0")=0,"",SUMIFS(Countries!$AL$5:$AL$434,Countries!$A$5:$A$434,"All landing pages",Countries!$B$5:$B$434,"Organic",Countries!$D$5:$D$434,$A391,Countries!$AE$5:$AE$434,"&gt;0")/SUMIFS(Countries!$AE$5:$AE$434,Countries!$A$5:$A$434,"All landing pages",Countries!$B$5:$B$434,"Organic",Countries!$D$5:$D$434,$A391,Countries!$AL$5:$AL$434,"&gt;0"))</f>
        <v/>
      </c>
      <c r="H391" s="44">
        <f>IF(OR(F391="",G391=""),"",(G391-F391)*100)</f>
        <v/>
      </c>
      <c r="I391" s="73" t="n"/>
      <c r="J391" s="43">
        <f>IF(SUMIFS(Countries!$AD$5:$AD$434,Countries!$A$5:$A$434,"All landing pages",Countries!$B$5:$B$434,"Direct",Countries!$D$5:$D$434,$A391,Countries!$AK$5:$AK$434,"&gt;0")=0,"",SUMIFS(Countries!$AK$5:$AK$434,Countries!$A$5:$A$434,"All landing pages",Countries!$B$5:$B$434,"Direct",Countries!$D$5:$D$434,$A391,Countries!$AD$5:$AD$434,"&gt;0")/SUMIFS(Countries!$AD$5:$AD$434,Countries!$A$5:$A$434,"All landing pages",Countries!$B$5:$B$434,"Direct",Countries!$D$5:$D$434,$A391,Countries!$AK$5:$AK$434,"&gt;0"))</f>
        <v/>
      </c>
      <c r="K391" s="43">
        <f>IF(SUMIFS(Countries!$AE$5:$AE$434,Countries!$A$5:$A$434,"All landing pages",Countries!$B$5:$B$434,"Direct",Countries!$D$5:$D$434,$A391,Countries!$AL$5:$AL$434,"&gt;0")=0,"",SUMIFS(Countries!$AL$5:$AL$434,Countries!$A$5:$A$434,"All landing pages",Countries!$B$5:$B$434,"Direct",Countries!$D$5:$D$434,$A391,Countries!$AE$5:$AE$434,"&gt;0")/SUMIFS(Countries!$AE$5:$AE$434,Countries!$A$5:$A$434,"All landing pages",Countries!$B$5:$B$434,"Direct",Countries!$D$5:$D$434,$A391,Countries!$AL$5:$AL$434,"&gt;0"))</f>
        <v/>
      </c>
      <c r="L391" s="44">
        <f>IF(OR(J391="",K391=""),"",(K391-J391)*100)</f>
        <v/>
      </c>
      <c r="M391" s="73" t="n"/>
      <c r="N391" s="43">
        <f>IF(SUMIFS(Countries!$AD$5:$AD$434,Countries!$A$5:$A$434,"All landing pages",Countries!$D$5:$D$434,$A391,Countries!$AK$5:$AK$434,"&gt;0")=0,"",SUMIFS(Countries!$AK$5:$AK$434,Countries!$A$5:$A$434,"All landing pages",Countries!$D$5:$D$434,$A391,Countries!$AD$5:$AD$434,"&gt;0")/SUMIFS(Countries!$AD$5:$AD$434,Countries!$A$5:$A$434,"All landing pages",Countries!$D$5:$D$434,$A391,Countries!$AK$5:$AK$434,"&gt;0"))</f>
        <v/>
      </c>
      <c r="O391" s="43">
        <f>IF(SUMIFS(Countries!$AE$5:$AE$434,Countries!$A$5:$A$434,"All landing pages",Countries!$D$5:$D$434,$A391,Countries!$AL$5:$AL$434,"&gt;0")=0,"",SUMIFS(Countries!$AL$5:$AL$434,Countries!$A$5:$A$434,"All landing pages",Countries!$D$5:$D$434,$A391,Countries!$AE$5:$AE$434,"&gt;0")/SUMIFS(Countries!$AE$5:$AE$434,Countries!$A$5:$A$434,"All landing pages",Countries!$D$5:$D$434,$A391,Countries!$AL$5:$AL$434,"&gt;0"))</f>
        <v/>
      </c>
      <c r="P391" s="44">
        <f>IF(OR(N391="",O391=""),"",(O391-N391)*100)</f>
        <v/>
      </c>
      <c r="Q391" s="73" t="n"/>
    </row>
    <row r="392">
      <c r="A392" s="56" t="inlineStr">
        <is>
          <t>Netherlands</t>
        </is>
      </c>
      <c r="B392" s="43">
        <f>IF(SUMIFS(Countries!$AD$5:$AD$434,Countries!$A$5:$A$434,"All landing pages",Countries!$B$5:$B$434,"Paid Search",Countries!$D$5:$D$434,$A392,Countries!$AK$5:$AK$434,"&gt;0")=0,"",SUMIFS(Countries!$AK$5:$AK$434,Countries!$A$5:$A$434,"All landing pages",Countries!$B$5:$B$434,"Paid Search",Countries!$D$5:$D$434,$A392,Countries!$AD$5:$AD$434,"&gt;0")/SUMIFS(Countries!$AD$5:$AD$434,Countries!$A$5:$A$434,"All landing pages",Countries!$B$5:$B$434,"Paid Search",Countries!$D$5:$D$434,$A392,Countries!$AK$5:$AK$434,"&gt;0"))</f>
        <v/>
      </c>
      <c r="C392" s="43">
        <f>IF(SUMIFS(Countries!$AE$5:$AE$434,Countries!$A$5:$A$434,"All landing pages",Countries!$B$5:$B$434,"Paid Search",Countries!$D$5:$D$434,$A392,Countries!$AL$5:$AL$434,"&gt;0")=0,"",SUMIFS(Countries!$AL$5:$AL$434,Countries!$A$5:$A$434,"All landing pages",Countries!$B$5:$B$434,"Paid Search",Countries!$D$5:$D$434,$A392,Countries!$AE$5:$AE$434,"&gt;0")/SUMIFS(Countries!$AE$5:$AE$434,Countries!$A$5:$A$434,"All landing pages",Countries!$B$5:$B$434,"Paid Search",Countries!$D$5:$D$434,$A392,Countries!$AL$5:$AL$434,"&gt;0"))</f>
        <v/>
      </c>
      <c r="D392" s="44">
        <f>IF(OR(B392="",C392=""),"",(C392-B392)*100)</f>
        <v/>
      </c>
      <c r="E392" s="73" t="n"/>
      <c r="F392" s="43">
        <f>IF(SUMIFS(Countries!$AD$5:$AD$434,Countries!$A$5:$A$434,"All landing pages",Countries!$B$5:$B$434,"Organic",Countries!$D$5:$D$434,$A392,Countries!$AK$5:$AK$434,"&gt;0")=0,"",SUMIFS(Countries!$AK$5:$AK$434,Countries!$A$5:$A$434,"All landing pages",Countries!$B$5:$B$434,"Organic",Countries!$D$5:$D$434,$A392,Countries!$AD$5:$AD$434,"&gt;0")/SUMIFS(Countries!$AD$5:$AD$434,Countries!$A$5:$A$434,"All landing pages",Countries!$B$5:$B$434,"Organic",Countries!$D$5:$D$434,$A392,Countries!$AK$5:$AK$434,"&gt;0"))</f>
        <v/>
      </c>
      <c r="G392" s="43">
        <f>IF(SUMIFS(Countries!$AE$5:$AE$434,Countries!$A$5:$A$434,"All landing pages",Countries!$B$5:$B$434,"Organic",Countries!$D$5:$D$434,$A392,Countries!$AL$5:$AL$434,"&gt;0")=0,"",SUMIFS(Countries!$AL$5:$AL$434,Countries!$A$5:$A$434,"All landing pages",Countries!$B$5:$B$434,"Organic",Countries!$D$5:$D$434,$A392,Countries!$AE$5:$AE$434,"&gt;0")/SUMIFS(Countries!$AE$5:$AE$434,Countries!$A$5:$A$434,"All landing pages",Countries!$B$5:$B$434,"Organic",Countries!$D$5:$D$434,$A392,Countries!$AL$5:$AL$434,"&gt;0"))</f>
        <v/>
      </c>
      <c r="H392" s="44">
        <f>IF(OR(F392="",G392=""),"",(G392-F392)*100)</f>
        <v/>
      </c>
      <c r="I392" s="73" t="n"/>
      <c r="J392" s="43">
        <f>IF(SUMIFS(Countries!$AD$5:$AD$434,Countries!$A$5:$A$434,"All landing pages",Countries!$B$5:$B$434,"Direct",Countries!$D$5:$D$434,$A392,Countries!$AK$5:$AK$434,"&gt;0")=0,"",SUMIFS(Countries!$AK$5:$AK$434,Countries!$A$5:$A$434,"All landing pages",Countries!$B$5:$B$434,"Direct",Countries!$D$5:$D$434,$A392,Countries!$AD$5:$AD$434,"&gt;0")/SUMIFS(Countries!$AD$5:$AD$434,Countries!$A$5:$A$434,"All landing pages",Countries!$B$5:$B$434,"Direct",Countries!$D$5:$D$434,$A392,Countries!$AK$5:$AK$434,"&gt;0"))</f>
        <v/>
      </c>
      <c r="K392" s="43">
        <f>IF(SUMIFS(Countries!$AE$5:$AE$434,Countries!$A$5:$A$434,"All landing pages",Countries!$B$5:$B$434,"Direct",Countries!$D$5:$D$434,$A392,Countries!$AL$5:$AL$434,"&gt;0")=0,"",SUMIFS(Countries!$AL$5:$AL$434,Countries!$A$5:$A$434,"All landing pages",Countries!$B$5:$B$434,"Direct",Countries!$D$5:$D$434,$A392,Countries!$AE$5:$AE$434,"&gt;0")/SUMIFS(Countries!$AE$5:$AE$434,Countries!$A$5:$A$434,"All landing pages",Countries!$B$5:$B$434,"Direct",Countries!$D$5:$D$434,$A392,Countries!$AL$5:$AL$434,"&gt;0"))</f>
        <v/>
      </c>
      <c r="L392" s="44">
        <f>IF(OR(J392="",K392=""),"",(K392-J392)*100)</f>
        <v/>
      </c>
      <c r="M392" s="73" t="n"/>
      <c r="N392" s="43">
        <f>IF(SUMIFS(Countries!$AD$5:$AD$434,Countries!$A$5:$A$434,"All landing pages",Countries!$D$5:$D$434,$A392,Countries!$AK$5:$AK$434,"&gt;0")=0,"",SUMIFS(Countries!$AK$5:$AK$434,Countries!$A$5:$A$434,"All landing pages",Countries!$D$5:$D$434,$A392,Countries!$AD$5:$AD$434,"&gt;0")/SUMIFS(Countries!$AD$5:$AD$434,Countries!$A$5:$A$434,"All landing pages",Countries!$D$5:$D$434,$A392,Countries!$AK$5:$AK$434,"&gt;0"))</f>
        <v/>
      </c>
      <c r="O392" s="43">
        <f>IF(SUMIFS(Countries!$AE$5:$AE$434,Countries!$A$5:$A$434,"All landing pages",Countries!$D$5:$D$434,$A392,Countries!$AL$5:$AL$434,"&gt;0")=0,"",SUMIFS(Countries!$AL$5:$AL$434,Countries!$A$5:$A$434,"All landing pages",Countries!$D$5:$D$434,$A392,Countries!$AE$5:$AE$434,"&gt;0")/SUMIFS(Countries!$AE$5:$AE$434,Countries!$A$5:$A$434,"All landing pages",Countries!$D$5:$D$434,$A392,Countries!$AL$5:$AL$434,"&gt;0"))</f>
        <v/>
      </c>
      <c r="P392" s="44">
        <f>IF(OR(N392="",O392=""),"",(O392-N392)*100)</f>
        <v/>
      </c>
      <c r="Q392" s="73" t="n"/>
    </row>
    <row r="393">
      <c r="A393" s="40" t="inlineStr">
        <is>
          <t>France</t>
        </is>
      </c>
      <c r="B393" s="43">
        <f>IF(SUMIFS(Countries!$AD$5:$AD$434,Countries!$A$5:$A$434,"All landing pages",Countries!$B$5:$B$434,"Paid Search",Countries!$D$5:$D$434,$A393,Countries!$AK$5:$AK$434,"&gt;0")=0,"",SUMIFS(Countries!$AK$5:$AK$434,Countries!$A$5:$A$434,"All landing pages",Countries!$B$5:$B$434,"Paid Search",Countries!$D$5:$D$434,$A393,Countries!$AD$5:$AD$434,"&gt;0")/SUMIFS(Countries!$AD$5:$AD$434,Countries!$A$5:$A$434,"All landing pages",Countries!$B$5:$B$434,"Paid Search",Countries!$D$5:$D$434,$A393,Countries!$AK$5:$AK$434,"&gt;0"))</f>
        <v/>
      </c>
      <c r="C393" s="43">
        <f>IF(SUMIFS(Countries!$AE$5:$AE$434,Countries!$A$5:$A$434,"All landing pages",Countries!$B$5:$B$434,"Paid Search",Countries!$D$5:$D$434,$A393,Countries!$AL$5:$AL$434,"&gt;0")=0,"",SUMIFS(Countries!$AL$5:$AL$434,Countries!$A$5:$A$434,"All landing pages",Countries!$B$5:$B$434,"Paid Search",Countries!$D$5:$D$434,$A393,Countries!$AE$5:$AE$434,"&gt;0")/SUMIFS(Countries!$AE$5:$AE$434,Countries!$A$5:$A$434,"All landing pages",Countries!$B$5:$B$434,"Paid Search",Countries!$D$5:$D$434,$A393,Countries!$AL$5:$AL$434,"&gt;0"))</f>
        <v/>
      </c>
      <c r="D393" s="44">
        <f>IF(OR(B393="",C393=""),"",(C393-B393)*100)</f>
        <v/>
      </c>
      <c r="E393" s="73" t="n"/>
      <c r="F393" s="43">
        <f>IF(SUMIFS(Countries!$AD$5:$AD$434,Countries!$A$5:$A$434,"All landing pages",Countries!$B$5:$B$434,"Organic",Countries!$D$5:$D$434,$A393,Countries!$AK$5:$AK$434,"&gt;0")=0,"",SUMIFS(Countries!$AK$5:$AK$434,Countries!$A$5:$A$434,"All landing pages",Countries!$B$5:$B$434,"Organic",Countries!$D$5:$D$434,$A393,Countries!$AD$5:$AD$434,"&gt;0")/SUMIFS(Countries!$AD$5:$AD$434,Countries!$A$5:$A$434,"All landing pages",Countries!$B$5:$B$434,"Organic",Countries!$D$5:$D$434,$A393,Countries!$AK$5:$AK$434,"&gt;0"))</f>
        <v/>
      </c>
      <c r="G393" s="43">
        <f>IF(SUMIFS(Countries!$AE$5:$AE$434,Countries!$A$5:$A$434,"All landing pages",Countries!$B$5:$B$434,"Organic",Countries!$D$5:$D$434,$A393,Countries!$AL$5:$AL$434,"&gt;0")=0,"",SUMIFS(Countries!$AL$5:$AL$434,Countries!$A$5:$A$434,"All landing pages",Countries!$B$5:$B$434,"Organic",Countries!$D$5:$D$434,$A393,Countries!$AE$5:$AE$434,"&gt;0")/SUMIFS(Countries!$AE$5:$AE$434,Countries!$A$5:$A$434,"All landing pages",Countries!$B$5:$B$434,"Organic",Countries!$D$5:$D$434,$A393,Countries!$AL$5:$AL$434,"&gt;0"))</f>
        <v/>
      </c>
      <c r="H393" s="44">
        <f>IF(OR(F393="",G393=""),"",(G393-F393)*100)</f>
        <v/>
      </c>
      <c r="I393" s="73" t="n"/>
      <c r="J393" s="43">
        <f>IF(SUMIFS(Countries!$AD$5:$AD$434,Countries!$A$5:$A$434,"All landing pages",Countries!$B$5:$B$434,"Direct",Countries!$D$5:$D$434,$A393,Countries!$AK$5:$AK$434,"&gt;0")=0,"",SUMIFS(Countries!$AK$5:$AK$434,Countries!$A$5:$A$434,"All landing pages",Countries!$B$5:$B$434,"Direct",Countries!$D$5:$D$434,$A393,Countries!$AD$5:$AD$434,"&gt;0")/SUMIFS(Countries!$AD$5:$AD$434,Countries!$A$5:$A$434,"All landing pages",Countries!$B$5:$B$434,"Direct",Countries!$D$5:$D$434,$A393,Countries!$AK$5:$AK$434,"&gt;0"))</f>
        <v/>
      </c>
      <c r="K393" s="43">
        <f>IF(SUMIFS(Countries!$AE$5:$AE$434,Countries!$A$5:$A$434,"All landing pages",Countries!$B$5:$B$434,"Direct",Countries!$D$5:$D$434,$A393,Countries!$AL$5:$AL$434,"&gt;0")=0,"",SUMIFS(Countries!$AL$5:$AL$434,Countries!$A$5:$A$434,"All landing pages",Countries!$B$5:$B$434,"Direct",Countries!$D$5:$D$434,$A393,Countries!$AE$5:$AE$434,"&gt;0")/SUMIFS(Countries!$AE$5:$AE$434,Countries!$A$5:$A$434,"All landing pages",Countries!$B$5:$B$434,"Direct",Countries!$D$5:$D$434,$A393,Countries!$AL$5:$AL$434,"&gt;0"))</f>
        <v/>
      </c>
      <c r="L393" s="44">
        <f>IF(OR(J393="",K393=""),"",(K393-J393)*100)</f>
        <v/>
      </c>
      <c r="M393" s="73" t="n"/>
      <c r="N393" s="43">
        <f>IF(SUMIFS(Countries!$AD$5:$AD$434,Countries!$A$5:$A$434,"All landing pages",Countries!$D$5:$D$434,$A393,Countries!$AK$5:$AK$434,"&gt;0")=0,"",SUMIFS(Countries!$AK$5:$AK$434,Countries!$A$5:$A$434,"All landing pages",Countries!$D$5:$D$434,$A393,Countries!$AD$5:$AD$434,"&gt;0")/SUMIFS(Countries!$AD$5:$AD$434,Countries!$A$5:$A$434,"All landing pages",Countries!$D$5:$D$434,$A393,Countries!$AK$5:$AK$434,"&gt;0"))</f>
        <v/>
      </c>
      <c r="O393" s="43">
        <f>IF(SUMIFS(Countries!$AE$5:$AE$434,Countries!$A$5:$A$434,"All landing pages",Countries!$D$5:$D$434,$A393,Countries!$AL$5:$AL$434,"&gt;0")=0,"",SUMIFS(Countries!$AL$5:$AL$434,Countries!$A$5:$A$434,"All landing pages",Countries!$D$5:$D$434,$A393,Countries!$AE$5:$AE$434,"&gt;0")/SUMIFS(Countries!$AE$5:$AE$434,Countries!$A$5:$A$434,"All landing pages",Countries!$D$5:$D$434,$A393,Countries!$AL$5:$AL$434,"&gt;0"))</f>
        <v/>
      </c>
      <c r="P393" s="44">
        <f>IF(OR(N393="",O393=""),"",(O393-N393)*100)</f>
        <v/>
      </c>
      <c r="Q393" s="73" t="n"/>
    </row>
    <row r="394">
      <c r="A394" s="56" t="inlineStr">
        <is>
          <t>Poland</t>
        </is>
      </c>
      <c r="B394" s="43">
        <f>IF(SUMIFS(Countries!$AD$5:$AD$434,Countries!$A$5:$A$434,"All landing pages",Countries!$B$5:$B$434,"Paid Search",Countries!$D$5:$D$434,$A394,Countries!$AK$5:$AK$434,"&gt;0")=0,"",SUMIFS(Countries!$AK$5:$AK$434,Countries!$A$5:$A$434,"All landing pages",Countries!$B$5:$B$434,"Paid Search",Countries!$D$5:$D$434,$A394,Countries!$AD$5:$AD$434,"&gt;0")/SUMIFS(Countries!$AD$5:$AD$434,Countries!$A$5:$A$434,"All landing pages",Countries!$B$5:$B$434,"Paid Search",Countries!$D$5:$D$434,$A394,Countries!$AK$5:$AK$434,"&gt;0"))</f>
        <v/>
      </c>
      <c r="C394" s="43">
        <f>IF(SUMIFS(Countries!$AE$5:$AE$434,Countries!$A$5:$A$434,"All landing pages",Countries!$B$5:$B$434,"Paid Search",Countries!$D$5:$D$434,$A394,Countries!$AL$5:$AL$434,"&gt;0")=0,"",SUMIFS(Countries!$AL$5:$AL$434,Countries!$A$5:$A$434,"All landing pages",Countries!$B$5:$B$434,"Paid Search",Countries!$D$5:$D$434,$A394,Countries!$AE$5:$AE$434,"&gt;0")/SUMIFS(Countries!$AE$5:$AE$434,Countries!$A$5:$A$434,"All landing pages",Countries!$B$5:$B$434,"Paid Search",Countries!$D$5:$D$434,$A394,Countries!$AL$5:$AL$434,"&gt;0"))</f>
        <v/>
      </c>
      <c r="D394" s="44">
        <f>IF(OR(B394="",C394=""),"",(C394-B394)*100)</f>
        <v/>
      </c>
      <c r="E394" s="73" t="n"/>
      <c r="F394" s="43">
        <f>IF(SUMIFS(Countries!$AD$5:$AD$434,Countries!$A$5:$A$434,"All landing pages",Countries!$B$5:$B$434,"Organic",Countries!$D$5:$D$434,$A394,Countries!$AK$5:$AK$434,"&gt;0")=0,"",SUMIFS(Countries!$AK$5:$AK$434,Countries!$A$5:$A$434,"All landing pages",Countries!$B$5:$B$434,"Organic",Countries!$D$5:$D$434,$A394,Countries!$AD$5:$AD$434,"&gt;0")/SUMIFS(Countries!$AD$5:$AD$434,Countries!$A$5:$A$434,"All landing pages",Countries!$B$5:$B$434,"Organic",Countries!$D$5:$D$434,$A394,Countries!$AK$5:$AK$434,"&gt;0"))</f>
        <v/>
      </c>
      <c r="G394" s="43">
        <f>IF(SUMIFS(Countries!$AE$5:$AE$434,Countries!$A$5:$A$434,"All landing pages",Countries!$B$5:$B$434,"Organic",Countries!$D$5:$D$434,$A394,Countries!$AL$5:$AL$434,"&gt;0")=0,"",SUMIFS(Countries!$AL$5:$AL$434,Countries!$A$5:$A$434,"All landing pages",Countries!$B$5:$B$434,"Organic",Countries!$D$5:$D$434,$A394,Countries!$AE$5:$AE$434,"&gt;0")/SUMIFS(Countries!$AE$5:$AE$434,Countries!$A$5:$A$434,"All landing pages",Countries!$B$5:$B$434,"Organic",Countries!$D$5:$D$434,$A394,Countries!$AL$5:$AL$434,"&gt;0"))</f>
        <v/>
      </c>
      <c r="H394" s="44">
        <f>IF(OR(F394="",G394=""),"",(G394-F394)*100)</f>
        <v/>
      </c>
      <c r="I394" s="73" t="n"/>
      <c r="J394" s="43">
        <f>IF(SUMIFS(Countries!$AD$5:$AD$434,Countries!$A$5:$A$434,"All landing pages",Countries!$B$5:$B$434,"Direct",Countries!$D$5:$D$434,$A394,Countries!$AK$5:$AK$434,"&gt;0")=0,"",SUMIFS(Countries!$AK$5:$AK$434,Countries!$A$5:$A$434,"All landing pages",Countries!$B$5:$B$434,"Direct",Countries!$D$5:$D$434,$A394,Countries!$AD$5:$AD$434,"&gt;0")/SUMIFS(Countries!$AD$5:$AD$434,Countries!$A$5:$A$434,"All landing pages",Countries!$B$5:$B$434,"Direct",Countries!$D$5:$D$434,$A394,Countries!$AK$5:$AK$434,"&gt;0"))</f>
        <v/>
      </c>
      <c r="K394" s="43">
        <f>IF(SUMIFS(Countries!$AE$5:$AE$434,Countries!$A$5:$A$434,"All landing pages",Countries!$B$5:$B$434,"Direct",Countries!$D$5:$D$434,$A394,Countries!$AL$5:$AL$434,"&gt;0")=0,"",SUMIFS(Countries!$AL$5:$AL$434,Countries!$A$5:$A$434,"All landing pages",Countries!$B$5:$B$434,"Direct",Countries!$D$5:$D$434,$A394,Countries!$AE$5:$AE$434,"&gt;0")/SUMIFS(Countries!$AE$5:$AE$434,Countries!$A$5:$A$434,"All landing pages",Countries!$B$5:$B$434,"Direct",Countries!$D$5:$D$434,$A394,Countries!$AL$5:$AL$434,"&gt;0"))</f>
        <v/>
      </c>
      <c r="L394" s="44">
        <f>IF(OR(J394="",K394=""),"",(K394-J394)*100)</f>
        <v/>
      </c>
      <c r="M394" s="73" t="n"/>
      <c r="N394" s="43">
        <f>IF(SUMIFS(Countries!$AD$5:$AD$434,Countries!$A$5:$A$434,"All landing pages",Countries!$D$5:$D$434,$A394,Countries!$AK$5:$AK$434,"&gt;0")=0,"",SUMIFS(Countries!$AK$5:$AK$434,Countries!$A$5:$A$434,"All landing pages",Countries!$D$5:$D$434,$A394,Countries!$AD$5:$AD$434,"&gt;0")/SUMIFS(Countries!$AD$5:$AD$434,Countries!$A$5:$A$434,"All landing pages",Countries!$D$5:$D$434,$A394,Countries!$AK$5:$AK$434,"&gt;0"))</f>
        <v/>
      </c>
      <c r="O394" s="43">
        <f>IF(SUMIFS(Countries!$AE$5:$AE$434,Countries!$A$5:$A$434,"All landing pages",Countries!$D$5:$D$434,$A394,Countries!$AL$5:$AL$434,"&gt;0")=0,"",SUMIFS(Countries!$AL$5:$AL$434,Countries!$A$5:$A$434,"All landing pages",Countries!$D$5:$D$434,$A394,Countries!$AE$5:$AE$434,"&gt;0")/SUMIFS(Countries!$AE$5:$AE$434,Countries!$A$5:$A$434,"All landing pages",Countries!$D$5:$D$434,$A394,Countries!$AL$5:$AL$434,"&gt;0"))</f>
        <v/>
      </c>
      <c r="P394" s="44">
        <f>IF(OR(N394="",O394=""),"",(O394-N394)*100)</f>
        <v/>
      </c>
      <c r="Q394" s="73" t="n"/>
    </row>
    <row r="395">
      <c r="A395" s="40" t="inlineStr">
        <is>
          <t>United States</t>
        </is>
      </c>
      <c r="B395" s="43">
        <f>IF(SUMIFS(Countries!$AD$5:$AD$434,Countries!$A$5:$A$434,"All landing pages",Countries!$B$5:$B$434,"Paid Search",Countries!$D$5:$D$434,$A395,Countries!$AK$5:$AK$434,"&gt;0")=0,"",SUMIFS(Countries!$AK$5:$AK$434,Countries!$A$5:$A$434,"All landing pages",Countries!$B$5:$B$434,"Paid Search",Countries!$D$5:$D$434,$A395,Countries!$AD$5:$AD$434,"&gt;0")/SUMIFS(Countries!$AD$5:$AD$434,Countries!$A$5:$A$434,"All landing pages",Countries!$B$5:$B$434,"Paid Search",Countries!$D$5:$D$434,$A395,Countries!$AK$5:$AK$434,"&gt;0"))</f>
        <v/>
      </c>
      <c r="C395" s="43">
        <f>IF(SUMIFS(Countries!$AE$5:$AE$434,Countries!$A$5:$A$434,"All landing pages",Countries!$B$5:$B$434,"Paid Search",Countries!$D$5:$D$434,$A395,Countries!$AL$5:$AL$434,"&gt;0")=0,"",SUMIFS(Countries!$AL$5:$AL$434,Countries!$A$5:$A$434,"All landing pages",Countries!$B$5:$B$434,"Paid Search",Countries!$D$5:$D$434,$A395,Countries!$AE$5:$AE$434,"&gt;0")/SUMIFS(Countries!$AE$5:$AE$434,Countries!$A$5:$A$434,"All landing pages",Countries!$B$5:$B$434,"Paid Search",Countries!$D$5:$D$434,$A395,Countries!$AL$5:$AL$434,"&gt;0"))</f>
        <v/>
      </c>
      <c r="D395" s="44">
        <f>IF(OR(B395="",C395=""),"",(C395-B395)*100)</f>
        <v/>
      </c>
      <c r="E395" s="73" t="n"/>
      <c r="F395" s="43">
        <f>IF(SUMIFS(Countries!$AD$5:$AD$434,Countries!$A$5:$A$434,"All landing pages",Countries!$B$5:$B$434,"Organic",Countries!$D$5:$D$434,$A395,Countries!$AK$5:$AK$434,"&gt;0")=0,"",SUMIFS(Countries!$AK$5:$AK$434,Countries!$A$5:$A$434,"All landing pages",Countries!$B$5:$B$434,"Organic",Countries!$D$5:$D$434,$A395,Countries!$AD$5:$AD$434,"&gt;0")/SUMIFS(Countries!$AD$5:$AD$434,Countries!$A$5:$A$434,"All landing pages",Countries!$B$5:$B$434,"Organic",Countries!$D$5:$D$434,$A395,Countries!$AK$5:$AK$434,"&gt;0"))</f>
        <v/>
      </c>
      <c r="G395" s="43">
        <f>IF(SUMIFS(Countries!$AE$5:$AE$434,Countries!$A$5:$A$434,"All landing pages",Countries!$B$5:$B$434,"Organic",Countries!$D$5:$D$434,$A395,Countries!$AL$5:$AL$434,"&gt;0")=0,"",SUMIFS(Countries!$AL$5:$AL$434,Countries!$A$5:$A$434,"All landing pages",Countries!$B$5:$B$434,"Organic",Countries!$D$5:$D$434,$A395,Countries!$AE$5:$AE$434,"&gt;0")/SUMIFS(Countries!$AE$5:$AE$434,Countries!$A$5:$A$434,"All landing pages",Countries!$B$5:$B$434,"Organic",Countries!$D$5:$D$434,$A395,Countries!$AL$5:$AL$434,"&gt;0"))</f>
        <v/>
      </c>
      <c r="H395" s="44">
        <f>IF(OR(F395="",G395=""),"",(G395-F395)*100)</f>
        <v/>
      </c>
      <c r="I395" s="73" t="n"/>
      <c r="J395" s="43">
        <f>IF(SUMIFS(Countries!$AD$5:$AD$434,Countries!$A$5:$A$434,"All landing pages",Countries!$B$5:$B$434,"Direct",Countries!$D$5:$D$434,$A395,Countries!$AK$5:$AK$434,"&gt;0")=0,"",SUMIFS(Countries!$AK$5:$AK$434,Countries!$A$5:$A$434,"All landing pages",Countries!$B$5:$B$434,"Direct",Countries!$D$5:$D$434,$A395,Countries!$AD$5:$AD$434,"&gt;0")/SUMIFS(Countries!$AD$5:$AD$434,Countries!$A$5:$A$434,"All landing pages",Countries!$B$5:$B$434,"Direct",Countries!$D$5:$D$434,$A395,Countries!$AK$5:$AK$434,"&gt;0"))</f>
        <v/>
      </c>
      <c r="K395" s="43">
        <f>IF(SUMIFS(Countries!$AE$5:$AE$434,Countries!$A$5:$A$434,"All landing pages",Countries!$B$5:$B$434,"Direct",Countries!$D$5:$D$434,$A395,Countries!$AL$5:$AL$434,"&gt;0")=0,"",SUMIFS(Countries!$AL$5:$AL$434,Countries!$A$5:$A$434,"All landing pages",Countries!$B$5:$B$434,"Direct",Countries!$D$5:$D$434,$A395,Countries!$AE$5:$AE$434,"&gt;0")/SUMIFS(Countries!$AE$5:$AE$434,Countries!$A$5:$A$434,"All landing pages",Countries!$B$5:$B$434,"Direct",Countries!$D$5:$D$434,$A395,Countries!$AL$5:$AL$434,"&gt;0"))</f>
        <v/>
      </c>
      <c r="L395" s="44">
        <f>IF(OR(J395="",K395=""),"",(K395-J395)*100)</f>
        <v/>
      </c>
      <c r="M395" s="73" t="n"/>
      <c r="N395" s="43">
        <f>IF(SUMIFS(Countries!$AD$5:$AD$434,Countries!$A$5:$A$434,"All landing pages",Countries!$D$5:$D$434,$A395,Countries!$AK$5:$AK$434,"&gt;0")=0,"",SUMIFS(Countries!$AK$5:$AK$434,Countries!$A$5:$A$434,"All landing pages",Countries!$D$5:$D$434,$A395,Countries!$AD$5:$AD$434,"&gt;0")/SUMIFS(Countries!$AD$5:$AD$434,Countries!$A$5:$A$434,"All landing pages",Countries!$D$5:$D$434,$A395,Countries!$AK$5:$AK$434,"&gt;0"))</f>
        <v/>
      </c>
      <c r="O395" s="43">
        <f>IF(SUMIFS(Countries!$AE$5:$AE$434,Countries!$A$5:$A$434,"All landing pages",Countries!$D$5:$D$434,$A395,Countries!$AL$5:$AL$434,"&gt;0")=0,"",SUMIFS(Countries!$AL$5:$AL$434,Countries!$A$5:$A$434,"All landing pages",Countries!$D$5:$D$434,$A395,Countries!$AE$5:$AE$434,"&gt;0")/SUMIFS(Countries!$AE$5:$AE$434,Countries!$A$5:$A$434,"All landing pages",Countries!$D$5:$D$434,$A395,Countries!$AL$5:$AL$434,"&gt;0"))</f>
        <v/>
      </c>
      <c r="P395" s="44">
        <f>IF(OR(N395="",O395=""),"",(O395-N395)*100)</f>
        <v/>
      </c>
      <c r="Q395" s="73" t="n"/>
    </row>
    <row r="396">
      <c r="A396" s="56" t="inlineStr">
        <is>
          <t>Sweden</t>
        </is>
      </c>
      <c r="B396" s="43">
        <f>IF(SUMIFS(Countries!$AD$5:$AD$434,Countries!$A$5:$A$434,"All landing pages",Countries!$B$5:$B$434,"Paid Search",Countries!$D$5:$D$434,$A396,Countries!$AK$5:$AK$434,"&gt;0")=0,"",SUMIFS(Countries!$AK$5:$AK$434,Countries!$A$5:$A$434,"All landing pages",Countries!$B$5:$B$434,"Paid Search",Countries!$D$5:$D$434,$A396,Countries!$AD$5:$AD$434,"&gt;0")/SUMIFS(Countries!$AD$5:$AD$434,Countries!$A$5:$A$434,"All landing pages",Countries!$B$5:$B$434,"Paid Search",Countries!$D$5:$D$434,$A396,Countries!$AK$5:$AK$434,"&gt;0"))</f>
        <v/>
      </c>
      <c r="C396" s="43">
        <f>IF(SUMIFS(Countries!$AE$5:$AE$434,Countries!$A$5:$A$434,"All landing pages",Countries!$B$5:$B$434,"Paid Search",Countries!$D$5:$D$434,$A396,Countries!$AL$5:$AL$434,"&gt;0")=0,"",SUMIFS(Countries!$AL$5:$AL$434,Countries!$A$5:$A$434,"All landing pages",Countries!$B$5:$B$434,"Paid Search",Countries!$D$5:$D$434,$A396,Countries!$AE$5:$AE$434,"&gt;0")/SUMIFS(Countries!$AE$5:$AE$434,Countries!$A$5:$A$434,"All landing pages",Countries!$B$5:$B$434,"Paid Search",Countries!$D$5:$D$434,$A396,Countries!$AL$5:$AL$434,"&gt;0"))</f>
        <v/>
      </c>
      <c r="D396" s="44">
        <f>IF(OR(B396="",C396=""),"",(C396-B396)*100)</f>
        <v/>
      </c>
      <c r="E396" s="73" t="n"/>
      <c r="F396" s="43">
        <f>IF(SUMIFS(Countries!$AD$5:$AD$434,Countries!$A$5:$A$434,"All landing pages",Countries!$B$5:$B$434,"Organic",Countries!$D$5:$D$434,$A396,Countries!$AK$5:$AK$434,"&gt;0")=0,"",SUMIFS(Countries!$AK$5:$AK$434,Countries!$A$5:$A$434,"All landing pages",Countries!$B$5:$B$434,"Organic",Countries!$D$5:$D$434,$A396,Countries!$AD$5:$AD$434,"&gt;0")/SUMIFS(Countries!$AD$5:$AD$434,Countries!$A$5:$A$434,"All landing pages",Countries!$B$5:$B$434,"Organic",Countries!$D$5:$D$434,$A396,Countries!$AK$5:$AK$434,"&gt;0"))</f>
        <v/>
      </c>
      <c r="G396" s="43">
        <f>IF(SUMIFS(Countries!$AE$5:$AE$434,Countries!$A$5:$A$434,"All landing pages",Countries!$B$5:$B$434,"Organic",Countries!$D$5:$D$434,$A396,Countries!$AL$5:$AL$434,"&gt;0")=0,"",SUMIFS(Countries!$AL$5:$AL$434,Countries!$A$5:$A$434,"All landing pages",Countries!$B$5:$B$434,"Organic",Countries!$D$5:$D$434,$A396,Countries!$AE$5:$AE$434,"&gt;0")/SUMIFS(Countries!$AE$5:$AE$434,Countries!$A$5:$A$434,"All landing pages",Countries!$B$5:$B$434,"Organic",Countries!$D$5:$D$434,$A396,Countries!$AL$5:$AL$434,"&gt;0"))</f>
        <v/>
      </c>
      <c r="H396" s="44">
        <f>IF(OR(F396="",G396=""),"",(G396-F396)*100)</f>
        <v/>
      </c>
      <c r="I396" s="73" t="n"/>
      <c r="J396" s="43">
        <f>IF(SUMIFS(Countries!$AD$5:$AD$434,Countries!$A$5:$A$434,"All landing pages",Countries!$B$5:$B$434,"Direct",Countries!$D$5:$D$434,$A396,Countries!$AK$5:$AK$434,"&gt;0")=0,"",SUMIFS(Countries!$AK$5:$AK$434,Countries!$A$5:$A$434,"All landing pages",Countries!$B$5:$B$434,"Direct",Countries!$D$5:$D$434,$A396,Countries!$AD$5:$AD$434,"&gt;0")/SUMIFS(Countries!$AD$5:$AD$434,Countries!$A$5:$A$434,"All landing pages",Countries!$B$5:$B$434,"Direct",Countries!$D$5:$D$434,$A396,Countries!$AK$5:$AK$434,"&gt;0"))</f>
        <v/>
      </c>
      <c r="K396" s="43">
        <f>IF(SUMIFS(Countries!$AE$5:$AE$434,Countries!$A$5:$A$434,"All landing pages",Countries!$B$5:$B$434,"Direct",Countries!$D$5:$D$434,$A396,Countries!$AL$5:$AL$434,"&gt;0")=0,"",SUMIFS(Countries!$AL$5:$AL$434,Countries!$A$5:$A$434,"All landing pages",Countries!$B$5:$B$434,"Direct",Countries!$D$5:$D$434,$A396,Countries!$AE$5:$AE$434,"&gt;0")/SUMIFS(Countries!$AE$5:$AE$434,Countries!$A$5:$A$434,"All landing pages",Countries!$B$5:$B$434,"Direct",Countries!$D$5:$D$434,$A396,Countries!$AL$5:$AL$434,"&gt;0"))</f>
        <v/>
      </c>
      <c r="L396" s="44">
        <f>IF(OR(J396="",K396=""),"",(K396-J396)*100)</f>
        <v/>
      </c>
      <c r="M396" s="73" t="n"/>
      <c r="N396" s="43">
        <f>IF(SUMIFS(Countries!$AD$5:$AD$434,Countries!$A$5:$A$434,"All landing pages",Countries!$D$5:$D$434,$A396,Countries!$AK$5:$AK$434,"&gt;0")=0,"",SUMIFS(Countries!$AK$5:$AK$434,Countries!$A$5:$A$434,"All landing pages",Countries!$D$5:$D$434,$A396,Countries!$AD$5:$AD$434,"&gt;0")/SUMIFS(Countries!$AD$5:$AD$434,Countries!$A$5:$A$434,"All landing pages",Countries!$D$5:$D$434,$A396,Countries!$AK$5:$AK$434,"&gt;0"))</f>
        <v/>
      </c>
      <c r="O396" s="43">
        <f>IF(SUMIFS(Countries!$AE$5:$AE$434,Countries!$A$5:$A$434,"All landing pages",Countries!$D$5:$D$434,$A396,Countries!$AL$5:$AL$434,"&gt;0")=0,"",SUMIFS(Countries!$AL$5:$AL$434,Countries!$A$5:$A$434,"All landing pages",Countries!$D$5:$D$434,$A396,Countries!$AE$5:$AE$434,"&gt;0")/SUMIFS(Countries!$AE$5:$AE$434,Countries!$A$5:$A$434,"All landing pages",Countries!$D$5:$D$434,$A396,Countries!$AL$5:$AL$434,"&gt;0"))</f>
        <v/>
      </c>
      <c r="P396" s="44">
        <f>IF(OR(N396="",O396=""),"",(O396-N396)*100)</f>
        <v/>
      </c>
      <c r="Q396" s="73" t="n"/>
    </row>
    <row r="397">
      <c r="A397" s="40" t="inlineStr">
        <is>
          <t>Belgium</t>
        </is>
      </c>
      <c r="B397" s="43">
        <f>IF(SUMIFS(Countries!$AD$5:$AD$434,Countries!$A$5:$A$434,"All landing pages",Countries!$B$5:$B$434,"Paid Search",Countries!$D$5:$D$434,$A397,Countries!$AK$5:$AK$434,"&gt;0")=0,"",SUMIFS(Countries!$AK$5:$AK$434,Countries!$A$5:$A$434,"All landing pages",Countries!$B$5:$B$434,"Paid Search",Countries!$D$5:$D$434,$A397,Countries!$AD$5:$AD$434,"&gt;0")/SUMIFS(Countries!$AD$5:$AD$434,Countries!$A$5:$A$434,"All landing pages",Countries!$B$5:$B$434,"Paid Search",Countries!$D$5:$D$434,$A397,Countries!$AK$5:$AK$434,"&gt;0"))</f>
        <v/>
      </c>
      <c r="C397" s="43">
        <f>IF(SUMIFS(Countries!$AE$5:$AE$434,Countries!$A$5:$A$434,"All landing pages",Countries!$B$5:$B$434,"Paid Search",Countries!$D$5:$D$434,$A397,Countries!$AL$5:$AL$434,"&gt;0")=0,"",SUMIFS(Countries!$AL$5:$AL$434,Countries!$A$5:$A$434,"All landing pages",Countries!$B$5:$B$434,"Paid Search",Countries!$D$5:$D$434,$A397,Countries!$AE$5:$AE$434,"&gt;0")/SUMIFS(Countries!$AE$5:$AE$434,Countries!$A$5:$A$434,"All landing pages",Countries!$B$5:$B$434,"Paid Search",Countries!$D$5:$D$434,$A397,Countries!$AL$5:$AL$434,"&gt;0"))</f>
        <v/>
      </c>
      <c r="D397" s="44">
        <f>IF(OR(B397="",C397=""),"",(C397-B397)*100)</f>
        <v/>
      </c>
      <c r="E397" s="73" t="n"/>
      <c r="F397" s="43">
        <f>IF(SUMIFS(Countries!$AD$5:$AD$434,Countries!$A$5:$A$434,"All landing pages",Countries!$B$5:$B$434,"Organic",Countries!$D$5:$D$434,$A397,Countries!$AK$5:$AK$434,"&gt;0")=0,"",SUMIFS(Countries!$AK$5:$AK$434,Countries!$A$5:$A$434,"All landing pages",Countries!$B$5:$B$434,"Organic",Countries!$D$5:$D$434,$A397,Countries!$AD$5:$AD$434,"&gt;0")/SUMIFS(Countries!$AD$5:$AD$434,Countries!$A$5:$A$434,"All landing pages",Countries!$B$5:$B$434,"Organic",Countries!$D$5:$D$434,$A397,Countries!$AK$5:$AK$434,"&gt;0"))</f>
        <v/>
      </c>
      <c r="G397" s="43">
        <f>IF(SUMIFS(Countries!$AE$5:$AE$434,Countries!$A$5:$A$434,"All landing pages",Countries!$B$5:$B$434,"Organic",Countries!$D$5:$D$434,$A397,Countries!$AL$5:$AL$434,"&gt;0")=0,"",SUMIFS(Countries!$AL$5:$AL$434,Countries!$A$5:$A$434,"All landing pages",Countries!$B$5:$B$434,"Organic",Countries!$D$5:$D$434,$A397,Countries!$AE$5:$AE$434,"&gt;0")/SUMIFS(Countries!$AE$5:$AE$434,Countries!$A$5:$A$434,"All landing pages",Countries!$B$5:$B$434,"Organic",Countries!$D$5:$D$434,$A397,Countries!$AL$5:$AL$434,"&gt;0"))</f>
        <v/>
      </c>
      <c r="H397" s="44">
        <f>IF(OR(F397="",G397=""),"",(G397-F397)*100)</f>
        <v/>
      </c>
      <c r="I397" s="73" t="n"/>
      <c r="J397" s="43">
        <f>IF(SUMIFS(Countries!$AD$5:$AD$434,Countries!$A$5:$A$434,"All landing pages",Countries!$B$5:$B$434,"Direct",Countries!$D$5:$D$434,$A397,Countries!$AK$5:$AK$434,"&gt;0")=0,"",SUMIFS(Countries!$AK$5:$AK$434,Countries!$A$5:$A$434,"All landing pages",Countries!$B$5:$B$434,"Direct",Countries!$D$5:$D$434,$A397,Countries!$AD$5:$AD$434,"&gt;0")/SUMIFS(Countries!$AD$5:$AD$434,Countries!$A$5:$A$434,"All landing pages",Countries!$B$5:$B$434,"Direct",Countries!$D$5:$D$434,$A397,Countries!$AK$5:$AK$434,"&gt;0"))</f>
        <v/>
      </c>
      <c r="K397" s="43">
        <f>IF(SUMIFS(Countries!$AE$5:$AE$434,Countries!$A$5:$A$434,"All landing pages",Countries!$B$5:$B$434,"Direct",Countries!$D$5:$D$434,$A397,Countries!$AL$5:$AL$434,"&gt;0")=0,"",SUMIFS(Countries!$AL$5:$AL$434,Countries!$A$5:$A$434,"All landing pages",Countries!$B$5:$B$434,"Direct",Countries!$D$5:$D$434,$A397,Countries!$AE$5:$AE$434,"&gt;0")/SUMIFS(Countries!$AE$5:$AE$434,Countries!$A$5:$A$434,"All landing pages",Countries!$B$5:$B$434,"Direct",Countries!$D$5:$D$434,$A397,Countries!$AL$5:$AL$434,"&gt;0"))</f>
        <v/>
      </c>
      <c r="L397" s="44">
        <f>IF(OR(J397="",K397=""),"",(K397-J397)*100)</f>
        <v/>
      </c>
      <c r="M397" s="73" t="n"/>
      <c r="N397" s="43">
        <f>IF(SUMIFS(Countries!$AD$5:$AD$434,Countries!$A$5:$A$434,"All landing pages",Countries!$D$5:$D$434,$A397,Countries!$AK$5:$AK$434,"&gt;0")=0,"",SUMIFS(Countries!$AK$5:$AK$434,Countries!$A$5:$A$434,"All landing pages",Countries!$D$5:$D$434,$A397,Countries!$AD$5:$AD$434,"&gt;0")/SUMIFS(Countries!$AD$5:$AD$434,Countries!$A$5:$A$434,"All landing pages",Countries!$D$5:$D$434,$A397,Countries!$AK$5:$AK$434,"&gt;0"))</f>
        <v/>
      </c>
      <c r="O397" s="43">
        <f>IF(SUMIFS(Countries!$AE$5:$AE$434,Countries!$A$5:$A$434,"All landing pages",Countries!$D$5:$D$434,$A397,Countries!$AL$5:$AL$434,"&gt;0")=0,"",SUMIFS(Countries!$AL$5:$AL$434,Countries!$A$5:$A$434,"All landing pages",Countries!$D$5:$D$434,$A397,Countries!$AE$5:$AE$434,"&gt;0")/SUMIFS(Countries!$AE$5:$AE$434,Countries!$A$5:$A$434,"All landing pages",Countries!$D$5:$D$434,$A397,Countries!$AL$5:$AL$434,"&gt;0"))</f>
        <v/>
      </c>
      <c r="P397" s="44">
        <f>IF(OR(N397="",O397=""),"",(O397-N397)*100)</f>
        <v/>
      </c>
      <c r="Q397" s="73" t="n"/>
    </row>
    <row r="398">
      <c r="A398" s="56" t="inlineStr">
        <is>
          <t>Austria</t>
        </is>
      </c>
      <c r="B398" s="43">
        <f>IF(SUMIFS(Countries!$AD$5:$AD$434,Countries!$A$5:$A$434,"All landing pages",Countries!$B$5:$B$434,"Paid Search",Countries!$D$5:$D$434,$A398,Countries!$AK$5:$AK$434,"&gt;0")=0,"",SUMIFS(Countries!$AK$5:$AK$434,Countries!$A$5:$A$434,"All landing pages",Countries!$B$5:$B$434,"Paid Search",Countries!$D$5:$D$434,$A398,Countries!$AD$5:$AD$434,"&gt;0")/SUMIFS(Countries!$AD$5:$AD$434,Countries!$A$5:$A$434,"All landing pages",Countries!$B$5:$B$434,"Paid Search",Countries!$D$5:$D$434,$A398,Countries!$AK$5:$AK$434,"&gt;0"))</f>
        <v/>
      </c>
      <c r="C398" s="43">
        <f>IF(SUMIFS(Countries!$AE$5:$AE$434,Countries!$A$5:$A$434,"All landing pages",Countries!$B$5:$B$434,"Paid Search",Countries!$D$5:$D$434,$A398,Countries!$AL$5:$AL$434,"&gt;0")=0,"",SUMIFS(Countries!$AL$5:$AL$434,Countries!$A$5:$A$434,"All landing pages",Countries!$B$5:$B$434,"Paid Search",Countries!$D$5:$D$434,$A398,Countries!$AE$5:$AE$434,"&gt;0")/SUMIFS(Countries!$AE$5:$AE$434,Countries!$A$5:$A$434,"All landing pages",Countries!$B$5:$B$434,"Paid Search",Countries!$D$5:$D$434,$A398,Countries!$AL$5:$AL$434,"&gt;0"))</f>
        <v/>
      </c>
      <c r="D398" s="44">
        <f>IF(OR(B398="",C398=""),"",(C398-B398)*100)</f>
        <v/>
      </c>
      <c r="E398" s="73" t="n"/>
      <c r="F398" s="43">
        <f>IF(SUMIFS(Countries!$AD$5:$AD$434,Countries!$A$5:$A$434,"All landing pages",Countries!$B$5:$B$434,"Organic",Countries!$D$5:$D$434,$A398,Countries!$AK$5:$AK$434,"&gt;0")=0,"",SUMIFS(Countries!$AK$5:$AK$434,Countries!$A$5:$A$434,"All landing pages",Countries!$B$5:$B$434,"Organic",Countries!$D$5:$D$434,$A398,Countries!$AD$5:$AD$434,"&gt;0")/SUMIFS(Countries!$AD$5:$AD$434,Countries!$A$5:$A$434,"All landing pages",Countries!$B$5:$B$434,"Organic",Countries!$D$5:$D$434,$A398,Countries!$AK$5:$AK$434,"&gt;0"))</f>
        <v/>
      </c>
      <c r="G398" s="43">
        <f>IF(SUMIFS(Countries!$AE$5:$AE$434,Countries!$A$5:$A$434,"All landing pages",Countries!$B$5:$B$434,"Organic",Countries!$D$5:$D$434,$A398,Countries!$AL$5:$AL$434,"&gt;0")=0,"",SUMIFS(Countries!$AL$5:$AL$434,Countries!$A$5:$A$434,"All landing pages",Countries!$B$5:$B$434,"Organic",Countries!$D$5:$D$434,$A398,Countries!$AE$5:$AE$434,"&gt;0")/SUMIFS(Countries!$AE$5:$AE$434,Countries!$A$5:$A$434,"All landing pages",Countries!$B$5:$B$434,"Organic",Countries!$D$5:$D$434,$A398,Countries!$AL$5:$AL$434,"&gt;0"))</f>
        <v/>
      </c>
      <c r="H398" s="44">
        <f>IF(OR(F398="",G398=""),"",(G398-F398)*100)</f>
        <v/>
      </c>
      <c r="I398" s="73" t="n"/>
      <c r="J398" s="43">
        <f>IF(SUMIFS(Countries!$AD$5:$AD$434,Countries!$A$5:$A$434,"All landing pages",Countries!$B$5:$B$434,"Direct",Countries!$D$5:$D$434,$A398,Countries!$AK$5:$AK$434,"&gt;0")=0,"",SUMIFS(Countries!$AK$5:$AK$434,Countries!$A$5:$A$434,"All landing pages",Countries!$B$5:$B$434,"Direct",Countries!$D$5:$D$434,$A398,Countries!$AD$5:$AD$434,"&gt;0")/SUMIFS(Countries!$AD$5:$AD$434,Countries!$A$5:$A$434,"All landing pages",Countries!$B$5:$B$434,"Direct",Countries!$D$5:$D$434,$A398,Countries!$AK$5:$AK$434,"&gt;0"))</f>
        <v/>
      </c>
      <c r="K398" s="43">
        <f>IF(SUMIFS(Countries!$AE$5:$AE$434,Countries!$A$5:$A$434,"All landing pages",Countries!$B$5:$B$434,"Direct",Countries!$D$5:$D$434,$A398,Countries!$AL$5:$AL$434,"&gt;0")=0,"",SUMIFS(Countries!$AL$5:$AL$434,Countries!$A$5:$A$434,"All landing pages",Countries!$B$5:$B$434,"Direct",Countries!$D$5:$D$434,$A398,Countries!$AE$5:$AE$434,"&gt;0")/SUMIFS(Countries!$AE$5:$AE$434,Countries!$A$5:$A$434,"All landing pages",Countries!$B$5:$B$434,"Direct",Countries!$D$5:$D$434,$A398,Countries!$AL$5:$AL$434,"&gt;0"))</f>
        <v/>
      </c>
      <c r="L398" s="44">
        <f>IF(OR(J398="",K398=""),"",(K398-J398)*100)</f>
        <v/>
      </c>
      <c r="M398" s="73" t="n"/>
      <c r="N398" s="43">
        <f>IF(SUMIFS(Countries!$AD$5:$AD$434,Countries!$A$5:$A$434,"All landing pages",Countries!$D$5:$D$434,$A398,Countries!$AK$5:$AK$434,"&gt;0")=0,"",SUMIFS(Countries!$AK$5:$AK$434,Countries!$A$5:$A$434,"All landing pages",Countries!$D$5:$D$434,$A398,Countries!$AD$5:$AD$434,"&gt;0")/SUMIFS(Countries!$AD$5:$AD$434,Countries!$A$5:$A$434,"All landing pages",Countries!$D$5:$D$434,$A398,Countries!$AK$5:$AK$434,"&gt;0"))</f>
        <v/>
      </c>
      <c r="O398" s="43">
        <f>IF(SUMIFS(Countries!$AE$5:$AE$434,Countries!$A$5:$A$434,"All landing pages",Countries!$D$5:$D$434,$A398,Countries!$AL$5:$AL$434,"&gt;0")=0,"",SUMIFS(Countries!$AL$5:$AL$434,Countries!$A$5:$A$434,"All landing pages",Countries!$D$5:$D$434,$A398,Countries!$AE$5:$AE$434,"&gt;0")/SUMIFS(Countries!$AE$5:$AE$434,Countries!$A$5:$A$434,"All landing pages",Countries!$D$5:$D$434,$A398,Countries!$AL$5:$AL$434,"&gt;0"))</f>
        <v/>
      </c>
      <c r="P398" s="44">
        <f>IF(OR(N398="",O398=""),"",(O398-N398)*100)</f>
        <v/>
      </c>
      <c r="Q398" s="73" t="n"/>
    </row>
    <row r="399">
      <c r="A399" s="40" t="inlineStr">
        <is>
          <t>Denmark</t>
        </is>
      </c>
      <c r="B399" s="43">
        <f>IF(SUMIFS(Countries!$AD$5:$AD$434,Countries!$A$5:$A$434,"All landing pages",Countries!$B$5:$B$434,"Paid Search",Countries!$D$5:$D$434,$A399,Countries!$AK$5:$AK$434,"&gt;0")=0,"",SUMIFS(Countries!$AK$5:$AK$434,Countries!$A$5:$A$434,"All landing pages",Countries!$B$5:$B$434,"Paid Search",Countries!$D$5:$D$434,$A399,Countries!$AD$5:$AD$434,"&gt;0")/SUMIFS(Countries!$AD$5:$AD$434,Countries!$A$5:$A$434,"All landing pages",Countries!$B$5:$B$434,"Paid Search",Countries!$D$5:$D$434,$A399,Countries!$AK$5:$AK$434,"&gt;0"))</f>
        <v/>
      </c>
      <c r="C399" s="43">
        <f>IF(SUMIFS(Countries!$AE$5:$AE$434,Countries!$A$5:$A$434,"All landing pages",Countries!$B$5:$B$434,"Paid Search",Countries!$D$5:$D$434,$A399,Countries!$AL$5:$AL$434,"&gt;0")=0,"",SUMIFS(Countries!$AL$5:$AL$434,Countries!$A$5:$A$434,"All landing pages",Countries!$B$5:$B$434,"Paid Search",Countries!$D$5:$D$434,$A399,Countries!$AE$5:$AE$434,"&gt;0")/SUMIFS(Countries!$AE$5:$AE$434,Countries!$A$5:$A$434,"All landing pages",Countries!$B$5:$B$434,"Paid Search",Countries!$D$5:$D$434,$A399,Countries!$AL$5:$AL$434,"&gt;0"))</f>
        <v/>
      </c>
      <c r="D399" s="44">
        <f>IF(OR(B399="",C399=""),"",(C399-B399)*100)</f>
        <v/>
      </c>
      <c r="E399" s="73" t="n"/>
      <c r="F399" s="43">
        <f>IF(SUMIFS(Countries!$AD$5:$AD$434,Countries!$A$5:$A$434,"All landing pages",Countries!$B$5:$B$434,"Organic",Countries!$D$5:$D$434,$A399,Countries!$AK$5:$AK$434,"&gt;0")=0,"",SUMIFS(Countries!$AK$5:$AK$434,Countries!$A$5:$A$434,"All landing pages",Countries!$B$5:$B$434,"Organic",Countries!$D$5:$D$434,$A399,Countries!$AD$5:$AD$434,"&gt;0")/SUMIFS(Countries!$AD$5:$AD$434,Countries!$A$5:$A$434,"All landing pages",Countries!$B$5:$B$434,"Organic",Countries!$D$5:$D$434,$A399,Countries!$AK$5:$AK$434,"&gt;0"))</f>
        <v/>
      </c>
      <c r="G399" s="43">
        <f>IF(SUMIFS(Countries!$AE$5:$AE$434,Countries!$A$5:$A$434,"All landing pages",Countries!$B$5:$B$434,"Organic",Countries!$D$5:$D$434,$A399,Countries!$AL$5:$AL$434,"&gt;0")=0,"",SUMIFS(Countries!$AL$5:$AL$434,Countries!$A$5:$A$434,"All landing pages",Countries!$B$5:$B$434,"Organic",Countries!$D$5:$D$434,$A399,Countries!$AE$5:$AE$434,"&gt;0")/SUMIFS(Countries!$AE$5:$AE$434,Countries!$A$5:$A$434,"All landing pages",Countries!$B$5:$B$434,"Organic",Countries!$D$5:$D$434,$A399,Countries!$AL$5:$AL$434,"&gt;0"))</f>
        <v/>
      </c>
      <c r="H399" s="44">
        <f>IF(OR(F399="",G399=""),"",(G399-F399)*100)</f>
        <v/>
      </c>
      <c r="I399" s="73" t="n"/>
      <c r="J399" s="43">
        <f>IF(SUMIFS(Countries!$AD$5:$AD$434,Countries!$A$5:$A$434,"All landing pages",Countries!$B$5:$B$434,"Direct",Countries!$D$5:$D$434,$A399,Countries!$AK$5:$AK$434,"&gt;0")=0,"",SUMIFS(Countries!$AK$5:$AK$434,Countries!$A$5:$A$434,"All landing pages",Countries!$B$5:$B$434,"Direct",Countries!$D$5:$D$434,$A399,Countries!$AD$5:$AD$434,"&gt;0")/SUMIFS(Countries!$AD$5:$AD$434,Countries!$A$5:$A$434,"All landing pages",Countries!$B$5:$B$434,"Direct",Countries!$D$5:$D$434,$A399,Countries!$AK$5:$AK$434,"&gt;0"))</f>
        <v/>
      </c>
      <c r="K399" s="43">
        <f>IF(SUMIFS(Countries!$AE$5:$AE$434,Countries!$A$5:$A$434,"All landing pages",Countries!$B$5:$B$434,"Direct",Countries!$D$5:$D$434,$A399,Countries!$AL$5:$AL$434,"&gt;0")=0,"",SUMIFS(Countries!$AL$5:$AL$434,Countries!$A$5:$A$434,"All landing pages",Countries!$B$5:$B$434,"Direct",Countries!$D$5:$D$434,$A399,Countries!$AE$5:$AE$434,"&gt;0")/SUMIFS(Countries!$AE$5:$AE$434,Countries!$A$5:$A$434,"All landing pages",Countries!$B$5:$B$434,"Direct",Countries!$D$5:$D$434,$A399,Countries!$AL$5:$AL$434,"&gt;0"))</f>
        <v/>
      </c>
      <c r="L399" s="44">
        <f>IF(OR(J399="",K399=""),"",(K399-J399)*100)</f>
        <v/>
      </c>
      <c r="M399" s="73" t="n"/>
      <c r="N399" s="43">
        <f>IF(SUMIFS(Countries!$AD$5:$AD$434,Countries!$A$5:$A$434,"All landing pages",Countries!$D$5:$D$434,$A399,Countries!$AK$5:$AK$434,"&gt;0")=0,"",SUMIFS(Countries!$AK$5:$AK$434,Countries!$A$5:$A$434,"All landing pages",Countries!$D$5:$D$434,$A399,Countries!$AD$5:$AD$434,"&gt;0")/SUMIFS(Countries!$AD$5:$AD$434,Countries!$A$5:$A$434,"All landing pages",Countries!$D$5:$D$434,$A399,Countries!$AK$5:$AK$434,"&gt;0"))</f>
        <v/>
      </c>
      <c r="O399" s="43">
        <f>IF(SUMIFS(Countries!$AE$5:$AE$434,Countries!$A$5:$A$434,"All landing pages",Countries!$D$5:$D$434,$A399,Countries!$AL$5:$AL$434,"&gt;0")=0,"",SUMIFS(Countries!$AL$5:$AL$434,Countries!$A$5:$A$434,"All landing pages",Countries!$D$5:$D$434,$A399,Countries!$AE$5:$AE$434,"&gt;0")/SUMIFS(Countries!$AE$5:$AE$434,Countries!$A$5:$A$434,"All landing pages",Countries!$D$5:$D$434,$A399,Countries!$AL$5:$AL$434,"&gt;0"))</f>
        <v/>
      </c>
      <c r="P399" s="44">
        <f>IF(OR(N399="",O399=""),"",(O399-N399)*100)</f>
        <v/>
      </c>
      <c r="Q399" s="73" t="n"/>
    </row>
    <row r="400">
      <c r="A400" s="56" t="inlineStr">
        <is>
          <t>Norway</t>
        </is>
      </c>
      <c r="B400" s="43">
        <f>IF(SUMIFS(Countries!$AD$5:$AD$434,Countries!$A$5:$A$434,"All landing pages",Countries!$B$5:$B$434,"Paid Search",Countries!$D$5:$D$434,$A400,Countries!$AK$5:$AK$434,"&gt;0")=0,"",SUMIFS(Countries!$AK$5:$AK$434,Countries!$A$5:$A$434,"All landing pages",Countries!$B$5:$B$434,"Paid Search",Countries!$D$5:$D$434,$A400,Countries!$AD$5:$AD$434,"&gt;0")/SUMIFS(Countries!$AD$5:$AD$434,Countries!$A$5:$A$434,"All landing pages",Countries!$B$5:$B$434,"Paid Search",Countries!$D$5:$D$434,$A400,Countries!$AK$5:$AK$434,"&gt;0"))</f>
        <v/>
      </c>
      <c r="C400" s="43">
        <f>IF(SUMIFS(Countries!$AE$5:$AE$434,Countries!$A$5:$A$434,"All landing pages",Countries!$B$5:$B$434,"Paid Search",Countries!$D$5:$D$434,$A400,Countries!$AL$5:$AL$434,"&gt;0")=0,"",SUMIFS(Countries!$AL$5:$AL$434,Countries!$A$5:$A$434,"All landing pages",Countries!$B$5:$B$434,"Paid Search",Countries!$D$5:$D$434,$A400,Countries!$AE$5:$AE$434,"&gt;0")/SUMIFS(Countries!$AE$5:$AE$434,Countries!$A$5:$A$434,"All landing pages",Countries!$B$5:$B$434,"Paid Search",Countries!$D$5:$D$434,$A400,Countries!$AL$5:$AL$434,"&gt;0"))</f>
        <v/>
      </c>
      <c r="D400" s="44">
        <f>IF(OR(B400="",C400=""),"",(C400-B400)*100)</f>
        <v/>
      </c>
      <c r="E400" s="73" t="n"/>
      <c r="F400" s="43">
        <f>IF(SUMIFS(Countries!$AD$5:$AD$434,Countries!$A$5:$A$434,"All landing pages",Countries!$B$5:$B$434,"Organic",Countries!$D$5:$D$434,$A400,Countries!$AK$5:$AK$434,"&gt;0")=0,"",SUMIFS(Countries!$AK$5:$AK$434,Countries!$A$5:$A$434,"All landing pages",Countries!$B$5:$B$434,"Organic",Countries!$D$5:$D$434,$A400,Countries!$AD$5:$AD$434,"&gt;0")/SUMIFS(Countries!$AD$5:$AD$434,Countries!$A$5:$A$434,"All landing pages",Countries!$B$5:$B$434,"Organic",Countries!$D$5:$D$434,$A400,Countries!$AK$5:$AK$434,"&gt;0"))</f>
        <v/>
      </c>
      <c r="G400" s="43">
        <f>IF(SUMIFS(Countries!$AE$5:$AE$434,Countries!$A$5:$A$434,"All landing pages",Countries!$B$5:$B$434,"Organic",Countries!$D$5:$D$434,$A400,Countries!$AL$5:$AL$434,"&gt;0")=0,"",SUMIFS(Countries!$AL$5:$AL$434,Countries!$A$5:$A$434,"All landing pages",Countries!$B$5:$B$434,"Organic",Countries!$D$5:$D$434,$A400,Countries!$AE$5:$AE$434,"&gt;0")/SUMIFS(Countries!$AE$5:$AE$434,Countries!$A$5:$A$434,"All landing pages",Countries!$B$5:$B$434,"Organic",Countries!$D$5:$D$434,$A400,Countries!$AL$5:$AL$434,"&gt;0"))</f>
        <v/>
      </c>
      <c r="H400" s="44">
        <f>IF(OR(F400="",G400=""),"",(G400-F400)*100)</f>
        <v/>
      </c>
      <c r="I400" s="73" t="n"/>
      <c r="J400" s="43">
        <f>IF(SUMIFS(Countries!$AD$5:$AD$434,Countries!$A$5:$A$434,"All landing pages",Countries!$B$5:$B$434,"Direct",Countries!$D$5:$D$434,$A400,Countries!$AK$5:$AK$434,"&gt;0")=0,"",SUMIFS(Countries!$AK$5:$AK$434,Countries!$A$5:$A$434,"All landing pages",Countries!$B$5:$B$434,"Direct",Countries!$D$5:$D$434,$A400,Countries!$AD$5:$AD$434,"&gt;0")/SUMIFS(Countries!$AD$5:$AD$434,Countries!$A$5:$A$434,"All landing pages",Countries!$B$5:$B$434,"Direct",Countries!$D$5:$D$434,$A400,Countries!$AK$5:$AK$434,"&gt;0"))</f>
        <v/>
      </c>
      <c r="K400" s="43">
        <f>IF(SUMIFS(Countries!$AE$5:$AE$434,Countries!$A$5:$A$434,"All landing pages",Countries!$B$5:$B$434,"Direct",Countries!$D$5:$D$434,$A400,Countries!$AL$5:$AL$434,"&gt;0")=0,"",SUMIFS(Countries!$AL$5:$AL$434,Countries!$A$5:$A$434,"All landing pages",Countries!$B$5:$B$434,"Direct",Countries!$D$5:$D$434,$A400,Countries!$AE$5:$AE$434,"&gt;0")/SUMIFS(Countries!$AE$5:$AE$434,Countries!$A$5:$A$434,"All landing pages",Countries!$B$5:$B$434,"Direct",Countries!$D$5:$D$434,$A400,Countries!$AL$5:$AL$434,"&gt;0"))</f>
        <v/>
      </c>
      <c r="L400" s="44">
        <f>IF(OR(J400="",K400=""),"",(K400-J400)*100)</f>
        <v/>
      </c>
      <c r="M400" s="73" t="n"/>
      <c r="N400" s="43">
        <f>IF(SUMIFS(Countries!$AD$5:$AD$434,Countries!$A$5:$A$434,"All landing pages",Countries!$D$5:$D$434,$A400,Countries!$AK$5:$AK$434,"&gt;0")=0,"",SUMIFS(Countries!$AK$5:$AK$434,Countries!$A$5:$A$434,"All landing pages",Countries!$D$5:$D$434,$A400,Countries!$AD$5:$AD$434,"&gt;0")/SUMIFS(Countries!$AD$5:$AD$434,Countries!$A$5:$A$434,"All landing pages",Countries!$D$5:$D$434,$A400,Countries!$AK$5:$AK$434,"&gt;0"))</f>
        <v/>
      </c>
      <c r="O400" s="43">
        <f>IF(SUMIFS(Countries!$AE$5:$AE$434,Countries!$A$5:$A$434,"All landing pages",Countries!$D$5:$D$434,$A400,Countries!$AL$5:$AL$434,"&gt;0")=0,"",SUMIFS(Countries!$AL$5:$AL$434,Countries!$A$5:$A$434,"All landing pages",Countries!$D$5:$D$434,$A400,Countries!$AE$5:$AE$434,"&gt;0")/SUMIFS(Countries!$AE$5:$AE$434,Countries!$A$5:$A$434,"All landing pages",Countries!$D$5:$D$434,$A400,Countries!$AL$5:$AL$434,"&gt;0"))</f>
        <v/>
      </c>
      <c r="P400" s="44">
        <f>IF(OR(N400="",O400=""),"",(O400-N400)*100)</f>
        <v/>
      </c>
      <c r="Q400" s="73" t="n"/>
    </row>
    <row r="401">
      <c r="A401" s="40" t="inlineStr">
        <is>
          <t>Finland</t>
        </is>
      </c>
      <c r="B401" s="43">
        <f>IF(SUMIFS(Countries!$AD$5:$AD$434,Countries!$A$5:$A$434,"All landing pages",Countries!$B$5:$B$434,"Paid Search",Countries!$D$5:$D$434,$A401,Countries!$AK$5:$AK$434,"&gt;0")=0,"",SUMIFS(Countries!$AK$5:$AK$434,Countries!$A$5:$A$434,"All landing pages",Countries!$B$5:$B$434,"Paid Search",Countries!$D$5:$D$434,$A401,Countries!$AD$5:$AD$434,"&gt;0")/SUMIFS(Countries!$AD$5:$AD$434,Countries!$A$5:$A$434,"All landing pages",Countries!$B$5:$B$434,"Paid Search",Countries!$D$5:$D$434,$A401,Countries!$AK$5:$AK$434,"&gt;0"))</f>
        <v/>
      </c>
      <c r="C401" s="43">
        <f>IF(SUMIFS(Countries!$AE$5:$AE$434,Countries!$A$5:$A$434,"All landing pages",Countries!$B$5:$B$434,"Paid Search",Countries!$D$5:$D$434,$A401,Countries!$AL$5:$AL$434,"&gt;0")=0,"",SUMIFS(Countries!$AL$5:$AL$434,Countries!$A$5:$A$434,"All landing pages",Countries!$B$5:$B$434,"Paid Search",Countries!$D$5:$D$434,$A401,Countries!$AE$5:$AE$434,"&gt;0")/SUMIFS(Countries!$AE$5:$AE$434,Countries!$A$5:$A$434,"All landing pages",Countries!$B$5:$B$434,"Paid Search",Countries!$D$5:$D$434,$A401,Countries!$AL$5:$AL$434,"&gt;0"))</f>
        <v/>
      </c>
      <c r="D401" s="44">
        <f>IF(OR(B401="",C401=""),"",(C401-B401)*100)</f>
        <v/>
      </c>
      <c r="E401" s="73" t="n"/>
      <c r="F401" s="43">
        <f>IF(SUMIFS(Countries!$AD$5:$AD$434,Countries!$A$5:$A$434,"All landing pages",Countries!$B$5:$B$434,"Organic",Countries!$D$5:$D$434,$A401,Countries!$AK$5:$AK$434,"&gt;0")=0,"",SUMIFS(Countries!$AK$5:$AK$434,Countries!$A$5:$A$434,"All landing pages",Countries!$B$5:$B$434,"Organic",Countries!$D$5:$D$434,$A401,Countries!$AD$5:$AD$434,"&gt;0")/SUMIFS(Countries!$AD$5:$AD$434,Countries!$A$5:$A$434,"All landing pages",Countries!$B$5:$B$434,"Organic",Countries!$D$5:$D$434,$A401,Countries!$AK$5:$AK$434,"&gt;0"))</f>
        <v/>
      </c>
      <c r="G401" s="43">
        <f>IF(SUMIFS(Countries!$AE$5:$AE$434,Countries!$A$5:$A$434,"All landing pages",Countries!$B$5:$B$434,"Organic",Countries!$D$5:$D$434,$A401,Countries!$AL$5:$AL$434,"&gt;0")=0,"",SUMIFS(Countries!$AL$5:$AL$434,Countries!$A$5:$A$434,"All landing pages",Countries!$B$5:$B$434,"Organic",Countries!$D$5:$D$434,$A401,Countries!$AE$5:$AE$434,"&gt;0")/SUMIFS(Countries!$AE$5:$AE$434,Countries!$A$5:$A$434,"All landing pages",Countries!$B$5:$B$434,"Organic",Countries!$D$5:$D$434,$A401,Countries!$AL$5:$AL$434,"&gt;0"))</f>
        <v/>
      </c>
      <c r="H401" s="44">
        <f>IF(OR(F401="",G401=""),"",(G401-F401)*100)</f>
        <v/>
      </c>
      <c r="I401" s="73" t="n"/>
      <c r="J401" s="43">
        <f>IF(SUMIFS(Countries!$AD$5:$AD$434,Countries!$A$5:$A$434,"All landing pages",Countries!$B$5:$B$434,"Direct",Countries!$D$5:$D$434,$A401,Countries!$AK$5:$AK$434,"&gt;0")=0,"",SUMIFS(Countries!$AK$5:$AK$434,Countries!$A$5:$A$434,"All landing pages",Countries!$B$5:$B$434,"Direct",Countries!$D$5:$D$434,$A401,Countries!$AD$5:$AD$434,"&gt;0")/SUMIFS(Countries!$AD$5:$AD$434,Countries!$A$5:$A$434,"All landing pages",Countries!$B$5:$B$434,"Direct",Countries!$D$5:$D$434,$A401,Countries!$AK$5:$AK$434,"&gt;0"))</f>
        <v/>
      </c>
      <c r="K401" s="43">
        <f>IF(SUMIFS(Countries!$AE$5:$AE$434,Countries!$A$5:$A$434,"All landing pages",Countries!$B$5:$B$434,"Direct",Countries!$D$5:$D$434,$A401,Countries!$AL$5:$AL$434,"&gt;0")=0,"",SUMIFS(Countries!$AL$5:$AL$434,Countries!$A$5:$A$434,"All landing pages",Countries!$B$5:$B$434,"Direct",Countries!$D$5:$D$434,$A401,Countries!$AE$5:$AE$434,"&gt;0")/SUMIFS(Countries!$AE$5:$AE$434,Countries!$A$5:$A$434,"All landing pages",Countries!$B$5:$B$434,"Direct",Countries!$D$5:$D$434,$A401,Countries!$AL$5:$AL$434,"&gt;0"))</f>
        <v/>
      </c>
      <c r="L401" s="44">
        <f>IF(OR(J401="",K401=""),"",(K401-J401)*100)</f>
        <v/>
      </c>
      <c r="M401" s="73" t="n"/>
      <c r="N401" s="43">
        <f>IF(SUMIFS(Countries!$AD$5:$AD$434,Countries!$A$5:$A$434,"All landing pages",Countries!$D$5:$D$434,$A401,Countries!$AK$5:$AK$434,"&gt;0")=0,"",SUMIFS(Countries!$AK$5:$AK$434,Countries!$A$5:$A$434,"All landing pages",Countries!$D$5:$D$434,$A401,Countries!$AD$5:$AD$434,"&gt;0")/SUMIFS(Countries!$AD$5:$AD$434,Countries!$A$5:$A$434,"All landing pages",Countries!$D$5:$D$434,$A401,Countries!$AK$5:$AK$434,"&gt;0"))</f>
        <v/>
      </c>
      <c r="O401" s="43">
        <f>IF(SUMIFS(Countries!$AE$5:$AE$434,Countries!$A$5:$A$434,"All landing pages",Countries!$D$5:$D$434,$A401,Countries!$AL$5:$AL$434,"&gt;0")=0,"",SUMIFS(Countries!$AL$5:$AL$434,Countries!$A$5:$A$434,"All landing pages",Countries!$D$5:$D$434,$A401,Countries!$AE$5:$AE$434,"&gt;0")/SUMIFS(Countries!$AE$5:$AE$434,Countries!$A$5:$A$434,"All landing pages",Countries!$D$5:$D$434,$A401,Countries!$AL$5:$AL$434,"&gt;0"))</f>
        <v/>
      </c>
      <c r="P401" s="44">
        <f>IF(OR(N401="",O401=""),"",(O401-N401)*100)</f>
        <v/>
      </c>
      <c r="Q401" s="73" t="n"/>
    </row>
    <row r="402">
      <c r="A402" s="56" t="inlineStr">
        <is>
          <t>Portugal</t>
        </is>
      </c>
      <c r="B402" s="43">
        <f>IF(SUMIFS(Countries!$AD$5:$AD$434,Countries!$A$5:$A$434,"All landing pages",Countries!$B$5:$B$434,"Paid Search",Countries!$D$5:$D$434,$A402,Countries!$AK$5:$AK$434,"&gt;0")=0,"",SUMIFS(Countries!$AK$5:$AK$434,Countries!$A$5:$A$434,"All landing pages",Countries!$B$5:$B$434,"Paid Search",Countries!$D$5:$D$434,$A402,Countries!$AD$5:$AD$434,"&gt;0")/SUMIFS(Countries!$AD$5:$AD$434,Countries!$A$5:$A$434,"All landing pages",Countries!$B$5:$B$434,"Paid Search",Countries!$D$5:$D$434,$A402,Countries!$AK$5:$AK$434,"&gt;0"))</f>
        <v/>
      </c>
      <c r="C402" s="43">
        <f>IF(SUMIFS(Countries!$AE$5:$AE$434,Countries!$A$5:$A$434,"All landing pages",Countries!$B$5:$B$434,"Paid Search",Countries!$D$5:$D$434,$A402,Countries!$AL$5:$AL$434,"&gt;0")=0,"",SUMIFS(Countries!$AL$5:$AL$434,Countries!$A$5:$A$434,"All landing pages",Countries!$B$5:$B$434,"Paid Search",Countries!$D$5:$D$434,$A402,Countries!$AE$5:$AE$434,"&gt;0")/SUMIFS(Countries!$AE$5:$AE$434,Countries!$A$5:$A$434,"All landing pages",Countries!$B$5:$B$434,"Paid Search",Countries!$D$5:$D$434,$A402,Countries!$AL$5:$AL$434,"&gt;0"))</f>
        <v/>
      </c>
      <c r="D402" s="44">
        <f>IF(OR(B402="",C402=""),"",(C402-B402)*100)</f>
        <v/>
      </c>
      <c r="E402" s="73" t="n"/>
      <c r="F402" s="43">
        <f>IF(SUMIFS(Countries!$AD$5:$AD$434,Countries!$A$5:$A$434,"All landing pages",Countries!$B$5:$B$434,"Organic",Countries!$D$5:$D$434,$A402,Countries!$AK$5:$AK$434,"&gt;0")=0,"",SUMIFS(Countries!$AK$5:$AK$434,Countries!$A$5:$A$434,"All landing pages",Countries!$B$5:$B$434,"Organic",Countries!$D$5:$D$434,$A402,Countries!$AD$5:$AD$434,"&gt;0")/SUMIFS(Countries!$AD$5:$AD$434,Countries!$A$5:$A$434,"All landing pages",Countries!$B$5:$B$434,"Organic",Countries!$D$5:$D$434,$A402,Countries!$AK$5:$AK$434,"&gt;0"))</f>
        <v/>
      </c>
      <c r="G402" s="43">
        <f>IF(SUMIFS(Countries!$AE$5:$AE$434,Countries!$A$5:$A$434,"All landing pages",Countries!$B$5:$B$434,"Organic",Countries!$D$5:$D$434,$A402,Countries!$AL$5:$AL$434,"&gt;0")=0,"",SUMIFS(Countries!$AL$5:$AL$434,Countries!$A$5:$A$434,"All landing pages",Countries!$B$5:$B$434,"Organic",Countries!$D$5:$D$434,$A402,Countries!$AE$5:$AE$434,"&gt;0")/SUMIFS(Countries!$AE$5:$AE$434,Countries!$A$5:$A$434,"All landing pages",Countries!$B$5:$B$434,"Organic",Countries!$D$5:$D$434,$A402,Countries!$AL$5:$AL$434,"&gt;0"))</f>
        <v/>
      </c>
      <c r="H402" s="44">
        <f>IF(OR(F402="",G402=""),"",(G402-F402)*100)</f>
        <v/>
      </c>
      <c r="I402" s="73" t="n"/>
      <c r="J402" s="43">
        <f>IF(SUMIFS(Countries!$AD$5:$AD$434,Countries!$A$5:$A$434,"All landing pages",Countries!$B$5:$B$434,"Direct",Countries!$D$5:$D$434,$A402,Countries!$AK$5:$AK$434,"&gt;0")=0,"",SUMIFS(Countries!$AK$5:$AK$434,Countries!$A$5:$A$434,"All landing pages",Countries!$B$5:$B$434,"Direct",Countries!$D$5:$D$434,$A402,Countries!$AD$5:$AD$434,"&gt;0")/SUMIFS(Countries!$AD$5:$AD$434,Countries!$A$5:$A$434,"All landing pages",Countries!$B$5:$B$434,"Direct",Countries!$D$5:$D$434,$A402,Countries!$AK$5:$AK$434,"&gt;0"))</f>
        <v/>
      </c>
      <c r="K402" s="43">
        <f>IF(SUMIFS(Countries!$AE$5:$AE$434,Countries!$A$5:$A$434,"All landing pages",Countries!$B$5:$B$434,"Direct",Countries!$D$5:$D$434,$A402,Countries!$AL$5:$AL$434,"&gt;0")=0,"",SUMIFS(Countries!$AL$5:$AL$434,Countries!$A$5:$A$434,"All landing pages",Countries!$B$5:$B$434,"Direct",Countries!$D$5:$D$434,$A402,Countries!$AE$5:$AE$434,"&gt;0")/SUMIFS(Countries!$AE$5:$AE$434,Countries!$A$5:$A$434,"All landing pages",Countries!$B$5:$B$434,"Direct",Countries!$D$5:$D$434,$A402,Countries!$AL$5:$AL$434,"&gt;0"))</f>
        <v/>
      </c>
      <c r="L402" s="44">
        <f>IF(OR(J402="",K402=""),"",(K402-J402)*100)</f>
        <v/>
      </c>
      <c r="M402" s="73" t="n"/>
      <c r="N402" s="43">
        <f>IF(SUMIFS(Countries!$AD$5:$AD$434,Countries!$A$5:$A$434,"All landing pages",Countries!$D$5:$D$434,$A402,Countries!$AK$5:$AK$434,"&gt;0")=0,"",SUMIFS(Countries!$AK$5:$AK$434,Countries!$A$5:$A$434,"All landing pages",Countries!$D$5:$D$434,$A402,Countries!$AD$5:$AD$434,"&gt;0")/SUMIFS(Countries!$AD$5:$AD$434,Countries!$A$5:$A$434,"All landing pages",Countries!$D$5:$D$434,$A402,Countries!$AK$5:$AK$434,"&gt;0"))</f>
        <v/>
      </c>
      <c r="O402" s="43">
        <f>IF(SUMIFS(Countries!$AE$5:$AE$434,Countries!$A$5:$A$434,"All landing pages",Countries!$D$5:$D$434,$A402,Countries!$AL$5:$AL$434,"&gt;0")=0,"",SUMIFS(Countries!$AL$5:$AL$434,Countries!$A$5:$A$434,"All landing pages",Countries!$D$5:$D$434,$A402,Countries!$AE$5:$AE$434,"&gt;0")/SUMIFS(Countries!$AE$5:$AE$434,Countries!$A$5:$A$434,"All landing pages",Countries!$D$5:$D$434,$A402,Countries!$AL$5:$AL$434,"&gt;0"))</f>
        <v/>
      </c>
      <c r="P402" s="44">
        <f>IF(OR(N402="",O402=""),"",(O402-N402)*100)</f>
        <v/>
      </c>
      <c r="Q402" s="73" t="n"/>
    </row>
    <row r="403">
      <c r="A403" s="40" t="inlineStr">
        <is>
          <t>Türkiye</t>
        </is>
      </c>
      <c r="B403" s="43">
        <f>IF(SUMIFS(Countries!$AD$5:$AD$434,Countries!$A$5:$A$434,"All landing pages",Countries!$B$5:$B$434,"Paid Search",Countries!$D$5:$D$434,$A403,Countries!$AK$5:$AK$434,"&gt;0")=0,"",SUMIFS(Countries!$AK$5:$AK$434,Countries!$A$5:$A$434,"All landing pages",Countries!$B$5:$B$434,"Paid Search",Countries!$D$5:$D$434,$A403,Countries!$AD$5:$AD$434,"&gt;0")/SUMIFS(Countries!$AD$5:$AD$434,Countries!$A$5:$A$434,"All landing pages",Countries!$B$5:$B$434,"Paid Search",Countries!$D$5:$D$434,$A403,Countries!$AK$5:$AK$434,"&gt;0"))</f>
        <v/>
      </c>
      <c r="C403" s="43">
        <f>IF(SUMIFS(Countries!$AE$5:$AE$434,Countries!$A$5:$A$434,"All landing pages",Countries!$B$5:$B$434,"Paid Search",Countries!$D$5:$D$434,$A403,Countries!$AL$5:$AL$434,"&gt;0")=0,"",SUMIFS(Countries!$AL$5:$AL$434,Countries!$A$5:$A$434,"All landing pages",Countries!$B$5:$B$434,"Paid Search",Countries!$D$5:$D$434,$A403,Countries!$AE$5:$AE$434,"&gt;0")/SUMIFS(Countries!$AE$5:$AE$434,Countries!$A$5:$A$434,"All landing pages",Countries!$B$5:$B$434,"Paid Search",Countries!$D$5:$D$434,$A403,Countries!$AL$5:$AL$434,"&gt;0"))</f>
        <v/>
      </c>
      <c r="D403" s="44">
        <f>IF(OR(B403="",C403=""),"",(C403-B403)*100)</f>
        <v/>
      </c>
      <c r="E403" s="73" t="n"/>
      <c r="F403" s="43">
        <f>IF(SUMIFS(Countries!$AD$5:$AD$434,Countries!$A$5:$A$434,"All landing pages",Countries!$B$5:$B$434,"Organic",Countries!$D$5:$D$434,$A403,Countries!$AK$5:$AK$434,"&gt;0")=0,"",SUMIFS(Countries!$AK$5:$AK$434,Countries!$A$5:$A$434,"All landing pages",Countries!$B$5:$B$434,"Organic",Countries!$D$5:$D$434,$A403,Countries!$AD$5:$AD$434,"&gt;0")/SUMIFS(Countries!$AD$5:$AD$434,Countries!$A$5:$A$434,"All landing pages",Countries!$B$5:$B$434,"Organic",Countries!$D$5:$D$434,$A403,Countries!$AK$5:$AK$434,"&gt;0"))</f>
        <v/>
      </c>
      <c r="G403" s="43">
        <f>IF(SUMIFS(Countries!$AE$5:$AE$434,Countries!$A$5:$A$434,"All landing pages",Countries!$B$5:$B$434,"Organic",Countries!$D$5:$D$434,$A403,Countries!$AL$5:$AL$434,"&gt;0")=0,"",SUMIFS(Countries!$AL$5:$AL$434,Countries!$A$5:$A$434,"All landing pages",Countries!$B$5:$B$434,"Organic",Countries!$D$5:$D$434,$A403,Countries!$AE$5:$AE$434,"&gt;0")/SUMIFS(Countries!$AE$5:$AE$434,Countries!$A$5:$A$434,"All landing pages",Countries!$B$5:$B$434,"Organic",Countries!$D$5:$D$434,$A403,Countries!$AL$5:$AL$434,"&gt;0"))</f>
        <v/>
      </c>
      <c r="H403" s="44">
        <f>IF(OR(F403="",G403=""),"",(G403-F403)*100)</f>
        <v/>
      </c>
      <c r="I403" s="73" t="n"/>
      <c r="J403" s="43">
        <f>IF(SUMIFS(Countries!$AD$5:$AD$434,Countries!$A$5:$A$434,"All landing pages",Countries!$B$5:$B$434,"Direct",Countries!$D$5:$D$434,$A403,Countries!$AK$5:$AK$434,"&gt;0")=0,"",SUMIFS(Countries!$AK$5:$AK$434,Countries!$A$5:$A$434,"All landing pages",Countries!$B$5:$B$434,"Direct",Countries!$D$5:$D$434,$A403,Countries!$AD$5:$AD$434,"&gt;0")/SUMIFS(Countries!$AD$5:$AD$434,Countries!$A$5:$A$434,"All landing pages",Countries!$B$5:$B$434,"Direct",Countries!$D$5:$D$434,$A403,Countries!$AK$5:$AK$434,"&gt;0"))</f>
        <v/>
      </c>
      <c r="K403" s="43">
        <f>IF(SUMIFS(Countries!$AE$5:$AE$434,Countries!$A$5:$A$434,"All landing pages",Countries!$B$5:$B$434,"Direct",Countries!$D$5:$D$434,$A403,Countries!$AL$5:$AL$434,"&gt;0")=0,"",SUMIFS(Countries!$AL$5:$AL$434,Countries!$A$5:$A$434,"All landing pages",Countries!$B$5:$B$434,"Direct",Countries!$D$5:$D$434,$A403,Countries!$AE$5:$AE$434,"&gt;0")/SUMIFS(Countries!$AE$5:$AE$434,Countries!$A$5:$A$434,"All landing pages",Countries!$B$5:$B$434,"Direct",Countries!$D$5:$D$434,$A403,Countries!$AL$5:$AL$434,"&gt;0"))</f>
        <v/>
      </c>
      <c r="L403" s="44">
        <f>IF(OR(J403="",K403=""),"",(K403-J403)*100)</f>
        <v/>
      </c>
      <c r="M403" s="73" t="n"/>
      <c r="N403" s="43">
        <f>IF(SUMIFS(Countries!$AD$5:$AD$434,Countries!$A$5:$A$434,"All landing pages",Countries!$D$5:$D$434,$A403,Countries!$AK$5:$AK$434,"&gt;0")=0,"",SUMIFS(Countries!$AK$5:$AK$434,Countries!$A$5:$A$434,"All landing pages",Countries!$D$5:$D$434,$A403,Countries!$AD$5:$AD$434,"&gt;0")/SUMIFS(Countries!$AD$5:$AD$434,Countries!$A$5:$A$434,"All landing pages",Countries!$D$5:$D$434,$A403,Countries!$AK$5:$AK$434,"&gt;0"))</f>
        <v/>
      </c>
      <c r="O403" s="43">
        <f>IF(SUMIFS(Countries!$AE$5:$AE$434,Countries!$A$5:$A$434,"All landing pages",Countries!$D$5:$D$434,$A403,Countries!$AL$5:$AL$434,"&gt;0")=0,"",SUMIFS(Countries!$AL$5:$AL$434,Countries!$A$5:$A$434,"All landing pages",Countries!$D$5:$D$434,$A403,Countries!$AE$5:$AE$434,"&gt;0")/SUMIFS(Countries!$AE$5:$AE$434,Countries!$A$5:$A$434,"All landing pages",Countries!$D$5:$D$434,$A403,Countries!$AL$5:$AL$434,"&gt;0"))</f>
        <v/>
      </c>
      <c r="P403" s="44">
        <f>IF(OR(N403="",O403=""),"",(O403-N403)*100)</f>
        <v/>
      </c>
      <c r="Q403" s="73" t="n"/>
    </row>
    <row r="404">
      <c r="A404" s="56" t="inlineStr">
        <is>
          <t>Australia</t>
        </is>
      </c>
      <c r="B404" s="43">
        <f>IF(SUMIFS(Countries!$AD$5:$AD$434,Countries!$A$5:$A$434,"All landing pages",Countries!$B$5:$B$434,"Paid Search",Countries!$D$5:$D$434,$A404,Countries!$AK$5:$AK$434,"&gt;0")=0,"",SUMIFS(Countries!$AK$5:$AK$434,Countries!$A$5:$A$434,"All landing pages",Countries!$B$5:$B$434,"Paid Search",Countries!$D$5:$D$434,$A404,Countries!$AD$5:$AD$434,"&gt;0")/SUMIFS(Countries!$AD$5:$AD$434,Countries!$A$5:$A$434,"All landing pages",Countries!$B$5:$B$434,"Paid Search",Countries!$D$5:$D$434,$A404,Countries!$AK$5:$AK$434,"&gt;0"))</f>
        <v/>
      </c>
      <c r="C404" s="43">
        <f>IF(SUMIFS(Countries!$AE$5:$AE$434,Countries!$A$5:$A$434,"All landing pages",Countries!$B$5:$B$434,"Paid Search",Countries!$D$5:$D$434,$A404,Countries!$AL$5:$AL$434,"&gt;0")=0,"",SUMIFS(Countries!$AL$5:$AL$434,Countries!$A$5:$A$434,"All landing pages",Countries!$B$5:$B$434,"Paid Search",Countries!$D$5:$D$434,$A404,Countries!$AE$5:$AE$434,"&gt;0")/SUMIFS(Countries!$AE$5:$AE$434,Countries!$A$5:$A$434,"All landing pages",Countries!$B$5:$B$434,"Paid Search",Countries!$D$5:$D$434,$A404,Countries!$AL$5:$AL$434,"&gt;0"))</f>
        <v/>
      </c>
      <c r="D404" s="44">
        <f>IF(OR(B404="",C404=""),"",(C404-B404)*100)</f>
        <v/>
      </c>
      <c r="E404" s="73" t="n"/>
      <c r="F404" s="43">
        <f>IF(SUMIFS(Countries!$AD$5:$AD$434,Countries!$A$5:$A$434,"All landing pages",Countries!$B$5:$B$434,"Organic",Countries!$D$5:$D$434,$A404,Countries!$AK$5:$AK$434,"&gt;0")=0,"",SUMIFS(Countries!$AK$5:$AK$434,Countries!$A$5:$A$434,"All landing pages",Countries!$B$5:$B$434,"Organic",Countries!$D$5:$D$434,$A404,Countries!$AD$5:$AD$434,"&gt;0")/SUMIFS(Countries!$AD$5:$AD$434,Countries!$A$5:$A$434,"All landing pages",Countries!$B$5:$B$434,"Organic",Countries!$D$5:$D$434,$A404,Countries!$AK$5:$AK$434,"&gt;0"))</f>
        <v/>
      </c>
      <c r="G404" s="43">
        <f>IF(SUMIFS(Countries!$AE$5:$AE$434,Countries!$A$5:$A$434,"All landing pages",Countries!$B$5:$B$434,"Organic",Countries!$D$5:$D$434,$A404,Countries!$AL$5:$AL$434,"&gt;0")=0,"",SUMIFS(Countries!$AL$5:$AL$434,Countries!$A$5:$A$434,"All landing pages",Countries!$B$5:$B$434,"Organic",Countries!$D$5:$D$434,$A404,Countries!$AE$5:$AE$434,"&gt;0")/SUMIFS(Countries!$AE$5:$AE$434,Countries!$A$5:$A$434,"All landing pages",Countries!$B$5:$B$434,"Organic",Countries!$D$5:$D$434,$A404,Countries!$AL$5:$AL$434,"&gt;0"))</f>
        <v/>
      </c>
      <c r="H404" s="44">
        <f>IF(OR(F404="",G404=""),"",(G404-F404)*100)</f>
        <v/>
      </c>
      <c r="I404" s="73" t="n"/>
      <c r="J404" s="43">
        <f>IF(SUMIFS(Countries!$AD$5:$AD$434,Countries!$A$5:$A$434,"All landing pages",Countries!$B$5:$B$434,"Direct",Countries!$D$5:$D$434,$A404,Countries!$AK$5:$AK$434,"&gt;0")=0,"",SUMIFS(Countries!$AK$5:$AK$434,Countries!$A$5:$A$434,"All landing pages",Countries!$B$5:$B$434,"Direct",Countries!$D$5:$D$434,$A404,Countries!$AD$5:$AD$434,"&gt;0")/SUMIFS(Countries!$AD$5:$AD$434,Countries!$A$5:$A$434,"All landing pages",Countries!$B$5:$B$434,"Direct",Countries!$D$5:$D$434,$A404,Countries!$AK$5:$AK$434,"&gt;0"))</f>
        <v/>
      </c>
      <c r="K404" s="43">
        <f>IF(SUMIFS(Countries!$AE$5:$AE$434,Countries!$A$5:$A$434,"All landing pages",Countries!$B$5:$B$434,"Direct",Countries!$D$5:$D$434,$A404,Countries!$AL$5:$AL$434,"&gt;0")=0,"",SUMIFS(Countries!$AL$5:$AL$434,Countries!$A$5:$A$434,"All landing pages",Countries!$B$5:$B$434,"Direct",Countries!$D$5:$D$434,$A404,Countries!$AE$5:$AE$434,"&gt;0")/SUMIFS(Countries!$AE$5:$AE$434,Countries!$A$5:$A$434,"All landing pages",Countries!$B$5:$B$434,"Direct",Countries!$D$5:$D$434,$A404,Countries!$AL$5:$AL$434,"&gt;0"))</f>
        <v/>
      </c>
      <c r="L404" s="44">
        <f>IF(OR(J404="",K404=""),"",(K404-J404)*100)</f>
        <v/>
      </c>
      <c r="M404" s="73" t="n"/>
      <c r="N404" s="43">
        <f>IF(SUMIFS(Countries!$AD$5:$AD$434,Countries!$A$5:$A$434,"All landing pages",Countries!$D$5:$D$434,$A404,Countries!$AK$5:$AK$434,"&gt;0")=0,"",SUMIFS(Countries!$AK$5:$AK$434,Countries!$A$5:$A$434,"All landing pages",Countries!$D$5:$D$434,$A404,Countries!$AD$5:$AD$434,"&gt;0")/SUMIFS(Countries!$AD$5:$AD$434,Countries!$A$5:$A$434,"All landing pages",Countries!$D$5:$D$434,$A404,Countries!$AK$5:$AK$434,"&gt;0"))</f>
        <v/>
      </c>
      <c r="O404" s="43">
        <f>IF(SUMIFS(Countries!$AE$5:$AE$434,Countries!$A$5:$A$434,"All landing pages",Countries!$D$5:$D$434,$A404,Countries!$AL$5:$AL$434,"&gt;0")=0,"",SUMIFS(Countries!$AL$5:$AL$434,Countries!$A$5:$A$434,"All landing pages",Countries!$D$5:$D$434,$A404,Countries!$AE$5:$AE$434,"&gt;0")/SUMIFS(Countries!$AE$5:$AE$434,Countries!$A$5:$A$434,"All landing pages",Countries!$D$5:$D$434,$A404,Countries!$AL$5:$AL$434,"&gt;0"))</f>
        <v/>
      </c>
      <c r="P404" s="44">
        <f>IF(OR(N404="",O404=""),"",(O404-N404)*100)</f>
        <v/>
      </c>
      <c r="Q404" s="73" t="n"/>
    </row>
    <row r="405">
      <c r="A405" s="40" t="inlineStr">
        <is>
          <t>Romania</t>
        </is>
      </c>
      <c r="B405" s="43">
        <f>IF(SUMIFS(Countries!$AD$5:$AD$434,Countries!$A$5:$A$434,"All landing pages",Countries!$B$5:$B$434,"Paid Search",Countries!$D$5:$D$434,$A405,Countries!$AK$5:$AK$434,"&gt;0")=0,"",SUMIFS(Countries!$AK$5:$AK$434,Countries!$A$5:$A$434,"All landing pages",Countries!$B$5:$B$434,"Paid Search",Countries!$D$5:$D$434,$A405,Countries!$AD$5:$AD$434,"&gt;0")/SUMIFS(Countries!$AD$5:$AD$434,Countries!$A$5:$A$434,"All landing pages",Countries!$B$5:$B$434,"Paid Search",Countries!$D$5:$D$434,$A405,Countries!$AK$5:$AK$434,"&gt;0"))</f>
        <v/>
      </c>
      <c r="C405" s="43">
        <f>IF(SUMIFS(Countries!$AE$5:$AE$434,Countries!$A$5:$A$434,"All landing pages",Countries!$B$5:$B$434,"Paid Search",Countries!$D$5:$D$434,$A405,Countries!$AL$5:$AL$434,"&gt;0")=0,"",SUMIFS(Countries!$AL$5:$AL$434,Countries!$A$5:$A$434,"All landing pages",Countries!$B$5:$B$434,"Paid Search",Countries!$D$5:$D$434,$A405,Countries!$AE$5:$AE$434,"&gt;0")/SUMIFS(Countries!$AE$5:$AE$434,Countries!$A$5:$A$434,"All landing pages",Countries!$B$5:$B$434,"Paid Search",Countries!$D$5:$D$434,$A405,Countries!$AL$5:$AL$434,"&gt;0"))</f>
        <v/>
      </c>
      <c r="D405" s="44">
        <f>IF(OR(B405="",C405=""),"",(C405-B405)*100)</f>
        <v/>
      </c>
      <c r="E405" s="73" t="n"/>
      <c r="F405" s="43">
        <f>IF(SUMIFS(Countries!$AD$5:$AD$434,Countries!$A$5:$A$434,"All landing pages",Countries!$B$5:$B$434,"Organic",Countries!$D$5:$D$434,$A405,Countries!$AK$5:$AK$434,"&gt;0")=0,"",SUMIFS(Countries!$AK$5:$AK$434,Countries!$A$5:$A$434,"All landing pages",Countries!$B$5:$B$434,"Organic",Countries!$D$5:$D$434,$A405,Countries!$AD$5:$AD$434,"&gt;0")/SUMIFS(Countries!$AD$5:$AD$434,Countries!$A$5:$A$434,"All landing pages",Countries!$B$5:$B$434,"Organic",Countries!$D$5:$D$434,$A405,Countries!$AK$5:$AK$434,"&gt;0"))</f>
        <v/>
      </c>
      <c r="G405" s="43">
        <f>IF(SUMIFS(Countries!$AE$5:$AE$434,Countries!$A$5:$A$434,"All landing pages",Countries!$B$5:$B$434,"Organic",Countries!$D$5:$D$434,$A405,Countries!$AL$5:$AL$434,"&gt;0")=0,"",SUMIFS(Countries!$AL$5:$AL$434,Countries!$A$5:$A$434,"All landing pages",Countries!$B$5:$B$434,"Organic",Countries!$D$5:$D$434,$A405,Countries!$AE$5:$AE$434,"&gt;0")/SUMIFS(Countries!$AE$5:$AE$434,Countries!$A$5:$A$434,"All landing pages",Countries!$B$5:$B$434,"Organic",Countries!$D$5:$D$434,$A405,Countries!$AL$5:$AL$434,"&gt;0"))</f>
        <v/>
      </c>
      <c r="H405" s="44">
        <f>IF(OR(F405="",G405=""),"",(G405-F405)*100)</f>
        <v/>
      </c>
      <c r="I405" s="73" t="n"/>
      <c r="J405" s="43">
        <f>IF(SUMIFS(Countries!$AD$5:$AD$434,Countries!$A$5:$A$434,"All landing pages",Countries!$B$5:$B$434,"Direct",Countries!$D$5:$D$434,$A405,Countries!$AK$5:$AK$434,"&gt;0")=0,"",SUMIFS(Countries!$AK$5:$AK$434,Countries!$A$5:$A$434,"All landing pages",Countries!$B$5:$B$434,"Direct",Countries!$D$5:$D$434,$A405,Countries!$AD$5:$AD$434,"&gt;0")/SUMIFS(Countries!$AD$5:$AD$434,Countries!$A$5:$A$434,"All landing pages",Countries!$B$5:$B$434,"Direct",Countries!$D$5:$D$434,$A405,Countries!$AK$5:$AK$434,"&gt;0"))</f>
        <v/>
      </c>
      <c r="K405" s="43">
        <f>IF(SUMIFS(Countries!$AE$5:$AE$434,Countries!$A$5:$A$434,"All landing pages",Countries!$B$5:$B$434,"Direct",Countries!$D$5:$D$434,$A405,Countries!$AL$5:$AL$434,"&gt;0")=0,"",SUMIFS(Countries!$AL$5:$AL$434,Countries!$A$5:$A$434,"All landing pages",Countries!$B$5:$B$434,"Direct",Countries!$D$5:$D$434,$A405,Countries!$AE$5:$AE$434,"&gt;0")/SUMIFS(Countries!$AE$5:$AE$434,Countries!$A$5:$A$434,"All landing pages",Countries!$B$5:$B$434,"Direct",Countries!$D$5:$D$434,$A405,Countries!$AL$5:$AL$434,"&gt;0"))</f>
        <v/>
      </c>
      <c r="L405" s="44">
        <f>IF(OR(J405="",K405=""),"",(K405-J405)*100)</f>
        <v/>
      </c>
      <c r="M405" s="73" t="n"/>
      <c r="N405" s="43">
        <f>IF(SUMIFS(Countries!$AD$5:$AD$434,Countries!$A$5:$A$434,"All landing pages",Countries!$D$5:$D$434,$A405,Countries!$AK$5:$AK$434,"&gt;0")=0,"",SUMIFS(Countries!$AK$5:$AK$434,Countries!$A$5:$A$434,"All landing pages",Countries!$D$5:$D$434,$A405,Countries!$AD$5:$AD$434,"&gt;0")/SUMIFS(Countries!$AD$5:$AD$434,Countries!$A$5:$A$434,"All landing pages",Countries!$D$5:$D$434,$A405,Countries!$AK$5:$AK$434,"&gt;0"))</f>
        <v/>
      </c>
      <c r="O405" s="43">
        <f>IF(SUMIFS(Countries!$AE$5:$AE$434,Countries!$A$5:$A$434,"All landing pages",Countries!$D$5:$D$434,$A405,Countries!$AL$5:$AL$434,"&gt;0")=0,"",SUMIFS(Countries!$AL$5:$AL$434,Countries!$A$5:$A$434,"All landing pages",Countries!$D$5:$D$434,$A405,Countries!$AE$5:$AE$434,"&gt;0")/SUMIFS(Countries!$AE$5:$AE$434,Countries!$A$5:$A$434,"All landing pages",Countries!$D$5:$D$434,$A405,Countries!$AL$5:$AL$434,"&gt;0"))</f>
        <v/>
      </c>
      <c r="P405" s="44">
        <f>IF(OR(N405="",O405=""),"",(O405-N405)*100)</f>
        <v/>
      </c>
      <c r="Q405" s="73" t="n"/>
    </row>
    <row r="406">
      <c r="A406" s="56" t="inlineStr">
        <is>
          <t>Canada</t>
        </is>
      </c>
      <c r="B406" s="43">
        <f>IF(SUMIFS(Countries!$AD$5:$AD$434,Countries!$A$5:$A$434,"All landing pages",Countries!$B$5:$B$434,"Paid Search",Countries!$D$5:$D$434,$A406,Countries!$AK$5:$AK$434,"&gt;0")=0,"",SUMIFS(Countries!$AK$5:$AK$434,Countries!$A$5:$A$434,"All landing pages",Countries!$B$5:$B$434,"Paid Search",Countries!$D$5:$D$434,$A406,Countries!$AD$5:$AD$434,"&gt;0")/SUMIFS(Countries!$AD$5:$AD$434,Countries!$A$5:$A$434,"All landing pages",Countries!$B$5:$B$434,"Paid Search",Countries!$D$5:$D$434,$A406,Countries!$AK$5:$AK$434,"&gt;0"))</f>
        <v/>
      </c>
      <c r="C406" s="43">
        <f>IF(SUMIFS(Countries!$AE$5:$AE$434,Countries!$A$5:$A$434,"All landing pages",Countries!$B$5:$B$434,"Paid Search",Countries!$D$5:$D$434,$A406,Countries!$AL$5:$AL$434,"&gt;0")=0,"",SUMIFS(Countries!$AL$5:$AL$434,Countries!$A$5:$A$434,"All landing pages",Countries!$B$5:$B$434,"Paid Search",Countries!$D$5:$D$434,$A406,Countries!$AE$5:$AE$434,"&gt;0")/SUMIFS(Countries!$AE$5:$AE$434,Countries!$A$5:$A$434,"All landing pages",Countries!$B$5:$B$434,"Paid Search",Countries!$D$5:$D$434,$A406,Countries!$AL$5:$AL$434,"&gt;0"))</f>
        <v/>
      </c>
      <c r="D406" s="44">
        <f>IF(OR(B406="",C406=""),"",(C406-B406)*100)</f>
        <v/>
      </c>
      <c r="E406" s="73" t="n"/>
      <c r="F406" s="43">
        <f>IF(SUMIFS(Countries!$AD$5:$AD$434,Countries!$A$5:$A$434,"All landing pages",Countries!$B$5:$B$434,"Organic",Countries!$D$5:$D$434,$A406,Countries!$AK$5:$AK$434,"&gt;0")=0,"",SUMIFS(Countries!$AK$5:$AK$434,Countries!$A$5:$A$434,"All landing pages",Countries!$B$5:$B$434,"Organic",Countries!$D$5:$D$434,$A406,Countries!$AD$5:$AD$434,"&gt;0")/SUMIFS(Countries!$AD$5:$AD$434,Countries!$A$5:$A$434,"All landing pages",Countries!$B$5:$B$434,"Organic",Countries!$D$5:$D$434,$A406,Countries!$AK$5:$AK$434,"&gt;0"))</f>
        <v/>
      </c>
      <c r="G406" s="43">
        <f>IF(SUMIFS(Countries!$AE$5:$AE$434,Countries!$A$5:$A$434,"All landing pages",Countries!$B$5:$B$434,"Organic",Countries!$D$5:$D$434,$A406,Countries!$AL$5:$AL$434,"&gt;0")=0,"",SUMIFS(Countries!$AL$5:$AL$434,Countries!$A$5:$A$434,"All landing pages",Countries!$B$5:$B$434,"Organic",Countries!$D$5:$D$434,$A406,Countries!$AE$5:$AE$434,"&gt;0")/SUMIFS(Countries!$AE$5:$AE$434,Countries!$A$5:$A$434,"All landing pages",Countries!$B$5:$B$434,"Organic",Countries!$D$5:$D$434,$A406,Countries!$AL$5:$AL$434,"&gt;0"))</f>
        <v/>
      </c>
      <c r="H406" s="44">
        <f>IF(OR(F406="",G406=""),"",(G406-F406)*100)</f>
        <v/>
      </c>
      <c r="I406" s="73" t="n"/>
      <c r="J406" s="43">
        <f>IF(SUMIFS(Countries!$AD$5:$AD$434,Countries!$A$5:$A$434,"All landing pages",Countries!$B$5:$B$434,"Direct",Countries!$D$5:$D$434,$A406,Countries!$AK$5:$AK$434,"&gt;0")=0,"",SUMIFS(Countries!$AK$5:$AK$434,Countries!$A$5:$A$434,"All landing pages",Countries!$B$5:$B$434,"Direct",Countries!$D$5:$D$434,$A406,Countries!$AD$5:$AD$434,"&gt;0")/SUMIFS(Countries!$AD$5:$AD$434,Countries!$A$5:$A$434,"All landing pages",Countries!$B$5:$B$434,"Direct",Countries!$D$5:$D$434,$A406,Countries!$AK$5:$AK$434,"&gt;0"))</f>
        <v/>
      </c>
      <c r="K406" s="43">
        <f>IF(SUMIFS(Countries!$AE$5:$AE$434,Countries!$A$5:$A$434,"All landing pages",Countries!$B$5:$B$434,"Direct",Countries!$D$5:$D$434,$A406,Countries!$AL$5:$AL$434,"&gt;0")=0,"",SUMIFS(Countries!$AL$5:$AL$434,Countries!$A$5:$A$434,"All landing pages",Countries!$B$5:$B$434,"Direct",Countries!$D$5:$D$434,$A406,Countries!$AE$5:$AE$434,"&gt;0")/SUMIFS(Countries!$AE$5:$AE$434,Countries!$A$5:$A$434,"All landing pages",Countries!$B$5:$B$434,"Direct",Countries!$D$5:$D$434,$A406,Countries!$AL$5:$AL$434,"&gt;0"))</f>
        <v/>
      </c>
      <c r="L406" s="44">
        <f>IF(OR(J406="",K406=""),"",(K406-J406)*100)</f>
        <v/>
      </c>
      <c r="M406" s="73" t="n"/>
      <c r="N406" s="43">
        <f>IF(SUMIFS(Countries!$AD$5:$AD$434,Countries!$A$5:$A$434,"All landing pages",Countries!$D$5:$D$434,$A406,Countries!$AK$5:$AK$434,"&gt;0")=0,"",SUMIFS(Countries!$AK$5:$AK$434,Countries!$A$5:$A$434,"All landing pages",Countries!$D$5:$D$434,$A406,Countries!$AD$5:$AD$434,"&gt;0")/SUMIFS(Countries!$AD$5:$AD$434,Countries!$A$5:$A$434,"All landing pages",Countries!$D$5:$D$434,$A406,Countries!$AK$5:$AK$434,"&gt;0"))</f>
        <v/>
      </c>
      <c r="O406" s="43">
        <f>IF(SUMIFS(Countries!$AE$5:$AE$434,Countries!$A$5:$A$434,"All landing pages",Countries!$D$5:$D$434,$A406,Countries!$AL$5:$AL$434,"&gt;0")=0,"",SUMIFS(Countries!$AL$5:$AL$434,Countries!$A$5:$A$434,"All landing pages",Countries!$D$5:$D$434,$A406,Countries!$AE$5:$AE$434,"&gt;0")/SUMIFS(Countries!$AE$5:$AE$434,Countries!$A$5:$A$434,"All landing pages",Countries!$D$5:$D$434,$A406,Countries!$AL$5:$AL$434,"&gt;0"))</f>
        <v/>
      </c>
      <c r="P406" s="44">
        <f>IF(OR(N406="",O406=""),"",(O406-N406)*100)</f>
        <v/>
      </c>
      <c r="Q406" s="73" t="n"/>
    </row>
    <row r="407">
      <c r="A407" s="40" t="inlineStr">
        <is>
          <t>Greece</t>
        </is>
      </c>
      <c r="B407" s="43">
        <f>IF(SUMIFS(Countries!$AD$5:$AD$434,Countries!$A$5:$A$434,"All landing pages",Countries!$B$5:$B$434,"Paid Search",Countries!$D$5:$D$434,$A407,Countries!$AK$5:$AK$434,"&gt;0")=0,"",SUMIFS(Countries!$AK$5:$AK$434,Countries!$A$5:$A$434,"All landing pages",Countries!$B$5:$B$434,"Paid Search",Countries!$D$5:$D$434,$A407,Countries!$AD$5:$AD$434,"&gt;0")/SUMIFS(Countries!$AD$5:$AD$434,Countries!$A$5:$A$434,"All landing pages",Countries!$B$5:$B$434,"Paid Search",Countries!$D$5:$D$434,$A407,Countries!$AK$5:$AK$434,"&gt;0"))</f>
        <v/>
      </c>
      <c r="C407" s="43">
        <f>IF(SUMIFS(Countries!$AE$5:$AE$434,Countries!$A$5:$A$434,"All landing pages",Countries!$B$5:$B$434,"Paid Search",Countries!$D$5:$D$434,$A407,Countries!$AL$5:$AL$434,"&gt;0")=0,"",SUMIFS(Countries!$AL$5:$AL$434,Countries!$A$5:$A$434,"All landing pages",Countries!$B$5:$B$434,"Paid Search",Countries!$D$5:$D$434,$A407,Countries!$AE$5:$AE$434,"&gt;0")/SUMIFS(Countries!$AE$5:$AE$434,Countries!$A$5:$A$434,"All landing pages",Countries!$B$5:$B$434,"Paid Search",Countries!$D$5:$D$434,$A407,Countries!$AL$5:$AL$434,"&gt;0"))</f>
        <v/>
      </c>
      <c r="D407" s="44">
        <f>IF(OR(B407="",C407=""),"",(C407-B407)*100)</f>
        <v/>
      </c>
      <c r="E407" s="73" t="n"/>
      <c r="F407" s="43">
        <f>IF(SUMIFS(Countries!$AD$5:$AD$434,Countries!$A$5:$A$434,"All landing pages",Countries!$B$5:$B$434,"Organic",Countries!$D$5:$D$434,$A407,Countries!$AK$5:$AK$434,"&gt;0")=0,"",SUMIFS(Countries!$AK$5:$AK$434,Countries!$A$5:$A$434,"All landing pages",Countries!$B$5:$B$434,"Organic",Countries!$D$5:$D$434,$A407,Countries!$AD$5:$AD$434,"&gt;0")/SUMIFS(Countries!$AD$5:$AD$434,Countries!$A$5:$A$434,"All landing pages",Countries!$B$5:$B$434,"Organic",Countries!$D$5:$D$434,$A407,Countries!$AK$5:$AK$434,"&gt;0"))</f>
        <v/>
      </c>
      <c r="G407" s="43">
        <f>IF(SUMIFS(Countries!$AE$5:$AE$434,Countries!$A$5:$A$434,"All landing pages",Countries!$B$5:$B$434,"Organic",Countries!$D$5:$D$434,$A407,Countries!$AL$5:$AL$434,"&gt;0")=0,"",SUMIFS(Countries!$AL$5:$AL$434,Countries!$A$5:$A$434,"All landing pages",Countries!$B$5:$B$434,"Organic",Countries!$D$5:$D$434,$A407,Countries!$AE$5:$AE$434,"&gt;0")/SUMIFS(Countries!$AE$5:$AE$434,Countries!$A$5:$A$434,"All landing pages",Countries!$B$5:$B$434,"Organic",Countries!$D$5:$D$434,$A407,Countries!$AL$5:$AL$434,"&gt;0"))</f>
        <v/>
      </c>
      <c r="H407" s="44">
        <f>IF(OR(F407="",G407=""),"",(G407-F407)*100)</f>
        <v/>
      </c>
      <c r="I407" s="73" t="n"/>
      <c r="J407" s="43">
        <f>IF(SUMIFS(Countries!$AD$5:$AD$434,Countries!$A$5:$A$434,"All landing pages",Countries!$B$5:$B$434,"Direct",Countries!$D$5:$D$434,$A407,Countries!$AK$5:$AK$434,"&gt;0")=0,"",SUMIFS(Countries!$AK$5:$AK$434,Countries!$A$5:$A$434,"All landing pages",Countries!$B$5:$B$434,"Direct",Countries!$D$5:$D$434,$A407,Countries!$AD$5:$AD$434,"&gt;0")/SUMIFS(Countries!$AD$5:$AD$434,Countries!$A$5:$A$434,"All landing pages",Countries!$B$5:$B$434,"Direct",Countries!$D$5:$D$434,$A407,Countries!$AK$5:$AK$434,"&gt;0"))</f>
        <v/>
      </c>
      <c r="K407" s="43">
        <f>IF(SUMIFS(Countries!$AE$5:$AE$434,Countries!$A$5:$A$434,"All landing pages",Countries!$B$5:$B$434,"Direct",Countries!$D$5:$D$434,$A407,Countries!$AL$5:$AL$434,"&gt;0")=0,"",SUMIFS(Countries!$AL$5:$AL$434,Countries!$A$5:$A$434,"All landing pages",Countries!$B$5:$B$434,"Direct",Countries!$D$5:$D$434,$A407,Countries!$AE$5:$AE$434,"&gt;0")/SUMIFS(Countries!$AE$5:$AE$434,Countries!$A$5:$A$434,"All landing pages",Countries!$B$5:$B$434,"Direct",Countries!$D$5:$D$434,$A407,Countries!$AL$5:$AL$434,"&gt;0"))</f>
        <v/>
      </c>
      <c r="L407" s="44">
        <f>IF(OR(J407="",K407=""),"",(K407-J407)*100)</f>
        <v/>
      </c>
      <c r="M407" s="73" t="n"/>
      <c r="N407" s="43">
        <f>IF(SUMIFS(Countries!$AD$5:$AD$434,Countries!$A$5:$A$434,"All landing pages",Countries!$D$5:$D$434,$A407,Countries!$AK$5:$AK$434,"&gt;0")=0,"",SUMIFS(Countries!$AK$5:$AK$434,Countries!$A$5:$A$434,"All landing pages",Countries!$D$5:$D$434,$A407,Countries!$AD$5:$AD$434,"&gt;0")/SUMIFS(Countries!$AD$5:$AD$434,Countries!$A$5:$A$434,"All landing pages",Countries!$D$5:$D$434,$A407,Countries!$AK$5:$AK$434,"&gt;0"))</f>
        <v/>
      </c>
      <c r="O407" s="43">
        <f>IF(SUMIFS(Countries!$AE$5:$AE$434,Countries!$A$5:$A$434,"All landing pages",Countries!$D$5:$D$434,$A407,Countries!$AL$5:$AL$434,"&gt;0")=0,"",SUMIFS(Countries!$AL$5:$AL$434,Countries!$A$5:$A$434,"All landing pages",Countries!$D$5:$D$434,$A407,Countries!$AE$5:$AE$434,"&gt;0")/SUMIFS(Countries!$AE$5:$AE$434,Countries!$A$5:$A$434,"All landing pages",Countries!$D$5:$D$434,$A407,Countries!$AL$5:$AL$434,"&gt;0"))</f>
        <v/>
      </c>
      <c r="P407" s="44">
        <f>IF(OR(N407="",O407=""),"",(O407-N407)*100)</f>
        <v/>
      </c>
      <c r="Q407" s="73" t="n"/>
    </row>
    <row r="408">
      <c r="A408" s="56" t="inlineStr">
        <is>
          <t>Switzerland</t>
        </is>
      </c>
      <c r="B408" s="43">
        <f>IF(SUMIFS(Countries!$AD$5:$AD$434,Countries!$A$5:$A$434,"All landing pages",Countries!$B$5:$B$434,"Paid Search",Countries!$D$5:$D$434,$A408,Countries!$AK$5:$AK$434,"&gt;0")=0,"",SUMIFS(Countries!$AK$5:$AK$434,Countries!$A$5:$A$434,"All landing pages",Countries!$B$5:$B$434,"Paid Search",Countries!$D$5:$D$434,$A408,Countries!$AD$5:$AD$434,"&gt;0")/SUMIFS(Countries!$AD$5:$AD$434,Countries!$A$5:$A$434,"All landing pages",Countries!$B$5:$B$434,"Paid Search",Countries!$D$5:$D$434,$A408,Countries!$AK$5:$AK$434,"&gt;0"))</f>
        <v/>
      </c>
      <c r="C408" s="43">
        <f>IF(SUMIFS(Countries!$AE$5:$AE$434,Countries!$A$5:$A$434,"All landing pages",Countries!$B$5:$B$434,"Paid Search",Countries!$D$5:$D$434,$A408,Countries!$AL$5:$AL$434,"&gt;0")=0,"",SUMIFS(Countries!$AL$5:$AL$434,Countries!$A$5:$A$434,"All landing pages",Countries!$B$5:$B$434,"Paid Search",Countries!$D$5:$D$434,$A408,Countries!$AE$5:$AE$434,"&gt;0")/SUMIFS(Countries!$AE$5:$AE$434,Countries!$A$5:$A$434,"All landing pages",Countries!$B$5:$B$434,"Paid Search",Countries!$D$5:$D$434,$A408,Countries!$AL$5:$AL$434,"&gt;0"))</f>
        <v/>
      </c>
      <c r="D408" s="44">
        <f>IF(OR(B408="",C408=""),"",(C408-B408)*100)</f>
        <v/>
      </c>
      <c r="E408" s="73" t="n"/>
      <c r="F408" s="43">
        <f>IF(SUMIFS(Countries!$AD$5:$AD$434,Countries!$A$5:$A$434,"All landing pages",Countries!$B$5:$B$434,"Organic",Countries!$D$5:$D$434,$A408,Countries!$AK$5:$AK$434,"&gt;0")=0,"",SUMIFS(Countries!$AK$5:$AK$434,Countries!$A$5:$A$434,"All landing pages",Countries!$B$5:$B$434,"Organic",Countries!$D$5:$D$434,$A408,Countries!$AD$5:$AD$434,"&gt;0")/SUMIFS(Countries!$AD$5:$AD$434,Countries!$A$5:$A$434,"All landing pages",Countries!$B$5:$B$434,"Organic",Countries!$D$5:$D$434,$A408,Countries!$AK$5:$AK$434,"&gt;0"))</f>
        <v/>
      </c>
      <c r="G408" s="43">
        <f>IF(SUMIFS(Countries!$AE$5:$AE$434,Countries!$A$5:$A$434,"All landing pages",Countries!$B$5:$B$434,"Organic",Countries!$D$5:$D$434,$A408,Countries!$AL$5:$AL$434,"&gt;0")=0,"",SUMIFS(Countries!$AL$5:$AL$434,Countries!$A$5:$A$434,"All landing pages",Countries!$B$5:$B$434,"Organic",Countries!$D$5:$D$434,$A408,Countries!$AE$5:$AE$434,"&gt;0")/SUMIFS(Countries!$AE$5:$AE$434,Countries!$A$5:$A$434,"All landing pages",Countries!$B$5:$B$434,"Organic",Countries!$D$5:$D$434,$A408,Countries!$AL$5:$AL$434,"&gt;0"))</f>
        <v/>
      </c>
      <c r="H408" s="44">
        <f>IF(OR(F408="",G408=""),"",(G408-F408)*100)</f>
        <v/>
      </c>
      <c r="I408" s="73" t="n"/>
      <c r="J408" s="43">
        <f>IF(SUMIFS(Countries!$AD$5:$AD$434,Countries!$A$5:$A$434,"All landing pages",Countries!$B$5:$B$434,"Direct",Countries!$D$5:$D$434,$A408,Countries!$AK$5:$AK$434,"&gt;0")=0,"",SUMIFS(Countries!$AK$5:$AK$434,Countries!$A$5:$A$434,"All landing pages",Countries!$B$5:$B$434,"Direct",Countries!$D$5:$D$434,$A408,Countries!$AD$5:$AD$434,"&gt;0")/SUMIFS(Countries!$AD$5:$AD$434,Countries!$A$5:$A$434,"All landing pages",Countries!$B$5:$B$434,"Direct",Countries!$D$5:$D$434,$A408,Countries!$AK$5:$AK$434,"&gt;0"))</f>
        <v/>
      </c>
      <c r="K408" s="43">
        <f>IF(SUMIFS(Countries!$AE$5:$AE$434,Countries!$A$5:$A$434,"All landing pages",Countries!$B$5:$B$434,"Direct",Countries!$D$5:$D$434,$A408,Countries!$AL$5:$AL$434,"&gt;0")=0,"",SUMIFS(Countries!$AL$5:$AL$434,Countries!$A$5:$A$434,"All landing pages",Countries!$B$5:$B$434,"Direct",Countries!$D$5:$D$434,$A408,Countries!$AE$5:$AE$434,"&gt;0")/SUMIFS(Countries!$AE$5:$AE$434,Countries!$A$5:$A$434,"All landing pages",Countries!$B$5:$B$434,"Direct",Countries!$D$5:$D$434,$A408,Countries!$AL$5:$AL$434,"&gt;0"))</f>
        <v/>
      </c>
      <c r="L408" s="44">
        <f>IF(OR(J408="",K408=""),"",(K408-J408)*100)</f>
        <v/>
      </c>
      <c r="M408" s="73" t="n"/>
      <c r="N408" s="43">
        <f>IF(SUMIFS(Countries!$AD$5:$AD$434,Countries!$A$5:$A$434,"All landing pages",Countries!$D$5:$D$434,$A408,Countries!$AK$5:$AK$434,"&gt;0")=0,"",SUMIFS(Countries!$AK$5:$AK$434,Countries!$A$5:$A$434,"All landing pages",Countries!$D$5:$D$434,$A408,Countries!$AD$5:$AD$434,"&gt;0")/SUMIFS(Countries!$AD$5:$AD$434,Countries!$A$5:$A$434,"All landing pages",Countries!$D$5:$D$434,$A408,Countries!$AK$5:$AK$434,"&gt;0"))</f>
        <v/>
      </c>
      <c r="O408" s="43">
        <f>IF(SUMIFS(Countries!$AE$5:$AE$434,Countries!$A$5:$A$434,"All landing pages",Countries!$D$5:$D$434,$A408,Countries!$AL$5:$AL$434,"&gt;0")=0,"",SUMIFS(Countries!$AL$5:$AL$434,Countries!$A$5:$A$434,"All landing pages",Countries!$D$5:$D$434,$A408,Countries!$AE$5:$AE$434,"&gt;0")/SUMIFS(Countries!$AE$5:$AE$434,Countries!$A$5:$A$434,"All landing pages",Countries!$D$5:$D$434,$A408,Countries!$AL$5:$AL$434,"&gt;0"))</f>
        <v/>
      </c>
      <c r="P408" s="44">
        <f>IF(OR(N408="",O408=""),"",(O408-N408)*100)</f>
        <v/>
      </c>
      <c r="Q408" s="73" t="n"/>
    </row>
    <row r="409">
      <c r="A409" s="40" t="inlineStr">
        <is>
          <t>(not set)</t>
        </is>
      </c>
      <c r="B409" s="43">
        <f>IF(SUMIFS(Countries!$AD$5:$AD$434,Countries!$A$5:$A$434,"All landing pages",Countries!$B$5:$B$434,"Paid Search",Countries!$D$5:$D$434,$A409,Countries!$AK$5:$AK$434,"&gt;0")=0,"",SUMIFS(Countries!$AK$5:$AK$434,Countries!$A$5:$A$434,"All landing pages",Countries!$B$5:$B$434,"Paid Search",Countries!$D$5:$D$434,$A409,Countries!$AD$5:$AD$434,"&gt;0")/SUMIFS(Countries!$AD$5:$AD$434,Countries!$A$5:$A$434,"All landing pages",Countries!$B$5:$B$434,"Paid Search",Countries!$D$5:$D$434,$A409,Countries!$AK$5:$AK$434,"&gt;0"))</f>
        <v/>
      </c>
      <c r="C409" s="43">
        <f>IF(SUMIFS(Countries!$AE$5:$AE$434,Countries!$A$5:$A$434,"All landing pages",Countries!$B$5:$B$434,"Paid Search",Countries!$D$5:$D$434,$A409,Countries!$AL$5:$AL$434,"&gt;0")=0,"",SUMIFS(Countries!$AL$5:$AL$434,Countries!$A$5:$A$434,"All landing pages",Countries!$B$5:$B$434,"Paid Search",Countries!$D$5:$D$434,$A409,Countries!$AE$5:$AE$434,"&gt;0")/SUMIFS(Countries!$AE$5:$AE$434,Countries!$A$5:$A$434,"All landing pages",Countries!$B$5:$B$434,"Paid Search",Countries!$D$5:$D$434,$A409,Countries!$AL$5:$AL$434,"&gt;0"))</f>
        <v/>
      </c>
      <c r="D409" s="44">
        <f>IF(OR(B409="",C409=""),"",(C409-B409)*100)</f>
        <v/>
      </c>
      <c r="E409" s="73" t="n"/>
      <c r="F409" s="43">
        <f>IF(SUMIFS(Countries!$AD$5:$AD$434,Countries!$A$5:$A$434,"All landing pages",Countries!$B$5:$B$434,"Organic",Countries!$D$5:$D$434,$A409,Countries!$AK$5:$AK$434,"&gt;0")=0,"",SUMIFS(Countries!$AK$5:$AK$434,Countries!$A$5:$A$434,"All landing pages",Countries!$B$5:$B$434,"Organic",Countries!$D$5:$D$434,$A409,Countries!$AD$5:$AD$434,"&gt;0")/SUMIFS(Countries!$AD$5:$AD$434,Countries!$A$5:$A$434,"All landing pages",Countries!$B$5:$B$434,"Organic",Countries!$D$5:$D$434,$A409,Countries!$AK$5:$AK$434,"&gt;0"))</f>
        <v/>
      </c>
      <c r="G409" s="43">
        <f>IF(SUMIFS(Countries!$AE$5:$AE$434,Countries!$A$5:$A$434,"All landing pages",Countries!$B$5:$B$434,"Organic",Countries!$D$5:$D$434,$A409,Countries!$AL$5:$AL$434,"&gt;0")=0,"",SUMIFS(Countries!$AL$5:$AL$434,Countries!$A$5:$A$434,"All landing pages",Countries!$B$5:$B$434,"Organic",Countries!$D$5:$D$434,$A409,Countries!$AE$5:$AE$434,"&gt;0")/SUMIFS(Countries!$AE$5:$AE$434,Countries!$A$5:$A$434,"All landing pages",Countries!$B$5:$B$434,"Organic",Countries!$D$5:$D$434,$A409,Countries!$AL$5:$AL$434,"&gt;0"))</f>
        <v/>
      </c>
      <c r="H409" s="44">
        <f>IF(OR(F409="",G409=""),"",(G409-F409)*100)</f>
        <v/>
      </c>
      <c r="I409" s="73" t="n"/>
      <c r="J409" s="43">
        <f>IF(SUMIFS(Countries!$AD$5:$AD$434,Countries!$A$5:$A$434,"All landing pages",Countries!$B$5:$B$434,"Direct",Countries!$D$5:$D$434,$A409,Countries!$AK$5:$AK$434,"&gt;0")=0,"",SUMIFS(Countries!$AK$5:$AK$434,Countries!$A$5:$A$434,"All landing pages",Countries!$B$5:$B$434,"Direct",Countries!$D$5:$D$434,$A409,Countries!$AD$5:$AD$434,"&gt;0")/SUMIFS(Countries!$AD$5:$AD$434,Countries!$A$5:$A$434,"All landing pages",Countries!$B$5:$B$434,"Direct",Countries!$D$5:$D$434,$A409,Countries!$AK$5:$AK$434,"&gt;0"))</f>
        <v/>
      </c>
      <c r="K409" s="43">
        <f>IF(SUMIFS(Countries!$AE$5:$AE$434,Countries!$A$5:$A$434,"All landing pages",Countries!$B$5:$B$434,"Direct",Countries!$D$5:$D$434,$A409,Countries!$AL$5:$AL$434,"&gt;0")=0,"",SUMIFS(Countries!$AL$5:$AL$434,Countries!$A$5:$A$434,"All landing pages",Countries!$B$5:$B$434,"Direct",Countries!$D$5:$D$434,$A409,Countries!$AE$5:$AE$434,"&gt;0")/SUMIFS(Countries!$AE$5:$AE$434,Countries!$A$5:$A$434,"All landing pages",Countries!$B$5:$B$434,"Direct",Countries!$D$5:$D$434,$A409,Countries!$AL$5:$AL$434,"&gt;0"))</f>
        <v/>
      </c>
      <c r="L409" s="44">
        <f>IF(OR(J409="",K409=""),"",(K409-J409)*100)</f>
        <v/>
      </c>
      <c r="M409" s="73" t="n"/>
      <c r="N409" s="43">
        <f>IF(SUMIFS(Countries!$AD$5:$AD$434,Countries!$A$5:$A$434,"All landing pages",Countries!$D$5:$D$434,$A409,Countries!$AK$5:$AK$434,"&gt;0")=0,"",SUMIFS(Countries!$AK$5:$AK$434,Countries!$A$5:$A$434,"All landing pages",Countries!$D$5:$D$434,$A409,Countries!$AD$5:$AD$434,"&gt;0")/SUMIFS(Countries!$AD$5:$AD$434,Countries!$A$5:$A$434,"All landing pages",Countries!$D$5:$D$434,$A409,Countries!$AK$5:$AK$434,"&gt;0"))</f>
        <v/>
      </c>
      <c r="O409" s="43">
        <f>IF(SUMIFS(Countries!$AE$5:$AE$434,Countries!$A$5:$A$434,"All landing pages",Countries!$D$5:$D$434,$A409,Countries!$AL$5:$AL$434,"&gt;0")=0,"",SUMIFS(Countries!$AL$5:$AL$434,Countries!$A$5:$A$434,"All landing pages",Countries!$D$5:$D$434,$A409,Countries!$AE$5:$AE$434,"&gt;0")/SUMIFS(Countries!$AE$5:$AE$434,Countries!$A$5:$A$434,"All landing pages",Countries!$D$5:$D$434,$A409,Countries!$AL$5:$AL$434,"&gt;0"))</f>
        <v/>
      </c>
      <c r="P409" s="44">
        <f>IF(OR(N409="",O409=""),"",(O409-N409)*100)</f>
        <v/>
      </c>
      <c r="Q409" s="73" t="n"/>
    </row>
    <row r="410">
      <c r="A410" s="56" t="inlineStr">
        <is>
          <t>Algeria</t>
        </is>
      </c>
      <c r="B410" s="43">
        <f>IF(SUMIFS(Countries!$AD$5:$AD$434,Countries!$A$5:$A$434,"All landing pages",Countries!$B$5:$B$434,"Paid Search",Countries!$D$5:$D$434,$A410,Countries!$AK$5:$AK$434,"&gt;0")=0,"",SUMIFS(Countries!$AK$5:$AK$434,Countries!$A$5:$A$434,"All landing pages",Countries!$B$5:$B$434,"Paid Search",Countries!$D$5:$D$434,$A410,Countries!$AD$5:$AD$434,"&gt;0")/SUMIFS(Countries!$AD$5:$AD$434,Countries!$A$5:$A$434,"All landing pages",Countries!$B$5:$B$434,"Paid Search",Countries!$D$5:$D$434,$A410,Countries!$AK$5:$AK$434,"&gt;0"))</f>
        <v/>
      </c>
      <c r="C410" s="43">
        <f>IF(SUMIFS(Countries!$AE$5:$AE$434,Countries!$A$5:$A$434,"All landing pages",Countries!$B$5:$B$434,"Paid Search",Countries!$D$5:$D$434,$A410,Countries!$AL$5:$AL$434,"&gt;0")=0,"",SUMIFS(Countries!$AL$5:$AL$434,Countries!$A$5:$A$434,"All landing pages",Countries!$B$5:$B$434,"Paid Search",Countries!$D$5:$D$434,$A410,Countries!$AE$5:$AE$434,"&gt;0")/SUMIFS(Countries!$AE$5:$AE$434,Countries!$A$5:$A$434,"All landing pages",Countries!$B$5:$B$434,"Paid Search",Countries!$D$5:$D$434,$A410,Countries!$AL$5:$AL$434,"&gt;0"))</f>
        <v/>
      </c>
      <c r="D410" s="44">
        <f>IF(OR(B410="",C410=""),"",(C410-B410)*100)</f>
        <v/>
      </c>
      <c r="E410" s="73" t="n"/>
      <c r="F410" s="43">
        <f>IF(SUMIFS(Countries!$AD$5:$AD$434,Countries!$A$5:$A$434,"All landing pages",Countries!$B$5:$B$434,"Organic",Countries!$D$5:$D$434,$A410,Countries!$AK$5:$AK$434,"&gt;0")=0,"",SUMIFS(Countries!$AK$5:$AK$434,Countries!$A$5:$A$434,"All landing pages",Countries!$B$5:$B$434,"Organic",Countries!$D$5:$D$434,$A410,Countries!$AD$5:$AD$434,"&gt;0")/SUMIFS(Countries!$AD$5:$AD$434,Countries!$A$5:$A$434,"All landing pages",Countries!$B$5:$B$434,"Organic",Countries!$D$5:$D$434,$A410,Countries!$AK$5:$AK$434,"&gt;0"))</f>
        <v/>
      </c>
      <c r="G410" s="43">
        <f>IF(SUMIFS(Countries!$AE$5:$AE$434,Countries!$A$5:$A$434,"All landing pages",Countries!$B$5:$B$434,"Organic",Countries!$D$5:$D$434,$A410,Countries!$AL$5:$AL$434,"&gt;0")=0,"",SUMIFS(Countries!$AL$5:$AL$434,Countries!$A$5:$A$434,"All landing pages",Countries!$B$5:$B$434,"Organic",Countries!$D$5:$D$434,$A410,Countries!$AE$5:$AE$434,"&gt;0")/SUMIFS(Countries!$AE$5:$AE$434,Countries!$A$5:$A$434,"All landing pages",Countries!$B$5:$B$434,"Organic",Countries!$D$5:$D$434,$A410,Countries!$AL$5:$AL$434,"&gt;0"))</f>
        <v/>
      </c>
      <c r="H410" s="44">
        <f>IF(OR(F410="",G410=""),"",(G410-F410)*100)</f>
        <v/>
      </c>
      <c r="I410" s="73" t="n"/>
      <c r="J410" s="43">
        <f>IF(SUMIFS(Countries!$AD$5:$AD$434,Countries!$A$5:$A$434,"All landing pages",Countries!$B$5:$B$434,"Direct",Countries!$D$5:$D$434,$A410,Countries!$AK$5:$AK$434,"&gt;0")=0,"",SUMIFS(Countries!$AK$5:$AK$434,Countries!$A$5:$A$434,"All landing pages",Countries!$B$5:$B$434,"Direct",Countries!$D$5:$D$434,$A410,Countries!$AD$5:$AD$434,"&gt;0")/SUMIFS(Countries!$AD$5:$AD$434,Countries!$A$5:$A$434,"All landing pages",Countries!$B$5:$B$434,"Direct",Countries!$D$5:$D$434,$A410,Countries!$AK$5:$AK$434,"&gt;0"))</f>
        <v/>
      </c>
      <c r="K410" s="43">
        <f>IF(SUMIFS(Countries!$AE$5:$AE$434,Countries!$A$5:$A$434,"All landing pages",Countries!$B$5:$B$434,"Direct",Countries!$D$5:$D$434,$A410,Countries!$AL$5:$AL$434,"&gt;0")=0,"",SUMIFS(Countries!$AL$5:$AL$434,Countries!$A$5:$A$434,"All landing pages",Countries!$B$5:$B$434,"Direct",Countries!$D$5:$D$434,$A410,Countries!$AE$5:$AE$434,"&gt;0")/SUMIFS(Countries!$AE$5:$AE$434,Countries!$A$5:$A$434,"All landing pages",Countries!$B$5:$B$434,"Direct",Countries!$D$5:$D$434,$A410,Countries!$AL$5:$AL$434,"&gt;0"))</f>
        <v/>
      </c>
      <c r="L410" s="44">
        <f>IF(OR(J410="",K410=""),"",(K410-J410)*100)</f>
        <v/>
      </c>
      <c r="M410" s="73" t="n"/>
      <c r="N410" s="43">
        <f>IF(SUMIFS(Countries!$AD$5:$AD$434,Countries!$A$5:$A$434,"All landing pages",Countries!$D$5:$D$434,$A410,Countries!$AK$5:$AK$434,"&gt;0")=0,"",SUMIFS(Countries!$AK$5:$AK$434,Countries!$A$5:$A$434,"All landing pages",Countries!$D$5:$D$434,$A410,Countries!$AD$5:$AD$434,"&gt;0")/SUMIFS(Countries!$AD$5:$AD$434,Countries!$A$5:$A$434,"All landing pages",Countries!$D$5:$D$434,$A410,Countries!$AK$5:$AK$434,"&gt;0"))</f>
        <v/>
      </c>
      <c r="O410" s="43">
        <f>IF(SUMIFS(Countries!$AE$5:$AE$434,Countries!$A$5:$A$434,"All landing pages",Countries!$D$5:$D$434,$A410,Countries!$AL$5:$AL$434,"&gt;0")=0,"",SUMIFS(Countries!$AL$5:$AL$434,Countries!$A$5:$A$434,"All landing pages",Countries!$D$5:$D$434,$A410,Countries!$AE$5:$AE$434,"&gt;0")/SUMIFS(Countries!$AE$5:$AE$434,Countries!$A$5:$A$434,"All landing pages",Countries!$D$5:$D$434,$A410,Countries!$AL$5:$AL$434,"&gt;0"))</f>
        <v/>
      </c>
      <c r="P410" s="44">
        <f>IF(OR(N410="",O410=""),"",(O410-N410)*100)</f>
        <v/>
      </c>
      <c r="Q410" s="73" t="n"/>
    </row>
    <row r="411">
      <c r="A411" s="40" t="inlineStr">
        <is>
          <t>Argentina</t>
        </is>
      </c>
      <c r="B411" s="43">
        <f>IF(SUMIFS(Countries!$AD$5:$AD$434,Countries!$A$5:$A$434,"All landing pages",Countries!$B$5:$B$434,"Paid Search",Countries!$D$5:$D$434,$A411,Countries!$AK$5:$AK$434,"&gt;0")=0,"",SUMIFS(Countries!$AK$5:$AK$434,Countries!$A$5:$A$434,"All landing pages",Countries!$B$5:$B$434,"Paid Search",Countries!$D$5:$D$434,$A411,Countries!$AD$5:$AD$434,"&gt;0")/SUMIFS(Countries!$AD$5:$AD$434,Countries!$A$5:$A$434,"All landing pages",Countries!$B$5:$B$434,"Paid Search",Countries!$D$5:$D$434,$A411,Countries!$AK$5:$AK$434,"&gt;0"))</f>
        <v/>
      </c>
      <c r="C411" s="43">
        <f>IF(SUMIFS(Countries!$AE$5:$AE$434,Countries!$A$5:$A$434,"All landing pages",Countries!$B$5:$B$434,"Paid Search",Countries!$D$5:$D$434,$A411,Countries!$AL$5:$AL$434,"&gt;0")=0,"",SUMIFS(Countries!$AL$5:$AL$434,Countries!$A$5:$A$434,"All landing pages",Countries!$B$5:$B$434,"Paid Search",Countries!$D$5:$D$434,$A411,Countries!$AE$5:$AE$434,"&gt;0")/SUMIFS(Countries!$AE$5:$AE$434,Countries!$A$5:$A$434,"All landing pages",Countries!$B$5:$B$434,"Paid Search",Countries!$D$5:$D$434,$A411,Countries!$AL$5:$AL$434,"&gt;0"))</f>
        <v/>
      </c>
      <c r="D411" s="44">
        <f>IF(OR(B411="",C411=""),"",(C411-B411)*100)</f>
        <v/>
      </c>
      <c r="E411" s="73" t="n"/>
      <c r="F411" s="43">
        <f>IF(SUMIFS(Countries!$AD$5:$AD$434,Countries!$A$5:$A$434,"All landing pages",Countries!$B$5:$B$434,"Organic",Countries!$D$5:$D$434,$A411,Countries!$AK$5:$AK$434,"&gt;0")=0,"",SUMIFS(Countries!$AK$5:$AK$434,Countries!$A$5:$A$434,"All landing pages",Countries!$B$5:$B$434,"Organic",Countries!$D$5:$D$434,$A411,Countries!$AD$5:$AD$434,"&gt;0")/SUMIFS(Countries!$AD$5:$AD$434,Countries!$A$5:$A$434,"All landing pages",Countries!$B$5:$B$434,"Organic",Countries!$D$5:$D$434,$A411,Countries!$AK$5:$AK$434,"&gt;0"))</f>
        <v/>
      </c>
      <c r="G411" s="43">
        <f>IF(SUMIFS(Countries!$AE$5:$AE$434,Countries!$A$5:$A$434,"All landing pages",Countries!$B$5:$B$434,"Organic",Countries!$D$5:$D$434,$A411,Countries!$AL$5:$AL$434,"&gt;0")=0,"",SUMIFS(Countries!$AL$5:$AL$434,Countries!$A$5:$A$434,"All landing pages",Countries!$B$5:$B$434,"Organic",Countries!$D$5:$D$434,$A411,Countries!$AE$5:$AE$434,"&gt;0")/SUMIFS(Countries!$AE$5:$AE$434,Countries!$A$5:$A$434,"All landing pages",Countries!$B$5:$B$434,"Organic",Countries!$D$5:$D$434,$A411,Countries!$AL$5:$AL$434,"&gt;0"))</f>
        <v/>
      </c>
      <c r="H411" s="44">
        <f>IF(OR(F411="",G411=""),"",(G411-F411)*100)</f>
        <v/>
      </c>
      <c r="I411" s="73" t="n"/>
      <c r="J411" s="43">
        <f>IF(SUMIFS(Countries!$AD$5:$AD$434,Countries!$A$5:$A$434,"All landing pages",Countries!$B$5:$B$434,"Direct",Countries!$D$5:$D$434,$A411,Countries!$AK$5:$AK$434,"&gt;0")=0,"",SUMIFS(Countries!$AK$5:$AK$434,Countries!$A$5:$A$434,"All landing pages",Countries!$B$5:$B$434,"Direct",Countries!$D$5:$D$434,$A411,Countries!$AD$5:$AD$434,"&gt;0")/SUMIFS(Countries!$AD$5:$AD$434,Countries!$A$5:$A$434,"All landing pages",Countries!$B$5:$B$434,"Direct",Countries!$D$5:$D$434,$A411,Countries!$AK$5:$AK$434,"&gt;0"))</f>
        <v/>
      </c>
      <c r="K411" s="43">
        <f>IF(SUMIFS(Countries!$AE$5:$AE$434,Countries!$A$5:$A$434,"All landing pages",Countries!$B$5:$B$434,"Direct",Countries!$D$5:$D$434,$A411,Countries!$AL$5:$AL$434,"&gt;0")=0,"",SUMIFS(Countries!$AL$5:$AL$434,Countries!$A$5:$A$434,"All landing pages",Countries!$B$5:$B$434,"Direct",Countries!$D$5:$D$434,$A411,Countries!$AE$5:$AE$434,"&gt;0")/SUMIFS(Countries!$AE$5:$AE$434,Countries!$A$5:$A$434,"All landing pages",Countries!$B$5:$B$434,"Direct",Countries!$D$5:$D$434,$A411,Countries!$AL$5:$AL$434,"&gt;0"))</f>
        <v/>
      </c>
      <c r="L411" s="44">
        <f>IF(OR(J411="",K411=""),"",(K411-J411)*100)</f>
        <v/>
      </c>
      <c r="M411" s="73" t="n"/>
      <c r="N411" s="43">
        <f>IF(SUMIFS(Countries!$AD$5:$AD$434,Countries!$A$5:$A$434,"All landing pages",Countries!$D$5:$D$434,$A411,Countries!$AK$5:$AK$434,"&gt;0")=0,"",SUMIFS(Countries!$AK$5:$AK$434,Countries!$A$5:$A$434,"All landing pages",Countries!$D$5:$D$434,$A411,Countries!$AD$5:$AD$434,"&gt;0")/SUMIFS(Countries!$AD$5:$AD$434,Countries!$A$5:$A$434,"All landing pages",Countries!$D$5:$D$434,$A411,Countries!$AK$5:$AK$434,"&gt;0"))</f>
        <v/>
      </c>
      <c r="O411" s="43">
        <f>IF(SUMIFS(Countries!$AE$5:$AE$434,Countries!$A$5:$A$434,"All landing pages",Countries!$D$5:$D$434,$A411,Countries!$AL$5:$AL$434,"&gt;0")=0,"",SUMIFS(Countries!$AL$5:$AL$434,Countries!$A$5:$A$434,"All landing pages",Countries!$D$5:$D$434,$A411,Countries!$AE$5:$AE$434,"&gt;0")/SUMIFS(Countries!$AE$5:$AE$434,Countries!$A$5:$A$434,"All landing pages",Countries!$D$5:$D$434,$A411,Countries!$AL$5:$AL$434,"&gt;0"))</f>
        <v/>
      </c>
      <c r="P411" s="44">
        <f>IF(OR(N411="",O411=""),"",(O411-N411)*100)</f>
        <v/>
      </c>
      <c r="Q411" s="73" t="n"/>
    </row>
    <row r="412">
      <c r="A412" s="56" t="inlineStr">
        <is>
          <t>Bangladesh</t>
        </is>
      </c>
      <c r="B412" s="43">
        <f>IF(SUMIFS(Countries!$AD$5:$AD$434,Countries!$A$5:$A$434,"All landing pages",Countries!$B$5:$B$434,"Paid Search",Countries!$D$5:$D$434,$A412,Countries!$AK$5:$AK$434,"&gt;0")=0,"",SUMIFS(Countries!$AK$5:$AK$434,Countries!$A$5:$A$434,"All landing pages",Countries!$B$5:$B$434,"Paid Search",Countries!$D$5:$D$434,$A412,Countries!$AD$5:$AD$434,"&gt;0")/SUMIFS(Countries!$AD$5:$AD$434,Countries!$A$5:$A$434,"All landing pages",Countries!$B$5:$B$434,"Paid Search",Countries!$D$5:$D$434,$A412,Countries!$AK$5:$AK$434,"&gt;0"))</f>
        <v/>
      </c>
      <c r="C412" s="43">
        <f>IF(SUMIFS(Countries!$AE$5:$AE$434,Countries!$A$5:$A$434,"All landing pages",Countries!$B$5:$B$434,"Paid Search",Countries!$D$5:$D$434,$A412,Countries!$AL$5:$AL$434,"&gt;0")=0,"",SUMIFS(Countries!$AL$5:$AL$434,Countries!$A$5:$A$434,"All landing pages",Countries!$B$5:$B$434,"Paid Search",Countries!$D$5:$D$434,$A412,Countries!$AE$5:$AE$434,"&gt;0")/SUMIFS(Countries!$AE$5:$AE$434,Countries!$A$5:$A$434,"All landing pages",Countries!$B$5:$B$434,"Paid Search",Countries!$D$5:$D$434,$A412,Countries!$AL$5:$AL$434,"&gt;0"))</f>
        <v/>
      </c>
      <c r="D412" s="44">
        <f>IF(OR(B412="",C412=""),"",(C412-B412)*100)</f>
        <v/>
      </c>
      <c r="E412" s="73" t="n"/>
      <c r="F412" s="43">
        <f>IF(SUMIFS(Countries!$AD$5:$AD$434,Countries!$A$5:$A$434,"All landing pages",Countries!$B$5:$B$434,"Organic",Countries!$D$5:$D$434,$A412,Countries!$AK$5:$AK$434,"&gt;0")=0,"",SUMIFS(Countries!$AK$5:$AK$434,Countries!$A$5:$A$434,"All landing pages",Countries!$B$5:$B$434,"Organic",Countries!$D$5:$D$434,$A412,Countries!$AD$5:$AD$434,"&gt;0")/SUMIFS(Countries!$AD$5:$AD$434,Countries!$A$5:$A$434,"All landing pages",Countries!$B$5:$B$434,"Organic",Countries!$D$5:$D$434,$A412,Countries!$AK$5:$AK$434,"&gt;0"))</f>
        <v/>
      </c>
      <c r="G412" s="43">
        <f>IF(SUMIFS(Countries!$AE$5:$AE$434,Countries!$A$5:$A$434,"All landing pages",Countries!$B$5:$B$434,"Organic",Countries!$D$5:$D$434,$A412,Countries!$AL$5:$AL$434,"&gt;0")=0,"",SUMIFS(Countries!$AL$5:$AL$434,Countries!$A$5:$A$434,"All landing pages",Countries!$B$5:$B$434,"Organic",Countries!$D$5:$D$434,$A412,Countries!$AE$5:$AE$434,"&gt;0")/SUMIFS(Countries!$AE$5:$AE$434,Countries!$A$5:$A$434,"All landing pages",Countries!$B$5:$B$434,"Organic",Countries!$D$5:$D$434,$A412,Countries!$AL$5:$AL$434,"&gt;0"))</f>
        <v/>
      </c>
      <c r="H412" s="44">
        <f>IF(OR(F412="",G412=""),"",(G412-F412)*100)</f>
        <v/>
      </c>
      <c r="I412" s="73" t="n"/>
      <c r="J412" s="43">
        <f>IF(SUMIFS(Countries!$AD$5:$AD$434,Countries!$A$5:$A$434,"All landing pages",Countries!$B$5:$B$434,"Direct",Countries!$D$5:$D$434,$A412,Countries!$AK$5:$AK$434,"&gt;0")=0,"",SUMIFS(Countries!$AK$5:$AK$434,Countries!$A$5:$A$434,"All landing pages",Countries!$B$5:$B$434,"Direct",Countries!$D$5:$D$434,$A412,Countries!$AD$5:$AD$434,"&gt;0")/SUMIFS(Countries!$AD$5:$AD$434,Countries!$A$5:$A$434,"All landing pages",Countries!$B$5:$B$434,"Direct",Countries!$D$5:$D$434,$A412,Countries!$AK$5:$AK$434,"&gt;0"))</f>
        <v/>
      </c>
      <c r="K412" s="43">
        <f>IF(SUMIFS(Countries!$AE$5:$AE$434,Countries!$A$5:$A$434,"All landing pages",Countries!$B$5:$B$434,"Direct",Countries!$D$5:$D$434,$A412,Countries!$AL$5:$AL$434,"&gt;0")=0,"",SUMIFS(Countries!$AL$5:$AL$434,Countries!$A$5:$A$434,"All landing pages",Countries!$B$5:$B$434,"Direct",Countries!$D$5:$D$434,$A412,Countries!$AE$5:$AE$434,"&gt;0")/SUMIFS(Countries!$AE$5:$AE$434,Countries!$A$5:$A$434,"All landing pages",Countries!$B$5:$B$434,"Direct",Countries!$D$5:$D$434,$A412,Countries!$AL$5:$AL$434,"&gt;0"))</f>
        <v/>
      </c>
      <c r="L412" s="44">
        <f>IF(OR(J412="",K412=""),"",(K412-J412)*100)</f>
        <v/>
      </c>
      <c r="M412" s="73" t="n"/>
      <c r="N412" s="43">
        <f>IF(SUMIFS(Countries!$AD$5:$AD$434,Countries!$A$5:$A$434,"All landing pages",Countries!$D$5:$D$434,$A412,Countries!$AK$5:$AK$434,"&gt;0")=0,"",SUMIFS(Countries!$AK$5:$AK$434,Countries!$A$5:$A$434,"All landing pages",Countries!$D$5:$D$434,$A412,Countries!$AD$5:$AD$434,"&gt;0")/SUMIFS(Countries!$AD$5:$AD$434,Countries!$A$5:$A$434,"All landing pages",Countries!$D$5:$D$434,$A412,Countries!$AK$5:$AK$434,"&gt;0"))</f>
        <v/>
      </c>
      <c r="O412" s="43">
        <f>IF(SUMIFS(Countries!$AE$5:$AE$434,Countries!$A$5:$A$434,"All landing pages",Countries!$D$5:$D$434,$A412,Countries!$AL$5:$AL$434,"&gt;0")=0,"",SUMIFS(Countries!$AL$5:$AL$434,Countries!$A$5:$A$434,"All landing pages",Countries!$D$5:$D$434,$A412,Countries!$AE$5:$AE$434,"&gt;0")/SUMIFS(Countries!$AE$5:$AE$434,Countries!$A$5:$A$434,"All landing pages",Countries!$D$5:$D$434,$A412,Countries!$AL$5:$AL$434,"&gt;0"))</f>
        <v/>
      </c>
      <c r="P412" s="44">
        <f>IF(OR(N412="",O412=""),"",(O412-N412)*100)</f>
        <v/>
      </c>
      <c r="Q412" s="73" t="n"/>
    </row>
    <row r="413">
      <c r="A413" s="40" t="inlineStr">
        <is>
          <t>Brazil</t>
        </is>
      </c>
      <c r="B413" s="43">
        <f>IF(SUMIFS(Countries!$AD$5:$AD$434,Countries!$A$5:$A$434,"All landing pages",Countries!$B$5:$B$434,"Paid Search",Countries!$D$5:$D$434,$A413,Countries!$AK$5:$AK$434,"&gt;0")=0,"",SUMIFS(Countries!$AK$5:$AK$434,Countries!$A$5:$A$434,"All landing pages",Countries!$B$5:$B$434,"Paid Search",Countries!$D$5:$D$434,$A413,Countries!$AD$5:$AD$434,"&gt;0")/SUMIFS(Countries!$AD$5:$AD$434,Countries!$A$5:$A$434,"All landing pages",Countries!$B$5:$B$434,"Paid Search",Countries!$D$5:$D$434,$A413,Countries!$AK$5:$AK$434,"&gt;0"))</f>
        <v/>
      </c>
      <c r="C413" s="43">
        <f>IF(SUMIFS(Countries!$AE$5:$AE$434,Countries!$A$5:$A$434,"All landing pages",Countries!$B$5:$B$434,"Paid Search",Countries!$D$5:$D$434,$A413,Countries!$AL$5:$AL$434,"&gt;0")=0,"",SUMIFS(Countries!$AL$5:$AL$434,Countries!$A$5:$A$434,"All landing pages",Countries!$B$5:$B$434,"Paid Search",Countries!$D$5:$D$434,$A413,Countries!$AE$5:$AE$434,"&gt;0")/SUMIFS(Countries!$AE$5:$AE$434,Countries!$A$5:$A$434,"All landing pages",Countries!$B$5:$B$434,"Paid Search",Countries!$D$5:$D$434,$A413,Countries!$AL$5:$AL$434,"&gt;0"))</f>
        <v/>
      </c>
      <c r="D413" s="44">
        <f>IF(OR(B413="",C413=""),"",(C413-B413)*100)</f>
        <v/>
      </c>
      <c r="E413" s="73" t="n"/>
      <c r="F413" s="43">
        <f>IF(SUMIFS(Countries!$AD$5:$AD$434,Countries!$A$5:$A$434,"All landing pages",Countries!$B$5:$B$434,"Organic",Countries!$D$5:$D$434,$A413,Countries!$AK$5:$AK$434,"&gt;0")=0,"",SUMIFS(Countries!$AK$5:$AK$434,Countries!$A$5:$A$434,"All landing pages",Countries!$B$5:$B$434,"Organic",Countries!$D$5:$D$434,$A413,Countries!$AD$5:$AD$434,"&gt;0")/SUMIFS(Countries!$AD$5:$AD$434,Countries!$A$5:$A$434,"All landing pages",Countries!$B$5:$B$434,"Organic",Countries!$D$5:$D$434,$A413,Countries!$AK$5:$AK$434,"&gt;0"))</f>
        <v/>
      </c>
      <c r="G413" s="43">
        <f>IF(SUMIFS(Countries!$AE$5:$AE$434,Countries!$A$5:$A$434,"All landing pages",Countries!$B$5:$B$434,"Organic",Countries!$D$5:$D$434,$A413,Countries!$AL$5:$AL$434,"&gt;0")=0,"",SUMIFS(Countries!$AL$5:$AL$434,Countries!$A$5:$A$434,"All landing pages",Countries!$B$5:$B$434,"Organic",Countries!$D$5:$D$434,$A413,Countries!$AE$5:$AE$434,"&gt;0")/SUMIFS(Countries!$AE$5:$AE$434,Countries!$A$5:$A$434,"All landing pages",Countries!$B$5:$B$434,"Organic",Countries!$D$5:$D$434,$A413,Countries!$AL$5:$AL$434,"&gt;0"))</f>
        <v/>
      </c>
      <c r="H413" s="44">
        <f>IF(OR(F413="",G413=""),"",(G413-F413)*100)</f>
        <v/>
      </c>
      <c r="I413" s="73" t="n"/>
      <c r="J413" s="43">
        <f>IF(SUMIFS(Countries!$AD$5:$AD$434,Countries!$A$5:$A$434,"All landing pages",Countries!$B$5:$B$434,"Direct",Countries!$D$5:$D$434,$A413,Countries!$AK$5:$AK$434,"&gt;0")=0,"",SUMIFS(Countries!$AK$5:$AK$434,Countries!$A$5:$A$434,"All landing pages",Countries!$B$5:$B$434,"Direct",Countries!$D$5:$D$434,$A413,Countries!$AD$5:$AD$434,"&gt;0")/SUMIFS(Countries!$AD$5:$AD$434,Countries!$A$5:$A$434,"All landing pages",Countries!$B$5:$B$434,"Direct",Countries!$D$5:$D$434,$A413,Countries!$AK$5:$AK$434,"&gt;0"))</f>
        <v/>
      </c>
      <c r="K413" s="43">
        <f>IF(SUMIFS(Countries!$AE$5:$AE$434,Countries!$A$5:$A$434,"All landing pages",Countries!$B$5:$B$434,"Direct",Countries!$D$5:$D$434,$A413,Countries!$AL$5:$AL$434,"&gt;0")=0,"",SUMIFS(Countries!$AL$5:$AL$434,Countries!$A$5:$A$434,"All landing pages",Countries!$B$5:$B$434,"Direct",Countries!$D$5:$D$434,$A413,Countries!$AE$5:$AE$434,"&gt;0")/SUMIFS(Countries!$AE$5:$AE$434,Countries!$A$5:$A$434,"All landing pages",Countries!$B$5:$B$434,"Direct",Countries!$D$5:$D$434,$A413,Countries!$AL$5:$AL$434,"&gt;0"))</f>
        <v/>
      </c>
      <c r="L413" s="44">
        <f>IF(OR(J413="",K413=""),"",(K413-J413)*100)</f>
        <v/>
      </c>
      <c r="M413" s="73" t="n"/>
      <c r="N413" s="43">
        <f>IF(SUMIFS(Countries!$AD$5:$AD$434,Countries!$A$5:$A$434,"All landing pages",Countries!$D$5:$D$434,$A413,Countries!$AK$5:$AK$434,"&gt;0")=0,"",SUMIFS(Countries!$AK$5:$AK$434,Countries!$A$5:$A$434,"All landing pages",Countries!$D$5:$D$434,$A413,Countries!$AD$5:$AD$434,"&gt;0")/SUMIFS(Countries!$AD$5:$AD$434,Countries!$A$5:$A$434,"All landing pages",Countries!$D$5:$D$434,$A413,Countries!$AK$5:$AK$434,"&gt;0"))</f>
        <v/>
      </c>
      <c r="O413" s="43">
        <f>IF(SUMIFS(Countries!$AE$5:$AE$434,Countries!$A$5:$A$434,"All landing pages",Countries!$D$5:$D$434,$A413,Countries!$AL$5:$AL$434,"&gt;0")=0,"",SUMIFS(Countries!$AL$5:$AL$434,Countries!$A$5:$A$434,"All landing pages",Countries!$D$5:$D$434,$A413,Countries!$AE$5:$AE$434,"&gt;0")/SUMIFS(Countries!$AE$5:$AE$434,Countries!$A$5:$A$434,"All landing pages",Countries!$D$5:$D$434,$A413,Countries!$AL$5:$AL$434,"&gt;0"))</f>
        <v/>
      </c>
      <c r="P413" s="44">
        <f>IF(OR(N413="",O413=""),"",(O413-N413)*100)</f>
        <v/>
      </c>
      <c r="Q413" s="73" t="n"/>
    </row>
    <row r="414">
      <c r="A414" s="56" t="inlineStr">
        <is>
          <t>China</t>
        </is>
      </c>
      <c r="B414" s="43">
        <f>IF(SUMIFS(Countries!$AD$5:$AD$434,Countries!$A$5:$A$434,"All landing pages",Countries!$B$5:$B$434,"Paid Search",Countries!$D$5:$D$434,$A414,Countries!$AK$5:$AK$434,"&gt;0")=0,"",SUMIFS(Countries!$AK$5:$AK$434,Countries!$A$5:$A$434,"All landing pages",Countries!$B$5:$B$434,"Paid Search",Countries!$D$5:$D$434,$A414,Countries!$AD$5:$AD$434,"&gt;0")/SUMIFS(Countries!$AD$5:$AD$434,Countries!$A$5:$A$434,"All landing pages",Countries!$B$5:$B$434,"Paid Search",Countries!$D$5:$D$434,$A414,Countries!$AK$5:$AK$434,"&gt;0"))</f>
        <v/>
      </c>
      <c r="C414" s="43">
        <f>IF(SUMIFS(Countries!$AE$5:$AE$434,Countries!$A$5:$A$434,"All landing pages",Countries!$B$5:$B$434,"Paid Search",Countries!$D$5:$D$434,$A414,Countries!$AL$5:$AL$434,"&gt;0")=0,"",SUMIFS(Countries!$AL$5:$AL$434,Countries!$A$5:$A$434,"All landing pages",Countries!$B$5:$B$434,"Paid Search",Countries!$D$5:$D$434,$A414,Countries!$AE$5:$AE$434,"&gt;0")/SUMIFS(Countries!$AE$5:$AE$434,Countries!$A$5:$A$434,"All landing pages",Countries!$B$5:$B$434,"Paid Search",Countries!$D$5:$D$434,$A414,Countries!$AL$5:$AL$434,"&gt;0"))</f>
        <v/>
      </c>
      <c r="D414" s="44">
        <f>IF(OR(B414="",C414=""),"",(C414-B414)*100)</f>
        <v/>
      </c>
      <c r="E414" s="73" t="n"/>
      <c r="F414" s="43">
        <f>IF(SUMIFS(Countries!$AD$5:$AD$434,Countries!$A$5:$A$434,"All landing pages",Countries!$B$5:$B$434,"Organic",Countries!$D$5:$D$434,$A414,Countries!$AK$5:$AK$434,"&gt;0")=0,"",SUMIFS(Countries!$AK$5:$AK$434,Countries!$A$5:$A$434,"All landing pages",Countries!$B$5:$B$434,"Organic",Countries!$D$5:$D$434,$A414,Countries!$AD$5:$AD$434,"&gt;0")/SUMIFS(Countries!$AD$5:$AD$434,Countries!$A$5:$A$434,"All landing pages",Countries!$B$5:$B$434,"Organic",Countries!$D$5:$D$434,$A414,Countries!$AK$5:$AK$434,"&gt;0"))</f>
        <v/>
      </c>
      <c r="G414" s="43">
        <f>IF(SUMIFS(Countries!$AE$5:$AE$434,Countries!$A$5:$A$434,"All landing pages",Countries!$B$5:$B$434,"Organic",Countries!$D$5:$D$434,$A414,Countries!$AL$5:$AL$434,"&gt;0")=0,"",SUMIFS(Countries!$AL$5:$AL$434,Countries!$A$5:$A$434,"All landing pages",Countries!$B$5:$B$434,"Organic",Countries!$D$5:$D$434,$A414,Countries!$AE$5:$AE$434,"&gt;0")/SUMIFS(Countries!$AE$5:$AE$434,Countries!$A$5:$A$434,"All landing pages",Countries!$B$5:$B$434,"Organic",Countries!$D$5:$D$434,$A414,Countries!$AL$5:$AL$434,"&gt;0"))</f>
        <v/>
      </c>
      <c r="H414" s="44">
        <f>IF(OR(F414="",G414=""),"",(G414-F414)*100)</f>
        <v/>
      </c>
      <c r="I414" s="73" t="n"/>
      <c r="J414" s="43">
        <f>IF(SUMIFS(Countries!$AD$5:$AD$434,Countries!$A$5:$A$434,"All landing pages",Countries!$B$5:$B$434,"Direct",Countries!$D$5:$D$434,$A414,Countries!$AK$5:$AK$434,"&gt;0")=0,"",SUMIFS(Countries!$AK$5:$AK$434,Countries!$A$5:$A$434,"All landing pages",Countries!$B$5:$B$434,"Direct",Countries!$D$5:$D$434,$A414,Countries!$AD$5:$AD$434,"&gt;0")/SUMIFS(Countries!$AD$5:$AD$434,Countries!$A$5:$A$434,"All landing pages",Countries!$B$5:$B$434,"Direct",Countries!$D$5:$D$434,$A414,Countries!$AK$5:$AK$434,"&gt;0"))</f>
        <v/>
      </c>
      <c r="K414" s="43">
        <f>IF(SUMIFS(Countries!$AE$5:$AE$434,Countries!$A$5:$A$434,"All landing pages",Countries!$B$5:$B$434,"Direct",Countries!$D$5:$D$434,$A414,Countries!$AL$5:$AL$434,"&gt;0")=0,"",SUMIFS(Countries!$AL$5:$AL$434,Countries!$A$5:$A$434,"All landing pages",Countries!$B$5:$B$434,"Direct",Countries!$D$5:$D$434,$A414,Countries!$AE$5:$AE$434,"&gt;0")/SUMIFS(Countries!$AE$5:$AE$434,Countries!$A$5:$A$434,"All landing pages",Countries!$B$5:$B$434,"Direct",Countries!$D$5:$D$434,$A414,Countries!$AL$5:$AL$434,"&gt;0"))</f>
        <v/>
      </c>
      <c r="L414" s="44">
        <f>IF(OR(J414="",K414=""),"",(K414-J414)*100)</f>
        <v/>
      </c>
      <c r="M414" s="73" t="n"/>
      <c r="N414" s="43">
        <f>IF(SUMIFS(Countries!$AD$5:$AD$434,Countries!$A$5:$A$434,"All landing pages",Countries!$D$5:$D$434,$A414,Countries!$AK$5:$AK$434,"&gt;0")=0,"",SUMIFS(Countries!$AK$5:$AK$434,Countries!$A$5:$A$434,"All landing pages",Countries!$D$5:$D$434,$A414,Countries!$AD$5:$AD$434,"&gt;0")/SUMIFS(Countries!$AD$5:$AD$434,Countries!$A$5:$A$434,"All landing pages",Countries!$D$5:$D$434,$A414,Countries!$AK$5:$AK$434,"&gt;0"))</f>
        <v/>
      </c>
      <c r="O414" s="43">
        <f>IF(SUMIFS(Countries!$AE$5:$AE$434,Countries!$A$5:$A$434,"All landing pages",Countries!$D$5:$D$434,$A414,Countries!$AL$5:$AL$434,"&gt;0")=0,"",SUMIFS(Countries!$AL$5:$AL$434,Countries!$A$5:$A$434,"All landing pages",Countries!$D$5:$D$434,$A414,Countries!$AE$5:$AE$434,"&gt;0")/SUMIFS(Countries!$AE$5:$AE$434,Countries!$A$5:$A$434,"All landing pages",Countries!$D$5:$D$434,$A414,Countries!$AL$5:$AL$434,"&gt;0"))</f>
        <v/>
      </c>
      <c r="P414" s="44">
        <f>IF(OR(N414="",O414=""),"",(O414-N414)*100)</f>
        <v/>
      </c>
      <c r="Q414" s="73" t="n"/>
    </row>
    <row r="415">
      <c r="A415" s="40" t="inlineStr">
        <is>
          <t>Croatia</t>
        </is>
      </c>
      <c r="B415" s="43">
        <f>IF(SUMIFS(Countries!$AD$5:$AD$434,Countries!$A$5:$A$434,"All landing pages",Countries!$B$5:$B$434,"Paid Search",Countries!$D$5:$D$434,$A415,Countries!$AK$5:$AK$434,"&gt;0")=0,"",SUMIFS(Countries!$AK$5:$AK$434,Countries!$A$5:$A$434,"All landing pages",Countries!$B$5:$B$434,"Paid Search",Countries!$D$5:$D$434,$A415,Countries!$AD$5:$AD$434,"&gt;0")/SUMIFS(Countries!$AD$5:$AD$434,Countries!$A$5:$A$434,"All landing pages",Countries!$B$5:$B$434,"Paid Search",Countries!$D$5:$D$434,$A415,Countries!$AK$5:$AK$434,"&gt;0"))</f>
        <v/>
      </c>
      <c r="C415" s="43">
        <f>IF(SUMIFS(Countries!$AE$5:$AE$434,Countries!$A$5:$A$434,"All landing pages",Countries!$B$5:$B$434,"Paid Search",Countries!$D$5:$D$434,$A415,Countries!$AL$5:$AL$434,"&gt;0")=0,"",SUMIFS(Countries!$AL$5:$AL$434,Countries!$A$5:$A$434,"All landing pages",Countries!$B$5:$B$434,"Paid Search",Countries!$D$5:$D$434,$A415,Countries!$AE$5:$AE$434,"&gt;0")/SUMIFS(Countries!$AE$5:$AE$434,Countries!$A$5:$A$434,"All landing pages",Countries!$B$5:$B$434,"Paid Search",Countries!$D$5:$D$434,$A415,Countries!$AL$5:$AL$434,"&gt;0"))</f>
        <v/>
      </c>
      <c r="D415" s="44">
        <f>IF(OR(B415="",C415=""),"",(C415-B415)*100)</f>
        <v/>
      </c>
      <c r="E415" s="73" t="n"/>
      <c r="F415" s="43">
        <f>IF(SUMIFS(Countries!$AD$5:$AD$434,Countries!$A$5:$A$434,"All landing pages",Countries!$B$5:$B$434,"Organic",Countries!$D$5:$D$434,$A415,Countries!$AK$5:$AK$434,"&gt;0")=0,"",SUMIFS(Countries!$AK$5:$AK$434,Countries!$A$5:$A$434,"All landing pages",Countries!$B$5:$B$434,"Organic",Countries!$D$5:$D$434,$A415,Countries!$AD$5:$AD$434,"&gt;0")/SUMIFS(Countries!$AD$5:$AD$434,Countries!$A$5:$A$434,"All landing pages",Countries!$B$5:$B$434,"Organic",Countries!$D$5:$D$434,$A415,Countries!$AK$5:$AK$434,"&gt;0"))</f>
        <v/>
      </c>
      <c r="G415" s="43">
        <f>IF(SUMIFS(Countries!$AE$5:$AE$434,Countries!$A$5:$A$434,"All landing pages",Countries!$B$5:$B$434,"Organic",Countries!$D$5:$D$434,$A415,Countries!$AL$5:$AL$434,"&gt;0")=0,"",SUMIFS(Countries!$AL$5:$AL$434,Countries!$A$5:$A$434,"All landing pages",Countries!$B$5:$B$434,"Organic",Countries!$D$5:$D$434,$A415,Countries!$AE$5:$AE$434,"&gt;0")/SUMIFS(Countries!$AE$5:$AE$434,Countries!$A$5:$A$434,"All landing pages",Countries!$B$5:$B$434,"Organic",Countries!$D$5:$D$434,$A415,Countries!$AL$5:$AL$434,"&gt;0"))</f>
        <v/>
      </c>
      <c r="H415" s="44">
        <f>IF(OR(F415="",G415=""),"",(G415-F415)*100)</f>
        <v/>
      </c>
      <c r="I415" s="73" t="n"/>
      <c r="J415" s="43">
        <f>IF(SUMIFS(Countries!$AD$5:$AD$434,Countries!$A$5:$A$434,"All landing pages",Countries!$B$5:$B$434,"Direct",Countries!$D$5:$D$434,$A415,Countries!$AK$5:$AK$434,"&gt;0")=0,"",SUMIFS(Countries!$AK$5:$AK$434,Countries!$A$5:$A$434,"All landing pages",Countries!$B$5:$B$434,"Direct",Countries!$D$5:$D$434,$A415,Countries!$AD$5:$AD$434,"&gt;0")/SUMIFS(Countries!$AD$5:$AD$434,Countries!$A$5:$A$434,"All landing pages",Countries!$B$5:$B$434,"Direct",Countries!$D$5:$D$434,$A415,Countries!$AK$5:$AK$434,"&gt;0"))</f>
        <v/>
      </c>
      <c r="K415" s="43">
        <f>IF(SUMIFS(Countries!$AE$5:$AE$434,Countries!$A$5:$A$434,"All landing pages",Countries!$B$5:$B$434,"Direct",Countries!$D$5:$D$434,$A415,Countries!$AL$5:$AL$434,"&gt;0")=0,"",SUMIFS(Countries!$AL$5:$AL$434,Countries!$A$5:$A$434,"All landing pages",Countries!$B$5:$B$434,"Direct",Countries!$D$5:$D$434,$A415,Countries!$AE$5:$AE$434,"&gt;0")/SUMIFS(Countries!$AE$5:$AE$434,Countries!$A$5:$A$434,"All landing pages",Countries!$B$5:$B$434,"Direct",Countries!$D$5:$D$434,$A415,Countries!$AL$5:$AL$434,"&gt;0"))</f>
        <v/>
      </c>
      <c r="L415" s="44">
        <f>IF(OR(J415="",K415=""),"",(K415-J415)*100)</f>
        <v/>
      </c>
      <c r="M415" s="73" t="n"/>
      <c r="N415" s="43">
        <f>IF(SUMIFS(Countries!$AD$5:$AD$434,Countries!$A$5:$A$434,"All landing pages",Countries!$D$5:$D$434,$A415,Countries!$AK$5:$AK$434,"&gt;0")=0,"",SUMIFS(Countries!$AK$5:$AK$434,Countries!$A$5:$A$434,"All landing pages",Countries!$D$5:$D$434,$A415,Countries!$AD$5:$AD$434,"&gt;0")/SUMIFS(Countries!$AD$5:$AD$434,Countries!$A$5:$A$434,"All landing pages",Countries!$D$5:$D$434,$A415,Countries!$AK$5:$AK$434,"&gt;0"))</f>
        <v/>
      </c>
      <c r="O415" s="43">
        <f>IF(SUMIFS(Countries!$AE$5:$AE$434,Countries!$A$5:$A$434,"All landing pages",Countries!$D$5:$D$434,$A415,Countries!$AL$5:$AL$434,"&gt;0")=0,"",SUMIFS(Countries!$AL$5:$AL$434,Countries!$A$5:$A$434,"All landing pages",Countries!$D$5:$D$434,$A415,Countries!$AE$5:$AE$434,"&gt;0")/SUMIFS(Countries!$AE$5:$AE$434,Countries!$A$5:$A$434,"All landing pages",Countries!$D$5:$D$434,$A415,Countries!$AL$5:$AL$434,"&gt;0"))</f>
        <v/>
      </c>
      <c r="P415" s="44">
        <f>IF(OR(N415="",O415=""),"",(O415-N415)*100)</f>
        <v/>
      </c>
      <c r="Q415" s="73" t="n"/>
    </row>
    <row r="416">
      <c r="A416" s="56" t="inlineStr">
        <is>
          <t>Honduras</t>
        </is>
      </c>
      <c r="B416" s="43">
        <f>IF(SUMIFS(Countries!$AD$5:$AD$434,Countries!$A$5:$A$434,"All landing pages",Countries!$B$5:$B$434,"Paid Search",Countries!$D$5:$D$434,$A416,Countries!$AK$5:$AK$434,"&gt;0")=0,"",SUMIFS(Countries!$AK$5:$AK$434,Countries!$A$5:$A$434,"All landing pages",Countries!$B$5:$B$434,"Paid Search",Countries!$D$5:$D$434,$A416,Countries!$AD$5:$AD$434,"&gt;0")/SUMIFS(Countries!$AD$5:$AD$434,Countries!$A$5:$A$434,"All landing pages",Countries!$B$5:$B$434,"Paid Search",Countries!$D$5:$D$434,$A416,Countries!$AK$5:$AK$434,"&gt;0"))</f>
        <v/>
      </c>
      <c r="C416" s="43">
        <f>IF(SUMIFS(Countries!$AE$5:$AE$434,Countries!$A$5:$A$434,"All landing pages",Countries!$B$5:$B$434,"Paid Search",Countries!$D$5:$D$434,$A416,Countries!$AL$5:$AL$434,"&gt;0")=0,"",SUMIFS(Countries!$AL$5:$AL$434,Countries!$A$5:$A$434,"All landing pages",Countries!$B$5:$B$434,"Paid Search",Countries!$D$5:$D$434,$A416,Countries!$AE$5:$AE$434,"&gt;0")/SUMIFS(Countries!$AE$5:$AE$434,Countries!$A$5:$A$434,"All landing pages",Countries!$B$5:$B$434,"Paid Search",Countries!$D$5:$D$434,$A416,Countries!$AL$5:$AL$434,"&gt;0"))</f>
        <v/>
      </c>
      <c r="D416" s="44">
        <f>IF(OR(B416="",C416=""),"",(C416-B416)*100)</f>
        <v/>
      </c>
      <c r="E416" s="73" t="n"/>
      <c r="F416" s="43">
        <f>IF(SUMIFS(Countries!$AD$5:$AD$434,Countries!$A$5:$A$434,"All landing pages",Countries!$B$5:$B$434,"Organic",Countries!$D$5:$D$434,$A416,Countries!$AK$5:$AK$434,"&gt;0")=0,"",SUMIFS(Countries!$AK$5:$AK$434,Countries!$A$5:$A$434,"All landing pages",Countries!$B$5:$B$434,"Organic",Countries!$D$5:$D$434,$A416,Countries!$AD$5:$AD$434,"&gt;0")/SUMIFS(Countries!$AD$5:$AD$434,Countries!$A$5:$A$434,"All landing pages",Countries!$B$5:$B$434,"Organic",Countries!$D$5:$D$434,$A416,Countries!$AK$5:$AK$434,"&gt;0"))</f>
        <v/>
      </c>
      <c r="G416" s="43">
        <f>IF(SUMIFS(Countries!$AE$5:$AE$434,Countries!$A$5:$A$434,"All landing pages",Countries!$B$5:$B$434,"Organic",Countries!$D$5:$D$434,$A416,Countries!$AL$5:$AL$434,"&gt;0")=0,"",SUMIFS(Countries!$AL$5:$AL$434,Countries!$A$5:$A$434,"All landing pages",Countries!$B$5:$B$434,"Organic",Countries!$D$5:$D$434,$A416,Countries!$AE$5:$AE$434,"&gt;0")/SUMIFS(Countries!$AE$5:$AE$434,Countries!$A$5:$A$434,"All landing pages",Countries!$B$5:$B$434,"Organic",Countries!$D$5:$D$434,$A416,Countries!$AL$5:$AL$434,"&gt;0"))</f>
        <v/>
      </c>
      <c r="H416" s="44">
        <f>IF(OR(F416="",G416=""),"",(G416-F416)*100)</f>
        <v/>
      </c>
      <c r="I416" s="73" t="n"/>
      <c r="J416" s="43">
        <f>IF(SUMIFS(Countries!$AD$5:$AD$434,Countries!$A$5:$A$434,"All landing pages",Countries!$B$5:$B$434,"Direct",Countries!$D$5:$D$434,$A416,Countries!$AK$5:$AK$434,"&gt;0")=0,"",SUMIFS(Countries!$AK$5:$AK$434,Countries!$A$5:$A$434,"All landing pages",Countries!$B$5:$B$434,"Direct",Countries!$D$5:$D$434,$A416,Countries!$AD$5:$AD$434,"&gt;0")/SUMIFS(Countries!$AD$5:$AD$434,Countries!$A$5:$A$434,"All landing pages",Countries!$B$5:$B$434,"Direct",Countries!$D$5:$D$434,$A416,Countries!$AK$5:$AK$434,"&gt;0"))</f>
        <v/>
      </c>
      <c r="K416" s="43">
        <f>IF(SUMIFS(Countries!$AE$5:$AE$434,Countries!$A$5:$A$434,"All landing pages",Countries!$B$5:$B$434,"Direct",Countries!$D$5:$D$434,$A416,Countries!$AL$5:$AL$434,"&gt;0")=0,"",SUMIFS(Countries!$AL$5:$AL$434,Countries!$A$5:$A$434,"All landing pages",Countries!$B$5:$B$434,"Direct",Countries!$D$5:$D$434,$A416,Countries!$AE$5:$AE$434,"&gt;0")/SUMIFS(Countries!$AE$5:$AE$434,Countries!$A$5:$A$434,"All landing pages",Countries!$B$5:$B$434,"Direct",Countries!$D$5:$D$434,$A416,Countries!$AL$5:$AL$434,"&gt;0"))</f>
        <v/>
      </c>
      <c r="L416" s="44">
        <f>IF(OR(J416="",K416=""),"",(K416-J416)*100)</f>
        <v/>
      </c>
      <c r="M416" s="73" t="n"/>
      <c r="N416" s="43">
        <f>IF(SUMIFS(Countries!$AD$5:$AD$434,Countries!$A$5:$A$434,"All landing pages",Countries!$D$5:$D$434,$A416,Countries!$AK$5:$AK$434,"&gt;0")=0,"",SUMIFS(Countries!$AK$5:$AK$434,Countries!$A$5:$A$434,"All landing pages",Countries!$D$5:$D$434,$A416,Countries!$AD$5:$AD$434,"&gt;0")/SUMIFS(Countries!$AD$5:$AD$434,Countries!$A$5:$A$434,"All landing pages",Countries!$D$5:$D$434,$A416,Countries!$AK$5:$AK$434,"&gt;0"))</f>
        <v/>
      </c>
      <c r="O416" s="43">
        <f>IF(SUMIFS(Countries!$AE$5:$AE$434,Countries!$A$5:$A$434,"All landing pages",Countries!$D$5:$D$434,$A416,Countries!$AL$5:$AL$434,"&gt;0")=0,"",SUMIFS(Countries!$AL$5:$AL$434,Countries!$A$5:$A$434,"All landing pages",Countries!$D$5:$D$434,$A416,Countries!$AE$5:$AE$434,"&gt;0")/SUMIFS(Countries!$AE$5:$AE$434,Countries!$A$5:$A$434,"All landing pages",Countries!$D$5:$D$434,$A416,Countries!$AL$5:$AL$434,"&gt;0"))</f>
        <v/>
      </c>
      <c r="P416" s="44">
        <f>IF(OR(N416="",O416=""),"",(O416-N416)*100)</f>
        <v/>
      </c>
      <c r="Q416" s="73" t="n"/>
    </row>
    <row r="417">
      <c r="A417" s="40" t="inlineStr">
        <is>
          <t>Israel</t>
        </is>
      </c>
      <c r="B417" s="43">
        <f>IF(SUMIFS(Countries!$AD$5:$AD$434,Countries!$A$5:$A$434,"All landing pages",Countries!$B$5:$B$434,"Paid Search",Countries!$D$5:$D$434,$A417,Countries!$AK$5:$AK$434,"&gt;0")=0,"",SUMIFS(Countries!$AK$5:$AK$434,Countries!$A$5:$A$434,"All landing pages",Countries!$B$5:$B$434,"Paid Search",Countries!$D$5:$D$434,$A417,Countries!$AD$5:$AD$434,"&gt;0")/SUMIFS(Countries!$AD$5:$AD$434,Countries!$A$5:$A$434,"All landing pages",Countries!$B$5:$B$434,"Paid Search",Countries!$D$5:$D$434,$A417,Countries!$AK$5:$AK$434,"&gt;0"))</f>
        <v/>
      </c>
      <c r="C417" s="43">
        <f>IF(SUMIFS(Countries!$AE$5:$AE$434,Countries!$A$5:$A$434,"All landing pages",Countries!$B$5:$B$434,"Paid Search",Countries!$D$5:$D$434,$A417,Countries!$AL$5:$AL$434,"&gt;0")=0,"",SUMIFS(Countries!$AL$5:$AL$434,Countries!$A$5:$A$434,"All landing pages",Countries!$B$5:$B$434,"Paid Search",Countries!$D$5:$D$434,$A417,Countries!$AE$5:$AE$434,"&gt;0")/SUMIFS(Countries!$AE$5:$AE$434,Countries!$A$5:$A$434,"All landing pages",Countries!$B$5:$B$434,"Paid Search",Countries!$D$5:$D$434,$A417,Countries!$AL$5:$AL$434,"&gt;0"))</f>
        <v/>
      </c>
      <c r="D417" s="44">
        <f>IF(OR(B417="",C417=""),"",(C417-B417)*100)</f>
        <v/>
      </c>
      <c r="E417" s="73" t="n"/>
      <c r="F417" s="43">
        <f>IF(SUMIFS(Countries!$AD$5:$AD$434,Countries!$A$5:$A$434,"All landing pages",Countries!$B$5:$B$434,"Organic",Countries!$D$5:$D$434,$A417,Countries!$AK$5:$AK$434,"&gt;0")=0,"",SUMIFS(Countries!$AK$5:$AK$434,Countries!$A$5:$A$434,"All landing pages",Countries!$B$5:$B$434,"Organic",Countries!$D$5:$D$434,$A417,Countries!$AD$5:$AD$434,"&gt;0")/SUMIFS(Countries!$AD$5:$AD$434,Countries!$A$5:$A$434,"All landing pages",Countries!$B$5:$B$434,"Organic",Countries!$D$5:$D$434,$A417,Countries!$AK$5:$AK$434,"&gt;0"))</f>
        <v/>
      </c>
      <c r="G417" s="43">
        <f>IF(SUMIFS(Countries!$AE$5:$AE$434,Countries!$A$5:$A$434,"All landing pages",Countries!$B$5:$B$434,"Organic",Countries!$D$5:$D$434,$A417,Countries!$AL$5:$AL$434,"&gt;0")=0,"",SUMIFS(Countries!$AL$5:$AL$434,Countries!$A$5:$A$434,"All landing pages",Countries!$B$5:$B$434,"Organic",Countries!$D$5:$D$434,$A417,Countries!$AE$5:$AE$434,"&gt;0")/SUMIFS(Countries!$AE$5:$AE$434,Countries!$A$5:$A$434,"All landing pages",Countries!$B$5:$B$434,"Organic",Countries!$D$5:$D$434,$A417,Countries!$AL$5:$AL$434,"&gt;0"))</f>
        <v/>
      </c>
      <c r="H417" s="44">
        <f>IF(OR(F417="",G417=""),"",(G417-F417)*100)</f>
        <v/>
      </c>
      <c r="I417" s="73" t="n"/>
      <c r="J417" s="43">
        <f>IF(SUMIFS(Countries!$AD$5:$AD$434,Countries!$A$5:$A$434,"All landing pages",Countries!$B$5:$B$434,"Direct",Countries!$D$5:$D$434,$A417,Countries!$AK$5:$AK$434,"&gt;0")=0,"",SUMIFS(Countries!$AK$5:$AK$434,Countries!$A$5:$A$434,"All landing pages",Countries!$B$5:$B$434,"Direct",Countries!$D$5:$D$434,$A417,Countries!$AD$5:$AD$434,"&gt;0")/SUMIFS(Countries!$AD$5:$AD$434,Countries!$A$5:$A$434,"All landing pages",Countries!$B$5:$B$434,"Direct",Countries!$D$5:$D$434,$A417,Countries!$AK$5:$AK$434,"&gt;0"))</f>
        <v/>
      </c>
      <c r="K417" s="43">
        <f>IF(SUMIFS(Countries!$AE$5:$AE$434,Countries!$A$5:$A$434,"All landing pages",Countries!$B$5:$B$434,"Direct",Countries!$D$5:$D$434,$A417,Countries!$AL$5:$AL$434,"&gt;0")=0,"",SUMIFS(Countries!$AL$5:$AL$434,Countries!$A$5:$A$434,"All landing pages",Countries!$B$5:$B$434,"Direct",Countries!$D$5:$D$434,$A417,Countries!$AE$5:$AE$434,"&gt;0")/SUMIFS(Countries!$AE$5:$AE$434,Countries!$A$5:$A$434,"All landing pages",Countries!$B$5:$B$434,"Direct",Countries!$D$5:$D$434,$A417,Countries!$AL$5:$AL$434,"&gt;0"))</f>
        <v/>
      </c>
      <c r="L417" s="44">
        <f>IF(OR(J417="",K417=""),"",(K417-J417)*100)</f>
        <v/>
      </c>
      <c r="M417" s="73" t="n"/>
      <c r="N417" s="43">
        <f>IF(SUMIFS(Countries!$AD$5:$AD$434,Countries!$A$5:$A$434,"All landing pages",Countries!$D$5:$D$434,$A417,Countries!$AK$5:$AK$434,"&gt;0")=0,"",SUMIFS(Countries!$AK$5:$AK$434,Countries!$A$5:$A$434,"All landing pages",Countries!$D$5:$D$434,$A417,Countries!$AD$5:$AD$434,"&gt;0")/SUMIFS(Countries!$AD$5:$AD$434,Countries!$A$5:$A$434,"All landing pages",Countries!$D$5:$D$434,$A417,Countries!$AK$5:$AK$434,"&gt;0"))</f>
        <v/>
      </c>
      <c r="O417" s="43">
        <f>IF(SUMIFS(Countries!$AE$5:$AE$434,Countries!$A$5:$A$434,"All landing pages",Countries!$D$5:$D$434,$A417,Countries!$AL$5:$AL$434,"&gt;0")=0,"",SUMIFS(Countries!$AL$5:$AL$434,Countries!$A$5:$A$434,"All landing pages",Countries!$D$5:$D$434,$A417,Countries!$AE$5:$AE$434,"&gt;0")/SUMIFS(Countries!$AE$5:$AE$434,Countries!$A$5:$A$434,"All landing pages",Countries!$D$5:$D$434,$A417,Countries!$AL$5:$AL$434,"&gt;0"))</f>
        <v/>
      </c>
      <c r="P417" s="44">
        <f>IF(OR(N417="",O417=""),"",(O417-N417)*100)</f>
        <v/>
      </c>
      <c r="Q417" s="73" t="n"/>
    </row>
    <row r="418">
      <c r="A418" s="56" t="inlineStr">
        <is>
          <t>Philippines</t>
        </is>
      </c>
      <c r="B418" s="43">
        <f>IF(SUMIFS(Countries!$AD$5:$AD$434,Countries!$A$5:$A$434,"All landing pages",Countries!$B$5:$B$434,"Paid Search",Countries!$D$5:$D$434,$A418,Countries!$AK$5:$AK$434,"&gt;0")=0,"",SUMIFS(Countries!$AK$5:$AK$434,Countries!$A$5:$A$434,"All landing pages",Countries!$B$5:$B$434,"Paid Search",Countries!$D$5:$D$434,$A418,Countries!$AD$5:$AD$434,"&gt;0")/SUMIFS(Countries!$AD$5:$AD$434,Countries!$A$5:$A$434,"All landing pages",Countries!$B$5:$B$434,"Paid Search",Countries!$D$5:$D$434,$A418,Countries!$AK$5:$AK$434,"&gt;0"))</f>
        <v/>
      </c>
      <c r="C418" s="43">
        <f>IF(SUMIFS(Countries!$AE$5:$AE$434,Countries!$A$5:$A$434,"All landing pages",Countries!$B$5:$B$434,"Paid Search",Countries!$D$5:$D$434,$A418,Countries!$AL$5:$AL$434,"&gt;0")=0,"",SUMIFS(Countries!$AL$5:$AL$434,Countries!$A$5:$A$434,"All landing pages",Countries!$B$5:$B$434,"Paid Search",Countries!$D$5:$D$434,$A418,Countries!$AE$5:$AE$434,"&gt;0")/SUMIFS(Countries!$AE$5:$AE$434,Countries!$A$5:$A$434,"All landing pages",Countries!$B$5:$B$434,"Paid Search",Countries!$D$5:$D$434,$A418,Countries!$AL$5:$AL$434,"&gt;0"))</f>
        <v/>
      </c>
      <c r="D418" s="44">
        <f>IF(OR(B418="",C418=""),"",(C418-B418)*100)</f>
        <v/>
      </c>
      <c r="E418" s="73" t="n"/>
      <c r="F418" s="43">
        <f>IF(SUMIFS(Countries!$AD$5:$AD$434,Countries!$A$5:$A$434,"All landing pages",Countries!$B$5:$B$434,"Organic",Countries!$D$5:$D$434,$A418,Countries!$AK$5:$AK$434,"&gt;0")=0,"",SUMIFS(Countries!$AK$5:$AK$434,Countries!$A$5:$A$434,"All landing pages",Countries!$B$5:$B$434,"Organic",Countries!$D$5:$D$434,$A418,Countries!$AD$5:$AD$434,"&gt;0")/SUMIFS(Countries!$AD$5:$AD$434,Countries!$A$5:$A$434,"All landing pages",Countries!$B$5:$B$434,"Organic",Countries!$D$5:$D$434,$A418,Countries!$AK$5:$AK$434,"&gt;0"))</f>
        <v/>
      </c>
      <c r="G418" s="43">
        <f>IF(SUMIFS(Countries!$AE$5:$AE$434,Countries!$A$5:$A$434,"All landing pages",Countries!$B$5:$B$434,"Organic",Countries!$D$5:$D$434,$A418,Countries!$AL$5:$AL$434,"&gt;0")=0,"",SUMIFS(Countries!$AL$5:$AL$434,Countries!$A$5:$A$434,"All landing pages",Countries!$B$5:$B$434,"Organic",Countries!$D$5:$D$434,$A418,Countries!$AE$5:$AE$434,"&gt;0")/SUMIFS(Countries!$AE$5:$AE$434,Countries!$A$5:$A$434,"All landing pages",Countries!$B$5:$B$434,"Organic",Countries!$D$5:$D$434,$A418,Countries!$AL$5:$AL$434,"&gt;0"))</f>
        <v/>
      </c>
      <c r="H418" s="44">
        <f>IF(OR(F418="",G418=""),"",(G418-F418)*100)</f>
        <v/>
      </c>
      <c r="I418" s="73" t="n"/>
      <c r="J418" s="43">
        <f>IF(SUMIFS(Countries!$AD$5:$AD$434,Countries!$A$5:$A$434,"All landing pages",Countries!$B$5:$B$434,"Direct",Countries!$D$5:$D$434,$A418,Countries!$AK$5:$AK$434,"&gt;0")=0,"",SUMIFS(Countries!$AK$5:$AK$434,Countries!$A$5:$A$434,"All landing pages",Countries!$B$5:$B$434,"Direct",Countries!$D$5:$D$434,$A418,Countries!$AD$5:$AD$434,"&gt;0")/SUMIFS(Countries!$AD$5:$AD$434,Countries!$A$5:$A$434,"All landing pages",Countries!$B$5:$B$434,"Direct",Countries!$D$5:$D$434,$A418,Countries!$AK$5:$AK$434,"&gt;0"))</f>
        <v/>
      </c>
      <c r="K418" s="43">
        <f>IF(SUMIFS(Countries!$AE$5:$AE$434,Countries!$A$5:$A$434,"All landing pages",Countries!$B$5:$B$434,"Direct",Countries!$D$5:$D$434,$A418,Countries!$AL$5:$AL$434,"&gt;0")=0,"",SUMIFS(Countries!$AL$5:$AL$434,Countries!$A$5:$A$434,"All landing pages",Countries!$B$5:$B$434,"Direct",Countries!$D$5:$D$434,$A418,Countries!$AE$5:$AE$434,"&gt;0")/SUMIFS(Countries!$AE$5:$AE$434,Countries!$A$5:$A$434,"All landing pages",Countries!$B$5:$B$434,"Direct",Countries!$D$5:$D$434,$A418,Countries!$AL$5:$AL$434,"&gt;0"))</f>
        <v/>
      </c>
      <c r="L418" s="44">
        <f>IF(OR(J418="",K418=""),"",(K418-J418)*100)</f>
        <v/>
      </c>
      <c r="M418" s="73" t="n"/>
      <c r="N418" s="43">
        <f>IF(SUMIFS(Countries!$AD$5:$AD$434,Countries!$A$5:$A$434,"All landing pages",Countries!$D$5:$D$434,$A418,Countries!$AK$5:$AK$434,"&gt;0")=0,"",SUMIFS(Countries!$AK$5:$AK$434,Countries!$A$5:$A$434,"All landing pages",Countries!$D$5:$D$434,$A418,Countries!$AD$5:$AD$434,"&gt;0")/SUMIFS(Countries!$AD$5:$AD$434,Countries!$A$5:$A$434,"All landing pages",Countries!$D$5:$D$434,$A418,Countries!$AK$5:$AK$434,"&gt;0"))</f>
        <v/>
      </c>
      <c r="O418" s="43">
        <f>IF(SUMIFS(Countries!$AE$5:$AE$434,Countries!$A$5:$A$434,"All landing pages",Countries!$D$5:$D$434,$A418,Countries!$AL$5:$AL$434,"&gt;0")=0,"",SUMIFS(Countries!$AL$5:$AL$434,Countries!$A$5:$A$434,"All landing pages",Countries!$D$5:$D$434,$A418,Countries!$AE$5:$AE$434,"&gt;0")/SUMIFS(Countries!$AE$5:$AE$434,Countries!$A$5:$A$434,"All landing pages",Countries!$D$5:$D$434,$A418,Countries!$AL$5:$AL$434,"&gt;0"))</f>
        <v/>
      </c>
      <c r="P418" s="44">
        <f>IF(OR(N418="",O418=""),"",(O418-N418)*100)</f>
        <v/>
      </c>
      <c r="Q418" s="73" t="n"/>
    </row>
    <row r="419">
      <c r="A419" s="40" t="inlineStr">
        <is>
          <t>Ukraine</t>
        </is>
      </c>
      <c r="B419" s="43">
        <f>IF(SUMIFS(Countries!$AD$5:$AD$434,Countries!$A$5:$A$434,"All landing pages",Countries!$B$5:$B$434,"Paid Search",Countries!$D$5:$D$434,$A419,Countries!$AK$5:$AK$434,"&gt;0")=0,"",SUMIFS(Countries!$AK$5:$AK$434,Countries!$A$5:$A$434,"All landing pages",Countries!$B$5:$B$434,"Paid Search",Countries!$D$5:$D$434,$A419,Countries!$AD$5:$AD$434,"&gt;0")/SUMIFS(Countries!$AD$5:$AD$434,Countries!$A$5:$A$434,"All landing pages",Countries!$B$5:$B$434,"Paid Search",Countries!$D$5:$D$434,$A419,Countries!$AK$5:$AK$434,"&gt;0"))</f>
        <v/>
      </c>
      <c r="C419" s="43">
        <f>IF(SUMIFS(Countries!$AE$5:$AE$434,Countries!$A$5:$A$434,"All landing pages",Countries!$B$5:$B$434,"Paid Search",Countries!$D$5:$D$434,$A419,Countries!$AL$5:$AL$434,"&gt;0")=0,"",SUMIFS(Countries!$AL$5:$AL$434,Countries!$A$5:$A$434,"All landing pages",Countries!$B$5:$B$434,"Paid Search",Countries!$D$5:$D$434,$A419,Countries!$AE$5:$AE$434,"&gt;0")/SUMIFS(Countries!$AE$5:$AE$434,Countries!$A$5:$A$434,"All landing pages",Countries!$B$5:$B$434,"Paid Search",Countries!$D$5:$D$434,$A419,Countries!$AL$5:$AL$434,"&gt;0"))</f>
        <v/>
      </c>
      <c r="D419" s="44">
        <f>IF(OR(B419="",C419=""),"",(C419-B419)*100)</f>
        <v/>
      </c>
      <c r="E419" s="73" t="n"/>
      <c r="F419" s="43">
        <f>IF(SUMIFS(Countries!$AD$5:$AD$434,Countries!$A$5:$A$434,"All landing pages",Countries!$B$5:$B$434,"Organic",Countries!$D$5:$D$434,$A419,Countries!$AK$5:$AK$434,"&gt;0")=0,"",SUMIFS(Countries!$AK$5:$AK$434,Countries!$A$5:$A$434,"All landing pages",Countries!$B$5:$B$434,"Organic",Countries!$D$5:$D$434,$A419,Countries!$AD$5:$AD$434,"&gt;0")/SUMIFS(Countries!$AD$5:$AD$434,Countries!$A$5:$A$434,"All landing pages",Countries!$B$5:$B$434,"Organic",Countries!$D$5:$D$434,$A419,Countries!$AK$5:$AK$434,"&gt;0"))</f>
        <v/>
      </c>
      <c r="G419" s="43">
        <f>IF(SUMIFS(Countries!$AE$5:$AE$434,Countries!$A$5:$A$434,"All landing pages",Countries!$B$5:$B$434,"Organic",Countries!$D$5:$D$434,$A419,Countries!$AL$5:$AL$434,"&gt;0")=0,"",SUMIFS(Countries!$AL$5:$AL$434,Countries!$A$5:$A$434,"All landing pages",Countries!$B$5:$B$434,"Organic",Countries!$D$5:$D$434,$A419,Countries!$AE$5:$AE$434,"&gt;0")/SUMIFS(Countries!$AE$5:$AE$434,Countries!$A$5:$A$434,"All landing pages",Countries!$B$5:$B$434,"Organic",Countries!$D$5:$D$434,$A419,Countries!$AL$5:$AL$434,"&gt;0"))</f>
        <v/>
      </c>
      <c r="H419" s="44">
        <f>IF(OR(F419="",G419=""),"",(G419-F419)*100)</f>
        <v/>
      </c>
      <c r="I419" s="73" t="n"/>
      <c r="J419" s="43">
        <f>IF(SUMIFS(Countries!$AD$5:$AD$434,Countries!$A$5:$A$434,"All landing pages",Countries!$B$5:$B$434,"Direct",Countries!$D$5:$D$434,$A419,Countries!$AK$5:$AK$434,"&gt;0")=0,"",SUMIFS(Countries!$AK$5:$AK$434,Countries!$A$5:$A$434,"All landing pages",Countries!$B$5:$B$434,"Direct",Countries!$D$5:$D$434,$A419,Countries!$AD$5:$AD$434,"&gt;0")/SUMIFS(Countries!$AD$5:$AD$434,Countries!$A$5:$A$434,"All landing pages",Countries!$B$5:$B$434,"Direct",Countries!$D$5:$D$434,$A419,Countries!$AK$5:$AK$434,"&gt;0"))</f>
        <v/>
      </c>
      <c r="K419" s="43">
        <f>IF(SUMIFS(Countries!$AE$5:$AE$434,Countries!$A$5:$A$434,"All landing pages",Countries!$B$5:$B$434,"Direct",Countries!$D$5:$D$434,$A419,Countries!$AL$5:$AL$434,"&gt;0")=0,"",SUMIFS(Countries!$AL$5:$AL$434,Countries!$A$5:$A$434,"All landing pages",Countries!$B$5:$B$434,"Direct",Countries!$D$5:$D$434,$A419,Countries!$AE$5:$AE$434,"&gt;0")/SUMIFS(Countries!$AE$5:$AE$434,Countries!$A$5:$A$434,"All landing pages",Countries!$B$5:$B$434,"Direct",Countries!$D$5:$D$434,$A419,Countries!$AL$5:$AL$434,"&gt;0"))</f>
        <v/>
      </c>
      <c r="L419" s="44">
        <f>IF(OR(J419="",K419=""),"",(K419-J419)*100)</f>
        <v/>
      </c>
      <c r="M419" s="73" t="n"/>
      <c r="N419" s="43">
        <f>IF(SUMIFS(Countries!$AD$5:$AD$434,Countries!$A$5:$A$434,"All landing pages",Countries!$D$5:$D$434,$A419,Countries!$AK$5:$AK$434,"&gt;0")=0,"",SUMIFS(Countries!$AK$5:$AK$434,Countries!$A$5:$A$434,"All landing pages",Countries!$D$5:$D$434,$A419,Countries!$AD$5:$AD$434,"&gt;0")/SUMIFS(Countries!$AD$5:$AD$434,Countries!$A$5:$A$434,"All landing pages",Countries!$D$5:$D$434,$A419,Countries!$AK$5:$AK$434,"&gt;0"))</f>
        <v/>
      </c>
      <c r="O419" s="43">
        <f>IF(SUMIFS(Countries!$AE$5:$AE$434,Countries!$A$5:$A$434,"All landing pages",Countries!$D$5:$D$434,$A419,Countries!$AL$5:$AL$434,"&gt;0")=0,"",SUMIFS(Countries!$AL$5:$AL$434,Countries!$A$5:$A$434,"All landing pages",Countries!$D$5:$D$434,$A419,Countries!$AE$5:$AE$434,"&gt;0")/SUMIFS(Countries!$AE$5:$AE$434,Countries!$A$5:$A$434,"All landing pages",Countries!$D$5:$D$434,$A419,Countries!$AL$5:$AL$434,"&gt;0"))</f>
        <v/>
      </c>
      <c r="P419" s="44">
        <f>IF(OR(N419="",O419=""),"",(O419-N419)*100)</f>
        <v/>
      </c>
      <c r="Q419" s="73" t="n"/>
    </row>
    <row r="422">
      <c r="A422" s="39" t="inlineStr">
        <is>
          <t>Purchases</t>
        </is>
      </c>
    </row>
    <row r="423">
      <c r="A423" s="75" t="inlineStr">
        <is>
          <t>Country</t>
        </is>
      </c>
      <c r="B423" s="28" t="inlineStr">
        <is>
          <t>Paid Search</t>
        </is>
      </c>
      <c r="C423" s="19" t="n"/>
      <c r="D423" s="19" t="n"/>
      <c r="E423" s="19" t="n"/>
      <c r="F423" s="28" t="inlineStr">
        <is>
          <t>Organic</t>
        </is>
      </c>
      <c r="G423" s="19" t="n"/>
      <c r="H423" s="19" t="n"/>
      <c r="I423" s="19" t="n"/>
      <c r="J423" s="28" t="inlineStr">
        <is>
          <t>Direct</t>
        </is>
      </c>
      <c r="K423" s="19" t="n"/>
      <c r="L423" s="19" t="n"/>
      <c r="M423" s="19" t="n"/>
      <c r="N423" s="27" t="inlineStr">
        <is>
          <t>Total</t>
        </is>
      </c>
      <c r="O423" s="17" t="n"/>
      <c r="P423" s="17" t="n"/>
      <c r="Q423" s="17" t="n"/>
    </row>
    <row r="424">
      <c r="A424" s="15" t="n"/>
      <c r="B424" s="27" t="inlineStr">
        <is>
          <t>1-23Aug25</t>
        </is>
      </c>
      <c r="C424" s="27" t="inlineStr">
        <is>
          <t>1-23Aug26</t>
        </is>
      </c>
      <c r="D424" s="27" t="inlineStr">
        <is>
          <t>Δ</t>
        </is>
      </c>
      <c r="E424" s="27" t="inlineStr">
        <is>
          <t>% Δ</t>
        </is>
      </c>
      <c r="F424" s="27" t="inlineStr">
        <is>
          <t>1-23Aug25</t>
        </is>
      </c>
      <c r="G424" s="27" t="inlineStr">
        <is>
          <t>1-23Aug26</t>
        </is>
      </c>
      <c r="H424" s="27" t="inlineStr">
        <is>
          <t>Δ</t>
        </is>
      </c>
      <c r="I424" s="27" t="inlineStr">
        <is>
          <t>% Δ</t>
        </is>
      </c>
      <c r="J424" s="27" t="inlineStr">
        <is>
          <t>1-23Aug25</t>
        </is>
      </c>
      <c r="K424" s="27" t="inlineStr">
        <is>
          <t>1-23Aug26</t>
        </is>
      </c>
      <c r="L424" s="27" t="inlineStr">
        <is>
          <t>Δ</t>
        </is>
      </c>
      <c r="M424" s="27" t="inlineStr">
        <is>
          <t>% Δ</t>
        </is>
      </c>
      <c r="N424" s="27" t="inlineStr">
        <is>
          <t>1-23Aug25</t>
        </is>
      </c>
      <c r="O424" s="27" t="inlineStr">
        <is>
          <t>1-23Aug26</t>
        </is>
      </c>
      <c r="P424" s="27" t="inlineStr">
        <is>
          <t>Δ</t>
        </is>
      </c>
      <c r="Q424" s="27" t="inlineStr">
        <is>
          <t>% Δ</t>
        </is>
      </c>
    </row>
    <row r="425">
      <c r="A425" s="40" t="inlineStr">
        <is>
          <t>United Kingdom</t>
        </is>
      </c>
      <c r="B425" s="41">
        <f>IF(SUMIFS(Countries!$AR$5:$AR$434,Countries!$A$5:$A$434,"All landing pages",Countries!$B$5:$B$434,"Paid Search",Countries!$D$5:$D$434,$A425)=0,"",SUMIFS(Countries!$AR$5:$AR$434,Countries!$A$5:$A$434,"All landing pages",Countries!$B$5:$B$434,"Paid Search",Countries!$D$5:$D$434,$A425))</f>
        <v/>
      </c>
      <c r="C425" s="41">
        <f>IF(SUMIFS(Countries!$AS$5:$AS$434,Countries!$A$5:$A$434,"All landing pages",Countries!$B$5:$B$434,"Paid Search",Countries!$D$5:$D$434,$A425)=0,"",SUMIFS(Countries!$AS$5:$AS$434,Countries!$A$5:$A$434,"All landing pages",Countries!$B$5:$B$434,"Paid Search",Countries!$D$5:$D$434,$A425))</f>
        <v/>
      </c>
      <c r="D425" s="69">
        <f>IF(OR(C425="",B425="",B425=0,C425=0),"",C425-B425)</f>
        <v/>
      </c>
      <c r="E425" s="42">
        <f>IF(OR(C425="",B425="",B425=0,C425=0),"",C425/B425-1)</f>
        <v/>
      </c>
      <c r="F425" s="41">
        <f>IF(SUMIFS(Countries!$AR$5:$AR$434,Countries!$A$5:$A$434,"All landing pages",Countries!$B$5:$B$434,"Organic",Countries!$D$5:$D$434,$A425)=0,"",SUMIFS(Countries!$AR$5:$AR$434,Countries!$A$5:$A$434,"All landing pages",Countries!$B$5:$B$434,"Organic",Countries!$D$5:$D$434,$A425))</f>
        <v/>
      </c>
      <c r="G425" s="41">
        <f>IF(SUMIFS(Countries!$AS$5:$AS$434,Countries!$A$5:$A$434,"All landing pages",Countries!$B$5:$B$434,"Organic",Countries!$D$5:$D$434,$A425)=0,"",SUMIFS(Countries!$AS$5:$AS$434,Countries!$A$5:$A$434,"All landing pages",Countries!$B$5:$B$434,"Organic",Countries!$D$5:$D$434,$A425))</f>
        <v/>
      </c>
      <c r="H425" s="69">
        <f>IF(OR(G425="",F425="",F425=0,G425=0),"",G425-F425)</f>
        <v/>
      </c>
      <c r="I425" s="42">
        <f>IF(OR(G425="",F425="",F425=0,G425=0),"",G425/F425-1)</f>
        <v/>
      </c>
      <c r="J425" s="41">
        <f>IF(SUMIFS(Countries!$AR$5:$AR$434,Countries!$A$5:$A$434,"All landing pages",Countries!$B$5:$B$434,"Direct",Countries!$D$5:$D$434,$A425)=0,"",SUMIFS(Countries!$AR$5:$AR$434,Countries!$A$5:$A$434,"All landing pages",Countries!$B$5:$B$434,"Direct",Countries!$D$5:$D$434,$A425))</f>
        <v/>
      </c>
      <c r="K425" s="41">
        <f>IF(SUMIFS(Countries!$AS$5:$AS$434,Countries!$A$5:$A$434,"All landing pages",Countries!$B$5:$B$434,"Direct",Countries!$D$5:$D$434,$A425)=0,"",SUMIFS(Countries!$AS$5:$AS$434,Countries!$A$5:$A$434,"All landing pages",Countries!$B$5:$B$434,"Direct",Countries!$D$5:$D$434,$A425))</f>
        <v/>
      </c>
      <c r="L425" s="69">
        <f>IF(OR(K425="",J425="",J425=0,K425=0),"",K425-J425)</f>
        <v/>
      </c>
      <c r="M425" s="42">
        <f>IF(OR(K425="",J425="",J425=0,K425=0),"",K425/J425-1)</f>
        <v/>
      </c>
      <c r="N425" s="41">
        <f>IF(SUM(B425,F425,J425)=0,"",SUM(B425,F425,J425))</f>
        <v/>
      </c>
      <c r="O425" s="41">
        <f>IF(SUM(C425,G425,K425)=0,"",SUM(C425,G425,K425))</f>
        <v/>
      </c>
      <c r="P425" s="69">
        <f>IF(OR(O425="",N425="",N425=0,O425=0),"",O425-N425)</f>
        <v/>
      </c>
      <c r="Q425" s="42">
        <f>IF(OR(O425="",N425="",N425=0,O425=0),"",O425/N425-1)</f>
        <v/>
      </c>
    </row>
    <row r="426">
      <c r="A426" s="56" t="inlineStr">
        <is>
          <t>Germany</t>
        </is>
      </c>
      <c r="B426" s="41">
        <f>IF(SUMIFS(Countries!$AR$5:$AR$434,Countries!$A$5:$A$434,"All landing pages",Countries!$B$5:$B$434,"Paid Search",Countries!$D$5:$D$434,$A426)=0,"",SUMIFS(Countries!$AR$5:$AR$434,Countries!$A$5:$A$434,"All landing pages",Countries!$B$5:$B$434,"Paid Search",Countries!$D$5:$D$434,$A426))</f>
        <v/>
      </c>
      <c r="C426" s="41">
        <f>IF(SUMIFS(Countries!$AS$5:$AS$434,Countries!$A$5:$A$434,"All landing pages",Countries!$B$5:$B$434,"Paid Search",Countries!$D$5:$D$434,$A426)=0,"",SUMIFS(Countries!$AS$5:$AS$434,Countries!$A$5:$A$434,"All landing pages",Countries!$B$5:$B$434,"Paid Search",Countries!$D$5:$D$434,$A426))</f>
        <v/>
      </c>
      <c r="D426" s="69">
        <f>IF(OR(C426="",B426="",B426=0,C426=0),"",C426-B426)</f>
        <v/>
      </c>
      <c r="E426" s="42">
        <f>IF(OR(C426="",B426="",B426=0,C426=0),"",C426/B426-1)</f>
        <v/>
      </c>
      <c r="F426" s="41">
        <f>IF(SUMIFS(Countries!$AR$5:$AR$434,Countries!$A$5:$A$434,"All landing pages",Countries!$B$5:$B$434,"Organic",Countries!$D$5:$D$434,$A426)=0,"",SUMIFS(Countries!$AR$5:$AR$434,Countries!$A$5:$A$434,"All landing pages",Countries!$B$5:$B$434,"Organic",Countries!$D$5:$D$434,$A426))</f>
        <v/>
      </c>
      <c r="G426" s="41">
        <f>IF(SUMIFS(Countries!$AS$5:$AS$434,Countries!$A$5:$A$434,"All landing pages",Countries!$B$5:$B$434,"Organic",Countries!$D$5:$D$434,$A426)=0,"",SUMIFS(Countries!$AS$5:$AS$434,Countries!$A$5:$A$434,"All landing pages",Countries!$B$5:$B$434,"Organic",Countries!$D$5:$D$434,$A426))</f>
        <v/>
      </c>
      <c r="H426" s="69">
        <f>IF(OR(G426="",F426="",F426=0,G426=0),"",G426-F426)</f>
        <v/>
      </c>
      <c r="I426" s="42">
        <f>IF(OR(G426="",F426="",F426=0,G426=0),"",G426/F426-1)</f>
        <v/>
      </c>
      <c r="J426" s="41">
        <f>IF(SUMIFS(Countries!$AR$5:$AR$434,Countries!$A$5:$A$434,"All landing pages",Countries!$B$5:$B$434,"Direct",Countries!$D$5:$D$434,$A426)=0,"",SUMIFS(Countries!$AR$5:$AR$434,Countries!$A$5:$A$434,"All landing pages",Countries!$B$5:$B$434,"Direct",Countries!$D$5:$D$434,$A426))</f>
        <v/>
      </c>
      <c r="K426" s="41">
        <f>IF(SUMIFS(Countries!$AS$5:$AS$434,Countries!$A$5:$A$434,"All landing pages",Countries!$B$5:$B$434,"Direct",Countries!$D$5:$D$434,$A426)=0,"",SUMIFS(Countries!$AS$5:$AS$434,Countries!$A$5:$A$434,"All landing pages",Countries!$B$5:$B$434,"Direct",Countries!$D$5:$D$434,$A426))</f>
        <v/>
      </c>
      <c r="L426" s="69">
        <f>IF(OR(K426="",J426="",J426=0,K426=0),"",K426-J426)</f>
        <v/>
      </c>
      <c r="M426" s="42">
        <f>IF(OR(K426="",J426="",J426=0,K426=0),"",K426/J426-1)</f>
        <v/>
      </c>
      <c r="N426" s="41">
        <f>IF(SUM(B426,F426,J426)=0,"",SUM(B426,F426,J426))</f>
        <v/>
      </c>
      <c r="O426" s="41">
        <f>IF(SUM(C426,G426,K426)=0,"",SUM(C426,G426,K426))</f>
        <v/>
      </c>
      <c r="P426" s="69">
        <f>IF(OR(O426="",N426="",N426=0,O426=0),"",O426-N426)</f>
        <v/>
      </c>
      <c r="Q426" s="42">
        <f>IF(OR(O426="",N426="",N426=0,O426=0),"",O426/N426-1)</f>
        <v/>
      </c>
    </row>
    <row r="427">
      <c r="A427" s="40" t="inlineStr">
        <is>
          <t>Italy</t>
        </is>
      </c>
      <c r="B427" s="41">
        <f>IF(SUMIFS(Countries!$AR$5:$AR$434,Countries!$A$5:$A$434,"All landing pages",Countries!$B$5:$B$434,"Paid Search",Countries!$D$5:$D$434,$A427)=0,"",SUMIFS(Countries!$AR$5:$AR$434,Countries!$A$5:$A$434,"All landing pages",Countries!$B$5:$B$434,"Paid Search",Countries!$D$5:$D$434,$A427))</f>
        <v/>
      </c>
      <c r="C427" s="41">
        <f>IF(SUMIFS(Countries!$AS$5:$AS$434,Countries!$A$5:$A$434,"All landing pages",Countries!$B$5:$B$434,"Paid Search",Countries!$D$5:$D$434,$A427)=0,"",SUMIFS(Countries!$AS$5:$AS$434,Countries!$A$5:$A$434,"All landing pages",Countries!$B$5:$B$434,"Paid Search",Countries!$D$5:$D$434,$A427))</f>
        <v/>
      </c>
      <c r="D427" s="69">
        <f>IF(OR(C427="",B427="",B427=0,C427=0),"",C427-B427)</f>
        <v/>
      </c>
      <c r="E427" s="42">
        <f>IF(OR(C427="",B427="",B427=0,C427=0),"",C427/B427-1)</f>
        <v/>
      </c>
      <c r="F427" s="41">
        <f>IF(SUMIFS(Countries!$AR$5:$AR$434,Countries!$A$5:$A$434,"All landing pages",Countries!$B$5:$B$434,"Organic",Countries!$D$5:$D$434,$A427)=0,"",SUMIFS(Countries!$AR$5:$AR$434,Countries!$A$5:$A$434,"All landing pages",Countries!$B$5:$B$434,"Organic",Countries!$D$5:$D$434,$A427))</f>
        <v/>
      </c>
      <c r="G427" s="41">
        <f>IF(SUMIFS(Countries!$AS$5:$AS$434,Countries!$A$5:$A$434,"All landing pages",Countries!$B$5:$B$434,"Organic",Countries!$D$5:$D$434,$A427)=0,"",SUMIFS(Countries!$AS$5:$AS$434,Countries!$A$5:$A$434,"All landing pages",Countries!$B$5:$B$434,"Organic",Countries!$D$5:$D$434,$A427))</f>
        <v/>
      </c>
      <c r="H427" s="69">
        <f>IF(OR(G427="",F427="",F427=0,G427=0),"",G427-F427)</f>
        <v/>
      </c>
      <c r="I427" s="42">
        <f>IF(OR(G427="",F427="",F427=0,G427=0),"",G427/F427-1)</f>
        <v/>
      </c>
      <c r="J427" s="41">
        <f>IF(SUMIFS(Countries!$AR$5:$AR$434,Countries!$A$5:$A$434,"All landing pages",Countries!$B$5:$B$434,"Direct",Countries!$D$5:$D$434,$A427)=0,"",SUMIFS(Countries!$AR$5:$AR$434,Countries!$A$5:$A$434,"All landing pages",Countries!$B$5:$B$434,"Direct",Countries!$D$5:$D$434,$A427))</f>
        <v/>
      </c>
      <c r="K427" s="41">
        <f>IF(SUMIFS(Countries!$AS$5:$AS$434,Countries!$A$5:$A$434,"All landing pages",Countries!$B$5:$B$434,"Direct",Countries!$D$5:$D$434,$A427)=0,"",SUMIFS(Countries!$AS$5:$AS$434,Countries!$A$5:$A$434,"All landing pages",Countries!$B$5:$B$434,"Direct",Countries!$D$5:$D$434,$A427))</f>
        <v/>
      </c>
      <c r="L427" s="69">
        <f>IF(OR(K427="",J427="",J427=0,K427=0),"",K427-J427)</f>
        <v/>
      </c>
      <c r="M427" s="42">
        <f>IF(OR(K427="",J427="",J427=0,K427=0),"",K427/J427-1)</f>
        <v/>
      </c>
      <c r="N427" s="41">
        <f>IF(SUM(B427,F427,J427)=0,"",SUM(B427,F427,J427))</f>
        <v/>
      </c>
      <c r="O427" s="41">
        <f>IF(SUM(C427,G427,K427)=0,"",SUM(C427,G427,K427))</f>
        <v/>
      </c>
      <c r="P427" s="69">
        <f>IF(OR(O427="",N427="",N427=0,O427=0),"",O427-N427)</f>
        <v/>
      </c>
      <c r="Q427" s="42">
        <f>IF(OR(O427="",N427="",N427=0,O427=0),"",O427/N427-1)</f>
        <v/>
      </c>
    </row>
    <row r="428">
      <c r="A428" s="56" t="inlineStr">
        <is>
          <t>Spain</t>
        </is>
      </c>
      <c r="B428" s="41">
        <f>IF(SUMIFS(Countries!$AR$5:$AR$434,Countries!$A$5:$A$434,"All landing pages",Countries!$B$5:$B$434,"Paid Search",Countries!$D$5:$D$434,$A428)=0,"",SUMIFS(Countries!$AR$5:$AR$434,Countries!$A$5:$A$434,"All landing pages",Countries!$B$5:$B$434,"Paid Search",Countries!$D$5:$D$434,$A428))</f>
        <v/>
      </c>
      <c r="C428" s="41">
        <f>IF(SUMIFS(Countries!$AS$5:$AS$434,Countries!$A$5:$A$434,"All landing pages",Countries!$B$5:$B$434,"Paid Search",Countries!$D$5:$D$434,$A428)=0,"",SUMIFS(Countries!$AS$5:$AS$434,Countries!$A$5:$A$434,"All landing pages",Countries!$B$5:$B$434,"Paid Search",Countries!$D$5:$D$434,$A428))</f>
        <v/>
      </c>
      <c r="D428" s="69">
        <f>IF(OR(C428="",B428="",B428=0,C428=0),"",C428-B428)</f>
        <v/>
      </c>
      <c r="E428" s="42">
        <f>IF(OR(C428="",B428="",B428=0,C428=0),"",C428/B428-1)</f>
        <v/>
      </c>
      <c r="F428" s="41">
        <f>IF(SUMIFS(Countries!$AR$5:$AR$434,Countries!$A$5:$A$434,"All landing pages",Countries!$B$5:$B$434,"Organic",Countries!$D$5:$D$434,$A428)=0,"",SUMIFS(Countries!$AR$5:$AR$434,Countries!$A$5:$A$434,"All landing pages",Countries!$B$5:$B$434,"Organic",Countries!$D$5:$D$434,$A428))</f>
        <v/>
      </c>
      <c r="G428" s="41">
        <f>IF(SUMIFS(Countries!$AS$5:$AS$434,Countries!$A$5:$A$434,"All landing pages",Countries!$B$5:$B$434,"Organic",Countries!$D$5:$D$434,$A428)=0,"",SUMIFS(Countries!$AS$5:$AS$434,Countries!$A$5:$A$434,"All landing pages",Countries!$B$5:$B$434,"Organic",Countries!$D$5:$D$434,$A428))</f>
        <v/>
      </c>
      <c r="H428" s="69">
        <f>IF(OR(G428="",F428="",F428=0,G428=0),"",G428-F428)</f>
        <v/>
      </c>
      <c r="I428" s="42">
        <f>IF(OR(G428="",F428="",F428=0,G428=0),"",G428/F428-1)</f>
        <v/>
      </c>
      <c r="J428" s="41">
        <f>IF(SUMIFS(Countries!$AR$5:$AR$434,Countries!$A$5:$A$434,"All landing pages",Countries!$B$5:$B$434,"Direct",Countries!$D$5:$D$434,$A428)=0,"",SUMIFS(Countries!$AR$5:$AR$434,Countries!$A$5:$A$434,"All landing pages",Countries!$B$5:$B$434,"Direct",Countries!$D$5:$D$434,$A428))</f>
        <v/>
      </c>
      <c r="K428" s="41">
        <f>IF(SUMIFS(Countries!$AS$5:$AS$434,Countries!$A$5:$A$434,"All landing pages",Countries!$B$5:$B$434,"Direct",Countries!$D$5:$D$434,$A428)=0,"",SUMIFS(Countries!$AS$5:$AS$434,Countries!$A$5:$A$434,"All landing pages",Countries!$B$5:$B$434,"Direct",Countries!$D$5:$D$434,$A428))</f>
        <v/>
      </c>
      <c r="L428" s="69">
        <f>IF(OR(K428="",J428="",J428=0,K428=0),"",K428-J428)</f>
        <v/>
      </c>
      <c r="M428" s="42">
        <f>IF(OR(K428="",J428="",J428=0,K428=0),"",K428/J428-1)</f>
        <v/>
      </c>
      <c r="N428" s="41">
        <f>IF(SUM(B428,F428,J428)=0,"",SUM(B428,F428,J428))</f>
        <v/>
      </c>
      <c r="O428" s="41">
        <f>IF(SUM(C428,G428,K428)=0,"",SUM(C428,G428,K428))</f>
        <v/>
      </c>
      <c r="P428" s="69">
        <f>IF(OR(O428="",N428="",N428=0,O428=0),"",O428-N428)</f>
        <v/>
      </c>
      <c r="Q428" s="42">
        <f>IF(OR(O428="",N428="",N428=0,O428=0),"",O428/N428-1)</f>
        <v/>
      </c>
    </row>
    <row r="429">
      <c r="A429" s="40" t="inlineStr">
        <is>
          <t>Ireland</t>
        </is>
      </c>
      <c r="B429" s="41">
        <f>IF(SUMIFS(Countries!$AR$5:$AR$434,Countries!$A$5:$A$434,"All landing pages",Countries!$B$5:$B$434,"Paid Search",Countries!$D$5:$D$434,$A429)=0,"",SUMIFS(Countries!$AR$5:$AR$434,Countries!$A$5:$A$434,"All landing pages",Countries!$B$5:$B$434,"Paid Search",Countries!$D$5:$D$434,$A429))</f>
        <v/>
      </c>
      <c r="C429" s="41">
        <f>IF(SUMIFS(Countries!$AS$5:$AS$434,Countries!$A$5:$A$434,"All landing pages",Countries!$B$5:$B$434,"Paid Search",Countries!$D$5:$D$434,$A429)=0,"",SUMIFS(Countries!$AS$5:$AS$434,Countries!$A$5:$A$434,"All landing pages",Countries!$B$5:$B$434,"Paid Search",Countries!$D$5:$D$434,$A429))</f>
        <v/>
      </c>
      <c r="D429" s="69">
        <f>IF(OR(C429="",B429="",B429=0,C429=0),"",C429-B429)</f>
        <v/>
      </c>
      <c r="E429" s="42">
        <f>IF(OR(C429="",B429="",B429=0,C429=0),"",C429/B429-1)</f>
        <v/>
      </c>
      <c r="F429" s="41">
        <f>IF(SUMIFS(Countries!$AR$5:$AR$434,Countries!$A$5:$A$434,"All landing pages",Countries!$B$5:$B$434,"Organic",Countries!$D$5:$D$434,$A429)=0,"",SUMIFS(Countries!$AR$5:$AR$434,Countries!$A$5:$A$434,"All landing pages",Countries!$B$5:$B$434,"Organic",Countries!$D$5:$D$434,$A429))</f>
        <v/>
      </c>
      <c r="G429" s="41">
        <f>IF(SUMIFS(Countries!$AS$5:$AS$434,Countries!$A$5:$A$434,"All landing pages",Countries!$B$5:$B$434,"Organic",Countries!$D$5:$D$434,$A429)=0,"",SUMIFS(Countries!$AS$5:$AS$434,Countries!$A$5:$A$434,"All landing pages",Countries!$B$5:$B$434,"Organic",Countries!$D$5:$D$434,$A429))</f>
        <v/>
      </c>
      <c r="H429" s="69">
        <f>IF(OR(G429="",F429="",F429=0,G429=0),"",G429-F429)</f>
        <v/>
      </c>
      <c r="I429" s="42">
        <f>IF(OR(G429="",F429="",F429=0,G429=0),"",G429/F429-1)</f>
        <v/>
      </c>
      <c r="J429" s="41">
        <f>IF(SUMIFS(Countries!$AR$5:$AR$434,Countries!$A$5:$A$434,"All landing pages",Countries!$B$5:$B$434,"Direct",Countries!$D$5:$D$434,$A429)=0,"",SUMIFS(Countries!$AR$5:$AR$434,Countries!$A$5:$A$434,"All landing pages",Countries!$B$5:$B$434,"Direct",Countries!$D$5:$D$434,$A429))</f>
        <v/>
      </c>
      <c r="K429" s="41">
        <f>IF(SUMIFS(Countries!$AS$5:$AS$434,Countries!$A$5:$A$434,"All landing pages",Countries!$B$5:$B$434,"Direct",Countries!$D$5:$D$434,$A429)=0,"",SUMIFS(Countries!$AS$5:$AS$434,Countries!$A$5:$A$434,"All landing pages",Countries!$B$5:$B$434,"Direct",Countries!$D$5:$D$434,$A429))</f>
        <v/>
      </c>
      <c r="L429" s="69">
        <f>IF(OR(K429="",J429="",J429=0,K429=0),"",K429-J429)</f>
        <v/>
      </c>
      <c r="M429" s="42">
        <f>IF(OR(K429="",J429="",J429=0,K429=0),"",K429/J429-1)</f>
        <v/>
      </c>
      <c r="N429" s="41">
        <f>IF(SUM(B429,F429,J429)=0,"",SUM(B429,F429,J429))</f>
        <v/>
      </c>
      <c r="O429" s="41">
        <f>IF(SUM(C429,G429,K429)=0,"",SUM(C429,G429,K429))</f>
        <v/>
      </c>
      <c r="P429" s="69">
        <f>IF(OR(O429="",N429="",N429=0,O429=0),"",O429-N429)</f>
        <v/>
      </c>
      <c r="Q429" s="42">
        <f>IF(OR(O429="",N429="",N429=0,O429=0),"",O429/N429-1)</f>
        <v/>
      </c>
    </row>
    <row r="430">
      <c r="A430" s="56" t="inlineStr">
        <is>
          <t>Netherlands</t>
        </is>
      </c>
      <c r="B430" s="41">
        <f>IF(SUMIFS(Countries!$AR$5:$AR$434,Countries!$A$5:$A$434,"All landing pages",Countries!$B$5:$B$434,"Paid Search",Countries!$D$5:$D$434,$A430)=0,"",SUMIFS(Countries!$AR$5:$AR$434,Countries!$A$5:$A$434,"All landing pages",Countries!$B$5:$B$434,"Paid Search",Countries!$D$5:$D$434,$A430))</f>
        <v/>
      </c>
      <c r="C430" s="41">
        <f>IF(SUMIFS(Countries!$AS$5:$AS$434,Countries!$A$5:$A$434,"All landing pages",Countries!$B$5:$B$434,"Paid Search",Countries!$D$5:$D$434,$A430)=0,"",SUMIFS(Countries!$AS$5:$AS$434,Countries!$A$5:$A$434,"All landing pages",Countries!$B$5:$B$434,"Paid Search",Countries!$D$5:$D$434,$A430))</f>
        <v/>
      </c>
      <c r="D430" s="69">
        <f>IF(OR(C430="",B430="",B430=0,C430=0),"",C430-B430)</f>
        <v/>
      </c>
      <c r="E430" s="42">
        <f>IF(OR(C430="",B430="",B430=0,C430=0),"",C430/B430-1)</f>
        <v/>
      </c>
      <c r="F430" s="41">
        <f>IF(SUMIFS(Countries!$AR$5:$AR$434,Countries!$A$5:$A$434,"All landing pages",Countries!$B$5:$B$434,"Organic",Countries!$D$5:$D$434,$A430)=0,"",SUMIFS(Countries!$AR$5:$AR$434,Countries!$A$5:$A$434,"All landing pages",Countries!$B$5:$B$434,"Organic",Countries!$D$5:$D$434,$A430))</f>
        <v/>
      </c>
      <c r="G430" s="41">
        <f>IF(SUMIFS(Countries!$AS$5:$AS$434,Countries!$A$5:$A$434,"All landing pages",Countries!$B$5:$B$434,"Organic",Countries!$D$5:$D$434,$A430)=0,"",SUMIFS(Countries!$AS$5:$AS$434,Countries!$A$5:$A$434,"All landing pages",Countries!$B$5:$B$434,"Organic",Countries!$D$5:$D$434,$A430))</f>
        <v/>
      </c>
      <c r="H430" s="69">
        <f>IF(OR(G430="",F430="",F430=0,G430=0),"",G430-F430)</f>
        <v/>
      </c>
      <c r="I430" s="42">
        <f>IF(OR(G430="",F430="",F430=0,G430=0),"",G430/F430-1)</f>
        <v/>
      </c>
      <c r="J430" s="41">
        <f>IF(SUMIFS(Countries!$AR$5:$AR$434,Countries!$A$5:$A$434,"All landing pages",Countries!$B$5:$B$434,"Direct",Countries!$D$5:$D$434,$A430)=0,"",SUMIFS(Countries!$AR$5:$AR$434,Countries!$A$5:$A$434,"All landing pages",Countries!$B$5:$B$434,"Direct",Countries!$D$5:$D$434,$A430))</f>
        <v/>
      </c>
      <c r="K430" s="41">
        <f>IF(SUMIFS(Countries!$AS$5:$AS$434,Countries!$A$5:$A$434,"All landing pages",Countries!$B$5:$B$434,"Direct",Countries!$D$5:$D$434,$A430)=0,"",SUMIFS(Countries!$AS$5:$AS$434,Countries!$A$5:$A$434,"All landing pages",Countries!$B$5:$B$434,"Direct",Countries!$D$5:$D$434,$A430))</f>
        <v/>
      </c>
      <c r="L430" s="69">
        <f>IF(OR(K430="",J430="",J430=0,K430=0),"",K430-J430)</f>
        <v/>
      </c>
      <c r="M430" s="42">
        <f>IF(OR(K430="",J430="",J430=0,K430=0),"",K430/J430-1)</f>
        <v/>
      </c>
      <c r="N430" s="41">
        <f>IF(SUM(B430,F430,J430)=0,"",SUM(B430,F430,J430))</f>
        <v/>
      </c>
      <c r="O430" s="41">
        <f>IF(SUM(C430,G430,K430)=0,"",SUM(C430,G430,K430))</f>
        <v/>
      </c>
      <c r="P430" s="69">
        <f>IF(OR(O430="",N430="",N430=0,O430=0),"",O430-N430)</f>
        <v/>
      </c>
      <c r="Q430" s="42">
        <f>IF(OR(O430="",N430="",N430=0,O430=0),"",O430/N430-1)</f>
        <v/>
      </c>
    </row>
    <row r="431">
      <c r="A431" s="40" t="inlineStr">
        <is>
          <t>France</t>
        </is>
      </c>
      <c r="B431" s="41">
        <f>IF(SUMIFS(Countries!$AR$5:$AR$434,Countries!$A$5:$A$434,"All landing pages",Countries!$B$5:$B$434,"Paid Search",Countries!$D$5:$D$434,$A431)=0,"",SUMIFS(Countries!$AR$5:$AR$434,Countries!$A$5:$A$434,"All landing pages",Countries!$B$5:$B$434,"Paid Search",Countries!$D$5:$D$434,$A431))</f>
        <v/>
      </c>
      <c r="C431" s="41">
        <f>IF(SUMIFS(Countries!$AS$5:$AS$434,Countries!$A$5:$A$434,"All landing pages",Countries!$B$5:$B$434,"Paid Search",Countries!$D$5:$D$434,$A431)=0,"",SUMIFS(Countries!$AS$5:$AS$434,Countries!$A$5:$A$434,"All landing pages",Countries!$B$5:$B$434,"Paid Search",Countries!$D$5:$D$434,$A431))</f>
        <v/>
      </c>
      <c r="D431" s="69">
        <f>IF(OR(C431="",B431="",B431=0,C431=0),"",C431-B431)</f>
        <v/>
      </c>
      <c r="E431" s="42">
        <f>IF(OR(C431="",B431="",B431=0,C431=0),"",C431/B431-1)</f>
        <v/>
      </c>
      <c r="F431" s="41">
        <f>IF(SUMIFS(Countries!$AR$5:$AR$434,Countries!$A$5:$A$434,"All landing pages",Countries!$B$5:$B$434,"Organic",Countries!$D$5:$D$434,$A431)=0,"",SUMIFS(Countries!$AR$5:$AR$434,Countries!$A$5:$A$434,"All landing pages",Countries!$B$5:$B$434,"Organic",Countries!$D$5:$D$434,$A431))</f>
        <v/>
      </c>
      <c r="G431" s="41">
        <f>IF(SUMIFS(Countries!$AS$5:$AS$434,Countries!$A$5:$A$434,"All landing pages",Countries!$B$5:$B$434,"Organic",Countries!$D$5:$D$434,$A431)=0,"",SUMIFS(Countries!$AS$5:$AS$434,Countries!$A$5:$A$434,"All landing pages",Countries!$B$5:$B$434,"Organic",Countries!$D$5:$D$434,$A431))</f>
        <v/>
      </c>
      <c r="H431" s="69">
        <f>IF(OR(G431="",F431="",F431=0,G431=0),"",G431-F431)</f>
        <v/>
      </c>
      <c r="I431" s="42">
        <f>IF(OR(G431="",F431="",F431=0,G431=0),"",G431/F431-1)</f>
        <v/>
      </c>
      <c r="J431" s="41">
        <f>IF(SUMIFS(Countries!$AR$5:$AR$434,Countries!$A$5:$A$434,"All landing pages",Countries!$B$5:$B$434,"Direct",Countries!$D$5:$D$434,$A431)=0,"",SUMIFS(Countries!$AR$5:$AR$434,Countries!$A$5:$A$434,"All landing pages",Countries!$B$5:$B$434,"Direct",Countries!$D$5:$D$434,$A431))</f>
        <v/>
      </c>
      <c r="K431" s="41">
        <f>IF(SUMIFS(Countries!$AS$5:$AS$434,Countries!$A$5:$A$434,"All landing pages",Countries!$B$5:$B$434,"Direct",Countries!$D$5:$D$434,$A431)=0,"",SUMIFS(Countries!$AS$5:$AS$434,Countries!$A$5:$A$434,"All landing pages",Countries!$B$5:$B$434,"Direct",Countries!$D$5:$D$434,$A431))</f>
        <v/>
      </c>
      <c r="L431" s="69">
        <f>IF(OR(K431="",J431="",J431=0,K431=0),"",K431-J431)</f>
        <v/>
      </c>
      <c r="M431" s="42">
        <f>IF(OR(K431="",J431="",J431=0,K431=0),"",K431/J431-1)</f>
        <v/>
      </c>
      <c r="N431" s="41">
        <f>IF(SUM(B431,F431,J431)=0,"",SUM(B431,F431,J431))</f>
        <v/>
      </c>
      <c r="O431" s="41">
        <f>IF(SUM(C431,G431,K431)=0,"",SUM(C431,G431,K431))</f>
        <v/>
      </c>
      <c r="P431" s="69">
        <f>IF(OR(O431="",N431="",N431=0,O431=0),"",O431-N431)</f>
        <v/>
      </c>
      <c r="Q431" s="42">
        <f>IF(OR(O431="",N431="",N431=0,O431=0),"",O431/N431-1)</f>
        <v/>
      </c>
    </row>
    <row r="432">
      <c r="A432" s="56" t="inlineStr">
        <is>
          <t>Poland</t>
        </is>
      </c>
      <c r="B432" s="41">
        <f>IF(SUMIFS(Countries!$AR$5:$AR$434,Countries!$A$5:$A$434,"All landing pages",Countries!$B$5:$B$434,"Paid Search",Countries!$D$5:$D$434,$A432)=0,"",SUMIFS(Countries!$AR$5:$AR$434,Countries!$A$5:$A$434,"All landing pages",Countries!$B$5:$B$434,"Paid Search",Countries!$D$5:$D$434,$A432))</f>
        <v/>
      </c>
      <c r="C432" s="41">
        <f>IF(SUMIFS(Countries!$AS$5:$AS$434,Countries!$A$5:$A$434,"All landing pages",Countries!$B$5:$B$434,"Paid Search",Countries!$D$5:$D$434,$A432)=0,"",SUMIFS(Countries!$AS$5:$AS$434,Countries!$A$5:$A$434,"All landing pages",Countries!$B$5:$B$434,"Paid Search",Countries!$D$5:$D$434,$A432))</f>
        <v/>
      </c>
      <c r="D432" s="69">
        <f>IF(OR(C432="",B432="",B432=0,C432=0),"",C432-B432)</f>
        <v/>
      </c>
      <c r="E432" s="42">
        <f>IF(OR(C432="",B432="",B432=0,C432=0),"",C432/B432-1)</f>
        <v/>
      </c>
      <c r="F432" s="41">
        <f>IF(SUMIFS(Countries!$AR$5:$AR$434,Countries!$A$5:$A$434,"All landing pages",Countries!$B$5:$B$434,"Organic",Countries!$D$5:$D$434,$A432)=0,"",SUMIFS(Countries!$AR$5:$AR$434,Countries!$A$5:$A$434,"All landing pages",Countries!$B$5:$B$434,"Organic",Countries!$D$5:$D$434,$A432))</f>
        <v/>
      </c>
      <c r="G432" s="41">
        <f>IF(SUMIFS(Countries!$AS$5:$AS$434,Countries!$A$5:$A$434,"All landing pages",Countries!$B$5:$B$434,"Organic",Countries!$D$5:$D$434,$A432)=0,"",SUMIFS(Countries!$AS$5:$AS$434,Countries!$A$5:$A$434,"All landing pages",Countries!$B$5:$B$434,"Organic",Countries!$D$5:$D$434,$A432))</f>
        <v/>
      </c>
      <c r="H432" s="69">
        <f>IF(OR(G432="",F432="",F432=0,G432=0),"",G432-F432)</f>
        <v/>
      </c>
      <c r="I432" s="42">
        <f>IF(OR(G432="",F432="",F432=0,G432=0),"",G432/F432-1)</f>
        <v/>
      </c>
      <c r="J432" s="41">
        <f>IF(SUMIFS(Countries!$AR$5:$AR$434,Countries!$A$5:$A$434,"All landing pages",Countries!$B$5:$B$434,"Direct",Countries!$D$5:$D$434,$A432)=0,"",SUMIFS(Countries!$AR$5:$AR$434,Countries!$A$5:$A$434,"All landing pages",Countries!$B$5:$B$434,"Direct",Countries!$D$5:$D$434,$A432))</f>
        <v/>
      </c>
      <c r="K432" s="41">
        <f>IF(SUMIFS(Countries!$AS$5:$AS$434,Countries!$A$5:$A$434,"All landing pages",Countries!$B$5:$B$434,"Direct",Countries!$D$5:$D$434,$A432)=0,"",SUMIFS(Countries!$AS$5:$AS$434,Countries!$A$5:$A$434,"All landing pages",Countries!$B$5:$B$434,"Direct",Countries!$D$5:$D$434,$A432))</f>
        <v/>
      </c>
      <c r="L432" s="69">
        <f>IF(OR(K432="",J432="",J432=0,K432=0),"",K432-J432)</f>
        <v/>
      </c>
      <c r="M432" s="42">
        <f>IF(OR(K432="",J432="",J432=0,K432=0),"",K432/J432-1)</f>
        <v/>
      </c>
      <c r="N432" s="41">
        <f>IF(SUM(B432,F432,J432)=0,"",SUM(B432,F432,J432))</f>
        <v/>
      </c>
      <c r="O432" s="41">
        <f>IF(SUM(C432,G432,K432)=0,"",SUM(C432,G432,K432))</f>
        <v/>
      </c>
      <c r="P432" s="69">
        <f>IF(OR(O432="",N432="",N432=0,O432=0),"",O432-N432)</f>
        <v/>
      </c>
      <c r="Q432" s="42">
        <f>IF(OR(O432="",N432="",N432=0,O432=0),"",O432/N432-1)</f>
        <v/>
      </c>
    </row>
    <row r="433">
      <c r="A433" s="40" t="inlineStr">
        <is>
          <t>United States</t>
        </is>
      </c>
      <c r="B433" s="41">
        <f>IF(SUMIFS(Countries!$AR$5:$AR$434,Countries!$A$5:$A$434,"All landing pages",Countries!$B$5:$B$434,"Paid Search",Countries!$D$5:$D$434,$A433)=0,"",SUMIFS(Countries!$AR$5:$AR$434,Countries!$A$5:$A$434,"All landing pages",Countries!$B$5:$B$434,"Paid Search",Countries!$D$5:$D$434,$A433))</f>
        <v/>
      </c>
      <c r="C433" s="41">
        <f>IF(SUMIFS(Countries!$AS$5:$AS$434,Countries!$A$5:$A$434,"All landing pages",Countries!$B$5:$B$434,"Paid Search",Countries!$D$5:$D$434,$A433)=0,"",SUMIFS(Countries!$AS$5:$AS$434,Countries!$A$5:$A$434,"All landing pages",Countries!$B$5:$B$434,"Paid Search",Countries!$D$5:$D$434,$A433))</f>
        <v/>
      </c>
      <c r="D433" s="69">
        <f>IF(OR(C433="",B433="",B433=0,C433=0),"",C433-B433)</f>
        <v/>
      </c>
      <c r="E433" s="42">
        <f>IF(OR(C433="",B433="",B433=0,C433=0),"",C433/B433-1)</f>
        <v/>
      </c>
      <c r="F433" s="41">
        <f>IF(SUMIFS(Countries!$AR$5:$AR$434,Countries!$A$5:$A$434,"All landing pages",Countries!$B$5:$B$434,"Organic",Countries!$D$5:$D$434,$A433)=0,"",SUMIFS(Countries!$AR$5:$AR$434,Countries!$A$5:$A$434,"All landing pages",Countries!$B$5:$B$434,"Organic",Countries!$D$5:$D$434,$A433))</f>
        <v/>
      </c>
      <c r="G433" s="41">
        <f>IF(SUMIFS(Countries!$AS$5:$AS$434,Countries!$A$5:$A$434,"All landing pages",Countries!$B$5:$B$434,"Organic",Countries!$D$5:$D$434,$A433)=0,"",SUMIFS(Countries!$AS$5:$AS$434,Countries!$A$5:$A$434,"All landing pages",Countries!$B$5:$B$434,"Organic",Countries!$D$5:$D$434,$A433))</f>
        <v/>
      </c>
      <c r="H433" s="69">
        <f>IF(OR(G433="",F433="",F433=0,G433=0),"",G433-F433)</f>
        <v/>
      </c>
      <c r="I433" s="42">
        <f>IF(OR(G433="",F433="",F433=0,G433=0),"",G433/F433-1)</f>
        <v/>
      </c>
      <c r="J433" s="41">
        <f>IF(SUMIFS(Countries!$AR$5:$AR$434,Countries!$A$5:$A$434,"All landing pages",Countries!$B$5:$B$434,"Direct",Countries!$D$5:$D$434,$A433)=0,"",SUMIFS(Countries!$AR$5:$AR$434,Countries!$A$5:$A$434,"All landing pages",Countries!$B$5:$B$434,"Direct",Countries!$D$5:$D$434,$A433))</f>
        <v/>
      </c>
      <c r="K433" s="41">
        <f>IF(SUMIFS(Countries!$AS$5:$AS$434,Countries!$A$5:$A$434,"All landing pages",Countries!$B$5:$B$434,"Direct",Countries!$D$5:$D$434,$A433)=0,"",SUMIFS(Countries!$AS$5:$AS$434,Countries!$A$5:$A$434,"All landing pages",Countries!$B$5:$B$434,"Direct",Countries!$D$5:$D$434,$A433))</f>
        <v/>
      </c>
      <c r="L433" s="69">
        <f>IF(OR(K433="",J433="",J433=0,K433=0),"",K433-J433)</f>
        <v/>
      </c>
      <c r="M433" s="42">
        <f>IF(OR(K433="",J433="",J433=0,K433=0),"",K433/J433-1)</f>
        <v/>
      </c>
      <c r="N433" s="41">
        <f>IF(SUM(B433,F433,J433)=0,"",SUM(B433,F433,J433))</f>
        <v/>
      </c>
      <c r="O433" s="41">
        <f>IF(SUM(C433,G433,K433)=0,"",SUM(C433,G433,K433))</f>
        <v/>
      </c>
      <c r="P433" s="69">
        <f>IF(OR(O433="",N433="",N433=0,O433=0),"",O433-N433)</f>
        <v/>
      </c>
      <c r="Q433" s="42">
        <f>IF(OR(O433="",N433="",N433=0,O433=0),"",O433/N433-1)</f>
        <v/>
      </c>
    </row>
    <row r="434">
      <c r="A434" s="56" t="inlineStr">
        <is>
          <t>Sweden</t>
        </is>
      </c>
      <c r="B434" s="41">
        <f>IF(SUMIFS(Countries!$AR$5:$AR$434,Countries!$A$5:$A$434,"All landing pages",Countries!$B$5:$B$434,"Paid Search",Countries!$D$5:$D$434,$A434)=0,"",SUMIFS(Countries!$AR$5:$AR$434,Countries!$A$5:$A$434,"All landing pages",Countries!$B$5:$B$434,"Paid Search",Countries!$D$5:$D$434,$A434))</f>
        <v/>
      </c>
      <c r="C434" s="41">
        <f>IF(SUMIFS(Countries!$AS$5:$AS$434,Countries!$A$5:$A$434,"All landing pages",Countries!$B$5:$B$434,"Paid Search",Countries!$D$5:$D$434,$A434)=0,"",SUMIFS(Countries!$AS$5:$AS$434,Countries!$A$5:$A$434,"All landing pages",Countries!$B$5:$B$434,"Paid Search",Countries!$D$5:$D$434,$A434))</f>
        <v/>
      </c>
      <c r="D434" s="69">
        <f>IF(OR(C434="",B434="",B434=0,C434=0),"",C434-B434)</f>
        <v/>
      </c>
      <c r="E434" s="42">
        <f>IF(OR(C434="",B434="",B434=0,C434=0),"",C434/B434-1)</f>
        <v/>
      </c>
      <c r="F434" s="41">
        <f>IF(SUMIFS(Countries!$AR$5:$AR$434,Countries!$A$5:$A$434,"All landing pages",Countries!$B$5:$B$434,"Organic",Countries!$D$5:$D$434,$A434)=0,"",SUMIFS(Countries!$AR$5:$AR$434,Countries!$A$5:$A$434,"All landing pages",Countries!$B$5:$B$434,"Organic",Countries!$D$5:$D$434,$A434))</f>
        <v/>
      </c>
      <c r="G434" s="41">
        <f>IF(SUMIFS(Countries!$AS$5:$AS$434,Countries!$A$5:$A$434,"All landing pages",Countries!$B$5:$B$434,"Organic",Countries!$D$5:$D$434,$A434)=0,"",SUMIFS(Countries!$AS$5:$AS$434,Countries!$A$5:$A$434,"All landing pages",Countries!$B$5:$B$434,"Organic",Countries!$D$5:$D$434,$A434))</f>
        <v/>
      </c>
      <c r="H434" s="69">
        <f>IF(OR(G434="",F434="",F434=0,G434=0),"",G434-F434)</f>
        <v/>
      </c>
      <c r="I434" s="42">
        <f>IF(OR(G434="",F434="",F434=0,G434=0),"",G434/F434-1)</f>
        <v/>
      </c>
      <c r="J434" s="41">
        <f>IF(SUMIFS(Countries!$AR$5:$AR$434,Countries!$A$5:$A$434,"All landing pages",Countries!$B$5:$B$434,"Direct",Countries!$D$5:$D$434,$A434)=0,"",SUMIFS(Countries!$AR$5:$AR$434,Countries!$A$5:$A$434,"All landing pages",Countries!$B$5:$B$434,"Direct",Countries!$D$5:$D$434,$A434))</f>
        <v/>
      </c>
      <c r="K434" s="41">
        <f>IF(SUMIFS(Countries!$AS$5:$AS$434,Countries!$A$5:$A$434,"All landing pages",Countries!$B$5:$B$434,"Direct",Countries!$D$5:$D$434,$A434)=0,"",SUMIFS(Countries!$AS$5:$AS$434,Countries!$A$5:$A$434,"All landing pages",Countries!$B$5:$B$434,"Direct",Countries!$D$5:$D$434,$A434))</f>
        <v/>
      </c>
      <c r="L434" s="69">
        <f>IF(OR(K434="",J434="",J434=0,K434=0),"",K434-J434)</f>
        <v/>
      </c>
      <c r="M434" s="42">
        <f>IF(OR(K434="",J434="",J434=0,K434=0),"",K434/J434-1)</f>
        <v/>
      </c>
      <c r="N434" s="41">
        <f>IF(SUM(B434,F434,J434)=0,"",SUM(B434,F434,J434))</f>
        <v/>
      </c>
      <c r="O434" s="41">
        <f>IF(SUM(C434,G434,K434)=0,"",SUM(C434,G434,K434))</f>
        <v/>
      </c>
      <c r="P434" s="69">
        <f>IF(OR(O434="",N434="",N434=0,O434=0),"",O434-N434)</f>
        <v/>
      </c>
      <c r="Q434" s="42">
        <f>IF(OR(O434="",N434="",N434=0,O434=0),"",O434/N434-1)</f>
        <v/>
      </c>
    </row>
    <row r="435">
      <c r="A435" s="40" t="inlineStr">
        <is>
          <t>Belgium</t>
        </is>
      </c>
      <c r="B435" s="41">
        <f>IF(SUMIFS(Countries!$AR$5:$AR$434,Countries!$A$5:$A$434,"All landing pages",Countries!$B$5:$B$434,"Paid Search",Countries!$D$5:$D$434,$A435)=0,"",SUMIFS(Countries!$AR$5:$AR$434,Countries!$A$5:$A$434,"All landing pages",Countries!$B$5:$B$434,"Paid Search",Countries!$D$5:$D$434,$A435))</f>
        <v/>
      </c>
      <c r="C435" s="41">
        <f>IF(SUMIFS(Countries!$AS$5:$AS$434,Countries!$A$5:$A$434,"All landing pages",Countries!$B$5:$B$434,"Paid Search",Countries!$D$5:$D$434,$A435)=0,"",SUMIFS(Countries!$AS$5:$AS$434,Countries!$A$5:$A$434,"All landing pages",Countries!$B$5:$B$434,"Paid Search",Countries!$D$5:$D$434,$A435))</f>
        <v/>
      </c>
      <c r="D435" s="69">
        <f>IF(OR(C435="",B435="",B435=0,C435=0),"",C435-B435)</f>
        <v/>
      </c>
      <c r="E435" s="42">
        <f>IF(OR(C435="",B435="",B435=0,C435=0),"",C435/B435-1)</f>
        <v/>
      </c>
      <c r="F435" s="41">
        <f>IF(SUMIFS(Countries!$AR$5:$AR$434,Countries!$A$5:$A$434,"All landing pages",Countries!$B$5:$B$434,"Organic",Countries!$D$5:$D$434,$A435)=0,"",SUMIFS(Countries!$AR$5:$AR$434,Countries!$A$5:$A$434,"All landing pages",Countries!$B$5:$B$434,"Organic",Countries!$D$5:$D$434,$A435))</f>
        <v/>
      </c>
      <c r="G435" s="41">
        <f>IF(SUMIFS(Countries!$AS$5:$AS$434,Countries!$A$5:$A$434,"All landing pages",Countries!$B$5:$B$434,"Organic",Countries!$D$5:$D$434,$A435)=0,"",SUMIFS(Countries!$AS$5:$AS$434,Countries!$A$5:$A$434,"All landing pages",Countries!$B$5:$B$434,"Organic",Countries!$D$5:$D$434,$A435))</f>
        <v/>
      </c>
      <c r="H435" s="69">
        <f>IF(OR(G435="",F435="",F435=0,G435=0),"",G435-F435)</f>
        <v/>
      </c>
      <c r="I435" s="42">
        <f>IF(OR(G435="",F435="",F435=0,G435=0),"",G435/F435-1)</f>
        <v/>
      </c>
      <c r="J435" s="41">
        <f>IF(SUMIFS(Countries!$AR$5:$AR$434,Countries!$A$5:$A$434,"All landing pages",Countries!$B$5:$B$434,"Direct",Countries!$D$5:$D$434,$A435)=0,"",SUMIFS(Countries!$AR$5:$AR$434,Countries!$A$5:$A$434,"All landing pages",Countries!$B$5:$B$434,"Direct",Countries!$D$5:$D$434,$A435))</f>
        <v/>
      </c>
      <c r="K435" s="41">
        <f>IF(SUMIFS(Countries!$AS$5:$AS$434,Countries!$A$5:$A$434,"All landing pages",Countries!$B$5:$B$434,"Direct",Countries!$D$5:$D$434,$A435)=0,"",SUMIFS(Countries!$AS$5:$AS$434,Countries!$A$5:$A$434,"All landing pages",Countries!$B$5:$B$434,"Direct",Countries!$D$5:$D$434,$A435))</f>
        <v/>
      </c>
      <c r="L435" s="69">
        <f>IF(OR(K435="",J435="",J435=0,K435=0),"",K435-J435)</f>
        <v/>
      </c>
      <c r="M435" s="42">
        <f>IF(OR(K435="",J435="",J435=0,K435=0),"",K435/J435-1)</f>
        <v/>
      </c>
      <c r="N435" s="41">
        <f>IF(SUM(B435,F435,J435)=0,"",SUM(B435,F435,J435))</f>
        <v/>
      </c>
      <c r="O435" s="41">
        <f>IF(SUM(C435,G435,K435)=0,"",SUM(C435,G435,K435))</f>
        <v/>
      </c>
      <c r="P435" s="69">
        <f>IF(OR(O435="",N435="",N435=0,O435=0),"",O435-N435)</f>
        <v/>
      </c>
      <c r="Q435" s="42">
        <f>IF(OR(O435="",N435="",N435=0,O435=0),"",O435/N435-1)</f>
        <v/>
      </c>
    </row>
    <row r="436">
      <c r="A436" s="56" t="inlineStr">
        <is>
          <t>Austria</t>
        </is>
      </c>
      <c r="B436" s="41">
        <f>IF(SUMIFS(Countries!$AR$5:$AR$434,Countries!$A$5:$A$434,"All landing pages",Countries!$B$5:$B$434,"Paid Search",Countries!$D$5:$D$434,$A436)=0,"",SUMIFS(Countries!$AR$5:$AR$434,Countries!$A$5:$A$434,"All landing pages",Countries!$B$5:$B$434,"Paid Search",Countries!$D$5:$D$434,$A436))</f>
        <v/>
      </c>
      <c r="C436" s="41">
        <f>IF(SUMIFS(Countries!$AS$5:$AS$434,Countries!$A$5:$A$434,"All landing pages",Countries!$B$5:$B$434,"Paid Search",Countries!$D$5:$D$434,$A436)=0,"",SUMIFS(Countries!$AS$5:$AS$434,Countries!$A$5:$A$434,"All landing pages",Countries!$B$5:$B$434,"Paid Search",Countries!$D$5:$D$434,$A436))</f>
        <v/>
      </c>
      <c r="D436" s="69">
        <f>IF(OR(C436="",B436="",B436=0,C436=0),"",C436-B436)</f>
        <v/>
      </c>
      <c r="E436" s="42">
        <f>IF(OR(C436="",B436="",B436=0,C436=0),"",C436/B436-1)</f>
        <v/>
      </c>
      <c r="F436" s="41">
        <f>IF(SUMIFS(Countries!$AR$5:$AR$434,Countries!$A$5:$A$434,"All landing pages",Countries!$B$5:$B$434,"Organic",Countries!$D$5:$D$434,$A436)=0,"",SUMIFS(Countries!$AR$5:$AR$434,Countries!$A$5:$A$434,"All landing pages",Countries!$B$5:$B$434,"Organic",Countries!$D$5:$D$434,$A436))</f>
        <v/>
      </c>
      <c r="G436" s="41">
        <f>IF(SUMIFS(Countries!$AS$5:$AS$434,Countries!$A$5:$A$434,"All landing pages",Countries!$B$5:$B$434,"Organic",Countries!$D$5:$D$434,$A436)=0,"",SUMIFS(Countries!$AS$5:$AS$434,Countries!$A$5:$A$434,"All landing pages",Countries!$B$5:$B$434,"Organic",Countries!$D$5:$D$434,$A436))</f>
        <v/>
      </c>
      <c r="H436" s="69">
        <f>IF(OR(G436="",F436="",F436=0,G436=0),"",G436-F436)</f>
        <v/>
      </c>
      <c r="I436" s="42">
        <f>IF(OR(G436="",F436="",F436=0,G436=0),"",G436/F436-1)</f>
        <v/>
      </c>
      <c r="J436" s="41">
        <f>IF(SUMIFS(Countries!$AR$5:$AR$434,Countries!$A$5:$A$434,"All landing pages",Countries!$B$5:$B$434,"Direct",Countries!$D$5:$D$434,$A436)=0,"",SUMIFS(Countries!$AR$5:$AR$434,Countries!$A$5:$A$434,"All landing pages",Countries!$B$5:$B$434,"Direct",Countries!$D$5:$D$434,$A436))</f>
        <v/>
      </c>
      <c r="K436" s="41">
        <f>IF(SUMIFS(Countries!$AS$5:$AS$434,Countries!$A$5:$A$434,"All landing pages",Countries!$B$5:$B$434,"Direct",Countries!$D$5:$D$434,$A436)=0,"",SUMIFS(Countries!$AS$5:$AS$434,Countries!$A$5:$A$434,"All landing pages",Countries!$B$5:$B$434,"Direct",Countries!$D$5:$D$434,$A436))</f>
        <v/>
      </c>
      <c r="L436" s="69">
        <f>IF(OR(K436="",J436="",J436=0,K436=0),"",K436-J436)</f>
        <v/>
      </c>
      <c r="M436" s="42">
        <f>IF(OR(K436="",J436="",J436=0,K436=0),"",K436/J436-1)</f>
        <v/>
      </c>
      <c r="N436" s="41">
        <f>IF(SUM(B436,F436,J436)=0,"",SUM(B436,F436,J436))</f>
        <v/>
      </c>
      <c r="O436" s="41">
        <f>IF(SUM(C436,G436,K436)=0,"",SUM(C436,G436,K436))</f>
        <v/>
      </c>
      <c r="P436" s="69">
        <f>IF(OR(O436="",N436="",N436=0,O436=0),"",O436-N436)</f>
        <v/>
      </c>
      <c r="Q436" s="42">
        <f>IF(OR(O436="",N436="",N436=0,O436=0),"",O436/N436-1)</f>
        <v/>
      </c>
    </row>
    <row r="437">
      <c r="A437" s="40" t="inlineStr">
        <is>
          <t>Denmark</t>
        </is>
      </c>
      <c r="B437" s="41">
        <f>IF(SUMIFS(Countries!$AR$5:$AR$434,Countries!$A$5:$A$434,"All landing pages",Countries!$B$5:$B$434,"Paid Search",Countries!$D$5:$D$434,$A437)=0,"",SUMIFS(Countries!$AR$5:$AR$434,Countries!$A$5:$A$434,"All landing pages",Countries!$B$5:$B$434,"Paid Search",Countries!$D$5:$D$434,$A437))</f>
        <v/>
      </c>
      <c r="C437" s="41">
        <f>IF(SUMIFS(Countries!$AS$5:$AS$434,Countries!$A$5:$A$434,"All landing pages",Countries!$B$5:$B$434,"Paid Search",Countries!$D$5:$D$434,$A437)=0,"",SUMIFS(Countries!$AS$5:$AS$434,Countries!$A$5:$A$434,"All landing pages",Countries!$B$5:$B$434,"Paid Search",Countries!$D$5:$D$434,$A437))</f>
        <v/>
      </c>
      <c r="D437" s="69">
        <f>IF(OR(C437="",B437="",B437=0,C437=0),"",C437-B437)</f>
        <v/>
      </c>
      <c r="E437" s="42">
        <f>IF(OR(C437="",B437="",B437=0,C437=0),"",C437/B437-1)</f>
        <v/>
      </c>
      <c r="F437" s="41">
        <f>IF(SUMIFS(Countries!$AR$5:$AR$434,Countries!$A$5:$A$434,"All landing pages",Countries!$B$5:$B$434,"Organic",Countries!$D$5:$D$434,$A437)=0,"",SUMIFS(Countries!$AR$5:$AR$434,Countries!$A$5:$A$434,"All landing pages",Countries!$B$5:$B$434,"Organic",Countries!$D$5:$D$434,$A437))</f>
        <v/>
      </c>
      <c r="G437" s="41">
        <f>IF(SUMIFS(Countries!$AS$5:$AS$434,Countries!$A$5:$A$434,"All landing pages",Countries!$B$5:$B$434,"Organic",Countries!$D$5:$D$434,$A437)=0,"",SUMIFS(Countries!$AS$5:$AS$434,Countries!$A$5:$A$434,"All landing pages",Countries!$B$5:$B$434,"Organic",Countries!$D$5:$D$434,$A437))</f>
        <v/>
      </c>
      <c r="H437" s="69">
        <f>IF(OR(G437="",F437="",F437=0,G437=0),"",G437-F437)</f>
        <v/>
      </c>
      <c r="I437" s="42">
        <f>IF(OR(G437="",F437="",F437=0,G437=0),"",G437/F437-1)</f>
        <v/>
      </c>
      <c r="J437" s="41">
        <f>IF(SUMIFS(Countries!$AR$5:$AR$434,Countries!$A$5:$A$434,"All landing pages",Countries!$B$5:$B$434,"Direct",Countries!$D$5:$D$434,$A437)=0,"",SUMIFS(Countries!$AR$5:$AR$434,Countries!$A$5:$A$434,"All landing pages",Countries!$B$5:$B$434,"Direct",Countries!$D$5:$D$434,$A437))</f>
        <v/>
      </c>
      <c r="K437" s="41">
        <f>IF(SUMIFS(Countries!$AS$5:$AS$434,Countries!$A$5:$A$434,"All landing pages",Countries!$B$5:$B$434,"Direct",Countries!$D$5:$D$434,$A437)=0,"",SUMIFS(Countries!$AS$5:$AS$434,Countries!$A$5:$A$434,"All landing pages",Countries!$B$5:$B$434,"Direct",Countries!$D$5:$D$434,$A437))</f>
        <v/>
      </c>
      <c r="L437" s="69">
        <f>IF(OR(K437="",J437="",J437=0,K437=0),"",K437-J437)</f>
        <v/>
      </c>
      <c r="M437" s="42">
        <f>IF(OR(K437="",J437="",J437=0,K437=0),"",K437/J437-1)</f>
        <v/>
      </c>
      <c r="N437" s="41">
        <f>IF(SUM(B437,F437,J437)=0,"",SUM(B437,F437,J437))</f>
        <v/>
      </c>
      <c r="O437" s="41">
        <f>IF(SUM(C437,G437,K437)=0,"",SUM(C437,G437,K437))</f>
        <v/>
      </c>
      <c r="P437" s="69">
        <f>IF(OR(O437="",N437="",N437=0,O437=0),"",O437-N437)</f>
        <v/>
      </c>
      <c r="Q437" s="42">
        <f>IF(OR(O437="",N437="",N437=0,O437=0),"",O437/N437-1)</f>
        <v/>
      </c>
    </row>
    <row r="438">
      <c r="A438" s="56" t="inlineStr">
        <is>
          <t>Norway</t>
        </is>
      </c>
      <c r="B438" s="41">
        <f>IF(SUMIFS(Countries!$AR$5:$AR$434,Countries!$A$5:$A$434,"All landing pages",Countries!$B$5:$B$434,"Paid Search",Countries!$D$5:$D$434,$A438)=0,"",SUMIFS(Countries!$AR$5:$AR$434,Countries!$A$5:$A$434,"All landing pages",Countries!$B$5:$B$434,"Paid Search",Countries!$D$5:$D$434,$A438))</f>
        <v/>
      </c>
      <c r="C438" s="41">
        <f>IF(SUMIFS(Countries!$AS$5:$AS$434,Countries!$A$5:$A$434,"All landing pages",Countries!$B$5:$B$434,"Paid Search",Countries!$D$5:$D$434,$A438)=0,"",SUMIFS(Countries!$AS$5:$AS$434,Countries!$A$5:$A$434,"All landing pages",Countries!$B$5:$B$434,"Paid Search",Countries!$D$5:$D$434,$A438))</f>
        <v/>
      </c>
      <c r="D438" s="69">
        <f>IF(OR(C438="",B438="",B438=0,C438=0),"",C438-B438)</f>
        <v/>
      </c>
      <c r="E438" s="42">
        <f>IF(OR(C438="",B438="",B438=0,C438=0),"",C438/B438-1)</f>
        <v/>
      </c>
      <c r="F438" s="41">
        <f>IF(SUMIFS(Countries!$AR$5:$AR$434,Countries!$A$5:$A$434,"All landing pages",Countries!$B$5:$B$434,"Organic",Countries!$D$5:$D$434,$A438)=0,"",SUMIFS(Countries!$AR$5:$AR$434,Countries!$A$5:$A$434,"All landing pages",Countries!$B$5:$B$434,"Organic",Countries!$D$5:$D$434,$A438))</f>
        <v/>
      </c>
      <c r="G438" s="41">
        <f>IF(SUMIFS(Countries!$AS$5:$AS$434,Countries!$A$5:$A$434,"All landing pages",Countries!$B$5:$B$434,"Organic",Countries!$D$5:$D$434,$A438)=0,"",SUMIFS(Countries!$AS$5:$AS$434,Countries!$A$5:$A$434,"All landing pages",Countries!$B$5:$B$434,"Organic",Countries!$D$5:$D$434,$A438))</f>
        <v/>
      </c>
      <c r="H438" s="69">
        <f>IF(OR(G438="",F438="",F438=0,G438=0),"",G438-F438)</f>
        <v/>
      </c>
      <c r="I438" s="42">
        <f>IF(OR(G438="",F438="",F438=0,G438=0),"",G438/F438-1)</f>
        <v/>
      </c>
      <c r="J438" s="41">
        <f>IF(SUMIFS(Countries!$AR$5:$AR$434,Countries!$A$5:$A$434,"All landing pages",Countries!$B$5:$B$434,"Direct",Countries!$D$5:$D$434,$A438)=0,"",SUMIFS(Countries!$AR$5:$AR$434,Countries!$A$5:$A$434,"All landing pages",Countries!$B$5:$B$434,"Direct",Countries!$D$5:$D$434,$A438))</f>
        <v/>
      </c>
      <c r="K438" s="41">
        <f>IF(SUMIFS(Countries!$AS$5:$AS$434,Countries!$A$5:$A$434,"All landing pages",Countries!$B$5:$B$434,"Direct",Countries!$D$5:$D$434,$A438)=0,"",SUMIFS(Countries!$AS$5:$AS$434,Countries!$A$5:$A$434,"All landing pages",Countries!$B$5:$B$434,"Direct",Countries!$D$5:$D$434,$A438))</f>
        <v/>
      </c>
      <c r="L438" s="69">
        <f>IF(OR(K438="",J438="",J438=0,K438=0),"",K438-J438)</f>
        <v/>
      </c>
      <c r="M438" s="42">
        <f>IF(OR(K438="",J438="",J438=0,K438=0),"",K438/J438-1)</f>
        <v/>
      </c>
      <c r="N438" s="41">
        <f>IF(SUM(B438,F438,J438)=0,"",SUM(B438,F438,J438))</f>
        <v/>
      </c>
      <c r="O438" s="41">
        <f>IF(SUM(C438,G438,K438)=0,"",SUM(C438,G438,K438))</f>
        <v/>
      </c>
      <c r="P438" s="69">
        <f>IF(OR(O438="",N438="",N438=0,O438=0),"",O438-N438)</f>
        <v/>
      </c>
      <c r="Q438" s="42">
        <f>IF(OR(O438="",N438="",N438=0,O438=0),"",O438/N438-1)</f>
        <v/>
      </c>
    </row>
    <row r="439">
      <c r="A439" s="40" t="inlineStr">
        <is>
          <t>Finland</t>
        </is>
      </c>
      <c r="B439" s="41">
        <f>IF(SUMIFS(Countries!$AR$5:$AR$434,Countries!$A$5:$A$434,"All landing pages",Countries!$B$5:$B$434,"Paid Search",Countries!$D$5:$D$434,$A439)=0,"",SUMIFS(Countries!$AR$5:$AR$434,Countries!$A$5:$A$434,"All landing pages",Countries!$B$5:$B$434,"Paid Search",Countries!$D$5:$D$434,$A439))</f>
        <v/>
      </c>
      <c r="C439" s="41">
        <f>IF(SUMIFS(Countries!$AS$5:$AS$434,Countries!$A$5:$A$434,"All landing pages",Countries!$B$5:$B$434,"Paid Search",Countries!$D$5:$D$434,$A439)=0,"",SUMIFS(Countries!$AS$5:$AS$434,Countries!$A$5:$A$434,"All landing pages",Countries!$B$5:$B$434,"Paid Search",Countries!$D$5:$D$434,$A439))</f>
        <v/>
      </c>
      <c r="D439" s="69">
        <f>IF(OR(C439="",B439="",B439=0,C439=0),"",C439-B439)</f>
        <v/>
      </c>
      <c r="E439" s="42">
        <f>IF(OR(C439="",B439="",B439=0,C439=0),"",C439/B439-1)</f>
        <v/>
      </c>
      <c r="F439" s="41">
        <f>IF(SUMIFS(Countries!$AR$5:$AR$434,Countries!$A$5:$A$434,"All landing pages",Countries!$B$5:$B$434,"Organic",Countries!$D$5:$D$434,$A439)=0,"",SUMIFS(Countries!$AR$5:$AR$434,Countries!$A$5:$A$434,"All landing pages",Countries!$B$5:$B$434,"Organic",Countries!$D$5:$D$434,$A439))</f>
        <v/>
      </c>
      <c r="G439" s="41">
        <f>IF(SUMIFS(Countries!$AS$5:$AS$434,Countries!$A$5:$A$434,"All landing pages",Countries!$B$5:$B$434,"Organic",Countries!$D$5:$D$434,$A439)=0,"",SUMIFS(Countries!$AS$5:$AS$434,Countries!$A$5:$A$434,"All landing pages",Countries!$B$5:$B$434,"Organic",Countries!$D$5:$D$434,$A439))</f>
        <v/>
      </c>
      <c r="H439" s="69">
        <f>IF(OR(G439="",F439="",F439=0,G439=0),"",G439-F439)</f>
        <v/>
      </c>
      <c r="I439" s="42">
        <f>IF(OR(G439="",F439="",F439=0,G439=0),"",G439/F439-1)</f>
        <v/>
      </c>
      <c r="J439" s="41">
        <f>IF(SUMIFS(Countries!$AR$5:$AR$434,Countries!$A$5:$A$434,"All landing pages",Countries!$B$5:$B$434,"Direct",Countries!$D$5:$D$434,$A439)=0,"",SUMIFS(Countries!$AR$5:$AR$434,Countries!$A$5:$A$434,"All landing pages",Countries!$B$5:$B$434,"Direct",Countries!$D$5:$D$434,$A439))</f>
        <v/>
      </c>
      <c r="K439" s="41">
        <f>IF(SUMIFS(Countries!$AS$5:$AS$434,Countries!$A$5:$A$434,"All landing pages",Countries!$B$5:$B$434,"Direct",Countries!$D$5:$D$434,$A439)=0,"",SUMIFS(Countries!$AS$5:$AS$434,Countries!$A$5:$A$434,"All landing pages",Countries!$B$5:$B$434,"Direct",Countries!$D$5:$D$434,$A439))</f>
        <v/>
      </c>
      <c r="L439" s="69">
        <f>IF(OR(K439="",J439="",J439=0,K439=0),"",K439-J439)</f>
        <v/>
      </c>
      <c r="M439" s="42">
        <f>IF(OR(K439="",J439="",J439=0,K439=0),"",K439/J439-1)</f>
        <v/>
      </c>
      <c r="N439" s="41">
        <f>IF(SUM(B439,F439,J439)=0,"",SUM(B439,F439,J439))</f>
        <v/>
      </c>
      <c r="O439" s="41">
        <f>IF(SUM(C439,G439,K439)=0,"",SUM(C439,G439,K439))</f>
        <v/>
      </c>
      <c r="P439" s="69">
        <f>IF(OR(O439="",N439="",N439=0,O439=0),"",O439-N439)</f>
        <v/>
      </c>
      <c r="Q439" s="42">
        <f>IF(OR(O439="",N439="",N439=0,O439=0),"",O439/N439-1)</f>
        <v/>
      </c>
    </row>
    <row r="440">
      <c r="A440" s="56" t="inlineStr">
        <is>
          <t>Portugal</t>
        </is>
      </c>
      <c r="B440" s="41">
        <f>IF(SUMIFS(Countries!$AR$5:$AR$434,Countries!$A$5:$A$434,"All landing pages",Countries!$B$5:$B$434,"Paid Search",Countries!$D$5:$D$434,$A440)=0,"",SUMIFS(Countries!$AR$5:$AR$434,Countries!$A$5:$A$434,"All landing pages",Countries!$B$5:$B$434,"Paid Search",Countries!$D$5:$D$434,$A440))</f>
        <v/>
      </c>
      <c r="C440" s="41">
        <f>IF(SUMIFS(Countries!$AS$5:$AS$434,Countries!$A$5:$A$434,"All landing pages",Countries!$B$5:$B$434,"Paid Search",Countries!$D$5:$D$434,$A440)=0,"",SUMIFS(Countries!$AS$5:$AS$434,Countries!$A$5:$A$434,"All landing pages",Countries!$B$5:$B$434,"Paid Search",Countries!$D$5:$D$434,$A440))</f>
        <v/>
      </c>
      <c r="D440" s="69">
        <f>IF(OR(C440="",B440="",B440=0,C440=0),"",C440-B440)</f>
        <v/>
      </c>
      <c r="E440" s="42">
        <f>IF(OR(C440="",B440="",B440=0,C440=0),"",C440/B440-1)</f>
        <v/>
      </c>
      <c r="F440" s="41">
        <f>IF(SUMIFS(Countries!$AR$5:$AR$434,Countries!$A$5:$A$434,"All landing pages",Countries!$B$5:$B$434,"Organic",Countries!$D$5:$D$434,$A440)=0,"",SUMIFS(Countries!$AR$5:$AR$434,Countries!$A$5:$A$434,"All landing pages",Countries!$B$5:$B$434,"Organic",Countries!$D$5:$D$434,$A440))</f>
        <v/>
      </c>
      <c r="G440" s="41">
        <f>IF(SUMIFS(Countries!$AS$5:$AS$434,Countries!$A$5:$A$434,"All landing pages",Countries!$B$5:$B$434,"Organic",Countries!$D$5:$D$434,$A440)=0,"",SUMIFS(Countries!$AS$5:$AS$434,Countries!$A$5:$A$434,"All landing pages",Countries!$B$5:$B$434,"Organic",Countries!$D$5:$D$434,$A440))</f>
        <v/>
      </c>
      <c r="H440" s="69">
        <f>IF(OR(G440="",F440="",F440=0,G440=0),"",G440-F440)</f>
        <v/>
      </c>
      <c r="I440" s="42">
        <f>IF(OR(G440="",F440="",F440=0,G440=0),"",G440/F440-1)</f>
        <v/>
      </c>
      <c r="J440" s="41">
        <f>IF(SUMIFS(Countries!$AR$5:$AR$434,Countries!$A$5:$A$434,"All landing pages",Countries!$B$5:$B$434,"Direct",Countries!$D$5:$D$434,$A440)=0,"",SUMIFS(Countries!$AR$5:$AR$434,Countries!$A$5:$A$434,"All landing pages",Countries!$B$5:$B$434,"Direct",Countries!$D$5:$D$434,$A440))</f>
        <v/>
      </c>
      <c r="K440" s="41">
        <f>IF(SUMIFS(Countries!$AS$5:$AS$434,Countries!$A$5:$A$434,"All landing pages",Countries!$B$5:$B$434,"Direct",Countries!$D$5:$D$434,$A440)=0,"",SUMIFS(Countries!$AS$5:$AS$434,Countries!$A$5:$A$434,"All landing pages",Countries!$B$5:$B$434,"Direct",Countries!$D$5:$D$434,$A440))</f>
        <v/>
      </c>
      <c r="L440" s="69">
        <f>IF(OR(K440="",J440="",J440=0,K440=0),"",K440-J440)</f>
        <v/>
      </c>
      <c r="M440" s="42">
        <f>IF(OR(K440="",J440="",J440=0,K440=0),"",K440/J440-1)</f>
        <v/>
      </c>
      <c r="N440" s="41">
        <f>IF(SUM(B440,F440,J440)=0,"",SUM(B440,F440,J440))</f>
        <v/>
      </c>
      <c r="O440" s="41">
        <f>IF(SUM(C440,G440,K440)=0,"",SUM(C440,G440,K440))</f>
        <v/>
      </c>
      <c r="P440" s="69">
        <f>IF(OR(O440="",N440="",N440=0,O440=0),"",O440-N440)</f>
        <v/>
      </c>
      <c r="Q440" s="42">
        <f>IF(OR(O440="",N440="",N440=0,O440=0),"",O440/N440-1)</f>
        <v/>
      </c>
    </row>
    <row r="441">
      <c r="A441" s="40" t="inlineStr">
        <is>
          <t>Türkiye</t>
        </is>
      </c>
      <c r="B441" s="41">
        <f>IF(SUMIFS(Countries!$AR$5:$AR$434,Countries!$A$5:$A$434,"All landing pages",Countries!$B$5:$B$434,"Paid Search",Countries!$D$5:$D$434,$A441)=0,"",SUMIFS(Countries!$AR$5:$AR$434,Countries!$A$5:$A$434,"All landing pages",Countries!$B$5:$B$434,"Paid Search",Countries!$D$5:$D$434,$A441))</f>
        <v/>
      </c>
      <c r="C441" s="41">
        <f>IF(SUMIFS(Countries!$AS$5:$AS$434,Countries!$A$5:$A$434,"All landing pages",Countries!$B$5:$B$434,"Paid Search",Countries!$D$5:$D$434,$A441)=0,"",SUMIFS(Countries!$AS$5:$AS$434,Countries!$A$5:$A$434,"All landing pages",Countries!$B$5:$B$434,"Paid Search",Countries!$D$5:$D$434,$A441))</f>
        <v/>
      </c>
      <c r="D441" s="69">
        <f>IF(OR(C441="",B441="",B441=0,C441=0),"",C441-B441)</f>
        <v/>
      </c>
      <c r="E441" s="42">
        <f>IF(OR(C441="",B441="",B441=0,C441=0),"",C441/B441-1)</f>
        <v/>
      </c>
      <c r="F441" s="41">
        <f>IF(SUMIFS(Countries!$AR$5:$AR$434,Countries!$A$5:$A$434,"All landing pages",Countries!$B$5:$B$434,"Organic",Countries!$D$5:$D$434,$A441)=0,"",SUMIFS(Countries!$AR$5:$AR$434,Countries!$A$5:$A$434,"All landing pages",Countries!$B$5:$B$434,"Organic",Countries!$D$5:$D$434,$A441))</f>
        <v/>
      </c>
      <c r="G441" s="41">
        <f>IF(SUMIFS(Countries!$AS$5:$AS$434,Countries!$A$5:$A$434,"All landing pages",Countries!$B$5:$B$434,"Organic",Countries!$D$5:$D$434,$A441)=0,"",SUMIFS(Countries!$AS$5:$AS$434,Countries!$A$5:$A$434,"All landing pages",Countries!$B$5:$B$434,"Organic",Countries!$D$5:$D$434,$A441))</f>
        <v/>
      </c>
      <c r="H441" s="69">
        <f>IF(OR(G441="",F441="",F441=0,G441=0),"",G441-F441)</f>
        <v/>
      </c>
      <c r="I441" s="42">
        <f>IF(OR(G441="",F441="",F441=0,G441=0),"",G441/F441-1)</f>
        <v/>
      </c>
      <c r="J441" s="41">
        <f>IF(SUMIFS(Countries!$AR$5:$AR$434,Countries!$A$5:$A$434,"All landing pages",Countries!$B$5:$B$434,"Direct",Countries!$D$5:$D$434,$A441)=0,"",SUMIFS(Countries!$AR$5:$AR$434,Countries!$A$5:$A$434,"All landing pages",Countries!$B$5:$B$434,"Direct",Countries!$D$5:$D$434,$A441))</f>
        <v/>
      </c>
      <c r="K441" s="41">
        <f>IF(SUMIFS(Countries!$AS$5:$AS$434,Countries!$A$5:$A$434,"All landing pages",Countries!$B$5:$B$434,"Direct",Countries!$D$5:$D$434,$A441)=0,"",SUMIFS(Countries!$AS$5:$AS$434,Countries!$A$5:$A$434,"All landing pages",Countries!$B$5:$B$434,"Direct",Countries!$D$5:$D$434,$A441))</f>
        <v/>
      </c>
      <c r="L441" s="69">
        <f>IF(OR(K441="",J441="",J441=0,K441=0),"",K441-J441)</f>
        <v/>
      </c>
      <c r="M441" s="42">
        <f>IF(OR(K441="",J441="",J441=0,K441=0),"",K441/J441-1)</f>
        <v/>
      </c>
      <c r="N441" s="41">
        <f>IF(SUM(B441,F441,J441)=0,"",SUM(B441,F441,J441))</f>
        <v/>
      </c>
      <c r="O441" s="41">
        <f>IF(SUM(C441,G441,K441)=0,"",SUM(C441,G441,K441))</f>
        <v/>
      </c>
      <c r="P441" s="69">
        <f>IF(OR(O441="",N441="",N441=0,O441=0),"",O441-N441)</f>
        <v/>
      </c>
      <c r="Q441" s="42">
        <f>IF(OR(O441="",N441="",N441=0,O441=0),"",O441/N441-1)</f>
        <v/>
      </c>
    </row>
    <row r="442">
      <c r="A442" s="56" t="inlineStr">
        <is>
          <t>Australia</t>
        </is>
      </c>
      <c r="B442" s="41">
        <f>IF(SUMIFS(Countries!$AR$5:$AR$434,Countries!$A$5:$A$434,"All landing pages",Countries!$B$5:$B$434,"Paid Search",Countries!$D$5:$D$434,$A442)=0,"",SUMIFS(Countries!$AR$5:$AR$434,Countries!$A$5:$A$434,"All landing pages",Countries!$B$5:$B$434,"Paid Search",Countries!$D$5:$D$434,$A442))</f>
        <v/>
      </c>
      <c r="C442" s="41">
        <f>IF(SUMIFS(Countries!$AS$5:$AS$434,Countries!$A$5:$A$434,"All landing pages",Countries!$B$5:$B$434,"Paid Search",Countries!$D$5:$D$434,$A442)=0,"",SUMIFS(Countries!$AS$5:$AS$434,Countries!$A$5:$A$434,"All landing pages",Countries!$B$5:$B$434,"Paid Search",Countries!$D$5:$D$434,$A442))</f>
        <v/>
      </c>
      <c r="D442" s="69">
        <f>IF(OR(C442="",B442="",B442=0,C442=0),"",C442-B442)</f>
        <v/>
      </c>
      <c r="E442" s="42">
        <f>IF(OR(C442="",B442="",B442=0,C442=0),"",C442/B442-1)</f>
        <v/>
      </c>
      <c r="F442" s="41">
        <f>IF(SUMIFS(Countries!$AR$5:$AR$434,Countries!$A$5:$A$434,"All landing pages",Countries!$B$5:$B$434,"Organic",Countries!$D$5:$D$434,$A442)=0,"",SUMIFS(Countries!$AR$5:$AR$434,Countries!$A$5:$A$434,"All landing pages",Countries!$B$5:$B$434,"Organic",Countries!$D$5:$D$434,$A442))</f>
        <v/>
      </c>
      <c r="G442" s="41">
        <f>IF(SUMIFS(Countries!$AS$5:$AS$434,Countries!$A$5:$A$434,"All landing pages",Countries!$B$5:$B$434,"Organic",Countries!$D$5:$D$434,$A442)=0,"",SUMIFS(Countries!$AS$5:$AS$434,Countries!$A$5:$A$434,"All landing pages",Countries!$B$5:$B$434,"Organic",Countries!$D$5:$D$434,$A442))</f>
        <v/>
      </c>
      <c r="H442" s="69">
        <f>IF(OR(G442="",F442="",F442=0,G442=0),"",G442-F442)</f>
        <v/>
      </c>
      <c r="I442" s="42">
        <f>IF(OR(G442="",F442="",F442=0,G442=0),"",G442/F442-1)</f>
        <v/>
      </c>
      <c r="J442" s="41">
        <f>IF(SUMIFS(Countries!$AR$5:$AR$434,Countries!$A$5:$A$434,"All landing pages",Countries!$B$5:$B$434,"Direct",Countries!$D$5:$D$434,$A442)=0,"",SUMIFS(Countries!$AR$5:$AR$434,Countries!$A$5:$A$434,"All landing pages",Countries!$B$5:$B$434,"Direct",Countries!$D$5:$D$434,$A442))</f>
        <v/>
      </c>
      <c r="K442" s="41">
        <f>IF(SUMIFS(Countries!$AS$5:$AS$434,Countries!$A$5:$A$434,"All landing pages",Countries!$B$5:$B$434,"Direct",Countries!$D$5:$D$434,$A442)=0,"",SUMIFS(Countries!$AS$5:$AS$434,Countries!$A$5:$A$434,"All landing pages",Countries!$B$5:$B$434,"Direct",Countries!$D$5:$D$434,$A442))</f>
        <v/>
      </c>
      <c r="L442" s="69">
        <f>IF(OR(K442="",J442="",J442=0,K442=0),"",K442-J442)</f>
        <v/>
      </c>
      <c r="M442" s="42">
        <f>IF(OR(K442="",J442="",J442=0,K442=0),"",K442/J442-1)</f>
        <v/>
      </c>
      <c r="N442" s="41">
        <f>IF(SUM(B442,F442,J442)=0,"",SUM(B442,F442,J442))</f>
        <v/>
      </c>
      <c r="O442" s="41">
        <f>IF(SUM(C442,G442,K442)=0,"",SUM(C442,G442,K442))</f>
        <v/>
      </c>
      <c r="P442" s="69">
        <f>IF(OR(O442="",N442="",N442=0,O442=0),"",O442-N442)</f>
        <v/>
      </c>
      <c r="Q442" s="42">
        <f>IF(OR(O442="",N442="",N442=0,O442=0),"",O442/N442-1)</f>
        <v/>
      </c>
    </row>
    <row r="443">
      <c r="A443" s="40" t="inlineStr">
        <is>
          <t>Romania</t>
        </is>
      </c>
      <c r="B443" s="41">
        <f>IF(SUMIFS(Countries!$AR$5:$AR$434,Countries!$A$5:$A$434,"All landing pages",Countries!$B$5:$B$434,"Paid Search",Countries!$D$5:$D$434,$A443)=0,"",SUMIFS(Countries!$AR$5:$AR$434,Countries!$A$5:$A$434,"All landing pages",Countries!$B$5:$B$434,"Paid Search",Countries!$D$5:$D$434,$A443))</f>
        <v/>
      </c>
      <c r="C443" s="41">
        <f>IF(SUMIFS(Countries!$AS$5:$AS$434,Countries!$A$5:$A$434,"All landing pages",Countries!$B$5:$B$434,"Paid Search",Countries!$D$5:$D$434,$A443)=0,"",SUMIFS(Countries!$AS$5:$AS$434,Countries!$A$5:$A$434,"All landing pages",Countries!$B$5:$B$434,"Paid Search",Countries!$D$5:$D$434,$A443))</f>
        <v/>
      </c>
      <c r="D443" s="69">
        <f>IF(OR(C443="",B443="",B443=0,C443=0),"",C443-B443)</f>
        <v/>
      </c>
      <c r="E443" s="42">
        <f>IF(OR(C443="",B443="",B443=0,C443=0),"",C443/B443-1)</f>
        <v/>
      </c>
      <c r="F443" s="41">
        <f>IF(SUMIFS(Countries!$AR$5:$AR$434,Countries!$A$5:$A$434,"All landing pages",Countries!$B$5:$B$434,"Organic",Countries!$D$5:$D$434,$A443)=0,"",SUMIFS(Countries!$AR$5:$AR$434,Countries!$A$5:$A$434,"All landing pages",Countries!$B$5:$B$434,"Organic",Countries!$D$5:$D$434,$A443))</f>
        <v/>
      </c>
      <c r="G443" s="41">
        <f>IF(SUMIFS(Countries!$AS$5:$AS$434,Countries!$A$5:$A$434,"All landing pages",Countries!$B$5:$B$434,"Organic",Countries!$D$5:$D$434,$A443)=0,"",SUMIFS(Countries!$AS$5:$AS$434,Countries!$A$5:$A$434,"All landing pages",Countries!$B$5:$B$434,"Organic",Countries!$D$5:$D$434,$A443))</f>
        <v/>
      </c>
      <c r="H443" s="69">
        <f>IF(OR(G443="",F443="",F443=0,G443=0),"",G443-F443)</f>
        <v/>
      </c>
      <c r="I443" s="42">
        <f>IF(OR(G443="",F443="",F443=0,G443=0),"",G443/F443-1)</f>
        <v/>
      </c>
      <c r="J443" s="41">
        <f>IF(SUMIFS(Countries!$AR$5:$AR$434,Countries!$A$5:$A$434,"All landing pages",Countries!$B$5:$B$434,"Direct",Countries!$D$5:$D$434,$A443)=0,"",SUMIFS(Countries!$AR$5:$AR$434,Countries!$A$5:$A$434,"All landing pages",Countries!$B$5:$B$434,"Direct",Countries!$D$5:$D$434,$A443))</f>
        <v/>
      </c>
      <c r="K443" s="41">
        <f>IF(SUMIFS(Countries!$AS$5:$AS$434,Countries!$A$5:$A$434,"All landing pages",Countries!$B$5:$B$434,"Direct",Countries!$D$5:$D$434,$A443)=0,"",SUMIFS(Countries!$AS$5:$AS$434,Countries!$A$5:$A$434,"All landing pages",Countries!$B$5:$B$434,"Direct",Countries!$D$5:$D$434,$A443))</f>
        <v/>
      </c>
      <c r="L443" s="69">
        <f>IF(OR(K443="",J443="",J443=0,K443=0),"",K443-J443)</f>
        <v/>
      </c>
      <c r="M443" s="42">
        <f>IF(OR(K443="",J443="",J443=0,K443=0),"",K443/J443-1)</f>
        <v/>
      </c>
      <c r="N443" s="41">
        <f>IF(SUM(B443,F443,J443)=0,"",SUM(B443,F443,J443))</f>
        <v/>
      </c>
      <c r="O443" s="41">
        <f>IF(SUM(C443,G443,K443)=0,"",SUM(C443,G443,K443))</f>
        <v/>
      </c>
      <c r="P443" s="69">
        <f>IF(OR(O443="",N443="",N443=0,O443=0),"",O443-N443)</f>
        <v/>
      </c>
      <c r="Q443" s="42">
        <f>IF(OR(O443="",N443="",N443=0,O443=0),"",O443/N443-1)</f>
        <v/>
      </c>
    </row>
    <row r="444">
      <c r="A444" s="56" t="inlineStr">
        <is>
          <t>Canada</t>
        </is>
      </c>
      <c r="B444" s="41">
        <f>IF(SUMIFS(Countries!$AR$5:$AR$434,Countries!$A$5:$A$434,"All landing pages",Countries!$B$5:$B$434,"Paid Search",Countries!$D$5:$D$434,$A444)=0,"",SUMIFS(Countries!$AR$5:$AR$434,Countries!$A$5:$A$434,"All landing pages",Countries!$B$5:$B$434,"Paid Search",Countries!$D$5:$D$434,$A444))</f>
        <v/>
      </c>
      <c r="C444" s="41">
        <f>IF(SUMIFS(Countries!$AS$5:$AS$434,Countries!$A$5:$A$434,"All landing pages",Countries!$B$5:$B$434,"Paid Search",Countries!$D$5:$D$434,$A444)=0,"",SUMIFS(Countries!$AS$5:$AS$434,Countries!$A$5:$A$434,"All landing pages",Countries!$B$5:$B$434,"Paid Search",Countries!$D$5:$D$434,$A444))</f>
        <v/>
      </c>
      <c r="D444" s="69">
        <f>IF(OR(C444="",B444="",B444=0,C444=0),"",C444-B444)</f>
        <v/>
      </c>
      <c r="E444" s="42">
        <f>IF(OR(C444="",B444="",B444=0,C444=0),"",C444/B444-1)</f>
        <v/>
      </c>
      <c r="F444" s="41">
        <f>IF(SUMIFS(Countries!$AR$5:$AR$434,Countries!$A$5:$A$434,"All landing pages",Countries!$B$5:$B$434,"Organic",Countries!$D$5:$D$434,$A444)=0,"",SUMIFS(Countries!$AR$5:$AR$434,Countries!$A$5:$A$434,"All landing pages",Countries!$B$5:$B$434,"Organic",Countries!$D$5:$D$434,$A444))</f>
        <v/>
      </c>
      <c r="G444" s="41">
        <f>IF(SUMIFS(Countries!$AS$5:$AS$434,Countries!$A$5:$A$434,"All landing pages",Countries!$B$5:$B$434,"Organic",Countries!$D$5:$D$434,$A444)=0,"",SUMIFS(Countries!$AS$5:$AS$434,Countries!$A$5:$A$434,"All landing pages",Countries!$B$5:$B$434,"Organic",Countries!$D$5:$D$434,$A444))</f>
        <v/>
      </c>
      <c r="H444" s="69">
        <f>IF(OR(G444="",F444="",F444=0,G444=0),"",G444-F444)</f>
        <v/>
      </c>
      <c r="I444" s="42">
        <f>IF(OR(G444="",F444="",F444=0,G444=0),"",G444/F444-1)</f>
        <v/>
      </c>
      <c r="J444" s="41">
        <f>IF(SUMIFS(Countries!$AR$5:$AR$434,Countries!$A$5:$A$434,"All landing pages",Countries!$B$5:$B$434,"Direct",Countries!$D$5:$D$434,$A444)=0,"",SUMIFS(Countries!$AR$5:$AR$434,Countries!$A$5:$A$434,"All landing pages",Countries!$B$5:$B$434,"Direct",Countries!$D$5:$D$434,$A444))</f>
        <v/>
      </c>
      <c r="K444" s="41">
        <f>IF(SUMIFS(Countries!$AS$5:$AS$434,Countries!$A$5:$A$434,"All landing pages",Countries!$B$5:$B$434,"Direct",Countries!$D$5:$D$434,$A444)=0,"",SUMIFS(Countries!$AS$5:$AS$434,Countries!$A$5:$A$434,"All landing pages",Countries!$B$5:$B$434,"Direct",Countries!$D$5:$D$434,$A444))</f>
        <v/>
      </c>
      <c r="L444" s="69">
        <f>IF(OR(K444="",J444="",J444=0,K444=0),"",K444-J444)</f>
        <v/>
      </c>
      <c r="M444" s="42">
        <f>IF(OR(K444="",J444="",J444=0,K444=0),"",K444/J444-1)</f>
        <v/>
      </c>
      <c r="N444" s="41">
        <f>IF(SUM(B444,F444,J444)=0,"",SUM(B444,F444,J444))</f>
        <v/>
      </c>
      <c r="O444" s="41">
        <f>IF(SUM(C444,G444,K444)=0,"",SUM(C444,G444,K444))</f>
        <v/>
      </c>
      <c r="P444" s="69">
        <f>IF(OR(O444="",N444="",N444=0,O444=0),"",O444-N444)</f>
        <v/>
      </c>
      <c r="Q444" s="42">
        <f>IF(OR(O444="",N444="",N444=0,O444=0),"",O444/N444-1)</f>
        <v/>
      </c>
    </row>
    <row r="445">
      <c r="A445" s="40" t="inlineStr">
        <is>
          <t>Greece</t>
        </is>
      </c>
      <c r="B445" s="41">
        <f>IF(SUMIFS(Countries!$AR$5:$AR$434,Countries!$A$5:$A$434,"All landing pages",Countries!$B$5:$B$434,"Paid Search",Countries!$D$5:$D$434,$A445)=0,"",SUMIFS(Countries!$AR$5:$AR$434,Countries!$A$5:$A$434,"All landing pages",Countries!$B$5:$B$434,"Paid Search",Countries!$D$5:$D$434,$A445))</f>
        <v/>
      </c>
      <c r="C445" s="41">
        <f>IF(SUMIFS(Countries!$AS$5:$AS$434,Countries!$A$5:$A$434,"All landing pages",Countries!$B$5:$B$434,"Paid Search",Countries!$D$5:$D$434,$A445)=0,"",SUMIFS(Countries!$AS$5:$AS$434,Countries!$A$5:$A$434,"All landing pages",Countries!$B$5:$B$434,"Paid Search",Countries!$D$5:$D$434,$A445))</f>
        <v/>
      </c>
      <c r="D445" s="69">
        <f>IF(OR(C445="",B445="",B445=0,C445=0),"",C445-B445)</f>
        <v/>
      </c>
      <c r="E445" s="42">
        <f>IF(OR(C445="",B445="",B445=0,C445=0),"",C445/B445-1)</f>
        <v/>
      </c>
      <c r="F445" s="41">
        <f>IF(SUMIFS(Countries!$AR$5:$AR$434,Countries!$A$5:$A$434,"All landing pages",Countries!$B$5:$B$434,"Organic",Countries!$D$5:$D$434,$A445)=0,"",SUMIFS(Countries!$AR$5:$AR$434,Countries!$A$5:$A$434,"All landing pages",Countries!$B$5:$B$434,"Organic",Countries!$D$5:$D$434,$A445))</f>
        <v/>
      </c>
      <c r="G445" s="41">
        <f>IF(SUMIFS(Countries!$AS$5:$AS$434,Countries!$A$5:$A$434,"All landing pages",Countries!$B$5:$B$434,"Organic",Countries!$D$5:$D$434,$A445)=0,"",SUMIFS(Countries!$AS$5:$AS$434,Countries!$A$5:$A$434,"All landing pages",Countries!$B$5:$B$434,"Organic",Countries!$D$5:$D$434,$A445))</f>
        <v/>
      </c>
      <c r="H445" s="69">
        <f>IF(OR(G445="",F445="",F445=0,G445=0),"",G445-F445)</f>
        <v/>
      </c>
      <c r="I445" s="42">
        <f>IF(OR(G445="",F445="",F445=0,G445=0),"",G445/F445-1)</f>
        <v/>
      </c>
      <c r="J445" s="41">
        <f>IF(SUMIFS(Countries!$AR$5:$AR$434,Countries!$A$5:$A$434,"All landing pages",Countries!$B$5:$B$434,"Direct",Countries!$D$5:$D$434,$A445)=0,"",SUMIFS(Countries!$AR$5:$AR$434,Countries!$A$5:$A$434,"All landing pages",Countries!$B$5:$B$434,"Direct",Countries!$D$5:$D$434,$A445))</f>
        <v/>
      </c>
      <c r="K445" s="41">
        <f>IF(SUMIFS(Countries!$AS$5:$AS$434,Countries!$A$5:$A$434,"All landing pages",Countries!$B$5:$B$434,"Direct",Countries!$D$5:$D$434,$A445)=0,"",SUMIFS(Countries!$AS$5:$AS$434,Countries!$A$5:$A$434,"All landing pages",Countries!$B$5:$B$434,"Direct",Countries!$D$5:$D$434,$A445))</f>
        <v/>
      </c>
      <c r="L445" s="69">
        <f>IF(OR(K445="",J445="",J445=0,K445=0),"",K445-J445)</f>
        <v/>
      </c>
      <c r="M445" s="42">
        <f>IF(OR(K445="",J445="",J445=0,K445=0),"",K445/J445-1)</f>
        <v/>
      </c>
      <c r="N445" s="41">
        <f>IF(SUM(B445,F445,J445)=0,"",SUM(B445,F445,J445))</f>
        <v/>
      </c>
      <c r="O445" s="41">
        <f>IF(SUM(C445,G445,K445)=0,"",SUM(C445,G445,K445))</f>
        <v/>
      </c>
      <c r="P445" s="69">
        <f>IF(OR(O445="",N445="",N445=0,O445=0),"",O445-N445)</f>
        <v/>
      </c>
      <c r="Q445" s="42">
        <f>IF(OR(O445="",N445="",N445=0,O445=0),"",O445/N445-1)</f>
        <v/>
      </c>
    </row>
    <row r="446">
      <c r="A446" s="56" t="inlineStr">
        <is>
          <t>Switzerland</t>
        </is>
      </c>
      <c r="B446" s="41">
        <f>IF(SUMIFS(Countries!$AR$5:$AR$434,Countries!$A$5:$A$434,"All landing pages",Countries!$B$5:$B$434,"Paid Search",Countries!$D$5:$D$434,$A446)=0,"",SUMIFS(Countries!$AR$5:$AR$434,Countries!$A$5:$A$434,"All landing pages",Countries!$B$5:$B$434,"Paid Search",Countries!$D$5:$D$434,$A446))</f>
        <v/>
      </c>
      <c r="C446" s="41">
        <f>IF(SUMIFS(Countries!$AS$5:$AS$434,Countries!$A$5:$A$434,"All landing pages",Countries!$B$5:$B$434,"Paid Search",Countries!$D$5:$D$434,$A446)=0,"",SUMIFS(Countries!$AS$5:$AS$434,Countries!$A$5:$A$434,"All landing pages",Countries!$B$5:$B$434,"Paid Search",Countries!$D$5:$D$434,$A446))</f>
        <v/>
      </c>
      <c r="D446" s="69">
        <f>IF(OR(C446="",B446="",B446=0,C446=0),"",C446-B446)</f>
        <v/>
      </c>
      <c r="E446" s="42">
        <f>IF(OR(C446="",B446="",B446=0,C446=0),"",C446/B446-1)</f>
        <v/>
      </c>
      <c r="F446" s="41">
        <f>IF(SUMIFS(Countries!$AR$5:$AR$434,Countries!$A$5:$A$434,"All landing pages",Countries!$B$5:$B$434,"Organic",Countries!$D$5:$D$434,$A446)=0,"",SUMIFS(Countries!$AR$5:$AR$434,Countries!$A$5:$A$434,"All landing pages",Countries!$B$5:$B$434,"Organic",Countries!$D$5:$D$434,$A446))</f>
        <v/>
      </c>
      <c r="G446" s="41">
        <f>IF(SUMIFS(Countries!$AS$5:$AS$434,Countries!$A$5:$A$434,"All landing pages",Countries!$B$5:$B$434,"Organic",Countries!$D$5:$D$434,$A446)=0,"",SUMIFS(Countries!$AS$5:$AS$434,Countries!$A$5:$A$434,"All landing pages",Countries!$B$5:$B$434,"Organic",Countries!$D$5:$D$434,$A446))</f>
        <v/>
      </c>
      <c r="H446" s="69">
        <f>IF(OR(G446="",F446="",F446=0,G446=0),"",G446-F446)</f>
        <v/>
      </c>
      <c r="I446" s="42">
        <f>IF(OR(G446="",F446="",F446=0,G446=0),"",G446/F446-1)</f>
        <v/>
      </c>
      <c r="J446" s="41">
        <f>IF(SUMIFS(Countries!$AR$5:$AR$434,Countries!$A$5:$A$434,"All landing pages",Countries!$B$5:$B$434,"Direct",Countries!$D$5:$D$434,$A446)=0,"",SUMIFS(Countries!$AR$5:$AR$434,Countries!$A$5:$A$434,"All landing pages",Countries!$B$5:$B$434,"Direct",Countries!$D$5:$D$434,$A446))</f>
        <v/>
      </c>
      <c r="K446" s="41">
        <f>IF(SUMIFS(Countries!$AS$5:$AS$434,Countries!$A$5:$A$434,"All landing pages",Countries!$B$5:$B$434,"Direct",Countries!$D$5:$D$434,$A446)=0,"",SUMIFS(Countries!$AS$5:$AS$434,Countries!$A$5:$A$434,"All landing pages",Countries!$B$5:$B$434,"Direct",Countries!$D$5:$D$434,$A446))</f>
        <v/>
      </c>
      <c r="L446" s="69">
        <f>IF(OR(K446="",J446="",J446=0,K446=0),"",K446-J446)</f>
        <v/>
      </c>
      <c r="M446" s="42">
        <f>IF(OR(K446="",J446="",J446=0,K446=0),"",K446/J446-1)</f>
        <v/>
      </c>
      <c r="N446" s="41">
        <f>IF(SUM(B446,F446,J446)=0,"",SUM(B446,F446,J446))</f>
        <v/>
      </c>
      <c r="O446" s="41">
        <f>IF(SUM(C446,G446,K446)=0,"",SUM(C446,G446,K446))</f>
        <v/>
      </c>
      <c r="P446" s="69">
        <f>IF(OR(O446="",N446="",N446=0,O446=0),"",O446-N446)</f>
        <v/>
      </c>
      <c r="Q446" s="42">
        <f>IF(OR(O446="",N446="",N446=0,O446=0),"",O446/N446-1)</f>
        <v/>
      </c>
    </row>
    <row r="447">
      <c r="A447" s="40" t="inlineStr">
        <is>
          <t>(not set)</t>
        </is>
      </c>
      <c r="B447" s="41">
        <f>IF(SUMIFS(Countries!$AR$5:$AR$434,Countries!$A$5:$A$434,"All landing pages",Countries!$B$5:$B$434,"Paid Search",Countries!$D$5:$D$434,$A447)=0,"",SUMIFS(Countries!$AR$5:$AR$434,Countries!$A$5:$A$434,"All landing pages",Countries!$B$5:$B$434,"Paid Search",Countries!$D$5:$D$434,$A447))</f>
        <v/>
      </c>
      <c r="C447" s="41">
        <f>IF(SUMIFS(Countries!$AS$5:$AS$434,Countries!$A$5:$A$434,"All landing pages",Countries!$B$5:$B$434,"Paid Search",Countries!$D$5:$D$434,$A447)=0,"",SUMIFS(Countries!$AS$5:$AS$434,Countries!$A$5:$A$434,"All landing pages",Countries!$B$5:$B$434,"Paid Search",Countries!$D$5:$D$434,$A447))</f>
        <v/>
      </c>
      <c r="D447" s="69">
        <f>IF(OR(C447="",B447="",B447=0,C447=0),"",C447-B447)</f>
        <v/>
      </c>
      <c r="E447" s="42">
        <f>IF(OR(C447="",B447="",B447=0,C447=0),"",C447/B447-1)</f>
        <v/>
      </c>
      <c r="F447" s="41">
        <f>IF(SUMIFS(Countries!$AR$5:$AR$434,Countries!$A$5:$A$434,"All landing pages",Countries!$B$5:$B$434,"Organic",Countries!$D$5:$D$434,$A447)=0,"",SUMIFS(Countries!$AR$5:$AR$434,Countries!$A$5:$A$434,"All landing pages",Countries!$B$5:$B$434,"Organic",Countries!$D$5:$D$434,$A447))</f>
        <v/>
      </c>
      <c r="G447" s="41">
        <f>IF(SUMIFS(Countries!$AS$5:$AS$434,Countries!$A$5:$A$434,"All landing pages",Countries!$B$5:$B$434,"Organic",Countries!$D$5:$D$434,$A447)=0,"",SUMIFS(Countries!$AS$5:$AS$434,Countries!$A$5:$A$434,"All landing pages",Countries!$B$5:$B$434,"Organic",Countries!$D$5:$D$434,$A447))</f>
        <v/>
      </c>
      <c r="H447" s="69">
        <f>IF(OR(G447="",F447="",F447=0,G447=0),"",G447-F447)</f>
        <v/>
      </c>
      <c r="I447" s="42">
        <f>IF(OR(G447="",F447="",F447=0,G447=0),"",G447/F447-1)</f>
        <v/>
      </c>
      <c r="J447" s="41">
        <f>IF(SUMIFS(Countries!$AR$5:$AR$434,Countries!$A$5:$A$434,"All landing pages",Countries!$B$5:$B$434,"Direct",Countries!$D$5:$D$434,$A447)=0,"",SUMIFS(Countries!$AR$5:$AR$434,Countries!$A$5:$A$434,"All landing pages",Countries!$B$5:$B$434,"Direct",Countries!$D$5:$D$434,$A447))</f>
        <v/>
      </c>
      <c r="K447" s="41">
        <f>IF(SUMIFS(Countries!$AS$5:$AS$434,Countries!$A$5:$A$434,"All landing pages",Countries!$B$5:$B$434,"Direct",Countries!$D$5:$D$434,$A447)=0,"",SUMIFS(Countries!$AS$5:$AS$434,Countries!$A$5:$A$434,"All landing pages",Countries!$B$5:$B$434,"Direct",Countries!$D$5:$D$434,$A447))</f>
        <v/>
      </c>
      <c r="L447" s="69">
        <f>IF(OR(K447="",J447="",J447=0,K447=0),"",K447-J447)</f>
        <v/>
      </c>
      <c r="M447" s="42">
        <f>IF(OR(K447="",J447="",J447=0,K447=0),"",K447/J447-1)</f>
        <v/>
      </c>
      <c r="N447" s="41">
        <f>IF(SUM(B447,F447,J447)=0,"",SUM(B447,F447,J447))</f>
        <v/>
      </c>
      <c r="O447" s="41">
        <f>IF(SUM(C447,G447,K447)=0,"",SUM(C447,G447,K447))</f>
        <v/>
      </c>
      <c r="P447" s="69">
        <f>IF(OR(O447="",N447="",N447=0,O447=0),"",O447-N447)</f>
        <v/>
      </c>
      <c r="Q447" s="42">
        <f>IF(OR(O447="",N447="",N447=0,O447=0),"",O447/N447-1)</f>
        <v/>
      </c>
    </row>
    <row r="448">
      <c r="A448" s="56" t="inlineStr">
        <is>
          <t>Algeria</t>
        </is>
      </c>
      <c r="B448" s="41">
        <f>IF(SUMIFS(Countries!$AR$5:$AR$434,Countries!$A$5:$A$434,"All landing pages",Countries!$B$5:$B$434,"Paid Search",Countries!$D$5:$D$434,$A448)=0,"",SUMIFS(Countries!$AR$5:$AR$434,Countries!$A$5:$A$434,"All landing pages",Countries!$B$5:$B$434,"Paid Search",Countries!$D$5:$D$434,$A448))</f>
        <v/>
      </c>
      <c r="C448" s="41">
        <f>IF(SUMIFS(Countries!$AS$5:$AS$434,Countries!$A$5:$A$434,"All landing pages",Countries!$B$5:$B$434,"Paid Search",Countries!$D$5:$D$434,$A448)=0,"",SUMIFS(Countries!$AS$5:$AS$434,Countries!$A$5:$A$434,"All landing pages",Countries!$B$5:$B$434,"Paid Search",Countries!$D$5:$D$434,$A448))</f>
        <v/>
      </c>
      <c r="D448" s="69">
        <f>IF(OR(C448="",B448="",B448=0,C448=0),"",C448-B448)</f>
        <v/>
      </c>
      <c r="E448" s="42">
        <f>IF(OR(C448="",B448="",B448=0,C448=0),"",C448/B448-1)</f>
        <v/>
      </c>
      <c r="F448" s="41">
        <f>IF(SUMIFS(Countries!$AR$5:$AR$434,Countries!$A$5:$A$434,"All landing pages",Countries!$B$5:$B$434,"Organic",Countries!$D$5:$D$434,$A448)=0,"",SUMIFS(Countries!$AR$5:$AR$434,Countries!$A$5:$A$434,"All landing pages",Countries!$B$5:$B$434,"Organic",Countries!$D$5:$D$434,$A448))</f>
        <v/>
      </c>
      <c r="G448" s="41">
        <f>IF(SUMIFS(Countries!$AS$5:$AS$434,Countries!$A$5:$A$434,"All landing pages",Countries!$B$5:$B$434,"Organic",Countries!$D$5:$D$434,$A448)=0,"",SUMIFS(Countries!$AS$5:$AS$434,Countries!$A$5:$A$434,"All landing pages",Countries!$B$5:$B$434,"Organic",Countries!$D$5:$D$434,$A448))</f>
        <v/>
      </c>
      <c r="H448" s="69">
        <f>IF(OR(G448="",F448="",F448=0,G448=0),"",G448-F448)</f>
        <v/>
      </c>
      <c r="I448" s="42">
        <f>IF(OR(G448="",F448="",F448=0,G448=0),"",G448/F448-1)</f>
        <v/>
      </c>
      <c r="J448" s="41">
        <f>IF(SUMIFS(Countries!$AR$5:$AR$434,Countries!$A$5:$A$434,"All landing pages",Countries!$B$5:$B$434,"Direct",Countries!$D$5:$D$434,$A448)=0,"",SUMIFS(Countries!$AR$5:$AR$434,Countries!$A$5:$A$434,"All landing pages",Countries!$B$5:$B$434,"Direct",Countries!$D$5:$D$434,$A448))</f>
        <v/>
      </c>
      <c r="K448" s="41">
        <f>IF(SUMIFS(Countries!$AS$5:$AS$434,Countries!$A$5:$A$434,"All landing pages",Countries!$B$5:$B$434,"Direct",Countries!$D$5:$D$434,$A448)=0,"",SUMIFS(Countries!$AS$5:$AS$434,Countries!$A$5:$A$434,"All landing pages",Countries!$B$5:$B$434,"Direct",Countries!$D$5:$D$434,$A448))</f>
        <v/>
      </c>
      <c r="L448" s="69">
        <f>IF(OR(K448="",J448="",J448=0,K448=0),"",K448-J448)</f>
        <v/>
      </c>
      <c r="M448" s="42">
        <f>IF(OR(K448="",J448="",J448=0,K448=0),"",K448/J448-1)</f>
        <v/>
      </c>
      <c r="N448" s="41">
        <f>IF(SUM(B448,F448,J448)=0,"",SUM(B448,F448,J448))</f>
        <v/>
      </c>
      <c r="O448" s="41">
        <f>IF(SUM(C448,G448,K448)=0,"",SUM(C448,G448,K448))</f>
        <v/>
      </c>
      <c r="P448" s="69">
        <f>IF(OR(O448="",N448="",N448=0,O448=0),"",O448-N448)</f>
        <v/>
      </c>
      <c r="Q448" s="42">
        <f>IF(OR(O448="",N448="",N448=0,O448=0),"",O448/N448-1)</f>
        <v/>
      </c>
    </row>
    <row r="449">
      <c r="A449" s="40" t="inlineStr">
        <is>
          <t>Argentina</t>
        </is>
      </c>
      <c r="B449" s="41">
        <f>IF(SUMIFS(Countries!$AR$5:$AR$434,Countries!$A$5:$A$434,"All landing pages",Countries!$B$5:$B$434,"Paid Search",Countries!$D$5:$D$434,$A449)=0,"",SUMIFS(Countries!$AR$5:$AR$434,Countries!$A$5:$A$434,"All landing pages",Countries!$B$5:$B$434,"Paid Search",Countries!$D$5:$D$434,$A449))</f>
        <v/>
      </c>
      <c r="C449" s="41">
        <f>IF(SUMIFS(Countries!$AS$5:$AS$434,Countries!$A$5:$A$434,"All landing pages",Countries!$B$5:$B$434,"Paid Search",Countries!$D$5:$D$434,$A449)=0,"",SUMIFS(Countries!$AS$5:$AS$434,Countries!$A$5:$A$434,"All landing pages",Countries!$B$5:$B$434,"Paid Search",Countries!$D$5:$D$434,$A449))</f>
        <v/>
      </c>
      <c r="D449" s="69">
        <f>IF(OR(C449="",B449="",B449=0,C449=0),"",C449-B449)</f>
        <v/>
      </c>
      <c r="E449" s="42">
        <f>IF(OR(C449="",B449="",B449=0,C449=0),"",C449/B449-1)</f>
        <v/>
      </c>
      <c r="F449" s="41">
        <f>IF(SUMIFS(Countries!$AR$5:$AR$434,Countries!$A$5:$A$434,"All landing pages",Countries!$B$5:$B$434,"Organic",Countries!$D$5:$D$434,$A449)=0,"",SUMIFS(Countries!$AR$5:$AR$434,Countries!$A$5:$A$434,"All landing pages",Countries!$B$5:$B$434,"Organic",Countries!$D$5:$D$434,$A449))</f>
        <v/>
      </c>
      <c r="G449" s="41">
        <f>IF(SUMIFS(Countries!$AS$5:$AS$434,Countries!$A$5:$A$434,"All landing pages",Countries!$B$5:$B$434,"Organic",Countries!$D$5:$D$434,$A449)=0,"",SUMIFS(Countries!$AS$5:$AS$434,Countries!$A$5:$A$434,"All landing pages",Countries!$B$5:$B$434,"Organic",Countries!$D$5:$D$434,$A449))</f>
        <v/>
      </c>
      <c r="H449" s="69">
        <f>IF(OR(G449="",F449="",F449=0,G449=0),"",G449-F449)</f>
        <v/>
      </c>
      <c r="I449" s="42">
        <f>IF(OR(G449="",F449="",F449=0,G449=0),"",G449/F449-1)</f>
        <v/>
      </c>
      <c r="J449" s="41">
        <f>IF(SUMIFS(Countries!$AR$5:$AR$434,Countries!$A$5:$A$434,"All landing pages",Countries!$B$5:$B$434,"Direct",Countries!$D$5:$D$434,$A449)=0,"",SUMIFS(Countries!$AR$5:$AR$434,Countries!$A$5:$A$434,"All landing pages",Countries!$B$5:$B$434,"Direct",Countries!$D$5:$D$434,$A449))</f>
        <v/>
      </c>
      <c r="K449" s="41">
        <f>IF(SUMIFS(Countries!$AS$5:$AS$434,Countries!$A$5:$A$434,"All landing pages",Countries!$B$5:$B$434,"Direct",Countries!$D$5:$D$434,$A449)=0,"",SUMIFS(Countries!$AS$5:$AS$434,Countries!$A$5:$A$434,"All landing pages",Countries!$B$5:$B$434,"Direct",Countries!$D$5:$D$434,$A449))</f>
        <v/>
      </c>
      <c r="L449" s="69">
        <f>IF(OR(K449="",J449="",J449=0,K449=0),"",K449-J449)</f>
        <v/>
      </c>
      <c r="M449" s="42">
        <f>IF(OR(K449="",J449="",J449=0,K449=0),"",K449/J449-1)</f>
        <v/>
      </c>
      <c r="N449" s="41">
        <f>IF(SUM(B449,F449,J449)=0,"",SUM(B449,F449,J449))</f>
        <v/>
      </c>
      <c r="O449" s="41">
        <f>IF(SUM(C449,G449,K449)=0,"",SUM(C449,G449,K449))</f>
        <v/>
      </c>
      <c r="P449" s="69">
        <f>IF(OR(O449="",N449="",N449=0,O449=0),"",O449-N449)</f>
        <v/>
      </c>
      <c r="Q449" s="42">
        <f>IF(OR(O449="",N449="",N449=0,O449=0),"",O449/N449-1)</f>
        <v/>
      </c>
    </row>
    <row r="450">
      <c r="A450" s="56" t="inlineStr">
        <is>
          <t>Bangladesh</t>
        </is>
      </c>
      <c r="B450" s="41">
        <f>IF(SUMIFS(Countries!$AR$5:$AR$434,Countries!$A$5:$A$434,"All landing pages",Countries!$B$5:$B$434,"Paid Search",Countries!$D$5:$D$434,$A450)=0,"",SUMIFS(Countries!$AR$5:$AR$434,Countries!$A$5:$A$434,"All landing pages",Countries!$B$5:$B$434,"Paid Search",Countries!$D$5:$D$434,$A450))</f>
        <v/>
      </c>
      <c r="C450" s="41">
        <f>IF(SUMIFS(Countries!$AS$5:$AS$434,Countries!$A$5:$A$434,"All landing pages",Countries!$B$5:$B$434,"Paid Search",Countries!$D$5:$D$434,$A450)=0,"",SUMIFS(Countries!$AS$5:$AS$434,Countries!$A$5:$A$434,"All landing pages",Countries!$B$5:$B$434,"Paid Search",Countries!$D$5:$D$434,$A450))</f>
        <v/>
      </c>
      <c r="D450" s="69">
        <f>IF(OR(C450="",B450="",B450=0,C450=0),"",C450-B450)</f>
        <v/>
      </c>
      <c r="E450" s="42">
        <f>IF(OR(C450="",B450="",B450=0,C450=0),"",C450/B450-1)</f>
        <v/>
      </c>
      <c r="F450" s="41">
        <f>IF(SUMIFS(Countries!$AR$5:$AR$434,Countries!$A$5:$A$434,"All landing pages",Countries!$B$5:$B$434,"Organic",Countries!$D$5:$D$434,$A450)=0,"",SUMIFS(Countries!$AR$5:$AR$434,Countries!$A$5:$A$434,"All landing pages",Countries!$B$5:$B$434,"Organic",Countries!$D$5:$D$434,$A450))</f>
        <v/>
      </c>
      <c r="G450" s="41">
        <f>IF(SUMIFS(Countries!$AS$5:$AS$434,Countries!$A$5:$A$434,"All landing pages",Countries!$B$5:$B$434,"Organic",Countries!$D$5:$D$434,$A450)=0,"",SUMIFS(Countries!$AS$5:$AS$434,Countries!$A$5:$A$434,"All landing pages",Countries!$B$5:$B$434,"Organic",Countries!$D$5:$D$434,$A450))</f>
        <v/>
      </c>
      <c r="H450" s="69">
        <f>IF(OR(G450="",F450="",F450=0,G450=0),"",G450-F450)</f>
        <v/>
      </c>
      <c r="I450" s="42">
        <f>IF(OR(G450="",F450="",F450=0,G450=0),"",G450/F450-1)</f>
        <v/>
      </c>
      <c r="J450" s="41">
        <f>IF(SUMIFS(Countries!$AR$5:$AR$434,Countries!$A$5:$A$434,"All landing pages",Countries!$B$5:$B$434,"Direct",Countries!$D$5:$D$434,$A450)=0,"",SUMIFS(Countries!$AR$5:$AR$434,Countries!$A$5:$A$434,"All landing pages",Countries!$B$5:$B$434,"Direct",Countries!$D$5:$D$434,$A450))</f>
        <v/>
      </c>
      <c r="K450" s="41">
        <f>IF(SUMIFS(Countries!$AS$5:$AS$434,Countries!$A$5:$A$434,"All landing pages",Countries!$B$5:$B$434,"Direct",Countries!$D$5:$D$434,$A450)=0,"",SUMIFS(Countries!$AS$5:$AS$434,Countries!$A$5:$A$434,"All landing pages",Countries!$B$5:$B$434,"Direct",Countries!$D$5:$D$434,$A450))</f>
        <v/>
      </c>
      <c r="L450" s="69">
        <f>IF(OR(K450="",J450="",J450=0,K450=0),"",K450-J450)</f>
        <v/>
      </c>
      <c r="M450" s="42">
        <f>IF(OR(K450="",J450="",J450=0,K450=0),"",K450/J450-1)</f>
        <v/>
      </c>
      <c r="N450" s="41">
        <f>IF(SUM(B450,F450,J450)=0,"",SUM(B450,F450,J450))</f>
        <v/>
      </c>
      <c r="O450" s="41">
        <f>IF(SUM(C450,G450,K450)=0,"",SUM(C450,G450,K450))</f>
        <v/>
      </c>
      <c r="P450" s="69">
        <f>IF(OR(O450="",N450="",N450=0,O450=0),"",O450-N450)</f>
        <v/>
      </c>
      <c r="Q450" s="42">
        <f>IF(OR(O450="",N450="",N450=0,O450=0),"",O450/N450-1)</f>
        <v/>
      </c>
    </row>
    <row r="451">
      <c r="A451" s="40" t="inlineStr">
        <is>
          <t>Brazil</t>
        </is>
      </c>
      <c r="B451" s="41">
        <f>IF(SUMIFS(Countries!$AR$5:$AR$434,Countries!$A$5:$A$434,"All landing pages",Countries!$B$5:$B$434,"Paid Search",Countries!$D$5:$D$434,$A451)=0,"",SUMIFS(Countries!$AR$5:$AR$434,Countries!$A$5:$A$434,"All landing pages",Countries!$B$5:$B$434,"Paid Search",Countries!$D$5:$D$434,$A451))</f>
        <v/>
      </c>
      <c r="C451" s="41">
        <f>IF(SUMIFS(Countries!$AS$5:$AS$434,Countries!$A$5:$A$434,"All landing pages",Countries!$B$5:$B$434,"Paid Search",Countries!$D$5:$D$434,$A451)=0,"",SUMIFS(Countries!$AS$5:$AS$434,Countries!$A$5:$A$434,"All landing pages",Countries!$B$5:$B$434,"Paid Search",Countries!$D$5:$D$434,$A451))</f>
        <v/>
      </c>
      <c r="D451" s="69">
        <f>IF(OR(C451="",B451="",B451=0,C451=0),"",C451-B451)</f>
        <v/>
      </c>
      <c r="E451" s="42">
        <f>IF(OR(C451="",B451="",B451=0,C451=0),"",C451/B451-1)</f>
        <v/>
      </c>
      <c r="F451" s="41">
        <f>IF(SUMIFS(Countries!$AR$5:$AR$434,Countries!$A$5:$A$434,"All landing pages",Countries!$B$5:$B$434,"Organic",Countries!$D$5:$D$434,$A451)=0,"",SUMIFS(Countries!$AR$5:$AR$434,Countries!$A$5:$A$434,"All landing pages",Countries!$B$5:$B$434,"Organic",Countries!$D$5:$D$434,$A451))</f>
        <v/>
      </c>
      <c r="G451" s="41">
        <f>IF(SUMIFS(Countries!$AS$5:$AS$434,Countries!$A$5:$A$434,"All landing pages",Countries!$B$5:$B$434,"Organic",Countries!$D$5:$D$434,$A451)=0,"",SUMIFS(Countries!$AS$5:$AS$434,Countries!$A$5:$A$434,"All landing pages",Countries!$B$5:$B$434,"Organic",Countries!$D$5:$D$434,$A451))</f>
        <v/>
      </c>
      <c r="H451" s="69">
        <f>IF(OR(G451="",F451="",F451=0,G451=0),"",G451-F451)</f>
        <v/>
      </c>
      <c r="I451" s="42">
        <f>IF(OR(G451="",F451="",F451=0,G451=0),"",G451/F451-1)</f>
        <v/>
      </c>
      <c r="J451" s="41">
        <f>IF(SUMIFS(Countries!$AR$5:$AR$434,Countries!$A$5:$A$434,"All landing pages",Countries!$B$5:$B$434,"Direct",Countries!$D$5:$D$434,$A451)=0,"",SUMIFS(Countries!$AR$5:$AR$434,Countries!$A$5:$A$434,"All landing pages",Countries!$B$5:$B$434,"Direct",Countries!$D$5:$D$434,$A451))</f>
        <v/>
      </c>
      <c r="K451" s="41">
        <f>IF(SUMIFS(Countries!$AS$5:$AS$434,Countries!$A$5:$A$434,"All landing pages",Countries!$B$5:$B$434,"Direct",Countries!$D$5:$D$434,$A451)=0,"",SUMIFS(Countries!$AS$5:$AS$434,Countries!$A$5:$A$434,"All landing pages",Countries!$B$5:$B$434,"Direct",Countries!$D$5:$D$434,$A451))</f>
        <v/>
      </c>
      <c r="L451" s="69">
        <f>IF(OR(K451="",J451="",J451=0,K451=0),"",K451-J451)</f>
        <v/>
      </c>
      <c r="M451" s="42">
        <f>IF(OR(K451="",J451="",J451=0,K451=0),"",K451/J451-1)</f>
        <v/>
      </c>
      <c r="N451" s="41">
        <f>IF(SUM(B451,F451,J451)=0,"",SUM(B451,F451,J451))</f>
        <v/>
      </c>
      <c r="O451" s="41">
        <f>IF(SUM(C451,G451,K451)=0,"",SUM(C451,G451,K451))</f>
        <v/>
      </c>
      <c r="P451" s="69">
        <f>IF(OR(O451="",N451="",N451=0,O451=0),"",O451-N451)</f>
        <v/>
      </c>
      <c r="Q451" s="42">
        <f>IF(OR(O451="",N451="",N451=0,O451=0),"",O451/N451-1)</f>
        <v/>
      </c>
    </row>
    <row r="452">
      <c r="A452" s="56" t="inlineStr">
        <is>
          <t>China</t>
        </is>
      </c>
      <c r="B452" s="41">
        <f>IF(SUMIFS(Countries!$AR$5:$AR$434,Countries!$A$5:$A$434,"All landing pages",Countries!$B$5:$B$434,"Paid Search",Countries!$D$5:$D$434,$A452)=0,"",SUMIFS(Countries!$AR$5:$AR$434,Countries!$A$5:$A$434,"All landing pages",Countries!$B$5:$B$434,"Paid Search",Countries!$D$5:$D$434,$A452))</f>
        <v/>
      </c>
      <c r="C452" s="41">
        <f>IF(SUMIFS(Countries!$AS$5:$AS$434,Countries!$A$5:$A$434,"All landing pages",Countries!$B$5:$B$434,"Paid Search",Countries!$D$5:$D$434,$A452)=0,"",SUMIFS(Countries!$AS$5:$AS$434,Countries!$A$5:$A$434,"All landing pages",Countries!$B$5:$B$434,"Paid Search",Countries!$D$5:$D$434,$A452))</f>
        <v/>
      </c>
      <c r="D452" s="69">
        <f>IF(OR(C452="",B452="",B452=0,C452=0),"",C452-B452)</f>
        <v/>
      </c>
      <c r="E452" s="42">
        <f>IF(OR(C452="",B452="",B452=0,C452=0),"",C452/B452-1)</f>
        <v/>
      </c>
      <c r="F452" s="41">
        <f>IF(SUMIFS(Countries!$AR$5:$AR$434,Countries!$A$5:$A$434,"All landing pages",Countries!$B$5:$B$434,"Organic",Countries!$D$5:$D$434,$A452)=0,"",SUMIFS(Countries!$AR$5:$AR$434,Countries!$A$5:$A$434,"All landing pages",Countries!$B$5:$B$434,"Organic",Countries!$D$5:$D$434,$A452))</f>
        <v/>
      </c>
      <c r="G452" s="41">
        <f>IF(SUMIFS(Countries!$AS$5:$AS$434,Countries!$A$5:$A$434,"All landing pages",Countries!$B$5:$B$434,"Organic",Countries!$D$5:$D$434,$A452)=0,"",SUMIFS(Countries!$AS$5:$AS$434,Countries!$A$5:$A$434,"All landing pages",Countries!$B$5:$B$434,"Organic",Countries!$D$5:$D$434,$A452))</f>
        <v/>
      </c>
      <c r="H452" s="69">
        <f>IF(OR(G452="",F452="",F452=0,G452=0),"",G452-F452)</f>
        <v/>
      </c>
      <c r="I452" s="42">
        <f>IF(OR(G452="",F452="",F452=0,G452=0),"",G452/F452-1)</f>
        <v/>
      </c>
      <c r="J452" s="41">
        <f>IF(SUMIFS(Countries!$AR$5:$AR$434,Countries!$A$5:$A$434,"All landing pages",Countries!$B$5:$B$434,"Direct",Countries!$D$5:$D$434,$A452)=0,"",SUMIFS(Countries!$AR$5:$AR$434,Countries!$A$5:$A$434,"All landing pages",Countries!$B$5:$B$434,"Direct",Countries!$D$5:$D$434,$A452))</f>
        <v/>
      </c>
      <c r="K452" s="41">
        <f>IF(SUMIFS(Countries!$AS$5:$AS$434,Countries!$A$5:$A$434,"All landing pages",Countries!$B$5:$B$434,"Direct",Countries!$D$5:$D$434,$A452)=0,"",SUMIFS(Countries!$AS$5:$AS$434,Countries!$A$5:$A$434,"All landing pages",Countries!$B$5:$B$434,"Direct",Countries!$D$5:$D$434,$A452))</f>
        <v/>
      </c>
      <c r="L452" s="69">
        <f>IF(OR(K452="",J452="",J452=0,K452=0),"",K452-J452)</f>
        <v/>
      </c>
      <c r="M452" s="42">
        <f>IF(OR(K452="",J452="",J452=0,K452=0),"",K452/J452-1)</f>
        <v/>
      </c>
      <c r="N452" s="41">
        <f>IF(SUM(B452,F452,J452)=0,"",SUM(B452,F452,J452))</f>
        <v/>
      </c>
      <c r="O452" s="41">
        <f>IF(SUM(C452,G452,K452)=0,"",SUM(C452,G452,K452))</f>
        <v/>
      </c>
      <c r="P452" s="69">
        <f>IF(OR(O452="",N452="",N452=0,O452=0),"",O452-N452)</f>
        <v/>
      </c>
      <c r="Q452" s="42">
        <f>IF(OR(O452="",N452="",N452=0,O452=0),"",O452/N452-1)</f>
        <v/>
      </c>
    </row>
    <row r="453">
      <c r="A453" s="40" t="inlineStr">
        <is>
          <t>Croatia</t>
        </is>
      </c>
      <c r="B453" s="41">
        <f>IF(SUMIFS(Countries!$AR$5:$AR$434,Countries!$A$5:$A$434,"All landing pages",Countries!$B$5:$B$434,"Paid Search",Countries!$D$5:$D$434,$A453)=0,"",SUMIFS(Countries!$AR$5:$AR$434,Countries!$A$5:$A$434,"All landing pages",Countries!$B$5:$B$434,"Paid Search",Countries!$D$5:$D$434,$A453))</f>
        <v/>
      </c>
      <c r="C453" s="41">
        <f>IF(SUMIFS(Countries!$AS$5:$AS$434,Countries!$A$5:$A$434,"All landing pages",Countries!$B$5:$B$434,"Paid Search",Countries!$D$5:$D$434,$A453)=0,"",SUMIFS(Countries!$AS$5:$AS$434,Countries!$A$5:$A$434,"All landing pages",Countries!$B$5:$B$434,"Paid Search",Countries!$D$5:$D$434,$A453))</f>
        <v/>
      </c>
      <c r="D453" s="69">
        <f>IF(OR(C453="",B453="",B453=0,C453=0),"",C453-B453)</f>
        <v/>
      </c>
      <c r="E453" s="42">
        <f>IF(OR(C453="",B453="",B453=0,C453=0),"",C453/B453-1)</f>
        <v/>
      </c>
      <c r="F453" s="41">
        <f>IF(SUMIFS(Countries!$AR$5:$AR$434,Countries!$A$5:$A$434,"All landing pages",Countries!$B$5:$B$434,"Organic",Countries!$D$5:$D$434,$A453)=0,"",SUMIFS(Countries!$AR$5:$AR$434,Countries!$A$5:$A$434,"All landing pages",Countries!$B$5:$B$434,"Organic",Countries!$D$5:$D$434,$A453))</f>
        <v/>
      </c>
      <c r="G453" s="41">
        <f>IF(SUMIFS(Countries!$AS$5:$AS$434,Countries!$A$5:$A$434,"All landing pages",Countries!$B$5:$B$434,"Organic",Countries!$D$5:$D$434,$A453)=0,"",SUMIFS(Countries!$AS$5:$AS$434,Countries!$A$5:$A$434,"All landing pages",Countries!$B$5:$B$434,"Organic",Countries!$D$5:$D$434,$A453))</f>
        <v/>
      </c>
      <c r="H453" s="69">
        <f>IF(OR(G453="",F453="",F453=0,G453=0),"",G453-F453)</f>
        <v/>
      </c>
      <c r="I453" s="42">
        <f>IF(OR(G453="",F453="",F453=0,G453=0),"",G453/F453-1)</f>
        <v/>
      </c>
      <c r="J453" s="41">
        <f>IF(SUMIFS(Countries!$AR$5:$AR$434,Countries!$A$5:$A$434,"All landing pages",Countries!$B$5:$B$434,"Direct",Countries!$D$5:$D$434,$A453)=0,"",SUMIFS(Countries!$AR$5:$AR$434,Countries!$A$5:$A$434,"All landing pages",Countries!$B$5:$B$434,"Direct",Countries!$D$5:$D$434,$A453))</f>
        <v/>
      </c>
      <c r="K453" s="41">
        <f>IF(SUMIFS(Countries!$AS$5:$AS$434,Countries!$A$5:$A$434,"All landing pages",Countries!$B$5:$B$434,"Direct",Countries!$D$5:$D$434,$A453)=0,"",SUMIFS(Countries!$AS$5:$AS$434,Countries!$A$5:$A$434,"All landing pages",Countries!$B$5:$B$434,"Direct",Countries!$D$5:$D$434,$A453))</f>
        <v/>
      </c>
      <c r="L453" s="69">
        <f>IF(OR(K453="",J453="",J453=0,K453=0),"",K453-J453)</f>
        <v/>
      </c>
      <c r="M453" s="42">
        <f>IF(OR(K453="",J453="",J453=0,K453=0),"",K453/J453-1)</f>
        <v/>
      </c>
      <c r="N453" s="41">
        <f>IF(SUM(B453,F453,J453)=0,"",SUM(B453,F453,J453))</f>
        <v/>
      </c>
      <c r="O453" s="41">
        <f>IF(SUM(C453,G453,K453)=0,"",SUM(C453,G453,K453))</f>
        <v/>
      </c>
      <c r="P453" s="69">
        <f>IF(OR(O453="",N453="",N453=0,O453=0),"",O453-N453)</f>
        <v/>
      </c>
      <c r="Q453" s="42">
        <f>IF(OR(O453="",N453="",N453=0,O453=0),"",O453/N453-1)</f>
        <v/>
      </c>
    </row>
    <row r="454">
      <c r="A454" s="56" t="inlineStr">
        <is>
          <t>Honduras</t>
        </is>
      </c>
      <c r="B454" s="41">
        <f>IF(SUMIFS(Countries!$AR$5:$AR$434,Countries!$A$5:$A$434,"All landing pages",Countries!$B$5:$B$434,"Paid Search",Countries!$D$5:$D$434,$A454)=0,"",SUMIFS(Countries!$AR$5:$AR$434,Countries!$A$5:$A$434,"All landing pages",Countries!$B$5:$B$434,"Paid Search",Countries!$D$5:$D$434,$A454))</f>
        <v/>
      </c>
      <c r="C454" s="41">
        <f>IF(SUMIFS(Countries!$AS$5:$AS$434,Countries!$A$5:$A$434,"All landing pages",Countries!$B$5:$B$434,"Paid Search",Countries!$D$5:$D$434,$A454)=0,"",SUMIFS(Countries!$AS$5:$AS$434,Countries!$A$5:$A$434,"All landing pages",Countries!$B$5:$B$434,"Paid Search",Countries!$D$5:$D$434,$A454))</f>
        <v/>
      </c>
      <c r="D454" s="69">
        <f>IF(OR(C454="",B454="",B454=0,C454=0),"",C454-B454)</f>
        <v/>
      </c>
      <c r="E454" s="42">
        <f>IF(OR(C454="",B454="",B454=0,C454=0),"",C454/B454-1)</f>
        <v/>
      </c>
      <c r="F454" s="41">
        <f>IF(SUMIFS(Countries!$AR$5:$AR$434,Countries!$A$5:$A$434,"All landing pages",Countries!$B$5:$B$434,"Organic",Countries!$D$5:$D$434,$A454)=0,"",SUMIFS(Countries!$AR$5:$AR$434,Countries!$A$5:$A$434,"All landing pages",Countries!$B$5:$B$434,"Organic",Countries!$D$5:$D$434,$A454))</f>
        <v/>
      </c>
      <c r="G454" s="41">
        <f>IF(SUMIFS(Countries!$AS$5:$AS$434,Countries!$A$5:$A$434,"All landing pages",Countries!$B$5:$B$434,"Organic",Countries!$D$5:$D$434,$A454)=0,"",SUMIFS(Countries!$AS$5:$AS$434,Countries!$A$5:$A$434,"All landing pages",Countries!$B$5:$B$434,"Organic",Countries!$D$5:$D$434,$A454))</f>
        <v/>
      </c>
      <c r="H454" s="69">
        <f>IF(OR(G454="",F454="",F454=0,G454=0),"",G454-F454)</f>
        <v/>
      </c>
      <c r="I454" s="42">
        <f>IF(OR(G454="",F454="",F454=0,G454=0),"",G454/F454-1)</f>
        <v/>
      </c>
      <c r="J454" s="41">
        <f>IF(SUMIFS(Countries!$AR$5:$AR$434,Countries!$A$5:$A$434,"All landing pages",Countries!$B$5:$B$434,"Direct",Countries!$D$5:$D$434,$A454)=0,"",SUMIFS(Countries!$AR$5:$AR$434,Countries!$A$5:$A$434,"All landing pages",Countries!$B$5:$B$434,"Direct",Countries!$D$5:$D$434,$A454))</f>
        <v/>
      </c>
      <c r="K454" s="41">
        <f>IF(SUMIFS(Countries!$AS$5:$AS$434,Countries!$A$5:$A$434,"All landing pages",Countries!$B$5:$B$434,"Direct",Countries!$D$5:$D$434,$A454)=0,"",SUMIFS(Countries!$AS$5:$AS$434,Countries!$A$5:$A$434,"All landing pages",Countries!$B$5:$B$434,"Direct",Countries!$D$5:$D$434,$A454))</f>
        <v/>
      </c>
      <c r="L454" s="69">
        <f>IF(OR(K454="",J454="",J454=0,K454=0),"",K454-J454)</f>
        <v/>
      </c>
      <c r="M454" s="42">
        <f>IF(OR(K454="",J454="",J454=0,K454=0),"",K454/J454-1)</f>
        <v/>
      </c>
      <c r="N454" s="41">
        <f>IF(SUM(B454,F454,J454)=0,"",SUM(B454,F454,J454))</f>
        <v/>
      </c>
      <c r="O454" s="41">
        <f>IF(SUM(C454,G454,K454)=0,"",SUM(C454,G454,K454))</f>
        <v/>
      </c>
      <c r="P454" s="69">
        <f>IF(OR(O454="",N454="",N454=0,O454=0),"",O454-N454)</f>
        <v/>
      </c>
      <c r="Q454" s="42">
        <f>IF(OR(O454="",N454="",N454=0,O454=0),"",O454/N454-1)</f>
        <v/>
      </c>
    </row>
    <row r="455">
      <c r="A455" s="40" t="inlineStr">
        <is>
          <t>Israel</t>
        </is>
      </c>
      <c r="B455" s="41">
        <f>IF(SUMIFS(Countries!$AR$5:$AR$434,Countries!$A$5:$A$434,"All landing pages",Countries!$B$5:$B$434,"Paid Search",Countries!$D$5:$D$434,$A455)=0,"",SUMIFS(Countries!$AR$5:$AR$434,Countries!$A$5:$A$434,"All landing pages",Countries!$B$5:$B$434,"Paid Search",Countries!$D$5:$D$434,$A455))</f>
        <v/>
      </c>
      <c r="C455" s="41">
        <f>IF(SUMIFS(Countries!$AS$5:$AS$434,Countries!$A$5:$A$434,"All landing pages",Countries!$B$5:$B$434,"Paid Search",Countries!$D$5:$D$434,$A455)=0,"",SUMIFS(Countries!$AS$5:$AS$434,Countries!$A$5:$A$434,"All landing pages",Countries!$B$5:$B$434,"Paid Search",Countries!$D$5:$D$434,$A455))</f>
        <v/>
      </c>
      <c r="D455" s="69">
        <f>IF(OR(C455="",B455="",B455=0,C455=0),"",C455-B455)</f>
        <v/>
      </c>
      <c r="E455" s="42">
        <f>IF(OR(C455="",B455="",B455=0,C455=0),"",C455/B455-1)</f>
        <v/>
      </c>
      <c r="F455" s="41">
        <f>IF(SUMIFS(Countries!$AR$5:$AR$434,Countries!$A$5:$A$434,"All landing pages",Countries!$B$5:$B$434,"Organic",Countries!$D$5:$D$434,$A455)=0,"",SUMIFS(Countries!$AR$5:$AR$434,Countries!$A$5:$A$434,"All landing pages",Countries!$B$5:$B$434,"Organic",Countries!$D$5:$D$434,$A455))</f>
        <v/>
      </c>
      <c r="G455" s="41">
        <f>IF(SUMIFS(Countries!$AS$5:$AS$434,Countries!$A$5:$A$434,"All landing pages",Countries!$B$5:$B$434,"Organic",Countries!$D$5:$D$434,$A455)=0,"",SUMIFS(Countries!$AS$5:$AS$434,Countries!$A$5:$A$434,"All landing pages",Countries!$B$5:$B$434,"Organic",Countries!$D$5:$D$434,$A455))</f>
        <v/>
      </c>
      <c r="H455" s="69">
        <f>IF(OR(G455="",F455="",F455=0,G455=0),"",G455-F455)</f>
        <v/>
      </c>
      <c r="I455" s="42">
        <f>IF(OR(G455="",F455="",F455=0,G455=0),"",G455/F455-1)</f>
        <v/>
      </c>
      <c r="J455" s="41">
        <f>IF(SUMIFS(Countries!$AR$5:$AR$434,Countries!$A$5:$A$434,"All landing pages",Countries!$B$5:$B$434,"Direct",Countries!$D$5:$D$434,$A455)=0,"",SUMIFS(Countries!$AR$5:$AR$434,Countries!$A$5:$A$434,"All landing pages",Countries!$B$5:$B$434,"Direct",Countries!$D$5:$D$434,$A455))</f>
        <v/>
      </c>
      <c r="K455" s="41">
        <f>IF(SUMIFS(Countries!$AS$5:$AS$434,Countries!$A$5:$A$434,"All landing pages",Countries!$B$5:$B$434,"Direct",Countries!$D$5:$D$434,$A455)=0,"",SUMIFS(Countries!$AS$5:$AS$434,Countries!$A$5:$A$434,"All landing pages",Countries!$B$5:$B$434,"Direct",Countries!$D$5:$D$434,$A455))</f>
        <v/>
      </c>
      <c r="L455" s="69">
        <f>IF(OR(K455="",J455="",J455=0,K455=0),"",K455-J455)</f>
        <v/>
      </c>
      <c r="M455" s="42">
        <f>IF(OR(K455="",J455="",J455=0,K455=0),"",K455/J455-1)</f>
        <v/>
      </c>
      <c r="N455" s="41">
        <f>IF(SUM(B455,F455,J455)=0,"",SUM(B455,F455,J455))</f>
        <v/>
      </c>
      <c r="O455" s="41">
        <f>IF(SUM(C455,G455,K455)=0,"",SUM(C455,G455,K455))</f>
        <v/>
      </c>
      <c r="P455" s="69">
        <f>IF(OR(O455="",N455="",N455=0,O455=0),"",O455-N455)</f>
        <v/>
      </c>
      <c r="Q455" s="42">
        <f>IF(OR(O455="",N455="",N455=0,O455=0),"",O455/N455-1)</f>
        <v/>
      </c>
    </row>
    <row r="456">
      <c r="A456" s="56" t="inlineStr">
        <is>
          <t>Philippines</t>
        </is>
      </c>
      <c r="B456" s="41">
        <f>IF(SUMIFS(Countries!$AR$5:$AR$434,Countries!$A$5:$A$434,"All landing pages",Countries!$B$5:$B$434,"Paid Search",Countries!$D$5:$D$434,$A456)=0,"",SUMIFS(Countries!$AR$5:$AR$434,Countries!$A$5:$A$434,"All landing pages",Countries!$B$5:$B$434,"Paid Search",Countries!$D$5:$D$434,$A456))</f>
        <v/>
      </c>
      <c r="C456" s="41">
        <f>IF(SUMIFS(Countries!$AS$5:$AS$434,Countries!$A$5:$A$434,"All landing pages",Countries!$B$5:$B$434,"Paid Search",Countries!$D$5:$D$434,$A456)=0,"",SUMIFS(Countries!$AS$5:$AS$434,Countries!$A$5:$A$434,"All landing pages",Countries!$B$5:$B$434,"Paid Search",Countries!$D$5:$D$434,$A456))</f>
        <v/>
      </c>
      <c r="D456" s="69">
        <f>IF(OR(C456="",B456="",B456=0,C456=0),"",C456-B456)</f>
        <v/>
      </c>
      <c r="E456" s="42">
        <f>IF(OR(C456="",B456="",B456=0,C456=0),"",C456/B456-1)</f>
        <v/>
      </c>
      <c r="F456" s="41">
        <f>IF(SUMIFS(Countries!$AR$5:$AR$434,Countries!$A$5:$A$434,"All landing pages",Countries!$B$5:$B$434,"Organic",Countries!$D$5:$D$434,$A456)=0,"",SUMIFS(Countries!$AR$5:$AR$434,Countries!$A$5:$A$434,"All landing pages",Countries!$B$5:$B$434,"Organic",Countries!$D$5:$D$434,$A456))</f>
        <v/>
      </c>
      <c r="G456" s="41">
        <f>IF(SUMIFS(Countries!$AS$5:$AS$434,Countries!$A$5:$A$434,"All landing pages",Countries!$B$5:$B$434,"Organic",Countries!$D$5:$D$434,$A456)=0,"",SUMIFS(Countries!$AS$5:$AS$434,Countries!$A$5:$A$434,"All landing pages",Countries!$B$5:$B$434,"Organic",Countries!$D$5:$D$434,$A456))</f>
        <v/>
      </c>
      <c r="H456" s="69">
        <f>IF(OR(G456="",F456="",F456=0,G456=0),"",G456-F456)</f>
        <v/>
      </c>
      <c r="I456" s="42">
        <f>IF(OR(G456="",F456="",F456=0,G456=0),"",G456/F456-1)</f>
        <v/>
      </c>
      <c r="J456" s="41">
        <f>IF(SUMIFS(Countries!$AR$5:$AR$434,Countries!$A$5:$A$434,"All landing pages",Countries!$B$5:$B$434,"Direct",Countries!$D$5:$D$434,$A456)=0,"",SUMIFS(Countries!$AR$5:$AR$434,Countries!$A$5:$A$434,"All landing pages",Countries!$B$5:$B$434,"Direct",Countries!$D$5:$D$434,$A456))</f>
        <v/>
      </c>
      <c r="K456" s="41">
        <f>IF(SUMIFS(Countries!$AS$5:$AS$434,Countries!$A$5:$A$434,"All landing pages",Countries!$B$5:$B$434,"Direct",Countries!$D$5:$D$434,$A456)=0,"",SUMIFS(Countries!$AS$5:$AS$434,Countries!$A$5:$A$434,"All landing pages",Countries!$B$5:$B$434,"Direct",Countries!$D$5:$D$434,$A456))</f>
        <v/>
      </c>
      <c r="L456" s="69">
        <f>IF(OR(K456="",J456="",J456=0,K456=0),"",K456-J456)</f>
        <v/>
      </c>
      <c r="M456" s="42">
        <f>IF(OR(K456="",J456="",J456=0,K456=0),"",K456/J456-1)</f>
        <v/>
      </c>
      <c r="N456" s="41">
        <f>IF(SUM(B456,F456,J456)=0,"",SUM(B456,F456,J456))</f>
        <v/>
      </c>
      <c r="O456" s="41">
        <f>IF(SUM(C456,G456,K456)=0,"",SUM(C456,G456,K456))</f>
        <v/>
      </c>
      <c r="P456" s="69">
        <f>IF(OR(O456="",N456="",N456=0,O456=0),"",O456-N456)</f>
        <v/>
      </c>
      <c r="Q456" s="42">
        <f>IF(OR(O456="",N456="",N456=0,O456=0),"",O456/N456-1)</f>
        <v/>
      </c>
    </row>
    <row r="457">
      <c r="A457" s="40" t="inlineStr">
        <is>
          <t>Ukraine</t>
        </is>
      </c>
      <c r="B457" s="41">
        <f>IF(SUMIFS(Countries!$AR$5:$AR$434,Countries!$A$5:$A$434,"All landing pages",Countries!$B$5:$B$434,"Paid Search",Countries!$D$5:$D$434,$A457)=0,"",SUMIFS(Countries!$AR$5:$AR$434,Countries!$A$5:$A$434,"All landing pages",Countries!$B$5:$B$434,"Paid Search",Countries!$D$5:$D$434,$A457))</f>
        <v/>
      </c>
      <c r="C457" s="41">
        <f>IF(SUMIFS(Countries!$AS$5:$AS$434,Countries!$A$5:$A$434,"All landing pages",Countries!$B$5:$B$434,"Paid Search",Countries!$D$5:$D$434,$A457)=0,"",SUMIFS(Countries!$AS$5:$AS$434,Countries!$A$5:$A$434,"All landing pages",Countries!$B$5:$B$434,"Paid Search",Countries!$D$5:$D$434,$A457))</f>
        <v/>
      </c>
      <c r="D457" s="69">
        <f>IF(OR(C457="",B457="",B457=0,C457=0),"",C457-B457)</f>
        <v/>
      </c>
      <c r="E457" s="42">
        <f>IF(OR(C457="",B457="",B457=0,C457=0),"",C457/B457-1)</f>
        <v/>
      </c>
      <c r="F457" s="41">
        <f>IF(SUMIFS(Countries!$AR$5:$AR$434,Countries!$A$5:$A$434,"All landing pages",Countries!$B$5:$B$434,"Organic",Countries!$D$5:$D$434,$A457)=0,"",SUMIFS(Countries!$AR$5:$AR$434,Countries!$A$5:$A$434,"All landing pages",Countries!$B$5:$B$434,"Organic",Countries!$D$5:$D$434,$A457))</f>
        <v/>
      </c>
      <c r="G457" s="41">
        <f>IF(SUMIFS(Countries!$AS$5:$AS$434,Countries!$A$5:$A$434,"All landing pages",Countries!$B$5:$B$434,"Organic",Countries!$D$5:$D$434,$A457)=0,"",SUMIFS(Countries!$AS$5:$AS$434,Countries!$A$5:$A$434,"All landing pages",Countries!$B$5:$B$434,"Organic",Countries!$D$5:$D$434,$A457))</f>
        <v/>
      </c>
      <c r="H457" s="69">
        <f>IF(OR(G457="",F457="",F457=0,G457=0),"",G457-F457)</f>
        <v/>
      </c>
      <c r="I457" s="42">
        <f>IF(OR(G457="",F457="",F457=0,G457=0),"",G457/F457-1)</f>
        <v/>
      </c>
      <c r="J457" s="41">
        <f>IF(SUMIFS(Countries!$AR$5:$AR$434,Countries!$A$5:$A$434,"All landing pages",Countries!$B$5:$B$434,"Direct",Countries!$D$5:$D$434,$A457)=0,"",SUMIFS(Countries!$AR$5:$AR$434,Countries!$A$5:$A$434,"All landing pages",Countries!$B$5:$B$434,"Direct",Countries!$D$5:$D$434,$A457))</f>
        <v/>
      </c>
      <c r="K457" s="41">
        <f>IF(SUMIFS(Countries!$AS$5:$AS$434,Countries!$A$5:$A$434,"All landing pages",Countries!$B$5:$B$434,"Direct",Countries!$D$5:$D$434,$A457)=0,"",SUMIFS(Countries!$AS$5:$AS$434,Countries!$A$5:$A$434,"All landing pages",Countries!$B$5:$B$434,"Direct",Countries!$D$5:$D$434,$A457))</f>
        <v/>
      </c>
      <c r="L457" s="69">
        <f>IF(OR(K457="",J457="",J457=0,K457=0),"",K457-J457)</f>
        <v/>
      </c>
      <c r="M457" s="42">
        <f>IF(OR(K457="",J457="",J457=0,K457=0),"",K457/J457-1)</f>
        <v/>
      </c>
      <c r="N457" s="41">
        <f>IF(SUM(B457,F457,J457)=0,"",SUM(B457,F457,J457))</f>
        <v/>
      </c>
      <c r="O457" s="41">
        <f>IF(SUM(C457,G457,K457)=0,"",SUM(C457,G457,K457))</f>
        <v/>
      </c>
      <c r="P457" s="69">
        <f>IF(OR(O457="",N457="",N457=0,O457=0),"",O457-N457)</f>
        <v/>
      </c>
      <c r="Q457" s="42">
        <f>IF(OR(O457="",N457="",N457=0,O457=0),"",O457/N457-1)</f>
        <v/>
      </c>
    </row>
    <row r="460">
      <c r="A460" s="39" t="inlineStr">
        <is>
          <t>Checkout→Purchase</t>
        </is>
      </c>
    </row>
    <row r="461">
      <c r="A461" s="75" t="inlineStr">
        <is>
          <t>Country</t>
        </is>
      </c>
      <c r="B461" s="28" t="inlineStr">
        <is>
          <t>Paid Search</t>
        </is>
      </c>
      <c r="C461" s="19" t="n"/>
      <c r="D461" s="19" t="n"/>
      <c r="E461" s="19" t="n"/>
      <c r="F461" s="28" t="inlineStr">
        <is>
          <t>Organic</t>
        </is>
      </c>
      <c r="G461" s="19" t="n"/>
      <c r="H461" s="19" t="n"/>
      <c r="I461" s="19" t="n"/>
      <c r="J461" s="28" t="inlineStr">
        <is>
          <t>Direct</t>
        </is>
      </c>
      <c r="K461" s="19" t="n"/>
      <c r="L461" s="19" t="n"/>
      <c r="M461" s="19" t="n"/>
      <c r="N461" s="27" t="inlineStr">
        <is>
          <t>Total</t>
        </is>
      </c>
      <c r="O461" s="17" t="n"/>
      <c r="P461" s="17" t="n"/>
      <c r="Q461" s="17" t="n"/>
    </row>
    <row r="462">
      <c r="A462" s="15" t="n"/>
      <c r="B462" s="27" t="inlineStr">
        <is>
          <t>1-23Aug25</t>
        </is>
      </c>
      <c r="C462" s="27" t="inlineStr">
        <is>
          <t>1-23Aug26</t>
        </is>
      </c>
      <c r="D462" s="27" t="inlineStr">
        <is>
          <t>Δ pp</t>
        </is>
      </c>
      <c r="E462" s="27" t="inlineStr"/>
      <c r="F462" s="27" t="inlineStr">
        <is>
          <t>1-23Aug25</t>
        </is>
      </c>
      <c r="G462" s="27" t="inlineStr">
        <is>
          <t>1-23Aug26</t>
        </is>
      </c>
      <c r="H462" s="27" t="inlineStr">
        <is>
          <t>Δ pp</t>
        </is>
      </c>
      <c r="I462" s="27" t="inlineStr"/>
      <c r="J462" s="27" t="inlineStr">
        <is>
          <t>1-23Aug25</t>
        </is>
      </c>
      <c r="K462" s="27" t="inlineStr">
        <is>
          <t>1-23Aug26</t>
        </is>
      </c>
      <c r="L462" s="27" t="inlineStr">
        <is>
          <t>Δ pp</t>
        </is>
      </c>
      <c r="M462" s="27" t="inlineStr"/>
      <c r="N462" s="27" t="inlineStr">
        <is>
          <t>1-23Aug25</t>
        </is>
      </c>
      <c r="O462" s="27" t="inlineStr">
        <is>
          <t>1-23Aug26</t>
        </is>
      </c>
      <c r="P462" s="27" t="inlineStr">
        <is>
          <t>Δ pp</t>
        </is>
      </c>
      <c r="Q462" s="27" t="inlineStr"/>
    </row>
    <row r="463">
      <c r="A463" s="40" t="inlineStr">
        <is>
          <t>United Kingdom</t>
        </is>
      </c>
      <c r="B463" s="43">
        <f>IF(SUMIFS(Countries!$AK$5:$AK$434,Countries!$A$5:$A$434,"All landing pages",Countries!$B$5:$B$434,"Paid Search",Countries!$D$5:$D$434,$A463,Countries!$AR$5:$AR$434,"&gt;0")=0,"",SUMIFS(Countries!$AR$5:$AR$434,Countries!$A$5:$A$434,"All landing pages",Countries!$B$5:$B$434,"Paid Search",Countries!$D$5:$D$434,$A463,Countries!$AK$5:$AK$434,"&gt;0")/SUMIFS(Countries!$AK$5:$AK$434,Countries!$A$5:$A$434,"All landing pages",Countries!$B$5:$B$434,"Paid Search",Countries!$D$5:$D$434,$A463,Countries!$AR$5:$AR$434,"&gt;0"))</f>
        <v/>
      </c>
      <c r="C463" s="43">
        <f>IF(SUMIFS(Countries!$AL$5:$AL$434,Countries!$A$5:$A$434,"All landing pages",Countries!$B$5:$B$434,"Paid Search",Countries!$D$5:$D$434,$A463,Countries!$AS$5:$AS$434,"&gt;0")=0,"",SUMIFS(Countries!$AS$5:$AS$434,Countries!$A$5:$A$434,"All landing pages",Countries!$B$5:$B$434,"Paid Search",Countries!$D$5:$D$434,$A463,Countries!$AL$5:$AL$434,"&gt;0")/SUMIFS(Countries!$AL$5:$AL$434,Countries!$A$5:$A$434,"All landing pages",Countries!$B$5:$B$434,"Paid Search",Countries!$D$5:$D$434,$A463,Countries!$AS$5:$AS$434,"&gt;0"))</f>
        <v/>
      </c>
      <c r="D463" s="44">
        <f>IF(OR(B463="",C463=""),"",(C463-B463)*100)</f>
        <v/>
      </c>
      <c r="E463" s="73" t="n"/>
      <c r="F463" s="43">
        <f>IF(SUMIFS(Countries!$AK$5:$AK$434,Countries!$A$5:$A$434,"All landing pages",Countries!$B$5:$B$434,"Organic",Countries!$D$5:$D$434,$A463,Countries!$AR$5:$AR$434,"&gt;0")=0,"",SUMIFS(Countries!$AR$5:$AR$434,Countries!$A$5:$A$434,"All landing pages",Countries!$B$5:$B$434,"Organic",Countries!$D$5:$D$434,$A463,Countries!$AK$5:$AK$434,"&gt;0")/SUMIFS(Countries!$AK$5:$AK$434,Countries!$A$5:$A$434,"All landing pages",Countries!$B$5:$B$434,"Organic",Countries!$D$5:$D$434,$A463,Countries!$AR$5:$AR$434,"&gt;0"))</f>
        <v/>
      </c>
      <c r="G463" s="43">
        <f>IF(SUMIFS(Countries!$AL$5:$AL$434,Countries!$A$5:$A$434,"All landing pages",Countries!$B$5:$B$434,"Organic",Countries!$D$5:$D$434,$A463,Countries!$AS$5:$AS$434,"&gt;0")=0,"",SUMIFS(Countries!$AS$5:$AS$434,Countries!$A$5:$A$434,"All landing pages",Countries!$B$5:$B$434,"Organic",Countries!$D$5:$D$434,$A463,Countries!$AL$5:$AL$434,"&gt;0")/SUMIFS(Countries!$AL$5:$AL$434,Countries!$A$5:$A$434,"All landing pages",Countries!$B$5:$B$434,"Organic",Countries!$D$5:$D$434,$A463,Countries!$AS$5:$AS$434,"&gt;0"))</f>
        <v/>
      </c>
      <c r="H463" s="44">
        <f>IF(OR(F463="",G463=""),"",(G463-F463)*100)</f>
        <v/>
      </c>
      <c r="I463" s="73" t="n"/>
      <c r="J463" s="43">
        <f>IF(SUMIFS(Countries!$AK$5:$AK$434,Countries!$A$5:$A$434,"All landing pages",Countries!$B$5:$B$434,"Direct",Countries!$D$5:$D$434,$A463,Countries!$AR$5:$AR$434,"&gt;0")=0,"",SUMIFS(Countries!$AR$5:$AR$434,Countries!$A$5:$A$434,"All landing pages",Countries!$B$5:$B$434,"Direct",Countries!$D$5:$D$434,$A463,Countries!$AK$5:$AK$434,"&gt;0")/SUMIFS(Countries!$AK$5:$AK$434,Countries!$A$5:$A$434,"All landing pages",Countries!$B$5:$B$434,"Direct",Countries!$D$5:$D$434,$A463,Countries!$AR$5:$AR$434,"&gt;0"))</f>
        <v/>
      </c>
      <c r="K463" s="43">
        <f>IF(SUMIFS(Countries!$AL$5:$AL$434,Countries!$A$5:$A$434,"All landing pages",Countries!$B$5:$B$434,"Direct",Countries!$D$5:$D$434,$A463,Countries!$AS$5:$AS$434,"&gt;0")=0,"",SUMIFS(Countries!$AS$5:$AS$434,Countries!$A$5:$A$434,"All landing pages",Countries!$B$5:$B$434,"Direct",Countries!$D$5:$D$434,$A463,Countries!$AL$5:$AL$434,"&gt;0")/SUMIFS(Countries!$AL$5:$AL$434,Countries!$A$5:$A$434,"All landing pages",Countries!$B$5:$B$434,"Direct",Countries!$D$5:$D$434,$A463,Countries!$AS$5:$AS$434,"&gt;0"))</f>
        <v/>
      </c>
      <c r="L463" s="44">
        <f>IF(OR(J463="",K463=""),"",(K463-J463)*100)</f>
        <v/>
      </c>
      <c r="M463" s="73" t="n"/>
      <c r="N463" s="43">
        <f>IF(SUMIFS(Countries!$AK$5:$AK$434,Countries!$A$5:$A$434,"All landing pages",Countries!$D$5:$D$434,$A463,Countries!$AR$5:$AR$434,"&gt;0")=0,"",SUMIFS(Countries!$AR$5:$AR$434,Countries!$A$5:$A$434,"All landing pages",Countries!$D$5:$D$434,$A463,Countries!$AK$5:$AK$434,"&gt;0")/SUMIFS(Countries!$AK$5:$AK$434,Countries!$A$5:$A$434,"All landing pages",Countries!$D$5:$D$434,$A463,Countries!$AR$5:$AR$434,"&gt;0"))</f>
        <v/>
      </c>
      <c r="O463" s="43">
        <f>IF(SUMIFS(Countries!$AL$5:$AL$434,Countries!$A$5:$A$434,"All landing pages",Countries!$D$5:$D$434,$A463,Countries!$AS$5:$AS$434,"&gt;0")=0,"",SUMIFS(Countries!$AS$5:$AS$434,Countries!$A$5:$A$434,"All landing pages",Countries!$D$5:$D$434,$A463,Countries!$AL$5:$AL$434,"&gt;0")/SUMIFS(Countries!$AL$5:$AL$434,Countries!$A$5:$A$434,"All landing pages",Countries!$D$5:$D$434,$A463,Countries!$AS$5:$AS$434,"&gt;0"))</f>
        <v/>
      </c>
      <c r="P463" s="44">
        <f>IF(OR(N463="",O463=""),"",(O463-N463)*100)</f>
        <v/>
      </c>
      <c r="Q463" s="73" t="n"/>
    </row>
    <row r="464">
      <c r="A464" s="56" t="inlineStr">
        <is>
          <t>Germany</t>
        </is>
      </c>
      <c r="B464" s="43">
        <f>IF(SUMIFS(Countries!$AK$5:$AK$434,Countries!$A$5:$A$434,"All landing pages",Countries!$B$5:$B$434,"Paid Search",Countries!$D$5:$D$434,$A464,Countries!$AR$5:$AR$434,"&gt;0")=0,"",SUMIFS(Countries!$AR$5:$AR$434,Countries!$A$5:$A$434,"All landing pages",Countries!$B$5:$B$434,"Paid Search",Countries!$D$5:$D$434,$A464,Countries!$AK$5:$AK$434,"&gt;0")/SUMIFS(Countries!$AK$5:$AK$434,Countries!$A$5:$A$434,"All landing pages",Countries!$B$5:$B$434,"Paid Search",Countries!$D$5:$D$434,$A464,Countries!$AR$5:$AR$434,"&gt;0"))</f>
        <v/>
      </c>
      <c r="C464" s="43">
        <f>IF(SUMIFS(Countries!$AL$5:$AL$434,Countries!$A$5:$A$434,"All landing pages",Countries!$B$5:$B$434,"Paid Search",Countries!$D$5:$D$434,$A464,Countries!$AS$5:$AS$434,"&gt;0")=0,"",SUMIFS(Countries!$AS$5:$AS$434,Countries!$A$5:$A$434,"All landing pages",Countries!$B$5:$B$434,"Paid Search",Countries!$D$5:$D$434,$A464,Countries!$AL$5:$AL$434,"&gt;0")/SUMIFS(Countries!$AL$5:$AL$434,Countries!$A$5:$A$434,"All landing pages",Countries!$B$5:$B$434,"Paid Search",Countries!$D$5:$D$434,$A464,Countries!$AS$5:$AS$434,"&gt;0"))</f>
        <v/>
      </c>
      <c r="D464" s="44">
        <f>IF(OR(B464="",C464=""),"",(C464-B464)*100)</f>
        <v/>
      </c>
      <c r="E464" s="73" t="n"/>
      <c r="F464" s="43">
        <f>IF(SUMIFS(Countries!$AK$5:$AK$434,Countries!$A$5:$A$434,"All landing pages",Countries!$B$5:$B$434,"Organic",Countries!$D$5:$D$434,$A464,Countries!$AR$5:$AR$434,"&gt;0")=0,"",SUMIFS(Countries!$AR$5:$AR$434,Countries!$A$5:$A$434,"All landing pages",Countries!$B$5:$B$434,"Organic",Countries!$D$5:$D$434,$A464,Countries!$AK$5:$AK$434,"&gt;0")/SUMIFS(Countries!$AK$5:$AK$434,Countries!$A$5:$A$434,"All landing pages",Countries!$B$5:$B$434,"Organic",Countries!$D$5:$D$434,$A464,Countries!$AR$5:$AR$434,"&gt;0"))</f>
        <v/>
      </c>
      <c r="G464" s="43">
        <f>IF(SUMIFS(Countries!$AL$5:$AL$434,Countries!$A$5:$A$434,"All landing pages",Countries!$B$5:$B$434,"Organic",Countries!$D$5:$D$434,$A464,Countries!$AS$5:$AS$434,"&gt;0")=0,"",SUMIFS(Countries!$AS$5:$AS$434,Countries!$A$5:$A$434,"All landing pages",Countries!$B$5:$B$434,"Organic",Countries!$D$5:$D$434,$A464,Countries!$AL$5:$AL$434,"&gt;0")/SUMIFS(Countries!$AL$5:$AL$434,Countries!$A$5:$A$434,"All landing pages",Countries!$B$5:$B$434,"Organic",Countries!$D$5:$D$434,$A464,Countries!$AS$5:$AS$434,"&gt;0"))</f>
        <v/>
      </c>
      <c r="H464" s="44">
        <f>IF(OR(F464="",G464=""),"",(G464-F464)*100)</f>
        <v/>
      </c>
      <c r="I464" s="73" t="n"/>
      <c r="J464" s="43">
        <f>IF(SUMIFS(Countries!$AK$5:$AK$434,Countries!$A$5:$A$434,"All landing pages",Countries!$B$5:$B$434,"Direct",Countries!$D$5:$D$434,$A464,Countries!$AR$5:$AR$434,"&gt;0")=0,"",SUMIFS(Countries!$AR$5:$AR$434,Countries!$A$5:$A$434,"All landing pages",Countries!$B$5:$B$434,"Direct",Countries!$D$5:$D$434,$A464,Countries!$AK$5:$AK$434,"&gt;0")/SUMIFS(Countries!$AK$5:$AK$434,Countries!$A$5:$A$434,"All landing pages",Countries!$B$5:$B$434,"Direct",Countries!$D$5:$D$434,$A464,Countries!$AR$5:$AR$434,"&gt;0"))</f>
        <v/>
      </c>
      <c r="K464" s="43">
        <f>IF(SUMIFS(Countries!$AL$5:$AL$434,Countries!$A$5:$A$434,"All landing pages",Countries!$B$5:$B$434,"Direct",Countries!$D$5:$D$434,$A464,Countries!$AS$5:$AS$434,"&gt;0")=0,"",SUMIFS(Countries!$AS$5:$AS$434,Countries!$A$5:$A$434,"All landing pages",Countries!$B$5:$B$434,"Direct",Countries!$D$5:$D$434,$A464,Countries!$AL$5:$AL$434,"&gt;0")/SUMIFS(Countries!$AL$5:$AL$434,Countries!$A$5:$A$434,"All landing pages",Countries!$B$5:$B$434,"Direct",Countries!$D$5:$D$434,$A464,Countries!$AS$5:$AS$434,"&gt;0"))</f>
        <v/>
      </c>
      <c r="L464" s="44">
        <f>IF(OR(J464="",K464=""),"",(K464-J464)*100)</f>
        <v/>
      </c>
      <c r="M464" s="73" t="n"/>
      <c r="N464" s="43">
        <f>IF(SUMIFS(Countries!$AK$5:$AK$434,Countries!$A$5:$A$434,"All landing pages",Countries!$D$5:$D$434,$A464,Countries!$AR$5:$AR$434,"&gt;0")=0,"",SUMIFS(Countries!$AR$5:$AR$434,Countries!$A$5:$A$434,"All landing pages",Countries!$D$5:$D$434,$A464,Countries!$AK$5:$AK$434,"&gt;0")/SUMIFS(Countries!$AK$5:$AK$434,Countries!$A$5:$A$434,"All landing pages",Countries!$D$5:$D$434,$A464,Countries!$AR$5:$AR$434,"&gt;0"))</f>
        <v/>
      </c>
      <c r="O464" s="43">
        <f>IF(SUMIFS(Countries!$AL$5:$AL$434,Countries!$A$5:$A$434,"All landing pages",Countries!$D$5:$D$434,$A464,Countries!$AS$5:$AS$434,"&gt;0")=0,"",SUMIFS(Countries!$AS$5:$AS$434,Countries!$A$5:$A$434,"All landing pages",Countries!$D$5:$D$434,$A464,Countries!$AL$5:$AL$434,"&gt;0")/SUMIFS(Countries!$AL$5:$AL$434,Countries!$A$5:$A$434,"All landing pages",Countries!$D$5:$D$434,$A464,Countries!$AS$5:$AS$434,"&gt;0"))</f>
        <v/>
      </c>
      <c r="P464" s="44">
        <f>IF(OR(N464="",O464=""),"",(O464-N464)*100)</f>
        <v/>
      </c>
      <c r="Q464" s="73" t="n"/>
    </row>
    <row r="465">
      <c r="A465" s="40" t="inlineStr">
        <is>
          <t>Italy</t>
        </is>
      </c>
      <c r="B465" s="43">
        <f>IF(SUMIFS(Countries!$AK$5:$AK$434,Countries!$A$5:$A$434,"All landing pages",Countries!$B$5:$B$434,"Paid Search",Countries!$D$5:$D$434,$A465,Countries!$AR$5:$AR$434,"&gt;0")=0,"",SUMIFS(Countries!$AR$5:$AR$434,Countries!$A$5:$A$434,"All landing pages",Countries!$B$5:$B$434,"Paid Search",Countries!$D$5:$D$434,$A465,Countries!$AK$5:$AK$434,"&gt;0")/SUMIFS(Countries!$AK$5:$AK$434,Countries!$A$5:$A$434,"All landing pages",Countries!$B$5:$B$434,"Paid Search",Countries!$D$5:$D$434,$A465,Countries!$AR$5:$AR$434,"&gt;0"))</f>
        <v/>
      </c>
      <c r="C465" s="43">
        <f>IF(SUMIFS(Countries!$AL$5:$AL$434,Countries!$A$5:$A$434,"All landing pages",Countries!$B$5:$B$434,"Paid Search",Countries!$D$5:$D$434,$A465,Countries!$AS$5:$AS$434,"&gt;0")=0,"",SUMIFS(Countries!$AS$5:$AS$434,Countries!$A$5:$A$434,"All landing pages",Countries!$B$5:$B$434,"Paid Search",Countries!$D$5:$D$434,$A465,Countries!$AL$5:$AL$434,"&gt;0")/SUMIFS(Countries!$AL$5:$AL$434,Countries!$A$5:$A$434,"All landing pages",Countries!$B$5:$B$434,"Paid Search",Countries!$D$5:$D$434,$A465,Countries!$AS$5:$AS$434,"&gt;0"))</f>
        <v/>
      </c>
      <c r="D465" s="44">
        <f>IF(OR(B465="",C465=""),"",(C465-B465)*100)</f>
        <v/>
      </c>
      <c r="E465" s="73" t="n"/>
      <c r="F465" s="43">
        <f>IF(SUMIFS(Countries!$AK$5:$AK$434,Countries!$A$5:$A$434,"All landing pages",Countries!$B$5:$B$434,"Organic",Countries!$D$5:$D$434,$A465,Countries!$AR$5:$AR$434,"&gt;0")=0,"",SUMIFS(Countries!$AR$5:$AR$434,Countries!$A$5:$A$434,"All landing pages",Countries!$B$5:$B$434,"Organic",Countries!$D$5:$D$434,$A465,Countries!$AK$5:$AK$434,"&gt;0")/SUMIFS(Countries!$AK$5:$AK$434,Countries!$A$5:$A$434,"All landing pages",Countries!$B$5:$B$434,"Organic",Countries!$D$5:$D$434,$A465,Countries!$AR$5:$AR$434,"&gt;0"))</f>
        <v/>
      </c>
      <c r="G465" s="43">
        <f>IF(SUMIFS(Countries!$AL$5:$AL$434,Countries!$A$5:$A$434,"All landing pages",Countries!$B$5:$B$434,"Organic",Countries!$D$5:$D$434,$A465,Countries!$AS$5:$AS$434,"&gt;0")=0,"",SUMIFS(Countries!$AS$5:$AS$434,Countries!$A$5:$A$434,"All landing pages",Countries!$B$5:$B$434,"Organic",Countries!$D$5:$D$434,$A465,Countries!$AL$5:$AL$434,"&gt;0")/SUMIFS(Countries!$AL$5:$AL$434,Countries!$A$5:$A$434,"All landing pages",Countries!$B$5:$B$434,"Organic",Countries!$D$5:$D$434,$A465,Countries!$AS$5:$AS$434,"&gt;0"))</f>
        <v/>
      </c>
      <c r="H465" s="44">
        <f>IF(OR(F465="",G465=""),"",(G465-F465)*100)</f>
        <v/>
      </c>
      <c r="I465" s="73" t="n"/>
      <c r="J465" s="43">
        <f>IF(SUMIFS(Countries!$AK$5:$AK$434,Countries!$A$5:$A$434,"All landing pages",Countries!$B$5:$B$434,"Direct",Countries!$D$5:$D$434,$A465,Countries!$AR$5:$AR$434,"&gt;0")=0,"",SUMIFS(Countries!$AR$5:$AR$434,Countries!$A$5:$A$434,"All landing pages",Countries!$B$5:$B$434,"Direct",Countries!$D$5:$D$434,$A465,Countries!$AK$5:$AK$434,"&gt;0")/SUMIFS(Countries!$AK$5:$AK$434,Countries!$A$5:$A$434,"All landing pages",Countries!$B$5:$B$434,"Direct",Countries!$D$5:$D$434,$A465,Countries!$AR$5:$AR$434,"&gt;0"))</f>
        <v/>
      </c>
      <c r="K465" s="43">
        <f>IF(SUMIFS(Countries!$AL$5:$AL$434,Countries!$A$5:$A$434,"All landing pages",Countries!$B$5:$B$434,"Direct",Countries!$D$5:$D$434,$A465,Countries!$AS$5:$AS$434,"&gt;0")=0,"",SUMIFS(Countries!$AS$5:$AS$434,Countries!$A$5:$A$434,"All landing pages",Countries!$B$5:$B$434,"Direct",Countries!$D$5:$D$434,$A465,Countries!$AL$5:$AL$434,"&gt;0")/SUMIFS(Countries!$AL$5:$AL$434,Countries!$A$5:$A$434,"All landing pages",Countries!$B$5:$B$434,"Direct",Countries!$D$5:$D$434,$A465,Countries!$AS$5:$AS$434,"&gt;0"))</f>
        <v/>
      </c>
      <c r="L465" s="44">
        <f>IF(OR(J465="",K465=""),"",(K465-J465)*100)</f>
        <v/>
      </c>
      <c r="M465" s="73" t="n"/>
      <c r="N465" s="43">
        <f>IF(SUMIFS(Countries!$AK$5:$AK$434,Countries!$A$5:$A$434,"All landing pages",Countries!$D$5:$D$434,$A465,Countries!$AR$5:$AR$434,"&gt;0")=0,"",SUMIFS(Countries!$AR$5:$AR$434,Countries!$A$5:$A$434,"All landing pages",Countries!$D$5:$D$434,$A465,Countries!$AK$5:$AK$434,"&gt;0")/SUMIFS(Countries!$AK$5:$AK$434,Countries!$A$5:$A$434,"All landing pages",Countries!$D$5:$D$434,$A465,Countries!$AR$5:$AR$434,"&gt;0"))</f>
        <v/>
      </c>
      <c r="O465" s="43">
        <f>IF(SUMIFS(Countries!$AL$5:$AL$434,Countries!$A$5:$A$434,"All landing pages",Countries!$D$5:$D$434,$A465,Countries!$AS$5:$AS$434,"&gt;0")=0,"",SUMIFS(Countries!$AS$5:$AS$434,Countries!$A$5:$A$434,"All landing pages",Countries!$D$5:$D$434,$A465,Countries!$AL$5:$AL$434,"&gt;0")/SUMIFS(Countries!$AL$5:$AL$434,Countries!$A$5:$A$434,"All landing pages",Countries!$D$5:$D$434,$A465,Countries!$AS$5:$AS$434,"&gt;0"))</f>
        <v/>
      </c>
      <c r="P465" s="44">
        <f>IF(OR(N465="",O465=""),"",(O465-N465)*100)</f>
        <v/>
      </c>
      <c r="Q465" s="73" t="n"/>
    </row>
    <row r="466">
      <c r="A466" s="56" t="inlineStr">
        <is>
          <t>Spain</t>
        </is>
      </c>
      <c r="B466" s="43">
        <f>IF(SUMIFS(Countries!$AK$5:$AK$434,Countries!$A$5:$A$434,"All landing pages",Countries!$B$5:$B$434,"Paid Search",Countries!$D$5:$D$434,$A466,Countries!$AR$5:$AR$434,"&gt;0")=0,"",SUMIFS(Countries!$AR$5:$AR$434,Countries!$A$5:$A$434,"All landing pages",Countries!$B$5:$B$434,"Paid Search",Countries!$D$5:$D$434,$A466,Countries!$AK$5:$AK$434,"&gt;0")/SUMIFS(Countries!$AK$5:$AK$434,Countries!$A$5:$A$434,"All landing pages",Countries!$B$5:$B$434,"Paid Search",Countries!$D$5:$D$434,$A466,Countries!$AR$5:$AR$434,"&gt;0"))</f>
        <v/>
      </c>
      <c r="C466" s="43">
        <f>IF(SUMIFS(Countries!$AL$5:$AL$434,Countries!$A$5:$A$434,"All landing pages",Countries!$B$5:$B$434,"Paid Search",Countries!$D$5:$D$434,$A466,Countries!$AS$5:$AS$434,"&gt;0")=0,"",SUMIFS(Countries!$AS$5:$AS$434,Countries!$A$5:$A$434,"All landing pages",Countries!$B$5:$B$434,"Paid Search",Countries!$D$5:$D$434,$A466,Countries!$AL$5:$AL$434,"&gt;0")/SUMIFS(Countries!$AL$5:$AL$434,Countries!$A$5:$A$434,"All landing pages",Countries!$B$5:$B$434,"Paid Search",Countries!$D$5:$D$434,$A466,Countries!$AS$5:$AS$434,"&gt;0"))</f>
        <v/>
      </c>
      <c r="D466" s="44">
        <f>IF(OR(B466="",C466=""),"",(C466-B466)*100)</f>
        <v/>
      </c>
      <c r="E466" s="73" t="n"/>
      <c r="F466" s="43">
        <f>IF(SUMIFS(Countries!$AK$5:$AK$434,Countries!$A$5:$A$434,"All landing pages",Countries!$B$5:$B$434,"Organic",Countries!$D$5:$D$434,$A466,Countries!$AR$5:$AR$434,"&gt;0")=0,"",SUMIFS(Countries!$AR$5:$AR$434,Countries!$A$5:$A$434,"All landing pages",Countries!$B$5:$B$434,"Organic",Countries!$D$5:$D$434,$A466,Countries!$AK$5:$AK$434,"&gt;0")/SUMIFS(Countries!$AK$5:$AK$434,Countries!$A$5:$A$434,"All landing pages",Countries!$B$5:$B$434,"Organic",Countries!$D$5:$D$434,$A466,Countries!$AR$5:$AR$434,"&gt;0"))</f>
        <v/>
      </c>
      <c r="G466" s="43">
        <f>IF(SUMIFS(Countries!$AL$5:$AL$434,Countries!$A$5:$A$434,"All landing pages",Countries!$B$5:$B$434,"Organic",Countries!$D$5:$D$434,$A466,Countries!$AS$5:$AS$434,"&gt;0")=0,"",SUMIFS(Countries!$AS$5:$AS$434,Countries!$A$5:$A$434,"All landing pages",Countries!$B$5:$B$434,"Organic",Countries!$D$5:$D$434,$A466,Countries!$AL$5:$AL$434,"&gt;0")/SUMIFS(Countries!$AL$5:$AL$434,Countries!$A$5:$A$434,"All landing pages",Countries!$B$5:$B$434,"Organic",Countries!$D$5:$D$434,$A466,Countries!$AS$5:$AS$434,"&gt;0"))</f>
        <v/>
      </c>
      <c r="H466" s="44">
        <f>IF(OR(F466="",G466=""),"",(G466-F466)*100)</f>
        <v/>
      </c>
      <c r="I466" s="73" t="n"/>
      <c r="J466" s="43">
        <f>IF(SUMIFS(Countries!$AK$5:$AK$434,Countries!$A$5:$A$434,"All landing pages",Countries!$B$5:$B$434,"Direct",Countries!$D$5:$D$434,$A466,Countries!$AR$5:$AR$434,"&gt;0")=0,"",SUMIFS(Countries!$AR$5:$AR$434,Countries!$A$5:$A$434,"All landing pages",Countries!$B$5:$B$434,"Direct",Countries!$D$5:$D$434,$A466,Countries!$AK$5:$AK$434,"&gt;0")/SUMIFS(Countries!$AK$5:$AK$434,Countries!$A$5:$A$434,"All landing pages",Countries!$B$5:$B$434,"Direct",Countries!$D$5:$D$434,$A466,Countries!$AR$5:$AR$434,"&gt;0"))</f>
        <v/>
      </c>
      <c r="K466" s="43">
        <f>IF(SUMIFS(Countries!$AL$5:$AL$434,Countries!$A$5:$A$434,"All landing pages",Countries!$B$5:$B$434,"Direct",Countries!$D$5:$D$434,$A466,Countries!$AS$5:$AS$434,"&gt;0")=0,"",SUMIFS(Countries!$AS$5:$AS$434,Countries!$A$5:$A$434,"All landing pages",Countries!$B$5:$B$434,"Direct",Countries!$D$5:$D$434,$A466,Countries!$AL$5:$AL$434,"&gt;0")/SUMIFS(Countries!$AL$5:$AL$434,Countries!$A$5:$A$434,"All landing pages",Countries!$B$5:$B$434,"Direct",Countries!$D$5:$D$434,$A466,Countries!$AS$5:$AS$434,"&gt;0"))</f>
        <v/>
      </c>
      <c r="L466" s="44">
        <f>IF(OR(J466="",K466=""),"",(K466-J466)*100)</f>
        <v/>
      </c>
      <c r="M466" s="73" t="n"/>
      <c r="N466" s="43">
        <f>IF(SUMIFS(Countries!$AK$5:$AK$434,Countries!$A$5:$A$434,"All landing pages",Countries!$D$5:$D$434,$A466,Countries!$AR$5:$AR$434,"&gt;0")=0,"",SUMIFS(Countries!$AR$5:$AR$434,Countries!$A$5:$A$434,"All landing pages",Countries!$D$5:$D$434,$A466,Countries!$AK$5:$AK$434,"&gt;0")/SUMIFS(Countries!$AK$5:$AK$434,Countries!$A$5:$A$434,"All landing pages",Countries!$D$5:$D$434,$A466,Countries!$AR$5:$AR$434,"&gt;0"))</f>
        <v/>
      </c>
      <c r="O466" s="43">
        <f>IF(SUMIFS(Countries!$AL$5:$AL$434,Countries!$A$5:$A$434,"All landing pages",Countries!$D$5:$D$434,$A466,Countries!$AS$5:$AS$434,"&gt;0")=0,"",SUMIFS(Countries!$AS$5:$AS$434,Countries!$A$5:$A$434,"All landing pages",Countries!$D$5:$D$434,$A466,Countries!$AL$5:$AL$434,"&gt;0")/SUMIFS(Countries!$AL$5:$AL$434,Countries!$A$5:$A$434,"All landing pages",Countries!$D$5:$D$434,$A466,Countries!$AS$5:$AS$434,"&gt;0"))</f>
        <v/>
      </c>
      <c r="P466" s="44">
        <f>IF(OR(N466="",O466=""),"",(O466-N466)*100)</f>
        <v/>
      </c>
      <c r="Q466" s="73" t="n"/>
    </row>
    <row r="467">
      <c r="A467" s="40" t="inlineStr">
        <is>
          <t>Ireland</t>
        </is>
      </c>
      <c r="B467" s="43">
        <f>IF(SUMIFS(Countries!$AK$5:$AK$434,Countries!$A$5:$A$434,"All landing pages",Countries!$B$5:$B$434,"Paid Search",Countries!$D$5:$D$434,$A467,Countries!$AR$5:$AR$434,"&gt;0")=0,"",SUMIFS(Countries!$AR$5:$AR$434,Countries!$A$5:$A$434,"All landing pages",Countries!$B$5:$B$434,"Paid Search",Countries!$D$5:$D$434,$A467,Countries!$AK$5:$AK$434,"&gt;0")/SUMIFS(Countries!$AK$5:$AK$434,Countries!$A$5:$A$434,"All landing pages",Countries!$B$5:$B$434,"Paid Search",Countries!$D$5:$D$434,$A467,Countries!$AR$5:$AR$434,"&gt;0"))</f>
        <v/>
      </c>
      <c r="C467" s="43">
        <f>IF(SUMIFS(Countries!$AL$5:$AL$434,Countries!$A$5:$A$434,"All landing pages",Countries!$B$5:$B$434,"Paid Search",Countries!$D$5:$D$434,$A467,Countries!$AS$5:$AS$434,"&gt;0")=0,"",SUMIFS(Countries!$AS$5:$AS$434,Countries!$A$5:$A$434,"All landing pages",Countries!$B$5:$B$434,"Paid Search",Countries!$D$5:$D$434,$A467,Countries!$AL$5:$AL$434,"&gt;0")/SUMIFS(Countries!$AL$5:$AL$434,Countries!$A$5:$A$434,"All landing pages",Countries!$B$5:$B$434,"Paid Search",Countries!$D$5:$D$434,$A467,Countries!$AS$5:$AS$434,"&gt;0"))</f>
        <v/>
      </c>
      <c r="D467" s="44">
        <f>IF(OR(B467="",C467=""),"",(C467-B467)*100)</f>
        <v/>
      </c>
      <c r="E467" s="73" t="n"/>
      <c r="F467" s="43">
        <f>IF(SUMIFS(Countries!$AK$5:$AK$434,Countries!$A$5:$A$434,"All landing pages",Countries!$B$5:$B$434,"Organic",Countries!$D$5:$D$434,$A467,Countries!$AR$5:$AR$434,"&gt;0")=0,"",SUMIFS(Countries!$AR$5:$AR$434,Countries!$A$5:$A$434,"All landing pages",Countries!$B$5:$B$434,"Organic",Countries!$D$5:$D$434,$A467,Countries!$AK$5:$AK$434,"&gt;0")/SUMIFS(Countries!$AK$5:$AK$434,Countries!$A$5:$A$434,"All landing pages",Countries!$B$5:$B$434,"Organic",Countries!$D$5:$D$434,$A467,Countries!$AR$5:$AR$434,"&gt;0"))</f>
        <v/>
      </c>
      <c r="G467" s="43">
        <f>IF(SUMIFS(Countries!$AL$5:$AL$434,Countries!$A$5:$A$434,"All landing pages",Countries!$B$5:$B$434,"Organic",Countries!$D$5:$D$434,$A467,Countries!$AS$5:$AS$434,"&gt;0")=0,"",SUMIFS(Countries!$AS$5:$AS$434,Countries!$A$5:$A$434,"All landing pages",Countries!$B$5:$B$434,"Organic",Countries!$D$5:$D$434,$A467,Countries!$AL$5:$AL$434,"&gt;0")/SUMIFS(Countries!$AL$5:$AL$434,Countries!$A$5:$A$434,"All landing pages",Countries!$B$5:$B$434,"Organic",Countries!$D$5:$D$434,$A467,Countries!$AS$5:$AS$434,"&gt;0"))</f>
        <v/>
      </c>
      <c r="H467" s="44">
        <f>IF(OR(F467="",G467=""),"",(G467-F467)*100)</f>
        <v/>
      </c>
      <c r="I467" s="73" t="n"/>
      <c r="J467" s="43">
        <f>IF(SUMIFS(Countries!$AK$5:$AK$434,Countries!$A$5:$A$434,"All landing pages",Countries!$B$5:$B$434,"Direct",Countries!$D$5:$D$434,$A467,Countries!$AR$5:$AR$434,"&gt;0")=0,"",SUMIFS(Countries!$AR$5:$AR$434,Countries!$A$5:$A$434,"All landing pages",Countries!$B$5:$B$434,"Direct",Countries!$D$5:$D$434,$A467,Countries!$AK$5:$AK$434,"&gt;0")/SUMIFS(Countries!$AK$5:$AK$434,Countries!$A$5:$A$434,"All landing pages",Countries!$B$5:$B$434,"Direct",Countries!$D$5:$D$434,$A467,Countries!$AR$5:$AR$434,"&gt;0"))</f>
        <v/>
      </c>
      <c r="K467" s="43">
        <f>IF(SUMIFS(Countries!$AL$5:$AL$434,Countries!$A$5:$A$434,"All landing pages",Countries!$B$5:$B$434,"Direct",Countries!$D$5:$D$434,$A467,Countries!$AS$5:$AS$434,"&gt;0")=0,"",SUMIFS(Countries!$AS$5:$AS$434,Countries!$A$5:$A$434,"All landing pages",Countries!$B$5:$B$434,"Direct",Countries!$D$5:$D$434,$A467,Countries!$AL$5:$AL$434,"&gt;0")/SUMIFS(Countries!$AL$5:$AL$434,Countries!$A$5:$A$434,"All landing pages",Countries!$B$5:$B$434,"Direct",Countries!$D$5:$D$434,$A467,Countries!$AS$5:$AS$434,"&gt;0"))</f>
        <v/>
      </c>
      <c r="L467" s="44">
        <f>IF(OR(J467="",K467=""),"",(K467-J467)*100)</f>
        <v/>
      </c>
      <c r="M467" s="73" t="n"/>
      <c r="N467" s="43">
        <f>IF(SUMIFS(Countries!$AK$5:$AK$434,Countries!$A$5:$A$434,"All landing pages",Countries!$D$5:$D$434,$A467,Countries!$AR$5:$AR$434,"&gt;0")=0,"",SUMIFS(Countries!$AR$5:$AR$434,Countries!$A$5:$A$434,"All landing pages",Countries!$D$5:$D$434,$A467,Countries!$AK$5:$AK$434,"&gt;0")/SUMIFS(Countries!$AK$5:$AK$434,Countries!$A$5:$A$434,"All landing pages",Countries!$D$5:$D$434,$A467,Countries!$AR$5:$AR$434,"&gt;0"))</f>
        <v/>
      </c>
      <c r="O467" s="43">
        <f>IF(SUMIFS(Countries!$AL$5:$AL$434,Countries!$A$5:$A$434,"All landing pages",Countries!$D$5:$D$434,$A467,Countries!$AS$5:$AS$434,"&gt;0")=0,"",SUMIFS(Countries!$AS$5:$AS$434,Countries!$A$5:$A$434,"All landing pages",Countries!$D$5:$D$434,$A467,Countries!$AL$5:$AL$434,"&gt;0")/SUMIFS(Countries!$AL$5:$AL$434,Countries!$A$5:$A$434,"All landing pages",Countries!$D$5:$D$434,$A467,Countries!$AS$5:$AS$434,"&gt;0"))</f>
        <v/>
      </c>
      <c r="P467" s="44">
        <f>IF(OR(N467="",O467=""),"",(O467-N467)*100)</f>
        <v/>
      </c>
      <c r="Q467" s="73" t="n"/>
    </row>
    <row r="468">
      <c r="A468" s="56" t="inlineStr">
        <is>
          <t>Netherlands</t>
        </is>
      </c>
      <c r="B468" s="43">
        <f>IF(SUMIFS(Countries!$AK$5:$AK$434,Countries!$A$5:$A$434,"All landing pages",Countries!$B$5:$B$434,"Paid Search",Countries!$D$5:$D$434,$A468,Countries!$AR$5:$AR$434,"&gt;0")=0,"",SUMIFS(Countries!$AR$5:$AR$434,Countries!$A$5:$A$434,"All landing pages",Countries!$B$5:$B$434,"Paid Search",Countries!$D$5:$D$434,$A468,Countries!$AK$5:$AK$434,"&gt;0")/SUMIFS(Countries!$AK$5:$AK$434,Countries!$A$5:$A$434,"All landing pages",Countries!$B$5:$B$434,"Paid Search",Countries!$D$5:$D$434,$A468,Countries!$AR$5:$AR$434,"&gt;0"))</f>
        <v/>
      </c>
      <c r="C468" s="43">
        <f>IF(SUMIFS(Countries!$AL$5:$AL$434,Countries!$A$5:$A$434,"All landing pages",Countries!$B$5:$B$434,"Paid Search",Countries!$D$5:$D$434,$A468,Countries!$AS$5:$AS$434,"&gt;0")=0,"",SUMIFS(Countries!$AS$5:$AS$434,Countries!$A$5:$A$434,"All landing pages",Countries!$B$5:$B$434,"Paid Search",Countries!$D$5:$D$434,$A468,Countries!$AL$5:$AL$434,"&gt;0")/SUMIFS(Countries!$AL$5:$AL$434,Countries!$A$5:$A$434,"All landing pages",Countries!$B$5:$B$434,"Paid Search",Countries!$D$5:$D$434,$A468,Countries!$AS$5:$AS$434,"&gt;0"))</f>
        <v/>
      </c>
      <c r="D468" s="44">
        <f>IF(OR(B468="",C468=""),"",(C468-B468)*100)</f>
        <v/>
      </c>
      <c r="E468" s="73" t="n"/>
      <c r="F468" s="43">
        <f>IF(SUMIFS(Countries!$AK$5:$AK$434,Countries!$A$5:$A$434,"All landing pages",Countries!$B$5:$B$434,"Organic",Countries!$D$5:$D$434,$A468,Countries!$AR$5:$AR$434,"&gt;0")=0,"",SUMIFS(Countries!$AR$5:$AR$434,Countries!$A$5:$A$434,"All landing pages",Countries!$B$5:$B$434,"Organic",Countries!$D$5:$D$434,$A468,Countries!$AK$5:$AK$434,"&gt;0")/SUMIFS(Countries!$AK$5:$AK$434,Countries!$A$5:$A$434,"All landing pages",Countries!$B$5:$B$434,"Organic",Countries!$D$5:$D$434,$A468,Countries!$AR$5:$AR$434,"&gt;0"))</f>
        <v/>
      </c>
      <c r="G468" s="43">
        <f>IF(SUMIFS(Countries!$AL$5:$AL$434,Countries!$A$5:$A$434,"All landing pages",Countries!$B$5:$B$434,"Organic",Countries!$D$5:$D$434,$A468,Countries!$AS$5:$AS$434,"&gt;0")=0,"",SUMIFS(Countries!$AS$5:$AS$434,Countries!$A$5:$A$434,"All landing pages",Countries!$B$5:$B$434,"Organic",Countries!$D$5:$D$434,$A468,Countries!$AL$5:$AL$434,"&gt;0")/SUMIFS(Countries!$AL$5:$AL$434,Countries!$A$5:$A$434,"All landing pages",Countries!$B$5:$B$434,"Organic",Countries!$D$5:$D$434,$A468,Countries!$AS$5:$AS$434,"&gt;0"))</f>
        <v/>
      </c>
      <c r="H468" s="44">
        <f>IF(OR(F468="",G468=""),"",(G468-F468)*100)</f>
        <v/>
      </c>
      <c r="I468" s="73" t="n"/>
      <c r="J468" s="43">
        <f>IF(SUMIFS(Countries!$AK$5:$AK$434,Countries!$A$5:$A$434,"All landing pages",Countries!$B$5:$B$434,"Direct",Countries!$D$5:$D$434,$A468,Countries!$AR$5:$AR$434,"&gt;0")=0,"",SUMIFS(Countries!$AR$5:$AR$434,Countries!$A$5:$A$434,"All landing pages",Countries!$B$5:$B$434,"Direct",Countries!$D$5:$D$434,$A468,Countries!$AK$5:$AK$434,"&gt;0")/SUMIFS(Countries!$AK$5:$AK$434,Countries!$A$5:$A$434,"All landing pages",Countries!$B$5:$B$434,"Direct",Countries!$D$5:$D$434,$A468,Countries!$AR$5:$AR$434,"&gt;0"))</f>
        <v/>
      </c>
      <c r="K468" s="43">
        <f>IF(SUMIFS(Countries!$AL$5:$AL$434,Countries!$A$5:$A$434,"All landing pages",Countries!$B$5:$B$434,"Direct",Countries!$D$5:$D$434,$A468,Countries!$AS$5:$AS$434,"&gt;0")=0,"",SUMIFS(Countries!$AS$5:$AS$434,Countries!$A$5:$A$434,"All landing pages",Countries!$B$5:$B$434,"Direct",Countries!$D$5:$D$434,$A468,Countries!$AL$5:$AL$434,"&gt;0")/SUMIFS(Countries!$AL$5:$AL$434,Countries!$A$5:$A$434,"All landing pages",Countries!$B$5:$B$434,"Direct",Countries!$D$5:$D$434,$A468,Countries!$AS$5:$AS$434,"&gt;0"))</f>
        <v/>
      </c>
      <c r="L468" s="44">
        <f>IF(OR(J468="",K468=""),"",(K468-J468)*100)</f>
        <v/>
      </c>
      <c r="M468" s="73" t="n"/>
      <c r="N468" s="43">
        <f>IF(SUMIFS(Countries!$AK$5:$AK$434,Countries!$A$5:$A$434,"All landing pages",Countries!$D$5:$D$434,$A468,Countries!$AR$5:$AR$434,"&gt;0")=0,"",SUMIFS(Countries!$AR$5:$AR$434,Countries!$A$5:$A$434,"All landing pages",Countries!$D$5:$D$434,$A468,Countries!$AK$5:$AK$434,"&gt;0")/SUMIFS(Countries!$AK$5:$AK$434,Countries!$A$5:$A$434,"All landing pages",Countries!$D$5:$D$434,$A468,Countries!$AR$5:$AR$434,"&gt;0"))</f>
        <v/>
      </c>
      <c r="O468" s="43">
        <f>IF(SUMIFS(Countries!$AL$5:$AL$434,Countries!$A$5:$A$434,"All landing pages",Countries!$D$5:$D$434,$A468,Countries!$AS$5:$AS$434,"&gt;0")=0,"",SUMIFS(Countries!$AS$5:$AS$434,Countries!$A$5:$A$434,"All landing pages",Countries!$D$5:$D$434,$A468,Countries!$AL$5:$AL$434,"&gt;0")/SUMIFS(Countries!$AL$5:$AL$434,Countries!$A$5:$A$434,"All landing pages",Countries!$D$5:$D$434,$A468,Countries!$AS$5:$AS$434,"&gt;0"))</f>
        <v/>
      </c>
      <c r="P468" s="44">
        <f>IF(OR(N468="",O468=""),"",(O468-N468)*100)</f>
        <v/>
      </c>
      <c r="Q468" s="73" t="n"/>
    </row>
    <row r="469">
      <c r="A469" s="40" t="inlineStr">
        <is>
          <t>France</t>
        </is>
      </c>
      <c r="B469" s="43">
        <f>IF(SUMIFS(Countries!$AK$5:$AK$434,Countries!$A$5:$A$434,"All landing pages",Countries!$B$5:$B$434,"Paid Search",Countries!$D$5:$D$434,$A469,Countries!$AR$5:$AR$434,"&gt;0")=0,"",SUMIFS(Countries!$AR$5:$AR$434,Countries!$A$5:$A$434,"All landing pages",Countries!$B$5:$B$434,"Paid Search",Countries!$D$5:$D$434,$A469,Countries!$AK$5:$AK$434,"&gt;0")/SUMIFS(Countries!$AK$5:$AK$434,Countries!$A$5:$A$434,"All landing pages",Countries!$B$5:$B$434,"Paid Search",Countries!$D$5:$D$434,$A469,Countries!$AR$5:$AR$434,"&gt;0"))</f>
        <v/>
      </c>
      <c r="C469" s="43">
        <f>IF(SUMIFS(Countries!$AL$5:$AL$434,Countries!$A$5:$A$434,"All landing pages",Countries!$B$5:$B$434,"Paid Search",Countries!$D$5:$D$434,$A469,Countries!$AS$5:$AS$434,"&gt;0")=0,"",SUMIFS(Countries!$AS$5:$AS$434,Countries!$A$5:$A$434,"All landing pages",Countries!$B$5:$B$434,"Paid Search",Countries!$D$5:$D$434,$A469,Countries!$AL$5:$AL$434,"&gt;0")/SUMIFS(Countries!$AL$5:$AL$434,Countries!$A$5:$A$434,"All landing pages",Countries!$B$5:$B$434,"Paid Search",Countries!$D$5:$D$434,$A469,Countries!$AS$5:$AS$434,"&gt;0"))</f>
        <v/>
      </c>
      <c r="D469" s="44">
        <f>IF(OR(B469="",C469=""),"",(C469-B469)*100)</f>
        <v/>
      </c>
      <c r="E469" s="73" t="n"/>
      <c r="F469" s="43">
        <f>IF(SUMIFS(Countries!$AK$5:$AK$434,Countries!$A$5:$A$434,"All landing pages",Countries!$B$5:$B$434,"Organic",Countries!$D$5:$D$434,$A469,Countries!$AR$5:$AR$434,"&gt;0")=0,"",SUMIFS(Countries!$AR$5:$AR$434,Countries!$A$5:$A$434,"All landing pages",Countries!$B$5:$B$434,"Organic",Countries!$D$5:$D$434,$A469,Countries!$AK$5:$AK$434,"&gt;0")/SUMIFS(Countries!$AK$5:$AK$434,Countries!$A$5:$A$434,"All landing pages",Countries!$B$5:$B$434,"Organic",Countries!$D$5:$D$434,$A469,Countries!$AR$5:$AR$434,"&gt;0"))</f>
        <v/>
      </c>
      <c r="G469" s="43">
        <f>IF(SUMIFS(Countries!$AL$5:$AL$434,Countries!$A$5:$A$434,"All landing pages",Countries!$B$5:$B$434,"Organic",Countries!$D$5:$D$434,$A469,Countries!$AS$5:$AS$434,"&gt;0")=0,"",SUMIFS(Countries!$AS$5:$AS$434,Countries!$A$5:$A$434,"All landing pages",Countries!$B$5:$B$434,"Organic",Countries!$D$5:$D$434,$A469,Countries!$AL$5:$AL$434,"&gt;0")/SUMIFS(Countries!$AL$5:$AL$434,Countries!$A$5:$A$434,"All landing pages",Countries!$B$5:$B$434,"Organic",Countries!$D$5:$D$434,$A469,Countries!$AS$5:$AS$434,"&gt;0"))</f>
        <v/>
      </c>
      <c r="H469" s="44">
        <f>IF(OR(F469="",G469=""),"",(G469-F469)*100)</f>
        <v/>
      </c>
      <c r="I469" s="73" t="n"/>
      <c r="J469" s="43">
        <f>IF(SUMIFS(Countries!$AK$5:$AK$434,Countries!$A$5:$A$434,"All landing pages",Countries!$B$5:$B$434,"Direct",Countries!$D$5:$D$434,$A469,Countries!$AR$5:$AR$434,"&gt;0")=0,"",SUMIFS(Countries!$AR$5:$AR$434,Countries!$A$5:$A$434,"All landing pages",Countries!$B$5:$B$434,"Direct",Countries!$D$5:$D$434,$A469,Countries!$AK$5:$AK$434,"&gt;0")/SUMIFS(Countries!$AK$5:$AK$434,Countries!$A$5:$A$434,"All landing pages",Countries!$B$5:$B$434,"Direct",Countries!$D$5:$D$434,$A469,Countries!$AR$5:$AR$434,"&gt;0"))</f>
        <v/>
      </c>
      <c r="K469" s="43">
        <f>IF(SUMIFS(Countries!$AL$5:$AL$434,Countries!$A$5:$A$434,"All landing pages",Countries!$B$5:$B$434,"Direct",Countries!$D$5:$D$434,$A469,Countries!$AS$5:$AS$434,"&gt;0")=0,"",SUMIFS(Countries!$AS$5:$AS$434,Countries!$A$5:$A$434,"All landing pages",Countries!$B$5:$B$434,"Direct",Countries!$D$5:$D$434,$A469,Countries!$AL$5:$AL$434,"&gt;0")/SUMIFS(Countries!$AL$5:$AL$434,Countries!$A$5:$A$434,"All landing pages",Countries!$B$5:$B$434,"Direct",Countries!$D$5:$D$434,$A469,Countries!$AS$5:$AS$434,"&gt;0"))</f>
        <v/>
      </c>
      <c r="L469" s="44">
        <f>IF(OR(J469="",K469=""),"",(K469-J469)*100)</f>
        <v/>
      </c>
      <c r="M469" s="73" t="n"/>
      <c r="N469" s="43">
        <f>IF(SUMIFS(Countries!$AK$5:$AK$434,Countries!$A$5:$A$434,"All landing pages",Countries!$D$5:$D$434,$A469,Countries!$AR$5:$AR$434,"&gt;0")=0,"",SUMIFS(Countries!$AR$5:$AR$434,Countries!$A$5:$A$434,"All landing pages",Countries!$D$5:$D$434,$A469,Countries!$AK$5:$AK$434,"&gt;0")/SUMIFS(Countries!$AK$5:$AK$434,Countries!$A$5:$A$434,"All landing pages",Countries!$D$5:$D$434,$A469,Countries!$AR$5:$AR$434,"&gt;0"))</f>
        <v/>
      </c>
      <c r="O469" s="43">
        <f>IF(SUMIFS(Countries!$AL$5:$AL$434,Countries!$A$5:$A$434,"All landing pages",Countries!$D$5:$D$434,$A469,Countries!$AS$5:$AS$434,"&gt;0")=0,"",SUMIFS(Countries!$AS$5:$AS$434,Countries!$A$5:$A$434,"All landing pages",Countries!$D$5:$D$434,$A469,Countries!$AL$5:$AL$434,"&gt;0")/SUMIFS(Countries!$AL$5:$AL$434,Countries!$A$5:$A$434,"All landing pages",Countries!$D$5:$D$434,$A469,Countries!$AS$5:$AS$434,"&gt;0"))</f>
        <v/>
      </c>
      <c r="P469" s="44">
        <f>IF(OR(N469="",O469=""),"",(O469-N469)*100)</f>
        <v/>
      </c>
      <c r="Q469" s="73" t="n"/>
    </row>
    <row r="470">
      <c r="A470" s="56" t="inlineStr">
        <is>
          <t>Poland</t>
        </is>
      </c>
      <c r="B470" s="43">
        <f>IF(SUMIFS(Countries!$AK$5:$AK$434,Countries!$A$5:$A$434,"All landing pages",Countries!$B$5:$B$434,"Paid Search",Countries!$D$5:$D$434,$A470,Countries!$AR$5:$AR$434,"&gt;0")=0,"",SUMIFS(Countries!$AR$5:$AR$434,Countries!$A$5:$A$434,"All landing pages",Countries!$B$5:$B$434,"Paid Search",Countries!$D$5:$D$434,$A470,Countries!$AK$5:$AK$434,"&gt;0")/SUMIFS(Countries!$AK$5:$AK$434,Countries!$A$5:$A$434,"All landing pages",Countries!$B$5:$B$434,"Paid Search",Countries!$D$5:$D$434,$A470,Countries!$AR$5:$AR$434,"&gt;0"))</f>
        <v/>
      </c>
      <c r="C470" s="43">
        <f>IF(SUMIFS(Countries!$AL$5:$AL$434,Countries!$A$5:$A$434,"All landing pages",Countries!$B$5:$B$434,"Paid Search",Countries!$D$5:$D$434,$A470,Countries!$AS$5:$AS$434,"&gt;0")=0,"",SUMIFS(Countries!$AS$5:$AS$434,Countries!$A$5:$A$434,"All landing pages",Countries!$B$5:$B$434,"Paid Search",Countries!$D$5:$D$434,$A470,Countries!$AL$5:$AL$434,"&gt;0")/SUMIFS(Countries!$AL$5:$AL$434,Countries!$A$5:$A$434,"All landing pages",Countries!$B$5:$B$434,"Paid Search",Countries!$D$5:$D$434,$A470,Countries!$AS$5:$AS$434,"&gt;0"))</f>
        <v/>
      </c>
      <c r="D470" s="44">
        <f>IF(OR(B470="",C470=""),"",(C470-B470)*100)</f>
        <v/>
      </c>
      <c r="E470" s="73" t="n"/>
      <c r="F470" s="43">
        <f>IF(SUMIFS(Countries!$AK$5:$AK$434,Countries!$A$5:$A$434,"All landing pages",Countries!$B$5:$B$434,"Organic",Countries!$D$5:$D$434,$A470,Countries!$AR$5:$AR$434,"&gt;0")=0,"",SUMIFS(Countries!$AR$5:$AR$434,Countries!$A$5:$A$434,"All landing pages",Countries!$B$5:$B$434,"Organic",Countries!$D$5:$D$434,$A470,Countries!$AK$5:$AK$434,"&gt;0")/SUMIFS(Countries!$AK$5:$AK$434,Countries!$A$5:$A$434,"All landing pages",Countries!$B$5:$B$434,"Organic",Countries!$D$5:$D$434,$A470,Countries!$AR$5:$AR$434,"&gt;0"))</f>
        <v/>
      </c>
      <c r="G470" s="43">
        <f>IF(SUMIFS(Countries!$AL$5:$AL$434,Countries!$A$5:$A$434,"All landing pages",Countries!$B$5:$B$434,"Organic",Countries!$D$5:$D$434,$A470,Countries!$AS$5:$AS$434,"&gt;0")=0,"",SUMIFS(Countries!$AS$5:$AS$434,Countries!$A$5:$A$434,"All landing pages",Countries!$B$5:$B$434,"Organic",Countries!$D$5:$D$434,$A470,Countries!$AL$5:$AL$434,"&gt;0")/SUMIFS(Countries!$AL$5:$AL$434,Countries!$A$5:$A$434,"All landing pages",Countries!$B$5:$B$434,"Organic",Countries!$D$5:$D$434,$A470,Countries!$AS$5:$AS$434,"&gt;0"))</f>
        <v/>
      </c>
      <c r="H470" s="44">
        <f>IF(OR(F470="",G470=""),"",(G470-F470)*100)</f>
        <v/>
      </c>
      <c r="I470" s="73" t="n"/>
      <c r="J470" s="43">
        <f>IF(SUMIFS(Countries!$AK$5:$AK$434,Countries!$A$5:$A$434,"All landing pages",Countries!$B$5:$B$434,"Direct",Countries!$D$5:$D$434,$A470,Countries!$AR$5:$AR$434,"&gt;0")=0,"",SUMIFS(Countries!$AR$5:$AR$434,Countries!$A$5:$A$434,"All landing pages",Countries!$B$5:$B$434,"Direct",Countries!$D$5:$D$434,$A470,Countries!$AK$5:$AK$434,"&gt;0")/SUMIFS(Countries!$AK$5:$AK$434,Countries!$A$5:$A$434,"All landing pages",Countries!$B$5:$B$434,"Direct",Countries!$D$5:$D$434,$A470,Countries!$AR$5:$AR$434,"&gt;0"))</f>
        <v/>
      </c>
      <c r="K470" s="43">
        <f>IF(SUMIFS(Countries!$AL$5:$AL$434,Countries!$A$5:$A$434,"All landing pages",Countries!$B$5:$B$434,"Direct",Countries!$D$5:$D$434,$A470,Countries!$AS$5:$AS$434,"&gt;0")=0,"",SUMIFS(Countries!$AS$5:$AS$434,Countries!$A$5:$A$434,"All landing pages",Countries!$B$5:$B$434,"Direct",Countries!$D$5:$D$434,$A470,Countries!$AL$5:$AL$434,"&gt;0")/SUMIFS(Countries!$AL$5:$AL$434,Countries!$A$5:$A$434,"All landing pages",Countries!$B$5:$B$434,"Direct",Countries!$D$5:$D$434,$A470,Countries!$AS$5:$AS$434,"&gt;0"))</f>
        <v/>
      </c>
      <c r="L470" s="44">
        <f>IF(OR(J470="",K470=""),"",(K470-J470)*100)</f>
        <v/>
      </c>
      <c r="M470" s="73" t="n"/>
      <c r="N470" s="43">
        <f>IF(SUMIFS(Countries!$AK$5:$AK$434,Countries!$A$5:$A$434,"All landing pages",Countries!$D$5:$D$434,$A470,Countries!$AR$5:$AR$434,"&gt;0")=0,"",SUMIFS(Countries!$AR$5:$AR$434,Countries!$A$5:$A$434,"All landing pages",Countries!$D$5:$D$434,$A470,Countries!$AK$5:$AK$434,"&gt;0")/SUMIFS(Countries!$AK$5:$AK$434,Countries!$A$5:$A$434,"All landing pages",Countries!$D$5:$D$434,$A470,Countries!$AR$5:$AR$434,"&gt;0"))</f>
        <v/>
      </c>
      <c r="O470" s="43">
        <f>IF(SUMIFS(Countries!$AL$5:$AL$434,Countries!$A$5:$A$434,"All landing pages",Countries!$D$5:$D$434,$A470,Countries!$AS$5:$AS$434,"&gt;0")=0,"",SUMIFS(Countries!$AS$5:$AS$434,Countries!$A$5:$A$434,"All landing pages",Countries!$D$5:$D$434,$A470,Countries!$AL$5:$AL$434,"&gt;0")/SUMIFS(Countries!$AL$5:$AL$434,Countries!$A$5:$A$434,"All landing pages",Countries!$D$5:$D$434,$A470,Countries!$AS$5:$AS$434,"&gt;0"))</f>
        <v/>
      </c>
      <c r="P470" s="44">
        <f>IF(OR(N470="",O470=""),"",(O470-N470)*100)</f>
        <v/>
      </c>
      <c r="Q470" s="73" t="n"/>
    </row>
    <row r="471">
      <c r="A471" s="40" t="inlineStr">
        <is>
          <t>United States</t>
        </is>
      </c>
      <c r="B471" s="43">
        <f>IF(SUMIFS(Countries!$AK$5:$AK$434,Countries!$A$5:$A$434,"All landing pages",Countries!$B$5:$B$434,"Paid Search",Countries!$D$5:$D$434,$A471,Countries!$AR$5:$AR$434,"&gt;0")=0,"",SUMIFS(Countries!$AR$5:$AR$434,Countries!$A$5:$A$434,"All landing pages",Countries!$B$5:$B$434,"Paid Search",Countries!$D$5:$D$434,$A471,Countries!$AK$5:$AK$434,"&gt;0")/SUMIFS(Countries!$AK$5:$AK$434,Countries!$A$5:$A$434,"All landing pages",Countries!$B$5:$B$434,"Paid Search",Countries!$D$5:$D$434,$A471,Countries!$AR$5:$AR$434,"&gt;0"))</f>
        <v/>
      </c>
      <c r="C471" s="43">
        <f>IF(SUMIFS(Countries!$AL$5:$AL$434,Countries!$A$5:$A$434,"All landing pages",Countries!$B$5:$B$434,"Paid Search",Countries!$D$5:$D$434,$A471,Countries!$AS$5:$AS$434,"&gt;0")=0,"",SUMIFS(Countries!$AS$5:$AS$434,Countries!$A$5:$A$434,"All landing pages",Countries!$B$5:$B$434,"Paid Search",Countries!$D$5:$D$434,$A471,Countries!$AL$5:$AL$434,"&gt;0")/SUMIFS(Countries!$AL$5:$AL$434,Countries!$A$5:$A$434,"All landing pages",Countries!$B$5:$B$434,"Paid Search",Countries!$D$5:$D$434,$A471,Countries!$AS$5:$AS$434,"&gt;0"))</f>
        <v/>
      </c>
      <c r="D471" s="44">
        <f>IF(OR(B471="",C471=""),"",(C471-B471)*100)</f>
        <v/>
      </c>
      <c r="E471" s="73" t="n"/>
      <c r="F471" s="43">
        <f>IF(SUMIFS(Countries!$AK$5:$AK$434,Countries!$A$5:$A$434,"All landing pages",Countries!$B$5:$B$434,"Organic",Countries!$D$5:$D$434,$A471,Countries!$AR$5:$AR$434,"&gt;0")=0,"",SUMIFS(Countries!$AR$5:$AR$434,Countries!$A$5:$A$434,"All landing pages",Countries!$B$5:$B$434,"Organic",Countries!$D$5:$D$434,$A471,Countries!$AK$5:$AK$434,"&gt;0")/SUMIFS(Countries!$AK$5:$AK$434,Countries!$A$5:$A$434,"All landing pages",Countries!$B$5:$B$434,"Organic",Countries!$D$5:$D$434,$A471,Countries!$AR$5:$AR$434,"&gt;0"))</f>
        <v/>
      </c>
      <c r="G471" s="43">
        <f>IF(SUMIFS(Countries!$AL$5:$AL$434,Countries!$A$5:$A$434,"All landing pages",Countries!$B$5:$B$434,"Organic",Countries!$D$5:$D$434,$A471,Countries!$AS$5:$AS$434,"&gt;0")=0,"",SUMIFS(Countries!$AS$5:$AS$434,Countries!$A$5:$A$434,"All landing pages",Countries!$B$5:$B$434,"Organic",Countries!$D$5:$D$434,$A471,Countries!$AL$5:$AL$434,"&gt;0")/SUMIFS(Countries!$AL$5:$AL$434,Countries!$A$5:$A$434,"All landing pages",Countries!$B$5:$B$434,"Organic",Countries!$D$5:$D$434,$A471,Countries!$AS$5:$AS$434,"&gt;0"))</f>
        <v/>
      </c>
      <c r="H471" s="44">
        <f>IF(OR(F471="",G471=""),"",(G471-F471)*100)</f>
        <v/>
      </c>
      <c r="I471" s="73" t="n"/>
      <c r="J471" s="43">
        <f>IF(SUMIFS(Countries!$AK$5:$AK$434,Countries!$A$5:$A$434,"All landing pages",Countries!$B$5:$B$434,"Direct",Countries!$D$5:$D$434,$A471,Countries!$AR$5:$AR$434,"&gt;0")=0,"",SUMIFS(Countries!$AR$5:$AR$434,Countries!$A$5:$A$434,"All landing pages",Countries!$B$5:$B$434,"Direct",Countries!$D$5:$D$434,$A471,Countries!$AK$5:$AK$434,"&gt;0")/SUMIFS(Countries!$AK$5:$AK$434,Countries!$A$5:$A$434,"All landing pages",Countries!$B$5:$B$434,"Direct",Countries!$D$5:$D$434,$A471,Countries!$AR$5:$AR$434,"&gt;0"))</f>
        <v/>
      </c>
      <c r="K471" s="43">
        <f>IF(SUMIFS(Countries!$AL$5:$AL$434,Countries!$A$5:$A$434,"All landing pages",Countries!$B$5:$B$434,"Direct",Countries!$D$5:$D$434,$A471,Countries!$AS$5:$AS$434,"&gt;0")=0,"",SUMIFS(Countries!$AS$5:$AS$434,Countries!$A$5:$A$434,"All landing pages",Countries!$B$5:$B$434,"Direct",Countries!$D$5:$D$434,$A471,Countries!$AL$5:$AL$434,"&gt;0")/SUMIFS(Countries!$AL$5:$AL$434,Countries!$A$5:$A$434,"All landing pages",Countries!$B$5:$B$434,"Direct",Countries!$D$5:$D$434,$A471,Countries!$AS$5:$AS$434,"&gt;0"))</f>
        <v/>
      </c>
      <c r="L471" s="44">
        <f>IF(OR(J471="",K471=""),"",(K471-J471)*100)</f>
        <v/>
      </c>
      <c r="M471" s="73" t="n"/>
      <c r="N471" s="43">
        <f>IF(SUMIFS(Countries!$AK$5:$AK$434,Countries!$A$5:$A$434,"All landing pages",Countries!$D$5:$D$434,$A471,Countries!$AR$5:$AR$434,"&gt;0")=0,"",SUMIFS(Countries!$AR$5:$AR$434,Countries!$A$5:$A$434,"All landing pages",Countries!$D$5:$D$434,$A471,Countries!$AK$5:$AK$434,"&gt;0")/SUMIFS(Countries!$AK$5:$AK$434,Countries!$A$5:$A$434,"All landing pages",Countries!$D$5:$D$434,$A471,Countries!$AR$5:$AR$434,"&gt;0"))</f>
        <v/>
      </c>
      <c r="O471" s="43">
        <f>IF(SUMIFS(Countries!$AL$5:$AL$434,Countries!$A$5:$A$434,"All landing pages",Countries!$D$5:$D$434,$A471,Countries!$AS$5:$AS$434,"&gt;0")=0,"",SUMIFS(Countries!$AS$5:$AS$434,Countries!$A$5:$A$434,"All landing pages",Countries!$D$5:$D$434,$A471,Countries!$AL$5:$AL$434,"&gt;0")/SUMIFS(Countries!$AL$5:$AL$434,Countries!$A$5:$A$434,"All landing pages",Countries!$D$5:$D$434,$A471,Countries!$AS$5:$AS$434,"&gt;0"))</f>
        <v/>
      </c>
      <c r="P471" s="44">
        <f>IF(OR(N471="",O471=""),"",(O471-N471)*100)</f>
        <v/>
      </c>
      <c r="Q471" s="73" t="n"/>
    </row>
    <row r="472">
      <c r="A472" s="56" t="inlineStr">
        <is>
          <t>Sweden</t>
        </is>
      </c>
      <c r="B472" s="43">
        <f>IF(SUMIFS(Countries!$AK$5:$AK$434,Countries!$A$5:$A$434,"All landing pages",Countries!$B$5:$B$434,"Paid Search",Countries!$D$5:$D$434,$A472,Countries!$AR$5:$AR$434,"&gt;0")=0,"",SUMIFS(Countries!$AR$5:$AR$434,Countries!$A$5:$A$434,"All landing pages",Countries!$B$5:$B$434,"Paid Search",Countries!$D$5:$D$434,$A472,Countries!$AK$5:$AK$434,"&gt;0")/SUMIFS(Countries!$AK$5:$AK$434,Countries!$A$5:$A$434,"All landing pages",Countries!$B$5:$B$434,"Paid Search",Countries!$D$5:$D$434,$A472,Countries!$AR$5:$AR$434,"&gt;0"))</f>
        <v/>
      </c>
      <c r="C472" s="43">
        <f>IF(SUMIFS(Countries!$AL$5:$AL$434,Countries!$A$5:$A$434,"All landing pages",Countries!$B$5:$B$434,"Paid Search",Countries!$D$5:$D$434,$A472,Countries!$AS$5:$AS$434,"&gt;0")=0,"",SUMIFS(Countries!$AS$5:$AS$434,Countries!$A$5:$A$434,"All landing pages",Countries!$B$5:$B$434,"Paid Search",Countries!$D$5:$D$434,$A472,Countries!$AL$5:$AL$434,"&gt;0")/SUMIFS(Countries!$AL$5:$AL$434,Countries!$A$5:$A$434,"All landing pages",Countries!$B$5:$B$434,"Paid Search",Countries!$D$5:$D$434,$A472,Countries!$AS$5:$AS$434,"&gt;0"))</f>
        <v/>
      </c>
      <c r="D472" s="44">
        <f>IF(OR(B472="",C472=""),"",(C472-B472)*100)</f>
        <v/>
      </c>
      <c r="E472" s="73" t="n"/>
      <c r="F472" s="43">
        <f>IF(SUMIFS(Countries!$AK$5:$AK$434,Countries!$A$5:$A$434,"All landing pages",Countries!$B$5:$B$434,"Organic",Countries!$D$5:$D$434,$A472,Countries!$AR$5:$AR$434,"&gt;0")=0,"",SUMIFS(Countries!$AR$5:$AR$434,Countries!$A$5:$A$434,"All landing pages",Countries!$B$5:$B$434,"Organic",Countries!$D$5:$D$434,$A472,Countries!$AK$5:$AK$434,"&gt;0")/SUMIFS(Countries!$AK$5:$AK$434,Countries!$A$5:$A$434,"All landing pages",Countries!$B$5:$B$434,"Organic",Countries!$D$5:$D$434,$A472,Countries!$AR$5:$AR$434,"&gt;0"))</f>
        <v/>
      </c>
      <c r="G472" s="43">
        <f>IF(SUMIFS(Countries!$AL$5:$AL$434,Countries!$A$5:$A$434,"All landing pages",Countries!$B$5:$B$434,"Organic",Countries!$D$5:$D$434,$A472,Countries!$AS$5:$AS$434,"&gt;0")=0,"",SUMIFS(Countries!$AS$5:$AS$434,Countries!$A$5:$A$434,"All landing pages",Countries!$B$5:$B$434,"Organic",Countries!$D$5:$D$434,$A472,Countries!$AL$5:$AL$434,"&gt;0")/SUMIFS(Countries!$AL$5:$AL$434,Countries!$A$5:$A$434,"All landing pages",Countries!$B$5:$B$434,"Organic",Countries!$D$5:$D$434,$A472,Countries!$AS$5:$AS$434,"&gt;0"))</f>
        <v/>
      </c>
      <c r="H472" s="44">
        <f>IF(OR(F472="",G472=""),"",(G472-F472)*100)</f>
        <v/>
      </c>
      <c r="I472" s="73" t="n"/>
      <c r="J472" s="43">
        <f>IF(SUMIFS(Countries!$AK$5:$AK$434,Countries!$A$5:$A$434,"All landing pages",Countries!$B$5:$B$434,"Direct",Countries!$D$5:$D$434,$A472,Countries!$AR$5:$AR$434,"&gt;0")=0,"",SUMIFS(Countries!$AR$5:$AR$434,Countries!$A$5:$A$434,"All landing pages",Countries!$B$5:$B$434,"Direct",Countries!$D$5:$D$434,$A472,Countries!$AK$5:$AK$434,"&gt;0")/SUMIFS(Countries!$AK$5:$AK$434,Countries!$A$5:$A$434,"All landing pages",Countries!$B$5:$B$434,"Direct",Countries!$D$5:$D$434,$A472,Countries!$AR$5:$AR$434,"&gt;0"))</f>
        <v/>
      </c>
      <c r="K472" s="43">
        <f>IF(SUMIFS(Countries!$AL$5:$AL$434,Countries!$A$5:$A$434,"All landing pages",Countries!$B$5:$B$434,"Direct",Countries!$D$5:$D$434,$A472,Countries!$AS$5:$AS$434,"&gt;0")=0,"",SUMIFS(Countries!$AS$5:$AS$434,Countries!$A$5:$A$434,"All landing pages",Countries!$B$5:$B$434,"Direct",Countries!$D$5:$D$434,$A472,Countries!$AL$5:$AL$434,"&gt;0")/SUMIFS(Countries!$AL$5:$AL$434,Countries!$A$5:$A$434,"All landing pages",Countries!$B$5:$B$434,"Direct",Countries!$D$5:$D$434,$A472,Countries!$AS$5:$AS$434,"&gt;0"))</f>
        <v/>
      </c>
      <c r="L472" s="44">
        <f>IF(OR(J472="",K472=""),"",(K472-J472)*100)</f>
        <v/>
      </c>
      <c r="M472" s="73" t="n"/>
      <c r="N472" s="43">
        <f>IF(SUMIFS(Countries!$AK$5:$AK$434,Countries!$A$5:$A$434,"All landing pages",Countries!$D$5:$D$434,$A472,Countries!$AR$5:$AR$434,"&gt;0")=0,"",SUMIFS(Countries!$AR$5:$AR$434,Countries!$A$5:$A$434,"All landing pages",Countries!$D$5:$D$434,$A472,Countries!$AK$5:$AK$434,"&gt;0")/SUMIFS(Countries!$AK$5:$AK$434,Countries!$A$5:$A$434,"All landing pages",Countries!$D$5:$D$434,$A472,Countries!$AR$5:$AR$434,"&gt;0"))</f>
        <v/>
      </c>
      <c r="O472" s="43">
        <f>IF(SUMIFS(Countries!$AL$5:$AL$434,Countries!$A$5:$A$434,"All landing pages",Countries!$D$5:$D$434,$A472,Countries!$AS$5:$AS$434,"&gt;0")=0,"",SUMIFS(Countries!$AS$5:$AS$434,Countries!$A$5:$A$434,"All landing pages",Countries!$D$5:$D$434,$A472,Countries!$AL$5:$AL$434,"&gt;0")/SUMIFS(Countries!$AL$5:$AL$434,Countries!$A$5:$A$434,"All landing pages",Countries!$D$5:$D$434,$A472,Countries!$AS$5:$AS$434,"&gt;0"))</f>
        <v/>
      </c>
      <c r="P472" s="44">
        <f>IF(OR(N472="",O472=""),"",(O472-N472)*100)</f>
        <v/>
      </c>
      <c r="Q472" s="73" t="n"/>
    </row>
    <row r="473">
      <c r="A473" s="40" t="inlineStr">
        <is>
          <t>Belgium</t>
        </is>
      </c>
      <c r="B473" s="43">
        <f>IF(SUMIFS(Countries!$AK$5:$AK$434,Countries!$A$5:$A$434,"All landing pages",Countries!$B$5:$B$434,"Paid Search",Countries!$D$5:$D$434,$A473,Countries!$AR$5:$AR$434,"&gt;0")=0,"",SUMIFS(Countries!$AR$5:$AR$434,Countries!$A$5:$A$434,"All landing pages",Countries!$B$5:$B$434,"Paid Search",Countries!$D$5:$D$434,$A473,Countries!$AK$5:$AK$434,"&gt;0")/SUMIFS(Countries!$AK$5:$AK$434,Countries!$A$5:$A$434,"All landing pages",Countries!$B$5:$B$434,"Paid Search",Countries!$D$5:$D$434,$A473,Countries!$AR$5:$AR$434,"&gt;0"))</f>
        <v/>
      </c>
      <c r="C473" s="43">
        <f>IF(SUMIFS(Countries!$AL$5:$AL$434,Countries!$A$5:$A$434,"All landing pages",Countries!$B$5:$B$434,"Paid Search",Countries!$D$5:$D$434,$A473,Countries!$AS$5:$AS$434,"&gt;0")=0,"",SUMIFS(Countries!$AS$5:$AS$434,Countries!$A$5:$A$434,"All landing pages",Countries!$B$5:$B$434,"Paid Search",Countries!$D$5:$D$434,$A473,Countries!$AL$5:$AL$434,"&gt;0")/SUMIFS(Countries!$AL$5:$AL$434,Countries!$A$5:$A$434,"All landing pages",Countries!$B$5:$B$434,"Paid Search",Countries!$D$5:$D$434,$A473,Countries!$AS$5:$AS$434,"&gt;0"))</f>
        <v/>
      </c>
      <c r="D473" s="44">
        <f>IF(OR(B473="",C473=""),"",(C473-B473)*100)</f>
        <v/>
      </c>
      <c r="E473" s="73" t="n"/>
      <c r="F473" s="43">
        <f>IF(SUMIFS(Countries!$AK$5:$AK$434,Countries!$A$5:$A$434,"All landing pages",Countries!$B$5:$B$434,"Organic",Countries!$D$5:$D$434,$A473,Countries!$AR$5:$AR$434,"&gt;0")=0,"",SUMIFS(Countries!$AR$5:$AR$434,Countries!$A$5:$A$434,"All landing pages",Countries!$B$5:$B$434,"Organic",Countries!$D$5:$D$434,$A473,Countries!$AK$5:$AK$434,"&gt;0")/SUMIFS(Countries!$AK$5:$AK$434,Countries!$A$5:$A$434,"All landing pages",Countries!$B$5:$B$434,"Organic",Countries!$D$5:$D$434,$A473,Countries!$AR$5:$AR$434,"&gt;0"))</f>
        <v/>
      </c>
      <c r="G473" s="43">
        <f>IF(SUMIFS(Countries!$AL$5:$AL$434,Countries!$A$5:$A$434,"All landing pages",Countries!$B$5:$B$434,"Organic",Countries!$D$5:$D$434,$A473,Countries!$AS$5:$AS$434,"&gt;0")=0,"",SUMIFS(Countries!$AS$5:$AS$434,Countries!$A$5:$A$434,"All landing pages",Countries!$B$5:$B$434,"Organic",Countries!$D$5:$D$434,$A473,Countries!$AL$5:$AL$434,"&gt;0")/SUMIFS(Countries!$AL$5:$AL$434,Countries!$A$5:$A$434,"All landing pages",Countries!$B$5:$B$434,"Organic",Countries!$D$5:$D$434,$A473,Countries!$AS$5:$AS$434,"&gt;0"))</f>
        <v/>
      </c>
      <c r="H473" s="44">
        <f>IF(OR(F473="",G473=""),"",(G473-F473)*100)</f>
        <v/>
      </c>
      <c r="I473" s="73" t="n"/>
      <c r="J473" s="43">
        <f>IF(SUMIFS(Countries!$AK$5:$AK$434,Countries!$A$5:$A$434,"All landing pages",Countries!$B$5:$B$434,"Direct",Countries!$D$5:$D$434,$A473,Countries!$AR$5:$AR$434,"&gt;0")=0,"",SUMIFS(Countries!$AR$5:$AR$434,Countries!$A$5:$A$434,"All landing pages",Countries!$B$5:$B$434,"Direct",Countries!$D$5:$D$434,$A473,Countries!$AK$5:$AK$434,"&gt;0")/SUMIFS(Countries!$AK$5:$AK$434,Countries!$A$5:$A$434,"All landing pages",Countries!$B$5:$B$434,"Direct",Countries!$D$5:$D$434,$A473,Countries!$AR$5:$AR$434,"&gt;0"))</f>
        <v/>
      </c>
      <c r="K473" s="43">
        <f>IF(SUMIFS(Countries!$AL$5:$AL$434,Countries!$A$5:$A$434,"All landing pages",Countries!$B$5:$B$434,"Direct",Countries!$D$5:$D$434,$A473,Countries!$AS$5:$AS$434,"&gt;0")=0,"",SUMIFS(Countries!$AS$5:$AS$434,Countries!$A$5:$A$434,"All landing pages",Countries!$B$5:$B$434,"Direct",Countries!$D$5:$D$434,$A473,Countries!$AL$5:$AL$434,"&gt;0")/SUMIFS(Countries!$AL$5:$AL$434,Countries!$A$5:$A$434,"All landing pages",Countries!$B$5:$B$434,"Direct",Countries!$D$5:$D$434,$A473,Countries!$AS$5:$AS$434,"&gt;0"))</f>
        <v/>
      </c>
      <c r="L473" s="44">
        <f>IF(OR(J473="",K473=""),"",(K473-J473)*100)</f>
        <v/>
      </c>
      <c r="M473" s="73" t="n"/>
      <c r="N473" s="43">
        <f>IF(SUMIFS(Countries!$AK$5:$AK$434,Countries!$A$5:$A$434,"All landing pages",Countries!$D$5:$D$434,$A473,Countries!$AR$5:$AR$434,"&gt;0")=0,"",SUMIFS(Countries!$AR$5:$AR$434,Countries!$A$5:$A$434,"All landing pages",Countries!$D$5:$D$434,$A473,Countries!$AK$5:$AK$434,"&gt;0")/SUMIFS(Countries!$AK$5:$AK$434,Countries!$A$5:$A$434,"All landing pages",Countries!$D$5:$D$434,$A473,Countries!$AR$5:$AR$434,"&gt;0"))</f>
        <v/>
      </c>
      <c r="O473" s="43">
        <f>IF(SUMIFS(Countries!$AL$5:$AL$434,Countries!$A$5:$A$434,"All landing pages",Countries!$D$5:$D$434,$A473,Countries!$AS$5:$AS$434,"&gt;0")=0,"",SUMIFS(Countries!$AS$5:$AS$434,Countries!$A$5:$A$434,"All landing pages",Countries!$D$5:$D$434,$A473,Countries!$AL$5:$AL$434,"&gt;0")/SUMIFS(Countries!$AL$5:$AL$434,Countries!$A$5:$A$434,"All landing pages",Countries!$D$5:$D$434,$A473,Countries!$AS$5:$AS$434,"&gt;0"))</f>
        <v/>
      </c>
      <c r="P473" s="44">
        <f>IF(OR(N473="",O473=""),"",(O473-N473)*100)</f>
        <v/>
      </c>
      <c r="Q473" s="73" t="n"/>
    </row>
    <row r="474">
      <c r="A474" s="56" t="inlineStr">
        <is>
          <t>Austria</t>
        </is>
      </c>
      <c r="B474" s="43">
        <f>IF(SUMIFS(Countries!$AK$5:$AK$434,Countries!$A$5:$A$434,"All landing pages",Countries!$B$5:$B$434,"Paid Search",Countries!$D$5:$D$434,$A474,Countries!$AR$5:$AR$434,"&gt;0")=0,"",SUMIFS(Countries!$AR$5:$AR$434,Countries!$A$5:$A$434,"All landing pages",Countries!$B$5:$B$434,"Paid Search",Countries!$D$5:$D$434,$A474,Countries!$AK$5:$AK$434,"&gt;0")/SUMIFS(Countries!$AK$5:$AK$434,Countries!$A$5:$A$434,"All landing pages",Countries!$B$5:$B$434,"Paid Search",Countries!$D$5:$D$434,$A474,Countries!$AR$5:$AR$434,"&gt;0"))</f>
        <v/>
      </c>
      <c r="C474" s="43">
        <f>IF(SUMIFS(Countries!$AL$5:$AL$434,Countries!$A$5:$A$434,"All landing pages",Countries!$B$5:$B$434,"Paid Search",Countries!$D$5:$D$434,$A474,Countries!$AS$5:$AS$434,"&gt;0")=0,"",SUMIFS(Countries!$AS$5:$AS$434,Countries!$A$5:$A$434,"All landing pages",Countries!$B$5:$B$434,"Paid Search",Countries!$D$5:$D$434,$A474,Countries!$AL$5:$AL$434,"&gt;0")/SUMIFS(Countries!$AL$5:$AL$434,Countries!$A$5:$A$434,"All landing pages",Countries!$B$5:$B$434,"Paid Search",Countries!$D$5:$D$434,$A474,Countries!$AS$5:$AS$434,"&gt;0"))</f>
        <v/>
      </c>
      <c r="D474" s="44">
        <f>IF(OR(B474="",C474=""),"",(C474-B474)*100)</f>
        <v/>
      </c>
      <c r="E474" s="73" t="n"/>
      <c r="F474" s="43">
        <f>IF(SUMIFS(Countries!$AK$5:$AK$434,Countries!$A$5:$A$434,"All landing pages",Countries!$B$5:$B$434,"Organic",Countries!$D$5:$D$434,$A474,Countries!$AR$5:$AR$434,"&gt;0")=0,"",SUMIFS(Countries!$AR$5:$AR$434,Countries!$A$5:$A$434,"All landing pages",Countries!$B$5:$B$434,"Organic",Countries!$D$5:$D$434,$A474,Countries!$AK$5:$AK$434,"&gt;0")/SUMIFS(Countries!$AK$5:$AK$434,Countries!$A$5:$A$434,"All landing pages",Countries!$B$5:$B$434,"Organic",Countries!$D$5:$D$434,$A474,Countries!$AR$5:$AR$434,"&gt;0"))</f>
        <v/>
      </c>
      <c r="G474" s="43">
        <f>IF(SUMIFS(Countries!$AL$5:$AL$434,Countries!$A$5:$A$434,"All landing pages",Countries!$B$5:$B$434,"Organic",Countries!$D$5:$D$434,$A474,Countries!$AS$5:$AS$434,"&gt;0")=0,"",SUMIFS(Countries!$AS$5:$AS$434,Countries!$A$5:$A$434,"All landing pages",Countries!$B$5:$B$434,"Organic",Countries!$D$5:$D$434,$A474,Countries!$AL$5:$AL$434,"&gt;0")/SUMIFS(Countries!$AL$5:$AL$434,Countries!$A$5:$A$434,"All landing pages",Countries!$B$5:$B$434,"Organic",Countries!$D$5:$D$434,$A474,Countries!$AS$5:$AS$434,"&gt;0"))</f>
        <v/>
      </c>
      <c r="H474" s="44">
        <f>IF(OR(F474="",G474=""),"",(G474-F474)*100)</f>
        <v/>
      </c>
      <c r="I474" s="73" t="n"/>
      <c r="J474" s="43">
        <f>IF(SUMIFS(Countries!$AK$5:$AK$434,Countries!$A$5:$A$434,"All landing pages",Countries!$B$5:$B$434,"Direct",Countries!$D$5:$D$434,$A474,Countries!$AR$5:$AR$434,"&gt;0")=0,"",SUMIFS(Countries!$AR$5:$AR$434,Countries!$A$5:$A$434,"All landing pages",Countries!$B$5:$B$434,"Direct",Countries!$D$5:$D$434,$A474,Countries!$AK$5:$AK$434,"&gt;0")/SUMIFS(Countries!$AK$5:$AK$434,Countries!$A$5:$A$434,"All landing pages",Countries!$B$5:$B$434,"Direct",Countries!$D$5:$D$434,$A474,Countries!$AR$5:$AR$434,"&gt;0"))</f>
        <v/>
      </c>
      <c r="K474" s="43">
        <f>IF(SUMIFS(Countries!$AL$5:$AL$434,Countries!$A$5:$A$434,"All landing pages",Countries!$B$5:$B$434,"Direct",Countries!$D$5:$D$434,$A474,Countries!$AS$5:$AS$434,"&gt;0")=0,"",SUMIFS(Countries!$AS$5:$AS$434,Countries!$A$5:$A$434,"All landing pages",Countries!$B$5:$B$434,"Direct",Countries!$D$5:$D$434,$A474,Countries!$AL$5:$AL$434,"&gt;0")/SUMIFS(Countries!$AL$5:$AL$434,Countries!$A$5:$A$434,"All landing pages",Countries!$B$5:$B$434,"Direct",Countries!$D$5:$D$434,$A474,Countries!$AS$5:$AS$434,"&gt;0"))</f>
        <v/>
      </c>
      <c r="L474" s="44">
        <f>IF(OR(J474="",K474=""),"",(K474-J474)*100)</f>
        <v/>
      </c>
      <c r="M474" s="73" t="n"/>
      <c r="N474" s="43">
        <f>IF(SUMIFS(Countries!$AK$5:$AK$434,Countries!$A$5:$A$434,"All landing pages",Countries!$D$5:$D$434,$A474,Countries!$AR$5:$AR$434,"&gt;0")=0,"",SUMIFS(Countries!$AR$5:$AR$434,Countries!$A$5:$A$434,"All landing pages",Countries!$D$5:$D$434,$A474,Countries!$AK$5:$AK$434,"&gt;0")/SUMIFS(Countries!$AK$5:$AK$434,Countries!$A$5:$A$434,"All landing pages",Countries!$D$5:$D$434,$A474,Countries!$AR$5:$AR$434,"&gt;0"))</f>
        <v/>
      </c>
      <c r="O474" s="43">
        <f>IF(SUMIFS(Countries!$AL$5:$AL$434,Countries!$A$5:$A$434,"All landing pages",Countries!$D$5:$D$434,$A474,Countries!$AS$5:$AS$434,"&gt;0")=0,"",SUMIFS(Countries!$AS$5:$AS$434,Countries!$A$5:$A$434,"All landing pages",Countries!$D$5:$D$434,$A474,Countries!$AL$5:$AL$434,"&gt;0")/SUMIFS(Countries!$AL$5:$AL$434,Countries!$A$5:$A$434,"All landing pages",Countries!$D$5:$D$434,$A474,Countries!$AS$5:$AS$434,"&gt;0"))</f>
        <v/>
      </c>
      <c r="P474" s="44">
        <f>IF(OR(N474="",O474=""),"",(O474-N474)*100)</f>
        <v/>
      </c>
      <c r="Q474" s="73" t="n"/>
    </row>
    <row r="475">
      <c r="A475" s="40" t="inlineStr">
        <is>
          <t>Denmark</t>
        </is>
      </c>
      <c r="B475" s="43">
        <f>IF(SUMIFS(Countries!$AK$5:$AK$434,Countries!$A$5:$A$434,"All landing pages",Countries!$B$5:$B$434,"Paid Search",Countries!$D$5:$D$434,$A475,Countries!$AR$5:$AR$434,"&gt;0")=0,"",SUMIFS(Countries!$AR$5:$AR$434,Countries!$A$5:$A$434,"All landing pages",Countries!$B$5:$B$434,"Paid Search",Countries!$D$5:$D$434,$A475,Countries!$AK$5:$AK$434,"&gt;0")/SUMIFS(Countries!$AK$5:$AK$434,Countries!$A$5:$A$434,"All landing pages",Countries!$B$5:$B$434,"Paid Search",Countries!$D$5:$D$434,$A475,Countries!$AR$5:$AR$434,"&gt;0"))</f>
        <v/>
      </c>
      <c r="C475" s="43">
        <f>IF(SUMIFS(Countries!$AL$5:$AL$434,Countries!$A$5:$A$434,"All landing pages",Countries!$B$5:$B$434,"Paid Search",Countries!$D$5:$D$434,$A475,Countries!$AS$5:$AS$434,"&gt;0")=0,"",SUMIFS(Countries!$AS$5:$AS$434,Countries!$A$5:$A$434,"All landing pages",Countries!$B$5:$B$434,"Paid Search",Countries!$D$5:$D$434,$A475,Countries!$AL$5:$AL$434,"&gt;0")/SUMIFS(Countries!$AL$5:$AL$434,Countries!$A$5:$A$434,"All landing pages",Countries!$B$5:$B$434,"Paid Search",Countries!$D$5:$D$434,$A475,Countries!$AS$5:$AS$434,"&gt;0"))</f>
        <v/>
      </c>
      <c r="D475" s="44">
        <f>IF(OR(B475="",C475=""),"",(C475-B475)*100)</f>
        <v/>
      </c>
      <c r="E475" s="73" t="n"/>
      <c r="F475" s="43">
        <f>IF(SUMIFS(Countries!$AK$5:$AK$434,Countries!$A$5:$A$434,"All landing pages",Countries!$B$5:$B$434,"Organic",Countries!$D$5:$D$434,$A475,Countries!$AR$5:$AR$434,"&gt;0")=0,"",SUMIFS(Countries!$AR$5:$AR$434,Countries!$A$5:$A$434,"All landing pages",Countries!$B$5:$B$434,"Organic",Countries!$D$5:$D$434,$A475,Countries!$AK$5:$AK$434,"&gt;0")/SUMIFS(Countries!$AK$5:$AK$434,Countries!$A$5:$A$434,"All landing pages",Countries!$B$5:$B$434,"Organic",Countries!$D$5:$D$434,$A475,Countries!$AR$5:$AR$434,"&gt;0"))</f>
        <v/>
      </c>
      <c r="G475" s="43">
        <f>IF(SUMIFS(Countries!$AL$5:$AL$434,Countries!$A$5:$A$434,"All landing pages",Countries!$B$5:$B$434,"Organic",Countries!$D$5:$D$434,$A475,Countries!$AS$5:$AS$434,"&gt;0")=0,"",SUMIFS(Countries!$AS$5:$AS$434,Countries!$A$5:$A$434,"All landing pages",Countries!$B$5:$B$434,"Organic",Countries!$D$5:$D$434,$A475,Countries!$AL$5:$AL$434,"&gt;0")/SUMIFS(Countries!$AL$5:$AL$434,Countries!$A$5:$A$434,"All landing pages",Countries!$B$5:$B$434,"Organic",Countries!$D$5:$D$434,$A475,Countries!$AS$5:$AS$434,"&gt;0"))</f>
        <v/>
      </c>
      <c r="H475" s="44">
        <f>IF(OR(F475="",G475=""),"",(G475-F475)*100)</f>
        <v/>
      </c>
      <c r="I475" s="73" t="n"/>
      <c r="J475" s="43">
        <f>IF(SUMIFS(Countries!$AK$5:$AK$434,Countries!$A$5:$A$434,"All landing pages",Countries!$B$5:$B$434,"Direct",Countries!$D$5:$D$434,$A475,Countries!$AR$5:$AR$434,"&gt;0")=0,"",SUMIFS(Countries!$AR$5:$AR$434,Countries!$A$5:$A$434,"All landing pages",Countries!$B$5:$B$434,"Direct",Countries!$D$5:$D$434,$A475,Countries!$AK$5:$AK$434,"&gt;0")/SUMIFS(Countries!$AK$5:$AK$434,Countries!$A$5:$A$434,"All landing pages",Countries!$B$5:$B$434,"Direct",Countries!$D$5:$D$434,$A475,Countries!$AR$5:$AR$434,"&gt;0"))</f>
        <v/>
      </c>
      <c r="K475" s="43">
        <f>IF(SUMIFS(Countries!$AL$5:$AL$434,Countries!$A$5:$A$434,"All landing pages",Countries!$B$5:$B$434,"Direct",Countries!$D$5:$D$434,$A475,Countries!$AS$5:$AS$434,"&gt;0")=0,"",SUMIFS(Countries!$AS$5:$AS$434,Countries!$A$5:$A$434,"All landing pages",Countries!$B$5:$B$434,"Direct",Countries!$D$5:$D$434,$A475,Countries!$AL$5:$AL$434,"&gt;0")/SUMIFS(Countries!$AL$5:$AL$434,Countries!$A$5:$A$434,"All landing pages",Countries!$B$5:$B$434,"Direct",Countries!$D$5:$D$434,$A475,Countries!$AS$5:$AS$434,"&gt;0"))</f>
        <v/>
      </c>
      <c r="L475" s="44">
        <f>IF(OR(J475="",K475=""),"",(K475-J475)*100)</f>
        <v/>
      </c>
      <c r="M475" s="73" t="n"/>
      <c r="N475" s="43">
        <f>IF(SUMIFS(Countries!$AK$5:$AK$434,Countries!$A$5:$A$434,"All landing pages",Countries!$D$5:$D$434,$A475,Countries!$AR$5:$AR$434,"&gt;0")=0,"",SUMIFS(Countries!$AR$5:$AR$434,Countries!$A$5:$A$434,"All landing pages",Countries!$D$5:$D$434,$A475,Countries!$AK$5:$AK$434,"&gt;0")/SUMIFS(Countries!$AK$5:$AK$434,Countries!$A$5:$A$434,"All landing pages",Countries!$D$5:$D$434,$A475,Countries!$AR$5:$AR$434,"&gt;0"))</f>
        <v/>
      </c>
      <c r="O475" s="43">
        <f>IF(SUMIFS(Countries!$AL$5:$AL$434,Countries!$A$5:$A$434,"All landing pages",Countries!$D$5:$D$434,$A475,Countries!$AS$5:$AS$434,"&gt;0")=0,"",SUMIFS(Countries!$AS$5:$AS$434,Countries!$A$5:$A$434,"All landing pages",Countries!$D$5:$D$434,$A475,Countries!$AL$5:$AL$434,"&gt;0")/SUMIFS(Countries!$AL$5:$AL$434,Countries!$A$5:$A$434,"All landing pages",Countries!$D$5:$D$434,$A475,Countries!$AS$5:$AS$434,"&gt;0"))</f>
        <v/>
      </c>
      <c r="P475" s="44">
        <f>IF(OR(N475="",O475=""),"",(O475-N475)*100)</f>
        <v/>
      </c>
      <c r="Q475" s="73" t="n"/>
    </row>
    <row r="476">
      <c r="A476" s="56" t="inlineStr">
        <is>
          <t>Norway</t>
        </is>
      </c>
      <c r="B476" s="43">
        <f>IF(SUMIFS(Countries!$AK$5:$AK$434,Countries!$A$5:$A$434,"All landing pages",Countries!$B$5:$B$434,"Paid Search",Countries!$D$5:$D$434,$A476,Countries!$AR$5:$AR$434,"&gt;0")=0,"",SUMIFS(Countries!$AR$5:$AR$434,Countries!$A$5:$A$434,"All landing pages",Countries!$B$5:$B$434,"Paid Search",Countries!$D$5:$D$434,$A476,Countries!$AK$5:$AK$434,"&gt;0")/SUMIFS(Countries!$AK$5:$AK$434,Countries!$A$5:$A$434,"All landing pages",Countries!$B$5:$B$434,"Paid Search",Countries!$D$5:$D$434,$A476,Countries!$AR$5:$AR$434,"&gt;0"))</f>
        <v/>
      </c>
      <c r="C476" s="43">
        <f>IF(SUMIFS(Countries!$AL$5:$AL$434,Countries!$A$5:$A$434,"All landing pages",Countries!$B$5:$B$434,"Paid Search",Countries!$D$5:$D$434,$A476,Countries!$AS$5:$AS$434,"&gt;0")=0,"",SUMIFS(Countries!$AS$5:$AS$434,Countries!$A$5:$A$434,"All landing pages",Countries!$B$5:$B$434,"Paid Search",Countries!$D$5:$D$434,$A476,Countries!$AL$5:$AL$434,"&gt;0")/SUMIFS(Countries!$AL$5:$AL$434,Countries!$A$5:$A$434,"All landing pages",Countries!$B$5:$B$434,"Paid Search",Countries!$D$5:$D$434,$A476,Countries!$AS$5:$AS$434,"&gt;0"))</f>
        <v/>
      </c>
      <c r="D476" s="44">
        <f>IF(OR(B476="",C476=""),"",(C476-B476)*100)</f>
        <v/>
      </c>
      <c r="E476" s="73" t="n"/>
      <c r="F476" s="43">
        <f>IF(SUMIFS(Countries!$AK$5:$AK$434,Countries!$A$5:$A$434,"All landing pages",Countries!$B$5:$B$434,"Organic",Countries!$D$5:$D$434,$A476,Countries!$AR$5:$AR$434,"&gt;0")=0,"",SUMIFS(Countries!$AR$5:$AR$434,Countries!$A$5:$A$434,"All landing pages",Countries!$B$5:$B$434,"Organic",Countries!$D$5:$D$434,$A476,Countries!$AK$5:$AK$434,"&gt;0")/SUMIFS(Countries!$AK$5:$AK$434,Countries!$A$5:$A$434,"All landing pages",Countries!$B$5:$B$434,"Organic",Countries!$D$5:$D$434,$A476,Countries!$AR$5:$AR$434,"&gt;0"))</f>
        <v/>
      </c>
      <c r="G476" s="43">
        <f>IF(SUMIFS(Countries!$AL$5:$AL$434,Countries!$A$5:$A$434,"All landing pages",Countries!$B$5:$B$434,"Organic",Countries!$D$5:$D$434,$A476,Countries!$AS$5:$AS$434,"&gt;0")=0,"",SUMIFS(Countries!$AS$5:$AS$434,Countries!$A$5:$A$434,"All landing pages",Countries!$B$5:$B$434,"Organic",Countries!$D$5:$D$434,$A476,Countries!$AL$5:$AL$434,"&gt;0")/SUMIFS(Countries!$AL$5:$AL$434,Countries!$A$5:$A$434,"All landing pages",Countries!$B$5:$B$434,"Organic",Countries!$D$5:$D$434,$A476,Countries!$AS$5:$AS$434,"&gt;0"))</f>
        <v/>
      </c>
      <c r="H476" s="44">
        <f>IF(OR(F476="",G476=""),"",(G476-F476)*100)</f>
        <v/>
      </c>
      <c r="I476" s="73" t="n"/>
      <c r="J476" s="43">
        <f>IF(SUMIFS(Countries!$AK$5:$AK$434,Countries!$A$5:$A$434,"All landing pages",Countries!$B$5:$B$434,"Direct",Countries!$D$5:$D$434,$A476,Countries!$AR$5:$AR$434,"&gt;0")=0,"",SUMIFS(Countries!$AR$5:$AR$434,Countries!$A$5:$A$434,"All landing pages",Countries!$B$5:$B$434,"Direct",Countries!$D$5:$D$434,$A476,Countries!$AK$5:$AK$434,"&gt;0")/SUMIFS(Countries!$AK$5:$AK$434,Countries!$A$5:$A$434,"All landing pages",Countries!$B$5:$B$434,"Direct",Countries!$D$5:$D$434,$A476,Countries!$AR$5:$AR$434,"&gt;0"))</f>
        <v/>
      </c>
      <c r="K476" s="43">
        <f>IF(SUMIFS(Countries!$AL$5:$AL$434,Countries!$A$5:$A$434,"All landing pages",Countries!$B$5:$B$434,"Direct",Countries!$D$5:$D$434,$A476,Countries!$AS$5:$AS$434,"&gt;0")=0,"",SUMIFS(Countries!$AS$5:$AS$434,Countries!$A$5:$A$434,"All landing pages",Countries!$B$5:$B$434,"Direct",Countries!$D$5:$D$434,$A476,Countries!$AL$5:$AL$434,"&gt;0")/SUMIFS(Countries!$AL$5:$AL$434,Countries!$A$5:$A$434,"All landing pages",Countries!$B$5:$B$434,"Direct",Countries!$D$5:$D$434,$A476,Countries!$AS$5:$AS$434,"&gt;0"))</f>
        <v/>
      </c>
      <c r="L476" s="44">
        <f>IF(OR(J476="",K476=""),"",(K476-J476)*100)</f>
        <v/>
      </c>
      <c r="M476" s="73" t="n"/>
      <c r="N476" s="43">
        <f>IF(SUMIFS(Countries!$AK$5:$AK$434,Countries!$A$5:$A$434,"All landing pages",Countries!$D$5:$D$434,$A476,Countries!$AR$5:$AR$434,"&gt;0")=0,"",SUMIFS(Countries!$AR$5:$AR$434,Countries!$A$5:$A$434,"All landing pages",Countries!$D$5:$D$434,$A476,Countries!$AK$5:$AK$434,"&gt;0")/SUMIFS(Countries!$AK$5:$AK$434,Countries!$A$5:$A$434,"All landing pages",Countries!$D$5:$D$434,$A476,Countries!$AR$5:$AR$434,"&gt;0"))</f>
        <v/>
      </c>
      <c r="O476" s="43">
        <f>IF(SUMIFS(Countries!$AL$5:$AL$434,Countries!$A$5:$A$434,"All landing pages",Countries!$D$5:$D$434,$A476,Countries!$AS$5:$AS$434,"&gt;0")=0,"",SUMIFS(Countries!$AS$5:$AS$434,Countries!$A$5:$A$434,"All landing pages",Countries!$D$5:$D$434,$A476,Countries!$AL$5:$AL$434,"&gt;0")/SUMIFS(Countries!$AL$5:$AL$434,Countries!$A$5:$A$434,"All landing pages",Countries!$D$5:$D$434,$A476,Countries!$AS$5:$AS$434,"&gt;0"))</f>
        <v/>
      </c>
      <c r="P476" s="44">
        <f>IF(OR(N476="",O476=""),"",(O476-N476)*100)</f>
        <v/>
      </c>
      <c r="Q476" s="73" t="n"/>
    </row>
    <row r="477">
      <c r="A477" s="40" t="inlineStr">
        <is>
          <t>Finland</t>
        </is>
      </c>
      <c r="B477" s="43">
        <f>IF(SUMIFS(Countries!$AK$5:$AK$434,Countries!$A$5:$A$434,"All landing pages",Countries!$B$5:$B$434,"Paid Search",Countries!$D$5:$D$434,$A477,Countries!$AR$5:$AR$434,"&gt;0")=0,"",SUMIFS(Countries!$AR$5:$AR$434,Countries!$A$5:$A$434,"All landing pages",Countries!$B$5:$B$434,"Paid Search",Countries!$D$5:$D$434,$A477,Countries!$AK$5:$AK$434,"&gt;0")/SUMIFS(Countries!$AK$5:$AK$434,Countries!$A$5:$A$434,"All landing pages",Countries!$B$5:$B$434,"Paid Search",Countries!$D$5:$D$434,$A477,Countries!$AR$5:$AR$434,"&gt;0"))</f>
        <v/>
      </c>
      <c r="C477" s="43">
        <f>IF(SUMIFS(Countries!$AL$5:$AL$434,Countries!$A$5:$A$434,"All landing pages",Countries!$B$5:$B$434,"Paid Search",Countries!$D$5:$D$434,$A477,Countries!$AS$5:$AS$434,"&gt;0")=0,"",SUMIFS(Countries!$AS$5:$AS$434,Countries!$A$5:$A$434,"All landing pages",Countries!$B$5:$B$434,"Paid Search",Countries!$D$5:$D$434,$A477,Countries!$AL$5:$AL$434,"&gt;0")/SUMIFS(Countries!$AL$5:$AL$434,Countries!$A$5:$A$434,"All landing pages",Countries!$B$5:$B$434,"Paid Search",Countries!$D$5:$D$434,$A477,Countries!$AS$5:$AS$434,"&gt;0"))</f>
        <v/>
      </c>
      <c r="D477" s="44">
        <f>IF(OR(B477="",C477=""),"",(C477-B477)*100)</f>
        <v/>
      </c>
      <c r="E477" s="73" t="n"/>
      <c r="F477" s="43">
        <f>IF(SUMIFS(Countries!$AK$5:$AK$434,Countries!$A$5:$A$434,"All landing pages",Countries!$B$5:$B$434,"Organic",Countries!$D$5:$D$434,$A477,Countries!$AR$5:$AR$434,"&gt;0")=0,"",SUMIFS(Countries!$AR$5:$AR$434,Countries!$A$5:$A$434,"All landing pages",Countries!$B$5:$B$434,"Organic",Countries!$D$5:$D$434,$A477,Countries!$AK$5:$AK$434,"&gt;0")/SUMIFS(Countries!$AK$5:$AK$434,Countries!$A$5:$A$434,"All landing pages",Countries!$B$5:$B$434,"Organic",Countries!$D$5:$D$434,$A477,Countries!$AR$5:$AR$434,"&gt;0"))</f>
        <v/>
      </c>
      <c r="G477" s="43">
        <f>IF(SUMIFS(Countries!$AL$5:$AL$434,Countries!$A$5:$A$434,"All landing pages",Countries!$B$5:$B$434,"Organic",Countries!$D$5:$D$434,$A477,Countries!$AS$5:$AS$434,"&gt;0")=0,"",SUMIFS(Countries!$AS$5:$AS$434,Countries!$A$5:$A$434,"All landing pages",Countries!$B$5:$B$434,"Organic",Countries!$D$5:$D$434,$A477,Countries!$AL$5:$AL$434,"&gt;0")/SUMIFS(Countries!$AL$5:$AL$434,Countries!$A$5:$A$434,"All landing pages",Countries!$B$5:$B$434,"Organic",Countries!$D$5:$D$434,$A477,Countries!$AS$5:$AS$434,"&gt;0"))</f>
        <v/>
      </c>
      <c r="H477" s="44">
        <f>IF(OR(F477="",G477=""),"",(G477-F477)*100)</f>
        <v/>
      </c>
      <c r="I477" s="73" t="n"/>
      <c r="J477" s="43">
        <f>IF(SUMIFS(Countries!$AK$5:$AK$434,Countries!$A$5:$A$434,"All landing pages",Countries!$B$5:$B$434,"Direct",Countries!$D$5:$D$434,$A477,Countries!$AR$5:$AR$434,"&gt;0")=0,"",SUMIFS(Countries!$AR$5:$AR$434,Countries!$A$5:$A$434,"All landing pages",Countries!$B$5:$B$434,"Direct",Countries!$D$5:$D$434,$A477,Countries!$AK$5:$AK$434,"&gt;0")/SUMIFS(Countries!$AK$5:$AK$434,Countries!$A$5:$A$434,"All landing pages",Countries!$B$5:$B$434,"Direct",Countries!$D$5:$D$434,$A477,Countries!$AR$5:$AR$434,"&gt;0"))</f>
        <v/>
      </c>
      <c r="K477" s="43">
        <f>IF(SUMIFS(Countries!$AL$5:$AL$434,Countries!$A$5:$A$434,"All landing pages",Countries!$B$5:$B$434,"Direct",Countries!$D$5:$D$434,$A477,Countries!$AS$5:$AS$434,"&gt;0")=0,"",SUMIFS(Countries!$AS$5:$AS$434,Countries!$A$5:$A$434,"All landing pages",Countries!$B$5:$B$434,"Direct",Countries!$D$5:$D$434,$A477,Countries!$AL$5:$AL$434,"&gt;0")/SUMIFS(Countries!$AL$5:$AL$434,Countries!$A$5:$A$434,"All landing pages",Countries!$B$5:$B$434,"Direct",Countries!$D$5:$D$434,$A477,Countries!$AS$5:$AS$434,"&gt;0"))</f>
        <v/>
      </c>
      <c r="L477" s="44">
        <f>IF(OR(J477="",K477=""),"",(K477-J477)*100)</f>
        <v/>
      </c>
      <c r="M477" s="73" t="n"/>
      <c r="N477" s="43">
        <f>IF(SUMIFS(Countries!$AK$5:$AK$434,Countries!$A$5:$A$434,"All landing pages",Countries!$D$5:$D$434,$A477,Countries!$AR$5:$AR$434,"&gt;0")=0,"",SUMIFS(Countries!$AR$5:$AR$434,Countries!$A$5:$A$434,"All landing pages",Countries!$D$5:$D$434,$A477,Countries!$AK$5:$AK$434,"&gt;0")/SUMIFS(Countries!$AK$5:$AK$434,Countries!$A$5:$A$434,"All landing pages",Countries!$D$5:$D$434,$A477,Countries!$AR$5:$AR$434,"&gt;0"))</f>
        <v/>
      </c>
      <c r="O477" s="43">
        <f>IF(SUMIFS(Countries!$AL$5:$AL$434,Countries!$A$5:$A$434,"All landing pages",Countries!$D$5:$D$434,$A477,Countries!$AS$5:$AS$434,"&gt;0")=0,"",SUMIFS(Countries!$AS$5:$AS$434,Countries!$A$5:$A$434,"All landing pages",Countries!$D$5:$D$434,$A477,Countries!$AL$5:$AL$434,"&gt;0")/SUMIFS(Countries!$AL$5:$AL$434,Countries!$A$5:$A$434,"All landing pages",Countries!$D$5:$D$434,$A477,Countries!$AS$5:$AS$434,"&gt;0"))</f>
        <v/>
      </c>
      <c r="P477" s="44">
        <f>IF(OR(N477="",O477=""),"",(O477-N477)*100)</f>
        <v/>
      </c>
      <c r="Q477" s="73" t="n"/>
    </row>
    <row r="478">
      <c r="A478" s="56" t="inlineStr">
        <is>
          <t>Portugal</t>
        </is>
      </c>
      <c r="B478" s="43">
        <f>IF(SUMIFS(Countries!$AK$5:$AK$434,Countries!$A$5:$A$434,"All landing pages",Countries!$B$5:$B$434,"Paid Search",Countries!$D$5:$D$434,$A478,Countries!$AR$5:$AR$434,"&gt;0")=0,"",SUMIFS(Countries!$AR$5:$AR$434,Countries!$A$5:$A$434,"All landing pages",Countries!$B$5:$B$434,"Paid Search",Countries!$D$5:$D$434,$A478,Countries!$AK$5:$AK$434,"&gt;0")/SUMIFS(Countries!$AK$5:$AK$434,Countries!$A$5:$A$434,"All landing pages",Countries!$B$5:$B$434,"Paid Search",Countries!$D$5:$D$434,$A478,Countries!$AR$5:$AR$434,"&gt;0"))</f>
        <v/>
      </c>
      <c r="C478" s="43">
        <f>IF(SUMIFS(Countries!$AL$5:$AL$434,Countries!$A$5:$A$434,"All landing pages",Countries!$B$5:$B$434,"Paid Search",Countries!$D$5:$D$434,$A478,Countries!$AS$5:$AS$434,"&gt;0")=0,"",SUMIFS(Countries!$AS$5:$AS$434,Countries!$A$5:$A$434,"All landing pages",Countries!$B$5:$B$434,"Paid Search",Countries!$D$5:$D$434,$A478,Countries!$AL$5:$AL$434,"&gt;0")/SUMIFS(Countries!$AL$5:$AL$434,Countries!$A$5:$A$434,"All landing pages",Countries!$B$5:$B$434,"Paid Search",Countries!$D$5:$D$434,$A478,Countries!$AS$5:$AS$434,"&gt;0"))</f>
        <v/>
      </c>
      <c r="D478" s="44">
        <f>IF(OR(B478="",C478=""),"",(C478-B478)*100)</f>
        <v/>
      </c>
      <c r="E478" s="73" t="n"/>
      <c r="F478" s="43">
        <f>IF(SUMIFS(Countries!$AK$5:$AK$434,Countries!$A$5:$A$434,"All landing pages",Countries!$B$5:$B$434,"Organic",Countries!$D$5:$D$434,$A478,Countries!$AR$5:$AR$434,"&gt;0")=0,"",SUMIFS(Countries!$AR$5:$AR$434,Countries!$A$5:$A$434,"All landing pages",Countries!$B$5:$B$434,"Organic",Countries!$D$5:$D$434,$A478,Countries!$AK$5:$AK$434,"&gt;0")/SUMIFS(Countries!$AK$5:$AK$434,Countries!$A$5:$A$434,"All landing pages",Countries!$B$5:$B$434,"Organic",Countries!$D$5:$D$434,$A478,Countries!$AR$5:$AR$434,"&gt;0"))</f>
        <v/>
      </c>
      <c r="G478" s="43">
        <f>IF(SUMIFS(Countries!$AL$5:$AL$434,Countries!$A$5:$A$434,"All landing pages",Countries!$B$5:$B$434,"Organic",Countries!$D$5:$D$434,$A478,Countries!$AS$5:$AS$434,"&gt;0")=0,"",SUMIFS(Countries!$AS$5:$AS$434,Countries!$A$5:$A$434,"All landing pages",Countries!$B$5:$B$434,"Organic",Countries!$D$5:$D$434,$A478,Countries!$AL$5:$AL$434,"&gt;0")/SUMIFS(Countries!$AL$5:$AL$434,Countries!$A$5:$A$434,"All landing pages",Countries!$B$5:$B$434,"Organic",Countries!$D$5:$D$434,$A478,Countries!$AS$5:$AS$434,"&gt;0"))</f>
        <v/>
      </c>
      <c r="H478" s="44">
        <f>IF(OR(F478="",G478=""),"",(G478-F478)*100)</f>
        <v/>
      </c>
      <c r="I478" s="73" t="n"/>
      <c r="J478" s="43">
        <f>IF(SUMIFS(Countries!$AK$5:$AK$434,Countries!$A$5:$A$434,"All landing pages",Countries!$B$5:$B$434,"Direct",Countries!$D$5:$D$434,$A478,Countries!$AR$5:$AR$434,"&gt;0")=0,"",SUMIFS(Countries!$AR$5:$AR$434,Countries!$A$5:$A$434,"All landing pages",Countries!$B$5:$B$434,"Direct",Countries!$D$5:$D$434,$A478,Countries!$AK$5:$AK$434,"&gt;0")/SUMIFS(Countries!$AK$5:$AK$434,Countries!$A$5:$A$434,"All landing pages",Countries!$B$5:$B$434,"Direct",Countries!$D$5:$D$434,$A478,Countries!$AR$5:$AR$434,"&gt;0"))</f>
        <v/>
      </c>
      <c r="K478" s="43">
        <f>IF(SUMIFS(Countries!$AL$5:$AL$434,Countries!$A$5:$A$434,"All landing pages",Countries!$B$5:$B$434,"Direct",Countries!$D$5:$D$434,$A478,Countries!$AS$5:$AS$434,"&gt;0")=0,"",SUMIFS(Countries!$AS$5:$AS$434,Countries!$A$5:$A$434,"All landing pages",Countries!$B$5:$B$434,"Direct",Countries!$D$5:$D$434,$A478,Countries!$AL$5:$AL$434,"&gt;0")/SUMIFS(Countries!$AL$5:$AL$434,Countries!$A$5:$A$434,"All landing pages",Countries!$B$5:$B$434,"Direct",Countries!$D$5:$D$434,$A478,Countries!$AS$5:$AS$434,"&gt;0"))</f>
        <v/>
      </c>
      <c r="L478" s="44">
        <f>IF(OR(J478="",K478=""),"",(K478-J478)*100)</f>
        <v/>
      </c>
      <c r="M478" s="73" t="n"/>
      <c r="N478" s="43">
        <f>IF(SUMIFS(Countries!$AK$5:$AK$434,Countries!$A$5:$A$434,"All landing pages",Countries!$D$5:$D$434,$A478,Countries!$AR$5:$AR$434,"&gt;0")=0,"",SUMIFS(Countries!$AR$5:$AR$434,Countries!$A$5:$A$434,"All landing pages",Countries!$D$5:$D$434,$A478,Countries!$AK$5:$AK$434,"&gt;0")/SUMIFS(Countries!$AK$5:$AK$434,Countries!$A$5:$A$434,"All landing pages",Countries!$D$5:$D$434,$A478,Countries!$AR$5:$AR$434,"&gt;0"))</f>
        <v/>
      </c>
      <c r="O478" s="43">
        <f>IF(SUMIFS(Countries!$AL$5:$AL$434,Countries!$A$5:$A$434,"All landing pages",Countries!$D$5:$D$434,$A478,Countries!$AS$5:$AS$434,"&gt;0")=0,"",SUMIFS(Countries!$AS$5:$AS$434,Countries!$A$5:$A$434,"All landing pages",Countries!$D$5:$D$434,$A478,Countries!$AL$5:$AL$434,"&gt;0")/SUMIFS(Countries!$AL$5:$AL$434,Countries!$A$5:$A$434,"All landing pages",Countries!$D$5:$D$434,$A478,Countries!$AS$5:$AS$434,"&gt;0"))</f>
        <v/>
      </c>
      <c r="P478" s="44">
        <f>IF(OR(N478="",O478=""),"",(O478-N478)*100)</f>
        <v/>
      </c>
      <c r="Q478" s="73" t="n"/>
    </row>
    <row r="479">
      <c r="A479" s="40" t="inlineStr">
        <is>
          <t>Türkiye</t>
        </is>
      </c>
      <c r="B479" s="43">
        <f>IF(SUMIFS(Countries!$AK$5:$AK$434,Countries!$A$5:$A$434,"All landing pages",Countries!$B$5:$B$434,"Paid Search",Countries!$D$5:$D$434,$A479,Countries!$AR$5:$AR$434,"&gt;0")=0,"",SUMIFS(Countries!$AR$5:$AR$434,Countries!$A$5:$A$434,"All landing pages",Countries!$B$5:$B$434,"Paid Search",Countries!$D$5:$D$434,$A479,Countries!$AK$5:$AK$434,"&gt;0")/SUMIFS(Countries!$AK$5:$AK$434,Countries!$A$5:$A$434,"All landing pages",Countries!$B$5:$B$434,"Paid Search",Countries!$D$5:$D$434,$A479,Countries!$AR$5:$AR$434,"&gt;0"))</f>
        <v/>
      </c>
      <c r="C479" s="43">
        <f>IF(SUMIFS(Countries!$AL$5:$AL$434,Countries!$A$5:$A$434,"All landing pages",Countries!$B$5:$B$434,"Paid Search",Countries!$D$5:$D$434,$A479,Countries!$AS$5:$AS$434,"&gt;0")=0,"",SUMIFS(Countries!$AS$5:$AS$434,Countries!$A$5:$A$434,"All landing pages",Countries!$B$5:$B$434,"Paid Search",Countries!$D$5:$D$434,$A479,Countries!$AL$5:$AL$434,"&gt;0")/SUMIFS(Countries!$AL$5:$AL$434,Countries!$A$5:$A$434,"All landing pages",Countries!$B$5:$B$434,"Paid Search",Countries!$D$5:$D$434,$A479,Countries!$AS$5:$AS$434,"&gt;0"))</f>
        <v/>
      </c>
      <c r="D479" s="44">
        <f>IF(OR(B479="",C479=""),"",(C479-B479)*100)</f>
        <v/>
      </c>
      <c r="E479" s="73" t="n"/>
      <c r="F479" s="43">
        <f>IF(SUMIFS(Countries!$AK$5:$AK$434,Countries!$A$5:$A$434,"All landing pages",Countries!$B$5:$B$434,"Organic",Countries!$D$5:$D$434,$A479,Countries!$AR$5:$AR$434,"&gt;0")=0,"",SUMIFS(Countries!$AR$5:$AR$434,Countries!$A$5:$A$434,"All landing pages",Countries!$B$5:$B$434,"Organic",Countries!$D$5:$D$434,$A479,Countries!$AK$5:$AK$434,"&gt;0")/SUMIFS(Countries!$AK$5:$AK$434,Countries!$A$5:$A$434,"All landing pages",Countries!$B$5:$B$434,"Organic",Countries!$D$5:$D$434,$A479,Countries!$AR$5:$AR$434,"&gt;0"))</f>
        <v/>
      </c>
      <c r="G479" s="43">
        <f>IF(SUMIFS(Countries!$AL$5:$AL$434,Countries!$A$5:$A$434,"All landing pages",Countries!$B$5:$B$434,"Organic",Countries!$D$5:$D$434,$A479,Countries!$AS$5:$AS$434,"&gt;0")=0,"",SUMIFS(Countries!$AS$5:$AS$434,Countries!$A$5:$A$434,"All landing pages",Countries!$B$5:$B$434,"Organic",Countries!$D$5:$D$434,$A479,Countries!$AL$5:$AL$434,"&gt;0")/SUMIFS(Countries!$AL$5:$AL$434,Countries!$A$5:$A$434,"All landing pages",Countries!$B$5:$B$434,"Organic",Countries!$D$5:$D$434,$A479,Countries!$AS$5:$AS$434,"&gt;0"))</f>
        <v/>
      </c>
      <c r="H479" s="44">
        <f>IF(OR(F479="",G479=""),"",(G479-F479)*100)</f>
        <v/>
      </c>
      <c r="I479" s="73" t="n"/>
      <c r="J479" s="43">
        <f>IF(SUMIFS(Countries!$AK$5:$AK$434,Countries!$A$5:$A$434,"All landing pages",Countries!$B$5:$B$434,"Direct",Countries!$D$5:$D$434,$A479,Countries!$AR$5:$AR$434,"&gt;0")=0,"",SUMIFS(Countries!$AR$5:$AR$434,Countries!$A$5:$A$434,"All landing pages",Countries!$B$5:$B$434,"Direct",Countries!$D$5:$D$434,$A479,Countries!$AK$5:$AK$434,"&gt;0")/SUMIFS(Countries!$AK$5:$AK$434,Countries!$A$5:$A$434,"All landing pages",Countries!$B$5:$B$434,"Direct",Countries!$D$5:$D$434,$A479,Countries!$AR$5:$AR$434,"&gt;0"))</f>
        <v/>
      </c>
      <c r="K479" s="43">
        <f>IF(SUMIFS(Countries!$AL$5:$AL$434,Countries!$A$5:$A$434,"All landing pages",Countries!$B$5:$B$434,"Direct",Countries!$D$5:$D$434,$A479,Countries!$AS$5:$AS$434,"&gt;0")=0,"",SUMIFS(Countries!$AS$5:$AS$434,Countries!$A$5:$A$434,"All landing pages",Countries!$B$5:$B$434,"Direct",Countries!$D$5:$D$434,$A479,Countries!$AL$5:$AL$434,"&gt;0")/SUMIFS(Countries!$AL$5:$AL$434,Countries!$A$5:$A$434,"All landing pages",Countries!$B$5:$B$434,"Direct",Countries!$D$5:$D$434,$A479,Countries!$AS$5:$AS$434,"&gt;0"))</f>
        <v/>
      </c>
      <c r="L479" s="44">
        <f>IF(OR(J479="",K479=""),"",(K479-J479)*100)</f>
        <v/>
      </c>
      <c r="M479" s="73" t="n"/>
      <c r="N479" s="43">
        <f>IF(SUMIFS(Countries!$AK$5:$AK$434,Countries!$A$5:$A$434,"All landing pages",Countries!$D$5:$D$434,$A479,Countries!$AR$5:$AR$434,"&gt;0")=0,"",SUMIFS(Countries!$AR$5:$AR$434,Countries!$A$5:$A$434,"All landing pages",Countries!$D$5:$D$434,$A479,Countries!$AK$5:$AK$434,"&gt;0")/SUMIFS(Countries!$AK$5:$AK$434,Countries!$A$5:$A$434,"All landing pages",Countries!$D$5:$D$434,$A479,Countries!$AR$5:$AR$434,"&gt;0"))</f>
        <v/>
      </c>
      <c r="O479" s="43">
        <f>IF(SUMIFS(Countries!$AL$5:$AL$434,Countries!$A$5:$A$434,"All landing pages",Countries!$D$5:$D$434,$A479,Countries!$AS$5:$AS$434,"&gt;0")=0,"",SUMIFS(Countries!$AS$5:$AS$434,Countries!$A$5:$A$434,"All landing pages",Countries!$D$5:$D$434,$A479,Countries!$AL$5:$AL$434,"&gt;0")/SUMIFS(Countries!$AL$5:$AL$434,Countries!$A$5:$A$434,"All landing pages",Countries!$D$5:$D$434,$A479,Countries!$AS$5:$AS$434,"&gt;0"))</f>
        <v/>
      </c>
      <c r="P479" s="44">
        <f>IF(OR(N479="",O479=""),"",(O479-N479)*100)</f>
        <v/>
      </c>
      <c r="Q479" s="73" t="n"/>
    </row>
    <row r="480">
      <c r="A480" s="56" t="inlineStr">
        <is>
          <t>Australia</t>
        </is>
      </c>
      <c r="B480" s="43">
        <f>IF(SUMIFS(Countries!$AK$5:$AK$434,Countries!$A$5:$A$434,"All landing pages",Countries!$B$5:$B$434,"Paid Search",Countries!$D$5:$D$434,$A480,Countries!$AR$5:$AR$434,"&gt;0")=0,"",SUMIFS(Countries!$AR$5:$AR$434,Countries!$A$5:$A$434,"All landing pages",Countries!$B$5:$B$434,"Paid Search",Countries!$D$5:$D$434,$A480,Countries!$AK$5:$AK$434,"&gt;0")/SUMIFS(Countries!$AK$5:$AK$434,Countries!$A$5:$A$434,"All landing pages",Countries!$B$5:$B$434,"Paid Search",Countries!$D$5:$D$434,$A480,Countries!$AR$5:$AR$434,"&gt;0"))</f>
        <v/>
      </c>
      <c r="C480" s="43">
        <f>IF(SUMIFS(Countries!$AL$5:$AL$434,Countries!$A$5:$A$434,"All landing pages",Countries!$B$5:$B$434,"Paid Search",Countries!$D$5:$D$434,$A480,Countries!$AS$5:$AS$434,"&gt;0")=0,"",SUMIFS(Countries!$AS$5:$AS$434,Countries!$A$5:$A$434,"All landing pages",Countries!$B$5:$B$434,"Paid Search",Countries!$D$5:$D$434,$A480,Countries!$AL$5:$AL$434,"&gt;0")/SUMIFS(Countries!$AL$5:$AL$434,Countries!$A$5:$A$434,"All landing pages",Countries!$B$5:$B$434,"Paid Search",Countries!$D$5:$D$434,$A480,Countries!$AS$5:$AS$434,"&gt;0"))</f>
        <v/>
      </c>
      <c r="D480" s="44">
        <f>IF(OR(B480="",C480=""),"",(C480-B480)*100)</f>
        <v/>
      </c>
      <c r="E480" s="73" t="n"/>
      <c r="F480" s="43">
        <f>IF(SUMIFS(Countries!$AK$5:$AK$434,Countries!$A$5:$A$434,"All landing pages",Countries!$B$5:$B$434,"Organic",Countries!$D$5:$D$434,$A480,Countries!$AR$5:$AR$434,"&gt;0")=0,"",SUMIFS(Countries!$AR$5:$AR$434,Countries!$A$5:$A$434,"All landing pages",Countries!$B$5:$B$434,"Organic",Countries!$D$5:$D$434,$A480,Countries!$AK$5:$AK$434,"&gt;0")/SUMIFS(Countries!$AK$5:$AK$434,Countries!$A$5:$A$434,"All landing pages",Countries!$B$5:$B$434,"Organic",Countries!$D$5:$D$434,$A480,Countries!$AR$5:$AR$434,"&gt;0"))</f>
        <v/>
      </c>
      <c r="G480" s="43">
        <f>IF(SUMIFS(Countries!$AL$5:$AL$434,Countries!$A$5:$A$434,"All landing pages",Countries!$B$5:$B$434,"Organic",Countries!$D$5:$D$434,$A480,Countries!$AS$5:$AS$434,"&gt;0")=0,"",SUMIFS(Countries!$AS$5:$AS$434,Countries!$A$5:$A$434,"All landing pages",Countries!$B$5:$B$434,"Organic",Countries!$D$5:$D$434,$A480,Countries!$AL$5:$AL$434,"&gt;0")/SUMIFS(Countries!$AL$5:$AL$434,Countries!$A$5:$A$434,"All landing pages",Countries!$B$5:$B$434,"Organic",Countries!$D$5:$D$434,$A480,Countries!$AS$5:$AS$434,"&gt;0"))</f>
        <v/>
      </c>
      <c r="H480" s="44">
        <f>IF(OR(F480="",G480=""),"",(G480-F480)*100)</f>
        <v/>
      </c>
      <c r="I480" s="73" t="n"/>
      <c r="J480" s="43">
        <f>IF(SUMIFS(Countries!$AK$5:$AK$434,Countries!$A$5:$A$434,"All landing pages",Countries!$B$5:$B$434,"Direct",Countries!$D$5:$D$434,$A480,Countries!$AR$5:$AR$434,"&gt;0")=0,"",SUMIFS(Countries!$AR$5:$AR$434,Countries!$A$5:$A$434,"All landing pages",Countries!$B$5:$B$434,"Direct",Countries!$D$5:$D$434,$A480,Countries!$AK$5:$AK$434,"&gt;0")/SUMIFS(Countries!$AK$5:$AK$434,Countries!$A$5:$A$434,"All landing pages",Countries!$B$5:$B$434,"Direct",Countries!$D$5:$D$434,$A480,Countries!$AR$5:$AR$434,"&gt;0"))</f>
        <v/>
      </c>
      <c r="K480" s="43">
        <f>IF(SUMIFS(Countries!$AL$5:$AL$434,Countries!$A$5:$A$434,"All landing pages",Countries!$B$5:$B$434,"Direct",Countries!$D$5:$D$434,$A480,Countries!$AS$5:$AS$434,"&gt;0")=0,"",SUMIFS(Countries!$AS$5:$AS$434,Countries!$A$5:$A$434,"All landing pages",Countries!$B$5:$B$434,"Direct",Countries!$D$5:$D$434,$A480,Countries!$AL$5:$AL$434,"&gt;0")/SUMIFS(Countries!$AL$5:$AL$434,Countries!$A$5:$A$434,"All landing pages",Countries!$B$5:$B$434,"Direct",Countries!$D$5:$D$434,$A480,Countries!$AS$5:$AS$434,"&gt;0"))</f>
        <v/>
      </c>
      <c r="L480" s="44">
        <f>IF(OR(J480="",K480=""),"",(K480-J480)*100)</f>
        <v/>
      </c>
      <c r="M480" s="73" t="n"/>
      <c r="N480" s="43">
        <f>IF(SUMIFS(Countries!$AK$5:$AK$434,Countries!$A$5:$A$434,"All landing pages",Countries!$D$5:$D$434,$A480,Countries!$AR$5:$AR$434,"&gt;0")=0,"",SUMIFS(Countries!$AR$5:$AR$434,Countries!$A$5:$A$434,"All landing pages",Countries!$D$5:$D$434,$A480,Countries!$AK$5:$AK$434,"&gt;0")/SUMIFS(Countries!$AK$5:$AK$434,Countries!$A$5:$A$434,"All landing pages",Countries!$D$5:$D$434,$A480,Countries!$AR$5:$AR$434,"&gt;0"))</f>
        <v/>
      </c>
      <c r="O480" s="43">
        <f>IF(SUMIFS(Countries!$AL$5:$AL$434,Countries!$A$5:$A$434,"All landing pages",Countries!$D$5:$D$434,$A480,Countries!$AS$5:$AS$434,"&gt;0")=0,"",SUMIFS(Countries!$AS$5:$AS$434,Countries!$A$5:$A$434,"All landing pages",Countries!$D$5:$D$434,$A480,Countries!$AL$5:$AL$434,"&gt;0")/SUMIFS(Countries!$AL$5:$AL$434,Countries!$A$5:$A$434,"All landing pages",Countries!$D$5:$D$434,$A480,Countries!$AS$5:$AS$434,"&gt;0"))</f>
        <v/>
      </c>
      <c r="P480" s="44">
        <f>IF(OR(N480="",O480=""),"",(O480-N480)*100)</f>
        <v/>
      </c>
      <c r="Q480" s="73" t="n"/>
    </row>
    <row r="481">
      <c r="A481" s="40" t="inlineStr">
        <is>
          <t>Romania</t>
        </is>
      </c>
      <c r="B481" s="43">
        <f>IF(SUMIFS(Countries!$AK$5:$AK$434,Countries!$A$5:$A$434,"All landing pages",Countries!$B$5:$B$434,"Paid Search",Countries!$D$5:$D$434,$A481,Countries!$AR$5:$AR$434,"&gt;0")=0,"",SUMIFS(Countries!$AR$5:$AR$434,Countries!$A$5:$A$434,"All landing pages",Countries!$B$5:$B$434,"Paid Search",Countries!$D$5:$D$434,$A481,Countries!$AK$5:$AK$434,"&gt;0")/SUMIFS(Countries!$AK$5:$AK$434,Countries!$A$5:$A$434,"All landing pages",Countries!$B$5:$B$434,"Paid Search",Countries!$D$5:$D$434,$A481,Countries!$AR$5:$AR$434,"&gt;0"))</f>
        <v/>
      </c>
      <c r="C481" s="43">
        <f>IF(SUMIFS(Countries!$AL$5:$AL$434,Countries!$A$5:$A$434,"All landing pages",Countries!$B$5:$B$434,"Paid Search",Countries!$D$5:$D$434,$A481,Countries!$AS$5:$AS$434,"&gt;0")=0,"",SUMIFS(Countries!$AS$5:$AS$434,Countries!$A$5:$A$434,"All landing pages",Countries!$B$5:$B$434,"Paid Search",Countries!$D$5:$D$434,$A481,Countries!$AL$5:$AL$434,"&gt;0")/SUMIFS(Countries!$AL$5:$AL$434,Countries!$A$5:$A$434,"All landing pages",Countries!$B$5:$B$434,"Paid Search",Countries!$D$5:$D$434,$A481,Countries!$AS$5:$AS$434,"&gt;0"))</f>
        <v/>
      </c>
      <c r="D481" s="44">
        <f>IF(OR(B481="",C481=""),"",(C481-B481)*100)</f>
        <v/>
      </c>
      <c r="E481" s="73" t="n"/>
      <c r="F481" s="43">
        <f>IF(SUMIFS(Countries!$AK$5:$AK$434,Countries!$A$5:$A$434,"All landing pages",Countries!$B$5:$B$434,"Organic",Countries!$D$5:$D$434,$A481,Countries!$AR$5:$AR$434,"&gt;0")=0,"",SUMIFS(Countries!$AR$5:$AR$434,Countries!$A$5:$A$434,"All landing pages",Countries!$B$5:$B$434,"Organic",Countries!$D$5:$D$434,$A481,Countries!$AK$5:$AK$434,"&gt;0")/SUMIFS(Countries!$AK$5:$AK$434,Countries!$A$5:$A$434,"All landing pages",Countries!$B$5:$B$434,"Organic",Countries!$D$5:$D$434,$A481,Countries!$AR$5:$AR$434,"&gt;0"))</f>
        <v/>
      </c>
      <c r="G481" s="43">
        <f>IF(SUMIFS(Countries!$AL$5:$AL$434,Countries!$A$5:$A$434,"All landing pages",Countries!$B$5:$B$434,"Organic",Countries!$D$5:$D$434,$A481,Countries!$AS$5:$AS$434,"&gt;0")=0,"",SUMIFS(Countries!$AS$5:$AS$434,Countries!$A$5:$A$434,"All landing pages",Countries!$B$5:$B$434,"Organic",Countries!$D$5:$D$434,$A481,Countries!$AL$5:$AL$434,"&gt;0")/SUMIFS(Countries!$AL$5:$AL$434,Countries!$A$5:$A$434,"All landing pages",Countries!$B$5:$B$434,"Organic",Countries!$D$5:$D$434,$A481,Countries!$AS$5:$AS$434,"&gt;0"))</f>
        <v/>
      </c>
      <c r="H481" s="44">
        <f>IF(OR(F481="",G481=""),"",(G481-F481)*100)</f>
        <v/>
      </c>
      <c r="I481" s="73" t="n"/>
      <c r="J481" s="43">
        <f>IF(SUMIFS(Countries!$AK$5:$AK$434,Countries!$A$5:$A$434,"All landing pages",Countries!$B$5:$B$434,"Direct",Countries!$D$5:$D$434,$A481,Countries!$AR$5:$AR$434,"&gt;0")=0,"",SUMIFS(Countries!$AR$5:$AR$434,Countries!$A$5:$A$434,"All landing pages",Countries!$B$5:$B$434,"Direct",Countries!$D$5:$D$434,$A481,Countries!$AK$5:$AK$434,"&gt;0")/SUMIFS(Countries!$AK$5:$AK$434,Countries!$A$5:$A$434,"All landing pages",Countries!$B$5:$B$434,"Direct",Countries!$D$5:$D$434,$A481,Countries!$AR$5:$AR$434,"&gt;0"))</f>
        <v/>
      </c>
      <c r="K481" s="43">
        <f>IF(SUMIFS(Countries!$AL$5:$AL$434,Countries!$A$5:$A$434,"All landing pages",Countries!$B$5:$B$434,"Direct",Countries!$D$5:$D$434,$A481,Countries!$AS$5:$AS$434,"&gt;0")=0,"",SUMIFS(Countries!$AS$5:$AS$434,Countries!$A$5:$A$434,"All landing pages",Countries!$B$5:$B$434,"Direct",Countries!$D$5:$D$434,$A481,Countries!$AL$5:$AL$434,"&gt;0")/SUMIFS(Countries!$AL$5:$AL$434,Countries!$A$5:$A$434,"All landing pages",Countries!$B$5:$B$434,"Direct",Countries!$D$5:$D$434,$A481,Countries!$AS$5:$AS$434,"&gt;0"))</f>
        <v/>
      </c>
      <c r="L481" s="44">
        <f>IF(OR(J481="",K481=""),"",(K481-J481)*100)</f>
        <v/>
      </c>
      <c r="M481" s="73" t="n"/>
      <c r="N481" s="43">
        <f>IF(SUMIFS(Countries!$AK$5:$AK$434,Countries!$A$5:$A$434,"All landing pages",Countries!$D$5:$D$434,$A481,Countries!$AR$5:$AR$434,"&gt;0")=0,"",SUMIFS(Countries!$AR$5:$AR$434,Countries!$A$5:$A$434,"All landing pages",Countries!$D$5:$D$434,$A481,Countries!$AK$5:$AK$434,"&gt;0")/SUMIFS(Countries!$AK$5:$AK$434,Countries!$A$5:$A$434,"All landing pages",Countries!$D$5:$D$434,$A481,Countries!$AR$5:$AR$434,"&gt;0"))</f>
        <v/>
      </c>
      <c r="O481" s="43">
        <f>IF(SUMIFS(Countries!$AL$5:$AL$434,Countries!$A$5:$A$434,"All landing pages",Countries!$D$5:$D$434,$A481,Countries!$AS$5:$AS$434,"&gt;0")=0,"",SUMIFS(Countries!$AS$5:$AS$434,Countries!$A$5:$A$434,"All landing pages",Countries!$D$5:$D$434,$A481,Countries!$AL$5:$AL$434,"&gt;0")/SUMIFS(Countries!$AL$5:$AL$434,Countries!$A$5:$A$434,"All landing pages",Countries!$D$5:$D$434,$A481,Countries!$AS$5:$AS$434,"&gt;0"))</f>
        <v/>
      </c>
      <c r="P481" s="44">
        <f>IF(OR(N481="",O481=""),"",(O481-N481)*100)</f>
        <v/>
      </c>
      <c r="Q481" s="73" t="n"/>
    </row>
    <row r="482">
      <c r="A482" s="56" t="inlineStr">
        <is>
          <t>Canada</t>
        </is>
      </c>
      <c r="B482" s="43">
        <f>IF(SUMIFS(Countries!$AK$5:$AK$434,Countries!$A$5:$A$434,"All landing pages",Countries!$B$5:$B$434,"Paid Search",Countries!$D$5:$D$434,$A482,Countries!$AR$5:$AR$434,"&gt;0")=0,"",SUMIFS(Countries!$AR$5:$AR$434,Countries!$A$5:$A$434,"All landing pages",Countries!$B$5:$B$434,"Paid Search",Countries!$D$5:$D$434,$A482,Countries!$AK$5:$AK$434,"&gt;0")/SUMIFS(Countries!$AK$5:$AK$434,Countries!$A$5:$A$434,"All landing pages",Countries!$B$5:$B$434,"Paid Search",Countries!$D$5:$D$434,$A482,Countries!$AR$5:$AR$434,"&gt;0"))</f>
        <v/>
      </c>
      <c r="C482" s="43">
        <f>IF(SUMIFS(Countries!$AL$5:$AL$434,Countries!$A$5:$A$434,"All landing pages",Countries!$B$5:$B$434,"Paid Search",Countries!$D$5:$D$434,$A482,Countries!$AS$5:$AS$434,"&gt;0")=0,"",SUMIFS(Countries!$AS$5:$AS$434,Countries!$A$5:$A$434,"All landing pages",Countries!$B$5:$B$434,"Paid Search",Countries!$D$5:$D$434,$A482,Countries!$AL$5:$AL$434,"&gt;0")/SUMIFS(Countries!$AL$5:$AL$434,Countries!$A$5:$A$434,"All landing pages",Countries!$B$5:$B$434,"Paid Search",Countries!$D$5:$D$434,$A482,Countries!$AS$5:$AS$434,"&gt;0"))</f>
        <v/>
      </c>
      <c r="D482" s="44">
        <f>IF(OR(B482="",C482=""),"",(C482-B482)*100)</f>
        <v/>
      </c>
      <c r="E482" s="73" t="n"/>
      <c r="F482" s="43">
        <f>IF(SUMIFS(Countries!$AK$5:$AK$434,Countries!$A$5:$A$434,"All landing pages",Countries!$B$5:$B$434,"Organic",Countries!$D$5:$D$434,$A482,Countries!$AR$5:$AR$434,"&gt;0")=0,"",SUMIFS(Countries!$AR$5:$AR$434,Countries!$A$5:$A$434,"All landing pages",Countries!$B$5:$B$434,"Organic",Countries!$D$5:$D$434,$A482,Countries!$AK$5:$AK$434,"&gt;0")/SUMIFS(Countries!$AK$5:$AK$434,Countries!$A$5:$A$434,"All landing pages",Countries!$B$5:$B$434,"Organic",Countries!$D$5:$D$434,$A482,Countries!$AR$5:$AR$434,"&gt;0"))</f>
        <v/>
      </c>
      <c r="G482" s="43">
        <f>IF(SUMIFS(Countries!$AL$5:$AL$434,Countries!$A$5:$A$434,"All landing pages",Countries!$B$5:$B$434,"Organic",Countries!$D$5:$D$434,$A482,Countries!$AS$5:$AS$434,"&gt;0")=0,"",SUMIFS(Countries!$AS$5:$AS$434,Countries!$A$5:$A$434,"All landing pages",Countries!$B$5:$B$434,"Organic",Countries!$D$5:$D$434,$A482,Countries!$AL$5:$AL$434,"&gt;0")/SUMIFS(Countries!$AL$5:$AL$434,Countries!$A$5:$A$434,"All landing pages",Countries!$B$5:$B$434,"Organic",Countries!$D$5:$D$434,$A482,Countries!$AS$5:$AS$434,"&gt;0"))</f>
        <v/>
      </c>
      <c r="H482" s="44">
        <f>IF(OR(F482="",G482=""),"",(G482-F482)*100)</f>
        <v/>
      </c>
      <c r="I482" s="73" t="n"/>
      <c r="J482" s="43">
        <f>IF(SUMIFS(Countries!$AK$5:$AK$434,Countries!$A$5:$A$434,"All landing pages",Countries!$B$5:$B$434,"Direct",Countries!$D$5:$D$434,$A482,Countries!$AR$5:$AR$434,"&gt;0")=0,"",SUMIFS(Countries!$AR$5:$AR$434,Countries!$A$5:$A$434,"All landing pages",Countries!$B$5:$B$434,"Direct",Countries!$D$5:$D$434,$A482,Countries!$AK$5:$AK$434,"&gt;0")/SUMIFS(Countries!$AK$5:$AK$434,Countries!$A$5:$A$434,"All landing pages",Countries!$B$5:$B$434,"Direct",Countries!$D$5:$D$434,$A482,Countries!$AR$5:$AR$434,"&gt;0"))</f>
        <v/>
      </c>
      <c r="K482" s="43">
        <f>IF(SUMIFS(Countries!$AL$5:$AL$434,Countries!$A$5:$A$434,"All landing pages",Countries!$B$5:$B$434,"Direct",Countries!$D$5:$D$434,$A482,Countries!$AS$5:$AS$434,"&gt;0")=0,"",SUMIFS(Countries!$AS$5:$AS$434,Countries!$A$5:$A$434,"All landing pages",Countries!$B$5:$B$434,"Direct",Countries!$D$5:$D$434,$A482,Countries!$AL$5:$AL$434,"&gt;0")/SUMIFS(Countries!$AL$5:$AL$434,Countries!$A$5:$A$434,"All landing pages",Countries!$B$5:$B$434,"Direct",Countries!$D$5:$D$434,$A482,Countries!$AS$5:$AS$434,"&gt;0"))</f>
        <v/>
      </c>
      <c r="L482" s="44">
        <f>IF(OR(J482="",K482=""),"",(K482-J482)*100)</f>
        <v/>
      </c>
      <c r="M482" s="73" t="n"/>
      <c r="N482" s="43">
        <f>IF(SUMIFS(Countries!$AK$5:$AK$434,Countries!$A$5:$A$434,"All landing pages",Countries!$D$5:$D$434,$A482,Countries!$AR$5:$AR$434,"&gt;0")=0,"",SUMIFS(Countries!$AR$5:$AR$434,Countries!$A$5:$A$434,"All landing pages",Countries!$D$5:$D$434,$A482,Countries!$AK$5:$AK$434,"&gt;0")/SUMIFS(Countries!$AK$5:$AK$434,Countries!$A$5:$A$434,"All landing pages",Countries!$D$5:$D$434,$A482,Countries!$AR$5:$AR$434,"&gt;0"))</f>
        <v/>
      </c>
      <c r="O482" s="43">
        <f>IF(SUMIFS(Countries!$AL$5:$AL$434,Countries!$A$5:$A$434,"All landing pages",Countries!$D$5:$D$434,$A482,Countries!$AS$5:$AS$434,"&gt;0")=0,"",SUMIFS(Countries!$AS$5:$AS$434,Countries!$A$5:$A$434,"All landing pages",Countries!$D$5:$D$434,$A482,Countries!$AL$5:$AL$434,"&gt;0")/SUMIFS(Countries!$AL$5:$AL$434,Countries!$A$5:$A$434,"All landing pages",Countries!$D$5:$D$434,$A482,Countries!$AS$5:$AS$434,"&gt;0"))</f>
        <v/>
      </c>
      <c r="P482" s="44">
        <f>IF(OR(N482="",O482=""),"",(O482-N482)*100)</f>
        <v/>
      </c>
      <c r="Q482" s="73" t="n"/>
    </row>
    <row r="483">
      <c r="A483" s="40" t="inlineStr">
        <is>
          <t>Greece</t>
        </is>
      </c>
      <c r="B483" s="43">
        <f>IF(SUMIFS(Countries!$AK$5:$AK$434,Countries!$A$5:$A$434,"All landing pages",Countries!$B$5:$B$434,"Paid Search",Countries!$D$5:$D$434,$A483,Countries!$AR$5:$AR$434,"&gt;0")=0,"",SUMIFS(Countries!$AR$5:$AR$434,Countries!$A$5:$A$434,"All landing pages",Countries!$B$5:$B$434,"Paid Search",Countries!$D$5:$D$434,$A483,Countries!$AK$5:$AK$434,"&gt;0")/SUMIFS(Countries!$AK$5:$AK$434,Countries!$A$5:$A$434,"All landing pages",Countries!$B$5:$B$434,"Paid Search",Countries!$D$5:$D$434,$A483,Countries!$AR$5:$AR$434,"&gt;0"))</f>
        <v/>
      </c>
      <c r="C483" s="43">
        <f>IF(SUMIFS(Countries!$AL$5:$AL$434,Countries!$A$5:$A$434,"All landing pages",Countries!$B$5:$B$434,"Paid Search",Countries!$D$5:$D$434,$A483,Countries!$AS$5:$AS$434,"&gt;0")=0,"",SUMIFS(Countries!$AS$5:$AS$434,Countries!$A$5:$A$434,"All landing pages",Countries!$B$5:$B$434,"Paid Search",Countries!$D$5:$D$434,$A483,Countries!$AL$5:$AL$434,"&gt;0")/SUMIFS(Countries!$AL$5:$AL$434,Countries!$A$5:$A$434,"All landing pages",Countries!$B$5:$B$434,"Paid Search",Countries!$D$5:$D$434,$A483,Countries!$AS$5:$AS$434,"&gt;0"))</f>
        <v/>
      </c>
      <c r="D483" s="44">
        <f>IF(OR(B483="",C483=""),"",(C483-B483)*100)</f>
        <v/>
      </c>
      <c r="E483" s="73" t="n"/>
      <c r="F483" s="43">
        <f>IF(SUMIFS(Countries!$AK$5:$AK$434,Countries!$A$5:$A$434,"All landing pages",Countries!$B$5:$B$434,"Organic",Countries!$D$5:$D$434,$A483,Countries!$AR$5:$AR$434,"&gt;0")=0,"",SUMIFS(Countries!$AR$5:$AR$434,Countries!$A$5:$A$434,"All landing pages",Countries!$B$5:$B$434,"Organic",Countries!$D$5:$D$434,$A483,Countries!$AK$5:$AK$434,"&gt;0")/SUMIFS(Countries!$AK$5:$AK$434,Countries!$A$5:$A$434,"All landing pages",Countries!$B$5:$B$434,"Organic",Countries!$D$5:$D$434,$A483,Countries!$AR$5:$AR$434,"&gt;0"))</f>
        <v/>
      </c>
      <c r="G483" s="43">
        <f>IF(SUMIFS(Countries!$AL$5:$AL$434,Countries!$A$5:$A$434,"All landing pages",Countries!$B$5:$B$434,"Organic",Countries!$D$5:$D$434,$A483,Countries!$AS$5:$AS$434,"&gt;0")=0,"",SUMIFS(Countries!$AS$5:$AS$434,Countries!$A$5:$A$434,"All landing pages",Countries!$B$5:$B$434,"Organic",Countries!$D$5:$D$434,$A483,Countries!$AL$5:$AL$434,"&gt;0")/SUMIFS(Countries!$AL$5:$AL$434,Countries!$A$5:$A$434,"All landing pages",Countries!$B$5:$B$434,"Organic",Countries!$D$5:$D$434,$A483,Countries!$AS$5:$AS$434,"&gt;0"))</f>
        <v/>
      </c>
      <c r="H483" s="44">
        <f>IF(OR(F483="",G483=""),"",(G483-F483)*100)</f>
        <v/>
      </c>
      <c r="I483" s="73" t="n"/>
      <c r="J483" s="43">
        <f>IF(SUMIFS(Countries!$AK$5:$AK$434,Countries!$A$5:$A$434,"All landing pages",Countries!$B$5:$B$434,"Direct",Countries!$D$5:$D$434,$A483,Countries!$AR$5:$AR$434,"&gt;0")=0,"",SUMIFS(Countries!$AR$5:$AR$434,Countries!$A$5:$A$434,"All landing pages",Countries!$B$5:$B$434,"Direct",Countries!$D$5:$D$434,$A483,Countries!$AK$5:$AK$434,"&gt;0")/SUMIFS(Countries!$AK$5:$AK$434,Countries!$A$5:$A$434,"All landing pages",Countries!$B$5:$B$434,"Direct",Countries!$D$5:$D$434,$A483,Countries!$AR$5:$AR$434,"&gt;0"))</f>
        <v/>
      </c>
      <c r="K483" s="43">
        <f>IF(SUMIFS(Countries!$AL$5:$AL$434,Countries!$A$5:$A$434,"All landing pages",Countries!$B$5:$B$434,"Direct",Countries!$D$5:$D$434,$A483,Countries!$AS$5:$AS$434,"&gt;0")=0,"",SUMIFS(Countries!$AS$5:$AS$434,Countries!$A$5:$A$434,"All landing pages",Countries!$B$5:$B$434,"Direct",Countries!$D$5:$D$434,$A483,Countries!$AL$5:$AL$434,"&gt;0")/SUMIFS(Countries!$AL$5:$AL$434,Countries!$A$5:$A$434,"All landing pages",Countries!$B$5:$B$434,"Direct",Countries!$D$5:$D$434,$A483,Countries!$AS$5:$AS$434,"&gt;0"))</f>
        <v/>
      </c>
      <c r="L483" s="44">
        <f>IF(OR(J483="",K483=""),"",(K483-J483)*100)</f>
        <v/>
      </c>
      <c r="M483" s="73" t="n"/>
      <c r="N483" s="43">
        <f>IF(SUMIFS(Countries!$AK$5:$AK$434,Countries!$A$5:$A$434,"All landing pages",Countries!$D$5:$D$434,$A483,Countries!$AR$5:$AR$434,"&gt;0")=0,"",SUMIFS(Countries!$AR$5:$AR$434,Countries!$A$5:$A$434,"All landing pages",Countries!$D$5:$D$434,$A483,Countries!$AK$5:$AK$434,"&gt;0")/SUMIFS(Countries!$AK$5:$AK$434,Countries!$A$5:$A$434,"All landing pages",Countries!$D$5:$D$434,$A483,Countries!$AR$5:$AR$434,"&gt;0"))</f>
        <v/>
      </c>
      <c r="O483" s="43">
        <f>IF(SUMIFS(Countries!$AL$5:$AL$434,Countries!$A$5:$A$434,"All landing pages",Countries!$D$5:$D$434,$A483,Countries!$AS$5:$AS$434,"&gt;0")=0,"",SUMIFS(Countries!$AS$5:$AS$434,Countries!$A$5:$A$434,"All landing pages",Countries!$D$5:$D$434,$A483,Countries!$AL$5:$AL$434,"&gt;0")/SUMIFS(Countries!$AL$5:$AL$434,Countries!$A$5:$A$434,"All landing pages",Countries!$D$5:$D$434,$A483,Countries!$AS$5:$AS$434,"&gt;0"))</f>
        <v/>
      </c>
      <c r="P483" s="44">
        <f>IF(OR(N483="",O483=""),"",(O483-N483)*100)</f>
        <v/>
      </c>
      <c r="Q483" s="73" t="n"/>
    </row>
    <row r="484">
      <c r="A484" s="56" t="inlineStr">
        <is>
          <t>Switzerland</t>
        </is>
      </c>
      <c r="B484" s="43">
        <f>IF(SUMIFS(Countries!$AK$5:$AK$434,Countries!$A$5:$A$434,"All landing pages",Countries!$B$5:$B$434,"Paid Search",Countries!$D$5:$D$434,$A484,Countries!$AR$5:$AR$434,"&gt;0")=0,"",SUMIFS(Countries!$AR$5:$AR$434,Countries!$A$5:$A$434,"All landing pages",Countries!$B$5:$B$434,"Paid Search",Countries!$D$5:$D$434,$A484,Countries!$AK$5:$AK$434,"&gt;0")/SUMIFS(Countries!$AK$5:$AK$434,Countries!$A$5:$A$434,"All landing pages",Countries!$B$5:$B$434,"Paid Search",Countries!$D$5:$D$434,$A484,Countries!$AR$5:$AR$434,"&gt;0"))</f>
        <v/>
      </c>
      <c r="C484" s="43">
        <f>IF(SUMIFS(Countries!$AL$5:$AL$434,Countries!$A$5:$A$434,"All landing pages",Countries!$B$5:$B$434,"Paid Search",Countries!$D$5:$D$434,$A484,Countries!$AS$5:$AS$434,"&gt;0")=0,"",SUMIFS(Countries!$AS$5:$AS$434,Countries!$A$5:$A$434,"All landing pages",Countries!$B$5:$B$434,"Paid Search",Countries!$D$5:$D$434,$A484,Countries!$AL$5:$AL$434,"&gt;0")/SUMIFS(Countries!$AL$5:$AL$434,Countries!$A$5:$A$434,"All landing pages",Countries!$B$5:$B$434,"Paid Search",Countries!$D$5:$D$434,$A484,Countries!$AS$5:$AS$434,"&gt;0"))</f>
        <v/>
      </c>
      <c r="D484" s="44">
        <f>IF(OR(B484="",C484=""),"",(C484-B484)*100)</f>
        <v/>
      </c>
      <c r="E484" s="73" t="n"/>
      <c r="F484" s="43">
        <f>IF(SUMIFS(Countries!$AK$5:$AK$434,Countries!$A$5:$A$434,"All landing pages",Countries!$B$5:$B$434,"Organic",Countries!$D$5:$D$434,$A484,Countries!$AR$5:$AR$434,"&gt;0")=0,"",SUMIFS(Countries!$AR$5:$AR$434,Countries!$A$5:$A$434,"All landing pages",Countries!$B$5:$B$434,"Organic",Countries!$D$5:$D$434,$A484,Countries!$AK$5:$AK$434,"&gt;0")/SUMIFS(Countries!$AK$5:$AK$434,Countries!$A$5:$A$434,"All landing pages",Countries!$B$5:$B$434,"Organic",Countries!$D$5:$D$434,$A484,Countries!$AR$5:$AR$434,"&gt;0"))</f>
        <v/>
      </c>
      <c r="G484" s="43">
        <f>IF(SUMIFS(Countries!$AL$5:$AL$434,Countries!$A$5:$A$434,"All landing pages",Countries!$B$5:$B$434,"Organic",Countries!$D$5:$D$434,$A484,Countries!$AS$5:$AS$434,"&gt;0")=0,"",SUMIFS(Countries!$AS$5:$AS$434,Countries!$A$5:$A$434,"All landing pages",Countries!$B$5:$B$434,"Organic",Countries!$D$5:$D$434,$A484,Countries!$AL$5:$AL$434,"&gt;0")/SUMIFS(Countries!$AL$5:$AL$434,Countries!$A$5:$A$434,"All landing pages",Countries!$B$5:$B$434,"Organic",Countries!$D$5:$D$434,$A484,Countries!$AS$5:$AS$434,"&gt;0"))</f>
        <v/>
      </c>
      <c r="H484" s="44">
        <f>IF(OR(F484="",G484=""),"",(G484-F484)*100)</f>
        <v/>
      </c>
      <c r="I484" s="73" t="n"/>
      <c r="J484" s="43">
        <f>IF(SUMIFS(Countries!$AK$5:$AK$434,Countries!$A$5:$A$434,"All landing pages",Countries!$B$5:$B$434,"Direct",Countries!$D$5:$D$434,$A484,Countries!$AR$5:$AR$434,"&gt;0")=0,"",SUMIFS(Countries!$AR$5:$AR$434,Countries!$A$5:$A$434,"All landing pages",Countries!$B$5:$B$434,"Direct",Countries!$D$5:$D$434,$A484,Countries!$AK$5:$AK$434,"&gt;0")/SUMIFS(Countries!$AK$5:$AK$434,Countries!$A$5:$A$434,"All landing pages",Countries!$B$5:$B$434,"Direct",Countries!$D$5:$D$434,$A484,Countries!$AR$5:$AR$434,"&gt;0"))</f>
        <v/>
      </c>
      <c r="K484" s="43">
        <f>IF(SUMIFS(Countries!$AL$5:$AL$434,Countries!$A$5:$A$434,"All landing pages",Countries!$B$5:$B$434,"Direct",Countries!$D$5:$D$434,$A484,Countries!$AS$5:$AS$434,"&gt;0")=0,"",SUMIFS(Countries!$AS$5:$AS$434,Countries!$A$5:$A$434,"All landing pages",Countries!$B$5:$B$434,"Direct",Countries!$D$5:$D$434,$A484,Countries!$AL$5:$AL$434,"&gt;0")/SUMIFS(Countries!$AL$5:$AL$434,Countries!$A$5:$A$434,"All landing pages",Countries!$B$5:$B$434,"Direct",Countries!$D$5:$D$434,$A484,Countries!$AS$5:$AS$434,"&gt;0"))</f>
        <v/>
      </c>
      <c r="L484" s="44">
        <f>IF(OR(J484="",K484=""),"",(K484-J484)*100)</f>
        <v/>
      </c>
      <c r="M484" s="73" t="n"/>
      <c r="N484" s="43">
        <f>IF(SUMIFS(Countries!$AK$5:$AK$434,Countries!$A$5:$A$434,"All landing pages",Countries!$D$5:$D$434,$A484,Countries!$AR$5:$AR$434,"&gt;0")=0,"",SUMIFS(Countries!$AR$5:$AR$434,Countries!$A$5:$A$434,"All landing pages",Countries!$D$5:$D$434,$A484,Countries!$AK$5:$AK$434,"&gt;0")/SUMIFS(Countries!$AK$5:$AK$434,Countries!$A$5:$A$434,"All landing pages",Countries!$D$5:$D$434,$A484,Countries!$AR$5:$AR$434,"&gt;0"))</f>
        <v/>
      </c>
      <c r="O484" s="43">
        <f>IF(SUMIFS(Countries!$AL$5:$AL$434,Countries!$A$5:$A$434,"All landing pages",Countries!$D$5:$D$434,$A484,Countries!$AS$5:$AS$434,"&gt;0")=0,"",SUMIFS(Countries!$AS$5:$AS$434,Countries!$A$5:$A$434,"All landing pages",Countries!$D$5:$D$434,$A484,Countries!$AL$5:$AL$434,"&gt;0")/SUMIFS(Countries!$AL$5:$AL$434,Countries!$A$5:$A$434,"All landing pages",Countries!$D$5:$D$434,$A484,Countries!$AS$5:$AS$434,"&gt;0"))</f>
        <v/>
      </c>
      <c r="P484" s="44">
        <f>IF(OR(N484="",O484=""),"",(O484-N484)*100)</f>
        <v/>
      </c>
      <c r="Q484" s="73" t="n"/>
    </row>
    <row r="485">
      <c r="A485" s="40" t="inlineStr">
        <is>
          <t>(not set)</t>
        </is>
      </c>
      <c r="B485" s="43">
        <f>IF(SUMIFS(Countries!$AK$5:$AK$434,Countries!$A$5:$A$434,"All landing pages",Countries!$B$5:$B$434,"Paid Search",Countries!$D$5:$D$434,$A485,Countries!$AR$5:$AR$434,"&gt;0")=0,"",SUMIFS(Countries!$AR$5:$AR$434,Countries!$A$5:$A$434,"All landing pages",Countries!$B$5:$B$434,"Paid Search",Countries!$D$5:$D$434,$A485,Countries!$AK$5:$AK$434,"&gt;0")/SUMIFS(Countries!$AK$5:$AK$434,Countries!$A$5:$A$434,"All landing pages",Countries!$B$5:$B$434,"Paid Search",Countries!$D$5:$D$434,$A485,Countries!$AR$5:$AR$434,"&gt;0"))</f>
        <v/>
      </c>
      <c r="C485" s="43">
        <f>IF(SUMIFS(Countries!$AL$5:$AL$434,Countries!$A$5:$A$434,"All landing pages",Countries!$B$5:$B$434,"Paid Search",Countries!$D$5:$D$434,$A485,Countries!$AS$5:$AS$434,"&gt;0")=0,"",SUMIFS(Countries!$AS$5:$AS$434,Countries!$A$5:$A$434,"All landing pages",Countries!$B$5:$B$434,"Paid Search",Countries!$D$5:$D$434,$A485,Countries!$AL$5:$AL$434,"&gt;0")/SUMIFS(Countries!$AL$5:$AL$434,Countries!$A$5:$A$434,"All landing pages",Countries!$B$5:$B$434,"Paid Search",Countries!$D$5:$D$434,$A485,Countries!$AS$5:$AS$434,"&gt;0"))</f>
        <v/>
      </c>
      <c r="D485" s="44">
        <f>IF(OR(B485="",C485=""),"",(C485-B485)*100)</f>
        <v/>
      </c>
      <c r="E485" s="73" t="n"/>
      <c r="F485" s="43">
        <f>IF(SUMIFS(Countries!$AK$5:$AK$434,Countries!$A$5:$A$434,"All landing pages",Countries!$B$5:$B$434,"Organic",Countries!$D$5:$D$434,$A485,Countries!$AR$5:$AR$434,"&gt;0")=0,"",SUMIFS(Countries!$AR$5:$AR$434,Countries!$A$5:$A$434,"All landing pages",Countries!$B$5:$B$434,"Organic",Countries!$D$5:$D$434,$A485,Countries!$AK$5:$AK$434,"&gt;0")/SUMIFS(Countries!$AK$5:$AK$434,Countries!$A$5:$A$434,"All landing pages",Countries!$B$5:$B$434,"Organic",Countries!$D$5:$D$434,$A485,Countries!$AR$5:$AR$434,"&gt;0"))</f>
        <v/>
      </c>
      <c r="G485" s="43">
        <f>IF(SUMIFS(Countries!$AL$5:$AL$434,Countries!$A$5:$A$434,"All landing pages",Countries!$B$5:$B$434,"Organic",Countries!$D$5:$D$434,$A485,Countries!$AS$5:$AS$434,"&gt;0")=0,"",SUMIFS(Countries!$AS$5:$AS$434,Countries!$A$5:$A$434,"All landing pages",Countries!$B$5:$B$434,"Organic",Countries!$D$5:$D$434,$A485,Countries!$AL$5:$AL$434,"&gt;0")/SUMIFS(Countries!$AL$5:$AL$434,Countries!$A$5:$A$434,"All landing pages",Countries!$B$5:$B$434,"Organic",Countries!$D$5:$D$434,$A485,Countries!$AS$5:$AS$434,"&gt;0"))</f>
        <v/>
      </c>
      <c r="H485" s="44">
        <f>IF(OR(F485="",G485=""),"",(G485-F485)*100)</f>
        <v/>
      </c>
      <c r="I485" s="73" t="n"/>
      <c r="J485" s="43">
        <f>IF(SUMIFS(Countries!$AK$5:$AK$434,Countries!$A$5:$A$434,"All landing pages",Countries!$B$5:$B$434,"Direct",Countries!$D$5:$D$434,$A485,Countries!$AR$5:$AR$434,"&gt;0")=0,"",SUMIFS(Countries!$AR$5:$AR$434,Countries!$A$5:$A$434,"All landing pages",Countries!$B$5:$B$434,"Direct",Countries!$D$5:$D$434,$A485,Countries!$AK$5:$AK$434,"&gt;0")/SUMIFS(Countries!$AK$5:$AK$434,Countries!$A$5:$A$434,"All landing pages",Countries!$B$5:$B$434,"Direct",Countries!$D$5:$D$434,$A485,Countries!$AR$5:$AR$434,"&gt;0"))</f>
        <v/>
      </c>
      <c r="K485" s="43">
        <f>IF(SUMIFS(Countries!$AL$5:$AL$434,Countries!$A$5:$A$434,"All landing pages",Countries!$B$5:$B$434,"Direct",Countries!$D$5:$D$434,$A485,Countries!$AS$5:$AS$434,"&gt;0")=0,"",SUMIFS(Countries!$AS$5:$AS$434,Countries!$A$5:$A$434,"All landing pages",Countries!$B$5:$B$434,"Direct",Countries!$D$5:$D$434,$A485,Countries!$AL$5:$AL$434,"&gt;0")/SUMIFS(Countries!$AL$5:$AL$434,Countries!$A$5:$A$434,"All landing pages",Countries!$B$5:$B$434,"Direct",Countries!$D$5:$D$434,$A485,Countries!$AS$5:$AS$434,"&gt;0"))</f>
        <v/>
      </c>
      <c r="L485" s="44">
        <f>IF(OR(J485="",K485=""),"",(K485-J485)*100)</f>
        <v/>
      </c>
      <c r="M485" s="73" t="n"/>
      <c r="N485" s="43">
        <f>IF(SUMIFS(Countries!$AK$5:$AK$434,Countries!$A$5:$A$434,"All landing pages",Countries!$D$5:$D$434,$A485,Countries!$AR$5:$AR$434,"&gt;0")=0,"",SUMIFS(Countries!$AR$5:$AR$434,Countries!$A$5:$A$434,"All landing pages",Countries!$D$5:$D$434,$A485,Countries!$AK$5:$AK$434,"&gt;0")/SUMIFS(Countries!$AK$5:$AK$434,Countries!$A$5:$A$434,"All landing pages",Countries!$D$5:$D$434,$A485,Countries!$AR$5:$AR$434,"&gt;0"))</f>
        <v/>
      </c>
      <c r="O485" s="43">
        <f>IF(SUMIFS(Countries!$AL$5:$AL$434,Countries!$A$5:$A$434,"All landing pages",Countries!$D$5:$D$434,$A485,Countries!$AS$5:$AS$434,"&gt;0")=0,"",SUMIFS(Countries!$AS$5:$AS$434,Countries!$A$5:$A$434,"All landing pages",Countries!$D$5:$D$434,$A485,Countries!$AL$5:$AL$434,"&gt;0")/SUMIFS(Countries!$AL$5:$AL$434,Countries!$A$5:$A$434,"All landing pages",Countries!$D$5:$D$434,$A485,Countries!$AS$5:$AS$434,"&gt;0"))</f>
        <v/>
      </c>
      <c r="P485" s="44">
        <f>IF(OR(N485="",O485=""),"",(O485-N485)*100)</f>
        <v/>
      </c>
      <c r="Q485" s="73" t="n"/>
    </row>
    <row r="486">
      <c r="A486" s="56" t="inlineStr">
        <is>
          <t>Algeria</t>
        </is>
      </c>
      <c r="B486" s="43">
        <f>IF(SUMIFS(Countries!$AK$5:$AK$434,Countries!$A$5:$A$434,"All landing pages",Countries!$B$5:$B$434,"Paid Search",Countries!$D$5:$D$434,$A486,Countries!$AR$5:$AR$434,"&gt;0")=0,"",SUMIFS(Countries!$AR$5:$AR$434,Countries!$A$5:$A$434,"All landing pages",Countries!$B$5:$B$434,"Paid Search",Countries!$D$5:$D$434,$A486,Countries!$AK$5:$AK$434,"&gt;0")/SUMIFS(Countries!$AK$5:$AK$434,Countries!$A$5:$A$434,"All landing pages",Countries!$B$5:$B$434,"Paid Search",Countries!$D$5:$D$434,$A486,Countries!$AR$5:$AR$434,"&gt;0"))</f>
        <v/>
      </c>
      <c r="C486" s="43">
        <f>IF(SUMIFS(Countries!$AL$5:$AL$434,Countries!$A$5:$A$434,"All landing pages",Countries!$B$5:$B$434,"Paid Search",Countries!$D$5:$D$434,$A486,Countries!$AS$5:$AS$434,"&gt;0")=0,"",SUMIFS(Countries!$AS$5:$AS$434,Countries!$A$5:$A$434,"All landing pages",Countries!$B$5:$B$434,"Paid Search",Countries!$D$5:$D$434,$A486,Countries!$AL$5:$AL$434,"&gt;0")/SUMIFS(Countries!$AL$5:$AL$434,Countries!$A$5:$A$434,"All landing pages",Countries!$B$5:$B$434,"Paid Search",Countries!$D$5:$D$434,$A486,Countries!$AS$5:$AS$434,"&gt;0"))</f>
        <v/>
      </c>
      <c r="D486" s="44">
        <f>IF(OR(B486="",C486=""),"",(C486-B486)*100)</f>
        <v/>
      </c>
      <c r="E486" s="73" t="n"/>
      <c r="F486" s="43">
        <f>IF(SUMIFS(Countries!$AK$5:$AK$434,Countries!$A$5:$A$434,"All landing pages",Countries!$B$5:$B$434,"Organic",Countries!$D$5:$D$434,$A486,Countries!$AR$5:$AR$434,"&gt;0")=0,"",SUMIFS(Countries!$AR$5:$AR$434,Countries!$A$5:$A$434,"All landing pages",Countries!$B$5:$B$434,"Organic",Countries!$D$5:$D$434,$A486,Countries!$AK$5:$AK$434,"&gt;0")/SUMIFS(Countries!$AK$5:$AK$434,Countries!$A$5:$A$434,"All landing pages",Countries!$B$5:$B$434,"Organic",Countries!$D$5:$D$434,$A486,Countries!$AR$5:$AR$434,"&gt;0"))</f>
        <v/>
      </c>
      <c r="G486" s="43">
        <f>IF(SUMIFS(Countries!$AL$5:$AL$434,Countries!$A$5:$A$434,"All landing pages",Countries!$B$5:$B$434,"Organic",Countries!$D$5:$D$434,$A486,Countries!$AS$5:$AS$434,"&gt;0")=0,"",SUMIFS(Countries!$AS$5:$AS$434,Countries!$A$5:$A$434,"All landing pages",Countries!$B$5:$B$434,"Organic",Countries!$D$5:$D$434,$A486,Countries!$AL$5:$AL$434,"&gt;0")/SUMIFS(Countries!$AL$5:$AL$434,Countries!$A$5:$A$434,"All landing pages",Countries!$B$5:$B$434,"Organic",Countries!$D$5:$D$434,$A486,Countries!$AS$5:$AS$434,"&gt;0"))</f>
        <v/>
      </c>
      <c r="H486" s="44">
        <f>IF(OR(F486="",G486=""),"",(G486-F486)*100)</f>
        <v/>
      </c>
      <c r="I486" s="73" t="n"/>
      <c r="J486" s="43">
        <f>IF(SUMIFS(Countries!$AK$5:$AK$434,Countries!$A$5:$A$434,"All landing pages",Countries!$B$5:$B$434,"Direct",Countries!$D$5:$D$434,$A486,Countries!$AR$5:$AR$434,"&gt;0")=0,"",SUMIFS(Countries!$AR$5:$AR$434,Countries!$A$5:$A$434,"All landing pages",Countries!$B$5:$B$434,"Direct",Countries!$D$5:$D$434,$A486,Countries!$AK$5:$AK$434,"&gt;0")/SUMIFS(Countries!$AK$5:$AK$434,Countries!$A$5:$A$434,"All landing pages",Countries!$B$5:$B$434,"Direct",Countries!$D$5:$D$434,$A486,Countries!$AR$5:$AR$434,"&gt;0"))</f>
        <v/>
      </c>
      <c r="K486" s="43">
        <f>IF(SUMIFS(Countries!$AL$5:$AL$434,Countries!$A$5:$A$434,"All landing pages",Countries!$B$5:$B$434,"Direct",Countries!$D$5:$D$434,$A486,Countries!$AS$5:$AS$434,"&gt;0")=0,"",SUMIFS(Countries!$AS$5:$AS$434,Countries!$A$5:$A$434,"All landing pages",Countries!$B$5:$B$434,"Direct",Countries!$D$5:$D$434,$A486,Countries!$AL$5:$AL$434,"&gt;0")/SUMIFS(Countries!$AL$5:$AL$434,Countries!$A$5:$A$434,"All landing pages",Countries!$B$5:$B$434,"Direct",Countries!$D$5:$D$434,$A486,Countries!$AS$5:$AS$434,"&gt;0"))</f>
        <v/>
      </c>
      <c r="L486" s="44">
        <f>IF(OR(J486="",K486=""),"",(K486-J486)*100)</f>
        <v/>
      </c>
      <c r="M486" s="73" t="n"/>
      <c r="N486" s="43">
        <f>IF(SUMIFS(Countries!$AK$5:$AK$434,Countries!$A$5:$A$434,"All landing pages",Countries!$D$5:$D$434,$A486,Countries!$AR$5:$AR$434,"&gt;0")=0,"",SUMIFS(Countries!$AR$5:$AR$434,Countries!$A$5:$A$434,"All landing pages",Countries!$D$5:$D$434,$A486,Countries!$AK$5:$AK$434,"&gt;0")/SUMIFS(Countries!$AK$5:$AK$434,Countries!$A$5:$A$434,"All landing pages",Countries!$D$5:$D$434,$A486,Countries!$AR$5:$AR$434,"&gt;0"))</f>
        <v/>
      </c>
      <c r="O486" s="43">
        <f>IF(SUMIFS(Countries!$AL$5:$AL$434,Countries!$A$5:$A$434,"All landing pages",Countries!$D$5:$D$434,$A486,Countries!$AS$5:$AS$434,"&gt;0")=0,"",SUMIFS(Countries!$AS$5:$AS$434,Countries!$A$5:$A$434,"All landing pages",Countries!$D$5:$D$434,$A486,Countries!$AL$5:$AL$434,"&gt;0")/SUMIFS(Countries!$AL$5:$AL$434,Countries!$A$5:$A$434,"All landing pages",Countries!$D$5:$D$434,$A486,Countries!$AS$5:$AS$434,"&gt;0"))</f>
        <v/>
      </c>
      <c r="P486" s="44">
        <f>IF(OR(N486="",O486=""),"",(O486-N486)*100)</f>
        <v/>
      </c>
      <c r="Q486" s="73" t="n"/>
    </row>
    <row r="487">
      <c r="A487" s="40" t="inlineStr">
        <is>
          <t>Argentina</t>
        </is>
      </c>
      <c r="B487" s="43">
        <f>IF(SUMIFS(Countries!$AK$5:$AK$434,Countries!$A$5:$A$434,"All landing pages",Countries!$B$5:$B$434,"Paid Search",Countries!$D$5:$D$434,$A487,Countries!$AR$5:$AR$434,"&gt;0")=0,"",SUMIFS(Countries!$AR$5:$AR$434,Countries!$A$5:$A$434,"All landing pages",Countries!$B$5:$B$434,"Paid Search",Countries!$D$5:$D$434,$A487,Countries!$AK$5:$AK$434,"&gt;0")/SUMIFS(Countries!$AK$5:$AK$434,Countries!$A$5:$A$434,"All landing pages",Countries!$B$5:$B$434,"Paid Search",Countries!$D$5:$D$434,$A487,Countries!$AR$5:$AR$434,"&gt;0"))</f>
        <v/>
      </c>
      <c r="C487" s="43">
        <f>IF(SUMIFS(Countries!$AL$5:$AL$434,Countries!$A$5:$A$434,"All landing pages",Countries!$B$5:$B$434,"Paid Search",Countries!$D$5:$D$434,$A487,Countries!$AS$5:$AS$434,"&gt;0")=0,"",SUMIFS(Countries!$AS$5:$AS$434,Countries!$A$5:$A$434,"All landing pages",Countries!$B$5:$B$434,"Paid Search",Countries!$D$5:$D$434,$A487,Countries!$AL$5:$AL$434,"&gt;0")/SUMIFS(Countries!$AL$5:$AL$434,Countries!$A$5:$A$434,"All landing pages",Countries!$B$5:$B$434,"Paid Search",Countries!$D$5:$D$434,$A487,Countries!$AS$5:$AS$434,"&gt;0"))</f>
        <v/>
      </c>
      <c r="D487" s="44">
        <f>IF(OR(B487="",C487=""),"",(C487-B487)*100)</f>
        <v/>
      </c>
      <c r="E487" s="73" t="n"/>
      <c r="F487" s="43">
        <f>IF(SUMIFS(Countries!$AK$5:$AK$434,Countries!$A$5:$A$434,"All landing pages",Countries!$B$5:$B$434,"Organic",Countries!$D$5:$D$434,$A487,Countries!$AR$5:$AR$434,"&gt;0")=0,"",SUMIFS(Countries!$AR$5:$AR$434,Countries!$A$5:$A$434,"All landing pages",Countries!$B$5:$B$434,"Organic",Countries!$D$5:$D$434,$A487,Countries!$AK$5:$AK$434,"&gt;0")/SUMIFS(Countries!$AK$5:$AK$434,Countries!$A$5:$A$434,"All landing pages",Countries!$B$5:$B$434,"Organic",Countries!$D$5:$D$434,$A487,Countries!$AR$5:$AR$434,"&gt;0"))</f>
        <v/>
      </c>
      <c r="G487" s="43">
        <f>IF(SUMIFS(Countries!$AL$5:$AL$434,Countries!$A$5:$A$434,"All landing pages",Countries!$B$5:$B$434,"Organic",Countries!$D$5:$D$434,$A487,Countries!$AS$5:$AS$434,"&gt;0")=0,"",SUMIFS(Countries!$AS$5:$AS$434,Countries!$A$5:$A$434,"All landing pages",Countries!$B$5:$B$434,"Organic",Countries!$D$5:$D$434,$A487,Countries!$AL$5:$AL$434,"&gt;0")/SUMIFS(Countries!$AL$5:$AL$434,Countries!$A$5:$A$434,"All landing pages",Countries!$B$5:$B$434,"Organic",Countries!$D$5:$D$434,$A487,Countries!$AS$5:$AS$434,"&gt;0"))</f>
        <v/>
      </c>
      <c r="H487" s="44">
        <f>IF(OR(F487="",G487=""),"",(G487-F487)*100)</f>
        <v/>
      </c>
      <c r="I487" s="73" t="n"/>
      <c r="J487" s="43">
        <f>IF(SUMIFS(Countries!$AK$5:$AK$434,Countries!$A$5:$A$434,"All landing pages",Countries!$B$5:$B$434,"Direct",Countries!$D$5:$D$434,$A487,Countries!$AR$5:$AR$434,"&gt;0")=0,"",SUMIFS(Countries!$AR$5:$AR$434,Countries!$A$5:$A$434,"All landing pages",Countries!$B$5:$B$434,"Direct",Countries!$D$5:$D$434,$A487,Countries!$AK$5:$AK$434,"&gt;0")/SUMIFS(Countries!$AK$5:$AK$434,Countries!$A$5:$A$434,"All landing pages",Countries!$B$5:$B$434,"Direct",Countries!$D$5:$D$434,$A487,Countries!$AR$5:$AR$434,"&gt;0"))</f>
        <v/>
      </c>
      <c r="K487" s="43">
        <f>IF(SUMIFS(Countries!$AL$5:$AL$434,Countries!$A$5:$A$434,"All landing pages",Countries!$B$5:$B$434,"Direct",Countries!$D$5:$D$434,$A487,Countries!$AS$5:$AS$434,"&gt;0")=0,"",SUMIFS(Countries!$AS$5:$AS$434,Countries!$A$5:$A$434,"All landing pages",Countries!$B$5:$B$434,"Direct",Countries!$D$5:$D$434,$A487,Countries!$AL$5:$AL$434,"&gt;0")/SUMIFS(Countries!$AL$5:$AL$434,Countries!$A$5:$A$434,"All landing pages",Countries!$B$5:$B$434,"Direct",Countries!$D$5:$D$434,$A487,Countries!$AS$5:$AS$434,"&gt;0"))</f>
        <v/>
      </c>
      <c r="L487" s="44">
        <f>IF(OR(J487="",K487=""),"",(K487-J487)*100)</f>
        <v/>
      </c>
      <c r="M487" s="73" t="n"/>
      <c r="N487" s="43">
        <f>IF(SUMIFS(Countries!$AK$5:$AK$434,Countries!$A$5:$A$434,"All landing pages",Countries!$D$5:$D$434,$A487,Countries!$AR$5:$AR$434,"&gt;0")=0,"",SUMIFS(Countries!$AR$5:$AR$434,Countries!$A$5:$A$434,"All landing pages",Countries!$D$5:$D$434,$A487,Countries!$AK$5:$AK$434,"&gt;0")/SUMIFS(Countries!$AK$5:$AK$434,Countries!$A$5:$A$434,"All landing pages",Countries!$D$5:$D$434,$A487,Countries!$AR$5:$AR$434,"&gt;0"))</f>
        <v/>
      </c>
      <c r="O487" s="43">
        <f>IF(SUMIFS(Countries!$AL$5:$AL$434,Countries!$A$5:$A$434,"All landing pages",Countries!$D$5:$D$434,$A487,Countries!$AS$5:$AS$434,"&gt;0")=0,"",SUMIFS(Countries!$AS$5:$AS$434,Countries!$A$5:$A$434,"All landing pages",Countries!$D$5:$D$434,$A487,Countries!$AL$5:$AL$434,"&gt;0")/SUMIFS(Countries!$AL$5:$AL$434,Countries!$A$5:$A$434,"All landing pages",Countries!$D$5:$D$434,$A487,Countries!$AS$5:$AS$434,"&gt;0"))</f>
        <v/>
      </c>
      <c r="P487" s="44">
        <f>IF(OR(N487="",O487=""),"",(O487-N487)*100)</f>
        <v/>
      </c>
      <c r="Q487" s="73" t="n"/>
    </row>
    <row r="488">
      <c r="A488" s="56" t="inlineStr">
        <is>
          <t>Bangladesh</t>
        </is>
      </c>
      <c r="B488" s="43">
        <f>IF(SUMIFS(Countries!$AK$5:$AK$434,Countries!$A$5:$A$434,"All landing pages",Countries!$B$5:$B$434,"Paid Search",Countries!$D$5:$D$434,$A488,Countries!$AR$5:$AR$434,"&gt;0")=0,"",SUMIFS(Countries!$AR$5:$AR$434,Countries!$A$5:$A$434,"All landing pages",Countries!$B$5:$B$434,"Paid Search",Countries!$D$5:$D$434,$A488,Countries!$AK$5:$AK$434,"&gt;0")/SUMIFS(Countries!$AK$5:$AK$434,Countries!$A$5:$A$434,"All landing pages",Countries!$B$5:$B$434,"Paid Search",Countries!$D$5:$D$434,$A488,Countries!$AR$5:$AR$434,"&gt;0"))</f>
        <v/>
      </c>
      <c r="C488" s="43">
        <f>IF(SUMIFS(Countries!$AL$5:$AL$434,Countries!$A$5:$A$434,"All landing pages",Countries!$B$5:$B$434,"Paid Search",Countries!$D$5:$D$434,$A488,Countries!$AS$5:$AS$434,"&gt;0")=0,"",SUMIFS(Countries!$AS$5:$AS$434,Countries!$A$5:$A$434,"All landing pages",Countries!$B$5:$B$434,"Paid Search",Countries!$D$5:$D$434,$A488,Countries!$AL$5:$AL$434,"&gt;0")/SUMIFS(Countries!$AL$5:$AL$434,Countries!$A$5:$A$434,"All landing pages",Countries!$B$5:$B$434,"Paid Search",Countries!$D$5:$D$434,$A488,Countries!$AS$5:$AS$434,"&gt;0"))</f>
        <v/>
      </c>
      <c r="D488" s="44">
        <f>IF(OR(B488="",C488=""),"",(C488-B488)*100)</f>
        <v/>
      </c>
      <c r="E488" s="73" t="n"/>
      <c r="F488" s="43">
        <f>IF(SUMIFS(Countries!$AK$5:$AK$434,Countries!$A$5:$A$434,"All landing pages",Countries!$B$5:$B$434,"Organic",Countries!$D$5:$D$434,$A488,Countries!$AR$5:$AR$434,"&gt;0")=0,"",SUMIFS(Countries!$AR$5:$AR$434,Countries!$A$5:$A$434,"All landing pages",Countries!$B$5:$B$434,"Organic",Countries!$D$5:$D$434,$A488,Countries!$AK$5:$AK$434,"&gt;0")/SUMIFS(Countries!$AK$5:$AK$434,Countries!$A$5:$A$434,"All landing pages",Countries!$B$5:$B$434,"Organic",Countries!$D$5:$D$434,$A488,Countries!$AR$5:$AR$434,"&gt;0"))</f>
        <v/>
      </c>
      <c r="G488" s="43">
        <f>IF(SUMIFS(Countries!$AL$5:$AL$434,Countries!$A$5:$A$434,"All landing pages",Countries!$B$5:$B$434,"Organic",Countries!$D$5:$D$434,$A488,Countries!$AS$5:$AS$434,"&gt;0")=0,"",SUMIFS(Countries!$AS$5:$AS$434,Countries!$A$5:$A$434,"All landing pages",Countries!$B$5:$B$434,"Organic",Countries!$D$5:$D$434,$A488,Countries!$AL$5:$AL$434,"&gt;0")/SUMIFS(Countries!$AL$5:$AL$434,Countries!$A$5:$A$434,"All landing pages",Countries!$B$5:$B$434,"Organic",Countries!$D$5:$D$434,$A488,Countries!$AS$5:$AS$434,"&gt;0"))</f>
        <v/>
      </c>
      <c r="H488" s="44">
        <f>IF(OR(F488="",G488=""),"",(G488-F488)*100)</f>
        <v/>
      </c>
      <c r="I488" s="73" t="n"/>
      <c r="J488" s="43">
        <f>IF(SUMIFS(Countries!$AK$5:$AK$434,Countries!$A$5:$A$434,"All landing pages",Countries!$B$5:$B$434,"Direct",Countries!$D$5:$D$434,$A488,Countries!$AR$5:$AR$434,"&gt;0")=0,"",SUMIFS(Countries!$AR$5:$AR$434,Countries!$A$5:$A$434,"All landing pages",Countries!$B$5:$B$434,"Direct",Countries!$D$5:$D$434,$A488,Countries!$AK$5:$AK$434,"&gt;0")/SUMIFS(Countries!$AK$5:$AK$434,Countries!$A$5:$A$434,"All landing pages",Countries!$B$5:$B$434,"Direct",Countries!$D$5:$D$434,$A488,Countries!$AR$5:$AR$434,"&gt;0"))</f>
        <v/>
      </c>
      <c r="K488" s="43">
        <f>IF(SUMIFS(Countries!$AL$5:$AL$434,Countries!$A$5:$A$434,"All landing pages",Countries!$B$5:$B$434,"Direct",Countries!$D$5:$D$434,$A488,Countries!$AS$5:$AS$434,"&gt;0")=0,"",SUMIFS(Countries!$AS$5:$AS$434,Countries!$A$5:$A$434,"All landing pages",Countries!$B$5:$B$434,"Direct",Countries!$D$5:$D$434,$A488,Countries!$AL$5:$AL$434,"&gt;0")/SUMIFS(Countries!$AL$5:$AL$434,Countries!$A$5:$A$434,"All landing pages",Countries!$B$5:$B$434,"Direct",Countries!$D$5:$D$434,$A488,Countries!$AS$5:$AS$434,"&gt;0"))</f>
        <v/>
      </c>
      <c r="L488" s="44">
        <f>IF(OR(J488="",K488=""),"",(K488-J488)*100)</f>
        <v/>
      </c>
      <c r="M488" s="73" t="n"/>
      <c r="N488" s="43">
        <f>IF(SUMIFS(Countries!$AK$5:$AK$434,Countries!$A$5:$A$434,"All landing pages",Countries!$D$5:$D$434,$A488,Countries!$AR$5:$AR$434,"&gt;0")=0,"",SUMIFS(Countries!$AR$5:$AR$434,Countries!$A$5:$A$434,"All landing pages",Countries!$D$5:$D$434,$A488,Countries!$AK$5:$AK$434,"&gt;0")/SUMIFS(Countries!$AK$5:$AK$434,Countries!$A$5:$A$434,"All landing pages",Countries!$D$5:$D$434,$A488,Countries!$AR$5:$AR$434,"&gt;0"))</f>
        <v/>
      </c>
      <c r="O488" s="43">
        <f>IF(SUMIFS(Countries!$AL$5:$AL$434,Countries!$A$5:$A$434,"All landing pages",Countries!$D$5:$D$434,$A488,Countries!$AS$5:$AS$434,"&gt;0")=0,"",SUMIFS(Countries!$AS$5:$AS$434,Countries!$A$5:$A$434,"All landing pages",Countries!$D$5:$D$434,$A488,Countries!$AL$5:$AL$434,"&gt;0")/SUMIFS(Countries!$AL$5:$AL$434,Countries!$A$5:$A$434,"All landing pages",Countries!$D$5:$D$434,$A488,Countries!$AS$5:$AS$434,"&gt;0"))</f>
        <v/>
      </c>
      <c r="P488" s="44">
        <f>IF(OR(N488="",O488=""),"",(O488-N488)*100)</f>
        <v/>
      </c>
      <c r="Q488" s="73" t="n"/>
    </row>
    <row r="489">
      <c r="A489" s="40" t="inlineStr">
        <is>
          <t>Brazil</t>
        </is>
      </c>
      <c r="B489" s="43">
        <f>IF(SUMIFS(Countries!$AK$5:$AK$434,Countries!$A$5:$A$434,"All landing pages",Countries!$B$5:$B$434,"Paid Search",Countries!$D$5:$D$434,$A489,Countries!$AR$5:$AR$434,"&gt;0")=0,"",SUMIFS(Countries!$AR$5:$AR$434,Countries!$A$5:$A$434,"All landing pages",Countries!$B$5:$B$434,"Paid Search",Countries!$D$5:$D$434,$A489,Countries!$AK$5:$AK$434,"&gt;0")/SUMIFS(Countries!$AK$5:$AK$434,Countries!$A$5:$A$434,"All landing pages",Countries!$B$5:$B$434,"Paid Search",Countries!$D$5:$D$434,$A489,Countries!$AR$5:$AR$434,"&gt;0"))</f>
        <v/>
      </c>
      <c r="C489" s="43">
        <f>IF(SUMIFS(Countries!$AL$5:$AL$434,Countries!$A$5:$A$434,"All landing pages",Countries!$B$5:$B$434,"Paid Search",Countries!$D$5:$D$434,$A489,Countries!$AS$5:$AS$434,"&gt;0")=0,"",SUMIFS(Countries!$AS$5:$AS$434,Countries!$A$5:$A$434,"All landing pages",Countries!$B$5:$B$434,"Paid Search",Countries!$D$5:$D$434,$A489,Countries!$AL$5:$AL$434,"&gt;0")/SUMIFS(Countries!$AL$5:$AL$434,Countries!$A$5:$A$434,"All landing pages",Countries!$B$5:$B$434,"Paid Search",Countries!$D$5:$D$434,$A489,Countries!$AS$5:$AS$434,"&gt;0"))</f>
        <v/>
      </c>
      <c r="D489" s="44">
        <f>IF(OR(B489="",C489=""),"",(C489-B489)*100)</f>
        <v/>
      </c>
      <c r="E489" s="73" t="n"/>
      <c r="F489" s="43">
        <f>IF(SUMIFS(Countries!$AK$5:$AK$434,Countries!$A$5:$A$434,"All landing pages",Countries!$B$5:$B$434,"Organic",Countries!$D$5:$D$434,$A489,Countries!$AR$5:$AR$434,"&gt;0")=0,"",SUMIFS(Countries!$AR$5:$AR$434,Countries!$A$5:$A$434,"All landing pages",Countries!$B$5:$B$434,"Organic",Countries!$D$5:$D$434,$A489,Countries!$AK$5:$AK$434,"&gt;0")/SUMIFS(Countries!$AK$5:$AK$434,Countries!$A$5:$A$434,"All landing pages",Countries!$B$5:$B$434,"Organic",Countries!$D$5:$D$434,$A489,Countries!$AR$5:$AR$434,"&gt;0"))</f>
        <v/>
      </c>
      <c r="G489" s="43">
        <f>IF(SUMIFS(Countries!$AL$5:$AL$434,Countries!$A$5:$A$434,"All landing pages",Countries!$B$5:$B$434,"Organic",Countries!$D$5:$D$434,$A489,Countries!$AS$5:$AS$434,"&gt;0")=0,"",SUMIFS(Countries!$AS$5:$AS$434,Countries!$A$5:$A$434,"All landing pages",Countries!$B$5:$B$434,"Organic",Countries!$D$5:$D$434,$A489,Countries!$AL$5:$AL$434,"&gt;0")/SUMIFS(Countries!$AL$5:$AL$434,Countries!$A$5:$A$434,"All landing pages",Countries!$B$5:$B$434,"Organic",Countries!$D$5:$D$434,$A489,Countries!$AS$5:$AS$434,"&gt;0"))</f>
        <v/>
      </c>
      <c r="H489" s="44">
        <f>IF(OR(F489="",G489=""),"",(G489-F489)*100)</f>
        <v/>
      </c>
      <c r="I489" s="73" t="n"/>
      <c r="J489" s="43">
        <f>IF(SUMIFS(Countries!$AK$5:$AK$434,Countries!$A$5:$A$434,"All landing pages",Countries!$B$5:$B$434,"Direct",Countries!$D$5:$D$434,$A489,Countries!$AR$5:$AR$434,"&gt;0")=0,"",SUMIFS(Countries!$AR$5:$AR$434,Countries!$A$5:$A$434,"All landing pages",Countries!$B$5:$B$434,"Direct",Countries!$D$5:$D$434,$A489,Countries!$AK$5:$AK$434,"&gt;0")/SUMIFS(Countries!$AK$5:$AK$434,Countries!$A$5:$A$434,"All landing pages",Countries!$B$5:$B$434,"Direct",Countries!$D$5:$D$434,$A489,Countries!$AR$5:$AR$434,"&gt;0"))</f>
        <v/>
      </c>
      <c r="K489" s="43">
        <f>IF(SUMIFS(Countries!$AL$5:$AL$434,Countries!$A$5:$A$434,"All landing pages",Countries!$B$5:$B$434,"Direct",Countries!$D$5:$D$434,$A489,Countries!$AS$5:$AS$434,"&gt;0")=0,"",SUMIFS(Countries!$AS$5:$AS$434,Countries!$A$5:$A$434,"All landing pages",Countries!$B$5:$B$434,"Direct",Countries!$D$5:$D$434,$A489,Countries!$AL$5:$AL$434,"&gt;0")/SUMIFS(Countries!$AL$5:$AL$434,Countries!$A$5:$A$434,"All landing pages",Countries!$B$5:$B$434,"Direct",Countries!$D$5:$D$434,$A489,Countries!$AS$5:$AS$434,"&gt;0"))</f>
        <v/>
      </c>
      <c r="L489" s="44">
        <f>IF(OR(J489="",K489=""),"",(K489-J489)*100)</f>
        <v/>
      </c>
      <c r="M489" s="73" t="n"/>
      <c r="N489" s="43">
        <f>IF(SUMIFS(Countries!$AK$5:$AK$434,Countries!$A$5:$A$434,"All landing pages",Countries!$D$5:$D$434,$A489,Countries!$AR$5:$AR$434,"&gt;0")=0,"",SUMIFS(Countries!$AR$5:$AR$434,Countries!$A$5:$A$434,"All landing pages",Countries!$D$5:$D$434,$A489,Countries!$AK$5:$AK$434,"&gt;0")/SUMIFS(Countries!$AK$5:$AK$434,Countries!$A$5:$A$434,"All landing pages",Countries!$D$5:$D$434,$A489,Countries!$AR$5:$AR$434,"&gt;0"))</f>
        <v/>
      </c>
      <c r="O489" s="43">
        <f>IF(SUMIFS(Countries!$AL$5:$AL$434,Countries!$A$5:$A$434,"All landing pages",Countries!$D$5:$D$434,$A489,Countries!$AS$5:$AS$434,"&gt;0")=0,"",SUMIFS(Countries!$AS$5:$AS$434,Countries!$A$5:$A$434,"All landing pages",Countries!$D$5:$D$434,$A489,Countries!$AL$5:$AL$434,"&gt;0")/SUMIFS(Countries!$AL$5:$AL$434,Countries!$A$5:$A$434,"All landing pages",Countries!$D$5:$D$434,$A489,Countries!$AS$5:$AS$434,"&gt;0"))</f>
        <v/>
      </c>
      <c r="P489" s="44">
        <f>IF(OR(N489="",O489=""),"",(O489-N489)*100)</f>
        <v/>
      </c>
      <c r="Q489" s="73" t="n"/>
    </row>
    <row r="490">
      <c r="A490" s="56" t="inlineStr">
        <is>
          <t>China</t>
        </is>
      </c>
      <c r="B490" s="43">
        <f>IF(SUMIFS(Countries!$AK$5:$AK$434,Countries!$A$5:$A$434,"All landing pages",Countries!$B$5:$B$434,"Paid Search",Countries!$D$5:$D$434,$A490,Countries!$AR$5:$AR$434,"&gt;0")=0,"",SUMIFS(Countries!$AR$5:$AR$434,Countries!$A$5:$A$434,"All landing pages",Countries!$B$5:$B$434,"Paid Search",Countries!$D$5:$D$434,$A490,Countries!$AK$5:$AK$434,"&gt;0")/SUMIFS(Countries!$AK$5:$AK$434,Countries!$A$5:$A$434,"All landing pages",Countries!$B$5:$B$434,"Paid Search",Countries!$D$5:$D$434,$A490,Countries!$AR$5:$AR$434,"&gt;0"))</f>
        <v/>
      </c>
      <c r="C490" s="43">
        <f>IF(SUMIFS(Countries!$AL$5:$AL$434,Countries!$A$5:$A$434,"All landing pages",Countries!$B$5:$B$434,"Paid Search",Countries!$D$5:$D$434,$A490,Countries!$AS$5:$AS$434,"&gt;0")=0,"",SUMIFS(Countries!$AS$5:$AS$434,Countries!$A$5:$A$434,"All landing pages",Countries!$B$5:$B$434,"Paid Search",Countries!$D$5:$D$434,$A490,Countries!$AL$5:$AL$434,"&gt;0")/SUMIFS(Countries!$AL$5:$AL$434,Countries!$A$5:$A$434,"All landing pages",Countries!$B$5:$B$434,"Paid Search",Countries!$D$5:$D$434,$A490,Countries!$AS$5:$AS$434,"&gt;0"))</f>
        <v/>
      </c>
      <c r="D490" s="44">
        <f>IF(OR(B490="",C490=""),"",(C490-B490)*100)</f>
        <v/>
      </c>
      <c r="E490" s="73" t="n"/>
      <c r="F490" s="43">
        <f>IF(SUMIFS(Countries!$AK$5:$AK$434,Countries!$A$5:$A$434,"All landing pages",Countries!$B$5:$B$434,"Organic",Countries!$D$5:$D$434,$A490,Countries!$AR$5:$AR$434,"&gt;0")=0,"",SUMIFS(Countries!$AR$5:$AR$434,Countries!$A$5:$A$434,"All landing pages",Countries!$B$5:$B$434,"Organic",Countries!$D$5:$D$434,$A490,Countries!$AK$5:$AK$434,"&gt;0")/SUMIFS(Countries!$AK$5:$AK$434,Countries!$A$5:$A$434,"All landing pages",Countries!$B$5:$B$434,"Organic",Countries!$D$5:$D$434,$A490,Countries!$AR$5:$AR$434,"&gt;0"))</f>
        <v/>
      </c>
      <c r="G490" s="43">
        <f>IF(SUMIFS(Countries!$AL$5:$AL$434,Countries!$A$5:$A$434,"All landing pages",Countries!$B$5:$B$434,"Organic",Countries!$D$5:$D$434,$A490,Countries!$AS$5:$AS$434,"&gt;0")=0,"",SUMIFS(Countries!$AS$5:$AS$434,Countries!$A$5:$A$434,"All landing pages",Countries!$B$5:$B$434,"Organic",Countries!$D$5:$D$434,$A490,Countries!$AL$5:$AL$434,"&gt;0")/SUMIFS(Countries!$AL$5:$AL$434,Countries!$A$5:$A$434,"All landing pages",Countries!$B$5:$B$434,"Organic",Countries!$D$5:$D$434,$A490,Countries!$AS$5:$AS$434,"&gt;0"))</f>
        <v/>
      </c>
      <c r="H490" s="44">
        <f>IF(OR(F490="",G490=""),"",(G490-F490)*100)</f>
        <v/>
      </c>
      <c r="I490" s="73" t="n"/>
      <c r="J490" s="43">
        <f>IF(SUMIFS(Countries!$AK$5:$AK$434,Countries!$A$5:$A$434,"All landing pages",Countries!$B$5:$B$434,"Direct",Countries!$D$5:$D$434,$A490,Countries!$AR$5:$AR$434,"&gt;0")=0,"",SUMIFS(Countries!$AR$5:$AR$434,Countries!$A$5:$A$434,"All landing pages",Countries!$B$5:$B$434,"Direct",Countries!$D$5:$D$434,$A490,Countries!$AK$5:$AK$434,"&gt;0")/SUMIFS(Countries!$AK$5:$AK$434,Countries!$A$5:$A$434,"All landing pages",Countries!$B$5:$B$434,"Direct",Countries!$D$5:$D$434,$A490,Countries!$AR$5:$AR$434,"&gt;0"))</f>
        <v/>
      </c>
      <c r="K490" s="43">
        <f>IF(SUMIFS(Countries!$AL$5:$AL$434,Countries!$A$5:$A$434,"All landing pages",Countries!$B$5:$B$434,"Direct",Countries!$D$5:$D$434,$A490,Countries!$AS$5:$AS$434,"&gt;0")=0,"",SUMIFS(Countries!$AS$5:$AS$434,Countries!$A$5:$A$434,"All landing pages",Countries!$B$5:$B$434,"Direct",Countries!$D$5:$D$434,$A490,Countries!$AL$5:$AL$434,"&gt;0")/SUMIFS(Countries!$AL$5:$AL$434,Countries!$A$5:$A$434,"All landing pages",Countries!$B$5:$B$434,"Direct",Countries!$D$5:$D$434,$A490,Countries!$AS$5:$AS$434,"&gt;0"))</f>
        <v/>
      </c>
      <c r="L490" s="44">
        <f>IF(OR(J490="",K490=""),"",(K490-J490)*100)</f>
        <v/>
      </c>
      <c r="M490" s="73" t="n"/>
      <c r="N490" s="43">
        <f>IF(SUMIFS(Countries!$AK$5:$AK$434,Countries!$A$5:$A$434,"All landing pages",Countries!$D$5:$D$434,$A490,Countries!$AR$5:$AR$434,"&gt;0")=0,"",SUMIFS(Countries!$AR$5:$AR$434,Countries!$A$5:$A$434,"All landing pages",Countries!$D$5:$D$434,$A490,Countries!$AK$5:$AK$434,"&gt;0")/SUMIFS(Countries!$AK$5:$AK$434,Countries!$A$5:$A$434,"All landing pages",Countries!$D$5:$D$434,$A490,Countries!$AR$5:$AR$434,"&gt;0"))</f>
        <v/>
      </c>
      <c r="O490" s="43">
        <f>IF(SUMIFS(Countries!$AL$5:$AL$434,Countries!$A$5:$A$434,"All landing pages",Countries!$D$5:$D$434,$A490,Countries!$AS$5:$AS$434,"&gt;0")=0,"",SUMIFS(Countries!$AS$5:$AS$434,Countries!$A$5:$A$434,"All landing pages",Countries!$D$5:$D$434,$A490,Countries!$AL$5:$AL$434,"&gt;0")/SUMIFS(Countries!$AL$5:$AL$434,Countries!$A$5:$A$434,"All landing pages",Countries!$D$5:$D$434,$A490,Countries!$AS$5:$AS$434,"&gt;0"))</f>
        <v/>
      </c>
      <c r="P490" s="44">
        <f>IF(OR(N490="",O490=""),"",(O490-N490)*100)</f>
        <v/>
      </c>
      <c r="Q490" s="73" t="n"/>
    </row>
    <row r="491">
      <c r="A491" s="40" t="inlineStr">
        <is>
          <t>Croatia</t>
        </is>
      </c>
      <c r="B491" s="43">
        <f>IF(SUMIFS(Countries!$AK$5:$AK$434,Countries!$A$5:$A$434,"All landing pages",Countries!$B$5:$B$434,"Paid Search",Countries!$D$5:$D$434,$A491,Countries!$AR$5:$AR$434,"&gt;0")=0,"",SUMIFS(Countries!$AR$5:$AR$434,Countries!$A$5:$A$434,"All landing pages",Countries!$B$5:$B$434,"Paid Search",Countries!$D$5:$D$434,$A491,Countries!$AK$5:$AK$434,"&gt;0")/SUMIFS(Countries!$AK$5:$AK$434,Countries!$A$5:$A$434,"All landing pages",Countries!$B$5:$B$434,"Paid Search",Countries!$D$5:$D$434,$A491,Countries!$AR$5:$AR$434,"&gt;0"))</f>
        <v/>
      </c>
      <c r="C491" s="43">
        <f>IF(SUMIFS(Countries!$AL$5:$AL$434,Countries!$A$5:$A$434,"All landing pages",Countries!$B$5:$B$434,"Paid Search",Countries!$D$5:$D$434,$A491,Countries!$AS$5:$AS$434,"&gt;0")=0,"",SUMIFS(Countries!$AS$5:$AS$434,Countries!$A$5:$A$434,"All landing pages",Countries!$B$5:$B$434,"Paid Search",Countries!$D$5:$D$434,$A491,Countries!$AL$5:$AL$434,"&gt;0")/SUMIFS(Countries!$AL$5:$AL$434,Countries!$A$5:$A$434,"All landing pages",Countries!$B$5:$B$434,"Paid Search",Countries!$D$5:$D$434,$A491,Countries!$AS$5:$AS$434,"&gt;0"))</f>
        <v/>
      </c>
      <c r="D491" s="44">
        <f>IF(OR(B491="",C491=""),"",(C491-B491)*100)</f>
        <v/>
      </c>
      <c r="E491" s="73" t="n"/>
      <c r="F491" s="43">
        <f>IF(SUMIFS(Countries!$AK$5:$AK$434,Countries!$A$5:$A$434,"All landing pages",Countries!$B$5:$B$434,"Organic",Countries!$D$5:$D$434,$A491,Countries!$AR$5:$AR$434,"&gt;0")=0,"",SUMIFS(Countries!$AR$5:$AR$434,Countries!$A$5:$A$434,"All landing pages",Countries!$B$5:$B$434,"Organic",Countries!$D$5:$D$434,$A491,Countries!$AK$5:$AK$434,"&gt;0")/SUMIFS(Countries!$AK$5:$AK$434,Countries!$A$5:$A$434,"All landing pages",Countries!$B$5:$B$434,"Organic",Countries!$D$5:$D$434,$A491,Countries!$AR$5:$AR$434,"&gt;0"))</f>
        <v/>
      </c>
      <c r="G491" s="43">
        <f>IF(SUMIFS(Countries!$AL$5:$AL$434,Countries!$A$5:$A$434,"All landing pages",Countries!$B$5:$B$434,"Organic",Countries!$D$5:$D$434,$A491,Countries!$AS$5:$AS$434,"&gt;0")=0,"",SUMIFS(Countries!$AS$5:$AS$434,Countries!$A$5:$A$434,"All landing pages",Countries!$B$5:$B$434,"Organic",Countries!$D$5:$D$434,$A491,Countries!$AL$5:$AL$434,"&gt;0")/SUMIFS(Countries!$AL$5:$AL$434,Countries!$A$5:$A$434,"All landing pages",Countries!$B$5:$B$434,"Organic",Countries!$D$5:$D$434,$A491,Countries!$AS$5:$AS$434,"&gt;0"))</f>
        <v/>
      </c>
      <c r="H491" s="44">
        <f>IF(OR(F491="",G491=""),"",(G491-F491)*100)</f>
        <v/>
      </c>
      <c r="I491" s="73" t="n"/>
      <c r="J491" s="43">
        <f>IF(SUMIFS(Countries!$AK$5:$AK$434,Countries!$A$5:$A$434,"All landing pages",Countries!$B$5:$B$434,"Direct",Countries!$D$5:$D$434,$A491,Countries!$AR$5:$AR$434,"&gt;0")=0,"",SUMIFS(Countries!$AR$5:$AR$434,Countries!$A$5:$A$434,"All landing pages",Countries!$B$5:$B$434,"Direct",Countries!$D$5:$D$434,$A491,Countries!$AK$5:$AK$434,"&gt;0")/SUMIFS(Countries!$AK$5:$AK$434,Countries!$A$5:$A$434,"All landing pages",Countries!$B$5:$B$434,"Direct",Countries!$D$5:$D$434,$A491,Countries!$AR$5:$AR$434,"&gt;0"))</f>
        <v/>
      </c>
      <c r="K491" s="43">
        <f>IF(SUMIFS(Countries!$AL$5:$AL$434,Countries!$A$5:$A$434,"All landing pages",Countries!$B$5:$B$434,"Direct",Countries!$D$5:$D$434,$A491,Countries!$AS$5:$AS$434,"&gt;0")=0,"",SUMIFS(Countries!$AS$5:$AS$434,Countries!$A$5:$A$434,"All landing pages",Countries!$B$5:$B$434,"Direct",Countries!$D$5:$D$434,$A491,Countries!$AL$5:$AL$434,"&gt;0")/SUMIFS(Countries!$AL$5:$AL$434,Countries!$A$5:$A$434,"All landing pages",Countries!$B$5:$B$434,"Direct",Countries!$D$5:$D$434,$A491,Countries!$AS$5:$AS$434,"&gt;0"))</f>
        <v/>
      </c>
      <c r="L491" s="44">
        <f>IF(OR(J491="",K491=""),"",(K491-J491)*100)</f>
        <v/>
      </c>
      <c r="M491" s="73" t="n"/>
      <c r="N491" s="43">
        <f>IF(SUMIFS(Countries!$AK$5:$AK$434,Countries!$A$5:$A$434,"All landing pages",Countries!$D$5:$D$434,$A491,Countries!$AR$5:$AR$434,"&gt;0")=0,"",SUMIFS(Countries!$AR$5:$AR$434,Countries!$A$5:$A$434,"All landing pages",Countries!$D$5:$D$434,$A491,Countries!$AK$5:$AK$434,"&gt;0")/SUMIFS(Countries!$AK$5:$AK$434,Countries!$A$5:$A$434,"All landing pages",Countries!$D$5:$D$434,$A491,Countries!$AR$5:$AR$434,"&gt;0"))</f>
        <v/>
      </c>
      <c r="O491" s="43">
        <f>IF(SUMIFS(Countries!$AL$5:$AL$434,Countries!$A$5:$A$434,"All landing pages",Countries!$D$5:$D$434,$A491,Countries!$AS$5:$AS$434,"&gt;0")=0,"",SUMIFS(Countries!$AS$5:$AS$434,Countries!$A$5:$A$434,"All landing pages",Countries!$D$5:$D$434,$A491,Countries!$AL$5:$AL$434,"&gt;0")/SUMIFS(Countries!$AL$5:$AL$434,Countries!$A$5:$A$434,"All landing pages",Countries!$D$5:$D$434,$A491,Countries!$AS$5:$AS$434,"&gt;0"))</f>
        <v/>
      </c>
      <c r="P491" s="44">
        <f>IF(OR(N491="",O491=""),"",(O491-N491)*100)</f>
        <v/>
      </c>
      <c r="Q491" s="73" t="n"/>
    </row>
    <row r="492">
      <c r="A492" s="56" t="inlineStr">
        <is>
          <t>Honduras</t>
        </is>
      </c>
      <c r="B492" s="43">
        <f>IF(SUMIFS(Countries!$AK$5:$AK$434,Countries!$A$5:$A$434,"All landing pages",Countries!$B$5:$B$434,"Paid Search",Countries!$D$5:$D$434,$A492,Countries!$AR$5:$AR$434,"&gt;0")=0,"",SUMIFS(Countries!$AR$5:$AR$434,Countries!$A$5:$A$434,"All landing pages",Countries!$B$5:$B$434,"Paid Search",Countries!$D$5:$D$434,$A492,Countries!$AK$5:$AK$434,"&gt;0")/SUMIFS(Countries!$AK$5:$AK$434,Countries!$A$5:$A$434,"All landing pages",Countries!$B$5:$B$434,"Paid Search",Countries!$D$5:$D$434,$A492,Countries!$AR$5:$AR$434,"&gt;0"))</f>
        <v/>
      </c>
      <c r="C492" s="43">
        <f>IF(SUMIFS(Countries!$AL$5:$AL$434,Countries!$A$5:$A$434,"All landing pages",Countries!$B$5:$B$434,"Paid Search",Countries!$D$5:$D$434,$A492,Countries!$AS$5:$AS$434,"&gt;0")=0,"",SUMIFS(Countries!$AS$5:$AS$434,Countries!$A$5:$A$434,"All landing pages",Countries!$B$5:$B$434,"Paid Search",Countries!$D$5:$D$434,$A492,Countries!$AL$5:$AL$434,"&gt;0")/SUMIFS(Countries!$AL$5:$AL$434,Countries!$A$5:$A$434,"All landing pages",Countries!$B$5:$B$434,"Paid Search",Countries!$D$5:$D$434,$A492,Countries!$AS$5:$AS$434,"&gt;0"))</f>
        <v/>
      </c>
      <c r="D492" s="44">
        <f>IF(OR(B492="",C492=""),"",(C492-B492)*100)</f>
        <v/>
      </c>
      <c r="E492" s="73" t="n"/>
      <c r="F492" s="43">
        <f>IF(SUMIFS(Countries!$AK$5:$AK$434,Countries!$A$5:$A$434,"All landing pages",Countries!$B$5:$B$434,"Organic",Countries!$D$5:$D$434,$A492,Countries!$AR$5:$AR$434,"&gt;0")=0,"",SUMIFS(Countries!$AR$5:$AR$434,Countries!$A$5:$A$434,"All landing pages",Countries!$B$5:$B$434,"Organic",Countries!$D$5:$D$434,$A492,Countries!$AK$5:$AK$434,"&gt;0")/SUMIFS(Countries!$AK$5:$AK$434,Countries!$A$5:$A$434,"All landing pages",Countries!$B$5:$B$434,"Organic",Countries!$D$5:$D$434,$A492,Countries!$AR$5:$AR$434,"&gt;0"))</f>
        <v/>
      </c>
      <c r="G492" s="43">
        <f>IF(SUMIFS(Countries!$AL$5:$AL$434,Countries!$A$5:$A$434,"All landing pages",Countries!$B$5:$B$434,"Organic",Countries!$D$5:$D$434,$A492,Countries!$AS$5:$AS$434,"&gt;0")=0,"",SUMIFS(Countries!$AS$5:$AS$434,Countries!$A$5:$A$434,"All landing pages",Countries!$B$5:$B$434,"Organic",Countries!$D$5:$D$434,$A492,Countries!$AL$5:$AL$434,"&gt;0")/SUMIFS(Countries!$AL$5:$AL$434,Countries!$A$5:$A$434,"All landing pages",Countries!$B$5:$B$434,"Organic",Countries!$D$5:$D$434,$A492,Countries!$AS$5:$AS$434,"&gt;0"))</f>
        <v/>
      </c>
      <c r="H492" s="44">
        <f>IF(OR(F492="",G492=""),"",(G492-F492)*100)</f>
        <v/>
      </c>
      <c r="I492" s="73" t="n"/>
      <c r="J492" s="43">
        <f>IF(SUMIFS(Countries!$AK$5:$AK$434,Countries!$A$5:$A$434,"All landing pages",Countries!$B$5:$B$434,"Direct",Countries!$D$5:$D$434,$A492,Countries!$AR$5:$AR$434,"&gt;0")=0,"",SUMIFS(Countries!$AR$5:$AR$434,Countries!$A$5:$A$434,"All landing pages",Countries!$B$5:$B$434,"Direct",Countries!$D$5:$D$434,$A492,Countries!$AK$5:$AK$434,"&gt;0")/SUMIFS(Countries!$AK$5:$AK$434,Countries!$A$5:$A$434,"All landing pages",Countries!$B$5:$B$434,"Direct",Countries!$D$5:$D$434,$A492,Countries!$AR$5:$AR$434,"&gt;0"))</f>
        <v/>
      </c>
      <c r="K492" s="43">
        <f>IF(SUMIFS(Countries!$AL$5:$AL$434,Countries!$A$5:$A$434,"All landing pages",Countries!$B$5:$B$434,"Direct",Countries!$D$5:$D$434,$A492,Countries!$AS$5:$AS$434,"&gt;0")=0,"",SUMIFS(Countries!$AS$5:$AS$434,Countries!$A$5:$A$434,"All landing pages",Countries!$B$5:$B$434,"Direct",Countries!$D$5:$D$434,$A492,Countries!$AL$5:$AL$434,"&gt;0")/SUMIFS(Countries!$AL$5:$AL$434,Countries!$A$5:$A$434,"All landing pages",Countries!$B$5:$B$434,"Direct",Countries!$D$5:$D$434,$A492,Countries!$AS$5:$AS$434,"&gt;0"))</f>
        <v/>
      </c>
      <c r="L492" s="44">
        <f>IF(OR(J492="",K492=""),"",(K492-J492)*100)</f>
        <v/>
      </c>
      <c r="M492" s="73" t="n"/>
      <c r="N492" s="43">
        <f>IF(SUMIFS(Countries!$AK$5:$AK$434,Countries!$A$5:$A$434,"All landing pages",Countries!$D$5:$D$434,$A492,Countries!$AR$5:$AR$434,"&gt;0")=0,"",SUMIFS(Countries!$AR$5:$AR$434,Countries!$A$5:$A$434,"All landing pages",Countries!$D$5:$D$434,$A492,Countries!$AK$5:$AK$434,"&gt;0")/SUMIFS(Countries!$AK$5:$AK$434,Countries!$A$5:$A$434,"All landing pages",Countries!$D$5:$D$434,$A492,Countries!$AR$5:$AR$434,"&gt;0"))</f>
        <v/>
      </c>
      <c r="O492" s="43">
        <f>IF(SUMIFS(Countries!$AL$5:$AL$434,Countries!$A$5:$A$434,"All landing pages",Countries!$D$5:$D$434,$A492,Countries!$AS$5:$AS$434,"&gt;0")=0,"",SUMIFS(Countries!$AS$5:$AS$434,Countries!$A$5:$A$434,"All landing pages",Countries!$D$5:$D$434,$A492,Countries!$AL$5:$AL$434,"&gt;0")/SUMIFS(Countries!$AL$5:$AL$434,Countries!$A$5:$A$434,"All landing pages",Countries!$D$5:$D$434,$A492,Countries!$AS$5:$AS$434,"&gt;0"))</f>
        <v/>
      </c>
      <c r="P492" s="44">
        <f>IF(OR(N492="",O492=""),"",(O492-N492)*100)</f>
        <v/>
      </c>
      <c r="Q492" s="73" t="n"/>
    </row>
    <row r="493">
      <c r="A493" s="40" t="inlineStr">
        <is>
          <t>Israel</t>
        </is>
      </c>
      <c r="B493" s="43">
        <f>IF(SUMIFS(Countries!$AK$5:$AK$434,Countries!$A$5:$A$434,"All landing pages",Countries!$B$5:$B$434,"Paid Search",Countries!$D$5:$D$434,$A493,Countries!$AR$5:$AR$434,"&gt;0")=0,"",SUMIFS(Countries!$AR$5:$AR$434,Countries!$A$5:$A$434,"All landing pages",Countries!$B$5:$B$434,"Paid Search",Countries!$D$5:$D$434,$A493,Countries!$AK$5:$AK$434,"&gt;0")/SUMIFS(Countries!$AK$5:$AK$434,Countries!$A$5:$A$434,"All landing pages",Countries!$B$5:$B$434,"Paid Search",Countries!$D$5:$D$434,$A493,Countries!$AR$5:$AR$434,"&gt;0"))</f>
        <v/>
      </c>
      <c r="C493" s="43">
        <f>IF(SUMIFS(Countries!$AL$5:$AL$434,Countries!$A$5:$A$434,"All landing pages",Countries!$B$5:$B$434,"Paid Search",Countries!$D$5:$D$434,$A493,Countries!$AS$5:$AS$434,"&gt;0")=0,"",SUMIFS(Countries!$AS$5:$AS$434,Countries!$A$5:$A$434,"All landing pages",Countries!$B$5:$B$434,"Paid Search",Countries!$D$5:$D$434,$A493,Countries!$AL$5:$AL$434,"&gt;0")/SUMIFS(Countries!$AL$5:$AL$434,Countries!$A$5:$A$434,"All landing pages",Countries!$B$5:$B$434,"Paid Search",Countries!$D$5:$D$434,$A493,Countries!$AS$5:$AS$434,"&gt;0"))</f>
        <v/>
      </c>
      <c r="D493" s="44">
        <f>IF(OR(B493="",C493=""),"",(C493-B493)*100)</f>
        <v/>
      </c>
      <c r="E493" s="73" t="n"/>
      <c r="F493" s="43">
        <f>IF(SUMIFS(Countries!$AK$5:$AK$434,Countries!$A$5:$A$434,"All landing pages",Countries!$B$5:$B$434,"Organic",Countries!$D$5:$D$434,$A493,Countries!$AR$5:$AR$434,"&gt;0")=0,"",SUMIFS(Countries!$AR$5:$AR$434,Countries!$A$5:$A$434,"All landing pages",Countries!$B$5:$B$434,"Organic",Countries!$D$5:$D$434,$A493,Countries!$AK$5:$AK$434,"&gt;0")/SUMIFS(Countries!$AK$5:$AK$434,Countries!$A$5:$A$434,"All landing pages",Countries!$B$5:$B$434,"Organic",Countries!$D$5:$D$434,$A493,Countries!$AR$5:$AR$434,"&gt;0"))</f>
        <v/>
      </c>
      <c r="G493" s="43">
        <f>IF(SUMIFS(Countries!$AL$5:$AL$434,Countries!$A$5:$A$434,"All landing pages",Countries!$B$5:$B$434,"Organic",Countries!$D$5:$D$434,$A493,Countries!$AS$5:$AS$434,"&gt;0")=0,"",SUMIFS(Countries!$AS$5:$AS$434,Countries!$A$5:$A$434,"All landing pages",Countries!$B$5:$B$434,"Organic",Countries!$D$5:$D$434,$A493,Countries!$AL$5:$AL$434,"&gt;0")/SUMIFS(Countries!$AL$5:$AL$434,Countries!$A$5:$A$434,"All landing pages",Countries!$B$5:$B$434,"Organic",Countries!$D$5:$D$434,$A493,Countries!$AS$5:$AS$434,"&gt;0"))</f>
        <v/>
      </c>
      <c r="H493" s="44">
        <f>IF(OR(F493="",G493=""),"",(G493-F493)*100)</f>
        <v/>
      </c>
      <c r="I493" s="73" t="n"/>
      <c r="J493" s="43">
        <f>IF(SUMIFS(Countries!$AK$5:$AK$434,Countries!$A$5:$A$434,"All landing pages",Countries!$B$5:$B$434,"Direct",Countries!$D$5:$D$434,$A493,Countries!$AR$5:$AR$434,"&gt;0")=0,"",SUMIFS(Countries!$AR$5:$AR$434,Countries!$A$5:$A$434,"All landing pages",Countries!$B$5:$B$434,"Direct",Countries!$D$5:$D$434,$A493,Countries!$AK$5:$AK$434,"&gt;0")/SUMIFS(Countries!$AK$5:$AK$434,Countries!$A$5:$A$434,"All landing pages",Countries!$B$5:$B$434,"Direct",Countries!$D$5:$D$434,$A493,Countries!$AR$5:$AR$434,"&gt;0"))</f>
        <v/>
      </c>
      <c r="K493" s="43">
        <f>IF(SUMIFS(Countries!$AL$5:$AL$434,Countries!$A$5:$A$434,"All landing pages",Countries!$B$5:$B$434,"Direct",Countries!$D$5:$D$434,$A493,Countries!$AS$5:$AS$434,"&gt;0")=0,"",SUMIFS(Countries!$AS$5:$AS$434,Countries!$A$5:$A$434,"All landing pages",Countries!$B$5:$B$434,"Direct",Countries!$D$5:$D$434,$A493,Countries!$AL$5:$AL$434,"&gt;0")/SUMIFS(Countries!$AL$5:$AL$434,Countries!$A$5:$A$434,"All landing pages",Countries!$B$5:$B$434,"Direct",Countries!$D$5:$D$434,$A493,Countries!$AS$5:$AS$434,"&gt;0"))</f>
        <v/>
      </c>
      <c r="L493" s="44">
        <f>IF(OR(J493="",K493=""),"",(K493-J493)*100)</f>
        <v/>
      </c>
      <c r="M493" s="73" t="n"/>
      <c r="N493" s="43">
        <f>IF(SUMIFS(Countries!$AK$5:$AK$434,Countries!$A$5:$A$434,"All landing pages",Countries!$D$5:$D$434,$A493,Countries!$AR$5:$AR$434,"&gt;0")=0,"",SUMIFS(Countries!$AR$5:$AR$434,Countries!$A$5:$A$434,"All landing pages",Countries!$D$5:$D$434,$A493,Countries!$AK$5:$AK$434,"&gt;0")/SUMIFS(Countries!$AK$5:$AK$434,Countries!$A$5:$A$434,"All landing pages",Countries!$D$5:$D$434,$A493,Countries!$AR$5:$AR$434,"&gt;0"))</f>
        <v/>
      </c>
      <c r="O493" s="43">
        <f>IF(SUMIFS(Countries!$AL$5:$AL$434,Countries!$A$5:$A$434,"All landing pages",Countries!$D$5:$D$434,$A493,Countries!$AS$5:$AS$434,"&gt;0")=0,"",SUMIFS(Countries!$AS$5:$AS$434,Countries!$A$5:$A$434,"All landing pages",Countries!$D$5:$D$434,$A493,Countries!$AL$5:$AL$434,"&gt;0")/SUMIFS(Countries!$AL$5:$AL$434,Countries!$A$5:$A$434,"All landing pages",Countries!$D$5:$D$434,$A493,Countries!$AS$5:$AS$434,"&gt;0"))</f>
        <v/>
      </c>
      <c r="P493" s="44">
        <f>IF(OR(N493="",O493=""),"",(O493-N493)*100)</f>
        <v/>
      </c>
      <c r="Q493" s="73" t="n"/>
    </row>
    <row r="494">
      <c r="A494" s="56" t="inlineStr">
        <is>
          <t>Philippines</t>
        </is>
      </c>
      <c r="B494" s="43">
        <f>IF(SUMIFS(Countries!$AK$5:$AK$434,Countries!$A$5:$A$434,"All landing pages",Countries!$B$5:$B$434,"Paid Search",Countries!$D$5:$D$434,$A494,Countries!$AR$5:$AR$434,"&gt;0")=0,"",SUMIFS(Countries!$AR$5:$AR$434,Countries!$A$5:$A$434,"All landing pages",Countries!$B$5:$B$434,"Paid Search",Countries!$D$5:$D$434,$A494,Countries!$AK$5:$AK$434,"&gt;0")/SUMIFS(Countries!$AK$5:$AK$434,Countries!$A$5:$A$434,"All landing pages",Countries!$B$5:$B$434,"Paid Search",Countries!$D$5:$D$434,$A494,Countries!$AR$5:$AR$434,"&gt;0"))</f>
        <v/>
      </c>
      <c r="C494" s="43">
        <f>IF(SUMIFS(Countries!$AL$5:$AL$434,Countries!$A$5:$A$434,"All landing pages",Countries!$B$5:$B$434,"Paid Search",Countries!$D$5:$D$434,$A494,Countries!$AS$5:$AS$434,"&gt;0")=0,"",SUMIFS(Countries!$AS$5:$AS$434,Countries!$A$5:$A$434,"All landing pages",Countries!$B$5:$B$434,"Paid Search",Countries!$D$5:$D$434,$A494,Countries!$AL$5:$AL$434,"&gt;0")/SUMIFS(Countries!$AL$5:$AL$434,Countries!$A$5:$A$434,"All landing pages",Countries!$B$5:$B$434,"Paid Search",Countries!$D$5:$D$434,$A494,Countries!$AS$5:$AS$434,"&gt;0"))</f>
        <v/>
      </c>
      <c r="D494" s="44">
        <f>IF(OR(B494="",C494=""),"",(C494-B494)*100)</f>
        <v/>
      </c>
      <c r="E494" s="73" t="n"/>
      <c r="F494" s="43">
        <f>IF(SUMIFS(Countries!$AK$5:$AK$434,Countries!$A$5:$A$434,"All landing pages",Countries!$B$5:$B$434,"Organic",Countries!$D$5:$D$434,$A494,Countries!$AR$5:$AR$434,"&gt;0")=0,"",SUMIFS(Countries!$AR$5:$AR$434,Countries!$A$5:$A$434,"All landing pages",Countries!$B$5:$B$434,"Organic",Countries!$D$5:$D$434,$A494,Countries!$AK$5:$AK$434,"&gt;0")/SUMIFS(Countries!$AK$5:$AK$434,Countries!$A$5:$A$434,"All landing pages",Countries!$B$5:$B$434,"Organic",Countries!$D$5:$D$434,$A494,Countries!$AR$5:$AR$434,"&gt;0"))</f>
        <v/>
      </c>
      <c r="G494" s="43">
        <f>IF(SUMIFS(Countries!$AL$5:$AL$434,Countries!$A$5:$A$434,"All landing pages",Countries!$B$5:$B$434,"Organic",Countries!$D$5:$D$434,$A494,Countries!$AS$5:$AS$434,"&gt;0")=0,"",SUMIFS(Countries!$AS$5:$AS$434,Countries!$A$5:$A$434,"All landing pages",Countries!$B$5:$B$434,"Organic",Countries!$D$5:$D$434,$A494,Countries!$AL$5:$AL$434,"&gt;0")/SUMIFS(Countries!$AL$5:$AL$434,Countries!$A$5:$A$434,"All landing pages",Countries!$B$5:$B$434,"Organic",Countries!$D$5:$D$434,$A494,Countries!$AS$5:$AS$434,"&gt;0"))</f>
        <v/>
      </c>
      <c r="H494" s="44">
        <f>IF(OR(F494="",G494=""),"",(G494-F494)*100)</f>
        <v/>
      </c>
      <c r="I494" s="73" t="n"/>
      <c r="J494" s="43">
        <f>IF(SUMIFS(Countries!$AK$5:$AK$434,Countries!$A$5:$A$434,"All landing pages",Countries!$B$5:$B$434,"Direct",Countries!$D$5:$D$434,$A494,Countries!$AR$5:$AR$434,"&gt;0")=0,"",SUMIFS(Countries!$AR$5:$AR$434,Countries!$A$5:$A$434,"All landing pages",Countries!$B$5:$B$434,"Direct",Countries!$D$5:$D$434,$A494,Countries!$AK$5:$AK$434,"&gt;0")/SUMIFS(Countries!$AK$5:$AK$434,Countries!$A$5:$A$434,"All landing pages",Countries!$B$5:$B$434,"Direct",Countries!$D$5:$D$434,$A494,Countries!$AR$5:$AR$434,"&gt;0"))</f>
        <v/>
      </c>
      <c r="K494" s="43">
        <f>IF(SUMIFS(Countries!$AL$5:$AL$434,Countries!$A$5:$A$434,"All landing pages",Countries!$B$5:$B$434,"Direct",Countries!$D$5:$D$434,$A494,Countries!$AS$5:$AS$434,"&gt;0")=0,"",SUMIFS(Countries!$AS$5:$AS$434,Countries!$A$5:$A$434,"All landing pages",Countries!$B$5:$B$434,"Direct",Countries!$D$5:$D$434,$A494,Countries!$AL$5:$AL$434,"&gt;0")/SUMIFS(Countries!$AL$5:$AL$434,Countries!$A$5:$A$434,"All landing pages",Countries!$B$5:$B$434,"Direct",Countries!$D$5:$D$434,$A494,Countries!$AS$5:$AS$434,"&gt;0"))</f>
        <v/>
      </c>
      <c r="L494" s="44">
        <f>IF(OR(J494="",K494=""),"",(K494-J494)*100)</f>
        <v/>
      </c>
      <c r="M494" s="73" t="n"/>
      <c r="N494" s="43">
        <f>IF(SUMIFS(Countries!$AK$5:$AK$434,Countries!$A$5:$A$434,"All landing pages",Countries!$D$5:$D$434,$A494,Countries!$AR$5:$AR$434,"&gt;0")=0,"",SUMIFS(Countries!$AR$5:$AR$434,Countries!$A$5:$A$434,"All landing pages",Countries!$D$5:$D$434,$A494,Countries!$AK$5:$AK$434,"&gt;0")/SUMIFS(Countries!$AK$5:$AK$434,Countries!$A$5:$A$434,"All landing pages",Countries!$D$5:$D$434,$A494,Countries!$AR$5:$AR$434,"&gt;0"))</f>
        <v/>
      </c>
      <c r="O494" s="43">
        <f>IF(SUMIFS(Countries!$AL$5:$AL$434,Countries!$A$5:$A$434,"All landing pages",Countries!$D$5:$D$434,$A494,Countries!$AS$5:$AS$434,"&gt;0")=0,"",SUMIFS(Countries!$AS$5:$AS$434,Countries!$A$5:$A$434,"All landing pages",Countries!$D$5:$D$434,$A494,Countries!$AL$5:$AL$434,"&gt;0")/SUMIFS(Countries!$AL$5:$AL$434,Countries!$A$5:$A$434,"All landing pages",Countries!$D$5:$D$434,$A494,Countries!$AS$5:$AS$434,"&gt;0"))</f>
        <v/>
      </c>
      <c r="P494" s="44">
        <f>IF(OR(N494="",O494=""),"",(O494-N494)*100)</f>
        <v/>
      </c>
      <c r="Q494" s="73" t="n"/>
    </row>
    <row r="495">
      <c r="A495" s="40" t="inlineStr">
        <is>
          <t>Ukraine</t>
        </is>
      </c>
      <c r="B495" s="43">
        <f>IF(SUMIFS(Countries!$AK$5:$AK$434,Countries!$A$5:$A$434,"All landing pages",Countries!$B$5:$B$434,"Paid Search",Countries!$D$5:$D$434,$A495,Countries!$AR$5:$AR$434,"&gt;0")=0,"",SUMIFS(Countries!$AR$5:$AR$434,Countries!$A$5:$A$434,"All landing pages",Countries!$B$5:$B$434,"Paid Search",Countries!$D$5:$D$434,$A495,Countries!$AK$5:$AK$434,"&gt;0")/SUMIFS(Countries!$AK$5:$AK$434,Countries!$A$5:$A$434,"All landing pages",Countries!$B$5:$B$434,"Paid Search",Countries!$D$5:$D$434,$A495,Countries!$AR$5:$AR$434,"&gt;0"))</f>
        <v/>
      </c>
      <c r="C495" s="43">
        <f>IF(SUMIFS(Countries!$AL$5:$AL$434,Countries!$A$5:$A$434,"All landing pages",Countries!$B$5:$B$434,"Paid Search",Countries!$D$5:$D$434,$A495,Countries!$AS$5:$AS$434,"&gt;0")=0,"",SUMIFS(Countries!$AS$5:$AS$434,Countries!$A$5:$A$434,"All landing pages",Countries!$B$5:$B$434,"Paid Search",Countries!$D$5:$D$434,$A495,Countries!$AL$5:$AL$434,"&gt;0")/SUMIFS(Countries!$AL$5:$AL$434,Countries!$A$5:$A$434,"All landing pages",Countries!$B$5:$B$434,"Paid Search",Countries!$D$5:$D$434,$A495,Countries!$AS$5:$AS$434,"&gt;0"))</f>
        <v/>
      </c>
      <c r="D495" s="44">
        <f>IF(OR(B495="",C495=""),"",(C495-B495)*100)</f>
        <v/>
      </c>
      <c r="E495" s="73" t="n"/>
      <c r="F495" s="43">
        <f>IF(SUMIFS(Countries!$AK$5:$AK$434,Countries!$A$5:$A$434,"All landing pages",Countries!$B$5:$B$434,"Organic",Countries!$D$5:$D$434,$A495,Countries!$AR$5:$AR$434,"&gt;0")=0,"",SUMIFS(Countries!$AR$5:$AR$434,Countries!$A$5:$A$434,"All landing pages",Countries!$B$5:$B$434,"Organic",Countries!$D$5:$D$434,$A495,Countries!$AK$5:$AK$434,"&gt;0")/SUMIFS(Countries!$AK$5:$AK$434,Countries!$A$5:$A$434,"All landing pages",Countries!$B$5:$B$434,"Organic",Countries!$D$5:$D$434,$A495,Countries!$AR$5:$AR$434,"&gt;0"))</f>
        <v/>
      </c>
      <c r="G495" s="43">
        <f>IF(SUMIFS(Countries!$AL$5:$AL$434,Countries!$A$5:$A$434,"All landing pages",Countries!$B$5:$B$434,"Organic",Countries!$D$5:$D$434,$A495,Countries!$AS$5:$AS$434,"&gt;0")=0,"",SUMIFS(Countries!$AS$5:$AS$434,Countries!$A$5:$A$434,"All landing pages",Countries!$B$5:$B$434,"Organic",Countries!$D$5:$D$434,$A495,Countries!$AL$5:$AL$434,"&gt;0")/SUMIFS(Countries!$AL$5:$AL$434,Countries!$A$5:$A$434,"All landing pages",Countries!$B$5:$B$434,"Organic",Countries!$D$5:$D$434,$A495,Countries!$AS$5:$AS$434,"&gt;0"))</f>
        <v/>
      </c>
      <c r="H495" s="44">
        <f>IF(OR(F495="",G495=""),"",(G495-F495)*100)</f>
        <v/>
      </c>
      <c r="I495" s="73" t="n"/>
      <c r="J495" s="43">
        <f>IF(SUMIFS(Countries!$AK$5:$AK$434,Countries!$A$5:$A$434,"All landing pages",Countries!$B$5:$B$434,"Direct",Countries!$D$5:$D$434,$A495,Countries!$AR$5:$AR$434,"&gt;0")=0,"",SUMIFS(Countries!$AR$5:$AR$434,Countries!$A$5:$A$434,"All landing pages",Countries!$B$5:$B$434,"Direct",Countries!$D$5:$D$434,$A495,Countries!$AK$5:$AK$434,"&gt;0")/SUMIFS(Countries!$AK$5:$AK$434,Countries!$A$5:$A$434,"All landing pages",Countries!$B$5:$B$434,"Direct",Countries!$D$5:$D$434,$A495,Countries!$AR$5:$AR$434,"&gt;0"))</f>
        <v/>
      </c>
      <c r="K495" s="43">
        <f>IF(SUMIFS(Countries!$AL$5:$AL$434,Countries!$A$5:$A$434,"All landing pages",Countries!$B$5:$B$434,"Direct",Countries!$D$5:$D$434,$A495,Countries!$AS$5:$AS$434,"&gt;0")=0,"",SUMIFS(Countries!$AS$5:$AS$434,Countries!$A$5:$A$434,"All landing pages",Countries!$B$5:$B$434,"Direct",Countries!$D$5:$D$434,$A495,Countries!$AL$5:$AL$434,"&gt;0")/SUMIFS(Countries!$AL$5:$AL$434,Countries!$A$5:$A$434,"All landing pages",Countries!$B$5:$B$434,"Direct",Countries!$D$5:$D$434,$A495,Countries!$AS$5:$AS$434,"&gt;0"))</f>
        <v/>
      </c>
      <c r="L495" s="44">
        <f>IF(OR(J495="",K495=""),"",(K495-J495)*100)</f>
        <v/>
      </c>
      <c r="M495" s="73" t="n"/>
      <c r="N495" s="43">
        <f>IF(SUMIFS(Countries!$AK$5:$AK$434,Countries!$A$5:$A$434,"All landing pages",Countries!$D$5:$D$434,$A495,Countries!$AR$5:$AR$434,"&gt;0")=0,"",SUMIFS(Countries!$AR$5:$AR$434,Countries!$A$5:$A$434,"All landing pages",Countries!$D$5:$D$434,$A495,Countries!$AK$5:$AK$434,"&gt;0")/SUMIFS(Countries!$AK$5:$AK$434,Countries!$A$5:$A$434,"All landing pages",Countries!$D$5:$D$434,$A495,Countries!$AR$5:$AR$434,"&gt;0"))</f>
        <v/>
      </c>
      <c r="O495" s="43">
        <f>IF(SUMIFS(Countries!$AL$5:$AL$434,Countries!$A$5:$A$434,"All landing pages",Countries!$D$5:$D$434,$A495,Countries!$AS$5:$AS$434,"&gt;0")=0,"",SUMIFS(Countries!$AS$5:$AS$434,Countries!$A$5:$A$434,"All landing pages",Countries!$D$5:$D$434,$A495,Countries!$AL$5:$AL$434,"&gt;0")/SUMIFS(Countries!$AL$5:$AL$434,Countries!$A$5:$A$434,"All landing pages",Countries!$D$5:$D$434,$A495,Countries!$AS$5:$AS$434,"&gt;0"))</f>
        <v/>
      </c>
      <c r="P495" s="44">
        <f>IF(OR(N495="",O495=""),"",(O495-N495)*100)</f>
        <v/>
      </c>
      <c r="Q495" s="73" t="n"/>
    </row>
    <row r="498">
      <c r="A498" s="39" t="inlineStr">
        <is>
          <t>Search→Booking</t>
        </is>
      </c>
    </row>
    <row r="499">
      <c r="A499" s="75" t="inlineStr">
        <is>
          <t>Country</t>
        </is>
      </c>
      <c r="B499" s="30" t="inlineStr">
        <is>
          <t>Paid Search</t>
        </is>
      </c>
      <c r="C499" s="23" t="n"/>
      <c r="D499" s="23" t="n"/>
      <c r="E499" s="23" t="n"/>
      <c r="F499" s="30" t="inlineStr">
        <is>
          <t>Organic</t>
        </is>
      </c>
      <c r="G499" s="23" t="n"/>
      <c r="H499" s="23" t="n"/>
      <c r="I499" s="23" t="n"/>
      <c r="J499" s="30" t="inlineStr">
        <is>
          <t>Direct</t>
        </is>
      </c>
      <c r="K499" s="23" t="n"/>
      <c r="L499" s="23" t="n"/>
      <c r="M499" s="23" t="n"/>
      <c r="N499" s="27" t="inlineStr">
        <is>
          <t>Total</t>
        </is>
      </c>
      <c r="O499" s="17" t="n"/>
      <c r="P499" s="17" t="n"/>
      <c r="Q499" s="17" t="n"/>
    </row>
    <row r="500">
      <c r="A500" s="15" t="n"/>
      <c r="B500" s="27" t="inlineStr">
        <is>
          <t>1-23Aug25</t>
        </is>
      </c>
      <c r="C500" s="27" t="inlineStr">
        <is>
          <t>1-23Aug26</t>
        </is>
      </c>
      <c r="D500" s="27" t="inlineStr">
        <is>
          <t>Δ pp</t>
        </is>
      </c>
      <c r="E500" s="27" t="inlineStr"/>
      <c r="F500" s="27" t="inlineStr">
        <is>
          <t>1-23Aug25</t>
        </is>
      </c>
      <c r="G500" s="27" t="inlineStr">
        <is>
          <t>1-23Aug26</t>
        </is>
      </c>
      <c r="H500" s="27" t="inlineStr">
        <is>
          <t>Δ pp</t>
        </is>
      </c>
      <c r="I500" s="27" t="inlineStr"/>
      <c r="J500" s="27" t="inlineStr">
        <is>
          <t>1-23Aug25</t>
        </is>
      </c>
      <c r="K500" s="27" t="inlineStr">
        <is>
          <t>1-23Aug26</t>
        </is>
      </c>
      <c r="L500" s="27" t="inlineStr">
        <is>
          <t>Δ pp</t>
        </is>
      </c>
      <c r="M500" s="27" t="inlineStr"/>
      <c r="N500" s="27" t="inlineStr">
        <is>
          <t>1-23Aug25</t>
        </is>
      </c>
      <c r="O500" s="27" t="inlineStr">
        <is>
          <t>1-23Aug26</t>
        </is>
      </c>
      <c r="P500" s="27" t="inlineStr">
        <is>
          <t>Δ pp</t>
        </is>
      </c>
      <c r="Q500" s="27" t="inlineStr"/>
    </row>
    <row r="501">
      <c r="A501" s="40" t="inlineStr">
        <is>
          <t>United Kingdom</t>
        </is>
      </c>
      <c r="B501" s="45">
        <f>IF(SUMIFS(Countries!$P$5:$P$434,Countries!$A$5:$A$434,"All landing pages",Countries!$B$5:$B$434,"Paid Search",Countries!$D$5:$D$434,$A501,Countries!$AR$5:$AR$434,"&gt;0")=0,"",SUMIFS(Countries!$AR$5:$AR$434,Countries!$A$5:$A$434,"All landing pages",Countries!$B$5:$B$434,"Paid Search",Countries!$D$5:$D$434,$A501,Countries!$P$5:$P$434,"&gt;0")/SUMIFS(Countries!$P$5:$P$434,Countries!$A$5:$A$434,"All landing pages",Countries!$B$5:$B$434,"Paid Search",Countries!$D$5:$D$434,$A501,Countries!$AR$5:$AR$434,"&gt;0"))</f>
        <v/>
      </c>
      <c r="C501" s="45">
        <f>IF(SUMIFS(Countries!$Q$5:$Q$434,Countries!$A$5:$A$434,"All landing pages",Countries!$B$5:$B$434,"Paid Search",Countries!$D$5:$D$434,$A501,Countries!$AS$5:$AS$434,"&gt;0")=0,"",SUMIFS(Countries!$AS$5:$AS$434,Countries!$A$5:$A$434,"All landing pages",Countries!$B$5:$B$434,"Paid Search",Countries!$D$5:$D$434,$A501,Countries!$Q$5:$Q$434,"&gt;0")/SUMIFS(Countries!$Q$5:$Q$434,Countries!$A$5:$A$434,"All landing pages",Countries!$B$5:$B$434,"Paid Search",Countries!$D$5:$D$434,$A501,Countries!$AS$5:$AS$434,"&gt;0"))</f>
        <v/>
      </c>
      <c r="D501" s="44">
        <f>IF(OR(B501="",C501=""),"",(C501-B501)*100)</f>
        <v/>
      </c>
      <c r="E501" s="73" t="n"/>
      <c r="F501" s="45">
        <f>IF(SUMIFS(Countries!$P$5:$P$434,Countries!$A$5:$A$434,"All landing pages",Countries!$B$5:$B$434,"Organic",Countries!$D$5:$D$434,$A501,Countries!$AR$5:$AR$434,"&gt;0")=0,"",SUMIFS(Countries!$AR$5:$AR$434,Countries!$A$5:$A$434,"All landing pages",Countries!$B$5:$B$434,"Organic",Countries!$D$5:$D$434,$A501,Countries!$P$5:$P$434,"&gt;0")/SUMIFS(Countries!$P$5:$P$434,Countries!$A$5:$A$434,"All landing pages",Countries!$B$5:$B$434,"Organic",Countries!$D$5:$D$434,$A501,Countries!$AR$5:$AR$434,"&gt;0"))</f>
        <v/>
      </c>
      <c r="G501" s="45">
        <f>IF(SUMIFS(Countries!$Q$5:$Q$434,Countries!$A$5:$A$434,"All landing pages",Countries!$B$5:$B$434,"Organic",Countries!$D$5:$D$434,$A501,Countries!$AS$5:$AS$434,"&gt;0")=0,"",SUMIFS(Countries!$AS$5:$AS$434,Countries!$A$5:$A$434,"All landing pages",Countries!$B$5:$B$434,"Organic",Countries!$D$5:$D$434,$A501,Countries!$Q$5:$Q$434,"&gt;0")/SUMIFS(Countries!$Q$5:$Q$434,Countries!$A$5:$A$434,"All landing pages",Countries!$B$5:$B$434,"Organic",Countries!$D$5:$D$434,$A501,Countries!$AS$5:$AS$434,"&gt;0"))</f>
        <v/>
      </c>
      <c r="H501" s="44">
        <f>IF(OR(F501="",G501=""),"",(G501-F501)*100)</f>
        <v/>
      </c>
      <c r="I501" s="73" t="n"/>
      <c r="J501" s="45">
        <f>IF(SUMIFS(Countries!$P$5:$P$434,Countries!$A$5:$A$434,"All landing pages",Countries!$B$5:$B$434,"Direct",Countries!$D$5:$D$434,$A501,Countries!$AR$5:$AR$434,"&gt;0")=0,"",SUMIFS(Countries!$AR$5:$AR$434,Countries!$A$5:$A$434,"All landing pages",Countries!$B$5:$B$434,"Direct",Countries!$D$5:$D$434,$A501,Countries!$P$5:$P$434,"&gt;0")/SUMIFS(Countries!$P$5:$P$434,Countries!$A$5:$A$434,"All landing pages",Countries!$B$5:$B$434,"Direct",Countries!$D$5:$D$434,$A501,Countries!$AR$5:$AR$434,"&gt;0"))</f>
        <v/>
      </c>
      <c r="K501" s="45">
        <f>IF(SUMIFS(Countries!$Q$5:$Q$434,Countries!$A$5:$A$434,"All landing pages",Countries!$B$5:$B$434,"Direct",Countries!$D$5:$D$434,$A501,Countries!$AS$5:$AS$434,"&gt;0")=0,"",SUMIFS(Countries!$AS$5:$AS$434,Countries!$A$5:$A$434,"All landing pages",Countries!$B$5:$B$434,"Direct",Countries!$D$5:$D$434,$A501,Countries!$Q$5:$Q$434,"&gt;0")/SUMIFS(Countries!$Q$5:$Q$434,Countries!$A$5:$A$434,"All landing pages",Countries!$B$5:$B$434,"Direct",Countries!$D$5:$D$434,$A501,Countries!$AS$5:$AS$434,"&gt;0"))</f>
        <v/>
      </c>
      <c r="L501" s="44">
        <f>IF(OR(J501="",K501=""),"",(K501-J501)*100)</f>
        <v/>
      </c>
      <c r="M501" s="73" t="n"/>
      <c r="N501" s="45">
        <f>IF(SUMIFS(Countries!$P$5:$P$434,Countries!$A$5:$A$434,"All landing pages",Countries!$D$5:$D$434,$A501,Countries!$AR$5:$AR$434,"&gt;0")=0,"",SUMIFS(Countries!$AR$5:$AR$434,Countries!$A$5:$A$434,"All landing pages",Countries!$D$5:$D$434,$A501,Countries!$P$5:$P$434,"&gt;0")/SUMIFS(Countries!$P$5:$P$434,Countries!$A$5:$A$434,"All landing pages",Countries!$D$5:$D$434,$A501,Countries!$AR$5:$AR$434,"&gt;0"))</f>
        <v/>
      </c>
      <c r="O501" s="45">
        <f>IF(SUMIFS(Countries!$Q$5:$Q$434,Countries!$A$5:$A$434,"All landing pages",Countries!$D$5:$D$434,$A501,Countries!$AS$5:$AS$434,"&gt;0")=0,"",SUMIFS(Countries!$AS$5:$AS$434,Countries!$A$5:$A$434,"All landing pages",Countries!$D$5:$D$434,$A501,Countries!$Q$5:$Q$434,"&gt;0")/SUMIFS(Countries!$Q$5:$Q$434,Countries!$A$5:$A$434,"All landing pages",Countries!$D$5:$D$434,$A501,Countries!$AS$5:$AS$434,"&gt;0"))</f>
        <v/>
      </c>
      <c r="P501" s="44">
        <f>IF(OR(N501="",O501=""),"",(O501-N501)*100)</f>
        <v/>
      </c>
      <c r="Q501" s="73" t="n"/>
    </row>
    <row r="502">
      <c r="A502" s="56" t="inlineStr">
        <is>
          <t>Germany</t>
        </is>
      </c>
      <c r="B502" s="45">
        <f>IF(SUMIFS(Countries!$P$5:$P$434,Countries!$A$5:$A$434,"All landing pages",Countries!$B$5:$B$434,"Paid Search",Countries!$D$5:$D$434,$A502,Countries!$AR$5:$AR$434,"&gt;0")=0,"",SUMIFS(Countries!$AR$5:$AR$434,Countries!$A$5:$A$434,"All landing pages",Countries!$B$5:$B$434,"Paid Search",Countries!$D$5:$D$434,$A502,Countries!$P$5:$P$434,"&gt;0")/SUMIFS(Countries!$P$5:$P$434,Countries!$A$5:$A$434,"All landing pages",Countries!$B$5:$B$434,"Paid Search",Countries!$D$5:$D$434,$A502,Countries!$AR$5:$AR$434,"&gt;0"))</f>
        <v/>
      </c>
      <c r="C502" s="45">
        <f>IF(SUMIFS(Countries!$Q$5:$Q$434,Countries!$A$5:$A$434,"All landing pages",Countries!$B$5:$B$434,"Paid Search",Countries!$D$5:$D$434,$A502,Countries!$AS$5:$AS$434,"&gt;0")=0,"",SUMIFS(Countries!$AS$5:$AS$434,Countries!$A$5:$A$434,"All landing pages",Countries!$B$5:$B$434,"Paid Search",Countries!$D$5:$D$434,$A502,Countries!$Q$5:$Q$434,"&gt;0")/SUMIFS(Countries!$Q$5:$Q$434,Countries!$A$5:$A$434,"All landing pages",Countries!$B$5:$B$434,"Paid Search",Countries!$D$5:$D$434,$A502,Countries!$AS$5:$AS$434,"&gt;0"))</f>
        <v/>
      </c>
      <c r="D502" s="44">
        <f>IF(OR(B502="",C502=""),"",(C502-B502)*100)</f>
        <v/>
      </c>
      <c r="E502" s="73" t="n"/>
      <c r="F502" s="45">
        <f>IF(SUMIFS(Countries!$P$5:$P$434,Countries!$A$5:$A$434,"All landing pages",Countries!$B$5:$B$434,"Organic",Countries!$D$5:$D$434,$A502,Countries!$AR$5:$AR$434,"&gt;0")=0,"",SUMIFS(Countries!$AR$5:$AR$434,Countries!$A$5:$A$434,"All landing pages",Countries!$B$5:$B$434,"Organic",Countries!$D$5:$D$434,$A502,Countries!$P$5:$P$434,"&gt;0")/SUMIFS(Countries!$P$5:$P$434,Countries!$A$5:$A$434,"All landing pages",Countries!$B$5:$B$434,"Organic",Countries!$D$5:$D$434,$A502,Countries!$AR$5:$AR$434,"&gt;0"))</f>
        <v/>
      </c>
      <c r="G502" s="45">
        <f>IF(SUMIFS(Countries!$Q$5:$Q$434,Countries!$A$5:$A$434,"All landing pages",Countries!$B$5:$B$434,"Organic",Countries!$D$5:$D$434,$A502,Countries!$AS$5:$AS$434,"&gt;0")=0,"",SUMIFS(Countries!$AS$5:$AS$434,Countries!$A$5:$A$434,"All landing pages",Countries!$B$5:$B$434,"Organic",Countries!$D$5:$D$434,$A502,Countries!$Q$5:$Q$434,"&gt;0")/SUMIFS(Countries!$Q$5:$Q$434,Countries!$A$5:$A$434,"All landing pages",Countries!$B$5:$B$434,"Organic",Countries!$D$5:$D$434,$A502,Countries!$AS$5:$AS$434,"&gt;0"))</f>
        <v/>
      </c>
      <c r="H502" s="44">
        <f>IF(OR(F502="",G502=""),"",(G502-F502)*100)</f>
        <v/>
      </c>
      <c r="I502" s="73" t="n"/>
      <c r="J502" s="45">
        <f>IF(SUMIFS(Countries!$P$5:$P$434,Countries!$A$5:$A$434,"All landing pages",Countries!$B$5:$B$434,"Direct",Countries!$D$5:$D$434,$A502,Countries!$AR$5:$AR$434,"&gt;0")=0,"",SUMIFS(Countries!$AR$5:$AR$434,Countries!$A$5:$A$434,"All landing pages",Countries!$B$5:$B$434,"Direct",Countries!$D$5:$D$434,$A502,Countries!$P$5:$P$434,"&gt;0")/SUMIFS(Countries!$P$5:$P$434,Countries!$A$5:$A$434,"All landing pages",Countries!$B$5:$B$434,"Direct",Countries!$D$5:$D$434,$A502,Countries!$AR$5:$AR$434,"&gt;0"))</f>
        <v/>
      </c>
      <c r="K502" s="45">
        <f>IF(SUMIFS(Countries!$Q$5:$Q$434,Countries!$A$5:$A$434,"All landing pages",Countries!$B$5:$B$434,"Direct",Countries!$D$5:$D$434,$A502,Countries!$AS$5:$AS$434,"&gt;0")=0,"",SUMIFS(Countries!$AS$5:$AS$434,Countries!$A$5:$A$434,"All landing pages",Countries!$B$5:$B$434,"Direct",Countries!$D$5:$D$434,$A502,Countries!$Q$5:$Q$434,"&gt;0")/SUMIFS(Countries!$Q$5:$Q$434,Countries!$A$5:$A$434,"All landing pages",Countries!$B$5:$B$434,"Direct",Countries!$D$5:$D$434,$A502,Countries!$AS$5:$AS$434,"&gt;0"))</f>
        <v/>
      </c>
      <c r="L502" s="44">
        <f>IF(OR(J502="",K502=""),"",(K502-J502)*100)</f>
        <v/>
      </c>
      <c r="M502" s="73" t="n"/>
      <c r="N502" s="45">
        <f>IF(SUMIFS(Countries!$P$5:$P$434,Countries!$A$5:$A$434,"All landing pages",Countries!$D$5:$D$434,$A502,Countries!$AR$5:$AR$434,"&gt;0")=0,"",SUMIFS(Countries!$AR$5:$AR$434,Countries!$A$5:$A$434,"All landing pages",Countries!$D$5:$D$434,$A502,Countries!$P$5:$P$434,"&gt;0")/SUMIFS(Countries!$P$5:$P$434,Countries!$A$5:$A$434,"All landing pages",Countries!$D$5:$D$434,$A502,Countries!$AR$5:$AR$434,"&gt;0"))</f>
        <v/>
      </c>
      <c r="O502" s="45">
        <f>IF(SUMIFS(Countries!$Q$5:$Q$434,Countries!$A$5:$A$434,"All landing pages",Countries!$D$5:$D$434,$A502,Countries!$AS$5:$AS$434,"&gt;0")=0,"",SUMIFS(Countries!$AS$5:$AS$434,Countries!$A$5:$A$434,"All landing pages",Countries!$D$5:$D$434,$A502,Countries!$Q$5:$Q$434,"&gt;0")/SUMIFS(Countries!$Q$5:$Q$434,Countries!$A$5:$A$434,"All landing pages",Countries!$D$5:$D$434,$A502,Countries!$AS$5:$AS$434,"&gt;0"))</f>
        <v/>
      </c>
      <c r="P502" s="44">
        <f>IF(OR(N502="",O502=""),"",(O502-N502)*100)</f>
        <v/>
      </c>
      <c r="Q502" s="73" t="n"/>
    </row>
    <row r="503">
      <c r="A503" s="40" t="inlineStr">
        <is>
          <t>Italy</t>
        </is>
      </c>
      <c r="B503" s="45">
        <f>IF(SUMIFS(Countries!$P$5:$P$434,Countries!$A$5:$A$434,"All landing pages",Countries!$B$5:$B$434,"Paid Search",Countries!$D$5:$D$434,$A503,Countries!$AR$5:$AR$434,"&gt;0")=0,"",SUMIFS(Countries!$AR$5:$AR$434,Countries!$A$5:$A$434,"All landing pages",Countries!$B$5:$B$434,"Paid Search",Countries!$D$5:$D$434,$A503,Countries!$P$5:$P$434,"&gt;0")/SUMIFS(Countries!$P$5:$P$434,Countries!$A$5:$A$434,"All landing pages",Countries!$B$5:$B$434,"Paid Search",Countries!$D$5:$D$434,$A503,Countries!$AR$5:$AR$434,"&gt;0"))</f>
        <v/>
      </c>
      <c r="C503" s="45">
        <f>IF(SUMIFS(Countries!$Q$5:$Q$434,Countries!$A$5:$A$434,"All landing pages",Countries!$B$5:$B$434,"Paid Search",Countries!$D$5:$D$434,$A503,Countries!$AS$5:$AS$434,"&gt;0")=0,"",SUMIFS(Countries!$AS$5:$AS$434,Countries!$A$5:$A$434,"All landing pages",Countries!$B$5:$B$434,"Paid Search",Countries!$D$5:$D$434,$A503,Countries!$Q$5:$Q$434,"&gt;0")/SUMIFS(Countries!$Q$5:$Q$434,Countries!$A$5:$A$434,"All landing pages",Countries!$B$5:$B$434,"Paid Search",Countries!$D$5:$D$434,$A503,Countries!$AS$5:$AS$434,"&gt;0"))</f>
        <v/>
      </c>
      <c r="D503" s="44">
        <f>IF(OR(B503="",C503=""),"",(C503-B503)*100)</f>
        <v/>
      </c>
      <c r="E503" s="73" t="n"/>
      <c r="F503" s="45">
        <f>IF(SUMIFS(Countries!$P$5:$P$434,Countries!$A$5:$A$434,"All landing pages",Countries!$B$5:$B$434,"Organic",Countries!$D$5:$D$434,$A503,Countries!$AR$5:$AR$434,"&gt;0")=0,"",SUMIFS(Countries!$AR$5:$AR$434,Countries!$A$5:$A$434,"All landing pages",Countries!$B$5:$B$434,"Organic",Countries!$D$5:$D$434,$A503,Countries!$P$5:$P$434,"&gt;0")/SUMIFS(Countries!$P$5:$P$434,Countries!$A$5:$A$434,"All landing pages",Countries!$B$5:$B$434,"Organic",Countries!$D$5:$D$434,$A503,Countries!$AR$5:$AR$434,"&gt;0"))</f>
        <v/>
      </c>
      <c r="G503" s="45">
        <f>IF(SUMIFS(Countries!$Q$5:$Q$434,Countries!$A$5:$A$434,"All landing pages",Countries!$B$5:$B$434,"Organic",Countries!$D$5:$D$434,$A503,Countries!$AS$5:$AS$434,"&gt;0")=0,"",SUMIFS(Countries!$AS$5:$AS$434,Countries!$A$5:$A$434,"All landing pages",Countries!$B$5:$B$434,"Organic",Countries!$D$5:$D$434,$A503,Countries!$Q$5:$Q$434,"&gt;0")/SUMIFS(Countries!$Q$5:$Q$434,Countries!$A$5:$A$434,"All landing pages",Countries!$B$5:$B$434,"Organic",Countries!$D$5:$D$434,$A503,Countries!$AS$5:$AS$434,"&gt;0"))</f>
        <v/>
      </c>
      <c r="H503" s="44">
        <f>IF(OR(F503="",G503=""),"",(G503-F503)*100)</f>
        <v/>
      </c>
      <c r="I503" s="73" t="n"/>
      <c r="J503" s="45">
        <f>IF(SUMIFS(Countries!$P$5:$P$434,Countries!$A$5:$A$434,"All landing pages",Countries!$B$5:$B$434,"Direct",Countries!$D$5:$D$434,$A503,Countries!$AR$5:$AR$434,"&gt;0")=0,"",SUMIFS(Countries!$AR$5:$AR$434,Countries!$A$5:$A$434,"All landing pages",Countries!$B$5:$B$434,"Direct",Countries!$D$5:$D$434,$A503,Countries!$P$5:$P$434,"&gt;0")/SUMIFS(Countries!$P$5:$P$434,Countries!$A$5:$A$434,"All landing pages",Countries!$B$5:$B$434,"Direct",Countries!$D$5:$D$434,$A503,Countries!$AR$5:$AR$434,"&gt;0"))</f>
        <v/>
      </c>
      <c r="K503" s="45">
        <f>IF(SUMIFS(Countries!$Q$5:$Q$434,Countries!$A$5:$A$434,"All landing pages",Countries!$B$5:$B$434,"Direct",Countries!$D$5:$D$434,$A503,Countries!$AS$5:$AS$434,"&gt;0")=0,"",SUMIFS(Countries!$AS$5:$AS$434,Countries!$A$5:$A$434,"All landing pages",Countries!$B$5:$B$434,"Direct",Countries!$D$5:$D$434,$A503,Countries!$Q$5:$Q$434,"&gt;0")/SUMIFS(Countries!$Q$5:$Q$434,Countries!$A$5:$A$434,"All landing pages",Countries!$B$5:$B$434,"Direct",Countries!$D$5:$D$434,$A503,Countries!$AS$5:$AS$434,"&gt;0"))</f>
        <v/>
      </c>
      <c r="L503" s="44">
        <f>IF(OR(J503="",K503=""),"",(K503-J503)*100)</f>
        <v/>
      </c>
      <c r="M503" s="73" t="n"/>
      <c r="N503" s="45">
        <f>IF(SUMIFS(Countries!$P$5:$P$434,Countries!$A$5:$A$434,"All landing pages",Countries!$D$5:$D$434,$A503,Countries!$AR$5:$AR$434,"&gt;0")=0,"",SUMIFS(Countries!$AR$5:$AR$434,Countries!$A$5:$A$434,"All landing pages",Countries!$D$5:$D$434,$A503,Countries!$P$5:$P$434,"&gt;0")/SUMIFS(Countries!$P$5:$P$434,Countries!$A$5:$A$434,"All landing pages",Countries!$D$5:$D$434,$A503,Countries!$AR$5:$AR$434,"&gt;0"))</f>
        <v/>
      </c>
      <c r="O503" s="45">
        <f>IF(SUMIFS(Countries!$Q$5:$Q$434,Countries!$A$5:$A$434,"All landing pages",Countries!$D$5:$D$434,$A503,Countries!$AS$5:$AS$434,"&gt;0")=0,"",SUMIFS(Countries!$AS$5:$AS$434,Countries!$A$5:$A$434,"All landing pages",Countries!$D$5:$D$434,$A503,Countries!$Q$5:$Q$434,"&gt;0")/SUMIFS(Countries!$Q$5:$Q$434,Countries!$A$5:$A$434,"All landing pages",Countries!$D$5:$D$434,$A503,Countries!$AS$5:$AS$434,"&gt;0"))</f>
        <v/>
      </c>
      <c r="P503" s="44">
        <f>IF(OR(N503="",O503=""),"",(O503-N503)*100)</f>
        <v/>
      </c>
      <c r="Q503" s="73" t="n"/>
    </row>
    <row r="504">
      <c r="A504" s="56" t="inlineStr">
        <is>
          <t>Spain</t>
        </is>
      </c>
      <c r="B504" s="45">
        <f>IF(SUMIFS(Countries!$P$5:$P$434,Countries!$A$5:$A$434,"All landing pages",Countries!$B$5:$B$434,"Paid Search",Countries!$D$5:$D$434,$A504,Countries!$AR$5:$AR$434,"&gt;0")=0,"",SUMIFS(Countries!$AR$5:$AR$434,Countries!$A$5:$A$434,"All landing pages",Countries!$B$5:$B$434,"Paid Search",Countries!$D$5:$D$434,$A504,Countries!$P$5:$P$434,"&gt;0")/SUMIFS(Countries!$P$5:$P$434,Countries!$A$5:$A$434,"All landing pages",Countries!$B$5:$B$434,"Paid Search",Countries!$D$5:$D$434,$A504,Countries!$AR$5:$AR$434,"&gt;0"))</f>
        <v/>
      </c>
      <c r="C504" s="45">
        <f>IF(SUMIFS(Countries!$Q$5:$Q$434,Countries!$A$5:$A$434,"All landing pages",Countries!$B$5:$B$434,"Paid Search",Countries!$D$5:$D$434,$A504,Countries!$AS$5:$AS$434,"&gt;0")=0,"",SUMIFS(Countries!$AS$5:$AS$434,Countries!$A$5:$A$434,"All landing pages",Countries!$B$5:$B$434,"Paid Search",Countries!$D$5:$D$434,$A504,Countries!$Q$5:$Q$434,"&gt;0")/SUMIFS(Countries!$Q$5:$Q$434,Countries!$A$5:$A$434,"All landing pages",Countries!$B$5:$B$434,"Paid Search",Countries!$D$5:$D$434,$A504,Countries!$AS$5:$AS$434,"&gt;0"))</f>
        <v/>
      </c>
      <c r="D504" s="44">
        <f>IF(OR(B504="",C504=""),"",(C504-B504)*100)</f>
        <v/>
      </c>
      <c r="E504" s="73" t="n"/>
      <c r="F504" s="45">
        <f>IF(SUMIFS(Countries!$P$5:$P$434,Countries!$A$5:$A$434,"All landing pages",Countries!$B$5:$B$434,"Organic",Countries!$D$5:$D$434,$A504,Countries!$AR$5:$AR$434,"&gt;0")=0,"",SUMIFS(Countries!$AR$5:$AR$434,Countries!$A$5:$A$434,"All landing pages",Countries!$B$5:$B$434,"Organic",Countries!$D$5:$D$434,$A504,Countries!$P$5:$P$434,"&gt;0")/SUMIFS(Countries!$P$5:$P$434,Countries!$A$5:$A$434,"All landing pages",Countries!$B$5:$B$434,"Organic",Countries!$D$5:$D$434,$A504,Countries!$AR$5:$AR$434,"&gt;0"))</f>
        <v/>
      </c>
      <c r="G504" s="45">
        <f>IF(SUMIFS(Countries!$Q$5:$Q$434,Countries!$A$5:$A$434,"All landing pages",Countries!$B$5:$B$434,"Organic",Countries!$D$5:$D$434,$A504,Countries!$AS$5:$AS$434,"&gt;0")=0,"",SUMIFS(Countries!$AS$5:$AS$434,Countries!$A$5:$A$434,"All landing pages",Countries!$B$5:$B$434,"Organic",Countries!$D$5:$D$434,$A504,Countries!$Q$5:$Q$434,"&gt;0")/SUMIFS(Countries!$Q$5:$Q$434,Countries!$A$5:$A$434,"All landing pages",Countries!$B$5:$B$434,"Organic",Countries!$D$5:$D$434,$A504,Countries!$AS$5:$AS$434,"&gt;0"))</f>
        <v/>
      </c>
      <c r="H504" s="44">
        <f>IF(OR(F504="",G504=""),"",(G504-F504)*100)</f>
        <v/>
      </c>
      <c r="I504" s="73" t="n"/>
      <c r="J504" s="45">
        <f>IF(SUMIFS(Countries!$P$5:$P$434,Countries!$A$5:$A$434,"All landing pages",Countries!$B$5:$B$434,"Direct",Countries!$D$5:$D$434,$A504,Countries!$AR$5:$AR$434,"&gt;0")=0,"",SUMIFS(Countries!$AR$5:$AR$434,Countries!$A$5:$A$434,"All landing pages",Countries!$B$5:$B$434,"Direct",Countries!$D$5:$D$434,$A504,Countries!$P$5:$P$434,"&gt;0")/SUMIFS(Countries!$P$5:$P$434,Countries!$A$5:$A$434,"All landing pages",Countries!$B$5:$B$434,"Direct",Countries!$D$5:$D$434,$A504,Countries!$AR$5:$AR$434,"&gt;0"))</f>
        <v/>
      </c>
      <c r="K504" s="45">
        <f>IF(SUMIFS(Countries!$Q$5:$Q$434,Countries!$A$5:$A$434,"All landing pages",Countries!$B$5:$B$434,"Direct",Countries!$D$5:$D$434,$A504,Countries!$AS$5:$AS$434,"&gt;0")=0,"",SUMIFS(Countries!$AS$5:$AS$434,Countries!$A$5:$A$434,"All landing pages",Countries!$B$5:$B$434,"Direct",Countries!$D$5:$D$434,$A504,Countries!$Q$5:$Q$434,"&gt;0")/SUMIFS(Countries!$Q$5:$Q$434,Countries!$A$5:$A$434,"All landing pages",Countries!$B$5:$B$434,"Direct",Countries!$D$5:$D$434,$A504,Countries!$AS$5:$AS$434,"&gt;0"))</f>
        <v/>
      </c>
      <c r="L504" s="44">
        <f>IF(OR(J504="",K504=""),"",(K504-J504)*100)</f>
        <v/>
      </c>
      <c r="M504" s="73" t="n"/>
      <c r="N504" s="45">
        <f>IF(SUMIFS(Countries!$P$5:$P$434,Countries!$A$5:$A$434,"All landing pages",Countries!$D$5:$D$434,$A504,Countries!$AR$5:$AR$434,"&gt;0")=0,"",SUMIFS(Countries!$AR$5:$AR$434,Countries!$A$5:$A$434,"All landing pages",Countries!$D$5:$D$434,$A504,Countries!$P$5:$P$434,"&gt;0")/SUMIFS(Countries!$P$5:$P$434,Countries!$A$5:$A$434,"All landing pages",Countries!$D$5:$D$434,$A504,Countries!$AR$5:$AR$434,"&gt;0"))</f>
        <v/>
      </c>
      <c r="O504" s="45">
        <f>IF(SUMIFS(Countries!$Q$5:$Q$434,Countries!$A$5:$A$434,"All landing pages",Countries!$D$5:$D$434,$A504,Countries!$AS$5:$AS$434,"&gt;0")=0,"",SUMIFS(Countries!$AS$5:$AS$434,Countries!$A$5:$A$434,"All landing pages",Countries!$D$5:$D$434,$A504,Countries!$Q$5:$Q$434,"&gt;0")/SUMIFS(Countries!$Q$5:$Q$434,Countries!$A$5:$A$434,"All landing pages",Countries!$D$5:$D$434,$A504,Countries!$AS$5:$AS$434,"&gt;0"))</f>
        <v/>
      </c>
      <c r="P504" s="44">
        <f>IF(OR(N504="",O504=""),"",(O504-N504)*100)</f>
        <v/>
      </c>
      <c r="Q504" s="73" t="n"/>
    </row>
    <row r="505">
      <c r="A505" s="40" t="inlineStr">
        <is>
          <t>Ireland</t>
        </is>
      </c>
      <c r="B505" s="45">
        <f>IF(SUMIFS(Countries!$P$5:$P$434,Countries!$A$5:$A$434,"All landing pages",Countries!$B$5:$B$434,"Paid Search",Countries!$D$5:$D$434,$A505,Countries!$AR$5:$AR$434,"&gt;0")=0,"",SUMIFS(Countries!$AR$5:$AR$434,Countries!$A$5:$A$434,"All landing pages",Countries!$B$5:$B$434,"Paid Search",Countries!$D$5:$D$434,$A505,Countries!$P$5:$P$434,"&gt;0")/SUMIFS(Countries!$P$5:$P$434,Countries!$A$5:$A$434,"All landing pages",Countries!$B$5:$B$434,"Paid Search",Countries!$D$5:$D$434,$A505,Countries!$AR$5:$AR$434,"&gt;0"))</f>
        <v/>
      </c>
      <c r="C505" s="45">
        <f>IF(SUMIFS(Countries!$Q$5:$Q$434,Countries!$A$5:$A$434,"All landing pages",Countries!$B$5:$B$434,"Paid Search",Countries!$D$5:$D$434,$A505,Countries!$AS$5:$AS$434,"&gt;0")=0,"",SUMIFS(Countries!$AS$5:$AS$434,Countries!$A$5:$A$434,"All landing pages",Countries!$B$5:$B$434,"Paid Search",Countries!$D$5:$D$434,$A505,Countries!$Q$5:$Q$434,"&gt;0")/SUMIFS(Countries!$Q$5:$Q$434,Countries!$A$5:$A$434,"All landing pages",Countries!$B$5:$B$434,"Paid Search",Countries!$D$5:$D$434,$A505,Countries!$AS$5:$AS$434,"&gt;0"))</f>
        <v/>
      </c>
      <c r="D505" s="44">
        <f>IF(OR(B505="",C505=""),"",(C505-B505)*100)</f>
        <v/>
      </c>
      <c r="E505" s="73" t="n"/>
      <c r="F505" s="45">
        <f>IF(SUMIFS(Countries!$P$5:$P$434,Countries!$A$5:$A$434,"All landing pages",Countries!$B$5:$B$434,"Organic",Countries!$D$5:$D$434,$A505,Countries!$AR$5:$AR$434,"&gt;0")=0,"",SUMIFS(Countries!$AR$5:$AR$434,Countries!$A$5:$A$434,"All landing pages",Countries!$B$5:$B$434,"Organic",Countries!$D$5:$D$434,$A505,Countries!$P$5:$P$434,"&gt;0")/SUMIFS(Countries!$P$5:$P$434,Countries!$A$5:$A$434,"All landing pages",Countries!$B$5:$B$434,"Organic",Countries!$D$5:$D$434,$A505,Countries!$AR$5:$AR$434,"&gt;0"))</f>
        <v/>
      </c>
      <c r="G505" s="45">
        <f>IF(SUMIFS(Countries!$Q$5:$Q$434,Countries!$A$5:$A$434,"All landing pages",Countries!$B$5:$B$434,"Organic",Countries!$D$5:$D$434,$A505,Countries!$AS$5:$AS$434,"&gt;0")=0,"",SUMIFS(Countries!$AS$5:$AS$434,Countries!$A$5:$A$434,"All landing pages",Countries!$B$5:$B$434,"Organic",Countries!$D$5:$D$434,$A505,Countries!$Q$5:$Q$434,"&gt;0")/SUMIFS(Countries!$Q$5:$Q$434,Countries!$A$5:$A$434,"All landing pages",Countries!$B$5:$B$434,"Organic",Countries!$D$5:$D$434,$A505,Countries!$AS$5:$AS$434,"&gt;0"))</f>
        <v/>
      </c>
      <c r="H505" s="44">
        <f>IF(OR(F505="",G505=""),"",(G505-F505)*100)</f>
        <v/>
      </c>
      <c r="I505" s="73" t="n"/>
      <c r="J505" s="45">
        <f>IF(SUMIFS(Countries!$P$5:$P$434,Countries!$A$5:$A$434,"All landing pages",Countries!$B$5:$B$434,"Direct",Countries!$D$5:$D$434,$A505,Countries!$AR$5:$AR$434,"&gt;0")=0,"",SUMIFS(Countries!$AR$5:$AR$434,Countries!$A$5:$A$434,"All landing pages",Countries!$B$5:$B$434,"Direct",Countries!$D$5:$D$434,$A505,Countries!$P$5:$P$434,"&gt;0")/SUMIFS(Countries!$P$5:$P$434,Countries!$A$5:$A$434,"All landing pages",Countries!$B$5:$B$434,"Direct",Countries!$D$5:$D$434,$A505,Countries!$AR$5:$AR$434,"&gt;0"))</f>
        <v/>
      </c>
      <c r="K505" s="45">
        <f>IF(SUMIFS(Countries!$Q$5:$Q$434,Countries!$A$5:$A$434,"All landing pages",Countries!$B$5:$B$434,"Direct",Countries!$D$5:$D$434,$A505,Countries!$AS$5:$AS$434,"&gt;0")=0,"",SUMIFS(Countries!$AS$5:$AS$434,Countries!$A$5:$A$434,"All landing pages",Countries!$B$5:$B$434,"Direct",Countries!$D$5:$D$434,$A505,Countries!$Q$5:$Q$434,"&gt;0")/SUMIFS(Countries!$Q$5:$Q$434,Countries!$A$5:$A$434,"All landing pages",Countries!$B$5:$B$434,"Direct",Countries!$D$5:$D$434,$A505,Countries!$AS$5:$AS$434,"&gt;0"))</f>
        <v/>
      </c>
      <c r="L505" s="44">
        <f>IF(OR(J505="",K505=""),"",(K505-J505)*100)</f>
        <v/>
      </c>
      <c r="M505" s="73" t="n"/>
      <c r="N505" s="45">
        <f>IF(SUMIFS(Countries!$P$5:$P$434,Countries!$A$5:$A$434,"All landing pages",Countries!$D$5:$D$434,$A505,Countries!$AR$5:$AR$434,"&gt;0")=0,"",SUMIFS(Countries!$AR$5:$AR$434,Countries!$A$5:$A$434,"All landing pages",Countries!$D$5:$D$434,$A505,Countries!$P$5:$P$434,"&gt;0")/SUMIFS(Countries!$P$5:$P$434,Countries!$A$5:$A$434,"All landing pages",Countries!$D$5:$D$434,$A505,Countries!$AR$5:$AR$434,"&gt;0"))</f>
        <v/>
      </c>
      <c r="O505" s="45">
        <f>IF(SUMIFS(Countries!$Q$5:$Q$434,Countries!$A$5:$A$434,"All landing pages",Countries!$D$5:$D$434,$A505,Countries!$AS$5:$AS$434,"&gt;0")=0,"",SUMIFS(Countries!$AS$5:$AS$434,Countries!$A$5:$A$434,"All landing pages",Countries!$D$5:$D$434,$A505,Countries!$Q$5:$Q$434,"&gt;0")/SUMIFS(Countries!$Q$5:$Q$434,Countries!$A$5:$A$434,"All landing pages",Countries!$D$5:$D$434,$A505,Countries!$AS$5:$AS$434,"&gt;0"))</f>
        <v/>
      </c>
      <c r="P505" s="44">
        <f>IF(OR(N505="",O505=""),"",(O505-N505)*100)</f>
        <v/>
      </c>
      <c r="Q505" s="73" t="n"/>
    </row>
    <row r="506">
      <c r="A506" s="56" t="inlineStr">
        <is>
          <t>Netherlands</t>
        </is>
      </c>
      <c r="B506" s="45">
        <f>IF(SUMIFS(Countries!$P$5:$P$434,Countries!$A$5:$A$434,"All landing pages",Countries!$B$5:$B$434,"Paid Search",Countries!$D$5:$D$434,$A506,Countries!$AR$5:$AR$434,"&gt;0")=0,"",SUMIFS(Countries!$AR$5:$AR$434,Countries!$A$5:$A$434,"All landing pages",Countries!$B$5:$B$434,"Paid Search",Countries!$D$5:$D$434,$A506,Countries!$P$5:$P$434,"&gt;0")/SUMIFS(Countries!$P$5:$P$434,Countries!$A$5:$A$434,"All landing pages",Countries!$B$5:$B$434,"Paid Search",Countries!$D$5:$D$434,$A506,Countries!$AR$5:$AR$434,"&gt;0"))</f>
        <v/>
      </c>
      <c r="C506" s="45">
        <f>IF(SUMIFS(Countries!$Q$5:$Q$434,Countries!$A$5:$A$434,"All landing pages",Countries!$B$5:$B$434,"Paid Search",Countries!$D$5:$D$434,$A506,Countries!$AS$5:$AS$434,"&gt;0")=0,"",SUMIFS(Countries!$AS$5:$AS$434,Countries!$A$5:$A$434,"All landing pages",Countries!$B$5:$B$434,"Paid Search",Countries!$D$5:$D$434,$A506,Countries!$Q$5:$Q$434,"&gt;0")/SUMIFS(Countries!$Q$5:$Q$434,Countries!$A$5:$A$434,"All landing pages",Countries!$B$5:$B$434,"Paid Search",Countries!$D$5:$D$434,$A506,Countries!$AS$5:$AS$434,"&gt;0"))</f>
        <v/>
      </c>
      <c r="D506" s="44">
        <f>IF(OR(B506="",C506=""),"",(C506-B506)*100)</f>
        <v/>
      </c>
      <c r="E506" s="73" t="n"/>
      <c r="F506" s="45">
        <f>IF(SUMIFS(Countries!$P$5:$P$434,Countries!$A$5:$A$434,"All landing pages",Countries!$B$5:$B$434,"Organic",Countries!$D$5:$D$434,$A506,Countries!$AR$5:$AR$434,"&gt;0")=0,"",SUMIFS(Countries!$AR$5:$AR$434,Countries!$A$5:$A$434,"All landing pages",Countries!$B$5:$B$434,"Organic",Countries!$D$5:$D$434,$A506,Countries!$P$5:$P$434,"&gt;0")/SUMIFS(Countries!$P$5:$P$434,Countries!$A$5:$A$434,"All landing pages",Countries!$B$5:$B$434,"Organic",Countries!$D$5:$D$434,$A506,Countries!$AR$5:$AR$434,"&gt;0"))</f>
        <v/>
      </c>
      <c r="G506" s="45">
        <f>IF(SUMIFS(Countries!$Q$5:$Q$434,Countries!$A$5:$A$434,"All landing pages",Countries!$B$5:$B$434,"Organic",Countries!$D$5:$D$434,$A506,Countries!$AS$5:$AS$434,"&gt;0")=0,"",SUMIFS(Countries!$AS$5:$AS$434,Countries!$A$5:$A$434,"All landing pages",Countries!$B$5:$B$434,"Organic",Countries!$D$5:$D$434,$A506,Countries!$Q$5:$Q$434,"&gt;0")/SUMIFS(Countries!$Q$5:$Q$434,Countries!$A$5:$A$434,"All landing pages",Countries!$B$5:$B$434,"Organic",Countries!$D$5:$D$434,$A506,Countries!$AS$5:$AS$434,"&gt;0"))</f>
        <v/>
      </c>
      <c r="H506" s="44">
        <f>IF(OR(F506="",G506=""),"",(G506-F506)*100)</f>
        <v/>
      </c>
      <c r="I506" s="73" t="n"/>
      <c r="J506" s="45">
        <f>IF(SUMIFS(Countries!$P$5:$P$434,Countries!$A$5:$A$434,"All landing pages",Countries!$B$5:$B$434,"Direct",Countries!$D$5:$D$434,$A506,Countries!$AR$5:$AR$434,"&gt;0")=0,"",SUMIFS(Countries!$AR$5:$AR$434,Countries!$A$5:$A$434,"All landing pages",Countries!$B$5:$B$434,"Direct",Countries!$D$5:$D$434,$A506,Countries!$P$5:$P$434,"&gt;0")/SUMIFS(Countries!$P$5:$P$434,Countries!$A$5:$A$434,"All landing pages",Countries!$B$5:$B$434,"Direct",Countries!$D$5:$D$434,$A506,Countries!$AR$5:$AR$434,"&gt;0"))</f>
        <v/>
      </c>
      <c r="K506" s="45">
        <f>IF(SUMIFS(Countries!$Q$5:$Q$434,Countries!$A$5:$A$434,"All landing pages",Countries!$B$5:$B$434,"Direct",Countries!$D$5:$D$434,$A506,Countries!$AS$5:$AS$434,"&gt;0")=0,"",SUMIFS(Countries!$AS$5:$AS$434,Countries!$A$5:$A$434,"All landing pages",Countries!$B$5:$B$434,"Direct",Countries!$D$5:$D$434,$A506,Countries!$Q$5:$Q$434,"&gt;0")/SUMIFS(Countries!$Q$5:$Q$434,Countries!$A$5:$A$434,"All landing pages",Countries!$B$5:$B$434,"Direct",Countries!$D$5:$D$434,$A506,Countries!$AS$5:$AS$434,"&gt;0"))</f>
        <v/>
      </c>
      <c r="L506" s="44">
        <f>IF(OR(J506="",K506=""),"",(K506-J506)*100)</f>
        <v/>
      </c>
      <c r="M506" s="73" t="n"/>
      <c r="N506" s="45">
        <f>IF(SUMIFS(Countries!$P$5:$P$434,Countries!$A$5:$A$434,"All landing pages",Countries!$D$5:$D$434,$A506,Countries!$AR$5:$AR$434,"&gt;0")=0,"",SUMIFS(Countries!$AR$5:$AR$434,Countries!$A$5:$A$434,"All landing pages",Countries!$D$5:$D$434,$A506,Countries!$P$5:$P$434,"&gt;0")/SUMIFS(Countries!$P$5:$P$434,Countries!$A$5:$A$434,"All landing pages",Countries!$D$5:$D$434,$A506,Countries!$AR$5:$AR$434,"&gt;0"))</f>
        <v/>
      </c>
      <c r="O506" s="45">
        <f>IF(SUMIFS(Countries!$Q$5:$Q$434,Countries!$A$5:$A$434,"All landing pages",Countries!$D$5:$D$434,$A506,Countries!$AS$5:$AS$434,"&gt;0")=0,"",SUMIFS(Countries!$AS$5:$AS$434,Countries!$A$5:$A$434,"All landing pages",Countries!$D$5:$D$434,$A506,Countries!$Q$5:$Q$434,"&gt;0")/SUMIFS(Countries!$Q$5:$Q$434,Countries!$A$5:$A$434,"All landing pages",Countries!$D$5:$D$434,$A506,Countries!$AS$5:$AS$434,"&gt;0"))</f>
        <v/>
      </c>
      <c r="P506" s="44">
        <f>IF(OR(N506="",O506=""),"",(O506-N506)*100)</f>
        <v/>
      </c>
      <c r="Q506" s="73" t="n"/>
    </row>
    <row r="507">
      <c r="A507" s="40" t="inlineStr">
        <is>
          <t>France</t>
        </is>
      </c>
      <c r="B507" s="45">
        <f>IF(SUMIFS(Countries!$P$5:$P$434,Countries!$A$5:$A$434,"All landing pages",Countries!$B$5:$B$434,"Paid Search",Countries!$D$5:$D$434,$A507,Countries!$AR$5:$AR$434,"&gt;0")=0,"",SUMIFS(Countries!$AR$5:$AR$434,Countries!$A$5:$A$434,"All landing pages",Countries!$B$5:$B$434,"Paid Search",Countries!$D$5:$D$434,$A507,Countries!$P$5:$P$434,"&gt;0")/SUMIFS(Countries!$P$5:$P$434,Countries!$A$5:$A$434,"All landing pages",Countries!$B$5:$B$434,"Paid Search",Countries!$D$5:$D$434,$A507,Countries!$AR$5:$AR$434,"&gt;0"))</f>
        <v/>
      </c>
      <c r="C507" s="45">
        <f>IF(SUMIFS(Countries!$Q$5:$Q$434,Countries!$A$5:$A$434,"All landing pages",Countries!$B$5:$B$434,"Paid Search",Countries!$D$5:$D$434,$A507,Countries!$AS$5:$AS$434,"&gt;0")=0,"",SUMIFS(Countries!$AS$5:$AS$434,Countries!$A$5:$A$434,"All landing pages",Countries!$B$5:$B$434,"Paid Search",Countries!$D$5:$D$434,$A507,Countries!$Q$5:$Q$434,"&gt;0")/SUMIFS(Countries!$Q$5:$Q$434,Countries!$A$5:$A$434,"All landing pages",Countries!$B$5:$B$434,"Paid Search",Countries!$D$5:$D$434,$A507,Countries!$AS$5:$AS$434,"&gt;0"))</f>
        <v/>
      </c>
      <c r="D507" s="44">
        <f>IF(OR(B507="",C507=""),"",(C507-B507)*100)</f>
        <v/>
      </c>
      <c r="E507" s="73" t="n"/>
      <c r="F507" s="45">
        <f>IF(SUMIFS(Countries!$P$5:$P$434,Countries!$A$5:$A$434,"All landing pages",Countries!$B$5:$B$434,"Organic",Countries!$D$5:$D$434,$A507,Countries!$AR$5:$AR$434,"&gt;0")=0,"",SUMIFS(Countries!$AR$5:$AR$434,Countries!$A$5:$A$434,"All landing pages",Countries!$B$5:$B$434,"Organic",Countries!$D$5:$D$434,$A507,Countries!$P$5:$P$434,"&gt;0")/SUMIFS(Countries!$P$5:$P$434,Countries!$A$5:$A$434,"All landing pages",Countries!$B$5:$B$434,"Organic",Countries!$D$5:$D$434,$A507,Countries!$AR$5:$AR$434,"&gt;0"))</f>
        <v/>
      </c>
      <c r="G507" s="45">
        <f>IF(SUMIFS(Countries!$Q$5:$Q$434,Countries!$A$5:$A$434,"All landing pages",Countries!$B$5:$B$434,"Organic",Countries!$D$5:$D$434,$A507,Countries!$AS$5:$AS$434,"&gt;0")=0,"",SUMIFS(Countries!$AS$5:$AS$434,Countries!$A$5:$A$434,"All landing pages",Countries!$B$5:$B$434,"Organic",Countries!$D$5:$D$434,$A507,Countries!$Q$5:$Q$434,"&gt;0")/SUMIFS(Countries!$Q$5:$Q$434,Countries!$A$5:$A$434,"All landing pages",Countries!$B$5:$B$434,"Organic",Countries!$D$5:$D$434,$A507,Countries!$AS$5:$AS$434,"&gt;0"))</f>
        <v/>
      </c>
      <c r="H507" s="44">
        <f>IF(OR(F507="",G507=""),"",(G507-F507)*100)</f>
        <v/>
      </c>
      <c r="I507" s="73" t="n"/>
      <c r="J507" s="45">
        <f>IF(SUMIFS(Countries!$P$5:$P$434,Countries!$A$5:$A$434,"All landing pages",Countries!$B$5:$B$434,"Direct",Countries!$D$5:$D$434,$A507,Countries!$AR$5:$AR$434,"&gt;0")=0,"",SUMIFS(Countries!$AR$5:$AR$434,Countries!$A$5:$A$434,"All landing pages",Countries!$B$5:$B$434,"Direct",Countries!$D$5:$D$434,$A507,Countries!$P$5:$P$434,"&gt;0")/SUMIFS(Countries!$P$5:$P$434,Countries!$A$5:$A$434,"All landing pages",Countries!$B$5:$B$434,"Direct",Countries!$D$5:$D$434,$A507,Countries!$AR$5:$AR$434,"&gt;0"))</f>
        <v/>
      </c>
      <c r="K507" s="45">
        <f>IF(SUMIFS(Countries!$Q$5:$Q$434,Countries!$A$5:$A$434,"All landing pages",Countries!$B$5:$B$434,"Direct",Countries!$D$5:$D$434,$A507,Countries!$AS$5:$AS$434,"&gt;0")=0,"",SUMIFS(Countries!$AS$5:$AS$434,Countries!$A$5:$A$434,"All landing pages",Countries!$B$5:$B$434,"Direct",Countries!$D$5:$D$434,$A507,Countries!$Q$5:$Q$434,"&gt;0")/SUMIFS(Countries!$Q$5:$Q$434,Countries!$A$5:$A$434,"All landing pages",Countries!$B$5:$B$434,"Direct",Countries!$D$5:$D$434,$A507,Countries!$AS$5:$AS$434,"&gt;0"))</f>
        <v/>
      </c>
      <c r="L507" s="44">
        <f>IF(OR(J507="",K507=""),"",(K507-J507)*100)</f>
        <v/>
      </c>
      <c r="M507" s="73" t="n"/>
      <c r="N507" s="45">
        <f>IF(SUMIFS(Countries!$P$5:$P$434,Countries!$A$5:$A$434,"All landing pages",Countries!$D$5:$D$434,$A507,Countries!$AR$5:$AR$434,"&gt;0")=0,"",SUMIFS(Countries!$AR$5:$AR$434,Countries!$A$5:$A$434,"All landing pages",Countries!$D$5:$D$434,$A507,Countries!$P$5:$P$434,"&gt;0")/SUMIFS(Countries!$P$5:$P$434,Countries!$A$5:$A$434,"All landing pages",Countries!$D$5:$D$434,$A507,Countries!$AR$5:$AR$434,"&gt;0"))</f>
        <v/>
      </c>
      <c r="O507" s="45">
        <f>IF(SUMIFS(Countries!$Q$5:$Q$434,Countries!$A$5:$A$434,"All landing pages",Countries!$D$5:$D$434,$A507,Countries!$AS$5:$AS$434,"&gt;0")=0,"",SUMIFS(Countries!$AS$5:$AS$434,Countries!$A$5:$A$434,"All landing pages",Countries!$D$5:$D$434,$A507,Countries!$Q$5:$Q$434,"&gt;0")/SUMIFS(Countries!$Q$5:$Q$434,Countries!$A$5:$A$434,"All landing pages",Countries!$D$5:$D$434,$A507,Countries!$AS$5:$AS$434,"&gt;0"))</f>
        <v/>
      </c>
      <c r="P507" s="44">
        <f>IF(OR(N507="",O507=""),"",(O507-N507)*100)</f>
        <v/>
      </c>
      <c r="Q507" s="73" t="n"/>
    </row>
    <row r="508">
      <c r="A508" s="56" t="inlineStr">
        <is>
          <t>Poland</t>
        </is>
      </c>
      <c r="B508" s="45">
        <f>IF(SUMIFS(Countries!$P$5:$P$434,Countries!$A$5:$A$434,"All landing pages",Countries!$B$5:$B$434,"Paid Search",Countries!$D$5:$D$434,$A508,Countries!$AR$5:$AR$434,"&gt;0")=0,"",SUMIFS(Countries!$AR$5:$AR$434,Countries!$A$5:$A$434,"All landing pages",Countries!$B$5:$B$434,"Paid Search",Countries!$D$5:$D$434,$A508,Countries!$P$5:$P$434,"&gt;0")/SUMIFS(Countries!$P$5:$P$434,Countries!$A$5:$A$434,"All landing pages",Countries!$B$5:$B$434,"Paid Search",Countries!$D$5:$D$434,$A508,Countries!$AR$5:$AR$434,"&gt;0"))</f>
        <v/>
      </c>
      <c r="C508" s="45">
        <f>IF(SUMIFS(Countries!$Q$5:$Q$434,Countries!$A$5:$A$434,"All landing pages",Countries!$B$5:$B$434,"Paid Search",Countries!$D$5:$D$434,$A508,Countries!$AS$5:$AS$434,"&gt;0")=0,"",SUMIFS(Countries!$AS$5:$AS$434,Countries!$A$5:$A$434,"All landing pages",Countries!$B$5:$B$434,"Paid Search",Countries!$D$5:$D$434,$A508,Countries!$Q$5:$Q$434,"&gt;0")/SUMIFS(Countries!$Q$5:$Q$434,Countries!$A$5:$A$434,"All landing pages",Countries!$B$5:$B$434,"Paid Search",Countries!$D$5:$D$434,$A508,Countries!$AS$5:$AS$434,"&gt;0"))</f>
        <v/>
      </c>
      <c r="D508" s="44">
        <f>IF(OR(B508="",C508=""),"",(C508-B508)*100)</f>
        <v/>
      </c>
      <c r="E508" s="73" t="n"/>
      <c r="F508" s="45">
        <f>IF(SUMIFS(Countries!$P$5:$P$434,Countries!$A$5:$A$434,"All landing pages",Countries!$B$5:$B$434,"Organic",Countries!$D$5:$D$434,$A508,Countries!$AR$5:$AR$434,"&gt;0")=0,"",SUMIFS(Countries!$AR$5:$AR$434,Countries!$A$5:$A$434,"All landing pages",Countries!$B$5:$B$434,"Organic",Countries!$D$5:$D$434,$A508,Countries!$P$5:$P$434,"&gt;0")/SUMIFS(Countries!$P$5:$P$434,Countries!$A$5:$A$434,"All landing pages",Countries!$B$5:$B$434,"Organic",Countries!$D$5:$D$434,$A508,Countries!$AR$5:$AR$434,"&gt;0"))</f>
        <v/>
      </c>
      <c r="G508" s="45">
        <f>IF(SUMIFS(Countries!$Q$5:$Q$434,Countries!$A$5:$A$434,"All landing pages",Countries!$B$5:$B$434,"Organic",Countries!$D$5:$D$434,$A508,Countries!$AS$5:$AS$434,"&gt;0")=0,"",SUMIFS(Countries!$AS$5:$AS$434,Countries!$A$5:$A$434,"All landing pages",Countries!$B$5:$B$434,"Organic",Countries!$D$5:$D$434,$A508,Countries!$Q$5:$Q$434,"&gt;0")/SUMIFS(Countries!$Q$5:$Q$434,Countries!$A$5:$A$434,"All landing pages",Countries!$B$5:$B$434,"Organic",Countries!$D$5:$D$434,$A508,Countries!$AS$5:$AS$434,"&gt;0"))</f>
        <v/>
      </c>
      <c r="H508" s="44">
        <f>IF(OR(F508="",G508=""),"",(G508-F508)*100)</f>
        <v/>
      </c>
      <c r="I508" s="73" t="n"/>
      <c r="J508" s="45">
        <f>IF(SUMIFS(Countries!$P$5:$P$434,Countries!$A$5:$A$434,"All landing pages",Countries!$B$5:$B$434,"Direct",Countries!$D$5:$D$434,$A508,Countries!$AR$5:$AR$434,"&gt;0")=0,"",SUMIFS(Countries!$AR$5:$AR$434,Countries!$A$5:$A$434,"All landing pages",Countries!$B$5:$B$434,"Direct",Countries!$D$5:$D$434,$A508,Countries!$P$5:$P$434,"&gt;0")/SUMIFS(Countries!$P$5:$P$434,Countries!$A$5:$A$434,"All landing pages",Countries!$B$5:$B$434,"Direct",Countries!$D$5:$D$434,$A508,Countries!$AR$5:$AR$434,"&gt;0"))</f>
        <v/>
      </c>
      <c r="K508" s="45">
        <f>IF(SUMIFS(Countries!$Q$5:$Q$434,Countries!$A$5:$A$434,"All landing pages",Countries!$B$5:$B$434,"Direct",Countries!$D$5:$D$434,$A508,Countries!$AS$5:$AS$434,"&gt;0")=0,"",SUMIFS(Countries!$AS$5:$AS$434,Countries!$A$5:$A$434,"All landing pages",Countries!$B$5:$B$434,"Direct",Countries!$D$5:$D$434,$A508,Countries!$Q$5:$Q$434,"&gt;0")/SUMIFS(Countries!$Q$5:$Q$434,Countries!$A$5:$A$434,"All landing pages",Countries!$B$5:$B$434,"Direct",Countries!$D$5:$D$434,$A508,Countries!$AS$5:$AS$434,"&gt;0"))</f>
        <v/>
      </c>
      <c r="L508" s="44">
        <f>IF(OR(J508="",K508=""),"",(K508-J508)*100)</f>
        <v/>
      </c>
      <c r="M508" s="73" t="n"/>
      <c r="N508" s="45">
        <f>IF(SUMIFS(Countries!$P$5:$P$434,Countries!$A$5:$A$434,"All landing pages",Countries!$D$5:$D$434,$A508,Countries!$AR$5:$AR$434,"&gt;0")=0,"",SUMIFS(Countries!$AR$5:$AR$434,Countries!$A$5:$A$434,"All landing pages",Countries!$D$5:$D$434,$A508,Countries!$P$5:$P$434,"&gt;0")/SUMIFS(Countries!$P$5:$P$434,Countries!$A$5:$A$434,"All landing pages",Countries!$D$5:$D$434,$A508,Countries!$AR$5:$AR$434,"&gt;0"))</f>
        <v/>
      </c>
      <c r="O508" s="45">
        <f>IF(SUMIFS(Countries!$Q$5:$Q$434,Countries!$A$5:$A$434,"All landing pages",Countries!$D$5:$D$434,$A508,Countries!$AS$5:$AS$434,"&gt;0")=0,"",SUMIFS(Countries!$AS$5:$AS$434,Countries!$A$5:$A$434,"All landing pages",Countries!$D$5:$D$434,$A508,Countries!$Q$5:$Q$434,"&gt;0")/SUMIFS(Countries!$Q$5:$Q$434,Countries!$A$5:$A$434,"All landing pages",Countries!$D$5:$D$434,$A508,Countries!$AS$5:$AS$434,"&gt;0"))</f>
        <v/>
      </c>
      <c r="P508" s="44">
        <f>IF(OR(N508="",O508=""),"",(O508-N508)*100)</f>
        <v/>
      </c>
      <c r="Q508" s="73" t="n"/>
    </row>
    <row r="509">
      <c r="A509" s="40" t="inlineStr">
        <is>
          <t>United States</t>
        </is>
      </c>
      <c r="B509" s="45">
        <f>IF(SUMIFS(Countries!$P$5:$P$434,Countries!$A$5:$A$434,"All landing pages",Countries!$B$5:$B$434,"Paid Search",Countries!$D$5:$D$434,$A509,Countries!$AR$5:$AR$434,"&gt;0")=0,"",SUMIFS(Countries!$AR$5:$AR$434,Countries!$A$5:$A$434,"All landing pages",Countries!$B$5:$B$434,"Paid Search",Countries!$D$5:$D$434,$A509,Countries!$P$5:$P$434,"&gt;0")/SUMIFS(Countries!$P$5:$P$434,Countries!$A$5:$A$434,"All landing pages",Countries!$B$5:$B$434,"Paid Search",Countries!$D$5:$D$434,$A509,Countries!$AR$5:$AR$434,"&gt;0"))</f>
        <v/>
      </c>
      <c r="C509" s="45">
        <f>IF(SUMIFS(Countries!$Q$5:$Q$434,Countries!$A$5:$A$434,"All landing pages",Countries!$B$5:$B$434,"Paid Search",Countries!$D$5:$D$434,$A509,Countries!$AS$5:$AS$434,"&gt;0")=0,"",SUMIFS(Countries!$AS$5:$AS$434,Countries!$A$5:$A$434,"All landing pages",Countries!$B$5:$B$434,"Paid Search",Countries!$D$5:$D$434,$A509,Countries!$Q$5:$Q$434,"&gt;0")/SUMIFS(Countries!$Q$5:$Q$434,Countries!$A$5:$A$434,"All landing pages",Countries!$B$5:$B$434,"Paid Search",Countries!$D$5:$D$434,$A509,Countries!$AS$5:$AS$434,"&gt;0"))</f>
        <v/>
      </c>
      <c r="D509" s="44">
        <f>IF(OR(B509="",C509=""),"",(C509-B509)*100)</f>
        <v/>
      </c>
      <c r="E509" s="73" t="n"/>
      <c r="F509" s="45">
        <f>IF(SUMIFS(Countries!$P$5:$P$434,Countries!$A$5:$A$434,"All landing pages",Countries!$B$5:$B$434,"Organic",Countries!$D$5:$D$434,$A509,Countries!$AR$5:$AR$434,"&gt;0")=0,"",SUMIFS(Countries!$AR$5:$AR$434,Countries!$A$5:$A$434,"All landing pages",Countries!$B$5:$B$434,"Organic",Countries!$D$5:$D$434,$A509,Countries!$P$5:$P$434,"&gt;0")/SUMIFS(Countries!$P$5:$P$434,Countries!$A$5:$A$434,"All landing pages",Countries!$B$5:$B$434,"Organic",Countries!$D$5:$D$434,$A509,Countries!$AR$5:$AR$434,"&gt;0"))</f>
        <v/>
      </c>
      <c r="G509" s="45">
        <f>IF(SUMIFS(Countries!$Q$5:$Q$434,Countries!$A$5:$A$434,"All landing pages",Countries!$B$5:$B$434,"Organic",Countries!$D$5:$D$434,$A509,Countries!$AS$5:$AS$434,"&gt;0")=0,"",SUMIFS(Countries!$AS$5:$AS$434,Countries!$A$5:$A$434,"All landing pages",Countries!$B$5:$B$434,"Organic",Countries!$D$5:$D$434,$A509,Countries!$Q$5:$Q$434,"&gt;0")/SUMIFS(Countries!$Q$5:$Q$434,Countries!$A$5:$A$434,"All landing pages",Countries!$B$5:$B$434,"Organic",Countries!$D$5:$D$434,$A509,Countries!$AS$5:$AS$434,"&gt;0"))</f>
        <v/>
      </c>
      <c r="H509" s="44">
        <f>IF(OR(F509="",G509=""),"",(G509-F509)*100)</f>
        <v/>
      </c>
      <c r="I509" s="73" t="n"/>
      <c r="J509" s="45">
        <f>IF(SUMIFS(Countries!$P$5:$P$434,Countries!$A$5:$A$434,"All landing pages",Countries!$B$5:$B$434,"Direct",Countries!$D$5:$D$434,$A509,Countries!$AR$5:$AR$434,"&gt;0")=0,"",SUMIFS(Countries!$AR$5:$AR$434,Countries!$A$5:$A$434,"All landing pages",Countries!$B$5:$B$434,"Direct",Countries!$D$5:$D$434,$A509,Countries!$P$5:$P$434,"&gt;0")/SUMIFS(Countries!$P$5:$P$434,Countries!$A$5:$A$434,"All landing pages",Countries!$B$5:$B$434,"Direct",Countries!$D$5:$D$434,$A509,Countries!$AR$5:$AR$434,"&gt;0"))</f>
        <v/>
      </c>
      <c r="K509" s="45">
        <f>IF(SUMIFS(Countries!$Q$5:$Q$434,Countries!$A$5:$A$434,"All landing pages",Countries!$B$5:$B$434,"Direct",Countries!$D$5:$D$434,$A509,Countries!$AS$5:$AS$434,"&gt;0")=0,"",SUMIFS(Countries!$AS$5:$AS$434,Countries!$A$5:$A$434,"All landing pages",Countries!$B$5:$B$434,"Direct",Countries!$D$5:$D$434,$A509,Countries!$Q$5:$Q$434,"&gt;0")/SUMIFS(Countries!$Q$5:$Q$434,Countries!$A$5:$A$434,"All landing pages",Countries!$B$5:$B$434,"Direct",Countries!$D$5:$D$434,$A509,Countries!$AS$5:$AS$434,"&gt;0"))</f>
        <v/>
      </c>
      <c r="L509" s="44">
        <f>IF(OR(J509="",K509=""),"",(K509-J509)*100)</f>
        <v/>
      </c>
      <c r="M509" s="73" t="n"/>
      <c r="N509" s="45">
        <f>IF(SUMIFS(Countries!$P$5:$P$434,Countries!$A$5:$A$434,"All landing pages",Countries!$D$5:$D$434,$A509,Countries!$AR$5:$AR$434,"&gt;0")=0,"",SUMIFS(Countries!$AR$5:$AR$434,Countries!$A$5:$A$434,"All landing pages",Countries!$D$5:$D$434,$A509,Countries!$P$5:$P$434,"&gt;0")/SUMIFS(Countries!$P$5:$P$434,Countries!$A$5:$A$434,"All landing pages",Countries!$D$5:$D$434,$A509,Countries!$AR$5:$AR$434,"&gt;0"))</f>
        <v/>
      </c>
      <c r="O509" s="45">
        <f>IF(SUMIFS(Countries!$Q$5:$Q$434,Countries!$A$5:$A$434,"All landing pages",Countries!$D$5:$D$434,$A509,Countries!$AS$5:$AS$434,"&gt;0")=0,"",SUMIFS(Countries!$AS$5:$AS$434,Countries!$A$5:$A$434,"All landing pages",Countries!$D$5:$D$434,$A509,Countries!$Q$5:$Q$434,"&gt;0")/SUMIFS(Countries!$Q$5:$Q$434,Countries!$A$5:$A$434,"All landing pages",Countries!$D$5:$D$434,$A509,Countries!$AS$5:$AS$434,"&gt;0"))</f>
        <v/>
      </c>
      <c r="P509" s="44">
        <f>IF(OR(N509="",O509=""),"",(O509-N509)*100)</f>
        <v/>
      </c>
      <c r="Q509" s="73" t="n"/>
    </row>
    <row r="510">
      <c r="A510" s="56" t="inlineStr">
        <is>
          <t>Sweden</t>
        </is>
      </c>
      <c r="B510" s="45">
        <f>IF(SUMIFS(Countries!$P$5:$P$434,Countries!$A$5:$A$434,"All landing pages",Countries!$B$5:$B$434,"Paid Search",Countries!$D$5:$D$434,$A510,Countries!$AR$5:$AR$434,"&gt;0")=0,"",SUMIFS(Countries!$AR$5:$AR$434,Countries!$A$5:$A$434,"All landing pages",Countries!$B$5:$B$434,"Paid Search",Countries!$D$5:$D$434,$A510,Countries!$P$5:$P$434,"&gt;0")/SUMIFS(Countries!$P$5:$P$434,Countries!$A$5:$A$434,"All landing pages",Countries!$B$5:$B$434,"Paid Search",Countries!$D$5:$D$434,$A510,Countries!$AR$5:$AR$434,"&gt;0"))</f>
        <v/>
      </c>
      <c r="C510" s="45">
        <f>IF(SUMIFS(Countries!$Q$5:$Q$434,Countries!$A$5:$A$434,"All landing pages",Countries!$B$5:$B$434,"Paid Search",Countries!$D$5:$D$434,$A510,Countries!$AS$5:$AS$434,"&gt;0")=0,"",SUMIFS(Countries!$AS$5:$AS$434,Countries!$A$5:$A$434,"All landing pages",Countries!$B$5:$B$434,"Paid Search",Countries!$D$5:$D$434,$A510,Countries!$Q$5:$Q$434,"&gt;0")/SUMIFS(Countries!$Q$5:$Q$434,Countries!$A$5:$A$434,"All landing pages",Countries!$B$5:$B$434,"Paid Search",Countries!$D$5:$D$434,$A510,Countries!$AS$5:$AS$434,"&gt;0"))</f>
        <v/>
      </c>
      <c r="D510" s="44">
        <f>IF(OR(B510="",C510=""),"",(C510-B510)*100)</f>
        <v/>
      </c>
      <c r="E510" s="73" t="n"/>
      <c r="F510" s="45">
        <f>IF(SUMIFS(Countries!$P$5:$P$434,Countries!$A$5:$A$434,"All landing pages",Countries!$B$5:$B$434,"Organic",Countries!$D$5:$D$434,$A510,Countries!$AR$5:$AR$434,"&gt;0")=0,"",SUMIFS(Countries!$AR$5:$AR$434,Countries!$A$5:$A$434,"All landing pages",Countries!$B$5:$B$434,"Organic",Countries!$D$5:$D$434,$A510,Countries!$P$5:$P$434,"&gt;0")/SUMIFS(Countries!$P$5:$P$434,Countries!$A$5:$A$434,"All landing pages",Countries!$B$5:$B$434,"Organic",Countries!$D$5:$D$434,$A510,Countries!$AR$5:$AR$434,"&gt;0"))</f>
        <v/>
      </c>
      <c r="G510" s="45">
        <f>IF(SUMIFS(Countries!$Q$5:$Q$434,Countries!$A$5:$A$434,"All landing pages",Countries!$B$5:$B$434,"Organic",Countries!$D$5:$D$434,$A510,Countries!$AS$5:$AS$434,"&gt;0")=0,"",SUMIFS(Countries!$AS$5:$AS$434,Countries!$A$5:$A$434,"All landing pages",Countries!$B$5:$B$434,"Organic",Countries!$D$5:$D$434,$A510,Countries!$Q$5:$Q$434,"&gt;0")/SUMIFS(Countries!$Q$5:$Q$434,Countries!$A$5:$A$434,"All landing pages",Countries!$B$5:$B$434,"Organic",Countries!$D$5:$D$434,$A510,Countries!$AS$5:$AS$434,"&gt;0"))</f>
        <v/>
      </c>
      <c r="H510" s="44">
        <f>IF(OR(F510="",G510=""),"",(G510-F510)*100)</f>
        <v/>
      </c>
      <c r="I510" s="73" t="n"/>
      <c r="J510" s="45">
        <f>IF(SUMIFS(Countries!$P$5:$P$434,Countries!$A$5:$A$434,"All landing pages",Countries!$B$5:$B$434,"Direct",Countries!$D$5:$D$434,$A510,Countries!$AR$5:$AR$434,"&gt;0")=0,"",SUMIFS(Countries!$AR$5:$AR$434,Countries!$A$5:$A$434,"All landing pages",Countries!$B$5:$B$434,"Direct",Countries!$D$5:$D$434,$A510,Countries!$P$5:$P$434,"&gt;0")/SUMIFS(Countries!$P$5:$P$434,Countries!$A$5:$A$434,"All landing pages",Countries!$B$5:$B$434,"Direct",Countries!$D$5:$D$434,$A510,Countries!$AR$5:$AR$434,"&gt;0"))</f>
        <v/>
      </c>
      <c r="K510" s="45">
        <f>IF(SUMIFS(Countries!$Q$5:$Q$434,Countries!$A$5:$A$434,"All landing pages",Countries!$B$5:$B$434,"Direct",Countries!$D$5:$D$434,$A510,Countries!$AS$5:$AS$434,"&gt;0")=0,"",SUMIFS(Countries!$AS$5:$AS$434,Countries!$A$5:$A$434,"All landing pages",Countries!$B$5:$B$434,"Direct",Countries!$D$5:$D$434,$A510,Countries!$Q$5:$Q$434,"&gt;0")/SUMIFS(Countries!$Q$5:$Q$434,Countries!$A$5:$A$434,"All landing pages",Countries!$B$5:$B$434,"Direct",Countries!$D$5:$D$434,$A510,Countries!$AS$5:$AS$434,"&gt;0"))</f>
        <v/>
      </c>
      <c r="L510" s="44">
        <f>IF(OR(J510="",K510=""),"",(K510-J510)*100)</f>
        <v/>
      </c>
      <c r="M510" s="73" t="n"/>
      <c r="N510" s="45">
        <f>IF(SUMIFS(Countries!$P$5:$P$434,Countries!$A$5:$A$434,"All landing pages",Countries!$D$5:$D$434,$A510,Countries!$AR$5:$AR$434,"&gt;0")=0,"",SUMIFS(Countries!$AR$5:$AR$434,Countries!$A$5:$A$434,"All landing pages",Countries!$D$5:$D$434,$A510,Countries!$P$5:$P$434,"&gt;0")/SUMIFS(Countries!$P$5:$P$434,Countries!$A$5:$A$434,"All landing pages",Countries!$D$5:$D$434,$A510,Countries!$AR$5:$AR$434,"&gt;0"))</f>
        <v/>
      </c>
      <c r="O510" s="45">
        <f>IF(SUMIFS(Countries!$Q$5:$Q$434,Countries!$A$5:$A$434,"All landing pages",Countries!$D$5:$D$434,$A510,Countries!$AS$5:$AS$434,"&gt;0")=0,"",SUMIFS(Countries!$AS$5:$AS$434,Countries!$A$5:$A$434,"All landing pages",Countries!$D$5:$D$434,$A510,Countries!$Q$5:$Q$434,"&gt;0")/SUMIFS(Countries!$Q$5:$Q$434,Countries!$A$5:$A$434,"All landing pages",Countries!$D$5:$D$434,$A510,Countries!$AS$5:$AS$434,"&gt;0"))</f>
        <v/>
      </c>
      <c r="P510" s="44">
        <f>IF(OR(N510="",O510=""),"",(O510-N510)*100)</f>
        <v/>
      </c>
      <c r="Q510" s="73" t="n"/>
    </row>
    <row r="511">
      <c r="A511" s="40" t="inlineStr">
        <is>
          <t>Belgium</t>
        </is>
      </c>
      <c r="B511" s="45">
        <f>IF(SUMIFS(Countries!$P$5:$P$434,Countries!$A$5:$A$434,"All landing pages",Countries!$B$5:$B$434,"Paid Search",Countries!$D$5:$D$434,$A511,Countries!$AR$5:$AR$434,"&gt;0")=0,"",SUMIFS(Countries!$AR$5:$AR$434,Countries!$A$5:$A$434,"All landing pages",Countries!$B$5:$B$434,"Paid Search",Countries!$D$5:$D$434,$A511,Countries!$P$5:$P$434,"&gt;0")/SUMIFS(Countries!$P$5:$P$434,Countries!$A$5:$A$434,"All landing pages",Countries!$B$5:$B$434,"Paid Search",Countries!$D$5:$D$434,$A511,Countries!$AR$5:$AR$434,"&gt;0"))</f>
        <v/>
      </c>
      <c r="C511" s="45">
        <f>IF(SUMIFS(Countries!$Q$5:$Q$434,Countries!$A$5:$A$434,"All landing pages",Countries!$B$5:$B$434,"Paid Search",Countries!$D$5:$D$434,$A511,Countries!$AS$5:$AS$434,"&gt;0")=0,"",SUMIFS(Countries!$AS$5:$AS$434,Countries!$A$5:$A$434,"All landing pages",Countries!$B$5:$B$434,"Paid Search",Countries!$D$5:$D$434,$A511,Countries!$Q$5:$Q$434,"&gt;0")/SUMIFS(Countries!$Q$5:$Q$434,Countries!$A$5:$A$434,"All landing pages",Countries!$B$5:$B$434,"Paid Search",Countries!$D$5:$D$434,$A511,Countries!$AS$5:$AS$434,"&gt;0"))</f>
        <v/>
      </c>
      <c r="D511" s="44">
        <f>IF(OR(B511="",C511=""),"",(C511-B511)*100)</f>
        <v/>
      </c>
      <c r="E511" s="73" t="n"/>
      <c r="F511" s="45">
        <f>IF(SUMIFS(Countries!$P$5:$P$434,Countries!$A$5:$A$434,"All landing pages",Countries!$B$5:$B$434,"Organic",Countries!$D$5:$D$434,$A511,Countries!$AR$5:$AR$434,"&gt;0")=0,"",SUMIFS(Countries!$AR$5:$AR$434,Countries!$A$5:$A$434,"All landing pages",Countries!$B$5:$B$434,"Organic",Countries!$D$5:$D$434,$A511,Countries!$P$5:$P$434,"&gt;0")/SUMIFS(Countries!$P$5:$P$434,Countries!$A$5:$A$434,"All landing pages",Countries!$B$5:$B$434,"Organic",Countries!$D$5:$D$434,$A511,Countries!$AR$5:$AR$434,"&gt;0"))</f>
        <v/>
      </c>
      <c r="G511" s="45">
        <f>IF(SUMIFS(Countries!$Q$5:$Q$434,Countries!$A$5:$A$434,"All landing pages",Countries!$B$5:$B$434,"Organic",Countries!$D$5:$D$434,$A511,Countries!$AS$5:$AS$434,"&gt;0")=0,"",SUMIFS(Countries!$AS$5:$AS$434,Countries!$A$5:$A$434,"All landing pages",Countries!$B$5:$B$434,"Organic",Countries!$D$5:$D$434,$A511,Countries!$Q$5:$Q$434,"&gt;0")/SUMIFS(Countries!$Q$5:$Q$434,Countries!$A$5:$A$434,"All landing pages",Countries!$B$5:$B$434,"Organic",Countries!$D$5:$D$434,$A511,Countries!$AS$5:$AS$434,"&gt;0"))</f>
        <v/>
      </c>
      <c r="H511" s="44">
        <f>IF(OR(F511="",G511=""),"",(G511-F511)*100)</f>
        <v/>
      </c>
      <c r="I511" s="73" t="n"/>
      <c r="J511" s="45">
        <f>IF(SUMIFS(Countries!$P$5:$P$434,Countries!$A$5:$A$434,"All landing pages",Countries!$B$5:$B$434,"Direct",Countries!$D$5:$D$434,$A511,Countries!$AR$5:$AR$434,"&gt;0")=0,"",SUMIFS(Countries!$AR$5:$AR$434,Countries!$A$5:$A$434,"All landing pages",Countries!$B$5:$B$434,"Direct",Countries!$D$5:$D$434,$A511,Countries!$P$5:$P$434,"&gt;0")/SUMIFS(Countries!$P$5:$P$434,Countries!$A$5:$A$434,"All landing pages",Countries!$B$5:$B$434,"Direct",Countries!$D$5:$D$434,$A511,Countries!$AR$5:$AR$434,"&gt;0"))</f>
        <v/>
      </c>
      <c r="K511" s="45">
        <f>IF(SUMIFS(Countries!$Q$5:$Q$434,Countries!$A$5:$A$434,"All landing pages",Countries!$B$5:$B$434,"Direct",Countries!$D$5:$D$434,$A511,Countries!$AS$5:$AS$434,"&gt;0")=0,"",SUMIFS(Countries!$AS$5:$AS$434,Countries!$A$5:$A$434,"All landing pages",Countries!$B$5:$B$434,"Direct",Countries!$D$5:$D$434,$A511,Countries!$Q$5:$Q$434,"&gt;0")/SUMIFS(Countries!$Q$5:$Q$434,Countries!$A$5:$A$434,"All landing pages",Countries!$B$5:$B$434,"Direct",Countries!$D$5:$D$434,$A511,Countries!$AS$5:$AS$434,"&gt;0"))</f>
        <v/>
      </c>
      <c r="L511" s="44">
        <f>IF(OR(J511="",K511=""),"",(K511-J511)*100)</f>
        <v/>
      </c>
      <c r="M511" s="73" t="n"/>
      <c r="N511" s="45">
        <f>IF(SUMIFS(Countries!$P$5:$P$434,Countries!$A$5:$A$434,"All landing pages",Countries!$D$5:$D$434,$A511,Countries!$AR$5:$AR$434,"&gt;0")=0,"",SUMIFS(Countries!$AR$5:$AR$434,Countries!$A$5:$A$434,"All landing pages",Countries!$D$5:$D$434,$A511,Countries!$P$5:$P$434,"&gt;0")/SUMIFS(Countries!$P$5:$P$434,Countries!$A$5:$A$434,"All landing pages",Countries!$D$5:$D$434,$A511,Countries!$AR$5:$AR$434,"&gt;0"))</f>
        <v/>
      </c>
      <c r="O511" s="45">
        <f>IF(SUMIFS(Countries!$Q$5:$Q$434,Countries!$A$5:$A$434,"All landing pages",Countries!$D$5:$D$434,$A511,Countries!$AS$5:$AS$434,"&gt;0")=0,"",SUMIFS(Countries!$AS$5:$AS$434,Countries!$A$5:$A$434,"All landing pages",Countries!$D$5:$D$434,$A511,Countries!$Q$5:$Q$434,"&gt;0")/SUMIFS(Countries!$Q$5:$Q$434,Countries!$A$5:$A$434,"All landing pages",Countries!$D$5:$D$434,$A511,Countries!$AS$5:$AS$434,"&gt;0"))</f>
        <v/>
      </c>
      <c r="P511" s="44">
        <f>IF(OR(N511="",O511=""),"",(O511-N511)*100)</f>
        <v/>
      </c>
      <c r="Q511" s="73" t="n"/>
    </row>
    <row r="512">
      <c r="A512" s="56" t="inlineStr">
        <is>
          <t>Austria</t>
        </is>
      </c>
      <c r="B512" s="45">
        <f>IF(SUMIFS(Countries!$P$5:$P$434,Countries!$A$5:$A$434,"All landing pages",Countries!$B$5:$B$434,"Paid Search",Countries!$D$5:$D$434,$A512,Countries!$AR$5:$AR$434,"&gt;0")=0,"",SUMIFS(Countries!$AR$5:$AR$434,Countries!$A$5:$A$434,"All landing pages",Countries!$B$5:$B$434,"Paid Search",Countries!$D$5:$D$434,$A512,Countries!$P$5:$P$434,"&gt;0")/SUMIFS(Countries!$P$5:$P$434,Countries!$A$5:$A$434,"All landing pages",Countries!$B$5:$B$434,"Paid Search",Countries!$D$5:$D$434,$A512,Countries!$AR$5:$AR$434,"&gt;0"))</f>
        <v/>
      </c>
      <c r="C512" s="45">
        <f>IF(SUMIFS(Countries!$Q$5:$Q$434,Countries!$A$5:$A$434,"All landing pages",Countries!$B$5:$B$434,"Paid Search",Countries!$D$5:$D$434,$A512,Countries!$AS$5:$AS$434,"&gt;0")=0,"",SUMIFS(Countries!$AS$5:$AS$434,Countries!$A$5:$A$434,"All landing pages",Countries!$B$5:$B$434,"Paid Search",Countries!$D$5:$D$434,$A512,Countries!$Q$5:$Q$434,"&gt;0")/SUMIFS(Countries!$Q$5:$Q$434,Countries!$A$5:$A$434,"All landing pages",Countries!$B$5:$B$434,"Paid Search",Countries!$D$5:$D$434,$A512,Countries!$AS$5:$AS$434,"&gt;0"))</f>
        <v/>
      </c>
      <c r="D512" s="44">
        <f>IF(OR(B512="",C512=""),"",(C512-B512)*100)</f>
        <v/>
      </c>
      <c r="E512" s="73" t="n"/>
      <c r="F512" s="45">
        <f>IF(SUMIFS(Countries!$P$5:$P$434,Countries!$A$5:$A$434,"All landing pages",Countries!$B$5:$B$434,"Organic",Countries!$D$5:$D$434,$A512,Countries!$AR$5:$AR$434,"&gt;0")=0,"",SUMIFS(Countries!$AR$5:$AR$434,Countries!$A$5:$A$434,"All landing pages",Countries!$B$5:$B$434,"Organic",Countries!$D$5:$D$434,$A512,Countries!$P$5:$P$434,"&gt;0")/SUMIFS(Countries!$P$5:$P$434,Countries!$A$5:$A$434,"All landing pages",Countries!$B$5:$B$434,"Organic",Countries!$D$5:$D$434,$A512,Countries!$AR$5:$AR$434,"&gt;0"))</f>
        <v/>
      </c>
      <c r="G512" s="45">
        <f>IF(SUMIFS(Countries!$Q$5:$Q$434,Countries!$A$5:$A$434,"All landing pages",Countries!$B$5:$B$434,"Organic",Countries!$D$5:$D$434,$A512,Countries!$AS$5:$AS$434,"&gt;0")=0,"",SUMIFS(Countries!$AS$5:$AS$434,Countries!$A$5:$A$434,"All landing pages",Countries!$B$5:$B$434,"Organic",Countries!$D$5:$D$434,$A512,Countries!$Q$5:$Q$434,"&gt;0")/SUMIFS(Countries!$Q$5:$Q$434,Countries!$A$5:$A$434,"All landing pages",Countries!$B$5:$B$434,"Organic",Countries!$D$5:$D$434,$A512,Countries!$AS$5:$AS$434,"&gt;0"))</f>
        <v/>
      </c>
      <c r="H512" s="44">
        <f>IF(OR(F512="",G512=""),"",(G512-F512)*100)</f>
        <v/>
      </c>
      <c r="I512" s="73" t="n"/>
      <c r="J512" s="45">
        <f>IF(SUMIFS(Countries!$P$5:$P$434,Countries!$A$5:$A$434,"All landing pages",Countries!$B$5:$B$434,"Direct",Countries!$D$5:$D$434,$A512,Countries!$AR$5:$AR$434,"&gt;0")=0,"",SUMIFS(Countries!$AR$5:$AR$434,Countries!$A$5:$A$434,"All landing pages",Countries!$B$5:$B$434,"Direct",Countries!$D$5:$D$434,$A512,Countries!$P$5:$P$434,"&gt;0")/SUMIFS(Countries!$P$5:$P$434,Countries!$A$5:$A$434,"All landing pages",Countries!$B$5:$B$434,"Direct",Countries!$D$5:$D$434,$A512,Countries!$AR$5:$AR$434,"&gt;0"))</f>
        <v/>
      </c>
      <c r="K512" s="45">
        <f>IF(SUMIFS(Countries!$Q$5:$Q$434,Countries!$A$5:$A$434,"All landing pages",Countries!$B$5:$B$434,"Direct",Countries!$D$5:$D$434,$A512,Countries!$AS$5:$AS$434,"&gt;0")=0,"",SUMIFS(Countries!$AS$5:$AS$434,Countries!$A$5:$A$434,"All landing pages",Countries!$B$5:$B$434,"Direct",Countries!$D$5:$D$434,$A512,Countries!$Q$5:$Q$434,"&gt;0")/SUMIFS(Countries!$Q$5:$Q$434,Countries!$A$5:$A$434,"All landing pages",Countries!$B$5:$B$434,"Direct",Countries!$D$5:$D$434,$A512,Countries!$AS$5:$AS$434,"&gt;0"))</f>
        <v/>
      </c>
      <c r="L512" s="44">
        <f>IF(OR(J512="",K512=""),"",(K512-J512)*100)</f>
        <v/>
      </c>
      <c r="M512" s="73" t="n"/>
      <c r="N512" s="45">
        <f>IF(SUMIFS(Countries!$P$5:$P$434,Countries!$A$5:$A$434,"All landing pages",Countries!$D$5:$D$434,$A512,Countries!$AR$5:$AR$434,"&gt;0")=0,"",SUMIFS(Countries!$AR$5:$AR$434,Countries!$A$5:$A$434,"All landing pages",Countries!$D$5:$D$434,$A512,Countries!$P$5:$P$434,"&gt;0")/SUMIFS(Countries!$P$5:$P$434,Countries!$A$5:$A$434,"All landing pages",Countries!$D$5:$D$434,$A512,Countries!$AR$5:$AR$434,"&gt;0"))</f>
        <v/>
      </c>
      <c r="O512" s="45">
        <f>IF(SUMIFS(Countries!$Q$5:$Q$434,Countries!$A$5:$A$434,"All landing pages",Countries!$D$5:$D$434,$A512,Countries!$AS$5:$AS$434,"&gt;0")=0,"",SUMIFS(Countries!$AS$5:$AS$434,Countries!$A$5:$A$434,"All landing pages",Countries!$D$5:$D$434,$A512,Countries!$Q$5:$Q$434,"&gt;0")/SUMIFS(Countries!$Q$5:$Q$434,Countries!$A$5:$A$434,"All landing pages",Countries!$D$5:$D$434,$A512,Countries!$AS$5:$AS$434,"&gt;0"))</f>
        <v/>
      </c>
      <c r="P512" s="44">
        <f>IF(OR(N512="",O512=""),"",(O512-N512)*100)</f>
        <v/>
      </c>
      <c r="Q512" s="73" t="n"/>
    </row>
    <row r="513">
      <c r="A513" s="40" t="inlineStr">
        <is>
          <t>Denmark</t>
        </is>
      </c>
      <c r="B513" s="45">
        <f>IF(SUMIFS(Countries!$P$5:$P$434,Countries!$A$5:$A$434,"All landing pages",Countries!$B$5:$B$434,"Paid Search",Countries!$D$5:$D$434,$A513,Countries!$AR$5:$AR$434,"&gt;0")=0,"",SUMIFS(Countries!$AR$5:$AR$434,Countries!$A$5:$A$434,"All landing pages",Countries!$B$5:$B$434,"Paid Search",Countries!$D$5:$D$434,$A513,Countries!$P$5:$P$434,"&gt;0")/SUMIFS(Countries!$P$5:$P$434,Countries!$A$5:$A$434,"All landing pages",Countries!$B$5:$B$434,"Paid Search",Countries!$D$5:$D$434,$A513,Countries!$AR$5:$AR$434,"&gt;0"))</f>
        <v/>
      </c>
      <c r="C513" s="45">
        <f>IF(SUMIFS(Countries!$Q$5:$Q$434,Countries!$A$5:$A$434,"All landing pages",Countries!$B$5:$B$434,"Paid Search",Countries!$D$5:$D$434,$A513,Countries!$AS$5:$AS$434,"&gt;0")=0,"",SUMIFS(Countries!$AS$5:$AS$434,Countries!$A$5:$A$434,"All landing pages",Countries!$B$5:$B$434,"Paid Search",Countries!$D$5:$D$434,$A513,Countries!$Q$5:$Q$434,"&gt;0")/SUMIFS(Countries!$Q$5:$Q$434,Countries!$A$5:$A$434,"All landing pages",Countries!$B$5:$B$434,"Paid Search",Countries!$D$5:$D$434,$A513,Countries!$AS$5:$AS$434,"&gt;0"))</f>
        <v/>
      </c>
      <c r="D513" s="44">
        <f>IF(OR(B513="",C513=""),"",(C513-B513)*100)</f>
        <v/>
      </c>
      <c r="E513" s="73" t="n"/>
      <c r="F513" s="45">
        <f>IF(SUMIFS(Countries!$P$5:$P$434,Countries!$A$5:$A$434,"All landing pages",Countries!$B$5:$B$434,"Organic",Countries!$D$5:$D$434,$A513,Countries!$AR$5:$AR$434,"&gt;0")=0,"",SUMIFS(Countries!$AR$5:$AR$434,Countries!$A$5:$A$434,"All landing pages",Countries!$B$5:$B$434,"Organic",Countries!$D$5:$D$434,$A513,Countries!$P$5:$P$434,"&gt;0")/SUMIFS(Countries!$P$5:$P$434,Countries!$A$5:$A$434,"All landing pages",Countries!$B$5:$B$434,"Organic",Countries!$D$5:$D$434,$A513,Countries!$AR$5:$AR$434,"&gt;0"))</f>
        <v/>
      </c>
      <c r="G513" s="45">
        <f>IF(SUMIFS(Countries!$Q$5:$Q$434,Countries!$A$5:$A$434,"All landing pages",Countries!$B$5:$B$434,"Organic",Countries!$D$5:$D$434,$A513,Countries!$AS$5:$AS$434,"&gt;0")=0,"",SUMIFS(Countries!$AS$5:$AS$434,Countries!$A$5:$A$434,"All landing pages",Countries!$B$5:$B$434,"Organic",Countries!$D$5:$D$434,$A513,Countries!$Q$5:$Q$434,"&gt;0")/SUMIFS(Countries!$Q$5:$Q$434,Countries!$A$5:$A$434,"All landing pages",Countries!$B$5:$B$434,"Organic",Countries!$D$5:$D$434,$A513,Countries!$AS$5:$AS$434,"&gt;0"))</f>
        <v/>
      </c>
      <c r="H513" s="44">
        <f>IF(OR(F513="",G513=""),"",(G513-F513)*100)</f>
        <v/>
      </c>
      <c r="I513" s="73" t="n"/>
      <c r="J513" s="45">
        <f>IF(SUMIFS(Countries!$P$5:$P$434,Countries!$A$5:$A$434,"All landing pages",Countries!$B$5:$B$434,"Direct",Countries!$D$5:$D$434,$A513,Countries!$AR$5:$AR$434,"&gt;0")=0,"",SUMIFS(Countries!$AR$5:$AR$434,Countries!$A$5:$A$434,"All landing pages",Countries!$B$5:$B$434,"Direct",Countries!$D$5:$D$434,$A513,Countries!$P$5:$P$434,"&gt;0")/SUMIFS(Countries!$P$5:$P$434,Countries!$A$5:$A$434,"All landing pages",Countries!$B$5:$B$434,"Direct",Countries!$D$5:$D$434,$A513,Countries!$AR$5:$AR$434,"&gt;0"))</f>
        <v/>
      </c>
      <c r="K513" s="45">
        <f>IF(SUMIFS(Countries!$Q$5:$Q$434,Countries!$A$5:$A$434,"All landing pages",Countries!$B$5:$B$434,"Direct",Countries!$D$5:$D$434,$A513,Countries!$AS$5:$AS$434,"&gt;0")=0,"",SUMIFS(Countries!$AS$5:$AS$434,Countries!$A$5:$A$434,"All landing pages",Countries!$B$5:$B$434,"Direct",Countries!$D$5:$D$434,$A513,Countries!$Q$5:$Q$434,"&gt;0")/SUMIFS(Countries!$Q$5:$Q$434,Countries!$A$5:$A$434,"All landing pages",Countries!$B$5:$B$434,"Direct",Countries!$D$5:$D$434,$A513,Countries!$AS$5:$AS$434,"&gt;0"))</f>
        <v/>
      </c>
      <c r="L513" s="44">
        <f>IF(OR(J513="",K513=""),"",(K513-J513)*100)</f>
        <v/>
      </c>
      <c r="M513" s="73" t="n"/>
      <c r="N513" s="45">
        <f>IF(SUMIFS(Countries!$P$5:$P$434,Countries!$A$5:$A$434,"All landing pages",Countries!$D$5:$D$434,$A513,Countries!$AR$5:$AR$434,"&gt;0")=0,"",SUMIFS(Countries!$AR$5:$AR$434,Countries!$A$5:$A$434,"All landing pages",Countries!$D$5:$D$434,$A513,Countries!$P$5:$P$434,"&gt;0")/SUMIFS(Countries!$P$5:$P$434,Countries!$A$5:$A$434,"All landing pages",Countries!$D$5:$D$434,$A513,Countries!$AR$5:$AR$434,"&gt;0"))</f>
        <v/>
      </c>
      <c r="O513" s="45">
        <f>IF(SUMIFS(Countries!$Q$5:$Q$434,Countries!$A$5:$A$434,"All landing pages",Countries!$D$5:$D$434,$A513,Countries!$AS$5:$AS$434,"&gt;0")=0,"",SUMIFS(Countries!$AS$5:$AS$434,Countries!$A$5:$A$434,"All landing pages",Countries!$D$5:$D$434,$A513,Countries!$Q$5:$Q$434,"&gt;0")/SUMIFS(Countries!$Q$5:$Q$434,Countries!$A$5:$A$434,"All landing pages",Countries!$D$5:$D$434,$A513,Countries!$AS$5:$AS$434,"&gt;0"))</f>
        <v/>
      </c>
      <c r="P513" s="44">
        <f>IF(OR(N513="",O513=""),"",(O513-N513)*100)</f>
        <v/>
      </c>
      <c r="Q513" s="73" t="n"/>
    </row>
    <row r="514">
      <c r="A514" s="56" t="inlineStr">
        <is>
          <t>Norway</t>
        </is>
      </c>
      <c r="B514" s="45">
        <f>IF(SUMIFS(Countries!$P$5:$P$434,Countries!$A$5:$A$434,"All landing pages",Countries!$B$5:$B$434,"Paid Search",Countries!$D$5:$D$434,$A514,Countries!$AR$5:$AR$434,"&gt;0")=0,"",SUMIFS(Countries!$AR$5:$AR$434,Countries!$A$5:$A$434,"All landing pages",Countries!$B$5:$B$434,"Paid Search",Countries!$D$5:$D$434,$A514,Countries!$P$5:$P$434,"&gt;0")/SUMIFS(Countries!$P$5:$P$434,Countries!$A$5:$A$434,"All landing pages",Countries!$B$5:$B$434,"Paid Search",Countries!$D$5:$D$434,$A514,Countries!$AR$5:$AR$434,"&gt;0"))</f>
        <v/>
      </c>
      <c r="C514" s="45">
        <f>IF(SUMIFS(Countries!$Q$5:$Q$434,Countries!$A$5:$A$434,"All landing pages",Countries!$B$5:$B$434,"Paid Search",Countries!$D$5:$D$434,$A514,Countries!$AS$5:$AS$434,"&gt;0")=0,"",SUMIFS(Countries!$AS$5:$AS$434,Countries!$A$5:$A$434,"All landing pages",Countries!$B$5:$B$434,"Paid Search",Countries!$D$5:$D$434,$A514,Countries!$Q$5:$Q$434,"&gt;0")/SUMIFS(Countries!$Q$5:$Q$434,Countries!$A$5:$A$434,"All landing pages",Countries!$B$5:$B$434,"Paid Search",Countries!$D$5:$D$434,$A514,Countries!$AS$5:$AS$434,"&gt;0"))</f>
        <v/>
      </c>
      <c r="D514" s="44">
        <f>IF(OR(B514="",C514=""),"",(C514-B514)*100)</f>
        <v/>
      </c>
      <c r="E514" s="73" t="n"/>
      <c r="F514" s="45">
        <f>IF(SUMIFS(Countries!$P$5:$P$434,Countries!$A$5:$A$434,"All landing pages",Countries!$B$5:$B$434,"Organic",Countries!$D$5:$D$434,$A514,Countries!$AR$5:$AR$434,"&gt;0")=0,"",SUMIFS(Countries!$AR$5:$AR$434,Countries!$A$5:$A$434,"All landing pages",Countries!$B$5:$B$434,"Organic",Countries!$D$5:$D$434,$A514,Countries!$P$5:$P$434,"&gt;0")/SUMIFS(Countries!$P$5:$P$434,Countries!$A$5:$A$434,"All landing pages",Countries!$B$5:$B$434,"Organic",Countries!$D$5:$D$434,$A514,Countries!$AR$5:$AR$434,"&gt;0"))</f>
        <v/>
      </c>
      <c r="G514" s="45">
        <f>IF(SUMIFS(Countries!$Q$5:$Q$434,Countries!$A$5:$A$434,"All landing pages",Countries!$B$5:$B$434,"Organic",Countries!$D$5:$D$434,$A514,Countries!$AS$5:$AS$434,"&gt;0")=0,"",SUMIFS(Countries!$AS$5:$AS$434,Countries!$A$5:$A$434,"All landing pages",Countries!$B$5:$B$434,"Organic",Countries!$D$5:$D$434,$A514,Countries!$Q$5:$Q$434,"&gt;0")/SUMIFS(Countries!$Q$5:$Q$434,Countries!$A$5:$A$434,"All landing pages",Countries!$B$5:$B$434,"Organic",Countries!$D$5:$D$434,$A514,Countries!$AS$5:$AS$434,"&gt;0"))</f>
        <v/>
      </c>
      <c r="H514" s="44">
        <f>IF(OR(F514="",G514=""),"",(G514-F514)*100)</f>
        <v/>
      </c>
      <c r="I514" s="73" t="n"/>
      <c r="J514" s="45">
        <f>IF(SUMIFS(Countries!$P$5:$P$434,Countries!$A$5:$A$434,"All landing pages",Countries!$B$5:$B$434,"Direct",Countries!$D$5:$D$434,$A514,Countries!$AR$5:$AR$434,"&gt;0")=0,"",SUMIFS(Countries!$AR$5:$AR$434,Countries!$A$5:$A$434,"All landing pages",Countries!$B$5:$B$434,"Direct",Countries!$D$5:$D$434,$A514,Countries!$P$5:$P$434,"&gt;0")/SUMIFS(Countries!$P$5:$P$434,Countries!$A$5:$A$434,"All landing pages",Countries!$B$5:$B$434,"Direct",Countries!$D$5:$D$434,$A514,Countries!$AR$5:$AR$434,"&gt;0"))</f>
        <v/>
      </c>
      <c r="K514" s="45">
        <f>IF(SUMIFS(Countries!$Q$5:$Q$434,Countries!$A$5:$A$434,"All landing pages",Countries!$B$5:$B$434,"Direct",Countries!$D$5:$D$434,$A514,Countries!$AS$5:$AS$434,"&gt;0")=0,"",SUMIFS(Countries!$AS$5:$AS$434,Countries!$A$5:$A$434,"All landing pages",Countries!$B$5:$B$434,"Direct",Countries!$D$5:$D$434,$A514,Countries!$Q$5:$Q$434,"&gt;0")/SUMIFS(Countries!$Q$5:$Q$434,Countries!$A$5:$A$434,"All landing pages",Countries!$B$5:$B$434,"Direct",Countries!$D$5:$D$434,$A514,Countries!$AS$5:$AS$434,"&gt;0"))</f>
        <v/>
      </c>
      <c r="L514" s="44">
        <f>IF(OR(J514="",K514=""),"",(K514-J514)*100)</f>
        <v/>
      </c>
      <c r="M514" s="73" t="n"/>
      <c r="N514" s="45">
        <f>IF(SUMIFS(Countries!$P$5:$P$434,Countries!$A$5:$A$434,"All landing pages",Countries!$D$5:$D$434,$A514,Countries!$AR$5:$AR$434,"&gt;0")=0,"",SUMIFS(Countries!$AR$5:$AR$434,Countries!$A$5:$A$434,"All landing pages",Countries!$D$5:$D$434,$A514,Countries!$P$5:$P$434,"&gt;0")/SUMIFS(Countries!$P$5:$P$434,Countries!$A$5:$A$434,"All landing pages",Countries!$D$5:$D$434,$A514,Countries!$AR$5:$AR$434,"&gt;0"))</f>
        <v/>
      </c>
      <c r="O514" s="45">
        <f>IF(SUMIFS(Countries!$Q$5:$Q$434,Countries!$A$5:$A$434,"All landing pages",Countries!$D$5:$D$434,$A514,Countries!$AS$5:$AS$434,"&gt;0")=0,"",SUMIFS(Countries!$AS$5:$AS$434,Countries!$A$5:$A$434,"All landing pages",Countries!$D$5:$D$434,$A514,Countries!$Q$5:$Q$434,"&gt;0")/SUMIFS(Countries!$Q$5:$Q$434,Countries!$A$5:$A$434,"All landing pages",Countries!$D$5:$D$434,$A514,Countries!$AS$5:$AS$434,"&gt;0"))</f>
        <v/>
      </c>
      <c r="P514" s="44">
        <f>IF(OR(N514="",O514=""),"",(O514-N514)*100)</f>
        <v/>
      </c>
      <c r="Q514" s="73" t="n"/>
    </row>
    <row r="515">
      <c r="A515" s="40" t="inlineStr">
        <is>
          <t>Finland</t>
        </is>
      </c>
      <c r="B515" s="45">
        <f>IF(SUMIFS(Countries!$P$5:$P$434,Countries!$A$5:$A$434,"All landing pages",Countries!$B$5:$B$434,"Paid Search",Countries!$D$5:$D$434,$A515,Countries!$AR$5:$AR$434,"&gt;0")=0,"",SUMIFS(Countries!$AR$5:$AR$434,Countries!$A$5:$A$434,"All landing pages",Countries!$B$5:$B$434,"Paid Search",Countries!$D$5:$D$434,$A515,Countries!$P$5:$P$434,"&gt;0")/SUMIFS(Countries!$P$5:$P$434,Countries!$A$5:$A$434,"All landing pages",Countries!$B$5:$B$434,"Paid Search",Countries!$D$5:$D$434,$A515,Countries!$AR$5:$AR$434,"&gt;0"))</f>
        <v/>
      </c>
      <c r="C515" s="45">
        <f>IF(SUMIFS(Countries!$Q$5:$Q$434,Countries!$A$5:$A$434,"All landing pages",Countries!$B$5:$B$434,"Paid Search",Countries!$D$5:$D$434,$A515,Countries!$AS$5:$AS$434,"&gt;0")=0,"",SUMIFS(Countries!$AS$5:$AS$434,Countries!$A$5:$A$434,"All landing pages",Countries!$B$5:$B$434,"Paid Search",Countries!$D$5:$D$434,$A515,Countries!$Q$5:$Q$434,"&gt;0")/SUMIFS(Countries!$Q$5:$Q$434,Countries!$A$5:$A$434,"All landing pages",Countries!$B$5:$B$434,"Paid Search",Countries!$D$5:$D$434,$A515,Countries!$AS$5:$AS$434,"&gt;0"))</f>
        <v/>
      </c>
      <c r="D515" s="44">
        <f>IF(OR(B515="",C515=""),"",(C515-B515)*100)</f>
        <v/>
      </c>
      <c r="E515" s="73" t="n"/>
      <c r="F515" s="45">
        <f>IF(SUMIFS(Countries!$P$5:$P$434,Countries!$A$5:$A$434,"All landing pages",Countries!$B$5:$B$434,"Organic",Countries!$D$5:$D$434,$A515,Countries!$AR$5:$AR$434,"&gt;0")=0,"",SUMIFS(Countries!$AR$5:$AR$434,Countries!$A$5:$A$434,"All landing pages",Countries!$B$5:$B$434,"Organic",Countries!$D$5:$D$434,$A515,Countries!$P$5:$P$434,"&gt;0")/SUMIFS(Countries!$P$5:$P$434,Countries!$A$5:$A$434,"All landing pages",Countries!$B$5:$B$434,"Organic",Countries!$D$5:$D$434,$A515,Countries!$AR$5:$AR$434,"&gt;0"))</f>
        <v/>
      </c>
      <c r="G515" s="45">
        <f>IF(SUMIFS(Countries!$Q$5:$Q$434,Countries!$A$5:$A$434,"All landing pages",Countries!$B$5:$B$434,"Organic",Countries!$D$5:$D$434,$A515,Countries!$AS$5:$AS$434,"&gt;0")=0,"",SUMIFS(Countries!$AS$5:$AS$434,Countries!$A$5:$A$434,"All landing pages",Countries!$B$5:$B$434,"Organic",Countries!$D$5:$D$434,$A515,Countries!$Q$5:$Q$434,"&gt;0")/SUMIFS(Countries!$Q$5:$Q$434,Countries!$A$5:$A$434,"All landing pages",Countries!$B$5:$B$434,"Organic",Countries!$D$5:$D$434,$A515,Countries!$AS$5:$AS$434,"&gt;0"))</f>
        <v/>
      </c>
      <c r="H515" s="44">
        <f>IF(OR(F515="",G515=""),"",(G515-F515)*100)</f>
        <v/>
      </c>
      <c r="I515" s="73" t="n"/>
      <c r="J515" s="45">
        <f>IF(SUMIFS(Countries!$P$5:$P$434,Countries!$A$5:$A$434,"All landing pages",Countries!$B$5:$B$434,"Direct",Countries!$D$5:$D$434,$A515,Countries!$AR$5:$AR$434,"&gt;0")=0,"",SUMIFS(Countries!$AR$5:$AR$434,Countries!$A$5:$A$434,"All landing pages",Countries!$B$5:$B$434,"Direct",Countries!$D$5:$D$434,$A515,Countries!$P$5:$P$434,"&gt;0")/SUMIFS(Countries!$P$5:$P$434,Countries!$A$5:$A$434,"All landing pages",Countries!$B$5:$B$434,"Direct",Countries!$D$5:$D$434,$A515,Countries!$AR$5:$AR$434,"&gt;0"))</f>
        <v/>
      </c>
      <c r="K515" s="45">
        <f>IF(SUMIFS(Countries!$Q$5:$Q$434,Countries!$A$5:$A$434,"All landing pages",Countries!$B$5:$B$434,"Direct",Countries!$D$5:$D$434,$A515,Countries!$AS$5:$AS$434,"&gt;0")=0,"",SUMIFS(Countries!$AS$5:$AS$434,Countries!$A$5:$A$434,"All landing pages",Countries!$B$5:$B$434,"Direct",Countries!$D$5:$D$434,$A515,Countries!$Q$5:$Q$434,"&gt;0")/SUMIFS(Countries!$Q$5:$Q$434,Countries!$A$5:$A$434,"All landing pages",Countries!$B$5:$B$434,"Direct",Countries!$D$5:$D$434,$A515,Countries!$AS$5:$AS$434,"&gt;0"))</f>
        <v/>
      </c>
      <c r="L515" s="44">
        <f>IF(OR(J515="",K515=""),"",(K515-J515)*100)</f>
        <v/>
      </c>
      <c r="M515" s="73" t="n"/>
      <c r="N515" s="45">
        <f>IF(SUMIFS(Countries!$P$5:$P$434,Countries!$A$5:$A$434,"All landing pages",Countries!$D$5:$D$434,$A515,Countries!$AR$5:$AR$434,"&gt;0")=0,"",SUMIFS(Countries!$AR$5:$AR$434,Countries!$A$5:$A$434,"All landing pages",Countries!$D$5:$D$434,$A515,Countries!$P$5:$P$434,"&gt;0")/SUMIFS(Countries!$P$5:$P$434,Countries!$A$5:$A$434,"All landing pages",Countries!$D$5:$D$434,$A515,Countries!$AR$5:$AR$434,"&gt;0"))</f>
        <v/>
      </c>
      <c r="O515" s="45">
        <f>IF(SUMIFS(Countries!$Q$5:$Q$434,Countries!$A$5:$A$434,"All landing pages",Countries!$D$5:$D$434,$A515,Countries!$AS$5:$AS$434,"&gt;0")=0,"",SUMIFS(Countries!$AS$5:$AS$434,Countries!$A$5:$A$434,"All landing pages",Countries!$D$5:$D$434,$A515,Countries!$Q$5:$Q$434,"&gt;0")/SUMIFS(Countries!$Q$5:$Q$434,Countries!$A$5:$A$434,"All landing pages",Countries!$D$5:$D$434,$A515,Countries!$AS$5:$AS$434,"&gt;0"))</f>
        <v/>
      </c>
      <c r="P515" s="44">
        <f>IF(OR(N515="",O515=""),"",(O515-N515)*100)</f>
        <v/>
      </c>
      <c r="Q515" s="73" t="n"/>
    </row>
    <row r="516">
      <c r="A516" s="56" t="inlineStr">
        <is>
          <t>Portugal</t>
        </is>
      </c>
      <c r="B516" s="45">
        <f>IF(SUMIFS(Countries!$P$5:$P$434,Countries!$A$5:$A$434,"All landing pages",Countries!$B$5:$B$434,"Paid Search",Countries!$D$5:$D$434,$A516,Countries!$AR$5:$AR$434,"&gt;0")=0,"",SUMIFS(Countries!$AR$5:$AR$434,Countries!$A$5:$A$434,"All landing pages",Countries!$B$5:$B$434,"Paid Search",Countries!$D$5:$D$434,$A516,Countries!$P$5:$P$434,"&gt;0")/SUMIFS(Countries!$P$5:$P$434,Countries!$A$5:$A$434,"All landing pages",Countries!$B$5:$B$434,"Paid Search",Countries!$D$5:$D$434,$A516,Countries!$AR$5:$AR$434,"&gt;0"))</f>
        <v/>
      </c>
      <c r="C516" s="45">
        <f>IF(SUMIFS(Countries!$Q$5:$Q$434,Countries!$A$5:$A$434,"All landing pages",Countries!$B$5:$B$434,"Paid Search",Countries!$D$5:$D$434,$A516,Countries!$AS$5:$AS$434,"&gt;0")=0,"",SUMIFS(Countries!$AS$5:$AS$434,Countries!$A$5:$A$434,"All landing pages",Countries!$B$5:$B$434,"Paid Search",Countries!$D$5:$D$434,$A516,Countries!$Q$5:$Q$434,"&gt;0")/SUMIFS(Countries!$Q$5:$Q$434,Countries!$A$5:$A$434,"All landing pages",Countries!$B$5:$B$434,"Paid Search",Countries!$D$5:$D$434,$A516,Countries!$AS$5:$AS$434,"&gt;0"))</f>
        <v/>
      </c>
      <c r="D516" s="44">
        <f>IF(OR(B516="",C516=""),"",(C516-B516)*100)</f>
        <v/>
      </c>
      <c r="E516" s="73" t="n"/>
      <c r="F516" s="45">
        <f>IF(SUMIFS(Countries!$P$5:$P$434,Countries!$A$5:$A$434,"All landing pages",Countries!$B$5:$B$434,"Organic",Countries!$D$5:$D$434,$A516,Countries!$AR$5:$AR$434,"&gt;0")=0,"",SUMIFS(Countries!$AR$5:$AR$434,Countries!$A$5:$A$434,"All landing pages",Countries!$B$5:$B$434,"Organic",Countries!$D$5:$D$434,$A516,Countries!$P$5:$P$434,"&gt;0")/SUMIFS(Countries!$P$5:$P$434,Countries!$A$5:$A$434,"All landing pages",Countries!$B$5:$B$434,"Organic",Countries!$D$5:$D$434,$A516,Countries!$AR$5:$AR$434,"&gt;0"))</f>
        <v/>
      </c>
      <c r="G516" s="45">
        <f>IF(SUMIFS(Countries!$Q$5:$Q$434,Countries!$A$5:$A$434,"All landing pages",Countries!$B$5:$B$434,"Organic",Countries!$D$5:$D$434,$A516,Countries!$AS$5:$AS$434,"&gt;0")=0,"",SUMIFS(Countries!$AS$5:$AS$434,Countries!$A$5:$A$434,"All landing pages",Countries!$B$5:$B$434,"Organic",Countries!$D$5:$D$434,$A516,Countries!$Q$5:$Q$434,"&gt;0")/SUMIFS(Countries!$Q$5:$Q$434,Countries!$A$5:$A$434,"All landing pages",Countries!$B$5:$B$434,"Organic",Countries!$D$5:$D$434,$A516,Countries!$AS$5:$AS$434,"&gt;0"))</f>
        <v/>
      </c>
      <c r="H516" s="44">
        <f>IF(OR(F516="",G516=""),"",(G516-F516)*100)</f>
        <v/>
      </c>
      <c r="I516" s="73" t="n"/>
      <c r="J516" s="45">
        <f>IF(SUMIFS(Countries!$P$5:$P$434,Countries!$A$5:$A$434,"All landing pages",Countries!$B$5:$B$434,"Direct",Countries!$D$5:$D$434,$A516,Countries!$AR$5:$AR$434,"&gt;0")=0,"",SUMIFS(Countries!$AR$5:$AR$434,Countries!$A$5:$A$434,"All landing pages",Countries!$B$5:$B$434,"Direct",Countries!$D$5:$D$434,$A516,Countries!$P$5:$P$434,"&gt;0")/SUMIFS(Countries!$P$5:$P$434,Countries!$A$5:$A$434,"All landing pages",Countries!$B$5:$B$434,"Direct",Countries!$D$5:$D$434,$A516,Countries!$AR$5:$AR$434,"&gt;0"))</f>
        <v/>
      </c>
      <c r="K516" s="45">
        <f>IF(SUMIFS(Countries!$Q$5:$Q$434,Countries!$A$5:$A$434,"All landing pages",Countries!$B$5:$B$434,"Direct",Countries!$D$5:$D$434,$A516,Countries!$AS$5:$AS$434,"&gt;0")=0,"",SUMIFS(Countries!$AS$5:$AS$434,Countries!$A$5:$A$434,"All landing pages",Countries!$B$5:$B$434,"Direct",Countries!$D$5:$D$434,$A516,Countries!$Q$5:$Q$434,"&gt;0")/SUMIFS(Countries!$Q$5:$Q$434,Countries!$A$5:$A$434,"All landing pages",Countries!$B$5:$B$434,"Direct",Countries!$D$5:$D$434,$A516,Countries!$AS$5:$AS$434,"&gt;0"))</f>
        <v/>
      </c>
      <c r="L516" s="44">
        <f>IF(OR(J516="",K516=""),"",(K516-J516)*100)</f>
        <v/>
      </c>
      <c r="M516" s="73" t="n"/>
      <c r="N516" s="45">
        <f>IF(SUMIFS(Countries!$P$5:$P$434,Countries!$A$5:$A$434,"All landing pages",Countries!$D$5:$D$434,$A516,Countries!$AR$5:$AR$434,"&gt;0")=0,"",SUMIFS(Countries!$AR$5:$AR$434,Countries!$A$5:$A$434,"All landing pages",Countries!$D$5:$D$434,$A516,Countries!$P$5:$P$434,"&gt;0")/SUMIFS(Countries!$P$5:$P$434,Countries!$A$5:$A$434,"All landing pages",Countries!$D$5:$D$434,$A516,Countries!$AR$5:$AR$434,"&gt;0"))</f>
        <v/>
      </c>
      <c r="O516" s="45">
        <f>IF(SUMIFS(Countries!$Q$5:$Q$434,Countries!$A$5:$A$434,"All landing pages",Countries!$D$5:$D$434,$A516,Countries!$AS$5:$AS$434,"&gt;0")=0,"",SUMIFS(Countries!$AS$5:$AS$434,Countries!$A$5:$A$434,"All landing pages",Countries!$D$5:$D$434,$A516,Countries!$Q$5:$Q$434,"&gt;0")/SUMIFS(Countries!$Q$5:$Q$434,Countries!$A$5:$A$434,"All landing pages",Countries!$D$5:$D$434,$A516,Countries!$AS$5:$AS$434,"&gt;0"))</f>
        <v/>
      </c>
      <c r="P516" s="44">
        <f>IF(OR(N516="",O516=""),"",(O516-N516)*100)</f>
        <v/>
      </c>
      <c r="Q516" s="73" t="n"/>
    </row>
    <row r="517">
      <c r="A517" s="40" t="inlineStr">
        <is>
          <t>Türkiye</t>
        </is>
      </c>
      <c r="B517" s="45">
        <f>IF(SUMIFS(Countries!$P$5:$P$434,Countries!$A$5:$A$434,"All landing pages",Countries!$B$5:$B$434,"Paid Search",Countries!$D$5:$D$434,$A517,Countries!$AR$5:$AR$434,"&gt;0")=0,"",SUMIFS(Countries!$AR$5:$AR$434,Countries!$A$5:$A$434,"All landing pages",Countries!$B$5:$B$434,"Paid Search",Countries!$D$5:$D$434,$A517,Countries!$P$5:$P$434,"&gt;0")/SUMIFS(Countries!$P$5:$P$434,Countries!$A$5:$A$434,"All landing pages",Countries!$B$5:$B$434,"Paid Search",Countries!$D$5:$D$434,$A517,Countries!$AR$5:$AR$434,"&gt;0"))</f>
        <v/>
      </c>
      <c r="C517" s="45">
        <f>IF(SUMIFS(Countries!$Q$5:$Q$434,Countries!$A$5:$A$434,"All landing pages",Countries!$B$5:$B$434,"Paid Search",Countries!$D$5:$D$434,$A517,Countries!$AS$5:$AS$434,"&gt;0")=0,"",SUMIFS(Countries!$AS$5:$AS$434,Countries!$A$5:$A$434,"All landing pages",Countries!$B$5:$B$434,"Paid Search",Countries!$D$5:$D$434,$A517,Countries!$Q$5:$Q$434,"&gt;0")/SUMIFS(Countries!$Q$5:$Q$434,Countries!$A$5:$A$434,"All landing pages",Countries!$B$5:$B$434,"Paid Search",Countries!$D$5:$D$434,$A517,Countries!$AS$5:$AS$434,"&gt;0"))</f>
        <v/>
      </c>
      <c r="D517" s="44">
        <f>IF(OR(B517="",C517=""),"",(C517-B517)*100)</f>
        <v/>
      </c>
      <c r="E517" s="73" t="n"/>
      <c r="F517" s="45">
        <f>IF(SUMIFS(Countries!$P$5:$P$434,Countries!$A$5:$A$434,"All landing pages",Countries!$B$5:$B$434,"Organic",Countries!$D$5:$D$434,$A517,Countries!$AR$5:$AR$434,"&gt;0")=0,"",SUMIFS(Countries!$AR$5:$AR$434,Countries!$A$5:$A$434,"All landing pages",Countries!$B$5:$B$434,"Organic",Countries!$D$5:$D$434,$A517,Countries!$P$5:$P$434,"&gt;0")/SUMIFS(Countries!$P$5:$P$434,Countries!$A$5:$A$434,"All landing pages",Countries!$B$5:$B$434,"Organic",Countries!$D$5:$D$434,$A517,Countries!$AR$5:$AR$434,"&gt;0"))</f>
        <v/>
      </c>
      <c r="G517" s="45">
        <f>IF(SUMIFS(Countries!$Q$5:$Q$434,Countries!$A$5:$A$434,"All landing pages",Countries!$B$5:$B$434,"Organic",Countries!$D$5:$D$434,$A517,Countries!$AS$5:$AS$434,"&gt;0")=0,"",SUMIFS(Countries!$AS$5:$AS$434,Countries!$A$5:$A$434,"All landing pages",Countries!$B$5:$B$434,"Organic",Countries!$D$5:$D$434,$A517,Countries!$Q$5:$Q$434,"&gt;0")/SUMIFS(Countries!$Q$5:$Q$434,Countries!$A$5:$A$434,"All landing pages",Countries!$B$5:$B$434,"Organic",Countries!$D$5:$D$434,$A517,Countries!$AS$5:$AS$434,"&gt;0"))</f>
        <v/>
      </c>
      <c r="H517" s="44">
        <f>IF(OR(F517="",G517=""),"",(G517-F517)*100)</f>
        <v/>
      </c>
      <c r="I517" s="73" t="n"/>
      <c r="J517" s="45">
        <f>IF(SUMIFS(Countries!$P$5:$P$434,Countries!$A$5:$A$434,"All landing pages",Countries!$B$5:$B$434,"Direct",Countries!$D$5:$D$434,$A517,Countries!$AR$5:$AR$434,"&gt;0")=0,"",SUMIFS(Countries!$AR$5:$AR$434,Countries!$A$5:$A$434,"All landing pages",Countries!$B$5:$B$434,"Direct",Countries!$D$5:$D$434,$A517,Countries!$P$5:$P$434,"&gt;0")/SUMIFS(Countries!$P$5:$P$434,Countries!$A$5:$A$434,"All landing pages",Countries!$B$5:$B$434,"Direct",Countries!$D$5:$D$434,$A517,Countries!$AR$5:$AR$434,"&gt;0"))</f>
        <v/>
      </c>
      <c r="K517" s="45">
        <f>IF(SUMIFS(Countries!$Q$5:$Q$434,Countries!$A$5:$A$434,"All landing pages",Countries!$B$5:$B$434,"Direct",Countries!$D$5:$D$434,$A517,Countries!$AS$5:$AS$434,"&gt;0")=0,"",SUMIFS(Countries!$AS$5:$AS$434,Countries!$A$5:$A$434,"All landing pages",Countries!$B$5:$B$434,"Direct",Countries!$D$5:$D$434,$A517,Countries!$Q$5:$Q$434,"&gt;0")/SUMIFS(Countries!$Q$5:$Q$434,Countries!$A$5:$A$434,"All landing pages",Countries!$B$5:$B$434,"Direct",Countries!$D$5:$D$434,$A517,Countries!$AS$5:$AS$434,"&gt;0"))</f>
        <v/>
      </c>
      <c r="L517" s="44">
        <f>IF(OR(J517="",K517=""),"",(K517-J517)*100)</f>
        <v/>
      </c>
      <c r="M517" s="73" t="n"/>
      <c r="N517" s="45">
        <f>IF(SUMIFS(Countries!$P$5:$P$434,Countries!$A$5:$A$434,"All landing pages",Countries!$D$5:$D$434,$A517,Countries!$AR$5:$AR$434,"&gt;0")=0,"",SUMIFS(Countries!$AR$5:$AR$434,Countries!$A$5:$A$434,"All landing pages",Countries!$D$5:$D$434,$A517,Countries!$P$5:$P$434,"&gt;0")/SUMIFS(Countries!$P$5:$P$434,Countries!$A$5:$A$434,"All landing pages",Countries!$D$5:$D$434,$A517,Countries!$AR$5:$AR$434,"&gt;0"))</f>
        <v/>
      </c>
      <c r="O517" s="45">
        <f>IF(SUMIFS(Countries!$Q$5:$Q$434,Countries!$A$5:$A$434,"All landing pages",Countries!$D$5:$D$434,$A517,Countries!$AS$5:$AS$434,"&gt;0")=0,"",SUMIFS(Countries!$AS$5:$AS$434,Countries!$A$5:$A$434,"All landing pages",Countries!$D$5:$D$434,$A517,Countries!$Q$5:$Q$434,"&gt;0")/SUMIFS(Countries!$Q$5:$Q$434,Countries!$A$5:$A$434,"All landing pages",Countries!$D$5:$D$434,$A517,Countries!$AS$5:$AS$434,"&gt;0"))</f>
        <v/>
      </c>
      <c r="P517" s="44">
        <f>IF(OR(N517="",O517=""),"",(O517-N517)*100)</f>
        <v/>
      </c>
      <c r="Q517" s="73" t="n"/>
    </row>
    <row r="518">
      <c r="A518" s="56" t="inlineStr">
        <is>
          <t>Australia</t>
        </is>
      </c>
      <c r="B518" s="45">
        <f>IF(SUMIFS(Countries!$P$5:$P$434,Countries!$A$5:$A$434,"All landing pages",Countries!$B$5:$B$434,"Paid Search",Countries!$D$5:$D$434,$A518,Countries!$AR$5:$AR$434,"&gt;0")=0,"",SUMIFS(Countries!$AR$5:$AR$434,Countries!$A$5:$A$434,"All landing pages",Countries!$B$5:$B$434,"Paid Search",Countries!$D$5:$D$434,$A518,Countries!$P$5:$P$434,"&gt;0")/SUMIFS(Countries!$P$5:$P$434,Countries!$A$5:$A$434,"All landing pages",Countries!$B$5:$B$434,"Paid Search",Countries!$D$5:$D$434,$A518,Countries!$AR$5:$AR$434,"&gt;0"))</f>
        <v/>
      </c>
      <c r="C518" s="45">
        <f>IF(SUMIFS(Countries!$Q$5:$Q$434,Countries!$A$5:$A$434,"All landing pages",Countries!$B$5:$B$434,"Paid Search",Countries!$D$5:$D$434,$A518,Countries!$AS$5:$AS$434,"&gt;0")=0,"",SUMIFS(Countries!$AS$5:$AS$434,Countries!$A$5:$A$434,"All landing pages",Countries!$B$5:$B$434,"Paid Search",Countries!$D$5:$D$434,$A518,Countries!$Q$5:$Q$434,"&gt;0")/SUMIFS(Countries!$Q$5:$Q$434,Countries!$A$5:$A$434,"All landing pages",Countries!$B$5:$B$434,"Paid Search",Countries!$D$5:$D$434,$A518,Countries!$AS$5:$AS$434,"&gt;0"))</f>
        <v/>
      </c>
      <c r="D518" s="44">
        <f>IF(OR(B518="",C518=""),"",(C518-B518)*100)</f>
        <v/>
      </c>
      <c r="E518" s="73" t="n"/>
      <c r="F518" s="45">
        <f>IF(SUMIFS(Countries!$P$5:$P$434,Countries!$A$5:$A$434,"All landing pages",Countries!$B$5:$B$434,"Organic",Countries!$D$5:$D$434,$A518,Countries!$AR$5:$AR$434,"&gt;0")=0,"",SUMIFS(Countries!$AR$5:$AR$434,Countries!$A$5:$A$434,"All landing pages",Countries!$B$5:$B$434,"Organic",Countries!$D$5:$D$434,$A518,Countries!$P$5:$P$434,"&gt;0")/SUMIFS(Countries!$P$5:$P$434,Countries!$A$5:$A$434,"All landing pages",Countries!$B$5:$B$434,"Organic",Countries!$D$5:$D$434,$A518,Countries!$AR$5:$AR$434,"&gt;0"))</f>
        <v/>
      </c>
      <c r="G518" s="45">
        <f>IF(SUMIFS(Countries!$Q$5:$Q$434,Countries!$A$5:$A$434,"All landing pages",Countries!$B$5:$B$434,"Organic",Countries!$D$5:$D$434,$A518,Countries!$AS$5:$AS$434,"&gt;0")=0,"",SUMIFS(Countries!$AS$5:$AS$434,Countries!$A$5:$A$434,"All landing pages",Countries!$B$5:$B$434,"Organic",Countries!$D$5:$D$434,$A518,Countries!$Q$5:$Q$434,"&gt;0")/SUMIFS(Countries!$Q$5:$Q$434,Countries!$A$5:$A$434,"All landing pages",Countries!$B$5:$B$434,"Organic",Countries!$D$5:$D$434,$A518,Countries!$AS$5:$AS$434,"&gt;0"))</f>
        <v/>
      </c>
      <c r="H518" s="44">
        <f>IF(OR(F518="",G518=""),"",(G518-F518)*100)</f>
        <v/>
      </c>
      <c r="I518" s="73" t="n"/>
      <c r="J518" s="45">
        <f>IF(SUMIFS(Countries!$P$5:$P$434,Countries!$A$5:$A$434,"All landing pages",Countries!$B$5:$B$434,"Direct",Countries!$D$5:$D$434,$A518,Countries!$AR$5:$AR$434,"&gt;0")=0,"",SUMIFS(Countries!$AR$5:$AR$434,Countries!$A$5:$A$434,"All landing pages",Countries!$B$5:$B$434,"Direct",Countries!$D$5:$D$434,$A518,Countries!$P$5:$P$434,"&gt;0")/SUMIFS(Countries!$P$5:$P$434,Countries!$A$5:$A$434,"All landing pages",Countries!$B$5:$B$434,"Direct",Countries!$D$5:$D$434,$A518,Countries!$AR$5:$AR$434,"&gt;0"))</f>
        <v/>
      </c>
      <c r="K518" s="45">
        <f>IF(SUMIFS(Countries!$Q$5:$Q$434,Countries!$A$5:$A$434,"All landing pages",Countries!$B$5:$B$434,"Direct",Countries!$D$5:$D$434,$A518,Countries!$AS$5:$AS$434,"&gt;0")=0,"",SUMIFS(Countries!$AS$5:$AS$434,Countries!$A$5:$A$434,"All landing pages",Countries!$B$5:$B$434,"Direct",Countries!$D$5:$D$434,$A518,Countries!$Q$5:$Q$434,"&gt;0")/SUMIFS(Countries!$Q$5:$Q$434,Countries!$A$5:$A$434,"All landing pages",Countries!$B$5:$B$434,"Direct",Countries!$D$5:$D$434,$A518,Countries!$AS$5:$AS$434,"&gt;0"))</f>
        <v/>
      </c>
      <c r="L518" s="44">
        <f>IF(OR(J518="",K518=""),"",(K518-J518)*100)</f>
        <v/>
      </c>
      <c r="M518" s="73" t="n"/>
      <c r="N518" s="45">
        <f>IF(SUMIFS(Countries!$P$5:$P$434,Countries!$A$5:$A$434,"All landing pages",Countries!$D$5:$D$434,$A518,Countries!$AR$5:$AR$434,"&gt;0")=0,"",SUMIFS(Countries!$AR$5:$AR$434,Countries!$A$5:$A$434,"All landing pages",Countries!$D$5:$D$434,$A518,Countries!$P$5:$P$434,"&gt;0")/SUMIFS(Countries!$P$5:$P$434,Countries!$A$5:$A$434,"All landing pages",Countries!$D$5:$D$434,$A518,Countries!$AR$5:$AR$434,"&gt;0"))</f>
        <v/>
      </c>
      <c r="O518" s="45">
        <f>IF(SUMIFS(Countries!$Q$5:$Q$434,Countries!$A$5:$A$434,"All landing pages",Countries!$D$5:$D$434,$A518,Countries!$AS$5:$AS$434,"&gt;0")=0,"",SUMIFS(Countries!$AS$5:$AS$434,Countries!$A$5:$A$434,"All landing pages",Countries!$D$5:$D$434,$A518,Countries!$Q$5:$Q$434,"&gt;0")/SUMIFS(Countries!$Q$5:$Q$434,Countries!$A$5:$A$434,"All landing pages",Countries!$D$5:$D$434,$A518,Countries!$AS$5:$AS$434,"&gt;0"))</f>
        <v/>
      </c>
      <c r="P518" s="44">
        <f>IF(OR(N518="",O518=""),"",(O518-N518)*100)</f>
        <v/>
      </c>
      <c r="Q518" s="73" t="n"/>
    </row>
    <row r="519">
      <c r="A519" s="40" t="inlineStr">
        <is>
          <t>Romania</t>
        </is>
      </c>
      <c r="B519" s="45">
        <f>IF(SUMIFS(Countries!$P$5:$P$434,Countries!$A$5:$A$434,"All landing pages",Countries!$B$5:$B$434,"Paid Search",Countries!$D$5:$D$434,$A519,Countries!$AR$5:$AR$434,"&gt;0")=0,"",SUMIFS(Countries!$AR$5:$AR$434,Countries!$A$5:$A$434,"All landing pages",Countries!$B$5:$B$434,"Paid Search",Countries!$D$5:$D$434,$A519,Countries!$P$5:$P$434,"&gt;0")/SUMIFS(Countries!$P$5:$P$434,Countries!$A$5:$A$434,"All landing pages",Countries!$B$5:$B$434,"Paid Search",Countries!$D$5:$D$434,$A519,Countries!$AR$5:$AR$434,"&gt;0"))</f>
        <v/>
      </c>
      <c r="C519" s="45">
        <f>IF(SUMIFS(Countries!$Q$5:$Q$434,Countries!$A$5:$A$434,"All landing pages",Countries!$B$5:$B$434,"Paid Search",Countries!$D$5:$D$434,$A519,Countries!$AS$5:$AS$434,"&gt;0")=0,"",SUMIFS(Countries!$AS$5:$AS$434,Countries!$A$5:$A$434,"All landing pages",Countries!$B$5:$B$434,"Paid Search",Countries!$D$5:$D$434,$A519,Countries!$Q$5:$Q$434,"&gt;0")/SUMIFS(Countries!$Q$5:$Q$434,Countries!$A$5:$A$434,"All landing pages",Countries!$B$5:$B$434,"Paid Search",Countries!$D$5:$D$434,$A519,Countries!$AS$5:$AS$434,"&gt;0"))</f>
        <v/>
      </c>
      <c r="D519" s="44">
        <f>IF(OR(B519="",C519=""),"",(C519-B519)*100)</f>
        <v/>
      </c>
      <c r="E519" s="73" t="n"/>
      <c r="F519" s="45">
        <f>IF(SUMIFS(Countries!$P$5:$P$434,Countries!$A$5:$A$434,"All landing pages",Countries!$B$5:$B$434,"Organic",Countries!$D$5:$D$434,$A519,Countries!$AR$5:$AR$434,"&gt;0")=0,"",SUMIFS(Countries!$AR$5:$AR$434,Countries!$A$5:$A$434,"All landing pages",Countries!$B$5:$B$434,"Organic",Countries!$D$5:$D$434,$A519,Countries!$P$5:$P$434,"&gt;0")/SUMIFS(Countries!$P$5:$P$434,Countries!$A$5:$A$434,"All landing pages",Countries!$B$5:$B$434,"Organic",Countries!$D$5:$D$434,$A519,Countries!$AR$5:$AR$434,"&gt;0"))</f>
        <v/>
      </c>
      <c r="G519" s="45">
        <f>IF(SUMIFS(Countries!$Q$5:$Q$434,Countries!$A$5:$A$434,"All landing pages",Countries!$B$5:$B$434,"Organic",Countries!$D$5:$D$434,$A519,Countries!$AS$5:$AS$434,"&gt;0")=0,"",SUMIFS(Countries!$AS$5:$AS$434,Countries!$A$5:$A$434,"All landing pages",Countries!$B$5:$B$434,"Organic",Countries!$D$5:$D$434,$A519,Countries!$Q$5:$Q$434,"&gt;0")/SUMIFS(Countries!$Q$5:$Q$434,Countries!$A$5:$A$434,"All landing pages",Countries!$B$5:$B$434,"Organic",Countries!$D$5:$D$434,$A519,Countries!$AS$5:$AS$434,"&gt;0"))</f>
        <v/>
      </c>
      <c r="H519" s="44">
        <f>IF(OR(F519="",G519=""),"",(G519-F519)*100)</f>
        <v/>
      </c>
      <c r="I519" s="73" t="n"/>
      <c r="J519" s="45">
        <f>IF(SUMIFS(Countries!$P$5:$P$434,Countries!$A$5:$A$434,"All landing pages",Countries!$B$5:$B$434,"Direct",Countries!$D$5:$D$434,$A519,Countries!$AR$5:$AR$434,"&gt;0")=0,"",SUMIFS(Countries!$AR$5:$AR$434,Countries!$A$5:$A$434,"All landing pages",Countries!$B$5:$B$434,"Direct",Countries!$D$5:$D$434,$A519,Countries!$P$5:$P$434,"&gt;0")/SUMIFS(Countries!$P$5:$P$434,Countries!$A$5:$A$434,"All landing pages",Countries!$B$5:$B$434,"Direct",Countries!$D$5:$D$434,$A519,Countries!$AR$5:$AR$434,"&gt;0"))</f>
        <v/>
      </c>
      <c r="K519" s="45">
        <f>IF(SUMIFS(Countries!$Q$5:$Q$434,Countries!$A$5:$A$434,"All landing pages",Countries!$B$5:$B$434,"Direct",Countries!$D$5:$D$434,$A519,Countries!$AS$5:$AS$434,"&gt;0")=0,"",SUMIFS(Countries!$AS$5:$AS$434,Countries!$A$5:$A$434,"All landing pages",Countries!$B$5:$B$434,"Direct",Countries!$D$5:$D$434,$A519,Countries!$Q$5:$Q$434,"&gt;0")/SUMIFS(Countries!$Q$5:$Q$434,Countries!$A$5:$A$434,"All landing pages",Countries!$B$5:$B$434,"Direct",Countries!$D$5:$D$434,$A519,Countries!$AS$5:$AS$434,"&gt;0"))</f>
        <v/>
      </c>
      <c r="L519" s="44">
        <f>IF(OR(J519="",K519=""),"",(K519-J519)*100)</f>
        <v/>
      </c>
      <c r="M519" s="73" t="n"/>
      <c r="N519" s="45">
        <f>IF(SUMIFS(Countries!$P$5:$P$434,Countries!$A$5:$A$434,"All landing pages",Countries!$D$5:$D$434,$A519,Countries!$AR$5:$AR$434,"&gt;0")=0,"",SUMIFS(Countries!$AR$5:$AR$434,Countries!$A$5:$A$434,"All landing pages",Countries!$D$5:$D$434,$A519,Countries!$P$5:$P$434,"&gt;0")/SUMIFS(Countries!$P$5:$P$434,Countries!$A$5:$A$434,"All landing pages",Countries!$D$5:$D$434,$A519,Countries!$AR$5:$AR$434,"&gt;0"))</f>
        <v/>
      </c>
      <c r="O519" s="45">
        <f>IF(SUMIFS(Countries!$Q$5:$Q$434,Countries!$A$5:$A$434,"All landing pages",Countries!$D$5:$D$434,$A519,Countries!$AS$5:$AS$434,"&gt;0")=0,"",SUMIFS(Countries!$AS$5:$AS$434,Countries!$A$5:$A$434,"All landing pages",Countries!$D$5:$D$434,$A519,Countries!$Q$5:$Q$434,"&gt;0")/SUMIFS(Countries!$Q$5:$Q$434,Countries!$A$5:$A$434,"All landing pages",Countries!$D$5:$D$434,$A519,Countries!$AS$5:$AS$434,"&gt;0"))</f>
        <v/>
      </c>
      <c r="P519" s="44">
        <f>IF(OR(N519="",O519=""),"",(O519-N519)*100)</f>
        <v/>
      </c>
      <c r="Q519" s="73" t="n"/>
    </row>
    <row r="520">
      <c r="A520" s="56" t="inlineStr">
        <is>
          <t>Canada</t>
        </is>
      </c>
      <c r="B520" s="45">
        <f>IF(SUMIFS(Countries!$P$5:$P$434,Countries!$A$5:$A$434,"All landing pages",Countries!$B$5:$B$434,"Paid Search",Countries!$D$5:$D$434,$A520,Countries!$AR$5:$AR$434,"&gt;0")=0,"",SUMIFS(Countries!$AR$5:$AR$434,Countries!$A$5:$A$434,"All landing pages",Countries!$B$5:$B$434,"Paid Search",Countries!$D$5:$D$434,$A520,Countries!$P$5:$P$434,"&gt;0")/SUMIFS(Countries!$P$5:$P$434,Countries!$A$5:$A$434,"All landing pages",Countries!$B$5:$B$434,"Paid Search",Countries!$D$5:$D$434,$A520,Countries!$AR$5:$AR$434,"&gt;0"))</f>
        <v/>
      </c>
      <c r="C520" s="45">
        <f>IF(SUMIFS(Countries!$Q$5:$Q$434,Countries!$A$5:$A$434,"All landing pages",Countries!$B$5:$B$434,"Paid Search",Countries!$D$5:$D$434,$A520,Countries!$AS$5:$AS$434,"&gt;0")=0,"",SUMIFS(Countries!$AS$5:$AS$434,Countries!$A$5:$A$434,"All landing pages",Countries!$B$5:$B$434,"Paid Search",Countries!$D$5:$D$434,$A520,Countries!$Q$5:$Q$434,"&gt;0")/SUMIFS(Countries!$Q$5:$Q$434,Countries!$A$5:$A$434,"All landing pages",Countries!$B$5:$B$434,"Paid Search",Countries!$D$5:$D$434,$A520,Countries!$AS$5:$AS$434,"&gt;0"))</f>
        <v/>
      </c>
      <c r="D520" s="44">
        <f>IF(OR(B520="",C520=""),"",(C520-B520)*100)</f>
        <v/>
      </c>
      <c r="E520" s="73" t="n"/>
      <c r="F520" s="45">
        <f>IF(SUMIFS(Countries!$P$5:$P$434,Countries!$A$5:$A$434,"All landing pages",Countries!$B$5:$B$434,"Organic",Countries!$D$5:$D$434,$A520,Countries!$AR$5:$AR$434,"&gt;0")=0,"",SUMIFS(Countries!$AR$5:$AR$434,Countries!$A$5:$A$434,"All landing pages",Countries!$B$5:$B$434,"Organic",Countries!$D$5:$D$434,$A520,Countries!$P$5:$P$434,"&gt;0")/SUMIFS(Countries!$P$5:$P$434,Countries!$A$5:$A$434,"All landing pages",Countries!$B$5:$B$434,"Organic",Countries!$D$5:$D$434,$A520,Countries!$AR$5:$AR$434,"&gt;0"))</f>
        <v/>
      </c>
      <c r="G520" s="45">
        <f>IF(SUMIFS(Countries!$Q$5:$Q$434,Countries!$A$5:$A$434,"All landing pages",Countries!$B$5:$B$434,"Organic",Countries!$D$5:$D$434,$A520,Countries!$AS$5:$AS$434,"&gt;0")=0,"",SUMIFS(Countries!$AS$5:$AS$434,Countries!$A$5:$A$434,"All landing pages",Countries!$B$5:$B$434,"Organic",Countries!$D$5:$D$434,$A520,Countries!$Q$5:$Q$434,"&gt;0")/SUMIFS(Countries!$Q$5:$Q$434,Countries!$A$5:$A$434,"All landing pages",Countries!$B$5:$B$434,"Organic",Countries!$D$5:$D$434,$A520,Countries!$AS$5:$AS$434,"&gt;0"))</f>
        <v/>
      </c>
      <c r="H520" s="44">
        <f>IF(OR(F520="",G520=""),"",(G520-F520)*100)</f>
        <v/>
      </c>
      <c r="I520" s="73" t="n"/>
      <c r="J520" s="45">
        <f>IF(SUMIFS(Countries!$P$5:$P$434,Countries!$A$5:$A$434,"All landing pages",Countries!$B$5:$B$434,"Direct",Countries!$D$5:$D$434,$A520,Countries!$AR$5:$AR$434,"&gt;0")=0,"",SUMIFS(Countries!$AR$5:$AR$434,Countries!$A$5:$A$434,"All landing pages",Countries!$B$5:$B$434,"Direct",Countries!$D$5:$D$434,$A520,Countries!$P$5:$P$434,"&gt;0")/SUMIFS(Countries!$P$5:$P$434,Countries!$A$5:$A$434,"All landing pages",Countries!$B$5:$B$434,"Direct",Countries!$D$5:$D$434,$A520,Countries!$AR$5:$AR$434,"&gt;0"))</f>
        <v/>
      </c>
      <c r="K520" s="45">
        <f>IF(SUMIFS(Countries!$Q$5:$Q$434,Countries!$A$5:$A$434,"All landing pages",Countries!$B$5:$B$434,"Direct",Countries!$D$5:$D$434,$A520,Countries!$AS$5:$AS$434,"&gt;0")=0,"",SUMIFS(Countries!$AS$5:$AS$434,Countries!$A$5:$A$434,"All landing pages",Countries!$B$5:$B$434,"Direct",Countries!$D$5:$D$434,$A520,Countries!$Q$5:$Q$434,"&gt;0")/SUMIFS(Countries!$Q$5:$Q$434,Countries!$A$5:$A$434,"All landing pages",Countries!$B$5:$B$434,"Direct",Countries!$D$5:$D$434,$A520,Countries!$AS$5:$AS$434,"&gt;0"))</f>
        <v/>
      </c>
      <c r="L520" s="44">
        <f>IF(OR(J520="",K520=""),"",(K520-J520)*100)</f>
        <v/>
      </c>
      <c r="M520" s="73" t="n"/>
      <c r="N520" s="45">
        <f>IF(SUMIFS(Countries!$P$5:$P$434,Countries!$A$5:$A$434,"All landing pages",Countries!$D$5:$D$434,$A520,Countries!$AR$5:$AR$434,"&gt;0")=0,"",SUMIFS(Countries!$AR$5:$AR$434,Countries!$A$5:$A$434,"All landing pages",Countries!$D$5:$D$434,$A520,Countries!$P$5:$P$434,"&gt;0")/SUMIFS(Countries!$P$5:$P$434,Countries!$A$5:$A$434,"All landing pages",Countries!$D$5:$D$434,$A520,Countries!$AR$5:$AR$434,"&gt;0"))</f>
        <v/>
      </c>
      <c r="O520" s="45">
        <f>IF(SUMIFS(Countries!$Q$5:$Q$434,Countries!$A$5:$A$434,"All landing pages",Countries!$D$5:$D$434,$A520,Countries!$AS$5:$AS$434,"&gt;0")=0,"",SUMIFS(Countries!$AS$5:$AS$434,Countries!$A$5:$A$434,"All landing pages",Countries!$D$5:$D$434,$A520,Countries!$Q$5:$Q$434,"&gt;0")/SUMIFS(Countries!$Q$5:$Q$434,Countries!$A$5:$A$434,"All landing pages",Countries!$D$5:$D$434,$A520,Countries!$AS$5:$AS$434,"&gt;0"))</f>
        <v/>
      </c>
      <c r="P520" s="44">
        <f>IF(OR(N520="",O520=""),"",(O520-N520)*100)</f>
        <v/>
      </c>
      <c r="Q520" s="73" t="n"/>
    </row>
    <row r="521">
      <c r="A521" s="40" t="inlineStr">
        <is>
          <t>Greece</t>
        </is>
      </c>
      <c r="B521" s="45">
        <f>IF(SUMIFS(Countries!$P$5:$P$434,Countries!$A$5:$A$434,"All landing pages",Countries!$B$5:$B$434,"Paid Search",Countries!$D$5:$D$434,$A521,Countries!$AR$5:$AR$434,"&gt;0")=0,"",SUMIFS(Countries!$AR$5:$AR$434,Countries!$A$5:$A$434,"All landing pages",Countries!$B$5:$B$434,"Paid Search",Countries!$D$5:$D$434,$A521,Countries!$P$5:$P$434,"&gt;0")/SUMIFS(Countries!$P$5:$P$434,Countries!$A$5:$A$434,"All landing pages",Countries!$B$5:$B$434,"Paid Search",Countries!$D$5:$D$434,$A521,Countries!$AR$5:$AR$434,"&gt;0"))</f>
        <v/>
      </c>
      <c r="C521" s="45">
        <f>IF(SUMIFS(Countries!$Q$5:$Q$434,Countries!$A$5:$A$434,"All landing pages",Countries!$B$5:$B$434,"Paid Search",Countries!$D$5:$D$434,$A521,Countries!$AS$5:$AS$434,"&gt;0")=0,"",SUMIFS(Countries!$AS$5:$AS$434,Countries!$A$5:$A$434,"All landing pages",Countries!$B$5:$B$434,"Paid Search",Countries!$D$5:$D$434,$A521,Countries!$Q$5:$Q$434,"&gt;0")/SUMIFS(Countries!$Q$5:$Q$434,Countries!$A$5:$A$434,"All landing pages",Countries!$B$5:$B$434,"Paid Search",Countries!$D$5:$D$434,$A521,Countries!$AS$5:$AS$434,"&gt;0"))</f>
        <v/>
      </c>
      <c r="D521" s="44">
        <f>IF(OR(B521="",C521=""),"",(C521-B521)*100)</f>
        <v/>
      </c>
      <c r="E521" s="73" t="n"/>
      <c r="F521" s="45">
        <f>IF(SUMIFS(Countries!$P$5:$P$434,Countries!$A$5:$A$434,"All landing pages",Countries!$B$5:$B$434,"Organic",Countries!$D$5:$D$434,$A521,Countries!$AR$5:$AR$434,"&gt;0")=0,"",SUMIFS(Countries!$AR$5:$AR$434,Countries!$A$5:$A$434,"All landing pages",Countries!$B$5:$B$434,"Organic",Countries!$D$5:$D$434,$A521,Countries!$P$5:$P$434,"&gt;0")/SUMIFS(Countries!$P$5:$P$434,Countries!$A$5:$A$434,"All landing pages",Countries!$B$5:$B$434,"Organic",Countries!$D$5:$D$434,$A521,Countries!$AR$5:$AR$434,"&gt;0"))</f>
        <v/>
      </c>
      <c r="G521" s="45">
        <f>IF(SUMIFS(Countries!$Q$5:$Q$434,Countries!$A$5:$A$434,"All landing pages",Countries!$B$5:$B$434,"Organic",Countries!$D$5:$D$434,$A521,Countries!$AS$5:$AS$434,"&gt;0")=0,"",SUMIFS(Countries!$AS$5:$AS$434,Countries!$A$5:$A$434,"All landing pages",Countries!$B$5:$B$434,"Organic",Countries!$D$5:$D$434,$A521,Countries!$Q$5:$Q$434,"&gt;0")/SUMIFS(Countries!$Q$5:$Q$434,Countries!$A$5:$A$434,"All landing pages",Countries!$B$5:$B$434,"Organic",Countries!$D$5:$D$434,$A521,Countries!$AS$5:$AS$434,"&gt;0"))</f>
        <v/>
      </c>
      <c r="H521" s="44">
        <f>IF(OR(F521="",G521=""),"",(G521-F521)*100)</f>
        <v/>
      </c>
      <c r="I521" s="73" t="n"/>
      <c r="J521" s="45">
        <f>IF(SUMIFS(Countries!$P$5:$P$434,Countries!$A$5:$A$434,"All landing pages",Countries!$B$5:$B$434,"Direct",Countries!$D$5:$D$434,$A521,Countries!$AR$5:$AR$434,"&gt;0")=0,"",SUMIFS(Countries!$AR$5:$AR$434,Countries!$A$5:$A$434,"All landing pages",Countries!$B$5:$B$434,"Direct",Countries!$D$5:$D$434,$A521,Countries!$P$5:$P$434,"&gt;0")/SUMIFS(Countries!$P$5:$P$434,Countries!$A$5:$A$434,"All landing pages",Countries!$B$5:$B$434,"Direct",Countries!$D$5:$D$434,$A521,Countries!$AR$5:$AR$434,"&gt;0"))</f>
        <v/>
      </c>
      <c r="K521" s="45">
        <f>IF(SUMIFS(Countries!$Q$5:$Q$434,Countries!$A$5:$A$434,"All landing pages",Countries!$B$5:$B$434,"Direct",Countries!$D$5:$D$434,$A521,Countries!$AS$5:$AS$434,"&gt;0")=0,"",SUMIFS(Countries!$AS$5:$AS$434,Countries!$A$5:$A$434,"All landing pages",Countries!$B$5:$B$434,"Direct",Countries!$D$5:$D$434,$A521,Countries!$Q$5:$Q$434,"&gt;0")/SUMIFS(Countries!$Q$5:$Q$434,Countries!$A$5:$A$434,"All landing pages",Countries!$B$5:$B$434,"Direct",Countries!$D$5:$D$434,$A521,Countries!$AS$5:$AS$434,"&gt;0"))</f>
        <v/>
      </c>
      <c r="L521" s="44">
        <f>IF(OR(J521="",K521=""),"",(K521-J521)*100)</f>
        <v/>
      </c>
      <c r="M521" s="73" t="n"/>
      <c r="N521" s="45">
        <f>IF(SUMIFS(Countries!$P$5:$P$434,Countries!$A$5:$A$434,"All landing pages",Countries!$D$5:$D$434,$A521,Countries!$AR$5:$AR$434,"&gt;0")=0,"",SUMIFS(Countries!$AR$5:$AR$434,Countries!$A$5:$A$434,"All landing pages",Countries!$D$5:$D$434,$A521,Countries!$P$5:$P$434,"&gt;0")/SUMIFS(Countries!$P$5:$P$434,Countries!$A$5:$A$434,"All landing pages",Countries!$D$5:$D$434,$A521,Countries!$AR$5:$AR$434,"&gt;0"))</f>
        <v/>
      </c>
      <c r="O521" s="45">
        <f>IF(SUMIFS(Countries!$Q$5:$Q$434,Countries!$A$5:$A$434,"All landing pages",Countries!$D$5:$D$434,$A521,Countries!$AS$5:$AS$434,"&gt;0")=0,"",SUMIFS(Countries!$AS$5:$AS$434,Countries!$A$5:$A$434,"All landing pages",Countries!$D$5:$D$434,$A521,Countries!$Q$5:$Q$434,"&gt;0")/SUMIFS(Countries!$Q$5:$Q$434,Countries!$A$5:$A$434,"All landing pages",Countries!$D$5:$D$434,$A521,Countries!$AS$5:$AS$434,"&gt;0"))</f>
        <v/>
      </c>
      <c r="P521" s="44">
        <f>IF(OR(N521="",O521=""),"",(O521-N521)*100)</f>
        <v/>
      </c>
      <c r="Q521" s="73" t="n"/>
    </row>
    <row r="522">
      <c r="A522" s="56" t="inlineStr">
        <is>
          <t>Switzerland</t>
        </is>
      </c>
      <c r="B522" s="45">
        <f>IF(SUMIFS(Countries!$P$5:$P$434,Countries!$A$5:$A$434,"All landing pages",Countries!$B$5:$B$434,"Paid Search",Countries!$D$5:$D$434,$A522,Countries!$AR$5:$AR$434,"&gt;0")=0,"",SUMIFS(Countries!$AR$5:$AR$434,Countries!$A$5:$A$434,"All landing pages",Countries!$B$5:$B$434,"Paid Search",Countries!$D$5:$D$434,$A522,Countries!$P$5:$P$434,"&gt;0")/SUMIFS(Countries!$P$5:$P$434,Countries!$A$5:$A$434,"All landing pages",Countries!$B$5:$B$434,"Paid Search",Countries!$D$5:$D$434,$A522,Countries!$AR$5:$AR$434,"&gt;0"))</f>
        <v/>
      </c>
      <c r="C522" s="45">
        <f>IF(SUMIFS(Countries!$Q$5:$Q$434,Countries!$A$5:$A$434,"All landing pages",Countries!$B$5:$B$434,"Paid Search",Countries!$D$5:$D$434,$A522,Countries!$AS$5:$AS$434,"&gt;0")=0,"",SUMIFS(Countries!$AS$5:$AS$434,Countries!$A$5:$A$434,"All landing pages",Countries!$B$5:$B$434,"Paid Search",Countries!$D$5:$D$434,$A522,Countries!$Q$5:$Q$434,"&gt;0")/SUMIFS(Countries!$Q$5:$Q$434,Countries!$A$5:$A$434,"All landing pages",Countries!$B$5:$B$434,"Paid Search",Countries!$D$5:$D$434,$A522,Countries!$AS$5:$AS$434,"&gt;0"))</f>
        <v/>
      </c>
      <c r="D522" s="44">
        <f>IF(OR(B522="",C522=""),"",(C522-B522)*100)</f>
        <v/>
      </c>
      <c r="E522" s="73" t="n"/>
      <c r="F522" s="45">
        <f>IF(SUMIFS(Countries!$P$5:$P$434,Countries!$A$5:$A$434,"All landing pages",Countries!$B$5:$B$434,"Organic",Countries!$D$5:$D$434,$A522,Countries!$AR$5:$AR$434,"&gt;0")=0,"",SUMIFS(Countries!$AR$5:$AR$434,Countries!$A$5:$A$434,"All landing pages",Countries!$B$5:$B$434,"Organic",Countries!$D$5:$D$434,$A522,Countries!$P$5:$P$434,"&gt;0")/SUMIFS(Countries!$P$5:$P$434,Countries!$A$5:$A$434,"All landing pages",Countries!$B$5:$B$434,"Organic",Countries!$D$5:$D$434,$A522,Countries!$AR$5:$AR$434,"&gt;0"))</f>
        <v/>
      </c>
      <c r="G522" s="45">
        <f>IF(SUMIFS(Countries!$Q$5:$Q$434,Countries!$A$5:$A$434,"All landing pages",Countries!$B$5:$B$434,"Organic",Countries!$D$5:$D$434,$A522,Countries!$AS$5:$AS$434,"&gt;0")=0,"",SUMIFS(Countries!$AS$5:$AS$434,Countries!$A$5:$A$434,"All landing pages",Countries!$B$5:$B$434,"Organic",Countries!$D$5:$D$434,$A522,Countries!$Q$5:$Q$434,"&gt;0")/SUMIFS(Countries!$Q$5:$Q$434,Countries!$A$5:$A$434,"All landing pages",Countries!$B$5:$B$434,"Organic",Countries!$D$5:$D$434,$A522,Countries!$AS$5:$AS$434,"&gt;0"))</f>
        <v/>
      </c>
      <c r="H522" s="44">
        <f>IF(OR(F522="",G522=""),"",(G522-F522)*100)</f>
        <v/>
      </c>
      <c r="I522" s="73" t="n"/>
      <c r="J522" s="45">
        <f>IF(SUMIFS(Countries!$P$5:$P$434,Countries!$A$5:$A$434,"All landing pages",Countries!$B$5:$B$434,"Direct",Countries!$D$5:$D$434,$A522,Countries!$AR$5:$AR$434,"&gt;0")=0,"",SUMIFS(Countries!$AR$5:$AR$434,Countries!$A$5:$A$434,"All landing pages",Countries!$B$5:$B$434,"Direct",Countries!$D$5:$D$434,$A522,Countries!$P$5:$P$434,"&gt;0")/SUMIFS(Countries!$P$5:$P$434,Countries!$A$5:$A$434,"All landing pages",Countries!$B$5:$B$434,"Direct",Countries!$D$5:$D$434,$A522,Countries!$AR$5:$AR$434,"&gt;0"))</f>
        <v/>
      </c>
      <c r="K522" s="45">
        <f>IF(SUMIFS(Countries!$Q$5:$Q$434,Countries!$A$5:$A$434,"All landing pages",Countries!$B$5:$B$434,"Direct",Countries!$D$5:$D$434,$A522,Countries!$AS$5:$AS$434,"&gt;0")=0,"",SUMIFS(Countries!$AS$5:$AS$434,Countries!$A$5:$A$434,"All landing pages",Countries!$B$5:$B$434,"Direct",Countries!$D$5:$D$434,$A522,Countries!$Q$5:$Q$434,"&gt;0")/SUMIFS(Countries!$Q$5:$Q$434,Countries!$A$5:$A$434,"All landing pages",Countries!$B$5:$B$434,"Direct",Countries!$D$5:$D$434,$A522,Countries!$AS$5:$AS$434,"&gt;0"))</f>
        <v/>
      </c>
      <c r="L522" s="44">
        <f>IF(OR(J522="",K522=""),"",(K522-J522)*100)</f>
        <v/>
      </c>
      <c r="M522" s="73" t="n"/>
      <c r="N522" s="45">
        <f>IF(SUMIFS(Countries!$P$5:$P$434,Countries!$A$5:$A$434,"All landing pages",Countries!$D$5:$D$434,$A522,Countries!$AR$5:$AR$434,"&gt;0")=0,"",SUMIFS(Countries!$AR$5:$AR$434,Countries!$A$5:$A$434,"All landing pages",Countries!$D$5:$D$434,$A522,Countries!$P$5:$P$434,"&gt;0")/SUMIFS(Countries!$P$5:$P$434,Countries!$A$5:$A$434,"All landing pages",Countries!$D$5:$D$434,$A522,Countries!$AR$5:$AR$434,"&gt;0"))</f>
        <v/>
      </c>
      <c r="O522" s="45">
        <f>IF(SUMIFS(Countries!$Q$5:$Q$434,Countries!$A$5:$A$434,"All landing pages",Countries!$D$5:$D$434,$A522,Countries!$AS$5:$AS$434,"&gt;0")=0,"",SUMIFS(Countries!$AS$5:$AS$434,Countries!$A$5:$A$434,"All landing pages",Countries!$D$5:$D$434,$A522,Countries!$Q$5:$Q$434,"&gt;0")/SUMIFS(Countries!$Q$5:$Q$434,Countries!$A$5:$A$434,"All landing pages",Countries!$D$5:$D$434,$A522,Countries!$AS$5:$AS$434,"&gt;0"))</f>
        <v/>
      </c>
      <c r="P522" s="44">
        <f>IF(OR(N522="",O522=""),"",(O522-N522)*100)</f>
        <v/>
      </c>
      <c r="Q522" s="73" t="n"/>
    </row>
    <row r="523">
      <c r="A523" s="40" t="inlineStr">
        <is>
          <t>(not set)</t>
        </is>
      </c>
      <c r="B523" s="45">
        <f>IF(SUMIFS(Countries!$P$5:$P$434,Countries!$A$5:$A$434,"All landing pages",Countries!$B$5:$B$434,"Paid Search",Countries!$D$5:$D$434,$A523,Countries!$AR$5:$AR$434,"&gt;0")=0,"",SUMIFS(Countries!$AR$5:$AR$434,Countries!$A$5:$A$434,"All landing pages",Countries!$B$5:$B$434,"Paid Search",Countries!$D$5:$D$434,$A523,Countries!$P$5:$P$434,"&gt;0")/SUMIFS(Countries!$P$5:$P$434,Countries!$A$5:$A$434,"All landing pages",Countries!$B$5:$B$434,"Paid Search",Countries!$D$5:$D$434,$A523,Countries!$AR$5:$AR$434,"&gt;0"))</f>
        <v/>
      </c>
      <c r="C523" s="45">
        <f>IF(SUMIFS(Countries!$Q$5:$Q$434,Countries!$A$5:$A$434,"All landing pages",Countries!$B$5:$B$434,"Paid Search",Countries!$D$5:$D$434,$A523,Countries!$AS$5:$AS$434,"&gt;0")=0,"",SUMIFS(Countries!$AS$5:$AS$434,Countries!$A$5:$A$434,"All landing pages",Countries!$B$5:$B$434,"Paid Search",Countries!$D$5:$D$434,$A523,Countries!$Q$5:$Q$434,"&gt;0")/SUMIFS(Countries!$Q$5:$Q$434,Countries!$A$5:$A$434,"All landing pages",Countries!$B$5:$B$434,"Paid Search",Countries!$D$5:$D$434,$A523,Countries!$AS$5:$AS$434,"&gt;0"))</f>
        <v/>
      </c>
      <c r="D523" s="44">
        <f>IF(OR(B523="",C523=""),"",(C523-B523)*100)</f>
        <v/>
      </c>
      <c r="E523" s="73" t="n"/>
      <c r="F523" s="45">
        <f>IF(SUMIFS(Countries!$P$5:$P$434,Countries!$A$5:$A$434,"All landing pages",Countries!$B$5:$B$434,"Organic",Countries!$D$5:$D$434,$A523,Countries!$AR$5:$AR$434,"&gt;0")=0,"",SUMIFS(Countries!$AR$5:$AR$434,Countries!$A$5:$A$434,"All landing pages",Countries!$B$5:$B$434,"Organic",Countries!$D$5:$D$434,$A523,Countries!$P$5:$P$434,"&gt;0")/SUMIFS(Countries!$P$5:$P$434,Countries!$A$5:$A$434,"All landing pages",Countries!$B$5:$B$434,"Organic",Countries!$D$5:$D$434,$A523,Countries!$AR$5:$AR$434,"&gt;0"))</f>
        <v/>
      </c>
      <c r="G523" s="45">
        <f>IF(SUMIFS(Countries!$Q$5:$Q$434,Countries!$A$5:$A$434,"All landing pages",Countries!$B$5:$B$434,"Organic",Countries!$D$5:$D$434,$A523,Countries!$AS$5:$AS$434,"&gt;0")=0,"",SUMIFS(Countries!$AS$5:$AS$434,Countries!$A$5:$A$434,"All landing pages",Countries!$B$5:$B$434,"Organic",Countries!$D$5:$D$434,$A523,Countries!$Q$5:$Q$434,"&gt;0")/SUMIFS(Countries!$Q$5:$Q$434,Countries!$A$5:$A$434,"All landing pages",Countries!$B$5:$B$434,"Organic",Countries!$D$5:$D$434,$A523,Countries!$AS$5:$AS$434,"&gt;0"))</f>
        <v/>
      </c>
      <c r="H523" s="44">
        <f>IF(OR(F523="",G523=""),"",(G523-F523)*100)</f>
        <v/>
      </c>
      <c r="I523" s="73" t="n"/>
      <c r="J523" s="45">
        <f>IF(SUMIFS(Countries!$P$5:$P$434,Countries!$A$5:$A$434,"All landing pages",Countries!$B$5:$B$434,"Direct",Countries!$D$5:$D$434,$A523,Countries!$AR$5:$AR$434,"&gt;0")=0,"",SUMIFS(Countries!$AR$5:$AR$434,Countries!$A$5:$A$434,"All landing pages",Countries!$B$5:$B$434,"Direct",Countries!$D$5:$D$434,$A523,Countries!$P$5:$P$434,"&gt;0")/SUMIFS(Countries!$P$5:$P$434,Countries!$A$5:$A$434,"All landing pages",Countries!$B$5:$B$434,"Direct",Countries!$D$5:$D$434,$A523,Countries!$AR$5:$AR$434,"&gt;0"))</f>
        <v/>
      </c>
      <c r="K523" s="45">
        <f>IF(SUMIFS(Countries!$Q$5:$Q$434,Countries!$A$5:$A$434,"All landing pages",Countries!$B$5:$B$434,"Direct",Countries!$D$5:$D$434,$A523,Countries!$AS$5:$AS$434,"&gt;0")=0,"",SUMIFS(Countries!$AS$5:$AS$434,Countries!$A$5:$A$434,"All landing pages",Countries!$B$5:$B$434,"Direct",Countries!$D$5:$D$434,$A523,Countries!$Q$5:$Q$434,"&gt;0")/SUMIFS(Countries!$Q$5:$Q$434,Countries!$A$5:$A$434,"All landing pages",Countries!$B$5:$B$434,"Direct",Countries!$D$5:$D$434,$A523,Countries!$AS$5:$AS$434,"&gt;0"))</f>
        <v/>
      </c>
      <c r="L523" s="44">
        <f>IF(OR(J523="",K523=""),"",(K523-J523)*100)</f>
        <v/>
      </c>
      <c r="M523" s="73" t="n"/>
      <c r="N523" s="45">
        <f>IF(SUMIFS(Countries!$P$5:$P$434,Countries!$A$5:$A$434,"All landing pages",Countries!$D$5:$D$434,$A523,Countries!$AR$5:$AR$434,"&gt;0")=0,"",SUMIFS(Countries!$AR$5:$AR$434,Countries!$A$5:$A$434,"All landing pages",Countries!$D$5:$D$434,$A523,Countries!$P$5:$P$434,"&gt;0")/SUMIFS(Countries!$P$5:$P$434,Countries!$A$5:$A$434,"All landing pages",Countries!$D$5:$D$434,$A523,Countries!$AR$5:$AR$434,"&gt;0"))</f>
        <v/>
      </c>
      <c r="O523" s="45">
        <f>IF(SUMIFS(Countries!$Q$5:$Q$434,Countries!$A$5:$A$434,"All landing pages",Countries!$D$5:$D$434,$A523,Countries!$AS$5:$AS$434,"&gt;0")=0,"",SUMIFS(Countries!$AS$5:$AS$434,Countries!$A$5:$A$434,"All landing pages",Countries!$D$5:$D$434,$A523,Countries!$Q$5:$Q$434,"&gt;0")/SUMIFS(Countries!$Q$5:$Q$434,Countries!$A$5:$A$434,"All landing pages",Countries!$D$5:$D$434,$A523,Countries!$AS$5:$AS$434,"&gt;0"))</f>
        <v/>
      </c>
      <c r="P523" s="44">
        <f>IF(OR(N523="",O523=""),"",(O523-N523)*100)</f>
        <v/>
      </c>
      <c r="Q523" s="73" t="n"/>
    </row>
    <row r="524">
      <c r="A524" s="56" t="inlineStr">
        <is>
          <t>Algeria</t>
        </is>
      </c>
      <c r="B524" s="45">
        <f>IF(SUMIFS(Countries!$P$5:$P$434,Countries!$A$5:$A$434,"All landing pages",Countries!$B$5:$B$434,"Paid Search",Countries!$D$5:$D$434,$A524,Countries!$AR$5:$AR$434,"&gt;0")=0,"",SUMIFS(Countries!$AR$5:$AR$434,Countries!$A$5:$A$434,"All landing pages",Countries!$B$5:$B$434,"Paid Search",Countries!$D$5:$D$434,$A524,Countries!$P$5:$P$434,"&gt;0")/SUMIFS(Countries!$P$5:$P$434,Countries!$A$5:$A$434,"All landing pages",Countries!$B$5:$B$434,"Paid Search",Countries!$D$5:$D$434,$A524,Countries!$AR$5:$AR$434,"&gt;0"))</f>
        <v/>
      </c>
      <c r="C524" s="45">
        <f>IF(SUMIFS(Countries!$Q$5:$Q$434,Countries!$A$5:$A$434,"All landing pages",Countries!$B$5:$B$434,"Paid Search",Countries!$D$5:$D$434,$A524,Countries!$AS$5:$AS$434,"&gt;0")=0,"",SUMIFS(Countries!$AS$5:$AS$434,Countries!$A$5:$A$434,"All landing pages",Countries!$B$5:$B$434,"Paid Search",Countries!$D$5:$D$434,$A524,Countries!$Q$5:$Q$434,"&gt;0")/SUMIFS(Countries!$Q$5:$Q$434,Countries!$A$5:$A$434,"All landing pages",Countries!$B$5:$B$434,"Paid Search",Countries!$D$5:$D$434,$A524,Countries!$AS$5:$AS$434,"&gt;0"))</f>
        <v/>
      </c>
      <c r="D524" s="44">
        <f>IF(OR(B524="",C524=""),"",(C524-B524)*100)</f>
        <v/>
      </c>
      <c r="E524" s="73" t="n"/>
      <c r="F524" s="45">
        <f>IF(SUMIFS(Countries!$P$5:$P$434,Countries!$A$5:$A$434,"All landing pages",Countries!$B$5:$B$434,"Organic",Countries!$D$5:$D$434,$A524,Countries!$AR$5:$AR$434,"&gt;0")=0,"",SUMIFS(Countries!$AR$5:$AR$434,Countries!$A$5:$A$434,"All landing pages",Countries!$B$5:$B$434,"Organic",Countries!$D$5:$D$434,$A524,Countries!$P$5:$P$434,"&gt;0")/SUMIFS(Countries!$P$5:$P$434,Countries!$A$5:$A$434,"All landing pages",Countries!$B$5:$B$434,"Organic",Countries!$D$5:$D$434,$A524,Countries!$AR$5:$AR$434,"&gt;0"))</f>
        <v/>
      </c>
      <c r="G524" s="45">
        <f>IF(SUMIFS(Countries!$Q$5:$Q$434,Countries!$A$5:$A$434,"All landing pages",Countries!$B$5:$B$434,"Organic",Countries!$D$5:$D$434,$A524,Countries!$AS$5:$AS$434,"&gt;0")=0,"",SUMIFS(Countries!$AS$5:$AS$434,Countries!$A$5:$A$434,"All landing pages",Countries!$B$5:$B$434,"Organic",Countries!$D$5:$D$434,$A524,Countries!$Q$5:$Q$434,"&gt;0")/SUMIFS(Countries!$Q$5:$Q$434,Countries!$A$5:$A$434,"All landing pages",Countries!$B$5:$B$434,"Organic",Countries!$D$5:$D$434,$A524,Countries!$AS$5:$AS$434,"&gt;0"))</f>
        <v/>
      </c>
      <c r="H524" s="44">
        <f>IF(OR(F524="",G524=""),"",(G524-F524)*100)</f>
        <v/>
      </c>
      <c r="I524" s="73" t="n"/>
      <c r="J524" s="45">
        <f>IF(SUMIFS(Countries!$P$5:$P$434,Countries!$A$5:$A$434,"All landing pages",Countries!$B$5:$B$434,"Direct",Countries!$D$5:$D$434,$A524,Countries!$AR$5:$AR$434,"&gt;0")=0,"",SUMIFS(Countries!$AR$5:$AR$434,Countries!$A$5:$A$434,"All landing pages",Countries!$B$5:$B$434,"Direct",Countries!$D$5:$D$434,$A524,Countries!$P$5:$P$434,"&gt;0")/SUMIFS(Countries!$P$5:$P$434,Countries!$A$5:$A$434,"All landing pages",Countries!$B$5:$B$434,"Direct",Countries!$D$5:$D$434,$A524,Countries!$AR$5:$AR$434,"&gt;0"))</f>
        <v/>
      </c>
      <c r="K524" s="45">
        <f>IF(SUMIFS(Countries!$Q$5:$Q$434,Countries!$A$5:$A$434,"All landing pages",Countries!$B$5:$B$434,"Direct",Countries!$D$5:$D$434,$A524,Countries!$AS$5:$AS$434,"&gt;0")=0,"",SUMIFS(Countries!$AS$5:$AS$434,Countries!$A$5:$A$434,"All landing pages",Countries!$B$5:$B$434,"Direct",Countries!$D$5:$D$434,$A524,Countries!$Q$5:$Q$434,"&gt;0")/SUMIFS(Countries!$Q$5:$Q$434,Countries!$A$5:$A$434,"All landing pages",Countries!$B$5:$B$434,"Direct",Countries!$D$5:$D$434,$A524,Countries!$AS$5:$AS$434,"&gt;0"))</f>
        <v/>
      </c>
      <c r="L524" s="44">
        <f>IF(OR(J524="",K524=""),"",(K524-J524)*100)</f>
        <v/>
      </c>
      <c r="M524" s="73" t="n"/>
      <c r="N524" s="45">
        <f>IF(SUMIFS(Countries!$P$5:$P$434,Countries!$A$5:$A$434,"All landing pages",Countries!$D$5:$D$434,$A524,Countries!$AR$5:$AR$434,"&gt;0")=0,"",SUMIFS(Countries!$AR$5:$AR$434,Countries!$A$5:$A$434,"All landing pages",Countries!$D$5:$D$434,$A524,Countries!$P$5:$P$434,"&gt;0")/SUMIFS(Countries!$P$5:$P$434,Countries!$A$5:$A$434,"All landing pages",Countries!$D$5:$D$434,$A524,Countries!$AR$5:$AR$434,"&gt;0"))</f>
        <v/>
      </c>
      <c r="O524" s="45">
        <f>IF(SUMIFS(Countries!$Q$5:$Q$434,Countries!$A$5:$A$434,"All landing pages",Countries!$D$5:$D$434,$A524,Countries!$AS$5:$AS$434,"&gt;0")=0,"",SUMIFS(Countries!$AS$5:$AS$434,Countries!$A$5:$A$434,"All landing pages",Countries!$D$5:$D$434,$A524,Countries!$Q$5:$Q$434,"&gt;0")/SUMIFS(Countries!$Q$5:$Q$434,Countries!$A$5:$A$434,"All landing pages",Countries!$D$5:$D$434,$A524,Countries!$AS$5:$AS$434,"&gt;0"))</f>
        <v/>
      </c>
      <c r="P524" s="44">
        <f>IF(OR(N524="",O524=""),"",(O524-N524)*100)</f>
        <v/>
      </c>
      <c r="Q524" s="73" t="n"/>
    </row>
    <row r="525">
      <c r="A525" s="40" t="inlineStr">
        <is>
          <t>Argentina</t>
        </is>
      </c>
      <c r="B525" s="45">
        <f>IF(SUMIFS(Countries!$P$5:$P$434,Countries!$A$5:$A$434,"All landing pages",Countries!$B$5:$B$434,"Paid Search",Countries!$D$5:$D$434,$A525,Countries!$AR$5:$AR$434,"&gt;0")=0,"",SUMIFS(Countries!$AR$5:$AR$434,Countries!$A$5:$A$434,"All landing pages",Countries!$B$5:$B$434,"Paid Search",Countries!$D$5:$D$434,$A525,Countries!$P$5:$P$434,"&gt;0")/SUMIFS(Countries!$P$5:$P$434,Countries!$A$5:$A$434,"All landing pages",Countries!$B$5:$B$434,"Paid Search",Countries!$D$5:$D$434,$A525,Countries!$AR$5:$AR$434,"&gt;0"))</f>
        <v/>
      </c>
      <c r="C525" s="45">
        <f>IF(SUMIFS(Countries!$Q$5:$Q$434,Countries!$A$5:$A$434,"All landing pages",Countries!$B$5:$B$434,"Paid Search",Countries!$D$5:$D$434,$A525,Countries!$AS$5:$AS$434,"&gt;0")=0,"",SUMIFS(Countries!$AS$5:$AS$434,Countries!$A$5:$A$434,"All landing pages",Countries!$B$5:$B$434,"Paid Search",Countries!$D$5:$D$434,$A525,Countries!$Q$5:$Q$434,"&gt;0")/SUMIFS(Countries!$Q$5:$Q$434,Countries!$A$5:$A$434,"All landing pages",Countries!$B$5:$B$434,"Paid Search",Countries!$D$5:$D$434,$A525,Countries!$AS$5:$AS$434,"&gt;0"))</f>
        <v/>
      </c>
      <c r="D525" s="44">
        <f>IF(OR(B525="",C525=""),"",(C525-B525)*100)</f>
        <v/>
      </c>
      <c r="E525" s="73" t="n"/>
      <c r="F525" s="45">
        <f>IF(SUMIFS(Countries!$P$5:$P$434,Countries!$A$5:$A$434,"All landing pages",Countries!$B$5:$B$434,"Organic",Countries!$D$5:$D$434,$A525,Countries!$AR$5:$AR$434,"&gt;0")=0,"",SUMIFS(Countries!$AR$5:$AR$434,Countries!$A$5:$A$434,"All landing pages",Countries!$B$5:$B$434,"Organic",Countries!$D$5:$D$434,$A525,Countries!$P$5:$P$434,"&gt;0")/SUMIFS(Countries!$P$5:$P$434,Countries!$A$5:$A$434,"All landing pages",Countries!$B$5:$B$434,"Organic",Countries!$D$5:$D$434,$A525,Countries!$AR$5:$AR$434,"&gt;0"))</f>
        <v/>
      </c>
      <c r="G525" s="45">
        <f>IF(SUMIFS(Countries!$Q$5:$Q$434,Countries!$A$5:$A$434,"All landing pages",Countries!$B$5:$B$434,"Organic",Countries!$D$5:$D$434,$A525,Countries!$AS$5:$AS$434,"&gt;0")=0,"",SUMIFS(Countries!$AS$5:$AS$434,Countries!$A$5:$A$434,"All landing pages",Countries!$B$5:$B$434,"Organic",Countries!$D$5:$D$434,$A525,Countries!$Q$5:$Q$434,"&gt;0")/SUMIFS(Countries!$Q$5:$Q$434,Countries!$A$5:$A$434,"All landing pages",Countries!$B$5:$B$434,"Organic",Countries!$D$5:$D$434,$A525,Countries!$AS$5:$AS$434,"&gt;0"))</f>
        <v/>
      </c>
      <c r="H525" s="44">
        <f>IF(OR(F525="",G525=""),"",(G525-F525)*100)</f>
        <v/>
      </c>
      <c r="I525" s="73" t="n"/>
      <c r="J525" s="45">
        <f>IF(SUMIFS(Countries!$P$5:$P$434,Countries!$A$5:$A$434,"All landing pages",Countries!$B$5:$B$434,"Direct",Countries!$D$5:$D$434,$A525,Countries!$AR$5:$AR$434,"&gt;0")=0,"",SUMIFS(Countries!$AR$5:$AR$434,Countries!$A$5:$A$434,"All landing pages",Countries!$B$5:$B$434,"Direct",Countries!$D$5:$D$434,$A525,Countries!$P$5:$P$434,"&gt;0")/SUMIFS(Countries!$P$5:$P$434,Countries!$A$5:$A$434,"All landing pages",Countries!$B$5:$B$434,"Direct",Countries!$D$5:$D$434,$A525,Countries!$AR$5:$AR$434,"&gt;0"))</f>
        <v/>
      </c>
      <c r="K525" s="45">
        <f>IF(SUMIFS(Countries!$Q$5:$Q$434,Countries!$A$5:$A$434,"All landing pages",Countries!$B$5:$B$434,"Direct",Countries!$D$5:$D$434,$A525,Countries!$AS$5:$AS$434,"&gt;0")=0,"",SUMIFS(Countries!$AS$5:$AS$434,Countries!$A$5:$A$434,"All landing pages",Countries!$B$5:$B$434,"Direct",Countries!$D$5:$D$434,$A525,Countries!$Q$5:$Q$434,"&gt;0")/SUMIFS(Countries!$Q$5:$Q$434,Countries!$A$5:$A$434,"All landing pages",Countries!$B$5:$B$434,"Direct",Countries!$D$5:$D$434,$A525,Countries!$AS$5:$AS$434,"&gt;0"))</f>
        <v/>
      </c>
      <c r="L525" s="44">
        <f>IF(OR(J525="",K525=""),"",(K525-J525)*100)</f>
        <v/>
      </c>
      <c r="M525" s="73" t="n"/>
      <c r="N525" s="45">
        <f>IF(SUMIFS(Countries!$P$5:$P$434,Countries!$A$5:$A$434,"All landing pages",Countries!$D$5:$D$434,$A525,Countries!$AR$5:$AR$434,"&gt;0")=0,"",SUMIFS(Countries!$AR$5:$AR$434,Countries!$A$5:$A$434,"All landing pages",Countries!$D$5:$D$434,$A525,Countries!$P$5:$P$434,"&gt;0")/SUMIFS(Countries!$P$5:$P$434,Countries!$A$5:$A$434,"All landing pages",Countries!$D$5:$D$434,$A525,Countries!$AR$5:$AR$434,"&gt;0"))</f>
        <v/>
      </c>
      <c r="O525" s="45">
        <f>IF(SUMIFS(Countries!$Q$5:$Q$434,Countries!$A$5:$A$434,"All landing pages",Countries!$D$5:$D$434,$A525,Countries!$AS$5:$AS$434,"&gt;0")=0,"",SUMIFS(Countries!$AS$5:$AS$434,Countries!$A$5:$A$434,"All landing pages",Countries!$D$5:$D$434,$A525,Countries!$Q$5:$Q$434,"&gt;0")/SUMIFS(Countries!$Q$5:$Q$434,Countries!$A$5:$A$434,"All landing pages",Countries!$D$5:$D$434,$A525,Countries!$AS$5:$AS$434,"&gt;0"))</f>
        <v/>
      </c>
      <c r="P525" s="44">
        <f>IF(OR(N525="",O525=""),"",(O525-N525)*100)</f>
        <v/>
      </c>
      <c r="Q525" s="73" t="n"/>
    </row>
    <row r="526">
      <c r="A526" s="56" t="inlineStr">
        <is>
          <t>Bangladesh</t>
        </is>
      </c>
      <c r="B526" s="45">
        <f>IF(SUMIFS(Countries!$P$5:$P$434,Countries!$A$5:$A$434,"All landing pages",Countries!$B$5:$B$434,"Paid Search",Countries!$D$5:$D$434,$A526,Countries!$AR$5:$AR$434,"&gt;0")=0,"",SUMIFS(Countries!$AR$5:$AR$434,Countries!$A$5:$A$434,"All landing pages",Countries!$B$5:$B$434,"Paid Search",Countries!$D$5:$D$434,$A526,Countries!$P$5:$P$434,"&gt;0")/SUMIFS(Countries!$P$5:$P$434,Countries!$A$5:$A$434,"All landing pages",Countries!$B$5:$B$434,"Paid Search",Countries!$D$5:$D$434,$A526,Countries!$AR$5:$AR$434,"&gt;0"))</f>
        <v/>
      </c>
      <c r="C526" s="45">
        <f>IF(SUMIFS(Countries!$Q$5:$Q$434,Countries!$A$5:$A$434,"All landing pages",Countries!$B$5:$B$434,"Paid Search",Countries!$D$5:$D$434,$A526,Countries!$AS$5:$AS$434,"&gt;0")=0,"",SUMIFS(Countries!$AS$5:$AS$434,Countries!$A$5:$A$434,"All landing pages",Countries!$B$5:$B$434,"Paid Search",Countries!$D$5:$D$434,$A526,Countries!$Q$5:$Q$434,"&gt;0")/SUMIFS(Countries!$Q$5:$Q$434,Countries!$A$5:$A$434,"All landing pages",Countries!$B$5:$B$434,"Paid Search",Countries!$D$5:$D$434,$A526,Countries!$AS$5:$AS$434,"&gt;0"))</f>
        <v/>
      </c>
      <c r="D526" s="44">
        <f>IF(OR(B526="",C526=""),"",(C526-B526)*100)</f>
        <v/>
      </c>
      <c r="E526" s="73" t="n"/>
      <c r="F526" s="45">
        <f>IF(SUMIFS(Countries!$P$5:$P$434,Countries!$A$5:$A$434,"All landing pages",Countries!$B$5:$B$434,"Organic",Countries!$D$5:$D$434,$A526,Countries!$AR$5:$AR$434,"&gt;0")=0,"",SUMIFS(Countries!$AR$5:$AR$434,Countries!$A$5:$A$434,"All landing pages",Countries!$B$5:$B$434,"Organic",Countries!$D$5:$D$434,$A526,Countries!$P$5:$P$434,"&gt;0")/SUMIFS(Countries!$P$5:$P$434,Countries!$A$5:$A$434,"All landing pages",Countries!$B$5:$B$434,"Organic",Countries!$D$5:$D$434,$A526,Countries!$AR$5:$AR$434,"&gt;0"))</f>
        <v/>
      </c>
      <c r="G526" s="45">
        <f>IF(SUMIFS(Countries!$Q$5:$Q$434,Countries!$A$5:$A$434,"All landing pages",Countries!$B$5:$B$434,"Organic",Countries!$D$5:$D$434,$A526,Countries!$AS$5:$AS$434,"&gt;0")=0,"",SUMIFS(Countries!$AS$5:$AS$434,Countries!$A$5:$A$434,"All landing pages",Countries!$B$5:$B$434,"Organic",Countries!$D$5:$D$434,$A526,Countries!$Q$5:$Q$434,"&gt;0")/SUMIFS(Countries!$Q$5:$Q$434,Countries!$A$5:$A$434,"All landing pages",Countries!$B$5:$B$434,"Organic",Countries!$D$5:$D$434,$A526,Countries!$AS$5:$AS$434,"&gt;0"))</f>
        <v/>
      </c>
      <c r="H526" s="44">
        <f>IF(OR(F526="",G526=""),"",(G526-F526)*100)</f>
        <v/>
      </c>
      <c r="I526" s="73" t="n"/>
      <c r="J526" s="45">
        <f>IF(SUMIFS(Countries!$P$5:$P$434,Countries!$A$5:$A$434,"All landing pages",Countries!$B$5:$B$434,"Direct",Countries!$D$5:$D$434,$A526,Countries!$AR$5:$AR$434,"&gt;0")=0,"",SUMIFS(Countries!$AR$5:$AR$434,Countries!$A$5:$A$434,"All landing pages",Countries!$B$5:$B$434,"Direct",Countries!$D$5:$D$434,$A526,Countries!$P$5:$P$434,"&gt;0")/SUMIFS(Countries!$P$5:$P$434,Countries!$A$5:$A$434,"All landing pages",Countries!$B$5:$B$434,"Direct",Countries!$D$5:$D$434,$A526,Countries!$AR$5:$AR$434,"&gt;0"))</f>
        <v/>
      </c>
      <c r="K526" s="45">
        <f>IF(SUMIFS(Countries!$Q$5:$Q$434,Countries!$A$5:$A$434,"All landing pages",Countries!$B$5:$B$434,"Direct",Countries!$D$5:$D$434,$A526,Countries!$AS$5:$AS$434,"&gt;0")=0,"",SUMIFS(Countries!$AS$5:$AS$434,Countries!$A$5:$A$434,"All landing pages",Countries!$B$5:$B$434,"Direct",Countries!$D$5:$D$434,$A526,Countries!$Q$5:$Q$434,"&gt;0")/SUMIFS(Countries!$Q$5:$Q$434,Countries!$A$5:$A$434,"All landing pages",Countries!$B$5:$B$434,"Direct",Countries!$D$5:$D$434,$A526,Countries!$AS$5:$AS$434,"&gt;0"))</f>
        <v/>
      </c>
      <c r="L526" s="44">
        <f>IF(OR(J526="",K526=""),"",(K526-J526)*100)</f>
        <v/>
      </c>
      <c r="M526" s="73" t="n"/>
      <c r="N526" s="45">
        <f>IF(SUMIFS(Countries!$P$5:$P$434,Countries!$A$5:$A$434,"All landing pages",Countries!$D$5:$D$434,$A526,Countries!$AR$5:$AR$434,"&gt;0")=0,"",SUMIFS(Countries!$AR$5:$AR$434,Countries!$A$5:$A$434,"All landing pages",Countries!$D$5:$D$434,$A526,Countries!$P$5:$P$434,"&gt;0")/SUMIFS(Countries!$P$5:$P$434,Countries!$A$5:$A$434,"All landing pages",Countries!$D$5:$D$434,$A526,Countries!$AR$5:$AR$434,"&gt;0"))</f>
        <v/>
      </c>
      <c r="O526" s="45">
        <f>IF(SUMIFS(Countries!$Q$5:$Q$434,Countries!$A$5:$A$434,"All landing pages",Countries!$D$5:$D$434,$A526,Countries!$AS$5:$AS$434,"&gt;0")=0,"",SUMIFS(Countries!$AS$5:$AS$434,Countries!$A$5:$A$434,"All landing pages",Countries!$D$5:$D$434,$A526,Countries!$Q$5:$Q$434,"&gt;0")/SUMIFS(Countries!$Q$5:$Q$434,Countries!$A$5:$A$434,"All landing pages",Countries!$D$5:$D$434,$A526,Countries!$AS$5:$AS$434,"&gt;0"))</f>
        <v/>
      </c>
      <c r="P526" s="44">
        <f>IF(OR(N526="",O526=""),"",(O526-N526)*100)</f>
        <v/>
      </c>
      <c r="Q526" s="73" t="n"/>
    </row>
    <row r="527">
      <c r="A527" s="40" t="inlineStr">
        <is>
          <t>Brazil</t>
        </is>
      </c>
      <c r="B527" s="45">
        <f>IF(SUMIFS(Countries!$P$5:$P$434,Countries!$A$5:$A$434,"All landing pages",Countries!$B$5:$B$434,"Paid Search",Countries!$D$5:$D$434,$A527,Countries!$AR$5:$AR$434,"&gt;0")=0,"",SUMIFS(Countries!$AR$5:$AR$434,Countries!$A$5:$A$434,"All landing pages",Countries!$B$5:$B$434,"Paid Search",Countries!$D$5:$D$434,$A527,Countries!$P$5:$P$434,"&gt;0")/SUMIFS(Countries!$P$5:$P$434,Countries!$A$5:$A$434,"All landing pages",Countries!$B$5:$B$434,"Paid Search",Countries!$D$5:$D$434,$A527,Countries!$AR$5:$AR$434,"&gt;0"))</f>
        <v/>
      </c>
      <c r="C527" s="45">
        <f>IF(SUMIFS(Countries!$Q$5:$Q$434,Countries!$A$5:$A$434,"All landing pages",Countries!$B$5:$B$434,"Paid Search",Countries!$D$5:$D$434,$A527,Countries!$AS$5:$AS$434,"&gt;0")=0,"",SUMIFS(Countries!$AS$5:$AS$434,Countries!$A$5:$A$434,"All landing pages",Countries!$B$5:$B$434,"Paid Search",Countries!$D$5:$D$434,$A527,Countries!$Q$5:$Q$434,"&gt;0")/SUMIFS(Countries!$Q$5:$Q$434,Countries!$A$5:$A$434,"All landing pages",Countries!$B$5:$B$434,"Paid Search",Countries!$D$5:$D$434,$A527,Countries!$AS$5:$AS$434,"&gt;0"))</f>
        <v/>
      </c>
      <c r="D527" s="44">
        <f>IF(OR(B527="",C527=""),"",(C527-B527)*100)</f>
        <v/>
      </c>
      <c r="E527" s="73" t="n"/>
      <c r="F527" s="45">
        <f>IF(SUMIFS(Countries!$P$5:$P$434,Countries!$A$5:$A$434,"All landing pages",Countries!$B$5:$B$434,"Organic",Countries!$D$5:$D$434,$A527,Countries!$AR$5:$AR$434,"&gt;0")=0,"",SUMIFS(Countries!$AR$5:$AR$434,Countries!$A$5:$A$434,"All landing pages",Countries!$B$5:$B$434,"Organic",Countries!$D$5:$D$434,$A527,Countries!$P$5:$P$434,"&gt;0")/SUMIFS(Countries!$P$5:$P$434,Countries!$A$5:$A$434,"All landing pages",Countries!$B$5:$B$434,"Organic",Countries!$D$5:$D$434,$A527,Countries!$AR$5:$AR$434,"&gt;0"))</f>
        <v/>
      </c>
      <c r="G527" s="45">
        <f>IF(SUMIFS(Countries!$Q$5:$Q$434,Countries!$A$5:$A$434,"All landing pages",Countries!$B$5:$B$434,"Organic",Countries!$D$5:$D$434,$A527,Countries!$AS$5:$AS$434,"&gt;0")=0,"",SUMIFS(Countries!$AS$5:$AS$434,Countries!$A$5:$A$434,"All landing pages",Countries!$B$5:$B$434,"Organic",Countries!$D$5:$D$434,$A527,Countries!$Q$5:$Q$434,"&gt;0")/SUMIFS(Countries!$Q$5:$Q$434,Countries!$A$5:$A$434,"All landing pages",Countries!$B$5:$B$434,"Organic",Countries!$D$5:$D$434,$A527,Countries!$AS$5:$AS$434,"&gt;0"))</f>
        <v/>
      </c>
      <c r="H527" s="44">
        <f>IF(OR(F527="",G527=""),"",(G527-F527)*100)</f>
        <v/>
      </c>
      <c r="I527" s="73" t="n"/>
      <c r="J527" s="45">
        <f>IF(SUMIFS(Countries!$P$5:$P$434,Countries!$A$5:$A$434,"All landing pages",Countries!$B$5:$B$434,"Direct",Countries!$D$5:$D$434,$A527,Countries!$AR$5:$AR$434,"&gt;0")=0,"",SUMIFS(Countries!$AR$5:$AR$434,Countries!$A$5:$A$434,"All landing pages",Countries!$B$5:$B$434,"Direct",Countries!$D$5:$D$434,$A527,Countries!$P$5:$P$434,"&gt;0")/SUMIFS(Countries!$P$5:$P$434,Countries!$A$5:$A$434,"All landing pages",Countries!$B$5:$B$434,"Direct",Countries!$D$5:$D$434,$A527,Countries!$AR$5:$AR$434,"&gt;0"))</f>
        <v/>
      </c>
      <c r="K527" s="45">
        <f>IF(SUMIFS(Countries!$Q$5:$Q$434,Countries!$A$5:$A$434,"All landing pages",Countries!$B$5:$B$434,"Direct",Countries!$D$5:$D$434,$A527,Countries!$AS$5:$AS$434,"&gt;0")=0,"",SUMIFS(Countries!$AS$5:$AS$434,Countries!$A$5:$A$434,"All landing pages",Countries!$B$5:$B$434,"Direct",Countries!$D$5:$D$434,$A527,Countries!$Q$5:$Q$434,"&gt;0")/SUMIFS(Countries!$Q$5:$Q$434,Countries!$A$5:$A$434,"All landing pages",Countries!$B$5:$B$434,"Direct",Countries!$D$5:$D$434,$A527,Countries!$AS$5:$AS$434,"&gt;0"))</f>
        <v/>
      </c>
      <c r="L527" s="44">
        <f>IF(OR(J527="",K527=""),"",(K527-J527)*100)</f>
        <v/>
      </c>
      <c r="M527" s="73" t="n"/>
      <c r="N527" s="45">
        <f>IF(SUMIFS(Countries!$P$5:$P$434,Countries!$A$5:$A$434,"All landing pages",Countries!$D$5:$D$434,$A527,Countries!$AR$5:$AR$434,"&gt;0")=0,"",SUMIFS(Countries!$AR$5:$AR$434,Countries!$A$5:$A$434,"All landing pages",Countries!$D$5:$D$434,$A527,Countries!$P$5:$P$434,"&gt;0")/SUMIFS(Countries!$P$5:$P$434,Countries!$A$5:$A$434,"All landing pages",Countries!$D$5:$D$434,$A527,Countries!$AR$5:$AR$434,"&gt;0"))</f>
        <v/>
      </c>
      <c r="O527" s="45">
        <f>IF(SUMIFS(Countries!$Q$5:$Q$434,Countries!$A$5:$A$434,"All landing pages",Countries!$D$5:$D$434,$A527,Countries!$AS$5:$AS$434,"&gt;0")=0,"",SUMIFS(Countries!$AS$5:$AS$434,Countries!$A$5:$A$434,"All landing pages",Countries!$D$5:$D$434,$A527,Countries!$Q$5:$Q$434,"&gt;0")/SUMIFS(Countries!$Q$5:$Q$434,Countries!$A$5:$A$434,"All landing pages",Countries!$D$5:$D$434,$A527,Countries!$AS$5:$AS$434,"&gt;0"))</f>
        <v/>
      </c>
      <c r="P527" s="44">
        <f>IF(OR(N527="",O527=""),"",(O527-N527)*100)</f>
        <v/>
      </c>
      <c r="Q527" s="73" t="n"/>
    </row>
    <row r="528">
      <c r="A528" s="56" t="inlineStr">
        <is>
          <t>China</t>
        </is>
      </c>
      <c r="B528" s="45">
        <f>IF(SUMIFS(Countries!$P$5:$P$434,Countries!$A$5:$A$434,"All landing pages",Countries!$B$5:$B$434,"Paid Search",Countries!$D$5:$D$434,$A528,Countries!$AR$5:$AR$434,"&gt;0")=0,"",SUMIFS(Countries!$AR$5:$AR$434,Countries!$A$5:$A$434,"All landing pages",Countries!$B$5:$B$434,"Paid Search",Countries!$D$5:$D$434,$A528,Countries!$P$5:$P$434,"&gt;0")/SUMIFS(Countries!$P$5:$P$434,Countries!$A$5:$A$434,"All landing pages",Countries!$B$5:$B$434,"Paid Search",Countries!$D$5:$D$434,$A528,Countries!$AR$5:$AR$434,"&gt;0"))</f>
        <v/>
      </c>
      <c r="C528" s="45">
        <f>IF(SUMIFS(Countries!$Q$5:$Q$434,Countries!$A$5:$A$434,"All landing pages",Countries!$B$5:$B$434,"Paid Search",Countries!$D$5:$D$434,$A528,Countries!$AS$5:$AS$434,"&gt;0")=0,"",SUMIFS(Countries!$AS$5:$AS$434,Countries!$A$5:$A$434,"All landing pages",Countries!$B$5:$B$434,"Paid Search",Countries!$D$5:$D$434,$A528,Countries!$Q$5:$Q$434,"&gt;0")/SUMIFS(Countries!$Q$5:$Q$434,Countries!$A$5:$A$434,"All landing pages",Countries!$B$5:$B$434,"Paid Search",Countries!$D$5:$D$434,$A528,Countries!$AS$5:$AS$434,"&gt;0"))</f>
        <v/>
      </c>
      <c r="D528" s="44">
        <f>IF(OR(B528="",C528=""),"",(C528-B528)*100)</f>
        <v/>
      </c>
      <c r="E528" s="73" t="n"/>
      <c r="F528" s="45">
        <f>IF(SUMIFS(Countries!$P$5:$P$434,Countries!$A$5:$A$434,"All landing pages",Countries!$B$5:$B$434,"Organic",Countries!$D$5:$D$434,$A528,Countries!$AR$5:$AR$434,"&gt;0")=0,"",SUMIFS(Countries!$AR$5:$AR$434,Countries!$A$5:$A$434,"All landing pages",Countries!$B$5:$B$434,"Organic",Countries!$D$5:$D$434,$A528,Countries!$P$5:$P$434,"&gt;0")/SUMIFS(Countries!$P$5:$P$434,Countries!$A$5:$A$434,"All landing pages",Countries!$B$5:$B$434,"Organic",Countries!$D$5:$D$434,$A528,Countries!$AR$5:$AR$434,"&gt;0"))</f>
        <v/>
      </c>
      <c r="G528" s="45">
        <f>IF(SUMIFS(Countries!$Q$5:$Q$434,Countries!$A$5:$A$434,"All landing pages",Countries!$B$5:$B$434,"Organic",Countries!$D$5:$D$434,$A528,Countries!$AS$5:$AS$434,"&gt;0")=0,"",SUMIFS(Countries!$AS$5:$AS$434,Countries!$A$5:$A$434,"All landing pages",Countries!$B$5:$B$434,"Organic",Countries!$D$5:$D$434,$A528,Countries!$Q$5:$Q$434,"&gt;0")/SUMIFS(Countries!$Q$5:$Q$434,Countries!$A$5:$A$434,"All landing pages",Countries!$B$5:$B$434,"Organic",Countries!$D$5:$D$434,$A528,Countries!$AS$5:$AS$434,"&gt;0"))</f>
        <v/>
      </c>
      <c r="H528" s="44">
        <f>IF(OR(F528="",G528=""),"",(G528-F528)*100)</f>
        <v/>
      </c>
      <c r="I528" s="73" t="n"/>
      <c r="J528" s="45">
        <f>IF(SUMIFS(Countries!$P$5:$P$434,Countries!$A$5:$A$434,"All landing pages",Countries!$B$5:$B$434,"Direct",Countries!$D$5:$D$434,$A528,Countries!$AR$5:$AR$434,"&gt;0")=0,"",SUMIFS(Countries!$AR$5:$AR$434,Countries!$A$5:$A$434,"All landing pages",Countries!$B$5:$B$434,"Direct",Countries!$D$5:$D$434,$A528,Countries!$P$5:$P$434,"&gt;0")/SUMIFS(Countries!$P$5:$P$434,Countries!$A$5:$A$434,"All landing pages",Countries!$B$5:$B$434,"Direct",Countries!$D$5:$D$434,$A528,Countries!$AR$5:$AR$434,"&gt;0"))</f>
        <v/>
      </c>
      <c r="K528" s="45">
        <f>IF(SUMIFS(Countries!$Q$5:$Q$434,Countries!$A$5:$A$434,"All landing pages",Countries!$B$5:$B$434,"Direct",Countries!$D$5:$D$434,$A528,Countries!$AS$5:$AS$434,"&gt;0")=0,"",SUMIFS(Countries!$AS$5:$AS$434,Countries!$A$5:$A$434,"All landing pages",Countries!$B$5:$B$434,"Direct",Countries!$D$5:$D$434,$A528,Countries!$Q$5:$Q$434,"&gt;0")/SUMIFS(Countries!$Q$5:$Q$434,Countries!$A$5:$A$434,"All landing pages",Countries!$B$5:$B$434,"Direct",Countries!$D$5:$D$434,$A528,Countries!$AS$5:$AS$434,"&gt;0"))</f>
        <v/>
      </c>
      <c r="L528" s="44">
        <f>IF(OR(J528="",K528=""),"",(K528-J528)*100)</f>
        <v/>
      </c>
      <c r="M528" s="73" t="n"/>
      <c r="N528" s="45">
        <f>IF(SUMIFS(Countries!$P$5:$P$434,Countries!$A$5:$A$434,"All landing pages",Countries!$D$5:$D$434,$A528,Countries!$AR$5:$AR$434,"&gt;0")=0,"",SUMIFS(Countries!$AR$5:$AR$434,Countries!$A$5:$A$434,"All landing pages",Countries!$D$5:$D$434,$A528,Countries!$P$5:$P$434,"&gt;0")/SUMIFS(Countries!$P$5:$P$434,Countries!$A$5:$A$434,"All landing pages",Countries!$D$5:$D$434,$A528,Countries!$AR$5:$AR$434,"&gt;0"))</f>
        <v/>
      </c>
      <c r="O528" s="45">
        <f>IF(SUMIFS(Countries!$Q$5:$Q$434,Countries!$A$5:$A$434,"All landing pages",Countries!$D$5:$D$434,$A528,Countries!$AS$5:$AS$434,"&gt;0")=0,"",SUMIFS(Countries!$AS$5:$AS$434,Countries!$A$5:$A$434,"All landing pages",Countries!$D$5:$D$434,$A528,Countries!$Q$5:$Q$434,"&gt;0")/SUMIFS(Countries!$Q$5:$Q$434,Countries!$A$5:$A$434,"All landing pages",Countries!$D$5:$D$434,$A528,Countries!$AS$5:$AS$434,"&gt;0"))</f>
        <v/>
      </c>
      <c r="P528" s="44">
        <f>IF(OR(N528="",O528=""),"",(O528-N528)*100)</f>
        <v/>
      </c>
      <c r="Q528" s="73" t="n"/>
    </row>
    <row r="529">
      <c r="A529" s="40" t="inlineStr">
        <is>
          <t>Croatia</t>
        </is>
      </c>
      <c r="B529" s="45">
        <f>IF(SUMIFS(Countries!$P$5:$P$434,Countries!$A$5:$A$434,"All landing pages",Countries!$B$5:$B$434,"Paid Search",Countries!$D$5:$D$434,$A529,Countries!$AR$5:$AR$434,"&gt;0")=0,"",SUMIFS(Countries!$AR$5:$AR$434,Countries!$A$5:$A$434,"All landing pages",Countries!$B$5:$B$434,"Paid Search",Countries!$D$5:$D$434,$A529,Countries!$P$5:$P$434,"&gt;0")/SUMIFS(Countries!$P$5:$P$434,Countries!$A$5:$A$434,"All landing pages",Countries!$B$5:$B$434,"Paid Search",Countries!$D$5:$D$434,$A529,Countries!$AR$5:$AR$434,"&gt;0"))</f>
        <v/>
      </c>
      <c r="C529" s="45">
        <f>IF(SUMIFS(Countries!$Q$5:$Q$434,Countries!$A$5:$A$434,"All landing pages",Countries!$B$5:$B$434,"Paid Search",Countries!$D$5:$D$434,$A529,Countries!$AS$5:$AS$434,"&gt;0")=0,"",SUMIFS(Countries!$AS$5:$AS$434,Countries!$A$5:$A$434,"All landing pages",Countries!$B$5:$B$434,"Paid Search",Countries!$D$5:$D$434,$A529,Countries!$Q$5:$Q$434,"&gt;0")/SUMIFS(Countries!$Q$5:$Q$434,Countries!$A$5:$A$434,"All landing pages",Countries!$B$5:$B$434,"Paid Search",Countries!$D$5:$D$434,$A529,Countries!$AS$5:$AS$434,"&gt;0"))</f>
        <v/>
      </c>
      <c r="D529" s="44">
        <f>IF(OR(B529="",C529=""),"",(C529-B529)*100)</f>
        <v/>
      </c>
      <c r="E529" s="73" t="n"/>
      <c r="F529" s="45">
        <f>IF(SUMIFS(Countries!$P$5:$P$434,Countries!$A$5:$A$434,"All landing pages",Countries!$B$5:$B$434,"Organic",Countries!$D$5:$D$434,$A529,Countries!$AR$5:$AR$434,"&gt;0")=0,"",SUMIFS(Countries!$AR$5:$AR$434,Countries!$A$5:$A$434,"All landing pages",Countries!$B$5:$B$434,"Organic",Countries!$D$5:$D$434,$A529,Countries!$P$5:$P$434,"&gt;0")/SUMIFS(Countries!$P$5:$P$434,Countries!$A$5:$A$434,"All landing pages",Countries!$B$5:$B$434,"Organic",Countries!$D$5:$D$434,$A529,Countries!$AR$5:$AR$434,"&gt;0"))</f>
        <v/>
      </c>
      <c r="G529" s="45">
        <f>IF(SUMIFS(Countries!$Q$5:$Q$434,Countries!$A$5:$A$434,"All landing pages",Countries!$B$5:$B$434,"Organic",Countries!$D$5:$D$434,$A529,Countries!$AS$5:$AS$434,"&gt;0")=0,"",SUMIFS(Countries!$AS$5:$AS$434,Countries!$A$5:$A$434,"All landing pages",Countries!$B$5:$B$434,"Organic",Countries!$D$5:$D$434,$A529,Countries!$Q$5:$Q$434,"&gt;0")/SUMIFS(Countries!$Q$5:$Q$434,Countries!$A$5:$A$434,"All landing pages",Countries!$B$5:$B$434,"Organic",Countries!$D$5:$D$434,$A529,Countries!$AS$5:$AS$434,"&gt;0"))</f>
        <v/>
      </c>
      <c r="H529" s="44">
        <f>IF(OR(F529="",G529=""),"",(G529-F529)*100)</f>
        <v/>
      </c>
      <c r="I529" s="73" t="n"/>
      <c r="J529" s="45">
        <f>IF(SUMIFS(Countries!$P$5:$P$434,Countries!$A$5:$A$434,"All landing pages",Countries!$B$5:$B$434,"Direct",Countries!$D$5:$D$434,$A529,Countries!$AR$5:$AR$434,"&gt;0")=0,"",SUMIFS(Countries!$AR$5:$AR$434,Countries!$A$5:$A$434,"All landing pages",Countries!$B$5:$B$434,"Direct",Countries!$D$5:$D$434,$A529,Countries!$P$5:$P$434,"&gt;0")/SUMIFS(Countries!$P$5:$P$434,Countries!$A$5:$A$434,"All landing pages",Countries!$B$5:$B$434,"Direct",Countries!$D$5:$D$434,$A529,Countries!$AR$5:$AR$434,"&gt;0"))</f>
        <v/>
      </c>
      <c r="K529" s="45">
        <f>IF(SUMIFS(Countries!$Q$5:$Q$434,Countries!$A$5:$A$434,"All landing pages",Countries!$B$5:$B$434,"Direct",Countries!$D$5:$D$434,$A529,Countries!$AS$5:$AS$434,"&gt;0")=0,"",SUMIFS(Countries!$AS$5:$AS$434,Countries!$A$5:$A$434,"All landing pages",Countries!$B$5:$B$434,"Direct",Countries!$D$5:$D$434,$A529,Countries!$Q$5:$Q$434,"&gt;0")/SUMIFS(Countries!$Q$5:$Q$434,Countries!$A$5:$A$434,"All landing pages",Countries!$B$5:$B$434,"Direct",Countries!$D$5:$D$434,$A529,Countries!$AS$5:$AS$434,"&gt;0"))</f>
        <v/>
      </c>
      <c r="L529" s="44">
        <f>IF(OR(J529="",K529=""),"",(K529-J529)*100)</f>
        <v/>
      </c>
      <c r="M529" s="73" t="n"/>
      <c r="N529" s="45">
        <f>IF(SUMIFS(Countries!$P$5:$P$434,Countries!$A$5:$A$434,"All landing pages",Countries!$D$5:$D$434,$A529,Countries!$AR$5:$AR$434,"&gt;0")=0,"",SUMIFS(Countries!$AR$5:$AR$434,Countries!$A$5:$A$434,"All landing pages",Countries!$D$5:$D$434,$A529,Countries!$P$5:$P$434,"&gt;0")/SUMIFS(Countries!$P$5:$P$434,Countries!$A$5:$A$434,"All landing pages",Countries!$D$5:$D$434,$A529,Countries!$AR$5:$AR$434,"&gt;0"))</f>
        <v/>
      </c>
      <c r="O529" s="45">
        <f>IF(SUMIFS(Countries!$Q$5:$Q$434,Countries!$A$5:$A$434,"All landing pages",Countries!$D$5:$D$434,$A529,Countries!$AS$5:$AS$434,"&gt;0")=0,"",SUMIFS(Countries!$AS$5:$AS$434,Countries!$A$5:$A$434,"All landing pages",Countries!$D$5:$D$434,$A529,Countries!$Q$5:$Q$434,"&gt;0")/SUMIFS(Countries!$Q$5:$Q$434,Countries!$A$5:$A$434,"All landing pages",Countries!$D$5:$D$434,$A529,Countries!$AS$5:$AS$434,"&gt;0"))</f>
        <v/>
      </c>
      <c r="P529" s="44">
        <f>IF(OR(N529="",O529=""),"",(O529-N529)*100)</f>
        <v/>
      </c>
      <c r="Q529" s="73" t="n"/>
    </row>
    <row r="530">
      <c r="A530" s="56" t="inlineStr">
        <is>
          <t>Honduras</t>
        </is>
      </c>
      <c r="B530" s="45">
        <f>IF(SUMIFS(Countries!$P$5:$P$434,Countries!$A$5:$A$434,"All landing pages",Countries!$B$5:$B$434,"Paid Search",Countries!$D$5:$D$434,$A530,Countries!$AR$5:$AR$434,"&gt;0")=0,"",SUMIFS(Countries!$AR$5:$AR$434,Countries!$A$5:$A$434,"All landing pages",Countries!$B$5:$B$434,"Paid Search",Countries!$D$5:$D$434,$A530,Countries!$P$5:$P$434,"&gt;0")/SUMIFS(Countries!$P$5:$P$434,Countries!$A$5:$A$434,"All landing pages",Countries!$B$5:$B$434,"Paid Search",Countries!$D$5:$D$434,$A530,Countries!$AR$5:$AR$434,"&gt;0"))</f>
        <v/>
      </c>
      <c r="C530" s="45">
        <f>IF(SUMIFS(Countries!$Q$5:$Q$434,Countries!$A$5:$A$434,"All landing pages",Countries!$B$5:$B$434,"Paid Search",Countries!$D$5:$D$434,$A530,Countries!$AS$5:$AS$434,"&gt;0")=0,"",SUMIFS(Countries!$AS$5:$AS$434,Countries!$A$5:$A$434,"All landing pages",Countries!$B$5:$B$434,"Paid Search",Countries!$D$5:$D$434,$A530,Countries!$Q$5:$Q$434,"&gt;0")/SUMIFS(Countries!$Q$5:$Q$434,Countries!$A$5:$A$434,"All landing pages",Countries!$B$5:$B$434,"Paid Search",Countries!$D$5:$D$434,$A530,Countries!$AS$5:$AS$434,"&gt;0"))</f>
        <v/>
      </c>
      <c r="D530" s="44">
        <f>IF(OR(B530="",C530=""),"",(C530-B530)*100)</f>
        <v/>
      </c>
      <c r="E530" s="73" t="n"/>
      <c r="F530" s="45">
        <f>IF(SUMIFS(Countries!$P$5:$P$434,Countries!$A$5:$A$434,"All landing pages",Countries!$B$5:$B$434,"Organic",Countries!$D$5:$D$434,$A530,Countries!$AR$5:$AR$434,"&gt;0")=0,"",SUMIFS(Countries!$AR$5:$AR$434,Countries!$A$5:$A$434,"All landing pages",Countries!$B$5:$B$434,"Organic",Countries!$D$5:$D$434,$A530,Countries!$P$5:$P$434,"&gt;0")/SUMIFS(Countries!$P$5:$P$434,Countries!$A$5:$A$434,"All landing pages",Countries!$B$5:$B$434,"Organic",Countries!$D$5:$D$434,$A530,Countries!$AR$5:$AR$434,"&gt;0"))</f>
        <v/>
      </c>
      <c r="G530" s="45">
        <f>IF(SUMIFS(Countries!$Q$5:$Q$434,Countries!$A$5:$A$434,"All landing pages",Countries!$B$5:$B$434,"Organic",Countries!$D$5:$D$434,$A530,Countries!$AS$5:$AS$434,"&gt;0")=0,"",SUMIFS(Countries!$AS$5:$AS$434,Countries!$A$5:$A$434,"All landing pages",Countries!$B$5:$B$434,"Organic",Countries!$D$5:$D$434,$A530,Countries!$Q$5:$Q$434,"&gt;0")/SUMIFS(Countries!$Q$5:$Q$434,Countries!$A$5:$A$434,"All landing pages",Countries!$B$5:$B$434,"Organic",Countries!$D$5:$D$434,$A530,Countries!$AS$5:$AS$434,"&gt;0"))</f>
        <v/>
      </c>
      <c r="H530" s="44">
        <f>IF(OR(F530="",G530=""),"",(G530-F530)*100)</f>
        <v/>
      </c>
      <c r="I530" s="73" t="n"/>
      <c r="J530" s="45">
        <f>IF(SUMIFS(Countries!$P$5:$P$434,Countries!$A$5:$A$434,"All landing pages",Countries!$B$5:$B$434,"Direct",Countries!$D$5:$D$434,$A530,Countries!$AR$5:$AR$434,"&gt;0")=0,"",SUMIFS(Countries!$AR$5:$AR$434,Countries!$A$5:$A$434,"All landing pages",Countries!$B$5:$B$434,"Direct",Countries!$D$5:$D$434,$A530,Countries!$P$5:$P$434,"&gt;0")/SUMIFS(Countries!$P$5:$P$434,Countries!$A$5:$A$434,"All landing pages",Countries!$B$5:$B$434,"Direct",Countries!$D$5:$D$434,$A530,Countries!$AR$5:$AR$434,"&gt;0"))</f>
        <v/>
      </c>
      <c r="K530" s="45">
        <f>IF(SUMIFS(Countries!$Q$5:$Q$434,Countries!$A$5:$A$434,"All landing pages",Countries!$B$5:$B$434,"Direct",Countries!$D$5:$D$434,$A530,Countries!$AS$5:$AS$434,"&gt;0")=0,"",SUMIFS(Countries!$AS$5:$AS$434,Countries!$A$5:$A$434,"All landing pages",Countries!$B$5:$B$434,"Direct",Countries!$D$5:$D$434,$A530,Countries!$Q$5:$Q$434,"&gt;0")/SUMIFS(Countries!$Q$5:$Q$434,Countries!$A$5:$A$434,"All landing pages",Countries!$B$5:$B$434,"Direct",Countries!$D$5:$D$434,$A530,Countries!$AS$5:$AS$434,"&gt;0"))</f>
        <v/>
      </c>
      <c r="L530" s="44">
        <f>IF(OR(J530="",K530=""),"",(K530-J530)*100)</f>
        <v/>
      </c>
      <c r="M530" s="73" t="n"/>
      <c r="N530" s="45">
        <f>IF(SUMIFS(Countries!$P$5:$P$434,Countries!$A$5:$A$434,"All landing pages",Countries!$D$5:$D$434,$A530,Countries!$AR$5:$AR$434,"&gt;0")=0,"",SUMIFS(Countries!$AR$5:$AR$434,Countries!$A$5:$A$434,"All landing pages",Countries!$D$5:$D$434,$A530,Countries!$P$5:$P$434,"&gt;0")/SUMIFS(Countries!$P$5:$P$434,Countries!$A$5:$A$434,"All landing pages",Countries!$D$5:$D$434,$A530,Countries!$AR$5:$AR$434,"&gt;0"))</f>
        <v/>
      </c>
      <c r="O530" s="45">
        <f>IF(SUMIFS(Countries!$Q$5:$Q$434,Countries!$A$5:$A$434,"All landing pages",Countries!$D$5:$D$434,$A530,Countries!$AS$5:$AS$434,"&gt;0")=0,"",SUMIFS(Countries!$AS$5:$AS$434,Countries!$A$5:$A$434,"All landing pages",Countries!$D$5:$D$434,$A530,Countries!$Q$5:$Q$434,"&gt;0")/SUMIFS(Countries!$Q$5:$Q$434,Countries!$A$5:$A$434,"All landing pages",Countries!$D$5:$D$434,$A530,Countries!$AS$5:$AS$434,"&gt;0"))</f>
        <v/>
      </c>
      <c r="P530" s="44">
        <f>IF(OR(N530="",O530=""),"",(O530-N530)*100)</f>
        <v/>
      </c>
      <c r="Q530" s="73" t="n"/>
    </row>
    <row r="531">
      <c r="A531" s="40" t="inlineStr">
        <is>
          <t>Israel</t>
        </is>
      </c>
      <c r="B531" s="45">
        <f>IF(SUMIFS(Countries!$P$5:$P$434,Countries!$A$5:$A$434,"All landing pages",Countries!$B$5:$B$434,"Paid Search",Countries!$D$5:$D$434,$A531,Countries!$AR$5:$AR$434,"&gt;0")=0,"",SUMIFS(Countries!$AR$5:$AR$434,Countries!$A$5:$A$434,"All landing pages",Countries!$B$5:$B$434,"Paid Search",Countries!$D$5:$D$434,$A531,Countries!$P$5:$P$434,"&gt;0")/SUMIFS(Countries!$P$5:$P$434,Countries!$A$5:$A$434,"All landing pages",Countries!$B$5:$B$434,"Paid Search",Countries!$D$5:$D$434,$A531,Countries!$AR$5:$AR$434,"&gt;0"))</f>
        <v/>
      </c>
      <c r="C531" s="45">
        <f>IF(SUMIFS(Countries!$Q$5:$Q$434,Countries!$A$5:$A$434,"All landing pages",Countries!$B$5:$B$434,"Paid Search",Countries!$D$5:$D$434,$A531,Countries!$AS$5:$AS$434,"&gt;0")=0,"",SUMIFS(Countries!$AS$5:$AS$434,Countries!$A$5:$A$434,"All landing pages",Countries!$B$5:$B$434,"Paid Search",Countries!$D$5:$D$434,$A531,Countries!$Q$5:$Q$434,"&gt;0")/SUMIFS(Countries!$Q$5:$Q$434,Countries!$A$5:$A$434,"All landing pages",Countries!$B$5:$B$434,"Paid Search",Countries!$D$5:$D$434,$A531,Countries!$AS$5:$AS$434,"&gt;0"))</f>
        <v/>
      </c>
      <c r="D531" s="44">
        <f>IF(OR(B531="",C531=""),"",(C531-B531)*100)</f>
        <v/>
      </c>
      <c r="E531" s="73" t="n"/>
      <c r="F531" s="45">
        <f>IF(SUMIFS(Countries!$P$5:$P$434,Countries!$A$5:$A$434,"All landing pages",Countries!$B$5:$B$434,"Organic",Countries!$D$5:$D$434,$A531,Countries!$AR$5:$AR$434,"&gt;0")=0,"",SUMIFS(Countries!$AR$5:$AR$434,Countries!$A$5:$A$434,"All landing pages",Countries!$B$5:$B$434,"Organic",Countries!$D$5:$D$434,$A531,Countries!$P$5:$P$434,"&gt;0")/SUMIFS(Countries!$P$5:$P$434,Countries!$A$5:$A$434,"All landing pages",Countries!$B$5:$B$434,"Organic",Countries!$D$5:$D$434,$A531,Countries!$AR$5:$AR$434,"&gt;0"))</f>
        <v/>
      </c>
      <c r="G531" s="45">
        <f>IF(SUMIFS(Countries!$Q$5:$Q$434,Countries!$A$5:$A$434,"All landing pages",Countries!$B$5:$B$434,"Organic",Countries!$D$5:$D$434,$A531,Countries!$AS$5:$AS$434,"&gt;0")=0,"",SUMIFS(Countries!$AS$5:$AS$434,Countries!$A$5:$A$434,"All landing pages",Countries!$B$5:$B$434,"Organic",Countries!$D$5:$D$434,$A531,Countries!$Q$5:$Q$434,"&gt;0")/SUMIFS(Countries!$Q$5:$Q$434,Countries!$A$5:$A$434,"All landing pages",Countries!$B$5:$B$434,"Organic",Countries!$D$5:$D$434,$A531,Countries!$AS$5:$AS$434,"&gt;0"))</f>
        <v/>
      </c>
      <c r="H531" s="44">
        <f>IF(OR(F531="",G531=""),"",(G531-F531)*100)</f>
        <v/>
      </c>
      <c r="I531" s="73" t="n"/>
      <c r="J531" s="45">
        <f>IF(SUMIFS(Countries!$P$5:$P$434,Countries!$A$5:$A$434,"All landing pages",Countries!$B$5:$B$434,"Direct",Countries!$D$5:$D$434,$A531,Countries!$AR$5:$AR$434,"&gt;0")=0,"",SUMIFS(Countries!$AR$5:$AR$434,Countries!$A$5:$A$434,"All landing pages",Countries!$B$5:$B$434,"Direct",Countries!$D$5:$D$434,$A531,Countries!$P$5:$P$434,"&gt;0")/SUMIFS(Countries!$P$5:$P$434,Countries!$A$5:$A$434,"All landing pages",Countries!$B$5:$B$434,"Direct",Countries!$D$5:$D$434,$A531,Countries!$AR$5:$AR$434,"&gt;0"))</f>
        <v/>
      </c>
      <c r="K531" s="45">
        <f>IF(SUMIFS(Countries!$Q$5:$Q$434,Countries!$A$5:$A$434,"All landing pages",Countries!$B$5:$B$434,"Direct",Countries!$D$5:$D$434,$A531,Countries!$AS$5:$AS$434,"&gt;0")=0,"",SUMIFS(Countries!$AS$5:$AS$434,Countries!$A$5:$A$434,"All landing pages",Countries!$B$5:$B$434,"Direct",Countries!$D$5:$D$434,$A531,Countries!$Q$5:$Q$434,"&gt;0")/SUMIFS(Countries!$Q$5:$Q$434,Countries!$A$5:$A$434,"All landing pages",Countries!$B$5:$B$434,"Direct",Countries!$D$5:$D$434,$A531,Countries!$AS$5:$AS$434,"&gt;0"))</f>
        <v/>
      </c>
      <c r="L531" s="44">
        <f>IF(OR(J531="",K531=""),"",(K531-J531)*100)</f>
        <v/>
      </c>
      <c r="M531" s="73" t="n"/>
      <c r="N531" s="45">
        <f>IF(SUMIFS(Countries!$P$5:$P$434,Countries!$A$5:$A$434,"All landing pages",Countries!$D$5:$D$434,$A531,Countries!$AR$5:$AR$434,"&gt;0")=0,"",SUMIFS(Countries!$AR$5:$AR$434,Countries!$A$5:$A$434,"All landing pages",Countries!$D$5:$D$434,$A531,Countries!$P$5:$P$434,"&gt;0")/SUMIFS(Countries!$P$5:$P$434,Countries!$A$5:$A$434,"All landing pages",Countries!$D$5:$D$434,$A531,Countries!$AR$5:$AR$434,"&gt;0"))</f>
        <v/>
      </c>
      <c r="O531" s="45">
        <f>IF(SUMIFS(Countries!$Q$5:$Q$434,Countries!$A$5:$A$434,"All landing pages",Countries!$D$5:$D$434,$A531,Countries!$AS$5:$AS$434,"&gt;0")=0,"",SUMIFS(Countries!$AS$5:$AS$434,Countries!$A$5:$A$434,"All landing pages",Countries!$D$5:$D$434,$A531,Countries!$Q$5:$Q$434,"&gt;0")/SUMIFS(Countries!$Q$5:$Q$434,Countries!$A$5:$A$434,"All landing pages",Countries!$D$5:$D$434,$A531,Countries!$AS$5:$AS$434,"&gt;0"))</f>
        <v/>
      </c>
      <c r="P531" s="44">
        <f>IF(OR(N531="",O531=""),"",(O531-N531)*100)</f>
        <v/>
      </c>
      <c r="Q531" s="73" t="n"/>
    </row>
    <row r="532">
      <c r="A532" s="56" t="inlineStr">
        <is>
          <t>Philippines</t>
        </is>
      </c>
      <c r="B532" s="45">
        <f>IF(SUMIFS(Countries!$P$5:$P$434,Countries!$A$5:$A$434,"All landing pages",Countries!$B$5:$B$434,"Paid Search",Countries!$D$5:$D$434,$A532,Countries!$AR$5:$AR$434,"&gt;0")=0,"",SUMIFS(Countries!$AR$5:$AR$434,Countries!$A$5:$A$434,"All landing pages",Countries!$B$5:$B$434,"Paid Search",Countries!$D$5:$D$434,$A532,Countries!$P$5:$P$434,"&gt;0")/SUMIFS(Countries!$P$5:$P$434,Countries!$A$5:$A$434,"All landing pages",Countries!$B$5:$B$434,"Paid Search",Countries!$D$5:$D$434,$A532,Countries!$AR$5:$AR$434,"&gt;0"))</f>
        <v/>
      </c>
      <c r="C532" s="45">
        <f>IF(SUMIFS(Countries!$Q$5:$Q$434,Countries!$A$5:$A$434,"All landing pages",Countries!$B$5:$B$434,"Paid Search",Countries!$D$5:$D$434,$A532,Countries!$AS$5:$AS$434,"&gt;0")=0,"",SUMIFS(Countries!$AS$5:$AS$434,Countries!$A$5:$A$434,"All landing pages",Countries!$B$5:$B$434,"Paid Search",Countries!$D$5:$D$434,$A532,Countries!$Q$5:$Q$434,"&gt;0")/SUMIFS(Countries!$Q$5:$Q$434,Countries!$A$5:$A$434,"All landing pages",Countries!$B$5:$B$434,"Paid Search",Countries!$D$5:$D$434,$A532,Countries!$AS$5:$AS$434,"&gt;0"))</f>
        <v/>
      </c>
      <c r="D532" s="44">
        <f>IF(OR(B532="",C532=""),"",(C532-B532)*100)</f>
        <v/>
      </c>
      <c r="E532" s="73" t="n"/>
      <c r="F532" s="45">
        <f>IF(SUMIFS(Countries!$P$5:$P$434,Countries!$A$5:$A$434,"All landing pages",Countries!$B$5:$B$434,"Organic",Countries!$D$5:$D$434,$A532,Countries!$AR$5:$AR$434,"&gt;0")=0,"",SUMIFS(Countries!$AR$5:$AR$434,Countries!$A$5:$A$434,"All landing pages",Countries!$B$5:$B$434,"Organic",Countries!$D$5:$D$434,$A532,Countries!$P$5:$P$434,"&gt;0")/SUMIFS(Countries!$P$5:$P$434,Countries!$A$5:$A$434,"All landing pages",Countries!$B$5:$B$434,"Organic",Countries!$D$5:$D$434,$A532,Countries!$AR$5:$AR$434,"&gt;0"))</f>
        <v/>
      </c>
      <c r="G532" s="45">
        <f>IF(SUMIFS(Countries!$Q$5:$Q$434,Countries!$A$5:$A$434,"All landing pages",Countries!$B$5:$B$434,"Organic",Countries!$D$5:$D$434,$A532,Countries!$AS$5:$AS$434,"&gt;0")=0,"",SUMIFS(Countries!$AS$5:$AS$434,Countries!$A$5:$A$434,"All landing pages",Countries!$B$5:$B$434,"Organic",Countries!$D$5:$D$434,$A532,Countries!$Q$5:$Q$434,"&gt;0")/SUMIFS(Countries!$Q$5:$Q$434,Countries!$A$5:$A$434,"All landing pages",Countries!$B$5:$B$434,"Organic",Countries!$D$5:$D$434,$A532,Countries!$AS$5:$AS$434,"&gt;0"))</f>
        <v/>
      </c>
      <c r="H532" s="44">
        <f>IF(OR(F532="",G532=""),"",(G532-F532)*100)</f>
        <v/>
      </c>
      <c r="I532" s="73" t="n"/>
      <c r="J532" s="45">
        <f>IF(SUMIFS(Countries!$P$5:$P$434,Countries!$A$5:$A$434,"All landing pages",Countries!$B$5:$B$434,"Direct",Countries!$D$5:$D$434,$A532,Countries!$AR$5:$AR$434,"&gt;0")=0,"",SUMIFS(Countries!$AR$5:$AR$434,Countries!$A$5:$A$434,"All landing pages",Countries!$B$5:$B$434,"Direct",Countries!$D$5:$D$434,$A532,Countries!$P$5:$P$434,"&gt;0")/SUMIFS(Countries!$P$5:$P$434,Countries!$A$5:$A$434,"All landing pages",Countries!$B$5:$B$434,"Direct",Countries!$D$5:$D$434,$A532,Countries!$AR$5:$AR$434,"&gt;0"))</f>
        <v/>
      </c>
      <c r="K532" s="45">
        <f>IF(SUMIFS(Countries!$Q$5:$Q$434,Countries!$A$5:$A$434,"All landing pages",Countries!$B$5:$B$434,"Direct",Countries!$D$5:$D$434,$A532,Countries!$AS$5:$AS$434,"&gt;0")=0,"",SUMIFS(Countries!$AS$5:$AS$434,Countries!$A$5:$A$434,"All landing pages",Countries!$B$5:$B$434,"Direct",Countries!$D$5:$D$434,$A532,Countries!$Q$5:$Q$434,"&gt;0")/SUMIFS(Countries!$Q$5:$Q$434,Countries!$A$5:$A$434,"All landing pages",Countries!$B$5:$B$434,"Direct",Countries!$D$5:$D$434,$A532,Countries!$AS$5:$AS$434,"&gt;0"))</f>
        <v/>
      </c>
      <c r="L532" s="44">
        <f>IF(OR(J532="",K532=""),"",(K532-J532)*100)</f>
        <v/>
      </c>
      <c r="M532" s="73" t="n"/>
      <c r="N532" s="45">
        <f>IF(SUMIFS(Countries!$P$5:$P$434,Countries!$A$5:$A$434,"All landing pages",Countries!$D$5:$D$434,$A532,Countries!$AR$5:$AR$434,"&gt;0")=0,"",SUMIFS(Countries!$AR$5:$AR$434,Countries!$A$5:$A$434,"All landing pages",Countries!$D$5:$D$434,$A532,Countries!$P$5:$P$434,"&gt;0")/SUMIFS(Countries!$P$5:$P$434,Countries!$A$5:$A$434,"All landing pages",Countries!$D$5:$D$434,$A532,Countries!$AR$5:$AR$434,"&gt;0"))</f>
        <v/>
      </c>
      <c r="O532" s="45">
        <f>IF(SUMIFS(Countries!$Q$5:$Q$434,Countries!$A$5:$A$434,"All landing pages",Countries!$D$5:$D$434,$A532,Countries!$AS$5:$AS$434,"&gt;0")=0,"",SUMIFS(Countries!$AS$5:$AS$434,Countries!$A$5:$A$434,"All landing pages",Countries!$D$5:$D$434,$A532,Countries!$Q$5:$Q$434,"&gt;0")/SUMIFS(Countries!$Q$5:$Q$434,Countries!$A$5:$A$434,"All landing pages",Countries!$D$5:$D$434,$A532,Countries!$AS$5:$AS$434,"&gt;0"))</f>
        <v/>
      </c>
      <c r="P532" s="44">
        <f>IF(OR(N532="",O532=""),"",(O532-N532)*100)</f>
        <v/>
      </c>
      <c r="Q532" s="73" t="n"/>
    </row>
    <row r="533">
      <c r="A533" s="40" t="inlineStr">
        <is>
          <t>Ukraine</t>
        </is>
      </c>
      <c r="B533" s="45">
        <f>IF(SUMIFS(Countries!$P$5:$P$434,Countries!$A$5:$A$434,"All landing pages",Countries!$B$5:$B$434,"Paid Search",Countries!$D$5:$D$434,$A533,Countries!$AR$5:$AR$434,"&gt;0")=0,"",SUMIFS(Countries!$AR$5:$AR$434,Countries!$A$5:$A$434,"All landing pages",Countries!$B$5:$B$434,"Paid Search",Countries!$D$5:$D$434,$A533,Countries!$P$5:$P$434,"&gt;0")/SUMIFS(Countries!$P$5:$P$434,Countries!$A$5:$A$434,"All landing pages",Countries!$B$5:$B$434,"Paid Search",Countries!$D$5:$D$434,$A533,Countries!$AR$5:$AR$434,"&gt;0"))</f>
        <v/>
      </c>
      <c r="C533" s="45">
        <f>IF(SUMIFS(Countries!$Q$5:$Q$434,Countries!$A$5:$A$434,"All landing pages",Countries!$B$5:$B$434,"Paid Search",Countries!$D$5:$D$434,$A533,Countries!$AS$5:$AS$434,"&gt;0")=0,"",SUMIFS(Countries!$AS$5:$AS$434,Countries!$A$5:$A$434,"All landing pages",Countries!$B$5:$B$434,"Paid Search",Countries!$D$5:$D$434,$A533,Countries!$Q$5:$Q$434,"&gt;0")/SUMIFS(Countries!$Q$5:$Q$434,Countries!$A$5:$A$434,"All landing pages",Countries!$B$5:$B$434,"Paid Search",Countries!$D$5:$D$434,$A533,Countries!$AS$5:$AS$434,"&gt;0"))</f>
        <v/>
      </c>
      <c r="D533" s="44">
        <f>IF(OR(B533="",C533=""),"",(C533-B533)*100)</f>
        <v/>
      </c>
      <c r="E533" s="73" t="n"/>
      <c r="F533" s="45">
        <f>IF(SUMIFS(Countries!$P$5:$P$434,Countries!$A$5:$A$434,"All landing pages",Countries!$B$5:$B$434,"Organic",Countries!$D$5:$D$434,$A533,Countries!$AR$5:$AR$434,"&gt;0")=0,"",SUMIFS(Countries!$AR$5:$AR$434,Countries!$A$5:$A$434,"All landing pages",Countries!$B$5:$B$434,"Organic",Countries!$D$5:$D$434,$A533,Countries!$P$5:$P$434,"&gt;0")/SUMIFS(Countries!$P$5:$P$434,Countries!$A$5:$A$434,"All landing pages",Countries!$B$5:$B$434,"Organic",Countries!$D$5:$D$434,$A533,Countries!$AR$5:$AR$434,"&gt;0"))</f>
        <v/>
      </c>
      <c r="G533" s="45">
        <f>IF(SUMIFS(Countries!$Q$5:$Q$434,Countries!$A$5:$A$434,"All landing pages",Countries!$B$5:$B$434,"Organic",Countries!$D$5:$D$434,$A533,Countries!$AS$5:$AS$434,"&gt;0")=0,"",SUMIFS(Countries!$AS$5:$AS$434,Countries!$A$5:$A$434,"All landing pages",Countries!$B$5:$B$434,"Organic",Countries!$D$5:$D$434,$A533,Countries!$Q$5:$Q$434,"&gt;0")/SUMIFS(Countries!$Q$5:$Q$434,Countries!$A$5:$A$434,"All landing pages",Countries!$B$5:$B$434,"Organic",Countries!$D$5:$D$434,$A533,Countries!$AS$5:$AS$434,"&gt;0"))</f>
        <v/>
      </c>
      <c r="H533" s="44">
        <f>IF(OR(F533="",G533=""),"",(G533-F533)*100)</f>
        <v/>
      </c>
      <c r="I533" s="73" t="n"/>
      <c r="J533" s="45">
        <f>IF(SUMIFS(Countries!$P$5:$P$434,Countries!$A$5:$A$434,"All landing pages",Countries!$B$5:$B$434,"Direct",Countries!$D$5:$D$434,$A533,Countries!$AR$5:$AR$434,"&gt;0")=0,"",SUMIFS(Countries!$AR$5:$AR$434,Countries!$A$5:$A$434,"All landing pages",Countries!$B$5:$B$434,"Direct",Countries!$D$5:$D$434,$A533,Countries!$P$5:$P$434,"&gt;0")/SUMIFS(Countries!$P$5:$P$434,Countries!$A$5:$A$434,"All landing pages",Countries!$B$5:$B$434,"Direct",Countries!$D$5:$D$434,$A533,Countries!$AR$5:$AR$434,"&gt;0"))</f>
        <v/>
      </c>
      <c r="K533" s="45">
        <f>IF(SUMIFS(Countries!$Q$5:$Q$434,Countries!$A$5:$A$434,"All landing pages",Countries!$B$5:$B$434,"Direct",Countries!$D$5:$D$434,$A533,Countries!$AS$5:$AS$434,"&gt;0")=0,"",SUMIFS(Countries!$AS$5:$AS$434,Countries!$A$5:$A$434,"All landing pages",Countries!$B$5:$B$434,"Direct",Countries!$D$5:$D$434,$A533,Countries!$Q$5:$Q$434,"&gt;0")/SUMIFS(Countries!$Q$5:$Q$434,Countries!$A$5:$A$434,"All landing pages",Countries!$B$5:$B$434,"Direct",Countries!$D$5:$D$434,$A533,Countries!$AS$5:$AS$434,"&gt;0"))</f>
        <v/>
      </c>
      <c r="L533" s="44">
        <f>IF(OR(J533="",K533=""),"",(K533-J533)*100)</f>
        <v/>
      </c>
      <c r="M533" s="73" t="n"/>
      <c r="N533" s="45">
        <f>IF(SUMIFS(Countries!$P$5:$P$434,Countries!$A$5:$A$434,"All landing pages",Countries!$D$5:$D$434,$A533,Countries!$AR$5:$AR$434,"&gt;0")=0,"",SUMIFS(Countries!$AR$5:$AR$434,Countries!$A$5:$A$434,"All landing pages",Countries!$D$5:$D$434,$A533,Countries!$P$5:$P$434,"&gt;0")/SUMIFS(Countries!$P$5:$P$434,Countries!$A$5:$A$434,"All landing pages",Countries!$D$5:$D$434,$A533,Countries!$AR$5:$AR$434,"&gt;0"))</f>
        <v/>
      </c>
      <c r="O533" s="45">
        <f>IF(SUMIFS(Countries!$Q$5:$Q$434,Countries!$A$5:$A$434,"All landing pages",Countries!$D$5:$D$434,$A533,Countries!$AS$5:$AS$434,"&gt;0")=0,"",SUMIFS(Countries!$AS$5:$AS$434,Countries!$A$5:$A$434,"All landing pages",Countries!$D$5:$D$434,$A533,Countries!$Q$5:$Q$434,"&gt;0")/SUMIFS(Countries!$Q$5:$Q$434,Countries!$A$5:$A$434,"All landing pages",Countries!$D$5:$D$434,$A533,Countries!$AS$5:$AS$434,"&gt;0"))</f>
        <v/>
      </c>
      <c r="P533" s="44">
        <f>IF(OR(N533="",O533=""),"",(O533-N533)*100)</f>
        <v/>
      </c>
      <c r="Q533" s="73" t="n"/>
    </row>
    <row r="536">
      <c r="A536" s="39" t="inlineStr">
        <is>
          <t>CR</t>
        </is>
      </c>
    </row>
    <row r="537">
      <c r="A537" s="75" t="inlineStr">
        <is>
          <t>Country</t>
        </is>
      </c>
      <c r="B537" s="31" t="inlineStr">
        <is>
          <t>Paid Search</t>
        </is>
      </c>
      <c r="C537" s="25" t="n"/>
      <c r="D537" s="25" t="n"/>
      <c r="E537" s="25" t="n"/>
      <c r="F537" s="31" t="inlineStr">
        <is>
          <t>Organic</t>
        </is>
      </c>
      <c r="G537" s="25" t="n"/>
      <c r="H537" s="25" t="n"/>
      <c r="I537" s="25" t="n"/>
      <c r="J537" s="31" t="inlineStr">
        <is>
          <t>Direct</t>
        </is>
      </c>
      <c r="K537" s="25" t="n"/>
      <c r="L537" s="25" t="n"/>
      <c r="M537" s="25" t="n"/>
      <c r="N537" s="27" t="inlineStr">
        <is>
          <t>Total</t>
        </is>
      </c>
      <c r="O537" s="17" t="n"/>
      <c r="P537" s="17" t="n"/>
      <c r="Q537" s="17" t="n"/>
    </row>
    <row r="538">
      <c r="A538" s="15" t="n"/>
      <c r="B538" s="27" t="inlineStr">
        <is>
          <t>1-23Aug25</t>
        </is>
      </c>
      <c r="C538" s="27" t="inlineStr">
        <is>
          <t>1-23Aug26</t>
        </is>
      </c>
      <c r="D538" s="27" t="inlineStr">
        <is>
          <t>Δ pp</t>
        </is>
      </c>
      <c r="E538" s="27" t="inlineStr"/>
      <c r="F538" s="27" t="inlineStr">
        <is>
          <t>1-23Aug25</t>
        </is>
      </c>
      <c r="G538" s="27" t="inlineStr">
        <is>
          <t>1-23Aug26</t>
        </is>
      </c>
      <c r="H538" s="27" t="inlineStr">
        <is>
          <t>Δ pp</t>
        </is>
      </c>
      <c r="I538" s="27" t="inlineStr"/>
      <c r="J538" s="27" t="inlineStr">
        <is>
          <t>1-23Aug25</t>
        </is>
      </c>
      <c r="K538" s="27" t="inlineStr">
        <is>
          <t>1-23Aug26</t>
        </is>
      </c>
      <c r="L538" s="27" t="inlineStr">
        <is>
          <t>Δ pp</t>
        </is>
      </c>
      <c r="M538" s="27" t="inlineStr"/>
      <c r="N538" s="27" t="inlineStr">
        <is>
          <t>1-23Aug25</t>
        </is>
      </c>
      <c r="O538" s="27" t="inlineStr">
        <is>
          <t>1-23Aug26</t>
        </is>
      </c>
      <c r="P538" s="27" t="inlineStr">
        <is>
          <t>Δ pp</t>
        </is>
      </c>
      <c r="Q538" s="27" t="inlineStr"/>
    </row>
    <row r="539">
      <c r="A539" s="40" t="inlineStr">
        <is>
          <t>United Kingdom</t>
        </is>
      </c>
      <c r="B539" s="45">
        <f>IF(SUMIFS(Countries!$E$5:$E$434,Countries!$A$5:$A$434,"All landing pages",Countries!$B$5:$B$434,"Paid Search",Countries!$D$5:$D$434,$A539,Countries!$AR$5:$AR$434,"&gt;0")=0,"",SUMIFS(Countries!$AR$5:$AR$434,Countries!$A$5:$A$434,"All landing pages",Countries!$B$5:$B$434,"Paid Search",Countries!$D$5:$D$434,$A539,Countries!$E$5:$E$434,"&gt;0")/SUMIFS(Countries!$E$5:$E$434,Countries!$A$5:$A$434,"All landing pages",Countries!$B$5:$B$434,"Paid Search",Countries!$D$5:$D$434,$A539,Countries!$AR$5:$AR$434,"&gt;0"))</f>
        <v/>
      </c>
      <c r="C539" s="45">
        <f>IF(SUMIFS(Countries!$F$5:$F$434,Countries!$A$5:$A$434,"All landing pages",Countries!$B$5:$B$434,"Paid Search",Countries!$D$5:$D$434,$A539,Countries!$AS$5:$AS$434,"&gt;0")=0,"",SUMIFS(Countries!$AS$5:$AS$434,Countries!$A$5:$A$434,"All landing pages",Countries!$B$5:$B$434,"Paid Search",Countries!$D$5:$D$434,$A539,Countries!$F$5:$F$434,"&gt;0")/SUMIFS(Countries!$F$5:$F$434,Countries!$A$5:$A$434,"All landing pages",Countries!$B$5:$B$434,"Paid Search",Countries!$D$5:$D$434,$A539,Countries!$AS$5:$AS$434,"&gt;0"))</f>
        <v/>
      </c>
      <c r="D539" s="44">
        <f>IF(OR(B539="",C539=""),"",(C539-B539)*100)</f>
        <v/>
      </c>
      <c r="E539" s="73" t="n"/>
      <c r="F539" s="45">
        <f>IF(SUMIFS(Countries!$E$5:$E$434,Countries!$A$5:$A$434,"All landing pages",Countries!$B$5:$B$434,"Organic",Countries!$D$5:$D$434,$A539,Countries!$AR$5:$AR$434,"&gt;0")=0,"",SUMIFS(Countries!$AR$5:$AR$434,Countries!$A$5:$A$434,"All landing pages",Countries!$B$5:$B$434,"Organic",Countries!$D$5:$D$434,$A539,Countries!$E$5:$E$434,"&gt;0")/SUMIFS(Countries!$E$5:$E$434,Countries!$A$5:$A$434,"All landing pages",Countries!$B$5:$B$434,"Organic",Countries!$D$5:$D$434,$A539,Countries!$AR$5:$AR$434,"&gt;0"))</f>
        <v/>
      </c>
      <c r="G539" s="45">
        <f>IF(SUMIFS(Countries!$F$5:$F$434,Countries!$A$5:$A$434,"All landing pages",Countries!$B$5:$B$434,"Organic",Countries!$D$5:$D$434,$A539,Countries!$AS$5:$AS$434,"&gt;0")=0,"",SUMIFS(Countries!$AS$5:$AS$434,Countries!$A$5:$A$434,"All landing pages",Countries!$B$5:$B$434,"Organic",Countries!$D$5:$D$434,$A539,Countries!$F$5:$F$434,"&gt;0")/SUMIFS(Countries!$F$5:$F$434,Countries!$A$5:$A$434,"All landing pages",Countries!$B$5:$B$434,"Organic",Countries!$D$5:$D$434,$A539,Countries!$AS$5:$AS$434,"&gt;0"))</f>
        <v/>
      </c>
      <c r="H539" s="44">
        <f>IF(OR(F539="",G539=""),"",(G539-F539)*100)</f>
        <v/>
      </c>
      <c r="I539" s="73" t="n"/>
      <c r="J539" s="45">
        <f>IF(SUMIFS(Countries!$E$5:$E$434,Countries!$A$5:$A$434,"All landing pages",Countries!$B$5:$B$434,"Direct",Countries!$D$5:$D$434,$A539,Countries!$AR$5:$AR$434,"&gt;0")=0,"",SUMIFS(Countries!$AR$5:$AR$434,Countries!$A$5:$A$434,"All landing pages",Countries!$B$5:$B$434,"Direct",Countries!$D$5:$D$434,$A539,Countries!$E$5:$E$434,"&gt;0")/SUMIFS(Countries!$E$5:$E$434,Countries!$A$5:$A$434,"All landing pages",Countries!$B$5:$B$434,"Direct",Countries!$D$5:$D$434,$A539,Countries!$AR$5:$AR$434,"&gt;0"))</f>
        <v/>
      </c>
      <c r="K539" s="45">
        <f>IF(SUMIFS(Countries!$F$5:$F$434,Countries!$A$5:$A$434,"All landing pages",Countries!$B$5:$B$434,"Direct",Countries!$D$5:$D$434,$A539,Countries!$AS$5:$AS$434,"&gt;0")=0,"",SUMIFS(Countries!$AS$5:$AS$434,Countries!$A$5:$A$434,"All landing pages",Countries!$B$5:$B$434,"Direct",Countries!$D$5:$D$434,$A539,Countries!$F$5:$F$434,"&gt;0")/SUMIFS(Countries!$F$5:$F$434,Countries!$A$5:$A$434,"All landing pages",Countries!$B$5:$B$434,"Direct",Countries!$D$5:$D$434,$A539,Countries!$AS$5:$AS$434,"&gt;0"))</f>
        <v/>
      </c>
      <c r="L539" s="44">
        <f>IF(OR(J539="",K539=""),"",(K539-J539)*100)</f>
        <v/>
      </c>
      <c r="M539" s="73" t="n"/>
      <c r="N539" s="45">
        <f>IF(SUMIFS(Countries!$E$5:$E$434,Countries!$A$5:$A$434,"All landing pages",Countries!$D$5:$D$434,$A539,Countries!$AR$5:$AR$434,"&gt;0")=0,"",SUMIFS(Countries!$AR$5:$AR$434,Countries!$A$5:$A$434,"All landing pages",Countries!$D$5:$D$434,$A539,Countries!$E$5:$E$434,"&gt;0")/SUMIFS(Countries!$E$5:$E$434,Countries!$A$5:$A$434,"All landing pages",Countries!$D$5:$D$434,$A539,Countries!$AR$5:$AR$434,"&gt;0"))</f>
        <v/>
      </c>
      <c r="O539" s="45">
        <f>IF(SUMIFS(Countries!$F$5:$F$434,Countries!$A$5:$A$434,"All landing pages",Countries!$D$5:$D$434,$A539,Countries!$AS$5:$AS$434,"&gt;0")=0,"",SUMIFS(Countries!$AS$5:$AS$434,Countries!$A$5:$A$434,"All landing pages",Countries!$D$5:$D$434,$A539,Countries!$F$5:$F$434,"&gt;0")/SUMIFS(Countries!$F$5:$F$434,Countries!$A$5:$A$434,"All landing pages",Countries!$D$5:$D$434,$A539,Countries!$AS$5:$AS$434,"&gt;0"))</f>
        <v/>
      </c>
      <c r="P539" s="44">
        <f>IF(OR(N539="",O539=""),"",(O539-N539)*100)</f>
        <v/>
      </c>
      <c r="Q539" s="73" t="n"/>
    </row>
    <row r="540">
      <c r="A540" s="56" t="inlineStr">
        <is>
          <t>Germany</t>
        </is>
      </c>
      <c r="B540" s="45">
        <f>IF(SUMIFS(Countries!$E$5:$E$434,Countries!$A$5:$A$434,"All landing pages",Countries!$B$5:$B$434,"Paid Search",Countries!$D$5:$D$434,$A540,Countries!$AR$5:$AR$434,"&gt;0")=0,"",SUMIFS(Countries!$AR$5:$AR$434,Countries!$A$5:$A$434,"All landing pages",Countries!$B$5:$B$434,"Paid Search",Countries!$D$5:$D$434,$A540,Countries!$E$5:$E$434,"&gt;0")/SUMIFS(Countries!$E$5:$E$434,Countries!$A$5:$A$434,"All landing pages",Countries!$B$5:$B$434,"Paid Search",Countries!$D$5:$D$434,$A540,Countries!$AR$5:$AR$434,"&gt;0"))</f>
        <v/>
      </c>
      <c r="C540" s="45">
        <f>IF(SUMIFS(Countries!$F$5:$F$434,Countries!$A$5:$A$434,"All landing pages",Countries!$B$5:$B$434,"Paid Search",Countries!$D$5:$D$434,$A540,Countries!$AS$5:$AS$434,"&gt;0")=0,"",SUMIFS(Countries!$AS$5:$AS$434,Countries!$A$5:$A$434,"All landing pages",Countries!$B$5:$B$434,"Paid Search",Countries!$D$5:$D$434,$A540,Countries!$F$5:$F$434,"&gt;0")/SUMIFS(Countries!$F$5:$F$434,Countries!$A$5:$A$434,"All landing pages",Countries!$B$5:$B$434,"Paid Search",Countries!$D$5:$D$434,$A540,Countries!$AS$5:$AS$434,"&gt;0"))</f>
        <v/>
      </c>
      <c r="D540" s="44">
        <f>IF(OR(B540="",C540=""),"",(C540-B540)*100)</f>
        <v/>
      </c>
      <c r="E540" s="73" t="n"/>
      <c r="F540" s="45">
        <f>IF(SUMIFS(Countries!$E$5:$E$434,Countries!$A$5:$A$434,"All landing pages",Countries!$B$5:$B$434,"Organic",Countries!$D$5:$D$434,$A540,Countries!$AR$5:$AR$434,"&gt;0")=0,"",SUMIFS(Countries!$AR$5:$AR$434,Countries!$A$5:$A$434,"All landing pages",Countries!$B$5:$B$434,"Organic",Countries!$D$5:$D$434,$A540,Countries!$E$5:$E$434,"&gt;0")/SUMIFS(Countries!$E$5:$E$434,Countries!$A$5:$A$434,"All landing pages",Countries!$B$5:$B$434,"Organic",Countries!$D$5:$D$434,$A540,Countries!$AR$5:$AR$434,"&gt;0"))</f>
        <v/>
      </c>
      <c r="G540" s="45">
        <f>IF(SUMIFS(Countries!$F$5:$F$434,Countries!$A$5:$A$434,"All landing pages",Countries!$B$5:$B$434,"Organic",Countries!$D$5:$D$434,$A540,Countries!$AS$5:$AS$434,"&gt;0")=0,"",SUMIFS(Countries!$AS$5:$AS$434,Countries!$A$5:$A$434,"All landing pages",Countries!$B$5:$B$434,"Organic",Countries!$D$5:$D$434,$A540,Countries!$F$5:$F$434,"&gt;0")/SUMIFS(Countries!$F$5:$F$434,Countries!$A$5:$A$434,"All landing pages",Countries!$B$5:$B$434,"Organic",Countries!$D$5:$D$434,$A540,Countries!$AS$5:$AS$434,"&gt;0"))</f>
        <v/>
      </c>
      <c r="H540" s="44">
        <f>IF(OR(F540="",G540=""),"",(G540-F540)*100)</f>
        <v/>
      </c>
      <c r="I540" s="73" t="n"/>
      <c r="J540" s="45">
        <f>IF(SUMIFS(Countries!$E$5:$E$434,Countries!$A$5:$A$434,"All landing pages",Countries!$B$5:$B$434,"Direct",Countries!$D$5:$D$434,$A540,Countries!$AR$5:$AR$434,"&gt;0")=0,"",SUMIFS(Countries!$AR$5:$AR$434,Countries!$A$5:$A$434,"All landing pages",Countries!$B$5:$B$434,"Direct",Countries!$D$5:$D$434,$A540,Countries!$E$5:$E$434,"&gt;0")/SUMIFS(Countries!$E$5:$E$434,Countries!$A$5:$A$434,"All landing pages",Countries!$B$5:$B$434,"Direct",Countries!$D$5:$D$434,$A540,Countries!$AR$5:$AR$434,"&gt;0"))</f>
        <v/>
      </c>
      <c r="K540" s="45">
        <f>IF(SUMIFS(Countries!$F$5:$F$434,Countries!$A$5:$A$434,"All landing pages",Countries!$B$5:$B$434,"Direct",Countries!$D$5:$D$434,$A540,Countries!$AS$5:$AS$434,"&gt;0")=0,"",SUMIFS(Countries!$AS$5:$AS$434,Countries!$A$5:$A$434,"All landing pages",Countries!$B$5:$B$434,"Direct",Countries!$D$5:$D$434,$A540,Countries!$F$5:$F$434,"&gt;0")/SUMIFS(Countries!$F$5:$F$434,Countries!$A$5:$A$434,"All landing pages",Countries!$B$5:$B$434,"Direct",Countries!$D$5:$D$434,$A540,Countries!$AS$5:$AS$434,"&gt;0"))</f>
        <v/>
      </c>
      <c r="L540" s="44">
        <f>IF(OR(J540="",K540=""),"",(K540-J540)*100)</f>
        <v/>
      </c>
      <c r="M540" s="73" t="n"/>
      <c r="N540" s="45">
        <f>IF(SUMIFS(Countries!$E$5:$E$434,Countries!$A$5:$A$434,"All landing pages",Countries!$D$5:$D$434,$A540,Countries!$AR$5:$AR$434,"&gt;0")=0,"",SUMIFS(Countries!$AR$5:$AR$434,Countries!$A$5:$A$434,"All landing pages",Countries!$D$5:$D$434,$A540,Countries!$E$5:$E$434,"&gt;0")/SUMIFS(Countries!$E$5:$E$434,Countries!$A$5:$A$434,"All landing pages",Countries!$D$5:$D$434,$A540,Countries!$AR$5:$AR$434,"&gt;0"))</f>
        <v/>
      </c>
      <c r="O540" s="45">
        <f>IF(SUMIFS(Countries!$F$5:$F$434,Countries!$A$5:$A$434,"All landing pages",Countries!$D$5:$D$434,$A540,Countries!$AS$5:$AS$434,"&gt;0")=0,"",SUMIFS(Countries!$AS$5:$AS$434,Countries!$A$5:$A$434,"All landing pages",Countries!$D$5:$D$434,$A540,Countries!$F$5:$F$434,"&gt;0")/SUMIFS(Countries!$F$5:$F$434,Countries!$A$5:$A$434,"All landing pages",Countries!$D$5:$D$434,$A540,Countries!$AS$5:$AS$434,"&gt;0"))</f>
        <v/>
      </c>
      <c r="P540" s="44">
        <f>IF(OR(N540="",O540=""),"",(O540-N540)*100)</f>
        <v/>
      </c>
      <c r="Q540" s="73" t="n"/>
    </row>
    <row r="541">
      <c r="A541" s="40" t="inlineStr">
        <is>
          <t>Italy</t>
        </is>
      </c>
      <c r="B541" s="45">
        <f>IF(SUMIFS(Countries!$E$5:$E$434,Countries!$A$5:$A$434,"All landing pages",Countries!$B$5:$B$434,"Paid Search",Countries!$D$5:$D$434,$A541,Countries!$AR$5:$AR$434,"&gt;0")=0,"",SUMIFS(Countries!$AR$5:$AR$434,Countries!$A$5:$A$434,"All landing pages",Countries!$B$5:$B$434,"Paid Search",Countries!$D$5:$D$434,$A541,Countries!$E$5:$E$434,"&gt;0")/SUMIFS(Countries!$E$5:$E$434,Countries!$A$5:$A$434,"All landing pages",Countries!$B$5:$B$434,"Paid Search",Countries!$D$5:$D$434,$A541,Countries!$AR$5:$AR$434,"&gt;0"))</f>
        <v/>
      </c>
      <c r="C541" s="45">
        <f>IF(SUMIFS(Countries!$F$5:$F$434,Countries!$A$5:$A$434,"All landing pages",Countries!$B$5:$B$434,"Paid Search",Countries!$D$5:$D$434,$A541,Countries!$AS$5:$AS$434,"&gt;0")=0,"",SUMIFS(Countries!$AS$5:$AS$434,Countries!$A$5:$A$434,"All landing pages",Countries!$B$5:$B$434,"Paid Search",Countries!$D$5:$D$434,$A541,Countries!$F$5:$F$434,"&gt;0")/SUMIFS(Countries!$F$5:$F$434,Countries!$A$5:$A$434,"All landing pages",Countries!$B$5:$B$434,"Paid Search",Countries!$D$5:$D$434,$A541,Countries!$AS$5:$AS$434,"&gt;0"))</f>
        <v/>
      </c>
      <c r="D541" s="44">
        <f>IF(OR(B541="",C541=""),"",(C541-B541)*100)</f>
        <v/>
      </c>
      <c r="E541" s="73" t="n"/>
      <c r="F541" s="45">
        <f>IF(SUMIFS(Countries!$E$5:$E$434,Countries!$A$5:$A$434,"All landing pages",Countries!$B$5:$B$434,"Organic",Countries!$D$5:$D$434,$A541,Countries!$AR$5:$AR$434,"&gt;0")=0,"",SUMIFS(Countries!$AR$5:$AR$434,Countries!$A$5:$A$434,"All landing pages",Countries!$B$5:$B$434,"Organic",Countries!$D$5:$D$434,$A541,Countries!$E$5:$E$434,"&gt;0")/SUMIFS(Countries!$E$5:$E$434,Countries!$A$5:$A$434,"All landing pages",Countries!$B$5:$B$434,"Organic",Countries!$D$5:$D$434,$A541,Countries!$AR$5:$AR$434,"&gt;0"))</f>
        <v/>
      </c>
      <c r="G541" s="45">
        <f>IF(SUMIFS(Countries!$F$5:$F$434,Countries!$A$5:$A$434,"All landing pages",Countries!$B$5:$B$434,"Organic",Countries!$D$5:$D$434,$A541,Countries!$AS$5:$AS$434,"&gt;0")=0,"",SUMIFS(Countries!$AS$5:$AS$434,Countries!$A$5:$A$434,"All landing pages",Countries!$B$5:$B$434,"Organic",Countries!$D$5:$D$434,$A541,Countries!$F$5:$F$434,"&gt;0")/SUMIFS(Countries!$F$5:$F$434,Countries!$A$5:$A$434,"All landing pages",Countries!$B$5:$B$434,"Organic",Countries!$D$5:$D$434,$A541,Countries!$AS$5:$AS$434,"&gt;0"))</f>
        <v/>
      </c>
      <c r="H541" s="44">
        <f>IF(OR(F541="",G541=""),"",(G541-F541)*100)</f>
        <v/>
      </c>
      <c r="I541" s="73" t="n"/>
      <c r="J541" s="45">
        <f>IF(SUMIFS(Countries!$E$5:$E$434,Countries!$A$5:$A$434,"All landing pages",Countries!$B$5:$B$434,"Direct",Countries!$D$5:$D$434,$A541,Countries!$AR$5:$AR$434,"&gt;0")=0,"",SUMIFS(Countries!$AR$5:$AR$434,Countries!$A$5:$A$434,"All landing pages",Countries!$B$5:$B$434,"Direct",Countries!$D$5:$D$434,$A541,Countries!$E$5:$E$434,"&gt;0")/SUMIFS(Countries!$E$5:$E$434,Countries!$A$5:$A$434,"All landing pages",Countries!$B$5:$B$434,"Direct",Countries!$D$5:$D$434,$A541,Countries!$AR$5:$AR$434,"&gt;0"))</f>
        <v/>
      </c>
      <c r="K541" s="45">
        <f>IF(SUMIFS(Countries!$F$5:$F$434,Countries!$A$5:$A$434,"All landing pages",Countries!$B$5:$B$434,"Direct",Countries!$D$5:$D$434,$A541,Countries!$AS$5:$AS$434,"&gt;0")=0,"",SUMIFS(Countries!$AS$5:$AS$434,Countries!$A$5:$A$434,"All landing pages",Countries!$B$5:$B$434,"Direct",Countries!$D$5:$D$434,$A541,Countries!$F$5:$F$434,"&gt;0")/SUMIFS(Countries!$F$5:$F$434,Countries!$A$5:$A$434,"All landing pages",Countries!$B$5:$B$434,"Direct",Countries!$D$5:$D$434,$A541,Countries!$AS$5:$AS$434,"&gt;0"))</f>
        <v/>
      </c>
      <c r="L541" s="44">
        <f>IF(OR(J541="",K541=""),"",(K541-J541)*100)</f>
        <v/>
      </c>
      <c r="M541" s="73" t="n"/>
      <c r="N541" s="45">
        <f>IF(SUMIFS(Countries!$E$5:$E$434,Countries!$A$5:$A$434,"All landing pages",Countries!$D$5:$D$434,$A541,Countries!$AR$5:$AR$434,"&gt;0")=0,"",SUMIFS(Countries!$AR$5:$AR$434,Countries!$A$5:$A$434,"All landing pages",Countries!$D$5:$D$434,$A541,Countries!$E$5:$E$434,"&gt;0")/SUMIFS(Countries!$E$5:$E$434,Countries!$A$5:$A$434,"All landing pages",Countries!$D$5:$D$434,$A541,Countries!$AR$5:$AR$434,"&gt;0"))</f>
        <v/>
      </c>
      <c r="O541" s="45">
        <f>IF(SUMIFS(Countries!$F$5:$F$434,Countries!$A$5:$A$434,"All landing pages",Countries!$D$5:$D$434,$A541,Countries!$AS$5:$AS$434,"&gt;0")=0,"",SUMIFS(Countries!$AS$5:$AS$434,Countries!$A$5:$A$434,"All landing pages",Countries!$D$5:$D$434,$A541,Countries!$F$5:$F$434,"&gt;0")/SUMIFS(Countries!$F$5:$F$434,Countries!$A$5:$A$434,"All landing pages",Countries!$D$5:$D$434,$A541,Countries!$AS$5:$AS$434,"&gt;0"))</f>
        <v/>
      </c>
      <c r="P541" s="44">
        <f>IF(OR(N541="",O541=""),"",(O541-N541)*100)</f>
        <v/>
      </c>
      <c r="Q541" s="73" t="n"/>
    </row>
    <row r="542">
      <c r="A542" s="56" t="inlineStr">
        <is>
          <t>Spain</t>
        </is>
      </c>
      <c r="B542" s="45">
        <f>IF(SUMIFS(Countries!$E$5:$E$434,Countries!$A$5:$A$434,"All landing pages",Countries!$B$5:$B$434,"Paid Search",Countries!$D$5:$D$434,$A542,Countries!$AR$5:$AR$434,"&gt;0")=0,"",SUMIFS(Countries!$AR$5:$AR$434,Countries!$A$5:$A$434,"All landing pages",Countries!$B$5:$B$434,"Paid Search",Countries!$D$5:$D$434,$A542,Countries!$E$5:$E$434,"&gt;0")/SUMIFS(Countries!$E$5:$E$434,Countries!$A$5:$A$434,"All landing pages",Countries!$B$5:$B$434,"Paid Search",Countries!$D$5:$D$434,$A542,Countries!$AR$5:$AR$434,"&gt;0"))</f>
        <v/>
      </c>
      <c r="C542" s="45">
        <f>IF(SUMIFS(Countries!$F$5:$F$434,Countries!$A$5:$A$434,"All landing pages",Countries!$B$5:$B$434,"Paid Search",Countries!$D$5:$D$434,$A542,Countries!$AS$5:$AS$434,"&gt;0")=0,"",SUMIFS(Countries!$AS$5:$AS$434,Countries!$A$5:$A$434,"All landing pages",Countries!$B$5:$B$434,"Paid Search",Countries!$D$5:$D$434,$A542,Countries!$F$5:$F$434,"&gt;0")/SUMIFS(Countries!$F$5:$F$434,Countries!$A$5:$A$434,"All landing pages",Countries!$B$5:$B$434,"Paid Search",Countries!$D$5:$D$434,$A542,Countries!$AS$5:$AS$434,"&gt;0"))</f>
        <v/>
      </c>
      <c r="D542" s="44">
        <f>IF(OR(B542="",C542=""),"",(C542-B542)*100)</f>
        <v/>
      </c>
      <c r="E542" s="73" t="n"/>
      <c r="F542" s="45">
        <f>IF(SUMIFS(Countries!$E$5:$E$434,Countries!$A$5:$A$434,"All landing pages",Countries!$B$5:$B$434,"Organic",Countries!$D$5:$D$434,$A542,Countries!$AR$5:$AR$434,"&gt;0")=0,"",SUMIFS(Countries!$AR$5:$AR$434,Countries!$A$5:$A$434,"All landing pages",Countries!$B$5:$B$434,"Organic",Countries!$D$5:$D$434,$A542,Countries!$E$5:$E$434,"&gt;0")/SUMIFS(Countries!$E$5:$E$434,Countries!$A$5:$A$434,"All landing pages",Countries!$B$5:$B$434,"Organic",Countries!$D$5:$D$434,$A542,Countries!$AR$5:$AR$434,"&gt;0"))</f>
        <v/>
      </c>
      <c r="G542" s="45">
        <f>IF(SUMIFS(Countries!$F$5:$F$434,Countries!$A$5:$A$434,"All landing pages",Countries!$B$5:$B$434,"Organic",Countries!$D$5:$D$434,$A542,Countries!$AS$5:$AS$434,"&gt;0")=0,"",SUMIFS(Countries!$AS$5:$AS$434,Countries!$A$5:$A$434,"All landing pages",Countries!$B$5:$B$434,"Organic",Countries!$D$5:$D$434,$A542,Countries!$F$5:$F$434,"&gt;0")/SUMIFS(Countries!$F$5:$F$434,Countries!$A$5:$A$434,"All landing pages",Countries!$B$5:$B$434,"Organic",Countries!$D$5:$D$434,$A542,Countries!$AS$5:$AS$434,"&gt;0"))</f>
        <v/>
      </c>
      <c r="H542" s="44">
        <f>IF(OR(F542="",G542=""),"",(G542-F542)*100)</f>
        <v/>
      </c>
      <c r="I542" s="73" t="n"/>
      <c r="J542" s="45">
        <f>IF(SUMIFS(Countries!$E$5:$E$434,Countries!$A$5:$A$434,"All landing pages",Countries!$B$5:$B$434,"Direct",Countries!$D$5:$D$434,$A542,Countries!$AR$5:$AR$434,"&gt;0")=0,"",SUMIFS(Countries!$AR$5:$AR$434,Countries!$A$5:$A$434,"All landing pages",Countries!$B$5:$B$434,"Direct",Countries!$D$5:$D$434,$A542,Countries!$E$5:$E$434,"&gt;0")/SUMIFS(Countries!$E$5:$E$434,Countries!$A$5:$A$434,"All landing pages",Countries!$B$5:$B$434,"Direct",Countries!$D$5:$D$434,$A542,Countries!$AR$5:$AR$434,"&gt;0"))</f>
        <v/>
      </c>
      <c r="K542" s="45">
        <f>IF(SUMIFS(Countries!$F$5:$F$434,Countries!$A$5:$A$434,"All landing pages",Countries!$B$5:$B$434,"Direct",Countries!$D$5:$D$434,$A542,Countries!$AS$5:$AS$434,"&gt;0")=0,"",SUMIFS(Countries!$AS$5:$AS$434,Countries!$A$5:$A$434,"All landing pages",Countries!$B$5:$B$434,"Direct",Countries!$D$5:$D$434,$A542,Countries!$F$5:$F$434,"&gt;0")/SUMIFS(Countries!$F$5:$F$434,Countries!$A$5:$A$434,"All landing pages",Countries!$B$5:$B$434,"Direct",Countries!$D$5:$D$434,$A542,Countries!$AS$5:$AS$434,"&gt;0"))</f>
        <v/>
      </c>
      <c r="L542" s="44">
        <f>IF(OR(J542="",K542=""),"",(K542-J542)*100)</f>
        <v/>
      </c>
      <c r="M542" s="73" t="n"/>
      <c r="N542" s="45">
        <f>IF(SUMIFS(Countries!$E$5:$E$434,Countries!$A$5:$A$434,"All landing pages",Countries!$D$5:$D$434,$A542,Countries!$AR$5:$AR$434,"&gt;0")=0,"",SUMIFS(Countries!$AR$5:$AR$434,Countries!$A$5:$A$434,"All landing pages",Countries!$D$5:$D$434,$A542,Countries!$E$5:$E$434,"&gt;0")/SUMIFS(Countries!$E$5:$E$434,Countries!$A$5:$A$434,"All landing pages",Countries!$D$5:$D$434,$A542,Countries!$AR$5:$AR$434,"&gt;0"))</f>
        <v/>
      </c>
      <c r="O542" s="45">
        <f>IF(SUMIFS(Countries!$F$5:$F$434,Countries!$A$5:$A$434,"All landing pages",Countries!$D$5:$D$434,$A542,Countries!$AS$5:$AS$434,"&gt;0")=0,"",SUMIFS(Countries!$AS$5:$AS$434,Countries!$A$5:$A$434,"All landing pages",Countries!$D$5:$D$434,$A542,Countries!$F$5:$F$434,"&gt;0")/SUMIFS(Countries!$F$5:$F$434,Countries!$A$5:$A$434,"All landing pages",Countries!$D$5:$D$434,$A542,Countries!$AS$5:$AS$434,"&gt;0"))</f>
        <v/>
      </c>
      <c r="P542" s="44">
        <f>IF(OR(N542="",O542=""),"",(O542-N542)*100)</f>
        <v/>
      </c>
      <c r="Q542" s="73" t="n"/>
    </row>
    <row r="543">
      <c r="A543" s="40" t="inlineStr">
        <is>
          <t>Ireland</t>
        </is>
      </c>
      <c r="B543" s="45">
        <f>IF(SUMIFS(Countries!$E$5:$E$434,Countries!$A$5:$A$434,"All landing pages",Countries!$B$5:$B$434,"Paid Search",Countries!$D$5:$D$434,$A543,Countries!$AR$5:$AR$434,"&gt;0")=0,"",SUMIFS(Countries!$AR$5:$AR$434,Countries!$A$5:$A$434,"All landing pages",Countries!$B$5:$B$434,"Paid Search",Countries!$D$5:$D$434,$A543,Countries!$E$5:$E$434,"&gt;0")/SUMIFS(Countries!$E$5:$E$434,Countries!$A$5:$A$434,"All landing pages",Countries!$B$5:$B$434,"Paid Search",Countries!$D$5:$D$434,$A543,Countries!$AR$5:$AR$434,"&gt;0"))</f>
        <v/>
      </c>
      <c r="C543" s="45">
        <f>IF(SUMIFS(Countries!$F$5:$F$434,Countries!$A$5:$A$434,"All landing pages",Countries!$B$5:$B$434,"Paid Search",Countries!$D$5:$D$434,$A543,Countries!$AS$5:$AS$434,"&gt;0")=0,"",SUMIFS(Countries!$AS$5:$AS$434,Countries!$A$5:$A$434,"All landing pages",Countries!$B$5:$B$434,"Paid Search",Countries!$D$5:$D$434,$A543,Countries!$F$5:$F$434,"&gt;0")/SUMIFS(Countries!$F$5:$F$434,Countries!$A$5:$A$434,"All landing pages",Countries!$B$5:$B$434,"Paid Search",Countries!$D$5:$D$434,$A543,Countries!$AS$5:$AS$434,"&gt;0"))</f>
        <v/>
      </c>
      <c r="D543" s="44">
        <f>IF(OR(B543="",C543=""),"",(C543-B543)*100)</f>
        <v/>
      </c>
      <c r="E543" s="73" t="n"/>
      <c r="F543" s="45">
        <f>IF(SUMIFS(Countries!$E$5:$E$434,Countries!$A$5:$A$434,"All landing pages",Countries!$B$5:$B$434,"Organic",Countries!$D$5:$D$434,$A543,Countries!$AR$5:$AR$434,"&gt;0")=0,"",SUMIFS(Countries!$AR$5:$AR$434,Countries!$A$5:$A$434,"All landing pages",Countries!$B$5:$B$434,"Organic",Countries!$D$5:$D$434,$A543,Countries!$E$5:$E$434,"&gt;0")/SUMIFS(Countries!$E$5:$E$434,Countries!$A$5:$A$434,"All landing pages",Countries!$B$5:$B$434,"Organic",Countries!$D$5:$D$434,$A543,Countries!$AR$5:$AR$434,"&gt;0"))</f>
        <v/>
      </c>
      <c r="G543" s="45">
        <f>IF(SUMIFS(Countries!$F$5:$F$434,Countries!$A$5:$A$434,"All landing pages",Countries!$B$5:$B$434,"Organic",Countries!$D$5:$D$434,$A543,Countries!$AS$5:$AS$434,"&gt;0")=0,"",SUMIFS(Countries!$AS$5:$AS$434,Countries!$A$5:$A$434,"All landing pages",Countries!$B$5:$B$434,"Organic",Countries!$D$5:$D$434,$A543,Countries!$F$5:$F$434,"&gt;0")/SUMIFS(Countries!$F$5:$F$434,Countries!$A$5:$A$434,"All landing pages",Countries!$B$5:$B$434,"Organic",Countries!$D$5:$D$434,$A543,Countries!$AS$5:$AS$434,"&gt;0"))</f>
        <v/>
      </c>
      <c r="H543" s="44">
        <f>IF(OR(F543="",G543=""),"",(G543-F543)*100)</f>
        <v/>
      </c>
      <c r="I543" s="73" t="n"/>
      <c r="J543" s="45">
        <f>IF(SUMIFS(Countries!$E$5:$E$434,Countries!$A$5:$A$434,"All landing pages",Countries!$B$5:$B$434,"Direct",Countries!$D$5:$D$434,$A543,Countries!$AR$5:$AR$434,"&gt;0")=0,"",SUMIFS(Countries!$AR$5:$AR$434,Countries!$A$5:$A$434,"All landing pages",Countries!$B$5:$B$434,"Direct",Countries!$D$5:$D$434,$A543,Countries!$E$5:$E$434,"&gt;0")/SUMIFS(Countries!$E$5:$E$434,Countries!$A$5:$A$434,"All landing pages",Countries!$B$5:$B$434,"Direct",Countries!$D$5:$D$434,$A543,Countries!$AR$5:$AR$434,"&gt;0"))</f>
        <v/>
      </c>
      <c r="K543" s="45">
        <f>IF(SUMIFS(Countries!$F$5:$F$434,Countries!$A$5:$A$434,"All landing pages",Countries!$B$5:$B$434,"Direct",Countries!$D$5:$D$434,$A543,Countries!$AS$5:$AS$434,"&gt;0")=0,"",SUMIFS(Countries!$AS$5:$AS$434,Countries!$A$5:$A$434,"All landing pages",Countries!$B$5:$B$434,"Direct",Countries!$D$5:$D$434,$A543,Countries!$F$5:$F$434,"&gt;0")/SUMIFS(Countries!$F$5:$F$434,Countries!$A$5:$A$434,"All landing pages",Countries!$B$5:$B$434,"Direct",Countries!$D$5:$D$434,$A543,Countries!$AS$5:$AS$434,"&gt;0"))</f>
        <v/>
      </c>
      <c r="L543" s="44">
        <f>IF(OR(J543="",K543=""),"",(K543-J543)*100)</f>
        <v/>
      </c>
      <c r="M543" s="73" t="n"/>
      <c r="N543" s="45">
        <f>IF(SUMIFS(Countries!$E$5:$E$434,Countries!$A$5:$A$434,"All landing pages",Countries!$D$5:$D$434,$A543,Countries!$AR$5:$AR$434,"&gt;0")=0,"",SUMIFS(Countries!$AR$5:$AR$434,Countries!$A$5:$A$434,"All landing pages",Countries!$D$5:$D$434,$A543,Countries!$E$5:$E$434,"&gt;0")/SUMIFS(Countries!$E$5:$E$434,Countries!$A$5:$A$434,"All landing pages",Countries!$D$5:$D$434,$A543,Countries!$AR$5:$AR$434,"&gt;0"))</f>
        <v/>
      </c>
      <c r="O543" s="45">
        <f>IF(SUMIFS(Countries!$F$5:$F$434,Countries!$A$5:$A$434,"All landing pages",Countries!$D$5:$D$434,$A543,Countries!$AS$5:$AS$434,"&gt;0")=0,"",SUMIFS(Countries!$AS$5:$AS$434,Countries!$A$5:$A$434,"All landing pages",Countries!$D$5:$D$434,$A543,Countries!$F$5:$F$434,"&gt;0")/SUMIFS(Countries!$F$5:$F$434,Countries!$A$5:$A$434,"All landing pages",Countries!$D$5:$D$434,$A543,Countries!$AS$5:$AS$434,"&gt;0"))</f>
        <v/>
      </c>
      <c r="P543" s="44">
        <f>IF(OR(N543="",O543=""),"",(O543-N543)*100)</f>
        <v/>
      </c>
      <c r="Q543" s="73" t="n"/>
    </row>
    <row r="544">
      <c r="A544" s="56" t="inlineStr">
        <is>
          <t>Netherlands</t>
        </is>
      </c>
      <c r="B544" s="45">
        <f>IF(SUMIFS(Countries!$E$5:$E$434,Countries!$A$5:$A$434,"All landing pages",Countries!$B$5:$B$434,"Paid Search",Countries!$D$5:$D$434,$A544,Countries!$AR$5:$AR$434,"&gt;0")=0,"",SUMIFS(Countries!$AR$5:$AR$434,Countries!$A$5:$A$434,"All landing pages",Countries!$B$5:$B$434,"Paid Search",Countries!$D$5:$D$434,$A544,Countries!$E$5:$E$434,"&gt;0")/SUMIFS(Countries!$E$5:$E$434,Countries!$A$5:$A$434,"All landing pages",Countries!$B$5:$B$434,"Paid Search",Countries!$D$5:$D$434,$A544,Countries!$AR$5:$AR$434,"&gt;0"))</f>
        <v/>
      </c>
      <c r="C544" s="45">
        <f>IF(SUMIFS(Countries!$F$5:$F$434,Countries!$A$5:$A$434,"All landing pages",Countries!$B$5:$B$434,"Paid Search",Countries!$D$5:$D$434,$A544,Countries!$AS$5:$AS$434,"&gt;0")=0,"",SUMIFS(Countries!$AS$5:$AS$434,Countries!$A$5:$A$434,"All landing pages",Countries!$B$5:$B$434,"Paid Search",Countries!$D$5:$D$434,$A544,Countries!$F$5:$F$434,"&gt;0")/SUMIFS(Countries!$F$5:$F$434,Countries!$A$5:$A$434,"All landing pages",Countries!$B$5:$B$434,"Paid Search",Countries!$D$5:$D$434,$A544,Countries!$AS$5:$AS$434,"&gt;0"))</f>
        <v/>
      </c>
      <c r="D544" s="44">
        <f>IF(OR(B544="",C544=""),"",(C544-B544)*100)</f>
        <v/>
      </c>
      <c r="E544" s="73" t="n"/>
      <c r="F544" s="45">
        <f>IF(SUMIFS(Countries!$E$5:$E$434,Countries!$A$5:$A$434,"All landing pages",Countries!$B$5:$B$434,"Organic",Countries!$D$5:$D$434,$A544,Countries!$AR$5:$AR$434,"&gt;0")=0,"",SUMIFS(Countries!$AR$5:$AR$434,Countries!$A$5:$A$434,"All landing pages",Countries!$B$5:$B$434,"Organic",Countries!$D$5:$D$434,$A544,Countries!$E$5:$E$434,"&gt;0")/SUMIFS(Countries!$E$5:$E$434,Countries!$A$5:$A$434,"All landing pages",Countries!$B$5:$B$434,"Organic",Countries!$D$5:$D$434,$A544,Countries!$AR$5:$AR$434,"&gt;0"))</f>
        <v/>
      </c>
      <c r="G544" s="45">
        <f>IF(SUMIFS(Countries!$F$5:$F$434,Countries!$A$5:$A$434,"All landing pages",Countries!$B$5:$B$434,"Organic",Countries!$D$5:$D$434,$A544,Countries!$AS$5:$AS$434,"&gt;0")=0,"",SUMIFS(Countries!$AS$5:$AS$434,Countries!$A$5:$A$434,"All landing pages",Countries!$B$5:$B$434,"Organic",Countries!$D$5:$D$434,$A544,Countries!$F$5:$F$434,"&gt;0")/SUMIFS(Countries!$F$5:$F$434,Countries!$A$5:$A$434,"All landing pages",Countries!$B$5:$B$434,"Organic",Countries!$D$5:$D$434,$A544,Countries!$AS$5:$AS$434,"&gt;0"))</f>
        <v/>
      </c>
      <c r="H544" s="44">
        <f>IF(OR(F544="",G544=""),"",(G544-F544)*100)</f>
        <v/>
      </c>
      <c r="I544" s="73" t="n"/>
      <c r="J544" s="45">
        <f>IF(SUMIFS(Countries!$E$5:$E$434,Countries!$A$5:$A$434,"All landing pages",Countries!$B$5:$B$434,"Direct",Countries!$D$5:$D$434,$A544,Countries!$AR$5:$AR$434,"&gt;0")=0,"",SUMIFS(Countries!$AR$5:$AR$434,Countries!$A$5:$A$434,"All landing pages",Countries!$B$5:$B$434,"Direct",Countries!$D$5:$D$434,$A544,Countries!$E$5:$E$434,"&gt;0")/SUMIFS(Countries!$E$5:$E$434,Countries!$A$5:$A$434,"All landing pages",Countries!$B$5:$B$434,"Direct",Countries!$D$5:$D$434,$A544,Countries!$AR$5:$AR$434,"&gt;0"))</f>
        <v/>
      </c>
      <c r="K544" s="45">
        <f>IF(SUMIFS(Countries!$F$5:$F$434,Countries!$A$5:$A$434,"All landing pages",Countries!$B$5:$B$434,"Direct",Countries!$D$5:$D$434,$A544,Countries!$AS$5:$AS$434,"&gt;0")=0,"",SUMIFS(Countries!$AS$5:$AS$434,Countries!$A$5:$A$434,"All landing pages",Countries!$B$5:$B$434,"Direct",Countries!$D$5:$D$434,$A544,Countries!$F$5:$F$434,"&gt;0")/SUMIFS(Countries!$F$5:$F$434,Countries!$A$5:$A$434,"All landing pages",Countries!$B$5:$B$434,"Direct",Countries!$D$5:$D$434,$A544,Countries!$AS$5:$AS$434,"&gt;0"))</f>
        <v/>
      </c>
      <c r="L544" s="44">
        <f>IF(OR(J544="",K544=""),"",(K544-J544)*100)</f>
        <v/>
      </c>
      <c r="M544" s="73" t="n"/>
      <c r="N544" s="45">
        <f>IF(SUMIFS(Countries!$E$5:$E$434,Countries!$A$5:$A$434,"All landing pages",Countries!$D$5:$D$434,$A544,Countries!$AR$5:$AR$434,"&gt;0")=0,"",SUMIFS(Countries!$AR$5:$AR$434,Countries!$A$5:$A$434,"All landing pages",Countries!$D$5:$D$434,$A544,Countries!$E$5:$E$434,"&gt;0")/SUMIFS(Countries!$E$5:$E$434,Countries!$A$5:$A$434,"All landing pages",Countries!$D$5:$D$434,$A544,Countries!$AR$5:$AR$434,"&gt;0"))</f>
        <v/>
      </c>
      <c r="O544" s="45">
        <f>IF(SUMIFS(Countries!$F$5:$F$434,Countries!$A$5:$A$434,"All landing pages",Countries!$D$5:$D$434,$A544,Countries!$AS$5:$AS$434,"&gt;0")=0,"",SUMIFS(Countries!$AS$5:$AS$434,Countries!$A$5:$A$434,"All landing pages",Countries!$D$5:$D$434,$A544,Countries!$F$5:$F$434,"&gt;0")/SUMIFS(Countries!$F$5:$F$434,Countries!$A$5:$A$434,"All landing pages",Countries!$D$5:$D$434,$A544,Countries!$AS$5:$AS$434,"&gt;0"))</f>
        <v/>
      </c>
      <c r="P544" s="44">
        <f>IF(OR(N544="",O544=""),"",(O544-N544)*100)</f>
        <v/>
      </c>
      <c r="Q544" s="73" t="n"/>
    </row>
    <row r="545">
      <c r="A545" s="40" t="inlineStr">
        <is>
          <t>France</t>
        </is>
      </c>
      <c r="B545" s="45">
        <f>IF(SUMIFS(Countries!$E$5:$E$434,Countries!$A$5:$A$434,"All landing pages",Countries!$B$5:$B$434,"Paid Search",Countries!$D$5:$D$434,$A545,Countries!$AR$5:$AR$434,"&gt;0")=0,"",SUMIFS(Countries!$AR$5:$AR$434,Countries!$A$5:$A$434,"All landing pages",Countries!$B$5:$B$434,"Paid Search",Countries!$D$5:$D$434,$A545,Countries!$E$5:$E$434,"&gt;0")/SUMIFS(Countries!$E$5:$E$434,Countries!$A$5:$A$434,"All landing pages",Countries!$B$5:$B$434,"Paid Search",Countries!$D$5:$D$434,$A545,Countries!$AR$5:$AR$434,"&gt;0"))</f>
        <v/>
      </c>
      <c r="C545" s="45">
        <f>IF(SUMIFS(Countries!$F$5:$F$434,Countries!$A$5:$A$434,"All landing pages",Countries!$B$5:$B$434,"Paid Search",Countries!$D$5:$D$434,$A545,Countries!$AS$5:$AS$434,"&gt;0")=0,"",SUMIFS(Countries!$AS$5:$AS$434,Countries!$A$5:$A$434,"All landing pages",Countries!$B$5:$B$434,"Paid Search",Countries!$D$5:$D$434,$A545,Countries!$F$5:$F$434,"&gt;0")/SUMIFS(Countries!$F$5:$F$434,Countries!$A$5:$A$434,"All landing pages",Countries!$B$5:$B$434,"Paid Search",Countries!$D$5:$D$434,$A545,Countries!$AS$5:$AS$434,"&gt;0"))</f>
        <v/>
      </c>
      <c r="D545" s="44">
        <f>IF(OR(B545="",C545=""),"",(C545-B545)*100)</f>
        <v/>
      </c>
      <c r="E545" s="73" t="n"/>
      <c r="F545" s="45">
        <f>IF(SUMIFS(Countries!$E$5:$E$434,Countries!$A$5:$A$434,"All landing pages",Countries!$B$5:$B$434,"Organic",Countries!$D$5:$D$434,$A545,Countries!$AR$5:$AR$434,"&gt;0")=0,"",SUMIFS(Countries!$AR$5:$AR$434,Countries!$A$5:$A$434,"All landing pages",Countries!$B$5:$B$434,"Organic",Countries!$D$5:$D$434,$A545,Countries!$E$5:$E$434,"&gt;0")/SUMIFS(Countries!$E$5:$E$434,Countries!$A$5:$A$434,"All landing pages",Countries!$B$5:$B$434,"Organic",Countries!$D$5:$D$434,$A545,Countries!$AR$5:$AR$434,"&gt;0"))</f>
        <v/>
      </c>
      <c r="G545" s="45">
        <f>IF(SUMIFS(Countries!$F$5:$F$434,Countries!$A$5:$A$434,"All landing pages",Countries!$B$5:$B$434,"Organic",Countries!$D$5:$D$434,$A545,Countries!$AS$5:$AS$434,"&gt;0")=0,"",SUMIFS(Countries!$AS$5:$AS$434,Countries!$A$5:$A$434,"All landing pages",Countries!$B$5:$B$434,"Organic",Countries!$D$5:$D$434,$A545,Countries!$F$5:$F$434,"&gt;0")/SUMIFS(Countries!$F$5:$F$434,Countries!$A$5:$A$434,"All landing pages",Countries!$B$5:$B$434,"Organic",Countries!$D$5:$D$434,$A545,Countries!$AS$5:$AS$434,"&gt;0"))</f>
        <v/>
      </c>
      <c r="H545" s="44">
        <f>IF(OR(F545="",G545=""),"",(G545-F545)*100)</f>
        <v/>
      </c>
      <c r="I545" s="73" t="n"/>
      <c r="J545" s="45">
        <f>IF(SUMIFS(Countries!$E$5:$E$434,Countries!$A$5:$A$434,"All landing pages",Countries!$B$5:$B$434,"Direct",Countries!$D$5:$D$434,$A545,Countries!$AR$5:$AR$434,"&gt;0")=0,"",SUMIFS(Countries!$AR$5:$AR$434,Countries!$A$5:$A$434,"All landing pages",Countries!$B$5:$B$434,"Direct",Countries!$D$5:$D$434,$A545,Countries!$E$5:$E$434,"&gt;0")/SUMIFS(Countries!$E$5:$E$434,Countries!$A$5:$A$434,"All landing pages",Countries!$B$5:$B$434,"Direct",Countries!$D$5:$D$434,$A545,Countries!$AR$5:$AR$434,"&gt;0"))</f>
        <v/>
      </c>
      <c r="K545" s="45">
        <f>IF(SUMIFS(Countries!$F$5:$F$434,Countries!$A$5:$A$434,"All landing pages",Countries!$B$5:$B$434,"Direct",Countries!$D$5:$D$434,$A545,Countries!$AS$5:$AS$434,"&gt;0")=0,"",SUMIFS(Countries!$AS$5:$AS$434,Countries!$A$5:$A$434,"All landing pages",Countries!$B$5:$B$434,"Direct",Countries!$D$5:$D$434,$A545,Countries!$F$5:$F$434,"&gt;0")/SUMIFS(Countries!$F$5:$F$434,Countries!$A$5:$A$434,"All landing pages",Countries!$B$5:$B$434,"Direct",Countries!$D$5:$D$434,$A545,Countries!$AS$5:$AS$434,"&gt;0"))</f>
        <v/>
      </c>
      <c r="L545" s="44">
        <f>IF(OR(J545="",K545=""),"",(K545-J545)*100)</f>
        <v/>
      </c>
      <c r="M545" s="73" t="n"/>
      <c r="N545" s="45">
        <f>IF(SUMIFS(Countries!$E$5:$E$434,Countries!$A$5:$A$434,"All landing pages",Countries!$D$5:$D$434,$A545,Countries!$AR$5:$AR$434,"&gt;0")=0,"",SUMIFS(Countries!$AR$5:$AR$434,Countries!$A$5:$A$434,"All landing pages",Countries!$D$5:$D$434,$A545,Countries!$E$5:$E$434,"&gt;0")/SUMIFS(Countries!$E$5:$E$434,Countries!$A$5:$A$434,"All landing pages",Countries!$D$5:$D$434,$A545,Countries!$AR$5:$AR$434,"&gt;0"))</f>
        <v/>
      </c>
      <c r="O545" s="45">
        <f>IF(SUMIFS(Countries!$F$5:$F$434,Countries!$A$5:$A$434,"All landing pages",Countries!$D$5:$D$434,$A545,Countries!$AS$5:$AS$434,"&gt;0")=0,"",SUMIFS(Countries!$AS$5:$AS$434,Countries!$A$5:$A$434,"All landing pages",Countries!$D$5:$D$434,$A545,Countries!$F$5:$F$434,"&gt;0")/SUMIFS(Countries!$F$5:$F$434,Countries!$A$5:$A$434,"All landing pages",Countries!$D$5:$D$434,$A545,Countries!$AS$5:$AS$434,"&gt;0"))</f>
        <v/>
      </c>
      <c r="P545" s="44">
        <f>IF(OR(N545="",O545=""),"",(O545-N545)*100)</f>
        <v/>
      </c>
      <c r="Q545" s="73" t="n"/>
    </row>
    <row r="546">
      <c r="A546" s="56" t="inlineStr">
        <is>
          <t>Poland</t>
        </is>
      </c>
      <c r="B546" s="45">
        <f>IF(SUMIFS(Countries!$E$5:$E$434,Countries!$A$5:$A$434,"All landing pages",Countries!$B$5:$B$434,"Paid Search",Countries!$D$5:$D$434,$A546,Countries!$AR$5:$AR$434,"&gt;0")=0,"",SUMIFS(Countries!$AR$5:$AR$434,Countries!$A$5:$A$434,"All landing pages",Countries!$B$5:$B$434,"Paid Search",Countries!$D$5:$D$434,$A546,Countries!$E$5:$E$434,"&gt;0")/SUMIFS(Countries!$E$5:$E$434,Countries!$A$5:$A$434,"All landing pages",Countries!$B$5:$B$434,"Paid Search",Countries!$D$5:$D$434,$A546,Countries!$AR$5:$AR$434,"&gt;0"))</f>
        <v/>
      </c>
      <c r="C546" s="45">
        <f>IF(SUMIFS(Countries!$F$5:$F$434,Countries!$A$5:$A$434,"All landing pages",Countries!$B$5:$B$434,"Paid Search",Countries!$D$5:$D$434,$A546,Countries!$AS$5:$AS$434,"&gt;0")=0,"",SUMIFS(Countries!$AS$5:$AS$434,Countries!$A$5:$A$434,"All landing pages",Countries!$B$5:$B$434,"Paid Search",Countries!$D$5:$D$434,$A546,Countries!$F$5:$F$434,"&gt;0")/SUMIFS(Countries!$F$5:$F$434,Countries!$A$5:$A$434,"All landing pages",Countries!$B$5:$B$434,"Paid Search",Countries!$D$5:$D$434,$A546,Countries!$AS$5:$AS$434,"&gt;0"))</f>
        <v/>
      </c>
      <c r="D546" s="44">
        <f>IF(OR(B546="",C546=""),"",(C546-B546)*100)</f>
        <v/>
      </c>
      <c r="E546" s="73" t="n"/>
      <c r="F546" s="45">
        <f>IF(SUMIFS(Countries!$E$5:$E$434,Countries!$A$5:$A$434,"All landing pages",Countries!$B$5:$B$434,"Organic",Countries!$D$5:$D$434,$A546,Countries!$AR$5:$AR$434,"&gt;0")=0,"",SUMIFS(Countries!$AR$5:$AR$434,Countries!$A$5:$A$434,"All landing pages",Countries!$B$5:$B$434,"Organic",Countries!$D$5:$D$434,$A546,Countries!$E$5:$E$434,"&gt;0")/SUMIFS(Countries!$E$5:$E$434,Countries!$A$5:$A$434,"All landing pages",Countries!$B$5:$B$434,"Organic",Countries!$D$5:$D$434,$A546,Countries!$AR$5:$AR$434,"&gt;0"))</f>
        <v/>
      </c>
      <c r="G546" s="45">
        <f>IF(SUMIFS(Countries!$F$5:$F$434,Countries!$A$5:$A$434,"All landing pages",Countries!$B$5:$B$434,"Organic",Countries!$D$5:$D$434,$A546,Countries!$AS$5:$AS$434,"&gt;0")=0,"",SUMIFS(Countries!$AS$5:$AS$434,Countries!$A$5:$A$434,"All landing pages",Countries!$B$5:$B$434,"Organic",Countries!$D$5:$D$434,$A546,Countries!$F$5:$F$434,"&gt;0")/SUMIFS(Countries!$F$5:$F$434,Countries!$A$5:$A$434,"All landing pages",Countries!$B$5:$B$434,"Organic",Countries!$D$5:$D$434,$A546,Countries!$AS$5:$AS$434,"&gt;0"))</f>
        <v/>
      </c>
      <c r="H546" s="44">
        <f>IF(OR(F546="",G546=""),"",(G546-F546)*100)</f>
        <v/>
      </c>
      <c r="I546" s="73" t="n"/>
      <c r="J546" s="45">
        <f>IF(SUMIFS(Countries!$E$5:$E$434,Countries!$A$5:$A$434,"All landing pages",Countries!$B$5:$B$434,"Direct",Countries!$D$5:$D$434,$A546,Countries!$AR$5:$AR$434,"&gt;0")=0,"",SUMIFS(Countries!$AR$5:$AR$434,Countries!$A$5:$A$434,"All landing pages",Countries!$B$5:$B$434,"Direct",Countries!$D$5:$D$434,$A546,Countries!$E$5:$E$434,"&gt;0")/SUMIFS(Countries!$E$5:$E$434,Countries!$A$5:$A$434,"All landing pages",Countries!$B$5:$B$434,"Direct",Countries!$D$5:$D$434,$A546,Countries!$AR$5:$AR$434,"&gt;0"))</f>
        <v/>
      </c>
      <c r="K546" s="45">
        <f>IF(SUMIFS(Countries!$F$5:$F$434,Countries!$A$5:$A$434,"All landing pages",Countries!$B$5:$B$434,"Direct",Countries!$D$5:$D$434,$A546,Countries!$AS$5:$AS$434,"&gt;0")=0,"",SUMIFS(Countries!$AS$5:$AS$434,Countries!$A$5:$A$434,"All landing pages",Countries!$B$5:$B$434,"Direct",Countries!$D$5:$D$434,$A546,Countries!$F$5:$F$434,"&gt;0")/SUMIFS(Countries!$F$5:$F$434,Countries!$A$5:$A$434,"All landing pages",Countries!$B$5:$B$434,"Direct",Countries!$D$5:$D$434,$A546,Countries!$AS$5:$AS$434,"&gt;0"))</f>
        <v/>
      </c>
      <c r="L546" s="44">
        <f>IF(OR(J546="",K546=""),"",(K546-J546)*100)</f>
        <v/>
      </c>
      <c r="M546" s="73" t="n"/>
      <c r="N546" s="45">
        <f>IF(SUMIFS(Countries!$E$5:$E$434,Countries!$A$5:$A$434,"All landing pages",Countries!$D$5:$D$434,$A546,Countries!$AR$5:$AR$434,"&gt;0")=0,"",SUMIFS(Countries!$AR$5:$AR$434,Countries!$A$5:$A$434,"All landing pages",Countries!$D$5:$D$434,$A546,Countries!$E$5:$E$434,"&gt;0")/SUMIFS(Countries!$E$5:$E$434,Countries!$A$5:$A$434,"All landing pages",Countries!$D$5:$D$434,$A546,Countries!$AR$5:$AR$434,"&gt;0"))</f>
        <v/>
      </c>
      <c r="O546" s="45">
        <f>IF(SUMIFS(Countries!$F$5:$F$434,Countries!$A$5:$A$434,"All landing pages",Countries!$D$5:$D$434,$A546,Countries!$AS$5:$AS$434,"&gt;0")=0,"",SUMIFS(Countries!$AS$5:$AS$434,Countries!$A$5:$A$434,"All landing pages",Countries!$D$5:$D$434,$A546,Countries!$F$5:$F$434,"&gt;0")/SUMIFS(Countries!$F$5:$F$434,Countries!$A$5:$A$434,"All landing pages",Countries!$D$5:$D$434,$A546,Countries!$AS$5:$AS$434,"&gt;0"))</f>
        <v/>
      </c>
      <c r="P546" s="44">
        <f>IF(OR(N546="",O546=""),"",(O546-N546)*100)</f>
        <v/>
      </c>
      <c r="Q546" s="73" t="n"/>
    </row>
    <row r="547">
      <c r="A547" s="40" t="inlineStr">
        <is>
          <t>United States</t>
        </is>
      </c>
      <c r="B547" s="45">
        <f>IF(SUMIFS(Countries!$E$5:$E$434,Countries!$A$5:$A$434,"All landing pages",Countries!$B$5:$B$434,"Paid Search",Countries!$D$5:$D$434,$A547,Countries!$AR$5:$AR$434,"&gt;0")=0,"",SUMIFS(Countries!$AR$5:$AR$434,Countries!$A$5:$A$434,"All landing pages",Countries!$B$5:$B$434,"Paid Search",Countries!$D$5:$D$434,$A547,Countries!$E$5:$E$434,"&gt;0")/SUMIFS(Countries!$E$5:$E$434,Countries!$A$5:$A$434,"All landing pages",Countries!$B$5:$B$434,"Paid Search",Countries!$D$5:$D$434,$A547,Countries!$AR$5:$AR$434,"&gt;0"))</f>
        <v/>
      </c>
      <c r="C547" s="45">
        <f>IF(SUMIFS(Countries!$F$5:$F$434,Countries!$A$5:$A$434,"All landing pages",Countries!$B$5:$B$434,"Paid Search",Countries!$D$5:$D$434,$A547,Countries!$AS$5:$AS$434,"&gt;0")=0,"",SUMIFS(Countries!$AS$5:$AS$434,Countries!$A$5:$A$434,"All landing pages",Countries!$B$5:$B$434,"Paid Search",Countries!$D$5:$D$434,$A547,Countries!$F$5:$F$434,"&gt;0")/SUMIFS(Countries!$F$5:$F$434,Countries!$A$5:$A$434,"All landing pages",Countries!$B$5:$B$434,"Paid Search",Countries!$D$5:$D$434,$A547,Countries!$AS$5:$AS$434,"&gt;0"))</f>
        <v/>
      </c>
      <c r="D547" s="44">
        <f>IF(OR(B547="",C547=""),"",(C547-B547)*100)</f>
        <v/>
      </c>
      <c r="E547" s="73" t="n"/>
      <c r="F547" s="45">
        <f>IF(SUMIFS(Countries!$E$5:$E$434,Countries!$A$5:$A$434,"All landing pages",Countries!$B$5:$B$434,"Organic",Countries!$D$5:$D$434,$A547,Countries!$AR$5:$AR$434,"&gt;0")=0,"",SUMIFS(Countries!$AR$5:$AR$434,Countries!$A$5:$A$434,"All landing pages",Countries!$B$5:$B$434,"Organic",Countries!$D$5:$D$434,$A547,Countries!$E$5:$E$434,"&gt;0")/SUMIFS(Countries!$E$5:$E$434,Countries!$A$5:$A$434,"All landing pages",Countries!$B$5:$B$434,"Organic",Countries!$D$5:$D$434,$A547,Countries!$AR$5:$AR$434,"&gt;0"))</f>
        <v/>
      </c>
      <c r="G547" s="45">
        <f>IF(SUMIFS(Countries!$F$5:$F$434,Countries!$A$5:$A$434,"All landing pages",Countries!$B$5:$B$434,"Organic",Countries!$D$5:$D$434,$A547,Countries!$AS$5:$AS$434,"&gt;0")=0,"",SUMIFS(Countries!$AS$5:$AS$434,Countries!$A$5:$A$434,"All landing pages",Countries!$B$5:$B$434,"Organic",Countries!$D$5:$D$434,$A547,Countries!$F$5:$F$434,"&gt;0")/SUMIFS(Countries!$F$5:$F$434,Countries!$A$5:$A$434,"All landing pages",Countries!$B$5:$B$434,"Organic",Countries!$D$5:$D$434,$A547,Countries!$AS$5:$AS$434,"&gt;0"))</f>
        <v/>
      </c>
      <c r="H547" s="44">
        <f>IF(OR(F547="",G547=""),"",(G547-F547)*100)</f>
        <v/>
      </c>
      <c r="I547" s="73" t="n"/>
      <c r="J547" s="45">
        <f>IF(SUMIFS(Countries!$E$5:$E$434,Countries!$A$5:$A$434,"All landing pages",Countries!$B$5:$B$434,"Direct",Countries!$D$5:$D$434,$A547,Countries!$AR$5:$AR$434,"&gt;0")=0,"",SUMIFS(Countries!$AR$5:$AR$434,Countries!$A$5:$A$434,"All landing pages",Countries!$B$5:$B$434,"Direct",Countries!$D$5:$D$434,$A547,Countries!$E$5:$E$434,"&gt;0")/SUMIFS(Countries!$E$5:$E$434,Countries!$A$5:$A$434,"All landing pages",Countries!$B$5:$B$434,"Direct",Countries!$D$5:$D$434,$A547,Countries!$AR$5:$AR$434,"&gt;0"))</f>
        <v/>
      </c>
      <c r="K547" s="45">
        <f>IF(SUMIFS(Countries!$F$5:$F$434,Countries!$A$5:$A$434,"All landing pages",Countries!$B$5:$B$434,"Direct",Countries!$D$5:$D$434,$A547,Countries!$AS$5:$AS$434,"&gt;0")=0,"",SUMIFS(Countries!$AS$5:$AS$434,Countries!$A$5:$A$434,"All landing pages",Countries!$B$5:$B$434,"Direct",Countries!$D$5:$D$434,$A547,Countries!$F$5:$F$434,"&gt;0")/SUMIFS(Countries!$F$5:$F$434,Countries!$A$5:$A$434,"All landing pages",Countries!$B$5:$B$434,"Direct",Countries!$D$5:$D$434,$A547,Countries!$AS$5:$AS$434,"&gt;0"))</f>
        <v/>
      </c>
      <c r="L547" s="44">
        <f>IF(OR(J547="",K547=""),"",(K547-J547)*100)</f>
        <v/>
      </c>
      <c r="M547" s="73" t="n"/>
      <c r="N547" s="45">
        <f>IF(SUMIFS(Countries!$E$5:$E$434,Countries!$A$5:$A$434,"All landing pages",Countries!$D$5:$D$434,$A547,Countries!$AR$5:$AR$434,"&gt;0")=0,"",SUMIFS(Countries!$AR$5:$AR$434,Countries!$A$5:$A$434,"All landing pages",Countries!$D$5:$D$434,$A547,Countries!$E$5:$E$434,"&gt;0")/SUMIFS(Countries!$E$5:$E$434,Countries!$A$5:$A$434,"All landing pages",Countries!$D$5:$D$434,$A547,Countries!$AR$5:$AR$434,"&gt;0"))</f>
        <v/>
      </c>
      <c r="O547" s="45">
        <f>IF(SUMIFS(Countries!$F$5:$F$434,Countries!$A$5:$A$434,"All landing pages",Countries!$D$5:$D$434,$A547,Countries!$AS$5:$AS$434,"&gt;0")=0,"",SUMIFS(Countries!$AS$5:$AS$434,Countries!$A$5:$A$434,"All landing pages",Countries!$D$5:$D$434,$A547,Countries!$F$5:$F$434,"&gt;0")/SUMIFS(Countries!$F$5:$F$434,Countries!$A$5:$A$434,"All landing pages",Countries!$D$5:$D$434,$A547,Countries!$AS$5:$AS$434,"&gt;0"))</f>
        <v/>
      </c>
      <c r="P547" s="44">
        <f>IF(OR(N547="",O547=""),"",(O547-N547)*100)</f>
        <v/>
      </c>
      <c r="Q547" s="73" t="n"/>
    </row>
    <row r="548">
      <c r="A548" s="56" t="inlineStr">
        <is>
          <t>Sweden</t>
        </is>
      </c>
      <c r="B548" s="45">
        <f>IF(SUMIFS(Countries!$E$5:$E$434,Countries!$A$5:$A$434,"All landing pages",Countries!$B$5:$B$434,"Paid Search",Countries!$D$5:$D$434,$A548,Countries!$AR$5:$AR$434,"&gt;0")=0,"",SUMIFS(Countries!$AR$5:$AR$434,Countries!$A$5:$A$434,"All landing pages",Countries!$B$5:$B$434,"Paid Search",Countries!$D$5:$D$434,$A548,Countries!$E$5:$E$434,"&gt;0")/SUMIFS(Countries!$E$5:$E$434,Countries!$A$5:$A$434,"All landing pages",Countries!$B$5:$B$434,"Paid Search",Countries!$D$5:$D$434,$A548,Countries!$AR$5:$AR$434,"&gt;0"))</f>
        <v/>
      </c>
      <c r="C548" s="45">
        <f>IF(SUMIFS(Countries!$F$5:$F$434,Countries!$A$5:$A$434,"All landing pages",Countries!$B$5:$B$434,"Paid Search",Countries!$D$5:$D$434,$A548,Countries!$AS$5:$AS$434,"&gt;0")=0,"",SUMIFS(Countries!$AS$5:$AS$434,Countries!$A$5:$A$434,"All landing pages",Countries!$B$5:$B$434,"Paid Search",Countries!$D$5:$D$434,$A548,Countries!$F$5:$F$434,"&gt;0")/SUMIFS(Countries!$F$5:$F$434,Countries!$A$5:$A$434,"All landing pages",Countries!$B$5:$B$434,"Paid Search",Countries!$D$5:$D$434,$A548,Countries!$AS$5:$AS$434,"&gt;0"))</f>
        <v/>
      </c>
      <c r="D548" s="44">
        <f>IF(OR(B548="",C548=""),"",(C548-B548)*100)</f>
        <v/>
      </c>
      <c r="E548" s="73" t="n"/>
      <c r="F548" s="45">
        <f>IF(SUMIFS(Countries!$E$5:$E$434,Countries!$A$5:$A$434,"All landing pages",Countries!$B$5:$B$434,"Organic",Countries!$D$5:$D$434,$A548,Countries!$AR$5:$AR$434,"&gt;0")=0,"",SUMIFS(Countries!$AR$5:$AR$434,Countries!$A$5:$A$434,"All landing pages",Countries!$B$5:$B$434,"Organic",Countries!$D$5:$D$434,$A548,Countries!$E$5:$E$434,"&gt;0")/SUMIFS(Countries!$E$5:$E$434,Countries!$A$5:$A$434,"All landing pages",Countries!$B$5:$B$434,"Organic",Countries!$D$5:$D$434,$A548,Countries!$AR$5:$AR$434,"&gt;0"))</f>
        <v/>
      </c>
      <c r="G548" s="45">
        <f>IF(SUMIFS(Countries!$F$5:$F$434,Countries!$A$5:$A$434,"All landing pages",Countries!$B$5:$B$434,"Organic",Countries!$D$5:$D$434,$A548,Countries!$AS$5:$AS$434,"&gt;0")=0,"",SUMIFS(Countries!$AS$5:$AS$434,Countries!$A$5:$A$434,"All landing pages",Countries!$B$5:$B$434,"Organic",Countries!$D$5:$D$434,$A548,Countries!$F$5:$F$434,"&gt;0")/SUMIFS(Countries!$F$5:$F$434,Countries!$A$5:$A$434,"All landing pages",Countries!$B$5:$B$434,"Organic",Countries!$D$5:$D$434,$A548,Countries!$AS$5:$AS$434,"&gt;0"))</f>
        <v/>
      </c>
      <c r="H548" s="44">
        <f>IF(OR(F548="",G548=""),"",(G548-F548)*100)</f>
        <v/>
      </c>
      <c r="I548" s="73" t="n"/>
      <c r="J548" s="45">
        <f>IF(SUMIFS(Countries!$E$5:$E$434,Countries!$A$5:$A$434,"All landing pages",Countries!$B$5:$B$434,"Direct",Countries!$D$5:$D$434,$A548,Countries!$AR$5:$AR$434,"&gt;0")=0,"",SUMIFS(Countries!$AR$5:$AR$434,Countries!$A$5:$A$434,"All landing pages",Countries!$B$5:$B$434,"Direct",Countries!$D$5:$D$434,$A548,Countries!$E$5:$E$434,"&gt;0")/SUMIFS(Countries!$E$5:$E$434,Countries!$A$5:$A$434,"All landing pages",Countries!$B$5:$B$434,"Direct",Countries!$D$5:$D$434,$A548,Countries!$AR$5:$AR$434,"&gt;0"))</f>
        <v/>
      </c>
      <c r="K548" s="45">
        <f>IF(SUMIFS(Countries!$F$5:$F$434,Countries!$A$5:$A$434,"All landing pages",Countries!$B$5:$B$434,"Direct",Countries!$D$5:$D$434,$A548,Countries!$AS$5:$AS$434,"&gt;0")=0,"",SUMIFS(Countries!$AS$5:$AS$434,Countries!$A$5:$A$434,"All landing pages",Countries!$B$5:$B$434,"Direct",Countries!$D$5:$D$434,$A548,Countries!$F$5:$F$434,"&gt;0")/SUMIFS(Countries!$F$5:$F$434,Countries!$A$5:$A$434,"All landing pages",Countries!$B$5:$B$434,"Direct",Countries!$D$5:$D$434,$A548,Countries!$AS$5:$AS$434,"&gt;0"))</f>
        <v/>
      </c>
      <c r="L548" s="44">
        <f>IF(OR(J548="",K548=""),"",(K548-J548)*100)</f>
        <v/>
      </c>
      <c r="M548" s="73" t="n"/>
      <c r="N548" s="45">
        <f>IF(SUMIFS(Countries!$E$5:$E$434,Countries!$A$5:$A$434,"All landing pages",Countries!$D$5:$D$434,$A548,Countries!$AR$5:$AR$434,"&gt;0")=0,"",SUMIFS(Countries!$AR$5:$AR$434,Countries!$A$5:$A$434,"All landing pages",Countries!$D$5:$D$434,$A548,Countries!$E$5:$E$434,"&gt;0")/SUMIFS(Countries!$E$5:$E$434,Countries!$A$5:$A$434,"All landing pages",Countries!$D$5:$D$434,$A548,Countries!$AR$5:$AR$434,"&gt;0"))</f>
        <v/>
      </c>
      <c r="O548" s="45">
        <f>IF(SUMIFS(Countries!$F$5:$F$434,Countries!$A$5:$A$434,"All landing pages",Countries!$D$5:$D$434,$A548,Countries!$AS$5:$AS$434,"&gt;0")=0,"",SUMIFS(Countries!$AS$5:$AS$434,Countries!$A$5:$A$434,"All landing pages",Countries!$D$5:$D$434,$A548,Countries!$F$5:$F$434,"&gt;0")/SUMIFS(Countries!$F$5:$F$434,Countries!$A$5:$A$434,"All landing pages",Countries!$D$5:$D$434,$A548,Countries!$AS$5:$AS$434,"&gt;0"))</f>
        <v/>
      </c>
      <c r="P548" s="44">
        <f>IF(OR(N548="",O548=""),"",(O548-N548)*100)</f>
        <v/>
      </c>
      <c r="Q548" s="73" t="n"/>
    </row>
    <row r="549">
      <c r="A549" s="40" t="inlineStr">
        <is>
          <t>Belgium</t>
        </is>
      </c>
      <c r="B549" s="45">
        <f>IF(SUMIFS(Countries!$E$5:$E$434,Countries!$A$5:$A$434,"All landing pages",Countries!$B$5:$B$434,"Paid Search",Countries!$D$5:$D$434,$A549,Countries!$AR$5:$AR$434,"&gt;0")=0,"",SUMIFS(Countries!$AR$5:$AR$434,Countries!$A$5:$A$434,"All landing pages",Countries!$B$5:$B$434,"Paid Search",Countries!$D$5:$D$434,$A549,Countries!$E$5:$E$434,"&gt;0")/SUMIFS(Countries!$E$5:$E$434,Countries!$A$5:$A$434,"All landing pages",Countries!$B$5:$B$434,"Paid Search",Countries!$D$5:$D$434,$A549,Countries!$AR$5:$AR$434,"&gt;0"))</f>
        <v/>
      </c>
      <c r="C549" s="45">
        <f>IF(SUMIFS(Countries!$F$5:$F$434,Countries!$A$5:$A$434,"All landing pages",Countries!$B$5:$B$434,"Paid Search",Countries!$D$5:$D$434,$A549,Countries!$AS$5:$AS$434,"&gt;0")=0,"",SUMIFS(Countries!$AS$5:$AS$434,Countries!$A$5:$A$434,"All landing pages",Countries!$B$5:$B$434,"Paid Search",Countries!$D$5:$D$434,$A549,Countries!$F$5:$F$434,"&gt;0")/SUMIFS(Countries!$F$5:$F$434,Countries!$A$5:$A$434,"All landing pages",Countries!$B$5:$B$434,"Paid Search",Countries!$D$5:$D$434,$A549,Countries!$AS$5:$AS$434,"&gt;0"))</f>
        <v/>
      </c>
      <c r="D549" s="44">
        <f>IF(OR(B549="",C549=""),"",(C549-B549)*100)</f>
        <v/>
      </c>
      <c r="E549" s="73" t="n"/>
      <c r="F549" s="45">
        <f>IF(SUMIFS(Countries!$E$5:$E$434,Countries!$A$5:$A$434,"All landing pages",Countries!$B$5:$B$434,"Organic",Countries!$D$5:$D$434,$A549,Countries!$AR$5:$AR$434,"&gt;0")=0,"",SUMIFS(Countries!$AR$5:$AR$434,Countries!$A$5:$A$434,"All landing pages",Countries!$B$5:$B$434,"Organic",Countries!$D$5:$D$434,$A549,Countries!$E$5:$E$434,"&gt;0")/SUMIFS(Countries!$E$5:$E$434,Countries!$A$5:$A$434,"All landing pages",Countries!$B$5:$B$434,"Organic",Countries!$D$5:$D$434,$A549,Countries!$AR$5:$AR$434,"&gt;0"))</f>
        <v/>
      </c>
      <c r="G549" s="45">
        <f>IF(SUMIFS(Countries!$F$5:$F$434,Countries!$A$5:$A$434,"All landing pages",Countries!$B$5:$B$434,"Organic",Countries!$D$5:$D$434,$A549,Countries!$AS$5:$AS$434,"&gt;0")=0,"",SUMIFS(Countries!$AS$5:$AS$434,Countries!$A$5:$A$434,"All landing pages",Countries!$B$5:$B$434,"Organic",Countries!$D$5:$D$434,$A549,Countries!$F$5:$F$434,"&gt;0")/SUMIFS(Countries!$F$5:$F$434,Countries!$A$5:$A$434,"All landing pages",Countries!$B$5:$B$434,"Organic",Countries!$D$5:$D$434,$A549,Countries!$AS$5:$AS$434,"&gt;0"))</f>
        <v/>
      </c>
      <c r="H549" s="44">
        <f>IF(OR(F549="",G549=""),"",(G549-F549)*100)</f>
        <v/>
      </c>
      <c r="I549" s="73" t="n"/>
      <c r="J549" s="45">
        <f>IF(SUMIFS(Countries!$E$5:$E$434,Countries!$A$5:$A$434,"All landing pages",Countries!$B$5:$B$434,"Direct",Countries!$D$5:$D$434,$A549,Countries!$AR$5:$AR$434,"&gt;0")=0,"",SUMIFS(Countries!$AR$5:$AR$434,Countries!$A$5:$A$434,"All landing pages",Countries!$B$5:$B$434,"Direct",Countries!$D$5:$D$434,$A549,Countries!$E$5:$E$434,"&gt;0")/SUMIFS(Countries!$E$5:$E$434,Countries!$A$5:$A$434,"All landing pages",Countries!$B$5:$B$434,"Direct",Countries!$D$5:$D$434,$A549,Countries!$AR$5:$AR$434,"&gt;0"))</f>
        <v/>
      </c>
      <c r="K549" s="45">
        <f>IF(SUMIFS(Countries!$F$5:$F$434,Countries!$A$5:$A$434,"All landing pages",Countries!$B$5:$B$434,"Direct",Countries!$D$5:$D$434,$A549,Countries!$AS$5:$AS$434,"&gt;0")=0,"",SUMIFS(Countries!$AS$5:$AS$434,Countries!$A$5:$A$434,"All landing pages",Countries!$B$5:$B$434,"Direct",Countries!$D$5:$D$434,$A549,Countries!$F$5:$F$434,"&gt;0")/SUMIFS(Countries!$F$5:$F$434,Countries!$A$5:$A$434,"All landing pages",Countries!$B$5:$B$434,"Direct",Countries!$D$5:$D$434,$A549,Countries!$AS$5:$AS$434,"&gt;0"))</f>
        <v/>
      </c>
      <c r="L549" s="44">
        <f>IF(OR(J549="",K549=""),"",(K549-J549)*100)</f>
        <v/>
      </c>
      <c r="M549" s="73" t="n"/>
      <c r="N549" s="45">
        <f>IF(SUMIFS(Countries!$E$5:$E$434,Countries!$A$5:$A$434,"All landing pages",Countries!$D$5:$D$434,$A549,Countries!$AR$5:$AR$434,"&gt;0")=0,"",SUMIFS(Countries!$AR$5:$AR$434,Countries!$A$5:$A$434,"All landing pages",Countries!$D$5:$D$434,$A549,Countries!$E$5:$E$434,"&gt;0")/SUMIFS(Countries!$E$5:$E$434,Countries!$A$5:$A$434,"All landing pages",Countries!$D$5:$D$434,$A549,Countries!$AR$5:$AR$434,"&gt;0"))</f>
        <v/>
      </c>
      <c r="O549" s="45">
        <f>IF(SUMIFS(Countries!$F$5:$F$434,Countries!$A$5:$A$434,"All landing pages",Countries!$D$5:$D$434,$A549,Countries!$AS$5:$AS$434,"&gt;0")=0,"",SUMIFS(Countries!$AS$5:$AS$434,Countries!$A$5:$A$434,"All landing pages",Countries!$D$5:$D$434,$A549,Countries!$F$5:$F$434,"&gt;0")/SUMIFS(Countries!$F$5:$F$434,Countries!$A$5:$A$434,"All landing pages",Countries!$D$5:$D$434,$A549,Countries!$AS$5:$AS$434,"&gt;0"))</f>
        <v/>
      </c>
      <c r="P549" s="44">
        <f>IF(OR(N549="",O549=""),"",(O549-N549)*100)</f>
        <v/>
      </c>
      <c r="Q549" s="73" t="n"/>
    </row>
    <row r="550">
      <c r="A550" s="56" t="inlineStr">
        <is>
          <t>Austria</t>
        </is>
      </c>
      <c r="B550" s="45">
        <f>IF(SUMIFS(Countries!$E$5:$E$434,Countries!$A$5:$A$434,"All landing pages",Countries!$B$5:$B$434,"Paid Search",Countries!$D$5:$D$434,$A550,Countries!$AR$5:$AR$434,"&gt;0")=0,"",SUMIFS(Countries!$AR$5:$AR$434,Countries!$A$5:$A$434,"All landing pages",Countries!$B$5:$B$434,"Paid Search",Countries!$D$5:$D$434,$A550,Countries!$E$5:$E$434,"&gt;0")/SUMIFS(Countries!$E$5:$E$434,Countries!$A$5:$A$434,"All landing pages",Countries!$B$5:$B$434,"Paid Search",Countries!$D$5:$D$434,$A550,Countries!$AR$5:$AR$434,"&gt;0"))</f>
        <v/>
      </c>
      <c r="C550" s="45">
        <f>IF(SUMIFS(Countries!$F$5:$F$434,Countries!$A$5:$A$434,"All landing pages",Countries!$B$5:$B$434,"Paid Search",Countries!$D$5:$D$434,$A550,Countries!$AS$5:$AS$434,"&gt;0")=0,"",SUMIFS(Countries!$AS$5:$AS$434,Countries!$A$5:$A$434,"All landing pages",Countries!$B$5:$B$434,"Paid Search",Countries!$D$5:$D$434,$A550,Countries!$F$5:$F$434,"&gt;0")/SUMIFS(Countries!$F$5:$F$434,Countries!$A$5:$A$434,"All landing pages",Countries!$B$5:$B$434,"Paid Search",Countries!$D$5:$D$434,$A550,Countries!$AS$5:$AS$434,"&gt;0"))</f>
        <v/>
      </c>
      <c r="D550" s="44">
        <f>IF(OR(B550="",C550=""),"",(C550-B550)*100)</f>
        <v/>
      </c>
      <c r="E550" s="73" t="n"/>
      <c r="F550" s="45">
        <f>IF(SUMIFS(Countries!$E$5:$E$434,Countries!$A$5:$A$434,"All landing pages",Countries!$B$5:$B$434,"Organic",Countries!$D$5:$D$434,$A550,Countries!$AR$5:$AR$434,"&gt;0")=0,"",SUMIFS(Countries!$AR$5:$AR$434,Countries!$A$5:$A$434,"All landing pages",Countries!$B$5:$B$434,"Organic",Countries!$D$5:$D$434,$A550,Countries!$E$5:$E$434,"&gt;0")/SUMIFS(Countries!$E$5:$E$434,Countries!$A$5:$A$434,"All landing pages",Countries!$B$5:$B$434,"Organic",Countries!$D$5:$D$434,$A550,Countries!$AR$5:$AR$434,"&gt;0"))</f>
        <v/>
      </c>
      <c r="G550" s="45">
        <f>IF(SUMIFS(Countries!$F$5:$F$434,Countries!$A$5:$A$434,"All landing pages",Countries!$B$5:$B$434,"Organic",Countries!$D$5:$D$434,$A550,Countries!$AS$5:$AS$434,"&gt;0")=0,"",SUMIFS(Countries!$AS$5:$AS$434,Countries!$A$5:$A$434,"All landing pages",Countries!$B$5:$B$434,"Organic",Countries!$D$5:$D$434,$A550,Countries!$F$5:$F$434,"&gt;0")/SUMIFS(Countries!$F$5:$F$434,Countries!$A$5:$A$434,"All landing pages",Countries!$B$5:$B$434,"Organic",Countries!$D$5:$D$434,$A550,Countries!$AS$5:$AS$434,"&gt;0"))</f>
        <v/>
      </c>
      <c r="H550" s="44">
        <f>IF(OR(F550="",G550=""),"",(G550-F550)*100)</f>
        <v/>
      </c>
      <c r="I550" s="73" t="n"/>
      <c r="J550" s="45">
        <f>IF(SUMIFS(Countries!$E$5:$E$434,Countries!$A$5:$A$434,"All landing pages",Countries!$B$5:$B$434,"Direct",Countries!$D$5:$D$434,$A550,Countries!$AR$5:$AR$434,"&gt;0")=0,"",SUMIFS(Countries!$AR$5:$AR$434,Countries!$A$5:$A$434,"All landing pages",Countries!$B$5:$B$434,"Direct",Countries!$D$5:$D$434,$A550,Countries!$E$5:$E$434,"&gt;0")/SUMIFS(Countries!$E$5:$E$434,Countries!$A$5:$A$434,"All landing pages",Countries!$B$5:$B$434,"Direct",Countries!$D$5:$D$434,$A550,Countries!$AR$5:$AR$434,"&gt;0"))</f>
        <v/>
      </c>
      <c r="K550" s="45">
        <f>IF(SUMIFS(Countries!$F$5:$F$434,Countries!$A$5:$A$434,"All landing pages",Countries!$B$5:$B$434,"Direct",Countries!$D$5:$D$434,$A550,Countries!$AS$5:$AS$434,"&gt;0")=0,"",SUMIFS(Countries!$AS$5:$AS$434,Countries!$A$5:$A$434,"All landing pages",Countries!$B$5:$B$434,"Direct",Countries!$D$5:$D$434,$A550,Countries!$F$5:$F$434,"&gt;0")/SUMIFS(Countries!$F$5:$F$434,Countries!$A$5:$A$434,"All landing pages",Countries!$B$5:$B$434,"Direct",Countries!$D$5:$D$434,$A550,Countries!$AS$5:$AS$434,"&gt;0"))</f>
        <v/>
      </c>
      <c r="L550" s="44">
        <f>IF(OR(J550="",K550=""),"",(K550-J550)*100)</f>
        <v/>
      </c>
      <c r="M550" s="73" t="n"/>
      <c r="N550" s="45">
        <f>IF(SUMIFS(Countries!$E$5:$E$434,Countries!$A$5:$A$434,"All landing pages",Countries!$D$5:$D$434,$A550,Countries!$AR$5:$AR$434,"&gt;0")=0,"",SUMIFS(Countries!$AR$5:$AR$434,Countries!$A$5:$A$434,"All landing pages",Countries!$D$5:$D$434,$A550,Countries!$E$5:$E$434,"&gt;0")/SUMIFS(Countries!$E$5:$E$434,Countries!$A$5:$A$434,"All landing pages",Countries!$D$5:$D$434,$A550,Countries!$AR$5:$AR$434,"&gt;0"))</f>
        <v/>
      </c>
      <c r="O550" s="45">
        <f>IF(SUMIFS(Countries!$F$5:$F$434,Countries!$A$5:$A$434,"All landing pages",Countries!$D$5:$D$434,$A550,Countries!$AS$5:$AS$434,"&gt;0")=0,"",SUMIFS(Countries!$AS$5:$AS$434,Countries!$A$5:$A$434,"All landing pages",Countries!$D$5:$D$434,$A550,Countries!$F$5:$F$434,"&gt;0")/SUMIFS(Countries!$F$5:$F$434,Countries!$A$5:$A$434,"All landing pages",Countries!$D$5:$D$434,$A550,Countries!$AS$5:$AS$434,"&gt;0"))</f>
        <v/>
      </c>
      <c r="P550" s="44">
        <f>IF(OR(N550="",O550=""),"",(O550-N550)*100)</f>
        <v/>
      </c>
      <c r="Q550" s="73" t="n"/>
    </row>
    <row r="551">
      <c r="A551" s="40" t="inlineStr">
        <is>
          <t>Denmark</t>
        </is>
      </c>
      <c r="B551" s="45">
        <f>IF(SUMIFS(Countries!$E$5:$E$434,Countries!$A$5:$A$434,"All landing pages",Countries!$B$5:$B$434,"Paid Search",Countries!$D$5:$D$434,$A551,Countries!$AR$5:$AR$434,"&gt;0")=0,"",SUMIFS(Countries!$AR$5:$AR$434,Countries!$A$5:$A$434,"All landing pages",Countries!$B$5:$B$434,"Paid Search",Countries!$D$5:$D$434,$A551,Countries!$E$5:$E$434,"&gt;0")/SUMIFS(Countries!$E$5:$E$434,Countries!$A$5:$A$434,"All landing pages",Countries!$B$5:$B$434,"Paid Search",Countries!$D$5:$D$434,$A551,Countries!$AR$5:$AR$434,"&gt;0"))</f>
        <v/>
      </c>
      <c r="C551" s="45">
        <f>IF(SUMIFS(Countries!$F$5:$F$434,Countries!$A$5:$A$434,"All landing pages",Countries!$B$5:$B$434,"Paid Search",Countries!$D$5:$D$434,$A551,Countries!$AS$5:$AS$434,"&gt;0")=0,"",SUMIFS(Countries!$AS$5:$AS$434,Countries!$A$5:$A$434,"All landing pages",Countries!$B$5:$B$434,"Paid Search",Countries!$D$5:$D$434,$A551,Countries!$F$5:$F$434,"&gt;0")/SUMIFS(Countries!$F$5:$F$434,Countries!$A$5:$A$434,"All landing pages",Countries!$B$5:$B$434,"Paid Search",Countries!$D$5:$D$434,$A551,Countries!$AS$5:$AS$434,"&gt;0"))</f>
        <v/>
      </c>
      <c r="D551" s="44">
        <f>IF(OR(B551="",C551=""),"",(C551-B551)*100)</f>
        <v/>
      </c>
      <c r="E551" s="73" t="n"/>
      <c r="F551" s="45">
        <f>IF(SUMIFS(Countries!$E$5:$E$434,Countries!$A$5:$A$434,"All landing pages",Countries!$B$5:$B$434,"Organic",Countries!$D$5:$D$434,$A551,Countries!$AR$5:$AR$434,"&gt;0")=0,"",SUMIFS(Countries!$AR$5:$AR$434,Countries!$A$5:$A$434,"All landing pages",Countries!$B$5:$B$434,"Organic",Countries!$D$5:$D$434,$A551,Countries!$E$5:$E$434,"&gt;0")/SUMIFS(Countries!$E$5:$E$434,Countries!$A$5:$A$434,"All landing pages",Countries!$B$5:$B$434,"Organic",Countries!$D$5:$D$434,$A551,Countries!$AR$5:$AR$434,"&gt;0"))</f>
        <v/>
      </c>
      <c r="G551" s="45">
        <f>IF(SUMIFS(Countries!$F$5:$F$434,Countries!$A$5:$A$434,"All landing pages",Countries!$B$5:$B$434,"Organic",Countries!$D$5:$D$434,$A551,Countries!$AS$5:$AS$434,"&gt;0")=0,"",SUMIFS(Countries!$AS$5:$AS$434,Countries!$A$5:$A$434,"All landing pages",Countries!$B$5:$B$434,"Organic",Countries!$D$5:$D$434,$A551,Countries!$F$5:$F$434,"&gt;0")/SUMIFS(Countries!$F$5:$F$434,Countries!$A$5:$A$434,"All landing pages",Countries!$B$5:$B$434,"Organic",Countries!$D$5:$D$434,$A551,Countries!$AS$5:$AS$434,"&gt;0"))</f>
        <v/>
      </c>
      <c r="H551" s="44">
        <f>IF(OR(F551="",G551=""),"",(G551-F551)*100)</f>
        <v/>
      </c>
      <c r="I551" s="73" t="n"/>
      <c r="J551" s="45">
        <f>IF(SUMIFS(Countries!$E$5:$E$434,Countries!$A$5:$A$434,"All landing pages",Countries!$B$5:$B$434,"Direct",Countries!$D$5:$D$434,$A551,Countries!$AR$5:$AR$434,"&gt;0")=0,"",SUMIFS(Countries!$AR$5:$AR$434,Countries!$A$5:$A$434,"All landing pages",Countries!$B$5:$B$434,"Direct",Countries!$D$5:$D$434,$A551,Countries!$E$5:$E$434,"&gt;0")/SUMIFS(Countries!$E$5:$E$434,Countries!$A$5:$A$434,"All landing pages",Countries!$B$5:$B$434,"Direct",Countries!$D$5:$D$434,$A551,Countries!$AR$5:$AR$434,"&gt;0"))</f>
        <v/>
      </c>
      <c r="K551" s="45">
        <f>IF(SUMIFS(Countries!$F$5:$F$434,Countries!$A$5:$A$434,"All landing pages",Countries!$B$5:$B$434,"Direct",Countries!$D$5:$D$434,$A551,Countries!$AS$5:$AS$434,"&gt;0")=0,"",SUMIFS(Countries!$AS$5:$AS$434,Countries!$A$5:$A$434,"All landing pages",Countries!$B$5:$B$434,"Direct",Countries!$D$5:$D$434,$A551,Countries!$F$5:$F$434,"&gt;0")/SUMIFS(Countries!$F$5:$F$434,Countries!$A$5:$A$434,"All landing pages",Countries!$B$5:$B$434,"Direct",Countries!$D$5:$D$434,$A551,Countries!$AS$5:$AS$434,"&gt;0"))</f>
        <v/>
      </c>
      <c r="L551" s="44">
        <f>IF(OR(J551="",K551=""),"",(K551-J551)*100)</f>
        <v/>
      </c>
      <c r="M551" s="73" t="n"/>
      <c r="N551" s="45">
        <f>IF(SUMIFS(Countries!$E$5:$E$434,Countries!$A$5:$A$434,"All landing pages",Countries!$D$5:$D$434,$A551,Countries!$AR$5:$AR$434,"&gt;0")=0,"",SUMIFS(Countries!$AR$5:$AR$434,Countries!$A$5:$A$434,"All landing pages",Countries!$D$5:$D$434,$A551,Countries!$E$5:$E$434,"&gt;0")/SUMIFS(Countries!$E$5:$E$434,Countries!$A$5:$A$434,"All landing pages",Countries!$D$5:$D$434,$A551,Countries!$AR$5:$AR$434,"&gt;0"))</f>
        <v/>
      </c>
      <c r="O551" s="45">
        <f>IF(SUMIFS(Countries!$F$5:$F$434,Countries!$A$5:$A$434,"All landing pages",Countries!$D$5:$D$434,$A551,Countries!$AS$5:$AS$434,"&gt;0")=0,"",SUMIFS(Countries!$AS$5:$AS$434,Countries!$A$5:$A$434,"All landing pages",Countries!$D$5:$D$434,$A551,Countries!$F$5:$F$434,"&gt;0")/SUMIFS(Countries!$F$5:$F$434,Countries!$A$5:$A$434,"All landing pages",Countries!$D$5:$D$434,$A551,Countries!$AS$5:$AS$434,"&gt;0"))</f>
        <v/>
      </c>
      <c r="P551" s="44">
        <f>IF(OR(N551="",O551=""),"",(O551-N551)*100)</f>
        <v/>
      </c>
      <c r="Q551" s="73" t="n"/>
    </row>
    <row r="552">
      <c r="A552" s="56" t="inlineStr">
        <is>
          <t>Norway</t>
        </is>
      </c>
      <c r="B552" s="45">
        <f>IF(SUMIFS(Countries!$E$5:$E$434,Countries!$A$5:$A$434,"All landing pages",Countries!$B$5:$B$434,"Paid Search",Countries!$D$5:$D$434,$A552,Countries!$AR$5:$AR$434,"&gt;0")=0,"",SUMIFS(Countries!$AR$5:$AR$434,Countries!$A$5:$A$434,"All landing pages",Countries!$B$5:$B$434,"Paid Search",Countries!$D$5:$D$434,$A552,Countries!$E$5:$E$434,"&gt;0")/SUMIFS(Countries!$E$5:$E$434,Countries!$A$5:$A$434,"All landing pages",Countries!$B$5:$B$434,"Paid Search",Countries!$D$5:$D$434,$A552,Countries!$AR$5:$AR$434,"&gt;0"))</f>
        <v/>
      </c>
      <c r="C552" s="45">
        <f>IF(SUMIFS(Countries!$F$5:$F$434,Countries!$A$5:$A$434,"All landing pages",Countries!$B$5:$B$434,"Paid Search",Countries!$D$5:$D$434,$A552,Countries!$AS$5:$AS$434,"&gt;0")=0,"",SUMIFS(Countries!$AS$5:$AS$434,Countries!$A$5:$A$434,"All landing pages",Countries!$B$5:$B$434,"Paid Search",Countries!$D$5:$D$434,$A552,Countries!$F$5:$F$434,"&gt;0")/SUMIFS(Countries!$F$5:$F$434,Countries!$A$5:$A$434,"All landing pages",Countries!$B$5:$B$434,"Paid Search",Countries!$D$5:$D$434,$A552,Countries!$AS$5:$AS$434,"&gt;0"))</f>
        <v/>
      </c>
      <c r="D552" s="44">
        <f>IF(OR(B552="",C552=""),"",(C552-B552)*100)</f>
        <v/>
      </c>
      <c r="E552" s="73" t="n"/>
      <c r="F552" s="45">
        <f>IF(SUMIFS(Countries!$E$5:$E$434,Countries!$A$5:$A$434,"All landing pages",Countries!$B$5:$B$434,"Organic",Countries!$D$5:$D$434,$A552,Countries!$AR$5:$AR$434,"&gt;0")=0,"",SUMIFS(Countries!$AR$5:$AR$434,Countries!$A$5:$A$434,"All landing pages",Countries!$B$5:$B$434,"Organic",Countries!$D$5:$D$434,$A552,Countries!$E$5:$E$434,"&gt;0")/SUMIFS(Countries!$E$5:$E$434,Countries!$A$5:$A$434,"All landing pages",Countries!$B$5:$B$434,"Organic",Countries!$D$5:$D$434,$A552,Countries!$AR$5:$AR$434,"&gt;0"))</f>
        <v/>
      </c>
      <c r="G552" s="45">
        <f>IF(SUMIFS(Countries!$F$5:$F$434,Countries!$A$5:$A$434,"All landing pages",Countries!$B$5:$B$434,"Organic",Countries!$D$5:$D$434,$A552,Countries!$AS$5:$AS$434,"&gt;0")=0,"",SUMIFS(Countries!$AS$5:$AS$434,Countries!$A$5:$A$434,"All landing pages",Countries!$B$5:$B$434,"Organic",Countries!$D$5:$D$434,$A552,Countries!$F$5:$F$434,"&gt;0")/SUMIFS(Countries!$F$5:$F$434,Countries!$A$5:$A$434,"All landing pages",Countries!$B$5:$B$434,"Organic",Countries!$D$5:$D$434,$A552,Countries!$AS$5:$AS$434,"&gt;0"))</f>
        <v/>
      </c>
      <c r="H552" s="44">
        <f>IF(OR(F552="",G552=""),"",(G552-F552)*100)</f>
        <v/>
      </c>
      <c r="I552" s="73" t="n"/>
      <c r="J552" s="45">
        <f>IF(SUMIFS(Countries!$E$5:$E$434,Countries!$A$5:$A$434,"All landing pages",Countries!$B$5:$B$434,"Direct",Countries!$D$5:$D$434,$A552,Countries!$AR$5:$AR$434,"&gt;0")=0,"",SUMIFS(Countries!$AR$5:$AR$434,Countries!$A$5:$A$434,"All landing pages",Countries!$B$5:$B$434,"Direct",Countries!$D$5:$D$434,$A552,Countries!$E$5:$E$434,"&gt;0")/SUMIFS(Countries!$E$5:$E$434,Countries!$A$5:$A$434,"All landing pages",Countries!$B$5:$B$434,"Direct",Countries!$D$5:$D$434,$A552,Countries!$AR$5:$AR$434,"&gt;0"))</f>
        <v/>
      </c>
      <c r="K552" s="45">
        <f>IF(SUMIFS(Countries!$F$5:$F$434,Countries!$A$5:$A$434,"All landing pages",Countries!$B$5:$B$434,"Direct",Countries!$D$5:$D$434,$A552,Countries!$AS$5:$AS$434,"&gt;0")=0,"",SUMIFS(Countries!$AS$5:$AS$434,Countries!$A$5:$A$434,"All landing pages",Countries!$B$5:$B$434,"Direct",Countries!$D$5:$D$434,$A552,Countries!$F$5:$F$434,"&gt;0")/SUMIFS(Countries!$F$5:$F$434,Countries!$A$5:$A$434,"All landing pages",Countries!$B$5:$B$434,"Direct",Countries!$D$5:$D$434,$A552,Countries!$AS$5:$AS$434,"&gt;0"))</f>
        <v/>
      </c>
      <c r="L552" s="44">
        <f>IF(OR(J552="",K552=""),"",(K552-J552)*100)</f>
        <v/>
      </c>
      <c r="M552" s="73" t="n"/>
      <c r="N552" s="45">
        <f>IF(SUMIFS(Countries!$E$5:$E$434,Countries!$A$5:$A$434,"All landing pages",Countries!$D$5:$D$434,$A552,Countries!$AR$5:$AR$434,"&gt;0")=0,"",SUMIFS(Countries!$AR$5:$AR$434,Countries!$A$5:$A$434,"All landing pages",Countries!$D$5:$D$434,$A552,Countries!$E$5:$E$434,"&gt;0")/SUMIFS(Countries!$E$5:$E$434,Countries!$A$5:$A$434,"All landing pages",Countries!$D$5:$D$434,$A552,Countries!$AR$5:$AR$434,"&gt;0"))</f>
        <v/>
      </c>
      <c r="O552" s="45">
        <f>IF(SUMIFS(Countries!$F$5:$F$434,Countries!$A$5:$A$434,"All landing pages",Countries!$D$5:$D$434,$A552,Countries!$AS$5:$AS$434,"&gt;0")=0,"",SUMIFS(Countries!$AS$5:$AS$434,Countries!$A$5:$A$434,"All landing pages",Countries!$D$5:$D$434,$A552,Countries!$F$5:$F$434,"&gt;0")/SUMIFS(Countries!$F$5:$F$434,Countries!$A$5:$A$434,"All landing pages",Countries!$D$5:$D$434,$A552,Countries!$AS$5:$AS$434,"&gt;0"))</f>
        <v/>
      </c>
      <c r="P552" s="44">
        <f>IF(OR(N552="",O552=""),"",(O552-N552)*100)</f>
        <v/>
      </c>
      <c r="Q552" s="73" t="n"/>
    </row>
    <row r="553">
      <c r="A553" s="40" t="inlineStr">
        <is>
          <t>Finland</t>
        </is>
      </c>
      <c r="B553" s="45">
        <f>IF(SUMIFS(Countries!$E$5:$E$434,Countries!$A$5:$A$434,"All landing pages",Countries!$B$5:$B$434,"Paid Search",Countries!$D$5:$D$434,$A553,Countries!$AR$5:$AR$434,"&gt;0")=0,"",SUMIFS(Countries!$AR$5:$AR$434,Countries!$A$5:$A$434,"All landing pages",Countries!$B$5:$B$434,"Paid Search",Countries!$D$5:$D$434,$A553,Countries!$E$5:$E$434,"&gt;0")/SUMIFS(Countries!$E$5:$E$434,Countries!$A$5:$A$434,"All landing pages",Countries!$B$5:$B$434,"Paid Search",Countries!$D$5:$D$434,$A553,Countries!$AR$5:$AR$434,"&gt;0"))</f>
        <v/>
      </c>
      <c r="C553" s="45">
        <f>IF(SUMIFS(Countries!$F$5:$F$434,Countries!$A$5:$A$434,"All landing pages",Countries!$B$5:$B$434,"Paid Search",Countries!$D$5:$D$434,$A553,Countries!$AS$5:$AS$434,"&gt;0")=0,"",SUMIFS(Countries!$AS$5:$AS$434,Countries!$A$5:$A$434,"All landing pages",Countries!$B$5:$B$434,"Paid Search",Countries!$D$5:$D$434,$A553,Countries!$F$5:$F$434,"&gt;0")/SUMIFS(Countries!$F$5:$F$434,Countries!$A$5:$A$434,"All landing pages",Countries!$B$5:$B$434,"Paid Search",Countries!$D$5:$D$434,$A553,Countries!$AS$5:$AS$434,"&gt;0"))</f>
        <v/>
      </c>
      <c r="D553" s="44">
        <f>IF(OR(B553="",C553=""),"",(C553-B553)*100)</f>
        <v/>
      </c>
      <c r="E553" s="73" t="n"/>
      <c r="F553" s="45">
        <f>IF(SUMIFS(Countries!$E$5:$E$434,Countries!$A$5:$A$434,"All landing pages",Countries!$B$5:$B$434,"Organic",Countries!$D$5:$D$434,$A553,Countries!$AR$5:$AR$434,"&gt;0")=0,"",SUMIFS(Countries!$AR$5:$AR$434,Countries!$A$5:$A$434,"All landing pages",Countries!$B$5:$B$434,"Organic",Countries!$D$5:$D$434,$A553,Countries!$E$5:$E$434,"&gt;0")/SUMIFS(Countries!$E$5:$E$434,Countries!$A$5:$A$434,"All landing pages",Countries!$B$5:$B$434,"Organic",Countries!$D$5:$D$434,$A553,Countries!$AR$5:$AR$434,"&gt;0"))</f>
        <v/>
      </c>
      <c r="G553" s="45">
        <f>IF(SUMIFS(Countries!$F$5:$F$434,Countries!$A$5:$A$434,"All landing pages",Countries!$B$5:$B$434,"Organic",Countries!$D$5:$D$434,$A553,Countries!$AS$5:$AS$434,"&gt;0")=0,"",SUMIFS(Countries!$AS$5:$AS$434,Countries!$A$5:$A$434,"All landing pages",Countries!$B$5:$B$434,"Organic",Countries!$D$5:$D$434,$A553,Countries!$F$5:$F$434,"&gt;0")/SUMIFS(Countries!$F$5:$F$434,Countries!$A$5:$A$434,"All landing pages",Countries!$B$5:$B$434,"Organic",Countries!$D$5:$D$434,$A553,Countries!$AS$5:$AS$434,"&gt;0"))</f>
        <v/>
      </c>
      <c r="H553" s="44">
        <f>IF(OR(F553="",G553=""),"",(G553-F553)*100)</f>
        <v/>
      </c>
      <c r="I553" s="73" t="n"/>
      <c r="J553" s="45">
        <f>IF(SUMIFS(Countries!$E$5:$E$434,Countries!$A$5:$A$434,"All landing pages",Countries!$B$5:$B$434,"Direct",Countries!$D$5:$D$434,$A553,Countries!$AR$5:$AR$434,"&gt;0")=0,"",SUMIFS(Countries!$AR$5:$AR$434,Countries!$A$5:$A$434,"All landing pages",Countries!$B$5:$B$434,"Direct",Countries!$D$5:$D$434,$A553,Countries!$E$5:$E$434,"&gt;0")/SUMIFS(Countries!$E$5:$E$434,Countries!$A$5:$A$434,"All landing pages",Countries!$B$5:$B$434,"Direct",Countries!$D$5:$D$434,$A553,Countries!$AR$5:$AR$434,"&gt;0"))</f>
        <v/>
      </c>
      <c r="K553" s="45">
        <f>IF(SUMIFS(Countries!$F$5:$F$434,Countries!$A$5:$A$434,"All landing pages",Countries!$B$5:$B$434,"Direct",Countries!$D$5:$D$434,$A553,Countries!$AS$5:$AS$434,"&gt;0")=0,"",SUMIFS(Countries!$AS$5:$AS$434,Countries!$A$5:$A$434,"All landing pages",Countries!$B$5:$B$434,"Direct",Countries!$D$5:$D$434,$A553,Countries!$F$5:$F$434,"&gt;0")/SUMIFS(Countries!$F$5:$F$434,Countries!$A$5:$A$434,"All landing pages",Countries!$B$5:$B$434,"Direct",Countries!$D$5:$D$434,$A553,Countries!$AS$5:$AS$434,"&gt;0"))</f>
        <v/>
      </c>
      <c r="L553" s="44">
        <f>IF(OR(J553="",K553=""),"",(K553-J553)*100)</f>
        <v/>
      </c>
      <c r="M553" s="73" t="n"/>
      <c r="N553" s="45">
        <f>IF(SUMIFS(Countries!$E$5:$E$434,Countries!$A$5:$A$434,"All landing pages",Countries!$D$5:$D$434,$A553,Countries!$AR$5:$AR$434,"&gt;0")=0,"",SUMIFS(Countries!$AR$5:$AR$434,Countries!$A$5:$A$434,"All landing pages",Countries!$D$5:$D$434,$A553,Countries!$E$5:$E$434,"&gt;0")/SUMIFS(Countries!$E$5:$E$434,Countries!$A$5:$A$434,"All landing pages",Countries!$D$5:$D$434,$A553,Countries!$AR$5:$AR$434,"&gt;0"))</f>
        <v/>
      </c>
      <c r="O553" s="45">
        <f>IF(SUMIFS(Countries!$F$5:$F$434,Countries!$A$5:$A$434,"All landing pages",Countries!$D$5:$D$434,$A553,Countries!$AS$5:$AS$434,"&gt;0")=0,"",SUMIFS(Countries!$AS$5:$AS$434,Countries!$A$5:$A$434,"All landing pages",Countries!$D$5:$D$434,$A553,Countries!$F$5:$F$434,"&gt;0")/SUMIFS(Countries!$F$5:$F$434,Countries!$A$5:$A$434,"All landing pages",Countries!$D$5:$D$434,$A553,Countries!$AS$5:$AS$434,"&gt;0"))</f>
        <v/>
      </c>
      <c r="P553" s="44">
        <f>IF(OR(N553="",O553=""),"",(O553-N553)*100)</f>
        <v/>
      </c>
      <c r="Q553" s="73" t="n"/>
    </row>
    <row r="554">
      <c r="A554" s="56" t="inlineStr">
        <is>
          <t>Portugal</t>
        </is>
      </c>
      <c r="B554" s="45">
        <f>IF(SUMIFS(Countries!$E$5:$E$434,Countries!$A$5:$A$434,"All landing pages",Countries!$B$5:$B$434,"Paid Search",Countries!$D$5:$D$434,$A554,Countries!$AR$5:$AR$434,"&gt;0")=0,"",SUMIFS(Countries!$AR$5:$AR$434,Countries!$A$5:$A$434,"All landing pages",Countries!$B$5:$B$434,"Paid Search",Countries!$D$5:$D$434,$A554,Countries!$E$5:$E$434,"&gt;0")/SUMIFS(Countries!$E$5:$E$434,Countries!$A$5:$A$434,"All landing pages",Countries!$B$5:$B$434,"Paid Search",Countries!$D$5:$D$434,$A554,Countries!$AR$5:$AR$434,"&gt;0"))</f>
        <v/>
      </c>
      <c r="C554" s="45">
        <f>IF(SUMIFS(Countries!$F$5:$F$434,Countries!$A$5:$A$434,"All landing pages",Countries!$B$5:$B$434,"Paid Search",Countries!$D$5:$D$434,$A554,Countries!$AS$5:$AS$434,"&gt;0")=0,"",SUMIFS(Countries!$AS$5:$AS$434,Countries!$A$5:$A$434,"All landing pages",Countries!$B$5:$B$434,"Paid Search",Countries!$D$5:$D$434,$A554,Countries!$F$5:$F$434,"&gt;0")/SUMIFS(Countries!$F$5:$F$434,Countries!$A$5:$A$434,"All landing pages",Countries!$B$5:$B$434,"Paid Search",Countries!$D$5:$D$434,$A554,Countries!$AS$5:$AS$434,"&gt;0"))</f>
        <v/>
      </c>
      <c r="D554" s="44">
        <f>IF(OR(B554="",C554=""),"",(C554-B554)*100)</f>
        <v/>
      </c>
      <c r="E554" s="73" t="n"/>
      <c r="F554" s="45">
        <f>IF(SUMIFS(Countries!$E$5:$E$434,Countries!$A$5:$A$434,"All landing pages",Countries!$B$5:$B$434,"Organic",Countries!$D$5:$D$434,$A554,Countries!$AR$5:$AR$434,"&gt;0")=0,"",SUMIFS(Countries!$AR$5:$AR$434,Countries!$A$5:$A$434,"All landing pages",Countries!$B$5:$B$434,"Organic",Countries!$D$5:$D$434,$A554,Countries!$E$5:$E$434,"&gt;0")/SUMIFS(Countries!$E$5:$E$434,Countries!$A$5:$A$434,"All landing pages",Countries!$B$5:$B$434,"Organic",Countries!$D$5:$D$434,$A554,Countries!$AR$5:$AR$434,"&gt;0"))</f>
        <v/>
      </c>
      <c r="G554" s="45">
        <f>IF(SUMIFS(Countries!$F$5:$F$434,Countries!$A$5:$A$434,"All landing pages",Countries!$B$5:$B$434,"Organic",Countries!$D$5:$D$434,$A554,Countries!$AS$5:$AS$434,"&gt;0")=0,"",SUMIFS(Countries!$AS$5:$AS$434,Countries!$A$5:$A$434,"All landing pages",Countries!$B$5:$B$434,"Organic",Countries!$D$5:$D$434,$A554,Countries!$F$5:$F$434,"&gt;0")/SUMIFS(Countries!$F$5:$F$434,Countries!$A$5:$A$434,"All landing pages",Countries!$B$5:$B$434,"Organic",Countries!$D$5:$D$434,$A554,Countries!$AS$5:$AS$434,"&gt;0"))</f>
        <v/>
      </c>
      <c r="H554" s="44">
        <f>IF(OR(F554="",G554=""),"",(G554-F554)*100)</f>
        <v/>
      </c>
      <c r="I554" s="73" t="n"/>
      <c r="J554" s="45">
        <f>IF(SUMIFS(Countries!$E$5:$E$434,Countries!$A$5:$A$434,"All landing pages",Countries!$B$5:$B$434,"Direct",Countries!$D$5:$D$434,$A554,Countries!$AR$5:$AR$434,"&gt;0")=0,"",SUMIFS(Countries!$AR$5:$AR$434,Countries!$A$5:$A$434,"All landing pages",Countries!$B$5:$B$434,"Direct",Countries!$D$5:$D$434,$A554,Countries!$E$5:$E$434,"&gt;0")/SUMIFS(Countries!$E$5:$E$434,Countries!$A$5:$A$434,"All landing pages",Countries!$B$5:$B$434,"Direct",Countries!$D$5:$D$434,$A554,Countries!$AR$5:$AR$434,"&gt;0"))</f>
        <v/>
      </c>
      <c r="K554" s="45">
        <f>IF(SUMIFS(Countries!$F$5:$F$434,Countries!$A$5:$A$434,"All landing pages",Countries!$B$5:$B$434,"Direct",Countries!$D$5:$D$434,$A554,Countries!$AS$5:$AS$434,"&gt;0")=0,"",SUMIFS(Countries!$AS$5:$AS$434,Countries!$A$5:$A$434,"All landing pages",Countries!$B$5:$B$434,"Direct",Countries!$D$5:$D$434,$A554,Countries!$F$5:$F$434,"&gt;0")/SUMIFS(Countries!$F$5:$F$434,Countries!$A$5:$A$434,"All landing pages",Countries!$B$5:$B$434,"Direct",Countries!$D$5:$D$434,$A554,Countries!$AS$5:$AS$434,"&gt;0"))</f>
        <v/>
      </c>
      <c r="L554" s="44">
        <f>IF(OR(J554="",K554=""),"",(K554-J554)*100)</f>
        <v/>
      </c>
      <c r="M554" s="73" t="n"/>
      <c r="N554" s="45">
        <f>IF(SUMIFS(Countries!$E$5:$E$434,Countries!$A$5:$A$434,"All landing pages",Countries!$D$5:$D$434,$A554,Countries!$AR$5:$AR$434,"&gt;0")=0,"",SUMIFS(Countries!$AR$5:$AR$434,Countries!$A$5:$A$434,"All landing pages",Countries!$D$5:$D$434,$A554,Countries!$E$5:$E$434,"&gt;0")/SUMIFS(Countries!$E$5:$E$434,Countries!$A$5:$A$434,"All landing pages",Countries!$D$5:$D$434,$A554,Countries!$AR$5:$AR$434,"&gt;0"))</f>
        <v/>
      </c>
      <c r="O554" s="45">
        <f>IF(SUMIFS(Countries!$F$5:$F$434,Countries!$A$5:$A$434,"All landing pages",Countries!$D$5:$D$434,$A554,Countries!$AS$5:$AS$434,"&gt;0")=0,"",SUMIFS(Countries!$AS$5:$AS$434,Countries!$A$5:$A$434,"All landing pages",Countries!$D$5:$D$434,$A554,Countries!$F$5:$F$434,"&gt;0")/SUMIFS(Countries!$F$5:$F$434,Countries!$A$5:$A$434,"All landing pages",Countries!$D$5:$D$434,$A554,Countries!$AS$5:$AS$434,"&gt;0"))</f>
        <v/>
      </c>
      <c r="P554" s="44">
        <f>IF(OR(N554="",O554=""),"",(O554-N554)*100)</f>
        <v/>
      </c>
      <c r="Q554" s="73" t="n"/>
    </row>
    <row r="555">
      <c r="A555" s="40" t="inlineStr">
        <is>
          <t>Türkiye</t>
        </is>
      </c>
      <c r="B555" s="45">
        <f>IF(SUMIFS(Countries!$E$5:$E$434,Countries!$A$5:$A$434,"All landing pages",Countries!$B$5:$B$434,"Paid Search",Countries!$D$5:$D$434,$A555,Countries!$AR$5:$AR$434,"&gt;0")=0,"",SUMIFS(Countries!$AR$5:$AR$434,Countries!$A$5:$A$434,"All landing pages",Countries!$B$5:$B$434,"Paid Search",Countries!$D$5:$D$434,$A555,Countries!$E$5:$E$434,"&gt;0")/SUMIFS(Countries!$E$5:$E$434,Countries!$A$5:$A$434,"All landing pages",Countries!$B$5:$B$434,"Paid Search",Countries!$D$5:$D$434,$A555,Countries!$AR$5:$AR$434,"&gt;0"))</f>
        <v/>
      </c>
      <c r="C555" s="45">
        <f>IF(SUMIFS(Countries!$F$5:$F$434,Countries!$A$5:$A$434,"All landing pages",Countries!$B$5:$B$434,"Paid Search",Countries!$D$5:$D$434,$A555,Countries!$AS$5:$AS$434,"&gt;0")=0,"",SUMIFS(Countries!$AS$5:$AS$434,Countries!$A$5:$A$434,"All landing pages",Countries!$B$5:$B$434,"Paid Search",Countries!$D$5:$D$434,$A555,Countries!$F$5:$F$434,"&gt;0")/SUMIFS(Countries!$F$5:$F$434,Countries!$A$5:$A$434,"All landing pages",Countries!$B$5:$B$434,"Paid Search",Countries!$D$5:$D$434,$A555,Countries!$AS$5:$AS$434,"&gt;0"))</f>
        <v/>
      </c>
      <c r="D555" s="44">
        <f>IF(OR(B555="",C555=""),"",(C555-B555)*100)</f>
        <v/>
      </c>
      <c r="E555" s="73" t="n"/>
      <c r="F555" s="45">
        <f>IF(SUMIFS(Countries!$E$5:$E$434,Countries!$A$5:$A$434,"All landing pages",Countries!$B$5:$B$434,"Organic",Countries!$D$5:$D$434,$A555,Countries!$AR$5:$AR$434,"&gt;0")=0,"",SUMIFS(Countries!$AR$5:$AR$434,Countries!$A$5:$A$434,"All landing pages",Countries!$B$5:$B$434,"Organic",Countries!$D$5:$D$434,$A555,Countries!$E$5:$E$434,"&gt;0")/SUMIFS(Countries!$E$5:$E$434,Countries!$A$5:$A$434,"All landing pages",Countries!$B$5:$B$434,"Organic",Countries!$D$5:$D$434,$A555,Countries!$AR$5:$AR$434,"&gt;0"))</f>
        <v/>
      </c>
      <c r="G555" s="45">
        <f>IF(SUMIFS(Countries!$F$5:$F$434,Countries!$A$5:$A$434,"All landing pages",Countries!$B$5:$B$434,"Organic",Countries!$D$5:$D$434,$A555,Countries!$AS$5:$AS$434,"&gt;0")=0,"",SUMIFS(Countries!$AS$5:$AS$434,Countries!$A$5:$A$434,"All landing pages",Countries!$B$5:$B$434,"Organic",Countries!$D$5:$D$434,$A555,Countries!$F$5:$F$434,"&gt;0")/SUMIFS(Countries!$F$5:$F$434,Countries!$A$5:$A$434,"All landing pages",Countries!$B$5:$B$434,"Organic",Countries!$D$5:$D$434,$A555,Countries!$AS$5:$AS$434,"&gt;0"))</f>
        <v/>
      </c>
      <c r="H555" s="44">
        <f>IF(OR(F555="",G555=""),"",(G555-F555)*100)</f>
        <v/>
      </c>
      <c r="I555" s="73" t="n"/>
      <c r="J555" s="45">
        <f>IF(SUMIFS(Countries!$E$5:$E$434,Countries!$A$5:$A$434,"All landing pages",Countries!$B$5:$B$434,"Direct",Countries!$D$5:$D$434,$A555,Countries!$AR$5:$AR$434,"&gt;0")=0,"",SUMIFS(Countries!$AR$5:$AR$434,Countries!$A$5:$A$434,"All landing pages",Countries!$B$5:$B$434,"Direct",Countries!$D$5:$D$434,$A555,Countries!$E$5:$E$434,"&gt;0")/SUMIFS(Countries!$E$5:$E$434,Countries!$A$5:$A$434,"All landing pages",Countries!$B$5:$B$434,"Direct",Countries!$D$5:$D$434,$A555,Countries!$AR$5:$AR$434,"&gt;0"))</f>
        <v/>
      </c>
      <c r="K555" s="45">
        <f>IF(SUMIFS(Countries!$F$5:$F$434,Countries!$A$5:$A$434,"All landing pages",Countries!$B$5:$B$434,"Direct",Countries!$D$5:$D$434,$A555,Countries!$AS$5:$AS$434,"&gt;0")=0,"",SUMIFS(Countries!$AS$5:$AS$434,Countries!$A$5:$A$434,"All landing pages",Countries!$B$5:$B$434,"Direct",Countries!$D$5:$D$434,$A555,Countries!$F$5:$F$434,"&gt;0")/SUMIFS(Countries!$F$5:$F$434,Countries!$A$5:$A$434,"All landing pages",Countries!$B$5:$B$434,"Direct",Countries!$D$5:$D$434,$A555,Countries!$AS$5:$AS$434,"&gt;0"))</f>
        <v/>
      </c>
      <c r="L555" s="44">
        <f>IF(OR(J555="",K555=""),"",(K555-J555)*100)</f>
        <v/>
      </c>
      <c r="M555" s="73" t="n"/>
      <c r="N555" s="45">
        <f>IF(SUMIFS(Countries!$E$5:$E$434,Countries!$A$5:$A$434,"All landing pages",Countries!$D$5:$D$434,$A555,Countries!$AR$5:$AR$434,"&gt;0")=0,"",SUMIFS(Countries!$AR$5:$AR$434,Countries!$A$5:$A$434,"All landing pages",Countries!$D$5:$D$434,$A555,Countries!$E$5:$E$434,"&gt;0")/SUMIFS(Countries!$E$5:$E$434,Countries!$A$5:$A$434,"All landing pages",Countries!$D$5:$D$434,$A555,Countries!$AR$5:$AR$434,"&gt;0"))</f>
        <v/>
      </c>
      <c r="O555" s="45">
        <f>IF(SUMIFS(Countries!$F$5:$F$434,Countries!$A$5:$A$434,"All landing pages",Countries!$D$5:$D$434,$A555,Countries!$AS$5:$AS$434,"&gt;0")=0,"",SUMIFS(Countries!$AS$5:$AS$434,Countries!$A$5:$A$434,"All landing pages",Countries!$D$5:$D$434,$A555,Countries!$F$5:$F$434,"&gt;0")/SUMIFS(Countries!$F$5:$F$434,Countries!$A$5:$A$434,"All landing pages",Countries!$D$5:$D$434,$A555,Countries!$AS$5:$AS$434,"&gt;0"))</f>
        <v/>
      </c>
      <c r="P555" s="44">
        <f>IF(OR(N555="",O555=""),"",(O555-N555)*100)</f>
        <v/>
      </c>
      <c r="Q555" s="73" t="n"/>
    </row>
    <row r="556">
      <c r="A556" s="56" t="inlineStr">
        <is>
          <t>Australia</t>
        </is>
      </c>
      <c r="B556" s="45">
        <f>IF(SUMIFS(Countries!$E$5:$E$434,Countries!$A$5:$A$434,"All landing pages",Countries!$B$5:$B$434,"Paid Search",Countries!$D$5:$D$434,$A556,Countries!$AR$5:$AR$434,"&gt;0")=0,"",SUMIFS(Countries!$AR$5:$AR$434,Countries!$A$5:$A$434,"All landing pages",Countries!$B$5:$B$434,"Paid Search",Countries!$D$5:$D$434,$A556,Countries!$E$5:$E$434,"&gt;0")/SUMIFS(Countries!$E$5:$E$434,Countries!$A$5:$A$434,"All landing pages",Countries!$B$5:$B$434,"Paid Search",Countries!$D$5:$D$434,$A556,Countries!$AR$5:$AR$434,"&gt;0"))</f>
        <v/>
      </c>
      <c r="C556" s="45">
        <f>IF(SUMIFS(Countries!$F$5:$F$434,Countries!$A$5:$A$434,"All landing pages",Countries!$B$5:$B$434,"Paid Search",Countries!$D$5:$D$434,$A556,Countries!$AS$5:$AS$434,"&gt;0")=0,"",SUMIFS(Countries!$AS$5:$AS$434,Countries!$A$5:$A$434,"All landing pages",Countries!$B$5:$B$434,"Paid Search",Countries!$D$5:$D$434,$A556,Countries!$F$5:$F$434,"&gt;0")/SUMIFS(Countries!$F$5:$F$434,Countries!$A$5:$A$434,"All landing pages",Countries!$B$5:$B$434,"Paid Search",Countries!$D$5:$D$434,$A556,Countries!$AS$5:$AS$434,"&gt;0"))</f>
        <v/>
      </c>
      <c r="D556" s="44">
        <f>IF(OR(B556="",C556=""),"",(C556-B556)*100)</f>
        <v/>
      </c>
      <c r="E556" s="73" t="n"/>
      <c r="F556" s="45">
        <f>IF(SUMIFS(Countries!$E$5:$E$434,Countries!$A$5:$A$434,"All landing pages",Countries!$B$5:$B$434,"Organic",Countries!$D$5:$D$434,$A556,Countries!$AR$5:$AR$434,"&gt;0")=0,"",SUMIFS(Countries!$AR$5:$AR$434,Countries!$A$5:$A$434,"All landing pages",Countries!$B$5:$B$434,"Organic",Countries!$D$5:$D$434,$A556,Countries!$E$5:$E$434,"&gt;0")/SUMIFS(Countries!$E$5:$E$434,Countries!$A$5:$A$434,"All landing pages",Countries!$B$5:$B$434,"Organic",Countries!$D$5:$D$434,$A556,Countries!$AR$5:$AR$434,"&gt;0"))</f>
        <v/>
      </c>
      <c r="G556" s="45">
        <f>IF(SUMIFS(Countries!$F$5:$F$434,Countries!$A$5:$A$434,"All landing pages",Countries!$B$5:$B$434,"Organic",Countries!$D$5:$D$434,$A556,Countries!$AS$5:$AS$434,"&gt;0")=0,"",SUMIFS(Countries!$AS$5:$AS$434,Countries!$A$5:$A$434,"All landing pages",Countries!$B$5:$B$434,"Organic",Countries!$D$5:$D$434,$A556,Countries!$F$5:$F$434,"&gt;0")/SUMIFS(Countries!$F$5:$F$434,Countries!$A$5:$A$434,"All landing pages",Countries!$B$5:$B$434,"Organic",Countries!$D$5:$D$434,$A556,Countries!$AS$5:$AS$434,"&gt;0"))</f>
        <v/>
      </c>
      <c r="H556" s="44">
        <f>IF(OR(F556="",G556=""),"",(G556-F556)*100)</f>
        <v/>
      </c>
      <c r="I556" s="73" t="n"/>
      <c r="J556" s="45">
        <f>IF(SUMIFS(Countries!$E$5:$E$434,Countries!$A$5:$A$434,"All landing pages",Countries!$B$5:$B$434,"Direct",Countries!$D$5:$D$434,$A556,Countries!$AR$5:$AR$434,"&gt;0")=0,"",SUMIFS(Countries!$AR$5:$AR$434,Countries!$A$5:$A$434,"All landing pages",Countries!$B$5:$B$434,"Direct",Countries!$D$5:$D$434,$A556,Countries!$E$5:$E$434,"&gt;0")/SUMIFS(Countries!$E$5:$E$434,Countries!$A$5:$A$434,"All landing pages",Countries!$B$5:$B$434,"Direct",Countries!$D$5:$D$434,$A556,Countries!$AR$5:$AR$434,"&gt;0"))</f>
        <v/>
      </c>
      <c r="K556" s="45">
        <f>IF(SUMIFS(Countries!$F$5:$F$434,Countries!$A$5:$A$434,"All landing pages",Countries!$B$5:$B$434,"Direct",Countries!$D$5:$D$434,$A556,Countries!$AS$5:$AS$434,"&gt;0")=0,"",SUMIFS(Countries!$AS$5:$AS$434,Countries!$A$5:$A$434,"All landing pages",Countries!$B$5:$B$434,"Direct",Countries!$D$5:$D$434,$A556,Countries!$F$5:$F$434,"&gt;0")/SUMIFS(Countries!$F$5:$F$434,Countries!$A$5:$A$434,"All landing pages",Countries!$B$5:$B$434,"Direct",Countries!$D$5:$D$434,$A556,Countries!$AS$5:$AS$434,"&gt;0"))</f>
        <v/>
      </c>
      <c r="L556" s="44">
        <f>IF(OR(J556="",K556=""),"",(K556-J556)*100)</f>
        <v/>
      </c>
      <c r="M556" s="73" t="n"/>
      <c r="N556" s="45">
        <f>IF(SUMIFS(Countries!$E$5:$E$434,Countries!$A$5:$A$434,"All landing pages",Countries!$D$5:$D$434,$A556,Countries!$AR$5:$AR$434,"&gt;0")=0,"",SUMIFS(Countries!$AR$5:$AR$434,Countries!$A$5:$A$434,"All landing pages",Countries!$D$5:$D$434,$A556,Countries!$E$5:$E$434,"&gt;0")/SUMIFS(Countries!$E$5:$E$434,Countries!$A$5:$A$434,"All landing pages",Countries!$D$5:$D$434,$A556,Countries!$AR$5:$AR$434,"&gt;0"))</f>
        <v/>
      </c>
      <c r="O556" s="45">
        <f>IF(SUMIFS(Countries!$F$5:$F$434,Countries!$A$5:$A$434,"All landing pages",Countries!$D$5:$D$434,$A556,Countries!$AS$5:$AS$434,"&gt;0")=0,"",SUMIFS(Countries!$AS$5:$AS$434,Countries!$A$5:$A$434,"All landing pages",Countries!$D$5:$D$434,$A556,Countries!$F$5:$F$434,"&gt;0")/SUMIFS(Countries!$F$5:$F$434,Countries!$A$5:$A$434,"All landing pages",Countries!$D$5:$D$434,$A556,Countries!$AS$5:$AS$434,"&gt;0"))</f>
        <v/>
      </c>
      <c r="P556" s="44">
        <f>IF(OR(N556="",O556=""),"",(O556-N556)*100)</f>
        <v/>
      </c>
      <c r="Q556" s="73" t="n"/>
    </row>
    <row r="557">
      <c r="A557" s="40" t="inlineStr">
        <is>
          <t>Romania</t>
        </is>
      </c>
      <c r="B557" s="45">
        <f>IF(SUMIFS(Countries!$E$5:$E$434,Countries!$A$5:$A$434,"All landing pages",Countries!$B$5:$B$434,"Paid Search",Countries!$D$5:$D$434,$A557,Countries!$AR$5:$AR$434,"&gt;0")=0,"",SUMIFS(Countries!$AR$5:$AR$434,Countries!$A$5:$A$434,"All landing pages",Countries!$B$5:$B$434,"Paid Search",Countries!$D$5:$D$434,$A557,Countries!$E$5:$E$434,"&gt;0")/SUMIFS(Countries!$E$5:$E$434,Countries!$A$5:$A$434,"All landing pages",Countries!$B$5:$B$434,"Paid Search",Countries!$D$5:$D$434,$A557,Countries!$AR$5:$AR$434,"&gt;0"))</f>
        <v/>
      </c>
      <c r="C557" s="45">
        <f>IF(SUMIFS(Countries!$F$5:$F$434,Countries!$A$5:$A$434,"All landing pages",Countries!$B$5:$B$434,"Paid Search",Countries!$D$5:$D$434,$A557,Countries!$AS$5:$AS$434,"&gt;0")=0,"",SUMIFS(Countries!$AS$5:$AS$434,Countries!$A$5:$A$434,"All landing pages",Countries!$B$5:$B$434,"Paid Search",Countries!$D$5:$D$434,$A557,Countries!$F$5:$F$434,"&gt;0")/SUMIFS(Countries!$F$5:$F$434,Countries!$A$5:$A$434,"All landing pages",Countries!$B$5:$B$434,"Paid Search",Countries!$D$5:$D$434,$A557,Countries!$AS$5:$AS$434,"&gt;0"))</f>
        <v/>
      </c>
      <c r="D557" s="44">
        <f>IF(OR(B557="",C557=""),"",(C557-B557)*100)</f>
        <v/>
      </c>
      <c r="E557" s="73" t="n"/>
      <c r="F557" s="45">
        <f>IF(SUMIFS(Countries!$E$5:$E$434,Countries!$A$5:$A$434,"All landing pages",Countries!$B$5:$B$434,"Organic",Countries!$D$5:$D$434,$A557,Countries!$AR$5:$AR$434,"&gt;0")=0,"",SUMIFS(Countries!$AR$5:$AR$434,Countries!$A$5:$A$434,"All landing pages",Countries!$B$5:$B$434,"Organic",Countries!$D$5:$D$434,$A557,Countries!$E$5:$E$434,"&gt;0")/SUMIFS(Countries!$E$5:$E$434,Countries!$A$5:$A$434,"All landing pages",Countries!$B$5:$B$434,"Organic",Countries!$D$5:$D$434,$A557,Countries!$AR$5:$AR$434,"&gt;0"))</f>
        <v/>
      </c>
      <c r="G557" s="45">
        <f>IF(SUMIFS(Countries!$F$5:$F$434,Countries!$A$5:$A$434,"All landing pages",Countries!$B$5:$B$434,"Organic",Countries!$D$5:$D$434,$A557,Countries!$AS$5:$AS$434,"&gt;0")=0,"",SUMIFS(Countries!$AS$5:$AS$434,Countries!$A$5:$A$434,"All landing pages",Countries!$B$5:$B$434,"Organic",Countries!$D$5:$D$434,$A557,Countries!$F$5:$F$434,"&gt;0")/SUMIFS(Countries!$F$5:$F$434,Countries!$A$5:$A$434,"All landing pages",Countries!$B$5:$B$434,"Organic",Countries!$D$5:$D$434,$A557,Countries!$AS$5:$AS$434,"&gt;0"))</f>
        <v/>
      </c>
      <c r="H557" s="44">
        <f>IF(OR(F557="",G557=""),"",(G557-F557)*100)</f>
        <v/>
      </c>
      <c r="I557" s="73" t="n"/>
      <c r="J557" s="45">
        <f>IF(SUMIFS(Countries!$E$5:$E$434,Countries!$A$5:$A$434,"All landing pages",Countries!$B$5:$B$434,"Direct",Countries!$D$5:$D$434,$A557,Countries!$AR$5:$AR$434,"&gt;0")=0,"",SUMIFS(Countries!$AR$5:$AR$434,Countries!$A$5:$A$434,"All landing pages",Countries!$B$5:$B$434,"Direct",Countries!$D$5:$D$434,$A557,Countries!$E$5:$E$434,"&gt;0")/SUMIFS(Countries!$E$5:$E$434,Countries!$A$5:$A$434,"All landing pages",Countries!$B$5:$B$434,"Direct",Countries!$D$5:$D$434,$A557,Countries!$AR$5:$AR$434,"&gt;0"))</f>
        <v/>
      </c>
      <c r="K557" s="45">
        <f>IF(SUMIFS(Countries!$F$5:$F$434,Countries!$A$5:$A$434,"All landing pages",Countries!$B$5:$B$434,"Direct",Countries!$D$5:$D$434,$A557,Countries!$AS$5:$AS$434,"&gt;0")=0,"",SUMIFS(Countries!$AS$5:$AS$434,Countries!$A$5:$A$434,"All landing pages",Countries!$B$5:$B$434,"Direct",Countries!$D$5:$D$434,$A557,Countries!$F$5:$F$434,"&gt;0")/SUMIFS(Countries!$F$5:$F$434,Countries!$A$5:$A$434,"All landing pages",Countries!$B$5:$B$434,"Direct",Countries!$D$5:$D$434,$A557,Countries!$AS$5:$AS$434,"&gt;0"))</f>
        <v/>
      </c>
      <c r="L557" s="44">
        <f>IF(OR(J557="",K557=""),"",(K557-J557)*100)</f>
        <v/>
      </c>
      <c r="M557" s="73" t="n"/>
      <c r="N557" s="45">
        <f>IF(SUMIFS(Countries!$E$5:$E$434,Countries!$A$5:$A$434,"All landing pages",Countries!$D$5:$D$434,$A557,Countries!$AR$5:$AR$434,"&gt;0")=0,"",SUMIFS(Countries!$AR$5:$AR$434,Countries!$A$5:$A$434,"All landing pages",Countries!$D$5:$D$434,$A557,Countries!$E$5:$E$434,"&gt;0")/SUMIFS(Countries!$E$5:$E$434,Countries!$A$5:$A$434,"All landing pages",Countries!$D$5:$D$434,$A557,Countries!$AR$5:$AR$434,"&gt;0"))</f>
        <v/>
      </c>
      <c r="O557" s="45">
        <f>IF(SUMIFS(Countries!$F$5:$F$434,Countries!$A$5:$A$434,"All landing pages",Countries!$D$5:$D$434,$A557,Countries!$AS$5:$AS$434,"&gt;0")=0,"",SUMIFS(Countries!$AS$5:$AS$434,Countries!$A$5:$A$434,"All landing pages",Countries!$D$5:$D$434,$A557,Countries!$F$5:$F$434,"&gt;0")/SUMIFS(Countries!$F$5:$F$434,Countries!$A$5:$A$434,"All landing pages",Countries!$D$5:$D$434,$A557,Countries!$AS$5:$AS$434,"&gt;0"))</f>
        <v/>
      </c>
      <c r="P557" s="44">
        <f>IF(OR(N557="",O557=""),"",(O557-N557)*100)</f>
        <v/>
      </c>
      <c r="Q557" s="73" t="n"/>
    </row>
    <row r="558">
      <c r="A558" s="56" t="inlineStr">
        <is>
          <t>Canada</t>
        </is>
      </c>
      <c r="B558" s="45">
        <f>IF(SUMIFS(Countries!$E$5:$E$434,Countries!$A$5:$A$434,"All landing pages",Countries!$B$5:$B$434,"Paid Search",Countries!$D$5:$D$434,$A558,Countries!$AR$5:$AR$434,"&gt;0")=0,"",SUMIFS(Countries!$AR$5:$AR$434,Countries!$A$5:$A$434,"All landing pages",Countries!$B$5:$B$434,"Paid Search",Countries!$D$5:$D$434,$A558,Countries!$E$5:$E$434,"&gt;0")/SUMIFS(Countries!$E$5:$E$434,Countries!$A$5:$A$434,"All landing pages",Countries!$B$5:$B$434,"Paid Search",Countries!$D$5:$D$434,$A558,Countries!$AR$5:$AR$434,"&gt;0"))</f>
        <v/>
      </c>
      <c r="C558" s="45">
        <f>IF(SUMIFS(Countries!$F$5:$F$434,Countries!$A$5:$A$434,"All landing pages",Countries!$B$5:$B$434,"Paid Search",Countries!$D$5:$D$434,$A558,Countries!$AS$5:$AS$434,"&gt;0")=0,"",SUMIFS(Countries!$AS$5:$AS$434,Countries!$A$5:$A$434,"All landing pages",Countries!$B$5:$B$434,"Paid Search",Countries!$D$5:$D$434,$A558,Countries!$F$5:$F$434,"&gt;0")/SUMIFS(Countries!$F$5:$F$434,Countries!$A$5:$A$434,"All landing pages",Countries!$B$5:$B$434,"Paid Search",Countries!$D$5:$D$434,$A558,Countries!$AS$5:$AS$434,"&gt;0"))</f>
        <v/>
      </c>
      <c r="D558" s="44">
        <f>IF(OR(B558="",C558=""),"",(C558-B558)*100)</f>
        <v/>
      </c>
      <c r="E558" s="73" t="n"/>
      <c r="F558" s="45">
        <f>IF(SUMIFS(Countries!$E$5:$E$434,Countries!$A$5:$A$434,"All landing pages",Countries!$B$5:$B$434,"Organic",Countries!$D$5:$D$434,$A558,Countries!$AR$5:$AR$434,"&gt;0")=0,"",SUMIFS(Countries!$AR$5:$AR$434,Countries!$A$5:$A$434,"All landing pages",Countries!$B$5:$B$434,"Organic",Countries!$D$5:$D$434,$A558,Countries!$E$5:$E$434,"&gt;0")/SUMIFS(Countries!$E$5:$E$434,Countries!$A$5:$A$434,"All landing pages",Countries!$B$5:$B$434,"Organic",Countries!$D$5:$D$434,$A558,Countries!$AR$5:$AR$434,"&gt;0"))</f>
        <v/>
      </c>
      <c r="G558" s="45">
        <f>IF(SUMIFS(Countries!$F$5:$F$434,Countries!$A$5:$A$434,"All landing pages",Countries!$B$5:$B$434,"Organic",Countries!$D$5:$D$434,$A558,Countries!$AS$5:$AS$434,"&gt;0")=0,"",SUMIFS(Countries!$AS$5:$AS$434,Countries!$A$5:$A$434,"All landing pages",Countries!$B$5:$B$434,"Organic",Countries!$D$5:$D$434,$A558,Countries!$F$5:$F$434,"&gt;0")/SUMIFS(Countries!$F$5:$F$434,Countries!$A$5:$A$434,"All landing pages",Countries!$B$5:$B$434,"Organic",Countries!$D$5:$D$434,$A558,Countries!$AS$5:$AS$434,"&gt;0"))</f>
        <v/>
      </c>
      <c r="H558" s="44">
        <f>IF(OR(F558="",G558=""),"",(G558-F558)*100)</f>
        <v/>
      </c>
      <c r="I558" s="73" t="n"/>
      <c r="J558" s="45">
        <f>IF(SUMIFS(Countries!$E$5:$E$434,Countries!$A$5:$A$434,"All landing pages",Countries!$B$5:$B$434,"Direct",Countries!$D$5:$D$434,$A558,Countries!$AR$5:$AR$434,"&gt;0")=0,"",SUMIFS(Countries!$AR$5:$AR$434,Countries!$A$5:$A$434,"All landing pages",Countries!$B$5:$B$434,"Direct",Countries!$D$5:$D$434,$A558,Countries!$E$5:$E$434,"&gt;0")/SUMIFS(Countries!$E$5:$E$434,Countries!$A$5:$A$434,"All landing pages",Countries!$B$5:$B$434,"Direct",Countries!$D$5:$D$434,$A558,Countries!$AR$5:$AR$434,"&gt;0"))</f>
        <v/>
      </c>
      <c r="K558" s="45">
        <f>IF(SUMIFS(Countries!$F$5:$F$434,Countries!$A$5:$A$434,"All landing pages",Countries!$B$5:$B$434,"Direct",Countries!$D$5:$D$434,$A558,Countries!$AS$5:$AS$434,"&gt;0")=0,"",SUMIFS(Countries!$AS$5:$AS$434,Countries!$A$5:$A$434,"All landing pages",Countries!$B$5:$B$434,"Direct",Countries!$D$5:$D$434,$A558,Countries!$F$5:$F$434,"&gt;0")/SUMIFS(Countries!$F$5:$F$434,Countries!$A$5:$A$434,"All landing pages",Countries!$B$5:$B$434,"Direct",Countries!$D$5:$D$434,$A558,Countries!$AS$5:$AS$434,"&gt;0"))</f>
        <v/>
      </c>
      <c r="L558" s="44">
        <f>IF(OR(J558="",K558=""),"",(K558-J558)*100)</f>
        <v/>
      </c>
      <c r="M558" s="73" t="n"/>
      <c r="N558" s="45">
        <f>IF(SUMIFS(Countries!$E$5:$E$434,Countries!$A$5:$A$434,"All landing pages",Countries!$D$5:$D$434,$A558,Countries!$AR$5:$AR$434,"&gt;0")=0,"",SUMIFS(Countries!$AR$5:$AR$434,Countries!$A$5:$A$434,"All landing pages",Countries!$D$5:$D$434,$A558,Countries!$E$5:$E$434,"&gt;0")/SUMIFS(Countries!$E$5:$E$434,Countries!$A$5:$A$434,"All landing pages",Countries!$D$5:$D$434,$A558,Countries!$AR$5:$AR$434,"&gt;0"))</f>
        <v/>
      </c>
      <c r="O558" s="45">
        <f>IF(SUMIFS(Countries!$F$5:$F$434,Countries!$A$5:$A$434,"All landing pages",Countries!$D$5:$D$434,$A558,Countries!$AS$5:$AS$434,"&gt;0")=0,"",SUMIFS(Countries!$AS$5:$AS$434,Countries!$A$5:$A$434,"All landing pages",Countries!$D$5:$D$434,$A558,Countries!$F$5:$F$434,"&gt;0")/SUMIFS(Countries!$F$5:$F$434,Countries!$A$5:$A$434,"All landing pages",Countries!$D$5:$D$434,$A558,Countries!$AS$5:$AS$434,"&gt;0"))</f>
        <v/>
      </c>
      <c r="P558" s="44">
        <f>IF(OR(N558="",O558=""),"",(O558-N558)*100)</f>
        <v/>
      </c>
      <c r="Q558" s="73" t="n"/>
    </row>
    <row r="559">
      <c r="A559" s="40" t="inlineStr">
        <is>
          <t>Greece</t>
        </is>
      </c>
      <c r="B559" s="45">
        <f>IF(SUMIFS(Countries!$E$5:$E$434,Countries!$A$5:$A$434,"All landing pages",Countries!$B$5:$B$434,"Paid Search",Countries!$D$5:$D$434,$A559,Countries!$AR$5:$AR$434,"&gt;0")=0,"",SUMIFS(Countries!$AR$5:$AR$434,Countries!$A$5:$A$434,"All landing pages",Countries!$B$5:$B$434,"Paid Search",Countries!$D$5:$D$434,$A559,Countries!$E$5:$E$434,"&gt;0")/SUMIFS(Countries!$E$5:$E$434,Countries!$A$5:$A$434,"All landing pages",Countries!$B$5:$B$434,"Paid Search",Countries!$D$5:$D$434,$A559,Countries!$AR$5:$AR$434,"&gt;0"))</f>
        <v/>
      </c>
      <c r="C559" s="45">
        <f>IF(SUMIFS(Countries!$F$5:$F$434,Countries!$A$5:$A$434,"All landing pages",Countries!$B$5:$B$434,"Paid Search",Countries!$D$5:$D$434,$A559,Countries!$AS$5:$AS$434,"&gt;0")=0,"",SUMIFS(Countries!$AS$5:$AS$434,Countries!$A$5:$A$434,"All landing pages",Countries!$B$5:$B$434,"Paid Search",Countries!$D$5:$D$434,$A559,Countries!$F$5:$F$434,"&gt;0")/SUMIFS(Countries!$F$5:$F$434,Countries!$A$5:$A$434,"All landing pages",Countries!$B$5:$B$434,"Paid Search",Countries!$D$5:$D$434,$A559,Countries!$AS$5:$AS$434,"&gt;0"))</f>
        <v/>
      </c>
      <c r="D559" s="44">
        <f>IF(OR(B559="",C559=""),"",(C559-B559)*100)</f>
        <v/>
      </c>
      <c r="E559" s="73" t="n"/>
      <c r="F559" s="45">
        <f>IF(SUMIFS(Countries!$E$5:$E$434,Countries!$A$5:$A$434,"All landing pages",Countries!$B$5:$B$434,"Organic",Countries!$D$5:$D$434,$A559,Countries!$AR$5:$AR$434,"&gt;0")=0,"",SUMIFS(Countries!$AR$5:$AR$434,Countries!$A$5:$A$434,"All landing pages",Countries!$B$5:$B$434,"Organic",Countries!$D$5:$D$434,$A559,Countries!$E$5:$E$434,"&gt;0")/SUMIFS(Countries!$E$5:$E$434,Countries!$A$5:$A$434,"All landing pages",Countries!$B$5:$B$434,"Organic",Countries!$D$5:$D$434,$A559,Countries!$AR$5:$AR$434,"&gt;0"))</f>
        <v/>
      </c>
      <c r="G559" s="45">
        <f>IF(SUMIFS(Countries!$F$5:$F$434,Countries!$A$5:$A$434,"All landing pages",Countries!$B$5:$B$434,"Organic",Countries!$D$5:$D$434,$A559,Countries!$AS$5:$AS$434,"&gt;0")=0,"",SUMIFS(Countries!$AS$5:$AS$434,Countries!$A$5:$A$434,"All landing pages",Countries!$B$5:$B$434,"Organic",Countries!$D$5:$D$434,$A559,Countries!$F$5:$F$434,"&gt;0")/SUMIFS(Countries!$F$5:$F$434,Countries!$A$5:$A$434,"All landing pages",Countries!$B$5:$B$434,"Organic",Countries!$D$5:$D$434,$A559,Countries!$AS$5:$AS$434,"&gt;0"))</f>
        <v/>
      </c>
      <c r="H559" s="44">
        <f>IF(OR(F559="",G559=""),"",(G559-F559)*100)</f>
        <v/>
      </c>
      <c r="I559" s="73" t="n"/>
      <c r="J559" s="45">
        <f>IF(SUMIFS(Countries!$E$5:$E$434,Countries!$A$5:$A$434,"All landing pages",Countries!$B$5:$B$434,"Direct",Countries!$D$5:$D$434,$A559,Countries!$AR$5:$AR$434,"&gt;0")=0,"",SUMIFS(Countries!$AR$5:$AR$434,Countries!$A$5:$A$434,"All landing pages",Countries!$B$5:$B$434,"Direct",Countries!$D$5:$D$434,$A559,Countries!$E$5:$E$434,"&gt;0")/SUMIFS(Countries!$E$5:$E$434,Countries!$A$5:$A$434,"All landing pages",Countries!$B$5:$B$434,"Direct",Countries!$D$5:$D$434,$A559,Countries!$AR$5:$AR$434,"&gt;0"))</f>
        <v/>
      </c>
      <c r="K559" s="45">
        <f>IF(SUMIFS(Countries!$F$5:$F$434,Countries!$A$5:$A$434,"All landing pages",Countries!$B$5:$B$434,"Direct",Countries!$D$5:$D$434,$A559,Countries!$AS$5:$AS$434,"&gt;0")=0,"",SUMIFS(Countries!$AS$5:$AS$434,Countries!$A$5:$A$434,"All landing pages",Countries!$B$5:$B$434,"Direct",Countries!$D$5:$D$434,$A559,Countries!$F$5:$F$434,"&gt;0")/SUMIFS(Countries!$F$5:$F$434,Countries!$A$5:$A$434,"All landing pages",Countries!$B$5:$B$434,"Direct",Countries!$D$5:$D$434,$A559,Countries!$AS$5:$AS$434,"&gt;0"))</f>
        <v/>
      </c>
      <c r="L559" s="44">
        <f>IF(OR(J559="",K559=""),"",(K559-J559)*100)</f>
        <v/>
      </c>
      <c r="M559" s="73" t="n"/>
      <c r="N559" s="45">
        <f>IF(SUMIFS(Countries!$E$5:$E$434,Countries!$A$5:$A$434,"All landing pages",Countries!$D$5:$D$434,$A559,Countries!$AR$5:$AR$434,"&gt;0")=0,"",SUMIFS(Countries!$AR$5:$AR$434,Countries!$A$5:$A$434,"All landing pages",Countries!$D$5:$D$434,$A559,Countries!$E$5:$E$434,"&gt;0")/SUMIFS(Countries!$E$5:$E$434,Countries!$A$5:$A$434,"All landing pages",Countries!$D$5:$D$434,$A559,Countries!$AR$5:$AR$434,"&gt;0"))</f>
        <v/>
      </c>
      <c r="O559" s="45">
        <f>IF(SUMIFS(Countries!$F$5:$F$434,Countries!$A$5:$A$434,"All landing pages",Countries!$D$5:$D$434,$A559,Countries!$AS$5:$AS$434,"&gt;0")=0,"",SUMIFS(Countries!$AS$5:$AS$434,Countries!$A$5:$A$434,"All landing pages",Countries!$D$5:$D$434,$A559,Countries!$F$5:$F$434,"&gt;0")/SUMIFS(Countries!$F$5:$F$434,Countries!$A$5:$A$434,"All landing pages",Countries!$D$5:$D$434,$A559,Countries!$AS$5:$AS$434,"&gt;0"))</f>
        <v/>
      </c>
      <c r="P559" s="44">
        <f>IF(OR(N559="",O559=""),"",(O559-N559)*100)</f>
        <v/>
      </c>
      <c r="Q559" s="73" t="n"/>
    </row>
    <row r="560">
      <c r="A560" s="56" t="inlineStr">
        <is>
          <t>Switzerland</t>
        </is>
      </c>
      <c r="B560" s="45">
        <f>IF(SUMIFS(Countries!$E$5:$E$434,Countries!$A$5:$A$434,"All landing pages",Countries!$B$5:$B$434,"Paid Search",Countries!$D$5:$D$434,$A560,Countries!$AR$5:$AR$434,"&gt;0")=0,"",SUMIFS(Countries!$AR$5:$AR$434,Countries!$A$5:$A$434,"All landing pages",Countries!$B$5:$B$434,"Paid Search",Countries!$D$5:$D$434,$A560,Countries!$E$5:$E$434,"&gt;0")/SUMIFS(Countries!$E$5:$E$434,Countries!$A$5:$A$434,"All landing pages",Countries!$B$5:$B$434,"Paid Search",Countries!$D$5:$D$434,$A560,Countries!$AR$5:$AR$434,"&gt;0"))</f>
        <v/>
      </c>
      <c r="C560" s="45">
        <f>IF(SUMIFS(Countries!$F$5:$F$434,Countries!$A$5:$A$434,"All landing pages",Countries!$B$5:$B$434,"Paid Search",Countries!$D$5:$D$434,$A560,Countries!$AS$5:$AS$434,"&gt;0")=0,"",SUMIFS(Countries!$AS$5:$AS$434,Countries!$A$5:$A$434,"All landing pages",Countries!$B$5:$B$434,"Paid Search",Countries!$D$5:$D$434,$A560,Countries!$F$5:$F$434,"&gt;0")/SUMIFS(Countries!$F$5:$F$434,Countries!$A$5:$A$434,"All landing pages",Countries!$B$5:$B$434,"Paid Search",Countries!$D$5:$D$434,$A560,Countries!$AS$5:$AS$434,"&gt;0"))</f>
        <v/>
      </c>
      <c r="D560" s="44">
        <f>IF(OR(B560="",C560=""),"",(C560-B560)*100)</f>
        <v/>
      </c>
      <c r="E560" s="73" t="n"/>
      <c r="F560" s="45">
        <f>IF(SUMIFS(Countries!$E$5:$E$434,Countries!$A$5:$A$434,"All landing pages",Countries!$B$5:$B$434,"Organic",Countries!$D$5:$D$434,$A560,Countries!$AR$5:$AR$434,"&gt;0")=0,"",SUMIFS(Countries!$AR$5:$AR$434,Countries!$A$5:$A$434,"All landing pages",Countries!$B$5:$B$434,"Organic",Countries!$D$5:$D$434,$A560,Countries!$E$5:$E$434,"&gt;0")/SUMIFS(Countries!$E$5:$E$434,Countries!$A$5:$A$434,"All landing pages",Countries!$B$5:$B$434,"Organic",Countries!$D$5:$D$434,$A560,Countries!$AR$5:$AR$434,"&gt;0"))</f>
        <v/>
      </c>
      <c r="G560" s="45">
        <f>IF(SUMIFS(Countries!$F$5:$F$434,Countries!$A$5:$A$434,"All landing pages",Countries!$B$5:$B$434,"Organic",Countries!$D$5:$D$434,$A560,Countries!$AS$5:$AS$434,"&gt;0")=0,"",SUMIFS(Countries!$AS$5:$AS$434,Countries!$A$5:$A$434,"All landing pages",Countries!$B$5:$B$434,"Organic",Countries!$D$5:$D$434,$A560,Countries!$F$5:$F$434,"&gt;0")/SUMIFS(Countries!$F$5:$F$434,Countries!$A$5:$A$434,"All landing pages",Countries!$B$5:$B$434,"Organic",Countries!$D$5:$D$434,$A560,Countries!$AS$5:$AS$434,"&gt;0"))</f>
        <v/>
      </c>
      <c r="H560" s="44">
        <f>IF(OR(F560="",G560=""),"",(G560-F560)*100)</f>
        <v/>
      </c>
      <c r="I560" s="73" t="n"/>
      <c r="J560" s="45">
        <f>IF(SUMIFS(Countries!$E$5:$E$434,Countries!$A$5:$A$434,"All landing pages",Countries!$B$5:$B$434,"Direct",Countries!$D$5:$D$434,$A560,Countries!$AR$5:$AR$434,"&gt;0")=0,"",SUMIFS(Countries!$AR$5:$AR$434,Countries!$A$5:$A$434,"All landing pages",Countries!$B$5:$B$434,"Direct",Countries!$D$5:$D$434,$A560,Countries!$E$5:$E$434,"&gt;0")/SUMIFS(Countries!$E$5:$E$434,Countries!$A$5:$A$434,"All landing pages",Countries!$B$5:$B$434,"Direct",Countries!$D$5:$D$434,$A560,Countries!$AR$5:$AR$434,"&gt;0"))</f>
        <v/>
      </c>
      <c r="K560" s="45">
        <f>IF(SUMIFS(Countries!$F$5:$F$434,Countries!$A$5:$A$434,"All landing pages",Countries!$B$5:$B$434,"Direct",Countries!$D$5:$D$434,$A560,Countries!$AS$5:$AS$434,"&gt;0")=0,"",SUMIFS(Countries!$AS$5:$AS$434,Countries!$A$5:$A$434,"All landing pages",Countries!$B$5:$B$434,"Direct",Countries!$D$5:$D$434,$A560,Countries!$F$5:$F$434,"&gt;0")/SUMIFS(Countries!$F$5:$F$434,Countries!$A$5:$A$434,"All landing pages",Countries!$B$5:$B$434,"Direct",Countries!$D$5:$D$434,$A560,Countries!$AS$5:$AS$434,"&gt;0"))</f>
        <v/>
      </c>
      <c r="L560" s="44">
        <f>IF(OR(J560="",K560=""),"",(K560-J560)*100)</f>
        <v/>
      </c>
      <c r="M560" s="73" t="n"/>
      <c r="N560" s="45">
        <f>IF(SUMIFS(Countries!$E$5:$E$434,Countries!$A$5:$A$434,"All landing pages",Countries!$D$5:$D$434,$A560,Countries!$AR$5:$AR$434,"&gt;0")=0,"",SUMIFS(Countries!$AR$5:$AR$434,Countries!$A$5:$A$434,"All landing pages",Countries!$D$5:$D$434,$A560,Countries!$E$5:$E$434,"&gt;0")/SUMIFS(Countries!$E$5:$E$434,Countries!$A$5:$A$434,"All landing pages",Countries!$D$5:$D$434,$A560,Countries!$AR$5:$AR$434,"&gt;0"))</f>
        <v/>
      </c>
      <c r="O560" s="45">
        <f>IF(SUMIFS(Countries!$F$5:$F$434,Countries!$A$5:$A$434,"All landing pages",Countries!$D$5:$D$434,$A560,Countries!$AS$5:$AS$434,"&gt;0")=0,"",SUMIFS(Countries!$AS$5:$AS$434,Countries!$A$5:$A$434,"All landing pages",Countries!$D$5:$D$434,$A560,Countries!$F$5:$F$434,"&gt;0")/SUMIFS(Countries!$F$5:$F$434,Countries!$A$5:$A$434,"All landing pages",Countries!$D$5:$D$434,$A560,Countries!$AS$5:$AS$434,"&gt;0"))</f>
        <v/>
      </c>
      <c r="P560" s="44">
        <f>IF(OR(N560="",O560=""),"",(O560-N560)*100)</f>
        <v/>
      </c>
      <c r="Q560" s="73" t="n"/>
    </row>
    <row r="561">
      <c r="A561" s="40" t="inlineStr">
        <is>
          <t>(not set)</t>
        </is>
      </c>
      <c r="B561" s="45">
        <f>IF(SUMIFS(Countries!$E$5:$E$434,Countries!$A$5:$A$434,"All landing pages",Countries!$B$5:$B$434,"Paid Search",Countries!$D$5:$D$434,$A561,Countries!$AR$5:$AR$434,"&gt;0")=0,"",SUMIFS(Countries!$AR$5:$AR$434,Countries!$A$5:$A$434,"All landing pages",Countries!$B$5:$B$434,"Paid Search",Countries!$D$5:$D$434,$A561,Countries!$E$5:$E$434,"&gt;0")/SUMIFS(Countries!$E$5:$E$434,Countries!$A$5:$A$434,"All landing pages",Countries!$B$5:$B$434,"Paid Search",Countries!$D$5:$D$434,$A561,Countries!$AR$5:$AR$434,"&gt;0"))</f>
        <v/>
      </c>
      <c r="C561" s="45">
        <f>IF(SUMIFS(Countries!$F$5:$F$434,Countries!$A$5:$A$434,"All landing pages",Countries!$B$5:$B$434,"Paid Search",Countries!$D$5:$D$434,$A561,Countries!$AS$5:$AS$434,"&gt;0")=0,"",SUMIFS(Countries!$AS$5:$AS$434,Countries!$A$5:$A$434,"All landing pages",Countries!$B$5:$B$434,"Paid Search",Countries!$D$5:$D$434,$A561,Countries!$F$5:$F$434,"&gt;0")/SUMIFS(Countries!$F$5:$F$434,Countries!$A$5:$A$434,"All landing pages",Countries!$B$5:$B$434,"Paid Search",Countries!$D$5:$D$434,$A561,Countries!$AS$5:$AS$434,"&gt;0"))</f>
        <v/>
      </c>
      <c r="D561" s="44">
        <f>IF(OR(B561="",C561=""),"",(C561-B561)*100)</f>
        <v/>
      </c>
      <c r="E561" s="73" t="n"/>
      <c r="F561" s="45">
        <f>IF(SUMIFS(Countries!$E$5:$E$434,Countries!$A$5:$A$434,"All landing pages",Countries!$B$5:$B$434,"Organic",Countries!$D$5:$D$434,$A561,Countries!$AR$5:$AR$434,"&gt;0")=0,"",SUMIFS(Countries!$AR$5:$AR$434,Countries!$A$5:$A$434,"All landing pages",Countries!$B$5:$B$434,"Organic",Countries!$D$5:$D$434,$A561,Countries!$E$5:$E$434,"&gt;0")/SUMIFS(Countries!$E$5:$E$434,Countries!$A$5:$A$434,"All landing pages",Countries!$B$5:$B$434,"Organic",Countries!$D$5:$D$434,$A561,Countries!$AR$5:$AR$434,"&gt;0"))</f>
        <v/>
      </c>
      <c r="G561" s="45">
        <f>IF(SUMIFS(Countries!$F$5:$F$434,Countries!$A$5:$A$434,"All landing pages",Countries!$B$5:$B$434,"Organic",Countries!$D$5:$D$434,$A561,Countries!$AS$5:$AS$434,"&gt;0")=0,"",SUMIFS(Countries!$AS$5:$AS$434,Countries!$A$5:$A$434,"All landing pages",Countries!$B$5:$B$434,"Organic",Countries!$D$5:$D$434,$A561,Countries!$F$5:$F$434,"&gt;0")/SUMIFS(Countries!$F$5:$F$434,Countries!$A$5:$A$434,"All landing pages",Countries!$B$5:$B$434,"Organic",Countries!$D$5:$D$434,$A561,Countries!$AS$5:$AS$434,"&gt;0"))</f>
        <v/>
      </c>
      <c r="H561" s="44">
        <f>IF(OR(F561="",G561=""),"",(G561-F561)*100)</f>
        <v/>
      </c>
      <c r="I561" s="73" t="n"/>
      <c r="J561" s="45">
        <f>IF(SUMIFS(Countries!$E$5:$E$434,Countries!$A$5:$A$434,"All landing pages",Countries!$B$5:$B$434,"Direct",Countries!$D$5:$D$434,$A561,Countries!$AR$5:$AR$434,"&gt;0")=0,"",SUMIFS(Countries!$AR$5:$AR$434,Countries!$A$5:$A$434,"All landing pages",Countries!$B$5:$B$434,"Direct",Countries!$D$5:$D$434,$A561,Countries!$E$5:$E$434,"&gt;0")/SUMIFS(Countries!$E$5:$E$434,Countries!$A$5:$A$434,"All landing pages",Countries!$B$5:$B$434,"Direct",Countries!$D$5:$D$434,$A561,Countries!$AR$5:$AR$434,"&gt;0"))</f>
        <v/>
      </c>
      <c r="K561" s="45">
        <f>IF(SUMIFS(Countries!$F$5:$F$434,Countries!$A$5:$A$434,"All landing pages",Countries!$B$5:$B$434,"Direct",Countries!$D$5:$D$434,$A561,Countries!$AS$5:$AS$434,"&gt;0")=0,"",SUMIFS(Countries!$AS$5:$AS$434,Countries!$A$5:$A$434,"All landing pages",Countries!$B$5:$B$434,"Direct",Countries!$D$5:$D$434,$A561,Countries!$F$5:$F$434,"&gt;0")/SUMIFS(Countries!$F$5:$F$434,Countries!$A$5:$A$434,"All landing pages",Countries!$B$5:$B$434,"Direct",Countries!$D$5:$D$434,$A561,Countries!$AS$5:$AS$434,"&gt;0"))</f>
        <v/>
      </c>
      <c r="L561" s="44">
        <f>IF(OR(J561="",K561=""),"",(K561-J561)*100)</f>
        <v/>
      </c>
      <c r="M561" s="73" t="n"/>
      <c r="N561" s="45">
        <f>IF(SUMIFS(Countries!$E$5:$E$434,Countries!$A$5:$A$434,"All landing pages",Countries!$D$5:$D$434,$A561,Countries!$AR$5:$AR$434,"&gt;0")=0,"",SUMIFS(Countries!$AR$5:$AR$434,Countries!$A$5:$A$434,"All landing pages",Countries!$D$5:$D$434,$A561,Countries!$E$5:$E$434,"&gt;0")/SUMIFS(Countries!$E$5:$E$434,Countries!$A$5:$A$434,"All landing pages",Countries!$D$5:$D$434,$A561,Countries!$AR$5:$AR$434,"&gt;0"))</f>
        <v/>
      </c>
      <c r="O561" s="45">
        <f>IF(SUMIFS(Countries!$F$5:$F$434,Countries!$A$5:$A$434,"All landing pages",Countries!$D$5:$D$434,$A561,Countries!$AS$5:$AS$434,"&gt;0")=0,"",SUMIFS(Countries!$AS$5:$AS$434,Countries!$A$5:$A$434,"All landing pages",Countries!$D$5:$D$434,$A561,Countries!$F$5:$F$434,"&gt;0")/SUMIFS(Countries!$F$5:$F$434,Countries!$A$5:$A$434,"All landing pages",Countries!$D$5:$D$434,$A561,Countries!$AS$5:$AS$434,"&gt;0"))</f>
        <v/>
      </c>
      <c r="P561" s="44">
        <f>IF(OR(N561="",O561=""),"",(O561-N561)*100)</f>
        <v/>
      </c>
      <c r="Q561" s="73" t="n"/>
    </row>
    <row r="562">
      <c r="A562" s="56" t="inlineStr">
        <is>
          <t>Algeria</t>
        </is>
      </c>
      <c r="B562" s="45">
        <f>IF(SUMIFS(Countries!$E$5:$E$434,Countries!$A$5:$A$434,"All landing pages",Countries!$B$5:$B$434,"Paid Search",Countries!$D$5:$D$434,$A562,Countries!$AR$5:$AR$434,"&gt;0")=0,"",SUMIFS(Countries!$AR$5:$AR$434,Countries!$A$5:$A$434,"All landing pages",Countries!$B$5:$B$434,"Paid Search",Countries!$D$5:$D$434,$A562,Countries!$E$5:$E$434,"&gt;0")/SUMIFS(Countries!$E$5:$E$434,Countries!$A$5:$A$434,"All landing pages",Countries!$B$5:$B$434,"Paid Search",Countries!$D$5:$D$434,$A562,Countries!$AR$5:$AR$434,"&gt;0"))</f>
        <v/>
      </c>
      <c r="C562" s="45">
        <f>IF(SUMIFS(Countries!$F$5:$F$434,Countries!$A$5:$A$434,"All landing pages",Countries!$B$5:$B$434,"Paid Search",Countries!$D$5:$D$434,$A562,Countries!$AS$5:$AS$434,"&gt;0")=0,"",SUMIFS(Countries!$AS$5:$AS$434,Countries!$A$5:$A$434,"All landing pages",Countries!$B$5:$B$434,"Paid Search",Countries!$D$5:$D$434,$A562,Countries!$F$5:$F$434,"&gt;0")/SUMIFS(Countries!$F$5:$F$434,Countries!$A$5:$A$434,"All landing pages",Countries!$B$5:$B$434,"Paid Search",Countries!$D$5:$D$434,$A562,Countries!$AS$5:$AS$434,"&gt;0"))</f>
        <v/>
      </c>
      <c r="D562" s="44">
        <f>IF(OR(B562="",C562=""),"",(C562-B562)*100)</f>
        <v/>
      </c>
      <c r="E562" s="73" t="n"/>
      <c r="F562" s="45">
        <f>IF(SUMIFS(Countries!$E$5:$E$434,Countries!$A$5:$A$434,"All landing pages",Countries!$B$5:$B$434,"Organic",Countries!$D$5:$D$434,$A562,Countries!$AR$5:$AR$434,"&gt;0")=0,"",SUMIFS(Countries!$AR$5:$AR$434,Countries!$A$5:$A$434,"All landing pages",Countries!$B$5:$B$434,"Organic",Countries!$D$5:$D$434,$A562,Countries!$E$5:$E$434,"&gt;0")/SUMIFS(Countries!$E$5:$E$434,Countries!$A$5:$A$434,"All landing pages",Countries!$B$5:$B$434,"Organic",Countries!$D$5:$D$434,$A562,Countries!$AR$5:$AR$434,"&gt;0"))</f>
        <v/>
      </c>
      <c r="G562" s="45">
        <f>IF(SUMIFS(Countries!$F$5:$F$434,Countries!$A$5:$A$434,"All landing pages",Countries!$B$5:$B$434,"Organic",Countries!$D$5:$D$434,$A562,Countries!$AS$5:$AS$434,"&gt;0")=0,"",SUMIFS(Countries!$AS$5:$AS$434,Countries!$A$5:$A$434,"All landing pages",Countries!$B$5:$B$434,"Organic",Countries!$D$5:$D$434,$A562,Countries!$F$5:$F$434,"&gt;0")/SUMIFS(Countries!$F$5:$F$434,Countries!$A$5:$A$434,"All landing pages",Countries!$B$5:$B$434,"Organic",Countries!$D$5:$D$434,$A562,Countries!$AS$5:$AS$434,"&gt;0"))</f>
        <v/>
      </c>
      <c r="H562" s="44">
        <f>IF(OR(F562="",G562=""),"",(G562-F562)*100)</f>
        <v/>
      </c>
      <c r="I562" s="73" t="n"/>
      <c r="J562" s="45">
        <f>IF(SUMIFS(Countries!$E$5:$E$434,Countries!$A$5:$A$434,"All landing pages",Countries!$B$5:$B$434,"Direct",Countries!$D$5:$D$434,$A562,Countries!$AR$5:$AR$434,"&gt;0")=0,"",SUMIFS(Countries!$AR$5:$AR$434,Countries!$A$5:$A$434,"All landing pages",Countries!$B$5:$B$434,"Direct",Countries!$D$5:$D$434,$A562,Countries!$E$5:$E$434,"&gt;0")/SUMIFS(Countries!$E$5:$E$434,Countries!$A$5:$A$434,"All landing pages",Countries!$B$5:$B$434,"Direct",Countries!$D$5:$D$434,$A562,Countries!$AR$5:$AR$434,"&gt;0"))</f>
        <v/>
      </c>
      <c r="K562" s="45">
        <f>IF(SUMIFS(Countries!$F$5:$F$434,Countries!$A$5:$A$434,"All landing pages",Countries!$B$5:$B$434,"Direct",Countries!$D$5:$D$434,$A562,Countries!$AS$5:$AS$434,"&gt;0")=0,"",SUMIFS(Countries!$AS$5:$AS$434,Countries!$A$5:$A$434,"All landing pages",Countries!$B$5:$B$434,"Direct",Countries!$D$5:$D$434,$A562,Countries!$F$5:$F$434,"&gt;0")/SUMIFS(Countries!$F$5:$F$434,Countries!$A$5:$A$434,"All landing pages",Countries!$B$5:$B$434,"Direct",Countries!$D$5:$D$434,$A562,Countries!$AS$5:$AS$434,"&gt;0"))</f>
        <v/>
      </c>
      <c r="L562" s="44">
        <f>IF(OR(J562="",K562=""),"",(K562-J562)*100)</f>
        <v/>
      </c>
      <c r="M562" s="73" t="n"/>
      <c r="N562" s="45">
        <f>IF(SUMIFS(Countries!$E$5:$E$434,Countries!$A$5:$A$434,"All landing pages",Countries!$D$5:$D$434,$A562,Countries!$AR$5:$AR$434,"&gt;0")=0,"",SUMIFS(Countries!$AR$5:$AR$434,Countries!$A$5:$A$434,"All landing pages",Countries!$D$5:$D$434,$A562,Countries!$E$5:$E$434,"&gt;0")/SUMIFS(Countries!$E$5:$E$434,Countries!$A$5:$A$434,"All landing pages",Countries!$D$5:$D$434,$A562,Countries!$AR$5:$AR$434,"&gt;0"))</f>
        <v/>
      </c>
      <c r="O562" s="45">
        <f>IF(SUMIFS(Countries!$F$5:$F$434,Countries!$A$5:$A$434,"All landing pages",Countries!$D$5:$D$434,$A562,Countries!$AS$5:$AS$434,"&gt;0")=0,"",SUMIFS(Countries!$AS$5:$AS$434,Countries!$A$5:$A$434,"All landing pages",Countries!$D$5:$D$434,$A562,Countries!$F$5:$F$434,"&gt;0")/SUMIFS(Countries!$F$5:$F$434,Countries!$A$5:$A$434,"All landing pages",Countries!$D$5:$D$434,$A562,Countries!$AS$5:$AS$434,"&gt;0"))</f>
        <v/>
      </c>
      <c r="P562" s="44">
        <f>IF(OR(N562="",O562=""),"",(O562-N562)*100)</f>
        <v/>
      </c>
      <c r="Q562" s="73" t="n"/>
    </row>
    <row r="563">
      <c r="A563" s="40" t="inlineStr">
        <is>
          <t>Argentina</t>
        </is>
      </c>
      <c r="B563" s="45">
        <f>IF(SUMIFS(Countries!$E$5:$E$434,Countries!$A$5:$A$434,"All landing pages",Countries!$B$5:$B$434,"Paid Search",Countries!$D$5:$D$434,$A563,Countries!$AR$5:$AR$434,"&gt;0")=0,"",SUMIFS(Countries!$AR$5:$AR$434,Countries!$A$5:$A$434,"All landing pages",Countries!$B$5:$B$434,"Paid Search",Countries!$D$5:$D$434,$A563,Countries!$E$5:$E$434,"&gt;0")/SUMIFS(Countries!$E$5:$E$434,Countries!$A$5:$A$434,"All landing pages",Countries!$B$5:$B$434,"Paid Search",Countries!$D$5:$D$434,$A563,Countries!$AR$5:$AR$434,"&gt;0"))</f>
        <v/>
      </c>
      <c r="C563" s="45">
        <f>IF(SUMIFS(Countries!$F$5:$F$434,Countries!$A$5:$A$434,"All landing pages",Countries!$B$5:$B$434,"Paid Search",Countries!$D$5:$D$434,$A563,Countries!$AS$5:$AS$434,"&gt;0")=0,"",SUMIFS(Countries!$AS$5:$AS$434,Countries!$A$5:$A$434,"All landing pages",Countries!$B$5:$B$434,"Paid Search",Countries!$D$5:$D$434,$A563,Countries!$F$5:$F$434,"&gt;0")/SUMIFS(Countries!$F$5:$F$434,Countries!$A$5:$A$434,"All landing pages",Countries!$B$5:$B$434,"Paid Search",Countries!$D$5:$D$434,$A563,Countries!$AS$5:$AS$434,"&gt;0"))</f>
        <v/>
      </c>
      <c r="D563" s="44">
        <f>IF(OR(B563="",C563=""),"",(C563-B563)*100)</f>
        <v/>
      </c>
      <c r="E563" s="73" t="n"/>
      <c r="F563" s="45">
        <f>IF(SUMIFS(Countries!$E$5:$E$434,Countries!$A$5:$A$434,"All landing pages",Countries!$B$5:$B$434,"Organic",Countries!$D$5:$D$434,$A563,Countries!$AR$5:$AR$434,"&gt;0")=0,"",SUMIFS(Countries!$AR$5:$AR$434,Countries!$A$5:$A$434,"All landing pages",Countries!$B$5:$B$434,"Organic",Countries!$D$5:$D$434,$A563,Countries!$E$5:$E$434,"&gt;0")/SUMIFS(Countries!$E$5:$E$434,Countries!$A$5:$A$434,"All landing pages",Countries!$B$5:$B$434,"Organic",Countries!$D$5:$D$434,$A563,Countries!$AR$5:$AR$434,"&gt;0"))</f>
        <v/>
      </c>
      <c r="G563" s="45">
        <f>IF(SUMIFS(Countries!$F$5:$F$434,Countries!$A$5:$A$434,"All landing pages",Countries!$B$5:$B$434,"Organic",Countries!$D$5:$D$434,$A563,Countries!$AS$5:$AS$434,"&gt;0")=0,"",SUMIFS(Countries!$AS$5:$AS$434,Countries!$A$5:$A$434,"All landing pages",Countries!$B$5:$B$434,"Organic",Countries!$D$5:$D$434,$A563,Countries!$F$5:$F$434,"&gt;0")/SUMIFS(Countries!$F$5:$F$434,Countries!$A$5:$A$434,"All landing pages",Countries!$B$5:$B$434,"Organic",Countries!$D$5:$D$434,$A563,Countries!$AS$5:$AS$434,"&gt;0"))</f>
        <v/>
      </c>
      <c r="H563" s="44">
        <f>IF(OR(F563="",G563=""),"",(G563-F563)*100)</f>
        <v/>
      </c>
      <c r="I563" s="73" t="n"/>
      <c r="J563" s="45">
        <f>IF(SUMIFS(Countries!$E$5:$E$434,Countries!$A$5:$A$434,"All landing pages",Countries!$B$5:$B$434,"Direct",Countries!$D$5:$D$434,$A563,Countries!$AR$5:$AR$434,"&gt;0")=0,"",SUMIFS(Countries!$AR$5:$AR$434,Countries!$A$5:$A$434,"All landing pages",Countries!$B$5:$B$434,"Direct",Countries!$D$5:$D$434,$A563,Countries!$E$5:$E$434,"&gt;0")/SUMIFS(Countries!$E$5:$E$434,Countries!$A$5:$A$434,"All landing pages",Countries!$B$5:$B$434,"Direct",Countries!$D$5:$D$434,$A563,Countries!$AR$5:$AR$434,"&gt;0"))</f>
        <v/>
      </c>
      <c r="K563" s="45">
        <f>IF(SUMIFS(Countries!$F$5:$F$434,Countries!$A$5:$A$434,"All landing pages",Countries!$B$5:$B$434,"Direct",Countries!$D$5:$D$434,$A563,Countries!$AS$5:$AS$434,"&gt;0")=0,"",SUMIFS(Countries!$AS$5:$AS$434,Countries!$A$5:$A$434,"All landing pages",Countries!$B$5:$B$434,"Direct",Countries!$D$5:$D$434,$A563,Countries!$F$5:$F$434,"&gt;0")/SUMIFS(Countries!$F$5:$F$434,Countries!$A$5:$A$434,"All landing pages",Countries!$B$5:$B$434,"Direct",Countries!$D$5:$D$434,$A563,Countries!$AS$5:$AS$434,"&gt;0"))</f>
        <v/>
      </c>
      <c r="L563" s="44">
        <f>IF(OR(J563="",K563=""),"",(K563-J563)*100)</f>
        <v/>
      </c>
      <c r="M563" s="73" t="n"/>
      <c r="N563" s="45">
        <f>IF(SUMIFS(Countries!$E$5:$E$434,Countries!$A$5:$A$434,"All landing pages",Countries!$D$5:$D$434,$A563,Countries!$AR$5:$AR$434,"&gt;0")=0,"",SUMIFS(Countries!$AR$5:$AR$434,Countries!$A$5:$A$434,"All landing pages",Countries!$D$5:$D$434,$A563,Countries!$E$5:$E$434,"&gt;0")/SUMIFS(Countries!$E$5:$E$434,Countries!$A$5:$A$434,"All landing pages",Countries!$D$5:$D$434,$A563,Countries!$AR$5:$AR$434,"&gt;0"))</f>
        <v/>
      </c>
      <c r="O563" s="45">
        <f>IF(SUMIFS(Countries!$F$5:$F$434,Countries!$A$5:$A$434,"All landing pages",Countries!$D$5:$D$434,$A563,Countries!$AS$5:$AS$434,"&gt;0")=0,"",SUMIFS(Countries!$AS$5:$AS$434,Countries!$A$5:$A$434,"All landing pages",Countries!$D$5:$D$434,$A563,Countries!$F$5:$F$434,"&gt;0")/SUMIFS(Countries!$F$5:$F$434,Countries!$A$5:$A$434,"All landing pages",Countries!$D$5:$D$434,$A563,Countries!$AS$5:$AS$434,"&gt;0"))</f>
        <v/>
      </c>
      <c r="P563" s="44">
        <f>IF(OR(N563="",O563=""),"",(O563-N563)*100)</f>
        <v/>
      </c>
      <c r="Q563" s="73" t="n"/>
    </row>
    <row r="564">
      <c r="A564" s="56" t="inlineStr">
        <is>
          <t>Bangladesh</t>
        </is>
      </c>
      <c r="B564" s="45">
        <f>IF(SUMIFS(Countries!$E$5:$E$434,Countries!$A$5:$A$434,"All landing pages",Countries!$B$5:$B$434,"Paid Search",Countries!$D$5:$D$434,$A564,Countries!$AR$5:$AR$434,"&gt;0")=0,"",SUMIFS(Countries!$AR$5:$AR$434,Countries!$A$5:$A$434,"All landing pages",Countries!$B$5:$B$434,"Paid Search",Countries!$D$5:$D$434,$A564,Countries!$E$5:$E$434,"&gt;0")/SUMIFS(Countries!$E$5:$E$434,Countries!$A$5:$A$434,"All landing pages",Countries!$B$5:$B$434,"Paid Search",Countries!$D$5:$D$434,$A564,Countries!$AR$5:$AR$434,"&gt;0"))</f>
        <v/>
      </c>
      <c r="C564" s="45">
        <f>IF(SUMIFS(Countries!$F$5:$F$434,Countries!$A$5:$A$434,"All landing pages",Countries!$B$5:$B$434,"Paid Search",Countries!$D$5:$D$434,$A564,Countries!$AS$5:$AS$434,"&gt;0")=0,"",SUMIFS(Countries!$AS$5:$AS$434,Countries!$A$5:$A$434,"All landing pages",Countries!$B$5:$B$434,"Paid Search",Countries!$D$5:$D$434,$A564,Countries!$F$5:$F$434,"&gt;0")/SUMIFS(Countries!$F$5:$F$434,Countries!$A$5:$A$434,"All landing pages",Countries!$B$5:$B$434,"Paid Search",Countries!$D$5:$D$434,$A564,Countries!$AS$5:$AS$434,"&gt;0"))</f>
        <v/>
      </c>
      <c r="D564" s="44">
        <f>IF(OR(B564="",C564=""),"",(C564-B564)*100)</f>
        <v/>
      </c>
      <c r="E564" s="73" t="n"/>
      <c r="F564" s="45">
        <f>IF(SUMIFS(Countries!$E$5:$E$434,Countries!$A$5:$A$434,"All landing pages",Countries!$B$5:$B$434,"Organic",Countries!$D$5:$D$434,$A564,Countries!$AR$5:$AR$434,"&gt;0")=0,"",SUMIFS(Countries!$AR$5:$AR$434,Countries!$A$5:$A$434,"All landing pages",Countries!$B$5:$B$434,"Organic",Countries!$D$5:$D$434,$A564,Countries!$E$5:$E$434,"&gt;0")/SUMIFS(Countries!$E$5:$E$434,Countries!$A$5:$A$434,"All landing pages",Countries!$B$5:$B$434,"Organic",Countries!$D$5:$D$434,$A564,Countries!$AR$5:$AR$434,"&gt;0"))</f>
        <v/>
      </c>
      <c r="G564" s="45">
        <f>IF(SUMIFS(Countries!$F$5:$F$434,Countries!$A$5:$A$434,"All landing pages",Countries!$B$5:$B$434,"Organic",Countries!$D$5:$D$434,$A564,Countries!$AS$5:$AS$434,"&gt;0")=0,"",SUMIFS(Countries!$AS$5:$AS$434,Countries!$A$5:$A$434,"All landing pages",Countries!$B$5:$B$434,"Organic",Countries!$D$5:$D$434,$A564,Countries!$F$5:$F$434,"&gt;0")/SUMIFS(Countries!$F$5:$F$434,Countries!$A$5:$A$434,"All landing pages",Countries!$B$5:$B$434,"Organic",Countries!$D$5:$D$434,$A564,Countries!$AS$5:$AS$434,"&gt;0"))</f>
        <v/>
      </c>
      <c r="H564" s="44">
        <f>IF(OR(F564="",G564=""),"",(G564-F564)*100)</f>
        <v/>
      </c>
      <c r="I564" s="73" t="n"/>
      <c r="J564" s="45">
        <f>IF(SUMIFS(Countries!$E$5:$E$434,Countries!$A$5:$A$434,"All landing pages",Countries!$B$5:$B$434,"Direct",Countries!$D$5:$D$434,$A564,Countries!$AR$5:$AR$434,"&gt;0")=0,"",SUMIFS(Countries!$AR$5:$AR$434,Countries!$A$5:$A$434,"All landing pages",Countries!$B$5:$B$434,"Direct",Countries!$D$5:$D$434,$A564,Countries!$E$5:$E$434,"&gt;0")/SUMIFS(Countries!$E$5:$E$434,Countries!$A$5:$A$434,"All landing pages",Countries!$B$5:$B$434,"Direct",Countries!$D$5:$D$434,$A564,Countries!$AR$5:$AR$434,"&gt;0"))</f>
        <v/>
      </c>
      <c r="K564" s="45">
        <f>IF(SUMIFS(Countries!$F$5:$F$434,Countries!$A$5:$A$434,"All landing pages",Countries!$B$5:$B$434,"Direct",Countries!$D$5:$D$434,$A564,Countries!$AS$5:$AS$434,"&gt;0")=0,"",SUMIFS(Countries!$AS$5:$AS$434,Countries!$A$5:$A$434,"All landing pages",Countries!$B$5:$B$434,"Direct",Countries!$D$5:$D$434,$A564,Countries!$F$5:$F$434,"&gt;0")/SUMIFS(Countries!$F$5:$F$434,Countries!$A$5:$A$434,"All landing pages",Countries!$B$5:$B$434,"Direct",Countries!$D$5:$D$434,$A564,Countries!$AS$5:$AS$434,"&gt;0"))</f>
        <v/>
      </c>
      <c r="L564" s="44">
        <f>IF(OR(J564="",K564=""),"",(K564-J564)*100)</f>
        <v/>
      </c>
      <c r="M564" s="73" t="n"/>
      <c r="N564" s="45">
        <f>IF(SUMIFS(Countries!$E$5:$E$434,Countries!$A$5:$A$434,"All landing pages",Countries!$D$5:$D$434,$A564,Countries!$AR$5:$AR$434,"&gt;0")=0,"",SUMIFS(Countries!$AR$5:$AR$434,Countries!$A$5:$A$434,"All landing pages",Countries!$D$5:$D$434,$A564,Countries!$E$5:$E$434,"&gt;0")/SUMIFS(Countries!$E$5:$E$434,Countries!$A$5:$A$434,"All landing pages",Countries!$D$5:$D$434,$A564,Countries!$AR$5:$AR$434,"&gt;0"))</f>
        <v/>
      </c>
      <c r="O564" s="45">
        <f>IF(SUMIFS(Countries!$F$5:$F$434,Countries!$A$5:$A$434,"All landing pages",Countries!$D$5:$D$434,$A564,Countries!$AS$5:$AS$434,"&gt;0")=0,"",SUMIFS(Countries!$AS$5:$AS$434,Countries!$A$5:$A$434,"All landing pages",Countries!$D$5:$D$434,$A564,Countries!$F$5:$F$434,"&gt;0")/SUMIFS(Countries!$F$5:$F$434,Countries!$A$5:$A$434,"All landing pages",Countries!$D$5:$D$434,$A564,Countries!$AS$5:$AS$434,"&gt;0"))</f>
        <v/>
      </c>
      <c r="P564" s="44">
        <f>IF(OR(N564="",O564=""),"",(O564-N564)*100)</f>
        <v/>
      </c>
      <c r="Q564" s="73" t="n"/>
    </row>
    <row r="565">
      <c r="A565" s="40" t="inlineStr">
        <is>
          <t>Brazil</t>
        </is>
      </c>
      <c r="B565" s="45">
        <f>IF(SUMIFS(Countries!$E$5:$E$434,Countries!$A$5:$A$434,"All landing pages",Countries!$B$5:$B$434,"Paid Search",Countries!$D$5:$D$434,$A565,Countries!$AR$5:$AR$434,"&gt;0")=0,"",SUMIFS(Countries!$AR$5:$AR$434,Countries!$A$5:$A$434,"All landing pages",Countries!$B$5:$B$434,"Paid Search",Countries!$D$5:$D$434,$A565,Countries!$E$5:$E$434,"&gt;0")/SUMIFS(Countries!$E$5:$E$434,Countries!$A$5:$A$434,"All landing pages",Countries!$B$5:$B$434,"Paid Search",Countries!$D$5:$D$434,$A565,Countries!$AR$5:$AR$434,"&gt;0"))</f>
        <v/>
      </c>
      <c r="C565" s="45">
        <f>IF(SUMIFS(Countries!$F$5:$F$434,Countries!$A$5:$A$434,"All landing pages",Countries!$B$5:$B$434,"Paid Search",Countries!$D$5:$D$434,$A565,Countries!$AS$5:$AS$434,"&gt;0")=0,"",SUMIFS(Countries!$AS$5:$AS$434,Countries!$A$5:$A$434,"All landing pages",Countries!$B$5:$B$434,"Paid Search",Countries!$D$5:$D$434,$A565,Countries!$F$5:$F$434,"&gt;0")/SUMIFS(Countries!$F$5:$F$434,Countries!$A$5:$A$434,"All landing pages",Countries!$B$5:$B$434,"Paid Search",Countries!$D$5:$D$434,$A565,Countries!$AS$5:$AS$434,"&gt;0"))</f>
        <v/>
      </c>
      <c r="D565" s="44">
        <f>IF(OR(B565="",C565=""),"",(C565-B565)*100)</f>
        <v/>
      </c>
      <c r="E565" s="73" t="n"/>
      <c r="F565" s="45">
        <f>IF(SUMIFS(Countries!$E$5:$E$434,Countries!$A$5:$A$434,"All landing pages",Countries!$B$5:$B$434,"Organic",Countries!$D$5:$D$434,$A565,Countries!$AR$5:$AR$434,"&gt;0")=0,"",SUMIFS(Countries!$AR$5:$AR$434,Countries!$A$5:$A$434,"All landing pages",Countries!$B$5:$B$434,"Organic",Countries!$D$5:$D$434,$A565,Countries!$E$5:$E$434,"&gt;0")/SUMIFS(Countries!$E$5:$E$434,Countries!$A$5:$A$434,"All landing pages",Countries!$B$5:$B$434,"Organic",Countries!$D$5:$D$434,$A565,Countries!$AR$5:$AR$434,"&gt;0"))</f>
        <v/>
      </c>
      <c r="G565" s="45">
        <f>IF(SUMIFS(Countries!$F$5:$F$434,Countries!$A$5:$A$434,"All landing pages",Countries!$B$5:$B$434,"Organic",Countries!$D$5:$D$434,$A565,Countries!$AS$5:$AS$434,"&gt;0")=0,"",SUMIFS(Countries!$AS$5:$AS$434,Countries!$A$5:$A$434,"All landing pages",Countries!$B$5:$B$434,"Organic",Countries!$D$5:$D$434,$A565,Countries!$F$5:$F$434,"&gt;0")/SUMIFS(Countries!$F$5:$F$434,Countries!$A$5:$A$434,"All landing pages",Countries!$B$5:$B$434,"Organic",Countries!$D$5:$D$434,$A565,Countries!$AS$5:$AS$434,"&gt;0"))</f>
        <v/>
      </c>
      <c r="H565" s="44">
        <f>IF(OR(F565="",G565=""),"",(G565-F565)*100)</f>
        <v/>
      </c>
      <c r="I565" s="73" t="n"/>
      <c r="J565" s="45">
        <f>IF(SUMIFS(Countries!$E$5:$E$434,Countries!$A$5:$A$434,"All landing pages",Countries!$B$5:$B$434,"Direct",Countries!$D$5:$D$434,$A565,Countries!$AR$5:$AR$434,"&gt;0")=0,"",SUMIFS(Countries!$AR$5:$AR$434,Countries!$A$5:$A$434,"All landing pages",Countries!$B$5:$B$434,"Direct",Countries!$D$5:$D$434,$A565,Countries!$E$5:$E$434,"&gt;0")/SUMIFS(Countries!$E$5:$E$434,Countries!$A$5:$A$434,"All landing pages",Countries!$B$5:$B$434,"Direct",Countries!$D$5:$D$434,$A565,Countries!$AR$5:$AR$434,"&gt;0"))</f>
        <v/>
      </c>
      <c r="K565" s="45">
        <f>IF(SUMIFS(Countries!$F$5:$F$434,Countries!$A$5:$A$434,"All landing pages",Countries!$B$5:$B$434,"Direct",Countries!$D$5:$D$434,$A565,Countries!$AS$5:$AS$434,"&gt;0")=0,"",SUMIFS(Countries!$AS$5:$AS$434,Countries!$A$5:$A$434,"All landing pages",Countries!$B$5:$B$434,"Direct",Countries!$D$5:$D$434,$A565,Countries!$F$5:$F$434,"&gt;0")/SUMIFS(Countries!$F$5:$F$434,Countries!$A$5:$A$434,"All landing pages",Countries!$B$5:$B$434,"Direct",Countries!$D$5:$D$434,$A565,Countries!$AS$5:$AS$434,"&gt;0"))</f>
        <v/>
      </c>
      <c r="L565" s="44">
        <f>IF(OR(J565="",K565=""),"",(K565-J565)*100)</f>
        <v/>
      </c>
      <c r="M565" s="73" t="n"/>
      <c r="N565" s="45">
        <f>IF(SUMIFS(Countries!$E$5:$E$434,Countries!$A$5:$A$434,"All landing pages",Countries!$D$5:$D$434,$A565,Countries!$AR$5:$AR$434,"&gt;0")=0,"",SUMIFS(Countries!$AR$5:$AR$434,Countries!$A$5:$A$434,"All landing pages",Countries!$D$5:$D$434,$A565,Countries!$E$5:$E$434,"&gt;0")/SUMIFS(Countries!$E$5:$E$434,Countries!$A$5:$A$434,"All landing pages",Countries!$D$5:$D$434,$A565,Countries!$AR$5:$AR$434,"&gt;0"))</f>
        <v/>
      </c>
      <c r="O565" s="45">
        <f>IF(SUMIFS(Countries!$F$5:$F$434,Countries!$A$5:$A$434,"All landing pages",Countries!$D$5:$D$434,$A565,Countries!$AS$5:$AS$434,"&gt;0")=0,"",SUMIFS(Countries!$AS$5:$AS$434,Countries!$A$5:$A$434,"All landing pages",Countries!$D$5:$D$434,$A565,Countries!$F$5:$F$434,"&gt;0")/SUMIFS(Countries!$F$5:$F$434,Countries!$A$5:$A$434,"All landing pages",Countries!$D$5:$D$434,$A565,Countries!$AS$5:$AS$434,"&gt;0"))</f>
        <v/>
      </c>
      <c r="P565" s="44">
        <f>IF(OR(N565="",O565=""),"",(O565-N565)*100)</f>
        <v/>
      </c>
      <c r="Q565" s="73" t="n"/>
    </row>
    <row r="566">
      <c r="A566" s="56" t="inlineStr">
        <is>
          <t>China</t>
        </is>
      </c>
      <c r="B566" s="45">
        <f>IF(SUMIFS(Countries!$E$5:$E$434,Countries!$A$5:$A$434,"All landing pages",Countries!$B$5:$B$434,"Paid Search",Countries!$D$5:$D$434,$A566,Countries!$AR$5:$AR$434,"&gt;0")=0,"",SUMIFS(Countries!$AR$5:$AR$434,Countries!$A$5:$A$434,"All landing pages",Countries!$B$5:$B$434,"Paid Search",Countries!$D$5:$D$434,$A566,Countries!$E$5:$E$434,"&gt;0")/SUMIFS(Countries!$E$5:$E$434,Countries!$A$5:$A$434,"All landing pages",Countries!$B$5:$B$434,"Paid Search",Countries!$D$5:$D$434,$A566,Countries!$AR$5:$AR$434,"&gt;0"))</f>
        <v/>
      </c>
      <c r="C566" s="45">
        <f>IF(SUMIFS(Countries!$F$5:$F$434,Countries!$A$5:$A$434,"All landing pages",Countries!$B$5:$B$434,"Paid Search",Countries!$D$5:$D$434,$A566,Countries!$AS$5:$AS$434,"&gt;0")=0,"",SUMIFS(Countries!$AS$5:$AS$434,Countries!$A$5:$A$434,"All landing pages",Countries!$B$5:$B$434,"Paid Search",Countries!$D$5:$D$434,$A566,Countries!$F$5:$F$434,"&gt;0")/SUMIFS(Countries!$F$5:$F$434,Countries!$A$5:$A$434,"All landing pages",Countries!$B$5:$B$434,"Paid Search",Countries!$D$5:$D$434,$A566,Countries!$AS$5:$AS$434,"&gt;0"))</f>
        <v/>
      </c>
      <c r="D566" s="44">
        <f>IF(OR(B566="",C566=""),"",(C566-B566)*100)</f>
        <v/>
      </c>
      <c r="E566" s="73" t="n"/>
      <c r="F566" s="45">
        <f>IF(SUMIFS(Countries!$E$5:$E$434,Countries!$A$5:$A$434,"All landing pages",Countries!$B$5:$B$434,"Organic",Countries!$D$5:$D$434,$A566,Countries!$AR$5:$AR$434,"&gt;0")=0,"",SUMIFS(Countries!$AR$5:$AR$434,Countries!$A$5:$A$434,"All landing pages",Countries!$B$5:$B$434,"Organic",Countries!$D$5:$D$434,$A566,Countries!$E$5:$E$434,"&gt;0")/SUMIFS(Countries!$E$5:$E$434,Countries!$A$5:$A$434,"All landing pages",Countries!$B$5:$B$434,"Organic",Countries!$D$5:$D$434,$A566,Countries!$AR$5:$AR$434,"&gt;0"))</f>
        <v/>
      </c>
      <c r="G566" s="45">
        <f>IF(SUMIFS(Countries!$F$5:$F$434,Countries!$A$5:$A$434,"All landing pages",Countries!$B$5:$B$434,"Organic",Countries!$D$5:$D$434,$A566,Countries!$AS$5:$AS$434,"&gt;0")=0,"",SUMIFS(Countries!$AS$5:$AS$434,Countries!$A$5:$A$434,"All landing pages",Countries!$B$5:$B$434,"Organic",Countries!$D$5:$D$434,$A566,Countries!$F$5:$F$434,"&gt;0")/SUMIFS(Countries!$F$5:$F$434,Countries!$A$5:$A$434,"All landing pages",Countries!$B$5:$B$434,"Organic",Countries!$D$5:$D$434,$A566,Countries!$AS$5:$AS$434,"&gt;0"))</f>
        <v/>
      </c>
      <c r="H566" s="44">
        <f>IF(OR(F566="",G566=""),"",(G566-F566)*100)</f>
        <v/>
      </c>
      <c r="I566" s="73" t="n"/>
      <c r="J566" s="45">
        <f>IF(SUMIFS(Countries!$E$5:$E$434,Countries!$A$5:$A$434,"All landing pages",Countries!$B$5:$B$434,"Direct",Countries!$D$5:$D$434,$A566,Countries!$AR$5:$AR$434,"&gt;0")=0,"",SUMIFS(Countries!$AR$5:$AR$434,Countries!$A$5:$A$434,"All landing pages",Countries!$B$5:$B$434,"Direct",Countries!$D$5:$D$434,$A566,Countries!$E$5:$E$434,"&gt;0")/SUMIFS(Countries!$E$5:$E$434,Countries!$A$5:$A$434,"All landing pages",Countries!$B$5:$B$434,"Direct",Countries!$D$5:$D$434,$A566,Countries!$AR$5:$AR$434,"&gt;0"))</f>
        <v/>
      </c>
      <c r="K566" s="45">
        <f>IF(SUMIFS(Countries!$F$5:$F$434,Countries!$A$5:$A$434,"All landing pages",Countries!$B$5:$B$434,"Direct",Countries!$D$5:$D$434,$A566,Countries!$AS$5:$AS$434,"&gt;0")=0,"",SUMIFS(Countries!$AS$5:$AS$434,Countries!$A$5:$A$434,"All landing pages",Countries!$B$5:$B$434,"Direct",Countries!$D$5:$D$434,$A566,Countries!$F$5:$F$434,"&gt;0")/SUMIFS(Countries!$F$5:$F$434,Countries!$A$5:$A$434,"All landing pages",Countries!$B$5:$B$434,"Direct",Countries!$D$5:$D$434,$A566,Countries!$AS$5:$AS$434,"&gt;0"))</f>
        <v/>
      </c>
      <c r="L566" s="44">
        <f>IF(OR(J566="",K566=""),"",(K566-J566)*100)</f>
        <v/>
      </c>
      <c r="M566" s="73" t="n"/>
      <c r="N566" s="45">
        <f>IF(SUMIFS(Countries!$E$5:$E$434,Countries!$A$5:$A$434,"All landing pages",Countries!$D$5:$D$434,$A566,Countries!$AR$5:$AR$434,"&gt;0")=0,"",SUMIFS(Countries!$AR$5:$AR$434,Countries!$A$5:$A$434,"All landing pages",Countries!$D$5:$D$434,$A566,Countries!$E$5:$E$434,"&gt;0")/SUMIFS(Countries!$E$5:$E$434,Countries!$A$5:$A$434,"All landing pages",Countries!$D$5:$D$434,$A566,Countries!$AR$5:$AR$434,"&gt;0"))</f>
        <v/>
      </c>
      <c r="O566" s="45">
        <f>IF(SUMIFS(Countries!$F$5:$F$434,Countries!$A$5:$A$434,"All landing pages",Countries!$D$5:$D$434,$A566,Countries!$AS$5:$AS$434,"&gt;0")=0,"",SUMIFS(Countries!$AS$5:$AS$434,Countries!$A$5:$A$434,"All landing pages",Countries!$D$5:$D$434,$A566,Countries!$F$5:$F$434,"&gt;0")/SUMIFS(Countries!$F$5:$F$434,Countries!$A$5:$A$434,"All landing pages",Countries!$D$5:$D$434,$A566,Countries!$AS$5:$AS$434,"&gt;0"))</f>
        <v/>
      </c>
      <c r="P566" s="44">
        <f>IF(OR(N566="",O566=""),"",(O566-N566)*100)</f>
        <v/>
      </c>
      <c r="Q566" s="73" t="n"/>
    </row>
    <row r="567">
      <c r="A567" s="40" t="inlineStr">
        <is>
          <t>Croatia</t>
        </is>
      </c>
      <c r="B567" s="45">
        <f>IF(SUMIFS(Countries!$E$5:$E$434,Countries!$A$5:$A$434,"All landing pages",Countries!$B$5:$B$434,"Paid Search",Countries!$D$5:$D$434,$A567,Countries!$AR$5:$AR$434,"&gt;0")=0,"",SUMIFS(Countries!$AR$5:$AR$434,Countries!$A$5:$A$434,"All landing pages",Countries!$B$5:$B$434,"Paid Search",Countries!$D$5:$D$434,$A567,Countries!$E$5:$E$434,"&gt;0")/SUMIFS(Countries!$E$5:$E$434,Countries!$A$5:$A$434,"All landing pages",Countries!$B$5:$B$434,"Paid Search",Countries!$D$5:$D$434,$A567,Countries!$AR$5:$AR$434,"&gt;0"))</f>
        <v/>
      </c>
      <c r="C567" s="45">
        <f>IF(SUMIFS(Countries!$F$5:$F$434,Countries!$A$5:$A$434,"All landing pages",Countries!$B$5:$B$434,"Paid Search",Countries!$D$5:$D$434,$A567,Countries!$AS$5:$AS$434,"&gt;0")=0,"",SUMIFS(Countries!$AS$5:$AS$434,Countries!$A$5:$A$434,"All landing pages",Countries!$B$5:$B$434,"Paid Search",Countries!$D$5:$D$434,$A567,Countries!$F$5:$F$434,"&gt;0")/SUMIFS(Countries!$F$5:$F$434,Countries!$A$5:$A$434,"All landing pages",Countries!$B$5:$B$434,"Paid Search",Countries!$D$5:$D$434,$A567,Countries!$AS$5:$AS$434,"&gt;0"))</f>
        <v/>
      </c>
      <c r="D567" s="44">
        <f>IF(OR(B567="",C567=""),"",(C567-B567)*100)</f>
        <v/>
      </c>
      <c r="E567" s="73" t="n"/>
      <c r="F567" s="45">
        <f>IF(SUMIFS(Countries!$E$5:$E$434,Countries!$A$5:$A$434,"All landing pages",Countries!$B$5:$B$434,"Organic",Countries!$D$5:$D$434,$A567,Countries!$AR$5:$AR$434,"&gt;0")=0,"",SUMIFS(Countries!$AR$5:$AR$434,Countries!$A$5:$A$434,"All landing pages",Countries!$B$5:$B$434,"Organic",Countries!$D$5:$D$434,$A567,Countries!$E$5:$E$434,"&gt;0")/SUMIFS(Countries!$E$5:$E$434,Countries!$A$5:$A$434,"All landing pages",Countries!$B$5:$B$434,"Organic",Countries!$D$5:$D$434,$A567,Countries!$AR$5:$AR$434,"&gt;0"))</f>
        <v/>
      </c>
      <c r="G567" s="45">
        <f>IF(SUMIFS(Countries!$F$5:$F$434,Countries!$A$5:$A$434,"All landing pages",Countries!$B$5:$B$434,"Organic",Countries!$D$5:$D$434,$A567,Countries!$AS$5:$AS$434,"&gt;0")=0,"",SUMIFS(Countries!$AS$5:$AS$434,Countries!$A$5:$A$434,"All landing pages",Countries!$B$5:$B$434,"Organic",Countries!$D$5:$D$434,$A567,Countries!$F$5:$F$434,"&gt;0")/SUMIFS(Countries!$F$5:$F$434,Countries!$A$5:$A$434,"All landing pages",Countries!$B$5:$B$434,"Organic",Countries!$D$5:$D$434,$A567,Countries!$AS$5:$AS$434,"&gt;0"))</f>
        <v/>
      </c>
      <c r="H567" s="44">
        <f>IF(OR(F567="",G567=""),"",(G567-F567)*100)</f>
        <v/>
      </c>
      <c r="I567" s="73" t="n"/>
      <c r="J567" s="45">
        <f>IF(SUMIFS(Countries!$E$5:$E$434,Countries!$A$5:$A$434,"All landing pages",Countries!$B$5:$B$434,"Direct",Countries!$D$5:$D$434,$A567,Countries!$AR$5:$AR$434,"&gt;0")=0,"",SUMIFS(Countries!$AR$5:$AR$434,Countries!$A$5:$A$434,"All landing pages",Countries!$B$5:$B$434,"Direct",Countries!$D$5:$D$434,$A567,Countries!$E$5:$E$434,"&gt;0")/SUMIFS(Countries!$E$5:$E$434,Countries!$A$5:$A$434,"All landing pages",Countries!$B$5:$B$434,"Direct",Countries!$D$5:$D$434,$A567,Countries!$AR$5:$AR$434,"&gt;0"))</f>
        <v/>
      </c>
      <c r="K567" s="45">
        <f>IF(SUMIFS(Countries!$F$5:$F$434,Countries!$A$5:$A$434,"All landing pages",Countries!$B$5:$B$434,"Direct",Countries!$D$5:$D$434,$A567,Countries!$AS$5:$AS$434,"&gt;0")=0,"",SUMIFS(Countries!$AS$5:$AS$434,Countries!$A$5:$A$434,"All landing pages",Countries!$B$5:$B$434,"Direct",Countries!$D$5:$D$434,$A567,Countries!$F$5:$F$434,"&gt;0")/SUMIFS(Countries!$F$5:$F$434,Countries!$A$5:$A$434,"All landing pages",Countries!$B$5:$B$434,"Direct",Countries!$D$5:$D$434,$A567,Countries!$AS$5:$AS$434,"&gt;0"))</f>
        <v/>
      </c>
      <c r="L567" s="44">
        <f>IF(OR(J567="",K567=""),"",(K567-J567)*100)</f>
        <v/>
      </c>
      <c r="M567" s="73" t="n"/>
      <c r="N567" s="45">
        <f>IF(SUMIFS(Countries!$E$5:$E$434,Countries!$A$5:$A$434,"All landing pages",Countries!$D$5:$D$434,$A567,Countries!$AR$5:$AR$434,"&gt;0")=0,"",SUMIFS(Countries!$AR$5:$AR$434,Countries!$A$5:$A$434,"All landing pages",Countries!$D$5:$D$434,$A567,Countries!$E$5:$E$434,"&gt;0")/SUMIFS(Countries!$E$5:$E$434,Countries!$A$5:$A$434,"All landing pages",Countries!$D$5:$D$434,$A567,Countries!$AR$5:$AR$434,"&gt;0"))</f>
        <v/>
      </c>
      <c r="O567" s="45">
        <f>IF(SUMIFS(Countries!$F$5:$F$434,Countries!$A$5:$A$434,"All landing pages",Countries!$D$5:$D$434,$A567,Countries!$AS$5:$AS$434,"&gt;0")=0,"",SUMIFS(Countries!$AS$5:$AS$434,Countries!$A$5:$A$434,"All landing pages",Countries!$D$5:$D$434,$A567,Countries!$F$5:$F$434,"&gt;0")/SUMIFS(Countries!$F$5:$F$434,Countries!$A$5:$A$434,"All landing pages",Countries!$D$5:$D$434,$A567,Countries!$AS$5:$AS$434,"&gt;0"))</f>
        <v/>
      </c>
      <c r="P567" s="44">
        <f>IF(OR(N567="",O567=""),"",(O567-N567)*100)</f>
        <v/>
      </c>
      <c r="Q567" s="73" t="n"/>
    </row>
    <row r="568">
      <c r="A568" s="56" t="inlineStr">
        <is>
          <t>Honduras</t>
        </is>
      </c>
      <c r="B568" s="45">
        <f>IF(SUMIFS(Countries!$E$5:$E$434,Countries!$A$5:$A$434,"All landing pages",Countries!$B$5:$B$434,"Paid Search",Countries!$D$5:$D$434,$A568,Countries!$AR$5:$AR$434,"&gt;0")=0,"",SUMIFS(Countries!$AR$5:$AR$434,Countries!$A$5:$A$434,"All landing pages",Countries!$B$5:$B$434,"Paid Search",Countries!$D$5:$D$434,$A568,Countries!$E$5:$E$434,"&gt;0")/SUMIFS(Countries!$E$5:$E$434,Countries!$A$5:$A$434,"All landing pages",Countries!$B$5:$B$434,"Paid Search",Countries!$D$5:$D$434,$A568,Countries!$AR$5:$AR$434,"&gt;0"))</f>
        <v/>
      </c>
      <c r="C568" s="45">
        <f>IF(SUMIFS(Countries!$F$5:$F$434,Countries!$A$5:$A$434,"All landing pages",Countries!$B$5:$B$434,"Paid Search",Countries!$D$5:$D$434,$A568,Countries!$AS$5:$AS$434,"&gt;0")=0,"",SUMIFS(Countries!$AS$5:$AS$434,Countries!$A$5:$A$434,"All landing pages",Countries!$B$5:$B$434,"Paid Search",Countries!$D$5:$D$434,$A568,Countries!$F$5:$F$434,"&gt;0")/SUMIFS(Countries!$F$5:$F$434,Countries!$A$5:$A$434,"All landing pages",Countries!$B$5:$B$434,"Paid Search",Countries!$D$5:$D$434,$A568,Countries!$AS$5:$AS$434,"&gt;0"))</f>
        <v/>
      </c>
      <c r="D568" s="44">
        <f>IF(OR(B568="",C568=""),"",(C568-B568)*100)</f>
        <v/>
      </c>
      <c r="E568" s="73" t="n"/>
      <c r="F568" s="45">
        <f>IF(SUMIFS(Countries!$E$5:$E$434,Countries!$A$5:$A$434,"All landing pages",Countries!$B$5:$B$434,"Organic",Countries!$D$5:$D$434,$A568,Countries!$AR$5:$AR$434,"&gt;0")=0,"",SUMIFS(Countries!$AR$5:$AR$434,Countries!$A$5:$A$434,"All landing pages",Countries!$B$5:$B$434,"Organic",Countries!$D$5:$D$434,$A568,Countries!$E$5:$E$434,"&gt;0")/SUMIFS(Countries!$E$5:$E$434,Countries!$A$5:$A$434,"All landing pages",Countries!$B$5:$B$434,"Organic",Countries!$D$5:$D$434,$A568,Countries!$AR$5:$AR$434,"&gt;0"))</f>
        <v/>
      </c>
      <c r="G568" s="45">
        <f>IF(SUMIFS(Countries!$F$5:$F$434,Countries!$A$5:$A$434,"All landing pages",Countries!$B$5:$B$434,"Organic",Countries!$D$5:$D$434,$A568,Countries!$AS$5:$AS$434,"&gt;0")=0,"",SUMIFS(Countries!$AS$5:$AS$434,Countries!$A$5:$A$434,"All landing pages",Countries!$B$5:$B$434,"Organic",Countries!$D$5:$D$434,$A568,Countries!$F$5:$F$434,"&gt;0")/SUMIFS(Countries!$F$5:$F$434,Countries!$A$5:$A$434,"All landing pages",Countries!$B$5:$B$434,"Organic",Countries!$D$5:$D$434,$A568,Countries!$AS$5:$AS$434,"&gt;0"))</f>
        <v/>
      </c>
      <c r="H568" s="44">
        <f>IF(OR(F568="",G568=""),"",(G568-F568)*100)</f>
        <v/>
      </c>
      <c r="I568" s="73" t="n"/>
      <c r="J568" s="45">
        <f>IF(SUMIFS(Countries!$E$5:$E$434,Countries!$A$5:$A$434,"All landing pages",Countries!$B$5:$B$434,"Direct",Countries!$D$5:$D$434,$A568,Countries!$AR$5:$AR$434,"&gt;0")=0,"",SUMIFS(Countries!$AR$5:$AR$434,Countries!$A$5:$A$434,"All landing pages",Countries!$B$5:$B$434,"Direct",Countries!$D$5:$D$434,$A568,Countries!$E$5:$E$434,"&gt;0")/SUMIFS(Countries!$E$5:$E$434,Countries!$A$5:$A$434,"All landing pages",Countries!$B$5:$B$434,"Direct",Countries!$D$5:$D$434,$A568,Countries!$AR$5:$AR$434,"&gt;0"))</f>
        <v/>
      </c>
      <c r="K568" s="45">
        <f>IF(SUMIFS(Countries!$F$5:$F$434,Countries!$A$5:$A$434,"All landing pages",Countries!$B$5:$B$434,"Direct",Countries!$D$5:$D$434,$A568,Countries!$AS$5:$AS$434,"&gt;0")=0,"",SUMIFS(Countries!$AS$5:$AS$434,Countries!$A$5:$A$434,"All landing pages",Countries!$B$5:$B$434,"Direct",Countries!$D$5:$D$434,$A568,Countries!$F$5:$F$434,"&gt;0")/SUMIFS(Countries!$F$5:$F$434,Countries!$A$5:$A$434,"All landing pages",Countries!$B$5:$B$434,"Direct",Countries!$D$5:$D$434,$A568,Countries!$AS$5:$AS$434,"&gt;0"))</f>
        <v/>
      </c>
      <c r="L568" s="44">
        <f>IF(OR(J568="",K568=""),"",(K568-J568)*100)</f>
        <v/>
      </c>
      <c r="M568" s="73" t="n"/>
      <c r="N568" s="45">
        <f>IF(SUMIFS(Countries!$E$5:$E$434,Countries!$A$5:$A$434,"All landing pages",Countries!$D$5:$D$434,$A568,Countries!$AR$5:$AR$434,"&gt;0")=0,"",SUMIFS(Countries!$AR$5:$AR$434,Countries!$A$5:$A$434,"All landing pages",Countries!$D$5:$D$434,$A568,Countries!$E$5:$E$434,"&gt;0")/SUMIFS(Countries!$E$5:$E$434,Countries!$A$5:$A$434,"All landing pages",Countries!$D$5:$D$434,$A568,Countries!$AR$5:$AR$434,"&gt;0"))</f>
        <v/>
      </c>
      <c r="O568" s="45">
        <f>IF(SUMIFS(Countries!$F$5:$F$434,Countries!$A$5:$A$434,"All landing pages",Countries!$D$5:$D$434,$A568,Countries!$AS$5:$AS$434,"&gt;0")=0,"",SUMIFS(Countries!$AS$5:$AS$434,Countries!$A$5:$A$434,"All landing pages",Countries!$D$5:$D$434,$A568,Countries!$F$5:$F$434,"&gt;0")/SUMIFS(Countries!$F$5:$F$434,Countries!$A$5:$A$434,"All landing pages",Countries!$D$5:$D$434,$A568,Countries!$AS$5:$AS$434,"&gt;0"))</f>
        <v/>
      </c>
      <c r="P568" s="44">
        <f>IF(OR(N568="",O568=""),"",(O568-N568)*100)</f>
        <v/>
      </c>
      <c r="Q568" s="73" t="n"/>
    </row>
    <row r="569">
      <c r="A569" s="40" t="inlineStr">
        <is>
          <t>Israel</t>
        </is>
      </c>
      <c r="B569" s="45">
        <f>IF(SUMIFS(Countries!$E$5:$E$434,Countries!$A$5:$A$434,"All landing pages",Countries!$B$5:$B$434,"Paid Search",Countries!$D$5:$D$434,$A569,Countries!$AR$5:$AR$434,"&gt;0")=0,"",SUMIFS(Countries!$AR$5:$AR$434,Countries!$A$5:$A$434,"All landing pages",Countries!$B$5:$B$434,"Paid Search",Countries!$D$5:$D$434,$A569,Countries!$E$5:$E$434,"&gt;0")/SUMIFS(Countries!$E$5:$E$434,Countries!$A$5:$A$434,"All landing pages",Countries!$B$5:$B$434,"Paid Search",Countries!$D$5:$D$434,$A569,Countries!$AR$5:$AR$434,"&gt;0"))</f>
        <v/>
      </c>
      <c r="C569" s="45">
        <f>IF(SUMIFS(Countries!$F$5:$F$434,Countries!$A$5:$A$434,"All landing pages",Countries!$B$5:$B$434,"Paid Search",Countries!$D$5:$D$434,$A569,Countries!$AS$5:$AS$434,"&gt;0")=0,"",SUMIFS(Countries!$AS$5:$AS$434,Countries!$A$5:$A$434,"All landing pages",Countries!$B$5:$B$434,"Paid Search",Countries!$D$5:$D$434,$A569,Countries!$F$5:$F$434,"&gt;0")/SUMIFS(Countries!$F$5:$F$434,Countries!$A$5:$A$434,"All landing pages",Countries!$B$5:$B$434,"Paid Search",Countries!$D$5:$D$434,$A569,Countries!$AS$5:$AS$434,"&gt;0"))</f>
        <v/>
      </c>
      <c r="D569" s="44">
        <f>IF(OR(B569="",C569=""),"",(C569-B569)*100)</f>
        <v/>
      </c>
      <c r="E569" s="73" t="n"/>
      <c r="F569" s="45">
        <f>IF(SUMIFS(Countries!$E$5:$E$434,Countries!$A$5:$A$434,"All landing pages",Countries!$B$5:$B$434,"Organic",Countries!$D$5:$D$434,$A569,Countries!$AR$5:$AR$434,"&gt;0")=0,"",SUMIFS(Countries!$AR$5:$AR$434,Countries!$A$5:$A$434,"All landing pages",Countries!$B$5:$B$434,"Organic",Countries!$D$5:$D$434,$A569,Countries!$E$5:$E$434,"&gt;0")/SUMIFS(Countries!$E$5:$E$434,Countries!$A$5:$A$434,"All landing pages",Countries!$B$5:$B$434,"Organic",Countries!$D$5:$D$434,$A569,Countries!$AR$5:$AR$434,"&gt;0"))</f>
        <v/>
      </c>
      <c r="G569" s="45">
        <f>IF(SUMIFS(Countries!$F$5:$F$434,Countries!$A$5:$A$434,"All landing pages",Countries!$B$5:$B$434,"Organic",Countries!$D$5:$D$434,$A569,Countries!$AS$5:$AS$434,"&gt;0")=0,"",SUMIFS(Countries!$AS$5:$AS$434,Countries!$A$5:$A$434,"All landing pages",Countries!$B$5:$B$434,"Organic",Countries!$D$5:$D$434,$A569,Countries!$F$5:$F$434,"&gt;0")/SUMIFS(Countries!$F$5:$F$434,Countries!$A$5:$A$434,"All landing pages",Countries!$B$5:$B$434,"Organic",Countries!$D$5:$D$434,$A569,Countries!$AS$5:$AS$434,"&gt;0"))</f>
        <v/>
      </c>
      <c r="H569" s="44">
        <f>IF(OR(F569="",G569=""),"",(G569-F569)*100)</f>
        <v/>
      </c>
      <c r="I569" s="73" t="n"/>
      <c r="J569" s="45">
        <f>IF(SUMIFS(Countries!$E$5:$E$434,Countries!$A$5:$A$434,"All landing pages",Countries!$B$5:$B$434,"Direct",Countries!$D$5:$D$434,$A569,Countries!$AR$5:$AR$434,"&gt;0")=0,"",SUMIFS(Countries!$AR$5:$AR$434,Countries!$A$5:$A$434,"All landing pages",Countries!$B$5:$B$434,"Direct",Countries!$D$5:$D$434,$A569,Countries!$E$5:$E$434,"&gt;0")/SUMIFS(Countries!$E$5:$E$434,Countries!$A$5:$A$434,"All landing pages",Countries!$B$5:$B$434,"Direct",Countries!$D$5:$D$434,$A569,Countries!$AR$5:$AR$434,"&gt;0"))</f>
        <v/>
      </c>
      <c r="K569" s="45">
        <f>IF(SUMIFS(Countries!$F$5:$F$434,Countries!$A$5:$A$434,"All landing pages",Countries!$B$5:$B$434,"Direct",Countries!$D$5:$D$434,$A569,Countries!$AS$5:$AS$434,"&gt;0")=0,"",SUMIFS(Countries!$AS$5:$AS$434,Countries!$A$5:$A$434,"All landing pages",Countries!$B$5:$B$434,"Direct",Countries!$D$5:$D$434,$A569,Countries!$F$5:$F$434,"&gt;0")/SUMIFS(Countries!$F$5:$F$434,Countries!$A$5:$A$434,"All landing pages",Countries!$B$5:$B$434,"Direct",Countries!$D$5:$D$434,$A569,Countries!$AS$5:$AS$434,"&gt;0"))</f>
        <v/>
      </c>
      <c r="L569" s="44">
        <f>IF(OR(J569="",K569=""),"",(K569-J569)*100)</f>
        <v/>
      </c>
      <c r="M569" s="73" t="n"/>
      <c r="N569" s="45">
        <f>IF(SUMIFS(Countries!$E$5:$E$434,Countries!$A$5:$A$434,"All landing pages",Countries!$D$5:$D$434,$A569,Countries!$AR$5:$AR$434,"&gt;0")=0,"",SUMIFS(Countries!$AR$5:$AR$434,Countries!$A$5:$A$434,"All landing pages",Countries!$D$5:$D$434,$A569,Countries!$E$5:$E$434,"&gt;0")/SUMIFS(Countries!$E$5:$E$434,Countries!$A$5:$A$434,"All landing pages",Countries!$D$5:$D$434,$A569,Countries!$AR$5:$AR$434,"&gt;0"))</f>
        <v/>
      </c>
      <c r="O569" s="45">
        <f>IF(SUMIFS(Countries!$F$5:$F$434,Countries!$A$5:$A$434,"All landing pages",Countries!$D$5:$D$434,$A569,Countries!$AS$5:$AS$434,"&gt;0")=0,"",SUMIFS(Countries!$AS$5:$AS$434,Countries!$A$5:$A$434,"All landing pages",Countries!$D$5:$D$434,$A569,Countries!$F$5:$F$434,"&gt;0")/SUMIFS(Countries!$F$5:$F$434,Countries!$A$5:$A$434,"All landing pages",Countries!$D$5:$D$434,$A569,Countries!$AS$5:$AS$434,"&gt;0"))</f>
        <v/>
      </c>
      <c r="P569" s="44">
        <f>IF(OR(N569="",O569=""),"",(O569-N569)*100)</f>
        <v/>
      </c>
      <c r="Q569" s="73" t="n"/>
    </row>
    <row r="570">
      <c r="A570" s="56" t="inlineStr">
        <is>
          <t>Philippines</t>
        </is>
      </c>
      <c r="B570" s="45">
        <f>IF(SUMIFS(Countries!$E$5:$E$434,Countries!$A$5:$A$434,"All landing pages",Countries!$B$5:$B$434,"Paid Search",Countries!$D$5:$D$434,$A570,Countries!$AR$5:$AR$434,"&gt;0")=0,"",SUMIFS(Countries!$AR$5:$AR$434,Countries!$A$5:$A$434,"All landing pages",Countries!$B$5:$B$434,"Paid Search",Countries!$D$5:$D$434,$A570,Countries!$E$5:$E$434,"&gt;0")/SUMIFS(Countries!$E$5:$E$434,Countries!$A$5:$A$434,"All landing pages",Countries!$B$5:$B$434,"Paid Search",Countries!$D$5:$D$434,$A570,Countries!$AR$5:$AR$434,"&gt;0"))</f>
        <v/>
      </c>
      <c r="C570" s="45">
        <f>IF(SUMIFS(Countries!$F$5:$F$434,Countries!$A$5:$A$434,"All landing pages",Countries!$B$5:$B$434,"Paid Search",Countries!$D$5:$D$434,$A570,Countries!$AS$5:$AS$434,"&gt;0")=0,"",SUMIFS(Countries!$AS$5:$AS$434,Countries!$A$5:$A$434,"All landing pages",Countries!$B$5:$B$434,"Paid Search",Countries!$D$5:$D$434,$A570,Countries!$F$5:$F$434,"&gt;0")/SUMIFS(Countries!$F$5:$F$434,Countries!$A$5:$A$434,"All landing pages",Countries!$B$5:$B$434,"Paid Search",Countries!$D$5:$D$434,$A570,Countries!$AS$5:$AS$434,"&gt;0"))</f>
        <v/>
      </c>
      <c r="D570" s="44">
        <f>IF(OR(B570="",C570=""),"",(C570-B570)*100)</f>
        <v/>
      </c>
      <c r="E570" s="73" t="n"/>
      <c r="F570" s="45">
        <f>IF(SUMIFS(Countries!$E$5:$E$434,Countries!$A$5:$A$434,"All landing pages",Countries!$B$5:$B$434,"Organic",Countries!$D$5:$D$434,$A570,Countries!$AR$5:$AR$434,"&gt;0")=0,"",SUMIFS(Countries!$AR$5:$AR$434,Countries!$A$5:$A$434,"All landing pages",Countries!$B$5:$B$434,"Organic",Countries!$D$5:$D$434,$A570,Countries!$E$5:$E$434,"&gt;0")/SUMIFS(Countries!$E$5:$E$434,Countries!$A$5:$A$434,"All landing pages",Countries!$B$5:$B$434,"Organic",Countries!$D$5:$D$434,$A570,Countries!$AR$5:$AR$434,"&gt;0"))</f>
        <v/>
      </c>
      <c r="G570" s="45">
        <f>IF(SUMIFS(Countries!$F$5:$F$434,Countries!$A$5:$A$434,"All landing pages",Countries!$B$5:$B$434,"Organic",Countries!$D$5:$D$434,$A570,Countries!$AS$5:$AS$434,"&gt;0")=0,"",SUMIFS(Countries!$AS$5:$AS$434,Countries!$A$5:$A$434,"All landing pages",Countries!$B$5:$B$434,"Organic",Countries!$D$5:$D$434,$A570,Countries!$F$5:$F$434,"&gt;0")/SUMIFS(Countries!$F$5:$F$434,Countries!$A$5:$A$434,"All landing pages",Countries!$B$5:$B$434,"Organic",Countries!$D$5:$D$434,$A570,Countries!$AS$5:$AS$434,"&gt;0"))</f>
        <v/>
      </c>
      <c r="H570" s="44">
        <f>IF(OR(F570="",G570=""),"",(G570-F570)*100)</f>
        <v/>
      </c>
      <c r="I570" s="73" t="n"/>
      <c r="J570" s="45">
        <f>IF(SUMIFS(Countries!$E$5:$E$434,Countries!$A$5:$A$434,"All landing pages",Countries!$B$5:$B$434,"Direct",Countries!$D$5:$D$434,$A570,Countries!$AR$5:$AR$434,"&gt;0")=0,"",SUMIFS(Countries!$AR$5:$AR$434,Countries!$A$5:$A$434,"All landing pages",Countries!$B$5:$B$434,"Direct",Countries!$D$5:$D$434,$A570,Countries!$E$5:$E$434,"&gt;0")/SUMIFS(Countries!$E$5:$E$434,Countries!$A$5:$A$434,"All landing pages",Countries!$B$5:$B$434,"Direct",Countries!$D$5:$D$434,$A570,Countries!$AR$5:$AR$434,"&gt;0"))</f>
        <v/>
      </c>
      <c r="K570" s="45">
        <f>IF(SUMIFS(Countries!$F$5:$F$434,Countries!$A$5:$A$434,"All landing pages",Countries!$B$5:$B$434,"Direct",Countries!$D$5:$D$434,$A570,Countries!$AS$5:$AS$434,"&gt;0")=0,"",SUMIFS(Countries!$AS$5:$AS$434,Countries!$A$5:$A$434,"All landing pages",Countries!$B$5:$B$434,"Direct",Countries!$D$5:$D$434,$A570,Countries!$F$5:$F$434,"&gt;0")/SUMIFS(Countries!$F$5:$F$434,Countries!$A$5:$A$434,"All landing pages",Countries!$B$5:$B$434,"Direct",Countries!$D$5:$D$434,$A570,Countries!$AS$5:$AS$434,"&gt;0"))</f>
        <v/>
      </c>
      <c r="L570" s="44">
        <f>IF(OR(J570="",K570=""),"",(K570-J570)*100)</f>
        <v/>
      </c>
      <c r="M570" s="73" t="n"/>
      <c r="N570" s="45">
        <f>IF(SUMIFS(Countries!$E$5:$E$434,Countries!$A$5:$A$434,"All landing pages",Countries!$D$5:$D$434,$A570,Countries!$AR$5:$AR$434,"&gt;0")=0,"",SUMIFS(Countries!$AR$5:$AR$434,Countries!$A$5:$A$434,"All landing pages",Countries!$D$5:$D$434,$A570,Countries!$E$5:$E$434,"&gt;0")/SUMIFS(Countries!$E$5:$E$434,Countries!$A$5:$A$434,"All landing pages",Countries!$D$5:$D$434,$A570,Countries!$AR$5:$AR$434,"&gt;0"))</f>
        <v/>
      </c>
      <c r="O570" s="45">
        <f>IF(SUMIFS(Countries!$F$5:$F$434,Countries!$A$5:$A$434,"All landing pages",Countries!$D$5:$D$434,$A570,Countries!$AS$5:$AS$434,"&gt;0")=0,"",SUMIFS(Countries!$AS$5:$AS$434,Countries!$A$5:$A$434,"All landing pages",Countries!$D$5:$D$434,$A570,Countries!$F$5:$F$434,"&gt;0")/SUMIFS(Countries!$F$5:$F$434,Countries!$A$5:$A$434,"All landing pages",Countries!$D$5:$D$434,$A570,Countries!$AS$5:$AS$434,"&gt;0"))</f>
        <v/>
      </c>
      <c r="P570" s="44">
        <f>IF(OR(N570="",O570=""),"",(O570-N570)*100)</f>
        <v/>
      </c>
      <c r="Q570" s="73" t="n"/>
    </row>
    <row r="571">
      <c r="A571" s="40" t="inlineStr">
        <is>
          <t>Ukraine</t>
        </is>
      </c>
      <c r="B571" s="45">
        <f>IF(SUMIFS(Countries!$E$5:$E$434,Countries!$A$5:$A$434,"All landing pages",Countries!$B$5:$B$434,"Paid Search",Countries!$D$5:$D$434,$A571,Countries!$AR$5:$AR$434,"&gt;0")=0,"",SUMIFS(Countries!$AR$5:$AR$434,Countries!$A$5:$A$434,"All landing pages",Countries!$B$5:$B$434,"Paid Search",Countries!$D$5:$D$434,$A571,Countries!$E$5:$E$434,"&gt;0")/SUMIFS(Countries!$E$5:$E$434,Countries!$A$5:$A$434,"All landing pages",Countries!$B$5:$B$434,"Paid Search",Countries!$D$5:$D$434,$A571,Countries!$AR$5:$AR$434,"&gt;0"))</f>
        <v/>
      </c>
      <c r="C571" s="45">
        <f>IF(SUMIFS(Countries!$F$5:$F$434,Countries!$A$5:$A$434,"All landing pages",Countries!$B$5:$B$434,"Paid Search",Countries!$D$5:$D$434,$A571,Countries!$AS$5:$AS$434,"&gt;0")=0,"",SUMIFS(Countries!$AS$5:$AS$434,Countries!$A$5:$A$434,"All landing pages",Countries!$B$5:$B$434,"Paid Search",Countries!$D$5:$D$434,$A571,Countries!$F$5:$F$434,"&gt;0")/SUMIFS(Countries!$F$5:$F$434,Countries!$A$5:$A$434,"All landing pages",Countries!$B$5:$B$434,"Paid Search",Countries!$D$5:$D$434,$A571,Countries!$AS$5:$AS$434,"&gt;0"))</f>
        <v/>
      </c>
      <c r="D571" s="44">
        <f>IF(OR(B571="",C571=""),"",(C571-B571)*100)</f>
        <v/>
      </c>
      <c r="E571" s="73" t="n"/>
      <c r="F571" s="45">
        <f>IF(SUMIFS(Countries!$E$5:$E$434,Countries!$A$5:$A$434,"All landing pages",Countries!$B$5:$B$434,"Organic",Countries!$D$5:$D$434,$A571,Countries!$AR$5:$AR$434,"&gt;0")=0,"",SUMIFS(Countries!$AR$5:$AR$434,Countries!$A$5:$A$434,"All landing pages",Countries!$B$5:$B$434,"Organic",Countries!$D$5:$D$434,$A571,Countries!$E$5:$E$434,"&gt;0")/SUMIFS(Countries!$E$5:$E$434,Countries!$A$5:$A$434,"All landing pages",Countries!$B$5:$B$434,"Organic",Countries!$D$5:$D$434,$A571,Countries!$AR$5:$AR$434,"&gt;0"))</f>
        <v/>
      </c>
      <c r="G571" s="45">
        <f>IF(SUMIFS(Countries!$F$5:$F$434,Countries!$A$5:$A$434,"All landing pages",Countries!$B$5:$B$434,"Organic",Countries!$D$5:$D$434,$A571,Countries!$AS$5:$AS$434,"&gt;0")=0,"",SUMIFS(Countries!$AS$5:$AS$434,Countries!$A$5:$A$434,"All landing pages",Countries!$B$5:$B$434,"Organic",Countries!$D$5:$D$434,$A571,Countries!$F$5:$F$434,"&gt;0")/SUMIFS(Countries!$F$5:$F$434,Countries!$A$5:$A$434,"All landing pages",Countries!$B$5:$B$434,"Organic",Countries!$D$5:$D$434,$A571,Countries!$AS$5:$AS$434,"&gt;0"))</f>
        <v/>
      </c>
      <c r="H571" s="44">
        <f>IF(OR(F571="",G571=""),"",(G571-F571)*100)</f>
        <v/>
      </c>
      <c r="I571" s="73" t="n"/>
      <c r="J571" s="45">
        <f>IF(SUMIFS(Countries!$E$5:$E$434,Countries!$A$5:$A$434,"All landing pages",Countries!$B$5:$B$434,"Direct",Countries!$D$5:$D$434,$A571,Countries!$AR$5:$AR$434,"&gt;0")=0,"",SUMIFS(Countries!$AR$5:$AR$434,Countries!$A$5:$A$434,"All landing pages",Countries!$B$5:$B$434,"Direct",Countries!$D$5:$D$434,$A571,Countries!$E$5:$E$434,"&gt;0")/SUMIFS(Countries!$E$5:$E$434,Countries!$A$5:$A$434,"All landing pages",Countries!$B$5:$B$434,"Direct",Countries!$D$5:$D$434,$A571,Countries!$AR$5:$AR$434,"&gt;0"))</f>
        <v/>
      </c>
      <c r="K571" s="45">
        <f>IF(SUMIFS(Countries!$F$5:$F$434,Countries!$A$5:$A$434,"All landing pages",Countries!$B$5:$B$434,"Direct",Countries!$D$5:$D$434,$A571,Countries!$AS$5:$AS$434,"&gt;0")=0,"",SUMIFS(Countries!$AS$5:$AS$434,Countries!$A$5:$A$434,"All landing pages",Countries!$B$5:$B$434,"Direct",Countries!$D$5:$D$434,$A571,Countries!$F$5:$F$434,"&gt;0")/SUMIFS(Countries!$F$5:$F$434,Countries!$A$5:$A$434,"All landing pages",Countries!$B$5:$B$434,"Direct",Countries!$D$5:$D$434,$A571,Countries!$AS$5:$AS$434,"&gt;0"))</f>
        <v/>
      </c>
      <c r="L571" s="44">
        <f>IF(OR(J571="",K571=""),"",(K571-J571)*100)</f>
        <v/>
      </c>
      <c r="M571" s="73" t="n"/>
      <c r="N571" s="45">
        <f>IF(SUMIFS(Countries!$E$5:$E$434,Countries!$A$5:$A$434,"All landing pages",Countries!$D$5:$D$434,$A571,Countries!$AR$5:$AR$434,"&gt;0")=0,"",SUMIFS(Countries!$AR$5:$AR$434,Countries!$A$5:$A$434,"All landing pages",Countries!$D$5:$D$434,$A571,Countries!$E$5:$E$434,"&gt;0")/SUMIFS(Countries!$E$5:$E$434,Countries!$A$5:$A$434,"All landing pages",Countries!$D$5:$D$434,$A571,Countries!$AR$5:$AR$434,"&gt;0"))</f>
        <v/>
      </c>
      <c r="O571" s="45">
        <f>IF(SUMIFS(Countries!$F$5:$F$434,Countries!$A$5:$A$434,"All landing pages",Countries!$D$5:$D$434,$A571,Countries!$AS$5:$AS$434,"&gt;0")=0,"",SUMIFS(Countries!$AS$5:$AS$434,Countries!$A$5:$A$434,"All landing pages",Countries!$D$5:$D$434,$A571,Countries!$F$5:$F$434,"&gt;0")/SUMIFS(Countries!$F$5:$F$434,Countries!$A$5:$A$434,"All landing pages",Countries!$D$5:$D$434,$A571,Countries!$AS$5:$AS$434,"&gt;0"))</f>
        <v/>
      </c>
      <c r="P571" s="44">
        <f>IF(OR(N571="",O571=""),"",(O571-N571)*100)</f>
        <v/>
      </c>
      <c r="Q571" s="73" t="n"/>
    </row>
    <row r="575">
      <c r="A575" s="12" t="inlineStr">
        <is>
          <t>Blank = market not in that table's visible Looker rows, not a zero. 'Total' columns cover the three channels shown only.</t>
        </is>
      </c>
    </row>
  </sheetData>
  <mergeCells count="75">
    <mergeCell ref="A461:A462"/>
    <mergeCell ref="N119:Q119"/>
    <mergeCell ref="A119:A120"/>
    <mergeCell ref="A157:A158"/>
    <mergeCell ref="F385:I385"/>
    <mergeCell ref="J233:M233"/>
    <mergeCell ref="J537:M537"/>
    <mergeCell ref="F43:I43"/>
    <mergeCell ref="F347:I347"/>
    <mergeCell ref="J385:M385"/>
    <mergeCell ref="A271:A272"/>
    <mergeCell ref="J43:M43"/>
    <mergeCell ref="N423:Q423"/>
    <mergeCell ref="F195:I195"/>
    <mergeCell ref="A385:A386"/>
    <mergeCell ref="A423:A424"/>
    <mergeCell ref="B5:E5"/>
    <mergeCell ref="N195:Q195"/>
    <mergeCell ref="A233:A234"/>
    <mergeCell ref="J347:M347"/>
    <mergeCell ref="B499:E499"/>
    <mergeCell ref="F157:I157"/>
    <mergeCell ref="F461:I461"/>
    <mergeCell ref="F499:I499"/>
    <mergeCell ref="F119:I119"/>
    <mergeCell ref="B233:E233"/>
    <mergeCell ref="B271:E271"/>
    <mergeCell ref="N271:Q271"/>
    <mergeCell ref="B309:E309"/>
    <mergeCell ref="F271:I271"/>
    <mergeCell ref="A499:A500"/>
    <mergeCell ref="A537:A538"/>
    <mergeCell ref="B81:E81"/>
    <mergeCell ref="A195:A196"/>
    <mergeCell ref="F423:I423"/>
    <mergeCell ref="J5:M5"/>
    <mergeCell ref="J81:M81"/>
    <mergeCell ref="B537:E537"/>
    <mergeCell ref="A5:A6"/>
    <mergeCell ref="F537:I537"/>
    <mergeCell ref="B385:E385"/>
    <mergeCell ref="F233:I233"/>
    <mergeCell ref="F309:I309"/>
    <mergeCell ref="N537:Q537"/>
    <mergeCell ref="B43:E43"/>
    <mergeCell ref="N233:Q233"/>
    <mergeCell ref="B347:E347"/>
    <mergeCell ref="N385:Q385"/>
    <mergeCell ref="B195:E195"/>
    <mergeCell ref="N43:Q43"/>
    <mergeCell ref="N81:Q81"/>
    <mergeCell ref="A81:A82"/>
    <mergeCell ref="J157:M157"/>
    <mergeCell ref="J195:M195"/>
    <mergeCell ref="A309:A310"/>
    <mergeCell ref="F5:I5"/>
    <mergeCell ref="J499:M499"/>
    <mergeCell ref="N5:Q5"/>
    <mergeCell ref="A43:A44"/>
    <mergeCell ref="N309:Q309"/>
    <mergeCell ref="N347:Q347"/>
    <mergeCell ref="J119:M119"/>
    <mergeCell ref="A347:A348"/>
    <mergeCell ref="B461:E461"/>
    <mergeCell ref="B119:E119"/>
    <mergeCell ref="B157:E157"/>
    <mergeCell ref="N157:Q157"/>
    <mergeCell ref="J423:M423"/>
    <mergeCell ref="J461:M461"/>
    <mergeCell ref="J271:M271"/>
    <mergeCell ref="J309:M309"/>
    <mergeCell ref="N461:Q461"/>
    <mergeCell ref="N499:Q499"/>
    <mergeCell ref="B423:E423"/>
    <mergeCell ref="F81:I81"/>
  </mergeCells>
  <conditionalFormatting sqref="E7:E39">
    <cfRule type="cellIs" priority="1" operator="lessThan" dxfId="1">
      <formula>0</formula>
    </cfRule>
    <cfRule type="cellIs" priority="2" operator="greaterThan" dxfId="0">
      <formula>0</formula>
    </cfRule>
  </conditionalFormatting>
  <conditionalFormatting sqref="I7:I39">
    <cfRule type="cellIs" priority="3" operator="lessThan" dxfId="1">
      <formula>0</formula>
    </cfRule>
    <cfRule type="cellIs" priority="4" operator="greaterThan" dxfId="0">
      <formula>0</formula>
    </cfRule>
  </conditionalFormatting>
  <conditionalFormatting sqref="M7:M39">
    <cfRule type="cellIs" priority="5" operator="lessThan" dxfId="1">
      <formula>0</formula>
    </cfRule>
    <cfRule type="cellIs" priority="6" operator="greaterThan" dxfId="0">
      <formula>0</formula>
    </cfRule>
  </conditionalFormatting>
  <conditionalFormatting sqref="Q7:Q39">
    <cfRule type="cellIs" priority="7" operator="lessThan" dxfId="1">
      <formula>0</formula>
    </cfRule>
    <cfRule type="cellIs" priority="8" operator="greaterThan" dxfId="0">
      <formula>0</formula>
    </cfRule>
  </conditionalFormatting>
  <conditionalFormatting sqref="E45:E77">
    <cfRule type="cellIs" priority="9" operator="lessThan" dxfId="1">
      <formula>0</formula>
    </cfRule>
    <cfRule type="cellIs" priority="10" operator="greaterThan" dxfId="0">
      <formula>0</formula>
    </cfRule>
  </conditionalFormatting>
  <conditionalFormatting sqref="I45:I77">
    <cfRule type="cellIs" priority="11" operator="lessThan" dxfId="1">
      <formula>0</formula>
    </cfRule>
    <cfRule type="cellIs" priority="12" operator="greaterThan" dxfId="0">
      <formula>0</formula>
    </cfRule>
  </conditionalFormatting>
  <conditionalFormatting sqref="M45:M77">
    <cfRule type="cellIs" priority="13" operator="lessThan" dxfId="1">
      <formula>0</formula>
    </cfRule>
    <cfRule type="cellIs" priority="14" operator="greaterThan" dxfId="0">
      <formula>0</formula>
    </cfRule>
  </conditionalFormatting>
  <conditionalFormatting sqref="Q45:Q77">
    <cfRule type="cellIs" priority="15" operator="lessThan" dxfId="1">
      <formula>0</formula>
    </cfRule>
    <cfRule type="cellIs" priority="16" operator="greaterThan" dxfId="0">
      <formula>0</formula>
    </cfRule>
  </conditionalFormatting>
  <conditionalFormatting sqref="D83:D115">
    <cfRule type="cellIs" priority="17" operator="lessThan" dxfId="1">
      <formula>0</formula>
    </cfRule>
    <cfRule type="cellIs" priority="18" operator="greaterThan" dxfId="0">
      <formula>0</formula>
    </cfRule>
  </conditionalFormatting>
  <conditionalFormatting sqref="H83:H115">
    <cfRule type="cellIs" priority="19" operator="lessThan" dxfId="1">
      <formula>0</formula>
    </cfRule>
    <cfRule type="cellIs" priority="20" operator="greaterThan" dxfId="0">
      <formula>0</formula>
    </cfRule>
  </conditionalFormatting>
  <conditionalFormatting sqref="L83:L115">
    <cfRule type="cellIs" priority="21" operator="lessThan" dxfId="1">
      <formula>0</formula>
    </cfRule>
    <cfRule type="cellIs" priority="22" operator="greaterThan" dxfId="0">
      <formula>0</formula>
    </cfRule>
  </conditionalFormatting>
  <conditionalFormatting sqref="P83:P115">
    <cfRule type="cellIs" priority="23" operator="lessThan" dxfId="1">
      <formula>0</formula>
    </cfRule>
    <cfRule type="cellIs" priority="24" operator="greaterThan" dxfId="0">
      <formula>0</formula>
    </cfRule>
  </conditionalFormatting>
  <conditionalFormatting sqref="E121:E153">
    <cfRule type="cellIs" priority="25" operator="lessThan" dxfId="1">
      <formula>0</formula>
    </cfRule>
    <cfRule type="cellIs" priority="26" operator="greaterThan" dxfId="0">
      <formula>0</formula>
    </cfRule>
  </conditionalFormatting>
  <conditionalFormatting sqref="I121:I153">
    <cfRule type="cellIs" priority="27" operator="lessThan" dxfId="1">
      <formula>0</formula>
    </cfRule>
    <cfRule type="cellIs" priority="28" operator="greaterThan" dxfId="0">
      <formula>0</formula>
    </cfRule>
  </conditionalFormatting>
  <conditionalFormatting sqref="M121:M153">
    <cfRule type="cellIs" priority="29" operator="lessThan" dxfId="1">
      <formula>0</formula>
    </cfRule>
    <cfRule type="cellIs" priority="30" operator="greaterThan" dxfId="0">
      <formula>0</formula>
    </cfRule>
  </conditionalFormatting>
  <conditionalFormatting sqref="Q121:Q153">
    <cfRule type="cellIs" priority="31" operator="lessThan" dxfId="1">
      <formula>0</formula>
    </cfRule>
    <cfRule type="cellIs" priority="32" operator="greaterThan" dxfId="0">
      <formula>0</formula>
    </cfRule>
  </conditionalFormatting>
  <conditionalFormatting sqref="D159:D191">
    <cfRule type="cellIs" priority="33" operator="lessThan" dxfId="1">
      <formula>0</formula>
    </cfRule>
    <cfRule type="cellIs" priority="34" operator="greaterThan" dxfId="0">
      <formula>0</formula>
    </cfRule>
  </conditionalFormatting>
  <conditionalFormatting sqref="H159:H191">
    <cfRule type="cellIs" priority="35" operator="lessThan" dxfId="1">
      <formula>0</formula>
    </cfRule>
    <cfRule type="cellIs" priority="36" operator="greaterThan" dxfId="0">
      <formula>0</formula>
    </cfRule>
  </conditionalFormatting>
  <conditionalFormatting sqref="L159:L191">
    <cfRule type="cellIs" priority="37" operator="lessThan" dxfId="1">
      <formula>0</formula>
    </cfRule>
    <cfRule type="cellIs" priority="38" operator="greaterThan" dxfId="0">
      <formula>0</formula>
    </cfRule>
  </conditionalFormatting>
  <conditionalFormatting sqref="P159:P191">
    <cfRule type="cellIs" priority="39" operator="lessThan" dxfId="1">
      <formula>0</formula>
    </cfRule>
    <cfRule type="cellIs" priority="40" operator="greaterThan" dxfId="0">
      <formula>0</formula>
    </cfRule>
  </conditionalFormatting>
  <conditionalFormatting sqref="E197:E229">
    <cfRule type="cellIs" priority="41" operator="lessThan" dxfId="1">
      <formula>0</formula>
    </cfRule>
    <cfRule type="cellIs" priority="42" operator="greaterThan" dxfId="0">
      <formula>0</formula>
    </cfRule>
  </conditionalFormatting>
  <conditionalFormatting sqref="I197:I229">
    <cfRule type="cellIs" priority="43" operator="lessThan" dxfId="1">
      <formula>0</formula>
    </cfRule>
    <cfRule type="cellIs" priority="44" operator="greaterThan" dxfId="0">
      <formula>0</formula>
    </cfRule>
  </conditionalFormatting>
  <conditionalFormatting sqref="M197:M229">
    <cfRule type="cellIs" priority="45" operator="lessThan" dxfId="1">
      <formula>0</formula>
    </cfRule>
    <cfRule type="cellIs" priority="46" operator="greaterThan" dxfId="0">
      <formula>0</formula>
    </cfRule>
  </conditionalFormatting>
  <conditionalFormatting sqref="Q197:Q229">
    <cfRule type="cellIs" priority="47" operator="lessThan" dxfId="1">
      <formula>0</formula>
    </cfRule>
    <cfRule type="cellIs" priority="48" operator="greaterThan" dxfId="0">
      <formula>0</formula>
    </cfRule>
  </conditionalFormatting>
  <conditionalFormatting sqref="D235:D267">
    <cfRule type="cellIs" priority="49" operator="lessThan" dxfId="1">
      <formula>0</formula>
    </cfRule>
    <cfRule type="cellIs" priority="50" operator="greaterThan" dxfId="0">
      <formula>0</formula>
    </cfRule>
  </conditionalFormatting>
  <conditionalFormatting sqref="H235:H267">
    <cfRule type="cellIs" priority="51" operator="lessThan" dxfId="1">
      <formula>0</formula>
    </cfRule>
    <cfRule type="cellIs" priority="52" operator="greaterThan" dxfId="0">
      <formula>0</formula>
    </cfRule>
  </conditionalFormatting>
  <conditionalFormatting sqref="L235:L267">
    <cfRule type="cellIs" priority="53" operator="lessThan" dxfId="1">
      <formula>0</formula>
    </cfRule>
    <cfRule type="cellIs" priority="54" operator="greaterThan" dxfId="0">
      <formula>0</formula>
    </cfRule>
  </conditionalFormatting>
  <conditionalFormatting sqref="P235:P267">
    <cfRule type="cellIs" priority="55" operator="lessThan" dxfId="1">
      <formula>0</formula>
    </cfRule>
    <cfRule type="cellIs" priority="56" operator="greaterThan" dxfId="0">
      <formula>0</formula>
    </cfRule>
  </conditionalFormatting>
  <conditionalFormatting sqref="E273:E305">
    <cfRule type="cellIs" priority="57" operator="lessThan" dxfId="1">
      <formula>0</formula>
    </cfRule>
    <cfRule type="cellIs" priority="58" operator="greaterThan" dxfId="0">
      <formula>0</formula>
    </cfRule>
  </conditionalFormatting>
  <conditionalFormatting sqref="I273:I305">
    <cfRule type="cellIs" priority="59" operator="lessThan" dxfId="1">
      <formula>0</formula>
    </cfRule>
    <cfRule type="cellIs" priority="60" operator="greaterThan" dxfId="0">
      <formula>0</formula>
    </cfRule>
  </conditionalFormatting>
  <conditionalFormatting sqref="M273:M305">
    <cfRule type="cellIs" priority="61" operator="lessThan" dxfId="1">
      <formula>0</formula>
    </cfRule>
    <cfRule type="cellIs" priority="62" operator="greaterThan" dxfId="0">
      <formula>0</formula>
    </cfRule>
  </conditionalFormatting>
  <conditionalFormatting sqref="Q273:Q305">
    <cfRule type="cellIs" priority="63" operator="lessThan" dxfId="1">
      <formula>0</formula>
    </cfRule>
    <cfRule type="cellIs" priority="64" operator="greaterThan" dxfId="0">
      <formula>0</formula>
    </cfRule>
  </conditionalFormatting>
  <conditionalFormatting sqref="D311:D343">
    <cfRule type="cellIs" priority="65" operator="lessThan" dxfId="1">
      <formula>0</formula>
    </cfRule>
    <cfRule type="cellIs" priority="66" operator="greaterThan" dxfId="0">
      <formula>0</formula>
    </cfRule>
  </conditionalFormatting>
  <conditionalFormatting sqref="H311:H343">
    <cfRule type="cellIs" priority="67" operator="lessThan" dxfId="1">
      <formula>0</formula>
    </cfRule>
    <cfRule type="cellIs" priority="68" operator="greaterThan" dxfId="0">
      <formula>0</formula>
    </cfRule>
  </conditionalFormatting>
  <conditionalFormatting sqref="L311:L343">
    <cfRule type="cellIs" priority="69" operator="lessThan" dxfId="1">
      <formula>0</formula>
    </cfRule>
    <cfRule type="cellIs" priority="70" operator="greaterThan" dxfId="0">
      <formula>0</formula>
    </cfRule>
  </conditionalFormatting>
  <conditionalFormatting sqref="P311:P343">
    <cfRule type="cellIs" priority="71" operator="lessThan" dxfId="1">
      <formula>0</formula>
    </cfRule>
    <cfRule type="cellIs" priority="72" operator="greaterThan" dxfId="0">
      <formula>0</formula>
    </cfRule>
  </conditionalFormatting>
  <conditionalFormatting sqref="E349:E381">
    <cfRule type="cellIs" priority="73" operator="lessThan" dxfId="1">
      <formula>0</formula>
    </cfRule>
    <cfRule type="cellIs" priority="74" operator="greaterThan" dxfId="0">
      <formula>0</formula>
    </cfRule>
  </conditionalFormatting>
  <conditionalFormatting sqref="I349:I381">
    <cfRule type="cellIs" priority="75" operator="lessThan" dxfId="1">
      <formula>0</formula>
    </cfRule>
    <cfRule type="cellIs" priority="76" operator="greaterThan" dxfId="0">
      <formula>0</formula>
    </cfRule>
  </conditionalFormatting>
  <conditionalFormatting sqref="M349:M381">
    <cfRule type="cellIs" priority="77" operator="lessThan" dxfId="1">
      <formula>0</formula>
    </cfRule>
    <cfRule type="cellIs" priority="78" operator="greaterThan" dxfId="0">
      <formula>0</formula>
    </cfRule>
  </conditionalFormatting>
  <conditionalFormatting sqref="Q349:Q381">
    <cfRule type="cellIs" priority="79" operator="lessThan" dxfId="1">
      <formula>0</formula>
    </cfRule>
    <cfRule type="cellIs" priority="80" operator="greaterThan" dxfId="0">
      <formula>0</formula>
    </cfRule>
  </conditionalFormatting>
  <conditionalFormatting sqref="D387:D419">
    <cfRule type="cellIs" priority="81" operator="lessThan" dxfId="1">
      <formula>0</formula>
    </cfRule>
    <cfRule type="cellIs" priority="82" operator="greaterThan" dxfId="0">
      <formula>0</formula>
    </cfRule>
  </conditionalFormatting>
  <conditionalFormatting sqref="H387:H419">
    <cfRule type="cellIs" priority="83" operator="lessThan" dxfId="1">
      <formula>0</formula>
    </cfRule>
    <cfRule type="cellIs" priority="84" operator="greaterThan" dxfId="0">
      <formula>0</formula>
    </cfRule>
  </conditionalFormatting>
  <conditionalFormatting sqref="L387:L419">
    <cfRule type="cellIs" priority="85" operator="lessThan" dxfId="1">
      <formula>0</formula>
    </cfRule>
    <cfRule type="cellIs" priority="86" operator="greaterThan" dxfId="0">
      <formula>0</formula>
    </cfRule>
  </conditionalFormatting>
  <conditionalFormatting sqref="P387:P419">
    <cfRule type="cellIs" priority="87" operator="lessThan" dxfId="1">
      <formula>0</formula>
    </cfRule>
    <cfRule type="cellIs" priority="88" operator="greaterThan" dxfId="0">
      <formula>0</formula>
    </cfRule>
  </conditionalFormatting>
  <conditionalFormatting sqref="E425:E457">
    <cfRule type="cellIs" priority="89" operator="lessThan" dxfId="1">
      <formula>0</formula>
    </cfRule>
    <cfRule type="cellIs" priority="90" operator="greaterThan" dxfId="0">
      <formula>0</formula>
    </cfRule>
  </conditionalFormatting>
  <conditionalFormatting sqref="I425:I457">
    <cfRule type="cellIs" priority="91" operator="lessThan" dxfId="1">
      <formula>0</formula>
    </cfRule>
    <cfRule type="cellIs" priority="92" operator="greaterThan" dxfId="0">
      <formula>0</formula>
    </cfRule>
  </conditionalFormatting>
  <conditionalFormatting sqref="M425:M457">
    <cfRule type="cellIs" priority="93" operator="lessThan" dxfId="1">
      <formula>0</formula>
    </cfRule>
    <cfRule type="cellIs" priority="94" operator="greaterThan" dxfId="0">
      <formula>0</formula>
    </cfRule>
  </conditionalFormatting>
  <conditionalFormatting sqref="Q425:Q457">
    <cfRule type="cellIs" priority="95" operator="lessThan" dxfId="1">
      <formula>0</formula>
    </cfRule>
    <cfRule type="cellIs" priority="96" operator="greaterThan" dxfId="0">
      <formula>0</formula>
    </cfRule>
  </conditionalFormatting>
  <conditionalFormatting sqref="D463:D495">
    <cfRule type="cellIs" priority="97" operator="lessThan" dxfId="1">
      <formula>0</formula>
    </cfRule>
    <cfRule type="cellIs" priority="98" operator="greaterThan" dxfId="0">
      <formula>0</formula>
    </cfRule>
  </conditionalFormatting>
  <conditionalFormatting sqref="H463:H495">
    <cfRule type="cellIs" priority="99" operator="lessThan" dxfId="1">
      <formula>0</formula>
    </cfRule>
    <cfRule type="cellIs" priority="100" operator="greaterThan" dxfId="0">
      <formula>0</formula>
    </cfRule>
  </conditionalFormatting>
  <conditionalFormatting sqref="L463:L495">
    <cfRule type="cellIs" priority="101" operator="lessThan" dxfId="1">
      <formula>0</formula>
    </cfRule>
    <cfRule type="cellIs" priority="102" operator="greaterThan" dxfId="0">
      <formula>0</formula>
    </cfRule>
  </conditionalFormatting>
  <conditionalFormatting sqref="P463:P495">
    <cfRule type="cellIs" priority="103" operator="lessThan" dxfId="1">
      <formula>0</formula>
    </cfRule>
    <cfRule type="cellIs" priority="104" operator="greaterThan" dxfId="0">
      <formula>0</formula>
    </cfRule>
  </conditionalFormatting>
  <conditionalFormatting sqref="D501:D533">
    <cfRule type="cellIs" priority="105" operator="lessThan" dxfId="1">
      <formula>0</formula>
    </cfRule>
    <cfRule type="cellIs" priority="106" operator="greaterThan" dxfId="0">
      <formula>0</formula>
    </cfRule>
  </conditionalFormatting>
  <conditionalFormatting sqref="H501:H533">
    <cfRule type="cellIs" priority="107" operator="lessThan" dxfId="1">
      <formula>0</formula>
    </cfRule>
    <cfRule type="cellIs" priority="108" operator="greaterThan" dxfId="0">
      <formula>0</formula>
    </cfRule>
  </conditionalFormatting>
  <conditionalFormatting sqref="L501:L533">
    <cfRule type="cellIs" priority="109" operator="lessThan" dxfId="1">
      <formula>0</formula>
    </cfRule>
    <cfRule type="cellIs" priority="110" operator="greaterThan" dxfId="0">
      <formula>0</formula>
    </cfRule>
  </conditionalFormatting>
  <conditionalFormatting sqref="P501:P533">
    <cfRule type="cellIs" priority="111" operator="lessThan" dxfId="1">
      <formula>0</formula>
    </cfRule>
    <cfRule type="cellIs" priority="112" operator="greaterThan" dxfId="0">
      <formula>0</formula>
    </cfRule>
  </conditionalFormatting>
  <conditionalFormatting sqref="D539:D571">
    <cfRule type="cellIs" priority="113" operator="lessThan" dxfId="1">
      <formula>0</formula>
    </cfRule>
    <cfRule type="cellIs" priority="114" operator="greaterThan" dxfId="0">
      <formula>0</formula>
    </cfRule>
  </conditionalFormatting>
  <conditionalFormatting sqref="H539:H571">
    <cfRule type="cellIs" priority="115" operator="lessThan" dxfId="1">
      <formula>0</formula>
    </cfRule>
    <cfRule type="cellIs" priority="116" operator="greaterThan" dxfId="0">
      <formula>0</formula>
    </cfRule>
  </conditionalFormatting>
  <conditionalFormatting sqref="L539:L571">
    <cfRule type="cellIs" priority="117" operator="lessThan" dxfId="1">
      <formula>0</formula>
    </cfRule>
    <cfRule type="cellIs" priority="118" operator="greaterThan" dxfId="0">
      <formula>0</formula>
    </cfRule>
  </conditionalFormatting>
  <conditionalFormatting sqref="P539:P571">
    <cfRule type="cellIs" priority="119" operator="lessThan" dxfId="1">
      <formula>0</formula>
    </cfRule>
    <cfRule type="cellIs" priority="120" operator="greaterThan" dxfId="0">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2026-08-28T07:44:26Z</dcterms:created>
  <dcterms:modified xmlns:dcterms="http://purl.org/dc/terms/" xmlns:xsi="http://www.w3.org/2001/XMLSchema-instance" xsi:type="dcterms:W3CDTF">2026-08-28T07:44:28Z</dcterms:modified>
</cp:coreProperties>
</file>